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C:\Users\user\Desktop\GA son dokümanlar\1. Retail,Key Acc &amp; PCD\"/>
    </mc:Choice>
  </mc:AlternateContent>
  <xr:revisionPtr revIDLastSave="0" documentId="13_ncr:1_{B51FBE98-D318-4F31-B421-ADC534845BD9}" xr6:coauthVersionLast="32" xr6:coauthVersionMax="32" xr10:uidLastSave="{00000000-0000-0000-0000-000000000000}"/>
  <bookViews>
    <workbookView xWindow="0" yWindow="900" windowWidth="12048" windowHeight="3600" tabRatio="802" activeTab="1" xr2:uid="{00000000-000D-0000-FFFF-FFFF00000000}"/>
  </bookViews>
  <sheets>
    <sheet name="price list MAN" sheetId="3" r:id="rId1"/>
    <sheet name="Deal Sheet" sheetId="42" r:id="rId2"/>
    <sheet name="Trade In's" sheetId="53" r:id="rId3"/>
    <sheet name="Month of Invoicing" sheetId="38" r:id="rId4"/>
    <sheet name="Data Sheet" sheetId="63" r:id="rId5"/>
    <sheet name="OTP" sheetId="61" r:id="rId6"/>
    <sheet name="OTP Conditions" sheetId="72" r:id="rId7"/>
  </sheets>
  <externalReferences>
    <externalReference r:id="rId8"/>
    <externalReference r:id="rId9"/>
    <externalReference r:id="rId10"/>
    <externalReference r:id="rId11"/>
  </externalReferences>
  <definedNames>
    <definedName name="_xlnm._FilterDatabase" localSheetId="0" hidden="1">'price list MAN'!$A$4:$CO$2002</definedName>
    <definedName name="APP" localSheetId="1">'Deal Sheet'!$E$61</definedName>
    <definedName name="APP">#REF!</definedName>
    <definedName name="APPT" localSheetId="1">'Deal Sheet'!$F$61</definedName>
    <definedName name="APPT" localSheetId="5">[1]Retail_ASM_MAN!$G$59</definedName>
    <definedName name="APPT">#REF!</definedName>
    <definedName name="AST" localSheetId="5">#REF!</definedName>
    <definedName name="AST">#REF!</definedName>
    <definedName name="BT">#REF!</definedName>
    <definedName name="Check22" localSheetId="3">'Month of Invoicing'!#REF!</definedName>
    <definedName name="Check24" localSheetId="3">'Month of Invoicing'!#REF!</definedName>
    <definedName name="Check25" localSheetId="3">'Month of Invoicing'!#REF!</definedName>
    <definedName name="cus" localSheetId="1">'Deal Sheet'!$AX$7:$AX$8</definedName>
    <definedName name="DLM" localSheetId="1">'Deal Sheet'!$D$65</definedName>
    <definedName name="DLM">#REF!</definedName>
    <definedName name="DLT" localSheetId="1">'Deal Sheet'!$D$65</definedName>
    <definedName name="DLT">#REF!</definedName>
    <definedName name="DTY">#REF!</definedName>
    <definedName name="ES" localSheetId="1">'Deal Sheet'!#REF!</definedName>
    <definedName name="ES">#REF!</definedName>
    <definedName name="ESC" localSheetId="1">'Deal Sheet'!#REF!</definedName>
    <definedName name="ESC">#REF!</definedName>
    <definedName name="ESCUS" localSheetId="1">'Deal Sheet'!#REF!</definedName>
    <definedName name="ESCUS">#REF!</definedName>
    <definedName name="ESM" localSheetId="1">'Deal Sheet'!#REF!</definedName>
    <definedName name="ESM">#REF!</definedName>
    <definedName name="ESP" localSheetId="1">'Deal Sheet'!#REF!</definedName>
    <definedName name="ESP">#REF!</definedName>
    <definedName name="EVE" localSheetId="1">'Deal Sheet'!$C$65</definedName>
    <definedName name="EVE">#REF!</definedName>
    <definedName name="EVM" localSheetId="1">'Deal Sheet'!$C$65</definedName>
    <definedName name="EVM">#REF!</definedName>
    <definedName name="EW" localSheetId="1">#REF!</definedName>
    <definedName name="EWC" localSheetId="1">'Deal Sheet'!$E$66</definedName>
    <definedName name="EWC" localSheetId="5">[1]Retail_ASM_MAN!$F$64</definedName>
    <definedName name="EWC">#REF!</definedName>
    <definedName name="EWCUS" localSheetId="1">'Deal Sheet'!$F$66</definedName>
    <definedName name="EWCUS">#REF!</definedName>
    <definedName name="EXW" localSheetId="1">'Deal Sheet'!$E$63</definedName>
    <definedName name="EXW" localSheetId="5">[1]Retail_ASM_MAN!$F$61</definedName>
    <definedName name="EXW">#REF!</definedName>
    <definedName name="EXWAR" localSheetId="1">'Deal Sheet'!$E$63</definedName>
    <definedName name="EXWAR">#REF!</definedName>
    <definedName name="FYI">#REF!</definedName>
    <definedName name="MODEL" localSheetId="1">'Deal Sheet'!$N$41</definedName>
    <definedName name="MODEL" localSheetId="5">[1]Retail_ASM_MAN!$O$41</definedName>
    <definedName name="MODEL">#REF!</definedName>
    <definedName name="RetailSalesmanMAN" localSheetId="1">#REF!</definedName>
    <definedName name="RM" localSheetId="1">'Deal Sheet'!$E$53</definedName>
    <definedName name="RM" localSheetId="5">#REF!</definedName>
    <definedName name="RM">#REF!</definedName>
    <definedName name="RMC" localSheetId="1">'Deal Sheet'!$E$55</definedName>
    <definedName name="RMC" localSheetId="5">[1]Retail_ASM_MAN!$F$55</definedName>
    <definedName name="RMC">#REF!</definedName>
    <definedName name="RMCUS" localSheetId="1">'Deal Sheet'!$F$55</definedName>
    <definedName name="RMCUS" localSheetId="5">[1]Retail_ASM_MAN!$G$55</definedName>
    <definedName name="RMCUS">#REF!</definedName>
    <definedName name="RMM" localSheetId="1">'Deal Sheet'!$D$55</definedName>
    <definedName name="RMM">#REF!</definedName>
    <definedName name="RMP" localSheetId="1">'Deal Sheet'!$D$54</definedName>
    <definedName name="RMP">#REF!</definedName>
    <definedName name="ss" localSheetId="1">#REF!</definedName>
    <definedName name="ST" localSheetId="1">'Deal Sheet'!$C$46</definedName>
    <definedName name="ST">#REF!</definedName>
    <definedName name="STC" localSheetId="1">'Deal Sheet'!$E$48</definedName>
    <definedName name="STC" localSheetId="5">[1]Retail_ASM_MAN!$F$48</definedName>
    <definedName name="STC">#REF!</definedName>
    <definedName name="STCOS" localSheetId="1">'Deal Sheet'!$E$48</definedName>
    <definedName name="STCOS">#REF!</definedName>
    <definedName name="STCUS" localSheetId="1">'Deal Sheet'!$F$48</definedName>
    <definedName name="STCUS" localSheetId="5">[1]Retail_ASM_MAN!$G$48</definedName>
    <definedName name="STCUS">#REF!</definedName>
    <definedName name="STM" localSheetId="1">'Deal Sheet'!$D$48</definedName>
    <definedName name="STM">#REF!</definedName>
    <definedName name="STP" localSheetId="1">'Deal Sheet'!$D$47</definedName>
    <definedName name="STP">#REF!</definedName>
    <definedName name="TB" localSheetId="1">#REF!</definedName>
    <definedName name="Text10" localSheetId="3">'Month of Invoicing'!#REF!</definedName>
    <definedName name="Text11" localSheetId="3">'Month of Invoicing'!#REF!</definedName>
    <definedName name="Text14" localSheetId="3">'Month of Invoicing'!#REF!</definedName>
    <definedName name="Text15" localSheetId="3">'Month of Invoicing'!#REF!</definedName>
    <definedName name="Text16" localSheetId="3">'Month of Invoicing'!#REF!</definedName>
    <definedName name="Text17" localSheetId="3">'Month of Invoicing'!#REF!</definedName>
    <definedName name="Text18" localSheetId="3">'Month of Invoicing'!#REF!</definedName>
    <definedName name="Text19" localSheetId="3">'Month of Invoicing'!#REF!</definedName>
    <definedName name="Text20" localSheetId="3">'Month of Invoicing'!#REF!</definedName>
    <definedName name="Text21" localSheetId="3">'Month of Invoicing'!#REF!</definedName>
    <definedName name="Text23" localSheetId="3">'Month of Invoicing'!#REF!</definedName>
    <definedName name="Text24" localSheetId="3">'Month of Invoicing'!#REF!</definedName>
    <definedName name="Text25" localSheetId="3">'Month of Invoicing'!#REF!</definedName>
    <definedName name="Text26" localSheetId="3">'Month of Invoicing'!#REF!</definedName>
    <definedName name="Text27" localSheetId="3">'Month of Invoicing'!#REF!</definedName>
    <definedName name="Text3" localSheetId="3">'Month of Invoicing'!#REF!</definedName>
    <definedName name="Text4" localSheetId="3">'Month of Invoicing'!#REF!</definedName>
    <definedName name="Text5" localSheetId="3">'Month of Invoicing'!#REF!</definedName>
    <definedName name="Text6" localSheetId="3">'Month of Invoicing'!#REF!</definedName>
    <definedName name="Text7" localSheetId="3">'Month of Invoicing'!#REF!</definedName>
    <definedName name="Text8" localSheetId="3">'Month of Invoicing'!#REF!</definedName>
    <definedName name="Text9" localSheetId="3">'Month of Invoicing'!#REF!</definedName>
    <definedName name="Trade_Back" localSheetId="1">#REF!</definedName>
    <definedName name="war" localSheetId="1">'Deal Sheet'!$AX$5:$AX$6</definedName>
    <definedName name="_xlnm.Print_Area" localSheetId="4">'Data Sheet'!$B$2:$M$56</definedName>
    <definedName name="_xlnm.Print_Area" localSheetId="1">'Deal Sheet'!$A$1:$M$74</definedName>
    <definedName name="_xlnm.Print_Area" localSheetId="3">'Month of Invoicing'!$A$1:$J$45</definedName>
    <definedName name="_xlnm.Print_Area" localSheetId="5">OTP!$B$2:$L$98</definedName>
    <definedName name="_xlnm.Print_Area" localSheetId="6">'OTP Conditions'!$A$1:$C$39</definedName>
    <definedName name="_xlnm.Print_Area" localSheetId="2">'Trade In''s'!$B$1:$N$38</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79" i="61" l="1"/>
  <c r="F79" i="61"/>
  <c r="F78" i="61"/>
  <c r="F77" i="61"/>
  <c r="K64" i="61"/>
  <c r="E64" i="61"/>
  <c r="H38" i="63"/>
  <c r="H37" i="63"/>
  <c r="H36" i="63"/>
  <c r="H35" i="63"/>
  <c r="H34" i="63"/>
  <c r="H33" i="63"/>
  <c r="H32" i="63"/>
  <c r="H31" i="63"/>
  <c r="H30" i="63"/>
  <c r="H29" i="63"/>
  <c r="H28" i="63"/>
  <c r="H27" i="63"/>
  <c r="H26" i="63"/>
  <c r="H25" i="63"/>
  <c r="H24" i="63"/>
  <c r="H23" i="63"/>
  <c r="H22" i="63"/>
  <c r="H21" i="63"/>
  <c r="H20" i="63"/>
  <c r="H19" i="63"/>
  <c r="H18" i="63"/>
  <c r="H17" i="63"/>
  <c r="H16" i="63"/>
  <c r="H15" i="63"/>
  <c r="H14" i="63"/>
  <c r="H13" i="63"/>
  <c r="H12" i="63"/>
  <c r="H11" i="63"/>
  <c r="H10" i="63"/>
  <c r="H9" i="63"/>
  <c r="F38" i="63"/>
  <c r="J38" i="63" s="1"/>
  <c r="F9" i="63"/>
  <c r="D22" i="63"/>
  <c r="D17" i="63"/>
  <c r="D10" i="63"/>
  <c r="D9" i="63"/>
  <c r="E8" i="38"/>
  <c r="E7" i="38"/>
  <c r="E6" i="38"/>
  <c r="B45" i="38"/>
  <c r="E45" i="38" s="1"/>
  <c r="B44" i="38"/>
  <c r="B43" i="38"/>
  <c r="B42" i="38"/>
  <c r="B41" i="38"/>
  <c r="B40" i="38"/>
  <c r="B39" i="38"/>
  <c r="B38" i="38"/>
  <c r="B37" i="38"/>
  <c r="B36" i="38"/>
  <c r="B35" i="38"/>
  <c r="B34" i="38"/>
  <c r="B33" i="38"/>
  <c r="B32" i="38"/>
  <c r="B31" i="38"/>
  <c r="B30" i="38"/>
  <c r="B29" i="38"/>
  <c r="B28" i="38"/>
  <c r="B27" i="38"/>
  <c r="B26" i="38"/>
  <c r="B25" i="38"/>
  <c r="B24" i="38"/>
  <c r="B23" i="38"/>
  <c r="B22" i="38"/>
  <c r="B21" i="38"/>
  <c r="B20" i="38"/>
  <c r="B19" i="38"/>
  <c r="B18" i="38"/>
  <c r="B17" i="38"/>
  <c r="B16" i="38"/>
  <c r="AV38" i="42"/>
  <c r="A45" i="38" s="1"/>
  <c r="AV9" i="42"/>
  <c r="A16" i="38" s="1"/>
  <c r="I4" i="53"/>
  <c r="D4" i="53"/>
  <c r="E38" i="42"/>
  <c r="F10" i="63" l="1"/>
  <c r="AV10" i="42"/>
  <c r="K78" i="61"/>
  <c r="K77" i="61"/>
  <c r="K73" i="61"/>
  <c r="K72" i="61"/>
  <c r="K71" i="61"/>
  <c r="K70" i="61"/>
  <c r="C35" i="61"/>
  <c r="C36" i="61"/>
  <c r="C37" i="61"/>
  <c r="C38" i="61"/>
  <c r="C39" i="61"/>
  <c r="C40" i="61"/>
  <c r="C41" i="61"/>
  <c r="C42" i="61"/>
  <c r="C43" i="61"/>
  <c r="C44" i="61"/>
  <c r="C45" i="61"/>
  <c r="C46" i="61"/>
  <c r="C47" i="61"/>
  <c r="C48" i="61"/>
  <c r="C49" i="61"/>
  <c r="C34" i="61"/>
  <c r="E35" i="61"/>
  <c r="E36" i="61"/>
  <c r="E37" i="61"/>
  <c r="E38" i="61"/>
  <c r="E39" i="61"/>
  <c r="E40" i="61"/>
  <c r="E41" i="61"/>
  <c r="E42" i="61"/>
  <c r="E43" i="61"/>
  <c r="E44" i="61"/>
  <c r="E45" i="61"/>
  <c r="E46" i="61"/>
  <c r="E47" i="61"/>
  <c r="E48" i="61"/>
  <c r="E49" i="61"/>
  <c r="J35" i="42"/>
  <c r="J34" i="42"/>
  <c r="J33" i="42"/>
  <c r="J32" i="42"/>
  <c r="J31" i="42"/>
  <c r="J30" i="42"/>
  <c r="J29" i="42"/>
  <c r="J28" i="42"/>
  <c r="J27" i="42"/>
  <c r="J26" i="42"/>
  <c r="J25" i="42"/>
  <c r="J24" i="42"/>
  <c r="J23" i="42"/>
  <c r="J22" i="42"/>
  <c r="E34" i="61"/>
  <c r="K23" i="61"/>
  <c r="G23" i="61"/>
  <c r="D16" i="61"/>
  <c r="AV11" i="42" l="1"/>
  <c r="A17" i="38"/>
  <c r="F11" i="63"/>
  <c r="J21" i="42"/>
  <c r="AV12" i="42" l="1"/>
  <c r="A18" i="38"/>
  <c r="F12" i="63"/>
  <c r="G49" i="61"/>
  <c r="I49" i="61"/>
  <c r="K57" i="61"/>
  <c r="AV13" i="42" l="1"/>
  <c r="A19" i="38"/>
  <c r="F13" i="63"/>
  <c r="AV14" i="42" l="1"/>
  <c r="A20" i="38"/>
  <c r="F14" i="63"/>
  <c r="J39" i="63"/>
  <c r="H79" i="61"/>
  <c r="H78" i="61"/>
  <c r="AV15" i="42" l="1"/>
  <c r="A21" i="38"/>
  <c r="F15" i="63"/>
  <c r="K56" i="61"/>
  <c r="AU41" i="63"/>
  <c r="E84" i="61"/>
  <c r="E83" i="61"/>
  <c r="E82" i="61"/>
  <c r="BC11" i="63"/>
  <c r="BD11" i="63"/>
  <c r="BE11" i="63"/>
  <c r="BF11" i="63"/>
  <c r="AV16" i="42" l="1"/>
  <c r="A22" i="38"/>
  <c r="F16" i="63"/>
  <c r="K10" i="63"/>
  <c r="AP12" i="63" s="1"/>
  <c r="K11" i="63"/>
  <c r="AP13" i="63" s="1"/>
  <c r="K12" i="63"/>
  <c r="AP14" i="63" s="1"/>
  <c r="K13" i="63"/>
  <c r="AP15" i="63" s="1"/>
  <c r="K14" i="63"/>
  <c r="AP16" i="63" s="1"/>
  <c r="K15" i="63"/>
  <c r="AP17" i="63" s="1"/>
  <c r="K16" i="63"/>
  <c r="AP18" i="63" s="1"/>
  <c r="K17" i="63"/>
  <c r="AP19" i="63" s="1"/>
  <c r="K18" i="63"/>
  <c r="AP20" i="63" s="1"/>
  <c r="K19" i="63"/>
  <c r="AP21" i="63" s="1"/>
  <c r="K20" i="63"/>
  <c r="AP22" i="63" s="1"/>
  <c r="K21" i="63"/>
  <c r="AP23" i="63" s="1"/>
  <c r="K22" i="63"/>
  <c r="AP24" i="63" s="1"/>
  <c r="K23" i="63"/>
  <c r="AP25" i="63" s="1"/>
  <c r="K24" i="63"/>
  <c r="AP26" i="63" s="1"/>
  <c r="K25" i="63"/>
  <c r="AP27" i="63" s="1"/>
  <c r="K26" i="63"/>
  <c r="AP28" i="63" s="1"/>
  <c r="K27" i="63"/>
  <c r="AP29" i="63" s="1"/>
  <c r="K28" i="63"/>
  <c r="AP30" i="63" s="1"/>
  <c r="K29" i="63"/>
  <c r="AP31" i="63" s="1"/>
  <c r="K30" i="63"/>
  <c r="AP32" i="63" s="1"/>
  <c r="K31" i="63"/>
  <c r="AP33" i="63" s="1"/>
  <c r="K32" i="63"/>
  <c r="AP34" i="63" s="1"/>
  <c r="K33" i="63"/>
  <c r="AP35" i="63" s="1"/>
  <c r="K34" i="63"/>
  <c r="AP36" i="63" s="1"/>
  <c r="K35" i="63"/>
  <c r="AP37" i="63" s="1"/>
  <c r="K36" i="63"/>
  <c r="AP38" i="63" s="1"/>
  <c r="K37" i="63"/>
  <c r="AP39" i="63" s="1"/>
  <c r="K38" i="63"/>
  <c r="AP40" i="63" s="1"/>
  <c r="K9" i="63"/>
  <c r="AP11" i="63" s="1"/>
  <c r="AQ11" i="63" s="1"/>
  <c r="AS11" i="63" s="1"/>
  <c r="AO12" i="63"/>
  <c r="AO16" i="63"/>
  <c r="AO20" i="63"/>
  <c r="AO24" i="63"/>
  <c r="AO26" i="63"/>
  <c r="AO28" i="63"/>
  <c r="AO32" i="63"/>
  <c r="AO36" i="63"/>
  <c r="AO40" i="63"/>
  <c r="C11" i="61"/>
  <c r="H10" i="61"/>
  <c r="AM34" i="63"/>
  <c r="F11" i="61" s="1"/>
  <c r="AM33" i="63"/>
  <c r="F10" i="61" s="1"/>
  <c r="AM32" i="63"/>
  <c r="F9" i="61" s="1"/>
  <c r="F12" i="61"/>
  <c r="C12" i="61"/>
  <c r="C10" i="61"/>
  <c r="C9" i="61"/>
  <c r="C8" i="61"/>
  <c r="C7" i="61"/>
  <c r="C5" i="61"/>
  <c r="C6" i="61"/>
  <c r="D7" i="63"/>
  <c r="AV17" i="42" l="1"/>
  <c r="A23" i="38"/>
  <c r="F17" i="63"/>
  <c r="H9" i="61"/>
  <c r="AQ25" i="63"/>
  <c r="AS25" i="63" s="1"/>
  <c r="AQ21" i="63"/>
  <c r="AS21" i="63" s="1"/>
  <c r="AU21" i="63" s="1"/>
  <c r="AQ17" i="63"/>
  <c r="AS17" i="63" s="1"/>
  <c r="AQ13" i="63"/>
  <c r="AQ30" i="63"/>
  <c r="AS30" i="63" s="1"/>
  <c r="AU30" i="63" s="1"/>
  <c r="AQ26" i="63"/>
  <c r="AS26" i="63" s="1"/>
  <c r="AQ22" i="63"/>
  <c r="AS22" i="63" s="1"/>
  <c r="AQ18" i="63"/>
  <c r="AS18" i="63" s="1"/>
  <c r="AU18" i="63" s="1"/>
  <c r="AQ14" i="63"/>
  <c r="AS14" i="63" s="1"/>
  <c r="AQ36" i="63"/>
  <c r="AS36" i="63" s="1"/>
  <c r="AU36" i="63" s="1"/>
  <c r="AQ24" i="63"/>
  <c r="AS24" i="63" s="1"/>
  <c r="AQ20" i="63"/>
  <c r="AS20" i="63" s="1"/>
  <c r="AU20" i="63" s="1"/>
  <c r="AQ16" i="63"/>
  <c r="AS16" i="63" s="1"/>
  <c r="AQ31" i="63"/>
  <c r="AS31" i="63" s="1"/>
  <c r="AU31" i="63" s="1"/>
  <c r="AQ27" i="63"/>
  <c r="AS27" i="63" s="1"/>
  <c r="AQ23" i="63"/>
  <c r="AS23" i="63" s="1"/>
  <c r="AQ19" i="63"/>
  <c r="AS19" i="63" s="1"/>
  <c r="AU19" i="63" s="1"/>
  <c r="AQ15" i="63"/>
  <c r="AS15" i="63" s="1"/>
  <c r="AQ12" i="63"/>
  <c r="AS12" i="63" s="1"/>
  <c r="AQ34" i="63"/>
  <c r="AS34" i="63" s="1"/>
  <c r="AU34" i="63" s="1"/>
  <c r="AO11" i="63"/>
  <c r="AO37" i="63"/>
  <c r="AO33" i="63"/>
  <c r="AO29" i="63"/>
  <c r="AO25" i="63"/>
  <c r="AO21" i="63"/>
  <c r="AO17" i="63"/>
  <c r="AO13" i="63"/>
  <c r="AQ35" i="63"/>
  <c r="AS35" i="63" s="1"/>
  <c r="AU35" i="63" s="1"/>
  <c r="AO39" i="63"/>
  <c r="AO35" i="63"/>
  <c r="AO31" i="63"/>
  <c r="AO27" i="63"/>
  <c r="AO23" i="63"/>
  <c r="AO19" i="63"/>
  <c r="AO15" i="63"/>
  <c r="AO38" i="63"/>
  <c r="AO34" i="63"/>
  <c r="AO30" i="63"/>
  <c r="AO22" i="63"/>
  <c r="AO18" i="63"/>
  <c r="AO14" i="63"/>
  <c r="AQ37" i="63"/>
  <c r="AS37" i="63" s="1"/>
  <c r="AU37" i="63" s="1"/>
  <c r="AR11" i="63"/>
  <c r="AU11" i="63" s="1"/>
  <c r="AQ40" i="63"/>
  <c r="AS40" i="63" s="1"/>
  <c r="AU40" i="63" s="1"/>
  <c r="AQ39" i="63"/>
  <c r="AS39" i="63" s="1"/>
  <c r="AU39" i="63" s="1"/>
  <c r="AQ32" i="63"/>
  <c r="AS32" i="63" s="1"/>
  <c r="AU32" i="63" s="1"/>
  <c r="AQ38" i="63"/>
  <c r="AS38" i="63" s="1"/>
  <c r="AU38" i="63" s="1"/>
  <c r="AQ28" i="63"/>
  <c r="AS28" i="63" s="1"/>
  <c r="AQ29" i="63"/>
  <c r="AS29" i="63" s="1"/>
  <c r="AU29" i="63" s="1"/>
  <c r="AQ33" i="63"/>
  <c r="AS33" i="63" s="1"/>
  <c r="AU33" i="63" s="1"/>
  <c r="J79" i="61"/>
  <c r="K58" i="61"/>
  <c r="G48" i="61"/>
  <c r="G44" i="61"/>
  <c r="G43" i="61"/>
  <c r="G42" i="61"/>
  <c r="G41" i="61"/>
  <c r="AV18" i="42" l="1"/>
  <c r="A24" i="38"/>
  <c r="F18" i="63"/>
  <c r="AR13" i="63"/>
  <c r="AS13" i="63"/>
  <c r="AR21" i="63"/>
  <c r="AR25" i="63"/>
  <c r="AU25" i="63" s="1"/>
  <c r="AR17" i="63"/>
  <c r="AU17" i="63" s="1"/>
  <c r="AR36" i="63"/>
  <c r="AR29" i="63"/>
  <c r="AR39" i="63"/>
  <c r="AR34" i="63"/>
  <c r="AR23" i="63"/>
  <c r="AU23" i="63" s="1"/>
  <c r="AR20" i="63"/>
  <c r="AR14" i="63"/>
  <c r="AU14" i="63" s="1"/>
  <c r="AR28" i="63"/>
  <c r="AU28" i="63" s="1"/>
  <c r="AR40" i="63"/>
  <c r="AR37" i="63"/>
  <c r="AR12" i="63"/>
  <c r="AU12" i="63" s="1"/>
  <c r="AR27" i="63"/>
  <c r="AU27" i="63" s="1"/>
  <c r="AR24" i="63"/>
  <c r="AU24" i="63" s="1"/>
  <c r="AR18" i="63"/>
  <c r="AR38" i="63"/>
  <c r="AR15" i="63"/>
  <c r="AU15" i="63" s="1"/>
  <c r="AR31" i="63"/>
  <c r="AR22" i="63"/>
  <c r="AU22" i="63" s="1"/>
  <c r="AR33" i="63"/>
  <c r="AR32" i="63"/>
  <c r="AR30" i="63"/>
  <c r="AR35" i="63"/>
  <c r="AR19" i="63"/>
  <c r="AR16" i="63"/>
  <c r="AU16" i="63" s="1"/>
  <c r="AR26" i="63"/>
  <c r="AU26" i="63" s="1"/>
  <c r="J78" i="61"/>
  <c r="H48" i="61"/>
  <c r="I48" i="61" s="1"/>
  <c r="H47" i="61"/>
  <c r="I47" i="61" s="1"/>
  <c r="H46" i="61"/>
  <c r="I46" i="61" s="1"/>
  <c r="H45" i="61"/>
  <c r="H44" i="61"/>
  <c r="I44" i="61" s="1"/>
  <c r="H43" i="61"/>
  <c r="I43" i="61" s="1"/>
  <c r="H42" i="61"/>
  <c r="I42" i="61" s="1"/>
  <c r="H41" i="61"/>
  <c r="I41" i="61" s="1"/>
  <c r="H40" i="61"/>
  <c r="H39" i="61"/>
  <c r="H38" i="61"/>
  <c r="H37" i="61"/>
  <c r="H36" i="61"/>
  <c r="H35" i="61"/>
  <c r="H34" i="61"/>
  <c r="G59" i="61"/>
  <c r="AV19" i="42" l="1"/>
  <c r="A25" i="38"/>
  <c r="F19" i="63"/>
  <c r="AU13" i="63"/>
  <c r="AW34" i="63" s="1" a="1"/>
  <c r="AW34" i="63" s="1"/>
  <c r="J49" i="61"/>
  <c r="F49" i="61"/>
  <c r="J48" i="61"/>
  <c r="F48" i="61"/>
  <c r="F47" i="61"/>
  <c r="G47" i="61" s="1"/>
  <c r="J47" i="61" s="1"/>
  <c r="F46" i="61"/>
  <c r="G46" i="61" s="1"/>
  <c r="J46" i="61" s="1"/>
  <c r="F45" i="61"/>
  <c r="J44" i="61"/>
  <c r="F44" i="61"/>
  <c r="J43" i="61"/>
  <c r="F43" i="61"/>
  <c r="J42" i="61"/>
  <c r="F42" i="61"/>
  <c r="J41" i="61"/>
  <c r="F41" i="61"/>
  <c r="I33" i="61"/>
  <c r="I32" i="61"/>
  <c r="AV20" i="42" l="1"/>
  <c r="A26" i="38"/>
  <c r="F20" i="63"/>
  <c r="AX33" i="63" s="1"/>
  <c r="AW26" i="63" a="1"/>
  <c r="AW26" i="63" s="1"/>
  <c r="AW24" i="63" a="1"/>
  <c r="AW24" i="63" s="1"/>
  <c r="AW37" i="63" a="1"/>
  <c r="AW37" i="63" s="1"/>
  <c r="AW29" i="63" a="1"/>
  <c r="AW29" i="63" s="1"/>
  <c r="AW23" i="63" a="1"/>
  <c r="AW23" i="63" s="1"/>
  <c r="AW15" i="63" a="1"/>
  <c r="AW15" i="63" s="1"/>
  <c r="I50" i="63" s="1"/>
  <c r="J86" i="61" s="1"/>
  <c r="AW20" i="63" a="1"/>
  <c r="AW20" i="63" s="1"/>
  <c r="AW13" i="63" a="1"/>
  <c r="AW13" i="63" s="1"/>
  <c r="I48" i="63" s="1"/>
  <c r="J84" i="61" s="1"/>
  <c r="AW38" i="63" a="1"/>
  <c r="AW38" i="63" s="1"/>
  <c r="AW35" i="63" a="1"/>
  <c r="AW35" i="63" s="1"/>
  <c r="AW11" i="63" a="1"/>
  <c r="AW11" i="63" s="1"/>
  <c r="I46" i="63" s="1"/>
  <c r="J82" i="61" s="1"/>
  <c r="AW21" i="63" a="1"/>
  <c r="AW21" i="63" s="1"/>
  <c r="AW18" i="63" a="1"/>
  <c r="AW18" i="63" s="1"/>
  <c r="AW12" i="63" a="1"/>
  <c r="AW12" i="63" s="1"/>
  <c r="I47" i="63" s="1"/>
  <c r="J83" i="61" s="1"/>
  <c r="AW22" i="63" a="1"/>
  <c r="AW22" i="63" s="1"/>
  <c r="AW36" i="63" a="1"/>
  <c r="AW36" i="63" s="1"/>
  <c r="AW17" i="63" a="1"/>
  <c r="AW17" i="63" s="1"/>
  <c r="AW31" i="63" a="1"/>
  <c r="AW31" i="63" s="1"/>
  <c r="AW14" i="63" a="1"/>
  <c r="AW14" i="63" s="1"/>
  <c r="I49" i="63" s="1"/>
  <c r="J85" i="61" s="1"/>
  <c r="AW28" i="63" a="1"/>
  <c r="AW28" i="63" s="1"/>
  <c r="AW25" i="63" a="1"/>
  <c r="AW25" i="63" s="1"/>
  <c r="AW32" i="63" a="1"/>
  <c r="AW32" i="63" s="1"/>
  <c r="AW16" i="63" a="1"/>
  <c r="AW16" i="63" s="1"/>
  <c r="I51" i="63" s="1"/>
  <c r="AW39" i="63" a="1"/>
  <c r="AW39" i="63" s="1"/>
  <c r="AW30" i="63" a="1"/>
  <c r="AW30" i="63" s="1"/>
  <c r="AW33" i="63" a="1"/>
  <c r="AW33" i="63" s="1"/>
  <c r="AW19" i="63" a="1"/>
  <c r="AW19" i="63" s="1"/>
  <c r="AW27" i="63" a="1"/>
  <c r="AW27" i="63" s="1"/>
  <c r="AX34" i="63" l="1"/>
  <c r="AX28" i="63"/>
  <c r="AX35" i="63"/>
  <c r="AX27" i="63"/>
  <c r="AX37" i="63"/>
  <c r="AX36" i="63"/>
  <c r="AX29" i="63"/>
  <c r="AX39" i="63"/>
  <c r="AV21" i="42"/>
  <c r="A27" i="38"/>
  <c r="F21" i="63"/>
  <c r="AX31" i="63"/>
  <c r="AX30" i="63"/>
  <c r="AX38" i="63"/>
  <c r="AX26" i="63"/>
  <c r="AX40" i="63"/>
  <c r="AX32" i="63"/>
  <c r="C313" i="3"/>
  <c r="AV22" i="42" l="1"/>
  <c r="A28" i="38"/>
  <c r="F22" i="63"/>
  <c r="BO6" i="42"/>
  <c r="BO7" i="42"/>
  <c r="BO8" i="42"/>
  <c r="BO9" i="42"/>
  <c r="BO10" i="42"/>
  <c r="BO11" i="42"/>
  <c r="BO12" i="42"/>
  <c r="BO13" i="42"/>
  <c r="BO14" i="42"/>
  <c r="BO15" i="42"/>
  <c r="BO16" i="42"/>
  <c r="BO17" i="42"/>
  <c r="BO18" i="42"/>
  <c r="BO19" i="42"/>
  <c r="BO20" i="42"/>
  <c r="BO21" i="42"/>
  <c r="BO22" i="42"/>
  <c r="BO23" i="42"/>
  <c r="BO24" i="42"/>
  <c r="BO25" i="42"/>
  <c r="BO26" i="42"/>
  <c r="BO27" i="42"/>
  <c r="BO28" i="42"/>
  <c r="BO29" i="42"/>
  <c r="BO30" i="42"/>
  <c r="BO31" i="42"/>
  <c r="BO32" i="42"/>
  <c r="BO33" i="42"/>
  <c r="BO5" i="42"/>
  <c r="BN6" i="42"/>
  <c r="BN7" i="42"/>
  <c r="BN8" i="42"/>
  <c r="BN9" i="42"/>
  <c r="BN10" i="42"/>
  <c r="BN5" i="42"/>
  <c r="AV23" i="42" l="1"/>
  <c r="A29" i="38"/>
  <c r="F23" i="63"/>
  <c r="C33" i="53"/>
  <c r="AV24" i="42" l="1"/>
  <c r="A30" i="38"/>
  <c r="F24" i="63"/>
  <c r="CW23" i="42"/>
  <c r="CV12" i="42"/>
  <c r="N62" i="42"/>
  <c r="CV8" i="42"/>
  <c r="AV25" i="42" l="1"/>
  <c r="A31" i="38"/>
  <c r="F25" i="63"/>
  <c r="BY7" i="42"/>
  <c r="BZ10" i="42"/>
  <c r="AV26" i="42" l="1"/>
  <c r="A32" i="38"/>
  <c r="F26" i="63"/>
  <c r="L31" i="53"/>
  <c r="L29" i="53"/>
  <c r="L27" i="53"/>
  <c r="L25" i="53"/>
  <c r="L23" i="53"/>
  <c r="L21" i="53"/>
  <c r="L19" i="53"/>
  <c r="L17" i="53"/>
  <c r="L15" i="53"/>
  <c r="L13" i="53"/>
  <c r="K33" i="53"/>
  <c r="H33" i="53"/>
  <c r="I31" i="53"/>
  <c r="J31" i="53" s="1"/>
  <c r="I29" i="53"/>
  <c r="J29" i="53" s="1"/>
  <c r="I27" i="53"/>
  <c r="J27" i="53" s="1"/>
  <c r="I25" i="53"/>
  <c r="J25" i="53" s="1"/>
  <c r="I23" i="53"/>
  <c r="J23" i="53" s="1"/>
  <c r="I21" i="53"/>
  <c r="J21" i="53" s="1"/>
  <c r="I19" i="53"/>
  <c r="J19" i="53" s="1"/>
  <c r="I17" i="53"/>
  <c r="J17" i="53" s="1"/>
  <c r="I15" i="53"/>
  <c r="J15" i="53" s="1"/>
  <c r="I13" i="53"/>
  <c r="J13" i="53" s="1"/>
  <c r="AV27" i="42" l="1"/>
  <c r="A33" i="38"/>
  <c r="F27" i="63"/>
  <c r="M13" i="53"/>
  <c r="M31" i="53"/>
  <c r="M27" i="53"/>
  <c r="M19" i="53"/>
  <c r="M23" i="53"/>
  <c r="M15" i="53"/>
  <c r="L33" i="53"/>
  <c r="M25" i="53"/>
  <c r="M17" i="53"/>
  <c r="M21" i="53"/>
  <c r="M29" i="53"/>
  <c r="I33" i="53"/>
  <c r="AV28" i="42" l="1"/>
  <c r="A34" i="38"/>
  <c r="F28" i="63"/>
  <c r="L51" i="42"/>
  <c r="AV29" i="42" l="1"/>
  <c r="A35" i="38"/>
  <c r="F29" i="6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C502" i="3"/>
  <c r="C503" i="3"/>
  <c r="C504" i="3"/>
  <c r="C505" i="3"/>
  <c r="C506" i="3"/>
  <c r="C507" i="3"/>
  <c r="C508" i="3"/>
  <c r="C509" i="3"/>
  <c r="C510" i="3"/>
  <c r="C511" i="3"/>
  <c r="C512" i="3"/>
  <c r="C513" i="3"/>
  <c r="C514" i="3"/>
  <c r="C515" i="3"/>
  <c r="C516" i="3"/>
  <c r="C517" i="3"/>
  <c r="C518" i="3"/>
  <c r="C519" i="3"/>
  <c r="C520" i="3"/>
  <c r="C521" i="3"/>
  <c r="C522" i="3"/>
  <c r="C523" i="3"/>
  <c r="C524" i="3"/>
  <c r="C525" i="3"/>
  <c r="C526" i="3"/>
  <c r="C527" i="3"/>
  <c r="C528" i="3"/>
  <c r="C529" i="3"/>
  <c r="C530" i="3"/>
  <c r="C531" i="3"/>
  <c r="C532" i="3"/>
  <c r="C533" i="3"/>
  <c r="C534" i="3"/>
  <c r="C535" i="3"/>
  <c r="C536" i="3"/>
  <c r="C537" i="3"/>
  <c r="C538" i="3"/>
  <c r="C539" i="3"/>
  <c r="C540" i="3"/>
  <c r="C541" i="3"/>
  <c r="C542" i="3"/>
  <c r="C543" i="3"/>
  <c r="C544" i="3"/>
  <c r="C545" i="3"/>
  <c r="C546" i="3"/>
  <c r="C547" i="3"/>
  <c r="C548" i="3"/>
  <c r="C549" i="3"/>
  <c r="C550" i="3"/>
  <c r="C551" i="3"/>
  <c r="C552" i="3"/>
  <c r="C553" i="3"/>
  <c r="C554" i="3"/>
  <c r="C555" i="3"/>
  <c r="C556" i="3"/>
  <c r="C557" i="3"/>
  <c r="C558" i="3"/>
  <c r="C559" i="3"/>
  <c r="C560" i="3"/>
  <c r="C561" i="3"/>
  <c r="C562" i="3"/>
  <c r="C563" i="3"/>
  <c r="C564" i="3"/>
  <c r="C565" i="3"/>
  <c r="C566" i="3"/>
  <c r="C567" i="3"/>
  <c r="C568" i="3"/>
  <c r="C569" i="3"/>
  <c r="C570" i="3"/>
  <c r="C571" i="3"/>
  <c r="C572" i="3"/>
  <c r="C573" i="3"/>
  <c r="C574" i="3"/>
  <c r="C575" i="3"/>
  <c r="C576" i="3"/>
  <c r="C577" i="3"/>
  <c r="C578" i="3"/>
  <c r="C579" i="3"/>
  <c r="C580" i="3"/>
  <c r="C581" i="3"/>
  <c r="C582" i="3"/>
  <c r="C583" i="3"/>
  <c r="C584" i="3"/>
  <c r="C585" i="3"/>
  <c r="C586" i="3"/>
  <c r="C587" i="3"/>
  <c r="C588" i="3"/>
  <c r="C589" i="3"/>
  <c r="C590" i="3"/>
  <c r="C591" i="3"/>
  <c r="C592" i="3"/>
  <c r="C593" i="3"/>
  <c r="C594" i="3"/>
  <c r="C595" i="3"/>
  <c r="C596" i="3"/>
  <c r="C597" i="3"/>
  <c r="C598" i="3"/>
  <c r="C599" i="3"/>
  <c r="C600" i="3"/>
  <c r="C601" i="3"/>
  <c r="C602" i="3"/>
  <c r="C603" i="3"/>
  <c r="C604" i="3"/>
  <c r="C605" i="3"/>
  <c r="C606" i="3"/>
  <c r="C607" i="3"/>
  <c r="C608" i="3"/>
  <c r="C609" i="3"/>
  <c r="C610" i="3"/>
  <c r="C611" i="3"/>
  <c r="C612" i="3"/>
  <c r="C613" i="3"/>
  <c r="C614" i="3"/>
  <c r="C615" i="3"/>
  <c r="C616" i="3"/>
  <c r="C617" i="3"/>
  <c r="C618" i="3"/>
  <c r="C619" i="3"/>
  <c r="C620" i="3"/>
  <c r="C621" i="3"/>
  <c r="C622" i="3"/>
  <c r="C623" i="3"/>
  <c r="C624" i="3"/>
  <c r="C625" i="3"/>
  <c r="C626" i="3"/>
  <c r="C627" i="3"/>
  <c r="C628" i="3"/>
  <c r="C629" i="3"/>
  <c r="C630" i="3"/>
  <c r="C631" i="3"/>
  <c r="C632" i="3"/>
  <c r="C633" i="3"/>
  <c r="C634" i="3"/>
  <c r="C635" i="3"/>
  <c r="C636" i="3"/>
  <c r="C637" i="3"/>
  <c r="C638" i="3"/>
  <c r="C639" i="3"/>
  <c r="C640" i="3"/>
  <c r="C641" i="3"/>
  <c r="C642" i="3"/>
  <c r="C643" i="3"/>
  <c r="C644" i="3"/>
  <c r="C645" i="3"/>
  <c r="C646" i="3"/>
  <c r="C647" i="3"/>
  <c r="C648" i="3"/>
  <c r="C649" i="3"/>
  <c r="C650" i="3"/>
  <c r="C651" i="3"/>
  <c r="C652" i="3"/>
  <c r="C653" i="3"/>
  <c r="C654" i="3"/>
  <c r="C655" i="3"/>
  <c r="C656" i="3"/>
  <c r="C657" i="3"/>
  <c r="C658" i="3"/>
  <c r="C659" i="3"/>
  <c r="C660" i="3"/>
  <c r="C661" i="3"/>
  <c r="C662" i="3"/>
  <c r="C663" i="3"/>
  <c r="C664" i="3"/>
  <c r="C665" i="3"/>
  <c r="C666" i="3"/>
  <c r="C667" i="3"/>
  <c r="C668" i="3"/>
  <c r="C669" i="3"/>
  <c r="C670" i="3"/>
  <c r="C671" i="3"/>
  <c r="C672" i="3"/>
  <c r="C673" i="3"/>
  <c r="C674" i="3"/>
  <c r="C675" i="3"/>
  <c r="C676" i="3"/>
  <c r="C677" i="3"/>
  <c r="C678" i="3"/>
  <c r="C679" i="3"/>
  <c r="C680" i="3"/>
  <c r="C681" i="3"/>
  <c r="C682" i="3"/>
  <c r="C683" i="3"/>
  <c r="C684" i="3"/>
  <c r="C685" i="3"/>
  <c r="C686" i="3"/>
  <c r="C687" i="3"/>
  <c r="C688" i="3"/>
  <c r="C689" i="3"/>
  <c r="C690" i="3"/>
  <c r="C691" i="3"/>
  <c r="C692" i="3"/>
  <c r="C693" i="3"/>
  <c r="C694" i="3"/>
  <c r="C695" i="3"/>
  <c r="C696" i="3"/>
  <c r="C697" i="3"/>
  <c r="C698" i="3"/>
  <c r="C699" i="3"/>
  <c r="C700" i="3"/>
  <c r="C701" i="3"/>
  <c r="C702" i="3"/>
  <c r="C703" i="3"/>
  <c r="C704" i="3"/>
  <c r="C705" i="3"/>
  <c r="C706" i="3"/>
  <c r="C707" i="3"/>
  <c r="C708" i="3"/>
  <c r="C709" i="3"/>
  <c r="C710" i="3"/>
  <c r="C711" i="3"/>
  <c r="C712" i="3"/>
  <c r="C713" i="3"/>
  <c r="C714" i="3"/>
  <c r="C715" i="3"/>
  <c r="C716" i="3"/>
  <c r="C717" i="3"/>
  <c r="C718" i="3"/>
  <c r="C719" i="3"/>
  <c r="C720" i="3"/>
  <c r="C721" i="3"/>
  <c r="C722" i="3"/>
  <c r="C723" i="3"/>
  <c r="C724" i="3"/>
  <c r="C725" i="3"/>
  <c r="C726" i="3"/>
  <c r="C727" i="3"/>
  <c r="C728" i="3"/>
  <c r="C729" i="3"/>
  <c r="C730" i="3"/>
  <c r="C731" i="3"/>
  <c r="C732" i="3"/>
  <c r="C733" i="3"/>
  <c r="C734" i="3"/>
  <c r="C735" i="3"/>
  <c r="C736" i="3"/>
  <c r="C737" i="3"/>
  <c r="C738" i="3"/>
  <c r="C739" i="3"/>
  <c r="C740" i="3"/>
  <c r="C741" i="3"/>
  <c r="C742" i="3"/>
  <c r="C743" i="3"/>
  <c r="C744" i="3"/>
  <c r="C745" i="3"/>
  <c r="C746" i="3"/>
  <c r="C747" i="3"/>
  <c r="C748" i="3"/>
  <c r="C749" i="3"/>
  <c r="C750" i="3"/>
  <c r="C751" i="3"/>
  <c r="C752" i="3"/>
  <c r="C753" i="3"/>
  <c r="C754" i="3"/>
  <c r="C755" i="3"/>
  <c r="C756" i="3"/>
  <c r="C757" i="3"/>
  <c r="C758" i="3"/>
  <c r="C759" i="3"/>
  <c r="C760" i="3"/>
  <c r="C761" i="3"/>
  <c r="C762" i="3"/>
  <c r="C763" i="3"/>
  <c r="C764" i="3"/>
  <c r="C765" i="3"/>
  <c r="C766" i="3"/>
  <c r="C767" i="3"/>
  <c r="C768" i="3"/>
  <c r="C769" i="3"/>
  <c r="C770" i="3"/>
  <c r="C771" i="3"/>
  <c r="C772" i="3"/>
  <c r="C773" i="3"/>
  <c r="C774" i="3"/>
  <c r="C775" i="3"/>
  <c r="C776" i="3"/>
  <c r="C777" i="3"/>
  <c r="C778" i="3"/>
  <c r="C779" i="3"/>
  <c r="C780" i="3"/>
  <c r="C781" i="3"/>
  <c r="C782" i="3"/>
  <c r="C783" i="3"/>
  <c r="C784" i="3"/>
  <c r="C785" i="3"/>
  <c r="C786" i="3"/>
  <c r="C787" i="3"/>
  <c r="C788" i="3"/>
  <c r="C789" i="3"/>
  <c r="C790" i="3"/>
  <c r="C791" i="3"/>
  <c r="C792" i="3"/>
  <c r="C793" i="3"/>
  <c r="C794" i="3"/>
  <c r="C795" i="3"/>
  <c r="C796" i="3"/>
  <c r="C797" i="3"/>
  <c r="C798" i="3"/>
  <c r="C799" i="3"/>
  <c r="C800" i="3"/>
  <c r="C801" i="3"/>
  <c r="C802" i="3"/>
  <c r="C803" i="3"/>
  <c r="C804" i="3"/>
  <c r="C805" i="3"/>
  <c r="C806" i="3"/>
  <c r="C807" i="3"/>
  <c r="C808" i="3"/>
  <c r="C809" i="3"/>
  <c r="C810" i="3"/>
  <c r="C811" i="3"/>
  <c r="C812" i="3"/>
  <c r="C813" i="3"/>
  <c r="C814" i="3"/>
  <c r="C815" i="3"/>
  <c r="C816" i="3"/>
  <c r="C817" i="3"/>
  <c r="C818" i="3"/>
  <c r="C819" i="3"/>
  <c r="C820" i="3"/>
  <c r="C821" i="3"/>
  <c r="C822" i="3"/>
  <c r="C823" i="3"/>
  <c r="C824" i="3"/>
  <c r="C825" i="3"/>
  <c r="C826" i="3"/>
  <c r="C827" i="3"/>
  <c r="C828" i="3"/>
  <c r="C829" i="3"/>
  <c r="C830" i="3"/>
  <c r="C831" i="3"/>
  <c r="C832" i="3"/>
  <c r="C833" i="3"/>
  <c r="C834" i="3"/>
  <c r="C835" i="3"/>
  <c r="C836" i="3"/>
  <c r="C837" i="3"/>
  <c r="C838" i="3"/>
  <c r="C839" i="3"/>
  <c r="C840" i="3"/>
  <c r="C841" i="3"/>
  <c r="C842" i="3"/>
  <c r="C843" i="3"/>
  <c r="C844" i="3"/>
  <c r="C845" i="3"/>
  <c r="C846" i="3"/>
  <c r="C847" i="3"/>
  <c r="C848" i="3"/>
  <c r="C849" i="3"/>
  <c r="C850" i="3"/>
  <c r="C851" i="3"/>
  <c r="C852" i="3"/>
  <c r="C853" i="3"/>
  <c r="C854" i="3"/>
  <c r="C855" i="3"/>
  <c r="C856" i="3"/>
  <c r="C857" i="3"/>
  <c r="C858" i="3"/>
  <c r="C859" i="3"/>
  <c r="C860" i="3"/>
  <c r="C861" i="3"/>
  <c r="C862" i="3"/>
  <c r="C863" i="3"/>
  <c r="C864" i="3"/>
  <c r="C865" i="3"/>
  <c r="C866" i="3"/>
  <c r="C867" i="3"/>
  <c r="C868" i="3"/>
  <c r="C869" i="3"/>
  <c r="C870" i="3"/>
  <c r="C871" i="3"/>
  <c r="C872" i="3"/>
  <c r="C873" i="3"/>
  <c r="C874" i="3"/>
  <c r="C875" i="3"/>
  <c r="C876" i="3"/>
  <c r="C877" i="3"/>
  <c r="C878" i="3"/>
  <c r="C879" i="3"/>
  <c r="C880" i="3"/>
  <c r="C881" i="3"/>
  <c r="C882" i="3"/>
  <c r="C883" i="3"/>
  <c r="C884" i="3"/>
  <c r="C885" i="3"/>
  <c r="C886" i="3"/>
  <c r="C887" i="3"/>
  <c r="C888" i="3"/>
  <c r="C889" i="3"/>
  <c r="C890" i="3"/>
  <c r="C891" i="3"/>
  <c r="C892" i="3"/>
  <c r="C893" i="3"/>
  <c r="C894" i="3"/>
  <c r="C895" i="3"/>
  <c r="C896" i="3"/>
  <c r="C897" i="3"/>
  <c r="C898" i="3"/>
  <c r="C899" i="3"/>
  <c r="C900" i="3"/>
  <c r="C901" i="3"/>
  <c r="C902" i="3"/>
  <c r="C903" i="3"/>
  <c r="C904" i="3"/>
  <c r="C905" i="3"/>
  <c r="C906" i="3"/>
  <c r="C907" i="3"/>
  <c r="C908" i="3"/>
  <c r="C909" i="3"/>
  <c r="C910" i="3"/>
  <c r="C911" i="3"/>
  <c r="C912" i="3"/>
  <c r="C913" i="3"/>
  <c r="C914" i="3"/>
  <c r="C915" i="3"/>
  <c r="C916" i="3"/>
  <c r="C917" i="3"/>
  <c r="C918" i="3"/>
  <c r="C919" i="3"/>
  <c r="C920" i="3"/>
  <c r="C921" i="3"/>
  <c r="C922" i="3"/>
  <c r="C923" i="3"/>
  <c r="C924" i="3"/>
  <c r="C925" i="3"/>
  <c r="C926" i="3"/>
  <c r="C927" i="3"/>
  <c r="C928" i="3"/>
  <c r="C929" i="3"/>
  <c r="C930" i="3"/>
  <c r="C931" i="3"/>
  <c r="C932" i="3"/>
  <c r="C933" i="3"/>
  <c r="C934" i="3"/>
  <c r="C935" i="3"/>
  <c r="C936" i="3"/>
  <c r="C937" i="3"/>
  <c r="C938" i="3"/>
  <c r="C939" i="3"/>
  <c r="C940" i="3"/>
  <c r="C941" i="3"/>
  <c r="C942" i="3"/>
  <c r="C943" i="3"/>
  <c r="C944" i="3"/>
  <c r="C945" i="3"/>
  <c r="C946" i="3"/>
  <c r="C947" i="3"/>
  <c r="C948" i="3"/>
  <c r="C949" i="3"/>
  <c r="C950" i="3"/>
  <c r="C951" i="3"/>
  <c r="C952" i="3"/>
  <c r="C953" i="3"/>
  <c r="C954" i="3"/>
  <c r="C955" i="3"/>
  <c r="C956" i="3"/>
  <c r="C957" i="3"/>
  <c r="C958" i="3"/>
  <c r="C959" i="3"/>
  <c r="C960" i="3"/>
  <c r="C961" i="3"/>
  <c r="C962" i="3"/>
  <c r="C963" i="3"/>
  <c r="C964" i="3"/>
  <c r="C965" i="3"/>
  <c r="C966" i="3"/>
  <c r="C967" i="3"/>
  <c r="C968" i="3"/>
  <c r="C969" i="3"/>
  <c r="C970" i="3"/>
  <c r="C971" i="3"/>
  <c r="C972" i="3"/>
  <c r="C973" i="3"/>
  <c r="C974" i="3"/>
  <c r="C975" i="3"/>
  <c r="C976" i="3"/>
  <c r="C977" i="3"/>
  <c r="C978" i="3"/>
  <c r="C979" i="3"/>
  <c r="C980" i="3"/>
  <c r="C981" i="3"/>
  <c r="C982" i="3"/>
  <c r="C983" i="3"/>
  <c r="C984" i="3"/>
  <c r="C985" i="3"/>
  <c r="C986" i="3"/>
  <c r="C987" i="3"/>
  <c r="C988" i="3"/>
  <c r="C989" i="3"/>
  <c r="C990" i="3"/>
  <c r="C991" i="3"/>
  <c r="C992" i="3"/>
  <c r="C993" i="3"/>
  <c r="C994" i="3"/>
  <c r="C995" i="3"/>
  <c r="C996" i="3"/>
  <c r="C997" i="3"/>
  <c r="C998" i="3"/>
  <c r="C999" i="3"/>
  <c r="C1000" i="3"/>
  <c r="C1001" i="3"/>
  <c r="C1002" i="3"/>
  <c r="C1003" i="3"/>
  <c r="C1004" i="3"/>
  <c r="C1005" i="3"/>
  <c r="C1006" i="3"/>
  <c r="C1007" i="3"/>
  <c r="C1008" i="3"/>
  <c r="C1009" i="3"/>
  <c r="C1010" i="3"/>
  <c r="C1011" i="3"/>
  <c r="C1012" i="3"/>
  <c r="C1013" i="3"/>
  <c r="C1014" i="3"/>
  <c r="C1015" i="3"/>
  <c r="C1016" i="3"/>
  <c r="C1017" i="3"/>
  <c r="C1018" i="3"/>
  <c r="C1019" i="3"/>
  <c r="C1020" i="3"/>
  <c r="C1021" i="3"/>
  <c r="C1022" i="3"/>
  <c r="C1023" i="3"/>
  <c r="C1024" i="3"/>
  <c r="C1025" i="3"/>
  <c r="C1026" i="3"/>
  <c r="C1027" i="3"/>
  <c r="C1028" i="3"/>
  <c r="C1029" i="3"/>
  <c r="C1030" i="3"/>
  <c r="C1031" i="3"/>
  <c r="C1032" i="3"/>
  <c r="C1033" i="3"/>
  <c r="C1034" i="3"/>
  <c r="C1035" i="3"/>
  <c r="C1036" i="3"/>
  <c r="C1037" i="3"/>
  <c r="C1038" i="3"/>
  <c r="C1039" i="3"/>
  <c r="C1040" i="3"/>
  <c r="C1041" i="3"/>
  <c r="C1042" i="3"/>
  <c r="C1043" i="3"/>
  <c r="C1044" i="3"/>
  <c r="C1045" i="3"/>
  <c r="C1046" i="3"/>
  <c r="C1047" i="3"/>
  <c r="C1048" i="3"/>
  <c r="C1049" i="3"/>
  <c r="C1050" i="3"/>
  <c r="C1051" i="3"/>
  <c r="C1052" i="3"/>
  <c r="C1053" i="3"/>
  <c r="C1054" i="3"/>
  <c r="C1055" i="3"/>
  <c r="C1056" i="3"/>
  <c r="C1057" i="3"/>
  <c r="C1058" i="3"/>
  <c r="C1059" i="3"/>
  <c r="C1060" i="3"/>
  <c r="C1061" i="3"/>
  <c r="C1062" i="3"/>
  <c r="C1063" i="3"/>
  <c r="C1064" i="3"/>
  <c r="C1065" i="3"/>
  <c r="C1066" i="3"/>
  <c r="C1067" i="3"/>
  <c r="C1068" i="3"/>
  <c r="C1069" i="3"/>
  <c r="C1070" i="3"/>
  <c r="C1071" i="3"/>
  <c r="C1072" i="3"/>
  <c r="C1073" i="3"/>
  <c r="C1074" i="3"/>
  <c r="C1075" i="3"/>
  <c r="C1076" i="3"/>
  <c r="C1077" i="3"/>
  <c r="C1078" i="3"/>
  <c r="C1079" i="3"/>
  <c r="C1080" i="3"/>
  <c r="C1081" i="3"/>
  <c r="C1082" i="3"/>
  <c r="C1083" i="3"/>
  <c r="C1084" i="3"/>
  <c r="C1085" i="3"/>
  <c r="C1086" i="3"/>
  <c r="C1087" i="3"/>
  <c r="C1088" i="3"/>
  <c r="C1089" i="3"/>
  <c r="C1090" i="3"/>
  <c r="C1091" i="3"/>
  <c r="C1092" i="3"/>
  <c r="C1093" i="3"/>
  <c r="C1094" i="3"/>
  <c r="C1095" i="3"/>
  <c r="C1096" i="3"/>
  <c r="C1097" i="3"/>
  <c r="C1098" i="3"/>
  <c r="C1099" i="3"/>
  <c r="C1100" i="3"/>
  <c r="C1101" i="3"/>
  <c r="C1102" i="3"/>
  <c r="C1103" i="3"/>
  <c r="C1104" i="3"/>
  <c r="C1105" i="3"/>
  <c r="C1106" i="3"/>
  <c r="C1107" i="3"/>
  <c r="C1108" i="3"/>
  <c r="C1109" i="3"/>
  <c r="C1110" i="3"/>
  <c r="C1111" i="3"/>
  <c r="C1112" i="3"/>
  <c r="C1113" i="3"/>
  <c r="C1114" i="3"/>
  <c r="C1115" i="3"/>
  <c r="C1116" i="3"/>
  <c r="C1117" i="3"/>
  <c r="C1118" i="3"/>
  <c r="C1119" i="3"/>
  <c r="C1120" i="3"/>
  <c r="C1121" i="3"/>
  <c r="C1122" i="3"/>
  <c r="C1123" i="3"/>
  <c r="C1124" i="3"/>
  <c r="C1125" i="3"/>
  <c r="C1126" i="3"/>
  <c r="C1127" i="3"/>
  <c r="C1128" i="3"/>
  <c r="C1129" i="3"/>
  <c r="C1130" i="3"/>
  <c r="C1131" i="3"/>
  <c r="C1132" i="3"/>
  <c r="C1133" i="3"/>
  <c r="C1134" i="3"/>
  <c r="C1135" i="3"/>
  <c r="C1136" i="3"/>
  <c r="C1137" i="3"/>
  <c r="C1138" i="3"/>
  <c r="C1139" i="3"/>
  <c r="C1140" i="3"/>
  <c r="C1141" i="3"/>
  <c r="C1142" i="3"/>
  <c r="C1143" i="3"/>
  <c r="C1144" i="3"/>
  <c r="C1145" i="3"/>
  <c r="C1146" i="3"/>
  <c r="C1147" i="3"/>
  <c r="C1148" i="3"/>
  <c r="C1149" i="3"/>
  <c r="C1150" i="3"/>
  <c r="C1151" i="3"/>
  <c r="C1152" i="3"/>
  <c r="C1153" i="3"/>
  <c r="C1154" i="3"/>
  <c r="C1155" i="3"/>
  <c r="C1156" i="3"/>
  <c r="C1157" i="3"/>
  <c r="C1158" i="3"/>
  <c r="C1159" i="3"/>
  <c r="C1160" i="3"/>
  <c r="C1161" i="3"/>
  <c r="C1162" i="3"/>
  <c r="C1163" i="3"/>
  <c r="C1164" i="3"/>
  <c r="C1165" i="3"/>
  <c r="C1166" i="3"/>
  <c r="C1167" i="3"/>
  <c r="C1168" i="3"/>
  <c r="C1169" i="3"/>
  <c r="C1170" i="3"/>
  <c r="C1171" i="3"/>
  <c r="C1172" i="3"/>
  <c r="C1173" i="3"/>
  <c r="C1174" i="3"/>
  <c r="C1175" i="3"/>
  <c r="C1176" i="3"/>
  <c r="C1177" i="3"/>
  <c r="C1178" i="3"/>
  <c r="C1179" i="3"/>
  <c r="C1180" i="3"/>
  <c r="C1181" i="3"/>
  <c r="C1182" i="3"/>
  <c r="C1183" i="3"/>
  <c r="C1184" i="3"/>
  <c r="C1185" i="3"/>
  <c r="C1186" i="3"/>
  <c r="C1187" i="3"/>
  <c r="C1188" i="3"/>
  <c r="C1189" i="3"/>
  <c r="C1190" i="3"/>
  <c r="C1191" i="3"/>
  <c r="C1192" i="3"/>
  <c r="C1193" i="3"/>
  <c r="C1194" i="3"/>
  <c r="C1195" i="3"/>
  <c r="C1196" i="3"/>
  <c r="C1197" i="3"/>
  <c r="C1198" i="3"/>
  <c r="C1199" i="3"/>
  <c r="C1200" i="3"/>
  <c r="C1201" i="3"/>
  <c r="C1202" i="3"/>
  <c r="C1203" i="3"/>
  <c r="C1204" i="3"/>
  <c r="C1205" i="3"/>
  <c r="C1206" i="3"/>
  <c r="C1207" i="3"/>
  <c r="C1208" i="3"/>
  <c r="C1209" i="3"/>
  <c r="C1210" i="3"/>
  <c r="C1211" i="3"/>
  <c r="C1212" i="3"/>
  <c r="C1213" i="3"/>
  <c r="C1214" i="3"/>
  <c r="C1215" i="3"/>
  <c r="C1216" i="3"/>
  <c r="C1217" i="3"/>
  <c r="C1218" i="3"/>
  <c r="C1219" i="3"/>
  <c r="C1220" i="3"/>
  <c r="C1221" i="3"/>
  <c r="C1222" i="3"/>
  <c r="C1223" i="3"/>
  <c r="C1224" i="3"/>
  <c r="C1225" i="3"/>
  <c r="C1226" i="3"/>
  <c r="C1227" i="3"/>
  <c r="C1228" i="3"/>
  <c r="C1229" i="3"/>
  <c r="C1230" i="3"/>
  <c r="C1231" i="3"/>
  <c r="C1232" i="3"/>
  <c r="C1233" i="3"/>
  <c r="C1234" i="3"/>
  <c r="C1235" i="3"/>
  <c r="C1236" i="3"/>
  <c r="C1237" i="3"/>
  <c r="C1238" i="3"/>
  <c r="C1239" i="3"/>
  <c r="C1240" i="3"/>
  <c r="C1241" i="3"/>
  <c r="C1242" i="3"/>
  <c r="C1243" i="3"/>
  <c r="C1244" i="3"/>
  <c r="C1245" i="3"/>
  <c r="C1246" i="3"/>
  <c r="C1247" i="3"/>
  <c r="C1248" i="3"/>
  <c r="C1249" i="3"/>
  <c r="C1250" i="3"/>
  <c r="C1251" i="3"/>
  <c r="C1252" i="3"/>
  <c r="C1253" i="3"/>
  <c r="C1254" i="3"/>
  <c r="C1255" i="3"/>
  <c r="C1256" i="3"/>
  <c r="C1257" i="3"/>
  <c r="C1258" i="3"/>
  <c r="C1259" i="3"/>
  <c r="C1260" i="3"/>
  <c r="C1261" i="3"/>
  <c r="C1262" i="3"/>
  <c r="C1263" i="3"/>
  <c r="C1264" i="3"/>
  <c r="C1265" i="3"/>
  <c r="C1266" i="3"/>
  <c r="C1267" i="3"/>
  <c r="C1268" i="3"/>
  <c r="C1269" i="3"/>
  <c r="C1270" i="3"/>
  <c r="C1271" i="3"/>
  <c r="C1272" i="3"/>
  <c r="C1273" i="3"/>
  <c r="C1274" i="3"/>
  <c r="C1275" i="3"/>
  <c r="C1276" i="3"/>
  <c r="C1277" i="3"/>
  <c r="C1278" i="3"/>
  <c r="C1279" i="3"/>
  <c r="C1280" i="3"/>
  <c r="C1281" i="3"/>
  <c r="C1282" i="3"/>
  <c r="C1283" i="3"/>
  <c r="C1284" i="3"/>
  <c r="C1285" i="3"/>
  <c r="C1286" i="3"/>
  <c r="C1287" i="3"/>
  <c r="C1288" i="3"/>
  <c r="C1289" i="3"/>
  <c r="C1290" i="3"/>
  <c r="C1291" i="3"/>
  <c r="C1292" i="3"/>
  <c r="C1293" i="3"/>
  <c r="C1294" i="3"/>
  <c r="C1295" i="3"/>
  <c r="C1296" i="3"/>
  <c r="C1297" i="3"/>
  <c r="C1298" i="3"/>
  <c r="C1299" i="3"/>
  <c r="C1300" i="3"/>
  <c r="C1301" i="3"/>
  <c r="C1302" i="3"/>
  <c r="C1303" i="3"/>
  <c r="C1304" i="3"/>
  <c r="C1305" i="3"/>
  <c r="C1306" i="3"/>
  <c r="C1307" i="3"/>
  <c r="C1308" i="3"/>
  <c r="C1309" i="3"/>
  <c r="C1310" i="3"/>
  <c r="C1311" i="3"/>
  <c r="C1312" i="3"/>
  <c r="C1313" i="3"/>
  <c r="C1314" i="3"/>
  <c r="C1315" i="3"/>
  <c r="C1316" i="3"/>
  <c r="C1317" i="3"/>
  <c r="C1318" i="3"/>
  <c r="C1319" i="3"/>
  <c r="C1320" i="3"/>
  <c r="C1321" i="3"/>
  <c r="C1322" i="3"/>
  <c r="C1323" i="3"/>
  <c r="C1324" i="3"/>
  <c r="C1325" i="3"/>
  <c r="C1326" i="3"/>
  <c r="C1327" i="3"/>
  <c r="C1328" i="3"/>
  <c r="C1329" i="3"/>
  <c r="C1330" i="3"/>
  <c r="C1331" i="3"/>
  <c r="C1332" i="3"/>
  <c r="C1333" i="3"/>
  <c r="C1334" i="3"/>
  <c r="C1335" i="3"/>
  <c r="C1336" i="3"/>
  <c r="C1337" i="3"/>
  <c r="C1338" i="3"/>
  <c r="C1339" i="3"/>
  <c r="C1340" i="3"/>
  <c r="C1341" i="3"/>
  <c r="C1342" i="3"/>
  <c r="C1343" i="3"/>
  <c r="C1344" i="3"/>
  <c r="C1345" i="3"/>
  <c r="C1346" i="3"/>
  <c r="C1347" i="3"/>
  <c r="C1348" i="3"/>
  <c r="C1349" i="3"/>
  <c r="C1350" i="3"/>
  <c r="C1351" i="3"/>
  <c r="C1352" i="3"/>
  <c r="C1353" i="3"/>
  <c r="C1354" i="3"/>
  <c r="C1355" i="3"/>
  <c r="C1356" i="3"/>
  <c r="C1357" i="3"/>
  <c r="C1358" i="3"/>
  <c r="C1359" i="3"/>
  <c r="C1360" i="3"/>
  <c r="C1361" i="3"/>
  <c r="C1362" i="3"/>
  <c r="C1363" i="3"/>
  <c r="C1364" i="3"/>
  <c r="C1365" i="3"/>
  <c r="C1366" i="3"/>
  <c r="C1367" i="3"/>
  <c r="C1368" i="3"/>
  <c r="C1369" i="3"/>
  <c r="C1370" i="3"/>
  <c r="C1371" i="3"/>
  <c r="C1372" i="3"/>
  <c r="C1373" i="3"/>
  <c r="C1374" i="3"/>
  <c r="C1375" i="3"/>
  <c r="C1376" i="3"/>
  <c r="C1377" i="3"/>
  <c r="C1378" i="3"/>
  <c r="C1379" i="3"/>
  <c r="C1380" i="3"/>
  <c r="C1381" i="3"/>
  <c r="C1382" i="3"/>
  <c r="C1383" i="3"/>
  <c r="C1384" i="3"/>
  <c r="C1385" i="3"/>
  <c r="C1386" i="3"/>
  <c r="C1387" i="3"/>
  <c r="C1388" i="3"/>
  <c r="C1389" i="3"/>
  <c r="C1390" i="3"/>
  <c r="C1391" i="3"/>
  <c r="C1392" i="3"/>
  <c r="C1393" i="3"/>
  <c r="C1394" i="3"/>
  <c r="C1395" i="3"/>
  <c r="C1396" i="3"/>
  <c r="C1397" i="3"/>
  <c r="C1398" i="3"/>
  <c r="C1399" i="3"/>
  <c r="C1400" i="3"/>
  <c r="C1401" i="3"/>
  <c r="C1402" i="3"/>
  <c r="C1403" i="3"/>
  <c r="C1404" i="3"/>
  <c r="C1405" i="3"/>
  <c r="C1406" i="3"/>
  <c r="C1407" i="3"/>
  <c r="C1408" i="3"/>
  <c r="C1409" i="3"/>
  <c r="C1410" i="3"/>
  <c r="C1411" i="3"/>
  <c r="C1412" i="3"/>
  <c r="C1413" i="3"/>
  <c r="C1414" i="3"/>
  <c r="C1415" i="3"/>
  <c r="C1416" i="3"/>
  <c r="C1417" i="3"/>
  <c r="C1418" i="3"/>
  <c r="C1419" i="3"/>
  <c r="C1420" i="3"/>
  <c r="C1421" i="3"/>
  <c r="C1422" i="3"/>
  <c r="C1423" i="3"/>
  <c r="C1424" i="3"/>
  <c r="C1425" i="3"/>
  <c r="C1426" i="3"/>
  <c r="C1427" i="3"/>
  <c r="C1428" i="3"/>
  <c r="C1429" i="3"/>
  <c r="C1430" i="3"/>
  <c r="C1431" i="3"/>
  <c r="C1432" i="3"/>
  <c r="C1433" i="3"/>
  <c r="C1434" i="3"/>
  <c r="C1435" i="3"/>
  <c r="C1436" i="3"/>
  <c r="C1437" i="3"/>
  <c r="C1438" i="3"/>
  <c r="C1439" i="3"/>
  <c r="C1440" i="3"/>
  <c r="C1441" i="3"/>
  <c r="C1442" i="3"/>
  <c r="C1443" i="3"/>
  <c r="C1444" i="3"/>
  <c r="C1445" i="3"/>
  <c r="C1446" i="3"/>
  <c r="C1447" i="3"/>
  <c r="C1448" i="3"/>
  <c r="C1449" i="3"/>
  <c r="C1450" i="3"/>
  <c r="C1451" i="3"/>
  <c r="C1452" i="3"/>
  <c r="C1453" i="3"/>
  <c r="C1454" i="3"/>
  <c r="C1455" i="3"/>
  <c r="C1456" i="3"/>
  <c r="C1457" i="3"/>
  <c r="C1458" i="3"/>
  <c r="C1459" i="3"/>
  <c r="C1460" i="3"/>
  <c r="C1461" i="3"/>
  <c r="C1462" i="3"/>
  <c r="C1463" i="3"/>
  <c r="C1464" i="3"/>
  <c r="C1465" i="3"/>
  <c r="C1466" i="3"/>
  <c r="C1467" i="3"/>
  <c r="C1468" i="3"/>
  <c r="C1469" i="3"/>
  <c r="C1470" i="3"/>
  <c r="C1471" i="3"/>
  <c r="C1472" i="3"/>
  <c r="C1473" i="3"/>
  <c r="C1474" i="3"/>
  <c r="C1475" i="3"/>
  <c r="C1476" i="3"/>
  <c r="C1477" i="3"/>
  <c r="C1478" i="3"/>
  <c r="C1479" i="3"/>
  <c r="C1480" i="3"/>
  <c r="C1481" i="3"/>
  <c r="C1482" i="3"/>
  <c r="C1483" i="3"/>
  <c r="C1484" i="3"/>
  <c r="C1485" i="3"/>
  <c r="C1486" i="3"/>
  <c r="C1487" i="3"/>
  <c r="C1488" i="3"/>
  <c r="C1489" i="3"/>
  <c r="C1490" i="3"/>
  <c r="C1491" i="3"/>
  <c r="C1492" i="3"/>
  <c r="C1493" i="3"/>
  <c r="C1494" i="3"/>
  <c r="C1495" i="3"/>
  <c r="C1496" i="3"/>
  <c r="C1497" i="3"/>
  <c r="C1498" i="3"/>
  <c r="C1499" i="3"/>
  <c r="C1500" i="3"/>
  <c r="C1501" i="3"/>
  <c r="C1502" i="3"/>
  <c r="C1503" i="3"/>
  <c r="C1504" i="3"/>
  <c r="C1505" i="3"/>
  <c r="C1506" i="3"/>
  <c r="C1507" i="3"/>
  <c r="C1508" i="3"/>
  <c r="C1509" i="3"/>
  <c r="C1510" i="3"/>
  <c r="C1511" i="3"/>
  <c r="C1512" i="3"/>
  <c r="C1513" i="3"/>
  <c r="C1514" i="3"/>
  <c r="C1515" i="3"/>
  <c r="C1516" i="3"/>
  <c r="C1517" i="3"/>
  <c r="C1518" i="3"/>
  <c r="C1519" i="3"/>
  <c r="C1520" i="3"/>
  <c r="C1521" i="3"/>
  <c r="C1522" i="3"/>
  <c r="C1523" i="3"/>
  <c r="C1524" i="3"/>
  <c r="C1525" i="3"/>
  <c r="C1526" i="3"/>
  <c r="C1527" i="3"/>
  <c r="C1528" i="3"/>
  <c r="C1529" i="3"/>
  <c r="C1530" i="3"/>
  <c r="C1531" i="3"/>
  <c r="C1532" i="3"/>
  <c r="C1533" i="3"/>
  <c r="C1534" i="3"/>
  <c r="C1535" i="3"/>
  <c r="C1536" i="3"/>
  <c r="C1537" i="3"/>
  <c r="C1538" i="3"/>
  <c r="C1539" i="3"/>
  <c r="C1540" i="3"/>
  <c r="C1541" i="3"/>
  <c r="C1542" i="3"/>
  <c r="C1543" i="3"/>
  <c r="C1544" i="3"/>
  <c r="C1545" i="3"/>
  <c r="C1546" i="3"/>
  <c r="C1547" i="3"/>
  <c r="C1548" i="3"/>
  <c r="C1549" i="3"/>
  <c r="C1550" i="3"/>
  <c r="C1551" i="3"/>
  <c r="C1552" i="3"/>
  <c r="C1553" i="3"/>
  <c r="C1554" i="3"/>
  <c r="C1555" i="3"/>
  <c r="C1556" i="3"/>
  <c r="C1557" i="3"/>
  <c r="C1558" i="3"/>
  <c r="C1559" i="3"/>
  <c r="C1560" i="3"/>
  <c r="C1561" i="3"/>
  <c r="C1562" i="3"/>
  <c r="C1563" i="3"/>
  <c r="C1564" i="3"/>
  <c r="C1565" i="3"/>
  <c r="C1566" i="3"/>
  <c r="C1567" i="3"/>
  <c r="C1568" i="3"/>
  <c r="C1569" i="3"/>
  <c r="C1570" i="3"/>
  <c r="C1571" i="3"/>
  <c r="C1572" i="3"/>
  <c r="C1573" i="3"/>
  <c r="C1574" i="3"/>
  <c r="C1575" i="3"/>
  <c r="C1576" i="3"/>
  <c r="C1577" i="3"/>
  <c r="C1578" i="3"/>
  <c r="C1579" i="3"/>
  <c r="C1580" i="3"/>
  <c r="C1581" i="3"/>
  <c r="C1582" i="3"/>
  <c r="C1583" i="3"/>
  <c r="C1584" i="3"/>
  <c r="C1585" i="3"/>
  <c r="C1586" i="3"/>
  <c r="C1587" i="3"/>
  <c r="C1588" i="3"/>
  <c r="C1589" i="3"/>
  <c r="C1590" i="3"/>
  <c r="C1591" i="3"/>
  <c r="C1592" i="3"/>
  <c r="C1593" i="3"/>
  <c r="C1594" i="3"/>
  <c r="C1595" i="3"/>
  <c r="C1596" i="3"/>
  <c r="C1597" i="3"/>
  <c r="C1598" i="3"/>
  <c r="C1599" i="3"/>
  <c r="C1600" i="3"/>
  <c r="C1601" i="3"/>
  <c r="C1602" i="3"/>
  <c r="C1603" i="3"/>
  <c r="C1604" i="3"/>
  <c r="C1605" i="3"/>
  <c r="C1606" i="3"/>
  <c r="C1607" i="3"/>
  <c r="C1608" i="3"/>
  <c r="C1609" i="3"/>
  <c r="C1610" i="3"/>
  <c r="C1611" i="3"/>
  <c r="C1612" i="3"/>
  <c r="C1613" i="3"/>
  <c r="C1614" i="3"/>
  <c r="C1615" i="3"/>
  <c r="C1616" i="3"/>
  <c r="C1617" i="3"/>
  <c r="C1618" i="3"/>
  <c r="C1619" i="3"/>
  <c r="C1620" i="3"/>
  <c r="C1621" i="3"/>
  <c r="C1622" i="3"/>
  <c r="C1623" i="3"/>
  <c r="C1624" i="3"/>
  <c r="C1625" i="3"/>
  <c r="C1626" i="3"/>
  <c r="C1627" i="3"/>
  <c r="C1628" i="3"/>
  <c r="C1629" i="3"/>
  <c r="C1630" i="3"/>
  <c r="C1631" i="3"/>
  <c r="C1632" i="3"/>
  <c r="C1633" i="3"/>
  <c r="C1634" i="3"/>
  <c r="C1635" i="3"/>
  <c r="C1636" i="3"/>
  <c r="C1637" i="3"/>
  <c r="C1638" i="3"/>
  <c r="C1639" i="3"/>
  <c r="C1640" i="3"/>
  <c r="C1641" i="3"/>
  <c r="C1642" i="3"/>
  <c r="C1643" i="3"/>
  <c r="C1644" i="3"/>
  <c r="C1645" i="3"/>
  <c r="C1646" i="3"/>
  <c r="C1647" i="3"/>
  <c r="C1648" i="3"/>
  <c r="C1649" i="3"/>
  <c r="C1650" i="3"/>
  <c r="C1651" i="3"/>
  <c r="C1652" i="3"/>
  <c r="C1653" i="3"/>
  <c r="C1654" i="3"/>
  <c r="C1655" i="3"/>
  <c r="C1656" i="3"/>
  <c r="C1657" i="3"/>
  <c r="C1658" i="3"/>
  <c r="C1659" i="3"/>
  <c r="C1660" i="3"/>
  <c r="C1661" i="3"/>
  <c r="C1662" i="3"/>
  <c r="C1663" i="3"/>
  <c r="C1664" i="3"/>
  <c r="C1665" i="3"/>
  <c r="C1666" i="3"/>
  <c r="C1667" i="3"/>
  <c r="C1668" i="3"/>
  <c r="C1669" i="3"/>
  <c r="C1670" i="3"/>
  <c r="C1671" i="3"/>
  <c r="C1672" i="3"/>
  <c r="C1673" i="3"/>
  <c r="C1674" i="3"/>
  <c r="C1675" i="3"/>
  <c r="C1676" i="3"/>
  <c r="C1677" i="3"/>
  <c r="C1678" i="3"/>
  <c r="C1679" i="3"/>
  <c r="C1680" i="3"/>
  <c r="C1681" i="3"/>
  <c r="C1682" i="3"/>
  <c r="C1683" i="3"/>
  <c r="C1684" i="3"/>
  <c r="C1685" i="3"/>
  <c r="C1686" i="3"/>
  <c r="C1687" i="3"/>
  <c r="C1688" i="3"/>
  <c r="C1689" i="3"/>
  <c r="C1690" i="3"/>
  <c r="C1691" i="3"/>
  <c r="C1692" i="3"/>
  <c r="C1693" i="3"/>
  <c r="C1694" i="3"/>
  <c r="C1695" i="3"/>
  <c r="C1696" i="3"/>
  <c r="C1697" i="3"/>
  <c r="C1698" i="3"/>
  <c r="C1699" i="3"/>
  <c r="C1700" i="3"/>
  <c r="C1701" i="3"/>
  <c r="C1702" i="3"/>
  <c r="C1703" i="3"/>
  <c r="C1704" i="3"/>
  <c r="C1705" i="3"/>
  <c r="C1706" i="3"/>
  <c r="C1707" i="3"/>
  <c r="C1708" i="3"/>
  <c r="C1709" i="3"/>
  <c r="C1710" i="3"/>
  <c r="C1711" i="3"/>
  <c r="C1712" i="3"/>
  <c r="C1713" i="3"/>
  <c r="C1714" i="3"/>
  <c r="C1715" i="3"/>
  <c r="C1716" i="3"/>
  <c r="C1717" i="3"/>
  <c r="C1718" i="3"/>
  <c r="C1719" i="3"/>
  <c r="C1720" i="3"/>
  <c r="C1721" i="3"/>
  <c r="C1722" i="3"/>
  <c r="C1723" i="3"/>
  <c r="C1724" i="3"/>
  <c r="C1725" i="3"/>
  <c r="C1726" i="3"/>
  <c r="C1727" i="3"/>
  <c r="C1728" i="3"/>
  <c r="C1729" i="3"/>
  <c r="C1730" i="3"/>
  <c r="C1731" i="3"/>
  <c r="C1732" i="3"/>
  <c r="C1733" i="3"/>
  <c r="C1734" i="3"/>
  <c r="C1735" i="3"/>
  <c r="C1736" i="3"/>
  <c r="C1737" i="3"/>
  <c r="C1738" i="3"/>
  <c r="C1739" i="3"/>
  <c r="C1740" i="3"/>
  <c r="C1741" i="3"/>
  <c r="C1742" i="3"/>
  <c r="C1743" i="3"/>
  <c r="C1744" i="3"/>
  <c r="C1745" i="3"/>
  <c r="C1746" i="3"/>
  <c r="C1747" i="3"/>
  <c r="C1748" i="3"/>
  <c r="C1749" i="3"/>
  <c r="C1750" i="3"/>
  <c r="C1751" i="3"/>
  <c r="C1752" i="3"/>
  <c r="C1753" i="3"/>
  <c r="C1754" i="3"/>
  <c r="C1755" i="3"/>
  <c r="C1756" i="3"/>
  <c r="C1757" i="3"/>
  <c r="C1758" i="3"/>
  <c r="C1759" i="3"/>
  <c r="C1760" i="3"/>
  <c r="C1761" i="3"/>
  <c r="C1762" i="3"/>
  <c r="C1763" i="3"/>
  <c r="C1764" i="3"/>
  <c r="C1765" i="3"/>
  <c r="C1766" i="3"/>
  <c r="C1767" i="3"/>
  <c r="C1768" i="3"/>
  <c r="C1769" i="3"/>
  <c r="C1770" i="3"/>
  <c r="C1771" i="3"/>
  <c r="C1772" i="3"/>
  <c r="C1773" i="3"/>
  <c r="C1774" i="3"/>
  <c r="C1775" i="3"/>
  <c r="C1776" i="3"/>
  <c r="C1777" i="3"/>
  <c r="C1778" i="3"/>
  <c r="C1779" i="3"/>
  <c r="C1780" i="3"/>
  <c r="C1781" i="3"/>
  <c r="C1782" i="3"/>
  <c r="C1783" i="3"/>
  <c r="C1784" i="3"/>
  <c r="C1785" i="3"/>
  <c r="C1786" i="3"/>
  <c r="C1787" i="3"/>
  <c r="C1788" i="3"/>
  <c r="C1789" i="3"/>
  <c r="C1790" i="3"/>
  <c r="C1791" i="3"/>
  <c r="C1792" i="3"/>
  <c r="C1793" i="3"/>
  <c r="C1794" i="3"/>
  <c r="C1795" i="3"/>
  <c r="C1796" i="3"/>
  <c r="C1797" i="3"/>
  <c r="C1798" i="3"/>
  <c r="C1799" i="3"/>
  <c r="C1800" i="3"/>
  <c r="C1801" i="3"/>
  <c r="C1802" i="3"/>
  <c r="C1803" i="3"/>
  <c r="C1804" i="3"/>
  <c r="C1805" i="3"/>
  <c r="C1806" i="3"/>
  <c r="C1807" i="3"/>
  <c r="C1808" i="3"/>
  <c r="C1809" i="3"/>
  <c r="C1810" i="3"/>
  <c r="C1811" i="3"/>
  <c r="C1812" i="3"/>
  <c r="C1813" i="3"/>
  <c r="C1814" i="3"/>
  <c r="C1815" i="3"/>
  <c r="C1816" i="3"/>
  <c r="C1817" i="3"/>
  <c r="C1818" i="3"/>
  <c r="C1819" i="3"/>
  <c r="C1820" i="3"/>
  <c r="C1821" i="3"/>
  <c r="C1822" i="3"/>
  <c r="C1823" i="3"/>
  <c r="C1824" i="3"/>
  <c r="C1825" i="3"/>
  <c r="C1826" i="3"/>
  <c r="C1827" i="3"/>
  <c r="C1828" i="3"/>
  <c r="C1829" i="3"/>
  <c r="C1830" i="3"/>
  <c r="C1831" i="3"/>
  <c r="C1832" i="3"/>
  <c r="C1833" i="3"/>
  <c r="C1834" i="3"/>
  <c r="C1835" i="3"/>
  <c r="C1836" i="3"/>
  <c r="C1837" i="3"/>
  <c r="C1838" i="3"/>
  <c r="C1839" i="3"/>
  <c r="C1840" i="3"/>
  <c r="C1841" i="3"/>
  <c r="C1842" i="3"/>
  <c r="C1843" i="3"/>
  <c r="C1844" i="3"/>
  <c r="C1845" i="3"/>
  <c r="C1846" i="3"/>
  <c r="C1847" i="3"/>
  <c r="C1848" i="3"/>
  <c r="C1849" i="3"/>
  <c r="C1850" i="3"/>
  <c r="C1851" i="3"/>
  <c r="C1852" i="3"/>
  <c r="C1853" i="3"/>
  <c r="C1854" i="3"/>
  <c r="C1855" i="3"/>
  <c r="C1856" i="3"/>
  <c r="C1857" i="3"/>
  <c r="C1858" i="3"/>
  <c r="C1859" i="3"/>
  <c r="C1860" i="3"/>
  <c r="C1861" i="3"/>
  <c r="C1862" i="3"/>
  <c r="C1863" i="3"/>
  <c r="C1864" i="3"/>
  <c r="C1865" i="3"/>
  <c r="C1866" i="3"/>
  <c r="C1867" i="3"/>
  <c r="C1868" i="3"/>
  <c r="C1869" i="3"/>
  <c r="C1870" i="3"/>
  <c r="C1871" i="3"/>
  <c r="C1872" i="3"/>
  <c r="C1873" i="3"/>
  <c r="C1874" i="3"/>
  <c r="C1875" i="3"/>
  <c r="C1876" i="3"/>
  <c r="C1877" i="3"/>
  <c r="C1878" i="3"/>
  <c r="C1879" i="3"/>
  <c r="C1880" i="3"/>
  <c r="C1881" i="3"/>
  <c r="C1882" i="3"/>
  <c r="C1883" i="3"/>
  <c r="C1884" i="3"/>
  <c r="C1885" i="3"/>
  <c r="C1886" i="3"/>
  <c r="C1887" i="3"/>
  <c r="C1888" i="3"/>
  <c r="C1889" i="3"/>
  <c r="C1890" i="3"/>
  <c r="C1891" i="3"/>
  <c r="C1892" i="3"/>
  <c r="C1893" i="3"/>
  <c r="C1894" i="3"/>
  <c r="C1895" i="3"/>
  <c r="C1896" i="3"/>
  <c r="C1897" i="3"/>
  <c r="C1898" i="3"/>
  <c r="C1899" i="3"/>
  <c r="C1900" i="3"/>
  <c r="C1901" i="3"/>
  <c r="C1902" i="3"/>
  <c r="C1903" i="3"/>
  <c r="C1904" i="3"/>
  <c r="C1905" i="3"/>
  <c r="C1906" i="3"/>
  <c r="C1907" i="3"/>
  <c r="C1908" i="3"/>
  <c r="C1909" i="3"/>
  <c r="C1910" i="3"/>
  <c r="C1911" i="3"/>
  <c r="C1912" i="3"/>
  <c r="C1913" i="3"/>
  <c r="C1914" i="3"/>
  <c r="C1915" i="3"/>
  <c r="C1916" i="3"/>
  <c r="C1917" i="3"/>
  <c r="C1918" i="3"/>
  <c r="C1919" i="3"/>
  <c r="C1920" i="3"/>
  <c r="C1921" i="3"/>
  <c r="C1922" i="3"/>
  <c r="C1923" i="3"/>
  <c r="C1924" i="3"/>
  <c r="C1925" i="3"/>
  <c r="C1926" i="3"/>
  <c r="C1927" i="3"/>
  <c r="C1928" i="3"/>
  <c r="C1929" i="3"/>
  <c r="C1930" i="3"/>
  <c r="C1931" i="3"/>
  <c r="C1932" i="3"/>
  <c r="C1933" i="3"/>
  <c r="C1934" i="3"/>
  <c r="C1935" i="3"/>
  <c r="C1936" i="3"/>
  <c r="C1937" i="3"/>
  <c r="C1938" i="3"/>
  <c r="C1939" i="3"/>
  <c r="C1940" i="3"/>
  <c r="C1941" i="3"/>
  <c r="C1942" i="3"/>
  <c r="C1943" i="3"/>
  <c r="C1944" i="3"/>
  <c r="C1945" i="3"/>
  <c r="C1946" i="3"/>
  <c r="C1947" i="3"/>
  <c r="C1948" i="3"/>
  <c r="C1949" i="3"/>
  <c r="C1950" i="3"/>
  <c r="C1951" i="3"/>
  <c r="C1952" i="3"/>
  <c r="C1953" i="3"/>
  <c r="C1954" i="3"/>
  <c r="C1955" i="3"/>
  <c r="C1956" i="3"/>
  <c r="C1957" i="3"/>
  <c r="C1958" i="3"/>
  <c r="C1959" i="3"/>
  <c r="C1960" i="3"/>
  <c r="C1961" i="3"/>
  <c r="C1962" i="3"/>
  <c r="C1963" i="3"/>
  <c r="C1964" i="3"/>
  <c r="C1965" i="3"/>
  <c r="C1966" i="3"/>
  <c r="C1967" i="3"/>
  <c r="C1968" i="3"/>
  <c r="C1969" i="3"/>
  <c r="C1970" i="3"/>
  <c r="C1971" i="3"/>
  <c r="C1972" i="3"/>
  <c r="C1973" i="3"/>
  <c r="C1974" i="3"/>
  <c r="C1975" i="3"/>
  <c r="C1976" i="3"/>
  <c r="C1977" i="3"/>
  <c r="C1978" i="3"/>
  <c r="C1979" i="3"/>
  <c r="C1980" i="3"/>
  <c r="C1981" i="3"/>
  <c r="C1982" i="3"/>
  <c r="C1983" i="3"/>
  <c r="C1984" i="3"/>
  <c r="C1985" i="3"/>
  <c r="C1986" i="3"/>
  <c r="C1987" i="3"/>
  <c r="C1988" i="3"/>
  <c r="C1989" i="3"/>
  <c r="C1990" i="3"/>
  <c r="C1991" i="3"/>
  <c r="C1992" i="3"/>
  <c r="C1993" i="3"/>
  <c r="C1994" i="3"/>
  <c r="C1995" i="3"/>
  <c r="C1996" i="3"/>
  <c r="C1997" i="3"/>
  <c r="C1998" i="3"/>
  <c r="C1999" i="3"/>
  <c r="C2000" i="3"/>
  <c r="C2001" i="3"/>
  <c r="C2002" i="3"/>
  <c r="AV30" i="42" l="1"/>
  <c r="A36" i="38"/>
  <c r="F30" i="63"/>
  <c r="L19" i="42"/>
  <c r="AV31" i="42" l="1"/>
  <c r="A37" i="38"/>
  <c r="F31" i="6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1" i="3"/>
  <c r="H152" i="3"/>
  <c r="H153" i="3"/>
  <c r="H154" i="3"/>
  <c r="H159" i="3"/>
  <c r="H160" i="3"/>
  <c r="H162" i="3"/>
  <c r="H163" i="3"/>
  <c r="H164" i="3"/>
  <c r="H166" i="3"/>
  <c r="H167" i="3"/>
  <c r="H168" i="3"/>
  <c r="H169" i="3"/>
  <c r="H170" i="3"/>
  <c r="H171" i="3"/>
  <c r="H172" i="3"/>
  <c r="H173" i="3"/>
  <c r="H174" i="3"/>
  <c r="H175" i="3"/>
  <c r="H176" i="3"/>
  <c r="H177" i="3"/>
  <c r="H178" i="3"/>
  <c r="H179" i="3"/>
  <c r="H180" i="3"/>
  <c r="H181"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9" i="3"/>
  <c r="H210" i="3"/>
  <c r="H211" i="3"/>
  <c r="H212" i="3"/>
  <c r="H214" i="3"/>
  <c r="H215" i="3"/>
  <c r="H216" i="3"/>
  <c r="H217" i="3"/>
  <c r="H218" i="3"/>
  <c r="H219" i="3"/>
  <c r="H220" i="3"/>
  <c r="H221" i="3"/>
  <c r="H222" i="3"/>
  <c r="H223"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251" i="3"/>
  <c r="H252" i="3"/>
  <c r="H253" i="3"/>
  <c r="H254" i="3"/>
  <c r="H255" i="3"/>
  <c r="H256" i="3"/>
  <c r="H257" i="3"/>
  <c r="H258" i="3"/>
  <c r="H259" i="3"/>
  <c r="H260" i="3"/>
  <c r="H261" i="3"/>
  <c r="H262" i="3"/>
  <c r="H263" i="3"/>
  <c r="H264" i="3"/>
  <c r="H265" i="3"/>
  <c r="H266" i="3"/>
  <c r="H267" i="3"/>
  <c r="H268" i="3"/>
  <c r="H269" i="3"/>
  <c r="H270" i="3"/>
  <c r="H271" i="3"/>
  <c r="H272" i="3"/>
  <c r="H273" i="3"/>
  <c r="H274" i="3"/>
  <c r="H275" i="3"/>
  <c r="H276" i="3"/>
  <c r="H277" i="3"/>
  <c r="H278" i="3"/>
  <c r="H279" i="3"/>
  <c r="H280" i="3"/>
  <c r="H281" i="3"/>
  <c r="H282" i="3"/>
  <c r="H283" i="3"/>
  <c r="H284" i="3"/>
  <c r="H285" i="3"/>
  <c r="H286" i="3"/>
  <c r="H287" i="3"/>
  <c r="H288" i="3"/>
  <c r="H289" i="3"/>
  <c r="H290" i="3"/>
  <c r="H291" i="3"/>
  <c r="H292" i="3"/>
  <c r="H293" i="3"/>
  <c r="H294" i="3"/>
  <c r="H295" i="3"/>
  <c r="H296" i="3"/>
  <c r="H297" i="3"/>
  <c r="H298" i="3"/>
  <c r="H299" i="3"/>
  <c r="H300" i="3"/>
  <c r="H301" i="3"/>
  <c r="H302" i="3"/>
  <c r="H303" i="3"/>
  <c r="H304" i="3"/>
  <c r="H305" i="3"/>
  <c r="H306" i="3"/>
  <c r="H307" i="3"/>
  <c r="H308" i="3"/>
  <c r="H310" i="3"/>
  <c r="H311" i="3"/>
  <c r="H312" i="3"/>
  <c r="H313" i="3"/>
  <c r="H314" i="3"/>
  <c r="H315" i="3"/>
  <c r="H316" i="3"/>
  <c r="H317" i="3"/>
  <c r="H318" i="3"/>
  <c r="H320" i="3"/>
  <c r="H321" i="3"/>
  <c r="H322" i="3"/>
  <c r="H323" i="3"/>
  <c r="H324" i="3"/>
  <c r="H325" i="3"/>
  <c r="H326" i="3"/>
  <c r="H327" i="3"/>
  <c r="H328" i="3"/>
  <c r="H329" i="3"/>
  <c r="H330" i="3"/>
  <c r="H331" i="3"/>
  <c r="H332" i="3"/>
  <c r="H333" i="3"/>
  <c r="H334" i="3"/>
  <c r="H335" i="3"/>
  <c r="H336" i="3"/>
  <c r="H337" i="3"/>
  <c r="H338" i="3"/>
  <c r="H339" i="3"/>
  <c r="H340" i="3"/>
  <c r="H341" i="3"/>
  <c r="H342" i="3"/>
  <c r="H344" i="3"/>
  <c r="H345" i="3"/>
  <c r="H346" i="3"/>
  <c r="H347" i="3"/>
  <c r="H348" i="3"/>
  <c r="H349" i="3"/>
  <c r="H350" i="3"/>
  <c r="H351" i="3"/>
  <c r="H352" i="3"/>
  <c r="H353" i="3"/>
  <c r="H354" i="3"/>
  <c r="H355" i="3"/>
  <c r="H357" i="3"/>
  <c r="H358" i="3"/>
  <c r="H359" i="3"/>
  <c r="H360" i="3"/>
  <c r="H361" i="3"/>
  <c r="H362" i="3"/>
  <c r="H363" i="3"/>
  <c r="H364" i="3"/>
  <c r="H365" i="3"/>
  <c r="H366" i="3"/>
  <c r="H367" i="3"/>
  <c r="H368" i="3"/>
  <c r="H369" i="3"/>
  <c r="H370" i="3"/>
  <c r="H371" i="3"/>
  <c r="H372" i="3"/>
  <c r="H373" i="3"/>
  <c r="H374" i="3"/>
  <c r="H375" i="3"/>
  <c r="H376" i="3"/>
  <c r="H377" i="3"/>
  <c r="H378" i="3"/>
  <c r="H379" i="3"/>
  <c r="H380" i="3"/>
  <c r="H381" i="3"/>
  <c r="H382" i="3"/>
  <c r="H384" i="3"/>
  <c r="H385" i="3"/>
  <c r="H386" i="3"/>
  <c r="H387" i="3"/>
  <c r="H388" i="3"/>
  <c r="H389" i="3"/>
  <c r="H390" i="3"/>
  <c r="H391" i="3"/>
  <c r="H392" i="3"/>
  <c r="H393" i="3"/>
  <c r="H394" i="3"/>
  <c r="H395" i="3"/>
  <c r="H396" i="3"/>
  <c r="H397" i="3"/>
  <c r="H398" i="3"/>
  <c r="H399" i="3"/>
  <c r="H400" i="3"/>
  <c r="H401" i="3"/>
  <c r="H402" i="3"/>
  <c r="H403" i="3"/>
  <c r="H404" i="3"/>
  <c r="H405" i="3"/>
  <c r="H406" i="3"/>
  <c r="H407" i="3"/>
  <c r="H408" i="3"/>
  <c r="H409" i="3"/>
  <c r="H410" i="3"/>
  <c r="H411" i="3"/>
  <c r="H412" i="3"/>
  <c r="H413" i="3"/>
  <c r="H414" i="3"/>
  <c r="H415" i="3"/>
  <c r="H416" i="3"/>
  <c r="H417" i="3"/>
  <c r="H418" i="3"/>
  <c r="H419" i="3"/>
  <c r="H420" i="3"/>
  <c r="H421" i="3"/>
  <c r="H422" i="3"/>
  <c r="H423" i="3"/>
  <c r="H424" i="3"/>
  <c r="H425" i="3"/>
  <c r="H426" i="3"/>
  <c r="H427" i="3"/>
  <c r="H428" i="3"/>
  <c r="H429" i="3"/>
  <c r="H430" i="3"/>
  <c r="H431" i="3"/>
  <c r="H432" i="3"/>
  <c r="H433" i="3"/>
  <c r="H434" i="3"/>
  <c r="H435" i="3"/>
  <c r="H436" i="3"/>
  <c r="H438" i="3"/>
  <c r="H439" i="3"/>
  <c r="H440" i="3"/>
  <c r="H441" i="3"/>
  <c r="H442" i="3"/>
  <c r="H443" i="3"/>
  <c r="H444" i="3"/>
  <c r="H445" i="3"/>
  <c r="H446" i="3"/>
  <c r="H447" i="3"/>
  <c r="H448" i="3"/>
  <c r="H449" i="3"/>
  <c r="H450" i="3"/>
  <c r="H451" i="3"/>
  <c r="H452" i="3"/>
  <c r="H453" i="3"/>
  <c r="H454" i="3"/>
  <c r="H455" i="3"/>
  <c r="H456" i="3"/>
  <c r="H457" i="3"/>
  <c r="H459" i="3"/>
  <c r="H460" i="3"/>
  <c r="H461" i="3"/>
  <c r="H462" i="3"/>
  <c r="H463" i="3"/>
  <c r="H464" i="3"/>
  <c r="H465" i="3"/>
  <c r="H466" i="3"/>
  <c r="H467" i="3"/>
  <c r="H468" i="3"/>
  <c r="H469" i="3"/>
  <c r="H470" i="3"/>
  <c r="H471" i="3"/>
  <c r="H472" i="3"/>
  <c r="H473" i="3"/>
  <c r="H474" i="3"/>
  <c r="H475" i="3"/>
  <c r="H476" i="3"/>
  <c r="H477" i="3"/>
  <c r="H478" i="3"/>
  <c r="H479" i="3"/>
  <c r="H480" i="3"/>
  <c r="H481" i="3"/>
  <c r="H482" i="3"/>
  <c r="H483" i="3"/>
  <c r="H484" i="3"/>
  <c r="H486" i="3"/>
  <c r="H487" i="3"/>
  <c r="H488" i="3"/>
  <c r="H489" i="3"/>
  <c r="H491" i="3"/>
  <c r="H492" i="3"/>
  <c r="H493" i="3"/>
  <c r="H494" i="3"/>
  <c r="H495" i="3"/>
  <c r="H496" i="3"/>
  <c r="H497" i="3"/>
  <c r="H498" i="3"/>
  <c r="H499" i="3"/>
  <c r="H500" i="3"/>
  <c r="H501" i="3"/>
  <c r="H502" i="3"/>
  <c r="H503" i="3"/>
  <c r="H504" i="3"/>
  <c r="H505" i="3"/>
  <c r="H506" i="3"/>
  <c r="H507" i="3"/>
  <c r="H508" i="3"/>
  <c r="H509" i="3"/>
  <c r="H510" i="3"/>
  <c r="H511" i="3"/>
  <c r="H512" i="3"/>
  <c r="H514" i="3"/>
  <c r="H516" i="3"/>
  <c r="H517" i="3"/>
  <c r="H518" i="3"/>
  <c r="H519" i="3"/>
  <c r="H520" i="3"/>
  <c r="H521" i="3"/>
  <c r="H522" i="3"/>
  <c r="H523" i="3"/>
  <c r="H524" i="3"/>
  <c r="H525" i="3"/>
  <c r="H526" i="3"/>
  <c r="H527" i="3"/>
  <c r="H528" i="3"/>
  <c r="H530" i="3"/>
  <c r="H531" i="3"/>
  <c r="H532" i="3"/>
  <c r="H533" i="3"/>
  <c r="H534" i="3"/>
  <c r="H535" i="3"/>
  <c r="H536" i="3"/>
  <c r="H537" i="3"/>
  <c r="H538" i="3"/>
  <c r="H539" i="3"/>
  <c r="H569" i="3"/>
  <c r="H570" i="3"/>
  <c r="H571" i="3"/>
  <c r="H601" i="3"/>
  <c r="H602" i="3"/>
  <c r="H603" i="3"/>
  <c r="H604" i="3"/>
  <c r="H605" i="3"/>
  <c r="H606" i="3"/>
  <c r="H607" i="3"/>
  <c r="H608" i="3"/>
  <c r="H609" i="3"/>
  <c r="H610" i="3"/>
  <c r="H611" i="3"/>
  <c r="H612" i="3"/>
  <c r="H613" i="3"/>
  <c r="H614" i="3"/>
  <c r="H615" i="3"/>
  <c r="H616" i="3"/>
  <c r="H617" i="3"/>
  <c r="H618" i="3"/>
  <c r="H619" i="3"/>
  <c r="H620" i="3"/>
  <c r="H621" i="3"/>
  <c r="H622" i="3"/>
  <c r="H623" i="3"/>
  <c r="H624" i="3"/>
  <c r="H625" i="3"/>
  <c r="H626" i="3"/>
  <c r="H627" i="3"/>
  <c r="H628" i="3"/>
  <c r="H629" i="3"/>
  <c r="H630" i="3"/>
  <c r="H631" i="3"/>
  <c r="H632" i="3"/>
  <c r="H633" i="3"/>
  <c r="H634" i="3"/>
  <c r="H635" i="3"/>
  <c r="H636" i="3"/>
  <c r="H637" i="3"/>
  <c r="H638" i="3"/>
  <c r="H639" i="3"/>
  <c r="H640" i="3"/>
  <c r="H641" i="3"/>
  <c r="H642" i="3"/>
  <c r="H643" i="3"/>
  <c r="H644" i="3"/>
  <c r="H645" i="3"/>
  <c r="H646" i="3"/>
  <c r="H647" i="3"/>
  <c r="H648" i="3"/>
  <c r="H649" i="3"/>
  <c r="H650" i="3"/>
  <c r="H651" i="3"/>
  <c r="H652" i="3"/>
  <c r="H653" i="3"/>
  <c r="H654" i="3"/>
  <c r="H655" i="3"/>
  <c r="H656" i="3"/>
  <c r="H657" i="3"/>
  <c r="H658" i="3"/>
  <c r="H659" i="3"/>
  <c r="H660" i="3"/>
  <c r="H661" i="3"/>
  <c r="H662" i="3"/>
  <c r="H663" i="3"/>
  <c r="H664" i="3"/>
  <c r="H665" i="3"/>
  <c r="H666" i="3"/>
  <c r="H667" i="3"/>
  <c r="H668" i="3"/>
  <c r="H669" i="3"/>
  <c r="H670" i="3"/>
  <c r="H671" i="3"/>
  <c r="H672" i="3"/>
  <c r="H673" i="3"/>
  <c r="H674" i="3"/>
  <c r="H675" i="3"/>
  <c r="H676" i="3"/>
  <c r="H677" i="3"/>
  <c r="H678" i="3"/>
  <c r="H679" i="3"/>
  <c r="H680" i="3"/>
  <c r="H681" i="3"/>
  <c r="H682" i="3"/>
  <c r="H683" i="3"/>
  <c r="H684" i="3"/>
  <c r="H685" i="3"/>
  <c r="H686" i="3"/>
  <c r="H687" i="3"/>
  <c r="H688" i="3"/>
  <c r="H689" i="3"/>
  <c r="H690" i="3"/>
  <c r="H691" i="3"/>
  <c r="H692" i="3"/>
  <c r="H693" i="3"/>
  <c r="H694" i="3"/>
  <c r="H695" i="3"/>
  <c r="H696" i="3"/>
  <c r="H697" i="3"/>
  <c r="H698" i="3"/>
  <c r="H699" i="3"/>
  <c r="H700" i="3"/>
  <c r="H701" i="3"/>
  <c r="H702" i="3"/>
  <c r="H703" i="3"/>
  <c r="H704" i="3"/>
  <c r="H705" i="3"/>
  <c r="H706" i="3"/>
  <c r="H707" i="3"/>
  <c r="H708" i="3"/>
  <c r="H709" i="3"/>
  <c r="H710" i="3"/>
  <c r="H711" i="3"/>
  <c r="H712" i="3"/>
  <c r="H713" i="3"/>
  <c r="H714" i="3"/>
  <c r="H715" i="3"/>
  <c r="H716" i="3"/>
  <c r="H717" i="3"/>
  <c r="H718" i="3"/>
  <c r="H719" i="3"/>
  <c r="H720" i="3"/>
  <c r="H721" i="3"/>
  <c r="H722" i="3"/>
  <c r="H723" i="3"/>
  <c r="H724" i="3"/>
  <c r="H725" i="3"/>
  <c r="H726" i="3"/>
  <c r="H727" i="3"/>
  <c r="H728" i="3"/>
  <c r="H729" i="3"/>
  <c r="H730" i="3"/>
  <c r="H731" i="3"/>
  <c r="H732" i="3"/>
  <c r="H733" i="3"/>
  <c r="H734" i="3"/>
  <c r="H735" i="3"/>
  <c r="H736" i="3"/>
  <c r="H737" i="3"/>
  <c r="H738" i="3"/>
  <c r="H739" i="3"/>
  <c r="H740" i="3"/>
  <c r="H741" i="3"/>
  <c r="H742" i="3"/>
  <c r="H743" i="3"/>
  <c r="H744" i="3"/>
  <c r="H745" i="3"/>
  <c r="H746" i="3"/>
  <c r="H747" i="3"/>
  <c r="H748" i="3"/>
  <c r="H749" i="3"/>
  <c r="H750" i="3"/>
  <c r="H751" i="3"/>
  <c r="H752" i="3"/>
  <c r="H753" i="3"/>
  <c r="H754" i="3"/>
  <c r="H755" i="3"/>
  <c r="H756" i="3"/>
  <c r="H757" i="3"/>
  <c r="H758" i="3"/>
  <c r="H759" i="3"/>
  <c r="H760" i="3"/>
  <c r="H761" i="3"/>
  <c r="H762" i="3"/>
  <c r="H763" i="3"/>
  <c r="H764" i="3"/>
  <c r="H765" i="3"/>
  <c r="H766" i="3"/>
  <c r="H767" i="3"/>
  <c r="H768" i="3"/>
  <c r="H769" i="3"/>
  <c r="H770" i="3"/>
  <c r="H771" i="3"/>
  <c r="H772" i="3"/>
  <c r="H773" i="3"/>
  <c r="H774" i="3"/>
  <c r="H775" i="3"/>
  <c r="H776" i="3"/>
  <c r="H777" i="3"/>
  <c r="H778" i="3"/>
  <c r="H779" i="3"/>
  <c r="H780" i="3"/>
  <c r="H781" i="3"/>
  <c r="H782" i="3"/>
  <c r="H783" i="3"/>
  <c r="H784" i="3"/>
  <c r="H785" i="3"/>
  <c r="H786" i="3"/>
  <c r="H787" i="3"/>
  <c r="H788" i="3"/>
  <c r="H789" i="3"/>
  <c r="H790" i="3"/>
  <c r="H791" i="3"/>
  <c r="H792" i="3"/>
  <c r="H793" i="3"/>
  <c r="H794" i="3"/>
  <c r="H795" i="3"/>
  <c r="H796" i="3"/>
  <c r="H797" i="3"/>
  <c r="H798" i="3"/>
  <c r="H799" i="3"/>
  <c r="H800" i="3"/>
  <c r="H801" i="3"/>
  <c r="H802" i="3"/>
  <c r="H803" i="3"/>
  <c r="H804" i="3"/>
  <c r="H805" i="3"/>
  <c r="H806" i="3"/>
  <c r="H807" i="3"/>
  <c r="H808" i="3"/>
  <c r="H809" i="3"/>
  <c r="H810" i="3"/>
  <c r="H811" i="3"/>
  <c r="H812" i="3"/>
  <c r="H813" i="3"/>
  <c r="H814" i="3"/>
  <c r="H815" i="3"/>
  <c r="H816" i="3"/>
  <c r="H817" i="3"/>
  <c r="H818" i="3"/>
  <c r="H819" i="3"/>
  <c r="H820" i="3"/>
  <c r="H821" i="3"/>
  <c r="H822" i="3"/>
  <c r="H823" i="3"/>
  <c r="H824" i="3"/>
  <c r="H825" i="3"/>
  <c r="H826" i="3"/>
  <c r="H827" i="3"/>
  <c r="H828" i="3"/>
  <c r="H829" i="3"/>
  <c r="H830" i="3"/>
  <c r="H831" i="3"/>
  <c r="H832" i="3"/>
  <c r="H833" i="3"/>
  <c r="H834" i="3"/>
  <c r="H835" i="3"/>
  <c r="H836" i="3"/>
  <c r="H837" i="3"/>
  <c r="H838" i="3"/>
  <c r="H839" i="3"/>
  <c r="H840" i="3"/>
  <c r="H841" i="3"/>
  <c r="H842" i="3"/>
  <c r="H843" i="3"/>
  <c r="H844" i="3"/>
  <c r="H845" i="3"/>
  <c r="H846" i="3"/>
  <c r="H847" i="3"/>
  <c r="H848" i="3"/>
  <c r="H849" i="3"/>
  <c r="H850" i="3"/>
  <c r="H851" i="3"/>
  <c r="H852" i="3"/>
  <c r="H853" i="3"/>
  <c r="H854" i="3"/>
  <c r="H855" i="3"/>
  <c r="H856" i="3"/>
  <c r="H857" i="3"/>
  <c r="H858" i="3"/>
  <c r="H859" i="3"/>
  <c r="H860" i="3"/>
  <c r="H861" i="3"/>
  <c r="H862" i="3"/>
  <c r="H863" i="3"/>
  <c r="H864" i="3"/>
  <c r="H865" i="3"/>
  <c r="H866" i="3"/>
  <c r="H867" i="3"/>
  <c r="H868" i="3"/>
  <c r="H869" i="3"/>
  <c r="H870" i="3"/>
  <c r="H871" i="3"/>
  <c r="H872" i="3"/>
  <c r="H873" i="3"/>
  <c r="H874" i="3"/>
  <c r="H875" i="3"/>
  <c r="H876" i="3"/>
  <c r="H877" i="3"/>
  <c r="H878" i="3"/>
  <c r="H879" i="3"/>
  <c r="H880" i="3"/>
  <c r="H881" i="3"/>
  <c r="H882" i="3"/>
  <c r="H883" i="3"/>
  <c r="H884" i="3"/>
  <c r="H885" i="3"/>
  <c r="H886" i="3"/>
  <c r="H887" i="3"/>
  <c r="H888" i="3"/>
  <c r="H889" i="3"/>
  <c r="H890" i="3"/>
  <c r="H891" i="3"/>
  <c r="H892" i="3"/>
  <c r="H893" i="3"/>
  <c r="H894" i="3"/>
  <c r="H895" i="3"/>
  <c r="H896" i="3"/>
  <c r="H897" i="3"/>
  <c r="H898" i="3"/>
  <c r="H899" i="3"/>
  <c r="H900" i="3"/>
  <c r="H901" i="3"/>
  <c r="H902" i="3"/>
  <c r="H903" i="3"/>
  <c r="H904" i="3"/>
  <c r="H905" i="3"/>
  <c r="H906" i="3"/>
  <c r="H907" i="3"/>
  <c r="H908" i="3"/>
  <c r="H909" i="3"/>
  <c r="H910" i="3"/>
  <c r="H911" i="3"/>
  <c r="H912" i="3"/>
  <c r="H913" i="3"/>
  <c r="H914" i="3"/>
  <c r="H915" i="3"/>
  <c r="H916" i="3"/>
  <c r="H917" i="3"/>
  <c r="H918" i="3"/>
  <c r="H919" i="3"/>
  <c r="H920" i="3"/>
  <c r="H921" i="3"/>
  <c r="H922" i="3"/>
  <c r="H923" i="3"/>
  <c r="H924" i="3"/>
  <c r="H925" i="3"/>
  <c r="H926" i="3"/>
  <c r="H927" i="3"/>
  <c r="H928" i="3"/>
  <c r="H929" i="3"/>
  <c r="H930" i="3"/>
  <c r="H931" i="3"/>
  <c r="H932" i="3"/>
  <c r="H933" i="3"/>
  <c r="H934" i="3"/>
  <c r="H935" i="3"/>
  <c r="H936" i="3"/>
  <c r="H937" i="3"/>
  <c r="H938" i="3"/>
  <c r="H939" i="3"/>
  <c r="H940" i="3"/>
  <c r="H941" i="3"/>
  <c r="H942" i="3"/>
  <c r="H943" i="3"/>
  <c r="H944" i="3"/>
  <c r="H945" i="3"/>
  <c r="H946" i="3"/>
  <c r="H947" i="3"/>
  <c r="H948" i="3"/>
  <c r="H949" i="3"/>
  <c r="H950" i="3"/>
  <c r="H951" i="3"/>
  <c r="H952" i="3"/>
  <c r="H953" i="3"/>
  <c r="H954" i="3"/>
  <c r="H955" i="3"/>
  <c r="H956" i="3"/>
  <c r="H957" i="3"/>
  <c r="H958" i="3"/>
  <c r="H959" i="3"/>
  <c r="H960" i="3"/>
  <c r="H961" i="3"/>
  <c r="H962" i="3"/>
  <c r="H963" i="3"/>
  <c r="H964" i="3"/>
  <c r="H965" i="3"/>
  <c r="H966" i="3"/>
  <c r="H967" i="3"/>
  <c r="H968" i="3"/>
  <c r="H969" i="3"/>
  <c r="H970" i="3"/>
  <c r="H971" i="3"/>
  <c r="H972" i="3"/>
  <c r="H973" i="3"/>
  <c r="H974" i="3"/>
  <c r="H975" i="3"/>
  <c r="H976" i="3"/>
  <c r="H977" i="3"/>
  <c r="H978" i="3"/>
  <c r="H979" i="3"/>
  <c r="H980" i="3"/>
  <c r="H981" i="3"/>
  <c r="H982" i="3"/>
  <c r="H983" i="3"/>
  <c r="H984" i="3"/>
  <c r="H985" i="3"/>
  <c r="H986" i="3"/>
  <c r="H987" i="3"/>
  <c r="H988" i="3"/>
  <c r="H989" i="3"/>
  <c r="H990" i="3"/>
  <c r="H991" i="3"/>
  <c r="H992" i="3"/>
  <c r="H993" i="3"/>
  <c r="H994" i="3"/>
  <c r="H995" i="3"/>
  <c r="H996" i="3"/>
  <c r="H997" i="3"/>
  <c r="H998" i="3"/>
  <c r="H999" i="3"/>
  <c r="H1000" i="3"/>
  <c r="H1001" i="3"/>
  <c r="H1002" i="3"/>
  <c r="H1003" i="3"/>
  <c r="H1004" i="3"/>
  <c r="H1005" i="3"/>
  <c r="H1006" i="3"/>
  <c r="H1007" i="3"/>
  <c r="H1008" i="3"/>
  <c r="H1009" i="3"/>
  <c r="H1010" i="3"/>
  <c r="H1011" i="3"/>
  <c r="H1012" i="3"/>
  <c r="H1013" i="3"/>
  <c r="H1014" i="3"/>
  <c r="H1015" i="3"/>
  <c r="H1016" i="3"/>
  <c r="H1017" i="3"/>
  <c r="H1018" i="3"/>
  <c r="H1019" i="3"/>
  <c r="H1020" i="3"/>
  <c r="H1021" i="3"/>
  <c r="H1022" i="3"/>
  <c r="H1023" i="3"/>
  <c r="H1024" i="3"/>
  <c r="H1025" i="3"/>
  <c r="H1026" i="3"/>
  <c r="H1027" i="3"/>
  <c r="H1028" i="3"/>
  <c r="H1029" i="3"/>
  <c r="H1030" i="3"/>
  <c r="H1031" i="3"/>
  <c r="H1032" i="3"/>
  <c r="H1033" i="3"/>
  <c r="H1034" i="3"/>
  <c r="H1035" i="3"/>
  <c r="H1036" i="3"/>
  <c r="H1037" i="3"/>
  <c r="H1038" i="3"/>
  <c r="H1039" i="3"/>
  <c r="H1040" i="3"/>
  <c r="H1041" i="3"/>
  <c r="H1042" i="3"/>
  <c r="H1043" i="3"/>
  <c r="H1044" i="3"/>
  <c r="H1045" i="3"/>
  <c r="H1046" i="3"/>
  <c r="H1047" i="3"/>
  <c r="H1048" i="3"/>
  <c r="H1049" i="3"/>
  <c r="H1050" i="3"/>
  <c r="H1051" i="3"/>
  <c r="H1052" i="3"/>
  <c r="H1053" i="3"/>
  <c r="H1054" i="3"/>
  <c r="H1055" i="3"/>
  <c r="H1056" i="3"/>
  <c r="H1057" i="3"/>
  <c r="H1058" i="3"/>
  <c r="H1059" i="3"/>
  <c r="H1060" i="3"/>
  <c r="H1061" i="3"/>
  <c r="H1062" i="3"/>
  <c r="H1063" i="3"/>
  <c r="H1064" i="3"/>
  <c r="H1065" i="3"/>
  <c r="H1066" i="3"/>
  <c r="H1067" i="3"/>
  <c r="H1068" i="3"/>
  <c r="H1069" i="3"/>
  <c r="H1070" i="3"/>
  <c r="H1071" i="3"/>
  <c r="H1072" i="3"/>
  <c r="H1073" i="3"/>
  <c r="H1074" i="3"/>
  <c r="H1075" i="3"/>
  <c r="H1076" i="3"/>
  <c r="H1077" i="3"/>
  <c r="H1078" i="3"/>
  <c r="H1079" i="3"/>
  <c r="H1080" i="3"/>
  <c r="H1081" i="3"/>
  <c r="H1082" i="3"/>
  <c r="H1083" i="3"/>
  <c r="H1084" i="3"/>
  <c r="H1085" i="3"/>
  <c r="H1086" i="3"/>
  <c r="H1087" i="3"/>
  <c r="H1088" i="3"/>
  <c r="H1089" i="3"/>
  <c r="H1090" i="3"/>
  <c r="H1091" i="3"/>
  <c r="H1092" i="3"/>
  <c r="H1093" i="3"/>
  <c r="H1094" i="3"/>
  <c r="H1095" i="3"/>
  <c r="H1096" i="3"/>
  <c r="H1097" i="3"/>
  <c r="H1098" i="3"/>
  <c r="H1099" i="3"/>
  <c r="H1100" i="3"/>
  <c r="H1101" i="3"/>
  <c r="H1102" i="3"/>
  <c r="H1103" i="3"/>
  <c r="H1104" i="3"/>
  <c r="H1105" i="3"/>
  <c r="H1106" i="3"/>
  <c r="H1107" i="3"/>
  <c r="H1108" i="3"/>
  <c r="H1109" i="3"/>
  <c r="H1110" i="3"/>
  <c r="H1111" i="3"/>
  <c r="H1112" i="3"/>
  <c r="H1113" i="3"/>
  <c r="H1114" i="3"/>
  <c r="H1115" i="3"/>
  <c r="H1116" i="3"/>
  <c r="H1117" i="3"/>
  <c r="H1118" i="3"/>
  <c r="H1119" i="3"/>
  <c r="H1120" i="3"/>
  <c r="H1121" i="3"/>
  <c r="H1122" i="3"/>
  <c r="H1123" i="3"/>
  <c r="H1124" i="3"/>
  <c r="H1125" i="3"/>
  <c r="H1126" i="3"/>
  <c r="H1127" i="3"/>
  <c r="H1128" i="3"/>
  <c r="H1129" i="3"/>
  <c r="H1130" i="3"/>
  <c r="H1131" i="3"/>
  <c r="H1132" i="3"/>
  <c r="H1133" i="3"/>
  <c r="H1134" i="3"/>
  <c r="H1135" i="3"/>
  <c r="H1136" i="3"/>
  <c r="H1137" i="3"/>
  <c r="H1138" i="3"/>
  <c r="H1139" i="3"/>
  <c r="H1140" i="3"/>
  <c r="H1141" i="3"/>
  <c r="H1142" i="3"/>
  <c r="H1143" i="3"/>
  <c r="H1144" i="3"/>
  <c r="H1145" i="3"/>
  <c r="H1146" i="3"/>
  <c r="H1147" i="3"/>
  <c r="H1148" i="3"/>
  <c r="H1149" i="3"/>
  <c r="H1150" i="3"/>
  <c r="H1151" i="3"/>
  <c r="H1152" i="3"/>
  <c r="H1153" i="3"/>
  <c r="H1154" i="3"/>
  <c r="H1155" i="3"/>
  <c r="H1156" i="3"/>
  <c r="H1157" i="3"/>
  <c r="H1158" i="3"/>
  <c r="H1159" i="3"/>
  <c r="H1160" i="3"/>
  <c r="H1161" i="3"/>
  <c r="H1162" i="3"/>
  <c r="H1163" i="3"/>
  <c r="H1164" i="3"/>
  <c r="H1165" i="3"/>
  <c r="H1166" i="3"/>
  <c r="H1167" i="3"/>
  <c r="H1168" i="3"/>
  <c r="H1169" i="3"/>
  <c r="H1170" i="3"/>
  <c r="H1171" i="3"/>
  <c r="H1172" i="3"/>
  <c r="H1173" i="3"/>
  <c r="H1174" i="3"/>
  <c r="H1175" i="3"/>
  <c r="H1176" i="3"/>
  <c r="H1177" i="3"/>
  <c r="H1178" i="3"/>
  <c r="H1179" i="3"/>
  <c r="H1180" i="3"/>
  <c r="H1181" i="3"/>
  <c r="H1182" i="3"/>
  <c r="H1183" i="3"/>
  <c r="H1184" i="3"/>
  <c r="H1185" i="3"/>
  <c r="H1186" i="3"/>
  <c r="H1187" i="3"/>
  <c r="H1188" i="3"/>
  <c r="H1189" i="3"/>
  <c r="H1190" i="3"/>
  <c r="H1191" i="3"/>
  <c r="H1192" i="3"/>
  <c r="H1193" i="3"/>
  <c r="H1194" i="3"/>
  <c r="H1195" i="3"/>
  <c r="H1196" i="3"/>
  <c r="H1197" i="3"/>
  <c r="H1198" i="3"/>
  <c r="H1199" i="3"/>
  <c r="H1200" i="3"/>
  <c r="H1201" i="3"/>
  <c r="H1202" i="3"/>
  <c r="H1203" i="3"/>
  <c r="H1204" i="3"/>
  <c r="H1205" i="3"/>
  <c r="H1206" i="3"/>
  <c r="H1207" i="3"/>
  <c r="H1208" i="3"/>
  <c r="H1209" i="3"/>
  <c r="H1210" i="3"/>
  <c r="H1211" i="3"/>
  <c r="H1212" i="3"/>
  <c r="H1213" i="3"/>
  <c r="H1214" i="3"/>
  <c r="H1215" i="3"/>
  <c r="H1216" i="3"/>
  <c r="H1217" i="3"/>
  <c r="H1218" i="3"/>
  <c r="H1219" i="3"/>
  <c r="H1220" i="3"/>
  <c r="H1221" i="3"/>
  <c r="H1222" i="3"/>
  <c r="H1223" i="3"/>
  <c r="H1224" i="3"/>
  <c r="H1225" i="3"/>
  <c r="H1226" i="3"/>
  <c r="H1227" i="3"/>
  <c r="H1228" i="3"/>
  <c r="H1229" i="3"/>
  <c r="H1230" i="3"/>
  <c r="H1231" i="3"/>
  <c r="H1232" i="3"/>
  <c r="H1233" i="3"/>
  <c r="H1234" i="3"/>
  <c r="H1235" i="3"/>
  <c r="H1236" i="3"/>
  <c r="H1237" i="3"/>
  <c r="H1238" i="3"/>
  <c r="H1239" i="3"/>
  <c r="H1240" i="3"/>
  <c r="H1241" i="3"/>
  <c r="H1242" i="3"/>
  <c r="H1243" i="3"/>
  <c r="H1244" i="3"/>
  <c r="H1245" i="3"/>
  <c r="H1246" i="3"/>
  <c r="H1247" i="3"/>
  <c r="H1248" i="3"/>
  <c r="H1249" i="3"/>
  <c r="H1250" i="3"/>
  <c r="H1251" i="3"/>
  <c r="H1252" i="3"/>
  <c r="H1253" i="3"/>
  <c r="H1254" i="3"/>
  <c r="H1255" i="3"/>
  <c r="H1256" i="3"/>
  <c r="H1257" i="3"/>
  <c r="H1258" i="3"/>
  <c r="H1259" i="3"/>
  <c r="H1260" i="3"/>
  <c r="H1261" i="3"/>
  <c r="H1262" i="3"/>
  <c r="H1263" i="3"/>
  <c r="H1264" i="3"/>
  <c r="H1265" i="3"/>
  <c r="H1266" i="3"/>
  <c r="H1267" i="3"/>
  <c r="H1268" i="3"/>
  <c r="H1269" i="3"/>
  <c r="H1270" i="3"/>
  <c r="H1271" i="3"/>
  <c r="H1272" i="3"/>
  <c r="H1273" i="3"/>
  <c r="H1274" i="3"/>
  <c r="H1275" i="3"/>
  <c r="H1276" i="3"/>
  <c r="H1277" i="3"/>
  <c r="H1278" i="3"/>
  <c r="H1279" i="3"/>
  <c r="H1280" i="3"/>
  <c r="H1281" i="3"/>
  <c r="H1282" i="3"/>
  <c r="H1283" i="3"/>
  <c r="H1284" i="3"/>
  <c r="H1285" i="3"/>
  <c r="H1286" i="3"/>
  <c r="H1287" i="3"/>
  <c r="H1288" i="3"/>
  <c r="H1289" i="3"/>
  <c r="H1290" i="3"/>
  <c r="H1291" i="3"/>
  <c r="H1292" i="3"/>
  <c r="H1293" i="3"/>
  <c r="H1294" i="3"/>
  <c r="H1295" i="3"/>
  <c r="H1296" i="3"/>
  <c r="H1297" i="3"/>
  <c r="H1298" i="3"/>
  <c r="H1299" i="3"/>
  <c r="H1300" i="3"/>
  <c r="H1301" i="3"/>
  <c r="H1302" i="3"/>
  <c r="H1303" i="3"/>
  <c r="H1304" i="3"/>
  <c r="H1305" i="3"/>
  <c r="H1306" i="3"/>
  <c r="H1307" i="3"/>
  <c r="H1308" i="3"/>
  <c r="H1309" i="3"/>
  <c r="H1310" i="3"/>
  <c r="H1311" i="3"/>
  <c r="H1312" i="3"/>
  <c r="H1313" i="3"/>
  <c r="H1314" i="3"/>
  <c r="H1315" i="3"/>
  <c r="H1316" i="3"/>
  <c r="H1317" i="3"/>
  <c r="H1318" i="3"/>
  <c r="H1319" i="3"/>
  <c r="H1320" i="3"/>
  <c r="H1321" i="3"/>
  <c r="H1322" i="3"/>
  <c r="H1323" i="3"/>
  <c r="H1324" i="3"/>
  <c r="H1325" i="3"/>
  <c r="H1326" i="3"/>
  <c r="H1327" i="3"/>
  <c r="H1328" i="3"/>
  <c r="H1329" i="3"/>
  <c r="H1330" i="3"/>
  <c r="H1331" i="3"/>
  <c r="H1332" i="3"/>
  <c r="H1333" i="3"/>
  <c r="H1334" i="3"/>
  <c r="H1335" i="3"/>
  <c r="H1336" i="3"/>
  <c r="H1337" i="3"/>
  <c r="H1338" i="3"/>
  <c r="H1339" i="3"/>
  <c r="H1340" i="3"/>
  <c r="H1341" i="3"/>
  <c r="H1342" i="3"/>
  <c r="H1343" i="3"/>
  <c r="H1344" i="3"/>
  <c r="H1345" i="3"/>
  <c r="H1346" i="3"/>
  <c r="H1347" i="3"/>
  <c r="H1348" i="3"/>
  <c r="H1349" i="3"/>
  <c r="H1350" i="3"/>
  <c r="H1351" i="3"/>
  <c r="H1352" i="3"/>
  <c r="H1353" i="3"/>
  <c r="H1354" i="3"/>
  <c r="H1355" i="3"/>
  <c r="H1356" i="3"/>
  <c r="H1357" i="3"/>
  <c r="H1358" i="3"/>
  <c r="H1359" i="3"/>
  <c r="H1360" i="3"/>
  <c r="H1361" i="3"/>
  <c r="H1362" i="3"/>
  <c r="H1363" i="3"/>
  <c r="H1364" i="3"/>
  <c r="H1365" i="3"/>
  <c r="H1366" i="3"/>
  <c r="H1367" i="3"/>
  <c r="H1368" i="3"/>
  <c r="H1369" i="3"/>
  <c r="H1370" i="3"/>
  <c r="H1371" i="3"/>
  <c r="H1372" i="3"/>
  <c r="H1373" i="3"/>
  <c r="H1374" i="3"/>
  <c r="H1375" i="3"/>
  <c r="H1376" i="3"/>
  <c r="H1377" i="3"/>
  <c r="H1378" i="3"/>
  <c r="H1379" i="3"/>
  <c r="H1380" i="3"/>
  <c r="H1381" i="3"/>
  <c r="H1382" i="3"/>
  <c r="H1383" i="3"/>
  <c r="H1384" i="3"/>
  <c r="H1385" i="3"/>
  <c r="H1386" i="3"/>
  <c r="H1387" i="3"/>
  <c r="H1388" i="3"/>
  <c r="H1389" i="3"/>
  <c r="H1390" i="3"/>
  <c r="H1391" i="3"/>
  <c r="H1392" i="3"/>
  <c r="H1393" i="3"/>
  <c r="H1394" i="3"/>
  <c r="H1395" i="3"/>
  <c r="H1396" i="3"/>
  <c r="H1397" i="3"/>
  <c r="H1398" i="3"/>
  <c r="H1399" i="3"/>
  <c r="H1400" i="3"/>
  <c r="H1401" i="3"/>
  <c r="H1402" i="3"/>
  <c r="H1403" i="3"/>
  <c r="H1404" i="3"/>
  <c r="H1405" i="3"/>
  <c r="H1406" i="3"/>
  <c r="H1407" i="3"/>
  <c r="H1408" i="3"/>
  <c r="H1409" i="3"/>
  <c r="H1410" i="3"/>
  <c r="H1411" i="3"/>
  <c r="H1412" i="3"/>
  <c r="H1413" i="3"/>
  <c r="H1414" i="3"/>
  <c r="H1415" i="3"/>
  <c r="H1416" i="3"/>
  <c r="H1417" i="3"/>
  <c r="H1418" i="3"/>
  <c r="H1419" i="3"/>
  <c r="H1420" i="3"/>
  <c r="H1421" i="3"/>
  <c r="H1422" i="3"/>
  <c r="H1423" i="3"/>
  <c r="H1424" i="3"/>
  <c r="H1425" i="3"/>
  <c r="H1426" i="3"/>
  <c r="H1427" i="3"/>
  <c r="H1428" i="3"/>
  <c r="H1429" i="3"/>
  <c r="H1430" i="3"/>
  <c r="H1431" i="3"/>
  <c r="H1432" i="3"/>
  <c r="H1433" i="3"/>
  <c r="H1434" i="3"/>
  <c r="H1435" i="3"/>
  <c r="H1436" i="3"/>
  <c r="H1437" i="3"/>
  <c r="H1438" i="3"/>
  <c r="H1439" i="3"/>
  <c r="H1440" i="3"/>
  <c r="H1441" i="3"/>
  <c r="H1442" i="3"/>
  <c r="H1443" i="3"/>
  <c r="H1444" i="3"/>
  <c r="H1445" i="3"/>
  <c r="H1446" i="3"/>
  <c r="H1447" i="3"/>
  <c r="H1448" i="3"/>
  <c r="H1449" i="3"/>
  <c r="H1450" i="3"/>
  <c r="H1451" i="3"/>
  <c r="H1452" i="3"/>
  <c r="H1453" i="3"/>
  <c r="H1454" i="3"/>
  <c r="H1455" i="3"/>
  <c r="H1456" i="3"/>
  <c r="H1457" i="3"/>
  <c r="H1458" i="3"/>
  <c r="H1459" i="3"/>
  <c r="H1460" i="3"/>
  <c r="H1461" i="3"/>
  <c r="H1462" i="3"/>
  <c r="H1463" i="3"/>
  <c r="H1464" i="3"/>
  <c r="H1465" i="3"/>
  <c r="H1466" i="3"/>
  <c r="H1467" i="3"/>
  <c r="H1468" i="3"/>
  <c r="H1469" i="3"/>
  <c r="H1470" i="3"/>
  <c r="H1471" i="3"/>
  <c r="H1472" i="3"/>
  <c r="H1473" i="3"/>
  <c r="H1474" i="3"/>
  <c r="H1475" i="3"/>
  <c r="H1476" i="3"/>
  <c r="H1477" i="3"/>
  <c r="H1478" i="3"/>
  <c r="H1479" i="3"/>
  <c r="H1480" i="3"/>
  <c r="H1481" i="3"/>
  <c r="H1482" i="3"/>
  <c r="H1483" i="3"/>
  <c r="H1484" i="3"/>
  <c r="H1485" i="3"/>
  <c r="H1486" i="3"/>
  <c r="H1487" i="3"/>
  <c r="H1488" i="3"/>
  <c r="H1489" i="3"/>
  <c r="H1490" i="3"/>
  <c r="H1491" i="3"/>
  <c r="H1492" i="3"/>
  <c r="H1493" i="3"/>
  <c r="H1494" i="3"/>
  <c r="H1495" i="3"/>
  <c r="H1496" i="3"/>
  <c r="H1497" i="3"/>
  <c r="H1498" i="3"/>
  <c r="H1499" i="3"/>
  <c r="H1500" i="3"/>
  <c r="H1501" i="3"/>
  <c r="H1502" i="3"/>
  <c r="H1503" i="3"/>
  <c r="H1504" i="3"/>
  <c r="H1505" i="3"/>
  <c r="H1506" i="3"/>
  <c r="H1507" i="3"/>
  <c r="H1508" i="3"/>
  <c r="H1509" i="3"/>
  <c r="H1510" i="3"/>
  <c r="H1511" i="3"/>
  <c r="H1512" i="3"/>
  <c r="H1513" i="3"/>
  <c r="H1514" i="3"/>
  <c r="H1515" i="3"/>
  <c r="H1516" i="3"/>
  <c r="H1517" i="3"/>
  <c r="H1518" i="3"/>
  <c r="H1519" i="3"/>
  <c r="H1520" i="3"/>
  <c r="H1521" i="3"/>
  <c r="H1522" i="3"/>
  <c r="H1523" i="3"/>
  <c r="H1524" i="3"/>
  <c r="H1525" i="3"/>
  <c r="H1526" i="3"/>
  <c r="H1527" i="3"/>
  <c r="H1528" i="3"/>
  <c r="H1529" i="3"/>
  <c r="H1530" i="3"/>
  <c r="H1531" i="3"/>
  <c r="H1532" i="3"/>
  <c r="H1533" i="3"/>
  <c r="H1534" i="3"/>
  <c r="H1535" i="3"/>
  <c r="H1536" i="3"/>
  <c r="H1537" i="3"/>
  <c r="H1538" i="3"/>
  <c r="H1539" i="3"/>
  <c r="H1540" i="3"/>
  <c r="H1541" i="3"/>
  <c r="H1542" i="3"/>
  <c r="H1543" i="3"/>
  <c r="H1544" i="3"/>
  <c r="H1545" i="3"/>
  <c r="H1546" i="3"/>
  <c r="H1547" i="3"/>
  <c r="H1548" i="3"/>
  <c r="H1549" i="3"/>
  <c r="H1550" i="3"/>
  <c r="H1551" i="3"/>
  <c r="H1552" i="3"/>
  <c r="H1553" i="3"/>
  <c r="H1554" i="3"/>
  <c r="H1555" i="3"/>
  <c r="H1556" i="3"/>
  <c r="H1557" i="3"/>
  <c r="H1558" i="3"/>
  <c r="H1559" i="3"/>
  <c r="H1560" i="3"/>
  <c r="H1561" i="3"/>
  <c r="H1562" i="3"/>
  <c r="H1563" i="3"/>
  <c r="H1564" i="3"/>
  <c r="H1565" i="3"/>
  <c r="H1566" i="3"/>
  <c r="H1567" i="3"/>
  <c r="H1568" i="3"/>
  <c r="H1569" i="3"/>
  <c r="H1570" i="3"/>
  <c r="H1571" i="3"/>
  <c r="H1572" i="3"/>
  <c r="H1573" i="3"/>
  <c r="H1574" i="3"/>
  <c r="H1575" i="3"/>
  <c r="H1576" i="3"/>
  <c r="H1577" i="3"/>
  <c r="H1578" i="3"/>
  <c r="H1579" i="3"/>
  <c r="H1580" i="3"/>
  <c r="H1581" i="3"/>
  <c r="H1582" i="3"/>
  <c r="H1583" i="3"/>
  <c r="H1584" i="3"/>
  <c r="H1585" i="3"/>
  <c r="H1586" i="3"/>
  <c r="H1587" i="3"/>
  <c r="H1588" i="3"/>
  <c r="H1589" i="3"/>
  <c r="H1590" i="3"/>
  <c r="H1591" i="3"/>
  <c r="H1592" i="3"/>
  <c r="H1593" i="3"/>
  <c r="H1594" i="3"/>
  <c r="H1595" i="3"/>
  <c r="H1596" i="3"/>
  <c r="H1597" i="3"/>
  <c r="H1598" i="3"/>
  <c r="H1599" i="3"/>
  <c r="H1600" i="3"/>
  <c r="H1601" i="3"/>
  <c r="H1602" i="3"/>
  <c r="H1603" i="3"/>
  <c r="H1604" i="3"/>
  <c r="H1605" i="3"/>
  <c r="H1606" i="3"/>
  <c r="H1607" i="3"/>
  <c r="H1608" i="3"/>
  <c r="H1609" i="3"/>
  <c r="H1610" i="3"/>
  <c r="H1611" i="3"/>
  <c r="H1612" i="3"/>
  <c r="H1613" i="3"/>
  <c r="H1614" i="3"/>
  <c r="H1615" i="3"/>
  <c r="H1616" i="3"/>
  <c r="H1617" i="3"/>
  <c r="H1618" i="3"/>
  <c r="H1619" i="3"/>
  <c r="H1620" i="3"/>
  <c r="H1621" i="3"/>
  <c r="H1622" i="3"/>
  <c r="H1623" i="3"/>
  <c r="H1624" i="3"/>
  <c r="H1625" i="3"/>
  <c r="H1626" i="3"/>
  <c r="H1627" i="3"/>
  <c r="H1628" i="3"/>
  <c r="H1629" i="3"/>
  <c r="H1630" i="3"/>
  <c r="H1631" i="3"/>
  <c r="H1632" i="3"/>
  <c r="H1633" i="3"/>
  <c r="H1634" i="3"/>
  <c r="H1635" i="3"/>
  <c r="H1636" i="3"/>
  <c r="H1637" i="3"/>
  <c r="H1638" i="3"/>
  <c r="H1639" i="3"/>
  <c r="H1640" i="3"/>
  <c r="H1641" i="3"/>
  <c r="H1642" i="3"/>
  <c r="H1643" i="3"/>
  <c r="H1644" i="3"/>
  <c r="H1645" i="3"/>
  <c r="H1646" i="3"/>
  <c r="H1647" i="3"/>
  <c r="H1648" i="3"/>
  <c r="H1649" i="3"/>
  <c r="H1650" i="3"/>
  <c r="H1651" i="3"/>
  <c r="H1652" i="3"/>
  <c r="H1653" i="3"/>
  <c r="H1654" i="3"/>
  <c r="H1655" i="3"/>
  <c r="H1656" i="3"/>
  <c r="H1657" i="3"/>
  <c r="H1658" i="3"/>
  <c r="H1659" i="3"/>
  <c r="H1660" i="3"/>
  <c r="H1661" i="3"/>
  <c r="H1662" i="3"/>
  <c r="H1663" i="3"/>
  <c r="H1664" i="3"/>
  <c r="H1665" i="3"/>
  <c r="H1666" i="3"/>
  <c r="H1667" i="3"/>
  <c r="H1668" i="3"/>
  <c r="H1669" i="3"/>
  <c r="H1670" i="3"/>
  <c r="H1671" i="3"/>
  <c r="H1672" i="3"/>
  <c r="H1673" i="3"/>
  <c r="H1674" i="3"/>
  <c r="H1675" i="3"/>
  <c r="H1676" i="3"/>
  <c r="H1677" i="3"/>
  <c r="H1678" i="3"/>
  <c r="H1679" i="3"/>
  <c r="H1680" i="3"/>
  <c r="H1681" i="3"/>
  <c r="H1682" i="3"/>
  <c r="H1683" i="3"/>
  <c r="H1684" i="3"/>
  <c r="H1685" i="3"/>
  <c r="H1686" i="3"/>
  <c r="H1687" i="3"/>
  <c r="H1688" i="3"/>
  <c r="H1689" i="3"/>
  <c r="H1690" i="3"/>
  <c r="H1691" i="3"/>
  <c r="H1692" i="3"/>
  <c r="H1693" i="3"/>
  <c r="H1694" i="3"/>
  <c r="H1695" i="3"/>
  <c r="H1696" i="3"/>
  <c r="H1697" i="3"/>
  <c r="H1698" i="3"/>
  <c r="H1699" i="3"/>
  <c r="H1700" i="3"/>
  <c r="H1701" i="3"/>
  <c r="H1702" i="3"/>
  <c r="H1703" i="3"/>
  <c r="H1704" i="3"/>
  <c r="H1705" i="3"/>
  <c r="H1706" i="3"/>
  <c r="H1707" i="3"/>
  <c r="H1708" i="3"/>
  <c r="H1709" i="3"/>
  <c r="H1710" i="3"/>
  <c r="H1711" i="3"/>
  <c r="H1712" i="3"/>
  <c r="H1713" i="3"/>
  <c r="H1714" i="3"/>
  <c r="H1715" i="3"/>
  <c r="H1716" i="3"/>
  <c r="H1717" i="3"/>
  <c r="H1718" i="3"/>
  <c r="H1719" i="3"/>
  <c r="H1720" i="3"/>
  <c r="H1721" i="3"/>
  <c r="H1722" i="3"/>
  <c r="H1723" i="3"/>
  <c r="H1724" i="3"/>
  <c r="H1725" i="3"/>
  <c r="H1726" i="3"/>
  <c r="H1727" i="3"/>
  <c r="H1728" i="3"/>
  <c r="H1729" i="3"/>
  <c r="H1730" i="3"/>
  <c r="H1731" i="3"/>
  <c r="H1732" i="3"/>
  <c r="H1733" i="3"/>
  <c r="H1734" i="3"/>
  <c r="H1735" i="3"/>
  <c r="H1736" i="3"/>
  <c r="H1737" i="3"/>
  <c r="H1738" i="3"/>
  <c r="H1739" i="3"/>
  <c r="H1740" i="3"/>
  <c r="H1741" i="3"/>
  <c r="H1742" i="3"/>
  <c r="H1743" i="3"/>
  <c r="H1744" i="3"/>
  <c r="H1745" i="3"/>
  <c r="H1746" i="3"/>
  <c r="H1747" i="3"/>
  <c r="H1748" i="3"/>
  <c r="H1749" i="3"/>
  <c r="H1750" i="3"/>
  <c r="H1751" i="3"/>
  <c r="H1752" i="3"/>
  <c r="H1753" i="3"/>
  <c r="H1754" i="3"/>
  <c r="H1755" i="3"/>
  <c r="H1756" i="3"/>
  <c r="H1757" i="3"/>
  <c r="H1758" i="3"/>
  <c r="H1759" i="3"/>
  <c r="H1760" i="3"/>
  <c r="H1761" i="3"/>
  <c r="H1762" i="3"/>
  <c r="H1763" i="3"/>
  <c r="H1764" i="3"/>
  <c r="H1765" i="3"/>
  <c r="H1766" i="3"/>
  <c r="H1767" i="3"/>
  <c r="H1768" i="3"/>
  <c r="H1769" i="3"/>
  <c r="H1770" i="3"/>
  <c r="H1771" i="3"/>
  <c r="H1772" i="3"/>
  <c r="H1773" i="3"/>
  <c r="H1774" i="3"/>
  <c r="H1775" i="3"/>
  <c r="H1776" i="3"/>
  <c r="H1777" i="3"/>
  <c r="H1778" i="3"/>
  <c r="H1779" i="3"/>
  <c r="H1780" i="3"/>
  <c r="H1781" i="3"/>
  <c r="H1782" i="3"/>
  <c r="H1783" i="3"/>
  <c r="H1784" i="3"/>
  <c r="H1785" i="3"/>
  <c r="H1786" i="3"/>
  <c r="H1787" i="3"/>
  <c r="H1788" i="3"/>
  <c r="H1789" i="3"/>
  <c r="H1790" i="3"/>
  <c r="H1791" i="3"/>
  <c r="H1792" i="3"/>
  <c r="H1793" i="3"/>
  <c r="H1794" i="3"/>
  <c r="H1795" i="3"/>
  <c r="H1796" i="3"/>
  <c r="H1797" i="3"/>
  <c r="H1798" i="3"/>
  <c r="H1799" i="3"/>
  <c r="H1800" i="3"/>
  <c r="H1801" i="3"/>
  <c r="H1802" i="3"/>
  <c r="H1803" i="3"/>
  <c r="H1804" i="3"/>
  <c r="H1805" i="3"/>
  <c r="H1806" i="3"/>
  <c r="H1807" i="3"/>
  <c r="H1808" i="3"/>
  <c r="H1809" i="3"/>
  <c r="H1810" i="3"/>
  <c r="H1811" i="3"/>
  <c r="H1812" i="3"/>
  <c r="H1813" i="3"/>
  <c r="H1814" i="3"/>
  <c r="H1815" i="3"/>
  <c r="H1816" i="3"/>
  <c r="H1817" i="3"/>
  <c r="H1818" i="3"/>
  <c r="H1819" i="3"/>
  <c r="H1820" i="3"/>
  <c r="H1821" i="3"/>
  <c r="H1822" i="3"/>
  <c r="H1823" i="3"/>
  <c r="H1824" i="3"/>
  <c r="H1825" i="3"/>
  <c r="H1826" i="3"/>
  <c r="H1827" i="3"/>
  <c r="H1828" i="3"/>
  <c r="H1829" i="3"/>
  <c r="H1830" i="3"/>
  <c r="H1831" i="3"/>
  <c r="H1832" i="3"/>
  <c r="H1833" i="3"/>
  <c r="H1834" i="3"/>
  <c r="H1835" i="3"/>
  <c r="H1836" i="3"/>
  <c r="H1837" i="3"/>
  <c r="H1838" i="3"/>
  <c r="H1839" i="3"/>
  <c r="H1840" i="3"/>
  <c r="H1841" i="3"/>
  <c r="H1842" i="3"/>
  <c r="H1843" i="3"/>
  <c r="H1844" i="3"/>
  <c r="H1845" i="3"/>
  <c r="H1846" i="3"/>
  <c r="H1847" i="3"/>
  <c r="H1848" i="3"/>
  <c r="H1849" i="3"/>
  <c r="H1850" i="3"/>
  <c r="H1851" i="3"/>
  <c r="H1852" i="3"/>
  <c r="H1853" i="3"/>
  <c r="H1854" i="3"/>
  <c r="H1855" i="3"/>
  <c r="H1856" i="3"/>
  <c r="H1857" i="3"/>
  <c r="H1858" i="3"/>
  <c r="H1859" i="3"/>
  <c r="H1860" i="3"/>
  <c r="H1861" i="3"/>
  <c r="H1862" i="3"/>
  <c r="H1863" i="3"/>
  <c r="H1864" i="3"/>
  <c r="H1865" i="3"/>
  <c r="H1866" i="3"/>
  <c r="H1867" i="3"/>
  <c r="H1868" i="3"/>
  <c r="H1869" i="3"/>
  <c r="H1870" i="3"/>
  <c r="H1871" i="3"/>
  <c r="H1872" i="3"/>
  <c r="H1873" i="3"/>
  <c r="H1874" i="3"/>
  <c r="H1875" i="3"/>
  <c r="H1876" i="3"/>
  <c r="H1877" i="3"/>
  <c r="H1878" i="3"/>
  <c r="H1879" i="3"/>
  <c r="H1880" i="3"/>
  <c r="H1881" i="3"/>
  <c r="H1882" i="3"/>
  <c r="H1883" i="3"/>
  <c r="H1884" i="3"/>
  <c r="H1885" i="3"/>
  <c r="H1886" i="3"/>
  <c r="H1887" i="3"/>
  <c r="H1888" i="3"/>
  <c r="H1889" i="3"/>
  <c r="H1890" i="3"/>
  <c r="H1891" i="3"/>
  <c r="H1892" i="3"/>
  <c r="H1893" i="3"/>
  <c r="H1894" i="3"/>
  <c r="H1895" i="3"/>
  <c r="H1896" i="3"/>
  <c r="H1897" i="3"/>
  <c r="H1898" i="3"/>
  <c r="H1899" i="3"/>
  <c r="H1900" i="3"/>
  <c r="H1901" i="3"/>
  <c r="H1902" i="3"/>
  <c r="H1903" i="3"/>
  <c r="H1904" i="3"/>
  <c r="H1905" i="3"/>
  <c r="H1906" i="3"/>
  <c r="H1907" i="3"/>
  <c r="H1908" i="3"/>
  <c r="H1909" i="3"/>
  <c r="H1910" i="3"/>
  <c r="H1911" i="3"/>
  <c r="H1912" i="3"/>
  <c r="H1913" i="3"/>
  <c r="H1914" i="3"/>
  <c r="H1915" i="3"/>
  <c r="H1916" i="3"/>
  <c r="H1917" i="3"/>
  <c r="H1918" i="3"/>
  <c r="H1919" i="3"/>
  <c r="H1920" i="3"/>
  <c r="H1921" i="3"/>
  <c r="H1922" i="3"/>
  <c r="H1923" i="3"/>
  <c r="H1924" i="3"/>
  <c r="H1925" i="3"/>
  <c r="H1926" i="3"/>
  <c r="H1927" i="3"/>
  <c r="H1928" i="3"/>
  <c r="H1929" i="3"/>
  <c r="H1930" i="3"/>
  <c r="H1931" i="3"/>
  <c r="H1932" i="3"/>
  <c r="H1933" i="3"/>
  <c r="H1934" i="3"/>
  <c r="H1935" i="3"/>
  <c r="H1936" i="3"/>
  <c r="H1937" i="3"/>
  <c r="H1938" i="3"/>
  <c r="H1939" i="3"/>
  <c r="H1940" i="3"/>
  <c r="H1941" i="3"/>
  <c r="H1942" i="3"/>
  <c r="H1943" i="3"/>
  <c r="H1944" i="3"/>
  <c r="H1945" i="3"/>
  <c r="H1946" i="3"/>
  <c r="H1947" i="3"/>
  <c r="H1948" i="3"/>
  <c r="H1949" i="3"/>
  <c r="H1950" i="3"/>
  <c r="H1951" i="3"/>
  <c r="H1952" i="3"/>
  <c r="H1953" i="3"/>
  <c r="H1954" i="3"/>
  <c r="H1955" i="3"/>
  <c r="H1956" i="3"/>
  <c r="H1957" i="3"/>
  <c r="H1958" i="3"/>
  <c r="H1959" i="3"/>
  <c r="H1960" i="3"/>
  <c r="H1961" i="3"/>
  <c r="H1962" i="3"/>
  <c r="H1963" i="3"/>
  <c r="H1964" i="3"/>
  <c r="H1965" i="3"/>
  <c r="H1966" i="3"/>
  <c r="H1967" i="3"/>
  <c r="H1968" i="3"/>
  <c r="H1969" i="3"/>
  <c r="H1970" i="3"/>
  <c r="H1971" i="3"/>
  <c r="H1972" i="3"/>
  <c r="H1973" i="3"/>
  <c r="H1974" i="3"/>
  <c r="H1975" i="3"/>
  <c r="H1976" i="3"/>
  <c r="H1977" i="3"/>
  <c r="H1978" i="3"/>
  <c r="H1979" i="3"/>
  <c r="H1980" i="3"/>
  <c r="H1981" i="3"/>
  <c r="H1982" i="3"/>
  <c r="H1983" i="3"/>
  <c r="H1984" i="3"/>
  <c r="H1985" i="3"/>
  <c r="H1986" i="3"/>
  <c r="H1987" i="3"/>
  <c r="H1988" i="3"/>
  <c r="H1989" i="3"/>
  <c r="H1990" i="3"/>
  <c r="H1991" i="3"/>
  <c r="H1992" i="3"/>
  <c r="H1993" i="3"/>
  <c r="H1994" i="3"/>
  <c r="H1995" i="3"/>
  <c r="H1996" i="3"/>
  <c r="H1997" i="3"/>
  <c r="H1998" i="3"/>
  <c r="H1999" i="3"/>
  <c r="H2000" i="3"/>
  <c r="H2001" i="3"/>
  <c r="H2002" i="3"/>
  <c r="H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G213" i="3"/>
  <c r="G214" i="3"/>
  <c r="G215" i="3"/>
  <c r="G216" i="3"/>
  <c r="G217" i="3"/>
  <c r="G218" i="3"/>
  <c r="G219" i="3"/>
  <c r="G220" i="3"/>
  <c r="G221" i="3"/>
  <c r="G222" i="3"/>
  <c r="G223" i="3"/>
  <c r="G224" i="3"/>
  <c r="G225" i="3"/>
  <c r="G226" i="3"/>
  <c r="G227" i="3"/>
  <c r="G228" i="3"/>
  <c r="G229" i="3"/>
  <c r="G230" i="3"/>
  <c r="G231" i="3"/>
  <c r="G232" i="3"/>
  <c r="G233" i="3"/>
  <c r="G234" i="3"/>
  <c r="G235" i="3"/>
  <c r="G236" i="3"/>
  <c r="G237" i="3"/>
  <c r="G238" i="3"/>
  <c r="G239" i="3"/>
  <c r="G240" i="3"/>
  <c r="G241" i="3"/>
  <c r="G242" i="3"/>
  <c r="G243" i="3"/>
  <c r="G244" i="3"/>
  <c r="G245" i="3"/>
  <c r="G246" i="3"/>
  <c r="G247" i="3"/>
  <c r="G248" i="3"/>
  <c r="G249" i="3"/>
  <c r="G250" i="3"/>
  <c r="G251" i="3"/>
  <c r="G252" i="3"/>
  <c r="G253" i="3"/>
  <c r="G254" i="3"/>
  <c r="G255" i="3"/>
  <c r="G256" i="3"/>
  <c r="G257" i="3"/>
  <c r="G258" i="3"/>
  <c r="G259" i="3"/>
  <c r="G260" i="3"/>
  <c r="G261" i="3"/>
  <c r="G262" i="3"/>
  <c r="G263" i="3"/>
  <c r="G264" i="3"/>
  <c r="G265" i="3"/>
  <c r="G266" i="3"/>
  <c r="G267" i="3"/>
  <c r="G268" i="3"/>
  <c r="G269" i="3"/>
  <c r="G270" i="3"/>
  <c r="G271" i="3"/>
  <c r="G272" i="3"/>
  <c r="G273" i="3"/>
  <c r="G274" i="3"/>
  <c r="G275" i="3"/>
  <c r="G276" i="3"/>
  <c r="G277" i="3"/>
  <c r="G278" i="3"/>
  <c r="G279" i="3"/>
  <c r="G280" i="3"/>
  <c r="G281" i="3"/>
  <c r="G282" i="3"/>
  <c r="G283" i="3"/>
  <c r="G284" i="3"/>
  <c r="G285" i="3"/>
  <c r="G286" i="3"/>
  <c r="G287" i="3"/>
  <c r="G288" i="3"/>
  <c r="G289" i="3"/>
  <c r="G290" i="3"/>
  <c r="G291" i="3"/>
  <c r="G292" i="3"/>
  <c r="G293" i="3"/>
  <c r="G294" i="3"/>
  <c r="G295" i="3"/>
  <c r="G296" i="3"/>
  <c r="G297" i="3"/>
  <c r="G298" i="3"/>
  <c r="G299" i="3"/>
  <c r="G300" i="3"/>
  <c r="G301" i="3"/>
  <c r="G302" i="3"/>
  <c r="G303" i="3"/>
  <c r="G304" i="3"/>
  <c r="G305" i="3"/>
  <c r="G306" i="3"/>
  <c r="G307" i="3"/>
  <c r="G308" i="3"/>
  <c r="G309" i="3"/>
  <c r="G310" i="3"/>
  <c r="G311" i="3"/>
  <c r="G312" i="3"/>
  <c r="G313" i="3"/>
  <c r="G314" i="3"/>
  <c r="G315" i="3"/>
  <c r="G316" i="3"/>
  <c r="G317" i="3"/>
  <c r="G318" i="3"/>
  <c r="G319" i="3"/>
  <c r="G320" i="3"/>
  <c r="G321" i="3"/>
  <c r="G322" i="3"/>
  <c r="G323" i="3"/>
  <c r="G324" i="3"/>
  <c r="G325" i="3"/>
  <c r="G326" i="3"/>
  <c r="G327" i="3"/>
  <c r="G328" i="3"/>
  <c r="G329" i="3"/>
  <c r="G330" i="3"/>
  <c r="G331" i="3"/>
  <c r="G332" i="3"/>
  <c r="G333" i="3"/>
  <c r="G334" i="3"/>
  <c r="G335" i="3"/>
  <c r="G336" i="3"/>
  <c r="G337" i="3"/>
  <c r="G338" i="3"/>
  <c r="G339" i="3"/>
  <c r="G340" i="3"/>
  <c r="G341" i="3"/>
  <c r="G342" i="3"/>
  <c r="G343" i="3"/>
  <c r="G344" i="3"/>
  <c r="G345" i="3"/>
  <c r="G346" i="3"/>
  <c r="G347" i="3"/>
  <c r="G348" i="3"/>
  <c r="G349" i="3"/>
  <c r="G350" i="3"/>
  <c r="G351" i="3"/>
  <c r="G352" i="3"/>
  <c r="G353" i="3"/>
  <c r="G354" i="3"/>
  <c r="G355" i="3"/>
  <c r="G356" i="3"/>
  <c r="G357" i="3"/>
  <c r="G358" i="3"/>
  <c r="G359" i="3"/>
  <c r="G360" i="3"/>
  <c r="G361" i="3"/>
  <c r="G362" i="3"/>
  <c r="G363" i="3"/>
  <c r="G364" i="3"/>
  <c r="G365" i="3"/>
  <c r="G366" i="3"/>
  <c r="G367" i="3"/>
  <c r="G368" i="3"/>
  <c r="G369" i="3"/>
  <c r="G370" i="3"/>
  <c r="G371" i="3"/>
  <c r="G372" i="3"/>
  <c r="G373" i="3"/>
  <c r="G374" i="3"/>
  <c r="G375" i="3"/>
  <c r="G376" i="3"/>
  <c r="G377" i="3"/>
  <c r="G378" i="3"/>
  <c r="G379" i="3"/>
  <c r="G380" i="3"/>
  <c r="G381" i="3"/>
  <c r="G382" i="3"/>
  <c r="G383" i="3"/>
  <c r="G384" i="3"/>
  <c r="G385" i="3"/>
  <c r="G386" i="3"/>
  <c r="G387" i="3"/>
  <c r="G388" i="3"/>
  <c r="G389" i="3"/>
  <c r="G390" i="3"/>
  <c r="G391" i="3"/>
  <c r="G392" i="3"/>
  <c r="G393" i="3"/>
  <c r="G394" i="3"/>
  <c r="G395" i="3"/>
  <c r="G396" i="3"/>
  <c r="G397" i="3"/>
  <c r="G398" i="3"/>
  <c r="G399" i="3"/>
  <c r="G400" i="3"/>
  <c r="G401" i="3"/>
  <c r="G402" i="3"/>
  <c r="G403" i="3"/>
  <c r="G404" i="3"/>
  <c r="G405" i="3"/>
  <c r="G406" i="3"/>
  <c r="G407" i="3"/>
  <c r="G408" i="3"/>
  <c r="G409" i="3"/>
  <c r="G410" i="3"/>
  <c r="G411" i="3"/>
  <c r="G412" i="3"/>
  <c r="G413" i="3"/>
  <c r="G414" i="3"/>
  <c r="G415" i="3"/>
  <c r="G416" i="3"/>
  <c r="G417" i="3"/>
  <c r="G418" i="3"/>
  <c r="G419" i="3"/>
  <c r="G420" i="3"/>
  <c r="G421" i="3"/>
  <c r="G422" i="3"/>
  <c r="G423" i="3"/>
  <c r="G424" i="3"/>
  <c r="G425" i="3"/>
  <c r="G426" i="3"/>
  <c r="G427" i="3"/>
  <c r="G428" i="3"/>
  <c r="G429" i="3"/>
  <c r="G430" i="3"/>
  <c r="G431" i="3"/>
  <c r="G432" i="3"/>
  <c r="G433" i="3"/>
  <c r="G434" i="3"/>
  <c r="G435" i="3"/>
  <c r="G436" i="3"/>
  <c r="G437" i="3"/>
  <c r="G438" i="3"/>
  <c r="G439" i="3"/>
  <c r="G440" i="3"/>
  <c r="G441" i="3"/>
  <c r="G442" i="3"/>
  <c r="G443" i="3"/>
  <c r="G444" i="3"/>
  <c r="G445" i="3"/>
  <c r="G446" i="3"/>
  <c r="G447" i="3"/>
  <c r="G448" i="3"/>
  <c r="G449" i="3"/>
  <c r="G450" i="3"/>
  <c r="G451" i="3"/>
  <c r="G452" i="3"/>
  <c r="G453" i="3"/>
  <c r="G454" i="3"/>
  <c r="G455" i="3"/>
  <c r="G456" i="3"/>
  <c r="G457" i="3"/>
  <c r="G458" i="3"/>
  <c r="G459" i="3"/>
  <c r="G460" i="3"/>
  <c r="G461" i="3"/>
  <c r="G462" i="3"/>
  <c r="G463" i="3"/>
  <c r="G464" i="3"/>
  <c r="G465" i="3"/>
  <c r="G466" i="3"/>
  <c r="G467" i="3"/>
  <c r="G468" i="3"/>
  <c r="G469" i="3"/>
  <c r="G470" i="3"/>
  <c r="G471" i="3"/>
  <c r="G472" i="3"/>
  <c r="G473" i="3"/>
  <c r="G474" i="3"/>
  <c r="G475" i="3"/>
  <c r="G476" i="3"/>
  <c r="G477" i="3"/>
  <c r="G478" i="3"/>
  <c r="G479" i="3"/>
  <c r="G480" i="3"/>
  <c r="G481" i="3"/>
  <c r="G482" i="3"/>
  <c r="G483" i="3"/>
  <c r="G484" i="3"/>
  <c r="G485" i="3"/>
  <c r="G486" i="3"/>
  <c r="G487" i="3"/>
  <c r="G488" i="3"/>
  <c r="G489" i="3"/>
  <c r="G490" i="3"/>
  <c r="G491" i="3"/>
  <c r="G492" i="3"/>
  <c r="G493" i="3"/>
  <c r="G494" i="3"/>
  <c r="G495" i="3"/>
  <c r="G496" i="3"/>
  <c r="G497" i="3"/>
  <c r="G498" i="3"/>
  <c r="G499" i="3"/>
  <c r="G500" i="3"/>
  <c r="G501" i="3"/>
  <c r="G502" i="3"/>
  <c r="G503" i="3"/>
  <c r="G504" i="3"/>
  <c r="G505" i="3"/>
  <c r="G506" i="3"/>
  <c r="G507" i="3"/>
  <c r="G508" i="3"/>
  <c r="G509" i="3"/>
  <c r="G510" i="3"/>
  <c r="G511" i="3"/>
  <c r="G512" i="3"/>
  <c r="G513" i="3"/>
  <c r="G514" i="3"/>
  <c r="G515" i="3"/>
  <c r="G516" i="3"/>
  <c r="G517" i="3"/>
  <c r="G518" i="3"/>
  <c r="G519" i="3"/>
  <c r="G520" i="3"/>
  <c r="G521" i="3"/>
  <c r="G522" i="3"/>
  <c r="G523" i="3"/>
  <c r="G524" i="3"/>
  <c r="G525" i="3"/>
  <c r="G526" i="3"/>
  <c r="G527" i="3"/>
  <c r="G528" i="3"/>
  <c r="G529" i="3"/>
  <c r="G530" i="3"/>
  <c r="G531" i="3"/>
  <c r="G532" i="3"/>
  <c r="G533" i="3"/>
  <c r="G534" i="3"/>
  <c r="G535" i="3"/>
  <c r="G536" i="3"/>
  <c r="G537" i="3"/>
  <c r="G538" i="3"/>
  <c r="G539" i="3"/>
  <c r="G540" i="3"/>
  <c r="G541" i="3"/>
  <c r="G542" i="3"/>
  <c r="G543" i="3"/>
  <c r="G544" i="3"/>
  <c r="G545" i="3"/>
  <c r="G546" i="3"/>
  <c r="G547" i="3"/>
  <c r="G548" i="3"/>
  <c r="G549" i="3"/>
  <c r="G550" i="3"/>
  <c r="G551" i="3"/>
  <c r="G552" i="3"/>
  <c r="G553" i="3"/>
  <c r="G554" i="3"/>
  <c r="G555" i="3"/>
  <c r="G556" i="3"/>
  <c r="G557" i="3"/>
  <c r="G558" i="3"/>
  <c r="G559" i="3"/>
  <c r="G560" i="3"/>
  <c r="G561" i="3"/>
  <c r="G562" i="3"/>
  <c r="G563" i="3"/>
  <c r="G564" i="3"/>
  <c r="G565" i="3"/>
  <c r="G566" i="3"/>
  <c r="G567" i="3"/>
  <c r="G568" i="3"/>
  <c r="G569" i="3"/>
  <c r="G570" i="3"/>
  <c r="G571" i="3"/>
  <c r="G572" i="3"/>
  <c r="G573" i="3"/>
  <c r="G574" i="3"/>
  <c r="G575" i="3"/>
  <c r="G576" i="3"/>
  <c r="G577" i="3"/>
  <c r="G578" i="3"/>
  <c r="G579" i="3"/>
  <c r="G580" i="3"/>
  <c r="G581" i="3"/>
  <c r="G582" i="3"/>
  <c r="G583" i="3"/>
  <c r="G584" i="3"/>
  <c r="G585" i="3"/>
  <c r="G586" i="3"/>
  <c r="G587" i="3"/>
  <c r="G588" i="3"/>
  <c r="G589" i="3"/>
  <c r="G590" i="3"/>
  <c r="G591" i="3"/>
  <c r="G592" i="3"/>
  <c r="G593" i="3"/>
  <c r="G594" i="3"/>
  <c r="G595" i="3"/>
  <c r="G596" i="3"/>
  <c r="G597" i="3"/>
  <c r="G598" i="3"/>
  <c r="G599" i="3"/>
  <c r="G600" i="3"/>
  <c r="G601" i="3"/>
  <c r="G602" i="3"/>
  <c r="G603" i="3"/>
  <c r="G604" i="3"/>
  <c r="G605" i="3"/>
  <c r="G606" i="3"/>
  <c r="G607" i="3"/>
  <c r="G608" i="3"/>
  <c r="G609" i="3"/>
  <c r="G610" i="3"/>
  <c r="G611" i="3"/>
  <c r="G612" i="3"/>
  <c r="G613" i="3"/>
  <c r="G614" i="3"/>
  <c r="G615" i="3"/>
  <c r="G616" i="3"/>
  <c r="G617" i="3"/>
  <c r="G618" i="3"/>
  <c r="G619" i="3"/>
  <c r="G620" i="3"/>
  <c r="G621" i="3"/>
  <c r="G622" i="3"/>
  <c r="G623" i="3"/>
  <c r="G624" i="3"/>
  <c r="G625" i="3"/>
  <c r="G626" i="3"/>
  <c r="G627" i="3"/>
  <c r="G628" i="3"/>
  <c r="G629" i="3"/>
  <c r="G630" i="3"/>
  <c r="G631" i="3"/>
  <c r="G632" i="3"/>
  <c r="G633" i="3"/>
  <c r="G634" i="3"/>
  <c r="G635" i="3"/>
  <c r="G636" i="3"/>
  <c r="G637" i="3"/>
  <c r="G638" i="3"/>
  <c r="G639" i="3"/>
  <c r="G640" i="3"/>
  <c r="G641" i="3"/>
  <c r="G642" i="3"/>
  <c r="G643" i="3"/>
  <c r="G644" i="3"/>
  <c r="G645" i="3"/>
  <c r="G646" i="3"/>
  <c r="G647" i="3"/>
  <c r="G648" i="3"/>
  <c r="G649" i="3"/>
  <c r="G650" i="3"/>
  <c r="G651" i="3"/>
  <c r="G652" i="3"/>
  <c r="G653" i="3"/>
  <c r="G654" i="3"/>
  <c r="G655" i="3"/>
  <c r="G656" i="3"/>
  <c r="G657" i="3"/>
  <c r="G658" i="3"/>
  <c r="G659" i="3"/>
  <c r="G660" i="3"/>
  <c r="G661" i="3"/>
  <c r="G662" i="3"/>
  <c r="G663" i="3"/>
  <c r="G664" i="3"/>
  <c r="G665" i="3"/>
  <c r="G666" i="3"/>
  <c r="G667" i="3"/>
  <c r="G668" i="3"/>
  <c r="G669" i="3"/>
  <c r="G670" i="3"/>
  <c r="G671" i="3"/>
  <c r="G672" i="3"/>
  <c r="G673" i="3"/>
  <c r="G674" i="3"/>
  <c r="G675" i="3"/>
  <c r="G676" i="3"/>
  <c r="G677" i="3"/>
  <c r="G678" i="3"/>
  <c r="G679" i="3"/>
  <c r="G680" i="3"/>
  <c r="G681" i="3"/>
  <c r="G682" i="3"/>
  <c r="G683" i="3"/>
  <c r="G684" i="3"/>
  <c r="G685" i="3"/>
  <c r="G686" i="3"/>
  <c r="G687" i="3"/>
  <c r="G688" i="3"/>
  <c r="G689" i="3"/>
  <c r="G690" i="3"/>
  <c r="G691" i="3"/>
  <c r="G692" i="3"/>
  <c r="G693" i="3"/>
  <c r="G694" i="3"/>
  <c r="G695" i="3"/>
  <c r="G696" i="3"/>
  <c r="G697" i="3"/>
  <c r="G698" i="3"/>
  <c r="G699" i="3"/>
  <c r="G700" i="3"/>
  <c r="G701" i="3"/>
  <c r="G702" i="3"/>
  <c r="G703" i="3"/>
  <c r="G704" i="3"/>
  <c r="G705" i="3"/>
  <c r="G706" i="3"/>
  <c r="G707" i="3"/>
  <c r="G708" i="3"/>
  <c r="G709" i="3"/>
  <c r="G710" i="3"/>
  <c r="G711" i="3"/>
  <c r="G712" i="3"/>
  <c r="G713" i="3"/>
  <c r="G714" i="3"/>
  <c r="G715" i="3"/>
  <c r="G716" i="3"/>
  <c r="G717" i="3"/>
  <c r="G718" i="3"/>
  <c r="G719" i="3"/>
  <c r="G720" i="3"/>
  <c r="G721" i="3"/>
  <c r="G722" i="3"/>
  <c r="G723" i="3"/>
  <c r="G724" i="3"/>
  <c r="G725" i="3"/>
  <c r="G726" i="3"/>
  <c r="G727" i="3"/>
  <c r="G728" i="3"/>
  <c r="G729" i="3"/>
  <c r="G730" i="3"/>
  <c r="G731" i="3"/>
  <c r="G732" i="3"/>
  <c r="G733" i="3"/>
  <c r="G734" i="3"/>
  <c r="G735" i="3"/>
  <c r="G736" i="3"/>
  <c r="G737" i="3"/>
  <c r="G738" i="3"/>
  <c r="G739" i="3"/>
  <c r="G740" i="3"/>
  <c r="G741" i="3"/>
  <c r="G742" i="3"/>
  <c r="G743" i="3"/>
  <c r="G744" i="3"/>
  <c r="G745" i="3"/>
  <c r="G746" i="3"/>
  <c r="G747" i="3"/>
  <c r="G748" i="3"/>
  <c r="G749" i="3"/>
  <c r="G750" i="3"/>
  <c r="G751" i="3"/>
  <c r="G752" i="3"/>
  <c r="G753" i="3"/>
  <c r="G754" i="3"/>
  <c r="G755" i="3"/>
  <c r="G756" i="3"/>
  <c r="G757" i="3"/>
  <c r="G758" i="3"/>
  <c r="G759" i="3"/>
  <c r="G760" i="3"/>
  <c r="G761" i="3"/>
  <c r="G762" i="3"/>
  <c r="G763" i="3"/>
  <c r="G764" i="3"/>
  <c r="G765" i="3"/>
  <c r="G766" i="3"/>
  <c r="G767" i="3"/>
  <c r="G768" i="3"/>
  <c r="G769" i="3"/>
  <c r="G770" i="3"/>
  <c r="G771" i="3"/>
  <c r="G772" i="3"/>
  <c r="G773" i="3"/>
  <c r="G774" i="3"/>
  <c r="G775" i="3"/>
  <c r="G776" i="3"/>
  <c r="G777" i="3"/>
  <c r="G778" i="3"/>
  <c r="G779" i="3"/>
  <c r="G780" i="3"/>
  <c r="G781" i="3"/>
  <c r="G782" i="3"/>
  <c r="G783" i="3"/>
  <c r="G784" i="3"/>
  <c r="G785" i="3"/>
  <c r="G786" i="3"/>
  <c r="G787" i="3"/>
  <c r="G788" i="3"/>
  <c r="G789" i="3"/>
  <c r="G790" i="3"/>
  <c r="G791" i="3"/>
  <c r="G792" i="3"/>
  <c r="G793" i="3"/>
  <c r="G794" i="3"/>
  <c r="G795" i="3"/>
  <c r="G796" i="3"/>
  <c r="G797" i="3"/>
  <c r="G798" i="3"/>
  <c r="G799" i="3"/>
  <c r="G800" i="3"/>
  <c r="G801" i="3"/>
  <c r="G802" i="3"/>
  <c r="G803" i="3"/>
  <c r="G804" i="3"/>
  <c r="G805" i="3"/>
  <c r="G806" i="3"/>
  <c r="G807" i="3"/>
  <c r="G808" i="3"/>
  <c r="G809" i="3"/>
  <c r="G810" i="3"/>
  <c r="G811" i="3"/>
  <c r="G812" i="3"/>
  <c r="G813" i="3"/>
  <c r="G814" i="3"/>
  <c r="G815" i="3"/>
  <c r="G816" i="3"/>
  <c r="G817" i="3"/>
  <c r="G818" i="3"/>
  <c r="G819" i="3"/>
  <c r="G820" i="3"/>
  <c r="G821" i="3"/>
  <c r="G822" i="3"/>
  <c r="G823" i="3"/>
  <c r="G824" i="3"/>
  <c r="G825" i="3"/>
  <c r="G826" i="3"/>
  <c r="G827" i="3"/>
  <c r="G828" i="3"/>
  <c r="G829" i="3"/>
  <c r="G830" i="3"/>
  <c r="G831" i="3"/>
  <c r="G832" i="3"/>
  <c r="G833" i="3"/>
  <c r="G834" i="3"/>
  <c r="G835" i="3"/>
  <c r="G836" i="3"/>
  <c r="G837" i="3"/>
  <c r="G838" i="3"/>
  <c r="G839" i="3"/>
  <c r="G840" i="3"/>
  <c r="G841" i="3"/>
  <c r="G842" i="3"/>
  <c r="G843" i="3"/>
  <c r="G844" i="3"/>
  <c r="G845" i="3"/>
  <c r="G846" i="3"/>
  <c r="G847" i="3"/>
  <c r="G848" i="3"/>
  <c r="G849" i="3"/>
  <c r="G850" i="3"/>
  <c r="G851" i="3"/>
  <c r="G852" i="3"/>
  <c r="G853" i="3"/>
  <c r="G854" i="3"/>
  <c r="G855" i="3"/>
  <c r="G856" i="3"/>
  <c r="G857" i="3"/>
  <c r="G858" i="3"/>
  <c r="G859" i="3"/>
  <c r="G860" i="3"/>
  <c r="G861" i="3"/>
  <c r="G862" i="3"/>
  <c r="G863" i="3"/>
  <c r="G864" i="3"/>
  <c r="G865" i="3"/>
  <c r="G866" i="3"/>
  <c r="G867" i="3"/>
  <c r="G868" i="3"/>
  <c r="G869" i="3"/>
  <c r="G870" i="3"/>
  <c r="G871" i="3"/>
  <c r="G872" i="3"/>
  <c r="G873" i="3"/>
  <c r="G874" i="3"/>
  <c r="G875" i="3"/>
  <c r="G876" i="3"/>
  <c r="G877" i="3"/>
  <c r="G878" i="3"/>
  <c r="G879" i="3"/>
  <c r="G880" i="3"/>
  <c r="G881" i="3"/>
  <c r="G882" i="3"/>
  <c r="G883" i="3"/>
  <c r="G884" i="3"/>
  <c r="G885" i="3"/>
  <c r="G886" i="3"/>
  <c r="G887" i="3"/>
  <c r="G888" i="3"/>
  <c r="G889" i="3"/>
  <c r="G890" i="3"/>
  <c r="G891" i="3"/>
  <c r="G892" i="3"/>
  <c r="G893" i="3"/>
  <c r="G894" i="3"/>
  <c r="G895" i="3"/>
  <c r="G896" i="3"/>
  <c r="G897" i="3"/>
  <c r="G898" i="3"/>
  <c r="G899" i="3"/>
  <c r="G900" i="3"/>
  <c r="G901" i="3"/>
  <c r="G902" i="3"/>
  <c r="G903" i="3"/>
  <c r="G904" i="3"/>
  <c r="G905" i="3"/>
  <c r="G906" i="3"/>
  <c r="G907" i="3"/>
  <c r="G908" i="3"/>
  <c r="G909" i="3"/>
  <c r="G910" i="3"/>
  <c r="G911" i="3"/>
  <c r="G912" i="3"/>
  <c r="G913" i="3"/>
  <c r="G914" i="3"/>
  <c r="G915" i="3"/>
  <c r="G916" i="3"/>
  <c r="G917" i="3"/>
  <c r="G918" i="3"/>
  <c r="G919" i="3"/>
  <c r="G920" i="3"/>
  <c r="G921" i="3"/>
  <c r="G922" i="3"/>
  <c r="G923" i="3"/>
  <c r="G924" i="3"/>
  <c r="G925" i="3"/>
  <c r="G926" i="3"/>
  <c r="G927" i="3"/>
  <c r="G928" i="3"/>
  <c r="G929" i="3"/>
  <c r="G930" i="3"/>
  <c r="G931" i="3"/>
  <c r="G932" i="3"/>
  <c r="G933" i="3"/>
  <c r="G934" i="3"/>
  <c r="G935" i="3"/>
  <c r="G936" i="3"/>
  <c r="G937" i="3"/>
  <c r="G938" i="3"/>
  <c r="G939" i="3"/>
  <c r="G940" i="3"/>
  <c r="G941" i="3"/>
  <c r="G942" i="3"/>
  <c r="G943" i="3"/>
  <c r="G944" i="3"/>
  <c r="G945" i="3"/>
  <c r="G946" i="3"/>
  <c r="G947" i="3"/>
  <c r="G948" i="3"/>
  <c r="G949" i="3"/>
  <c r="G950" i="3"/>
  <c r="G951" i="3"/>
  <c r="G952" i="3"/>
  <c r="G953" i="3"/>
  <c r="G954" i="3"/>
  <c r="G955" i="3"/>
  <c r="G956" i="3"/>
  <c r="G957" i="3"/>
  <c r="G958" i="3"/>
  <c r="G959" i="3"/>
  <c r="G960" i="3"/>
  <c r="G961" i="3"/>
  <c r="G962" i="3"/>
  <c r="G963" i="3"/>
  <c r="G964" i="3"/>
  <c r="G965" i="3"/>
  <c r="G966" i="3"/>
  <c r="G967" i="3"/>
  <c r="G968" i="3"/>
  <c r="G969" i="3"/>
  <c r="G970" i="3"/>
  <c r="G971" i="3"/>
  <c r="G972" i="3"/>
  <c r="G973" i="3"/>
  <c r="G974" i="3"/>
  <c r="G975" i="3"/>
  <c r="G976" i="3"/>
  <c r="G977" i="3"/>
  <c r="G978" i="3"/>
  <c r="G979" i="3"/>
  <c r="G980" i="3"/>
  <c r="G981" i="3"/>
  <c r="G982" i="3"/>
  <c r="G983" i="3"/>
  <c r="G984" i="3"/>
  <c r="G985" i="3"/>
  <c r="G986" i="3"/>
  <c r="G987" i="3"/>
  <c r="G988" i="3"/>
  <c r="G989" i="3"/>
  <c r="G990" i="3"/>
  <c r="G991" i="3"/>
  <c r="G992" i="3"/>
  <c r="G993" i="3"/>
  <c r="G994" i="3"/>
  <c r="G995" i="3"/>
  <c r="G996" i="3"/>
  <c r="G997" i="3"/>
  <c r="G998" i="3"/>
  <c r="G999" i="3"/>
  <c r="G1000" i="3"/>
  <c r="G1001" i="3"/>
  <c r="G1002" i="3"/>
  <c r="G1003" i="3"/>
  <c r="G1004" i="3"/>
  <c r="G1005" i="3"/>
  <c r="G1006" i="3"/>
  <c r="G1007" i="3"/>
  <c r="G1008" i="3"/>
  <c r="G1009" i="3"/>
  <c r="G1010" i="3"/>
  <c r="G1011" i="3"/>
  <c r="G1012" i="3"/>
  <c r="G1013" i="3"/>
  <c r="G1014" i="3"/>
  <c r="G1015" i="3"/>
  <c r="G1016" i="3"/>
  <c r="G1017" i="3"/>
  <c r="G1018" i="3"/>
  <c r="G1019" i="3"/>
  <c r="G1020" i="3"/>
  <c r="G1021" i="3"/>
  <c r="G1022" i="3"/>
  <c r="G1023" i="3"/>
  <c r="G1024" i="3"/>
  <c r="G1025" i="3"/>
  <c r="G1026" i="3"/>
  <c r="G1027" i="3"/>
  <c r="G1028" i="3"/>
  <c r="G1029" i="3"/>
  <c r="G1030" i="3"/>
  <c r="G1031" i="3"/>
  <c r="G1032" i="3"/>
  <c r="G1033" i="3"/>
  <c r="G1034" i="3"/>
  <c r="G1035" i="3"/>
  <c r="G1036" i="3"/>
  <c r="G1037" i="3"/>
  <c r="G1038" i="3"/>
  <c r="G1039" i="3"/>
  <c r="G1040" i="3"/>
  <c r="G1041" i="3"/>
  <c r="G1042" i="3"/>
  <c r="G1043" i="3"/>
  <c r="G1044" i="3"/>
  <c r="G1045" i="3"/>
  <c r="G1046" i="3"/>
  <c r="G1047" i="3"/>
  <c r="G1048" i="3"/>
  <c r="G1049" i="3"/>
  <c r="G1050" i="3"/>
  <c r="G1051" i="3"/>
  <c r="G1052" i="3"/>
  <c r="G1053" i="3"/>
  <c r="G1054" i="3"/>
  <c r="G1055" i="3"/>
  <c r="G1056" i="3"/>
  <c r="G1057" i="3"/>
  <c r="G1058" i="3"/>
  <c r="G1059" i="3"/>
  <c r="G1060" i="3"/>
  <c r="G1061" i="3"/>
  <c r="G1062" i="3"/>
  <c r="G1063" i="3"/>
  <c r="G1064" i="3"/>
  <c r="G1065" i="3"/>
  <c r="G1066" i="3"/>
  <c r="G1067" i="3"/>
  <c r="G1068" i="3"/>
  <c r="G1069" i="3"/>
  <c r="G1070" i="3"/>
  <c r="G1071" i="3"/>
  <c r="G1072" i="3"/>
  <c r="G1073" i="3"/>
  <c r="G1074" i="3"/>
  <c r="G1075" i="3"/>
  <c r="G1076" i="3"/>
  <c r="G1077" i="3"/>
  <c r="G1078" i="3"/>
  <c r="G1079" i="3"/>
  <c r="G1080" i="3"/>
  <c r="G1081" i="3"/>
  <c r="G1082" i="3"/>
  <c r="G1083" i="3"/>
  <c r="G1084" i="3"/>
  <c r="G1085" i="3"/>
  <c r="G1086" i="3"/>
  <c r="G1087" i="3"/>
  <c r="G1088" i="3"/>
  <c r="G1089" i="3"/>
  <c r="G1090" i="3"/>
  <c r="G1091" i="3"/>
  <c r="G1092" i="3"/>
  <c r="G1093" i="3"/>
  <c r="G1094" i="3"/>
  <c r="G1095" i="3"/>
  <c r="G1096" i="3"/>
  <c r="G1097" i="3"/>
  <c r="G1098" i="3"/>
  <c r="G1099" i="3"/>
  <c r="G1100" i="3"/>
  <c r="G1101" i="3"/>
  <c r="G1102" i="3"/>
  <c r="G1103" i="3"/>
  <c r="G1104" i="3"/>
  <c r="G1105" i="3"/>
  <c r="G1106" i="3"/>
  <c r="G1107" i="3"/>
  <c r="G1108" i="3"/>
  <c r="G1109" i="3"/>
  <c r="G1110" i="3"/>
  <c r="G1111" i="3"/>
  <c r="G1112" i="3"/>
  <c r="G1113" i="3"/>
  <c r="G1114" i="3"/>
  <c r="G1115" i="3"/>
  <c r="G1116" i="3"/>
  <c r="G1117" i="3"/>
  <c r="G1118" i="3"/>
  <c r="G1119" i="3"/>
  <c r="G1120" i="3"/>
  <c r="G1121" i="3"/>
  <c r="G1122" i="3"/>
  <c r="G1123" i="3"/>
  <c r="G1124" i="3"/>
  <c r="G1125" i="3"/>
  <c r="G1126" i="3"/>
  <c r="G1127" i="3"/>
  <c r="G1128" i="3"/>
  <c r="G1129" i="3"/>
  <c r="G1130" i="3"/>
  <c r="G1131" i="3"/>
  <c r="G1132" i="3"/>
  <c r="G1133" i="3"/>
  <c r="G1134" i="3"/>
  <c r="G1135" i="3"/>
  <c r="G1136" i="3"/>
  <c r="G1137" i="3"/>
  <c r="G1138" i="3"/>
  <c r="G1139" i="3"/>
  <c r="G1140" i="3"/>
  <c r="G1141" i="3"/>
  <c r="G1142" i="3"/>
  <c r="G1143" i="3"/>
  <c r="G1144" i="3"/>
  <c r="G1145" i="3"/>
  <c r="G1146" i="3"/>
  <c r="G1147" i="3"/>
  <c r="G1148" i="3"/>
  <c r="G1149" i="3"/>
  <c r="G1150" i="3"/>
  <c r="G1151" i="3"/>
  <c r="G1152" i="3"/>
  <c r="G1153" i="3"/>
  <c r="G1154" i="3"/>
  <c r="G1155" i="3"/>
  <c r="G1156" i="3"/>
  <c r="G1157" i="3"/>
  <c r="G1158" i="3"/>
  <c r="G1159" i="3"/>
  <c r="G1160" i="3"/>
  <c r="G1161" i="3"/>
  <c r="G1162" i="3"/>
  <c r="G1163" i="3"/>
  <c r="G1164" i="3"/>
  <c r="G1165" i="3"/>
  <c r="G1166" i="3"/>
  <c r="G1167" i="3"/>
  <c r="G1168" i="3"/>
  <c r="G1169" i="3"/>
  <c r="G1170" i="3"/>
  <c r="G1171" i="3"/>
  <c r="G1172" i="3"/>
  <c r="G1173" i="3"/>
  <c r="G1174" i="3"/>
  <c r="G1175" i="3"/>
  <c r="G1176" i="3"/>
  <c r="G1177" i="3"/>
  <c r="G1178" i="3"/>
  <c r="G1179" i="3"/>
  <c r="G1180" i="3"/>
  <c r="G1181" i="3"/>
  <c r="G1182" i="3"/>
  <c r="G1183" i="3"/>
  <c r="G1184" i="3"/>
  <c r="G1185" i="3"/>
  <c r="G1186" i="3"/>
  <c r="G1187" i="3"/>
  <c r="G1188" i="3"/>
  <c r="G1189" i="3"/>
  <c r="G1190" i="3"/>
  <c r="G1191" i="3"/>
  <c r="G1192" i="3"/>
  <c r="G1193" i="3"/>
  <c r="G1194" i="3"/>
  <c r="G1195" i="3"/>
  <c r="G1196" i="3"/>
  <c r="G1197" i="3"/>
  <c r="G1198" i="3"/>
  <c r="G1199" i="3"/>
  <c r="G1200" i="3"/>
  <c r="G1201" i="3"/>
  <c r="G1202" i="3"/>
  <c r="G1203" i="3"/>
  <c r="G1204" i="3"/>
  <c r="G1205" i="3"/>
  <c r="G1206" i="3"/>
  <c r="G1207" i="3"/>
  <c r="G1208" i="3"/>
  <c r="G1209" i="3"/>
  <c r="G1210" i="3"/>
  <c r="G1211" i="3"/>
  <c r="G1212" i="3"/>
  <c r="G1213" i="3"/>
  <c r="G1214" i="3"/>
  <c r="G1215" i="3"/>
  <c r="G1216" i="3"/>
  <c r="G1217" i="3"/>
  <c r="G1218" i="3"/>
  <c r="G1219" i="3"/>
  <c r="G1220" i="3"/>
  <c r="G1221" i="3"/>
  <c r="G1222" i="3"/>
  <c r="G1223" i="3"/>
  <c r="G1224" i="3"/>
  <c r="G1225" i="3"/>
  <c r="G1226" i="3"/>
  <c r="G1227" i="3"/>
  <c r="G1228" i="3"/>
  <c r="G1229" i="3"/>
  <c r="G1230" i="3"/>
  <c r="G1231" i="3"/>
  <c r="G1232" i="3"/>
  <c r="G1233" i="3"/>
  <c r="G1234" i="3"/>
  <c r="G1235" i="3"/>
  <c r="G1236" i="3"/>
  <c r="G1237" i="3"/>
  <c r="G1238" i="3"/>
  <c r="G1239" i="3"/>
  <c r="G1240" i="3"/>
  <c r="G1241" i="3"/>
  <c r="G1242" i="3"/>
  <c r="G1243" i="3"/>
  <c r="G1244" i="3"/>
  <c r="G1245" i="3"/>
  <c r="G1246" i="3"/>
  <c r="G1247" i="3"/>
  <c r="G1248" i="3"/>
  <c r="G1249" i="3"/>
  <c r="G1250" i="3"/>
  <c r="G1251" i="3"/>
  <c r="G1252" i="3"/>
  <c r="G1253" i="3"/>
  <c r="G1254" i="3"/>
  <c r="G1255" i="3"/>
  <c r="G1256" i="3"/>
  <c r="G1257" i="3"/>
  <c r="G1258" i="3"/>
  <c r="G1259" i="3"/>
  <c r="G1260" i="3"/>
  <c r="G1261" i="3"/>
  <c r="G1262" i="3"/>
  <c r="G1263" i="3"/>
  <c r="G1264" i="3"/>
  <c r="G1265" i="3"/>
  <c r="G1266" i="3"/>
  <c r="G1267" i="3"/>
  <c r="G1268" i="3"/>
  <c r="G1269" i="3"/>
  <c r="G1270" i="3"/>
  <c r="G1271" i="3"/>
  <c r="G1272" i="3"/>
  <c r="G1273" i="3"/>
  <c r="G1274" i="3"/>
  <c r="G1275" i="3"/>
  <c r="G1276" i="3"/>
  <c r="G1277" i="3"/>
  <c r="G1278" i="3"/>
  <c r="G1279" i="3"/>
  <c r="G1280" i="3"/>
  <c r="G1281" i="3"/>
  <c r="G1282" i="3"/>
  <c r="G1283" i="3"/>
  <c r="G1284" i="3"/>
  <c r="G1285" i="3"/>
  <c r="G1286" i="3"/>
  <c r="G1287" i="3"/>
  <c r="G1288" i="3"/>
  <c r="G1289" i="3"/>
  <c r="G1290" i="3"/>
  <c r="G1291" i="3"/>
  <c r="G1292" i="3"/>
  <c r="G1293" i="3"/>
  <c r="G1294" i="3"/>
  <c r="G1295" i="3"/>
  <c r="G1296" i="3"/>
  <c r="G1297" i="3"/>
  <c r="G1298" i="3"/>
  <c r="G1299" i="3"/>
  <c r="G1300" i="3"/>
  <c r="G1301" i="3"/>
  <c r="G1302" i="3"/>
  <c r="G1303" i="3"/>
  <c r="G1304" i="3"/>
  <c r="G1305" i="3"/>
  <c r="G1306" i="3"/>
  <c r="G1307" i="3"/>
  <c r="G1308" i="3"/>
  <c r="G1309" i="3"/>
  <c r="G1310" i="3"/>
  <c r="G1311" i="3"/>
  <c r="G1312" i="3"/>
  <c r="G1313" i="3"/>
  <c r="G1314" i="3"/>
  <c r="G1315" i="3"/>
  <c r="G1316" i="3"/>
  <c r="G1317" i="3"/>
  <c r="G1318" i="3"/>
  <c r="G1319" i="3"/>
  <c r="G1320" i="3"/>
  <c r="G1321" i="3"/>
  <c r="G1322" i="3"/>
  <c r="G1323" i="3"/>
  <c r="G1324" i="3"/>
  <c r="G1325" i="3"/>
  <c r="G1326" i="3"/>
  <c r="G1327" i="3"/>
  <c r="G1328" i="3"/>
  <c r="G1329" i="3"/>
  <c r="G1330" i="3"/>
  <c r="G1331" i="3"/>
  <c r="G1332" i="3"/>
  <c r="G1333" i="3"/>
  <c r="G1334" i="3"/>
  <c r="G1335" i="3"/>
  <c r="G1336" i="3"/>
  <c r="G1337" i="3"/>
  <c r="G1338" i="3"/>
  <c r="G1339" i="3"/>
  <c r="G1340" i="3"/>
  <c r="G1341" i="3"/>
  <c r="G1342" i="3"/>
  <c r="G1343" i="3"/>
  <c r="G1344" i="3"/>
  <c r="G1345" i="3"/>
  <c r="G1346" i="3"/>
  <c r="G1347" i="3"/>
  <c r="G1348" i="3"/>
  <c r="G1349" i="3"/>
  <c r="G1350" i="3"/>
  <c r="G1351" i="3"/>
  <c r="G1352" i="3"/>
  <c r="G1353" i="3"/>
  <c r="G1354" i="3"/>
  <c r="G1355" i="3"/>
  <c r="G1356" i="3"/>
  <c r="G1357" i="3"/>
  <c r="G1358" i="3"/>
  <c r="G1359" i="3"/>
  <c r="G1360" i="3"/>
  <c r="G1361" i="3"/>
  <c r="G1362" i="3"/>
  <c r="G1363" i="3"/>
  <c r="G1364" i="3"/>
  <c r="G1365" i="3"/>
  <c r="G1366" i="3"/>
  <c r="G1367" i="3"/>
  <c r="G1368" i="3"/>
  <c r="G1369" i="3"/>
  <c r="G1370" i="3"/>
  <c r="G1371" i="3"/>
  <c r="G1372" i="3"/>
  <c r="G1373" i="3"/>
  <c r="G1374" i="3"/>
  <c r="G1375" i="3"/>
  <c r="G1376" i="3"/>
  <c r="G1377" i="3"/>
  <c r="G1378" i="3"/>
  <c r="G1379" i="3"/>
  <c r="G1380" i="3"/>
  <c r="G1381" i="3"/>
  <c r="G1382" i="3"/>
  <c r="G1383" i="3"/>
  <c r="G1384" i="3"/>
  <c r="G1385" i="3"/>
  <c r="G1386" i="3"/>
  <c r="G1387" i="3"/>
  <c r="G1388" i="3"/>
  <c r="G1389" i="3"/>
  <c r="G1390" i="3"/>
  <c r="G1391" i="3"/>
  <c r="G1392" i="3"/>
  <c r="G1393" i="3"/>
  <c r="G1394" i="3"/>
  <c r="G1395" i="3"/>
  <c r="G1396" i="3"/>
  <c r="G1397" i="3"/>
  <c r="G1398" i="3"/>
  <c r="G1399" i="3"/>
  <c r="G1400" i="3"/>
  <c r="G1401" i="3"/>
  <c r="G1402" i="3"/>
  <c r="G1403" i="3"/>
  <c r="G1404" i="3"/>
  <c r="G1405" i="3"/>
  <c r="G1406" i="3"/>
  <c r="G1407" i="3"/>
  <c r="G1408" i="3"/>
  <c r="G1409" i="3"/>
  <c r="G1410" i="3"/>
  <c r="G1411" i="3"/>
  <c r="G1412" i="3"/>
  <c r="G1413" i="3"/>
  <c r="G1414" i="3"/>
  <c r="G1415" i="3"/>
  <c r="G1416" i="3"/>
  <c r="G1417" i="3"/>
  <c r="G1418" i="3"/>
  <c r="G1419" i="3"/>
  <c r="G1420" i="3"/>
  <c r="G1421" i="3"/>
  <c r="G1422" i="3"/>
  <c r="G1423" i="3"/>
  <c r="G1424" i="3"/>
  <c r="G1425" i="3"/>
  <c r="G1426" i="3"/>
  <c r="G1427" i="3"/>
  <c r="G1428" i="3"/>
  <c r="G1429" i="3"/>
  <c r="G1430" i="3"/>
  <c r="G1431" i="3"/>
  <c r="G1432" i="3"/>
  <c r="G1433" i="3"/>
  <c r="G1434" i="3"/>
  <c r="G1435" i="3"/>
  <c r="G1436" i="3"/>
  <c r="G1437" i="3"/>
  <c r="G1438" i="3"/>
  <c r="G1439" i="3"/>
  <c r="G1440" i="3"/>
  <c r="G1441" i="3"/>
  <c r="G1442" i="3"/>
  <c r="G1443" i="3"/>
  <c r="G1444" i="3"/>
  <c r="G1445" i="3"/>
  <c r="G1446" i="3"/>
  <c r="G1447" i="3"/>
  <c r="G1448" i="3"/>
  <c r="G1449" i="3"/>
  <c r="G1450" i="3"/>
  <c r="G1451" i="3"/>
  <c r="G1452" i="3"/>
  <c r="G1453" i="3"/>
  <c r="G1454" i="3"/>
  <c r="G1455" i="3"/>
  <c r="G1456" i="3"/>
  <c r="G1457" i="3"/>
  <c r="G1458" i="3"/>
  <c r="G1459" i="3"/>
  <c r="G1460" i="3"/>
  <c r="G1461" i="3"/>
  <c r="G1462" i="3"/>
  <c r="G1463" i="3"/>
  <c r="G1464" i="3"/>
  <c r="G1465" i="3"/>
  <c r="G1466" i="3"/>
  <c r="G1467" i="3"/>
  <c r="G1468" i="3"/>
  <c r="G1469" i="3"/>
  <c r="G1470" i="3"/>
  <c r="G1471" i="3"/>
  <c r="G1472" i="3"/>
  <c r="G1473" i="3"/>
  <c r="G1474" i="3"/>
  <c r="G1475" i="3"/>
  <c r="G1476" i="3"/>
  <c r="G1477" i="3"/>
  <c r="G1478" i="3"/>
  <c r="G1479" i="3"/>
  <c r="G1480" i="3"/>
  <c r="G1481" i="3"/>
  <c r="G1482" i="3"/>
  <c r="G1483" i="3"/>
  <c r="G1484" i="3"/>
  <c r="G1485" i="3"/>
  <c r="G1486" i="3"/>
  <c r="G1487" i="3"/>
  <c r="G1488" i="3"/>
  <c r="G1489" i="3"/>
  <c r="G1490" i="3"/>
  <c r="G1491" i="3"/>
  <c r="G1492" i="3"/>
  <c r="G1493" i="3"/>
  <c r="G1494" i="3"/>
  <c r="G1495" i="3"/>
  <c r="G1496" i="3"/>
  <c r="G1497" i="3"/>
  <c r="G1498" i="3"/>
  <c r="G1499" i="3"/>
  <c r="G1500" i="3"/>
  <c r="G1501" i="3"/>
  <c r="G1502" i="3"/>
  <c r="G1503" i="3"/>
  <c r="G1504" i="3"/>
  <c r="G1505" i="3"/>
  <c r="G1506" i="3"/>
  <c r="G1507" i="3"/>
  <c r="G1508" i="3"/>
  <c r="G1509" i="3"/>
  <c r="G1510" i="3"/>
  <c r="G1511" i="3"/>
  <c r="G1512" i="3"/>
  <c r="G1513" i="3"/>
  <c r="G1514" i="3"/>
  <c r="G1515" i="3"/>
  <c r="G1516" i="3"/>
  <c r="G1517" i="3"/>
  <c r="G1518" i="3"/>
  <c r="G1519" i="3"/>
  <c r="G1520" i="3"/>
  <c r="G1521" i="3"/>
  <c r="G1522" i="3"/>
  <c r="G1523" i="3"/>
  <c r="G1524" i="3"/>
  <c r="G1525" i="3"/>
  <c r="G1526" i="3"/>
  <c r="G1527" i="3"/>
  <c r="G1528" i="3"/>
  <c r="G1529" i="3"/>
  <c r="G1530" i="3"/>
  <c r="G1531" i="3"/>
  <c r="G1532" i="3"/>
  <c r="G1533" i="3"/>
  <c r="G1534" i="3"/>
  <c r="G1535" i="3"/>
  <c r="G1536" i="3"/>
  <c r="G1537" i="3"/>
  <c r="G1538" i="3"/>
  <c r="G1539" i="3"/>
  <c r="G1540" i="3"/>
  <c r="G1541" i="3"/>
  <c r="G1542" i="3"/>
  <c r="G1543" i="3"/>
  <c r="G1544" i="3"/>
  <c r="G1545" i="3"/>
  <c r="G1546" i="3"/>
  <c r="G1547" i="3"/>
  <c r="G1548" i="3"/>
  <c r="G1549" i="3"/>
  <c r="G1550" i="3"/>
  <c r="G1551" i="3"/>
  <c r="G1552" i="3"/>
  <c r="G1553" i="3"/>
  <c r="G1554" i="3"/>
  <c r="G1555" i="3"/>
  <c r="G1556" i="3"/>
  <c r="G1557" i="3"/>
  <c r="G1558" i="3"/>
  <c r="G1559" i="3"/>
  <c r="G1560" i="3"/>
  <c r="G1561" i="3"/>
  <c r="G1562" i="3"/>
  <c r="G1563" i="3"/>
  <c r="G1564" i="3"/>
  <c r="G1565" i="3"/>
  <c r="G1566" i="3"/>
  <c r="G1567" i="3"/>
  <c r="G1568" i="3"/>
  <c r="G1569" i="3"/>
  <c r="G1570" i="3"/>
  <c r="G1571" i="3"/>
  <c r="G1572" i="3"/>
  <c r="G1573" i="3"/>
  <c r="G1574" i="3"/>
  <c r="G1575" i="3"/>
  <c r="G1576" i="3"/>
  <c r="G1577" i="3"/>
  <c r="G1578" i="3"/>
  <c r="G1579" i="3"/>
  <c r="G1580" i="3"/>
  <c r="G1581" i="3"/>
  <c r="G1582" i="3"/>
  <c r="G1583" i="3"/>
  <c r="G1584" i="3"/>
  <c r="G1585" i="3"/>
  <c r="G1586" i="3"/>
  <c r="G1587" i="3"/>
  <c r="G1588" i="3"/>
  <c r="G1589" i="3"/>
  <c r="G1590" i="3"/>
  <c r="G1591" i="3"/>
  <c r="G1592" i="3"/>
  <c r="G1593" i="3"/>
  <c r="G1594" i="3"/>
  <c r="G1595" i="3"/>
  <c r="G1596" i="3"/>
  <c r="G1597" i="3"/>
  <c r="G1598" i="3"/>
  <c r="G1599" i="3"/>
  <c r="G1600" i="3"/>
  <c r="G1601" i="3"/>
  <c r="G1602" i="3"/>
  <c r="G1603" i="3"/>
  <c r="G1604" i="3"/>
  <c r="G1605" i="3"/>
  <c r="G1606" i="3"/>
  <c r="G1607" i="3"/>
  <c r="G1608" i="3"/>
  <c r="G1609" i="3"/>
  <c r="G1610" i="3"/>
  <c r="G1611" i="3"/>
  <c r="G1612" i="3"/>
  <c r="G1613" i="3"/>
  <c r="G1614" i="3"/>
  <c r="G1615" i="3"/>
  <c r="G1616" i="3"/>
  <c r="G1617" i="3"/>
  <c r="G1618" i="3"/>
  <c r="G1619" i="3"/>
  <c r="G1620" i="3"/>
  <c r="G1621" i="3"/>
  <c r="G1622" i="3"/>
  <c r="G1623" i="3"/>
  <c r="G1624" i="3"/>
  <c r="G1625" i="3"/>
  <c r="G1626" i="3"/>
  <c r="G1627" i="3"/>
  <c r="G1628" i="3"/>
  <c r="G1629" i="3"/>
  <c r="G1630" i="3"/>
  <c r="G1631" i="3"/>
  <c r="G1632" i="3"/>
  <c r="G1633" i="3"/>
  <c r="G1634" i="3"/>
  <c r="G1635" i="3"/>
  <c r="G1636" i="3"/>
  <c r="G1637" i="3"/>
  <c r="G1638" i="3"/>
  <c r="G1639" i="3"/>
  <c r="G1640" i="3"/>
  <c r="G1641" i="3"/>
  <c r="G1642" i="3"/>
  <c r="G1643" i="3"/>
  <c r="G1644" i="3"/>
  <c r="G1645" i="3"/>
  <c r="G1646" i="3"/>
  <c r="G1647" i="3"/>
  <c r="G1648" i="3"/>
  <c r="G1649" i="3"/>
  <c r="G1650" i="3"/>
  <c r="G1651" i="3"/>
  <c r="G1652" i="3"/>
  <c r="G1653" i="3"/>
  <c r="G1654" i="3"/>
  <c r="G1655" i="3"/>
  <c r="G1656" i="3"/>
  <c r="G1657" i="3"/>
  <c r="G1658" i="3"/>
  <c r="G1659" i="3"/>
  <c r="G1660" i="3"/>
  <c r="G1661" i="3"/>
  <c r="G1662" i="3"/>
  <c r="G1663" i="3"/>
  <c r="G1664" i="3"/>
  <c r="G1665" i="3"/>
  <c r="G1666" i="3"/>
  <c r="G1667" i="3"/>
  <c r="G1668" i="3"/>
  <c r="G1669" i="3"/>
  <c r="G1670" i="3"/>
  <c r="G1671" i="3"/>
  <c r="G1672" i="3"/>
  <c r="G1673" i="3"/>
  <c r="G1674" i="3"/>
  <c r="G1675" i="3"/>
  <c r="G1676" i="3"/>
  <c r="G1677" i="3"/>
  <c r="G1678" i="3"/>
  <c r="G1679" i="3"/>
  <c r="G1680" i="3"/>
  <c r="G1681" i="3"/>
  <c r="G1682" i="3"/>
  <c r="G1683" i="3"/>
  <c r="G1684" i="3"/>
  <c r="G1685" i="3"/>
  <c r="G1686" i="3"/>
  <c r="G1687" i="3"/>
  <c r="G1688" i="3"/>
  <c r="G1689" i="3"/>
  <c r="G1690" i="3"/>
  <c r="G1691" i="3"/>
  <c r="G1692" i="3"/>
  <c r="G1693" i="3"/>
  <c r="G1694" i="3"/>
  <c r="G1695" i="3"/>
  <c r="G1696" i="3"/>
  <c r="G1697" i="3"/>
  <c r="G1698" i="3"/>
  <c r="G1699" i="3"/>
  <c r="G1700" i="3"/>
  <c r="G1701" i="3"/>
  <c r="G1702" i="3"/>
  <c r="G1703" i="3"/>
  <c r="G1704" i="3"/>
  <c r="G1705" i="3"/>
  <c r="G1706" i="3"/>
  <c r="G1707" i="3"/>
  <c r="G1708" i="3"/>
  <c r="G1709" i="3"/>
  <c r="G1710" i="3"/>
  <c r="G1711" i="3"/>
  <c r="G1712" i="3"/>
  <c r="G1713" i="3"/>
  <c r="G1714" i="3"/>
  <c r="G1715" i="3"/>
  <c r="G1716" i="3"/>
  <c r="G1717" i="3"/>
  <c r="G1718" i="3"/>
  <c r="G1719" i="3"/>
  <c r="G1720" i="3"/>
  <c r="G1721" i="3"/>
  <c r="G1722" i="3"/>
  <c r="G1723" i="3"/>
  <c r="G1724" i="3"/>
  <c r="G1725" i="3"/>
  <c r="G1726" i="3"/>
  <c r="G1727" i="3"/>
  <c r="G1728" i="3"/>
  <c r="G1729" i="3"/>
  <c r="G1730" i="3"/>
  <c r="G1731" i="3"/>
  <c r="G1732" i="3"/>
  <c r="G1733" i="3"/>
  <c r="G1734" i="3"/>
  <c r="G1735" i="3"/>
  <c r="G1736" i="3"/>
  <c r="G1737" i="3"/>
  <c r="G1738" i="3"/>
  <c r="G1739" i="3"/>
  <c r="G1740" i="3"/>
  <c r="G1741" i="3"/>
  <c r="G1742" i="3"/>
  <c r="G1743" i="3"/>
  <c r="G1744" i="3"/>
  <c r="G1745" i="3"/>
  <c r="G1746" i="3"/>
  <c r="G1747" i="3"/>
  <c r="G1748" i="3"/>
  <c r="G1749" i="3"/>
  <c r="G1750" i="3"/>
  <c r="G1751" i="3"/>
  <c r="G1752" i="3"/>
  <c r="G1753" i="3"/>
  <c r="G1754" i="3"/>
  <c r="G1755" i="3"/>
  <c r="G1756" i="3"/>
  <c r="G1757" i="3"/>
  <c r="G1758" i="3"/>
  <c r="G1759" i="3"/>
  <c r="G1760" i="3"/>
  <c r="G1761" i="3"/>
  <c r="G1762" i="3"/>
  <c r="G1763" i="3"/>
  <c r="G1764" i="3"/>
  <c r="G1765" i="3"/>
  <c r="G1766" i="3"/>
  <c r="G1767" i="3"/>
  <c r="G1768" i="3"/>
  <c r="G1769" i="3"/>
  <c r="G1770" i="3"/>
  <c r="G1771" i="3"/>
  <c r="G1772" i="3"/>
  <c r="G1773" i="3"/>
  <c r="G1774" i="3"/>
  <c r="G1775" i="3"/>
  <c r="G1776" i="3"/>
  <c r="G1777" i="3"/>
  <c r="G1778" i="3"/>
  <c r="G1779" i="3"/>
  <c r="G1780" i="3"/>
  <c r="G1781" i="3"/>
  <c r="G1782" i="3"/>
  <c r="G1783" i="3"/>
  <c r="G1784" i="3"/>
  <c r="G1785" i="3"/>
  <c r="G1786" i="3"/>
  <c r="G1787" i="3"/>
  <c r="G1788" i="3"/>
  <c r="G1789" i="3"/>
  <c r="G1790" i="3"/>
  <c r="G1791" i="3"/>
  <c r="G1792" i="3"/>
  <c r="G1793" i="3"/>
  <c r="G1794" i="3"/>
  <c r="G1795" i="3"/>
  <c r="G1796" i="3"/>
  <c r="G1797" i="3"/>
  <c r="G1798" i="3"/>
  <c r="G1799" i="3"/>
  <c r="G1800" i="3"/>
  <c r="G1801" i="3"/>
  <c r="G1802" i="3"/>
  <c r="G1803" i="3"/>
  <c r="G1804" i="3"/>
  <c r="G1805" i="3"/>
  <c r="G1806" i="3"/>
  <c r="G1807" i="3"/>
  <c r="G1808" i="3"/>
  <c r="G1809" i="3"/>
  <c r="G1810" i="3"/>
  <c r="G1811" i="3"/>
  <c r="G1812" i="3"/>
  <c r="G1813" i="3"/>
  <c r="G1814" i="3"/>
  <c r="G1815" i="3"/>
  <c r="G1816" i="3"/>
  <c r="G1817" i="3"/>
  <c r="G1818" i="3"/>
  <c r="G1819" i="3"/>
  <c r="G1820" i="3"/>
  <c r="G1821" i="3"/>
  <c r="G1822" i="3"/>
  <c r="G1823" i="3"/>
  <c r="G1824" i="3"/>
  <c r="G1825" i="3"/>
  <c r="G1826" i="3"/>
  <c r="G1827" i="3"/>
  <c r="G1828" i="3"/>
  <c r="G1829" i="3"/>
  <c r="G1830" i="3"/>
  <c r="G1831" i="3"/>
  <c r="G1832" i="3"/>
  <c r="G1833" i="3"/>
  <c r="G1834" i="3"/>
  <c r="G1835" i="3"/>
  <c r="G1836" i="3"/>
  <c r="G1837" i="3"/>
  <c r="G1838" i="3"/>
  <c r="G1839" i="3"/>
  <c r="G1840" i="3"/>
  <c r="G1841" i="3"/>
  <c r="G1842" i="3"/>
  <c r="G1843" i="3"/>
  <c r="G1844" i="3"/>
  <c r="G1845" i="3"/>
  <c r="G1846" i="3"/>
  <c r="G1847" i="3"/>
  <c r="G1848" i="3"/>
  <c r="G1849" i="3"/>
  <c r="G1850" i="3"/>
  <c r="G1851" i="3"/>
  <c r="G1852" i="3"/>
  <c r="G1853" i="3"/>
  <c r="G1854" i="3"/>
  <c r="G1855" i="3"/>
  <c r="G1856" i="3"/>
  <c r="G1857" i="3"/>
  <c r="G1858" i="3"/>
  <c r="G1859" i="3"/>
  <c r="G1860" i="3"/>
  <c r="G1861" i="3"/>
  <c r="G1862" i="3"/>
  <c r="G1863" i="3"/>
  <c r="G1864" i="3"/>
  <c r="G1865" i="3"/>
  <c r="G1866" i="3"/>
  <c r="G1867" i="3"/>
  <c r="G1868" i="3"/>
  <c r="G1869" i="3"/>
  <c r="G1870" i="3"/>
  <c r="G1871" i="3"/>
  <c r="G1872" i="3"/>
  <c r="G1873" i="3"/>
  <c r="G1874" i="3"/>
  <c r="G1875" i="3"/>
  <c r="G1876" i="3"/>
  <c r="G1877" i="3"/>
  <c r="G1878" i="3"/>
  <c r="G1879" i="3"/>
  <c r="G1880" i="3"/>
  <c r="G1881" i="3"/>
  <c r="G1882" i="3"/>
  <c r="G1883" i="3"/>
  <c r="G1884" i="3"/>
  <c r="G1885" i="3"/>
  <c r="G1886" i="3"/>
  <c r="G1887" i="3"/>
  <c r="G1888" i="3"/>
  <c r="G1889" i="3"/>
  <c r="G1890" i="3"/>
  <c r="G1891" i="3"/>
  <c r="G1892" i="3"/>
  <c r="G1893" i="3"/>
  <c r="G1894" i="3"/>
  <c r="G1895" i="3"/>
  <c r="G1896" i="3"/>
  <c r="G1897" i="3"/>
  <c r="G1898" i="3"/>
  <c r="G1899" i="3"/>
  <c r="G1900" i="3"/>
  <c r="G1901" i="3"/>
  <c r="G1902" i="3"/>
  <c r="G1903" i="3"/>
  <c r="G1904" i="3"/>
  <c r="G1905" i="3"/>
  <c r="G1906" i="3"/>
  <c r="G1907" i="3"/>
  <c r="G1908" i="3"/>
  <c r="G1909" i="3"/>
  <c r="G1910" i="3"/>
  <c r="G1911" i="3"/>
  <c r="G1912" i="3"/>
  <c r="G1913" i="3"/>
  <c r="G1914" i="3"/>
  <c r="G1915" i="3"/>
  <c r="G1916" i="3"/>
  <c r="G1917" i="3"/>
  <c r="G1918" i="3"/>
  <c r="G1919" i="3"/>
  <c r="G1920" i="3"/>
  <c r="G1921" i="3"/>
  <c r="G1922" i="3"/>
  <c r="G1923" i="3"/>
  <c r="G1924" i="3"/>
  <c r="G1925" i="3"/>
  <c r="G1926" i="3"/>
  <c r="G1927" i="3"/>
  <c r="G1928" i="3"/>
  <c r="G1929" i="3"/>
  <c r="G1930" i="3"/>
  <c r="G1931" i="3"/>
  <c r="G1932" i="3"/>
  <c r="G1933" i="3"/>
  <c r="G1934" i="3"/>
  <c r="G1935" i="3"/>
  <c r="G1936" i="3"/>
  <c r="G1937" i="3"/>
  <c r="G1938" i="3"/>
  <c r="G1939" i="3"/>
  <c r="G1940" i="3"/>
  <c r="G1941" i="3"/>
  <c r="G1942" i="3"/>
  <c r="G1943" i="3"/>
  <c r="G1944" i="3"/>
  <c r="G1945" i="3"/>
  <c r="G1946" i="3"/>
  <c r="G1947" i="3"/>
  <c r="G1948" i="3"/>
  <c r="G1949" i="3"/>
  <c r="G1950" i="3"/>
  <c r="G1951" i="3"/>
  <c r="G1952" i="3"/>
  <c r="G1953" i="3"/>
  <c r="G1954" i="3"/>
  <c r="G1955" i="3"/>
  <c r="G1956" i="3"/>
  <c r="G1957" i="3"/>
  <c r="G1958" i="3"/>
  <c r="G1959" i="3"/>
  <c r="G1960" i="3"/>
  <c r="G1961" i="3"/>
  <c r="G1962" i="3"/>
  <c r="G1963" i="3"/>
  <c r="G1964" i="3"/>
  <c r="G1965" i="3"/>
  <c r="G1966" i="3"/>
  <c r="G1967" i="3"/>
  <c r="G1968" i="3"/>
  <c r="G1969" i="3"/>
  <c r="G1970" i="3"/>
  <c r="G1971" i="3"/>
  <c r="G1972" i="3"/>
  <c r="G1973" i="3"/>
  <c r="G1974" i="3"/>
  <c r="G1975" i="3"/>
  <c r="G1976" i="3"/>
  <c r="G1977" i="3"/>
  <c r="G1978" i="3"/>
  <c r="G1979" i="3"/>
  <c r="G1980" i="3"/>
  <c r="G1981" i="3"/>
  <c r="G1982" i="3"/>
  <c r="G1983" i="3"/>
  <c r="G1984" i="3"/>
  <c r="G1985" i="3"/>
  <c r="G1986" i="3"/>
  <c r="G1987" i="3"/>
  <c r="G1988" i="3"/>
  <c r="G1989" i="3"/>
  <c r="G1990" i="3"/>
  <c r="G1991" i="3"/>
  <c r="G1992" i="3"/>
  <c r="G1993" i="3"/>
  <c r="G1994" i="3"/>
  <c r="G1995" i="3"/>
  <c r="G1996" i="3"/>
  <c r="G1997" i="3"/>
  <c r="G1998" i="3"/>
  <c r="G1999" i="3"/>
  <c r="G2000" i="3"/>
  <c r="G2001" i="3"/>
  <c r="G2002" i="3"/>
  <c r="G5" i="3"/>
  <c r="F6" i="3"/>
  <c r="F7" i="3"/>
  <c r="F8" i="3"/>
  <c r="F9" i="3"/>
  <c r="F10" i="3"/>
  <c r="F11" i="3"/>
  <c r="F12" i="3"/>
  <c r="F13" i="3"/>
  <c r="F14" i="3"/>
  <c r="F15" i="3"/>
  <c r="F16"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8" i="3"/>
  <c r="F69" i="3"/>
  <c r="F70" i="3"/>
  <c r="F71" i="3"/>
  <c r="F72" i="3"/>
  <c r="F73" i="3"/>
  <c r="F74" i="3"/>
  <c r="F75" i="3"/>
  <c r="F76" i="3"/>
  <c r="F77" i="3"/>
  <c r="F78" i="3"/>
  <c r="F79" i="3"/>
  <c r="F80" i="3"/>
  <c r="F81" i="3"/>
  <c r="F82" i="3"/>
  <c r="F83" i="3"/>
  <c r="F84" i="3"/>
  <c r="F85" i="3"/>
  <c r="F86" i="3"/>
  <c r="F87" i="3"/>
  <c r="F88" i="3"/>
  <c r="F89" i="3"/>
  <c r="F90" i="3"/>
  <c r="F91" i="3"/>
  <c r="F92" i="3"/>
  <c r="F93" i="3"/>
  <c r="F94" i="3"/>
  <c r="F95" i="3"/>
  <c r="F96" i="3"/>
  <c r="F97" i="3"/>
  <c r="F98" i="3"/>
  <c r="F99" i="3"/>
  <c r="F100" i="3"/>
  <c r="F101" i="3"/>
  <c r="F102" i="3"/>
  <c r="F103" i="3"/>
  <c r="F104" i="3"/>
  <c r="F105" i="3"/>
  <c r="F106" i="3"/>
  <c r="F108" i="3"/>
  <c r="F109" i="3"/>
  <c r="F110" i="3"/>
  <c r="F111" i="3"/>
  <c r="F112" i="3"/>
  <c r="F113" i="3"/>
  <c r="F114" i="3"/>
  <c r="F115" i="3"/>
  <c r="F116" i="3"/>
  <c r="F117" i="3"/>
  <c r="F118" i="3"/>
  <c r="F119" i="3"/>
  <c r="F120" i="3"/>
  <c r="F121" i="3"/>
  <c r="F122" i="3"/>
  <c r="F123" i="3"/>
  <c r="F124" i="3"/>
  <c r="F125" i="3"/>
  <c r="F126" i="3"/>
  <c r="F127" i="3"/>
  <c r="F128" i="3"/>
  <c r="F129" i="3"/>
  <c r="F130" i="3"/>
  <c r="F131" i="3"/>
  <c r="F132" i="3"/>
  <c r="F133" i="3"/>
  <c r="F134" i="3"/>
  <c r="F135" i="3"/>
  <c r="F136" i="3"/>
  <c r="F137" i="3"/>
  <c r="F138" i="3"/>
  <c r="F139" i="3"/>
  <c r="F140" i="3"/>
  <c r="F141" i="3"/>
  <c r="F142" i="3"/>
  <c r="F143" i="3"/>
  <c r="F144" i="3"/>
  <c r="F145" i="3"/>
  <c r="F146" i="3"/>
  <c r="F147" i="3"/>
  <c r="F148" i="3"/>
  <c r="F149" i="3"/>
  <c r="F151" i="3"/>
  <c r="F152" i="3"/>
  <c r="F153" i="3"/>
  <c r="F154" i="3"/>
  <c r="F159" i="3"/>
  <c r="F160" i="3"/>
  <c r="F162" i="3"/>
  <c r="F163" i="3"/>
  <c r="F164" i="3"/>
  <c r="F166" i="3"/>
  <c r="F167" i="3"/>
  <c r="F168" i="3"/>
  <c r="F169" i="3"/>
  <c r="F170" i="3"/>
  <c r="F171" i="3"/>
  <c r="F172" i="3"/>
  <c r="F173" i="3"/>
  <c r="F174" i="3"/>
  <c r="F175" i="3"/>
  <c r="F176" i="3"/>
  <c r="F177" i="3"/>
  <c r="F178" i="3"/>
  <c r="F179" i="3"/>
  <c r="F180" i="3"/>
  <c r="F181" i="3"/>
  <c r="F183" i="3"/>
  <c r="F184" i="3"/>
  <c r="F185" i="3"/>
  <c r="F186" i="3"/>
  <c r="F187" i="3"/>
  <c r="F188" i="3"/>
  <c r="F189" i="3"/>
  <c r="F190" i="3"/>
  <c r="F191" i="3"/>
  <c r="F192" i="3"/>
  <c r="F193" i="3"/>
  <c r="F194" i="3"/>
  <c r="F195" i="3"/>
  <c r="F196" i="3"/>
  <c r="F197" i="3"/>
  <c r="F198" i="3"/>
  <c r="F199" i="3"/>
  <c r="F200" i="3"/>
  <c r="F201" i="3"/>
  <c r="F202" i="3"/>
  <c r="F203" i="3"/>
  <c r="F204" i="3"/>
  <c r="F205" i="3"/>
  <c r="F206" i="3"/>
  <c r="F207" i="3"/>
  <c r="F209" i="3"/>
  <c r="F210" i="3"/>
  <c r="F211" i="3"/>
  <c r="F212" i="3"/>
  <c r="F214" i="3"/>
  <c r="F215" i="3"/>
  <c r="F216" i="3"/>
  <c r="F217" i="3"/>
  <c r="F218" i="3"/>
  <c r="F219" i="3"/>
  <c r="F220" i="3"/>
  <c r="F221" i="3"/>
  <c r="F222" i="3"/>
  <c r="F223" i="3"/>
  <c r="F225" i="3"/>
  <c r="F226" i="3"/>
  <c r="F227" i="3"/>
  <c r="F228" i="3"/>
  <c r="F229" i="3"/>
  <c r="F230" i="3"/>
  <c r="F231" i="3"/>
  <c r="F232" i="3"/>
  <c r="F233" i="3"/>
  <c r="F234" i="3"/>
  <c r="F235" i="3"/>
  <c r="F236" i="3"/>
  <c r="F237" i="3"/>
  <c r="F238" i="3"/>
  <c r="F239" i="3"/>
  <c r="F240" i="3"/>
  <c r="F241" i="3"/>
  <c r="F242" i="3"/>
  <c r="F243" i="3"/>
  <c r="F244" i="3"/>
  <c r="F245" i="3"/>
  <c r="F246" i="3"/>
  <c r="F247" i="3"/>
  <c r="F248" i="3"/>
  <c r="F249" i="3"/>
  <c r="F250" i="3"/>
  <c r="F251" i="3"/>
  <c r="F252" i="3"/>
  <c r="F253" i="3"/>
  <c r="F254" i="3"/>
  <c r="F255" i="3"/>
  <c r="F256" i="3"/>
  <c r="F257" i="3"/>
  <c r="F258" i="3"/>
  <c r="F259" i="3"/>
  <c r="F260" i="3"/>
  <c r="F261" i="3"/>
  <c r="F262" i="3"/>
  <c r="F263" i="3"/>
  <c r="F264" i="3"/>
  <c r="F265" i="3"/>
  <c r="F266" i="3"/>
  <c r="F267" i="3"/>
  <c r="F268" i="3"/>
  <c r="F269" i="3"/>
  <c r="F270" i="3"/>
  <c r="F271" i="3"/>
  <c r="F272" i="3"/>
  <c r="F273" i="3"/>
  <c r="F274" i="3"/>
  <c r="F275" i="3"/>
  <c r="F276" i="3"/>
  <c r="F277" i="3"/>
  <c r="F278" i="3"/>
  <c r="F279" i="3"/>
  <c r="F280" i="3"/>
  <c r="F281" i="3"/>
  <c r="F282" i="3"/>
  <c r="F283" i="3"/>
  <c r="F284" i="3"/>
  <c r="F285" i="3"/>
  <c r="F286" i="3"/>
  <c r="F287" i="3"/>
  <c r="F288" i="3"/>
  <c r="F289" i="3"/>
  <c r="F290" i="3"/>
  <c r="F291" i="3"/>
  <c r="F292" i="3"/>
  <c r="F293" i="3"/>
  <c r="F294" i="3"/>
  <c r="F295" i="3"/>
  <c r="F296" i="3"/>
  <c r="F297" i="3"/>
  <c r="F298" i="3"/>
  <c r="F299" i="3"/>
  <c r="F300" i="3"/>
  <c r="F301" i="3"/>
  <c r="F302" i="3"/>
  <c r="F303" i="3"/>
  <c r="F304" i="3"/>
  <c r="F305" i="3"/>
  <c r="F306" i="3"/>
  <c r="F307" i="3"/>
  <c r="F308" i="3"/>
  <c r="F310" i="3"/>
  <c r="F311" i="3"/>
  <c r="F312" i="3"/>
  <c r="F313" i="3"/>
  <c r="F314" i="3"/>
  <c r="F315" i="3"/>
  <c r="F316" i="3"/>
  <c r="F317" i="3"/>
  <c r="F318" i="3"/>
  <c r="F320" i="3"/>
  <c r="F321" i="3"/>
  <c r="F322" i="3"/>
  <c r="F323" i="3"/>
  <c r="F324" i="3"/>
  <c r="F325" i="3"/>
  <c r="F326" i="3"/>
  <c r="F327" i="3"/>
  <c r="F328" i="3"/>
  <c r="F329" i="3"/>
  <c r="F330" i="3"/>
  <c r="F331" i="3"/>
  <c r="F332" i="3"/>
  <c r="F333" i="3"/>
  <c r="F334" i="3"/>
  <c r="F335" i="3"/>
  <c r="F336" i="3"/>
  <c r="F337" i="3"/>
  <c r="F338" i="3"/>
  <c r="F339" i="3"/>
  <c r="F340" i="3"/>
  <c r="F341" i="3"/>
  <c r="F342" i="3"/>
  <c r="F344" i="3"/>
  <c r="F345" i="3"/>
  <c r="F346" i="3"/>
  <c r="F347" i="3"/>
  <c r="F348" i="3"/>
  <c r="F349" i="3"/>
  <c r="F350" i="3"/>
  <c r="F351" i="3"/>
  <c r="F352" i="3"/>
  <c r="F353" i="3"/>
  <c r="F354" i="3"/>
  <c r="F355" i="3"/>
  <c r="F357" i="3"/>
  <c r="F358" i="3"/>
  <c r="F359" i="3"/>
  <c r="F360" i="3"/>
  <c r="F361" i="3"/>
  <c r="F362" i="3"/>
  <c r="F363" i="3"/>
  <c r="F364" i="3"/>
  <c r="F365" i="3"/>
  <c r="F366" i="3"/>
  <c r="F367" i="3"/>
  <c r="F368" i="3"/>
  <c r="F369" i="3"/>
  <c r="F370" i="3"/>
  <c r="F371" i="3"/>
  <c r="F372" i="3"/>
  <c r="F373" i="3"/>
  <c r="F374" i="3"/>
  <c r="F375" i="3"/>
  <c r="F376" i="3"/>
  <c r="F377" i="3"/>
  <c r="F378" i="3"/>
  <c r="F379" i="3"/>
  <c r="F380" i="3"/>
  <c r="F381" i="3"/>
  <c r="F382" i="3"/>
  <c r="F384" i="3"/>
  <c r="F385" i="3"/>
  <c r="F386" i="3"/>
  <c r="F387" i="3"/>
  <c r="F388" i="3"/>
  <c r="F389" i="3"/>
  <c r="F390" i="3"/>
  <c r="F391" i="3"/>
  <c r="F392" i="3"/>
  <c r="F393" i="3"/>
  <c r="F394" i="3"/>
  <c r="F395" i="3"/>
  <c r="F396" i="3"/>
  <c r="F397" i="3"/>
  <c r="F398" i="3"/>
  <c r="F399" i="3"/>
  <c r="F400" i="3"/>
  <c r="F401" i="3"/>
  <c r="F402" i="3"/>
  <c r="F403" i="3"/>
  <c r="F404" i="3"/>
  <c r="F405" i="3"/>
  <c r="F406" i="3"/>
  <c r="F407" i="3"/>
  <c r="F408" i="3"/>
  <c r="F409" i="3"/>
  <c r="F410" i="3"/>
  <c r="F411" i="3"/>
  <c r="F412" i="3"/>
  <c r="F413" i="3"/>
  <c r="F414" i="3"/>
  <c r="F415" i="3"/>
  <c r="F416" i="3"/>
  <c r="F417" i="3"/>
  <c r="F418" i="3"/>
  <c r="F419" i="3"/>
  <c r="F420" i="3"/>
  <c r="F421" i="3"/>
  <c r="F422" i="3"/>
  <c r="F423" i="3"/>
  <c r="F424" i="3"/>
  <c r="F425" i="3"/>
  <c r="F426" i="3"/>
  <c r="F427" i="3"/>
  <c r="F428" i="3"/>
  <c r="F429" i="3"/>
  <c r="F430" i="3"/>
  <c r="F431" i="3"/>
  <c r="F432" i="3"/>
  <c r="F433" i="3"/>
  <c r="F434" i="3"/>
  <c r="F435" i="3"/>
  <c r="F436" i="3"/>
  <c r="F438" i="3"/>
  <c r="F439" i="3"/>
  <c r="F440" i="3"/>
  <c r="F441" i="3"/>
  <c r="F442" i="3"/>
  <c r="F443" i="3"/>
  <c r="F444" i="3"/>
  <c r="F445" i="3"/>
  <c r="F446" i="3"/>
  <c r="F447" i="3"/>
  <c r="F448" i="3"/>
  <c r="F449" i="3"/>
  <c r="F450" i="3"/>
  <c r="F451" i="3"/>
  <c r="F452" i="3"/>
  <c r="F453" i="3"/>
  <c r="F454" i="3"/>
  <c r="F455" i="3"/>
  <c r="F456" i="3"/>
  <c r="F457" i="3"/>
  <c r="F459" i="3"/>
  <c r="F460" i="3"/>
  <c r="F461" i="3"/>
  <c r="F462" i="3"/>
  <c r="F463" i="3"/>
  <c r="F464" i="3"/>
  <c r="F465" i="3"/>
  <c r="F466" i="3"/>
  <c r="F467" i="3"/>
  <c r="F468" i="3"/>
  <c r="F469" i="3"/>
  <c r="F470" i="3"/>
  <c r="F471" i="3"/>
  <c r="F472" i="3"/>
  <c r="F473" i="3"/>
  <c r="F474" i="3"/>
  <c r="F475" i="3"/>
  <c r="F476" i="3"/>
  <c r="F477" i="3"/>
  <c r="F478" i="3"/>
  <c r="F479" i="3"/>
  <c r="F480" i="3"/>
  <c r="F481" i="3"/>
  <c r="F482" i="3"/>
  <c r="F483" i="3"/>
  <c r="F484" i="3"/>
  <c r="F486" i="3"/>
  <c r="F487" i="3"/>
  <c r="F488" i="3"/>
  <c r="F489" i="3"/>
  <c r="F491" i="3"/>
  <c r="F492" i="3"/>
  <c r="F493" i="3"/>
  <c r="F494" i="3"/>
  <c r="F495" i="3"/>
  <c r="F496" i="3"/>
  <c r="F497" i="3"/>
  <c r="F498" i="3"/>
  <c r="F499" i="3"/>
  <c r="F500" i="3"/>
  <c r="F501" i="3"/>
  <c r="F502" i="3"/>
  <c r="F503" i="3"/>
  <c r="F504" i="3"/>
  <c r="F505" i="3"/>
  <c r="F506" i="3"/>
  <c r="F507" i="3"/>
  <c r="F508" i="3"/>
  <c r="F509" i="3"/>
  <c r="F510" i="3"/>
  <c r="F511" i="3"/>
  <c r="F512" i="3"/>
  <c r="F514" i="3"/>
  <c r="F516" i="3"/>
  <c r="F517" i="3"/>
  <c r="F518" i="3"/>
  <c r="F519" i="3"/>
  <c r="F520" i="3"/>
  <c r="F521" i="3"/>
  <c r="F522" i="3"/>
  <c r="F523" i="3"/>
  <c r="F524" i="3"/>
  <c r="F525" i="3"/>
  <c r="F526" i="3"/>
  <c r="F527" i="3"/>
  <c r="F528" i="3"/>
  <c r="F530" i="3"/>
  <c r="F531" i="3"/>
  <c r="F532" i="3"/>
  <c r="F533" i="3"/>
  <c r="F534" i="3"/>
  <c r="F535" i="3"/>
  <c r="F536" i="3"/>
  <c r="F537" i="3"/>
  <c r="F538" i="3"/>
  <c r="F539" i="3"/>
  <c r="F569" i="3"/>
  <c r="F570" i="3"/>
  <c r="F571" i="3"/>
  <c r="F601" i="3"/>
  <c r="F602" i="3"/>
  <c r="F603" i="3"/>
  <c r="F604" i="3"/>
  <c r="F605" i="3"/>
  <c r="F606" i="3"/>
  <c r="F607" i="3"/>
  <c r="F608" i="3"/>
  <c r="F609" i="3"/>
  <c r="F610" i="3"/>
  <c r="F611" i="3"/>
  <c r="F612" i="3"/>
  <c r="F613" i="3"/>
  <c r="F614" i="3"/>
  <c r="F615" i="3"/>
  <c r="F616" i="3"/>
  <c r="F617" i="3"/>
  <c r="F618" i="3"/>
  <c r="F619" i="3"/>
  <c r="F620" i="3"/>
  <c r="F621" i="3"/>
  <c r="F622" i="3"/>
  <c r="F623" i="3"/>
  <c r="F624" i="3"/>
  <c r="F625" i="3"/>
  <c r="F626" i="3"/>
  <c r="F627" i="3"/>
  <c r="F628" i="3"/>
  <c r="F629" i="3"/>
  <c r="F630" i="3"/>
  <c r="F631" i="3"/>
  <c r="F632" i="3"/>
  <c r="F633" i="3"/>
  <c r="F634" i="3"/>
  <c r="F635" i="3"/>
  <c r="F636" i="3"/>
  <c r="F637" i="3"/>
  <c r="F638" i="3"/>
  <c r="F639" i="3"/>
  <c r="F640" i="3"/>
  <c r="F641" i="3"/>
  <c r="F642" i="3"/>
  <c r="F643" i="3"/>
  <c r="F644" i="3"/>
  <c r="F645" i="3"/>
  <c r="F646" i="3"/>
  <c r="F647" i="3"/>
  <c r="F648" i="3"/>
  <c r="F649" i="3"/>
  <c r="F650" i="3"/>
  <c r="F651" i="3"/>
  <c r="F652" i="3"/>
  <c r="F653" i="3"/>
  <c r="F654" i="3"/>
  <c r="F655" i="3"/>
  <c r="F656" i="3"/>
  <c r="F657" i="3"/>
  <c r="F658" i="3"/>
  <c r="F659" i="3"/>
  <c r="F660" i="3"/>
  <c r="F661" i="3"/>
  <c r="F662" i="3"/>
  <c r="F663" i="3"/>
  <c r="F664" i="3"/>
  <c r="F665" i="3"/>
  <c r="F666" i="3"/>
  <c r="F667" i="3"/>
  <c r="F668" i="3"/>
  <c r="F669" i="3"/>
  <c r="F670" i="3"/>
  <c r="F671" i="3"/>
  <c r="F672" i="3"/>
  <c r="F673" i="3"/>
  <c r="F674" i="3"/>
  <c r="F675" i="3"/>
  <c r="F676" i="3"/>
  <c r="F677" i="3"/>
  <c r="F678" i="3"/>
  <c r="F679" i="3"/>
  <c r="F680" i="3"/>
  <c r="F681" i="3"/>
  <c r="F682" i="3"/>
  <c r="F683" i="3"/>
  <c r="F684" i="3"/>
  <c r="F685" i="3"/>
  <c r="F686" i="3"/>
  <c r="F687" i="3"/>
  <c r="F688" i="3"/>
  <c r="F689" i="3"/>
  <c r="F690" i="3"/>
  <c r="F691" i="3"/>
  <c r="F692" i="3"/>
  <c r="F693" i="3"/>
  <c r="F694" i="3"/>
  <c r="F695" i="3"/>
  <c r="F696" i="3"/>
  <c r="F697" i="3"/>
  <c r="F698" i="3"/>
  <c r="F699" i="3"/>
  <c r="F700" i="3"/>
  <c r="F701" i="3"/>
  <c r="F702" i="3"/>
  <c r="F703" i="3"/>
  <c r="F704" i="3"/>
  <c r="F705" i="3"/>
  <c r="F706" i="3"/>
  <c r="F707" i="3"/>
  <c r="F708" i="3"/>
  <c r="F709" i="3"/>
  <c r="F710" i="3"/>
  <c r="F711" i="3"/>
  <c r="F712" i="3"/>
  <c r="F713" i="3"/>
  <c r="F714" i="3"/>
  <c r="F715" i="3"/>
  <c r="F716" i="3"/>
  <c r="F717" i="3"/>
  <c r="F718" i="3"/>
  <c r="F719" i="3"/>
  <c r="F720" i="3"/>
  <c r="F721" i="3"/>
  <c r="F722" i="3"/>
  <c r="F723" i="3"/>
  <c r="F724" i="3"/>
  <c r="F725" i="3"/>
  <c r="F726" i="3"/>
  <c r="F727" i="3"/>
  <c r="F728" i="3"/>
  <c r="F729" i="3"/>
  <c r="F730" i="3"/>
  <c r="F731" i="3"/>
  <c r="F732" i="3"/>
  <c r="F733" i="3"/>
  <c r="F734" i="3"/>
  <c r="F735" i="3"/>
  <c r="F736" i="3"/>
  <c r="F737" i="3"/>
  <c r="F738" i="3"/>
  <c r="F739" i="3"/>
  <c r="F740" i="3"/>
  <c r="F741" i="3"/>
  <c r="F742" i="3"/>
  <c r="F743" i="3"/>
  <c r="F744" i="3"/>
  <c r="F745" i="3"/>
  <c r="F746" i="3"/>
  <c r="F747" i="3"/>
  <c r="F748" i="3"/>
  <c r="F749" i="3"/>
  <c r="F750" i="3"/>
  <c r="F751" i="3"/>
  <c r="F752" i="3"/>
  <c r="F753" i="3"/>
  <c r="F754" i="3"/>
  <c r="F755" i="3"/>
  <c r="F756" i="3"/>
  <c r="F757" i="3"/>
  <c r="F758" i="3"/>
  <c r="F759" i="3"/>
  <c r="F760" i="3"/>
  <c r="F761" i="3"/>
  <c r="F762" i="3"/>
  <c r="F763" i="3"/>
  <c r="F764" i="3"/>
  <c r="F765" i="3"/>
  <c r="F766" i="3"/>
  <c r="F767" i="3"/>
  <c r="F768" i="3"/>
  <c r="F769" i="3"/>
  <c r="F770" i="3"/>
  <c r="F771" i="3"/>
  <c r="F772" i="3"/>
  <c r="F773" i="3"/>
  <c r="F774" i="3"/>
  <c r="F775" i="3"/>
  <c r="F776" i="3"/>
  <c r="F777" i="3"/>
  <c r="F778" i="3"/>
  <c r="F779" i="3"/>
  <c r="F780" i="3"/>
  <c r="F781" i="3"/>
  <c r="F782" i="3"/>
  <c r="F783" i="3"/>
  <c r="F784" i="3"/>
  <c r="F785" i="3"/>
  <c r="F786" i="3"/>
  <c r="F787" i="3"/>
  <c r="F788" i="3"/>
  <c r="F789" i="3"/>
  <c r="F790" i="3"/>
  <c r="F791" i="3"/>
  <c r="F792" i="3"/>
  <c r="F793" i="3"/>
  <c r="F794" i="3"/>
  <c r="F795" i="3"/>
  <c r="F796" i="3"/>
  <c r="F797" i="3"/>
  <c r="F798" i="3"/>
  <c r="F799" i="3"/>
  <c r="F800" i="3"/>
  <c r="F801" i="3"/>
  <c r="F802" i="3"/>
  <c r="F803" i="3"/>
  <c r="F804" i="3"/>
  <c r="F805" i="3"/>
  <c r="F806" i="3"/>
  <c r="F807" i="3"/>
  <c r="F808" i="3"/>
  <c r="F809" i="3"/>
  <c r="F810" i="3"/>
  <c r="F811" i="3"/>
  <c r="F812" i="3"/>
  <c r="F813" i="3"/>
  <c r="F814" i="3"/>
  <c r="F815" i="3"/>
  <c r="F816" i="3"/>
  <c r="F817" i="3"/>
  <c r="F818" i="3"/>
  <c r="F819" i="3"/>
  <c r="F820" i="3"/>
  <c r="F821" i="3"/>
  <c r="F822" i="3"/>
  <c r="F823" i="3"/>
  <c r="F824" i="3"/>
  <c r="F825" i="3"/>
  <c r="F826" i="3"/>
  <c r="F827" i="3"/>
  <c r="F828" i="3"/>
  <c r="F829" i="3"/>
  <c r="F830" i="3"/>
  <c r="F831" i="3"/>
  <c r="F832" i="3"/>
  <c r="F833" i="3"/>
  <c r="F834" i="3"/>
  <c r="F835" i="3"/>
  <c r="F836" i="3"/>
  <c r="F837" i="3"/>
  <c r="F838" i="3"/>
  <c r="F839" i="3"/>
  <c r="F840" i="3"/>
  <c r="F841" i="3"/>
  <c r="F842" i="3"/>
  <c r="F843" i="3"/>
  <c r="F844" i="3"/>
  <c r="F845" i="3"/>
  <c r="F846" i="3"/>
  <c r="F847" i="3"/>
  <c r="F848" i="3"/>
  <c r="F849" i="3"/>
  <c r="F850" i="3"/>
  <c r="F851" i="3"/>
  <c r="F852" i="3"/>
  <c r="F853" i="3"/>
  <c r="F854" i="3"/>
  <c r="F855" i="3"/>
  <c r="F856" i="3"/>
  <c r="F857" i="3"/>
  <c r="F858" i="3"/>
  <c r="F859" i="3"/>
  <c r="F860" i="3"/>
  <c r="F861" i="3"/>
  <c r="F862" i="3"/>
  <c r="F863" i="3"/>
  <c r="F864" i="3"/>
  <c r="F865" i="3"/>
  <c r="F866" i="3"/>
  <c r="F867" i="3"/>
  <c r="F868" i="3"/>
  <c r="F869" i="3"/>
  <c r="F870" i="3"/>
  <c r="F871" i="3"/>
  <c r="F872" i="3"/>
  <c r="F873" i="3"/>
  <c r="F874" i="3"/>
  <c r="F875" i="3"/>
  <c r="F876" i="3"/>
  <c r="F877" i="3"/>
  <c r="F878" i="3"/>
  <c r="F879" i="3"/>
  <c r="F880" i="3"/>
  <c r="F881" i="3"/>
  <c r="F882" i="3"/>
  <c r="F883" i="3"/>
  <c r="F884" i="3"/>
  <c r="F885" i="3"/>
  <c r="F886" i="3"/>
  <c r="F887" i="3"/>
  <c r="F888" i="3"/>
  <c r="F889" i="3"/>
  <c r="F890" i="3"/>
  <c r="F891" i="3"/>
  <c r="F892" i="3"/>
  <c r="F893" i="3"/>
  <c r="F894" i="3"/>
  <c r="F895" i="3"/>
  <c r="F896" i="3"/>
  <c r="F897" i="3"/>
  <c r="F898" i="3"/>
  <c r="F899" i="3"/>
  <c r="F900" i="3"/>
  <c r="F901" i="3"/>
  <c r="F902" i="3"/>
  <c r="F903" i="3"/>
  <c r="F904" i="3"/>
  <c r="F905" i="3"/>
  <c r="F906" i="3"/>
  <c r="F907" i="3"/>
  <c r="F908" i="3"/>
  <c r="F909" i="3"/>
  <c r="F910" i="3"/>
  <c r="F911" i="3"/>
  <c r="F912" i="3"/>
  <c r="F913" i="3"/>
  <c r="F914" i="3"/>
  <c r="F915" i="3"/>
  <c r="F916" i="3"/>
  <c r="F917" i="3"/>
  <c r="F918" i="3"/>
  <c r="F919" i="3"/>
  <c r="F920" i="3"/>
  <c r="F921" i="3"/>
  <c r="F922" i="3"/>
  <c r="F923" i="3"/>
  <c r="F924" i="3"/>
  <c r="F925" i="3"/>
  <c r="F926" i="3"/>
  <c r="F927" i="3"/>
  <c r="F928" i="3"/>
  <c r="F929" i="3"/>
  <c r="F930" i="3"/>
  <c r="F931" i="3"/>
  <c r="F932" i="3"/>
  <c r="F933" i="3"/>
  <c r="F934" i="3"/>
  <c r="F935" i="3"/>
  <c r="F936" i="3"/>
  <c r="F937" i="3"/>
  <c r="F938" i="3"/>
  <c r="F939" i="3"/>
  <c r="F940" i="3"/>
  <c r="F941" i="3"/>
  <c r="F942" i="3"/>
  <c r="F943" i="3"/>
  <c r="F944" i="3"/>
  <c r="F945" i="3"/>
  <c r="F946" i="3"/>
  <c r="F947" i="3"/>
  <c r="F948" i="3"/>
  <c r="F949" i="3"/>
  <c r="F950" i="3"/>
  <c r="F951" i="3"/>
  <c r="F952" i="3"/>
  <c r="F953" i="3"/>
  <c r="F954" i="3"/>
  <c r="F955" i="3"/>
  <c r="F956" i="3"/>
  <c r="F957" i="3"/>
  <c r="F958" i="3"/>
  <c r="F959" i="3"/>
  <c r="F960" i="3"/>
  <c r="F961" i="3"/>
  <c r="F962" i="3"/>
  <c r="F963" i="3"/>
  <c r="F964" i="3"/>
  <c r="F965" i="3"/>
  <c r="F966" i="3"/>
  <c r="F967" i="3"/>
  <c r="F968" i="3"/>
  <c r="F969" i="3"/>
  <c r="F970" i="3"/>
  <c r="F971" i="3"/>
  <c r="F972" i="3"/>
  <c r="F973" i="3"/>
  <c r="F974" i="3"/>
  <c r="F975" i="3"/>
  <c r="F976" i="3"/>
  <c r="F977" i="3"/>
  <c r="F978" i="3"/>
  <c r="F979" i="3"/>
  <c r="F980" i="3"/>
  <c r="F981" i="3"/>
  <c r="F982" i="3"/>
  <c r="F983" i="3"/>
  <c r="F984" i="3"/>
  <c r="F985" i="3"/>
  <c r="F986" i="3"/>
  <c r="F987" i="3"/>
  <c r="F988" i="3"/>
  <c r="F989" i="3"/>
  <c r="F990" i="3"/>
  <c r="F991" i="3"/>
  <c r="F992" i="3"/>
  <c r="F993" i="3"/>
  <c r="F994" i="3"/>
  <c r="F995" i="3"/>
  <c r="F996" i="3"/>
  <c r="F997" i="3"/>
  <c r="F998" i="3"/>
  <c r="F999" i="3"/>
  <c r="F1000" i="3"/>
  <c r="F1001" i="3"/>
  <c r="F1002" i="3"/>
  <c r="F1003" i="3"/>
  <c r="F1004" i="3"/>
  <c r="F1005" i="3"/>
  <c r="F1006" i="3"/>
  <c r="F1007" i="3"/>
  <c r="F1008" i="3"/>
  <c r="F1009" i="3"/>
  <c r="F1010" i="3"/>
  <c r="F1011" i="3"/>
  <c r="F1012" i="3"/>
  <c r="F1013" i="3"/>
  <c r="F1014" i="3"/>
  <c r="F1015" i="3"/>
  <c r="F1016" i="3"/>
  <c r="F1017" i="3"/>
  <c r="F1018" i="3"/>
  <c r="F1019" i="3"/>
  <c r="F1020" i="3"/>
  <c r="F1021" i="3"/>
  <c r="F1022" i="3"/>
  <c r="F1023" i="3"/>
  <c r="F1024" i="3"/>
  <c r="F1025" i="3"/>
  <c r="F1026" i="3"/>
  <c r="F1027" i="3"/>
  <c r="F1028" i="3"/>
  <c r="F1029" i="3"/>
  <c r="F1030" i="3"/>
  <c r="F1031" i="3"/>
  <c r="F1032" i="3"/>
  <c r="F1033" i="3"/>
  <c r="F1034" i="3"/>
  <c r="F1035" i="3"/>
  <c r="F1036" i="3"/>
  <c r="F1037" i="3"/>
  <c r="F1038" i="3"/>
  <c r="F1039" i="3"/>
  <c r="F1040" i="3"/>
  <c r="F1041" i="3"/>
  <c r="F1042" i="3"/>
  <c r="F1043" i="3"/>
  <c r="F1044" i="3"/>
  <c r="F1045" i="3"/>
  <c r="F1046" i="3"/>
  <c r="F1047" i="3"/>
  <c r="F1048" i="3"/>
  <c r="F1049" i="3"/>
  <c r="F1050" i="3"/>
  <c r="F1051" i="3"/>
  <c r="F1052" i="3"/>
  <c r="F1053" i="3"/>
  <c r="F1054" i="3"/>
  <c r="F1055" i="3"/>
  <c r="F1056" i="3"/>
  <c r="F1057" i="3"/>
  <c r="F1058" i="3"/>
  <c r="F1059" i="3"/>
  <c r="F1060" i="3"/>
  <c r="F1061" i="3"/>
  <c r="F1062" i="3"/>
  <c r="F1063" i="3"/>
  <c r="F1064" i="3"/>
  <c r="F1065" i="3"/>
  <c r="F1066" i="3"/>
  <c r="F1067" i="3"/>
  <c r="F1068" i="3"/>
  <c r="F1069" i="3"/>
  <c r="F1070" i="3"/>
  <c r="F1071" i="3"/>
  <c r="F1072" i="3"/>
  <c r="F1073" i="3"/>
  <c r="F1074" i="3"/>
  <c r="F1075" i="3"/>
  <c r="F1076" i="3"/>
  <c r="F1077" i="3"/>
  <c r="F1078" i="3"/>
  <c r="F1079" i="3"/>
  <c r="F1080" i="3"/>
  <c r="F1081" i="3"/>
  <c r="F1082" i="3"/>
  <c r="F1083" i="3"/>
  <c r="F1084" i="3"/>
  <c r="F1085" i="3"/>
  <c r="F1086" i="3"/>
  <c r="F1087" i="3"/>
  <c r="F1088" i="3"/>
  <c r="F1089" i="3"/>
  <c r="F1090" i="3"/>
  <c r="F1091" i="3"/>
  <c r="F1092" i="3"/>
  <c r="F1093" i="3"/>
  <c r="F1094" i="3"/>
  <c r="F1095" i="3"/>
  <c r="F1096" i="3"/>
  <c r="F1097" i="3"/>
  <c r="F1098" i="3"/>
  <c r="F1099" i="3"/>
  <c r="F1100" i="3"/>
  <c r="F1101" i="3"/>
  <c r="F1102" i="3"/>
  <c r="F1103" i="3"/>
  <c r="F1104" i="3"/>
  <c r="F1105" i="3"/>
  <c r="F1106" i="3"/>
  <c r="F1107" i="3"/>
  <c r="F1108" i="3"/>
  <c r="F1109" i="3"/>
  <c r="F1110" i="3"/>
  <c r="F1111" i="3"/>
  <c r="F1112" i="3"/>
  <c r="F1113" i="3"/>
  <c r="F1114" i="3"/>
  <c r="F1115" i="3"/>
  <c r="F1116" i="3"/>
  <c r="F1117" i="3"/>
  <c r="F1118" i="3"/>
  <c r="F1119" i="3"/>
  <c r="F1120" i="3"/>
  <c r="F1121" i="3"/>
  <c r="F1122" i="3"/>
  <c r="F1123" i="3"/>
  <c r="F1124" i="3"/>
  <c r="F1125" i="3"/>
  <c r="F1126" i="3"/>
  <c r="F1127" i="3"/>
  <c r="F1128" i="3"/>
  <c r="F1129" i="3"/>
  <c r="F1130" i="3"/>
  <c r="F1131" i="3"/>
  <c r="F1132" i="3"/>
  <c r="F1133" i="3"/>
  <c r="F1134" i="3"/>
  <c r="F1135" i="3"/>
  <c r="F1136" i="3"/>
  <c r="F1137" i="3"/>
  <c r="F1138" i="3"/>
  <c r="F1139" i="3"/>
  <c r="F1140" i="3"/>
  <c r="F1141" i="3"/>
  <c r="F1142" i="3"/>
  <c r="F1143" i="3"/>
  <c r="F1144" i="3"/>
  <c r="F1145" i="3"/>
  <c r="F1146" i="3"/>
  <c r="F1147" i="3"/>
  <c r="F1148" i="3"/>
  <c r="F1149" i="3"/>
  <c r="F1150" i="3"/>
  <c r="F1151" i="3"/>
  <c r="F1152" i="3"/>
  <c r="F1153" i="3"/>
  <c r="F1154" i="3"/>
  <c r="F1155" i="3"/>
  <c r="F1156" i="3"/>
  <c r="F1157" i="3"/>
  <c r="F1158" i="3"/>
  <c r="F1159" i="3"/>
  <c r="F1160" i="3"/>
  <c r="F1161" i="3"/>
  <c r="F1162" i="3"/>
  <c r="F1163" i="3"/>
  <c r="F1164" i="3"/>
  <c r="F1165" i="3"/>
  <c r="F1166" i="3"/>
  <c r="F1167" i="3"/>
  <c r="F1168" i="3"/>
  <c r="F1169" i="3"/>
  <c r="F1170" i="3"/>
  <c r="F1171" i="3"/>
  <c r="F1172" i="3"/>
  <c r="F1173" i="3"/>
  <c r="F1174" i="3"/>
  <c r="F1175" i="3"/>
  <c r="F1176" i="3"/>
  <c r="F1177" i="3"/>
  <c r="F1178" i="3"/>
  <c r="F1179" i="3"/>
  <c r="F1180" i="3"/>
  <c r="F1181" i="3"/>
  <c r="F1182" i="3"/>
  <c r="F1183" i="3"/>
  <c r="F1184" i="3"/>
  <c r="F1185" i="3"/>
  <c r="F1186" i="3"/>
  <c r="F1187" i="3"/>
  <c r="F1188" i="3"/>
  <c r="F1189" i="3"/>
  <c r="F1190" i="3"/>
  <c r="F1191" i="3"/>
  <c r="F1192" i="3"/>
  <c r="F1193" i="3"/>
  <c r="F1194" i="3"/>
  <c r="F1195" i="3"/>
  <c r="F1196" i="3"/>
  <c r="F1197" i="3"/>
  <c r="F1198" i="3"/>
  <c r="F1199" i="3"/>
  <c r="F1200" i="3"/>
  <c r="F1201" i="3"/>
  <c r="F1202" i="3"/>
  <c r="F1203" i="3"/>
  <c r="F1204" i="3"/>
  <c r="F1205" i="3"/>
  <c r="F1206" i="3"/>
  <c r="F1207" i="3"/>
  <c r="F1208" i="3"/>
  <c r="F1209" i="3"/>
  <c r="F1210" i="3"/>
  <c r="F1211" i="3"/>
  <c r="F1212" i="3"/>
  <c r="F1213" i="3"/>
  <c r="F1214" i="3"/>
  <c r="F1215" i="3"/>
  <c r="F1216" i="3"/>
  <c r="F1217" i="3"/>
  <c r="F1218" i="3"/>
  <c r="F1219" i="3"/>
  <c r="F1220" i="3"/>
  <c r="F1221" i="3"/>
  <c r="F1222" i="3"/>
  <c r="F1223" i="3"/>
  <c r="F1224" i="3"/>
  <c r="F1225" i="3"/>
  <c r="F1226" i="3"/>
  <c r="F1227" i="3"/>
  <c r="F1228" i="3"/>
  <c r="F1229" i="3"/>
  <c r="F1230" i="3"/>
  <c r="F1231" i="3"/>
  <c r="F1232" i="3"/>
  <c r="F1233" i="3"/>
  <c r="F1234" i="3"/>
  <c r="F1235" i="3"/>
  <c r="F1236" i="3"/>
  <c r="F1237" i="3"/>
  <c r="F1238" i="3"/>
  <c r="F1239" i="3"/>
  <c r="F1240" i="3"/>
  <c r="F1241" i="3"/>
  <c r="F1242" i="3"/>
  <c r="F1243" i="3"/>
  <c r="F1244" i="3"/>
  <c r="F1245" i="3"/>
  <c r="F1246" i="3"/>
  <c r="F1247" i="3"/>
  <c r="F1248" i="3"/>
  <c r="F1249" i="3"/>
  <c r="F1250" i="3"/>
  <c r="F1251" i="3"/>
  <c r="F1252" i="3"/>
  <c r="F1253" i="3"/>
  <c r="F1254" i="3"/>
  <c r="F1255" i="3"/>
  <c r="F1256" i="3"/>
  <c r="F1257" i="3"/>
  <c r="F1258" i="3"/>
  <c r="F1259" i="3"/>
  <c r="F1260" i="3"/>
  <c r="F1261" i="3"/>
  <c r="F1262" i="3"/>
  <c r="F1263" i="3"/>
  <c r="F1264" i="3"/>
  <c r="F1265" i="3"/>
  <c r="F1266" i="3"/>
  <c r="F1267" i="3"/>
  <c r="F1268" i="3"/>
  <c r="F1269" i="3"/>
  <c r="F1270" i="3"/>
  <c r="F1271" i="3"/>
  <c r="F1272" i="3"/>
  <c r="F1273" i="3"/>
  <c r="F1274" i="3"/>
  <c r="F1275" i="3"/>
  <c r="F1276" i="3"/>
  <c r="F1277" i="3"/>
  <c r="F1278" i="3"/>
  <c r="F1279" i="3"/>
  <c r="F1280" i="3"/>
  <c r="F1281" i="3"/>
  <c r="F1282" i="3"/>
  <c r="F1283" i="3"/>
  <c r="F1284" i="3"/>
  <c r="F1285" i="3"/>
  <c r="F1286" i="3"/>
  <c r="F1287" i="3"/>
  <c r="F1288" i="3"/>
  <c r="F1289" i="3"/>
  <c r="F1290" i="3"/>
  <c r="F1291" i="3"/>
  <c r="F1292" i="3"/>
  <c r="F1293" i="3"/>
  <c r="F1294" i="3"/>
  <c r="F1295" i="3"/>
  <c r="F1296" i="3"/>
  <c r="F1297" i="3"/>
  <c r="F1298" i="3"/>
  <c r="F1299" i="3"/>
  <c r="F1300" i="3"/>
  <c r="F1301" i="3"/>
  <c r="F1302" i="3"/>
  <c r="F1303" i="3"/>
  <c r="F1304" i="3"/>
  <c r="F1305" i="3"/>
  <c r="F1306" i="3"/>
  <c r="F1307" i="3"/>
  <c r="F1308" i="3"/>
  <c r="F1309" i="3"/>
  <c r="F1310" i="3"/>
  <c r="F1311" i="3"/>
  <c r="F1312" i="3"/>
  <c r="F1313" i="3"/>
  <c r="F1314" i="3"/>
  <c r="F1315" i="3"/>
  <c r="F1316" i="3"/>
  <c r="F1317" i="3"/>
  <c r="F1318" i="3"/>
  <c r="F1319" i="3"/>
  <c r="F1320" i="3"/>
  <c r="F1321" i="3"/>
  <c r="F1322" i="3"/>
  <c r="F1323" i="3"/>
  <c r="F1324" i="3"/>
  <c r="F1325" i="3"/>
  <c r="F1326" i="3"/>
  <c r="F1327" i="3"/>
  <c r="F1328" i="3"/>
  <c r="F1329" i="3"/>
  <c r="F1330" i="3"/>
  <c r="F1331" i="3"/>
  <c r="F1332" i="3"/>
  <c r="F1333" i="3"/>
  <c r="F1334" i="3"/>
  <c r="F1335" i="3"/>
  <c r="F1336" i="3"/>
  <c r="F1337" i="3"/>
  <c r="F1338" i="3"/>
  <c r="F1339" i="3"/>
  <c r="F1340" i="3"/>
  <c r="F1341" i="3"/>
  <c r="F1342" i="3"/>
  <c r="F1343" i="3"/>
  <c r="F1344" i="3"/>
  <c r="F1345" i="3"/>
  <c r="F1346" i="3"/>
  <c r="F1347" i="3"/>
  <c r="F1348" i="3"/>
  <c r="F1349" i="3"/>
  <c r="F1350" i="3"/>
  <c r="F1351" i="3"/>
  <c r="F1352" i="3"/>
  <c r="F1353" i="3"/>
  <c r="F1354" i="3"/>
  <c r="F1355" i="3"/>
  <c r="F1356" i="3"/>
  <c r="F1357" i="3"/>
  <c r="F1358" i="3"/>
  <c r="F1359" i="3"/>
  <c r="F1360" i="3"/>
  <c r="F1361" i="3"/>
  <c r="F1362" i="3"/>
  <c r="F1363" i="3"/>
  <c r="F1364" i="3"/>
  <c r="F1365" i="3"/>
  <c r="F1366" i="3"/>
  <c r="F1367" i="3"/>
  <c r="F1368" i="3"/>
  <c r="F1369" i="3"/>
  <c r="F1370" i="3"/>
  <c r="F1371" i="3"/>
  <c r="F1372" i="3"/>
  <c r="F1373" i="3"/>
  <c r="F1374" i="3"/>
  <c r="F1375" i="3"/>
  <c r="F1376" i="3"/>
  <c r="F1377" i="3"/>
  <c r="F1378" i="3"/>
  <c r="F1379" i="3"/>
  <c r="F1380" i="3"/>
  <c r="F1381" i="3"/>
  <c r="F1382" i="3"/>
  <c r="F1383" i="3"/>
  <c r="F1384" i="3"/>
  <c r="F1385" i="3"/>
  <c r="F1386" i="3"/>
  <c r="F1387" i="3"/>
  <c r="F1388" i="3"/>
  <c r="F1389" i="3"/>
  <c r="F1390" i="3"/>
  <c r="F1391" i="3"/>
  <c r="F1392" i="3"/>
  <c r="F1393" i="3"/>
  <c r="F1394" i="3"/>
  <c r="F1395" i="3"/>
  <c r="F1396" i="3"/>
  <c r="F1397" i="3"/>
  <c r="F1398" i="3"/>
  <c r="F1399" i="3"/>
  <c r="F1400" i="3"/>
  <c r="F1401" i="3"/>
  <c r="F1402" i="3"/>
  <c r="F1403" i="3"/>
  <c r="F1404" i="3"/>
  <c r="F1405" i="3"/>
  <c r="F1406" i="3"/>
  <c r="F1407" i="3"/>
  <c r="F1408" i="3"/>
  <c r="F1409" i="3"/>
  <c r="F1410" i="3"/>
  <c r="F1411" i="3"/>
  <c r="F1412" i="3"/>
  <c r="F1413" i="3"/>
  <c r="F1414" i="3"/>
  <c r="F1415" i="3"/>
  <c r="F1416" i="3"/>
  <c r="F1417" i="3"/>
  <c r="F1418" i="3"/>
  <c r="F1419" i="3"/>
  <c r="F1420" i="3"/>
  <c r="F1421" i="3"/>
  <c r="F1422" i="3"/>
  <c r="F1423" i="3"/>
  <c r="F1424" i="3"/>
  <c r="F1425" i="3"/>
  <c r="F1426" i="3"/>
  <c r="F1427" i="3"/>
  <c r="F1428" i="3"/>
  <c r="F1429" i="3"/>
  <c r="F1430" i="3"/>
  <c r="F1431" i="3"/>
  <c r="F1432" i="3"/>
  <c r="F1433" i="3"/>
  <c r="F1434" i="3"/>
  <c r="F1435" i="3"/>
  <c r="F1436" i="3"/>
  <c r="F1437" i="3"/>
  <c r="F1438" i="3"/>
  <c r="F1439" i="3"/>
  <c r="F1440" i="3"/>
  <c r="F1441" i="3"/>
  <c r="F1442" i="3"/>
  <c r="F1443" i="3"/>
  <c r="F1444" i="3"/>
  <c r="F1445" i="3"/>
  <c r="F1446" i="3"/>
  <c r="F1447" i="3"/>
  <c r="F1448" i="3"/>
  <c r="F1449" i="3"/>
  <c r="F1450" i="3"/>
  <c r="F1451" i="3"/>
  <c r="F1452" i="3"/>
  <c r="F1453" i="3"/>
  <c r="F1454" i="3"/>
  <c r="F1455" i="3"/>
  <c r="F1456" i="3"/>
  <c r="F1457" i="3"/>
  <c r="F1458" i="3"/>
  <c r="F1459" i="3"/>
  <c r="F1460" i="3"/>
  <c r="F1461" i="3"/>
  <c r="F1462" i="3"/>
  <c r="F1463" i="3"/>
  <c r="F1464" i="3"/>
  <c r="F1465" i="3"/>
  <c r="F1466" i="3"/>
  <c r="F1467" i="3"/>
  <c r="F1468" i="3"/>
  <c r="F1469" i="3"/>
  <c r="F1470" i="3"/>
  <c r="F1471" i="3"/>
  <c r="F1472" i="3"/>
  <c r="F1473" i="3"/>
  <c r="F1474" i="3"/>
  <c r="F1475" i="3"/>
  <c r="F1476" i="3"/>
  <c r="F1477" i="3"/>
  <c r="F1478" i="3"/>
  <c r="F1479" i="3"/>
  <c r="F1480" i="3"/>
  <c r="F1481" i="3"/>
  <c r="F1482" i="3"/>
  <c r="F1483" i="3"/>
  <c r="F1484" i="3"/>
  <c r="F1485" i="3"/>
  <c r="F1486" i="3"/>
  <c r="F1487" i="3"/>
  <c r="F1488" i="3"/>
  <c r="F1489" i="3"/>
  <c r="F1490" i="3"/>
  <c r="F1491" i="3"/>
  <c r="F1492" i="3"/>
  <c r="F1493" i="3"/>
  <c r="F1494" i="3"/>
  <c r="F1495" i="3"/>
  <c r="F1496" i="3"/>
  <c r="F1497" i="3"/>
  <c r="F1498" i="3"/>
  <c r="F1499" i="3"/>
  <c r="F1500" i="3"/>
  <c r="F1501" i="3"/>
  <c r="F1502" i="3"/>
  <c r="F1503" i="3"/>
  <c r="F1504" i="3"/>
  <c r="F1505" i="3"/>
  <c r="F1506" i="3"/>
  <c r="F1507" i="3"/>
  <c r="F1508" i="3"/>
  <c r="F1509" i="3"/>
  <c r="F1510" i="3"/>
  <c r="F1511" i="3"/>
  <c r="F1512" i="3"/>
  <c r="F1513" i="3"/>
  <c r="F1514" i="3"/>
  <c r="F1515" i="3"/>
  <c r="F1516" i="3"/>
  <c r="F1517" i="3"/>
  <c r="F1518" i="3"/>
  <c r="F1519" i="3"/>
  <c r="F1520" i="3"/>
  <c r="F1521" i="3"/>
  <c r="F1522" i="3"/>
  <c r="F1523" i="3"/>
  <c r="F1524" i="3"/>
  <c r="F1525" i="3"/>
  <c r="F1526" i="3"/>
  <c r="F1527" i="3"/>
  <c r="F1528" i="3"/>
  <c r="F1529" i="3"/>
  <c r="F1530" i="3"/>
  <c r="F1531" i="3"/>
  <c r="F1532" i="3"/>
  <c r="F1533" i="3"/>
  <c r="F1534" i="3"/>
  <c r="F1535" i="3"/>
  <c r="F1536" i="3"/>
  <c r="F1537" i="3"/>
  <c r="F1538" i="3"/>
  <c r="F1539" i="3"/>
  <c r="F1540" i="3"/>
  <c r="F1541" i="3"/>
  <c r="F1542" i="3"/>
  <c r="F1543" i="3"/>
  <c r="F1544" i="3"/>
  <c r="F1545" i="3"/>
  <c r="F1546" i="3"/>
  <c r="F1547" i="3"/>
  <c r="F1548" i="3"/>
  <c r="F1549" i="3"/>
  <c r="F1550" i="3"/>
  <c r="F1551" i="3"/>
  <c r="F1552" i="3"/>
  <c r="F1553" i="3"/>
  <c r="F1554" i="3"/>
  <c r="F1555" i="3"/>
  <c r="F1556" i="3"/>
  <c r="F1557" i="3"/>
  <c r="F1558" i="3"/>
  <c r="F1559" i="3"/>
  <c r="F1560" i="3"/>
  <c r="F1561" i="3"/>
  <c r="F1562" i="3"/>
  <c r="F1563" i="3"/>
  <c r="F1564" i="3"/>
  <c r="F1565" i="3"/>
  <c r="F1566" i="3"/>
  <c r="F1567" i="3"/>
  <c r="F1568" i="3"/>
  <c r="F1569" i="3"/>
  <c r="F1570" i="3"/>
  <c r="F1571" i="3"/>
  <c r="F1572" i="3"/>
  <c r="F1573" i="3"/>
  <c r="F1574" i="3"/>
  <c r="F1575" i="3"/>
  <c r="F1576" i="3"/>
  <c r="F1577" i="3"/>
  <c r="F1578" i="3"/>
  <c r="F1579" i="3"/>
  <c r="F1580" i="3"/>
  <c r="F1581" i="3"/>
  <c r="F1582" i="3"/>
  <c r="F1583" i="3"/>
  <c r="F1584" i="3"/>
  <c r="F1585" i="3"/>
  <c r="F1586" i="3"/>
  <c r="F1587" i="3"/>
  <c r="F1588" i="3"/>
  <c r="F1589" i="3"/>
  <c r="F1590" i="3"/>
  <c r="F1591" i="3"/>
  <c r="F1592" i="3"/>
  <c r="F1593" i="3"/>
  <c r="F1594" i="3"/>
  <c r="F1595" i="3"/>
  <c r="F1596" i="3"/>
  <c r="F1597" i="3"/>
  <c r="F1598" i="3"/>
  <c r="F1599" i="3"/>
  <c r="F1600" i="3"/>
  <c r="F1601" i="3"/>
  <c r="F1602" i="3"/>
  <c r="F1603" i="3"/>
  <c r="F1604" i="3"/>
  <c r="F1605" i="3"/>
  <c r="F1606" i="3"/>
  <c r="F1607" i="3"/>
  <c r="F1608" i="3"/>
  <c r="F1609" i="3"/>
  <c r="F1610" i="3"/>
  <c r="F1611" i="3"/>
  <c r="F1612" i="3"/>
  <c r="F1613" i="3"/>
  <c r="F1614" i="3"/>
  <c r="F1615" i="3"/>
  <c r="F1616" i="3"/>
  <c r="F1617" i="3"/>
  <c r="F1618" i="3"/>
  <c r="F1619" i="3"/>
  <c r="F1620" i="3"/>
  <c r="F1621" i="3"/>
  <c r="F1622" i="3"/>
  <c r="F1623" i="3"/>
  <c r="F1624" i="3"/>
  <c r="F1625" i="3"/>
  <c r="F1626" i="3"/>
  <c r="F1627" i="3"/>
  <c r="F1628" i="3"/>
  <c r="F1629" i="3"/>
  <c r="F1630" i="3"/>
  <c r="F1631" i="3"/>
  <c r="F1632" i="3"/>
  <c r="F1633" i="3"/>
  <c r="F1634" i="3"/>
  <c r="F1635" i="3"/>
  <c r="F1636" i="3"/>
  <c r="F1637" i="3"/>
  <c r="F1638" i="3"/>
  <c r="F1639" i="3"/>
  <c r="F1640" i="3"/>
  <c r="F1641" i="3"/>
  <c r="F1642" i="3"/>
  <c r="F1643" i="3"/>
  <c r="F1644" i="3"/>
  <c r="F1645" i="3"/>
  <c r="F1646" i="3"/>
  <c r="F1647" i="3"/>
  <c r="F1648" i="3"/>
  <c r="F1649" i="3"/>
  <c r="F1650" i="3"/>
  <c r="F1651" i="3"/>
  <c r="F1652" i="3"/>
  <c r="F1653" i="3"/>
  <c r="F1654" i="3"/>
  <c r="F1655" i="3"/>
  <c r="F1656" i="3"/>
  <c r="F1657" i="3"/>
  <c r="F1658" i="3"/>
  <c r="F1659" i="3"/>
  <c r="F1660" i="3"/>
  <c r="F1661" i="3"/>
  <c r="F1662" i="3"/>
  <c r="F1663" i="3"/>
  <c r="F1664" i="3"/>
  <c r="F1665" i="3"/>
  <c r="F1666" i="3"/>
  <c r="F1667" i="3"/>
  <c r="F1668" i="3"/>
  <c r="F1669" i="3"/>
  <c r="F1670" i="3"/>
  <c r="F1671" i="3"/>
  <c r="F1672" i="3"/>
  <c r="F1673" i="3"/>
  <c r="F1674" i="3"/>
  <c r="F1675" i="3"/>
  <c r="F1676" i="3"/>
  <c r="F1677" i="3"/>
  <c r="F1678" i="3"/>
  <c r="F1679" i="3"/>
  <c r="F1680" i="3"/>
  <c r="F1681" i="3"/>
  <c r="F1682" i="3"/>
  <c r="F1683" i="3"/>
  <c r="F1684" i="3"/>
  <c r="F1685" i="3"/>
  <c r="F1686" i="3"/>
  <c r="F1687" i="3"/>
  <c r="F1688" i="3"/>
  <c r="F1689" i="3"/>
  <c r="F1690" i="3"/>
  <c r="F1691" i="3"/>
  <c r="F1692" i="3"/>
  <c r="F1693" i="3"/>
  <c r="F1694" i="3"/>
  <c r="F1695" i="3"/>
  <c r="F1696" i="3"/>
  <c r="F1697" i="3"/>
  <c r="F1698" i="3"/>
  <c r="F1699" i="3"/>
  <c r="F1700" i="3"/>
  <c r="F1701" i="3"/>
  <c r="F1702" i="3"/>
  <c r="F1703" i="3"/>
  <c r="F1704" i="3"/>
  <c r="F1705" i="3"/>
  <c r="F1706" i="3"/>
  <c r="F1707" i="3"/>
  <c r="F1708" i="3"/>
  <c r="F1709" i="3"/>
  <c r="F1710" i="3"/>
  <c r="F1711" i="3"/>
  <c r="F1712" i="3"/>
  <c r="F1713" i="3"/>
  <c r="F1714" i="3"/>
  <c r="F1715" i="3"/>
  <c r="F1716" i="3"/>
  <c r="F1717" i="3"/>
  <c r="F1718" i="3"/>
  <c r="F1719" i="3"/>
  <c r="F1720" i="3"/>
  <c r="F1721" i="3"/>
  <c r="F1722" i="3"/>
  <c r="F1723" i="3"/>
  <c r="F1724" i="3"/>
  <c r="F1725" i="3"/>
  <c r="F1726" i="3"/>
  <c r="F1727" i="3"/>
  <c r="F1728" i="3"/>
  <c r="F1729" i="3"/>
  <c r="F1730" i="3"/>
  <c r="F1731" i="3"/>
  <c r="F1732" i="3"/>
  <c r="F1733" i="3"/>
  <c r="F1734" i="3"/>
  <c r="F1735" i="3"/>
  <c r="F1736" i="3"/>
  <c r="F1737" i="3"/>
  <c r="F1738" i="3"/>
  <c r="F1739" i="3"/>
  <c r="F1740" i="3"/>
  <c r="F1741" i="3"/>
  <c r="F1742" i="3"/>
  <c r="F1743" i="3"/>
  <c r="F1744" i="3"/>
  <c r="F1745" i="3"/>
  <c r="F1746" i="3"/>
  <c r="F1747" i="3"/>
  <c r="F1748" i="3"/>
  <c r="F1749" i="3"/>
  <c r="F1750" i="3"/>
  <c r="F1751" i="3"/>
  <c r="F1752" i="3"/>
  <c r="F1753" i="3"/>
  <c r="F1754" i="3"/>
  <c r="F1755" i="3"/>
  <c r="F1756" i="3"/>
  <c r="F1757" i="3"/>
  <c r="F1758" i="3"/>
  <c r="F1759" i="3"/>
  <c r="F1760" i="3"/>
  <c r="F1761" i="3"/>
  <c r="F1762" i="3"/>
  <c r="F1763" i="3"/>
  <c r="F1764" i="3"/>
  <c r="F1765" i="3"/>
  <c r="F1766" i="3"/>
  <c r="F1767" i="3"/>
  <c r="F1768" i="3"/>
  <c r="F1769" i="3"/>
  <c r="F1770" i="3"/>
  <c r="F1771" i="3"/>
  <c r="F1772" i="3"/>
  <c r="F1773" i="3"/>
  <c r="F1774" i="3"/>
  <c r="F1775" i="3"/>
  <c r="F1776" i="3"/>
  <c r="F1777" i="3"/>
  <c r="F1778" i="3"/>
  <c r="F1779" i="3"/>
  <c r="F1780" i="3"/>
  <c r="F1781" i="3"/>
  <c r="F1782" i="3"/>
  <c r="F1783" i="3"/>
  <c r="F1784" i="3"/>
  <c r="F1785" i="3"/>
  <c r="F1786" i="3"/>
  <c r="F1787" i="3"/>
  <c r="F1788" i="3"/>
  <c r="F1789" i="3"/>
  <c r="F1790" i="3"/>
  <c r="F1791" i="3"/>
  <c r="F1792" i="3"/>
  <c r="F1793" i="3"/>
  <c r="F1794" i="3"/>
  <c r="F1795" i="3"/>
  <c r="F1796" i="3"/>
  <c r="F1797" i="3"/>
  <c r="F1798" i="3"/>
  <c r="F1799" i="3"/>
  <c r="F1800" i="3"/>
  <c r="F1801" i="3"/>
  <c r="F1802" i="3"/>
  <c r="F1803" i="3"/>
  <c r="F1804" i="3"/>
  <c r="F1805" i="3"/>
  <c r="F1806" i="3"/>
  <c r="F1807" i="3"/>
  <c r="F1808" i="3"/>
  <c r="F1809" i="3"/>
  <c r="F1810" i="3"/>
  <c r="F1811" i="3"/>
  <c r="F1812" i="3"/>
  <c r="F1813" i="3"/>
  <c r="F1814" i="3"/>
  <c r="F1815" i="3"/>
  <c r="F1816" i="3"/>
  <c r="F1817" i="3"/>
  <c r="F1818" i="3"/>
  <c r="F1819" i="3"/>
  <c r="F1820" i="3"/>
  <c r="F1821" i="3"/>
  <c r="F1822" i="3"/>
  <c r="F1823" i="3"/>
  <c r="F1824" i="3"/>
  <c r="F1825" i="3"/>
  <c r="F1826" i="3"/>
  <c r="F1827" i="3"/>
  <c r="F1828" i="3"/>
  <c r="F1829" i="3"/>
  <c r="F1830" i="3"/>
  <c r="F1831" i="3"/>
  <c r="F1832" i="3"/>
  <c r="F1833" i="3"/>
  <c r="F1834" i="3"/>
  <c r="F1835" i="3"/>
  <c r="F1836" i="3"/>
  <c r="F1837" i="3"/>
  <c r="F1838" i="3"/>
  <c r="F1839" i="3"/>
  <c r="F1840" i="3"/>
  <c r="F1841" i="3"/>
  <c r="F1842" i="3"/>
  <c r="F1843" i="3"/>
  <c r="F1844" i="3"/>
  <c r="F1845" i="3"/>
  <c r="F1846" i="3"/>
  <c r="F1847" i="3"/>
  <c r="F1848" i="3"/>
  <c r="F1849" i="3"/>
  <c r="F1850" i="3"/>
  <c r="F1851" i="3"/>
  <c r="F1852" i="3"/>
  <c r="F1853" i="3"/>
  <c r="F1854" i="3"/>
  <c r="F1855" i="3"/>
  <c r="F1856" i="3"/>
  <c r="F1857" i="3"/>
  <c r="F1858" i="3"/>
  <c r="F1859" i="3"/>
  <c r="F1860" i="3"/>
  <c r="F1861" i="3"/>
  <c r="F1862" i="3"/>
  <c r="F1863" i="3"/>
  <c r="F1864" i="3"/>
  <c r="F1865" i="3"/>
  <c r="F1866" i="3"/>
  <c r="F1867" i="3"/>
  <c r="F1868" i="3"/>
  <c r="F1869" i="3"/>
  <c r="F1870" i="3"/>
  <c r="F1871" i="3"/>
  <c r="F1872" i="3"/>
  <c r="F1873" i="3"/>
  <c r="F1874" i="3"/>
  <c r="F1875" i="3"/>
  <c r="F1876" i="3"/>
  <c r="F1877" i="3"/>
  <c r="F1878" i="3"/>
  <c r="F1879" i="3"/>
  <c r="F1880" i="3"/>
  <c r="F1881" i="3"/>
  <c r="F1882" i="3"/>
  <c r="F1883" i="3"/>
  <c r="F1884" i="3"/>
  <c r="F1885" i="3"/>
  <c r="F1886" i="3"/>
  <c r="F1887" i="3"/>
  <c r="F1888" i="3"/>
  <c r="F1889" i="3"/>
  <c r="F1890" i="3"/>
  <c r="F1891" i="3"/>
  <c r="F1892" i="3"/>
  <c r="F1893" i="3"/>
  <c r="F1894" i="3"/>
  <c r="F1895" i="3"/>
  <c r="F1896" i="3"/>
  <c r="F1897" i="3"/>
  <c r="F1898" i="3"/>
  <c r="F1899" i="3"/>
  <c r="F1900" i="3"/>
  <c r="F1901" i="3"/>
  <c r="F1902" i="3"/>
  <c r="F1903" i="3"/>
  <c r="F1904" i="3"/>
  <c r="F1905" i="3"/>
  <c r="F1906" i="3"/>
  <c r="F1907" i="3"/>
  <c r="F1908" i="3"/>
  <c r="F1909" i="3"/>
  <c r="F1910" i="3"/>
  <c r="F1911" i="3"/>
  <c r="F1912" i="3"/>
  <c r="F1913" i="3"/>
  <c r="F1914" i="3"/>
  <c r="F1915" i="3"/>
  <c r="F1916" i="3"/>
  <c r="F1917" i="3"/>
  <c r="F1918" i="3"/>
  <c r="F1919" i="3"/>
  <c r="F1920" i="3"/>
  <c r="F1921" i="3"/>
  <c r="F1922" i="3"/>
  <c r="F1923" i="3"/>
  <c r="F1924" i="3"/>
  <c r="F1925" i="3"/>
  <c r="F1926" i="3"/>
  <c r="F1927" i="3"/>
  <c r="F1928" i="3"/>
  <c r="F1929" i="3"/>
  <c r="F1930" i="3"/>
  <c r="F1931" i="3"/>
  <c r="F1932" i="3"/>
  <c r="F1933" i="3"/>
  <c r="F1934" i="3"/>
  <c r="F1935" i="3"/>
  <c r="F1936" i="3"/>
  <c r="F1937" i="3"/>
  <c r="F1938" i="3"/>
  <c r="F1939" i="3"/>
  <c r="F1940" i="3"/>
  <c r="F1941" i="3"/>
  <c r="F1942" i="3"/>
  <c r="F1943" i="3"/>
  <c r="F1944" i="3"/>
  <c r="F1945" i="3"/>
  <c r="F1946" i="3"/>
  <c r="F1947" i="3"/>
  <c r="F1948" i="3"/>
  <c r="F1949" i="3"/>
  <c r="F1950" i="3"/>
  <c r="F1951" i="3"/>
  <c r="F1952" i="3"/>
  <c r="F1953" i="3"/>
  <c r="F1954" i="3"/>
  <c r="F1955" i="3"/>
  <c r="F1956" i="3"/>
  <c r="F1957" i="3"/>
  <c r="F1958" i="3"/>
  <c r="F1959" i="3"/>
  <c r="F1960" i="3"/>
  <c r="F1961" i="3"/>
  <c r="F1962" i="3"/>
  <c r="F1963" i="3"/>
  <c r="F1964" i="3"/>
  <c r="F1965" i="3"/>
  <c r="F1966" i="3"/>
  <c r="F1967" i="3"/>
  <c r="F1968" i="3"/>
  <c r="F1969" i="3"/>
  <c r="F1970" i="3"/>
  <c r="F1971" i="3"/>
  <c r="F1972" i="3"/>
  <c r="F1973" i="3"/>
  <c r="F1974" i="3"/>
  <c r="F1975" i="3"/>
  <c r="F1976" i="3"/>
  <c r="F1977" i="3"/>
  <c r="F1978" i="3"/>
  <c r="F1979" i="3"/>
  <c r="F1980" i="3"/>
  <c r="F1981" i="3"/>
  <c r="F1982" i="3"/>
  <c r="F1983" i="3"/>
  <c r="F1984" i="3"/>
  <c r="F1985" i="3"/>
  <c r="F1986" i="3"/>
  <c r="F1987" i="3"/>
  <c r="F1988" i="3"/>
  <c r="F1989" i="3"/>
  <c r="F1990" i="3"/>
  <c r="F1991" i="3"/>
  <c r="F1992" i="3"/>
  <c r="F1993" i="3"/>
  <c r="F1994" i="3"/>
  <c r="F1995" i="3"/>
  <c r="F1996" i="3"/>
  <c r="F1997" i="3"/>
  <c r="F1998" i="3"/>
  <c r="F1999" i="3"/>
  <c r="F2000" i="3"/>
  <c r="F2001" i="3"/>
  <c r="F2002" i="3"/>
  <c r="F5" i="3"/>
  <c r="E6" i="3"/>
  <c r="E7" i="3"/>
  <c r="E8" i="3"/>
  <c r="E9" i="3"/>
  <c r="E10" i="3"/>
  <c r="E11" i="3"/>
  <c r="E12" i="3"/>
  <c r="E13" i="3"/>
  <c r="E14" i="3"/>
  <c r="E15" i="3"/>
  <c r="E16" i="3"/>
  <c r="E17" i="3"/>
  <c r="E18" i="3"/>
  <c r="E19" i="3"/>
  <c r="E20" i="3"/>
  <c r="E21" i="3"/>
  <c r="E22" i="3"/>
  <c r="E23" i="3"/>
  <c r="E24" i="3"/>
  <c r="E25" i="3"/>
  <c r="E26" i="3"/>
  <c r="E27" i="3"/>
  <c r="E28" i="3"/>
  <c r="E29" i="3"/>
  <c r="E30" i="3"/>
  <c r="E31" i="3"/>
  <c r="E32" i="3"/>
  <c r="E33" i="3"/>
  <c r="E34" i="3"/>
  <c r="E35" i="3"/>
  <c r="E36" i="3"/>
  <c r="E37" i="3"/>
  <c r="E38" i="3"/>
  <c r="E39" i="3"/>
  <c r="E40" i="3"/>
  <c r="E41"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E92" i="3"/>
  <c r="E93" i="3"/>
  <c r="E94" i="3"/>
  <c r="E95" i="3"/>
  <c r="E96" i="3"/>
  <c r="E97" i="3"/>
  <c r="E98" i="3"/>
  <c r="E99" i="3"/>
  <c r="E100" i="3"/>
  <c r="E101" i="3"/>
  <c r="E102" i="3"/>
  <c r="E103" i="3"/>
  <c r="E104" i="3"/>
  <c r="E105" i="3"/>
  <c r="E106" i="3"/>
  <c r="E107" i="3"/>
  <c r="E108" i="3"/>
  <c r="E109" i="3"/>
  <c r="E110" i="3"/>
  <c r="E111" i="3"/>
  <c r="E112" i="3"/>
  <c r="E113" i="3"/>
  <c r="E114" i="3"/>
  <c r="E115" i="3"/>
  <c r="E116" i="3"/>
  <c r="E117" i="3"/>
  <c r="E118" i="3"/>
  <c r="E119" i="3"/>
  <c r="E120" i="3"/>
  <c r="E121" i="3"/>
  <c r="E122" i="3"/>
  <c r="E123" i="3"/>
  <c r="E124" i="3"/>
  <c r="E125" i="3"/>
  <c r="E126" i="3"/>
  <c r="E127" i="3"/>
  <c r="E128" i="3"/>
  <c r="E129" i="3"/>
  <c r="E130" i="3"/>
  <c r="E131" i="3"/>
  <c r="E132" i="3"/>
  <c r="E133" i="3"/>
  <c r="E134" i="3"/>
  <c r="E135" i="3"/>
  <c r="E136" i="3"/>
  <c r="E137" i="3"/>
  <c r="E138" i="3"/>
  <c r="E139" i="3"/>
  <c r="E140" i="3"/>
  <c r="E141" i="3"/>
  <c r="E142" i="3"/>
  <c r="E143" i="3"/>
  <c r="E144" i="3"/>
  <c r="E145" i="3"/>
  <c r="E146" i="3"/>
  <c r="E147" i="3"/>
  <c r="E148" i="3"/>
  <c r="E149" i="3"/>
  <c r="E150" i="3"/>
  <c r="E151" i="3"/>
  <c r="E152" i="3"/>
  <c r="E153" i="3"/>
  <c r="E154" i="3"/>
  <c r="E155" i="3"/>
  <c r="E156" i="3"/>
  <c r="E157" i="3"/>
  <c r="E158" i="3"/>
  <c r="E159" i="3"/>
  <c r="E160" i="3"/>
  <c r="E161" i="3"/>
  <c r="E162" i="3"/>
  <c r="E163" i="3"/>
  <c r="E164" i="3"/>
  <c r="E165" i="3"/>
  <c r="E166" i="3"/>
  <c r="E167" i="3"/>
  <c r="E168" i="3"/>
  <c r="E169" i="3"/>
  <c r="E170" i="3"/>
  <c r="E171" i="3"/>
  <c r="E172" i="3"/>
  <c r="E173" i="3"/>
  <c r="E174" i="3"/>
  <c r="E175" i="3"/>
  <c r="E176" i="3"/>
  <c r="E177" i="3"/>
  <c r="E178" i="3"/>
  <c r="E179" i="3"/>
  <c r="E180" i="3"/>
  <c r="E181" i="3"/>
  <c r="E182" i="3"/>
  <c r="E183" i="3"/>
  <c r="E184" i="3"/>
  <c r="E185" i="3"/>
  <c r="E186" i="3"/>
  <c r="E187" i="3"/>
  <c r="E188" i="3"/>
  <c r="E189" i="3"/>
  <c r="E190" i="3"/>
  <c r="E191" i="3"/>
  <c r="E192" i="3"/>
  <c r="E193" i="3"/>
  <c r="E194" i="3"/>
  <c r="E195" i="3"/>
  <c r="E196" i="3"/>
  <c r="E197" i="3"/>
  <c r="E198" i="3"/>
  <c r="E199" i="3"/>
  <c r="E200" i="3"/>
  <c r="E201" i="3"/>
  <c r="E202" i="3"/>
  <c r="E203" i="3"/>
  <c r="E204" i="3"/>
  <c r="E205" i="3"/>
  <c r="E206" i="3"/>
  <c r="E207" i="3"/>
  <c r="E208" i="3"/>
  <c r="E209" i="3"/>
  <c r="E210" i="3"/>
  <c r="E211" i="3"/>
  <c r="E212" i="3"/>
  <c r="E213" i="3"/>
  <c r="E214" i="3"/>
  <c r="E215" i="3"/>
  <c r="E216" i="3"/>
  <c r="E217" i="3"/>
  <c r="E218" i="3"/>
  <c r="E219" i="3"/>
  <c r="E220" i="3"/>
  <c r="E221" i="3"/>
  <c r="E222" i="3"/>
  <c r="E223" i="3"/>
  <c r="E224" i="3"/>
  <c r="E225" i="3"/>
  <c r="E226" i="3"/>
  <c r="E227" i="3"/>
  <c r="E228" i="3"/>
  <c r="E229" i="3"/>
  <c r="E230" i="3"/>
  <c r="E231" i="3"/>
  <c r="E232" i="3"/>
  <c r="E233" i="3"/>
  <c r="E234" i="3"/>
  <c r="E235" i="3"/>
  <c r="E236" i="3"/>
  <c r="E237" i="3"/>
  <c r="E238" i="3"/>
  <c r="E239" i="3"/>
  <c r="E240" i="3"/>
  <c r="E241" i="3"/>
  <c r="E242" i="3"/>
  <c r="E243" i="3"/>
  <c r="E244" i="3"/>
  <c r="E245" i="3"/>
  <c r="E246" i="3"/>
  <c r="E247" i="3"/>
  <c r="E248" i="3"/>
  <c r="E249" i="3"/>
  <c r="E250" i="3"/>
  <c r="E251" i="3"/>
  <c r="E252" i="3"/>
  <c r="E253" i="3"/>
  <c r="E254" i="3"/>
  <c r="E255" i="3"/>
  <c r="E256" i="3"/>
  <c r="E257" i="3"/>
  <c r="E258" i="3"/>
  <c r="E259" i="3"/>
  <c r="E260" i="3"/>
  <c r="E261" i="3"/>
  <c r="E262" i="3"/>
  <c r="E263" i="3"/>
  <c r="E264" i="3"/>
  <c r="E265" i="3"/>
  <c r="E266" i="3"/>
  <c r="E267" i="3"/>
  <c r="E268" i="3"/>
  <c r="E269" i="3"/>
  <c r="E270" i="3"/>
  <c r="E271" i="3"/>
  <c r="E272" i="3"/>
  <c r="E273" i="3"/>
  <c r="E274" i="3"/>
  <c r="E275" i="3"/>
  <c r="E276" i="3"/>
  <c r="E277" i="3"/>
  <c r="E278" i="3"/>
  <c r="E279" i="3"/>
  <c r="E280" i="3"/>
  <c r="E281" i="3"/>
  <c r="E282" i="3"/>
  <c r="E283" i="3"/>
  <c r="E284" i="3"/>
  <c r="E285" i="3"/>
  <c r="E286" i="3"/>
  <c r="E287" i="3"/>
  <c r="E288" i="3"/>
  <c r="E289" i="3"/>
  <c r="E290" i="3"/>
  <c r="E291" i="3"/>
  <c r="E292" i="3"/>
  <c r="E293" i="3"/>
  <c r="E294" i="3"/>
  <c r="E295" i="3"/>
  <c r="E296" i="3"/>
  <c r="E297" i="3"/>
  <c r="E298" i="3"/>
  <c r="E299" i="3"/>
  <c r="E300" i="3"/>
  <c r="E301" i="3"/>
  <c r="E302" i="3"/>
  <c r="E303" i="3"/>
  <c r="E304" i="3"/>
  <c r="E305" i="3"/>
  <c r="E306" i="3"/>
  <c r="E307" i="3"/>
  <c r="E308" i="3"/>
  <c r="E309" i="3"/>
  <c r="E310" i="3"/>
  <c r="E311" i="3"/>
  <c r="E312" i="3"/>
  <c r="E313" i="3"/>
  <c r="E314" i="3"/>
  <c r="E315" i="3"/>
  <c r="E316" i="3"/>
  <c r="E317" i="3"/>
  <c r="E318" i="3"/>
  <c r="E319" i="3"/>
  <c r="E320" i="3"/>
  <c r="E321" i="3"/>
  <c r="E322" i="3"/>
  <c r="E323" i="3"/>
  <c r="E324" i="3"/>
  <c r="E325" i="3"/>
  <c r="E326" i="3"/>
  <c r="E327" i="3"/>
  <c r="E328" i="3"/>
  <c r="E329" i="3"/>
  <c r="E330" i="3"/>
  <c r="E331" i="3"/>
  <c r="E332" i="3"/>
  <c r="E333" i="3"/>
  <c r="E334" i="3"/>
  <c r="E335" i="3"/>
  <c r="E336" i="3"/>
  <c r="E337" i="3"/>
  <c r="E338" i="3"/>
  <c r="E339" i="3"/>
  <c r="E340" i="3"/>
  <c r="E341" i="3"/>
  <c r="E342" i="3"/>
  <c r="E343" i="3"/>
  <c r="E344" i="3"/>
  <c r="E345" i="3"/>
  <c r="E346" i="3"/>
  <c r="E347" i="3"/>
  <c r="E348" i="3"/>
  <c r="E349" i="3"/>
  <c r="E350" i="3"/>
  <c r="E351" i="3"/>
  <c r="E352" i="3"/>
  <c r="E353" i="3"/>
  <c r="E354" i="3"/>
  <c r="E355" i="3"/>
  <c r="E356" i="3"/>
  <c r="E357" i="3"/>
  <c r="E358" i="3"/>
  <c r="E359" i="3"/>
  <c r="E360" i="3"/>
  <c r="E361" i="3"/>
  <c r="E362" i="3"/>
  <c r="E363" i="3"/>
  <c r="E364" i="3"/>
  <c r="E365" i="3"/>
  <c r="E366" i="3"/>
  <c r="E367" i="3"/>
  <c r="E368" i="3"/>
  <c r="E369" i="3"/>
  <c r="E370" i="3"/>
  <c r="E371" i="3"/>
  <c r="E372" i="3"/>
  <c r="E373" i="3"/>
  <c r="E374" i="3"/>
  <c r="E375" i="3"/>
  <c r="E376" i="3"/>
  <c r="E377" i="3"/>
  <c r="E378" i="3"/>
  <c r="E379" i="3"/>
  <c r="E380" i="3"/>
  <c r="E381" i="3"/>
  <c r="E382" i="3"/>
  <c r="E383" i="3"/>
  <c r="E384" i="3"/>
  <c r="E385" i="3"/>
  <c r="E386" i="3"/>
  <c r="E387" i="3"/>
  <c r="E388" i="3"/>
  <c r="E389" i="3"/>
  <c r="E390" i="3"/>
  <c r="E391" i="3"/>
  <c r="E392" i="3"/>
  <c r="E393" i="3"/>
  <c r="E394" i="3"/>
  <c r="E395" i="3"/>
  <c r="E396" i="3"/>
  <c r="E397" i="3"/>
  <c r="E398" i="3"/>
  <c r="E399" i="3"/>
  <c r="E400" i="3"/>
  <c r="E401" i="3"/>
  <c r="E402" i="3"/>
  <c r="E403" i="3"/>
  <c r="E404" i="3"/>
  <c r="E405" i="3"/>
  <c r="E406" i="3"/>
  <c r="E407" i="3"/>
  <c r="E408" i="3"/>
  <c r="E409" i="3"/>
  <c r="E410" i="3"/>
  <c r="E411" i="3"/>
  <c r="E412" i="3"/>
  <c r="E413" i="3"/>
  <c r="E414" i="3"/>
  <c r="E415" i="3"/>
  <c r="E416" i="3"/>
  <c r="E417" i="3"/>
  <c r="E418" i="3"/>
  <c r="E419" i="3"/>
  <c r="E420" i="3"/>
  <c r="E421" i="3"/>
  <c r="E422" i="3"/>
  <c r="E423" i="3"/>
  <c r="E424" i="3"/>
  <c r="E425" i="3"/>
  <c r="E426" i="3"/>
  <c r="E427" i="3"/>
  <c r="E428" i="3"/>
  <c r="E429" i="3"/>
  <c r="E430" i="3"/>
  <c r="E431" i="3"/>
  <c r="E432" i="3"/>
  <c r="E433" i="3"/>
  <c r="E434" i="3"/>
  <c r="E435" i="3"/>
  <c r="E436" i="3"/>
  <c r="E437" i="3"/>
  <c r="E438" i="3"/>
  <c r="E439" i="3"/>
  <c r="E440" i="3"/>
  <c r="E441" i="3"/>
  <c r="E442" i="3"/>
  <c r="E443" i="3"/>
  <c r="E444" i="3"/>
  <c r="E445" i="3"/>
  <c r="E446" i="3"/>
  <c r="E447" i="3"/>
  <c r="E448" i="3"/>
  <c r="E449" i="3"/>
  <c r="E450" i="3"/>
  <c r="E451" i="3"/>
  <c r="E452" i="3"/>
  <c r="E453" i="3"/>
  <c r="E454" i="3"/>
  <c r="E455" i="3"/>
  <c r="E456" i="3"/>
  <c r="E457" i="3"/>
  <c r="E458" i="3"/>
  <c r="E459" i="3"/>
  <c r="E460" i="3"/>
  <c r="E461" i="3"/>
  <c r="E462" i="3"/>
  <c r="E463" i="3"/>
  <c r="E464" i="3"/>
  <c r="E465" i="3"/>
  <c r="E466" i="3"/>
  <c r="E467" i="3"/>
  <c r="E468" i="3"/>
  <c r="E469" i="3"/>
  <c r="E470" i="3"/>
  <c r="E471" i="3"/>
  <c r="E472" i="3"/>
  <c r="E473" i="3"/>
  <c r="E474" i="3"/>
  <c r="E475" i="3"/>
  <c r="E476" i="3"/>
  <c r="E477" i="3"/>
  <c r="E478" i="3"/>
  <c r="E479" i="3"/>
  <c r="E480" i="3"/>
  <c r="E481" i="3"/>
  <c r="E482" i="3"/>
  <c r="E483" i="3"/>
  <c r="E484" i="3"/>
  <c r="E485" i="3"/>
  <c r="E486" i="3"/>
  <c r="E487" i="3"/>
  <c r="E488" i="3"/>
  <c r="E489" i="3"/>
  <c r="E490" i="3"/>
  <c r="E491" i="3"/>
  <c r="E492" i="3"/>
  <c r="E493" i="3"/>
  <c r="E494" i="3"/>
  <c r="E495" i="3"/>
  <c r="E496" i="3"/>
  <c r="E497" i="3"/>
  <c r="E498" i="3"/>
  <c r="E499" i="3"/>
  <c r="E500" i="3"/>
  <c r="E501" i="3"/>
  <c r="E502" i="3"/>
  <c r="E503" i="3"/>
  <c r="E504" i="3"/>
  <c r="E505" i="3"/>
  <c r="E506" i="3"/>
  <c r="E507" i="3"/>
  <c r="E508" i="3"/>
  <c r="E509" i="3"/>
  <c r="E510" i="3"/>
  <c r="E511" i="3"/>
  <c r="E512" i="3"/>
  <c r="E513" i="3"/>
  <c r="E514" i="3"/>
  <c r="E515" i="3"/>
  <c r="E516" i="3"/>
  <c r="E517" i="3"/>
  <c r="E518" i="3"/>
  <c r="E519" i="3"/>
  <c r="E520" i="3"/>
  <c r="E521" i="3"/>
  <c r="E522" i="3"/>
  <c r="E523" i="3"/>
  <c r="E524" i="3"/>
  <c r="E525" i="3"/>
  <c r="E526" i="3"/>
  <c r="E527" i="3"/>
  <c r="E528" i="3"/>
  <c r="E529" i="3"/>
  <c r="E530" i="3"/>
  <c r="E531" i="3"/>
  <c r="E532" i="3"/>
  <c r="E533" i="3"/>
  <c r="E534" i="3"/>
  <c r="E535" i="3"/>
  <c r="E536" i="3"/>
  <c r="E537" i="3"/>
  <c r="E538" i="3"/>
  <c r="E539" i="3"/>
  <c r="E540" i="3"/>
  <c r="E541" i="3"/>
  <c r="E542" i="3"/>
  <c r="E543" i="3"/>
  <c r="E544" i="3"/>
  <c r="E545" i="3"/>
  <c r="E546" i="3"/>
  <c r="E547" i="3"/>
  <c r="E548" i="3"/>
  <c r="E549" i="3"/>
  <c r="E550" i="3"/>
  <c r="E551" i="3"/>
  <c r="E552" i="3"/>
  <c r="E553" i="3"/>
  <c r="E554" i="3"/>
  <c r="E555" i="3"/>
  <c r="E556" i="3"/>
  <c r="E557" i="3"/>
  <c r="E558" i="3"/>
  <c r="E559" i="3"/>
  <c r="E560" i="3"/>
  <c r="E561" i="3"/>
  <c r="E562" i="3"/>
  <c r="E563" i="3"/>
  <c r="E564" i="3"/>
  <c r="E565" i="3"/>
  <c r="E566" i="3"/>
  <c r="E567" i="3"/>
  <c r="E568" i="3"/>
  <c r="E569" i="3"/>
  <c r="E570" i="3"/>
  <c r="E571" i="3"/>
  <c r="E572" i="3"/>
  <c r="E573" i="3"/>
  <c r="E574" i="3"/>
  <c r="E575" i="3"/>
  <c r="E576" i="3"/>
  <c r="E577" i="3"/>
  <c r="E578" i="3"/>
  <c r="E579" i="3"/>
  <c r="E580" i="3"/>
  <c r="E581" i="3"/>
  <c r="E582" i="3"/>
  <c r="E583" i="3"/>
  <c r="E584" i="3"/>
  <c r="E585" i="3"/>
  <c r="E586" i="3"/>
  <c r="E587" i="3"/>
  <c r="E588" i="3"/>
  <c r="E589" i="3"/>
  <c r="E590" i="3"/>
  <c r="E591" i="3"/>
  <c r="E592" i="3"/>
  <c r="E593" i="3"/>
  <c r="E594" i="3"/>
  <c r="E595" i="3"/>
  <c r="E596" i="3"/>
  <c r="E597" i="3"/>
  <c r="E598" i="3"/>
  <c r="E599" i="3"/>
  <c r="E600" i="3"/>
  <c r="E601" i="3"/>
  <c r="E602" i="3"/>
  <c r="E603" i="3"/>
  <c r="E604" i="3"/>
  <c r="E605" i="3"/>
  <c r="E606" i="3"/>
  <c r="E607" i="3"/>
  <c r="E608" i="3"/>
  <c r="E609" i="3"/>
  <c r="E610" i="3"/>
  <c r="E611" i="3"/>
  <c r="E612" i="3"/>
  <c r="E613" i="3"/>
  <c r="E614" i="3"/>
  <c r="E615" i="3"/>
  <c r="E616" i="3"/>
  <c r="E617" i="3"/>
  <c r="E618" i="3"/>
  <c r="E619" i="3"/>
  <c r="E620" i="3"/>
  <c r="E621" i="3"/>
  <c r="E622" i="3"/>
  <c r="E623" i="3"/>
  <c r="E624" i="3"/>
  <c r="E625" i="3"/>
  <c r="E626" i="3"/>
  <c r="E627" i="3"/>
  <c r="E628" i="3"/>
  <c r="E629" i="3"/>
  <c r="E630" i="3"/>
  <c r="E631" i="3"/>
  <c r="E632" i="3"/>
  <c r="E633" i="3"/>
  <c r="E634" i="3"/>
  <c r="E635" i="3"/>
  <c r="E636" i="3"/>
  <c r="E637" i="3"/>
  <c r="E638" i="3"/>
  <c r="E639" i="3"/>
  <c r="E640" i="3"/>
  <c r="E641" i="3"/>
  <c r="E642" i="3"/>
  <c r="E643" i="3"/>
  <c r="E644" i="3"/>
  <c r="E645" i="3"/>
  <c r="E646" i="3"/>
  <c r="E647" i="3"/>
  <c r="E648" i="3"/>
  <c r="E649" i="3"/>
  <c r="E650" i="3"/>
  <c r="E651" i="3"/>
  <c r="E652" i="3"/>
  <c r="E653" i="3"/>
  <c r="E654" i="3"/>
  <c r="E655" i="3"/>
  <c r="E656" i="3"/>
  <c r="E657" i="3"/>
  <c r="E658" i="3"/>
  <c r="E659" i="3"/>
  <c r="E660" i="3"/>
  <c r="E661" i="3"/>
  <c r="E662" i="3"/>
  <c r="E663" i="3"/>
  <c r="E664" i="3"/>
  <c r="E665" i="3"/>
  <c r="E666" i="3"/>
  <c r="E667" i="3"/>
  <c r="E668" i="3"/>
  <c r="E669" i="3"/>
  <c r="E670" i="3"/>
  <c r="E671" i="3"/>
  <c r="E672" i="3"/>
  <c r="E673" i="3"/>
  <c r="E674" i="3"/>
  <c r="E675" i="3"/>
  <c r="E676" i="3"/>
  <c r="E677" i="3"/>
  <c r="E678" i="3"/>
  <c r="E679" i="3"/>
  <c r="E680" i="3"/>
  <c r="E681" i="3"/>
  <c r="E682" i="3"/>
  <c r="E683" i="3"/>
  <c r="E684" i="3"/>
  <c r="E685" i="3"/>
  <c r="E686" i="3"/>
  <c r="E687" i="3"/>
  <c r="E688" i="3"/>
  <c r="E689" i="3"/>
  <c r="E690" i="3"/>
  <c r="E691" i="3"/>
  <c r="E692" i="3"/>
  <c r="E693" i="3"/>
  <c r="E694" i="3"/>
  <c r="E695" i="3"/>
  <c r="E696" i="3"/>
  <c r="E697" i="3"/>
  <c r="E698" i="3"/>
  <c r="E699" i="3"/>
  <c r="E700" i="3"/>
  <c r="E701" i="3"/>
  <c r="E702" i="3"/>
  <c r="E703" i="3"/>
  <c r="E704" i="3"/>
  <c r="E705" i="3"/>
  <c r="E706" i="3"/>
  <c r="E707" i="3"/>
  <c r="E708" i="3"/>
  <c r="E709" i="3"/>
  <c r="E710" i="3"/>
  <c r="E711" i="3"/>
  <c r="E712" i="3"/>
  <c r="E713" i="3"/>
  <c r="E714" i="3"/>
  <c r="E715" i="3"/>
  <c r="E716" i="3"/>
  <c r="E717" i="3"/>
  <c r="E718" i="3"/>
  <c r="E719" i="3"/>
  <c r="E720" i="3"/>
  <c r="E721" i="3"/>
  <c r="E722" i="3"/>
  <c r="E723" i="3"/>
  <c r="E724" i="3"/>
  <c r="E725" i="3"/>
  <c r="E726" i="3"/>
  <c r="E727" i="3"/>
  <c r="E728" i="3"/>
  <c r="E729" i="3"/>
  <c r="E730" i="3"/>
  <c r="E731" i="3"/>
  <c r="E732" i="3"/>
  <c r="E733" i="3"/>
  <c r="E734" i="3"/>
  <c r="E735" i="3"/>
  <c r="E736" i="3"/>
  <c r="E737" i="3"/>
  <c r="E738" i="3"/>
  <c r="E739" i="3"/>
  <c r="E740" i="3"/>
  <c r="E741" i="3"/>
  <c r="E742" i="3"/>
  <c r="E743" i="3"/>
  <c r="E744" i="3"/>
  <c r="E745" i="3"/>
  <c r="E746" i="3"/>
  <c r="E747" i="3"/>
  <c r="E748" i="3"/>
  <c r="E749" i="3"/>
  <c r="E750" i="3"/>
  <c r="E751" i="3"/>
  <c r="E752" i="3"/>
  <c r="E753" i="3"/>
  <c r="E754" i="3"/>
  <c r="E755" i="3"/>
  <c r="E756" i="3"/>
  <c r="E757" i="3"/>
  <c r="E758" i="3"/>
  <c r="E759" i="3"/>
  <c r="E760" i="3"/>
  <c r="E761" i="3"/>
  <c r="E762" i="3"/>
  <c r="E763" i="3"/>
  <c r="E764" i="3"/>
  <c r="E765" i="3"/>
  <c r="E766" i="3"/>
  <c r="E767" i="3"/>
  <c r="E768" i="3"/>
  <c r="E769" i="3"/>
  <c r="E770" i="3"/>
  <c r="E771" i="3"/>
  <c r="E772" i="3"/>
  <c r="E773" i="3"/>
  <c r="E774" i="3"/>
  <c r="E775" i="3"/>
  <c r="E776" i="3"/>
  <c r="E777" i="3"/>
  <c r="E778" i="3"/>
  <c r="E779" i="3"/>
  <c r="E780" i="3"/>
  <c r="E781" i="3"/>
  <c r="E782" i="3"/>
  <c r="E783" i="3"/>
  <c r="E784" i="3"/>
  <c r="E785" i="3"/>
  <c r="E786" i="3"/>
  <c r="E787" i="3"/>
  <c r="E788" i="3"/>
  <c r="E789" i="3"/>
  <c r="E790" i="3"/>
  <c r="E791" i="3"/>
  <c r="E792" i="3"/>
  <c r="E793" i="3"/>
  <c r="E794" i="3"/>
  <c r="E795" i="3"/>
  <c r="E796" i="3"/>
  <c r="E797" i="3"/>
  <c r="E798" i="3"/>
  <c r="E799" i="3"/>
  <c r="E800" i="3"/>
  <c r="E801" i="3"/>
  <c r="E802" i="3"/>
  <c r="E803" i="3"/>
  <c r="E804" i="3"/>
  <c r="E805" i="3"/>
  <c r="E806" i="3"/>
  <c r="E807" i="3"/>
  <c r="E808" i="3"/>
  <c r="E809" i="3"/>
  <c r="E810" i="3"/>
  <c r="E811" i="3"/>
  <c r="E812" i="3"/>
  <c r="E813" i="3"/>
  <c r="E814" i="3"/>
  <c r="E815" i="3"/>
  <c r="E816" i="3"/>
  <c r="E817" i="3"/>
  <c r="E818" i="3"/>
  <c r="E819" i="3"/>
  <c r="E820" i="3"/>
  <c r="E821" i="3"/>
  <c r="E822" i="3"/>
  <c r="E823" i="3"/>
  <c r="E824" i="3"/>
  <c r="E825" i="3"/>
  <c r="E826" i="3"/>
  <c r="E827" i="3"/>
  <c r="E828" i="3"/>
  <c r="E829" i="3"/>
  <c r="E830" i="3"/>
  <c r="E831" i="3"/>
  <c r="E832" i="3"/>
  <c r="E833" i="3"/>
  <c r="E834" i="3"/>
  <c r="E835" i="3"/>
  <c r="E836" i="3"/>
  <c r="E837" i="3"/>
  <c r="E838" i="3"/>
  <c r="E839" i="3"/>
  <c r="E840" i="3"/>
  <c r="E841" i="3"/>
  <c r="E842" i="3"/>
  <c r="E843" i="3"/>
  <c r="E844" i="3"/>
  <c r="E845" i="3"/>
  <c r="E846" i="3"/>
  <c r="E847" i="3"/>
  <c r="E848" i="3"/>
  <c r="E849" i="3"/>
  <c r="E850" i="3"/>
  <c r="E851" i="3"/>
  <c r="E852" i="3"/>
  <c r="E853" i="3"/>
  <c r="E854" i="3"/>
  <c r="E855" i="3"/>
  <c r="E856" i="3"/>
  <c r="E857" i="3"/>
  <c r="E858" i="3"/>
  <c r="E859" i="3"/>
  <c r="E860" i="3"/>
  <c r="E861" i="3"/>
  <c r="E862" i="3"/>
  <c r="E863" i="3"/>
  <c r="E864" i="3"/>
  <c r="E865" i="3"/>
  <c r="E866" i="3"/>
  <c r="E867" i="3"/>
  <c r="E868" i="3"/>
  <c r="E869" i="3"/>
  <c r="E870" i="3"/>
  <c r="E871" i="3"/>
  <c r="E872" i="3"/>
  <c r="E873" i="3"/>
  <c r="E874" i="3"/>
  <c r="E875" i="3"/>
  <c r="E876" i="3"/>
  <c r="E877" i="3"/>
  <c r="E878" i="3"/>
  <c r="E879" i="3"/>
  <c r="E880" i="3"/>
  <c r="E881" i="3"/>
  <c r="E882" i="3"/>
  <c r="E883" i="3"/>
  <c r="E884" i="3"/>
  <c r="E885" i="3"/>
  <c r="E886" i="3"/>
  <c r="E887" i="3"/>
  <c r="E888" i="3"/>
  <c r="E889" i="3"/>
  <c r="E890" i="3"/>
  <c r="E891" i="3"/>
  <c r="E892" i="3"/>
  <c r="E893" i="3"/>
  <c r="E894" i="3"/>
  <c r="E895" i="3"/>
  <c r="E896" i="3"/>
  <c r="E897" i="3"/>
  <c r="E898" i="3"/>
  <c r="E899" i="3"/>
  <c r="E900" i="3"/>
  <c r="E901" i="3"/>
  <c r="E902" i="3"/>
  <c r="E903" i="3"/>
  <c r="E904" i="3"/>
  <c r="E905" i="3"/>
  <c r="E906" i="3"/>
  <c r="E907" i="3"/>
  <c r="E908" i="3"/>
  <c r="E909" i="3"/>
  <c r="E910" i="3"/>
  <c r="E911" i="3"/>
  <c r="E912" i="3"/>
  <c r="E913" i="3"/>
  <c r="E914" i="3"/>
  <c r="E915" i="3"/>
  <c r="E916" i="3"/>
  <c r="E917" i="3"/>
  <c r="E918" i="3"/>
  <c r="E919" i="3"/>
  <c r="E920" i="3"/>
  <c r="E921" i="3"/>
  <c r="E922" i="3"/>
  <c r="E923" i="3"/>
  <c r="E924" i="3"/>
  <c r="E925" i="3"/>
  <c r="E926" i="3"/>
  <c r="E927" i="3"/>
  <c r="E928" i="3"/>
  <c r="E929" i="3"/>
  <c r="E930" i="3"/>
  <c r="E931" i="3"/>
  <c r="E932" i="3"/>
  <c r="E933" i="3"/>
  <c r="E934" i="3"/>
  <c r="E935" i="3"/>
  <c r="E936" i="3"/>
  <c r="E937" i="3"/>
  <c r="E938" i="3"/>
  <c r="E939" i="3"/>
  <c r="E940" i="3"/>
  <c r="E941" i="3"/>
  <c r="E942" i="3"/>
  <c r="E943" i="3"/>
  <c r="E944" i="3"/>
  <c r="E945" i="3"/>
  <c r="E946" i="3"/>
  <c r="E947" i="3"/>
  <c r="E948" i="3"/>
  <c r="E949" i="3"/>
  <c r="E950" i="3"/>
  <c r="E951" i="3"/>
  <c r="E952" i="3"/>
  <c r="E953" i="3"/>
  <c r="E954" i="3"/>
  <c r="E955" i="3"/>
  <c r="E956" i="3"/>
  <c r="E957" i="3"/>
  <c r="E958" i="3"/>
  <c r="E959" i="3"/>
  <c r="E960" i="3"/>
  <c r="E961" i="3"/>
  <c r="E962" i="3"/>
  <c r="E963" i="3"/>
  <c r="E964" i="3"/>
  <c r="E965" i="3"/>
  <c r="E966" i="3"/>
  <c r="E967" i="3"/>
  <c r="E968" i="3"/>
  <c r="E969" i="3"/>
  <c r="E970" i="3"/>
  <c r="E971" i="3"/>
  <c r="E972" i="3"/>
  <c r="E973" i="3"/>
  <c r="E974" i="3"/>
  <c r="E975" i="3"/>
  <c r="E976" i="3"/>
  <c r="E977" i="3"/>
  <c r="E978" i="3"/>
  <c r="E979" i="3"/>
  <c r="E980" i="3"/>
  <c r="E981" i="3"/>
  <c r="E982" i="3"/>
  <c r="E983" i="3"/>
  <c r="E984" i="3"/>
  <c r="E985" i="3"/>
  <c r="E986" i="3"/>
  <c r="E987" i="3"/>
  <c r="E988" i="3"/>
  <c r="E989" i="3"/>
  <c r="E990" i="3"/>
  <c r="E991" i="3"/>
  <c r="E992" i="3"/>
  <c r="E993" i="3"/>
  <c r="E994" i="3"/>
  <c r="E995" i="3"/>
  <c r="E996" i="3"/>
  <c r="E997" i="3"/>
  <c r="E998" i="3"/>
  <c r="E999" i="3"/>
  <c r="E1000" i="3"/>
  <c r="E1001" i="3"/>
  <c r="E1002" i="3"/>
  <c r="E1003" i="3"/>
  <c r="E1004" i="3"/>
  <c r="E1005" i="3"/>
  <c r="E1006" i="3"/>
  <c r="E1007" i="3"/>
  <c r="E1008" i="3"/>
  <c r="E1009" i="3"/>
  <c r="E1010" i="3"/>
  <c r="E1011" i="3"/>
  <c r="E1012" i="3"/>
  <c r="E1013" i="3"/>
  <c r="E1014" i="3"/>
  <c r="E1015" i="3"/>
  <c r="E1016" i="3"/>
  <c r="E1017" i="3"/>
  <c r="E1018" i="3"/>
  <c r="E1019" i="3"/>
  <c r="E1020" i="3"/>
  <c r="E1021" i="3"/>
  <c r="E1022" i="3"/>
  <c r="E1023" i="3"/>
  <c r="E1024" i="3"/>
  <c r="E1025" i="3"/>
  <c r="E1026" i="3"/>
  <c r="E1027" i="3"/>
  <c r="E1028" i="3"/>
  <c r="E1029" i="3"/>
  <c r="E1030" i="3"/>
  <c r="E1031" i="3"/>
  <c r="E1032" i="3"/>
  <c r="E1033" i="3"/>
  <c r="E1034" i="3"/>
  <c r="E1035" i="3"/>
  <c r="E1036" i="3"/>
  <c r="E1037" i="3"/>
  <c r="E1038" i="3"/>
  <c r="E1039" i="3"/>
  <c r="E1040" i="3"/>
  <c r="E1041" i="3"/>
  <c r="E1042" i="3"/>
  <c r="E1043" i="3"/>
  <c r="E1044" i="3"/>
  <c r="E1045" i="3"/>
  <c r="E1046" i="3"/>
  <c r="E1047" i="3"/>
  <c r="E1048" i="3"/>
  <c r="E1049" i="3"/>
  <c r="E1050" i="3"/>
  <c r="E1051" i="3"/>
  <c r="E1052" i="3"/>
  <c r="E1053" i="3"/>
  <c r="E1054" i="3"/>
  <c r="E1055" i="3"/>
  <c r="E1056" i="3"/>
  <c r="E1057" i="3"/>
  <c r="E1058" i="3"/>
  <c r="E1059" i="3"/>
  <c r="E1060" i="3"/>
  <c r="E1061" i="3"/>
  <c r="E1062" i="3"/>
  <c r="E1063" i="3"/>
  <c r="E1064" i="3"/>
  <c r="E1065" i="3"/>
  <c r="E1066" i="3"/>
  <c r="E1067" i="3"/>
  <c r="E1068" i="3"/>
  <c r="E1069" i="3"/>
  <c r="E1070" i="3"/>
  <c r="E1071" i="3"/>
  <c r="E1072" i="3"/>
  <c r="E1073" i="3"/>
  <c r="E1074" i="3"/>
  <c r="E1075" i="3"/>
  <c r="E1076" i="3"/>
  <c r="E1077" i="3"/>
  <c r="E1078" i="3"/>
  <c r="E1079" i="3"/>
  <c r="E1080" i="3"/>
  <c r="E1081" i="3"/>
  <c r="E1082" i="3"/>
  <c r="E1083" i="3"/>
  <c r="E1084" i="3"/>
  <c r="E1085" i="3"/>
  <c r="E1086" i="3"/>
  <c r="E1087" i="3"/>
  <c r="E1088" i="3"/>
  <c r="E1089" i="3"/>
  <c r="E1090" i="3"/>
  <c r="E1091" i="3"/>
  <c r="E1092" i="3"/>
  <c r="E1093" i="3"/>
  <c r="E1094" i="3"/>
  <c r="E1095" i="3"/>
  <c r="E1096" i="3"/>
  <c r="E1097" i="3"/>
  <c r="E1098" i="3"/>
  <c r="E1099" i="3"/>
  <c r="E1100" i="3"/>
  <c r="E1101" i="3"/>
  <c r="E1102" i="3"/>
  <c r="E1103" i="3"/>
  <c r="E1104" i="3"/>
  <c r="E1105" i="3"/>
  <c r="E1106" i="3"/>
  <c r="E1107" i="3"/>
  <c r="E1108" i="3"/>
  <c r="E1109" i="3"/>
  <c r="E1110" i="3"/>
  <c r="E1111" i="3"/>
  <c r="E1112" i="3"/>
  <c r="E1113" i="3"/>
  <c r="E1114" i="3"/>
  <c r="E1115" i="3"/>
  <c r="E1116" i="3"/>
  <c r="E1117" i="3"/>
  <c r="E1118" i="3"/>
  <c r="E1119" i="3"/>
  <c r="E1120" i="3"/>
  <c r="E1121" i="3"/>
  <c r="E1122" i="3"/>
  <c r="E1123" i="3"/>
  <c r="E1124" i="3"/>
  <c r="E1125" i="3"/>
  <c r="E1126" i="3"/>
  <c r="E1127" i="3"/>
  <c r="E1128" i="3"/>
  <c r="E1129" i="3"/>
  <c r="E1130" i="3"/>
  <c r="E1131" i="3"/>
  <c r="E1132" i="3"/>
  <c r="E1133" i="3"/>
  <c r="E1134" i="3"/>
  <c r="E1135" i="3"/>
  <c r="E1136" i="3"/>
  <c r="E1137" i="3"/>
  <c r="E1138" i="3"/>
  <c r="E1139" i="3"/>
  <c r="E1140" i="3"/>
  <c r="E1141" i="3"/>
  <c r="E1142" i="3"/>
  <c r="E1143" i="3"/>
  <c r="E1144" i="3"/>
  <c r="E1145" i="3"/>
  <c r="E1146" i="3"/>
  <c r="E1147" i="3"/>
  <c r="E1148" i="3"/>
  <c r="E1149" i="3"/>
  <c r="E1150" i="3"/>
  <c r="E1151" i="3"/>
  <c r="E1152" i="3"/>
  <c r="E1153" i="3"/>
  <c r="E1154" i="3"/>
  <c r="E1155" i="3"/>
  <c r="E1156" i="3"/>
  <c r="E1157" i="3"/>
  <c r="E1158" i="3"/>
  <c r="E1159" i="3"/>
  <c r="E1160" i="3"/>
  <c r="E1161" i="3"/>
  <c r="E1162" i="3"/>
  <c r="E1163" i="3"/>
  <c r="E1164" i="3"/>
  <c r="E1165" i="3"/>
  <c r="E1166" i="3"/>
  <c r="E1167" i="3"/>
  <c r="E1168" i="3"/>
  <c r="E1169" i="3"/>
  <c r="E1170" i="3"/>
  <c r="E1171" i="3"/>
  <c r="E1172" i="3"/>
  <c r="E1173" i="3"/>
  <c r="E1174" i="3"/>
  <c r="E1175" i="3"/>
  <c r="E1176" i="3"/>
  <c r="E1177" i="3"/>
  <c r="E1178" i="3"/>
  <c r="E1179" i="3"/>
  <c r="E1180" i="3"/>
  <c r="E1181" i="3"/>
  <c r="E1182" i="3"/>
  <c r="E1183" i="3"/>
  <c r="E1184" i="3"/>
  <c r="E1185" i="3"/>
  <c r="E1186" i="3"/>
  <c r="E1187" i="3"/>
  <c r="E1188" i="3"/>
  <c r="E1189" i="3"/>
  <c r="E1190" i="3"/>
  <c r="E1191" i="3"/>
  <c r="E1192" i="3"/>
  <c r="E1193" i="3"/>
  <c r="E1194" i="3"/>
  <c r="E1195" i="3"/>
  <c r="E1196" i="3"/>
  <c r="E1197" i="3"/>
  <c r="E1198" i="3"/>
  <c r="E1199" i="3"/>
  <c r="E1200" i="3"/>
  <c r="E1201" i="3"/>
  <c r="E1202" i="3"/>
  <c r="E1203" i="3"/>
  <c r="E1204" i="3"/>
  <c r="E1205" i="3"/>
  <c r="E1206" i="3"/>
  <c r="E1207" i="3"/>
  <c r="E1208" i="3"/>
  <c r="E1209" i="3"/>
  <c r="E1210" i="3"/>
  <c r="E1211" i="3"/>
  <c r="E1212" i="3"/>
  <c r="E1213" i="3"/>
  <c r="E1214" i="3"/>
  <c r="E1215" i="3"/>
  <c r="E1216" i="3"/>
  <c r="E1217" i="3"/>
  <c r="E1218" i="3"/>
  <c r="E1219" i="3"/>
  <c r="E1220" i="3"/>
  <c r="E1221" i="3"/>
  <c r="E1222" i="3"/>
  <c r="E1223" i="3"/>
  <c r="E1224" i="3"/>
  <c r="E1225" i="3"/>
  <c r="E1226" i="3"/>
  <c r="E1227" i="3"/>
  <c r="E1228" i="3"/>
  <c r="E1229" i="3"/>
  <c r="E1230" i="3"/>
  <c r="E1231" i="3"/>
  <c r="E1232" i="3"/>
  <c r="E1233" i="3"/>
  <c r="E1234" i="3"/>
  <c r="E1235" i="3"/>
  <c r="E1236" i="3"/>
  <c r="E1237" i="3"/>
  <c r="E1238" i="3"/>
  <c r="E1239" i="3"/>
  <c r="E1240" i="3"/>
  <c r="E1241" i="3"/>
  <c r="E1242" i="3"/>
  <c r="E1243" i="3"/>
  <c r="E1244" i="3"/>
  <c r="E1245" i="3"/>
  <c r="E1246" i="3"/>
  <c r="E1247" i="3"/>
  <c r="E1248" i="3"/>
  <c r="E1249" i="3"/>
  <c r="E1250" i="3"/>
  <c r="E1251" i="3"/>
  <c r="E1252" i="3"/>
  <c r="E1253" i="3"/>
  <c r="E1254" i="3"/>
  <c r="E1255" i="3"/>
  <c r="E1256" i="3"/>
  <c r="E1257" i="3"/>
  <c r="E1258" i="3"/>
  <c r="E1259" i="3"/>
  <c r="E1260" i="3"/>
  <c r="E1261" i="3"/>
  <c r="E1262" i="3"/>
  <c r="E1263" i="3"/>
  <c r="E1264" i="3"/>
  <c r="E1265" i="3"/>
  <c r="E1266" i="3"/>
  <c r="E1267" i="3"/>
  <c r="E1268" i="3"/>
  <c r="E1269" i="3"/>
  <c r="E1270" i="3"/>
  <c r="E1271" i="3"/>
  <c r="E1272" i="3"/>
  <c r="E1273" i="3"/>
  <c r="E1274" i="3"/>
  <c r="E1275" i="3"/>
  <c r="E1276" i="3"/>
  <c r="E1277" i="3"/>
  <c r="E1278" i="3"/>
  <c r="E1279" i="3"/>
  <c r="E1280" i="3"/>
  <c r="E1281" i="3"/>
  <c r="E1282" i="3"/>
  <c r="E1283" i="3"/>
  <c r="E1284" i="3"/>
  <c r="E1285" i="3"/>
  <c r="E1286" i="3"/>
  <c r="E1287" i="3"/>
  <c r="E1288" i="3"/>
  <c r="E1289" i="3"/>
  <c r="E1290" i="3"/>
  <c r="E1291" i="3"/>
  <c r="E1292" i="3"/>
  <c r="E1293" i="3"/>
  <c r="E1294" i="3"/>
  <c r="E1295" i="3"/>
  <c r="E1296" i="3"/>
  <c r="E1297" i="3"/>
  <c r="E1298" i="3"/>
  <c r="E1299" i="3"/>
  <c r="E1300" i="3"/>
  <c r="E1301" i="3"/>
  <c r="E1302" i="3"/>
  <c r="E1303" i="3"/>
  <c r="E1304" i="3"/>
  <c r="E1305" i="3"/>
  <c r="E1306" i="3"/>
  <c r="E1307" i="3"/>
  <c r="E1308" i="3"/>
  <c r="E1309" i="3"/>
  <c r="E1310" i="3"/>
  <c r="E1311" i="3"/>
  <c r="E1312" i="3"/>
  <c r="E1313" i="3"/>
  <c r="E1314" i="3"/>
  <c r="E1315" i="3"/>
  <c r="E1316" i="3"/>
  <c r="E1317" i="3"/>
  <c r="E1318" i="3"/>
  <c r="E1319" i="3"/>
  <c r="E1320" i="3"/>
  <c r="E1321" i="3"/>
  <c r="E1322" i="3"/>
  <c r="E1323" i="3"/>
  <c r="E1324" i="3"/>
  <c r="E1325" i="3"/>
  <c r="E1326" i="3"/>
  <c r="E1327" i="3"/>
  <c r="E1328" i="3"/>
  <c r="E1329" i="3"/>
  <c r="E1330" i="3"/>
  <c r="E1331" i="3"/>
  <c r="E1332" i="3"/>
  <c r="E1333" i="3"/>
  <c r="E1334" i="3"/>
  <c r="E1335" i="3"/>
  <c r="E1336" i="3"/>
  <c r="E1337" i="3"/>
  <c r="E1338" i="3"/>
  <c r="E1339" i="3"/>
  <c r="E1340" i="3"/>
  <c r="E1341" i="3"/>
  <c r="E1342" i="3"/>
  <c r="E1343" i="3"/>
  <c r="E1344" i="3"/>
  <c r="E1345" i="3"/>
  <c r="E1346" i="3"/>
  <c r="E1347" i="3"/>
  <c r="E1348" i="3"/>
  <c r="E1349" i="3"/>
  <c r="E1350" i="3"/>
  <c r="E1351" i="3"/>
  <c r="E1352" i="3"/>
  <c r="E1353" i="3"/>
  <c r="E1354" i="3"/>
  <c r="E1355" i="3"/>
  <c r="E1356" i="3"/>
  <c r="E1357" i="3"/>
  <c r="E1358" i="3"/>
  <c r="E1359" i="3"/>
  <c r="E1360" i="3"/>
  <c r="E1361" i="3"/>
  <c r="E1362" i="3"/>
  <c r="E1363" i="3"/>
  <c r="E1364" i="3"/>
  <c r="E1365" i="3"/>
  <c r="E1366" i="3"/>
  <c r="E1367" i="3"/>
  <c r="E1368" i="3"/>
  <c r="E1369" i="3"/>
  <c r="E1370" i="3"/>
  <c r="E1371" i="3"/>
  <c r="E1372" i="3"/>
  <c r="E1373" i="3"/>
  <c r="E1374" i="3"/>
  <c r="E1375" i="3"/>
  <c r="E1376" i="3"/>
  <c r="E1377" i="3"/>
  <c r="E1378" i="3"/>
  <c r="E1379" i="3"/>
  <c r="E1380" i="3"/>
  <c r="E1381" i="3"/>
  <c r="E1382" i="3"/>
  <c r="E1383" i="3"/>
  <c r="E1384" i="3"/>
  <c r="E1385" i="3"/>
  <c r="E1386" i="3"/>
  <c r="E1387" i="3"/>
  <c r="E1388" i="3"/>
  <c r="E1389" i="3"/>
  <c r="E1390" i="3"/>
  <c r="E1391" i="3"/>
  <c r="E1392" i="3"/>
  <c r="E1393" i="3"/>
  <c r="E1394" i="3"/>
  <c r="E1395" i="3"/>
  <c r="E1396" i="3"/>
  <c r="E1397" i="3"/>
  <c r="E1398" i="3"/>
  <c r="E1399" i="3"/>
  <c r="E1400" i="3"/>
  <c r="E1401" i="3"/>
  <c r="E1402" i="3"/>
  <c r="E1403" i="3"/>
  <c r="E1404" i="3"/>
  <c r="E1405" i="3"/>
  <c r="E1406" i="3"/>
  <c r="E1407" i="3"/>
  <c r="E1408" i="3"/>
  <c r="E1409" i="3"/>
  <c r="E1410" i="3"/>
  <c r="E1411" i="3"/>
  <c r="E1412" i="3"/>
  <c r="E1413" i="3"/>
  <c r="E1414" i="3"/>
  <c r="E1415" i="3"/>
  <c r="E1416" i="3"/>
  <c r="E1417" i="3"/>
  <c r="E1418" i="3"/>
  <c r="E1419" i="3"/>
  <c r="E1420" i="3"/>
  <c r="E1421" i="3"/>
  <c r="E1422" i="3"/>
  <c r="E1423" i="3"/>
  <c r="E1424" i="3"/>
  <c r="E1425" i="3"/>
  <c r="E1426" i="3"/>
  <c r="E1427" i="3"/>
  <c r="E1428" i="3"/>
  <c r="E1429" i="3"/>
  <c r="E1430" i="3"/>
  <c r="E1431" i="3"/>
  <c r="E1432" i="3"/>
  <c r="E1433" i="3"/>
  <c r="E1434" i="3"/>
  <c r="E1435" i="3"/>
  <c r="E1436" i="3"/>
  <c r="E1437" i="3"/>
  <c r="E1438" i="3"/>
  <c r="E1439" i="3"/>
  <c r="E1440" i="3"/>
  <c r="E1441" i="3"/>
  <c r="E1442" i="3"/>
  <c r="E1443" i="3"/>
  <c r="E1444" i="3"/>
  <c r="E1445" i="3"/>
  <c r="E1446" i="3"/>
  <c r="E1447" i="3"/>
  <c r="E1448" i="3"/>
  <c r="E1449" i="3"/>
  <c r="E1450" i="3"/>
  <c r="E1451" i="3"/>
  <c r="E1452" i="3"/>
  <c r="E1453" i="3"/>
  <c r="E1454" i="3"/>
  <c r="E1455" i="3"/>
  <c r="E1456" i="3"/>
  <c r="E1457" i="3"/>
  <c r="E1458" i="3"/>
  <c r="E1459" i="3"/>
  <c r="E1460" i="3"/>
  <c r="E1461" i="3"/>
  <c r="E1462" i="3"/>
  <c r="E1463" i="3"/>
  <c r="E1464" i="3"/>
  <c r="E1465" i="3"/>
  <c r="E1466" i="3"/>
  <c r="E1467" i="3"/>
  <c r="E1468" i="3"/>
  <c r="E1469" i="3"/>
  <c r="E1470" i="3"/>
  <c r="E1471" i="3"/>
  <c r="E1472" i="3"/>
  <c r="E1473" i="3"/>
  <c r="E1474" i="3"/>
  <c r="E1475" i="3"/>
  <c r="E1476" i="3"/>
  <c r="E1477" i="3"/>
  <c r="E1478" i="3"/>
  <c r="E1479" i="3"/>
  <c r="E1480" i="3"/>
  <c r="E1481" i="3"/>
  <c r="E1482" i="3"/>
  <c r="E1483" i="3"/>
  <c r="E1484" i="3"/>
  <c r="E1485" i="3"/>
  <c r="E1486" i="3"/>
  <c r="E1487" i="3"/>
  <c r="E1488" i="3"/>
  <c r="E1489" i="3"/>
  <c r="E1490" i="3"/>
  <c r="E1491" i="3"/>
  <c r="E1492" i="3"/>
  <c r="E1493" i="3"/>
  <c r="E1494" i="3"/>
  <c r="E1495" i="3"/>
  <c r="E1496" i="3"/>
  <c r="E1497" i="3"/>
  <c r="E1498" i="3"/>
  <c r="E1499" i="3"/>
  <c r="E1500" i="3"/>
  <c r="E1501" i="3"/>
  <c r="E1502" i="3"/>
  <c r="E1503" i="3"/>
  <c r="E1504" i="3"/>
  <c r="E1505" i="3"/>
  <c r="E1506" i="3"/>
  <c r="E1507" i="3"/>
  <c r="E1508" i="3"/>
  <c r="E1509" i="3"/>
  <c r="E1510" i="3"/>
  <c r="E1511" i="3"/>
  <c r="E1512" i="3"/>
  <c r="E1513" i="3"/>
  <c r="E1514" i="3"/>
  <c r="E1515" i="3"/>
  <c r="E1516" i="3"/>
  <c r="E1517" i="3"/>
  <c r="E1518" i="3"/>
  <c r="E1519" i="3"/>
  <c r="E1520" i="3"/>
  <c r="E1521" i="3"/>
  <c r="E1522" i="3"/>
  <c r="E1523" i="3"/>
  <c r="E1524" i="3"/>
  <c r="E1525" i="3"/>
  <c r="E1526" i="3"/>
  <c r="E1527" i="3"/>
  <c r="E1528" i="3"/>
  <c r="E1529" i="3"/>
  <c r="E1530" i="3"/>
  <c r="E1531" i="3"/>
  <c r="E1532" i="3"/>
  <c r="E1533" i="3"/>
  <c r="E1534" i="3"/>
  <c r="E1535" i="3"/>
  <c r="E1536" i="3"/>
  <c r="E1537" i="3"/>
  <c r="E1538" i="3"/>
  <c r="E1539" i="3"/>
  <c r="E1540" i="3"/>
  <c r="E1541" i="3"/>
  <c r="E1542" i="3"/>
  <c r="E1543" i="3"/>
  <c r="E1544" i="3"/>
  <c r="E1545" i="3"/>
  <c r="E1546" i="3"/>
  <c r="E1547" i="3"/>
  <c r="E1548" i="3"/>
  <c r="E1549" i="3"/>
  <c r="E1550" i="3"/>
  <c r="E1551" i="3"/>
  <c r="E1552" i="3"/>
  <c r="E1553" i="3"/>
  <c r="E1554" i="3"/>
  <c r="E1555" i="3"/>
  <c r="E1556" i="3"/>
  <c r="E1557" i="3"/>
  <c r="E1558" i="3"/>
  <c r="E1559" i="3"/>
  <c r="E1560" i="3"/>
  <c r="E1561" i="3"/>
  <c r="E1562" i="3"/>
  <c r="E1563" i="3"/>
  <c r="E1564" i="3"/>
  <c r="E1565" i="3"/>
  <c r="E1566" i="3"/>
  <c r="E1567" i="3"/>
  <c r="E1568" i="3"/>
  <c r="E1569" i="3"/>
  <c r="E1570" i="3"/>
  <c r="E1571" i="3"/>
  <c r="E1572" i="3"/>
  <c r="E1573" i="3"/>
  <c r="E1574" i="3"/>
  <c r="E1575" i="3"/>
  <c r="E1576" i="3"/>
  <c r="E1577" i="3"/>
  <c r="E1578" i="3"/>
  <c r="E1579" i="3"/>
  <c r="E1580" i="3"/>
  <c r="E1581" i="3"/>
  <c r="E1582" i="3"/>
  <c r="E1583" i="3"/>
  <c r="E1584" i="3"/>
  <c r="E1585" i="3"/>
  <c r="E1586" i="3"/>
  <c r="E1587" i="3"/>
  <c r="E1588" i="3"/>
  <c r="E1589" i="3"/>
  <c r="E1590" i="3"/>
  <c r="E1591" i="3"/>
  <c r="E1592" i="3"/>
  <c r="E1593" i="3"/>
  <c r="E1594" i="3"/>
  <c r="E1595" i="3"/>
  <c r="E1596" i="3"/>
  <c r="E1597" i="3"/>
  <c r="E1598" i="3"/>
  <c r="E1599" i="3"/>
  <c r="E1600" i="3"/>
  <c r="E1601" i="3"/>
  <c r="E1602" i="3"/>
  <c r="E1603" i="3"/>
  <c r="E1604" i="3"/>
  <c r="E1605" i="3"/>
  <c r="E1606" i="3"/>
  <c r="E1607" i="3"/>
  <c r="E1608" i="3"/>
  <c r="E1609" i="3"/>
  <c r="E1610" i="3"/>
  <c r="E1611" i="3"/>
  <c r="E1612" i="3"/>
  <c r="E1613" i="3"/>
  <c r="E1614" i="3"/>
  <c r="E1615" i="3"/>
  <c r="E1616" i="3"/>
  <c r="E1617" i="3"/>
  <c r="E1618" i="3"/>
  <c r="E1619" i="3"/>
  <c r="E1620" i="3"/>
  <c r="E1621" i="3"/>
  <c r="E1622" i="3"/>
  <c r="E1623" i="3"/>
  <c r="E1624" i="3"/>
  <c r="E1625" i="3"/>
  <c r="E1626" i="3"/>
  <c r="E1627" i="3"/>
  <c r="E1628" i="3"/>
  <c r="E1629" i="3"/>
  <c r="E1630" i="3"/>
  <c r="E1631" i="3"/>
  <c r="E1632" i="3"/>
  <c r="E1633" i="3"/>
  <c r="E1634" i="3"/>
  <c r="E1635" i="3"/>
  <c r="E1636" i="3"/>
  <c r="E1637" i="3"/>
  <c r="E1638" i="3"/>
  <c r="E1639" i="3"/>
  <c r="E1640" i="3"/>
  <c r="E1641" i="3"/>
  <c r="E1642" i="3"/>
  <c r="E1643" i="3"/>
  <c r="E1644" i="3"/>
  <c r="E1645" i="3"/>
  <c r="E1646" i="3"/>
  <c r="E1647" i="3"/>
  <c r="E1648" i="3"/>
  <c r="E1649" i="3"/>
  <c r="E1650" i="3"/>
  <c r="E1651" i="3"/>
  <c r="E1652" i="3"/>
  <c r="E1653" i="3"/>
  <c r="E1654" i="3"/>
  <c r="E1655" i="3"/>
  <c r="E1656" i="3"/>
  <c r="E1657" i="3"/>
  <c r="E1658" i="3"/>
  <c r="E1659" i="3"/>
  <c r="E1660" i="3"/>
  <c r="E1661" i="3"/>
  <c r="E1662" i="3"/>
  <c r="E1663" i="3"/>
  <c r="E1664" i="3"/>
  <c r="E1665" i="3"/>
  <c r="E1666" i="3"/>
  <c r="E1667" i="3"/>
  <c r="E1668" i="3"/>
  <c r="E1669" i="3"/>
  <c r="E1670" i="3"/>
  <c r="E1671" i="3"/>
  <c r="E1672" i="3"/>
  <c r="E1673" i="3"/>
  <c r="E1674" i="3"/>
  <c r="E1675" i="3"/>
  <c r="E1676" i="3"/>
  <c r="E1677" i="3"/>
  <c r="E1678" i="3"/>
  <c r="E1679" i="3"/>
  <c r="E1680" i="3"/>
  <c r="E1681" i="3"/>
  <c r="E1682" i="3"/>
  <c r="E1683" i="3"/>
  <c r="E1684" i="3"/>
  <c r="E1685" i="3"/>
  <c r="E1686" i="3"/>
  <c r="E1687" i="3"/>
  <c r="E1688" i="3"/>
  <c r="E1689" i="3"/>
  <c r="E1690" i="3"/>
  <c r="E1691" i="3"/>
  <c r="E1692" i="3"/>
  <c r="E1693" i="3"/>
  <c r="E1694" i="3"/>
  <c r="E1695" i="3"/>
  <c r="E1696" i="3"/>
  <c r="E1697" i="3"/>
  <c r="E1698" i="3"/>
  <c r="E1699" i="3"/>
  <c r="E1700" i="3"/>
  <c r="E1701" i="3"/>
  <c r="E1702" i="3"/>
  <c r="E1703" i="3"/>
  <c r="E1704" i="3"/>
  <c r="E1705" i="3"/>
  <c r="E1706" i="3"/>
  <c r="E1707" i="3"/>
  <c r="E1708" i="3"/>
  <c r="E1709" i="3"/>
  <c r="E1710" i="3"/>
  <c r="E1711" i="3"/>
  <c r="E1712" i="3"/>
  <c r="E1713" i="3"/>
  <c r="E1714" i="3"/>
  <c r="E1715" i="3"/>
  <c r="E1716" i="3"/>
  <c r="E1717" i="3"/>
  <c r="E1718" i="3"/>
  <c r="E1719" i="3"/>
  <c r="E1720" i="3"/>
  <c r="E1721" i="3"/>
  <c r="E1722" i="3"/>
  <c r="E1723" i="3"/>
  <c r="E1724" i="3"/>
  <c r="E1725" i="3"/>
  <c r="E1726" i="3"/>
  <c r="E1727" i="3"/>
  <c r="E1728" i="3"/>
  <c r="E1729" i="3"/>
  <c r="E1730" i="3"/>
  <c r="E1731" i="3"/>
  <c r="E1732" i="3"/>
  <c r="E1733" i="3"/>
  <c r="E1734" i="3"/>
  <c r="E1735" i="3"/>
  <c r="E1736" i="3"/>
  <c r="E1737" i="3"/>
  <c r="E1738" i="3"/>
  <c r="E1739" i="3"/>
  <c r="E1740" i="3"/>
  <c r="E1741" i="3"/>
  <c r="E1742" i="3"/>
  <c r="E1743" i="3"/>
  <c r="E1744" i="3"/>
  <c r="E1745" i="3"/>
  <c r="E1746" i="3"/>
  <c r="E1747" i="3"/>
  <c r="E1748" i="3"/>
  <c r="E1749" i="3"/>
  <c r="E1750" i="3"/>
  <c r="E1751" i="3"/>
  <c r="E1752" i="3"/>
  <c r="E1753" i="3"/>
  <c r="E1754" i="3"/>
  <c r="E1755" i="3"/>
  <c r="E1756" i="3"/>
  <c r="E1757" i="3"/>
  <c r="E1758" i="3"/>
  <c r="E1759" i="3"/>
  <c r="E1760" i="3"/>
  <c r="E1761" i="3"/>
  <c r="E1762" i="3"/>
  <c r="E1763" i="3"/>
  <c r="E1764" i="3"/>
  <c r="E1765" i="3"/>
  <c r="E1766" i="3"/>
  <c r="E1767" i="3"/>
  <c r="E1768" i="3"/>
  <c r="E1769" i="3"/>
  <c r="E1770" i="3"/>
  <c r="E1771" i="3"/>
  <c r="E1772" i="3"/>
  <c r="E1773" i="3"/>
  <c r="E1774" i="3"/>
  <c r="E1775" i="3"/>
  <c r="E1776" i="3"/>
  <c r="E1777" i="3"/>
  <c r="E1778" i="3"/>
  <c r="E1779" i="3"/>
  <c r="E1780" i="3"/>
  <c r="E1781" i="3"/>
  <c r="E1782" i="3"/>
  <c r="E1783" i="3"/>
  <c r="E1784" i="3"/>
  <c r="E1785" i="3"/>
  <c r="E1786" i="3"/>
  <c r="E1787" i="3"/>
  <c r="E1788" i="3"/>
  <c r="E1789" i="3"/>
  <c r="E1790" i="3"/>
  <c r="E1791" i="3"/>
  <c r="E1792" i="3"/>
  <c r="E1793" i="3"/>
  <c r="E1794" i="3"/>
  <c r="E1795" i="3"/>
  <c r="E1796" i="3"/>
  <c r="E1797" i="3"/>
  <c r="E1798" i="3"/>
  <c r="E1799" i="3"/>
  <c r="E1800" i="3"/>
  <c r="E1801" i="3"/>
  <c r="E1802" i="3"/>
  <c r="E1803" i="3"/>
  <c r="E1804" i="3"/>
  <c r="E1805" i="3"/>
  <c r="E1806" i="3"/>
  <c r="E1807" i="3"/>
  <c r="E1808" i="3"/>
  <c r="E1809" i="3"/>
  <c r="E1810" i="3"/>
  <c r="E1811" i="3"/>
  <c r="E1812" i="3"/>
  <c r="E1813" i="3"/>
  <c r="E1814" i="3"/>
  <c r="E1815" i="3"/>
  <c r="E1816" i="3"/>
  <c r="E1817" i="3"/>
  <c r="E1818" i="3"/>
  <c r="E1819" i="3"/>
  <c r="E1820" i="3"/>
  <c r="E1821" i="3"/>
  <c r="E1822" i="3"/>
  <c r="E1823" i="3"/>
  <c r="E1824" i="3"/>
  <c r="E1825" i="3"/>
  <c r="E1826" i="3"/>
  <c r="E1827" i="3"/>
  <c r="E1828" i="3"/>
  <c r="E1829" i="3"/>
  <c r="E1830" i="3"/>
  <c r="E1831" i="3"/>
  <c r="E1832" i="3"/>
  <c r="E1833" i="3"/>
  <c r="E1834" i="3"/>
  <c r="E1835" i="3"/>
  <c r="E1836" i="3"/>
  <c r="E1837" i="3"/>
  <c r="E1838" i="3"/>
  <c r="E1839" i="3"/>
  <c r="E1840" i="3"/>
  <c r="E1841" i="3"/>
  <c r="E1842" i="3"/>
  <c r="E1843" i="3"/>
  <c r="E1844" i="3"/>
  <c r="E1845" i="3"/>
  <c r="E1846" i="3"/>
  <c r="E1847" i="3"/>
  <c r="E1848" i="3"/>
  <c r="E1849" i="3"/>
  <c r="E1850" i="3"/>
  <c r="E1851" i="3"/>
  <c r="E1852" i="3"/>
  <c r="E1853" i="3"/>
  <c r="E1854" i="3"/>
  <c r="E1855" i="3"/>
  <c r="E1856" i="3"/>
  <c r="E1857" i="3"/>
  <c r="E1858" i="3"/>
  <c r="E1859" i="3"/>
  <c r="E1860" i="3"/>
  <c r="E1861" i="3"/>
  <c r="E1862" i="3"/>
  <c r="E1863" i="3"/>
  <c r="E1864" i="3"/>
  <c r="E1865" i="3"/>
  <c r="E1866" i="3"/>
  <c r="E1867" i="3"/>
  <c r="E1868" i="3"/>
  <c r="E1869" i="3"/>
  <c r="E1870" i="3"/>
  <c r="E1871" i="3"/>
  <c r="E1872" i="3"/>
  <c r="E1873" i="3"/>
  <c r="E1874" i="3"/>
  <c r="E1875" i="3"/>
  <c r="E1876" i="3"/>
  <c r="E1877" i="3"/>
  <c r="E1878" i="3"/>
  <c r="E1879" i="3"/>
  <c r="E1880" i="3"/>
  <c r="E1881" i="3"/>
  <c r="E1882" i="3"/>
  <c r="E1883" i="3"/>
  <c r="E1884" i="3"/>
  <c r="E1885" i="3"/>
  <c r="E1886" i="3"/>
  <c r="E1887" i="3"/>
  <c r="E1888" i="3"/>
  <c r="E1889" i="3"/>
  <c r="E1890" i="3"/>
  <c r="E1891" i="3"/>
  <c r="E1892" i="3"/>
  <c r="E1893" i="3"/>
  <c r="E1894" i="3"/>
  <c r="E1895" i="3"/>
  <c r="E1896" i="3"/>
  <c r="E1897" i="3"/>
  <c r="E1898" i="3"/>
  <c r="E1899" i="3"/>
  <c r="E1900" i="3"/>
  <c r="E1901" i="3"/>
  <c r="E1902" i="3"/>
  <c r="E1903" i="3"/>
  <c r="E1904" i="3"/>
  <c r="E1905" i="3"/>
  <c r="E1906" i="3"/>
  <c r="E1907" i="3"/>
  <c r="E1908" i="3"/>
  <c r="E1909" i="3"/>
  <c r="E1910" i="3"/>
  <c r="E1911" i="3"/>
  <c r="E1912" i="3"/>
  <c r="E1913" i="3"/>
  <c r="E1914" i="3"/>
  <c r="E1915" i="3"/>
  <c r="E1916" i="3"/>
  <c r="E1917" i="3"/>
  <c r="E1918" i="3"/>
  <c r="E1919" i="3"/>
  <c r="E1920" i="3"/>
  <c r="E1921" i="3"/>
  <c r="E1922" i="3"/>
  <c r="E1923" i="3"/>
  <c r="E1924" i="3"/>
  <c r="E1925" i="3"/>
  <c r="E1926" i="3"/>
  <c r="E1927" i="3"/>
  <c r="E1928" i="3"/>
  <c r="E1929" i="3"/>
  <c r="E1930" i="3"/>
  <c r="E1931" i="3"/>
  <c r="E1932" i="3"/>
  <c r="E1933" i="3"/>
  <c r="E1934" i="3"/>
  <c r="E1935" i="3"/>
  <c r="E1936" i="3"/>
  <c r="E1937" i="3"/>
  <c r="E1938" i="3"/>
  <c r="E1939" i="3"/>
  <c r="E1940" i="3"/>
  <c r="E1941" i="3"/>
  <c r="E1942" i="3"/>
  <c r="E1943" i="3"/>
  <c r="E1944" i="3"/>
  <c r="E1945" i="3"/>
  <c r="E1946" i="3"/>
  <c r="E1947" i="3"/>
  <c r="E1948" i="3"/>
  <c r="E1949" i="3"/>
  <c r="E1950" i="3"/>
  <c r="E1951" i="3"/>
  <c r="E1952" i="3"/>
  <c r="E1953" i="3"/>
  <c r="E1954" i="3"/>
  <c r="E1955" i="3"/>
  <c r="E1956" i="3"/>
  <c r="E1957" i="3"/>
  <c r="E1958" i="3"/>
  <c r="E1959" i="3"/>
  <c r="E1960" i="3"/>
  <c r="E1961" i="3"/>
  <c r="E1962" i="3"/>
  <c r="E1963" i="3"/>
  <c r="E1964" i="3"/>
  <c r="E1965" i="3"/>
  <c r="E1966" i="3"/>
  <c r="E1967" i="3"/>
  <c r="E1968" i="3"/>
  <c r="E1969" i="3"/>
  <c r="E1970" i="3"/>
  <c r="E1971" i="3"/>
  <c r="E1972" i="3"/>
  <c r="E1973" i="3"/>
  <c r="E1974" i="3"/>
  <c r="E1975" i="3"/>
  <c r="E1976" i="3"/>
  <c r="E1977" i="3"/>
  <c r="E1978" i="3"/>
  <c r="E1979" i="3"/>
  <c r="E1980" i="3"/>
  <c r="E1981" i="3"/>
  <c r="E1982" i="3"/>
  <c r="E1983" i="3"/>
  <c r="E1984" i="3"/>
  <c r="E1985" i="3"/>
  <c r="E1986" i="3"/>
  <c r="E1987" i="3"/>
  <c r="E1988" i="3"/>
  <c r="E1989" i="3"/>
  <c r="E1990" i="3"/>
  <c r="E1991" i="3"/>
  <c r="E1992" i="3"/>
  <c r="E1993" i="3"/>
  <c r="E1994" i="3"/>
  <c r="E1995" i="3"/>
  <c r="E1996" i="3"/>
  <c r="E1997" i="3"/>
  <c r="E1998" i="3"/>
  <c r="E1999" i="3"/>
  <c r="E2000" i="3"/>
  <c r="E2001" i="3"/>
  <c r="E2002" i="3"/>
  <c r="E5" i="3"/>
  <c r="C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34" i="3"/>
  <c r="B135" i="3"/>
  <c r="B136" i="3"/>
  <c r="B137" i="3"/>
  <c r="B138" i="3"/>
  <c r="B139" i="3"/>
  <c r="B140" i="3"/>
  <c r="B141" i="3"/>
  <c r="B142" i="3"/>
  <c r="B143" i="3"/>
  <c r="B144" i="3"/>
  <c r="B145" i="3"/>
  <c r="B146" i="3"/>
  <c r="B147" i="3"/>
  <c r="B148" i="3"/>
  <c r="B149" i="3"/>
  <c r="B150" i="3"/>
  <c r="B151" i="3"/>
  <c r="B152" i="3"/>
  <c r="B153" i="3"/>
  <c r="B154" i="3"/>
  <c r="B155" i="3"/>
  <c r="B156" i="3"/>
  <c r="B157" i="3"/>
  <c r="B158" i="3"/>
  <c r="B159" i="3"/>
  <c r="B160" i="3"/>
  <c r="B161" i="3"/>
  <c r="B162" i="3"/>
  <c r="B163" i="3"/>
  <c r="B164" i="3"/>
  <c r="B165" i="3"/>
  <c r="B166" i="3"/>
  <c r="B167" i="3"/>
  <c r="B168" i="3"/>
  <c r="B169" i="3"/>
  <c r="B170" i="3"/>
  <c r="B171" i="3"/>
  <c r="B172" i="3"/>
  <c r="B173" i="3"/>
  <c r="B174" i="3"/>
  <c r="B175" i="3"/>
  <c r="B176" i="3"/>
  <c r="B177" i="3"/>
  <c r="B178" i="3"/>
  <c r="B179" i="3"/>
  <c r="B180" i="3"/>
  <c r="B181" i="3"/>
  <c r="B182" i="3"/>
  <c r="B183" i="3"/>
  <c r="B184" i="3"/>
  <c r="B185" i="3"/>
  <c r="B186" i="3"/>
  <c r="B187" i="3"/>
  <c r="B188" i="3"/>
  <c r="B189" i="3"/>
  <c r="B190" i="3"/>
  <c r="B191" i="3"/>
  <c r="B192" i="3"/>
  <c r="B193" i="3"/>
  <c r="B194" i="3"/>
  <c r="B195" i="3"/>
  <c r="B196" i="3"/>
  <c r="B197" i="3"/>
  <c r="B198" i="3"/>
  <c r="B199" i="3"/>
  <c r="B200" i="3"/>
  <c r="B201" i="3"/>
  <c r="B202" i="3"/>
  <c r="B203" i="3"/>
  <c r="B204" i="3"/>
  <c r="B205" i="3"/>
  <c r="B206" i="3"/>
  <c r="B207" i="3"/>
  <c r="B208" i="3"/>
  <c r="B209" i="3"/>
  <c r="B210" i="3"/>
  <c r="B211" i="3"/>
  <c r="B212" i="3"/>
  <c r="B213" i="3"/>
  <c r="B214" i="3"/>
  <c r="B215" i="3"/>
  <c r="B216" i="3"/>
  <c r="B217" i="3"/>
  <c r="B218" i="3"/>
  <c r="B219" i="3"/>
  <c r="B220" i="3"/>
  <c r="B221" i="3"/>
  <c r="B222" i="3"/>
  <c r="B223" i="3"/>
  <c r="B224" i="3"/>
  <c r="B225" i="3"/>
  <c r="B226" i="3"/>
  <c r="B227" i="3"/>
  <c r="B228" i="3"/>
  <c r="B229" i="3"/>
  <c r="B230" i="3"/>
  <c r="B231" i="3"/>
  <c r="B232" i="3"/>
  <c r="B233" i="3"/>
  <c r="B234" i="3"/>
  <c r="B235" i="3"/>
  <c r="B236" i="3"/>
  <c r="B237" i="3"/>
  <c r="B238" i="3"/>
  <c r="B239" i="3"/>
  <c r="B240" i="3"/>
  <c r="B241" i="3"/>
  <c r="B242" i="3"/>
  <c r="B243" i="3"/>
  <c r="B244" i="3"/>
  <c r="B245" i="3"/>
  <c r="B246" i="3"/>
  <c r="B247" i="3"/>
  <c r="B248" i="3"/>
  <c r="B249" i="3"/>
  <c r="B250" i="3"/>
  <c r="B251" i="3"/>
  <c r="B252" i="3"/>
  <c r="B253" i="3"/>
  <c r="B254" i="3"/>
  <c r="B255" i="3"/>
  <c r="B256" i="3"/>
  <c r="B257" i="3"/>
  <c r="B258" i="3"/>
  <c r="B259" i="3"/>
  <c r="B260" i="3"/>
  <c r="B261" i="3"/>
  <c r="B262" i="3"/>
  <c r="B263" i="3"/>
  <c r="B264" i="3"/>
  <c r="B265" i="3"/>
  <c r="B266" i="3"/>
  <c r="B267" i="3"/>
  <c r="B268" i="3"/>
  <c r="B269" i="3"/>
  <c r="B270" i="3"/>
  <c r="B271" i="3"/>
  <c r="B272" i="3"/>
  <c r="B273" i="3"/>
  <c r="B274" i="3"/>
  <c r="B275" i="3"/>
  <c r="B276" i="3"/>
  <c r="B277" i="3"/>
  <c r="B278" i="3"/>
  <c r="B279" i="3"/>
  <c r="B280" i="3"/>
  <c r="B281" i="3"/>
  <c r="B282" i="3"/>
  <c r="B283" i="3"/>
  <c r="B284" i="3"/>
  <c r="B285" i="3"/>
  <c r="B286" i="3"/>
  <c r="B287" i="3"/>
  <c r="B288" i="3"/>
  <c r="B289" i="3"/>
  <c r="B290" i="3"/>
  <c r="B291" i="3"/>
  <c r="B292" i="3"/>
  <c r="B293" i="3"/>
  <c r="B294" i="3"/>
  <c r="B295" i="3"/>
  <c r="B296" i="3"/>
  <c r="B297" i="3"/>
  <c r="B298" i="3"/>
  <c r="B299" i="3"/>
  <c r="B300" i="3"/>
  <c r="B301" i="3"/>
  <c r="B302" i="3"/>
  <c r="B303" i="3"/>
  <c r="B304" i="3"/>
  <c r="B305" i="3"/>
  <c r="B306" i="3"/>
  <c r="B307" i="3"/>
  <c r="B308" i="3"/>
  <c r="B309" i="3"/>
  <c r="B310" i="3"/>
  <c r="B311" i="3"/>
  <c r="B312" i="3"/>
  <c r="B313" i="3"/>
  <c r="B314" i="3"/>
  <c r="B315" i="3"/>
  <c r="B316" i="3"/>
  <c r="B317" i="3"/>
  <c r="B318" i="3"/>
  <c r="B319" i="3"/>
  <c r="B320" i="3"/>
  <c r="B321" i="3"/>
  <c r="B322" i="3"/>
  <c r="B323" i="3"/>
  <c r="B324" i="3"/>
  <c r="B325" i="3"/>
  <c r="B326" i="3"/>
  <c r="B327" i="3"/>
  <c r="B328" i="3"/>
  <c r="B329" i="3"/>
  <c r="B330" i="3"/>
  <c r="B331" i="3"/>
  <c r="B332" i="3"/>
  <c r="B333" i="3"/>
  <c r="B334" i="3"/>
  <c r="B335" i="3"/>
  <c r="B336" i="3"/>
  <c r="B337" i="3"/>
  <c r="B338" i="3"/>
  <c r="B339" i="3"/>
  <c r="B340" i="3"/>
  <c r="B341" i="3"/>
  <c r="B342" i="3"/>
  <c r="B343" i="3"/>
  <c r="B344" i="3"/>
  <c r="B345" i="3"/>
  <c r="B346" i="3"/>
  <c r="B347" i="3"/>
  <c r="B348" i="3"/>
  <c r="B349" i="3"/>
  <c r="B350" i="3"/>
  <c r="B351" i="3"/>
  <c r="B352" i="3"/>
  <c r="B353" i="3"/>
  <c r="B354" i="3"/>
  <c r="B355" i="3"/>
  <c r="B356" i="3"/>
  <c r="B357" i="3"/>
  <c r="B358" i="3"/>
  <c r="B359" i="3"/>
  <c r="B360" i="3"/>
  <c r="B361" i="3"/>
  <c r="B362" i="3"/>
  <c r="B363" i="3"/>
  <c r="B364" i="3"/>
  <c r="B365" i="3"/>
  <c r="B366" i="3"/>
  <c r="B367" i="3"/>
  <c r="B368" i="3"/>
  <c r="B369" i="3"/>
  <c r="B370" i="3"/>
  <c r="B371" i="3"/>
  <c r="B372" i="3"/>
  <c r="B373" i="3"/>
  <c r="B374" i="3"/>
  <c r="B375" i="3"/>
  <c r="B376" i="3"/>
  <c r="B377" i="3"/>
  <c r="B378" i="3"/>
  <c r="B379" i="3"/>
  <c r="B380" i="3"/>
  <c r="B381" i="3"/>
  <c r="B382" i="3"/>
  <c r="B383" i="3"/>
  <c r="B384" i="3"/>
  <c r="B385" i="3"/>
  <c r="B386" i="3"/>
  <c r="B387" i="3"/>
  <c r="B388" i="3"/>
  <c r="B389" i="3"/>
  <c r="B390" i="3"/>
  <c r="B391" i="3"/>
  <c r="B392" i="3"/>
  <c r="B393" i="3"/>
  <c r="B394" i="3"/>
  <c r="B395" i="3"/>
  <c r="B396" i="3"/>
  <c r="B397" i="3"/>
  <c r="B398" i="3"/>
  <c r="B399" i="3"/>
  <c r="B400" i="3"/>
  <c r="B401" i="3"/>
  <c r="B402" i="3"/>
  <c r="B403" i="3"/>
  <c r="B404" i="3"/>
  <c r="B405" i="3"/>
  <c r="B406" i="3"/>
  <c r="B407" i="3"/>
  <c r="B408" i="3"/>
  <c r="B409" i="3"/>
  <c r="B410" i="3"/>
  <c r="B411" i="3"/>
  <c r="B412" i="3"/>
  <c r="B413" i="3"/>
  <c r="B414" i="3"/>
  <c r="B415" i="3"/>
  <c r="B416" i="3"/>
  <c r="B417" i="3"/>
  <c r="B418" i="3"/>
  <c r="B419" i="3"/>
  <c r="B420" i="3"/>
  <c r="B421" i="3"/>
  <c r="B422" i="3"/>
  <c r="B423" i="3"/>
  <c r="B424" i="3"/>
  <c r="B425" i="3"/>
  <c r="B426" i="3"/>
  <c r="B427" i="3"/>
  <c r="B428" i="3"/>
  <c r="B429" i="3"/>
  <c r="B430" i="3"/>
  <c r="B431" i="3"/>
  <c r="B432" i="3"/>
  <c r="B433" i="3"/>
  <c r="B434" i="3"/>
  <c r="B435" i="3"/>
  <c r="B436" i="3"/>
  <c r="B437" i="3"/>
  <c r="B438" i="3"/>
  <c r="B439" i="3"/>
  <c r="B440" i="3"/>
  <c r="B441" i="3"/>
  <c r="B442" i="3"/>
  <c r="B443" i="3"/>
  <c r="B444" i="3"/>
  <c r="B445" i="3"/>
  <c r="B446" i="3"/>
  <c r="B447" i="3"/>
  <c r="B448" i="3"/>
  <c r="B449" i="3"/>
  <c r="B450" i="3"/>
  <c r="B451" i="3"/>
  <c r="B452" i="3"/>
  <c r="B453" i="3"/>
  <c r="B454" i="3"/>
  <c r="B455" i="3"/>
  <c r="B456" i="3"/>
  <c r="B457" i="3"/>
  <c r="B458" i="3"/>
  <c r="B459" i="3"/>
  <c r="B460" i="3"/>
  <c r="B461" i="3"/>
  <c r="B462" i="3"/>
  <c r="B463" i="3"/>
  <c r="B464" i="3"/>
  <c r="B465" i="3"/>
  <c r="B466" i="3"/>
  <c r="B467" i="3"/>
  <c r="B468" i="3"/>
  <c r="B469" i="3"/>
  <c r="B470" i="3"/>
  <c r="B471" i="3"/>
  <c r="B472" i="3"/>
  <c r="B473" i="3"/>
  <c r="B474" i="3"/>
  <c r="B475" i="3"/>
  <c r="B476" i="3"/>
  <c r="B477" i="3"/>
  <c r="B478" i="3"/>
  <c r="B479" i="3"/>
  <c r="B480" i="3"/>
  <c r="B481" i="3"/>
  <c r="B482" i="3"/>
  <c r="B483" i="3"/>
  <c r="B484" i="3"/>
  <c r="B485" i="3"/>
  <c r="B486" i="3"/>
  <c r="B487" i="3"/>
  <c r="B488" i="3"/>
  <c r="B489" i="3"/>
  <c r="B490" i="3"/>
  <c r="B491" i="3"/>
  <c r="B492" i="3"/>
  <c r="B493" i="3"/>
  <c r="B494" i="3"/>
  <c r="B495" i="3"/>
  <c r="B496" i="3"/>
  <c r="B497" i="3"/>
  <c r="B498" i="3"/>
  <c r="B499" i="3"/>
  <c r="B500" i="3"/>
  <c r="B501" i="3"/>
  <c r="B502" i="3"/>
  <c r="B503" i="3"/>
  <c r="B504" i="3"/>
  <c r="B505" i="3"/>
  <c r="B506" i="3"/>
  <c r="B507" i="3"/>
  <c r="B508" i="3"/>
  <c r="B509" i="3"/>
  <c r="B510" i="3"/>
  <c r="B511" i="3"/>
  <c r="B512" i="3"/>
  <c r="B513" i="3"/>
  <c r="B514" i="3"/>
  <c r="B515" i="3"/>
  <c r="B516" i="3"/>
  <c r="B517" i="3"/>
  <c r="B518" i="3"/>
  <c r="B519" i="3"/>
  <c r="B520" i="3"/>
  <c r="B521" i="3"/>
  <c r="B522" i="3"/>
  <c r="B523" i="3"/>
  <c r="B524" i="3"/>
  <c r="B525" i="3"/>
  <c r="B526" i="3"/>
  <c r="B527" i="3"/>
  <c r="B528" i="3"/>
  <c r="B529" i="3"/>
  <c r="B530" i="3"/>
  <c r="B531" i="3"/>
  <c r="B532" i="3"/>
  <c r="B533" i="3"/>
  <c r="B534" i="3"/>
  <c r="B535" i="3"/>
  <c r="B536" i="3"/>
  <c r="B537" i="3"/>
  <c r="B538" i="3"/>
  <c r="B539" i="3"/>
  <c r="B540" i="3"/>
  <c r="B541" i="3"/>
  <c r="B542" i="3"/>
  <c r="B543" i="3"/>
  <c r="B544" i="3"/>
  <c r="B545" i="3"/>
  <c r="B546" i="3"/>
  <c r="B547" i="3"/>
  <c r="B548" i="3"/>
  <c r="B549" i="3"/>
  <c r="B550" i="3"/>
  <c r="B551" i="3"/>
  <c r="B552" i="3"/>
  <c r="B553" i="3"/>
  <c r="B554" i="3"/>
  <c r="B555" i="3"/>
  <c r="B556" i="3"/>
  <c r="B557" i="3"/>
  <c r="B558" i="3"/>
  <c r="B559" i="3"/>
  <c r="B560" i="3"/>
  <c r="B561" i="3"/>
  <c r="B562" i="3"/>
  <c r="B563" i="3"/>
  <c r="B564" i="3"/>
  <c r="B565" i="3"/>
  <c r="B566" i="3"/>
  <c r="B567" i="3"/>
  <c r="B568" i="3"/>
  <c r="B569" i="3"/>
  <c r="B570" i="3"/>
  <c r="B571" i="3"/>
  <c r="B572" i="3"/>
  <c r="B573" i="3"/>
  <c r="B574" i="3"/>
  <c r="B575" i="3"/>
  <c r="B576" i="3"/>
  <c r="B577" i="3"/>
  <c r="B578" i="3"/>
  <c r="B579" i="3"/>
  <c r="B580" i="3"/>
  <c r="B581" i="3"/>
  <c r="B582" i="3"/>
  <c r="B583" i="3"/>
  <c r="B584" i="3"/>
  <c r="B585" i="3"/>
  <c r="B586" i="3"/>
  <c r="B587" i="3"/>
  <c r="B588" i="3"/>
  <c r="B589" i="3"/>
  <c r="B590" i="3"/>
  <c r="B591" i="3"/>
  <c r="B592" i="3"/>
  <c r="B593" i="3"/>
  <c r="B594" i="3"/>
  <c r="B595" i="3"/>
  <c r="B596" i="3"/>
  <c r="B597" i="3"/>
  <c r="B598" i="3"/>
  <c r="B599" i="3"/>
  <c r="B600" i="3"/>
  <c r="B601" i="3"/>
  <c r="B602" i="3"/>
  <c r="B603" i="3"/>
  <c r="B604" i="3"/>
  <c r="B605" i="3"/>
  <c r="B606" i="3"/>
  <c r="B607" i="3"/>
  <c r="B608" i="3"/>
  <c r="B609" i="3"/>
  <c r="B610" i="3"/>
  <c r="B611" i="3"/>
  <c r="B612" i="3"/>
  <c r="B613" i="3"/>
  <c r="B614" i="3"/>
  <c r="B615" i="3"/>
  <c r="B616" i="3"/>
  <c r="B617" i="3"/>
  <c r="B618" i="3"/>
  <c r="B619" i="3"/>
  <c r="B620" i="3"/>
  <c r="B621" i="3"/>
  <c r="B622" i="3"/>
  <c r="B623" i="3"/>
  <c r="B624" i="3"/>
  <c r="B625" i="3"/>
  <c r="B626" i="3"/>
  <c r="B627" i="3"/>
  <c r="B628" i="3"/>
  <c r="B629" i="3"/>
  <c r="B630" i="3"/>
  <c r="B631" i="3"/>
  <c r="B632" i="3"/>
  <c r="B633" i="3"/>
  <c r="B634" i="3"/>
  <c r="B635" i="3"/>
  <c r="B636" i="3"/>
  <c r="B637" i="3"/>
  <c r="B638" i="3"/>
  <c r="B639" i="3"/>
  <c r="B640" i="3"/>
  <c r="B641" i="3"/>
  <c r="B642" i="3"/>
  <c r="B643" i="3"/>
  <c r="B644" i="3"/>
  <c r="B645" i="3"/>
  <c r="B646" i="3"/>
  <c r="B647" i="3"/>
  <c r="B648" i="3"/>
  <c r="B649" i="3"/>
  <c r="B650" i="3"/>
  <c r="B651" i="3"/>
  <c r="B652" i="3"/>
  <c r="B653" i="3"/>
  <c r="B654" i="3"/>
  <c r="B655" i="3"/>
  <c r="B656" i="3"/>
  <c r="B657" i="3"/>
  <c r="B658" i="3"/>
  <c r="B659" i="3"/>
  <c r="B660" i="3"/>
  <c r="B661" i="3"/>
  <c r="B662" i="3"/>
  <c r="B663" i="3"/>
  <c r="B664" i="3"/>
  <c r="B665" i="3"/>
  <c r="B666" i="3"/>
  <c r="B667" i="3"/>
  <c r="B668" i="3"/>
  <c r="B669" i="3"/>
  <c r="B670" i="3"/>
  <c r="B671" i="3"/>
  <c r="B672" i="3"/>
  <c r="B673" i="3"/>
  <c r="B674" i="3"/>
  <c r="B675" i="3"/>
  <c r="B676" i="3"/>
  <c r="B677" i="3"/>
  <c r="B678" i="3"/>
  <c r="B679" i="3"/>
  <c r="B680" i="3"/>
  <c r="B681" i="3"/>
  <c r="B682" i="3"/>
  <c r="B683" i="3"/>
  <c r="B684" i="3"/>
  <c r="B685" i="3"/>
  <c r="B686" i="3"/>
  <c r="B687" i="3"/>
  <c r="B688" i="3"/>
  <c r="B689" i="3"/>
  <c r="B690" i="3"/>
  <c r="B691" i="3"/>
  <c r="B692" i="3"/>
  <c r="B693" i="3"/>
  <c r="B694" i="3"/>
  <c r="B695" i="3"/>
  <c r="B696" i="3"/>
  <c r="B697" i="3"/>
  <c r="B698" i="3"/>
  <c r="B699" i="3"/>
  <c r="B700" i="3"/>
  <c r="B701" i="3"/>
  <c r="B702" i="3"/>
  <c r="B703" i="3"/>
  <c r="B704" i="3"/>
  <c r="B705" i="3"/>
  <c r="B706" i="3"/>
  <c r="B707" i="3"/>
  <c r="B708" i="3"/>
  <c r="B709" i="3"/>
  <c r="B710" i="3"/>
  <c r="B711" i="3"/>
  <c r="B712" i="3"/>
  <c r="B713" i="3"/>
  <c r="B714" i="3"/>
  <c r="B715" i="3"/>
  <c r="B716" i="3"/>
  <c r="B717" i="3"/>
  <c r="B718" i="3"/>
  <c r="B719" i="3"/>
  <c r="B720" i="3"/>
  <c r="B721" i="3"/>
  <c r="B722" i="3"/>
  <c r="B723" i="3"/>
  <c r="B724" i="3"/>
  <c r="B725" i="3"/>
  <c r="B726" i="3"/>
  <c r="B727" i="3"/>
  <c r="B728" i="3"/>
  <c r="B729" i="3"/>
  <c r="B730" i="3"/>
  <c r="B731" i="3"/>
  <c r="B732" i="3"/>
  <c r="B733" i="3"/>
  <c r="B734" i="3"/>
  <c r="B735" i="3"/>
  <c r="B736" i="3"/>
  <c r="B737" i="3"/>
  <c r="B738" i="3"/>
  <c r="B739" i="3"/>
  <c r="B740" i="3"/>
  <c r="B741" i="3"/>
  <c r="B742" i="3"/>
  <c r="B743" i="3"/>
  <c r="B744" i="3"/>
  <c r="B745" i="3"/>
  <c r="B746" i="3"/>
  <c r="B747" i="3"/>
  <c r="B748" i="3"/>
  <c r="B749" i="3"/>
  <c r="B750" i="3"/>
  <c r="B751" i="3"/>
  <c r="B752" i="3"/>
  <c r="B753" i="3"/>
  <c r="B754" i="3"/>
  <c r="B755" i="3"/>
  <c r="B756" i="3"/>
  <c r="B757" i="3"/>
  <c r="B758" i="3"/>
  <c r="B759" i="3"/>
  <c r="B760" i="3"/>
  <c r="B761" i="3"/>
  <c r="B762" i="3"/>
  <c r="B763" i="3"/>
  <c r="B764" i="3"/>
  <c r="B765" i="3"/>
  <c r="B766" i="3"/>
  <c r="B767" i="3"/>
  <c r="B768" i="3"/>
  <c r="B769" i="3"/>
  <c r="B770" i="3"/>
  <c r="B771" i="3"/>
  <c r="B772" i="3"/>
  <c r="B773" i="3"/>
  <c r="B774" i="3"/>
  <c r="B775" i="3"/>
  <c r="B776" i="3"/>
  <c r="B777" i="3"/>
  <c r="B778" i="3"/>
  <c r="B779" i="3"/>
  <c r="B780" i="3"/>
  <c r="B781" i="3"/>
  <c r="B782" i="3"/>
  <c r="B783" i="3"/>
  <c r="B784" i="3"/>
  <c r="B785" i="3"/>
  <c r="B786" i="3"/>
  <c r="B787" i="3"/>
  <c r="B788" i="3"/>
  <c r="B789" i="3"/>
  <c r="B790" i="3"/>
  <c r="B791" i="3"/>
  <c r="B792" i="3"/>
  <c r="B793" i="3"/>
  <c r="B794" i="3"/>
  <c r="B795" i="3"/>
  <c r="B796" i="3"/>
  <c r="B797" i="3"/>
  <c r="B798" i="3"/>
  <c r="B799" i="3"/>
  <c r="B800" i="3"/>
  <c r="B801" i="3"/>
  <c r="B802" i="3"/>
  <c r="B803" i="3"/>
  <c r="B804" i="3"/>
  <c r="B805" i="3"/>
  <c r="B806" i="3"/>
  <c r="B807" i="3"/>
  <c r="B808" i="3"/>
  <c r="B809" i="3"/>
  <c r="B810" i="3"/>
  <c r="B811" i="3"/>
  <c r="B812" i="3"/>
  <c r="B813" i="3"/>
  <c r="B814" i="3"/>
  <c r="B815" i="3"/>
  <c r="B816" i="3"/>
  <c r="B817" i="3"/>
  <c r="B818" i="3"/>
  <c r="B819" i="3"/>
  <c r="B820" i="3"/>
  <c r="B821" i="3"/>
  <c r="B822" i="3"/>
  <c r="B823" i="3"/>
  <c r="B824" i="3"/>
  <c r="B825" i="3"/>
  <c r="B826" i="3"/>
  <c r="B827" i="3"/>
  <c r="B828" i="3"/>
  <c r="B829" i="3"/>
  <c r="B830" i="3"/>
  <c r="B831" i="3"/>
  <c r="B832" i="3"/>
  <c r="B833" i="3"/>
  <c r="B834" i="3"/>
  <c r="B835" i="3"/>
  <c r="B836" i="3"/>
  <c r="B837" i="3"/>
  <c r="B838" i="3"/>
  <c r="B839" i="3"/>
  <c r="B840" i="3"/>
  <c r="B841" i="3"/>
  <c r="B842" i="3"/>
  <c r="B843" i="3"/>
  <c r="B844" i="3"/>
  <c r="B845" i="3"/>
  <c r="B846" i="3"/>
  <c r="B847" i="3"/>
  <c r="B848" i="3"/>
  <c r="B849" i="3"/>
  <c r="B850" i="3"/>
  <c r="B851" i="3"/>
  <c r="B852" i="3"/>
  <c r="B853" i="3"/>
  <c r="B854" i="3"/>
  <c r="B855" i="3"/>
  <c r="B856" i="3"/>
  <c r="B857" i="3"/>
  <c r="B858" i="3"/>
  <c r="B859" i="3"/>
  <c r="B860" i="3"/>
  <c r="B861" i="3"/>
  <c r="B862" i="3"/>
  <c r="B863" i="3"/>
  <c r="B864" i="3"/>
  <c r="B865" i="3"/>
  <c r="B866" i="3"/>
  <c r="B867" i="3"/>
  <c r="B868" i="3"/>
  <c r="B869" i="3"/>
  <c r="B870" i="3"/>
  <c r="B871" i="3"/>
  <c r="B872" i="3"/>
  <c r="B873" i="3"/>
  <c r="B874" i="3"/>
  <c r="B875" i="3"/>
  <c r="B876" i="3"/>
  <c r="B877" i="3"/>
  <c r="B878" i="3"/>
  <c r="B879" i="3"/>
  <c r="B880" i="3"/>
  <c r="B881" i="3"/>
  <c r="B882" i="3"/>
  <c r="B883" i="3"/>
  <c r="B884" i="3"/>
  <c r="B885" i="3"/>
  <c r="B886" i="3"/>
  <c r="B887" i="3"/>
  <c r="B888" i="3"/>
  <c r="B889" i="3"/>
  <c r="B890" i="3"/>
  <c r="B891" i="3"/>
  <c r="B892" i="3"/>
  <c r="B893" i="3"/>
  <c r="B894" i="3"/>
  <c r="B895" i="3"/>
  <c r="B896" i="3"/>
  <c r="B897" i="3"/>
  <c r="B898" i="3"/>
  <c r="B899" i="3"/>
  <c r="B900" i="3"/>
  <c r="B901" i="3"/>
  <c r="B902" i="3"/>
  <c r="B903" i="3"/>
  <c r="B904" i="3"/>
  <c r="B905" i="3"/>
  <c r="B906" i="3"/>
  <c r="B907" i="3"/>
  <c r="B908" i="3"/>
  <c r="B909" i="3"/>
  <c r="B910" i="3"/>
  <c r="B911" i="3"/>
  <c r="B912" i="3"/>
  <c r="B913" i="3"/>
  <c r="B914" i="3"/>
  <c r="B915" i="3"/>
  <c r="B916" i="3"/>
  <c r="B917" i="3"/>
  <c r="B918" i="3"/>
  <c r="B919" i="3"/>
  <c r="B920" i="3"/>
  <c r="B921" i="3"/>
  <c r="B922" i="3"/>
  <c r="B923" i="3"/>
  <c r="B924" i="3"/>
  <c r="B925" i="3"/>
  <c r="B926" i="3"/>
  <c r="B927" i="3"/>
  <c r="B928" i="3"/>
  <c r="B929" i="3"/>
  <c r="B930" i="3"/>
  <c r="B931" i="3"/>
  <c r="B932" i="3"/>
  <c r="B933" i="3"/>
  <c r="B934" i="3"/>
  <c r="B935" i="3"/>
  <c r="B936" i="3"/>
  <c r="B937" i="3"/>
  <c r="B938" i="3"/>
  <c r="B939" i="3"/>
  <c r="B940" i="3"/>
  <c r="B941" i="3"/>
  <c r="B942" i="3"/>
  <c r="B943" i="3"/>
  <c r="B944" i="3"/>
  <c r="B945" i="3"/>
  <c r="B946" i="3"/>
  <c r="B947" i="3"/>
  <c r="B948" i="3"/>
  <c r="B949" i="3"/>
  <c r="B950" i="3"/>
  <c r="B951" i="3"/>
  <c r="B952" i="3"/>
  <c r="B953" i="3"/>
  <c r="B954" i="3"/>
  <c r="B955" i="3"/>
  <c r="B956" i="3"/>
  <c r="B957" i="3"/>
  <c r="B958" i="3"/>
  <c r="B959" i="3"/>
  <c r="B960" i="3"/>
  <c r="B961" i="3"/>
  <c r="B962" i="3"/>
  <c r="B963" i="3"/>
  <c r="B964" i="3"/>
  <c r="B965" i="3"/>
  <c r="B966" i="3"/>
  <c r="B967" i="3"/>
  <c r="B968" i="3"/>
  <c r="B969" i="3"/>
  <c r="B970" i="3"/>
  <c r="B971" i="3"/>
  <c r="B972" i="3"/>
  <c r="B973" i="3"/>
  <c r="B974" i="3"/>
  <c r="B975" i="3"/>
  <c r="B976" i="3"/>
  <c r="B977" i="3"/>
  <c r="B978" i="3"/>
  <c r="B979" i="3"/>
  <c r="B980" i="3"/>
  <c r="B981" i="3"/>
  <c r="B982" i="3"/>
  <c r="B983" i="3"/>
  <c r="B984" i="3"/>
  <c r="B985" i="3"/>
  <c r="B986" i="3"/>
  <c r="B987" i="3"/>
  <c r="B988" i="3"/>
  <c r="B989" i="3"/>
  <c r="B990" i="3"/>
  <c r="B991" i="3"/>
  <c r="B992" i="3"/>
  <c r="B993" i="3"/>
  <c r="B994" i="3"/>
  <c r="B995" i="3"/>
  <c r="B996" i="3"/>
  <c r="B997" i="3"/>
  <c r="B998" i="3"/>
  <c r="B999" i="3"/>
  <c r="B1000" i="3"/>
  <c r="B1001" i="3"/>
  <c r="B1002" i="3"/>
  <c r="B1003" i="3"/>
  <c r="B1004" i="3"/>
  <c r="B1005" i="3"/>
  <c r="B1006" i="3"/>
  <c r="B1007" i="3"/>
  <c r="B1008" i="3"/>
  <c r="B1009" i="3"/>
  <c r="B1010" i="3"/>
  <c r="B1011" i="3"/>
  <c r="B1012" i="3"/>
  <c r="B1013" i="3"/>
  <c r="B1014" i="3"/>
  <c r="B1015" i="3"/>
  <c r="B1016" i="3"/>
  <c r="B1017" i="3"/>
  <c r="B1018" i="3"/>
  <c r="B1019" i="3"/>
  <c r="B1020" i="3"/>
  <c r="B1021" i="3"/>
  <c r="B1022" i="3"/>
  <c r="B1023" i="3"/>
  <c r="B1024" i="3"/>
  <c r="B1025" i="3"/>
  <c r="B1026" i="3"/>
  <c r="B1027" i="3"/>
  <c r="B1028" i="3"/>
  <c r="B1029" i="3"/>
  <c r="B1030" i="3"/>
  <c r="B1031" i="3"/>
  <c r="B1032" i="3"/>
  <c r="B1033" i="3"/>
  <c r="B1034" i="3"/>
  <c r="B1035" i="3"/>
  <c r="B1036" i="3"/>
  <c r="B1037" i="3"/>
  <c r="B1038" i="3"/>
  <c r="B1039" i="3"/>
  <c r="B1040" i="3"/>
  <c r="B1041" i="3"/>
  <c r="B1042" i="3"/>
  <c r="B1043" i="3"/>
  <c r="B1044" i="3"/>
  <c r="B1045" i="3"/>
  <c r="B1046" i="3"/>
  <c r="B1047" i="3"/>
  <c r="B1048" i="3"/>
  <c r="B1049" i="3"/>
  <c r="B1050" i="3"/>
  <c r="B1051" i="3"/>
  <c r="B1052" i="3"/>
  <c r="B1053" i="3"/>
  <c r="B1054" i="3"/>
  <c r="B1055" i="3"/>
  <c r="B1056" i="3"/>
  <c r="B1057" i="3"/>
  <c r="B1058" i="3"/>
  <c r="B1059" i="3"/>
  <c r="B1060" i="3"/>
  <c r="B1061" i="3"/>
  <c r="B1062" i="3"/>
  <c r="B1063" i="3"/>
  <c r="B1064" i="3"/>
  <c r="B1065" i="3"/>
  <c r="B1066" i="3"/>
  <c r="B1067" i="3"/>
  <c r="B1068" i="3"/>
  <c r="B1069" i="3"/>
  <c r="B1070" i="3"/>
  <c r="B1071" i="3"/>
  <c r="B1072" i="3"/>
  <c r="B1073" i="3"/>
  <c r="B1074" i="3"/>
  <c r="B1075" i="3"/>
  <c r="B1076" i="3"/>
  <c r="B1077" i="3"/>
  <c r="B1078" i="3"/>
  <c r="B1079" i="3"/>
  <c r="B1080" i="3"/>
  <c r="B1081" i="3"/>
  <c r="B1082" i="3"/>
  <c r="B1083" i="3"/>
  <c r="B1084" i="3"/>
  <c r="B1085" i="3"/>
  <c r="B1086" i="3"/>
  <c r="B1087" i="3"/>
  <c r="B1088" i="3"/>
  <c r="B1089" i="3"/>
  <c r="B1090" i="3"/>
  <c r="B1091" i="3"/>
  <c r="B1092" i="3"/>
  <c r="B1093" i="3"/>
  <c r="B1094" i="3"/>
  <c r="B1095" i="3"/>
  <c r="B1096" i="3"/>
  <c r="B1097" i="3"/>
  <c r="B1098" i="3"/>
  <c r="B1099" i="3"/>
  <c r="B1100" i="3"/>
  <c r="B1101" i="3"/>
  <c r="B1102" i="3"/>
  <c r="B1103" i="3"/>
  <c r="B1104" i="3"/>
  <c r="B1105" i="3"/>
  <c r="B1106" i="3"/>
  <c r="B1107" i="3"/>
  <c r="B1108" i="3"/>
  <c r="B1109" i="3"/>
  <c r="B1110" i="3"/>
  <c r="B1111" i="3"/>
  <c r="B1112" i="3"/>
  <c r="B1113" i="3"/>
  <c r="B1114" i="3"/>
  <c r="B1115" i="3"/>
  <c r="B1116" i="3"/>
  <c r="B1117" i="3"/>
  <c r="B1118" i="3"/>
  <c r="B1119" i="3"/>
  <c r="B1120" i="3"/>
  <c r="B1121" i="3"/>
  <c r="B1122" i="3"/>
  <c r="B1123" i="3"/>
  <c r="B1124" i="3"/>
  <c r="B1125" i="3"/>
  <c r="B1126" i="3"/>
  <c r="B1127" i="3"/>
  <c r="B1128" i="3"/>
  <c r="B1129" i="3"/>
  <c r="B1130" i="3"/>
  <c r="B1131" i="3"/>
  <c r="B1132" i="3"/>
  <c r="B1133" i="3"/>
  <c r="B1134" i="3"/>
  <c r="B1135" i="3"/>
  <c r="B1136" i="3"/>
  <c r="B1137" i="3"/>
  <c r="B1138" i="3"/>
  <c r="B1139" i="3"/>
  <c r="B1140" i="3"/>
  <c r="B1141" i="3"/>
  <c r="B1142" i="3"/>
  <c r="B1143" i="3"/>
  <c r="B1144" i="3"/>
  <c r="B1145" i="3"/>
  <c r="B1146" i="3"/>
  <c r="B1147" i="3"/>
  <c r="B1148" i="3"/>
  <c r="B1149" i="3"/>
  <c r="B1150" i="3"/>
  <c r="B1151" i="3"/>
  <c r="B1152" i="3"/>
  <c r="B1153" i="3"/>
  <c r="B1154" i="3"/>
  <c r="B1155" i="3"/>
  <c r="B1156" i="3"/>
  <c r="B1157" i="3"/>
  <c r="B1158" i="3"/>
  <c r="B1159" i="3"/>
  <c r="B1160" i="3"/>
  <c r="B1161" i="3"/>
  <c r="B1162" i="3"/>
  <c r="B1163" i="3"/>
  <c r="B1164" i="3"/>
  <c r="B1165" i="3"/>
  <c r="B1166" i="3"/>
  <c r="B1167" i="3"/>
  <c r="B1168" i="3"/>
  <c r="B1169" i="3"/>
  <c r="B1170" i="3"/>
  <c r="B1171" i="3"/>
  <c r="B1172" i="3"/>
  <c r="B1173" i="3"/>
  <c r="B1174" i="3"/>
  <c r="B1175" i="3"/>
  <c r="B1176" i="3"/>
  <c r="B1177" i="3"/>
  <c r="B1178" i="3"/>
  <c r="B1179" i="3"/>
  <c r="B1180" i="3"/>
  <c r="B1181" i="3"/>
  <c r="B1182" i="3"/>
  <c r="B1183" i="3"/>
  <c r="B1184" i="3"/>
  <c r="B1185" i="3"/>
  <c r="B1186" i="3"/>
  <c r="B1187" i="3"/>
  <c r="B1188" i="3"/>
  <c r="B1189" i="3"/>
  <c r="B1190" i="3"/>
  <c r="B1191" i="3"/>
  <c r="B1192" i="3"/>
  <c r="B1193" i="3"/>
  <c r="B1194" i="3"/>
  <c r="B1195" i="3"/>
  <c r="B1196" i="3"/>
  <c r="B1197" i="3"/>
  <c r="B1198" i="3"/>
  <c r="B1199" i="3"/>
  <c r="B1200" i="3"/>
  <c r="B1201" i="3"/>
  <c r="B1202" i="3"/>
  <c r="B1203" i="3"/>
  <c r="B1204" i="3"/>
  <c r="B1205" i="3"/>
  <c r="B1206" i="3"/>
  <c r="B1207" i="3"/>
  <c r="B1208" i="3"/>
  <c r="B1209" i="3"/>
  <c r="B1210" i="3"/>
  <c r="B1211" i="3"/>
  <c r="B1212" i="3"/>
  <c r="B1213" i="3"/>
  <c r="B1214" i="3"/>
  <c r="B1215" i="3"/>
  <c r="B1216" i="3"/>
  <c r="B1217" i="3"/>
  <c r="B1218" i="3"/>
  <c r="B1219" i="3"/>
  <c r="B1220" i="3"/>
  <c r="B1221" i="3"/>
  <c r="B1222" i="3"/>
  <c r="B1223" i="3"/>
  <c r="B1224" i="3"/>
  <c r="B1225" i="3"/>
  <c r="B1226" i="3"/>
  <c r="B1227" i="3"/>
  <c r="B1228" i="3"/>
  <c r="B1229" i="3"/>
  <c r="B1230" i="3"/>
  <c r="B1231" i="3"/>
  <c r="B1232" i="3"/>
  <c r="B1233" i="3"/>
  <c r="B1234" i="3"/>
  <c r="B1235" i="3"/>
  <c r="B1236" i="3"/>
  <c r="B1237" i="3"/>
  <c r="B1238" i="3"/>
  <c r="B1239" i="3"/>
  <c r="B1240" i="3"/>
  <c r="B1241" i="3"/>
  <c r="B1242" i="3"/>
  <c r="B1243" i="3"/>
  <c r="B1244" i="3"/>
  <c r="B1245" i="3"/>
  <c r="B1246" i="3"/>
  <c r="B1247" i="3"/>
  <c r="B1248" i="3"/>
  <c r="B1249" i="3"/>
  <c r="B1250" i="3"/>
  <c r="B1251" i="3"/>
  <c r="B1252" i="3"/>
  <c r="B1253" i="3"/>
  <c r="B1254" i="3"/>
  <c r="B1255" i="3"/>
  <c r="B1256" i="3"/>
  <c r="B1257" i="3"/>
  <c r="B1258" i="3"/>
  <c r="B1259" i="3"/>
  <c r="B1260" i="3"/>
  <c r="B1261" i="3"/>
  <c r="B1262" i="3"/>
  <c r="B1263" i="3"/>
  <c r="B1264" i="3"/>
  <c r="B1265" i="3"/>
  <c r="B1266" i="3"/>
  <c r="B1267" i="3"/>
  <c r="B1268" i="3"/>
  <c r="B1269" i="3"/>
  <c r="B1270" i="3"/>
  <c r="B1271" i="3"/>
  <c r="B1272" i="3"/>
  <c r="B1273" i="3"/>
  <c r="B1274" i="3"/>
  <c r="B1275" i="3"/>
  <c r="B1276" i="3"/>
  <c r="B1277" i="3"/>
  <c r="B1278" i="3"/>
  <c r="B1279" i="3"/>
  <c r="B1280" i="3"/>
  <c r="B1281" i="3"/>
  <c r="B1282" i="3"/>
  <c r="B1283" i="3"/>
  <c r="B1284" i="3"/>
  <c r="B1285" i="3"/>
  <c r="B1286" i="3"/>
  <c r="B1287" i="3"/>
  <c r="B1288" i="3"/>
  <c r="B1289" i="3"/>
  <c r="B1290" i="3"/>
  <c r="B1291" i="3"/>
  <c r="B1292" i="3"/>
  <c r="B1293" i="3"/>
  <c r="B1294" i="3"/>
  <c r="B1295" i="3"/>
  <c r="B1296" i="3"/>
  <c r="B1297" i="3"/>
  <c r="B1298" i="3"/>
  <c r="B1299" i="3"/>
  <c r="B1300" i="3"/>
  <c r="B1301" i="3"/>
  <c r="B1302" i="3"/>
  <c r="B1303" i="3"/>
  <c r="B1304" i="3"/>
  <c r="B1305" i="3"/>
  <c r="B1306" i="3"/>
  <c r="B1307" i="3"/>
  <c r="B1308" i="3"/>
  <c r="B1309" i="3"/>
  <c r="B1310" i="3"/>
  <c r="B1311" i="3"/>
  <c r="B1312" i="3"/>
  <c r="B1313" i="3"/>
  <c r="B1314" i="3"/>
  <c r="B1315" i="3"/>
  <c r="B1316" i="3"/>
  <c r="B1317" i="3"/>
  <c r="B1318" i="3"/>
  <c r="B1319" i="3"/>
  <c r="B1320" i="3"/>
  <c r="B1321" i="3"/>
  <c r="B1322" i="3"/>
  <c r="B1323" i="3"/>
  <c r="B1324" i="3"/>
  <c r="B1325" i="3"/>
  <c r="B1326" i="3"/>
  <c r="B1327" i="3"/>
  <c r="B1328" i="3"/>
  <c r="B1329" i="3"/>
  <c r="B1330" i="3"/>
  <c r="B1331" i="3"/>
  <c r="B1332" i="3"/>
  <c r="B1333" i="3"/>
  <c r="B1334" i="3"/>
  <c r="B1335" i="3"/>
  <c r="B1336" i="3"/>
  <c r="B1337" i="3"/>
  <c r="B1338" i="3"/>
  <c r="B1339" i="3"/>
  <c r="B1340" i="3"/>
  <c r="B1341" i="3"/>
  <c r="B1342" i="3"/>
  <c r="B1343" i="3"/>
  <c r="B1344" i="3"/>
  <c r="B1345" i="3"/>
  <c r="B1346" i="3"/>
  <c r="B1347" i="3"/>
  <c r="B1348" i="3"/>
  <c r="B1349" i="3"/>
  <c r="B1350" i="3"/>
  <c r="B1351" i="3"/>
  <c r="B1352" i="3"/>
  <c r="B1353" i="3"/>
  <c r="B1354" i="3"/>
  <c r="B1355" i="3"/>
  <c r="B1356" i="3"/>
  <c r="B1357" i="3"/>
  <c r="B1358" i="3"/>
  <c r="B1359" i="3"/>
  <c r="B1360" i="3"/>
  <c r="B1361" i="3"/>
  <c r="B1362" i="3"/>
  <c r="B1363" i="3"/>
  <c r="B1364" i="3"/>
  <c r="B1365" i="3"/>
  <c r="B1366" i="3"/>
  <c r="B1367" i="3"/>
  <c r="B1368" i="3"/>
  <c r="B1369" i="3"/>
  <c r="B1370" i="3"/>
  <c r="B1371" i="3"/>
  <c r="B1372" i="3"/>
  <c r="B1373" i="3"/>
  <c r="B1374" i="3"/>
  <c r="B1375" i="3"/>
  <c r="B1376" i="3"/>
  <c r="B1377" i="3"/>
  <c r="B1378" i="3"/>
  <c r="B1379" i="3"/>
  <c r="B1380" i="3"/>
  <c r="B1381" i="3"/>
  <c r="B1382" i="3"/>
  <c r="B1383" i="3"/>
  <c r="B1384" i="3"/>
  <c r="B1385" i="3"/>
  <c r="B1386" i="3"/>
  <c r="B1387" i="3"/>
  <c r="B1388" i="3"/>
  <c r="B1389" i="3"/>
  <c r="B1390" i="3"/>
  <c r="B1391" i="3"/>
  <c r="B1392" i="3"/>
  <c r="B1393" i="3"/>
  <c r="B1394" i="3"/>
  <c r="B1395" i="3"/>
  <c r="B1396" i="3"/>
  <c r="B1397" i="3"/>
  <c r="B1398" i="3"/>
  <c r="B1399" i="3"/>
  <c r="B1400" i="3"/>
  <c r="B1401" i="3"/>
  <c r="B1402" i="3"/>
  <c r="B1403" i="3"/>
  <c r="B1404" i="3"/>
  <c r="B1405" i="3"/>
  <c r="B1406" i="3"/>
  <c r="B1407" i="3"/>
  <c r="B1408" i="3"/>
  <c r="B1409" i="3"/>
  <c r="B1410" i="3"/>
  <c r="B1411" i="3"/>
  <c r="B1412" i="3"/>
  <c r="B1413" i="3"/>
  <c r="B1414" i="3"/>
  <c r="B1415" i="3"/>
  <c r="B1416" i="3"/>
  <c r="B1417" i="3"/>
  <c r="B1418" i="3"/>
  <c r="B1419" i="3"/>
  <c r="B1420" i="3"/>
  <c r="B1421" i="3"/>
  <c r="B1422" i="3"/>
  <c r="B1423" i="3"/>
  <c r="B1424" i="3"/>
  <c r="B1425" i="3"/>
  <c r="B1426" i="3"/>
  <c r="B1427" i="3"/>
  <c r="B1428" i="3"/>
  <c r="B1429" i="3"/>
  <c r="B1430" i="3"/>
  <c r="B1431" i="3"/>
  <c r="B1432" i="3"/>
  <c r="B1433" i="3"/>
  <c r="B1434" i="3"/>
  <c r="B1435" i="3"/>
  <c r="B1436" i="3"/>
  <c r="B1437" i="3"/>
  <c r="B1438" i="3"/>
  <c r="B1439" i="3"/>
  <c r="B1440" i="3"/>
  <c r="B1441" i="3"/>
  <c r="B1442" i="3"/>
  <c r="B1443" i="3"/>
  <c r="B1444" i="3"/>
  <c r="B1445" i="3"/>
  <c r="B1446" i="3"/>
  <c r="B1447" i="3"/>
  <c r="B1448" i="3"/>
  <c r="B1449" i="3"/>
  <c r="B1450" i="3"/>
  <c r="B1451" i="3"/>
  <c r="B1452" i="3"/>
  <c r="B1453" i="3"/>
  <c r="B1454" i="3"/>
  <c r="B1455" i="3"/>
  <c r="B1456" i="3"/>
  <c r="B1457" i="3"/>
  <c r="B1458" i="3"/>
  <c r="B1459" i="3"/>
  <c r="B1460" i="3"/>
  <c r="B1461" i="3"/>
  <c r="B1462" i="3"/>
  <c r="B1463" i="3"/>
  <c r="B1464" i="3"/>
  <c r="B1465" i="3"/>
  <c r="B1466" i="3"/>
  <c r="B1467" i="3"/>
  <c r="B1468" i="3"/>
  <c r="B1469" i="3"/>
  <c r="B1470" i="3"/>
  <c r="B1471" i="3"/>
  <c r="B1472" i="3"/>
  <c r="B1473" i="3"/>
  <c r="B1474" i="3"/>
  <c r="B1475" i="3"/>
  <c r="B1476" i="3"/>
  <c r="B1477" i="3"/>
  <c r="B1478" i="3"/>
  <c r="B1479" i="3"/>
  <c r="B1480" i="3"/>
  <c r="B1481" i="3"/>
  <c r="B1482" i="3"/>
  <c r="B1483" i="3"/>
  <c r="B1484" i="3"/>
  <c r="B1485" i="3"/>
  <c r="B1486" i="3"/>
  <c r="B1487" i="3"/>
  <c r="B1488" i="3"/>
  <c r="B1489" i="3"/>
  <c r="B1490" i="3"/>
  <c r="B1491" i="3"/>
  <c r="B1492" i="3"/>
  <c r="B1493" i="3"/>
  <c r="B1494" i="3"/>
  <c r="B1495" i="3"/>
  <c r="B1496" i="3"/>
  <c r="B1497" i="3"/>
  <c r="B1498" i="3"/>
  <c r="B1499" i="3"/>
  <c r="B1500" i="3"/>
  <c r="B1501" i="3"/>
  <c r="B1502" i="3"/>
  <c r="B1503" i="3"/>
  <c r="B1504" i="3"/>
  <c r="B1505" i="3"/>
  <c r="B1506" i="3"/>
  <c r="B1507" i="3"/>
  <c r="B1508" i="3"/>
  <c r="B1509" i="3"/>
  <c r="B1510" i="3"/>
  <c r="B1511" i="3"/>
  <c r="B1512" i="3"/>
  <c r="B1513" i="3"/>
  <c r="B1514" i="3"/>
  <c r="B1515" i="3"/>
  <c r="B1516" i="3"/>
  <c r="B1517" i="3"/>
  <c r="B1518" i="3"/>
  <c r="B1519" i="3"/>
  <c r="B1520" i="3"/>
  <c r="B1521" i="3"/>
  <c r="B1522" i="3"/>
  <c r="B1523" i="3"/>
  <c r="B1524" i="3"/>
  <c r="B1525" i="3"/>
  <c r="B1526" i="3"/>
  <c r="B1527" i="3"/>
  <c r="B1528" i="3"/>
  <c r="B1529" i="3"/>
  <c r="B1530" i="3"/>
  <c r="B1531" i="3"/>
  <c r="B1532" i="3"/>
  <c r="B1533" i="3"/>
  <c r="B1534" i="3"/>
  <c r="B1535" i="3"/>
  <c r="B1536" i="3"/>
  <c r="B1537" i="3"/>
  <c r="B1538" i="3"/>
  <c r="B1539" i="3"/>
  <c r="B1540" i="3"/>
  <c r="B1541" i="3"/>
  <c r="B1542" i="3"/>
  <c r="B1543" i="3"/>
  <c r="B1544" i="3"/>
  <c r="B1545" i="3"/>
  <c r="B1546" i="3"/>
  <c r="B1547" i="3"/>
  <c r="B1548" i="3"/>
  <c r="B1549" i="3"/>
  <c r="B1550" i="3"/>
  <c r="B1551" i="3"/>
  <c r="B1552" i="3"/>
  <c r="B1553" i="3"/>
  <c r="B1554" i="3"/>
  <c r="B1555" i="3"/>
  <c r="B1556" i="3"/>
  <c r="B1557" i="3"/>
  <c r="B1558" i="3"/>
  <c r="B1559" i="3"/>
  <c r="B1560" i="3"/>
  <c r="B1561" i="3"/>
  <c r="B1562" i="3"/>
  <c r="B1563" i="3"/>
  <c r="B1564" i="3"/>
  <c r="B1565" i="3"/>
  <c r="B1566" i="3"/>
  <c r="B1567" i="3"/>
  <c r="B1568" i="3"/>
  <c r="B1569" i="3"/>
  <c r="B1570" i="3"/>
  <c r="B1571" i="3"/>
  <c r="B1572" i="3"/>
  <c r="B1573" i="3"/>
  <c r="B1574" i="3"/>
  <c r="B1575" i="3"/>
  <c r="B1576" i="3"/>
  <c r="B1577" i="3"/>
  <c r="B1578" i="3"/>
  <c r="B1579" i="3"/>
  <c r="B1580" i="3"/>
  <c r="B1581" i="3"/>
  <c r="B1582" i="3"/>
  <c r="B1583" i="3"/>
  <c r="B1584" i="3"/>
  <c r="B1585" i="3"/>
  <c r="B1586" i="3"/>
  <c r="B1587" i="3"/>
  <c r="B1588" i="3"/>
  <c r="B1589" i="3"/>
  <c r="B1590" i="3"/>
  <c r="B1591" i="3"/>
  <c r="B1592" i="3"/>
  <c r="B1593" i="3"/>
  <c r="B1594" i="3"/>
  <c r="B1595" i="3"/>
  <c r="B1596" i="3"/>
  <c r="B1597" i="3"/>
  <c r="B1598" i="3"/>
  <c r="B1599" i="3"/>
  <c r="B1600" i="3"/>
  <c r="B1601" i="3"/>
  <c r="B1602" i="3"/>
  <c r="B1603" i="3"/>
  <c r="B1604" i="3"/>
  <c r="B1605" i="3"/>
  <c r="B1606" i="3"/>
  <c r="B1607" i="3"/>
  <c r="B1608" i="3"/>
  <c r="B1609" i="3"/>
  <c r="B1610" i="3"/>
  <c r="B1611" i="3"/>
  <c r="B1612" i="3"/>
  <c r="B1613" i="3"/>
  <c r="B1614" i="3"/>
  <c r="B1615" i="3"/>
  <c r="B1616" i="3"/>
  <c r="B1617" i="3"/>
  <c r="B1618" i="3"/>
  <c r="B1619" i="3"/>
  <c r="B1620" i="3"/>
  <c r="B1621" i="3"/>
  <c r="B1622" i="3"/>
  <c r="B1623" i="3"/>
  <c r="B1624" i="3"/>
  <c r="B1625" i="3"/>
  <c r="B1626" i="3"/>
  <c r="B1627" i="3"/>
  <c r="B1628" i="3"/>
  <c r="B1629" i="3"/>
  <c r="B1630" i="3"/>
  <c r="B1631" i="3"/>
  <c r="B1632" i="3"/>
  <c r="B1633" i="3"/>
  <c r="B1634" i="3"/>
  <c r="B1635" i="3"/>
  <c r="B1636" i="3"/>
  <c r="B1637" i="3"/>
  <c r="B1638" i="3"/>
  <c r="B1639" i="3"/>
  <c r="B1640" i="3"/>
  <c r="B1641" i="3"/>
  <c r="B1642" i="3"/>
  <c r="B1643" i="3"/>
  <c r="B1644" i="3"/>
  <c r="B1645" i="3"/>
  <c r="B1646" i="3"/>
  <c r="B1647" i="3"/>
  <c r="B1648" i="3"/>
  <c r="B1649" i="3"/>
  <c r="B1650" i="3"/>
  <c r="B1651" i="3"/>
  <c r="B1652" i="3"/>
  <c r="B1653" i="3"/>
  <c r="B1654" i="3"/>
  <c r="B1655" i="3"/>
  <c r="B1656" i="3"/>
  <c r="B1657" i="3"/>
  <c r="B1658" i="3"/>
  <c r="B1659" i="3"/>
  <c r="B1660" i="3"/>
  <c r="B1661" i="3"/>
  <c r="B1662" i="3"/>
  <c r="B1663" i="3"/>
  <c r="B1664" i="3"/>
  <c r="B1665" i="3"/>
  <c r="B1666" i="3"/>
  <c r="B1667" i="3"/>
  <c r="B1668" i="3"/>
  <c r="B1669" i="3"/>
  <c r="B1670" i="3"/>
  <c r="B1671" i="3"/>
  <c r="B1672" i="3"/>
  <c r="B1673" i="3"/>
  <c r="B1674" i="3"/>
  <c r="B1675" i="3"/>
  <c r="B1676" i="3"/>
  <c r="B1677" i="3"/>
  <c r="B1678" i="3"/>
  <c r="B1679" i="3"/>
  <c r="B1680" i="3"/>
  <c r="B1681" i="3"/>
  <c r="B1682" i="3"/>
  <c r="B1683" i="3"/>
  <c r="B1684" i="3"/>
  <c r="B1685" i="3"/>
  <c r="B1686" i="3"/>
  <c r="B1687" i="3"/>
  <c r="B1688" i="3"/>
  <c r="B1689" i="3"/>
  <c r="B1690" i="3"/>
  <c r="B1691" i="3"/>
  <c r="B1692" i="3"/>
  <c r="B1693" i="3"/>
  <c r="B1694" i="3"/>
  <c r="B1695" i="3"/>
  <c r="B1696" i="3"/>
  <c r="B1697" i="3"/>
  <c r="B1698" i="3"/>
  <c r="B1699" i="3"/>
  <c r="B1700" i="3"/>
  <c r="B1701" i="3"/>
  <c r="B1702" i="3"/>
  <c r="B1703" i="3"/>
  <c r="B1704" i="3"/>
  <c r="B1705" i="3"/>
  <c r="B1706" i="3"/>
  <c r="B1707" i="3"/>
  <c r="B1708" i="3"/>
  <c r="B1709" i="3"/>
  <c r="B1710" i="3"/>
  <c r="B1711" i="3"/>
  <c r="B1712" i="3"/>
  <c r="B1713" i="3"/>
  <c r="B1714" i="3"/>
  <c r="B1715" i="3"/>
  <c r="B1716" i="3"/>
  <c r="B1717" i="3"/>
  <c r="B1718" i="3"/>
  <c r="B1719" i="3"/>
  <c r="B1720" i="3"/>
  <c r="B1721" i="3"/>
  <c r="B1722" i="3"/>
  <c r="B1723" i="3"/>
  <c r="B1724" i="3"/>
  <c r="B1725" i="3"/>
  <c r="B1726" i="3"/>
  <c r="B1727" i="3"/>
  <c r="B1728" i="3"/>
  <c r="B1729" i="3"/>
  <c r="B1730" i="3"/>
  <c r="B1731" i="3"/>
  <c r="B1732" i="3"/>
  <c r="B1733" i="3"/>
  <c r="B1734" i="3"/>
  <c r="B1735" i="3"/>
  <c r="B1736" i="3"/>
  <c r="B1737" i="3"/>
  <c r="B1738" i="3"/>
  <c r="B1739" i="3"/>
  <c r="B1740" i="3"/>
  <c r="B1741" i="3"/>
  <c r="B1742" i="3"/>
  <c r="B1743" i="3"/>
  <c r="B1744" i="3"/>
  <c r="B1745" i="3"/>
  <c r="B1746" i="3"/>
  <c r="B1747" i="3"/>
  <c r="B1748" i="3"/>
  <c r="B1749" i="3"/>
  <c r="B1750" i="3"/>
  <c r="B1751" i="3"/>
  <c r="B1752" i="3"/>
  <c r="B1753" i="3"/>
  <c r="B1754" i="3"/>
  <c r="B1755" i="3"/>
  <c r="B1756" i="3"/>
  <c r="B1757" i="3"/>
  <c r="B1758" i="3"/>
  <c r="B1759" i="3"/>
  <c r="B1760" i="3"/>
  <c r="B1761" i="3"/>
  <c r="B1762" i="3"/>
  <c r="B1763" i="3"/>
  <c r="B1764" i="3"/>
  <c r="B1765" i="3"/>
  <c r="B1766" i="3"/>
  <c r="B1767" i="3"/>
  <c r="B1768" i="3"/>
  <c r="B1769" i="3"/>
  <c r="B1770" i="3"/>
  <c r="B1771" i="3"/>
  <c r="B1772" i="3"/>
  <c r="B1773" i="3"/>
  <c r="B1774" i="3"/>
  <c r="B1775" i="3"/>
  <c r="B1776" i="3"/>
  <c r="B1777" i="3"/>
  <c r="B1778" i="3"/>
  <c r="B1779" i="3"/>
  <c r="B1780" i="3"/>
  <c r="B1781" i="3"/>
  <c r="B1782" i="3"/>
  <c r="B1783" i="3"/>
  <c r="B1784" i="3"/>
  <c r="B1785" i="3"/>
  <c r="B1786" i="3"/>
  <c r="B1787" i="3"/>
  <c r="B1788" i="3"/>
  <c r="B1789" i="3"/>
  <c r="B1790" i="3"/>
  <c r="B1791" i="3"/>
  <c r="B1792" i="3"/>
  <c r="B1793" i="3"/>
  <c r="B1794" i="3"/>
  <c r="B1795" i="3"/>
  <c r="B1796" i="3"/>
  <c r="B1797" i="3"/>
  <c r="B1798" i="3"/>
  <c r="B1799" i="3"/>
  <c r="B1800" i="3"/>
  <c r="B1801" i="3"/>
  <c r="B1802" i="3"/>
  <c r="B1803" i="3"/>
  <c r="B1804" i="3"/>
  <c r="B1805" i="3"/>
  <c r="B1806" i="3"/>
  <c r="B1807" i="3"/>
  <c r="B1808" i="3"/>
  <c r="B1809" i="3"/>
  <c r="B1810" i="3"/>
  <c r="B1811" i="3"/>
  <c r="B1812" i="3"/>
  <c r="B1813" i="3"/>
  <c r="B1814" i="3"/>
  <c r="B1815" i="3"/>
  <c r="B1816" i="3"/>
  <c r="B1817" i="3"/>
  <c r="B1818" i="3"/>
  <c r="B1819" i="3"/>
  <c r="B1820" i="3"/>
  <c r="B1821" i="3"/>
  <c r="B1822" i="3"/>
  <c r="B1823" i="3"/>
  <c r="B1824" i="3"/>
  <c r="B1825" i="3"/>
  <c r="B1826" i="3"/>
  <c r="B1827" i="3"/>
  <c r="B1828" i="3"/>
  <c r="B1829" i="3"/>
  <c r="B1830" i="3"/>
  <c r="B1831" i="3"/>
  <c r="B1832" i="3"/>
  <c r="B1833" i="3"/>
  <c r="B1834" i="3"/>
  <c r="B1835" i="3"/>
  <c r="B1836" i="3"/>
  <c r="B1837" i="3"/>
  <c r="B1838" i="3"/>
  <c r="B1839" i="3"/>
  <c r="B1840" i="3"/>
  <c r="B1841" i="3"/>
  <c r="B1842" i="3"/>
  <c r="B1843" i="3"/>
  <c r="B1844" i="3"/>
  <c r="B1845" i="3"/>
  <c r="B1846" i="3"/>
  <c r="B1847" i="3"/>
  <c r="B1848" i="3"/>
  <c r="B1849" i="3"/>
  <c r="B1850" i="3"/>
  <c r="B1851" i="3"/>
  <c r="B1852" i="3"/>
  <c r="B1853" i="3"/>
  <c r="B1854" i="3"/>
  <c r="B1855" i="3"/>
  <c r="B1856" i="3"/>
  <c r="B1857" i="3"/>
  <c r="B1858" i="3"/>
  <c r="B1859" i="3"/>
  <c r="B1860" i="3"/>
  <c r="B1861" i="3"/>
  <c r="B1862" i="3"/>
  <c r="B1863" i="3"/>
  <c r="B1864" i="3"/>
  <c r="B1865" i="3"/>
  <c r="B1866" i="3"/>
  <c r="B1867" i="3"/>
  <c r="B1868" i="3"/>
  <c r="B1869" i="3"/>
  <c r="B1870" i="3"/>
  <c r="B1871" i="3"/>
  <c r="B1872" i="3"/>
  <c r="B1873" i="3"/>
  <c r="B1874" i="3"/>
  <c r="B1875" i="3"/>
  <c r="B1876" i="3"/>
  <c r="B1877" i="3"/>
  <c r="B1878" i="3"/>
  <c r="B1879" i="3"/>
  <c r="B1880" i="3"/>
  <c r="B1881" i="3"/>
  <c r="B1882" i="3"/>
  <c r="B1883" i="3"/>
  <c r="B1884" i="3"/>
  <c r="B1885" i="3"/>
  <c r="B1886" i="3"/>
  <c r="B1887" i="3"/>
  <c r="B1888" i="3"/>
  <c r="B1889" i="3"/>
  <c r="B1890" i="3"/>
  <c r="B1891" i="3"/>
  <c r="B1892" i="3"/>
  <c r="B1893" i="3"/>
  <c r="B1894" i="3"/>
  <c r="B1895" i="3"/>
  <c r="B1896" i="3"/>
  <c r="B1897" i="3"/>
  <c r="B1898" i="3"/>
  <c r="B1899" i="3"/>
  <c r="B1900" i="3"/>
  <c r="B1901" i="3"/>
  <c r="B1902" i="3"/>
  <c r="B1903" i="3"/>
  <c r="B1904" i="3"/>
  <c r="B1905" i="3"/>
  <c r="B1906" i="3"/>
  <c r="B1907" i="3"/>
  <c r="B1908" i="3"/>
  <c r="B1909" i="3"/>
  <c r="B1910" i="3"/>
  <c r="B1911" i="3"/>
  <c r="B1912" i="3"/>
  <c r="B1913" i="3"/>
  <c r="B1914" i="3"/>
  <c r="B1915" i="3"/>
  <c r="B1916" i="3"/>
  <c r="B1917" i="3"/>
  <c r="B1918" i="3"/>
  <c r="B1919" i="3"/>
  <c r="B1920" i="3"/>
  <c r="B1921" i="3"/>
  <c r="B1922" i="3"/>
  <c r="B1923" i="3"/>
  <c r="B1924" i="3"/>
  <c r="B1925" i="3"/>
  <c r="B1926" i="3"/>
  <c r="B1927" i="3"/>
  <c r="B1928" i="3"/>
  <c r="B1929" i="3"/>
  <c r="B1930" i="3"/>
  <c r="B1931" i="3"/>
  <c r="B1932" i="3"/>
  <c r="B1933" i="3"/>
  <c r="B1934" i="3"/>
  <c r="B1935" i="3"/>
  <c r="B1936" i="3"/>
  <c r="B1937" i="3"/>
  <c r="B1938" i="3"/>
  <c r="B1939" i="3"/>
  <c r="B1940" i="3"/>
  <c r="B1941" i="3"/>
  <c r="B1942" i="3"/>
  <c r="B1943" i="3"/>
  <c r="B1944" i="3"/>
  <c r="B1945" i="3"/>
  <c r="B1946" i="3"/>
  <c r="B1947" i="3"/>
  <c r="B1948" i="3"/>
  <c r="B1949" i="3"/>
  <c r="B1950" i="3"/>
  <c r="B1951" i="3"/>
  <c r="B1952" i="3"/>
  <c r="B1953" i="3"/>
  <c r="B1954" i="3"/>
  <c r="B1955" i="3"/>
  <c r="B1956" i="3"/>
  <c r="B1957" i="3"/>
  <c r="B1958" i="3"/>
  <c r="B1959" i="3"/>
  <c r="B1960" i="3"/>
  <c r="B1961" i="3"/>
  <c r="B1962" i="3"/>
  <c r="B1963" i="3"/>
  <c r="B1964" i="3"/>
  <c r="B1965" i="3"/>
  <c r="B1966" i="3"/>
  <c r="B1967" i="3"/>
  <c r="B1968" i="3"/>
  <c r="B1969" i="3"/>
  <c r="B1970" i="3"/>
  <c r="B1971" i="3"/>
  <c r="B1972" i="3"/>
  <c r="B1973" i="3"/>
  <c r="B1974" i="3"/>
  <c r="B1975" i="3"/>
  <c r="B1976" i="3"/>
  <c r="B1977" i="3"/>
  <c r="B1978" i="3"/>
  <c r="B1979" i="3"/>
  <c r="B1980" i="3"/>
  <c r="B1981" i="3"/>
  <c r="B1982" i="3"/>
  <c r="B1983" i="3"/>
  <c r="B1984" i="3"/>
  <c r="B1985" i="3"/>
  <c r="B1986" i="3"/>
  <c r="B1987" i="3"/>
  <c r="B1988" i="3"/>
  <c r="B1989" i="3"/>
  <c r="B1990" i="3"/>
  <c r="B1991" i="3"/>
  <c r="B1992" i="3"/>
  <c r="B1993" i="3"/>
  <c r="B1994" i="3"/>
  <c r="B1995" i="3"/>
  <c r="B1996" i="3"/>
  <c r="B1997" i="3"/>
  <c r="B1998" i="3"/>
  <c r="B1999" i="3"/>
  <c r="B2000" i="3"/>
  <c r="B2001" i="3"/>
  <c r="B2002" i="3"/>
  <c r="B5" i="3"/>
  <c r="B9" i="42" l="1"/>
  <c r="F9" i="42"/>
  <c r="AV32" i="42"/>
  <c r="A38" i="38"/>
  <c r="F32" i="63"/>
  <c r="I9" i="63"/>
  <c r="I37" i="63"/>
  <c r="I21" i="63"/>
  <c r="I20" i="63"/>
  <c r="I27" i="63"/>
  <c r="I11" i="63"/>
  <c r="I34" i="63"/>
  <c r="I18" i="63"/>
  <c r="I33" i="63"/>
  <c r="I17" i="63"/>
  <c r="I36" i="63"/>
  <c r="I16" i="63"/>
  <c r="I23" i="63"/>
  <c r="I30" i="63"/>
  <c r="I14" i="63"/>
  <c r="I29" i="63"/>
  <c r="I13" i="63"/>
  <c r="I32" i="63"/>
  <c r="I12" i="63"/>
  <c r="I35" i="63"/>
  <c r="I19" i="63"/>
  <c r="I26" i="63"/>
  <c r="I10" i="63"/>
  <c r="I25" i="63"/>
  <c r="I28" i="63"/>
  <c r="I31" i="63"/>
  <c r="I15" i="63"/>
  <c r="I38" i="63"/>
  <c r="I22" i="63"/>
  <c r="I24" i="63"/>
  <c r="BA950" i="3"/>
  <c r="BA384" i="3"/>
  <c r="BA2002" i="3"/>
  <c r="BA1998" i="3"/>
  <c r="BA1994" i="3"/>
  <c r="BA1986" i="3"/>
  <c r="BA1982" i="3"/>
  <c r="BA1978" i="3"/>
  <c r="BA1974" i="3"/>
  <c r="BA1966" i="3"/>
  <c r="BA1962" i="3"/>
  <c r="BA1958" i="3"/>
  <c r="BA1954" i="3"/>
  <c r="BA1946" i="3"/>
  <c r="BA1942" i="3"/>
  <c r="BA1938" i="3"/>
  <c r="BA1934" i="3"/>
  <c r="BA1930" i="3"/>
  <c r="BA1922" i="3"/>
  <c r="BA1918" i="3"/>
  <c r="BA1914" i="3"/>
  <c r="BA1910" i="3"/>
  <c r="BA1902" i="3"/>
  <c r="BA1898" i="3"/>
  <c r="BA1894" i="3"/>
  <c r="BA1890" i="3"/>
  <c r="BA1882" i="3"/>
  <c r="BA1878" i="3"/>
  <c r="BA1874" i="3"/>
  <c r="BA1866" i="3"/>
  <c r="BA1862" i="3"/>
  <c r="BA1858" i="3"/>
  <c r="BA1850" i="3"/>
  <c r="BA1846" i="3"/>
  <c r="BA1842" i="3"/>
  <c r="BA1838" i="3"/>
  <c r="BA1830" i="3"/>
  <c r="BA1826" i="3"/>
  <c r="BA1822" i="3"/>
  <c r="BA1818" i="3"/>
  <c r="BA1810" i="3"/>
  <c r="BA1806" i="3"/>
  <c r="BA1802" i="3"/>
  <c r="BA1798" i="3"/>
  <c r="BA1790" i="3"/>
  <c r="BA1786" i="3"/>
  <c r="BA1782" i="3"/>
  <c r="BA1774" i="3"/>
  <c r="BA1770" i="3"/>
  <c r="BA1766" i="3"/>
  <c r="BA1758" i="3"/>
  <c r="BA1754" i="3"/>
  <c r="BA1746" i="3"/>
  <c r="BA1742" i="3"/>
  <c r="BA1738" i="3"/>
  <c r="BA1730" i="3"/>
  <c r="BA1726" i="3"/>
  <c r="BA1722" i="3"/>
  <c r="BA1714" i="3"/>
  <c r="BA1710" i="3"/>
  <c r="BA1706" i="3"/>
  <c r="BA1698" i="3"/>
  <c r="BA1694" i="3"/>
  <c r="BA1690" i="3"/>
  <c r="BA1686" i="3"/>
  <c r="BA1678" i="3"/>
  <c r="BA1674" i="3"/>
  <c r="BA1670" i="3"/>
  <c r="BA1666" i="3"/>
  <c r="BA1662" i="3"/>
  <c r="BA1654" i="3"/>
  <c r="BA1650" i="3"/>
  <c r="BA1646" i="3"/>
  <c r="BA1642" i="3"/>
  <c r="BA1638" i="3"/>
  <c r="BA1630" i="3"/>
  <c r="BA1626" i="3"/>
  <c r="BA1622" i="3"/>
  <c r="BA1618" i="3"/>
  <c r="BA1610" i="3"/>
  <c r="BA1606" i="3"/>
  <c r="BA1602" i="3"/>
  <c r="BA1598" i="3"/>
  <c r="BA1590" i="3"/>
  <c r="BA1586" i="3"/>
  <c r="BA1582" i="3"/>
  <c r="BA1578" i="3"/>
  <c r="BA1570" i="3"/>
  <c r="BA1566" i="3"/>
  <c r="BA1562" i="3"/>
  <c r="BA1558" i="3"/>
  <c r="BA1550" i="3"/>
  <c r="BA1546" i="3"/>
  <c r="BA1542" i="3"/>
  <c r="BA1538" i="3"/>
  <c r="BA1530" i="3"/>
  <c r="BA1526" i="3"/>
  <c r="BA1522" i="3"/>
  <c r="BA1518" i="3"/>
  <c r="BA1510" i="3"/>
  <c r="BA1506" i="3"/>
  <c r="BA1502" i="3"/>
  <c r="BA1498" i="3"/>
  <c r="BA1490" i="3"/>
  <c r="BA1486" i="3"/>
  <c r="BA1482" i="3"/>
  <c r="BA1474" i="3"/>
  <c r="BA1470" i="3"/>
  <c r="BA1466" i="3"/>
  <c r="BA1462" i="3"/>
  <c r="BA1454" i="3"/>
  <c r="BA1450" i="3"/>
  <c r="BA1446" i="3"/>
  <c r="BA1438" i="3"/>
  <c r="BA1434" i="3"/>
  <c r="BA1426" i="3"/>
  <c r="BA1422" i="3"/>
  <c r="BA1418" i="3"/>
  <c r="BA1410" i="3"/>
  <c r="BA1406" i="3"/>
  <c r="BA1402" i="3"/>
  <c r="BA1394" i="3"/>
  <c r="BA1390" i="3"/>
  <c r="BA1386" i="3"/>
  <c r="BA1382" i="3"/>
  <c r="BA1374" i="3"/>
  <c r="BA1370" i="3"/>
  <c r="BA1366" i="3"/>
  <c r="BA1362" i="3"/>
  <c r="BA1354" i="3"/>
  <c r="BA1350" i="3"/>
  <c r="BA1346" i="3"/>
  <c r="BA1342" i="3"/>
  <c r="BA1334" i="3"/>
  <c r="BA1330" i="3"/>
  <c r="BA1326" i="3"/>
  <c r="BA1322" i="3"/>
  <c r="BA1314" i="3"/>
  <c r="BA1310" i="3"/>
  <c r="BA1306" i="3"/>
  <c r="BA1302" i="3"/>
  <c r="BA1294" i="3"/>
  <c r="BA1290" i="3"/>
  <c r="BA1286" i="3"/>
  <c r="BA1278" i="3"/>
  <c r="BA1274" i="3"/>
  <c r="BA1270" i="3"/>
  <c r="BA1266" i="3"/>
  <c r="BA1258" i="3"/>
  <c r="BA1254" i="3"/>
  <c r="BA1250" i="3"/>
  <c r="BA1246" i="3"/>
  <c r="BA1242" i="3"/>
  <c r="BA1234" i="3"/>
  <c r="BA1230" i="3"/>
  <c r="BA1226" i="3"/>
  <c r="BA1222" i="3"/>
  <c r="BA1218" i="3"/>
  <c r="BA1210" i="3"/>
  <c r="BA1206" i="3"/>
  <c r="BA1202" i="3"/>
  <c r="BA1198" i="3"/>
  <c r="BA1194" i="3"/>
  <c r="BA1186" i="3"/>
  <c r="BA1182" i="3"/>
  <c r="BA1178" i="3"/>
  <c r="BA1174" i="3"/>
  <c r="BA1170" i="3"/>
  <c r="BA1162" i="3"/>
  <c r="BA1158" i="3"/>
  <c r="BA1154" i="3"/>
  <c r="BA1150" i="3"/>
  <c r="BA1146" i="3"/>
  <c r="BA1138" i="3"/>
  <c r="BA1134" i="3"/>
  <c r="BA1130" i="3"/>
  <c r="BA1126" i="3"/>
  <c r="BA1118" i="3"/>
  <c r="BA1114" i="3"/>
  <c r="BA1110" i="3"/>
  <c r="BA1106" i="3"/>
  <c r="BA1098" i="3"/>
  <c r="BA1094" i="3"/>
  <c r="BA1090" i="3"/>
  <c r="BA1086" i="3"/>
  <c r="BA1078" i="3"/>
  <c r="BA1074" i="3"/>
  <c r="BA1070" i="3"/>
  <c r="BA1062" i="3"/>
  <c r="BA1058" i="3"/>
  <c r="BA1054" i="3"/>
  <c r="BA1050" i="3"/>
  <c r="BA1042" i="3"/>
  <c r="BA1038" i="3"/>
  <c r="BA1034" i="3"/>
  <c r="BA1026" i="3"/>
  <c r="BA1022" i="3"/>
  <c r="BA1018" i="3"/>
  <c r="BA1014" i="3"/>
  <c r="BA1006" i="3"/>
  <c r="BA1002" i="3"/>
  <c r="BA998" i="3"/>
  <c r="BA990" i="3"/>
  <c r="BA986" i="3"/>
  <c r="BA982" i="3"/>
  <c r="BA974" i="3"/>
  <c r="BA970" i="3"/>
  <c r="BA958" i="3"/>
  <c r="BA938" i="3"/>
  <c r="BA934" i="3"/>
  <c r="BA930" i="3"/>
  <c r="BA926" i="3"/>
  <c r="BA922" i="3"/>
  <c r="BA914" i="3"/>
  <c r="BA910" i="3"/>
  <c r="BA906" i="3"/>
  <c r="BA902" i="3"/>
  <c r="BA898" i="3"/>
  <c r="BA890" i="3"/>
  <c r="BA886" i="3"/>
  <c r="BA882" i="3"/>
  <c r="BA878" i="3"/>
  <c r="BA874" i="3"/>
  <c r="BA866" i="3"/>
  <c r="BA862" i="3"/>
  <c r="BA858" i="3"/>
  <c r="BA854" i="3"/>
  <c r="BA850" i="3"/>
  <c r="BA842" i="3"/>
  <c r="BA838" i="3"/>
  <c r="BA834" i="3"/>
  <c r="BA830" i="3"/>
  <c r="BA826" i="3"/>
  <c r="BA818" i="3"/>
  <c r="BA814" i="3"/>
  <c r="BA810" i="3"/>
  <c r="BA806" i="3"/>
  <c r="BA798" i="3"/>
  <c r="BA794" i="3"/>
  <c r="BA790" i="3"/>
  <c r="BA786" i="3"/>
  <c r="BA778" i="3"/>
  <c r="BA774" i="3"/>
  <c r="BA770" i="3"/>
  <c r="BA766" i="3"/>
  <c r="BA762" i="3"/>
  <c r="BA754" i="3"/>
  <c r="BA750" i="3"/>
  <c r="BA746" i="3"/>
  <c r="BA742" i="3"/>
  <c r="BA734" i="3"/>
  <c r="BA730" i="3"/>
  <c r="BA726" i="3"/>
  <c r="BA722" i="3"/>
  <c r="BA714" i="3"/>
  <c r="BA710" i="3"/>
  <c r="BA706" i="3"/>
  <c r="BA698" i="3"/>
  <c r="BA694" i="3"/>
  <c r="BA686" i="3"/>
  <c r="BA682" i="3"/>
  <c r="BA678" i="3"/>
  <c r="BA670" i="3"/>
  <c r="BA666" i="3"/>
  <c r="BA662" i="3"/>
  <c r="BA654" i="3"/>
  <c r="BA650" i="3"/>
  <c r="BA646" i="3"/>
  <c r="BA638" i="3"/>
  <c r="BA634" i="3"/>
  <c r="BA630" i="3"/>
  <c r="BA622" i="3"/>
  <c r="BA618" i="3"/>
  <c r="BA610" i="3"/>
  <c r="BA606" i="3"/>
  <c r="BA602" i="3"/>
  <c r="BA570" i="3"/>
  <c r="BA538" i="3"/>
  <c r="BA530" i="3"/>
  <c r="BA526" i="3"/>
  <c r="BA522" i="3"/>
  <c r="BA518" i="3"/>
  <c r="BA510" i="3"/>
  <c r="BA506" i="3"/>
  <c r="BA502" i="3"/>
  <c r="BA498" i="3"/>
  <c r="BA486" i="3"/>
  <c r="BA482" i="3"/>
  <c r="BA474" i="3"/>
  <c r="BA470" i="3"/>
  <c r="BA466" i="3"/>
  <c r="BA462" i="3"/>
  <c r="BA454" i="3"/>
  <c r="BA450" i="3"/>
  <c r="BA446" i="3"/>
  <c r="BA442" i="3"/>
  <c r="BA438" i="3"/>
  <c r="BA430" i="3"/>
  <c r="BA422" i="3"/>
  <c r="BA418" i="3"/>
  <c r="BA410" i="3"/>
  <c r="BA406" i="3"/>
  <c r="BA394" i="3"/>
  <c r="BA382" i="3"/>
  <c r="BA222" i="3"/>
  <c r="BA2000" i="3"/>
  <c r="BA1996" i="3"/>
  <c r="BA1992" i="3"/>
  <c r="BA1988" i="3"/>
  <c r="BA1984" i="3"/>
  <c r="BA1980" i="3"/>
  <c r="BA1976" i="3"/>
  <c r="BA1972" i="3"/>
  <c r="BA1968" i="3"/>
  <c r="BA1964" i="3"/>
  <c r="BA1960" i="3"/>
  <c r="BA1956" i="3"/>
  <c r="BA1952" i="3"/>
  <c r="BA1948" i="3"/>
  <c r="BA1944" i="3"/>
  <c r="BA1940" i="3"/>
  <c r="BA1936" i="3"/>
  <c r="BA1932" i="3"/>
  <c r="BA1928" i="3"/>
  <c r="BA1924" i="3"/>
  <c r="BA1920" i="3"/>
  <c r="BA1916" i="3"/>
  <c r="BA1912" i="3"/>
  <c r="BA1908" i="3"/>
  <c r="BA1904" i="3"/>
  <c r="BA1900" i="3"/>
  <c r="BA1896" i="3"/>
  <c r="BA1892" i="3"/>
  <c r="BA1888" i="3"/>
  <c r="BA1884" i="3"/>
  <c r="BA1880" i="3"/>
  <c r="BA1876" i="3"/>
  <c r="BA1872" i="3"/>
  <c r="BA1868" i="3"/>
  <c r="BA1864" i="3"/>
  <c r="BA1860" i="3"/>
  <c r="BA1856" i="3"/>
  <c r="BA1852" i="3"/>
  <c r="BA1848" i="3"/>
  <c r="BA1844" i="3"/>
  <c r="BA1840" i="3"/>
  <c r="BA1836" i="3"/>
  <c r="BA1832" i="3"/>
  <c r="BA1828" i="3"/>
  <c r="BA1824" i="3"/>
  <c r="BA1820" i="3"/>
  <c r="BA1816" i="3"/>
  <c r="BA1812" i="3"/>
  <c r="BA1808" i="3"/>
  <c r="BA1804" i="3"/>
  <c r="BA1800" i="3"/>
  <c r="BA1796" i="3"/>
  <c r="BA1792" i="3"/>
  <c r="BA1788" i="3"/>
  <c r="BA1784" i="3"/>
  <c r="BA1780" i="3"/>
  <c r="BA1776" i="3"/>
  <c r="BA1772" i="3"/>
  <c r="BA1768" i="3"/>
  <c r="BA1764" i="3"/>
  <c r="BA1760" i="3"/>
  <c r="BA1756" i="3"/>
  <c r="BA1752" i="3"/>
  <c r="BA1748" i="3"/>
  <c r="BA1744" i="3"/>
  <c r="BA1740" i="3"/>
  <c r="BA1736" i="3"/>
  <c r="BA1732" i="3"/>
  <c r="BA1728" i="3"/>
  <c r="BA1724" i="3"/>
  <c r="BA1720" i="3"/>
  <c r="BA1716" i="3"/>
  <c r="BA1712" i="3"/>
  <c r="BA1708" i="3"/>
  <c r="BA1704" i="3"/>
  <c r="BA1700" i="3"/>
  <c r="BA1696" i="3"/>
  <c r="BA1692" i="3"/>
  <c r="BA1688" i="3"/>
  <c r="BA1684" i="3"/>
  <c r="BA1680" i="3"/>
  <c r="BA1676" i="3"/>
  <c r="BA1672" i="3"/>
  <c r="BA1668" i="3"/>
  <c r="BA1664" i="3"/>
  <c r="BA1660" i="3"/>
  <c r="BA1656" i="3"/>
  <c r="BA1652" i="3"/>
  <c r="BA1648" i="3"/>
  <c r="BA1644" i="3"/>
  <c r="BA1640" i="3"/>
  <c r="BA1636" i="3"/>
  <c r="BA1632" i="3"/>
  <c r="BA1628" i="3"/>
  <c r="BA1624" i="3"/>
  <c r="BA1620" i="3"/>
  <c r="BA1616" i="3"/>
  <c r="BA1612" i="3"/>
  <c r="BA1608" i="3"/>
  <c r="BA1604" i="3"/>
  <c r="BA1600" i="3"/>
  <c r="BA1596" i="3"/>
  <c r="BA1592" i="3"/>
  <c r="BA1588" i="3"/>
  <c r="BA1584" i="3"/>
  <c r="BA1580" i="3"/>
  <c r="BA1576" i="3"/>
  <c r="BA1572" i="3"/>
  <c r="BA1568" i="3"/>
  <c r="BA1564" i="3"/>
  <c r="BA1560" i="3"/>
  <c r="BA1556" i="3"/>
  <c r="BA1552" i="3"/>
  <c r="BA1548" i="3"/>
  <c r="BA1544" i="3"/>
  <c r="BA1540" i="3"/>
  <c r="BA1536" i="3"/>
  <c r="BA1532" i="3"/>
  <c r="BA1528" i="3"/>
  <c r="BA1524" i="3"/>
  <c r="BA1520" i="3"/>
  <c r="BA1516" i="3"/>
  <c r="BA1512" i="3"/>
  <c r="BA1508" i="3"/>
  <c r="BA1504" i="3"/>
  <c r="BA1500" i="3"/>
  <c r="BA1496" i="3"/>
  <c r="BA1492" i="3"/>
  <c r="BA1488" i="3"/>
  <c r="BA1484" i="3"/>
  <c r="BA1480" i="3"/>
  <c r="BA1476" i="3"/>
  <c r="BA1472" i="3"/>
  <c r="BA1468" i="3"/>
  <c r="BA1464" i="3"/>
  <c r="BA1460" i="3"/>
  <c r="BA1456" i="3"/>
  <c r="BA1452" i="3"/>
  <c r="BA1448" i="3"/>
  <c r="BA1444" i="3"/>
  <c r="BA1440" i="3"/>
  <c r="BA1436" i="3"/>
  <c r="BA1432" i="3"/>
  <c r="BA1428" i="3"/>
  <c r="BA1424" i="3"/>
  <c r="BA1420" i="3"/>
  <c r="BA1416" i="3"/>
  <c r="BA1412" i="3"/>
  <c r="BA1408" i="3"/>
  <c r="BA1404" i="3"/>
  <c r="BA1400" i="3"/>
  <c r="BA1396" i="3"/>
  <c r="BA1392" i="3"/>
  <c r="BA1388" i="3"/>
  <c r="BA1384" i="3"/>
  <c r="BA1380" i="3"/>
  <c r="BA1376" i="3"/>
  <c r="BA1372" i="3"/>
  <c r="BA1368" i="3"/>
  <c r="BA1364" i="3"/>
  <c r="BA1360" i="3"/>
  <c r="BA1356" i="3"/>
  <c r="BA1352" i="3"/>
  <c r="BA1348" i="3"/>
  <c r="BA1344" i="3"/>
  <c r="BA1340" i="3"/>
  <c r="BA1336" i="3"/>
  <c r="BA1332" i="3"/>
  <c r="BA1328" i="3"/>
  <c r="BA1324" i="3"/>
  <c r="BA1320" i="3"/>
  <c r="BA1316" i="3"/>
  <c r="BA1312" i="3"/>
  <c r="BA1308" i="3"/>
  <c r="BA1304" i="3"/>
  <c r="BA1300" i="3"/>
  <c r="BA1296" i="3"/>
  <c r="BA1292" i="3"/>
  <c r="BA1288" i="3"/>
  <c r="BA1284" i="3"/>
  <c r="BA1280" i="3"/>
  <c r="BA1276" i="3"/>
  <c r="BA1272" i="3"/>
  <c r="BA1268" i="3"/>
  <c r="BA1264" i="3"/>
  <c r="BA1260" i="3"/>
  <c r="BA1256" i="3"/>
  <c r="BA1252" i="3"/>
  <c r="BA1248" i="3"/>
  <c r="BA1244" i="3"/>
  <c r="BA1240" i="3"/>
  <c r="BA1236" i="3"/>
  <c r="BA1232" i="3"/>
  <c r="BA1228" i="3"/>
  <c r="BA1224" i="3"/>
  <c r="BA1220" i="3"/>
  <c r="BA1216" i="3"/>
  <c r="BA1212" i="3"/>
  <c r="BA1208" i="3"/>
  <c r="BA1204" i="3"/>
  <c r="BA1200" i="3"/>
  <c r="BA1196" i="3"/>
  <c r="BA1192" i="3"/>
  <c r="BA1188" i="3"/>
  <c r="BA1184" i="3"/>
  <c r="BA1180" i="3"/>
  <c r="BA1176" i="3"/>
  <c r="BA1172" i="3"/>
  <c r="BA1168" i="3"/>
  <c r="BA1164" i="3"/>
  <c r="BA1160" i="3"/>
  <c r="BA1156" i="3"/>
  <c r="BA1152" i="3"/>
  <c r="BA1148" i="3"/>
  <c r="BA1144" i="3"/>
  <c r="BA1140" i="3"/>
  <c r="BA1136" i="3"/>
  <c r="BA1132" i="3"/>
  <c r="BA1128" i="3"/>
  <c r="BA1124" i="3"/>
  <c r="BA1120" i="3"/>
  <c r="BA1116" i="3"/>
  <c r="BA1112" i="3"/>
  <c r="BA1108" i="3"/>
  <c r="BA1104" i="3"/>
  <c r="BA1100" i="3"/>
  <c r="BA1096" i="3"/>
  <c r="BA1092" i="3"/>
  <c r="BA1088" i="3"/>
  <c r="BA1084" i="3"/>
  <c r="BA1080" i="3"/>
  <c r="BA1076" i="3"/>
  <c r="BA1072" i="3"/>
  <c r="BA1068" i="3"/>
  <c r="BA1064" i="3"/>
  <c r="BA1060" i="3"/>
  <c r="BA1056" i="3"/>
  <c r="BA1052" i="3"/>
  <c r="BA1048" i="3"/>
  <c r="BA1044" i="3"/>
  <c r="BA1040" i="3"/>
  <c r="BA1036" i="3"/>
  <c r="BA1032" i="3"/>
  <c r="BA1028" i="3"/>
  <c r="BA1024" i="3"/>
  <c r="BA1020" i="3"/>
  <c r="BA1016" i="3"/>
  <c r="BA1012" i="3"/>
  <c r="BA1008" i="3"/>
  <c r="BA1004" i="3"/>
  <c r="BA1000" i="3"/>
  <c r="BA996" i="3"/>
  <c r="BA992" i="3"/>
  <c r="BA988" i="3"/>
  <c r="BA984" i="3"/>
  <c r="BA980" i="3"/>
  <c r="BA976" i="3"/>
  <c r="BA972" i="3"/>
  <c r="BA968" i="3"/>
  <c r="BA964" i="3"/>
  <c r="BA960" i="3"/>
  <c r="BA956" i="3"/>
  <c r="BA952" i="3"/>
  <c r="BA948" i="3"/>
  <c r="BA944" i="3"/>
  <c r="BA940" i="3"/>
  <c r="BA936" i="3"/>
  <c r="BA932" i="3"/>
  <c r="BA928" i="3"/>
  <c r="BA924" i="3"/>
  <c r="BA920" i="3"/>
  <c r="BA916" i="3"/>
  <c r="BA912" i="3"/>
  <c r="BA908" i="3"/>
  <c r="BA904" i="3"/>
  <c r="BA900" i="3"/>
  <c r="BA896" i="3"/>
  <c r="BA892" i="3"/>
  <c r="BA888" i="3"/>
  <c r="BA884" i="3"/>
  <c r="BA880" i="3"/>
  <c r="BA876" i="3"/>
  <c r="BA872" i="3"/>
  <c r="BA868" i="3"/>
  <c r="BA864" i="3"/>
  <c r="BA860" i="3"/>
  <c r="BA856" i="3"/>
  <c r="BA852" i="3"/>
  <c r="BA848" i="3"/>
  <c r="BA844" i="3"/>
  <c r="BA840" i="3"/>
  <c r="BA836" i="3"/>
  <c r="BA832" i="3"/>
  <c r="BA828" i="3"/>
  <c r="BA824" i="3"/>
  <c r="BA820" i="3"/>
  <c r="BA816" i="3"/>
  <c r="BA812" i="3"/>
  <c r="BA808" i="3"/>
  <c r="BA804" i="3"/>
  <c r="BA800" i="3"/>
  <c r="BA796" i="3"/>
  <c r="BA792" i="3"/>
  <c r="BA788" i="3"/>
  <c r="BA784" i="3"/>
  <c r="BA780" i="3"/>
  <c r="BA776" i="3"/>
  <c r="BA772" i="3"/>
  <c r="BA768" i="3"/>
  <c r="BA764" i="3"/>
  <c r="BA760" i="3"/>
  <c r="BA756" i="3"/>
  <c r="BA752" i="3"/>
  <c r="BA748" i="3"/>
  <c r="BA744" i="3"/>
  <c r="BA740" i="3"/>
  <c r="BA736" i="3"/>
  <c r="BA732" i="3"/>
  <c r="BA728" i="3"/>
  <c r="BA724" i="3"/>
  <c r="BA720" i="3"/>
  <c r="BA716" i="3"/>
  <c r="BA712" i="3"/>
  <c r="BA708" i="3"/>
  <c r="BA704" i="3"/>
  <c r="BA700" i="3"/>
  <c r="BA696" i="3"/>
  <c r="BA692" i="3"/>
  <c r="BA688" i="3"/>
  <c r="BA684" i="3"/>
  <c r="BA680" i="3"/>
  <c r="BA676" i="3"/>
  <c r="BA672" i="3"/>
  <c r="BA668" i="3"/>
  <c r="BA664" i="3"/>
  <c r="BA660" i="3"/>
  <c r="BA656" i="3"/>
  <c r="BA652" i="3"/>
  <c r="BA648" i="3"/>
  <c r="BA644" i="3"/>
  <c r="BA640" i="3"/>
  <c r="BA636" i="3"/>
  <c r="BA632" i="3"/>
  <c r="BA628" i="3"/>
  <c r="BA624" i="3"/>
  <c r="BA620" i="3"/>
  <c r="BA616" i="3"/>
  <c r="BA612" i="3"/>
  <c r="BA608" i="3"/>
  <c r="BA604" i="3"/>
  <c r="BA536" i="3"/>
  <c r="BA532" i="3"/>
  <c r="BA528" i="3"/>
  <c r="BA524" i="3"/>
  <c r="BA520" i="3"/>
  <c r="BA516" i="3"/>
  <c r="BA512" i="3"/>
  <c r="BA508" i="3"/>
  <c r="BA504" i="3"/>
  <c r="BA500" i="3"/>
  <c r="BA496" i="3"/>
  <c r="BA492" i="3"/>
  <c r="BA488" i="3"/>
  <c r="BA484" i="3"/>
  <c r="BA480" i="3"/>
  <c r="BA476" i="3"/>
  <c r="BA472" i="3"/>
  <c r="BA468" i="3"/>
  <c r="BA464" i="3"/>
  <c r="BA460" i="3"/>
  <c r="BA456" i="3"/>
  <c r="BA452" i="3"/>
  <c r="BA448" i="3"/>
  <c r="BA444" i="3"/>
  <c r="BA440" i="3"/>
  <c r="BA436" i="3"/>
  <c r="BA432" i="3"/>
  <c r="BA428" i="3"/>
  <c r="BA424" i="3"/>
  <c r="BA420" i="3"/>
  <c r="BA416" i="3"/>
  <c r="BA412" i="3"/>
  <c r="BA408" i="3"/>
  <c r="BA404" i="3"/>
  <c r="BA400" i="3"/>
  <c r="BA396" i="3"/>
  <c r="BA392" i="3"/>
  <c r="BA388" i="3"/>
  <c r="BA380" i="3"/>
  <c r="BA376" i="3"/>
  <c r="BA372" i="3"/>
  <c r="BA368" i="3"/>
  <c r="BA364" i="3"/>
  <c r="BA360" i="3"/>
  <c r="BA352" i="3"/>
  <c r="BA348" i="3"/>
  <c r="BA344" i="3"/>
  <c r="BA340" i="3"/>
  <c r="BA336" i="3"/>
  <c r="BA332" i="3"/>
  <c r="BA328" i="3"/>
  <c r="BA324" i="3"/>
  <c r="BA320" i="3"/>
  <c r="BA316" i="3"/>
  <c r="BA312" i="3"/>
  <c r="BA308" i="3"/>
  <c r="BA304" i="3"/>
  <c r="BA300" i="3"/>
  <c r="BA296" i="3"/>
  <c r="BA292" i="3"/>
  <c r="BA288" i="3"/>
  <c r="BA284" i="3"/>
  <c r="BA280" i="3"/>
  <c r="BA276" i="3"/>
  <c r="BA272" i="3"/>
  <c r="BA268" i="3"/>
  <c r="BA264" i="3"/>
  <c r="BA260" i="3"/>
  <c r="BA256" i="3"/>
  <c r="BA252" i="3"/>
  <c r="BA248" i="3"/>
  <c r="BA244" i="3"/>
  <c r="BA240" i="3"/>
  <c r="BA236" i="3"/>
  <c r="BA232" i="3"/>
  <c r="BA228" i="3"/>
  <c r="BA220" i="3"/>
  <c r="BA216" i="3"/>
  <c r="BA212" i="3"/>
  <c r="BA204" i="3"/>
  <c r="BA200" i="3"/>
  <c r="BA196" i="3"/>
  <c r="BA192" i="3"/>
  <c r="BA188" i="3"/>
  <c r="BA184" i="3"/>
  <c r="BA180" i="3"/>
  <c r="BA176" i="3"/>
  <c r="BA172" i="3"/>
  <c r="BA168" i="3"/>
  <c r="BA164" i="3"/>
  <c r="BA160" i="3"/>
  <c r="BA152" i="3"/>
  <c r="BA148" i="3"/>
  <c r="BA144" i="3"/>
  <c r="BA140" i="3"/>
  <c r="BA136" i="3"/>
  <c r="BA132" i="3"/>
  <c r="BA128" i="3"/>
  <c r="BA124" i="3"/>
  <c r="BA120" i="3"/>
  <c r="BA116" i="3"/>
  <c r="BA112" i="3"/>
  <c r="BA108" i="3"/>
  <c r="BA104" i="3"/>
  <c r="BA100" i="3"/>
  <c r="BA96" i="3"/>
  <c r="BA92" i="3"/>
  <c r="BA88" i="3"/>
  <c r="BA84" i="3"/>
  <c r="BA80" i="3"/>
  <c r="BA76" i="3"/>
  <c r="BA72" i="3"/>
  <c r="BA68" i="3"/>
  <c r="BA64" i="3"/>
  <c r="BA60" i="3"/>
  <c r="BA56" i="3"/>
  <c r="BA52" i="3"/>
  <c r="BA48" i="3"/>
  <c r="BA44" i="3"/>
  <c r="BA40" i="3"/>
  <c r="BA36" i="3"/>
  <c r="BA32" i="3"/>
  <c r="BA28" i="3"/>
  <c r="BA24" i="3"/>
  <c r="BA20" i="3"/>
  <c r="BA16" i="3"/>
  <c r="BA12" i="3"/>
  <c r="BA8" i="3"/>
  <c r="BA5" i="3"/>
  <c r="BA1999" i="3"/>
  <c r="BA1995" i="3"/>
  <c r="BA1991" i="3"/>
  <c r="BA1987" i="3"/>
  <c r="BA1983" i="3"/>
  <c r="BA1979" i="3"/>
  <c r="BA1975" i="3"/>
  <c r="BA1971" i="3"/>
  <c r="BA1967" i="3"/>
  <c r="BA1963" i="3"/>
  <c r="BA1959" i="3"/>
  <c r="BA1955" i="3"/>
  <c r="BA1951" i="3"/>
  <c r="BA1947" i="3"/>
  <c r="BA1943" i="3"/>
  <c r="BA1939" i="3"/>
  <c r="BA1935" i="3"/>
  <c r="BA1931" i="3"/>
  <c r="BA1927" i="3"/>
  <c r="BA1923" i="3"/>
  <c r="BA1919" i="3"/>
  <c r="BA1915" i="3"/>
  <c r="BA1911" i="3"/>
  <c r="BA1907" i="3"/>
  <c r="BA1903" i="3"/>
  <c r="BA1899" i="3"/>
  <c r="BA1895" i="3"/>
  <c r="BA1891" i="3"/>
  <c r="BA1887" i="3"/>
  <c r="BA1883" i="3"/>
  <c r="BA1879" i="3"/>
  <c r="BA1875" i="3"/>
  <c r="BA1871" i="3"/>
  <c r="BA1867" i="3"/>
  <c r="BA1863" i="3"/>
  <c r="BA1859" i="3"/>
  <c r="BA1855" i="3"/>
  <c r="BA1851" i="3"/>
  <c r="BA1847" i="3"/>
  <c r="BA1843" i="3"/>
  <c r="BA1839" i="3"/>
  <c r="BA1835" i="3"/>
  <c r="BA1831" i="3"/>
  <c r="BA1827" i="3"/>
  <c r="BA1823" i="3"/>
  <c r="BA1819" i="3"/>
  <c r="BA1815" i="3"/>
  <c r="BA1811" i="3"/>
  <c r="BA1807" i="3"/>
  <c r="BA1803" i="3"/>
  <c r="BA1799" i="3"/>
  <c r="BA1795" i="3"/>
  <c r="BA1791" i="3"/>
  <c r="BA1787" i="3"/>
  <c r="BA1783" i="3"/>
  <c r="BA1779" i="3"/>
  <c r="BA1775" i="3"/>
  <c r="BA1771" i="3"/>
  <c r="BA1767" i="3"/>
  <c r="BA1763" i="3"/>
  <c r="BA1759" i="3"/>
  <c r="BA1755" i="3"/>
  <c r="BA1751" i="3"/>
  <c r="BA1747" i="3"/>
  <c r="BA1743" i="3"/>
  <c r="BA1739" i="3"/>
  <c r="BA1735" i="3"/>
  <c r="BA1731" i="3"/>
  <c r="BA1727" i="3"/>
  <c r="BA1723" i="3"/>
  <c r="BA1719" i="3"/>
  <c r="BA1715" i="3"/>
  <c r="BA1711" i="3"/>
  <c r="BA1707" i="3"/>
  <c r="BA1703" i="3"/>
  <c r="BA1699" i="3"/>
  <c r="BA1695" i="3"/>
  <c r="BA1691" i="3"/>
  <c r="BA1687" i="3"/>
  <c r="BA1683" i="3"/>
  <c r="BA1679" i="3"/>
  <c r="BA1675" i="3"/>
  <c r="BA1671" i="3"/>
  <c r="BA1667" i="3"/>
  <c r="BA1663" i="3"/>
  <c r="BA1659" i="3"/>
  <c r="BA1655" i="3"/>
  <c r="BA1651" i="3"/>
  <c r="BA1647" i="3"/>
  <c r="BA1643" i="3"/>
  <c r="BA1639" i="3"/>
  <c r="BA1635" i="3"/>
  <c r="BA1631" i="3"/>
  <c r="BA1627" i="3"/>
  <c r="BA1623" i="3"/>
  <c r="BA1619" i="3"/>
  <c r="BA1615" i="3"/>
  <c r="BA1611" i="3"/>
  <c r="BA1607" i="3"/>
  <c r="BA1603" i="3"/>
  <c r="BA1599" i="3"/>
  <c r="BA1595" i="3"/>
  <c r="BA1591" i="3"/>
  <c r="BA1587" i="3"/>
  <c r="BA1583" i="3"/>
  <c r="BA1579" i="3"/>
  <c r="BA1575" i="3"/>
  <c r="BA1571" i="3"/>
  <c r="BA1567" i="3"/>
  <c r="BA1563" i="3"/>
  <c r="BA1559" i="3"/>
  <c r="BA1555" i="3"/>
  <c r="BA1551" i="3"/>
  <c r="BA1547" i="3"/>
  <c r="BA1543" i="3"/>
  <c r="BA1539" i="3"/>
  <c r="BA1535" i="3"/>
  <c r="BA1531" i="3"/>
  <c r="BA1527" i="3"/>
  <c r="BA1523" i="3"/>
  <c r="BA1519" i="3"/>
  <c r="BA1515" i="3"/>
  <c r="BA1511" i="3"/>
  <c r="BA1507" i="3"/>
  <c r="BA1503" i="3"/>
  <c r="BA1499" i="3"/>
  <c r="BA1495" i="3"/>
  <c r="BA1491" i="3"/>
  <c r="BA1487" i="3"/>
  <c r="BA1483" i="3"/>
  <c r="BA1479" i="3"/>
  <c r="BA1475" i="3"/>
  <c r="BA1471" i="3"/>
  <c r="BA1467" i="3"/>
  <c r="BA1463" i="3"/>
  <c r="BA1459" i="3"/>
  <c r="BA1455" i="3"/>
  <c r="BA1451" i="3"/>
  <c r="BA1447" i="3"/>
  <c r="BA1443" i="3"/>
  <c r="BA1439" i="3"/>
  <c r="BA1435" i="3"/>
  <c r="BA1431" i="3"/>
  <c r="BA1427" i="3"/>
  <c r="BA1423" i="3"/>
  <c r="BA1419" i="3"/>
  <c r="BA1415" i="3"/>
  <c r="BA1411" i="3"/>
  <c r="BA1407" i="3"/>
  <c r="BA1403" i="3"/>
  <c r="BA1399" i="3"/>
  <c r="BA1395" i="3"/>
  <c r="BA1391" i="3"/>
  <c r="BA1387" i="3"/>
  <c r="BA1383" i="3"/>
  <c r="BA1379" i="3"/>
  <c r="BA1375" i="3"/>
  <c r="BA1371" i="3"/>
  <c r="BA1367" i="3"/>
  <c r="BA1363" i="3"/>
  <c r="BA1359" i="3"/>
  <c r="BA1355" i="3"/>
  <c r="BA1351" i="3"/>
  <c r="BA1347" i="3"/>
  <c r="BA1343" i="3"/>
  <c r="BA1339" i="3"/>
  <c r="BA1335" i="3"/>
  <c r="BA1331" i="3"/>
  <c r="BA1327" i="3"/>
  <c r="BA1323" i="3"/>
  <c r="BA1319" i="3"/>
  <c r="BA1315" i="3"/>
  <c r="BA1311" i="3"/>
  <c r="BA1307" i="3"/>
  <c r="BA1303" i="3"/>
  <c r="BA1299" i="3"/>
  <c r="BA1295" i="3"/>
  <c r="BA1291" i="3"/>
  <c r="BA1287" i="3"/>
  <c r="BA1283" i="3"/>
  <c r="BA1279" i="3"/>
  <c r="BA1275" i="3"/>
  <c r="BA1271" i="3"/>
  <c r="BA1267" i="3"/>
  <c r="BA1263" i="3"/>
  <c r="BA1259" i="3"/>
  <c r="BA1255" i="3"/>
  <c r="BA1251" i="3"/>
  <c r="BA1247" i="3"/>
  <c r="BA1243" i="3"/>
  <c r="BA1239" i="3"/>
  <c r="BA1235" i="3"/>
  <c r="BA1231" i="3"/>
  <c r="BA1227" i="3"/>
  <c r="BA1223" i="3"/>
  <c r="BA1219" i="3"/>
  <c r="BA1215" i="3"/>
  <c r="BA1211" i="3"/>
  <c r="BA1207" i="3"/>
  <c r="BA1203" i="3"/>
  <c r="BA1199" i="3"/>
  <c r="BA1195" i="3"/>
  <c r="BA1191" i="3"/>
  <c r="BA1187" i="3"/>
  <c r="BA1183" i="3"/>
  <c r="BA1179" i="3"/>
  <c r="BA1175" i="3"/>
  <c r="BA1171" i="3"/>
  <c r="BA1167" i="3"/>
  <c r="BA1163" i="3"/>
  <c r="BA1159" i="3"/>
  <c r="BA1155" i="3"/>
  <c r="BA1151" i="3"/>
  <c r="BA1147" i="3"/>
  <c r="BA1143" i="3"/>
  <c r="BA1139" i="3"/>
  <c r="BA1135" i="3"/>
  <c r="BA1131" i="3"/>
  <c r="BA1127" i="3"/>
  <c r="BA1123" i="3"/>
  <c r="BA1119" i="3"/>
  <c r="BA1115" i="3"/>
  <c r="BA1111" i="3"/>
  <c r="BA1107" i="3"/>
  <c r="BA1103" i="3"/>
  <c r="BA1099" i="3"/>
  <c r="BA1095" i="3"/>
  <c r="BA1091" i="3"/>
  <c r="BA1087" i="3"/>
  <c r="BA1083" i="3"/>
  <c r="BA1079" i="3"/>
  <c r="BA1075" i="3"/>
  <c r="BA1071" i="3"/>
  <c r="BA1067" i="3"/>
  <c r="BA1063" i="3"/>
  <c r="BA1059" i="3"/>
  <c r="BA1055" i="3"/>
  <c r="BA1051" i="3"/>
  <c r="BA1047" i="3"/>
  <c r="BA1043" i="3"/>
  <c r="BA1039" i="3"/>
  <c r="BA1035" i="3"/>
  <c r="BA1031" i="3"/>
  <c r="BA1027" i="3"/>
  <c r="BA1023" i="3"/>
  <c r="BA1019" i="3"/>
  <c r="BA1015" i="3"/>
  <c r="BA1011" i="3"/>
  <c r="BA1007" i="3"/>
  <c r="BA1003" i="3"/>
  <c r="BA999" i="3"/>
  <c r="BA995" i="3"/>
  <c r="BA991" i="3"/>
  <c r="BA987" i="3"/>
  <c r="BA983" i="3"/>
  <c r="BA979" i="3"/>
  <c r="BA975" i="3"/>
  <c r="BA971" i="3"/>
  <c r="BA967" i="3"/>
  <c r="BA963" i="3"/>
  <c r="BA959" i="3"/>
  <c r="BA955" i="3"/>
  <c r="BA951" i="3"/>
  <c r="BA947" i="3"/>
  <c r="BA943" i="3"/>
  <c r="BA939" i="3"/>
  <c r="BA935" i="3"/>
  <c r="BA931" i="3"/>
  <c r="BA927" i="3"/>
  <c r="BA923" i="3"/>
  <c r="BA919" i="3"/>
  <c r="BA915" i="3"/>
  <c r="BA911" i="3"/>
  <c r="BA907" i="3"/>
  <c r="BA903" i="3"/>
  <c r="BA899" i="3"/>
  <c r="BA895" i="3"/>
  <c r="BA891" i="3"/>
  <c r="BA887" i="3"/>
  <c r="BA883" i="3"/>
  <c r="BA879" i="3"/>
  <c r="BA875" i="3"/>
  <c r="BA871" i="3"/>
  <c r="BA867" i="3"/>
  <c r="BA863" i="3"/>
  <c r="BA859" i="3"/>
  <c r="BA855" i="3"/>
  <c r="BA851" i="3"/>
  <c r="BA847" i="3"/>
  <c r="BA843" i="3"/>
  <c r="BA839" i="3"/>
  <c r="BA835" i="3"/>
  <c r="BA831" i="3"/>
  <c r="BA827" i="3"/>
  <c r="BA823" i="3"/>
  <c r="BA819" i="3"/>
  <c r="BA815" i="3"/>
  <c r="BA811" i="3"/>
  <c r="BA807" i="3"/>
  <c r="BA803" i="3"/>
  <c r="BA799" i="3"/>
  <c r="BA795" i="3"/>
  <c r="BA791" i="3"/>
  <c r="BA787" i="3"/>
  <c r="BA783" i="3"/>
  <c r="BA779" i="3"/>
  <c r="BA775" i="3"/>
  <c r="BA771" i="3"/>
  <c r="BA767" i="3"/>
  <c r="BA763" i="3"/>
  <c r="BA759" i="3"/>
  <c r="BA755" i="3"/>
  <c r="BA751" i="3"/>
  <c r="BA747" i="3"/>
  <c r="BA743" i="3"/>
  <c r="BA739" i="3"/>
  <c r="BA735" i="3"/>
  <c r="BA731" i="3"/>
  <c r="BA727" i="3"/>
  <c r="BA723" i="3"/>
  <c r="BA719" i="3"/>
  <c r="BA715" i="3"/>
  <c r="BA711" i="3"/>
  <c r="BA707" i="3"/>
  <c r="BA703" i="3"/>
  <c r="BA699" i="3"/>
  <c r="BA695" i="3"/>
  <c r="BA691" i="3"/>
  <c r="BA687" i="3"/>
  <c r="BA683" i="3"/>
  <c r="BA679" i="3"/>
  <c r="BA675" i="3"/>
  <c r="BA671" i="3"/>
  <c r="BA667" i="3"/>
  <c r="BA663" i="3"/>
  <c r="BA659" i="3"/>
  <c r="BA655" i="3"/>
  <c r="BA651" i="3"/>
  <c r="BA647" i="3"/>
  <c r="BA643" i="3"/>
  <c r="BA639" i="3"/>
  <c r="BA635" i="3"/>
  <c r="BA631" i="3"/>
  <c r="BA627" i="3"/>
  <c r="BA623" i="3"/>
  <c r="BA619" i="3"/>
  <c r="BA615" i="3"/>
  <c r="BA611" i="3"/>
  <c r="BA607" i="3"/>
  <c r="BA603" i="3"/>
  <c r="BA571" i="3"/>
  <c r="BA539" i="3"/>
  <c r="BA535" i="3"/>
  <c r="BA531" i="3"/>
  <c r="BA527" i="3"/>
  <c r="BA523" i="3"/>
  <c r="BA519" i="3"/>
  <c r="BA511" i="3"/>
  <c r="BA507" i="3"/>
  <c r="BA503" i="3"/>
  <c r="BA499" i="3"/>
  <c r="BA495" i="3"/>
  <c r="BA491" i="3"/>
  <c r="BA487" i="3"/>
  <c r="BA483" i="3"/>
  <c r="BA479" i="3"/>
  <c r="BA475" i="3"/>
  <c r="BA471" i="3"/>
  <c r="BA467" i="3"/>
  <c r="BA463" i="3"/>
  <c r="BA459" i="3"/>
  <c r="BA455" i="3"/>
  <c r="BA451" i="3"/>
  <c r="BA447" i="3"/>
  <c r="BA443" i="3"/>
  <c r="BA439" i="3"/>
  <c r="BA435" i="3"/>
  <c r="BA431" i="3"/>
  <c r="BA427" i="3"/>
  <c r="BA423" i="3"/>
  <c r="BA419" i="3"/>
  <c r="BA415" i="3"/>
  <c r="BA411" i="3"/>
  <c r="BA407" i="3"/>
  <c r="BA403" i="3"/>
  <c r="BA399" i="3"/>
  <c r="BA395" i="3"/>
  <c r="BA391" i="3"/>
  <c r="BA387" i="3"/>
  <c r="BA379" i="3"/>
  <c r="BA375" i="3"/>
  <c r="BA371" i="3"/>
  <c r="BA367" i="3"/>
  <c r="BA363" i="3"/>
  <c r="BA359" i="3"/>
  <c r="BA355" i="3"/>
  <c r="BA351" i="3"/>
  <c r="BA347" i="3"/>
  <c r="BA339" i="3"/>
  <c r="BA335" i="3"/>
  <c r="BA331" i="3"/>
  <c r="BA327" i="3"/>
  <c r="BA323" i="3"/>
  <c r="BA315" i="3"/>
  <c r="BA311" i="3"/>
  <c r="BA307" i="3"/>
  <c r="BA303" i="3"/>
  <c r="BA299" i="3"/>
  <c r="BA295" i="3"/>
  <c r="BA291" i="3"/>
  <c r="BA287" i="3"/>
  <c r="BA283" i="3"/>
  <c r="BA279" i="3"/>
  <c r="BA275" i="3"/>
  <c r="BA271" i="3"/>
  <c r="BA267" i="3"/>
  <c r="BA263" i="3"/>
  <c r="BA259" i="3"/>
  <c r="BA255" i="3"/>
  <c r="BA251" i="3"/>
  <c r="BA247" i="3"/>
  <c r="BA243" i="3"/>
  <c r="BA239" i="3"/>
  <c r="BA235" i="3"/>
  <c r="BA231" i="3"/>
  <c r="BA227" i="3"/>
  <c r="BA223" i="3"/>
  <c r="BA219" i="3"/>
  <c r="BA215" i="3"/>
  <c r="BA211" i="3"/>
  <c r="BA207" i="3"/>
  <c r="BA203" i="3"/>
  <c r="BA199" i="3"/>
  <c r="BA195" i="3"/>
  <c r="BA191" i="3"/>
  <c r="BA187" i="3"/>
  <c r="BA183" i="3"/>
  <c r="BA179" i="3"/>
  <c r="BA175" i="3"/>
  <c r="BA171" i="3"/>
  <c r="BA167" i="3"/>
  <c r="BA163" i="3"/>
  <c r="BA159" i="3"/>
  <c r="BA151" i="3"/>
  <c r="BA147" i="3"/>
  <c r="BA143" i="3"/>
  <c r="BA139" i="3"/>
  <c r="BA135" i="3"/>
  <c r="BA131" i="3"/>
  <c r="BA127" i="3"/>
  <c r="BA123" i="3"/>
  <c r="BA119" i="3"/>
  <c r="BA115" i="3"/>
  <c r="BA111" i="3"/>
  <c r="BA103" i="3"/>
  <c r="BA99" i="3"/>
  <c r="BA95" i="3"/>
  <c r="BA91" i="3"/>
  <c r="BA87" i="3"/>
  <c r="BA83" i="3"/>
  <c r="BA79" i="3"/>
  <c r="BA75" i="3"/>
  <c r="BA71" i="3"/>
  <c r="BA63" i="3"/>
  <c r="BA59" i="3"/>
  <c r="BA55" i="3"/>
  <c r="BA51" i="3"/>
  <c r="BA47" i="3"/>
  <c r="BA43" i="3"/>
  <c r="BA39" i="3"/>
  <c r="BA35" i="3"/>
  <c r="BA31" i="3"/>
  <c r="BA27" i="3"/>
  <c r="BA23" i="3"/>
  <c r="BA19" i="3"/>
  <c r="BA15" i="3"/>
  <c r="BA11" i="3"/>
  <c r="BA7" i="3"/>
  <c r="BA946" i="3"/>
  <c r="BA1990" i="3"/>
  <c r="BA1970" i="3"/>
  <c r="BA1950" i="3"/>
  <c r="BA1926" i="3"/>
  <c r="BA1906" i="3"/>
  <c r="BA1886" i="3"/>
  <c r="BA1870" i="3"/>
  <c r="BA1854" i="3"/>
  <c r="BA1834" i="3"/>
  <c r="BA1814" i="3"/>
  <c r="BA1794" i="3"/>
  <c r="BA1778" i="3"/>
  <c r="BA1762" i="3"/>
  <c r="BA1750" i="3"/>
  <c r="BA1734" i="3"/>
  <c r="BA1718" i="3"/>
  <c r="BA1702" i="3"/>
  <c r="BA1682" i="3"/>
  <c r="BA1658" i="3"/>
  <c r="BA1634" i="3"/>
  <c r="BA1614" i="3"/>
  <c r="BA1594" i="3"/>
  <c r="BA1574" i="3"/>
  <c r="BA1554" i="3"/>
  <c r="BA1534" i="3"/>
  <c r="BA1514" i="3"/>
  <c r="BA1494" i="3"/>
  <c r="BA1478" i="3"/>
  <c r="BA1458" i="3"/>
  <c r="BA1442" i="3"/>
  <c r="BA1430" i="3"/>
  <c r="BA1414" i="3"/>
  <c r="BA1398" i="3"/>
  <c r="BA1378" i="3"/>
  <c r="BA1358" i="3"/>
  <c r="BA1338" i="3"/>
  <c r="BA1318" i="3"/>
  <c r="BA1298" i="3"/>
  <c r="BA1282" i="3"/>
  <c r="BA1262" i="3"/>
  <c r="BA1238" i="3"/>
  <c r="BA1214" i="3"/>
  <c r="BA1190" i="3"/>
  <c r="BA1166" i="3"/>
  <c r="BA1142" i="3"/>
  <c r="BA1122" i="3"/>
  <c r="BA1102" i="3"/>
  <c r="BA1082" i="3"/>
  <c r="BA1066" i="3"/>
  <c r="BA1046" i="3"/>
  <c r="BA1030" i="3"/>
  <c r="BA1010" i="3"/>
  <c r="BA994" i="3"/>
  <c r="BA978" i="3"/>
  <c r="BA966" i="3"/>
  <c r="BA962" i="3"/>
  <c r="BA954" i="3"/>
  <c r="BA942" i="3"/>
  <c r="BA918" i="3"/>
  <c r="BA894" i="3"/>
  <c r="BA870" i="3"/>
  <c r="BA846" i="3"/>
  <c r="BA822" i="3"/>
  <c r="BA802" i="3"/>
  <c r="BA782" i="3"/>
  <c r="BA758" i="3"/>
  <c r="BA738" i="3"/>
  <c r="BA718" i="3"/>
  <c r="BA702" i="3"/>
  <c r="BA690" i="3"/>
  <c r="BA674" i="3"/>
  <c r="BA658" i="3"/>
  <c r="BA642" i="3"/>
  <c r="BA626" i="3"/>
  <c r="BA614" i="3"/>
  <c r="BA534" i="3"/>
  <c r="BA514" i="3"/>
  <c r="BA494" i="3"/>
  <c r="BA478" i="3"/>
  <c r="BA434" i="3"/>
  <c r="BA426" i="3"/>
  <c r="BA414" i="3"/>
  <c r="BA402" i="3"/>
  <c r="BA398" i="3"/>
  <c r="BA390" i="3"/>
  <c r="BA386" i="3"/>
  <c r="BA378" i="3"/>
  <c r="BA374" i="3"/>
  <c r="BA370" i="3"/>
  <c r="BA366" i="3"/>
  <c r="BA362" i="3"/>
  <c r="BA358" i="3"/>
  <c r="BA354" i="3"/>
  <c r="BA350" i="3"/>
  <c r="BA346" i="3"/>
  <c r="BA342" i="3"/>
  <c r="BA338" i="3"/>
  <c r="BA334" i="3"/>
  <c r="BA330" i="3"/>
  <c r="BA326" i="3"/>
  <c r="BA322" i="3"/>
  <c r="BA318" i="3"/>
  <c r="BA314" i="3"/>
  <c r="BA310" i="3"/>
  <c r="BA306" i="3"/>
  <c r="BA302" i="3"/>
  <c r="BA298" i="3"/>
  <c r="BA294" i="3"/>
  <c r="BA290" i="3"/>
  <c r="BA286" i="3"/>
  <c r="BA282" i="3"/>
  <c r="BA278" i="3"/>
  <c r="BA274" i="3"/>
  <c r="BA270" i="3"/>
  <c r="BA266" i="3"/>
  <c r="BA262" i="3"/>
  <c r="BA258" i="3"/>
  <c r="BA254" i="3"/>
  <c r="BA250" i="3"/>
  <c r="BA246" i="3"/>
  <c r="BA242" i="3"/>
  <c r="BA238" i="3"/>
  <c r="BA234" i="3"/>
  <c r="BA230" i="3"/>
  <c r="BA226" i="3"/>
  <c r="BA218" i="3"/>
  <c r="BA214" i="3"/>
  <c r="BA210" i="3"/>
  <c r="BA206" i="3"/>
  <c r="BA202" i="3"/>
  <c r="BA198" i="3"/>
  <c r="BA194" i="3"/>
  <c r="BA190" i="3"/>
  <c r="BA186" i="3"/>
  <c r="BA178" i="3"/>
  <c r="BA174" i="3"/>
  <c r="BA170" i="3"/>
  <c r="BA166" i="3"/>
  <c r="BA162" i="3"/>
  <c r="BA154" i="3"/>
  <c r="BA146" i="3"/>
  <c r="BA142" i="3"/>
  <c r="BA138" i="3"/>
  <c r="BA134" i="3"/>
  <c r="BA130" i="3"/>
  <c r="BA126" i="3"/>
  <c r="BA122" i="3"/>
  <c r="BA118" i="3"/>
  <c r="BA114" i="3"/>
  <c r="BA110" i="3"/>
  <c r="BA106" i="3"/>
  <c r="BA102" i="3"/>
  <c r="BA98" i="3"/>
  <c r="BA94" i="3"/>
  <c r="BA90" i="3"/>
  <c r="BA86" i="3"/>
  <c r="BA82" i="3"/>
  <c r="BA78" i="3"/>
  <c r="BA74" i="3"/>
  <c r="BA70" i="3"/>
  <c r="BA66" i="3"/>
  <c r="BA62" i="3"/>
  <c r="BA58" i="3"/>
  <c r="BA54" i="3"/>
  <c r="BA50" i="3"/>
  <c r="BA46" i="3"/>
  <c r="BA42" i="3"/>
  <c r="BA38" i="3"/>
  <c r="BA34" i="3"/>
  <c r="BA30" i="3"/>
  <c r="BA26" i="3"/>
  <c r="BA22" i="3"/>
  <c r="BA18" i="3"/>
  <c r="BA14" i="3"/>
  <c r="BA10" i="3"/>
  <c r="BA6" i="3"/>
  <c r="BA2001" i="3"/>
  <c r="BA1997" i="3"/>
  <c r="BA1993" i="3"/>
  <c r="BA1989" i="3"/>
  <c r="BA1985" i="3"/>
  <c r="BA1981" i="3"/>
  <c r="BA1977" i="3"/>
  <c r="BA1973" i="3"/>
  <c r="BA1969" i="3"/>
  <c r="BA1965" i="3"/>
  <c r="BA1961" i="3"/>
  <c r="BA1957" i="3"/>
  <c r="BA1953" i="3"/>
  <c r="BA1949" i="3"/>
  <c r="BA1945" i="3"/>
  <c r="BA1941" i="3"/>
  <c r="BA1937" i="3"/>
  <c r="BA1933" i="3"/>
  <c r="BA1929" i="3"/>
  <c r="BA1925" i="3"/>
  <c r="BA1921" i="3"/>
  <c r="BA1917" i="3"/>
  <c r="BA1913" i="3"/>
  <c r="BA1909" i="3"/>
  <c r="BA1905" i="3"/>
  <c r="BA1901" i="3"/>
  <c r="BA1897" i="3"/>
  <c r="BA1893" i="3"/>
  <c r="BA1889" i="3"/>
  <c r="BA1885" i="3"/>
  <c r="BA1881" i="3"/>
  <c r="BA1877" i="3"/>
  <c r="BA1873" i="3"/>
  <c r="BA1869" i="3"/>
  <c r="BA1865" i="3"/>
  <c r="BA1861" i="3"/>
  <c r="BA1857" i="3"/>
  <c r="BA1853" i="3"/>
  <c r="BA1849" i="3"/>
  <c r="BA1845" i="3"/>
  <c r="BA1841" i="3"/>
  <c r="BA1837" i="3"/>
  <c r="BA1833" i="3"/>
  <c r="BA1829" i="3"/>
  <c r="BA1825" i="3"/>
  <c r="BA1821" i="3"/>
  <c r="BA1817" i="3"/>
  <c r="BA1813" i="3"/>
  <c r="BA1809" i="3"/>
  <c r="BA1805" i="3"/>
  <c r="BA1801" i="3"/>
  <c r="BA1797" i="3"/>
  <c r="BA1793" i="3"/>
  <c r="BA1789" i="3"/>
  <c r="BA1785" i="3"/>
  <c r="BA1781" i="3"/>
  <c r="BA1777" i="3"/>
  <c r="BA1773" i="3"/>
  <c r="BA1769" i="3"/>
  <c r="BA1765" i="3"/>
  <c r="BA1761" i="3"/>
  <c r="BA1757" i="3"/>
  <c r="BA1753" i="3"/>
  <c r="BA1749" i="3"/>
  <c r="BA1745" i="3"/>
  <c r="BA1741" i="3"/>
  <c r="BA1737" i="3"/>
  <c r="BA1733" i="3"/>
  <c r="BA1729" i="3"/>
  <c r="BA1725" i="3"/>
  <c r="BA1721" i="3"/>
  <c r="BA1717" i="3"/>
  <c r="BA1713" i="3"/>
  <c r="BA1709" i="3"/>
  <c r="BA1705" i="3"/>
  <c r="BA1701" i="3"/>
  <c r="BA1697" i="3"/>
  <c r="BA1693" i="3"/>
  <c r="BA1689" i="3"/>
  <c r="BA1685" i="3"/>
  <c r="BA1681" i="3"/>
  <c r="BA1677" i="3"/>
  <c r="BA1673" i="3"/>
  <c r="BA1669" i="3"/>
  <c r="BA1665" i="3"/>
  <c r="BA1661" i="3"/>
  <c r="BA1657" i="3"/>
  <c r="BA1653" i="3"/>
  <c r="BA1649" i="3"/>
  <c r="BA1645" i="3"/>
  <c r="BA1641" i="3"/>
  <c r="BA1637" i="3"/>
  <c r="BA1633" i="3"/>
  <c r="BA1629" i="3"/>
  <c r="BA1625" i="3"/>
  <c r="BA1621" i="3"/>
  <c r="BA1617" i="3"/>
  <c r="BA1613" i="3"/>
  <c r="BA1609" i="3"/>
  <c r="BA1605" i="3"/>
  <c r="BA1601" i="3"/>
  <c r="BA1597" i="3"/>
  <c r="BA1593" i="3"/>
  <c r="BA1589" i="3"/>
  <c r="BA1585" i="3"/>
  <c r="BA1581" i="3"/>
  <c r="BA1577" i="3"/>
  <c r="BA1573" i="3"/>
  <c r="BA1569" i="3"/>
  <c r="BA1565" i="3"/>
  <c r="BA1561" i="3"/>
  <c r="BA1557" i="3"/>
  <c r="BA1553" i="3"/>
  <c r="BA1549" i="3"/>
  <c r="BA1545" i="3"/>
  <c r="BA1541" i="3"/>
  <c r="BA1537" i="3"/>
  <c r="BA1533" i="3"/>
  <c r="BA1529" i="3"/>
  <c r="BA1525" i="3"/>
  <c r="BA1521" i="3"/>
  <c r="BA1517" i="3"/>
  <c r="BA1513" i="3"/>
  <c r="BA1509" i="3"/>
  <c r="BA1505" i="3"/>
  <c r="BA1501" i="3"/>
  <c r="BA1497" i="3"/>
  <c r="BA1493" i="3"/>
  <c r="BA1489" i="3"/>
  <c r="BA1485" i="3"/>
  <c r="BA1481" i="3"/>
  <c r="BA1477" i="3"/>
  <c r="BA1473" i="3"/>
  <c r="BA1469" i="3"/>
  <c r="BA1465" i="3"/>
  <c r="BA1461" i="3"/>
  <c r="BA1457" i="3"/>
  <c r="BA1453" i="3"/>
  <c r="BA1449" i="3"/>
  <c r="BA1445" i="3"/>
  <c r="BA1441" i="3"/>
  <c r="BA1437" i="3"/>
  <c r="BA1433" i="3"/>
  <c r="BA1429" i="3"/>
  <c r="BA1425" i="3"/>
  <c r="BA1421" i="3"/>
  <c r="BA1417" i="3"/>
  <c r="BA1413" i="3"/>
  <c r="BA1409" i="3"/>
  <c r="BA1405" i="3"/>
  <c r="BA1401" i="3"/>
  <c r="BA1397" i="3"/>
  <c r="BA1393" i="3"/>
  <c r="BA1389" i="3"/>
  <c r="BA1385" i="3"/>
  <c r="BA1381" i="3"/>
  <c r="BA1377" i="3"/>
  <c r="BA1373" i="3"/>
  <c r="BA1369" i="3"/>
  <c r="BA1365" i="3"/>
  <c r="BA1361" i="3"/>
  <c r="BA1357" i="3"/>
  <c r="BA1353" i="3"/>
  <c r="BA1349" i="3"/>
  <c r="BA1345" i="3"/>
  <c r="BA1341" i="3"/>
  <c r="BA1337" i="3"/>
  <c r="BA1333" i="3"/>
  <c r="BA1329" i="3"/>
  <c r="BA1325" i="3"/>
  <c r="BA1321" i="3"/>
  <c r="BA1317" i="3"/>
  <c r="BA1313" i="3"/>
  <c r="BA1309" i="3"/>
  <c r="BA1305" i="3"/>
  <c r="BA1301" i="3"/>
  <c r="BA1297" i="3"/>
  <c r="BA1293" i="3"/>
  <c r="BA1289" i="3"/>
  <c r="BA1285" i="3"/>
  <c r="BA1281" i="3"/>
  <c r="BA1277" i="3"/>
  <c r="BA1273" i="3"/>
  <c r="BA1269" i="3"/>
  <c r="BA1265" i="3"/>
  <c r="BA1261" i="3"/>
  <c r="BA1257" i="3"/>
  <c r="BA1253" i="3"/>
  <c r="BA1249" i="3"/>
  <c r="BA1245" i="3"/>
  <c r="BA1241" i="3"/>
  <c r="BA1237" i="3"/>
  <c r="BA1233" i="3"/>
  <c r="BA1229" i="3"/>
  <c r="BA1225" i="3"/>
  <c r="BA1221" i="3"/>
  <c r="BA1217" i="3"/>
  <c r="BA1213" i="3"/>
  <c r="BA1209" i="3"/>
  <c r="BA1205" i="3"/>
  <c r="BA1201" i="3"/>
  <c r="BA1197" i="3"/>
  <c r="BA1193" i="3"/>
  <c r="BA1189" i="3"/>
  <c r="BA1185" i="3"/>
  <c r="BA1181" i="3"/>
  <c r="BA1177" i="3"/>
  <c r="BA1173" i="3"/>
  <c r="BA1169" i="3"/>
  <c r="BA1165" i="3"/>
  <c r="BA1161" i="3"/>
  <c r="BA1157" i="3"/>
  <c r="BA1153" i="3"/>
  <c r="BA1149" i="3"/>
  <c r="BA1145" i="3"/>
  <c r="BA1141" i="3"/>
  <c r="BA1137" i="3"/>
  <c r="BA1133" i="3"/>
  <c r="BA1129" i="3"/>
  <c r="BA1125" i="3"/>
  <c r="BA1121" i="3"/>
  <c r="BA1117" i="3"/>
  <c r="BA1113" i="3"/>
  <c r="BA1109" i="3"/>
  <c r="BA1105" i="3"/>
  <c r="BA1101" i="3"/>
  <c r="BA1097" i="3"/>
  <c r="BA1093" i="3"/>
  <c r="BA1089" i="3"/>
  <c r="BA1085" i="3"/>
  <c r="BA1081" i="3"/>
  <c r="BA1077" i="3"/>
  <c r="BA1073" i="3"/>
  <c r="BA1069" i="3"/>
  <c r="BA1065" i="3"/>
  <c r="BA1061" i="3"/>
  <c r="BA1057" i="3"/>
  <c r="BA1053" i="3"/>
  <c r="BA1049" i="3"/>
  <c r="BA1045" i="3"/>
  <c r="BA1041" i="3"/>
  <c r="BA1037" i="3"/>
  <c r="BA1033" i="3"/>
  <c r="BA1029" i="3"/>
  <c r="BA1025" i="3"/>
  <c r="BA1021" i="3"/>
  <c r="BA1017" i="3"/>
  <c r="BA1013" i="3"/>
  <c r="BA1009" i="3"/>
  <c r="BA1005" i="3"/>
  <c r="BA1001" i="3"/>
  <c r="BA997" i="3"/>
  <c r="BA993" i="3"/>
  <c r="BA989" i="3"/>
  <c r="BA985" i="3"/>
  <c r="BA981" i="3"/>
  <c r="BA977" i="3"/>
  <c r="BA973" i="3"/>
  <c r="BA969" i="3"/>
  <c r="BA965" i="3"/>
  <c r="BA961" i="3"/>
  <c r="BA957" i="3"/>
  <c r="BA953" i="3"/>
  <c r="BA949" i="3"/>
  <c r="BA945" i="3"/>
  <c r="BA941" i="3"/>
  <c r="BA937" i="3"/>
  <c r="BA933" i="3"/>
  <c r="BA929" i="3"/>
  <c r="BA925" i="3"/>
  <c r="BA921" i="3"/>
  <c r="BA917" i="3"/>
  <c r="BA913" i="3"/>
  <c r="BA909" i="3"/>
  <c r="BA905" i="3"/>
  <c r="BA901" i="3"/>
  <c r="BA897" i="3"/>
  <c r="BA893" i="3"/>
  <c r="BA889" i="3"/>
  <c r="BA885" i="3"/>
  <c r="BA881" i="3"/>
  <c r="BA877" i="3"/>
  <c r="BA873" i="3"/>
  <c r="BA869" i="3"/>
  <c r="BA865" i="3"/>
  <c r="BA861" i="3"/>
  <c r="BA857" i="3"/>
  <c r="BA853" i="3"/>
  <c r="BA849" i="3"/>
  <c r="BA845" i="3"/>
  <c r="BA841" i="3"/>
  <c r="BA837" i="3"/>
  <c r="BA833" i="3"/>
  <c r="BA829" i="3"/>
  <c r="BA825" i="3"/>
  <c r="BA821" i="3"/>
  <c r="BA817" i="3"/>
  <c r="BA813" i="3"/>
  <c r="BA809" i="3"/>
  <c r="BA805" i="3"/>
  <c r="BA801" i="3"/>
  <c r="BA797" i="3"/>
  <c r="BA793" i="3"/>
  <c r="BA789" i="3"/>
  <c r="BA785" i="3"/>
  <c r="BA781" i="3"/>
  <c r="BA777" i="3"/>
  <c r="BA773" i="3"/>
  <c r="BA769" i="3"/>
  <c r="BA765" i="3"/>
  <c r="BA761" i="3"/>
  <c r="BA757" i="3"/>
  <c r="BA753" i="3"/>
  <c r="BA749" i="3"/>
  <c r="BA745" i="3"/>
  <c r="BA741" i="3"/>
  <c r="BA737" i="3"/>
  <c r="BA733" i="3"/>
  <c r="BA729" i="3"/>
  <c r="BA725" i="3"/>
  <c r="BA721" i="3"/>
  <c r="BA717" i="3"/>
  <c r="BA713" i="3"/>
  <c r="BA709" i="3"/>
  <c r="BA705" i="3"/>
  <c r="BA701" i="3"/>
  <c r="BA697" i="3"/>
  <c r="BA693" i="3"/>
  <c r="BA689" i="3"/>
  <c r="BA685" i="3"/>
  <c r="BA681" i="3"/>
  <c r="BA677" i="3"/>
  <c r="BA673" i="3"/>
  <c r="BA669" i="3"/>
  <c r="BA665" i="3"/>
  <c r="BA661" i="3"/>
  <c r="BA657" i="3"/>
  <c r="BA653" i="3"/>
  <c r="BA649" i="3"/>
  <c r="BA645" i="3"/>
  <c r="BA641" i="3"/>
  <c r="BA637" i="3"/>
  <c r="BA633" i="3"/>
  <c r="BA629" i="3"/>
  <c r="BA625" i="3"/>
  <c r="BA621" i="3"/>
  <c r="BA617" i="3"/>
  <c r="BA613" i="3"/>
  <c r="BA609" i="3"/>
  <c r="BA605" i="3"/>
  <c r="BA601" i="3"/>
  <c r="BA569" i="3"/>
  <c r="BA537" i="3"/>
  <c r="BA533" i="3"/>
  <c r="BA525" i="3"/>
  <c r="BA521" i="3"/>
  <c r="BA517" i="3"/>
  <c r="BA509" i="3"/>
  <c r="BA505" i="3"/>
  <c r="BA501" i="3"/>
  <c r="BA497" i="3"/>
  <c r="BA493" i="3"/>
  <c r="BA489" i="3"/>
  <c r="BA481" i="3"/>
  <c r="BA477" i="3"/>
  <c r="BA473" i="3"/>
  <c r="BA469" i="3"/>
  <c r="BA465" i="3"/>
  <c r="BA461" i="3"/>
  <c r="BA457" i="3"/>
  <c r="BA453" i="3"/>
  <c r="BA449" i="3"/>
  <c r="BA445" i="3"/>
  <c r="BA441" i="3"/>
  <c r="BA433" i="3"/>
  <c r="BA429" i="3"/>
  <c r="BA425" i="3"/>
  <c r="BA421" i="3"/>
  <c r="BA417" i="3"/>
  <c r="BA413" i="3"/>
  <c r="BA409" i="3"/>
  <c r="BA405" i="3"/>
  <c r="BA401" i="3"/>
  <c r="BA397" i="3"/>
  <c r="BA393" i="3"/>
  <c r="BA389" i="3"/>
  <c r="BA385" i="3"/>
  <c r="BA381" i="3"/>
  <c r="BA377" i="3"/>
  <c r="BA373" i="3"/>
  <c r="BA369" i="3"/>
  <c r="BA365" i="3"/>
  <c r="BA361" i="3"/>
  <c r="BA357" i="3"/>
  <c r="BA353" i="3"/>
  <c r="BA349" i="3"/>
  <c r="BA345" i="3"/>
  <c r="BA341" i="3"/>
  <c r="BA337" i="3"/>
  <c r="BA333" i="3"/>
  <c r="BA329" i="3"/>
  <c r="BA325" i="3"/>
  <c r="BA321" i="3"/>
  <c r="BA317" i="3"/>
  <c r="BA313" i="3"/>
  <c r="BA305" i="3"/>
  <c r="BA301" i="3"/>
  <c r="BA297" i="3"/>
  <c r="BA293" i="3"/>
  <c r="BA289" i="3"/>
  <c r="BA285" i="3"/>
  <c r="BA281" i="3"/>
  <c r="BA277" i="3"/>
  <c r="BA273" i="3"/>
  <c r="BA269" i="3"/>
  <c r="BA265" i="3"/>
  <c r="BA261" i="3"/>
  <c r="BA257" i="3"/>
  <c r="BA253" i="3"/>
  <c r="BA249" i="3"/>
  <c r="BA245" i="3"/>
  <c r="BA241" i="3"/>
  <c r="BA237" i="3"/>
  <c r="BA233" i="3"/>
  <c r="BA229" i="3"/>
  <c r="BA225" i="3"/>
  <c r="BA221" i="3"/>
  <c r="BA217" i="3"/>
  <c r="BA209" i="3"/>
  <c r="BA205" i="3"/>
  <c r="BA201" i="3"/>
  <c r="BA197" i="3"/>
  <c r="BA193" i="3"/>
  <c r="BA189" i="3"/>
  <c r="BA185" i="3"/>
  <c r="BA181" i="3"/>
  <c r="BA177" i="3"/>
  <c r="BA173" i="3"/>
  <c r="BA169" i="3"/>
  <c r="BA153" i="3"/>
  <c r="BA149" i="3"/>
  <c r="BA145" i="3"/>
  <c r="BA141" i="3"/>
  <c r="BA137" i="3"/>
  <c r="BA133" i="3"/>
  <c r="BA129" i="3"/>
  <c r="BA125" i="3"/>
  <c r="BA121" i="3"/>
  <c r="BA117" i="3"/>
  <c r="BA113" i="3"/>
  <c r="BA109" i="3"/>
  <c r="BA105" i="3"/>
  <c r="BA101" i="3"/>
  <c r="BA97" i="3"/>
  <c r="BA93" i="3"/>
  <c r="BA89" i="3"/>
  <c r="BA85" i="3"/>
  <c r="BA81" i="3"/>
  <c r="BA77" i="3"/>
  <c r="BA73" i="3"/>
  <c r="BA69" i="3"/>
  <c r="BA65" i="3"/>
  <c r="BA61" i="3"/>
  <c r="BA57" i="3"/>
  <c r="BA53" i="3"/>
  <c r="BA49" i="3"/>
  <c r="BA45" i="3"/>
  <c r="BA41" i="3"/>
  <c r="BA37" i="3"/>
  <c r="BA33" i="3"/>
  <c r="BA29" i="3"/>
  <c r="BA25" i="3"/>
  <c r="BA21" i="3"/>
  <c r="BA17" i="3"/>
  <c r="BA13" i="3"/>
  <c r="BA9" i="3"/>
  <c r="J9" i="63" l="1"/>
  <c r="E16" i="38"/>
  <c r="F33" i="63"/>
  <c r="AV33" i="42"/>
  <c r="A39" i="38"/>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D251" i="3"/>
  <c r="D252" i="3"/>
  <c r="D253" i="3"/>
  <c r="D254" i="3"/>
  <c r="D255" i="3"/>
  <c r="D256" i="3"/>
  <c r="D257" i="3"/>
  <c r="D258" i="3"/>
  <c r="D259" i="3"/>
  <c r="D260" i="3"/>
  <c r="D261" i="3"/>
  <c r="D262" i="3"/>
  <c r="D263" i="3"/>
  <c r="D264" i="3"/>
  <c r="D265" i="3"/>
  <c r="D266" i="3"/>
  <c r="D267" i="3"/>
  <c r="D268" i="3"/>
  <c r="D269" i="3"/>
  <c r="D270" i="3"/>
  <c r="D271" i="3"/>
  <c r="D272" i="3"/>
  <c r="D273" i="3"/>
  <c r="D274" i="3"/>
  <c r="D275" i="3"/>
  <c r="D276" i="3"/>
  <c r="D277" i="3"/>
  <c r="D278" i="3"/>
  <c r="D279" i="3"/>
  <c r="D280" i="3"/>
  <c r="D281" i="3"/>
  <c r="D282" i="3"/>
  <c r="D283" i="3"/>
  <c r="D284" i="3"/>
  <c r="D285" i="3"/>
  <c r="D286" i="3"/>
  <c r="D287" i="3"/>
  <c r="D288" i="3"/>
  <c r="D289" i="3"/>
  <c r="D290" i="3"/>
  <c r="D291" i="3"/>
  <c r="D292" i="3"/>
  <c r="D293" i="3"/>
  <c r="D294" i="3"/>
  <c r="D295" i="3"/>
  <c r="D296" i="3"/>
  <c r="D297" i="3"/>
  <c r="D298" i="3"/>
  <c r="D299" i="3"/>
  <c r="D300" i="3"/>
  <c r="D301" i="3"/>
  <c r="D302" i="3"/>
  <c r="D303" i="3"/>
  <c r="D304" i="3"/>
  <c r="D305" i="3"/>
  <c r="D306" i="3"/>
  <c r="D307" i="3"/>
  <c r="D308" i="3"/>
  <c r="D309" i="3"/>
  <c r="D310" i="3"/>
  <c r="D311" i="3"/>
  <c r="D312" i="3"/>
  <c r="K312" i="3" s="1"/>
  <c r="D313" i="3"/>
  <c r="D314" i="3"/>
  <c r="D315" i="3"/>
  <c r="D316" i="3"/>
  <c r="D317" i="3"/>
  <c r="D318" i="3"/>
  <c r="D319" i="3"/>
  <c r="D320" i="3"/>
  <c r="D321" i="3"/>
  <c r="D322" i="3"/>
  <c r="D323" i="3"/>
  <c r="D324" i="3"/>
  <c r="D325" i="3"/>
  <c r="D326" i="3"/>
  <c r="D327" i="3"/>
  <c r="D328" i="3"/>
  <c r="D329" i="3"/>
  <c r="D330" i="3"/>
  <c r="D331" i="3"/>
  <c r="D332" i="3"/>
  <c r="D333" i="3"/>
  <c r="D334" i="3"/>
  <c r="D335" i="3"/>
  <c r="D336" i="3"/>
  <c r="D337" i="3"/>
  <c r="D338" i="3"/>
  <c r="D339" i="3"/>
  <c r="D340" i="3"/>
  <c r="D341" i="3"/>
  <c r="D342" i="3"/>
  <c r="D343" i="3"/>
  <c r="D344" i="3"/>
  <c r="D345" i="3"/>
  <c r="D346" i="3"/>
  <c r="D347" i="3"/>
  <c r="D348" i="3"/>
  <c r="D349" i="3"/>
  <c r="D350" i="3"/>
  <c r="D351" i="3"/>
  <c r="D352" i="3"/>
  <c r="D353" i="3"/>
  <c r="D354" i="3"/>
  <c r="D355" i="3"/>
  <c r="D356" i="3"/>
  <c r="D357" i="3"/>
  <c r="D358" i="3"/>
  <c r="D359" i="3"/>
  <c r="D360" i="3"/>
  <c r="D361" i="3"/>
  <c r="D362" i="3"/>
  <c r="D363" i="3"/>
  <c r="D364" i="3"/>
  <c r="D365" i="3"/>
  <c r="D366" i="3"/>
  <c r="D367" i="3"/>
  <c r="D368" i="3"/>
  <c r="D369" i="3"/>
  <c r="D370" i="3"/>
  <c r="D371" i="3"/>
  <c r="D372" i="3"/>
  <c r="D373" i="3"/>
  <c r="D374" i="3"/>
  <c r="D375" i="3"/>
  <c r="D376" i="3"/>
  <c r="D377" i="3"/>
  <c r="D378" i="3"/>
  <c r="D379" i="3"/>
  <c r="D380" i="3"/>
  <c r="D381" i="3"/>
  <c r="D382" i="3"/>
  <c r="D383" i="3"/>
  <c r="D384" i="3"/>
  <c r="D385" i="3"/>
  <c r="D386" i="3"/>
  <c r="D387" i="3"/>
  <c r="D388" i="3"/>
  <c r="D389" i="3"/>
  <c r="D390" i="3"/>
  <c r="D391" i="3"/>
  <c r="D392" i="3"/>
  <c r="D393" i="3"/>
  <c r="D394" i="3"/>
  <c r="D395" i="3"/>
  <c r="D396" i="3"/>
  <c r="D397" i="3"/>
  <c r="D398" i="3"/>
  <c r="D399" i="3"/>
  <c r="D400" i="3"/>
  <c r="D401" i="3"/>
  <c r="D402" i="3"/>
  <c r="D403" i="3"/>
  <c r="D404" i="3"/>
  <c r="D405" i="3"/>
  <c r="D406" i="3"/>
  <c r="D407" i="3"/>
  <c r="D408" i="3"/>
  <c r="D409" i="3"/>
  <c r="D410" i="3"/>
  <c r="D411" i="3"/>
  <c r="D412" i="3"/>
  <c r="D413" i="3"/>
  <c r="D414" i="3"/>
  <c r="D415" i="3"/>
  <c r="D416" i="3"/>
  <c r="D417" i="3"/>
  <c r="D418" i="3"/>
  <c r="D419" i="3"/>
  <c r="D420" i="3"/>
  <c r="D421" i="3"/>
  <c r="D422" i="3"/>
  <c r="D423" i="3"/>
  <c r="D424" i="3"/>
  <c r="D425" i="3"/>
  <c r="D426" i="3"/>
  <c r="D427" i="3"/>
  <c r="D428" i="3"/>
  <c r="D429" i="3"/>
  <c r="D430" i="3"/>
  <c r="D431" i="3"/>
  <c r="D432" i="3"/>
  <c r="D433" i="3"/>
  <c r="D434" i="3"/>
  <c r="D435" i="3"/>
  <c r="D436" i="3"/>
  <c r="D437" i="3"/>
  <c r="D438" i="3"/>
  <c r="D439" i="3"/>
  <c r="D440" i="3"/>
  <c r="D441" i="3"/>
  <c r="D442" i="3"/>
  <c r="D443" i="3"/>
  <c r="D444" i="3"/>
  <c r="D445" i="3"/>
  <c r="D446" i="3"/>
  <c r="D447" i="3"/>
  <c r="D448" i="3"/>
  <c r="D449" i="3"/>
  <c r="D450" i="3"/>
  <c r="D451" i="3"/>
  <c r="D452" i="3"/>
  <c r="D453" i="3"/>
  <c r="D454" i="3"/>
  <c r="D455" i="3"/>
  <c r="D456" i="3"/>
  <c r="D457" i="3"/>
  <c r="D458" i="3"/>
  <c r="D459" i="3"/>
  <c r="D460" i="3"/>
  <c r="D461" i="3"/>
  <c r="D462" i="3"/>
  <c r="D463" i="3"/>
  <c r="D464" i="3"/>
  <c r="D465" i="3"/>
  <c r="D466" i="3"/>
  <c r="D467" i="3"/>
  <c r="D468" i="3"/>
  <c r="D469" i="3"/>
  <c r="D470" i="3"/>
  <c r="D471" i="3"/>
  <c r="D472" i="3"/>
  <c r="D473" i="3"/>
  <c r="D474" i="3"/>
  <c r="D475" i="3"/>
  <c r="D476" i="3"/>
  <c r="D477" i="3"/>
  <c r="D478" i="3"/>
  <c r="D479" i="3"/>
  <c r="D480" i="3"/>
  <c r="D481" i="3"/>
  <c r="D482" i="3"/>
  <c r="D483" i="3"/>
  <c r="D484" i="3"/>
  <c r="D485" i="3"/>
  <c r="D486" i="3"/>
  <c r="D487" i="3"/>
  <c r="D488" i="3"/>
  <c r="D489" i="3"/>
  <c r="D490" i="3"/>
  <c r="D491" i="3"/>
  <c r="D492" i="3"/>
  <c r="D493" i="3"/>
  <c r="D494" i="3"/>
  <c r="D495" i="3"/>
  <c r="D496" i="3"/>
  <c r="D497" i="3"/>
  <c r="D498" i="3"/>
  <c r="D499" i="3"/>
  <c r="D500" i="3"/>
  <c r="D501" i="3"/>
  <c r="D502" i="3"/>
  <c r="D503" i="3"/>
  <c r="D504" i="3"/>
  <c r="D505" i="3"/>
  <c r="D506" i="3"/>
  <c r="D507" i="3"/>
  <c r="D508" i="3"/>
  <c r="D509" i="3"/>
  <c r="D510" i="3"/>
  <c r="D511" i="3"/>
  <c r="D512" i="3"/>
  <c r="D513" i="3"/>
  <c r="D514" i="3"/>
  <c r="D515" i="3"/>
  <c r="D516" i="3"/>
  <c r="D517" i="3"/>
  <c r="D518" i="3"/>
  <c r="D519" i="3"/>
  <c r="D520" i="3"/>
  <c r="D521" i="3"/>
  <c r="D522" i="3"/>
  <c r="D523" i="3"/>
  <c r="D524" i="3"/>
  <c r="D525" i="3"/>
  <c r="D526" i="3"/>
  <c r="D527" i="3"/>
  <c r="D528" i="3"/>
  <c r="D529" i="3"/>
  <c r="D530" i="3"/>
  <c r="D531" i="3"/>
  <c r="D532" i="3"/>
  <c r="D533" i="3"/>
  <c r="D534" i="3"/>
  <c r="D535" i="3"/>
  <c r="D536" i="3"/>
  <c r="D537" i="3"/>
  <c r="D538" i="3"/>
  <c r="D539" i="3"/>
  <c r="D540" i="3"/>
  <c r="D541" i="3"/>
  <c r="D542" i="3"/>
  <c r="D543" i="3"/>
  <c r="D544" i="3"/>
  <c r="D545" i="3"/>
  <c r="D546" i="3"/>
  <c r="D547" i="3"/>
  <c r="D548" i="3"/>
  <c r="D549" i="3"/>
  <c r="D550" i="3"/>
  <c r="D551" i="3"/>
  <c r="D552" i="3"/>
  <c r="D553" i="3"/>
  <c r="D554" i="3"/>
  <c r="D555" i="3"/>
  <c r="D556" i="3"/>
  <c r="D557" i="3"/>
  <c r="D558" i="3"/>
  <c r="D559" i="3"/>
  <c r="D560" i="3"/>
  <c r="D561" i="3"/>
  <c r="D562" i="3"/>
  <c r="D563" i="3"/>
  <c r="D564" i="3"/>
  <c r="D565" i="3"/>
  <c r="D566" i="3"/>
  <c r="D567" i="3"/>
  <c r="D568" i="3"/>
  <c r="D569" i="3"/>
  <c r="D570" i="3"/>
  <c r="D571" i="3"/>
  <c r="D572" i="3"/>
  <c r="D573" i="3"/>
  <c r="D574" i="3"/>
  <c r="D575" i="3"/>
  <c r="D576" i="3"/>
  <c r="D577" i="3"/>
  <c r="D578" i="3"/>
  <c r="D579" i="3"/>
  <c r="D580" i="3"/>
  <c r="D581" i="3"/>
  <c r="D582" i="3"/>
  <c r="D583" i="3"/>
  <c r="D584" i="3"/>
  <c r="D585" i="3"/>
  <c r="D586" i="3"/>
  <c r="D587" i="3"/>
  <c r="D588" i="3"/>
  <c r="D589" i="3"/>
  <c r="D590" i="3"/>
  <c r="D591" i="3"/>
  <c r="D592" i="3"/>
  <c r="D593" i="3"/>
  <c r="D594" i="3"/>
  <c r="D595" i="3"/>
  <c r="D596" i="3"/>
  <c r="D597" i="3"/>
  <c r="D598" i="3"/>
  <c r="D599" i="3"/>
  <c r="D600" i="3"/>
  <c r="D601" i="3"/>
  <c r="D602" i="3"/>
  <c r="D603" i="3"/>
  <c r="D604" i="3"/>
  <c r="D605" i="3"/>
  <c r="D606" i="3"/>
  <c r="D607" i="3"/>
  <c r="D608" i="3"/>
  <c r="D609" i="3"/>
  <c r="D610" i="3"/>
  <c r="D611" i="3"/>
  <c r="D612" i="3"/>
  <c r="D613" i="3"/>
  <c r="D614" i="3"/>
  <c r="D615" i="3"/>
  <c r="D616" i="3"/>
  <c r="D617" i="3"/>
  <c r="D618" i="3"/>
  <c r="D619" i="3"/>
  <c r="D620" i="3"/>
  <c r="D621" i="3"/>
  <c r="D622" i="3"/>
  <c r="D623" i="3"/>
  <c r="D624" i="3"/>
  <c r="D625" i="3"/>
  <c r="D626" i="3"/>
  <c r="D627" i="3"/>
  <c r="D628" i="3"/>
  <c r="D629" i="3"/>
  <c r="D630" i="3"/>
  <c r="D631" i="3"/>
  <c r="D632" i="3"/>
  <c r="D633" i="3"/>
  <c r="D634" i="3"/>
  <c r="D635" i="3"/>
  <c r="D636" i="3"/>
  <c r="D637" i="3"/>
  <c r="D638" i="3"/>
  <c r="D639" i="3"/>
  <c r="D640" i="3"/>
  <c r="D641" i="3"/>
  <c r="D642" i="3"/>
  <c r="D643" i="3"/>
  <c r="D644" i="3"/>
  <c r="D645" i="3"/>
  <c r="D646" i="3"/>
  <c r="D647" i="3"/>
  <c r="D648" i="3"/>
  <c r="D649" i="3"/>
  <c r="D650" i="3"/>
  <c r="D651" i="3"/>
  <c r="D652" i="3"/>
  <c r="D653" i="3"/>
  <c r="D654" i="3"/>
  <c r="D655" i="3"/>
  <c r="D656" i="3"/>
  <c r="D657" i="3"/>
  <c r="D658" i="3"/>
  <c r="D659" i="3"/>
  <c r="D660" i="3"/>
  <c r="D661" i="3"/>
  <c r="D662" i="3"/>
  <c r="D663" i="3"/>
  <c r="D664" i="3"/>
  <c r="D665" i="3"/>
  <c r="D666" i="3"/>
  <c r="D667" i="3"/>
  <c r="D668" i="3"/>
  <c r="D669" i="3"/>
  <c r="D670" i="3"/>
  <c r="D671" i="3"/>
  <c r="D672" i="3"/>
  <c r="D673" i="3"/>
  <c r="D674" i="3"/>
  <c r="D675" i="3"/>
  <c r="D676" i="3"/>
  <c r="D677" i="3"/>
  <c r="D678" i="3"/>
  <c r="D679" i="3"/>
  <c r="D680" i="3"/>
  <c r="D681" i="3"/>
  <c r="D682" i="3"/>
  <c r="D683" i="3"/>
  <c r="D684" i="3"/>
  <c r="D685" i="3"/>
  <c r="D686" i="3"/>
  <c r="D687" i="3"/>
  <c r="D688" i="3"/>
  <c r="D689" i="3"/>
  <c r="D690" i="3"/>
  <c r="D691" i="3"/>
  <c r="D692" i="3"/>
  <c r="D693" i="3"/>
  <c r="D694" i="3"/>
  <c r="D695" i="3"/>
  <c r="D696" i="3"/>
  <c r="D697" i="3"/>
  <c r="D698" i="3"/>
  <c r="D699" i="3"/>
  <c r="D700" i="3"/>
  <c r="D701" i="3"/>
  <c r="D702" i="3"/>
  <c r="D703" i="3"/>
  <c r="D704" i="3"/>
  <c r="D705" i="3"/>
  <c r="D706" i="3"/>
  <c r="D707" i="3"/>
  <c r="D708" i="3"/>
  <c r="D709" i="3"/>
  <c r="D710" i="3"/>
  <c r="D711" i="3"/>
  <c r="D712" i="3"/>
  <c r="D713" i="3"/>
  <c r="D714" i="3"/>
  <c r="D715" i="3"/>
  <c r="D716" i="3"/>
  <c r="D717" i="3"/>
  <c r="D718" i="3"/>
  <c r="D719" i="3"/>
  <c r="D720" i="3"/>
  <c r="D721" i="3"/>
  <c r="D722" i="3"/>
  <c r="D723" i="3"/>
  <c r="D724" i="3"/>
  <c r="D725" i="3"/>
  <c r="D726" i="3"/>
  <c r="D727" i="3"/>
  <c r="D728" i="3"/>
  <c r="D729" i="3"/>
  <c r="D730" i="3"/>
  <c r="D731" i="3"/>
  <c r="D732" i="3"/>
  <c r="D733" i="3"/>
  <c r="D734" i="3"/>
  <c r="D735" i="3"/>
  <c r="D736" i="3"/>
  <c r="D737" i="3"/>
  <c r="D738" i="3"/>
  <c r="D739" i="3"/>
  <c r="D740" i="3"/>
  <c r="D741" i="3"/>
  <c r="D742" i="3"/>
  <c r="D743" i="3"/>
  <c r="D744" i="3"/>
  <c r="D745" i="3"/>
  <c r="D746" i="3"/>
  <c r="D747" i="3"/>
  <c r="D748" i="3"/>
  <c r="D749" i="3"/>
  <c r="D750" i="3"/>
  <c r="D751" i="3"/>
  <c r="D752" i="3"/>
  <c r="D753" i="3"/>
  <c r="D754" i="3"/>
  <c r="D755" i="3"/>
  <c r="D756" i="3"/>
  <c r="D757" i="3"/>
  <c r="D758" i="3"/>
  <c r="D759" i="3"/>
  <c r="D760" i="3"/>
  <c r="D761" i="3"/>
  <c r="D762" i="3"/>
  <c r="D763" i="3"/>
  <c r="D764" i="3"/>
  <c r="D765" i="3"/>
  <c r="D766" i="3"/>
  <c r="D767" i="3"/>
  <c r="D768" i="3"/>
  <c r="D769" i="3"/>
  <c r="D770" i="3"/>
  <c r="D771" i="3"/>
  <c r="D772" i="3"/>
  <c r="D773" i="3"/>
  <c r="D774" i="3"/>
  <c r="D775" i="3"/>
  <c r="D776" i="3"/>
  <c r="D777" i="3"/>
  <c r="D778" i="3"/>
  <c r="D779" i="3"/>
  <c r="D780" i="3"/>
  <c r="D781" i="3"/>
  <c r="D782" i="3"/>
  <c r="D783" i="3"/>
  <c r="D784" i="3"/>
  <c r="D785" i="3"/>
  <c r="D786" i="3"/>
  <c r="D787" i="3"/>
  <c r="D788" i="3"/>
  <c r="D789" i="3"/>
  <c r="D790" i="3"/>
  <c r="D791" i="3"/>
  <c r="D792" i="3"/>
  <c r="D793" i="3"/>
  <c r="D794" i="3"/>
  <c r="D795" i="3"/>
  <c r="D796" i="3"/>
  <c r="D797" i="3"/>
  <c r="D798" i="3"/>
  <c r="D799" i="3"/>
  <c r="D800" i="3"/>
  <c r="D801" i="3"/>
  <c r="D802" i="3"/>
  <c r="D803" i="3"/>
  <c r="D804" i="3"/>
  <c r="D805" i="3"/>
  <c r="D806" i="3"/>
  <c r="D807" i="3"/>
  <c r="D808" i="3"/>
  <c r="D809" i="3"/>
  <c r="D810" i="3"/>
  <c r="D811" i="3"/>
  <c r="D812" i="3"/>
  <c r="D813" i="3"/>
  <c r="D814" i="3"/>
  <c r="D815" i="3"/>
  <c r="D816" i="3"/>
  <c r="D817" i="3"/>
  <c r="D818" i="3"/>
  <c r="D819" i="3"/>
  <c r="D820" i="3"/>
  <c r="D821" i="3"/>
  <c r="D822" i="3"/>
  <c r="D823" i="3"/>
  <c r="D824" i="3"/>
  <c r="D825" i="3"/>
  <c r="D826" i="3"/>
  <c r="D827" i="3"/>
  <c r="D828" i="3"/>
  <c r="D829" i="3"/>
  <c r="D830" i="3"/>
  <c r="D831" i="3"/>
  <c r="D832" i="3"/>
  <c r="D833" i="3"/>
  <c r="D834" i="3"/>
  <c r="D835" i="3"/>
  <c r="D836" i="3"/>
  <c r="D837" i="3"/>
  <c r="D838" i="3"/>
  <c r="D839" i="3"/>
  <c r="D840" i="3"/>
  <c r="D841" i="3"/>
  <c r="D842" i="3"/>
  <c r="D843" i="3"/>
  <c r="D844" i="3"/>
  <c r="D845" i="3"/>
  <c r="D846" i="3"/>
  <c r="D847" i="3"/>
  <c r="D848" i="3"/>
  <c r="D849" i="3"/>
  <c r="D850" i="3"/>
  <c r="D851" i="3"/>
  <c r="D852" i="3"/>
  <c r="D853" i="3"/>
  <c r="D854" i="3"/>
  <c r="D855" i="3"/>
  <c r="D856" i="3"/>
  <c r="D857" i="3"/>
  <c r="D858" i="3"/>
  <c r="D859" i="3"/>
  <c r="D860" i="3"/>
  <c r="D861" i="3"/>
  <c r="D862" i="3"/>
  <c r="D863" i="3"/>
  <c r="D864" i="3"/>
  <c r="D865" i="3"/>
  <c r="D866" i="3"/>
  <c r="D867" i="3"/>
  <c r="D868" i="3"/>
  <c r="D869" i="3"/>
  <c r="D870" i="3"/>
  <c r="D871" i="3"/>
  <c r="D872" i="3"/>
  <c r="D873" i="3"/>
  <c r="D874" i="3"/>
  <c r="D875" i="3"/>
  <c r="D876" i="3"/>
  <c r="D877" i="3"/>
  <c r="D878" i="3"/>
  <c r="D879" i="3"/>
  <c r="D880" i="3"/>
  <c r="D881" i="3"/>
  <c r="D882" i="3"/>
  <c r="D883" i="3"/>
  <c r="D884" i="3"/>
  <c r="D885" i="3"/>
  <c r="D886" i="3"/>
  <c r="D887" i="3"/>
  <c r="D888" i="3"/>
  <c r="D889" i="3"/>
  <c r="D890" i="3"/>
  <c r="D891" i="3"/>
  <c r="D892" i="3"/>
  <c r="D893" i="3"/>
  <c r="D894" i="3"/>
  <c r="D895" i="3"/>
  <c r="D896" i="3"/>
  <c r="D897" i="3"/>
  <c r="D898" i="3"/>
  <c r="D899" i="3"/>
  <c r="D900" i="3"/>
  <c r="D901" i="3"/>
  <c r="D902" i="3"/>
  <c r="D903" i="3"/>
  <c r="D904" i="3"/>
  <c r="D905" i="3"/>
  <c r="D906" i="3"/>
  <c r="D907" i="3"/>
  <c r="D908" i="3"/>
  <c r="D909" i="3"/>
  <c r="D910" i="3"/>
  <c r="D911" i="3"/>
  <c r="D912" i="3"/>
  <c r="D913" i="3"/>
  <c r="D914" i="3"/>
  <c r="D915" i="3"/>
  <c r="D916" i="3"/>
  <c r="D917" i="3"/>
  <c r="D918" i="3"/>
  <c r="D919" i="3"/>
  <c r="D920" i="3"/>
  <c r="D921" i="3"/>
  <c r="D922" i="3"/>
  <c r="D923" i="3"/>
  <c r="D924" i="3"/>
  <c r="D925" i="3"/>
  <c r="D926" i="3"/>
  <c r="D927" i="3"/>
  <c r="D928" i="3"/>
  <c r="D929" i="3"/>
  <c r="D930" i="3"/>
  <c r="D931" i="3"/>
  <c r="D932" i="3"/>
  <c r="D933" i="3"/>
  <c r="D934" i="3"/>
  <c r="D935" i="3"/>
  <c r="D936" i="3"/>
  <c r="D937" i="3"/>
  <c r="D938" i="3"/>
  <c r="D939" i="3"/>
  <c r="D940" i="3"/>
  <c r="D941" i="3"/>
  <c r="D942" i="3"/>
  <c r="D943" i="3"/>
  <c r="D944" i="3"/>
  <c r="D945" i="3"/>
  <c r="D946" i="3"/>
  <c r="D947" i="3"/>
  <c r="D948" i="3"/>
  <c r="D949" i="3"/>
  <c r="D950" i="3"/>
  <c r="D951" i="3"/>
  <c r="D952" i="3"/>
  <c r="D953" i="3"/>
  <c r="D954" i="3"/>
  <c r="D955" i="3"/>
  <c r="D956" i="3"/>
  <c r="D957" i="3"/>
  <c r="D958" i="3"/>
  <c r="D959" i="3"/>
  <c r="D960" i="3"/>
  <c r="D961" i="3"/>
  <c r="D962" i="3"/>
  <c r="D963" i="3"/>
  <c r="D964" i="3"/>
  <c r="D965" i="3"/>
  <c r="D966" i="3"/>
  <c r="D967" i="3"/>
  <c r="D968" i="3"/>
  <c r="D969" i="3"/>
  <c r="D970" i="3"/>
  <c r="D971" i="3"/>
  <c r="D972" i="3"/>
  <c r="D973" i="3"/>
  <c r="D974" i="3"/>
  <c r="D975" i="3"/>
  <c r="D976" i="3"/>
  <c r="D977" i="3"/>
  <c r="D978" i="3"/>
  <c r="D979" i="3"/>
  <c r="D980" i="3"/>
  <c r="D981" i="3"/>
  <c r="D982" i="3"/>
  <c r="D983" i="3"/>
  <c r="D984" i="3"/>
  <c r="D985" i="3"/>
  <c r="D986" i="3"/>
  <c r="D987" i="3"/>
  <c r="D988" i="3"/>
  <c r="D989" i="3"/>
  <c r="D990" i="3"/>
  <c r="D991" i="3"/>
  <c r="D992" i="3"/>
  <c r="D993" i="3"/>
  <c r="D994" i="3"/>
  <c r="D995" i="3"/>
  <c r="D996" i="3"/>
  <c r="D997" i="3"/>
  <c r="D998" i="3"/>
  <c r="D999" i="3"/>
  <c r="D1000" i="3"/>
  <c r="D1001" i="3"/>
  <c r="D1002" i="3"/>
  <c r="D1003" i="3"/>
  <c r="D1004" i="3"/>
  <c r="D1005" i="3"/>
  <c r="D1006" i="3"/>
  <c r="D1007" i="3"/>
  <c r="D1008" i="3"/>
  <c r="D1009" i="3"/>
  <c r="D1010" i="3"/>
  <c r="D1011" i="3"/>
  <c r="D1012" i="3"/>
  <c r="D1013" i="3"/>
  <c r="D1014" i="3"/>
  <c r="D1015" i="3"/>
  <c r="D1016" i="3"/>
  <c r="D1017" i="3"/>
  <c r="D1018" i="3"/>
  <c r="D1019" i="3"/>
  <c r="D1020" i="3"/>
  <c r="D1021" i="3"/>
  <c r="D1022" i="3"/>
  <c r="D1023" i="3"/>
  <c r="D1024" i="3"/>
  <c r="D1025" i="3"/>
  <c r="D1026" i="3"/>
  <c r="D1027" i="3"/>
  <c r="D1028" i="3"/>
  <c r="D1029" i="3"/>
  <c r="D1030" i="3"/>
  <c r="D1031" i="3"/>
  <c r="D1032" i="3"/>
  <c r="D1033" i="3"/>
  <c r="D1034" i="3"/>
  <c r="D1035" i="3"/>
  <c r="D1036" i="3"/>
  <c r="D1037" i="3"/>
  <c r="D1038" i="3"/>
  <c r="D1039" i="3"/>
  <c r="D1040" i="3"/>
  <c r="D1041" i="3"/>
  <c r="D1042" i="3"/>
  <c r="D1043" i="3"/>
  <c r="D1044" i="3"/>
  <c r="D1045" i="3"/>
  <c r="D1046" i="3"/>
  <c r="D1047" i="3"/>
  <c r="D1048" i="3"/>
  <c r="D1049" i="3"/>
  <c r="D1050" i="3"/>
  <c r="D1051" i="3"/>
  <c r="D1052" i="3"/>
  <c r="D1053" i="3"/>
  <c r="D1054" i="3"/>
  <c r="D1055" i="3"/>
  <c r="D1056" i="3"/>
  <c r="D1057" i="3"/>
  <c r="D1058" i="3"/>
  <c r="D1059" i="3"/>
  <c r="D1060" i="3"/>
  <c r="D1061" i="3"/>
  <c r="D1062" i="3"/>
  <c r="D1063" i="3"/>
  <c r="D1064" i="3"/>
  <c r="D1065" i="3"/>
  <c r="D1066" i="3"/>
  <c r="D1067" i="3"/>
  <c r="D1068" i="3"/>
  <c r="D1069" i="3"/>
  <c r="D1070" i="3"/>
  <c r="D1071" i="3"/>
  <c r="D1072" i="3"/>
  <c r="D1073" i="3"/>
  <c r="D1074" i="3"/>
  <c r="D1075" i="3"/>
  <c r="D1076" i="3"/>
  <c r="D1077" i="3"/>
  <c r="D1078" i="3"/>
  <c r="D1079" i="3"/>
  <c r="D1080" i="3"/>
  <c r="D1081" i="3"/>
  <c r="D1082" i="3"/>
  <c r="D1083" i="3"/>
  <c r="D1084" i="3"/>
  <c r="D1085" i="3"/>
  <c r="D1086" i="3"/>
  <c r="D1087" i="3"/>
  <c r="D1088" i="3"/>
  <c r="D1089" i="3"/>
  <c r="D1090" i="3"/>
  <c r="D1091" i="3"/>
  <c r="D1092" i="3"/>
  <c r="D1093" i="3"/>
  <c r="D1094" i="3"/>
  <c r="D1095" i="3"/>
  <c r="D1096" i="3"/>
  <c r="D1097" i="3"/>
  <c r="D1098" i="3"/>
  <c r="D1099" i="3"/>
  <c r="D1100" i="3"/>
  <c r="D1101" i="3"/>
  <c r="D1102" i="3"/>
  <c r="D1103" i="3"/>
  <c r="D1104" i="3"/>
  <c r="D1105" i="3"/>
  <c r="D1106" i="3"/>
  <c r="D1107" i="3"/>
  <c r="D1108" i="3"/>
  <c r="D1109" i="3"/>
  <c r="D1110" i="3"/>
  <c r="D1111" i="3"/>
  <c r="D1112" i="3"/>
  <c r="D1113" i="3"/>
  <c r="D1114" i="3"/>
  <c r="D1115" i="3"/>
  <c r="D1116" i="3"/>
  <c r="D1117" i="3"/>
  <c r="D1118" i="3"/>
  <c r="D1119" i="3"/>
  <c r="D1120" i="3"/>
  <c r="D1121" i="3"/>
  <c r="D1122" i="3"/>
  <c r="D1123" i="3"/>
  <c r="D1124" i="3"/>
  <c r="D1125" i="3"/>
  <c r="D1126" i="3"/>
  <c r="D1127" i="3"/>
  <c r="D1128" i="3"/>
  <c r="D1129" i="3"/>
  <c r="D1130" i="3"/>
  <c r="D1131" i="3"/>
  <c r="D1132" i="3"/>
  <c r="D1133" i="3"/>
  <c r="D1134" i="3"/>
  <c r="D1135" i="3"/>
  <c r="D1136" i="3"/>
  <c r="D1137" i="3"/>
  <c r="D1138" i="3"/>
  <c r="D1139" i="3"/>
  <c r="D1140" i="3"/>
  <c r="D1141" i="3"/>
  <c r="D1142" i="3"/>
  <c r="D1143" i="3"/>
  <c r="D1144" i="3"/>
  <c r="D1145" i="3"/>
  <c r="D1146" i="3"/>
  <c r="D1147" i="3"/>
  <c r="D1148" i="3"/>
  <c r="D1149" i="3"/>
  <c r="D1150" i="3"/>
  <c r="D1151" i="3"/>
  <c r="D1152" i="3"/>
  <c r="D1153" i="3"/>
  <c r="D1154" i="3"/>
  <c r="D1155" i="3"/>
  <c r="D1156" i="3"/>
  <c r="D1157" i="3"/>
  <c r="D1158" i="3"/>
  <c r="D1159" i="3"/>
  <c r="D1160" i="3"/>
  <c r="D1161" i="3"/>
  <c r="D1162" i="3"/>
  <c r="D1163" i="3"/>
  <c r="D1164" i="3"/>
  <c r="D1165" i="3"/>
  <c r="D1166" i="3"/>
  <c r="D1167" i="3"/>
  <c r="D1168" i="3"/>
  <c r="D1169" i="3"/>
  <c r="D1170" i="3"/>
  <c r="D1171" i="3"/>
  <c r="D1172" i="3"/>
  <c r="D1173" i="3"/>
  <c r="D1174" i="3"/>
  <c r="D1175" i="3"/>
  <c r="D1176" i="3"/>
  <c r="D1177" i="3"/>
  <c r="D1178" i="3"/>
  <c r="D1179" i="3"/>
  <c r="D1180" i="3"/>
  <c r="D1181" i="3"/>
  <c r="D1182" i="3"/>
  <c r="D1183" i="3"/>
  <c r="D1184" i="3"/>
  <c r="D1185" i="3"/>
  <c r="D1186" i="3"/>
  <c r="D1187" i="3"/>
  <c r="D1188" i="3"/>
  <c r="D1189" i="3"/>
  <c r="D1190" i="3"/>
  <c r="D1191" i="3"/>
  <c r="D1192" i="3"/>
  <c r="D1193" i="3"/>
  <c r="D1194" i="3"/>
  <c r="D1195" i="3"/>
  <c r="D1196" i="3"/>
  <c r="D1197" i="3"/>
  <c r="D1198" i="3"/>
  <c r="D1199" i="3"/>
  <c r="D1200" i="3"/>
  <c r="D1201" i="3"/>
  <c r="D1202" i="3"/>
  <c r="D1203" i="3"/>
  <c r="D1204" i="3"/>
  <c r="D1205" i="3"/>
  <c r="D1206" i="3"/>
  <c r="D1207" i="3"/>
  <c r="D1208" i="3"/>
  <c r="D1209" i="3"/>
  <c r="D1210" i="3"/>
  <c r="D1211" i="3"/>
  <c r="D1212" i="3"/>
  <c r="D1213" i="3"/>
  <c r="D1214" i="3"/>
  <c r="D1215" i="3"/>
  <c r="D1216" i="3"/>
  <c r="D1217" i="3"/>
  <c r="D1218" i="3"/>
  <c r="D1219" i="3"/>
  <c r="D1220" i="3"/>
  <c r="D1221" i="3"/>
  <c r="D1222" i="3"/>
  <c r="D1223" i="3"/>
  <c r="D1224" i="3"/>
  <c r="D1225" i="3"/>
  <c r="D1226" i="3"/>
  <c r="D1227" i="3"/>
  <c r="D1228" i="3"/>
  <c r="D1229" i="3"/>
  <c r="D1230" i="3"/>
  <c r="D1231" i="3"/>
  <c r="D1232" i="3"/>
  <c r="D1233" i="3"/>
  <c r="D1234" i="3"/>
  <c r="D1235" i="3"/>
  <c r="D1236" i="3"/>
  <c r="D1237" i="3"/>
  <c r="D1238" i="3"/>
  <c r="D1239" i="3"/>
  <c r="D1240" i="3"/>
  <c r="D1241" i="3"/>
  <c r="D1242" i="3"/>
  <c r="D1243" i="3"/>
  <c r="D1244" i="3"/>
  <c r="D1245" i="3"/>
  <c r="D1246" i="3"/>
  <c r="D1247" i="3"/>
  <c r="D1248" i="3"/>
  <c r="D1249" i="3"/>
  <c r="D1250" i="3"/>
  <c r="D1251" i="3"/>
  <c r="D1252" i="3"/>
  <c r="D1253" i="3"/>
  <c r="D1254" i="3"/>
  <c r="D1255" i="3"/>
  <c r="D1256" i="3"/>
  <c r="D1257" i="3"/>
  <c r="D1258" i="3"/>
  <c r="D1259" i="3"/>
  <c r="D1260" i="3"/>
  <c r="D1261" i="3"/>
  <c r="D1262" i="3"/>
  <c r="D1263" i="3"/>
  <c r="D1264" i="3"/>
  <c r="D1265" i="3"/>
  <c r="D1266" i="3"/>
  <c r="D1267" i="3"/>
  <c r="D1268" i="3"/>
  <c r="D1269" i="3"/>
  <c r="D1270" i="3"/>
  <c r="D1271" i="3"/>
  <c r="D1272" i="3"/>
  <c r="D1273" i="3"/>
  <c r="D1274" i="3"/>
  <c r="D1275" i="3"/>
  <c r="D1276" i="3"/>
  <c r="D1277" i="3"/>
  <c r="D1278" i="3"/>
  <c r="D1279" i="3"/>
  <c r="D1280" i="3"/>
  <c r="D1281" i="3"/>
  <c r="D1282" i="3"/>
  <c r="D1283" i="3"/>
  <c r="D1284" i="3"/>
  <c r="D1285" i="3"/>
  <c r="D1286" i="3"/>
  <c r="D1287" i="3"/>
  <c r="D1288" i="3"/>
  <c r="D1289" i="3"/>
  <c r="D1290" i="3"/>
  <c r="D1291" i="3"/>
  <c r="D1292" i="3"/>
  <c r="D1293" i="3"/>
  <c r="D1294" i="3"/>
  <c r="D1295" i="3"/>
  <c r="D1296" i="3"/>
  <c r="D1297" i="3"/>
  <c r="D1298" i="3"/>
  <c r="D1299" i="3"/>
  <c r="D1300" i="3"/>
  <c r="D1301" i="3"/>
  <c r="D1302" i="3"/>
  <c r="D1303" i="3"/>
  <c r="D1304" i="3"/>
  <c r="D1305" i="3"/>
  <c r="D1306" i="3"/>
  <c r="D1307" i="3"/>
  <c r="D1308" i="3"/>
  <c r="D1309" i="3"/>
  <c r="D1310" i="3"/>
  <c r="D1311" i="3"/>
  <c r="D1312" i="3"/>
  <c r="D1313" i="3"/>
  <c r="D1314" i="3"/>
  <c r="D1315" i="3"/>
  <c r="D1316" i="3"/>
  <c r="D1317" i="3"/>
  <c r="D1318" i="3"/>
  <c r="D1319" i="3"/>
  <c r="D1320" i="3"/>
  <c r="D1321" i="3"/>
  <c r="D1322" i="3"/>
  <c r="D1323" i="3"/>
  <c r="D1324" i="3"/>
  <c r="D1325" i="3"/>
  <c r="D1326" i="3"/>
  <c r="D1327" i="3"/>
  <c r="D1328" i="3"/>
  <c r="D1329" i="3"/>
  <c r="D1330" i="3"/>
  <c r="D1331" i="3"/>
  <c r="D1332" i="3"/>
  <c r="D1333" i="3"/>
  <c r="D1334" i="3"/>
  <c r="D1335" i="3"/>
  <c r="D1336" i="3"/>
  <c r="D1337" i="3"/>
  <c r="D1338" i="3"/>
  <c r="D1339" i="3"/>
  <c r="D1340" i="3"/>
  <c r="D1341" i="3"/>
  <c r="D1342" i="3"/>
  <c r="D1343" i="3"/>
  <c r="D1344" i="3"/>
  <c r="D1345" i="3"/>
  <c r="D1346" i="3"/>
  <c r="D1347" i="3"/>
  <c r="D1348" i="3"/>
  <c r="D1349" i="3"/>
  <c r="D1350" i="3"/>
  <c r="D1351" i="3"/>
  <c r="D1352" i="3"/>
  <c r="D1353" i="3"/>
  <c r="D1354" i="3"/>
  <c r="D1355" i="3"/>
  <c r="D1356" i="3"/>
  <c r="D1357" i="3"/>
  <c r="D1358" i="3"/>
  <c r="D1359" i="3"/>
  <c r="D1360" i="3"/>
  <c r="D1361" i="3"/>
  <c r="D1362" i="3"/>
  <c r="D1363" i="3"/>
  <c r="D1364" i="3"/>
  <c r="D1365" i="3"/>
  <c r="D1366" i="3"/>
  <c r="D1367" i="3"/>
  <c r="D1368" i="3"/>
  <c r="D1369" i="3"/>
  <c r="D1370" i="3"/>
  <c r="D1371" i="3"/>
  <c r="D1372" i="3"/>
  <c r="D1373" i="3"/>
  <c r="D1374" i="3"/>
  <c r="D1375" i="3"/>
  <c r="D1376" i="3"/>
  <c r="D1377" i="3"/>
  <c r="D1378" i="3"/>
  <c r="D1379" i="3"/>
  <c r="D1380" i="3"/>
  <c r="D1381" i="3"/>
  <c r="D1382" i="3"/>
  <c r="D1383" i="3"/>
  <c r="D1384" i="3"/>
  <c r="D1385" i="3"/>
  <c r="D1386" i="3"/>
  <c r="D1387" i="3"/>
  <c r="D1388" i="3"/>
  <c r="D1389" i="3"/>
  <c r="D1390" i="3"/>
  <c r="D1391" i="3"/>
  <c r="D1392" i="3"/>
  <c r="D1393" i="3"/>
  <c r="D1394" i="3"/>
  <c r="D1395" i="3"/>
  <c r="D1396" i="3"/>
  <c r="D1397" i="3"/>
  <c r="D1398" i="3"/>
  <c r="D1399" i="3"/>
  <c r="D1400" i="3"/>
  <c r="D1401" i="3"/>
  <c r="D1402" i="3"/>
  <c r="D1403" i="3"/>
  <c r="D1404" i="3"/>
  <c r="D1405" i="3"/>
  <c r="D1406" i="3"/>
  <c r="D1407" i="3"/>
  <c r="D1408" i="3"/>
  <c r="D1409" i="3"/>
  <c r="D1410" i="3"/>
  <c r="D1411" i="3"/>
  <c r="D1412" i="3"/>
  <c r="D1413" i="3"/>
  <c r="D1414" i="3"/>
  <c r="D1415" i="3"/>
  <c r="D1416" i="3"/>
  <c r="D1417" i="3"/>
  <c r="D1418" i="3"/>
  <c r="D1419" i="3"/>
  <c r="D1420" i="3"/>
  <c r="D1421" i="3"/>
  <c r="D1422" i="3"/>
  <c r="D1423" i="3"/>
  <c r="D1424" i="3"/>
  <c r="D1425" i="3"/>
  <c r="D1426" i="3"/>
  <c r="D1427" i="3"/>
  <c r="D1428" i="3"/>
  <c r="D1429" i="3"/>
  <c r="D1430" i="3"/>
  <c r="D1431" i="3"/>
  <c r="D1432" i="3"/>
  <c r="D1433" i="3"/>
  <c r="D1434" i="3"/>
  <c r="D1435" i="3"/>
  <c r="D1436" i="3"/>
  <c r="D1437" i="3"/>
  <c r="D1438" i="3"/>
  <c r="D1439" i="3"/>
  <c r="D1440" i="3"/>
  <c r="D1441" i="3"/>
  <c r="D1442" i="3"/>
  <c r="D1443" i="3"/>
  <c r="D1444" i="3"/>
  <c r="D1445" i="3"/>
  <c r="D1446" i="3"/>
  <c r="D1447" i="3"/>
  <c r="D1448" i="3"/>
  <c r="D1449" i="3"/>
  <c r="D1450" i="3"/>
  <c r="D1451" i="3"/>
  <c r="D1452" i="3"/>
  <c r="D1453" i="3"/>
  <c r="D1454" i="3"/>
  <c r="D1455" i="3"/>
  <c r="D1456" i="3"/>
  <c r="D1457" i="3"/>
  <c r="D1458" i="3"/>
  <c r="D1459" i="3"/>
  <c r="D1460" i="3"/>
  <c r="D1461" i="3"/>
  <c r="D1462" i="3"/>
  <c r="D1463" i="3"/>
  <c r="D1464" i="3"/>
  <c r="D1465" i="3"/>
  <c r="D1466" i="3"/>
  <c r="D1467" i="3"/>
  <c r="D1468" i="3"/>
  <c r="D1469" i="3"/>
  <c r="D1470" i="3"/>
  <c r="D1471" i="3"/>
  <c r="D1472" i="3"/>
  <c r="D1473" i="3"/>
  <c r="D1474" i="3"/>
  <c r="D1475" i="3"/>
  <c r="D1476" i="3"/>
  <c r="D1477" i="3"/>
  <c r="D1478" i="3"/>
  <c r="D1479" i="3"/>
  <c r="D1480" i="3"/>
  <c r="D1481" i="3"/>
  <c r="D1482" i="3"/>
  <c r="D1483" i="3"/>
  <c r="D1484" i="3"/>
  <c r="D1485" i="3"/>
  <c r="D1486" i="3"/>
  <c r="D1487" i="3"/>
  <c r="D1488" i="3"/>
  <c r="D1489" i="3"/>
  <c r="D1490" i="3"/>
  <c r="D1491" i="3"/>
  <c r="D1492" i="3"/>
  <c r="D1493" i="3"/>
  <c r="D1494" i="3"/>
  <c r="D1495" i="3"/>
  <c r="D1496" i="3"/>
  <c r="D1497" i="3"/>
  <c r="D1498" i="3"/>
  <c r="D1499" i="3"/>
  <c r="D1500" i="3"/>
  <c r="D1501" i="3"/>
  <c r="D1502" i="3"/>
  <c r="D1503" i="3"/>
  <c r="D1504" i="3"/>
  <c r="D1505" i="3"/>
  <c r="D1506" i="3"/>
  <c r="D1507" i="3"/>
  <c r="D1508" i="3"/>
  <c r="D1509" i="3"/>
  <c r="D1510" i="3"/>
  <c r="D1511" i="3"/>
  <c r="D1512" i="3"/>
  <c r="D1513" i="3"/>
  <c r="D1514" i="3"/>
  <c r="D1515" i="3"/>
  <c r="D1516" i="3"/>
  <c r="D1517" i="3"/>
  <c r="D1518" i="3"/>
  <c r="D1519" i="3"/>
  <c r="D1520" i="3"/>
  <c r="D1521" i="3"/>
  <c r="D1522" i="3"/>
  <c r="D1523" i="3"/>
  <c r="D1524" i="3"/>
  <c r="D1525" i="3"/>
  <c r="D1526" i="3"/>
  <c r="D1527" i="3"/>
  <c r="D1528" i="3"/>
  <c r="D1529" i="3"/>
  <c r="D1530" i="3"/>
  <c r="D1531" i="3"/>
  <c r="D1532" i="3"/>
  <c r="D1533" i="3"/>
  <c r="D1534" i="3"/>
  <c r="D1535" i="3"/>
  <c r="D1536" i="3"/>
  <c r="D1537" i="3"/>
  <c r="D1538" i="3"/>
  <c r="D1539" i="3"/>
  <c r="D1540" i="3"/>
  <c r="D1541" i="3"/>
  <c r="D1542" i="3"/>
  <c r="D1543" i="3"/>
  <c r="D1544" i="3"/>
  <c r="D1545" i="3"/>
  <c r="D1546" i="3"/>
  <c r="D1547" i="3"/>
  <c r="D1548" i="3"/>
  <c r="D1549" i="3"/>
  <c r="D1550" i="3"/>
  <c r="D1551" i="3"/>
  <c r="D1552" i="3"/>
  <c r="D1553" i="3"/>
  <c r="D1554" i="3"/>
  <c r="D1555" i="3"/>
  <c r="D1556" i="3"/>
  <c r="D1557" i="3"/>
  <c r="D1558" i="3"/>
  <c r="D1559" i="3"/>
  <c r="D1560" i="3"/>
  <c r="D1561" i="3"/>
  <c r="D1562" i="3"/>
  <c r="D1563" i="3"/>
  <c r="D1564" i="3"/>
  <c r="D1565" i="3"/>
  <c r="D1566" i="3"/>
  <c r="D1567" i="3"/>
  <c r="D1568" i="3"/>
  <c r="D1569" i="3"/>
  <c r="D1570" i="3"/>
  <c r="D1571" i="3"/>
  <c r="D1572" i="3"/>
  <c r="D1573" i="3"/>
  <c r="D1574" i="3"/>
  <c r="D1575" i="3"/>
  <c r="D1576" i="3"/>
  <c r="D1577" i="3"/>
  <c r="D1578" i="3"/>
  <c r="D1579" i="3"/>
  <c r="D1580" i="3"/>
  <c r="D1581" i="3"/>
  <c r="D1582" i="3"/>
  <c r="D1583" i="3"/>
  <c r="D1584" i="3"/>
  <c r="D1585" i="3"/>
  <c r="D1586" i="3"/>
  <c r="D1587" i="3"/>
  <c r="D1588" i="3"/>
  <c r="D1589" i="3"/>
  <c r="D1590" i="3"/>
  <c r="D1591" i="3"/>
  <c r="D1592" i="3"/>
  <c r="D1593" i="3"/>
  <c r="D1594" i="3"/>
  <c r="D1595" i="3"/>
  <c r="D1596" i="3"/>
  <c r="D1597" i="3"/>
  <c r="D1598" i="3"/>
  <c r="D1599" i="3"/>
  <c r="D1600" i="3"/>
  <c r="D1601" i="3"/>
  <c r="D1602" i="3"/>
  <c r="D1603" i="3"/>
  <c r="D1604" i="3"/>
  <c r="D1605" i="3"/>
  <c r="D1606" i="3"/>
  <c r="D1607" i="3"/>
  <c r="D1608" i="3"/>
  <c r="D1609" i="3"/>
  <c r="D1610" i="3"/>
  <c r="D1611" i="3"/>
  <c r="D1612" i="3"/>
  <c r="D1613" i="3"/>
  <c r="D1614" i="3"/>
  <c r="D1615" i="3"/>
  <c r="D1616" i="3"/>
  <c r="D1617" i="3"/>
  <c r="D1618" i="3"/>
  <c r="D1619" i="3"/>
  <c r="D1620" i="3"/>
  <c r="D1621" i="3"/>
  <c r="D1622" i="3"/>
  <c r="D1623" i="3"/>
  <c r="D1624" i="3"/>
  <c r="D1625" i="3"/>
  <c r="D1626" i="3"/>
  <c r="D1627" i="3"/>
  <c r="D1628" i="3"/>
  <c r="D1629" i="3"/>
  <c r="D1630" i="3"/>
  <c r="D1631" i="3"/>
  <c r="D1632" i="3"/>
  <c r="D1633" i="3"/>
  <c r="D1634" i="3"/>
  <c r="D1635" i="3"/>
  <c r="D1636" i="3"/>
  <c r="D1637" i="3"/>
  <c r="D1638" i="3"/>
  <c r="D1639" i="3"/>
  <c r="D1640" i="3"/>
  <c r="D1641" i="3"/>
  <c r="D1642" i="3"/>
  <c r="D1643" i="3"/>
  <c r="D1644" i="3"/>
  <c r="D1645" i="3"/>
  <c r="D1646" i="3"/>
  <c r="D1647" i="3"/>
  <c r="D1648" i="3"/>
  <c r="D1649" i="3"/>
  <c r="D1650" i="3"/>
  <c r="D1651" i="3"/>
  <c r="D1652" i="3"/>
  <c r="D1653" i="3"/>
  <c r="D1654" i="3"/>
  <c r="D1655" i="3"/>
  <c r="D1656" i="3"/>
  <c r="D1657" i="3"/>
  <c r="D1658" i="3"/>
  <c r="D1659" i="3"/>
  <c r="D1660" i="3"/>
  <c r="D1661" i="3"/>
  <c r="D1662" i="3"/>
  <c r="D1663" i="3"/>
  <c r="D1664" i="3"/>
  <c r="D1665" i="3"/>
  <c r="D1666" i="3"/>
  <c r="D1667" i="3"/>
  <c r="D1668" i="3"/>
  <c r="D1669" i="3"/>
  <c r="D1670" i="3"/>
  <c r="D1671" i="3"/>
  <c r="D1672" i="3"/>
  <c r="D1673" i="3"/>
  <c r="D1674" i="3"/>
  <c r="D1675" i="3"/>
  <c r="D1676" i="3"/>
  <c r="D1677" i="3"/>
  <c r="D1678" i="3"/>
  <c r="D1679" i="3"/>
  <c r="D1680" i="3"/>
  <c r="D1681" i="3"/>
  <c r="D1682" i="3"/>
  <c r="D1683" i="3"/>
  <c r="D1684" i="3"/>
  <c r="D1685" i="3"/>
  <c r="D1686" i="3"/>
  <c r="D1687" i="3"/>
  <c r="D1688" i="3"/>
  <c r="D1689" i="3"/>
  <c r="D1690" i="3"/>
  <c r="D1691" i="3"/>
  <c r="D1692" i="3"/>
  <c r="D1693" i="3"/>
  <c r="D1694" i="3"/>
  <c r="D1695" i="3"/>
  <c r="D1696" i="3"/>
  <c r="D1697" i="3"/>
  <c r="D1698" i="3"/>
  <c r="D1699" i="3"/>
  <c r="D1700" i="3"/>
  <c r="D1701" i="3"/>
  <c r="D1702" i="3"/>
  <c r="D1703" i="3"/>
  <c r="D1704" i="3"/>
  <c r="D1705" i="3"/>
  <c r="D1706" i="3"/>
  <c r="D1707" i="3"/>
  <c r="D1708" i="3"/>
  <c r="D1709" i="3"/>
  <c r="D1710" i="3"/>
  <c r="D1711" i="3"/>
  <c r="D1712" i="3"/>
  <c r="D1713" i="3"/>
  <c r="D1714" i="3"/>
  <c r="D1715" i="3"/>
  <c r="D1716" i="3"/>
  <c r="D1717" i="3"/>
  <c r="D1718" i="3"/>
  <c r="D1719" i="3"/>
  <c r="D1720" i="3"/>
  <c r="D1721" i="3"/>
  <c r="D1722" i="3"/>
  <c r="D1723" i="3"/>
  <c r="D1724" i="3"/>
  <c r="D1725" i="3"/>
  <c r="D1726" i="3"/>
  <c r="D1727" i="3"/>
  <c r="D1728" i="3"/>
  <c r="D1729" i="3"/>
  <c r="D1730" i="3"/>
  <c r="D1731" i="3"/>
  <c r="D1732" i="3"/>
  <c r="D1733" i="3"/>
  <c r="D1734" i="3"/>
  <c r="AV34" i="42" l="1"/>
  <c r="A40" i="38"/>
  <c r="F34" i="63"/>
  <c r="J345" i="3"/>
  <c r="J341" i="3"/>
  <c r="J337" i="3"/>
  <c r="J333" i="3"/>
  <c r="J329" i="3"/>
  <c r="J325" i="3"/>
  <c r="J321" i="3"/>
  <c r="J317" i="3"/>
  <c r="J313" i="3"/>
  <c r="J348" i="3"/>
  <c r="J344" i="3"/>
  <c r="J340" i="3"/>
  <c r="J336" i="3"/>
  <c r="J332" i="3"/>
  <c r="J328" i="3"/>
  <c r="J324" i="3"/>
  <c r="J320" i="3"/>
  <c r="J316" i="3"/>
  <c r="J347" i="3"/>
  <c r="J343" i="3"/>
  <c r="J339" i="3"/>
  <c r="J335" i="3"/>
  <c r="J331" i="3"/>
  <c r="J327" i="3"/>
  <c r="J323" i="3"/>
  <c r="J319" i="3"/>
  <c r="J315" i="3"/>
  <c r="J346" i="3"/>
  <c r="J342" i="3"/>
  <c r="J338" i="3"/>
  <c r="J334" i="3"/>
  <c r="J330" i="3"/>
  <c r="J326" i="3"/>
  <c r="J322" i="3"/>
  <c r="J318" i="3"/>
  <c r="J314" i="3"/>
  <c r="N1723" i="3"/>
  <c r="L1723" i="3"/>
  <c r="O1723" i="3"/>
  <c r="K1723" i="3"/>
  <c r="K1707" i="3"/>
  <c r="N1707" i="3"/>
  <c r="L1707" i="3"/>
  <c r="O1707" i="3"/>
  <c r="O1691" i="3"/>
  <c r="L1691" i="3"/>
  <c r="K1691" i="3"/>
  <c r="N1691" i="3"/>
  <c r="N1675" i="3"/>
  <c r="L1675" i="3"/>
  <c r="O1675" i="3"/>
  <c r="K1675" i="3"/>
  <c r="N1663" i="3"/>
  <c r="L1663" i="3"/>
  <c r="K1663" i="3"/>
  <c r="O1663" i="3"/>
  <c r="L1647" i="3"/>
  <c r="N1647" i="3"/>
  <c r="K1647" i="3"/>
  <c r="O1647" i="3"/>
  <c r="L1631" i="3"/>
  <c r="N1631" i="3"/>
  <c r="K1631" i="3"/>
  <c r="O1631" i="3"/>
  <c r="N1615" i="3"/>
  <c r="K1615" i="3"/>
  <c r="O1615" i="3"/>
  <c r="L1615" i="3"/>
  <c r="N1599" i="3"/>
  <c r="L1599" i="3"/>
  <c r="K1599" i="3"/>
  <c r="O1599" i="3"/>
  <c r="L1583" i="3"/>
  <c r="N1583" i="3"/>
  <c r="K1583" i="3"/>
  <c r="O1583" i="3"/>
  <c r="N1571" i="3"/>
  <c r="L1571" i="3"/>
  <c r="O1571" i="3"/>
  <c r="K1571" i="3"/>
  <c r="L1555" i="3"/>
  <c r="N1555" i="3"/>
  <c r="K1555" i="3"/>
  <c r="O1555" i="3"/>
  <c r="L1539" i="3"/>
  <c r="O1539" i="3"/>
  <c r="K1539" i="3"/>
  <c r="N1539" i="3"/>
  <c r="L1523" i="3"/>
  <c r="O1523" i="3"/>
  <c r="K1523" i="3"/>
  <c r="N1523" i="3"/>
  <c r="N1507" i="3"/>
  <c r="L1507" i="3"/>
  <c r="O1507" i="3"/>
  <c r="K1507" i="3"/>
  <c r="L1491" i="3"/>
  <c r="O1491" i="3"/>
  <c r="N1491" i="3"/>
  <c r="K1491" i="3"/>
  <c r="O1475" i="3"/>
  <c r="K1475" i="3"/>
  <c r="N1475" i="3"/>
  <c r="L1475" i="3"/>
  <c r="N1463" i="3"/>
  <c r="L1463" i="3"/>
  <c r="K1463" i="3"/>
  <c r="O1463" i="3"/>
  <c r="O1447" i="3"/>
  <c r="L1447" i="3"/>
  <c r="N1447" i="3"/>
  <c r="K1447" i="3"/>
  <c r="O1427" i="3"/>
  <c r="N1427" i="3"/>
  <c r="K1427" i="3"/>
  <c r="L1427" i="3"/>
  <c r="K1729" i="3"/>
  <c r="L1729" i="3"/>
  <c r="N1729" i="3"/>
  <c r="O1729" i="3"/>
  <c r="O1721" i="3"/>
  <c r="K1721" i="3"/>
  <c r="L1721" i="3"/>
  <c r="N1721" i="3"/>
  <c r="L1713" i="3"/>
  <c r="N1713" i="3"/>
  <c r="O1713" i="3"/>
  <c r="K1713" i="3"/>
  <c r="N1705" i="3"/>
  <c r="L1705" i="3"/>
  <c r="O1705" i="3"/>
  <c r="K1705" i="3"/>
  <c r="O1697" i="3"/>
  <c r="K1697" i="3"/>
  <c r="L1697" i="3"/>
  <c r="N1697" i="3"/>
  <c r="K1689" i="3"/>
  <c r="N1689" i="3"/>
  <c r="L1689" i="3"/>
  <c r="O1689" i="3"/>
  <c r="L1681" i="3"/>
  <c r="N1681" i="3"/>
  <c r="O1681" i="3"/>
  <c r="K1681" i="3"/>
  <c r="O1673" i="3"/>
  <c r="K1673" i="3"/>
  <c r="L1673" i="3"/>
  <c r="N1673" i="3"/>
  <c r="K1665" i="3"/>
  <c r="O1665" i="3"/>
  <c r="N1665" i="3"/>
  <c r="L1665" i="3"/>
  <c r="L1657" i="3"/>
  <c r="N1657" i="3"/>
  <c r="O1657" i="3"/>
  <c r="K1657" i="3"/>
  <c r="K1649" i="3"/>
  <c r="O1649" i="3"/>
  <c r="N1649" i="3"/>
  <c r="L1649" i="3"/>
  <c r="O1641" i="3"/>
  <c r="K1641" i="3"/>
  <c r="L1641" i="3"/>
  <c r="N1641" i="3"/>
  <c r="L1633" i="3"/>
  <c r="O1633" i="3"/>
  <c r="N1633" i="3"/>
  <c r="K1633" i="3"/>
  <c r="N1625" i="3"/>
  <c r="O1625" i="3"/>
  <c r="K1625" i="3"/>
  <c r="L1625" i="3"/>
  <c r="L1617" i="3"/>
  <c r="N1617" i="3"/>
  <c r="O1617" i="3"/>
  <c r="K1617" i="3"/>
  <c r="O1609" i="3"/>
  <c r="K1609" i="3"/>
  <c r="N1609" i="3"/>
  <c r="L1609" i="3"/>
  <c r="K1601" i="3"/>
  <c r="O1601" i="3"/>
  <c r="L1601" i="3"/>
  <c r="N1601" i="3"/>
  <c r="O1593" i="3"/>
  <c r="K1593" i="3"/>
  <c r="L1593" i="3"/>
  <c r="N1593" i="3"/>
  <c r="N1585" i="3"/>
  <c r="L1585" i="3"/>
  <c r="O1585" i="3"/>
  <c r="K1585" i="3"/>
  <c r="L1577" i="3"/>
  <c r="O1577" i="3"/>
  <c r="K1577" i="3"/>
  <c r="N1577" i="3"/>
  <c r="L1569" i="3"/>
  <c r="N1569" i="3"/>
  <c r="O1569" i="3"/>
  <c r="K1569" i="3"/>
  <c r="K1561" i="3"/>
  <c r="L1561" i="3"/>
  <c r="N1561" i="3"/>
  <c r="O1561" i="3"/>
  <c r="O1553" i="3"/>
  <c r="K1553" i="3"/>
  <c r="L1553" i="3"/>
  <c r="N1553" i="3"/>
  <c r="O1545" i="3"/>
  <c r="K1545" i="3"/>
  <c r="L1545" i="3"/>
  <c r="N1545" i="3"/>
  <c r="O1533" i="3"/>
  <c r="L1533" i="3"/>
  <c r="K1533" i="3"/>
  <c r="N1533" i="3"/>
  <c r="L1525" i="3"/>
  <c r="N1525" i="3"/>
  <c r="O1525" i="3"/>
  <c r="K1525" i="3"/>
  <c r="O1517" i="3"/>
  <c r="L1517" i="3"/>
  <c r="N1517" i="3"/>
  <c r="K1517" i="3"/>
  <c r="L1509" i="3"/>
  <c r="N1509" i="3"/>
  <c r="O1509" i="3"/>
  <c r="K1509" i="3"/>
  <c r="O1501" i="3"/>
  <c r="N1501" i="3"/>
  <c r="K1501" i="3"/>
  <c r="L1501" i="3"/>
  <c r="L1493" i="3"/>
  <c r="O1493" i="3"/>
  <c r="K1493" i="3"/>
  <c r="N1493" i="3"/>
  <c r="O1485" i="3"/>
  <c r="K1485" i="3"/>
  <c r="N1485" i="3"/>
  <c r="L1485" i="3"/>
  <c r="L1477" i="3"/>
  <c r="O1477" i="3"/>
  <c r="K1477" i="3"/>
  <c r="N1477" i="3"/>
  <c r="O1469" i="3"/>
  <c r="L1469" i="3"/>
  <c r="K1469" i="3"/>
  <c r="N1469" i="3"/>
  <c r="L1461" i="3"/>
  <c r="N1461" i="3"/>
  <c r="O1461" i="3"/>
  <c r="K1461" i="3"/>
  <c r="O1453" i="3"/>
  <c r="L1453" i="3"/>
  <c r="N1453" i="3"/>
  <c r="K1453" i="3"/>
  <c r="L1445" i="3"/>
  <c r="N1445" i="3"/>
  <c r="K1445" i="3"/>
  <c r="O1445" i="3"/>
  <c r="O1437" i="3"/>
  <c r="N1437" i="3"/>
  <c r="K1437" i="3"/>
  <c r="L1437" i="3"/>
  <c r="L1429" i="3"/>
  <c r="O1429" i="3"/>
  <c r="K1429" i="3"/>
  <c r="N1429" i="3"/>
  <c r="O1421" i="3"/>
  <c r="K1421" i="3"/>
  <c r="N1421" i="3"/>
  <c r="L1421" i="3"/>
  <c r="L1413" i="3"/>
  <c r="O1413" i="3"/>
  <c r="K1413" i="3"/>
  <c r="N1413" i="3"/>
  <c r="O1405" i="3"/>
  <c r="L1405" i="3"/>
  <c r="K1405" i="3"/>
  <c r="N1405" i="3"/>
  <c r="L1397" i="3"/>
  <c r="N1397" i="3"/>
  <c r="O1397" i="3"/>
  <c r="K1397" i="3"/>
  <c r="O1389" i="3"/>
  <c r="L1389" i="3"/>
  <c r="N1389" i="3"/>
  <c r="K1389" i="3"/>
  <c r="L1381" i="3"/>
  <c r="K1381" i="3"/>
  <c r="O1381" i="3"/>
  <c r="N1381" i="3"/>
  <c r="O1373" i="3"/>
  <c r="N1373" i="3"/>
  <c r="K1373" i="3"/>
  <c r="L1373" i="3"/>
  <c r="L1365" i="3"/>
  <c r="O1365" i="3"/>
  <c r="K1365" i="3"/>
  <c r="N1365" i="3"/>
  <c r="O1357" i="3"/>
  <c r="K1357" i="3"/>
  <c r="N1357" i="3"/>
  <c r="L1357" i="3"/>
  <c r="L1349" i="3"/>
  <c r="O1349" i="3"/>
  <c r="K1349" i="3"/>
  <c r="N1349" i="3"/>
  <c r="O1341" i="3"/>
  <c r="L1341" i="3"/>
  <c r="K1341" i="3"/>
  <c r="N1341" i="3"/>
  <c r="L1333" i="3"/>
  <c r="N1333" i="3"/>
  <c r="O1333" i="3"/>
  <c r="K1333" i="3"/>
  <c r="O1325" i="3"/>
  <c r="L1325" i="3"/>
  <c r="N1325" i="3"/>
  <c r="K1325" i="3"/>
  <c r="L1317" i="3"/>
  <c r="N1317" i="3"/>
  <c r="O1317" i="3"/>
  <c r="K1317" i="3"/>
  <c r="O1309" i="3"/>
  <c r="N1309" i="3"/>
  <c r="K1309" i="3"/>
  <c r="L1309" i="3"/>
  <c r="L1301" i="3"/>
  <c r="O1301" i="3"/>
  <c r="K1301" i="3"/>
  <c r="N1301" i="3"/>
  <c r="O1293" i="3"/>
  <c r="K1293" i="3"/>
  <c r="N1293" i="3"/>
  <c r="L1293" i="3"/>
  <c r="L1285" i="3"/>
  <c r="O1285" i="3"/>
  <c r="K1285" i="3"/>
  <c r="N1285" i="3"/>
  <c r="O1277" i="3"/>
  <c r="L1277" i="3"/>
  <c r="K1277" i="3"/>
  <c r="N1277" i="3"/>
  <c r="L1269" i="3"/>
  <c r="N1269" i="3"/>
  <c r="O1269" i="3"/>
  <c r="K1269" i="3"/>
  <c r="O1261" i="3"/>
  <c r="L1261" i="3"/>
  <c r="N1261" i="3"/>
  <c r="K1261" i="3"/>
  <c r="L1253" i="3"/>
  <c r="N1253" i="3"/>
  <c r="O1253" i="3"/>
  <c r="K1253" i="3"/>
  <c r="O1245" i="3"/>
  <c r="N1245" i="3"/>
  <c r="K1245" i="3"/>
  <c r="L1245" i="3"/>
  <c r="L1237" i="3"/>
  <c r="O1237" i="3"/>
  <c r="K1237" i="3"/>
  <c r="N1237" i="3"/>
  <c r="O1229" i="3"/>
  <c r="K1229" i="3"/>
  <c r="N1229" i="3"/>
  <c r="L1229" i="3"/>
  <c r="L1221" i="3"/>
  <c r="O1221" i="3"/>
  <c r="K1221" i="3"/>
  <c r="N1221" i="3"/>
  <c r="O1213" i="3"/>
  <c r="L1213" i="3"/>
  <c r="K1213" i="3"/>
  <c r="N1213" i="3"/>
  <c r="L1205" i="3"/>
  <c r="N1205" i="3"/>
  <c r="O1205" i="3"/>
  <c r="K1205" i="3"/>
  <c r="O1197" i="3"/>
  <c r="L1197" i="3"/>
  <c r="N1197" i="3"/>
  <c r="K1197" i="3"/>
  <c r="L1189" i="3"/>
  <c r="N1189" i="3"/>
  <c r="K1189" i="3"/>
  <c r="O1189" i="3"/>
  <c r="O1181" i="3"/>
  <c r="N1181" i="3"/>
  <c r="K1181" i="3"/>
  <c r="L1181" i="3"/>
  <c r="L1173" i="3"/>
  <c r="O1173" i="3"/>
  <c r="K1173" i="3"/>
  <c r="N1173" i="3"/>
  <c r="O1165" i="3"/>
  <c r="K1165" i="3"/>
  <c r="N1165" i="3"/>
  <c r="L1165" i="3"/>
  <c r="L1157" i="3"/>
  <c r="O1157" i="3"/>
  <c r="K1157" i="3"/>
  <c r="N1157" i="3"/>
  <c r="O1149" i="3"/>
  <c r="L1149" i="3"/>
  <c r="K1149" i="3"/>
  <c r="N1149" i="3"/>
  <c r="L1141" i="3"/>
  <c r="N1141" i="3"/>
  <c r="O1141" i="3"/>
  <c r="K1141" i="3"/>
  <c r="O1133" i="3"/>
  <c r="L1133" i="3"/>
  <c r="N1133" i="3"/>
  <c r="K1133" i="3"/>
  <c r="L1125" i="3"/>
  <c r="N1125" i="3"/>
  <c r="O1125" i="3"/>
  <c r="K1125" i="3"/>
  <c r="O1117" i="3"/>
  <c r="N1117" i="3"/>
  <c r="K1117" i="3"/>
  <c r="L1117" i="3"/>
  <c r="L1109" i="3"/>
  <c r="O1109" i="3"/>
  <c r="K1109" i="3"/>
  <c r="N1109" i="3"/>
  <c r="O1101" i="3"/>
  <c r="K1101" i="3"/>
  <c r="N1101" i="3"/>
  <c r="L1101" i="3"/>
  <c r="L1093" i="3"/>
  <c r="O1093" i="3"/>
  <c r="N1093" i="3"/>
  <c r="K1093" i="3"/>
  <c r="O1085" i="3"/>
  <c r="L1085" i="3"/>
  <c r="K1085" i="3"/>
  <c r="N1085" i="3"/>
  <c r="L1077" i="3"/>
  <c r="N1077" i="3"/>
  <c r="O1077" i="3"/>
  <c r="K1077" i="3"/>
  <c r="O1069" i="3"/>
  <c r="L1069" i="3"/>
  <c r="N1069" i="3"/>
  <c r="K1069" i="3"/>
  <c r="L1061" i="3"/>
  <c r="N1061" i="3"/>
  <c r="O1061" i="3"/>
  <c r="K1061" i="3"/>
  <c r="O1053" i="3"/>
  <c r="N1053" i="3"/>
  <c r="K1053" i="3"/>
  <c r="L1053" i="3"/>
  <c r="O1041" i="3"/>
  <c r="K1041" i="3"/>
  <c r="L1041" i="3"/>
  <c r="N1041" i="3"/>
  <c r="L1033" i="3"/>
  <c r="N1033" i="3"/>
  <c r="O1033" i="3"/>
  <c r="K1033" i="3"/>
  <c r="L1025" i="3"/>
  <c r="N1025" i="3"/>
  <c r="O1025" i="3"/>
  <c r="K1025" i="3"/>
  <c r="L1017" i="3"/>
  <c r="K1017" i="3"/>
  <c r="O1017" i="3"/>
  <c r="N1017" i="3"/>
  <c r="O1009" i="3"/>
  <c r="K1009" i="3"/>
  <c r="L1009" i="3"/>
  <c r="N1009" i="3"/>
  <c r="L1001" i="3"/>
  <c r="N1001" i="3"/>
  <c r="O1001" i="3"/>
  <c r="K1001" i="3"/>
  <c r="L993" i="3"/>
  <c r="O993" i="3"/>
  <c r="N993" i="3"/>
  <c r="K993" i="3"/>
  <c r="O985" i="3"/>
  <c r="K985" i="3"/>
  <c r="L985" i="3"/>
  <c r="N985" i="3"/>
  <c r="O977" i="3"/>
  <c r="K977" i="3"/>
  <c r="L977" i="3"/>
  <c r="N977" i="3"/>
  <c r="L969" i="3"/>
  <c r="N969" i="3"/>
  <c r="O969" i="3"/>
  <c r="K969" i="3"/>
  <c r="O961" i="3"/>
  <c r="K961" i="3"/>
  <c r="L961" i="3"/>
  <c r="N961" i="3"/>
  <c r="O953" i="3"/>
  <c r="N953" i="3"/>
  <c r="K953" i="3"/>
  <c r="L953" i="3"/>
  <c r="L945" i="3"/>
  <c r="N945" i="3"/>
  <c r="O945" i="3"/>
  <c r="K945" i="3"/>
  <c r="O937" i="3"/>
  <c r="N937" i="3"/>
  <c r="K937" i="3"/>
  <c r="L937" i="3"/>
  <c r="O929" i="3"/>
  <c r="K929" i="3"/>
  <c r="L929" i="3"/>
  <c r="N929" i="3"/>
  <c r="O921" i="3"/>
  <c r="N921" i="3"/>
  <c r="K921" i="3"/>
  <c r="L921" i="3"/>
  <c r="L913" i="3"/>
  <c r="N913" i="3"/>
  <c r="O913" i="3"/>
  <c r="K913" i="3"/>
  <c r="O905" i="3"/>
  <c r="K905" i="3"/>
  <c r="L905" i="3"/>
  <c r="N905" i="3"/>
  <c r="O897" i="3"/>
  <c r="N897" i="3"/>
  <c r="K897" i="3"/>
  <c r="L897" i="3"/>
  <c r="O889" i="3"/>
  <c r="N889" i="3"/>
  <c r="K889" i="3"/>
  <c r="L889" i="3"/>
  <c r="L881" i="3"/>
  <c r="N881" i="3"/>
  <c r="O881" i="3"/>
  <c r="K881" i="3"/>
  <c r="O873" i="3"/>
  <c r="K873" i="3"/>
  <c r="L873" i="3"/>
  <c r="N873" i="3"/>
  <c r="L865" i="3"/>
  <c r="O865" i="3"/>
  <c r="K865" i="3"/>
  <c r="N865" i="3"/>
  <c r="L857" i="3"/>
  <c r="K857" i="3"/>
  <c r="O857" i="3"/>
  <c r="N857" i="3"/>
  <c r="O849" i="3"/>
  <c r="K849" i="3"/>
  <c r="L849" i="3"/>
  <c r="N849" i="3"/>
  <c r="L841" i="3"/>
  <c r="O841" i="3"/>
  <c r="N841" i="3"/>
  <c r="K841" i="3"/>
  <c r="L833" i="3"/>
  <c r="N833" i="3"/>
  <c r="O833" i="3"/>
  <c r="K833" i="3"/>
  <c r="O825" i="3"/>
  <c r="K825" i="3"/>
  <c r="L825" i="3"/>
  <c r="N825" i="3"/>
  <c r="O817" i="3"/>
  <c r="K817" i="3"/>
  <c r="L817" i="3"/>
  <c r="N817" i="3"/>
  <c r="L809" i="3"/>
  <c r="O809" i="3"/>
  <c r="N809" i="3"/>
  <c r="K809" i="3"/>
  <c r="L801" i="3"/>
  <c r="N801" i="3"/>
  <c r="O801" i="3"/>
  <c r="K801" i="3"/>
  <c r="O793" i="3"/>
  <c r="N793" i="3"/>
  <c r="K793" i="3"/>
  <c r="L793" i="3"/>
  <c r="L785" i="3"/>
  <c r="N785" i="3"/>
  <c r="O785" i="3"/>
  <c r="K785" i="3"/>
  <c r="O777" i="3"/>
  <c r="K777" i="3"/>
  <c r="L777" i="3"/>
  <c r="N777" i="3"/>
  <c r="O769" i="3"/>
  <c r="K769" i="3"/>
  <c r="L769" i="3"/>
  <c r="N769" i="3"/>
  <c r="L761" i="3"/>
  <c r="N761" i="3"/>
  <c r="O761" i="3"/>
  <c r="K761" i="3"/>
  <c r="L753" i="3"/>
  <c r="N753" i="3"/>
  <c r="O753" i="3"/>
  <c r="K753" i="3"/>
  <c r="O745" i="3"/>
  <c r="K745" i="3"/>
  <c r="L745" i="3"/>
  <c r="N745" i="3"/>
  <c r="O737" i="3"/>
  <c r="N737" i="3"/>
  <c r="K737" i="3"/>
  <c r="L737" i="3"/>
  <c r="L729" i="3"/>
  <c r="N729" i="3"/>
  <c r="O729" i="3"/>
  <c r="K729" i="3"/>
  <c r="L721" i="3"/>
  <c r="N721" i="3"/>
  <c r="O721" i="3"/>
  <c r="K721" i="3"/>
  <c r="O713" i="3"/>
  <c r="K713" i="3"/>
  <c r="L713" i="3"/>
  <c r="N713" i="3"/>
  <c r="L705" i="3"/>
  <c r="N705" i="3"/>
  <c r="O705" i="3"/>
  <c r="K705" i="3"/>
  <c r="O697" i="3"/>
  <c r="K697" i="3"/>
  <c r="L697" i="3"/>
  <c r="N697" i="3"/>
  <c r="O689" i="3"/>
  <c r="K689" i="3"/>
  <c r="L689" i="3"/>
  <c r="N689" i="3"/>
  <c r="L681" i="3"/>
  <c r="N681" i="3"/>
  <c r="O681" i="3"/>
  <c r="K681" i="3"/>
  <c r="L673" i="3"/>
  <c r="N673" i="3"/>
  <c r="O673" i="3"/>
  <c r="K673" i="3"/>
  <c r="O665" i="3"/>
  <c r="N665" i="3"/>
  <c r="K665" i="3"/>
  <c r="L665" i="3"/>
  <c r="O657" i="3"/>
  <c r="K657" i="3"/>
  <c r="L657" i="3"/>
  <c r="N657" i="3"/>
  <c r="L649" i="3"/>
  <c r="N649" i="3"/>
  <c r="O649" i="3"/>
  <c r="K649" i="3"/>
  <c r="L641" i="3"/>
  <c r="N641" i="3"/>
  <c r="O641" i="3"/>
  <c r="K641" i="3"/>
  <c r="O633" i="3"/>
  <c r="K633" i="3"/>
  <c r="L633" i="3"/>
  <c r="N633" i="3"/>
  <c r="O625" i="3"/>
  <c r="K625" i="3"/>
  <c r="L625" i="3"/>
  <c r="N625" i="3"/>
  <c r="L617" i="3"/>
  <c r="N617" i="3"/>
  <c r="O617" i="3"/>
  <c r="K617" i="3"/>
  <c r="O609" i="3"/>
  <c r="K609" i="3"/>
  <c r="L609" i="3"/>
  <c r="N609" i="3"/>
  <c r="N601" i="3"/>
  <c r="L601" i="3"/>
  <c r="O601" i="3"/>
  <c r="K601" i="3"/>
  <c r="N569" i="3"/>
  <c r="L569" i="3"/>
  <c r="O569" i="3"/>
  <c r="K569" i="3"/>
  <c r="K537" i="3"/>
  <c r="O537" i="3"/>
  <c r="N537" i="3"/>
  <c r="L537" i="3"/>
  <c r="K521" i="3"/>
  <c r="N521" i="3"/>
  <c r="L521" i="3"/>
  <c r="O521" i="3"/>
  <c r="O505" i="3"/>
  <c r="K505" i="3"/>
  <c r="N505" i="3"/>
  <c r="L505" i="3"/>
  <c r="L497" i="3"/>
  <c r="N497" i="3"/>
  <c r="O497" i="3"/>
  <c r="K497" i="3"/>
  <c r="O489" i="3"/>
  <c r="K489" i="3"/>
  <c r="N489" i="3"/>
  <c r="L489" i="3"/>
  <c r="L481" i="3"/>
  <c r="N481" i="3"/>
  <c r="O481" i="3"/>
  <c r="K481" i="3"/>
  <c r="L473" i="3"/>
  <c r="O473" i="3"/>
  <c r="N473" i="3"/>
  <c r="K473" i="3"/>
  <c r="K465" i="3"/>
  <c r="L465" i="3"/>
  <c r="O465" i="3"/>
  <c r="N465" i="3"/>
  <c r="L457" i="3"/>
  <c r="O457" i="3"/>
  <c r="K457" i="3"/>
  <c r="N457" i="3"/>
  <c r="K449" i="3"/>
  <c r="L449" i="3"/>
  <c r="N449" i="3"/>
  <c r="O449" i="3"/>
  <c r="N429" i="3"/>
  <c r="O429" i="3"/>
  <c r="K429" i="3"/>
  <c r="L429" i="3"/>
  <c r="K421" i="3"/>
  <c r="L421" i="3"/>
  <c r="N421" i="3"/>
  <c r="O421" i="3"/>
  <c r="N413" i="3"/>
  <c r="L413" i="3"/>
  <c r="O413" i="3"/>
  <c r="K413" i="3"/>
  <c r="K405" i="3"/>
  <c r="N405" i="3"/>
  <c r="O405" i="3"/>
  <c r="L405" i="3"/>
  <c r="N397" i="3"/>
  <c r="O397" i="3"/>
  <c r="K397" i="3"/>
  <c r="L397" i="3"/>
  <c r="K389" i="3"/>
  <c r="O389" i="3"/>
  <c r="L389" i="3"/>
  <c r="N389" i="3"/>
  <c r="O381" i="3"/>
  <c r="K381" i="3"/>
  <c r="N381" i="3"/>
  <c r="L381" i="3"/>
  <c r="K373" i="3"/>
  <c r="O373" i="3"/>
  <c r="L373" i="3"/>
  <c r="N373" i="3"/>
  <c r="N365" i="3"/>
  <c r="L365" i="3"/>
  <c r="O365" i="3"/>
  <c r="K365" i="3"/>
  <c r="O357" i="3"/>
  <c r="N357" i="3"/>
  <c r="L357" i="3"/>
  <c r="K357" i="3"/>
  <c r="K349" i="3"/>
  <c r="L349" i="3"/>
  <c r="O349" i="3"/>
  <c r="N349" i="3"/>
  <c r="O341" i="3"/>
  <c r="K341" i="3"/>
  <c r="L341" i="3"/>
  <c r="N341" i="3"/>
  <c r="N333" i="3"/>
  <c r="L333" i="3"/>
  <c r="O333" i="3"/>
  <c r="K333" i="3"/>
  <c r="N325" i="3"/>
  <c r="K325" i="3"/>
  <c r="L325" i="3"/>
  <c r="O325" i="3"/>
  <c r="K321" i="3"/>
  <c r="L321" i="3"/>
  <c r="N321" i="3"/>
  <c r="O321" i="3"/>
  <c r="K317" i="3"/>
  <c r="L317" i="3"/>
  <c r="N317" i="3"/>
  <c r="O317" i="3"/>
  <c r="L313" i="3"/>
  <c r="N313" i="3"/>
  <c r="O313" i="3"/>
  <c r="K313" i="3"/>
  <c r="N305" i="3"/>
  <c r="L305" i="3"/>
  <c r="O305" i="3"/>
  <c r="K305" i="3"/>
  <c r="K297" i="3"/>
  <c r="L297" i="3"/>
  <c r="N297" i="3"/>
  <c r="O297" i="3"/>
  <c r="O289" i="3"/>
  <c r="N289" i="3"/>
  <c r="K289" i="3"/>
  <c r="L289" i="3"/>
  <c r="N277" i="3"/>
  <c r="O277" i="3"/>
  <c r="L277" i="3"/>
  <c r="K277" i="3"/>
  <c r="L1731" i="3"/>
  <c r="N1731" i="3"/>
  <c r="O1731" i="3"/>
  <c r="K1731" i="3"/>
  <c r="N1715" i="3"/>
  <c r="O1715" i="3"/>
  <c r="K1715" i="3"/>
  <c r="L1715" i="3"/>
  <c r="O1699" i="3"/>
  <c r="K1699" i="3"/>
  <c r="N1699" i="3"/>
  <c r="L1699" i="3"/>
  <c r="L1683" i="3"/>
  <c r="O1683" i="3"/>
  <c r="K1683" i="3"/>
  <c r="N1683" i="3"/>
  <c r="N1667" i="3"/>
  <c r="K1667" i="3"/>
  <c r="O1667" i="3"/>
  <c r="L1667" i="3"/>
  <c r="O1655" i="3"/>
  <c r="N1655" i="3"/>
  <c r="K1655" i="3"/>
  <c r="L1655" i="3"/>
  <c r="N1639" i="3"/>
  <c r="O1639" i="3"/>
  <c r="K1639" i="3"/>
  <c r="L1639" i="3"/>
  <c r="O1623" i="3"/>
  <c r="N1623" i="3"/>
  <c r="K1623" i="3"/>
  <c r="L1623" i="3"/>
  <c r="O1607" i="3"/>
  <c r="K1607" i="3"/>
  <c r="L1607" i="3"/>
  <c r="N1607" i="3"/>
  <c r="N1591" i="3"/>
  <c r="O1591" i="3"/>
  <c r="K1591" i="3"/>
  <c r="L1591" i="3"/>
  <c r="N1575" i="3"/>
  <c r="O1575" i="3"/>
  <c r="K1575" i="3"/>
  <c r="L1575" i="3"/>
  <c r="N1563" i="3"/>
  <c r="K1563" i="3"/>
  <c r="O1563" i="3"/>
  <c r="L1563" i="3"/>
  <c r="K1547" i="3"/>
  <c r="O1547" i="3"/>
  <c r="N1547" i="3"/>
  <c r="L1547" i="3"/>
  <c r="N1531" i="3"/>
  <c r="K1531" i="3"/>
  <c r="O1531" i="3"/>
  <c r="L1531" i="3"/>
  <c r="K1515" i="3"/>
  <c r="N1515" i="3"/>
  <c r="L1515" i="3"/>
  <c r="O1515" i="3"/>
  <c r="N1499" i="3"/>
  <c r="K1499" i="3"/>
  <c r="O1499" i="3"/>
  <c r="L1499" i="3"/>
  <c r="N1483" i="3"/>
  <c r="L1483" i="3"/>
  <c r="K1483" i="3"/>
  <c r="O1483" i="3"/>
  <c r="N1471" i="3"/>
  <c r="L1471" i="3"/>
  <c r="K1471" i="3"/>
  <c r="O1471" i="3"/>
  <c r="L1455" i="3"/>
  <c r="N1455" i="3"/>
  <c r="K1455" i="3"/>
  <c r="O1455" i="3"/>
  <c r="L1439" i="3"/>
  <c r="N1439" i="3"/>
  <c r="K1439" i="3"/>
  <c r="O1439" i="3"/>
  <c r="L1733" i="3"/>
  <c r="O1733" i="3"/>
  <c r="K1733" i="3"/>
  <c r="N1733" i="3"/>
  <c r="O1725" i="3"/>
  <c r="N1725" i="3"/>
  <c r="L1725" i="3"/>
  <c r="K1725" i="3"/>
  <c r="L1717" i="3"/>
  <c r="O1717" i="3"/>
  <c r="K1717" i="3"/>
  <c r="N1717" i="3"/>
  <c r="O1709" i="3"/>
  <c r="L1709" i="3"/>
  <c r="N1709" i="3"/>
  <c r="K1709" i="3"/>
  <c r="L1701" i="3"/>
  <c r="N1701" i="3"/>
  <c r="K1701" i="3"/>
  <c r="O1701" i="3"/>
  <c r="O1693" i="3"/>
  <c r="N1693" i="3"/>
  <c r="K1693" i="3"/>
  <c r="L1693" i="3"/>
  <c r="L1685" i="3"/>
  <c r="O1685" i="3"/>
  <c r="K1685" i="3"/>
  <c r="N1685" i="3"/>
  <c r="O1677" i="3"/>
  <c r="K1677" i="3"/>
  <c r="N1677" i="3"/>
  <c r="L1677" i="3"/>
  <c r="L1669" i="3"/>
  <c r="O1669" i="3"/>
  <c r="K1669" i="3"/>
  <c r="N1669" i="3"/>
  <c r="O1661" i="3"/>
  <c r="L1661" i="3"/>
  <c r="K1661" i="3"/>
  <c r="N1661" i="3"/>
  <c r="L1653" i="3"/>
  <c r="N1653" i="3"/>
  <c r="O1653" i="3"/>
  <c r="K1653" i="3"/>
  <c r="O1645" i="3"/>
  <c r="L1645" i="3"/>
  <c r="N1645" i="3"/>
  <c r="K1645" i="3"/>
  <c r="L1637" i="3"/>
  <c r="N1637" i="3"/>
  <c r="O1637" i="3"/>
  <c r="K1637" i="3"/>
  <c r="O1629" i="3"/>
  <c r="N1629" i="3"/>
  <c r="K1629" i="3"/>
  <c r="L1629" i="3"/>
  <c r="L1621" i="3"/>
  <c r="O1621" i="3"/>
  <c r="K1621" i="3"/>
  <c r="N1621" i="3"/>
  <c r="O1613" i="3"/>
  <c r="K1613" i="3"/>
  <c r="N1613" i="3"/>
  <c r="L1613" i="3"/>
  <c r="L1605" i="3"/>
  <c r="O1605" i="3"/>
  <c r="K1605" i="3"/>
  <c r="N1605" i="3"/>
  <c r="O1597" i="3"/>
  <c r="L1597" i="3"/>
  <c r="K1597" i="3"/>
  <c r="N1597" i="3"/>
  <c r="L1589" i="3"/>
  <c r="N1589" i="3"/>
  <c r="O1589" i="3"/>
  <c r="K1589" i="3"/>
  <c r="O1581" i="3"/>
  <c r="L1581" i="3"/>
  <c r="N1581" i="3"/>
  <c r="K1581" i="3"/>
  <c r="L1573" i="3"/>
  <c r="N1573" i="3"/>
  <c r="O1573" i="3"/>
  <c r="K1573" i="3"/>
  <c r="O1565" i="3"/>
  <c r="N1565" i="3"/>
  <c r="K1565" i="3"/>
  <c r="L1565" i="3"/>
  <c r="L1557" i="3"/>
  <c r="O1557" i="3"/>
  <c r="K1557" i="3"/>
  <c r="N1557" i="3"/>
  <c r="O1549" i="3"/>
  <c r="K1549" i="3"/>
  <c r="N1549" i="3"/>
  <c r="L1549" i="3"/>
  <c r="L1541" i="3"/>
  <c r="O1541" i="3"/>
  <c r="K1541" i="3"/>
  <c r="N1541" i="3"/>
  <c r="L1537" i="3"/>
  <c r="N1537" i="3"/>
  <c r="O1537" i="3"/>
  <c r="K1537" i="3"/>
  <c r="N1529" i="3"/>
  <c r="L1529" i="3"/>
  <c r="O1529" i="3"/>
  <c r="K1529" i="3"/>
  <c r="L1521" i="3"/>
  <c r="N1521" i="3"/>
  <c r="O1521" i="3"/>
  <c r="K1521" i="3"/>
  <c r="O1513" i="3"/>
  <c r="K1513" i="3"/>
  <c r="L1513" i="3"/>
  <c r="N1513" i="3"/>
  <c r="K1505" i="3"/>
  <c r="N1505" i="3"/>
  <c r="O1505" i="3"/>
  <c r="L1505" i="3"/>
  <c r="O1497" i="3"/>
  <c r="K1497" i="3"/>
  <c r="L1497" i="3"/>
  <c r="N1497" i="3"/>
  <c r="N1489" i="3"/>
  <c r="O1489" i="3"/>
  <c r="K1489" i="3"/>
  <c r="L1489" i="3"/>
  <c r="L1481" i="3"/>
  <c r="N1481" i="3"/>
  <c r="O1481" i="3"/>
  <c r="K1481" i="3"/>
  <c r="L1473" i="3"/>
  <c r="N1473" i="3"/>
  <c r="O1473" i="3"/>
  <c r="K1473" i="3"/>
  <c r="K1465" i="3"/>
  <c r="O1465" i="3"/>
  <c r="N1465" i="3"/>
  <c r="L1465" i="3"/>
  <c r="O1457" i="3"/>
  <c r="K1457" i="3"/>
  <c r="L1457" i="3"/>
  <c r="N1457" i="3"/>
  <c r="O1449" i="3"/>
  <c r="K1449" i="3"/>
  <c r="N1449" i="3"/>
  <c r="L1449" i="3"/>
  <c r="L1441" i="3"/>
  <c r="N1441" i="3"/>
  <c r="O1441" i="3"/>
  <c r="K1441" i="3"/>
  <c r="O1433" i="3"/>
  <c r="K1433" i="3"/>
  <c r="L1433" i="3"/>
  <c r="N1433" i="3"/>
  <c r="K1425" i="3"/>
  <c r="O1425" i="3"/>
  <c r="L1425" i="3"/>
  <c r="N1425" i="3"/>
  <c r="O1417" i="3"/>
  <c r="K1417" i="3"/>
  <c r="L1417" i="3"/>
  <c r="N1417" i="3"/>
  <c r="L1409" i="3"/>
  <c r="O1409" i="3"/>
  <c r="K1409" i="3"/>
  <c r="N1409" i="3"/>
  <c r="L1401" i="3"/>
  <c r="N1401" i="3"/>
  <c r="O1401" i="3"/>
  <c r="K1401" i="3"/>
  <c r="L1393" i="3"/>
  <c r="N1393" i="3"/>
  <c r="O1393" i="3"/>
  <c r="K1393" i="3"/>
  <c r="O1385" i="3"/>
  <c r="K1385" i="3"/>
  <c r="L1385" i="3"/>
  <c r="N1385" i="3"/>
  <c r="O1377" i="3"/>
  <c r="N1377" i="3"/>
  <c r="K1377" i="3"/>
  <c r="L1377" i="3"/>
  <c r="L1369" i="3"/>
  <c r="N1369" i="3"/>
  <c r="O1369" i="3"/>
  <c r="K1369" i="3"/>
  <c r="O1361" i="3"/>
  <c r="K1361" i="3"/>
  <c r="L1361" i="3"/>
  <c r="N1361" i="3"/>
  <c r="L1353" i="3"/>
  <c r="O1353" i="3"/>
  <c r="N1353" i="3"/>
  <c r="K1353" i="3"/>
  <c r="O1345" i="3"/>
  <c r="K1345" i="3"/>
  <c r="L1345" i="3"/>
  <c r="N1345" i="3"/>
  <c r="L1337" i="3"/>
  <c r="N1337" i="3"/>
  <c r="O1337" i="3"/>
  <c r="K1337" i="3"/>
  <c r="L1329" i="3"/>
  <c r="N1329" i="3"/>
  <c r="O1329" i="3"/>
  <c r="K1329" i="3"/>
  <c r="O1321" i="3"/>
  <c r="K1321" i="3"/>
  <c r="N1321" i="3"/>
  <c r="L1321" i="3"/>
  <c r="O1313" i="3"/>
  <c r="K1313" i="3"/>
  <c r="L1313" i="3"/>
  <c r="N1313" i="3"/>
  <c r="L1305" i="3"/>
  <c r="N1305" i="3"/>
  <c r="O1305" i="3"/>
  <c r="K1305" i="3"/>
  <c r="L1297" i="3"/>
  <c r="N1297" i="3"/>
  <c r="O1297" i="3"/>
  <c r="K1297" i="3"/>
  <c r="O1289" i="3"/>
  <c r="K1289" i="3"/>
  <c r="L1289" i="3"/>
  <c r="N1289" i="3"/>
  <c r="O1281" i="3"/>
  <c r="K1281" i="3"/>
  <c r="L1281" i="3"/>
  <c r="N1281" i="3"/>
  <c r="L1273" i="3"/>
  <c r="N1273" i="3"/>
  <c r="O1273" i="3"/>
  <c r="K1273" i="3"/>
  <c r="L1265" i="3"/>
  <c r="N1265" i="3"/>
  <c r="O1265" i="3"/>
  <c r="K1265" i="3"/>
  <c r="O1257" i="3"/>
  <c r="K1257" i="3"/>
  <c r="L1257" i="3"/>
  <c r="N1257" i="3"/>
  <c r="L1249" i="3"/>
  <c r="O1249" i="3"/>
  <c r="N1249" i="3"/>
  <c r="K1249" i="3"/>
  <c r="O1241" i="3"/>
  <c r="K1241" i="3"/>
  <c r="L1241" i="3"/>
  <c r="N1241" i="3"/>
  <c r="O1233" i="3"/>
  <c r="K1233" i="3"/>
  <c r="L1233" i="3"/>
  <c r="N1233" i="3"/>
  <c r="L1225" i="3"/>
  <c r="N1225" i="3"/>
  <c r="O1225" i="3"/>
  <c r="K1225" i="3"/>
  <c r="L1217" i="3"/>
  <c r="N1217" i="3"/>
  <c r="O1217" i="3"/>
  <c r="K1217" i="3"/>
  <c r="O1209" i="3"/>
  <c r="K1209" i="3"/>
  <c r="L1209" i="3"/>
  <c r="N1209" i="3"/>
  <c r="O1201" i="3"/>
  <c r="K1201" i="3"/>
  <c r="L1201" i="3"/>
  <c r="N1201" i="3"/>
  <c r="L1193" i="3"/>
  <c r="O1193" i="3"/>
  <c r="N1193" i="3"/>
  <c r="K1193" i="3"/>
  <c r="L1185" i="3"/>
  <c r="N1185" i="3"/>
  <c r="O1185" i="3"/>
  <c r="K1185" i="3"/>
  <c r="O1177" i="3"/>
  <c r="K1177" i="3"/>
  <c r="L1177" i="3"/>
  <c r="N1177" i="3"/>
  <c r="O1169" i="3"/>
  <c r="K1169" i="3"/>
  <c r="L1169" i="3"/>
  <c r="N1169" i="3"/>
  <c r="L1161" i="3"/>
  <c r="N1161" i="3"/>
  <c r="O1161" i="3"/>
  <c r="K1161" i="3"/>
  <c r="L1153" i="3"/>
  <c r="O1153" i="3"/>
  <c r="K1153" i="3"/>
  <c r="N1153" i="3"/>
  <c r="O1145" i="3"/>
  <c r="K1145" i="3"/>
  <c r="L1145" i="3"/>
  <c r="N1145" i="3"/>
  <c r="L1137" i="3"/>
  <c r="N1137" i="3"/>
  <c r="O1137" i="3"/>
  <c r="K1137" i="3"/>
  <c r="O1129" i="3"/>
  <c r="K1129" i="3"/>
  <c r="L1129" i="3"/>
  <c r="N1129" i="3"/>
  <c r="O1121" i="3"/>
  <c r="K1121" i="3"/>
  <c r="N1121" i="3"/>
  <c r="L1121" i="3"/>
  <c r="L1113" i="3"/>
  <c r="N1113" i="3"/>
  <c r="O1113" i="3"/>
  <c r="K1113" i="3"/>
  <c r="L1105" i="3"/>
  <c r="N1105" i="3"/>
  <c r="O1105" i="3"/>
  <c r="K1105" i="3"/>
  <c r="O1097" i="3"/>
  <c r="K1097" i="3"/>
  <c r="N1097" i="3"/>
  <c r="L1097" i="3"/>
  <c r="O1089" i="3"/>
  <c r="K1089" i="3"/>
  <c r="L1089" i="3"/>
  <c r="N1089" i="3"/>
  <c r="L1081" i="3"/>
  <c r="N1081" i="3"/>
  <c r="O1081" i="3"/>
  <c r="K1081" i="3"/>
  <c r="L1073" i="3"/>
  <c r="N1073" i="3"/>
  <c r="O1073" i="3"/>
  <c r="K1073" i="3"/>
  <c r="O1065" i="3"/>
  <c r="K1065" i="3"/>
  <c r="N1065" i="3"/>
  <c r="L1065" i="3"/>
  <c r="O1057" i="3"/>
  <c r="K1057" i="3"/>
  <c r="L1057" i="3"/>
  <c r="N1057" i="3"/>
  <c r="L1049" i="3"/>
  <c r="N1049" i="3"/>
  <c r="O1049" i="3"/>
  <c r="K1049" i="3"/>
  <c r="L1045" i="3"/>
  <c r="O1045" i="3"/>
  <c r="K1045" i="3"/>
  <c r="N1045" i="3"/>
  <c r="O1037" i="3"/>
  <c r="K1037" i="3"/>
  <c r="N1037" i="3"/>
  <c r="L1037" i="3"/>
  <c r="L1029" i="3"/>
  <c r="O1029" i="3"/>
  <c r="K1029" i="3"/>
  <c r="N1029" i="3"/>
  <c r="L1021" i="3"/>
  <c r="O1021" i="3"/>
  <c r="K1021" i="3"/>
  <c r="N1021" i="3"/>
  <c r="L1013" i="3"/>
  <c r="N1013" i="3"/>
  <c r="O1013" i="3"/>
  <c r="K1013" i="3"/>
  <c r="O1005" i="3"/>
  <c r="L1005" i="3"/>
  <c r="N1005" i="3"/>
  <c r="K1005" i="3"/>
  <c r="L997" i="3"/>
  <c r="N997" i="3"/>
  <c r="O997" i="3"/>
  <c r="K997" i="3"/>
  <c r="N989" i="3"/>
  <c r="K989" i="3"/>
  <c r="O989" i="3"/>
  <c r="L989" i="3"/>
  <c r="L981" i="3"/>
  <c r="K981" i="3"/>
  <c r="N981" i="3"/>
  <c r="O981" i="3"/>
  <c r="O973" i="3"/>
  <c r="K973" i="3"/>
  <c r="N973" i="3"/>
  <c r="L973" i="3"/>
  <c r="L965" i="3"/>
  <c r="O965" i="3"/>
  <c r="K965" i="3"/>
  <c r="N965" i="3"/>
  <c r="O957" i="3"/>
  <c r="L957" i="3"/>
  <c r="K957" i="3"/>
  <c r="N957" i="3"/>
  <c r="O949" i="3"/>
  <c r="L949" i="3"/>
  <c r="N949" i="3"/>
  <c r="K949" i="3"/>
  <c r="O941" i="3"/>
  <c r="N941" i="3"/>
  <c r="L941" i="3"/>
  <c r="K941" i="3"/>
  <c r="O933" i="3"/>
  <c r="N933" i="3"/>
  <c r="L933" i="3"/>
  <c r="K933" i="3"/>
  <c r="N925" i="3"/>
  <c r="K925" i="3"/>
  <c r="O925" i="3"/>
  <c r="L925" i="3"/>
  <c r="L917" i="3"/>
  <c r="K917" i="3"/>
  <c r="N917" i="3"/>
  <c r="O917" i="3"/>
  <c r="O909" i="3"/>
  <c r="K909" i="3"/>
  <c r="N909" i="3"/>
  <c r="L909" i="3"/>
  <c r="L901" i="3"/>
  <c r="O901" i="3"/>
  <c r="K901" i="3"/>
  <c r="N901" i="3"/>
  <c r="O893" i="3"/>
  <c r="L893" i="3"/>
  <c r="K893" i="3"/>
  <c r="N893" i="3"/>
  <c r="O885" i="3"/>
  <c r="L885" i="3"/>
  <c r="N885" i="3"/>
  <c r="K885" i="3"/>
  <c r="L877" i="3"/>
  <c r="N877" i="3"/>
  <c r="O877" i="3"/>
  <c r="K877" i="3"/>
  <c r="O869" i="3"/>
  <c r="K869" i="3"/>
  <c r="L869" i="3"/>
  <c r="N869" i="3"/>
  <c r="N861" i="3"/>
  <c r="K861" i="3"/>
  <c r="L861" i="3"/>
  <c r="O861" i="3"/>
  <c r="L853" i="3"/>
  <c r="O853" i="3"/>
  <c r="K853" i="3"/>
  <c r="N853" i="3"/>
  <c r="O845" i="3"/>
  <c r="K845" i="3"/>
  <c r="N845" i="3"/>
  <c r="L845" i="3"/>
  <c r="L837" i="3"/>
  <c r="O837" i="3"/>
  <c r="N837" i="3"/>
  <c r="K837" i="3"/>
  <c r="O829" i="3"/>
  <c r="L829" i="3"/>
  <c r="K829" i="3"/>
  <c r="N829" i="3"/>
  <c r="L821" i="3"/>
  <c r="N821" i="3"/>
  <c r="O821" i="3"/>
  <c r="K821" i="3"/>
  <c r="O813" i="3"/>
  <c r="L813" i="3"/>
  <c r="N813" i="3"/>
  <c r="K813" i="3"/>
  <c r="L805" i="3"/>
  <c r="N805" i="3"/>
  <c r="O805" i="3"/>
  <c r="K805" i="3"/>
  <c r="O797" i="3"/>
  <c r="N797" i="3"/>
  <c r="K797" i="3"/>
  <c r="L797" i="3"/>
  <c r="L789" i="3"/>
  <c r="O789" i="3"/>
  <c r="K789" i="3"/>
  <c r="N789" i="3"/>
  <c r="O781" i="3"/>
  <c r="K781" i="3"/>
  <c r="N781" i="3"/>
  <c r="L781" i="3"/>
  <c r="L773" i="3"/>
  <c r="O773" i="3"/>
  <c r="K773" i="3"/>
  <c r="N773" i="3"/>
  <c r="O765" i="3"/>
  <c r="L765" i="3"/>
  <c r="K765" i="3"/>
  <c r="N765" i="3"/>
  <c r="L757" i="3"/>
  <c r="N757" i="3"/>
  <c r="O757" i="3"/>
  <c r="K757" i="3"/>
  <c r="O749" i="3"/>
  <c r="L749" i="3"/>
  <c r="N749" i="3"/>
  <c r="K749" i="3"/>
  <c r="L741" i="3"/>
  <c r="N741" i="3"/>
  <c r="O741" i="3"/>
  <c r="K741" i="3"/>
  <c r="O733" i="3"/>
  <c r="N733" i="3"/>
  <c r="K733" i="3"/>
  <c r="L733" i="3"/>
  <c r="L725" i="3"/>
  <c r="O725" i="3"/>
  <c r="K725" i="3"/>
  <c r="N725" i="3"/>
  <c r="O717" i="3"/>
  <c r="N717" i="3"/>
  <c r="K717" i="3"/>
  <c r="L717" i="3"/>
  <c r="L709" i="3"/>
  <c r="O709" i="3"/>
  <c r="K709" i="3"/>
  <c r="N709" i="3"/>
  <c r="O701" i="3"/>
  <c r="L701" i="3"/>
  <c r="K701" i="3"/>
  <c r="N701" i="3"/>
  <c r="L693" i="3"/>
  <c r="N693" i="3"/>
  <c r="O693" i="3"/>
  <c r="K693" i="3"/>
  <c r="O685" i="3"/>
  <c r="L685" i="3"/>
  <c r="N685" i="3"/>
  <c r="K685" i="3"/>
  <c r="L677" i="3"/>
  <c r="N677" i="3"/>
  <c r="K677" i="3"/>
  <c r="O677" i="3"/>
  <c r="O669" i="3"/>
  <c r="N669" i="3"/>
  <c r="K669" i="3"/>
  <c r="L669" i="3"/>
  <c r="L661" i="3"/>
  <c r="O661" i="3"/>
  <c r="K661" i="3"/>
  <c r="N661" i="3"/>
  <c r="O653" i="3"/>
  <c r="K653" i="3"/>
  <c r="N653" i="3"/>
  <c r="L653" i="3"/>
  <c r="L645" i="3"/>
  <c r="O645" i="3"/>
  <c r="K645" i="3"/>
  <c r="N645" i="3"/>
  <c r="O637" i="3"/>
  <c r="L637" i="3"/>
  <c r="K637" i="3"/>
  <c r="N637" i="3"/>
  <c r="L629" i="3"/>
  <c r="N629" i="3"/>
  <c r="O629" i="3"/>
  <c r="K629" i="3"/>
  <c r="O621" i="3"/>
  <c r="L621" i="3"/>
  <c r="N621" i="3"/>
  <c r="K621" i="3"/>
  <c r="L613" i="3"/>
  <c r="N613" i="3"/>
  <c r="O613" i="3"/>
  <c r="K613" i="3"/>
  <c r="O605" i="3"/>
  <c r="N605" i="3"/>
  <c r="K605" i="3"/>
  <c r="L605" i="3"/>
  <c r="L533" i="3"/>
  <c r="O533" i="3"/>
  <c r="N533" i="3"/>
  <c r="K533" i="3"/>
  <c r="L525" i="3"/>
  <c r="O525" i="3"/>
  <c r="K525" i="3"/>
  <c r="N525" i="3"/>
  <c r="O517" i="3"/>
  <c r="L517" i="3"/>
  <c r="N517" i="3"/>
  <c r="K517" i="3"/>
  <c r="N509" i="3"/>
  <c r="O509" i="3"/>
  <c r="L509" i="3"/>
  <c r="K509" i="3"/>
  <c r="K501" i="3"/>
  <c r="L501" i="3"/>
  <c r="N501" i="3"/>
  <c r="O501" i="3"/>
  <c r="N493" i="3"/>
  <c r="L493" i="3"/>
  <c r="O493" i="3"/>
  <c r="K493" i="3"/>
  <c r="L477" i="3"/>
  <c r="N477" i="3"/>
  <c r="O477" i="3"/>
  <c r="K477" i="3"/>
  <c r="O469" i="3"/>
  <c r="K469" i="3"/>
  <c r="L469" i="3"/>
  <c r="N469" i="3"/>
  <c r="L461" i="3"/>
  <c r="N461" i="3"/>
  <c r="O461" i="3"/>
  <c r="K461" i="3"/>
  <c r="O453" i="3"/>
  <c r="K453" i="3"/>
  <c r="L453" i="3"/>
  <c r="N453" i="3"/>
  <c r="L445" i="3"/>
  <c r="N445" i="3"/>
  <c r="O445" i="3"/>
  <c r="K445" i="3"/>
  <c r="L441" i="3"/>
  <c r="O441" i="3"/>
  <c r="N441" i="3"/>
  <c r="K441" i="3"/>
  <c r="K433" i="3"/>
  <c r="N433" i="3"/>
  <c r="O433" i="3"/>
  <c r="L433" i="3"/>
  <c r="O425" i="3"/>
  <c r="K425" i="3"/>
  <c r="N425" i="3"/>
  <c r="L425" i="3"/>
  <c r="K417" i="3"/>
  <c r="N417" i="3"/>
  <c r="O417" i="3"/>
  <c r="L417" i="3"/>
  <c r="L409" i="3"/>
  <c r="O409" i="3"/>
  <c r="K409" i="3"/>
  <c r="N409" i="3"/>
  <c r="L401" i="3"/>
  <c r="K401" i="3"/>
  <c r="O401" i="3"/>
  <c r="N401" i="3"/>
  <c r="L393" i="3"/>
  <c r="O393" i="3"/>
  <c r="N393" i="3"/>
  <c r="K393" i="3"/>
  <c r="K385" i="3"/>
  <c r="L385" i="3"/>
  <c r="N385" i="3"/>
  <c r="O385" i="3"/>
  <c r="L377" i="3"/>
  <c r="N377" i="3"/>
  <c r="O377" i="3"/>
  <c r="K377" i="3"/>
  <c r="K369" i="3"/>
  <c r="N369" i="3"/>
  <c r="O369" i="3"/>
  <c r="L369" i="3"/>
  <c r="L361" i="3"/>
  <c r="O361" i="3"/>
  <c r="K361" i="3"/>
  <c r="N361" i="3"/>
  <c r="K353" i="3"/>
  <c r="N353" i="3"/>
  <c r="O353" i="3"/>
  <c r="L353" i="3"/>
  <c r="L345" i="3"/>
  <c r="K345" i="3"/>
  <c r="O345" i="3"/>
  <c r="N345" i="3"/>
  <c r="K337" i="3"/>
  <c r="O337" i="3"/>
  <c r="L337" i="3"/>
  <c r="N337" i="3"/>
  <c r="L329" i="3"/>
  <c r="O329" i="3"/>
  <c r="N329" i="3"/>
  <c r="K329" i="3"/>
  <c r="K301" i="3"/>
  <c r="L301" i="3"/>
  <c r="O301" i="3"/>
  <c r="N301" i="3"/>
  <c r="N293" i="3"/>
  <c r="O293" i="3"/>
  <c r="K293" i="3"/>
  <c r="L293" i="3"/>
  <c r="O285" i="3"/>
  <c r="K285" i="3"/>
  <c r="L285" i="3"/>
  <c r="N285" i="3"/>
  <c r="L281" i="3"/>
  <c r="O281" i="3"/>
  <c r="K281" i="3"/>
  <c r="N281" i="3"/>
  <c r="L273" i="3"/>
  <c r="N273" i="3"/>
  <c r="O273" i="3"/>
  <c r="K273" i="3"/>
  <c r="K269" i="3"/>
  <c r="L269" i="3"/>
  <c r="O269" i="3"/>
  <c r="N269" i="3"/>
  <c r="O265" i="3"/>
  <c r="K265" i="3"/>
  <c r="N265" i="3"/>
  <c r="L265" i="3"/>
  <c r="N261" i="3"/>
  <c r="O261" i="3"/>
  <c r="K261" i="3"/>
  <c r="L261" i="3"/>
  <c r="K257" i="3"/>
  <c r="O257" i="3"/>
  <c r="N257" i="3"/>
  <c r="L257" i="3"/>
  <c r="K253" i="3"/>
  <c r="L253" i="3"/>
  <c r="N253" i="3"/>
  <c r="O253" i="3"/>
  <c r="L249" i="3"/>
  <c r="O249" i="3"/>
  <c r="N249" i="3"/>
  <c r="K249" i="3"/>
  <c r="N245" i="3"/>
  <c r="O245" i="3"/>
  <c r="L245" i="3"/>
  <c r="K245" i="3"/>
  <c r="O241" i="3"/>
  <c r="K241" i="3"/>
  <c r="N241" i="3"/>
  <c r="L241" i="3"/>
  <c r="K237" i="3"/>
  <c r="L237" i="3"/>
  <c r="O237" i="3"/>
  <c r="N237" i="3"/>
  <c r="O233" i="3"/>
  <c r="K233" i="3"/>
  <c r="N233" i="3"/>
  <c r="L233" i="3"/>
  <c r="N229" i="3"/>
  <c r="O229" i="3"/>
  <c r="K229" i="3"/>
  <c r="L229" i="3"/>
  <c r="L225" i="3"/>
  <c r="N225" i="3"/>
  <c r="O225" i="3"/>
  <c r="K225" i="3"/>
  <c r="E35" i="42" s="1"/>
  <c r="K221" i="3"/>
  <c r="E31" i="42" s="1"/>
  <c r="L221" i="3"/>
  <c r="N221" i="3"/>
  <c r="O221" i="3"/>
  <c r="N217" i="3"/>
  <c r="K217" i="3"/>
  <c r="E27" i="42" s="1"/>
  <c r="O217" i="3"/>
  <c r="L217" i="3"/>
  <c r="L209" i="3"/>
  <c r="N209" i="3"/>
  <c r="O209" i="3"/>
  <c r="K209" i="3"/>
  <c r="E19" i="42" s="1"/>
  <c r="L205" i="3"/>
  <c r="K205" i="3"/>
  <c r="E15" i="42" s="1"/>
  <c r="N205" i="3"/>
  <c r="O205" i="3"/>
  <c r="L201" i="3"/>
  <c r="AZ7" i="42" s="1"/>
  <c r="O201" i="3"/>
  <c r="K201" i="3"/>
  <c r="E11" i="42" s="1"/>
  <c r="N201" i="3"/>
  <c r="N197" i="3"/>
  <c r="O197" i="3"/>
  <c r="K197" i="3"/>
  <c r="L197" i="3"/>
  <c r="O193" i="3"/>
  <c r="L193" i="3"/>
  <c r="K193" i="3"/>
  <c r="N193" i="3"/>
  <c r="K189" i="3"/>
  <c r="O189" i="3"/>
  <c r="N189" i="3"/>
  <c r="L189" i="3"/>
  <c r="N185" i="3"/>
  <c r="K185" i="3"/>
  <c r="O185" i="3"/>
  <c r="L185" i="3"/>
  <c r="N181" i="3"/>
  <c r="O181" i="3"/>
  <c r="K181" i="3"/>
  <c r="L181" i="3"/>
  <c r="N177" i="3"/>
  <c r="O177" i="3"/>
  <c r="K177" i="3"/>
  <c r="L177" i="3"/>
  <c r="K173" i="3"/>
  <c r="O173" i="3"/>
  <c r="L173" i="3"/>
  <c r="N173" i="3"/>
  <c r="L169" i="3"/>
  <c r="O169" i="3"/>
  <c r="K169" i="3"/>
  <c r="N169" i="3"/>
  <c r="O153" i="3"/>
  <c r="K153" i="3"/>
  <c r="N153" i="3"/>
  <c r="L153" i="3"/>
  <c r="N149" i="3"/>
  <c r="O149" i="3"/>
  <c r="K149" i="3"/>
  <c r="L149" i="3"/>
  <c r="N145" i="3"/>
  <c r="O145" i="3"/>
  <c r="K145" i="3"/>
  <c r="L145" i="3"/>
  <c r="K141" i="3"/>
  <c r="L141" i="3"/>
  <c r="O141" i="3"/>
  <c r="N141" i="3"/>
  <c r="O137" i="3"/>
  <c r="N137" i="3"/>
  <c r="K137" i="3"/>
  <c r="L137" i="3"/>
  <c r="N133" i="3"/>
  <c r="O133" i="3"/>
  <c r="K133" i="3"/>
  <c r="L133" i="3"/>
  <c r="N129" i="3"/>
  <c r="O129" i="3"/>
  <c r="K129" i="3"/>
  <c r="L129" i="3"/>
  <c r="L125" i="3"/>
  <c r="K125" i="3"/>
  <c r="O125" i="3"/>
  <c r="N125" i="3"/>
  <c r="O121" i="3"/>
  <c r="N121" i="3"/>
  <c r="K121" i="3"/>
  <c r="L121" i="3"/>
  <c r="O117" i="3"/>
  <c r="N117" i="3"/>
  <c r="K117" i="3"/>
  <c r="L117" i="3"/>
  <c r="N113" i="3"/>
  <c r="O113" i="3"/>
  <c r="L113" i="3"/>
  <c r="K113" i="3"/>
  <c r="K109" i="3"/>
  <c r="L109" i="3"/>
  <c r="O109" i="3"/>
  <c r="N109" i="3"/>
  <c r="O105" i="3"/>
  <c r="K105" i="3"/>
  <c r="N105" i="3"/>
  <c r="L105" i="3"/>
  <c r="O101" i="3"/>
  <c r="L101" i="3"/>
  <c r="K101" i="3"/>
  <c r="N101" i="3"/>
  <c r="L97" i="3"/>
  <c r="N97" i="3"/>
  <c r="O97" i="3"/>
  <c r="K97" i="3"/>
  <c r="K93" i="3"/>
  <c r="L93" i="3"/>
  <c r="N93" i="3"/>
  <c r="O93" i="3"/>
  <c r="N89" i="3"/>
  <c r="L89" i="3"/>
  <c r="O89" i="3"/>
  <c r="K89" i="3"/>
  <c r="N85" i="3"/>
  <c r="O85" i="3"/>
  <c r="K85" i="3"/>
  <c r="L85" i="3"/>
  <c r="O81" i="3"/>
  <c r="L81" i="3"/>
  <c r="K81" i="3"/>
  <c r="N81" i="3"/>
  <c r="K77" i="3"/>
  <c r="L77" i="3"/>
  <c r="O77" i="3"/>
  <c r="N77" i="3"/>
  <c r="L73" i="3"/>
  <c r="O73" i="3"/>
  <c r="K73" i="3"/>
  <c r="N73" i="3"/>
  <c r="N69" i="3"/>
  <c r="O69" i="3"/>
  <c r="K69" i="3"/>
  <c r="L69" i="3"/>
  <c r="O65" i="3"/>
  <c r="L65" i="3"/>
  <c r="K65" i="3"/>
  <c r="N65" i="3"/>
  <c r="K61" i="3"/>
  <c r="L61" i="3"/>
  <c r="N61" i="3"/>
  <c r="O61" i="3"/>
  <c r="L57" i="3"/>
  <c r="K57" i="3"/>
  <c r="O57" i="3"/>
  <c r="N57" i="3"/>
  <c r="L53" i="3"/>
  <c r="N53" i="3"/>
  <c r="K53" i="3"/>
  <c r="O53" i="3"/>
  <c r="L49" i="3"/>
  <c r="N49" i="3"/>
  <c r="O49" i="3"/>
  <c r="K49" i="3"/>
  <c r="K45" i="3"/>
  <c r="L45" i="3"/>
  <c r="O45" i="3"/>
  <c r="N45" i="3"/>
  <c r="L41" i="3"/>
  <c r="N41" i="3"/>
  <c r="O41" i="3"/>
  <c r="K41" i="3"/>
  <c r="O37" i="3"/>
  <c r="L37" i="3"/>
  <c r="K37" i="3"/>
  <c r="N37" i="3"/>
  <c r="O33" i="3"/>
  <c r="K33" i="3"/>
  <c r="L33" i="3"/>
  <c r="N33" i="3"/>
  <c r="K29" i="3"/>
  <c r="L29" i="3"/>
  <c r="N29" i="3"/>
  <c r="O29" i="3"/>
  <c r="N25" i="3"/>
  <c r="K25" i="3"/>
  <c r="O25" i="3"/>
  <c r="L25" i="3"/>
  <c r="N21" i="3"/>
  <c r="O21" i="3"/>
  <c r="K21" i="3"/>
  <c r="L21" i="3"/>
  <c r="N17" i="3"/>
  <c r="O17" i="3"/>
  <c r="L17" i="3"/>
  <c r="K17" i="3"/>
  <c r="K13" i="3"/>
  <c r="L13" i="3"/>
  <c r="O13" i="3"/>
  <c r="N13" i="3"/>
  <c r="O9" i="3"/>
  <c r="N9" i="3"/>
  <c r="K9" i="3"/>
  <c r="L9" i="3"/>
  <c r="N1732" i="3"/>
  <c r="L1732" i="3"/>
  <c r="K1732" i="3"/>
  <c r="O1732" i="3"/>
  <c r="O1728" i="3"/>
  <c r="K1728" i="3"/>
  <c r="L1728" i="3"/>
  <c r="N1728" i="3"/>
  <c r="O1724" i="3"/>
  <c r="N1724" i="3"/>
  <c r="K1724" i="3"/>
  <c r="L1724" i="3"/>
  <c r="N1720" i="3"/>
  <c r="L1720" i="3"/>
  <c r="O1720" i="3"/>
  <c r="K1720" i="3"/>
  <c r="N1716" i="3"/>
  <c r="L1716" i="3"/>
  <c r="K1716" i="3"/>
  <c r="O1716" i="3"/>
  <c r="O1712" i="3"/>
  <c r="K1712" i="3"/>
  <c r="L1712" i="3"/>
  <c r="N1712" i="3"/>
  <c r="O1708" i="3"/>
  <c r="K1708" i="3"/>
  <c r="L1708" i="3"/>
  <c r="N1708" i="3"/>
  <c r="N1704" i="3"/>
  <c r="L1704" i="3"/>
  <c r="O1704" i="3"/>
  <c r="K1704" i="3"/>
  <c r="N1700" i="3"/>
  <c r="K1700" i="3"/>
  <c r="L1700" i="3"/>
  <c r="O1700" i="3"/>
  <c r="N1696" i="3"/>
  <c r="K1696" i="3"/>
  <c r="L1696" i="3"/>
  <c r="O1696" i="3"/>
  <c r="O1692" i="3"/>
  <c r="K1692" i="3"/>
  <c r="L1692" i="3"/>
  <c r="N1692" i="3"/>
  <c r="O1688" i="3"/>
  <c r="L1688" i="3"/>
  <c r="N1688" i="3"/>
  <c r="K1688" i="3"/>
  <c r="N1684" i="3"/>
  <c r="L1684" i="3"/>
  <c r="K1684" i="3"/>
  <c r="O1684" i="3"/>
  <c r="O1680" i="3"/>
  <c r="K1680" i="3"/>
  <c r="L1680" i="3"/>
  <c r="N1680" i="3"/>
  <c r="O1676" i="3"/>
  <c r="K1676" i="3"/>
  <c r="L1676" i="3"/>
  <c r="N1676" i="3"/>
  <c r="O1672" i="3"/>
  <c r="L1672" i="3"/>
  <c r="K1672" i="3"/>
  <c r="N1672" i="3"/>
  <c r="L1668" i="3"/>
  <c r="N1668" i="3"/>
  <c r="K1668" i="3"/>
  <c r="O1668" i="3"/>
  <c r="O1664" i="3"/>
  <c r="K1664" i="3"/>
  <c r="N1664" i="3"/>
  <c r="L1664" i="3"/>
  <c r="O1660" i="3"/>
  <c r="N1660" i="3"/>
  <c r="K1660" i="3"/>
  <c r="L1660" i="3"/>
  <c r="N1656" i="3"/>
  <c r="L1656" i="3"/>
  <c r="O1656" i="3"/>
  <c r="K1656" i="3"/>
  <c r="N1652" i="3"/>
  <c r="K1652" i="3"/>
  <c r="O1652" i="3"/>
  <c r="L1652" i="3"/>
  <c r="O1648" i="3"/>
  <c r="K1648" i="3"/>
  <c r="L1648" i="3"/>
  <c r="N1648" i="3"/>
  <c r="O1644" i="3"/>
  <c r="K1644" i="3"/>
  <c r="L1644" i="3"/>
  <c r="N1644" i="3"/>
  <c r="N1640" i="3"/>
  <c r="L1640" i="3"/>
  <c r="O1640" i="3"/>
  <c r="K1640" i="3"/>
  <c r="N1636" i="3"/>
  <c r="K1636" i="3"/>
  <c r="L1636" i="3"/>
  <c r="O1636" i="3"/>
  <c r="O1632" i="3"/>
  <c r="K1632" i="3"/>
  <c r="N1632" i="3"/>
  <c r="L1632" i="3"/>
  <c r="O1628" i="3"/>
  <c r="K1628" i="3"/>
  <c r="L1628" i="3"/>
  <c r="N1628" i="3"/>
  <c r="N1624" i="3"/>
  <c r="O1624" i="3"/>
  <c r="L1624" i="3"/>
  <c r="K1624" i="3"/>
  <c r="L1620" i="3"/>
  <c r="N1620" i="3"/>
  <c r="K1620" i="3"/>
  <c r="O1620" i="3"/>
  <c r="O1616" i="3"/>
  <c r="K1616" i="3"/>
  <c r="L1616" i="3"/>
  <c r="N1616" i="3"/>
  <c r="O1612" i="3"/>
  <c r="K1612" i="3"/>
  <c r="L1612" i="3"/>
  <c r="N1612" i="3"/>
  <c r="N1608" i="3"/>
  <c r="O1608" i="3"/>
  <c r="L1608" i="3"/>
  <c r="K1608" i="3"/>
  <c r="N1604" i="3"/>
  <c r="L1604" i="3"/>
  <c r="O1604" i="3"/>
  <c r="K1604" i="3"/>
  <c r="O1600" i="3"/>
  <c r="K1600" i="3"/>
  <c r="N1600" i="3"/>
  <c r="L1600" i="3"/>
  <c r="O1596" i="3"/>
  <c r="L1596" i="3"/>
  <c r="N1596" i="3"/>
  <c r="K1596" i="3"/>
  <c r="N1592" i="3"/>
  <c r="L1592" i="3"/>
  <c r="O1592" i="3"/>
  <c r="K1592" i="3"/>
  <c r="N1588" i="3"/>
  <c r="L1588" i="3"/>
  <c r="K1588" i="3"/>
  <c r="O1588" i="3"/>
  <c r="O1584" i="3"/>
  <c r="K1584" i="3"/>
  <c r="L1584" i="3"/>
  <c r="N1584" i="3"/>
  <c r="O1580" i="3"/>
  <c r="L1580" i="3"/>
  <c r="K1580" i="3"/>
  <c r="N1580" i="3"/>
  <c r="N1576" i="3"/>
  <c r="O1576" i="3"/>
  <c r="L1576" i="3"/>
  <c r="K1576" i="3"/>
  <c r="L1572" i="3"/>
  <c r="N1572" i="3"/>
  <c r="K1572" i="3"/>
  <c r="O1572" i="3"/>
  <c r="O1568" i="3"/>
  <c r="K1568" i="3"/>
  <c r="N1568" i="3"/>
  <c r="L1568" i="3"/>
  <c r="O1564" i="3"/>
  <c r="K1564" i="3"/>
  <c r="L1564" i="3"/>
  <c r="N1564" i="3"/>
  <c r="N1560" i="3"/>
  <c r="O1560" i="3"/>
  <c r="L1560" i="3"/>
  <c r="K1560" i="3"/>
  <c r="N1556" i="3"/>
  <c r="L1556" i="3"/>
  <c r="K1556" i="3"/>
  <c r="O1556" i="3"/>
  <c r="O1552" i="3"/>
  <c r="N1552" i="3"/>
  <c r="K1552" i="3"/>
  <c r="L1552" i="3"/>
  <c r="O1548" i="3"/>
  <c r="K1548" i="3"/>
  <c r="N1548" i="3"/>
  <c r="L1548" i="3"/>
  <c r="L1544" i="3"/>
  <c r="O1544" i="3"/>
  <c r="K1544" i="3"/>
  <c r="N1544" i="3"/>
  <c r="N1540" i="3"/>
  <c r="K1540" i="3"/>
  <c r="O1540" i="3"/>
  <c r="L1540" i="3"/>
  <c r="O1536" i="3"/>
  <c r="K1536" i="3"/>
  <c r="N1536" i="3"/>
  <c r="L1536" i="3"/>
  <c r="O1532" i="3"/>
  <c r="L1532" i="3"/>
  <c r="K1532" i="3"/>
  <c r="N1532" i="3"/>
  <c r="N1528" i="3"/>
  <c r="L1528" i="3"/>
  <c r="O1528" i="3"/>
  <c r="K1528" i="3"/>
  <c r="L1524" i="3"/>
  <c r="K1524" i="3"/>
  <c r="N1524" i="3"/>
  <c r="O1524" i="3"/>
  <c r="N1520" i="3"/>
  <c r="O1520" i="3"/>
  <c r="K1520" i="3"/>
  <c r="L1520" i="3"/>
  <c r="O1516" i="3"/>
  <c r="K1516" i="3"/>
  <c r="L1516" i="3"/>
  <c r="N1516" i="3"/>
  <c r="N1512" i="3"/>
  <c r="O1512" i="3"/>
  <c r="K1512" i="3"/>
  <c r="L1512" i="3"/>
  <c r="L1508" i="3"/>
  <c r="N1508" i="3"/>
  <c r="K1508" i="3"/>
  <c r="O1508" i="3"/>
  <c r="O1504" i="3"/>
  <c r="K1504" i="3"/>
  <c r="N1504" i="3"/>
  <c r="L1504" i="3"/>
  <c r="O1500" i="3"/>
  <c r="K1500" i="3"/>
  <c r="L1500" i="3"/>
  <c r="N1500" i="3"/>
  <c r="L1496" i="3"/>
  <c r="O1496" i="3"/>
  <c r="N1496" i="3"/>
  <c r="K1496" i="3"/>
  <c r="L1492" i="3"/>
  <c r="K1492" i="3"/>
  <c r="O1492" i="3"/>
  <c r="N1492" i="3"/>
  <c r="O1488" i="3"/>
  <c r="K1488" i="3"/>
  <c r="L1488" i="3"/>
  <c r="N1488" i="3"/>
  <c r="O1484" i="3"/>
  <c r="K1484" i="3"/>
  <c r="L1484" i="3"/>
  <c r="N1484" i="3"/>
  <c r="L1480" i="3"/>
  <c r="O1480" i="3"/>
  <c r="K1480" i="3"/>
  <c r="N1480" i="3"/>
  <c r="N1476" i="3"/>
  <c r="K1476" i="3"/>
  <c r="O1476" i="3"/>
  <c r="L1476" i="3"/>
  <c r="O1472" i="3"/>
  <c r="K1472" i="3"/>
  <c r="N1472" i="3"/>
  <c r="L1472" i="3"/>
  <c r="O1468" i="3"/>
  <c r="N1468" i="3"/>
  <c r="K1468" i="3"/>
  <c r="L1468" i="3"/>
  <c r="N1464" i="3"/>
  <c r="L1464" i="3"/>
  <c r="O1464" i="3"/>
  <c r="K1464" i="3"/>
  <c r="N1460" i="3"/>
  <c r="K1460" i="3"/>
  <c r="O1460" i="3"/>
  <c r="L1460" i="3"/>
  <c r="O1456" i="3"/>
  <c r="K1456" i="3"/>
  <c r="L1456" i="3"/>
  <c r="N1456" i="3"/>
  <c r="O1452" i="3"/>
  <c r="K1452" i="3"/>
  <c r="N1452" i="3"/>
  <c r="L1452" i="3"/>
  <c r="N1448" i="3"/>
  <c r="O1448" i="3"/>
  <c r="L1448" i="3"/>
  <c r="K1448" i="3"/>
  <c r="L1444" i="3"/>
  <c r="N1444" i="3"/>
  <c r="K1444" i="3"/>
  <c r="O1444" i="3"/>
  <c r="O1440" i="3"/>
  <c r="K1440" i="3"/>
  <c r="N1440" i="3"/>
  <c r="L1440" i="3"/>
  <c r="O1436" i="3"/>
  <c r="K1436" i="3"/>
  <c r="L1436" i="3"/>
  <c r="N1436" i="3"/>
  <c r="O1432" i="3"/>
  <c r="K1432" i="3"/>
  <c r="N1432" i="3"/>
  <c r="L1432" i="3"/>
  <c r="N1428" i="3"/>
  <c r="L1428" i="3"/>
  <c r="K1428" i="3"/>
  <c r="O1428" i="3"/>
  <c r="O1424" i="3"/>
  <c r="K1424" i="3"/>
  <c r="L1424" i="3"/>
  <c r="N1424" i="3"/>
  <c r="O1420" i="3"/>
  <c r="L1420" i="3"/>
  <c r="K1420" i="3"/>
  <c r="N1420" i="3"/>
  <c r="L1416" i="3"/>
  <c r="N1416" i="3"/>
  <c r="K1416" i="3"/>
  <c r="O1416" i="3"/>
  <c r="N1412" i="3"/>
  <c r="L1412" i="3"/>
  <c r="K1412" i="3"/>
  <c r="O1412" i="3"/>
  <c r="O1408" i="3"/>
  <c r="K1408" i="3"/>
  <c r="N1408" i="3"/>
  <c r="L1408" i="3"/>
  <c r="O1404" i="3"/>
  <c r="L1404" i="3"/>
  <c r="K1404" i="3"/>
  <c r="N1404" i="3"/>
  <c r="N1400" i="3"/>
  <c r="L1400" i="3"/>
  <c r="O1400" i="3"/>
  <c r="K1400" i="3"/>
  <c r="N1396" i="3"/>
  <c r="L1396" i="3"/>
  <c r="K1396" i="3"/>
  <c r="O1396" i="3"/>
  <c r="O1392" i="3"/>
  <c r="K1392" i="3"/>
  <c r="L1392" i="3"/>
  <c r="N1392" i="3"/>
  <c r="O1388" i="3"/>
  <c r="K1388" i="3"/>
  <c r="L1388" i="3"/>
  <c r="N1388" i="3"/>
  <c r="N1384" i="3"/>
  <c r="L1384" i="3"/>
  <c r="O1384" i="3"/>
  <c r="K1384" i="3"/>
  <c r="N1380" i="3"/>
  <c r="L1380" i="3"/>
  <c r="K1380" i="3"/>
  <c r="O1380" i="3"/>
  <c r="O1376" i="3"/>
  <c r="K1376" i="3"/>
  <c r="N1376" i="3"/>
  <c r="L1376" i="3"/>
  <c r="O1372" i="3"/>
  <c r="K1372" i="3"/>
  <c r="L1372" i="3"/>
  <c r="N1372" i="3"/>
  <c r="L1368" i="3"/>
  <c r="O1368" i="3"/>
  <c r="N1368" i="3"/>
  <c r="K1368" i="3"/>
  <c r="L1364" i="3"/>
  <c r="N1364" i="3"/>
  <c r="K1364" i="3"/>
  <c r="O1364" i="3"/>
  <c r="O1360" i="3"/>
  <c r="K1360" i="3"/>
  <c r="L1360" i="3"/>
  <c r="N1360" i="3"/>
  <c r="O1356" i="3"/>
  <c r="K1356" i="3"/>
  <c r="L1356" i="3"/>
  <c r="N1356" i="3"/>
  <c r="N1352" i="3"/>
  <c r="L1352" i="3"/>
  <c r="O1352" i="3"/>
  <c r="K1352" i="3"/>
  <c r="N1348" i="3"/>
  <c r="K1348" i="3"/>
  <c r="O1348" i="3"/>
  <c r="L1348" i="3"/>
  <c r="O1344" i="3"/>
  <c r="K1344" i="3"/>
  <c r="N1344" i="3"/>
  <c r="L1344" i="3"/>
  <c r="O1340" i="3"/>
  <c r="N1340" i="3"/>
  <c r="K1340" i="3"/>
  <c r="L1340" i="3"/>
  <c r="N1336" i="3"/>
  <c r="L1336" i="3"/>
  <c r="O1336" i="3"/>
  <c r="K1336" i="3"/>
  <c r="N1332" i="3"/>
  <c r="K1332" i="3"/>
  <c r="L1332" i="3"/>
  <c r="O1332" i="3"/>
  <c r="O1328" i="3"/>
  <c r="K1328" i="3"/>
  <c r="L1328" i="3"/>
  <c r="N1328" i="3"/>
  <c r="O1324" i="3"/>
  <c r="N1324" i="3"/>
  <c r="K1324" i="3"/>
  <c r="L1324" i="3"/>
  <c r="N1320" i="3"/>
  <c r="O1320" i="3"/>
  <c r="L1320" i="3"/>
  <c r="K1320" i="3"/>
  <c r="N1316" i="3"/>
  <c r="L1316" i="3"/>
  <c r="K1316" i="3"/>
  <c r="O1316" i="3"/>
  <c r="O1312" i="3"/>
  <c r="K1312" i="3"/>
  <c r="N1312" i="3"/>
  <c r="L1312" i="3"/>
  <c r="O1308" i="3"/>
  <c r="K1308" i="3"/>
  <c r="L1308" i="3"/>
  <c r="N1308" i="3"/>
  <c r="N1304" i="3"/>
  <c r="O1304" i="3"/>
  <c r="L1304" i="3"/>
  <c r="K1304" i="3"/>
  <c r="N1300" i="3"/>
  <c r="L1300" i="3"/>
  <c r="K1300" i="3"/>
  <c r="O1300" i="3"/>
  <c r="O1296" i="3"/>
  <c r="N1296" i="3"/>
  <c r="K1296" i="3"/>
  <c r="L1296" i="3"/>
  <c r="O1292" i="3"/>
  <c r="K1292" i="3"/>
  <c r="L1292" i="3"/>
  <c r="N1292" i="3"/>
  <c r="N1288" i="3"/>
  <c r="L1288" i="3"/>
  <c r="O1288" i="3"/>
  <c r="K1288" i="3"/>
  <c r="N1284" i="3"/>
  <c r="L1284" i="3"/>
  <c r="K1284" i="3"/>
  <c r="O1284" i="3"/>
  <c r="O1280" i="3"/>
  <c r="K1280" i="3"/>
  <c r="N1280" i="3"/>
  <c r="L1280" i="3"/>
  <c r="O1276" i="3"/>
  <c r="L1276" i="3"/>
  <c r="K1276" i="3"/>
  <c r="N1276" i="3"/>
  <c r="N1272" i="3"/>
  <c r="L1272" i="3"/>
  <c r="O1272" i="3"/>
  <c r="K1272" i="3"/>
  <c r="L1268" i="3"/>
  <c r="N1268" i="3"/>
  <c r="O1268" i="3"/>
  <c r="K1268" i="3"/>
  <c r="N1264" i="3"/>
  <c r="O1264" i="3"/>
  <c r="K1264" i="3"/>
  <c r="L1264" i="3"/>
  <c r="O1260" i="3"/>
  <c r="K1260" i="3"/>
  <c r="L1260" i="3"/>
  <c r="N1260" i="3"/>
  <c r="N1256" i="3"/>
  <c r="L1256" i="3"/>
  <c r="O1256" i="3"/>
  <c r="K1256" i="3"/>
  <c r="N1252" i="3"/>
  <c r="L1252" i="3"/>
  <c r="K1252" i="3"/>
  <c r="O1252" i="3"/>
  <c r="O1248" i="3"/>
  <c r="K1248" i="3"/>
  <c r="N1248" i="3"/>
  <c r="L1248" i="3"/>
  <c r="O1244" i="3"/>
  <c r="K1244" i="3"/>
  <c r="L1244" i="3"/>
  <c r="N1244" i="3"/>
  <c r="L1240" i="3"/>
  <c r="N1240" i="3"/>
  <c r="O1240" i="3"/>
  <c r="K1240" i="3"/>
  <c r="L1236" i="3"/>
  <c r="K1236" i="3"/>
  <c r="O1236" i="3"/>
  <c r="N1236" i="3"/>
  <c r="O1232" i="3"/>
  <c r="K1232" i="3"/>
  <c r="L1232" i="3"/>
  <c r="N1232" i="3"/>
  <c r="O1228" i="3"/>
  <c r="K1228" i="3"/>
  <c r="L1228" i="3"/>
  <c r="N1228" i="3"/>
  <c r="N1224" i="3"/>
  <c r="L1224" i="3"/>
  <c r="O1224" i="3"/>
  <c r="K1224" i="3"/>
  <c r="N1220" i="3"/>
  <c r="K1220" i="3"/>
  <c r="O1220" i="3"/>
  <c r="L1220" i="3"/>
  <c r="O1216" i="3"/>
  <c r="K1216" i="3"/>
  <c r="N1216" i="3"/>
  <c r="L1216" i="3"/>
  <c r="O1212" i="3"/>
  <c r="K1212" i="3"/>
  <c r="L1212" i="3"/>
  <c r="N1212" i="3"/>
  <c r="N1208" i="3"/>
  <c r="L1208" i="3"/>
  <c r="O1208" i="3"/>
  <c r="K1208" i="3"/>
  <c r="N1204" i="3"/>
  <c r="L1204" i="3"/>
  <c r="O1204" i="3"/>
  <c r="K1204" i="3"/>
  <c r="O1200" i="3"/>
  <c r="K1200" i="3"/>
  <c r="L1200" i="3"/>
  <c r="N1200" i="3"/>
  <c r="O1196" i="3"/>
  <c r="K1196" i="3"/>
  <c r="N1196" i="3"/>
  <c r="L1196" i="3"/>
  <c r="O1192" i="3"/>
  <c r="L1192" i="3"/>
  <c r="N1192" i="3"/>
  <c r="K1192" i="3"/>
  <c r="N1188" i="3"/>
  <c r="L1188" i="3"/>
  <c r="K1188" i="3"/>
  <c r="O1188" i="3"/>
  <c r="O1184" i="3"/>
  <c r="K1184" i="3"/>
  <c r="N1184" i="3"/>
  <c r="L1184" i="3"/>
  <c r="O1180" i="3"/>
  <c r="K1180" i="3"/>
  <c r="L1180" i="3"/>
  <c r="N1180" i="3"/>
  <c r="O1176" i="3"/>
  <c r="L1176" i="3"/>
  <c r="N1176" i="3"/>
  <c r="K1176" i="3"/>
  <c r="N1172" i="3"/>
  <c r="L1172" i="3"/>
  <c r="K1172" i="3"/>
  <c r="O1172" i="3"/>
  <c r="O1168" i="3"/>
  <c r="K1168" i="3"/>
  <c r="L1168" i="3"/>
  <c r="N1168" i="3"/>
  <c r="O1164" i="3"/>
  <c r="L1164" i="3"/>
  <c r="K1164" i="3"/>
  <c r="N1164" i="3"/>
  <c r="N1160" i="3"/>
  <c r="L1160" i="3"/>
  <c r="O1160" i="3"/>
  <c r="K1160" i="3"/>
  <c r="N1156" i="3"/>
  <c r="L1156" i="3"/>
  <c r="K1156" i="3"/>
  <c r="O1156" i="3"/>
  <c r="O1152" i="3"/>
  <c r="K1152" i="3"/>
  <c r="N1152" i="3"/>
  <c r="L1152" i="3"/>
  <c r="K1148" i="3"/>
  <c r="N1148" i="3"/>
  <c r="L1148" i="3"/>
  <c r="O1148" i="3"/>
  <c r="N1144" i="3"/>
  <c r="L1144" i="3"/>
  <c r="O1144" i="3"/>
  <c r="K1144" i="3"/>
  <c r="L1140" i="3"/>
  <c r="N1140" i="3"/>
  <c r="O1140" i="3"/>
  <c r="K1140" i="3"/>
  <c r="O1136" i="3"/>
  <c r="K1136" i="3"/>
  <c r="L1136" i="3"/>
  <c r="N1136" i="3"/>
  <c r="O1132" i="3"/>
  <c r="K1132" i="3"/>
  <c r="L1132" i="3"/>
  <c r="N1132" i="3"/>
  <c r="L1128" i="3"/>
  <c r="O1128" i="3"/>
  <c r="N1128" i="3"/>
  <c r="K1128" i="3"/>
  <c r="N1124" i="3"/>
  <c r="L1124" i="3"/>
  <c r="K1124" i="3"/>
  <c r="O1124" i="3"/>
  <c r="O1120" i="3"/>
  <c r="K1120" i="3"/>
  <c r="N1120" i="3"/>
  <c r="L1120" i="3"/>
  <c r="O1116" i="3"/>
  <c r="K1116" i="3"/>
  <c r="L1116" i="3"/>
  <c r="N1116" i="3"/>
  <c r="L1112" i="3"/>
  <c r="O1112" i="3"/>
  <c r="N1112" i="3"/>
  <c r="K1112" i="3"/>
  <c r="L1108" i="3"/>
  <c r="N1108" i="3"/>
  <c r="K1108" i="3"/>
  <c r="O1108" i="3"/>
  <c r="O1104" i="3"/>
  <c r="K1104" i="3"/>
  <c r="L1104" i="3"/>
  <c r="N1104" i="3"/>
  <c r="O1100" i="3"/>
  <c r="K1100" i="3"/>
  <c r="L1100" i="3"/>
  <c r="N1100" i="3"/>
  <c r="N1096" i="3"/>
  <c r="L1096" i="3"/>
  <c r="O1096" i="3"/>
  <c r="K1096" i="3"/>
  <c r="N1092" i="3"/>
  <c r="L1092" i="3"/>
  <c r="O1092" i="3"/>
  <c r="K1092" i="3"/>
  <c r="O1088" i="3"/>
  <c r="K1088" i="3"/>
  <c r="N1088" i="3"/>
  <c r="L1088" i="3"/>
  <c r="O1084" i="3"/>
  <c r="K1084" i="3"/>
  <c r="L1084" i="3"/>
  <c r="N1084" i="3"/>
  <c r="N1080" i="3"/>
  <c r="L1080" i="3"/>
  <c r="O1080" i="3"/>
  <c r="K1080" i="3"/>
  <c r="N1076" i="3"/>
  <c r="K1076" i="3"/>
  <c r="O1076" i="3"/>
  <c r="L1076" i="3"/>
  <c r="O1072" i="3"/>
  <c r="K1072" i="3"/>
  <c r="L1072" i="3"/>
  <c r="N1072" i="3"/>
  <c r="O1068" i="3"/>
  <c r="N1068" i="3"/>
  <c r="K1068" i="3"/>
  <c r="L1068" i="3"/>
  <c r="N1064" i="3"/>
  <c r="O1064" i="3"/>
  <c r="L1064" i="3"/>
  <c r="K1064" i="3"/>
  <c r="N1060" i="3"/>
  <c r="L1060" i="3"/>
  <c r="K1060" i="3"/>
  <c r="O1060" i="3"/>
  <c r="O1056" i="3"/>
  <c r="K1056" i="3"/>
  <c r="N1056" i="3"/>
  <c r="L1056" i="3"/>
  <c r="O1052" i="3"/>
  <c r="K1052" i="3"/>
  <c r="L1052" i="3"/>
  <c r="N1052" i="3"/>
  <c r="N1048" i="3"/>
  <c r="O1048" i="3"/>
  <c r="L1048" i="3"/>
  <c r="K1048" i="3"/>
  <c r="N1044" i="3"/>
  <c r="L1044" i="3"/>
  <c r="K1044" i="3"/>
  <c r="O1044" i="3"/>
  <c r="O1040" i="3"/>
  <c r="K1040" i="3"/>
  <c r="N1040" i="3"/>
  <c r="L1040" i="3"/>
  <c r="O1036" i="3"/>
  <c r="K1036" i="3"/>
  <c r="L1036" i="3"/>
  <c r="N1036" i="3"/>
  <c r="N1032" i="3"/>
  <c r="L1032" i="3"/>
  <c r="O1032" i="3"/>
  <c r="K1032" i="3"/>
  <c r="N1028" i="3"/>
  <c r="L1028" i="3"/>
  <c r="K1028" i="3"/>
  <c r="O1028" i="3"/>
  <c r="O1024" i="3"/>
  <c r="K1024" i="3"/>
  <c r="N1024" i="3"/>
  <c r="L1024" i="3"/>
  <c r="O1020" i="3"/>
  <c r="K1020" i="3"/>
  <c r="L1020" i="3"/>
  <c r="N1020" i="3"/>
  <c r="N1016" i="3"/>
  <c r="L1016" i="3"/>
  <c r="O1016" i="3"/>
  <c r="K1016" i="3"/>
  <c r="L1012" i="3"/>
  <c r="K1012" i="3"/>
  <c r="O1012" i="3"/>
  <c r="N1012" i="3"/>
  <c r="O1008" i="3"/>
  <c r="K1008" i="3"/>
  <c r="N1008" i="3"/>
  <c r="L1008" i="3"/>
  <c r="O1004" i="3"/>
  <c r="K1004" i="3"/>
  <c r="L1004" i="3"/>
  <c r="N1004" i="3"/>
  <c r="N1000" i="3"/>
  <c r="L1000" i="3"/>
  <c r="O1000" i="3"/>
  <c r="K1000" i="3"/>
  <c r="N996" i="3"/>
  <c r="L996" i="3"/>
  <c r="K996" i="3"/>
  <c r="O996" i="3"/>
  <c r="O992" i="3"/>
  <c r="K992" i="3"/>
  <c r="N992" i="3"/>
  <c r="L992" i="3"/>
  <c r="O988" i="3"/>
  <c r="K988" i="3"/>
  <c r="L988" i="3"/>
  <c r="N988" i="3"/>
  <c r="N984" i="3"/>
  <c r="L984" i="3"/>
  <c r="O984" i="3"/>
  <c r="K984" i="3"/>
  <c r="L980" i="3"/>
  <c r="N980" i="3"/>
  <c r="O980" i="3"/>
  <c r="K980" i="3"/>
  <c r="O976" i="3"/>
  <c r="K976" i="3"/>
  <c r="L976" i="3"/>
  <c r="N976" i="3"/>
  <c r="O972" i="3"/>
  <c r="K972" i="3"/>
  <c r="L972" i="3"/>
  <c r="N972" i="3"/>
  <c r="L968" i="3"/>
  <c r="O968" i="3"/>
  <c r="K968" i="3"/>
  <c r="N968" i="3"/>
  <c r="N964" i="3"/>
  <c r="K964" i="3"/>
  <c r="O964" i="3"/>
  <c r="L964" i="3"/>
  <c r="N960" i="3"/>
  <c r="K960" i="3"/>
  <c r="L960" i="3"/>
  <c r="O960" i="3"/>
  <c r="O956" i="3"/>
  <c r="K956" i="3"/>
  <c r="L956" i="3"/>
  <c r="N956" i="3"/>
  <c r="N952" i="3"/>
  <c r="L952" i="3"/>
  <c r="O952" i="3"/>
  <c r="K952" i="3"/>
  <c r="N948" i="3"/>
  <c r="L948" i="3"/>
  <c r="O948" i="3"/>
  <c r="K948" i="3"/>
  <c r="O944" i="3"/>
  <c r="K944" i="3"/>
  <c r="L944" i="3"/>
  <c r="N944" i="3"/>
  <c r="O940" i="3"/>
  <c r="K940" i="3"/>
  <c r="N940" i="3"/>
  <c r="L940" i="3"/>
  <c r="N936" i="3"/>
  <c r="O936" i="3"/>
  <c r="L936" i="3"/>
  <c r="K936" i="3"/>
  <c r="N932" i="3"/>
  <c r="L932" i="3"/>
  <c r="K932" i="3"/>
  <c r="O932" i="3"/>
  <c r="O928" i="3"/>
  <c r="K928" i="3"/>
  <c r="N928" i="3"/>
  <c r="L928" i="3"/>
  <c r="O924" i="3"/>
  <c r="K924" i="3"/>
  <c r="L924" i="3"/>
  <c r="N924" i="3"/>
  <c r="N920" i="3"/>
  <c r="O920" i="3"/>
  <c r="L920" i="3"/>
  <c r="K920" i="3"/>
  <c r="N916" i="3"/>
  <c r="L916" i="3"/>
  <c r="K916" i="3"/>
  <c r="O916" i="3"/>
  <c r="O912" i="3"/>
  <c r="K912" i="3"/>
  <c r="L912" i="3"/>
  <c r="N912" i="3"/>
  <c r="O908" i="3"/>
  <c r="L908" i="3"/>
  <c r="K908" i="3"/>
  <c r="N908" i="3"/>
  <c r="N904" i="3"/>
  <c r="L904" i="3"/>
  <c r="O904" i="3"/>
  <c r="K904" i="3"/>
  <c r="N900" i="3"/>
  <c r="L900" i="3"/>
  <c r="K900" i="3"/>
  <c r="O900" i="3"/>
  <c r="O896" i="3"/>
  <c r="K896" i="3"/>
  <c r="N896" i="3"/>
  <c r="L896" i="3"/>
  <c r="O892" i="3"/>
  <c r="K892" i="3"/>
  <c r="N892" i="3"/>
  <c r="L892" i="3"/>
  <c r="N888" i="3"/>
  <c r="L888" i="3"/>
  <c r="O888" i="3"/>
  <c r="K888" i="3"/>
  <c r="N884" i="3"/>
  <c r="L884" i="3"/>
  <c r="K884" i="3"/>
  <c r="O884" i="3"/>
  <c r="O880" i="3"/>
  <c r="K880" i="3"/>
  <c r="L880" i="3"/>
  <c r="N880" i="3"/>
  <c r="O876" i="3"/>
  <c r="K876" i="3"/>
  <c r="L876" i="3"/>
  <c r="N876" i="3"/>
  <c r="N872" i="3"/>
  <c r="L872" i="3"/>
  <c r="O872" i="3"/>
  <c r="K872" i="3"/>
  <c r="N868" i="3"/>
  <c r="L868" i="3"/>
  <c r="K868" i="3"/>
  <c r="O868" i="3"/>
  <c r="O864" i="3"/>
  <c r="K864" i="3"/>
  <c r="N864" i="3"/>
  <c r="L864" i="3"/>
  <c r="O860" i="3"/>
  <c r="K860" i="3"/>
  <c r="L860" i="3"/>
  <c r="N860" i="3"/>
  <c r="N856" i="3"/>
  <c r="L856" i="3"/>
  <c r="O856" i="3"/>
  <c r="K856" i="3"/>
  <c r="L852" i="3"/>
  <c r="N852" i="3"/>
  <c r="K852" i="3"/>
  <c r="O852" i="3"/>
  <c r="O848" i="3"/>
  <c r="K848" i="3"/>
  <c r="L848" i="3"/>
  <c r="N848" i="3"/>
  <c r="O844" i="3"/>
  <c r="K844" i="3"/>
  <c r="L844" i="3"/>
  <c r="N844" i="3"/>
  <c r="N840" i="3"/>
  <c r="L840" i="3"/>
  <c r="O840" i="3"/>
  <c r="K840" i="3"/>
  <c r="N836" i="3"/>
  <c r="K836" i="3"/>
  <c r="O836" i="3"/>
  <c r="L836" i="3"/>
  <c r="O832" i="3"/>
  <c r="K832" i="3"/>
  <c r="N832" i="3"/>
  <c r="L832" i="3"/>
  <c r="O828" i="3"/>
  <c r="K828" i="3"/>
  <c r="L828" i="3"/>
  <c r="N828" i="3"/>
  <c r="O824" i="3"/>
  <c r="L824" i="3"/>
  <c r="K824" i="3"/>
  <c r="N824" i="3"/>
  <c r="N820" i="3"/>
  <c r="K820" i="3"/>
  <c r="O820" i="3"/>
  <c r="L820" i="3"/>
  <c r="O816" i="3"/>
  <c r="K816" i="3"/>
  <c r="L816" i="3"/>
  <c r="N816" i="3"/>
  <c r="O812" i="3"/>
  <c r="K812" i="3"/>
  <c r="N812" i="3"/>
  <c r="L812" i="3"/>
  <c r="N808" i="3"/>
  <c r="O808" i="3"/>
  <c r="L808" i="3"/>
  <c r="K808" i="3"/>
  <c r="N804" i="3"/>
  <c r="L804" i="3"/>
  <c r="K804" i="3"/>
  <c r="O804" i="3"/>
  <c r="O800" i="3"/>
  <c r="K800" i="3"/>
  <c r="N800" i="3"/>
  <c r="L800" i="3"/>
  <c r="O796" i="3"/>
  <c r="K796" i="3"/>
  <c r="L796" i="3"/>
  <c r="N796" i="3"/>
  <c r="N792" i="3"/>
  <c r="L792" i="3"/>
  <c r="O792" i="3"/>
  <c r="K792" i="3"/>
  <c r="N788" i="3"/>
  <c r="L788" i="3"/>
  <c r="K788" i="3"/>
  <c r="O788" i="3"/>
  <c r="O784" i="3"/>
  <c r="K784" i="3"/>
  <c r="N784" i="3"/>
  <c r="L784" i="3"/>
  <c r="O780" i="3"/>
  <c r="L780" i="3"/>
  <c r="K780" i="3"/>
  <c r="N780" i="3"/>
  <c r="N776" i="3"/>
  <c r="L776" i="3"/>
  <c r="O776" i="3"/>
  <c r="K776" i="3"/>
  <c r="N772" i="3"/>
  <c r="L772" i="3"/>
  <c r="K772" i="3"/>
  <c r="O772" i="3"/>
  <c r="O768" i="3"/>
  <c r="K768" i="3"/>
  <c r="N768" i="3"/>
  <c r="L768" i="3"/>
  <c r="O764" i="3"/>
  <c r="K764" i="3"/>
  <c r="L764" i="3"/>
  <c r="N764" i="3"/>
  <c r="L760" i="3"/>
  <c r="N760" i="3"/>
  <c r="K760" i="3"/>
  <c r="O760" i="3"/>
  <c r="N756" i="3"/>
  <c r="L756" i="3"/>
  <c r="K756" i="3"/>
  <c r="O756" i="3"/>
  <c r="O752" i="3"/>
  <c r="K752" i="3"/>
  <c r="N752" i="3"/>
  <c r="L752" i="3"/>
  <c r="O748" i="3"/>
  <c r="K748" i="3"/>
  <c r="L748" i="3"/>
  <c r="N748" i="3"/>
  <c r="N744" i="3"/>
  <c r="L744" i="3"/>
  <c r="O744" i="3"/>
  <c r="K744" i="3"/>
  <c r="L740" i="3"/>
  <c r="N740" i="3"/>
  <c r="K740" i="3"/>
  <c r="O740" i="3"/>
  <c r="O736" i="3"/>
  <c r="K736" i="3"/>
  <c r="N736" i="3"/>
  <c r="L736" i="3"/>
  <c r="O732" i="3"/>
  <c r="K732" i="3"/>
  <c r="L732" i="3"/>
  <c r="N732" i="3"/>
  <c r="N728" i="3"/>
  <c r="L728" i="3"/>
  <c r="O728" i="3"/>
  <c r="K728" i="3"/>
  <c r="N724" i="3"/>
  <c r="L724" i="3"/>
  <c r="K724" i="3"/>
  <c r="O724" i="3"/>
  <c r="O720" i="3"/>
  <c r="K720" i="3"/>
  <c r="N720" i="3"/>
  <c r="L720" i="3"/>
  <c r="O716" i="3"/>
  <c r="K716" i="3"/>
  <c r="L716" i="3"/>
  <c r="N716" i="3"/>
  <c r="L712" i="3"/>
  <c r="O712" i="3"/>
  <c r="K712" i="3"/>
  <c r="N712" i="3"/>
  <c r="N708" i="3"/>
  <c r="K708" i="3"/>
  <c r="O708" i="3"/>
  <c r="L708" i="3"/>
  <c r="O704" i="3"/>
  <c r="K704" i="3"/>
  <c r="N704" i="3"/>
  <c r="L704" i="3"/>
  <c r="O700" i="3"/>
  <c r="K700" i="3"/>
  <c r="N700" i="3"/>
  <c r="L700" i="3"/>
  <c r="N696" i="3"/>
  <c r="L696" i="3"/>
  <c r="K696" i="3"/>
  <c r="O696" i="3"/>
  <c r="N692" i="3"/>
  <c r="L692" i="3"/>
  <c r="O692" i="3"/>
  <c r="K692" i="3"/>
  <c r="O688" i="3"/>
  <c r="K688" i="3"/>
  <c r="N688" i="3"/>
  <c r="L688" i="3"/>
  <c r="O684" i="3"/>
  <c r="K684" i="3"/>
  <c r="L684" i="3"/>
  <c r="N684" i="3"/>
  <c r="N680" i="3"/>
  <c r="O680" i="3"/>
  <c r="L680" i="3"/>
  <c r="K680" i="3"/>
  <c r="N676" i="3"/>
  <c r="L676" i="3"/>
  <c r="K676" i="3"/>
  <c r="O676" i="3"/>
  <c r="O672" i="3"/>
  <c r="K672" i="3"/>
  <c r="N672" i="3"/>
  <c r="L672" i="3"/>
  <c r="O668" i="3"/>
  <c r="K668" i="3"/>
  <c r="L668" i="3"/>
  <c r="N668" i="3"/>
  <c r="O664" i="3"/>
  <c r="L664" i="3"/>
  <c r="N664" i="3"/>
  <c r="K664" i="3"/>
  <c r="L660" i="3"/>
  <c r="K660" i="3"/>
  <c r="O660" i="3"/>
  <c r="N660" i="3"/>
  <c r="O656" i="3"/>
  <c r="K656" i="3"/>
  <c r="N656" i="3"/>
  <c r="L656" i="3"/>
  <c r="O652" i="3"/>
  <c r="L652" i="3"/>
  <c r="K652" i="3"/>
  <c r="N652" i="3"/>
  <c r="N648" i="3"/>
  <c r="L648" i="3"/>
  <c r="O648" i="3"/>
  <c r="K648" i="3"/>
  <c r="N644" i="3"/>
  <c r="L644" i="3"/>
  <c r="K644" i="3"/>
  <c r="O644" i="3"/>
  <c r="O640" i="3"/>
  <c r="K640" i="3"/>
  <c r="N640" i="3"/>
  <c r="L640" i="3"/>
  <c r="O636" i="3"/>
  <c r="K636" i="3"/>
  <c r="L636" i="3"/>
  <c r="N636" i="3"/>
  <c r="N632" i="3"/>
  <c r="L632" i="3"/>
  <c r="O632" i="3"/>
  <c r="K632" i="3"/>
  <c r="L628" i="3"/>
  <c r="K628" i="3"/>
  <c r="O628" i="3"/>
  <c r="N628" i="3"/>
  <c r="O624" i="3"/>
  <c r="K624" i="3"/>
  <c r="N624" i="3"/>
  <c r="L624" i="3"/>
  <c r="O620" i="3"/>
  <c r="K620" i="3"/>
  <c r="L620" i="3"/>
  <c r="N620" i="3"/>
  <c r="N616" i="3"/>
  <c r="L616" i="3"/>
  <c r="O616" i="3"/>
  <c r="K616" i="3"/>
  <c r="N612" i="3"/>
  <c r="L612" i="3"/>
  <c r="K612" i="3"/>
  <c r="O612" i="3"/>
  <c r="O608" i="3"/>
  <c r="K608" i="3"/>
  <c r="N608" i="3"/>
  <c r="L608" i="3"/>
  <c r="O604" i="3"/>
  <c r="N604" i="3"/>
  <c r="K604" i="3"/>
  <c r="L604" i="3"/>
  <c r="O536" i="3"/>
  <c r="L536" i="3"/>
  <c r="N536" i="3"/>
  <c r="K536" i="3"/>
  <c r="N532" i="3"/>
  <c r="K532" i="3"/>
  <c r="L532" i="3"/>
  <c r="O532" i="3"/>
  <c r="K528" i="3"/>
  <c r="O528" i="3"/>
  <c r="N528" i="3"/>
  <c r="L528" i="3"/>
  <c r="O524" i="3"/>
  <c r="K524" i="3"/>
  <c r="L524" i="3"/>
  <c r="N524" i="3"/>
  <c r="L520" i="3"/>
  <c r="O520" i="3"/>
  <c r="N520" i="3"/>
  <c r="K520" i="3"/>
  <c r="N516" i="3"/>
  <c r="K516" i="3"/>
  <c r="O516" i="3"/>
  <c r="L516" i="3"/>
  <c r="K512" i="3"/>
  <c r="N512" i="3"/>
  <c r="L512" i="3"/>
  <c r="O512" i="3"/>
  <c r="N508" i="3"/>
  <c r="L508" i="3"/>
  <c r="K508" i="3"/>
  <c r="O508" i="3"/>
  <c r="L504" i="3"/>
  <c r="N504" i="3"/>
  <c r="O504" i="3"/>
  <c r="K504" i="3"/>
  <c r="N500" i="3"/>
  <c r="K500" i="3"/>
  <c r="L500" i="3"/>
  <c r="O500" i="3"/>
  <c r="K496" i="3"/>
  <c r="N496" i="3"/>
  <c r="L496" i="3"/>
  <c r="O496" i="3"/>
  <c r="L492" i="3"/>
  <c r="O492" i="3"/>
  <c r="K492" i="3"/>
  <c r="N492" i="3"/>
  <c r="L488" i="3"/>
  <c r="N488" i="3"/>
  <c r="O488" i="3"/>
  <c r="K488" i="3"/>
  <c r="N484" i="3"/>
  <c r="K484" i="3"/>
  <c r="O484" i="3"/>
  <c r="L484" i="3"/>
  <c r="K480" i="3"/>
  <c r="N480" i="3"/>
  <c r="L480" i="3"/>
  <c r="O480" i="3"/>
  <c r="L476" i="3"/>
  <c r="N476" i="3"/>
  <c r="K476" i="3"/>
  <c r="O476" i="3"/>
  <c r="L472" i="3"/>
  <c r="O472" i="3"/>
  <c r="N472" i="3"/>
  <c r="K472" i="3"/>
  <c r="O468" i="3"/>
  <c r="K468" i="3"/>
  <c r="L468" i="3"/>
  <c r="N468" i="3"/>
  <c r="K464" i="3"/>
  <c r="N464" i="3"/>
  <c r="L464" i="3"/>
  <c r="O464" i="3"/>
  <c r="L460" i="3"/>
  <c r="O460" i="3"/>
  <c r="K460" i="3"/>
  <c r="N460" i="3"/>
  <c r="L456" i="3"/>
  <c r="O456" i="3"/>
  <c r="N456" i="3"/>
  <c r="K456" i="3"/>
  <c r="N452" i="3"/>
  <c r="K452" i="3"/>
  <c r="O452" i="3"/>
  <c r="L452" i="3"/>
  <c r="K448" i="3"/>
  <c r="N448" i="3"/>
  <c r="L448" i="3"/>
  <c r="O448" i="3"/>
  <c r="O444" i="3"/>
  <c r="K444" i="3"/>
  <c r="N444" i="3"/>
  <c r="L444" i="3"/>
  <c r="L440" i="3"/>
  <c r="N440" i="3"/>
  <c r="O440" i="3"/>
  <c r="K440" i="3"/>
  <c r="N436" i="3"/>
  <c r="K436" i="3"/>
  <c r="L436" i="3"/>
  <c r="O436" i="3"/>
  <c r="K432" i="3"/>
  <c r="N432" i="3"/>
  <c r="L432" i="3"/>
  <c r="O432" i="3"/>
  <c r="L428" i="3"/>
  <c r="O428" i="3"/>
  <c r="K428" i="3"/>
  <c r="N428" i="3"/>
  <c r="L424" i="3"/>
  <c r="O424" i="3"/>
  <c r="N424" i="3"/>
  <c r="K424" i="3"/>
  <c r="N420" i="3"/>
  <c r="K420" i="3"/>
  <c r="O420" i="3"/>
  <c r="L420" i="3"/>
  <c r="N416" i="3"/>
  <c r="K416" i="3"/>
  <c r="O416" i="3"/>
  <c r="L416" i="3"/>
  <c r="L412" i="3"/>
  <c r="O412" i="3"/>
  <c r="N412" i="3"/>
  <c r="K412" i="3"/>
  <c r="L408" i="3"/>
  <c r="O408" i="3"/>
  <c r="N408" i="3"/>
  <c r="K408" i="3"/>
  <c r="N404" i="3"/>
  <c r="K404" i="3"/>
  <c r="L404" i="3"/>
  <c r="O404" i="3"/>
  <c r="K400" i="3"/>
  <c r="O400" i="3"/>
  <c r="N400" i="3"/>
  <c r="L400" i="3"/>
  <c r="L396" i="3"/>
  <c r="O396" i="3"/>
  <c r="K396" i="3"/>
  <c r="N396" i="3"/>
  <c r="L392" i="3"/>
  <c r="O392" i="3"/>
  <c r="N392" i="3"/>
  <c r="K392" i="3"/>
  <c r="N388" i="3"/>
  <c r="K388" i="3"/>
  <c r="O388" i="3"/>
  <c r="L388" i="3"/>
  <c r="O384" i="3"/>
  <c r="K384" i="3"/>
  <c r="N384" i="3"/>
  <c r="L384" i="3"/>
  <c r="N380" i="3"/>
  <c r="K380" i="3"/>
  <c r="O380" i="3"/>
  <c r="L380" i="3"/>
  <c r="L376" i="3"/>
  <c r="O376" i="3"/>
  <c r="N376" i="3"/>
  <c r="K376" i="3"/>
  <c r="L372" i="3"/>
  <c r="O372" i="3"/>
  <c r="K372" i="3"/>
  <c r="N372" i="3"/>
  <c r="K368" i="3"/>
  <c r="N368" i="3"/>
  <c r="L368" i="3"/>
  <c r="O368" i="3"/>
  <c r="O364" i="3"/>
  <c r="K364" i="3"/>
  <c r="L364" i="3"/>
  <c r="N364" i="3"/>
  <c r="O360" i="3"/>
  <c r="L360" i="3"/>
  <c r="K360" i="3"/>
  <c r="N360" i="3"/>
  <c r="N352" i="3"/>
  <c r="L352" i="3"/>
  <c r="K352" i="3"/>
  <c r="O352" i="3"/>
  <c r="O348" i="3"/>
  <c r="N348" i="3"/>
  <c r="K348" i="3"/>
  <c r="L348" i="3"/>
  <c r="O344" i="3"/>
  <c r="N344" i="3"/>
  <c r="K344" i="3"/>
  <c r="L344" i="3"/>
  <c r="L340" i="3"/>
  <c r="O340" i="3"/>
  <c r="N340" i="3"/>
  <c r="K340" i="3"/>
  <c r="N336" i="3"/>
  <c r="L336" i="3"/>
  <c r="K336" i="3"/>
  <c r="O336" i="3"/>
  <c r="O332" i="3"/>
  <c r="N332" i="3"/>
  <c r="K332" i="3"/>
  <c r="L332" i="3"/>
  <c r="O328" i="3"/>
  <c r="N328" i="3"/>
  <c r="K328" i="3"/>
  <c r="L328" i="3"/>
  <c r="L324" i="3"/>
  <c r="N324" i="3"/>
  <c r="O324" i="3"/>
  <c r="K324" i="3"/>
  <c r="N320" i="3"/>
  <c r="L320" i="3"/>
  <c r="K320" i="3"/>
  <c r="O320" i="3"/>
  <c r="O316" i="3"/>
  <c r="L316" i="3"/>
  <c r="N316" i="3"/>
  <c r="K316" i="3"/>
  <c r="O312" i="3"/>
  <c r="N312" i="3"/>
  <c r="L312" i="3"/>
  <c r="L308" i="3"/>
  <c r="O308" i="3"/>
  <c r="K308" i="3"/>
  <c r="N308" i="3"/>
  <c r="N304" i="3"/>
  <c r="L304" i="3"/>
  <c r="K304" i="3"/>
  <c r="O304" i="3"/>
  <c r="O300" i="3"/>
  <c r="N300" i="3"/>
  <c r="K300" i="3"/>
  <c r="L300" i="3"/>
  <c r="N296" i="3"/>
  <c r="O296" i="3"/>
  <c r="K296" i="3"/>
  <c r="L296" i="3"/>
  <c r="O292" i="3"/>
  <c r="L292" i="3"/>
  <c r="K292" i="3"/>
  <c r="N292" i="3"/>
  <c r="N288" i="3"/>
  <c r="L288" i="3"/>
  <c r="K288" i="3"/>
  <c r="O288" i="3"/>
  <c r="O284" i="3"/>
  <c r="N284" i="3"/>
  <c r="K284" i="3"/>
  <c r="L284" i="3"/>
  <c r="O280" i="3"/>
  <c r="N280" i="3"/>
  <c r="K280" i="3"/>
  <c r="L280" i="3"/>
  <c r="O276" i="3"/>
  <c r="L276" i="3"/>
  <c r="N276" i="3"/>
  <c r="K276" i="3"/>
  <c r="N272" i="3"/>
  <c r="L272" i="3"/>
  <c r="K272" i="3"/>
  <c r="O272" i="3"/>
  <c r="O268" i="3"/>
  <c r="N268" i="3"/>
  <c r="K268" i="3"/>
  <c r="L268" i="3"/>
  <c r="O264" i="3"/>
  <c r="N264" i="3"/>
  <c r="K264" i="3"/>
  <c r="L264" i="3"/>
  <c r="L260" i="3"/>
  <c r="N260" i="3"/>
  <c r="O260" i="3"/>
  <c r="K260" i="3"/>
  <c r="N256" i="3"/>
  <c r="L256" i="3"/>
  <c r="K256" i="3"/>
  <c r="O256" i="3"/>
  <c r="O252" i="3"/>
  <c r="L252" i="3"/>
  <c r="N252" i="3"/>
  <c r="K252" i="3"/>
  <c r="O248" i="3"/>
  <c r="N248" i="3"/>
  <c r="K248" i="3"/>
  <c r="L248" i="3"/>
  <c r="L244" i="3"/>
  <c r="O244" i="3"/>
  <c r="K244" i="3"/>
  <c r="N244" i="3"/>
  <c r="N240" i="3"/>
  <c r="L240" i="3"/>
  <c r="K240" i="3"/>
  <c r="O240" i="3"/>
  <c r="O236" i="3"/>
  <c r="N236" i="3"/>
  <c r="K236" i="3"/>
  <c r="L236" i="3"/>
  <c r="O232" i="3"/>
  <c r="N232" i="3"/>
  <c r="K232" i="3"/>
  <c r="L232" i="3"/>
  <c r="O228" i="3"/>
  <c r="K228" i="3"/>
  <c r="L228" i="3"/>
  <c r="N228" i="3"/>
  <c r="N220" i="3"/>
  <c r="K220" i="3"/>
  <c r="E30" i="42" s="1"/>
  <c r="O220" i="3"/>
  <c r="L220" i="3"/>
  <c r="L216" i="3"/>
  <c r="O216" i="3"/>
  <c r="K216" i="3"/>
  <c r="E26" i="42" s="1"/>
  <c r="N216" i="3"/>
  <c r="L212" i="3"/>
  <c r="O212" i="3"/>
  <c r="K212" i="3"/>
  <c r="E22" i="42" s="1"/>
  <c r="N212" i="3"/>
  <c r="N204" i="3"/>
  <c r="L204" i="3"/>
  <c r="K204" i="3"/>
  <c r="E14" i="42" s="1"/>
  <c r="O204" i="3"/>
  <c r="O200" i="3"/>
  <c r="K200" i="3"/>
  <c r="E10" i="42" s="1"/>
  <c r="N200" i="3"/>
  <c r="L200" i="3"/>
  <c r="O196" i="3"/>
  <c r="N196" i="3"/>
  <c r="K196" i="3"/>
  <c r="L196" i="3"/>
  <c r="L192" i="3"/>
  <c r="O192" i="3"/>
  <c r="N192" i="3"/>
  <c r="K192" i="3"/>
  <c r="N188" i="3"/>
  <c r="L188" i="3"/>
  <c r="K188" i="3"/>
  <c r="O188" i="3"/>
  <c r="N184" i="3"/>
  <c r="K184" i="3"/>
  <c r="O184" i="3"/>
  <c r="L184" i="3"/>
  <c r="O180" i="3"/>
  <c r="N180" i="3"/>
  <c r="K180" i="3"/>
  <c r="L180" i="3"/>
  <c r="N176" i="3"/>
  <c r="L176" i="3"/>
  <c r="O176" i="3"/>
  <c r="K176" i="3"/>
  <c r="L172" i="3"/>
  <c r="N172" i="3"/>
  <c r="K172" i="3"/>
  <c r="O172" i="3"/>
  <c r="O168" i="3"/>
  <c r="K168" i="3"/>
  <c r="N168" i="3"/>
  <c r="L168" i="3"/>
  <c r="O164" i="3"/>
  <c r="L164" i="3"/>
  <c r="N164" i="3"/>
  <c r="K164" i="3"/>
  <c r="L160" i="3"/>
  <c r="O160" i="3"/>
  <c r="K160" i="3"/>
  <c r="N160" i="3"/>
  <c r="K152" i="3"/>
  <c r="N152" i="3"/>
  <c r="L152" i="3"/>
  <c r="O152" i="3"/>
  <c r="N148" i="3"/>
  <c r="O148" i="3"/>
  <c r="K148" i="3"/>
  <c r="L148" i="3"/>
  <c r="L144" i="3"/>
  <c r="O144" i="3"/>
  <c r="K144" i="3"/>
  <c r="N144" i="3"/>
  <c r="L140" i="3"/>
  <c r="O140" i="3"/>
  <c r="K140" i="3"/>
  <c r="N140" i="3"/>
  <c r="O136" i="3"/>
  <c r="K136" i="3"/>
  <c r="N136" i="3"/>
  <c r="L136" i="3"/>
  <c r="N132" i="3"/>
  <c r="K132" i="3"/>
  <c r="O132" i="3"/>
  <c r="L132" i="3"/>
  <c r="L128" i="3"/>
  <c r="O128" i="3"/>
  <c r="N128" i="3"/>
  <c r="K128" i="3"/>
  <c r="O124" i="3"/>
  <c r="L124" i="3"/>
  <c r="N124" i="3"/>
  <c r="K124" i="3"/>
  <c r="N120" i="3"/>
  <c r="K120" i="3"/>
  <c r="O120" i="3"/>
  <c r="L120" i="3"/>
  <c r="N116" i="3"/>
  <c r="K116" i="3"/>
  <c r="O116" i="3"/>
  <c r="L116" i="3"/>
  <c r="L112" i="3"/>
  <c r="O112" i="3"/>
  <c r="N112" i="3"/>
  <c r="K112" i="3"/>
  <c r="L108" i="3"/>
  <c r="O108" i="3"/>
  <c r="N108" i="3"/>
  <c r="K108" i="3"/>
  <c r="K104" i="3"/>
  <c r="N104" i="3"/>
  <c r="O104" i="3"/>
  <c r="L104" i="3"/>
  <c r="N100" i="3"/>
  <c r="K100" i="3"/>
  <c r="O100" i="3"/>
  <c r="L100" i="3"/>
  <c r="L96" i="3"/>
  <c r="O96" i="3"/>
  <c r="N96" i="3"/>
  <c r="K96" i="3"/>
  <c r="L92" i="3"/>
  <c r="O92" i="3"/>
  <c r="N92" i="3"/>
  <c r="K92" i="3"/>
  <c r="K88" i="3"/>
  <c r="N88" i="3"/>
  <c r="L88" i="3"/>
  <c r="O88" i="3"/>
  <c r="K84" i="3"/>
  <c r="O84" i="3"/>
  <c r="N84" i="3"/>
  <c r="L84" i="3"/>
  <c r="L80" i="3"/>
  <c r="O80" i="3"/>
  <c r="K80" i="3"/>
  <c r="N80" i="3"/>
  <c r="L76" i="3"/>
  <c r="O76" i="3"/>
  <c r="K76" i="3"/>
  <c r="N76" i="3"/>
  <c r="O72" i="3"/>
  <c r="K72" i="3"/>
  <c r="N72" i="3"/>
  <c r="L72" i="3"/>
  <c r="N68" i="3"/>
  <c r="K68" i="3"/>
  <c r="L68" i="3"/>
  <c r="O68" i="3"/>
  <c r="L64" i="3"/>
  <c r="O64" i="3"/>
  <c r="N64" i="3"/>
  <c r="K64" i="3"/>
  <c r="O60" i="3"/>
  <c r="K60" i="3"/>
  <c r="N60" i="3"/>
  <c r="L60" i="3"/>
  <c r="K56" i="3"/>
  <c r="N56" i="3"/>
  <c r="L56" i="3"/>
  <c r="O56" i="3"/>
  <c r="N52" i="3"/>
  <c r="O52" i="3"/>
  <c r="L52" i="3"/>
  <c r="K52" i="3"/>
  <c r="L48" i="3"/>
  <c r="O48" i="3"/>
  <c r="N48" i="3"/>
  <c r="K48" i="3"/>
  <c r="L44" i="3"/>
  <c r="O44" i="3"/>
  <c r="N44" i="3"/>
  <c r="K44" i="3"/>
  <c r="K40" i="3"/>
  <c r="N40" i="3"/>
  <c r="O40" i="3"/>
  <c r="L40" i="3"/>
  <c r="N36" i="3"/>
  <c r="K36" i="3"/>
  <c r="O36" i="3"/>
  <c r="L36" i="3"/>
  <c r="L32" i="3"/>
  <c r="N32" i="3"/>
  <c r="O32" i="3"/>
  <c r="K32" i="3"/>
  <c r="L28" i="3"/>
  <c r="O28" i="3"/>
  <c r="N28" i="3"/>
  <c r="K28" i="3"/>
  <c r="K24" i="3"/>
  <c r="N24" i="3"/>
  <c r="L24" i="3"/>
  <c r="O24" i="3"/>
  <c r="K20" i="3"/>
  <c r="O20" i="3"/>
  <c r="N20" i="3"/>
  <c r="L20" i="3"/>
  <c r="L16" i="3"/>
  <c r="O16" i="3"/>
  <c r="K16" i="3"/>
  <c r="N16" i="3"/>
  <c r="L12" i="3"/>
  <c r="O12" i="3"/>
  <c r="N12" i="3"/>
  <c r="K12" i="3"/>
  <c r="K8" i="3"/>
  <c r="N8" i="3"/>
  <c r="O8" i="3"/>
  <c r="L8" i="3"/>
  <c r="N711" i="3"/>
  <c r="K711" i="3"/>
  <c r="L711" i="3"/>
  <c r="O711" i="3"/>
  <c r="L707" i="3"/>
  <c r="O707" i="3"/>
  <c r="K707" i="3"/>
  <c r="N707" i="3"/>
  <c r="N703" i="3"/>
  <c r="L703" i="3"/>
  <c r="K703" i="3"/>
  <c r="O703" i="3"/>
  <c r="N699" i="3"/>
  <c r="L699" i="3"/>
  <c r="O699" i="3"/>
  <c r="K699" i="3"/>
  <c r="N695" i="3"/>
  <c r="K695" i="3"/>
  <c r="O695" i="3"/>
  <c r="L695" i="3"/>
  <c r="O691" i="3"/>
  <c r="N691" i="3"/>
  <c r="K691" i="3"/>
  <c r="L691" i="3"/>
  <c r="L687" i="3"/>
  <c r="N687" i="3"/>
  <c r="K687" i="3"/>
  <c r="O687" i="3"/>
  <c r="O683" i="3"/>
  <c r="K683" i="3"/>
  <c r="N683" i="3"/>
  <c r="L683" i="3"/>
  <c r="N679" i="3"/>
  <c r="K679" i="3"/>
  <c r="O679" i="3"/>
  <c r="L679" i="3"/>
  <c r="N675" i="3"/>
  <c r="L675" i="3"/>
  <c r="O675" i="3"/>
  <c r="K675" i="3"/>
  <c r="L671" i="3"/>
  <c r="N671" i="3"/>
  <c r="K671" i="3"/>
  <c r="O671" i="3"/>
  <c r="N667" i="3"/>
  <c r="L667" i="3"/>
  <c r="O667" i="3"/>
  <c r="K667" i="3"/>
  <c r="O663" i="3"/>
  <c r="N663" i="3"/>
  <c r="K663" i="3"/>
  <c r="L663" i="3"/>
  <c r="O659" i="3"/>
  <c r="N659" i="3"/>
  <c r="K659" i="3"/>
  <c r="L659" i="3"/>
  <c r="L655" i="3"/>
  <c r="N655" i="3"/>
  <c r="K655" i="3"/>
  <c r="O655" i="3"/>
  <c r="N651" i="3"/>
  <c r="L651" i="3"/>
  <c r="O651" i="3"/>
  <c r="K651" i="3"/>
  <c r="N647" i="3"/>
  <c r="K647" i="3"/>
  <c r="L647" i="3"/>
  <c r="O647" i="3"/>
  <c r="O643" i="3"/>
  <c r="N643" i="3"/>
  <c r="K643" i="3"/>
  <c r="L643" i="3"/>
  <c r="N639" i="3"/>
  <c r="L639" i="3"/>
  <c r="K639" i="3"/>
  <c r="O639" i="3"/>
  <c r="O635" i="3"/>
  <c r="K635" i="3"/>
  <c r="N635" i="3"/>
  <c r="L635" i="3"/>
  <c r="N631" i="3"/>
  <c r="K631" i="3"/>
  <c r="L631" i="3"/>
  <c r="O631" i="3"/>
  <c r="L627" i="3"/>
  <c r="O627" i="3"/>
  <c r="N627" i="3"/>
  <c r="K627" i="3"/>
  <c r="L623" i="3"/>
  <c r="N623" i="3"/>
  <c r="K623" i="3"/>
  <c r="O623" i="3"/>
  <c r="N619" i="3"/>
  <c r="L619" i="3"/>
  <c r="O619" i="3"/>
  <c r="K619" i="3"/>
  <c r="O615" i="3"/>
  <c r="N615" i="3"/>
  <c r="K615" i="3"/>
  <c r="L615" i="3"/>
  <c r="O611" i="3"/>
  <c r="K611" i="3"/>
  <c r="N611" i="3"/>
  <c r="L611" i="3"/>
  <c r="N607" i="3"/>
  <c r="K607" i="3"/>
  <c r="O607" i="3"/>
  <c r="L607" i="3"/>
  <c r="O603" i="3"/>
  <c r="K603" i="3"/>
  <c r="N603" i="3"/>
  <c r="L603" i="3"/>
  <c r="O571" i="3"/>
  <c r="K571" i="3"/>
  <c r="N571" i="3"/>
  <c r="L571" i="3"/>
  <c r="L539" i="3"/>
  <c r="N539" i="3"/>
  <c r="K539" i="3"/>
  <c r="O539" i="3"/>
  <c r="L535" i="3"/>
  <c r="O535" i="3"/>
  <c r="K535" i="3"/>
  <c r="N535" i="3"/>
  <c r="N531" i="3"/>
  <c r="O531" i="3"/>
  <c r="K531" i="3"/>
  <c r="L531" i="3"/>
  <c r="O527" i="3"/>
  <c r="K527" i="3"/>
  <c r="N527" i="3"/>
  <c r="L527" i="3"/>
  <c r="N523" i="3"/>
  <c r="L523" i="3"/>
  <c r="O523" i="3"/>
  <c r="K523" i="3"/>
  <c r="N519" i="3"/>
  <c r="L519" i="3"/>
  <c r="O519" i="3"/>
  <c r="K519" i="3"/>
  <c r="L511" i="3"/>
  <c r="O511" i="3"/>
  <c r="K511" i="3"/>
  <c r="N511" i="3"/>
  <c r="K507" i="3"/>
  <c r="N507" i="3"/>
  <c r="O507" i="3"/>
  <c r="L507" i="3"/>
  <c r="K503" i="3"/>
  <c r="N503" i="3"/>
  <c r="L503" i="3"/>
  <c r="O503" i="3"/>
  <c r="L499" i="3"/>
  <c r="O499" i="3"/>
  <c r="N499" i="3"/>
  <c r="K499" i="3"/>
  <c r="L495" i="3"/>
  <c r="O495" i="3"/>
  <c r="N495" i="3"/>
  <c r="K495" i="3"/>
  <c r="O491" i="3"/>
  <c r="K491" i="3"/>
  <c r="N491" i="3"/>
  <c r="L491" i="3"/>
  <c r="N487" i="3"/>
  <c r="K487" i="3"/>
  <c r="O487" i="3"/>
  <c r="L487" i="3"/>
  <c r="L483" i="3"/>
  <c r="K483" i="3"/>
  <c r="N483" i="3"/>
  <c r="O483" i="3"/>
  <c r="L479" i="3"/>
  <c r="O479" i="3"/>
  <c r="K479" i="3"/>
  <c r="N479" i="3"/>
  <c r="N475" i="3"/>
  <c r="L475" i="3"/>
  <c r="O475" i="3"/>
  <c r="K475" i="3"/>
  <c r="K471" i="3"/>
  <c r="N471" i="3"/>
  <c r="L471" i="3"/>
  <c r="O471" i="3"/>
  <c r="L467" i="3"/>
  <c r="N467" i="3"/>
  <c r="O467" i="3"/>
  <c r="K467" i="3"/>
  <c r="O463" i="3"/>
  <c r="L463" i="3"/>
  <c r="N463" i="3"/>
  <c r="K463" i="3"/>
  <c r="K459" i="3"/>
  <c r="L459" i="3"/>
  <c r="O459" i="3"/>
  <c r="N459" i="3"/>
  <c r="O455" i="3"/>
  <c r="K455" i="3"/>
  <c r="N455" i="3"/>
  <c r="L455" i="3"/>
  <c r="L451" i="3"/>
  <c r="O451" i="3"/>
  <c r="K451" i="3"/>
  <c r="N451" i="3"/>
  <c r="L447" i="3"/>
  <c r="O447" i="3"/>
  <c r="K447" i="3"/>
  <c r="N447" i="3"/>
  <c r="K443" i="3"/>
  <c r="L443" i="3"/>
  <c r="O443" i="3"/>
  <c r="N443" i="3"/>
  <c r="K439" i="3"/>
  <c r="N439" i="3"/>
  <c r="L439" i="3"/>
  <c r="O439" i="3"/>
  <c r="L435" i="3"/>
  <c r="O435" i="3"/>
  <c r="K435" i="3"/>
  <c r="N435" i="3"/>
  <c r="N431" i="3"/>
  <c r="O431" i="3"/>
  <c r="L431" i="3"/>
  <c r="K431" i="3"/>
  <c r="K427" i="3"/>
  <c r="O427" i="3"/>
  <c r="N427" i="3"/>
  <c r="L427" i="3"/>
  <c r="K423" i="3"/>
  <c r="N423" i="3"/>
  <c r="O423" i="3"/>
  <c r="L423" i="3"/>
  <c r="L419" i="3"/>
  <c r="N419" i="3"/>
  <c r="K419" i="3"/>
  <c r="O419" i="3"/>
  <c r="L415" i="3"/>
  <c r="O415" i="3"/>
  <c r="K415" i="3"/>
  <c r="N415" i="3"/>
  <c r="K411" i="3"/>
  <c r="L411" i="3"/>
  <c r="O411" i="3"/>
  <c r="N411" i="3"/>
  <c r="K407" i="3"/>
  <c r="N407" i="3"/>
  <c r="L407" i="3"/>
  <c r="O407" i="3"/>
  <c r="L403" i="3"/>
  <c r="O403" i="3"/>
  <c r="K403" i="3"/>
  <c r="N403" i="3"/>
  <c r="O399" i="3"/>
  <c r="K399" i="3"/>
  <c r="N399" i="3"/>
  <c r="L399" i="3"/>
  <c r="K395" i="3"/>
  <c r="L395" i="3"/>
  <c r="N395" i="3"/>
  <c r="O395" i="3"/>
  <c r="K391" i="3"/>
  <c r="N391" i="3"/>
  <c r="O391" i="3"/>
  <c r="L391" i="3"/>
  <c r="O387" i="3"/>
  <c r="K387" i="3"/>
  <c r="N387" i="3"/>
  <c r="L387" i="3"/>
  <c r="O379" i="3"/>
  <c r="K379" i="3"/>
  <c r="N379" i="3"/>
  <c r="L379" i="3"/>
  <c r="O375" i="3"/>
  <c r="K375" i="3"/>
  <c r="L375" i="3"/>
  <c r="N375" i="3"/>
  <c r="L371" i="3"/>
  <c r="O371" i="3"/>
  <c r="N371" i="3"/>
  <c r="K371" i="3"/>
  <c r="N367" i="3"/>
  <c r="L367" i="3"/>
  <c r="K367" i="3"/>
  <c r="O367" i="3"/>
  <c r="O363" i="3"/>
  <c r="K363" i="3"/>
  <c r="N363" i="3"/>
  <c r="L363" i="3"/>
  <c r="O359" i="3"/>
  <c r="K359" i="3"/>
  <c r="N359" i="3"/>
  <c r="L359" i="3"/>
  <c r="N355" i="3"/>
  <c r="L355" i="3"/>
  <c r="O355" i="3"/>
  <c r="K355" i="3"/>
  <c r="N351" i="3"/>
  <c r="L351" i="3"/>
  <c r="O351" i="3"/>
  <c r="K351" i="3"/>
  <c r="O347" i="3"/>
  <c r="K347" i="3"/>
  <c r="N347" i="3"/>
  <c r="L347" i="3"/>
  <c r="L339" i="3"/>
  <c r="O339" i="3"/>
  <c r="N339" i="3"/>
  <c r="K339" i="3"/>
  <c r="K335" i="3"/>
  <c r="L335" i="3"/>
  <c r="O335" i="3"/>
  <c r="N335" i="3"/>
  <c r="K331" i="3"/>
  <c r="N331" i="3"/>
  <c r="L331" i="3"/>
  <c r="O331" i="3"/>
  <c r="L327" i="3"/>
  <c r="O327" i="3"/>
  <c r="K327" i="3"/>
  <c r="N327" i="3"/>
  <c r="L323" i="3"/>
  <c r="O323" i="3"/>
  <c r="K323" i="3"/>
  <c r="N323" i="3"/>
  <c r="O315" i="3"/>
  <c r="K315" i="3"/>
  <c r="L315" i="3"/>
  <c r="N315" i="3"/>
  <c r="L311" i="3"/>
  <c r="O311" i="3"/>
  <c r="K311" i="3"/>
  <c r="N311" i="3"/>
  <c r="L307" i="3"/>
  <c r="N307" i="3"/>
  <c r="K307" i="3"/>
  <c r="O307" i="3"/>
  <c r="O303" i="3"/>
  <c r="K303" i="3"/>
  <c r="N303" i="3"/>
  <c r="L303" i="3"/>
  <c r="O299" i="3"/>
  <c r="K299" i="3"/>
  <c r="L299" i="3"/>
  <c r="N299" i="3"/>
  <c r="N295" i="3"/>
  <c r="O295" i="3"/>
  <c r="L295" i="3"/>
  <c r="K295" i="3"/>
  <c r="N291" i="3"/>
  <c r="L291" i="3"/>
  <c r="K291" i="3"/>
  <c r="O291" i="3"/>
  <c r="O287" i="3"/>
  <c r="K287" i="3"/>
  <c r="N287" i="3"/>
  <c r="L287" i="3"/>
  <c r="O283" i="3"/>
  <c r="K283" i="3"/>
  <c r="L283" i="3"/>
  <c r="N283" i="3"/>
  <c r="N279" i="3"/>
  <c r="L279" i="3"/>
  <c r="O279" i="3"/>
  <c r="K279" i="3"/>
  <c r="L275" i="3"/>
  <c r="N275" i="3"/>
  <c r="K275" i="3"/>
  <c r="O275" i="3"/>
  <c r="N271" i="3"/>
  <c r="L271" i="3"/>
  <c r="O271" i="3"/>
  <c r="K271" i="3"/>
  <c r="O267" i="3"/>
  <c r="K267" i="3"/>
  <c r="L267" i="3"/>
  <c r="N267" i="3"/>
  <c r="O263" i="3"/>
  <c r="K263" i="3"/>
  <c r="N263" i="3"/>
  <c r="L263" i="3"/>
  <c r="L259" i="3"/>
  <c r="N259" i="3"/>
  <c r="K259" i="3"/>
  <c r="O259" i="3"/>
  <c r="N255" i="3"/>
  <c r="L255" i="3"/>
  <c r="O255" i="3"/>
  <c r="K255" i="3"/>
  <c r="O251" i="3"/>
  <c r="K251" i="3"/>
  <c r="L251" i="3"/>
  <c r="N251" i="3"/>
  <c r="K247" i="3"/>
  <c r="L247" i="3"/>
  <c r="N247" i="3"/>
  <c r="O247" i="3"/>
  <c r="L243" i="3"/>
  <c r="N243" i="3"/>
  <c r="K243" i="3"/>
  <c r="O243" i="3"/>
  <c r="O239" i="3"/>
  <c r="K239" i="3"/>
  <c r="N239" i="3"/>
  <c r="L239" i="3"/>
  <c r="O235" i="3"/>
  <c r="K235" i="3"/>
  <c r="L235" i="3"/>
  <c r="N235" i="3"/>
  <c r="L231" i="3"/>
  <c r="O231" i="3"/>
  <c r="K231" i="3"/>
  <c r="N231" i="3"/>
  <c r="N227" i="3"/>
  <c r="L227" i="3"/>
  <c r="K227" i="3"/>
  <c r="E37" i="42" s="1"/>
  <c r="O227" i="3"/>
  <c r="N223" i="3"/>
  <c r="L223" i="3"/>
  <c r="O223" i="3"/>
  <c r="K223" i="3"/>
  <c r="E33" i="42" s="1"/>
  <c r="O219" i="3"/>
  <c r="K219" i="3"/>
  <c r="E29" i="42" s="1"/>
  <c r="L219" i="3"/>
  <c r="N219" i="3"/>
  <c r="N215" i="3"/>
  <c r="L215" i="3"/>
  <c r="O215" i="3"/>
  <c r="K215" i="3"/>
  <c r="E25" i="42" s="1"/>
  <c r="N211" i="3"/>
  <c r="L211" i="3"/>
  <c r="K211" i="3"/>
  <c r="E21" i="42" s="1"/>
  <c r="O211" i="3"/>
  <c r="K207" i="3"/>
  <c r="E17" i="42" s="1"/>
  <c r="L207" i="3"/>
  <c r="O207" i="3"/>
  <c r="N207" i="3"/>
  <c r="O203" i="3"/>
  <c r="K203" i="3"/>
  <c r="E13" i="42" s="1"/>
  <c r="N203" i="3"/>
  <c r="L203" i="3"/>
  <c r="O199" i="3"/>
  <c r="K199" i="3"/>
  <c r="E9" i="42" s="1"/>
  <c r="N199" i="3"/>
  <c r="L199" i="3"/>
  <c r="N195" i="3"/>
  <c r="L195" i="3"/>
  <c r="K195" i="3"/>
  <c r="O195" i="3"/>
  <c r="O191" i="3"/>
  <c r="K191" i="3"/>
  <c r="N191" i="3"/>
  <c r="L191" i="3"/>
  <c r="O187" i="3"/>
  <c r="K187" i="3"/>
  <c r="L187" i="3"/>
  <c r="N187" i="3"/>
  <c r="N183" i="3"/>
  <c r="O183" i="3"/>
  <c r="K183" i="3"/>
  <c r="L183" i="3"/>
  <c r="N179" i="3"/>
  <c r="O179" i="3"/>
  <c r="K179" i="3"/>
  <c r="L179" i="3"/>
  <c r="L175" i="3"/>
  <c r="N175" i="3"/>
  <c r="O175" i="3"/>
  <c r="K175" i="3"/>
  <c r="O171" i="3"/>
  <c r="N171" i="3"/>
  <c r="K171" i="3"/>
  <c r="L171" i="3"/>
  <c r="N167" i="3"/>
  <c r="O167" i="3"/>
  <c r="L167" i="3"/>
  <c r="K167" i="3"/>
  <c r="N163" i="3"/>
  <c r="L163" i="3"/>
  <c r="O163" i="3"/>
  <c r="K163" i="3"/>
  <c r="K159" i="3"/>
  <c r="O159" i="3"/>
  <c r="N159" i="3"/>
  <c r="L159" i="3"/>
  <c r="K151" i="3"/>
  <c r="N151" i="3"/>
  <c r="O151" i="3"/>
  <c r="L151" i="3"/>
  <c r="K147" i="3"/>
  <c r="O147" i="3"/>
  <c r="N147" i="3"/>
  <c r="L147" i="3"/>
  <c r="O143" i="3"/>
  <c r="K143" i="3"/>
  <c r="L143" i="3"/>
  <c r="N143" i="3"/>
  <c r="L139" i="3"/>
  <c r="K139" i="3"/>
  <c r="N139" i="3"/>
  <c r="O139" i="3"/>
  <c r="K135" i="3"/>
  <c r="N135" i="3"/>
  <c r="L135" i="3"/>
  <c r="O135" i="3"/>
  <c r="K131" i="3"/>
  <c r="N131" i="3"/>
  <c r="L131" i="3"/>
  <c r="O131" i="3"/>
  <c r="N127" i="3"/>
  <c r="O127" i="3"/>
  <c r="K127" i="3"/>
  <c r="L127" i="3"/>
  <c r="L123" i="3"/>
  <c r="N123" i="3"/>
  <c r="O123" i="3"/>
  <c r="K123" i="3"/>
  <c r="K119" i="3"/>
  <c r="N119" i="3"/>
  <c r="O119" i="3"/>
  <c r="L119" i="3"/>
  <c r="K115" i="3"/>
  <c r="L115" i="3"/>
  <c r="O115" i="3"/>
  <c r="N115" i="3"/>
  <c r="L111" i="3"/>
  <c r="O111" i="3"/>
  <c r="K111" i="3"/>
  <c r="N111" i="3"/>
  <c r="O103" i="3"/>
  <c r="K103" i="3"/>
  <c r="N103" i="3"/>
  <c r="L103" i="3"/>
  <c r="O99" i="3"/>
  <c r="K99" i="3"/>
  <c r="N99" i="3"/>
  <c r="L99" i="3"/>
  <c r="N95" i="3"/>
  <c r="L95" i="3"/>
  <c r="K95" i="3"/>
  <c r="O95" i="3"/>
  <c r="N91" i="3"/>
  <c r="L91" i="3"/>
  <c r="O91" i="3"/>
  <c r="K91" i="3"/>
  <c r="O87" i="3"/>
  <c r="L87" i="3"/>
  <c r="K87" i="3"/>
  <c r="N87" i="3"/>
  <c r="O83" i="3"/>
  <c r="K83" i="3"/>
  <c r="N83" i="3"/>
  <c r="L83" i="3"/>
  <c r="N79" i="3"/>
  <c r="L79" i="3"/>
  <c r="O79" i="3"/>
  <c r="K79" i="3"/>
  <c r="N75" i="3"/>
  <c r="L75" i="3"/>
  <c r="O75" i="3"/>
  <c r="K75" i="3"/>
  <c r="O71" i="3"/>
  <c r="K71" i="3"/>
  <c r="L71" i="3"/>
  <c r="N71" i="3"/>
  <c r="L63" i="3"/>
  <c r="O63" i="3"/>
  <c r="K63" i="3"/>
  <c r="N63" i="3"/>
  <c r="K59" i="3"/>
  <c r="N59" i="3"/>
  <c r="L59" i="3"/>
  <c r="O59" i="3"/>
  <c r="K55" i="3"/>
  <c r="O55" i="3"/>
  <c r="L55" i="3"/>
  <c r="N55" i="3"/>
  <c r="L51" i="3"/>
  <c r="O51" i="3"/>
  <c r="N51" i="3"/>
  <c r="K51" i="3"/>
  <c r="L47" i="3"/>
  <c r="O47" i="3"/>
  <c r="K47" i="3"/>
  <c r="N47" i="3"/>
  <c r="K43" i="3"/>
  <c r="N43" i="3"/>
  <c r="O43" i="3"/>
  <c r="L43" i="3"/>
  <c r="K39" i="3"/>
  <c r="O39" i="3"/>
  <c r="N39" i="3"/>
  <c r="L39" i="3"/>
  <c r="L35" i="3"/>
  <c r="O35" i="3"/>
  <c r="K35" i="3"/>
  <c r="N35" i="3"/>
  <c r="L31" i="3"/>
  <c r="O31" i="3"/>
  <c r="N31" i="3"/>
  <c r="K31" i="3"/>
  <c r="K27" i="3"/>
  <c r="L27" i="3"/>
  <c r="N27" i="3"/>
  <c r="O27" i="3"/>
  <c r="K23" i="3"/>
  <c r="N23" i="3"/>
  <c r="L23" i="3"/>
  <c r="O23" i="3"/>
  <c r="O19" i="3"/>
  <c r="L19" i="3"/>
  <c r="N19" i="3"/>
  <c r="K19" i="3"/>
  <c r="N15" i="3"/>
  <c r="L15" i="3"/>
  <c r="O15" i="3"/>
  <c r="K15" i="3"/>
  <c r="K11" i="3"/>
  <c r="O11" i="3"/>
  <c r="N11" i="3"/>
  <c r="L11" i="3"/>
  <c r="K7" i="3"/>
  <c r="N7" i="3"/>
  <c r="L7" i="3"/>
  <c r="O7" i="3"/>
  <c r="N1727" i="3"/>
  <c r="L1727" i="3"/>
  <c r="K1727" i="3"/>
  <c r="O1727" i="3"/>
  <c r="N1719" i="3"/>
  <c r="L1719" i="3"/>
  <c r="O1719" i="3"/>
  <c r="K1719" i="3"/>
  <c r="L1711" i="3"/>
  <c r="N1711" i="3"/>
  <c r="K1711" i="3"/>
  <c r="O1711" i="3"/>
  <c r="O1703" i="3"/>
  <c r="L1703" i="3"/>
  <c r="N1703" i="3"/>
  <c r="K1703" i="3"/>
  <c r="L1695" i="3"/>
  <c r="N1695" i="3"/>
  <c r="K1695" i="3"/>
  <c r="O1695" i="3"/>
  <c r="O1687" i="3"/>
  <c r="N1687" i="3"/>
  <c r="K1687" i="3"/>
  <c r="L1687" i="3"/>
  <c r="L1679" i="3"/>
  <c r="N1679" i="3"/>
  <c r="K1679" i="3"/>
  <c r="O1679" i="3"/>
  <c r="O1671" i="3"/>
  <c r="K1671" i="3"/>
  <c r="L1671" i="3"/>
  <c r="N1671" i="3"/>
  <c r="N1659" i="3"/>
  <c r="K1659" i="3"/>
  <c r="L1659" i="3"/>
  <c r="O1659" i="3"/>
  <c r="L1651" i="3"/>
  <c r="N1651" i="3"/>
  <c r="O1651" i="3"/>
  <c r="K1651" i="3"/>
  <c r="O1643" i="3"/>
  <c r="K1643" i="3"/>
  <c r="N1643" i="3"/>
  <c r="L1643" i="3"/>
  <c r="L1635" i="3"/>
  <c r="K1635" i="3"/>
  <c r="O1635" i="3"/>
  <c r="N1635" i="3"/>
  <c r="O1627" i="3"/>
  <c r="K1627" i="3"/>
  <c r="N1627" i="3"/>
  <c r="L1627" i="3"/>
  <c r="O1619" i="3"/>
  <c r="K1619" i="3"/>
  <c r="N1619" i="3"/>
  <c r="L1619" i="3"/>
  <c r="N1611" i="3"/>
  <c r="L1611" i="3"/>
  <c r="K1611" i="3"/>
  <c r="O1611" i="3"/>
  <c r="L1603" i="3"/>
  <c r="O1603" i="3"/>
  <c r="N1603" i="3"/>
  <c r="K1603" i="3"/>
  <c r="L1595" i="3"/>
  <c r="K1595" i="3"/>
  <c r="N1595" i="3"/>
  <c r="O1595" i="3"/>
  <c r="N1587" i="3"/>
  <c r="O1587" i="3"/>
  <c r="K1587" i="3"/>
  <c r="L1587" i="3"/>
  <c r="O1579" i="3"/>
  <c r="K1579" i="3"/>
  <c r="N1579" i="3"/>
  <c r="L1579" i="3"/>
  <c r="N1567" i="3"/>
  <c r="K1567" i="3"/>
  <c r="O1567" i="3"/>
  <c r="L1567" i="3"/>
  <c r="O1559" i="3"/>
  <c r="L1559" i="3"/>
  <c r="N1559" i="3"/>
  <c r="K1559" i="3"/>
  <c r="N1551" i="3"/>
  <c r="K1551" i="3"/>
  <c r="O1551" i="3"/>
  <c r="L1551" i="3"/>
  <c r="O1543" i="3"/>
  <c r="K1543" i="3"/>
  <c r="L1543" i="3"/>
  <c r="N1543" i="3"/>
  <c r="N1535" i="3"/>
  <c r="L1535" i="3"/>
  <c r="K1535" i="3"/>
  <c r="O1535" i="3"/>
  <c r="N1527" i="3"/>
  <c r="O1527" i="3"/>
  <c r="K1527" i="3"/>
  <c r="L1527" i="3"/>
  <c r="N1519" i="3"/>
  <c r="K1519" i="3"/>
  <c r="L1519" i="3"/>
  <c r="O1519" i="3"/>
  <c r="N1511" i="3"/>
  <c r="L1511" i="3"/>
  <c r="K1511" i="3"/>
  <c r="O1511" i="3"/>
  <c r="L1503" i="3"/>
  <c r="N1503" i="3"/>
  <c r="K1503" i="3"/>
  <c r="O1503" i="3"/>
  <c r="O1495" i="3"/>
  <c r="N1495" i="3"/>
  <c r="K1495" i="3"/>
  <c r="L1495" i="3"/>
  <c r="L1487" i="3"/>
  <c r="N1487" i="3"/>
  <c r="K1487" i="3"/>
  <c r="O1487" i="3"/>
  <c r="O1479" i="3"/>
  <c r="K1479" i="3"/>
  <c r="L1479" i="3"/>
  <c r="N1479" i="3"/>
  <c r="K1467" i="3"/>
  <c r="L1467" i="3"/>
  <c r="O1467" i="3"/>
  <c r="N1467" i="3"/>
  <c r="O1459" i="3"/>
  <c r="N1459" i="3"/>
  <c r="K1459" i="3"/>
  <c r="L1459" i="3"/>
  <c r="N1451" i="3"/>
  <c r="L1451" i="3"/>
  <c r="O1451" i="3"/>
  <c r="K1451" i="3"/>
  <c r="L1443" i="3"/>
  <c r="K1443" i="3"/>
  <c r="O1443" i="3"/>
  <c r="N1443" i="3"/>
  <c r="O1435" i="3"/>
  <c r="L1435" i="3"/>
  <c r="N1435" i="3"/>
  <c r="K1435" i="3"/>
  <c r="N1431" i="3"/>
  <c r="O1431" i="3"/>
  <c r="K1431" i="3"/>
  <c r="L1431" i="3"/>
  <c r="L1423" i="3"/>
  <c r="N1423" i="3"/>
  <c r="K1423" i="3"/>
  <c r="O1423" i="3"/>
  <c r="O1419" i="3"/>
  <c r="K1419" i="3"/>
  <c r="N1419" i="3"/>
  <c r="L1419" i="3"/>
  <c r="O1415" i="3"/>
  <c r="K1415" i="3"/>
  <c r="L1415" i="3"/>
  <c r="N1415" i="3"/>
  <c r="O1411" i="3"/>
  <c r="K1411" i="3"/>
  <c r="N1411" i="3"/>
  <c r="L1411" i="3"/>
  <c r="N1407" i="3"/>
  <c r="L1407" i="3"/>
  <c r="K1407" i="3"/>
  <c r="O1407" i="3"/>
  <c r="O1403" i="3"/>
  <c r="L1403" i="3"/>
  <c r="N1403" i="3"/>
  <c r="K1403" i="3"/>
  <c r="O1399" i="3"/>
  <c r="N1399" i="3"/>
  <c r="K1399" i="3"/>
  <c r="L1399" i="3"/>
  <c r="L1395" i="3"/>
  <c r="O1395" i="3"/>
  <c r="K1395" i="3"/>
  <c r="N1395" i="3"/>
  <c r="L1391" i="3"/>
  <c r="N1391" i="3"/>
  <c r="K1391" i="3"/>
  <c r="O1391" i="3"/>
  <c r="L1387" i="3"/>
  <c r="O1387" i="3"/>
  <c r="K1387" i="3"/>
  <c r="N1387" i="3"/>
  <c r="O1383" i="3"/>
  <c r="N1383" i="3"/>
  <c r="K1383" i="3"/>
  <c r="L1383" i="3"/>
  <c r="O1379" i="3"/>
  <c r="K1379" i="3"/>
  <c r="N1379" i="3"/>
  <c r="L1379" i="3"/>
  <c r="N1375" i="3"/>
  <c r="K1375" i="3"/>
  <c r="O1375" i="3"/>
  <c r="L1375" i="3"/>
  <c r="O1371" i="3"/>
  <c r="K1371" i="3"/>
  <c r="N1371" i="3"/>
  <c r="L1371" i="3"/>
  <c r="N1367" i="3"/>
  <c r="O1367" i="3"/>
  <c r="K1367" i="3"/>
  <c r="L1367" i="3"/>
  <c r="O1363" i="3"/>
  <c r="K1363" i="3"/>
  <c r="N1363" i="3"/>
  <c r="L1363" i="3"/>
  <c r="L1359" i="3"/>
  <c r="N1359" i="3"/>
  <c r="K1359" i="3"/>
  <c r="O1359" i="3"/>
  <c r="O1355" i="3"/>
  <c r="L1355" i="3"/>
  <c r="K1355" i="3"/>
  <c r="N1355" i="3"/>
  <c r="O1351" i="3"/>
  <c r="K1351" i="3"/>
  <c r="L1351" i="3"/>
  <c r="N1351" i="3"/>
  <c r="L1347" i="3"/>
  <c r="N1347" i="3"/>
  <c r="K1347" i="3"/>
  <c r="O1347" i="3"/>
  <c r="N1343" i="3"/>
  <c r="L1343" i="3"/>
  <c r="K1343" i="3"/>
  <c r="O1343" i="3"/>
  <c r="L1339" i="3"/>
  <c r="N1339" i="3"/>
  <c r="O1339" i="3"/>
  <c r="K1339" i="3"/>
  <c r="N1335" i="3"/>
  <c r="K1335" i="3"/>
  <c r="L1335" i="3"/>
  <c r="O1335" i="3"/>
  <c r="O1331" i="3"/>
  <c r="N1331" i="3"/>
  <c r="K1331" i="3"/>
  <c r="L1331" i="3"/>
  <c r="L1327" i="3"/>
  <c r="N1327" i="3"/>
  <c r="K1327" i="3"/>
  <c r="O1327" i="3"/>
  <c r="O1323" i="3"/>
  <c r="K1323" i="3"/>
  <c r="N1323" i="3"/>
  <c r="L1323" i="3"/>
  <c r="O1319" i="3"/>
  <c r="L1319" i="3"/>
  <c r="N1319" i="3"/>
  <c r="K1319" i="3"/>
  <c r="N1315" i="3"/>
  <c r="L1315" i="3"/>
  <c r="K1315" i="3"/>
  <c r="O1315" i="3"/>
  <c r="L1311" i="3"/>
  <c r="N1311" i="3"/>
  <c r="K1311" i="3"/>
  <c r="O1311" i="3"/>
  <c r="N1307" i="3"/>
  <c r="L1307" i="3"/>
  <c r="O1307" i="3"/>
  <c r="K1307" i="3"/>
  <c r="N1303" i="3"/>
  <c r="O1303" i="3"/>
  <c r="K1303" i="3"/>
  <c r="L1303" i="3"/>
  <c r="L1299" i="3"/>
  <c r="N1299" i="3"/>
  <c r="K1299" i="3"/>
  <c r="O1299" i="3"/>
  <c r="L1295" i="3"/>
  <c r="N1295" i="3"/>
  <c r="K1295" i="3"/>
  <c r="O1295" i="3"/>
  <c r="K1291" i="3"/>
  <c r="N1291" i="3"/>
  <c r="O1291" i="3"/>
  <c r="L1291" i="3"/>
  <c r="O1287" i="3"/>
  <c r="K1287" i="3"/>
  <c r="L1287" i="3"/>
  <c r="N1287" i="3"/>
  <c r="L1283" i="3"/>
  <c r="K1283" i="3"/>
  <c r="O1283" i="3"/>
  <c r="N1283" i="3"/>
  <c r="N1279" i="3"/>
  <c r="L1279" i="3"/>
  <c r="K1279" i="3"/>
  <c r="O1279" i="3"/>
  <c r="N1275" i="3"/>
  <c r="K1275" i="3"/>
  <c r="O1275" i="3"/>
  <c r="L1275" i="3"/>
  <c r="N1271" i="3"/>
  <c r="O1271" i="3"/>
  <c r="K1271" i="3"/>
  <c r="L1271" i="3"/>
  <c r="N1267" i="3"/>
  <c r="K1267" i="3"/>
  <c r="L1267" i="3"/>
  <c r="O1267" i="3"/>
  <c r="N1263" i="3"/>
  <c r="K1263" i="3"/>
  <c r="L1263" i="3"/>
  <c r="O1263" i="3"/>
  <c r="N1259" i="3"/>
  <c r="L1259" i="3"/>
  <c r="O1259" i="3"/>
  <c r="K1259" i="3"/>
  <c r="O1255" i="3"/>
  <c r="N1255" i="3"/>
  <c r="K1255" i="3"/>
  <c r="L1255" i="3"/>
  <c r="N1251" i="3"/>
  <c r="L1251" i="3"/>
  <c r="O1251" i="3"/>
  <c r="K1251" i="3"/>
  <c r="N1247" i="3"/>
  <c r="K1247" i="3"/>
  <c r="O1247" i="3"/>
  <c r="L1247" i="3"/>
  <c r="L1243" i="3"/>
  <c r="K1243" i="3"/>
  <c r="O1243" i="3"/>
  <c r="N1243" i="3"/>
  <c r="O1239" i="3"/>
  <c r="N1239" i="3"/>
  <c r="K1239" i="3"/>
  <c r="L1239" i="3"/>
  <c r="N1235" i="3"/>
  <c r="O1235" i="3"/>
  <c r="K1235" i="3"/>
  <c r="L1235" i="3"/>
  <c r="L1231" i="3"/>
  <c r="N1231" i="3"/>
  <c r="K1231" i="3"/>
  <c r="O1231" i="3"/>
  <c r="O1227" i="3"/>
  <c r="L1227" i="3"/>
  <c r="K1227" i="3"/>
  <c r="N1227" i="3"/>
  <c r="O1223" i="3"/>
  <c r="K1223" i="3"/>
  <c r="L1223" i="3"/>
  <c r="N1223" i="3"/>
  <c r="N1219" i="3"/>
  <c r="K1219" i="3"/>
  <c r="O1219" i="3"/>
  <c r="L1219" i="3"/>
  <c r="N1215" i="3"/>
  <c r="L1215" i="3"/>
  <c r="K1215" i="3"/>
  <c r="O1215" i="3"/>
  <c r="O1211" i="3"/>
  <c r="K1211" i="3"/>
  <c r="N1211" i="3"/>
  <c r="L1211" i="3"/>
  <c r="N1207" i="3"/>
  <c r="L1207" i="3"/>
  <c r="O1207" i="3"/>
  <c r="K1207" i="3"/>
  <c r="N1203" i="3"/>
  <c r="O1203" i="3"/>
  <c r="K1203" i="3"/>
  <c r="L1203" i="3"/>
  <c r="L1199" i="3"/>
  <c r="N1199" i="3"/>
  <c r="K1199" i="3"/>
  <c r="O1199" i="3"/>
  <c r="N1195" i="3"/>
  <c r="L1195" i="3"/>
  <c r="O1195" i="3"/>
  <c r="K1195" i="3"/>
  <c r="O1191" i="3"/>
  <c r="L1191" i="3"/>
  <c r="N1191" i="3"/>
  <c r="K1191" i="3"/>
  <c r="N1187" i="3"/>
  <c r="L1187" i="3"/>
  <c r="O1187" i="3"/>
  <c r="K1187" i="3"/>
  <c r="L1183" i="3"/>
  <c r="N1183" i="3"/>
  <c r="K1183" i="3"/>
  <c r="O1183" i="3"/>
  <c r="L1179" i="3"/>
  <c r="K1179" i="3"/>
  <c r="O1179" i="3"/>
  <c r="N1179" i="3"/>
  <c r="N1175" i="3"/>
  <c r="O1175" i="3"/>
  <c r="K1175" i="3"/>
  <c r="L1175" i="3"/>
  <c r="O1171" i="3"/>
  <c r="N1171" i="3"/>
  <c r="K1171" i="3"/>
  <c r="L1171" i="3"/>
  <c r="L1167" i="3"/>
  <c r="N1167" i="3"/>
  <c r="K1167" i="3"/>
  <c r="O1167" i="3"/>
  <c r="O1163" i="3"/>
  <c r="K1163" i="3"/>
  <c r="N1163" i="3"/>
  <c r="L1163" i="3"/>
  <c r="O1159" i="3"/>
  <c r="K1159" i="3"/>
  <c r="L1159" i="3"/>
  <c r="N1159" i="3"/>
  <c r="L1155" i="3"/>
  <c r="O1155" i="3"/>
  <c r="K1155" i="3"/>
  <c r="N1155" i="3"/>
  <c r="N1151" i="3"/>
  <c r="L1151" i="3"/>
  <c r="K1151" i="3"/>
  <c r="O1151" i="3"/>
  <c r="N1147" i="3"/>
  <c r="K1147" i="3"/>
  <c r="O1147" i="3"/>
  <c r="L1147" i="3"/>
  <c r="O1143" i="3"/>
  <c r="N1143" i="3"/>
  <c r="K1143" i="3"/>
  <c r="L1143" i="3"/>
  <c r="L1139" i="3"/>
  <c r="N1139" i="3"/>
  <c r="K1139" i="3"/>
  <c r="O1139" i="3"/>
  <c r="L1135" i="3"/>
  <c r="N1135" i="3"/>
  <c r="K1135" i="3"/>
  <c r="O1135" i="3"/>
  <c r="O1131" i="3"/>
  <c r="K1131" i="3"/>
  <c r="N1131" i="3"/>
  <c r="L1131" i="3"/>
  <c r="N1127" i="3"/>
  <c r="O1127" i="3"/>
  <c r="K1127" i="3"/>
  <c r="L1127" i="3"/>
  <c r="L1123" i="3"/>
  <c r="N1123" i="3"/>
  <c r="O1123" i="3"/>
  <c r="K1123" i="3"/>
  <c r="N1119" i="3"/>
  <c r="K1119" i="3"/>
  <c r="O1119" i="3"/>
  <c r="L1119" i="3"/>
  <c r="O1115" i="3"/>
  <c r="K1115" i="3"/>
  <c r="N1115" i="3"/>
  <c r="L1115" i="3"/>
  <c r="N1111" i="3"/>
  <c r="O1111" i="3"/>
  <c r="K1111" i="3"/>
  <c r="L1111" i="3"/>
  <c r="L1107" i="3"/>
  <c r="N1107" i="3"/>
  <c r="O1107" i="3"/>
  <c r="K1107" i="3"/>
  <c r="L1103" i="3"/>
  <c r="N1103" i="3"/>
  <c r="K1103" i="3"/>
  <c r="O1103" i="3"/>
  <c r="N1099" i="3"/>
  <c r="K1099" i="3"/>
  <c r="O1099" i="3"/>
  <c r="L1099" i="3"/>
  <c r="O1095" i="3"/>
  <c r="K1095" i="3"/>
  <c r="L1095" i="3"/>
  <c r="N1095" i="3"/>
  <c r="O1091" i="3"/>
  <c r="K1091" i="3"/>
  <c r="N1091" i="3"/>
  <c r="L1091" i="3"/>
  <c r="N1087" i="3"/>
  <c r="L1087" i="3"/>
  <c r="K1087" i="3"/>
  <c r="O1087" i="3"/>
  <c r="O1083" i="3"/>
  <c r="L1083" i="3"/>
  <c r="K1083" i="3"/>
  <c r="N1083" i="3"/>
  <c r="O1079" i="3"/>
  <c r="N1079" i="3"/>
  <c r="K1079" i="3"/>
  <c r="L1079" i="3"/>
  <c r="L1075" i="3"/>
  <c r="N1075" i="3"/>
  <c r="K1075" i="3"/>
  <c r="O1075" i="3"/>
  <c r="L1071" i="3"/>
  <c r="N1071" i="3"/>
  <c r="K1071" i="3"/>
  <c r="O1071" i="3"/>
  <c r="N1067" i="3"/>
  <c r="L1067" i="3"/>
  <c r="O1067" i="3"/>
  <c r="K1067" i="3"/>
  <c r="N1063" i="3"/>
  <c r="L1063" i="3"/>
  <c r="K1063" i="3"/>
  <c r="O1063" i="3"/>
  <c r="O1059" i="3"/>
  <c r="K1059" i="3"/>
  <c r="N1059" i="3"/>
  <c r="L1059" i="3"/>
  <c r="L1055" i="3"/>
  <c r="N1055" i="3"/>
  <c r="K1055" i="3"/>
  <c r="O1055" i="3"/>
  <c r="N1051" i="3"/>
  <c r="L1051" i="3"/>
  <c r="K1051" i="3"/>
  <c r="O1051" i="3"/>
  <c r="N1047" i="3"/>
  <c r="O1047" i="3"/>
  <c r="K1047" i="3"/>
  <c r="L1047" i="3"/>
  <c r="N1043" i="3"/>
  <c r="O1043" i="3"/>
  <c r="K1043" i="3"/>
  <c r="L1043" i="3"/>
  <c r="L1039" i="3"/>
  <c r="N1039" i="3"/>
  <c r="K1039" i="3"/>
  <c r="O1039" i="3"/>
  <c r="O1035" i="3"/>
  <c r="L1035" i="3"/>
  <c r="K1035" i="3"/>
  <c r="N1035" i="3"/>
  <c r="O1031" i="3"/>
  <c r="K1031" i="3"/>
  <c r="L1031" i="3"/>
  <c r="N1031" i="3"/>
  <c r="L1027" i="3"/>
  <c r="O1027" i="3"/>
  <c r="K1027" i="3"/>
  <c r="N1027" i="3"/>
  <c r="N1023" i="3"/>
  <c r="L1023" i="3"/>
  <c r="K1023" i="3"/>
  <c r="O1023" i="3"/>
  <c r="N1019" i="3"/>
  <c r="L1019" i="3"/>
  <c r="O1019" i="3"/>
  <c r="K1019" i="3"/>
  <c r="O1015" i="3"/>
  <c r="N1015" i="3"/>
  <c r="K1015" i="3"/>
  <c r="L1015" i="3"/>
  <c r="N1011" i="3"/>
  <c r="K1011" i="3"/>
  <c r="O1011" i="3"/>
  <c r="L1011" i="3"/>
  <c r="N1007" i="3"/>
  <c r="K1007" i="3"/>
  <c r="L1007" i="3"/>
  <c r="O1007" i="3"/>
  <c r="K1003" i="3"/>
  <c r="N1003" i="3"/>
  <c r="O1003" i="3"/>
  <c r="L1003" i="3"/>
  <c r="O999" i="3"/>
  <c r="N999" i="3"/>
  <c r="K999" i="3"/>
  <c r="L999" i="3"/>
  <c r="K995" i="3"/>
  <c r="O995" i="3"/>
  <c r="N995" i="3"/>
  <c r="L995" i="3"/>
  <c r="O991" i="3"/>
  <c r="K991" i="3"/>
  <c r="N991" i="3"/>
  <c r="L991" i="3"/>
  <c r="N987" i="3"/>
  <c r="L987" i="3"/>
  <c r="O987" i="3"/>
  <c r="K987" i="3"/>
  <c r="O983" i="3"/>
  <c r="N983" i="3"/>
  <c r="K983" i="3"/>
  <c r="L983" i="3"/>
  <c r="L979" i="3"/>
  <c r="O979" i="3"/>
  <c r="N979" i="3"/>
  <c r="K979" i="3"/>
  <c r="L975" i="3"/>
  <c r="O975" i="3"/>
  <c r="K975" i="3"/>
  <c r="N975" i="3"/>
  <c r="L971" i="3"/>
  <c r="N971" i="3"/>
  <c r="K971" i="3"/>
  <c r="O971" i="3"/>
  <c r="O967" i="3"/>
  <c r="K967" i="3"/>
  <c r="L967" i="3"/>
  <c r="N967" i="3"/>
  <c r="O963" i="3"/>
  <c r="N963" i="3"/>
  <c r="K963" i="3"/>
  <c r="L963" i="3"/>
  <c r="N959" i="3"/>
  <c r="L959" i="3"/>
  <c r="K959" i="3"/>
  <c r="O959" i="3"/>
  <c r="O955" i="3"/>
  <c r="K955" i="3"/>
  <c r="N955" i="3"/>
  <c r="L955" i="3"/>
  <c r="O951" i="3"/>
  <c r="L951" i="3"/>
  <c r="N951" i="3"/>
  <c r="K951" i="3"/>
  <c r="N947" i="3"/>
  <c r="K947" i="3"/>
  <c r="O947" i="3"/>
  <c r="L947" i="3"/>
  <c r="L943" i="3"/>
  <c r="N943" i="3"/>
  <c r="K943" i="3"/>
  <c r="O943" i="3"/>
  <c r="N939" i="3"/>
  <c r="L939" i="3"/>
  <c r="O939" i="3"/>
  <c r="K939" i="3"/>
  <c r="O935" i="3"/>
  <c r="K935" i="3"/>
  <c r="N935" i="3"/>
  <c r="L935" i="3"/>
  <c r="N931" i="3"/>
  <c r="L931" i="3"/>
  <c r="O931" i="3"/>
  <c r="K931" i="3"/>
  <c r="L927" i="3"/>
  <c r="N927" i="3"/>
  <c r="K927" i="3"/>
  <c r="O927" i="3"/>
  <c r="L923" i="3"/>
  <c r="N923" i="3"/>
  <c r="O923" i="3"/>
  <c r="K923" i="3"/>
  <c r="O919" i="3"/>
  <c r="N919" i="3"/>
  <c r="K919" i="3"/>
  <c r="L919" i="3"/>
  <c r="N915" i="3"/>
  <c r="O915" i="3"/>
  <c r="K915" i="3"/>
  <c r="L915" i="3"/>
  <c r="L911" i="3"/>
  <c r="N911" i="3"/>
  <c r="K911" i="3"/>
  <c r="O911" i="3"/>
  <c r="K907" i="3"/>
  <c r="N907" i="3"/>
  <c r="O907" i="3"/>
  <c r="L907" i="3"/>
  <c r="O903" i="3"/>
  <c r="K903" i="3"/>
  <c r="L903" i="3"/>
  <c r="N903" i="3"/>
  <c r="K899" i="3"/>
  <c r="O899" i="3"/>
  <c r="N899" i="3"/>
  <c r="L899" i="3"/>
  <c r="N895" i="3"/>
  <c r="L895" i="3"/>
  <c r="K895" i="3"/>
  <c r="O895" i="3"/>
  <c r="N891" i="3"/>
  <c r="L891" i="3"/>
  <c r="O891" i="3"/>
  <c r="K891" i="3"/>
  <c r="O887" i="3"/>
  <c r="N887" i="3"/>
  <c r="K887" i="3"/>
  <c r="L887" i="3"/>
  <c r="O883" i="3"/>
  <c r="N883" i="3"/>
  <c r="K883" i="3"/>
  <c r="L883" i="3"/>
  <c r="L879" i="3"/>
  <c r="N879" i="3"/>
  <c r="K879" i="3"/>
  <c r="O879" i="3"/>
  <c r="O875" i="3"/>
  <c r="L875" i="3"/>
  <c r="K875" i="3"/>
  <c r="N875" i="3"/>
  <c r="O871" i="3"/>
  <c r="N871" i="3"/>
  <c r="K871" i="3"/>
  <c r="L871" i="3"/>
  <c r="O867" i="3"/>
  <c r="K867" i="3"/>
  <c r="N867" i="3"/>
  <c r="L867" i="3"/>
  <c r="N863" i="3"/>
  <c r="K863" i="3"/>
  <c r="O863" i="3"/>
  <c r="L863" i="3"/>
  <c r="N859" i="3"/>
  <c r="L859" i="3"/>
  <c r="O859" i="3"/>
  <c r="K859" i="3"/>
  <c r="O855" i="3"/>
  <c r="N855" i="3"/>
  <c r="K855" i="3"/>
  <c r="L855" i="3"/>
  <c r="O851" i="3"/>
  <c r="N851" i="3"/>
  <c r="K851" i="3"/>
  <c r="L851" i="3"/>
  <c r="L847" i="3"/>
  <c r="N847" i="3"/>
  <c r="K847" i="3"/>
  <c r="O847" i="3"/>
  <c r="N843" i="3"/>
  <c r="L843" i="3"/>
  <c r="O843" i="3"/>
  <c r="K843" i="3"/>
  <c r="O839" i="3"/>
  <c r="K839" i="3"/>
  <c r="L839" i="3"/>
  <c r="N839" i="3"/>
  <c r="N835" i="3"/>
  <c r="K835" i="3"/>
  <c r="O835" i="3"/>
  <c r="L835" i="3"/>
  <c r="N831" i="3"/>
  <c r="L831" i="3"/>
  <c r="K831" i="3"/>
  <c r="O831" i="3"/>
  <c r="O827" i="3"/>
  <c r="K827" i="3"/>
  <c r="N827" i="3"/>
  <c r="L827" i="3"/>
  <c r="O823" i="3"/>
  <c r="N823" i="3"/>
  <c r="K823" i="3"/>
  <c r="L823" i="3"/>
  <c r="L819" i="3"/>
  <c r="O819" i="3"/>
  <c r="N819" i="3"/>
  <c r="K819" i="3"/>
  <c r="L815" i="3"/>
  <c r="N815" i="3"/>
  <c r="K815" i="3"/>
  <c r="O815" i="3"/>
  <c r="N811" i="3"/>
  <c r="L811" i="3"/>
  <c r="O811" i="3"/>
  <c r="K811" i="3"/>
  <c r="O807" i="3"/>
  <c r="L807" i="3"/>
  <c r="N807" i="3"/>
  <c r="K807" i="3"/>
  <c r="O803" i="3"/>
  <c r="K803" i="3"/>
  <c r="N803" i="3"/>
  <c r="L803" i="3"/>
  <c r="L799" i="3"/>
  <c r="O799" i="3"/>
  <c r="K799" i="3"/>
  <c r="N799" i="3"/>
  <c r="O795" i="3"/>
  <c r="K795" i="3"/>
  <c r="N795" i="3"/>
  <c r="L795" i="3"/>
  <c r="O791" i="3"/>
  <c r="N791" i="3"/>
  <c r="K791" i="3"/>
  <c r="L791" i="3"/>
  <c r="L787" i="3"/>
  <c r="O787" i="3"/>
  <c r="K787" i="3"/>
  <c r="N787" i="3"/>
  <c r="L783" i="3"/>
  <c r="N783" i="3"/>
  <c r="K783" i="3"/>
  <c r="O783" i="3"/>
  <c r="N779" i="3"/>
  <c r="L779" i="3"/>
  <c r="O779" i="3"/>
  <c r="K779" i="3"/>
  <c r="O775" i="3"/>
  <c r="K775" i="3"/>
  <c r="L775" i="3"/>
  <c r="N775" i="3"/>
  <c r="O771" i="3"/>
  <c r="N771" i="3"/>
  <c r="K771" i="3"/>
  <c r="L771" i="3"/>
  <c r="O767" i="3"/>
  <c r="L767" i="3"/>
  <c r="N767" i="3"/>
  <c r="K767" i="3"/>
  <c r="O763" i="3"/>
  <c r="K763" i="3"/>
  <c r="N763" i="3"/>
  <c r="L763" i="3"/>
  <c r="N759" i="3"/>
  <c r="K759" i="3"/>
  <c r="L759" i="3"/>
  <c r="O759" i="3"/>
  <c r="L755" i="3"/>
  <c r="O755" i="3"/>
  <c r="K755" i="3"/>
  <c r="N755" i="3"/>
  <c r="N751" i="3"/>
  <c r="L751" i="3"/>
  <c r="K751" i="3"/>
  <c r="O751" i="3"/>
  <c r="N747" i="3"/>
  <c r="L747" i="3"/>
  <c r="O747" i="3"/>
  <c r="K747" i="3"/>
  <c r="N743" i="3"/>
  <c r="O743" i="3"/>
  <c r="K743" i="3"/>
  <c r="L743" i="3"/>
  <c r="O739" i="3"/>
  <c r="K739" i="3"/>
  <c r="N739" i="3"/>
  <c r="L739" i="3"/>
  <c r="N735" i="3"/>
  <c r="K735" i="3"/>
  <c r="O735" i="3"/>
  <c r="L735" i="3"/>
  <c r="N731" i="3"/>
  <c r="L731" i="3"/>
  <c r="O731" i="3"/>
  <c r="K731" i="3"/>
  <c r="O727" i="3"/>
  <c r="N727" i="3"/>
  <c r="K727" i="3"/>
  <c r="L727" i="3"/>
  <c r="N723" i="3"/>
  <c r="O723" i="3"/>
  <c r="K723" i="3"/>
  <c r="L723" i="3"/>
  <c r="L719" i="3"/>
  <c r="N719" i="3"/>
  <c r="K719" i="3"/>
  <c r="O719" i="3"/>
  <c r="O715" i="3"/>
  <c r="K715" i="3"/>
  <c r="N715" i="3"/>
  <c r="L715" i="3"/>
  <c r="O1734" i="3"/>
  <c r="L1734" i="3"/>
  <c r="N1734" i="3"/>
  <c r="K1734" i="3"/>
  <c r="N1730" i="3"/>
  <c r="L1730" i="3"/>
  <c r="O1730" i="3"/>
  <c r="K1730" i="3"/>
  <c r="L1726" i="3"/>
  <c r="N1726" i="3"/>
  <c r="K1726" i="3"/>
  <c r="O1726" i="3"/>
  <c r="O1722" i="3"/>
  <c r="L1722" i="3"/>
  <c r="K1722" i="3"/>
  <c r="N1722" i="3"/>
  <c r="L1718" i="3"/>
  <c r="K1718" i="3"/>
  <c r="O1718" i="3"/>
  <c r="N1718" i="3"/>
  <c r="K1714" i="3"/>
  <c r="L1714" i="3"/>
  <c r="N1714" i="3"/>
  <c r="O1714" i="3"/>
  <c r="K1710" i="3"/>
  <c r="O1710" i="3"/>
  <c r="L1710" i="3"/>
  <c r="N1710" i="3"/>
  <c r="N1706" i="3"/>
  <c r="L1706" i="3"/>
  <c r="O1706" i="3"/>
  <c r="K1706" i="3"/>
  <c r="L1702" i="3"/>
  <c r="K1702" i="3"/>
  <c r="N1702" i="3"/>
  <c r="O1702" i="3"/>
  <c r="O1698" i="3"/>
  <c r="K1698" i="3"/>
  <c r="N1698" i="3"/>
  <c r="L1698" i="3"/>
  <c r="K1694" i="3"/>
  <c r="L1694" i="3"/>
  <c r="O1694" i="3"/>
  <c r="N1694" i="3"/>
  <c r="K1690" i="3"/>
  <c r="O1690" i="3"/>
  <c r="N1690" i="3"/>
  <c r="L1690" i="3"/>
  <c r="N1686" i="3"/>
  <c r="O1686" i="3"/>
  <c r="K1686" i="3"/>
  <c r="L1686" i="3"/>
  <c r="N1682" i="3"/>
  <c r="L1682" i="3"/>
  <c r="K1682" i="3"/>
  <c r="O1682" i="3"/>
  <c r="O1678" i="3"/>
  <c r="K1678" i="3"/>
  <c r="N1678" i="3"/>
  <c r="L1678" i="3"/>
  <c r="K1674" i="3"/>
  <c r="O1674" i="3"/>
  <c r="N1674" i="3"/>
  <c r="L1674" i="3"/>
  <c r="N1670" i="3"/>
  <c r="L1670" i="3"/>
  <c r="K1670" i="3"/>
  <c r="O1670" i="3"/>
  <c r="O1666" i="3"/>
  <c r="L1666" i="3"/>
  <c r="N1666" i="3"/>
  <c r="K1666" i="3"/>
  <c r="O1662" i="3"/>
  <c r="N1662" i="3"/>
  <c r="L1662" i="3"/>
  <c r="K1662" i="3"/>
  <c r="K1658" i="3"/>
  <c r="O1658" i="3"/>
  <c r="N1658" i="3"/>
  <c r="L1658" i="3"/>
  <c r="O1654" i="3"/>
  <c r="L1654" i="3"/>
  <c r="N1654" i="3"/>
  <c r="K1654" i="3"/>
  <c r="N1650" i="3"/>
  <c r="L1650" i="3"/>
  <c r="O1650" i="3"/>
  <c r="K1650" i="3"/>
  <c r="K1646" i="3"/>
  <c r="N1646" i="3"/>
  <c r="L1646" i="3"/>
  <c r="O1646" i="3"/>
  <c r="O1642" i="3"/>
  <c r="K1642" i="3"/>
  <c r="N1642" i="3"/>
  <c r="L1642" i="3"/>
  <c r="N1638" i="3"/>
  <c r="L1638" i="3"/>
  <c r="K1638" i="3"/>
  <c r="O1638" i="3"/>
  <c r="O1634" i="3"/>
  <c r="L1634" i="3"/>
  <c r="K1634" i="3"/>
  <c r="N1634" i="3"/>
  <c r="N1630" i="3"/>
  <c r="L1630" i="3"/>
  <c r="O1630" i="3"/>
  <c r="K1630" i="3"/>
  <c r="N1626" i="3"/>
  <c r="K1626" i="3"/>
  <c r="O1626" i="3"/>
  <c r="L1626" i="3"/>
  <c r="O1622" i="3"/>
  <c r="K1622" i="3"/>
  <c r="L1622" i="3"/>
  <c r="N1622" i="3"/>
  <c r="K1618" i="3"/>
  <c r="L1618" i="3"/>
  <c r="O1618" i="3"/>
  <c r="N1618" i="3"/>
  <c r="L1614" i="3"/>
  <c r="O1614" i="3"/>
  <c r="N1614" i="3"/>
  <c r="K1614" i="3"/>
  <c r="L1610" i="3"/>
  <c r="O1610" i="3"/>
  <c r="K1610" i="3"/>
  <c r="N1610" i="3"/>
  <c r="L1606" i="3"/>
  <c r="K1606" i="3"/>
  <c r="O1606" i="3"/>
  <c r="N1606" i="3"/>
  <c r="N1602" i="3"/>
  <c r="K1602" i="3"/>
  <c r="O1602" i="3"/>
  <c r="L1602" i="3"/>
  <c r="K1598" i="3"/>
  <c r="O1598" i="3"/>
  <c r="N1598" i="3"/>
  <c r="L1598" i="3"/>
  <c r="K1594" i="3"/>
  <c r="N1594" i="3"/>
  <c r="O1594" i="3"/>
  <c r="L1594" i="3"/>
  <c r="L1590" i="3"/>
  <c r="N1590" i="3"/>
  <c r="O1590" i="3"/>
  <c r="K1590" i="3"/>
  <c r="L1586" i="3"/>
  <c r="O1586" i="3"/>
  <c r="K1586" i="3"/>
  <c r="N1586" i="3"/>
  <c r="O1582" i="3"/>
  <c r="K1582" i="3"/>
  <c r="N1582" i="3"/>
  <c r="L1582" i="3"/>
  <c r="K1578" i="3"/>
  <c r="O1578" i="3"/>
  <c r="N1578" i="3"/>
  <c r="L1578" i="3"/>
  <c r="O1574" i="3"/>
  <c r="K1574" i="3"/>
  <c r="N1574" i="3"/>
  <c r="L1574" i="3"/>
  <c r="N1570" i="3"/>
  <c r="K1570" i="3"/>
  <c r="O1570" i="3"/>
  <c r="L1570" i="3"/>
  <c r="L1566" i="3"/>
  <c r="N1566" i="3"/>
  <c r="O1566" i="3"/>
  <c r="K1566" i="3"/>
  <c r="O1562" i="3"/>
  <c r="K1562" i="3"/>
  <c r="N1562" i="3"/>
  <c r="L1562" i="3"/>
  <c r="K1558" i="3"/>
  <c r="L1558" i="3"/>
  <c r="N1558" i="3"/>
  <c r="O1558" i="3"/>
  <c r="L1554" i="3"/>
  <c r="K1554" i="3"/>
  <c r="O1554" i="3"/>
  <c r="N1554" i="3"/>
  <c r="N1550" i="3"/>
  <c r="L1550" i="3"/>
  <c r="O1550" i="3"/>
  <c r="K1550" i="3"/>
  <c r="L1546" i="3"/>
  <c r="K1546" i="3"/>
  <c r="O1546" i="3"/>
  <c r="N1546" i="3"/>
  <c r="O1542" i="3"/>
  <c r="K1542" i="3"/>
  <c r="N1542" i="3"/>
  <c r="L1542" i="3"/>
  <c r="L1538" i="3"/>
  <c r="K1538" i="3"/>
  <c r="O1538" i="3"/>
  <c r="N1538" i="3"/>
  <c r="N1534" i="3"/>
  <c r="K1534" i="3"/>
  <c r="L1534" i="3"/>
  <c r="O1534" i="3"/>
  <c r="N1530" i="3"/>
  <c r="O1530" i="3"/>
  <c r="K1530" i="3"/>
  <c r="L1530" i="3"/>
  <c r="N1526" i="3"/>
  <c r="K1526" i="3"/>
  <c r="L1526" i="3"/>
  <c r="O1526" i="3"/>
  <c r="O1522" i="3"/>
  <c r="K1522" i="3"/>
  <c r="N1522" i="3"/>
  <c r="L1522" i="3"/>
  <c r="N1518" i="3"/>
  <c r="K1518" i="3"/>
  <c r="O1518" i="3"/>
  <c r="L1518" i="3"/>
  <c r="K1514" i="3"/>
  <c r="N1514" i="3"/>
  <c r="L1514" i="3"/>
  <c r="O1514" i="3"/>
  <c r="N1510" i="3"/>
  <c r="L1510" i="3"/>
  <c r="K1510" i="3"/>
  <c r="O1510" i="3"/>
  <c r="L1506" i="3"/>
  <c r="O1506" i="3"/>
  <c r="N1506" i="3"/>
  <c r="K1506" i="3"/>
  <c r="O1502" i="3"/>
  <c r="K1502" i="3"/>
  <c r="N1502" i="3"/>
  <c r="L1502" i="3"/>
  <c r="K1498" i="3"/>
  <c r="O1498" i="3"/>
  <c r="N1498" i="3"/>
  <c r="L1498" i="3"/>
  <c r="N1494" i="3"/>
  <c r="L1494" i="3"/>
  <c r="O1494" i="3"/>
  <c r="K1494" i="3"/>
  <c r="N1490" i="3"/>
  <c r="K1490" i="3"/>
  <c r="O1490" i="3"/>
  <c r="L1490" i="3"/>
  <c r="L1486" i="3"/>
  <c r="N1486" i="3"/>
  <c r="O1486" i="3"/>
  <c r="K1486" i="3"/>
  <c r="O1482" i="3"/>
  <c r="N1482" i="3"/>
  <c r="K1482" i="3"/>
  <c r="L1482" i="3"/>
  <c r="L1478" i="3"/>
  <c r="N1478" i="3"/>
  <c r="K1478" i="3"/>
  <c r="O1478" i="3"/>
  <c r="N1474" i="3"/>
  <c r="L1474" i="3"/>
  <c r="O1474" i="3"/>
  <c r="K1474" i="3"/>
  <c r="N1470" i="3"/>
  <c r="L1470" i="3"/>
  <c r="O1470" i="3"/>
  <c r="K1470" i="3"/>
  <c r="N1466" i="3"/>
  <c r="L1466" i="3"/>
  <c r="O1466" i="3"/>
  <c r="K1466" i="3"/>
  <c r="N1462" i="3"/>
  <c r="O1462" i="3"/>
  <c r="L1462" i="3"/>
  <c r="K1462" i="3"/>
  <c r="L1458" i="3"/>
  <c r="N1458" i="3"/>
  <c r="O1458" i="3"/>
  <c r="K1458" i="3"/>
  <c r="L1454" i="3"/>
  <c r="K1454" i="3"/>
  <c r="N1454" i="3"/>
  <c r="O1454" i="3"/>
  <c r="N1450" i="3"/>
  <c r="L1450" i="3"/>
  <c r="O1450" i="3"/>
  <c r="K1450" i="3"/>
  <c r="L1446" i="3"/>
  <c r="K1446" i="3"/>
  <c r="O1446" i="3"/>
  <c r="N1446" i="3"/>
  <c r="N1442" i="3"/>
  <c r="K1442" i="3"/>
  <c r="O1442" i="3"/>
  <c r="L1442" i="3"/>
  <c r="O1438" i="3"/>
  <c r="N1438" i="3"/>
  <c r="L1438" i="3"/>
  <c r="K1438" i="3"/>
  <c r="L1434" i="3"/>
  <c r="K1434" i="3"/>
  <c r="O1434" i="3"/>
  <c r="N1434" i="3"/>
  <c r="K1430" i="3"/>
  <c r="N1430" i="3"/>
  <c r="O1430" i="3"/>
  <c r="L1430" i="3"/>
  <c r="O1426" i="3"/>
  <c r="L1426" i="3"/>
  <c r="K1426" i="3"/>
  <c r="N1426" i="3"/>
  <c r="L1422" i="3"/>
  <c r="O1422" i="3"/>
  <c r="K1422" i="3"/>
  <c r="N1422" i="3"/>
  <c r="O1418" i="3"/>
  <c r="K1418" i="3"/>
  <c r="L1418" i="3"/>
  <c r="N1418" i="3"/>
  <c r="L1414" i="3"/>
  <c r="O1414" i="3"/>
  <c r="K1414" i="3"/>
  <c r="N1414" i="3"/>
  <c r="O1410" i="3"/>
  <c r="N1410" i="3"/>
  <c r="L1410" i="3"/>
  <c r="K1410" i="3"/>
  <c r="L1406" i="3"/>
  <c r="N1406" i="3"/>
  <c r="O1406" i="3"/>
  <c r="K1406" i="3"/>
  <c r="L1402" i="3"/>
  <c r="N1402" i="3"/>
  <c r="K1402" i="3"/>
  <c r="O1402" i="3"/>
  <c r="N1398" i="3"/>
  <c r="K1398" i="3"/>
  <c r="O1398" i="3"/>
  <c r="L1398" i="3"/>
  <c r="O1394" i="3"/>
  <c r="K1394" i="3"/>
  <c r="N1394" i="3"/>
  <c r="L1394" i="3"/>
  <c r="K1390" i="3"/>
  <c r="N1390" i="3"/>
  <c r="L1390" i="3"/>
  <c r="O1390" i="3"/>
  <c r="N1386" i="3"/>
  <c r="L1386" i="3"/>
  <c r="O1386" i="3"/>
  <c r="K1386" i="3"/>
  <c r="L1382" i="3"/>
  <c r="N1382" i="3"/>
  <c r="K1382" i="3"/>
  <c r="O1382" i="3"/>
  <c r="N1378" i="3"/>
  <c r="L1378" i="3"/>
  <c r="K1378" i="3"/>
  <c r="O1378" i="3"/>
  <c r="O1374" i="3"/>
  <c r="K1374" i="3"/>
  <c r="N1374" i="3"/>
  <c r="L1374" i="3"/>
  <c r="K1370" i="3"/>
  <c r="L1370" i="3"/>
  <c r="N1370" i="3"/>
  <c r="O1370" i="3"/>
  <c r="L1366" i="3"/>
  <c r="N1366" i="3"/>
  <c r="O1366" i="3"/>
  <c r="K1366" i="3"/>
  <c r="K1362" i="3"/>
  <c r="L1362" i="3"/>
  <c r="O1362" i="3"/>
  <c r="N1362" i="3"/>
  <c r="K1358" i="3"/>
  <c r="L1358" i="3"/>
  <c r="O1358" i="3"/>
  <c r="N1358" i="3"/>
  <c r="O1354" i="3"/>
  <c r="K1354" i="3"/>
  <c r="N1354" i="3"/>
  <c r="L1354" i="3"/>
  <c r="O1350" i="3"/>
  <c r="K1350" i="3"/>
  <c r="N1350" i="3"/>
  <c r="L1350" i="3"/>
  <c r="L1346" i="3"/>
  <c r="O1346" i="3"/>
  <c r="K1346" i="3"/>
  <c r="N1346" i="3"/>
  <c r="L1342" i="3"/>
  <c r="O1342" i="3"/>
  <c r="K1342" i="3"/>
  <c r="N1342" i="3"/>
  <c r="N1338" i="3"/>
  <c r="O1338" i="3"/>
  <c r="L1338" i="3"/>
  <c r="K1338" i="3"/>
  <c r="O1334" i="3"/>
  <c r="K1334" i="3"/>
  <c r="L1334" i="3"/>
  <c r="N1334" i="3"/>
  <c r="K1330" i="3"/>
  <c r="O1330" i="3"/>
  <c r="N1330" i="3"/>
  <c r="L1330" i="3"/>
  <c r="N1326" i="3"/>
  <c r="L1326" i="3"/>
  <c r="O1326" i="3"/>
  <c r="K1326" i="3"/>
  <c r="L1322" i="3"/>
  <c r="N1322" i="3"/>
  <c r="K1322" i="3"/>
  <c r="O1322" i="3"/>
  <c r="L1318" i="3"/>
  <c r="K1318" i="3"/>
  <c r="O1318" i="3"/>
  <c r="N1318" i="3"/>
  <c r="O1314" i="3"/>
  <c r="K1314" i="3"/>
  <c r="N1314" i="3"/>
  <c r="L1314" i="3"/>
  <c r="K1310" i="3"/>
  <c r="L1310" i="3"/>
  <c r="N1310" i="3"/>
  <c r="O1310" i="3"/>
  <c r="N1306" i="3"/>
  <c r="L1306" i="3"/>
  <c r="O1306" i="3"/>
  <c r="K1306" i="3"/>
  <c r="N1302" i="3"/>
  <c r="L1302" i="3"/>
  <c r="O1302" i="3"/>
  <c r="K1302" i="3"/>
  <c r="K1298" i="3"/>
  <c r="N1298" i="3"/>
  <c r="O1298" i="3"/>
  <c r="L1298" i="3"/>
  <c r="O1294" i="3"/>
  <c r="K1294" i="3"/>
  <c r="N1294" i="3"/>
  <c r="L1294" i="3"/>
  <c r="N1290" i="3"/>
  <c r="K1290" i="3"/>
  <c r="L1290" i="3"/>
  <c r="O1290" i="3"/>
  <c r="N1286" i="3"/>
  <c r="L1286" i="3"/>
  <c r="O1286" i="3"/>
  <c r="K1286" i="3"/>
  <c r="N1282" i="3"/>
  <c r="K1282" i="3"/>
  <c r="O1282" i="3"/>
  <c r="L1282" i="3"/>
  <c r="L1278" i="3"/>
  <c r="O1278" i="3"/>
  <c r="K1278" i="3"/>
  <c r="N1278" i="3"/>
  <c r="O1274" i="3"/>
  <c r="K1274" i="3"/>
  <c r="N1274" i="3"/>
  <c r="L1274" i="3"/>
  <c r="O1270" i="3"/>
  <c r="K1270" i="3"/>
  <c r="L1270" i="3"/>
  <c r="N1270" i="3"/>
  <c r="N1266" i="3"/>
  <c r="L1266" i="3"/>
  <c r="O1266" i="3"/>
  <c r="K1266" i="3"/>
  <c r="O1262" i="3"/>
  <c r="L1262" i="3"/>
  <c r="K1262" i="3"/>
  <c r="N1262" i="3"/>
  <c r="N1258" i="3"/>
  <c r="L1258" i="3"/>
  <c r="K1258" i="3"/>
  <c r="O1258" i="3"/>
  <c r="O1254" i="3"/>
  <c r="K1254" i="3"/>
  <c r="N1254" i="3"/>
  <c r="L1254" i="3"/>
  <c r="O1250" i="3"/>
  <c r="K1250" i="3"/>
  <c r="N1250" i="3"/>
  <c r="L1250" i="3"/>
  <c r="L1246" i="3"/>
  <c r="O1246" i="3"/>
  <c r="N1246" i="3"/>
  <c r="K1246" i="3"/>
  <c r="L1242" i="3"/>
  <c r="O1242" i="3"/>
  <c r="N1242" i="3"/>
  <c r="K1242" i="3"/>
  <c r="N1238" i="3"/>
  <c r="K1238" i="3"/>
  <c r="L1238" i="3"/>
  <c r="O1238" i="3"/>
  <c r="O1234" i="3"/>
  <c r="K1234" i="3"/>
  <c r="N1234" i="3"/>
  <c r="L1234" i="3"/>
  <c r="O1230" i="3"/>
  <c r="K1230" i="3"/>
  <c r="N1230" i="3"/>
  <c r="L1230" i="3"/>
  <c r="N1226" i="3"/>
  <c r="L1226" i="3"/>
  <c r="O1226" i="3"/>
  <c r="K1226" i="3"/>
  <c r="N1222" i="3"/>
  <c r="L1222" i="3"/>
  <c r="K1222" i="3"/>
  <c r="O1222" i="3"/>
  <c r="O1218" i="3"/>
  <c r="N1218" i="3"/>
  <c r="K1218" i="3"/>
  <c r="L1218" i="3"/>
  <c r="K1214" i="3"/>
  <c r="N1214" i="3"/>
  <c r="L1214" i="3"/>
  <c r="O1214" i="3"/>
  <c r="O1210" i="3"/>
  <c r="N1210" i="3"/>
  <c r="L1210" i="3"/>
  <c r="K1210" i="3"/>
  <c r="L1206" i="3"/>
  <c r="N1206" i="3"/>
  <c r="K1206" i="3"/>
  <c r="O1206" i="3"/>
  <c r="N1202" i="3"/>
  <c r="L1202" i="3"/>
  <c r="O1202" i="3"/>
  <c r="K1202" i="3"/>
  <c r="O1198" i="3"/>
  <c r="K1198" i="3"/>
  <c r="N1198" i="3"/>
  <c r="L1198" i="3"/>
  <c r="O1194" i="3"/>
  <c r="K1194" i="3"/>
  <c r="N1194" i="3"/>
  <c r="L1194" i="3"/>
  <c r="O1190" i="3"/>
  <c r="N1190" i="3"/>
  <c r="L1190" i="3"/>
  <c r="K1190" i="3"/>
  <c r="N1186" i="3"/>
  <c r="L1186" i="3"/>
  <c r="O1186" i="3"/>
  <c r="K1186" i="3"/>
  <c r="L1182" i="3"/>
  <c r="N1182" i="3"/>
  <c r="K1182" i="3"/>
  <c r="O1182" i="3"/>
  <c r="O1178" i="3"/>
  <c r="K1178" i="3"/>
  <c r="L1178" i="3"/>
  <c r="N1178" i="3"/>
  <c r="O1174" i="3"/>
  <c r="K1174" i="3"/>
  <c r="L1174" i="3"/>
  <c r="N1174" i="3"/>
  <c r="N1170" i="3"/>
  <c r="L1170" i="3"/>
  <c r="O1170" i="3"/>
  <c r="K1170" i="3"/>
  <c r="L1166" i="3"/>
  <c r="O1166" i="3"/>
  <c r="K1166" i="3"/>
  <c r="N1166" i="3"/>
  <c r="N1162" i="3"/>
  <c r="L1162" i="3"/>
  <c r="O1162" i="3"/>
  <c r="K1162" i="3"/>
  <c r="K1158" i="3"/>
  <c r="N1158" i="3"/>
  <c r="L1158" i="3"/>
  <c r="O1158" i="3"/>
  <c r="O1154" i="3"/>
  <c r="K1154" i="3"/>
  <c r="L1154" i="3"/>
  <c r="N1154" i="3"/>
  <c r="N1150" i="3"/>
  <c r="L1150" i="3"/>
  <c r="O1150" i="3"/>
  <c r="K1150" i="3"/>
  <c r="N1146" i="3"/>
  <c r="L1146" i="3"/>
  <c r="K1146" i="3"/>
  <c r="O1146" i="3"/>
  <c r="N1142" i="3"/>
  <c r="L1142" i="3"/>
  <c r="O1142" i="3"/>
  <c r="K1142" i="3"/>
  <c r="O1138" i="3"/>
  <c r="K1138" i="3"/>
  <c r="N1138" i="3"/>
  <c r="L1138" i="3"/>
  <c r="O1134" i="3"/>
  <c r="K1134" i="3"/>
  <c r="N1134" i="3"/>
  <c r="L1134" i="3"/>
  <c r="N1130" i="3"/>
  <c r="L1130" i="3"/>
  <c r="O1130" i="3"/>
  <c r="K1130" i="3"/>
  <c r="N1126" i="3"/>
  <c r="L1126" i="3"/>
  <c r="O1126" i="3"/>
  <c r="K1126" i="3"/>
  <c r="L1122" i="3"/>
  <c r="N1122" i="3"/>
  <c r="O1122" i="3"/>
  <c r="K1122" i="3"/>
  <c r="O1118" i="3"/>
  <c r="K1118" i="3"/>
  <c r="N1118" i="3"/>
  <c r="L1118" i="3"/>
  <c r="O1114" i="3"/>
  <c r="K1114" i="3"/>
  <c r="N1114" i="3"/>
  <c r="L1114" i="3"/>
  <c r="L1110" i="3"/>
  <c r="N1110" i="3"/>
  <c r="O1110" i="3"/>
  <c r="K1110" i="3"/>
  <c r="N1106" i="3"/>
  <c r="L1106" i="3"/>
  <c r="K1106" i="3"/>
  <c r="O1106" i="3"/>
  <c r="L1102" i="3"/>
  <c r="K1102" i="3"/>
  <c r="N1102" i="3"/>
  <c r="O1102" i="3"/>
  <c r="O1098" i="3"/>
  <c r="K1098" i="3"/>
  <c r="N1098" i="3"/>
  <c r="L1098" i="3"/>
  <c r="K1094" i="3"/>
  <c r="O1094" i="3"/>
  <c r="N1094" i="3"/>
  <c r="L1094" i="3"/>
  <c r="L1090" i="3"/>
  <c r="O1090" i="3"/>
  <c r="N1090" i="3"/>
  <c r="K1090" i="3"/>
  <c r="N1086" i="3"/>
  <c r="L1086" i="3"/>
  <c r="O1086" i="3"/>
  <c r="K1086" i="3"/>
  <c r="N1082" i="3"/>
  <c r="O1082" i="3"/>
  <c r="K1082" i="3"/>
  <c r="L1082" i="3"/>
  <c r="O1078" i="3"/>
  <c r="K1078" i="3"/>
  <c r="L1078" i="3"/>
  <c r="N1078" i="3"/>
  <c r="O1074" i="3"/>
  <c r="K1074" i="3"/>
  <c r="N1074" i="3"/>
  <c r="L1074" i="3"/>
  <c r="N1070" i="3"/>
  <c r="L1070" i="3"/>
  <c r="O1070" i="3"/>
  <c r="K1070" i="3"/>
  <c r="L1066" i="3"/>
  <c r="O1066" i="3"/>
  <c r="K1066" i="3"/>
  <c r="N1066" i="3"/>
  <c r="N1062" i="3"/>
  <c r="L1062" i="3"/>
  <c r="K1062" i="3"/>
  <c r="O1062" i="3"/>
  <c r="O1058" i="3"/>
  <c r="K1058" i="3"/>
  <c r="N1058" i="3"/>
  <c r="L1058" i="3"/>
  <c r="O1054" i="3"/>
  <c r="K1054" i="3"/>
  <c r="L1054" i="3"/>
  <c r="N1054" i="3"/>
  <c r="N1050" i="3"/>
  <c r="K1050" i="3"/>
  <c r="O1050" i="3"/>
  <c r="L1050" i="3"/>
  <c r="L1046" i="3"/>
  <c r="K1046" i="3"/>
  <c r="N1046" i="3"/>
  <c r="O1046" i="3"/>
  <c r="N1042" i="3"/>
  <c r="L1042" i="3"/>
  <c r="O1042" i="3"/>
  <c r="K1042" i="3"/>
  <c r="O1038" i="3"/>
  <c r="K1038" i="3"/>
  <c r="N1038" i="3"/>
  <c r="L1038" i="3"/>
  <c r="O1034" i="3"/>
  <c r="L1034" i="3"/>
  <c r="N1034" i="3"/>
  <c r="K1034" i="3"/>
  <c r="K1030" i="3"/>
  <c r="L1030" i="3"/>
  <c r="O1030" i="3"/>
  <c r="N1030" i="3"/>
  <c r="N1026" i="3"/>
  <c r="L1026" i="3"/>
  <c r="O1026" i="3"/>
  <c r="K1026" i="3"/>
  <c r="N1022" i="3"/>
  <c r="K1022" i="3"/>
  <c r="L1022" i="3"/>
  <c r="O1022" i="3"/>
  <c r="O1018" i="3"/>
  <c r="N1018" i="3"/>
  <c r="L1018" i="3"/>
  <c r="K1018" i="3"/>
  <c r="O1014" i="3"/>
  <c r="K1014" i="3"/>
  <c r="L1014" i="3"/>
  <c r="N1014" i="3"/>
  <c r="L1010" i="3"/>
  <c r="O1010" i="3"/>
  <c r="K1010" i="3"/>
  <c r="N1010" i="3"/>
  <c r="N1006" i="3"/>
  <c r="K1006" i="3"/>
  <c r="O1006" i="3"/>
  <c r="L1006" i="3"/>
  <c r="N1002" i="3"/>
  <c r="L1002" i="3"/>
  <c r="O1002" i="3"/>
  <c r="K1002" i="3"/>
  <c r="O998" i="3"/>
  <c r="K998" i="3"/>
  <c r="N998" i="3"/>
  <c r="L998" i="3"/>
  <c r="L994" i="3"/>
  <c r="O994" i="3"/>
  <c r="N994" i="3"/>
  <c r="K994" i="3"/>
  <c r="O990" i="3"/>
  <c r="K990" i="3"/>
  <c r="L990" i="3"/>
  <c r="N990" i="3"/>
  <c r="N986" i="3"/>
  <c r="L986" i="3"/>
  <c r="O986" i="3"/>
  <c r="K986" i="3"/>
  <c r="L982" i="3"/>
  <c r="K982" i="3"/>
  <c r="N982" i="3"/>
  <c r="O982" i="3"/>
  <c r="N978" i="3"/>
  <c r="O978" i="3"/>
  <c r="K978" i="3"/>
  <c r="L978" i="3"/>
  <c r="O974" i="3"/>
  <c r="K974" i="3"/>
  <c r="N974" i="3"/>
  <c r="L974" i="3"/>
  <c r="O970" i="3"/>
  <c r="K970" i="3"/>
  <c r="N970" i="3"/>
  <c r="L970" i="3"/>
  <c r="O966" i="3"/>
  <c r="N966" i="3"/>
  <c r="K966" i="3"/>
  <c r="L966" i="3"/>
  <c r="L962" i="3"/>
  <c r="O962" i="3"/>
  <c r="K962" i="3"/>
  <c r="N962" i="3"/>
  <c r="N958" i="3"/>
  <c r="L958" i="3"/>
  <c r="O958" i="3"/>
  <c r="K958" i="3"/>
  <c r="K954" i="3"/>
  <c r="O954" i="3"/>
  <c r="L954" i="3"/>
  <c r="N954" i="3"/>
  <c r="K950" i="3"/>
  <c r="N950" i="3"/>
  <c r="O950" i="3"/>
  <c r="L950" i="3"/>
  <c r="L946" i="3"/>
  <c r="O946" i="3"/>
  <c r="K946" i="3"/>
  <c r="N946" i="3"/>
  <c r="N942" i="3"/>
  <c r="K942" i="3"/>
  <c r="L942" i="3"/>
  <c r="O942" i="3"/>
  <c r="N938" i="3"/>
  <c r="L938" i="3"/>
  <c r="O938" i="3"/>
  <c r="K938" i="3"/>
  <c r="O934" i="3"/>
  <c r="K934" i="3"/>
  <c r="N934" i="3"/>
  <c r="L934" i="3"/>
  <c r="O930" i="3"/>
  <c r="K930" i="3"/>
  <c r="L930" i="3"/>
  <c r="N930" i="3"/>
  <c r="L926" i="3"/>
  <c r="K926" i="3"/>
  <c r="O926" i="3"/>
  <c r="N926" i="3"/>
  <c r="K922" i="3"/>
  <c r="N922" i="3"/>
  <c r="L922" i="3"/>
  <c r="O922" i="3"/>
  <c r="L918" i="3"/>
  <c r="N918" i="3"/>
  <c r="O918" i="3"/>
  <c r="K918" i="3"/>
  <c r="O914" i="3"/>
  <c r="K914" i="3"/>
  <c r="N914" i="3"/>
  <c r="L914" i="3"/>
  <c r="O910" i="3"/>
  <c r="K910" i="3"/>
  <c r="N910" i="3"/>
  <c r="L910" i="3"/>
  <c r="N906" i="3"/>
  <c r="K906" i="3"/>
  <c r="O906" i="3"/>
  <c r="L906" i="3"/>
  <c r="N902" i="3"/>
  <c r="L902" i="3"/>
  <c r="O902" i="3"/>
  <c r="K902" i="3"/>
  <c r="O898" i="3"/>
  <c r="K898" i="3"/>
  <c r="N898" i="3"/>
  <c r="L898" i="3"/>
  <c r="L894" i="3"/>
  <c r="O894" i="3"/>
  <c r="N894" i="3"/>
  <c r="K894" i="3"/>
  <c r="O890" i="3"/>
  <c r="K890" i="3"/>
  <c r="N890" i="3"/>
  <c r="L890" i="3"/>
  <c r="L886" i="3"/>
  <c r="N886" i="3"/>
  <c r="O886" i="3"/>
  <c r="K886" i="3"/>
  <c r="N882" i="3"/>
  <c r="L882" i="3"/>
  <c r="K882" i="3"/>
  <c r="O882" i="3"/>
  <c r="O878" i="3"/>
  <c r="L878" i="3"/>
  <c r="N878" i="3"/>
  <c r="K878" i="3"/>
  <c r="O874" i="3"/>
  <c r="K874" i="3"/>
  <c r="N874" i="3"/>
  <c r="L874" i="3"/>
  <c r="L870" i="3"/>
  <c r="N870" i="3"/>
  <c r="K870" i="3"/>
  <c r="O870" i="3"/>
  <c r="K866" i="3"/>
  <c r="O866" i="3"/>
  <c r="L866" i="3"/>
  <c r="N866" i="3"/>
  <c r="N862" i="3"/>
  <c r="L862" i="3"/>
  <c r="O862" i="3"/>
  <c r="K862" i="3"/>
  <c r="O858" i="3"/>
  <c r="K858" i="3"/>
  <c r="N858" i="3"/>
  <c r="L858" i="3"/>
  <c r="O854" i="3"/>
  <c r="K854" i="3"/>
  <c r="L854" i="3"/>
  <c r="N854" i="3"/>
  <c r="N850" i="3"/>
  <c r="K850" i="3"/>
  <c r="O850" i="3"/>
  <c r="L850" i="3"/>
  <c r="O846" i="3"/>
  <c r="N846" i="3"/>
  <c r="L846" i="3"/>
  <c r="K846" i="3"/>
  <c r="L842" i="3"/>
  <c r="K842" i="3"/>
  <c r="N842" i="3"/>
  <c r="O842" i="3"/>
  <c r="O838" i="3"/>
  <c r="K838" i="3"/>
  <c r="N838" i="3"/>
  <c r="L838" i="3"/>
  <c r="O834" i="3"/>
  <c r="K834" i="3"/>
  <c r="N834" i="3"/>
  <c r="L834" i="3"/>
  <c r="N830" i="3"/>
  <c r="L830" i="3"/>
  <c r="O830" i="3"/>
  <c r="K830" i="3"/>
  <c r="L826" i="3"/>
  <c r="N826" i="3"/>
  <c r="O826" i="3"/>
  <c r="K826" i="3"/>
  <c r="N822" i="3"/>
  <c r="L822" i="3"/>
  <c r="K822" i="3"/>
  <c r="O822" i="3"/>
  <c r="O818" i="3"/>
  <c r="K818" i="3"/>
  <c r="N818" i="3"/>
  <c r="L818" i="3"/>
  <c r="O814" i="3"/>
  <c r="K814" i="3"/>
  <c r="N814" i="3"/>
  <c r="L814" i="3"/>
  <c r="N810" i="3"/>
  <c r="L810" i="3"/>
  <c r="K810" i="3"/>
  <c r="O810" i="3"/>
  <c r="N806" i="3"/>
  <c r="L806" i="3"/>
  <c r="K806" i="3"/>
  <c r="O806" i="3"/>
  <c r="L802" i="3"/>
  <c r="O802" i="3"/>
  <c r="K802" i="3"/>
  <c r="N802" i="3"/>
  <c r="O798" i="3"/>
  <c r="K798" i="3"/>
  <c r="L798" i="3"/>
  <c r="N798" i="3"/>
  <c r="O794" i="3"/>
  <c r="L794" i="3"/>
  <c r="N794" i="3"/>
  <c r="K794" i="3"/>
  <c r="N790" i="3"/>
  <c r="L790" i="3"/>
  <c r="O790" i="3"/>
  <c r="K790" i="3"/>
  <c r="N786" i="3"/>
  <c r="L786" i="3"/>
  <c r="O786" i="3"/>
  <c r="K786" i="3"/>
  <c r="L782" i="3"/>
  <c r="K782" i="3"/>
  <c r="N782" i="3"/>
  <c r="O782" i="3"/>
  <c r="O778" i="3"/>
  <c r="L778" i="3"/>
  <c r="N778" i="3"/>
  <c r="K778" i="3"/>
  <c r="O774" i="3"/>
  <c r="N774" i="3"/>
  <c r="K774" i="3"/>
  <c r="L774" i="3"/>
  <c r="N770" i="3"/>
  <c r="L770" i="3"/>
  <c r="O770" i="3"/>
  <c r="K770" i="3"/>
  <c r="K766" i="3"/>
  <c r="L766" i="3"/>
  <c r="O766" i="3"/>
  <c r="N766" i="3"/>
  <c r="O762" i="3"/>
  <c r="K762" i="3"/>
  <c r="N762" i="3"/>
  <c r="L762" i="3"/>
  <c r="N758" i="3"/>
  <c r="K758" i="3"/>
  <c r="L758" i="3"/>
  <c r="O758" i="3"/>
  <c r="O754" i="3"/>
  <c r="K754" i="3"/>
  <c r="L754" i="3"/>
  <c r="N754" i="3"/>
  <c r="N750" i="3"/>
  <c r="K750" i="3"/>
  <c r="O750" i="3"/>
  <c r="L750" i="3"/>
  <c r="N746" i="3"/>
  <c r="L746" i="3"/>
  <c r="K746" i="3"/>
  <c r="O746" i="3"/>
  <c r="O742" i="3"/>
  <c r="N742" i="3"/>
  <c r="L742" i="3"/>
  <c r="K742" i="3"/>
  <c r="L738" i="3"/>
  <c r="O738" i="3"/>
  <c r="N738" i="3"/>
  <c r="K738" i="3"/>
  <c r="O734" i="3"/>
  <c r="K734" i="3"/>
  <c r="L734" i="3"/>
  <c r="N734" i="3"/>
  <c r="N730" i="3"/>
  <c r="L730" i="3"/>
  <c r="O730" i="3"/>
  <c r="K730" i="3"/>
  <c r="N726" i="3"/>
  <c r="L726" i="3"/>
  <c r="O726" i="3"/>
  <c r="K726" i="3"/>
  <c r="O722" i="3"/>
  <c r="L722" i="3"/>
  <c r="N722" i="3"/>
  <c r="K722" i="3"/>
  <c r="L718" i="3"/>
  <c r="O718" i="3"/>
  <c r="K718" i="3"/>
  <c r="N718" i="3"/>
  <c r="O714" i="3"/>
  <c r="K714" i="3"/>
  <c r="N714" i="3"/>
  <c r="L714" i="3"/>
  <c r="N710" i="3"/>
  <c r="L710" i="3"/>
  <c r="O710" i="3"/>
  <c r="K710" i="3"/>
  <c r="N706" i="3"/>
  <c r="L706" i="3"/>
  <c r="O706" i="3"/>
  <c r="K706" i="3"/>
  <c r="K702" i="3"/>
  <c r="O702" i="3"/>
  <c r="N702" i="3"/>
  <c r="L702" i="3"/>
  <c r="O698" i="3"/>
  <c r="K698" i="3"/>
  <c r="N698" i="3"/>
  <c r="L698" i="3"/>
  <c r="O694" i="3"/>
  <c r="K694" i="3"/>
  <c r="N694" i="3"/>
  <c r="L694" i="3"/>
  <c r="N690" i="3"/>
  <c r="O690" i="3"/>
  <c r="L690" i="3"/>
  <c r="K690" i="3"/>
  <c r="N686" i="3"/>
  <c r="L686" i="3"/>
  <c r="O686" i="3"/>
  <c r="K686" i="3"/>
  <c r="N682" i="3"/>
  <c r="L682" i="3"/>
  <c r="O682" i="3"/>
  <c r="K682" i="3"/>
  <c r="O678" i="3"/>
  <c r="K678" i="3"/>
  <c r="N678" i="3"/>
  <c r="L678" i="3"/>
  <c r="O674" i="3"/>
  <c r="N674" i="3"/>
  <c r="K674" i="3"/>
  <c r="L674" i="3"/>
  <c r="O670" i="3"/>
  <c r="K670" i="3"/>
  <c r="N670" i="3"/>
  <c r="L670" i="3"/>
  <c r="O666" i="3"/>
  <c r="K666" i="3"/>
  <c r="N666" i="3"/>
  <c r="L666" i="3"/>
  <c r="N662" i="3"/>
  <c r="L662" i="3"/>
  <c r="K662" i="3"/>
  <c r="O662" i="3"/>
  <c r="L658" i="3"/>
  <c r="O658" i="3"/>
  <c r="K658" i="3"/>
  <c r="N658" i="3"/>
  <c r="O654" i="3"/>
  <c r="K654" i="3"/>
  <c r="N654" i="3"/>
  <c r="L654" i="3"/>
  <c r="O650" i="3"/>
  <c r="L650" i="3"/>
  <c r="K650" i="3"/>
  <c r="N650" i="3"/>
  <c r="L646" i="3"/>
  <c r="N646" i="3"/>
  <c r="O646" i="3"/>
  <c r="K646" i="3"/>
  <c r="N642" i="3"/>
  <c r="O642" i="3"/>
  <c r="L642" i="3"/>
  <c r="K642" i="3"/>
  <c r="K638" i="3"/>
  <c r="N638" i="3"/>
  <c r="L638" i="3"/>
  <c r="O638" i="3"/>
  <c r="O634" i="3"/>
  <c r="K634" i="3"/>
  <c r="N634" i="3"/>
  <c r="L634" i="3"/>
  <c r="O630" i="3"/>
  <c r="K630" i="3"/>
  <c r="L630" i="3"/>
  <c r="N630" i="3"/>
  <c r="N626" i="3"/>
  <c r="K626" i="3"/>
  <c r="L626" i="3"/>
  <c r="O626" i="3"/>
  <c r="K622" i="3"/>
  <c r="N622" i="3"/>
  <c r="O622" i="3"/>
  <c r="L622" i="3"/>
  <c r="N618" i="3"/>
  <c r="L618" i="3"/>
  <c r="O618" i="3"/>
  <c r="K618" i="3"/>
  <c r="L614" i="3"/>
  <c r="N614" i="3"/>
  <c r="O614" i="3"/>
  <c r="K614" i="3"/>
  <c r="O610" i="3"/>
  <c r="L610" i="3"/>
  <c r="N610" i="3"/>
  <c r="K610" i="3"/>
  <c r="O606" i="3"/>
  <c r="K606" i="3"/>
  <c r="N606" i="3"/>
  <c r="L606" i="3"/>
  <c r="L602" i="3"/>
  <c r="N602" i="3"/>
  <c r="O602" i="3"/>
  <c r="K602" i="3"/>
  <c r="O570" i="3"/>
  <c r="K570" i="3"/>
  <c r="N570" i="3"/>
  <c r="L570" i="3"/>
  <c r="K538" i="3"/>
  <c r="O538" i="3"/>
  <c r="L538" i="3"/>
  <c r="N538" i="3"/>
  <c r="N534" i="3"/>
  <c r="O534" i="3"/>
  <c r="K534" i="3"/>
  <c r="L534" i="3"/>
  <c r="L530" i="3"/>
  <c r="O530" i="3"/>
  <c r="K530" i="3"/>
  <c r="N530" i="3"/>
  <c r="N526" i="3"/>
  <c r="K526" i="3"/>
  <c r="L526" i="3"/>
  <c r="O526" i="3"/>
  <c r="N522" i="3"/>
  <c r="L522" i="3"/>
  <c r="O522" i="3"/>
  <c r="K522" i="3"/>
  <c r="L518" i="3"/>
  <c r="O518" i="3"/>
  <c r="K518" i="3"/>
  <c r="N518" i="3"/>
  <c r="O514" i="3"/>
  <c r="K514" i="3"/>
  <c r="N514" i="3"/>
  <c r="L514" i="3"/>
  <c r="O510" i="3"/>
  <c r="K510" i="3"/>
  <c r="N510" i="3"/>
  <c r="L510" i="3"/>
  <c r="N506" i="3"/>
  <c r="O506" i="3"/>
  <c r="K506" i="3"/>
  <c r="L506" i="3"/>
  <c r="O502" i="3"/>
  <c r="L502" i="3"/>
  <c r="K502" i="3"/>
  <c r="N502" i="3"/>
  <c r="L498" i="3"/>
  <c r="O498" i="3"/>
  <c r="K498" i="3"/>
  <c r="N498" i="3"/>
  <c r="N494" i="3"/>
  <c r="K494" i="3"/>
  <c r="O494" i="3"/>
  <c r="L494" i="3"/>
  <c r="O486" i="3"/>
  <c r="K486" i="3"/>
  <c r="L486" i="3"/>
  <c r="N486" i="3"/>
  <c r="L482" i="3"/>
  <c r="O482" i="3"/>
  <c r="K482" i="3"/>
  <c r="N482" i="3"/>
  <c r="L478" i="3"/>
  <c r="O478" i="3"/>
  <c r="K478" i="3"/>
  <c r="N478" i="3"/>
  <c r="N474" i="3"/>
  <c r="L474" i="3"/>
  <c r="O474" i="3"/>
  <c r="K474" i="3"/>
  <c r="O470" i="3"/>
  <c r="K470" i="3"/>
  <c r="N470" i="3"/>
  <c r="L470" i="3"/>
  <c r="O466" i="3"/>
  <c r="K466" i="3"/>
  <c r="L466" i="3"/>
  <c r="N466" i="3"/>
  <c r="N462" i="3"/>
  <c r="L462" i="3"/>
  <c r="O462" i="3"/>
  <c r="K462" i="3"/>
  <c r="N454" i="3"/>
  <c r="L454" i="3"/>
  <c r="K454" i="3"/>
  <c r="O454" i="3"/>
  <c r="O450" i="3"/>
  <c r="N450" i="3"/>
  <c r="K450" i="3"/>
  <c r="L450" i="3"/>
  <c r="N446" i="3"/>
  <c r="K446" i="3"/>
  <c r="O446" i="3"/>
  <c r="L446" i="3"/>
  <c r="N442" i="3"/>
  <c r="K442" i="3"/>
  <c r="O442" i="3"/>
  <c r="L442" i="3"/>
  <c r="L438" i="3"/>
  <c r="N438" i="3"/>
  <c r="K438" i="3"/>
  <c r="O438" i="3"/>
  <c r="L434" i="3"/>
  <c r="O434" i="3"/>
  <c r="K434" i="3"/>
  <c r="N434" i="3"/>
  <c r="N430" i="3"/>
  <c r="K430" i="3"/>
  <c r="O430" i="3"/>
  <c r="L430" i="3"/>
  <c r="K426" i="3"/>
  <c r="N426" i="3"/>
  <c r="O426" i="3"/>
  <c r="L426" i="3"/>
  <c r="O422" i="3"/>
  <c r="K422" i="3"/>
  <c r="L422" i="3"/>
  <c r="N422" i="3"/>
  <c r="N418" i="3"/>
  <c r="L418" i="3"/>
  <c r="O418" i="3"/>
  <c r="K418" i="3"/>
  <c r="N414" i="3"/>
  <c r="K414" i="3"/>
  <c r="L414" i="3"/>
  <c r="O414" i="3"/>
  <c r="L410" i="3"/>
  <c r="K410" i="3"/>
  <c r="N410" i="3"/>
  <c r="O410" i="3"/>
  <c r="O406" i="3"/>
  <c r="K406" i="3"/>
  <c r="L406" i="3"/>
  <c r="N406" i="3"/>
  <c r="K402" i="3"/>
  <c r="O402" i="3"/>
  <c r="L402" i="3"/>
  <c r="N402" i="3"/>
  <c r="L398" i="3"/>
  <c r="O398" i="3"/>
  <c r="K398" i="3"/>
  <c r="N398" i="3"/>
  <c r="O394" i="3"/>
  <c r="K394" i="3"/>
  <c r="L394" i="3"/>
  <c r="N394" i="3"/>
  <c r="K390" i="3"/>
  <c r="O390" i="3"/>
  <c r="N390" i="3"/>
  <c r="L390" i="3"/>
  <c r="K386" i="3"/>
  <c r="N386" i="3"/>
  <c r="O386" i="3"/>
  <c r="L386" i="3"/>
  <c r="L382" i="3"/>
  <c r="N382" i="3"/>
  <c r="K382" i="3"/>
  <c r="O382" i="3"/>
  <c r="K378" i="3"/>
  <c r="O378" i="3"/>
  <c r="L378" i="3"/>
  <c r="N378" i="3"/>
  <c r="K374" i="3"/>
  <c r="O374" i="3"/>
  <c r="N374" i="3"/>
  <c r="L374" i="3"/>
  <c r="K370" i="3"/>
  <c r="O370" i="3"/>
  <c r="N370" i="3"/>
  <c r="L370" i="3"/>
  <c r="N366" i="3"/>
  <c r="K366" i="3"/>
  <c r="L366" i="3"/>
  <c r="O366" i="3"/>
  <c r="L362" i="3"/>
  <c r="N362" i="3"/>
  <c r="K362" i="3"/>
  <c r="O362" i="3"/>
  <c r="L358" i="3"/>
  <c r="O358" i="3"/>
  <c r="N358" i="3"/>
  <c r="K358" i="3"/>
  <c r="K354" i="3"/>
  <c r="L354" i="3"/>
  <c r="O354" i="3"/>
  <c r="N354" i="3"/>
  <c r="O350" i="3"/>
  <c r="K350" i="3"/>
  <c r="N350" i="3"/>
  <c r="L350" i="3"/>
  <c r="L346" i="3"/>
  <c r="N346" i="3"/>
  <c r="K346" i="3"/>
  <c r="O346" i="3"/>
  <c r="L342" i="3"/>
  <c r="N342" i="3"/>
  <c r="O342" i="3"/>
  <c r="K342" i="3"/>
  <c r="L338" i="3"/>
  <c r="K338" i="3"/>
  <c r="O338" i="3"/>
  <c r="N338" i="3"/>
  <c r="O334" i="3"/>
  <c r="K334" i="3"/>
  <c r="N334" i="3"/>
  <c r="L334" i="3"/>
  <c r="L330" i="3"/>
  <c r="K330" i="3"/>
  <c r="N330" i="3"/>
  <c r="O330" i="3"/>
  <c r="L326" i="3"/>
  <c r="O326" i="3"/>
  <c r="K326" i="3"/>
  <c r="N326" i="3"/>
  <c r="N322" i="3"/>
  <c r="K322" i="3"/>
  <c r="O322" i="3"/>
  <c r="L322" i="3"/>
  <c r="O318" i="3"/>
  <c r="K318" i="3"/>
  <c r="N318" i="3"/>
  <c r="L318" i="3"/>
  <c r="K314" i="3"/>
  <c r="O314" i="3"/>
  <c r="L314" i="3"/>
  <c r="N314" i="3"/>
  <c r="N310" i="3"/>
  <c r="L310" i="3"/>
  <c r="O310" i="3"/>
  <c r="K310" i="3"/>
  <c r="K306" i="3"/>
  <c r="O306" i="3"/>
  <c r="N306" i="3"/>
  <c r="L306" i="3"/>
  <c r="O302" i="3"/>
  <c r="K302" i="3"/>
  <c r="N302" i="3"/>
  <c r="L302" i="3"/>
  <c r="L298" i="3"/>
  <c r="O298" i="3"/>
  <c r="N298" i="3"/>
  <c r="K298" i="3"/>
  <c r="N294" i="3"/>
  <c r="L294" i="3"/>
  <c r="O294" i="3"/>
  <c r="K294" i="3"/>
  <c r="K290" i="3"/>
  <c r="N290" i="3"/>
  <c r="L290" i="3"/>
  <c r="O290" i="3"/>
  <c r="O286" i="3"/>
  <c r="K286" i="3"/>
  <c r="N286" i="3"/>
  <c r="L286" i="3"/>
  <c r="L282" i="3"/>
  <c r="K282" i="3"/>
  <c r="N282" i="3"/>
  <c r="O282" i="3"/>
  <c r="L278" i="3"/>
  <c r="N278" i="3"/>
  <c r="O278" i="3"/>
  <c r="K278" i="3"/>
  <c r="L274" i="3"/>
  <c r="N274" i="3"/>
  <c r="K274" i="3"/>
  <c r="O274" i="3"/>
  <c r="O270" i="3"/>
  <c r="K270" i="3"/>
  <c r="N270" i="3"/>
  <c r="L270" i="3"/>
  <c r="L266" i="3"/>
  <c r="K266" i="3"/>
  <c r="O266" i="3"/>
  <c r="N266" i="3"/>
  <c r="N262" i="3"/>
  <c r="L262" i="3"/>
  <c r="O262" i="3"/>
  <c r="K262" i="3"/>
  <c r="N258" i="3"/>
  <c r="K258" i="3"/>
  <c r="L258" i="3"/>
  <c r="O258" i="3"/>
  <c r="O254" i="3"/>
  <c r="K254" i="3"/>
  <c r="N254" i="3"/>
  <c r="L254" i="3"/>
  <c r="O250" i="3"/>
  <c r="L250" i="3"/>
  <c r="N250" i="3"/>
  <c r="K250" i="3"/>
  <c r="N246" i="3"/>
  <c r="L246" i="3"/>
  <c r="O246" i="3"/>
  <c r="K246" i="3"/>
  <c r="K242" i="3"/>
  <c r="O242" i="3"/>
  <c r="N242" i="3"/>
  <c r="L242" i="3"/>
  <c r="N238" i="3"/>
  <c r="K238" i="3"/>
  <c r="O238" i="3"/>
  <c r="L238" i="3"/>
  <c r="L234" i="3"/>
  <c r="O234" i="3"/>
  <c r="N234" i="3"/>
  <c r="K234" i="3"/>
  <c r="N230" i="3"/>
  <c r="L230" i="3"/>
  <c r="O230" i="3"/>
  <c r="K230" i="3"/>
  <c r="K226" i="3"/>
  <c r="E36" i="42" s="1"/>
  <c r="N226" i="3"/>
  <c r="L226" i="3"/>
  <c r="O226" i="3"/>
  <c r="L222" i="3"/>
  <c r="AZ28" i="42" s="1"/>
  <c r="N222" i="3"/>
  <c r="O222" i="3"/>
  <c r="K222" i="3"/>
  <c r="E32" i="42" s="1"/>
  <c r="K218" i="3"/>
  <c r="E28" i="42" s="1"/>
  <c r="O218" i="3"/>
  <c r="N218" i="3"/>
  <c r="L218" i="3"/>
  <c r="L214" i="3"/>
  <c r="AZ20" i="42" s="1"/>
  <c r="N214" i="3"/>
  <c r="O214" i="3"/>
  <c r="K214" i="3"/>
  <c r="E24" i="42" s="1"/>
  <c r="N210" i="3"/>
  <c r="K210" i="3"/>
  <c r="E20" i="42" s="1"/>
  <c r="O210" i="3"/>
  <c r="L210" i="3"/>
  <c r="N206" i="3"/>
  <c r="K206" i="3"/>
  <c r="E16" i="42" s="1"/>
  <c r="L206" i="3"/>
  <c r="O206" i="3"/>
  <c r="O202" i="3"/>
  <c r="K202" i="3"/>
  <c r="E12" i="42" s="1"/>
  <c r="N202" i="3"/>
  <c r="L202" i="3"/>
  <c r="L198" i="3"/>
  <c r="O198" i="3"/>
  <c r="K198" i="3"/>
  <c r="N198" i="3"/>
  <c r="N194" i="3"/>
  <c r="L194" i="3"/>
  <c r="O194" i="3"/>
  <c r="K194" i="3"/>
  <c r="K190" i="3"/>
  <c r="O190" i="3"/>
  <c r="L190" i="3"/>
  <c r="N190" i="3"/>
  <c r="O186" i="3"/>
  <c r="L186" i="3"/>
  <c r="N186" i="3"/>
  <c r="K186" i="3"/>
  <c r="N178" i="3"/>
  <c r="L178" i="3"/>
  <c r="O178" i="3"/>
  <c r="K178" i="3"/>
  <c r="O174" i="3"/>
  <c r="K174" i="3"/>
  <c r="N174" i="3"/>
  <c r="L174" i="3"/>
  <c r="N170" i="3"/>
  <c r="L170" i="3"/>
  <c r="K170" i="3"/>
  <c r="O170" i="3"/>
  <c r="L166" i="3"/>
  <c r="O166" i="3"/>
  <c r="K166" i="3"/>
  <c r="N166" i="3"/>
  <c r="N162" i="3"/>
  <c r="L162" i="3"/>
  <c r="O162" i="3"/>
  <c r="K162" i="3"/>
  <c r="L154" i="3"/>
  <c r="O154" i="3"/>
  <c r="K154" i="3"/>
  <c r="N154" i="3"/>
  <c r="O146" i="3"/>
  <c r="K146" i="3"/>
  <c r="L146" i="3"/>
  <c r="N146" i="3"/>
  <c r="N142" i="3"/>
  <c r="K142" i="3"/>
  <c r="L142" i="3"/>
  <c r="O142" i="3"/>
  <c r="L138" i="3"/>
  <c r="O138" i="3"/>
  <c r="K138" i="3"/>
  <c r="N138" i="3"/>
  <c r="N134" i="3"/>
  <c r="O134" i="3"/>
  <c r="K134" i="3"/>
  <c r="L134" i="3"/>
  <c r="O130" i="3"/>
  <c r="K130" i="3"/>
  <c r="N130" i="3"/>
  <c r="L130" i="3"/>
  <c r="O126" i="3"/>
  <c r="K126" i="3"/>
  <c r="L126" i="3"/>
  <c r="N126" i="3"/>
  <c r="N122" i="3"/>
  <c r="K122" i="3"/>
  <c r="O122" i="3"/>
  <c r="L122" i="3"/>
  <c r="L118" i="3"/>
  <c r="O118" i="3"/>
  <c r="K118" i="3"/>
  <c r="N118" i="3"/>
  <c r="O114" i="3"/>
  <c r="K114" i="3"/>
  <c r="N114" i="3"/>
  <c r="L114" i="3"/>
  <c r="O110" i="3"/>
  <c r="K110" i="3"/>
  <c r="N110" i="3"/>
  <c r="L110" i="3"/>
  <c r="N106" i="3"/>
  <c r="L106" i="3"/>
  <c r="O106" i="3"/>
  <c r="K106" i="3"/>
  <c r="L102" i="3"/>
  <c r="N102" i="3"/>
  <c r="O102" i="3"/>
  <c r="K102" i="3"/>
  <c r="K98" i="3"/>
  <c r="O98" i="3"/>
  <c r="N98" i="3"/>
  <c r="L98" i="3"/>
  <c r="O94" i="3"/>
  <c r="K94" i="3"/>
  <c r="L94" i="3"/>
  <c r="N94" i="3"/>
  <c r="L90" i="3"/>
  <c r="K90" i="3"/>
  <c r="O90" i="3"/>
  <c r="N90" i="3"/>
  <c r="N86" i="3"/>
  <c r="L86" i="3"/>
  <c r="O86" i="3"/>
  <c r="K86" i="3"/>
  <c r="K82" i="3"/>
  <c r="O82" i="3"/>
  <c r="L82" i="3"/>
  <c r="N82" i="3"/>
  <c r="O78" i="3"/>
  <c r="K78" i="3"/>
  <c r="L78" i="3"/>
  <c r="N78" i="3"/>
  <c r="L74" i="3"/>
  <c r="O74" i="3"/>
  <c r="N74" i="3"/>
  <c r="K74" i="3"/>
  <c r="N70" i="3"/>
  <c r="O70" i="3"/>
  <c r="K70" i="3"/>
  <c r="L70" i="3"/>
  <c r="N66" i="3"/>
  <c r="L66" i="3"/>
  <c r="O66" i="3"/>
  <c r="K66" i="3"/>
  <c r="O62" i="3"/>
  <c r="K62" i="3"/>
  <c r="L62" i="3"/>
  <c r="N62" i="3"/>
  <c r="O58" i="3"/>
  <c r="L58" i="3"/>
  <c r="N58" i="3"/>
  <c r="K58" i="3"/>
  <c r="N54" i="3"/>
  <c r="O54" i="3"/>
  <c r="K54" i="3"/>
  <c r="L54" i="3"/>
  <c r="L50" i="3"/>
  <c r="O50" i="3"/>
  <c r="N50" i="3"/>
  <c r="K50" i="3"/>
  <c r="O46" i="3"/>
  <c r="K46" i="3"/>
  <c r="N46" i="3"/>
  <c r="L46" i="3"/>
  <c r="N42" i="3"/>
  <c r="L42" i="3"/>
  <c r="O42" i="3"/>
  <c r="K42" i="3"/>
  <c r="N38" i="3"/>
  <c r="L38" i="3"/>
  <c r="O38" i="3"/>
  <c r="K38" i="3"/>
  <c r="K34" i="3"/>
  <c r="N34" i="3"/>
  <c r="O34" i="3"/>
  <c r="L34" i="3"/>
  <c r="O30" i="3"/>
  <c r="K30" i="3"/>
  <c r="N30" i="3"/>
  <c r="L30" i="3"/>
  <c r="N26" i="3"/>
  <c r="L26" i="3"/>
  <c r="O26" i="3"/>
  <c r="K26" i="3"/>
  <c r="L22" i="3"/>
  <c r="K22" i="3"/>
  <c r="N22" i="3"/>
  <c r="O22" i="3"/>
  <c r="N18" i="3"/>
  <c r="K18" i="3"/>
  <c r="O18" i="3"/>
  <c r="L18" i="3"/>
  <c r="O14" i="3"/>
  <c r="L14" i="3"/>
  <c r="K14" i="3"/>
  <c r="N14" i="3"/>
  <c r="O10" i="3"/>
  <c r="K10" i="3"/>
  <c r="N10" i="3"/>
  <c r="L10" i="3"/>
  <c r="N6" i="3"/>
  <c r="O6" i="3"/>
  <c r="K6" i="3"/>
  <c r="L6" i="3"/>
  <c r="F38" i="42"/>
  <c r="AZ13" i="42" l="1"/>
  <c r="AZ17" i="42"/>
  <c r="AZ21" i="42"/>
  <c r="AZ29" i="42"/>
  <c r="AZ33" i="42"/>
  <c r="AZ10" i="42"/>
  <c r="AZ11" i="42"/>
  <c r="AZ15" i="42"/>
  <c r="AZ31" i="42"/>
  <c r="AZ22" i="42"/>
  <c r="AZ23" i="42"/>
  <c r="AZ8" i="42"/>
  <c r="AZ16" i="42"/>
  <c r="AZ24" i="42"/>
  <c r="AZ34" i="42"/>
  <c r="AZ5" i="42"/>
  <c r="AZ9" i="42"/>
  <c r="AZ6" i="42"/>
  <c r="AZ26" i="42"/>
  <c r="AZ18" i="42"/>
  <c r="AZ12" i="42"/>
  <c r="AZ32" i="42"/>
  <c r="AZ25" i="42"/>
  <c r="AZ27" i="42"/>
  <c r="F35" i="63"/>
  <c r="AV35" i="42"/>
  <c r="A41" i="38"/>
  <c r="AU5" i="3"/>
  <c r="F36" i="63" l="1"/>
  <c r="AV36" i="42"/>
  <c r="A42" i="38"/>
  <c r="F33" i="42"/>
  <c r="F37" i="42"/>
  <c r="E44" i="38" s="1"/>
  <c r="F35" i="42"/>
  <c r="E42" i="38" s="1"/>
  <c r="F36" i="42"/>
  <c r="E43" i="38" s="1"/>
  <c r="F13" i="42"/>
  <c r="F17" i="42"/>
  <c r="F21" i="42"/>
  <c r="F25" i="42"/>
  <c r="F29" i="42"/>
  <c r="F10" i="42"/>
  <c r="F14" i="42"/>
  <c r="F22" i="42"/>
  <c r="F26" i="42"/>
  <c r="F30" i="42"/>
  <c r="F15" i="42"/>
  <c r="F31" i="42"/>
  <c r="F24" i="42"/>
  <c r="F32" i="42"/>
  <c r="F19" i="42"/>
  <c r="F11" i="42"/>
  <c r="F12" i="42"/>
  <c r="F20" i="42"/>
  <c r="F27" i="42"/>
  <c r="F28" i="42"/>
  <c r="E27" i="38" l="1"/>
  <c r="J20" i="63"/>
  <c r="E39" i="38"/>
  <c r="J32" i="63"/>
  <c r="E22" i="38"/>
  <c r="J15" i="63"/>
  <c r="E32" i="38"/>
  <c r="J25" i="63"/>
  <c r="E40" i="38"/>
  <c r="J33" i="63"/>
  <c r="F37" i="63"/>
  <c r="J37" i="63" s="1"/>
  <c r="J36" i="63"/>
  <c r="E19" i="38"/>
  <c r="J12" i="63"/>
  <c r="E31" i="38"/>
  <c r="J24" i="63"/>
  <c r="E37" i="38"/>
  <c r="J30" i="63"/>
  <c r="E21" i="38"/>
  <c r="J14" i="63"/>
  <c r="E28" i="38"/>
  <c r="J21" i="63"/>
  <c r="E35" i="38"/>
  <c r="J28" i="63"/>
  <c r="E18" i="38"/>
  <c r="J11" i="63"/>
  <c r="E38" i="38"/>
  <c r="J31" i="63"/>
  <c r="E33" i="38"/>
  <c r="J26" i="63"/>
  <c r="E17" i="38"/>
  <c r="J10" i="63"/>
  <c r="E24" i="38"/>
  <c r="J17" i="63"/>
  <c r="A43" i="38"/>
  <c r="AV37" i="42"/>
  <c r="A44" i="38" s="1"/>
  <c r="E34" i="38"/>
  <c r="J27" i="63"/>
  <c r="E26" i="38"/>
  <c r="J19" i="63"/>
  <c r="E29" i="38"/>
  <c r="J22" i="63"/>
  <c r="E36" i="38"/>
  <c r="J29" i="63"/>
  <c r="E20" i="38"/>
  <c r="J13" i="63"/>
  <c r="J35" i="63"/>
  <c r="B12" i="42"/>
  <c r="B16" i="42"/>
  <c r="B24" i="42"/>
  <c r="BA33" i="38" l="1"/>
  <c r="AZ33" i="38"/>
  <c r="AY33" i="38"/>
  <c r="AX33" i="38"/>
  <c r="B32" i="42"/>
  <c r="B28" i="42"/>
  <c r="B13" i="42"/>
  <c r="B17" i="42"/>
  <c r="B21" i="42"/>
  <c r="B25" i="42"/>
  <c r="B29" i="42"/>
  <c r="B33" i="42"/>
  <c r="B37" i="42"/>
  <c r="B10" i="42"/>
  <c r="B14" i="42"/>
  <c r="B18" i="42"/>
  <c r="B22" i="42"/>
  <c r="B26" i="42"/>
  <c r="B30" i="42"/>
  <c r="B34" i="42"/>
  <c r="B38" i="42"/>
  <c r="B11" i="42"/>
  <c r="B15" i="42"/>
  <c r="B19" i="42"/>
  <c r="B23" i="42"/>
  <c r="B27" i="42"/>
  <c r="B31" i="42"/>
  <c r="B35" i="42"/>
  <c r="B36" i="42"/>
  <c r="B20" i="42"/>
  <c r="N70" i="42" l="1"/>
  <c r="N60" i="42"/>
  <c r="N57" i="42"/>
  <c r="N56" i="42"/>
  <c r="N52" i="42"/>
  <c r="C39" i="42"/>
  <c r="L16" i="42" s="1"/>
  <c r="AY34" i="42"/>
  <c r="AY33" i="42"/>
  <c r="AY32" i="42"/>
  <c r="AY31" i="42"/>
  <c r="AY30" i="42"/>
  <c r="AY29" i="42"/>
  <c r="AY28" i="42"/>
  <c r="AY27" i="42"/>
  <c r="AY26" i="42"/>
  <c r="AY25" i="42"/>
  <c r="AY24" i="42"/>
  <c r="CO23" i="42"/>
  <c r="AY23" i="42"/>
  <c r="CE22" i="42"/>
  <c r="AY22" i="42"/>
  <c r="CE21" i="42"/>
  <c r="AY21" i="42"/>
  <c r="AY20" i="42"/>
  <c r="AY19" i="42"/>
  <c r="BK18" i="42"/>
  <c r="AY18" i="42"/>
  <c r="L18" i="42"/>
  <c r="AY17" i="42"/>
  <c r="AY16" i="42"/>
  <c r="AY15" i="42"/>
  <c r="CG14" i="42"/>
  <c r="CF14" i="42"/>
  <c r="CE14" i="42"/>
  <c r="AY14" i="42"/>
  <c r="AY13" i="42"/>
  <c r="AY12" i="42"/>
  <c r="AY11" i="42"/>
  <c r="AY10" i="42"/>
  <c r="BZ9" i="42"/>
  <c r="AY9" i="42"/>
  <c r="L11" i="42"/>
  <c r="BZ8" i="42"/>
  <c r="AY8" i="42"/>
  <c r="BZ7" i="42"/>
  <c r="AY7" i="42"/>
  <c r="BZ6" i="42"/>
  <c r="BY6" i="42"/>
  <c r="AY6" i="42"/>
  <c r="CW11" i="42"/>
  <c r="BZ5" i="42"/>
  <c r="BY5" i="42"/>
  <c r="AY5" i="42"/>
  <c r="BZ4" i="42"/>
  <c r="BY4" i="42"/>
  <c r="C2" i="42"/>
  <c r="E5" i="38" s="1"/>
  <c r="I23" i="61" l="1"/>
  <c r="L37" i="42"/>
  <c r="L54" i="42" s="1"/>
  <c r="N40" i="42"/>
  <c r="D23" i="61"/>
  <c r="CJ19" i="42"/>
  <c r="CJ23" i="42"/>
  <c r="CI10" i="42"/>
  <c r="CO11" i="42"/>
  <c r="CO21" i="42"/>
  <c r="CN10" i="42"/>
  <c r="L58" i="42"/>
  <c r="CI9" i="42"/>
  <c r="N41" i="42"/>
  <c r="L8" i="42"/>
  <c r="CN6" i="42"/>
  <c r="CN7" i="42"/>
  <c r="CO8" i="42"/>
  <c r="CN9" i="42"/>
  <c r="CO17" i="42"/>
  <c r="CO19" i="42"/>
  <c r="CI7" i="42"/>
  <c r="CJ12" i="42"/>
  <c r="CO12" i="42"/>
  <c r="CW18" i="42"/>
  <c r="CW16" i="42"/>
  <c r="CJ8" i="42"/>
  <c r="CJ10" i="42"/>
  <c r="CW10" i="42"/>
  <c r="CJ15" i="42"/>
  <c r="N45" i="42"/>
  <c r="CI6" i="42"/>
  <c r="CO7" i="42"/>
  <c r="CO9" i="42"/>
  <c r="CJ11" i="42"/>
  <c r="CO15" i="42"/>
  <c r="CW20" i="42"/>
  <c r="CW21" i="42"/>
  <c r="CJ20" i="42"/>
  <c r="CJ6" i="42"/>
  <c r="CI8" i="42"/>
  <c r="CW8" i="42"/>
  <c r="CV9" i="42"/>
  <c r="CW13" i="42"/>
  <c r="CW14" i="42"/>
  <c r="CJ17" i="42"/>
  <c r="CW12" i="42"/>
  <c r="CW19" i="42"/>
  <c r="CT5" i="42"/>
  <c r="CV10" i="42"/>
  <c r="N43" i="42"/>
  <c r="CO20" i="42"/>
  <c r="CO16" i="42"/>
  <c r="CO14" i="42"/>
  <c r="CO13" i="42"/>
  <c r="CO10" i="42"/>
  <c r="CN8" i="42"/>
  <c r="CO6" i="42"/>
  <c r="CO18" i="42"/>
  <c r="N51" i="42"/>
  <c r="E55" i="42" s="1"/>
  <c r="CJ22" i="42"/>
  <c r="CJ16" i="42"/>
  <c r="CJ14" i="42"/>
  <c r="CJ13" i="42"/>
  <c r="CJ21" i="42"/>
  <c r="CJ18" i="42"/>
  <c r="CJ9" i="42"/>
  <c r="CJ7" i="42"/>
  <c r="N42" i="42"/>
  <c r="CW17" i="42"/>
  <c r="CW15" i="42"/>
  <c r="CW9" i="42"/>
  <c r="CV11" i="42"/>
  <c r="CW22" i="42"/>
  <c r="E58" i="42" l="1"/>
  <c r="L53" i="42"/>
  <c r="I45" i="61"/>
  <c r="G45" i="61"/>
  <c r="D71" i="42"/>
  <c r="N46" i="42"/>
  <c r="N68" i="42"/>
  <c r="C70" i="42"/>
  <c r="CE23" i="42"/>
  <c r="CF23" i="42" s="1"/>
  <c r="C71" i="42"/>
  <c r="D70" i="42"/>
  <c r="CF20" i="42"/>
  <c r="BQ8" i="42"/>
  <c r="E61" i="42"/>
  <c r="L55" i="42"/>
  <c r="F71" i="61" s="1"/>
  <c r="F72" i="61" s="1"/>
  <c r="CF21" i="42"/>
  <c r="CF22" i="42"/>
  <c r="N61" i="42"/>
  <c r="CE19" i="42"/>
  <c r="CF19" i="42" s="1"/>
  <c r="J45" i="61" l="1"/>
  <c r="N72" i="42"/>
  <c r="N71" i="42"/>
  <c r="BQ7" i="42"/>
  <c r="BQ6" i="42"/>
  <c r="E48" i="42" s="1"/>
  <c r="L52" i="42" s="1"/>
  <c r="BQ5" i="42"/>
  <c r="E71" i="42" l="1"/>
  <c r="E72" i="42" s="1"/>
  <c r="E51" i="42"/>
  <c r="L57" i="42" l="1"/>
  <c r="F30" i="61" l="1"/>
  <c r="F50" i="61"/>
  <c r="F40" i="61"/>
  <c r="G40" i="61" s="1"/>
  <c r="F37" i="61"/>
  <c r="G37" i="61" s="1"/>
  <c r="F35" i="61"/>
  <c r="G35" i="61" s="1"/>
  <c r="F28" i="61"/>
  <c r="F38" i="61"/>
  <c r="G38" i="61" s="1"/>
  <c r="F34" i="61"/>
  <c r="G34" i="61" s="1"/>
  <c r="F39" i="61"/>
  <c r="F29" i="61"/>
  <c r="F36" i="61"/>
  <c r="G36" i="61" s="1"/>
  <c r="I35" i="61" l="1"/>
  <c r="J35" i="61" s="1"/>
  <c r="I37" i="61"/>
  <c r="J37" i="61" s="1"/>
  <c r="I36" i="61"/>
  <c r="J36" i="61" s="1"/>
  <c r="I38" i="61"/>
  <c r="J38" i="61" s="1"/>
  <c r="I40" i="61"/>
  <c r="J40" i="61" s="1"/>
  <c r="I34" i="61"/>
  <c r="J34" i="61" s="1"/>
  <c r="G39" i="61"/>
  <c r="AU6" i="3"/>
  <c r="I6" i="3" s="1"/>
  <c r="AU7" i="3"/>
  <c r="I7" i="3" s="1"/>
  <c r="AU8" i="3"/>
  <c r="I8" i="3" s="1"/>
  <c r="AU9" i="3"/>
  <c r="I9" i="3" s="1"/>
  <c r="AU10" i="3"/>
  <c r="I10" i="3" s="1"/>
  <c r="AU11" i="3"/>
  <c r="I11" i="3" s="1"/>
  <c r="AU12" i="3"/>
  <c r="I12" i="3" s="1"/>
  <c r="AU13" i="3"/>
  <c r="I13" i="3" s="1"/>
  <c r="AU14" i="3"/>
  <c r="I14" i="3" s="1"/>
  <c r="AU15" i="3"/>
  <c r="I15" i="3" s="1"/>
  <c r="AT15" i="3" s="1"/>
  <c r="AU16" i="3"/>
  <c r="I16" i="3" s="1"/>
  <c r="AU17" i="3"/>
  <c r="I17" i="3" s="1"/>
  <c r="AU18" i="3"/>
  <c r="I18" i="3" s="1"/>
  <c r="AU19" i="3"/>
  <c r="I19" i="3" s="1"/>
  <c r="AU20" i="3"/>
  <c r="I20" i="3" s="1"/>
  <c r="AU21" i="3"/>
  <c r="I21" i="3" s="1"/>
  <c r="AU22" i="3"/>
  <c r="I22" i="3" s="1"/>
  <c r="AU23" i="3"/>
  <c r="I23" i="3" s="1"/>
  <c r="AU24" i="3"/>
  <c r="I24" i="3" s="1"/>
  <c r="AU25" i="3"/>
  <c r="I25" i="3" s="1"/>
  <c r="AU26" i="3"/>
  <c r="I26" i="3" s="1"/>
  <c r="AU27" i="3"/>
  <c r="I27" i="3" s="1"/>
  <c r="AU28" i="3"/>
  <c r="I28" i="3" s="1"/>
  <c r="AU29" i="3"/>
  <c r="I29" i="3" s="1"/>
  <c r="AU30" i="3"/>
  <c r="I30" i="3" s="1"/>
  <c r="AU31" i="3"/>
  <c r="I31" i="3" s="1"/>
  <c r="AU32" i="3"/>
  <c r="I32" i="3" s="1"/>
  <c r="AU33" i="3"/>
  <c r="I33" i="3" s="1"/>
  <c r="AU34" i="3"/>
  <c r="I34" i="3" s="1"/>
  <c r="AU35" i="3"/>
  <c r="I35" i="3" s="1"/>
  <c r="AU36" i="3"/>
  <c r="I36" i="3" s="1"/>
  <c r="AU37" i="3"/>
  <c r="I37" i="3" s="1"/>
  <c r="AU38" i="3"/>
  <c r="I38" i="3" s="1"/>
  <c r="AU39" i="3"/>
  <c r="I39" i="3" s="1"/>
  <c r="AU40" i="3"/>
  <c r="I40" i="3" s="1"/>
  <c r="AU41" i="3"/>
  <c r="I41" i="3" s="1"/>
  <c r="AU42" i="3"/>
  <c r="I42" i="3" s="1"/>
  <c r="AU43" i="3"/>
  <c r="I43" i="3" s="1"/>
  <c r="AU44" i="3"/>
  <c r="I44" i="3" s="1"/>
  <c r="AU45" i="3"/>
  <c r="I45" i="3" s="1"/>
  <c r="AU46" i="3"/>
  <c r="I46" i="3" s="1"/>
  <c r="AU47" i="3"/>
  <c r="I47" i="3" s="1"/>
  <c r="AU48" i="3"/>
  <c r="I48" i="3" s="1"/>
  <c r="AU49" i="3"/>
  <c r="I49" i="3" s="1"/>
  <c r="AU50" i="3"/>
  <c r="I50" i="3" s="1"/>
  <c r="AU51" i="3"/>
  <c r="I51" i="3" s="1"/>
  <c r="AU52" i="3"/>
  <c r="I52" i="3" s="1"/>
  <c r="AU53" i="3"/>
  <c r="I53" i="3" s="1"/>
  <c r="AU54" i="3"/>
  <c r="I54" i="3" s="1"/>
  <c r="AU55" i="3"/>
  <c r="I55" i="3" s="1"/>
  <c r="AU56" i="3"/>
  <c r="I56" i="3" s="1"/>
  <c r="AU57" i="3"/>
  <c r="I57" i="3" s="1"/>
  <c r="AU58" i="3"/>
  <c r="I58" i="3" s="1"/>
  <c r="AU59" i="3"/>
  <c r="I59" i="3" s="1"/>
  <c r="AU60" i="3"/>
  <c r="I60" i="3" s="1"/>
  <c r="AU61" i="3"/>
  <c r="I61" i="3" s="1"/>
  <c r="AU62" i="3"/>
  <c r="I62" i="3" s="1"/>
  <c r="AU63" i="3"/>
  <c r="I63" i="3" s="1"/>
  <c r="AU64" i="3"/>
  <c r="I64" i="3" s="1"/>
  <c r="AU65" i="3"/>
  <c r="I65" i="3" s="1"/>
  <c r="AU66" i="3"/>
  <c r="I66" i="3" s="1"/>
  <c r="AU68" i="3"/>
  <c r="I68" i="3" s="1"/>
  <c r="AU69" i="3"/>
  <c r="I69" i="3" s="1"/>
  <c r="AU70" i="3"/>
  <c r="I70" i="3" s="1"/>
  <c r="AU71" i="3"/>
  <c r="I71" i="3" s="1"/>
  <c r="AU72" i="3"/>
  <c r="I72" i="3" s="1"/>
  <c r="AU73" i="3"/>
  <c r="I73" i="3" s="1"/>
  <c r="AU74" i="3"/>
  <c r="I74" i="3" s="1"/>
  <c r="AU75" i="3"/>
  <c r="I75" i="3" s="1"/>
  <c r="AU76" i="3"/>
  <c r="I76" i="3" s="1"/>
  <c r="AU77" i="3"/>
  <c r="I77" i="3" s="1"/>
  <c r="AU78" i="3"/>
  <c r="I78" i="3" s="1"/>
  <c r="AU79" i="3"/>
  <c r="I79" i="3" s="1"/>
  <c r="AU80" i="3"/>
  <c r="I80" i="3" s="1"/>
  <c r="AU81" i="3"/>
  <c r="I81" i="3" s="1"/>
  <c r="AU82" i="3"/>
  <c r="I82" i="3" s="1"/>
  <c r="AU83" i="3"/>
  <c r="I83" i="3" s="1"/>
  <c r="AU84" i="3"/>
  <c r="I84" i="3" s="1"/>
  <c r="AU85" i="3"/>
  <c r="I85" i="3" s="1"/>
  <c r="AU86" i="3"/>
  <c r="I86" i="3" s="1"/>
  <c r="AU87" i="3"/>
  <c r="I87" i="3" s="1"/>
  <c r="AU88" i="3"/>
  <c r="I88" i="3" s="1"/>
  <c r="AU89" i="3"/>
  <c r="I89" i="3" s="1"/>
  <c r="AU90" i="3"/>
  <c r="I90" i="3" s="1"/>
  <c r="AU91" i="3"/>
  <c r="I91" i="3" s="1"/>
  <c r="AU92" i="3"/>
  <c r="I92" i="3" s="1"/>
  <c r="AU93" i="3"/>
  <c r="I93" i="3" s="1"/>
  <c r="AU94" i="3"/>
  <c r="I94" i="3" s="1"/>
  <c r="AU95" i="3"/>
  <c r="I95" i="3" s="1"/>
  <c r="AU96" i="3"/>
  <c r="I96" i="3" s="1"/>
  <c r="AU97" i="3"/>
  <c r="I97" i="3" s="1"/>
  <c r="AU98" i="3"/>
  <c r="I98" i="3" s="1"/>
  <c r="AU99" i="3"/>
  <c r="I99" i="3" s="1"/>
  <c r="AU100" i="3"/>
  <c r="I100" i="3" s="1"/>
  <c r="AU101" i="3"/>
  <c r="I101" i="3" s="1"/>
  <c r="AU102" i="3"/>
  <c r="I102" i="3" s="1"/>
  <c r="AU103" i="3"/>
  <c r="I103" i="3" s="1"/>
  <c r="AU104" i="3"/>
  <c r="I104" i="3" s="1"/>
  <c r="AU105" i="3"/>
  <c r="I105" i="3" s="1"/>
  <c r="AU106" i="3"/>
  <c r="I106" i="3" s="1"/>
  <c r="AU108" i="3"/>
  <c r="I108" i="3" s="1"/>
  <c r="AU109" i="3"/>
  <c r="I109" i="3" s="1"/>
  <c r="AU110" i="3"/>
  <c r="I110" i="3" s="1"/>
  <c r="AU111" i="3"/>
  <c r="I111" i="3" s="1"/>
  <c r="AU112" i="3"/>
  <c r="I112" i="3" s="1"/>
  <c r="AU113" i="3"/>
  <c r="I113" i="3" s="1"/>
  <c r="AU114" i="3"/>
  <c r="I114" i="3" s="1"/>
  <c r="AU115" i="3"/>
  <c r="I115" i="3" s="1"/>
  <c r="AU116" i="3"/>
  <c r="I116" i="3" s="1"/>
  <c r="AU117" i="3"/>
  <c r="I117" i="3" s="1"/>
  <c r="AU118" i="3"/>
  <c r="I118" i="3" s="1"/>
  <c r="AU119" i="3"/>
  <c r="I119" i="3" s="1"/>
  <c r="AU120" i="3"/>
  <c r="I120" i="3" s="1"/>
  <c r="AU121" i="3"/>
  <c r="I121" i="3" s="1"/>
  <c r="AU122" i="3"/>
  <c r="I122" i="3" s="1"/>
  <c r="AU123" i="3"/>
  <c r="I123" i="3" s="1"/>
  <c r="AU124" i="3"/>
  <c r="I124" i="3" s="1"/>
  <c r="AU125" i="3"/>
  <c r="I125" i="3" s="1"/>
  <c r="AU126" i="3"/>
  <c r="I126" i="3" s="1"/>
  <c r="AU127" i="3"/>
  <c r="I127" i="3" s="1"/>
  <c r="AU128" i="3"/>
  <c r="I128" i="3" s="1"/>
  <c r="AU129" i="3"/>
  <c r="I129" i="3" s="1"/>
  <c r="AU130" i="3"/>
  <c r="I130" i="3" s="1"/>
  <c r="AU131" i="3"/>
  <c r="I131" i="3" s="1"/>
  <c r="AU132" i="3"/>
  <c r="I132" i="3" s="1"/>
  <c r="AU133" i="3"/>
  <c r="I133" i="3" s="1"/>
  <c r="AU134" i="3"/>
  <c r="I134" i="3" s="1"/>
  <c r="AU135" i="3"/>
  <c r="I135" i="3" s="1"/>
  <c r="AU136" i="3"/>
  <c r="I136" i="3" s="1"/>
  <c r="AU137" i="3"/>
  <c r="I137" i="3" s="1"/>
  <c r="AU138" i="3"/>
  <c r="I138" i="3" s="1"/>
  <c r="AU139" i="3"/>
  <c r="I139" i="3" s="1"/>
  <c r="AU140" i="3"/>
  <c r="I140" i="3" s="1"/>
  <c r="AU141" i="3"/>
  <c r="I141" i="3" s="1"/>
  <c r="AU142" i="3"/>
  <c r="I142" i="3" s="1"/>
  <c r="AU143" i="3"/>
  <c r="I143" i="3" s="1"/>
  <c r="AU144" i="3"/>
  <c r="I144" i="3" s="1"/>
  <c r="AU145" i="3"/>
  <c r="I145" i="3" s="1"/>
  <c r="AU146" i="3"/>
  <c r="I146" i="3" s="1"/>
  <c r="AU147" i="3"/>
  <c r="I147" i="3" s="1"/>
  <c r="AU148" i="3"/>
  <c r="I148" i="3" s="1"/>
  <c r="AU149" i="3"/>
  <c r="I149" i="3" s="1"/>
  <c r="AU151" i="3"/>
  <c r="I151" i="3" s="1"/>
  <c r="AU152" i="3"/>
  <c r="I152" i="3" s="1"/>
  <c r="AU153" i="3"/>
  <c r="I153" i="3" s="1"/>
  <c r="AU154" i="3"/>
  <c r="I154" i="3" s="1"/>
  <c r="AU159" i="3"/>
  <c r="I159" i="3" s="1"/>
  <c r="AU160" i="3"/>
  <c r="I160" i="3" s="1"/>
  <c r="AU162" i="3"/>
  <c r="I162" i="3" s="1"/>
  <c r="AU163" i="3"/>
  <c r="I163" i="3" s="1"/>
  <c r="AU164" i="3"/>
  <c r="I164" i="3" s="1"/>
  <c r="AU166" i="3"/>
  <c r="I166" i="3" s="1"/>
  <c r="AU167" i="3"/>
  <c r="I167" i="3" s="1"/>
  <c r="AU168" i="3"/>
  <c r="I168" i="3" s="1"/>
  <c r="AU169" i="3"/>
  <c r="I169" i="3" s="1"/>
  <c r="AU170" i="3"/>
  <c r="I170" i="3" s="1"/>
  <c r="AU171" i="3"/>
  <c r="I171" i="3" s="1"/>
  <c r="AU172" i="3"/>
  <c r="I172" i="3" s="1"/>
  <c r="AU173" i="3"/>
  <c r="I173" i="3" s="1"/>
  <c r="AU174" i="3"/>
  <c r="I174" i="3" s="1"/>
  <c r="AU175" i="3"/>
  <c r="I175" i="3" s="1"/>
  <c r="AU176" i="3"/>
  <c r="I176" i="3" s="1"/>
  <c r="AU177" i="3"/>
  <c r="I177" i="3" s="1"/>
  <c r="AU178" i="3"/>
  <c r="I178" i="3" s="1"/>
  <c r="AU179" i="3"/>
  <c r="I179" i="3" s="1"/>
  <c r="AU180" i="3"/>
  <c r="I180" i="3" s="1"/>
  <c r="AU181" i="3"/>
  <c r="I181" i="3" s="1"/>
  <c r="AU183" i="3"/>
  <c r="I183" i="3" s="1"/>
  <c r="AU184" i="3"/>
  <c r="I184" i="3" s="1"/>
  <c r="AU185" i="3"/>
  <c r="I185" i="3" s="1"/>
  <c r="AU186" i="3"/>
  <c r="I186" i="3" s="1"/>
  <c r="AU187" i="3"/>
  <c r="I187" i="3" s="1"/>
  <c r="AU188" i="3"/>
  <c r="I188" i="3" s="1"/>
  <c r="AU189" i="3"/>
  <c r="I189" i="3" s="1"/>
  <c r="AU190" i="3"/>
  <c r="I190" i="3" s="1"/>
  <c r="AU191" i="3"/>
  <c r="I191" i="3" s="1"/>
  <c r="AU192" i="3"/>
  <c r="I192" i="3" s="1"/>
  <c r="AU193" i="3"/>
  <c r="I193" i="3" s="1"/>
  <c r="AU194" i="3"/>
  <c r="I194" i="3" s="1"/>
  <c r="AU195" i="3"/>
  <c r="I195" i="3" s="1"/>
  <c r="AU196" i="3"/>
  <c r="I196" i="3" s="1"/>
  <c r="AU197" i="3"/>
  <c r="I197" i="3" s="1"/>
  <c r="AU198" i="3"/>
  <c r="I198" i="3" s="1"/>
  <c r="AU199" i="3"/>
  <c r="I199" i="3" s="1"/>
  <c r="AU200" i="3"/>
  <c r="I200" i="3" s="1"/>
  <c r="AU201" i="3"/>
  <c r="I201" i="3" s="1"/>
  <c r="AU202" i="3"/>
  <c r="I202" i="3" s="1"/>
  <c r="AU203" i="3"/>
  <c r="I203" i="3" s="1"/>
  <c r="AU204" i="3"/>
  <c r="I204" i="3" s="1"/>
  <c r="AU205" i="3"/>
  <c r="I205" i="3" s="1"/>
  <c r="AU206" i="3"/>
  <c r="I206" i="3" s="1"/>
  <c r="AU207" i="3"/>
  <c r="I207" i="3" s="1"/>
  <c r="AU209" i="3"/>
  <c r="I209" i="3" s="1"/>
  <c r="AU210" i="3"/>
  <c r="I210" i="3" s="1"/>
  <c r="AU211" i="3"/>
  <c r="I211" i="3" s="1"/>
  <c r="AU212" i="3"/>
  <c r="I212" i="3" s="1"/>
  <c r="AU214" i="3"/>
  <c r="I214" i="3" s="1"/>
  <c r="AU215" i="3"/>
  <c r="I215" i="3" s="1"/>
  <c r="AU216" i="3"/>
  <c r="I216" i="3" s="1"/>
  <c r="AU217" i="3"/>
  <c r="I217" i="3" s="1"/>
  <c r="AU218" i="3"/>
  <c r="I218" i="3" s="1"/>
  <c r="AU219" i="3"/>
  <c r="I219" i="3" s="1"/>
  <c r="AU220" i="3"/>
  <c r="I220" i="3" s="1"/>
  <c r="AU221" i="3"/>
  <c r="I221" i="3" s="1"/>
  <c r="AU222" i="3"/>
  <c r="I222" i="3" s="1"/>
  <c r="AU223" i="3"/>
  <c r="I223" i="3" s="1"/>
  <c r="AU225" i="3"/>
  <c r="I225" i="3" s="1"/>
  <c r="AU226" i="3"/>
  <c r="I226" i="3" s="1"/>
  <c r="AU227" i="3"/>
  <c r="I227" i="3" s="1"/>
  <c r="AU228" i="3"/>
  <c r="I228" i="3" s="1"/>
  <c r="AU229" i="3"/>
  <c r="I229" i="3" s="1"/>
  <c r="AU230" i="3"/>
  <c r="I230" i="3" s="1"/>
  <c r="AU231" i="3"/>
  <c r="I231" i="3" s="1"/>
  <c r="AU232" i="3"/>
  <c r="I232" i="3" s="1"/>
  <c r="AU233" i="3"/>
  <c r="I233" i="3" s="1"/>
  <c r="AU234" i="3"/>
  <c r="I234" i="3" s="1"/>
  <c r="AU235" i="3"/>
  <c r="I235" i="3" s="1"/>
  <c r="AU236" i="3"/>
  <c r="I236" i="3" s="1"/>
  <c r="AU237" i="3"/>
  <c r="I237" i="3" s="1"/>
  <c r="AU238" i="3"/>
  <c r="I238" i="3" s="1"/>
  <c r="AU239" i="3"/>
  <c r="I239" i="3" s="1"/>
  <c r="AU240" i="3"/>
  <c r="I240" i="3" s="1"/>
  <c r="AU241" i="3"/>
  <c r="I241" i="3" s="1"/>
  <c r="AU242" i="3"/>
  <c r="I242" i="3" s="1"/>
  <c r="AU243" i="3"/>
  <c r="I243" i="3" s="1"/>
  <c r="AU244" i="3"/>
  <c r="I244" i="3" s="1"/>
  <c r="AU245" i="3"/>
  <c r="I245" i="3" s="1"/>
  <c r="AU246" i="3"/>
  <c r="I246" i="3" s="1"/>
  <c r="AU247" i="3"/>
  <c r="I247" i="3" s="1"/>
  <c r="AU248" i="3"/>
  <c r="I248" i="3" s="1"/>
  <c r="AU249" i="3"/>
  <c r="I249" i="3" s="1"/>
  <c r="AU250" i="3"/>
  <c r="I250" i="3" s="1"/>
  <c r="AU251" i="3"/>
  <c r="I251" i="3" s="1"/>
  <c r="AU252" i="3"/>
  <c r="I252" i="3" s="1"/>
  <c r="AU253" i="3"/>
  <c r="I253" i="3" s="1"/>
  <c r="AU254" i="3"/>
  <c r="I254" i="3" s="1"/>
  <c r="AU255" i="3"/>
  <c r="I255" i="3" s="1"/>
  <c r="AU256" i="3"/>
  <c r="I256" i="3" s="1"/>
  <c r="AU257" i="3"/>
  <c r="I257" i="3" s="1"/>
  <c r="AU258" i="3"/>
  <c r="I258" i="3" s="1"/>
  <c r="AU259" i="3"/>
  <c r="I259" i="3" s="1"/>
  <c r="AU260" i="3"/>
  <c r="I260" i="3" s="1"/>
  <c r="AU261" i="3"/>
  <c r="I261" i="3" s="1"/>
  <c r="AU262" i="3"/>
  <c r="I262" i="3" s="1"/>
  <c r="AU263" i="3"/>
  <c r="I263" i="3" s="1"/>
  <c r="AU264" i="3"/>
  <c r="I264" i="3" s="1"/>
  <c r="AU265" i="3"/>
  <c r="I265" i="3" s="1"/>
  <c r="AU266" i="3"/>
  <c r="I266" i="3" s="1"/>
  <c r="AU267" i="3"/>
  <c r="I267" i="3" s="1"/>
  <c r="AU268" i="3"/>
  <c r="I268" i="3" s="1"/>
  <c r="AU269" i="3"/>
  <c r="I269" i="3" s="1"/>
  <c r="AU270" i="3"/>
  <c r="I270" i="3" s="1"/>
  <c r="AU271" i="3"/>
  <c r="I271" i="3" s="1"/>
  <c r="AU272" i="3"/>
  <c r="I272" i="3" s="1"/>
  <c r="AU273" i="3"/>
  <c r="I273" i="3" s="1"/>
  <c r="AU274" i="3"/>
  <c r="I274" i="3" s="1"/>
  <c r="AU275" i="3"/>
  <c r="I275" i="3" s="1"/>
  <c r="AU276" i="3"/>
  <c r="I276" i="3" s="1"/>
  <c r="AU277" i="3"/>
  <c r="I277" i="3" s="1"/>
  <c r="AU278" i="3"/>
  <c r="I278" i="3" s="1"/>
  <c r="AU279" i="3"/>
  <c r="I279" i="3" s="1"/>
  <c r="AU280" i="3"/>
  <c r="I280" i="3" s="1"/>
  <c r="AU281" i="3"/>
  <c r="I281" i="3" s="1"/>
  <c r="AU282" i="3"/>
  <c r="I282" i="3" s="1"/>
  <c r="AU283" i="3"/>
  <c r="I283" i="3" s="1"/>
  <c r="AU284" i="3"/>
  <c r="I284" i="3" s="1"/>
  <c r="AU285" i="3"/>
  <c r="I285" i="3" s="1"/>
  <c r="AU286" i="3"/>
  <c r="I286" i="3" s="1"/>
  <c r="AU287" i="3"/>
  <c r="I287" i="3" s="1"/>
  <c r="AU288" i="3"/>
  <c r="I288" i="3" s="1"/>
  <c r="AU289" i="3"/>
  <c r="I289" i="3" s="1"/>
  <c r="AU290" i="3"/>
  <c r="I290" i="3" s="1"/>
  <c r="AU291" i="3"/>
  <c r="I291" i="3" s="1"/>
  <c r="AU292" i="3"/>
  <c r="I292" i="3" s="1"/>
  <c r="AU293" i="3"/>
  <c r="I293" i="3" s="1"/>
  <c r="AU294" i="3"/>
  <c r="I294" i="3" s="1"/>
  <c r="AU295" i="3"/>
  <c r="I295" i="3" s="1"/>
  <c r="AU296" i="3"/>
  <c r="I296" i="3" s="1"/>
  <c r="AU297" i="3"/>
  <c r="I297" i="3" s="1"/>
  <c r="AU298" i="3"/>
  <c r="I298" i="3" s="1"/>
  <c r="AU299" i="3"/>
  <c r="I299" i="3" s="1"/>
  <c r="AU300" i="3"/>
  <c r="I300" i="3" s="1"/>
  <c r="AU301" i="3"/>
  <c r="I301" i="3" s="1"/>
  <c r="AU302" i="3"/>
  <c r="I302" i="3" s="1"/>
  <c r="AU303" i="3"/>
  <c r="I303" i="3" s="1"/>
  <c r="AU304" i="3"/>
  <c r="I304" i="3" s="1"/>
  <c r="AU305" i="3"/>
  <c r="I305" i="3" s="1"/>
  <c r="AU306" i="3"/>
  <c r="I306" i="3" s="1"/>
  <c r="AU307" i="3"/>
  <c r="I307" i="3" s="1"/>
  <c r="AU308" i="3"/>
  <c r="I308" i="3" s="1"/>
  <c r="AU310" i="3"/>
  <c r="I310" i="3" s="1"/>
  <c r="AU311" i="3"/>
  <c r="I311" i="3" s="1"/>
  <c r="AU312" i="3"/>
  <c r="I312" i="3" s="1"/>
  <c r="AU313" i="3"/>
  <c r="I313" i="3" s="1"/>
  <c r="AU314" i="3"/>
  <c r="I314" i="3" s="1"/>
  <c r="AU315" i="3"/>
  <c r="I315" i="3" s="1"/>
  <c r="AU316" i="3"/>
  <c r="I316" i="3" s="1"/>
  <c r="AU317" i="3"/>
  <c r="I317" i="3" s="1"/>
  <c r="AU318" i="3"/>
  <c r="I318" i="3" s="1"/>
  <c r="AU320" i="3"/>
  <c r="I320" i="3" s="1"/>
  <c r="AU321" i="3"/>
  <c r="I321" i="3" s="1"/>
  <c r="AU322" i="3"/>
  <c r="I322" i="3" s="1"/>
  <c r="AU323" i="3"/>
  <c r="I323" i="3" s="1"/>
  <c r="AU324" i="3"/>
  <c r="I324" i="3" s="1"/>
  <c r="AU325" i="3"/>
  <c r="I325" i="3" s="1"/>
  <c r="AU326" i="3"/>
  <c r="I326" i="3" s="1"/>
  <c r="AU327" i="3"/>
  <c r="I327" i="3" s="1"/>
  <c r="AU328" i="3"/>
  <c r="I328" i="3" s="1"/>
  <c r="AU329" i="3"/>
  <c r="I329" i="3" s="1"/>
  <c r="AU330" i="3"/>
  <c r="I330" i="3" s="1"/>
  <c r="AU331" i="3"/>
  <c r="I331" i="3" s="1"/>
  <c r="AU332" i="3"/>
  <c r="I332" i="3" s="1"/>
  <c r="AU333" i="3"/>
  <c r="I333" i="3" s="1"/>
  <c r="AU334" i="3"/>
  <c r="I334" i="3" s="1"/>
  <c r="AU335" i="3"/>
  <c r="I335" i="3" s="1"/>
  <c r="AU336" i="3"/>
  <c r="I336" i="3" s="1"/>
  <c r="AU337" i="3"/>
  <c r="I337" i="3" s="1"/>
  <c r="AU338" i="3"/>
  <c r="I338" i="3" s="1"/>
  <c r="AU339" i="3"/>
  <c r="I339" i="3" s="1"/>
  <c r="AU340" i="3"/>
  <c r="I340" i="3" s="1"/>
  <c r="AU341" i="3"/>
  <c r="I341" i="3" s="1"/>
  <c r="AU342" i="3"/>
  <c r="I342" i="3" s="1"/>
  <c r="AU344" i="3"/>
  <c r="I344" i="3" s="1"/>
  <c r="AU345" i="3"/>
  <c r="I345" i="3" s="1"/>
  <c r="AU346" i="3"/>
  <c r="I346" i="3" s="1"/>
  <c r="AU347" i="3"/>
  <c r="I347" i="3" s="1"/>
  <c r="AU348" i="3"/>
  <c r="I348" i="3" s="1"/>
  <c r="AU349" i="3"/>
  <c r="I349" i="3" s="1"/>
  <c r="AU350" i="3"/>
  <c r="I350" i="3" s="1"/>
  <c r="AU351" i="3"/>
  <c r="I351" i="3" s="1"/>
  <c r="AU352" i="3"/>
  <c r="I352" i="3" s="1"/>
  <c r="AU353" i="3"/>
  <c r="I353" i="3" s="1"/>
  <c r="AU354" i="3"/>
  <c r="I354" i="3" s="1"/>
  <c r="AU355" i="3"/>
  <c r="I355" i="3" s="1"/>
  <c r="AU357" i="3"/>
  <c r="I357" i="3" s="1"/>
  <c r="AU358" i="3"/>
  <c r="I358" i="3" s="1"/>
  <c r="AU359" i="3"/>
  <c r="I359" i="3" s="1"/>
  <c r="AU360" i="3"/>
  <c r="I360" i="3" s="1"/>
  <c r="AU361" i="3"/>
  <c r="I361" i="3" s="1"/>
  <c r="AU362" i="3"/>
  <c r="I362" i="3" s="1"/>
  <c r="AU363" i="3"/>
  <c r="I363" i="3" s="1"/>
  <c r="AU364" i="3"/>
  <c r="I364" i="3" s="1"/>
  <c r="AU365" i="3"/>
  <c r="I365" i="3" s="1"/>
  <c r="AU366" i="3"/>
  <c r="I366" i="3" s="1"/>
  <c r="AU367" i="3"/>
  <c r="I367" i="3" s="1"/>
  <c r="AU368" i="3"/>
  <c r="I368" i="3" s="1"/>
  <c r="AU369" i="3"/>
  <c r="I369" i="3" s="1"/>
  <c r="AU370" i="3"/>
  <c r="I370" i="3" s="1"/>
  <c r="AU371" i="3"/>
  <c r="I371" i="3" s="1"/>
  <c r="AU372" i="3"/>
  <c r="I372" i="3" s="1"/>
  <c r="AU373" i="3"/>
  <c r="I373" i="3" s="1"/>
  <c r="AU374" i="3"/>
  <c r="I374" i="3" s="1"/>
  <c r="AU375" i="3"/>
  <c r="I375" i="3" s="1"/>
  <c r="AU376" i="3"/>
  <c r="I376" i="3" s="1"/>
  <c r="AU377" i="3"/>
  <c r="I377" i="3" s="1"/>
  <c r="AU378" i="3"/>
  <c r="I378" i="3" s="1"/>
  <c r="AU379" i="3"/>
  <c r="I379" i="3" s="1"/>
  <c r="AU380" i="3"/>
  <c r="I380" i="3" s="1"/>
  <c r="AU381" i="3"/>
  <c r="I381" i="3" s="1"/>
  <c r="AU382" i="3"/>
  <c r="I382" i="3" s="1"/>
  <c r="AU384" i="3"/>
  <c r="I384" i="3" s="1"/>
  <c r="AU385" i="3"/>
  <c r="I385" i="3" s="1"/>
  <c r="AU386" i="3"/>
  <c r="I386" i="3" s="1"/>
  <c r="AU387" i="3"/>
  <c r="I387" i="3" s="1"/>
  <c r="AU388" i="3"/>
  <c r="I388" i="3" s="1"/>
  <c r="AU389" i="3"/>
  <c r="I389" i="3" s="1"/>
  <c r="AU390" i="3"/>
  <c r="I390" i="3" s="1"/>
  <c r="AU391" i="3"/>
  <c r="I391" i="3" s="1"/>
  <c r="AU392" i="3"/>
  <c r="I392" i="3" s="1"/>
  <c r="AU393" i="3"/>
  <c r="I393" i="3" s="1"/>
  <c r="AU394" i="3"/>
  <c r="I394" i="3" s="1"/>
  <c r="AU395" i="3"/>
  <c r="I395" i="3" s="1"/>
  <c r="AU396" i="3"/>
  <c r="I396" i="3" s="1"/>
  <c r="AU397" i="3"/>
  <c r="I397" i="3" s="1"/>
  <c r="AU398" i="3"/>
  <c r="I398" i="3" s="1"/>
  <c r="AU399" i="3"/>
  <c r="I399" i="3" s="1"/>
  <c r="AU400" i="3"/>
  <c r="I400" i="3" s="1"/>
  <c r="AU401" i="3"/>
  <c r="I401" i="3" s="1"/>
  <c r="AU402" i="3"/>
  <c r="I402" i="3" s="1"/>
  <c r="AU403" i="3"/>
  <c r="I403" i="3" s="1"/>
  <c r="AU404" i="3"/>
  <c r="I404" i="3" s="1"/>
  <c r="AU405" i="3"/>
  <c r="I405" i="3" s="1"/>
  <c r="AU406" i="3"/>
  <c r="I406" i="3" s="1"/>
  <c r="AU407" i="3"/>
  <c r="I407" i="3" s="1"/>
  <c r="AU408" i="3"/>
  <c r="I408" i="3" s="1"/>
  <c r="AU409" i="3"/>
  <c r="I409" i="3" s="1"/>
  <c r="AU410" i="3"/>
  <c r="I410" i="3" s="1"/>
  <c r="AU411" i="3"/>
  <c r="I411" i="3" s="1"/>
  <c r="AU412" i="3"/>
  <c r="I412" i="3" s="1"/>
  <c r="AU413" i="3"/>
  <c r="I413" i="3" s="1"/>
  <c r="AU414" i="3"/>
  <c r="I414" i="3" s="1"/>
  <c r="AU415" i="3"/>
  <c r="I415" i="3" s="1"/>
  <c r="AU416" i="3"/>
  <c r="I416" i="3" s="1"/>
  <c r="AU417" i="3"/>
  <c r="I417" i="3" s="1"/>
  <c r="AU418" i="3"/>
  <c r="I418" i="3" s="1"/>
  <c r="AU419" i="3"/>
  <c r="I419" i="3" s="1"/>
  <c r="AU420" i="3"/>
  <c r="I420" i="3" s="1"/>
  <c r="AU421" i="3"/>
  <c r="I421" i="3" s="1"/>
  <c r="AU422" i="3"/>
  <c r="I422" i="3" s="1"/>
  <c r="AU423" i="3"/>
  <c r="I423" i="3" s="1"/>
  <c r="AU424" i="3"/>
  <c r="I424" i="3" s="1"/>
  <c r="AU425" i="3"/>
  <c r="I425" i="3" s="1"/>
  <c r="AU426" i="3"/>
  <c r="I426" i="3" s="1"/>
  <c r="AU427" i="3"/>
  <c r="I427" i="3" s="1"/>
  <c r="AU428" i="3"/>
  <c r="I428" i="3" s="1"/>
  <c r="AU429" i="3"/>
  <c r="I429" i="3" s="1"/>
  <c r="AU430" i="3"/>
  <c r="I430" i="3" s="1"/>
  <c r="AU431" i="3"/>
  <c r="I431" i="3" s="1"/>
  <c r="AU432" i="3"/>
  <c r="I432" i="3" s="1"/>
  <c r="AU433" i="3"/>
  <c r="I433" i="3" s="1"/>
  <c r="AU434" i="3"/>
  <c r="I434" i="3" s="1"/>
  <c r="AU435" i="3"/>
  <c r="I435" i="3" s="1"/>
  <c r="AU436" i="3"/>
  <c r="I436" i="3" s="1"/>
  <c r="AU438" i="3"/>
  <c r="I438" i="3" s="1"/>
  <c r="AU439" i="3"/>
  <c r="I439" i="3" s="1"/>
  <c r="AU440" i="3"/>
  <c r="I440" i="3" s="1"/>
  <c r="AU441" i="3"/>
  <c r="I441" i="3" s="1"/>
  <c r="AU442" i="3"/>
  <c r="I442" i="3" s="1"/>
  <c r="AU443" i="3"/>
  <c r="I443" i="3" s="1"/>
  <c r="AU444" i="3"/>
  <c r="I444" i="3" s="1"/>
  <c r="AU445" i="3"/>
  <c r="I445" i="3" s="1"/>
  <c r="AU446" i="3"/>
  <c r="I446" i="3" s="1"/>
  <c r="AU447" i="3"/>
  <c r="I447" i="3" s="1"/>
  <c r="AU448" i="3"/>
  <c r="I448" i="3" s="1"/>
  <c r="AU449" i="3"/>
  <c r="I449" i="3" s="1"/>
  <c r="AU450" i="3"/>
  <c r="I450" i="3" s="1"/>
  <c r="AU451" i="3"/>
  <c r="I451" i="3" s="1"/>
  <c r="AU452" i="3"/>
  <c r="I452" i="3" s="1"/>
  <c r="AU453" i="3"/>
  <c r="I453" i="3" s="1"/>
  <c r="AU454" i="3"/>
  <c r="I454" i="3" s="1"/>
  <c r="AU455" i="3"/>
  <c r="I455" i="3" s="1"/>
  <c r="AU456" i="3"/>
  <c r="I456" i="3" s="1"/>
  <c r="AU457" i="3"/>
  <c r="I457" i="3" s="1"/>
  <c r="AU459" i="3"/>
  <c r="I459" i="3" s="1"/>
  <c r="AU460" i="3"/>
  <c r="I460" i="3" s="1"/>
  <c r="AU461" i="3"/>
  <c r="I461" i="3" s="1"/>
  <c r="AU462" i="3"/>
  <c r="I462" i="3" s="1"/>
  <c r="AU463" i="3"/>
  <c r="I463" i="3" s="1"/>
  <c r="AU464" i="3"/>
  <c r="I464" i="3" s="1"/>
  <c r="AU465" i="3"/>
  <c r="I465" i="3" s="1"/>
  <c r="AU466" i="3"/>
  <c r="I466" i="3" s="1"/>
  <c r="AU467" i="3"/>
  <c r="I467" i="3" s="1"/>
  <c r="AU468" i="3"/>
  <c r="I468" i="3" s="1"/>
  <c r="AU469" i="3"/>
  <c r="I469" i="3" s="1"/>
  <c r="AU470" i="3"/>
  <c r="I470" i="3" s="1"/>
  <c r="AU471" i="3"/>
  <c r="I471" i="3" s="1"/>
  <c r="AU472" i="3"/>
  <c r="I472" i="3" s="1"/>
  <c r="AU473" i="3"/>
  <c r="I473" i="3" s="1"/>
  <c r="AU474" i="3"/>
  <c r="I474" i="3" s="1"/>
  <c r="AU475" i="3"/>
  <c r="I475" i="3" s="1"/>
  <c r="AU476" i="3"/>
  <c r="I476" i="3" s="1"/>
  <c r="AU477" i="3"/>
  <c r="I477" i="3" s="1"/>
  <c r="AU478" i="3"/>
  <c r="I478" i="3" s="1"/>
  <c r="AU479" i="3"/>
  <c r="I479" i="3" s="1"/>
  <c r="AU480" i="3"/>
  <c r="I480" i="3" s="1"/>
  <c r="AU481" i="3"/>
  <c r="I481" i="3" s="1"/>
  <c r="AU482" i="3"/>
  <c r="I482" i="3" s="1"/>
  <c r="AU483" i="3"/>
  <c r="I483" i="3" s="1"/>
  <c r="AU484" i="3"/>
  <c r="I484" i="3" s="1"/>
  <c r="AU486" i="3"/>
  <c r="I486" i="3" s="1"/>
  <c r="AU487" i="3"/>
  <c r="I487" i="3" s="1"/>
  <c r="AU488" i="3"/>
  <c r="I488" i="3" s="1"/>
  <c r="AU489" i="3"/>
  <c r="I489" i="3" s="1"/>
  <c r="AU491" i="3"/>
  <c r="I491" i="3" s="1"/>
  <c r="AU492" i="3"/>
  <c r="I492" i="3" s="1"/>
  <c r="AU493" i="3"/>
  <c r="I493" i="3" s="1"/>
  <c r="AU494" i="3"/>
  <c r="I494" i="3" s="1"/>
  <c r="AU495" i="3"/>
  <c r="I495" i="3" s="1"/>
  <c r="AU496" i="3"/>
  <c r="I496" i="3" s="1"/>
  <c r="AU497" i="3"/>
  <c r="I497" i="3" s="1"/>
  <c r="AU498" i="3"/>
  <c r="I498" i="3" s="1"/>
  <c r="AU499" i="3"/>
  <c r="I499" i="3" s="1"/>
  <c r="AU500" i="3"/>
  <c r="I500" i="3" s="1"/>
  <c r="AU501" i="3"/>
  <c r="I501" i="3" s="1"/>
  <c r="AU502" i="3"/>
  <c r="I502" i="3" s="1"/>
  <c r="AU503" i="3"/>
  <c r="I503" i="3" s="1"/>
  <c r="AU504" i="3"/>
  <c r="I504" i="3" s="1"/>
  <c r="AU505" i="3"/>
  <c r="I505" i="3" s="1"/>
  <c r="AU506" i="3"/>
  <c r="I506" i="3" s="1"/>
  <c r="AU507" i="3"/>
  <c r="I507" i="3" s="1"/>
  <c r="AU508" i="3"/>
  <c r="I508" i="3" s="1"/>
  <c r="AU509" i="3"/>
  <c r="I509" i="3" s="1"/>
  <c r="AU510" i="3"/>
  <c r="I510" i="3" s="1"/>
  <c r="AU511" i="3"/>
  <c r="I511" i="3" s="1"/>
  <c r="AU512" i="3"/>
  <c r="I512" i="3" s="1"/>
  <c r="AU514" i="3"/>
  <c r="I514" i="3" s="1"/>
  <c r="AU516" i="3"/>
  <c r="I516" i="3" s="1"/>
  <c r="AU517" i="3"/>
  <c r="I517" i="3" s="1"/>
  <c r="AU518" i="3"/>
  <c r="I518" i="3" s="1"/>
  <c r="AU519" i="3"/>
  <c r="I519" i="3" s="1"/>
  <c r="AU520" i="3"/>
  <c r="I520" i="3" s="1"/>
  <c r="AU521" i="3"/>
  <c r="I521" i="3" s="1"/>
  <c r="AU522" i="3"/>
  <c r="I522" i="3" s="1"/>
  <c r="AU523" i="3"/>
  <c r="I523" i="3" s="1"/>
  <c r="AU524" i="3"/>
  <c r="I524" i="3" s="1"/>
  <c r="AU525" i="3"/>
  <c r="I525" i="3" s="1"/>
  <c r="AU526" i="3"/>
  <c r="I526" i="3" s="1"/>
  <c r="AU527" i="3"/>
  <c r="I527" i="3" s="1"/>
  <c r="AU528" i="3"/>
  <c r="I528" i="3" s="1"/>
  <c r="AU530" i="3"/>
  <c r="I530" i="3" s="1"/>
  <c r="AU531" i="3"/>
  <c r="I531" i="3" s="1"/>
  <c r="AU532" i="3"/>
  <c r="I532" i="3" s="1"/>
  <c r="AU533" i="3"/>
  <c r="I533" i="3" s="1"/>
  <c r="AU534" i="3"/>
  <c r="I534" i="3" s="1"/>
  <c r="AU535" i="3"/>
  <c r="I535" i="3" s="1"/>
  <c r="AU536" i="3"/>
  <c r="I536" i="3" s="1"/>
  <c r="AU537" i="3"/>
  <c r="I537" i="3" s="1"/>
  <c r="AU538" i="3"/>
  <c r="I538" i="3" s="1"/>
  <c r="AU539" i="3"/>
  <c r="I539" i="3" s="1"/>
  <c r="AU569" i="3"/>
  <c r="I569" i="3" s="1"/>
  <c r="AU570" i="3"/>
  <c r="I570" i="3" s="1"/>
  <c r="AU571" i="3"/>
  <c r="I571" i="3" s="1"/>
  <c r="AU601" i="3"/>
  <c r="I601" i="3" s="1"/>
  <c r="AU602" i="3"/>
  <c r="I602" i="3" s="1"/>
  <c r="AU603" i="3"/>
  <c r="I603" i="3" s="1"/>
  <c r="AU604" i="3"/>
  <c r="I604" i="3" s="1"/>
  <c r="AU605" i="3"/>
  <c r="I605" i="3" s="1"/>
  <c r="AU606" i="3"/>
  <c r="I606" i="3" s="1"/>
  <c r="AU607" i="3"/>
  <c r="I607" i="3" s="1"/>
  <c r="AU608" i="3"/>
  <c r="I608" i="3" s="1"/>
  <c r="AU609" i="3"/>
  <c r="I609" i="3" s="1"/>
  <c r="AU610" i="3"/>
  <c r="I610" i="3" s="1"/>
  <c r="AU611" i="3"/>
  <c r="I611" i="3" s="1"/>
  <c r="AU612" i="3"/>
  <c r="I612" i="3" s="1"/>
  <c r="AU613" i="3"/>
  <c r="I613" i="3" s="1"/>
  <c r="AU614" i="3"/>
  <c r="I614" i="3" s="1"/>
  <c r="AU615" i="3"/>
  <c r="I615" i="3" s="1"/>
  <c r="AU616" i="3"/>
  <c r="I616" i="3" s="1"/>
  <c r="AU617" i="3"/>
  <c r="I617" i="3" s="1"/>
  <c r="AU618" i="3"/>
  <c r="I618" i="3" s="1"/>
  <c r="AU619" i="3"/>
  <c r="I619" i="3" s="1"/>
  <c r="AU620" i="3"/>
  <c r="I620" i="3" s="1"/>
  <c r="AU621" i="3"/>
  <c r="I621" i="3" s="1"/>
  <c r="AU622" i="3"/>
  <c r="I622" i="3" s="1"/>
  <c r="AU623" i="3"/>
  <c r="I623" i="3" s="1"/>
  <c r="AU624" i="3"/>
  <c r="I624" i="3" s="1"/>
  <c r="AU625" i="3"/>
  <c r="I625" i="3" s="1"/>
  <c r="AU626" i="3"/>
  <c r="I626" i="3" s="1"/>
  <c r="AU627" i="3"/>
  <c r="I627" i="3" s="1"/>
  <c r="AU628" i="3"/>
  <c r="I628" i="3" s="1"/>
  <c r="AU629" i="3"/>
  <c r="I629" i="3" s="1"/>
  <c r="AU630" i="3"/>
  <c r="I630" i="3" s="1"/>
  <c r="AU631" i="3"/>
  <c r="I631" i="3" s="1"/>
  <c r="AU632" i="3"/>
  <c r="I632" i="3" s="1"/>
  <c r="AU633" i="3"/>
  <c r="I633" i="3" s="1"/>
  <c r="AU634" i="3"/>
  <c r="I634" i="3" s="1"/>
  <c r="AU635" i="3"/>
  <c r="I635" i="3" s="1"/>
  <c r="AU636" i="3"/>
  <c r="I636" i="3" s="1"/>
  <c r="AU637" i="3"/>
  <c r="I637" i="3" s="1"/>
  <c r="AU638" i="3"/>
  <c r="I638" i="3" s="1"/>
  <c r="AU639" i="3"/>
  <c r="I639" i="3" s="1"/>
  <c r="AU640" i="3"/>
  <c r="I640" i="3" s="1"/>
  <c r="AU641" i="3"/>
  <c r="I641" i="3" s="1"/>
  <c r="AU642" i="3"/>
  <c r="I642" i="3" s="1"/>
  <c r="AU643" i="3"/>
  <c r="I643" i="3" s="1"/>
  <c r="AU644" i="3"/>
  <c r="I644" i="3" s="1"/>
  <c r="AU645" i="3"/>
  <c r="I645" i="3" s="1"/>
  <c r="AU646" i="3"/>
  <c r="I646" i="3" s="1"/>
  <c r="AU647" i="3"/>
  <c r="I647" i="3" s="1"/>
  <c r="AU648" i="3"/>
  <c r="I648" i="3" s="1"/>
  <c r="AU649" i="3"/>
  <c r="I649" i="3" s="1"/>
  <c r="AU650" i="3"/>
  <c r="I650" i="3" s="1"/>
  <c r="AU651" i="3"/>
  <c r="I651" i="3" s="1"/>
  <c r="AU652" i="3"/>
  <c r="I652" i="3" s="1"/>
  <c r="AU653" i="3"/>
  <c r="I653" i="3" s="1"/>
  <c r="AU654" i="3"/>
  <c r="I654" i="3" s="1"/>
  <c r="AU655" i="3"/>
  <c r="I655" i="3" s="1"/>
  <c r="AU656" i="3"/>
  <c r="I656" i="3" s="1"/>
  <c r="AU657" i="3"/>
  <c r="I657" i="3" s="1"/>
  <c r="AU658" i="3"/>
  <c r="I658" i="3" s="1"/>
  <c r="AU659" i="3"/>
  <c r="I659" i="3" s="1"/>
  <c r="AU660" i="3"/>
  <c r="I660" i="3" s="1"/>
  <c r="AU661" i="3"/>
  <c r="I661" i="3" s="1"/>
  <c r="AU662" i="3"/>
  <c r="I662" i="3" s="1"/>
  <c r="AU663" i="3"/>
  <c r="I663" i="3" s="1"/>
  <c r="AU664" i="3"/>
  <c r="I664" i="3" s="1"/>
  <c r="AU665" i="3"/>
  <c r="I665" i="3" s="1"/>
  <c r="AU666" i="3"/>
  <c r="I666" i="3" s="1"/>
  <c r="AU667" i="3"/>
  <c r="I667" i="3" s="1"/>
  <c r="AU668" i="3"/>
  <c r="I668" i="3" s="1"/>
  <c r="AU669" i="3"/>
  <c r="I669" i="3" s="1"/>
  <c r="AU670" i="3"/>
  <c r="I670" i="3" s="1"/>
  <c r="AU671" i="3"/>
  <c r="I671" i="3" s="1"/>
  <c r="AU672" i="3"/>
  <c r="I672" i="3" s="1"/>
  <c r="AU673" i="3"/>
  <c r="I673" i="3" s="1"/>
  <c r="AU674" i="3"/>
  <c r="I674" i="3" s="1"/>
  <c r="AU675" i="3"/>
  <c r="I675" i="3" s="1"/>
  <c r="AU676" i="3"/>
  <c r="I676" i="3" s="1"/>
  <c r="AU677" i="3"/>
  <c r="I677" i="3" s="1"/>
  <c r="AU678" i="3"/>
  <c r="I678" i="3" s="1"/>
  <c r="AU679" i="3"/>
  <c r="I679" i="3" s="1"/>
  <c r="AU680" i="3"/>
  <c r="I680" i="3" s="1"/>
  <c r="AU681" i="3"/>
  <c r="I681" i="3" s="1"/>
  <c r="AU682" i="3"/>
  <c r="I682" i="3" s="1"/>
  <c r="AU683" i="3"/>
  <c r="I683" i="3" s="1"/>
  <c r="AU684" i="3"/>
  <c r="I684" i="3" s="1"/>
  <c r="AU685" i="3"/>
  <c r="I685" i="3" s="1"/>
  <c r="AU686" i="3"/>
  <c r="I686" i="3" s="1"/>
  <c r="AU687" i="3"/>
  <c r="I687" i="3" s="1"/>
  <c r="AU688" i="3"/>
  <c r="I688" i="3" s="1"/>
  <c r="AU689" i="3"/>
  <c r="I689" i="3" s="1"/>
  <c r="AU690" i="3"/>
  <c r="I690" i="3" s="1"/>
  <c r="AU691" i="3"/>
  <c r="I691" i="3" s="1"/>
  <c r="AU692" i="3"/>
  <c r="I692" i="3" s="1"/>
  <c r="AU693" i="3"/>
  <c r="I693" i="3" s="1"/>
  <c r="AU694" i="3"/>
  <c r="I694" i="3" s="1"/>
  <c r="AU695" i="3"/>
  <c r="I695" i="3" s="1"/>
  <c r="AU696" i="3"/>
  <c r="I696" i="3" s="1"/>
  <c r="AU697" i="3"/>
  <c r="I697" i="3" s="1"/>
  <c r="AU698" i="3"/>
  <c r="I698" i="3" s="1"/>
  <c r="AU699" i="3"/>
  <c r="I699" i="3" s="1"/>
  <c r="AU700" i="3"/>
  <c r="I700" i="3" s="1"/>
  <c r="AU701" i="3"/>
  <c r="I701" i="3" s="1"/>
  <c r="AU702" i="3"/>
  <c r="I702" i="3" s="1"/>
  <c r="AU703" i="3"/>
  <c r="I703" i="3" s="1"/>
  <c r="AU704" i="3"/>
  <c r="I704" i="3" s="1"/>
  <c r="AU705" i="3"/>
  <c r="I705" i="3" s="1"/>
  <c r="AU706" i="3"/>
  <c r="I706" i="3" s="1"/>
  <c r="AU707" i="3"/>
  <c r="I707" i="3" s="1"/>
  <c r="AU708" i="3"/>
  <c r="I708" i="3" s="1"/>
  <c r="AU709" i="3"/>
  <c r="I709" i="3" s="1"/>
  <c r="AU710" i="3"/>
  <c r="I710" i="3" s="1"/>
  <c r="AU711" i="3"/>
  <c r="I711" i="3" s="1"/>
  <c r="AU712" i="3"/>
  <c r="I712" i="3" s="1"/>
  <c r="AU713" i="3"/>
  <c r="I713" i="3" s="1"/>
  <c r="AU714" i="3"/>
  <c r="I714" i="3" s="1"/>
  <c r="AU715" i="3"/>
  <c r="I715" i="3" s="1"/>
  <c r="AU716" i="3"/>
  <c r="I716" i="3" s="1"/>
  <c r="AU717" i="3"/>
  <c r="I717" i="3" s="1"/>
  <c r="AU718" i="3"/>
  <c r="I718" i="3" s="1"/>
  <c r="AU719" i="3"/>
  <c r="I719" i="3" s="1"/>
  <c r="AU720" i="3"/>
  <c r="I720" i="3" s="1"/>
  <c r="AU721" i="3"/>
  <c r="I721" i="3" s="1"/>
  <c r="AU722" i="3"/>
  <c r="I722" i="3" s="1"/>
  <c r="AU723" i="3"/>
  <c r="I723" i="3" s="1"/>
  <c r="AU724" i="3"/>
  <c r="I724" i="3" s="1"/>
  <c r="AU725" i="3"/>
  <c r="I725" i="3" s="1"/>
  <c r="AU726" i="3"/>
  <c r="I726" i="3" s="1"/>
  <c r="AU727" i="3"/>
  <c r="I727" i="3" s="1"/>
  <c r="AU728" i="3"/>
  <c r="I728" i="3" s="1"/>
  <c r="AU729" i="3"/>
  <c r="I729" i="3" s="1"/>
  <c r="AU730" i="3"/>
  <c r="I730" i="3" s="1"/>
  <c r="AU731" i="3"/>
  <c r="I731" i="3" s="1"/>
  <c r="AU732" i="3"/>
  <c r="I732" i="3" s="1"/>
  <c r="AU733" i="3"/>
  <c r="I733" i="3" s="1"/>
  <c r="AU734" i="3"/>
  <c r="I734" i="3" s="1"/>
  <c r="AU735" i="3"/>
  <c r="I735" i="3" s="1"/>
  <c r="AU736" i="3"/>
  <c r="I736" i="3" s="1"/>
  <c r="AU737" i="3"/>
  <c r="I737" i="3" s="1"/>
  <c r="AU738" i="3"/>
  <c r="I738" i="3" s="1"/>
  <c r="AU739" i="3"/>
  <c r="I739" i="3" s="1"/>
  <c r="AU740" i="3"/>
  <c r="I740" i="3" s="1"/>
  <c r="AU741" i="3"/>
  <c r="I741" i="3" s="1"/>
  <c r="AU742" i="3"/>
  <c r="I742" i="3" s="1"/>
  <c r="AU743" i="3"/>
  <c r="I743" i="3" s="1"/>
  <c r="AU744" i="3"/>
  <c r="I744" i="3" s="1"/>
  <c r="AU745" i="3"/>
  <c r="I745" i="3" s="1"/>
  <c r="AU746" i="3"/>
  <c r="I746" i="3" s="1"/>
  <c r="AU747" i="3"/>
  <c r="I747" i="3" s="1"/>
  <c r="AU748" i="3"/>
  <c r="I748" i="3" s="1"/>
  <c r="AU749" i="3"/>
  <c r="I749" i="3" s="1"/>
  <c r="AU750" i="3"/>
  <c r="I750" i="3" s="1"/>
  <c r="AU751" i="3"/>
  <c r="I751" i="3" s="1"/>
  <c r="AU752" i="3"/>
  <c r="I752" i="3" s="1"/>
  <c r="AU753" i="3"/>
  <c r="I753" i="3" s="1"/>
  <c r="AU754" i="3"/>
  <c r="I754" i="3" s="1"/>
  <c r="AU755" i="3"/>
  <c r="I755" i="3" s="1"/>
  <c r="AU756" i="3"/>
  <c r="I756" i="3" s="1"/>
  <c r="AU757" i="3"/>
  <c r="I757" i="3" s="1"/>
  <c r="AU758" i="3"/>
  <c r="I758" i="3" s="1"/>
  <c r="AU759" i="3"/>
  <c r="I759" i="3" s="1"/>
  <c r="AU760" i="3"/>
  <c r="I760" i="3" s="1"/>
  <c r="AU761" i="3"/>
  <c r="I761" i="3" s="1"/>
  <c r="AU762" i="3"/>
  <c r="I762" i="3" s="1"/>
  <c r="AU763" i="3"/>
  <c r="I763" i="3" s="1"/>
  <c r="AU764" i="3"/>
  <c r="I764" i="3" s="1"/>
  <c r="AU765" i="3"/>
  <c r="I765" i="3" s="1"/>
  <c r="AU766" i="3"/>
  <c r="I766" i="3" s="1"/>
  <c r="AU767" i="3"/>
  <c r="I767" i="3" s="1"/>
  <c r="AU768" i="3"/>
  <c r="I768" i="3" s="1"/>
  <c r="AU769" i="3"/>
  <c r="I769" i="3" s="1"/>
  <c r="AU770" i="3"/>
  <c r="I770" i="3" s="1"/>
  <c r="AU771" i="3"/>
  <c r="I771" i="3" s="1"/>
  <c r="AU772" i="3"/>
  <c r="I772" i="3" s="1"/>
  <c r="AU773" i="3"/>
  <c r="I773" i="3" s="1"/>
  <c r="AU774" i="3"/>
  <c r="I774" i="3" s="1"/>
  <c r="AU775" i="3"/>
  <c r="I775" i="3" s="1"/>
  <c r="AU776" i="3"/>
  <c r="I776" i="3" s="1"/>
  <c r="AU777" i="3"/>
  <c r="I777" i="3" s="1"/>
  <c r="AU778" i="3"/>
  <c r="I778" i="3" s="1"/>
  <c r="AU779" i="3"/>
  <c r="I779" i="3" s="1"/>
  <c r="AU780" i="3"/>
  <c r="I780" i="3" s="1"/>
  <c r="AU781" i="3"/>
  <c r="I781" i="3" s="1"/>
  <c r="AU782" i="3"/>
  <c r="I782" i="3" s="1"/>
  <c r="AU783" i="3"/>
  <c r="I783" i="3" s="1"/>
  <c r="AU784" i="3"/>
  <c r="I784" i="3" s="1"/>
  <c r="AU785" i="3"/>
  <c r="I785" i="3" s="1"/>
  <c r="AU786" i="3"/>
  <c r="I786" i="3" s="1"/>
  <c r="AU787" i="3"/>
  <c r="I787" i="3" s="1"/>
  <c r="AU788" i="3"/>
  <c r="I788" i="3" s="1"/>
  <c r="AU789" i="3"/>
  <c r="I789" i="3" s="1"/>
  <c r="AU790" i="3"/>
  <c r="I790" i="3" s="1"/>
  <c r="AU791" i="3"/>
  <c r="I791" i="3" s="1"/>
  <c r="AU792" i="3"/>
  <c r="I792" i="3" s="1"/>
  <c r="AU793" i="3"/>
  <c r="I793" i="3" s="1"/>
  <c r="AU794" i="3"/>
  <c r="I794" i="3" s="1"/>
  <c r="AU795" i="3"/>
  <c r="I795" i="3" s="1"/>
  <c r="AU796" i="3"/>
  <c r="I796" i="3" s="1"/>
  <c r="AU797" i="3"/>
  <c r="I797" i="3" s="1"/>
  <c r="AU798" i="3"/>
  <c r="I798" i="3" s="1"/>
  <c r="AU799" i="3"/>
  <c r="I799" i="3" s="1"/>
  <c r="AU800" i="3"/>
  <c r="I800" i="3" s="1"/>
  <c r="AU801" i="3"/>
  <c r="I801" i="3" s="1"/>
  <c r="AU802" i="3"/>
  <c r="I802" i="3" s="1"/>
  <c r="AU803" i="3"/>
  <c r="I803" i="3" s="1"/>
  <c r="AU804" i="3"/>
  <c r="I804" i="3" s="1"/>
  <c r="AU805" i="3"/>
  <c r="I805" i="3" s="1"/>
  <c r="AU806" i="3"/>
  <c r="I806" i="3" s="1"/>
  <c r="AU807" i="3"/>
  <c r="I807" i="3" s="1"/>
  <c r="AU808" i="3"/>
  <c r="I808" i="3" s="1"/>
  <c r="AU809" i="3"/>
  <c r="I809" i="3" s="1"/>
  <c r="AU810" i="3"/>
  <c r="I810" i="3" s="1"/>
  <c r="AU811" i="3"/>
  <c r="I811" i="3" s="1"/>
  <c r="AU812" i="3"/>
  <c r="I812" i="3" s="1"/>
  <c r="AU813" i="3"/>
  <c r="I813" i="3" s="1"/>
  <c r="AU814" i="3"/>
  <c r="I814" i="3" s="1"/>
  <c r="AU815" i="3"/>
  <c r="I815" i="3" s="1"/>
  <c r="AU816" i="3"/>
  <c r="I816" i="3" s="1"/>
  <c r="AU817" i="3"/>
  <c r="I817" i="3" s="1"/>
  <c r="AU818" i="3"/>
  <c r="I818" i="3" s="1"/>
  <c r="AU819" i="3"/>
  <c r="I819" i="3" s="1"/>
  <c r="AU820" i="3"/>
  <c r="I820" i="3" s="1"/>
  <c r="AU821" i="3"/>
  <c r="I821" i="3" s="1"/>
  <c r="AU822" i="3"/>
  <c r="I822" i="3" s="1"/>
  <c r="AU823" i="3"/>
  <c r="I823" i="3" s="1"/>
  <c r="AU824" i="3"/>
  <c r="I824" i="3" s="1"/>
  <c r="AU825" i="3"/>
  <c r="I825" i="3" s="1"/>
  <c r="AU826" i="3"/>
  <c r="I826" i="3" s="1"/>
  <c r="AU827" i="3"/>
  <c r="I827" i="3" s="1"/>
  <c r="AU828" i="3"/>
  <c r="I828" i="3" s="1"/>
  <c r="AU829" i="3"/>
  <c r="I829" i="3" s="1"/>
  <c r="AU830" i="3"/>
  <c r="I830" i="3" s="1"/>
  <c r="AU831" i="3"/>
  <c r="I831" i="3" s="1"/>
  <c r="AU832" i="3"/>
  <c r="I832" i="3" s="1"/>
  <c r="AU833" i="3"/>
  <c r="I833" i="3" s="1"/>
  <c r="AU834" i="3"/>
  <c r="I834" i="3" s="1"/>
  <c r="AU835" i="3"/>
  <c r="I835" i="3" s="1"/>
  <c r="AU836" i="3"/>
  <c r="I836" i="3" s="1"/>
  <c r="AU837" i="3"/>
  <c r="I837" i="3" s="1"/>
  <c r="AU838" i="3"/>
  <c r="I838" i="3" s="1"/>
  <c r="AU839" i="3"/>
  <c r="I839" i="3" s="1"/>
  <c r="AU840" i="3"/>
  <c r="I840" i="3" s="1"/>
  <c r="AU841" i="3"/>
  <c r="I841" i="3" s="1"/>
  <c r="AU842" i="3"/>
  <c r="I842" i="3" s="1"/>
  <c r="AU843" i="3"/>
  <c r="I843" i="3" s="1"/>
  <c r="AU844" i="3"/>
  <c r="I844" i="3" s="1"/>
  <c r="AU845" i="3"/>
  <c r="I845" i="3" s="1"/>
  <c r="AU846" i="3"/>
  <c r="I846" i="3" s="1"/>
  <c r="AU847" i="3"/>
  <c r="I847" i="3" s="1"/>
  <c r="AU848" i="3"/>
  <c r="I848" i="3" s="1"/>
  <c r="AU849" i="3"/>
  <c r="I849" i="3" s="1"/>
  <c r="AU850" i="3"/>
  <c r="I850" i="3" s="1"/>
  <c r="AU851" i="3"/>
  <c r="I851" i="3" s="1"/>
  <c r="AU852" i="3"/>
  <c r="I852" i="3" s="1"/>
  <c r="AU853" i="3"/>
  <c r="I853" i="3" s="1"/>
  <c r="AU854" i="3"/>
  <c r="I854" i="3" s="1"/>
  <c r="AU855" i="3"/>
  <c r="I855" i="3" s="1"/>
  <c r="AU856" i="3"/>
  <c r="I856" i="3" s="1"/>
  <c r="AU857" i="3"/>
  <c r="I857" i="3" s="1"/>
  <c r="AU858" i="3"/>
  <c r="I858" i="3" s="1"/>
  <c r="AU859" i="3"/>
  <c r="I859" i="3" s="1"/>
  <c r="AU860" i="3"/>
  <c r="I860" i="3" s="1"/>
  <c r="AU861" i="3"/>
  <c r="I861" i="3" s="1"/>
  <c r="AU862" i="3"/>
  <c r="I862" i="3" s="1"/>
  <c r="AU863" i="3"/>
  <c r="I863" i="3" s="1"/>
  <c r="AU864" i="3"/>
  <c r="I864" i="3" s="1"/>
  <c r="AU865" i="3"/>
  <c r="I865" i="3" s="1"/>
  <c r="AU866" i="3"/>
  <c r="I866" i="3" s="1"/>
  <c r="AU867" i="3"/>
  <c r="I867" i="3" s="1"/>
  <c r="AU868" i="3"/>
  <c r="I868" i="3" s="1"/>
  <c r="AU869" i="3"/>
  <c r="I869" i="3" s="1"/>
  <c r="AU870" i="3"/>
  <c r="I870" i="3" s="1"/>
  <c r="AU871" i="3"/>
  <c r="I871" i="3" s="1"/>
  <c r="AU872" i="3"/>
  <c r="I872" i="3" s="1"/>
  <c r="AU873" i="3"/>
  <c r="I873" i="3" s="1"/>
  <c r="AU874" i="3"/>
  <c r="I874" i="3" s="1"/>
  <c r="AU875" i="3"/>
  <c r="I875" i="3" s="1"/>
  <c r="AU876" i="3"/>
  <c r="I876" i="3" s="1"/>
  <c r="AU877" i="3"/>
  <c r="I877" i="3" s="1"/>
  <c r="AU878" i="3"/>
  <c r="I878" i="3" s="1"/>
  <c r="AU879" i="3"/>
  <c r="I879" i="3" s="1"/>
  <c r="AU880" i="3"/>
  <c r="I880" i="3" s="1"/>
  <c r="AU881" i="3"/>
  <c r="I881" i="3" s="1"/>
  <c r="AU882" i="3"/>
  <c r="I882" i="3" s="1"/>
  <c r="AU883" i="3"/>
  <c r="I883" i="3" s="1"/>
  <c r="AU884" i="3"/>
  <c r="I884" i="3" s="1"/>
  <c r="AU885" i="3"/>
  <c r="I885" i="3" s="1"/>
  <c r="AU886" i="3"/>
  <c r="I886" i="3" s="1"/>
  <c r="AU887" i="3"/>
  <c r="I887" i="3" s="1"/>
  <c r="AU888" i="3"/>
  <c r="I888" i="3" s="1"/>
  <c r="AU889" i="3"/>
  <c r="I889" i="3" s="1"/>
  <c r="AU890" i="3"/>
  <c r="I890" i="3" s="1"/>
  <c r="AU891" i="3"/>
  <c r="I891" i="3" s="1"/>
  <c r="AU892" i="3"/>
  <c r="I892" i="3" s="1"/>
  <c r="AU893" i="3"/>
  <c r="I893" i="3" s="1"/>
  <c r="AU894" i="3"/>
  <c r="I894" i="3" s="1"/>
  <c r="AU895" i="3"/>
  <c r="I895" i="3" s="1"/>
  <c r="AU896" i="3"/>
  <c r="I896" i="3" s="1"/>
  <c r="AU897" i="3"/>
  <c r="I897" i="3" s="1"/>
  <c r="AU898" i="3"/>
  <c r="I898" i="3" s="1"/>
  <c r="AU899" i="3"/>
  <c r="I899" i="3" s="1"/>
  <c r="AU900" i="3"/>
  <c r="I900" i="3" s="1"/>
  <c r="AU901" i="3"/>
  <c r="I901" i="3" s="1"/>
  <c r="AU902" i="3"/>
  <c r="I902" i="3" s="1"/>
  <c r="AU903" i="3"/>
  <c r="I903" i="3" s="1"/>
  <c r="AU904" i="3"/>
  <c r="I904" i="3" s="1"/>
  <c r="AU905" i="3"/>
  <c r="I905" i="3" s="1"/>
  <c r="AU906" i="3"/>
  <c r="I906" i="3" s="1"/>
  <c r="AU907" i="3"/>
  <c r="I907" i="3" s="1"/>
  <c r="AU908" i="3"/>
  <c r="I908" i="3" s="1"/>
  <c r="AU909" i="3"/>
  <c r="I909" i="3" s="1"/>
  <c r="AU910" i="3"/>
  <c r="I910" i="3" s="1"/>
  <c r="AU911" i="3"/>
  <c r="I911" i="3" s="1"/>
  <c r="AU912" i="3"/>
  <c r="I912" i="3" s="1"/>
  <c r="AU913" i="3"/>
  <c r="I913" i="3" s="1"/>
  <c r="AU914" i="3"/>
  <c r="I914" i="3" s="1"/>
  <c r="AU915" i="3"/>
  <c r="I915" i="3" s="1"/>
  <c r="AU916" i="3"/>
  <c r="I916" i="3" s="1"/>
  <c r="AU917" i="3"/>
  <c r="I917" i="3" s="1"/>
  <c r="AU918" i="3"/>
  <c r="I918" i="3" s="1"/>
  <c r="AU919" i="3"/>
  <c r="I919" i="3" s="1"/>
  <c r="AU920" i="3"/>
  <c r="I920" i="3" s="1"/>
  <c r="AU921" i="3"/>
  <c r="I921" i="3" s="1"/>
  <c r="AU922" i="3"/>
  <c r="I922" i="3" s="1"/>
  <c r="AU923" i="3"/>
  <c r="I923" i="3" s="1"/>
  <c r="AU924" i="3"/>
  <c r="I924" i="3" s="1"/>
  <c r="AU925" i="3"/>
  <c r="I925" i="3" s="1"/>
  <c r="AU926" i="3"/>
  <c r="I926" i="3" s="1"/>
  <c r="AU927" i="3"/>
  <c r="I927" i="3" s="1"/>
  <c r="AU928" i="3"/>
  <c r="I928" i="3" s="1"/>
  <c r="AU929" i="3"/>
  <c r="I929" i="3" s="1"/>
  <c r="AU930" i="3"/>
  <c r="I930" i="3" s="1"/>
  <c r="AU931" i="3"/>
  <c r="I931" i="3" s="1"/>
  <c r="AU932" i="3"/>
  <c r="I932" i="3" s="1"/>
  <c r="AU933" i="3"/>
  <c r="I933" i="3" s="1"/>
  <c r="AU934" i="3"/>
  <c r="I934" i="3" s="1"/>
  <c r="AU935" i="3"/>
  <c r="I935" i="3" s="1"/>
  <c r="AU936" i="3"/>
  <c r="I936" i="3" s="1"/>
  <c r="AU937" i="3"/>
  <c r="I937" i="3" s="1"/>
  <c r="AU938" i="3"/>
  <c r="I938" i="3" s="1"/>
  <c r="AU939" i="3"/>
  <c r="I939" i="3" s="1"/>
  <c r="AU940" i="3"/>
  <c r="I940" i="3" s="1"/>
  <c r="AU941" i="3"/>
  <c r="I941" i="3" s="1"/>
  <c r="AU942" i="3"/>
  <c r="I942" i="3" s="1"/>
  <c r="AU943" i="3"/>
  <c r="I943" i="3" s="1"/>
  <c r="AU944" i="3"/>
  <c r="I944" i="3" s="1"/>
  <c r="AU945" i="3"/>
  <c r="I945" i="3" s="1"/>
  <c r="AU946" i="3"/>
  <c r="I946" i="3" s="1"/>
  <c r="AU947" i="3"/>
  <c r="I947" i="3" s="1"/>
  <c r="AU948" i="3"/>
  <c r="I948" i="3" s="1"/>
  <c r="AU949" i="3"/>
  <c r="I949" i="3" s="1"/>
  <c r="AU950" i="3"/>
  <c r="I950" i="3" s="1"/>
  <c r="AU951" i="3"/>
  <c r="I951" i="3" s="1"/>
  <c r="AU952" i="3"/>
  <c r="I952" i="3" s="1"/>
  <c r="AU953" i="3"/>
  <c r="I953" i="3" s="1"/>
  <c r="AU954" i="3"/>
  <c r="I954" i="3" s="1"/>
  <c r="AU955" i="3"/>
  <c r="I955" i="3" s="1"/>
  <c r="AU956" i="3"/>
  <c r="I956" i="3" s="1"/>
  <c r="AU957" i="3"/>
  <c r="I957" i="3" s="1"/>
  <c r="AU958" i="3"/>
  <c r="I958" i="3" s="1"/>
  <c r="AU959" i="3"/>
  <c r="I959" i="3" s="1"/>
  <c r="AU960" i="3"/>
  <c r="I960" i="3" s="1"/>
  <c r="AU961" i="3"/>
  <c r="I961" i="3" s="1"/>
  <c r="AU962" i="3"/>
  <c r="I962" i="3" s="1"/>
  <c r="AU963" i="3"/>
  <c r="I963" i="3" s="1"/>
  <c r="AU964" i="3"/>
  <c r="I964" i="3" s="1"/>
  <c r="AU965" i="3"/>
  <c r="I965" i="3" s="1"/>
  <c r="AU966" i="3"/>
  <c r="I966" i="3" s="1"/>
  <c r="AU967" i="3"/>
  <c r="I967" i="3" s="1"/>
  <c r="AU968" i="3"/>
  <c r="I968" i="3" s="1"/>
  <c r="AU969" i="3"/>
  <c r="I969" i="3" s="1"/>
  <c r="AU970" i="3"/>
  <c r="I970" i="3" s="1"/>
  <c r="AU971" i="3"/>
  <c r="I971" i="3" s="1"/>
  <c r="AU972" i="3"/>
  <c r="I972" i="3" s="1"/>
  <c r="AU973" i="3"/>
  <c r="I973" i="3" s="1"/>
  <c r="AU974" i="3"/>
  <c r="I974" i="3" s="1"/>
  <c r="AU975" i="3"/>
  <c r="I975" i="3" s="1"/>
  <c r="AU976" i="3"/>
  <c r="I976" i="3" s="1"/>
  <c r="AU977" i="3"/>
  <c r="I977" i="3" s="1"/>
  <c r="AU978" i="3"/>
  <c r="I978" i="3" s="1"/>
  <c r="AU979" i="3"/>
  <c r="I979" i="3" s="1"/>
  <c r="AU980" i="3"/>
  <c r="I980" i="3" s="1"/>
  <c r="AU981" i="3"/>
  <c r="I981" i="3" s="1"/>
  <c r="AU982" i="3"/>
  <c r="I982" i="3" s="1"/>
  <c r="AU983" i="3"/>
  <c r="I983" i="3" s="1"/>
  <c r="AU984" i="3"/>
  <c r="I984" i="3" s="1"/>
  <c r="AU985" i="3"/>
  <c r="I985" i="3" s="1"/>
  <c r="AU986" i="3"/>
  <c r="I986" i="3" s="1"/>
  <c r="AU987" i="3"/>
  <c r="I987" i="3" s="1"/>
  <c r="AU988" i="3"/>
  <c r="I988" i="3" s="1"/>
  <c r="AU989" i="3"/>
  <c r="I989" i="3" s="1"/>
  <c r="AU990" i="3"/>
  <c r="I990" i="3" s="1"/>
  <c r="AU991" i="3"/>
  <c r="I991" i="3" s="1"/>
  <c r="AU992" i="3"/>
  <c r="I992" i="3" s="1"/>
  <c r="AU993" i="3"/>
  <c r="I993" i="3" s="1"/>
  <c r="AU994" i="3"/>
  <c r="I994" i="3" s="1"/>
  <c r="AU995" i="3"/>
  <c r="I995" i="3" s="1"/>
  <c r="AU996" i="3"/>
  <c r="I996" i="3" s="1"/>
  <c r="AU997" i="3"/>
  <c r="I997" i="3" s="1"/>
  <c r="AU998" i="3"/>
  <c r="I998" i="3" s="1"/>
  <c r="AU999" i="3"/>
  <c r="I999" i="3" s="1"/>
  <c r="AU1000" i="3"/>
  <c r="I1000" i="3" s="1"/>
  <c r="AU1001" i="3"/>
  <c r="I1001" i="3" s="1"/>
  <c r="AU1002" i="3"/>
  <c r="I1002" i="3" s="1"/>
  <c r="AU1003" i="3"/>
  <c r="I1003" i="3" s="1"/>
  <c r="AU1004" i="3"/>
  <c r="I1004" i="3" s="1"/>
  <c r="AU1005" i="3"/>
  <c r="I1005" i="3" s="1"/>
  <c r="AU1006" i="3"/>
  <c r="I1006" i="3" s="1"/>
  <c r="AU1007" i="3"/>
  <c r="I1007" i="3" s="1"/>
  <c r="AU1008" i="3"/>
  <c r="I1008" i="3" s="1"/>
  <c r="AU1009" i="3"/>
  <c r="I1009" i="3" s="1"/>
  <c r="AU1010" i="3"/>
  <c r="I1010" i="3" s="1"/>
  <c r="AU1011" i="3"/>
  <c r="I1011" i="3" s="1"/>
  <c r="AU1012" i="3"/>
  <c r="I1012" i="3" s="1"/>
  <c r="AU1013" i="3"/>
  <c r="I1013" i="3" s="1"/>
  <c r="AU1014" i="3"/>
  <c r="I1014" i="3" s="1"/>
  <c r="AU1015" i="3"/>
  <c r="I1015" i="3" s="1"/>
  <c r="AU1016" i="3"/>
  <c r="I1016" i="3" s="1"/>
  <c r="AU1017" i="3"/>
  <c r="I1017" i="3" s="1"/>
  <c r="AU1018" i="3"/>
  <c r="I1018" i="3" s="1"/>
  <c r="AU1019" i="3"/>
  <c r="I1019" i="3" s="1"/>
  <c r="AU1020" i="3"/>
  <c r="I1020" i="3" s="1"/>
  <c r="AU1021" i="3"/>
  <c r="I1021" i="3" s="1"/>
  <c r="AU1022" i="3"/>
  <c r="I1022" i="3" s="1"/>
  <c r="AU1023" i="3"/>
  <c r="I1023" i="3" s="1"/>
  <c r="AU1024" i="3"/>
  <c r="I1024" i="3" s="1"/>
  <c r="AU1025" i="3"/>
  <c r="I1025" i="3" s="1"/>
  <c r="AU1026" i="3"/>
  <c r="I1026" i="3" s="1"/>
  <c r="AU1027" i="3"/>
  <c r="I1027" i="3" s="1"/>
  <c r="AU1028" i="3"/>
  <c r="I1028" i="3" s="1"/>
  <c r="AU1029" i="3"/>
  <c r="I1029" i="3" s="1"/>
  <c r="AU1030" i="3"/>
  <c r="I1030" i="3" s="1"/>
  <c r="AU1031" i="3"/>
  <c r="I1031" i="3" s="1"/>
  <c r="AU1032" i="3"/>
  <c r="I1032" i="3" s="1"/>
  <c r="AU1033" i="3"/>
  <c r="I1033" i="3" s="1"/>
  <c r="AU1034" i="3"/>
  <c r="I1034" i="3" s="1"/>
  <c r="AU1035" i="3"/>
  <c r="I1035" i="3" s="1"/>
  <c r="AU1036" i="3"/>
  <c r="I1036" i="3" s="1"/>
  <c r="AU1037" i="3"/>
  <c r="I1037" i="3" s="1"/>
  <c r="AU1038" i="3"/>
  <c r="I1038" i="3" s="1"/>
  <c r="AU1039" i="3"/>
  <c r="I1039" i="3" s="1"/>
  <c r="AU1040" i="3"/>
  <c r="I1040" i="3" s="1"/>
  <c r="AU1041" i="3"/>
  <c r="I1041" i="3" s="1"/>
  <c r="AU1042" i="3"/>
  <c r="I1042" i="3" s="1"/>
  <c r="AU1043" i="3"/>
  <c r="I1043" i="3" s="1"/>
  <c r="AU1044" i="3"/>
  <c r="I1044" i="3" s="1"/>
  <c r="AU1045" i="3"/>
  <c r="I1045" i="3" s="1"/>
  <c r="AU1046" i="3"/>
  <c r="I1046" i="3" s="1"/>
  <c r="AU1047" i="3"/>
  <c r="I1047" i="3" s="1"/>
  <c r="AU1048" i="3"/>
  <c r="I1048" i="3" s="1"/>
  <c r="AU1049" i="3"/>
  <c r="I1049" i="3" s="1"/>
  <c r="AU1050" i="3"/>
  <c r="I1050" i="3" s="1"/>
  <c r="AU1051" i="3"/>
  <c r="I1051" i="3" s="1"/>
  <c r="AU1052" i="3"/>
  <c r="I1052" i="3" s="1"/>
  <c r="AU1053" i="3"/>
  <c r="I1053" i="3" s="1"/>
  <c r="AU1054" i="3"/>
  <c r="I1054" i="3" s="1"/>
  <c r="AU1055" i="3"/>
  <c r="I1055" i="3" s="1"/>
  <c r="AU1056" i="3"/>
  <c r="I1056" i="3" s="1"/>
  <c r="AU1057" i="3"/>
  <c r="I1057" i="3" s="1"/>
  <c r="AU1058" i="3"/>
  <c r="I1058" i="3" s="1"/>
  <c r="AU1059" i="3"/>
  <c r="I1059" i="3" s="1"/>
  <c r="AU1060" i="3"/>
  <c r="I1060" i="3" s="1"/>
  <c r="AU1061" i="3"/>
  <c r="I1061" i="3" s="1"/>
  <c r="AU1062" i="3"/>
  <c r="I1062" i="3" s="1"/>
  <c r="AU1063" i="3"/>
  <c r="I1063" i="3" s="1"/>
  <c r="AU1064" i="3"/>
  <c r="I1064" i="3" s="1"/>
  <c r="AU1065" i="3"/>
  <c r="I1065" i="3" s="1"/>
  <c r="AU1066" i="3"/>
  <c r="I1066" i="3" s="1"/>
  <c r="AU1067" i="3"/>
  <c r="I1067" i="3" s="1"/>
  <c r="AU1068" i="3"/>
  <c r="I1068" i="3" s="1"/>
  <c r="AU1069" i="3"/>
  <c r="I1069" i="3" s="1"/>
  <c r="AU1070" i="3"/>
  <c r="I1070" i="3" s="1"/>
  <c r="AU1071" i="3"/>
  <c r="I1071" i="3" s="1"/>
  <c r="AU1072" i="3"/>
  <c r="I1072" i="3" s="1"/>
  <c r="AU1073" i="3"/>
  <c r="I1073" i="3" s="1"/>
  <c r="AU1074" i="3"/>
  <c r="I1074" i="3" s="1"/>
  <c r="AU1075" i="3"/>
  <c r="I1075" i="3" s="1"/>
  <c r="AU1076" i="3"/>
  <c r="I1076" i="3" s="1"/>
  <c r="AU1077" i="3"/>
  <c r="I1077" i="3" s="1"/>
  <c r="AU1078" i="3"/>
  <c r="I1078" i="3" s="1"/>
  <c r="AU1079" i="3"/>
  <c r="I1079" i="3" s="1"/>
  <c r="AU1080" i="3"/>
  <c r="I1080" i="3" s="1"/>
  <c r="AU1081" i="3"/>
  <c r="I1081" i="3" s="1"/>
  <c r="AU1082" i="3"/>
  <c r="I1082" i="3" s="1"/>
  <c r="AU1083" i="3"/>
  <c r="I1083" i="3" s="1"/>
  <c r="AU1084" i="3"/>
  <c r="I1084" i="3" s="1"/>
  <c r="AU1085" i="3"/>
  <c r="I1085" i="3" s="1"/>
  <c r="AU1086" i="3"/>
  <c r="I1086" i="3" s="1"/>
  <c r="AU1087" i="3"/>
  <c r="I1087" i="3" s="1"/>
  <c r="AU1088" i="3"/>
  <c r="I1088" i="3" s="1"/>
  <c r="AU1089" i="3"/>
  <c r="I1089" i="3" s="1"/>
  <c r="AU1090" i="3"/>
  <c r="I1090" i="3" s="1"/>
  <c r="AU1091" i="3"/>
  <c r="I1091" i="3" s="1"/>
  <c r="AU1092" i="3"/>
  <c r="I1092" i="3" s="1"/>
  <c r="AU1093" i="3"/>
  <c r="I1093" i="3" s="1"/>
  <c r="AU1094" i="3"/>
  <c r="I1094" i="3" s="1"/>
  <c r="AU1095" i="3"/>
  <c r="I1095" i="3" s="1"/>
  <c r="AU1096" i="3"/>
  <c r="I1096" i="3" s="1"/>
  <c r="AU1097" i="3"/>
  <c r="I1097" i="3" s="1"/>
  <c r="AU1098" i="3"/>
  <c r="I1098" i="3" s="1"/>
  <c r="AU1099" i="3"/>
  <c r="I1099" i="3" s="1"/>
  <c r="AU1100" i="3"/>
  <c r="I1100" i="3" s="1"/>
  <c r="AU1101" i="3"/>
  <c r="I1101" i="3" s="1"/>
  <c r="AU1102" i="3"/>
  <c r="I1102" i="3" s="1"/>
  <c r="AU1103" i="3"/>
  <c r="I1103" i="3" s="1"/>
  <c r="AU1104" i="3"/>
  <c r="I1104" i="3" s="1"/>
  <c r="AU1105" i="3"/>
  <c r="I1105" i="3" s="1"/>
  <c r="AU1106" i="3"/>
  <c r="I1106" i="3" s="1"/>
  <c r="AU1107" i="3"/>
  <c r="I1107" i="3" s="1"/>
  <c r="AU1108" i="3"/>
  <c r="I1108" i="3" s="1"/>
  <c r="AU1109" i="3"/>
  <c r="I1109" i="3" s="1"/>
  <c r="AU1110" i="3"/>
  <c r="I1110" i="3" s="1"/>
  <c r="AU1111" i="3"/>
  <c r="I1111" i="3" s="1"/>
  <c r="AU1112" i="3"/>
  <c r="I1112" i="3" s="1"/>
  <c r="AU1113" i="3"/>
  <c r="I1113" i="3" s="1"/>
  <c r="AU1114" i="3"/>
  <c r="I1114" i="3" s="1"/>
  <c r="AU1115" i="3"/>
  <c r="I1115" i="3" s="1"/>
  <c r="AU1116" i="3"/>
  <c r="I1116" i="3" s="1"/>
  <c r="AU1117" i="3"/>
  <c r="I1117" i="3" s="1"/>
  <c r="AU1118" i="3"/>
  <c r="I1118" i="3" s="1"/>
  <c r="AU1119" i="3"/>
  <c r="I1119" i="3" s="1"/>
  <c r="AU1120" i="3"/>
  <c r="I1120" i="3" s="1"/>
  <c r="AU1121" i="3"/>
  <c r="I1121" i="3" s="1"/>
  <c r="AU1122" i="3"/>
  <c r="I1122" i="3" s="1"/>
  <c r="AU1123" i="3"/>
  <c r="I1123" i="3" s="1"/>
  <c r="AU1124" i="3"/>
  <c r="I1124" i="3" s="1"/>
  <c r="AU1125" i="3"/>
  <c r="I1125" i="3" s="1"/>
  <c r="AU1126" i="3"/>
  <c r="I1126" i="3" s="1"/>
  <c r="AU1127" i="3"/>
  <c r="I1127" i="3" s="1"/>
  <c r="AU1128" i="3"/>
  <c r="I1128" i="3" s="1"/>
  <c r="AU1129" i="3"/>
  <c r="I1129" i="3" s="1"/>
  <c r="AU1130" i="3"/>
  <c r="I1130" i="3" s="1"/>
  <c r="AU1131" i="3"/>
  <c r="I1131" i="3" s="1"/>
  <c r="AU1132" i="3"/>
  <c r="I1132" i="3" s="1"/>
  <c r="AU1133" i="3"/>
  <c r="I1133" i="3" s="1"/>
  <c r="AU1134" i="3"/>
  <c r="I1134" i="3" s="1"/>
  <c r="AU1135" i="3"/>
  <c r="I1135" i="3" s="1"/>
  <c r="AU1136" i="3"/>
  <c r="I1136" i="3" s="1"/>
  <c r="AU1137" i="3"/>
  <c r="I1137" i="3" s="1"/>
  <c r="AU1138" i="3"/>
  <c r="I1138" i="3" s="1"/>
  <c r="AU1139" i="3"/>
  <c r="I1139" i="3" s="1"/>
  <c r="AU1140" i="3"/>
  <c r="I1140" i="3" s="1"/>
  <c r="AU1141" i="3"/>
  <c r="I1141" i="3" s="1"/>
  <c r="AU1142" i="3"/>
  <c r="I1142" i="3" s="1"/>
  <c r="AU1143" i="3"/>
  <c r="I1143" i="3" s="1"/>
  <c r="AU1144" i="3"/>
  <c r="I1144" i="3" s="1"/>
  <c r="AU1145" i="3"/>
  <c r="I1145" i="3" s="1"/>
  <c r="AU1146" i="3"/>
  <c r="I1146" i="3" s="1"/>
  <c r="AU1147" i="3"/>
  <c r="I1147" i="3" s="1"/>
  <c r="AU1148" i="3"/>
  <c r="I1148" i="3" s="1"/>
  <c r="AU1149" i="3"/>
  <c r="I1149" i="3" s="1"/>
  <c r="AU1150" i="3"/>
  <c r="I1150" i="3" s="1"/>
  <c r="AU1151" i="3"/>
  <c r="I1151" i="3" s="1"/>
  <c r="AU1152" i="3"/>
  <c r="I1152" i="3" s="1"/>
  <c r="AU1153" i="3"/>
  <c r="I1153" i="3" s="1"/>
  <c r="AU1154" i="3"/>
  <c r="I1154" i="3" s="1"/>
  <c r="AU1155" i="3"/>
  <c r="I1155" i="3" s="1"/>
  <c r="AU1156" i="3"/>
  <c r="I1156" i="3" s="1"/>
  <c r="AU1157" i="3"/>
  <c r="I1157" i="3" s="1"/>
  <c r="AU1158" i="3"/>
  <c r="I1158" i="3" s="1"/>
  <c r="AU1159" i="3"/>
  <c r="I1159" i="3" s="1"/>
  <c r="AU1160" i="3"/>
  <c r="I1160" i="3" s="1"/>
  <c r="AU1161" i="3"/>
  <c r="I1161" i="3" s="1"/>
  <c r="AU1162" i="3"/>
  <c r="I1162" i="3" s="1"/>
  <c r="AU1163" i="3"/>
  <c r="I1163" i="3" s="1"/>
  <c r="AU1164" i="3"/>
  <c r="I1164" i="3" s="1"/>
  <c r="AU1165" i="3"/>
  <c r="I1165" i="3" s="1"/>
  <c r="AU1166" i="3"/>
  <c r="I1166" i="3" s="1"/>
  <c r="AU1167" i="3"/>
  <c r="I1167" i="3" s="1"/>
  <c r="AU1168" i="3"/>
  <c r="I1168" i="3" s="1"/>
  <c r="AU1169" i="3"/>
  <c r="I1169" i="3" s="1"/>
  <c r="AU1170" i="3"/>
  <c r="I1170" i="3" s="1"/>
  <c r="AU1171" i="3"/>
  <c r="I1171" i="3" s="1"/>
  <c r="AU1172" i="3"/>
  <c r="I1172" i="3" s="1"/>
  <c r="AU1173" i="3"/>
  <c r="I1173" i="3" s="1"/>
  <c r="AU1174" i="3"/>
  <c r="I1174" i="3" s="1"/>
  <c r="AU1175" i="3"/>
  <c r="I1175" i="3" s="1"/>
  <c r="AU1176" i="3"/>
  <c r="I1176" i="3" s="1"/>
  <c r="AU1177" i="3"/>
  <c r="I1177" i="3" s="1"/>
  <c r="AU1178" i="3"/>
  <c r="I1178" i="3" s="1"/>
  <c r="AU1179" i="3"/>
  <c r="I1179" i="3" s="1"/>
  <c r="AU1180" i="3"/>
  <c r="I1180" i="3" s="1"/>
  <c r="AU1181" i="3"/>
  <c r="I1181" i="3" s="1"/>
  <c r="AU1182" i="3"/>
  <c r="I1182" i="3" s="1"/>
  <c r="AU1183" i="3"/>
  <c r="I1183" i="3" s="1"/>
  <c r="AU1184" i="3"/>
  <c r="I1184" i="3" s="1"/>
  <c r="AU1185" i="3"/>
  <c r="I1185" i="3" s="1"/>
  <c r="AU1186" i="3"/>
  <c r="I1186" i="3" s="1"/>
  <c r="AU1187" i="3"/>
  <c r="I1187" i="3" s="1"/>
  <c r="AU1188" i="3"/>
  <c r="I1188" i="3" s="1"/>
  <c r="AU1189" i="3"/>
  <c r="I1189" i="3" s="1"/>
  <c r="AU1190" i="3"/>
  <c r="I1190" i="3" s="1"/>
  <c r="AU1191" i="3"/>
  <c r="I1191" i="3" s="1"/>
  <c r="AU1192" i="3"/>
  <c r="I1192" i="3" s="1"/>
  <c r="AU1193" i="3"/>
  <c r="I1193" i="3" s="1"/>
  <c r="AU1194" i="3"/>
  <c r="I1194" i="3" s="1"/>
  <c r="AU1195" i="3"/>
  <c r="I1195" i="3" s="1"/>
  <c r="AU1196" i="3"/>
  <c r="I1196" i="3" s="1"/>
  <c r="AU1197" i="3"/>
  <c r="I1197" i="3" s="1"/>
  <c r="AU1198" i="3"/>
  <c r="I1198" i="3" s="1"/>
  <c r="AU1199" i="3"/>
  <c r="I1199" i="3" s="1"/>
  <c r="AU1200" i="3"/>
  <c r="I1200" i="3" s="1"/>
  <c r="AU1201" i="3"/>
  <c r="I1201" i="3" s="1"/>
  <c r="AU1202" i="3"/>
  <c r="I1202" i="3" s="1"/>
  <c r="AU1203" i="3"/>
  <c r="I1203" i="3" s="1"/>
  <c r="AU1204" i="3"/>
  <c r="I1204" i="3" s="1"/>
  <c r="AU1205" i="3"/>
  <c r="I1205" i="3" s="1"/>
  <c r="AU1206" i="3"/>
  <c r="I1206" i="3" s="1"/>
  <c r="AU1207" i="3"/>
  <c r="I1207" i="3" s="1"/>
  <c r="AU1208" i="3"/>
  <c r="I1208" i="3" s="1"/>
  <c r="AU1209" i="3"/>
  <c r="I1209" i="3" s="1"/>
  <c r="AU1210" i="3"/>
  <c r="I1210" i="3" s="1"/>
  <c r="AU1211" i="3"/>
  <c r="I1211" i="3" s="1"/>
  <c r="AU1212" i="3"/>
  <c r="I1212" i="3" s="1"/>
  <c r="AU1213" i="3"/>
  <c r="I1213" i="3" s="1"/>
  <c r="AU1214" i="3"/>
  <c r="I1214" i="3" s="1"/>
  <c r="AU1215" i="3"/>
  <c r="I1215" i="3" s="1"/>
  <c r="AU1216" i="3"/>
  <c r="I1216" i="3" s="1"/>
  <c r="AU1217" i="3"/>
  <c r="I1217" i="3" s="1"/>
  <c r="AU1218" i="3"/>
  <c r="I1218" i="3" s="1"/>
  <c r="AU1219" i="3"/>
  <c r="I1219" i="3" s="1"/>
  <c r="AU1220" i="3"/>
  <c r="I1220" i="3" s="1"/>
  <c r="AU1221" i="3"/>
  <c r="I1221" i="3" s="1"/>
  <c r="AU1222" i="3"/>
  <c r="I1222" i="3" s="1"/>
  <c r="AU1223" i="3"/>
  <c r="I1223" i="3" s="1"/>
  <c r="AU1224" i="3"/>
  <c r="I1224" i="3" s="1"/>
  <c r="AU1225" i="3"/>
  <c r="I1225" i="3" s="1"/>
  <c r="AU1226" i="3"/>
  <c r="I1226" i="3" s="1"/>
  <c r="AU1227" i="3"/>
  <c r="I1227" i="3" s="1"/>
  <c r="AU1228" i="3"/>
  <c r="I1228" i="3" s="1"/>
  <c r="AU1229" i="3"/>
  <c r="I1229" i="3" s="1"/>
  <c r="AU1230" i="3"/>
  <c r="I1230" i="3" s="1"/>
  <c r="AU1231" i="3"/>
  <c r="I1231" i="3" s="1"/>
  <c r="AU1232" i="3"/>
  <c r="I1232" i="3" s="1"/>
  <c r="AU1233" i="3"/>
  <c r="I1233" i="3" s="1"/>
  <c r="AU1234" i="3"/>
  <c r="I1234" i="3" s="1"/>
  <c r="AU1235" i="3"/>
  <c r="I1235" i="3" s="1"/>
  <c r="AU1236" i="3"/>
  <c r="I1236" i="3" s="1"/>
  <c r="AU1237" i="3"/>
  <c r="I1237" i="3" s="1"/>
  <c r="AU1238" i="3"/>
  <c r="I1238" i="3" s="1"/>
  <c r="AU1239" i="3"/>
  <c r="I1239" i="3" s="1"/>
  <c r="AU1240" i="3"/>
  <c r="I1240" i="3" s="1"/>
  <c r="AU1241" i="3"/>
  <c r="I1241" i="3" s="1"/>
  <c r="AU1242" i="3"/>
  <c r="I1242" i="3" s="1"/>
  <c r="AU1243" i="3"/>
  <c r="I1243" i="3" s="1"/>
  <c r="AU1244" i="3"/>
  <c r="I1244" i="3" s="1"/>
  <c r="AU1245" i="3"/>
  <c r="I1245" i="3" s="1"/>
  <c r="AU1246" i="3"/>
  <c r="I1246" i="3" s="1"/>
  <c r="AU1247" i="3"/>
  <c r="I1247" i="3" s="1"/>
  <c r="AU1248" i="3"/>
  <c r="I1248" i="3" s="1"/>
  <c r="AU1249" i="3"/>
  <c r="I1249" i="3" s="1"/>
  <c r="AU1250" i="3"/>
  <c r="I1250" i="3" s="1"/>
  <c r="AU1251" i="3"/>
  <c r="I1251" i="3" s="1"/>
  <c r="AU1252" i="3"/>
  <c r="I1252" i="3" s="1"/>
  <c r="AU1253" i="3"/>
  <c r="I1253" i="3" s="1"/>
  <c r="AU1254" i="3"/>
  <c r="I1254" i="3" s="1"/>
  <c r="AU1255" i="3"/>
  <c r="I1255" i="3" s="1"/>
  <c r="AU1256" i="3"/>
  <c r="I1256" i="3" s="1"/>
  <c r="AU1257" i="3"/>
  <c r="I1257" i="3" s="1"/>
  <c r="AU1258" i="3"/>
  <c r="I1258" i="3" s="1"/>
  <c r="AU1259" i="3"/>
  <c r="I1259" i="3" s="1"/>
  <c r="AU1260" i="3"/>
  <c r="I1260" i="3" s="1"/>
  <c r="AU1261" i="3"/>
  <c r="I1261" i="3" s="1"/>
  <c r="AU1262" i="3"/>
  <c r="I1262" i="3" s="1"/>
  <c r="AU1263" i="3"/>
  <c r="I1263" i="3" s="1"/>
  <c r="AU1264" i="3"/>
  <c r="I1264" i="3" s="1"/>
  <c r="AU1265" i="3"/>
  <c r="I1265" i="3" s="1"/>
  <c r="AU1266" i="3"/>
  <c r="I1266" i="3" s="1"/>
  <c r="AU1267" i="3"/>
  <c r="I1267" i="3" s="1"/>
  <c r="AU1268" i="3"/>
  <c r="I1268" i="3" s="1"/>
  <c r="AU1269" i="3"/>
  <c r="I1269" i="3" s="1"/>
  <c r="AU1270" i="3"/>
  <c r="I1270" i="3" s="1"/>
  <c r="AU1271" i="3"/>
  <c r="I1271" i="3" s="1"/>
  <c r="AU1272" i="3"/>
  <c r="I1272" i="3" s="1"/>
  <c r="AU1273" i="3"/>
  <c r="I1273" i="3" s="1"/>
  <c r="AU1274" i="3"/>
  <c r="I1274" i="3" s="1"/>
  <c r="AU1275" i="3"/>
  <c r="I1275" i="3" s="1"/>
  <c r="AU1276" i="3"/>
  <c r="I1276" i="3" s="1"/>
  <c r="AU1277" i="3"/>
  <c r="I1277" i="3" s="1"/>
  <c r="AU1278" i="3"/>
  <c r="I1278" i="3" s="1"/>
  <c r="AU1279" i="3"/>
  <c r="I1279" i="3" s="1"/>
  <c r="AU1280" i="3"/>
  <c r="I1280" i="3" s="1"/>
  <c r="AU1281" i="3"/>
  <c r="I1281" i="3" s="1"/>
  <c r="AU1282" i="3"/>
  <c r="I1282" i="3" s="1"/>
  <c r="AU1283" i="3"/>
  <c r="I1283" i="3" s="1"/>
  <c r="AU1284" i="3"/>
  <c r="I1284" i="3" s="1"/>
  <c r="AU1285" i="3"/>
  <c r="I1285" i="3" s="1"/>
  <c r="AU1286" i="3"/>
  <c r="I1286" i="3" s="1"/>
  <c r="AU1287" i="3"/>
  <c r="I1287" i="3" s="1"/>
  <c r="AU1288" i="3"/>
  <c r="I1288" i="3" s="1"/>
  <c r="AU1289" i="3"/>
  <c r="I1289" i="3" s="1"/>
  <c r="AU1290" i="3"/>
  <c r="I1290" i="3" s="1"/>
  <c r="AU1291" i="3"/>
  <c r="I1291" i="3" s="1"/>
  <c r="AU1292" i="3"/>
  <c r="I1292" i="3" s="1"/>
  <c r="AU1293" i="3"/>
  <c r="I1293" i="3" s="1"/>
  <c r="AU1294" i="3"/>
  <c r="I1294" i="3" s="1"/>
  <c r="AU1295" i="3"/>
  <c r="I1295" i="3" s="1"/>
  <c r="AU1296" i="3"/>
  <c r="I1296" i="3" s="1"/>
  <c r="AU1297" i="3"/>
  <c r="I1297" i="3" s="1"/>
  <c r="AU1298" i="3"/>
  <c r="I1298" i="3" s="1"/>
  <c r="AU1299" i="3"/>
  <c r="I1299" i="3" s="1"/>
  <c r="AU1300" i="3"/>
  <c r="I1300" i="3" s="1"/>
  <c r="AU1301" i="3"/>
  <c r="I1301" i="3" s="1"/>
  <c r="AU1302" i="3"/>
  <c r="I1302" i="3" s="1"/>
  <c r="AU1303" i="3"/>
  <c r="I1303" i="3" s="1"/>
  <c r="AU1304" i="3"/>
  <c r="I1304" i="3" s="1"/>
  <c r="AU1305" i="3"/>
  <c r="I1305" i="3" s="1"/>
  <c r="AU1306" i="3"/>
  <c r="I1306" i="3" s="1"/>
  <c r="AU1307" i="3"/>
  <c r="I1307" i="3" s="1"/>
  <c r="AU1308" i="3"/>
  <c r="I1308" i="3" s="1"/>
  <c r="AU1309" i="3"/>
  <c r="I1309" i="3" s="1"/>
  <c r="AU1310" i="3"/>
  <c r="I1310" i="3" s="1"/>
  <c r="AU1311" i="3"/>
  <c r="I1311" i="3" s="1"/>
  <c r="AU1312" i="3"/>
  <c r="I1312" i="3" s="1"/>
  <c r="AU1313" i="3"/>
  <c r="I1313" i="3" s="1"/>
  <c r="AU1314" i="3"/>
  <c r="I1314" i="3" s="1"/>
  <c r="AU1315" i="3"/>
  <c r="I1315" i="3" s="1"/>
  <c r="AU1316" i="3"/>
  <c r="I1316" i="3" s="1"/>
  <c r="AU1317" i="3"/>
  <c r="I1317" i="3" s="1"/>
  <c r="AU1318" i="3"/>
  <c r="I1318" i="3" s="1"/>
  <c r="AU1319" i="3"/>
  <c r="I1319" i="3" s="1"/>
  <c r="AU1320" i="3"/>
  <c r="I1320" i="3" s="1"/>
  <c r="AU1321" i="3"/>
  <c r="I1321" i="3" s="1"/>
  <c r="AU1322" i="3"/>
  <c r="I1322" i="3" s="1"/>
  <c r="AU1323" i="3"/>
  <c r="I1323" i="3" s="1"/>
  <c r="AU1324" i="3"/>
  <c r="I1324" i="3" s="1"/>
  <c r="AU1325" i="3"/>
  <c r="I1325" i="3" s="1"/>
  <c r="AU1326" i="3"/>
  <c r="I1326" i="3" s="1"/>
  <c r="AU1327" i="3"/>
  <c r="I1327" i="3" s="1"/>
  <c r="AU1328" i="3"/>
  <c r="I1328" i="3" s="1"/>
  <c r="AU1329" i="3"/>
  <c r="I1329" i="3" s="1"/>
  <c r="AU1330" i="3"/>
  <c r="I1330" i="3" s="1"/>
  <c r="AU1331" i="3"/>
  <c r="I1331" i="3" s="1"/>
  <c r="AU1332" i="3"/>
  <c r="I1332" i="3" s="1"/>
  <c r="AU1333" i="3"/>
  <c r="I1333" i="3" s="1"/>
  <c r="AU1334" i="3"/>
  <c r="I1334" i="3" s="1"/>
  <c r="AU1335" i="3"/>
  <c r="I1335" i="3" s="1"/>
  <c r="AU1336" i="3"/>
  <c r="I1336" i="3" s="1"/>
  <c r="AU1337" i="3"/>
  <c r="I1337" i="3" s="1"/>
  <c r="AU1338" i="3"/>
  <c r="I1338" i="3" s="1"/>
  <c r="AU1339" i="3"/>
  <c r="I1339" i="3" s="1"/>
  <c r="AU1340" i="3"/>
  <c r="I1340" i="3" s="1"/>
  <c r="AU1341" i="3"/>
  <c r="I1341" i="3" s="1"/>
  <c r="AU1342" i="3"/>
  <c r="I1342" i="3" s="1"/>
  <c r="AU1343" i="3"/>
  <c r="I1343" i="3" s="1"/>
  <c r="AU1344" i="3"/>
  <c r="I1344" i="3" s="1"/>
  <c r="AU1345" i="3"/>
  <c r="I1345" i="3" s="1"/>
  <c r="AU1346" i="3"/>
  <c r="I1346" i="3" s="1"/>
  <c r="AU1347" i="3"/>
  <c r="I1347" i="3" s="1"/>
  <c r="AU1348" i="3"/>
  <c r="I1348" i="3" s="1"/>
  <c r="AU1349" i="3"/>
  <c r="I1349" i="3" s="1"/>
  <c r="AU1350" i="3"/>
  <c r="I1350" i="3" s="1"/>
  <c r="AU1351" i="3"/>
  <c r="I1351" i="3" s="1"/>
  <c r="AU1352" i="3"/>
  <c r="I1352" i="3" s="1"/>
  <c r="AU1353" i="3"/>
  <c r="I1353" i="3" s="1"/>
  <c r="AU1354" i="3"/>
  <c r="I1354" i="3" s="1"/>
  <c r="AU1355" i="3"/>
  <c r="I1355" i="3" s="1"/>
  <c r="AU1356" i="3"/>
  <c r="I1356" i="3" s="1"/>
  <c r="AU1357" i="3"/>
  <c r="I1357" i="3" s="1"/>
  <c r="AU1358" i="3"/>
  <c r="I1358" i="3" s="1"/>
  <c r="AU1359" i="3"/>
  <c r="I1359" i="3" s="1"/>
  <c r="AU1360" i="3"/>
  <c r="I1360" i="3" s="1"/>
  <c r="AU1361" i="3"/>
  <c r="I1361" i="3" s="1"/>
  <c r="AU1362" i="3"/>
  <c r="I1362" i="3" s="1"/>
  <c r="AU1363" i="3"/>
  <c r="I1363" i="3" s="1"/>
  <c r="AU1364" i="3"/>
  <c r="I1364" i="3" s="1"/>
  <c r="AU1365" i="3"/>
  <c r="I1365" i="3" s="1"/>
  <c r="AU1366" i="3"/>
  <c r="I1366" i="3" s="1"/>
  <c r="AU1367" i="3"/>
  <c r="I1367" i="3" s="1"/>
  <c r="AU1368" i="3"/>
  <c r="I1368" i="3" s="1"/>
  <c r="AU1369" i="3"/>
  <c r="I1369" i="3" s="1"/>
  <c r="AU1370" i="3"/>
  <c r="I1370" i="3" s="1"/>
  <c r="AU1371" i="3"/>
  <c r="I1371" i="3" s="1"/>
  <c r="AU1372" i="3"/>
  <c r="I1372" i="3" s="1"/>
  <c r="AU1373" i="3"/>
  <c r="I1373" i="3" s="1"/>
  <c r="AU1374" i="3"/>
  <c r="I1374" i="3" s="1"/>
  <c r="AU1375" i="3"/>
  <c r="I1375" i="3" s="1"/>
  <c r="AU1376" i="3"/>
  <c r="I1376" i="3" s="1"/>
  <c r="AU1377" i="3"/>
  <c r="I1377" i="3" s="1"/>
  <c r="AU1378" i="3"/>
  <c r="I1378" i="3" s="1"/>
  <c r="AU1379" i="3"/>
  <c r="I1379" i="3" s="1"/>
  <c r="AU1380" i="3"/>
  <c r="I1380" i="3" s="1"/>
  <c r="AU1381" i="3"/>
  <c r="I1381" i="3" s="1"/>
  <c r="AU1382" i="3"/>
  <c r="I1382" i="3" s="1"/>
  <c r="AU1383" i="3"/>
  <c r="I1383" i="3" s="1"/>
  <c r="AU1384" i="3"/>
  <c r="I1384" i="3" s="1"/>
  <c r="AU1385" i="3"/>
  <c r="I1385" i="3" s="1"/>
  <c r="AU1386" i="3"/>
  <c r="I1386" i="3" s="1"/>
  <c r="AU1387" i="3"/>
  <c r="I1387" i="3" s="1"/>
  <c r="AU1388" i="3"/>
  <c r="I1388" i="3" s="1"/>
  <c r="AU1389" i="3"/>
  <c r="I1389" i="3" s="1"/>
  <c r="AU1390" i="3"/>
  <c r="I1390" i="3" s="1"/>
  <c r="AU1391" i="3"/>
  <c r="I1391" i="3" s="1"/>
  <c r="AU1392" i="3"/>
  <c r="I1392" i="3" s="1"/>
  <c r="AU1393" i="3"/>
  <c r="I1393" i="3" s="1"/>
  <c r="AU1394" i="3"/>
  <c r="I1394" i="3" s="1"/>
  <c r="AU1395" i="3"/>
  <c r="I1395" i="3" s="1"/>
  <c r="AU1396" i="3"/>
  <c r="I1396" i="3" s="1"/>
  <c r="AU1397" i="3"/>
  <c r="I1397" i="3" s="1"/>
  <c r="AU1398" i="3"/>
  <c r="I1398" i="3" s="1"/>
  <c r="AU1399" i="3"/>
  <c r="I1399" i="3" s="1"/>
  <c r="AU1400" i="3"/>
  <c r="I1400" i="3" s="1"/>
  <c r="AU1401" i="3"/>
  <c r="I1401" i="3" s="1"/>
  <c r="AU1402" i="3"/>
  <c r="I1402" i="3" s="1"/>
  <c r="AU1403" i="3"/>
  <c r="I1403" i="3" s="1"/>
  <c r="AU1404" i="3"/>
  <c r="I1404" i="3" s="1"/>
  <c r="AU1405" i="3"/>
  <c r="I1405" i="3" s="1"/>
  <c r="AU1406" i="3"/>
  <c r="I1406" i="3" s="1"/>
  <c r="AU1407" i="3"/>
  <c r="I1407" i="3" s="1"/>
  <c r="AU1408" i="3"/>
  <c r="I1408" i="3" s="1"/>
  <c r="AU1409" i="3"/>
  <c r="I1409" i="3" s="1"/>
  <c r="AU1410" i="3"/>
  <c r="I1410" i="3" s="1"/>
  <c r="AU1411" i="3"/>
  <c r="I1411" i="3" s="1"/>
  <c r="AU1412" i="3"/>
  <c r="I1412" i="3" s="1"/>
  <c r="AU1413" i="3"/>
  <c r="I1413" i="3" s="1"/>
  <c r="AU1414" i="3"/>
  <c r="I1414" i="3" s="1"/>
  <c r="AU1415" i="3"/>
  <c r="I1415" i="3" s="1"/>
  <c r="AU1416" i="3"/>
  <c r="I1416" i="3" s="1"/>
  <c r="AU1417" i="3"/>
  <c r="I1417" i="3" s="1"/>
  <c r="AU1418" i="3"/>
  <c r="I1418" i="3" s="1"/>
  <c r="AU1419" i="3"/>
  <c r="I1419" i="3" s="1"/>
  <c r="AU1420" i="3"/>
  <c r="I1420" i="3" s="1"/>
  <c r="AU1421" i="3"/>
  <c r="I1421" i="3" s="1"/>
  <c r="AU1422" i="3"/>
  <c r="I1422" i="3" s="1"/>
  <c r="AU1423" i="3"/>
  <c r="I1423" i="3" s="1"/>
  <c r="AU1424" i="3"/>
  <c r="I1424" i="3" s="1"/>
  <c r="AU1425" i="3"/>
  <c r="I1425" i="3" s="1"/>
  <c r="AU1426" i="3"/>
  <c r="I1426" i="3" s="1"/>
  <c r="AU1427" i="3"/>
  <c r="I1427" i="3" s="1"/>
  <c r="AU1428" i="3"/>
  <c r="I1428" i="3" s="1"/>
  <c r="AU1429" i="3"/>
  <c r="I1429" i="3" s="1"/>
  <c r="AU1430" i="3"/>
  <c r="I1430" i="3" s="1"/>
  <c r="AU1431" i="3"/>
  <c r="I1431" i="3" s="1"/>
  <c r="AU1432" i="3"/>
  <c r="I1432" i="3" s="1"/>
  <c r="AU1433" i="3"/>
  <c r="I1433" i="3" s="1"/>
  <c r="AU1434" i="3"/>
  <c r="I1434" i="3" s="1"/>
  <c r="AU1435" i="3"/>
  <c r="I1435" i="3" s="1"/>
  <c r="AU1436" i="3"/>
  <c r="I1436" i="3" s="1"/>
  <c r="AU1437" i="3"/>
  <c r="I1437" i="3" s="1"/>
  <c r="AU1438" i="3"/>
  <c r="I1438" i="3" s="1"/>
  <c r="AU1439" i="3"/>
  <c r="I1439" i="3" s="1"/>
  <c r="AU1440" i="3"/>
  <c r="I1440" i="3" s="1"/>
  <c r="AU1441" i="3"/>
  <c r="I1441" i="3" s="1"/>
  <c r="AU1442" i="3"/>
  <c r="I1442" i="3" s="1"/>
  <c r="AU1443" i="3"/>
  <c r="I1443" i="3" s="1"/>
  <c r="AU1444" i="3"/>
  <c r="I1444" i="3" s="1"/>
  <c r="AU1445" i="3"/>
  <c r="I1445" i="3" s="1"/>
  <c r="AU1446" i="3"/>
  <c r="I1446" i="3" s="1"/>
  <c r="AU1447" i="3"/>
  <c r="I1447" i="3" s="1"/>
  <c r="AU1448" i="3"/>
  <c r="I1448" i="3" s="1"/>
  <c r="AU1449" i="3"/>
  <c r="I1449" i="3" s="1"/>
  <c r="AU1450" i="3"/>
  <c r="I1450" i="3" s="1"/>
  <c r="AU1451" i="3"/>
  <c r="I1451" i="3" s="1"/>
  <c r="AU1452" i="3"/>
  <c r="I1452" i="3" s="1"/>
  <c r="AU1453" i="3"/>
  <c r="I1453" i="3" s="1"/>
  <c r="AU1454" i="3"/>
  <c r="I1454" i="3" s="1"/>
  <c r="AU1455" i="3"/>
  <c r="I1455" i="3" s="1"/>
  <c r="AU1456" i="3"/>
  <c r="I1456" i="3" s="1"/>
  <c r="AU1457" i="3"/>
  <c r="I1457" i="3" s="1"/>
  <c r="AU1458" i="3"/>
  <c r="I1458" i="3" s="1"/>
  <c r="AU1459" i="3"/>
  <c r="I1459" i="3" s="1"/>
  <c r="AU1460" i="3"/>
  <c r="I1460" i="3" s="1"/>
  <c r="AU1461" i="3"/>
  <c r="I1461" i="3" s="1"/>
  <c r="AU1462" i="3"/>
  <c r="I1462" i="3" s="1"/>
  <c r="AU1463" i="3"/>
  <c r="I1463" i="3" s="1"/>
  <c r="AU1464" i="3"/>
  <c r="I1464" i="3" s="1"/>
  <c r="AU1465" i="3"/>
  <c r="I1465" i="3" s="1"/>
  <c r="AU1466" i="3"/>
  <c r="I1466" i="3" s="1"/>
  <c r="AU1467" i="3"/>
  <c r="I1467" i="3" s="1"/>
  <c r="AU1468" i="3"/>
  <c r="I1468" i="3" s="1"/>
  <c r="AU1469" i="3"/>
  <c r="I1469" i="3" s="1"/>
  <c r="AU1470" i="3"/>
  <c r="I1470" i="3" s="1"/>
  <c r="AU1471" i="3"/>
  <c r="I1471" i="3" s="1"/>
  <c r="AU1472" i="3"/>
  <c r="I1472" i="3" s="1"/>
  <c r="AU1473" i="3"/>
  <c r="I1473" i="3" s="1"/>
  <c r="AU1474" i="3"/>
  <c r="I1474" i="3" s="1"/>
  <c r="AU1475" i="3"/>
  <c r="I1475" i="3" s="1"/>
  <c r="AU1476" i="3"/>
  <c r="I1476" i="3" s="1"/>
  <c r="AU1477" i="3"/>
  <c r="I1477" i="3" s="1"/>
  <c r="AU1478" i="3"/>
  <c r="I1478" i="3" s="1"/>
  <c r="AU1479" i="3"/>
  <c r="I1479" i="3" s="1"/>
  <c r="AU1480" i="3"/>
  <c r="I1480" i="3" s="1"/>
  <c r="AU1481" i="3"/>
  <c r="I1481" i="3" s="1"/>
  <c r="AU1482" i="3"/>
  <c r="I1482" i="3" s="1"/>
  <c r="AU1483" i="3"/>
  <c r="I1483" i="3" s="1"/>
  <c r="AU1484" i="3"/>
  <c r="I1484" i="3" s="1"/>
  <c r="AU1485" i="3"/>
  <c r="I1485" i="3" s="1"/>
  <c r="AU1486" i="3"/>
  <c r="I1486" i="3" s="1"/>
  <c r="AU1487" i="3"/>
  <c r="I1487" i="3" s="1"/>
  <c r="AU1488" i="3"/>
  <c r="I1488" i="3" s="1"/>
  <c r="AU1489" i="3"/>
  <c r="I1489" i="3" s="1"/>
  <c r="AU1490" i="3"/>
  <c r="I1490" i="3" s="1"/>
  <c r="AU1491" i="3"/>
  <c r="I1491" i="3" s="1"/>
  <c r="AU1492" i="3"/>
  <c r="I1492" i="3" s="1"/>
  <c r="AU1493" i="3"/>
  <c r="I1493" i="3" s="1"/>
  <c r="AU1494" i="3"/>
  <c r="I1494" i="3" s="1"/>
  <c r="AU1495" i="3"/>
  <c r="I1495" i="3" s="1"/>
  <c r="AU1496" i="3"/>
  <c r="I1496" i="3" s="1"/>
  <c r="AU1497" i="3"/>
  <c r="I1497" i="3" s="1"/>
  <c r="AU1498" i="3"/>
  <c r="I1498" i="3" s="1"/>
  <c r="AU1499" i="3"/>
  <c r="I1499" i="3" s="1"/>
  <c r="AU1500" i="3"/>
  <c r="I1500" i="3" s="1"/>
  <c r="AU1501" i="3"/>
  <c r="I1501" i="3" s="1"/>
  <c r="AU1502" i="3"/>
  <c r="I1502" i="3" s="1"/>
  <c r="AU1503" i="3"/>
  <c r="I1503" i="3" s="1"/>
  <c r="AU1504" i="3"/>
  <c r="I1504" i="3" s="1"/>
  <c r="AU1505" i="3"/>
  <c r="I1505" i="3" s="1"/>
  <c r="AU1506" i="3"/>
  <c r="I1506" i="3" s="1"/>
  <c r="AU1507" i="3"/>
  <c r="I1507" i="3" s="1"/>
  <c r="AU1508" i="3"/>
  <c r="I1508" i="3" s="1"/>
  <c r="AU1509" i="3"/>
  <c r="I1509" i="3" s="1"/>
  <c r="AU1510" i="3"/>
  <c r="I1510" i="3" s="1"/>
  <c r="AU1511" i="3"/>
  <c r="I1511" i="3" s="1"/>
  <c r="AU1512" i="3"/>
  <c r="I1512" i="3" s="1"/>
  <c r="AU1513" i="3"/>
  <c r="I1513" i="3" s="1"/>
  <c r="AU1514" i="3"/>
  <c r="I1514" i="3" s="1"/>
  <c r="AU1515" i="3"/>
  <c r="I1515" i="3" s="1"/>
  <c r="AU1516" i="3"/>
  <c r="I1516" i="3" s="1"/>
  <c r="AU1517" i="3"/>
  <c r="I1517" i="3" s="1"/>
  <c r="AU1518" i="3"/>
  <c r="I1518" i="3" s="1"/>
  <c r="AU1519" i="3"/>
  <c r="I1519" i="3" s="1"/>
  <c r="AU1520" i="3"/>
  <c r="I1520" i="3" s="1"/>
  <c r="AU1521" i="3"/>
  <c r="I1521" i="3" s="1"/>
  <c r="AU1522" i="3"/>
  <c r="I1522" i="3" s="1"/>
  <c r="AU1523" i="3"/>
  <c r="I1523" i="3" s="1"/>
  <c r="AU1524" i="3"/>
  <c r="I1524" i="3" s="1"/>
  <c r="AU1525" i="3"/>
  <c r="I1525" i="3" s="1"/>
  <c r="AU1526" i="3"/>
  <c r="I1526" i="3" s="1"/>
  <c r="AU1527" i="3"/>
  <c r="I1527" i="3" s="1"/>
  <c r="AU1528" i="3"/>
  <c r="I1528" i="3" s="1"/>
  <c r="AU1529" i="3"/>
  <c r="I1529" i="3" s="1"/>
  <c r="AU1530" i="3"/>
  <c r="I1530" i="3" s="1"/>
  <c r="AU1531" i="3"/>
  <c r="I1531" i="3" s="1"/>
  <c r="AU1532" i="3"/>
  <c r="I1532" i="3" s="1"/>
  <c r="AU1533" i="3"/>
  <c r="I1533" i="3" s="1"/>
  <c r="AU1534" i="3"/>
  <c r="I1534" i="3" s="1"/>
  <c r="AU1535" i="3"/>
  <c r="I1535" i="3" s="1"/>
  <c r="AU1536" i="3"/>
  <c r="I1536" i="3" s="1"/>
  <c r="AU1537" i="3"/>
  <c r="I1537" i="3" s="1"/>
  <c r="AU1538" i="3"/>
  <c r="I1538" i="3" s="1"/>
  <c r="AU1539" i="3"/>
  <c r="I1539" i="3" s="1"/>
  <c r="AU1540" i="3"/>
  <c r="I1540" i="3" s="1"/>
  <c r="AU1541" i="3"/>
  <c r="I1541" i="3" s="1"/>
  <c r="AU1542" i="3"/>
  <c r="I1542" i="3" s="1"/>
  <c r="AU1543" i="3"/>
  <c r="I1543" i="3" s="1"/>
  <c r="AU1544" i="3"/>
  <c r="I1544" i="3" s="1"/>
  <c r="AU1545" i="3"/>
  <c r="I1545" i="3" s="1"/>
  <c r="AU1546" i="3"/>
  <c r="I1546" i="3" s="1"/>
  <c r="AU1547" i="3"/>
  <c r="I1547" i="3" s="1"/>
  <c r="AU1548" i="3"/>
  <c r="I1548" i="3" s="1"/>
  <c r="AU1549" i="3"/>
  <c r="I1549" i="3" s="1"/>
  <c r="AU1550" i="3"/>
  <c r="I1550" i="3" s="1"/>
  <c r="AU1551" i="3"/>
  <c r="I1551" i="3" s="1"/>
  <c r="AU1552" i="3"/>
  <c r="I1552" i="3" s="1"/>
  <c r="AU1553" i="3"/>
  <c r="I1553" i="3" s="1"/>
  <c r="AU1554" i="3"/>
  <c r="I1554" i="3" s="1"/>
  <c r="AU1555" i="3"/>
  <c r="I1555" i="3" s="1"/>
  <c r="AU1556" i="3"/>
  <c r="I1556" i="3" s="1"/>
  <c r="AU1557" i="3"/>
  <c r="I1557" i="3" s="1"/>
  <c r="AU1558" i="3"/>
  <c r="I1558" i="3" s="1"/>
  <c r="AU1559" i="3"/>
  <c r="I1559" i="3" s="1"/>
  <c r="AU1560" i="3"/>
  <c r="I1560" i="3" s="1"/>
  <c r="AU1561" i="3"/>
  <c r="I1561" i="3" s="1"/>
  <c r="AU1562" i="3"/>
  <c r="I1562" i="3" s="1"/>
  <c r="AU1563" i="3"/>
  <c r="I1563" i="3" s="1"/>
  <c r="AU1564" i="3"/>
  <c r="I1564" i="3" s="1"/>
  <c r="AU1565" i="3"/>
  <c r="I1565" i="3" s="1"/>
  <c r="AU1566" i="3"/>
  <c r="I1566" i="3" s="1"/>
  <c r="AU1567" i="3"/>
  <c r="I1567" i="3" s="1"/>
  <c r="AU1568" i="3"/>
  <c r="I1568" i="3" s="1"/>
  <c r="AU1569" i="3"/>
  <c r="I1569" i="3" s="1"/>
  <c r="AU1570" i="3"/>
  <c r="I1570" i="3" s="1"/>
  <c r="AU1571" i="3"/>
  <c r="I1571" i="3" s="1"/>
  <c r="AU1572" i="3"/>
  <c r="I1572" i="3" s="1"/>
  <c r="AU1573" i="3"/>
  <c r="I1573" i="3" s="1"/>
  <c r="AU1574" i="3"/>
  <c r="I1574" i="3" s="1"/>
  <c r="AU1575" i="3"/>
  <c r="I1575" i="3" s="1"/>
  <c r="AU1576" i="3"/>
  <c r="I1576" i="3" s="1"/>
  <c r="AU1577" i="3"/>
  <c r="I1577" i="3" s="1"/>
  <c r="AU1578" i="3"/>
  <c r="I1578" i="3" s="1"/>
  <c r="AU1579" i="3"/>
  <c r="I1579" i="3" s="1"/>
  <c r="AU1580" i="3"/>
  <c r="I1580" i="3" s="1"/>
  <c r="AU1581" i="3"/>
  <c r="I1581" i="3" s="1"/>
  <c r="AU1582" i="3"/>
  <c r="I1582" i="3" s="1"/>
  <c r="AU1583" i="3"/>
  <c r="I1583" i="3" s="1"/>
  <c r="AU1584" i="3"/>
  <c r="I1584" i="3" s="1"/>
  <c r="AU1585" i="3"/>
  <c r="I1585" i="3" s="1"/>
  <c r="AU1586" i="3"/>
  <c r="I1586" i="3" s="1"/>
  <c r="AU1587" i="3"/>
  <c r="I1587" i="3" s="1"/>
  <c r="AU1588" i="3"/>
  <c r="I1588" i="3" s="1"/>
  <c r="AU1589" i="3"/>
  <c r="I1589" i="3" s="1"/>
  <c r="AU1590" i="3"/>
  <c r="I1590" i="3" s="1"/>
  <c r="AU1591" i="3"/>
  <c r="I1591" i="3" s="1"/>
  <c r="AU1592" i="3"/>
  <c r="I1592" i="3" s="1"/>
  <c r="AU1593" i="3"/>
  <c r="I1593" i="3" s="1"/>
  <c r="AU1594" i="3"/>
  <c r="I1594" i="3" s="1"/>
  <c r="AU1595" i="3"/>
  <c r="I1595" i="3" s="1"/>
  <c r="AU1596" i="3"/>
  <c r="I1596" i="3" s="1"/>
  <c r="AU1597" i="3"/>
  <c r="I1597" i="3" s="1"/>
  <c r="AU1598" i="3"/>
  <c r="I1598" i="3" s="1"/>
  <c r="AU1599" i="3"/>
  <c r="I1599" i="3" s="1"/>
  <c r="AU1600" i="3"/>
  <c r="I1600" i="3" s="1"/>
  <c r="AU1601" i="3"/>
  <c r="I1601" i="3" s="1"/>
  <c r="AU1602" i="3"/>
  <c r="I1602" i="3" s="1"/>
  <c r="AU1603" i="3"/>
  <c r="I1603" i="3" s="1"/>
  <c r="AU1604" i="3"/>
  <c r="I1604" i="3" s="1"/>
  <c r="AU1605" i="3"/>
  <c r="I1605" i="3" s="1"/>
  <c r="AU1606" i="3"/>
  <c r="I1606" i="3" s="1"/>
  <c r="AU1607" i="3"/>
  <c r="I1607" i="3" s="1"/>
  <c r="AU1608" i="3"/>
  <c r="I1608" i="3" s="1"/>
  <c r="AU1609" i="3"/>
  <c r="I1609" i="3" s="1"/>
  <c r="AU1610" i="3"/>
  <c r="I1610" i="3" s="1"/>
  <c r="AU1611" i="3"/>
  <c r="I1611" i="3" s="1"/>
  <c r="AU1612" i="3"/>
  <c r="I1612" i="3" s="1"/>
  <c r="AU1613" i="3"/>
  <c r="I1613" i="3" s="1"/>
  <c r="AU1614" i="3"/>
  <c r="I1614" i="3" s="1"/>
  <c r="AU1615" i="3"/>
  <c r="I1615" i="3" s="1"/>
  <c r="AU1616" i="3"/>
  <c r="I1616" i="3" s="1"/>
  <c r="AU1617" i="3"/>
  <c r="I1617" i="3" s="1"/>
  <c r="AU1618" i="3"/>
  <c r="I1618" i="3" s="1"/>
  <c r="AU1619" i="3"/>
  <c r="I1619" i="3" s="1"/>
  <c r="AU1620" i="3"/>
  <c r="I1620" i="3" s="1"/>
  <c r="AU1621" i="3"/>
  <c r="I1621" i="3" s="1"/>
  <c r="AU1622" i="3"/>
  <c r="I1622" i="3" s="1"/>
  <c r="AU1623" i="3"/>
  <c r="I1623" i="3" s="1"/>
  <c r="AU1624" i="3"/>
  <c r="I1624" i="3" s="1"/>
  <c r="AU1625" i="3"/>
  <c r="I1625" i="3" s="1"/>
  <c r="AU1626" i="3"/>
  <c r="I1626" i="3" s="1"/>
  <c r="AU1627" i="3"/>
  <c r="I1627" i="3" s="1"/>
  <c r="AU1628" i="3"/>
  <c r="I1628" i="3" s="1"/>
  <c r="AU1629" i="3"/>
  <c r="I1629" i="3" s="1"/>
  <c r="AU1630" i="3"/>
  <c r="I1630" i="3" s="1"/>
  <c r="AU1631" i="3"/>
  <c r="I1631" i="3" s="1"/>
  <c r="AU1632" i="3"/>
  <c r="I1632" i="3" s="1"/>
  <c r="AU1633" i="3"/>
  <c r="I1633" i="3" s="1"/>
  <c r="AU1634" i="3"/>
  <c r="I1634" i="3" s="1"/>
  <c r="AU1635" i="3"/>
  <c r="I1635" i="3" s="1"/>
  <c r="AU1636" i="3"/>
  <c r="I1636" i="3" s="1"/>
  <c r="AU1637" i="3"/>
  <c r="I1637" i="3" s="1"/>
  <c r="AU1638" i="3"/>
  <c r="I1638" i="3" s="1"/>
  <c r="AU1639" i="3"/>
  <c r="I1639" i="3" s="1"/>
  <c r="AU1640" i="3"/>
  <c r="I1640" i="3" s="1"/>
  <c r="AU1641" i="3"/>
  <c r="I1641" i="3" s="1"/>
  <c r="AU1642" i="3"/>
  <c r="I1642" i="3" s="1"/>
  <c r="AU1643" i="3"/>
  <c r="I1643" i="3" s="1"/>
  <c r="AU1644" i="3"/>
  <c r="I1644" i="3" s="1"/>
  <c r="AU1645" i="3"/>
  <c r="I1645" i="3" s="1"/>
  <c r="AU1646" i="3"/>
  <c r="I1646" i="3" s="1"/>
  <c r="AU1647" i="3"/>
  <c r="I1647" i="3" s="1"/>
  <c r="AU1648" i="3"/>
  <c r="I1648" i="3" s="1"/>
  <c r="AU1649" i="3"/>
  <c r="I1649" i="3" s="1"/>
  <c r="AU1650" i="3"/>
  <c r="I1650" i="3" s="1"/>
  <c r="AU1651" i="3"/>
  <c r="I1651" i="3" s="1"/>
  <c r="AU1652" i="3"/>
  <c r="I1652" i="3" s="1"/>
  <c r="AU1653" i="3"/>
  <c r="I1653" i="3" s="1"/>
  <c r="AU1654" i="3"/>
  <c r="I1654" i="3" s="1"/>
  <c r="AU1655" i="3"/>
  <c r="I1655" i="3" s="1"/>
  <c r="AU1656" i="3"/>
  <c r="I1656" i="3" s="1"/>
  <c r="AU1657" i="3"/>
  <c r="I1657" i="3" s="1"/>
  <c r="AU1658" i="3"/>
  <c r="I1658" i="3" s="1"/>
  <c r="AU1659" i="3"/>
  <c r="I1659" i="3" s="1"/>
  <c r="AU1660" i="3"/>
  <c r="I1660" i="3" s="1"/>
  <c r="AU1661" i="3"/>
  <c r="I1661" i="3" s="1"/>
  <c r="AU1662" i="3"/>
  <c r="I1662" i="3" s="1"/>
  <c r="AU1663" i="3"/>
  <c r="I1663" i="3" s="1"/>
  <c r="AU1664" i="3"/>
  <c r="I1664" i="3" s="1"/>
  <c r="AU1665" i="3"/>
  <c r="I1665" i="3" s="1"/>
  <c r="AU1666" i="3"/>
  <c r="I1666" i="3" s="1"/>
  <c r="AU1667" i="3"/>
  <c r="I1667" i="3" s="1"/>
  <c r="AU1668" i="3"/>
  <c r="I1668" i="3" s="1"/>
  <c r="AU1669" i="3"/>
  <c r="I1669" i="3" s="1"/>
  <c r="AU1670" i="3"/>
  <c r="I1670" i="3" s="1"/>
  <c r="AU1671" i="3"/>
  <c r="I1671" i="3" s="1"/>
  <c r="AU1672" i="3"/>
  <c r="I1672" i="3" s="1"/>
  <c r="AU1673" i="3"/>
  <c r="I1673" i="3" s="1"/>
  <c r="AU1674" i="3"/>
  <c r="I1674" i="3" s="1"/>
  <c r="AU1675" i="3"/>
  <c r="I1675" i="3" s="1"/>
  <c r="AU1676" i="3"/>
  <c r="I1676" i="3" s="1"/>
  <c r="AU1677" i="3"/>
  <c r="I1677" i="3" s="1"/>
  <c r="AU1678" i="3"/>
  <c r="I1678" i="3" s="1"/>
  <c r="AU1679" i="3"/>
  <c r="I1679" i="3" s="1"/>
  <c r="AU1680" i="3"/>
  <c r="I1680" i="3" s="1"/>
  <c r="AU1681" i="3"/>
  <c r="I1681" i="3" s="1"/>
  <c r="AU1682" i="3"/>
  <c r="I1682" i="3" s="1"/>
  <c r="AU1683" i="3"/>
  <c r="I1683" i="3" s="1"/>
  <c r="AU1684" i="3"/>
  <c r="I1684" i="3" s="1"/>
  <c r="AU1685" i="3"/>
  <c r="I1685" i="3" s="1"/>
  <c r="AU1686" i="3"/>
  <c r="I1686" i="3" s="1"/>
  <c r="AU1687" i="3"/>
  <c r="I1687" i="3" s="1"/>
  <c r="AU1688" i="3"/>
  <c r="I1688" i="3" s="1"/>
  <c r="AU1689" i="3"/>
  <c r="I1689" i="3" s="1"/>
  <c r="AU1690" i="3"/>
  <c r="I1690" i="3" s="1"/>
  <c r="AU1691" i="3"/>
  <c r="I1691" i="3" s="1"/>
  <c r="AU1692" i="3"/>
  <c r="I1692" i="3" s="1"/>
  <c r="AU1693" i="3"/>
  <c r="I1693" i="3" s="1"/>
  <c r="AU1694" i="3"/>
  <c r="I1694" i="3" s="1"/>
  <c r="AU1695" i="3"/>
  <c r="I1695" i="3" s="1"/>
  <c r="AU1696" i="3"/>
  <c r="I1696" i="3" s="1"/>
  <c r="AU1697" i="3"/>
  <c r="I1697" i="3" s="1"/>
  <c r="AU1698" i="3"/>
  <c r="I1698" i="3" s="1"/>
  <c r="AU1699" i="3"/>
  <c r="I1699" i="3" s="1"/>
  <c r="AU1700" i="3"/>
  <c r="I1700" i="3" s="1"/>
  <c r="AU1701" i="3"/>
  <c r="I1701" i="3" s="1"/>
  <c r="AU1702" i="3"/>
  <c r="I1702" i="3" s="1"/>
  <c r="AU1703" i="3"/>
  <c r="I1703" i="3" s="1"/>
  <c r="AU1704" i="3"/>
  <c r="I1704" i="3" s="1"/>
  <c r="AU1705" i="3"/>
  <c r="I1705" i="3" s="1"/>
  <c r="AU1706" i="3"/>
  <c r="I1706" i="3" s="1"/>
  <c r="AU1707" i="3"/>
  <c r="I1707" i="3" s="1"/>
  <c r="AU1708" i="3"/>
  <c r="I1708" i="3" s="1"/>
  <c r="AU1709" i="3"/>
  <c r="I1709" i="3" s="1"/>
  <c r="AU1710" i="3"/>
  <c r="I1710" i="3" s="1"/>
  <c r="AU1711" i="3"/>
  <c r="I1711" i="3" s="1"/>
  <c r="AU1712" i="3"/>
  <c r="I1712" i="3" s="1"/>
  <c r="AU1713" i="3"/>
  <c r="I1713" i="3" s="1"/>
  <c r="AU1714" i="3"/>
  <c r="I1714" i="3" s="1"/>
  <c r="AU1715" i="3"/>
  <c r="I1715" i="3" s="1"/>
  <c r="AU1716" i="3"/>
  <c r="I1716" i="3" s="1"/>
  <c r="AU1717" i="3"/>
  <c r="I1717" i="3" s="1"/>
  <c r="AU1718" i="3"/>
  <c r="I1718" i="3" s="1"/>
  <c r="AU1719" i="3"/>
  <c r="I1719" i="3" s="1"/>
  <c r="AU1720" i="3"/>
  <c r="I1720" i="3" s="1"/>
  <c r="AU1721" i="3"/>
  <c r="I1721" i="3" s="1"/>
  <c r="AU1722" i="3"/>
  <c r="I1722" i="3" s="1"/>
  <c r="AU1723" i="3"/>
  <c r="I1723" i="3" s="1"/>
  <c r="AU1724" i="3"/>
  <c r="I1724" i="3" s="1"/>
  <c r="AU1725" i="3"/>
  <c r="I1725" i="3" s="1"/>
  <c r="AU1726" i="3"/>
  <c r="I1726" i="3" s="1"/>
  <c r="AU1727" i="3"/>
  <c r="I1727" i="3" s="1"/>
  <c r="AU1728" i="3"/>
  <c r="I1728" i="3" s="1"/>
  <c r="AU1729" i="3"/>
  <c r="I1729" i="3" s="1"/>
  <c r="AU1730" i="3"/>
  <c r="I1730" i="3" s="1"/>
  <c r="AU1731" i="3"/>
  <c r="I1731" i="3" s="1"/>
  <c r="AU1732" i="3"/>
  <c r="I1732" i="3" s="1"/>
  <c r="AU1733" i="3"/>
  <c r="I1733" i="3" s="1"/>
  <c r="AU1734" i="3"/>
  <c r="I1734" i="3" s="1"/>
  <c r="AU1735" i="3"/>
  <c r="I1735" i="3" s="1"/>
  <c r="AU1736" i="3"/>
  <c r="I1736" i="3" s="1"/>
  <c r="AU1737" i="3"/>
  <c r="I1737" i="3" s="1"/>
  <c r="AU1738" i="3"/>
  <c r="I1738" i="3" s="1"/>
  <c r="AU1739" i="3"/>
  <c r="I1739" i="3" s="1"/>
  <c r="AU1740" i="3"/>
  <c r="I1740" i="3" s="1"/>
  <c r="AU1741" i="3"/>
  <c r="I1741" i="3" s="1"/>
  <c r="AU1742" i="3"/>
  <c r="I1742" i="3" s="1"/>
  <c r="AU1743" i="3"/>
  <c r="I1743" i="3" s="1"/>
  <c r="AU1744" i="3"/>
  <c r="I1744" i="3" s="1"/>
  <c r="AU1745" i="3"/>
  <c r="I1745" i="3" s="1"/>
  <c r="AU1746" i="3"/>
  <c r="I1746" i="3" s="1"/>
  <c r="AU1747" i="3"/>
  <c r="I1747" i="3" s="1"/>
  <c r="AU1748" i="3"/>
  <c r="I1748" i="3" s="1"/>
  <c r="AU1749" i="3"/>
  <c r="I1749" i="3" s="1"/>
  <c r="AU1750" i="3"/>
  <c r="I1750" i="3" s="1"/>
  <c r="AU1751" i="3"/>
  <c r="I1751" i="3" s="1"/>
  <c r="AU1752" i="3"/>
  <c r="I1752" i="3" s="1"/>
  <c r="AU1753" i="3"/>
  <c r="I1753" i="3" s="1"/>
  <c r="AU1754" i="3"/>
  <c r="I1754" i="3" s="1"/>
  <c r="AU1755" i="3"/>
  <c r="I1755" i="3" s="1"/>
  <c r="AU1756" i="3"/>
  <c r="I1756" i="3" s="1"/>
  <c r="AU1757" i="3"/>
  <c r="I1757" i="3" s="1"/>
  <c r="AU1758" i="3"/>
  <c r="I1758" i="3" s="1"/>
  <c r="AU1759" i="3"/>
  <c r="I1759" i="3" s="1"/>
  <c r="AU1760" i="3"/>
  <c r="I1760" i="3" s="1"/>
  <c r="AU1761" i="3"/>
  <c r="I1761" i="3" s="1"/>
  <c r="AU1762" i="3"/>
  <c r="I1762" i="3" s="1"/>
  <c r="AU1763" i="3"/>
  <c r="I1763" i="3" s="1"/>
  <c r="AU1764" i="3"/>
  <c r="I1764" i="3" s="1"/>
  <c r="AU1765" i="3"/>
  <c r="I1765" i="3" s="1"/>
  <c r="AU1766" i="3"/>
  <c r="I1766" i="3" s="1"/>
  <c r="AU1767" i="3"/>
  <c r="I1767" i="3" s="1"/>
  <c r="AU1768" i="3"/>
  <c r="I1768" i="3" s="1"/>
  <c r="AU1769" i="3"/>
  <c r="I1769" i="3" s="1"/>
  <c r="AU1770" i="3"/>
  <c r="I1770" i="3" s="1"/>
  <c r="AU1771" i="3"/>
  <c r="I1771" i="3" s="1"/>
  <c r="AU1772" i="3"/>
  <c r="I1772" i="3" s="1"/>
  <c r="AU1773" i="3"/>
  <c r="I1773" i="3" s="1"/>
  <c r="AU1774" i="3"/>
  <c r="I1774" i="3" s="1"/>
  <c r="AU1775" i="3"/>
  <c r="I1775" i="3" s="1"/>
  <c r="AU1776" i="3"/>
  <c r="I1776" i="3" s="1"/>
  <c r="AU1777" i="3"/>
  <c r="I1777" i="3" s="1"/>
  <c r="AU1778" i="3"/>
  <c r="I1778" i="3" s="1"/>
  <c r="AU1779" i="3"/>
  <c r="I1779" i="3" s="1"/>
  <c r="AU1780" i="3"/>
  <c r="I1780" i="3" s="1"/>
  <c r="AU1781" i="3"/>
  <c r="I1781" i="3" s="1"/>
  <c r="AU1782" i="3"/>
  <c r="I1782" i="3" s="1"/>
  <c r="AU1783" i="3"/>
  <c r="I1783" i="3" s="1"/>
  <c r="AU1784" i="3"/>
  <c r="I1784" i="3" s="1"/>
  <c r="AU1785" i="3"/>
  <c r="I1785" i="3" s="1"/>
  <c r="AU1786" i="3"/>
  <c r="I1786" i="3" s="1"/>
  <c r="AU1787" i="3"/>
  <c r="I1787" i="3" s="1"/>
  <c r="AU1788" i="3"/>
  <c r="I1788" i="3" s="1"/>
  <c r="AU1789" i="3"/>
  <c r="I1789" i="3" s="1"/>
  <c r="AU1790" i="3"/>
  <c r="I1790" i="3" s="1"/>
  <c r="AU1791" i="3"/>
  <c r="I1791" i="3" s="1"/>
  <c r="AU1792" i="3"/>
  <c r="I1792" i="3" s="1"/>
  <c r="AU1793" i="3"/>
  <c r="I1793" i="3" s="1"/>
  <c r="AU1794" i="3"/>
  <c r="I1794" i="3" s="1"/>
  <c r="AU1795" i="3"/>
  <c r="I1795" i="3" s="1"/>
  <c r="AU1796" i="3"/>
  <c r="I1796" i="3" s="1"/>
  <c r="AU1797" i="3"/>
  <c r="I1797" i="3" s="1"/>
  <c r="AU1798" i="3"/>
  <c r="I1798" i="3" s="1"/>
  <c r="AU1799" i="3"/>
  <c r="I1799" i="3" s="1"/>
  <c r="AU1800" i="3"/>
  <c r="I1800" i="3" s="1"/>
  <c r="AU1801" i="3"/>
  <c r="I1801" i="3" s="1"/>
  <c r="AU1802" i="3"/>
  <c r="I1802" i="3" s="1"/>
  <c r="AU1803" i="3"/>
  <c r="I1803" i="3" s="1"/>
  <c r="AU1804" i="3"/>
  <c r="I1804" i="3" s="1"/>
  <c r="AU1805" i="3"/>
  <c r="I1805" i="3" s="1"/>
  <c r="AU1806" i="3"/>
  <c r="I1806" i="3" s="1"/>
  <c r="AU1807" i="3"/>
  <c r="I1807" i="3" s="1"/>
  <c r="AU1808" i="3"/>
  <c r="I1808" i="3" s="1"/>
  <c r="AU1809" i="3"/>
  <c r="I1809" i="3" s="1"/>
  <c r="AU1810" i="3"/>
  <c r="I1810" i="3" s="1"/>
  <c r="AU1811" i="3"/>
  <c r="I1811" i="3" s="1"/>
  <c r="AU1812" i="3"/>
  <c r="I1812" i="3" s="1"/>
  <c r="AU1813" i="3"/>
  <c r="I1813" i="3" s="1"/>
  <c r="AU1814" i="3"/>
  <c r="I1814" i="3" s="1"/>
  <c r="AU1815" i="3"/>
  <c r="I1815" i="3" s="1"/>
  <c r="AU1816" i="3"/>
  <c r="I1816" i="3" s="1"/>
  <c r="AU1817" i="3"/>
  <c r="I1817" i="3" s="1"/>
  <c r="AU1818" i="3"/>
  <c r="I1818" i="3" s="1"/>
  <c r="AU1819" i="3"/>
  <c r="I1819" i="3" s="1"/>
  <c r="AU1820" i="3"/>
  <c r="I1820" i="3" s="1"/>
  <c r="AU1821" i="3"/>
  <c r="I1821" i="3" s="1"/>
  <c r="AU1822" i="3"/>
  <c r="I1822" i="3" s="1"/>
  <c r="AU1823" i="3"/>
  <c r="I1823" i="3" s="1"/>
  <c r="AU1824" i="3"/>
  <c r="I1824" i="3" s="1"/>
  <c r="AU1825" i="3"/>
  <c r="I1825" i="3" s="1"/>
  <c r="AU1826" i="3"/>
  <c r="I1826" i="3" s="1"/>
  <c r="AU1827" i="3"/>
  <c r="I1827" i="3" s="1"/>
  <c r="AU1828" i="3"/>
  <c r="I1828" i="3" s="1"/>
  <c r="AU1829" i="3"/>
  <c r="I1829" i="3" s="1"/>
  <c r="AU1830" i="3"/>
  <c r="I1830" i="3" s="1"/>
  <c r="AU1831" i="3"/>
  <c r="I1831" i="3" s="1"/>
  <c r="AU1832" i="3"/>
  <c r="I1832" i="3" s="1"/>
  <c r="AU1833" i="3"/>
  <c r="I1833" i="3" s="1"/>
  <c r="AU1834" i="3"/>
  <c r="I1834" i="3" s="1"/>
  <c r="AU1835" i="3"/>
  <c r="I1835" i="3" s="1"/>
  <c r="AU1836" i="3"/>
  <c r="I1836" i="3" s="1"/>
  <c r="AU1837" i="3"/>
  <c r="I1837" i="3" s="1"/>
  <c r="AU1838" i="3"/>
  <c r="I1838" i="3" s="1"/>
  <c r="AU1839" i="3"/>
  <c r="I1839" i="3" s="1"/>
  <c r="AU1840" i="3"/>
  <c r="I1840" i="3" s="1"/>
  <c r="AU1841" i="3"/>
  <c r="I1841" i="3" s="1"/>
  <c r="AU1842" i="3"/>
  <c r="I1842" i="3" s="1"/>
  <c r="AU1843" i="3"/>
  <c r="I1843" i="3" s="1"/>
  <c r="AU1844" i="3"/>
  <c r="I1844" i="3" s="1"/>
  <c r="AU1845" i="3"/>
  <c r="I1845" i="3" s="1"/>
  <c r="AU1846" i="3"/>
  <c r="I1846" i="3" s="1"/>
  <c r="AU1847" i="3"/>
  <c r="I1847" i="3" s="1"/>
  <c r="AU1848" i="3"/>
  <c r="I1848" i="3" s="1"/>
  <c r="AU1849" i="3"/>
  <c r="I1849" i="3" s="1"/>
  <c r="AU1850" i="3"/>
  <c r="I1850" i="3" s="1"/>
  <c r="AU1851" i="3"/>
  <c r="I1851" i="3" s="1"/>
  <c r="AU1852" i="3"/>
  <c r="I1852" i="3" s="1"/>
  <c r="AU1853" i="3"/>
  <c r="I1853" i="3" s="1"/>
  <c r="AU1854" i="3"/>
  <c r="I1854" i="3" s="1"/>
  <c r="AU1855" i="3"/>
  <c r="I1855" i="3" s="1"/>
  <c r="AU1856" i="3"/>
  <c r="I1856" i="3" s="1"/>
  <c r="AU1857" i="3"/>
  <c r="I1857" i="3" s="1"/>
  <c r="AU1858" i="3"/>
  <c r="I1858" i="3" s="1"/>
  <c r="AU1859" i="3"/>
  <c r="I1859" i="3" s="1"/>
  <c r="AU1860" i="3"/>
  <c r="I1860" i="3" s="1"/>
  <c r="AU1861" i="3"/>
  <c r="I1861" i="3" s="1"/>
  <c r="AU1862" i="3"/>
  <c r="I1862" i="3" s="1"/>
  <c r="AU1863" i="3"/>
  <c r="I1863" i="3" s="1"/>
  <c r="AU1864" i="3"/>
  <c r="I1864" i="3" s="1"/>
  <c r="AU1865" i="3"/>
  <c r="I1865" i="3" s="1"/>
  <c r="AU1866" i="3"/>
  <c r="I1866" i="3" s="1"/>
  <c r="AU1867" i="3"/>
  <c r="I1867" i="3" s="1"/>
  <c r="AU1868" i="3"/>
  <c r="I1868" i="3" s="1"/>
  <c r="AU1869" i="3"/>
  <c r="I1869" i="3" s="1"/>
  <c r="AU1870" i="3"/>
  <c r="I1870" i="3" s="1"/>
  <c r="AU1871" i="3"/>
  <c r="I1871" i="3" s="1"/>
  <c r="AU1872" i="3"/>
  <c r="I1872" i="3" s="1"/>
  <c r="AU1873" i="3"/>
  <c r="I1873" i="3" s="1"/>
  <c r="AU1874" i="3"/>
  <c r="I1874" i="3" s="1"/>
  <c r="AU1875" i="3"/>
  <c r="I1875" i="3" s="1"/>
  <c r="AU1876" i="3"/>
  <c r="I1876" i="3" s="1"/>
  <c r="AU1877" i="3"/>
  <c r="I1877" i="3" s="1"/>
  <c r="AU1878" i="3"/>
  <c r="I1878" i="3" s="1"/>
  <c r="AU1879" i="3"/>
  <c r="I1879" i="3" s="1"/>
  <c r="AU1880" i="3"/>
  <c r="I1880" i="3" s="1"/>
  <c r="AU1881" i="3"/>
  <c r="I1881" i="3" s="1"/>
  <c r="AU1882" i="3"/>
  <c r="I1882" i="3" s="1"/>
  <c r="AU1883" i="3"/>
  <c r="I1883" i="3" s="1"/>
  <c r="AU1884" i="3"/>
  <c r="I1884" i="3" s="1"/>
  <c r="AU1885" i="3"/>
  <c r="I1885" i="3" s="1"/>
  <c r="AU1886" i="3"/>
  <c r="I1886" i="3" s="1"/>
  <c r="AU1887" i="3"/>
  <c r="I1887" i="3" s="1"/>
  <c r="AU1888" i="3"/>
  <c r="I1888" i="3" s="1"/>
  <c r="AU1889" i="3"/>
  <c r="I1889" i="3" s="1"/>
  <c r="AU1890" i="3"/>
  <c r="I1890" i="3" s="1"/>
  <c r="AU1891" i="3"/>
  <c r="I1891" i="3" s="1"/>
  <c r="AU1892" i="3"/>
  <c r="I1892" i="3" s="1"/>
  <c r="AU1893" i="3"/>
  <c r="I1893" i="3" s="1"/>
  <c r="AU1894" i="3"/>
  <c r="I1894" i="3" s="1"/>
  <c r="AU1895" i="3"/>
  <c r="I1895" i="3" s="1"/>
  <c r="AU1896" i="3"/>
  <c r="I1896" i="3" s="1"/>
  <c r="AU1897" i="3"/>
  <c r="I1897" i="3" s="1"/>
  <c r="AU1898" i="3"/>
  <c r="I1898" i="3" s="1"/>
  <c r="AU1899" i="3"/>
  <c r="I1899" i="3" s="1"/>
  <c r="AU1900" i="3"/>
  <c r="I1900" i="3" s="1"/>
  <c r="AU1901" i="3"/>
  <c r="I1901" i="3" s="1"/>
  <c r="AU1902" i="3"/>
  <c r="I1902" i="3" s="1"/>
  <c r="AU1903" i="3"/>
  <c r="I1903" i="3" s="1"/>
  <c r="AU1904" i="3"/>
  <c r="I1904" i="3" s="1"/>
  <c r="AU1905" i="3"/>
  <c r="I1905" i="3" s="1"/>
  <c r="AU1906" i="3"/>
  <c r="I1906" i="3" s="1"/>
  <c r="AU1907" i="3"/>
  <c r="I1907" i="3" s="1"/>
  <c r="AU1908" i="3"/>
  <c r="I1908" i="3" s="1"/>
  <c r="AU1909" i="3"/>
  <c r="I1909" i="3" s="1"/>
  <c r="AU1910" i="3"/>
  <c r="I1910" i="3" s="1"/>
  <c r="AU1911" i="3"/>
  <c r="I1911" i="3" s="1"/>
  <c r="AU1912" i="3"/>
  <c r="I1912" i="3" s="1"/>
  <c r="AU1913" i="3"/>
  <c r="I1913" i="3" s="1"/>
  <c r="AU1914" i="3"/>
  <c r="I1914" i="3" s="1"/>
  <c r="AU1915" i="3"/>
  <c r="I1915" i="3" s="1"/>
  <c r="AU1916" i="3"/>
  <c r="I1916" i="3" s="1"/>
  <c r="AU1917" i="3"/>
  <c r="I1917" i="3" s="1"/>
  <c r="AU1918" i="3"/>
  <c r="I1918" i="3" s="1"/>
  <c r="AU1919" i="3"/>
  <c r="I1919" i="3" s="1"/>
  <c r="AU1920" i="3"/>
  <c r="I1920" i="3" s="1"/>
  <c r="AU1921" i="3"/>
  <c r="I1921" i="3" s="1"/>
  <c r="AU1922" i="3"/>
  <c r="I1922" i="3" s="1"/>
  <c r="AU1923" i="3"/>
  <c r="I1923" i="3" s="1"/>
  <c r="AU1924" i="3"/>
  <c r="I1924" i="3" s="1"/>
  <c r="AU1925" i="3"/>
  <c r="I1925" i="3" s="1"/>
  <c r="AU1926" i="3"/>
  <c r="I1926" i="3" s="1"/>
  <c r="AU1927" i="3"/>
  <c r="I1927" i="3" s="1"/>
  <c r="AU1928" i="3"/>
  <c r="I1928" i="3" s="1"/>
  <c r="AU1929" i="3"/>
  <c r="I1929" i="3" s="1"/>
  <c r="AU1930" i="3"/>
  <c r="I1930" i="3" s="1"/>
  <c r="AU1931" i="3"/>
  <c r="I1931" i="3" s="1"/>
  <c r="AU1932" i="3"/>
  <c r="I1932" i="3" s="1"/>
  <c r="AU1933" i="3"/>
  <c r="I1933" i="3" s="1"/>
  <c r="AU1934" i="3"/>
  <c r="I1934" i="3" s="1"/>
  <c r="AU1935" i="3"/>
  <c r="I1935" i="3" s="1"/>
  <c r="AU1936" i="3"/>
  <c r="I1936" i="3" s="1"/>
  <c r="AU1937" i="3"/>
  <c r="I1937" i="3" s="1"/>
  <c r="AU1938" i="3"/>
  <c r="I1938" i="3" s="1"/>
  <c r="AU1939" i="3"/>
  <c r="I1939" i="3" s="1"/>
  <c r="AU1940" i="3"/>
  <c r="I1940" i="3" s="1"/>
  <c r="AU1941" i="3"/>
  <c r="I1941" i="3" s="1"/>
  <c r="AU1942" i="3"/>
  <c r="I1942" i="3" s="1"/>
  <c r="AU1943" i="3"/>
  <c r="I1943" i="3" s="1"/>
  <c r="AU1944" i="3"/>
  <c r="I1944" i="3" s="1"/>
  <c r="AU1945" i="3"/>
  <c r="I1945" i="3" s="1"/>
  <c r="AU1946" i="3"/>
  <c r="I1946" i="3" s="1"/>
  <c r="AU1947" i="3"/>
  <c r="I1947" i="3" s="1"/>
  <c r="AU1948" i="3"/>
  <c r="I1948" i="3" s="1"/>
  <c r="AU1949" i="3"/>
  <c r="I1949" i="3" s="1"/>
  <c r="AU1950" i="3"/>
  <c r="I1950" i="3" s="1"/>
  <c r="AU1951" i="3"/>
  <c r="I1951" i="3" s="1"/>
  <c r="AU1952" i="3"/>
  <c r="I1952" i="3" s="1"/>
  <c r="AU1953" i="3"/>
  <c r="I1953" i="3" s="1"/>
  <c r="AU1954" i="3"/>
  <c r="I1954" i="3" s="1"/>
  <c r="AU1955" i="3"/>
  <c r="I1955" i="3" s="1"/>
  <c r="AU1956" i="3"/>
  <c r="I1956" i="3" s="1"/>
  <c r="AU1957" i="3"/>
  <c r="I1957" i="3" s="1"/>
  <c r="AU1958" i="3"/>
  <c r="I1958" i="3" s="1"/>
  <c r="AU1959" i="3"/>
  <c r="I1959" i="3" s="1"/>
  <c r="AU1960" i="3"/>
  <c r="I1960" i="3" s="1"/>
  <c r="AU1961" i="3"/>
  <c r="I1961" i="3" s="1"/>
  <c r="AU1962" i="3"/>
  <c r="I1962" i="3" s="1"/>
  <c r="AU1963" i="3"/>
  <c r="I1963" i="3" s="1"/>
  <c r="AU1964" i="3"/>
  <c r="I1964" i="3" s="1"/>
  <c r="AU1965" i="3"/>
  <c r="I1965" i="3" s="1"/>
  <c r="AU1966" i="3"/>
  <c r="I1966" i="3" s="1"/>
  <c r="AU1967" i="3"/>
  <c r="I1967" i="3" s="1"/>
  <c r="AU1968" i="3"/>
  <c r="I1968" i="3" s="1"/>
  <c r="AU1969" i="3"/>
  <c r="I1969" i="3" s="1"/>
  <c r="AU1970" i="3"/>
  <c r="I1970" i="3" s="1"/>
  <c r="AU1971" i="3"/>
  <c r="I1971" i="3" s="1"/>
  <c r="AU1972" i="3"/>
  <c r="I1972" i="3" s="1"/>
  <c r="AU1973" i="3"/>
  <c r="I1973" i="3" s="1"/>
  <c r="AU1974" i="3"/>
  <c r="I1974" i="3" s="1"/>
  <c r="AU1975" i="3"/>
  <c r="I1975" i="3" s="1"/>
  <c r="AU1976" i="3"/>
  <c r="I1976" i="3" s="1"/>
  <c r="AU1977" i="3"/>
  <c r="I1977" i="3" s="1"/>
  <c r="AU1978" i="3"/>
  <c r="I1978" i="3" s="1"/>
  <c r="AU1979" i="3"/>
  <c r="I1979" i="3" s="1"/>
  <c r="AU1980" i="3"/>
  <c r="I1980" i="3" s="1"/>
  <c r="AU1981" i="3"/>
  <c r="I1981" i="3" s="1"/>
  <c r="AU1982" i="3"/>
  <c r="I1982" i="3" s="1"/>
  <c r="AU1983" i="3"/>
  <c r="I1983" i="3" s="1"/>
  <c r="AU1984" i="3"/>
  <c r="I1984" i="3" s="1"/>
  <c r="AU1985" i="3"/>
  <c r="I1985" i="3" s="1"/>
  <c r="AU1986" i="3"/>
  <c r="I1986" i="3" s="1"/>
  <c r="AU1987" i="3"/>
  <c r="I1987" i="3" s="1"/>
  <c r="AU1988" i="3"/>
  <c r="I1988" i="3" s="1"/>
  <c r="AU1989" i="3"/>
  <c r="I1989" i="3" s="1"/>
  <c r="AU1990" i="3"/>
  <c r="I1990" i="3" s="1"/>
  <c r="AU1991" i="3"/>
  <c r="I1991" i="3" s="1"/>
  <c r="AU1992" i="3"/>
  <c r="I1992" i="3" s="1"/>
  <c r="AU1993" i="3"/>
  <c r="I1993" i="3" s="1"/>
  <c r="AU1994" i="3"/>
  <c r="I1994" i="3" s="1"/>
  <c r="AU1995" i="3"/>
  <c r="I1995" i="3" s="1"/>
  <c r="AU1996" i="3"/>
  <c r="I1996" i="3" s="1"/>
  <c r="AU1997" i="3"/>
  <c r="I1997" i="3" s="1"/>
  <c r="AU1998" i="3"/>
  <c r="I1998" i="3" s="1"/>
  <c r="AU1999" i="3"/>
  <c r="I1999" i="3" s="1"/>
  <c r="AU2000" i="3"/>
  <c r="I2000" i="3" s="1"/>
  <c r="AU2001" i="3"/>
  <c r="I2001" i="3" s="1"/>
  <c r="AU2002" i="3"/>
  <c r="I2002" i="3" s="1"/>
  <c r="I39" i="61" l="1"/>
  <c r="J39" i="61" s="1"/>
  <c r="J9" i="3"/>
  <c r="D1997" i="3"/>
  <c r="D1981" i="3"/>
  <c r="D1961" i="3"/>
  <c r="D1945" i="3"/>
  <c r="D1925" i="3"/>
  <c r="D1909" i="3"/>
  <c r="D1893" i="3"/>
  <c r="D1877" i="3"/>
  <c r="D1861" i="3"/>
  <c r="D1845" i="3"/>
  <c r="D1829" i="3"/>
  <c r="D1813" i="3"/>
  <c r="D1797" i="3"/>
  <c r="D1785" i="3"/>
  <c r="D1769" i="3"/>
  <c r="D1749" i="3"/>
  <c r="D2001" i="3"/>
  <c r="D1985" i="3"/>
  <c r="D1969" i="3"/>
  <c r="D1953" i="3"/>
  <c r="D1937" i="3"/>
  <c r="D1921" i="3"/>
  <c r="D1905" i="3"/>
  <c r="D1889" i="3"/>
  <c r="D1873" i="3"/>
  <c r="D1853" i="3"/>
  <c r="D1837" i="3"/>
  <c r="D1821" i="3"/>
  <c r="D1805" i="3"/>
  <c r="D1789" i="3"/>
  <c r="D1773" i="3"/>
  <c r="D1757" i="3"/>
  <c r="D1741" i="3"/>
  <c r="D1989" i="3"/>
  <c r="D1973" i="3"/>
  <c r="D1957" i="3"/>
  <c r="D1941" i="3"/>
  <c r="D1929" i="3"/>
  <c r="D1913" i="3"/>
  <c r="D1897" i="3"/>
  <c r="D1881" i="3"/>
  <c r="D1865" i="3"/>
  <c r="D1849" i="3"/>
  <c r="D1833" i="3"/>
  <c r="D1817" i="3"/>
  <c r="D1801" i="3"/>
  <c r="D1781" i="3"/>
  <c r="D1765" i="3"/>
  <c r="D1753" i="3"/>
  <c r="D1737" i="3"/>
  <c r="D1993" i="3"/>
  <c r="D1977" i="3"/>
  <c r="D1965" i="3"/>
  <c r="D1949" i="3"/>
  <c r="D1933" i="3"/>
  <c r="D1917" i="3"/>
  <c r="D1901" i="3"/>
  <c r="D1885" i="3"/>
  <c r="D1869" i="3"/>
  <c r="D1857" i="3"/>
  <c r="D1841" i="3"/>
  <c r="D1825" i="3"/>
  <c r="D1809" i="3"/>
  <c r="D1793" i="3"/>
  <c r="D1777" i="3"/>
  <c r="D1761" i="3"/>
  <c r="D1745" i="3"/>
  <c r="D2000" i="3"/>
  <c r="D1996" i="3"/>
  <c r="D1992" i="3"/>
  <c r="D1988" i="3"/>
  <c r="D1984" i="3"/>
  <c r="D1980" i="3"/>
  <c r="D1976" i="3"/>
  <c r="D1972" i="3"/>
  <c r="D1968" i="3"/>
  <c r="D1964" i="3"/>
  <c r="D1960" i="3"/>
  <c r="D1956" i="3"/>
  <c r="D1952" i="3"/>
  <c r="D1948" i="3"/>
  <c r="D1944" i="3"/>
  <c r="D1940" i="3"/>
  <c r="D1936" i="3"/>
  <c r="D1932" i="3"/>
  <c r="D1928" i="3"/>
  <c r="D1924" i="3"/>
  <c r="D1920" i="3"/>
  <c r="D1916" i="3"/>
  <c r="D1912" i="3"/>
  <c r="D1908" i="3"/>
  <c r="D1904" i="3"/>
  <c r="D1900" i="3"/>
  <c r="D1896" i="3"/>
  <c r="D1892" i="3"/>
  <c r="D1888" i="3"/>
  <c r="D1884" i="3"/>
  <c r="D1880" i="3"/>
  <c r="D1876" i="3"/>
  <c r="D1872" i="3"/>
  <c r="D1868" i="3"/>
  <c r="D1864" i="3"/>
  <c r="D1860" i="3"/>
  <c r="D1856" i="3"/>
  <c r="D1852" i="3"/>
  <c r="D1848" i="3"/>
  <c r="D1844" i="3"/>
  <c r="D1840" i="3"/>
  <c r="D1836" i="3"/>
  <c r="D1832" i="3"/>
  <c r="D1828" i="3"/>
  <c r="D1824" i="3"/>
  <c r="D1820" i="3"/>
  <c r="D1816" i="3"/>
  <c r="D1812" i="3"/>
  <c r="D1808" i="3"/>
  <c r="D1804" i="3"/>
  <c r="D1800" i="3"/>
  <c r="D1796" i="3"/>
  <c r="D1792" i="3"/>
  <c r="D1788" i="3"/>
  <c r="D1784" i="3"/>
  <c r="D1780" i="3"/>
  <c r="D1776" i="3"/>
  <c r="D1772" i="3"/>
  <c r="D1768" i="3"/>
  <c r="D1764" i="3"/>
  <c r="D1760" i="3"/>
  <c r="D1756" i="3"/>
  <c r="D1752" i="3"/>
  <c r="D1748" i="3"/>
  <c r="D1744" i="3"/>
  <c r="D1740" i="3"/>
  <c r="D1736" i="3"/>
  <c r="D1999" i="3"/>
  <c r="D1995" i="3"/>
  <c r="D1991" i="3"/>
  <c r="D1987" i="3"/>
  <c r="D1983" i="3"/>
  <c r="D1979" i="3"/>
  <c r="D1975" i="3"/>
  <c r="D1971" i="3"/>
  <c r="D1967" i="3"/>
  <c r="D1963" i="3"/>
  <c r="D1959" i="3"/>
  <c r="D1955" i="3"/>
  <c r="D1951" i="3"/>
  <c r="D1947" i="3"/>
  <c r="D1943" i="3"/>
  <c r="D1939" i="3"/>
  <c r="D1935" i="3"/>
  <c r="D1931" i="3"/>
  <c r="D1927" i="3"/>
  <c r="D1923" i="3"/>
  <c r="D1919" i="3"/>
  <c r="D1915" i="3"/>
  <c r="D1911" i="3"/>
  <c r="D1907" i="3"/>
  <c r="D1903" i="3"/>
  <c r="D1899" i="3"/>
  <c r="D1895" i="3"/>
  <c r="D1891" i="3"/>
  <c r="D1887" i="3"/>
  <c r="D1883" i="3"/>
  <c r="D1879" i="3"/>
  <c r="D1875" i="3"/>
  <c r="D1871" i="3"/>
  <c r="D1867" i="3"/>
  <c r="D1863" i="3"/>
  <c r="D1859" i="3"/>
  <c r="D1855" i="3"/>
  <c r="D1851" i="3"/>
  <c r="D1847" i="3"/>
  <c r="D1843" i="3"/>
  <c r="D1839" i="3"/>
  <c r="D1835" i="3"/>
  <c r="D1831" i="3"/>
  <c r="D1827" i="3"/>
  <c r="D1823" i="3"/>
  <c r="D1819" i="3"/>
  <c r="D1815" i="3"/>
  <c r="D1811" i="3"/>
  <c r="D1807" i="3"/>
  <c r="D1803" i="3"/>
  <c r="D1799" i="3"/>
  <c r="D1795" i="3"/>
  <c r="D1791" i="3"/>
  <c r="D1787" i="3"/>
  <c r="D1783" i="3"/>
  <c r="D1779" i="3"/>
  <c r="D1775" i="3"/>
  <c r="D1771" i="3"/>
  <c r="D1767" i="3"/>
  <c r="D1763" i="3"/>
  <c r="D1759" i="3"/>
  <c r="D1755" i="3"/>
  <c r="D1751" i="3"/>
  <c r="D1747" i="3"/>
  <c r="D1743" i="3"/>
  <c r="D1739" i="3"/>
  <c r="D1735" i="3"/>
  <c r="D2002" i="3"/>
  <c r="D1998" i="3"/>
  <c r="D1994" i="3"/>
  <c r="D1990" i="3"/>
  <c r="D1986" i="3"/>
  <c r="D1982" i="3"/>
  <c r="D1978" i="3"/>
  <c r="D1974" i="3"/>
  <c r="D1970" i="3"/>
  <c r="D1966" i="3"/>
  <c r="D1962" i="3"/>
  <c r="D1958" i="3"/>
  <c r="D1954" i="3"/>
  <c r="D1950" i="3"/>
  <c r="D1946" i="3"/>
  <c r="D1942" i="3"/>
  <c r="D1938" i="3"/>
  <c r="D1934" i="3"/>
  <c r="D1930" i="3"/>
  <c r="D1926" i="3"/>
  <c r="D1922" i="3"/>
  <c r="D1918" i="3"/>
  <c r="D1914" i="3"/>
  <c r="D1910" i="3"/>
  <c r="D1906" i="3"/>
  <c r="D1902" i="3"/>
  <c r="D1898" i="3"/>
  <c r="D1894" i="3"/>
  <c r="D1890" i="3"/>
  <c r="D1886" i="3"/>
  <c r="D1882" i="3"/>
  <c r="D1878" i="3"/>
  <c r="D1874" i="3"/>
  <c r="D1870" i="3"/>
  <c r="D1866" i="3"/>
  <c r="D1862" i="3"/>
  <c r="D1858" i="3"/>
  <c r="D1854" i="3"/>
  <c r="D1850" i="3"/>
  <c r="D1846" i="3"/>
  <c r="D1842" i="3"/>
  <c r="D1838" i="3"/>
  <c r="D1834" i="3"/>
  <c r="D1830" i="3"/>
  <c r="D1826" i="3"/>
  <c r="D1822" i="3"/>
  <c r="D1818" i="3"/>
  <c r="D1814" i="3"/>
  <c r="D1810" i="3"/>
  <c r="D1806" i="3"/>
  <c r="D1802" i="3"/>
  <c r="D1798" i="3"/>
  <c r="D1794" i="3"/>
  <c r="D1790" i="3"/>
  <c r="D1786" i="3"/>
  <c r="D1782" i="3"/>
  <c r="D1778" i="3"/>
  <c r="D1774" i="3"/>
  <c r="D1770" i="3"/>
  <c r="D1766" i="3"/>
  <c r="D1762" i="3"/>
  <c r="D1758" i="3"/>
  <c r="D1754" i="3"/>
  <c r="D1750" i="3"/>
  <c r="D1746" i="3"/>
  <c r="D1742" i="3"/>
  <c r="D1738" i="3"/>
  <c r="N1798" i="3" l="1"/>
  <c r="L1798" i="3"/>
  <c r="O1798" i="3"/>
  <c r="K1798" i="3"/>
  <c r="O1846" i="3"/>
  <c r="K1846" i="3"/>
  <c r="N1846" i="3"/>
  <c r="L1846" i="3"/>
  <c r="O1910" i="3"/>
  <c r="K1910" i="3"/>
  <c r="N1910" i="3"/>
  <c r="L1910" i="3"/>
  <c r="L1942" i="3"/>
  <c r="K1942" i="3"/>
  <c r="O1942" i="3"/>
  <c r="N1942" i="3"/>
  <c r="O1735" i="3"/>
  <c r="K1735" i="3"/>
  <c r="L1735" i="3"/>
  <c r="N1735" i="3"/>
  <c r="O1799" i="3"/>
  <c r="K1799" i="3"/>
  <c r="L1799" i="3"/>
  <c r="N1799" i="3"/>
  <c r="N1847" i="3"/>
  <c r="O1847" i="3"/>
  <c r="K1847" i="3"/>
  <c r="L1847" i="3"/>
  <c r="O1911" i="3"/>
  <c r="L1911" i="3"/>
  <c r="N1911" i="3"/>
  <c r="K1911" i="3"/>
  <c r="N1959" i="3"/>
  <c r="K1959" i="3"/>
  <c r="L1959" i="3"/>
  <c r="O1959" i="3"/>
  <c r="O1756" i="3"/>
  <c r="K1756" i="3"/>
  <c r="L1756" i="3"/>
  <c r="N1756" i="3"/>
  <c r="O1788" i="3"/>
  <c r="L1788" i="3"/>
  <c r="K1788" i="3"/>
  <c r="N1788" i="3"/>
  <c r="O1852" i="3"/>
  <c r="L1852" i="3"/>
  <c r="K1852" i="3"/>
  <c r="N1852" i="3"/>
  <c r="O1900" i="3"/>
  <c r="L1900" i="3"/>
  <c r="N1900" i="3"/>
  <c r="K1900" i="3"/>
  <c r="O1964" i="3"/>
  <c r="K1964" i="3"/>
  <c r="L1964" i="3"/>
  <c r="N1964" i="3"/>
  <c r="L1777" i="3"/>
  <c r="N1777" i="3"/>
  <c r="O1777" i="3"/>
  <c r="K1777" i="3"/>
  <c r="L1753" i="3"/>
  <c r="N1753" i="3"/>
  <c r="O1753" i="3"/>
  <c r="K1753" i="3"/>
  <c r="O1881" i="3"/>
  <c r="K1881" i="3"/>
  <c r="L1881" i="3"/>
  <c r="N1881" i="3"/>
  <c r="K1873" i="3"/>
  <c r="L1873" i="3"/>
  <c r="N1873" i="3"/>
  <c r="O1873" i="3"/>
  <c r="O1937" i="3"/>
  <c r="K1937" i="3"/>
  <c r="L1937" i="3"/>
  <c r="N1937" i="3"/>
  <c r="L1797" i="3"/>
  <c r="O1797" i="3"/>
  <c r="K1797" i="3"/>
  <c r="N1797" i="3"/>
  <c r="O1997" i="3"/>
  <c r="K1997" i="3"/>
  <c r="L1997" i="3"/>
  <c r="N1997" i="3"/>
  <c r="N1754" i="3"/>
  <c r="L1754" i="3"/>
  <c r="O1754" i="3"/>
  <c r="K1754" i="3"/>
  <c r="K1802" i="3"/>
  <c r="L1802" i="3"/>
  <c r="N1802" i="3"/>
  <c r="O1802" i="3"/>
  <c r="O1866" i="3"/>
  <c r="K1866" i="3"/>
  <c r="L1866" i="3"/>
  <c r="N1866" i="3"/>
  <c r="L1914" i="3"/>
  <c r="O1914" i="3"/>
  <c r="N1914" i="3"/>
  <c r="K1914" i="3"/>
  <c r="N1930" i="3"/>
  <c r="O1930" i="3"/>
  <c r="L1930" i="3"/>
  <c r="K1930" i="3"/>
  <c r="O1946" i="3"/>
  <c r="K1946" i="3"/>
  <c r="N1946" i="3"/>
  <c r="L1946" i="3"/>
  <c r="O1962" i="3"/>
  <c r="K1962" i="3"/>
  <c r="L1962" i="3"/>
  <c r="N1962" i="3"/>
  <c r="N1978" i="3"/>
  <c r="L1978" i="3"/>
  <c r="O1978" i="3"/>
  <c r="K1978" i="3"/>
  <c r="L1994" i="3"/>
  <c r="O1994" i="3"/>
  <c r="N1994" i="3"/>
  <c r="K1994" i="3"/>
  <c r="O1739" i="3"/>
  <c r="L1739" i="3"/>
  <c r="K1739" i="3"/>
  <c r="N1739" i="3"/>
  <c r="N1755" i="3"/>
  <c r="K1755" i="3"/>
  <c r="O1755" i="3"/>
  <c r="L1755" i="3"/>
  <c r="N1771" i="3"/>
  <c r="L1771" i="3"/>
  <c r="O1771" i="3"/>
  <c r="K1771" i="3"/>
  <c r="N1787" i="3"/>
  <c r="L1787" i="3"/>
  <c r="O1787" i="3"/>
  <c r="K1787" i="3"/>
  <c r="O1803" i="3"/>
  <c r="L1803" i="3"/>
  <c r="K1803" i="3"/>
  <c r="N1803" i="3"/>
  <c r="O1819" i="3"/>
  <c r="L1819" i="3"/>
  <c r="K1819" i="3"/>
  <c r="N1819" i="3"/>
  <c r="N1835" i="3"/>
  <c r="L1835" i="3"/>
  <c r="O1835" i="3"/>
  <c r="K1835" i="3"/>
  <c r="N1851" i="3"/>
  <c r="L1851" i="3"/>
  <c r="O1851" i="3"/>
  <c r="K1851" i="3"/>
  <c r="O1867" i="3"/>
  <c r="L1867" i="3"/>
  <c r="K1867" i="3"/>
  <c r="N1867" i="3"/>
  <c r="N1883" i="3"/>
  <c r="L1883" i="3"/>
  <c r="O1883" i="3"/>
  <c r="K1883" i="3"/>
  <c r="N1899" i="3"/>
  <c r="L1899" i="3"/>
  <c r="O1899" i="3"/>
  <c r="K1899" i="3"/>
  <c r="N1915" i="3"/>
  <c r="L1915" i="3"/>
  <c r="O1915" i="3"/>
  <c r="K1915" i="3"/>
  <c r="L1931" i="3"/>
  <c r="O1931" i="3"/>
  <c r="K1931" i="3"/>
  <c r="N1931" i="3"/>
  <c r="L1947" i="3"/>
  <c r="O1947" i="3"/>
  <c r="K1947" i="3"/>
  <c r="N1947" i="3"/>
  <c r="L1963" i="3"/>
  <c r="O1963" i="3"/>
  <c r="K1963" i="3"/>
  <c r="N1963" i="3"/>
  <c r="L1979" i="3"/>
  <c r="O1979" i="3"/>
  <c r="N1979" i="3"/>
  <c r="K1979" i="3"/>
  <c r="L1995" i="3"/>
  <c r="O1995" i="3"/>
  <c r="K1995" i="3"/>
  <c r="N1995" i="3"/>
  <c r="O1744" i="3"/>
  <c r="K1744" i="3"/>
  <c r="L1744" i="3"/>
  <c r="N1744" i="3"/>
  <c r="O1760" i="3"/>
  <c r="K1760" i="3"/>
  <c r="N1760" i="3"/>
  <c r="L1760" i="3"/>
  <c r="O1776" i="3"/>
  <c r="K1776" i="3"/>
  <c r="L1776" i="3"/>
  <c r="N1776" i="3"/>
  <c r="O1792" i="3"/>
  <c r="K1792" i="3"/>
  <c r="L1792" i="3"/>
  <c r="N1792" i="3"/>
  <c r="O1808" i="3"/>
  <c r="K1808" i="3"/>
  <c r="L1808" i="3"/>
  <c r="N1808" i="3"/>
  <c r="N1824" i="3"/>
  <c r="O1824" i="3"/>
  <c r="K1824" i="3"/>
  <c r="L1824" i="3"/>
  <c r="O1840" i="3"/>
  <c r="K1840" i="3"/>
  <c r="L1840" i="3"/>
  <c r="N1840" i="3"/>
  <c r="O1856" i="3"/>
  <c r="K1856" i="3"/>
  <c r="L1856" i="3"/>
  <c r="N1856" i="3"/>
  <c r="O1872" i="3"/>
  <c r="K1872" i="3"/>
  <c r="L1872" i="3"/>
  <c r="N1872" i="3"/>
  <c r="O1888" i="3"/>
  <c r="N1888" i="3"/>
  <c r="K1888" i="3"/>
  <c r="L1888" i="3"/>
  <c r="O1904" i="3"/>
  <c r="K1904" i="3"/>
  <c r="L1904" i="3"/>
  <c r="N1904" i="3"/>
  <c r="O1920" i="3"/>
  <c r="K1920" i="3"/>
  <c r="L1920" i="3"/>
  <c r="N1920" i="3"/>
  <c r="O1936" i="3"/>
  <c r="K1936" i="3"/>
  <c r="L1936" i="3"/>
  <c r="N1936" i="3"/>
  <c r="O1952" i="3"/>
  <c r="N1952" i="3"/>
  <c r="K1952" i="3"/>
  <c r="L1952" i="3"/>
  <c r="O1968" i="3"/>
  <c r="K1968" i="3"/>
  <c r="L1968" i="3"/>
  <c r="N1968" i="3"/>
  <c r="O1984" i="3"/>
  <c r="K1984" i="3"/>
  <c r="L1984" i="3"/>
  <c r="N1984" i="3"/>
  <c r="O2000" i="3"/>
  <c r="K2000" i="3"/>
  <c r="N2000" i="3"/>
  <c r="L2000" i="3"/>
  <c r="N1793" i="3"/>
  <c r="O1793" i="3"/>
  <c r="K1793" i="3"/>
  <c r="L1793" i="3"/>
  <c r="N1857" i="3"/>
  <c r="L1857" i="3"/>
  <c r="O1857" i="3"/>
  <c r="K1857" i="3"/>
  <c r="O1917" i="3"/>
  <c r="N1917" i="3"/>
  <c r="L1917" i="3"/>
  <c r="K1917" i="3"/>
  <c r="N1977" i="3"/>
  <c r="O1977" i="3"/>
  <c r="L1977" i="3"/>
  <c r="K1977" i="3"/>
  <c r="L1765" i="3"/>
  <c r="N1765" i="3"/>
  <c r="O1765" i="3"/>
  <c r="K1765" i="3"/>
  <c r="L1833" i="3"/>
  <c r="N1833" i="3"/>
  <c r="O1833" i="3"/>
  <c r="K1833" i="3"/>
  <c r="L1897" i="3"/>
  <c r="N1897" i="3"/>
  <c r="O1897" i="3"/>
  <c r="K1897" i="3"/>
  <c r="N1957" i="3"/>
  <c r="L1957" i="3"/>
  <c r="K1957" i="3"/>
  <c r="O1957" i="3"/>
  <c r="O1757" i="3"/>
  <c r="K1757" i="3"/>
  <c r="N1757" i="3"/>
  <c r="L1757" i="3"/>
  <c r="O1821" i="3"/>
  <c r="N1821" i="3"/>
  <c r="K1821" i="3"/>
  <c r="L1821" i="3"/>
  <c r="N1889" i="3"/>
  <c r="K1889" i="3"/>
  <c r="L1889" i="3"/>
  <c r="O1889" i="3"/>
  <c r="L1953" i="3"/>
  <c r="N1953" i="3"/>
  <c r="O1953" i="3"/>
  <c r="K1953" i="3"/>
  <c r="L1749" i="3"/>
  <c r="O1749" i="3"/>
  <c r="K1749" i="3"/>
  <c r="N1749" i="3"/>
  <c r="L1813" i="3"/>
  <c r="O1813" i="3"/>
  <c r="K1813" i="3"/>
  <c r="N1813" i="3"/>
  <c r="L1877" i="3"/>
  <c r="O1877" i="3"/>
  <c r="K1877" i="3"/>
  <c r="N1877" i="3"/>
  <c r="L1945" i="3"/>
  <c r="K1945" i="3"/>
  <c r="O1945" i="3"/>
  <c r="N1945" i="3"/>
  <c r="O1766" i="3"/>
  <c r="K1766" i="3"/>
  <c r="N1766" i="3"/>
  <c r="L1766" i="3"/>
  <c r="L1830" i="3"/>
  <c r="O1830" i="3"/>
  <c r="N1830" i="3"/>
  <c r="K1830" i="3"/>
  <c r="L1894" i="3"/>
  <c r="N1894" i="3"/>
  <c r="K1894" i="3"/>
  <c r="O1894" i="3"/>
  <c r="L1974" i="3"/>
  <c r="N1974" i="3"/>
  <c r="K1974" i="3"/>
  <c r="O1974" i="3"/>
  <c r="O1751" i="3"/>
  <c r="N1751" i="3"/>
  <c r="K1751" i="3"/>
  <c r="L1751" i="3"/>
  <c r="N1815" i="3"/>
  <c r="L1815" i="3"/>
  <c r="O1815" i="3"/>
  <c r="K1815" i="3"/>
  <c r="N1879" i="3"/>
  <c r="O1879" i="3"/>
  <c r="K1879" i="3"/>
  <c r="L1879" i="3"/>
  <c r="O1943" i="3"/>
  <c r="K1943" i="3"/>
  <c r="L1943" i="3"/>
  <c r="N1943" i="3"/>
  <c r="O1740" i="3"/>
  <c r="K1740" i="3"/>
  <c r="L1740" i="3"/>
  <c r="N1740" i="3"/>
  <c r="O1804" i="3"/>
  <c r="L1804" i="3"/>
  <c r="K1804" i="3"/>
  <c r="N1804" i="3"/>
  <c r="O1868" i="3"/>
  <c r="K1868" i="3"/>
  <c r="L1868" i="3"/>
  <c r="N1868" i="3"/>
  <c r="O1932" i="3"/>
  <c r="K1932" i="3"/>
  <c r="L1932" i="3"/>
  <c r="N1932" i="3"/>
  <c r="O1996" i="3"/>
  <c r="K1996" i="3"/>
  <c r="L1996" i="3"/>
  <c r="N1996" i="3"/>
  <c r="O1965" i="3"/>
  <c r="N1965" i="3"/>
  <c r="L1965" i="3"/>
  <c r="K1965" i="3"/>
  <c r="O1941" i="3"/>
  <c r="K1941" i="3"/>
  <c r="N1941" i="3"/>
  <c r="L1941" i="3"/>
  <c r="O1805" i="3"/>
  <c r="K1805" i="3"/>
  <c r="N1805" i="3"/>
  <c r="L1805" i="3"/>
  <c r="L2001" i="3"/>
  <c r="N2001" i="3"/>
  <c r="O2001" i="3"/>
  <c r="K2001" i="3"/>
  <c r="L1861" i="3"/>
  <c r="O1861" i="3"/>
  <c r="K1861" i="3"/>
  <c r="N1861" i="3"/>
  <c r="L1925" i="3"/>
  <c r="O1925" i="3"/>
  <c r="K1925" i="3"/>
  <c r="N1925" i="3"/>
  <c r="N1770" i="3"/>
  <c r="O1770" i="3"/>
  <c r="K1770" i="3"/>
  <c r="L1770" i="3"/>
  <c r="N1834" i="3"/>
  <c r="O1834" i="3"/>
  <c r="L1834" i="3"/>
  <c r="K1834" i="3"/>
  <c r="L1898" i="3"/>
  <c r="N1898" i="3"/>
  <c r="K1898" i="3"/>
  <c r="O1898" i="3"/>
  <c r="L1774" i="3"/>
  <c r="O1774" i="3"/>
  <c r="K1774" i="3"/>
  <c r="N1774" i="3"/>
  <c r="O1806" i="3"/>
  <c r="K1806" i="3"/>
  <c r="N1806" i="3"/>
  <c r="L1806" i="3"/>
  <c r="K1854" i="3"/>
  <c r="O1854" i="3"/>
  <c r="L1854" i="3"/>
  <c r="N1854" i="3"/>
  <c r="O1902" i="3"/>
  <c r="N1902" i="3"/>
  <c r="L1902" i="3"/>
  <c r="K1902" i="3"/>
  <c r="O1950" i="3"/>
  <c r="L1950" i="3"/>
  <c r="N1950" i="3"/>
  <c r="K1950" i="3"/>
  <c r="N1998" i="3"/>
  <c r="L1998" i="3"/>
  <c r="K1998" i="3"/>
  <c r="O1998" i="3"/>
  <c r="N1759" i="3"/>
  <c r="K1759" i="3"/>
  <c r="O1759" i="3"/>
  <c r="L1759" i="3"/>
  <c r="L1807" i="3"/>
  <c r="N1807" i="3"/>
  <c r="K1807" i="3"/>
  <c r="O1807" i="3"/>
  <c r="N1855" i="3"/>
  <c r="L1855" i="3"/>
  <c r="K1855" i="3"/>
  <c r="O1855" i="3"/>
  <c r="L1903" i="3"/>
  <c r="N1903" i="3"/>
  <c r="K1903" i="3"/>
  <c r="O1903" i="3"/>
  <c r="L1935" i="3"/>
  <c r="K1935" i="3"/>
  <c r="N1935" i="3"/>
  <c r="O1935" i="3"/>
  <c r="L1951" i="3"/>
  <c r="N1951" i="3"/>
  <c r="K1951" i="3"/>
  <c r="O1951" i="3"/>
  <c r="N1967" i="3"/>
  <c r="K1967" i="3"/>
  <c r="L1967" i="3"/>
  <c r="O1967" i="3"/>
  <c r="L1983" i="3"/>
  <c r="O1983" i="3"/>
  <c r="K1983" i="3"/>
  <c r="N1983" i="3"/>
  <c r="L1999" i="3"/>
  <c r="N1999" i="3"/>
  <c r="K1999" i="3"/>
  <c r="O1999" i="3"/>
  <c r="N1748" i="3"/>
  <c r="L1748" i="3"/>
  <c r="K1748" i="3"/>
  <c r="O1748" i="3"/>
  <c r="N1764" i="3"/>
  <c r="L1764" i="3"/>
  <c r="K1764" i="3"/>
  <c r="O1764" i="3"/>
  <c r="N1780" i="3"/>
  <c r="L1780" i="3"/>
  <c r="K1780" i="3"/>
  <c r="O1780" i="3"/>
  <c r="N1796" i="3"/>
  <c r="K1796" i="3"/>
  <c r="O1796" i="3"/>
  <c r="L1796" i="3"/>
  <c r="N1812" i="3"/>
  <c r="L1812" i="3"/>
  <c r="K1812" i="3"/>
  <c r="O1812" i="3"/>
  <c r="N1828" i="3"/>
  <c r="L1828" i="3"/>
  <c r="K1828" i="3"/>
  <c r="O1828" i="3"/>
  <c r="N1844" i="3"/>
  <c r="K1844" i="3"/>
  <c r="L1844" i="3"/>
  <c r="O1844" i="3"/>
  <c r="N1860" i="3"/>
  <c r="K1860" i="3"/>
  <c r="O1860" i="3"/>
  <c r="L1860" i="3"/>
  <c r="N1876" i="3"/>
  <c r="L1876" i="3"/>
  <c r="K1876" i="3"/>
  <c r="O1876" i="3"/>
  <c r="N1892" i="3"/>
  <c r="L1892" i="3"/>
  <c r="K1892" i="3"/>
  <c r="O1892" i="3"/>
  <c r="N1908" i="3"/>
  <c r="L1908" i="3"/>
  <c r="O1908" i="3"/>
  <c r="K1908" i="3"/>
  <c r="L1924" i="3"/>
  <c r="N1924" i="3"/>
  <c r="K1924" i="3"/>
  <c r="O1924" i="3"/>
  <c r="N1940" i="3"/>
  <c r="L1940" i="3"/>
  <c r="K1940" i="3"/>
  <c r="O1940" i="3"/>
  <c r="N1956" i="3"/>
  <c r="K1956" i="3"/>
  <c r="L1956" i="3"/>
  <c r="O1956" i="3"/>
  <c r="N1972" i="3"/>
  <c r="L1972" i="3"/>
  <c r="K1972" i="3"/>
  <c r="O1972" i="3"/>
  <c r="N1988" i="3"/>
  <c r="L1988" i="3"/>
  <c r="K1988" i="3"/>
  <c r="O1988" i="3"/>
  <c r="N1745" i="3"/>
  <c r="L1745" i="3"/>
  <c r="O1745" i="3"/>
  <c r="K1745" i="3"/>
  <c r="K1809" i="3"/>
  <c r="O1809" i="3"/>
  <c r="L1809" i="3"/>
  <c r="N1809" i="3"/>
  <c r="O1869" i="3"/>
  <c r="K1869" i="3"/>
  <c r="N1869" i="3"/>
  <c r="L1869" i="3"/>
  <c r="O1933" i="3"/>
  <c r="K1933" i="3"/>
  <c r="L1933" i="3"/>
  <c r="N1933" i="3"/>
  <c r="L1993" i="3"/>
  <c r="K1993" i="3"/>
  <c r="N1993" i="3"/>
  <c r="O1993" i="3"/>
  <c r="L1781" i="3"/>
  <c r="O1781" i="3"/>
  <c r="K1781" i="3"/>
  <c r="N1781" i="3"/>
  <c r="O1849" i="3"/>
  <c r="K1849" i="3"/>
  <c r="L1849" i="3"/>
  <c r="N1849" i="3"/>
  <c r="K1913" i="3"/>
  <c r="O1913" i="3"/>
  <c r="L1913" i="3"/>
  <c r="N1913" i="3"/>
  <c r="L1973" i="3"/>
  <c r="N1973" i="3"/>
  <c r="O1973" i="3"/>
  <c r="K1973" i="3"/>
  <c r="O1773" i="3"/>
  <c r="L1773" i="3"/>
  <c r="N1773" i="3"/>
  <c r="K1773" i="3"/>
  <c r="O1837" i="3"/>
  <c r="L1837" i="3"/>
  <c r="N1837" i="3"/>
  <c r="K1837" i="3"/>
  <c r="O1905" i="3"/>
  <c r="K1905" i="3"/>
  <c r="L1905" i="3"/>
  <c r="N1905" i="3"/>
  <c r="N1969" i="3"/>
  <c r="K1969" i="3"/>
  <c r="O1969" i="3"/>
  <c r="L1969" i="3"/>
  <c r="K1769" i="3"/>
  <c r="O1769" i="3"/>
  <c r="L1769" i="3"/>
  <c r="N1769" i="3"/>
  <c r="L1829" i="3"/>
  <c r="N1829" i="3"/>
  <c r="O1829" i="3"/>
  <c r="K1829" i="3"/>
  <c r="L1893" i="3"/>
  <c r="N1893" i="3"/>
  <c r="O1893" i="3"/>
  <c r="K1893" i="3"/>
  <c r="O1961" i="3"/>
  <c r="L1961" i="3"/>
  <c r="K1961" i="3"/>
  <c r="N1961" i="3"/>
  <c r="N1750" i="3"/>
  <c r="O1750" i="3"/>
  <c r="L1750" i="3"/>
  <c r="K1750" i="3"/>
  <c r="O1782" i="3"/>
  <c r="K1782" i="3"/>
  <c r="L1782" i="3"/>
  <c r="N1782" i="3"/>
  <c r="N1814" i="3"/>
  <c r="K1814" i="3"/>
  <c r="L1814" i="3"/>
  <c r="O1814" i="3"/>
  <c r="O1862" i="3"/>
  <c r="L1862" i="3"/>
  <c r="K1862" i="3"/>
  <c r="N1862" i="3"/>
  <c r="N1878" i="3"/>
  <c r="L1878" i="3"/>
  <c r="O1878" i="3"/>
  <c r="K1878" i="3"/>
  <c r="L1926" i="3"/>
  <c r="O1926" i="3"/>
  <c r="K1926" i="3"/>
  <c r="N1926" i="3"/>
  <c r="N1958" i="3"/>
  <c r="L1958" i="3"/>
  <c r="O1958" i="3"/>
  <c r="K1958" i="3"/>
  <c r="L1990" i="3"/>
  <c r="K1990" i="3"/>
  <c r="O1990" i="3"/>
  <c r="N1990" i="3"/>
  <c r="N1767" i="3"/>
  <c r="L1767" i="3"/>
  <c r="O1767" i="3"/>
  <c r="K1767" i="3"/>
  <c r="N1783" i="3"/>
  <c r="O1783" i="3"/>
  <c r="K1783" i="3"/>
  <c r="L1783" i="3"/>
  <c r="N1831" i="3"/>
  <c r="K1831" i="3"/>
  <c r="L1831" i="3"/>
  <c r="O1831" i="3"/>
  <c r="O1863" i="3"/>
  <c r="K1863" i="3"/>
  <c r="L1863" i="3"/>
  <c r="N1863" i="3"/>
  <c r="O1895" i="3"/>
  <c r="N1895" i="3"/>
  <c r="K1895" i="3"/>
  <c r="L1895" i="3"/>
  <c r="N1927" i="3"/>
  <c r="K1927" i="3"/>
  <c r="L1927" i="3"/>
  <c r="O1927" i="3"/>
  <c r="O1975" i="3"/>
  <c r="K1975" i="3"/>
  <c r="L1975" i="3"/>
  <c r="N1975" i="3"/>
  <c r="O1991" i="3"/>
  <c r="K1991" i="3"/>
  <c r="L1991" i="3"/>
  <c r="N1991" i="3"/>
  <c r="N1772" i="3"/>
  <c r="K1772" i="3"/>
  <c r="L1772" i="3"/>
  <c r="O1772" i="3"/>
  <c r="O1820" i="3"/>
  <c r="K1820" i="3"/>
  <c r="L1820" i="3"/>
  <c r="N1820" i="3"/>
  <c r="O1836" i="3"/>
  <c r="L1836" i="3"/>
  <c r="K1836" i="3"/>
  <c r="N1836" i="3"/>
  <c r="O1884" i="3"/>
  <c r="K1884" i="3"/>
  <c r="L1884" i="3"/>
  <c r="N1884" i="3"/>
  <c r="O1916" i="3"/>
  <c r="K1916" i="3"/>
  <c r="L1916" i="3"/>
  <c r="N1916" i="3"/>
  <c r="O1948" i="3"/>
  <c r="K1948" i="3"/>
  <c r="L1948" i="3"/>
  <c r="N1948" i="3"/>
  <c r="O1980" i="3"/>
  <c r="K1980" i="3"/>
  <c r="L1980" i="3"/>
  <c r="N1980" i="3"/>
  <c r="K1841" i="3"/>
  <c r="N1841" i="3"/>
  <c r="L1841" i="3"/>
  <c r="O1841" i="3"/>
  <c r="O1901" i="3"/>
  <c r="L1901" i="3"/>
  <c r="N1901" i="3"/>
  <c r="K1901" i="3"/>
  <c r="O1817" i="3"/>
  <c r="K1817" i="3"/>
  <c r="L1817" i="3"/>
  <c r="N1817" i="3"/>
  <c r="O1741" i="3"/>
  <c r="K1741" i="3"/>
  <c r="N1741" i="3"/>
  <c r="L1741" i="3"/>
  <c r="K1738" i="3"/>
  <c r="O1738" i="3"/>
  <c r="N1738" i="3"/>
  <c r="L1738" i="3"/>
  <c r="O1786" i="3"/>
  <c r="L1786" i="3"/>
  <c r="N1786" i="3"/>
  <c r="K1786" i="3"/>
  <c r="N1818" i="3"/>
  <c r="L1818" i="3"/>
  <c r="O1818" i="3"/>
  <c r="K1818" i="3"/>
  <c r="O1850" i="3"/>
  <c r="K1850" i="3"/>
  <c r="N1850" i="3"/>
  <c r="L1850" i="3"/>
  <c r="N1882" i="3"/>
  <c r="L1882" i="3"/>
  <c r="K1882" i="3"/>
  <c r="O1882" i="3"/>
  <c r="O1742" i="3"/>
  <c r="K1742" i="3"/>
  <c r="N1742" i="3"/>
  <c r="L1742" i="3"/>
  <c r="L1758" i="3"/>
  <c r="O1758" i="3"/>
  <c r="N1758" i="3"/>
  <c r="K1758" i="3"/>
  <c r="L1790" i="3"/>
  <c r="N1790" i="3"/>
  <c r="K1790" i="3"/>
  <c r="O1790" i="3"/>
  <c r="O1822" i="3"/>
  <c r="N1822" i="3"/>
  <c r="L1822" i="3"/>
  <c r="K1822" i="3"/>
  <c r="L1838" i="3"/>
  <c r="K1838" i="3"/>
  <c r="O1838" i="3"/>
  <c r="N1838" i="3"/>
  <c r="O1870" i="3"/>
  <c r="N1870" i="3"/>
  <c r="K1870" i="3"/>
  <c r="L1870" i="3"/>
  <c r="N1886" i="3"/>
  <c r="O1886" i="3"/>
  <c r="L1886" i="3"/>
  <c r="K1886" i="3"/>
  <c r="N1918" i="3"/>
  <c r="K1918" i="3"/>
  <c r="O1918" i="3"/>
  <c r="L1918" i="3"/>
  <c r="L1934" i="3"/>
  <c r="K1934" i="3"/>
  <c r="O1934" i="3"/>
  <c r="N1934" i="3"/>
  <c r="L1966" i="3"/>
  <c r="N1966" i="3"/>
  <c r="K1966" i="3"/>
  <c r="O1966" i="3"/>
  <c r="K1982" i="3"/>
  <c r="O1982" i="3"/>
  <c r="N1982" i="3"/>
  <c r="L1982" i="3"/>
  <c r="L1743" i="3"/>
  <c r="N1743" i="3"/>
  <c r="K1743" i="3"/>
  <c r="O1743" i="3"/>
  <c r="N1775" i="3"/>
  <c r="K1775" i="3"/>
  <c r="L1775" i="3"/>
  <c r="O1775" i="3"/>
  <c r="N1791" i="3"/>
  <c r="L1791" i="3"/>
  <c r="K1791" i="3"/>
  <c r="O1791" i="3"/>
  <c r="N1823" i="3"/>
  <c r="K1823" i="3"/>
  <c r="O1823" i="3"/>
  <c r="L1823" i="3"/>
  <c r="L1839" i="3"/>
  <c r="N1839" i="3"/>
  <c r="K1839" i="3"/>
  <c r="O1839" i="3"/>
  <c r="N1871" i="3"/>
  <c r="K1871" i="3"/>
  <c r="O1871" i="3"/>
  <c r="L1871" i="3"/>
  <c r="L1887" i="3"/>
  <c r="K1887" i="3"/>
  <c r="N1887" i="3"/>
  <c r="O1887" i="3"/>
  <c r="O1919" i="3"/>
  <c r="L1919" i="3"/>
  <c r="N1919" i="3"/>
  <c r="K1919" i="3"/>
  <c r="N1746" i="3"/>
  <c r="O1746" i="3"/>
  <c r="K1746" i="3"/>
  <c r="L1746" i="3"/>
  <c r="L1762" i="3"/>
  <c r="N1762" i="3"/>
  <c r="O1762" i="3"/>
  <c r="K1762" i="3"/>
  <c r="K1778" i="3"/>
  <c r="O1778" i="3"/>
  <c r="N1778" i="3"/>
  <c r="L1778" i="3"/>
  <c r="K1794" i="3"/>
  <c r="N1794" i="3"/>
  <c r="L1794" i="3"/>
  <c r="O1794" i="3"/>
  <c r="L1810" i="3"/>
  <c r="N1810" i="3"/>
  <c r="K1810" i="3"/>
  <c r="O1810" i="3"/>
  <c r="O1826" i="3"/>
  <c r="K1826" i="3"/>
  <c r="N1826" i="3"/>
  <c r="L1826" i="3"/>
  <c r="K1842" i="3"/>
  <c r="O1842" i="3"/>
  <c r="L1842" i="3"/>
  <c r="N1842" i="3"/>
  <c r="N1858" i="3"/>
  <c r="L1858" i="3"/>
  <c r="O1858" i="3"/>
  <c r="K1858" i="3"/>
  <c r="K1874" i="3"/>
  <c r="N1874" i="3"/>
  <c r="L1874" i="3"/>
  <c r="O1874" i="3"/>
  <c r="O1890" i="3"/>
  <c r="K1890" i="3"/>
  <c r="N1890" i="3"/>
  <c r="L1890" i="3"/>
  <c r="O1906" i="3"/>
  <c r="N1906" i="3"/>
  <c r="K1906" i="3"/>
  <c r="L1906" i="3"/>
  <c r="K1922" i="3"/>
  <c r="O1922" i="3"/>
  <c r="N1922" i="3"/>
  <c r="L1922" i="3"/>
  <c r="N1938" i="3"/>
  <c r="L1938" i="3"/>
  <c r="K1938" i="3"/>
  <c r="O1938" i="3"/>
  <c r="L1954" i="3"/>
  <c r="N1954" i="3"/>
  <c r="O1954" i="3"/>
  <c r="K1954" i="3"/>
  <c r="O1970" i="3"/>
  <c r="N1970" i="3"/>
  <c r="L1970" i="3"/>
  <c r="K1970" i="3"/>
  <c r="O1986" i="3"/>
  <c r="L1986" i="3"/>
  <c r="N1986" i="3"/>
  <c r="K1986" i="3"/>
  <c r="O2002" i="3"/>
  <c r="L2002" i="3"/>
  <c r="N2002" i="3"/>
  <c r="K2002" i="3"/>
  <c r="O1747" i="3"/>
  <c r="N1747" i="3"/>
  <c r="K1747" i="3"/>
  <c r="L1747" i="3"/>
  <c r="O1763" i="3"/>
  <c r="N1763" i="3"/>
  <c r="K1763" i="3"/>
  <c r="L1763" i="3"/>
  <c r="O1779" i="3"/>
  <c r="N1779" i="3"/>
  <c r="K1779" i="3"/>
  <c r="L1779" i="3"/>
  <c r="N1795" i="3"/>
  <c r="K1795" i="3"/>
  <c r="O1795" i="3"/>
  <c r="L1795" i="3"/>
  <c r="O1811" i="3"/>
  <c r="N1811" i="3"/>
  <c r="K1811" i="3"/>
  <c r="L1811" i="3"/>
  <c r="O1827" i="3"/>
  <c r="K1827" i="3"/>
  <c r="N1827" i="3"/>
  <c r="L1827" i="3"/>
  <c r="N1843" i="3"/>
  <c r="O1843" i="3"/>
  <c r="K1843" i="3"/>
  <c r="L1843" i="3"/>
  <c r="N1859" i="3"/>
  <c r="K1859" i="3"/>
  <c r="O1859" i="3"/>
  <c r="L1859" i="3"/>
  <c r="O1875" i="3"/>
  <c r="N1875" i="3"/>
  <c r="K1875" i="3"/>
  <c r="L1875" i="3"/>
  <c r="K1891" i="3"/>
  <c r="N1891" i="3"/>
  <c r="O1891" i="3"/>
  <c r="L1891" i="3"/>
  <c r="N1907" i="3"/>
  <c r="K1907" i="3"/>
  <c r="O1907" i="3"/>
  <c r="L1907" i="3"/>
  <c r="O1923" i="3"/>
  <c r="K1923" i="3"/>
  <c r="N1923" i="3"/>
  <c r="L1923" i="3"/>
  <c r="O1939" i="3"/>
  <c r="N1939" i="3"/>
  <c r="K1939" i="3"/>
  <c r="L1939" i="3"/>
  <c r="N1955" i="3"/>
  <c r="K1955" i="3"/>
  <c r="O1955" i="3"/>
  <c r="L1955" i="3"/>
  <c r="O1971" i="3"/>
  <c r="N1971" i="3"/>
  <c r="K1971" i="3"/>
  <c r="L1971" i="3"/>
  <c r="N1987" i="3"/>
  <c r="L1987" i="3"/>
  <c r="O1987" i="3"/>
  <c r="K1987" i="3"/>
  <c r="N1736" i="3"/>
  <c r="O1736" i="3"/>
  <c r="K1736" i="3"/>
  <c r="L1736" i="3"/>
  <c r="N1752" i="3"/>
  <c r="L1752" i="3"/>
  <c r="O1752" i="3"/>
  <c r="K1752" i="3"/>
  <c r="N1768" i="3"/>
  <c r="O1768" i="3"/>
  <c r="L1768" i="3"/>
  <c r="K1768" i="3"/>
  <c r="N1784" i="3"/>
  <c r="L1784" i="3"/>
  <c r="O1784" i="3"/>
  <c r="K1784" i="3"/>
  <c r="L1800" i="3"/>
  <c r="O1800" i="3"/>
  <c r="K1800" i="3"/>
  <c r="N1800" i="3"/>
  <c r="N1816" i="3"/>
  <c r="O1816" i="3"/>
  <c r="K1816" i="3"/>
  <c r="L1816" i="3"/>
  <c r="N1832" i="3"/>
  <c r="O1832" i="3"/>
  <c r="K1832" i="3"/>
  <c r="L1832" i="3"/>
  <c r="N1848" i="3"/>
  <c r="L1848" i="3"/>
  <c r="O1848" i="3"/>
  <c r="K1848" i="3"/>
  <c r="L1864" i="3"/>
  <c r="O1864" i="3"/>
  <c r="N1864" i="3"/>
  <c r="K1864" i="3"/>
  <c r="N1880" i="3"/>
  <c r="O1880" i="3"/>
  <c r="L1880" i="3"/>
  <c r="K1880" i="3"/>
  <c r="L1896" i="3"/>
  <c r="N1896" i="3"/>
  <c r="O1896" i="3"/>
  <c r="K1896" i="3"/>
  <c r="N1912" i="3"/>
  <c r="L1912" i="3"/>
  <c r="K1912" i="3"/>
  <c r="O1912" i="3"/>
  <c r="N1928" i="3"/>
  <c r="O1928" i="3"/>
  <c r="L1928" i="3"/>
  <c r="K1928" i="3"/>
  <c r="N1944" i="3"/>
  <c r="L1944" i="3"/>
  <c r="O1944" i="3"/>
  <c r="K1944" i="3"/>
  <c r="N1960" i="3"/>
  <c r="L1960" i="3"/>
  <c r="O1960" i="3"/>
  <c r="K1960" i="3"/>
  <c r="N1976" i="3"/>
  <c r="L1976" i="3"/>
  <c r="O1976" i="3"/>
  <c r="K1976" i="3"/>
  <c r="N1992" i="3"/>
  <c r="O1992" i="3"/>
  <c r="L1992" i="3"/>
  <c r="K1992" i="3"/>
  <c r="O1761" i="3"/>
  <c r="K1761" i="3"/>
  <c r="L1761" i="3"/>
  <c r="N1761" i="3"/>
  <c r="N1825" i="3"/>
  <c r="O1825" i="3"/>
  <c r="K1825" i="3"/>
  <c r="L1825" i="3"/>
  <c r="O1885" i="3"/>
  <c r="K1885" i="3"/>
  <c r="N1885" i="3"/>
  <c r="L1885" i="3"/>
  <c r="O1949" i="3"/>
  <c r="K1949" i="3"/>
  <c r="N1949" i="3"/>
  <c r="L1949" i="3"/>
  <c r="O1737" i="3"/>
  <c r="K1737" i="3"/>
  <c r="L1737" i="3"/>
  <c r="N1737" i="3"/>
  <c r="L1801" i="3"/>
  <c r="N1801" i="3"/>
  <c r="O1801" i="3"/>
  <c r="K1801" i="3"/>
  <c r="L1865" i="3"/>
  <c r="N1865" i="3"/>
  <c r="O1865" i="3"/>
  <c r="K1865" i="3"/>
  <c r="N1929" i="3"/>
  <c r="O1929" i="3"/>
  <c r="K1929" i="3"/>
  <c r="L1929" i="3"/>
  <c r="O1989" i="3"/>
  <c r="L1989" i="3"/>
  <c r="K1989" i="3"/>
  <c r="N1989" i="3"/>
  <c r="O1789" i="3"/>
  <c r="N1789" i="3"/>
  <c r="L1789" i="3"/>
  <c r="K1789" i="3"/>
  <c r="O1853" i="3"/>
  <c r="N1853" i="3"/>
  <c r="L1853" i="3"/>
  <c r="K1853" i="3"/>
  <c r="L1921" i="3"/>
  <c r="N1921" i="3"/>
  <c r="O1921" i="3"/>
  <c r="K1921" i="3"/>
  <c r="O1985" i="3"/>
  <c r="K1985" i="3"/>
  <c r="L1985" i="3"/>
  <c r="N1985" i="3"/>
  <c r="O1785" i="3"/>
  <c r="K1785" i="3"/>
  <c r="L1785" i="3"/>
  <c r="N1785" i="3"/>
  <c r="L1845" i="3"/>
  <c r="O1845" i="3"/>
  <c r="N1845" i="3"/>
  <c r="K1845" i="3"/>
  <c r="L1909" i="3"/>
  <c r="O1909" i="3"/>
  <c r="K1909" i="3"/>
  <c r="N1909" i="3"/>
  <c r="O1981" i="3"/>
  <c r="L1981" i="3"/>
  <c r="K1981" i="3"/>
  <c r="N1981" i="3"/>
  <c r="J6" i="3"/>
  <c r="J38" i="3"/>
  <c r="J70" i="3"/>
  <c r="J102" i="3"/>
  <c r="J118" i="3"/>
  <c r="J150" i="3"/>
  <c r="J182" i="3"/>
  <c r="J214" i="3"/>
  <c r="J246" i="3"/>
  <c r="J278" i="3"/>
  <c r="J310" i="3"/>
  <c r="J390" i="3"/>
  <c r="J422" i="3"/>
  <c r="J454" i="3"/>
  <c r="J502" i="3"/>
  <c r="J534" i="3"/>
  <c r="J566" i="3"/>
  <c r="J598" i="3"/>
  <c r="J630" i="3"/>
  <c r="J662" i="3"/>
  <c r="J694" i="3"/>
  <c r="J726" i="3"/>
  <c r="J758" i="3"/>
  <c r="J790" i="3"/>
  <c r="J822" i="3"/>
  <c r="J854" i="3"/>
  <c r="J886" i="3"/>
  <c r="J918" i="3"/>
  <c r="J950" i="3"/>
  <c r="J982" i="3"/>
  <c r="J1014" i="3"/>
  <c r="J1046" i="3"/>
  <c r="J1078" i="3"/>
  <c r="J1110" i="3"/>
  <c r="J1142" i="3"/>
  <c r="J1174" i="3"/>
  <c r="J1206" i="3"/>
  <c r="J1238" i="3"/>
  <c r="J1270" i="3"/>
  <c r="J1302" i="3"/>
  <c r="J1334" i="3"/>
  <c r="J1366" i="3"/>
  <c r="J1398" i="3"/>
  <c r="J1430" i="3"/>
  <c r="J1462" i="3"/>
  <c r="J1494" i="3"/>
  <c r="J1542" i="3"/>
  <c r="J1574" i="3"/>
  <c r="J1606" i="3"/>
  <c r="J1638" i="3"/>
  <c r="J1670" i="3"/>
  <c r="J1702" i="3"/>
  <c r="J1734" i="3"/>
  <c r="J1750" i="3"/>
  <c r="J1782" i="3"/>
  <c r="J1814" i="3"/>
  <c r="J1846" i="3"/>
  <c r="J1878" i="3"/>
  <c r="J1910" i="3"/>
  <c r="J1942" i="3"/>
  <c r="J1974" i="3"/>
  <c r="J21" i="3"/>
  <c r="J85" i="3"/>
  <c r="J11" i="3"/>
  <c r="J43" i="3"/>
  <c r="J75" i="3"/>
  <c r="J123" i="3"/>
  <c r="J155" i="3"/>
  <c r="J171" i="3"/>
  <c r="J203" i="3"/>
  <c r="J235" i="3"/>
  <c r="J267" i="3"/>
  <c r="J299" i="3"/>
  <c r="J363" i="3"/>
  <c r="J379" i="3"/>
  <c r="J411" i="3"/>
  <c r="J443" i="3"/>
  <c r="J475" i="3"/>
  <c r="J507" i="3"/>
  <c r="J539" i="3"/>
  <c r="J571" i="3"/>
  <c r="J587" i="3"/>
  <c r="J635" i="3"/>
  <c r="J667" i="3"/>
  <c r="J699" i="3"/>
  <c r="J731" i="3"/>
  <c r="J763" i="3"/>
  <c r="J795" i="3"/>
  <c r="J827" i="3"/>
  <c r="J859" i="3"/>
  <c r="J891" i="3"/>
  <c r="J923" i="3"/>
  <c r="J955" i="3"/>
  <c r="J987" i="3"/>
  <c r="J1019" i="3"/>
  <c r="J1051" i="3"/>
  <c r="J1083" i="3"/>
  <c r="J1115" i="3"/>
  <c r="J1147" i="3"/>
  <c r="J1179" i="3"/>
  <c r="J1211" i="3"/>
  <c r="J1243" i="3"/>
  <c r="J1275" i="3"/>
  <c r="J1307" i="3"/>
  <c r="J1339" i="3"/>
  <c r="J1371" i="3"/>
  <c r="J1403" i="3"/>
  <c r="J1435" i="3"/>
  <c r="J1467" i="3"/>
  <c r="J1499" i="3"/>
  <c r="J1531" i="3"/>
  <c r="J1563" i="3"/>
  <c r="J1595" i="3"/>
  <c r="J1627" i="3"/>
  <c r="J1659" i="3"/>
  <c r="J1691" i="3"/>
  <c r="J1723" i="3"/>
  <c r="J1755" i="3"/>
  <c r="J1787" i="3"/>
  <c r="J1819" i="3"/>
  <c r="J1851" i="3"/>
  <c r="J1899" i="3"/>
  <c r="J1931" i="3"/>
  <c r="J1963" i="3"/>
  <c r="J1995" i="3"/>
  <c r="J49" i="3"/>
  <c r="J113" i="3"/>
  <c r="J20" i="3"/>
  <c r="J52" i="3"/>
  <c r="J84" i="3"/>
  <c r="J116" i="3"/>
  <c r="J148" i="3"/>
  <c r="J164" i="3"/>
  <c r="J196" i="3"/>
  <c r="J228" i="3"/>
  <c r="J260" i="3"/>
  <c r="J292" i="3"/>
  <c r="J356" i="3"/>
  <c r="J388" i="3"/>
  <c r="J420" i="3"/>
  <c r="J452" i="3"/>
  <c r="J484" i="3"/>
  <c r="J532" i="3"/>
  <c r="J564" i="3"/>
  <c r="J580" i="3"/>
  <c r="J612" i="3"/>
  <c r="J644" i="3"/>
  <c r="J676" i="3"/>
  <c r="J708" i="3"/>
  <c r="J740" i="3"/>
  <c r="J772" i="3"/>
  <c r="J804" i="3"/>
  <c r="J852" i="3"/>
  <c r="J884" i="3"/>
  <c r="J916" i="3"/>
  <c r="J948" i="3"/>
  <c r="J980" i="3"/>
  <c r="J1012" i="3"/>
  <c r="J1044" i="3"/>
  <c r="J1076" i="3"/>
  <c r="J1108" i="3"/>
  <c r="J1140" i="3"/>
  <c r="J1172" i="3"/>
  <c r="J1204" i="3"/>
  <c r="J1236" i="3"/>
  <c r="J1268" i="3"/>
  <c r="J1300" i="3"/>
  <c r="J1332" i="3"/>
  <c r="J1364" i="3"/>
  <c r="J1396" i="3"/>
  <c r="J1428" i="3"/>
  <c r="J1460" i="3"/>
  <c r="J1492" i="3"/>
  <c r="J1540" i="3"/>
  <c r="J1572" i="3"/>
  <c r="J1604" i="3"/>
  <c r="J1636" i="3"/>
  <c r="J1668" i="3"/>
  <c r="J1700" i="3"/>
  <c r="J1732" i="3"/>
  <c r="J1764" i="3"/>
  <c r="J1796" i="3"/>
  <c r="J1828" i="3"/>
  <c r="J1860" i="3"/>
  <c r="J1892" i="3"/>
  <c r="J1924" i="3"/>
  <c r="J1956" i="3"/>
  <c r="J1988" i="3"/>
  <c r="J17" i="3"/>
  <c r="J73" i="3"/>
  <c r="J157" i="3"/>
  <c r="J269" i="3"/>
  <c r="J457" i="3"/>
  <c r="J521" i="3"/>
  <c r="J649" i="3"/>
  <c r="J777" i="3"/>
  <c r="J909" i="3"/>
  <c r="J1021" i="3"/>
  <c r="J1145" i="3"/>
  <c r="J1261" i="3"/>
  <c r="J1389" i="3"/>
  <c r="J1517" i="3"/>
  <c r="J1637" i="3"/>
  <c r="J1761" i="3"/>
  <c r="J1885" i="3"/>
  <c r="J193" i="3"/>
  <c r="J389" i="3"/>
  <c r="J513" i="3"/>
  <c r="J637" i="3"/>
  <c r="J765" i="3"/>
  <c r="J897" i="3"/>
  <c r="J1025" i="3"/>
  <c r="J1153" i="3"/>
  <c r="J1281" i="3"/>
  <c r="J1409" i="3"/>
  <c r="J1537" i="3"/>
  <c r="J1673" i="3"/>
  <c r="J1801" i="3"/>
  <c r="J1929" i="3"/>
  <c r="J245" i="3"/>
  <c r="J377" i="3"/>
  <c r="J569" i="3"/>
  <c r="J693" i="3"/>
  <c r="J817" i="3"/>
  <c r="J937" i="3"/>
  <c r="J1061" i="3"/>
  <c r="J1189" i="3"/>
  <c r="J1321" i="3"/>
  <c r="J1449" i="3"/>
  <c r="J1581" i="3"/>
  <c r="J1709" i="3"/>
  <c r="J1837" i="3"/>
  <c r="J1969" i="3"/>
  <c r="J289" i="3"/>
  <c r="J417" i="3"/>
  <c r="J549" i="3"/>
  <c r="J689" i="3"/>
  <c r="J821" i="3"/>
  <c r="J957" i="3"/>
  <c r="J1101" i="3"/>
  <c r="J1233" i="3"/>
  <c r="J1365" i="3"/>
  <c r="J1493" i="3"/>
  <c r="J1617" i="3"/>
  <c r="J1749" i="3"/>
  <c r="J1877" i="3"/>
  <c r="J10" i="3"/>
  <c r="J42" i="3"/>
  <c r="J74" i="3"/>
  <c r="J106" i="3"/>
  <c r="J138" i="3"/>
  <c r="J170" i="3"/>
  <c r="J202" i="3"/>
  <c r="J234" i="3"/>
  <c r="J266" i="3"/>
  <c r="J298" i="3"/>
  <c r="J362" i="3"/>
  <c r="J378" i="3"/>
  <c r="J410" i="3"/>
  <c r="J442" i="3"/>
  <c r="J474" i="3"/>
  <c r="J506" i="3"/>
  <c r="J538" i="3"/>
  <c r="J570" i="3"/>
  <c r="J602" i="3"/>
  <c r="J634" i="3"/>
  <c r="J666" i="3"/>
  <c r="J698" i="3"/>
  <c r="J730" i="3"/>
  <c r="J762" i="3"/>
  <c r="J794" i="3"/>
  <c r="J826" i="3"/>
  <c r="J874" i="3"/>
  <c r="J906" i="3"/>
  <c r="J938" i="3"/>
  <c r="J970" i="3"/>
  <c r="J1002" i="3"/>
  <c r="J1034" i="3"/>
  <c r="J1066" i="3"/>
  <c r="J1098" i="3"/>
  <c r="J1130" i="3"/>
  <c r="J1162" i="3"/>
  <c r="J1194" i="3"/>
  <c r="J1226" i="3"/>
  <c r="J1258" i="3"/>
  <c r="J1290" i="3"/>
  <c r="J1322" i="3"/>
  <c r="J1354" i="3"/>
  <c r="J1386" i="3"/>
  <c r="J1418" i="3"/>
  <c r="J1450" i="3"/>
  <c r="J1482" i="3"/>
  <c r="J1514" i="3"/>
  <c r="J1546" i="3"/>
  <c r="J1578" i="3"/>
  <c r="J1626" i="3"/>
  <c r="J1994" i="3"/>
  <c r="J169" i="3"/>
  <c r="J47" i="3"/>
  <c r="J79" i="3"/>
  <c r="J127" i="3"/>
  <c r="J159" i="3"/>
  <c r="J191" i="3"/>
  <c r="J223" i="3"/>
  <c r="J255" i="3"/>
  <c r="J271" i="3"/>
  <c r="J351" i="3"/>
  <c r="J383" i="3"/>
  <c r="J415" i="3"/>
  <c r="J447" i="3"/>
  <c r="J479" i="3"/>
  <c r="J495" i="3"/>
  <c r="J543" i="3"/>
  <c r="J559" i="3"/>
  <c r="J591" i="3"/>
  <c r="J639" i="3"/>
  <c r="J671" i="3"/>
  <c r="J703" i="3"/>
  <c r="J735" i="3"/>
  <c r="J767" i="3"/>
  <c r="J799" i="3"/>
  <c r="J831" i="3"/>
  <c r="J863" i="3"/>
  <c r="J895" i="3"/>
  <c r="J927" i="3"/>
  <c r="J959" i="3"/>
  <c r="J991" i="3"/>
  <c r="J1023" i="3"/>
  <c r="J1055" i="3"/>
  <c r="J1087" i="3"/>
  <c r="J1119" i="3"/>
  <c r="J1151" i="3"/>
  <c r="J1183" i="3"/>
  <c r="J1215" i="3"/>
  <c r="J1247" i="3"/>
  <c r="J1279" i="3"/>
  <c r="J1311" i="3"/>
  <c r="J1343" i="3"/>
  <c r="J1375" i="3"/>
  <c r="J1407" i="3"/>
  <c r="J1439" i="3"/>
  <c r="J1471" i="3"/>
  <c r="J1503" i="3"/>
  <c r="J1535" i="3"/>
  <c r="J1567" i="3"/>
  <c r="J1599" i="3"/>
  <c r="J1647" i="3"/>
  <c r="J1679" i="3"/>
  <c r="J1711" i="3"/>
  <c r="J1743" i="3"/>
  <c r="J1775" i="3"/>
  <c r="J1807" i="3"/>
  <c r="J1839" i="3"/>
  <c r="J1871" i="3"/>
  <c r="J1903" i="3"/>
  <c r="J1935" i="3"/>
  <c r="J1967" i="3"/>
  <c r="J1999" i="3"/>
  <c r="J65" i="3"/>
  <c r="J8" i="3"/>
  <c r="J40" i="3"/>
  <c r="J72" i="3"/>
  <c r="J104" i="3"/>
  <c r="J120" i="3"/>
  <c r="J152" i="3"/>
  <c r="J184" i="3"/>
  <c r="J216" i="3"/>
  <c r="J248" i="3"/>
  <c r="J296" i="3"/>
  <c r="J360" i="3"/>
  <c r="J392" i="3"/>
  <c r="J424" i="3"/>
  <c r="J456" i="3"/>
  <c r="J488" i="3"/>
  <c r="J520" i="3"/>
  <c r="J552" i="3"/>
  <c r="J600" i="3"/>
  <c r="J648" i="3"/>
  <c r="J680" i="3"/>
  <c r="J712" i="3"/>
  <c r="J744" i="3"/>
  <c r="J776" i="3"/>
  <c r="J808" i="3"/>
  <c r="J840" i="3"/>
  <c r="J872" i="3"/>
  <c r="J904" i="3"/>
  <c r="J936" i="3"/>
  <c r="J968" i="3"/>
  <c r="J1000" i="3"/>
  <c r="J1032" i="3"/>
  <c r="J1064" i="3"/>
  <c r="J1096" i="3"/>
  <c r="J1128" i="3"/>
  <c r="J1160" i="3"/>
  <c r="J1192" i="3"/>
  <c r="J1224" i="3"/>
  <c r="J1256" i="3"/>
  <c r="J1288" i="3"/>
  <c r="J1320" i="3"/>
  <c r="J1352" i="3"/>
  <c r="J1384" i="3"/>
  <c r="J1416" i="3"/>
  <c r="J1448" i="3"/>
  <c r="J1480" i="3"/>
  <c r="J1512" i="3"/>
  <c r="J1544" i="3"/>
  <c r="J1576" i="3"/>
  <c r="J1608" i="3"/>
  <c r="J1640" i="3"/>
  <c r="J1672" i="3"/>
  <c r="J1704" i="3"/>
  <c r="J1736" i="3"/>
  <c r="J1768" i="3"/>
  <c r="J1800" i="3"/>
  <c r="J1832" i="3"/>
  <c r="J1864" i="3"/>
  <c r="J1896" i="3"/>
  <c r="J1928" i="3"/>
  <c r="J1960" i="3"/>
  <c r="J1976" i="3"/>
  <c r="J29" i="3"/>
  <c r="J89" i="3"/>
  <c r="J41" i="3"/>
  <c r="J173" i="3"/>
  <c r="J285" i="3"/>
  <c r="J413" i="3"/>
  <c r="J605" i="3"/>
  <c r="J729" i="3"/>
  <c r="J861" i="3"/>
  <c r="J973" i="3"/>
  <c r="J1097" i="3"/>
  <c r="J1221" i="3"/>
  <c r="J1341" i="3"/>
  <c r="J1469" i="3"/>
  <c r="J1717" i="3"/>
  <c r="J1841" i="3"/>
  <c r="J1965" i="3"/>
  <c r="J281" i="3"/>
  <c r="J405" i="3"/>
  <c r="J469" i="3"/>
  <c r="J593" i="3"/>
  <c r="J781" i="3"/>
  <c r="J913" i="3"/>
  <c r="J1041" i="3"/>
  <c r="J1105" i="3"/>
  <c r="J1169" i="3"/>
  <c r="J1881" i="3"/>
  <c r="J197" i="3"/>
  <c r="J461" i="3"/>
  <c r="J585" i="3"/>
  <c r="J709" i="3"/>
  <c r="J829" i="3"/>
  <c r="J953" i="3"/>
  <c r="J1077" i="3"/>
  <c r="J1209" i="3"/>
  <c r="J1337" i="3"/>
  <c r="J1465" i="3"/>
  <c r="J1597" i="3"/>
  <c r="J1725" i="3"/>
  <c r="J1853" i="3"/>
  <c r="J1985" i="3"/>
  <c r="J305" i="3"/>
  <c r="J433" i="3"/>
  <c r="J641" i="3"/>
  <c r="J773" i="3"/>
  <c r="J901" i="3"/>
  <c r="J1045" i="3"/>
  <c r="J1181" i="3"/>
  <c r="J1317" i="3"/>
  <c r="J1445" i="3"/>
  <c r="J1569" i="3"/>
  <c r="J1697" i="3"/>
  <c r="J1829" i="3"/>
  <c r="J1961" i="3"/>
  <c r="J30" i="3"/>
  <c r="J62" i="3"/>
  <c r="J94" i="3"/>
  <c r="J110" i="3"/>
  <c r="J142" i="3"/>
  <c r="J174" i="3"/>
  <c r="J206" i="3"/>
  <c r="J238" i="3"/>
  <c r="J270" i="3"/>
  <c r="J302" i="3"/>
  <c r="J382" i="3"/>
  <c r="J414" i="3"/>
  <c r="J446" i="3"/>
  <c r="J478" i="3"/>
  <c r="J510" i="3"/>
  <c r="J542" i="3"/>
  <c r="J590" i="3"/>
  <c r="J638" i="3"/>
  <c r="J670" i="3"/>
  <c r="J702" i="3"/>
  <c r="J734" i="3"/>
  <c r="J766" i="3"/>
  <c r="J798" i="3"/>
  <c r="J830" i="3"/>
  <c r="J846" i="3"/>
  <c r="J878" i="3"/>
  <c r="J894" i="3"/>
  <c r="J910" i="3"/>
  <c r="J926" i="3"/>
  <c r="J942" i="3"/>
  <c r="J958" i="3"/>
  <c r="J974" i="3"/>
  <c r="J990" i="3"/>
  <c r="J1006" i="3"/>
  <c r="J1022" i="3"/>
  <c r="J1038" i="3"/>
  <c r="J1054" i="3"/>
  <c r="J1070" i="3"/>
  <c r="J1086" i="3"/>
  <c r="J1102" i="3"/>
  <c r="J1118" i="3"/>
  <c r="J1134" i="3"/>
  <c r="J1150" i="3"/>
  <c r="J1166" i="3"/>
  <c r="J1182" i="3"/>
  <c r="J1198" i="3"/>
  <c r="J1214" i="3"/>
  <c r="J1230" i="3"/>
  <c r="J1246" i="3"/>
  <c r="J1262" i="3"/>
  <c r="J1278" i="3"/>
  <c r="J1294" i="3"/>
  <c r="J1310" i="3"/>
  <c r="J1326" i="3"/>
  <c r="J1342" i="3"/>
  <c r="J1358" i="3"/>
  <c r="J1374" i="3"/>
  <c r="J1390" i="3"/>
  <c r="J1406" i="3"/>
  <c r="J1422" i="3"/>
  <c r="J1438" i="3"/>
  <c r="J1454" i="3"/>
  <c r="J1470" i="3"/>
  <c r="J1486" i="3"/>
  <c r="J1502" i="3"/>
  <c r="J1518" i="3"/>
  <c r="J1534" i="3"/>
  <c r="J1550" i="3"/>
  <c r="J1566" i="3"/>
  <c r="J1582" i="3"/>
  <c r="J1598" i="3"/>
  <c r="J1614" i="3"/>
  <c r="J1630" i="3"/>
  <c r="J1646" i="3"/>
  <c r="J1662" i="3"/>
  <c r="J1678" i="3"/>
  <c r="J1694" i="3"/>
  <c r="J1710" i="3"/>
  <c r="J1726" i="3"/>
  <c r="J1742" i="3"/>
  <c r="J1758" i="3"/>
  <c r="J1774" i="3"/>
  <c r="J1790" i="3"/>
  <c r="J1806" i="3"/>
  <c r="J1822" i="3"/>
  <c r="J1838" i="3"/>
  <c r="J1854" i="3"/>
  <c r="J1870" i="3"/>
  <c r="J1886" i="3"/>
  <c r="J1902" i="3"/>
  <c r="J1918" i="3"/>
  <c r="J1934" i="3"/>
  <c r="J1950" i="3"/>
  <c r="J1966" i="3"/>
  <c r="J1982" i="3"/>
  <c r="J1998" i="3"/>
  <c r="J53" i="3"/>
  <c r="J117" i="3"/>
  <c r="J185" i="3"/>
  <c r="J19" i="3"/>
  <c r="J35" i="3"/>
  <c r="J51" i="3"/>
  <c r="J67" i="3"/>
  <c r="J83" i="3"/>
  <c r="J99" i="3"/>
  <c r="J115" i="3"/>
  <c r="J131" i="3"/>
  <c r="J147" i="3"/>
  <c r="J163" i="3"/>
  <c r="J179" i="3"/>
  <c r="J195" i="3"/>
  <c r="J211" i="3"/>
  <c r="J227" i="3"/>
  <c r="J243" i="3"/>
  <c r="J259" i="3"/>
  <c r="J275" i="3"/>
  <c r="J291" i="3"/>
  <c r="J307" i="3"/>
  <c r="J355" i="3"/>
  <c r="J371" i="3"/>
  <c r="J387" i="3"/>
  <c r="J403" i="3"/>
  <c r="J419" i="3"/>
  <c r="J435" i="3"/>
  <c r="J451" i="3"/>
  <c r="J467" i="3"/>
  <c r="J483" i="3"/>
  <c r="J499" i="3"/>
  <c r="J515" i="3"/>
  <c r="J531" i="3"/>
  <c r="J547" i="3"/>
  <c r="J563" i="3"/>
  <c r="J579" i="3"/>
  <c r="J595" i="3"/>
  <c r="J611" i="3"/>
  <c r="J627" i="3"/>
  <c r="J643" i="3"/>
  <c r="J659" i="3"/>
  <c r="J675" i="3"/>
  <c r="J691" i="3"/>
  <c r="J707" i="3"/>
  <c r="J723" i="3"/>
  <c r="J739" i="3"/>
  <c r="J755" i="3"/>
  <c r="J771" i="3"/>
  <c r="J787" i="3"/>
  <c r="J803" i="3"/>
  <c r="J819" i="3"/>
  <c r="J835" i="3"/>
  <c r="J851" i="3"/>
  <c r="J867" i="3"/>
  <c r="J883" i="3"/>
  <c r="J899" i="3"/>
  <c r="J915" i="3"/>
  <c r="J931" i="3"/>
  <c r="J947" i="3"/>
  <c r="J963" i="3"/>
  <c r="J979" i="3"/>
  <c r="J995" i="3"/>
  <c r="J1011" i="3"/>
  <c r="J1027" i="3"/>
  <c r="J1043" i="3"/>
  <c r="J1059" i="3"/>
  <c r="J1075" i="3"/>
  <c r="J1091" i="3"/>
  <c r="J1107" i="3"/>
  <c r="J1123" i="3"/>
  <c r="J1139" i="3"/>
  <c r="J1155" i="3"/>
  <c r="J1171" i="3"/>
  <c r="J1187" i="3"/>
  <c r="J1203" i="3"/>
  <c r="J1219" i="3"/>
  <c r="J1235" i="3"/>
  <c r="J1251" i="3"/>
  <c r="J1267" i="3"/>
  <c r="J1283" i="3"/>
  <c r="J1299" i="3"/>
  <c r="J1315" i="3"/>
  <c r="J1331" i="3"/>
  <c r="J1347" i="3"/>
  <c r="J1363" i="3"/>
  <c r="J1379" i="3"/>
  <c r="J1395" i="3"/>
  <c r="J1411" i="3"/>
  <c r="J1427" i="3"/>
  <c r="J1443" i="3"/>
  <c r="J1459" i="3"/>
  <c r="J1475" i="3"/>
  <c r="J1491" i="3"/>
  <c r="J1507" i="3"/>
  <c r="J1523" i="3"/>
  <c r="J1539" i="3"/>
  <c r="J1555" i="3"/>
  <c r="J1571" i="3"/>
  <c r="J1587" i="3"/>
  <c r="J1603" i="3"/>
  <c r="J1619" i="3"/>
  <c r="J1635" i="3"/>
  <c r="J1651" i="3"/>
  <c r="J1667" i="3"/>
  <c r="J1683" i="3"/>
  <c r="J1699" i="3"/>
  <c r="J1715" i="3"/>
  <c r="J1731" i="3"/>
  <c r="J1747" i="3"/>
  <c r="J1763" i="3"/>
  <c r="J1779" i="3"/>
  <c r="J1795" i="3"/>
  <c r="J1811" i="3"/>
  <c r="J1827" i="3"/>
  <c r="J1843" i="3"/>
  <c r="J1859" i="3"/>
  <c r="J1875" i="3"/>
  <c r="J1891" i="3"/>
  <c r="J1907" i="3"/>
  <c r="J1923" i="3"/>
  <c r="J1939" i="3"/>
  <c r="J1955" i="3"/>
  <c r="J1971" i="3"/>
  <c r="J1987" i="3"/>
  <c r="J13" i="3"/>
  <c r="J81" i="3"/>
  <c r="J145" i="3"/>
  <c r="J12" i="3"/>
  <c r="J28" i="3"/>
  <c r="J44" i="3"/>
  <c r="J60" i="3"/>
  <c r="J76" i="3"/>
  <c r="J92" i="3"/>
  <c r="J108" i="3"/>
  <c r="J124" i="3"/>
  <c r="J140" i="3"/>
  <c r="J156" i="3"/>
  <c r="J172" i="3"/>
  <c r="J188" i="3"/>
  <c r="J204" i="3"/>
  <c r="J220" i="3"/>
  <c r="J236" i="3"/>
  <c r="J252" i="3"/>
  <c r="J268" i="3"/>
  <c r="J284" i="3"/>
  <c r="J300" i="3"/>
  <c r="J364" i="3"/>
  <c r="J380" i="3"/>
  <c r="J396" i="3"/>
  <c r="J412" i="3"/>
  <c r="J428" i="3"/>
  <c r="J444" i="3"/>
  <c r="J460" i="3"/>
  <c r="J476" i="3"/>
  <c r="J492" i="3"/>
  <c r="J508" i="3"/>
  <c r="J524" i="3"/>
  <c r="J540" i="3"/>
  <c r="J556" i="3"/>
  <c r="J572" i="3"/>
  <c r="J588" i="3"/>
  <c r="J604" i="3"/>
  <c r="J620" i="3"/>
  <c r="J636" i="3"/>
  <c r="J652" i="3"/>
  <c r="J668" i="3"/>
  <c r="J684" i="3"/>
  <c r="J700" i="3"/>
  <c r="J716" i="3"/>
  <c r="J732" i="3"/>
  <c r="J748" i="3"/>
  <c r="J764" i="3"/>
  <c r="J780" i="3"/>
  <c r="J796" i="3"/>
  <c r="J812" i="3"/>
  <c r="J828" i="3"/>
  <c r="J844" i="3"/>
  <c r="J860" i="3"/>
  <c r="J876" i="3"/>
  <c r="J892" i="3"/>
  <c r="J908" i="3"/>
  <c r="J924" i="3"/>
  <c r="J940" i="3"/>
  <c r="J956" i="3"/>
  <c r="J972" i="3"/>
  <c r="J988" i="3"/>
  <c r="J1004" i="3"/>
  <c r="J1020" i="3"/>
  <c r="J1036" i="3"/>
  <c r="J1052" i="3"/>
  <c r="J1068" i="3"/>
  <c r="J1084" i="3"/>
  <c r="J1100" i="3"/>
  <c r="J1116" i="3"/>
  <c r="J1132" i="3"/>
  <c r="J1148" i="3"/>
  <c r="J1164" i="3"/>
  <c r="J1180" i="3"/>
  <c r="J1196" i="3"/>
  <c r="J1212" i="3"/>
  <c r="J1228" i="3"/>
  <c r="J1244" i="3"/>
  <c r="J1260" i="3"/>
  <c r="J1276" i="3"/>
  <c r="J1292" i="3"/>
  <c r="J1308" i="3"/>
  <c r="J1324" i="3"/>
  <c r="J1340" i="3"/>
  <c r="J1356" i="3"/>
  <c r="J1372" i="3"/>
  <c r="J1388" i="3"/>
  <c r="J1404" i="3"/>
  <c r="J1420" i="3"/>
  <c r="J1436" i="3"/>
  <c r="J1452" i="3"/>
  <c r="J1468" i="3"/>
  <c r="J1484" i="3"/>
  <c r="J1500" i="3"/>
  <c r="J1516" i="3"/>
  <c r="J1532" i="3"/>
  <c r="J1548" i="3"/>
  <c r="J1564" i="3"/>
  <c r="J1580" i="3"/>
  <c r="J1596" i="3"/>
  <c r="J1612" i="3"/>
  <c r="J1628" i="3"/>
  <c r="J1644" i="3"/>
  <c r="J1660" i="3"/>
  <c r="J1676" i="3"/>
  <c r="J1692" i="3"/>
  <c r="J1708" i="3"/>
  <c r="J1724" i="3"/>
  <c r="J1740" i="3"/>
  <c r="J1756" i="3"/>
  <c r="J1772" i="3"/>
  <c r="J1788" i="3"/>
  <c r="J1804" i="3"/>
  <c r="J1820" i="3"/>
  <c r="J1836" i="3"/>
  <c r="J1852" i="3"/>
  <c r="J1868" i="3"/>
  <c r="J1884" i="3"/>
  <c r="J1900" i="3"/>
  <c r="J1916" i="3"/>
  <c r="J1932" i="3"/>
  <c r="J1948" i="3"/>
  <c r="J1964" i="3"/>
  <c r="J1980" i="3"/>
  <c r="J1996" i="3"/>
  <c r="J45" i="3"/>
  <c r="J105" i="3"/>
  <c r="J165" i="3"/>
  <c r="J61" i="3"/>
  <c r="J125" i="3"/>
  <c r="J189" i="3"/>
  <c r="J237" i="3"/>
  <c r="J301" i="3"/>
  <c r="J365" i="3"/>
  <c r="J429" i="3"/>
  <c r="J489" i="3"/>
  <c r="J553" i="3"/>
  <c r="J621" i="3"/>
  <c r="J681" i="3"/>
  <c r="J745" i="3"/>
  <c r="J809" i="3"/>
  <c r="J877" i="3"/>
  <c r="J929" i="3"/>
  <c r="J989" i="3"/>
  <c r="J1053" i="3"/>
  <c r="J1113" i="3"/>
  <c r="J1177" i="3"/>
  <c r="J1237" i="3"/>
  <c r="J1293" i="3"/>
  <c r="J1357" i="3"/>
  <c r="J1421" i="3"/>
  <c r="J1485" i="3"/>
  <c r="J1549" i="3"/>
  <c r="J1609" i="3"/>
  <c r="J1669" i="3"/>
  <c r="J1729" i="3"/>
  <c r="J1793" i="3"/>
  <c r="J1857" i="3"/>
  <c r="J1917" i="3"/>
  <c r="J1977" i="3"/>
  <c r="J233" i="3"/>
  <c r="J293" i="3"/>
  <c r="J357" i="3"/>
  <c r="J421" i="3"/>
  <c r="J485" i="3"/>
  <c r="J545" i="3"/>
  <c r="J609" i="3"/>
  <c r="J673" i="3"/>
  <c r="J733" i="3"/>
  <c r="J797" i="3"/>
  <c r="J865" i="3"/>
  <c r="J933" i="3"/>
  <c r="J997" i="3"/>
  <c r="J1057" i="3"/>
  <c r="J1121" i="3"/>
  <c r="J1185" i="3"/>
  <c r="J1245" i="3"/>
  <c r="J1313" i="3"/>
  <c r="J1377" i="3"/>
  <c r="J1441" i="3"/>
  <c r="J1505" i="3"/>
  <c r="J1573" i="3"/>
  <c r="J1641" i="3"/>
  <c r="J1705" i="3"/>
  <c r="J1765" i="3"/>
  <c r="J1833" i="3"/>
  <c r="J1897" i="3"/>
  <c r="J1957" i="3"/>
  <c r="J217" i="3"/>
  <c r="J277" i="3"/>
  <c r="J409" i="3"/>
  <c r="J477" i="3"/>
  <c r="J541" i="3"/>
  <c r="J601" i="3"/>
  <c r="J661" i="3"/>
  <c r="J725" i="3"/>
  <c r="J785" i="3"/>
  <c r="J845" i="3"/>
  <c r="J905" i="3"/>
  <c r="J969" i="3"/>
  <c r="J1033" i="3"/>
  <c r="J1093" i="3"/>
  <c r="J1157" i="3"/>
  <c r="J1225" i="3"/>
  <c r="J1289" i="3"/>
  <c r="J1353" i="3"/>
  <c r="J1417" i="3"/>
  <c r="J1481" i="3"/>
  <c r="J1545" i="3"/>
  <c r="J1613" i="3"/>
  <c r="J1677" i="3"/>
  <c r="J1741" i="3"/>
  <c r="J1805" i="3"/>
  <c r="J1873" i="3"/>
  <c r="J1937" i="3"/>
  <c r="J2001" i="3"/>
  <c r="J261" i="3"/>
  <c r="J385" i="3"/>
  <c r="J449" i="3"/>
  <c r="J517" i="3"/>
  <c r="J581" i="3"/>
  <c r="J653" i="3"/>
  <c r="J721" i="3"/>
  <c r="J789" i="3"/>
  <c r="J853" i="3"/>
  <c r="J925" i="3"/>
  <c r="J993" i="3"/>
  <c r="J1065" i="3"/>
  <c r="J1133" i="3"/>
  <c r="J1201" i="3"/>
  <c r="J1265" i="3"/>
  <c r="J1333" i="3"/>
  <c r="J1397" i="3"/>
  <c r="J1461" i="3"/>
  <c r="J1525" i="3"/>
  <c r="J1585" i="3"/>
  <c r="J1649" i="3"/>
  <c r="J1713" i="3"/>
  <c r="J1785" i="3"/>
  <c r="J1845" i="3"/>
  <c r="J1909" i="3"/>
  <c r="J1981" i="3"/>
  <c r="J22" i="3"/>
  <c r="J54" i="3"/>
  <c r="J86" i="3"/>
  <c r="J134" i="3"/>
  <c r="J166" i="3"/>
  <c r="J198" i="3"/>
  <c r="J230" i="3"/>
  <c r="J262" i="3"/>
  <c r="J294" i="3"/>
  <c r="J358" i="3"/>
  <c r="J374" i="3"/>
  <c r="J406" i="3"/>
  <c r="J438" i="3"/>
  <c r="J470" i="3"/>
  <c r="J486" i="3"/>
  <c r="J518" i="3"/>
  <c r="J550" i="3"/>
  <c r="J582" i="3"/>
  <c r="J614" i="3"/>
  <c r="J646" i="3"/>
  <c r="J678" i="3"/>
  <c r="J710" i="3"/>
  <c r="J742" i="3"/>
  <c r="J774" i="3"/>
  <c r="J806" i="3"/>
  <c r="J838" i="3"/>
  <c r="J870" i="3"/>
  <c r="J902" i="3"/>
  <c r="J934" i="3"/>
  <c r="J966" i="3"/>
  <c r="J998" i="3"/>
  <c r="J1030" i="3"/>
  <c r="J1062" i="3"/>
  <c r="J1094" i="3"/>
  <c r="J1126" i="3"/>
  <c r="J1158" i="3"/>
  <c r="J1190" i="3"/>
  <c r="J1222" i="3"/>
  <c r="J1254" i="3"/>
  <c r="J1286" i="3"/>
  <c r="J1318" i="3"/>
  <c r="J1350" i="3"/>
  <c r="J1382" i="3"/>
  <c r="J1414" i="3"/>
  <c r="J1446" i="3"/>
  <c r="J1478" i="3"/>
  <c r="J1510" i="3"/>
  <c r="J1526" i="3"/>
  <c r="J1558" i="3"/>
  <c r="J1590" i="3"/>
  <c r="J1622" i="3"/>
  <c r="J1654" i="3"/>
  <c r="J1686" i="3"/>
  <c r="J1718" i="3"/>
  <c r="J1766" i="3"/>
  <c r="J1798" i="3"/>
  <c r="J1830" i="3"/>
  <c r="J1862" i="3"/>
  <c r="J1894" i="3"/>
  <c r="J1926" i="3"/>
  <c r="J1958" i="3"/>
  <c r="J1990" i="3"/>
  <c r="J153" i="3"/>
  <c r="J27" i="3"/>
  <c r="J59" i="3"/>
  <c r="J91" i="3"/>
  <c r="J107" i="3"/>
  <c r="J139" i="3"/>
  <c r="J187" i="3"/>
  <c r="J219" i="3"/>
  <c r="J251" i="3"/>
  <c r="J283" i="3"/>
  <c r="J395" i="3"/>
  <c r="J427" i="3"/>
  <c r="J459" i="3"/>
  <c r="J491" i="3"/>
  <c r="J523" i="3"/>
  <c r="J555" i="3"/>
  <c r="J603" i="3"/>
  <c r="J619" i="3"/>
  <c r="J651" i="3"/>
  <c r="J683" i="3"/>
  <c r="J715" i="3"/>
  <c r="J747" i="3"/>
  <c r="J779" i="3"/>
  <c r="J811" i="3"/>
  <c r="J843" i="3"/>
  <c r="J875" i="3"/>
  <c r="J907" i="3"/>
  <c r="J939" i="3"/>
  <c r="J971" i="3"/>
  <c r="J1003" i="3"/>
  <c r="J1035" i="3"/>
  <c r="J1067" i="3"/>
  <c r="J1099" i="3"/>
  <c r="J1131" i="3"/>
  <c r="J1163" i="3"/>
  <c r="J1195" i="3"/>
  <c r="J1227" i="3"/>
  <c r="J1259" i="3"/>
  <c r="J1291" i="3"/>
  <c r="J1323" i="3"/>
  <c r="J1355" i="3"/>
  <c r="J1387" i="3"/>
  <c r="J1419" i="3"/>
  <c r="J1451" i="3"/>
  <c r="J1483" i="3"/>
  <c r="J1515" i="3"/>
  <c r="J1547" i="3"/>
  <c r="J1579" i="3"/>
  <c r="J1611" i="3"/>
  <c r="J1643" i="3"/>
  <c r="J1675" i="3"/>
  <c r="J1707" i="3"/>
  <c r="J1739" i="3"/>
  <c r="J1771" i="3"/>
  <c r="J1803" i="3"/>
  <c r="J1835" i="3"/>
  <c r="J1867" i="3"/>
  <c r="J1883" i="3"/>
  <c r="J1915" i="3"/>
  <c r="J1947" i="3"/>
  <c r="J1979" i="3"/>
  <c r="J177" i="3"/>
  <c r="J36" i="3"/>
  <c r="J68" i="3"/>
  <c r="J100" i="3"/>
  <c r="J132" i="3"/>
  <c r="J180" i="3"/>
  <c r="J212" i="3"/>
  <c r="J244" i="3"/>
  <c r="J276" i="3"/>
  <c r="J308" i="3"/>
  <c r="J372" i="3"/>
  <c r="J404" i="3"/>
  <c r="J436" i="3"/>
  <c r="J468" i="3"/>
  <c r="J500" i="3"/>
  <c r="J516" i="3"/>
  <c r="J548" i="3"/>
  <c r="J596" i="3"/>
  <c r="J628" i="3"/>
  <c r="J660" i="3"/>
  <c r="J692" i="3"/>
  <c r="J724" i="3"/>
  <c r="J756" i="3"/>
  <c r="J788" i="3"/>
  <c r="J820" i="3"/>
  <c r="J836" i="3"/>
  <c r="J868" i="3"/>
  <c r="J900" i="3"/>
  <c r="J932" i="3"/>
  <c r="J964" i="3"/>
  <c r="J996" i="3"/>
  <c r="J1028" i="3"/>
  <c r="J1060" i="3"/>
  <c r="J1092" i="3"/>
  <c r="J1124" i="3"/>
  <c r="J1156" i="3"/>
  <c r="J1188" i="3"/>
  <c r="J1220" i="3"/>
  <c r="J1252" i="3"/>
  <c r="J1284" i="3"/>
  <c r="J1316" i="3"/>
  <c r="J1348" i="3"/>
  <c r="J1380" i="3"/>
  <c r="J1412" i="3"/>
  <c r="J1444" i="3"/>
  <c r="J1476" i="3"/>
  <c r="J1508" i="3"/>
  <c r="J1524" i="3"/>
  <c r="J1556" i="3"/>
  <c r="J1588" i="3"/>
  <c r="J1620" i="3"/>
  <c r="J1652" i="3"/>
  <c r="J1684" i="3"/>
  <c r="J1716" i="3"/>
  <c r="J1748" i="3"/>
  <c r="J1780" i="3"/>
  <c r="J1812" i="3"/>
  <c r="J1844" i="3"/>
  <c r="J1876" i="3"/>
  <c r="J1908" i="3"/>
  <c r="J1940" i="3"/>
  <c r="J1972" i="3"/>
  <c r="J133" i="3"/>
  <c r="J25" i="3"/>
  <c r="J93" i="3"/>
  <c r="J209" i="3"/>
  <c r="J397" i="3"/>
  <c r="J589" i="3"/>
  <c r="J713" i="3"/>
  <c r="J841" i="3"/>
  <c r="J961" i="3"/>
  <c r="J1085" i="3"/>
  <c r="J1205" i="3"/>
  <c r="J1325" i="3"/>
  <c r="J1453" i="3"/>
  <c r="J1577" i="3"/>
  <c r="J1701" i="3"/>
  <c r="J1825" i="3"/>
  <c r="J1949" i="3"/>
  <c r="J265" i="3"/>
  <c r="J453" i="3"/>
  <c r="J577" i="3"/>
  <c r="J701" i="3"/>
  <c r="J833" i="3"/>
  <c r="J965" i="3"/>
  <c r="J1089" i="3"/>
  <c r="J1213" i="3"/>
  <c r="J1345" i="3"/>
  <c r="J1473" i="3"/>
  <c r="J1605" i="3"/>
  <c r="J1737" i="3"/>
  <c r="J1865" i="3"/>
  <c r="J1989" i="3"/>
  <c r="J441" i="3"/>
  <c r="J509" i="3"/>
  <c r="J629" i="3"/>
  <c r="J753" i="3"/>
  <c r="J873" i="3"/>
  <c r="J1001" i="3"/>
  <c r="J1125" i="3"/>
  <c r="J1257" i="3"/>
  <c r="J1385" i="3"/>
  <c r="J1513" i="3"/>
  <c r="J1645" i="3"/>
  <c r="J1773" i="3"/>
  <c r="J1905" i="3"/>
  <c r="J221" i="3"/>
  <c r="J353" i="3"/>
  <c r="J481" i="3"/>
  <c r="J613" i="3"/>
  <c r="J757" i="3"/>
  <c r="J885" i="3"/>
  <c r="J1029" i="3"/>
  <c r="J1165" i="3"/>
  <c r="J1301" i="3"/>
  <c r="J1429" i="3"/>
  <c r="J1557" i="3"/>
  <c r="J1681" i="3"/>
  <c r="J1813" i="3"/>
  <c r="J1945" i="3"/>
  <c r="J26" i="3"/>
  <c r="J58" i="3"/>
  <c r="J90" i="3"/>
  <c r="J122" i="3"/>
  <c r="J154" i="3"/>
  <c r="J186" i="3"/>
  <c r="J218" i="3"/>
  <c r="J250" i="3"/>
  <c r="J282" i="3"/>
  <c r="J394" i="3"/>
  <c r="J426" i="3"/>
  <c r="J458" i="3"/>
  <c r="J490" i="3"/>
  <c r="J522" i="3"/>
  <c r="J554" i="3"/>
  <c r="J586" i="3"/>
  <c r="J618" i="3"/>
  <c r="J650" i="3"/>
  <c r="J682" i="3"/>
  <c r="J714" i="3"/>
  <c r="J746" i="3"/>
  <c r="J778" i="3"/>
  <c r="J810" i="3"/>
  <c r="J842" i="3"/>
  <c r="J858" i="3"/>
  <c r="J890" i="3"/>
  <c r="J922" i="3"/>
  <c r="J954" i="3"/>
  <c r="J986" i="3"/>
  <c r="J1018" i="3"/>
  <c r="J1050" i="3"/>
  <c r="J1082" i="3"/>
  <c r="J1114" i="3"/>
  <c r="J1146" i="3"/>
  <c r="J1178" i="3"/>
  <c r="J1210" i="3"/>
  <c r="J1242" i="3"/>
  <c r="J1274" i="3"/>
  <c r="J1306" i="3"/>
  <c r="J1338" i="3"/>
  <c r="J1370" i="3"/>
  <c r="J1402" i="3"/>
  <c r="J1434" i="3"/>
  <c r="J1466" i="3"/>
  <c r="J1498" i="3"/>
  <c r="J1530" i="3"/>
  <c r="J1562" i="3"/>
  <c r="J1594" i="3"/>
  <c r="J1610" i="3"/>
  <c r="J1642" i="3"/>
  <c r="J1658" i="3"/>
  <c r="J1674" i="3"/>
  <c r="J1690" i="3"/>
  <c r="J1706" i="3"/>
  <c r="J1722" i="3"/>
  <c r="J1738" i="3"/>
  <c r="J1754" i="3"/>
  <c r="J1770" i="3"/>
  <c r="J1786" i="3"/>
  <c r="J1802" i="3"/>
  <c r="J1818" i="3"/>
  <c r="J1834" i="3"/>
  <c r="J1850" i="3"/>
  <c r="J1866" i="3"/>
  <c r="J1882" i="3"/>
  <c r="J1898" i="3"/>
  <c r="J1914" i="3"/>
  <c r="J1930" i="3"/>
  <c r="J1946" i="3"/>
  <c r="J1962" i="3"/>
  <c r="J1978" i="3"/>
  <c r="J37" i="3"/>
  <c r="J101" i="3"/>
  <c r="J15" i="3"/>
  <c r="J31" i="3"/>
  <c r="J63" i="3"/>
  <c r="J95" i="3"/>
  <c r="J111" i="3"/>
  <c r="J143" i="3"/>
  <c r="J175" i="3"/>
  <c r="J207" i="3"/>
  <c r="J239" i="3"/>
  <c r="J287" i="3"/>
  <c r="J303" i="3"/>
  <c r="J367" i="3"/>
  <c r="J399" i="3"/>
  <c r="J431" i="3"/>
  <c r="J463" i="3"/>
  <c r="J511" i="3"/>
  <c r="J527" i="3"/>
  <c r="J575" i="3"/>
  <c r="J607" i="3"/>
  <c r="J623" i="3"/>
  <c r="J655" i="3"/>
  <c r="J687" i="3"/>
  <c r="J719" i="3"/>
  <c r="J751" i="3"/>
  <c r="J783" i="3"/>
  <c r="J815" i="3"/>
  <c r="J847" i="3"/>
  <c r="J879" i="3"/>
  <c r="J911" i="3"/>
  <c r="J943" i="3"/>
  <c r="J975" i="3"/>
  <c r="J1007" i="3"/>
  <c r="J1039" i="3"/>
  <c r="J1071" i="3"/>
  <c r="J1103" i="3"/>
  <c r="J1135" i="3"/>
  <c r="J1167" i="3"/>
  <c r="J1199" i="3"/>
  <c r="J1231" i="3"/>
  <c r="J1263" i="3"/>
  <c r="J1295" i="3"/>
  <c r="J1327" i="3"/>
  <c r="J1359" i="3"/>
  <c r="J1391" i="3"/>
  <c r="J1423" i="3"/>
  <c r="J1455" i="3"/>
  <c r="J1487" i="3"/>
  <c r="J1519" i="3"/>
  <c r="J1551" i="3"/>
  <c r="J1583" i="3"/>
  <c r="J1615" i="3"/>
  <c r="J1631" i="3"/>
  <c r="J1663" i="3"/>
  <c r="J1695" i="3"/>
  <c r="J1727" i="3"/>
  <c r="J1759" i="3"/>
  <c r="J1791" i="3"/>
  <c r="J1823" i="3"/>
  <c r="J1855" i="3"/>
  <c r="J1887" i="3"/>
  <c r="J1919" i="3"/>
  <c r="J1951" i="3"/>
  <c r="J1983" i="3"/>
  <c r="J129" i="3"/>
  <c r="J24" i="3"/>
  <c r="J56" i="3"/>
  <c r="J88" i="3"/>
  <c r="J136" i="3"/>
  <c r="J168" i="3"/>
  <c r="J200" i="3"/>
  <c r="J232" i="3"/>
  <c r="J264" i="3"/>
  <c r="J280" i="3"/>
  <c r="J312" i="3"/>
  <c r="J376" i="3"/>
  <c r="J408" i="3"/>
  <c r="J440" i="3"/>
  <c r="J472" i="3"/>
  <c r="J504" i="3"/>
  <c r="J536" i="3"/>
  <c r="J568" i="3"/>
  <c r="J584" i="3"/>
  <c r="J616" i="3"/>
  <c r="J632" i="3"/>
  <c r="J664" i="3"/>
  <c r="J696" i="3"/>
  <c r="J728" i="3"/>
  <c r="J760" i="3"/>
  <c r="J792" i="3"/>
  <c r="J824" i="3"/>
  <c r="J856" i="3"/>
  <c r="J888" i="3"/>
  <c r="J920" i="3"/>
  <c r="J952" i="3"/>
  <c r="J984" i="3"/>
  <c r="J1016" i="3"/>
  <c r="J1048" i="3"/>
  <c r="J1080" i="3"/>
  <c r="J1112" i="3"/>
  <c r="J1144" i="3"/>
  <c r="J1176" i="3"/>
  <c r="J1208" i="3"/>
  <c r="J1240" i="3"/>
  <c r="J1272" i="3"/>
  <c r="J1304" i="3"/>
  <c r="J1336" i="3"/>
  <c r="J1368" i="3"/>
  <c r="J1400" i="3"/>
  <c r="J1432" i="3"/>
  <c r="J1464" i="3"/>
  <c r="J1496" i="3"/>
  <c r="J1528" i="3"/>
  <c r="J1560" i="3"/>
  <c r="J1592" i="3"/>
  <c r="J1624" i="3"/>
  <c r="J1656" i="3"/>
  <c r="J1688" i="3"/>
  <c r="J1720" i="3"/>
  <c r="J1752" i="3"/>
  <c r="J1784" i="3"/>
  <c r="J1816" i="3"/>
  <c r="J1848" i="3"/>
  <c r="J1880" i="3"/>
  <c r="J1912" i="3"/>
  <c r="J1944" i="3"/>
  <c r="J1992" i="3"/>
  <c r="J149" i="3"/>
  <c r="J109" i="3"/>
  <c r="J225" i="3"/>
  <c r="J349" i="3"/>
  <c r="J473" i="3"/>
  <c r="J537" i="3"/>
  <c r="J665" i="3"/>
  <c r="J793" i="3"/>
  <c r="J917" i="3"/>
  <c r="J1037" i="3"/>
  <c r="J1161" i="3"/>
  <c r="J1277" i="3"/>
  <c r="J1405" i="3"/>
  <c r="J1533" i="3"/>
  <c r="J1593" i="3"/>
  <c r="J1653" i="3"/>
  <c r="J1777" i="3"/>
  <c r="J1901" i="3"/>
  <c r="J213" i="3"/>
  <c r="J529" i="3"/>
  <c r="J657" i="3"/>
  <c r="J717" i="3"/>
  <c r="J849" i="3"/>
  <c r="J981" i="3"/>
  <c r="J1229" i="3"/>
  <c r="J1297" i="3"/>
  <c r="J1361" i="3"/>
  <c r="J1425" i="3"/>
  <c r="J1489" i="3"/>
  <c r="J1553" i="3"/>
  <c r="J1621" i="3"/>
  <c r="J1689" i="3"/>
  <c r="J1753" i="3"/>
  <c r="J1817" i="3"/>
  <c r="J1941" i="3"/>
  <c r="J257" i="3"/>
  <c r="J393" i="3"/>
  <c r="J525" i="3"/>
  <c r="J645" i="3"/>
  <c r="J769" i="3"/>
  <c r="J889" i="3"/>
  <c r="J1017" i="3"/>
  <c r="J1141" i="3"/>
  <c r="J1273" i="3"/>
  <c r="J1401" i="3"/>
  <c r="J1529" i="3"/>
  <c r="J1661" i="3"/>
  <c r="J1789" i="3"/>
  <c r="J1921" i="3"/>
  <c r="J241" i="3"/>
  <c r="J369" i="3"/>
  <c r="J497" i="3"/>
  <c r="J565" i="3"/>
  <c r="J705" i="3"/>
  <c r="J837" i="3"/>
  <c r="J977" i="3"/>
  <c r="J1117" i="3"/>
  <c r="J1249" i="3"/>
  <c r="J1381" i="3"/>
  <c r="J1509" i="3"/>
  <c r="J1633" i="3"/>
  <c r="J1769" i="3"/>
  <c r="J1893" i="3"/>
  <c r="J14" i="3"/>
  <c r="J46" i="3"/>
  <c r="J78" i="3"/>
  <c r="J126" i="3"/>
  <c r="J158" i="3"/>
  <c r="J190" i="3"/>
  <c r="J222" i="3"/>
  <c r="J254" i="3"/>
  <c r="J286" i="3"/>
  <c r="J350" i="3"/>
  <c r="J366" i="3"/>
  <c r="J398" i="3"/>
  <c r="J430" i="3"/>
  <c r="J462" i="3"/>
  <c r="J494" i="3"/>
  <c r="J526" i="3"/>
  <c r="J558" i="3"/>
  <c r="J574" i="3"/>
  <c r="J606" i="3"/>
  <c r="J622" i="3"/>
  <c r="J654" i="3"/>
  <c r="J686" i="3"/>
  <c r="J718" i="3"/>
  <c r="J750" i="3"/>
  <c r="J782" i="3"/>
  <c r="J814" i="3"/>
  <c r="J862" i="3"/>
  <c r="J18" i="3"/>
  <c r="J34" i="3"/>
  <c r="J50" i="3"/>
  <c r="J66" i="3"/>
  <c r="J82" i="3"/>
  <c r="J98" i="3"/>
  <c r="J114" i="3"/>
  <c r="J130" i="3"/>
  <c r="J146" i="3"/>
  <c r="J162" i="3"/>
  <c r="J178" i="3"/>
  <c r="J194" i="3"/>
  <c r="J210" i="3"/>
  <c r="J226" i="3"/>
  <c r="J242" i="3"/>
  <c r="J258" i="3"/>
  <c r="J274" i="3"/>
  <c r="J290" i="3"/>
  <c r="J306" i="3"/>
  <c r="J354" i="3"/>
  <c r="J370" i="3"/>
  <c r="J386" i="3"/>
  <c r="J402" i="3"/>
  <c r="J418" i="3"/>
  <c r="J434" i="3"/>
  <c r="J450" i="3"/>
  <c r="J466" i="3"/>
  <c r="J482" i="3"/>
  <c r="J498" i="3"/>
  <c r="J514" i="3"/>
  <c r="J530" i="3"/>
  <c r="J546" i="3"/>
  <c r="J562" i="3"/>
  <c r="J578" i="3"/>
  <c r="J594" i="3"/>
  <c r="J610" i="3"/>
  <c r="J626" i="3"/>
  <c r="J642" i="3"/>
  <c r="J658" i="3"/>
  <c r="J674" i="3"/>
  <c r="J690" i="3"/>
  <c r="J706" i="3"/>
  <c r="J722" i="3"/>
  <c r="J738" i="3"/>
  <c r="J754" i="3"/>
  <c r="J770" i="3"/>
  <c r="J786" i="3"/>
  <c r="J802" i="3"/>
  <c r="J818" i="3"/>
  <c r="J834" i="3"/>
  <c r="J850" i="3"/>
  <c r="J866" i="3"/>
  <c r="J882" i="3"/>
  <c r="J898" i="3"/>
  <c r="J914" i="3"/>
  <c r="J930" i="3"/>
  <c r="J946" i="3"/>
  <c r="J962" i="3"/>
  <c r="J978" i="3"/>
  <c r="J994" i="3"/>
  <c r="J1010" i="3"/>
  <c r="J1026" i="3"/>
  <c r="J1042" i="3"/>
  <c r="J1058" i="3"/>
  <c r="J1074" i="3"/>
  <c r="J1090" i="3"/>
  <c r="J1106" i="3"/>
  <c r="J1122" i="3"/>
  <c r="J1138" i="3"/>
  <c r="J1154" i="3"/>
  <c r="J1170" i="3"/>
  <c r="J1186" i="3"/>
  <c r="J1202" i="3"/>
  <c r="J1218" i="3"/>
  <c r="J1234" i="3"/>
  <c r="J1250" i="3"/>
  <c r="J1266" i="3"/>
  <c r="J1282" i="3"/>
  <c r="J1298" i="3"/>
  <c r="J1314" i="3"/>
  <c r="J1330" i="3"/>
  <c r="J1346" i="3"/>
  <c r="J1362" i="3"/>
  <c r="J1378" i="3"/>
  <c r="J1394" i="3"/>
  <c r="J1410" i="3"/>
  <c r="J1426" i="3"/>
  <c r="J1442" i="3"/>
  <c r="J1458" i="3"/>
  <c r="J1474" i="3"/>
  <c r="J1490" i="3"/>
  <c r="J1506" i="3"/>
  <c r="J1522" i="3"/>
  <c r="J1538" i="3"/>
  <c r="J1554" i="3"/>
  <c r="J1570" i="3"/>
  <c r="J1586" i="3"/>
  <c r="J1602" i="3"/>
  <c r="J1618" i="3"/>
  <c r="J1634" i="3"/>
  <c r="J1650" i="3"/>
  <c r="J1666" i="3"/>
  <c r="J1682" i="3"/>
  <c r="J1698" i="3"/>
  <c r="J1714" i="3"/>
  <c r="J1730" i="3"/>
  <c r="J1746" i="3"/>
  <c r="J1762" i="3"/>
  <c r="J1778" i="3"/>
  <c r="J1794" i="3"/>
  <c r="J1810" i="3"/>
  <c r="J1826" i="3"/>
  <c r="J1842" i="3"/>
  <c r="J1858" i="3"/>
  <c r="J1874" i="3"/>
  <c r="J1890" i="3"/>
  <c r="J1906" i="3"/>
  <c r="J1922" i="3"/>
  <c r="J1938" i="3"/>
  <c r="J1954" i="3"/>
  <c r="J1970" i="3"/>
  <c r="J1986" i="3"/>
  <c r="J2002" i="3"/>
  <c r="J69" i="3"/>
  <c r="J137" i="3"/>
  <c r="J7" i="3"/>
  <c r="J23" i="3"/>
  <c r="J39" i="3"/>
  <c r="J55" i="3"/>
  <c r="J71" i="3"/>
  <c r="J87" i="3"/>
  <c r="J103" i="3"/>
  <c r="J119" i="3"/>
  <c r="J135" i="3"/>
  <c r="J151" i="3"/>
  <c r="J167" i="3"/>
  <c r="J183" i="3"/>
  <c r="J199" i="3"/>
  <c r="J215" i="3"/>
  <c r="J231" i="3"/>
  <c r="J247" i="3"/>
  <c r="J263" i="3"/>
  <c r="J279" i="3"/>
  <c r="J295" i="3"/>
  <c r="J311" i="3"/>
  <c r="J359" i="3"/>
  <c r="J375" i="3"/>
  <c r="J391" i="3"/>
  <c r="J407" i="3"/>
  <c r="J423" i="3"/>
  <c r="J439" i="3"/>
  <c r="J455" i="3"/>
  <c r="J471" i="3"/>
  <c r="J487" i="3"/>
  <c r="J503" i="3"/>
  <c r="J519" i="3"/>
  <c r="J535" i="3"/>
  <c r="J551" i="3"/>
  <c r="J567" i="3"/>
  <c r="J583" i="3"/>
  <c r="J599" i="3"/>
  <c r="J615" i="3"/>
  <c r="J631" i="3"/>
  <c r="J647" i="3"/>
  <c r="J663" i="3"/>
  <c r="J679" i="3"/>
  <c r="J695" i="3"/>
  <c r="J711" i="3"/>
  <c r="J727" i="3"/>
  <c r="J743" i="3"/>
  <c r="J759" i="3"/>
  <c r="J775" i="3"/>
  <c r="J791" i="3"/>
  <c r="J807" i="3"/>
  <c r="J823" i="3"/>
  <c r="J839" i="3"/>
  <c r="J855" i="3"/>
  <c r="J871" i="3"/>
  <c r="J887" i="3"/>
  <c r="J903" i="3"/>
  <c r="J919" i="3"/>
  <c r="J935" i="3"/>
  <c r="J951" i="3"/>
  <c r="J967" i="3"/>
  <c r="J983" i="3"/>
  <c r="J999" i="3"/>
  <c r="J1015" i="3"/>
  <c r="J1031" i="3"/>
  <c r="J1047" i="3"/>
  <c r="J1063" i="3"/>
  <c r="J1079" i="3"/>
  <c r="J1095" i="3"/>
  <c r="J1111" i="3"/>
  <c r="J1127" i="3"/>
  <c r="J1143" i="3"/>
  <c r="J1159" i="3"/>
  <c r="J1175" i="3"/>
  <c r="J1191" i="3"/>
  <c r="J1207" i="3"/>
  <c r="J1223" i="3"/>
  <c r="J1239" i="3"/>
  <c r="J1255" i="3"/>
  <c r="J1271" i="3"/>
  <c r="J1287" i="3"/>
  <c r="J1303" i="3"/>
  <c r="J1319" i="3"/>
  <c r="J1335" i="3"/>
  <c r="J1351" i="3"/>
  <c r="J1367" i="3"/>
  <c r="J1383" i="3"/>
  <c r="J1399" i="3"/>
  <c r="J1415" i="3"/>
  <c r="J1431" i="3"/>
  <c r="J1447" i="3"/>
  <c r="J1463" i="3"/>
  <c r="J1479" i="3"/>
  <c r="J1495" i="3"/>
  <c r="J1511" i="3"/>
  <c r="J1527" i="3"/>
  <c r="J1543" i="3"/>
  <c r="J1559" i="3"/>
  <c r="J1575" i="3"/>
  <c r="J1591" i="3"/>
  <c r="J1607" i="3"/>
  <c r="J1623" i="3"/>
  <c r="J1639" i="3"/>
  <c r="J1655" i="3"/>
  <c r="J1671" i="3"/>
  <c r="J1687" i="3"/>
  <c r="J1703" i="3"/>
  <c r="J1719" i="3"/>
  <c r="J1735" i="3"/>
  <c r="J1751" i="3"/>
  <c r="J1767" i="3"/>
  <c r="J1783" i="3"/>
  <c r="J1799" i="3"/>
  <c r="J1815" i="3"/>
  <c r="J1831" i="3"/>
  <c r="J1847" i="3"/>
  <c r="J1863" i="3"/>
  <c r="J1879" i="3"/>
  <c r="J1895" i="3"/>
  <c r="J1911" i="3"/>
  <c r="J1927" i="3"/>
  <c r="J1943" i="3"/>
  <c r="J1959" i="3"/>
  <c r="J1975" i="3"/>
  <c r="J1991" i="3"/>
  <c r="J33" i="3"/>
  <c r="J97" i="3"/>
  <c r="J161" i="3"/>
  <c r="J16" i="3"/>
  <c r="J32" i="3"/>
  <c r="J48" i="3"/>
  <c r="J64" i="3"/>
  <c r="J80" i="3"/>
  <c r="J96" i="3"/>
  <c r="J112" i="3"/>
  <c r="J128" i="3"/>
  <c r="J144" i="3"/>
  <c r="J160" i="3"/>
  <c r="J176" i="3"/>
  <c r="J192" i="3"/>
  <c r="J208" i="3"/>
  <c r="J224" i="3"/>
  <c r="J240" i="3"/>
  <c r="J256" i="3"/>
  <c r="J272" i="3"/>
  <c r="J288" i="3"/>
  <c r="J304" i="3"/>
  <c r="J352" i="3"/>
  <c r="J368" i="3"/>
  <c r="J384" i="3"/>
  <c r="J400" i="3"/>
  <c r="J416" i="3"/>
  <c r="J432" i="3"/>
  <c r="J448" i="3"/>
  <c r="J464" i="3"/>
  <c r="J480" i="3"/>
  <c r="J496" i="3"/>
  <c r="J512" i="3"/>
  <c r="J528" i="3"/>
  <c r="J544" i="3"/>
  <c r="J560" i="3"/>
  <c r="J576" i="3"/>
  <c r="J592" i="3"/>
  <c r="J608" i="3"/>
  <c r="J624" i="3"/>
  <c r="J640" i="3"/>
  <c r="J656" i="3"/>
  <c r="J672" i="3"/>
  <c r="J688" i="3"/>
  <c r="J704" i="3"/>
  <c r="J720" i="3"/>
  <c r="J736" i="3"/>
  <c r="J752" i="3"/>
  <c r="J768" i="3"/>
  <c r="J784" i="3"/>
  <c r="J800" i="3"/>
  <c r="J816" i="3"/>
  <c r="J832" i="3"/>
  <c r="J848" i="3"/>
  <c r="J864" i="3"/>
  <c r="J880" i="3"/>
  <c r="J896" i="3"/>
  <c r="J912" i="3"/>
  <c r="J928" i="3"/>
  <c r="J944" i="3"/>
  <c r="J960" i="3"/>
  <c r="J976" i="3"/>
  <c r="J992" i="3"/>
  <c r="J1008" i="3"/>
  <c r="J1024" i="3"/>
  <c r="J1040" i="3"/>
  <c r="J1056" i="3"/>
  <c r="J1072" i="3"/>
  <c r="J1088" i="3"/>
  <c r="J1104" i="3"/>
  <c r="J1120" i="3"/>
  <c r="J1136" i="3"/>
  <c r="J1152" i="3"/>
  <c r="J1168" i="3"/>
  <c r="J1184" i="3"/>
  <c r="J1200" i="3"/>
  <c r="J1216" i="3"/>
  <c r="J1232" i="3"/>
  <c r="J1248" i="3"/>
  <c r="J1264" i="3"/>
  <c r="J1280" i="3"/>
  <c r="J1296" i="3"/>
  <c r="J1312" i="3"/>
  <c r="J1328" i="3"/>
  <c r="J1344" i="3"/>
  <c r="J1360" i="3"/>
  <c r="J1376" i="3"/>
  <c r="J1392" i="3"/>
  <c r="J1408" i="3"/>
  <c r="J1424" i="3"/>
  <c r="J1440" i="3"/>
  <c r="J1456" i="3"/>
  <c r="J1472" i="3"/>
  <c r="J1488" i="3"/>
  <c r="J1504" i="3"/>
  <c r="J1520" i="3"/>
  <c r="J1536" i="3"/>
  <c r="J1552" i="3"/>
  <c r="J1568" i="3"/>
  <c r="J1584" i="3"/>
  <c r="J1600" i="3"/>
  <c r="J1616" i="3"/>
  <c r="J1632" i="3"/>
  <c r="J1648" i="3"/>
  <c r="J1664" i="3"/>
  <c r="J1680" i="3"/>
  <c r="J1696" i="3"/>
  <c r="J1712" i="3"/>
  <c r="J1728" i="3"/>
  <c r="J1744" i="3"/>
  <c r="J1760" i="3"/>
  <c r="J1776" i="3"/>
  <c r="J1792" i="3"/>
  <c r="J1808" i="3"/>
  <c r="J1824" i="3"/>
  <c r="J1840" i="3"/>
  <c r="J1856" i="3"/>
  <c r="J1872" i="3"/>
  <c r="J1888" i="3"/>
  <c r="J1904" i="3"/>
  <c r="J1920" i="3"/>
  <c r="J1936" i="3"/>
  <c r="J1952" i="3"/>
  <c r="J1968" i="3"/>
  <c r="J1984" i="3"/>
  <c r="J2000" i="3"/>
  <c r="J57" i="3"/>
  <c r="J121" i="3"/>
  <c r="J181" i="3"/>
  <c r="J77" i="3"/>
  <c r="J141" i="3"/>
  <c r="J201" i="3"/>
  <c r="J253" i="3"/>
  <c r="J381" i="3"/>
  <c r="J445" i="3"/>
  <c r="J505" i="3"/>
  <c r="J573" i="3"/>
  <c r="J633" i="3"/>
  <c r="J697" i="3"/>
  <c r="J761" i="3"/>
  <c r="J825" i="3"/>
  <c r="J893" i="3"/>
  <c r="J945" i="3"/>
  <c r="J1005" i="3"/>
  <c r="J1069" i="3"/>
  <c r="J1129" i="3"/>
  <c r="J1193" i="3"/>
  <c r="J1253" i="3"/>
  <c r="J1309" i="3"/>
  <c r="J1373" i="3"/>
  <c r="J1437" i="3"/>
  <c r="J1501" i="3"/>
  <c r="J1561" i="3"/>
  <c r="J1625" i="3"/>
  <c r="J1685" i="3"/>
  <c r="J1745" i="3"/>
  <c r="J1809" i="3"/>
  <c r="J1869" i="3"/>
  <c r="J1933" i="3"/>
  <c r="J1993" i="3"/>
  <c r="J249" i="3"/>
  <c r="J309" i="3"/>
  <c r="J373" i="3"/>
  <c r="J437" i="3"/>
  <c r="J501" i="3"/>
  <c r="J561" i="3"/>
  <c r="J625" i="3"/>
  <c r="J685" i="3"/>
  <c r="J749" i="3"/>
  <c r="J813" i="3"/>
  <c r="J881" i="3"/>
  <c r="J949" i="3"/>
  <c r="J1013" i="3"/>
  <c r="J1073" i="3"/>
  <c r="J1137" i="3"/>
  <c r="J1197" i="3"/>
  <c r="J1269" i="3"/>
  <c r="J1329" i="3"/>
  <c r="J1393" i="3"/>
  <c r="J1457" i="3"/>
  <c r="J1521" i="3"/>
  <c r="J1589" i="3"/>
  <c r="J1657" i="3"/>
  <c r="J1721" i="3"/>
  <c r="J1781" i="3"/>
  <c r="J1849" i="3"/>
  <c r="J1913" i="3"/>
  <c r="J1973" i="3"/>
  <c r="J229" i="3"/>
  <c r="J297" i="3"/>
  <c r="J361" i="3"/>
  <c r="J425" i="3"/>
  <c r="J493" i="3"/>
  <c r="J557" i="3"/>
  <c r="J617" i="3"/>
  <c r="J677" i="3"/>
  <c r="J741" i="3"/>
  <c r="J801" i="3"/>
  <c r="J857" i="3"/>
  <c r="J921" i="3"/>
  <c r="J985" i="3"/>
  <c r="J1049" i="3"/>
  <c r="J1109" i="3"/>
  <c r="J1173" i="3"/>
  <c r="J1241" i="3"/>
  <c r="J1305" i="3"/>
  <c r="J1369" i="3"/>
  <c r="J1433" i="3"/>
  <c r="J1497" i="3"/>
  <c r="J1565" i="3"/>
  <c r="J1629" i="3"/>
  <c r="J1693" i="3"/>
  <c r="J1757" i="3"/>
  <c r="J1821" i="3"/>
  <c r="J1889" i="3"/>
  <c r="J1953" i="3"/>
  <c r="J205" i="3"/>
  <c r="J273" i="3"/>
  <c r="J401" i="3"/>
  <c r="J465" i="3"/>
  <c r="J533" i="3"/>
  <c r="J597" i="3"/>
  <c r="J669" i="3"/>
  <c r="J737" i="3"/>
  <c r="J805" i="3"/>
  <c r="J869" i="3"/>
  <c r="J941" i="3"/>
  <c r="J1009" i="3"/>
  <c r="J1081" i="3"/>
  <c r="J1149" i="3"/>
  <c r="J1217" i="3"/>
  <c r="J1285" i="3"/>
  <c r="J1349" i="3"/>
  <c r="J1413" i="3"/>
  <c r="J1477" i="3"/>
  <c r="J1541" i="3"/>
  <c r="J1601" i="3"/>
  <c r="J1665" i="3"/>
  <c r="J1733" i="3"/>
  <c r="J1797" i="3"/>
  <c r="J1861" i="3"/>
  <c r="J1925" i="3"/>
  <c r="J1997" i="3"/>
  <c r="AT14" i="3"/>
  <c r="AT38" i="3"/>
  <c r="AT62" i="3"/>
  <c r="AT78" i="3"/>
  <c r="AT102" i="3"/>
  <c r="AT126" i="3"/>
  <c r="AT198" i="3"/>
  <c r="AT222" i="3"/>
  <c r="AT254" i="3"/>
  <c r="AT278" i="3"/>
  <c r="AT302" i="3"/>
  <c r="AT326" i="3"/>
  <c r="AT350" i="3"/>
  <c r="AT374" i="3"/>
  <c r="AT382" i="3"/>
  <c r="AT390" i="3"/>
  <c r="AT414" i="3"/>
  <c r="AT422" i="3"/>
  <c r="AT430" i="3"/>
  <c r="AT438" i="3"/>
  <c r="AT446" i="3"/>
  <c r="AT454" i="3"/>
  <c r="AT462" i="3"/>
  <c r="AT470" i="3"/>
  <c r="AT478" i="3"/>
  <c r="AT486" i="3"/>
  <c r="AT494" i="3"/>
  <c r="AT502" i="3"/>
  <c r="AT510" i="3"/>
  <c r="AT518" i="3"/>
  <c r="AT526" i="3"/>
  <c r="AT534" i="3"/>
  <c r="AT614" i="3"/>
  <c r="AT622" i="3"/>
  <c r="AT630" i="3"/>
  <c r="AT638" i="3"/>
  <c r="AT646" i="3"/>
  <c r="AT654" i="3"/>
  <c r="AT662" i="3"/>
  <c r="AT670" i="3"/>
  <c r="AT678" i="3"/>
  <c r="AT1374" i="3"/>
  <c r="AT1390" i="3"/>
  <c r="AT1406" i="3"/>
  <c r="AT1422" i="3"/>
  <c r="AT1438" i="3"/>
  <c r="AT1454" i="3"/>
  <c r="AT1470" i="3"/>
  <c r="AT1486" i="3"/>
  <c r="AT1502" i="3"/>
  <c r="AT1518" i="3"/>
  <c r="AT1534" i="3"/>
  <c r="AT1550" i="3"/>
  <c r="AT1566" i="3"/>
  <c r="AT1582" i="3"/>
  <c r="AT1598" i="3"/>
  <c r="AT1614" i="3"/>
  <c r="AT1630" i="3"/>
  <c r="AT1646" i="3"/>
  <c r="AT1662" i="3"/>
  <c r="AT1678" i="3"/>
  <c r="AT1694" i="3"/>
  <c r="AT1710" i="3"/>
  <c r="AT1726" i="3"/>
  <c r="AT1742" i="3"/>
  <c r="AT1758" i="3"/>
  <c r="AT1774" i="3"/>
  <c r="AT1790" i="3"/>
  <c r="AT1806" i="3"/>
  <c r="AT153" i="3"/>
  <c r="AT185" i="3"/>
  <c r="AT11" i="3"/>
  <c r="AT19" i="3"/>
  <c r="AT27" i="3"/>
  <c r="AT35" i="3"/>
  <c r="AT43" i="3"/>
  <c r="AT51" i="3"/>
  <c r="AT59" i="3"/>
  <c r="AT75" i="3"/>
  <c r="AT83" i="3"/>
  <c r="AT91" i="3"/>
  <c r="AT99" i="3"/>
  <c r="AT115" i="3"/>
  <c r="AT123" i="3"/>
  <c r="AT131" i="3"/>
  <c r="AT139" i="3"/>
  <c r="AT147" i="3"/>
  <c r="AT163" i="3"/>
  <c r="AT171" i="3"/>
  <c r="AT179" i="3"/>
  <c r="AT187" i="3"/>
  <c r="AT195" i="3"/>
  <c r="AT203" i="3"/>
  <c r="AT211" i="3"/>
  <c r="AT219" i="3"/>
  <c r="AT227" i="3"/>
  <c r="AT235" i="3"/>
  <c r="AT243" i="3"/>
  <c r="AT251" i="3"/>
  <c r="AT259" i="3"/>
  <c r="AT267" i="3"/>
  <c r="AT275" i="3"/>
  <c r="AT283" i="3"/>
  <c r="AT291" i="3"/>
  <c r="AT299" i="3"/>
  <c r="AT307" i="3"/>
  <c r="AT315" i="3"/>
  <c r="AT323" i="3"/>
  <c r="AT331" i="3"/>
  <c r="AT339" i="3"/>
  <c r="AT347" i="3"/>
  <c r="AT355" i="3"/>
  <c r="AT363" i="3"/>
  <c r="AT371" i="3"/>
  <c r="AT379" i="3"/>
  <c r="AT387" i="3"/>
  <c r="AT395" i="3"/>
  <c r="AT403" i="3"/>
  <c r="AT411" i="3"/>
  <c r="AT419" i="3"/>
  <c r="AT427" i="3"/>
  <c r="AT435" i="3"/>
  <c r="AT443" i="3"/>
  <c r="AT451" i="3"/>
  <c r="AT459" i="3"/>
  <c r="AT467" i="3"/>
  <c r="AT475" i="3"/>
  <c r="AT483" i="3"/>
  <c r="AT491" i="3"/>
  <c r="AT499" i="3"/>
  <c r="AT507" i="3"/>
  <c r="AT523" i="3"/>
  <c r="AT531" i="3"/>
  <c r="AT539" i="3"/>
  <c r="AT571" i="3"/>
  <c r="AT603" i="3"/>
  <c r="AT611" i="3"/>
  <c r="AT619" i="3"/>
  <c r="AT627" i="3"/>
  <c r="AT635" i="3"/>
  <c r="AT643" i="3"/>
  <c r="AT651" i="3"/>
  <c r="AT659" i="3"/>
  <c r="AT667" i="3"/>
  <c r="AT675" i="3"/>
  <c r="AT683" i="3"/>
  <c r="AT691" i="3"/>
  <c r="AT699" i="3"/>
  <c r="AT707" i="3"/>
  <c r="AT715" i="3"/>
  <c r="AT723" i="3"/>
  <c r="AT731" i="3"/>
  <c r="AT739" i="3"/>
  <c r="AT747" i="3"/>
  <c r="AT755" i="3"/>
  <c r="AT763" i="3"/>
  <c r="AT771" i="3"/>
  <c r="AT779" i="3"/>
  <c r="AT787" i="3"/>
  <c r="AT795" i="3"/>
  <c r="AT803" i="3"/>
  <c r="AT811" i="3"/>
  <c r="AT819" i="3"/>
  <c r="AT827" i="3"/>
  <c r="AT835" i="3"/>
  <c r="AT843" i="3"/>
  <c r="AT851" i="3"/>
  <c r="AT859" i="3"/>
  <c r="AT867" i="3"/>
  <c r="AT875" i="3"/>
  <c r="AT883" i="3"/>
  <c r="AT891" i="3"/>
  <c r="AT899" i="3"/>
  <c r="AT907" i="3"/>
  <c r="AT915" i="3"/>
  <c r="AT923" i="3"/>
  <c r="AT931" i="3"/>
  <c r="AT939" i="3"/>
  <c r="AT947" i="3"/>
  <c r="AT955" i="3"/>
  <c r="AT963" i="3"/>
  <c r="AT971" i="3"/>
  <c r="AT979" i="3"/>
  <c r="AT987" i="3"/>
  <c r="AT995" i="3"/>
  <c r="AT1027" i="3"/>
  <c r="AT1059" i="3"/>
  <c r="AT1091" i="3"/>
  <c r="AT1123" i="3"/>
  <c r="AT1155" i="3"/>
  <c r="AT1187" i="3"/>
  <c r="AT1219" i="3"/>
  <c r="AT56" i="3"/>
  <c r="AT120" i="3"/>
  <c r="AT184" i="3"/>
  <c r="AT316" i="3"/>
  <c r="AT444" i="3"/>
  <c r="AT700" i="3"/>
  <c r="AT828" i="3"/>
  <c r="AT1019" i="3"/>
  <c r="AT1051" i="3"/>
  <c r="AT1083" i="3"/>
  <c r="AT1115" i="3"/>
  <c r="AT1147" i="3"/>
  <c r="AT1179" i="3"/>
  <c r="AT1211" i="3"/>
  <c r="AT1235" i="3"/>
  <c r="AT1251" i="3"/>
  <c r="AT1267" i="3"/>
  <c r="AT1283" i="3"/>
  <c r="AT1299" i="3"/>
  <c r="AT1315" i="3"/>
  <c r="AT1331" i="3"/>
  <c r="AT1347" i="3"/>
  <c r="AT1363" i="3"/>
  <c r="AT1379" i="3"/>
  <c r="AT1395" i="3"/>
  <c r="AT1411" i="3"/>
  <c r="AT1427" i="3"/>
  <c r="AT1443" i="3"/>
  <c r="AT1459" i="3"/>
  <c r="AT1475" i="3"/>
  <c r="AT1491" i="3"/>
  <c r="AT1507" i="3"/>
  <c r="AT1523" i="3"/>
  <c r="AT1539" i="3"/>
  <c r="AT1555" i="3"/>
  <c r="AT1571" i="3"/>
  <c r="AT1587" i="3"/>
  <c r="AT1603" i="3"/>
  <c r="AT1619" i="3"/>
  <c r="AT1635" i="3"/>
  <c r="AT1651" i="3"/>
  <c r="AT1667" i="3"/>
  <c r="AT1683" i="3"/>
  <c r="AT1699" i="3"/>
  <c r="AT1715" i="3"/>
  <c r="AT1731" i="3"/>
  <c r="AT1747" i="3"/>
  <c r="AT1763" i="3"/>
  <c r="AT1779" i="3"/>
  <c r="AT1795" i="3"/>
  <c r="AT1811" i="3"/>
  <c r="AT1827" i="3"/>
  <c r="AT1843" i="3"/>
  <c r="AT1859" i="3"/>
  <c r="AT1875" i="3"/>
  <c r="AT1891" i="3"/>
  <c r="AT1907" i="3"/>
  <c r="AT1923" i="3"/>
  <c r="AT1939" i="3"/>
  <c r="AT1955" i="3"/>
  <c r="AT220" i="3"/>
  <c r="AT348" i="3"/>
  <c r="AT476" i="3"/>
  <c r="AT604" i="3"/>
  <c r="AT732" i="3"/>
  <c r="AT860" i="3"/>
  <c r="AT233" i="3"/>
  <c r="AT293" i="3"/>
  <c r="AT357" i="3"/>
  <c r="AT421" i="3"/>
  <c r="AT673" i="3"/>
  <c r="AT22" i="3"/>
  <c r="AT46" i="3"/>
  <c r="AT70" i="3"/>
  <c r="AT94" i="3"/>
  <c r="AT118" i="3"/>
  <c r="AT142" i="3"/>
  <c r="AT206" i="3"/>
  <c r="AT230" i="3"/>
  <c r="AT246" i="3"/>
  <c r="AT270" i="3"/>
  <c r="AT294" i="3"/>
  <c r="AT318" i="3"/>
  <c r="AT342" i="3"/>
  <c r="AT366" i="3"/>
  <c r="AT398" i="3"/>
  <c r="AT226" i="3"/>
  <c r="AT522" i="3"/>
  <c r="AT650" i="3"/>
  <c r="AT69" i="3"/>
  <c r="AT31" i="3"/>
  <c r="AT55" i="3"/>
  <c r="AT95" i="3"/>
  <c r="AT1011" i="3"/>
  <c r="AT1043" i="3"/>
  <c r="AT1075" i="3"/>
  <c r="AT1107" i="3"/>
  <c r="AT1139" i="3"/>
  <c r="AT1171" i="3"/>
  <c r="AT1203" i="3"/>
  <c r="AT33" i="3"/>
  <c r="AT252" i="3"/>
  <c r="AT380" i="3"/>
  <c r="AT508" i="3"/>
  <c r="AT636" i="3"/>
  <c r="AT764" i="3"/>
  <c r="AT892" i="3"/>
  <c r="AT6" i="3"/>
  <c r="AT30" i="3"/>
  <c r="AT54" i="3"/>
  <c r="AT86" i="3"/>
  <c r="AT110" i="3"/>
  <c r="AT134" i="3"/>
  <c r="AT166" i="3"/>
  <c r="AT190" i="3"/>
  <c r="AT214" i="3"/>
  <c r="AT238" i="3"/>
  <c r="AT262" i="3"/>
  <c r="AT286" i="3"/>
  <c r="AT310" i="3"/>
  <c r="AT334" i="3"/>
  <c r="AT358" i="3"/>
  <c r="AT406" i="3"/>
  <c r="AT10" i="3"/>
  <c r="AT98" i="3"/>
  <c r="AT266" i="3"/>
  <c r="AT354" i="3"/>
  <c r="AT394" i="3"/>
  <c r="AT482" i="3"/>
  <c r="AT674" i="3"/>
  <c r="AT1003" i="3"/>
  <c r="AT1035" i="3"/>
  <c r="AT1067" i="3"/>
  <c r="AT1099" i="3"/>
  <c r="AT1131" i="3"/>
  <c r="AT1163" i="3"/>
  <c r="AT1195" i="3"/>
  <c r="AT1227" i="3"/>
  <c r="AT1243" i="3"/>
  <c r="AT1259" i="3"/>
  <c r="AT1275" i="3"/>
  <c r="AT1291" i="3"/>
  <c r="AT1307" i="3"/>
  <c r="AT1323" i="3"/>
  <c r="AT1339" i="3"/>
  <c r="AT1355" i="3"/>
  <c r="AT1371" i="3"/>
  <c r="AT1387" i="3"/>
  <c r="AT1403" i="3"/>
  <c r="AT1419" i="3"/>
  <c r="AT1435" i="3"/>
  <c r="AT1451" i="3"/>
  <c r="AT1467" i="3"/>
  <c r="AT1483" i="3"/>
  <c r="AT1499" i="3"/>
  <c r="AT1515" i="3"/>
  <c r="AT1531" i="3"/>
  <c r="AT1547" i="3"/>
  <c r="AT1563" i="3"/>
  <c r="AT1579" i="3"/>
  <c r="AT1595" i="3"/>
  <c r="AT1611" i="3"/>
  <c r="AT1627" i="3"/>
  <c r="AT1643" i="3"/>
  <c r="AT1659" i="3"/>
  <c r="AT1675" i="3"/>
  <c r="AT1691" i="3"/>
  <c r="AT1707" i="3"/>
  <c r="AT1723" i="3"/>
  <c r="AT1739" i="3"/>
  <c r="AT1755" i="3"/>
  <c r="AT1771" i="3"/>
  <c r="AT1787" i="3"/>
  <c r="AT1803" i="3"/>
  <c r="AT1819" i="3"/>
  <c r="AT1835" i="3"/>
  <c r="AT1851" i="3"/>
  <c r="AT1867" i="3"/>
  <c r="AT1883" i="3"/>
  <c r="AT1899" i="3"/>
  <c r="AT1915" i="3"/>
  <c r="AT1931" i="3"/>
  <c r="AT1947" i="3"/>
  <c r="AT284" i="3"/>
  <c r="AT412" i="3"/>
  <c r="AT668" i="3"/>
  <c r="AT796" i="3"/>
  <c r="AT924" i="3"/>
  <c r="AT228" i="3"/>
  <c r="AT248" i="3"/>
  <c r="AT260" i="3"/>
  <c r="AT292" i="3"/>
  <c r="AT312" i="3"/>
  <c r="AT324" i="3"/>
  <c r="AT376" i="3"/>
  <c r="AT388" i="3"/>
  <c r="AT420" i="3"/>
  <c r="AT440" i="3"/>
  <c r="AT452" i="3"/>
  <c r="AT484" i="3"/>
  <c r="AT504" i="3"/>
  <c r="AT516" i="3"/>
  <c r="AT612" i="3"/>
  <c r="AT644" i="3"/>
  <c r="AT676" i="3"/>
  <c r="AT708" i="3"/>
  <c r="AT740" i="3"/>
  <c r="AT772" i="3"/>
  <c r="AT804" i="3"/>
  <c r="AT836" i="3"/>
  <c r="AT868" i="3"/>
  <c r="AT900" i="3"/>
  <c r="AT932" i="3"/>
  <c r="AT956" i="3"/>
  <c r="AT972" i="3"/>
  <c r="AT988" i="3"/>
  <c r="AT1004" i="3"/>
  <c r="AT1020" i="3"/>
  <c r="AT1036" i="3"/>
  <c r="AT1052" i="3"/>
  <c r="AT1068" i="3"/>
  <c r="AT1084" i="3"/>
  <c r="AT1100" i="3"/>
  <c r="AT1116" i="3"/>
  <c r="AT1132" i="3"/>
  <c r="AT1148" i="3"/>
  <c r="AT1164" i="3"/>
  <c r="AT212" i="3"/>
  <c r="AT244" i="3"/>
  <c r="AT276" i="3"/>
  <c r="AT308" i="3"/>
  <c r="AT340" i="3"/>
  <c r="AT372" i="3"/>
  <c r="AT404" i="3"/>
  <c r="AT436" i="3"/>
  <c r="AT468" i="3"/>
  <c r="AT500" i="3"/>
  <c r="AT532" i="3"/>
  <c r="AT628" i="3"/>
  <c r="AT660" i="3"/>
  <c r="AT692" i="3"/>
  <c r="AT724" i="3"/>
  <c r="AT756" i="3"/>
  <c r="AT788" i="3"/>
  <c r="AT820" i="3"/>
  <c r="AT852" i="3"/>
  <c r="AT884" i="3"/>
  <c r="AT916" i="3"/>
  <c r="AT948" i="3"/>
  <c r="AT964" i="3"/>
  <c r="AT980" i="3"/>
  <c r="AT996" i="3"/>
  <c r="AT1012" i="3"/>
  <c r="AT1028" i="3"/>
  <c r="AT1044" i="3"/>
  <c r="AT1060" i="3"/>
  <c r="AT1076" i="3"/>
  <c r="AT1092" i="3"/>
  <c r="AT1108" i="3"/>
  <c r="AT1124" i="3"/>
  <c r="AT1140" i="3"/>
  <c r="AT1156" i="3"/>
  <c r="AT1172" i="3"/>
  <c r="AT1963" i="3"/>
  <c r="AT1971" i="3"/>
  <c r="AT1979" i="3"/>
  <c r="AT1987" i="3"/>
  <c r="AT1995" i="3"/>
  <c r="AT13" i="3"/>
  <c r="AT49" i="3"/>
  <c r="AT81" i="3"/>
  <c r="AT113" i="3"/>
  <c r="AT145" i="3"/>
  <c r="AT177" i="3"/>
  <c r="AT12" i="3"/>
  <c r="AT20" i="3"/>
  <c r="AT28" i="3"/>
  <c r="AT36" i="3"/>
  <c r="AT44" i="3"/>
  <c r="AT52" i="3"/>
  <c r="AT60" i="3"/>
  <c r="AT68" i="3"/>
  <c r="AT76" i="3"/>
  <c r="AT84" i="3"/>
  <c r="AT92" i="3"/>
  <c r="AT100" i="3"/>
  <c r="AT108" i="3"/>
  <c r="AT116" i="3"/>
  <c r="AT124" i="3"/>
  <c r="AT132" i="3"/>
  <c r="AT140" i="3"/>
  <c r="AT148" i="3"/>
  <c r="AT164" i="3"/>
  <c r="AT172" i="3"/>
  <c r="AT180" i="3"/>
  <c r="AT188" i="3"/>
  <c r="AT196" i="3"/>
  <c r="AT204" i="3"/>
  <c r="AT236" i="3"/>
  <c r="AT268" i="3"/>
  <c r="AT300" i="3"/>
  <c r="AT332" i="3"/>
  <c r="AT364" i="3"/>
  <c r="AT396" i="3"/>
  <c r="AT428" i="3"/>
  <c r="AT460" i="3"/>
  <c r="AT492" i="3"/>
  <c r="AT524" i="3"/>
  <c r="AT620" i="3"/>
  <c r="AT652" i="3"/>
  <c r="AT684" i="3"/>
  <c r="AT716" i="3"/>
  <c r="AT748" i="3"/>
  <c r="AT780" i="3"/>
  <c r="AT812" i="3"/>
  <c r="AT844" i="3"/>
  <c r="AT876" i="3"/>
  <c r="AT908" i="3"/>
  <c r="AT940" i="3"/>
  <c r="AT1180" i="3"/>
  <c r="AT1196" i="3"/>
  <c r="AT1212" i="3"/>
  <c r="AT1228" i="3"/>
  <c r="AT1244" i="3"/>
  <c r="AT1260" i="3"/>
  <c r="AT1276" i="3"/>
  <c r="AT1292" i="3"/>
  <c r="AT1308" i="3"/>
  <c r="AT1324" i="3"/>
  <c r="AT1340" i="3"/>
  <c r="AT1356" i="3"/>
  <c r="AT1372" i="3"/>
  <c r="AT1388" i="3"/>
  <c r="AT1404" i="3"/>
  <c r="AT1420" i="3"/>
  <c r="AT1436" i="3"/>
  <c r="AT1452" i="3"/>
  <c r="AT1468" i="3"/>
  <c r="AT1484" i="3"/>
  <c r="AT1500" i="3"/>
  <c r="AT1516" i="3"/>
  <c r="AT1532" i="3"/>
  <c r="AT1548" i="3"/>
  <c r="AT1564" i="3"/>
  <c r="AT1580" i="3"/>
  <c r="AT1596" i="3"/>
  <c r="AT1612" i="3"/>
  <c r="AT1628" i="3"/>
  <c r="AT1644" i="3"/>
  <c r="AT1660" i="3"/>
  <c r="AT1676" i="3"/>
  <c r="AT1692" i="3"/>
  <c r="AT1708" i="3"/>
  <c r="AT1724" i="3"/>
  <c r="AT1740" i="3"/>
  <c r="AT1756" i="3"/>
  <c r="AT1772" i="3"/>
  <c r="AT1788" i="3"/>
  <c r="AT1804" i="3"/>
  <c r="AT1820" i="3"/>
  <c r="AT1836" i="3"/>
  <c r="AT1852" i="3"/>
  <c r="AT1868" i="3"/>
  <c r="AT1884" i="3"/>
  <c r="AT1900" i="3"/>
  <c r="AT1916" i="3"/>
  <c r="AT1932" i="3"/>
  <c r="AT1948" i="3"/>
  <c r="AT1964" i="3"/>
  <c r="AT1980" i="3"/>
  <c r="AT1996" i="3"/>
  <c r="AT45" i="3"/>
  <c r="AT105" i="3"/>
  <c r="AT41" i="3"/>
  <c r="AT109" i="3"/>
  <c r="AT173" i="3"/>
  <c r="AT225" i="3"/>
  <c r="AT285" i="3"/>
  <c r="AT349" i="3"/>
  <c r="AT413" i="3"/>
  <c r="AT473" i="3"/>
  <c r="AT537" i="3"/>
  <c r="AT605" i="3"/>
  <c r="AT665" i="3"/>
  <c r="AT729" i="3"/>
  <c r="AT793" i="3"/>
  <c r="AT861" i="3"/>
  <c r="AT973" i="3"/>
  <c r="AT1037" i="3"/>
  <c r="AT1097" i="3"/>
  <c r="AT1161" i="3"/>
  <c r="AT1277" i="3"/>
  <c r="AT1341" i="3"/>
  <c r="AT1405" i="3"/>
  <c r="AT1469" i="3"/>
  <c r="AT1533" i="3"/>
  <c r="AT1593" i="3"/>
  <c r="AT1777" i="3"/>
  <c r="AT1841" i="3"/>
  <c r="AT1901" i="3"/>
  <c r="AT1965" i="3"/>
  <c r="AT281" i="3"/>
  <c r="AT657" i="3"/>
  <c r="AT717" i="3"/>
  <c r="AT781" i="3"/>
  <c r="AT849" i="3"/>
  <c r="AT913" i="3"/>
  <c r="AT1041" i="3"/>
  <c r="AT1105" i="3"/>
  <c r="AT1169" i="3"/>
  <c r="AT1229" i="3"/>
  <c r="AT1297" i="3"/>
  <c r="AT1361" i="3"/>
  <c r="AT1425" i="3"/>
  <c r="AT1489" i="3"/>
  <c r="AT1553" i="3"/>
  <c r="AT1689" i="3"/>
  <c r="AT1753" i="3"/>
  <c r="AT1817" i="3"/>
  <c r="AT1881" i="3"/>
  <c r="AT257" i="3"/>
  <c r="AT329" i="3"/>
  <c r="AT393" i="3"/>
  <c r="AT461" i="3"/>
  <c r="AT525" i="3"/>
  <c r="AT769" i="3"/>
  <c r="AT829" i="3"/>
  <c r="AT889" i="3"/>
  <c r="AT953" i="3"/>
  <c r="AT1017" i="3"/>
  <c r="AT1209" i="3"/>
  <c r="AT1273" i="3"/>
  <c r="AT1337" i="3"/>
  <c r="AT1401" i="3"/>
  <c r="AT1465" i="3"/>
  <c r="AT1529" i="3"/>
  <c r="AT1597" i="3"/>
  <c r="AT1661" i="3"/>
  <c r="AT1725" i="3"/>
  <c r="AT1789" i="3"/>
  <c r="AT1853" i="3"/>
  <c r="AT1921" i="3"/>
  <c r="AT1985" i="3"/>
  <c r="AT241" i="3"/>
  <c r="AT305" i="3"/>
  <c r="AT369" i="3"/>
  <c r="AT433" i="3"/>
  <c r="AT497" i="3"/>
  <c r="AT641" i="3"/>
  <c r="AT705" i="3"/>
  <c r="AT977" i="3"/>
  <c r="AT1117" i="3"/>
  <c r="AT1181" i="3"/>
  <c r="AT1249" i="3"/>
  <c r="AT1569" i="3"/>
  <c r="AT1633" i="3"/>
  <c r="AT1697" i="3"/>
  <c r="AT1769" i="3"/>
  <c r="AT217" i="3"/>
  <c r="AT277" i="3"/>
  <c r="AT345" i="3"/>
  <c r="AT409" i="3"/>
  <c r="AT661" i="3"/>
  <c r="AT261" i="3"/>
  <c r="AT321" i="3"/>
  <c r="AT385" i="3"/>
  <c r="AT449" i="3"/>
  <c r="AT517" i="3"/>
  <c r="AT1188" i="3"/>
  <c r="AT1204" i="3"/>
  <c r="AT1220" i="3"/>
  <c r="AT1236" i="3"/>
  <c r="AT1252" i="3"/>
  <c r="AT1268" i="3"/>
  <c r="AT1284" i="3"/>
  <c r="AT1300" i="3"/>
  <c r="AT1316" i="3"/>
  <c r="AT1332" i="3"/>
  <c r="AT1348" i="3"/>
  <c r="AT1364" i="3"/>
  <c r="AT1380" i="3"/>
  <c r="AT1396" i="3"/>
  <c r="AT1412" i="3"/>
  <c r="AT1428" i="3"/>
  <c r="AT1444" i="3"/>
  <c r="AT1460" i="3"/>
  <c r="AT1476" i="3"/>
  <c r="AT1492" i="3"/>
  <c r="AT1508" i="3"/>
  <c r="AT1524" i="3"/>
  <c r="AT1540" i="3"/>
  <c r="AT1556" i="3"/>
  <c r="AT1572" i="3"/>
  <c r="AT1588" i="3"/>
  <c r="AT1604" i="3"/>
  <c r="AT1620" i="3"/>
  <c r="AT1636" i="3"/>
  <c r="AT1652" i="3"/>
  <c r="AT1668" i="3"/>
  <c r="AT1684" i="3"/>
  <c r="AT1700" i="3"/>
  <c r="AT1716" i="3"/>
  <c r="AT1732" i="3"/>
  <c r="AT1748" i="3"/>
  <c r="AT1764" i="3"/>
  <c r="AT1780" i="3"/>
  <c r="AT1796" i="3"/>
  <c r="AT1812" i="3"/>
  <c r="AT1828" i="3"/>
  <c r="AT1844" i="3"/>
  <c r="AT1860" i="3"/>
  <c r="AT1876" i="3"/>
  <c r="AT1892" i="3"/>
  <c r="AT1908" i="3"/>
  <c r="AT1924" i="3"/>
  <c r="AT1940" i="3"/>
  <c r="AT1956" i="3"/>
  <c r="AT1972" i="3"/>
  <c r="AT1988" i="3"/>
  <c r="AT17" i="3"/>
  <c r="AT73" i="3"/>
  <c r="AT77" i="3"/>
  <c r="AT141" i="3"/>
  <c r="AT201" i="3"/>
  <c r="AT253" i="3"/>
  <c r="AT317" i="3"/>
  <c r="AT381" i="3"/>
  <c r="AT445" i="3"/>
  <c r="AT505" i="3"/>
  <c r="AT633" i="3"/>
  <c r="AT697" i="3"/>
  <c r="AT761" i="3"/>
  <c r="AT825" i="3"/>
  <c r="AT893" i="3"/>
  <c r="AT945" i="3"/>
  <c r="AT1005" i="3"/>
  <c r="AT1069" i="3"/>
  <c r="AT1129" i="3"/>
  <c r="AT1193" i="3"/>
  <c r="AT1309" i="3"/>
  <c r="AT1373" i="3"/>
  <c r="AT1437" i="3"/>
  <c r="AT1501" i="3"/>
  <c r="AT1561" i="3"/>
  <c r="AT1625" i="3"/>
  <c r="AT1745" i="3"/>
  <c r="AT1809" i="3"/>
  <c r="AT1869" i="3"/>
  <c r="AT1933" i="3"/>
  <c r="AT1993" i="3"/>
  <c r="AT249" i="3"/>
  <c r="AT625" i="3"/>
  <c r="AT685" i="3"/>
  <c r="AT749" i="3"/>
  <c r="AT813" i="3"/>
  <c r="AT881" i="3"/>
  <c r="AT1073" i="3"/>
  <c r="AT1137" i="3"/>
  <c r="AT1197" i="3"/>
  <c r="AT1329" i="3"/>
  <c r="AT1393" i="3"/>
  <c r="AT1457" i="3"/>
  <c r="AT1521" i="3"/>
  <c r="AT1657" i="3"/>
  <c r="AT1721" i="3"/>
  <c r="AT1849" i="3"/>
  <c r="AT1913" i="3"/>
  <c r="AT297" i="3"/>
  <c r="AT361" i="3"/>
  <c r="AT425" i="3"/>
  <c r="AT493" i="3"/>
  <c r="AT617" i="3"/>
  <c r="AT801" i="3"/>
  <c r="AT857" i="3"/>
  <c r="AT921" i="3"/>
  <c r="AT985" i="3"/>
  <c r="AT1049" i="3"/>
  <c r="AT1241" i="3"/>
  <c r="AT1305" i="3"/>
  <c r="AT1369" i="3"/>
  <c r="AT1433" i="3"/>
  <c r="AT1497" i="3"/>
  <c r="AT1565" i="3"/>
  <c r="AT1629" i="3"/>
  <c r="AT1693" i="3"/>
  <c r="AT1757" i="3"/>
  <c r="AT1821" i="3"/>
  <c r="AT1889" i="3"/>
  <c r="AT1953" i="3"/>
  <c r="AT205" i="3"/>
  <c r="AT273" i="3"/>
  <c r="AT337" i="3"/>
  <c r="AT401" i="3"/>
  <c r="AT465" i="3"/>
  <c r="AT669" i="3"/>
  <c r="AT737" i="3"/>
  <c r="AT941" i="3"/>
  <c r="AT1009" i="3"/>
  <c r="AT1081" i="3"/>
  <c r="AT1149" i="3"/>
  <c r="AT1217" i="3"/>
  <c r="AT1601" i="3"/>
  <c r="AT1665" i="3"/>
  <c r="AT89" i="3"/>
  <c r="AT193" i="3"/>
  <c r="AT265" i="3"/>
  <c r="AT325" i="3"/>
  <c r="AT389" i="3"/>
  <c r="AT453" i="3"/>
  <c r="AT245" i="3"/>
  <c r="AT313" i="3"/>
  <c r="AT377" i="3"/>
  <c r="AT441" i="3"/>
  <c r="AT569" i="3"/>
  <c r="AT289" i="3"/>
  <c r="AT353" i="3"/>
  <c r="AT417" i="3"/>
  <c r="AT481" i="3"/>
  <c r="AT1961" i="3"/>
  <c r="AT1997" i="3"/>
  <c r="AT34" i="3"/>
  <c r="AT66" i="3"/>
  <c r="AT90" i="3"/>
  <c r="AT114" i="3"/>
  <c r="AT154" i="3"/>
  <c r="AT186" i="3"/>
  <c r="AT250" i="3"/>
  <c r="AT274" i="3"/>
  <c r="AT314" i="3"/>
  <c r="AT378" i="3"/>
  <c r="AT418" i="3"/>
  <c r="AT18" i="3"/>
  <c r="AT50" i="3"/>
  <c r="AT122" i="3"/>
  <c r="AT162" i="3"/>
  <c r="AT194" i="3"/>
  <c r="AT218" i="3"/>
  <c r="AT258" i="3"/>
  <c r="AT290" i="3"/>
  <c r="AT322" i="3"/>
  <c r="AT346" i="3"/>
  <c r="AT386" i="3"/>
  <c r="AT426" i="3"/>
  <c r="AT450" i="3"/>
  <c r="AT474" i="3"/>
  <c r="AT26" i="3"/>
  <c r="AT42" i="3"/>
  <c r="AT58" i="3"/>
  <c r="AT74" i="3"/>
  <c r="AT82" i="3"/>
  <c r="AT106" i="3"/>
  <c r="AT130" i="3"/>
  <c r="AT138" i="3"/>
  <c r="AT146" i="3"/>
  <c r="AT170" i="3"/>
  <c r="AT178" i="3"/>
  <c r="AT202" i="3"/>
  <c r="AT210" i="3"/>
  <c r="AT234" i="3"/>
  <c r="AT242" i="3"/>
  <c r="AT282" i="3"/>
  <c r="AT298" i="3"/>
  <c r="AT306" i="3"/>
  <c r="AT330" i="3"/>
  <c r="AT338" i="3"/>
  <c r="AT362" i="3"/>
  <c r="AT370" i="3"/>
  <c r="AT402" i="3"/>
  <c r="AT410" i="3"/>
  <c r="AT434" i="3"/>
  <c r="AT442" i="3"/>
  <c r="AT466" i="3"/>
  <c r="AT514" i="3"/>
  <c r="AT618" i="3"/>
  <c r="AT642" i="3"/>
  <c r="AT714" i="3"/>
  <c r="AT738" i="3"/>
  <c r="AT770" i="3"/>
  <c r="AT802" i="3"/>
  <c r="AT834" i="3"/>
  <c r="AT866" i="3"/>
  <c r="AT898" i="3"/>
  <c r="AT930" i="3"/>
  <c r="AT962" i="3"/>
  <c r="AT986" i="3"/>
  <c r="AT1018" i="3"/>
  <c r="AT1050" i="3"/>
  <c r="AT1082" i="3"/>
  <c r="AT1114" i="3"/>
  <c r="AT1146" i="3"/>
  <c r="AT1178" i="3"/>
  <c r="AT1218" i="3"/>
  <c r="AT1242" i="3"/>
  <c r="AT1274" i="3"/>
  <c r="AT1306" i="3"/>
  <c r="AT1338" i="3"/>
  <c r="AT1370" i="3"/>
  <c r="AT1402" i="3"/>
  <c r="AT1434" i="3"/>
  <c r="AT1466" i="3"/>
  <c r="AT1498" i="3"/>
  <c r="AT1522" i="3"/>
  <c r="AT1554" i="3"/>
  <c r="AT1586" i="3"/>
  <c r="AT1618" i="3"/>
  <c r="AT1650" i="3"/>
  <c r="AT1682" i="3"/>
  <c r="AT1714" i="3"/>
  <c r="AT1746" i="3"/>
  <c r="AT1770" i="3"/>
  <c r="AT1802" i="3"/>
  <c r="AT1834" i="3"/>
  <c r="AT1866" i="3"/>
  <c r="AT1898" i="3"/>
  <c r="AT1930" i="3"/>
  <c r="AT1962" i="3"/>
  <c r="AT2002" i="3"/>
  <c r="AT137" i="3"/>
  <c r="AT47" i="3"/>
  <c r="AT71" i="3"/>
  <c r="AT103" i="3"/>
  <c r="AT119" i="3"/>
  <c r="AT151" i="3"/>
  <c r="AT183" i="3"/>
  <c r="AT215" i="3"/>
  <c r="AT247" i="3"/>
  <c r="AT279" i="3"/>
  <c r="AT303" i="3"/>
  <c r="AT335" i="3"/>
  <c r="AT359" i="3"/>
  <c r="AT391" i="3"/>
  <c r="AT431" i="3"/>
  <c r="AT463" i="3"/>
  <c r="AT495" i="3"/>
  <c r="AT527" i="3"/>
  <c r="AT607" i="3"/>
  <c r="AT647" i="3"/>
  <c r="AT695" i="3"/>
  <c r="AT735" i="3"/>
  <c r="AT767" i="3"/>
  <c r="AT799" i="3"/>
  <c r="AT831" i="3"/>
  <c r="AT863" i="3"/>
  <c r="AT887" i="3"/>
  <c r="AT919" i="3"/>
  <c r="AT951" i="3"/>
  <c r="AT983" i="3"/>
  <c r="AT1015" i="3"/>
  <c r="AT1047" i="3"/>
  <c r="AT1079" i="3"/>
  <c r="AT1119" i="3"/>
  <c r="AT1151" i="3"/>
  <c r="AT1175" i="3"/>
  <c r="AT1207" i="3"/>
  <c r="AT1239" i="3"/>
  <c r="AT1271" i="3"/>
  <c r="AT1303" i="3"/>
  <c r="AT1335" i="3"/>
  <c r="AT1367" i="3"/>
  <c r="AT1399" i="3"/>
  <c r="AT1431" i="3"/>
  <c r="AT1455" i="3"/>
  <c r="AT1487" i="3"/>
  <c r="AT1519" i="3"/>
  <c r="AT1551" i="3"/>
  <c r="AT1583" i="3"/>
  <c r="AT1615" i="3"/>
  <c r="AT1647" i="3"/>
  <c r="AT1679" i="3"/>
  <c r="AT1711" i="3"/>
  <c r="AT1735" i="3"/>
  <c r="AT1767" i="3"/>
  <c r="AT1807" i="3"/>
  <c r="AT1839" i="3"/>
  <c r="AT1871" i="3"/>
  <c r="AT1903" i="3"/>
  <c r="AT1935" i="3"/>
  <c r="AT1967" i="3"/>
  <c r="AT1999" i="3"/>
  <c r="AT129" i="3"/>
  <c r="AT24" i="3"/>
  <c r="AT48" i="3"/>
  <c r="AT80" i="3"/>
  <c r="AT152" i="3"/>
  <c r="AT272" i="3"/>
  <c r="AT304" i="3"/>
  <c r="AT336" i="3"/>
  <c r="AT368" i="3"/>
  <c r="AT392" i="3"/>
  <c r="AT408" i="3"/>
  <c r="AT472" i="3"/>
  <c r="AT496" i="3"/>
  <c r="AT520" i="3"/>
  <c r="AT616" i="3"/>
  <c r="AT640" i="3"/>
  <c r="AT672" i="3"/>
  <c r="AT704" i="3"/>
  <c r="AT736" i="3"/>
  <c r="AT768" i="3"/>
  <c r="AT800" i="3"/>
  <c r="AT832" i="3"/>
  <c r="AT856" i="3"/>
  <c r="AT888" i="3"/>
  <c r="AT912" i="3"/>
  <c r="AT952" i="3"/>
  <c r="AT984" i="3"/>
  <c r="AT1016" i="3"/>
  <c r="AT1048" i="3"/>
  <c r="AT1080" i="3"/>
  <c r="AT1112" i="3"/>
  <c r="AT1144" i="3"/>
  <c r="AT1176" i="3"/>
  <c r="AT1200" i="3"/>
  <c r="AT1232" i="3"/>
  <c r="AT1264" i="3"/>
  <c r="AT1296" i="3"/>
  <c r="AT1328" i="3"/>
  <c r="AT1360" i="3"/>
  <c r="AT1392" i="3"/>
  <c r="AT1424" i="3"/>
  <c r="AT1456" i="3"/>
  <c r="AT1488" i="3"/>
  <c r="AT1512" i="3"/>
  <c r="AT1536" i="3"/>
  <c r="AT1552" i="3"/>
  <c r="AT1560" i="3"/>
  <c r="AT1568" i="3"/>
  <c r="AT1592" i="3"/>
  <c r="AT1600" i="3"/>
  <c r="AT1608" i="3"/>
  <c r="AT1616" i="3"/>
  <c r="AT1624" i="3"/>
  <c r="AT1632" i="3"/>
  <c r="AT1640" i="3"/>
  <c r="AT1648" i="3"/>
  <c r="AT1656" i="3"/>
  <c r="AT1664" i="3"/>
  <c r="AT1672" i="3"/>
  <c r="AT1680" i="3"/>
  <c r="AT1688" i="3"/>
  <c r="AT1696" i="3"/>
  <c r="AT1704" i="3"/>
  <c r="AT1712" i="3"/>
  <c r="AT1720" i="3"/>
  <c r="AT1728" i="3"/>
  <c r="AT1736" i="3"/>
  <c r="AT1744" i="3"/>
  <c r="AT1752" i="3"/>
  <c r="AT1760" i="3"/>
  <c r="AT1768" i="3"/>
  <c r="AT1776" i="3"/>
  <c r="AT1784" i="3"/>
  <c r="AT1792" i="3"/>
  <c r="AT1800" i="3"/>
  <c r="AT1808" i="3"/>
  <c r="AT1816" i="3"/>
  <c r="AT1824" i="3"/>
  <c r="AT1832" i="3"/>
  <c r="AT1840" i="3"/>
  <c r="AT1848" i="3"/>
  <c r="AT1856" i="3"/>
  <c r="AT1864" i="3"/>
  <c r="AT1872" i="3"/>
  <c r="AT1880" i="3"/>
  <c r="AT1888" i="3"/>
  <c r="AT1896" i="3"/>
  <c r="AT1904" i="3"/>
  <c r="AT1912" i="3"/>
  <c r="AT1920" i="3"/>
  <c r="AT1928" i="3"/>
  <c r="AT1936" i="3"/>
  <c r="AT1944" i="3"/>
  <c r="AT1952" i="3"/>
  <c r="AT1960" i="3"/>
  <c r="AT1968" i="3"/>
  <c r="AT1976" i="3"/>
  <c r="AT1984" i="3"/>
  <c r="AT1992" i="3"/>
  <c r="AT2000" i="3"/>
  <c r="AT57" i="3"/>
  <c r="AT121" i="3"/>
  <c r="AT149" i="3"/>
  <c r="AT181" i="3"/>
  <c r="AT25" i="3"/>
  <c r="AT209" i="3"/>
  <c r="AT457" i="3"/>
  <c r="AT489" i="3"/>
  <c r="AT521" i="3"/>
  <c r="AT649" i="3"/>
  <c r="AT681" i="3"/>
  <c r="AT713" i="3"/>
  <c r="AT745" i="3"/>
  <c r="AT777" i="3"/>
  <c r="AT809" i="3"/>
  <c r="AT841" i="3"/>
  <c r="AT929" i="3"/>
  <c r="AT961" i="3"/>
  <c r="AT1113" i="3"/>
  <c r="AT1145" i="3"/>
  <c r="AT1177" i="3"/>
  <c r="AT1205" i="3"/>
  <c r="AT1237" i="3"/>
  <c r="AT1577" i="3"/>
  <c r="AT506" i="3"/>
  <c r="AT538" i="3"/>
  <c r="AT570" i="3"/>
  <c r="AT602" i="3"/>
  <c r="AT634" i="3"/>
  <c r="AT666" i="3"/>
  <c r="AT706" i="3"/>
  <c r="AT746" i="3"/>
  <c r="AT778" i="3"/>
  <c r="AT818" i="3"/>
  <c r="AT850" i="3"/>
  <c r="AT882" i="3"/>
  <c r="AT922" i="3"/>
  <c r="AT954" i="3"/>
  <c r="AT994" i="3"/>
  <c r="AT1034" i="3"/>
  <c r="AT1066" i="3"/>
  <c r="AT1098" i="3"/>
  <c r="AT1138" i="3"/>
  <c r="AT1170" i="3"/>
  <c r="AT1202" i="3"/>
  <c r="AT1250" i="3"/>
  <c r="AT1282" i="3"/>
  <c r="AT1314" i="3"/>
  <c r="AT1354" i="3"/>
  <c r="AT1386" i="3"/>
  <c r="AT1418" i="3"/>
  <c r="AT1450" i="3"/>
  <c r="AT1490" i="3"/>
  <c r="AT1530" i="3"/>
  <c r="AT1562" i="3"/>
  <c r="AT1602" i="3"/>
  <c r="AT1634" i="3"/>
  <c r="AT1666" i="3"/>
  <c r="AT1706" i="3"/>
  <c r="AT1738" i="3"/>
  <c r="AT1778" i="3"/>
  <c r="AT1818" i="3"/>
  <c r="AT1850" i="3"/>
  <c r="AT1882" i="3"/>
  <c r="AT1922" i="3"/>
  <c r="AT1954" i="3"/>
  <c r="AT1986" i="3"/>
  <c r="AT37" i="3"/>
  <c r="AT101" i="3"/>
  <c r="AT7" i="3"/>
  <c r="AT39" i="3"/>
  <c r="AT63" i="3"/>
  <c r="AT87" i="3"/>
  <c r="AT127" i="3"/>
  <c r="AT167" i="3"/>
  <c r="AT191" i="3"/>
  <c r="AT231" i="3"/>
  <c r="AT263" i="3"/>
  <c r="AT295" i="3"/>
  <c r="AT327" i="3"/>
  <c r="AT367" i="3"/>
  <c r="AT415" i="3"/>
  <c r="AT447" i="3"/>
  <c r="AT479" i="3"/>
  <c r="AT511" i="3"/>
  <c r="AT623" i="3"/>
  <c r="AT655" i="3"/>
  <c r="AT679" i="3"/>
  <c r="AT719" i="3"/>
  <c r="AT751" i="3"/>
  <c r="AT783" i="3"/>
  <c r="AT823" i="3"/>
  <c r="AT855" i="3"/>
  <c r="AT895" i="3"/>
  <c r="AT935" i="3"/>
  <c r="AT967" i="3"/>
  <c r="AT999" i="3"/>
  <c r="AT1039" i="3"/>
  <c r="AT1071" i="3"/>
  <c r="AT1103" i="3"/>
  <c r="AT1143" i="3"/>
  <c r="AT1183" i="3"/>
  <c r="AT1215" i="3"/>
  <c r="AT1255" i="3"/>
  <c r="AT1287" i="3"/>
  <c r="AT1319" i="3"/>
  <c r="AT1351" i="3"/>
  <c r="AT1391" i="3"/>
  <c r="AT1423" i="3"/>
  <c r="AT1463" i="3"/>
  <c r="AT1503" i="3"/>
  <c r="AT1535" i="3"/>
  <c r="AT1567" i="3"/>
  <c r="AT1599" i="3"/>
  <c r="AT1639" i="3"/>
  <c r="AT1671" i="3"/>
  <c r="AT1703" i="3"/>
  <c r="AT1751" i="3"/>
  <c r="AT1783" i="3"/>
  <c r="AT1815" i="3"/>
  <c r="AT1855" i="3"/>
  <c r="AT1887" i="3"/>
  <c r="AT1919" i="3"/>
  <c r="AT1951" i="3"/>
  <c r="AT1991" i="3"/>
  <c r="AT97" i="3"/>
  <c r="AT8" i="3"/>
  <c r="AT40" i="3"/>
  <c r="AT64" i="3"/>
  <c r="AT96" i="3"/>
  <c r="AT128" i="3"/>
  <c r="AT168" i="3"/>
  <c r="AT192" i="3"/>
  <c r="AT256" i="3"/>
  <c r="AT288" i="3"/>
  <c r="AT320" i="3"/>
  <c r="AT352" i="3"/>
  <c r="AT384" i="3"/>
  <c r="AT424" i="3"/>
  <c r="AT456" i="3"/>
  <c r="AT536" i="3"/>
  <c r="AT648" i="3"/>
  <c r="AT680" i="3"/>
  <c r="AT712" i="3"/>
  <c r="AT752" i="3"/>
  <c r="AT784" i="3"/>
  <c r="AT816" i="3"/>
  <c r="AT848" i="3"/>
  <c r="AT880" i="3"/>
  <c r="AT920" i="3"/>
  <c r="AT960" i="3"/>
  <c r="AT992" i="3"/>
  <c r="AT1024" i="3"/>
  <c r="AT1064" i="3"/>
  <c r="AT1096" i="3"/>
  <c r="AT1128" i="3"/>
  <c r="AT1168" i="3"/>
  <c r="AT1208" i="3"/>
  <c r="AT1240" i="3"/>
  <c r="AT1280" i="3"/>
  <c r="AT1312" i="3"/>
  <c r="AT1344" i="3"/>
  <c r="AT1376" i="3"/>
  <c r="AT1416" i="3"/>
  <c r="AT1448" i="3"/>
  <c r="AT1480" i="3"/>
  <c r="AT1520" i="3"/>
  <c r="AT1576" i="3"/>
  <c r="AT498" i="3"/>
  <c r="AT530" i="3"/>
  <c r="AT610" i="3"/>
  <c r="AT626" i="3"/>
  <c r="AT658" i="3"/>
  <c r="AT682" i="3"/>
  <c r="AT690" i="3"/>
  <c r="AT698" i="3"/>
  <c r="AT722" i="3"/>
  <c r="AT730" i="3"/>
  <c r="AT754" i="3"/>
  <c r="AT762" i="3"/>
  <c r="AT786" i="3"/>
  <c r="AT794" i="3"/>
  <c r="AT810" i="3"/>
  <c r="AT826" i="3"/>
  <c r="AT842" i="3"/>
  <c r="AT858" i="3"/>
  <c r="AT874" i="3"/>
  <c r="AT890" i="3"/>
  <c r="AT906" i="3"/>
  <c r="AT914" i="3"/>
  <c r="AT938" i="3"/>
  <c r="AT946" i="3"/>
  <c r="AT970" i="3"/>
  <c r="AT978" i="3"/>
  <c r="AT1002" i="3"/>
  <c r="AT1010" i="3"/>
  <c r="AT1026" i="3"/>
  <c r="AT1042" i="3"/>
  <c r="AT1058" i="3"/>
  <c r="AT1074" i="3"/>
  <c r="AT1090" i="3"/>
  <c r="AT1106" i="3"/>
  <c r="AT1122" i="3"/>
  <c r="AT1130" i="3"/>
  <c r="AT1154" i="3"/>
  <c r="AT1162" i="3"/>
  <c r="AT1186" i="3"/>
  <c r="AT1194" i="3"/>
  <c r="AT1210" i="3"/>
  <c r="AT1226" i="3"/>
  <c r="AT1234" i="3"/>
  <c r="AT1258" i="3"/>
  <c r="AT1266" i="3"/>
  <c r="AT1290" i="3"/>
  <c r="AT1298" i="3"/>
  <c r="AT1322" i="3"/>
  <c r="AT1330" i="3"/>
  <c r="AT1346" i="3"/>
  <c r="AT1362" i="3"/>
  <c r="AT1378" i="3"/>
  <c r="AT1394" i="3"/>
  <c r="AT1410" i="3"/>
  <c r="AT1426" i="3"/>
  <c r="AT1442" i="3"/>
  <c r="AT1458" i="3"/>
  <c r="AT1474" i="3"/>
  <c r="AT1482" i="3"/>
  <c r="AT1506" i="3"/>
  <c r="AT1514" i="3"/>
  <c r="AT1538" i="3"/>
  <c r="AT1546" i="3"/>
  <c r="AT1570" i="3"/>
  <c r="AT1578" i="3"/>
  <c r="AT1594" i="3"/>
  <c r="AT1610" i="3"/>
  <c r="AT1626" i="3"/>
  <c r="AT1642" i="3"/>
  <c r="AT1658" i="3"/>
  <c r="AT1674" i="3"/>
  <c r="AT1690" i="3"/>
  <c r="AT1698" i="3"/>
  <c r="AT1722" i="3"/>
  <c r="AT1730" i="3"/>
  <c r="AT1754" i="3"/>
  <c r="AT1762" i="3"/>
  <c r="AT1786" i="3"/>
  <c r="AT1794" i="3"/>
  <c r="AT1810" i="3"/>
  <c r="AT1826" i="3"/>
  <c r="AT1842" i="3"/>
  <c r="AT1858" i="3"/>
  <c r="AT1874" i="3"/>
  <c r="AT1890" i="3"/>
  <c r="AT1906" i="3"/>
  <c r="AT1914" i="3"/>
  <c r="AT1938" i="3"/>
  <c r="AT1946" i="3"/>
  <c r="AT1970" i="3"/>
  <c r="AT1978" i="3"/>
  <c r="AT1994" i="3"/>
  <c r="AT169" i="3"/>
  <c r="AT23" i="3"/>
  <c r="AT79" i="3"/>
  <c r="AT111" i="3"/>
  <c r="AT135" i="3"/>
  <c r="AT143" i="3"/>
  <c r="AT159" i="3"/>
  <c r="AT175" i="3"/>
  <c r="AT199" i="3"/>
  <c r="AT207" i="3"/>
  <c r="AT223" i="3"/>
  <c r="AT239" i="3"/>
  <c r="AT255" i="3"/>
  <c r="AT271" i="3"/>
  <c r="AT287" i="3"/>
  <c r="AT311" i="3"/>
  <c r="AT351" i="3"/>
  <c r="AT375" i="3"/>
  <c r="AT399" i="3"/>
  <c r="AT407" i="3"/>
  <c r="AT423" i="3"/>
  <c r="AT439" i="3"/>
  <c r="AT455" i="3"/>
  <c r="AT471" i="3"/>
  <c r="AT487" i="3"/>
  <c r="AT503" i="3"/>
  <c r="AT519" i="3"/>
  <c r="AT535" i="3"/>
  <c r="AT615" i="3"/>
  <c r="AT631" i="3"/>
  <c r="AT639" i="3"/>
  <c r="AT663" i="3"/>
  <c r="AT671" i="3"/>
  <c r="AT687" i="3"/>
  <c r="AT703" i="3"/>
  <c r="AT711" i="3"/>
  <c r="AT727" i="3"/>
  <c r="AT743" i="3"/>
  <c r="AT759" i="3"/>
  <c r="AT775" i="3"/>
  <c r="AT791" i="3"/>
  <c r="AT807" i="3"/>
  <c r="AT815" i="3"/>
  <c r="AT839" i="3"/>
  <c r="AT847" i="3"/>
  <c r="AT871" i="3"/>
  <c r="AT879" i="3"/>
  <c r="AT903" i="3"/>
  <c r="AT911" i="3"/>
  <c r="AT927" i="3"/>
  <c r="AT943" i="3"/>
  <c r="AT959" i="3"/>
  <c r="AT975" i="3"/>
  <c r="AT991" i="3"/>
  <c r="AT1007" i="3"/>
  <c r="AT1023" i="3"/>
  <c r="AT1031" i="3"/>
  <c r="AT1055" i="3"/>
  <c r="AT1063" i="3"/>
  <c r="AT1087" i="3"/>
  <c r="AT1095" i="3"/>
  <c r="AT1111" i="3"/>
  <c r="AT1127" i="3"/>
  <c r="AT1135" i="3"/>
  <c r="AT1159" i="3"/>
  <c r="AT1167" i="3"/>
  <c r="AT1191" i="3"/>
  <c r="AT1199" i="3"/>
  <c r="AT1223" i="3"/>
  <c r="AT1231" i="3"/>
  <c r="AT1247" i="3"/>
  <c r="AT1263" i="3"/>
  <c r="AT1279" i="3"/>
  <c r="AT1295" i="3"/>
  <c r="AT1311" i="3"/>
  <c r="AT1327" i="3"/>
  <c r="AT1343" i="3"/>
  <c r="AT1359" i="3"/>
  <c r="AT1375" i="3"/>
  <c r="AT1383" i="3"/>
  <c r="AT1407" i="3"/>
  <c r="AT1415" i="3"/>
  <c r="AT1439" i="3"/>
  <c r="AT1447" i="3"/>
  <c r="AT1471" i="3"/>
  <c r="AT1479" i="3"/>
  <c r="AT1495" i="3"/>
  <c r="AT1511" i="3"/>
  <c r="AT1527" i="3"/>
  <c r="AT1543" i="3"/>
  <c r="AT1559" i="3"/>
  <c r="AT1575" i="3"/>
  <c r="AT1591" i="3"/>
  <c r="AT1607" i="3"/>
  <c r="AT1623" i="3"/>
  <c r="AT1631" i="3"/>
  <c r="AT1655" i="3"/>
  <c r="AT1663" i="3"/>
  <c r="AT1687" i="3"/>
  <c r="AT1695" i="3"/>
  <c r="AT1719" i="3"/>
  <c r="AT1727" i="3"/>
  <c r="AT1743" i="3"/>
  <c r="AT1759" i="3"/>
  <c r="AT1775" i="3"/>
  <c r="AT1791" i="3"/>
  <c r="AT1799" i="3"/>
  <c r="AT1823" i="3"/>
  <c r="AT1831" i="3"/>
  <c r="AT1847" i="3"/>
  <c r="AT1863" i="3"/>
  <c r="AT1879" i="3"/>
  <c r="AT1895" i="3"/>
  <c r="AT1911" i="3"/>
  <c r="AT1927" i="3"/>
  <c r="AT1943" i="3"/>
  <c r="AT1959" i="3"/>
  <c r="AT1975" i="3"/>
  <c r="AT1983" i="3"/>
  <c r="AT65" i="3"/>
  <c r="AT16" i="3"/>
  <c r="AT32" i="3"/>
  <c r="AT72" i="3"/>
  <c r="AT88" i="3"/>
  <c r="AT104" i="3"/>
  <c r="AT112" i="3"/>
  <c r="AT136" i="3"/>
  <c r="AT144" i="3"/>
  <c r="AT160" i="3"/>
  <c r="AT176" i="3"/>
  <c r="AT200" i="3"/>
  <c r="AT216" i="3"/>
  <c r="AT232" i="3"/>
  <c r="AT240" i="3"/>
  <c r="AT264" i="3"/>
  <c r="AT280" i="3"/>
  <c r="AT296" i="3"/>
  <c r="AT328" i="3"/>
  <c r="AT344" i="3"/>
  <c r="AT360" i="3"/>
  <c r="AT400" i="3"/>
  <c r="AT416" i="3"/>
  <c r="AT432" i="3"/>
  <c r="AT448" i="3"/>
  <c r="AT464" i="3"/>
  <c r="AT480" i="3"/>
  <c r="AT488" i="3"/>
  <c r="AT512" i="3"/>
  <c r="AT528" i="3"/>
  <c r="AT608" i="3"/>
  <c r="AT624" i="3"/>
  <c r="AT632" i="3"/>
  <c r="AT656" i="3"/>
  <c r="AT664" i="3"/>
  <c r="AT688" i="3"/>
  <c r="AT696" i="3"/>
  <c r="AT720" i="3"/>
  <c r="AT728" i="3"/>
  <c r="AT744" i="3"/>
  <c r="AT760" i="3"/>
  <c r="AT776" i="3"/>
  <c r="AT792" i="3"/>
  <c r="AT808" i="3"/>
  <c r="AT824" i="3"/>
  <c r="AT840" i="3"/>
  <c r="AT864" i="3"/>
  <c r="AT872" i="3"/>
  <c r="AT896" i="3"/>
  <c r="AT904" i="3"/>
  <c r="AT928" i="3"/>
  <c r="AT936" i="3"/>
  <c r="AT944" i="3"/>
  <c r="AT968" i="3"/>
  <c r="AT976" i="3"/>
  <c r="AT1000" i="3"/>
  <c r="AT1008" i="3"/>
  <c r="AT1032" i="3"/>
  <c r="AT1040" i="3"/>
  <c r="AT1056" i="3"/>
  <c r="AT1072" i="3"/>
  <c r="AT1088" i="3"/>
  <c r="AT1104" i="3"/>
  <c r="AT1120" i="3"/>
  <c r="AT1136" i="3"/>
  <c r="AT1152" i="3"/>
  <c r="AT1160" i="3"/>
  <c r="AT1184" i="3"/>
  <c r="AT1192" i="3"/>
  <c r="AT1216" i="3"/>
  <c r="AT1224" i="3"/>
  <c r="AT1248" i="3"/>
  <c r="AT1256" i="3"/>
  <c r="AT1272" i="3"/>
  <c r="AT1288" i="3"/>
  <c r="AT1304" i="3"/>
  <c r="AT1320" i="3"/>
  <c r="AT1336" i="3"/>
  <c r="AT1352" i="3"/>
  <c r="AT1368" i="3"/>
  <c r="AT1384" i="3"/>
  <c r="AT1400" i="3"/>
  <c r="AT1408" i="3"/>
  <c r="AT1432" i="3"/>
  <c r="AT1440" i="3"/>
  <c r="AT1464" i="3"/>
  <c r="AT1472" i="3"/>
  <c r="AT1496" i="3"/>
  <c r="AT1504" i="3"/>
  <c r="AT1528" i="3"/>
  <c r="AT1544" i="3"/>
  <c r="AT1584" i="3"/>
  <c r="AT1669" i="3"/>
  <c r="AT1793" i="3"/>
  <c r="AT833" i="3"/>
  <c r="AT965" i="3"/>
  <c r="AT1057" i="3"/>
  <c r="AT1185" i="3"/>
  <c r="AT1313" i="3"/>
  <c r="AT1441" i="3"/>
  <c r="AT1573" i="3"/>
  <c r="AT1705" i="3"/>
  <c r="AT1833" i="3"/>
  <c r="AT1957" i="3"/>
  <c r="AT725" i="3"/>
  <c r="AT937" i="3"/>
  <c r="AT1061" i="3"/>
  <c r="AT1189" i="3"/>
  <c r="AT1321" i="3"/>
  <c r="AT1449" i="3"/>
  <c r="AT1969" i="3"/>
  <c r="AT613" i="3"/>
  <c r="AT757" i="3"/>
  <c r="AT1065" i="3"/>
  <c r="AT1201" i="3"/>
  <c r="AT1333" i="3"/>
  <c r="AT1461" i="3"/>
  <c r="AT1585" i="3"/>
  <c r="AT1713" i="3"/>
  <c r="AT1845" i="3"/>
  <c r="AT1945" i="3"/>
  <c r="AT1701" i="3"/>
  <c r="AT1857" i="3"/>
  <c r="AT1977" i="3"/>
  <c r="AT933" i="3"/>
  <c r="AT1089" i="3"/>
  <c r="AT1377" i="3"/>
  <c r="AT1505" i="3"/>
  <c r="AT1673" i="3"/>
  <c r="AT1801" i="3"/>
  <c r="AT1929" i="3"/>
  <c r="AT785" i="3"/>
  <c r="AT969" i="3"/>
  <c r="AT1093" i="3"/>
  <c r="AT1225" i="3"/>
  <c r="AT1385" i="3"/>
  <c r="AT1513" i="3"/>
  <c r="AT1937" i="3"/>
  <c r="AT821" i="3"/>
  <c r="AT1265" i="3"/>
  <c r="AT1397" i="3"/>
  <c r="AT1525" i="3"/>
  <c r="AT1649" i="3"/>
  <c r="AT1813" i="3"/>
  <c r="AT1609" i="3"/>
  <c r="AT1637" i="3"/>
  <c r="AT1729" i="3"/>
  <c r="AT1761" i="3"/>
  <c r="AT1825" i="3"/>
  <c r="AT609" i="3"/>
  <c r="AT865" i="3"/>
  <c r="AT897" i="3"/>
  <c r="AT997" i="3"/>
  <c r="AT1025" i="3"/>
  <c r="AT1121" i="3"/>
  <c r="AT1153" i="3"/>
  <c r="AT1281" i="3"/>
  <c r="AT1345" i="3"/>
  <c r="AT1409" i="3"/>
  <c r="AT1473" i="3"/>
  <c r="AT1537" i="3"/>
  <c r="AT1605" i="3"/>
  <c r="AT1641" i="3"/>
  <c r="AT1737" i="3"/>
  <c r="AT1765" i="3"/>
  <c r="AT1865" i="3"/>
  <c r="AT1897" i="3"/>
  <c r="AT1989" i="3"/>
  <c r="AT601" i="3"/>
  <c r="AT629" i="3"/>
  <c r="AT693" i="3"/>
  <c r="AT753" i="3"/>
  <c r="AT817" i="3"/>
  <c r="AT873" i="3"/>
  <c r="AT905" i="3"/>
  <c r="AT1001" i="3"/>
  <c r="AT1033" i="3"/>
  <c r="AT1125" i="3"/>
  <c r="AT1157" i="3"/>
  <c r="AT1257" i="3"/>
  <c r="AT1289" i="3"/>
  <c r="AT1353" i="3"/>
  <c r="AT1417" i="3"/>
  <c r="AT1481" i="3"/>
  <c r="AT1545" i="3"/>
  <c r="AT1873" i="3"/>
  <c r="AT1905" i="3"/>
  <c r="AT2001" i="3"/>
  <c r="AT689" i="3"/>
  <c r="AT721" i="3"/>
  <c r="AT789" i="3"/>
  <c r="AT853" i="3"/>
  <c r="AT885" i="3"/>
  <c r="AT993" i="3"/>
  <c r="AT1029" i="3"/>
  <c r="AT1233" i="3"/>
  <c r="AT1301" i="3"/>
  <c r="AT1365" i="3"/>
  <c r="AT1429" i="3"/>
  <c r="AT1493" i="3"/>
  <c r="AT1557" i="3"/>
  <c r="AT1617" i="3"/>
  <c r="AT1681" i="3"/>
  <c r="AT1749" i="3"/>
  <c r="AT1785" i="3"/>
  <c r="AT1877" i="3"/>
  <c r="AT1909" i="3"/>
  <c r="AT1382" i="3"/>
  <c r="AT1398" i="3"/>
  <c r="AT1414" i="3"/>
  <c r="AT1430" i="3"/>
  <c r="AT1446" i="3"/>
  <c r="AT1462" i="3"/>
  <c r="AT1478" i="3"/>
  <c r="AT1494" i="3"/>
  <c r="AT1510" i="3"/>
  <c r="AT1526" i="3"/>
  <c r="AT1542" i="3"/>
  <c r="AT1558" i="3"/>
  <c r="AT1574" i="3"/>
  <c r="AT1590" i="3"/>
  <c r="AT1606" i="3"/>
  <c r="AT1622" i="3"/>
  <c r="AT1638" i="3"/>
  <c r="AT1654" i="3"/>
  <c r="AT1670" i="3"/>
  <c r="AT1686" i="3"/>
  <c r="AT1702" i="3"/>
  <c r="AT1718" i="3"/>
  <c r="AT1734" i="3"/>
  <c r="AT1750" i="3"/>
  <c r="AT1766" i="3"/>
  <c r="AT1782" i="3"/>
  <c r="AT1798" i="3"/>
  <c r="AT1814" i="3"/>
  <c r="AT21" i="3"/>
  <c r="AT53" i="3"/>
  <c r="AT85" i="3"/>
  <c r="AT117" i="3"/>
  <c r="AT133" i="3"/>
  <c r="AT917" i="3"/>
  <c r="AT1221" i="3"/>
  <c r="AT1253" i="3"/>
  <c r="AT1653" i="3"/>
  <c r="AT1685" i="3"/>
  <c r="AT1717" i="3"/>
  <c r="AT341" i="3"/>
  <c r="AT373" i="3"/>
  <c r="AT405" i="3"/>
  <c r="AT469" i="3"/>
  <c r="AT501" i="3"/>
  <c r="AT949" i="3"/>
  <c r="AT981" i="3"/>
  <c r="AT1013" i="3"/>
  <c r="AT1269" i="3"/>
  <c r="AT1589" i="3"/>
  <c r="AT1621" i="3"/>
  <c r="AT1781" i="3"/>
  <c r="AT1941" i="3"/>
  <c r="AT1973" i="3"/>
  <c r="AT197" i="3"/>
  <c r="AT229" i="3"/>
  <c r="AT645" i="3"/>
  <c r="AT677" i="3"/>
  <c r="AT709" i="3"/>
  <c r="AT741" i="3"/>
  <c r="AT1077" i="3"/>
  <c r="AT1109" i="3"/>
  <c r="AT1141" i="3"/>
  <c r="AT1173" i="3"/>
  <c r="AT533" i="3"/>
  <c r="AT773" i="3"/>
  <c r="AT805" i="3"/>
  <c r="AT837" i="3"/>
  <c r="AT869" i="3"/>
  <c r="AT901" i="3"/>
  <c r="AT1045" i="3"/>
  <c r="AT1285" i="3"/>
  <c r="AT1317" i="3"/>
  <c r="AT1349" i="3"/>
  <c r="AT1381" i="3"/>
  <c r="AT1413" i="3"/>
  <c r="AT1445" i="3"/>
  <c r="AT1477" i="3"/>
  <c r="AT1509" i="3"/>
  <c r="AT1541" i="3"/>
  <c r="AT1733" i="3"/>
  <c r="AT1797" i="3"/>
  <c r="AT1829" i="3"/>
  <c r="AT1861" i="3"/>
  <c r="AT1893" i="3"/>
  <c r="AT1925" i="3"/>
  <c r="AT702" i="3"/>
  <c r="AT734" i="3"/>
  <c r="AT758" i="3"/>
  <c r="AT790" i="3"/>
  <c r="AT822" i="3"/>
  <c r="AT854" i="3"/>
  <c r="AT886" i="3"/>
  <c r="AT918" i="3"/>
  <c r="AT950" i="3"/>
  <c r="AT990" i="3"/>
  <c r="AT1014" i="3"/>
  <c r="AT1046" i="3"/>
  <c r="AT1078" i="3"/>
  <c r="AT1110" i="3"/>
  <c r="AT1142" i="3"/>
  <c r="AT1174" i="3"/>
  <c r="AT1198" i="3"/>
  <c r="AT1230" i="3"/>
  <c r="AT1262" i="3"/>
  <c r="AT1294" i="3"/>
  <c r="AT1326" i="3"/>
  <c r="AT1358" i="3"/>
  <c r="AT1838" i="3"/>
  <c r="AT1870" i="3"/>
  <c r="AT1894" i="3"/>
  <c r="AT1926" i="3"/>
  <c r="AT1958" i="3"/>
  <c r="AT1990" i="3"/>
  <c r="AT174" i="3"/>
  <c r="AT606" i="3"/>
  <c r="AT686" i="3"/>
  <c r="AT694" i="3"/>
  <c r="AT718" i="3"/>
  <c r="AT726" i="3"/>
  <c r="AT750" i="3"/>
  <c r="AT774" i="3"/>
  <c r="AT782" i="3"/>
  <c r="AT806" i="3"/>
  <c r="AT814" i="3"/>
  <c r="AT838" i="3"/>
  <c r="AT846" i="3"/>
  <c r="AT870" i="3"/>
  <c r="AT878" i="3"/>
  <c r="AT902" i="3"/>
  <c r="AT910" i="3"/>
  <c r="AT934" i="3"/>
  <c r="AT942" i="3"/>
  <c r="AT966" i="3"/>
  <c r="AT974" i="3"/>
  <c r="AT998" i="3"/>
  <c r="AT1022" i="3"/>
  <c r="AT1030" i="3"/>
  <c r="AT1054" i="3"/>
  <c r="AT1062" i="3"/>
  <c r="AT1086" i="3"/>
  <c r="AT1094" i="3"/>
  <c r="AT1118" i="3"/>
  <c r="AT1126" i="3"/>
  <c r="AT1150" i="3"/>
  <c r="AT1158" i="3"/>
  <c r="AT1182" i="3"/>
  <c r="AT1206" i="3"/>
  <c r="AT1214" i="3"/>
  <c r="AT1238" i="3"/>
  <c r="AT1246" i="3"/>
  <c r="AT1270" i="3"/>
  <c r="AT1286" i="3"/>
  <c r="AT1302" i="3"/>
  <c r="AT1318" i="3"/>
  <c r="AT1334" i="3"/>
  <c r="AT1350" i="3"/>
  <c r="AT1366" i="3"/>
  <c r="AT1822" i="3"/>
  <c r="AT1830" i="3"/>
  <c r="AT1854" i="3"/>
  <c r="AT1862" i="3"/>
  <c r="AT1886" i="3"/>
  <c r="AT1902" i="3"/>
  <c r="AT1918" i="3"/>
  <c r="AT1942" i="3"/>
  <c r="AT1950" i="3"/>
  <c r="AT1974" i="3"/>
  <c r="AT1982" i="3"/>
  <c r="AT710" i="3"/>
  <c r="AT742" i="3"/>
  <c r="AT766" i="3"/>
  <c r="AT798" i="3"/>
  <c r="AT830" i="3"/>
  <c r="AT862" i="3"/>
  <c r="AT894" i="3"/>
  <c r="AT926" i="3"/>
  <c r="AT958" i="3"/>
  <c r="AT982" i="3"/>
  <c r="AT1006" i="3"/>
  <c r="AT1038" i="3"/>
  <c r="AT1070" i="3"/>
  <c r="AT1102" i="3"/>
  <c r="AT1134" i="3"/>
  <c r="AT1166" i="3"/>
  <c r="AT1190" i="3"/>
  <c r="AT1222" i="3"/>
  <c r="AT1254" i="3"/>
  <c r="AT1278" i="3"/>
  <c r="AT1310" i="3"/>
  <c r="AT1342" i="3"/>
  <c r="AT1846" i="3"/>
  <c r="AT1878" i="3"/>
  <c r="AT1910" i="3"/>
  <c r="AT1934" i="3"/>
  <c r="AT1966" i="3"/>
  <c r="AT1998" i="3"/>
  <c r="AT29" i="3"/>
  <c r="AT61" i="3"/>
  <c r="AT93" i="3"/>
  <c r="AT125" i="3"/>
  <c r="AT189" i="3"/>
  <c r="AT237" i="3"/>
  <c r="AT269" i="3"/>
  <c r="AT301" i="3"/>
  <c r="AT333" i="3"/>
  <c r="AT365" i="3"/>
  <c r="AT397" i="3"/>
  <c r="AT429" i="3"/>
  <c r="AT621" i="3"/>
  <c r="AT877" i="3"/>
  <c r="AT909" i="3"/>
  <c r="AT989" i="3"/>
  <c r="AT1021" i="3"/>
  <c r="AT1053" i="3"/>
  <c r="AT1085" i="3"/>
  <c r="AT1261" i="3"/>
  <c r="AT1293" i="3"/>
  <c r="AT1325" i="3"/>
  <c r="AT1357" i="3"/>
  <c r="AT1389" i="3"/>
  <c r="AT1421" i="3"/>
  <c r="AT1453" i="3"/>
  <c r="AT1485" i="3"/>
  <c r="AT1517" i="3"/>
  <c r="AT1549" i="3"/>
  <c r="AT1885" i="3"/>
  <c r="AT1917" i="3"/>
  <c r="AT1949" i="3"/>
  <c r="AT637" i="3"/>
  <c r="AT701" i="3"/>
  <c r="AT733" i="3"/>
  <c r="AT765" i="3"/>
  <c r="AT797" i="3"/>
  <c r="AT1213" i="3"/>
  <c r="AT1245" i="3"/>
  <c r="AT477" i="3"/>
  <c r="AT509" i="3"/>
  <c r="AT845" i="3"/>
  <c r="AT1581" i="3"/>
  <c r="AT1613" i="3"/>
  <c r="AT1645" i="3"/>
  <c r="AT1677" i="3"/>
  <c r="AT1709" i="3"/>
  <c r="AT1741" i="3"/>
  <c r="AT1773" i="3"/>
  <c r="AT1805" i="3"/>
  <c r="AT1837" i="3"/>
  <c r="AT221" i="3"/>
  <c r="AT653" i="3"/>
  <c r="AT925" i="3"/>
  <c r="AT957" i="3"/>
  <c r="AT1101" i="3"/>
  <c r="AT1133" i="3"/>
  <c r="AT1165" i="3"/>
  <c r="AT1981" i="3"/>
  <c r="I5" i="3" l="1"/>
  <c r="D5" i="3" l="1"/>
  <c r="O5" i="3" l="1"/>
  <c r="N5" i="3"/>
  <c r="K5" i="3"/>
  <c r="L5" i="3"/>
  <c r="J5" i="3"/>
  <c r="M5" i="3"/>
  <c r="AT5" i="3"/>
  <c r="K45" i="38" l="1"/>
  <c r="CO5" i="3" l="1"/>
  <c r="M38" i="3" l="1"/>
  <c r="M126" i="3"/>
  <c r="M198" i="3"/>
  <c r="M302" i="3"/>
  <c r="M382" i="3"/>
  <c r="M414" i="3"/>
  <c r="M446" i="3"/>
  <c r="M478" i="3"/>
  <c r="M510" i="3"/>
  <c r="M542" i="3"/>
  <c r="M574" i="3"/>
  <c r="M598" i="3"/>
  <c r="M622" i="3"/>
  <c r="M654" i="3"/>
  <c r="M11" i="3"/>
  <c r="M43" i="3"/>
  <c r="M75" i="3"/>
  <c r="M107" i="3"/>
  <c r="M139" i="3"/>
  <c r="M171" i="3"/>
  <c r="M203" i="3"/>
  <c r="M235" i="3"/>
  <c r="M267" i="3"/>
  <c r="M299" i="3"/>
  <c r="M331" i="3"/>
  <c r="M363" i="3"/>
  <c r="M411" i="3"/>
  <c r="M443" i="3"/>
  <c r="M475" i="3"/>
  <c r="M507" i="3"/>
  <c r="M539" i="3"/>
  <c r="M571" i="3"/>
  <c r="M603" i="3"/>
  <c r="M635" i="3"/>
  <c r="M129" i="3"/>
  <c r="M24" i="3"/>
  <c r="M136" i="3"/>
  <c r="M168" i="3"/>
  <c r="M14" i="3"/>
  <c r="M102" i="3"/>
  <c r="M174" i="3"/>
  <c r="M278" i="3"/>
  <c r="M374" i="3"/>
  <c r="M438" i="3"/>
  <c r="M470" i="3"/>
  <c r="M502" i="3"/>
  <c r="M534" i="3"/>
  <c r="M566" i="3"/>
  <c r="M590" i="3"/>
  <c r="M614" i="3"/>
  <c r="M646" i="3"/>
  <c r="M21" i="3"/>
  <c r="M85" i="3"/>
  <c r="M185" i="3"/>
  <c r="M35" i="3"/>
  <c r="M67" i="3"/>
  <c r="M99" i="3"/>
  <c r="M131" i="3"/>
  <c r="M163" i="3"/>
  <c r="M195" i="3"/>
  <c r="M227" i="3"/>
  <c r="M259" i="3"/>
  <c r="M291" i="3"/>
  <c r="M323" i="3"/>
  <c r="M355" i="3"/>
  <c r="M435" i="3"/>
  <c r="M467" i="3"/>
  <c r="M499" i="3"/>
  <c r="M531" i="3"/>
  <c r="M563" i="3"/>
  <c r="M595" i="3"/>
  <c r="M627" i="3"/>
  <c r="M56" i="3"/>
  <c r="M88" i="3"/>
  <c r="M200" i="3"/>
  <c r="M444" i="3"/>
  <c r="M78" i="3"/>
  <c r="M254" i="3"/>
  <c r="M350" i="3"/>
  <c r="M430" i="3"/>
  <c r="M462" i="3"/>
  <c r="M494" i="3"/>
  <c r="M526" i="3"/>
  <c r="M558" i="3"/>
  <c r="M606" i="3"/>
  <c r="M638" i="3"/>
  <c r="M153" i="3"/>
  <c r="M27" i="3"/>
  <c r="M59" i="3"/>
  <c r="M91" i="3"/>
  <c r="M123" i="3"/>
  <c r="M155" i="3"/>
  <c r="M187" i="3"/>
  <c r="M219" i="3"/>
  <c r="M251" i="3"/>
  <c r="M283" i="3"/>
  <c r="M315" i="3"/>
  <c r="M347" i="3"/>
  <c r="M379" i="3"/>
  <c r="M427" i="3"/>
  <c r="M459" i="3"/>
  <c r="M491" i="3"/>
  <c r="M523" i="3"/>
  <c r="M555" i="3"/>
  <c r="M587" i="3"/>
  <c r="M619" i="3"/>
  <c r="M651" i="3"/>
  <c r="M65" i="3"/>
  <c r="M8" i="3"/>
  <c r="M40" i="3"/>
  <c r="M120" i="3"/>
  <c r="M152" i="3"/>
  <c r="M316" i="3"/>
  <c r="M572" i="3"/>
  <c r="M304" i="3"/>
  <c r="M476" i="3"/>
  <c r="M62" i="3"/>
  <c r="M150" i="3"/>
  <c r="M222" i="3"/>
  <c r="M326" i="3"/>
  <c r="M422" i="3"/>
  <c r="M454" i="3"/>
  <c r="M486" i="3"/>
  <c r="M518" i="3"/>
  <c r="M550" i="3"/>
  <c r="M582" i="3"/>
  <c r="M630" i="3"/>
  <c r="M53" i="3"/>
  <c r="M117" i="3"/>
  <c r="M19" i="3"/>
  <c r="M51" i="3"/>
  <c r="M83" i="3"/>
  <c r="M115" i="3"/>
  <c r="M147" i="3"/>
  <c r="M179" i="3"/>
  <c r="M211" i="3"/>
  <c r="M243" i="3"/>
  <c r="M275" i="3"/>
  <c r="M307" i="3"/>
  <c r="M339" i="3"/>
  <c r="M371" i="3"/>
  <c r="M419" i="3"/>
  <c r="M451" i="3"/>
  <c r="M483" i="3"/>
  <c r="M515" i="3"/>
  <c r="M547" i="3"/>
  <c r="M579" i="3"/>
  <c r="M611" i="3"/>
  <c r="M643" i="3"/>
  <c r="M72" i="3"/>
  <c r="M104" i="3"/>
  <c r="M184" i="3"/>
  <c r="M272" i="3"/>
  <c r="M528" i="3"/>
  <c r="M432" i="3"/>
  <c r="M604" i="3"/>
  <c r="M57" i="3"/>
  <c r="M181" i="3"/>
  <c r="M125" i="3"/>
  <c r="M237" i="3"/>
  <c r="M365" i="3"/>
  <c r="M220" i="3"/>
  <c r="M61" i="3"/>
  <c r="M357" i="3"/>
  <c r="M94" i="3"/>
  <c r="M182" i="3"/>
  <c r="M270" i="3"/>
  <c r="M366" i="3"/>
  <c r="M242" i="3"/>
  <c r="M274" i="3"/>
  <c r="M314" i="3"/>
  <c r="M346" i="3"/>
  <c r="M370" i="3"/>
  <c r="M426" i="3"/>
  <c r="M458" i="3"/>
  <c r="M490" i="3"/>
  <c r="M602" i="3"/>
  <c r="M634" i="3"/>
  <c r="M69" i="3"/>
  <c r="M137" i="3"/>
  <c r="M7" i="3"/>
  <c r="M23" i="3"/>
  <c r="M63" i="3"/>
  <c r="M79" i="3"/>
  <c r="M121" i="3"/>
  <c r="M429" i="3"/>
  <c r="M553" i="3"/>
  <c r="M293" i="3"/>
  <c r="M545" i="3"/>
  <c r="M70" i="3"/>
  <c r="M158" i="3"/>
  <c r="M246" i="3"/>
  <c r="M342" i="3"/>
  <c r="M34" i="3"/>
  <c r="M66" i="3"/>
  <c r="M106" i="3"/>
  <c r="M138" i="3"/>
  <c r="M162" i="3"/>
  <c r="M202" i="3"/>
  <c r="M522" i="3"/>
  <c r="M554" i="3"/>
  <c r="M37" i="3"/>
  <c r="M39" i="3"/>
  <c r="M95" i="3"/>
  <c r="M111" i="3"/>
  <c r="M127" i="3"/>
  <c r="M143" i="3"/>
  <c r="M159" i="3"/>
  <c r="M175" i="3"/>
  <c r="M191" i="3"/>
  <c r="M207" i="3"/>
  <c r="M223" i="3"/>
  <c r="M239" i="3"/>
  <c r="M255" i="3"/>
  <c r="M271" i="3"/>
  <c r="M287" i="3"/>
  <c r="M303" i="3"/>
  <c r="M319" i="3"/>
  <c r="M335" i="3"/>
  <c r="M351" i="3"/>
  <c r="M367" i="3"/>
  <c r="M415" i="3"/>
  <c r="M431" i="3"/>
  <c r="M447" i="3"/>
  <c r="M463" i="3"/>
  <c r="M479" i="3"/>
  <c r="D13" i="42" s="1"/>
  <c r="M495" i="3"/>
  <c r="M511" i="3"/>
  <c r="M527" i="3"/>
  <c r="M543" i="3"/>
  <c r="M559" i="3"/>
  <c r="M575" i="3"/>
  <c r="M591" i="3"/>
  <c r="M607" i="3"/>
  <c r="M623" i="3"/>
  <c r="M639" i="3"/>
  <c r="M560" i="3"/>
  <c r="M301" i="3"/>
  <c r="M233" i="3"/>
  <c r="M485" i="3"/>
  <c r="M46" i="3"/>
  <c r="M142" i="3"/>
  <c r="M230" i="3"/>
  <c r="M318" i="3"/>
  <c r="M226" i="3"/>
  <c r="M258" i="3"/>
  <c r="M290" i="3"/>
  <c r="M330" i="3"/>
  <c r="M362" i="3"/>
  <c r="M410" i="3"/>
  <c r="M442" i="3"/>
  <c r="M474" i="3"/>
  <c r="M506" i="3"/>
  <c r="M586" i="3"/>
  <c r="M618" i="3"/>
  <c r="M101" i="3"/>
  <c r="M169" i="3"/>
  <c r="M15" i="3"/>
  <c r="M55" i="3"/>
  <c r="M71" i="3"/>
  <c r="M87" i="3"/>
  <c r="M348" i="3"/>
  <c r="M189" i="3"/>
  <c r="M489" i="3"/>
  <c r="M621" i="3"/>
  <c r="M421" i="3"/>
  <c r="M609" i="3"/>
  <c r="M22" i="3"/>
  <c r="M118" i="3"/>
  <c r="M206" i="3"/>
  <c r="M294" i="3"/>
  <c r="M18" i="3"/>
  <c r="M50" i="3"/>
  <c r="M82" i="3"/>
  <c r="M122" i="3"/>
  <c r="M146" i="3"/>
  <c r="M178" i="3"/>
  <c r="M210" i="3"/>
  <c r="M538" i="3"/>
  <c r="M570" i="3"/>
  <c r="M650" i="3"/>
  <c r="M31" i="3"/>
  <c r="M47" i="3"/>
  <c r="M103" i="3"/>
  <c r="M119" i="3"/>
  <c r="M135" i="3"/>
  <c r="M151" i="3"/>
  <c r="M167" i="3"/>
  <c r="M183" i="3"/>
  <c r="M199" i="3"/>
  <c r="M215" i="3"/>
  <c r="M231" i="3"/>
  <c r="M247" i="3"/>
  <c r="M263" i="3"/>
  <c r="M279" i="3"/>
  <c r="M295" i="3"/>
  <c r="M311" i="3"/>
  <c r="M327" i="3"/>
  <c r="M343" i="3"/>
  <c r="M359" i="3"/>
  <c r="M375" i="3"/>
  <c r="M423" i="3"/>
  <c r="M439" i="3"/>
  <c r="M455" i="3"/>
  <c r="M471" i="3"/>
  <c r="M487" i="3"/>
  <c r="M503" i="3"/>
  <c r="M519" i="3"/>
  <c r="M535" i="3"/>
  <c r="M551" i="3"/>
  <c r="M567" i="3"/>
  <c r="M583" i="3"/>
  <c r="M599" i="3"/>
  <c r="M615" i="3"/>
  <c r="M631" i="3"/>
  <c r="M647" i="3"/>
  <c r="M161" i="3"/>
  <c r="M80" i="3"/>
  <c r="M128" i="3"/>
  <c r="M160" i="3"/>
  <c r="M192" i="3"/>
  <c r="M464" i="3"/>
  <c r="M636" i="3"/>
  <c r="M30" i="3"/>
  <c r="M134" i="3"/>
  <c r="M238" i="3"/>
  <c r="M334" i="3"/>
  <c r="M98" i="3"/>
  <c r="M130" i="3"/>
  <c r="M170" i="3"/>
  <c r="M194" i="3"/>
  <c r="M234" i="3"/>
  <c r="M378" i="3"/>
  <c r="M482" i="3"/>
  <c r="M514" i="3"/>
  <c r="M284" i="3"/>
  <c r="M624" i="3"/>
  <c r="M228" i="3"/>
  <c r="M280" i="3"/>
  <c r="M440" i="3"/>
  <c r="M484" i="3"/>
  <c r="M536" i="3"/>
  <c r="M632" i="3"/>
  <c r="M264" i="3"/>
  <c r="M308" i="3"/>
  <c r="M436" i="3"/>
  <c r="M520" i="3"/>
  <c r="M564" i="3"/>
  <c r="M648" i="3"/>
  <c r="M13" i="3"/>
  <c r="M145" i="3"/>
  <c r="M28" i="3"/>
  <c r="M60" i="3"/>
  <c r="M92" i="3"/>
  <c r="M33" i="3"/>
  <c r="M48" i="3"/>
  <c r="M96" i="3"/>
  <c r="M252" i="3"/>
  <c r="M592" i="3"/>
  <c r="M6" i="3"/>
  <c r="M110" i="3"/>
  <c r="M214" i="3"/>
  <c r="M310" i="3"/>
  <c r="M26" i="3"/>
  <c r="M58" i="3"/>
  <c r="M90" i="3"/>
  <c r="M266" i="3"/>
  <c r="M298" i="3"/>
  <c r="M322" i="3"/>
  <c r="M434" i="3"/>
  <c r="M466" i="3"/>
  <c r="M546" i="3"/>
  <c r="M578" i="3"/>
  <c r="M610" i="3"/>
  <c r="M642" i="3"/>
  <c r="M240" i="3"/>
  <c r="M412" i="3"/>
  <c r="M216" i="3"/>
  <c r="M324" i="3"/>
  <c r="M376" i="3"/>
  <c r="M420" i="3"/>
  <c r="M472" i="3"/>
  <c r="M580" i="3"/>
  <c r="M212" i="3"/>
  <c r="M296" i="3"/>
  <c r="M340" i="3"/>
  <c r="M424" i="3"/>
  <c r="M468" i="3"/>
  <c r="M552" i="3"/>
  <c r="M596" i="3"/>
  <c r="M113" i="3"/>
  <c r="M20" i="3"/>
  <c r="M52" i="3"/>
  <c r="M84" i="3"/>
  <c r="M116" i="3"/>
  <c r="M148" i="3"/>
  <c r="M180" i="3"/>
  <c r="M256" i="3"/>
  <c r="M16" i="3"/>
  <c r="M64" i="3"/>
  <c r="M144" i="3"/>
  <c r="M176" i="3"/>
  <c r="M208" i="3"/>
  <c r="M380" i="3"/>
  <c r="M86" i="3"/>
  <c r="M190" i="3"/>
  <c r="M286" i="3"/>
  <c r="M114" i="3"/>
  <c r="M154" i="3"/>
  <c r="M186" i="3"/>
  <c r="M218" i="3"/>
  <c r="M250" i="3"/>
  <c r="M354" i="3"/>
  <c r="M498" i="3"/>
  <c r="M530" i="3"/>
  <c r="M368" i="3"/>
  <c r="M540" i="3"/>
  <c r="M260" i="3"/>
  <c r="M312" i="3"/>
  <c r="M356" i="3"/>
  <c r="M516" i="3"/>
  <c r="M568" i="3"/>
  <c r="M612" i="3"/>
  <c r="M244" i="3"/>
  <c r="M328" i="3"/>
  <c r="M372" i="3"/>
  <c r="M456" i="3"/>
  <c r="M500" i="3"/>
  <c r="M584" i="3"/>
  <c r="M628" i="3"/>
  <c r="M81" i="3"/>
  <c r="M12" i="3"/>
  <c r="M44" i="3"/>
  <c r="M76" i="3"/>
  <c r="M97" i="3"/>
  <c r="M32" i="3"/>
  <c r="M112" i="3"/>
  <c r="M336" i="3"/>
  <c r="M508" i="3"/>
  <c r="M54" i="3"/>
  <c r="M166" i="3"/>
  <c r="M262" i="3"/>
  <c r="M358" i="3"/>
  <c r="M10" i="3"/>
  <c r="M42" i="3"/>
  <c r="M74" i="3"/>
  <c r="M282" i="3"/>
  <c r="M306" i="3"/>
  <c r="M338" i="3"/>
  <c r="M418" i="3"/>
  <c r="M450" i="3"/>
  <c r="M562" i="3"/>
  <c r="M594" i="3"/>
  <c r="M626" i="3"/>
  <c r="M496" i="3"/>
  <c r="M248" i="3"/>
  <c r="M292" i="3"/>
  <c r="M344" i="3"/>
  <c r="M452" i="3"/>
  <c r="M504" i="3"/>
  <c r="M548" i="3"/>
  <c r="M600" i="3"/>
  <c r="M644" i="3"/>
  <c r="M232" i="3"/>
  <c r="M276" i="3"/>
  <c r="M360" i="3"/>
  <c r="M488" i="3"/>
  <c r="M532" i="3"/>
  <c r="M616" i="3"/>
  <c r="M49" i="3"/>
  <c r="M36" i="3"/>
  <c r="M100" i="3"/>
  <c r="M140" i="3"/>
  <c r="M204" i="3"/>
  <c r="M236" i="3"/>
  <c r="M268" i="3"/>
  <c r="M352" i="3"/>
  <c r="M480" i="3"/>
  <c r="M524" i="3"/>
  <c r="M608" i="3"/>
  <c r="M652" i="3"/>
  <c r="M45" i="3"/>
  <c r="M41" i="3"/>
  <c r="M285" i="3"/>
  <c r="M537" i="3"/>
  <c r="M341" i="3"/>
  <c r="M593" i="3"/>
  <c r="M197" i="3"/>
  <c r="M585" i="3"/>
  <c r="M433" i="3"/>
  <c r="M641" i="3"/>
  <c r="M217" i="3"/>
  <c r="M581" i="3"/>
  <c r="M17" i="3"/>
  <c r="M253" i="3"/>
  <c r="M505" i="3"/>
  <c r="M561" i="3"/>
  <c r="M229" i="3"/>
  <c r="M493" i="3"/>
  <c r="M337" i="3"/>
  <c r="M465" i="3"/>
  <c r="M597" i="3"/>
  <c r="M149" i="3"/>
  <c r="M93" i="3"/>
  <c r="M209" i="3"/>
  <c r="M333" i="3"/>
  <c r="M521" i="3"/>
  <c r="M649" i="3"/>
  <c r="M513" i="3"/>
  <c r="M245" i="3"/>
  <c r="M629" i="3"/>
  <c r="M353" i="3"/>
  <c r="M132" i="3"/>
  <c r="M156" i="3"/>
  <c r="M196" i="3"/>
  <c r="M300" i="3"/>
  <c r="M428" i="3"/>
  <c r="M512" i="3"/>
  <c r="M556" i="3"/>
  <c r="M640" i="3"/>
  <c r="M165" i="3"/>
  <c r="M225" i="3"/>
  <c r="M473" i="3"/>
  <c r="M529" i="3"/>
  <c r="M525" i="3"/>
  <c r="M369" i="3"/>
  <c r="M565" i="3"/>
  <c r="M409" i="3"/>
  <c r="M541" i="3"/>
  <c r="M517" i="3"/>
  <c r="M133" i="3"/>
  <c r="M201" i="3"/>
  <c r="M445" i="3"/>
  <c r="M249" i="3"/>
  <c r="M373" i="3"/>
  <c r="M501" i="3"/>
  <c r="M425" i="3"/>
  <c r="M273" i="3"/>
  <c r="M325" i="3"/>
  <c r="M453" i="3"/>
  <c r="M637" i="3"/>
  <c r="M441" i="3"/>
  <c r="M289" i="3"/>
  <c r="M549" i="3"/>
  <c r="M177" i="3"/>
  <c r="M68" i="3"/>
  <c r="M108" i="3"/>
  <c r="M172" i="3"/>
  <c r="M224" i="3"/>
  <c r="M288" i="3"/>
  <c r="M332" i="3"/>
  <c r="M416" i="3"/>
  <c r="M460" i="3"/>
  <c r="M544" i="3"/>
  <c r="M588" i="3"/>
  <c r="M173" i="3"/>
  <c r="M413" i="3"/>
  <c r="M281" i="3"/>
  <c r="M469" i="3"/>
  <c r="M329" i="3"/>
  <c r="M461" i="3"/>
  <c r="M645" i="3"/>
  <c r="M305" i="3"/>
  <c r="M345" i="3"/>
  <c r="M321" i="3"/>
  <c r="M449" i="3"/>
  <c r="M653" i="3"/>
  <c r="M141" i="3"/>
  <c r="M381" i="3"/>
  <c r="M633" i="3"/>
  <c r="M361" i="3"/>
  <c r="M617" i="3"/>
  <c r="M205" i="3"/>
  <c r="M533" i="3"/>
  <c r="M89" i="3"/>
  <c r="M25" i="3"/>
  <c r="M157" i="3"/>
  <c r="M269" i="3"/>
  <c r="M457" i="3"/>
  <c r="M589" i="3"/>
  <c r="M265" i="3"/>
  <c r="M377" i="3"/>
  <c r="M569" i="3"/>
  <c r="M221" i="3"/>
  <c r="M481" i="3"/>
  <c r="M124" i="3"/>
  <c r="M164" i="3"/>
  <c r="M188" i="3"/>
  <c r="M320" i="3"/>
  <c r="M364" i="3"/>
  <c r="M448" i="3"/>
  <c r="M492" i="3"/>
  <c r="M576" i="3"/>
  <c r="M620" i="3"/>
  <c r="M105" i="3"/>
  <c r="M109" i="3"/>
  <c r="M349" i="3"/>
  <c r="M605" i="3"/>
  <c r="M213" i="3"/>
  <c r="M257" i="3"/>
  <c r="M241" i="3"/>
  <c r="M497" i="3"/>
  <c r="M277" i="3"/>
  <c r="M477" i="3"/>
  <c r="M601" i="3"/>
  <c r="M261" i="3"/>
  <c r="M73" i="3"/>
  <c r="M77" i="3"/>
  <c r="M317" i="3"/>
  <c r="M573" i="3"/>
  <c r="M309" i="3"/>
  <c r="M437" i="3"/>
  <c r="M625" i="3"/>
  <c r="M297" i="3"/>
  <c r="M557" i="3"/>
  <c r="M29" i="3"/>
  <c r="M193" i="3"/>
  <c r="M577" i="3"/>
  <c r="M313" i="3"/>
  <c r="M509" i="3"/>
  <c r="M417" i="3"/>
  <c r="M613" i="3"/>
  <c r="M670" i="3"/>
  <c r="M1374" i="3"/>
  <c r="M1414" i="3"/>
  <c r="M1438" i="3"/>
  <c r="M1478" i="3"/>
  <c r="M1502" i="3"/>
  <c r="M1542" i="3"/>
  <c r="M1566" i="3"/>
  <c r="M1606" i="3"/>
  <c r="M1630" i="3"/>
  <c r="M1670" i="3"/>
  <c r="M1694" i="3"/>
  <c r="M1734" i="3"/>
  <c r="M1758" i="3"/>
  <c r="M1798" i="3"/>
  <c r="M395" i="3"/>
  <c r="M683" i="3"/>
  <c r="M715" i="3"/>
  <c r="M747" i="3"/>
  <c r="M779" i="3"/>
  <c r="M811" i="3"/>
  <c r="M843" i="3"/>
  <c r="M875" i="3"/>
  <c r="M907" i="3"/>
  <c r="M939" i="3"/>
  <c r="M971" i="3"/>
  <c r="M1039" i="3"/>
  <c r="M1091" i="3"/>
  <c r="M1167" i="3"/>
  <c r="M1219" i="3"/>
  <c r="M1247" i="3"/>
  <c r="M1279" i="3"/>
  <c r="M1311" i="3"/>
  <c r="M1343" i="3"/>
  <c r="M1375" i="3"/>
  <c r="M1407" i="3"/>
  <c r="M1439" i="3"/>
  <c r="M1471" i="3"/>
  <c r="M1503" i="3"/>
  <c r="M1535" i="3"/>
  <c r="M1567" i="3"/>
  <c r="M1599" i="3"/>
  <c r="M1631" i="3"/>
  <c r="M1663" i="3"/>
  <c r="M1695" i="3"/>
  <c r="M1727" i="3"/>
  <c r="M1759" i="3"/>
  <c r="M1791" i="3"/>
  <c r="M1823" i="3"/>
  <c r="M1855" i="3"/>
  <c r="M1887" i="3"/>
  <c r="M1919" i="3"/>
  <c r="M1951" i="3"/>
  <c r="M1983" i="3"/>
  <c r="M656" i="3"/>
  <c r="M828" i="3"/>
  <c r="M726" i="3"/>
  <c r="M758" i="3"/>
  <c r="M790" i="3"/>
  <c r="M838" i="3"/>
  <c r="M1063" i="3"/>
  <c r="M1115" i="3"/>
  <c r="M1191" i="3"/>
  <c r="M1235" i="3"/>
  <c r="M1299" i="3"/>
  <c r="M1363" i="3"/>
  <c r="M1427" i="3"/>
  <c r="M1683" i="3"/>
  <c r="M1747" i="3"/>
  <c r="M1811" i="3"/>
  <c r="M662" i="3"/>
  <c r="M686" i="3"/>
  <c r="M702" i="3"/>
  <c r="M718" i="3"/>
  <c r="M750" i="3"/>
  <c r="M782" i="3"/>
  <c r="M814" i="3"/>
  <c r="M830" i="3"/>
  <c r="M854" i="3"/>
  <c r="M870" i="3"/>
  <c r="M886" i="3"/>
  <c r="M902" i="3"/>
  <c r="M918" i="3"/>
  <c r="M934" i="3"/>
  <c r="M950" i="3"/>
  <c r="M966" i="3"/>
  <c r="M982" i="3"/>
  <c r="M998" i="3"/>
  <c r="M1014" i="3"/>
  <c r="M1030" i="3"/>
  <c r="M1046" i="3"/>
  <c r="M1062" i="3"/>
  <c r="M1078" i="3"/>
  <c r="M1094" i="3"/>
  <c r="M1110" i="3"/>
  <c r="M1126" i="3"/>
  <c r="M1142" i="3"/>
  <c r="M1158" i="3"/>
  <c r="M1174" i="3"/>
  <c r="M1190" i="3"/>
  <c r="M1206" i="3"/>
  <c r="M1222" i="3"/>
  <c r="M1238" i="3"/>
  <c r="M1254" i="3"/>
  <c r="M1270" i="3"/>
  <c r="M1286" i="3"/>
  <c r="M1302" i="3"/>
  <c r="M1318" i="3"/>
  <c r="M1334" i="3"/>
  <c r="M1350" i="3"/>
  <c r="M1366" i="3"/>
  <c r="M1390" i="3"/>
  <c r="M1430" i="3"/>
  <c r="M1454" i="3"/>
  <c r="M1494" i="3"/>
  <c r="M1518" i="3"/>
  <c r="M1558" i="3"/>
  <c r="M1582" i="3"/>
  <c r="M1622" i="3"/>
  <c r="M1646" i="3"/>
  <c r="M1686" i="3"/>
  <c r="M1710" i="3"/>
  <c r="M1750" i="3"/>
  <c r="M1774" i="3"/>
  <c r="M1814" i="3"/>
  <c r="M1830" i="3"/>
  <c r="M1846" i="3"/>
  <c r="M1862" i="3"/>
  <c r="M1878" i="3"/>
  <c r="M1894" i="3"/>
  <c r="M1910" i="3"/>
  <c r="M1926" i="3"/>
  <c r="M1942" i="3"/>
  <c r="M1958" i="3"/>
  <c r="M1974" i="3"/>
  <c r="M1990" i="3"/>
  <c r="M387" i="3"/>
  <c r="M675" i="3"/>
  <c r="M707" i="3"/>
  <c r="M739" i="3"/>
  <c r="M771" i="3"/>
  <c r="M803" i="3"/>
  <c r="M835" i="3"/>
  <c r="M867" i="3"/>
  <c r="M899" i="3"/>
  <c r="M931" i="3"/>
  <c r="M963" i="3"/>
  <c r="M995" i="3"/>
  <c r="M1071" i="3"/>
  <c r="M1123" i="3"/>
  <c r="M1199" i="3"/>
  <c r="M784" i="3"/>
  <c r="M1019" i="3"/>
  <c r="M1095" i="3"/>
  <c r="M1147" i="3"/>
  <c r="M1223" i="3"/>
  <c r="M1283" i="3"/>
  <c r="M1347" i="3"/>
  <c r="M1411" i="3"/>
  <c r="M1475" i="3"/>
  <c r="M1491" i="3"/>
  <c r="M1539" i="3"/>
  <c r="M1555" i="3"/>
  <c r="M1603" i="3"/>
  <c r="M1619" i="3"/>
  <c r="M1667" i="3"/>
  <c r="M1731" i="3"/>
  <c r="M1382" i="3"/>
  <c r="M1406" i="3"/>
  <c r="M1446" i="3"/>
  <c r="M1470" i="3"/>
  <c r="M1510" i="3"/>
  <c r="M1534" i="3"/>
  <c r="M1574" i="3"/>
  <c r="M1598" i="3"/>
  <c r="M1638" i="3"/>
  <c r="M1662" i="3"/>
  <c r="M1702" i="3"/>
  <c r="M1726" i="3"/>
  <c r="M1766" i="3"/>
  <c r="M1790" i="3"/>
  <c r="M667" i="3"/>
  <c r="M699" i="3"/>
  <c r="M731" i="3"/>
  <c r="M763" i="3"/>
  <c r="M795" i="3"/>
  <c r="M827" i="3"/>
  <c r="M859" i="3"/>
  <c r="M891" i="3"/>
  <c r="M923" i="3"/>
  <c r="M955" i="3"/>
  <c r="M987" i="3"/>
  <c r="M1027" i="3"/>
  <c r="M1103" i="3"/>
  <c r="M1155" i="3"/>
  <c r="M1231" i="3"/>
  <c r="M1263" i="3"/>
  <c r="M1295" i="3"/>
  <c r="M1327" i="3"/>
  <c r="M1359" i="3"/>
  <c r="M1391" i="3"/>
  <c r="M1423" i="3"/>
  <c r="M1455" i="3"/>
  <c r="M1487" i="3"/>
  <c r="M1519" i="3"/>
  <c r="M1551" i="3"/>
  <c r="M1583" i="3"/>
  <c r="M1615" i="3"/>
  <c r="M1647" i="3"/>
  <c r="M1679" i="3"/>
  <c r="M1711" i="3"/>
  <c r="M1743" i="3"/>
  <c r="M1775" i="3"/>
  <c r="M1807" i="3"/>
  <c r="M1839" i="3"/>
  <c r="M1871" i="3"/>
  <c r="M1903" i="3"/>
  <c r="M1935" i="3"/>
  <c r="M1967" i="3"/>
  <c r="M1999" i="3"/>
  <c r="M400" i="3"/>
  <c r="M912" i="3"/>
  <c r="M742" i="3"/>
  <c r="M774" i="3"/>
  <c r="M806" i="3"/>
  <c r="M999" i="3"/>
  <c r="M1051" i="3"/>
  <c r="M1127" i="3"/>
  <c r="M1179" i="3"/>
  <c r="M1267" i="3"/>
  <c r="M1331" i="3"/>
  <c r="M1395" i="3"/>
  <c r="M1715" i="3"/>
  <c r="M1779" i="3"/>
  <c r="M390" i="3"/>
  <c r="M678" i="3"/>
  <c r="M694" i="3"/>
  <c r="M710" i="3"/>
  <c r="M734" i="3"/>
  <c r="M766" i="3"/>
  <c r="M798" i="3"/>
  <c r="M822" i="3"/>
  <c r="M846" i="3"/>
  <c r="M862" i="3"/>
  <c r="M878" i="3"/>
  <c r="M894" i="3"/>
  <c r="M910" i="3"/>
  <c r="M926" i="3"/>
  <c r="M942" i="3"/>
  <c r="M958" i="3"/>
  <c r="M974" i="3"/>
  <c r="M990" i="3"/>
  <c r="M1006" i="3"/>
  <c r="M1022" i="3"/>
  <c r="M1038" i="3"/>
  <c r="M1054" i="3"/>
  <c r="M1070" i="3"/>
  <c r="M1086" i="3"/>
  <c r="M1102" i="3"/>
  <c r="M1118" i="3"/>
  <c r="M1134" i="3"/>
  <c r="M1150" i="3"/>
  <c r="M1166" i="3"/>
  <c r="M1182" i="3"/>
  <c r="M1198" i="3"/>
  <c r="M1214" i="3"/>
  <c r="M1230" i="3"/>
  <c r="M1246" i="3"/>
  <c r="M1262" i="3"/>
  <c r="M1278" i="3"/>
  <c r="M1294" i="3"/>
  <c r="M1310" i="3"/>
  <c r="M1326" i="3"/>
  <c r="M1342" i="3"/>
  <c r="M1358" i="3"/>
  <c r="M1398" i="3"/>
  <c r="M1422" i="3"/>
  <c r="M1462" i="3"/>
  <c r="M1486" i="3"/>
  <c r="M1526" i="3"/>
  <c r="M1550" i="3"/>
  <c r="M1590" i="3"/>
  <c r="M1614" i="3"/>
  <c r="M1654" i="3"/>
  <c r="M1678" i="3"/>
  <c r="M1718" i="3"/>
  <c r="M1742" i="3"/>
  <c r="M1782" i="3"/>
  <c r="M1806" i="3"/>
  <c r="M1822" i="3"/>
  <c r="M1838" i="3"/>
  <c r="M1854" i="3"/>
  <c r="M1870" i="3"/>
  <c r="M1886" i="3"/>
  <c r="M1902" i="3"/>
  <c r="M1918" i="3"/>
  <c r="M1934" i="3"/>
  <c r="M1950" i="3"/>
  <c r="M1966" i="3"/>
  <c r="M1982" i="3"/>
  <c r="M1998" i="3"/>
  <c r="M403" i="3"/>
  <c r="D9" i="42" s="1"/>
  <c r="M659" i="3"/>
  <c r="M691" i="3"/>
  <c r="M723" i="3"/>
  <c r="M755" i="3"/>
  <c r="M787" i="3"/>
  <c r="M819" i="3"/>
  <c r="M851" i="3"/>
  <c r="M883" i="3"/>
  <c r="M915" i="3"/>
  <c r="M947" i="3"/>
  <c r="M979" i="3"/>
  <c r="M1007" i="3"/>
  <c r="M1059" i="3"/>
  <c r="M1135" i="3"/>
  <c r="M1187" i="3"/>
  <c r="M700" i="3"/>
  <c r="M1031" i="3"/>
  <c r="M1083" i="3"/>
  <c r="M1159" i="3"/>
  <c r="M1211" i="3"/>
  <c r="M1251" i="3"/>
  <c r="M1315" i="3"/>
  <c r="M1379" i="3"/>
  <c r="M1443" i="3"/>
  <c r="M1459" i="3"/>
  <c r="M1507" i="3"/>
  <c r="M1523" i="3"/>
  <c r="M1571" i="3"/>
  <c r="M1587" i="3"/>
  <c r="M1635" i="3"/>
  <c r="M1651" i="3"/>
  <c r="M1699" i="3"/>
  <c r="M1763" i="3"/>
  <c r="M1827" i="3"/>
  <c r="M1843" i="3"/>
  <c r="M1891" i="3"/>
  <c r="M1955" i="3"/>
  <c r="M688" i="3"/>
  <c r="M860" i="3"/>
  <c r="M960" i="3"/>
  <c r="M992" i="3"/>
  <c r="M1024" i="3"/>
  <c r="M1056" i="3"/>
  <c r="M1088" i="3"/>
  <c r="M1200" i="3"/>
  <c r="M1232" i="3"/>
  <c r="M1264" i="3"/>
  <c r="M1296" i="3"/>
  <c r="M1328" i="3"/>
  <c r="M1360" i="3"/>
  <c r="M1392" i="3"/>
  <c r="M1424" i="3"/>
  <c r="M1456" i="3"/>
  <c r="M1488" i="3"/>
  <c r="M1520" i="3"/>
  <c r="M1552" i="3"/>
  <c r="M1584" i="3"/>
  <c r="M1616" i="3"/>
  <c r="M1648" i="3"/>
  <c r="M1680" i="3"/>
  <c r="M1712" i="3"/>
  <c r="M1744" i="3"/>
  <c r="M1776" i="3"/>
  <c r="M1808" i="3"/>
  <c r="M1840" i="3"/>
  <c r="M1872" i="3"/>
  <c r="M1904" i="3"/>
  <c r="M1936" i="3"/>
  <c r="M1968" i="3"/>
  <c r="M2000" i="3"/>
  <c r="M681" i="3"/>
  <c r="M809" i="3"/>
  <c r="M929" i="3"/>
  <c r="M1053" i="3"/>
  <c r="M1177" i="3"/>
  <c r="M1293" i="3"/>
  <c r="M1421" i="3"/>
  <c r="M1549" i="3"/>
  <c r="M1669" i="3"/>
  <c r="M1793" i="3"/>
  <c r="M1917" i="3"/>
  <c r="M682" i="3"/>
  <c r="M714" i="3"/>
  <c r="M746" i="3"/>
  <c r="M778" i="3"/>
  <c r="M810" i="3"/>
  <c r="M842" i="3"/>
  <c r="M874" i="3"/>
  <c r="M906" i="3"/>
  <c r="M938" i="3"/>
  <c r="M970" i="3"/>
  <c r="M1002" i="3"/>
  <c r="M1034" i="3"/>
  <c r="M1066" i="3"/>
  <c r="M1098" i="3"/>
  <c r="M1130" i="3"/>
  <c r="M1162" i="3"/>
  <c r="M1194" i="3"/>
  <c r="M1226" i="3"/>
  <c r="M1258" i="3"/>
  <c r="M1290" i="3"/>
  <c r="M1314" i="3"/>
  <c r="M1346" i="3"/>
  <c r="M1378" i="3"/>
  <c r="M1410" i="3"/>
  <c r="M1442" i="3"/>
  <c r="M1474" i="3"/>
  <c r="M1506" i="3"/>
  <c r="M1538" i="3"/>
  <c r="M1570" i="3"/>
  <c r="M1602" i="3"/>
  <c r="M1634" i="3"/>
  <c r="M1666" i="3"/>
  <c r="M1706" i="3"/>
  <c r="M1738" i="3"/>
  <c r="M1770" i="3"/>
  <c r="M1794" i="3"/>
  <c r="M1810" i="3"/>
  <c r="M1834" i="3"/>
  <c r="M1850" i="3"/>
  <c r="M1866" i="3"/>
  <c r="M1882" i="3"/>
  <c r="M1898" i="3"/>
  <c r="M1914" i="3"/>
  <c r="M1930" i="3"/>
  <c r="M1946" i="3"/>
  <c r="M1962" i="3"/>
  <c r="M1978" i="3"/>
  <c r="M1994" i="3"/>
  <c r="M383" i="3"/>
  <c r="M399" i="3"/>
  <c r="M655" i="3"/>
  <c r="M671" i="3"/>
  <c r="M687" i="3"/>
  <c r="M703" i="3"/>
  <c r="M719" i="3"/>
  <c r="M735" i="3"/>
  <c r="M751" i="3"/>
  <c r="M767" i="3"/>
  <c r="M783" i="3"/>
  <c r="M799" i="3"/>
  <c r="M815" i="3"/>
  <c r="M831" i="3"/>
  <c r="M847" i="3"/>
  <c r="M863" i="3"/>
  <c r="M879" i="3"/>
  <c r="M895" i="3"/>
  <c r="M911" i="3"/>
  <c r="M927" i="3"/>
  <c r="M943" i="3"/>
  <c r="M959" i="3"/>
  <c r="M975" i="3"/>
  <c r="M991" i="3"/>
  <c r="M1043" i="3"/>
  <c r="M1119" i="3"/>
  <c r="M1171" i="3"/>
  <c r="M720" i="3"/>
  <c r="M892" i="3"/>
  <c r="M406" i="3"/>
  <c r="D12" i="42" s="1"/>
  <c r="M674" i="3"/>
  <c r="M706" i="3"/>
  <c r="M738" i="3"/>
  <c r="M770" i="3"/>
  <c r="M802" i="3"/>
  <c r="M834" i="3"/>
  <c r="M866" i="3"/>
  <c r="M1875" i="3"/>
  <c r="M1939" i="3"/>
  <c r="M816" i="3"/>
  <c r="M673" i="3"/>
  <c r="M797" i="3"/>
  <c r="M933" i="3"/>
  <c r="M402" i="3"/>
  <c r="M1023" i="3"/>
  <c r="M1075" i="3"/>
  <c r="M1151" i="3"/>
  <c r="M1203" i="3"/>
  <c r="M1271" i="3"/>
  <c r="M1303" i="3"/>
  <c r="M1335" i="3"/>
  <c r="M1399" i="3"/>
  <c r="M1431" i="3"/>
  <c r="M1463" i="3"/>
  <c r="M1495" i="3"/>
  <c r="M1527" i="3"/>
  <c r="M1559" i="3"/>
  <c r="M1591" i="3"/>
  <c r="M1623" i="3"/>
  <c r="M1655" i="3"/>
  <c r="M1687" i="3"/>
  <c r="M1719" i="3"/>
  <c r="M1751" i="3"/>
  <c r="M1783" i="3"/>
  <c r="M1815" i="3"/>
  <c r="M1847" i="3"/>
  <c r="M1879" i="3"/>
  <c r="M1911" i="3"/>
  <c r="M1943" i="3"/>
  <c r="M1975" i="3"/>
  <c r="M848" i="3"/>
  <c r="M658" i="3"/>
  <c r="M1795" i="3"/>
  <c r="M1859" i="3"/>
  <c r="M1923" i="3"/>
  <c r="M944" i="3"/>
  <c r="M976" i="3"/>
  <c r="M1008" i="3"/>
  <c r="M1040" i="3"/>
  <c r="M1072" i="3"/>
  <c r="M1184" i="3"/>
  <c r="M1216" i="3"/>
  <c r="M1248" i="3"/>
  <c r="M1280" i="3"/>
  <c r="M1312" i="3"/>
  <c r="M1344" i="3"/>
  <c r="M1376" i="3"/>
  <c r="M1408" i="3"/>
  <c r="M1440" i="3"/>
  <c r="M1472" i="3"/>
  <c r="M1504" i="3"/>
  <c r="M1536" i="3"/>
  <c r="M1568" i="3"/>
  <c r="M1600" i="3"/>
  <c r="M1632" i="3"/>
  <c r="M1664" i="3"/>
  <c r="M1696" i="3"/>
  <c r="M1728" i="3"/>
  <c r="M1760" i="3"/>
  <c r="M1792" i="3"/>
  <c r="M1824" i="3"/>
  <c r="M1856" i="3"/>
  <c r="M1888" i="3"/>
  <c r="M1920" i="3"/>
  <c r="M1952" i="3"/>
  <c r="M1984" i="3"/>
  <c r="M745" i="3"/>
  <c r="M877" i="3"/>
  <c r="M989" i="3"/>
  <c r="M1113" i="3"/>
  <c r="M1237" i="3"/>
  <c r="M1357" i="3"/>
  <c r="M1485" i="3"/>
  <c r="M1609" i="3"/>
  <c r="M1729" i="3"/>
  <c r="M1857" i="3"/>
  <c r="M1977" i="3"/>
  <c r="M398" i="3"/>
  <c r="M666" i="3"/>
  <c r="M698" i="3"/>
  <c r="M730" i="3"/>
  <c r="M762" i="3"/>
  <c r="M794" i="3"/>
  <c r="M826" i="3"/>
  <c r="M858" i="3"/>
  <c r="M890" i="3"/>
  <c r="M922" i="3"/>
  <c r="M954" i="3"/>
  <c r="M986" i="3"/>
  <c r="M1018" i="3"/>
  <c r="M1050" i="3"/>
  <c r="M1082" i="3"/>
  <c r="M1114" i="3"/>
  <c r="M1146" i="3"/>
  <c r="M1178" i="3"/>
  <c r="M1210" i="3"/>
  <c r="M1242" i="3"/>
  <c r="M1274" i="3"/>
  <c r="M1298" i="3"/>
  <c r="M1330" i="3"/>
  <c r="M1362" i="3"/>
  <c r="M1394" i="3"/>
  <c r="M1426" i="3"/>
  <c r="M1458" i="3"/>
  <c r="M1490" i="3"/>
  <c r="M1522" i="3"/>
  <c r="M1554" i="3"/>
  <c r="M1586" i="3"/>
  <c r="M1618" i="3"/>
  <c r="M1650" i="3"/>
  <c r="M1682" i="3"/>
  <c r="M1722" i="3"/>
  <c r="M1754" i="3"/>
  <c r="M1786" i="3"/>
  <c r="M1802" i="3"/>
  <c r="M1826" i="3"/>
  <c r="M1842" i="3"/>
  <c r="M1858" i="3"/>
  <c r="M1874" i="3"/>
  <c r="M1890" i="3"/>
  <c r="M1906" i="3"/>
  <c r="M1922" i="3"/>
  <c r="M1938" i="3"/>
  <c r="M1954" i="3"/>
  <c r="M1986" i="3"/>
  <c r="M391" i="3"/>
  <c r="M407" i="3"/>
  <c r="M663" i="3"/>
  <c r="M679" i="3"/>
  <c r="M695" i="3"/>
  <c r="M711" i="3"/>
  <c r="M727" i="3"/>
  <c r="M743" i="3"/>
  <c r="M759" i="3"/>
  <c r="M775" i="3"/>
  <c r="M791" i="3"/>
  <c r="M807" i="3"/>
  <c r="M823" i="3"/>
  <c r="M839" i="3"/>
  <c r="M871" i="3"/>
  <c r="M887" i="3"/>
  <c r="M903" i="3"/>
  <c r="M919" i="3"/>
  <c r="M935" i="3"/>
  <c r="M951" i="3"/>
  <c r="M967" i="3"/>
  <c r="M1055" i="3"/>
  <c r="M1107" i="3"/>
  <c r="M1183" i="3"/>
  <c r="M1239" i="3"/>
  <c r="M1367" i="3"/>
  <c r="M690" i="3"/>
  <c r="M722" i="3"/>
  <c r="M754" i="3"/>
  <c r="M786" i="3"/>
  <c r="M818" i="3"/>
  <c r="M1907" i="3"/>
  <c r="M732" i="3"/>
  <c r="M733" i="3"/>
  <c r="M865" i="3"/>
  <c r="M997" i="3"/>
  <c r="M386" i="3"/>
  <c r="M1970" i="3"/>
  <c r="M2002" i="3"/>
  <c r="M855" i="3"/>
  <c r="M983" i="3"/>
  <c r="M1011" i="3"/>
  <c r="M1087" i="3"/>
  <c r="M1139" i="3"/>
  <c r="M1215" i="3"/>
  <c r="M1255" i="3"/>
  <c r="M1287" i="3"/>
  <c r="M1319" i="3"/>
  <c r="M1351" i="3"/>
  <c r="M1383" i="3"/>
  <c r="M1415" i="3"/>
  <c r="M1447" i="3"/>
  <c r="M1479" i="3"/>
  <c r="M1511" i="3"/>
  <c r="M1543" i="3"/>
  <c r="M1575" i="3"/>
  <c r="M1607" i="3"/>
  <c r="M1639" i="3"/>
  <c r="M1671" i="3"/>
  <c r="M1703" i="3"/>
  <c r="M1735" i="3"/>
  <c r="M1767" i="3"/>
  <c r="M1799" i="3"/>
  <c r="M1831" i="3"/>
  <c r="M1863" i="3"/>
  <c r="M1895" i="3"/>
  <c r="M1927" i="3"/>
  <c r="M1959" i="3"/>
  <c r="M1991" i="3"/>
  <c r="M764" i="3"/>
  <c r="M394" i="3"/>
  <c r="M882" i="3"/>
  <c r="M1003" i="3"/>
  <c r="M1079" i="3"/>
  <c r="M1131" i="3"/>
  <c r="M1207" i="3"/>
  <c r="M1275" i="3"/>
  <c r="M1339" i="3"/>
  <c r="M1403" i="3"/>
  <c r="M1467" i="3"/>
  <c r="M1531" i="3"/>
  <c r="M1595" i="3"/>
  <c r="M1659" i="3"/>
  <c r="M1723" i="3"/>
  <c r="M1787" i="3"/>
  <c r="M1851" i="3"/>
  <c r="M1915" i="3"/>
  <c r="M752" i="3"/>
  <c r="M924" i="3"/>
  <c r="M728" i="3"/>
  <c r="M772" i="3"/>
  <c r="M856" i="3"/>
  <c r="M900" i="3"/>
  <c r="M956" i="3"/>
  <c r="M1020" i="3"/>
  <c r="M1084" i="3"/>
  <c r="M1148" i="3"/>
  <c r="M680" i="3"/>
  <c r="M724" i="3"/>
  <c r="M808" i="3"/>
  <c r="M852" i="3"/>
  <c r="M936" i="3"/>
  <c r="M996" i="3"/>
  <c r="M1060" i="3"/>
  <c r="M1124" i="3"/>
  <c r="M1963" i="3"/>
  <c r="M1995" i="3"/>
  <c r="M384" i="3"/>
  <c r="M684" i="3"/>
  <c r="M768" i="3"/>
  <c r="M812" i="3"/>
  <c r="M896" i="3"/>
  <c r="M940" i="3"/>
  <c r="M968" i="3"/>
  <c r="M1000" i="3"/>
  <c r="M1032" i="3"/>
  <c r="M1064" i="3"/>
  <c r="M1196" i="3"/>
  <c r="M1260" i="3"/>
  <c r="M1324" i="3"/>
  <c r="M1388" i="3"/>
  <c r="M1452" i="3"/>
  <c r="M1516" i="3"/>
  <c r="M1580" i="3"/>
  <c r="M1644" i="3"/>
  <c r="M1708" i="3"/>
  <c r="M1772" i="3"/>
  <c r="M1836" i="3"/>
  <c r="M1900" i="3"/>
  <c r="M1964" i="3"/>
  <c r="M861" i="3"/>
  <c r="M1037" i="3"/>
  <c r="M1221" i="3"/>
  <c r="M1469" i="3"/>
  <c r="M1653" i="3"/>
  <c r="M1841" i="3"/>
  <c r="M781" i="3"/>
  <c r="M981" i="3"/>
  <c r="M1229" i="3"/>
  <c r="M1489" i="3"/>
  <c r="M1689" i="3"/>
  <c r="M889" i="3"/>
  <c r="M1077" i="3"/>
  <c r="M1273" i="3"/>
  <c r="M1529" i="3"/>
  <c r="M1789" i="3"/>
  <c r="M930" i="3"/>
  <c r="M962" i="3"/>
  <c r="M994" i="3"/>
  <c r="M1026" i="3"/>
  <c r="M1058" i="3"/>
  <c r="M1090" i="3"/>
  <c r="M1122" i="3"/>
  <c r="M1154" i="3"/>
  <c r="M1186" i="3"/>
  <c r="M1218" i="3"/>
  <c r="M1250" i="3"/>
  <c r="M1282" i="3"/>
  <c r="M1322" i="3"/>
  <c r="M1354" i="3"/>
  <c r="M1386" i="3"/>
  <c r="M1418" i="3"/>
  <c r="M1450" i="3"/>
  <c r="M1482" i="3"/>
  <c r="M1514" i="3"/>
  <c r="M1546" i="3"/>
  <c r="M1578" i="3"/>
  <c r="M1610" i="3"/>
  <c r="M1642" i="3"/>
  <c r="M1674" i="3"/>
  <c r="M1698" i="3"/>
  <c r="M1730" i="3"/>
  <c r="M1762" i="3"/>
  <c r="M1818" i="3"/>
  <c r="M1035" i="3"/>
  <c r="M1163" i="3"/>
  <c r="M1259" i="3"/>
  <c r="M1323" i="3"/>
  <c r="M1387" i="3"/>
  <c r="M1451" i="3"/>
  <c r="M1515" i="3"/>
  <c r="M1579" i="3"/>
  <c r="M1643" i="3"/>
  <c r="M1707" i="3"/>
  <c r="M1771" i="3"/>
  <c r="M1835" i="3"/>
  <c r="M1899" i="3"/>
  <c r="M880" i="3"/>
  <c r="M388" i="3"/>
  <c r="M676" i="3"/>
  <c r="M760" i="3"/>
  <c r="M804" i="3"/>
  <c r="M888" i="3"/>
  <c r="M932" i="3"/>
  <c r="M1004" i="3"/>
  <c r="M1068" i="3"/>
  <c r="M1132" i="3"/>
  <c r="M1057" i="3"/>
  <c r="M1185" i="3"/>
  <c r="M1313" i="3"/>
  <c r="M1441" i="3"/>
  <c r="M1573" i="3"/>
  <c r="M1705" i="3"/>
  <c r="M1833" i="3"/>
  <c r="M712" i="3"/>
  <c r="M756" i="3"/>
  <c r="M840" i="3"/>
  <c r="M884" i="3"/>
  <c r="M980" i="3"/>
  <c r="M1044" i="3"/>
  <c r="M1108" i="3"/>
  <c r="M1172" i="3"/>
  <c r="M1987" i="3"/>
  <c r="M672" i="3"/>
  <c r="M716" i="3"/>
  <c r="M800" i="3"/>
  <c r="M844" i="3"/>
  <c r="M928" i="3"/>
  <c r="M1180" i="3"/>
  <c r="M1244" i="3"/>
  <c r="M1308" i="3"/>
  <c r="M1372" i="3"/>
  <c r="M1436" i="3"/>
  <c r="M1500" i="3"/>
  <c r="M1564" i="3"/>
  <c r="M1628" i="3"/>
  <c r="M1692" i="3"/>
  <c r="M1756" i="3"/>
  <c r="M1820" i="3"/>
  <c r="M1884" i="3"/>
  <c r="M1948" i="3"/>
  <c r="M793" i="3"/>
  <c r="M973" i="3"/>
  <c r="M1405" i="3"/>
  <c r="M1777" i="3"/>
  <c r="M717" i="3"/>
  <c r="M1169" i="3"/>
  <c r="M1425" i="3"/>
  <c r="M1621" i="3"/>
  <c r="M1881" i="3"/>
  <c r="M829" i="3"/>
  <c r="M1209" i="3"/>
  <c r="M1465" i="3"/>
  <c r="M850" i="3"/>
  <c r="M898" i="3"/>
  <c r="M1015" i="3"/>
  <c r="M1067" i="3"/>
  <c r="M1111" i="3"/>
  <c r="M1143" i="3"/>
  <c r="M1195" i="3"/>
  <c r="M1243" i="3"/>
  <c r="M1307" i="3"/>
  <c r="M1371" i="3"/>
  <c r="M1435" i="3"/>
  <c r="M1499" i="3"/>
  <c r="M1563" i="3"/>
  <c r="M1627" i="3"/>
  <c r="M1691" i="3"/>
  <c r="M1755" i="3"/>
  <c r="M1819" i="3"/>
  <c r="M1883" i="3"/>
  <c r="M1947" i="3"/>
  <c r="M668" i="3"/>
  <c r="M664" i="3"/>
  <c r="M708" i="3"/>
  <c r="M792" i="3"/>
  <c r="M836" i="3"/>
  <c r="M920" i="3"/>
  <c r="M988" i="3"/>
  <c r="M1052" i="3"/>
  <c r="M1116" i="3"/>
  <c r="M404" i="3"/>
  <c r="D10" i="42" s="1"/>
  <c r="M660" i="3"/>
  <c r="M744" i="3"/>
  <c r="M788" i="3"/>
  <c r="M872" i="3"/>
  <c r="M916" i="3"/>
  <c r="M964" i="3"/>
  <c r="M1028" i="3"/>
  <c r="M1092" i="3"/>
  <c r="M1156" i="3"/>
  <c r="M1979" i="3"/>
  <c r="M704" i="3"/>
  <c r="M748" i="3"/>
  <c r="M832" i="3"/>
  <c r="M876" i="3"/>
  <c r="M952" i="3"/>
  <c r="M984" i="3"/>
  <c r="M1016" i="3"/>
  <c r="M1048" i="3"/>
  <c r="M1080" i="3"/>
  <c r="M1228" i="3"/>
  <c r="M1292" i="3"/>
  <c r="M1356" i="3"/>
  <c r="M1420" i="3"/>
  <c r="M1484" i="3"/>
  <c r="M1548" i="3"/>
  <c r="M1612" i="3"/>
  <c r="M1676" i="3"/>
  <c r="M1740" i="3"/>
  <c r="M1804" i="3"/>
  <c r="M1868" i="3"/>
  <c r="M1932" i="3"/>
  <c r="M1996" i="3"/>
  <c r="M729" i="3"/>
  <c r="M917" i="3"/>
  <c r="M1161" i="3"/>
  <c r="M1341" i="3"/>
  <c r="M1593" i="3"/>
  <c r="M1717" i="3"/>
  <c r="M1965" i="3"/>
  <c r="M657" i="3"/>
  <c r="M913" i="3"/>
  <c r="M1105" i="3"/>
  <c r="M1361" i="3"/>
  <c r="M1817" i="3"/>
  <c r="M393" i="3"/>
  <c r="M769" i="3"/>
  <c r="M914" i="3"/>
  <c r="M946" i="3"/>
  <c r="M978" i="3"/>
  <c r="M1010" i="3"/>
  <c r="M1042" i="3"/>
  <c r="M1074" i="3"/>
  <c r="M1106" i="3"/>
  <c r="M1138" i="3"/>
  <c r="M1170" i="3"/>
  <c r="M1202" i="3"/>
  <c r="M1234" i="3"/>
  <c r="M1266" i="3"/>
  <c r="M1306" i="3"/>
  <c r="M1338" i="3"/>
  <c r="M1370" i="3"/>
  <c r="M1402" i="3"/>
  <c r="M1434" i="3"/>
  <c r="M1466" i="3"/>
  <c r="M1498" i="3"/>
  <c r="M1530" i="3"/>
  <c r="M1562" i="3"/>
  <c r="M1594" i="3"/>
  <c r="M1626" i="3"/>
  <c r="M1658" i="3"/>
  <c r="M1690" i="3"/>
  <c r="M1714" i="3"/>
  <c r="M1746" i="3"/>
  <c r="M1778" i="3"/>
  <c r="M1047" i="3"/>
  <c r="M1099" i="3"/>
  <c r="M1175" i="3"/>
  <c r="M1227" i="3"/>
  <c r="M1291" i="3"/>
  <c r="M1355" i="3"/>
  <c r="M1419" i="3"/>
  <c r="M1483" i="3"/>
  <c r="M1547" i="3"/>
  <c r="M1611" i="3"/>
  <c r="M1675" i="3"/>
  <c r="M1739" i="3"/>
  <c r="M1803" i="3"/>
  <c r="M1867" i="3"/>
  <c r="M1931" i="3"/>
  <c r="M796" i="3"/>
  <c r="M408" i="3"/>
  <c r="M696" i="3"/>
  <c r="M740" i="3"/>
  <c r="M824" i="3"/>
  <c r="M868" i="3"/>
  <c r="M972" i="3"/>
  <c r="M1036" i="3"/>
  <c r="M1100" i="3"/>
  <c r="M1164" i="3"/>
  <c r="M1121" i="3"/>
  <c r="M1245" i="3"/>
  <c r="M1377" i="3"/>
  <c r="M1505" i="3"/>
  <c r="M1641" i="3"/>
  <c r="M1765" i="3"/>
  <c r="M392" i="3"/>
  <c r="M692" i="3"/>
  <c r="M776" i="3"/>
  <c r="M820" i="3"/>
  <c r="M904" i="3"/>
  <c r="M948" i="3"/>
  <c r="M1012" i="3"/>
  <c r="M1076" i="3"/>
  <c r="M1140" i="3"/>
  <c r="M1971" i="3"/>
  <c r="M396" i="3"/>
  <c r="M736" i="3"/>
  <c r="M780" i="3"/>
  <c r="M864" i="3"/>
  <c r="M908" i="3"/>
  <c r="M1212" i="3"/>
  <c r="M1276" i="3"/>
  <c r="M1340" i="3"/>
  <c r="M1404" i="3"/>
  <c r="M1468" i="3"/>
  <c r="M1532" i="3"/>
  <c r="M1596" i="3"/>
  <c r="M1660" i="3"/>
  <c r="M1724" i="3"/>
  <c r="M1788" i="3"/>
  <c r="M1852" i="3"/>
  <c r="M1916" i="3"/>
  <c r="M1980" i="3"/>
  <c r="M665" i="3"/>
  <c r="M1097" i="3"/>
  <c r="M1277" i="3"/>
  <c r="M1533" i="3"/>
  <c r="M1901" i="3"/>
  <c r="M405" i="3"/>
  <c r="D11" i="42" s="1"/>
  <c r="M849" i="3"/>
  <c r="M1041" i="3"/>
  <c r="M1297" i="3"/>
  <c r="M1553" i="3"/>
  <c r="M1753" i="3"/>
  <c r="M1941" i="3"/>
  <c r="M709" i="3"/>
  <c r="M953" i="3"/>
  <c r="M1337" i="3"/>
  <c r="M1141" i="3"/>
  <c r="M1725" i="3"/>
  <c r="M1921" i="3"/>
  <c r="M773" i="3"/>
  <c r="M901" i="3"/>
  <c r="M1117" i="3"/>
  <c r="M1317" i="3"/>
  <c r="M1445" i="3"/>
  <c r="M1633" i="3"/>
  <c r="M1897" i="3"/>
  <c r="M1188" i="3"/>
  <c r="M1252" i="3"/>
  <c r="M1316" i="3"/>
  <c r="M1380" i="3"/>
  <c r="M1444" i="3"/>
  <c r="M1508" i="3"/>
  <c r="M1572" i="3"/>
  <c r="M1636" i="3"/>
  <c r="M1700" i="3"/>
  <c r="M1764" i="3"/>
  <c r="M1828" i="3"/>
  <c r="M1892" i="3"/>
  <c r="M1956" i="3"/>
  <c r="M825" i="3"/>
  <c r="M1069" i="3"/>
  <c r="M1253" i="3"/>
  <c r="M1501" i="3"/>
  <c r="M1685" i="3"/>
  <c r="M1933" i="3"/>
  <c r="M881" i="3"/>
  <c r="M1013" i="3"/>
  <c r="M1457" i="3"/>
  <c r="M1657" i="3"/>
  <c r="M1849" i="3"/>
  <c r="M801" i="3"/>
  <c r="M1049" i="3"/>
  <c r="M1173" i="3"/>
  <c r="M1433" i="3"/>
  <c r="M1693" i="3"/>
  <c r="M1953" i="3"/>
  <c r="M401" i="3"/>
  <c r="M941" i="3"/>
  <c r="M1217" i="3"/>
  <c r="M1349" i="3"/>
  <c r="M1477" i="3"/>
  <c r="M1665" i="3"/>
  <c r="M1096" i="3"/>
  <c r="M1112" i="3"/>
  <c r="M1128" i="3"/>
  <c r="M1144" i="3"/>
  <c r="M1160" i="3"/>
  <c r="M1176" i="3"/>
  <c r="M1208" i="3"/>
  <c r="M1240" i="3"/>
  <c r="M1272" i="3"/>
  <c r="M1304" i="3"/>
  <c r="M1336" i="3"/>
  <c r="M1368" i="3"/>
  <c r="M1400" i="3"/>
  <c r="M1432" i="3"/>
  <c r="M1464" i="3"/>
  <c r="M1496" i="3"/>
  <c r="M1528" i="3"/>
  <c r="M1560" i="3"/>
  <c r="M1592" i="3"/>
  <c r="M1624" i="3"/>
  <c r="M1656" i="3"/>
  <c r="M1688" i="3"/>
  <c r="M1720" i="3"/>
  <c r="M1752" i="3"/>
  <c r="M1784" i="3"/>
  <c r="M1816" i="3"/>
  <c r="M1848" i="3"/>
  <c r="M1880" i="3"/>
  <c r="M1912" i="3"/>
  <c r="M1944" i="3"/>
  <c r="M1976" i="3"/>
  <c r="M765" i="3"/>
  <c r="M897" i="3"/>
  <c r="M1025" i="3"/>
  <c r="M1153" i="3"/>
  <c r="M1281" i="3"/>
  <c r="M1409" i="3"/>
  <c r="M1537" i="3"/>
  <c r="M1673" i="3"/>
  <c r="M1801" i="3"/>
  <c r="M1929" i="3"/>
  <c r="M689" i="3"/>
  <c r="M821" i="3"/>
  <c r="M957" i="3"/>
  <c r="M1101" i="3"/>
  <c r="M1233" i="3"/>
  <c r="M1365" i="3"/>
  <c r="M1493" i="3"/>
  <c r="M1617" i="3"/>
  <c r="M1749" i="3"/>
  <c r="M1813" i="3"/>
  <c r="M1877" i="3"/>
  <c r="M1945" i="3"/>
  <c r="M1797" i="3"/>
  <c r="M1861" i="3"/>
  <c r="M1925" i="3"/>
  <c r="M1661" i="3"/>
  <c r="M1853" i="3"/>
  <c r="M1045" i="3"/>
  <c r="M1569" i="3"/>
  <c r="M725" i="3"/>
  <c r="M845" i="3"/>
  <c r="M969" i="3"/>
  <c r="M1093" i="3"/>
  <c r="M1225" i="3"/>
  <c r="M1353" i="3"/>
  <c r="M1481" i="3"/>
  <c r="M1613" i="3"/>
  <c r="M1741" i="3"/>
  <c r="M1873" i="3"/>
  <c r="M2001" i="3"/>
  <c r="M789" i="3"/>
  <c r="M925" i="3"/>
  <c r="M1065" i="3"/>
  <c r="M1201" i="3"/>
  <c r="M1333" i="3"/>
  <c r="M1461" i="3"/>
  <c r="M1585" i="3"/>
  <c r="M1713" i="3"/>
  <c r="M1236" i="3"/>
  <c r="M1300" i="3"/>
  <c r="M1364" i="3"/>
  <c r="M1428" i="3"/>
  <c r="M1492" i="3"/>
  <c r="M1556" i="3"/>
  <c r="M1620" i="3"/>
  <c r="M1684" i="3"/>
  <c r="M1748" i="3"/>
  <c r="M1812" i="3"/>
  <c r="M1876" i="3"/>
  <c r="M1940" i="3"/>
  <c r="M761" i="3"/>
  <c r="M1005" i="3"/>
  <c r="M1437" i="3"/>
  <c r="M1869" i="3"/>
  <c r="M813" i="3"/>
  <c r="M1197" i="3"/>
  <c r="M1393" i="3"/>
  <c r="M1589" i="3"/>
  <c r="M1781" i="3"/>
  <c r="M1973" i="3"/>
  <c r="M741" i="3"/>
  <c r="M985" i="3"/>
  <c r="M1369" i="3"/>
  <c r="M1629" i="3"/>
  <c r="M1889" i="3"/>
  <c r="M737" i="3"/>
  <c r="M869" i="3"/>
  <c r="M1149" i="3"/>
  <c r="M1601" i="3"/>
  <c r="M713" i="3"/>
  <c r="M841" i="3"/>
  <c r="M961" i="3"/>
  <c r="M1085" i="3"/>
  <c r="M1205" i="3"/>
  <c r="M1325" i="3"/>
  <c r="M1453" i="3"/>
  <c r="M1577" i="3"/>
  <c r="M1701" i="3"/>
  <c r="M1825" i="3"/>
  <c r="M1949" i="3"/>
  <c r="M389" i="3"/>
  <c r="M753" i="3"/>
  <c r="M873" i="3"/>
  <c r="M1001" i="3"/>
  <c r="M1125" i="3"/>
  <c r="M1257" i="3"/>
  <c r="M1385" i="3"/>
  <c r="M1513" i="3"/>
  <c r="M1645" i="3"/>
  <c r="M1773" i="3"/>
  <c r="M1905" i="3"/>
  <c r="M1401" i="3"/>
  <c r="M705" i="3"/>
  <c r="M837" i="3"/>
  <c r="M1249" i="3"/>
  <c r="M1381" i="3"/>
  <c r="M1509" i="3"/>
  <c r="M1769" i="3"/>
  <c r="M1957" i="3"/>
  <c r="M385" i="3"/>
  <c r="M1220" i="3"/>
  <c r="M1284" i="3"/>
  <c r="M1348" i="3"/>
  <c r="M1412" i="3"/>
  <c r="M1476" i="3"/>
  <c r="M1540" i="3"/>
  <c r="M1604" i="3"/>
  <c r="M1668" i="3"/>
  <c r="M1732" i="3"/>
  <c r="M1796" i="3"/>
  <c r="M1860" i="3"/>
  <c r="M1924" i="3"/>
  <c r="M1988" i="3"/>
  <c r="M697" i="3"/>
  <c r="M945" i="3"/>
  <c r="M1193" i="3"/>
  <c r="M1373" i="3"/>
  <c r="M1625" i="3"/>
  <c r="M1809" i="3"/>
  <c r="M749" i="3"/>
  <c r="M949" i="3"/>
  <c r="M1137" i="3"/>
  <c r="M1329" i="3"/>
  <c r="M921" i="3"/>
  <c r="M1109" i="3"/>
  <c r="M1305" i="3"/>
  <c r="M1565" i="3"/>
  <c r="M1821" i="3"/>
  <c r="M669" i="3"/>
  <c r="M1081" i="3"/>
  <c r="M1285" i="3"/>
  <c r="M1413" i="3"/>
  <c r="M1541" i="3"/>
  <c r="M1733" i="3"/>
  <c r="M1104" i="3"/>
  <c r="M1120" i="3"/>
  <c r="M1136" i="3"/>
  <c r="M1152" i="3"/>
  <c r="M1168" i="3"/>
  <c r="M1192" i="3"/>
  <c r="M1224" i="3"/>
  <c r="M1256" i="3"/>
  <c r="M1288" i="3"/>
  <c r="M1320" i="3"/>
  <c r="M1352" i="3"/>
  <c r="M1384" i="3"/>
  <c r="M1416" i="3"/>
  <c r="M1448" i="3"/>
  <c r="M1480" i="3"/>
  <c r="M1512" i="3"/>
  <c r="M1544" i="3"/>
  <c r="M1576" i="3"/>
  <c r="M1608" i="3"/>
  <c r="M1640" i="3"/>
  <c r="M1672" i="3"/>
  <c r="M1704" i="3"/>
  <c r="M1736" i="3"/>
  <c r="M1768" i="3"/>
  <c r="M1800" i="3"/>
  <c r="M1832" i="3"/>
  <c r="M1864" i="3"/>
  <c r="M1896" i="3"/>
  <c r="M1928" i="3"/>
  <c r="M1960" i="3"/>
  <c r="M1992" i="3"/>
  <c r="M701" i="3"/>
  <c r="M833" i="3"/>
  <c r="M965" i="3"/>
  <c r="M1089" i="3"/>
  <c r="M1213" i="3"/>
  <c r="M1345" i="3"/>
  <c r="M1473" i="3"/>
  <c r="M1605" i="3"/>
  <c r="M1737" i="3"/>
  <c r="M1865" i="3"/>
  <c r="M1989" i="3"/>
  <c r="M757" i="3"/>
  <c r="M885" i="3"/>
  <c r="M1029" i="3"/>
  <c r="M1165" i="3"/>
  <c r="M1301" i="3"/>
  <c r="M1429" i="3"/>
  <c r="M1557" i="3"/>
  <c r="M1681" i="3"/>
  <c r="M1785" i="3"/>
  <c r="M1845" i="3"/>
  <c r="M1909" i="3"/>
  <c r="M1981" i="3"/>
  <c r="M1829" i="3"/>
  <c r="M1893" i="3"/>
  <c r="M1997" i="3"/>
  <c r="M1017" i="3"/>
  <c r="M1597" i="3"/>
  <c r="M1985" i="3"/>
  <c r="M977" i="3"/>
  <c r="M1181" i="3"/>
  <c r="M1697" i="3"/>
  <c r="M661" i="3"/>
  <c r="M785" i="3"/>
  <c r="M905" i="3"/>
  <c r="M1033" i="3"/>
  <c r="M1157" i="3"/>
  <c r="M1289" i="3"/>
  <c r="M1417" i="3"/>
  <c r="M1545" i="3"/>
  <c r="M1677" i="3"/>
  <c r="M1805" i="3"/>
  <c r="M1937" i="3"/>
  <c r="M721" i="3"/>
  <c r="M853" i="3"/>
  <c r="M993" i="3"/>
  <c r="M1133" i="3"/>
  <c r="M1265" i="3"/>
  <c r="M1397" i="3"/>
  <c r="M1525" i="3"/>
  <c r="M1649" i="3"/>
  <c r="M1204" i="3"/>
  <c r="M1268" i="3"/>
  <c r="M1332" i="3"/>
  <c r="M1396" i="3"/>
  <c r="M1460" i="3"/>
  <c r="M1524" i="3"/>
  <c r="M1588" i="3"/>
  <c r="M1652" i="3"/>
  <c r="M1716" i="3"/>
  <c r="M1780" i="3"/>
  <c r="M1844" i="3"/>
  <c r="M1908" i="3"/>
  <c r="M1972" i="3"/>
  <c r="M893" i="3"/>
  <c r="M1129" i="3"/>
  <c r="M1309" i="3"/>
  <c r="M1561" i="3"/>
  <c r="M1745" i="3"/>
  <c r="M1993" i="3"/>
  <c r="M685" i="3"/>
  <c r="M1073" i="3"/>
  <c r="M1269" i="3"/>
  <c r="M1521" i="3"/>
  <c r="M1721" i="3"/>
  <c r="M1913" i="3"/>
  <c r="M677" i="3"/>
  <c r="M857" i="3"/>
  <c r="M1241" i="3"/>
  <c r="M1497" i="3"/>
  <c r="M1757" i="3"/>
  <c r="M805" i="3"/>
  <c r="M1009" i="3"/>
  <c r="M397" i="3"/>
  <c r="M777" i="3"/>
  <c r="M909" i="3"/>
  <c r="M1021" i="3"/>
  <c r="M1145" i="3"/>
  <c r="M1261" i="3"/>
  <c r="M1389" i="3"/>
  <c r="M1517" i="3"/>
  <c r="M1637" i="3"/>
  <c r="M1761" i="3"/>
  <c r="M1885" i="3"/>
  <c r="M693" i="3"/>
  <c r="M817" i="3"/>
  <c r="M937" i="3"/>
  <c r="M1061" i="3"/>
  <c r="M1189" i="3"/>
  <c r="M1321" i="3"/>
  <c r="M1449" i="3"/>
  <c r="M1581" i="3"/>
  <c r="M1709" i="3"/>
  <c r="M1837" i="3"/>
  <c r="M1969" i="3"/>
  <c r="M1961" i="3"/>
  <c r="D33" i="42" l="1"/>
  <c r="D22" i="42"/>
  <c r="D15" i="42"/>
  <c r="D35" i="42"/>
  <c r="D25" i="42"/>
  <c r="D31" i="42"/>
  <c r="D32" i="42"/>
  <c r="D36" i="42"/>
  <c r="D14" i="42"/>
  <c r="D27" i="42"/>
  <c r="D17" i="42"/>
  <c r="D37" i="42"/>
  <c r="D20" i="42"/>
  <c r="D21" i="42"/>
  <c r="D24" i="42"/>
  <c r="D16" i="42"/>
  <c r="D30" i="42"/>
  <c r="D28" i="42"/>
  <c r="D26" i="42"/>
  <c r="D23" i="42"/>
  <c r="D18" i="42"/>
  <c r="D38" i="42"/>
  <c r="D34" i="42"/>
  <c r="D19" i="42"/>
  <c r="D29" i="42"/>
  <c r="P1009" i="3"/>
  <c r="P1844" i="3"/>
  <c r="P1588" i="3"/>
  <c r="P1332" i="3"/>
  <c r="P1265" i="3"/>
  <c r="P1677" i="3"/>
  <c r="P661" i="3"/>
  <c r="P977" i="3"/>
  <c r="P1909" i="3"/>
  <c r="P1557" i="3"/>
  <c r="P1605" i="3"/>
  <c r="P1089" i="3"/>
  <c r="P1992" i="3"/>
  <c r="P1864" i="3"/>
  <c r="P1480" i="3"/>
  <c r="P1352" i="3"/>
  <c r="P1224" i="3"/>
  <c r="P1565" i="3"/>
  <c r="P945" i="3"/>
  <c r="P385" i="3"/>
  <c r="P1957" i="3"/>
  <c r="P1381" i="3"/>
  <c r="P705" i="3"/>
  <c r="P1385" i="3"/>
  <c r="P873" i="3"/>
  <c r="P389" i="3"/>
  <c r="P1577" i="3"/>
  <c r="P1085" i="3"/>
  <c r="P1149" i="3"/>
  <c r="P1629" i="3"/>
  <c r="P1973" i="3"/>
  <c r="P761" i="3"/>
  <c r="P1876" i="3"/>
  <c r="P1620" i="3"/>
  <c r="P1492" i="3"/>
  <c r="P1364" i="3"/>
  <c r="P1236" i="3"/>
  <c r="P1461" i="3"/>
  <c r="P925" i="3"/>
  <c r="P1741" i="3"/>
  <c r="P1225" i="3"/>
  <c r="P725" i="3"/>
  <c r="P1861" i="3"/>
  <c r="P1813" i="3"/>
  <c r="P1537" i="3"/>
  <c r="P1912" i="3"/>
  <c r="P1784" i="3"/>
  <c r="P1656" i="3"/>
  <c r="P1400" i="3"/>
  <c r="P1272" i="3"/>
  <c r="P1217" i="3"/>
  <c r="P401" i="3"/>
  <c r="P1933" i="3"/>
  <c r="P1501" i="3"/>
  <c r="P1828" i="3"/>
  <c r="P1700" i="3"/>
  <c r="P1444" i="3"/>
  <c r="P1316" i="3"/>
  <c r="P1188" i="3"/>
  <c r="P1317" i="3"/>
  <c r="P1725" i="3"/>
  <c r="P1337" i="3"/>
  <c r="P849" i="3"/>
  <c r="P1980" i="3"/>
  <c r="P1852" i="3"/>
  <c r="P1596" i="3"/>
  <c r="P1468" i="3"/>
  <c r="P1340" i="3"/>
  <c r="P1212" i="3"/>
  <c r="P864" i="3"/>
  <c r="P736" i="3"/>
  <c r="P1971" i="3"/>
  <c r="P948" i="3"/>
  <c r="P820" i="3"/>
  <c r="P692" i="3"/>
  <c r="P1245" i="3"/>
  <c r="P1100" i="3"/>
  <c r="P1867" i="3"/>
  <c r="P1739" i="3"/>
  <c r="P1483" i="3"/>
  <c r="P1355" i="3"/>
  <c r="P1227" i="3"/>
  <c r="P1099" i="3"/>
  <c r="P1658" i="3"/>
  <c r="P1530" i="3"/>
  <c r="P1402" i="3"/>
  <c r="P1138" i="3"/>
  <c r="P1010" i="3"/>
  <c r="P1361" i="3"/>
  <c r="P1717" i="3"/>
  <c r="P1161" i="3"/>
  <c r="P729" i="3"/>
  <c r="P1048" i="3"/>
  <c r="P1156" i="3"/>
  <c r="P1143" i="3"/>
  <c r="P1015" i="3"/>
  <c r="P717" i="3"/>
  <c r="P973" i="3"/>
  <c r="P1948" i="3"/>
  <c r="P1820" i="3"/>
  <c r="P1692" i="3"/>
  <c r="P1564" i="3"/>
  <c r="P1308" i="3"/>
  <c r="P1180" i="3"/>
  <c r="P844" i="3"/>
  <c r="P716" i="3"/>
  <c r="P1705" i="3"/>
  <c r="P1642" i="3"/>
  <c r="P1514" i="3"/>
  <c r="P1386" i="3"/>
  <c r="P1122" i="3"/>
  <c r="P994" i="3"/>
  <c r="P1529" i="3"/>
  <c r="P861" i="3"/>
  <c r="P1064" i="3"/>
  <c r="P940" i="3"/>
  <c r="P1084" i="3"/>
  <c r="P956" i="3"/>
  <c r="P1851" i="3"/>
  <c r="P1723" i="3"/>
  <c r="P1595" i="3"/>
  <c r="P1467" i="3"/>
  <c r="P1339" i="3"/>
  <c r="P1079" i="3"/>
  <c r="P1959" i="3"/>
  <c r="P1831" i="3"/>
  <c r="P1575" i="3"/>
  <c r="P1447" i="3"/>
  <c r="P1319" i="3"/>
  <c r="P997" i="3"/>
  <c r="P903" i="3"/>
  <c r="P839" i="3"/>
  <c r="P711" i="3"/>
  <c r="P407" i="3"/>
  <c r="P1842" i="3"/>
  <c r="P1754" i="3"/>
  <c r="P1618" i="3"/>
  <c r="P1490" i="3"/>
  <c r="P1242" i="3"/>
  <c r="P1114" i="3"/>
  <c r="P398" i="3"/>
  <c r="P1485" i="3"/>
  <c r="P1952" i="3"/>
  <c r="P1824" i="3"/>
  <c r="P1696" i="3"/>
  <c r="P1568" i="3"/>
  <c r="P1440" i="3"/>
  <c r="P1312" i="3"/>
  <c r="P976" i="3"/>
  <c r="P1923" i="3"/>
  <c r="P1655" i="3"/>
  <c r="P1527" i="3"/>
  <c r="P1151" i="3"/>
  <c r="P1023" i="3"/>
  <c r="P673" i="3"/>
  <c r="P816" i="3"/>
  <c r="P1171" i="3"/>
  <c r="P1043" i="3"/>
  <c r="P959" i="3"/>
  <c r="P895" i="3"/>
  <c r="P831" i="3"/>
  <c r="P767" i="3"/>
  <c r="P703" i="3"/>
  <c r="P399" i="3"/>
  <c r="P1962" i="3"/>
  <c r="P1738" i="3"/>
  <c r="P1602" i="3"/>
  <c r="P1226" i="3"/>
  <c r="P1098" i="3"/>
  <c r="P970" i="3"/>
  <c r="P842" i="3"/>
  <c r="P714" i="3"/>
  <c r="P1669" i="3"/>
  <c r="P1177" i="3"/>
  <c r="P681" i="3"/>
  <c r="P1776" i="3"/>
  <c r="P1648" i="3"/>
  <c r="P1520" i="3"/>
  <c r="P1392" i="3"/>
  <c r="P1264" i="3"/>
  <c r="P1056" i="3"/>
  <c r="P860" i="3"/>
  <c r="P1699" i="3"/>
  <c r="P1571" i="3"/>
  <c r="P1443" i="3"/>
  <c r="P1315" i="3"/>
  <c r="P1135" i="3"/>
  <c r="P1007" i="3"/>
  <c r="P947" i="3"/>
  <c r="P883" i="3"/>
  <c r="P819" i="3"/>
  <c r="P755" i="3"/>
  <c r="P691" i="3"/>
  <c r="P1998" i="3"/>
  <c r="P1934" i="3"/>
  <c r="P1870" i="3"/>
  <c r="P1806" i="3"/>
  <c r="P1742" i="3"/>
  <c r="P1614" i="3"/>
  <c r="P1550" i="3"/>
  <c r="P1486" i="3"/>
  <c r="P1294" i="3"/>
  <c r="P1230" i="3"/>
  <c r="P1038" i="3"/>
  <c r="P974" i="3"/>
  <c r="P910" i="3"/>
  <c r="P846" i="3"/>
  <c r="P734" i="3"/>
  <c r="P390" i="3"/>
  <c r="P1999" i="3"/>
  <c r="P1871" i="3"/>
  <c r="P1615" i="3"/>
  <c r="P1487" i="3"/>
  <c r="P1359" i="3"/>
  <c r="P1103" i="3"/>
  <c r="P987" i="3"/>
  <c r="P923" i="3"/>
  <c r="P859" i="3"/>
  <c r="P795" i="3"/>
  <c r="P731" i="3"/>
  <c r="P667" i="3"/>
  <c r="P1638" i="3"/>
  <c r="P1574" i="3"/>
  <c r="P1510" i="3"/>
  <c r="P1382" i="3"/>
  <c r="P1667" i="3"/>
  <c r="P1539" i="3"/>
  <c r="P1411" i="3"/>
  <c r="P1283" i="3"/>
  <c r="P1147" i="3"/>
  <c r="P1958" i="3"/>
  <c r="P1894" i="3"/>
  <c r="P1318" i="3"/>
  <c r="P1254" i="3"/>
  <c r="P1126" i="3"/>
  <c r="P1062" i="3"/>
  <c r="P782" i="3"/>
  <c r="P1299" i="3"/>
  <c r="P1191" i="3"/>
  <c r="P1063" i="3"/>
  <c r="P656" i="3"/>
  <c r="P1887" i="3"/>
  <c r="P1759" i="3"/>
  <c r="P1631" i="3"/>
  <c r="P1503" i="3"/>
  <c r="P939" i="3"/>
  <c r="P875" i="3"/>
  <c r="P811" i="3"/>
  <c r="P747" i="3"/>
  <c r="P683" i="3"/>
  <c r="P297" i="3"/>
  <c r="P569" i="3"/>
  <c r="P381" i="3"/>
  <c r="P501" i="3"/>
  <c r="P445" i="3"/>
  <c r="P473" i="3"/>
  <c r="P616" i="3"/>
  <c r="P488" i="3"/>
  <c r="P380" i="3"/>
  <c r="P144" i="3"/>
  <c r="P376" i="3"/>
  <c r="P240" i="3"/>
  <c r="P434" i="3"/>
  <c r="P266" i="3"/>
  <c r="P536" i="3"/>
  <c r="P440" i="3"/>
  <c r="P334" i="3"/>
  <c r="P134" i="3"/>
  <c r="P348" i="3"/>
  <c r="P71" i="3"/>
  <c r="P169" i="3"/>
  <c r="P474" i="3"/>
  <c r="P330" i="3"/>
  <c r="P63" i="3"/>
  <c r="P7" i="3"/>
  <c r="P634" i="3"/>
  <c r="P346" i="3"/>
  <c r="P528" i="3"/>
  <c r="P611" i="3"/>
  <c r="P483" i="3"/>
  <c r="P419" i="3"/>
  <c r="P339" i="3"/>
  <c r="P275" i="3"/>
  <c r="P147" i="3"/>
  <c r="P630" i="3"/>
  <c r="P486" i="3"/>
  <c r="P422" i="3"/>
  <c r="P222" i="3"/>
  <c r="P476" i="3"/>
  <c r="P494" i="3"/>
  <c r="P430" i="3"/>
  <c r="P254" i="3"/>
  <c r="P444" i="3"/>
  <c r="P88" i="3"/>
  <c r="P21" i="3"/>
  <c r="P614" i="3"/>
  <c r="P502" i="3"/>
  <c r="P438" i="3"/>
  <c r="P43" i="3"/>
  <c r="P510" i="3"/>
  <c r="P446" i="3"/>
  <c r="P1021" i="3"/>
  <c r="P1757" i="3"/>
  <c r="P677" i="3"/>
  <c r="P1972" i="3"/>
  <c r="P1460" i="3"/>
  <c r="P721" i="3"/>
  <c r="P1157" i="3"/>
  <c r="P1709" i="3"/>
  <c r="P1189" i="3"/>
  <c r="P1885" i="3"/>
  <c r="P1389" i="3"/>
  <c r="P1913" i="3"/>
  <c r="P1269" i="3"/>
  <c r="P1745" i="3"/>
  <c r="P1309" i="3"/>
  <c r="P1649" i="3"/>
  <c r="P1033" i="3"/>
  <c r="P1597" i="3"/>
  <c r="P1893" i="3"/>
  <c r="P1429" i="3"/>
  <c r="P885" i="3"/>
  <c r="P1989" i="3"/>
  <c r="P1960" i="3"/>
  <c r="P1704" i="3"/>
  <c r="P1576" i="3"/>
  <c r="P1448" i="3"/>
  <c r="P1320" i="3"/>
  <c r="P1192" i="3"/>
  <c r="P1120" i="3"/>
  <c r="P1541" i="3"/>
  <c r="P1137" i="3"/>
  <c r="P1373" i="3"/>
  <c r="P1796" i="3"/>
  <c r="P1668" i="3"/>
  <c r="P1412" i="3"/>
  <c r="P1284" i="3"/>
  <c r="P1769" i="3"/>
  <c r="P1249" i="3"/>
  <c r="P1773" i="3"/>
  <c r="P1257" i="3"/>
  <c r="P753" i="3"/>
  <c r="P1949" i="3"/>
  <c r="P961" i="3"/>
  <c r="P985" i="3"/>
  <c r="P1613" i="3"/>
  <c r="P1093" i="3"/>
  <c r="P1661" i="3"/>
  <c r="P1797" i="3"/>
  <c r="P1929" i="3"/>
  <c r="P1409" i="3"/>
  <c r="P1880" i="3"/>
  <c r="P1752" i="3"/>
  <c r="P1368" i="3"/>
  <c r="P1240" i="3"/>
  <c r="P1433" i="3"/>
  <c r="P881" i="3"/>
  <c r="P773" i="3"/>
  <c r="P709" i="3"/>
  <c r="P1753" i="3"/>
  <c r="P1277" i="3"/>
  <c r="P1641" i="3"/>
  <c r="P1121" i="3"/>
  <c r="P1746" i="3"/>
  <c r="P1626" i="3"/>
  <c r="P1498" i="3"/>
  <c r="P1370" i="3"/>
  <c r="P1234" i="3"/>
  <c r="P1106" i="3"/>
  <c r="P978" i="3"/>
  <c r="P1817" i="3"/>
  <c r="P657" i="3"/>
  <c r="P1593" i="3"/>
  <c r="P1996" i="3"/>
  <c r="P1868" i="3"/>
  <c r="P1740" i="3"/>
  <c r="P1612" i="3"/>
  <c r="P1484" i="3"/>
  <c r="P1356" i="3"/>
  <c r="P1228" i="3"/>
  <c r="P1016" i="3"/>
  <c r="P872" i="3"/>
  <c r="P744" i="3"/>
  <c r="P1116" i="3"/>
  <c r="P988" i="3"/>
  <c r="P836" i="3"/>
  <c r="P708" i="3"/>
  <c r="P1883" i="3"/>
  <c r="P1755" i="3"/>
  <c r="P1627" i="3"/>
  <c r="P1371" i="3"/>
  <c r="P1243" i="3"/>
  <c r="P1111" i="3"/>
  <c r="P898" i="3"/>
  <c r="P1465" i="3"/>
  <c r="P1621" i="3"/>
  <c r="P1169" i="3"/>
  <c r="P1405" i="3"/>
  <c r="P1987" i="3"/>
  <c r="P1108" i="3"/>
  <c r="P980" i="3"/>
  <c r="P840" i="3"/>
  <c r="P712" i="3"/>
  <c r="P1573" i="3"/>
  <c r="P1068" i="3"/>
  <c r="P932" i="3"/>
  <c r="P804" i="3"/>
  <c r="P676" i="3"/>
  <c r="P1835" i="3"/>
  <c r="P1579" i="3"/>
  <c r="P1451" i="3"/>
  <c r="P1323" i="3"/>
  <c r="P1035" i="3"/>
  <c r="P1730" i="3"/>
  <c r="P1610" i="3"/>
  <c r="P1354" i="3"/>
  <c r="P1218" i="3"/>
  <c r="P1090" i="3"/>
  <c r="P889" i="3"/>
  <c r="P1689" i="3"/>
  <c r="P1229" i="3"/>
  <c r="P1653" i="3"/>
  <c r="P1221" i="3"/>
  <c r="P1900" i="3"/>
  <c r="P1772" i="3"/>
  <c r="P1516" i="3"/>
  <c r="P1388" i="3"/>
  <c r="P1260" i="3"/>
  <c r="P1032" i="3"/>
  <c r="P1963" i="3"/>
  <c r="P1060" i="3"/>
  <c r="P936" i="3"/>
  <c r="P808" i="3"/>
  <c r="P680" i="3"/>
  <c r="P772" i="3"/>
  <c r="P394" i="3"/>
  <c r="P1927" i="3"/>
  <c r="P1799" i="3"/>
  <c r="P1543" i="3"/>
  <c r="P1415" i="3"/>
  <c r="P1287" i="3"/>
  <c r="P2002" i="3"/>
  <c r="P865" i="3"/>
  <c r="P732" i="3"/>
  <c r="P1183" i="3"/>
  <c r="P1055" i="3"/>
  <c r="P1890" i="3"/>
  <c r="P1826" i="3"/>
  <c r="P1458" i="3"/>
  <c r="P1330" i="3"/>
  <c r="P1210" i="3"/>
  <c r="P954" i="3"/>
  <c r="P826" i="3"/>
  <c r="P698" i="3"/>
  <c r="P1920" i="3"/>
  <c r="P1792" i="3"/>
  <c r="P1408" i="3"/>
  <c r="P1751" i="3"/>
  <c r="P1623" i="3"/>
  <c r="P1495" i="3"/>
  <c r="P402" i="3"/>
  <c r="P1875" i="3"/>
  <c r="P802" i="3"/>
  <c r="P674" i="3"/>
  <c r="P943" i="3"/>
  <c r="P1946" i="3"/>
  <c r="P1882" i="3"/>
  <c r="P1810" i="3"/>
  <c r="P1570" i="3"/>
  <c r="P1442" i="3"/>
  <c r="P1314" i="3"/>
  <c r="P938" i="3"/>
  <c r="P810" i="3"/>
  <c r="P682" i="3"/>
  <c r="P1053" i="3"/>
  <c r="P2000" i="3"/>
  <c r="P1872" i="3"/>
  <c r="P1616" i="3"/>
  <c r="P1488" i="3"/>
  <c r="P1360" i="3"/>
  <c r="P1891" i="3"/>
  <c r="P1651" i="3"/>
  <c r="P1982" i="3"/>
  <c r="P1854" i="3"/>
  <c r="P1278" i="3"/>
  <c r="P1214" i="3"/>
  <c r="P1150" i="3"/>
  <c r="P1779" i="3"/>
  <c r="P1395" i="3"/>
  <c r="P1267" i="3"/>
  <c r="P1967" i="3"/>
  <c r="P1839" i="3"/>
  <c r="P1711" i="3"/>
  <c r="P1455" i="3"/>
  <c r="P1327" i="3"/>
  <c r="P1619" i="3"/>
  <c r="P1199" i="3"/>
  <c r="P1942" i="3"/>
  <c r="P1878" i="3"/>
  <c r="P1686" i="3"/>
  <c r="P1622" i="3"/>
  <c r="P1558" i="3"/>
  <c r="P1430" i="3"/>
  <c r="P1366" i="3"/>
  <c r="P1174" i="3"/>
  <c r="P1110" i="3"/>
  <c r="P1046" i="3"/>
  <c r="P982" i="3"/>
  <c r="P1855" i="3"/>
  <c r="P1599" i="3"/>
  <c r="P1343" i="3"/>
  <c r="P1219" i="3"/>
  <c r="P1091" i="3"/>
  <c r="P1798" i="3"/>
  <c r="P1734" i="3"/>
  <c r="P1606" i="3"/>
  <c r="P1542" i="3"/>
  <c r="P481" i="3"/>
  <c r="P269" i="3"/>
  <c r="P533" i="3"/>
  <c r="P449" i="3"/>
  <c r="P345" i="3"/>
  <c r="P645" i="3"/>
  <c r="P68" i="3"/>
  <c r="P325" i="3"/>
  <c r="P425" i="3"/>
  <c r="P373" i="3"/>
  <c r="P517" i="3"/>
  <c r="P428" i="3"/>
  <c r="P338" i="3"/>
  <c r="P81" i="3"/>
  <c r="P368" i="3"/>
  <c r="P468" i="3"/>
  <c r="P472" i="3"/>
  <c r="P324" i="3"/>
  <c r="P33" i="3"/>
  <c r="P60" i="3"/>
  <c r="P145" i="3"/>
  <c r="P482" i="3"/>
  <c r="P464" i="3"/>
  <c r="P128" i="3"/>
  <c r="P647" i="3"/>
  <c r="P519" i="3"/>
  <c r="P455" i="3"/>
  <c r="P359" i="3"/>
  <c r="P295" i="3"/>
  <c r="P231" i="3"/>
  <c r="P167" i="3"/>
  <c r="P103" i="3"/>
  <c r="P47" i="3"/>
  <c r="P55" i="3"/>
  <c r="P101" i="3"/>
  <c r="P181" i="3"/>
  <c r="P432" i="3"/>
  <c r="P115" i="3"/>
  <c r="P51" i="3"/>
  <c r="P117" i="3"/>
  <c r="P65" i="3"/>
  <c r="P56" i="3"/>
  <c r="P99" i="3"/>
  <c r="P35" i="3"/>
  <c r="P635" i="3"/>
  <c r="P571" i="3"/>
  <c r="P507" i="3"/>
  <c r="P443" i="3"/>
  <c r="P363" i="3"/>
  <c r="P299" i="3"/>
  <c r="P235" i="3"/>
  <c r="P171" i="3"/>
  <c r="P622" i="3"/>
  <c r="P817" i="3"/>
  <c r="P1061" i="3"/>
  <c r="P1261" i="3"/>
  <c r="P1721" i="3"/>
  <c r="P1652" i="3"/>
  <c r="P1396" i="3"/>
  <c r="P1525" i="3"/>
  <c r="P993" i="3"/>
  <c r="P1937" i="3"/>
  <c r="P1017" i="3"/>
  <c r="P1829" i="3"/>
  <c r="P757" i="3"/>
  <c r="P1865" i="3"/>
  <c r="P1345" i="3"/>
  <c r="P1928" i="3"/>
  <c r="P1800" i="3"/>
  <c r="P1544" i="3"/>
  <c r="P1416" i="3"/>
  <c r="P1288" i="3"/>
  <c r="P1413" i="3"/>
  <c r="P1305" i="3"/>
  <c r="P949" i="3"/>
  <c r="P1809" i="3"/>
  <c r="P1645" i="3"/>
  <c r="P1125" i="3"/>
  <c r="P1325" i="3"/>
  <c r="P841" i="3"/>
  <c r="P1889" i="3"/>
  <c r="P1369" i="3"/>
  <c r="P1393" i="3"/>
  <c r="P813" i="3"/>
  <c r="P1005" i="3"/>
  <c r="P1940" i="3"/>
  <c r="P1812" i="3"/>
  <c r="P1684" i="3"/>
  <c r="P1428" i="3"/>
  <c r="P1300" i="3"/>
  <c r="P1713" i="3"/>
  <c r="P1481" i="3"/>
  <c r="P969" i="3"/>
  <c r="P1945" i="3"/>
  <c r="P1101" i="3"/>
  <c r="P1801" i="3"/>
  <c r="P1281" i="3"/>
  <c r="P765" i="3"/>
  <c r="P1976" i="3"/>
  <c r="P1848" i="3"/>
  <c r="P1720" i="3"/>
  <c r="P1464" i="3"/>
  <c r="P1336" i="3"/>
  <c r="P1128" i="3"/>
  <c r="P1477" i="3"/>
  <c r="P941" i="3"/>
  <c r="P801" i="3"/>
  <c r="P1685" i="3"/>
  <c r="P1253" i="3"/>
  <c r="P825" i="3"/>
  <c r="P1892" i="3"/>
  <c r="P1764" i="3"/>
  <c r="P1636" i="3"/>
  <c r="P1508" i="3"/>
  <c r="P1380" i="3"/>
  <c r="P1633" i="3"/>
  <c r="P1141" i="3"/>
  <c r="P1553" i="3"/>
  <c r="P1041" i="3"/>
  <c r="P405" i="3"/>
  <c r="P665" i="3"/>
  <c r="P1916" i="3"/>
  <c r="P1788" i="3"/>
  <c r="P1660" i="3"/>
  <c r="P1532" i="3"/>
  <c r="P1404" i="3"/>
  <c r="P1276" i="3"/>
  <c r="P908" i="3"/>
  <c r="P780" i="3"/>
  <c r="P396" i="3"/>
  <c r="P1140" i="3"/>
  <c r="P1012" i="3"/>
  <c r="P904" i="3"/>
  <c r="P776" i="3"/>
  <c r="P1505" i="3"/>
  <c r="P1164" i="3"/>
  <c r="P1036" i="3"/>
  <c r="P868" i="3"/>
  <c r="P740" i="3"/>
  <c r="P408" i="3"/>
  <c r="P1931" i="3"/>
  <c r="P1675" i="3"/>
  <c r="P1547" i="3"/>
  <c r="P1419" i="3"/>
  <c r="P1291" i="3"/>
  <c r="P1175" i="3"/>
  <c r="P1047" i="3"/>
  <c r="P1714" i="3"/>
  <c r="P1594" i="3"/>
  <c r="P1338" i="3"/>
  <c r="P1202" i="3"/>
  <c r="P1074" i="3"/>
  <c r="P946" i="3"/>
  <c r="P1105" i="3"/>
  <c r="P1965" i="3"/>
  <c r="P917" i="3"/>
  <c r="P984" i="3"/>
  <c r="P1092" i="3"/>
  <c r="P964" i="3"/>
  <c r="P668" i="3"/>
  <c r="P1067" i="3"/>
  <c r="P829" i="3"/>
  <c r="P1777" i="3"/>
  <c r="P793" i="3"/>
  <c r="P1884" i="3"/>
  <c r="P1756" i="3"/>
  <c r="P1372" i="3"/>
  <c r="P1244" i="3"/>
  <c r="P928" i="3"/>
  <c r="P800" i="3"/>
  <c r="P672" i="3"/>
  <c r="P1578" i="3"/>
  <c r="P1450" i="3"/>
  <c r="P1058" i="3"/>
  <c r="P930" i="3"/>
  <c r="P1789" i="3"/>
  <c r="P1273" i="3"/>
  <c r="P1000" i="3"/>
  <c r="P896" i="3"/>
  <c r="P768" i="3"/>
  <c r="P384" i="3"/>
  <c r="P1148" i="3"/>
  <c r="P1020" i="3"/>
  <c r="P924" i="3"/>
  <c r="P1915" i="3"/>
  <c r="P1659" i="3"/>
  <c r="P1531" i="3"/>
  <c r="P1403" i="3"/>
  <c r="P1131" i="3"/>
  <c r="P1003" i="3"/>
  <c r="P1767" i="3"/>
  <c r="P1639" i="3"/>
  <c r="P1255" i="3"/>
  <c r="P855" i="3"/>
  <c r="P818" i="3"/>
  <c r="P690" i="3"/>
  <c r="P935" i="3"/>
  <c r="P743" i="3"/>
  <c r="P1938" i="3"/>
  <c r="P1874" i="3"/>
  <c r="P1682" i="3"/>
  <c r="P1554" i="3"/>
  <c r="P1426" i="3"/>
  <c r="P1298" i="3"/>
  <c r="P1050" i="3"/>
  <c r="P922" i="3"/>
  <c r="P794" i="3"/>
  <c r="P666" i="3"/>
  <c r="P1237" i="3"/>
  <c r="P745" i="3"/>
  <c r="P1888" i="3"/>
  <c r="P1760" i="3"/>
  <c r="P1632" i="3"/>
  <c r="P1504" i="3"/>
  <c r="P1376" i="3"/>
  <c r="P1248" i="3"/>
  <c r="P1975" i="3"/>
  <c r="P1719" i="3"/>
  <c r="P1591" i="3"/>
  <c r="P1463" i="3"/>
  <c r="P1335" i="3"/>
  <c r="P1203" i="3"/>
  <c r="P1075" i="3"/>
  <c r="P933" i="3"/>
  <c r="P720" i="3"/>
  <c r="P1119" i="3"/>
  <c r="P991" i="3"/>
  <c r="P927" i="3"/>
  <c r="P863" i="3"/>
  <c r="P735" i="3"/>
  <c r="P671" i="3"/>
  <c r="P1994" i="3"/>
  <c r="P1866" i="3"/>
  <c r="P1794" i="3"/>
  <c r="P1666" i="3"/>
  <c r="P1410" i="3"/>
  <c r="P1290" i="3"/>
  <c r="P1917" i="3"/>
  <c r="P1421" i="3"/>
  <c r="P929" i="3"/>
  <c r="P1840" i="3"/>
  <c r="P1712" i="3"/>
  <c r="P1328" i="3"/>
  <c r="P1200" i="3"/>
  <c r="P688" i="3"/>
  <c r="P1843" i="3"/>
  <c r="P1635" i="3"/>
  <c r="P1507" i="3"/>
  <c r="P1379" i="3"/>
  <c r="P979" i="3"/>
  <c r="P915" i="3"/>
  <c r="P851" i="3"/>
  <c r="P787" i="3"/>
  <c r="P723" i="3"/>
  <c r="P659" i="3"/>
  <c r="P1966" i="3"/>
  <c r="P1902" i="3"/>
  <c r="P1838" i="3"/>
  <c r="P1718" i="3"/>
  <c r="P1654" i="3"/>
  <c r="P1526" i="3"/>
  <c r="P1462" i="3"/>
  <c r="P1398" i="3"/>
  <c r="P1198" i="3"/>
  <c r="P1134" i="3"/>
  <c r="P1070" i="3"/>
  <c r="P806" i="3"/>
  <c r="P1935" i="3"/>
  <c r="P1679" i="3"/>
  <c r="P1551" i="3"/>
  <c r="P1423" i="3"/>
  <c r="P1027" i="3"/>
  <c r="P955" i="3"/>
  <c r="P891" i="3"/>
  <c r="P827" i="3"/>
  <c r="P763" i="3"/>
  <c r="P699" i="3"/>
  <c r="P1726" i="3"/>
  <c r="P1662" i="3"/>
  <c r="P1598" i="3"/>
  <c r="P1406" i="3"/>
  <c r="P1731" i="3"/>
  <c r="P1475" i="3"/>
  <c r="P1347" i="3"/>
  <c r="P1223" i="3"/>
  <c r="P1095" i="3"/>
  <c r="P784" i="3"/>
  <c r="P1926" i="3"/>
  <c r="P1862" i="3"/>
  <c r="P1350" i="3"/>
  <c r="P1286" i="3"/>
  <c r="P1094" i="3"/>
  <c r="P1030" i="3"/>
  <c r="P966" i="3"/>
  <c r="P902" i="3"/>
  <c r="P830" i="3"/>
  <c r="P718" i="3"/>
  <c r="P662" i="3"/>
  <c r="P1747" i="3"/>
  <c r="P1363" i="3"/>
  <c r="P1115" i="3"/>
  <c r="P838" i="3"/>
  <c r="P828" i="3"/>
  <c r="P1951" i="3"/>
  <c r="P1823" i="3"/>
  <c r="P1695" i="3"/>
  <c r="P1567" i="3"/>
  <c r="P1439" i="3"/>
  <c r="P1311" i="3"/>
  <c r="P29" i="3"/>
  <c r="P105" i="3"/>
  <c r="P361" i="3"/>
  <c r="P633" i="3"/>
  <c r="P141" i="3"/>
  <c r="P460" i="3"/>
  <c r="P525" i="3"/>
  <c r="P353" i="3"/>
  <c r="P245" i="3"/>
  <c r="P649" i="3"/>
  <c r="P93" i="3"/>
  <c r="P465" i="3"/>
  <c r="P236" i="3"/>
  <c r="P100" i="3"/>
  <c r="P49" i="3"/>
  <c r="P532" i="3"/>
  <c r="P504" i="3"/>
  <c r="P450" i="3"/>
  <c r="P306" i="3"/>
  <c r="P508" i="3"/>
  <c r="P260" i="3"/>
  <c r="P154" i="3"/>
  <c r="P64" i="3"/>
  <c r="P322" i="3"/>
  <c r="P58" i="3"/>
  <c r="P436" i="3"/>
  <c r="P264" i="3"/>
  <c r="P624" i="3"/>
  <c r="P80" i="3"/>
  <c r="P631" i="3"/>
  <c r="P503" i="3"/>
  <c r="P439" i="3"/>
  <c r="P279" i="3"/>
  <c r="P151" i="3"/>
  <c r="P122" i="3"/>
  <c r="P609" i="3"/>
  <c r="P621" i="3"/>
  <c r="P410" i="3"/>
  <c r="P258" i="3"/>
  <c r="P318" i="3"/>
  <c r="P142" i="3"/>
  <c r="P623" i="3"/>
  <c r="P495" i="3"/>
  <c r="P431" i="3"/>
  <c r="P335" i="3"/>
  <c r="P271" i="3"/>
  <c r="P143" i="3"/>
  <c r="P138" i="3"/>
  <c r="P429" i="3"/>
  <c r="P69" i="3"/>
  <c r="P61" i="3"/>
  <c r="P365" i="3"/>
  <c r="P57" i="3"/>
  <c r="P643" i="3"/>
  <c r="P451" i="3"/>
  <c r="P371" i="3"/>
  <c r="P307" i="3"/>
  <c r="P243" i="3"/>
  <c r="P179" i="3"/>
  <c r="P304" i="3"/>
  <c r="P651" i="3"/>
  <c r="P523" i="3"/>
  <c r="P459" i="3"/>
  <c r="P355" i="3"/>
  <c r="P291" i="3"/>
  <c r="P227" i="3"/>
  <c r="P163" i="3"/>
  <c r="P1581" i="3"/>
  <c r="P1761" i="3"/>
  <c r="P685" i="3"/>
  <c r="P1780" i="3"/>
  <c r="P1524" i="3"/>
  <c r="P1969" i="3"/>
  <c r="P1449" i="3"/>
  <c r="P937" i="3"/>
  <c r="P1637" i="3"/>
  <c r="P1145" i="3"/>
  <c r="P397" i="3"/>
  <c r="P857" i="3"/>
  <c r="P1521" i="3"/>
  <c r="P1073" i="3"/>
  <c r="P1993" i="3"/>
  <c r="P1561" i="3"/>
  <c r="P1129" i="3"/>
  <c r="P1397" i="3"/>
  <c r="P853" i="3"/>
  <c r="P1805" i="3"/>
  <c r="P1289" i="3"/>
  <c r="P785" i="3"/>
  <c r="P1697" i="3"/>
  <c r="P1181" i="3"/>
  <c r="P1985" i="3"/>
  <c r="P1981" i="3"/>
  <c r="P1681" i="3"/>
  <c r="P1165" i="3"/>
  <c r="P1737" i="3"/>
  <c r="P1213" i="3"/>
  <c r="P701" i="3"/>
  <c r="P1896" i="3"/>
  <c r="P1768" i="3"/>
  <c r="P1640" i="3"/>
  <c r="P1512" i="3"/>
  <c r="P1384" i="3"/>
  <c r="P1256" i="3"/>
  <c r="P1152" i="3"/>
  <c r="P1733" i="3"/>
  <c r="P1285" i="3"/>
  <c r="P1109" i="3"/>
  <c r="P1329" i="3"/>
  <c r="P1625" i="3"/>
  <c r="P1988" i="3"/>
  <c r="P1860" i="3"/>
  <c r="P1732" i="3"/>
  <c r="P1604" i="3"/>
  <c r="P1476" i="3"/>
  <c r="P1348" i="3"/>
  <c r="P1220" i="3"/>
  <c r="P1509" i="3"/>
  <c r="P837" i="3"/>
  <c r="P1401" i="3"/>
  <c r="P1513" i="3"/>
  <c r="P1001" i="3"/>
  <c r="P1701" i="3"/>
  <c r="P1205" i="3"/>
  <c r="P713" i="3"/>
  <c r="P737" i="3"/>
  <c r="P741" i="3"/>
  <c r="P1197" i="3"/>
  <c r="P1437" i="3"/>
  <c r="P1585" i="3"/>
  <c r="P1065" i="3"/>
  <c r="P1873" i="3"/>
  <c r="P1353" i="3"/>
  <c r="P845" i="3"/>
  <c r="P1569" i="3"/>
  <c r="P1045" i="3"/>
  <c r="P1853" i="3"/>
  <c r="P1925" i="3"/>
  <c r="P1877" i="3"/>
  <c r="P1493" i="3"/>
  <c r="P957" i="3"/>
  <c r="P1673" i="3"/>
  <c r="P1153" i="3"/>
  <c r="P1944" i="3"/>
  <c r="P1816" i="3"/>
  <c r="P1688" i="3"/>
  <c r="P1560" i="3"/>
  <c r="P1432" i="3"/>
  <c r="P1304" i="3"/>
  <c r="P1176" i="3"/>
  <c r="P1112" i="3"/>
  <c r="P1349" i="3"/>
  <c r="P1693" i="3"/>
  <c r="P1173" i="3"/>
  <c r="P1657" i="3"/>
  <c r="P1445" i="3"/>
  <c r="P1921" i="3"/>
  <c r="P953" i="3"/>
  <c r="P1941" i="3"/>
  <c r="P1533" i="3"/>
  <c r="P1097" i="3"/>
  <c r="P392" i="3"/>
  <c r="P1377" i="3"/>
  <c r="P796" i="3"/>
  <c r="P1690" i="3"/>
  <c r="P1562" i="3"/>
  <c r="P1434" i="3"/>
  <c r="P1306" i="3"/>
  <c r="P1170" i="3"/>
  <c r="P1042" i="3"/>
  <c r="P914" i="3"/>
  <c r="P393" i="3"/>
  <c r="P913" i="3"/>
  <c r="P1341" i="3"/>
  <c r="P1932" i="3"/>
  <c r="P1804" i="3"/>
  <c r="P1676" i="3"/>
  <c r="P1548" i="3"/>
  <c r="P1420" i="3"/>
  <c r="P1292" i="3"/>
  <c r="P1080" i="3"/>
  <c r="P952" i="3"/>
  <c r="P832" i="3"/>
  <c r="P704" i="3"/>
  <c r="P916" i="3"/>
  <c r="P788" i="3"/>
  <c r="P660" i="3"/>
  <c r="P920" i="3"/>
  <c r="P792" i="3"/>
  <c r="P664" i="3"/>
  <c r="P1947" i="3"/>
  <c r="P1819" i="3"/>
  <c r="P1691" i="3"/>
  <c r="P1563" i="3"/>
  <c r="P1435" i="3"/>
  <c r="P1307" i="3"/>
  <c r="P1209" i="3"/>
  <c r="P1881" i="3"/>
  <c r="P1425" i="3"/>
  <c r="P1172" i="3"/>
  <c r="P884" i="3"/>
  <c r="P756" i="3"/>
  <c r="P1313" i="3"/>
  <c r="P1132" i="3"/>
  <c r="P1004" i="3"/>
  <c r="P1899" i="3"/>
  <c r="P1771" i="3"/>
  <c r="P1643" i="3"/>
  <c r="P1515" i="3"/>
  <c r="P1387" i="3"/>
  <c r="P1259" i="3"/>
  <c r="P1818" i="3"/>
  <c r="P1674" i="3"/>
  <c r="P1546" i="3"/>
  <c r="P1418" i="3"/>
  <c r="P1282" i="3"/>
  <c r="P1154" i="3"/>
  <c r="P1026" i="3"/>
  <c r="P1489" i="3"/>
  <c r="P1469" i="3"/>
  <c r="P1037" i="3"/>
  <c r="P1964" i="3"/>
  <c r="P1836" i="3"/>
  <c r="P1580" i="3"/>
  <c r="P1452" i="3"/>
  <c r="P1196" i="3"/>
  <c r="P968" i="3"/>
  <c r="P1995" i="3"/>
  <c r="P1124" i="3"/>
  <c r="P852" i="3"/>
  <c r="P856" i="3"/>
  <c r="P882" i="3"/>
  <c r="P1991" i="3"/>
  <c r="P1863" i="3"/>
  <c r="P1735" i="3"/>
  <c r="P1479" i="3"/>
  <c r="P1351" i="3"/>
  <c r="P1087" i="3"/>
  <c r="P1970" i="3"/>
  <c r="P786" i="3"/>
  <c r="P1367" i="3"/>
  <c r="P919" i="3"/>
  <c r="P791" i="3"/>
  <c r="P727" i="3"/>
  <c r="P663" i="3"/>
  <c r="P1986" i="3"/>
  <c r="P1922" i="3"/>
  <c r="P1858" i="3"/>
  <c r="P1650" i="3"/>
  <c r="P1522" i="3"/>
  <c r="P1394" i="3"/>
  <c r="P1146" i="3"/>
  <c r="P1018" i="3"/>
  <c r="P890" i="3"/>
  <c r="P762" i="3"/>
  <c r="P1609" i="3"/>
  <c r="P1113" i="3"/>
  <c r="P1856" i="3"/>
  <c r="P1728" i="3"/>
  <c r="P1600" i="3"/>
  <c r="P1472" i="3"/>
  <c r="P1344" i="3"/>
  <c r="P1216" i="3"/>
  <c r="P1795" i="3"/>
  <c r="P1943" i="3"/>
  <c r="P1815" i="3"/>
  <c r="P1687" i="3"/>
  <c r="P1559" i="3"/>
  <c r="P1303" i="3"/>
  <c r="P797" i="3"/>
  <c r="P738" i="3"/>
  <c r="P847" i="3"/>
  <c r="P783" i="3"/>
  <c r="P1978" i="3"/>
  <c r="P1914" i="3"/>
  <c r="P1850" i="3"/>
  <c r="P1634" i="3"/>
  <c r="P1506" i="3"/>
  <c r="P1378" i="3"/>
  <c r="P1130" i="3"/>
  <c r="P1002" i="3"/>
  <c r="P874" i="3"/>
  <c r="P746" i="3"/>
  <c r="P1293" i="3"/>
  <c r="P809" i="3"/>
  <c r="P1936" i="3"/>
  <c r="P1552" i="3"/>
  <c r="P1424" i="3"/>
  <c r="P960" i="3"/>
  <c r="P1955" i="3"/>
  <c r="P1587" i="3"/>
  <c r="P1459" i="3"/>
  <c r="P1211" i="3"/>
  <c r="P1083" i="3"/>
  <c r="P700" i="3"/>
  <c r="P403" i="3"/>
  <c r="P1886" i="3"/>
  <c r="P1822" i="3"/>
  <c r="P1310" i="3"/>
  <c r="P1246" i="3"/>
  <c r="P1182" i="3"/>
  <c r="P1054" i="3"/>
  <c r="P990" i="3"/>
  <c r="P926" i="3"/>
  <c r="P862" i="3"/>
  <c r="P766" i="3"/>
  <c r="P678" i="3"/>
  <c r="P1715" i="3"/>
  <c r="P1179" i="3"/>
  <c r="P1051" i="3"/>
  <c r="P774" i="3"/>
  <c r="P400" i="3"/>
  <c r="P1903" i="3"/>
  <c r="P1775" i="3"/>
  <c r="P1519" i="3"/>
  <c r="P1391" i="3"/>
  <c r="P1263" i="3"/>
  <c r="P1555" i="3"/>
  <c r="P1123" i="3"/>
  <c r="P995" i="3"/>
  <c r="P931" i="3"/>
  <c r="P867" i="3"/>
  <c r="P803" i="3"/>
  <c r="P739" i="3"/>
  <c r="P675" i="3"/>
  <c r="P1974" i="3"/>
  <c r="P1910" i="3"/>
  <c r="P1846" i="3"/>
  <c r="P1774" i="3"/>
  <c r="P1710" i="3"/>
  <c r="P1646" i="3"/>
  <c r="P1582" i="3"/>
  <c r="P1518" i="3"/>
  <c r="P1454" i="3"/>
  <c r="P1390" i="3"/>
  <c r="P1270" i="3"/>
  <c r="P1206" i="3"/>
  <c r="P1078" i="3"/>
  <c r="P702" i="3"/>
  <c r="P1919" i="3"/>
  <c r="P1791" i="3"/>
  <c r="P1663" i="3"/>
  <c r="P1535" i="3"/>
  <c r="P1407" i="3"/>
  <c r="P1279" i="3"/>
  <c r="P395" i="3"/>
  <c r="P1694" i="3"/>
  <c r="P1630" i="3"/>
  <c r="P1566" i="3"/>
  <c r="P1438" i="3"/>
  <c r="P1374" i="3"/>
  <c r="P509" i="3"/>
  <c r="P124" i="3"/>
  <c r="P25" i="3"/>
  <c r="P653" i="3"/>
  <c r="P461" i="3"/>
  <c r="P281" i="3"/>
  <c r="P173" i="3"/>
  <c r="P288" i="3"/>
  <c r="P172" i="3"/>
  <c r="P133" i="3"/>
  <c r="P409" i="3"/>
  <c r="P640" i="3"/>
  <c r="P512" i="3"/>
  <c r="P300" i="3"/>
  <c r="P132" i="3"/>
  <c r="P521" i="3"/>
  <c r="P149" i="3"/>
  <c r="P337" i="3"/>
  <c r="P229" i="3"/>
  <c r="P452" i="3"/>
  <c r="P292" i="3"/>
  <c r="P496" i="3"/>
  <c r="P418" i="3"/>
  <c r="P282" i="3"/>
  <c r="P358" i="3"/>
  <c r="P166" i="3"/>
  <c r="P97" i="3"/>
  <c r="P44" i="3"/>
  <c r="P530" i="3"/>
  <c r="P354" i="3"/>
  <c r="P250" i="3"/>
  <c r="P114" i="3"/>
  <c r="P176" i="3"/>
  <c r="P16" i="3"/>
  <c r="P280" i="3"/>
  <c r="P130" i="3"/>
  <c r="P615" i="3"/>
  <c r="P487" i="3"/>
  <c r="P423" i="3"/>
  <c r="P327" i="3"/>
  <c r="P263" i="3"/>
  <c r="P135" i="3"/>
  <c r="P82" i="3"/>
  <c r="P294" i="3"/>
  <c r="P118" i="3"/>
  <c r="P607" i="3"/>
  <c r="P479" i="3"/>
  <c r="P415" i="3"/>
  <c r="P255" i="3"/>
  <c r="P127" i="3"/>
  <c r="P37" i="3"/>
  <c r="P522" i="3"/>
  <c r="P106" i="3"/>
  <c r="P342" i="3"/>
  <c r="P79" i="3"/>
  <c r="P23" i="3"/>
  <c r="P370" i="3"/>
  <c r="P242" i="3"/>
  <c r="P237" i="3"/>
  <c r="P604" i="3"/>
  <c r="P83" i="3"/>
  <c r="P19" i="3"/>
  <c r="P627" i="3"/>
  <c r="P499" i="3"/>
  <c r="P435" i="3"/>
  <c r="P382" i="3"/>
  <c r="P38" i="3"/>
  <c r="P601" i="3"/>
  <c r="P497" i="3"/>
  <c r="P349" i="3"/>
  <c r="P620" i="3"/>
  <c r="P492" i="3"/>
  <c r="P364" i="3"/>
  <c r="P606" i="3"/>
  <c r="P5" i="3"/>
  <c r="P1280" i="3"/>
  <c r="P1066" i="3"/>
  <c r="P1727" i="3"/>
  <c r="E29" i="61" l="1"/>
  <c r="E28" i="61"/>
  <c r="Q874" i="3"/>
  <c r="Q796" i="3"/>
  <c r="G29" i="61"/>
  <c r="J29" i="61" s="1"/>
  <c r="Q675" i="3"/>
  <c r="Q679" i="3"/>
  <c r="Q673" i="3"/>
  <c r="Q676" i="3"/>
  <c r="Q683" i="3"/>
  <c r="Q681" i="3"/>
  <c r="Q684" i="3"/>
  <c r="Q678" i="3"/>
  <c r="Q685" i="3"/>
  <c r="Q682" i="3"/>
  <c r="Q674" i="3"/>
  <c r="Q680" i="3"/>
  <c r="Q677" i="3"/>
  <c r="Q149" i="3"/>
  <c r="Q219" i="3"/>
  <c r="Q181" i="3"/>
  <c r="Q24" i="3"/>
  <c r="Q30" i="3"/>
  <c r="Q28" i="3"/>
  <c r="Q29" i="3"/>
  <c r="Q32" i="3"/>
  <c r="Q25" i="3"/>
  <c r="Q27" i="3"/>
  <c r="Q31" i="3"/>
  <c r="Q33" i="3"/>
  <c r="Q484" i="3"/>
  <c r="Q228" i="3"/>
  <c r="Q570" i="3"/>
  <c r="L12" i="42"/>
  <c r="Q298" i="3"/>
  <c r="Q233" i="3"/>
  <c r="Q234" i="3"/>
  <c r="Q297" i="3"/>
  <c r="Q237" i="3"/>
  <c r="Q226" i="3"/>
  <c r="Q294" i="3"/>
  <c r="Q286" i="3"/>
  <c r="Q292" i="3"/>
  <c r="Q300" i="3"/>
  <c r="Q288" i="3"/>
  <c r="Q227" i="3"/>
  <c r="Q304" i="3"/>
  <c r="Q225" i="3"/>
  <c r="Q302" i="3"/>
  <c r="Q235" i="3"/>
  <c r="Q231" i="3"/>
  <c r="Q222" i="3"/>
  <c r="Q293" i="3"/>
  <c r="Q210" i="3"/>
  <c r="Q854" i="3"/>
  <c r="Q918" i="3"/>
  <c r="Q1174" i="3"/>
  <c r="Q894" i="3"/>
  <c r="Q1194" i="3"/>
  <c r="Q1091" i="3"/>
  <c r="Q1343" i="3"/>
  <c r="Q1599" i="3"/>
  <c r="Q726" i="3"/>
  <c r="Q1238" i="3"/>
  <c r="Q1366" i="3"/>
  <c r="Q707" i="3"/>
  <c r="Q1779" i="3"/>
  <c r="Q958" i="3"/>
  <c r="Q1150" i="3"/>
  <c r="Q1278" i="3"/>
  <c r="Q1918" i="3"/>
  <c r="Q1478" i="3"/>
  <c r="Q1219" i="3"/>
  <c r="Q1727" i="3"/>
  <c r="Q982" i="3"/>
  <c r="Q1494" i="3"/>
  <c r="Q1750" i="3"/>
  <c r="Q963" i="3"/>
  <c r="Q1199" i="3"/>
  <c r="Q1583" i="3"/>
  <c r="Q912" i="3"/>
  <c r="Q1267" i="3"/>
  <c r="Q1086" i="3"/>
  <c r="Q1342" i="3"/>
  <c r="Q1891" i="3"/>
  <c r="Q1024" i="3"/>
  <c r="Q1616" i="3"/>
  <c r="Q1314" i="3"/>
  <c r="Q1570" i="3"/>
  <c r="Q1810" i="3"/>
  <c r="Q751" i="3"/>
  <c r="Q1875" i="3"/>
  <c r="Q1879" i="3"/>
  <c r="Q1072" i="3"/>
  <c r="Q1408" i="3"/>
  <c r="Q1664" i="3"/>
  <c r="Q698" i="3"/>
  <c r="Q1586" i="3"/>
  <c r="Q1826" i="3"/>
  <c r="Q1954" i="3"/>
  <c r="Q764" i="3"/>
  <c r="Q1003" i="3"/>
  <c r="Q1275" i="3"/>
  <c r="Q768" i="3"/>
  <c r="Q930" i="3"/>
  <c r="Q800" i="3"/>
  <c r="Q1244" i="3"/>
  <c r="Q1500" i="3"/>
  <c r="Q1756" i="3"/>
  <c r="Q793" i="3"/>
  <c r="Q1092" i="3"/>
  <c r="Q1105" i="3"/>
  <c r="Q946" i="3"/>
  <c r="Q1714" i="3"/>
  <c r="Q1175" i="3"/>
  <c r="Q1675" i="3"/>
  <c r="Q1931" i="3"/>
  <c r="Q1036" i="3"/>
  <c r="Q1505" i="3"/>
  <c r="Q665" i="3"/>
  <c r="Q1041" i="3"/>
  <c r="Q1117" i="3"/>
  <c r="Q1380" i="3"/>
  <c r="Q1636" i="3"/>
  <c r="Q825" i="3"/>
  <c r="Q801" i="3"/>
  <c r="Q1592" i="3"/>
  <c r="Q1848" i="3"/>
  <c r="Q765" i="3"/>
  <c r="Q1101" i="3"/>
  <c r="Q969" i="3"/>
  <c r="Q2001" i="3"/>
  <c r="Q1713" i="3"/>
  <c r="Q1684" i="3"/>
  <c r="Q1781" i="3"/>
  <c r="Q1325" i="3"/>
  <c r="Q1193" i="3"/>
  <c r="Q1305" i="3"/>
  <c r="Q1800" i="3"/>
  <c r="Q1301" i="3"/>
  <c r="Q905" i="3"/>
  <c r="Q1908" i="3"/>
  <c r="Q1854" i="3"/>
  <c r="Q1982" i="3"/>
  <c r="Q1523" i="3"/>
  <c r="Q1872" i="3"/>
  <c r="Q943" i="3"/>
  <c r="Q1357" i="3"/>
  <c r="Q1330" i="3"/>
  <c r="Q759" i="3"/>
  <c r="Q823" i="3"/>
  <c r="Q1055" i="3"/>
  <c r="Q1383" i="3"/>
  <c r="Q1639" i="3"/>
  <c r="Q1895" i="3"/>
  <c r="Q1787" i="3"/>
  <c r="Q1020" i="3"/>
  <c r="Q1322" i="3"/>
  <c r="Q672" i="3"/>
  <c r="Q1628" i="3"/>
  <c r="Q1777" i="3"/>
  <c r="Q850" i="3"/>
  <c r="Q1067" i="3"/>
  <c r="Q984" i="3"/>
  <c r="Q1202" i="3"/>
  <c r="Q1466" i="3"/>
  <c r="Q1419" i="3"/>
  <c r="Q868" i="3"/>
  <c r="Q904" i="3"/>
  <c r="Q1660" i="3"/>
  <c r="Q1916" i="3"/>
  <c r="Q1141" i="3"/>
  <c r="Q1477" i="3"/>
  <c r="Q1208" i="3"/>
  <c r="Q1464" i="3"/>
  <c r="Q1945" i="3"/>
  <c r="Q1300" i="3"/>
  <c r="Q1556" i="3"/>
  <c r="Q1812" i="3"/>
  <c r="Q1889" i="3"/>
  <c r="Q869" i="3"/>
  <c r="Q841" i="3"/>
  <c r="Q1125" i="3"/>
  <c r="Q949" i="3"/>
  <c r="Q1168" i="3"/>
  <c r="Q1416" i="3"/>
  <c r="Q1672" i="3"/>
  <c r="Q1345" i="3"/>
  <c r="Q1785" i="3"/>
  <c r="Q1417" i="3"/>
  <c r="Q1525" i="3"/>
  <c r="Q1396" i="3"/>
  <c r="Q1652" i="3"/>
  <c r="Q1497" i="3"/>
  <c r="Q670" i="3"/>
  <c r="Q939" i="3"/>
  <c r="Q1887" i="3"/>
  <c r="Q870" i="3"/>
  <c r="Q1830" i="3"/>
  <c r="Q1958" i="3"/>
  <c r="Q1147" i="3"/>
  <c r="Q1446" i="3"/>
  <c r="Q1574" i="3"/>
  <c r="Q1702" i="3"/>
  <c r="Q859" i="3"/>
  <c r="Q742" i="3"/>
  <c r="Q974" i="3"/>
  <c r="Q1486" i="3"/>
  <c r="Q1614" i="3"/>
  <c r="Q1998" i="3"/>
  <c r="Q1135" i="3"/>
  <c r="Q1520" i="3"/>
  <c r="Q1738" i="3"/>
  <c r="Q703" i="3"/>
  <c r="Q959" i="3"/>
  <c r="Q1023" i="3"/>
  <c r="Q1271" i="3"/>
  <c r="Q1783" i="3"/>
  <c r="Q848" i="3"/>
  <c r="Q1923" i="3"/>
  <c r="Q989" i="3"/>
  <c r="Q1977" i="3"/>
  <c r="Q986" i="3"/>
  <c r="Q1906" i="3"/>
  <c r="Q1302" i="3"/>
  <c r="Q1686" i="3"/>
  <c r="Q1814" i="3"/>
  <c r="Q835" i="3"/>
  <c r="Q899" i="3"/>
  <c r="Q1127" i="3"/>
  <c r="Q1031" i="3"/>
  <c r="Q938" i="3"/>
  <c r="Q1623" i="3"/>
  <c r="Q1920" i="3"/>
  <c r="Q1414" i="3"/>
  <c r="Q1855" i="3"/>
  <c r="Q750" i="3"/>
  <c r="Q1046" i="3"/>
  <c r="Q1558" i="3"/>
  <c r="Q1942" i="3"/>
  <c r="Q771" i="3"/>
  <c r="Q1071" i="3"/>
  <c r="Q1619" i="3"/>
  <c r="Q1455" i="3"/>
  <c r="Q1711" i="3"/>
  <c r="Q1967" i="3"/>
  <c r="Q1395" i="3"/>
  <c r="Q710" i="3"/>
  <c r="Q822" i="3"/>
  <c r="Q1022" i="3"/>
  <c r="Q1232" i="3"/>
  <c r="Q1488" i="3"/>
  <c r="Q2000" i="3"/>
  <c r="Q1706" i="3"/>
  <c r="Q1882" i="3"/>
  <c r="Q687" i="3"/>
  <c r="Q658" i="3"/>
  <c r="Q944" i="3"/>
  <c r="Q1280" i="3"/>
  <c r="Q1536" i="3"/>
  <c r="Q1792" i="3"/>
  <c r="Q954" i="3"/>
  <c r="Q1722" i="3"/>
  <c r="Q1890" i="3"/>
  <c r="Q1183" i="3"/>
  <c r="Q690" i="3"/>
  <c r="Q733" i="3"/>
  <c r="Q855" i="3"/>
  <c r="Q1255" i="3"/>
  <c r="Q1511" i="3"/>
  <c r="Q924" i="3"/>
  <c r="Q1058" i="3"/>
  <c r="Q1578" i="3"/>
  <c r="Q1372" i="3"/>
  <c r="Q1884" i="3"/>
  <c r="Q964" i="3"/>
  <c r="Q917" i="3"/>
  <c r="Q1803" i="3"/>
  <c r="Q740" i="3"/>
  <c r="Q776" i="3"/>
  <c r="Q1140" i="3"/>
  <c r="Q908" i="3"/>
  <c r="Q1276" i="3"/>
  <c r="Q1532" i="3"/>
  <c r="Q1252" i="3"/>
  <c r="Q1508" i="3"/>
  <c r="Q1253" i="3"/>
  <c r="Q1720" i="3"/>
  <c r="Q1976" i="3"/>
  <c r="Q1281" i="3"/>
  <c r="Q1617" i="3"/>
  <c r="Q1481" i="3"/>
  <c r="Q1825" i="3"/>
  <c r="Q1821" i="3"/>
  <c r="Q1928" i="3"/>
  <c r="Q833" i="3"/>
  <c r="Q757" i="3"/>
  <c r="Q1017" i="3"/>
  <c r="Q993" i="3"/>
  <c r="Q1721" i="3"/>
  <c r="Q1581" i="3"/>
  <c r="Q1606" i="3"/>
  <c r="Q1734" i="3"/>
  <c r="Q1360" i="3"/>
  <c r="Q1670" i="3"/>
  <c r="Q1798" i="3"/>
  <c r="Q1622" i="3"/>
  <c r="Q1491" i="3"/>
  <c r="Q1159" i="3"/>
  <c r="Q1744" i="3"/>
  <c r="Q1549" i="3"/>
  <c r="Q810" i="3"/>
  <c r="Q1946" i="3"/>
  <c r="Q815" i="3"/>
  <c r="Q879" i="3"/>
  <c r="Q1495" i="3"/>
  <c r="Q1751" i="3"/>
  <c r="Q1857" i="3"/>
  <c r="Q826" i="3"/>
  <c r="Q1210" i="3"/>
  <c r="Q1458" i="3"/>
  <c r="Q695" i="3"/>
  <c r="Q887" i="3"/>
  <c r="Q951" i="3"/>
  <c r="Q1767" i="3"/>
  <c r="Q1131" i="3"/>
  <c r="Q1403" i="3"/>
  <c r="Q1659" i="3"/>
  <c r="Q1915" i="3"/>
  <c r="Q1148" i="3"/>
  <c r="Q896" i="3"/>
  <c r="Q1273" i="3"/>
  <c r="Q1450" i="3"/>
  <c r="Q1698" i="3"/>
  <c r="Q928" i="3"/>
  <c r="Q829" i="3"/>
  <c r="Q1195" i="3"/>
  <c r="Q1965" i="3"/>
  <c r="Q1074" i="3"/>
  <c r="Q1338" i="3"/>
  <c r="Q1594" i="3"/>
  <c r="Q1047" i="3"/>
  <c r="Q1291" i="3"/>
  <c r="Q1547" i="3"/>
  <c r="Q1164" i="3"/>
  <c r="Q1012" i="3"/>
  <c r="Q780" i="3"/>
  <c r="Q1788" i="3"/>
  <c r="Q1553" i="3"/>
  <c r="Q1633" i="3"/>
  <c r="Q1685" i="3"/>
  <c r="Q1128" i="3"/>
  <c r="Q1336" i="3"/>
  <c r="Q1428" i="3"/>
  <c r="Q1940" i="3"/>
  <c r="Q813" i="3"/>
  <c r="Q1369" i="3"/>
  <c r="Q1645" i="3"/>
  <c r="Q697" i="3"/>
  <c r="Q1809" i="3"/>
  <c r="Q1544" i="3"/>
  <c r="Q1865" i="3"/>
  <c r="Q1829" i="3"/>
  <c r="Q1937" i="3"/>
  <c r="Q1268" i="3"/>
  <c r="Q1524" i="3"/>
  <c r="Q811" i="3"/>
  <c r="Q1247" i="3"/>
  <c r="Q1503" i="3"/>
  <c r="Q1191" i="3"/>
  <c r="Q1683" i="3"/>
  <c r="Q686" i="3"/>
  <c r="Q998" i="3"/>
  <c r="Q777" i="3"/>
  <c r="Q747" i="3"/>
  <c r="Q1375" i="3"/>
  <c r="Q1631" i="3"/>
  <c r="Q1063" i="3"/>
  <c r="Q1299" i="3"/>
  <c r="Q1811" i="3"/>
  <c r="Q934" i="3"/>
  <c r="Q1254" i="3"/>
  <c r="Q1894" i="3"/>
  <c r="Q1411" i="3"/>
  <c r="Q667" i="3"/>
  <c r="Q923" i="3"/>
  <c r="Q1103" i="3"/>
  <c r="Q1615" i="3"/>
  <c r="Q734" i="3"/>
  <c r="Q691" i="3"/>
  <c r="Q755" i="3"/>
  <c r="Q947" i="3"/>
  <c r="Q1571" i="3"/>
  <c r="Q1827" i="3"/>
  <c r="Q860" i="3"/>
  <c r="Q1264" i="3"/>
  <c r="Q1776" i="3"/>
  <c r="Q1226" i="3"/>
  <c r="Q1474" i="3"/>
  <c r="Q1898" i="3"/>
  <c r="Q1171" i="3"/>
  <c r="Q892" i="3"/>
  <c r="Q976" i="3"/>
  <c r="Q1568" i="3"/>
  <c r="Q1114" i="3"/>
  <c r="Q1362" i="3"/>
  <c r="Q775" i="3"/>
  <c r="Q839" i="3"/>
  <c r="Q722" i="3"/>
  <c r="Q1011" i="3"/>
  <c r="Q772" i="3"/>
  <c r="Q1060" i="3"/>
  <c r="Q1516" i="3"/>
  <c r="Q1772" i="3"/>
  <c r="Q1653" i="3"/>
  <c r="Q1689" i="3"/>
  <c r="Q932" i="3"/>
  <c r="Q1108" i="3"/>
  <c r="Q1621" i="3"/>
  <c r="Q898" i="3"/>
  <c r="Q1371" i="3"/>
  <c r="Q1883" i="3"/>
  <c r="Q836" i="3"/>
  <c r="Q744" i="3"/>
  <c r="Q748" i="3"/>
  <c r="Q1228" i="3"/>
  <c r="Q978" i="3"/>
  <c r="Q1234" i="3"/>
  <c r="Q1498" i="3"/>
  <c r="Q1746" i="3"/>
  <c r="Q773" i="3"/>
  <c r="Q1953" i="3"/>
  <c r="Q1240" i="3"/>
  <c r="Q1929" i="3"/>
  <c r="Q1613" i="3"/>
  <c r="Q985" i="3"/>
  <c r="Q1949" i="3"/>
  <c r="Q1769" i="3"/>
  <c r="Q1284" i="3"/>
  <c r="Q1796" i="3"/>
  <c r="Q921" i="3"/>
  <c r="Q1541" i="3"/>
  <c r="Q1448" i="3"/>
  <c r="Q1960" i="3"/>
  <c r="Q1989" i="3"/>
  <c r="Q885" i="3"/>
  <c r="Q1845" i="3"/>
  <c r="Q1033" i="3"/>
  <c r="Q1745" i="3"/>
  <c r="Q805" i="3"/>
  <c r="Q1279" i="3"/>
  <c r="Q1535" i="3"/>
  <c r="Q1791" i="3"/>
  <c r="Q1014" i="3"/>
  <c r="Q1142" i="3"/>
  <c r="Q803" i="3"/>
  <c r="Q1555" i="3"/>
  <c r="Q1051" i="3"/>
  <c r="Q1331" i="3"/>
  <c r="Q862" i="3"/>
  <c r="Q1182" i="3"/>
  <c r="Q1822" i="3"/>
  <c r="Q1950" i="3"/>
  <c r="Q700" i="3"/>
  <c r="Q1587" i="3"/>
  <c r="Q1296" i="3"/>
  <c r="Q1808" i="3"/>
  <c r="Q1293" i="3"/>
  <c r="Q719" i="3"/>
  <c r="Q783" i="3"/>
  <c r="Q975" i="3"/>
  <c r="Q1939" i="3"/>
  <c r="Q1687" i="3"/>
  <c r="Q1943" i="3"/>
  <c r="Q1795" i="3"/>
  <c r="Q1728" i="3"/>
  <c r="Q1984" i="3"/>
  <c r="Q1018" i="3"/>
  <c r="Q1522" i="3"/>
  <c r="Q791" i="3"/>
  <c r="Q1367" i="3"/>
  <c r="Q997" i="3"/>
  <c r="Q1447" i="3"/>
  <c r="Q1723" i="3"/>
  <c r="Q1064" i="3"/>
  <c r="Q716" i="3"/>
  <c r="Q404" i="3"/>
  <c r="Q1010" i="3"/>
  <c r="Q1266" i="3"/>
  <c r="Q1778" i="3"/>
  <c r="Q972" i="3"/>
  <c r="Q820" i="3"/>
  <c r="Q1971" i="3"/>
  <c r="Q1340" i="3"/>
  <c r="Q1901" i="3"/>
  <c r="Q1297" i="3"/>
  <c r="Q1828" i="3"/>
  <c r="Q1933" i="3"/>
  <c r="Q1656" i="3"/>
  <c r="Q1912" i="3"/>
  <c r="Q1025" i="3"/>
  <c r="Q821" i="3"/>
  <c r="Q1629" i="3"/>
  <c r="Q1136" i="3"/>
  <c r="Q1608" i="3"/>
  <c r="Q1864" i="3"/>
  <c r="Q1029" i="3"/>
  <c r="Q661" i="3"/>
  <c r="Q1204" i="3"/>
  <c r="Q1716" i="3"/>
  <c r="Q1009" i="3"/>
  <c r="Q1021" i="3"/>
  <c r="Q1961" i="3"/>
  <c r="Q779" i="3"/>
  <c r="Q1695" i="3"/>
  <c r="Q828" i="3"/>
  <c r="Q1115" i="3"/>
  <c r="Q718" i="3"/>
  <c r="Q830" i="3"/>
  <c r="Q1286" i="3"/>
  <c r="Q1095" i="3"/>
  <c r="Q1406" i="3"/>
  <c r="Q1662" i="3"/>
  <c r="Q699" i="3"/>
  <c r="Q955" i="3"/>
  <c r="Q878" i="3"/>
  <c r="Q1070" i="3"/>
  <c r="Q1718" i="3"/>
  <c r="Q1838" i="3"/>
  <c r="Q1966" i="3"/>
  <c r="Q1059" i="3"/>
  <c r="Q1379" i="3"/>
  <c r="Q1635" i="3"/>
  <c r="Q1843" i="3"/>
  <c r="Q1456" i="3"/>
  <c r="Q1968" i="3"/>
  <c r="Q778" i="3"/>
  <c r="Q1410" i="3"/>
  <c r="Q1866" i="3"/>
  <c r="Q799" i="3"/>
  <c r="Q1119" i="3"/>
  <c r="Q933" i="3"/>
  <c r="Q1203" i="3"/>
  <c r="Q1719" i="3"/>
  <c r="Q1859" i="3"/>
  <c r="Q1376" i="3"/>
  <c r="Q1632" i="3"/>
  <c r="Q1888" i="3"/>
  <c r="Q745" i="3"/>
  <c r="Q1729" i="3"/>
  <c r="Q666" i="3"/>
  <c r="Q1050" i="3"/>
  <c r="Q1554" i="3"/>
  <c r="Q1802" i="3"/>
  <c r="Q1938" i="3"/>
  <c r="Q1087" i="3"/>
  <c r="Q724" i="3"/>
  <c r="Q852" i="3"/>
  <c r="Q1124" i="3"/>
  <c r="Q1708" i="3"/>
  <c r="Q1964" i="3"/>
  <c r="Q1469" i="3"/>
  <c r="Q1154" i="3"/>
  <c r="Q1418" i="3"/>
  <c r="Q888" i="3"/>
  <c r="Q1004" i="3"/>
  <c r="Q756" i="3"/>
  <c r="Q1307" i="3"/>
  <c r="Q1819" i="3"/>
  <c r="Q664" i="3"/>
  <c r="Q792" i="3"/>
  <c r="Q704" i="3"/>
  <c r="Q1080" i="3"/>
  <c r="Q1676" i="3"/>
  <c r="Q1932" i="3"/>
  <c r="Q1042" i="3"/>
  <c r="Q1562" i="3"/>
  <c r="Q1533" i="3"/>
  <c r="Q1657" i="3"/>
  <c r="Q1112" i="3"/>
  <c r="Q1304" i="3"/>
  <c r="Q1560" i="3"/>
  <c r="Q1816" i="3"/>
  <c r="Q1493" i="3"/>
  <c r="Q1045" i="3"/>
  <c r="Q845" i="3"/>
  <c r="Q1873" i="3"/>
  <c r="Q1585" i="3"/>
  <c r="Q1197" i="3"/>
  <c r="Q1205" i="3"/>
  <c r="Q1509" i="3"/>
  <c r="Q1476" i="3"/>
  <c r="Q1732" i="3"/>
  <c r="Q1988" i="3"/>
  <c r="Q1256" i="3"/>
  <c r="Q1512" i="3"/>
  <c r="Q1768" i="3"/>
  <c r="Q1213" i="3"/>
  <c r="Q1681" i="3"/>
  <c r="Q853" i="3"/>
  <c r="Q1561" i="3"/>
  <c r="Q1969" i="3"/>
  <c r="Q651" i="3"/>
  <c r="Q652" i="3"/>
  <c r="Q571" i="3"/>
  <c r="Q638" i="3"/>
  <c r="Q115" i="3"/>
  <c r="Q125" i="3"/>
  <c r="Q639" i="3"/>
  <c r="Q97" i="3"/>
  <c r="Q653" i="3"/>
  <c r="Q122" i="3"/>
  <c r="Q116" i="3"/>
  <c r="Q152" i="3"/>
  <c r="Q121" i="3"/>
  <c r="Q642" i="3"/>
  <c r="Q967" i="3"/>
  <c r="Q865" i="3"/>
  <c r="Q1139" i="3"/>
  <c r="Q1415" i="3"/>
  <c r="Q1671" i="3"/>
  <c r="Q1927" i="3"/>
  <c r="Q1260" i="3"/>
  <c r="Q1229" i="3"/>
  <c r="Q962" i="3"/>
  <c r="Q1218" i="3"/>
  <c r="Q1482" i="3"/>
  <c r="Q1035" i="3"/>
  <c r="Q1323" i="3"/>
  <c r="Q1579" i="3"/>
  <c r="Q1835" i="3"/>
  <c r="Q1068" i="3"/>
  <c r="Q712" i="3"/>
  <c r="Q1465" i="3"/>
  <c r="Q708" i="3"/>
  <c r="Q1116" i="3"/>
  <c r="Q1016" i="3"/>
  <c r="Q1356" i="3"/>
  <c r="Q1612" i="3"/>
  <c r="Q1868" i="3"/>
  <c r="Q1106" i="3"/>
  <c r="Q1626" i="3"/>
  <c r="Q1277" i="3"/>
  <c r="Q709" i="3"/>
  <c r="Q1457" i="3"/>
  <c r="Q1665" i="3"/>
  <c r="Q1496" i="3"/>
  <c r="Q1752" i="3"/>
  <c r="Q1233" i="3"/>
  <c r="Q1797" i="3"/>
  <c r="Q1453" i="3"/>
  <c r="Q1257" i="3"/>
  <c r="Q1081" i="3"/>
  <c r="Q1832" i="3"/>
  <c r="Q965" i="3"/>
  <c r="Q1429" i="3"/>
  <c r="Q1913" i="3"/>
  <c r="Q909" i="3"/>
  <c r="Q1709" i="3"/>
  <c r="Q1438" i="3"/>
  <c r="Q1566" i="3"/>
  <c r="Q1694" i="3"/>
  <c r="Q1039" i="3"/>
  <c r="Q702" i="3"/>
  <c r="Q950" i="3"/>
  <c r="Q1270" i="3"/>
  <c r="Q1390" i="3"/>
  <c r="Q1646" i="3"/>
  <c r="Q1774" i="3"/>
  <c r="Q1910" i="3"/>
  <c r="Q931" i="3"/>
  <c r="Q995" i="3"/>
  <c r="Q1391" i="3"/>
  <c r="Q1647" i="3"/>
  <c r="Q1903" i="3"/>
  <c r="Q766" i="3"/>
  <c r="Q990" i="3"/>
  <c r="Q1246" i="3"/>
  <c r="Q1211" i="3"/>
  <c r="Q960" i="3"/>
  <c r="Q1552" i="3"/>
  <c r="Q1002" i="3"/>
  <c r="Q1258" i="3"/>
  <c r="Q1770" i="3"/>
  <c r="Q1914" i="3"/>
  <c r="Q655" i="3"/>
  <c r="Q911" i="3"/>
  <c r="Q866" i="3"/>
  <c r="Q797" i="3"/>
  <c r="Q1431" i="3"/>
  <c r="Q1008" i="3"/>
  <c r="Q1344" i="3"/>
  <c r="Q890" i="3"/>
  <c r="Q1274" i="3"/>
  <c r="Q1786" i="3"/>
  <c r="Q1922" i="3"/>
  <c r="Q727" i="3"/>
  <c r="Q919" i="3"/>
  <c r="Q1107" i="3"/>
  <c r="Q1703" i="3"/>
  <c r="Q1207" i="3"/>
  <c r="Q1467" i="3"/>
  <c r="Q752" i="3"/>
  <c r="Q956" i="3"/>
  <c r="Q940" i="3"/>
  <c r="Q1529" i="3"/>
  <c r="Q1250" i="3"/>
  <c r="Q1514" i="3"/>
  <c r="Q1762" i="3"/>
  <c r="Q1185" i="3"/>
  <c r="Q1308" i="3"/>
  <c r="Q1564" i="3"/>
  <c r="Q1820" i="3"/>
  <c r="Q973" i="3"/>
  <c r="Q1156" i="3"/>
  <c r="Q729" i="3"/>
  <c r="Q1717" i="3"/>
  <c r="Q1361" i="3"/>
  <c r="Q1658" i="3"/>
  <c r="Q1355" i="3"/>
  <c r="Q1611" i="3"/>
  <c r="Q1867" i="3"/>
  <c r="Q824" i="3"/>
  <c r="Q1245" i="3"/>
  <c r="Q692" i="3"/>
  <c r="Q1076" i="3"/>
  <c r="Q1724" i="3"/>
  <c r="Q1980" i="3"/>
  <c r="Q1725" i="3"/>
  <c r="Q1317" i="3"/>
  <c r="Q1188" i="3"/>
  <c r="Q1444" i="3"/>
  <c r="Q1700" i="3"/>
  <c r="Q1501" i="3"/>
  <c r="Q1049" i="3"/>
  <c r="Q1272" i="3"/>
  <c r="Q1365" i="3"/>
  <c r="Q1225" i="3"/>
  <c r="Q1492" i="3"/>
  <c r="Q1748" i="3"/>
  <c r="Q1973" i="3"/>
  <c r="Q1149" i="3"/>
  <c r="Q1085" i="3"/>
  <c r="Q873" i="3"/>
  <c r="Q1905" i="3"/>
  <c r="Q669" i="3"/>
  <c r="Q1736" i="3"/>
  <c r="Q1909" i="3"/>
  <c r="Q1677" i="3"/>
  <c r="Q1265" i="3"/>
  <c r="Q1757" i="3"/>
  <c r="Q715" i="3"/>
  <c r="Q971" i="3"/>
  <c r="Q1439" i="3"/>
  <c r="Q1363" i="3"/>
  <c r="Q662" i="3"/>
  <c r="Q1030" i="3"/>
  <c r="Q1158" i="3"/>
  <c r="Q1926" i="3"/>
  <c r="Q1475" i="3"/>
  <c r="Q1731" i="3"/>
  <c r="Q1726" i="3"/>
  <c r="Q891" i="3"/>
  <c r="Q1423" i="3"/>
  <c r="Q1679" i="3"/>
  <c r="Q1935" i="3"/>
  <c r="Q798" i="3"/>
  <c r="Q1398" i="3"/>
  <c r="Q1526" i="3"/>
  <c r="Q1902" i="3"/>
  <c r="Q723" i="3"/>
  <c r="Q787" i="3"/>
  <c r="Q992" i="3"/>
  <c r="Q1584" i="3"/>
  <c r="Q1421" i="3"/>
  <c r="Q1463" i="3"/>
  <c r="Q1040" i="3"/>
  <c r="Q1298" i="3"/>
  <c r="Q743" i="3"/>
  <c r="Q1351" i="3"/>
  <c r="Q1607" i="3"/>
  <c r="Q1863" i="3"/>
  <c r="Q882" i="3"/>
  <c r="Q1324" i="3"/>
  <c r="Q1580" i="3"/>
  <c r="Q981" i="3"/>
  <c r="Q1674" i="3"/>
  <c r="Q1387" i="3"/>
  <c r="Q1643" i="3"/>
  <c r="Q1899" i="3"/>
  <c r="Q760" i="3"/>
  <c r="Q1044" i="3"/>
  <c r="Q1425" i="3"/>
  <c r="Q1052" i="3"/>
  <c r="Q916" i="3"/>
  <c r="Q1420" i="3"/>
  <c r="Q1341" i="3"/>
  <c r="Q913" i="3"/>
  <c r="Q914" i="3"/>
  <c r="Q1690" i="3"/>
  <c r="Q1097" i="3"/>
  <c r="Q1173" i="3"/>
  <c r="Q1673" i="3"/>
  <c r="Q1437" i="3"/>
  <c r="Q741" i="3"/>
  <c r="Q713" i="3"/>
  <c r="Q1513" i="3"/>
  <c r="Q1348" i="3"/>
  <c r="Q1896" i="3"/>
  <c r="Q1181" i="3"/>
  <c r="Q1805" i="3"/>
  <c r="Q273" i="3"/>
  <c r="Q123" i="3"/>
  <c r="Q169" i="3"/>
  <c r="Q164" i="3"/>
  <c r="Q102" i="3"/>
  <c r="Q278" i="3"/>
  <c r="Q284" i="3"/>
  <c r="Q648" i="3"/>
  <c r="Q144" i="3"/>
  <c r="Q163" i="3"/>
  <c r="Q444" i="3"/>
  <c r="Q124" i="3"/>
  <c r="Q875" i="3"/>
  <c r="Q1759" i="3"/>
  <c r="Q758" i="3"/>
  <c r="Q1427" i="3"/>
  <c r="Q1190" i="3"/>
  <c r="Q1318" i="3"/>
  <c r="Q1019" i="3"/>
  <c r="Q1283" i="3"/>
  <c r="Q1638" i="3"/>
  <c r="Q1766" i="3"/>
  <c r="Q795" i="3"/>
  <c r="Q1231" i="3"/>
  <c r="Q1487" i="3"/>
  <c r="Q1743" i="3"/>
  <c r="Q1999" i="3"/>
  <c r="Q910" i="3"/>
  <c r="Q1102" i="3"/>
  <c r="Q1230" i="3"/>
  <c r="Q1358" i="3"/>
  <c r="Q1742" i="3"/>
  <c r="Q819" i="3"/>
  <c r="Q883" i="3"/>
  <c r="Q1443" i="3"/>
  <c r="Q1699" i="3"/>
  <c r="Q1056" i="3"/>
  <c r="Q1648" i="3"/>
  <c r="Q1904" i="3"/>
  <c r="Q842" i="3"/>
  <c r="Q1962" i="3"/>
  <c r="Q895" i="3"/>
  <c r="Q1043" i="3"/>
  <c r="Q834" i="3"/>
  <c r="Q1151" i="3"/>
  <c r="Q1399" i="3"/>
  <c r="Q1911" i="3"/>
  <c r="Q1184" i="3"/>
  <c r="Q1440" i="3"/>
  <c r="Q858" i="3"/>
  <c r="Q1242" i="3"/>
  <c r="Q1490" i="3"/>
  <c r="Q1754" i="3"/>
  <c r="Q711" i="3"/>
  <c r="Q732" i="3"/>
  <c r="Q2002" i="3"/>
  <c r="Q900" i="3"/>
  <c r="Q936" i="3"/>
  <c r="Q1388" i="3"/>
  <c r="Q1644" i="3"/>
  <c r="Q1730" i="3"/>
  <c r="Q1573" i="3"/>
  <c r="Q980" i="3"/>
  <c r="Q1987" i="3"/>
  <c r="Q1405" i="3"/>
  <c r="Q1169" i="3"/>
  <c r="Q1243" i="3"/>
  <c r="Q1499" i="3"/>
  <c r="Q1755" i="3"/>
  <c r="Q872" i="3"/>
  <c r="Q657" i="3"/>
  <c r="Q1370" i="3"/>
  <c r="Q1121" i="3"/>
  <c r="Q1753" i="3"/>
  <c r="Q1849" i="3"/>
  <c r="Q1433" i="3"/>
  <c r="Q1144" i="3"/>
  <c r="Q1368" i="3"/>
  <c r="Q1624" i="3"/>
  <c r="Q1880" i="3"/>
  <c r="Q1409" i="3"/>
  <c r="Q689" i="3"/>
  <c r="Q1749" i="3"/>
  <c r="Q1093" i="3"/>
  <c r="Q1333" i="3"/>
  <c r="Q1773" i="3"/>
  <c r="Q1249" i="3"/>
  <c r="Q1412" i="3"/>
  <c r="Q1668" i="3"/>
  <c r="Q1373" i="3"/>
  <c r="Q1137" i="3"/>
  <c r="Q1120" i="3"/>
  <c r="Q1320" i="3"/>
  <c r="Q1576" i="3"/>
  <c r="Q1473" i="3"/>
  <c r="Q1893" i="3"/>
  <c r="Q1545" i="3"/>
  <c r="Q1309" i="3"/>
  <c r="Q1885" i="3"/>
  <c r="Q1189" i="3"/>
  <c r="Q1167" i="3"/>
  <c r="Q1919" i="3"/>
  <c r="Q886" i="3"/>
  <c r="Q1078" i="3"/>
  <c r="Q1582" i="3"/>
  <c r="Q1710" i="3"/>
  <c r="Q1846" i="3"/>
  <c r="Q1123" i="3"/>
  <c r="Q1179" i="3"/>
  <c r="Q1715" i="3"/>
  <c r="Q926" i="3"/>
  <c r="Q1118" i="3"/>
  <c r="Q1886" i="3"/>
  <c r="Q403" i="3"/>
  <c r="Q1459" i="3"/>
  <c r="Q1955" i="3"/>
  <c r="Q809" i="3"/>
  <c r="Q1793" i="3"/>
  <c r="Q1130" i="3"/>
  <c r="Q1634" i="3"/>
  <c r="Q1815" i="3"/>
  <c r="Q1600" i="3"/>
  <c r="Q1856" i="3"/>
  <c r="Q1113" i="3"/>
  <c r="Q1650" i="3"/>
  <c r="Q663" i="3"/>
  <c r="Q1239" i="3"/>
  <c r="Q754" i="3"/>
  <c r="Q1079" i="3"/>
  <c r="Q1595" i="3"/>
  <c r="Q994" i="3"/>
  <c r="Q880" i="3"/>
  <c r="Q1948" i="3"/>
  <c r="Q1143" i="3"/>
  <c r="Q1161" i="3"/>
  <c r="Q1138" i="3"/>
  <c r="Q1402" i="3"/>
  <c r="Q696" i="3"/>
  <c r="Q736" i="3"/>
  <c r="Q864" i="3"/>
  <c r="Q1212" i="3"/>
  <c r="Q1468" i="3"/>
  <c r="Q849" i="3"/>
  <c r="Q1956" i="3"/>
  <c r="Q1013" i="3"/>
  <c r="Q1096" i="3"/>
  <c r="Q1528" i="3"/>
  <c r="Q1784" i="3"/>
  <c r="Q1537" i="3"/>
  <c r="Q1861" i="3"/>
  <c r="Q1741" i="3"/>
  <c r="Q925" i="3"/>
  <c r="Q1236" i="3"/>
  <c r="Q1869" i="3"/>
  <c r="Q1385" i="3"/>
  <c r="Q1381" i="3"/>
  <c r="Q945" i="3"/>
  <c r="Q1565" i="3"/>
  <c r="Q1224" i="3"/>
  <c r="Q1480" i="3"/>
  <c r="Q1992" i="3"/>
  <c r="Q1089" i="3"/>
  <c r="Q1332" i="3"/>
  <c r="Q1588" i="3"/>
  <c r="Q1844" i="3"/>
  <c r="Q1241" i="3"/>
  <c r="Q1517" i="3"/>
  <c r="Q1321" i="3"/>
  <c r="Q907" i="3"/>
  <c r="Q1567" i="3"/>
  <c r="Q966" i="3"/>
  <c r="Q1222" i="3"/>
  <c r="Q1350" i="3"/>
  <c r="Q1223" i="3"/>
  <c r="Q1470" i="3"/>
  <c r="Q1598" i="3"/>
  <c r="Q827" i="3"/>
  <c r="Q1155" i="3"/>
  <c r="Q806" i="3"/>
  <c r="Q694" i="3"/>
  <c r="Q1006" i="3"/>
  <c r="Q1134" i="3"/>
  <c r="Q1262" i="3"/>
  <c r="Q1654" i="3"/>
  <c r="Q1782" i="3"/>
  <c r="Q979" i="3"/>
  <c r="Q1251" i="3"/>
  <c r="Q1507" i="3"/>
  <c r="Q1763" i="3"/>
  <c r="Q1328" i="3"/>
  <c r="Q1840" i="3"/>
  <c r="Q929" i="3"/>
  <c r="Q1034" i="3"/>
  <c r="Q1538" i="3"/>
  <c r="Q1794" i="3"/>
  <c r="Q1930" i="3"/>
  <c r="Q735" i="3"/>
  <c r="Q991" i="3"/>
  <c r="Q1075" i="3"/>
  <c r="Q1847" i="3"/>
  <c r="Q1504" i="3"/>
  <c r="Q1237" i="3"/>
  <c r="Q922" i="3"/>
  <c r="Q1682" i="3"/>
  <c r="Q871" i="3"/>
  <c r="Q935" i="3"/>
  <c r="Q1215" i="3"/>
  <c r="Q1479" i="3"/>
  <c r="Q728" i="3"/>
  <c r="Q856" i="3"/>
  <c r="Q996" i="3"/>
  <c r="Q968" i="3"/>
  <c r="Q1836" i="3"/>
  <c r="Q1037" i="3"/>
  <c r="Q1282" i="3"/>
  <c r="Q1515" i="3"/>
  <c r="Q1132" i="3"/>
  <c r="Q1833" i="3"/>
  <c r="Q1209" i="3"/>
  <c r="Q1435" i="3"/>
  <c r="Q1691" i="3"/>
  <c r="Q1947" i="3"/>
  <c r="Q920" i="3"/>
  <c r="Q788" i="3"/>
  <c r="Q1292" i="3"/>
  <c r="Q1548" i="3"/>
  <c r="Q1170" i="3"/>
  <c r="Q1434" i="3"/>
  <c r="Q1377" i="3"/>
  <c r="Q1921" i="3"/>
  <c r="Q1176" i="3"/>
  <c r="Q1432" i="3"/>
  <c r="Q1944" i="3"/>
  <c r="Q1153" i="3"/>
  <c r="Q957" i="3"/>
  <c r="Q1877" i="3"/>
  <c r="Q1569" i="3"/>
  <c r="Q1353" i="3"/>
  <c r="Q1701" i="3"/>
  <c r="Q837" i="3"/>
  <c r="Q1604" i="3"/>
  <c r="Q1860" i="3"/>
  <c r="Q1285" i="3"/>
  <c r="Q1152" i="3"/>
  <c r="Q1640" i="3"/>
  <c r="Q701" i="3"/>
  <c r="Q1981" i="3"/>
  <c r="Q1985" i="3"/>
  <c r="Q1697" i="3"/>
  <c r="Q785" i="3"/>
  <c r="Q1521" i="3"/>
  <c r="Q857" i="3"/>
  <c r="Q1449" i="3"/>
  <c r="Q168" i="3"/>
  <c r="Q271" i="3"/>
  <c r="Q167" i="3"/>
  <c r="Q148" i="3"/>
  <c r="Q500" i="3"/>
  <c r="Q112" i="3"/>
  <c r="Q277" i="3"/>
  <c r="Q171" i="3"/>
  <c r="Q646" i="3"/>
  <c r="Q153" i="3"/>
  <c r="Q117" i="3"/>
  <c r="Q159" i="3"/>
  <c r="Q145" i="3"/>
  <c r="Q644" i="3"/>
  <c r="Q285" i="3"/>
  <c r="Q637" i="3"/>
  <c r="Q111" i="3"/>
  <c r="Q636" i="3"/>
  <c r="Q113" i="3"/>
  <c r="Q114" i="3"/>
  <c r="Q93" i="3"/>
  <c r="Q649" i="3"/>
  <c r="Q272" i="3"/>
  <c r="Q274" i="3"/>
  <c r="Q162" i="3"/>
  <c r="Q650" i="3"/>
  <c r="Q151" i="3"/>
  <c r="Q92" i="3"/>
  <c r="Q154" i="3"/>
  <c r="Q645" i="3"/>
  <c r="Q364" i="3"/>
  <c r="Q1539" i="3"/>
  <c r="Q1382" i="3"/>
  <c r="Q1510" i="3"/>
  <c r="Q731" i="3"/>
  <c r="Q987" i="3"/>
  <c r="Q846" i="3"/>
  <c r="Q1166" i="3"/>
  <c r="Q1422" i="3"/>
  <c r="Q1550" i="3"/>
  <c r="Q1678" i="3"/>
  <c r="Q1806" i="3"/>
  <c r="Q1007" i="3"/>
  <c r="Q1315" i="3"/>
  <c r="Q1392" i="3"/>
  <c r="Q1177" i="3"/>
  <c r="Q714" i="3"/>
  <c r="Q1098" i="3"/>
  <c r="Q1346" i="3"/>
  <c r="Q1602" i="3"/>
  <c r="Q1834" i="3"/>
  <c r="Q767" i="3"/>
  <c r="Q831" i="3"/>
  <c r="Q706" i="3"/>
  <c r="Q816" i="3"/>
  <c r="Q1655" i="3"/>
  <c r="Q1696" i="3"/>
  <c r="Q1952" i="3"/>
  <c r="Q1485" i="3"/>
  <c r="Q730" i="3"/>
  <c r="Q1618" i="3"/>
  <c r="Q1842" i="3"/>
  <c r="Q903" i="3"/>
  <c r="Q1287" i="3"/>
  <c r="Q1543" i="3"/>
  <c r="Q1799" i="3"/>
  <c r="Q808" i="3"/>
  <c r="Q1032" i="3"/>
  <c r="Q1900" i="3"/>
  <c r="Q1221" i="3"/>
  <c r="Q781" i="3"/>
  <c r="Q889" i="3"/>
  <c r="Q1354" i="3"/>
  <c r="Q1610" i="3"/>
  <c r="Q1163" i="3"/>
  <c r="Q1451" i="3"/>
  <c r="Q1707" i="3"/>
  <c r="Q1057" i="3"/>
  <c r="Q988" i="3"/>
  <c r="Q876" i="3"/>
  <c r="Q1484" i="3"/>
  <c r="Q1996" i="3"/>
  <c r="Q1593" i="3"/>
  <c r="Q1817" i="3"/>
  <c r="Q1641" i="3"/>
  <c r="Q881" i="3"/>
  <c r="Q897" i="3"/>
  <c r="Q1661" i="3"/>
  <c r="Q789" i="3"/>
  <c r="Q961" i="3"/>
  <c r="Q753" i="3"/>
  <c r="Q1924" i="3"/>
  <c r="Q1192" i="3"/>
  <c r="Q1704" i="3"/>
  <c r="Q1597" i="3"/>
  <c r="Q1133" i="3"/>
  <c r="Q893" i="3"/>
  <c r="Q1269" i="3"/>
  <c r="Q1389" i="3"/>
  <c r="Q1374" i="3"/>
  <c r="Q1502" i="3"/>
  <c r="Q1630" i="3"/>
  <c r="Q1758" i="3"/>
  <c r="Q1407" i="3"/>
  <c r="Q1663" i="3"/>
  <c r="Q790" i="3"/>
  <c r="Q814" i="3"/>
  <c r="Q1206" i="3"/>
  <c r="Q1334" i="3"/>
  <c r="Q1454" i="3"/>
  <c r="Q1974" i="3"/>
  <c r="Q867" i="3"/>
  <c r="Q1263" i="3"/>
  <c r="Q1519" i="3"/>
  <c r="Q1775" i="3"/>
  <c r="Q774" i="3"/>
  <c r="Q1054" i="3"/>
  <c r="Q1310" i="3"/>
  <c r="Q1088" i="3"/>
  <c r="Q1424" i="3"/>
  <c r="Q1680" i="3"/>
  <c r="Q1936" i="3"/>
  <c r="Q746" i="3"/>
  <c r="Q1378" i="3"/>
  <c r="Q1850" i="3"/>
  <c r="Q1978" i="3"/>
  <c r="Q847" i="3"/>
  <c r="Q738" i="3"/>
  <c r="Q1303" i="3"/>
  <c r="Q1559" i="3"/>
  <c r="Q1216" i="3"/>
  <c r="Q1472" i="3"/>
  <c r="Q1609" i="3"/>
  <c r="Q762" i="3"/>
  <c r="Q1146" i="3"/>
  <c r="Q1394" i="3"/>
  <c r="Q1858" i="3"/>
  <c r="Q1986" i="3"/>
  <c r="Q1319" i="3"/>
  <c r="Q1575" i="3"/>
  <c r="Q1831" i="3"/>
  <c r="Q1339" i="3"/>
  <c r="Q1851" i="3"/>
  <c r="Q1084" i="3"/>
  <c r="Q812" i="3"/>
  <c r="Q861" i="3"/>
  <c r="Q1841" i="3"/>
  <c r="Q1122" i="3"/>
  <c r="Q1386" i="3"/>
  <c r="Q1642" i="3"/>
  <c r="Q1705" i="3"/>
  <c r="Q844" i="3"/>
  <c r="Q1180" i="3"/>
  <c r="Q1436" i="3"/>
  <c r="Q1692" i="3"/>
  <c r="Q717" i="3"/>
  <c r="Q1015" i="3"/>
  <c r="Q1028" i="3"/>
  <c r="Q1227" i="3"/>
  <c r="Q1483" i="3"/>
  <c r="Q1739" i="3"/>
  <c r="Q1100" i="3"/>
  <c r="Q1765" i="3"/>
  <c r="Q948" i="3"/>
  <c r="Q1596" i="3"/>
  <c r="Q1852" i="3"/>
  <c r="Q1337" i="3"/>
  <c r="Q901" i="3"/>
  <c r="Q1897" i="3"/>
  <c r="Q1316" i="3"/>
  <c r="Q1572" i="3"/>
  <c r="Q1069" i="3"/>
  <c r="Q1160" i="3"/>
  <c r="Q1400" i="3"/>
  <c r="Q1813" i="3"/>
  <c r="Q725" i="3"/>
  <c r="Q1461" i="3"/>
  <c r="Q1364" i="3"/>
  <c r="Q1620" i="3"/>
  <c r="Q1876" i="3"/>
  <c r="Q761" i="3"/>
  <c r="Q1589" i="3"/>
  <c r="Q1601" i="3"/>
  <c r="Q1577" i="3"/>
  <c r="Q705" i="3"/>
  <c r="Q1957" i="3"/>
  <c r="Q749" i="3"/>
  <c r="Q1352" i="3"/>
  <c r="Q1605" i="3"/>
  <c r="Q1557" i="3"/>
  <c r="Q1997" i="3"/>
  <c r="Q977" i="3"/>
  <c r="Q1157" i="3"/>
  <c r="Q721" i="3"/>
  <c r="Q1837" i="3"/>
  <c r="Q843" i="3"/>
  <c r="Q1311" i="3"/>
  <c r="Q1823" i="3"/>
  <c r="Q838" i="3"/>
  <c r="Q1235" i="3"/>
  <c r="Q1747" i="3"/>
  <c r="Q902" i="3"/>
  <c r="Q1094" i="3"/>
  <c r="Q1862" i="3"/>
  <c r="Q1990" i="3"/>
  <c r="Q784" i="3"/>
  <c r="Q1347" i="3"/>
  <c r="Q1603" i="3"/>
  <c r="Q1534" i="3"/>
  <c r="Q1790" i="3"/>
  <c r="Q763" i="3"/>
  <c r="Q1027" i="3"/>
  <c r="Q1295" i="3"/>
  <c r="Q1551" i="3"/>
  <c r="Q1807" i="3"/>
  <c r="Q942" i="3"/>
  <c r="Q1198" i="3"/>
  <c r="Q1326" i="3"/>
  <c r="Q1462" i="3"/>
  <c r="Q1590" i="3"/>
  <c r="Q659" i="3"/>
  <c r="Q851" i="3"/>
  <c r="Q915" i="3"/>
  <c r="Q906" i="3"/>
  <c r="Q1162" i="3"/>
  <c r="Q671" i="3"/>
  <c r="Q927" i="3"/>
  <c r="Q720" i="3"/>
  <c r="Q1335" i="3"/>
  <c r="Q1591" i="3"/>
  <c r="Q1248" i="3"/>
  <c r="Q1760" i="3"/>
  <c r="Q1178" i="3"/>
  <c r="Q1426" i="3"/>
  <c r="Q1874" i="3"/>
  <c r="Q807" i="3"/>
  <c r="Q1907" i="3"/>
  <c r="Q1970" i="3"/>
  <c r="Q1735" i="3"/>
  <c r="Q1991" i="3"/>
  <c r="Q1995" i="3"/>
  <c r="Q1196" i="3"/>
  <c r="Q1452" i="3"/>
  <c r="Q1489" i="3"/>
  <c r="Q1077" i="3"/>
  <c r="Q1026" i="3"/>
  <c r="Q1546" i="3"/>
  <c r="Q1818" i="3"/>
  <c r="Q1259" i="3"/>
  <c r="Q1771" i="3"/>
  <c r="Q1313" i="3"/>
  <c r="Q884" i="3"/>
  <c r="Q1172" i="3"/>
  <c r="Q1881" i="3"/>
  <c r="Q1563" i="3"/>
  <c r="Q660" i="3"/>
  <c r="Q832" i="3"/>
  <c r="Q952" i="3"/>
  <c r="Q1804" i="3"/>
  <c r="Q1941" i="3"/>
  <c r="Q953" i="3"/>
  <c r="Q1445" i="3"/>
  <c r="Q1693" i="3"/>
  <c r="Q1349" i="3"/>
  <c r="Q1688" i="3"/>
  <c r="Q1925" i="3"/>
  <c r="Q1065" i="3"/>
  <c r="Q1001" i="3"/>
  <c r="Q1401" i="3"/>
  <c r="Q1220" i="3"/>
  <c r="Q1625" i="3"/>
  <c r="Q1329" i="3"/>
  <c r="Q1109" i="3"/>
  <c r="Q1733" i="3"/>
  <c r="Q1737" i="3"/>
  <c r="Q1165" i="3"/>
  <c r="Q1289" i="3"/>
  <c r="Q1397" i="3"/>
  <c r="Q1129" i="3"/>
  <c r="Q1993" i="3"/>
  <c r="Q1637" i="3"/>
  <c r="Q937" i="3"/>
  <c r="Q654" i="3"/>
  <c r="Q103" i="3"/>
  <c r="Q647" i="3"/>
  <c r="Q170" i="3"/>
  <c r="Q624" i="3"/>
  <c r="Q276" i="3"/>
  <c r="Q363" i="3"/>
  <c r="Q635" i="3"/>
  <c r="Q106" i="3"/>
  <c r="Q160" i="3"/>
  <c r="Q166" i="3"/>
  <c r="R167" i="3" s="1"/>
  <c r="Q629" i="3"/>
  <c r="Q381" i="3"/>
  <c r="Q180" i="3"/>
  <c r="Q641" i="3"/>
  <c r="Q640" i="3"/>
  <c r="Q275" i="3"/>
  <c r="Q146" i="3"/>
  <c r="Q279" i="3"/>
  <c r="Q387" i="3"/>
  <c r="Q391" i="3"/>
  <c r="Q395" i="3"/>
  <c r="Q400" i="3"/>
  <c r="Q326" i="3"/>
  <c r="Q357" i="3"/>
  <c r="Q94" i="3"/>
  <c r="Q46" i="3"/>
  <c r="Q442" i="3"/>
  <c r="Q178" i="3"/>
  <c r="Q359" i="3"/>
  <c r="Q436" i="3"/>
  <c r="Q96" i="3"/>
  <c r="Q376" i="3"/>
  <c r="Q340" i="3"/>
  <c r="Q524" i="3"/>
  <c r="Q433" i="3"/>
  <c r="Q105" i="3"/>
  <c r="Q43" i="3"/>
  <c r="Q299" i="3"/>
  <c r="Q470" i="3"/>
  <c r="Q323" i="3"/>
  <c r="Q379" i="3"/>
  <c r="Q179" i="3"/>
  <c r="Q371" i="3"/>
  <c r="Q451" i="3"/>
  <c r="Q528" i="3"/>
  <c r="Q63" i="3"/>
  <c r="Q37" i="3"/>
  <c r="Q95" i="3"/>
  <c r="Q351" i="3"/>
  <c r="Q82" i="3"/>
  <c r="Q375" i="3"/>
  <c r="Q482" i="3"/>
  <c r="Q632" i="3"/>
  <c r="Q60" i="3"/>
  <c r="Q488" i="3"/>
  <c r="Q473" i="3"/>
  <c r="Q89" i="3"/>
  <c r="Q569" i="3"/>
  <c r="Q109" i="3"/>
  <c r="Q605" i="3"/>
  <c r="Q613" i="3"/>
  <c r="Q126" i="3"/>
  <c r="Q427" i="3"/>
  <c r="Q486" i="3"/>
  <c r="Q72" i="3"/>
  <c r="Q138" i="3"/>
  <c r="Q506" i="3"/>
  <c r="Q487" i="3"/>
  <c r="Q90" i="3"/>
  <c r="Q296" i="3"/>
  <c r="Q354" i="3"/>
  <c r="Q508" i="3"/>
  <c r="Q452" i="3"/>
  <c r="Q360" i="3"/>
  <c r="Q353" i="3"/>
  <c r="R356" i="3" s="1"/>
  <c r="Q68" i="3"/>
  <c r="Q510" i="3"/>
  <c r="Q75" i="3"/>
  <c r="Q267" i="3"/>
  <c r="Q331" i="3"/>
  <c r="Q502" i="3"/>
  <c r="Q35" i="3"/>
  <c r="Q606" i="3"/>
  <c r="Q483" i="3"/>
  <c r="Q104" i="3"/>
  <c r="Q34" i="3"/>
  <c r="Q415" i="3"/>
  <c r="Q607" i="3"/>
  <c r="Q472" i="3"/>
  <c r="Q450" i="3"/>
  <c r="Q49" i="3"/>
  <c r="Q413" i="3"/>
  <c r="Q449" i="3"/>
  <c r="Q361" i="3"/>
  <c r="Q377" i="3"/>
  <c r="Q620" i="3"/>
  <c r="Q349" i="3"/>
  <c r="Q417" i="3"/>
  <c r="Q386" i="3"/>
  <c r="Q384" i="3"/>
  <c r="Q396" i="3"/>
  <c r="Q390" i="3"/>
  <c r="Q398" i="3"/>
  <c r="Q394" i="3"/>
  <c r="Q38" i="3"/>
  <c r="Q467" i="3"/>
  <c r="Q53" i="3"/>
  <c r="Q314" i="3"/>
  <c r="Q143" i="3"/>
  <c r="Q335" i="3"/>
  <c r="Q431" i="3"/>
  <c r="Q55" i="3"/>
  <c r="Q50" i="3"/>
  <c r="Q47" i="3"/>
  <c r="Q295" i="3"/>
  <c r="Q266" i="3"/>
  <c r="Q434" i="3"/>
  <c r="Q368" i="3"/>
  <c r="Q74" i="3"/>
  <c r="Q344" i="3"/>
  <c r="Q100" i="3"/>
  <c r="Q428" i="3"/>
  <c r="Q177" i="3"/>
  <c r="Q481" i="3"/>
  <c r="Q507" i="3"/>
  <c r="Q185" i="3"/>
  <c r="Q78" i="3"/>
  <c r="Q59" i="3"/>
  <c r="Q315" i="3"/>
  <c r="Q65" i="3"/>
  <c r="Q634" i="3"/>
  <c r="Q489" i="3"/>
  <c r="Q311" i="3"/>
  <c r="Q535" i="3"/>
  <c r="Q58" i="3"/>
  <c r="Q466" i="3"/>
  <c r="Q86" i="3"/>
  <c r="Q268" i="3"/>
  <c r="Q337" i="3"/>
  <c r="Q369" i="3"/>
  <c r="Q172" i="3"/>
  <c r="Q617" i="3"/>
  <c r="Q77" i="3"/>
  <c r="Q435" i="3"/>
  <c r="Q627" i="3"/>
  <c r="Q56" i="3"/>
  <c r="Q350" i="3"/>
  <c r="Q619" i="3"/>
  <c r="Q422" i="3"/>
  <c r="Q370" i="3"/>
  <c r="Q429" i="3"/>
  <c r="Q175" i="3"/>
  <c r="Q463" i="3"/>
  <c r="Q527" i="3"/>
  <c r="Q362" i="3"/>
  <c r="Q609" i="3"/>
  <c r="Q135" i="3"/>
  <c r="Q423" i="3"/>
  <c r="Q98" i="3"/>
  <c r="Q536" i="3"/>
  <c r="Q310" i="3"/>
  <c r="Q52" i="3"/>
  <c r="Q456" i="3"/>
  <c r="Q418" i="3"/>
  <c r="Q608" i="3"/>
  <c r="Q341" i="3"/>
  <c r="Q425" i="3"/>
  <c r="Q325" i="3"/>
  <c r="Q321" i="3"/>
  <c r="Q5" i="3"/>
  <c r="Q446" i="3"/>
  <c r="Q475" i="3"/>
  <c r="Q539" i="3"/>
  <c r="Q136" i="3"/>
  <c r="Q438" i="3"/>
  <c r="Q614" i="3"/>
  <c r="Q88" i="3"/>
  <c r="Q419" i="3"/>
  <c r="Q426" i="3"/>
  <c r="Q503" i="3"/>
  <c r="Q130" i="3"/>
  <c r="Q48" i="3"/>
  <c r="Q324" i="3"/>
  <c r="Q262" i="3"/>
  <c r="Q42" i="3"/>
  <c r="Q306" i="3"/>
  <c r="Q532" i="3"/>
  <c r="Q537" i="3"/>
  <c r="Q493" i="3"/>
  <c r="Q345" i="3"/>
  <c r="Q633" i="3"/>
  <c r="Q492" i="3"/>
  <c r="Q402" i="3"/>
  <c r="Q399" i="3"/>
  <c r="Q401" i="3"/>
  <c r="Q385" i="3"/>
  <c r="Q393" i="3"/>
  <c r="Q392" i="3"/>
  <c r="Q397" i="3"/>
  <c r="Q374" i="3"/>
  <c r="Q85" i="3"/>
  <c r="Q494" i="3"/>
  <c r="Q523" i="3"/>
  <c r="Q518" i="3"/>
  <c r="Q432" i="3"/>
  <c r="Q270" i="3"/>
  <c r="Q137" i="3"/>
  <c r="Q623" i="3"/>
  <c r="Q230" i="3"/>
  <c r="Q101" i="3"/>
  <c r="Q348" i="3"/>
  <c r="Q519" i="3"/>
  <c r="Q128" i="3"/>
  <c r="Q464" i="3"/>
  <c r="Q628" i="3"/>
  <c r="Q336" i="3"/>
  <c r="Q338" i="3"/>
  <c r="Q626" i="3"/>
  <c r="Q333" i="3"/>
  <c r="Q517" i="3"/>
  <c r="Q416" i="3"/>
  <c r="Q269" i="3"/>
  <c r="Q509" i="3"/>
  <c r="Q478" i="3"/>
  <c r="Q443" i="3"/>
  <c r="Q131" i="3"/>
  <c r="Q316" i="3"/>
  <c r="Q51" i="3"/>
  <c r="Q243" i="3"/>
  <c r="Q307" i="3"/>
  <c r="Q522" i="3"/>
  <c r="Q511" i="3"/>
  <c r="Q301" i="3"/>
  <c r="Q474" i="3"/>
  <c r="Q118" i="3"/>
  <c r="Q183" i="3"/>
  <c r="Q471" i="3"/>
  <c r="Q498" i="3"/>
  <c r="Q312" i="3"/>
  <c r="Q81" i="3"/>
  <c r="Q44" i="3"/>
  <c r="Q140" i="3"/>
  <c r="Q461" i="3"/>
  <c r="Q448" i="3"/>
  <c r="Q625" i="3"/>
  <c r="Q526" i="3"/>
  <c r="Q630" i="3"/>
  <c r="Q184" i="3"/>
  <c r="Q366" i="3"/>
  <c r="Q242" i="3"/>
  <c r="Q367" i="3"/>
  <c r="Q142" i="3"/>
  <c r="Q318" i="3"/>
  <c r="Q87" i="3"/>
  <c r="Q621" i="3"/>
  <c r="Q615" i="3"/>
  <c r="Q514" i="3"/>
  <c r="Q440" i="3"/>
  <c r="Q308" i="3"/>
  <c r="Q520" i="3"/>
  <c r="Q322" i="3"/>
  <c r="Q412" i="3"/>
  <c r="Q530" i="3"/>
  <c r="Q612" i="3"/>
  <c r="Q328" i="3"/>
  <c r="Q232" i="3"/>
  <c r="Q409" i="3"/>
  <c r="Q373" i="3"/>
  <c r="Q477" i="3"/>
  <c r="Q313" i="3"/>
  <c r="Q139" i="3"/>
  <c r="Q411" i="3"/>
  <c r="Q129" i="3"/>
  <c r="Q91" i="3"/>
  <c r="Q347" i="3"/>
  <c r="Q40" i="3"/>
  <c r="Q611" i="3"/>
  <c r="Q365" i="3"/>
  <c r="Q61" i="3"/>
  <c r="Q70" i="3"/>
  <c r="Q410" i="3"/>
  <c r="Q538" i="3"/>
  <c r="Q439" i="3"/>
  <c r="Q80" i="3"/>
  <c r="Q468" i="3"/>
  <c r="Q176" i="3"/>
  <c r="Q516" i="3"/>
  <c r="Q54" i="3"/>
  <c r="Q504" i="3"/>
  <c r="Q41" i="3"/>
  <c r="Q445" i="3"/>
  <c r="Q501" i="3"/>
  <c r="Q441" i="3"/>
  <c r="Q332" i="3"/>
  <c r="Q141" i="3"/>
  <c r="Q601" i="3"/>
  <c r="Q317" i="3"/>
  <c r="Q388" i="3"/>
  <c r="Q408" i="3"/>
  <c r="Q405" i="3"/>
  <c r="Q407" i="3"/>
  <c r="Q406" i="3"/>
  <c r="Q382" i="3"/>
  <c r="Q174" i="3"/>
  <c r="R175" i="3" s="1"/>
  <c r="Q531" i="3"/>
  <c r="Q430" i="3"/>
  <c r="Q459" i="3"/>
  <c r="Q454" i="3"/>
  <c r="Q602" i="3"/>
  <c r="Q66" i="3"/>
  <c r="Q495" i="3"/>
  <c r="Q421" i="3"/>
  <c r="Q455" i="3"/>
  <c r="Q84" i="3"/>
  <c r="Q64" i="3"/>
  <c r="Q372" i="3"/>
  <c r="Q329" i="3"/>
  <c r="Q533" i="3"/>
  <c r="Q73" i="3"/>
  <c r="Q414" i="3"/>
  <c r="Q534" i="3"/>
  <c r="Q346" i="3"/>
  <c r="Q342" i="3"/>
  <c r="Q447" i="3"/>
  <c r="Q330" i="3"/>
  <c r="Q71" i="3"/>
  <c r="Q119" i="3"/>
  <c r="Q134" i="3"/>
  <c r="Q420" i="3"/>
  <c r="Q358" i="3"/>
  <c r="Q616" i="3"/>
  <c r="Q45" i="3"/>
  <c r="Q521" i="3"/>
  <c r="Q173" i="3"/>
  <c r="Q457" i="3"/>
  <c r="Q320" i="3"/>
  <c r="Q622" i="3"/>
  <c r="Q499" i="3"/>
  <c r="Q462" i="3"/>
  <c r="Q491" i="3"/>
  <c r="Q120" i="3"/>
  <c r="Q476" i="3"/>
  <c r="Q604" i="3"/>
  <c r="Q79" i="3"/>
  <c r="Q39" i="3"/>
  <c r="Q303" i="3"/>
  <c r="Q618" i="3"/>
  <c r="Q327" i="3"/>
  <c r="Q378" i="3"/>
  <c r="Q110" i="3"/>
  <c r="Q610" i="3"/>
  <c r="Q380" i="3"/>
  <c r="Q496" i="3"/>
  <c r="Q36" i="3"/>
  <c r="Q480" i="3"/>
  <c r="Q465" i="3"/>
  <c r="Q132" i="3"/>
  <c r="Q512" i="3"/>
  <c r="Q460" i="3"/>
  <c r="Q469" i="3"/>
  <c r="Q603" i="3"/>
  <c r="Q99" i="3"/>
  <c r="Q355" i="3"/>
  <c r="Q62" i="3"/>
  <c r="Q83" i="3"/>
  <c r="Q339" i="3"/>
  <c r="Q57" i="3"/>
  <c r="Q69" i="3"/>
  <c r="Q127" i="3"/>
  <c r="Q479" i="3"/>
  <c r="Q631" i="3"/>
  <c r="Q76" i="3"/>
  <c r="Q352" i="3"/>
  <c r="Q505" i="3"/>
  <c r="Q525" i="3"/>
  <c r="Q133" i="3"/>
  <c r="Q453" i="3"/>
  <c r="Q108" i="3"/>
  <c r="Q497" i="3"/>
  <c r="D39" i="42"/>
  <c r="P658" i="3"/>
  <c r="Q229" i="3"/>
  <c r="Q15" i="3"/>
  <c r="Q13" i="3"/>
  <c r="Q20" i="3"/>
  <c r="Q10" i="3"/>
  <c r="Q19" i="3"/>
  <c r="Q18" i="3"/>
  <c r="Q17" i="3"/>
  <c r="Q16" i="3"/>
  <c r="Q187" i="3"/>
  <c r="Q246" i="3"/>
  <c r="P188" i="3"/>
  <c r="P191" i="3"/>
  <c r="P189" i="3"/>
  <c r="Q186" i="3"/>
  <c r="Q244" i="3"/>
  <c r="Q245" i="3"/>
  <c r="Q211" i="3"/>
  <c r="Q215" i="3"/>
  <c r="Q204" i="3"/>
  <c r="Q214" i="3"/>
  <c r="Q212" i="3"/>
  <c r="Q205" i="3"/>
  <c r="P200" i="3"/>
  <c r="P199" i="3"/>
  <c r="P196" i="3"/>
  <c r="P205" i="3"/>
  <c r="P217" i="3"/>
  <c r="P193" i="3"/>
  <c r="P210" i="3"/>
  <c r="P211" i="3"/>
  <c r="P215" i="3"/>
  <c r="P198" i="3"/>
  <c r="P207" i="3"/>
  <c r="P220" i="3"/>
  <c r="P216" i="3"/>
  <c r="P218" i="3"/>
  <c r="P654" i="3"/>
  <c r="P24" i="3"/>
  <c r="P168" i="3"/>
  <c r="P14" i="3"/>
  <c r="P174" i="3"/>
  <c r="P374" i="3"/>
  <c r="P85" i="3"/>
  <c r="P467" i="3"/>
  <c r="P531" i="3"/>
  <c r="P326" i="3"/>
  <c r="P454" i="3"/>
  <c r="P518" i="3"/>
  <c r="P53" i="3"/>
  <c r="P357" i="3"/>
  <c r="P94" i="3"/>
  <c r="P270" i="3"/>
  <c r="P314" i="3"/>
  <c r="P602" i="3"/>
  <c r="P137" i="3"/>
  <c r="P293" i="3"/>
  <c r="P66" i="3"/>
  <c r="P202" i="3"/>
  <c r="P233" i="3"/>
  <c r="P46" i="3"/>
  <c r="P230" i="3"/>
  <c r="P290" i="3"/>
  <c r="P442" i="3"/>
  <c r="P421" i="3"/>
  <c r="P50" i="3"/>
  <c r="P178" i="3"/>
  <c r="P570" i="3"/>
  <c r="P170" i="3"/>
  <c r="P484" i="3"/>
  <c r="P96" i="3"/>
  <c r="P252" i="3"/>
  <c r="P6" i="3"/>
  <c r="P214" i="3"/>
  <c r="P26" i="3"/>
  <c r="P212" i="3"/>
  <c r="P340" i="3"/>
  <c r="P20" i="3"/>
  <c r="P84" i="3"/>
  <c r="P148" i="3"/>
  <c r="P186" i="3"/>
  <c r="P244" i="3"/>
  <c r="P372" i="3"/>
  <c r="P500" i="3"/>
  <c r="P628" i="3"/>
  <c r="P112" i="3"/>
  <c r="P336" i="3"/>
  <c r="P74" i="3"/>
  <c r="P626" i="3"/>
  <c r="P248" i="3"/>
  <c r="P344" i="3"/>
  <c r="P276" i="3"/>
  <c r="P524" i="3"/>
  <c r="P652" i="3"/>
  <c r="P197" i="3"/>
  <c r="P433" i="3"/>
  <c r="P333" i="3"/>
  <c r="P273" i="3"/>
  <c r="P177" i="3"/>
  <c r="P416" i="3"/>
  <c r="P329" i="3"/>
  <c r="P305" i="3"/>
  <c r="P277" i="3"/>
  <c r="P261" i="3"/>
  <c r="P73" i="3"/>
  <c r="P414" i="3"/>
  <c r="P478" i="3"/>
  <c r="P470" i="3"/>
  <c r="P534" i="3"/>
  <c r="P646" i="3"/>
  <c r="P185" i="3"/>
  <c r="P131" i="3"/>
  <c r="P195" i="3"/>
  <c r="P259" i="3"/>
  <c r="P323" i="3"/>
  <c r="P78" i="3"/>
  <c r="P638" i="3"/>
  <c r="P153" i="3"/>
  <c r="P59" i="3"/>
  <c r="P123" i="3"/>
  <c r="P187" i="3"/>
  <c r="P251" i="3"/>
  <c r="P315" i="3"/>
  <c r="P379" i="3"/>
  <c r="P316" i="3"/>
  <c r="Q643" i="3"/>
  <c r="P125" i="3"/>
  <c r="P95" i="3"/>
  <c r="P159" i="3"/>
  <c r="P223" i="3"/>
  <c r="P287" i="3"/>
  <c r="P351" i="3"/>
  <c r="P447" i="3"/>
  <c r="P511" i="3"/>
  <c r="P639" i="3"/>
  <c r="P301" i="3"/>
  <c r="P489" i="3"/>
  <c r="P119" i="3"/>
  <c r="P183" i="3"/>
  <c r="P247" i="3"/>
  <c r="P311" i="3"/>
  <c r="P375" i="3"/>
  <c r="P471" i="3"/>
  <c r="P535" i="3"/>
  <c r="P160" i="3"/>
  <c r="Q334" i="3"/>
  <c r="P194" i="3"/>
  <c r="P228" i="3"/>
  <c r="P632" i="3"/>
  <c r="P298" i="3"/>
  <c r="P466" i="3"/>
  <c r="P420" i="3"/>
  <c r="P424" i="3"/>
  <c r="P256" i="3"/>
  <c r="P86" i="3"/>
  <c r="P286" i="3"/>
  <c r="P498" i="3"/>
  <c r="P312" i="3"/>
  <c r="P644" i="3"/>
  <c r="P140" i="3"/>
  <c r="P268" i="3"/>
  <c r="P45" i="3"/>
  <c r="P285" i="3"/>
  <c r="P17" i="3"/>
  <c r="P253" i="3"/>
  <c r="P629" i="3"/>
  <c r="P369" i="3"/>
  <c r="P201" i="3"/>
  <c r="P249" i="3"/>
  <c r="P637" i="3"/>
  <c r="P289" i="3"/>
  <c r="P617" i="3"/>
  <c r="P89" i="3"/>
  <c r="P457" i="3"/>
  <c r="P164" i="3"/>
  <c r="P320" i="3"/>
  <c r="P448" i="3"/>
  <c r="P109" i="3"/>
  <c r="P605" i="3"/>
  <c r="P257" i="3"/>
  <c r="P241" i="3"/>
  <c r="P77" i="3"/>
  <c r="P625" i="3"/>
  <c r="P613" i="3"/>
  <c r="P126" i="3"/>
  <c r="P302" i="3"/>
  <c r="P102" i="3"/>
  <c r="P278" i="3"/>
  <c r="P350" i="3"/>
  <c r="P462" i="3"/>
  <c r="P526" i="3"/>
  <c r="P427" i="3"/>
  <c r="P491" i="3"/>
  <c r="P619" i="3"/>
  <c r="P8" i="3"/>
  <c r="P120" i="3"/>
  <c r="P72" i="3"/>
  <c r="P184" i="3"/>
  <c r="P366" i="3"/>
  <c r="P39" i="3"/>
  <c r="P111" i="3"/>
  <c r="P175" i="3"/>
  <c r="P239" i="3"/>
  <c r="P303" i="3"/>
  <c r="P367" i="3"/>
  <c r="P463" i="3"/>
  <c r="P527" i="3"/>
  <c r="P226" i="3"/>
  <c r="P362" i="3"/>
  <c r="P506" i="3"/>
  <c r="P618" i="3"/>
  <c r="P15" i="3"/>
  <c r="P87" i="3"/>
  <c r="P192" i="3"/>
  <c r="P636" i="3"/>
  <c r="P98" i="3"/>
  <c r="P234" i="3"/>
  <c r="P378" i="3"/>
  <c r="P514" i="3"/>
  <c r="P284" i="3"/>
  <c r="P308" i="3"/>
  <c r="P520" i="3"/>
  <c r="P648" i="3"/>
  <c r="P110" i="3"/>
  <c r="P310" i="3"/>
  <c r="P90" i="3"/>
  <c r="P610" i="3"/>
  <c r="P412" i="3"/>
  <c r="P296" i="3"/>
  <c r="P113" i="3"/>
  <c r="P52" i="3"/>
  <c r="P116" i="3"/>
  <c r="P180" i="3"/>
  <c r="P612" i="3"/>
  <c r="P328" i="3"/>
  <c r="P456" i="3"/>
  <c r="P32" i="3"/>
  <c r="P10" i="3"/>
  <c r="P232" i="3"/>
  <c r="P360" i="3"/>
  <c r="P36" i="3"/>
  <c r="P480" i="3"/>
  <c r="P608" i="3"/>
  <c r="P341" i="3"/>
  <c r="P641" i="3"/>
  <c r="P469" i="3"/>
  <c r="P321" i="3"/>
  <c r="P221" i="3"/>
  <c r="P477" i="3"/>
  <c r="P313" i="3"/>
  <c r="P11" i="3"/>
  <c r="P75" i="3"/>
  <c r="P139" i="3"/>
  <c r="P203" i="3"/>
  <c r="P267" i="3"/>
  <c r="P331" i="3"/>
  <c r="P411" i="3"/>
  <c r="P475" i="3"/>
  <c r="P539" i="3"/>
  <c r="P603" i="3"/>
  <c r="P129" i="3"/>
  <c r="P136" i="3"/>
  <c r="P27" i="3"/>
  <c r="P91" i="3"/>
  <c r="P219" i="3"/>
  <c r="P283" i="3"/>
  <c r="P347" i="3"/>
  <c r="P40" i="3"/>
  <c r="P152" i="3"/>
  <c r="P62" i="3"/>
  <c r="P104" i="3"/>
  <c r="P272" i="3"/>
  <c r="P274" i="3"/>
  <c r="P426" i="3"/>
  <c r="P121" i="3"/>
  <c r="P70" i="3"/>
  <c r="P246" i="3"/>
  <c r="P34" i="3"/>
  <c r="P162" i="3"/>
  <c r="P22" i="3"/>
  <c r="P206" i="3"/>
  <c r="P18" i="3"/>
  <c r="P146" i="3"/>
  <c r="P538" i="3"/>
  <c r="P650" i="3"/>
  <c r="P31" i="3"/>
  <c r="P30" i="3"/>
  <c r="P238" i="3"/>
  <c r="P13" i="3"/>
  <c r="P28" i="3"/>
  <c r="P92" i="3"/>
  <c r="P48" i="3"/>
  <c r="P642" i="3"/>
  <c r="P190" i="3"/>
  <c r="P516" i="3"/>
  <c r="P12" i="3"/>
  <c r="P76" i="3"/>
  <c r="P54" i="3"/>
  <c r="P262" i="3"/>
  <c r="P42" i="3"/>
  <c r="P204" i="3"/>
  <c r="P352" i="3"/>
  <c r="P41" i="3"/>
  <c r="P537" i="3"/>
  <c r="P505" i="3"/>
  <c r="P493" i="3"/>
  <c r="P209" i="3"/>
  <c r="P225" i="3"/>
  <c r="P453" i="3"/>
  <c r="P441" i="3"/>
  <c r="P108" i="3"/>
  <c r="P332" i="3"/>
  <c r="P413" i="3"/>
  <c r="P265" i="3"/>
  <c r="P377" i="3"/>
  <c r="P317" i="3"/>
  <c r="P417" i="3"/>
  <c r="Q983" i="3"/>
  <c r="Q1441" i="3"/>
  <c r="Q1979" i="3"/>
  <c r="Q769" i="3"/>
  <c r="Q1201" i="3"/>
  <c r="Q1104" i="3"/>
  <c r="Q1540" i="3"/>
  <c r="Q1187" i="3"/>
  <c r="Q770" i="3"/>
  <c r="Q1853" i="3"/>
  <c r="Q1073" i="3"/>
  <c r="Q1983" i="3"/>
  <c r="Q1430" i="3"/>
  <c r="Q999" i="3"/>
  <c r="Q1066" i="3"/>
  <c r="Q877" i="3"/>
  <c r="Q1082" i="3"/>
  <c r="Q1186" i="3"/>
  <c r="Q1005" i="3"/>
  <c r="P833" i="3"/>
  <c r="Q1780" i="3"/>
  <c r="P777" i="3"/>
  <c r="Q1761" i="3"/>
  <c r="P758" i="3"/>
  <c r="P686" i="3"/>
  <c r="P870" i="3"/>
  <c r="P934" i="3"/>
  <c r="P998" i="3"/>
  <c r="P1019" i="3"/>
  <c r="Q1038" i="3"/>
  <c r="Q1294" i="3"/>
  <c r="Q1870" i="3"/>
  <c r="Q1669" i="3"/>
  <c r="P848" i="3"/>
  <c r="P730" i="3"/>
  <c r="P858" i="3"/>
  <c r="P986" i="3"/>
  <c r="P962" i="3"/>
  <c r="Q804" i="3"/>
  <c r="P897" i="3"/>
  <c r="P893" i="3"/>
  <c r="P909" i="3"/>
  <c r="P790" i="3"/>
  <c r="Q1518" i="3"/>
  <c r="P1008" i="3"/>
  <c r="P752" i="3"/>
  <c r="P404" i="3"/>
  <c r="P1028" i="3"/>
  <c r="P696" i="3"/>
  <c r="P824" i="3"/>
  <c r="P972" i="3"/>
  <c r="Q1217" i="3"/>
  <c r="P1025" i="3"/>
  <c r="P1029" i="3"/>
  <c r="Q817" i="3"/>
  <c r="P992" i="3"/>
  <c r="P799" i="3"/>
  <c r="P679" i="3"/>
  <c r="P807" i="3"/>
  <c r="P871" i="3"/>
  <c r="Q786" i="3"/>
  <c r="P728" i="3"/>
  <c r="P724" i="3"/>
  <c r="P996" i="3"/>
  <c r="P981" i="3"/>
  <c r="P760" i="3"/>
  <c r="P888" i="3"/>
  <c r="P1478" i="3"/>
  <c r="P726" i="3"/>
  <c r="P750" i="3"/>
  <c r="P854" i="3"/>
  <c r="P918" i="3"/>
  <c r="Q1110" i="3"/>
  <c r="P1302" i="3"/>
  <c r="P1814" i="3"/>
  <c r="Q1839" i="3"/>
  <c r="Q1214" i="3"/>
  <c r="P1523" i="3"/>
  <c r="Q1651" i="3"/>
  <c r="Q1053" i="3"/>
  <c r="Q1442" i="3"/>
  <c r="P944" i="3"/>
  <c r="P1072" i="3"/>
  <c r="P1664" i="3"/>
  <c r="P1857" i="3"/>
  <c r="P1722" i="3"/>
  <c r="P391" i="3"/>
  <c r="P695" i="3"/>
  <c r="P759" i="3"/>
  <c r="P823" i="3"/>
  <c r="P887" i="3"/>
  <c r="P951" i="3"/>
  <c r="P733" i="3"/>
  <c r="P386" i="3"/>
  <c r="P983" i="3"/>
  <c r="P1511" i="3"/>
  <c r="P764" i="3"/>
  <c r="Q1000" i="3"/>
  <c r="P1322" i="3"/>
  <c r="P388" i="3"/>
  <c r="P1441" i="3"/>
  <c r="P1628" i="3"/>
  <c r="P850" i="3"/>
  <c r="Q668" i="3"/>
  <c r="P769" i="3"/>
  <c r="P1803" i="3"/>
  <c r="Q1404" i="3"/>
  <c r="P1117" i="3"/>
  <c r="P1252" i="3"/>
  <c r="P1208" i="3"/>
  <c r="P1617" i="3"/>
  <c r="P1201" i="3"/>
  <c r="P1556" i="3"/>
  <c r="Q1393" i="3"/>
  <c r="P869" i="3"/>
  <c r="P697" i="3"/>
  <c r="P1193" i="3"/>
  <c r="Q1413" i="3"/>
  <c r="P1168" i="3"/>
  <c r="Q1288" i="3"/>
  <c r="P1672" i="3"/>
  <c r="P1785" i="3"/>
  <c r="P905" i="3"/>
  <c r="P1417" i="3"/>
  <c r="P1908" i="3"/>
  <c r="P1497" i="3"/>
  <c r="P1375" i="3"/>
  <c r="P1427" i="3"/>
  <c r="P1811" i="3"/>
  <c r="Q1126" i="3"/>
  <c r="P1830" i="3"/>
  <c r="P1766" i="3"/>
  <c r="P1231" i="3"/>
  <c r="P1743" i="3"/>
  <c r="P1166" i="3"/>
  <c r="P1422" i="3"/>
  <c r="P1678" i="3"/>
  <c r="P1904" i="3"/>
  <c r="P1474" i="3"/>
  <c r="P1898" i="3"/>
  <c r="P892" i="3"/>
  <c r="P706" i="3"/>
  <c r="P834" i="3"/>
  <c r="P1399" i="3"/>
  <c r="P1911" i="3"/>
  <c r="P1184" i="3"/>
  <c r="P1977" i="3"/>
  <c r="P1906" i="3"/>
  <c r="P1011" i="3"/>
  <c r="P1139" i="3"/>
  <c r="P1671" i="3"/>
  <c r="Q1963" i="3"/>
  <c r="P1644" i="3"/>
  <c r="Q1090" i="3"/>
  <c r="P1482" i="3"/>
  <c r="P1057" i="3"/>
  <c r="Q840" i="3"/>
  <c r="P748" i="3"/>
  <c r="P876" i="3"/>
  <c r="P1849" i="3"/>
  <c r="P1953" i="3"/>
  <c r="P1144" i="3"/>
  <c r="P1624" i="3"/>
  <c r="P1749" i="3"/>
  <c r="P1453" i="3"/>
  <c r="P1540" i="3"/>
  <c r="P921" i="3"/>
  <c r="P1081" i="3"/>
  <c r="P1832" i="3"/>
  <c r="P965" i="3"/>
  <c r="P1473" i="3"/>
  <c r="P1545" i="3"/>
  <c r="Q693" i="3"/>
  <c r="P1039" i="3"/>
  <c r="P1167" i="3"/>
  <c r="P1142" i="3"/>
  <c r="P1331" i="3"/>
  <c r="P1296" i="3"/>
  <c r="P1808" i="3"/>
  <c r="Q1506" i="3"/>
  <c r="P1239" i="3"/>
  <c r="P754" i="3"/>
  <c r="P684" i="3"/>
  <c r="P812" i="3"/>
  <c r="P1250" i="3"/>
  <c r="P1762" i="3"/>
  <c r="Q1530" i="3"/>
  <c r="P1611" i="3"/>
  <c r="P1076" i="3"/>
  <c r="P1724" i="3"/>
  <c r="P1297" i="3"/>
  <c r="P1897" i="3"/>
  <c r="P1572" i="3"/>
  <c r="P1069" i="3"/>
  <c r="P1160" i="3"/>
  <c r="P821" i="3"/>
  <c r="P1365" i="3"/>
  <c r="P1748" i="3"/>
  <c r="P1869" i="3"/>
  <c r="P749" i="3"/>
  <c r="P1736" i="3"/>
  <c r="Q1460" i="3"/>
  <c r="Q1972" i="3"/>
  <c r="P1241" i="3"/>
  <c r="P1517" i="3"/>
  <c r="P1837" i="3"/>
  <c r="P715" i="3"/>
  <c r="P779" i="3"/>
  <c r="P843" i="3"/>
  <c r="P907" i="3"/>
  <c r="P971" i="3"/>
  <c r="P1222" i="3"/>
  <c r="P1603" i="3"/>
  <c r="P1534" i="3"/>
  <c r="P1790" i="3"/>
  <c r="P1295" i="3"/>
  <c r="P1807" i="3"/>
  <c r="P694" i="3"/>
  <c r="P798" i="3"/>
  <c r="P878" i="3"/>
  <c r="P942" i="3"/>
  <c r="P1006" i="3"/>
  <c r="P1326" i="3"/>
  <c r="P1590" i="3"/>
  <c r="P1187" i="3"/>
  <c r="Q1200" i="3"/>
  <c r="P1584" i="3"/>
  <c r="Q1712" i="3"/>
  <c r="P778" i="3"/>
  <c r="P906" i="3"/>
  <c r="P1034" i="3"/>
  <c r="P1162" i="3"/>
  <c r="P770" i="3"/>
  <c r="P1847" i="3"/>
  <c r="P1859" i="3"/>
  <c r="Q794" i="3"/>
  <c r="P1802" i="3"/>
  <c r="P1215" i="3"/>
  <c r="P1324" i="3"/>
  <c r="P1077" i="3"/>
  <c r="P1044" i="3"/>
  <c r="Q1471" i="3"/>
  <c r="P1414" i="3"/>
  <c r="Q1542" i="3"/>
  <c r="P1670" i="3"/>
  <c r="P1471" i="3"/>
  <c r="P1983" i="3"/>
  <c r="P1238" i="3"/>
  <c r="P1494" i="3"/>
  <c r="P1750" i="3"/>
  <c r="Q1878" i="3"/>
  <c r="P387" i="3"/>
  <c r="P707" i="3"/>
  <c r="P771" i="3"/>
  <c r="P835" i="3"/>
  <c r="P899" i="3"/>
  <c r="P963" i="3"/>
  <c r="P1071" i="3"/>
  <c r="P1491" i="3"/>
  <c r="Q1327" i="3"/>
  <c r="P1583" i="3"/>
  <c r="P912" i="3"/>
  <c r="P999" i="3"/>
  <c r="P1127" i="3"/>
  <c r="P710" i="3"/>
  <c r="P822" i="3"/>
  <c r="P894" i="3"/>
  <c r="P958" i="3"/>
  <c r="P1022" i="3"/>
  <c r="P1086" i="3"/>
  <c r="P1342" i="3"/>
  <c r="P1918" i="3"/>
  <c r="P1031" i="3"/>
  <c r="P1159" i="3"/>
  <c r="P1024" i="3"/>
  <c r="P1232" i="3"/>
  <c r="P1744" i="3"/>
  <c r="P1549" i="3"/>
  <c r="P1194" i="3"/>
  <c r="P1706" i="3"/>
  <c r="P687" i="3"/>
  <c r="P751" i="3"/>
  <c r="P815" i="3"/>
  <c r="P879" i="3"/>
  <c r="Q802" i="3"/>
  <c r="P1879" i="3"/>
  <c r="P1536" i="3"/>
  <c r="P877" i="3"/>
  <c r="P1357" i="3"/>
  <c r="P1082" i="3"/>
  <c r="P1586" i="3"/>
  <c r="P1954" i="3"/>
  <c r="Q818" i="3"/>
  <c r="P1383" i="3"/>
  <c r="P1895" i="3"/>
  <c r="P1275" i="3"/>
  <c r="Q1531" i="3"/>
  <c r="P1787" i="3"/>
  <c r="Q1789" i="3"/>
  <c r="P1186" i="3"/>
  <c r="P1698" i="3"/>
  <c r="P1500" i="3"/>
  <c r="P1195" i="3"/>
  <c r="P1979" i="3"/>
  <c r="P1466" i="3"/>
  <c r="Q1764" i="3"/>
  <c r="Q1892" i="3"/>
  <c r="Q941" i="3"/>
  <c r="P1592" i="3"/>
  <c r="Q1801" i="3"/>
  <c r="P2001" i="3"/>
  <c r="P1781" i="3"/>
  <c r="P1825" i="3"/>
  <c r="P1821" i="3"/>
  <c r="P1104" i="3"/>
  <c r="P1301" i="3"/>
  <c r="P1268" i="3"/>
  <c r="Q1261" i="3"/>
  <c r="Q1061" i="3"/>
  <c r="P670" i="3"/>
  <c r="P1247" i="3"/>
  <c r="Q656" i="3"/>
  <c r="P1683" i="3"/>
  <c r="Q782" i="3"/>
  <c r="Q1062" i="3"/>
  <c r="P1190" i="3"/>
  <c r="Q1667" i="3"/>
  <c r="P1446" i="3"/>
  <c r="P1702" i="3"/>
  <c r="Q1359" i="3"/>
  <c r="Q1871" i="3"/>
  <c r="P742" i="3"/>
  <c r="P1102" i="3"/>
  <c r="P1358" i="3"/>
  <c r="Q1934" i="3"/>
  <c r="P1827" i="3"/>
  <c r="Q970" i="3"/>
  <c r="P1346" i="3"/>
  <c r="P1834" i="3"/>
  <c r="P1271" i="3"/>
  <c r="Q1527" i="3"/>
  <c r="P1783" i="3"/>
  <c r="Q1312" i="3"/>
  <c r="Q1824" i="3"/>
  <c r="P989" i="3"/>
  <c r="P1362" i="3"/>
  <c r="P775" i="3"/>
  <c r="P967" i="3"/>
  <c r="P722" i="3"/>
  <c r="P900" i="3"/>
  <c r="P781" i="3"/>
  <c r="P1163" i="3"/>
  <c r="P1707" i="3"/>
  <c r="Q1111" i="3"/>
  <c r="P1499" i="3"/>
  <c r="Q1627" i="3"/>
  <c r="Q1740" i="3"/>
  <c r="P1457" i="3"/>
  <c r="P1665" i="3"/>
  <c r="P1496" i="3"/>
  <c r="P689" i="3"/>
  <c r="P1233" i="3"/>
  <c r="P789" i="3"/>
  <c r="P1333" i="3"/>
  <c r="P1924" i="3"/>
  <c r="P1845" i="3"/>
  <c r="P1133" i="3"/>
  <c r="Q1649" i="3"/>
  <c r="P805" i="3"/>
  <c r="P693" i="3"/>
  <c r="P1502" i="3"/>
  <c r="P1758" i="3"/>
  <c r="P814" i="3"/>
  <c r="P886" i="3"/>
  <c r="P950" i="3"/>
  <c r="P1014" i="3"/>
  <c r="P1334" i="3"/>
  <c r="Q739" i="3"/>
  <c r="P1647" i="3"/>
  <c r="P1118" i="3"/>
  <c r="P1950" i="3"/>
  <c r="Q1083" i="3"/>
  <c r="P1088" i="3"/>
  <c r="P1680" i="3"/>
  <c r="P1793" i="3"/>
  <c r="P1258" i="3"/>
  <c r="P1770" i="3"/>
  <c r="P655" i="3"/>
  <c r="P719" i="3"/>
  <c r="P911" i="3"/>
  <c r="P975" i="3"/>
  <c r="P406" i="3"/>
  <c r="P866" i="3"/>
  <c r="P1939" i="3"/>
  <c r="P1431" i="3"/>
  <c r="P1984" i="3"/>
  <c r="P1274" i="3"/>
  <c r="P1786" i="3"/>
  <c r="P1107" i="3"/>
  <c r="P1703" i="3"/>
  <c r="Q1959" i="3"/>
  <c r="P1207" i="3"/>
  <c r="P1841" i="3"/>
  <c r="P880" i="3"/>
  <c r="P1185" i="3"/>
  <c r="P1436" i="3"/>
  <c r="Q1048" i="3"/>
  <c r="P1266" i="3"/>
  <c r="P1778" i="3"/>
  <c r="Q1099" i="3"/>
  <c r="P1765" i="3"/>
  <c r="P1901" i="3"/>
  <c r="P901" i="3"/>
  <c r="P1956" i="3"/>
  <c r="P1013" i="3"/>
  <c r="P1049" i="3"/>
  <c r="P1096" i="3"/>
  <c r="P1528" i="3"/>
  <c r="P1589" i="3"/>
  <c r="P1601" i="3"/>
  <c r="P1905" i="3"/>
  <c r="P669" i="3"/>
  <c r="P1136" i="3"/>
  <c r="P1608" i="3"/>
  <c r="P1997" i="3"/>
  <c r="P1204" i="3"/>
  <c r="P1716" i="3"/>
  <c r="P1321" i="3"/>
  <c r="P1961" i="3"/>
  <c r="Q1951" i="3"/>
  <c r="P1235" i="3"/>
  <c r="P1158" i="3"/>
  <c r="P1990" i="3"/>
  <c r="P1470" i="3"/>
  <c r="P1155" i="3"/>
  <c r="P1262" i="3"/>
  <c r="P1782" i="3"/>
  <c r="P1059" i="3"/>
  <c r="P1251" i="3"/>
  <c r="P1763" i="3"/>
  <c r="Q688" i="3"/>
  <c r="P1456" i="3"/>
  <c r="P1968" i="3"/>
  <c r="Q1917" i="3"/>
  <c r="Q1290" i="3"/>
  <c r="P1538" i="3"/>
  <c r="Q1666" i="3"/>
  <c r="P1930" i="3"/>
  <c r="Q1994" i="3"/>
  <c r="Q863" i="3"/>
  <c r="Q1975" i="3"/>
  <c r="P1040" i="3"/>
  <c r="P1729" i="3"/>
  <c r="P1178" i="3"/>
  <c r="P1907" i="3"/>
  <c r="P1607" i="3"/>
  <c r="P1708" i="3"/>
  <c r="P1833" i="3"/>
  <c r="P1052" i="3"/>
  <c r="Q1306" i="3"/>
  <c r="Q737" i="3"/>
  <c r="Q1384" i="3"/>
  <c r="Q1145" i="3"/>
  <c r="L15" i="42" l="1"/>
  <c r="L17" i="42" s="1"/>
  <c r="E30" i="61"/>
  <c r="G30" i="61" s="1"/>
  <c r="G50" i="61" s="1"/>
  <c r="G28" i="61"/>
  <c r="H28" i="61"/>
  <c r="Q291" i="3"/>
  <c r="Q289" i="3"/>
  <c r="Q287" i="3"/>
  <c r="Q207" i="3"/>
  <c r="Q206" i="3"/>
  <c r="Q147" i="3"/>
  <c r="S353" i="3"/>
  <c r="S354" i="3"/>
  <c r="S119" i="3"/>
  <c r="S293" i="3"/>
  <c r="S391" i="3"/>
  <c r="S392" i="3"/>
  <c r="Q305" i="3"/>
  <c r="S120" i="3"/>
  <c r="S360" i="3"/>
  <c r="S294" i="3"/>
  <c r="Q424" i="3"/>
  <c r="S361" i="3"/>
  <c r="Q389" i="3"/>
  <c r="R419" i="3" s="1"/>
  <c r="Q290" i="3"/>
  <c r="Q223" i="3"/>
  <c r="Q196" i="3"/>
  <c r="Q194" i="3"/>
  <c r="Q192" i="3"/>
  <c r="Q197" i="3"/>
  <c r="Q190" i="3"/>
  <c r="Q188" i="3"/>
  <c r="Q203" i="3"/>
  <c r="Q200" i="3"/>
  <c r="Q193" i="3"/>
  <c r="Q195" i="3"/>
  <c r="Q201" i="3"/>
  <c r="Q198" i="3"/>
  <c r="Q26" i="3"/>
  <c r="Q236" i="3"/>
  <c r="R237" i="3" s="1"/>
  <c r="Q11" i="3"/>
  <c r="Q6" i="3"/>
  <c r="Q14" i="3"/>
  <c r="Q12" i="3"/>
  <c r="Q8" i="3"/>
  <c r="Q7" i="3"/>
  <c r="Q22" i="3"/>
  <c r="Q23" i="3"/>
  <c r="Q21" i="3"/>
  <c r="Q259" i="3"/>
  <c r="Q261" i="3"/>
  <c r="Q254" i="3"/>
  <c r="Q265" i="3"/>
  <c r="Q260" i="3"/>
  <c r="Q241" i="3"/>
  <c r="Q253" i="3"/>
  <c r="Q255" i="3"/>
  <c r="Q239" i="3"/>
  <c r="Q256" i="3"/>
  <c r="Q252" i="3"/>
  <c r="Q248" i="3"/>
  <c r="Q218" i="3"/>
  <c r="Q283" i="3"/>
  <c r="Q240" i="3"/>
  <c r="R229" i="3"/>
  <c r="Q191" i="3"/>
  <c r="Q247" i="3"/>
  <c r="Q251" i="3"/>
  <c r="R146" i="3"/>
  <c r="Q189" i="3"/>
  <c r="Q199" i="3"/>
  <c r="Q250" i="3"/>
  <c r="Q257" i="3"/>
  <c r="S260" i="3"/>
  <c r="Q217" i="3"/>
  <c r="Q220" i="3"/>
  <c r="Q221" i="3"/>
  <c r="S241" i="3"/>
  <c r="Q202" i="3"/>
  <c r="Q281" i="3"/>
  <c r="Q216" i="3"/>
  <c r="Q258" i="3"/>
  <c r="Q263" i="3"/>
  <c r="Q264" i="3"/>
  <c r="Q209" i="3"/>
  <c r="Q238" i="3"/>
  <c r="Q249" i="3"/>
  <c r="S242" i="3"/>
  <c r="Q280" i="3"/>
  <c r="R143" i="3"/>
  <c r="R423" i="3"/>
  <c r="R378" i="3"/>
  <c r="R173" i="3"/>
  <c r="R232" i="3"/>
  <c r="R301" i="3"/>
  <c r="Q282" i="3"/>
  <c r="S259" i="3"/>
  <c r="R170" i="3"/>
  <c r="I28" i="61" l="1"/>
  <c r="J28" i="61" s="1"/>
  <c r="E50" i="61"/>
  <c r="H30" i="61"/>
  <c r="I30" i="61" s="1"/>
  <c r="I50" i="61" s="1"/>
  <c r="R298" i="3"/>
  <c r="R279" i="3"/>
  <c r="R255" i="3"/>
  <c r="R289" i="3"/>
  <c r="J30" i="61" l="1"/>
  <c r="J50" i="61" s="1"/>
  <c r="K60" i="61" s="1"/>
  <c r="AT9" i="3" l="1"/>
  <c r="M9" i="3"/>
  <c r="P9" i="3" l="1"/>
  <c r="Q9" i="3" l="1"/>
  <c r="H568" i="3" l="1"/>
  <c r="F568" i="3"/>
  <c r="H567" i="3"/>
  <c r="F567" i="3"/>
  <c r="H566" i="3"/>
  <c r="F566" i="3"/>
  <c r="H565" i="3"/>
  <c r="F565" i="3"/>
  <c r="H564" i="3"/>
  <c r="F564" i="3"/>
  <c r="H563" i="3"/>
  <c r="F563" i="3"/>
  <c r="H562" i="3"/>
  <c r="F562" i="3"/>
  <c r="H561" i="3"/>
  <c r="F561" i="3"/>
  <c r="H560" i="3"/>
  <c r="F560" i="3"/>
  <c r="H559" i="3"/>
  <c r="F559" i="3"/>
  <c r="H558" i="3"/>
  <c r="F558" i="3"/>
  <c r="H557" i="3"/>
  <c r="F557" i="3"/>
  <c r="H556" i="3"/>
  <c r="F556" i="3"/>
  <c r="H553" i="3"/>
  <c r="F553" i="3"/>
  <c r="H552" i="3"/>
  <c r="F552" i="3"/>
  <c r="H551" i="3"/>
  <c r="F551" i="3"/>
  <c r="H550" i="3"/>
  <c r="F550" i="3"/>
  <c r="H549" i="3"/>
  <c r="F549" i="3"/>
  <c r="H547" i="3"/>
  <c r="F547" i="3"/>
  <c r="H546" i="3"/>
  <c r="F546" i="3"/>
  <c r="H545" i="3"/>
  <c r="F545" i="3"/>
  <c r="H544" i="3"/>
  <c r="F544" i="3"/>
  <c r="H543" i="3"/>
  <c r="F543" i="3"/>
  <c r="H542" i="3"/>
  <c r="F542" i="3"/>
  <c r="H541" i="3"/>
  <c r="F541" i="3"/>
  <c r="H540" i="3"/>
  <c r="F540" i="3"/>
  <c r="BA540" i="3" l="1"/>
  <c r="L540" i="3" s="1"/>
  <c r="BA542" i="3"/>
  <c r="O542" i="3" s="1"/>
  <c r="BA544" i="3"/>
  <c r="N544" i="3" s="1"/>
  <c r="BA546" i="3"/>
  <c r="N546" i="3" s="1"/>
  <c r="BA549" i="3"/>
  <c r="BA551" i="3"/>
  <c r="O551" i="3" s="1"/>
  <c r="BA553" i="3"/>
  <c r="N553" i="3" s="1"/>
  <c r="BA557" i="3"/>
  <c r="L557" i="3" s="1"/>
  <c r="BA559" i="3"/>
  <c r="L559" i="3" s="1"/>
  <c r="BA561" i="3"/>
  <c r="O561" i="3" s="1"/>
  <c r="BA563" i="3"/>
  <c r="N563" i="3" s="1"/>
  <c r="BA565" i="3"/>
  <c r="L565" i="3" s="1"/>
  <c r="BA567" i="3"/>
  <c r="BA541" i="3"/>
  <c r="O541" i="3" s="1"/>
  <c r="BA543" i="3"/>
  <c r="L543" i="3" s="1"/>
  <c r="BA547" i="3"/>
  <c r="O547" i="3" s="1"/>
  <c r="BA550" i="3"/>
  <c r="BA552" i="3"/>
  <c r="O552" i="3" s="1"/>
  <c r="BA556" i="3"/>
  <c r="BA558" i="3"/>
  <c r="BA560" i="3"/>
  <c r="L560" i="3" s="1"/>
  <c r="BA562" i="3"/>
  <c r="O562" i="3" s="1"/>
  <c r="BA564" i="3"/>
  <c r="BA566" i="3"/>
  <c r="BA568" i="3"/>
  <c r="BA545" i="3"/>
  <c r="L545" i="3" s="1"/>
  <c r="AU540" i="3"/>
  <c r="I540" i="3" s="1"/>
  <c r="AT540" i="3" s="1"/>
  <c r="AU542" i="3"/>
  <c r="I542" i="3" s="1"/>
  <c r="AT542" i="3" s="1"/>
  <c r="AU544" i="3"/>
  <c r="I544" i="3" s="1"/>
  <c r="AT544" i="3" s="1"/>
  <c r="AU546" i="3"/>
  <c r="I546" i="3" s="1"/>
  <c r="AT546" i="3" s="1"/>
  <c r="AU550" i="3"/>
  <c r="I550" i="3" s="1"/>
  <c r="AT550" i="3" s="1"/>
  <c r="AU552" i="3"/>
  <c r="I552" i="3" s="1"/>
  <c r="AT552" i="3" s="1"/>
  <c r="AU556" i="3"/>
  <c r="I556" i="3" s="1"/>
  <c r="AT556" i="3" s="1"/>
  <c r="AU558" i="3"/>
  <c r="I558" i="3" s="1"/>
  <c r="AT558" i="3" s="1"/>
  <c r="AU560" i="3"/>
  <c r="I560" i="3" s="1"/>
  <c r="AT560" i="3" s="1"/>
  <c r="AU562" i="3"/>
  <c r="I562" i="3" s="1"/>
  <c r="AT562" i="3" s="1"/>
  <c r="AU564" i="3"/>
  <c r="I564" i="3" s="1"/>
  <c r="AT564" i="3" s="1"/>
  <c r="AU566" i="3"/>
  <c r="I566" i="3" s="1"/>
  <c r="AU568" i="3"/>
  <c r="I568" i="3" s="1"/>
  <c r="AT568" i="3" s="1"/>
  <c r="AU541" i="3"/>
  <c r="I541" i="3" s="1"/>
  <c r="AT541" i="3" s="1"/>
  <c r="AU543" i="3"/>
  <c r="I543" i="3" s="1"/>
  <c r="AT543" i="3" s="1"/>
  <c r="AU545" i="3"/>
  <c r="I545" i="3" s="1"/>
  <c r="AU547" i="3"/>
  <c r="I547" i="3" s="1"/>
  <c r="AT547" i="3" s="1"/>
  <c r="AU549" i="3"/>
  <c r="I549" i="3" s="1"/>
  <c r="AT549" i="3" s="1"/>
  <c r="AU551" i="3"/>
  <c r="I551" i="3" s="1"/>
  <c r="AT551" i="3" s="1"/>
  <c r="AU553" i="3"/>
  <c r="I553" i="3" s="1"/>
  <c r="AU557" i="3"/>
  <c r="I557" i="3" s="1"/>
  <c r="AT557" i="3" s="1"/>
  <c r="AU559" i="3"/>
  <c r="I559" i="3" s="1"/>
  <c r="AT559" i="3" s="1"/>
  <c r="AU561" i="3"/>
  <c r="I561" i="3" s="1"/>
  <c r="AT561" i="3" s="1"/>
  <c r="AU563" i="3"/>
  <c r="I563" i="3" s="1"/>
  <c r="AT563" i="3" s="1"/>
  <c r="AU565" i="3"/>
  <c r="I565" i="3" s="1"/>
  <c r="AT565" i="3" s="1"/>
  <c r="AU567" i="3"/>
  <c r="I567" i="3" s="1"/>
  <c r="AT567" i="3" s="1"/>
  <c r="N559" i="3" l="1"/>
  <c r="AW45" i="38"/>
  <c r="AX45" i="38"/>
  <c r="AZ45" i="38"/>
  <c r="BA45" i="38"/>
  <c r="AY45" i="38"/>
  <c r="AW44" i="38"/>
  <c r="AY44" i="38"/>
  <c r="BA44" i="38"/>
  <c r="AX44" i="38"/>
  <c r="AZ44" i="38"/>
  <c r="O549" i="3"/>
  <c r="K550" i="3"/>
  <c r="N560" i="3"/>
  <c r="O550" i="3"/>
  <c r="K560" i="3"/>
  <c r="L550" i="3"/>
  <c r="K559" i="3"/>
  <c r="N549" i="3"/>
  <c r="K540" i="3"/>
  <c r="O540" i="3"/>
  <c r="P540" i="3" s="1"/>
  <c r="O560" i="3"/>
  <c r="N550" i="3"/>
  <c r="O559" i="3"/>
  <c r="P559" i="3" s="1"/>
  <c r="L549" i="3"/>
  <c r="N540" i="3"/>
  <c r="K549" i="3"/>
  <c r="N564" i="3"/>
  <c r="N551" i="3"/>
  <c r="L556" i="3"/>
  <c r="L561" i="3"/>
  <c r="O543" i="3"/>
  <c r="P543" i="3" s="1"/>
  <c r="O564" i="3"/>
  <c r="K564" i="3"/>
  <c r="O557" i="3"/>
  <c r="P557" i="3" s="1"/>
  <c r="N547" i="3"/>
  <c r="K546" i="3"/>
  <c r="O565" i="3"/>
  <c r="O546" i="3"/>
  <c r="L564" i="3"/>
  <c r="O556" i="3"/>
  <c r="P556" i="3" s="1"/>
  <c r="K543" i="3"/>
  <c r="L563" i="3"/>
  <c r="L544" i="3"/>
  <c r="K556" i="3"/>
  <c r="N556" i="3"/>
  <c r="N543" i="3"/>
  <c r="O563" i="3"/>
  <c r="P563" i="3" s="1"/>
  <c r="K553" i="3"/>
  <c r="O553" i="3"/>
  <c r="P553" i="3" s="1"/>
  <c r="L553" i="3"/>
  <c r="K563" i="3"/>
  <c r="K544" i="3"/>
  <c r="O544" i="3"/>
  <c r="P544" i="3" s="1"/>
  <c r="N562" i="3"/>
  <c r="K558" i="3"/>
  <c r="O545" i="3"/>
  <c r="O558" i="3"/>
  <c r="L541" i="3"/>
  <c r="L547" i="3"/>
  <c r="L542" i="3"/>
  <c r="K565" i="3"/>
  <c r="N561" i="3"/>
  <c r="K557" i="3"/>
  <c r="L562" i="3"/>
  <c r="N558" i="3"/>
  <c r="K545" i="3"/>
  <c r="N541" i="3"/>
  <c r="O566" i="3"/>
  <c r="L566" i="3"/>
  <c r="K566" i="3"/>
  <c r="N566" i="3"/>
  <c r="K551" i="3"/>
  <c r="L546" i="3"/>
  <c r="N542" i="3"/>
  <c r="N565" i="3"/>
  <c r="K561" i="3"/>
  <c r="N557" i="3"/>
  <c r="L558" i="3"/>
  <c r="K552" i="3"/>
  <c r="N552" i="3"/>
  <c r="N545" i="3"/>
  <c r="K541" i="3"/>
  <c r="L568" i="3"/>
  <c r="N568" i="3"/>
  <c r="O568" i="3"/>
  <c r="K568" i="3"/>
  <c r="N567" i="3"/>
  <c r="K567" i="3"/>
  <c r="O567" i="3"/>
  <c r="L567" i="3"/>
  <c r="K547" i="3"/>
  <c r="L551" i="3"/>
  <c r="K542" i="3"/>
  <c r="K562" i="3"/>
  <c r="L552" i="3"/>
  <c r="AT566" i="3"/>
  <c r="P562" i="3"/>
  <c r="P552" i="3"/>
  <c r="P547" i="3"/>
  <c r="P561" i="3"/>
  <c r="P551" i="3"/>
  <c r="P542" i="3"/>
  <c r="P550" i="3"/>
  <c r="P541" i="3"/>
  <c r="AT553" i="3"/>
  <c r="AT545" i="3"/>
  <c r="K44" i="38" l="1"/>
  <c r="P549" i="3"/>
  <c r="AW43" i="38"/>
  <c r="BA43" i="38"/>
  <c r="AY43" i="38"/>
  <c r="AZ43" i="38"/>
  <c r="AX43" i="38"/>
  <c r="AW21" i="38"/>
  <c r="AX21" i="38"/>
  <c r="AZ21" i="38"/>
  <c r="AY21" i="38"/>
  <c r="BA21" i="38"/>
  <c r="AW42" i="38"/>
  <c r="AX42" i="38"/>
  <c r="AZ42" i="38"/>
  <c r="BA42" i="38"/>
  <c r="AY42" i="38"/>
  <c r="AW35" i="38"/>
  <c r="BA35" i="38"/>
  <c r="AY35" i="38"/>
  <c r="AX35" i="38"/>
  <c r="AZ35" i="38"/>
  <c r="AW40" i="38"/>
  <c r="BA40" i="38"/>
  <c r="AY40" i="38"/>
  <c r="AX40" i="38"/>
  <c r="AZ40" i="38"/>
  <c r="AW19" i="38"/>
  <c r="BA19" i="38"/>
  <c r="AY19" i="38"/>
  <c r="AX19" i="38"/>
  <c r="AZ19" i="38"/>
  <c r="AW37" i="38"/>
  <c r="AX37" i="38"/>
  <c r="AZ37" i="38"/>
  <c r="BA37" i="38"/>
  <c r="AY37" i="38"/>
  <c r="AW20" i="38"/>
  <c r="BA20" i="38"/>
  <c r="AY20" i="38"/>
  <c r="AX20" i="38"/>
  <c r="AZ20" i="38"/>
  <c r="AW24" i="38"/>
  <c r="BA24" i="38"/>
  <c r="AY24" i="38"/>
  <c r="AX24" i="38"/>
  <c r="AZ24" i="38"/>
  <c r="AW28" i="38"/>
  <c r="BA28" i="38"/>
  <c r="AY28" i="38"/>
  <c r="AX28" i="38"/>
  <c r="AZ28" i="38"/>
  <c r="AW26" i="38"/>
  <c r="AX26" i="38"/>
  <c r="AZ26" i="38"/>
  <c r="BA26" i="38"/>
  <c r="AY26" i="38"/>
  <c r="AW38" i="38"/>
  <c r="AX38" i="38"/>
  <c r="AZ38" i="38"/>
  <c r="BA38" i="38"/>
  <c r="AY38" i="38"/>
  <c r="AW36" i="38"/>
  <c r="BA36" i="38"/>
  <c r="AX36" i="38"/>
  <c r="AZ36" i="38"/>
  <c r="AY36" i="38"/>
  <c r="AW39" i="38"/>
  <c r="BA39" i="38"/>
  <c r="AX39" i="38"/>
  <c r="AY39" i="38"/>
  <c r="AZ39" i="38"/>
  <c r="AW29" i="38"/>
  <c r="AX29" i="38"/>
  <c r="AZ29" i="38"/>
  <c r="BA29" i="38"/>
  <c r="AY29" i="38"/>
  <c r="AW31" i="38"/>
  <c r="BA31" i="38"/>
  <c r="AY31" i="38"/>
  <c r="AX31" i="38"/>
  <c r="AZ31" i="38"/>
  <c r="AW34" i="38"/>
  <c r="AX34" i="38"/>
  <c r="AZ34" i="38"/>
  <c r="BA34" i="38"/>
  <c r="AY34" i="38"/>
  <c r="P565" i="3"/>
  <c r="P560" i="3"/>
  <c r="P546" i="3"/>
  <c r="P564" i="3"/>
  <c r="P558" i="3"/>
  <c r="P545" i="3"/>
  <c r="P567" i="3"/>
  <c r="P568" i="3"/>
  <c r="P566" i="3"/>
  <c r="Q558" i="3"/>
  <c r="Q547" i="3"/>
  <c r="Q563" i="3"/>
  <c r="Q540" i="3"/>
  <c r="Q564" i="3"/>
  <c r="Q543" i="3"/>
  <c r="Q562" i="3"/>
  <c r="Q565" i="3"/>
  <c r="Q560" i="3"/>
  <c r="Q542" i="3"/>
  <c r="Q566" i="3"/>
  <c r="Q561" i="3"/>
  <c r="Q552" i="3"/>
  <c r="Q553" i="3"/>
  <c r="Q544" i="3"/>
  <c r="Q568" i="3"/>
  <c r="Q549" i="3"/>
  <c r="Q551" i="3"/>
  <c r="Q559" i="3"/>
  <c r="Q567" i="3"/>
  <c r="Q546" i="3"/>
  <c r="Q541" i="3"/>
  <c r="Q557" i="3"/>
  <c r="Q556" i="3"/>
  <c r="Q550" i="3"/>
  <c r="K38" i="38" l="1"/>
  <c r="K35" i="38"/>
  <c r="K39" i="38"/>
  <c r="K42" i="38"/>
  <c r="K37" i="38"/>
  <c r="K43" i="38"/>
  <c r="K34" i="38"/>
  <c r="K36" i="38"/>
  <c r="K40" i="38"/>
  <c r="K31" i="38"/>
  <c r="K29" i="38"/>
  <c r="K24" i="38"/>
  <c r="K21" i="38"/>
  <c r="K20" i="38"/>
  <c r="K26" i="38"/>
  <c r="K28" i="38"/>
  <c r="K19" i="38"/>
  <c r="Q545" i="3"/>
  <c r="H600" i="3" l="1"/>
  <c r="F600" i="3"/>
  <c r="BA600" i="3" s="1"/>
  <c r="H599" i="3"/>
  <c r="F599" i="3"/>
  <c r="BA599" i="3" s="1"/>
  <c r="H598" i="3"/>
  <c r="F598" i="3"/>
  <c r="BA598" i="3" s="1"/>
  <c r="H597" i="3"/>
  <c r="F597" i="3"/>
  <c r="BA597" i="3" s="1"/>
  <c r="H596" i="3"/>
  <c r="F596" i="3"/>
  <c r="BA596" i="3" s="1"/>
  <c r="H595" i="3"/>
  <c r="F595" i="3"/>
  <c r="BA595" i="3" s="1"/>
  <c r="H594" i="3"/>
  <c r="F594" i="3"/>
  <c r="BA594" i="3" s="1"/>
  <c r="H593" i="3"/>
  <c r="F593" i="3"/>
  <c r="BA593" i="3" s="1"/>
  <c r="H592" i="3"/>
  <c r="F592" i="3"/>
  <c r="BA592" i="3" s="1"/>
  <c r="H591" i="3"/>
  <c r="F591" i="3"/>
  <c r="BA591" i="3" s="1"/>
  <c r="H590" i="3"/>
  <c r="F590" i="3"/>
  <c r="BA590" i="3" s="1"/>
  <c r="H589" i="3"/>
  <c r="F589" i="3"/>
  <c r="BA589" i="3" s="1"/>
  <c r="H588" i="3"/>
  <c r="F588" i="3"/>
  <c r="BA588" i="3" s="1"/>
  <c r="H587" i="3"/>
  <c r="F587" i="3"/>
  <c r="BA587" i="3" s="1"/>
  <c r="H586" i="3"/>
  <c r="F586" i="3"/>
  <c r="BA586" i="3" s="1"/>
  <c r="H585" i="3"/>
  <c r="F585" i="3"/>
  <c r="BA585" i="3" s="1"/>
  <c r="H584" i="3"/>
  <c r="F584" i="3"/>
  <c r="BA584" i="3" s="1"/>
  <c r="H583" i="3"/>
  <c r="F583" i="3"/>
  <c r="BA583" i="3" s="1"/>
  <c r="H582" i="3"/>
  <c r="F582" i="3"/>
  <c r="BA582" i="3" s="1"/>
  <c r="H581" i="3"/>
  <c r="F581" i="3"/>
  <c r="BA581" i="3" s="1"/>
  <c r="H580" i="3"/>
  <c r="F580" i="3"/>
  <c r="BA580" i="3" s="1"/>
  <c r="H579" i="3"/>
  <c r="F579" i="3"/>
  <c r="BA579" i="3" s="1"/>
  <c r="H577" i="3"/>
  <c r="F577" i="3"/>
  <c r="H576" i="3"/>
  <c r="F576" i="3"/>
  <c r="H575" i="3"/>
  <c r="F575" i="3"/>
  <c r="H574" i="3"/>
  <c r="F574" i="3"/>
  <c r="H573" i="3"/>
  <c r="F573" i="3"/>
  <c r="H572" i="3"/>
  <c r="F572" i="3"/>
  <c r="L580" i="3" l="1"/>
  <c r="O580" i="3"/>
  <c r="N580" i="3"/>
  <c r="K580" i="3"/>
  <c r="L584" i="3"/>
  <c r="N584" i="3"/>
  <c r="O584" i="3"/>
  <c r="K584" i="3"/>
  <c r="K588" i="3"/>
  <c r="O588" i="3"/>
  <c r="L588" i="3"/>
  <c r="N588" i="3"/>
  <c r="L592" i="3"/>
  <c r="K592" i="3"/>
  <c r="O592" i="3"/>
  <c r="N592" i="3"/>
  <c r="N594" i="3"/>
  <c r="O594" i="3"/>
  <c r="K594" i="3"/>
  <c r="L594" i="3"/>
  <c r="O598" i="3"/>
  <c r="K598" i="3"/>
  <c r="N598" i="3"/>
  <c r="L598" i="3"/>
  <c r="L600" i="3"/>
  <c r="K600" i="3"/>
  <c r="O600" i="3"/>
  <c r="N600" i="3"/>
  <c r="L582" i="3"/>
  <c r="O582" i="3"/>
  <c r="K582" i="3"/>
  <c r="N582" i="3"/>
  <c r="O586" i="3"/>
  <c r="L586" i="3"/>
  <c r="K586" i="3"/>
  <c r="N586" i="3"/>
  <c r="K590" i="3"/>
  <c r="L590" i="3"/>
  <c r="N590" i="3"/>
  <c r="O590" i="3"/>
  <c r="K596" i="3"/>
  <c r="O596" i="3"/>
  <c r="N596" i="3"/>
  <c r="L596" i="3"/>
  <c r="L579" i="3"/>
  <c r="O579" i="3"/>
  <c r="K579" i="3"/>
  <c r="N579" i="3"/>
  <c r="K583" i="3"/>
  <c r="O583" i="3"/>
  <c r="L583" i="3"/>
  <c r="N583" i="3"/>
  <c r="L587" i="3"/>
  <c r="O587" i="3"/>
  <c r="K587" i="3"/>
  <c r="N587" i="3"/>
  <c r="K591" i="3"/>
  <c r="N591" i="3"/>
  <c r="O591" i="3"/>
  <c r="L591" i="3"/>
  <c r="N593" i="3"/>
  <c r="K593" i="3"/>
  <c r="O593" i="3"/>
  <c r="L593" i="3"/>
  <c r="K597" i="3"/>
  <c r="L597" i="3"/>
  <c r="N597" i="3"/>
  <c r="O597" i="3"/>
  <c r="K599" i="3"/>
  <c r="O599" i="3"/>
  <c r="L599" i="3"/>
  <c r="N599" i="3"/>
  <c r="L581" i="3"/>
  <c r="O581" i="3"/>
  <c r="N581" i="3"/>
  <c r="K581" i="3"/>
  <c r="K585" i="3"/>
  <c r="O585" i="3"/>
  <c r="N585" i="3"/>
  <c r="L585" i="3"/>
  <c r="L589" i="3"/>
  <c r="K589" i="3"/>
  <c r="O589" i="3"/>
  <c r="N589" i="3"/>
  <c r="L595" i="3"/>
  <c r="N595" i="3"/>
  <c r="O595" i="3"/>
  <c r="K595" i="3"/>
  <c r="BA573" i="3"/>
  <c r="BA577" i="3"/>
  <c r="BA575" i="3"/>
  <c r="BA572" i="3"/>
  <c r="BA576" i="3"/>
  <c r="BA574" i="3"/>
  <c r="AU574" i="3"/>
  <c r="I574" i="3" s="1"/>
  <c r="AT574" i="3" s="1"/>
  <c r="AU582" i="3"/>
  <c r="I582" i="3" s="1"/>
  <c r="AT582" i="3" s="1"/>
  <c r="AU586" i="3"/>
  <c r="I586" i="3" s="1"/>
  <c r="AT586" i="3" s="1"/>
  <c r="AU590" i="3"/>
  <c r="I590" i="3" s="1"/>
  <c r="AT590" i="3" s="1"/>
  <c r="AU594" i="3"/>
  <c r="I594" i="3" s="1"/>
  <c r="AT594" i="3" s="1"/>
  <c r="AU598" i="3"/>
  <c r="I598" i="3" s="1"/>
  <c r="AT598" i="3" s="1"/>
  <c r="AU572" i="3"/>
  <c r="I572" i="3" s="1"/>
  <c r="AT572" i="3" s="1"/>
  <c r="AU576" i="3"/>
  <c r="I576" i="3" s="1"/>
  <c r="AT576" i="3" s="1"/>
  <c r="AU580" i="3"/>
  <c r="I580" i="3" s="1"/>
  <c r="AT580" i="3" s="1"/>
  <c r="AU584" i="3"/>
  <c r="I584" i="3" s="1"/>
  <c r="AT584" i="3" s="1"/>
  <c r="AU588" i="3"/>
  <c r="I588" i="3" s="1"/>
  <c r="AT588" i="3" s="1"/>
  <c r="AU592" i="3"/>
  <c r="I592" i="3" s="1"/>
  <c r="AT592" i="3" s="1"/>
  <c r="AU596" i="3"/>
  <c r="I596" i="3" s="1"/>
  <c r="AT596" i="3" s="1"/>
  <c r="AU600" i="3"/>
  <c r="I600" i="3" s="1"/>
  <c r="AT600" i="3" s="1"/>
  <c r="AU573" i="3"/>
  <c r="I573" i="3" s="1"/>
  <c r="AT573" i="3" s="1"/>
  <c r="AU575" i="3"/>
  <c r="I575" i="3" s="1"/>
  <c r="AT575" i="3" s="1"/>
  <c r="AU577" i="3"/>
  <c r="I577" i="3" s="1"/>
  <c r="AT577" i="3" s="1"/>
  <c r="AU579" i="3"/>
  <c r="I579" i="3" s="1"/>
  <c r="AU581" i="3"/>
  <c r="I581" i="3" s="1"/>
  <c r="AU583" i="3"/>
  <c r="I583" i="3" s="1"/>
  <c r="AT583" i="3" s="1"/>
  <c r="AU585" i="3"/>
  <c r="I585" i="3" s="1"/>
  <c r="AT585" i="3" s="1"/>
  <c r="AU587" i="3"/>
  <c r="I587" i="3" s="1"/>
  <c r="AT587" i="3" s="1"/>
  <c r="AU589" i="3"/>
  <c r="I589" i="3" s="1"/>
  <c r="AT589" i="3" s="1"/>
  <c r="AU591" i="3"/>
  <c r="I591" i="3" s="1"/>
  <c r="AT591" i="3" s="1"/>
  <c r="AU593" i="3"/>
  <c r="I593" i="3" s="1"/>
  <c r="AT593" i="3" s="1"/>
  <c r="AU595" i="3"/>
  <c r="I595" i="3" s="1"/>
  <c r="AT595" i="3" s="1"/>
  <c r="AU597" i="3"/>
  <c r="I597" i="3" s="1"/>
  <c r="AT597" i="3" s="1"/>
  <c r="AU599" i="3"/>
  <c r="I599" i="3" s="1"/>
  <c r="AT599" i="3" s="1"/>
  <c r="P585" i="3" l="1"/>
  <c r="P581" i="3"/>
  <c r="P599" i="3"/>
  <c r="P590" i="3"/>
  <c r="P591" i="3"/>
  <c r="P600" i="3"/>
  <c r="P598" i="3"/>
  <c r="P594" i="3"/>
  <c r="P592" i="3"/>
  <c r="P597" i="3"/>
  <c r="P583" i="3"/>
  <c r="P596" i="3"/>
  <c r="P586" i="3"/>
  <c r="P582" i="3"/>
  <c r="P588" i="3"/>
  <c r="P580" i="3"/>
  <c r="P595" i="3"/>
  <c r="P589" i="3"/>
  <c r="P593" i="3"/>
  <c r="P587" i="3"/>
  <c r="P579" i="3"/>
  <c r="P584" i="3"/>
  <c r="K574" i="3"/>
  <c r="L574" i="3"/>
  <c r="O574" i="3"/>
  <c r="N574" i="3"/>
  <c r="K572" i="3"/>
  <c r="N572" i="3"/>
  <c r="L572" i="3"/>
  <c r="O572" i="3"/>
  <c r="K577" i="3"/>
  <c r="O577" i="3"/>
  <c r="L577" i="3"/>
  <c r="N577" i="3"/>
  <c r="L576" i="3"/>
  <c r="K576" i="3"/>
  <c r="O576" i="3"/>
  <c r="N576" i="3"/>
  <c r="L575" i="3"/>
  <c r="K575" i="3"/>
  <c r="N575" i="3"/>
  <c r="O575" i="3"/>
  <c r="N573" i="3"/>
  <c r="L573" i="3"/>
  <c r="O573" i="3"/>
  <c r="K573" i="3"/>
  <c r="AT579" i="3"/>
  <c r="AT581" i="3"/>
  <c r="Q579" i="3" l="1"/>
  <c r="P572" i="3"/>
  <c r="P573" i="3"/>
  <c r="P576" i="3"/>
  <c r="P575" i="3"/>
  <c r="P577" i="3"/>
  <c r="P574" i="3"/>
  <c r="Q576" i="3"/>
  <c r="Q577" i="3"/>
  <c r="Q597" i="3"/>
  <c r="Q582" i="3"/>
  <c r="Q588" i="3"/>
  <c r="Q572" i="3"/>
  <c r="Q584" i="3"/>
  <c r="Q594" i="3"/>
  <c r="Q595" i="3"/>
  <c r="Q598" i="3"/>
  <c r="Q596" i="3"/>
  <c r="Q585" i="3"/>
  <c r="Q574" i="3"/>
  <c r="Q590" i="3"/>
  <c r="Q573" i="3"/>
  <c r="Q593" i="3"/>
  <c r="Q586" i="3"/>
  <c r="Q592" i="3"/>
  <c r="Q575" i="3"/>
  <c r="Q583" i="3"/>
  <c r="Q591" i="3"/>
  <c r="Q599" i="3"/>
  <c r="Q589" i="3"/>
  <c r="Q580" i="3"/>
  <c r="Q581" i="3"/>
  <c r="Q600" i="3"/>
  <c r="Q587" i="3"/>
  <c r="E66" i="42" l="1"/>
  <c r="E67" i="42" l="1"/>
  <c r="L56" i="42"/>
  <c r="L50" i="42" s="1"/>
  <c r="L60" i="42" s="1"/>
  <c r="H578" i="3" l="1"/>
  <c r="F578" i="3"/>
  <c r="H356" i="3"/>
  <c r="F356" i="3"/>
  <c r="H156" i="3"/>
  <c r="F156" i="3"/>
  <c r="H555" i="3"/>
  <c r="F555" i="3"/>
  <c r="H458" i="3"/>
  <c r="F458" i="3"/>
  <c r="H554" i="3"/>
  <c r="F554" i="3"/>
  <c r="H437" i="3"/>
  <c r="F437" i="3"/>
  <c r="H343" i="3"/>
  <c r="F343" i="3"/>
  <c r="F16" i="42" s="1"/>
  <c r="H309" i="3"/>
  <c r="F309" i="3"/>
  <c r="H490" i="3"/>
  <c r="F490" i="3"/>
  <c r="H513" i="3"/>
  <c r="F513" i="3"/>
  <c r="H548" i="3"/>
  <c r="F548" i="3"/>
  <c r="H529" i="3"/>
  <c r="F529" i="3"/>
  <c r="H515" i="3"/>
  <c r="F515" i="3"/>
  <c r="H224" i="3"/>
  <c r="F224" i="3"/>
  <c r="F34" i="42" s="1"/>
  <c r="H485" i="3"/>
  <c r="F485" i="3"/>
  <c r="H383" i="3"/>
  <c r="F383" i="3"/>
  <c r="H319" i="3"/>
  <c r="F319" i="3"/>
  <c r="H213" i="3"/>
  <c r="F213" i="3"/>
  <c r="F23" i="42" s="1"/>
  <c r="H208" i="3"/>
  <c r="F208" i="3"/>
  <c r="F18" i="42" s="1"/>
  <c r="H150" i="3"/>
  <c r="F150" i="3"/>
  <c r="H67" i="3"/>
  <c r="F67" i="3"/>
  <c r="H155" i="3"/>
  <c r="F155" i="3"/>
  <c r="H107" i="3"/>
  <c r="F107" i="3"/>
  <c r="H182" i="3"/>
  <c r="F182" i="3"/>
  <c r="H161" i="3"/>
  <c r="F161" i="3"/>
  <c r="H158" i="3"/>
  <c r="F158" i="3"/>
  <c r="H157" i="3"/>
  <c r="F157" i="3"/>
  <c r="H165" i="3"/>
  <c r="F165" i="3"/>
  <c r="J18" i="63" l="1"/>
  <c r="E25" i="38"/>
  <c r="E41" i="38"/>
  <c r="J34" i="63"/>
  <c r="E30" i="38"/>
  <c r="J23" i="63"/>
  <c r="E23" i="38"/>
  <c r="J16" i="63"/>
  <c r="BA157" i="3"/>
  <c r="L157" i="3" s="1"/>
  <c r="BA208" i="3"/>
  <c r="N208" i="3" s="1"/>
  <c r="BA319" i="3"/>
  <c r="N319" i="3" s="1"/>
  <c r="BA515" i="3"/>
  <c r="L515" i="3" s="1"/>
  <c r="BA548" i="3"/>
  <c r="N548" i="3" s="1"/>
  <c r="BA343" i="3"/>
  <c r="BA554" i="3"/>
  <c r="O554" i="3" s="1"/>
  <c r="BA555" i="3"/>
  <c r="L555" i="3" s="1"/>
  <c r="BA356" i="3"/>
  <c r="BA161" i="3"/>
  <c r="N161" i="3" s="1"/>
  <c r="BA107" i="3"/>
  <c r="N107" i="3" s="1"/>
  <c r="BA165" i="3"/>
  <c r="L165" i="3" s="1"/>
  <c r="BA182" i="3"/>
  <c r="L182" i="3" s="1"/>
  <c r="BA150" i="3"/>
  <c r="N150" i="3" s="1"/>
  <c r="BA213" i="3"/>
  <c r="BA383" i="3"/>
  <c r="L383" i="3" s="1"/>
  <c r="BA224" i="3"/>
  <c r="L224" i="3" s="1"/>
  <c r="AZ30" i="42" s="1"/>
  <c r="BA529" i="3"/>
  <c r="L529" i="3" s="1"/>
  <c r="BA513" i="3"/>
  <c r="L513" i="3" s="1"/>
  <c r="BA309" i="3"/>
  <c r="N309" i="3" s="1"/>
  <c r="BA458" i="3"/>
  <c r="N458" i="3" s="1"/>
  <c r="BA156" i="3"/>
  <c r="O156" i="3" s="1"/>
  <c r="BA578" i="3"/>
  <c r="BA158" i="3"/>
  <c r="L158" i="3" s="1"/>
  <c r="BA155" i="3"/>
  <c r="O161" i="3"/>
  <c r="BA67" i="3"/>
  <c r="BA485" i="3"/>
  <c r="BA490" i="3"/>
  <c r="BA437" i="3"/>
  <c r="AU165" i="3"/>
  <c r="I165" i="3" s="1"/>
  <c r="AT165" i="3" s="1"/>
  <c r="AU158" i="3"/>
  <c r="I158" i="3" s="1"/>
  <c r="AT158" i="3" s="1"/>
  <c r="AU182" i="3"/>
  <c r="I182" i="3" s="1"/>
  <c r="AT182" i="3" s="1"/>
  <c r="AU155" i="3"/>
  <c r="I155" i="3" s="1"/>
  <c r="AT155" i="3" s="1"/>
  <c r="AU150" i="3"/>
  <c r="I150" i="3" s="1"/>
  <c r="AU213" i="3"/>
  <c r="I213" i="3" s="1"/>
  <c r="AT213" i="3" s="1"/>
  <c r="AU383" i="3"/>
  <c r="I383" i="3" s="1"/>
  <c r="AT383" i="3" s="1"/>
  <c r="AU224" i="3"/>
  <c r="I224" i="3" s="1"/>
  <c r="AT224" i="3" s="1"/>
  <c r="AU529" i="3"/>
  <c r="I529" i="3" s="1"/>
  <c r="AT529" i="3" s="1"/>
  <c r="AU513" i="3"/>
  <c r="I513" i="3" s="1"/>
  <c r="AU309" i="3"/>
  <c r="I309" i="3" s="1"/>
  <c r="AT309" i="3" s="1"/>
  <c r="AU437" i="3"/>
  <c r="I437" i="3" s="1"/>
  <c r="AU458" i="3"/>
  <c r="I458" i="3" s="1"/>
  <c r="AT458" i="3" s="1"/>
  <c r="AU156" i="3"/>
  <c r="I156" i="3" s="1"/>
  <c r="AT156" i="3" s="1"/>
  <c r="AU578" i="3"/>
  <c r="I578" i="3" s="1"/>
  <c r="AT578" i="3" s="1"/>
  <c r="AU157" i="3"/>
  <c r="I157" i="3" s="1"/>
  <c r="AT157" i="3" s="1"/>
  <c r="AU161" i="3"/>
  <c r="I161" i="3" s="1"/>
  <c r="AT161" i="3" s="1"/>
  <c r="AU107" i="3"/>
  <c r="I107" i="3" s="1"/>
  <c r="AT107" i="3" s="1"/>
  <c r="AU67" i="3"/>
  <c r="I67" i="3" s="1"/>
  <c r="AU208" i="3"/>
  <c r="I208" i="3" s="1"/>
  <c r="AT208" i="3" s="1"/>
  <c r="AU319" i="3"/>
  <c r="I319" i="3" s="1"/>
  <c r="AT319" i="3" s="1"/>
  <c r="AU485" i="3"/>
  <c r="I485" i="3" s="1"/>
  <c r="AU515" i="3"/>
  <c r="I515" i="3" s="1"/>
  <c r="AT515" i="3" s="1"/>
  <c r="AU548" i="3"/>
  <c r="I548" i="3" s="1"/>
  <c r="AT548" i="3" s="1"/>
  <c r="AU490" i="3"/>
  <c r="I490" i="3" s="1"/>
  <c r="AU343" i="3"/>
  <c r="I343" i="3" s="1"/>
  <c r="AT343" i="3" s="1"/>
  <c r="AU554" i="3"/>
  <c r="I554" i="3" s="1"/>
  <c r="AT554" i="3" s="1"/>
  <c r="AU555" i="3"/>
  <c r="I555" i="3" s="1"/>
  <c r="AU356" i="3"/>
  <c r="I356" i="3" s="1"/>
  <c r="AT356" i="3" s="1"/>
  <c r="AW41" i="38" l="1"/>
  <c r="AY41" i="38"/>
  <c r="AX41" i="38"/>
  <c r="AZ41" i="38"/>
  <c r="BA41" i="38"/>
  <c r="AY25" i="38"/>
  <c r="AW25" i="38"/>
  <c r="K25" i="38" s="1"/>
  <c r="BA25" i="38"/>
  <c r="AX25" i="38"/>
  <c r="AZ25" i="38"/>
  <c r="AW30" i="38"/>
  <c r="AY30" i="38"/>
  <c r="AX30" i="38"/>
  <c r="AZ30" i="38"/>
  <c r="BA30" i="38"/>
  <c r="AW23" i="38"/>
  <c r="AY23" i="38"/>
  <c r="BA23" i="38"/>
  <c r="AX23" i="38"/>
  <c r="AZ23" i="38"/>
  <c r="O548" i="3"/>
  <c r="Q548" i="3" s="1"/>
  <c r="AW32" i="38"/>
  <c r="BA32" i="38"/>
  <c r="AX32" i="38"/>
  <c r="AZ32" i="38"/>
  <c r="AY32" i="38"/>
  <c r="AW18" i="38"/>
  <c r="AX18" i="38"/>
  <c r="AZ18" i="38"/>
  <c r="BA18" i="38"/>
  <c r="AY18" i="38"/>
  <c r="AW27" i="38"/>
  <c r="BA27" i="38"/>
  <c r="AY27" i="38"/>
  <c r="AX27" i="38"/>
  <c r="AZ27" i="38"/>
  <c r="AW33" i="38"/>
  <c r="K33" i="38" s="1"/>
  <c r="N224" i="3"/>
  <c r="K458" i="3"/>
  <c r="O155" i="3"/>
  <c r="P155" i="3" s="1"/>
  <c r="O458" i="3"/>
  <c r="N182" i="3"/>
  <c r="AT513" i="3"/>
  <c r="O224" i="3"/>
  <c r="P224" i="3" s="1"/>
  <c r="L155" i="3"/>
  <c r="O182" i="3"/>
  <c r="O157" i="3"/>
  <c r="P157" i="3" s="1"/>
  <c r="L356" i="3"/>
  <c r="O356" i="3"/>
  <c r="L458" i="3"/>
  <c r="K224" i="3"/>
  <c r="E34" i="42" s="1"/>
  <c r="N155" i="3"/>
  <c r="K182" i="3"/>
  <c r="N157" i="3"/>
  <c r="K356" i="3"/>
  <c r="N356" i="3"/>
  <c r="L548" i="3"/>
  <c r="K155" i="3"/>
  <c r="K157" i="3"/>
  <c r="K548" i="3"/>
  <c r="N213" i="3"/>
  <c r="O513" i="3"/>
  <c r="O213" i="3"/>
  <c r="P213" i="3" s="1"/>
  <c r="N156" i="3"/>
  <c r="N529" i="3"/>
  <c r="N343" i="3"/>
  <c r="K156" i="3"/>
  <c r="AT150" i="3"/>
  <c r="N383" i="3"/>
  <c r="L156" i="3"/>
  <c r="K529" i="3"/>
  <c r="O150" i="3"/>
  <c r="P150" i="3" s="1"/>
  <c r="O343" i="3"/>
  <c r="O208" i="3"/>
  <c r="L161" i="3"/>
  <c r="O529" i="3"/>
  <c r="L150" i="3"/>
  <c r="L343" i="3"/>
  <c r="L208" i="3"/>
  <c r="AZ14" i="42" s="1"/>
  <c r="K161" i="3"/>
  <c r="K150" i="3"/>
  <c r="K343" i="3"/>
  <c r="K208" i="3"/>
  <c r="E18" i="42" s="1"/>
  <c r="K513" i="3"/>
  <c r="K213" i="3"/>
  <c r="E23" i="42" s="1"/>
  <c r="L213" i="3"/>
  <c r="AZ19" i="42" s="1"/>
  <c r="O319" i="3"/>
  <c r="P319" i="3" s="1"/>
  <c r="N513" i="3"/>
  <c r="L309" i="3"/>
  <c r="K165" i="3"/>
  <c r="O165" i="3"/>
  <c r="P165" i="3" s="1"/>
  <c r="O515" i="3"/>
  <c r="N555" i="3"/>
  <c r="N158" i="3"/>
  <c r="K309" i="3"/>
  <c r="K515" i="3"/>
  <c r="K158" i="3"/>
  <c r="O158" i="3"/>
  <c r="O309" i="3"/>
  <c r="K383" i="3"/>
  <c r="O383" i="3"/>
  <c r="K555" i="3"/>
  <c r="O555" i="3"/>
  <c r="P555" i="3" s="1"/>
  <c r="N515" i="3"/>
  <c r="N165" i="3"/>
  <c r="K319" i="3"/>
  <c r="L554" i="3"/>
  <c r="L319" i="3"/>
  <c r="K107" i="3"/>
  <c r="L107" i="3"/>
  <c r="K554" i="3"/>
  <c r="O107" i="3"/>
  <c r="P107" i="3" s="1"/>
  <c r="N554" i="3"/>
  <c r="L578" i="3"/>
  <c r="O578" i="3"/>
  <c r="K578" i="3"/>
  <c r="N578" i="3"/>
  <c r="AT555" i="3"/>
  <c r="O437" i="3"/>
  <c r="L437" i="3"/>
  <c r="N437" i="3"/>
  <c r="K437" i="3"/>
  <c r="O490" i="3"/>
  <c r="N490" i="3"/>
  <c r="L490" i="3"/>
  <c r="K490" i="3"/>
  <c r="O485" i="3"/>
  <c r="L485" i="3"/>
  <c r="N485" i="3"/>
  <c r="K485" i="3"/>
  <c r="O67" i="3"/>
  <c r="N67" i="3"/>
  <c r="L67" i="3"/>
  <c r="K67" i="3"/>
  <c r="AT485" i="3"/>
  <c r="P156" i="3"/>
  <c r="AT490" i="3"/>
  <c r="P554" i="3"/>
  <c r="P161" i="3"/>
  <c r="AT437" i="3"/>
  <c r="Q156" i="3"/>
  <c r="Q554" i="3"/>
  <c r="AT67" i="3"/>
  <c r="P548" i="3" l="1"/>
  <c r="AZ35" i="42"/>
  <c r="K30" i="38"/>
  <c r="K41" i="38"/>
  <c r="K23" i="38"/>
  <c r="Q356" i="3"/>
  <c r="Q213" i="3"/>
  <c r="P356" i="3"/>
  <c r="K27" i="38"/>
  <c r="K32" i="38"/>
  <c r="K18" i="38"/>
  <c r="AW17" i="38"/>
  <c r="AX17" i="38"/>
  <c r="AZ17" i="38"/>
  <c r="BA17" i="38"/>
  <c r="AY17" i="38"/>
  <c r="AW22" i="38"/>
  <c r="AX22" i="38"/>
  <c r="AZ22" i="38"/>
  <c r="BA22" i="38"/>
  <c r="AY22" i="38"/>
  <c r="AW16" i="38"/>
  <c r="AX16" i="38"/>
  <c r="AZ16" i="38"/>
  <c r="BA16" i="38"/>
  <c r="AY16" i="38"/>
  <c r="Q155" i="3"/>
  <c r="Q165" i="3"/>
  <c r="Q224" i="3"/>
  <c r="P458" i="3"/>
  <c r="Q513" i="3"/>
  <c r="P158" i="3"/>
  <c r="P208" i="3"/>
  <c r="Q157" i="3"/>
  <c r="P529" i="3"/>
  <c r="P513" i="3"/>
  <c r="P182" i="3"/>
  <c r="S151" i="3"/>
  <c r="Q529" i="3"/>
  <c r="Q578" i="3"/>
  <c r="P515" i="3"/>
  <c r="P343" i="3"/>
  <c r="Q343" i="3"/>
  <c r="P309" i="3"/>
  <c r="Q515" i="3"/>
  <c r="P383" i="3"/>
  <c r="Q158" i="3"/>
  <c r="Q555" i="3"/>
  <c r="P67" i="3"/>
  <c r="P578" i="3"/>
  <c r="Q485" i="3"/>
  <c r="Q490" i="3"/>
  <c r="P437" i="3"/>
  <c r="P490" i="3"/>
  <c r="P485" i="3"/>
  <c r="Q309" i="3"/>
  <c r="R316" i="3" s="1"/>
  <c r="S305" i="3"/>
  <c r="S306" i="3"/>
  <c r="Q319" i="3"/>
  <c r="S320" i="3"/>
  <c r="S321" i="3"/>
  <c r="Q107" i="3"/>
  <c r="R115" i="3" s="1"/>
  <c r="S93" i="3"/>
  <c r="S94" i="3"/>
  <c r="Q208" i="3"/>
  <c r="S202" i="3"/>
  <c r="S203" i="3"/>
  <c r="Q182" i="3"/>
  <c r="R199" i="3" s="1"/>
  <c r="S179" i="3"/>
  <c r="S180" i="3"/>
  <c r="Q383" i="3"/>
  <c r="R387" i="3" s="1"/>
  <c r="S382" i="3"/>
  <c r="S383" i="3"/>
  <c r="Q161" i="3"/>
  <c r="R165" i="3" s="1"/>
  <c r="S161" i="3"/>
  <c r="Q437" i="3"/>
  <c r="R444" i="3" s="1"/>
  <c r="S428" i="3"/>
  <c r="S427" i="3"/>
  <c r="Q458" i="3"/>
  <c r="R460" i="3" s="1"/>
  <c r="S448" i="3"/>
  <c r="S449" i="3"/>
  <c r="K17" i="38" l="1"/>
  <c r="K16" i="38"/>
  <c r="K22" i="38"/>
  <c r="R226" i="3"/>
  <c r="Q150" i="3"/>
  <c r="R160" i="3" s="1"/>
  <c r="S150" i="3"/>
  <c r="R352" i="3"/>
  <c r="L13" i="42"/>
  <c r="E39" i="42"/>
  <c r="L61" i="42" l="1"/>
  <c r="Q67" i="3"/>
  <c r="S8" i="3"/>
  <c r="S9" i="3"/>
  <c r="L70" i="42" l="1"/>
  <c r="L65" i="42"/>
  <c r="L64" i="42"/>
  <c r="L66" i="42"/>
  <c r="L72" i="42"/>
  <c r="L71" i="42"/>
  <c r="R88" i="3"/>
  <c r="M67" i="42" l="1"/>
  <c r="M73" i="42"/>
  <c r="L73" i="42"/>
  <c r="L67" i="4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Siphamandla Sithole</author>
  </authors>
  <commentList>
    <comment ref="K4" authorId="0" shapeId="0" xr:uid="{00000000-0006-0000-0000-000001000000}">
      <text>
        <r>
          <rPr>
            <b/>
            <sz val="9"/>
            <color indexed="81"/>
            <rFont val="Tahoma"/>
            <family val="2"/>
          </rPr>
          <t>=Manager limit * 1,03</t>
        </r>
      </text>
    </comment>
    <comment ref="L4" authorId="0" shapeId="0" xr:uid="{00000000-0006-0000-0000-000002000000}">
      <text>
        <r>
          <rPr>
            <b/>
            <sz val="9"/>
            <color indexed="81"/>
            <rFont val="Tahoma"/>
            <family val="2"/>
          </rPr>
          <t>will be entered manually by Eren</t>
        </r>
      </text>
    </comment>
    <comment ref="N4" authorId="0" shapeId="0" xr:uid="{00000000-0006-0000-0000-000003000000}">
      <text>
        <r>
          <rPr>
            <b/>
            <sz val="9"/>
            <color indexed="81"/>
            <rFont val="Tahoma"/>
            <family val="2"/>
          </rPr>
          <t>=Manager limit * 1,03</t>
        </r>
      </text>
    </comment>
    <comment ref="O4" authorId="0" shapeId="0" xr:uid="{00000000-0006-0000-0000-000004000000}">
      <text>
        <r>
          <rPr>
            <b/>
            <sz val="9"/>
            <color indexed="81"/>
            <rFont val="Tahoma"/>
            <family val="2"/>
          </rPr>
          <t>will be entered manually by Eren</t>
        </r>
      </text>
    </comment>
    <comment ref="S5" authorId="0" shapeId="0" xr:uid="{00000000-0006-0000-0000-000005000000}">
      <text>
        <r>
          <rPr>
            <b/>
            <sz val="9"/>
            <color indexed="81"/>
            <rFont val="Tahoma"/>
            <family val="2"/>
          </rPr>
          <t>Siphamandla Sithole:</t>
        </r>
        <r>
          <rPr>
            <sz val="9"/>
            <color indexed="81"/>
            <rFont val="Tahoma"/>
            <family val="2"/>
          </rPr>
          <t xml:space="preserve">
these data come from margin stats</t>
        </r>
      </text>
    </comment>
  </commentList>
</comments>
</file>

<file path=xl/sharedStrings.xml><?xml version="1.0" encoding="utf-8"?>
<sst xmlns="http://schemas.openxmlformats.org/spreadsheetml/2006/main" count="1514" uniqueCount="782">
  <si>
    <t>Chassis Number</t>
  </si>
  <si>
    <t>MODEL</t>
  </si>
  <si>
    <t>Retail Price</t>
  </si>
  <si>
    <t>Salesman Limit</t>
  </si>
  <si>
    <t>Manager Limit</t>
  </si>
  <si>
    <t>OBR</t>
  </si>
  <si>
    <t>CM2</t>
  </si>
  <si>
    <t>CLA-15-2204X2BB-C</t>
  </si>
  <si>
    <t>2016</t>
  </si>
  <si>
    <t>max</t>
  </si>
  <si>
    <t>min</t>
  </si>
  <si>
    <t>ave</t>
  </si>
  <si>
    <t>2017</t>
  </si>
  <si>
    <t>count</t>
  </si>
  <si>
    <t>ave. cost</t>
  </si>
  <si>
    <t>Deal Calculation Sheet</t>
  </si>
  <si>
    <t>SALESMAN BASIC COMMISSION - INDICATIVE</t>
  </si>
  <si>
    <t>Model</t>
  </si>
  <si>
    <t>TOTAL COMMISSION</t>
  </si>
  <si>
    <t>Discount</t>
  </si>
  <si>
    <t>SALES MANAGER BASIC COMMISSION - INDICATIVE</t>
  </si>
  <si>
    <t>Buy back / Trade back Subsidy</t>
  </si>
  <si>
    <t>R&amp;M Subsidy</t>
  </si>
  <si>
    <t>Net Price</t>
  </si>
  <si>
    <t>Cost of Extras</t>
  </si>
  <si>
    <t>OFFER TO PURCHASE</t>
  </si>
  <si>
    <t>I/WE</t>
  </si>
  <si>
    <t>MAKE</t>
  </si>
  <si>
    <t>YEAR</t>
  </si>
  <si>
    <t>DATE</t>
  </si>
  <si>
    <t>NAME</t>
  </si>
  <si>
    <t>SIGNATURE</t>
  </si>
  <si>
    <t>COMFORT SERVICE</t>
  </si>
  <si>
    <t>Cost</t>
  </si>
  <si>
    <t>Trade in Price</t>
  </si>
  <si>
    <t>Term (months)</t>
  </si>
  <si>
    <t>Total Retail Price</t>
  </si>
  <si>
    <t>Total Salesman Limit</t>
  </si>
  <si>
    <t>Selling Price</t>
  </si>
  <si>
    <t>Driveline</t>
  </si>
  <si>
    <t>Entire Vehicle</t>
  </si>
  <si>
    <t>Service Care Subsidy</t>
  </si>
  <si>
    <t>Mileage (total)</t>
  </si>
  <si>
    <t>Trade In (Total)</t>
  </si>
  <si>
    <t>KP Numbers from PTN OB</t>
  </si>
  <si>
    <t>Type</t>
  </si>
  <si>
    <t>Period</t>
  </si>
  <si>
    <t>Rate of Exchange</t>
  </si>
  <si>
    <t>R&amp;M Packages</t>
  </si>
  <si>
    <t>Extended Warranty</t>
  </si>
  <si>
    <t>Alpine</t>
  </si>
  <si>
    <t>No</t>
  </si>
  <si>
    <t>Yes</t>
  </si>
  <si>
    <t>Tulisa Park</t>
  </si>
  <si>
    <t>COMFORT CARE</t>
  </si>
  <si>
    <t>Hatfield</t>
  </si>
  <si>
    <t>None</t>
  </si>
  <si>
    <t>Combination</t>
  </si>
  <si>
    <t>Middleburg</t>
  </si>
  <si>
    <t>Factors</t>
  </si>
  <si>
    <t>Hubner Truck &amp; Bus</t>
  </si>
  <si>
    <t>EV</t>
  </si>
  <si>
    <t>DL</t>
  </si>
  <si>
    <t>Combo</t>
  </si>
  <si>
    <t>United Truck Centre</t>
  </si>
  <si>
    <t>Port Elizabeth</t>
  </si>
  <si>
    <t>Extended Scope_Driveline</t>
  </si>
  <si>
    <t>Trade/ Buy Back</t>
  </si>
  <si>
    <t>Terms</t>
  </si>
  <si>
    <t>Mileage</t>
  </si>
  <si>
    <t>Mileages</t>
  </si>
  <si>
    <t>Agreement Type</t>
  </si>
  <si>
    <t>36 MONTHS</t>
  </si>
  <si>
    <t>10 000 KM</t>
  </si>
  <si>
    <t>Trade-Back</t>
  </si>
  <si>
    <t>42 MONTHS</t>
  </si>
  <si>
    <t>20 000 KM</t>
  </si>
  <si>
    <t>48 MONTHS</t>
  </si>
  <si>
    <t>30 000 KM</t>
  </si>
  <si>
    <t>54 MONTHS</t>
  </si>
  <si>
    <t>40 000 KM</t>
  </si>
  <si>
    <t>60 MONTHS</t>
  </si>
  <si>
    <t>50 000 KM</t>
  </si>
  <si>
    <t>60 000 KM</t>
  </si>
  <si>
    <t>70 000 KM</t>
  </si>
  <si>
    <t>80 000 KM</t>
  </si>
  <si>
    <t>90 000 KM</t>
  </si>
  <si>
    <t>100 000 KM</t>
  </si>
  <si>
    <t>110 000 KM</t>
  </si>
  <si>
    <t>120 000 KM</t>
  </si>
  <si>
    <t>130 000 KM</t>
  </si>
  <si>
    <t>140 000 KM</t>
  </si>
  <si>
    <t>150 000 KM</t>
  </si>
  <si>
    <t>160 000 KM</t>
  </si>
  <si>
    <t>170 000 KM</t>
  </si>
  <si>
    <t>180 000 KM</t>
  </si>
  <si>
    <t>This is just an indicative commission calculation. Real commission is calculated considering other parameters at the end of each month.</t>
  </si>
  <si>
    <t>190 000 KM</t>
  </si>
  <si>
    <t>200 000 KM</t>
  </si>
  <si>
    <t>210 000 KM</t>
  </si>
  <si>
    <t>220 000 KM</t>
  </si>
  <si>
    <t>Agreement Type:</t>
  </si>
  <si>
    <t>230 000 KM</t>
  </si>
  <si>
    <t>240 000 KM</t>
  </si>
  <si>
    <t>250 000 KM</t>
  </si>
  <si>
    <t>260 000 KM</t>
  </si>
  <si>
    <t>270 000 KM</t>
  </si>
  <si>
    <t>280 000 KM</t>
  </si>
  <si>
    <t>300 000 KM</t>
  </si>
  <si>
    <t>450 000 KM</t>
  </si>
  <si>
    <t>360 000 KM</t>
  </si>
  <si>
    <t>24 MONTHS</t>
  </si>
  <si>
    <t>600 000 KM</t>
  </si>
  <si>
    <t>Order Date</t>
  </si>
  <si>
    <t>Unique Code</t>
  </si>
  <si>
    <t>CHASSIS NO.</t>
  </si>
  <si>
    <t>Customer</t>
  </si>
  <si>
    <t>DESIGNATION</t>
  </si>
  <si>
    <t>Code</t>
  </si>
  <si>
    <t>Manager</t>
  </si>
  <si>
    <t>Sales Manager</t>
  </si>
  <si>
    <t>NH</t>
  </si>
  <si>
    <t>Neels Holtzhausen</t>
  </si>
  <si>
    <t>Sales Reps - New</t>
  </si>
  <si>
    <t>RBB</t>
  </si>
  <si>
    <t>Richard Barnard</t>
  </si>
  <si>
    <t>SR</t>
  </si>
  <si>
    <t>Shaun Roux</t>
  </si>
  <si>
    <t>CS</t>
  </si>
  <si>
    <t>Clinton Schweers</t>
  </si>
  <si>
    <t>JL</t>
  </si>
  <si>
    <t>Juan Labuschagne</t>
  </si>
  <si>
    <t>Sales Reps - New - TBG</t>
  </si>
  <si>
    <t>WS</t>
  </si>
  <si>
    <t>Wayne Smith</t>
  </si>
  <si>
    <t>CJS</t>
  </si>
  <si>
    <t>CJ Swanepoel</t>
  </si>
  <si>
    <t>CVNC</t>
  </si>
  <si>
    <t>Christo van Niekerk</t>
  </si>
  <si>
    <t>Dealer Principal</t>
  </si>
  <si>
    <t>HDP</t>
  </si>
  <si>
    <t>Hubner Du Plessis</t>
  </si>
  <si>
    <t>IDO</t>
  </si>
  <si>
    <t>BTH</t>
  </si>
  <si>
    <t>Barney Theron</t>
  </si>
  <si>
    <t>Sales Reps - New - KBY</t>
  </si>
  <si>
    <t>JE</t>
  </si>
  <si>
    <t>Johan Esterhuizen</t>
  </si>
  <si>
    <t>Sales Reps - New - UPN</t>
  </si>
  <si>
    <t>JME</t>
  </si>
  <si>
    <t>Jurie Meyer</t>
  </si>
  <si>
    <t>WC</t>
  </si>
  <si>
    <t>Wayne Crossman</t>
  </si>
  <si>
    <t>Sales Reps - New - EL</t>
  </si>
  <si>
    <t>DB</t>
  </si>
  <si>
    <t>Deborah Brent</t>
  </si>
  <si>
    <t>Director</t>
  </si>
  <si>
    <t>BD</t>
  </si>
  <si>
    <t>Bruce Dickson</t>
  </si>
  <si>
    <t>JLA</t>
  </si>
  <si>
    <t>Juan Lange</t>
  </si>
  <si>
    <t>Sales Rep - New</t>
  </si>
  <si>
    <t>MF</t>
  </si>
  <si>
    <t>Mark French</t>
  </si>
  <si>
    <t>DN</t>
  </si>
  <si>
    <t>Dylan Naidoo</t>
  </si>
  <si>
    <t>RM</t>
  </si>
  <si>
    <t>Runga Moodley</t>
  </si>
  <si>
    <t>LS</t>
  </si>
  <si>
    <t>Leon Swart</t>
  </si>
  <si>
    <t>HW</t>
  </si>
  <si>
    <t>Hayden Wright</t>
  </si>
  <si>
    <t>JH</t>
  </si>
  <si>
    <t>Jason Holmes</t>
  </si>
  <si>
    <t>SM</t>
  </si>
  <si>
    <t>Sash Mitchell</t>
  </si>
  <si>
    <t>AP</t>
  </si>
  <si>
    <t>Andre Pretorius</t>
  </si>
  <si>
    <t>AA</t>
  </si>
  <si>
    <t>Andre Alberts</t>
  </si>
  <si>
    <t>CVE</t>
  </si>
  <si>
    <t>Colin Van Eck</t>
  </si>
  <si>
    <t>JMK</t>
  </si>
  <si>
    <t>Johan MacKay</t>
  </si>
  <si>
    <t>QG</t>
  </si>
  <si>
    <t>Quinten Gevers</t>
  </si>
  <si>
    <t>FH</t>
  </si>
  <si>
    <t>Fikile Hlatshwayo</t>
  </si>
  <si>
    <t>AF</t>
  </si>
  <si>
    <t>Adam Fayyaz</t>
  </si>
  <si>
    <t>TH</t>
  </si>
  <si>
    <t>Tiaan Hartman</t>
  </si>
  <si>
    <t>QT</t>
  </si>
  <si>
    <t>Quentin Theron</t>
  </si>
  <si>
    <t>QGN</t>
  </si>
  <si>
    <t>QTN</t>
  </si>
  <si>
    <t>MJ</t>
  </si>
  <si>
    <t>Manie Jansen</t>
  </si>
  <si>
    <t>CMH</t>
  </si>
  <si>
    <t>Chris Muller</t>
  </si>
  <si>
    <t>MK</t>
  </si>
  <si>
    <t>Michael Kerby</t>
  </si>
  <si>
    <t>HVH</t>
  </si>
  <si>
    <t>Harm van Heerden</t>
  </si>
  <si>
    <t>Fleet Sales Manager</t>
  </si>
  <si>
    <t>HD</t>
  </si>
  <si>
    <t>Henk Dique</t>
  </si>
  <si>
    <t>Sales Reps - New (VRG)</t>
  </si>
  <si>
    <t>KB</t>
  </si>
  <si>
    <t>Koos Bosman</t>
  </si>
  <si>
    <t>AHO</t>
  </si>
  <si>
    <t>Alfred Hoyer</t>
  </si>
  <si>
    <t>PB</t>
  </si>
  <si>
    <t>Paul Bhengu</t>
  </si>
  <si>
    <t>CB</t>
  </si>
  <si>
    <t>Christo Botes</t>
  </si>
  <si>
    <t>LR</t>
  </si>
  <si>
    <t>Lambert Roux</t>
  </si>
  <si>
    <t>Sales Reps - New (MMT)</t>
  </si>
  <si>
    <t>PF</t>
  </si>
  <si>
    <t>Philip Fouche</t>
  </si>
  <si>
    <t>Sales Reps - New (PRO)</t>
  </si>
  <si>
    <t>GC</t>
  </si>
  <si>
    <t>Greg Cook</t>
  </si>
  <si>
    <t>PHE</t>
  </si>
  <si>
    <t>Philip Hatting</t>
  </si>
  <si>
    <t>AVDH</t>
  </si>
  <si>
    <t>Andries Van Heerden</t>
  </si>
  <si>
    <t>CVH</t>
  </si>
  <si>
    <t>Christo van Heerden</t>
  </si>
  <si>
    <t>FEM</t>
  </si>
  <si>
    <t>Francois Ewald Meyer</t>
  </si>
  <si>
    <t>KW</t>
  </si>
  <si>
    <t>Kobus Wolmarans</t>
  </si>
  <si>
    <t>DV</t>
  </si>
  <si>
    <t>Dirik Vorster</t>
  </si>
  <si>
    <t>JS</t>
  </si>
  <si>
    <t>Jacques Swanepoel</t>
  </si>
  <si>
    <t>RB</t>
  </si>
  <si>
    <t>Ryno Blignaut</t>
  </si>
  <si>
    <t>Justice Muhangane</t>
  </si>
  <si>
    <t>JMUT</t>
  </si>
  <si>
    <t>DM</t>
  </si>
  <si>
    <t>Dominic Molotsi</t>
  </si>
  <si>
    <t>DVT</t>
  </si>
  <si>
    <t>RBT</t>
  </si>
  <si>
    <t>HBT</t>
  </si>
  <si>
    <t>Henk Bakker</t>
  </si>
  <si>
    <t>DEPT</t>
  </si>
  <si>
    <t>TRUCK</t>
  </si>
  <si>
    <t>Factory Warranty</t>
  </si>
  <si>
    <t>480 000 KM</t>
  </si>
  <si>
    <t>COMFORT SUPER</t>
  </si>
  <si>
    <t/>
  </si>
  <si>
    <t>700 000 KM</t>
  </si>
  <si>
    <t>720 000 KM</t>
  </si>
  <si>
    <t>800 000 KM</t>
  </si>
  <si>
    <t>75 000 KM</t>
  </si>
  <si>
    <t>125 000 KM</t>
  </si>
  <si>
    <t>225 000 KM</t>
  </si>
  <si>
    <t>375 000 KM</t>
  </si>
  <si>
    <t>400 000 KM</t>
  </si>
  <si>
    <t>500 000 KM</t>
  </si>
  <si>
    <t>625 000 KM</t>
  </si>
  <si>
    <t>750 000 KM</t>
  </si>
  <si>
    <t>1 000 000 KM</t>
  </si>
  <si>
    <t>Supplier</t>
  </si>
  <si>
    <t>Sales Executive</t>
  </si>
  <si>
    <t>Dealership</t>
  </si>
  <si>
    <t>Cape Town</t>
  </si>
  <si>
    <t>Pinetown</t>
  </si>
  <si>
    <t>Bloemfontein</t>
  </si>
  <si>
    <t>Johannesburg</t>
  </si>
  <si>
    <t>Centurion</t>
  </si>
  <si>
    <t>Nelspruit</t>
  </si>
  <si>
    <t>Trade in Quantity</t>
  </si>
  <si>
    <t>TGS-26-4406X4BLS-LX</t>
  </si>
  <si>
    <t>Applications</t>
  </si>
  <si>
    <t>Traction/Distribution</t>
  </si>
  <si>
    <t>TGS-33-3606X4BB-M-K</t>
  </si>
  <si>
    <t>TGS-33-3606X4BB-M-K-TIP</t>
  </si>
  <si>
    <t>TGS-33-3606X4BB-M-TIP</t>
  </si>
  <si>
    <t>TGM-18-2804X2BB-L</t>
  </si>
  <si>
    <t>TGS-26-4806X4BLS-LX</t>
  </si>
  <si>
    <t>TGM-18-2804X2BB-DK-DWA</t>
  </si>
  <si>
    <t>TGS-19-4004X2BLS-L-ALU-PTO</t>
  </si>
  <si>
    <t>TGS-26-4406X4BLS-M</t>
  </si>
  <si>
    <t>Q1</t>
  </si>
  <si>
    <t>Q2</t>
  </si>
  <si>
    <t>Q3</t>
  </si>
  <si>
    <t>Q4</t>
  </si>
  <si>
    <t>Year</t>
  </si>
  <si>
    <t>Quarters</t>
  </si>
  <si>
    <t>Year&amp;Month</t>
  </si>
  <si>
    <t>10-2016</t>
  </si>
  <si>
    <t>2016Q1</t>
  </si>
  <si>
    <t>2016Q2</t>
  </si>
  <si>
    <t>2016Q3</t>
  </si>
  <si>
    <t>2016Q4</t>
  </si>
  <si>
    <t>2017Q1</t>
  </si>
  <si>
    <t>2017Q2</t>
  </si>
  <si>
    <t>2017Q3</t>
  </si>
  <si>
    <t>2017Q4</t>
  </si>
  <si>
    <t>2018Q1</t>
  </si>
  <si>
    <t>2018Q2</t>
  </si>
  <si>
    <t>2018Q3</t>
  </si>
  <si>
    <t>2018Q4</t>
  </si>
  <si>
    <t>01-2016</t>
  </si>
  <si>
    <t>02-2016</t>
  </si>
  <si>
    <t>01-2017</t>
  </si>
  <si>
    <t>03-2016</t>
  </si>
  <si>
    <t>04-2016</t>
  </si>
  <si>
    <t>05-2016</t>
  </si>
  <si>
    <t>06-2016</t>
  </si>
  <si>
    <t>07-2016</t>
  </si>
  <si>
    <t>08-2016</t>
  </si>
  <si>
    <t>09-2016</t>
  </si>
  <si>
    <t>11-2016</t>
  </si>
  <si>
    <t>12-2016</t>
  </si>
  <si>
    <t>02-2017</t>
  </si>
  <si>
    <t>03-2017</t>
  </si>
  <si>
    <t>04-2017</t>
  </si>
  <si>
    <t>05-2017</t>
  </si>
  <si>
    <t>06-2017</t>
  </si>
  <si>
    <t>07-2017</t>
  </si>
  <si>
    <t>08-2017</t>
  </si>
  <si>
    <t>09-2017</t>
  </si>
  <si>
    <t>10-2017</t>
  </si>
  <si>
    <t>11-2017</t>
  </si>
  <si>
    <t>12-2017</t>
  </si>
  <si>
    <t>01-2018</t>
  </si>
  <si>
    <t>02-2018</t>
  </si>
  <si>
    <t>03-2018</t>
  </si>
  <si>
    <t>04-2018</t>
  </si>
  <si>
    <t>05-2018</t>
  </si>
  <si>
    <t>06-2018</t>
  </si>
  <si>
    <t>07-2018</t>
  </si>
  <si>
    <t>08-2018</t>
  </si>
  <si>
    <t>09-2018</t>
  </si>
  <si>
    <t>10-2018</t>
  </si>
  <si>
    <t>11-2018</t>
  </si>
  <si>
    <t>12-2018</t>
  </si>
  <si>
    <t>Standard Warranty</t>
  </si>
  <si>
    <t>MA6-0684</t>
  </si>
  <si>
    <t xml:space="preserve">Model </t>
  </si>
  <si>
    <t>Chassis</t>
  </si>
  <si>
    <t>Reference Chassis</t>
  </si>
  <si>
    <t>Over allowance</t>
  </si>
  <si>
    <t>Warranty Conditions</t>
  </si>
  <si>
    <t>Drop Down Menu</t>
  </si>
  <si>
    <t>Extended Warranty Campaign</t>
  </si>
  <si>
    <t xml:space="preserve">New Customer </t>
  </si>
  <si>
    <t>Other allowances</t>
  </si>
  <si>
    <t>Extras</t>
  </si>
  <si>
    <t>Additional Charge to Customer for Extras</t>
  </si>
  <si>
    <t>Limit</t>
  </si>
  <si>
    <t>ASM</t>
  </si>
  <si>
    <t>Retail Price less Discount</t>
  </si>
  <si>
    <t>ASM1</t>
  </si>
  <si>
    <t>ASM2</t>
  </si>
  <si>
    <t>SM1</t>
  </si>
  <si>
    <t>SM2</t>
  </si>
  <si>
    <t>Totals</t>
  </si>
  <si>
    <t>Chassis List</t>
  </si>
  <si>
    <t>Manager's Limit</t>
  </si>
  <si>
    <t>Description</t>
  </si>
  <si>
    <t>Date:</t>
  </si>
  <si>
    <t>Customer:</t>
  </si>
  <si>
    <t>Sales Executive:</t>
  </si>
  <si>
    <t>Dealership:</t>
  </si>
  <si>
    <t>RVP</t>
  </si>
  <si>
    <t>Robbie Virgili</t>
  </si>
  <si>
    <t>HVHC</t>
  </si>
  <si>
    <t>DC</t>
  </si>
  <si>
    <t>Direen Chetty</t>
  </si>
  <si>
    <t>HVHN</t>
  </si>
  <si>
    <t>Head of Truck Sales Division</t>
  </si>
  <si>
    <t>EG</t>
  </si>
  <si>
    <t>Eren Gunduz</t>
  </si>
  <si>
    <t>Deon Otto</t>
  </si>
  <si>
    <t>Head of Retail Sales</t>
  </si>
  <si>
    <t>Sales Rep</t>
  </si>
  <si>
    <t>Sales Reps</t>
  </si>
  <si>
    <t>Main Dealership</t>
  </si>
  <si>
    <t>Head Office</t>
  </si>
  <si>
    <t>Private Capital Dealers</t>
  </si>
  <si>
    <t>RV</t>
  </si>
  <si>
    <t>50NH00</t>
  </si>
  <si>
    <t>50RBB00</t>
  </si>
  <si>
    <t>50SR00</t>
  </si>
  <si>
    <t>80CS00</t>
  </si>
  <si>
    <t>80JL00</t>
  </si>
  <si>
    <t>80WS00</t>
  </si>
  <si>
    <t>80CJS00</t>
  </si>
  <si>
    <t>80CVNC00</t>
  </si>
  <si>
    <t>60HDP56</t>
  </si>
  <si>
    <t>60BTH56</t>
  </si>
  <si>
    <t>60JE56</t>
  </si>
  <si>
    <t>60JME56</t>
  </si>
  <si>
    <t>60WC56</t>
  </si>
  <si>
    <t>33BD00</t>
  </si>
  <si>
    <t>33JLA00</t>
  </si>
  <si>
    <t>33MF00</t>
  </si>
  <si>
    <t>30RVP00</t>
  </si>
  <si>
    <t>30DN00</t>
  </si>
  <si>
    <t>30RM00</t>
  </si>
  <si>
    <t>30LS00</t>
  </si>
  <si>
    <t>30HW00</t>
  </si>
  <si>
    <t>30JH00</t>
  </si>
  <si>
    <t>60SM56</t>
  </si>
  <si>
    <t>60AP56</t>
  </si>
  <si>
    <t>60AA56</t>
  </si>
  <si>
    <t>60CVE56</t>
  </si>
  <si>
    <t>22HVHC00</t>
  </si>
  <si>
    <t>22JMK00</t>
  </si>
  <si>
    <t>22QG00</t>
  </si>
  <si>
    <t>22FH00</t>
  </si>
  <si>
    <t>22AF00</t>
  </si>
  <si>
    <t>22TH00</t>
  </si>
  <si>
    <t>22QT00</t>
  </si>
  <si>
    <t>22DC00</t>
  </si>
  <si>
    <t>12HVHN40</t>
  </si>
  <si>
    <t>12QGN40</t>
  </si>
  <si>
    <t>12QTN40</t>
  </si>
  <si>
    <t>00MJ28</t>
  </si>
  <si>
    <t>00CMH28</t>
  </si>
  <si>
    <t>00MK28</t>
  </si>
  <si>
    <t>20HVH00</t>
  </si>
  <si>
    <t>20HD00</t>
  </si>
  <si>
    <t>20KB00</t>
  </si>
  <si>
    <t>20AHO00</t>
  </si>
  <si>
    <t>20PB00</t>
  </si>
  <si>
    <t>20CB00</t>
  </si>
  <si>
    <t>10LR50</t>
  </si>
  <si>
    <t>10PF50</t>
  </si>
  <si>
    <t>10GC50</t>
  </si>
  <si>
    <t>10PHE50</t>
  </si>
  <si>
    <t>10AVDH50</t>
  </si>
  <si>
    <t>10CVH50</t>
  </si>
  <si>
    <t>10FEM50</t>
  </si>
  <si>
    <t>10KW50</t>
  </si>
  <si>
    <t>07DV00</t>
  </si>
  <si>
    <t>07JS00</t>
  </si>
  <si>
    <t>07RB00</t>
  </si>
  <si>
    <t>07JMUT00</t>
  </si>
  <si>
    <t>07DM00</t>
  </si>
  <si>
    <t>21DVT97</t>
  </si>
  <si>
    <t>21RBT97</t>
  </si>
  <si>
    <t>21HBT97</t>
  </si>
  <si>
    <t>10EG00</t>
  </si>
  <si>
    <t>10IDO00</t>
  </si>
  <si>
    <t>10RV00</t>
  </si>
  <si>
    <t>Sales Team and Dealerships</t>
  </si>
  <si>
    <t>MAN Dealerships</t>
  </si>
  <si>
    <t>Private Dealers</t>
  </si>
  <si>
    <t>Activator</t>
  </si>
  <si>
    <t>Drop Downs</t>
  </si>
  <si>
    <t xml:space="preserve">MAN Cost </t>
  </si>
  <si>
    <t>Total</t>
  </si>
  <si>
    <t>Warranty Types</t>
  </si>
  <si>
    <t>Buy-Back</t>
  </si>
  <si>
    <t>Alpine Truck And Bus Vw</t>
  </si>
  <si>
    <t>Hatfield Truck And Bus Vw</t>
  </si>
  <si>
    <t xml:space="preserve">Middelburg </t>
  </si>
  <si>
    <t>Tulisa Park Truck And Bus Vw</t>
  </si>
  <si>
    <t>Middelburg / Ermelo</t>
  </si>
  <si>
    <t>Management / Sales</t>
  </si>
  <si>
    <t>Customer :</t>
  </si>
  <si>
    <t>MAN Bloemfontein</t>
  </si>
  <si>
    <t>MAN Cape Town</t>
  </si>
  <si>
    <t>MAN Centurion</t>
  </si>
  <si>
    <t>MAN Johannesburg</t>
  </si>
  <si>
    <t>MAN Nelspruit</t>
  </si>
  <si>
    <t>MAN Pinetown</t>
  </si>
  <si>
    <t>** Please note that estimated offline dates are preliminary.  Please refer to your weekly Magic List for updates.**</t>
  </si>
  <si>
    <t>Days in Stock/Estimated Offline Date</t>
  </si>
  <si>
    <t>DEAL INVOICING PROJECTION</t>
  </si>
  <si>
    <t>Date</t>
  </si>
  <si>
    <t>Month of invoice</t>
  </si>
  <si>
    <t>Units</t>
  </si>
  <si>
    <t>Middelburg</t>
  </si>
  <si>
    <t>Kempston Motor Group Trust</t>
  </si>
  <si>
    <t>Protech</t>
  </si>
  <si>
    <t>AAD Truck &amp; Bus</t>
  </si>
  <si>
    <t>33DB00</t>
  </si>
  <si>
    <t>TGS-41-4408X4BB-M-DWA</t>
  </si>
  <si>
    <t>MAN Automotive (S.A.) (Pty) Limited</t>
  </si>
  <si>
    <t>EXTRAS</t>
  </si>
  <si>
    <t>Days in Stock/Expected offline date</t>
  </si>
  <si>
    <t>201610Q4</t>
  </si>
  <si>
    <t>CLA-15-2204X2BB-C-CKD</t>
  </si>
  <si>
    <t>CLA-16-2204X2BB-C</t>
  </si>
  <si>
    <t>CLA-20-2804X2BB-C</t>
  </si>
  <si>
    <t>CLA-26-2806X4BB-C-K</t>
  </si>
  <si>
    <t>CLA-26-2806X4BB-C-L</t>
  </si>
  <si>
    <t>CLA-26-2806X4BB-C-M</t>
  </si>
  <si>
    <t>CLA-26-2806X4BBS-L</t>
  </si>
  <si>
    <t>TGM-13-2804X4BB-LA-DK SWA</t>
  </si>
  <si>
    <t>TGM-15-2404X2BL-C</t>
  </si>
  <si>
    <t>TGM-18-2404X2BB-C</t>
  </si>
  <si>
    <t>TGM-18-2404X2BB-C-K</t>
  </si>
  <si>
    <t>TGM-18-2404X4BB-C-DWA</t>
  </si>
  <si>
    <t>TGM-18-2404X4BB-C-SWA</t>
  </si>
  <si>
    <t>TGM-18-2404X4BB-DK-DWA</t>
  </si>
  <si>
    <t>TGM-18-2404X4BB-DK-SWA-TIP</t>
  </si>
  <si>
    <t>TGM-18-2804X2BB-C-K</t>
  </si>
  <si>
    <t>TGM-18-2804X2BB-LX</t>
  </si>
  <si>
    <t>TGM-18-2804X4BB-C-MAN</t>
  </si>
  <si>
    <t>TGM-18-3304X4BB-C-DWA</t>
  </si>
  <si>
    <t>TGM-18-3304X4BB-DK-SWA</t>
  </si>
  <si>
    <t>TGM-25-2806X2BL-L</t>
  </si>
  <si>
    <t>TGM-25-2806X2BL-LX</t>
  </si>
  <si>
    <t>TGS-19-3604X2BLS-L</t>
  </si>
  <si>
    <t>TGS-19-4404X2BLS-LX-EL</t>
  </si>
  <si>
    <t>TGS-25-4406X2BLS-LX</t>
  </si>
  <si>
    <t>TGS-26-3606X4BLS-L</t>
  </si>
  <si>
    <t>TGS-26-4006X4BLS-L</t>
  </si>
  <si>
    <t>TGS-26-4006X4BLS-M</t>
  </si>
  <si>
    <t>TGS-26-4406X4BLS-L</t>
  </si>
  <si>
    <t>TGS-26-4406X4BLS-LX-ADR</t>
  </si>
  <si>
    <t>TGS-26-4406X4BLS-LX-ALU</t>
  </si>
  <si>
    <t>TGS-26-4406X4BLS-LX-ALU-EL</t>
  </si>
  <si>
    <t>TGS-26-4806X4BLS-LX-E5</t>
  </si>
  <si>
    <t>TGS-26-4806X4BLS-LX-EL</t>
  </si>
  <si>
    <t>TGS-26-4806X4BLS-LX-EL-ACC</t>
  </si>
  <si>
    <t>TGS-27-4006X4BBS-L</t>
  </si>
  <si>
    <t>TGS-27-4006X4BBS-L-INT</t>
  </si>
  <si>
    <t>TGS-27-4406X4BBS-L</t>
  </si>
  <si>
    <t>TGS-27-4406X4BBS-L-STEEL</t>
  </si>
  <si>
    <t>TGS-27-4406X4BBS-LX</t>
  </si>
  <si>
    <t>TGS-27-4806X4BBS-L</t>
  </si>
  <si>
    <t>TGS-27-4806X4BBS-LX</t>
  </si>
  <si>
    <t>TGS-27-4806X4BBS-LX-PBS</t>
  </si>
  <si>
    <t>TGS-28-3606X2BLS-L</t>
  </si>
  <si>
    <t>TGS-28-4406X2BLS-LX</t>
  </si>
  <si>
    <t>TGS-33-3606X4BB-M</t>
  </si>
  <si>
    <t>TGS-33-3606X4BBS-L</t>
  </si>
  <si>
    <t>TGS-33-3606X6BB-M-SWA</t>
  </si>
  <si>
    <t>TGS-33-4006X4BB-M-K</t>
  </si>
  <si>
    <t>TGS-33-4006X4BB-M-TIP</t>
  </si>
  <si>
    <t>TGS-33-4006X4BBS-L-MAN</t>
  </si>
  <si>
    <t>TGS-33-4006X4BBS-L-TIP</t>
  </si>
  <si>
    <t>TGS-33-4006X4BBS-L-TIPINT</t>
  </si>
  <si>
    <t>TGS-33-4006X6BB-L</t>
  </si>
  <si>
    <t>TGS-33-4006X6BB-M-DWA</t>
  </si>
  <si>
    <t>TGS-33-4006X6BB-M-SWA</t>
  </si>
  <si>
    <t>TGS-33-4406X4BBS-L</t>
  </si>
  <si>
    <t>TGS-33-4406X4BB-M</t>
  </si>
  <si>
    <t>TGS-33-4406X4BB-M-LHD</t>
  </si>
  <si>
    <t>TGS-33-4406X4BBS-L-AB</t>
  </si>
  <si>
    <t>TGS-33-4406X4BBS-L-TIP</t>
  </si>
  <si>
    <t>TGS-33-4406X6BB-L-DWA</t>
  </si>
  <si>
    <t>TGS-33-4406X6BB-L-SWA</t>
  </si>
  <si>
    <t>TGS-33-4406X6BB-M-SWA</t>
  </si>
  <si>
    <t>TGS-33-4806X4BB-M</t>
  </si>
  <si>
    <t>TGS-33-4806X4BB-M-PBS-MAN</t>
  </si>
  <si>
    <t>TGS-33-4806X4BBS-L</t>
  </si>
  <si>
    <t>TGS-33-4806X4BBS-L-AB</t>
  </si>
  <si>
    <t>TGS-33-4806X4BBS-L-AB-MAN</t>
  </si>
  <si>
    <t>TGS-33-4806X4BBS-L-TIP</t>
  </si>
  <si>
    <t>TGS-33-4806X4BBS-L-TIPINT</t>
  </si>
  <si>
    <t>TGS-33-4806X4BBS-LX</t>
  </si>
  <si>
    <t>TGS-33-4806X6BBS-L</t>
  </si>
  <si>
    <t>TGS-34-3608X4BB-M-DWA</t>
  </si>
  <si>
    <t>TGS-40-4806X4BBS-L-AB</t>
  </si>
  <si>
    <t>TGS-40-4806X4BBS-LX-AB</t>
  </si>
  <si>
    <t>TGS-40-4806X6BB-M-TIP</t>
  </si>
  <si>
    <t>TGS-41-4008X4BB-M-DWA</t>
  </si>
  <si>
    <t>TGS-41-4808X4BB-M-DWA</t>
  </si>
  <si>
    <t>TGX-26-5406X4BLS-XLX</t>
  </si>
  <si>
    <t>TGX-41-6808X4BBS-XXL</t>
  </si>
  <si>
    <t>VW-17-2504X2BB-LR-XLWB</t>
  </si>
  <si>
    <t>VW-19-3204X2BLS-L</t>
  </si>
  <si>
    <t>VW-19-3204X2BLS-LR</t>
  </si>
  <si>
    <t>VW-24-2506X2BBL-LR-LWB</t>
  </si>
  <si>
    <t>Road Type</t>
  </si>
  <si>
    <t>Dual</t>
  </si>
  <si>
    <t>Off-Road</t>
  </si>
  <si>
    <t>On-Road</t>
  </si>
  <si>
    <t>Trade/Buy Back Agreement(Per Chassis)</t>
  </si>
  <si>
    <t>R&amp;M Contract (Per Chassis)</t>
  </si>
  <si>
    <t>Warranties (Per Chassis)</t>
  </si>
  <si>
    <t>Description (Per Chassis)</t>
  </si>
  <si>
    <t xml:space="preserve">Status with
Booking Expiry Date
</t>
  </si>
  <si>
    <t>Days in stock/Expected offline date</t>
  </si>
  <si>
    <t>Fixed Commission - Total</t>
  </si>
  <si>
    <t>Variable Commission - Total</t>
  </si>
  <si>
    <t>New Customer Bonus - Total</t>
  </si>
  <si>
    <t>Support (given by MAN) - Total</t>
  </si>
  <si>
    <t>Trade-In?</t>
  </si>
  <si>
    <t>WIP - 30 Days</t>
  </si>
  <si>
    <t>VAT</t>
  </si>
  <si>
    <t>DEALER</t>
  </si>
  <si>
    <t>CUSTOMER</t>
  </si>
  <si>
    <t>QTY</t>
  </si>
  <si>
    <t>OVER ALLOWANCE</t>
  </si>
  <si>
    <t>STAND IN VALUE</t>
  </si>
  <si>
    <t>MAN Automotive (South Africa) Proprietary Limited</t>
  </si>
  <si>
    <t>Order Management</t>
  </si>
  <si>
    <t>NOTE:  ALL TRADE-INS SUBJECT TO TERMS AND CONDITIONS AS PER TOPUSED</t>
  </si>
  <si>
    <t>COMMENTS</t>
  </si>
  <si>
    <t>REGISTRATION / FLEET NO.</t>
  </si>
  <si>
    <t>AMOUNT OFFERED TO CUSTOMER (Incl VAT)</t>
  </si>
  <si>
    <t>AMOUNT OFFERED TO CUSTOMER (Excl VAT)</t>
  </si>
  <si>
    <t>TOPUSED HANDLING FEE</t>
  </si>
  <si>
    <t>TOTALS</t>
  </si>
  <si>
    <t>APPROVED BY</t>
  </si>
  <si>
    <t>TOP USED TRADE IN</t>
  </si>
  <si>
    <t>IN/OUT TRADE IN</t>
  </si>
  <si>
    <t>DEALER TRADE IN</t>
  </si>
  <si>
    <t>Actual Cost from Top-Used</t>
  </si>
  <si>
    <r>
      <t>Other Allowances (Total)_</t>
    </r>
    <r>
      <rPr>
        <b/>
        <sz val="10"/>
        <color rgb="FFFF0000"/>
        <rFont val="Arial"/>
        <family val="2"/>
      </rPr>
      <t>All Order Management Costs (Previously denoted by "V")</t>
    </r>
  </si>
  <si>
    <t>ITEMS</t>
  </si>
  <si>
    <t>OTHER</t>
  </si>
  <si>
    <t>Actual Cost from Maintenance Dpt</t>
  </si>
  <si>
    <t>VAT(Yes/No)</t>
  </si>
  <si>
    <t>YES</t>
  </si>
  <si>
    <t>MAN</t>
  </si>
  <si>
    <t>BX 76 SZ GP</t>
  </si>
  <si>
    <t>On-Road?</t>
  </si>
  <si>
    <t>Customer Selling Price</t>
  </si>
  <si>
    <t>Mileage (Per Month)</t>
  </si>
  <si>
    <t>MAN Automotive (South Africa) (Pty) Ltd</t>
  </si>
  <si>
    <t>Reg. No. 1975/004250/07</t>
  </si>
  <si>
    <t>CONTACT DETAILS</t>
  </si>
  <si>
    <t>VAT Reg. No. 4960273706</t>
  </si>
  <si>
    <t>The Views</t>
  </si>
  <si>
    <t>Founders Hill Office Park</t>
  </si>
  <si>
    <t>18 Centenary Way</t>
  </si>
  <si>
    <t>BFN040817</t>
  </si>
  <si>
    <t>Modderfontein</t>
  </si>
  <si>
    <t>Cell</t>
  </si>
  <si>
    <t>Fax</t>
  </si>
  <si>
    <t>Tel (011) 928 6800</t>
  </si>
  <si>
    <t>Email</t>
  </si>
  <si>
    <t>Fax (011) 974 1881</t>
  </si>
  <si>
    <t>(hereinafter referred to as the “Purchaser”),  do hereby undertake to purchase from MAN Automotive (S.A.) (Pty) Ltd (hereinafter referred to as the “Supplier”), subject to the terms and stipulations appearing on the face. AND ATTACHED HERETO, with which conditions I acknowledge myself to be familiar, the following items:-</t>
  </si>
  <si>
    <t>VEHICLE DESCRIPTION</t>
  </si>
  <si>
    <t>Quantity</t>
  </si>
  <si>
    <t>VAT (Y/N)</t>
  </si>
  <si>
    <t>Trade In Details</t>
  </si>
  <si>
    <t>BuyBack/Trade Back Details</t>
  </si>
  <si>
    <t>Term (in Months)</t>
  </si>
  <si>
    <t>Repairs &amp; Maintenance Details</t>
  </si>
  <si>
    <t>Package</t>
  </si>
  <si>
    <t>Retail Price after discount</t>
  </si>
  <si>
    <t>Payment Method</t>
  </si>
  <si>
    <t>Payment Terms (If Applicable)</t>
  </si>
  <si>
    <t>PAYMENT, DELIVERY &amp; LICENSING INSTRUCTIONS</t>
  </si>
  <si>
    <t>BALANCE OF PURCHASE PRICE</t>
  </si>
  <si>
    <t>Total cash deposit</t>
  </si>
  <si>
    <t>PURCHASE SUMMARY</t>
  </si>
  <si>
    <t>Total trade in deposit (Incl VAT)</t>
  </si>
  <si>
    <t>Unit Price</t>
  </si>
  <si>
    <t>jvanschalwyk@jjt.co.za</t>
  </si>
  <si>
    <t>Tel</t>
  </si>
  <si>
    <t>We, MAN Automotive (South Africa) Pty Ltd, hereby accept the offer herein set forth subject to aforesaid terms, conditions and stipulations.</t>
  </si>
  <si>
    <r>
      <rPr>
        <b/>
        <sz val="10"/>
        <color theme="1"/>
        <rFont val="Arial"/>
        <family val="2"/>
      </rPr>
      <t>Purchaser
Name:</t>
    </r>
    <r>
      <rPr>
        <sz val="10"/>
        <color theme="1"/>
        <rFont val="Arial"/>
        <family val="2"/>
      </rPr>
      <t xml:space="preserve">
Signature:
Date:</t>
    </r>
  </si>
  <si>
    <r>
      <rPr>
        <b/>
        <sz val="10"/>
        <color theme="1"/>
        <rFont val="Arial"/>
        <family val="2"/>
      </rPr>
      <t xml:space="preserve">Sales Executive
Name:
</t>
    </r>
    <r>
      <rPr>
        <sz val="10"/>
        <color theme="1"/>
        <rFont val="Arial"/>
        <family val="2"/>
      </rPr>
      <t xml:space="preserve">
Signature:
Date:</t>
    </r>
  </si>
  <si>
    <r>
      <rPr>
        <b/>
        <sz val="10"/>
        <color theme="1"/>
        <rFont val="Arial"/>
        <family val="2"/>
      </rPr>
      <t xml:space="preserve">Sales Manager
Name
</t>
    </r>
    <r>
      <rPr>
        <sz val="10"/>
        <color theme="1"/>
        <rFont val="Arial"/>
        <family val="2"/>
      </rPr>
      <t xml:space="preserve">
Signature:
Date:</t>
    </r>
  </si>
  <si>
    <r>
      <rPr>
        <b/>
        <sz val="10"/>
        <color theme="1"/>
        <rFont val="Arial"/>
        <family val="2"/>
      </rPr>
      <t>MAN Automotive Head Office Representative</t>
    </r>
    <r>
      <rPr>
        <sz val="10"/>
        <color theme="1"/>
        <rFont val="Arial"/>
        <family val="2"/>
      </rPr>
      <t xml:space="preserve"> 
Name
Signature:
Date:</t>
    </r>
  </si>
  <si>
    <t>Number Of Trade In's</t>
  </si>
  <si>
    <t>Service Care</t>
  </si>
  <si>
    <t>Total (Excl VAT)</t>
  </si>
  <si>
    <t>On Road?</t>
  </si>
  <si>
    <r>
      <t xml:space="preserve">VALUE ADDED PRODUCTS </t>
    </r>
    <r>
      <rPr>
        <b/>
        <i/>
        <sz val="10"/>
        <color theme="6" tint="-0.249977111117893"/>
        <rFont val="Arial"/>
        <family val="2"/>
      </rPr>
      <t>(PRICES INCLUDED IN THE CONTRACT</t>
    </r>
    <r>
      <rPr>
        <b/>
        <sz val="10"/>
        <color theme="6" tint="-0.249977111117893"/>
        <rFont val="Arial"/>
        <family val="2"/>
      </rPr>
      <t>)</t>
    </r>
  </si>
  <si>
    <t>Total Trade in Value (Excl VAT)</t>
  </si>
  <si>
    <t>CONFIRMED CHASSIS LIST</t>
  </si>
  <si>
    <t>Sales Channel</t>
  </si>
  <si>
    <t>Retail</t>
  </si>
  <si>
    <t>Key Account</t>
  </si>
  <si>
    <t>Private Capital Dealership</t>
  </si>
  <si>
    <t>Date *</t>
  </si>
  <si>
    <t>Address</t>
  </si>
  <si>
    <t>Jan Van Shalwyk</t>
  </si>
  <si>
    <t>Contact Person *</t>
  </si>
  <si>
    <t>Postal Code</t>
  </si>
  <si>
    <t>Telephone Number</t>
  </si>
  <si>
    <t>Cellphone Number</t>
  </si>
  <si>
    <t>Fax Number</t>
  </si>
  <si>
    <t>Email Address</t>
  </si>
  <si>
    <t>073 123 4567</t>
  </si>
  <si>
    <t>086 669 2700</t>
  </si>
  <si>
    <t>Company Reg. No</t>
  </si>
  <si>
    <t>VAT Reg. No</t>
  </si>
  <si>
    <t>Unit D7 Waterford Court</t>
  </si>
  <si>
    <t>C/o Rabie &amp; Glover Street</t>
  </si>
  <si>
    <t>Lyytelton</t>
  </si>
  <si>
    <t>0157</t>
  </si>
  <si>
    <t>Delivery Month</t>
  </si>
  <si>
    <t>Financed</t>
  </si>
  <si>
    <t>Customer Direct Payment</t>
  </si>
  <si>
    <t>Financial Institution</t>
  </si>
  <si>
    <t>Bank Contact Person</t>
  </si>
  <si>
    <t>Bank Contact Telephone Number</t>
  </si>
  <si>
    <t>Bank Physical address</t>
  </si>
  <si>
    <t>Gerrie Nel</t>
  </si>
  <si>
    <t>Absa</t>
  </si>
  <si>
    <t>110 Cantonments Road</t>
  </si>
  <si>
    <t>Lyttelton</t>
  </si>
  <si>
    <t>Bank Reg. No.</t>
  </si>
  <si>
    <t>30 days</t>
  </si>
  <si>
    <t>If Payment Terms, Credit Check in Process</t>
  </si>
  <si>
    <t>Special Finance Requirements</t>
  </si>
  <si>
    <t>Delivery method</t>
  </si>
  <si>
    <t xml:space="preserve">Deliver </t>
  </si>
  <si>
    <t>Customer to collect</t>
  </si>
  <si>
    <t>No.</t>
  </si>
  <si>
    <t>Delivery Dates (YYYY-MM)</t>
  </si>
  <si>
    <t>Licensing Requirements</t>
  </si>
  <si>
    <t>Please note: Delivery dates may change due to stock availability.</t>
  </si>
  <si>
    <t>DEAL DATA SHEET</t>
  </si>
  <si>
    <t>DELIVERY &amp; LICENSING INSTRUCTIONS</t>
  </si>
  <si>
    <t>**Please specify</t>
  </si>
  <si>
    <t>1987/007/0356</t>
  </si>
  <si>
    <t>Absa Lyttelton Branch</t>
  </si>
  <si>
    <t>CUSTOMER DETAILS</t>
  </si>
  <si>
    <t>FINANCE DETAILS</t>
  </si>
  <si>
    <t>Licensing /Registration Requirements</t>
  </si>
  <si>
    <t>Prefered Delivery Date(s) (YYYY-MM)</t>
  </si>
  <si>
    <t>Extended Warranties (Optional)</t>
  </si>
  <si>
    <t>Diesel Required</t>
  </si>
  <si>
    <t>DEAL DETAILS</t>
  </si>
  <si>
    <t>150 Litres</t>
  </si>
  <si>
    <t>Quantity:</t>
  </si>
  <si>
    <t>Application:</t>
  </si>
  <si>
    <t>012- 00-3 1234</t>
  </si>
  <si>
    <t>Mileage  (in Kilometres)</t>
  </si>
  <si>
    <t>Mileage (in Kilometres)</t>
  </si>
  <si>
    <t>MINV</t>
  </si>
  <si>
    <t>OFFLINE</t>
  </si>
  <si>
    <t>Comment on Month of Invoicing</t>
  </si>
  <si>
    <t>Diff Year</t>
  </si>
  <si>
    <t>Diff Month</t>
  </si>
  <si>
    <t>Total VAT</t>
  </si>
  <si>
    <t>Once Signed by at least 1 (One) MAN Automotive (Pty) Ltd Representative, This serves as an order confirmation.</t>
  </si>
  <si>
    <t>Deposit Assistance (If Applicable)</t>
  </si>
  <si>
    <t>MNG</t>
  </si>
  <si>
    <t>WA</t>
  </si>
  <si>
    <t>GE</t>
  </si>
  <si>
    <t>F</t>
  </si>
  <si>
    <t>Muzi Ngema</t>
  </si>
  <si>
    <t>Warren Atinkson</t>
  </si>
  <si>
    <t>Greg Erain</t>
  </si>
  <si>
    <t>45YSI93</t>
  </si>
  <si>
    <t>RT82LTW</t>
  </si>
  <si>
    <t>TZR1725</t>
  </si>
  <si>
    <t>RTY157K</t>
  </si>
  <si>
    <t>Stratergic Account</t>
  </si>
  <si>
    <t>FN</t>
  </si>
  <si>
    <t>Florence Nkgau</t>
  </si>
  <si>
    <t>OTP Number:</t>
  </si>
  <si>
    <t>OTP Number *</t>
  </si>
  <si>
    <t>Centurion Invoicing (BBBEE)</t>
  </si>
  <si>
    <t>Status</t>
  </si>
  <si>
    <t>CONDITIONS OF SALE</t>
  </si>
  <si>
    <t>The Purchaser's offer is irrevocable and the Supplier is not bound until it accepts the offer.</t>
  </si>
  <si>
    <t>Notwithstanding anything to the contrary herein contained, the Supplier shall have the right, despite acceptance of the offer, to cancel the contract at any time prior to delivery of the goods in which case the Supplier's liability shall be limited to refunding any amounts paid by the Purchaser on account of the purchase price.</t>
  </si>
  <si>
    <t>Payment of the full purchase price is to be effected free of exchange at the Supplier's address in Johannesburg, or at such other place as the Supplier may nominate, within thirty (30) days of the acceptance by the Supplier of the Purchaser's offer unless a contrary arrangement is prescribed on the face of the Order.</t>
  </si>
  <si>
    <t>Interest at the rate of fifteeen per centum (15 %) per annum shall accrue on all amounts in arrear.</t>
  </si>
  <si>
    <t>The sale of the goods referred to on the face of the Order, is subject to the suspensive condition that ownership of the goods remains vested  in the Supplier until the Purchaser shall have paid to the Supplier the full purchase price, interest and all other amounts due to the Supplier.  The Purchaser undertakes at his own cost to insure the goods to the satisfaction of the Supplier with an Insurer approved by the Supplier.  The Purchaser hereby cedes and, as far may be necessary, undertakes to cede to the Supplier all his rights under such policy or policies of insurance.  In the event of the Purchaser failing to effect the insurance, the Supplier shall be entitled to do so and to recover the cost from the Purchaser.  The Purchaser undertakes that he will, when required by the Supplier so to do, sign a written Hire Purchase Agreement in a form approved of by the Supplier and on so doing nothing herein contained shall prejudice the Supplier's rights under such an Agreement.  Similarly, nothing contained in such Hire Purchase Agreement shall prejudice the Supplier's rights hereunder.</t>
  </si>
  <si>
    <t>In the event of the Purchaser breaching any or all of the terms and conditions hereof,  the Supplier shall be entitled, without notice to the Purchaser, to terminate the Agreement and to re-take possession of the goods and the Purchaser hereby consents and agrees to the Supplier taking possession in such event.  The Supplier shall, in the alternative, be entitled to payment of the full balance of all amounts due by the Purchaser to the Supplier in terms hereof.  The rights defined in this paragraph are entirely without prejudice to any other rights which the Supplier may, in law, have and, in particular, the Supplier shall be entitled to recover all and any damages which it may suffer as a result of the Purchaser's breach of contract.</t>
  </si>
  <si>
    <t>(a)  In respect of new goods, the Supplier makes no warranties whatsoever other than as may be given by the manufacturers and the Purchaser accepts such goods subject to warranties or to the manufacturer's conditions of sale with which he acknowledges himself to be familiar.</t>
  </si>
  <si>
    <t>(b)  Save as aforesaid and save as may be herein expressly contained, the Supplier makes no warranties, representations or conditions, express or implied.</t>
  </si>
  <si>
    <t>(c)  It is a clear and specific condition of this sale that the Supplier shall not be liable or responsible for any damage, injury or consequential loss of whatsoever nature or howsoever caused.</t>
  </si>
  <si>
    <t>The Purchaser acknowledges that he is aware that the Supplier's agents and salesmen have no authority to vary these terms or conditions of sale, and the Supplier assumes no liability and shall not be bound by any statements, warranties or representations made by salesmen save as expressly stated on the face hereof and signed by a senior manager or director of the Supplier, and/or otherswise confirmed in writing by a director or senior manager of the Supplier.</t>
  </si>
  <si>
    <t>Statements on the face hereof or in catalogues, advertisements and the like, regarding weight, capacity, horse-power shall be taken to be approximate only and sketches and illustrations are not binding as to detail.</t>
  </si>
  <si>
    <t>The Supplier and the Purchaser hereby agree that, in respect of any proceedings arising out of or in connection with this sale, they consent to the jurisdiction of a Magistrates Court notwithstanding that the subject matter of the dispute may otherwise be byond the jurisdiction of such court.</t>
  </si>
  <si>
    <t>In the event of a trade-in, I, the undersigned, place on record that the motor vehicle, which I wish to trade-in to you and details of which are set out in the reverse side hereof, is my sole property, that it has been paid in full and is not subject to any lien whatsoever.</t>
  </si>
  <si>
    <t>SIGNED</t>
  </si>
  <si>
    <t>012 6444 700</t>
  </si>
  <si>
    <t>Deposit Paid (Per Deal)*</t>
  </si>
  <si>
    <t>Deposit Assistance (Per Deal)*</t>
  </si>
  <si>
    <t>ABC Truck</t>
  </si>
  <si>
    <t>TBAKP707</t>
  </si>
  <si>
    <t>MA6-0685</t>
  </si>
  <si>
    <t>BY 76 SZ GP</t>
  </si>
  <si>
    <t>Longhaul</t>
  </si>
  <si>
    <t>Handling Fee</t>
  </si>
  <si>
    <t>MAN Dealership</t>
  </si>
  <si>
    <t>Bull Bar</t>
  </si>
  <si>
    <t>Fuel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</si>
</sst>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164" formatCode="&quot;R&quot;\ #,##0;&quot;R&quot;\ \-#,##0"/>
    <numFmt numFmtId="165" formatCode="&quot;R&quot;\ #,##0;[Red]&quot;R&quot;\ \-#,##0"/>
    <numFmt numFmtId="166" formatCode="&quot;R&quot;\ #,##0.00;&quot;R&quot;\ \-#,##0.00"/>
    <numFmt numFmtId="167" formatCode="_ &quot;R&quot;\ * #,##0.00_ ;_ &quot;R&quot;\ * \-#,##0.00_ ;_ &quot;R&quot;\ * &quot;-&quot;??_ ;_ @_ "/>
    <numFmt numFmtId="168" formatCode="_ * #,##0.00_ ;_ * \-#,##0.00_ ;_ * &quot;-&quot;??_ ;_ @_ "/>
    <numFmt numFmtId="169" formatCode="_-* #,##0.00_-;\-* #,##0.00_-;_-* &quot;-&quot;??_-;_-@_-"/>
    <numFmt numFmtId="170" formatCode="&quot;R&quot;\ #,##0.00"/>
    <numFmt numFmtId="171" formatCode="&quot;R&quot;\ #,##0"/>
    <numFmt numFmtId="172" formatCode="#,##0_ ;[Red]\-#,##0\ "/>
    <numFmt numFmtId="173" formatCode="0.0%"/>
    <numFmt numFmtId="174" formatCode="_ * #,##0_ ;_ * \-#,##0_ ;_ * &quot;-&quot;??_ ;_ @_ "/>
    <numFmt numFmtId="175" formatCode="[$-409]dd\-mmm\-yy;@"/>
    <numFmt numFmtId="176" formatCode="_(* #,##0.00_);_(* \(#,##0.00\);_(* &quot;-&quot;??_);_(@_)"/>
    <numFmt numFmtId="177" formatCode="#,##0_ ;\-#,##0\ "/>
    <numFmt numFmtId="178" formatCode="m/d/yy;@"/>
    <numFmt numFmtId="179" formatCode="[$-409]mmm\-yy;@"/>
    <numFmt numFmtId="180" formatCode="[$-409]d\-mmm;@"/>
    <numFmt numFmtId="181" formatCode="_(&quot;R&quot;* #,##0.00_);_(&quot;R&quot;* \(#,##0.00\);_(&quot;R&quot;* &quot;-&quot;??_);_(@_)"/>
    <numFmt numFmtId="182" formatCode="0.0"/>
    <numFmt numFmtId="183" formatCode="[$-F800]dddd\,\ mmmm\ dd\,\ yyyy"/>
    <numFmt numFmtId="184" formatCode="mmm\-dd"/>
    <numFmt numFmtId="185" formatCode="mm\-yyyy"/>
    <numFmt numFmtId="186" formatCode="0.0_)"/>
    <numFmt numFmtId="187" formatCode="mmm\-yyyy"/>
  </numFmts>
  <fonts count="85">
    <font>
      <sz val="11"/>
      <color theme="1"/>
      <name val="Calibri"/>
      <family val="2"/>
      <scheme val="minor"/>
    </font>
    <font>
      <sz val="11"/>
      <color theme="1"/>
      <name val="Calibri"/>
      <family val="2"/>
      <scheme val="minor"/>
    </font>
    <font>
      <b/>
      <sz val="14"/>
      <name val="Arial"/>
      <family val="2"/>
    </font>
    <font>
      <b/>
      <sz val="9"/>
      <color indexed="81"/>
      <name val="Tahoma"/>
      <family val="2"/>
    </font>
    <font>
      <sz val="12"/>
      <name val="Calibri"/>
      <family val="2"/>
      <scheme val="minor"/>
    </font>
    <font>
      <b/>
      <sz val="12"/>
      <name val="Arial"/>
      <family val="2"/>
    </font>
    <font>
      <b/>
      <sz val="12"/>
      <color theme="1"/>
      <name val="Arial"/>
      <family val="2"/>
    </font>
    <font>
      <sz val="12"/>
      <name val="Arial"/>
      <family val="2"/>
    </font>
    <font>
      <sz val="12"/>
      <color theme="1"/>
      <name val="Arial"/>
      <family val="2"/>
    </font>
    <font>
      <b/>
      <sz val="10"/>
      <color theme="1"/>
      <name val="Arial"/>
      <family val="2"/>
    </font>
    <font>
      <sz val="10"/>
      <color rgb="FFFF0000"/>
      <name val="Arial"/>
      <family val="2"/>
    </font>
    <font>
      <b/>
      <sz val="10"/>
      <color rgb="FFFF0000"/>
      <name val="Arial"/>
      <family val="2"/>
    </font>
    <font>
      <sz val="10"/>
      <color theme="0"/>
      <name val="Arial"/>
      <family val="2"/>
    </font>
    <font>
      <sz val="10"/>
      <name val="Arial"/>
      <family val="2"/>
    </font>
    <font>
      <b/>
      <sz val="10"/>
      <name val="Arial"/>
      <family val="2"/>
    </font>
    <font>
      <b/>
      <sz val="11"/>
      <color theme="1"/>
      <name val="Calibri"/>
      <family val="2"/>
      <scheme val="minor"/>
    </font>
    <font>
      <sz val="9"/>
      <color indexed="81"/>
      <name val="Tahoma"/>
      <family val="2"/>
    </font>
    <font>
      <i/>
      <sz val="10"/>
      <color theme="1"/>
      <name val="Arial"/>
      <family val="2"/>
    </font>
    <font>
      <b/>
      <sz val="18"/>
      <name val="Arial"/>
      <family val="2"/>
    </font>
    <font>
      <b/>
      <sz val="16"/>
      <name val="Arial"/>
      <family val="2"/>
    </font>
    <font>
      <sz val="11"/>
      <name val="Calibri"/>
      <family val="2"/>
      <scheme val="minor"/>
    </font>
    <font>
      <u/>
      <sz val="10"/>
      <color theme="10"/>
      <name val="Arial"/>
      <family val="2"/>
    </font>
    <font>
      <u/>
      <sz val="10"/>
      <color indexed="12"/>
      <name val="Arial"/>
      <family val="2"/>
    </font>
    <font>
      <sz val="10"/>
      <color theme="1"/>
      <name val="Arial"/>
      <family val="2"/>
    </font>
    <font>
      <sz val="10"/>
      <color rgb="FF0070C0"/>
      <name val="Arial"/>
      <family val="2"/>
    </font>
    <font>
      <b/>
      <sz val="11"/>
      <color theme="0"/>
      <name val="Calibri"/>
      <family val="2"/>
      <scheme val="minor"/>
    </font>
    <font>
      <b/>
      <i/>
      <u/>
      <sz val="10"/>
      <color theme="5" tint="-0.249977111117893"/>
      <name val="Arial"/>
      <family val="2"/>
    </font>
    <font>
      <b/>
      <sz val="12"/>
      <color theme="1"/>
      <name val="Calibri"/>
      <family val="2"/>
      <scheme val="minor"/>
    </font>
    <font>
      <sz val="10"/>
      <color indexed="8"/>
      <name val="Arial"/>
      <family val="2"/>
    </font>
    <font>
      <sz val="11"/>
      <name val="Arial"/>
      <family val="2"/>
    </font>
    <font>
      <b/>
      <sz val="9"/>
      <color theme="1"/>
      <name val="Arial"/>
      <family val="2"/>
    </font>
    <font>
      <sz val="9"/>
      <color theme="1"/>
      <name val="Arial"/>
      <family val="2"/>
    </font>
    <font>
      <b/>
      <sz val="14"/>
      <color theme="1"/>
      <name val="Arial"/>
      <family val="2"/>
    </font>
    <font>
      <sz val="8"/>
      <color theme="5" tint="0.59999389629810485"/>
      <name val="Calibri"/>
      <family val="2"/>
      <scheme val="minor"/>
    </font>
    <font>
      <sz val="12"/>
      <color theme="0"/>
      <name val="Arial"/>
      <family val="2"/>
    </font>
    <font>
      <b/>
      <sz val="12"/>
      <color theme="0"/>
      <name val="Arial"/>
      <family val="2"/>
    </font>
    <font>
      <sz val="11"/>
      <color indexed="8"/>
      <name val="Arial"/>
      <family val="2"/>
    </font>
    <font>
      <sz val="11"/>
      <color theme="1"/>
      <name val="Arial"/>
      <family val="2"/>
    </font>
    <font>
      <i/>
      <sz val="11"/>
      <color theme="1"/>
      <name val="Calibri"/>
      <family val="2"/>
      <scheme val="minor"/>
    </font>
    <font>
      <b/>
      <sz val="14"/>
      <color rgb="FF0000FF"/>
      <name val="Arial"/>
      <family val="2"/>
    </font>
    <font>
      <sz val="14"/>
      <color rgb="FF0000FF"/>
      <name val="Arial"/>
      <family val="2"/>
    </font>
    <font>
      <sz val="12"/>
      <name val="Arial MT"/>
    </font>
    <font>
      <b/>
      <sz val="28"/>
      <color theme="1"/>
      <name val="Calibri"/>
      <family val="2"/>
      <scheme val="minor"/>
    </font>
    <font>
      <b/>
      <sz val="14"/>
      <color theme="1"/>
      <name val="Calibri"/>
      <family val="2"/>
      <scheme val="minor"/>
    </font>
    <font>
      <b/>
      <sz val="12"/>
      <color rgb="FFFF0000"/>
      <name val="Arial"/>
      <family val="2"/>
    </font>
    <font>
      <b/>
      <sz val="11"/>
      <name val="Arial"/>
      <family val="2"/>
    </font>
    <font>
      <b/>
      <sz val="10"/>
      <color theme="0"/>
      <name val="Arial"/>
      <family val="2"/>
    </font>
    <font>
      <sz val="11"/>
      <color theme="0"/>
      <name val="Calibri"/>
      <family val="2"/>
      <scheme val="minor"/>
    </font>
    <font>
      <i/>
      <sz val="10"/>
      <color theme="0"/>
      <name val="Arial"/>
      <family val="2"/>
    </font>
    <font>
      <sz val="11"/>
      <color theme="5" tint="0.59999389629810485"/>
      <name val="Calibri"/>
      <family val="2"/>
      <scheme val="minor"/>
    </font>
    <font>
      <sz val="10"/>
      <color rgb="FF0000FF"/>
      <name val="Arial"/>
      <family val="2"/>
    </font>
    <font>
      <b/>
      <sz val="22"/>
      <name val="Arial"/>
      <family val="2"/>
    </font>
    <font>
      <b/>
      <sz val="22"/>
      <name val="Times New Roman"/>
      <family val="1"/>
    </font>
    <font>
      <b/>
      <u/>
      <sz val="14"/>
      <name val="Arial"/>
      <family val="2"/>
    </font>
    <font>
      <sz val="22"/>
      <name val="Arial"/>
      <family val="2"/>
    </font>
    <font>
      <b/>
      <sz val="18"/>
      <color rgb="FFFF0000"/>
      <name val="Arial"/>
      <family val="2"/>
    </font>
    <font>
      <sz val="12"/>
      <color rgb="FFFF0000"/>
      <name val="Arial"/>
      <family val="2"/>
    </font>
    <font>
      <sz val="12"/>
      <name val="Arial"/>
      <family val="2"/>
    </font>
    <font>
      <b/>
      <sz val="18"/>
      <color indexed="10"/>
      <name val="Arial"/>
      <family val="2"/>
    </font>
    <font>
      <sz val="18"/>
      <name val="Arial"/>
      <family val="2"/>
    </font>
    <font>
      <sz val="22"/>
      <color rgb="FFFF0000"/>
      <name val="Arial"/>
      <family val="2"/>
    </font>
    <font>
      <u/>
      <sz val="9"/>
      <color indexed="12"/>
      <name val="Arial"/>
      <family val="2"/>
    </font>
    <font>
      <i/>
      <sz val="11"/>
      <color theme="0"/>
      <name val="Calibri"/>
      <family val="2"/>
      <scheme val="minor"/>
    </font>
    <font>
      <sz val="11"/>
      <color rgb="FFFF0000"/>
      <name val="Calibri"/>
      <family val="2"/>
      <scheme val="minor"/>
    </font>
    <font>
      <b/>
      <sz val="18"/>
      <color theme="1"/>
      <name val="Arial"/>
      <family val="2"/>
    </font>
    <font>
      <sz val="8"/>
      <color theme="1"/>
      <name val="Arial"/>
      <family val="2"/>
    </font>
    <font>
      <b/>
      <sz val="13"/>
      <name val="Arial"/>
      <family val="2"/>
    </font>
    <font>
      <sz val="10"/>
      <color theme="0" tint="-0.499984740745262"/>
      <name val="Arial"/>
      <family val="2"/>
    </font>
    <font>
      <b/>
      <sz val="10"/>
      <color theme="0" tint="-0.499984740745262"/>
      <name val="Arial"/>
      <family val="2"/>
    </font>
    <font>
      <b/>
      <sz val="10"/>
      <color theme="6" tint="-0.249977111117893"/>
      <name val="Arial"/>
      <family val="2"/>
    </font>
    <font>
      <i/>
      <sz val="10"/>
      <color theme="0" tint="-0.499984740745262"/>
      <name val="Arial"/>
      <family val="2"/>
    </font>
    <font>
      <b/>
      <i/>
      <sz val="10"/>
      <color theme="6" tint="-0.249977111117893"/>
      <name val="Arial"/>
      <family val="2"/>
    </font>
    <font>
      <sz val="9"/>
      <name val="Arial"/>
      <family val="2"/>
    </font>
    <font>
      <b/>
      <sz val="9"/>
      <color theme="6" tint="-0.249977111117893"/>
      <name val="Arial"/>
      <family val="2"/>
    </font>
    <font>
      <b/>
      <i/>
      <sz val="9"/>
      <color theme="1"/>
      <name val="Arial"/>
      <family val="2"/>
    </font>
    <font>
      <sz val="10"/>
      <color theme="1"/>
      <name val="Wingdings"/>
      <charset val="2"/>
    </font>
    <font>
      <i/>
      <sz val="10"/>
      <color theme="6" tint="-0.249977111117893"/>
      <name val="Arial"/>
      <family val="2"/>
    </font>
    <font>
      <b/>
      <i/>
      <sz val="10"/>
      <color theme="0" tint="-0.499984740745262"/>
      <name val="Arial"/>
      <family val="2"/>
    </font>
    <font>
      <sz val="14"/>
      <color theme="1"/>
      <name val="Arial"/>
      <family val="2"/>
    </font>
    <font>
      <b/>
      <sz val="12"/>
      <color rgb="FFFF0000"/>
      <name val="Calibri"/>
      <family val="2"/>
      <scheme val="minor"/>
    </font>
    <font>
      <sz val="9"/>
      <color theme="0"/>
      <name val="Segoe UI"/>
      <family val="2"/>
    </font>
    <font>
      <b/>
      <u/>
      <sz val="24"/>
      <name val="MS Sans Serif"/>
      <family val="2"/>
    </font>
    <font>
      <sz val="10"/>
      <name val="MS Sans Serif"/>
      <family val="2"/>
    </font>
    <font>
      <b/>
      <u/>
      <sz val="13.5"/>
      <name val="MS Sans Serif"/>
      <family val="2"/>
    </font>
    <font>
      <i/>
      <sz val="12"/>
      <name val="Arial"/>
      <family val="2"/>
    </font>
  </fonts>
  <fills count="18">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4" tint="0.59999389629810485"/>
        <bgColor indexed="64"/>
      </patternFill>
    </fill>
    <fill>
      <patternFill patternType="solid">
        <fgColor rgb="FFFF0000"/>
        <bgColor indexed="64"/>
      </patternFill>
    </fill>
    <fill>
      <patternFill patternType="solid">
        <fgColor rgb="FF92D050"/>
        <bgColor indexed="64"/>
      </patternFill>
    </fill>
    <fill>
      <patternFill patternType="solid">
        <fgColor rgb="FFFFFF99"/>
        <bgColor indexed="64"/>
      </patternFill>
    </fill>
    <fill>
      <patternFill patternType="solid">
        <fgColor theme="5" tint="0.79998168889431442"/>
        <bgColor indexed="64"/>
      </patternFill>
    </fill>
    <fill>
      <patternFill patternType="solid">
        <fgColor indexed="9"/>
        <bgColor indexed="64"/>
      </patternFill>
    </fill>
    <fill>
      <patternFill patternType="solid">
        <fgColor rgb="FFFFC000"/>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499984740745262"/>
        <bgColor indexed="64"/>
      </patternFill>
    </fill>
    <fill>
      <patternFill patternType="solid">
        <fgColor rgb="FFDDDDDD"/>
        <bgColor indexed="64"/>
      </patternFill>
    </fill>
    <fill>
      <patternFill patternType="solid">
        <fgColor rgb="FFA5A5A5"/>
      </patternFill>
    </fill>
    <fill>
      <patternFill patternType="solid">
        <fgColor theme="0" tint="-0.14999847407452621"/>
        <bgColor indexed="64"/>
      </patternFill>
    </fill>
  </fills>
  <borders count="97">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thin">
        <color auto="1"/>
      </left>
      <right/>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bottom style="thin">
        <color indexed="64"/>
      </bottom>
      <diagonal/>
    </border>
    <border>
      <left/>
      <right style="thin">
        <color indexed="64"/>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diagonal/>
    </border>
    <border>
      <left style="medium">
        <color auto="1"/>
      </left>
      <right style="thin">
        <color auto="1"/>
      </right>
      <top/>
      <bottom style="thin">
        <color auto="1"/>
      </bottom>
      <diagonal/>
    </border>
    <border>
      <left style="medium">
        <color indexed="64"/>
      </left>
      <right style="thin">
        <color indexed="64"/>
      </right>
      <top/>
      <bottom/>
      <diagonal/>
    </border>
    <border>
      <left style="thin">
        <color indexed="64"/>
      </left>
      <right style="medium">
        <color indexed="64"/>
      </right>
      <top style="thin">
        <color indexed="64"/>
      </top>
      <bottom/>
      <diagonal/>
    </border>
    <border>
      <left style="thin">
        <color auto="1"/>
      </left>
      <right style="medium">
        <color auto="1"/>
      </right>
      <top/>
      <bottom style="thin">
        <color auto="1"/>
      </bottom>
      <diagonal/>
    </border>
    <border>
      <left style="thin">
        <color indexed="64"/>
      </left>
      <right style="thin">
        <color indexed="64"/>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double">
        <color rgb="FF3F3F3F"/>
      </left>
      <right style="double">
        <color rgb="FF3F3F3F"/>
      </right>
      <top style="double">
        <color rgb="FF3F3F3F"/>
      </top>
      <bottom style="double">
        <color rgb="FF3F3F3F"/>
      </bottom>
      <diagonal/>
    </border>
    <border>
      <left style="medium">
        <color theme="0"/>
      </left>
      <right/>
      <top/>
      <bottom/>
      <diagonal/>
    </border>
    <border>
      <left style="medium">
        <color theme="0"/>
      </left>
      <right/>
      <top/>
      <bottom style="medium">
        <color theme="0"/>
      </bottom>
      <diagonal/>
    </border>
    <border>
      <left/>
      <right/>
      <top/>
      <bottom style="medium">
        <color theme="0"/>
      </bottom>
      <diagonal/>
    </border>
    <border>
      <left style="thin">
        <color indexed="64"/>
      </left>
      <right/>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style="medium">
        <color theme="0"/>
      </right>
      <top style="thin">
        <color theme="0"/>
      </top>
      <bottom style="thin">
        <color theme="0"/>
      </bottom>
      <diagonal/>
    </border>
    <border>
      <left style="thin">
        <color theme="0"/>
      </left>
      <right/>
      <top/>
      <bottom/>
      <diagonal/>
    </border>
    <border>
      <left/>
      <right style="medium">
        <color indexed="64"/>
      </right>
      <top style="thin">
        <color theme="0"/>
      </top>
      <bottom style="thin">
        <color theme="0"/>
      </bottom>
      <diagonal/>
    </border>
    <border>
      <left style="thin">
        <color theme="0"/>
      </left>
      <right/>
      <top style="medium">
        <color indexed="64"/>
      </top>
      <bottom/>
      <diagonal/>
    </border>
    <border>
      <left style="thin">
        <color theme="0"/>
      </left>
      <right style="medium">
        <color theme="0"/>
      </right>
      <top style="thin">
        <color theme="0"/>
      </top>
      <bottom style="medium">
        <color indexed="64"/>
      </bottom>
      <diagonal/>
    </border>
    <border>
      <left/>
      <right/>
      <top style="medium">
        <color indexed="64"/>
      </top>
      <bottom style="medium">
        <color theme="0"/>
      </bottom>
      <diagonal/>
    </border>
    <border>
      <left/>
      <right/>
      <top style="medium">
        <color theme="0"/>
      </top>
      <bottom style="medium">
        <color theme="0"/>
      </bottom>
      <diagonal/>
    </border>
    <border>
      <left style="medium">
        <color theme="0"/>
      </left>
      <right style="medium">
        <color indexed="64"/>
      </right>
      <top/>
      <bottom/>
      <diagonal/>
    </border>
    <border>
      <left/>
      <right style="medium">
        <color indexed="64"/>
      </right>
      <top/>
      <bottom style="medium">
        <color theme="0"/>
      </bottom>
      <diagonal/>
    </border>
    <border>
      <left/>
      <right/>
      <top style="thin">
        <color theme="0"/>
      </top>
      <bottom style="medium">
        <color indexed="64"/>
      </bottom>
      <diagonal/>
    </border>
    <border>
      <left/>
      <right style="medium">
        <color theme="0"/>
      </right>
      <top style="medium">
        <color theme="0"/>
      </top>
      <bottom style="medium">
        <color theme="0"/>
      </bottom>
      <diagonal/>
    </border>
    <border>
      <left/>
      <right style="medium">
        <color theme="0"/>
      </right>
      <top/>
      <bottom/>
      <diagonal/>
    </border>
    <border>
      <left/>
      <right style="medium">
        <color indexed="64"/>
      </right>
      <top style="medium">
        <color theme="0"/>
      </top>
      <bottom/>
      <diagonal/>
    </border>
    <border>
      <left style="medium">
        <color theme="0"/>
      </left>
      <right/>
      <top style="medium">
        <color theme="0"/>
      </top>
      <bottom style="medium">
        <color theme="0"/>
      </bottom>
      <diagonal/>
    </border>
    <border>
      <left style="medium">
        <color theme="0"/>
      </left>
      <right style="medium">
        <color theme="0"/>
      </right>
      <top style="medium">
        <color theme="0"/>
      </top>
      <bottom style="medium">
        <color theme="0"/>
      </bottom>
      <diagonal/>
    </border>
    <border>
      <left style="thin">
        <color theme="0"/>
      </left>
      <right/>
      <top style="thin">
        <color theme="0"/>
      </top>
      <bottom style="thin">
        <color theme="0"/>
      </bottom>
      <diagonal/>
    </border>
    <border>
      <left style="thin">
        <color theme="0"/>
      </left>
      <right/>
      <top style="thin">
        <color theme="0"/>
      </top>
      <bottom/>
      <diagonal/>
    </border>
    <border>
      <left style="medium">
        <color indexed="64"/>
      </left>
      <right style="medium">
        <color indexed="64"/>
      </right>
      <top/>
      <bottom/>
      <diagonal/>
    </border>
    <border>
      <left/>
      <right style="medium">
        <color indexed="64"/>
      </right>
      <top style="medium">
        <color theme="0"/>
      </top>
      <bottom style="medium">
        <color theme="0"/>
      </bottom>
      <diagonal/>
    </border>
    <border>
      <left/>
      <right style="medium">
        <color indexed="64"/>
      </right>
      <top style="medium">
        <color indexed="64"/>
      </top>
      <bottom style="medium">
        <color theme="0"/>
      </bottom>
      <diagonal/>
    </border>
    <border>
      <left style="medium">
        <color theme="0"/>
      </left>
      <right/>
      <top style="medium">
        <color indexed="64"/>
      </top>
      <bottom style="medium">
        <color theme="0"/>
      </bottom>
      <diagonal/>
    </border>
    <border>
      <left/>
      <right style="medium">
        <color indexed="64"/>
      </right>
      <top style="medium">
        <color theme="0"/>
      </top>
      <bottom style="medium">
        <color indexed="64"/>
      </bottom>
      <diagonal/>
    </border>
    <border>
      <left style="medium">
        <color indexed="64"/>
      </left>
      <right style="thin">
        <color theme="0"/>
      </right>
      <top style="medium">
        <color indexed="64"/>
      </top>
      <bottom/>
      <diagonal/>
    </border>
    <border>
      <left style="medium">
        <color indexed="64"/>
      </left>
      <right style="thin">
        <color theme="0"/>
      </right>
      <top/>
      <bottom style="medium">
        <color indexed="64"/>
      </bottom>
      <diagonal/>
    </border>
    <border>
      <left style="thin">
        <color theme="0"/>
      </left>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double">
        <color indexed="64"/>
      </bottom>
      <diagonal/>
    </border>
    <border>
      <left/>
      <right style="thin">
        <color indexed="64"/>
      </right>
      <top style="thin">
        <color theme="0"/>
      </top>
      <bottom style="thin">
        <color theme="0"/>
      </bottom>
      <diagonal/>
    </border>
    <border>
      <left/>
      <right style="thin">
        <color indexed="64"/>
      </right>
      <top style="thin">
        <color theme="0"/>
      </top>
      <bottom/>
      <diagonal/>
    </border>
    <border>
      <left style="thin">
        <color theme="0"/>
      </left>
      <right style="thin">
        <color indexed="64"/>
      </right>
      <top/>
      <bottom/>
      <diagonal/>
    </border>
    <border>
      <left style="thin">
        <color theme="0"/>
      </left>
      <right style="thin">
        <color indexed="64"/>
      </right>
      <top style="thin">
        <color theme="0"/>
      </top>
      <bottom/>
      <diagonal/>
    </border>
    <border>
      <left style="thin">
        <color theme="0"/>
      </left>
      <right style="thin">
        <color indexed="64"/>
      </right>
      <top style="thin">
        <color theme="0"/>
      </top>
      <bottom style="thin">
        <color theme="0"/>
      </bottom>
      <diagonal/>
    </border>
    <border>
      <left style="thin">
        <color theme="0"/>
      </left>
      <right style="thin">
        <color indexed="64"/>
      </right>
      <top/>
      <bottom style="thin">
        <color theme="0"/>
      </bottom>
      <diagonal/>
    </border>
    <border>
      <left style="thin">
        <color theme="0"/>
      </left>
      <right style="thin">
        <color indexed="64"/>
      </right>
      <top style="thin">
        <color theme="0"/>
      </top>
      <bottom style="thin">
        <color indexed="64"/>
      </bottom>
      <diagonal/>
    </border>
    <border>
      <left/>
      <right/>
      <top style="thin">
        <color theme="0"/>
      </top>
      <bottom style="thin">
        <color indexed="64"/>
      </bottom>
      <diagonal/>
    </border>
  </borders>
  <cellStyleXfs count="31">
    <xf numFmtId="0" fontId="0" fillId="0" borderId="0"/>
    <xf numFmtId="9" fontId="1" fillId="0" borderId="0" applyFont="0" applyFill="0" applyBorder="0" applyAlignment="0" applyProtection="0"/>
    <xf numFmtId="168" fontId="1" fillId="0" borderId="0" applyFont="0" applyFill="0" applyBorder="0" applyAlignment="0" applyProtection="0"/>
    <xf numFmtId="0" fontId="13" fillId="0" borderId="0"/>
    <xf numFmtId="0" fontId="13" fillId="0" borderId="0"/>
    <xf numFmtId="0" fontId="21" fillId="0" borderId="0" applyNumberFormat="0" applyFill="0" applyBorder="0" applyAlignment="0" applyProtection="0"/>
    <xf numFmtId="0" fontId="22" fillId="0" borderId="0" applyNumberFormat="0" applyFill="0" applyBorder="0" applyAlignment="0" applyProtection="0">
      <alignment vertical="top"/>
      <protection locked="0"/>
    </xf>
    <xf numFmtId="0" fontId="23" fillId="0" borderId="0"/>
    <xf numFmtId="169" fontId="28" fillId="0" borderId="0" applyFont="0" applyFill="0" applyBorder="0" applyAlignment="0" applyProtection="0"/>
    <xf numFmtId="0" fontId="1" fillId="0" borderId="0"/>
    <xf numFmtId="181" fontId="13" fillId="0" borderId="0" applyFont="0" applyFill="0" applyBorder="0" applyAlignment="0" applyProtection="0"/>
    <xf numFmtId="9" fontId="23"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86" fontId="41" fillId="0" borderId="0"/>
    <xf numFmtId="0" fontId="46" fillId="16" borderId="51" applyNumberFormat="0" applyAlignment="0" applyProtection="0"/>
    <xf numFmtId="169" fontId="1" fillId="0" borderId="0" applyFont="0" applyFill="0" applyBorder="0" applyAlignment="0" applyProtection="0"/>
    <xf numFmtId="4" fontId="7" fillId="0" borderId="0"/>
    <xf numFmtId="3" fontId="7" fillId="0" borderId="0"/>
    <xf numFmtId="176" fontId="13" fillId="0" borderId="0" applyFont="0" applyFill="0" applyBorder="0" applyAlignment="0" applyProtection="0"/>
    <xf numFmtId="9" fontId="13" fillId="0" borderId="0" applyFont="0" applyFill="0" applyBorder="0" applyAlignment="0" applyProtection="0"/>
    <xf numFmtId="4" fontId="57" fillId="0" borderId="0"/>
    <xf numFmtId="9" fontId="13" fillId="0" borderId="0" applyFont="0" applyFill="0" applyBorder="0" applyAlignment="0" applyProtection="0"/>
    <xf numFmtId="0" fontId="61" fillId="0" borderId="0" applyNumberFormat="0" applyFill="0" applyBorder="0" applyAlignment="0" applyProtection="0">
      <alignment vertical="top"/>
      <protection locked="0"/>
    </xf>
  </cellStyleXfs>
  <cellXfs count="874">
    <xf numFmtId="0" fontId="0" fillId="0" borderId="0" xfId="0"/>
    <xf numFmtId="0" fontId="6" fillId="0" borderId="0" xfId="0" applyFont="1" applyAlignment="1">
      <alignment horizontal="center" wrapText="1"/>
    </xf>
    <xf numFmtId="49" fontId="8" fillId="2" borderId="0" xfId="0" applyNumberFormat="1" applyFont="1" applyFill="1"/>
    <xf numFmtId="0" fontId="8" fillId="0" borderId="0" xfId="0" applyFont="1"/>
    <xf numFmtId="0" fontId="8" fillId="5" borderId="0" xfId="0" applyFont="1" applyFill="1"/>
    <xf numFmtId="0" fontId="8" fillId="2" borderId="0" xfId="0" applyFont="1" applyFill="1"/>
    <xf numFmtId="0" fontId="0" fillId="0" borderId="0" xfId="0" applyBorder="1"/>
    <xf numFmtId="171" fontId="5" fillId="6" borderId="2" xfId="0" applyNumberFormat="1" applyFont="1" applyFill="1" applyBorder="1" applyAlignment="1">
      <alignment horizontal="center" vertical="center" wrapText="1"/>
    </xf>
    <xf numFmtId="0" fontId="10" fillId="2" borderId="0" xfId="0" applyFont="1" applyFill="1" applyBorder="1" applyAlignment="1">
      <alignment vertical="center"/>
    </xf>
    <xf numFmtId="172" fontId="5" fillId="6" borderId="2" xfId="0" applyNumberFormat="1" applyFont="1" applyFill="1" applyBorder="1" applyAlignment="1">
      <alignment horizontal="center" vertical="center" wrapText="1"/>
    </xf>
    <xf numFmtId="2" fontId="5" fillId="6" borderId="2" xfId="0" applyNumberFormat="1" applyFont="1" applyFill="1" applyBorder="1" applyAlignment="1">
      <alignment horizontal="center" vertical="center" wrapText="1"/>
    </xf>
    <xf numFmtId="0" fontId="7" fillId="6" borderId="2" xfId="0" applyNumberFormat="1" applyFont="1" applyFill="1" applyBorder="1" applyAlignment="1">
      <alignment horizontal="left" vertical="center"/>
    </xf>
    <xf numFmtId="1" fontId="8" fillId="6" borderId="2" xfId="0" applyNumberFormat="1" applyFont="1" applyFill="1" applyBorder="1" applyAlignment="1">
      <alignment horizontal="center"/>
    </xf>
    <xf numFmtId="0" fontId="8" fillId="6" borderId="0" xfId="0" applyFont="1" applyFill="1" applyAlignment="1">
      <alignment horizontal="left"/>
    </xf>
    <xf numFmtId="0" fontId="8" fillId="6" borderId="0" xfId="0" applyFont="1" applyFill="1"/>
    <xf numFmtId="1" fontId="8" fillId="6" borderId="0" xfId="0" applyNumberFormat="1" applyFont="1" applyFill="1" applyAlignment="1">
      <alignment horizontal="center"/>
    </xf>
    <xf numFmtId="0" fontId="23" fillId="2" borderId="0" xfId="0" applyFont="1" applyFill="1" applyBorder="1" applyAlignment="1">
      <alignment vertical="center"/>
    </xf>
    <xf numFmtId="0" fontId="24" fillId="2" borderId="0" xfId="0" applyFont="1" applyFill="1" applyBorder="1" applyAlignment="1">
      <alignment vertical="center"/>
    </xf>
    <xf numFmtId="0" fontId="7" fillId="6" borderId="2" xfId="0" applyNumberFormat="1" applyFont="1" applyFill="1" applyBorder="1" applyAlignment="1">
      <alignment horizontal="center" vertical="center" wrapText="1"/>
    </xf>
    <xf numFmtId="171" fontId="7" fillId="6" borderId="2" xfId="0" applyNumberFormat="1" applyFont="1" applyFill="1" applyBorder="1" applyAlignment="1">
      <alignment horizontal="center" vertical="center"/>
    </xf>
    <xf numFmtId="171" fontId="8" fillId="6" borderId="0" xfId="0" applyNumberFormat="1" applyFont="1" applyFill="1" applyAlignment="1">
      <alignment horizontal="center" vertical="center"/>
    </xf>
    <xf numFmtId="0" fontId="0" fillId="0" borderId="2" xfId="0" applyBorder="1"/>
    <xf numFmtId="0" fontId="23" fillId="2" borderId="30" xfId="0" applyFont="1" applyFill="1" applyBorder="1" applyAlignment="1">
      <alignment vertical="center"/>
    </xf>
    <xf numFmtId="0" fontId="23" fillId="2" borderId="14" xfId="0" applyFont="1" applyFill="1" applyBorder="1" applyAlignment="1">
      <alignment vertical="center"/>
    </xf>
    <xf numFmtId="0" fontId="0" fillId="0" borderId="31" xfId="0" applyBorder="1"/>
    <xf numFmtId="0" fontId="13" fillId="2" borderId="31" xfId="0" applyFont="1" applyFill="1" applyBorder="1" applyAlignment="1">
      <alignment vertical="center"/>
    </xf>
    <xf numFmtId="0" fontId="13" fillId="2" borderId="0" xfId="0" applyFont="1" applyFill="1" applyBorder="1" applyAlignment="1">
      <alignment vertical="center"/>
    </xf>
    <xf numFmtId="0" fontId="13" fillId="2" borderId="2" xfId="0" applyFont="1" applyFill="1" applyBorder="1" applyAlignment="1">
      <alignment vertical="center"/>
    </xf>
    <xf numFmtId="0" fontId="23" fillId="2" borderId="16" xfId="0" applyFont="1" applyFill="1" applyBorder="1" applyAlignment="1">
      <alignment vertical="center"/>
    </xf>
    <xf numFmtId="0" fontId="23" fillId="2" borderId="31" xfId="0" applyFont="1" applyFill="1" applyBorder="1" applyAlignment="1">
      <alignment vertical="center"/>
    </xf>
    <xf numFmtId="0" fontId="12" fillId="2" borderId="0" xfId="0" applyFont="1" applyFill="1" applyBorder="1" applyAlignment="1">
      <alignment vertical="center"/>
    </xf>
    <xf numFmtId="0" fontId="13" fillId="2" borderId="0" xfId="0" quotePrefix="1" applyFont="1" applyFill="1" applyBorder="1" applyAlignment="1">
      <alignment vertical="center"/>
    </xf>
    <xf numFmtId="0" fontId="23" fillId="2" borderId="15" xfId="0" applyFont="1" applyFill="1" applyBorder="1" applyAlignment="1">
      <alignment vertical="center"/>
    </xf>
    <xf numFmtId="0" fontId="13" fillId="2" borderId="31" xfId="0" applyFont="1" applyFill="1" applyBorder="1" applyAlignment="1">
      <alignment horizontal="center" vertical="center"/>
    </xf>
    <xf numFmtId="1" fontId="13" fillId="2" borderId="31" xfId="0" applyNumberFormat="1" applyFont="1" applyFill="1" applyBorder="1" applyAlignment="1">
      <alignment horizontal="center" vertical="center"/>
    </xf>
    <xf numFmtId="0" fontId="23" fillId="2" borderId="36" xfId="0" applyFont="1" applyFill="1" applyBorder="1" applyAlignment="1">
      <alignment vertical="center"/>
    </xf>
    <xf numFmtId="0" fontId="23" fillId="2" borderId="34" xfId="0" applyFont="1" applyFill="1" applyBorder="1" applyAlignment="1">
      <alignment vertical="center"/>
    </xf>
    <xf numFmtId="0" fontId="23" fillId="2" borderId="35" xfId="0" applyFont="1" applyFill="1" applyBorder="1" applyAlignment="1">
      <alignment vertical="center"/>
    </xf>
    <xf numFmtId="0" fontId="13" fillId="2" borderId="34" xfId="0" applyFont="1" applyFill="1" applyBorder="1" applyAlignment="1">
      <alignment vertical="center"/>
    </xf>
    <xf numFmtId="0" fontId="23" fillId="2" borderId="29" xfId="0" applyFont="1" applyFill="1" applyBorder="1" applyAlignment="1">
      <alignment vertical="center"/>
    </xf>
    <xf numFmtId="0" fontId="23" fillId="2" borderId="2" xfId="0" applyFont="1" applyFill="1" applyBorder="1" applyAlignment="1">
      <alignment vertical="center"/>
    </xf>
    <xf numFmtId="0" fontId="10" fillId="2" borderId="15" xfId="0" applyFont="1" applyFill="1" applyBorder="1" applyAlignment="1">
      <alignment vertical="center"/>
    </xf>
    <xf numFmtId="0" fontId="13" fillId="2" borderId="0" xfId="0" applyFont="1" applyFill="1" applyBorder="1" applyAlignment="1">
      <alignment horizontal="right" vertical="center"/>
    </xf>
    <xf numFmtId="171" fontId="23" fillId="2" borderId="0" xfId="0" applyNumberFormat="1" applyFont="1" applyFill="1" applyBorder="1" applyAlignment="1">
      <alignment horizontal="center" vertical="center"/>
    </xf>
    <xf numFmtId="177" fontId="13" fillId="2" borderId="0" xfId="2" applyNumberFormat="1" applyFont="1" applyFill="1" applyBorder="1" applyAlignment="1">
      <alignment horizontal="right" vertical="center"/>
    </xf>
    <xf numFmtId="15" fontId="5" fillId="6" borderId="2" xfId="0" applyNumberFormat="1" applyFont="1" applyFill="1" applyBorder="1" applyAlignment="1">
      <alignment horizontal="center" vertical="center" wrapText="1"/>
    </xf>
    <xf numFmtId="15" fontId="8" fillId="6" borderId="2" xfId="0" applyNumberFormat="1" applyFont="1" applyFill="1" applyBorder="1" applyAlignment="1">
      <alignment horizontal="center"/>
    </xf>
    <xf numFmtId="15" fontId="8" fillId="6" borderId="0" xfId="0" applyNumberFormat="1" applyFont="1" applyFill="1" applyAlignment="1">
      <alignment horizontal="center"/>
    </xf>
    <xf numFmtId="0" fontId="20" fillId="0" borderId="0" xfId="0" applyFont="1" applyBorder="1"/>
    <xf numFmtId="0" fontId="13" fillId="0" borderId="0" xfId="3"/>
    <xf numFmtId="0" fontId="23" fillId="2" borderId="2" xfId="0" applyFont="1" applyFill="1" applyBorder="1" applyAlignment="1">
      <alignment horizontal="center" vertical="center"/>
    </xf>
    <xf numFmtId="171" fontId="23" fillId="2" borderId="3" xfId="0" applyNumberFormat="1" applyFont="1" applyFill="1" applyBorder="1" applyAlignment="1">
      <alignment vertical="center"/>
    </xf>
    <xf numFmtId="0" fontId="6" fillId="2" borderId="0" xfId="0" applyFont="1" applyFill="1" applyAlignment="1">
      <alignment horizontal="center" wrapText="1"/>
    </xf>
    <xf numFmtId="0" fontId="13" fillId="2" borderId="14" xfId="0" applyFont="1" applyFill="1" applyBorder="1" applyAlignment="1">
      <alignment vertical="center"/>
    </xf>
    <xf numFmtId="3" fontId="13" fillId="2" borderId="0" xfId="0" applyNumberFormat="1" applyFont="1" applyFill="1" applyBorder="1" applyAlignment="1">
      <alignment vertical="center"/>
    </xf>
    <xf numFmtId="2" fontId="23" fillId="2" borderId="0" xfId="0" applyNumberFormat="1" applyFont="1" applyFill="1" applyBorder="1" applyAlignment="1">
      <alignment vertical="center"/>
    </xf>
    <xf numFmtId="182" fontId="8" fillId="6" borderId="2" xfId="0" applyNumberFormat="1" applyFont="1" applyFill="1" applyBorder="1" applyAlignment="1">
      <alignment horizontal="center"/>
    </xf>
    <xf numFmtId="182" fontId="5" fillId="6" borderId="2" xfId="0" applyNumberFormat="1" applyFont="1" applyFill="1" applyBorder="1" applyAlignment="1">
      <alignment horizontal="center" vertical="center" wrapText="1"/>
    </xf>
    <xf numFmtId="182" fontId="8" fillId="6" borderId="0" xfId="0" applyNumberFormat="1" applyFont="1" applyFill="1" applyAlignment="1">
      <alignment horizontal="center"/>
    </xf>
    <xf numFmtId="1" fontId="5" fillId="6" borderId="2" xfId="0" applyNumberFormat="1" applyFont="1" applyFill="1" applyBorder="1" applyAlignment="1">
      <alignment horizontal="center" vertical="center" wrapText="1"/>
    </xf>
    <xf numFmtId="1" fontId="7" fillId="6" borderId="2" xfId="0" applyNumberFormat="1" applyFont="1" applyFill="1" applyBorder="1" applyAlignment="1">
      <alignment horizontal="center" vertical="center"/>
    </xf>
    <xf numFmtId="1" fontId="8" fillId="6" borderId="0" xfId="0" applyNumberFormat="1" applyFont="1" applyFill="1"/>
    <xf numFmtId="171" fontId="11" fillId="2" borderId="0" xfId="0" applyNumberFormat="1" applyFont="1" applyFill="1" applyBorder="1" applyAlignment="1">
      <alignment horizontal="center" vertical="center"/>
    </xf>
    <xf numFmtId="171" fontId="23" fillId="0" borderId="0" xfId="0" applyNumberFormat="1" applyFont="1" applyFill="1" applyBorder="1" applyAlignment="1">
      <alignment horizontal="center" vertical="center"/>
    </xf>
    <xf numFmtId="171" fontId="8" fillId="0" borderId="0" xfId="0" applyNumberFormat="1" applyFont="1" applyAlignment="1">
      <alignment horizontal="center" vertical="center"/>
    </xf>
    <xf numFmtId="164" fontId="13" fillId="2" borderId="0" xfId="2" applyNumberFormat="1" applyFont="1" applyFill="1" applyBorder="1" applyAlignment="1">
      <alignment horizontal="center" vertical="center"/>
    </xf>
    <xf numFmtId="0" fontId="8" fillId="10" borderId="0" xfId="0" applyFont="1" applyFill="1"/>
    <xf numFmtId="0" fontId="13" fillId="2" borderId="16" xfId="0" applyFont="1" applyFill="1" applyBorder="1" applyAlignment="1">
      <alignment vertical="center"/>
    </xf>
    <xf numFmtId="0" fontId="13" fillId="2" borderId="35" xfId="0" applyFont="1" applyFill="1" applyBorder="1" applyAlignment="1">
      <alignment vertical="center"/>
    </xf>
    <xf numFmtId="0" fontId="8" fillId="0" borderId="0" xfId="0" applyFont="1" applyFill="1"/>
    <xf numFmtId="0" fontId="13" fillId="2" borderId="15" xfId="0" applyFont="1" applyFill="1" applyBorder="1" applyAlignment="1">
      <alignment vertical="center"/>
    </xf>
    <xf numFmtId="0" fontId="13" fillId="2" borderId="36" xfId="0" applyFont="1" applyFill="1" applyBorder="1" applyAlignment="1">
      <alignment vertical="center"/>
    </xf>
    <xf numFmtId="0" fontId="13" fillId="2" borderId="29" xfId="0" applyFont="1" applyFill="1" applyBorder="1" applyAlignment="1">
      <alignment vertical="center"/>
    </xf>
    <xf numFmtId="0" fontId="13" fillId="2" borderId="2" xfId="0" quotePrefix="1" applyFont="1" applyFill="1" applyBorder="1" applyAlignment="1">
      <alignment vertical="center"/>
    </xf>
    <xf numFmtId="3" fontId="13" fillId="2" borderId="2" xfId="0" applyNumberFormat="1" applyFont="1" applyFill="1" applyBorder="1" applyAlignment="1">
      <alignment vertical="center"/>
    </xf>
    <xf numFmtId="1" fontId="8" fillId="0" borderId="0" xfId="0" applyNumberFormat="1" applyFont="1" applyFill="1"/>
    <xf numFmtId="0" fontId="8" fillId="0" borderId="0" xfId="0" applyFont="1" applyFill="1" applyAlignment="1">
      <alignment horizontal="left"/>
    </xf>
    <xf numFmtId="171" fontId="8" fillId="0" borderId="0" xfId="0" applyNumberFormat="1" applyFont="1" applyFill="1" applyAlignment="1">
      <alignment horizontal="center" vertical="center"/>
    </xf>
    <xf numFmtId="1" fontId="8" fillId="0" borderId="0" xfId="0" applyNumberFormat="1" applyFont="1" applyFill="1" applyAlignment="1">
      <alignment horizontal="center"/>
    </xf>
    <xf numFmtId="182" fontId="8" fillId="0" borderId="0" xfId="0" applyNumberFormat="1" applyFont="1" applyFill="1" applyAlignment="1">
      <alignment horizontal="center"/>
    </xf>
    <xf numFmtId="15" fontId="8" fillId="0" borderId="0" xfId="0" applyNumberFormat="1" applyFont="1" applyFill="1" applyAlignment="1">
      <alignment horizontal="center"/>
    </xf>
    <xf numFmtId="0" fontId="6" fillId="0" borderId="0" xfId="0" applyFont="1" applyFill="1" applyAlignment="1">
      <alignment horizontal="center" wrapText="1"/>
    </xf>
    <xf numFmtId="17" fontId="8" fillId="2" borderId="0" xfId="0" applyNumberFormat="1" applyFont="1" applyFill="1"/>
    <xf numFmtId="184" fontId="8" fillId="6" borderId="2" xfId="0" applyNumberFormat="1" applyFont="1" applyFill="1" applyBorder="1" applyAlignment="1">
      <alignment horizontal="center"/>
    </xf>
    <xf numFmtId="0" fontId="7" fillId="0" borderId="0" xfId="0" applyFont="1" applyFill="1"/>
    <xf numFmtId="0" fontId="5" fillId="2" borderId="0" xfId="0" applyFont="1" applyFill="1" applyAlignment="1">
      <alignment horizontal="center" wrapText="1"/>
    </xf>
    <xf numFmtId="0" fontId="5" fillId="2" borderId="2" xfId="0" applyFont="1" applyFill="1" applyBorder="1" applyAlignment="1">
      <alignment horizontal="center" vertical="center" wrapText="1"/>
    </xf>
    <xf numFmtId="0" fontId="5" fillId="0" borderId="0" xfId="0" applyFont="1" applyAlignment="1">
      <alignment horizontal="center" wrapText="1"/>
    </xf>
    <xf numFmtId="15" fontId="7" fillId="2" borderId="0" xfId="0" applyNumberFormat="1" applyFont="1" applyFill="1" applyBorder="1" applyAlignment="1">
      <alignment horizontal="center"/>
    </xf>
    <xf numFmtId="0" fontId="7" fillId="2" borderId="0" xfId="0" applyFont="1" applyFill="1"/>
    <xf numFmtId="49" fontId="7" fillId="2" borderId="2" xfId="0" applyNumberFormat="1" applyFont="1" applyFill="1" applyBorder="1" applyAlignment="1">
      <alignment horizontal="center" vertical="center"/>
    </xf>
    <xf numFmtId="17" fontId="7" fillId="2" borderId="2" xfId="0" applyNumberFormat="1" applyFont="1" applyFill="1" applyBorder="1" applyAlignment="1">
      <alignment horizontal="center" vertical="center"/>
    </xf>
    <xf numFmtId="17" fontId="7" fillId="2" borderId="0" xfId="0" applyNumberFormat="1" applyFont="1" applyFill="1"/>
    <xf numFmtId="185" fontId="7" fillId="2" borderId="2" xfId="0" applyNumberFormat="1" applyFont="1" applyFill="1" applyBorder="1" applyAlignment="1">
      <alignment horizontal="center" vertical="center"/>
    </xf>
    <xf numFmtId="0" fontId="7" fillId="0" borderId="0" xfId="0" applyFont="1"/>
    <xf numFmtId="0" fontId="7" fillId="2" borderId="2" xfId="0" applyFont="1" applyFill="1" applyBorder="1" applyAlignment="1">
      <alignment horizontal="center" vertical="center"/>
    </xf>
    <xf numFmtId="0" fontId="7" fillId="10" borderId="0" xfId="0" applyFont="1" applyFill="1"/>
    <xf numFmtId="0" fontId="7" fillId="5" borderId="0" xfId="0" applyFont="1" applyFill="1"/>
    <xf numFmtId="183" fontId="7" fillId="2" borderId="0" xfId="0" applyNumberFormat="1" applyFont="1" applyFill="1"/>
    <xf numFmtId="0" fontId="7" fillId="2" borderId="0" xfId="0" applyNumberFormat="1" applyFont="1" applyFill="1"/>
    <xf numFmtId="0" fontId="0" fillId="2" borderId="0" xfId="0" applyFont="1" applyFill="1" applyBorder="1" applyAlignment="1">
      <alignment vertical="center"/>
    </xf>
    <xf numFmtId="174" fontId="0" fillId="2" borderId="0" xfId="2" applyNumberFormat="1" applyFont="1" applyFill="1" applyBorder="1" applyAlignment="1">
      <alignment vertical="center"/>
    </xf>
    <xf numFmtId="175" fontId="0" fillId="2" borderId="0" xfId="0" applyNumberFormat="1" applyFont="1" applyFill="1" applyBorder="1" applyAlignment="1">
      <alignment horizontal="right" vertical="center"/>
    </xf>
    <xf numFmtId="0" fontId="0" fillId="2" borderId="0" xfId="0" applyFont="1" applyFill="1" applyBorder="1" applyAlignment="1">
      <alignment horizontal="right" vertical="center"/>
    </xf>
    <xf numFmtId="0" fontId="0" fillId="2" borderId="2" xfId="0" applyFont="1" applyFill="1" applyBorder="1" applyAlignment="1">
      <alignment vertical="center"/>
    </xf>
    <xf numFmtId="0" fontId="33" fillId="2" borderId="0" xfId="0" applyFont="1" applyFill="1" applyBorder="1" applyAlignment="1">
      <alignment horizontal="right" vertical="center"/>
    </xf>
    <xf numFmtId="0" fontId="0" fillId="2" borderId="2" xfId="0" applyFont="1" applyFill="1" applyBorder="1" applyAlignment="1">
      <alignment horizontal="center" vertical="center"/>
    </xf>
    <xf numFmtId="0" fontId="0" fillId="0" borderId="0" xfId="0" applyFont="1" applyFill="1" applyBorder="1" applyAlignment="1">
      <alignment vertical="center"/>
    </xf>
    <xf numFmtId="0" fontId="0" fillId="2" borderId="0" xfId="0" applyFont="1" applyFill="1" applyBorder="1" applyAlignment="1">
      <alignment horizontal="left" vertical="top"/>
    </xf>
    <xf numFmtId="0" fontId="17" fillId="2" borderId="0" xfId="0" applyFont="1" applyFill="1" applyBorder="1" applyAlignment="1">
      <alignment horizontal="left" vertical="top" wrapText="1"/>
    </xf>
    <xf numFmtId="171" fontId="34" fillId="2" borderId="0" xfId="0" applyNumberFormat="1" applyFont="1" applyFill="1"/>
    <xf numFmtId="10" fontId="34" fillId="2" borderId="0" xfId="0" applyNumberFormat="1" applyFont="1" applyFill="1"/>
    <xf numFmtId="0" fontId="34" fillId="2" borderId="0" xfId="0" applyFont="1" applyFill="1"/>
    <xf numFmtId="9" fontId="35" fillId="2" borderId="0" xfId="0" applyNumberFormat="1" applyFont="1" applyFill="1" applyAlignment="1">
      <alignment horizontal="center" wrapText="1"/>
    </xf>
    <xf numFmtId="171" fontId="35" fillId="2" borderId="0" xfId="0" applyNumberFormat="1" applyFont="1" applyFill="1" applyAlignment="1">
      <alignment horizontal="center" wrapText="1"/>
    </xf>
    <xf numFmtId="0" fontId="35" fillId="2" borderId="0" xfId="0" applyFont="1" applyFill="1" applyAlignment="1">
      <alignment horizontal="center" wrapText="1"/>
    </xf>
    <xf numFmtId="9" fontId="34" fillId="2" borderId="0" xfId="0" applyNumberFormat="1" applyFont="1" applyFill="1"/>
    <xf numFmtId="1" fontId="6" fillId="14" borderId="19" xfId="0" applyNumberFormat="1" applyFont="1" applyFill="1" applyBorder="1" applyAlignment="1">
      <alignment vertical="center"/>
    </xf>
    <xf numFmtId="0" fontId="27" fillId="13" borderId="19" xfId="0" applyFont="1" applyFill="1" applyBorder="1" applyAlignment="1">
      <alignment horizontal="right" vertical="center"/>
    </xf>
    <xf numFmtId="0" fontId="27" fillId="13" borderId="19" xfId="0" applyFont="1" applyFill="1" applyBorder="1" applyAlignment="1">
      <alignment horizontal="center" vertical="center"/>
    </xf>
    <xf numFmtId="171" fontId="27" fillId="13" borderId="19" xfId="0" applyNumberFormat="1" applyFont="1" applyFill="1" applyBorder="1" applyAlignment="1">
      <alignment horizontal="center" vertical="center"/>
    </xf>
    <xf numFmtId="168" fontId="0" fillId="2" borderId="22" xfId="2" applyFont="1" applyFill="1" applyBorder="1" applyAlignment="1">
      <alignment vertical="center"/>
    </xf>
    <xf numFmtId="1" fontId="23" fillId="2" borderId="42" xfId="0" applyNumberFormat="1" applyFont="1" applyFill="1" applyBorder="1" applyAlignment="1">
      <alignment horizontal="center" vertical="center"/>
    </xf>
    <xf numFmtId="164" fontId="0" fillId="12" borderId="0" xfId="2" applyNumberFormat="1" applyFont="1" applyFill="1" applyBorder="1" applyAlignment="1" applyProtection="1">
      <alignment vertical="center"/>
      <protection locked="0"/>
    </xf>
    <xf numFmtId="0" fontId="0" fillId="12" borderId="0" xfId="0" applyFont="1" applyFill="1" applyBorder="1" applyAlignment="1" applyProtection="1">
      <alignment horizontal="left" vertical="center"/>
      <protection locked="0"/>
    </xf>
    <xf numFmtId="0" fontId="0" fillId="2" borderId="0" xfId="0" applyFont="1" applyFill="1" applyBorder="1" applyAlignment="1">
      <alignment horizontal="left" vertical="center"/>
    </xf>
    <xf numFmtId="180" fontId="36" fillId="0" borderId="0" xfId="0" applyNumberFormat="1" applyFont="1" applyFill="1" applyBorder="1" applyAlignment="1">
      <alignment horizontal="center" vertical="center"/>
    </xf>
    <xf numFmtId="180" fontId="36" fillId="0" borderId="0" xfId="0" applyNumberFormat="1" applyFont="1" applyFill="1" applyBorder="1" applyAlignment="1">
      <alignment vertical="center"/>
    </xf>
    <xf numFmtId="0" fontId="29" fillId="0" borderId="2" xfId="0" applyFont="1" applyFill="1" applyBorder="1" applyAlignment="1">
      <alignment horizontal="center" vertical="center" wrapText="1"/>
    </xf>
    <xf numFmtId="180" fontId="29" fillId="0" borderId="2" xfId="0" applyNumberFormat="1" applyFont="1" applyFill="1" applyBorder="1" applyAlignment="1">
      <alignment horizontal="center" vertical="center" wrapText="1"/>
    </xf>
    <xf numFmtId="0" fontId="37" fillId="0" borderId="0" xfId="0" applyFont="1" applyFill="1" applyBorder="1" applyAlignment="1">
      <alignment vertical="center"/>
    </xf>
    <xf numFmtId="172" fontId="36" fillId="0" borderId="2" xfId="0" applyNumberFormat="1" applyFont="1" applyFill="1" applyBorder="1" applyAlignment="1">
      <alignment horizontal="center" vertical="center" wrapText="1"/>
    </xf>
    <xf numFmtId="180" fontId="29" fillId="0" borderId="0" xfId="0" applyNumberFormat="1" applyFont="1" applyFill="1" applyBorder="1" applyAlignment="1">
      <alignment horizontal="center" vertical="center" wrapText="1"/>
    </xf>
    <xf numFmtId="0" fontId="27" fillId="2" borderId="0" xfId="0" applyFont="1" applyFill="1" applyBorder="1" applyAlignment="1">
      <alignment horizontal="center" vertical="center"/>
    </xf>
    <xf numFmtId="172" fontId="36" fillId="0" borderId="0" xfId="0" applyNumberFormat="1" applyFont="1" applyFill="1" applyBorder="1" applyAlignment="1">
      <alignment horizontal="center" vertical="center" wrapText="1"/>
    </xf>
    <xf numFmtId="0" fontId="9" fillId="2" borderId="29" xfId="0" applyFont="1" applyFill="1" applyBorder="1" applyAlignment="1">
      <alignment vertical="center"/>
    </xf>
    <xf numFmtId="0" fontId="0" fillId="2" borderId="14" xfId="0" applyFont="1" applyFill="1" applyBorder="1" applyAlignment="1">
      <alignment vertical="center"/>
    </xf>
    <xf numFmtId="0" fontId="33" fillId="2" borderId="14" xfId="0" applyFont="1" applyFill="1" applyBorder="1" applyAlignment="1">
      <alignment horizontal="right" vertical="center"/>
    </xf>
    <xf numFmtId="0" fontId="9" fillId="2" borderId="15" xfId="0" applyFont="1" applyFill="1" applyBorder="1" applyAlignment="1">
      <alignment vertical="center"/>
    </xf>
    <xf numFmtId="170" fontId="0" fillId="2" borderId="16" xfId="0" applyNumberFormat="1" applyFont="1" applyFill="1" applyBorder="1" applyAlignment="1">
      <alignment horizontal="right" vertical="center"/>
    </xf>
    <xf numFmtId="164" fontId="0" fillId="2" borderId="16" xfId="2" applyNumberFormat="1" applyFont="1" applyFill="1" applyBorder="1" applyAlignment="1">
      <alignment horizontal="right" vertical="center"/>
    </xf>
    <xf numFmtId="0" fontId="9" fillId="2" borderId="36" xfId="0" applyFont="1" applyFill="1" applyBorder="1" applyAlignment="1">
      <alignment vertical="center"/>
    </xf>
    <xf numFmtId="0" fontId="0" fillId="2" borderId="34" xfId="0" applyFont="1" applyFill="1" applyBorder="1" applyAlignment="1">
      <alignment vertical="center"/>
    </xf>
    <xf numFmtId="164" fontId="0" fillId="2" borderId="35" xfId="2" applyNumberFormat="1" applyFont="1" applyFill="1" applyBorder="1" applyAlignment="1">
      <alignment horizontal="right" vertical="center"/>
    </xf>
    <xf numFmtId="0" fontId="0" fillId="2" borderId="29" xfId="0" applyFont="1" applyFill="1" applyBorder="1" applyAlignment="1">
      <alignment vertical="center"/>
    </xf>
    <xf numFmtId="166" fontId="0" fillId="2" borderId="30" xfId="2" applyNumberFormat="1" applyFont="1" applyFill="1" applyBorder="1" applyAlignment="1">
      <alignment vertical="center"/>
    </xf>
    <xf numFmtId="0" fontId="0" fillId="2" borderId="15" xfId="0" applyFont="1" applyFill="1" applyBorder="1" applyAlignment="1">
      <alignment vertical="center"/>
    </xf>
    <xf numFmtId="0" fontId="9" fillId="2" borderId="34" xfId="0" applyFont="1" applyFill="1" applyBorder="1" applyAlignment="1">
      <alignment vertical="center"/>
    </xf>
    <xf numFmtId="164" fontId="9" fillId="2" borderId="35" xfId="2" applyNumberFormat="1" applyFont="1" applyFill="1" applyBorder="1" applyAlignment="1">
      <alignment vertical="center"/>
    </xf>
    <xf numFmtId="0" fontId="9" fillId="2" borderId="12" xfId="0" applyFont="1" applyFill="1" applyBorder="1" applyAlignment="1">
      <alignment vertical="center"/>
    </xf>
    <xf numFmtId="0" fontId="15" fillId="2" borderId="18" xfId="0" applyFont="1" applyFill="1" applyBorder="1" applyAlignment="1">
      <alignment vertical="center"/>
    </xf>
    <xf numFmtId="0" fontId="0" fillId="2" borderId="18" xfId="0" applyFont="1" applyFill="1" applyBorder="1" applyAlignment="1">
      <alignment vertical="center"/>
    </xf>
    <xf numFmtId="164" fontId="9" fillId="2" borderId="13" xfId="2" applyNumberFormat="1" applyFont="1" applyFill="1" applyBorder="1" applyAlignment="1">
      <alignment vertical="center"/>
    </xf>
    <xf numFmtId="0" fontId="15" fillId="2" borderId="18" xfId="0" applyFont="1" applyFill="1" applyBorder="1" applyAlignment="1">
      <alignment horizontal="right" vertical="center"/>
    </xf>
    <xf numFmtId="0" fontId="0" fillId="12" borderId="29" xfId="0" applyFont="1" applyFill="1" applyBorder="1" applyAlignment="1" applyProtection="1">
      <alignment horizontal="left" vertical="center"/>
      <protection locked="0"/>
    </xf>
    <xf numFmtId="164" fontId="0" fillId="12" borderId="14" xfId="2" applyNumberFormat="1" applyFont="1" applyFill="1" applyBorder="1" applyAlignment="1" applyProtection="1">
      <alignment vertical="center" wrapText="1"/>
      <protection locked="0"/>
    </xf>
    <xf numFmtId="164" fontId="0" fillId="12" borderId="14" xfId="2" applyNumberFormat="1" applyFont="1" applyFill="1" applyBorder="1" applyAlignment="1" applyProtection="1">
      <alignment vertical="center"/>
      <protection locked="0"/>
    </xf>
    <xf numFmtId="164" fontId="0" fillId="12" borderId="30" xfId="2" applyNumberFormat="1" applyFont="1" applyFill="1" applyBorder="1" applyAlignment="1" applyProtection="1">
      <alignment vertical="center"/>
      <protection locked="0"/>
    </xf>
    <xf numFmtId="0" fontId="0" fillId="12" borderId="15" xfId="0" applyFont="1" applyFill="1" applyBorder="1" applyAlignment="1" applyProtection="1">
      <alignment horizontal="left" vertical="center"/>
      <protection locked="0"/>
    </xf>
    <xf numFmtId="164" fontId="0" fillId="12" borderId="16" xfId="2" applyNumberFormat="1" applyFont="1" applyFill="1" applyBorder="1" applyAlignment="1" applyProtection="1">
      <alignment vertical="center"/>
      <protection locked="0"/>
    </xf>
    <xf numFmtId="0" fontId="0" fillId="12" borderId="36" xfId="0" applyFont="1" applyFill="1" applyBorder="1" applyAlignment="1" applyProtection="1">
      <alignment horizontal="left" vertical="center"/>
      <protection locked="0"/>
    </xf>
    <xf numFmtId="164" fontId="0" fillId="12" borderId="34" xfId="2" applyNumberFormat="1" applyFont="1" applyFill="1" applyBorder="1" applyAlignment="1" applyProtection="1">
      <alignment vertical="center"/>
      <protection locked="0"/>
    </xf>
    <xf numFmtId="0" fontId="0" fillId="12" borderId="34" xfId="0" applyFont="1" applyFill="1" applyBorder="1" applyAlignment="1" applyProtection="1">
      <alignment horizontal="left" vertical="center"/>
      <protection locked="0"/>
    </xf>
    <xf numFmtId="164" fontId="0" fillId="12" borderId="35" xfId="2" applyNumberFormat="1" applyFont="1" applyFill="1" applyBorder="1" applyAlignment="1" applyProtection="1">
      <alignment vertical="center"/>
      <protection locked="0"/>
    </xf>
    <xf numFmtId="0" fontId="9" fillId="2" borderId="18" xfId="0" applyFont="1" applyFill="1" applyBorder="1" applyAlignment="1">
      <alignment vertical="center"/>
    </xf>
    <xf numFmtId="0" fontId="0" fillId="2" borderId="36" xfId="0" applyFont="1" applyFill="1" applyBorder="1" applyAlignment="1">
      <alignment vertical="center"/>
    </xf>
    <xf numFmtId="164" fontId="0" fillId="2" borderId="30" xfId="2" applyNumberFormat="1" applyFont="1" applyFill="1" applyBorder="1" applyAlignment="1">
      <alignment vertical="center"/>
    </xf>
    <xf numFmtId="0" fontId="9" fillId="2" borderId="12" xfId="0" applyFont="1" applyFill="1" applyBorder="1" applyAlignment="1">
      <alignment horizontal="left" vertical="center"/>
    </xf>
    <xf numFmtId="0" fontId="9" fillId="2" borderId="29" xfId="0" applyFont="1" applyFill="1" applyBorder="1" applyAlignment="1">
      <alignment horizontal="left" vertical="center"/>
    </xf>
    <xf numFmtId="174" fontId="0" fillId="2" borderId="14" xfId="2" applyNumberFormat="1" applyFont="1" applyFill="1" applyBorder="1" applyAlignment="1">
      <alignment vertical="center"/>
    </xf>
    <xf numFmtId="0" fontId="9" fillId="2" borderId="15" xfId="0" applyFont="1" applyFill="1" applyBorder="1" applyAlignment="1">
      <alignment horizontal="left" vertical="center"/>
    </xf>
    <xf numFmtId="0" fontId="9" fillId="2" borderId="36" xfId="0" applyFont="1" applyFill="1" applyBorder="1" applyAlignment="1">
      <alignment horizontal="left" vertical="center"/>
    </xf>
    <xf numFmtId="174" fontId="0" fillId="2" borderId="34" xfId="2" applyNumberFormat="1" applyFont="1" applyFill="1" applyBorder="1" applyAlignment="1">
      <alignment vertical="center"/>
    </xf>
    <xf numFmtId="0" fontId="13" fillId="2" borderId="14" xfId="0" applyFont="1" applyFill="1" applyBorder="1" applyAlignment="1">
      <alignment horizontal="right" vertical="center"/>
    </xf>
    <xf numFmtId="174" fontId="13" fillId="2" borderId="30" xfId="2" applyNumberFormat="1" applyFont="1" applyFill="1" applyBorder="1" applyAlignment="1">
      <alignment horizontal="right" vertical="center"/>
    </xf>
    <xf numFmtId="0" fontId="14" fillId="2" borderId="14" xfId="0" applyFont="1" applyFill="1" applyBorder="1" applyAlignment="1">
      <alignment vertical="center"/>
    </xf>
    <xf numFmtId="0" fontId="13" fillId="2" borderId="15" xfId="0" applyFont="1" applyFill="1" applyBorder="1" applyAlignment="1">
      <alignment horizontal="left" vertical="center"/>
    </xf>
    <xf numFmtId="174" fontId="13" fillId="2" borderId="16" xfId="2" applyNumberFormat="1" applyFont="1" applyFill="1" applyBorder="1" applyAlignment="1">
      <alignment vertical="center"/>
    </xf>
    <xf numFmtId="0" fontId="14" fillId="2" borderId="36" xfId="0" applyFont="1" applyFill="1" applyBorder="1" applyAlignment="1">
      <alignment vertical="center"/>
    </xf>
    <xf numFmtId="164" fontId="10" fillId="2" borderId="34" xfId="2" applyNumberFormat="1" applyFont="1" applyFill="1" applyBorder="1" applyAlignment="1">
      <alignment horizontal="right" vertical="center"/>
    </xf>
    <xf numFmtId="171" fontId="13" fillId="2" borderId="35" xfId="2" applyNumberFormat="1" applyFont="1" applyFill="1" applyBorder="1" applyAlignment="1">
      <alignment vertical="center"/>
    </xf>
    <xf numFmtId="174" fontId="13" fillId="2" borderId="30" xfId="2" applyNumberFormat="1" applyFont="1" applyFill="1" applyBorder="1" applyAlignment="1">
      <alignment vertical="center"/>
    </xf>
    <xf numFmtId="0" fontId="33" fillId="2" borderId="34" xfId="0" applyFont="1" applyFill="1" applyBorder="1" applyAlignment="1">
      <alignment horizontal="right" vertical="center"/>
    </xf>
    <xf numFmtId="0" fontId="26" fillId="2" borderId="15" xfId="0" applyFont="1" applyFill="1" applyBorder="1" applyAlignment="1">
      <alignment vertical="center"/>
    </xf>
    <xf numFmtId="164" fontId="13" fillId="2" borderId="16" xfId="2" applyNumberFormat="1" applyFont="1" applyFill="1" applyBorder="1" applyAlignment="1">
      <alignment vertical="center"/>
    </xf>
    <xf numFmtId="174" fontId="23" fillId="2" borderId="16" xfId="2" applyNumberFormat="1" applyFont="1" applyFill="1" applyBorder="1" applyAlignment="1">
      <alignment vertical="center"/>
    </xf>
    <xf numFmtId="0" fontId="9" fillId="2" borderId="13" xfId="0" applyFont="1" applyFill="1" applyBorder="1" applyAlignment="1">
      <alignment vertical="center"/>
    </xf>
    <xf numFmtId="174" fontId="13" fillId="12" borderId="16" xfId="2" applyNumberFormat="1" applyFont="1" applyFill="1" applyBorder="1" applyAlignment="1">
      <alignment horizontal="right" vertical="center"/>
    </xf>
    <xf numFmtId="0" fontId="27" fillId="2" borderId="0" xfId="0" applyFont="1" applyFill="1" applyBorder="1" applyAlignment="1">
      <alignment vertical="center"/>
    </xf>
    <xf numFmtId="0" fontId="38" fillId="2" borderId="2" xfId="0" applyFont="1" applyFill="1" applyBorder="1" applyAlignment="1">
      <alignment vertical="center"/>
    </xf>
    <xf numFmtId="0" fontId="0" fillId="0" borderId="2" xfId="0" applyFont="1" applyFill="1" applyBorder="1" applyAlignment="1">
      <alignment vertical="center"/>
    </xf>
    <xf numFmtId="0" fontId="17" fillId="2" borderId="2" xfId="0" applyFont="1" applyFill="1" applyBorder="1" applyAlignment="1">
      <alignment vertical="center"/>
    </xf>
    <xf numFmtId="174" fontId="23" fillId="0" borderId="2" xfId="2" applyNumberFormat="1" applyFont="1" applyFill="1" applyBorder="1" applyAlignment="1">
      <alignment horizontal="left" vertical="center"/>
    </xf>
    <xf numFmtId="165" fontId="23" fillId="0" borderId="2" xfId="0" applyNumberFormat="1" applyFont="1" applyFill="1" applyBorder="1" applyAlignment="1">
      <alignment horizontal="left" vertical="center"/>
    </xf>
    <xf numFmtId="165" fontId="0" fillId="0" borderId="2" xfId="0" applyNumberFormat="1" applyFont="1" applyFill="1" applyBorder="1" applyAlignment="1">
      <alignment horizontal="left" vertical="center"/>
    </xf>
    <xf numFmtId="0" fontId="0" fillId="0" borderId="2" xfId="0" applyFont="1" applyFill="1" applyBorder="1" applyAlignment="1">
      <alignment horizontal="left" vertical="center"/>
    </xf>
    <xf numFmtId="170" fontId="0" fillId="2" borderId="2" xfId="0" applyNumberFormat="1" applyFont="1" applyFill="1" applyBorder="1" applyAlignment="1">
      <alignment vertical="center"/>
    </xf>
    <xf numFmtId="170" fontId="38" fillId="2" borderId="2" xfId="0" applyNumberFormat="1" applyFont="1" applyFill="1" applyBorder="1" applyAlignment="1">
      <alignment vertical="center"/>
    </xf>
    <xf numFmtId="0" fontId="23" fillId="2" borderId="3" xfId="0" applyFont="1" applyFill="1" applyBorder="1" applyAlignment="1">
      <alignment vertical="center"/>
    </xf>
    <xf numFmtId="0" fontId="13" fillId="2" borderId="3" xfId="0" applyFont="1" applyFill="1" applyBorder="1" applyAlignment="1">
      <alignment vertical="center"/>
    </xf>
    <xf numFmtId="0" fontId="13" fillId="2" borderId="32" xfId="0" applyFont="1" applyFill="1" applyBorder="1" applyAlignment="1">
      <alignment vertical="center"/>
    </xf>
    <xf numFmtId="0" fontId="13" fillId="2" borderId="39" xfId="0" applyFont="1" applyFill="1" applyBorder="1" applyAlignment="1">
      <alignment vertical="center"/>
    </xf>
    <xf numFmtId="0" fontId="23" fillId="2" borderId="42" xfId="0" applyFont="1" applyFill="1" applyBorder="1" applyAlignment="1">
      <alignment vertical="center"/>
    </xf>
    <xf numFmtId="0" fontId="23" fillId="2" borderId="32" xfId="0" applyFont="1" applyFill="1" applyBorder="1" applyAlignment="1">
      <alignment vertical="center"/>
    </xf>
    <xf numFmtId="0" fontId="33" fillId="2" borderId="35" xfId="0" applyFont="1" applyFill="1" applyBorder="1" applyAlignment="1">
      <alignment horizontal="right" vertical="center"/>
    </xf>
    <xf numFmtId="174" fontId="13" fillId="2" borderId="16" xfId="2" applyNumberFormat="1" applyFont="1" applyFill="1" applyBorder="1" applyAlignment="1">
      <alignment horizontal="right" vertical="center"/>
    </xf>
    <xf numFmtId="0" fontId="0" fillId="2" borderId="30" xfId="0" applyFont="1" applyFill="1" applyBorder="1" applyAlignment="1">
      <alignment vertical="center"/>
    </xf>
    <xf numFmtId="0" fontId="0" fillId="2" borderId="16" xfId="0" applyFont="1" applyFill="1" applyBorder="1" applyAlignment="1">
      <alignment vertical="center"/>
    </xf>
    <xf numFmtId="0" fontId="0" fillId="2" borderId="35" xfId="0" applyFont="1" applyFill="1" applyBorder="1" applyAlignment="1">
      <alignment vertical="center"/>
    </xf>
    <xf numFmtId="0" fontId="0" fillId="2" borderId="12" xfId="0" applyFont="1" applyFill="1" applyBorder="1" applyAlignment="1">
      <alignment vertical="center"/>
    </xf>
    <xf numFmtId="0" fontId="0" fillId="2" borderId="13" xfId="0" applyFont="1" applyFill="1" applyBorder="1" applyAlignment="1">
      <alignment vertical="center"/>
    </xf>
    <xf numFmtId="164" fontId="13" fillId="2" borderId="16" xfId="2" applyNumberFormat="1" applyFont="1" applyFill="1" applyBorder="1" applyAlignment="1">
      <alignment horizontal="center" vertical="center"/>
    </xf>
    <xf numFmtId="0" fontId="23" fillId="2" borderId="31" xfId="0" applyFont="1" applyFill="1" applyBorder="1" applyAlignment="1">
      <alignment horizontal="center" vertical="center"/>
    </xf>
    <xf numFmtId="0" fontId="33" fillId="2" borderId="30" xfId="0" applyFont="1" applyFill="1" applyBorder="1" applyAlignment="1">
      <alignment horizontal="right" vertical="center"/>
    </xf>
    <xf numFmtId="0" fontId="15" fillId="2" borderId="19" xfId="0" applyFont="1" applyFill="1" applyBorder="1" applyAlignment="1">
      <alignment horizontal="left" vertical="top"/>
    </xf>
    <xf numFmtId="0" fontId="15" fillId="2" borderId="19" xfId="0" applyFont="1" applyFill="1" applyBorder="1" applyAlignment="1">
      <alignment horizontal="left" vertical="top" wrapText="1"/>
    </xf>
    <xf numFmtId="0" fontId="23" fillId="2" borderId="22" xfId="0" applyFont="1" applyFill="1" applyBorder="1" applyAlignment="1">
      <alignment horizontal="center" vertical="center"/>
    </xf>
    <xf numFmtId="0" fontId="23" fillId="2" borderId="11" xfId="0" applyFont="1" applyFill="1" applyBorder="1" applyAlignment="1">
      <alignment horizontal="center" vertical="center"/>
    </xf>
    <xf numFmtId="0" fontId="13" fillId="0" borderId="0" xfId="3" applyAlignment="1">
      <alignment horizontal="left"/>
    </xf>
    <xf numFmtId="0" fontId="39" fillId="0" borderId="0" xfId="3" applyFont="1" applyAlignment="1">
      <alignment vertical="center"/>
    </xf>
    <xf numFmtId="0" fontId="40" fillId="0" borderId="0" xfId="3" applyFont="1" applyAlignment="1">
      <alignment horizontal="center" vertical="center"/>
    </xf>
    <xf numFmtId="0" fontId="7" fillId="0" borderId="0" xfId="3" applyFont="1" applyAlignment="1">
      <alignment horizontal="center" vertical="center"/>
    </xf>
    <xf numFmtId="0" fontId="7" fillId="0" borderId="0" xfId="3" applyFont="1" applyAlignment="1"/>
    <xf numFmtId="0" fontId="7" fillId="0" borderId="0" xfId="3" applyFont="1" applyAlignment="1">
      <alignment horizontal="left"/>
    </xf>
    <xf numFmtId="0" fontId="7" fillId="0" borderId="0" xfId="3" applyFont="1"/>
    <xf numFmtId="0" fontId="13" fillId="0" borderId="0" xfId="3" applyAlignment="1"/>
    <xf numFmtId="0" fontId="13" fillId="0" borderId="0" xfId="3" applyFill="1"/>
    <xf numFmtId="0" fontId="0" fillId="2" borderId="15" xfId="0" applyFont="1" applyFill="1" applyBorder="1" applyAlignment="1">
      <alignment horizontal="left" vertical="center"/>
    </xf>
    <xf numFmtId="0" fontId="0" fillId="2" borderId="36" xfId="0" applyFont="1" applyFill="1" applyBorder="1" applyAlignment="1">
      <alignment horizontal="left" vertical="center"/>
    </xf>
    <xf numFmtId="0" fontId="13" fillId="2" borderId="0" xfId="3" applyFill="1" applyBorder="1" applyAlignment="1">
      <alignment horizontal="left"/>
    </xf>
    <xf numFmtId="0" fontId="13" fillId="2" borderId="16" xfId="3" applyFill="1" applyBorder="1" applyAlignment="1">
      <alignment horizontal="left"/>
    </xf>
    <xf numFmtId="0" fontId="0" fillId="2" borderId="34" xfId="0" applyFont="1" applyFill="1" applyBorder="1" applyAlignment="1">
      <alignment horizontal="left" vertical="center"/>
    </xf>
    <xf numFmtId="0" fontId="13" fillId="2" borderId="34" xfId="3" applyFill="1" applyBorder="1" applyAlignment="1">
      <alignment horizontal="left"/>
    </xf>
    <xf numFmtId="0" fontId="13" fillId="2" borderId="35" xfId="3" applyFill="1" applyBorder="1" applyAlignment="1">
      <alignment horizontal="left"/>
    </xf>
    <xf numFmtId="0" fontId="13" fillId="2" borderId="0" xfId="3" applyFill="1" applyAlignment="1">
      <alignment horizontal="left"/>
    </xf>
    <xf numFmtId="0" fontId="42" fillId="2" borderId="0" xfId="0" applyFont="1" applyFill="1" applyBorder="1" applyAlignment="1">
      <alignment horizontal="center" vertical="center"/>
    </xf>
    <xf numFmtId="0" fontId="13" fillId="0" borderId="0" xfId="3" applyFill="1" applyBorder="1"/>
    <xf numFmtId="0" fontId="13" fillId="2" borderId="14" xfId="3" applyFill="1" applyBorder="1" applyAlignment="1">
      <alignment horizontal="left"/>
    </xf>
    <xf numFmtId="0" fontId="13" fillId="2" borderId="30" xfId="3" applyFill="1" applyBorder="1" applyAlignment="1">
      <alignment horizontal="left"/>
    </xf>
    <xf numFmtId="0" fontId="4" fillId="0" borderId="26" xfId="3" applyFont="1" applyBorder="1" applyAlignment="1">
      <alignment horizontal="center" vertical="center"/>
    </xf>
    <xf numFmtId="0" fontId="13" fillId="2" borderId="29" xfId="3" applyFill="1" applyBorder="1"/>
    <xf numFmtId="0" fontId="13" fillId="2" borderId="14" xfId="3" applyFill="1" applyBorder="1"/>
    <xf numFmtId="0" fontId="13" fillId="2" borderId="15" xfId="3" applyFill="1" applyBorder="1" applyAlignment="1"/>
    <xf numFmtId="0" fontId="13" fillId="2" borderId="0" xfId="3" applyFill="1" applyBorder="1"/>
    <xf numFmtId="0" fontId="13" fillId="15" borderId="0" xfId="3" applyFill="1" applyBorder="1" applyAlignment="1">
      <alignment horizontal="left"/>
    </xf>
    <xf numFmtId="0" fontId="13" fillId="15" borderId="9" xfId="3" applyFill="1" applyBorder="1" applyAlignment="1">
      <alignment horizontal="left"/>
    </xf>
    <xf numFmtId="0" fontId="43" fillId="15" borderId="17" xfId="0" applyFont="1" applyFill="1" applyBorder="1" applyAlignment="1">
      <alignment horizontal="left" vertical="center"/>
    </xf>
    <xf numFmtId="0" fontId="43" fillId="15" borderId="0" xfId="0" applyFont="1" applyFill="1" applyBorder="1" applyAlignment="1">
      <alignment horizontal="left" vertical="center"/>
    </xf>
    <xf numFmtId="0" fontId="43" fillId="2" borderId="0" xfId="0" applyFont="1" applyFill="1" applyBorder="1" applyAlignment="1">
      <alignment horizontal="left" vertical="top" wrapText="1"/>
    </xf>
    <xf numFmtId="0" fontId="13" fillId="15" borderId="17" xfId="3" applyFill="1" applyBorder="1" applyAlignment="1">
      <alignment horizontal="left"/>
    </xf>
    <xf numFmtId="0" fontId="13" fillId="2" borderId="15" xfId="3" applyFill="1" applyBorder="1"/>
    <xf numFmtId="0" fontId="13" fillId="15" borderId="4" xfId="3" applyFill="1" applyBorder="1"/>
    <xf numFmtId="0" fontId="15" fillId="2" borderId="0" xfId="0" applyFont="1" applyFill="1" applyBorder="1" applyAlignment="1">
      <alignment horizontal="left" vertical="center"/>
    </xf>
    <xf numFmtId="0" fontId="23" fillId="2" borderId="15" xfId="0" applyFont="1" applyFill="1" applyBorder="1" applyAlignment="1">
      <alignment horizontal="left" vertical="center"/>
    </xf>
    <xf numFmtId="0" fontId="15" fillId="0" borderId="0" xfId="0" applyFont="1" applyFill="1" applyBorder="1" applyAlignment="1">
      <alignment horizontal="left" vertical="center"/>
    </xf>
    <xf numFmtId="0" fontId="17" fillId="2" borderId="0" xfId="0" applyFont="1" applyFill="1" applyBorder="1" applyAlignment="1">
      <alignment horizontal="left" vertical="center" wrapText="1"/>
    </xf>
    <xf numFmtId="0" fontId="23" fillId="2" borderId="0" xfId="0" applyFont="1" applyFill="1" applyBorder="1" applyAlignment="1">
      <alignment horizontal="center" vertical="center"/>
    </xf>
    <xf numFmtId="0" fontId="13" fillId="2" borderId="0" xfId="0" applyFont="1" applyFill="1" applyBorder="1" applyAlignment="1">
      <alignment horizontal="center" vertical="center"/>
    </xf>
    <xf numFmtId="0" fontId="13" fillId="2" borderId="2" xfId="0" applyFont="1" applyFill="1" applyBorder="1" applyAlignment="1">
      <alignment horizontal="center" vertical="center"/>
    </xf>
    <xf numFmtId="0" fontId="45" fillId="2" borderId="29" xfId="0" applyFont="1" applyFill="1" applyBorder="1" applyAlignment="1">
      <alignment vertical="center"/>
    </xf>
    <xf numFmtId="0" fontId="47" fillId="2" borderId="0" xfId="0" applyFont="1" applyFill="1" applyBorder="1" applyAlignment="1">
      <alignment vertical="center"/>
    </xf>
    <xf numFmtId="9" fontId="34" fillId="0" borderId="0" xfId="0" applyNumberFormat="1" applyFont="1" applyFill="1"/>
    <xf numFmtId="171" fontId="34" fillId="0" borderId="0" xfId="0" applyNumberFormat="1" applyFont="1" applyFill="1"/>
    <xf numFmtId="10" fontId="34" fillId="0" borderId="0" xfId="0" applyNumberFormat="1" applyFont="1" applyFill="1"/>
    <xf numFmtId="0" fontId="34" fillId="0" borderId="0" xfId="0" applyFont="1" applyFill="1"/>
    <xf numFmtId="49" fontId="34" fillId="2" borderId="0" xfId="0" applyNumberFormat="1" applyFont="1" applyFill="1"/>
    <xf numFmtId="171" fontId="5" fillId="12" borderId="2" xfId="0" applyNumberFormat="1" applyFont="1" applyFill="1" applyBorder="1" applyAlignment="1">
      <alignment horizontal="center" vertical="center" wrapText="1"/>
    </xf>
    <xf numFmtId="171" fontId="5" fillId="8" borderId="2" xfId="0" applyNumberFormat="1" applyFont="1" applyFill="1" applyBorder="1" applyAlignment="1">
      <alignment horizontal="center" vertical="center" wrapText="1"/>
    </xf>
    <xf numFmtId="171" fontId="8" fillId="0" borderId="0" xfId="0" applyNumberFormat="1" applyFont="1" applyFill="1" applyAlignment="1">
      <alignment horizontal="center"/>
    </xf>
    <xf numFmtId="171" fontId="7" fillId="8" borderId="2" xfId="0" applyNumberFormat="1" applyFont="1" applyFill="1" applyBorder="1" applyAlignment="1">
      <alignment horizontal="center" vertical="center"/>
    </xf>
    <xf numFmtId="171" fontId="8" fillId="0" borderId="0" xfId="0" applyNumberFormat="1" applyFont="1" applyAlignment="1">
      <alignment horizontal="center"/>
    </xf>
    <xf numFmtId="171" fontId="8" fillId="6" borderId="0" xfId="0" applyNumberFormat="1" applyFont="1" applyFill="1" applyAlignment="1">
      <alignment horizontal="center"/>
    </xf>
    <xf numFmtId="171" fontId="7" fillId="12" borderId="2" xfId="0" applyNumberFormat="1" applyFont="1" applyFill="1" applyBorder="1" applyAlignment="1">
      <alignment horizontal="center" vertical="center"/>
    </xf>
    <xf numFmtId="0" fontId="20" fillId="2" borderId="0" xfId="0" applyFont="1" applyFill="1" applyBorder="1" applyAlignment="1">
      <alignment vertical="center"/>
    </xf>
    <xf numFmtId="171" fontId="11" fillId="0" borderId="34" xfId="0" applyNumberFormat="1" applyFont="1" applyFill="1" applyBorder="1" applyAlignment="1">
      <alignment horizontal="center" vertical="center"/>
    </xf>
    <xf numFmtId="164" fontId="0" fillId="0" borderId="30" xfId="2" applyNumberFormat="1" applyFont="1" applyFill="1" applyBorder="1" applyAlignment="1" applyProtection="1">
      <alignment vertical="center"/>
      <protection locked="0"/>
    </xf>
    <xf numFmtId="164" fontId="0" fillId="0" borderId="16" xfId="2" applyNumberFormat="1" applyFont="1" applyFill="1" applyBorder="1" applyAlignment="1" applyProtection="1">
      <alignment vertical="center"/>
      <protection locked="0"/>
    </xf>
    <xf numFmtId="164" fontId="0" fillId="0" borderId="35" xfId="2" applyNumberFormat="1" applyFont="1" applyFill="1" applyBorder="1" applyAlignment="1" applyProtection="1">
      <alignment vertical="center"/>
      <protection locked="0"/>
    </xf>
    <xf numFmtId="171" fontId="13" fillId="0" borderId="16" xfId="0" applyNumberFormat="1" applyFont="1" applyFill="1" applyBorder="1" applyAlignment="1" applyProtection="1">
      <alignment vertical="center"/>
      <protection locked="0"/>
    </xf>
    <xf numFmtId="0" fontId="15" fillId="2" borderId="18" xfId="0" applyFont="1" applyFill="1" applyBorder="1" applyAlignment="1">
      <alignment horizontal="center" vertical="center"/>
    </xf>
    <xf numFmtId="0" fontId="9" fillId="0" borderId="12" xfId="0" applyFont="1" applyFill="1" applyBorder="1" applyAlignment="1">
      <alignment vertical="center"/>
    </xf>
    <xf numFmtId="0" fontId="15" fillId="0" borderId="18" xfId="0" applyFont="1" applyFill="1" applyBorder="1" applyAlignment="1">
      <alignment vertical="center"/>
    </xf>
    <xf numFmtId="0" fontId="0" fillId="0" borderId="18" xfId="0" applyFont="1" applyFill="1" applyBorder="1" applyAlignment="1">
      <alignment vertical="center"/>
    </xf>
    <xf numFmtId="164" fontId="9" fillId="0" borderId="13" xfId="2" applyNumberFormat="1" applyFont="1" applyFill="1" applyBorder="1" applyAlignment="1">
      <alignment vertical="center"/>
    </xf>
    <xf numFmtId="0" fontId="0" fillId="12" borderId="14" xfId="0" applyFont="1" applyFill="1" applyBorder="1" applyAlignment="1" applyProtection="1">
      <alignment horizontal="right" vertical="center"/>
      <protection locked="0"/>
    </xf>
    <xf numFmtId="0" fontId="15" fillId="2" borderId="13" xfId="0" applyFont="1" applyFill="1" applyBorder="1" applyAlignment="1">
      <alignment horizontal="right" vertical="center"/>
    </xf>
    <xf numFmtId="177" fontId="13" fillId="0" borderId="0" xfId="2" applyNumberFormat="1" applyFont="1" applyFill="1" applyBorder="1" applyAlignment="1">
      <alignment horizontal="right" vertical="center"/>
    </xf>
    <xf numFmtId="0" fontId="25" fillId="2" borderId="0" xfId="0" applyFont="1" applyFill="1" applyBorder="1" applyAlignment="1">
      <alignment vertical="center"/>
    </xf>
    <xf numFmtId="0" fontId="48" fillId="0" borderId="0" xfId="2" applyNumberFormat="1" applyFont="1" applyFill="1" applyBorder="1" applyAlignment="1">
      <alignment horizontal="right" vertical="center"/>
    </xf>
    <xf numFmtId="0" fontId="49" fillId="2" borderId="0" xfId="0" applyFont="1" applyFill="1" applyBorder="1" applyAlignment="1">
      <alignment horizontal="left" vertical="center"/>
    </xf>
    <xf numFmtId="0" fontId="15" fillId="2" borderId="18" xfId="0" applyFont="1" applyFill="1" applyBorder="1" applyAlignment="1">
      <alignment horizontal="center" vertical="center"/>
    </xf>
    <xf numFmtId="0" fontId="15" fillId="0" borderId="26" xfId="0" applyFont="1" applyBorder="1" applyAlignment="1">
      <alignment horizontal="center" vertical="center" wrapText="1"/>
    </xf>
    <xf numFmtId="168" fontId="15" fillId="0" borderId="28" xfId="2" applyFont="1" applyBorder="1" applyAlignment="1">
      <alignment horizontal="center" vertical="center" wrapText="1"/>
    </xf>
    <xf numFmtId="168" fontId="0" fillId="0" borderId="32" xfId="2" applyFont="1" applyFill="1" applyBorder="1"/>
    <xf numFmtId="0" fontId="0" fillId="6" borderId="31" xfId="0" applyFill="1" applyBorder="1"/>
    <xf numFmtId="0" fontId="0" fillId="3" borderId="31" xfId="0" applyFill="1" applyBorder="1"/>
    <xf numFmtId="0" fontId="0" fillId="10" borderId="31" xfId="0" applyFill="1" applyBorder="1"/>
    <xf numFmtId="0" fontId="0" fillId="0" borderId="33" xfId="0" applyBorder="1"/>
    <xf numFmtId="0" fontId="12" fillId="2" borderId="0" xfId="0" applyFont="1" applyFill="1" applyBorder="1" applyAlignment="1">
      <alignment horizontal="center" vertical="center"/>
    </xf>
    <xf numFmtId="168" fontId="47" fillId="2" borderId="0" xfId="0" applyNumberFormat="1" applyFont="1" applyFill="1" applyBorder="1" applyAlignment="1">
      <alignment vertical="center"/>
    </xf>
    <xf numFmtId="0" fontId="4" fillId="0" borderId="31" xfId="3" applyFont="1" applyBorder="1" applyAlignment="1">
      <alignment horizontal="center" vertical="center"/>
    </xf>
    <xf numFmtId="0" fontId="15" fillId="2" borderId="34" xfId="0" applyFont="1" applyFill="1" applyBorder="1" applyAlignment="1">
      <alignment vertical="center"/>
    </xf>
    <xf numFmtId="0" fontId="14" fillId="2" borderId="0" xfId="0" applyFont="1" applyFill="1" applyBorder="1" applyAlignment="1">
      <alignment horizontal="right" vertical="center"/>
    </xf>
    <xf numFmtId="0" fontId="47" fillId="0" borderId="0" xfId="0" applyFont="1" applyFill="1" applyBorder="1" applyAlignment="1">
      <alignment vertical="center"/>
    </xf>
    <xf numFmtId="164" fontId="47" fillId="2" borderId="0" xfId="2" applyNumberFormat="1" applyFont="1" applyFill="1" applyBorder="1" applyAlignment="1">
      <alignment vertical="center"/>
    </xf>
    <xf numFmtId="174" fontId="20" fillId="2" borderId="0" xfId="2" applyNumberFormat="1" applyFont="1" applyFill="1" applyBorder="1" applyAlignment="1">
      <alignment vertical="center"/>
    </xf>
    <xf numFmtId="0" fontId="15" fillId="2" borderId="0" xfId="0" applyFont="1" applyFill="1" applyBorder="1" applyAlignment="1">
      <alignment vertical="center"/>
    </xf>
    <xf numFmtId="178" fontId="13" fillId="0" borderId="0" xfId="3" applyNumberFormat="1"/>
    <xf numFmtId="187" fontId="50" fillId="0" borderId="0" xfId="3" applyNumberFormat="1" applyFont="1" applyAlignment="1">
      <alignment vertical="center"/>
    </xf>
    <xf numFmtId="17" fontId="50" fillId="0" borderId="0" xfId="3" applyNumberFormat="1" applyFont="1" applyAlignment="1">
      <alignment vertical="center"/>
    </xf>
    <xf numFmtId="0" fontId="7" fillId="0" borderId="0" xfId="0" applyFont="1" applyFill="1" applyBorder="1"/>
    <xf numFmtId="168" fontId="7" fillId="0" borderId="0" xfId="2" applyFont="1" applyFill="1" applyBorder="1"/>
    <xf numFmtId="0" fontId="5" fillId="0" borderId="0" xfId="0" applyFont="1" applyFill="1" applyBorder="1" applyAlignment="1">
      <alignment horizontal="center" vertical="center" wrapText="1"/>
    </xf>
    <xf numFmtId="0" fontId="5" fillId="0" borderId="0" xfId="0" applyFont="1" applyFill="1" applyBorder="1" applyAlignment="1">
      <alignment horizontal="center" wrapText="1"/>
    </xf>
    <xf numFmtId="171" fontId="5" fillId="0" borderId="0" xfId="0" applyNumberFormat="1" applyFont="1" applyFill="1" applyBorder="1" applyAlignment="1">
      <alignment horizontal="center" vertical="center" wrapText="1"/>
    </xf>
    <xf numFmtId="0" fontId="5" fillId="0" borderId="0" xfId="0" applyFont="1" applyFill="1" applyBorder="1" applyAlignment="1">
      <alignment horizontal="center" vertical="center"/>
    </xf>
    <xf numFmtId="0" fontId="47" fillId="2" borderId="0" xfId="0" applyFont="1" applyFill="1" applyBorder="1" applyAlignment="1">
      <alignment horizontal="center" vertical="center"/>
    </xf>
    <xf numFmtId="4" fontId="51" fillId="0" borderId="0" xfId="24" applyFont="1" applyAlignment="1">
      <alignment vertical="center"/>
    </xf>
    <xf numFmtId="3" fontId="7" fillId="0" borderId="0" xfId="25" applyAlignment="1"/>
    <xf numFmtId="3" fontId="19" fillId="9" borderId="19" xfId="25" applyFont="1" applyFill="1" applyBorder="1" applyAlignment="1">
      <alignment horizontal="center" vertical="center"/>
    </xf>
    <xf numFmtId="3" fontId="7" fillId="0" borderId="0" xfId="25" applyAlignment="1">
      <alignment horizontal="center"/>
    </xf>
    <xf numFmtId="3" fontId="2" fillId="0" borderId="0" xfId="25" applyFont="1" applyBorder="1" applyAlignment="1"/>
    <xf numFmtId="3" fontId="7" fillId="0" borderId="0" xfId="25" applyBorder="1" applyAlignment="1"/>
    <xf numFmtId="4" fontId="57" fillId="0" borderId="0" xfId="28"/>
    <xf numFmtId="4" fontId="57" fillId="9" borderId="0" xfId="28" applyFill="1"/>
    <xf numFmtId="4" fontId="57" fillId="0" borderId="0" xfId="28" applyAlignment="1">
      <alignment horizontal="center"/>
    </xf>
    <xf numFmtId="49" fontId="57" fillId="0" borderId="0" xfId="28" applyNumberFormat="1" applyBorder="1"/>
    <xf numFmtId="4" fontId="57" fillId="0" borderId="0" xfId="28" applyBorder="1"/>
    <xf numFmtId="4" fontId="56" fillId="0" borderId="0" xfId="28" applyFont="1"/>
    <xf numFmtId="3" fontId="56" fillId="0" borderId="0" xfId="25" applyFont="1" applyAlignment="1"/>
    <xf numFmtId="3" fontId="53" fillId="0" borderId="0" xfId="25" applyFont="1" applyBorder="1" applyAlignment="1">
      <alignment horizontal="center" vertical="center"/>
    </xf>
    <xf numFmtId="3" fontId="19" fillId="0" borderId="48" xfId="25" applyFont="1" applyBorder="1" applyAlignment="1">
      <alignment horizontal="left" vertical="center"/>
    </xf>
    <xf numFmtId="3" fontId="19" fillId="9" borderId="48" xfId="25" applyFont="1" applyFill="1" applyBorder="1" applyAlignment="1">
      <alignment horizontal="center" vertical="center"/>
    </xf>
    <xf numFmtId="3" fontId="7" fillId="0" borderId="0" xfId="25" applyAlignment="1">
      <alignment horizontal="center" vertical="center"/>
    </xf>
    <xf numFmtId="3" fontId="18" fillId="0" borderId="0" xfId="25" applyFont="1" applyBorder="1" applyAlignment="1">
      <alignment horizontal="center" vertical="center"/>
    </xf>
    <xf numFmtId="3" fontId="59" fillId="0" borderId="0" xfId="25" applyFont="1" applyAlignment="1">
      <alignment horizontal="center" vertical="center"/>
    </xf>
    <xf numFmtId="3" fontId="7" fillId="0" borderId="0" xfId="25" applyBorder="1" applyAlignment="1">
      <alignment horizontal="center" vertical="center"/>
    </xf>
    <xf numFmtId="3" fontId="19" fillId="0" borderId="19" xfId="25" applyFont="1" applyBorder="1" applyAlignment="1">
      <alignment horizontal="left" vertical="center"/>
    </xf>
    <xf numFmtId="3" fontId="56" fillId="0" borderId="0" xfId="25" applyFont="1" applyBorder="1" applyAlignment="1"/>
    <xf numFmtId="3" fontId="7" fillId="0" borderId="0" xfId="25" applyBorder="1" applyAlignment="1">
      <alignment horizontal="center"/>
    </xf>
    <xf numFmtId="3" fontId="54" fillId="0" borderId="0" xfId="25" applyFont="1" applyAlignment="1"/>
    <xf numFmtId="3" fontId="52" fillId="0" borderId="0" xfId="25" applyFont="1" applyBorder="1" applyAlignment="1"/>
    <xf numFmtId="3" fontId="54" fillId="0" borderId="0" xfId="25" applyFont="1" applyBorder="1" applyAlignment="1"/>
    <xf numFmtId="3" fontId="51" fillId="0" borderId="0" xfId="25" applyFont="1" applyBorder="1" applyAlignment="1"/>
    <xf numFmtId="3" fontId="54" fillId="0" borderId="0" xfId="25" applyFont="1" applyAlignment="1">
      <alignment horizontal="center"/>
    </xf>
    <xf numFmtId="3" fontId="60" fillId="0" borderId="0" xfId="25" applyFont="1" applyAlignment="1"/>
    <xf numFmtId="4" fontId="5" fillId="0" borderId="0" xfId="28" applyFont="1" applyBorder="1" applyAlignment="1">
      <alignment horizontal="center" vertical="center" wrapText="1"/>
    </xf>
    <xf numFmtId="3" fontId="5" fillId="7" borderId="45" xfId="28" applyNumberFormat="1" applyFont="1" applyFill="1" applyBorder="1" applyAlignment="1">
      <alignment horizontal="center" vertical="center" wrapText="1"/>
    </xf>
    <xf numFmtId="4" fontId="5" fillId="7" borderId="46" xfId="28" applyNumberFormat="1" applyFont="1" applyFill="1" applyBorder="1" applyAlignment="1">
      <alignment horizontal="center" vertical="center" wrapText="1"/>
    </xf>
    <xf numFmtId="0" fontId="5" fillId="7" borderId="46" xfId="28" applyNumberFormat="1" applyFont="1" applyFill="1" applyBorder="1" applyAlignment="1">
      <alignment horizontal="center" vertical="center" wrapText="1"/>
    </xf>
    <xf numFmtId="49" fontId="5" fillId="7" borderId="46" xfId="28" applyNumberFormat="1" applyFont="1" applyFill="1" applyBorder="1" applyAlignment="1">
      <alignment horizontal="center" vertical="center" wrapText="1"/>
    </xf>
    <xf numFmtId="4" fontId="5" fillId="7" borderId="47" xfId="28" applyNumberFormat="1" applyFont="1" applyFill="1" applyBorder="1" applyAlignment="1">
      <alignment horizontal="center" vertical="center" wrapText="1"/>
    </xf>
    <xf numFmtId="4" fontId="5" fillId="0" borderId="0" xfId="28" applyFont="1" applyAlignment="1">
      <alignment horizontal="center" vertical="center" wrapText="1"/>
    </xf>
    <xf numFmtId="4" fontId="5" fillId="0" borderId="0" xfId="28" applyFont="1" applyFill="1" applyBorder="1" applyAlignment="1">
      <alignment horizontal="center" vertical="center" wrapText="1"/>
    </xf>
    <xf numFmtId="3" fontId="5" fillId="17" borderId="26" xfId="28" applyNumberFormat="1" applyFont="1" applyFill="1" applyBorder="1" applyAlignment="1">
      <alignment horizontal="center" vertical="center" wrapText="1"/>
    </xf>
    <xf numFmtId="4" fontId="5" fillId="17" borderId="27" xfId="28" applyNumberFormat="1" applyFont="1" applyFill="1" applyBorder="1" applyAlignment="1">
      <alignment horizontal="center" vertical="center" wrapText="1"/>
    </xf>
    <xf numFmtId="0" fontId="5" fillId="17" borderId="27" xfId="28" applyNumberFormat="1" applyFont="1" applyFill="1" applyBorder="1" applyAlignment="1">
      <alignment horizontal="center" vertical="center" wrapText="1"/>
    </xf>
    <xf numFmtId="49" fontId="5" fillId="17" borderId="27" xfId="28" applyNumberFormat="1" applyFont="1" applyFill="1" applyBorder="1" applyAlignment="1">
      <alignment horizontal="center" vertical="center" wrapText="1"/>
    </xf>
    <xf numFmtId="4" fontId="44" fillId="17" borderId="27" xfId="28" applyNumberFormat="1" applyFont="1" applyFill="1" applyBorder="1" applyAlignment="1">
      <alignment horizontal="center" vertical="center" wrapText="1"/>
    </xf>
    <xf numFmtId="4" fontId="5" fillId="17" borderId="28" xfId="28" applyNumberFormat="1" applyFont="1" applyFill="1" applyBorder="1" applyAlignment="1">
      <alignment horizontal="center" vertical="center" wrapText="1"/>
    </xf>
    <xf numFmtId="4" fontId="5" fillId="0" borderId="0" xfId="28" applyFont="1" applyFill="1" applyAlignment="1">
      <alignment horizontal="center" vertical="center" wrapText="1"/>
    </xf>
    <xf numFmtId="4" fontId="7" fillId="0" borderId="0" xfId="28" applyFont="1" applyBorder="1" applyAlignment="1">
      <alignment vertical="center"/>
    </xf>
    <xf numFmtId="3" fontId="7" fillId="0" borderId="39" xfId="28" applyNumberFormat="1" applyFont="1" applyBorder="1" applyAlignment="1">
      <alignment horizontal="center" vertical="center"/>
    </xf>
    <xf numFmtId="4" fontId="7" fillId="0" borderId="58" xfId="28" applyNumberFormat="1" applyFont="1" applyBorder="1" applyAlignment="1">
      <alignment horizontal="center" vertical="center"/>
    </xf>
    <xf numFmtId="1" fontId="7" fillId="0" borderId="58" xfId="28" applyNumberFormat="1" applyFont="1" applyBorder="1" applyAlignment="1">
      <alignment horizontal="center" vertical="center"/>
    </xf>
    <xf numFmtId="168" fontId="7" fillId="0" borderId="2" xfId="28" applyNumberFormat="1" applyFont="1" applyFill="1" applyBorder="1" applyAlignment="1">
      <alignment horizontal="right" vertical="center"/>
    </xf>
    <xf numFmtId="168" fontId="56" fillId="0" borderId="2" xfId="28" applyNumberFormat="1" applyFont="1" applyFill="1" applyBorder="1" applyAlignment="1">
      <alignment horizontal="right" vertical="center"/>
    </xf>
    <xf numFmtId="4" fontId="7" fillId="0" borderId="42" xfId="28" applyNumberFormat="1" applyFont="1" applyBorder="1" applyAlignment="1">
      <alignment vertical="center"/>
    </xf>
    <xf numFmtId="4" fontId="7" fillId="0" borderId="0" xfId="28" applyFont="1" applyAlignment="1">
      <alignment vertical="center"/>
    </xf>
    <xf numFmtId="4" fontId="7" fillId="0" borderId="0" xfId="28" applyFont="1" applyFill="1" applyBorder="1" applyAlignment="1">
      <alignment vertical="center"/>
    </xf>
    <xf numFmtId="3" fontId="7" fillId="17" borderId="31" xfId="28" applyNumberFormat="1" applyFont="1" applyFill="1" applyBorder="1" applyAlignment="1">
      <alignment horizontal="center" vertical="center"/>
    </xf>
    <xf numFmtId="4" fontId="7" fillId="17" borderId="2" xfId="28" applyNumberFormat="1" applyFont="1" applyFill="1" applyBorder="1" applyAlignment="1">
      <alignment horizontal="center" vertical="center"/>
    </xf>
    <xf numFmtId="1" fontId="7" fillId="17" borderId="2" xfId="28" applyNumberFormat="1" applyFont="1" applyFill="1" applyBorder="1" applyAlignment="1">
      <alignment horizontal="center" vertical="center"/>
    </xf>
    <xf numFmtId="0" fontId="7" fillId="17" borderId="2" xfId="28" applyNumberFormat="1" applyFont="1" applyFill="1" applyBorder="1" applyAlignment="1">
      <alignment horizontal="center" vertical="center"/>
    </xf>
    <xf numFmtId="167" fontId="7" fillId="17" borderId="2" xfId="28" applyNumberFormat="1" applyFont="1" applyFill="1" applyBorder="1" applyAlignment="1">
      <alignment horizontal="right" vertical="center"/>
    </xf>
    <xf numFmtId="167" fontId="44" fillId="17" borderId="2" xfId="28" applyNumberFormat="1" applyFont="1" applyFill="1" applyBorder="1" applyAlignment="1">
      <alignment horizontal="center" vertical="center"/>
    </xf>
    <xf numFmtId="4" fontId="7" fillId="17" borderId="32" xfId="28" applyNumberFormat="1" applyFont="1" applyFill="1" applyBorder="1" applyAlignment="1">
      <alignment vertical="center"/>
    </xf>
    <xf numFmtId="4" fontId="7" fillId="0" borderId="0" xfId="28" applyFont="1" applyFill="1" applyAlignment="1">
      <alignment vertical="center"/>
    </xf>
    <xf numFmtId="3" fontId="7" fillId="0" borderId="31" xfId="28" applyNumberFormat="1" applyFont="1" applyFill="1" applyBorder="1" applyAlignment="1">
      <alignment horizontal="center" vertical="center"/>
    </xf>
    <xf numFmtId="1" fontId="7" fillId="0" borderId="2" xfId="28" applyNumberFormat="1" applyFont="1" applyFill="1" applyBorder="1" applyAlignment="1">
      <alignment horizontal="center" vertical="center"/>
    </xf>
    <xf numFmtId="4" fontId="7" fillId="0" borderId="2" xfId="28" applyNumberFormat="1" applyFont="1" applyFill="1" applyBorder="1" applyAlignment="1">
      <alignment horizontal="center" vertical="center"/>
    </xf>
    <xf numFmtId="0" fontId="7" fillId="0" borderId="2" xfId="28" applyNumberFormat="1" applyFont="1" applyFill="1" applyBorder="1" applyAlignment="1">
      <alignment horizontal="center" vertical="center"/>
    </xf>
    <xf numFmtId="4" fontId="7" fillId="0" borderId="32" xfId="28" applyNumberFormat="1" applyFont="1" applyFill="1" applyBorder="1" applyAlignment="1">
      <alignment horizontal="right" vertical="center"/>
    </xf>
    <xf numFmtId="4" fontId="7" fillId="17" borderId="32" xfId="28" applyNumberFormat="1" applyFont="1" applyFill="1" applyBorder="1" applyAlignment="1">
      <alignment horizontal="right" vertical="center"/>
    </xf>
    <xf numFmtId="3" fontId="7" fillId="0" borderId="38" xfId="28" applyNumberFormat="1" applyFont="1" applyFill="1" applyBorder="1" applyAlignment="1">
      <alignment horizontal="center" vertical="center"/>
    </xf>
    <xf numFmtId="4" fontId="7" fillId="0" borderId="5" xfId="28" applyNumberFormat="1" applyFont="1" applyFill="1" applyBorder="1" applyAlignment="1">
      <alignment horizontal="center" vertical="center"/>
    </xf>
    <xf numFmtId="1" fontId="7" fillId="0" borderId="5" xfId="28" applyNumberFormat="1" applyFont="1" applyFill="1" applyBorder="1" applyAlignment="1">
      <alignment horizontal="center" vertical="center"/>
    </xf>
    <xf numFmtId="0" fontId="7" fillId="0" borderId="5" xfId="28" applyNumberFormat="1" applyFont="1" applyFill="1" applyBorder="1" applyAlignment="1">
      <alignment horizontal="center" vertical="center"/>
    </xf>
    <xf numFmtId="4" fontId="7" fillId="0" borderId="41" xfId="28" applyNumberFormat="1" applyFont="1" applyFill="1" applyBorder="1" applyAlignment="1">
      <alignment horizontal="right" vertical="center"/>
    </xf>
    <xf numFmtId="3" fontId="7" fillId="17" borderId="33" xfId="28" applyNumberFormat="1" applyFont="1" applyFill="1" applyBorder="1" applyAlignment="1">
      <alignment horizontal="center" vertical="center"/>
    </xf>
    <xf numFmtId="4" fontId="7" fillId="17" borderId="24" xfId="28" applyNumberFormat="1" applyFont="1" applyFill="1" applyBorder="1" applyAlignment="1">
      <alignment horizontal="center" vertical="center"/>
    </xf>
    <xf numFmtId="167" fontId="7" fillId="17" borderId="24" xfId="28" applyNumberFormat="1" applyFont="1" applyFill="1" applyBorder="1" applyAlignment="1">
      <alignment horizontal="right" vertical="center"/>
    </xf>
    <xf numFmtId="167" fontId="44" fillId="17" borderId="24" xfId="28" applyNumberFormat="1" applyFont="1" applyFill="1" applyBorder="1" applyAlignment="1">
      <alignment horizontal="center" vertical="center"/>
    </xf>
    <xf numFmtId="4" fontId="7" fillId="17" borderId="44" xfId="28" applyNumberFormat="1" applyFont="1" applyFill="1" applyBorder="1" applyAlignment="1">
      <alignment horizontal="right" vertical="center"/>
    </xf>
    <xf numFmtId="4" fontId="57" fillId="0" borderId="0" xfId="28" applyBorder="1" applyAlignment="1">
      <alignment vertical="center"/>
    </xf>
    <xf numFmtId="167" fontId="5" fillId="0" borderId="37" xfId="28" applyNumberFormat="1" applyFont="1" applyBorder="1" applyAlignment="1">
      <alignment horizontal="right" vertical="center"/>
    </xf>
    <xf numFmtId="167" fontId="44" fillId="0" borderId="37" xfId="28" applyNumberFormat="1" applyFont="1" applyBorder="1" applyAlignment="1">
      <alignment horizontal="right" vertical="center"/>
    </xf>
    <xf numFmtId="4" fontId="57" fillId="0" borderId="0" xfId="28" applyAlignment="1">
      <alignment vertical="center"/>
    </xf>
    <xf numFmtId="4" fontId="57" fillId="0" borderId="0" xfId="28" applyBorder="1" applyAlignment="1"/>
    <xf numFmtId="1" fontId="57" fillId="0" borderId="0" xfId="28" applyNumberFormat="1" applyBorder="1"/>
    <xf numFmtId="4" fontId="57" fillId="0" borderId="0" xfId="28" applyBorder="1" applyAlignment="1">
      <alignment horizontal="center"/>
    </xf>
    <xf numFmtId="4" fontId="56" fillId="0" borderId="0" xfId="28" applyFont="1" applyBorder="1"/>
    <xf numFmtId="4" fontId="57" fillId="0" borderId="0" xfId="28" applyAlignment="1"/>
    <xf numFmtId="1" fontId="57" fillId="0" borderId="0" xfId="28" applyNumberFormat="1" applyBorder="1" applyAlignment="1"/>
    <xf numFmtId="4" fontId="57" fillId="0" borderId="29" xfId="28" applyBorder="1" applyAlignment="1"/>
    <xf numFmtId="4" fontId="57" fillId="0" borderId="14" xfId="28" applyBorder="1" applyAlignment="1"/>
    <xf numFmtId="4" fontId="57" fillId="0" borderId="30" xfId="28" applyBorder="1" applyAlignment="1"/>
    <xf numFmtId="4" fontId="57" fillId="0" borderId="15" xfId="28" applyBorder="1" applyAlignment="1"/>
    <xf numFmtId="4" fontId="57" fillId="0" borderId="16" xfId="28" applyBorder="1" applyAlignment="1"/>
    <xf numFmtId="4" fontId="57" fillId="0" borderId="36" xfId="28" applyBorder="1" applyAlignment="1"/>
    <xf numFmtId="4" fontId="57" fillId="0" borderId="34" xfId="28" applyBorder="1" applyAlignment="1"/>
    <xf numFmtId="4" fontId="57" fillId="0" borderId="35" xfId="28" applyBorder="1" applyAlignment="1"/>
    <xf numFmtId="4" fontId="5" fillId="0" borderId="0" xfId="28" applyFont="1" applyAlignment="1"/>
    <xf numFmtId="1" fontId="5" fillId="0" borderId="0" xfId="28" applyNumberFormat="1" applyFont="1" applyAlignment="1"/>
    <xf numFmtId="4" fontId="5" fillId="0" borderId="0" xfId="28" applyFont="1" applyAlignment="1">
      <alignment horizontal="left"/>
    </xf>
    <xf numFmtId="4" fontId="44" fillId="0" borderId="0" xfId="28" applyFont="1" applyAlignment="1"/>
    <xf numFmtId="1" fontId="57" fillId="0" borderId="0" xfId="28" applyNumberFormat="1" applyAlignment="1"/>
    <xf numFmtId="4" fontId="56" fillId="0" borderId="0" xfId="28" applyFont="1" applyAlignment="1"/>
    <xf numFmtId="4" fontId="5" fillId="0" borderId="19" xfId="28" applyFont="1" applyBorder="1" applyAlignment="1">
      <alignment vertical="center"/>
    </xf>
    <xf numFmtId="3" fontId="55" fillId="3" borderId="37" xfId="25" applyFont="1" applyFill="1" applyBorder="1" applyAlignment="1">
      <alignment horizontal="center" vertical="center"/>
    </xf>
    <xf numFmtId="3" fontId="7" fillId="0" borderId="0" xfId="25" applyAlignment="1">
      <alignment horizontal="left" vertical="center"/>
    </xf>
    <xf numFmtId="171" fontId="23" fillId="12" borderId="61" xfId="0" applyNumberFormat="1" applyFont="1" applyFill="1" applyBorder="1" applyAlignment="1">
      <alignment horizontal="center" vertical="center"/>
    </xf>
    <xf numFmtId="164" fontId="13" fillId="12" borderId="63" xfId="2" applyNumberFormat="1" applyFont="1" applyFill="1" applyBorder="1" applyAlignment="1">
      <alignment vertical="center"/>
    </xf>
    <xf numFmtId="0" fontId="0" fillId="2" borderId="14" xfId="0" applyFont="1" applyFill="1" applyBorder="1" applyAlignment="1">
      <alignment horizontal="right" vertical="center"/>
    </xf>
    <xf numFmtId="3" fontId="5" fillId="0" borderId="0" xfId="25" applyFont="1" applyFill="1" applyBorder="1" applyAlignment="1"/>
    <xf numFmtId="3" fontId="7" fillId="0" borderId="0" xfId="25" applyFill="1" applyBorder="1" applyAlignment="1"/>
    <xf numFmtId="3" fontId="5" fillId="0" borderId="12" xfId="28" applyNumberFormat="1" applyFont="1" applyBorder="1" applyAlignment="1">
      <alignment horizontal="center" vertical="center"/>
    </xf>
    <xf numFmtId="167" fontId="5" fillId="0" borderId="35" xfId="28" applyNumberFormat="1" applyFont="1" applyBorder="1" applyAlignment="1">
      <alignment horizontal="right" vertical="center"/>
    </xf>
    <xf numFmtId="4" fontId="7" fillId="17" borderId="5" xfId="28" applyNumberFormat="1" applyFont="1" applyFill="1" applyBorder="1" applyAlignment="1">
      <alignment horizontal="center" vertical="center"/>
    </xf>
    <xf numFmtId="1" fontId="7" fillId="17" borderId="5" xfId="28" applyNumberFormat="1" applyFont="1" applyFill="1" applyBorder="1" applyAlignment="1">
      <alignment horizontal="center" vertical="center"/>
    </xf>
    <xf numFmtId="0" fontId="7" fillId="17" borderId="5" xfId="28" applyNumberFormat="1" applyFont="1" applyFill="1" applyBorder="1" applyAlignment="1">
      <alignment horizontal="center" vertical="center"/>
    </xf>
    <xf numFmtId="0" fontId="62" fillId="2" borderId="0" xfId="0" applyFont="1" applyFill="1" applyBorder="1" applyAlignment="1">
      <alignment vertical="center"/>
    </xf>
    <xf numFmtId="0" fontId="33" fillId="2" borderId="66" xfId="0" applyFont="1" applyFill="1" applyBorder="1" applyAlignment="1">
      <alignment horizontal="right" vertical="center"/>
    </xf>
    <xf numFmtId="164" fontId="13" fillId="12" borderId="68" xfId="2" applyNumberFormat="1" applyFont="1" applyFill="1" applyBorder="1" applyAlignment="1">
      <alignment vertical="center"/>
    </xf>
    <xf numFmtId="0" fontId="33" fillId="2" borderId="70" xfId="0" applyFont="1" applyFill="1" applyBorder="1" applyAlignment="1">
      <alignment horizontal="right" vertical="center"/>
    </xf>
    <xf numFmtId="0" fontId="23" fillId="2" borderId="53" xfId="0" applyFont="1" applyFill="1" applyBorder="1" applyAlignment="1">
      <alignment vertical="center"/>
    </xf>
    <xf numFmtId="0" fontId="13" fillId="12" borderId="71" xfId="0" applyFont="1" applyFill="1" applyBorder="1" applyAlignment="1">
      <alignment vertical="center"/>
    </xf>
    <xf numFmtId="0" fontId="13" fillId="2" borderId="72" xfId="0" applyFont="1" applyFill="1" applyBorder="1" applyAlignment="1">
      <alignment horizontal="right" vertical="center"/>
    </xf>
    <xf numFmtId="0" fontId="13" fillId="12" borderId="66" xfId="0" applyFont="1" applyFill="1" applyBorder="1" applyAlignment="1">
      <alignment vertical="center" wrapText="1"/>
    </xf>
    <xf numFmtId="0" fontId="0" fillId="2" borderId="67" xfId="0" applyFont="1" applyFill="1" applyBorder="1" applyAlignment="1">
      <alignment vertical="center"/>
    </xf>
    <xf numFmtId="174" fontId="14" fillId="0" borderId="75" xfId="2" applyNumberFormat="1" applyFont="1" applyFill="1" applyBorder="1" applyAlignment="1">
      <alignment horizontal="center" vertical="center"/>
    </xf>
    <xf numFmtId="0" fontId="13" fillId="2" borderId="19" xfId="0" applyFont="1" applyFill="1" applyBorder="1" applyAlignment="1">
      <alignment vertical="center"/>
    </xf>
    <xf numFmtId="0" fontId="23" fillId="2" borderId="19" xfId="0" applyFont="1" applyFill="1" applyBorder="1" applyAlignment="1">
      <alignment vertical="center"/>
    </xf>
    <xf numFmtId="0" fontId="0" fillId="0" borderId="19" xfId="0" applyBorder="1"/>
    <xf numFmtId="0" fontId="0" fillId="0" borderId="12" xfId="0" applyBorder="1"/>
    <xf numFmtId="0" fontId="23" fillId="2" borderId="12" xfId="0" applyFont="1" applyFill="1" applyBorder="1" applyAlignment="1">
      <alignment vertical="center"/>
    </xf>
    <xf numFmtId="2" fontId="23" fillId="2" borderId="19" xfId="0" applyNumberFormat="1" applyFont="1" applyFill="1" applyBorder="1" applyAlignment="1">
      <alignment vertical="center"/>
    </xf>
    <xf numFmtId="0" fontId="20" fillId="0" borderId="12" xfId="0" applyFont="1" applyBorder="1"/>
    <xf numFmtId="0" fontId="13" fillId="2" borderId="12" xfId="0" applyFont="1" applyFill="1" applyBorder="1" applyAlignment="1">
      <alignment vertical="center"/>
    </xf>
    <xf numFmtId="0" fontId="13" fillId="2" borderId="5" xfId="0" applyFont="1" applyFill="1" applyBorder="1" applyAlignment="1">
      <alignment vertical="center"/>
    </xf>
    <xf numFmtId="0" fontId="24" fillId="2" borderId="55" xfId="0" applyFont="1" applyFill="1" applyBorder="1" applyAlignment="1">
      <alignment vertical="center"/>
    </xf>
    <xf numFmtId="0" fontId="47" fillId="2" borderId="0" xfId="0" applyNumberFormat="1" applyFont="1" applyFill="1" applyBorder="1" applyAlignment="1">
      <alignment horizontal="left" vertical="center"/>
    </xf>
    <xf numFmtId="170" fontId="47" fillId="2" borderId="0" xfId="0" applyNumberFormat="1" applyFont="1" applyFill="1" applyBorder="1" applyAlignment="1">
      <alignment vertical="center"/>
    </xf>
    <xf numFmtId="166" fontId="47" fillId="2" borderId="0" xfId="0" applyNumberFormat="1" applyFont="1" applyFill="1" applyBorder="1" applyAlignment="1">
      <alignment vertical="center"/>
    </xf>
    <xf numFmtId="173" fontId="47" fillId="2" borderId="0" xfId="1" applyNumberFormat="1" applyFont="1" applyFill="1" applyBorder="1" applyAlignment="1">
      <alignment vertical="center"/>
    </xf>
    <xf numFmtId="164" fontId="62" fillId="2" borderId="0" xfId="2" applyNumberFormat="1" applyFont="1" applyFill="1" applyBorder="1" applyAlignment="1">
      <alignment vertical="center"/>
    </xf>
    <xf numFmtId="170" fontId="12" fillId="2" borderId="0" xfId="0" applyNumberFormat="1" applyFont="1" applyFill="1" applyBorder="1" applyAlignment="1">
      <alignment vertical="center"/>
    </xf>
    <xf numFmtId="0" fontId="15" fillId="2" borderId="18" xfId="0" applyFont="1" applyFill="1" applyBorder="1" applyAlignment="1">
      <alignment horizontal="center" vertical="center"/>
    </xf>
    <xf numFmtId="0" fontId="0" fillId="2" borderId="52" xfId="0" applyFont="1" applyFill="1" applyBorder="1" applyAlignment="1">
      <alignment vertical="center"/>
    </xf>
    <xf numFmtId="0" fontId="0" fillId="12" borderId="69" xfId="0" applyFont="1" applyFill="1" applyBorder="1" applyAlignment="1" applyProtection="1">
      <alignment horizontal="right" vertical="center"/>
      <protection locked="0"/>
    </xf>
    <xf numFmtId="0" fontId="0" fillId="12" borderId="79" xfId="0" applyFont="1" applyFill="1" applyBorder="1" applyAlignment="1" applyProtection="1">
      <alignment horizontal="right" vertical="center"/>
      <protection locked="0"/>
    </xf>
    <xf numFmtId="0" fontId="0" fillId="0" borderId="80" xfId="0" applyFont="1" applyFill="1" applyBorder="1" applyAlignment="1" applyProtection="1">
      <alignment horizontal="right" vertical="center"/>
      <protection locked="0"/>
    </xf>
    <xf numFmtId="173" fontId="13" fillId="12" borderId="81" xfId="0" applyNumberFormat="1" applyFont="1" applyFill="1" applyBorder="1" applyAlignment="1" applyProtection="1">
      <alignment horizontal="center" vertical="center"/>
      <protection locked="0"/>
    </xf>
    <xf numFmtId="174" fontId="9" fillId="2" borderId="82" xfId="2" applyNumberFormat="1" applyFont="1" applyFill="1" applyBorder="1" applyAlignment="1">
      <alignment horizontal="right" vertical="center"/>
    </xf>
    <xf numFmtId="0" fontId="13" fillId="2" borderId="0" xfId="0" applyFont="1" applyFill="1" applyBorder="1" applyAlignment="1">
      <alignment horizontal="center" vertical="center"/>
    </xf>
    <xf numFmtId="177" fontId="13" fillId="12" borderId="66" xfId="2" applyNumberFormat="1" applyFont="1" applyFill="1" applyBorder="1" applyAlignment="1">
      <alignment horizontal="center" vertical="center"/>
    </xf>
    <xf numFmtId="177" fontId="13" fillId="12" borderId="54" xfId="2" applyNumberFormat="1" applyFont="1" applyFill="1" applyBorder="1" applyAlignment="1">
      <alignment horizontal="center" vertical="center"/>
    </xf>
    <xf numFmtId="177" fontId="13" fillId="12" borderId="67" xfId="2" applyNumberFormat="1" applyFont="1" applyFill="1" applyBorder="1" applyAlignment="1">
      <alignment horizontal="center" vertical="center"/>
    </xf>
    <xf numFmtId="168" fontId="56" fillId="4" borderId="2" xfId="28" applyNumberFormat="1" applyFont="1" applyFill="1" applyBorder="1" applyAlignment="1">
      <alignment horizontal="right" vertical="center"/>
    </xf>
    <xf numFmtId="168" fontId="7" fillId="4" borderId="2" xfId="28" applyNumberFormat="1" applyFont="1" applyFill="1" applyBorder="1" applyAlignment="1">
      <alignment horizontal="right" vertical="center"/>
    </xf>
    <xf numFmtId="164" fontId="63" fillId="12" borderId="14" xfId="2" applyNumberFormat="1" applyFont="1" applyFill="1" applyBorder="1" applyAlignment="1" applyProtection="1">
      <alignment horizontal="center" vertical="center" wrapText="1"/>
      <protection locked="0"/>
    </xf>
    <xf numFmtId="164" fontId="63" fillId="12" borderId="0" xfId="2" applyNumberFormat="1" applyFont="1" applyFill="1" applyBorder="1" applyAlignment="1" applyProtection="1">
      <alignment horizontal="center" vertical="center"/>
      <protection locked="0"/>
    </xf>
    <xf numFmtId="164" fontId="63" fillId="12" borderId="34" xfId="2" applyNumberFormat="1" applyFont="1" applyFill="1" applyBorder="1" applyAlignment="1" applyProtection="1">
      <alignment horizontal="center" vertical="center"/>
      <protection locked="0"/>
    </xf>
    <xf numFmtId="0" fontId="23" fillId="2" borderId="0" xfId="0" applyFont="1" applyFill="1" applyBorder="1" applyAlignment="1">
      <alignment horizontal="center" vertical="center"/>
    </xf>
    <xf numFmtId="0" fontId="9" fillId="2" borderId="18" xfId="0" applyFont="1" applyFill="1" applyBorder="1" applyAlignment="1">
      <alignment horizontal="center" vertical="center"/>
    </xf>
    <xf numFmtId="0" fontId="9" fillId="2" borderId="29" xfId="0" applyFont="1" applyFill="1" applyBorder="1" applyAlignment="1">
      <alignment horizontal="center" vertical="center"/>
    </xf>
    <xf numFmtId="0" fontId="9" fillId="2" borderId="14" xfId="0" applyFont="1" applyFill="1" applyBorder="1" applyAlignment="1">
      <alignment horizontal="center" vertical="center"/>
    </xf>
    <xf numFmtId="15" fontId="9" fillId="2" borderId="0" xfId="0" applyNumberFormat="1" applyFont="1" applyFill="1" applyBorder="1" applyAlignment="1">
      <alignment horizontal="left" vertical="center"/>
    </xf>
    <xf numFmtId="0" fontId="23" fillId="2" borderId="14" xfId="0" applyFont="1" applyFill="1" applyBorder="1"/>
    <xf numFmtId="0" fontId="23" fillId="2" borderId="30" xfId="0" applyFont="1" applyFill="1" applyBorder="1"/>
    <xf numFmtId="0" fontId="23" fillId="2" borderId="0" xfId="0" applyFont="1" applyFill="1" applyBorder="1"/>
    <xf numFmtId="0" fontId="23" fillId="2" borderId="16" xfId="0" applyFont="1" applyFill="1" applyBorder="1"/>
    <xf numFmtId="0" fontId="23" fillId="2" borderId="15" xfId="0" applyFont="1" applyFill="1" applyBorder="1"/>
    <xf numFmtId="0" fontId="9" fillId="2" borderId="0" xfId="0" applyFont="1" applyFill="1" applyBorder="1"/>
    <xf numFmtId="0" fontId="23" fillId="2" borderId="36" xfId="0" applyFont="1" applyFill="1" applyBorder="1"/>
    <xf numFmtId="0" fontId="23" fillId="2" borderId="34" xfId="0" applyFont="1" applyFill="1" applyBorder="1" applyAlignment="1">
      <alignment vertical="top"/>
    </xf>
    <xf numFmtId="0" fontId="9" fillId="2" borderId="34" xfId="0" applyFont="1" applyFill="1" applyBorder="1" applyAlignment="1">
      <alignment horizontal="center"/>
    </xf>
    <xf numFmtId="0" fontId="23" fillId="2" borderId="34" xfId="0" applyFont="1" applyFill="1" applyBorder="1"/>
    <xf numFmtId="0" fontId="9" fillId="2" borderId="34" xfId="0" applyFont="1" applyFill="1" applyBorder="1"/>
    <xf numFmtId="0" fontId="23" fillId="2" borderId="35" xfId="0" applyFont="1" applyFill="1" applyBorder="1"/>
    <xf numFmtId="0" fontId="23" fillId="2" borderId="0" xfId="0" applyFont="1" applyFill="1"/>
    <xf numFmtId="0" fontId="9" fillId="2" borderId="0" xfId="0" applyFont="1" applyFill="1" applyBorder="1" applyAlignment="1">
      <alignment horizontal="left"/>
    </xf>
    <xf numFmtId="0" fontId="23" fillId="2" borderId="0" xfId="0" applyFont="1" applyFill="1" applyBorder="1" applyAlignment="1">
      <alignment horizontal="right"/>
    </xf>
    <xf numFmtId="0" fontId="64" fillId="2" borderId="0" xfId="0" applyFont="1" applyFill="1" applyAlignment="1"/>
    <xf numFmtId="0" fontId="9" fillId="2" borderId="0" xfId="0" applyFont="1" applyFill="1" applyAlignment="1">
      <alignment horizontal="center" vertical="center"/>
    </xf>
    <xf numFmtId="0" fontId="65" fillId="2" borderId="0" xfId="0" applyFont="1" applyFill="1"/>
    <xf numFmtId="0" fontId="9" fillId="2" borderId="12" xfId="0" applyFont="1" applyFill="1" applyBorder="1" applyAlignment="1">
      <alignment horizontal="center"/>
    </xf>
    <xf numFmtId="0" fontId="9" fillId="2" borderId="18" xfId="0" applyFont="1" applyFill="1" applyBorder="1" applyAlignment="1">
      <alignment horizontal="center"/>
    </xf>
    <xf numFmtId="170" fontId="9" fillId="2" borderId="0" xfId="0" applyNumberFormat="1" applyFont="1" applyFill="1" applyBorder="1" applyAlignment="1">
      <alignment horizontal="center"/>
    </xf>
    <xf numFmtId="170" fontId="23" fillId="2" borderId="0" xfId="0" applyNumberFormat="1" applyFont="1" applyFill="1" applyBorder="1"/>
    <xf numFmtId="170" fontId="23" fillId="2" borderId="0" xfId="0" applyNumberFormat="1" applyFont="1" applyFill="1" applyBorder="1" applyAlignment="1">
      <alignment horizontal="center"/>
    </xf>
    <xf numFmtId="0" fontId="23" fillId="2" borderId="0" xfId="0" applyFont="1" applyFill="1" applyBorder="1" applyAlignment="1">
      <alignment horizontal="left"/>
    </xf>
    <xf numFmtId="170" fontId="23" fillId="2" borderId="0" xfId="0" applyNumberFormat="1" applyFont="1" applyFill="1" applyBorder="1" applyAlignment="1">
      <alignment horizontal="right"/>
    </xf>
    <xf numFmtId="0" fontId="23" fillId="2" borderId="15" xfId="0" applyFont="1" applyFill="1" applyBorder="1" applyAlignment="1">
      <alignment horizontal="left"/>
    </xf>
    <xf numFmtId="0" fontId="23" fillId="2" borderId="0" xfId="0" applyFont="1" applyFill="1" applyBorder="1" applyAlignment="1">
      <alignment horizontal="center"/>
    </xf>
    <xf numFmtId="0" fontId="23" fillId="2" borderId="34" xfId="0" applyFont="1" applyFill="1" applyBorder="1" applyAlignment="1">
      <alignment horizontal="center"/>
    </xf>
    <xf numFmtId="170" fontId="23" fillId="2" borderId="35" xfId="0" applyNumberFormat="1" applyFont="1" applyFill="1" applyBorder="1" applyAlignment="1">
      <alignment horizontal="right"/>
    </xf>
    <xf numFmtId="170" fontId="9" fillId="2" borderId="0" xfId="0" applyNumberFormat="1" applyFont="1" applyFill="1" applyBorder="1" applyAlignment="1">
      <alignment horizontal="right" vertical="center"/>
    </xf>
    <xf numFmtId="170" fontId="9" fillId="2" borderId="14" xfId="0" applyNumberFormat="1" applyFont="1" applyFill="1" applyBorder="1" applyAlignment="1">
      <alignment horizontal="right" vertical="center"/>
    </xf>
    <xf numFmtId="0" fontId="23" fillId="2" borderId="14" xfId="0" applyFont="1" applyFill="1" applyBorder="1" applyAlignment="1">
      <alignment horizontal="center" vertical="center"/>
    </xf>
    <xf numFmtId="170" fontId="9" fillId="2" borderId="30" xfId="0" applyNumberFormat="1" applyFont="1" applyFill="1" applyBorder="1" applyAlignment="1">
      <alignment horizontal="right" vertical="center"/>
    </xf>
    <xf numFmtId="0" fontId="9" fillId="2" borderId="0" xfId="0" applyFont="1" applyFill="1" applyBorder="1" applyAlignment="1">
      <alignment horizontal="center" vertical="center"/>
    </xf>
    <xf numFmtId="170" fontId="23" fillId="2" borderId="15" xfId="0" applyNumberFormat="1" applyFont="1" applyFill="1" applyBorder="1" applyAlignment="1">
      <alignment horizontal="left" vertical="center"/>
    </xf>
    <xf numFmtId="170" fontId="23" fillId="2" borderId="0" xfId="0" applyNumberFormat="1" applyFont="1" applyFill="1" applyBorder="1" applyAlignment="1">
      <alignment horizontal="right" vertical="center"/>
    </xf>
    <xf numFmtId="170" fontId="9" fillId="2" borderId="16" xfId="0" applyNumberFormat="1" applyFont="1" applyFill="1" applyBorder="1" applyAlignment="1">
      <alignment horizontal="right" vertical="center"/>
    </xf>
    <xf numFmtId="0" fontId="9" fillId="2" borderId="15" xfId="0" applyFont="1" applyFill="1" applyBorder="1" applyAlignment="1">
      <alignment horizontal="center" vertical="center"/>
    </xf>
    <xf numFmtId="0" fontId="9" fillId="2" borderId="36" xfId="0" applyFont="1" applyFill="1" applyBorder="1" applyAlignment="1">
      <alignment horizontal="center" vertical="center"/>
    </xf>
    <xf numFmtId="0" fontId="9" fillId="2" borderId="34" xfId="0" applyFont="1" applyFill="1" applyBorder="1" applyAlignment="1">
      <alignment horizontal="center" vertical="center"/>
    </xf>
    <xf numFmtId="170" fontId="9" fillId="2" borderId="34" xfId="0" applyNumberFormat="1" applyFont="1" applyFill="1" applyBorder="1" applyAlignment="1">
      <alignment horizontal="right" vertical="center"/>
    </xf>
    <xf numFmtId="0" fontId="23" fillId="2" borderId="34" xfId="0" applyFont="1" applyFill="1" applyBorder="1" applyAlignment="1">
      <alignment horizontal="center" vertical="center"/>
    </xf>
    <xf numFmtId="170" fontId="9" fillId="2" borderId="35" xfId="0" applyNumberFormat="1" applyFont="1" applyFill="1" applyBorder="1" applyAlignment="1">
      <alignment horizontal="right" vertical="center"/>
    </xf>
    <xf numFmtId="0" fontId="23" fillId="2" borderId="29" xfId="0" applyFont="1" applyFill="1" applyBorder="1"/>
    <xf numFmtId="0" fontId="23" fillId="2" borderId="16" xfId="0" applyFont="1" applyFill="1" applyBorder="1" applyAlignment="1">
      <alignment horizontal="right"/>
    </xf>
    <xf numFmtId="0" fontId="9" fillId="2" borderId="19" xfId="0" applyFont="1" applyFill="1" applyBorder="1" applyAlignment="1">
      <alignment horizontal="center"/>
    </xf>
    <xf numFmtId="0" fontId="9" fillId="2" borderId="0" xfId="0" applyFont="1" applyFill="1" applyBorder="1" applyAlignment="1">
      <alignment horizontal="center"/>
    </xf>
    <xf numFmtId="0" fontId="17" fillId="2" borderId="0" xfId="0" applyFont="1" applyFill="1" applyBorder="1"/>
    <xf numFmtId="3" fontId="23" fillId="2" borderId="0" xfId="0" applyNumberFormat="1" applyFont="1" applyFill="1" applyBorder="1"/>
    <xf numFmtId="49" fontId="23" fillId="2" borderId="0" xfId="0" applyNumberFormat="1" applyFont="1" applyFill="1" applyBorder="1"/>
    <xf numFmtId="0" fontId="65" fillId="2" borderId="15" xfId="0" applyFont="1" applyFill="1" applyBorder="1"/>
    <xf numFmtId="0" fontId="65" fillId="2" borderId="16" xfId="0" applyFont="1" applyFill="1" applyBorder="1"/>
    <xf numFmtId="0" fontId="31" fillId="2" borderId="0" xfId="0" applyFont="1" applyFill="1" applyBorder="1" applyAlignment="1">
      <alignment horizontal="left" vertical="center" wrapText="1"/>
    </xf>
    <xf numFmtId="0" fontId="23" fillId="2" borderId="0" xfId="0" applyFont="1" applyFill="1" applyBorder="1" applyAlignment="1">
      <alignment horizontal="left"/>
    </xf>
    <xf numFmtId="0" fontId="23" fillId="2" borderId="15" xfId="0" applyFont="1" applyFill="1" applyBorder="1" applyAlignment="1">
      <alignment horizontal="left"/>
    </xf>
    <xf numFmtId="170" fontId="23" fillId="2" borderId="35" xfId="0" applyNumberFormat="1" applyFont="1" applyFill="1" applyBorder="1" applyAlignment="1">
      <alignment horizontal="right"/>
    </xf>
    <xf numFmtId="0" fontId="67" fillId="2" borderId="0" xfId="0" applyFont="1" applyFill="1" applyBorder="1"/>
    <xf numFmtId="0" fontId="68" fillId="2" borderId="0" xfId="0" applyFont="1" applyFill="1" applyBorder="1"/>
    <xf numFmtId="0" fontId="31" fillId="2" borderId="34" xfId="0" applyFont="1" applyFill="1" applyBorder="1" applyAlignment="1">
      <alignment horizontal="left" vertical="center" wrapText="1"/>
    </xf>
    <xf numFmtId="0" fontId="23" fillId="2" borderId="18" xfId="0" applyFont="1" applyFill="1" applyBorder="1"/>
    <xf numFmtId="0" fontId="23" fillId="2" borderId="78" xfId="0" applyFont="1" applyFill="1" applyBorder="1"/>
    <xf numFmtId="0" fontId="69" fillId="2" borderId="15" xfId="0" applyFont="1" applyFill="1" applyBorder="1" applyAlignment="1">
      <alignment horizontal="left" vertical="center"/>
    </xf>
    <xf numFmtId="0" fontId="69" fillId="2" borderId="0" xfId="0" applyFont="1" applyFill="1" applyBorder="1" applyAlignment="1">
      <alignment horizontal="left" vertical="center"/>
    </xf>
    <xf numFmtId="0" fontId="69" fillId="2" borderId="16" xfId="0" applyFont="1" applyFill="1" applyBorder="1" applyAlignment="1">
      <alignment horizontal="left" vertical="center"/>
    </xf>
    <xf numFmtId="0" fontId="69" fillId="2" borderId="14" xfId="0" applyFont="1" applyFill="1" applyBorder="1" applyAlignment="1">
      <alignment horizontal="center"/>
    </xf>
    <xf numFmtId="0" fontId="69" fillId="2" borderId="30" xfId="0" applyFont="1" applyFill="1" applyBorder="1" applyAlignment="1">
      <alignment horizontal="center"/>
    </xf>
    <xf numFmtId="0" fontId="66" fillId="2" borderId="0" xfId="3" applyFont="1" applyFill="1" applyBorder="1" applyAlignment="1">
      <alignment horizontal="left"/>
    </xf>
    <xf numFmtId="0" fontId="69" fillId="2" borderId="29" xfId="0" applyFont="1" applyFill="1" applyBorder="1" applyAlignment="1"/>
    <xf numFmtId="0" fontId="9" fillId="2" borderId="19" xfId="0" applyFont="1" applyFill="1" applyBorder="1"/>
    <xf numFmtId="170" fontId="23" fillId="2" borderId="0" xfId="0" applyNumberFormat="1" applyFont="1" applyFill="1"/>
    <xf numFmtId="3" fontId="23" fillId="2" borderId="34" xfId="0" applyNumberFormat="1" applyFont="1" applyFill="1" applyBorder="1" applyAlignment="1">
      <alignment horizontal="left"/>
    </xf>
    <xf numFmtId="0" fontId="23" fillId="2" borderId="36" xfId="0" applyFont="1" applyFill="1" applyBorder="1" applyAlignment="1">
      <alignment horizontal="right"/>
    </xf>
    <xf numFmtId="0" fontId="23" fillId="2" borderId="34" xfId="0" applyFont="1" applyFill="1" applyBorder="1" applyAlignment="1">
      <alignment horizontal="right"/>
    </xf>
    <xf numFmtId="0" fontId="23" fillId="2" borderId="36" xfId="0" applyFont="1" applyFill="1" applyBorder="1" applyAlignment="1">
      <alignment horizontal="left"/>
    </xf>
    <xf numFmtId="0" fontId="23" fillId="2" borderId="34" xfId="0" applyFont="1" applyFill="1" applyBorder="1" applyAlignment="1">
      <alignment horizontal="left"/>
    </xf>
    <xf numFmtId="0" fontId="23" fillId="2" borderId="29" xfId="0" applyFont="1" applyFill="1" applyBorder="1" applyAlignment="1">
      <alignment horizontal="left"/>
    </xf>
    <xf numFmtId="0" fontId="23" fillId="2" borderId="14" xfId="0" applyFont="1" applyFill="1" applyBorder="1" applyAlignment="1">
      <alignment horizontal="left"/>
    </xf>
    <xf numFmtId="0" fontId="23" fillId="2" borderId="14" xfId="0" applyFont="1" applyFill="1" applyBorder="1" applyAlignment="1">
      <alignment horizontal="right"/>
    </xf>
    <xf numFmtId="0" fontId="23" fillId="2" borderId="30" xfId="0" applyFont="1" applyFill="1" applyBorder="1" applyAlignment="1">
      <alignment horizontal="right"/>
    </xf>
    <xf numFmtId="0" fontId="70" fillId="2" borderId="0" xfId="0" applyFont="1" applyFill="1" applyBorder="1" applyAlignment="1">
      <alignment horizontal="left"/>
    </xf>
    <xf numFmtId="0" fontId="17" fillId="2" borderId="16" xfId="0" applyFont="1" applyFill="1" applyBorder="1" applyAlignment="1">
      <alignment horizontal="right"/>
    </xf>
    <xf numFmtId="0" fontId="23" fillId="2" borderId="0" xfId="0" applyFont="1" applyFill="1" applyBorder="1" applyAlignment="1">
      <alignment horizontal="left"/>
    </xf>
    <xf numFmtId="0" fontId="64" fillId="2" borderId="0" xfId="0" applyFont="1" applyFill="1" applyBorder="1" applyAlignment="1">
      <alignment horizontal="center"/>
    </xf>
    <xf numFmtId="0" fontId="23" fillId="2" borderId="0" xfId="0" applyFont="1" applyFill="1" applyBorder="1" applyAlignment="1">
      <alignment horizontal="center"/>
    </xf>
    <xf numFmtId="0" fontId="23" fillId="2" borderId="34" xfId="0" applyFont="1" applyFill="1" applyBorder="1" applyAlignment="1">
      <alignment horizontal="left"/>
    </xf>
    <xf numFmtId="0" fontId="69" fillId="2" borderId="29" xfId="0" applyFont="1" applyFill="1" applyBorder="1" applyAlignment="1">
      <alignment horizontal="left"/>
    </xf>
    <xf numFmtId="0" fontId="23" fillId="2" borderId="35" xfId="0" applyFont="1" applyFill="1" applyBorder="1" applyAlignment="1">
      <alignment horizontal="right"/>
    </xf>
    <xf numFmtId="0" fontId="70" fillId="2" borderId="34" xfId="0" applyFont="1" applyFill="1" applyBorder="1" applyAlignment="1">
      <alignment horizontal="left"/>
    </xf>
    <xf numFmtId="0" fontId="17" fillId="2" borderId="35" xfId="0" applyFont="1" applyFill="1" applyBorder="1" applyAlignment="1">
      <alignment horizontal="right"/>
    </xf>
    <xf numFmtId="168" fontId="23" fillId="2" borderId="0" xfId="2" applyFont="1" applyFill="1"/>
    <xf numFmtId="0" fontId="23" fillId="2" borderId="0" xfId="0" applyFont="1" applyFill="1" applyAlignment="1">
      <alignment horizontal="right"/>
    </xf>
    <xf numFmtId="0" fontId="23" fillId="2" borderId="0" xfId="0" applyFont="1" applyFill="1" applyAlignment="1">
      <alignment horizontal="left"/>
    </xf>
    <xf numFmtId="0" fontId="23" fillId="2" borderId="0" xfId="0" applyNumberFormat="1" applyFont="1" applyFill="1" applyBorder="1"/>
    <xf numFmtId="0" fontId="23" fillId="2" borderId="0" xfId="0" applyNumberFormat="1" applyFont="1" applyFill="1" applyBorder="1" applyAlignment="1">
      <alignment horizontal="left"/>
    </xf>
    <xf numFmtId="0" fontId="13" fillId="2" borderId="0" xfId="5" applyFont="1" applyFill="1" applyBorder="1"/>
    <xf numFmtId="0" fontId="31" fillId="2" borderId="15" xfId="0" applyFont="1" applyFill="1" applyBorder="1" applyAlignment="1">
      <alignment horizontal="right"/>
    </xf>
    <xf numFmtId="0" fontId="30" fillId="2" borderId="0" xfId="0" applyFont="1" applyFill="1" applyBorder="1" applyAlignment="1">
      <alignment horizontal="left"/>
    </xf>
    <xf numFmtId="0" fontId="31" fillId="2" borderId="0" xfId="0" applyFont="1" applyFill="1" applyBorder="1" applyAlignment="1">
      <alignment horizontal="right"/>
    </xf>
    <xf numFmtId="0" fontId="73" fillId="2" borderId="29" xfId="0" applyFont="1" applyFill="1" applyBorder="1" applyAlignment="1">
      <alignment vertical="center"/>
    </xf>
    <xf numFmtId="0" fontId="31" fillId="2" borderId="0" xfId="0" applyFont="1" applyFill="1" applyBorder="1" applyAlignment="1">
      <alignment horizontal="left"/>
    </xf>
    <xf numFmtId="0" fontId="74" fillId="15" borderId="16" xfId="0" applyFont="1" applyFill="1" applyBorder="1"/>
    <xf numFmtId="0" fontId="69" fillId="2" borderId="14" xfId="0" applyFont="1" applyFill="1" applyBorder="1" applyAlignment="1"/>
    <xf numFmtId="0" fontId="69" fillId="2" borderId="30" xfId="0" applyFont="1" applyFill="1" applyBorder="1" applyAlignment="1"/>
    <xf numFmtId="0" fontId="75" fillId="2" borderId="0" xfId="0" applyFont="1" applyFill="1"/>
    <xf numFmtId="0" fontId="76" fillId="2" borderId="25" xfId="0" applyFont="1" applyFill="1" applyBorder="1" applyAlignment="1"/>
    <xf numFmtId="179" fontId="13" fillId="2" borderId="16" xfId="3" applyNumberFormat="1" applyFont="1" applyFill="1" applyBorder="1" applyAlignment="1">
      <alignment vertical="center"/>
    </xf>
    <xf numFmtId="0" fontId="12" fillId="2" borderId="0" xfId="0" applyFont="1" applyFill="1" applyBorder="1" applyAlignment="1">
      <alignment horizontal="center"/>
    </xf>
    <xf numFmtId="0" fontId="23" fillId="2" borderId="10" xfId="0" applyFont="1" applyFill="1" applyBorder="1"/>
    <xf numFmtId="0" fontId="12" fillId="2" borderId="55" xfId="0" applyFont="1" applyFill="1" applyBorder="1" applyAlignment="1">
      <alignment horizontal="center"/>
    </xf>
    <xf numFmtId="0" fontId="23" fillId="2" borderId="55" xfId="0" applyFont="1" applyFill="1" applyBorder="1" applyAlignment="1">
      <alignment horizontal="center"/>
    </xf>
    <xf numFmtId="0" fontId="23" fillId="2" borderId="57" xfId="0" applyFont="1" applyFill="1" applyBorder="1" applyAlignment="1">
      <alignment horizontal="center"/>
    </xf>
    <xf numFmtId="0" fontId="23" fillId="2" borderId="59" xfId="0" applyFont="1" applyFill="1" applyBorder="1" applyAlignment="1">
      <alignment horizontal="center"/>
    </xf>
    <xf numFmtId="0" fontId="23" fillId="2" borderId="59" xfId="0" applyFont="1" applyFill="1" applyBorder="1"/>
    <xf numFmtId="0" fontId="9" fillId="2" borderId="2" xfId="0" applyFont="1" applyFill="1" applyBorder="1" applyAlignment="1">
      <alignment horizontal="center" wrapText="1"/>
    </xf>
    <xf numFmtId="0" fontId="23" fillId="2" borderId="55" xfId="0" applyFont="1" applyFill="1" applyBorder="1"/>
    <xf numFmtId="0" fontId="23" fillId="2" borderId="57" xfId="0" applyFont="1" applyFill="1" applyBorder="1"/>
    <xf numFmtId="0" fontId="23" fillId="2" borderId="8" xfId="0" applyFont="1" applyFill="1" applyBorder="1"/>
    <xf numFmtId="0" fontId="23" fillId="2" borderId="9" xfId="0" applyFont="1" applyFill="1" applyBorder="1"/>
    <xf numFmtId="49" fontId="23" fillId="2" borderId="10" xfId="0" applyNumberFormat="1" applyFont="1" applyFill="1" applyBorder="1"/>
    <xf numFmtId="15" fontId="9" fillId="2" borderId="10" xfId="0" applyNumberFormat="1" applyFont="1" applyFill="1" applyBorder="1" applyAlignment="1">
      <alignment horizontal="left" vertical="center"/>
    </xf>
    <xf numFmtId="0" fontId="9" fillId="2" borderId="10" xfId="0" applyFont="1" applyFill="1" applyBorder="1"/>
    <xf numFmtId="0" fontId="9" fillId="2" borderId="2" xfId="0" applyFont="1" applyFill="1" applyBorder="1" applyAlignment="1">
      <alignment horizontal="center" vertical="center"/>
    </xf>
    <xf numFmtId="170" fontId="9" fillId="2" borderId="88" xfId="0" applyNumberFormat="1" applyFont="1" applyFill="1" applyBorder="1" applyAlignment="1">
      <alignment horizontal="right" vertical="center"/>
    </xf>
    <xf numFmtId="0" fontId="23" fillId="2" borderId="5" xfId="0" applyFont="1" applyFill="1" applyBorder="1"/>
    <xf numFmtId="0" fontId="23" fillId="2" borderId="43" xfId="0" applyNumberFormat="1" applyFont="1" applyFill="1" applyBorder="1" applyAlignment="1">
      <alignment horizontal="left"/>
    </xf>
    <xf numFmtId="0" fontId="23" fillId="2" borderId="58" xfId="0" applyNumberFormat="1" applyFont="1" applyFill="1" applyBorder="1" applyAlignment="1">
      <alignment horizontal="left"/>
    </xf>
    <xf numFmtId="0" fontId="12" fillId="2" borderId="0" xfId="0" applyFont="1" applyFill="1"/>
    <xf numFmtId="0" fontId="12" fillId="2" borderId="0" xfId="0" applyNumberFormat="1" applyFont="1" applyFill="1"/>
    <xf numFmtId="179" fontId="12" fillId="2" borderId="0" xfId="0" applyNumberFormat="1" applyFont="1" applyFill="1"/>
    <xf numFmtId="0" fontId="23" fillId="2" borderId="5" xfId="0" applyFont="1" applyFill="1" applyBorder="1" applyAlignment="1">
      <alignment horizontal="left"/>
    </xf>
    <xf numFmtId="0" fontId="23" fillId="2" borderId="43" xfId="0" applyFont="1" applyFill="1" applyBorder="1" applyAlignment="1">
      <alignment horizontal="left"/>
    </xf>
    <xf numFmtId="0" fontId="23" fillId="2" borderId="58" xfId="0" applyFont="1" applyFill="1" applyBorder="1" applyAlignment="1">
      <alignment horizontal="left"/>
    </xf>
    <xf numFmtId="0" fontId="77" fillId="2" borderId="4" xfId="0" applyFont="1" applyFill="1" applyBorder="1"/>
    <xf numFmtId="0" fontId="72" fillId="2" borderId="0" xfId="0" applyFont="1" applyFill="1" applyBorder="1" applyAlignment="1">
      <alignment horizontal="right"/>
    </xf>
    <xf numFmtId="179" fontId="13" fillId="0" borderId="0" xfId="3" applyNumberFormat="1"/>
    <xf numFmtId="0" fontId="13" fillId="0" borderId="0" xfId="3" applyNumberFormat="1"/>
    <xf numFmtId="2" fontId="13" fillId="0" borderId="0" xfId="3" applyNumberFormat="1"/>
    <xf numFmtId="1" fontId="40" fillId="0" borderId="0" xfId="3" applyNumberFormat="1" applyFont="1" applyAlignment="1">
      <alignment horizontal="center" vertical="center"/>
    </xf>
    <xf numFmtId="0" fontId="23" fillId="0" borderId="0" xfId="3" applyFont="1"/>
    <xf numFmtId="0" fontId="23" fillId="0" borderId="0" xfId="3" applyFont="1" applyFill="1" applyBorder="1"/>
    <xf numFmtId="0" fontId="8" fillId="0" borderId="0" xfId="3" applyFont="1" applyAlignment="1">
      <alignment horizontal="center" vertical="center"/>
    </xf>
    <xf numFmtId="0" fontId="8" fillId="0" borderId="0" xfId="3" applyFont="1"/>
    <xf numFmtId="0" fontId="13" fillId="15" borderId="56" xfId="3" applyFill="1" applyBorder="1"/>
    <xf numFmtId="0" fontId="13" fillId="15" borderId="57" xfId="3" applyFill="1" applyBorder="1" applyAlignment="1">
      <alignment horizontal="left"/>
    </xf>
    <xf numFmtId="0" fontId="13" fillId="15" borderId="59" xfId="3" applyFill="1" applyBorder="1" applyAlignment="1">
      <alignment horizontal="left"/>
    </xf>
    <xf numFmtId="0" fontId="23" fillId="0" borderId="0" xfId="3" applyFont="1" applyFill="1"/>
    <xf numFmtId="1" fontId="23" fillId="0" borderId="0" xfId="3" applyNumberFormat="1" applyFont="1"/>
    <xf numFmtId="2" fontId="23" fillId="0" borderId="0" xfId="3" applyNumberFormat="1" applyFont="1"/>
    <xf numFmtId="0" fontId="32" fillId="0" borderId="0" xfId="3" applyFont="1" applyAlignment="1">
      <alignment vertical="center"/>
    </xf>
    <xf numFmtId="0" fontId="78" fillId="0" borderId="0" xfId="3" applyFont="1" applyAlignment="1">
      <alignment horizontal="center" vertical="center"/>
    </xf>
    <xf numFmtId="0" fontId="23" fillId="2" borderId="0" xfId="0" applyFont="1" applyFill="1" applyBorder="1" applyAlignment="1">
      <alignment horizontal="center" vertical="center"/>
    </xf>
    <xf numFmtId="0" fontId="4" fillId="0" borderId="33" xfId="3" applyFont="1" applyBorder="1" applyAlignment="1">
      <alignment horizontal="center" vertical="center"/>
    </xf>
    <xf numFmtId="179" fontId="12" fillId="2" borderId="0" xfId="3" applyNumberFormat="1" applyFont="1" applyFill="1" applyBorder="1" applyAlignment="1">
      <alignment horizontal="center" vertical="center"/>
    </xf>
    <xf numFmtId="0" fontId="37" fillId="0" borderId="2" xfId="0" applyFont="1" applyFill="1" applyBorder="1" applyAlignment="1">
      <alignment vertical="center"/>
    </xf>
    <xf numFmtId="0" fontId="0" fillId="0" borderId="2" xfId="0" applyFont="1" applyFill="1" applyBorder="1" applyAlignment="1">
      <alignment horizontal="center" vertical="center"/>
    </xf>
    <xf numFmtId="0" fontId="37" fillId="0" borderId="2" xfId="0" applyFont="1" applyFill="1" applyBorder="1" applyAlignment="1">
      <alignment horizontal="center" vertical="center"/>
    </xf>
    <xf numFmtId="170" fontId="23" fillId="2" borderId="0" xfId="0" applyNumberFormat="1" applyFont="1" applyFill="1" applyBorder="1" applyAlignment="1">
      <alignment horizontal="right"/>
    </xf>
    <xf numFmtId="171" fontId="0" fillId="12" borderId="30" xfId="0" applyNumberFormat="1" applyFont="1" applyFill="1" applyBorder="1" applyAlignment="1" applyProtection="1">
      <alignment horizontal="right" vertical="center"/>
      <protection locked="0"/>
    </xf>
    <xf numFmtId="164" fontId="47" fillId="2" borderId="30" xfId="2" applyNumberFormat="1" applyFont="1" applyFill="1" applyBorder="1" applyAlignment="1">
      <alignment vertical="center"/>
    </xf>
    <xf numFmtId="164" fontId="47" fillId="0" borderId="16" xfId="2" applyNumberFormat="1" applyFont="1" applyFill="1" applyBorder="1" applyAlignment="1">
      <alignment vertical="center"/>
    </xf>
    <xf numFmtId="164" fontId="47" fillId="2" borderId="35" xfId="2" applyNumberFormat="1" applyFont="1" applyFill="1" applyBorder="1" applyAlignment="1">
      <alignment vertical="center"/>
    </xf>
    <xf numFmtId="164" fontId="46" fillId="2" borderId="13" xfId="2" applyNumberFormat="1" applyFont="1" applyFill="1" applyBorder="1" applyAlignment="1">
      <alignment vertical="center"/>
    </xf>
    <xf numFmtId="0" fontId="79" fillId="2" borderId="28" xfId="0" applyFont="1" applyFill="1" applyBorder="1" applyAlignment="1">
      <alignment horizontal="left" vertical="center"/>
    </xf>
    <xf numFmtId="0" fontId="79" fillId="2" borderId="32" xfId="0" applyFont="1" applyFill="1" applyBorder="1" applyAlignment="1">
      <alignment horizontal="left" vertical="center"/>
    </xf>
    <xf numFmtId="0" fontId="79" fillId="2" borderId="44" xfId="0" applyFont="1" applyFill="1" applyBorder="1" applyAlignment="1">
      <alignment horizontal="left" vertical="center"/>
    </xf>
    <xf numFmtId="0" fontId="80" fillId="0" borderId="0" xfId="0" applyFont="1"/>
    <xf numFmtId="0" fontId="13" fillId="0" borderId="29" xfId="3" applyFont="1" applyFill="1" applyBorder="1"/>
    <xf numFmtId="0" fontId="13" fillId="0" borderId="14" xfId="3" applyFont="1" applyFill="1" applyBorder="1"/>
    <xf numFmtId="0" fontId="13" fillId="0" borderId="30" xfId="3" applyFont="1" applyFill="1" applyBorder="1"/>
    <xf numFmtId="0" fontId="13" fillId="0" borderId="15" xfId="3" applyFont="1" applyFill="1" applyBorder="1"/>
    <xf numFmtId="0" fontId="13" fillId="0" borderId="0" xfId="3" applyFont="1" applyFill="1" applyBorder="1"/>
    <xf numFmtId="0" fontId="13" fillId="0" borderId="16" xfId="3" applyFont="1" applyFill="1" applyBorder="1"/>
    <xf numFmtId="0" fontId="81" fillId="0" borderId="15" xfId="3" applyFont="1" applyFill="1" applyBorder="1"/>
    <xf numFmtId="0" fontId="82" fillId="0" borderId="15" xfId="3" applyFont="1" applyFill="1" applyBorder="1" applyAlignment="1">
      <alignment horizontal="right" vertical="top"/>
    </xf>
    <xf numFmtId="0" fontId="82" fillId="0" borderId="0" xfId="3" applyFont="1" applyFill="1" applyBorder="1" applyAlignment="1">
      <alignment wrapText="1"/>
    </xf>
    <xf numFmtId="0" fontId="82" fillId="0" borderId="16" xfId="3" applyFont="1" applyFill="1" applyBorder="1"/>
    <xf numFmtId="0" fontId="82" fillId="0" borderId="15" xfId="3" applyFont="1" applyFill="1" applyBorder="1"/>
    <xf numFmtId="0" fontId="82" fillId="0" borderId="59" xfId="3" applyFont="1" applyFill="1" applyBorder="1" applyAlignment="1">
      <alignment wrapText="1"/>
    </xf>
    <xf numFmtId="0" fontId="83" fillId="0" borderId="0" xfId="3" applyFont="1" applyFill="1" applyBorder="1" applyAlignment="1">
      <alignment horizontal="right" wrapText="1"/>
    </xf>
    <xf numFmtId="0" fontId="82" fillId="0" borderId="36" xfId="3" applyFont="1" applyFill="1" applyBorder="1"/>
    <xf numFmtId="0" fontId="82" fillId="0" borderId="34" xfId="3" applyFont="1" applyFill="1" applyBorder="1" applyAlignment="1">
      <alignment wrapText="1"/>
    </xf>
    <xf numFmtId="0" fontId="82" fillId="0" borderId="35" xfId="3" applyFont="1" applyFill="1" applyBorder="1"/>
    <xf numFmtId="49" fontId="23" fillId="2" borderId="90" xfId="0" applyNumberFormat="1" applyFont="1" applyFill="1" applyBorder="1"/>
    <xf numFmtId="0" fontId="23" fillId="2" borderId="89" xfId="0" applyFont="1" applyFill="1" applyBorder="1"/>
    <xf numFmtId="0" fontId="23" fillId="2" borderId="62" xfId="0" applyFont="1" applyFill="1" applyBorder="1"/>
    <xf numFmtId="0" fontId="23" fillId="2" borderId="96" xfId="0" applyFont="1" applyFill="1" applyBorder="1"/>
    <xf numFmtId="170" fontId="23" fillId="2" borderId="0" xfId="2" applyNumberFormat="1" applyFont="1" applyFill="1"/>
    <xf numFmtId="0" fontId="46" fillId="0" borderId="0" xfId="0" applyFont="1" applyFill="1" applyBorder="1" applyAlignment="1">
      <alignment horizontal="left" vertical="center"/>
    </xf>
    <xf numFmtId="174" fontId="47" fillId="0" borderId="0" xfId="2" applyNumberFormat="1" applyFont="1" applyFill="1" applyBorder="1" applyAlignment="1">
      <alignment vertical="center"/>
    </xf>
    <xf numFmtId="164" fontId="47" fillId="0" borderId="0" xfId="2" applyNumberFormat="1" applyFont="1" applyFill="1" applyBorder="1" applyAlignment="1">
      <alignment vertical="center"/>
    </xf>
    <xf numFmtId="164" fontId="46" fillId="0" borderId="0" xfId="2" applyNumberFormat="1" applyFont="1" applyFill="1" applyBorder="1" applyAlignment="1">
      <alignment vertical="center"/>
    </xf>
    <xf numFmtId="0" fontId="0" fillId="12" borderId="2" xfId="0" applyFont="1" applyFill="1" applyBorder="1" applyAlignment="1" applyProtection="1">
      <alignment horizontal="left" vertical="center"/>
      <protection locked="0"/>
    </xf>
    <xf numFmtId="0" fontId="0" fillId="12" borderId="24" xfId="0" applyFont="1" applyFill="1" applyBorder="1" applyAlignment="1" applyProtection="1">
      <alignment horizontal="left" vertical="center"/>
      <protection locked="0"/>
    </xf>
    <xf numFmtId="174" fontId="23" fillId="4" borderId="68" xfId="2" applyNumberFormat="1" applyFont="1" applyFill="1" applyBorder="1" applyAlignment="1" applyProtection="1">
      <alignment vertical="center"/>
      <protection locked="0"/>
    </xf>
    <xf numFmtId="0" fontId="13" fillId="12" borderId="67" xfId="0" applyFont="1" applyFill="1" applyBorder="1" applyAlignment="1" applyProtection="1">
      <alignment horizontal="center" vertical="center"/>
      <protection locked="0"/>
    </xf>
    <xf numFmtId="177" fontId="13" fillId="12" borderId="74" xfId="2" applyNumberFormat="1" applyFont="1" applyFill="1" applyBorder="1" applyAlignment="1" applyProtection="1">
      <alignment horizontal="center" vertical="center"/>
      <protection locked="0"/>
    </xf>
    <xf numFmtId="177" fontId="13" fillId="12" borderId="71" xfId="2" applyNumberFormat="1" applyFont="1" applyFill="1" applyBorder="1" applyAlignment="1" applyProtection="1">
      <alignment horizontal="center" vertical="center"/>
      <protection locked="0"/>
    </xf>
    <xf numFmtId="164" fontId="13" fillId="12" borderId="73" xfId="2" applyNumberFormat="1" applyFont="1" applyFill="1" applyBorder="1" applyAlignment="1" applyProtection="1">
      <alignment vertical="center"/>
      <protection locked="0"/>
    </xf>
    <xf numFmtId="0" fontId="23" fillId="0" borderId="93" xfId="0" applyFont="1" applyFill="1" applyBorder="1"/>
    <xf numFmtId="0" fontId="9" fillId="4" borderId="93" xfId="0" applyFont="1" applyFill="1" applyBorder="1" applyProtection="1">
      <protection locked="0"/>
    </xf>
    <xf numFmtId="0" fontId="23" fillId="4" borderId="93" xfId="0" applyFont="1" applyFill="1" applyBorder="1" applyProtection="1">
      <protection locked="0"/>
    </xf>
    <xf numFmtId="0" fontId="23" fillId="4" borderId="94" xfId="0" applyFont="1" applyFill="1" applyBorder="1" applyAlignment="1" applyProtection="1">
      <alignment horizontal="left"/>
      <protection locked="0"/>
    </xf>
    <xf numFmtId="49" fontId="23" fillId="4" borderId="93" xfId="0" applyNumberFormat="1" applyFont="1" applyFill="1" applyBorder="1" applyAlignment="1" applyProtection="1">
      <alignment horizontal="left"/>
      <protection locked="0"/>
    </xf>
    <xf numFmtId="0" fontId="23" fillId="4" borderId="91" xfId="0" applyFont="1" applyFill="1" applyBorder="1" applyProtection="1">
      <protection locked="0"/>
    </xf>
    <xf numFmtId="49" fontId="23" fillId="4" borderId="92" xfId="0" applyNumberFormat="1" applyFont="1" applyFill="1" applyBorder="1" applyProtection="1">
      <protection locked="0"/>
    </xf>
    <xf numFmtId="49" fontId="23" fillId="4" borderId="94" xfId="0" applyNumberFormat="1" applyFont="1" applyFill="1" applyBorder="1" applyProtection="1">
      <protection locked="0"/>
    </xf>
    <xf numFmtId="0" fontId="23" fillId="4" borderId="95" xfId="0" applyFont="1" applyFill="1" applyBorder="1" applyProtection="1">
      <protection locked="0"/>
    </xf>
    <xf numFmtId="0" fontId="23" fillId="4" borderId="92" xfId="0" applyFont="1" applyFill="1" applyBorder="1" applyProtection="1">
      <protection locked="0"/>
    </xf>
    <xf numFmtId="0" fontId="23" fillId="4" borderId="90" xfId="0" applyFont="1" applyFill="1" applyBorder="1" applyProtection="1">
      <protection locked="0"/>
    </xf>
    <xf numFmtId="49" fontId="23" fillId="4" borderId="93" xfId="0" applyNumberFormat="1" applyFont="1" applyFill="1" applyBorder="1" applyProtection="1">
      <protection locked="0"/>
    </xf>
    <xf numFmtId="49" fontId="23" fillId="4" borderId="92" xfId="0" applyNumberFormat="1" applyFont="1" applyFill="1" applyBorder="1" applyAlignment="1" applyProtection="1">
      <alignment horizontal="left"/>
      <protection locked="0"/>
    </xf>
    <xf numFmtId="170" fontId="9" fillId="4" borderId="93" xfId="0" applyNumberFormat="1" applyFont="1" applyFill="1" applyBorder="1" applyProtection="1">
      <protection locked="0"/>
    </xf>
    <xf numFmtId="170" fontId="9" fillId="4" borderId="95" xfId="0" applyNumberFormat="1" applyFont="1" applyFill="1" applyBorder="1" applyProtection="1">
      <protection locked="0"/>
    </xf>
    <xf numFmtId="0" fontId="23" fillId="4" borderId="60" xfId="0" applyFont="1" applyFill="1" applyBorder="1" applyProtection="1">
      <protection locked="0"/>
    </xf>
    <xf numFmtId="0" fontId="23" fillId="4" borderId="77" xfId="0" applyFont="1" applyFill="1" applyBorder="1" applyProtection="1">
      <protection locked="0"/>
    </xf>
    <xf numFmtId="0" fontId="23" fillId="4" borderId="76" xfId="0" applyFont="1" applyFill="1" applyBorder="1" applyAlignment="1" applyProtection="1">
      <alignment horizontal="left"/>
      <protection locked="0"/>
    </xf>
    <xf numFmtId="1" fontId="23" fillId="0" borderId="65" xfId="0" applyNumberFormat="1" applyFont="1" applyFill="1" applyBorder="1" applyAlignment="1" applyProtection="1">
      <alignment horizontal="center" vertical="center"/>
      <protection locked="0"/>
    </xf>
    <xf numFmtId="171" fontId="23" fillId="0" borderId="65" xfId="0" applyNumberFormat="1" applyFont="1" applyFill="1" applyBorder="1" applyAlignment="1" applyProtection="1">
      <alignment horizontal="center" vertical="center"/>
      <protection locked="0"/>
    </xf>
    <xf numFmtId="171" fontId="13" fillId="0" borderId="35" xfId="2" applyNumberFormat="1" applyFont="1" applyFill="1" applyBorder="1" applyAlignment="1" applyProtection="1">
      <alignment vertical="center"/>
      <protection locked="0"/>
    </xf>
    <xf numFmtId="171" fontId="5" fillId="4" borderId="1" xfId="0" applyNumberFormat="1" applyFont="1" applyFill="1" applyBorder="1" applyAlignment="1">
      <alignment horizontal="center" vertical="center" wrapText="1"/>
    </xf>
    <xf numFmtId="171" fontId="5" fillId="4" borderId="6" xfId="0" applyNumberFormat="1" applyFont="1" applyFill="1" applyBorder="1" applyAlignment="1">
      <alignment horizontal="center" vertical="center" wrapText="1"/>
    </xf>
    <xf numFmtId="171" fontId="5" fillId="4" borderId="7" xfId="0" applyNumberFormat="1" applyFont="1" applyFill="1" applyBorder="1" applyAlignment="1">
      <alignment horizontal="center" vertical="center" wrapText="1"/>
    </xf>
    <xf numFmtId="171" fontId="32" fillId="11" borderId="1" xfId="0" applyNumberFormat="1" applyFont="1" applyFill="1" applyBorder="1" applyAlignment="1">
      <alignment horizontal="center" vertical="center" wrapText="1"/>
    </xf>
    <xf numFmtId="171" fontId="32" fillId="11" borderId="6" xfId="0" applyNumberFormat="1" applyFont="1" applyFill="1" applyBorder="1" applyAlignment="1">
      <alignment horizontal="center" vertical="center" wrapText="1"/>
    </xf>
    <xf numFmtId="171" fontId="32" fillId="11" borderId="7" xfId="0" applyNumberFormat="1" applyFont="1" applyFill="1" applyBorder="1" applyAlignment="1">
      <alignment horizontal="center" vertical="center" wrapText="1"/>
    </xf>
    <xf numFmtId="0" fontId="23" fillId="2" borderId="15" xfId="0" applyFont="1" applyFill="1" applyBorder="1" applyAlignment="1">
      <alignment horizontal="center" vertical="center"/>
    </xf>
    <xf numFmtId="0" fontId="23" fillId="2" borderId="0" xfId="0" applyFont="1" applyFill="1" applyBorder="1" applyAlignment="1">
      <alignment horizontal="center" vertical="center"/>
    </xf>
    <xf numFmtId="0" fontId="84" fillId="2" borderId="0" xfId="0" applyFont="1" applyFill="1" applyBorder="1" applyAlignment="1">
      <alignment horizontal="center" vertical="center" wrapText="1"/>
    </xf>
    <xf numFmtId="0" fontId="25" fillId="2" borderId="0" xfId="0" applyFont="1" applyFill="1" applyBorder="1" applyAlignment="1">
      <alignment horizontal="center" vertical="center"/>
    </xf>
    <xf numFmtId="0" fontId="15" fillId="2" borderId="12" xfId="0" applyFont="1" applyFill="1" applyBorder="1" applyAlignment="1">
      <alignment horizontal="center" vertical="center"/>
    </xf>
    <xf numFmtId="0" fontId="15" fillId="2" borderId="18" xfId="0" applyFont="1" applyFill="1" applyBorder="1" applyAlignment="1">
      <alignment horizontal="center" vertical="center"/>
    </xf>
    <xf numFmtId="0" fontId="15" fillId="2" borderId="13" xfId="0" applyFont="1" applyFill="1" applyBorder="1" applyAlignment="1">
      <alignment horizontal="center" vertical="center"/>
    </xf>
    <xf numFmtId="0" fontId="6" fillId="2" borderId="12" xfId="0" applyFont="1" applyFill="1" applyBorder="1" applyAlignment="1">
      <alignment horizontal="center" vertical="center"/>
    </xf>
    <xf numFmtId="0" fontId="6" fillId="2" borderId="18" xfId="0" applyFont="1" applyFill="1" applyBorder="1" applyAlignment="1">
      <alignment horizontal="center" vertical="center"/>
    </xf>
    <xf numFmtId="0" fontId="6" fillId="2" borderId="13" xfId="0" applyFont="1" applyFill="1" applyBorder="1" applyAlignment="1">
      <alignment horizontal="center" vertical="center"/>
    </xf>
    <xf numFmtId="0" fontId="25" fillId="2" borderId="0" xfId="0" applyFont="1" applyFill="1" applyBorder="1" applyAlignment="1">
      <alignment horizontal="center" vertical="center" wrapText="1"/>
    </xf>
    <xf numFmtId="170" fontId="25" fillId="2" borderId="0" xfId="0" applyNumberFormat="1" applyFont="1" applyFill="1" applyBorder="1" applyAlignment="1">
      <alignment horizontal="center" vertical="center" wrapText="1"/>
    </xf>
    <xf numFmtId="0" fontId="9" fillId="2" borderId="12" xfId="0" applyFont="1" applyFill="1" applyBorder="1" applyAlignment="1">
      <alignment horizontal="center" vertical="center"/>
    </xf>
    <xf numFmtId="0" fontId="9" fillId="2" borderId="18" xfId="0" applyFont="1" applyFill="1" applyBorder="1" applyAlignment="1">
      <alignment horizontal="center" vertical="center"/>
    </xf>
    <xf numFmtId="0" fontId="9" fillId="2" borderId="13" xfId="0" applyFont="1" applyFill="1" applyBorder="1" applyAlignment="1">
      <alignment horizontal="center" vertical="center"/>
    </xf>
    <xf numFmtId="0" fontId="23" fillId="2" borderId="18" xfId="0" applyFont="1" applyFill="1" applyBorder="1" applyAlignment="1">
      <alignment horizontal="center" vertical="center"/>
    </xf>
    <xf numFmtId="0" fontId="13" fillId="2" borderId="2" xfId="0" applyFont="1" applyFill="1" applyBorder="1" applyAlignment="1">
      <alignment horizontal="center" vertical="center"/>
    </xf>
    <xf numFmtId="0" fontId="13" fillId="2" borderId="32" xfId="0" applyFont="1" applyFill="1" applyBorder="1" applyAlignment="1">
      <alignment horizontal="center" vertical="center"/>
    </xf>
    <xf numFmtId="0" fontId="15" fillId="12" borderId="67" xfId="0" applyFont="1" applyFill="1" applyBorder="1" applyAlignment="1" applyProtection="1">
      <alignment horizontal="left" vertical="center"/>
      <protection locked="0"/>
    </xf>
    <xf numFmtId="0" fontId="15" fillId="12" borderId="71" xfId="0" applyFont="1" applyFill="1" applyBorder="1" applyAlignment="1" applyProtection="1">
      <alignment horizontal="left" vertical="center"/>
      <protection locked="0"/>
    </xf>
    <xf numFmtId="0" fontId="13" fillId="2" borderId="0" xfId="0" applyFont="1" applyFill="1" applyBorder="1" applyAlignment="1">
      <alignment horizontal="center" vertical="center"/>
    </xf>
    <xf numFmtId="15" fontId="15" fillId="2" borderId="0" xfId="0" applyNumberFormat="1" applyFont="1" applyFill="1" applyBorder="1" applyAlignment="1">
      <alignment horizontal="left" vertical="center"/>
    </xf>
    <xf numFmtId="0" fontId="0" fillId="2" borderId="1" xfId="0" applyFont="1" applyFill="1" applyBorder="1" applyAlignment="1">
      <alignment horizontal="center" vertical="center"/>
    </xf>
    <xf numFmtId="0" fontId="0" fillId="2" borderId="6" xfId="0" applyFont="1" applyFill="1" applyBorder="1" applyAlignment="1">
      <alignment horizontal="center" vertical="center"/>
    </xf>
    <xf numFmtId="0" fontId="0" fillId="2" borderId="7" xfId="0" applyFont="1" applyFill="1" applyBorder="1" applyAlignment="1">
      <alignment horizontal="center" vertical="center"/>
    </xf>
    <xf numFmtId="0" fontId="27" fillId="2" borderId="2" xfId="0" applyFont="1" applyFill="1" applyBorder="1" applyAlignment="1">
      <alignment horizontal="center" vertical="center"/>
    </xf>
    <xf numFmtId="0" fontId="9" fillId="2" borderId="45" xfId="0" applyFont="1" applyFill="1" applyBorder="1" applyAlignment="1">
      <alignment horizontal="center" vertical="center"/>
    </xf>
    <xf numFmtId="0" fontId="9" fillId="2" borderId="46" xfId="0" applyFont="1" applyFill="1" applyBorder="1" applyAlignment="1">
      <alignment horizontal="center" vertical="center"/>
    </xf>
    <xf numFmtId="0" fontId="9" fillId="2" borderId="47" xfId="0" applyFont="1" applyFill="1" applyBorder="1" applyAlignment="1">
      <alignment horizontal="center" vertical="center"/>
    </xf>
    <xf numFmtId="3" fontId="19" fillId="9" borderId="48" xfId="25" applyFont="1" applyFill="1" applyBorder="1" applyAlignment="1">
      <alignment horizontal="center" vertical="center" wrapText="1"/>
    </xf>
    <xf numFmtId="4" fontId="57" fillId="0" borderId="29" xfId="28" applyBorder="1" applyAlignment="1">
      <alignment horizontal="center"/>
    </xf>
    <xf numFmtId="4" fontId="57" fillId="0" borderId="30" xfId="28" applyBorder="1" applyAlignment="1">
      <alignment horizontal="center"/>
    </xf>
    <xf numFmtId="4" fontId="57" fillId="0" borderId="15" xfId="28" applyBorder="1" applyAlignment="1">
      <alignment horizontal="center"/>
    </xf>
    <xf numFmtId="4" fontId="57" fillId="0" borderId="16" xfId="28" applyBorder="1" applyAlignment="1">
      <alignment horizontal="center"/>
    </xf>
    <xf numFmtId="4" fontId="57" fillId="0" borderId="36" xfId="28" applyBorder="1" applyAlignment="1">
      <alignment horizontal="center"/>
    </xf>
    <xf numFmtId="4" fontId="57" fillId="0" borderId="35" xfId="28" applyBorder="1" applyAlignment="1">
      <alignment horizontal="center"/>
    </xf>
    <xf numFmtId="3" fontId="19" fillId="9" borderId="12" xfId="25" applyFont="1" applyFill="1" applyBorder="1" applyAlignment="1">
      <alignment horizontal="center" vertical="center" wrapText="1"/>
    </xf>
    <xf numFmtId="3" fontId="19" fillId="9" borderId="18" xfId="25" applyFont="1" applyFill="1" applyBorder="1" applyAlignment="1">
      <alignment horizontal="center" vertical="center" wrapText="1"/>
    </xf>
    <xf numFmtId="3" fontId="19" fillId="9" borderId="13" xfId="25" applyFont="1" applyFill="1" applyBorder="1" applyAlignment="1">
      <alignment horizontal="center" vertical="center" wrapText="1"/>
    </xf>
    <xf numFmtId="3" fontId="58" fillId="0" borderId="12" xfId="25" applyFont="1" applyBorder="1" applyAlignment="1">
      <alignment horizontal="center" vertical="center"/>
    </xf>
    <xf numFmtId="3" fontId="58" fillId="0" borderId="18" xfId="25" applyFont="1" applyBorder="1" applyAlignment="1">
      <alignment horizontal="center" vertical="center"/>
    </xf>
    <xf numFmtId="3" fontId="58" fillId="0" borderId="13" xfId="25" applyFont="1" applyBorder="1" applyAlignment="1">
      <alignment horizontal="center" vertical="center"/>
    </xf>
    <xf numFmtId="3" fontId="19" fillId="12" borderId="12" xfId="25" applyFont="1" applyFill="1" applyBorder="1" applyAlignment="1">
      <alignment horizontal="center" vertical="center" wrapText="1"/>
    </xf>
    <xf numFmtId="3" fontId="19" fillId="12" borderId="18" xfId="25" applyFont="1" applyFill="1" applyBorder="1" applyAlignment="1">
      <alignment horizontal="center" vertical="center" wrapText="1"/>
    </xf>
    <xf numFmtId="3" fontId="19" fillId="12" borderId="13" xfId="25" applyFont="1" applyFill="1" applyBorder="1" applyAlignment="1">
      <alignment horizontal="center" vertical="center" wrapText="1"/>
    </xf>
    <xf numFmtId="4" fontId="5" fillId="0" borderId="12" xfId="28" applyNumberFormat="1" applyFont="1" applyBorder="1" applyAlignment="1">
      <alignment horizontal="center" vertical="center"/>
    </xf>
    <xf numFmtId="4" fontId="5" fillId="0" borderId="18" xfId="28" applyNumberFormat="1" applyFont="1" applyBorder="1" applyAlignment="1">
      <alignment horizontal="center" vertical="center"/>
    </xf>
    <xf numFmtId="4" fontId="5" fillId="0" borderId="13" xfId="28" applyNumberFormat="1" applyFont="1" applyBorder="1" applyAlignment="1">
      <alignment horizontal="center" vertical="center"/>
    </xf>
    <xf numFmtId="0" fontId="2" fillId="13" borderId="28" xfId="3" applyFont="1" applyFill="1" applyBorder="1" applyAlignment="1">
      <alignment horizontal="center" vertical="center" wrapText="1"/>
    </xf>
    <xf numFmtId="0" fontId="2" fillId="13" borderId="41" xfId="3" applyFont="1" applyFill="1" applyBorder="1" applyAlignment="1">
      <alignment horizontal="center" vertical="center" wrapText="1"/>
    </xf>
    <xf numFmtId="0" fontId="44" fillId="13" borderId="15" xfId="3" quotePrefix="1" applyFont="1" applyFill="1" applyBorder="1" applyAlignment="1">
      <alignment horizontal="center" vertical="center" wrapText="1"/>
    </xf>
    <xf numFmtId="0" fontId="44" fillId="13" borderId="0" xfId="3" quotePrefix="1" applyFont="1" applyFill="1" applyBorder="1" applyAlignment="1">
      <alignment horizontal="center" vertical="center" wrapText="1"/>
    </xf>
    <xf numFmtId="0" fontId="44" fillId="13" borderId="16" xfId="3" quotePrefix="1" applyFont="1" applyFill="1" applyBorder="1" applyAlignment="1">
      <alignment horizontal="center" vertical="center" wrapText="1"/>
    </xf>
    <xf numFmtId="0" fontId="44" fillId="13" borderId="36" xfId="3" quotePrefix="1" applyFont="1" applyFill="1" applyBorder="1" applyAlignment="1">
      <alignment horizontal="center" vertical="center" wrapText="1"/>
    </xf>
    <xf numFmtId="0" fontId="44" fillId="13" borderId="34" xfId="3" quotePrefix="1" applyFont="1" applyFill="1" applyBorder="1" applyAlignment="1">
      <alignment horizontal="center" vertical="center" wrapText="1"/>
    </xf>
    <xf numFmtId="0" fontId="44" fillId="13" borderId="35" xfId="3" quotePrefix="1" applyFont="1" applyFill="1" applyBorder="1" applyAlignment="1">
      <alignment horizontal="center" vertical="center" wrapText="1"/>
    </xf>
    <xf numFmtId="0" fontId="42" fillId="13" borderId="15" xfId="0" applyFont="1" applyFill="1" applyBorder="1" applyAlignment="1">
      <alignment horizontal="center" vertical="center"/>
    </xf>
    <xf numFmtId="0" fontId="42" fillId="13" borderId="0" xfId="0" applyFont="1" applyFill="1" applyBorder="1" applyAlignment="1">
      <alignment horizontal="center" vertical="center"/>
    </xf>
    <xf numFmtId="15" fontId="43" fillId="15" borderId="0" xfId="0" applyNumberFormat="1" applyFont="1" applyFill="1" applyBorder="1" applyAlignment="1">
      <alignment horizontal="left" vertical="center" wrapText="1"/>
    </xf>
    <xf numFmtId="15" fontId="43" fillId="15" borderId="10" xfId="0" applyNumberFormat="1" applyFont="1" applyFill="1" applyBorder="1" applyAlignment="1">
      <alignment horizontal="left" vertical="center" wrapText="1"/>
    </xf>
    <xf numFmtId="0" fontId="43" fillId="15" borderId="0" xfId="0" applyFont="1" applyFill="1" applyBorder="1" applyAlignment="1">
      <alignment horizontal="left" vertical="center" wrapText="1"/>
    </xf>
    <xf numFmtId="0" fontId="43" fillId="15" borderId="10" xfId="0" applyFont="1" applyFill="1" applyBorder="1" applyAlignment="1">
      <alignment horizontal="left" vertical="center" wrapText="1"/>
    </xf>
    <xf numFmtId="0" fontId="43" fillId="15" borderId="0" xfId="0" applyFont="1" applyFill="1" applyBorder="1" applyAlignment="1">
      <alignment horizontal="left" vertical="top" wrapText="1"/>
    </xf>
    <xf numFmtId="0" fontId="43" fillId="15" borderId="10" xfId="0" applyFont="1" applyFill="1" applyBorder="1" applyAlignment="1">
      <alignment horizontal="left" vertical="top" wrapText="1"/>
    </xf>
    <xf numFmtId="0" fontId="43" fillId="15" borderId="59" xfId="0" applyFont="1" applyFill="1" applyBorder="1" applyAlignment="1">
      <alignment horizontal="left" vertical="top" wrapText="1"/>
    </xf>
    <xf numFmtId="0" fontId="43" fillId="15" borderId="8" xfId="0" applyFont="1" applyFill="1" applyBorder="1" applyAlignment="1">
      <alignment horizontal="left" vertical="top" wrapText="1"/>
    </xf>
    <xf numFmtId="0" fontId="4" fillId="0" borderId="24" xfId="3" applyFont="1" applyBorder="1" applyAlignment="1">
      <alignment horizontal="center" vertical="center"/>
    </xf>
    <xf numFmtId="179" fontId="4" fillId="12" borderId="20" xfId="3" applyNumberFormat="1" applyFont="1" applyFill="1" applyBorder="1" applyAlignment="1" applyProtection="1">
      <alignment horizontal="center" vertical="center"/>
      <protection locked="0"/>
    </xf>
    <xf numFmtId="179" fontId="4" fillId="12" borderId="21" xfId="3" applyNumberFormat="1" applyFont="1" applyFill="1" applyBorder="1" applyAlignment="1" applyProtection="1">
      <alignment horizontal="center" vertical="center"/>
      <protection locked="0"/>
    </xf>
    <xf numFmtId="0" fontId="4" fillId="0" borderId="2" xfId="3" applyFont="1" applyBorder="1" applyAlignment="1">
      <alignment horizontal="center" vertical="center"/>
    </xf>
    <xf numFmtId="179" fontId="4" fillId="12" borderId="1" xfId="3" applyNumberFormat="1" applyFont="1" applyFill="1" applyBorder="1" applyAlignment="1" applyProtection="1">
      <alignment horizontal="center" vertical="center"/>
      <protection locked="0"/>
    </xf>
    <xf numFmtId="179" fontId="4" fillId="12" borderId="6" xfId="3" applyNumberFormat="1" applyFont="1" applyFill="1" applyBorder="1" applyAlignment="1" applyProtection="1">
      <alignment horizontal="center" vertical="center"/>
      <protection locked="0"/>
    </xf>
    <xf numFmtId="0" fontId="2" fillId="13" borderId="49" xfId="3" applyFont="1" applyFill="1" applyBorder="1" applyAlignment="1">
      <alignment horizontal="center" vertical="center" wrapText="1"/>
    </xf>
    <xf numFmtId="0" fontId="2" fillId="13" borderId="40" xfId="3" applyFont="1" applyFill="1" applyBorder="1" applyAlignment="1">
      <alignment horizontal="center" vertical="center" wrapText="1"/>
    </xf>
    <xf numFmtId="0" fontId="2" fillId="13" borderId="50" xfId="3" applyFont="1" applyFill="1" applyBorder="1" applyAlignment="1">
      <alignment horizontal="center" vertical="center"/>
    </xf>
    <xf numFmtId="0" fontId="2" fillId="13" borderId="14" xfId="3" applyFont="1" applyFill="1" applyBorder="1" applyAlignment="1">
      <alignment horizontal="center" vertical="center"/>
    </xf>
    <xf numFmtId="0" fontId="2" fillId="13" borderId="23" xfId="3" applyFont="1" applyFill="1" applyBorder="1" applyAlignment="1">
      <alignment horizontal="center" vertical="center"/>
    </xf>
    <xf numFmtId="0" fontId="2" fillId="13" borderId="55" xfId="3" applyFont="1" applyFill="1" applyBorder="1" applyAlignment="1">
      <alignment horizontal="center" vertical="center"/>
    </xf>
    <xf numFmtId="0" fontId="2" fillId="13" borderId="0" xfId="3" applyFont="1" applyFill="1" applyBorder="1" applyAlignment="1">
      <alignment horizontal="center" vertical="center"/>
    </xf>
    <xf numFmtId="0" fontId="2" fillId="13" borderId="10" xfId="3" applyFont="1" applyFill="1" applyBorder="1" applyAlignment="1">
      <alignment horizontal="center" vertical="center"/>
    </xf>
    <xf numFmtId="0" fontId="2" fillId="13" borderId="50" xfId="3" applyFont="1" applyFill="1" applyBorder="1" applyAlignment="1">
      <alignment horizontal="center" vertical="center" wrapText="1"/>
    </xf>
    <xf numFmtId="0" fontId="2" fillId="13" borderId="14" xfId="3" applyFont="1" applyFill="1" applyBorder="1" applyAlignment="1">
      <alignment horizontal="center" vertical="center" wrapText="1"/>
    </xf>
    <xf numFmtId="0" fontId="2" fillId="13" borderId="23" xfId="3" applyFont="1" applyFill="1" applyBorder="1" applyAlignment="1">
      <alignment horizontal="center" vertical="center" wrapText="1"/>
    </xf>
    <xf numFmtId="0" fontId="2" fillId="13" borderId="55" xfId="3" applyFont="1" applyFill="1" applyBorder="1" applyAlignment="1">
      <alignment horizontal="center" vertical="center" wrapText="1"/>
    </xf>
    <xf numFmtId="0" fontId="2" fillId="13" borderId="0" xfId="3" applyFont="1" applyFill="1" applyBorder="1" applyAlignment="1">
      <alignment horizontal="center" vertical="center" wrapText="1"/>
    </xf>
    <xf numFmtId="0" fontId="2" fillId="13" borderId="10" xfId="3" applyFont="1" applyFill="1" applyBorder="1" applyAlignment="1">
      <alignment horizontal="center" vertical="center" wrapText="1"/>
    </xf>
    <xf numFmtId="179" fontId="4" fillId="12" borderId="7" xfId="3" applyNumberFormat="1" applyFont="1" applyFill="1" applyBorder="1" applyAlignment="1" applyProtection="1">
      <alignment horizontal="center" vertical="center"/>
      <protection locked="0"/>
    </xf>
    <xf numFmtId="179" fontId="4" fillId="12" borderId="27" xfId="3" applyNumberFormat="1" applyFont="1" applyFill="1" applyBorder="1" applyAlignment="1" applyProtection="1">
      <alignment horizontal="center" vertical="center"/>
      <protection locked="0"/>
    </xf>
    <xf numFmtId="179" fontId="4" fillId="12" borderId="25" xfId="3" applyNumberFormat="1" applyFont="1" applyFill="1" applyBorder="1" applyAlignment="1" applyProtection="1">
      <alignment horizontal="center" vertical="center"/>
      <protection locked="0"/>
    </xf>
    <xf numFmtId="0" fontId="4" fillId="0" borderId="27" xfId="3" applyFont="1" applyBorder="1" applyAlignment="1">
      <alignment horizontal="center" vertical="center"/>
    </xf>
    <xf numFmtId="0" fontId="23" fillId="2" borderId="0" xfId="0" applyFont="1" applyFill="1" applyBorder="1" applyAlignment="1">
      <alignment horizontal="left"/>
    </xf>
    <xf numFmtId="0" fontId="77" fillId="2" borderId="1" xfId="0" applyFont="1" applyFill="1" applyBorder="1" applyAlignment="1">
      <alignment horizontal="center"/>
    </xf>
    <xf numFmtId="0" fontId="77" fillId="2" borderId="6" xfId="0" applyFont="1" applyFill="1" applyBorder="1" applyAlignment="1">
      <alignment horizontal="center"/>
    </xf>
    <xf numFmtId="0" fontId="77" fillId="2" borderId="7" xfId="0" applyFont="1" applyFill="1" applyBorder="1" applyAlignment="1">
      <alignment horizontal="center"/>
    </xf>
    <xf numFmtId="179" fontId="13" fillId="2" borderId="0" xfId="3" applyNumberFormat="1" applyFont="1" applyFill="1" applyBorder="1" applyAlignment="1">
      <alignment horizontal="center" vertical="center"/>
    </xf>
    <xf numFmtId="179" fontId="13" fillId="2" borderId="10" xfId="3" applyNumberFormat="1" applyFont="1" applyFill="1" applyBorder="1" applyAlignment="1">
      <alignment horizontal="center" vertical="center"/>
    </xf>
    <xf numFmtId="0" fontId="9" fillId="2" borderId="6" xfId="0" applyFont="1" applyFill="1" applyBorder="1" applyAlignment="1">
      <alignment horizontal="center" vertical="center"/>
    </xf>
    <xf numFmtId="0" fontId="9" fillId="2" borderId="7" xfId="0" applyFont="1" applyFill="1" applyBorder="1" applyAlignment="1">
      <alignment horizontal="center" vertical="center"/>
    </xf>
    <xf numFmtId="0" fontId="9" fillId="2" borderId="1" xfId="0" applyFont="1" applyFill="1" applyBorder="1" applyAlignment="1">
      <alignment horizontal="center" vertical="center"/>
    </xf>
    <xf numFmtId="0" fontId="68" fillId="2" borderId="1" xfId="0" applyFont="1" applyFill="1" applyBorder="1" applyAlignment="1">
      <alignment horizontal="center"/>
    </xf>
    <xf numFmtId="0" fontId="68" fillId="2" borderId="6" xfId="0" applyFont="1" applyFill="1" applyBorder="1" applyAlignment="1">
      <alignment horizontal="center"/>
    </xf>
    <xf numFmtId="0" fontId="68" fillId="2" borderId="7" xfId="0" applyFont="1" applyFill="1" applyBorder="1" applyAlignment="1">
      <alignment horizontal="center"/>
    </xf>
    <xf numFmtId="0" fontId="64" fillId="2" borderId="0" xfId="0" applyFont="1" applyFill="1" applyBorder="1" applyAlignment="1">
      <alignment horizontal="center"/>
    </xf>
    <xf numFmtId="179" fontId="13" fillId="2" borderId="59" xfId="3" applyNumberFormat="1" applyFont="1" applyFill="1" applyBorder="1" applyAlignment="1">
      <alignment horizontal="center" vertical="center"/>
    </xf>
    <xf numFmtId="179" fontId="13" fillId="2" borderId="8" xfId="3" applyNumberFormat="1" applyFont="1" applyFill="1" applyBorder="1" applyAlignment="1">
      <alignment horizontal="center" vertical="center"/>
    </xf>
    <xf numFmtId="0" fontId="23" fillId="2" borderId="15" xfId="0" applyFont="1" applyFill="1" applyBorder="1" applyAlignment="1">
      <alignment horizontal="left"/>
    </xf>
    <xf numFmtId="170" fontId="23" fillId="2" borderId="0" xfId="0" applyNumberFormat="1" applyFont="1" applyFill="1" applyBorder="1" applyAlignment="1">
      <alignment horizontal="right"/>
    </xf>
    <xf numFmtId="170" fontId="23" fillId="2" borderId="16" xfId="0" applyNumberFormat="1" applyFont="1" applyFill="1" applyBorder="1" applyAlignment="1">
      <alignment horizontal="right"/>
    </xf>
    <xf numFmtId="0" fontId="9" fillId="2" borderId="15" xfId="0" applyFont="1" applyFill="1" applyBorder="1" applyAlignment="1">
      <alignment horizontal="left"/>
    </xf>
    <xf numFmtId="0" fontId="9" fillId="2" borderId="0" xfId="0" applyFont="1" applyFill="1" applyBorder="1" applyAlignment="1">
      <alignment horizontal="left"/>
    </xf>
    <xf numFmtId="0" fontId="23" fillId="2" borderId="15" xfId="0" applyFont="1" applyFill="1" applyBorder="1" applyAlignment="1">
      <alignment horizontal="center"/>
    </xf>
    <xf numFmtId="0" fontId="23" fillId="2" borderId="0" xfId="0" applyFont="1" applyFill="1" applyBorder="1" applyAlignment="1">
      <alignment horizontal="center"/>
    </xf>
    <xf numFmtId="0" fontId="23" fillId="2" borderId="4" xfId="0" applyFont="1" applyFill="1" applyBorder="1" applyAlignment="1">
      <alignment horizontal="center" vertical="center"/>
    </xf>
    <xf numFmtId="0" fontId="23" fillId="2" borderId="9" xfId="0" applyFont="1" applyFill="1" applyBorder="1" applyAlignment="1">
      <alignment horizontal="center" vertical="center"/>
    </xf>
    <xf numFmtId="0" fontId="23" fillId="2" borderId="55" xfId="0" applyFont="1" applyFill="1" applyBorder="1" applyAlignment="1">
      <alignment horizontal="center" vertical="center"/>
    </xf>
    <xf numFmtId="0" fontId="23" fillId="2" borderId="10" xfId="0" applyFont="1" applyFill="1" applyBorder="1" applyAlignment="1">
      <alignment horizontal="center" vertical="center"/>
    </xf>
    <xf numFmtId="0" fontId="23" fillId="2" borderId="86" xfId="0" applyFont="1" applyFill="1" applyBorder="1" applyAlignment="1">
      <alignment horizontal="center" vertical="center"/>
    </xf>
    <xf numFmtId="0" fontId="23" fillId="2" borderId="87" xfId="0" applyFont="1" applyFill="1" applyBorder="1" applyAlignment="1">
      <alignment horizontal="center" vertical="center"/>
    </xf>
    <xf numFmtId="15" fontId="23" fillId="15" borderId="2" xfId="0" applyNumberFormat="1" applyFont="1" applyFill="1" applyBorder="1" applyAlignment="1">
      <alignment horizontal="left" vertical="center"/>
    </xf>
    <xf numFmtId="15" fontId="23" fillId="15" borderId="32" xfId="0" applyNumberFormat="1" applyFont="1" applyFill="1" applyBorder="1" applyAlignment="1">
      <alignment horizontal="left" vertical="center"/>
    </xf>
    <xf numFmtId="15" fontId="23" fillId="15" borderId="24" xfId="0" applyNumberFormat="1" applyFont="1" applyFill="1" applyBorder="1" applyAlignment="1">
      <alignment horizontal="left" vertical="center"/>
    </xf>
    <xf numFmtId="15" fontId="23" fillId="15" borderId="44" xfId="0" applyNumberFormat="1" applyFont="1" applyFill="1" applyBorder="1" applyAlignment="1">
      <alignment horizontal="left" vertical="center"/>
    </xf>
    <xf numFmtId="0" fontId="23" fillId="2" borderId="48" xfId="0" applyFont="1" applyFill="1" applyBorder="1" applyAlignment="1">
      <alignment horizontal="center" vertical="center"/>
    </xf>
    <xf numFmtId="0" fontId="23" fillId="2" borderId="37" xfId="0" applyFont="1" applyFill="1" applyBorder="1" applyAlignment="1">
      <alignment horizontal="center" vertical="center"/>
    </xf>
    <xf numFmtId="0" fontId="32" fillId="2" borderId="29" xfId="0" applyFont="1" applyFill="1" applyBorder="1" applyAlignment="1">
      <alignment horizontal="center" vertical="center"/>
    </xf>
    <xf numFmtId="0" fontId="32" fillId="2" borderId="14" xfId="0" applyFont="1" applyFill="1" applyBorder="1" applyAlignment="1">
      <alignment horizontal="center" vertical="center"/>
    </xf>
    <xf numFmtId="0" fontId="32" fillId="2" borderId="30" xfId="0" applyFont="1" applyFill="1" applyBorder="1" applyAlignment="1">
      <alignment horizontal="center" vertical="center"/>
    </xf>
    <xf numFmtId="0" fontId="32" fillId="2" borderId="36" xfId="0" applyFont="1" applyFill="1" applyBorder="1" applyAlignment="1">
      <alignment horizontal="center" vertical="center"/>
    </xf>
    <xf numFmtId="0" fontId="32" fillId="2" borderId="34" xfId="0" applyFont="1" applyFill="1" applyBorder="1" applyAlignment="1">
      <alignment horizontal="center" vertical="center"/>
    </xf>
    <xf numFmtId="0" fontId="32" fillId="2" borderId="35" xfId="0" applyFont="1" applyFill="1" applyBorder="1" applyAlignment="1">
      <alignment horizontal="center" vertical="center"/>
    </xf>
    <xf numFmtId="0" fontId="31" fillId="2" borderId="0" xfId="0" applyFont="1" applyFill="1" applyBorder="1" applyAlignment="1">
      <alignment horizontal="left" vertical="center" wrapText="1"/>
    </xf>
    <xf numFmtId="0" fontId="9" fillId="2" borderId="12" xfId="0" applyFont="1" applyFill="1" applyBorder="1" applyAlignment="1">
      <alignment horizontal="center"/>
    </xf>
    <xf numFmtId="0" fontId="9" fillId="2" borderId="18" xfId="0" applyFont="1" applyFill="1" applyBorder="1" applyAlignment="1">
      <alignment horizontal="center"/>
    </xf>
    <xf numFmtId="0" fontId="9" fillId="2" borderId="13" xfId="0" applyFont="1" applyFill="1" applyBorder="1" applyAlignment="1">
      <alignment horizontal="center"/>
    </xf>
    <xf numFmtId="0" fontId="30" fillId="2" borderId="0" xfId="0" applyFont="1" applyFill="1" applyBorder="1" applyAlignment="1">
      <alignment horizontal="center"/>
    </xf>
    <xf numFmtId="0" fontId="9" fillId="2" borderId="15" xfId="0" applyFont="1" applyFill="1" applyBorder="1" applyAlignment="1">
      <alignment horizontal="center"/>
    </xf>
    <xf numFmtId="0" fontId="9" fillId="2" borderId="0" xfId="0" applyFont="1" applyFill="1" applyBorder="1" applyAlignment="1">
      <alignment horizontal="center"/>
    </xf>
    <xf numFmtId="170" fontId="23" fillId="2" borderId="0" xfId="0" applyNumberFormat="1" applyFont="1" applyFill="1" applyBorder="1" applyAlignment="1">
      <alignment horizontal="center"/>
    </xf>
    <xf numFmtId="170" fontId="23" fillId="2" borderId="16" xfId="0" applyNumberFormat="1" applyFont="1" applyFill="1" applyBorder="1" applyAlignment="1">
      <alignment horizontal="center"/>
    </xf>
    <xf numFmtId="170" fontId="9" fillId="2" borderId="29" xfId="0" applyNumberFormat="1" applyFont="1" applyFill="1" applyBorder="1" applyAlignment="1">
      <alignment horizontal="center" vertical="center"/>
    </xf>
    <xf numFmtId="170" fontId="9" fillId="2" borderId="36" xfId="0" applyNumberFormat="1" applyFont="1" applyFill="1" applyBorder="1" applyAlignment="1">
      <alignment horizontal="center" vertical="center"/>
    </xf>
    <xf numFmtId="170" fontId="9" fillId="2" borderId="83" xfId="0" applyNumberFormat="1" applyFont="1" applyFill="1" applyBorder="1" applyAlignment="1">
      <alignment horizontal="center" vertical="center"/>
    </xf>
    <xf numFmtId="170" fontId="9" fillId="2" borderId="84" xfId="0" applyNumberFormat="1" applyFont="1" applyFill="1" applyBorder="1" applyAlignment="1">
      <alignment horizontal="center" vertical="center"/>
    </xf>
    <xf numFmtId="170" fontId="23" fillId="2" borderId="34" xfId="0" applyNumberFormat="1" applyFont="1" applyFill="1" applyBorder="1" applyAlignment="1">
      <alignment horizontal="right"/>
    </xf>
    <xf numFmtId="170" fontId="23" fillId="2" borderId="35" xfId="0" applyNumberFormat="1" applyFont="1" applyFill="1" applyBorder="1" applyAlignment="1">
      <alignment horizontal="right"/>
    </xf>
    <xf numFmtId="170" fontId="9" fillId="2" borderId="14" xfId="0" applyNumberFormat="1" applyFont="1" applyFill="1" applyBorder="1" applyAlignment="1">
      <alignment horizontal="right" vertical="center"/>
    </xf>
    <xf numFmtId="170" fontId="9" fillId="2" borderId="30" xfId="0" applyNumberFormat="1" applyFont="1" applyFill="1" applyBorder="1" applyAlignment="1">
      <alignment horizontal="right" vertical="center"/>
    </xf>
    <xf numFmtId="170" fontId="9" fillId="2" borderId="34" xfId="0" applyNumberFormat="1" applyFont="1" applyFill="1" applyBorder="1" applyAlignment="1">
      <alignment horizontal="right" vertical="center"/>
    </xf>
    <xf numFmtId="170" fontId="9" fillId="2" borderId="35" xfId="0" applyNumberFormat="1" applyFont="1" applyFill="1" applyBorder="1" applyAlignment="1">
      <alignment horizontal="right" vertical="center"/>
    </xf>
    <xf numFmtId="0" fontId="23" fillId="2" borderId="36" xfId="0" applyFont="1" applyFill="1" applyBorder="1" applyAlignment="1">
      <alignment horizontal="left"/>
    </xf>
    <xf numFmtId="0" fontId="23" fillId="2" borderId="34" xfId="0" applyFont="1" applyFill="1" applyBorder="1" applyAlignment="1">
      <alignment horizontal="left"/>
    </xf>
    <xf numFmtId="0" fontId="23" fillId="2" borderId="34" xfId="0" applyFont="1" applyFill="1" applyBorder="1" applyAlignment="1">
      <alignment horizontal="right"/>
    </xf>
    <xf numFmtId="0" fontId="23" fillId="2" borderId="29" xfId="0" applyFont="1" applyFill="1" applyBorder="1" applyAlignment="1">
      <alignment horizontal="left" vertical="center" wrapText="1"/>
    </xf>
    <xf numFmtId="0" fontId="23" fillId="2" borderId="30" xfId="0" applyFont="1" applyFill="1" applyBorder="1" applyAlignment="1">
      <alignment horizontal="left" vertical="center" wrapText="1"/>
    </xf>
    <xf numFmtId="0" fontId="23" fillId="2" borderId="15" xfId="0" applyFont="1" applyFill="1" applyBorder="1" applyAlignment="1">
      <alignment horizontal="left" vertical="center" wrapText="1"/>
    </xf>
    <xf numFmtId="0" fontId="23" fillId="2" borderId="16" xfId="0" applyFont="1" applyFill="1" applyBorder="1" applyAlignment="1">
      <alignment horizontal="left" vertical="center" wrapText="1"/>
    </xf>
    <xf numFmtId="0" fontId="23" fillId="2" borderId="36" xfId="0" applyFont="1" applyFill="1" applyBorder="1" applyAlignment="1">
      <alignment horizontal="left" vertical="center" wrapText="1"/>
    </xf>
    <xf numFmtId="0" fontId="23" fillId="2" borderId="35" xfId="0" applyFont="1" applyFill="1" applyBorder="1" applyAlignment="1">
      <alignment horizontal="left" vertical="center" wrapText="1"/>
    </xf>
    <xf numFmtId="0" fontId="23" fillId="2" borderId="14" xfId="0" applyFont="1" applyFill="1" applyBorder="1" applyAlignment="1">
      <alignment horizontal="left" vertical="center" wrapText="1"/>
    </xf>
    <xf numFmtId="0" fontId="23" fillId="2" borderId="0" xfId="0" applyFont="1" applyFill="1" applyBorder="1" applyAlignment="1">
      <alignment horizontal="left" vertical="center" wrapText="1"/>
    </xf>
    <xf numFmtId="0" fontId="23" fillId="2" borderId="34" xfId="0" applyFont="1" applyFill="1" applyBorder="1" applyAlignment="1">
      <alignment horizontal="left" vertical="center" wrapText="1"/>
    </xf>
    <xf numFmtId="0" fontId="9" fillId="2" borderId="29" xfId="0" applyFont="1" applyFill="1" applyBorder="1" applyAlignment="1">
      <alignment horizontal="center" vertical="center"/>
    </xf>
    <xf numFmtId="0" fontId="9" fillId="2" borderId="14" xfId="0" applyFont="1" applyFill="1" applyBorder="1" applyAlignment="1">
      <alignment horizontal="center" vertical="center"/>
    </xf>
    <xf numFmtId="0" fontId="9" fillId="2" borderId="36" xfId="0" applyFont="1" applyFill="1" applyBorder="1" applyAlignment="1">
      <alignment horizontal="center" vertical="center"/>
    </xf>
    <xf numFmtId="0" fontId="9" fillId="2" borderId="34" xfId="0" applyFont="1" applyFill="1" applyBorder="1" applyAlignment="1">
      <alignment horizontal="center" vertical="center"/>
    </xf>
    <xf numFmtId="0" fontId="9" fillId="2" borderId="48" xfId="0" applyFont="1" applyFill="1" applyBorder="1" applyAlignment="1">
      <alignment horizontal="center" vertical="center"/>
    </xf>
    <xf numFmtId="0" fontId="9" fillId="2" borderId="37" xfId="0" applyFont="1" applyFill="1" applyBorder="1" applyAlignment="1">
      <alignment horizontal="center" vertical="center"/>
    </xf>
    <xf numFmtId="0" fontId="23" fillId="2" borderId="64" xfId="0" applyFont="1" applyFill="1" applyBorder="1" applyAlignment="1">
      <alignment horizontal="center" vertical="center"/>
    </xf>
    <xf numFmtId="0" fontId="23" fillId="2" borderId="85" xfId="0" applyFont="1" applyFill="1" applyBorder="1" applyAlignment="1">
      <alignment horizontal="center" vertical="center"/>
    </xf>
    <xf numFmtId="170" fontId="9" fillId="2" borderId="48" xfId="0" applyNumberFormat="1" applyFont="1" applyFill="1" applyBorder="1" applyAlignment="1">
      <alignment horizontal="right" vertical="center"/>
    </xf>
    <xf numFmtId="170" fontId="9" fillId="2" borderId="37" xfId="0" applyNumberFormat="1" applyFont="1" applyFill="1" applyBorder="1" applyAlignment="1">
      <alignment horizontal="right" vertical="center"/>
    </xf>
  </cellXfs>
  <cellStyles count="31">
    <cellStyle name="Check Cell 2" xfId="22" xr:uid="{00000000-0005-0000-0000-000000000000}"/>
    <cellStyle name="Comma 2" xfId="8" xr:uid="{00000000-0005-0000-0000-000002000000}"/>
    <cellStyle name="Comma 2 2" xfId="26" xr:uid="{00000000-0005-0000-0000-000003000000}"/>
    <cellStyle name="Comma 3" xfId="23" xr:uid="{00000000-0005-0000-0000-000004000000}"/>
    <cellStyle name="Currency 2" xfId="10" xr:uid="{00000000-0005-0000-0000-000005000000}"/>
    <cellStyle name="Hyperlink 2" xfId="6" xr:uid="{00000000-0005-0000-0000-000007000000}"/>
    <cellStyle name="Hyperlink 3" xfId="30" xr:uid="{00000000-0005-0000-0000-000008000000}"/>
    <cellStyle name="Köprü" xfId="5" builtinId="8"/>
    <cellStyle name="Normal" xfId="0" builtinId="0"/>
    <cellStyle name="Normal 2" xfId="3" xr:uid="{00000000-0005-0000-0000-00000A000000}"/>
    <cellStyle name="Normal 2 2" xfId="12" xr:uid="{00000000-0005-0000-0000-00000B000000}"/>
    <cellStyle name="Normal 2 2 2" xfId="13" xr:uid="{00000000-0005-0000-0000-00000C000000}"/>
    <cellStyle name="Normal 2 2 3" xfId="14" xr:uid="{00000000-0005-0000-0000-00000D000000}"/>
    <cellStyle name="Normal 3" xfId="4" xr:uid="{00000000-0005-0000-0000-00000E000000}"/>
    <cellStyle name="Normal 3 2" xfId="9" xr:uid="{00000000-0005-0000-0000-00000F000000}"/>
    <cellStyle name="Normal 3 2 2" xfId="15" xr:uid="{00000000-0005-0000-0000-000010000000}"/>
    <cellStyle name="Normal 3 2 3" xfId="16" xr:uid="{00000000-0005-0000-0000-000011000000}"/>
    <cellStyle name="Normal 3 3" xfId="24" xr:uid="{00000000-0005-0000-0000-000012000000}"/>
    <cellStyle name="Normal 4" xfId="7" xr:uid="{00000000-0005-0000-0000-000013000000}"/>
    <cellStyle name="Normal 5" xfId="17" xr:uid="{00000000-0005-0000-0000-000014000000}"/>
    <cellStyle name="Normal 6" xfId="18" xr:uid="{00000000-0005-0000-0000-000015000000}"/>
    <cellStyle name="Normal 7" xfId="19" xr:uid="{00000000-0005-0000-0000-000016000000}"/>
    <cellStyle name="Normal 8" xfId="20" xr:uid="{00000000-0005-0000-0000-000017000000}"/>
    <cellStyle name="Normal 9" xfId="28" xr:uid="{00000000-0005-0000-0000-000018000000}"/>
    <cellStyle name="Normal_Financial" xfId="25" xr:uid="{00000000-0005-0000-0000-000019000000}"/>
    <cellStyle name="Percent 2" xfId="11" xr:uid="{00000000-0005-0000-0000-00001B000000}"/>
    <cellStyle name="Percent 2 2" xfId="29" xr:uid="{00000000-0005-0000-0000-00001C000000}"/>
    <cellStyle name="Percent 3" xfId="27" xr:uid="{00000000-0005-0000-0000-00001D000000}"/>
    <cellStyle name="Standard_Policy Deployment L" xfId="21" xr:uid="{00000000-0005-0000-0000-00001E000000}"/>
    <cellStyle name="Virgül" xfId="2" builtinId="3"/>
    <cellStyle name="Yüzde" xfId="1" builtinId="5"/>
  </cellStyles>
  <dxfs count="25">
    <dxf>
      <fill>
        <patternFill>
          <bgColor rgb="FFFFCC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DDDDDD"/>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ill>
        <patternFill>
          <bgColor rgb="FFFF7C80"/>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ont>
        <color rgb="FF006100"/>
      </font>
      <fill>
        <patternFill>
          <bgColor rgb="FFC6EFCE"/>
        </patternFill>
      </fill>
    </dxf>
    <dxf>
      <font>
        <color rgb="FF9C0006"/>
      </font>
      <fill>
        <patternFill>
          <bgColor rgb="FFFFC7CE"/>
        </patternFill>
      </fill>
    </dxf>
    <dxf>
      <fill>
        <patternFill>
          <bgColor rgb="FFFF0000"/>
        </patternFill>
      </fill>
    </dxf>
    <dxf>
      <fill>
        <patternFill>
          <bgColor rgb="FFFF0000"/>
        </patternFill>
      </fill>
    </dxf>
    <dxf>
      <fill>
        <patternFill>
          <bgColor indexed="11"/>
        </patternFill>
      </fill>
    </dxf>
    <dxf>
      <fill>
        <patternFill>
          <bgColor indexed="11"/>
        </patternFill>
      </fill>
    </dxf>
    <dxf>
      <fill>
        <patternFill>
          <bgColor indexed="11"/>
        </patternFill>
      </fill>
    </dxf>
  </dxfs>
  <tableStyles count="0" defaultTableStyle="TableStyleMedium2" defaultPivotStyle="PivotStyleLight16"/>
  <colors>
    <mruColors>
      <color rgb="FFFFCCCC"/>
      <color rgb="FFDDDDDD"/>
      <color rgb="FFCCFFFF"/>
      <color rgb="FFFFFFCC"/>
      <color rgb="FF99FFCC"/>
      <color rgb="FF00FFFF"/>
      <color rgb="FFCC9900"/>
      <color rgb="FFF8F8F8"/>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4</xdr:col>
      <xdr:colOff>0</xdr:colOff>
      <xdr:row>143</xdr:row>
      <xdr:rowOff>0</xdr:rowOff>
    </xdr:from>
    <xdr:to>
      <xdr:col>4</xdr:col>
      <xdr:colOff>104775</xdr:colOff>
      <xdr:row>143</xdr:row>
      <xdr:rowOff>165100</xdr:rowOff>
    </xdr:to>
    <xdr:sp macro="" textlink="">
      <xdr:nvSpPr>
        <xdr:cNvPr id="2" name="Text Box 9">
          <a:extLst>
            <a:ext uri="{FF2B5EF4-FFF2-40B4-BE49-F238E27FC236}">
              <a16:creationId xmlns:a16="http://schemas.microsoft.com/office/drawing/2014/main" id="{00000000-0008-0000-0000-000002000000}"/>
            </a:ext>
          </a:extLst>
        </xdr:cNvPr>
        <xdr:cNvSpPr txBox="1">
          <a:spLocks noChangeArrowheads="1"/>
        </xdr:cNvSpPr>
      </xdr:nvSpPr>
      <xdr:spPr bwMode="auto">
        <a:xfrm>
          <a:off x="4333875" y="27184350"/>
          <a:ext cx="104775" cy="165100"/>
        </a:xfrm>
        <a:prstGeom prst="rect">
          <a:avLst/>
        </a:prstGeom>
        <a:noFill/>
        <a:ln w="9525">
          <a:noFill/>
          <a:miter lim="800000"/>
          <a:headEnd/>
          <a:tailEnd/>
        </a:ln>
      </xdr:spPr>
    </xdr:sp>
    <xdr:clientData/>
  </xdr:twoCellAnchor>
  <xdr:twoCellAnchor editAs="oneCell">
    <xdr:from>
      <xdr:col>4</xdr:col>
      <xdr:colOff>0</xdr:colOff>
      <xdr:row>143</xdr:row>
      <xdr:rowOff>0</xdr:rowOff>
    </xdr:from>
    <xdr:to>
      <xdr:col>4</xdr:col>
      <xdr:colOff>104775</xdr:colOff>
      <xdr:row>143</xdr:row>
      <xdr:rowOff>165100</xdr:rowOff>
    </xdr:to>
    <xdr:sp macro="" textlink="">
      <xdr:nvSpPr>
        <xdr:cNvPr id="3" name="Text Box 38">
          <a:extLst>
            <a:ext uri="{FF2B5EF4-FFF2-40B4-BE49-F238E27FC236}">
              <a16:creationId xmlns:a16="http://schemas.microsoft.com/office/drawing/2014/main" id="{00000000-0008-0000-0000-000003000000}"/>
            </a:ext>
          </a:extLst>
        </xdr:cNvPr>
        <xdr:cNvSpPr txBox="1">
          <a:spLocks noChangeArrowheads="1"/>
        </xdr:cNvSpPr>
      </xdr:nvSpPr>
      <xdr:spPr bwMode="auto">
        <a:xfrm>
          <a:off x="4333875" y="27184350"/>
          <a:ext cx="104775" cy="165100"/>
        </a:xfrm>
        <a:prstGeom prst="rect">
          <a:avLst/>
        </a:prstGeom>
        <a:noFill/>
        <a:ln w="9525">
          <a:noFill/>
          <a:miter lim="800000"/>
          <a:headEnd/>
          <a:tailEnd/>
        </a:ln>
      </xdr:spPr>
    </xdr:sp>
    <xdr:clientData/>
  </xdr:twoCellAnchor>
  <xdr:twoCellAnchor editAs="oneCell">
    <xdr:from>
      <xdr:col>4</xdr:col>
      <xdr:colOff>0</xdr:colOff>
      <xdr:row>143</xdr:row>
      <xdr:rowOff>0</xdr:rowOff>
    </xdr:from>
    <xdr:to>
      <xdr:col>4</xdr:col>
      <xdr:colOff>104775</xdr:colOff>
      <xdr:row>143</xdr:row>
      <xdr:rowOff>165100</xdr:rowOff>
    </xdr:to>
    <xdr:sp macro="" textlink="">
      <xdr:nvSpPr>
        <xdr:cNvPr id="4" name="Text Box 9">
          <a:extLst>
            <a:ext uri="{FF2B5EF4-FFF2-40B4-BE49-F238E27FC236}">
              <a16:creationId xmlns:a16="http://schemas.microsoft.com/office/drawing/2014/main" id="{00000000-0008-0000-0000-000004000000}"/>
            </a:ext>
          </a:extLst>
        </xdr:cNvPr>
        <xdr:cNvSpPr txBox="1">
          <a:spLocks noChangeArrowheads="1"/>
        </xdr:cNvSpPr>
      </xdr:nvSpPr>
      <xdr:spPr bwMode="auto">
        <a:xfrm>
          <a:off x="4333875" y="27184350"/>
          <a:ext cx="104775" cy="165100"/>
        </a:xfrm>
        <a:prstGeom prst="rect">
          <a:avLst/>
        </a:prstGeom>
        <a:noFill/>
        <a:ln w="9525">
          <a:noFill/>
          <a:miter lim="800000"/>
          <a:headEnd/>
          <a:tailEnd/>
        </a:ln>
      </xdr:spPr>
    </xdr:sp>
    <xdr:clientData/>
  </xdr:twoCellAnchor>
  <xdr:twoCellAnchor editAs="oneCell">
    <xdr:from>
      <xdr:col>4</xdr:col>
      <xdr:colOff>0</xdr:colOff>
      <xdr:row>143</xdr:row>
      <xdr:rowOff>0</xdr:rowOff>
    </xdr:from>
    <xdr:to>
      <xdr:col>4</xdr:col>
      <xdr:colOff>104775</xdr:colOff>
      <xdr:row>143</xdr:row>
      <xdr:rowOff>165100</xdr:rowOff>
    </xdr:to>
    <xdr:sp macro="" textlink="">
      <xdr:nvSpPr>
        <xdr:cNvPr id="5" name="Text Box 38">
          <a:extLst>
            <a:ext uri="{FF2B5EF4-FFF2-40B4-BE49-F238E27FC236}">
              <a16:creationId xmlns:a16="http://schemas.microsoft.com/office/drawing/2014/main" id="{00000000-0008-0000-0000-000005000000}"/>
            </a:ext>
          </a:extLst>
        </xdr:cNvPr>
        <xdr:cNvSpPr txBox="1">
          <a:spLocks noChangeArrowheads="1"/>
        </xdr:cNvSpPr>
      </xdr:nvSpPr>
      <xdr:spPr bwMode="auto">
        <a:xfrm>
          <a:off x="4333875" y="27184350"/>
          <a:ext cx="104775" cy="165100"/>
        </a:xfrm>
        <a:prstGeom prst="rect">
          <a:avLst/>
        </a:prstGeom>
        <a:noFill/>
        <a:ln w="9525">
          <a:noFill/>
          <a:miter lim="800000"/>
          <a:headEnd/>
          <a:tailEnd/>
        </a:ln>
      </xdr:spPr>
    </xdr:sp>
    <xdr:clientData/>
  </xdr:twoCellAnchor>
  <xdr:twoCellAnchor editAs="oneCell">
    <xdr:from>
      <xdr:col>4</xdr:col>
      <xdr:colOff>0</xdr:colOff>
      <xdr:row>143</xdr:row>
      <xdr:rowOff>0</xdr:rowOff>
    </xdr:from>
    <xdr:to>
      <xdr:col>4</xdr:col>
      <xdr:colOff>104775</xdr:colOff>
      <xdr:row>143</xdr:row>
      <xdr:rowOff>165100</xdr:rowOff>
    </xdr:to>
    <xdr:sp macro="" textlink="">
      <xdr:nvSpPr>
        <xdr:cNvPr id="6" name="Text Box 9">
          <a:extLst>
            <a:ext uri="{FF2B5EF4-FFF2-40B4-BE49-F238E27FC236}">
              <a16:creationId xmlns:a16="http://schemas.microsoft.com/office/drawing/2014/main" id="{00000000-0008-0000-0000-000006000000}"/>
            </a:ext>
          </a:extLst>
        </xdr:cNvPr>
        <xdr:cNvSpPr txBox="1">
          <a:spLocks noChangeArrowheads="1"/>
        </xdr:cNvSpPr>
      </xdr:nvSpPr>
      <xdr:spPr bwMode="auto">
        <a:xfrm>
          <a:off x="4333875" y="27184350"/>
          <a:ext cx="104775" cy="165100"/>
        </a:xfrm>
        <a:prstGeom prst="rect">
          <a:avLst/>
        </a:prstGeom>
        <a:noFill/>
        <a:ln w="9525">
          <a:noFill/>
          <a:miter lim="800000"/>
          <a:headEnd/>
          <a:tailEnd/>
        </a:ln>
      </xdr:spPr>
    </xdr:sp>
    <xdr:clientData/>
  </xdr:twoCellAnchor>
  <xdr:twoCellAnchor editAs="oneCell">
    <xdr:from>
      <xdr:col>4</xdr:col>
      <xdr:colOff>0</xdr:colOff>
      <xdr:row>143</xdr:row>
      <xdr:rowOff>0</xdr:rowOff>
    </xdr:from>
    <xdr:to>
      <xdr:col>4</xdr:col>
      <xdr:colOff>104775</xdr:colOff>
      <xdr:row>143</xdr:row>
      <xdr:rowOff>165100</xdr:rowOff>
    </xdr:to>
    <xdr:sp macro="" textlink="">
      <xdr:nvSpPr>
        <xdr:cNvPr id="7" name="Text Box 38">
          <a:extLst>
            <a:ext uri="{FF2B5EF4-FFF2-40B4-BE49-F238E27FC236}">
              <a16:creationId xmlns:a16="http://schemas.microsoft.com/office/drawing/2014/main" id="{00000000-0008-0000-0000-000007000000}"/>
            </a:ext>
          </a:extLst>
        </xdr:cNvPr>
        <xdr:cNvSpPr txBox="1">
          <a:spLocks noChangeArrowheads="1"/>
        </xdr:cNvSpPr>
      </xdr:nvSpPr>
      <xdr:spPr bwMode="auto">
        <a:xfrm>
          <a:off x="4333875" y="27184350"/>
          <a:ext cx="104775" cy="165100"/>
        </a:xfrm>
        <a:prstGeom prst="rect">
          <a:avLst/>
        </a:prstGeom>
        <a:noFill/>
        <a:ln w="9525">
          <a:noFill/>
          <a:miter lim="800000"/>
          <a:headEnd/>
          <a:tailEnd/>
        </a:ln>
      </xdr:spPr>
    </xdr:sp>
    <xdr:clientData/>
  </xdr:twoCellAnchor>
  <xdr:twoCellAnchor editAs="oneCell">
    <xdr:from>
      <xdr:col>4</xdr:col>
      <xdr:colOff>0</xdr:colOff>
      <xdr:row>143</xdr:row>
      <xdr:rowOff>0</xdr:rowOff>
    </xdr:from>
    <xdr:to>
      <xdr:col>4</xdr:col>
      <xdr:colOff>104775</xdr:colOff>
      <xdr:row>143</xdr:row>
      <xdr:rowOff>165100</xdr:rowOff>
    </xdr:to>
    <xdr:sp macro="" textlink="">
      <xdr:nvSpPr>
        <xdr:cNvPr id="8" name="Text Box 9">
          <a:extLst>
            <a:ext uri="{FF2B5EF4-FFF2-40B4-BE49-F238E27FC236}">
              <a16:creationId xmlns:a16="http://schemas.microsoft.com/office/drawing/2014/main" id="{00000000-0008-0000-0000-000008000000}"/>
            </a:ext>
          </a:extLst>
        </xdr:cNvPr>
        <xdr:cNvSpPr txBox="1">
          <a:spLocks noChangeArrowheads="1"/>
        </xdr:cNvSpPr>
      </xdr:nvSpPr>
      <xdr:spPr bwMode="auto">
        <a:xfrm>
          <a:off x="4333875" y="27184350"/>
          <a:ext cx="104775" cy="165100"/>
        </a:xfrm>
        <a:prstGeom prst="rect">
          <a:avLst/>
        </a:prstGeom>
        <a:noFill/>
        <a:ln w="9525">
          <a:noFill/>
          <a:miter lim="800000"/>
          <a:headEnd/>
          <a:tailEnd/>
        </a:ln>
      </xdr:spPr>
    </xdr:sp>
    <xdr:clientData/>
  </xdr:twoCellAnchor>
  <xdr:twoCellAnchor editAs="oneCell">
    <xdr:from>
      <xdr:col>4</xdr:col>
      <xdr:colOff>0</xdr:colOff>
      <xdr:row>143</xdr:row>
      <xdr:rowOff>0</xdr:rowOff>
    </xdr:from>
    <xdr:to>
      <xdr:col>4</xdr:col>
      <xdr:colOff>104775</xdr:colOff>
      <xdr:row>143</xdr:row>
      <xdr:rowOff>165100</xdr:rowOff>
    </xdr:to>
    <xdr:sp macro="" textlink="">
      <xdr:nvSpPr>
        <xdr:cNvPr id="9" name="Text Box 38">
          <a:extLst>
            <a:ext uri="{FF2B5EF4-FFF2-40B4-BE49-F238E27FC236}">
              <a16:creationId xmlns:a16="http://schemas.microsoft.com/office/drawing/2014/main" id="{00000000-0008-0000-0000-000009000000}"/>
            </a:ext>
          </a:extLst>
        </xdr:cNvPr>
        <xdr:cNvSpPr txBox="1">
          <a:spLocks noChangeArrowheads="1"/>
        </xdr:cNvSpPr>
      </xdr:nvSpPr>
      <xdr:spPr bwMode="auto">
        <a:xfrm>
          <a:off x="4333875" y="27184350"/>
          <a:ext cx="104775" cy="165100"/>
        </a:xfrm>
        <a:prstGeom prst="rect">
          <a:avLst/>
        </a:prstGeom>
        <a:noFill/>
        <a:ln w="9525">
          <a:noFill/>
          <a:miter lim="800000"/>
          <a:headEnd/>
          <a:tailEnd/>
        </a:ln>
      </xdr:spPr>
    </xdr:sp>
    <xdr:clientData/>
  </xdr:twoCellAnchor>
  <xdr:twoCellAnchor editAs="oneCell">
    <xdr:from>
      <xdr:col>4</xdr:col>
      <xdr:colOff>0</xdr:colOff>
      <xdr:row>143</xdr:row>
      <xdr:rowOff>0</xdr:rowOff>
    </xdr:from>
    <xdr:to>
      <xdr:col>4</xdr:col>
      <xdr:colOff>104775</xdr:colOff>
      <xdr:row>143</xdr:row>
      <xdr:rowOff>161925</xdr:rowOff>
    </xdr:to>
    <xdr:sp macro="" textlink="">
      <xdr:nvSpPr>
        <xdr:cNvPr id="10" name="Text Box 9">
          <a:extLst>
            <a:ext uri="{FF2B5EF4-FFF2-40B4-BE49-F238E27FC236}">
              <a16:creationId xmlns:a16="http://schemas.microsoft.com/office/drawing/2014/main" id="{00000000-0008-0000-0000-00000A000000}"/>
            </a:ext>
          </a:extLst>
        </xdr:cNvPr>
        <xdr:cNvSpPr txBox="1">
          <a:spLocks noChangeArrowheads="1"/>
        </xdr:cNvSpPr>
      </xdr:nvSpPr>
      <xdr:spPr bwMode="auto">
        <a:xfrm>
          <a:off x="4333875" y="27184350"/>
          <a:ext cx="104775" cy="161925"/>
        </a:xfrm>
        <a:prstGeom prst="rect">
          <a:avLst/>
        </a:prstGeom>
        <a:noFill/>
        <a:ln w="9525">
          <a:noFill/>
          <a:miter lim="800000"/>
          <a:headEnd/>
          <a:tailEnd/>
        </a:ln>
      </xdr:spPr>
    </xdr:sp>
    <xdr:clientData/>
  </xdr:twoCellAnchor>
  <xdr:twoCellAnchor editAs="oneCell">
    <xdr:from>
      <xdr:col>4</xdr:col>
      <xdr:colOff>0</xdr:colOff>
      <xdr:row>143</xdr:row>
      <xdr:rowOff>0</xdr:rowOff>
    </xdr:from>
    <xdr:to>
      <xdr:col>4</xdr:col>
      <xdr:colOff>104775</xdr:colOff>
      <xdr:row>143</xdr:row>
      <xdr:rowOff>161925</xdr:rowOff>
    </xdr:to>
    <xdr:sp macro="" textlink="">
      <xdr:nvSpPr>
        <xdr:cNvPr id="11" name="Text Box 38">
          <a:extLst>
            <a:ext uri="{FF2B5EF4-FFF2-40B4-BE49-F238E27FC236}">
              <a16:creationId xmlns:a16="http://schemas.microsoft.com/office/drawing/2014/main" id="{00000000-0008-0000-0000-00000B000000}"/>
            </a:ext>
          </a:extLst>
        </xdr:cNvPr>
        <xdr:cNvSpPr txBox="1">
          <a:spLocks noChangeArrowheads="1"/>
        </xdr:cNvSpPr>
      </xdr:nvSpPr>
      <xdr:spPr bwMode="auto">
        <a:xfrm>
          <a:off x="4333875" y="27184350"/>
          <a:ext cx="104775" cy="161925"/>
        </a:xfrm>
        <a:prstGeom prst="rect">
          <a:avLst/>
        </a:prstGeom>
        <a:noFill/>
        <a:ln w="9525">
          <a:noFill/>
          <a:miter lim="800000"/>
          <a:headEnd/>
          <a:tailEnd/>
        </a:ln>
      </xdr:spPr>
    </xdr:sp>
    <xdr:clientData/>
  </xdr:twoCellAnchor>
  <xdr:twoCellAnchor editAs="oneCell">
    <xdr:from>
      <xdr:col>4</xdr:col>
      <xdr:colOff>0</xdr:colOff>
      <xdr:row>143</xdr:row>
      <xdr:rowOff>0</xdr:rowOff>
    </xdr:from>
    <xdr:to>
      <xdr:col>4</xdr:col>
      <xdr:colOff>104775</xdr:colOff>
      <xdr:row>143</xdr:row>
      <xdr:rowOff>161925</xdr:rowOff>
    </xdr:to>
    <xdr:sp macro="" textlink="">
      <xdr:nvSpPr>
        <xdr:cNvPr id="12" name="Text Box 9">
          <a:extLst>
            <a:ext uri="{FF2B5EF4-FFF2-40B4-BE49-F238E27FC236}">
              <a16:creationId xmlns:a16="http://schemas.microsoft.com/office/drawing/2014/main" id="{00000000-0008-0000-0000-00000C000000}"/>
            </a:ext>
          </a:extLst>
        </xdr:cNvPr>
        <xdr:cNvSpPr txBox="1">
          <a:spLocks noChangeArrowheads="1"/>
        </xdr:cNvSpPr>
      </xdr:nvSpPr>
      <xdr:spPr bwMode="auto">
        <a:xfrm>
          <a:off x="4333875" y="27184350"/>
          <a:ext cx="104775" cy="161925"/>
        </a:xfrm>
        <a:prstGeom prst="rect">
          <a:avLst/>
        </a:prstGeom>
        <a:noFill/>
        <a:ln w="9525">
          <a:noFill/>
          <a:miter lim="800000"/>
          <a:headEnd/>
          <a:tailEnd/>
        </a:ln>
      </xdr:spPr>
    </xdr:sp>
    <xdr:clientData/>
  </xdr:twoCellAnchor>
  <xdr:twoCellAnchor editAs="oneCell">
    <xdr:from>
      <xdr:col>4</xdr:col>
      <xdr:colOff>0</xdr:colOff>
      <xdr:row>143</xdr:row>
      <xdr:rowOff>0</xdr:rowOff>
    </xdr:from>
    <xdr:to>
      <xdr:col>4</xdr:col>
      <xdr:colOff>104775</xdr:colOff>
      <xdr:row>143</xdr:row>
      <xdr:rowOff>161925</xdr:rowOff>
    </xdr:to>
    <xdr:sp macro="" textlink="">
      <xdr:nvSpPr>
        <xdr:cNvPr id="13" name="Text Box 38">
          <a:extLst>
            <a:ext uri="{FF2B5EF4-FFF2-40B4-BE49-F238E27FC236}">
              <a16:creationId xmlns:a16="http://schemas.microsoft.com/office/drawing/2014/main" id="{00000000-0008-0000-0000-00000D000000}"/>
            </a:ext>
          </a:extLst>
        </xdr:cNvPr>
        <xdr:cNvSpPr txBox="1">
          <a:spLocks noChangeArrowheads="1"/>
        </xdr:cNvSpPr>
      </xdr:nvSpPr>
      <xdr:spPr bwMode="auto">
        <a:xfrm>
          <a:off x="4333875" y="27184350"/>
          <a:ext cx="104775" cy="161925"/>
        </a:xfrm>
        <a:prstGeom prst="rect">
          <a:avLst/>
        </a:prstGeom>
        <a:noFill/>
        <a:ln w="9525">
          <a:noFill/>
          <a:miter lim="800000"/>
          <a:headEnd/>
          <a:tailEnd/>
        </a:ln>
      </xdr:spPr>
    </xdr:sp>
    <xdr:clientData/>
  </xdr:twoCellAnchor>
  <xdr:twoCellAnchor editAs="oneCell">
    <xdr:from>
      <xdr:col>4</xdr:col>
      <xdr:colOff>0</xdr:colOff>
      <xdr:row>143</xdr:row>
      <xdr:rowOff>0</xdr:rowOff>
    </xdr:from>
    <xdr:to>
      <xdr:col>4</xdr:col>
      <xdr:colOff>104775</xdr:colOff>
      <xdr:row>143</xdr:row>
      <xdr:rowOff>165100</xdr:rowOff>
    </xdr:to>
    <xdr:sp macro="" textlink="">
      <xdr:nvSpPr>
        <xdr:cNvPr id="14" name="Text Box 9">
          <a:extLst>
            <a:ext uri="{FF2B5EF4-FFF2-40B4-BE49-F238E27FC236}">
              <a16:creationId xmlns:a16="http://schemas.microsoft.com/office/drawing/2014/main" id="{00000000-0008-0000-0000-00000E000000}"/>
            </a:ext>
          </a:extLst>
        </xdr:cNvPr>
        <xdr:cNvSpPr txBox="1">
          <a:spLocks noChangeArrowheads="1"/>
        </xdr:cNvSpPr>
      </xdr:nvSpPr>
      <xdr:spPr bwMode="auto">
        <a:xfrm>
          <a:off x="4333875" y="27184350"/>
          <a:ext cx="104775" cy="165100"/>
        </a:xfrm>
        <a:prstGeom prst="rect">
          <a:avLst/>
        </a:prstGeom>
        <a:noFill/>
        <a:ln w="9525">
          <a:noFill/>
          <a:miter lim="800000"/>
          <a:headEnd/>
          <a:tailEnd/>
        </a:ln>
      </xdr:spPr>
    </xdr:sp>
    <xdr:clientData/>
  </xdr:twoCellAnchor>
  <xdr:twoCellAnchor editAs="oneCell">
    <xdr:from>
      <xdr:col>4</xdr:col>
      <xdr:colOff>0</xdr:colOff>
      <xdr:row>143</xdr:row>
      <xdr:rowOff>0</xdr:rowOff>
    </xdr:from>
    <xdr:to>
      <xdr:col>4</xdr:col>
      <xdr:colOff>104775</xdr:colOff>
      <xdr:row>143</xdr:row>
      <xdr:rowOff>165100</xdr:rowOff>
    </xdr:to>
    <xdr:sp macro="" textlink="">
      <xdr:nvSpPr>
        <xdr:cNvPr id="15" name="Text Box 38">
          <a:extLst>
            <a:ext uri="{FF2B5EF4-FFF2-40B4-BE49-F238E27FC236}">
              <a16:creationId xmlns:a16="http://schemas.microsoft.com/office/drawing/2014/main" id="{00000000-0008-0000-0000-00000F000000}"/>
            </a:ext>
          </a:extLst>
        </xdr:cNvPr>
        <xdr:cNvSpPr txBox="1">
          <a:spLocks noChangeArrowheads="1"/>
        </xdr:cNvSpPr>
      </xdr:nvSpPr>
      <xdr:spPr bwMode="auto">
        <a:xfrm>
          <a:off x="4333875" y="27184350"/>
          <a:ext cx="104775" cy="165100"/>
        </a:xfrm>
        <a:prstGeom prst="rect">
          <a:avLst/>
        </a:prstGeom>
        <a:noFill/>
        <a:ln w="9525">
          <a:noFill/>
          <a:miter lim="800000"/>
          <a:headEnd/>
          <a:tailEnd/>
        </a:ln>
      </xdr:spPr>
    </xdr:sp>
    <xdr:clientData/>
  </xdr:twoCellAnchor>
  <xdr:twoCellAnchor editAs="oneCell">
    <xdr:from>
      <xdr:col>4</xdr:col>
      <xdr:colOff>0</xdr:colOff>
      <xdr:row>143</xdr:row>
      <xdr:rowOff>0</xdr:rowOff>
    </xdr:from>
    <xdr:to>
      <xdr:col>4</xdr:col>
      <xdr:colOff>104775</xdr:colOff>
      <xdr:row>143</xdr:row>
      <xdr:rowOff>165100</xdr:rowOff>
    </xdr:to>
    <xdr:sp macro="" textlink="">
      <xdr:nvSpPr>
        <xdr:cNvPr id="16" name="Text Box 9">
          <a:extLst>
            <a:ext uri="{FF2B5EF4-FFF2-40B4-BE49-F238E27FC236}">
              <a16:creationId xmlns:a16="http://schemas.microsoft.com/office/drawing/2014/main" id="{00000000-0008-0000-0000-000010000000}"/>
            </a:ext>
          </a:extLst>
        </xdr:cNvPr>
        <xdr:cNvSpPr txBox="1">
          <a:spLocks noChangeArrowheads="1"/>
        </xdr:cNvSpPr>
      </xdr:nvSpPr>
      <xdr:spPr bwMode="auto">
        <a:xfrm>
          <a:off x="4333875" y="27184350"/>
          <a:ext cx="104775" cy="165100"/>
        </a:xfrm>
        <a:prstGeom prst="rect">
          <a:avLst/>
        </a:prstGeom>
        <a:noFill/>
        <a:ln w="9525">
          <a:noFill/>
          <a:miter lim="800000"/>
          <a:headEnd/>
          <a:tailEnd/>
        </a:ln>
      </xdr:spPr>
    </xdr:sp>
    <xdr:clientData/>
  </xdr:twoCellAnchor>
  <xdr:twoCellAnchor editAs="oneCell">
    <xdr:from>
      <xdr:col>4</xdr:col>
      <xdr:colOff>0</xdr:colOff>
      <xdr:row>143</xdr:row>
      <xdr:rowOff>0</xdr:rowOff>
    </xdr:from>
    <xdr:to>
      <xdr:col>4</xdr:col>
      <xdr:colOff>104775</xdr:colOff>
      <xdr:row>143</xdr:row>
      <xdr:rowOff>165100</xdr:rowOff>
    </xdr:to>
    <xdr:sp macro="" textlink="">
      <xdr:nvSpPr>
        <xdr:cNvPr id="17" name="Text Box 38">
          <a:extLst>
            <a:ext uri="{FF2B5EF4-FFF2-40B4-BE49-F238E27FC236}">
              <a16:creationId xmlns:a16="http://schemas.microsoft.com/office/drawing/2014/main" id="{00000000-0008-0000-0000-000011000000}"/>
            </a:ext>
          </a:extLst>
        </xdr:cNvPr>
        <xdr:cNvSpPr txBox="1">
          <a:spLocks noChangeArrowheads="1"/>
        </xdr:cNvSpPr>
      </xdr:nvSpPr>
      <xdr:spPr bwMode="auto">
        <a:xfrm>
          <a:off x="4333875" y="27184350"/>
          <a:ext cx="104775" cy="165100"/>
        </a:xfrm>
        <a:prstGeom prst="rect">
          <a:avLst/>
        </a:prstGeom>
        <a:noFill/>
        <a:ln w="9525">
          <a:no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1315947</xdr:colOff>
      <xdr:row>0</xdr:row>
      <xdr:rowOff>70338</xdr:rowOff>
    </xdr:from>
    <xdr:to>
      <xdr:col>12</xdr:col>
      <xdr:colOff>1348154</xdr:colOff>
      <xdr:row>2</xdr:row>
      <xdr:rowOff>8060</xdr:rowOff>
    </xdr:to>
    <xdr:pic>
      <xdr:nvPicPr>
        <xdr:cNvPr id="2" name="Picture 19" descr="New 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340285" y="70338"/>
          <a:ext cx="1368638" cy="7114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15240</xdr:colOff>
      <xdr:row>1</xdr:row>
      <xdr:rowOff>106680</xdr:rowOff>
    </xdr:from>
    <xdr:to>
      <xdr:col>11</xdr:col>
      <xdr:colOff>45719</xdr:colOff>
      <xdr:row>3</xdr:row>
      <xdr:rowOff>243840</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822180" y="281940"/>
          <a:ext cx="2072639" cy="59436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632460</xdr:colOff>
      <xdr:row>1</xdr:row>
      <xdr:rowOff>152400</xdr:rowOff>
    </xdr:from>
    <xdr:to>
      <xdr:col>6</xdr:col>
      <xdr:colOff>1158239</xdr:colOff>
      <xdr:row>5</xdr:row>
      <xdr:rowOff>45720</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280660" y="327660"/>
          <a:ext cx="1790699" cy="6096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5162550</xdr:colOff>
      <xdr:row>0</xdr:row>
      <xdr:rowOff>95251</xdr:rowOff>
    </xdr:from>
    <xdr:to>
      <xdr:col>2</xdr:col>
      <xdr:colOff>504825</xdr:colOff>
      <xdr:row>3</xdr:row>
      <xdr:rowOff>249791</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772150" y="95251"/>
          <a:ext cx="1674495" cy="7031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I:\VMS\Eren\Costing%20Model\Final\Product%20Costing%20Files\Retail_MAN%20&amp;%20VW%20Standard%20Costing.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I:\VMS\Eren\Costing%20Model\Final\Retail%20Price%20List%20Summary.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I:\VMS\Eren\Costing%20Model\Final\Limits%20Report.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I:\VMS\Eren\Costing%20Model\Final\Matrix%20Extern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mbrace"/>
      <sheetName val="TRP Cost"/>
      <sheetName val="price list MAN"/>
      <sheetName val="price list VW"/>
      <sheetName val="Retail_ASM_MAN"/>
      <sheetName val="Retail_ASM_VW"/>
      <sheetName val="OTP"/>
      <sheetName val="DATA SHEET"/>
      <sheetName val="Trade In's"/>
      <sheetName val="Month of Invoicing_Retail MAN"/>
      <sheetName val="MAN_VEHICLE MARGIN (CM2)"/>
      <sheetName val="VW_VEHICLE MARGIN (CM2)"/>
      <sheetName val="MAN CKD Standard Costing"/>
      <sheetName val="VW CKD Standard Costing"/>
      <sheetName val="FileNames"/>
    </sheetNames>
    <sheetDataSet>
      <sheetData sheetId="0"/>
      <sheetData sheetId="1"/>
      <sheetData sheetId="2"/>
      <sheetData sheetId="3"/>
      <sheetData sheetId="4">
        <row r="41">
          <cell r="O41" t="str">
            <v>TGS</v>
          </cell>
        </row>
        <row r="48">
          <cell r="F48">
            <v>741465.58109057997</v>
          </cell>
          <cell r="G48">
            <v>741465.58109999995</v>
          </cell>
        </row>
        <row r="55">
          <cell r="F55">
            <v>0</v>
          </cell>
          <cell r="G55">
            <v>0</v>
          </cell>
        </row>
        <row r="59">
          <cell r="G59"/>
        </row>
        <row r="61">
          <cell r="F61"/>
        </row>
        <row r="64">
          <cell r="F64" t="str">
            <v>Combination</v>
          </cell>
        </row>
      </sheetData>
      <sheetData sheetId="5"/>
      <sheetData sheetId="6"/>
      <sheetData sheetId="7"/>
      <sheetData sheetId="8"/>
      <sheetData sheetId="9"/>
      <sheetData sheetId="10"/>
      <sheetData sheetId="11"/>
      <sheetData sheetId="12"/>
      <sheetData sheetId="13"/>
      <sheetData sheetId="1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tail Price List"/>
      <sheetName val="Trucks"/>
      <sheetName val="VW Trucks"/>
      <sheetName val="MAN TBAs"/>
      <sheetName val="VW TBAs"/>
    </sheetNames>
    <sheetDataSet>
      <sheetData sheetId="0">
        <row r="3">
          <cell r="A3" t="str">
            <v>MODEL</v>
          </cell>
          <cell r="B3" t="str">
            <v>KP Numbers from PTN OB</v>
          </cell>
        </row>
        <row r="4">
          <cell r="A4" t="str">
            <v>CLA-15-2204X2BB-C</v>
          </cell>
          <cell r="B4" t="str">
            <v>KP000589</v>
          </cell>
          <cell r="C4" t="str">
            <v>KP000589CLA-15-2204X2BB-C</v>
          </cell>
          <cell r="D4">
            <v>650000</v>
          </cell>
          <cell r="E4">
            <v>665000</v>
          </cell>
          <cell r="F4">
            <v>674000</v>
          </cell>
        </row>
        <row r="5">
          <cell r="A5" t="str">
            <v>CLA-15-2204X2BB-C-CKD</v>
          </cell>
          <cell r="B5" t="str">
            <v>KP000589</v>
          </cell>
          <cell r="C5" t="str">
            <v>KP000589CLA-15-2204X2BB-C-CKD</v>
          </cell>
          <cell r="D5">
            <v>650000</v>
          </cell>
          <cell r="E5">
            <v>665000</v>
          </cell>
          <cell r="F5">
            <v>674000</v>
          </cell>
        </row>
        <row r="6">
          <cell r="A6" t="str">
            <v>CLA-16-2204X2BB-C</v>
          </cell>
          <cell r="B6" t="str">
            <v>Special Order</v>
          </cell>
          <cell r="C6" t="str">
            <v>Special OrderCLA-16-2204X2BB-C</v>
          </cell>
          <cell r="D6" t="str">
            <v>Special Order</v>
          </cell>
          <cell r="E6" t="str">
            <v>Special Order</v>
          </cell>
          <cell r="F6" t="str">
            <v>Special Order</v>
          </cell>
        </row>
        <row r="7">
          <cell r="A7" t="str">
            <v>CLA-20-2804X2BB-C</v>
          </cell>
          <cell r="B7" t="str">
            <v>Special Order</v>
          </cell>
          <cell r="C7" t="str">
            <v>Special OrderCLA-20-2804X2BB-C</v>
          </cell>
          <cell r="D7" t="str">
            <v>Special Order</v>
          </cell>
          <cell r="E7" t="str">
            <v>Special Order</v>
          </cell>
          <cell r="F7" t="str">
            <v>Special Order</v>
          </cell>
        </row>
        <row r="8">
          <cell r="A8" t="str">
            <v>CLA-26-2806X4BB-C-K</v>
          </cell>
          <cell r="B8" t="str">
            <v>KP000516</v>
          </cell>
          <cell r="C8" t="str">
            <v>KP000516CLA-26-2806X4BB-C-K</v>
          </cell>
          <cell r="D8">
            <v>975000</v>
          </cell>
          <cell r="E8">
            <v>990000</v>
          </cell>
          <cell r="F8">
            <v>1007500</v>
          </cell>
        </row>
        <row r="9">
          <cell r="A9" t="str">
            <v>CLA-26-2806X4BB-C-L</v>
          </cell>
          <cell r="B9" t="str">
            <v>KP000590</v>
          </cell>
          <cell r="C9" t="str">
            <v>KP000590CLA-26-2806X4BB-C-L</v>
          </cell>
          <cell r="D9">
            <v>960000</v>
          </cell>
          <cell r="E9">
            <v>985000</v>
          </cell>
          <cell r="F9">
            <v>1002500</v>
          </cell>
        </row>
        <row r="10">
          <cell r="A10" t="str">
            <v>CLA-26-2806X4BB-C-M</v>
          </cell>
          <cell r="B10" t="str">
            <v>KP000564</v>
          </cell>
          <cell r="C10" t="str">
            <v>KP000564CLA-26-2806X4BB-C-M</v>
          </cell>
          <cell r="D10">
            <v>1000000</v>
          </cell>
          <cell r="E10">
            <v>1030000</v>
          </cell>
          <cell r="F10">
            <v>1047500</v>
          </cell>
        </row>
        <row r="11">
          <cell r="A11" t="str">
            <v>CLA-26-2806X4BBS-L</v>
          </cell>
          <cell r="B11" t="str">
            <v>Special Order</v>
          </cell>
          <cell r="C11" t="str">
            <v>Special OrderCLA-26-2806X4BBS-L</v>
          </cell>
          <cell r="D11" t="str">
            <v>Special Order</v>
          </cell>
          <cell r="E11" t="str">
            <v>Special Order</v>
          </cell>
          <cell r="F11" t="str">
            <v>Special Order</v>
          </cell>
        </row>
        <row r="12">
          <cell r="A12" t="str">
            <v>TGM-13-2804X4BB-LA-DK SWA</v>
          </cell>
          <cell r="B12" t="str">
            <v>Special Order</v>
          </cell>
          <cell r="C12" t="str">
            <v>Special OrderTGM-13-2804X4BB-LA-DK SWA</v>
          </cell>
          <cell r="D12" t="str">
            <v>Special Order</v>
          </cell>
          <cell r="E12" t="str">
            <v>Special Order</v>
          </cell>
          <cell r="F12" t="str">
            <v>Special Order</v>
          </cell>
        </row>
        <row r="13">
          <cell r="A13" t="str">
            <v>TGM-15-2404X2BL-C</v>
          </cell>
          <cell r="B13" t="str">
            <v>KP000758</v>
          </cell>
          <cell r="C13" t="str">
            <v>KP000758TGM-15-2404X2BL-C</v>
          </cell>
          <cell r="D13">
            <v>845000</v>
          </cell>
          <cell r="E13">
            <v>860000</v>
          </cell>
          <cell r="F13">
            <v>875000</v>
          </cell>
        </row>
        <row r="14">
          <cell r="A14" t="str">
            <v>TGM-18-2404X2BB-C</v>
          </cell>
          <cell r="B14" t="str">
            <v>KP000474</v>
          </cell>
          <cell r="C14" t="str">
            <v>KP000474TGM-18-2404X2BB-C</v>
          </cell>
          <cell r="D14">
            <v>965000</v>
          </cell>
          <cell r="E14">
            <v>980000</v>
          </cell>
          <cell r="F14">
            <v>995000</v>
          </cell>
        </row>
        <row r="15">
          <cell r="A15" t="str">
            <v>TGM-18-2404X2BB-C-K</v>
          </cell>
          <cell r="B15" t="str">
            <v>KP000405</v>
          </cell>
          <cell r="C15" t="str">
            <v>KP000405TGM-18-2404X2BB-C-K</v>
          </cell>
          <cell r="D15">
            <v>945000</v>
          </cell>
          <cell r="E15">
            <v>960000</v>
          </cell>
          <cell r="F15">
            <v>975000</v>
          </cell>
        </row>
        <row r="16">
          <cell r="A16" t="str">
            <v>TGM-18-2404X4BB-C-DWA</v>
          </cell>
          <cell r="B16" t="str">
            <v>KP000471</v>
          </cell>
          <cell r="C16" t="str">
            <v>KP000471TGM-18-2404X4BB-C-DWA</v>
          </cell>
          <cell r="D16">
            <v>1200000</v>
          </cell>
          <cell r="E16">
            <v>1220000</v>
          </cell>
          <cell r="F16">
            <v>1235000</v>
          </cell>
        </row>
        <row r="17">
          <cell r="A17" t="str">
            <v>TGM-18-2404X4BB-C-SWA</v>
          </cell>
          <cell r="B17" t="str">
            <v>KP000481</v>
          </cell>
          <cell r="C17" t="str">
            <v>KP000481TGM-18-2404X4BB-C-SWA</v>
          </cell>
          <cell r="D17">
            <v>1300000</v>
          </cell>
          <cell r="E17">
            <v>1325000</v>
          </cell>
          <cell r="F17">
            <v>1340000</v>
          </cell>
        </row>
        <row r="18">
          <cell r="A18" t="str">
            <v>TGM-18-2404X4BB-DK-DWA</v>
          </cell>
          <cell r="B18" t="str">
            <v>Special Order</v>
          </cell>
          <cell r="C18" t="str">
            <v>Special OrderTGM-18-2404X4BB-DK-DWA</v>
          </cell>
          <cell r="D18" t="str">
            <v>Special Order</v>
          </cell>
          <cell r="E18" t="str">
            <v>Special Order</v>
          </cell>
          <cell r="F18" t="str">
            <v>Special Order</v>
          </cell>
        </row>
        <row r="19">
          <cell r="A19" t="str">
            <v>TGM-18-2404X4BB-DK-SWA-TIP</v>
          </cell>
          <cell r="B19" t="str">
            <v>TGM00001</v>
          </cell>
          <cell r="C19" t="str">
            <v>TGM00001TGM-18-2404X4BB-DK-SWA-TIP</v>
          </cell>
          <cell r="D19" t="str">
            <v>Special Order</v>
          </cell>
          <cell r="E19" t="str">
            <v>Special Order</v>
          </cell>
          <cell r="F19" t="str">
            <v>Special Order</v>
          </cell>
        </row>
        <row r="20">
          <cell r="A20" t="str">
            <v>TGM-18-2804X2BB-C-K</v>
          </cell>
          <cell r="B20" t="str">
            <v>KP000669</v>
          </cell>
          <cell r="C20" t="str">
            <v>KP000669TGM-18-2804X2BB-C-K</v>
          </cell>
          <cell r="D20">
            <v>995000</v>
          </cell>
          <cell r="E20">
            <v>1015000</v>
          </cell>
          <cell r="F20">
            <v>1030000</v>
          </cell>
        </row>
        <row r="21">
          <cell r="A21" t="str">
            <v>TGM-18-2804X2BB-DK-DWA</v>
          </cell>
          <cell r="B21" t="str">
            <v>TGM00003</v>
          </cell>
          <cell r="C21" t="str">
            <v>TGM00003TGM-18-2804X2BB-DK-DWA</v>
          </cell>
          <cell r="D21">
            <v>1292000</v>
          </cell>
          <cell r="E21">
            <v>1292000</v>
          </cell>
          <cell r="F21">
            <v>1292000</v>
          </cell>
        </row>
        <row r="22">
          <cell r="A22" t="str">
            <v>TGM-18-2804X2BB-L</v>
          </cell>
          <cell r="B22" t="str">
            <v>KP000404</v>
          </cell>
          <cell r="C22" t="str">
            <v>KP000404TGM-18-2804X2BB-L</v>
          </cell>
          <cell r="D22">
            <v>1050000</v>
          </cell>
          <cell r="E22">
            <v>1070000</v>
          </cell>
          <cell r="F22">
            <v>1085000</v>
          </cell>
        </row>
        <row r="23">
          <cell r="A23" t="str">
            <v>TGM-18-2804X2BB-LX</v>
          </cell>
          <cell r="B23" t="str">
            <v>Special Order</v>
          </cell>
          <cell r="C23" t="str">
            <v>Special OrderTGM-18-2804X2BB-LX</v>
          </cell>
          <cell r="D23" t="str">
            <v>Special Order</v>
          </cell>
          <cell r="E23" t="str">
            <v>Special Order</v>
          </cell>
          <cell r="F23" t="str">
            <v>Special Order</v>
          </cell>
        </row>
        <row r="24">
          <cell r="A24" t="str">
            <v>TGM-18-2804X4BB-C-MAN</v>
          </cell>
          <cell r="B24" t="str">
            <v>Special Order</v>
          </cell>
          <cell r="C24" t="str">
            <v>Special OrderTGM-18-2804X4BB-C-MAN</v>
          </cell>
          <cell r="D24" t="str">
            <v>Special Order</v>
          </cell>
          <cell r="E24" t="str">
            <v>Special Order</v>
          </cell>
          <cell r="F24" t="str">
            <v>Special Order</v>
          </cell>
        </row>
        <row r="25">
          <cell r="A25" t="str">
            <v>TGM-18-3304X4BB-C-DWA</v>
          </cell>
          <cell r="B25" t="str">
            <v>Special Order</v>
          </cell>
          <cell r="C25" t="str">
            <v>Special OrderTGM-18-3304X4BB-C-DWA</v>
          </cell>
          <cell r="D25" t="str">
            <v>Special Order</v>
          </cell>
          <cell r="E25" t="str">
            <v>Special Order</v>
          </cell>
          <cell r="F25" t="str">
            <v>Special Order</v>
          </cell>
        </row>
        <row r="26">
          <cell r="A26" t="str">
            <v>TGM-18-3304X4BB-DK-SWA</v>
          </cell>
          <cell r="B26" t="str">
            <v>TGM00002</v>
          </cell>
          <cell r="C26" t="str">
            <v>TGM00002TGM-18-3304X4BB-DK-SWA</v>
          </cell>
          <cell r="D26" t="str">
            <v>Special Order</v>
          </cell>
          <cell r="E26" t="str">
            <v>Special Order</v>
          </cell>
          <cell r="F26" t="str">
            <v>Special Order</v>
          </cell>
        </row>
        <row r="27">
          <cell r="A27" t="str">
            <v>TGM-25-2806X2BL-L</v>
          </cell>
          <cell r="B27" t="str">
            <v>KP000489</v>
          </cell>
          <cell r="C27" t="str">
            <v>KP000489TGM-25-2806X2BL-L</v>
          </cell>
          <cell r="D27">
            <v>1275000</v>
          </cell>
          <cell r="E27">
            <v>1300000</v>
          </cell>
          <cell r="F27">
            <v>1316000</v>
          </cell>
        </row>
        <row r="28">
          <cell r="A28" t="str">
            <v>TGM-25-2806X2BL-LX</v>
          </cell>
          <cell r="B28" t="str">
            <v>KP000482</v>
          </cell>
          <cell r="C28" t="str">
            <v>KP000482TGM-25-2806X2BL-LX</v>
          </cell>
          <cell r="D28" t="str">
            <v>Special Order</v>
          </cell>
          <cell r="E28" t="str">
            <v>Special Order</v>
          </cell>
          <cell r="F28" t="str">
            <v>Special Order</v>
          </cell>
        </row>
        <row r="29">
          <cell r="A29" t="str">
            <v>TGS-19-3604X2BLS-L</v>
          </cell>
          <cell r="B29" t="str">
            <v>KP000632</v>
          </cell>
          <cell r="C29" t="str">
            <v>KP000632TGS-19-3604X2BLS-L</v>
          </cell>
          <cell r="D29">
            <v>1285000</v>
          </cell>
          <cell r="E29">
            <v>1295000</v>
          </cell>
          <cell r="F29">
            <v>1320000</v>
          </cell>
        </row>
        <row r="30">
          <cell r="A30" t="str">
            <v>TGS-19-3604X2BLS-L - INT</v>
          </cell>
          <cell r="B30" t="str">
            <v>TGS00011</v>
          </cell>
          <cell r="C30" t="str">
            <v>TGS00011TGS-19-3604X2BLS-L - INT</v>
          </cell>
          <cell r="D30">
            <v>1285000</v>
          </cell>
          <cell r="E30">
            <v>1511531</v>
          </cell>
          <cell r="F30">
            <v>1536531</v>
          </cell>
        </row>
        <row r="31">
          <cell r="A31" t="str">
            <v>TGS-19-4004X2BLS-L-ALU-PTO</v>
          </cell>
          <cell r="B31" t="str">
            <v>TGS00008</v>
          </cell>
          <cell r="C31" t="str">
            <v>TGS00008TGS-19-4004X2BLS-L-ALU-PTO</v>
          </cell>
          <cell r="D31">
            <v>1420000</v>
          </cell>
          <cell r="E31">
            <v>1435000</v>
          </cell>
          <cell r="F31">
            <v>1460000</v>
          </cell>
        </row>
        <row r="32">
          <cell r="A32" t="str">
            <v>TGS-19-4404X2BLS-LX-EL</v>
          </cell>
          <cell r="B32" t="str">
            <v>Special Order</v>
          </cell>
          <cell r="C32" t="str">
            <v>Special OrderTGS-19-4404X2BLS-LX-EL</v>
          </cell>
          <cell r="D32">
            <v>1420000</v>
          </cell>
          <cell r="E32">
            <v>1420000</v>
          </cell>
          <cell r="F32">
            <v>1420000</v>
          </cell>
        </row>
        <row r="33">
          <cell r="A33" t="str">
            <v>TGS-26-3606X4BLS-L</v>
          </cell>
          <cell r="B33" t="str">
            <v>Special Order</v>
          </cell>
          <cell r="C33" t="str">
            <v>Special OrderTGS-26-3606X4BLS-L</v>
          </cell>
          <cell r="D33" t="str">
            <v>Special Order</v>
          </cell>
          <cell r="E33" t="str">
            <v>Special Order</v>
          </cell>
          <cell r="F33" t="str">
            <v>Special Order</v>
          </cell>
        </row>
        <row r="34">
          <cell r="A34" t="str">
            <v>TGS-26-4006X4BLS-L</v>
          </cell>
          <cell r="B34" t="str">
            <v>Special Order</v>
          </cell>
          <cell r="C34" t="str">
            <v>Special OrderTGS-26-4006X4BLS-L</v>
          </cell>
          <cell r="D34" t="str">
            <v>Special Order</v>
          </cell>
          <cell r="E34" t="str">
            <v>Special Order</v>
          </cell>
          <cell r="F34" t="str">
            <v>Special Order</v>
          </cell>
        </row>
        <row r="35">
          <cell r="A35" t="str">
            <v>TGS-26-4006X4BLS-M</v>
          </cell>
          <cell r="B35" t="str">
            <v>Special Order</v>
          </cell>
          <cell r="C35" t="str">
            <v>Special OrderTGS-26-4006X4BLS-M</v>
          </cell>
          <cell r="D35" t="str">
            <v>Special Order</v>
          </cell>
          <cell r="E35" t="str">
            <v>Special Order</v>
          </cell>
          <cell r="F35" t="str">
            <v>Special Order</v>
          </cell>
        </row>
        <row r="36">
          <cell r="A36" t="str">
            <v>TGS-26-4406X4BLS-L</v>
          </cell>
          <cell r="B36" t="str">
            <v>Special Order</v>
          </cell>
          <cell r="C36" t="str">
            <v>Special OrderTGS-26-4406X4BLS-L</v>
          </cell>
          <cell r="D36" t="str">
            <v>Special Order</v>
          </cell>
          <cell r="E36" t="str">
            <v>Special Order</v>
          </cell>
          <cell r="F36" t="str">
            <v>Special Order</v>
          </cell>
        </row>
        <row r="37">
          <cell r="A37" t="str">
            <v>TGS-26-4406X4BLS-LX</v>
          </cell>
          <cell r="B37" t="str">
            <v>KP000634</v>
          </cell>
          <cell r="C37" t="str">
            <v>KP000634TGS-26-4406X4BLS-LX</v>
          </cell>
          <cell r="D37">
            <v>1685000</v>
          </cell>
          <cell r="E37">
            <v>1700000</v>
          </cell>
          <cell r="F37">
            <v>1735000</v>
          </cell>
        </row>
        <row r="38">
          <cell r="A38" t="str">
            <v>TGS-26-4406X4BLS-LX-ADR</v>
          </cell>
          <cell r="B38" t="str">
            <v>TGS00001</v>
          </cell>
          <cell r="C38" t="str">
            <v>TGS00001TGS-26-4406X4BLS-LX-ADR</v>
          </cell>
          <cell r="D38">
            <v>1735000</v>
          </cell>
          <cell r="E38">
            <v>1750000</v>
          </cell>
          <cell r="F38">
            <v>1785000</v>
          </cell>
        </row>
        <row r="39">
          <cell r="A39" t="str">
            <v>TGS-26-4406X4BLS-LX-ALU</v>
          </cell>
          <cell r="B39" t="str">
            <v>KP000666</v>
          </cell>
          <cell r="C39" t="str">
            <v>KP000666TGS-26-4406X4BLS-LX-ALU</v>
          </cell>
          <cell r="D39"/>
          <cell r="E39">
            <v>1765000</v>
          </cell>
          <cell r="F39">
            <v>1815000</v>
          </cell>
        </row>
        <row r="40">
          <cell r="A40" t="str">
            <v>TGS-26-4406X4BLS-LX-ALU-EL</v>
          </cell>
          <cell r="B40" t="str">
            <v>KP000707</v>
          </cell>
          <cell r="C40" t="str">
            <v>KP000707TGS-26-4406X4BLS-LX-ALU-EL</v>
          </cell>
          <cell r="D40"/>
          <cell r="E40">
            <v>1785000</v>
          </cell>
          <cell r="F40">
            <v>1835000</v>
          </cell>
        </row>
        <row r="41">
          <cell r="A41" t="str">
            <v>TGS-26-4406X4BLS-LX-ACC</v>
          </cell>
          <cell r="B41" t="str">
            <v>TGS00012</v>
          </cell>
          <cell r="C41" t="str">
            <v>TGS00012TGS-26-4406X4BLS-LX-ACC</v>
          </cell>
          <cell r="D41"/>
          <cell r="E41">
            <v>0</v>
          </cell>
          <cell r="F41">
            <v>0</v>
          </cell>
        </row>
        <row r="42">
          <cell r="A42" t="str">
            <v>TGS-26-4406X4BLS-M</v>
          </cell>
          <cell r="B42" t="str">
            <v>TGS00009</v>
          </cell>
          <cell r="C42" t="str">
            <v>TGS00009TGS-26-4406X4BLS-M</v>
          </cell>
          <cell r="D42">
            <v>1635000</v>
          </cell>
          <cell r="E42">
            <v>1650000</v>
          </cell>
          <cell r="F42">
            <v>1680000</v>
          </cell>
        </row>
        <row r="43">
          <cell r="A43" t="str">
            <v>TGS-26-4806X4BLS-LX</v>
          </cell>
          <cell r="B43" t="str">
            <v>KP000635</v>
          </cell>
          <cell r="C43" t="str">
            <v>KP000635TGS-26-4806X4BLS-LX</v>
          </cell>
          <cell r="D43">
            <v>1785000</v>
          </cell>
          <cell r="E43">
            <v>1800000</v>
          </cell>
          <cell r="F43">
            <v>1835000</v>
          </cell>
        </row>
        <row r="44">
          <cell r="A44" t="str">
            <v>TGS-26-4806X4BLS-LX-E5</v>
          </cell>
          <cell r="B44" t="str">
            <v>Special Order</v>
          </cell>
          <cell r="C44" t="str">
            <v>Special OrderTGS-26-4806X4BLS-LX-E5</v>
          </cell>
          <cell r="D44">
            <v>2185000</v>
          </cell>
          <cell r="E44">
            <v>2185000</v>
          </cell>
          <cell r="F44">
            <v>2185000</v>
          </cell>
        </row>
        <row r="45">
          <cell r="A45" t="str">
            <v>TGS-26-4806X4BLS-LX-EL</v>
          </cell>
          <cell r="B45" t="str">
            <v>KP000709</v>
          </cell>
          <cell r="C45" t="str">
            <v>KP000709TGS-26-4806X4BLS-LX-EL</v>
          </cell>
          <cell r="D45">
            <v>1850000</v>
          </cell>
          <cell r="E45">
            <v>1860000</v>
          </cell>
          <cell r="F45">
            <v>1895000</v>
          </cell>
        </row>
        <row r="46">
          <cell r="A46" t="str">
            <v>TGS-26-4806X4BLS-LX-EL-ACC</v>
          </cell>
          <cell r="B46" t="str">
            <v>TGS00002</v>
          </cell>
          <cell r="C46" t="str">
            <v>TGS00002TGS-26-4806X4BLS-LX-EL-ACC</v>
          </cell>
          <cell r="D46">
            <v>1960000</v>
          </cell>
          <cell r="E46">
            <v>1960000</v>
          </cell>
          <cell r="F46">
            <v>1960000</v>
          </cell>
        </row>
        <row r="47">
          <cell r="A47" t="str">
            <v>TGS-27-4006X4BBS-L</v>
          </cell>
          <cell r="B47" t="str">
            <v>KP000636</v>
          </cell>
          <cell r="C47" t="str">
            <v>KP000636TGS-27-4006X4BBS-L</v>
          </cell>
          <cell r="D47">
            <v>1460000</v>
          </cell>
          <cell r="E47">
            <v>1470000</v>
          </cell>
          <cell r="F47">
            <v>1500000</v>
          </cell>
        </row>
        <row r="48">
          <cell r="A48" t="str">
            <v>TGS-27-4006X4BBS-L-INT</v>
          </cell>
          <cell r="B48" t="str">
            <v>Special Order</v>
          </cell>
          <cell r="C48" t="str">
            <v>Special OrderTGS-27-4006X4BBS-L-INT</v>
          </cell>
          <cell r="D48">
            <v>1560000</v>
          </cell>
          <cell r="E48">
            <v>1560000</v>
          </cell>
          <cell r="F48">
            <v>1560000</v>
          </cell>
        </row>
        <row r="49">
          <cell r="A49" t="str">
            <v>TGS-27-4406X4BBS-L</v>
          </cell>
          <cell r="B49" t="str">
            <v>KP000637</v>
          </cell>
          <cell r="C49" t="str">
            <v>KP000637TGS-27-4406X4BBS-L</v>
          </cell>
          <cell r="D49">
            <v>1585000</v>
          </cell>
          <cell r="E49">
            <v>1595000</v>
          </cell>
          <cell r="F49">
            <v>1625000</v>
          </cell>
        </row>
        <row r="50">
          <cell r="A50" t="str">
            <v>TGS-27-4406X4BBS-L-STEEL</v>
          </cell>
          <cell r="B50" t="str">
            <v>KP000718</v>
          </cell>
          <cell r="C50" t="str">
            <v>KP000718TGS-27-4406X4BBS-L-STEEL</v>
          </cell>
          <cell r="D50">
            <v>1665000</v>
          </cell>
          <cell r="E50">
            <v>1680000</v>
          </cell>
          <cell r="F50">
            <v>1715000</v>
          </cell>
        </row>
        <row r="51">
          <cell r="A51" t="str">
            <v>TGS-27-4406X4BBS-LX</v>
          </cell>
          <cell r="B51" t="str">
            <v>KP000753</v>
          </cell>
          <cell r="C51" t="str">
            <v>KP000753TGS-27-4406X4BBS-LX</v>
          </cell>
          <cell r="D51">
            <v>1625000</v>
          </cell>
          <cell r="E51">
            <v>1640000</v>
          </cell>
          <cell r="F51">
            <v>1675000</v>
          </cell>
        </row>
        <row r="52">
          <cell r="A52" t="str">
            <v>TGS-27-4806X4BBS-L</v>
          </cell>
          <cell r="B52" t="str">
            <v>KP000638</v>
          </cell>
          <cell r="C52" t="str">
            <v>KP000638TGS-27-4806X4BBS-L</v>
          </cell>
          <cell r="D52">
            <v>1645000</v>
          </cell>
          <cell r="E52">
            <v>1660000</v>
          </cell>
          <cell r="F52">
            <v>1695000</v>
          </cell>
        </row>
        <row r="53">
          <cell r="A53" t="str">
            <v>TGS-27-4806X4BBS-LX</v>
          </cell>
          <cell r="B53" t="str">
            <v>KP000659</v>
          </cell>
          <cell r="C53" t="str">
            <v>KP000659TGS-27-4806X4BBS-LX</v>
          </cell>
          <cell r="D53">
            <v>1700000</v>
          </cell>
          <cell r="E53">
            <v>1715000</v>
          </cell>
          <cell r="F53">
            <v>1750000</v>
          </cell>
        </row>
        <row r="54">
          <cell r="A54" t="str">
            <v>TGS-27-4806X4BBS-LX-PBS</v>
          </cell>
          <cell r="B54" t="str">
            <v>TGS00003</v>
          </cell>
          <cell r="C54" t="str">
            <v>TGS00003TGS-27-4806X4BBS-LX-PBS</v>
          </cell>
          <cell r="D54">
            <v>1735000</v>
          </cell>
          <cell r="E54">
            <v>1750000</v>
          </cell>
          <cell r="F54">
            <v>1785000</v>
          </cell>
        </row>
        <row r="55">
          <cell r="A55" t="str">
            <v>TGS-28-3606X2BLS-L</v>
          </cell>
          <cell r="B55" t="str">
            <v>KP000698</v>
          </cell>
          <cell r="C55" t="str">
            <v>KP000698TGS-28-3606X2BLS-L</v>
          </cell>
          <cell r="D55">
            <v>1475000</v>
          </cell>
          <cell r="E55">
            <v>1485000</v>
          </cell>
          <cell r="F55">
            <v>1520000</v>
          </cell>
        </row>
        <row r="56">
          <cell r="A56" t="str">
            <v>TGS-25-4406X2BLS-LX</v>
          </cell>
          <cell r="B56" t="str">
            <v>TGS00010</v>
          </cell>
          <cell r="C56" t="str">
            <v>TGS00010TGS-25-4406X2BLS-LX</v>
          </cell>
          <cell r="D56">
            <v>1560000</v>
          </cell>
          <cell r="E56">
            <v>1570000</v>
          </cell>
          <cell r="F56">
            <v>1605000</v>
          </cell>
        </row>
        <row r="57">
          <cell r="A57" t="str">
            <v>TGS-33-3606X4BB-M</v>
          </cell>
          <cell r="B57" t="str">
            <v>KP000682</v>
          </cell>
          <cell r="C57" t="str">
            <v>KP000682TGS-33-3606X4BB-M</v>
          </cell>
          <cell r="D57">
            <v>1405000</v>
          </cell>
          <cell r="E57">
            <v>1405000</v>
          </cell>
          <cell r="F57">
            <v>1445000</v>
          </cell>
        </row>
        <row r="58">
          <cell r="A58" t="str">
            <v>TGS-33-3606X4BB-M-K</v>
          </cell>
          <cell r="B58" t="str">
            <v>KP000681</v>
          </cell>
          <cell r="C58" t="str">
            <v>KP000681TGS-33-3606X4BB-M-K</v>
          </cell>
          <cell r="D58">
            <v>1375000</v>
          </cell>
          <cell r="E58">
            <v>1375000</v>
          </cell>
          <cell r="F58">
            <v>1415000</v>
          </cell>
        </row>
        <row r="59">
          <cell r="A59" t="str">
            <v>TGS-33-3606X4BB-M-K-TIP</v>
          </cell>
          <cell r="B59" t="str">
            <v>TGS00005</v>
          </cell>
          <cell r="C59" t="str">
            <v>KP000681TGS-33-3606X4BB-M-K-TIP</v>
          </cell>
          <cell r="D59" t="str">
            <v>Special Order</v>
          </cell>
          <cell r="E59" t="str">
            <v>Special Order</v>
          </cell>
          <cell r="F59" t="str">
            <v>Special Order</v>
          </cell>
        </row>
        <row r="60">
          <cell r="A60" t="str">
            <v>TGS-33-3606X4BB-M-TIP</v>
          </cell>
          <cell r="B60" t="str">
            <v>TGS00004</v>
          </cell>
          <cell r="C60" t="str">
            <v>TGS00005TGS-33-3606X4BB-M-TIP</v>
          </cell>
          <cell r="D60" t="str">
            <v>Special Order</v>
          </cell>
          <cell r="E60" t="str">
            <v>Special Order</v>
          </cell>
          <cell r="F60" t="str">
            <v>Special Order</v>
          </cell>
        </row>
        <row r="61">
          <cell r="A61" t="str">
            <v>TGS-33-3606X4BBS-L</v>
          </cell>
          <cell r="B61" t="str">
            <v>KP000671</v>
          </cell>
          <cell r="C61" t="str">
            <v>KP000671TGS-33-3606X4BBS-L</v>
          </cell>
          <cell r="D61">
            <v>1475000</v>
          </cell>
          <cell r="E61">
            <v>1480000</v>
          </cell>
          <cell r="F61">
            <v>1520000</v>
          </cell>
        </row>
        <row r="62">
          <cell r="A62" t="str">
            <v>TGS-33-3606X6BB-M-SWA</v>
          </cell>
          <cell r="B62" t="str">
            <v>Special Order</v>
          </cell>
          <cell r="C62" t="str">
            <v>Special OrderTGS-33-3606X6BB-M-SWA</v>
          </cell>
          <cell r="D62">
            <v>1475000</v>
          </cell>
          <cell r="E62">
            <v>1475000</v>
          </cell>
          <cell r="F62">
            <v>1475000</v>
          </cell>
        </row>
        <row r="63">
          <cell r="A63" t="str">
            <v>TGS-33-4006X4BB-M-K</v>
          </cell>
          <cell r="B63" t="str">
            <v>Special Order</v>
          </cell>
          <cell r="C63" t="str">
            <v>Special OrderTGS-33-4006X4BB-M-K</v>
          </cell>
          <cell r="D63" t="str">
            <v>Special Order</v>
          </cell>
          <cell r="E63" t="str">
            <v>Special Order</v>
          </cell>
          <cell r="F63" t="str">
            <v>Special Order</v>
          </cell>
        </row>
        <row r="64">
          <cell r="A64" t="str">
            <v>TGS-33-4006X4BB-M-TIP</v>
          </cell>
          <cell r="B64" t="str">
            <v>Special Order</v>
          </cell>
          <cell r="C64" t="str">
            <v>Special OrderTGS-33-4006X4BB-M-TIP</v>
          </cell>
          <cell r="D64" t="str">
            <v>Special Order</v>
          </cell>
          <cell r="E64" t="str">
            <v>Special Order</v>
          </cell>
          <cell r="F64" t="str">
            <v>Special Order</v>
          </cell>
        </row>
        <row r="65">
          <cell r="A65" t="str">
            <v>TGS-33-4006X4BBS-L-MAN</v>
          </cell>
          <cell r="B65" t="str">
            <v>Special Order</v>
          </cell>
          <cell r="C65" t="str">
            <v>Special OrderTGS-33-4006X4BBS-L-MAN</v>
          </cell>
          <cell r="D65" t="str">
            <v>Special Order</v>
          </cell>
          <cell r="E65" t="str">
            <v>Special Order</v>
          </cell>
          <cell r="F65" t="str">
            <v>Special Order</v>
          </cell>
        </row>
        <row r="66">
          <cell r="A66" t="str">
            <v>TGS-33-4006X4BBS-L-TIP</v>
          </cell>
          <cell r="B66" t="str">
            <v>Special Order</v>
          </cell>
          <cell r="C66" t="str">
            <v>Special OrderTGS-33-4006X4BBS-L-TIP</v>
          </cell>
          <cell r="D66" t="str">
            <v>Special Order</v>
          </cell>
          <cell r="E66" t="str">
            <v>Special Order</v>
          </cell>
          <cell r="F66" t="str">
            <v>Special Order</v>
          </cell>
        </row>
        <row r="67">
          <cell r="A67" t="str">
            <v>TGS-33-4006X4BBS-L-TIPINT</v>
          </cell>
          <cell r="B67" t="str">
            <v>Special Order</v>
          </cell>
          <cell r="C67" t="str">
            <v>Special OrderTGS-33-4006X4BBS-L-TIPINT</v>
          </cell>
          <cell r="D67" t="str">
            <v>Special Order</v>
          </cell>
          <cell r="E67" t="str">
            <v>Special Order</v>
          </cell>
          <cell r="F67" t="str">
            <v>Special Order</v>
          </cell>
        </row>
        <row r="68">
          <cell r="A68" t="str">
            <v>TGS-33-4006X6BB-L</v>
          </cell>
          <cell r="B68" t="str">
            <v>Special Order</v>
          </cell>
          <cell r="C68" t="str">
            <v>Special OrderTGS-33-4006X6BB-L</v>
          </cell>
          <cell r="D68" t="str">
            <v>Special Order</v>
          </cell>
          <cell r="E68" t="str">
            <v>Special Order</v>
          </cell>
          <cell r="F68" t="str">
            <v>Special Order</v>
          </cell>
        </row>
        <row r="69">
          <cell r="A69" t="str">
            <v>TGS-33-4006X6BB-M-DWA</v>
          </cell>
          <cell r="B69" t="str">
            <v>Special Order</v>
          </cell>
          <cell r="C69" t="str">
            <v>Special OrderTGS-33-4006X6BB-M-DWA</v>
          </cell>
          <cell r="D69" t="str">
            <v>Special Order</v>
          </cell>
          <cell r="E69" t="str">
            <v>Special Order</v>
          </cell>
          <cell r="F69" t="str">
            <v>Special Order</v>
          </cell>
        </row>
        <row r="70">
          <cell r="A70" t="str">
            <v>TGS-33-4006X6BB-M-SWA</v>
          </cell>
          <cell r="B70" t="str">
            <v>Special Order</v>
          </cell>
          <cell r="C70" t="str">
            <v>Special OrderTGS-33-4006X6BB-M-SWA</v>
          </cell>
          <cell r="D70" t="str">
            <v>Special Order</v>
          </cell>
          <cell r="E70" t="str">
            <v>Special Order</v>
          </cell>
          <cell r="F70" t="str">
            <v>Special Order</v>
          </cell>
        </row>
        <row r="71">
          <cell r="A71" t="str">
            <v>TGS-33-4406X4BBS-L</v>
          </cell>
          <cell r="B71" t="str">
            <v>KP000673</v>
          </cell>
          <cell r="C71" t="str">
            <v>KP000673TGS-33-4406X4BBS-L</v>
          </cell>
          <cell r="D71">
            <v>1675000</v>
          </cell>
          <cell r="E71">
            <v>1675000</v>
          </cell>
          <cell r="F71">
            <v>1725000</v>
          </cell>
        </row>
        <row r="72">
          <cell r="A72" t="str">
            <v>TGS-33-4406X4BB-M</v>
          </cell>
          <cell r="B72" t="str">
            <v>KP000677</v>
          </cell>
          <cell r="C72" t="str">
            <v>KP000677TGS-33-4406X4BB-M</v>
          </cell>
          <cell r="D72">
            <v>1650000</v>
          </cell>
          <cell r="E72">
            <v>1650000</v>
          </cell>
          <cell r="F72">
            <v>1690000</v>
          </cell>
        </row>
        <row r="73">
          <cell r="A73" t="str">
            <v>TGS-33-4406X4BB-M-LHD</v>
          </cell>
          <cell r="B73" t="str">
            <v>KP000677</v>
          </cell>
          <cell r="C73" t="str">
            <v>KP000677TGS-33-4406X4BB-M-LHD</v>
          </cell>
          <cell r="D73">
            <v>1650000</v>
          </cell>
          <cell r="E73">
            <v>1650000</v>
          </cell>
          <cell r="F73">
            <v>1690000</v>
          </cell>
        </row>
        <row r="74">
          <cell r="A74" t="str">
            <v>TGS-33-4406X4BBS-L-AB</v>
          </cell>
          <cell r="B74" t="str">
            <v>Special Order</v>
          </cell>
          <cell r="C74" t="str">
            <v>Special OrderTGS-33-4406X4BBS-L-AB</v>
          </cell>
          <cell r="D74" t="str">
            <v>Special Order</v>
          </cell>
          <cell r="E74" t="str">
            <v>Special Order</v>
          </cell>
          <cell r="F74" t="str">
            <v>Special Order</v>
          </cell>
        </row>
        <row r="75">
          <cell r="A75" t="str">
            <v>TGS-33-4406X4BBS-L-TIP</v>
          </cell>
          <cell r="B75" t="str">
            <v>Special Order</v>
          </cell>
          <cell r="C75" t="str">
            <v>Special OrderTGS-33-4406X4BBS-L-TIP</v>
          </cell>
          <cell r="D75">
            <v>1675000</v>
          </cell>
          <cell r="E75">
            <v>1675000</v>
          </cell>
          <cell r="F75">
            <v>1675000</v>
          </cell>
        </row>
        <row r="76">
          <cell r="A76" t="str">
            <v>TGS-33-4406X6BB-L-DWA</v>
          </cell>
          <cell r="B76" t="str">
            <v>Special Order</v>
          </cell>
          <cell r="C76" t="str">
            <v>Special OrderTGS-33-4406X6BB-L-DWA</v>
          </cell>
          <cell r="D76" t="str">
            <v>Special Order</v>
          </cell>
          <cell r="E76" t="str">
            <v>Special Order</v>
          </cell>
          <cell r="F76" t="str">
            <v>Special Order</v>
          </cell>
        </row>
        <row r="77">
          <cell r="A77" t="str">
            <v>TGS-33-4406X6BB-L-SWA</v>
          </cell>
          <cell r="B77" t="str">
            <v>Special Order</v>
          </cell>
          <cell r="C77" t="str">
            <v>Special OrderTGS-33-4406X6BB-L-SWA</v>
          </cell>
          <cell r="D77" t="str">
            <v>Special Order</v>
          </cell>
          <cell r="E77" t="str">
            <v>Special Order</v>
          </cell>
          <cell r="F77" t="str">
            <v>Special Order</v>
          </cell>
        </row>
        <row r="78">
          <cell r="A78" t="str">
            <v>TGS-33-4406X6BB-M-SWA</v>
          </cell>
          <cell r="B78" t="str">
            <v>TGS00006</v>
          </cell>
          <cell r="C78" t="str">
            <v>TGS00006TGS-33-4406X6BB-M-SWA</v>
          </cell>
          <cell r="D78" t="str">
            <v>Special Order</v>
          </cell>
          <cell r="E78" t="str">
            <v>Special Order</v>
          </cell>
          <cell r="F78" t="str">
            <v>Special Order</v>
          </cell>
        </row>
        <row r="79">
          <cell r="A79" t="str">
            <v>TGS-33-4806X4BB-M</v>
          </cell>
          <cell r="B79" t="str">
            <v>KP000678</v>
          </cell>
          <cell r="C79" t="str">
            <v>KP000678TGS-33-4806X4BB-M</v>
          </cell>
          <cell r="D79">
            <v>1700000</v>
          </cell>
          <cell r="E79">
            <v>1710000</v>
          </cell>
          <cell r="F79">
            <v>1750000</v>
          </cell>
        </row>
        <row r="80">
          <cell r="A80" t="str">
            <v>TGS-33-4806X4BB-M-PBS-MAN</v>
          </cell>
          <cell r="B80" t="str">
            <v>Special Order</v>
          </cell>
          <cell r="C80" t="str">
            <v>Special OrderTGS-33-4806X4BB-M-PBS-MAN</v>
          </cell>
          <cell r="D80" t="str">
            <v>Special Order</v>
          </cell>
          <cell r="E80" t="str">
            <v>Special Order</v>
          </cell>
          <cell r="F80" t="str">
            <v>Special Order</v>
          </cell>
        </row>
        <row r="81">
          <cell r="A81" t="str">
            <v>TGS-33-4806X4BBS-L</v>
          </cell>
          <cell r="B81" t="str">
            <v>KP000679</v>
          </cell>
          <cell r="C81" t="str">
            <v>KP000679TGS-33-4806X4BBS-L</v>
          </cell>
          <cell r="D81">
            <v>1725000</v>
          </cell>
          <cell r="E81">
            <v>1730000</v>
          </cell>
          <cell r="F81">
            <v>1775000</v>
          </cell>
        </row>
        <row r="82">
          <cell r="A82" t="str">
            <v>TGS-33-4806X4BBS-L-AB</v>
          </cell>
          <cell r="B82" t="str">
            <v>Special Order</v>
          </cell>
          <cell r="C82" t="str">
            <v>Special OrderTGS-33-4806X4BBS-L-AB</v>
          </cell>
          <cell r="D82" t="str">
            <v>Special Order</v>
          </cell>
          <cell r="E82" t="str">
            <v>Special Order</v>
          </cell>
          <cell r="F82" t="str">
            <v>Special Order</v>
          </cell>
        </row>
        <row r="83">
          <cell r="A83" t="str">
            <v>TGS-33-4806X4BBS-L-AB-MAN</v>
          </cell>
          <cell r="B83" t="str">
            <v>Special Order</v>
          </cell>
          <cell r="C83" t="str">
            <v>Special OrderTGS-33-4806X4BBS-L-AB-MAN</v>
          </cell>
          <cell r="D83" t="str">
            <v>Special Order</v>
          </cell>
          <cell r="E83" t="str">
            <v>Special Order</v>
          </cell>
          <cell r="F83" t="str">
            <v>Special Order</v>
          </cell>
        </row>
        <row r="84">
          <cell r="A84" t="str">
            <v>TGS-33-4806X4BBS-L-TIP</v>
          </cell>
          <cell r="B84" t="str">
            <v>KP000679</v>
          </cell>
          <cell r="C84" t="str">
            <v>KP000679TGS-33-4806X4BBS-L-TIP</v>
          </cell>
          <cell r="D84" t="str">
            <v>Special Order</v>
          </cell>
          <cell r="E84" t="str">
            <v>Special Order</v>
          </cell>
          <cell r="F84" t="str">
            <v>Special Order</v>
          </cell>
        </row>
        <row r="85">
          <cell r="A85" t="str">
            <v>TGS-33-4806X4BBS-L-TIP</v>
          </cell>
          <cell r="B85" t="str">
            <v>KP000679</v>
          </cell>
          <cell r="C85" t="str">
            <v>KP000679TGS-33-4806X4BBS-L-TIP</v>
          </cell>
          <cell r="D85" t="str">
            <v>Special Order</v>
          </cell>
          <cell r="E85" t="str">
            <v>Special Order</v>
          </cell>
          <cell r="F85" t="str">
            <v>Special Order</v>
          </cell>
        </row>
        <row r="86">
          <cell r="A86" t="str">
            <v>TGS-33-4806X4BBS-L-TIPINT</v>
          </cell>
          <cell r="B86" t="str">
            <v>KP000679</v>
          </cell>
          <cell r="C86" t="str">
            <v>KP000679TGS-33-4806X4BBS-L-TIPINT</v>
          </cell>
          <cell r="D86" t="str">
            <v>Special Order</v>
          </cell>
          <cell r="E86" t="str">
            <v>Special Order</v>
          </cell>
          <cell r="F86" t="str">
            <v>Special Order</v>
          </cell>
        </row>
        <row r="87">
          <cell r="A87" t="str">
            <v>TGS-33-4806X4BBS-LX</v>
          </cell>
          <cell r="B87" t="str">
            <v>Special Order</v>
          </cell>
          <cell r="C87" t="str">
            <v>Special OrderTGS-33-4806X4BBS-LX</v>
          </cell>
          <cell r="D87" t="str">
            <v>Special Order</v>
          </cell>
          <cell r="E87" t="str">
            <v>Special Order</v>
          </cell>
          <cell r="F87" t="str">
            <v>Special Order</v>
          </cell>
        </row>
        <row r="88">
          <cell r="A88" t="str">
            <v>TGS-33-4806X6BBS-L</v>
          </cell>
          <cell r="B88" t="str">
            <v>TGS00007</v>
          </cell>
          <cell r="C88" t="str">
            <v>TGS00007TGS-33-4806X6BBS-L</v>
          </cell>
          <cell r="D88" t="str">
            <v>Special Order</v>
          </cell>
          <cell r="E88" t="str">
            <v>Special Order</v>
          </cell>
          <cell r="F88" t="str">
            <v>Special Order</v>
          </cell>
        </row>
        <row r="89">
          <cell r="A89" t="str">
            <v>TGS-34-3608X4BB-M-DWA</v>
          </cell>
          <cell r="B89" t="str">
            <v>Special Order</v>
          </cell>
          <cell r="C89" t="str">
            <v>Special OrderTGS-34-3608X4BB-M-DWA</v>
          </cell>
          <cell r="D89">
            <v>1795000</v>
          </cell>
          <cell r="E89">
            <v>1795000</v>
          </cell>
          <cell r="F89">
            <v>1795000</v>
          </cell>
        </row>
        <row r="90">
          <cell r="A90" t="str">
            <v>TGS-40-4806X4BBS-L-AB</v>
          </cell>
          <cell r="B90" t="str">
            <v>Special Order</v>
          </cell>
          <cell r="C90" t="str">
            <v>Special OrderTGS-40-4806X4BBS-L-AB</v>
          </cell>
          <cell r="D90" t="str">
            <v>Special Order</v>
          </cell>
          <cell r="E90" t="str">
            <v>Special Order</v>
          </cell>
          <cell r="F90" t="str">
            <v>Special Order</v>
          </cell>
        </row>
        <row r="91">
          <cell r="A91" t="str">
            <v>TGS-40-4806X4BBS-LX-AB</v>
          </cell>
          <cell r="B91" t="str">
            <v>Special Order</v>
          </cell>
          <cell r="C91" t="str">
            <v>Special OrderTGS-40-4806X4BBS-LX-AB</v>
          </cell>
          <cell r="D91" t="str">
            <v>Special Order</v>
          </cell>
          <cell r="E91" t="str">
            <v>Special Order</v>
          </cell>
          <cell r="F91" t="str">
            <v>Special Order</v>
          </cell>
        </row>
        <row r="92">
          <cell r="A92" t="str">
            <v>TGS-40-4806X6BB-M-TIP</v>
          </cell>
          <cell r="B92" t="str">
            <v>Special Order</v>
          </cell>
          <cell r="C92" t="str">
            <v>Special OrderTGS-40-4806X6BB-M-TIP</v>
          </cell>
          <cell r="D92" t="str">
            <v>Special Order</v>
          </cell>
          <cell r="E92" t="str">
            <v>Special Order</v>
          </cell>
          <cell r="F92" t="str">
            <v>Special Order</v>
          </cell>
        </row>
        <row r="93">
          <cell r="A93" t="str">
            <v>TGS-41-4008X4BB-M-DWA</v>
          </cell>
          <cell r="B93" t="str">
            <v>Special Order</v>
          </cell>
          <cell r="C93" t="str">
            <v>Special OrderTGS-41-4008X4BB-M-DWA</v>
          </cell>
          <cell r="D93">
            <v>1825000</v>
          </cell>
          <cell r="E93">
            <v>1825000</v>
          </cell>
          <cell r="F93">
            <v>1825000</v>
          </cell>
        </row>
        <row r="94">
          <cell r="A94" t="str">
            <v>TGS-41-4008X4BB-M-DWA</v>
          </cell>
          <cell r="B94" t="str">
            <v>Special Order</v>
          </cell>
          <cell r="C94" t="str">
            <v>Special OrderTGS-41-4008X4BB-M-DWA</v>
          </cell>
          <cell r="D94">
            <v>1825000</v>
          </cell>
          <cell r="E94">
            <v>1825000</v>
          </cell>
          <cell r="F94">
            <v>1825000</v>
          </cell>
        </row>
        <row r="95">
          <cell r="A95" t="str">
            <v>TGS-41-4408X4BB-M-DWA</v>
          </cell>
          <cell r="B95" t="str">
            <v>KP000732</v>
          </cell>
          <cell r="C95" t="str">
            <v>KP000732TGS-41-4408X4BB-M-DWA</v>
          </cell>
          <cell r="D95">
            <v>1825000</v>
          </cell>
          <cell r="E95">
            <v>1825000</v>
          </cell>
          <cell r="F95">
            <v>1875000</v>
          </cell>
        </row>
        <row r="96">
          <cell r="A96" t="str">
            <v>TGS-41-4808X4BB-M-DWA</v>
          </cell>
          <cell r="B96" t="str">
            <v>KP000757</v>
          </cell>
          <cell r="C96" t="str">
            <v>KP000757TGS-41-4808X4BB-M-DWA</v>
          </cell>
          <cell r="D96">
            <v>1895000</v>
          </cell>
          <cell r="E96">
            <v>1895000</v>
          </cell>
          <cell r="F96">
            <v>1895000</v>
          </cell>
        </row>
        <row r="97">
          <cell r="A97" t="str">
            <v>TGX-26-5406X4BLS-XLX</v>
          </cell>
          <cell r="B97" t="str">
            <v>TGX00001</v>
          </cell>
          <cell r="C97" t="str">
            <v>TGX00001TGX-26-5406X4BLS-XLX</v>
          </cell>
          <cell r="D97">
            <v>2185000</v>
          </cell>
          <cell r="E97">
            <v>2195000</v>
          </cell>
          <cell r="F97">
            <v>2240000</v>
          </cell>
        </row>
        <row r="98">
          <cell r="A98" t="str">
            <v>TGX-41-6808X4BBS-XXL</v>
          </cell>
          <cell r="B98" t="str">
            <v>Special Order</v>
          </cell>
          <cell r="C98" t="str">
            <v>Special OrderTGX-41-6808X4BBS-XXL</v>
          </cell>
          <cell r="D98" t="str">
            <v>Special Order</v>
          </cell>
          <cell r="E98" t="str">
            <v>Special Order</v>
          </cell>
          <cell r="F98" t="str">
            <v>Special Order</v>
          </cell>
        </row>
        <row r="99">
          <cell r="A99" t="str">
            <v>TGX-41-6808X4BBS-XXL</v>
          </cell>
          <cell r="B99" t="str">
            <v>Special Order</v>
          </cell>
          <cell r="C99" t="str">
            <v>Special OrderTGX-41-6808X4BBS-XXL</v>
          </cell>
          <cell r="D99" t="str">
            <v>Special Order</v>
          </cell>
          <cell r="E99" t="str">
            <v>Special Order</v>
          </cell>
          <cell r="F99" t="str">
            <v>Special Order</v>
          </cell>
        </row>
        <row r="100">
          <cell r="A100" t="str">
            <v>VW-17-2504X2BB-LR-XLWB</v>
          </cell>
          <cell r="B100" t="str">
            <v>KP000765</v>
          </cell>
          <cell r="C100" t="str">
            <v>KP000765VW-17-2504X2BB-LR-XLWB</v>
          </cell>
          <cell r="D100">
            <v>840000</v>
          </cell>
          <cell r="E100">
            <v>865000</v>
          </cell>
          <cell r="F100">
            <v>865000</v>
          </cell>
        </row>
        <row r="101">
          <cell r="A101" t="str">
            <v>VW-19-3204X2BLS-L</v>
          </cell>
          <cell r="B101" t="str">
            <v>KP000596</v>
          </cell>
          <cell r="C101" t="str">
            <v>KP000596VW-19-3204X2BLS-L</v>
          </cell>
          <cell r="D101">
            <v>985000</v>
          </cell>
          <cell r="E101">
            <v>1030000</v>
          </cell>
          <cell r="F101">
            <v>1030000</v>
          </cell>
        </row>
        <row r="102">
          <cell r="A102" t="str">
            <v>VW-19-3204X2BLS-LR</v>
          </cell>
          <cell r="B102" t="str">
            <v>KP000773</v>
          </cell>
          <cell r="C102" t="str">
            <v>KP000773VW-19-3204X2BLS-LR</v>
          </cell>
          <cell r="D102">
            <v>985000</v>
          </cell>
          <cell r="E102">
            <v>1015000</v>
          </cell>
          <cell r="F102">
            <v>1015000</v>
          </cell>
        </row>
        <row r="103">
          <cell r="A103" t="str">
            <v>VW-24-2506X2BBL-LR-LWB</v>
          </cell>
          <cell r="B103" t="str">
            <v>KP000766</v>
          </cell>
        </row>
      </sheetData>
      <sheetData sheetId="1">
        <row r="2">
          <cell r="A2">
            <v>47121</v>
          </cell>
          <cell r="B2" t="str">
            <v>CLA-15-2204X2BB-C</v>
          </cell>
          <cell r="E2" t="str">
            <v>2017-12-31</v>
          </cell>
          <cell r="I2">
            <v>42900</v>
          </cell>
          <cell r="J2" t="str">
            <v>CKD</v>
          </cell>
          <cell r="K2">
            <v>14.7</v>
          </cell>
        </row>
        <row r="3">
          <cell r="A3">
            <v>47122</v>
          </cell>
          <cell r="B3" t="str">
            <v>CLA-15-2204X2BB-C</v>
          </cell>
          <cell r="E3" t="str">
            <v>2017-12-31</v>
          </cell>
          <cell r="I3">
            <v>42900</v>
          </cell>
          <cell r="J3" t="str">
            <v>CKD</v>
          </cell>
          <cell r="K3">
            <v>14.7</v>
          </cell>
        </row>
        <row r="4">
          <cell r="A4">
            <v>47123</v>
          </cell>
          <cell r="B4" t="str">
            <v>CLA-15-2204X2BB-C</v>
          </cell>
          <cell r="E4" t="str">
            <v>2017-12-31</v>
          </cell>
          <cell r="I4">
            <v>42900</v>
          </cell>
          <cell r="J4" t="str">
            <v>CKD</v>
          </cell>
          <cell r="K4">
            <v>14.7</v>
          </cell>
        </row>
        <row r="5">
          <cell r="A5">
            <v>47124</v>
          </cell>
          <cell r="B5" t="str">
            <v>CLA-15-2204X2BB-C</v>
          </cell>
          <cell r="E5" t="str">
            <v>2017-12-31</v>
          </cell>
          <cell r="I5">
            <v>42900</v>
          </cell>
          <cell r="J5" t="str">
            <v>CKD</v>
          </cell>
          <cell r="K5">
            <v>14.7</v>
          </cell>
        </row>
        <row r="6">
          <cell r="A6">
            <v>47125</v>
          </cell>
          <cell r="B6" t="str">
            <v>CLA-15-2204X2BB-C</v>
          </cell>
          <cell r="E6" t="str">
            <v>2017-12-31</v>
          </cell>
          <cell r="I6">
            <v>42900</v>
          </cell>
          <cell r="J6" t="str">
            <v>CKD</v>
          </cell>
          <cell r="K6">
            <v>14.7</v>
          </cell>
        </row>
        <row r="7">
          <cell r="A7">
            <v>47126</v>
          </cell>
          <cell r="B7" t="str">
            <v>CLA-15-2204X2BB-C</v>
          </cell>
          <cell r="E7" t="str">
            <v>2017-12-31</v>
          </cell>
          <cell r="I7">
            <v>42900</v>
          </cell>
          <cell r="J7" t="str">
            <v>CKD</v>
          </cell>
          <cell r="K7">
            <v>14.7</v>
          </cell>
        </row>
        <row r="8">
          <cell r="A8" t="str">
            <v>MA6-0684</v>
          </cell>
          <cell r="B8" t="str">
            <v>CLA-15-2204X2BB-C</v>
          </cell>
          <cell r="E8">
            <v>92</v>
          </cell>
          <cell r="I8">
            <v>42751</v>
          </cell>
          <cell r="J8" t="str">
            <v>BODY</v>
          </cell>
          <cell r="K8">
            <v>15.4</v>
          </cell>
        </row>
        <row r="9">
          <cell r="A9" t="str">
            <v>MA6-0685</v>
          </cell>
          <cell r="B9" t="str">
            <v>CLA-15-2204X2BB-C</v>
          </cell>
          <cell r="E9">
            <v>92</v>
          </cell>
          <cell r="I9">
            <v>42751</v>
          </cell>
          <cell r="J9" t="str">
            <v>BODY</v>
          </cell>
          <cell r="K9">
            <v>15.4</v>
          </cell>
        </row>
        <row r="10">
          <cell r="A10" t="str">
            <v>MA6-0687</v>
          </cell>
          <cell r="B10" t="str">
            <v>CLA-15-2204X2BB-C</v>
          </cell>
          <cell r="E10" t="str">
            <v>2017-05-26</v>
          </cell>
          <cell r="I10">
            <v>42751</v>
          </cell>
          <cell r="J10" t="str">
            <v>CKD</v>
          </cell>
          <cell r="K10">
            <v>15.4</v>
          </cell>
        </row>
        <row r="11">
          <cell r="A11" t="str">
            <v>MA6-4916</v>
          </cell>
          <cell r="B11" t="str">
            <v>CLA-15-2204X2BB-C</v>
          </cell>
          <cell r="E11">
            <v>158</v>
          </cell>
          <cell r="I11">
            <v>42648</v>
          </cell>
          <cell r="J11" t="str">
            <v>BODY</v>
          </cell>
          <cell r="K11">
            <v>16</v>
          </cell>
        </row>
        <row r="12">
          <cell r="A12" t="str">
            <v>MA6-4954</v>
          </cell>
          <cell r="B12" t="str">
            <v>CLA-15-2204X2BB-C</v>
          </cell>
          <cell r="E12">
            <v>116</v>
          </cell>
          <cell r="I12">
            <v>42667</v>
          </cell>
          <cell r="J12" t="str">
            <v>UNSOLD</v>
          </cell>
          <cell r="K12">
            <v>16</v>
          </cell>
        </row>
        <row r="13">
          <cell r="A13" t="str">
            <v>MA6-4956</v>
          </cell>
          <cell r="B13" t="str">
            <v>CLA-15-2204X2BB-C</v>
          </cell>
          <cell r="E13">
            <v>115</v>
          </cell>
          <cell r="I13">
            <v>42667</v>
          </cell>
          <cell r="J13" t="str">
            <v>UNSOLD</v>
          </cell>
          <cell r="K13">
            <v>16</v>
          </cell>
        </row>
        <row r="14">
          <cell r="A14" t="str">
            <v>MA6-4957</v>
          </cell>
          <cell r="B14" t="str">
            <v>CLA-15-2204X2BB-C</v>
          </cell>
          <cell r="E14">
            <v>116</v>
          </cell>
          <cell r="I14">
            <v>42667</v>
          </cell>
          <cell r="J14" t="str">
            <v>UNSOLD</v>
          </cell>
          <cell r="K14">
            <v>16</v>
          </cell>
        </row>
        <row r="15">
          <cell r="A15" t="str">
            <v>MA6-4960</v>
          </cell>
          <cell r="B15" t="str">
            <v>CLA-15-2204X2BB-C</v>
          </cell>
          <cell r="E15">
            <v>115</v>
          </cell>
          <cell r="I15">
            <v>42667</v>
          </cell>
          <cell r="J15" t="str">
            <v>UNSOLD</v>
          </cell>
          <cell r="K15">
            <v>16</v>
          </cell>
        </row>
        <row r="16">
          <cell r="A16" t="str">
            <v>MA6-4962</v>
          </cell>
          <cell r="B16" t="str">
            <v>CLA-15-2204X2BB-C</v>
          </cell>
          <cell r="E16">
            <v>116</v>
          </cell>
          <cell r="I16">
            <v>42667</v>
          </cell>
          <cell r="J16" t="str">
            <v>UNSOLD</v>
          </cell>
          <cell r="K16">
            <v>16</v>
          </cell>
        </row>
        <row r="17">
          <cell r="A17" t="str">
            <v>MA6-4964</v>
          </cell>
          <cell r="B17" t="str">
            <v>CLA-15-2204X2BB-C</v>
          </cell>
          <cell r="E17">
            <v>116</v>
          </cell>
          <cell r="I17">
            <v>42667</v>
          </cell>
          <cell r="J17" t="str">
            <v>UNSOLD</v>
          </cell>
          <cell r="K17">
            <v>16</v>
          </cell>
        </row>
        <row r="18">
          <cell r="A18" t="str">
            <v>MA6-4966</v>
          </cell>
          <cell r="B18" t="str">
            <v>CLA-15-2204X2BB-C</v>
          </cell>
          <cell r="E18">
            <v>116</v>
          </cell>
          <cell r="I18">
            <v>42667</v>
          </cell>
          <cell r="J18" t="str">
            <v>UNSOLD</v>
          </cell>
          <cell r="K18">
            <v>16</v>
          </cell>
        </row>
        <row r="19">
          <cell r="A19" t="str">
            <v>MA6-4967</v>
          </cell>
          <cell r="B19" t="str">
            <v>CLA-15-2204X2BB-C</v>
          </cell>
          <cell r="E19">
            <v>127</v>
          </cell>
          <cell r="I19">
            <v>42667</v>
          </cell>
          <cell r="J19" t="str">
            <v>BODY</v>
          </cell>
          <cell r="K19">
            <v>16</v>
          </cell>
        </row>
        <row r="20">
          <cell r="A20" t="str">
            <v>MA6-4970</v>
          </cell>
          <cell r="B20" t="str">
            <v>CLA-15-2204X2BB-C</v>
          </cell>
          <cell r="E20">
            <v>123</v>
          </cell>
          <cell r="I20">
            <v>42667</v>
          </cell>
          <cell r="J20" t="str">
            <v>UNSOLD</v>
          </cell>
          <cell r="K20">
            <v>16</v>
          </cell>
        </row>
        <row r="21">
          <cell r="A21" t="str">
            <v>MA6-4971</v>
          </cell>
          <cell r="B21" t="str">
            <v>CLA-15-2204X2BB-C</v>
          </cell>
          <cell r="E21">
            <v>123</v>
          </cell>
          <cell r="I21">
            <v>42667</v>
          </cell>
          <cell r="J21" t="str">
            <v>UNSOLD</v>
          </cell>
          <cell r="K21">
            <v>16</v>
          </cell>
        </row>
        <row r="22">
          <cell r="A22" t="str">
            <v>MA6-4972</v>
          </cell>
          <cell r="B22" t="str">
            <v>CLA-15-2204X2BB-C</v>
          </cell>
          <cell r="E22">
            <v>123</v>
          </cell>
          <cell r="I22">
            <v>42667</v>
          </cell>
          <cell r="J22" t="str">
            <v>UNSOLD</v>
          </cell>
          <cell r="K22">
            <v>16</v>
          </cell>
        </row>
        <row r="23">
          <cell r="A23" t="str">
            <v>MA6-4973</v>
          </cell>
          <cell r="B23" t="str">
            <v>CLA-15-2204X2BB-C</v>
          </cell>
          <cell r="E23">
            <v>123</v>
          </cell>
          <cell r="I23">
            <v>42667</v>
          </cell>
          <cell r="J23" t="str">
            <v>BODY</v>
          </cell>
          <cell r="K23">
            <v>16</v>
          </cell>
        </row>
        <row r="24">
          <cell r="A24" t="str">
            <v>MA6-4974</v>
          </cell>
          <cell r="B24" t="str">
            <v>CLA-15-2204X2BB-C</v>
          </cell>
          <cell r="E24">
            <v>123</v>
          </cell>
          <cell r="I24">
            <v>42667</v>
          </cell>
          <cell r="J24" t="str">
            <v>BODY</v>
          </cell>
          <cell r="K24">
            <v>16</v>
          </cell>
        </row>
        <row r="25">
          <cell r="A25" t="str">
            <v>MA6-4975</v>
          </cell>
          <cell r="B25" t="str">
            <v>CLA-15-2204X2BB-C</v>
          </cell>
          <cell r="E25">
            <v>121</v>
          </cell>
          <cell r="I25">
            <v>42667</v>
          </cell>
          <cell r="J25" t="str">
            <v>UNSOLD</v>
          </cell>
          <cell r="K25">
            <v>16</v>
          </cell>
        </row>
        <row r="26">
          <cell r="A26" t="str">
            <v>MA6-4976</v>
          </cell>
          <cell r="B26" t="str">
            <v>CLA-15-2204X2BB-C</v>
          </cell>
          <cell r="E26">
            <v>121</v>
          </cell>
          <cell r="I26">
            <v>42667</v>
          </cell>
          <cell r="J26" t="str">
            <v>UNSOLD</v>
          </cell>
          <cell r="K26">
            <v>16</v>
          </cell>
        </row>
        <row r="27">
          <cell r="A27" t="str">
            <v>MA6-4977</v>
          </cell>
          <cell r="B27" t="str">
            <v>CLA-15-2204X2BB-C</v>
          </cell>
          <cell r="E27">
            <v>121</v>
          </cell>
          <cell r="I27">
            <v>42667</v>
          </cell>
          <cell r="J27" t="str">
            <v>UNSOLD</v>
          </cell>
          <cell r="K27">
            <v>16</v>
          </cell>
        </row>
        <row r="28">
          <cell r="A28" t="str">
            <v>MA6-4986</v>
          </cell>
          <cell r="B28" t="str">
            <v>CLA-15-2204X2BB-C</v>
          </cell>
          <cell r="E28">
            <v>102</v>
          </cell>
          <cell r="I28">
            <v>42667</v>
          </cell>
          <cell r="J28" t="str">
            <v>UNSOLD</v>
          </cell>
          <cell r="K28">
            <v>16</v>
          </cell>
        </row>
        <row r="29">
          <cell r="A29" t="str">
            <v>MA6-5109</v>
          </cell>
          <cell r="B29" t="str">
            <v>CLA-15-2204X2BB-C</v>
          </cell>
          <cell r="E29" t="str">
            <v>2017-11-13</v>
          </cell>
          <cell r="I29">
            <v>42859</v>
          </cell>
          <cell r="J29" t="str">
            <v>CKD</v>
          </cell>
          <cell r="K29">
            <v>14.7</v>
          </cell>
        </row>
        <row r="30">
          <cell r="A30" t="str">
            <v>MA6-5110</v>
          </cell>
          <cell r="B30" t="str">
            <v>CLA-15-2204X2BB-C</v>
          </cell>
          <cell r="E30" t="str">
            <v>2017-11-13</v>
          </cell>
          <cell r="I30">
            <v>42859</v>
          </cell>
          <cell r="J30" t="str">
            <v>CKD</v>
          </cell>
          <cell r="K30">
            <v>14.7</v>
          </cell>
        </row>
        <row r="31">
          <cell r="A31" t="str">
            <v>MA6-5111</v>
          </cell>
          <cell r="B31" t="str">
            <v>CLA-15-2204X2BB-C</v>
          </cell>
          <cell r="E31" t="str">
            <v>2017-11-13</v>
          </cell>
          <cell r="I31">
            <v>42859</v>
          </cell>
          <cell r="J31" t="str">
            <v>CKD</v>
          </cell>
          <cell r="K31">
            <v>14.7</v>
          </cell>
        </row>
        <row r="32">
          <cell r="A32" t="str">
            <v>MA6-5112</v>
          </cell>
          <cell r="B32" t="str">
            <v>CLA-15-2204X2BB-C</v>
          </cell>
          <cell r="E32" t="str">
            <v>2017-11-14</v>
          </cell>
          <cell r="I32">
            <v>42859</v>
          </cell>
          <cell r="J32" t="str">
            <v>CKD</v>
          </cell>
          <cell r="K32">
            <v>14.7</v>
          </cell>
        </row>
        <row r="33">
          <cell r="A33" t="str">
            <v>MA6-5113</v>
          </cell>
          <cell r="B33" t="str">
            <v>CLA-15-2204X2BB-C</v>
          </cell>
          <cell r="E33" t="str">
            <v>2017-11-14</v>
          </cell>
          <cell r="I33">
            <v>42859</v>
          </cell>
          <cell r="J33" t="str">
            <v>CKD</v>
          </cell>
          <cell r="K33">
            <v>14.7</v>
          </cell>
        </row>
        <row r="34">
          <cell r="A34" t="str">
            <v>MA6-5114</v>
          </cell>
          <cell r="B34" t="str">
            <v>CLA-15-2204X2BB-C</v>
          </cell>
          <cell r="E34" t="str">
            <v>2017-11-14</v>
          </cell>
          <cell r="I34">
            <v>42859</v>
          </cell>
          <cell r="J34" t="str">
            <v>CKD</v>
          </cell>
          <cell r="K34">
            <v>14.7</v>
          </cell>
        </row>
        <row r="35">
          <cell r="A35" t="str">
            <v>MA6-5165</v>
          </cell>
          <cell r="B35" t="str">
            <v>CLA-15-2204X2BB-C</v>
          </cell>
          <cell r="E35" t="str">
            <v>2017-12-31</v>
          </cell>
          <cell r="I35">
            <v>42900</v>
          </cell>
          <cell r="J35" t="str">
            <v>CKD</v>
          </cell>
          <cell r="K35">
            <v>14.7</v>
          </cell>
        </row>
        <row r="36">
          <cell r="A36" t="str">
            <v>MA6-5166</v>
          </cell>
          <cell r="B36" t="str">
            <v>CLA-15-2204X2BB-C</v>
          </cell>
          <cell r="E36" t="str">
            <v>2017-12-31</v>
          </cell>
          <cell r="I36">
            <v>42900</v>
          </cell>
          <cell r="J36" t="str">
            <v>CKD</v>
          </cell>
          <cell r="K36">
            <v>14.7</v>
          </cell>
        </row>
        <row r="37">
          <cell r="A37" t="str">
            <v>MA6-5167</v>
          </cell>
          <cell r="B37" t="str">
            <v>CLA-15-2204X2BB-C</v>
          </cell>
          <cell r="E37" t="str">
            <v>2017-12-31</v>
          </cell>
          <cell r="I37">
            <v>42900</v>
          </cell>
          <cell r="J37" t="str">
            <v>CKD</v>
          </cell>
          <cell r="K37">
            <v>14.7</v>
          </cell>
        </row>
        <row r="38">
          <cell r="A38" t="str">
            <v>MA6-5168</v>
          </cell>
          <cell r="B38" t="str">
            <v>CLA-15-2204X2BB-C</v>
          </cell>
          <cell r="E38" t="str">
            <v>2017-12-31</v>
          </cell>
          <cell r="I38">
            <v>42900</v>
          </cell>
          <cell r="J38" t="str">
            <v>CKD</v>
          </cell>
          <cell r="K38">
            <v>14.7</v>
          </cell>
        </row>
        <row r="39">
          <cell r="A39" t="str">
            <v>MA6-5169</v>
          </cell>
          <cell r="B39" t="str">
            <v>CLA-15-2204X2BB-C</v>
          </cell>
          <cell r="E39" t="str">
            <v>2017-12-31</v>
          </cell>
          <cell r="I39">
            <v>42900</v>
          </cell>
          <cell r="J39" t="str">
            <v>CKD</v>
          </cell>
          <cell r="K39">
            <v>14.7</v>
          </cell>
        </row>
        <row r="40">
          <cell r="A40" t="str">
            <v>MA6-5170</v>
          </cell>
          <cell r="B40" t="str">
            <v>CLA-15-2204X2BB-C</v>
          </cell>
          <cell r="E40" t="str">
            <v>2017-12-31</v>
          </cell>
          <cell r="I40">
            <v>42900</v>
          </cell>
          <cell r="J40" t="str">
            <v>CKD</v>
          </cell>
          <cell r="K40">
            <v>14.7</v>
          </cell>
        </row>
        <row r="41">
          <cell r="A41" t="str">
            <v>TBAKP589</v>
          </cell>
          <cell r="B41" t="str">
            <v>CLA-15-2204X2BB-C</v>
          </cell>
          <cell r="E41" t="str">
            <v>2018-02-15</v>
          </cell>
          <cell r="I41">
            <v>42921</v>
          </cell>
          <cell r="J41" t="str">
            <v>CKD</v>
          </cell>
          <cell r="K41">
            <v>14.7</v>
          </cell>
        </row>
        <row r="42">
          <cell r="A42">
            <v>47139</v>
          </cell>
          <cell r="B42" t="str">
            <v>CLA-26-2806X4BB-C-K</v>
          </cell>
          <cell r="E42" t="str">
            <v>2017-12-31</v>
          </cell>
          <cell r="I42">
            <v>42900</v>
          </cell>
          <cell r="J42" t="str">
            <v>CKD</v>
          </cell>
          <cell r="K42">
            <v>14.7</v>
          </cell>
        </row>
        <row r="43">
          <cell r="A43">
            <v>47140</v>
          </cell>
          <cell r="B43" t="str">
            <v>CLA-26-2806X4BB-C-K</v>
          </cell>
          <cell r="E43" t="str">
            <v>2017-12-31</v>
          </cell>
          <cell r="I43">
            <v>42900</v>
          </cell>
          <cell r="J43" t="str">
            <v>CKD</v>
          </cell>
          <cell r="K43">
            <v>14.7</v>
          </cell>
        </row>
        <row r="44">
          <cell r="A44">
            <v>47141</v>
          </cell>
          <cell r="B44" t="str">
            <v>CLA-26-2806X4BB-C-K</v>
          </cell>
          <cell r="E44" t="str">
            <v>2017-12-31</v>
          </cell>
          <cell r="I44">
            <v>42900</v>
          </cell>
          <cell r="J44" t="str">
            <v>CKD</v>
          </cell>
          <cell r="K44">
            <v>14.7</v>
          </cell>
        </row>
        <row r="45">
          <cell r="A45">
            <v>47142</v>
          </cell>
          <cell r="B45" t="str">
            <v>CLA-26-2806X4BB-C-K</v>
          </cell>
          <cell r="E45" t="str">
            <v>2017-12-31</v>
          </cell>
          <cell r="I45">
            <v>42900</v>
          </cell>
          <cell r="J45" t="str">
            <v>CKD</v>
          </cell>
          <cell r="K45">
            <v>14.7</v>
          </cell>
        </row>
        <row r="46">
          <cell r="A46">
            <v>47143</v>
          </cell>
          <cell r="B46" t="str">
            <v>CLA-26-2806X4BB-C-K</v>
          </cell>
          <cell r="E46" t="str">
            <v>2017-12-31</v>
          </cell>
          <cell r="I46">
            <v>42900</v>
          </cell>
          <cell r="J46" t="str">
            <v>CKD</v>
          </cell>
          <cell r="K46">
            <v>14.7</v>
          </cell>
        </row>
        <row r="47">
          <cell r="A47">
            <v>47144</v>
          </cell>
          <cell r="B47" t="str">
            <v>CLA-26-2806X4BB-C-K</v>
          </cell>
          <cell r="E47" t="str">
            <v>2017-12-31</v>
          </cell>
          <cell r="I47">
            <v>42900</v>
          </cell>
          <cell r="J47" t="str">
            <v>CKD</v>
          </cell>
          <cell r="K47">
            <v>14.7</v>
          </cell>
        </row>
        <row r="48">
          <cell r="A48">
            <v>47652</v>
          </cell>
          <cell r="B48" t="str">
            <v>CLA-26-2806X4BB-C-K</v>
          </cell>
          <cell r="E48" t="str">
            <v>2018-02-20</v>
          </cell>
          <cell r="I48">
            <v>42947</v>
          </cell>
          <cell r="J48" t="str">
            <v>CKD</v>
          </cell>
          <cell r="K48">
            <v>14.7</v>
          </cell>
        </row>
        <row r="49">
          <cell r="A49">
            <v>47653</v>
          </cell>
          <cell r="B49" t="str">
            <v>CLA-26-2806X4BB-C-K</v>
          </cell>
          <cell r="E49" t="str">
            <v>2018-02-20</v>
          </cell>
          <cell r="I49">
            <v>42947</v>
          </cell>
          <cell r="J49" t="str">
            <v>CKD</v>
          </cell>
          <cell r="K49">
            <v>14.7</v>
          </cell>
        </row>
        <row r="50">
          <cell r="A50">
            <v>47654</v>
          </cell>
          <cell r="B50" t="str">
            <v>CLA-26-2806X4BB-C-K</v>
          </cell>
          <cell r="E50" t="str">
            <v>2018-02-20</v>
          </cell>
          <cell r="I50">
            <v>42947</v>
          </cell>
          <cell r="J50" t="str">
            <v>CKD</v>
          </cell>
          <cell r="K50">
            <v>14.7</v>
          </cell>
        </row>
        <row r="51">
          <cell r="A51">
            <v>47655</v>
          </cell>
          <cell r="B51" t="str">
            <v>CLA-26-2806X4BB-C-K</v>
          </cell>
          <cell r="E51" t="str">
            <v>2018-02-20</v>
          </cell>
          <cell r="I51">
            <v>42947</v>
          </cell>
          <cell r="J51" t="str">
            <v>CKD</v>
          </cell>
          <cell r="K51">
            <v>14.7</v>
          </cell>
        </row>
        <row r="52">
          <cell r="A52">
            <v>47656</v>
          </cell>
          <cell r="B52" t="str">
            <v>CLA-26-2806X4BB-C-K</v>
          </cell>
          <cell r="E52" t="str">
            <v>2018-02-20</v>
          </cell>
          <cell r="I52">
            <v>42947</v>
          </cell>
          <cell r="J52" t="str">
            <v>CKD</v>
          </cell>
          <cell r="K52">
            <v>14.7</v>
          </cell>
        </row>
        <row r="53">
          <cell r="A53">
            <v>47657</v>
          </cell>
          <cell r="B53" t="str">
            <v>CLA-26-2806X4BB-C-K</v>
          </cell>
          <cell r="E53" t="str">
            <v>2018-02-20</v>
          </cell>
          <cell r="I53">
            <v>42947</v>
          </cell>
          <cell r="J53" t="str">
            <v>CKD</v>
          </cell>
          <cell r="K53">
            <v>14.7</v>
          </cell>
        </row>
        <row r="54">
          <cell r="A54">
            <v>47658</v>
          </cell>
          <cell r="B54" t="str">
            <v>CLA-26-2806X4BB-C-K</v>
          </cell>
          <cell r="E54" t="str">
            <v>2018-02-28</v>
          </cell>
          <cell r="I54">
            <v>42947</v>
          </cell>
          <cell r="J54" t="str">
            <v>CKD</v>
          </cell>
          <cell r="K54">
            <v>14.7</v>
          </cell>
        </row>
        <row r="55">
          <cell r="A55">
            <v>47659</v>
          </cell>
          <cell r="B55" t="str">
            <v>CLA-26-2806X4BB-C-K</v>
          </cell>
          <cell r="E55" t="str">
            <v>2018-02-28</v>
          </cell>
          <cell r="I55">
            <v>42947</v>
          </cell>
          <cell r="J55" t="str">
            <v>CKD</v>
          </cell>
          <cell r="K55">
            <v>14.7</v>
          </cell>
        </row>
        <row r="56">
          <cell r="A56">
            <v>47660</v>
          </cell>
          <cell r="B56" t="str">
            <v>CLA-26-2806X4BB-C-K</v>
          </cell>
          <cell r="E56" t="str">
            <v>2018-02-28</v>
          </cell>
          <cell r="I56">
            <v>42947</v>
          </cell>
          <cell r="J56" t="str">
            <v>CKD</v>
          </cell>
          <cell r="K56">
            <v>14.7</v>
          </cell>
        </row>
        <row r="57">
          <cell r="A57">
            <v>47661</v>
          </cell>
          <cell r="B57" t="str">
            <v>CLA-26-2806X4BB-C-K</v>
          </cell>
          <cell r="E57" t="str">
            <v>2018-02-28</v>
          </cell>
          <cell r="I57">
            <v>42947</v>
          </cell>
          <cell r="J57" t="str">
            <v>CKD</v>
          </cell>
          <cell r="K57">
            <v>14.7</v>
          </cell>
        </row>
        <row r="58">
          <cell r="A58">
            <v>47662</v>
          </cell>
          <cell r="B58" t="str">
            <v>CLA-26-2806X4BB-C-K</v>
          </cell>
          <cell r="E58" t="str">
            <v>2018-02-28</v>
          </cell>
          <cell r="I58">
            <v>42947</v>
          </cell>
          <cell r="J58" t="str">
            <v>CKD</v>
          </cell>
          <cell r="K58">
            <v>14.7</v>
          </cell>
        </row>
        <row r="59">
          <cell r="A59">
            <v>47663</v>
          </cell>
          <cell r="B59" t="str">
            <v>CLA-26-2806X4BB-C-K</v>
          </cell>
          <cell r="E59" t="str">
            <v>2018-02-28</v>
          </cell>
          <cell r="I59">
            <v>42947</v>
          </cell>
          <cell r="J59" t="str">
            <v>CKD</v>
          </cell>
          <cell r="K59">
            <v>14.7</v>
          </cell>
        </row>
        <row r="60">
          <cell r="A60" t="str">
            <v>MC6-3468</v>
          </cell>
          <cell r="B60" t="str">
            <v>CLA-26-2806X4BB-C-K</v>
          </cell>
          <cell r="E60">
            <v>164</v>
          </cell>
          <cell r="I60">
            <v>42628</v>
          </cell>
          <cell r="J60" t="str">
            <v>UNSOLD</v>
          </cell>
          <cell r="K60">
            <v>16</v>
          </cell>
        </row>
        <row r="61">
          <cell r="A61" t="str">
            <v>MC6-3469</v>
          </cell>
          <cell r="B61" t="str">
            <v>CLA-26-2806X4BB-C-K</v>
          </cell>
          <cell r="E61">
            <v>165</v>
          </cell>
          <cell r="I61">
            <v>42628</v>
          </cell>
          <cell r="J61" t="str">
            <v>BODY</v>
          </cell>
          <cell r="K61">
            <v>16</v>
          </cell>
        </row>
        <row r="62">
          <cell r="A62" t="str">
            <v>MC6-3471</v>
          </cell>
          <cell r="B62" t="str">
            <v>CLA-26-2806X4BB-C-K</v>
          </cell>
          <cell r="E62">
            <v>164</v>
          </cell>
          <cell r="I62">
            <v>42628</v>
          </cell>
          <cell r="J62" t="str">
            <v>BODY</v>
          </cell>
          <cell r="K62">
            <v>16</v>
          </cell>
        </row>
        <row r="63">
          <cell r="A63" t="str">
            <v>MC6-3472</v>
          </cell>
          <cell r="B63" t="str">
            <v>CLA-26-2806X4BB-C-K</v>
          </cell>
          <cell r="E63">
            <v>164</v>
          </cell>
          <cell r="I63">
            <v>42628</v>
          </cell>
          <cell r="J63" t="str">
            <v>BODY</v>
          </cell>
          <cell r="K63">
            <v>16</v>
          </cell>
        </row>
        <row r="64">
          <cell r="A64" t="str">
            <v>MC6-3479</v>
          </cell>
          <cell r="B64" t="str">
            <v>CLA-26-2806X4BB-C-K</v>
          </cell>
          <cell r="E64">
            <v>135</v>
          </cell>
          <cell r="I64">
            <v>42628</v>
          </cell>
          <cell r="J64" t="str">
            <v>UNSOLD</v>
          </cell>
          <cell r="K64">
            <v>16</v>
          </cell>
        </row>
        <row r="65">
          <cell r="A65" t="str">
            <v>MC6-3480</v>
          </cell>
          <cell r="B65" t="str">
            <v>CLA-26-2806X4BB-C-K</v>
          </cell>
          <cell r="E65">
            <v>144</v>
          </cell>
          <cell r="I65">
            <v>42628</v>
          </cell>
          <cell r="J65" t="str">
            <v>UNSOLD</v>
          </cell>
          <cell r="K65">
            <v>16</v>
          </cell>
        </row>
        <row r="66">
          <cell r="A66" t="str">
            <v>MC6-3481</v>
          </cell>
          <cell r="B66" t="str">
            <v>CLA-26-2806X4BB-C-K</v>
          </cell>
          <cell r="E66">
            <v>150</v>
          </cell>
          <cell r="I66">
            <v>42628</v>
          </cell>
          <cell r="J66" t="str">
            <v>DEMO</v>
          </cell>
          <cell r="K66">
            <v>16</v>
          </cell>
        </row>
        <row r="67">
          <cell r="A67" t="str">
            <v>MC6-3482</v>
          </cell>
          <cell r="B67" t="str">
            <v>CLA-26-2806X4BB-C-K</v>
          </cell>
          <cell r="E67">
            <v>148</v>
          </cell>
          <cell r="I67">
            <v>42628</v>
          </cell>
          <cell r="J67" t="str">
            <v>UNSOLD</v>
          </cell>
          <cell r="K67">
            <v>16</v>
          </cell>
        </row>
        <row r="68">
          <cell r="A68" t="str">
            <v>MC6-3483</v>
          </cell>
          <cell r="B68" t="str">
            <v>CLA-26-2806X4BB-C-K</v>
          </cell>
          <cell r="E68">
            <v>143</v>
          </cell>
          <cell r="I68">
            <v>42628</v>
          </cell>
          <cell r="J68" t="str">
            <v>UNSOLD</v>
          </cell>
          <cell r="K68">
            <v>16</v>
          </cell>
        </row>
        <row r="69">
          <cell r="A69" t="str">
            <v>MC6-3484</v>
          </cell>
          <cell r="B69" t="str">
            <v>CLA-26-2806X4BB-C-K</v>
          </cell>
          <cell r="E69">
            <v>148</v>
          </cell>
          <cell r="I69">
            <v>42628</v>
          </cell>
          <cell r="J69" t="str">
            <v>UNSOLD</v>
          </cell>
          <cell r="K69">
            <v>16</v>
          </cell>
        </row>
        <row r="70">
          <cell r="A70" t="str">
            <v>MC6-3594</v>
          </cell>
          <cell r="B70" t="str">
            <v>CLA-26-2806X4BB-C-K</v>
          </cell>
          <cell r="E70">
            <v>148</v>
          </cell>
          <cell r="I70">
            <v>42656</v>
          </cell>
          <cell r="J70" t="str">
            <v>UNSOLD</v>
          </cell>
          <cell r="K70">
            <v>16</v>
          </cell>
        </row>
        <row r="71">
          <cell r="A71" t="str">
            <v>MC6-3596</v>
          </cell>
          <cell r="B71" t="str">
            <v>CLA-26-2806X4BB-C-K</v>
          </cell>
          <cell r="E71">
            <v>119</v>
          </cell>
          <cell r="I71">
            <v>42656</v>
          </cell>
          <cell r="J71" t="str">
            <v>UNSOLD</v>
          </cell>
          <cell r="K71">
            <v>16</v>
          </cell>
        </row>
        <row r="72">
          <cell r="A72" t="str">
            <v>MC6-3597</v>
          </cell>
          <cell r="B72" t="str">
            <v>CLA-26-2806X4BB-C-K</v>
          </cell>
          <cell r="E72">
            <v>141</v>
          </cell>
          <cell r="I72">
            <v>42656</v>
          </cell>
          <cell r="J72" t="str">
            <v>UNSOLD</v>
          </cell>
          <cell r="K72">
            <v>16</v>
          </cell>
        </row>
        <row r="73">
          <cell r="A73" t="str">
            <v>MC6-3598</v>
          </cell>
          <cell r="B73" t="str">
            <v>CLA-26-2806X4BB-C-K</v>
          </cell>
          <cell r="E73">
            <v>133</v>
          </cell>
          <cell r="I73">
            <v>42656</v>
          </cell>
          <cell r="J73" t="str">
            <v>UNSOLD</v>
          </cell>
          <cell r="K73">
            <v>16</v>
          </cell>
        </row>
        <row r="74">
          <cell r="A74" t="str">
            <v>MC6-3599</v>
          </cell>
          <cell r="B74" t="str">
            <v>CLA-26-2806X4BB-C-K</v>
          </cell>
          <cell r="E74">
            <v>147</v>
          </cell>
          <cell r="I74">
            <v>42656</v>
          </cell>
          <cell r="J74" t="str">
            <v>UNSOLD</v>
          </cell>
          <cell r="K74">
            <v>16</v>
          </cell>
        </row>
        <row r="75">
          <cell r="A75" t="str">
            <v>MC6-3601</v>
          </cell>
          <cell r="B75" t="str">
            <v>CLA-26-2806X4BB-C-K</v>
          </cell>
          <cell r="E75">
            <v>147</v>
          </cell>
          <cell r="I75">
            <v>42656</v>
          </cell>
          <cell r="J75" t="str">
            <v>UNSOLD</v>
          </cell>
          <cell r="K75">
            <v>16</v>
          </cell>
        </row>
        <row r="76">
          <cell r="A76" t="str">
            <v>MC6-3602</v>
          </cell>
          <cell r="B76" t="str">
            <v>CLA-26-2806X4BB-C-K</v>
          </cell>
          <cell r="E76">
            <v>141</v>
          </cell>
          <cell r="I76">
            <v>42656</v>
          </cell>
          <cell r="J76" t="str">
            <v>BOOKED</v>
          </cell>
          <cell r="K76">
            <v>16</v>
          </cell>
        </row>
        <row r="77">
          <cell r="A77" t="str">
            <v>MC6-3603</v>
          </cell>
          <cell r="B77" t="str">
            <v>CLA-26-2806X4BB-C-K</v>
          </cell>
          <cell r="E77">
            <v>142</v>
          </cell>
          <cell r="I77">
            <v>42656</v>
          </cell>
          <cell r="J77" t="str">
            <v>UNSOLD</v>
          </cell>
          <cell r="K77">
            <v>16</v>
          </cell>
        </row>
        <row r="78">
          <cell r="A78" t="str">
            <v>MC6-3604</v>
          </cell>
          <cell r="B78" t="str">
            <v>CLA-26-2806X4BB-C-K</v>
          </cell>
          <cell r="E78">
            <v>142</v>
          </cell>
          <cell r="I78">
            <v>42656</v>
          </cell>
          <cell r="J78" t="str">
            <v>UNSOLD</v>
          </cell>
          <cell r="K78">
            <v>16</v>
          </cell>
        </row>
        <row r="79">
          <cell r="A79" t="str">
            <v>MC6-3605</v>
          </cell>
          <cell r="B79" t="str">
            <v>CLA-26-2806X4BB-C-K</v>
          </cell>
          <cell r="E79">
            <v>127</v>
          </cell>
          <cell r="I79">
            <v>42656</v>
          </cell>
          <cell r="J79" t="str">
            <v>UNSOLD</v>
          </cell>
          <cell r="K79">
            <v>16</v>
          </cell>
        </row>
        <row r="80">
          <cell r="A80" t="str">
            <v>MC6-3807</v>
          </cell>
          <cell r="B80" t="str">
            <v>CLA-26-2806X4BB-C-K</v>
          </cell>
          <cell r="E80" t="str">
            <v>2017-12-31</v>
          </cell>
          <cell r="I80">
            <v>42900</v>
          </cell>
          <cell r="J80" t="str">
            <v>CKD</v>
          </cell>
          <cell r="K80">
            <v>14.7</v>
          </cell>
        </row>
        <row r="81">
          <cell r="A81" t="str">
            <v>MC6-3808</v>
          </cell>
          <cell r="B81" t="str">
            <v>CLA-26-2806X4BB-C-K</v>
          </cell>
          <cell r="E81" t="str">
            <v>2017-12-31</v>
          </cell>
          <cell r="I81">
            <v>42900</v>
          </cell>
          <cell r="J81" t="str">
            <v>CKD</v>
          </cell>
          <cell r="K81">
            <v>14.7</v>
          </cell>
        </row>
        <row r="82">
          <cell r="A82" t="str">
            <v>MC6-3809</v>
          </cell>
          <cell r="B82" t="str">
            <v>CLA-26-2806X4BB-C-K</v>
          </cell>
          <cell r="E82" t="str">
            <v>2017-12-31</v>
          </cell>
          <cell r="I82">
            <v>42900</v>
          </cell>
          <cell r="J82" t="str">
            <v>CKD</v>
          </cell>
          <cell r="K82">
            <v>14.7</v>
          </cell>
        </row>
        <row r="83">
          <cell r="A83" t="str">
            <v>MC6-3810</v>
          </cell>
          <cell r="B83" t="str">
            <v>CLA-26-2806X4BB-C-K</v>
          </cell>
          <cell r="E83" t="str">
            <v>2017-12-31</v>
          </cell>
          <cell r="I83">
            <v>42900</v>
          </cell>
          <cell r="J83" t="str">
            <v>CKD</v>
          </cell>
          <cell r="K83">
            <v>14.7</v>
          </cell>
        </row>
        <row r="84">
          <cell r="A84" t="str">
            <v>MC6-3811</v>
          </cell>
          <cell r="B84" t="str">
            <v>CLA-26-2806X4BB-C-K</v>
          </cell>
          <cell r="E84" t="str">
            <v>2017-12-31</v>
          </cell>
          <cell r="I84">
            <v>42900</v>
          </cell>
          <cell r="J84" t="str">
            <v>CKD</v>
          </cell>
          <cell r="K84">
            <v>14.7</v>
          </cell>
        </row>
        <row r="85">
          <cell r="A85" t="str">
            <v>MC6-3812</v>
          </cell>
          <cell r="B85" t="str">
            <v>CLA-26-2806X4BB-C-K</v>
          </cell>
          <cell r="E85" t="str">
            <v>2017-12-31</v>
          </cell>
          <cell r="I85">
            <v>42900</v>
          </cell>
          <cell r="J85" t="str">
            <v>CKD</v>
          </cell>
          <cell r="K85">
            <v>14.7</v>
          </cell>
        </row>
        <row r="86">
          <cell r="A86" t="str">
            <v>MC6-3813</v>
          </cell>
          <cell r="B86" t="str">
            <v>CLA-26-2806X4BB-C-K</v>
          </cell>
          <cell r="E86" t="str">
            <v>2017-12-31</v>
          </cell>
          <cell r="I86">
            <v>42900</v>
          </cell>
          <cell r="J86" t="str">
            <v>CKD</v>
          </cell>
          <cell r="K86">
            <v>14.7</v>
          </cell>
        </row>
        <row r="87">
          <cell r="A87" t="str">
            <v>MC6-3814</v>
          </cell>
          <cell r="B87" t="str">
            <v>CLA-26-2806X4BB-C-K</v>
          </cell>
          <cell r="E87" t="str">
            <v>2017-12-31</v>
          </cell>
          <cell r="I87">
            <v>42900</v>
          </cell>
          <cell r="J87" t="str">
            <v>CKD</v>
          </cell>
          <cell r="K87">
            <v>14.7</v>
          </cell>
        </row>
        <row r="88">
          <cell r="A88" t="str">
            <v>MC6-3815</v>
          </cell>
          <cell r="B88" t="str">
            <v>CLA-26-2806X4BB-C-K</v>
          </cell>
          <cell r="E88" t="str">
            <v>2017-12-31</v>
          </cell>
          <cell r="I88">
            <v>42900</v>
          </cell>
          <cell r="J88" t="str">
            <v>CKD</v>
          </cell>
          <cell r="K88">
            <v>14.7</v>
          </cell>
        </row>
        <row r="89">
          <cell r="A89" t="str">
            <v>MC6-3816</v>
          </cell>
          <cell r="B89" t="str">
            <v>CLA-26-2806X4BB-C-K</v>
          </cell>
          <cell r="E89" t="str">
            <v>2017-12-31</v>
          </cell>
          <cell r="I89">
            <v>42900</v>
          </cell>
          <cell r="J89" t="str">
            <v>CKD</v>
          </cell>
          <cell r="K89">
            <v>14.7</v>
          </cell>
        </row>
        <row r="90">
          <cell r="A90" t="str">
            <v>MC6-3817</v>
          </cell>
          <cell r="B90" t="str">
            <v>CLA-26-2806X4BB-C-K</v>
          </cell>
          <cell r="E90" t="str">
            <v>2017-12-31</v>
          </cell>
          <cell r="I90">
            <v>42900</v>
          </cell>
          <cell r="J90" t="str">
            <v>CKD</v>
          </cell>
          <cell r="K90">
            <v>14.7</v>
          </cell>
        </row>
        <row r="91">
          <cell r="A91" t="str">
            <v>MC6-3818</v>
          </cell>
          <cell r="B91" t="str">
            <v>CLA-26-2806X4BB-C-K</v>
          </cell>
          <cell r="E91" t="str">
            <v>2017-12-31</v>
          </cell>
          <cell r="I91">
            <v>42900</v>
          </cell>
          <cell r="J91" t="str">
            <v>CKD</v>
          </cell>
          <cell r="K91">
            <v>14.7</v>
          </cell>
        </row>
        <row r="92">
          <cell r="A92" t="str">
            <v>TBAKP516</v>
          </cell>
          <cell r="B92" t="str">
            <v>CLA-26-2806X4BB-C-K</v>
          </cell>
          <cell r="E92" t="str">
            <v>2018-02-15</v>
          </cell>
          <cell r="I92">
            <v>42921</v>
          </cell>
          <cell r="J92" t="str">
            <v>CKD</v>
          </cell>
          <cell r="K92">
            <v>14.7</v>
          </cell>
        </row>
        <row r="93">
          <cell r="A93">
            <v>46660</v>
          </cell>
          <cell r="B93" t="str">
            <v>CLA-26-2806X4BB-C-L</v>
          </cell>
          <cell r="E93" t="str">
            <v>2017-10-18</v>
          </cell>
          <cell r="I93">
            <v>42838</v>
          </cell>
          <cell r="J93" t="str">
            <v>CKD</v>
          </cell>
          <cell r="K93">
            <v>14.7</v>
          </cell>
        </row>
        <row r="94">
          <cell r="A94">
            <v>46661</v>
          </cell>
          <cell r="B94" t="str">
            <v>CLA-26-2806X4BB-C-L</v>
          </cell>
          <cell r="E94" t="str">
            <v>2017-10-18</v>
          </cell>
          <cell r="I94">
            <v>42838</v>
          </cell>
          <cell r="J94" t="str">
            <v>CKD</v>
          </cell>
          <cell r="K94">
            <v>14.7</v>
          </cell>
        </row>
        <row r="95">
          <cell r="A95">
            <v>46662</v>
          </cell>
          <cell r="B95" t="str">
            <v>CLA-26-2806X4BB-C-L</v>
          </cell>
          <cell r="E95" t="str">
            <v>2017-10-18</v>
          </cell>
          <cell r="I95">
            <v>42838</v>
          </cell>
          <cell r="J95" t="str">
            <v>CKD</v>
          </cell>
          <cell r="K95">
            <v>14.7</v>
          </cell>
        </row>
        <row r="96">
          <cell r="A96">
            <v>46663</v>
          </cell>
          <cell r="B96" t="str">
            <v>CLA-26-2806X4BB-C-L</v>
          </cell>
          <cell r="E96" t="str">
            <v>2017-10-18</v>
          </cell>
          <cell r="I96">
            <v>42838</v>
          </cell>
          <cell r="J96" t="str">
            <v>CKD</v>
          </cell>
          <cell r="K96">
            <v>14.7</v>
          </cell>
        </row>
        <row r="97">
          <cell r="A97">
            <v>46664</v>
          </cell>
          <cell r="B97" t="str">
            <v>CLA-26-2806X4BB-C-L</v>
          </cell>
          <cell r="E97" t="str">
            <v>2017-10-18</v>
          </cell>
          <cell r="I97">
            <v>42838</v>
          </cell>
          <cell r="J97" t="str">
            <v>CKD</v>
          </cell>
          <cell r="K97">
            <v>14.7</v>
          </cell>
        </row>
        <row r="98">
          <cell r="A98">
            <v>46665</v>
          </cell>
          <cell r="B98" t="str">
            <v>CLA-26-2806X4BB-C-L</v>
          </cell>
          <cell r="E98" t="str">
            <v>2017-10-18</v>
          </cell>
          <cell r="I98">
            <v>42838</v>
          </cell>
          <cell r="J98" t="str">
            <v>CKD</v>
          </cell>
          <cell r="K98">
            <v>14.7</v>
          </cell>
        </row>
        <row r="99">
          <cell r="A99">
            <v>47145</v>
          </cell>
          <cell r="B99" t="str">
            <v>CLA-26-2806X4BB-C-L</v>
          </cell>
          <cell r="E99" t="str">
            <v>2017-12-31</v>
          </cell>
          <cell r="I99">
            <v>42900</v>
          </cell>
          <cell r="J99" t="str">
            <v>CKD</v>
          </cell>
          <cell r="K99">
            <v>14.7</v>
          </cell>
        </row>
        <row r="100">
          <cell r="A100">
            <v>47146</v>
          </cell>
          <cell r="B100" t="str">
            <v>CLA-26-2806X4BB-C-L</v>
          </cell>
          <cell r="E100" t="str">
            <v>2017-12-31</v>
          </cell>
          <cell r="I100">
            <v>42900</v>
          </cell>
          <cell r="J100" t="str">
            <v>CKD</v>
          </cell>
          <cell r="K100">
            <v>14.7</v>
          </cell>
        </row>
        <row r="101">
          <cell r="A101">
            <v>47147</v>
          </cell>
          <cell r="B101" t="str">
            <v>CLA-26-2806X4BB-C-L</v>
          </cell>
          <cell r="E101" t="str">
            <v>2017-12-31</v>
          </cell>
          <cell r="I101">
            <v>42900</v>
          </cell>
          <cell r="J101" t="str">
            <v>CKD</v>
          </cell>
          <cell r="K101">
            <v>14.7</v>
          </cell>
        </row>
        <row r="102">
          <cell r="A102">
            <v>47148</v>
          </cell>
          <cell r="B102" t="str">
            <v>CLA-26-2806X4BB-C-L</v>
          </cell>
          <cell r="E102" t="str">
            <v>2017-12-31</v>
          </cell>
          <cell r="I102">
            <v>42900</v>
          </cell>
          <cell r="J102" t="str">
            <v>CKD</v>
          </cell>
          <cell r="K102">
            <v>14.7</v>
          </cell>
        </row>
        <row r="103">
          <cell r="A103">
            <v>47149</v>
          </cell>
          <cell r="B103" t="str">
            <v>CLA-26-2806X4BB-C-L</v>
          </cell>
          <cell r="E103" t="str">
            <v>2017-12-31</v>
          </cell>
          <cell r="I103">
            <v>42900</v>
          </cell>
          <cell r="J103" t="str">
            <v>CKD</v>
          </cell>
          <cell r="K103">
            <v>14.7</v>
          </cell>
        </row>
        <row r="104">
          <cell r="A104">
            <v>47150</v>
          </cell>
          <cell r="B104" t="str">
            <v>CLA-26-2806X4BB-C-L</v>
          </cell>
          <cell r="E104" t="str">
            <v>2017-12-31</v>
          </cell>
          <cell r="I104">
            <v>42900</v>
          </cell>
          <cell r="J104" t="str">
            <v>CKD</v>
          </cell>
          <cell r="K104">
            <v>14.7</v>
          </cell>
        </row>
        <row r="105">
          <cell r="A105">
            <v>47157</v>
          </cell>
          <cell r="B105" t="str">
            <v>CLA-26-2806X4BB-C-L</v>
          </cell>
          <cell r="E105" t="str">
            <v>2017-12-31</v>
          </cell>
          <cell r="I105">
            <v>42900</v>
          </cell>
          <cell r="J105" t="str">
            <v>CKD</v>
          </cell>
          <cell r="K105">
            <v>14.7</v>
          </cell>
        </row>
        <row r="106">
          <cell r="A106">
            <v>47158</v>
          </cell>
          <cell r="B106" t="str">
            <v>CLA-26-2806X4BB-C-L</v>
          </cell>
          <cell r="E106" t="str">
            <v>2017-12-31</v>
          </cell>
          <cell r="I106">
            <v>42900</v>
          </cell>
          <cell r="J106" t="str">
            <v>CKD</v>
          </cell>
          <cell r="K106">
            <v>14.7</v>
          </cell>
        </row>
        <row r="107">
          <cell r="A107">
            <v>47159</v>
          </cell>
          <cell r="B107" t="str">
            <v>CLA-26-2806X4BB-C-L</v>
          </cell>
          <cell r="E107" t="str">
            <v>2017-12-31</v>
          </cell>
          <cell r="I107">
            <v>42900</v>
          </cell>
          <cell r="J107" t="str">
            <v>CKD</v>
          </cell>
          <cell r="K107">
            <v>14.7</v>
          </cell>
        </row>
        <row r="108">
          <cell r="A108">
            <v>47160</v>
          </cell>
          <cell r="B108" t="str">
            <v>CLA-26-2806X4BB-C-L</v>
          </cell>
          <cell r="E108" t="str">
            <v>2017-12-31</v>
          </cell>
          <cell r="I108">
            <v>42900</v>
          </cell>
          <cell r="J108" t="str">
            <v>CKD</v>
          </cell>
          <cell r="K108">
            <v>14.7</v>
          </cell>
        </row>
        <row r="109">
          <cell r="A109">
            <v>47161</v>
          </cell>
          <cell r="B109" t="str">
            <v>CLA-26-2806X4BB-C-L</v>
          </cell>
          <cell r="E109" t="str">
            <v>2017-12-31</v>
          </cell>
          <cell r="I109">
            <v>42900</v>
          </cell>
          <cell r="J109" t="str">
            <v>CKD</v>
          </cell>
          <cell r="K109">
            <v>14.7</v>
          </cell>
        </row>
        <row r="110">
          <cell r="A110">
            <v>47162</v>
          </cell>
          <cell r="B110" t="str">
            <v>CLA-26-2806X4BB-C-L</v>
          </cell>
          <cell r="E110" t="str">
            <v>2017-12-31</v>
          </cell>
          <cell r="I110">
            <v>42900</v>
          </cell>
          <cell r="J110" t="str">
            <v>CKD</v>
          </cell>
          <cell r="K110">
            <v>14.7</v>
          </cell>
        </row>
        <row r="111">
          <cell r="A111">
            <v>47498</v>
          </cell>
          <cell r="B111" t="str">
            <v>CLA-26-2806X4BB-C-L</v>
          </cell>
          <cell r="E111" t="str">
            <v>2017-12-3</v>
          </cell>
          <cell r="I111">
            <v>42937</v>
          </cell>
          <cell r="J111" t="str">
            <v>CKD</v>
          </cell>
          <cell r="K111">
            <v>14.7</v>
          </cell>
        </row>
        <row r="112">
          <cell r="A112">
            <v>47499</v>
          </cell>
          <cell r="B112" t="str">
            <v>CLA-26-2806X4BB-C-L</v>
          </cell>
          <cell r="E112" t="str">
            <v>2017-12-3</v>
          </cell>
          <cell r="I112">
            <v>42937</v>
          </cell>
          <cell r="J112" t="str">
            <v>CKD</v>
          </cell>
          <cell r="K112">
            <v>14.7</v>
          </cell>
        </row>
        <row r="113">
          <cell r="A113">
            <v>47500</v>
          </cell>
          <cell r="B113" t="str">
            <v>CLA-26-2806X4BB-C-L</v>
          </cell>
          <cell r="E113" t="str">
            <v>2017-12-3</v>
          </cell>
          <cell r="I113">
            <v>42937</v>
          </cell>
          <cell r="J113" t="str">
            <v>CKD</v>
          </cell>
          <cell r="K113">
            <v>14.7</v>
          </cell>
        </row>
        <row r="114">
          <cell r="A114">
            <v>47664</v>
          </cell>
          <cell r="B114" t="str">
            <v>CLA-26-2806X4BB-C-L</v>
          </cell>
          <cell r="E114" t="str">
            <v>2018-02-15</v>
          </cell>
          <cell r="I114">
            <v>42947</v>
          </cell>
          <cell r="J114" t="str">
            <v>CKD</v>
          </cell>
          <cell r="K114">
            <v>14.7</v>
          </cell>
        </row>
        <row r="115">
          <cell r="A115">
            <v>47665</v>
          </cell>
          <cell r="B115" t="str">
            <v>CLA-26-2806X4BB-C-L</v>
          </cell>
          <cell r="E115" t="str">
            <v>2018-02-15</v>
          </cell>
          <cell r="I115">
            <v>42947</v>
          </cell>
          <cell r="J115" t="str">
            <v>CKD</v>
          </cell>
          <cell r="K115">
            <v>14.7</v>
          </cell>
        </row>
        <row r="116">
          <cell r="A116">
            <v>47666</v>
          </cell>
          <cell r="B116" t="str">
            <v>CLA-26-2806X4BB-C-L</v>
          </cell>
          <cell r="E116" t="str">
            <v>2018-02-15</v>
          </cell>
          <cell r="I116">
            <v>42947</v>
          </cell>
          <cell r="J116" t="str">
            <v>CKD</v>
          </cell>
          <cell r="K116">
            <v>14.7</v>
          </cell>
        </row>
        <row r="117">
          <cell r="A117">
            <v>47667</v>
          </cell>
          <cell r="B117" t="str">
            <v>CLA-26-2806X4BB-C-L</v>
          </cell>
          <cell r="E117" t="str">
            <v>2018-02-15</v>
          </cell>
          <cell r="I117">
            <v>42947</v>
          </cell>
          <cell r="J117" t="str">
            <v>CKD</v>
          </cell>
          <cell r="K117">
            <v>14.7</v>
          </cell>
        </row>
        <row r="118">
          <cell r="A118">
            <v>47668</v>
          </cell>
          <cell r="B118" t="str">
            <v>CLA-26-2806X4BB-C-L</v>
          </cell>
          <cell r="E118" t="str">
            <v>2018-02-15</v>
          </cell>
          <cell r="I118">
            <v>42947</v>
          </cell>
          <cell r="J118" t="str">
            <v>CKD</v>
          </cell>
          <cell r="K118">
            <v>14.7</v>
          </cell>
        </row>
        <row r="119">
          <cell r="A119">
            <v>47669</v>
          </cell>
          <cell r="B119" t="str">
            <v>CLA-26-2806X4BB-C-L</v>
          </cell>
          <cell r="E119" t="str">
            <v>2018-02-15</v>
          </cell>
          <cell r="I119">
            <v>42947</v>
          </cell>
          <cell r="J119" t="str">
            <v>CKD</v>
          </cell>
          <cell r="K119">
            <v>14.7</v>
          </cell>
        </row>
        <row r="120">
          <cell r="A120">
            <v>47670</v>
          </cell>
          <cell r="B120" t="str">
            <v>CLA-26-2806X4BB-C-L</v>
          </cell>
          <cell r="E120" t="str">
            <v>2018-02-28</v>
          </cell>
          <cell r="I120">
            <v>42947</v>
          </cell>
          <cell r="J120" t="str">
            <v>CKD</v>
          </cell>
          <cell r="K120">
            <v>14.7</v>
          </cell>
        </row>
        <row r="121">
          <cell r="A121">
            <v>47671</v>
          </cell>
          <cell r="B121" t="str">
            <v>CLA-26-2806X4BB-C-L</v>
          </cell>
          <cell r="E121" t="str">
            <v>2018-02-28</v>
          </cell>
          <cell r="I121">
            <v>42947</v>
          </cell>
          <cell r="J121" t="str">
            <v>CKD</v>
          </cell>
          <cell r="K121">
            <v>14.7</v>
          </cell>
        </row>
        <row r="122">
          <cell r="A122">
            <v>47672</v>
          </cell>
          <cell r="B122" t="str">
            <v>CLA-26-2806X4BB-C-L</v>
          </cell>
          <cell r="E122" t="str">
            <v>2018-02-28</v>
          </cell>
          <cell r="I122">
            <v>42947</v>
          </cell>
          <cell r="J122" t="str">
            <v>CKD</v>
          </cell>
          <cell r="K122">
            <v>14.7</v>
          </cell>
        </row>
        <row r="123">
          <cell r="A123">
            <v>47673</v>
          </cell>
          <cell r="B123" t="str">
            <v>CLA-26-2806X4BB-C-L</v>
          </cell>
          <cell r="E123" t="str">
            <v>2018-02-28</v>
          </cell>
          <cell r="I123">
            <v>42947</v>
          </cell>
          <cell r="J123" t="str">
            <v>CKD</v>
          </cell>
          <cell r="K123">
            <v>14.7</v>
          </cell>
        </row>
        <row r="124">
          <cell r="A124">
            <v>47674</v>
          </cell>
          <cell r="B124" t="str">
            <v>CLA-26-2806X4BB-C-L</v>
          </cell>
          <cell r="E124" t="str">
            <v>2018-02-28</v>
          </cell>
          <cell r="I124">
            <v>42947</v>
          </cell>
          <cell r="J124" t="str">
            <v>CKD</v>
          </cell>
          <cell r="K124">
            <v>14.7</v>
          </cell>
        </row>
        <row r="125">
          <cell r="A125">
            <v>47675</v>
          </cell>
          <cell r="B125" t="str">
            <v>CLA-26-2806X4BB-C-L</v>
          </cell>
          <cell r="E125" t="str">
            <v>2018-02-28</v>
          </cell>
          <cell r="I125">
            <v>42947</v>
          </cell>
          <cell r="J125" t="str">
            <v>CKD</v>
          </cell>
          <cell r="K125">
            <v>14.7</v>
          </cell>
        </row>
        <row r="126">
          <cell r="A126">
            <v>47676</v>
          </cell>
          <cell r="B126" t="str">
            <v>CLA-26-2806X4BB-C-L</v>
          </cell>
          <cell r="E126" t="str">
            <v>2018-03-10</v>
          </cell>
          <cell r="I126">
            <v>42947</v>
          </cell>
          <cell r="J126" t="str">
            <v>CKD</v>
          </cell>
          <cell r="K126">
            <v>14.7</v>
          </cell>
        </row>
        <row r="127">
          <cell r="A127">
            <v>47677</v>
          </cell>
          <cell r="B127" t="str">
            <v>CLA-26-2806X4BB-C-L</v>
          </cell>
          <cell r="E127" t="str">
            <v>2018-03-10</v>
          </cell>
          <cell r="I127">
            <v>42947</v>
          </cell>
          <cell r="J127" t="str">
            <v>CKD</v>
          </cell>
          <cell r="K127">
            <v>14.7</v>
          </cell>
        </row>
        <row r="128">
          <cell r="A128">
            <v>47678</v>
          </cell>
          <cell r="B128" t="str">
            <v>CLA-26-2806X4BB-C-L</v>
          </cell>
          <cell r="E128" t="str">
            <v>2018-03-10</v>
          </cell>
          <cell r="I128">
            <v>42947</v>
          </cell>
          <cell r="J128" t="str">
            <v>CKD</v>
          </cell>
          <cell r="K128">
            <v>14.7</v>
          </cell>
        </row>
        <row r="129">
          <cell r="A129">
            <v>47679</v>
          </cell>
          <cell r="B129" t="str">
            <v>CLA-26-2806X4BB-C-L</v>
          </cell>
          <cell r="E129" t="str">
            <v>2018-03-10</v>
          </cell>
          <cell r="I129">
            <v>42947</v>
          </cell>
          <cell r="J129" t="str">
            <v>CKD</v>
          </cell>
          <cell r="K129">
            <v>14.7</v>
          </cell>
        </row>
        <row r="130">
          <cell r="A130">
            <v>47680</v>
          </cell>
          <cell r="B130" t="str">
            <v>CLA-26-2806X4BB-C-L</v>
          </cell>
          <cell r="E130" t="str">
            <v>2018-03-10</v>
          </cell>
          <cell r="I130">
            <v>42947</v>
          </cell>
          <cell r="J130" t="str">
            <v>CKD</v>
          </cell>
          <cell r="K130">
            <v>14.7</v>
          </cell>
        </row>
        <row r="131">
          <cell r="A131">
            <v>47681</v>
          </cell>
          <cell r="B131" t="str">
            <v>CLA-26-2806X4BB-C-L</v>
          </cell>
          <cell r="E131" t="str">
            <v>2018-03-10</v>
          </cell>
          <cell r="I131">
            <v>42947</v>
          </cell>
          <cell r="J131" t="str">
            <v>CKD</v>
          </cell>
          <cell r="K131">
            <v>14.7</v>
          </cell>
        </row>
        <row r="132">
          <cell r="A132" t="str">
            <v>MC6-1092</v>
          </cell>
          <cell r="B132" t="str">
            <v>CLA-26-2806X4BB-C-L</v>
          </cell>
          <cell r="E132">
            <v>18</v>
          </cell>
          <cell r="I132">
            <v>42584</v>
          </cell>
          <cell r="J132" t="str">
            <v>UNSOLD</v>
          </cell>
          <cell r="K132">
            <v>17.3</v>
          </cell>
        </row>
        <row r="133">
          <cell r="A133" t="str">
            <v>MC6-3738</v>
          </cell>
          <cell r="B133" t="str">
            <v>CLA-26-2806X4BB-C-L</v>
          </cell>
          <cell r="E133" t="str">
            <v>2017-08-25</v>
          </cell>
          <cell r="I133">
            <v>42804</v>
          </cell>
          <cell r="J133" t="str">
            <v>CKD</v>
          </cell>
          <cell r="K133">
            <v>15.4</v>
          </cell>
        </row>
        <row r="134">
          <cell r="A134" t="str">
            <v>MC6-3739</v>
          </cell>
          <cell r="B134" t="str">
            <v>CLA-26-2806X4BB-C-L</v>
          </cell>
          <cell r="E134" t="str">
            <v>2017-08-28</v>
          </cell>
          <cell r="I134">
            <v>42804</v>
          </cell>
          <cell r="J134" t="str">
            <v>CKD</v>
          </cell>
          <cell r="K134">
            <v>15.4</v>
          </cell>
        </row>
        <row r="135">
          <cell r="A135" t="str">
            <v>MC6-3740</v>
          </cell>
          <cell r="B135" t="str">
            <v>CLA-26-2806X4BB-C-L</v>
          </cell>
          <cell r="E135" t="str">
            <v>2017-08-28</v>
          </cell>
          <cell r="I135">
            <v>42804</v>
          </cell>
          <cell r="J135" t="str">
            <v>CKD</v>
          </cell>
          <cell r="K135">
            <v>15.4</v>
          </cell>
        </row>
        <row r="136">
          <cell r="A136" t="str">
            <v>MC6-3741</v>
          </cell>
          <cell r="B136" t="str">
            <v>CLA-26-2806X4BB-C-L</v>
          </cell>
          <cell r="E136" t="str">
            <v>2017-08-29</v>
          </cell>
          <cell r="I136">
            <v>42804</v>
          </cell>
          <cell r="J136" t="str">
            <v>CKD</v>
          </cell>
          <cell r="K136">
            <v>15.4</v>
          </cell>
        </row>
        <row r="137">
          <cell r="A137" t="str">
            <v>MC6-3742</v>
          </cell>
          <cell r="B137" t="str">
            <v>CLA-26-2806X4BB-C-L</v>
          </cell>
          <cell r="E137" t="str">
            <v>2017-08-29</v>
          </cell>
          <cell r="I137">
            <v>42804</v>
          </cell>
          <cell r="J137" t="str">
            <v>CKD</v>
          </cell>
          <cell r="K137">
            <v>15.4</v>
          </cell>
        </row>
        <row r="138">
          <cell r="A138" t="str">
            <v>MC6-3743</v>
          </cell>
          <cell r="B138" t="str">
            <v>CLA-26-2806X4BB-C-L</v>
          </cell>
          <cell r="E138" t="str">
            <v>2017-08-29</v>
          </cell>
          <cell r="I138">
            <v>42804</v>
          </cell>
          <cell r="J138" t="str">
            <v>CKD</v>
          </cell>
          <cell r="K138">
            <v>15.4</v>
          </cell>
        </row>
        <row r="139">
          <cell r="A139" t="str">
            <v>MC6-3744</v>
          </cell>
          <cell r="B139" t="str">
            <v>CLA-26-2806X4BB-C-L</v>
          </cell>
          <cell r="E139" t="str">
            <v>2017-08-31</v>
          </cell>
          <cell r="I139">
            <v>42804</v>
          </cell>
          <cell r="J139" t="str">
            <v>CKD</v>
          </cell>
          <cell r="K139">
            <v>15.4</v>
          </cell>
        </row>
        <row r="140">
          <cell r="A140" t="str">
            <v>MC6-3745</v>
          </cell>
          <cell r="B140" t="str">
            <v>CLA-26-2806X4BB-C-L</v>
          </cell>
          <cell r="E140" t="str">
            <v>2017-08-31</v>
          </cell>
          <cell r="I140">
            <v>42804</v>
          </cell>
          <cell r="J140" t="str">
            <v>CKD</v>
          </cell>
          <cell r="K140">
            <v>15.4</v>
          </cell>
        </row>
        <row r="141">
          <cell r="A141" t="str">
            <v>MC6-3746</v>
          </cell>
          <cell r="B141" t="str">
            <v>CLA-26-2806X4BB-C-L</v>
          </cell>
          <cell r="E141" t="str">
            <v>2017-08-31</v>
          </cell>
          <cell r="I141">
            <v>42804</v>
          </cell>
          <cell r="J141" t="str">
            <v>CKD</v>
          </cell>
          <cell r="K141">
            <v>15.4</v>
          </cell>
        </row>
        <row r="142">
          <cell r="A142" t="str">
            <v>MC6-3747</v>
          </cell>
          <cell r="B142" t="str">
            <v>CLA-26-2806X4BB-C-L</v>
          </cell>
          <cell r="E142" t="str">
            <v>2017-09-1</v>
          </cell>
          <cell r="I142">
            <v>42804</v>
          </cell>
          <cell r="J142" t="str">
            <v>CKD</v>
          </cell>
          <cell r="K142">
            <v>15.4</v>
          </cell>
        </row>
        <row r="143">
          <cell r="A143" t="str">
            <v>MC6-3748</v>
          </cell>
          <cell r="B143" t="str">
            <v>CLA-26-2806X4BB-C-L</v>
          </cell>
          <cell r="E143" t="str">
            <v>2017-09-1</v>
          </cell>
          <cell r="I143">
            <v>42804</v>
          </cell>
          <cell r="J143" t="str">
            <v>CKD</v>
          </cell>
          <cell r="K143">
            <v>15.4</v>
          </cell>
        </row>
        <row r="144">
          <cell r="A144" t="str">
            <v>MC6-3749</v>
          </cell>
          <cell r="B144" t="str">
            <v>CLA-26-2806X4BB-C-L</v>
          </cell>
          <cell r="E144" t="str">
            <v>2017-09-1</v>
          </cell>
          <cell r="I144">
            <v>42804</v>
          </cell>
          <cell r="J144" t="str">
            <v>CKD</v>
          </cell>
          <cell r="K144">
            <v>15.4</v>
          </cell>
        </row>
        <row r="145">
          <cell r="A145" t="str">
            <v>MC6-3750</v>
          </cell>
          <cell r="B145" t="str">
            <v>CLA-26-2806X4BB-C-L</v>
          </cell>
          <cell r="E145" t="str">
            <v>2017-09-4</v>
          </cell>
          <cell r="I145">
            <v>42804</v>
          </cell>
          <cell r="J145" t="str">
            <v>CKD</v>
          </cell>
          <cell r="K145">
            <v>15.4</v>
          </cell>
        </row>
        <row r="146">
          <cell r="A146" t="str">
            <v>MC6-3751</v>
          </cell>
          <cell r="B146" t="str">
            <v>CLA-26-2806X4BB-C-L</v>
          </cell>
          <cell r="E146" t="str">
            <v>2017-09-5</v>
          </cell>
          <cell r="I146">
            <v>42804</v>
          </cell>
          <cell r="J146" t="str">
            <v>CKD</v>
          </cell>
          <cell r="K146">
            <v>15.4</v>
          </cell>
        </row>
        <row r="147">
          <cell r="A147" t="str">
            <v>MC6-3752</v>
          </cell>
          <cell r="B147" t="str">
            <v>CLA-26-2806X4BB-C-L</v>
          </cell>
          <cell r="E147" t="str">
            <v>2017-09-5</v>
          </cell>
          <cell r="I147">
            <v>42804</v>
          </cell>
          <cell r="J147" t="str">
            <v>CKD</v>
          </cell>
          <cell r="K147">
            <v>15.4</v>
          </cell>
        </row>
        <row r="148">
          <cell r="A148" t="str">
            <v>MC6-3819</v>
          </cell>
          <cell r="B148" t="str">
            <v>CLA-26-2806X4BB-C-L</v>
          </cell>
          <cell r="E148" t="str">
            <v>2017-12-31</v>
          </cell>
          <cell r="I148">
            <v>42900</v>
          </cell>
          <cell r="J148" t="str">
            <v>CKD</v>
          </cell>
          <cell r="K148">
            <v>14.7</v>
          </cell>
        </row>
        <row r="149">
          <cell r="A149" t="str">
            <v>MC6-3820</v>
          </cell>
          <cell r="B149" t="str">
            <v>CLA-26-2806X4BB-C-L</v>
          </cell>
          <cell r="E149" t="str">
            <v>2017-12-31</v>
          </cell>
          <cell r="I149">
            <v>42900</v>
          </cell>
          <cell r="J149" t="str">
            <v>CKD</v>
          </cell>
          <cell r="K149">
            <v>14.7</v>
          </cell>
        </row>
        <row r="150">
          <cell r="A150" t="str">
            <v>MC6-3821</v>
          </cell>
          <cell r="B150" t="str">
            <v>CLA-26-2806X4BB-C-L</v>
          </cell>
          <cell r="E150" t="str">
            <v>2017-12-31</v>
          </cell>
          <cell r="I150">
            <v>42900</v>
          </cell>
          <cell r="J150" t="str">
            <v>CKD</v>
          </cell>
          <cell r="K150">
            <v>14.7</v>
          </cell>
        </row>
        <row r="151">
          <cell r="A151" t="str">
            <v>MC6-3822</v>
          </cell>
          <cell r="B151" t="str">
            <v>CLA-26-2806X4BB-C-L</v>
          </cell>
          <cell r="E151" t="str">
            <v>2017-12-31</v>
          </cell>
          <cell r="I151">
            <v>42900</v>
          </cell>
          <cell r="J151" t="str">
            <v>CKD</v>
          </cell>
          <cell r="K151">
            <v>14.7</v>
          </cell>
        </row>
        <row r="152">
          <cell r="A152" t="str">
            <v>MC6-3823</v>
          </cell>
          <cell r="B152" t="str">
            <v>CLA-26-2806X4BB-C-L</v>
          </cell>
          <cell r="E152" t="str">
            <v>2017-12-31</v>
          </cell>
          <cell r="I152">
            <v>42900</v>
          </cell>
          <cell r="J152" t="str">
            <v>CKD</v>
          </cell>
          <cell r="K152">
            <v>14.7</v>
          </cell>
        </row>
        <row r="153">
          <cell r="A153" t="str">
            <v>MC6-3824</v>
          </cell>
          <cell r="B153" t="str">
            <v>CLA-26-2806X4BB-C-L</v>
          </cell>
          <cell r="E153" t="str">
            <v>2017-12-31</v>
          </cell>
          <cell r="I153">
            <v>42900</v>
          </cell>
          <cell r="J153" t="str">
            <v>CKD</v>
          </cell>
          <cell r="K153">
            <v>14.7</v>
          </cell>
        </row>
        <row r="154">
          <cell r="A154" t="str">
            <v>TBAKP590</v>
          </cell>
          <cell r="B154" t="str">
            <v>CLA-26-2806X4BB-C-L</v>
          </cell>
          <cell r="E154" t="str">
            <v>2018-02-15</v>
          </cell>
          <cell r="I154">
            <v>42921</v>
          </cell>
          <cell r="J154" t="str">
            <v>CKD</v>
          </cell>
          <cell r="K154">
            <v>14.7</v>
          </cell>
        </row>
        <row r="155">
          <cell r="A155">
            <v>47501</v>
          </cell>
          <cell r="B155" t="str">
            <v>CLA-26-2806X4BB-C-M</v>
          </cell>
          <cell r="E155" t="str">
            <v>2017-11-30</v>
          </cell>
          <cell r="I155">
            <v>42937</v>
          </cell>
          <cell r="J155" t="str">
            <v>CKD</v>
          </cell>
          <cell r="K155">
            <v>14.7</v>
          </cell>
        </row>
        <row r="156">
          <cell r="A156">
            <v>47682</v>
          </cell>
          <cell r="B156" t="str">
            <v>CLA-26-2806X4BB-C-M</v>
          </cell>
          <cell r="E156" t="str">
            <v>2018-03-10</v>
          </cell>
          <cell r="I156">
            <v>42947</v>
          </cell>
          <cell r="J156" t="str">
            <v>CKD</v>
          </cell>
          <cell r="K156">
            <v>14.7</v>
          </cell>
        </row>
        <row r="157">
          <cell r="A157">
            <v>47683</v>
          </cell>
          <cell r="B157" t="str">
            <v>CLA-26-2806X4BB-C-M</v>
          </cell>
          <cell r="E157" t="str">
            <v>2018-03-10</v>
          </cell>
          <cell r="I157">
            <v>42947</v>
          </cell>
          <cell r="J157" t="str">
            <v>CKD</v>
          </cell>
          <cell r="K157">
            <v>14.7</v>
          </cell>
        </row>
        <row r="158">
          <cell r="A158">
            <v>47684</v>
          </cell>
          <cell r="B158" t="str">
            <v>CLA-26-2806X4BB-C-M</v>
          </cell>
          <cell r="E158" t="str">
            <v>2018-03-10</v>
          </cell>
          <cell r="I158">
            <v>42947</v>
          </cell>
          <cell r="J158" t="str">
            <v>CKD</v>
          </cell>
          <cell r="K158">
            <v>14.7</v>
          </cell>
        </row>
        <row r="159">
          <cell r="A159">
            <v>47685</v>
          </cell>
          <cell r="B159" t="str">
            <v>CLA-26-2806X4BB-C-M</v>
          </cell>
          <cell r="E159" t="str">
            <v>2018-03-10</v>
          </cell>
          <cell r="I159">
            <v>42947</v>
          </cell>
          <cell r="J159" t="str">
            <v>CKD</v>
          </cell>
          <cell r="K159">
            <v>14.7</v>
          </cell>
        </row>
        <row r="160">
          <cell r="A160">
            <v>47686</v>
          </cell>
          <cell r="B160" t="str">
            <v>CLA-26-2806X4BB-C-M</v>
          </cell>
          <cell r="E160" t="str">
            <v>2018-03-10</v>
          </cell>
          <cell r="I160">
            <v>42947</v>
          </cell>
          <cell r="J160" t="str">
            <v>CKD</v>
          </cell>
          <cell r="K160">
            <v>14.7</v>
          </cell>
        </row>
        <row r="161">
          <cell r="A161">
            <v>47687</v>
          </cell>
          <cell r="B161" t="str">
            <v>CLA-26-2806X4BB-C-M</v>
          </cell>
          <cell r="E161" t="str">
            <v>2018-03-10</v>
          </cell>
          <cell r="I161">
            <v>42947</v>
          </cell>
          <cell r="J161" t="str">
            <v>CKD</v>
          </cell>
          <cell r="K161">
            <v>14.7</v>
          </cell>
        </row>
        <row r="162">
          <cell r="A162">
            <v>47688</v>
          </cell>
          <cell r="B162" t="str">
            <v>CLA-26-2806X4BB-C-M</v>
          </cell>
          <cell r="E162" t="str">
            <v>2018-03-20</v>
          </cell>
          <cell r="I162">
            <v>42947</v>
          </cell>
          <cell r="J162" t="str">
            <v>CKD</v>
          </cell>
          <cell r="K162">
            <v>14.7</v>
          </cell>
        </row>
        <row r="163">
          <cell r="A163">
            <v>47689</v>
          </cell>
          <cell r="B163" t="str">
            <v>CLA-26-2806X4BB-C-M</v>
          </cell>
          <cell r="E163" t="str">
            <v>2018-03-20</v>
          </cell>
          <cell r="I163">
            <v>42947</v>
          </cell>
          <cell r="J163" t="str">
            <v>CKD</v>
          </cell>
          <cell r="K163">
            <v>14.7</v>
          </cell>
        </row>
        <row r="164">
          <cell r="A164">
            <v>47690</v>
          </cell>
          <cell r="B164" t="str">
            <v>CLA-26-2806X4BB-C-M</v>
          </cell>
          <cell r="E164" t="str">
            <v>2018-03-20</v>
          </cell>
          <cell r="I164">
            <v>42947</v>
          </cell>
          <cell r="J164" t="str">
            <v>CKD</v>
          </cell>
          <cell r="K164">
            <v>14.7</v>
          </cell>
        </row>
        <row r="165">
          <cell r="A165">
            <v>47691</v>
          </cell>
          <cell r="B165" t="str">
            <v>CLA-26-2806X4BB-C-M</v>
          </cell>
          <cell r="E165" t="str">
            <v>2018-03-20</v>
          </cell>
          <cell r="I165">
            <v>42947</v>
          </cell>
          <cell r="J165" t="str">
            <v>CKD</v>
          </cell>
          <cell r="K165">
            <v>14.7</v>
          </cell>
        </row>
        <row r="166">
          <cell r="A166">
            <v>47692</v>
          </cell>
          <cell r="B166" t="str">
            <v>CLA-26-2806X4BB-C-M</v>
          </cell>
          <cell r="E166" t="str">
            <v>2018-03-20</v>
          </cell>
          <cell r="I166">
            <v>42947</v>
          </cell>
          <cell r="J166" t="str">
            <v>CKD</v>
          </cell>
          <cell r="K166">
            <v>14.7</v>
          </cell>
        </row>
        <row r="167">
          <cell r="A167">
            <v>47693</v>
          </cell>
          <cell r="B167" t="str">
            <v>CLA-26-2806X4BB-C-M</v>
          </cell>
          <cell r="E167" t="str">
            <v>2018-03-20</v>
          </cell>
          <cell r="I167">
            <v>42947</v>
          </cell>
          <cell r="J167" t="str">
            <v>CKD</v>
          </cell>
          <cell r="K167">
            <v>14.7</v>
          </cell>
        </row>
        <row r="168">
          <cell r="A168" t="str">
            <v>MC6-1309</v>
          </cell>
          <cell r="B168" t="str">
            <v>CLA-26-2806X4BB-C-M</v>
          </cell>
          <cell r="E168">
            <v>133</v>
          </cell>
          <cell r="I168">
            <v>42648</v>
          </cell>
          <cell r="J168" t="str">
            <v>DEMO</v>
          </cell>
          <cell r="K168">
            <v>16</v>
          </cell>
        </row>
        <row r="169">
          <cell r="A169" t="str">
            <v>TBAKP564</v>
          </cell>
          <cell r="B169" t="str">
            <v>CLA-26-2806X4BB-C-M</v>
          </cell>
          <cell r="E169" t="str">
            <v>2018-02-15</v>
          </cell>
          <cell r="I169">
            <v>42921</v>
          </cell>
          <cell r="J169" t="str">
            <v>CKD</v>
          </cell>
          <cell r="K169">
            <v>14.7</v>
          </cell>
        </row>
        <row r="170">
          <cell r="A170" t="str">
            <v>N63-0275</v>
          </cell>
          <cell r="B170" t="str">
            <v>TGM-15-2404X2BL-C</v>
          </cell>
          <cell r="E170">
            <v>21</v>
          </cell>
          <cell r="I170">
            <v>42751</v>
          </cell>
          <cell r="J170" t="str">
            <v>UNSOLD</v>
          </cell>
          <cell r="K170">
            <v>15.4</v>
          </cell>
        </row>
        <row r="171">
          <cell r="A171" t="str">
            <v>TBAKP758</v>
          </cell>
          <cell r="B171" t="str">
            <v>TGM-15-2404X2BL-C</v>
          </cell>
          <cell r="E171" t="str">
            <v>2018-02-15</v>
          </cell>
          <cell r="I171">
            <v>42921</v>
          </cell>
          <cell r="J171" t="str">
            <v>CKD</v>
          </cell>
          <cell r="K171">
            <v>14.7</v>
          </cell>
        </row>
        <row r="172">
          <cell r="A172" t="str">
            <v>TBAKP405</v>
          </cell>
          <cell r="B172" t="str">
            <v>TGM-18-2404X2BB-C-K</v>
          </cell>
          <cell r="E172" t="str">
            <v>2018-02-15</v>
          </cell>
          <cell r="I172">
            <v>42921</v>
          </cell>
          <cell r="J172" t="str">
            <v>CKD</v>
          </cell>
          <cell r="K172">
            <v>14.7</v>
          </cell>
        </row>
        <row r="173">
          <cell r="A173" t="str">
            <v>TBAKP471</v>
          </cell>
          <cell r="B173" t="str">
            <v>TGM-18-2404X4BB-C-DWA</v>
          </cell>
          <cell r="E173" t="str">
            <v>2018-02-15</v>
          </cell>
          <cell r="I173">
            <v>42921</v>
          </cell>
          <cell r="J173" t="str">
            <v>CKD</v>
          </cell>
          <cell r="K173">
            <v>14.7</v>
          </cell>
        </row>
        <row r="174">
          <cell r="A174">
            <v>47356</v>
          </cell>
          <cell r="B174" t="str">
            <v>TGM-18-2404X4BB-C-SWA</v>
          </cell>
          <cell r="E174" t="str">
            <v>2017-11-15</v>
          </cell>
          <cell r="I174">
            <v>42937</v>
          </cell>
          <cell r="J174" t="str">
            <v>CKD</v>
          </cell>
          <cell r="K174">
            <v>14.7</v>
          </cell>
        </row>
        <row r="175">
          <cell r="A175">
            <v>47357</v>
          </cell>
          <cell r="B175" t="str">
            <v>TGM-18-2404X4BB-C-SWA</v>
          </cell>
          <cell r="E175" t="str">
            <v>2017-11-15</v>
          </cell>
          <cell r="I175">
            <v>42937</v>
          </cell>
          <cell r="J175" t="str">
            <v>CKD</v>
          </cell>
          <cell r="K175">
            <v>14.7</v>
          </cell>
        </row>
        <row r="176">
          <cell r="A176">
            <v>47358</v>
          </cell>
          <cell r="B176" t="str">
            <v>TGM-18-2404X4BB-C-SWA</v>
          </cell>
          <cell r="E176" t="str">
            <v>2017-11-15</v>
          </cell>
          <cell r="I176">
            <v>42937</v>
          </cell>
          <cell r="J176" t="str">
            <v>CKD</v>
          </cell>
          <cell r="K176">
            <v>14.7</v>
          </cell>
        </row>
        <row r="177">
          <cell r="A177">
            <v>47359</v>
          </cell>
          <cell r="B177" t="str">
            <v>TGM-18-2404X4BB-C-SWA</v>
          </cell>
          <cell r="E177" t="str">
            <v>2017-11-15</v>
          </cell>
          <cell r="I177">
            <v>42937</v>
          </cell>
          <cell r="J177" t="str">
            <v>CKD</v>
          </cell>
          <cell r="K177">
            <v>14.7</v>
          </cell>
        </row>
        <row r="178">
          <cell r="A178">
            <v>47360</v>
          </cell>
          <cell r="B178" t="str">
            <v>TGM-18-2404X4BB-C-SWA</v>
          </cell>
          <cell r="E178" t="str">
            <v>2017-11-15</v>
          </cell>
          <cell r="I178">
            <v>42937</v>
          </cell>
          <cell r="J178" t="str">
            <v>CKD</v>
          </cell>
          <cell r="K178">
            <v>14.7</v>
          </cell>
        </row>
        <row r="179">
          <cell r="A179">
            <v>47361</v>
          </cell>
          <cell r="B179" t="str">
            <v>TGM-18-2404X4BB-C-SWA</v>
          </cell>
          <cell r="E179" t="str">
            <v>2017-11-15</v>
          </cell>
          <cell r="I179">
            <v>42937</v>
          </cell>
          <cell r="J179" t="str">
            <v>CKD</v>
          </cell>
          <cell r="K179">
            <v>14.7</v>
          </cell>
        </row>
        <row r="180">
          <cell r="A180">
            <v>47362</v>
          </cell>
          <cell r="B180" t="str">
            <v>TGM-18-2404X4BB-C-SWA</v>
          </cell>
          <cell r="E180" t="str">
            <v>2017-12-5</v>
          </cell>
          <cell r="I180">
            <v>42937</v>
          </cell>
          <cell r="J180" t="str">
            <v>CKD</v>
          </cell>
          <cell r="K180">
            <v>14.7</v>
          </cell>
        </row>
        <row r="181">
          <cell r="A181">
            <v>47363</v>
          </cell>
          <cell r="B181" t="str">
            <v>TGM-18-2404X4BB-C-SWA</v>
          </cell>
          <cell r="E181" t="str">
            <v>2017-12-5</v>
          </cell>
          <cell r="I181">
            <v>42937</v>
          </cell>
          <cell r="J181" t="str">
            <v>CKD</v>
          </cell>
          <cell r="K181">
            <v>14.7</v>
          </cell>
        </row>
        <row r="182">
          <cell r="A182">
            <v>47364</v>
          </cell>
          <cell r="B182" t="str">
            <v>TGM-18-2404X4BB-C-SWA</v>
          </cell>
          <cell r="E182" t="str">
            <v>2017-12-5</v>
          </cell>
          <cell r="I182">
            <v>42937</v>
          </cell>
          <cell r="J182" t="str">
            <v>CKD</v>
          </cell>
          <cell r="K182">
            <v>14.7</v>
          </cell>
        </row>
        <row r="183">
          <cell r="A183">
            <v>47365</v>
          </cell>
          <cell r="B183" t="str">
            <v>TGM-18-2404X4BB-C-SWA</v>
          </cell>
          <cell r="E183" t="str">
            <v>2017-12-5</v>
          </cell>
          <cell r="I183">
            <v>42937</v>
          </cell>
          <cell r="J183" t="str">
            <v>CKD</v>
          </cell>
          <cell r="K183">
            <v>14.7</v>
          </cell>
        </row>
        <row r="184">
          <cell r="A184">
            <v>47371</v>
          </cell>
          <cell r="B184" t="str">
            <v>TGM-18-2404X4BB-C-SWA</v>
          </cell>
          <cell r="E184" t="str">
            <v>2017-12-4</v>
          </cell>
          <cell r="I184">
            <v>42935</v>
          </cell>
          <cell r="J184" t="str">
            <v>CKD</v>
          </cell>
          <cell r="K184">
            <v>14.7</v>
          </cell>
        </row>
        <row r="185">
          <cell r="A185">
            <v>47372</v>
          </cell>
          <cell r="B185" t="str">
            <v>TGM-18-2404X4BB-C-SWA</v>
          </cell>
          <cell r="E185" t="str">
            <v>2017-12-4</v>
          </cell>
          <cell r="I185">
            <v>42935</v>
          </cell>
          <cell r="J185" t="str">
            <v>CKD</v>
          </cell>
          <cell r="K185">
            <v>14.7</v>
          </cell>
        </row>
        <row r="186">
          <cell r="A186">
            <v>47373</v>
          </cell>
          <cell r="B186" t="str">
            <v>TGM-18-2404X4BB-C-SWA</v>
          </cell>
          <cell r="E186" t="str">
            <v>2017-12-4</v>
          </cell>
          <cell r="I186">
            <v>42935</v>
          </cell>
          <cell r="J186" t="str">
            <v>CKD</v>
          </cell>
          <cell r="K186">
            <v>14.7</v>
          </cell>
        </row>
        <row r="187">
          <cell r="A187">
            <v>47374</v>
          </cell>
          <cell r="B187" t="str">
            <v>TGM-18-2404X4BB-C-SWA</v>
          </cell>
          <cell r="E187" t="str">
            <v>2017-12-4</v>
          </cell>
          <cell r="I187">
            <v>42935</v>
          </cell>
          <cell r="J187" t="str">
            <v>CKD</v>
          </cell>
          <cell r="K187">
            <v>14.7</v>
          </cell>
        </row>
        <row r="188">
          <cell r="A188">
            <v>47375</v>
          </cell>
          <cell r="B188" t="str">
            <v>TGM-18-2404X4BB-C-SWA</v>
          </cell>
          <cell r="E188" t="str">
            <v>2017-12-4</v>
          </cell>
          <cell r="I188">
            <v>42935</v>
          </cell>
          <cell r="J188" t="str">
            <v>CKD</v>
          </cell>
          <cell r="K188">
            <v>14.7</v>
          </cell>
        </row>
        <row r="189">
          <cell r="A189">
            <v>47694</v>
          </cell>
          <cell r="B189" t="str">
            <v>TGM-18-2404X4BB-C-SWA</v>
          </cell>
          <cell r="E189" t="str">
            <v>2018-02-15</v>
          </cell>
          <cell r="I189">
            <v>42947</v>
          </cell>
          <cell r="J189" t="str">
            <v>CKD</v>
          </cell>
          <cell r="K189">
            <v>14.7</v>
          </cell>
        </row>
        <row r="190">
          <cell r="A190">
            <v>47695</v>
          </cell>
          <cell r="B190" t="str">
            <v>TGM-18-2404X4BB-C-SWA</v>
          </cell>
          <cell r="E190" t="str">
            <v>2018-02-15</v>
          </cell>
          <cell r="I190">
            <v>42947</v>
          </cell>
          <cell r="J190" t="str">
            <v>CKD</v>
          </cell>
          <cell r="K190">
            <v>14.7</v>
          </cell>
        </row>
        <row r="191">
          <cell r="A191" t="str">
            <v>N64-0623</v>
          </cell>
          <cell r="B191" t="str">
            <v>TGM-18-2404X4BB-C-SWA</v>
          </cell>
          <cell r="E191">
            <v>165</v>
          </cell>
          <cell r="I191">
            <v>42564</v>
          </cell>
          <cell r="J191" t="str">
            <v>DEMO</v>
          </cell>
          <cell r="K191">
            <v>17.3</v>
          </cell>
        </row>
        <row r="192">
          <cell r="A192" t="str">
            <v>TBAKP481</v>
          </cell>
          <cell r="B192" t="str">
            <v>TGM-18-2404X4BB-C-SWA</v>
          </cell>
          <cell r="E192" t="str">
            <v>2018-02-15</v>
          </cell>
          <cell r="I192">
            <v>42921</v>
          </cell>
          <cell r="J192" t="str">
            <v>CKD</v>
          </cell>
          <cell r="K192">
            <v>14.7</v>
          </cell>
        </row>
        <row r="193">
          <cell r="A193" t="str">
            <v>N08-D419</v>
          </cell>
          <cell r="B193" t="str">
            <v>TGM-18-2804X2BB-DK-DWA</v>
          </cell>
          <cell r="E193">
            <v>409</v>
          </cell>
          <cell r="I193">
            <v>42447</v>
          </cell>
          <cell r="J193" t="str">
            <v>UNSOLD</v>
          </cell>
          <cell r="K193">
            <v>18</v>
          </cell>
        </row>
        <row r="194">
          <cell r="A194" t="str">
            <v>N08-D427</v>
          </cell>
          <cell r="B194" t="str">
            <v>TGM-18-2804X2BB-DK-DWA</v>
          </cell>
          <cell r="E194">
            <v>409</v>
          </cell>
          <cell r="I194">
            <v>42447</v>
          </cell>
          <cell r="J194" t="str">
            <v>UNSOLD</v>
          </cell>
          <cell r="K194">
            <v>18</v>
          </cell>
        </row>
        <row r="195">
          <cell r="A195" t="str">
            <v>TBAKP404</v>
          </cell>
          <cell r="B195" t="str">
            <v>TGM-18-2804X2BB-L</v>
          </cell>
          <cell r="E195" t="str">
            <v>2018-02-15</v>
          </cell>
          <cell r="I195">
            <v>42921</v>
          </cell>
          <cell r="J195" t="str">
            <v>CKD</v>
          </cell>
          <cell r="K195">
            <v>14.7</v>
          </cell>
        </row>
        <row r="196">
          <cell r="A196">
            <v>46863</v>
          </cell>
          <cell r="B196" t="str">
            <v>TGM-25-2806X2BL-L</v>
          </cell>
          <cell r="E196" t="str">
            <v>2017-12-1</v>
          </cell>
          <cell r="I196">
            <v>42859</v>
          </cell>
          <cell r="J196" t="str">
            <v>CKD</v>
          </cell>
          <cell r="K196">
            <v>14.7</v>
          </cell>
        </row>
        <row r="197">
          <cell r="A197">
            <v>46867</v>
          </cell>
          <cell r="B197" t="str">
            <v>TGM-25-2806X2BL-L</v>
          </cell>
          <cell r="E197" t="str">
            <v>2017-12-4</v>
          </cell>
          <cell r="I197">
            <v>42859</v>
          </cell>
          <cell r="J197" t="str">
            <v>CKD</v>
          </cell>
          <cell r="K197">
            <v>14.7</v>
          </cell>
        </row>
        <row r="198">
          <cell r="A198">
            <v>47574</v>
          </cell>
          <cell r="B198" t="str">
            <v>TGM-25-2806X2BL-L</v>
          </cell>
          <cell r="E198" t="str">
            <v>2017-11-20</v>
          </cell>
          <cell r="I198">
            <v>42937</v>
          </cell>
          <cell r="J198" t="str">
            <v>CKD</v>
          </cell>
          <cell r="K198">
            <v>14.7</v>
          </cell>
        </row>
        <row r="199">
          <cell r="A199">
            <v>47575</v>
          </cell>
          <cell r="B199" t="str">
            <v>TGM-25-2806X2BL-L</v>
          </cell>
          <cell r="E199" t="str">
            <v>2017-11-20</v>
          </cell>
          <cell r="I199">
            <v>42937</v>
          </cell>
          <cell r="J199" t="str">
            <v>CKD</v>
          </cell>
          <cell r="K199">
            <v>14.7</v>
          </cell>
        </row>
        <row r="200">
          <cell r="A200">
            <v>47576</v>
          </cell>
          <cell r="B200" t="str">
            <v>TGM-25-2806X2BL-L</v>
          </cell>
          <cell r="E200" t="str">
            <v>2017-11-20</v>
          </cell>
          <cell r="I200">
            <v>42937</v>
          </cell>
          <cell r="J200" t="str">
            <v>CKD</v>
          </cell>
          <cell r="K200">
            <v>14.7</v>
          </cell>
        </row>
        <row r="201">
          <cell r="A201">
            <v>47577</v>
          </cell>
          <cell r="B201" t="str">
            <v>TGM-25-2806X2BL-L</v>
          </cell>
          <cell r="E201" t="str">
            <v>2017-11-20</v>
          </cell>
          <cell r="I201">
            <v>42937</v>
          </cell>
          <cell r="J201" t="str">
            <v>CKD</v>
          </cell>
          <cell r="K201">
            <v>14.7</v>
          </cell>
        </row>
        <row r="202">
          <cell r="A202">
            <v>47578</v>
          </cell>
          <cell r="B202" t="str">
            <v>TGM-25-2806X2BL-L</v>
          </cell>
          <cell r="E202" t="str">
            <v>2017-12-5</v>
          </cell>
          <cell r="I202">
            <v>42937</v>
          </cell>
          <cell r="J202" t="str">
            <v>CKD</v>
          </cell>
          <cell r="K202">
            <v>14.7</v>
          </cell>
        </row>
        <row r="203">
          <cell r="A203">
            <v>47579</v>
          </cell>
          <cell r="B203" t="str">
            <v>TGM-25-2806X2BL-L</v>
          </cell>
          <cell r="E203" t="str">
            <v>2017-12-5</v>
          </cell>
          <cell r="I203">
            <v>42937</v>
          </cell>
          <cell r="J203" t="str">
            <v>CKD</v>
          </cell>
          <cell r="K203">
            <v>14.7</v>
          </cell>
        </row>
        <row r="204">
          <cell r="A204">
            <v>47580</v>
          </cell>
          <cell r="B204" t="str">
            <v>TGM-25-2806X2BL-L</v>
          </cell>
          <cell r="E204" t="str">
            <v>2017-12-5</v>
          </cell>
          <cell r="I204">
            <v>42937</v>
          </cell>
          <cell r="J204" t="str">
            <v>CKD</v>
          </cell>
          <cell r="K204">
            <v>14.7</v>
          </cell>
        </row>
        <row r="205">
          <cell r="A205">
            <v>47581</v>
          </cell>
          <cell r="B205" t="str">
            <v>TGM-25-2806X2BL-L</v>
          </cell>
          <cell r="E205" t="str">
            <v>2017-12-5</v>
          </cell>
          <cell r="I205">
            <v>42937</v>
          </cell>
          <cell r="J205" t="str">
            <v>CKD</v>
          </cell>
          <cell r="K205">
            <v>14.7</v>
          </cell>
        </row>
        <row r="206">
          <cell r="A206">
            <v>47582</v>
          </cell>
          <cell r="B206" t="str">
            <v>TGM-25-2806X2BL-L</v>
          </cell>
          <cell r="E206" t="str">
            <v>2017-12-5</v>
          </cell>
          <cell r="I206">
            <v>42937</v>
          </cell>
          <cell r="J206" t="str">
            <v>CKD</v>
          </cell>
          <cell r="K206">
            <v>14.7</v>
          </cell>
        </row>
        <row r="207">
          <cell r="A207">
            <v>47583</v>
          </cell>
          <cell r="B207" t="str">
            <v>TGM-25-2806X2BL-L</v>
          </cell>
          <cell r="E207" t="str">
            <v>2017-12-5</v>
          </cell>
          <cell r="I207">
            <v>42937</v>
          </cell>
          <cell r="J207" t="str">
            <v>CKD</v>
          </cell>
          <cell r="K207">
            <v>14.7</v>
          </cell>
        </row>
        <row r="208">
          <cell r="A208">
            <v>47696</v>
          </cell>
          <cell r="B208" t="str">
            <v>TGM-25-2806X2BL-L</v>
          </cell>
          <cell r="E208" t="str">
            <v>2018-02-10</v>
          </cell>
          <cell r="I208">
            <v>42947</v>
          </cell>
          <cell r="J208" t="str">
            <v>CKD</v>
          </cell>
          <cell r="K208">
            <v>14.7</v>
          </cell>
        </row>
        <row r="209">
          <cell r="A209">
            <v>47697</v>
          </cell>
          <cell r="B209" t="str">
            <v>TGM-25-2806X2BL-L</v>
          </cell>
          <cell r="E209" t="str">
            <v>2018-02-10</v>
          </cell>
          <cell r="I209">
            <v>42947</v>
          </cell>
          <cell r="J209" t="str">
            <v>CKD</v>
          </cell>
          <cell r="K209">
            <v>14.7</v>
          </cell>
        </row>
        <row r="210">
          <cell r="A210">
            <v>47698</v>
          </cell>
          <cell r="B210" t="str">
            <v>TGM-25-2806X2BL-L</v>
          </cell>
          <cell r="E210" t="str">
            <v>2018-02-10</v>
          </cell>
          <cell r="I210">
            <v>42947</v>
          </cell>
          <cell r="J210" t="str">
            <v>CKD</v>
          </cell>
          <cell r="K210">
            <v>14.7</v>
          </cell>
        </row>
        <row r="211">
          <cell r="A211">
            <v>47699</v>
          </cell>
          <cell r="B211" t="str">
            <v>TGM-25-2806X2BL-L</v>
          </cell>
          <cell r="E211" t="str">
            <v>2018-02-10</v>
          </cell>
          <cell r="I211">
            <v>42947</v>
          </cell>
          <cell r="J211" t="str">
            <v>CKD</v>
          </cell>
          <cell r="K211">
            <v>14.7</v>
          </cell>
        </row>
        <row r="212">
          <cell r="A212">
            <v>47700</v>
          </cell>
          <cell r="B212" t="str">
            <v>TGM-25-2806X2BL-L</v>
          </cell>
          <cell r="E212" t="str">
            <v>2018-02-15</v>
          </cell>
          <cell r="I212">
            <v>42947</v>
          </cell>
          <cell r="J212" t="str">
            <v>CKD</v>
          </cell>
          <cell r="K212">
            <v>14.7</v>
          </cell>
        </row>
        <row r="213">
          <cell r="A213">
            <v>47701</v>
          </cell>
          <cell r="B213" t="str">
            <v>TGM-25-2806X2BL-L</v>
          </cell>
          <cell r="E213" t="str">
            <v>2018-02-15</v>
          </cell>
          <cell r="I213">
            <v>42947</v>
          </cell>
          <cell r="J213" t="str">
            <v>CKD</v>
          </cell>
          <cell r="K213">
            <v>14.7</v>
          </cell>
        </row>
        <row r="214">
          <cell r="A214">
            <v>47702</v>
          </cell>
          <cell r="B214" t="str">
            <v>TGM-25-2806X2BL-L</v>
          </cell>
          <cell r="E214" t="str">
            <v>2018-02-15</v>
          </cell>
          <cell r="I214">
            <v>42947</v>
          </cell>
          <cell r="J214" t="str">
            <v>CKD</v>
          </cell>
          <cell r="K214">
            <v>14.7</v>
          </cell>
        </row>
        <row r="215">
          <cell r="A215">
            <v>47703</v>
          </cell>
          <cell r="B215" t="str">
            <v>TGM-25-2806X2BL-L</v>
          </cell>
          <cell r="E215" t="str">
            <v>2018-02-15</v>
          </cell>
          <cell r="I215">
            <v>42947</v>
          </cell>
          <cell r="J215" t="str">
            <v>CKD</v>
          </cell>
          <cell r="K215">
            <v>14.7</v>
          </cell>
        </row>
        <row r="216">
          <cell r="A216">
            <v>47704</v>
          </cell>
          <cell r="B216" t="str">
            <v>TGM-25-2806X2BL-L</v>
          </cell>
          <cell r="E216" t="str">
            <v>2018-02-15</v>
          </cell>
          <cell r="I216">
            <v>42947</v>
          </cell>
          <cell r="J216" t="str">
            <v>CKD</v>
          </cell>
          <cell r="K216">
            <v>14.7</v>
          </cell>
        </row>
        <row r="217">
          <cell r="A217">
            <v>47705</v>
          </cell>
          <cell r="B217" t="str">
            <v>TGM-25-2806X2BL-L</v>
          </cell>
          <cell r="E217" t="str">
            <v>2018-02-15</v>
          </cell>
          <cell r="I217">
            <v>42947</v>
          </cell>
          <cell r="J217" t="str">
            <v>CKD</v>
          </cell>
          <cell r="K217">
            <v>14.7</v>
          </cell>
        </row>
        <row r="218">
          <cell r="A218">
            <v>47706</v>
          </cell>
          <cell r="B218" t="str">
            <v>TGM-25-2806X2BL-L</v>
          </cell>
          <cell r="E218" t="str">
            <v>2018-02-25</v>
          </cell>
          <cell r="I218">
            <v>42947</v>
          </cell>
          <cell r="J218" t="str">
            <v>CKD</v>
          </cell>
          <cell r="K218">
            <v>14.7</v>
          </cell>
        </row>
        <row r="219">
          <cell r="A219">
            <v>47707</v>
          </cell>
          <cell r="B219" t="str">
            <v>TGM-25-2806X2BL-L</v>
          </cell>
          <cell r="E219" t="str">
            <v>2018-02-25</v>
          </cell>
          <cell r="I219">
            <v>42947</v>
          </cell>
          <cell r="J219" t="str">
            <v>CKD</v>
          </cell>
          <cell r="K219">
            <v>14.7</v>
          </cell>
        </row>
        <row r="220">
          <cell r="A220">
            <v>47708</v>
          </cell>
          <cell r="B220" t="str">
            <v>TGM-25-2806X2BL-L</v>
          </cell>
          <cell r="E220" t="str">
            <v>2018-02-25</v>
          </cell>
          <cell r="I220">
            <v>42947</v>
          </cell>
          <cell r="J220" t="str">
            <v>CKD</v>
          </cell>
          <cell r="K220">
            <v>14.7</v>
          </cell>
        </row>
        <row r="221">
          <cell r="A221">
            <v>47709</v>
          </cell>
          <cell r="B221" t="str">
            <v>TGM-25-2806X2BL-L</v>
          </cell>
          <cell r="E221" t="str">
            <v>2018-02-25</v>
          </cell>
          <cell r="I221">
            <v>42947</v>
          </cell>
          <cell r="J221" t="str">
            <v>CKD</v>
          </cell>
          <cell r="K221">
            <v>14.7</v>
          </cell>
        </row>
        <row r="222">
          <cell r="A222">
            <v>47710</v>
          </cell>
          <cell r="B222" t="str">
            <v>TGM-25-2806X2BL-L</v>
          </cell>
          <cell r="E222" t="str">
            <v>2018-02-25</v>
          </cell>
          <cell r="I222">
            <v>42947</v>
          </cell>
          <cell r="J222" t="str">
            <v>CKD</v>
          </cell>
          <cell r="K222">
            <v>14.7</v>
          </cell>
        </row>
        <row r="223">
          <cell r="A223" t="str">
            <v>N65-1193</v>
          </cell>
          <cell r="B223" t="str">
            <v>TGM-25-2806X2BL-L</v>
          </cell>
          <cell r="E223">
            <v>39</v>
          </cell>
          <cell r="I223">
            <v>42671</v>
          </cell>
          <cell r="J223" t="str">
            <v>UNSOLD</v>
          </cell>
          <cell r="K223">
            <v>16</v>
          </cell>
        </row>
        <row r="224">
          <cell r="A224" t="str">
            <v>N65-1195</v>
          </cell>
          <cell r="B224" t="str">
            <v>TGM-25-2806X2BL-L</v>
          </cell>
          <cell r="E224">
            <v>39</v>
          </cell>
          <cell r="I224">
            <v>42671</v>
          </cell>
          <cell r="J224" t="str">
            <v>BOOKED : 2017-08-7</v>
          </cell>
          <cell r="K224">
            <v>16</v>
          </cell>
        </row>
        <row r="225">
          <cell r="A225" t="str">
            <v>N65-1196</v>
          </cell>
          <cell r="B225" t="str">
            <v>TGM-25-2806X2BL-L</v>
          </cell>
          <cell r="E225">
            <v>38</v>
          </cell>
          <cell r="I225">
            <v>42671</v>
          </cell>
          <cell r="J225" t="str">
            <v>UNSOLD</v>
          </cell>
          <cell r="K225">
            <v>16</v>
          </cell>
        </row>
        <row r="226">
          <cell r="A226" t="str">
            <v>TBAKP489</v>
          </cell>
          <cell r="B226" t="str">
            <v>TGM-25-2806X2BL-L</v>
          </cell>
          <cell r="E226" t="str">
            <v>2018-02-15</v>
          </cell>
          <cell r="I226">
            <v>42921</v>
          </cell>
          <cell r="J226" t="str">
            <v>CKD</v>
          </cell>
          <cell r="K226">
            <v>14.7</v>
          </cell>
        </row>
        <row r="227">
          <cell r="A227" t="str">
            <v>72W-1179</v>
          </cell>
          <cell r="B227" t="str">
            <v>TGS-19-3604X2BLS-L</v>
          </cell>
          <cell r="E227">
            <v>478</v>
          </cell>
          <cell r="I227">
            <v>42306</v>
          </cell>
          <cell r="J227" t="str">
            <v>DEMO</v>
          </cell>
          <cell r="K227">
            <v>14.6</v>
          </cell>
        </row>
        <row r="228">
          <cell r="A228" t="str">
            <v>72W-8578</v>
          </cell>
          <cell r="B228" t="str">
            <v>TGS-19-3604X2BLS-L</v>
          </cell>
          <cell r="E228">
            <v>308</v>
          </cell>
          <cell r="I228">
            <v>42446</v>
          </cell>
          <cell r="J228" t="str">
            <v>UNSOLD</v>
          </cell>
          <cell r="K228">
            <v>18</v>
          </cell>
        </row>
        <row r="229">
          <cell r="A229" t="str">
            <v>72W-8579</v>
          </cell>
          <cell r="B229" t="str">
            <v>TGS-19-3604X2BLS-L</v>
          </cell>
          <cell r="E229">
            <v>310</v>
          </cell>
          <cell r="I229">
            <v>42446</v>
          </cell>
          <cell r="J229" t="str">
            <v>UNSOLD</v>
          </cell>
          <cell r="K229">
            <v>18</v>
          </cell>
        </row>
        <row r="230">
          <cell r="A230" t="str">
            <v>72W-8580</v>
          </cell>
          <cell r="B230" t="str">
            <v>TGS-19-3604X2BLS-L</v>
          </cell>
          <cell r="E230">
            <v>304</v>
          </cell>
          <cell r="I230">
            <v>42446</v>
          </cell>
          <cell r="J230" t="str">
            <v>UNSOLD</v>
          </cell>
          <cell r="K230">
            <v>18</v>
          </cell>
        </row>
        <row r="231">
          <cell r="A231" t="str">
            <v>72W-8585</v>
          </cell>
          <cell r="B231" t="str">
            <v>TGS-19-3604X2BLS-L</v>
          </cell>
          <cell r="E231">
            <v>308</v>
          </cell>
          <cell r="I231">
            <v>42446</v>
          </cell>
          <cell r="J231" t="str">
            <v>UNSOLD</v>
          </cell>
          <cell r="K231">
            <v>18</v>
          </cell>
        </row>
        <row r="232">
          <cell r="A232" t="str">
            <v>72W-8586</v>
          </cell>
          <cell r="B232" t="str">
            <v>TGS-19-3604X2BLS-L</v>
          </cell>
          <cell r="E232">
            <v>305</v>
          </cell>
          <cell r="I232">
            <v>42446</v>
          </cell>
          <cell r="J232" t="str">
            <v>UNSOLD</v>
          </cell>
          <cell r="K232">
            <v>18</v>
          </cell>
        </row>
        <row r="233">
          <cell r="A233" t="str">
            <v>72W-8587</v>
          </cell>
          <cell r="B233" t="str">
            <v>TGS-19-3604X2BLS-L</v>
          </cell>
          <cell r="E233">
            <v>304</v>
          </cell>
          <cell r="I233">
            <v>42446</v>
          </cell>
          <cell r="J233" t="str">
            <v>UNSOLD</v>
          </cell>
          <cell r="K233">
            <v>18</v>
          </cell>
        </row>
        <row r="234">
          <cell r="A234" t="str">
            <v>72W-8588</v>
          </cell>
          <cell r="B234" t="str">
            <v>TGS-19-3604X2BLS-L</v>
          </cell>
          <cell r="E234">
            <v>296</v>
          </cell>
          <cell r="I234">
            <v>42446</v>
          </cell>
          <cell r="J234" t="str">
            <v>UNSOLD</v>
          </cell>
          <cell r="K234">
            <v>18</v>
          </cell>
        </row>
        <row r="235">
          <cell r="A235" t="str">
            <v>72W-8589</v>
          </cell>
          <cell r="B235" t="str">
            <v>TGS-19-3604X2BLS-L</v>
          </cell>
          <cell r="E235">
            <v>309</v>
          </cell>
          <cell r="I235">
            <v>42446</v>
          </cell>
          <cell r="J235" t="str">
            <v>UNSOLD</v>
          </cell>
          <cell r="K235">
            <v>18</v>
          </cell>
        </row>
        <row r="236">
          <cell r="A236" t="str">
            <v>72W-8590</v>
          </cell>
          <cell r="B236" t="str">
            <v>TGS-19-3604X2BLS-L</v>
          </cell>
          <cell r="E236">
            <v>317</v>
          </cell>
          <cell r="I236">
            <v>42446</v>
          </cell>
          <cell r="J236" t="str">
            <v>UNSOLD</v>
          </cell>
          <cell r="K236">
            <v>18</v>
          </cell>
        </row>
        <row r="237">
          <cell r="A237" t="str">
            <v>72W-8591</v>
          </cell>
          <cell r="B237" t="str">
            <v>TGS-19-3604X2BLS-L</v>
          </cell>
          <cell r="E237">
            <v>316</v>
          </cell>
          <cell r="I237">
            <v>42446</v>
          </cell>
          <cell r="J237" t="str">
            <v>UNSOLD</v>
          </cell>
          <cell r="K237">
            <v>18</v>
          </cell>
        </row>
        <row r="238">
          <cell r="A238" t="str">
            <v>72W-8592</v>
          </cell>
          <cell r="B238" t="str">
            <v>TGS-19-3604X2BLS-L</v>
          </cell>
          <cell r="E238">
            <v>316</v>
          </cell>
          <cell r="I238">
            <v>42446</v>
          </cell>
          <cell r="J238" t="str">
            <v>UNSOLD</v>
          </cell>
          <cell r="K238">
            <v>18</v>
          </cell>
        </row>
        <row r="239">
          <cell r="A239" t="str">
            <v>72W-8938</v>
          </cell>
          <cell r="B239" t="str">
            <v>TGS-19-3604X2BLS-L</v>
          </cell>
          <cell r="E239">
            <v>270</v>
          </cell>
          <cell r="I239">
            <v>42545</v>
          </cell>
          <cell r="J239" t="str">
            <v>UNSOLD</v>
          </cell>
          <cell r="K239">
            <v>17.3</v>
          </cell>
        </row>
        <row r="240">
          <cell r="A240" t="str">
            <v>72W-8939</v>
          </cell>
          <cell r="B240" t="str">
            <v>TGS-19-3604X2BLS-L</v>
          </cell>
          <cell r="E240">
            <v>269</v>
          </cell>
          <cell r="I240">
            <v>42545</v>
          </cell>
          <cell r="J240" t="str">
            <v>UNSOLD</v>
          </cell>
          <cell r="K240">
            <v>17.3</v>
          </cell>
        </row>
        <row r="241">
          <cell r="A241" t="str">
            <v>72W-8940</v>
          </cell>
          <cell r="B241" t="str">
            <v>TGS-19-3604X2BLS-L</v>
          </cell>
          <cell r="E241">
            <v>260</v>
          </cell>
          <cell r="I241">
            <v>42545</v>
          </cell>
          <cell r="J241" t="str">
            <v>UNSOLD</v>
          </cell>
          <cell r="K241">
            <v>17.3</v>
          </cell>
        </row>
        <row r="242">
          <cell r="A242" t="str">
            <v>72W-8941</v>
          </cell>
          <cell r="B242" t="str">
            <v>TGS-19-3604X2BLS-L</v>
          </cell>
          <cell r="E242">
            <v>260</v>
          </cell>
          <cell r="I242">
            <v>42545</v>
          </cell>
          <cell r="J242" t="str">
            <v>UNSOLD</v>
          </cell>
          <cell r="K242">
            <v>17.3</v>
          </cell>
        </row>
        <row r="243">
          <cell r="A243" t="str">
            <v>72W-8942</v>
          </cell>
          <cell r="B243" t="str">
            <v>TGS-19-3604X2BLS-L</v>
          </cell>
          <cell r="E243">
            <v>269</v>
          </cell>
          <cell r="I243">
            <v>42545</v>
          </cell>
          <cell r="J243" t="str">
            <v>UNSOLD</v>
          </cell>
          <cell r="K243">
            <v>17.3</v>
          </cell>
        </row>
        <row r="244">
          <cell r="A244" t="str">
            <v>72W-8943</v>
          </cell>
          <cell r="B244" t="str">
            <v>TGS-19-3604X2BLS-L</v>
          </cell>
          <cell r="E244">
            <v>269</v>
          </cell>
          <cell r="I244">
            <v>42545</v>
          </cell>
          <cell r="J244" t="str">
            <v>UNSOLD</v>
          </cell>
          <cell r="K244">
            <v>17.3</v>
          </cell>
        </row>
        <row r="245">
          <cell r="A245" t="str">
            <v>72W-8944</v>
          </cell>
          <cell r="B245" t="str">
            <v>TGS-19-3604X2BLS-L</v>
          </cell>
          <cell r="E245">
            <v>262</v>
          </cell>
          <cell r="I245">
            <v>42545</v>
          </cell>
          <cell r="J245" t="str">
            <v>UNSOLD</v>
          </cell>
          <cell r="K245">
            <v>17.3</v>
          </cell>
        </row>
        <row r="246">
          <cell r="A246" t="str">
            <v>72W-8945</v>
          </cell>
          <cell r="B246" t="str">
            <v>TGS-19-3604X2BLS-L</v>
          </cell>
          <cell r="E246">
            <v>234</v>
          </cell>
          <cell r="I246">
            <v>42545</v>
          </cell>
          <cell r="J246" t="str">
            <v>UNSOLD</v>
          </cell>
          <cell r="K246">
            <v>17.3</v>
          </cell>
        </row>
        <row r="247">
          <cell r="A247" t="str">
            <v>72W-9174</v>
          </cell>
          <cell r="B247" t="str">
            <v>TGS-19-3604X2BLS-L</v>
          </cell>
          <cell r="E247">
            <v>126</v>
          </cell>
          <cell r="I247">
            <v>42629</v>
          </cell>
          <cell r="J247" t="str">
            <v>UNSOLD</v>
          </cell>
          <cell r="K247">
            <v>16</v>
          </cell>
        </row>
        <row r="248">
          <cell r="A248" t="str">
            <v>72W-9175</v>
          </cell>
          <cell r="B248" t="str">
            <v>TGS-19-3604X2BLS-L</v>
          </cell>
          <cell r="E248">
            <v>126</v>
          </cell>
          <cell r="I248">
            <v>42629</v>
          </cell>
          <cell r="J248" t="str">
            <v>UNSOLD</v>
          </cell>
          <cell r="K248">
            <v>16</v>
          </cell>
        </row>
        <row r="249">
          <cell r="A249" t="str">
            <v>72W-9176</v>
          </cell>
          <cell r="B249" t="str">
            <v>TGS-19-3604X2BLS-L</v>
          </cell>
          <cell r="E249">
            <v>126</v>
          </cell>
          <cell r="I249">
            <v>42629</v>
          </cell>
          <cell r="J249" t="str">
            <v>UNSOLD</v>
          </cell>
          <cell r="K249">
            <v>16</v>
          </cell>
        </row>
        <row r="250">
          <cell r="A250" t="str">
            <v>72W-9177</v>
          </cell>
          <cell r="B250" t="str">
            <v>TGS-19-3604X2BLS-L</v>
          </cell>
          <cell r="E250">
            <v>116</v>
          </cell>
          <cell r="I250">
            <v>42629</v>
          </cell>
          <cell r="J250" t="str">
            <v>UNSOLD</v>
          </cell>
          <cell r="K250">
            <v>16</v>
          </cell>
        </row>
        <row r="251">
          <cell r="A251" t="str">
            <v>TBAKP632</v>
          </cell>
          <cell r="B251" t="str">
            <v>TGS-19-3604X2BLS-L</v>
          </cell>
          <cell r="E251" t="str">
            <v>2018-02-15</v>
          </cell>
          <cell r="I251">
            <v>42921</v>
          </cell>
          <cell r="J251" t="str">
            <v>CKD</v>
          </cell>
          <cell r="K251">
            <v>14.7</v>
          </cell>
        </row>
        <row r="252">
          <cell r="A252" t="str">
            <v>TBAKP011</v>
          </cell>
          <cell r="B252" t="str">
            <v>TGS-19-3604X2BLS-L - INT</v>
          </cell>
          <cell r="E252" t="str">
            <v>2018-02-15</v>
          </cell>
          <cell r="I252">
            <v>42921</v>
          </cell>
          <cell r="J252" t="str">
            <v>CKD</v>
          </cell>
          <cell r="K252">
            <v>14.7</v>
          </cell>
        </row>
        <row r="253">
          <cell r="A253" t="str">
            <v>72W-8577</v>
          </cell>
          <cell r="B253" t="str">
            <v>TGS-19-4004X2BLS-L-ALU-PTO</v>
          </cell>
          <cell r="E253">
            <v>309</v>
          </cell>
          <cell r="I253">
            <v>42446</v>
          </cell>
          <cell r="J253" t="str">
            <v>DEMO</v>
          </cell>
          <cell r="K253">
            <v>18</v>
          </cell>
        </row>
        <row r="254">
          <cell r="A254">
            <v>47268</v>
          </cell>
          <cell r="B254" t="str">
            <v>TGS-25-4406X2BLS-LX</v>
          </cell>
          <cell r="E254" t="str">
            <v>2017-10-25</v>
          </cell>
          <cell r="I254">
            <v>42909</v>
          </cell>
          <cell r="J254" t="str">
            <v>CKD</v>
          </cell>
          <cell r="K254">
            <v>14.7</v>
          </cell>
        </row>
        <row r="255">
          <cell r="A255">
            <v>47269</v>
          </cell>
          <cell r="B255" t="str">
            <v>TGS-25-4406X2BLS-LX</v>
          </cell>
          <cell r="E255" t="str">
            <v>2017-10-25</v>
          </cell>
          <cell r="I255">
            <v>42909</v>
          </cell>
          <cell r="J255" t="str">
            <v>CKD</v>
          </cell>
          <cell r="K255">
            <v>14.7</v>
          </cell>
        </row>
        <row r="256">
          <cell r="A256">
            <v>47270</v>
          </cell>
          <cell r="B256" t="str">
            <v>TGS-25-4406X2BLS-LX</v>
          </cell>
          <cell r="E256" t="str">
            <v>2017-10-25</v>
          </cell>
          <cell r="I256">
            <v>42909</v>
          </cell>
          <cell r="J256" t="str">
            <v>CKD</v>
          </cell>
          <cell r="K256">
            <v>14.7</v>
          </cell>
        </row>
        <row r="257">
          <cell r="A257">
            <v>47271</v>
          </cell>
          <cell r="B257" t="str">
            <v>TGS-25-4406X2BLS-LX</v>
          </cell>
          <cell r="E257" t="str">
            <v>2017-10-25</v>
          </cell>
          <cell r="I257">
            <v>42909</v>
          </cell>
          <cell r="J257" t="str">
            <v>CKD</v>
          </cell>
          <cell r="K257">
            <v>14.7</v>
          </cell>
        </row>
        <row r="258">
          <cell r="A258">
            <v>47272</v>
          </cell>
          <cell r="B258" t="str">
            <v>TGS-25-4406X2BLS-LX</v>
          </cell>
          <cell r="E258" t="str">
            <v>2017-10-25</v>
          </cell>
          <cell r="I258">
            <v>42909</v>
          </cell>
          <cell r="J258" t="str">
            <v>CKD</v>
          </cell>
          <cell r="K258">
            <v>14.7</v>
          </cell>
        </row>
        <row r="259">
          <cell r="A259">
            <v>47273</v>
          </cell>
          <cell r="B259" t="str">
            <v>TGS-25-4406X2BLS-LX</v>
          </cell>
          <cell r="E259" t="str">
            <v>2017-10-25</v>
          </cell>
          <cell r="I259">
            <v>42909</v>
          </cell>
          <cell r="J259" t="str">
            <v>CKD</v>
          </cell>
          <cell r="K259">
            <v>14.7</v>
          </cell>
        </row>
        <row r="260">
          <cell r="A260">
            <v>47376</v>
          </cell>
          <cell r="B260" t="str">
            <v>TGS-26-4406X4BLS-LX</v>
          </cell>
          <cell r="E260" t="str">
            <v>2017-11-15</v>
          </cell>
          <cell r="I260">
            <v>42937</v>
          </cell>
          <cell r="J260" t="str">
            <v>BOOKED : 2017-08-17</v>
          </cell>
          <cell r="K260">
            <v>14.7</v>
          </cell>
        </row>
        <row r="261">
          <cell r="A261">
            <v>47377</v>
          </cell>
          <cell r="B261" t="str">
            <v>TGS-26-4406X4BLS-LX</v>
          </cell>
          <cell r="E261" t="str">
            <v>2017-11-15</v>
          </cell>
          <cell r="I261">
            <v>42937</v>
          </cell>
          <cell r="J261" t="str">
            <v>BOOKED : 2017-08-17</v>
          </cell>
          <cell r="K261">
            <v>14.7</v>
          </cell>
        </row>
        <row r="262">
          <cell r="A262">
            <v>47378</v>
          </cell>
          <cell r="B262" t="str">
            <v>TGS-26-4406X4BLS-LX</v>
          </cell>
          <cell r="E262" t="str">
            <v>2017-11-15</v>
          </cell>
          <cell r="I262">
            <v>42937</v>
          </cell>
          <cell r="J262" t="str">
            <v>BOOKED : 2017-08-17</v>
          </cell>
          <cell r="K262">
            <v>14.7</v>
          </cell>
        </row>
        <row r="263">
          <cell r="A263">
            <v>47379</v>
          </cell>
          <cell r="B263" t="str">
            <v>TGS-26-4406X4BLS-LX</v>
          </cell>
          <cell r="E263" t="str">
            <v>2017-11-15</v>
          </cell>
          <cell r="I263">
            <v>42937</v>
          </cell>
          <cell r="J263" t="str">
            <v>BOOKED : 2017-08-17</v>
          </cell>
          <cell r="K263">
            <v>14.7</v>
          </cell>
        </row>
        <row r="264">
          <cell r="A264">
            <v>47380</v>
          </cell>
          <cell r="B264" t="str">
            <v>TGS-26-4406X4BLS-LX</v>
          </cell>
          <cell r="E264" t="str">
            <v>2017-11-15</v>
          </cell>
          <cell r="I264">
            <v>42937</v>
          </cell>
          <cell r="J264" t="str">
            <v>BOOKED : 2017-08-17</v>
          </cell>
          <cell r="K264">
            <v>14.7</v>
          </cell>
        </row>
        <row r="265">
          <cell r="A265">
            <v>47381</v>
          </cell>
          <cell r="B265" t="str">
            <v>TGS-26-4406X4BLS-LX</v>
          </cell>
          <cell r="E265" t="str">
            <v>2017-11-15</v>
          </cell>
          <cell r="I265">
            <v>42937</v>
          </cell>
          <cell r="J265" t="str">
            <v>BOOKED : 2017-08-17</v>
          </cell>
          <cell r="K265">
            <v>14.7</v>
          </cell>
        </row>
        <row r="266">
          <cell r="A266">
            <v>47382</v>
          </cell>
          <cell r="B266" t="str">
            <v>TGS-26-4406X4BLS-LX</v>
          </cell>
          <cell r="E266" t="str">
            <v>2017-11-15</v>
          </cell>
          <cell r="I266">
            <v>42937</v>
          </cell>
          <cell r="J266" t="str">
            <v>BOOKED : 2017-08-17</v>
          </cell>
          <cell r="K266">
            <v>14.7</v>
          </cell>
        </row>
        <row r="267">
          <cell r="A267">
            <v>47383</v>
          </cell>
          <cell r="B267" t="str">
            <v>TGS-26-4406X4BLS-LX</v>
          </cell>
          <cell r="E267" t="str">
            <v>2017-11-15</v>
          </cell>
          <cell r="I267">
            <v>42937</v>
          </cell>
          <cell r="J267" t="str">
            <v>BOOKED : 2017-08-17</v>
          </cell>
          <cell r="K267">
            <v>14.7</v>
          </cell>
        </row>
        <row r="268">
          <cell r="A268">
            <v>47384</v>
          </cell>
          <cell r="B268" t="str">
            <v>TGS-26-4406X4BLS-LX</v>
          </cell>
          <cell r="E268" t="str">
            <v>2017-11-20</v>
          </cell>
          <cell r="I268">
            <v>42937</v>
          </cell>
          <cell r="J268" t="str">
            <v>BOOKED : 2017-08-17</v>
          </cell>
          <cell r="K268">
            <v>14.7</v>
          </cell>
        </row>
        <row r="269">
          <cell r="A269">
            <v>47385</v>
          </cell>
          <cell r="B269" t="str">
            <v>TGS-26-4406X4BLS-LX</v>
          </cell>
          <cell r="E269" t="str">
            <v>2017-11-20</v>
          </cell>
          <cell r="I269">
            <v>42937</v>
          </cell>
          <cell r="J269" t="str">
            <v>BOOKED : 2017-08-17</v>
          </cell>
          <cell r="K269">
            <v>14.7</v>
          </cell>
        </row>
        <row r="270">
          <cell r="A270">
            <v>47386</v>
          </cell>
          <cell r="B270" t="str">
            <v>TGS-26-4406X4BLS-LX</v>
          </cell>
          <cell r="E270" t="str">
            <v>2017-11-20</v>
          </cell>
          <cell r="I270">
            <v>42937</v>
          </cell>
          <cell r="J270" t="str">
            <v>BOOKED : 2017-08-17</v>
          </cell>
          <cell r="K270">
            <v>14.7</v>
          </cell>
        </row>
        <row r="271">
          <cell r="A271">
            <v>47387</v>
          </cell>
          <cell r="B271" t="str">
            <v>TGS-26-4406X4BLS-LX</v>
          </cell>
          <cell r="E271" t="str">
            <v>2017-11-20</v>
          </cell>
          <cell r="I271">
            <v>42937</v>
          </cell>
          <cell r="J271" t="str">
            <v>BOOKED : 2017-08-17</v>
          </cell>
          <cell r="K271">
            <v>14.7</v>
          </cell>
        </row>
        <row r="272">
          <cell r="A272">
            <v>47388</v>
          </cell>
          <cell r="B272" t="str">
            <v>TGS-26-4406X4BLS-LX</v>
          </cell>
          <cell r="E272" t="str">
            <v>2017-11-20</v>
          </cell>
          <cell r="I272">
            <v>42937</v>
          </cell>
          <cell r="J272" t="str">
            <v>BOOKED : 2017-08-17</v>
          </cell>
          <cell r="K272">
            <v>14.7</v>
          </cell>
        </row>
        <row r="273">
          <cell r="A273">
            <v>47389</v>
          </cell>
          <cell r="B273" t="str">
            <v>TGS-26-4406X4BLS-LX</v>
          </cell>
          <cell r="E273" t="str">
            <v>2017-11-20</v>
          </cell>
          <cell r="I273">
            <v>42937</v>
          </cell>
          <cell r="J273" t="str">
            <v>BOOKED : 2017-08-17</v>
          </cell>
          <cell r="K273">
            <v>14.7</v>
          </cell>
        </row>
        <row r="274">
          <cell r="A274">
            <v>47390</v>
          </cell>
          <cell r="B274" t="str">
            <v>TGS-26-4406X4BLS-LX</v>
          </cell>
          <cell r="E274" t="str">
            <v>2017-11-20</v>
          </cell>
          <cell r="I274">
            <v>42937</v>
          </cell>
          <cell r="J274" t="str">
            <v>CKD</v>
          </cell>
          <cell r="K274">
            <v>14.7</v>
          </cell>
        </row>
        <row r="275">
          <cell r="A275">
            <v>47391</v>
          </cell>
          <cell r="B275" t="str">
            <v>TGS-26-4406X4BLS-LX</v>
          </cell>
          <cell r="E275" t="str">
            <v>2017-11-20</v>
          </cell>
          <cell r="I275">
            <v>42937</v>
          </cell>
          <cell r="J275" t="str">
            <v>CKD</v>
          </cell>
          <cell r="K275">
            <v>14.7</v>
          </cell>
        </row>
        <row r="276">
          <cell r="A276">
            <v>47392</v>
          </cell>
          <cell r="B276" t="str">
            <v>TGS-26-4406X4BLS-LX</v>
          </cell>
          <cell r="E276" t="str">
            <v>2017-12-5</v>
          </cell>
          <cell r="I276">
            <v>42937</v>
          </cell>
          <cell r="J276" t="str">
            <v>CKD</v>
          </cell>
          <cell r="K276">
            <v>14.7</v>
          </cell>
        </row>
        <row r="277">
          <cell r="A277">
            <v>47393</v>
          </cell>
          <cell r="B277" t="str">
            <v>TGS-26-4406X4BLS-LX</v>
          </cell>
          <cell r="E277" t="str">
            <v>2017-12-5</v>
          </cell>
          <cell r="I277">
            <v>42937</v>
          </cell>
          <cell r="J277" t="str">
            <v>CKD</v>
          </cell>
          <cell r="K277">
            <v>14.7</v>
          </cell>
        </row>
        <row r="278">
          <cell r="A278">
            <v>47394</v>
          </cell>
          <cell r="B278" t="str">
            <v>TGS-26-4406X4BLS-LX</v>
          </cell>
          <cell r="E278" t="str">
            <v>2017-12-5</v>
          </cell>
          <cell r="I278">
            <v>42937</v>
          </cell>
          <cell r="J278" t="str">
            <v>CKD</v>
          </cell>
          <cell r="K278">
            <v>14.7</v>
          </cell>
        </row>
        <row r="279">
          <cell r="A279">
            <v>47395</v>
          </cell>
          <cell r="B279" t="str">
            <v>TGS-26-4406X4BLS-LX</v>
          </cell>
          <cell r="E279" t="str">
            <v>2017-12-5</v>
          </cell>
          <cell r="I279">
            <v>42937</v>
          </cell>
          <cell r="J279" t="str">
            <v>CKD</v>
          </cell>
          <cell r="K279">
            <v>14.7</v>
          </cell>
        </row>
        <row r="280">
          <cell r="A280">
            <v>47396</v>
          </cell>
          <cell r="B280" t="str">
            <v>TGS-26-4406X4BLS-LX</v>
          </cell>
          <cell r="E280" t="str">
            <v>2017-12-5</v>
          </cell>
          <cell r="I280">
            <v>42937</v>
          </cell>
          <cell r="J280" t="str">
            <v>CKD</v>
          </cell>
          <cell r="K280">
            <v>14.7</v>
          </cell>
        </row>
        <row r="281">
          <cell r="A281">
            <v>47397</v>
          </cell>
          <cell r="B281" t="str">
            <v>TGS-26-4406X4BLS-LX</v>
          </cell>
          <cell r="E281" t="str">
            <v>2017-12-5</v>
          </cell>
          <cell r="I281">
            <v>42937</v>
          </cell>
          <cell r="J281" t="str">
            <v>CKD</v>
          </cell>
          <cell r="K281">
            <v>14.7</v>
          </cell>
        </row>
        <row r="282">
          <cell r="A282">
            <v>47398</v>
          </cell>
          <cell r="B282" t="str">
            <v>TGS-26-4406X4BLS-LX</v>
          </cell>
          <cell r="E282" t="str">
            <v>2017-12-5</v>
          </cell>
          <cell r="I282">
            <v>42937</v>
          </cell>
          <cell r="J282" t="str">
            <v>CKD</v>
          </cell>
          <cell r="K282">
            <v>14.7</v>
          </cell>
        </row>
        <row r="283">
          <cell r="A283">
            <v>47399</v>
          </cell>
          <cell r="B283" t="str">
            <v>TGS-26-4406X4BLS-LX</v>
          </cell>
          <cell r="E283" t="str">
            <v>2017-12-5</v>
          </cell>
          <cell r="I283">
            <v>42937</v>
          </cell>
          <cell r="J283" t="str">
            <v>CKD</v>
          </cell>
          <cell r="K283">
            <v>14.7</v>
          </cell>
        </row>
        <row r="284">
          <cell r="A284">
            <v>47400</v>
          </cell>
          <cell r="B284" t="str">
            <v>TGS-26-4406X4BLS-LX</v>
          </cell>
          <cell r="E284" t="str">
            <v>2017-12-10</v>
          </cell>
          <cell r="I284">
            <v>42937</v>
          </cell>
          <cell r="J284" t="str">
            <v>CKD</v>
          </cell>
          <cell r="K284">
            <v>14.7</v>
          </cell>
        </row>
        <row r="285">
          <cell r="A285">
            <v>47401</v>
          </cell>
          <cell r="B285" t="str">
            <v>TGS-26-4406X4BLS-LX</v>
          </cell>
          <cell r="E285" t="str">
            <v>2017-12-10</v>
          </cell>
          <cell r="I285">
            <v>42937</v>
          </cell>
          <cell r="J285" t="str">
            <v>CKD</v>
          </cell>
          <cell r="K285">
            <v>14.7</v>
          </cell>
        </row>
        <row r="286">
          <cell r="A286">
            <v>47402</v>
          </cell>
          <cell r="B286" t="str">
            <v>TGS-26-4406X4BLS-LX</v>
          </cell>
          <cell r="E286" t="str">
            <v>2017-12-10</v>
          </cell>
          <cell r="I286">
            <v>42937</v>
          </cell>
          <cell r="J286" t="str">
            <v>CKD</v>
          </cell>
          <cell r="K286">
            <v>14.7</v>
          </cell>
        </row>
        <row r="287">
          <cell r="A287">
            <v>47403</v>
          </cell>
          <cell r="B287" t="str">
            <v>TGS-26-4406X4BLS-LX</v>
          </cell>
          <cell r="E287" t="str">
            <v>2017-12-10</v>
          </cell>
          <cell r="I287">
            <v>42937</v>
          </cell>
          <cell r="J287" t="str">
            <v>CKD</v>
          </cell>
          <cell r="K287">
            <v>14.7</v>
          </cell>
        </row>
        <row r="288">
          <cell r="A288">
            <v>47404</v>
          </cell>
          <cell r="B288" t="str">
            <v>TGS-26-4406X4BLS-LX</v>
          </cell>
          <cell r="E288" t="str">
            <v>2017-12-10</v>
          </cell>
          <cell r="I288">
            <v>42937</v>
          </cell>
          <cell r="J288" t="str">
            <v>CKD</v>
          </cell>
          <cell r="K288">
            <v>14.7</v>
          </cell>
        </row>
        <row r="289">
          <cell r="A289">
            <v>47405</v>
          </cell>
          <cell r="B289" t="str">
            <v>TGS-26-4406X4BLS-LX</v>
          </cell>
          <cell r="E289" t="str">
            <v>2017-12-10</v>
          </cell>
          <cell r="I289">
            <v>42937</v>
          </cell>
          <cell r="J289" t="str">
            <v>CKD</v>
          </cell>
          <cell r="K289">
            <v>14.7</v>
          </cell>
        </row>
        <row r="290">
          <cell r="A290">
            <v>47406</v>
          </cell>
          <cell r="B290" t="str">
            <v>TGS-26-4406X4BLS-LX</v>
          </cell>
          <cell r="E290" t="str">
            <v>2017-12-10</v>
          </cell>
          <cell r="I290">
            <v>42937</v>
          </cell>
          <cell r="J290" t="str">
            <v>CKD</v>
          </cell>
          <cell r="K290">
            <v>14.7</v>
          </cell>
        </row>
        <row r="291">
          <cell r="A291">
            <v>47407</v>
          </cell>
          <cell r="B291" t="str">
            <v>TGS-26-4406X4BLS-LX</v>
          </cell>
          <cell r="E291" t="str">
            <v>2017-12-10</v>
          </cell>
          <cell r="I291">
            <v>42937</v>
          </cell>
          <cell r="J291" t="str">
            <v>CKD</v>
          </cell>
          <cell r="K291">
            <v>14.7</v>
          </cell>
        </row>
        <row r="292">
          <cell r="A292">
            <v>47408</v>
          </cell>
          <cell r="B292" t="str">
            <v>TGS-26-4406X4BLS-LX</v>
          </cell>
          <cell r="E292" t="str">
            <v>2017-12-15</v>
          </cell>
          <cell r="I292">
            <v>42937</v>
          </cell>
          <cell r="J292" t="str">
            <v>CKD</v>
          </cell>
          <cell r="K292">
            <v>14.7</v>
          </cell>
        </row>
        <row r="293">
          <cell r="A293">
            <v>47409</v>
          </cell>
          <cell r="B293" t="str">
            <v>TGS-26-4406X4BLS-LX</v>
          </cell>
          <cell r="E293" t="str">
            <v>2017-12-15</v>
          </cell>
          <cell r="I293">
            <v>42937</v>
          </cell>
          <cell r="J293" t="str">
            <v>CKD</v>
          </cell>
          <cell r="K293">
            <v>14.7</v>
          </cell>
        </row>
        <row r="294">
          <cell r="A294">
            <v>47410</v>
          </cell>
          <cell r="B294" t="str">
            <v>TGS-26-4406X4BLS-LX</v>
          </cell>
          <cell r="E294" t="str">
            <v>2017-12-15</v>
          </cell>
          <cell r="I294">
            <v>42937</v>
          </cell>
          <cell r="J294" t="str">
            <v>CKD</v>
          </cell>
          <cell r="K294">
            <v>14.7</v>
          </cell>
        </row>
        <row r="295">
          <cell r="A295">
            <v>47411</v>
          </cell>
          <cell r="B295" t="str">
            <v>TGS-26-4406X4BLS-LX</v>
          </cell>
          <cell r="E295" t="str">
            <v>2017-12-15</v>
          </cell>
          <cell r="I295">
            <v>42937</v>
          </cell>
          <cell r="J295" t="str">
            <v>CKD</v>
          </cell>
          <cell r="K295">
            <v>14.7</v>
          </cell>
        </row>
        <row r="296">
          <cell r="A296">
            <v>47453</v>
          </cell>
          <cell r="B296" t="str">
            <v>TGS-26-4406X4BLS-LX</v>
          </cell>
          <cell r="E296" t="str">
            <v>2017-11-10</v>
          </cell>
          <cell r="I296">
            <v>42937</v>
          </cell>
          <cell r="J296" t="str">
            <v>BOOKED : 2017-08-17</v>
          </cell>
          <cell r="K296">
            <v>14.7</v>
          </cell>
        </row>
        <row r="297">
          <cell r="A297">
            <v>47454</v>
          </cell>
          <cell r="B297" t="str">
            <v>TGS-26-4406X4BLS-LX</v>
          </cell>
          <cell r="E297" t="str">
            <v>2017-11-10</v>
          </cell>
          <cell r="I297">
            <v>42937</v>
          </cell>
          <cell r="J297" t="str">
            <v>BOOKED : 2017-08-17</v>
          </cell>
          <cell r="K297">
            <v>14.7</v>
          </cell>
        </row>
        <row r="298">
          <cell r="A298">
            <v>47455</v>
          </cell>
          <cell r="B298" t="str">
            <v>TGS-26-4406X4BLS-LX</v>
          </cell>
          <cell r="E298" t="str">
            <v>2017-11-10</v>
          </cell>
          <cell r="I298">
            <v>42937</v>
          </cell>
          <cell r="J298" t="str">
            <v>BOOKED : 2017-08-17</v>
          </cell>
          <cell r="K298">
            <v>14.7</v>
          </cell>
        </row>
        <row r="299">
          <cell r="A299">
            <v>47456</v>
          </cell>
          <cell r="B299" t="str">
            <v>TGS-26-4406X4BLS-LX</v>
          </cell>
          <cell r="E299" t="str">
            <v>2017-11-10</v>
          </cell>
          <cell r="I299">
            <v>42937</v>
          </cell>
          <cell r="J299" t="str">
            <v>BOOKED : 2017-08-17</v>
          </cell>
          <cell r="K299">
            <v>14.7</v>
          </cell>
        </row>
        <row r="300">
          <cell r="A300">
            <v>47457</v>
          </cell>
          <cell r="B300" t="str">
            <v>TGS-26-4406X4BLS-LX</v>
          </cell>
          <cell r="E300" t="str">
            <v>2017-11-10</v>
          </cell>
          <cell r="I300">
            <v>42937</v>
          </cell>
          <cell r="J300" t="str">
            <v>BOOKED : 2017-08-17</v>
          </cell>
          <cell r="K300">
            <v>14.7</v>
          </cell>
        </row>
        <row r="301">
          <cell r="A301">
            <v>47458</v>
          </cell>
          <cell r="B301" t="str">
            <v>TGS-26-4406X4BLS-LX</v>
          </cell>
          <cell r="E301" t="str">
            <v>2017-11-10</v>
          </cell>
          <cell r="I301">
            <v>42937</v>
          </cell>
          <cell r="J301" t="str">
            <v>BOOKED : 2017-08-17</v>
          </cell>
          <cell r="K301">
            <v>14.7</v>
          </cell>
        </row>
        <row r="302">
          <cell r="A302">
            <v>47459</v>
          </cell>
          <cell r="B302" t="str">
            <v>TGS-26-4406X4BLS-LX</v>
          </cell>
          <cell r="E302" t="str">
            <v>2017-11-10</v>
          </cell>
          <cell r="I302">
            <v>42937</v>
          </cell>
          <cell r="J302" t="str">
            <v>BOOKED : 2017-08-17</v>
          </cell>
          <cell r="K302">
            <v>14.7</v>
          </cell>
        </row>
        <row r="303">
          <cell r="A303">
            <v>47460</v>
          </cell>
          <cell r="B303" t="str">
            <v>TGS-26-4406X4BLS-LX</v>
          </cell>
          <cell r="E303" t="str">
            <v>2017-11-10</v>
          </cell>
          <cell r="I303">
            <v>42937</v>
          </cell>
          <cell r="J303" t="str">
            <v>BOOKED : 2017-08-17</v>
          </cell>
          <cell r="K303">
            <v>14.7</v>
          </cell>
        </row>
        <row r="304">
          <cell r="A304">
            <v>47461</v>
          </cell>
          <cell r="B304" t="str">
            <v>TGS-26-4406X4BLS-LX</v>
          </cell>
          <cell r="E304" t="str">
            <v>2017-11-30</v>
          </cell>
          <cell r="I304">
            <v>42937</v>
          </cell>
          <cell r="J304" t="str">
            <v>BOOKED : 2017-08-17</v>
          </cell>
          <cell r="K304">
            <v>14.7</v>
          </cell>
        </row>
        <row r="305">
          <cell r="A305">
            <v>47462</v>
          </cell>
          <cell r="B305" t="str">
            <v>TGS-26-4406X4BLS-LX</v>
          </cell>
          <cell r="E305" t="str">
            <v>2017-11-30</v>
          </cell>
          <cell r="I305">
            <v>42937</v>
          </cell>
          <cell r="J305" t="str">
            <v>BOOKED : 2017-08-17</v>
          </cell>
          <cell r="K305">
            <v>14.7</v>
          </cell>
        </row>
        <row r="306">
          <cell r="A306">
            <v>47463</v>
          </cell>
          <cell r="B306" t="str">
            <v>TGS-26-4406X4BLS-LX</v>
          </cell>
          <cell r="E306" t="str">
            <v>2017-11-30</v>
          </cell>
          <cell r="I306">
            <v>42937</v>
          </cell>
          <cell r="J306" t="str">
            <v>BOOKED : 2017-08-17</v>
          </cell>
          <cell r="K306">
            <v>14.7</v>
          </cell>
        </row>
        <row r="307">
          <cell r="A307">
            <v>47464</v>
          </cell>
          <cell r="B307" t="str">
            <v>TGS-26-4406X4BLS-LX</v>
          </cell>
          <cell r="E307" t="str">
            <v>2017-11-30</v>
          </cell>
          <cell r="I307">
            <v>42937</v>
          </cell>
          <cell r="J307" t="str">
            <v>BOOKED : 2017-08-17</v>
          </cell>
          <cell r="K307">
            <v>14.7</v>
          </cell>
        </row>
        <row r="308">
          <cell r="A308">
            <v>47803</v>
          </cell>
          <cell r="B308" t="str">
            <v>TGS-26-4406X4BLS-LX</v>
          </cell>
          <cell r="E308" t="str">
            <v>2018-02-15</v>
          </cell>
          <cell r="I308">
            <v>42947</v>
          </cell>
          <cell r="J308" t="str">
            <v>CKD</v>
          </cell>
          <cell r="K308">
            <v>14.7</v>
          </cell>
        </row>
        <row r="309">
          <cell r="A309">
            <v>47804</v>
          </cell>
          <cell r="B309" t="str">
            <v>TGS-26-4406X4BLS-LX</v>
          </cell>
          <cell r="E309" t="str">
            <v>2018-02-15</v>
          </cell>
          <cell r="I309">
            <v>42947</v>
          </cell>
          <cell r="J309" t="str">
            <v>CKD</v>
          </cell>
          <cell r="K309">
            <v>14.7</v>
          </cell>
        </row>
        <row r="310">
          <cell r="A310">
            <v>47805</v>
          </cell>
          <cell r="B310" t="str">
            <v>TGS-26-4406X4BLS-LX</v>
          </cell>
          <cell r="E310" t="str">
            <v>2018-02-15</v>
          </cell>
          <cell r="I310">
            <v>42947</v>
          </cell>
          <cell r="J310" t="str">
            <v>CKD</v>
          </cell>
          <cell r="K310">
            <v>14.7</v>
          </cell>
        </row>
        <row r="311">
          <cell r="A311">
            <v>47806</v>
          </cell>
          <cell r="B311" t="str">
            <v>TGS-26-4406X4BLS-LX</v>
          </cell>
          <cell r="E311" t="str">
            <v>2018-02-15</v>
          </cell>
          <cell r="I311">
            <v>42947</v>
          </cell>
          <cell r="J311" t="str">
            <v>CKD</v>
          </cell>
          <cell r="K311">
            <v>14.7</v>
          </cell>
        </row>
        <row r="312">
          <cell r="A312">
            <v>47807</v>
          </cell>
          <cell r="B312" t="str">
            <v>TGS-26-4406X4BLS-LX</v>
          </cell>
          <cell r="E312" t="str">
            <v>2018-02-15</v>
          </cell>
          <cell r="I312">
            <v>42947</v>
          </cell>
          <cell r="J312" t="str">
            <v>CKD</v>
          </cell>
          <cell r="K312">
            <v>14.7</v>
          </cell>
        </row>
        <row r="313">
          <cell r="A313">
            <v>47808</v>
          </cell>
          <cell r="B313" t="str">
            <v>TGS-26-4406X4BLS-LX</v>
          </cell>
          <cell r="E313" t="str">
            <v>2018-02-15</v>
          </cell>
          <cell r="I313">
            <v>42947</v>
          </cell>
          <cell r="J313" t="str">
            <v>CKD</v>
          </cell>
          <cell r="K313">
            <v>14.7</v>
          </cell>
        </row>
        <row r="314">
          <cell r="A314">
            <v>47809</v>
          </cell>
          <cell r="B314" t="str">
            <v>TGS-26-4406X4BLS-LX</v>
          </cell>
          <cell r="E314" t="str">
            <v>2018-02-15</v>
          </cell>
          <cell r="I314">
            <v>42947</v>
          </cell>
          <cell r="J314" t="str">
            <v>CKD</v>
          </cell>
          <cell r="K314">
            <v>14.7</v>
          </cell>
        </row>
        <row r="315">
          <cell r="A315">
            <v>47810</v>
          </cell>
          <cell r="B315" t="str">
            <v>TGS-26-4406X4BLS-LX</v>
          </cell>
          <cell r="E315" t="str">
            <v>2018-02-15</v>
          </cell>
          <cell r="I315">
            <v>42947</v>
          </cell>
          <cell r="J315" t="str">
            <v>CKD</v>
          </cell>
          <cell r="K315">
            <v>14.7</v>
          </cell>
        </row>
        <row r="316">
          <cell r="A316">
            <v>47811</v>
          </cell>
          <cell r="B316" t="str">
            <v>TGS-26-4406X4BLS-LX</v>
          </cell>
          <cell r="E316" t="str">
            <v>2018-02-15</v>
          </cell>
          <cell r="I316">
            <v>42947</v>
          </cell>
          <cell r="J316" t="str">
            <v>CKD</v>
          </cell>
          <cell r="K316">
            <v>14.7</v>
          </cell>
        </row>
        <row r="317">
          <cell r="A317">
            <v>47812</v>
          </cell>
          <cell r="B317" t="str">
            <v>TGS-26-4406X4BLS-LX</v>
          </cell>
          <cell r="E317" t="str">
            <v>2018-02-15</v>
          </cell>
          <cell r="I317">
            <v>42947</v>
          </cell>
          <cell r="J317" t="str">
            <v>CKD</v>
          </cell>
          <cell r="K317">
            <v>14.7</v>
          </cell>
        </row>
        <row r="318">
          <cell r="A318">
            <v>47813</v>
          </cell>
          <cell r="B318" t="str">
            <v>TGS-26-4406X4BLS-LX</v>
          </cell>
          <cell r="E318" t="str">
            <v>2018-02-15</v>
          </cell>
          <cell r="I318">
            <v>42947</v>
          </cell>
          <cell r="J318" t="str">
            <v>CKD</v>
          </cell>
          <cell r="K318">
            <v>14.7</v>
          </cell>
        </row>
        <row r="319">
          <cell r="A319">
            <v>47814</v>
          </cell>
          <cell r="B319" t="str">
            <v>TGS-26-4406X4BLS-LX</v>
          </cell>
          <cell r="E319" t="str">
            <v>2018-02-15</v>
          </cell>
          <cell r="I319">
            <v>42947</v>
          </cell>
          <cell r="J319" t="str">
            <v>CKD</v>
          </cell>
          <cell r="K319">
            <v>14.7</v>
          </cell>
        </row>
        <row r="320">
          <cell r="A320">
            <v>47815</v>
          </cell>
          <cell r="B320" t="str">
            <v>TGS-26-4406X4BLS-LX</v>
          </cell>
          <cell r="E320" t="str">
            <v>2018-02-20</v>
          </cell>
          <cell r="I320">
            <v>42947</v>
          </cell>
          <cell r="J320" t="str">
            <v>CKD</v>
          </cell>
          <cell r="K320">
            <v>14.7</v>
          </cell>
        </row>
        <row r="321">
          <cell r="A321">
            <v>47816</v>
          </cell>
          <cell r="B321" t="str">
            <v>TGS-26-4406X4BLS-LX</v>
          </cell>
          <cell r="E321" t="str">
            <v>2018-02-20</v>
          </cell>
          <cell r="I321">
            <v>42947</v>
          </cell>
          <cell r="J321" t="str">
            <v>CKD</v>
          </cell>
          <cell r="K321">
            <v>14.7</v>
          </cell>
        </row>
        <row r="322">
          <cell r="A322">
            <v>47817</v>
          </cell>
          <cell r="B322" t="str">
            <v>TGS-26-4406X4BLS-LX</v>
          </cell>
          <cell r="E322" t="str">
            <v>2018-02-20</v>
          </cell>
          <cell r="I322">
            <v>42947</v>
          </cell>
          <cell r="J322" t="str">
            <v>CKD</v>
          </cell>
          <cell r="K322">
            <v>14.7</v>
          </cell>
        </row>
        <row r="323">
          <cell r="A323">
            <v>47818</v>
          </cell>
          <cell r="B323" t="str">
            <v>TGS-26-4406X4BLS-LX</v>
          </cell>
          <cell r="E323" t="str">
            <v>2018-02-20</v>
          </cell>
          <cell r="I323">
            <v>42947</v>
          </cell>
          <cell r="J323" t="str">
            <v>CKD</v>
          </cell>
          <cell r="K323">
            <v>14.7</v>
          </cell>
        </row>
        <row r="324">
          <cell r="A324">
            <v>47819</v>
          </cell>
          <cell r="B324" t="str">
            <v>TGS-26-4406X4BLS-LX</v>
          </cell>
          <cell r="E324" t="str">
            <v>2018-02-20</v>
          </cell>
          <cell r="I324">
            <v>42947</v>
          </cell>
          <cell r="J324" t="str">
            <v>CKD</v>
          </cell>
          <cell r="K324">
            <v>14.7</v>
          </cell>
        </row>
        <row r="325">
          <cell r="A325">
            <v>47820</v>
          </cell>
          <cell r="B325" t="str">
            <v>TGS-26-4406X4BLS-LX</v>
          </cell>
          <cell r="E325" t="str">
            <v>2018-02-20</v>
          </cell>
          <cell r="I325">
            <v>42947</v>
          </cell>
          <cell r="J325" t="str">
            <v>CKD</v>
          </cell>
          <cell r="K325">
            <v>14.7</v>
          </cell>
        </row>
        <row r="326">
          <cell r="A326">
            <v>47821</v>
          </cell>
          <cell r="B326" t="str">
            <v>TGS-26-4406X4BLS-LX</v>
          </cell>
          <cell r="E326" t="str">
            <v>2018-02-20</v>
          </cell>
          <cell r="I326">
            <v>42947</v>
          </cell>
          <cell r="J326" t="str">
            <v>CKD</v>
          </cell>
          <cell r="K326">
            <v>14.7</v>
          </cell>
        </row>
        <row r="327">
          <cell r="A327">
            <v>47822</v>
          </cell>
          <cell r="B327" t="str">
            <v>TGS-26-4406X4BLS-LX</v>
          </cell>
          <cell r="E327" t="str">
            <v>2018-02-20</v>
          </cell>
          <cell r="I327">
            <v>42947</v>
          </cell>
          <cell r="J327" t="str">
            <v>CKD</v>
          </cell>
          <cell r="K327">
            <v>14.7</v>
          </cell>
        </row>
        <row r="328">
          <cell r="A328">
            <v>47823</v>
          </cell>
          <cell r="B328" t="str">
            <v>TGS-26-4406X4BLS-LX</v>
          </cell>
          <cell r="E328" t="str">
            <v>2018-02-20</v>
          </cell>
          <cell r="I328">
            <v>42947</v>
          </cell>
          <cell r="J328" t="str">
            <v>CKD</v>
          </cell>
          <cell r="K328">
            <v>14.7</v>
          </cell>
        </row>
        <row r="329">
          <cell r="A329">
            <v>47824</v>
          </cell>
          <cell r="B329" t="str">
            <v>TGS-26-4406X4BLS-LX</v>
          </cell>
          <cell r="E329" t="str">
            <v>2018-02-20</v>
          </cell>
          <cell r="I329">
            <v>42947</v>
          </cell>
          <cell r="J329" t="str">
            <v>CKD</v>
          </cell>
          <cell r="K329">
            <v>14.7</v>
          </cell>
        </row>
        <row r="330">
          <cell r="A330">
            <v>47825</v>
          </cell>
          <cell r="B330" t="str">
            <v>TGS-26-4406X4BLS-LX</v>
          </cell>
          <cell r="E330" t="str">
            <v>2018-02-20</v>
          </cell>
          <cell r="I330">
            <v>42947</v>
          </cell>
          <cell r="J330" t="str">
            <v>CKD</v>
          </cell>
          <cell r="K330">
            <v>14.7</v>
          </cell>
        </row>
        <row r="331">
          <cell r="A331">
            <v>47826</v>
          </cell>
          <cell r="B331" t="str">
            <v>TGS-26-4406X4BLS-LX</v>
          </cell>
          <cell r="E331" t="str">
            <v>2018-02-20</v>
          </cell>
          <cell r="I331">
            <v>42947</v>
          </cell>
          <cell r="J331" t="str">
            <v>CKD</v>
          </cell>
          <cell r="K331">
            <v>14.7</v>
          </cell>
        </row>
        <row r="332">
          <cell r="A332">
            <v>47827</v>
          </cell>
          <cell r="B332" t="str">
            <v>TGS-26-4406X4BLS-LX</v>
          </cell>
          <cell r="E332" t="str">
            <v>2018-02-25</v>
          </cell>
          <cell r="I332">
            <v>42947</v>
          </cell>
          <cell r="J332" t="str">
            <v>CKD</v>
          </cell>
          <cell r="K332">
            <v>14.7</v>
          </cell>
        </row>
        <row r="333">
          <cell r="A333">
            <v>47828</v>
          </cell>
          <cell r="B333" t="str">
            <v>TGS-26-4406X4BLS-LX</v>
          </cell>
          <cell r="E333" t="str">
            <v>2018-02-25</v>
          </cell>
          <cell r="I333">
            <v>42947</v>
          </cell>
          <cell r="J333" t="str">
            <v>CKD</v>
          </cell>
          <cell r="K333">
            <v>14.7</v>
          </cell>
        </row>
        <row r="334">
          <cell r="A334">
            <v>47829</v>
          </cell>
          <cell r="B334" t="str">
            <v>TGS-26-4406X4BLS-LX</v>
          </cell>
          <cell r="E334" t="str">
            <v>2018-02-25</v>
          </cell>
          <cell r="I334">
            <v>42947</v>
          </cell>
          <cell r="J334" t="str">
            <v>CKD</v>
          </cell>
          <cell r="K334">
            <v>14.7</v>
          </cell>
        </row>
        <row r="335">
          <cell r="A335">
            <v>47830</v>
          </cell>
          <cell r="B335" t="str">
            <v>TGS-26-4406X4BLS-LX</v>
          </cell>
          <cell r="E335" t="str">
            <v>2018-02-25</v>
          </cell>
          <cell r="I335">
            <v>42947</v>
          </cell>
          <cell r="J335" t="str">
            <v>CKD</v>
          </cell>
          <cell r="K335">
            <v>14.7</v>
          </cell>
        </row>
        <row r="336">
          <cell r="A336">
            <v>47831</v>
          </cell>
          <cell r="B336" t="str">
            <v>TGS-26-4406X4BLS-LX</v>
          </cell>
          <cell r="E336" t="str">
            <v>2018-02-25</v>
          </cell>
          <cell r="I336">
            <v>42947</v>
          </cell>
          <cell r="J336" t="str">
            <v>CKD</v>
          </cell>
          <cell r="K336">
            <v>14.7</v>
          </cell>
        </row>
        <row r="337">
          <cell r="A337">
            <v>47832</v>
          </cell>
          <cell r="B337" t="str">
            <v>TGS-26-4406X4BLS-LX</v>
          </cell>
          <cell r="E337" t="str">
            <v>2018-02-25</v>
          </cell>
          <cell r="I337">
            <v>42947</v>
          </cell>
          <cell r="J337" t="str">
            <v>CKD</v>
          </cell>
          <cell r="K337">
            <v>14.7</v>
          </cell>
        </row>
        <row r="338">
          <cell r="A338">
            <v>47833</v>
          </cell>
          <cell r="B338" t="str">
            <v>TGS-26-4406X4BLS-LX</v>
          </cell>
          <cell r="E338" t="str">
            <v>2018-02-25</v>
          </cell>
          <cell r="I338">
            <v>42947</v>
          </cell>
          <cell r="J338" t="str">
            <v>CKD</v>
          </cell>
          <cell r="K338">
            <v>14.7</v>
          </cell>
        </row>
        <row r="339">
          <cell r="A339">
            <v>47834</v>
          </cell>
          <cell r="B339" t="str">
            <v>TGS-26-4406X4BLS-LX</v>
          </cell>
          <cell r="E339" t="str">
            <v>2018-02-25</v>
          </cell>
          <cell r="I339">
            <v>42947</v>
          </cell>
          <cell r="J339" t="str">
            <v>CKD</v>
          </cell>
          <cell r="K339">
            <v>14.7</v>
          </cell>
        </row>
        <row r="340">
          <cell r="A340">
            <v>47835</v>
          </cell>
          <cell r="B340" t="str">
            <v>TGS-26-4406X4BLS-LX</v>
          </cell>
          <cell r="E340" t="str">
            <v>2018-02-25</v>
          </cell>
          <cell r="I340">
            <v>42947</v>
          </cell>
          <cell r="J340" t="str">
            <v>CKD</v>
          </cell>
          <cell r="K340">
            <v>14.7</v>
          </cell>
        </row>
        <row r="341">
          <cell r="A341">
            <v>47836</v>
          </cell>
          <cell r="B341" t="str">
            <v>TGS-26-4406X4BLS-LX</v>
          </cell>
          <cell r="E341" t="str">
            <v>2018-02-25</v>
          </cell>
          <cell r="I341">
            <v>42947</v>
          </cell>
          <cell r="J341" t="str">
            <v>CKD</v>
          </cell>
          <cell r="K341">
            <v>14.7</v>
          </cell>
        </row>
        <row r="342">
          <cell r="A342">
            <v>47837</v>
          </cell>
          <cell r="B342" t="str">
            <v>TGS-26-4406X4BLS-LX</v>
          </cell>
          <cell r="E342" t="str">
            <v>2018-02-25</v>
          </cell>
          <cell r="I342">
            <v>42947</v>
          </cell>
          <cell r="J342" t="str">
            <v>CKD</v>
          </cell>
          <cell r="K342">
            <v>14.7</v>
          </cell>
        </row>
        <row r="343">
          <cell r="A343">
            <v>47838</v>
          </cell>
          <cell r="B343" t="str">
            <v>TGS-26-4406X4BLS-LX</v>
          </cell>
          <cell r="E343" t="str">
            <v>2018-02-25</v>
          </cell>
          <cell r="I343">
            <v>42947</v>
          </cell>
          <cell r="J343" t="str">
            <v>CKD</v>
          </cell>
          <cell r="K343">
            <v>14.7</v>
          </cell>
        </row>
        <row r="344">
          <cell r="A344">
            <v>47839</v>
          </cell>
          <cell r="B344" t="str">
            <v>TGS-26-4406X4BLS-LX</v>
          </cell>
          <cell r="E344" t="str">
            <v>2018-02-28</v>
          </cell>
          <cell r="I344">
            <v>42947</v>
          </cell>
          <cell r="J344" t="str">
            <v>CKD</v>
          </cell>
          <cell r="K344">
            <v>14.7</v>
          </cell>
        </row>
        <row r="345">
          <cell r="A345">
            <v>47840</v>
          </cell>
          <cell r="B345" t="str">
            <v>TGS-26-4406X4BLS-LX</v>
          </cell>
          <cell r="E345" t="str">
            <v>2018-02-28</v>
          </cell>
          <cell r="I345">
            <v>42947</v>
          </cell>
          <cell r="J345" t="str">
            <v>CKD</v>
          </cell>
          <cell r="K345">
            <v>14.7</v>
          </cell>
        </row>
        <row r="346">
          <cell r="A346">
            <v>47841</v>
          </cell>
          <cell r="B346" t="str">
            <v>TGS-26-4406X4BLS-LX</v>
          </cell>
          <cell r="E346" t="str">
            <v>2018-02-28</v>
          </cell>
          <cell r="I346">
            <v>42947</v>
          </cell>
          <cell r="J346" t="str">
            <v>CKD</v>
          </cell>
          <cell r="K346">
            <v>14.7</v>
          </cell>
        </row>
        <row r="347">
          <cell r="A347">
            <v>47842</v>
          </cell>
          <cell r="B347" t="str">
            <v>TGS-26-4406X4BLS-LX</v>
          </cell>
          <cell r="E347" t="str">
            <v>2018-02-28</v>
          </cell>
          <cell r="I347">
            <v>42947</v>
          </cell>
          <cell r="J347" t="str">
            <v>CKD</v>
          </cell>
          <cell r="K347">
            <v>14.7</v>
          </cell>
        </row>
        <row r="348">
          <cell r="A348" t="str">
            <v>78W-5552</v>
          </cell>
          <cell r="B348" t="str">
            <v>TGS-26-4406X4BLS-LX</v>
          </cell>
          <cell r="E348">
            <v>249</v>
          </cell>
          <cell r="I348">
            <v>42499</v>
          </cell>
          <cell r="J348" t="str">
            <v>DEMO</v>
          </cell>
          <cell r="K348">
            <v>17.3</v>
          </cell>
        </row>
        <row r="349">
          <cell r="A349" t="str">
            <v>78W-5558</v>
          </cell>
          <cell r="B349" t="str">
            <v>TGS-26-4406X4BLS-LX</v>
          </cell>
          <cell r="E349">
            <v>247</v>
          </cell>
          <cell r="I349">
            <v>42499</v>
          </cell>
          <cell r="J349" t="str">
            <v>DEMO</v>
          </cell>
          <cell r="K349">
            <v>17.3</v>
          </cell>
        </row>
        <row r="350">
          <cell r="A350" t="str">
            <v>TBAKP634</v>
          </cell>
          <cell r="B350" t="str">
            <v>TGS-26-4406X4BLS-LX</v>
          </cell>
          <cell r="E350" t="str">
            <v>2018-02-15</v>
          </cell>
          <cell r="I350">
            <v>42921</v>
          </cell>
          <cell r="J350" t="str">
            <v>CKD</v>
          </cell>
          <cell r="K350">
            <v>14.7</v>
          </cell>
        </row>
        <row r="351">
          <cell r="A351" t="str">
            <v>78W-5815</v>
          </cell>
          <cell r="B351" t="str">
            <v>TGS-26-4406X4BLS-LX-ADR</v>
          </cell>
          <cell r="E351" t="str">
            <v>2017-06-29</v>
          </cell>
          <cell r="I351">
            <v>42784</v>
          </cell>
          <cell r="J351" t="str">
            <v>CKD</v>
          </cell>
          <cell r="K351">
            <v>15.4</v>
          </cell>
        </row>
        <row r="352">
          <cell r="A352" t="str">
            <v>78W-5816</v>
          </cell>
          <cell r="B352" t="str">
            <v>TGS-26-4406X4BLS-LX-ADR</v>
          </cell>
          <cell r="E352">
            <v>42</v>
          </cell>
          <cell r="I352">
            <v>42784</v>
          </cell>
          <cell r="J352" t="str">
            <v>UNSOLD</v>
          </cell>
          <cell r="K352">
            <v>15.4</v>
          </cell>
        </row>
        <row r="353">
          <cell r="A353" t="str">
            <v>78W-5817</v>
          </cell>
          <cell r="B353" t="str">
            <v>TGS-26-4406X4BLS-LX-ADR</v>
          </cell>
          <cell r="E353">
            <v>42</v>
          </cell>
          <cell r="I353">
            <v>42784</v>
          </cell>
          <cell r="J353" t="str">
            <v>UNSOLD</v>
          </cell>
          <cell r="K353">
            <v>15.4</v>
          </cell>
        </row>
        <row r="354">
          <cell r="A354" t="str">
            <v>78W-5818</v>
          </cell>
          <cell r="B354" t="str">
            <v>TGS-26-4406X4BLS-LX-ADR</v>
          </cell>
          <cell r="E354">
            <v>38</v>
          </cell>
          <cell r="I354">
            <v>42784</v>
          </cell>
          <cell r="J354" t="str">
            <v>UNSOLD</v>
          </cell>
          <cell r="K354">
            <v>15.4</v>
          </cell>
        </row>
        <row r="355">
          <cell r="A355" t="str">
            <v>78W-5819</v>
          </cell>
          <cell r="B355" t="str">
            <v>TGS-26-4406X4BLS-LX-ADR</v>
          </cell>
          <cell r="E355">
            <v>35</v>
          </cell>
          <cell r="I355">
            <v>42784</v>
          </cell>
          <cell r="J355" t="str">
            <v>UNSOLD</v>
          </cell>
          <cell r="K355">
            <v>15.4</v>
          </cell>
        </row>
        <row r="356">
          <cell r="A356" t="str">
            <v>78W-5820</v>
          </cell>
          <cell r="B356" t="str">
            <v>TGS-26-4406X4BLS-LX-ADR</v>
          </cell>
          <cell r="E356">
            <v>21</v>
          </cell>
          <cell r="I356">
            <v>42784</v>
          </cell>
          <cell r="J356" t="str">
            <v>UNSOLD</v>
          </cell>
          <cell r="K356">
            <v>15.4</v>
          </cell>
        </row>
        <row r="357">
          <cell r="A357" t="str">
            <v>78W-5821</v>
          </cell>
          <cell r="B357" t="str">
            <v>TGS-26-4406X4BLS-LX-ADR</v>
          </cell>
          <cell r="E357">
            <v>32</v>
          </cell>
          <cell r="I357">
            <v>42784</v>
          </cell>
          <cell r="J357" t="str">
            <v>UNSOLD</v>
          </cell>
          <cell r="K357">
            <v>15.4</v>
          </cell>
        </row>
        <row r="358">
          <cell r="A358" t="str">
            <v>78W-5822</v>
          </cell>
          <cell r="B358" t="str">
            <v>TGS-26-4406X4BLS-LX-ADR</v>
          </cell>
          <cell r="E358">
            <v>21</v>
          </cell>
          <cell r="I358">
            <v>42784</v>
          </cell>
          <cell r="J358" t="str">
            <v>UNSOLD</v>
          </cell>
          <cell r="K358">
            <v>15.4</v>
          </cell>
        </row>
        <row r="359">
          <cell r="A359">
            <v>47542</v>
          </cell>
          <cell r="B359" t="str">
            <v>TGS-26-4406X4BLS-LX-ALU</v>
          </cell>
          <cell r="E359" t="str">
            <v>2017-11-10</v>
          </cell>
          <cell r="I359">
            <v>42937</v>
          </cell>
          <cell r="J359" t="str">
            <v>CKD</v>
          </cell>
          <cell r="K359">
            <v>14.7</v>
          </cell>
        </row>
        <row r="360">
          <cell r="A360">
            <v>47543</v>
          </cell>
          <cell r="B360" t="str">
            <v>TGS-26-4406X4BLS-LX-ALU</v>
          </cell>
          <cell r="E360" t="str">
            <v>2017-11-10</v>
          </cell>
          <cell r="I360">
            <v>42937</v>
          </cell>
          <cell r="J360" t="str">
            <v>CKD</v>
          </cell>
          <cell r="K360">
            <v>14.7</v>
          </cell>
        </row>
        <row r="361">
          <cell r="A361">
            <v>47544</v>
          </cell>
          <cell r="B361" t="str">
            <v>TGS-26-4406X4BLS-LX-ALU</v>
          </cell>
          <cell r="E361" t="str">
            <v>2017-11-10</v>
          </cell>
          <cell r="I361">
            <v>42937</v>
          </cell>
          <cell r="J361" t="str">
            <v>CKD</v>
          </cell>
          <cell r="K361">
            <v>14.7</v>
          </cell>
        </row>
        <row r="362">
          <cell r="A362">
            <v>47545</v>
          </cell>
          <cell r="B362" t="str">
            <v>TGS-26-4406X4BLS-LX-ALU</v>
          </cell>
          <cell r="E362" t="str">
            <v>2017-11-10</v>
          </cell>
          <cell r="I362">
            <v>42937</v>
          </cell>
          <cell r="J362" t="str">
            <v>CKD</v>
          </cell>
          <cell r="K362">
            <v>14.7</v>
          </cell>
        </row>
        <row r="363">
          <cell r="A363">
            <v>47546</v>
          </cell>
          <cell r="B363" t="str">
            <v>TGS-26-4406X4BLS-LX-ALU</v>
          </cell>
          <cell r="E363" t="str">
            <v>2017-11-15</v>
          </cell>
          <cell r="I363">
            <v>42937</v>
          </cell>
          <cell r="J363" t="str">
            <v>CKD</v>
          </cell>
          <cell r="K363">
            <v>14.7</v>
          </cell>
        </row>
        <row r="364">
          <cell r="A364">
            <v>47547</v>
          </cell>
          <cell r="B364" t="str">
            <v>TGS-26-4406X4BLS-LX-ALU</v>
          </cell>
          <cell r="E364" t="str">
            <v>2017-11-15</v>
          </cell>
          <cell r="I364">
            <v>42937</v>
          </cell>
          <cell r="J364" t="str">
            <v>CKD</v>
          </cell>
          <cell r="K364">
            <v>14.7</v>
          </cell>
        </row>
        <row r="365">
          <cell r="A365">
            <v>47548</v>
          </cell>
          <cell r="B365" t="str">
            <v>TGS-26-4406X4BLS-LX-ALU</v>
          </cell>
          <cell r="E365" t="str">
            <v>2017-11-15</v>
          </cell>
          <cell r="I365">
            <v>42937</v>
          </cell>
          <cell r="J365" t="str">
            <v>CKD</v>
          </cell>
          <cell r="K365">
            <v>14.7</v>
          </cell>
        </row>
        <row r="366">
          <cell r="A366">
            <v>47549</v>
          </cell>
          <cell r="B366" t="str">
            <v>TGS-26-4406X4BLS-LX-ALU</v>
          </cell>
          <cell r="E366" t="str">
            <v>2017-11-15</v>
          </cell>
          <cell r="I366">
            <v>42937</v>
          </cell>
          <cell r="J366" t="str">
            <v>CKD</v>
          </cell>
          <cell r="K366">
            <v>14.7</v>
          </cell>
        </row>
        <row r="367">
          <cell r="A367">
            <v>47550</v>
          </cell>
          <cell r="B367" t="str">
            <v>TGS-26-4406X4BLS-LX-ALU</v>
          </cell>
          <cell r="E367" t="str">
            <v>2017-11-28</v>
          </cell>
          <cell r="I367">
            <v>42937</v>
          </cell>
          <cell r="J367" t="str">
            <v>CKD</v>
          </cell>
          <cell r="K367">
            <v>14.7</v>
          </cell>
        </row>
        <row r="368">
          <cell r="A368">
            <v>47551</v>
          </cell>
          <cell r="B368" t="str">
            <v>TGS-26-4406X4BLS-LX-ALU</v>
          </cell>
          <cell r="E368" t="str">
            <v>2017-11-28</v>
          </cell>
          <cell r="I368">
            <v>42937</v>
          </cell>
          <cell r="J368" t="str">
            <v>CKD</v>
          </cell>
          <cell r="K368">
            <v>14.7</v>
          </cell>
        </row>
        <row r="369">
          <cell r="A369">
            <v>47552</v>
          </cell>
          <cell r="B369" t="str">
            <v>TGS-26-4406X4BLS-LX-ALU</v>
          </cell>
          <cell r="E369" t="str">
            <v>2017-11-28</v>
          </cell>
          <cell r="I369">
            <v>42937</v>
          </cell>
          <cell r="J369" t="str">
            <v>CKD</v>
          </cell>
          <cell r="K369">
            <v>14.7</v>
          </cell>
        </row>
        <row r="370">
          <cell r="A370">
            <v>47553</v>
          </cell>
          <cell r="B370" t="str">
            <v>TGS-26-4406X4BLS-LX-ALU</v>
          </cell>
          <cell r="E370" t="str">
            <v>2017-11-28</v>
          </cell>
          <cell r="I370">
            <v>42937</v>
          </cell>
          <cell r="J370" t="str">
            <v>CKD</v>
          </cell>
          <cell r="K370">
            <v>14.7</v>
          </cell>
        </row>
        <row r="371">
          <cell r="A371">
            <v>47554</v>
          </cell>
          <cell r="B371" t="str">
            <v>TGS-26-4406X4BLS-LX-ALU</v>
          </cell>
          <cell r="E371" t="str">
            <v>2017-12-5</v>
          </cell>
          <cell r="I371">
            <v>42937</v>
          </cell>
          <cell r="J371" t="str">
            <v>CKD</v>
          </cell>
          <cell r="K371">
            <v>14.7</v>
          </cell>
        </row>
        <row r="372">
          <cell r="A372">
            <v>47555</v>
          </cell>
          <cell r="B372" t="str">
            <v>TGS-26-4406X4BLS-LX-ALU</v>
          </cell>
          <cell r="E372" t="str">
            <v>2017-12-5</v>
          </cell>
          <cell r="I372">
            <v>42937</v>
          </cell>
          <cell r="J372" t="str">
            <v>CKD</v>
          </cell>
          <cell r="K372">
            <v>14.7</v>
          </cell>
        </row>
        <row r="373">
          <cell r="A373">
            <v>47556</v>
          </cell>
          <cell r="B373" t="str">
            <v>TGS-26-4406X4BLS-LX-ALU</v>
          </cell>
          <cell r="E373" t="str">
            <v>2017-12-5</v>
          </cell>
          <cell r="I373">
            <v>42937</v>
          </cell>
          <cell r="J373" t="str">
            <v>CKD</v>
          </cell>
          <cell r="K373">
            <v>14.7</v>
          </cell>
        </row>
        <row r="374">
          <cell r="A374">
            <v>47557</v>
          </cell>
          <cell r="B374" t="str">
            <v>TGS-26-4406X4BLS-LX-ALU</v>
          </cell>
          <cell r="E374" t="str">
            <v>2017-12-5</v>
          </cell>
          <cell r="I374">
            <v>42937</v>
          </cell>
          <cell r="J374" t="str">
            <v>CKD</v>
          </cell>
          <cell r="K374">
            <v>14.7</v>
          </cell>
        </row>
        <row r="375">
          <cell r="A375">
            <v>47759</v>
          </cell>
          <cell r="B375" t="str">
            <v>TGS-26-4406X4BLS-LX-ALU</v>
          </cell>
          <cell r="E375" t="str">
            <v>2018-03-5</v>
          </cell>
          <cell r="I375">
            <v>42947</v>
          </cell>
          <cell r="J375" t="str">
            <v>CKD</v>
          </cell>
          <cell r="K375">
            <v>14.7</v>
          </cell>
        </row>
        <row r="376">
          <cell r="A376">
            <v>47760</v>
          </cell>
          <cell r="B376" t="str">
            <v>TGS-26-4406X4BLS-LX-ALU</v>
          </cell>
          <cell r="E376" t="str">
            <v>2018-03-5</v>
          </cell>
          <cell r="I376">
            <v>42947</v>
          </cell>
          <cell r="J376" t="str">
            <v>CKD</v>
          </cell>
          <cell r="K376">
            <v>14.7</v>
          </cell>
        </row>
        <row r="377">
          <cell r="A377">
            <v>47761</v>
          </cell>
          <cell r="B377" t="str">
            <v>TGS-26-4406X4BLS-LX-ALU</v>
          </cell>
          <cell r="E377" t="str">
            <v>2018-03-5</v>
          </cell>
          <cell r="I377">
            <v>42947</v>
          </cell>
          <cell r="J377" t="str">
            <v>CKD</v>
          </cell>
          <cell r="K377">
            <v>14.7</v>
          </cell>
        </row>
        <row r="378">
          <cell r="A378">
            <v>47762</v>
          </cell>
          <cell r="B378" t="str">
            <v>TGS-26-4406X4BLS-LX-ALU</v>
          </cell>
          <cell r="E378" t="str">
            <v>2018-03-5</v>
          </cell>
          <cell r="I378">
            <v>42947</v>
          </cell>
          <cell r="J378" t="str">
            <v>CKD</v>
          </cell>
          <cell r="K378">
            <v>14.7</v>
          </cell>
        </row>
        <row r="379">
          <cell r="A379">
            <v>47763</v>
          </cell>
          <cell r="B379" t="str">
            <v>TGS-26-4406X4BLS-LX-ALU</v>
          </cell>
          <cell r="E379" t="str">
            <v>2018-03-5</v>
          </cell>
          <cell r="I379">
            <v>42947</v>
          </cell>
          <cell r="J379" t="str">
            <v>CKD</v>
          </cell>
          <cell r="K379">
            <v>14.7</v>
          </cell>
        </row>
        <row r="380">
          <cell r="A380">
            <v>47764</v>
          </cell>
          <cell r="B380" t="str">
            <v>TGS-26-4406X4BLS-LX-ALU</v>
          </cell>
          <cell r="E380" t="str">
            <v>2018-03-5</v>
          </cell>
          <cell r="I380">
            <v>42947</v>
          </cell>
          <cell r="J380" t="str">
            <v>CKD</v>
          </cell>
          <cell r="K380">
            <v>14.7</v>
          </cell>
        </row>
        <row r="381">
          <cell r="A381">
            <v>47765</v>
          </cell>
          <cell r="B381" t="str">
            <v>TGS-26-4406X4BLS-LX-ALU</v>
          </cell>
          <cell r="E381" t="str">
            <v>2018-03-5</v>
          </cell>
          <cell r="I381">
            <v>42947</v>
          </cell>
          <cell r="J381" t="str">
            <v>CKD</v>
          </cell>
          <cell r="K381">
            <v>14.7</v>
          </cell>
        </row>
        <row r="382">
          <cell r="A382">
            <v>47766</v>
          </cell>
          <cell r="B382" t="str">
            <v>TGS-26-4406X4BLS-LX-ALU</v>
          </cell>
          <cell r="E382" t="str">
            <v>2018-03-5</v>
          </cell>
          <cell r="I382">
            <v>42947</v>
          </cell>
          <cell r="J382" t="str">
            <v>CKD</v>
          </cell>
          <cell r="K382">
            <v>14.7</v>
          </cell>
        </row>
        <row r="383">
          <cell r="A383">
            <v>47767</v>
          </cell>
          <cell r="B383" t="str">
            <v>TGS-26-4406X4BLS-LX-ALU</v>
          </cell>
          <cell r="E383" t="str">
            <v>2018-03-15</v>
          </cell>
          <cell r="I383">
            <v>42947</v>
          </cell>
          <cell r="J383" t="str">
            <v>CKD</v>
          </cell>
          <cell r="K383">
            <v>14.7</v>
          </cell>
        </row>
        <row r="384">
          <cell r="A384">
            <v>47768</v>
          </cell>
          <cell r="B384" t="str">
            <v>TGS-26-4406X4BLS-LX-ALU</v>
          </cell>
          <cell r="E384" t="str">
            <v>2018-03-15</v>
          </cell>
          <cell r="I384">
            <v>42947</v>
          </cell>
          <cell r="J384" t="str">
            <v>CKD</v>
          </cell>
          <cell r="K384">
            <v>14.7</v>
          </cell>
        </row>
        <row r="385">
          <cell r="A385">
            <v>47769</v>
          </cell>
          <cell r="B385" t="str">
            <v>TGS-26-4406X4BLS-LX-ALU</v>
          </cell>
          <cell r="E385" t="str">
            <v>2018-03-15</v>
          </cell>
          <cell r="I385">
            <v>42947</v>
          </cell>
          <cell r="J385" t="str">
            <v>CKD</v>
          </cell>
          <cell r="K385">
            <v>14.7</v>
          </cell>
        </row>
        <row r="386">
          <cell r="A386">
            <v>47770</v>
          </cell>
          <cell r="B386" t="str">
            <v>TGS-26-4406X4BLS-LX-ALU</v>
          </cell>
          <cell r="E386" t="str">
            <v>2018-03-15</v>
          </cell>
          <cell r="I386">
            <v>42947</v>
          </cell>
          <cell r="J386" t="str">
            <v>CKD</v>
          </cell>
          <cell r="K386">
            <v>14.7</v>
          </cell>
        </row>
        <row r="387">
          <cell r="A387">
            <v>47771</v>
          </cell>
          <cell r="B387" t="str">
            <v>TGS-26-4406X4BLS-LX-ALU</v>
          </cell>
          <cell r="E387" t="str">
            <v>2018-03-15</v>
          </cell>
          <cell r="I387">
            <v>42947</v>
          </cell>
          <cell r="J387" t="str">
            <v>CKD</v>
          </cell>
          <cell r="K387">
            <v>14.7</v>
          </cell>
        </row>
        <row r="388">
          <cell r="A388">
            <v>47772</v>
          </cell>
          <cell r="B388" t="str">
            <v>TGS-26-4406X4BLS-LX-ALU</v>
          </cell>
          <cell r="E388" t="str">
            <v>2018-03-15</v>
          </cell>
          <cell r="I388">
            <v>42947</v>
          </cell>
          <cell r="J388" t="str">
            <v>CKD</v>
          </cell>
          <cell r="K388">
            <v>14.7</v>
          </cell>
        </row>
        <row r="389">
          <cell r="A389">
            <v>47773</v>
          </cell>
          <cell r="B389" t="str">
            <v>TGS-26-4406X4BLS-LX-ALU</v>
          </cell>
          <cell r="E389" t="str">
            <v>2018-03-15</v>
          </cell>
          <cell r="I389">
            <v>42947</v>
          </cell>
          <cell r="J389" t="str">
            <v>CKD</v>
          </cell>
          <cell r="K389">
            <v>14.7</v>
          </cell>
        </row>
        <row r="390">
          <cell r="A390">
            <v>47774</v>
          </cell>
          <cell r="B390" t="str">
            <v>TGS-26-4406X4BLS-LX-ALU</v>
          </cell>
          <cell r="E390" t="str">
            <v>2018-03-15</v>
          </cell>
          <cell r="I390">
            <v>42947</v>
          </cell>
          <cell r="J390" t="str">
            <v>CKD</v>
          </cell>
          <cell r="K390">
            <v>14.7</v>
          </cell>
        </row>
        <row r="391">
          <cell r="A391">
            <v>47775</v>
          </cell>
          <cell r="B391" t="str">
            <v>TGS-26-4406X4BLS-LX-ALU</v>
          </cell>
          <cell r="E391" t="str">
            <v>2018-03-20</v>
          </cell>
          <cell r="I391">
            <v>42947</v>
          </cell>
          <cell r="J391" t="str">
            <v>CKD</v>
          </cell>
          <cell r="K391">
            <v>14.7</v>
          </cell>
        </row>
        <row r="392">
          <cell r="A392">
            <v>47776</v>
          </cell>
          <cell r="B392" t="str">
            <v>TGS-26-4406X4BLS-LX-ALU</v>
          </cell>
          <cell r="E392" t="str">
            <v>2018-03-20</v>
          </cell>
          <cell r="I392">
            <v>42947</v>
          </cell>
          <cell r="J392" t="str">
            <v>CKD</v>
          </cell>
          <cell r="K392">
            <v>14.7</v>
          </cell>
        </row>
        <row r="393">
          <cell r="A393">
            <v>47777</v>
          </cell>
          <cell r="B393" t="str">
            <v>TGS-26-4406X4BLS-LX-ALU</v>
          </cell>
          <cell r="E393" t="str">
            <v>2018-03-20</v>
          </cell>
          <cell r="I393">
            <v>42947</v>
          </cell>
          <cell r="J393" t="str">
            <v>CKD</v>
          </cell>
          <cell r="K393">
            <v>14.7</v>
          </cell>
        </row>
        <row r="394">
          <cell r="A394">
            <v>47778</v>
          </cell>
          <cell r="B394" t="str">
            <v>TGS-26-4406X4BLS-LX-ALU</v>
          </cell>
          <cell r="E394" t="str">
            <v>2018-03-20</v>
          </cell>
          <cell r="I394">
            <v>42947</v>
          </cell>
          <cell r="J394" t="str">
            <v>CKD</v>
          </cell>
          <cell r="K394">
            <v>14.7</v>
          </cell>
        </row>
        <row r="395">
          <cell r="A395" t="str">
            <v>78W-5268</v>
          </cell>
          <cell r="B395" t="str">
            <v>TGS-26-4406X4BLS-LX-ALU</v>
          </cell>
          <cell r="E395">
            <v>466</v>
          </cell>
          <cell r="I395">
            <v>42338</v>
          </cell>
          <cell r="J395" t="str">
            <v>DEMO</v>
          </cell>
          <cell r="K395">
            <v>14.6</v>
          </cell>
        </row>
        <row r="396">
          <cell r="A396" t="str">
            <v>78W-5430</v>
          </cell>
          <cell r="B396" t="str">
            <v>TGS-26-4406X4BLS-LX-ALU</v>
          </cell>
          <cell r="E396">
            <v>298</v>
          </cell>
          <cell r="I396">
            <v>42384</v>
          </cell>
          <cell r="J396" t="str">
            <v>DEMO</v>
          </cell>
          <cell r="K396">
            <v>15.2</v>
          </cell>
        </row>
        <row r="397">
          <cell r="A397" t="str">
            <v>78W-5736</v>
          </cell>
          <cell r="B397" t="str">
            <v>TGS-26-4406X4BLS-LX-ALU</v>
          </cell>
          <cell r="E397">
            <v>66</v>
          </cell>
          <cell r="I397">
            <v>42712</v>
          </cell>
          <cell r="J397" t="str">
            <v>UNSOLD</v>
          </cell>
          <cell r="K397">
            <v>16</v>
          </cell>
        </row>
        <row r="398">
          <cell r="A398" t="str">
            <v>78W-5737</v>
          </cell>
          <cell r="B398" t="str">
            <v>TGS-26-4406X4BLS-LX-ALU</v>
          </cell>
          <cell r="E398">
            <v>66</v>
          </cell>
          <cell r="I398">
            <v>42712</v>
          </cell>
          <cell r="J398" t="str">
            <v>UNSOLD</v>
          </cell>
          <cell r="K398">
            <v>16</v>
          </cell>
        </row>
        <row r="399">
          <cell r="A399" t="str">
            <v>TBAKP666</v>
          </cell>
          <cell r="B399" t="str">
            <v>TGS-26-4406X4BLS-LX-ALU</v>
          </cell>
          <cell r="E399" t="str">
            <v>2018-02-15</v>
          </cell>
          <cell r="I399">
            <v>42921</v>
          </cell>
          <cell r="J399" t="str">
            <v>CKD</v>
          </cell>
          <cell r="K399">
            <v>14.7</v>
          </cell>
        </row>
        <row r="400">
          <cell r="A400">
            <v>46464</v>
          </cell>
          <cell r="B400" t="str">
            <v>TGS-26-4406X4BLS-LX-ALU-EL</v>
          </cell>
          <cell r="E400" t="str">
            <v>2017-09-15</v>
          </cell>
          <cell r="I400">
            <v>42804</v>
          </cell>
          <cell r="J400" t="str">
            <v>CKD</v>
          </cell>
          <cell r="K400">
            <v>15.4</v>
          </cell>
        </row>
        <row r="401">
          <cell r="A401">
            <v>46465</v>
          </cell>
          <cell r="B401" t="str">
            <v>TGS-26-4406X4BLS-LX-ALU-EL</v>
          </cell>
          <cell r="E401" t="str">
            <v>2017-09-18</v>
          </cell>
          <cell r="I401">
            <v>42804</v>
          </cell>
          <cell r="J401" t="str">
            <v>CKD</v>
          </cell>
          <cell r="K401">
            <v>15.4</v>
          </cell>
        </row>
        <row r="402">
          <cell r="A402">
            <v>46466</v>
          </cell>
          <cell r="B402" t="str">
            <v>TGS-26-4406X4BLS-LX-ALU-EL</v>
          </cell>
          <cell r="E402" t="str">
            <v>2017-09-18</v>
          </cell>
          <cell r="I402">
            <v>42804</v>
          </cell>
          <cell r="J402" t="str">
            <v>CKD</v>
          </cell>
          <cell r="K402">
            <v>15.4</v>
          </cell>
        </row>
        <row r="403">
          <cell r="A403">
            <v>46467</v>
          </cell>
          <cell r="B403" t="str">
            <v>TGS-26-4406X4BLS-LX-ALU-EL</v>
          </cell>
          <cell r="E403" t="str">
            <v>2017-09-18</v>
          </cell>
          <cell r="I403">
            <v>42804</v>
          </cell>
          <cell r="J403" t="str">
            <v>CKD</v>
          </cell>
          <cell r="K403">
            <v>15.4</v>
          </cell>
        </row>
        <row r="404">
          <cell r="A404">
            <v>46468</v>
          </cell>
          <cell r="B404" t="str">
            <v>TGS-26-4406X4BLS-LX-ALU-EL</v>
          </cell>
          <cell r="E404" t="str">
            <v>2017-09-18</v>
          </cell>
          <cell r="I404">
            <v>42804</v>
          </cell>
          <cell r="J404" t="str">
            <v>CKD</v>
          </cell>
          <cell r="K404">
            <v>15.4</v>
          </cell>
        </row>
        <row r="405">
          <cell r="A405">
            <v>46469</v>
          </cell>
          <cell r="B405" t="str">
            <v>TGS-26-4406X4BLS-LX-ALU-EL</v>
          </cell>
          <cell r="E405" t="str">
            <v>2017-09-18</v>
          </cell>
          <cell r="I405">
            <v>42804</v>
          </cell>
          <cell r="J405" t="str">
            <v>CKD</v>
          </cell>
          <cell r="K405">
            <v>15.4</v>
          </cell>
        </row>
        <row r="406">
          <cell r="A406">
            <v>46470</v>
          </cell>
          <cell r="B406" t="str">
            <v>TGS-26-4406X4BLS-LX-ALU-EL</v>
          </cell>
          <cell r="E406" t="str">
            <v>2017-09-18</v>
          </cell>
          <cell r="I406">
            <v>42804</v>
          </cell>
          <cell r="J406" t="str">
            <v>BOOKED : 2017-08-8</v>
          </cell>
          <cell r="K406">
            <v>15.4</v>
          </cell>
        </row>
        <row r="407">
          <cell r="A407">
            <v>46471</v>
          </cell>
          <cell r="B407" t="str">
            <v>TGS-26-4406X4BLS-LX-ALU-EL</v>
          </cell>
          <cell r="E407" t="str">
            <v>2017-09-18</v>
          </cell>
          <cell r="I407">
            <v>42804</v>
          </cell>
          <cell r="J407" t="str">
            <v>BOOKED : 2017-08-8</v>
          </cell>
          <cell r="K407">
            <v>15.4</v>
          </cell>
        </row>
        <row r="408">
          <cell r="A408">
            <v>46472</v>
          </cell>
          <cell r="B408" t="str">
            <v>TGS-26-4406X4BLS-LX-ALU-EL</v>
          </cell>
          <cell r="E408" t="str">
            <v>2017-09-18</v>
          </cell>
          <cell r="I408">
            <v>42804</v>
          </cell>
          <cell r="J408" t="str">
            <v>BOOKED : 2017-08-8</v>
          </cell>
          <cell r="K408">
            <v>15.4</v>
          </cell>
        </row>
        <row r="409">
          <cell r="A409">
            <v>46473</v>
          </cell>
          <cell r="B409" t="str">
            <v>TGS-26-4406X4BLS-LX-ALU-EL</v>
          </cell>
          <cell r="E409" t="str">
            <v>2017-09-19</v>
          </cell>
          <cell r="I409">
            <v>42804</v>
          </cell>
          <cell r="J409" t="str">
            <v>BOOKED : 2017-08-8</v>
          </cell>
          <cell r="K409">
            <v>15.4</v>
          </cell>
        </row>
        <row r="410">
          <cell r="A410">
            <v>46474</v>
          </cell>
          <cell r="B410" t="str">
            <v>TGS-26-4406X4BLS-LX-ALU-EL</v>
          </cell>
          <cell r="E410" t="str">
            <v>2017-09-19</v>
          </cell>
          <cell r="I410">
            <v>42804</v>
          </cell>
          <cell r="J410" t="str">
            <v>BOOKED : 2017-08-8</v>
          </cell>
          <cell r="K410">
            <v>15.4</v>
          </cell>
        </row>
        <row r="411">
          <cell r="A411">
            <v>46475</v>
          </cell>
          <cell r="B411" t="str">
            <v>TGS-26-4406X4BLS-LX-ALU-EL</v>
          </cell>
          <cell r="E411" t="str">
            <v>2017-09-19</v>
          </cell>
          <cell r="I411">
            <v>42804</v>
          </cell>
          <cell r="J411" t="str">
            <v>BOOKED : 2017-08-8</v>
          </cell>
          <cell r="K411">
            <v>15.4</v>
          </cell>
        </row>
        <row r="412">
          <cell r="A412">
            <v>46476</v>
          </cell>
          <cell r="B412" t="str">
            <v>TGS-26-4406X4BLS-LX-ALU-EL</v>
          </cell>
          <cell r="E412" t="str">
            <v>2017-09-19</v>
          </cell>
          <cell r="I412">
            <v>42804</v>
          </cell>
          <cell r="J412" t="str">
            <v>BOOKED : 2017-08-8</v>
          </cell>
          <cell r="K412">
            <v>15.4</v>
          </cell>
        </row>
        <row r="413">
          <cell r="A413">
            <v>46477</v>
          </cell>
          <cell r="B413" t="str">
            <v>TGS-26-4406X4BLS-LX-ALU-EL</v>
          </cell>
          <cell r="E413" t="str">
            <v>2017-09-19</v>
          </cell>
          <cell r="I413">
            <v>42804</v>
          </cell>
          <cell r="J413" t="str">
            <v>BOOKED : 2017-08-8</v>
          </cell>
          <cell r="K413">
            <v>15.4</v>
          </cell>
        </row>
        <row r="414">
          <cell r="A414">
            <v>46478</v>
          </cell>
          <cell r="B414" t="str">
            <v>TGS-26-4406X4BLS-LX-ALU-EL</v>
          </cell>
          <cell r="E414" t="str">
            <v>2017-09-19</v>
          </cell>
          <cell r="I414">
            <v>42804</v>
          </cell>
          <cell r="J414" t="str">
            <v>BOOKED : 2017-08-8</v>
          </cell>
          <cell r="K414">
            <v>15.4</v>
          </cell>
        </row>
        <row r="415">
          <cell r="A415">
            <v>46479</v>
          </cell>
          <cell r="B415" t="str">
            <v>TGS-26-4406X4BLS-LX-ALU-EL</v>
          </cell>
          <cell r="E415" t="str">
            <v>2017-09-19</v>
          </cell>
          <cell r="I415">
            <v>42804</v>
          </cell>
          <cell r="J415" t="str">
            <v>BOOKED : 2017-08-8</v>
          </cell>
          <cell r="K415">
            <v>15.4</v>
          </cell>
        </row>
        <row r="416">
          <cell r="A416">
            <v>46718</v>
          </cell>
          <cell r="B416" t="str">
            <v>TGS-26-4406X4BLS-LX-ALU-EL</v>
          </cell>
          <cell r="E416" t="str">
            <v>2017-10-12</v>
          </cell>
          <cell r="I416">
            <v>42838</v>
          </cell>
          <cell r="J416" t="str">
            <v>BOOKED : 2017-08-8</v>
          </cell>
          <cell r="K416">
            <v>14.7</v>
          </cell>
        </row>
        <row r="417">
          <cell r="A417">
            <v>46719</v>
          </cell>
          <cell r="B417" t="str">
            <v>TGS-26-4406X4BLS-LX-ALU-EL</v>
          </cell>
          <cell r="E417" t="str">
            <v>2017-10-12</v>
          </cell>
          <cell r="I417">
            <v>42838</v>
          </cell>
          <cell r="J417" t="str">
            <v>BOOKED : 2017-08-8</v>
          </cell>
          <cell r="K417">
            <v>14.7</v>
          </cell>
        </row>
        <row r="418">
          <cell r="A418">
            <v>46720</v>
          </cell>
          <cell r="B418" t="str">
            <v>TGS-26-4406X4BLS-LX-ALU-EL</v>
          </cell>
          <cell r="E418" t="str">
            <v>2017-10-12</v>
          </cell>
          <cell r="I418">
            <v>42838</v>
          </cell>
          <cell r="J418" t="str">
            <v>BOOKED : 2017-08-8</v>
          </cell>
          <cell r="K418">
            <v>14.7</v>
          </cell>
        </row>
        <row r="419">
          <cell r="A419">
            <v>46721</v>
          </cell>
          <cell r="B419" t="str">
            <v>TGS-26-4406X4BLS-LX-ALU-EL</v>
          </cell>
          <cell r="E419" t="str">
            <v>2017-10-13</v>
          </cell>
          <cell r="I419">
            <v>42838</v>
          </cell>
          <cell r="J419" t="str">
            <v>BOOKED : 2017-08-8</v>
          </cell>
          <cell r="K419">
            <v>14.7</v>
          </cell>
        </row>
        <row r="420">
          <cell r="A420">
            <v>46722</v>
          </cell>
          <cell r="B420" t="str">
            <v>TGS-26-4406X4BLS-LX-ALU-EL</v>
          </cell>
          <cell r="E420" t="str">
            <v>2017-10-13</v>
          </cell>
          <cell r="I420">
            <v>42838</v>
          </cell>
          <cell r="J420" t="str">
            <v>BOOKED : 2017-08-8</v>
          </cell>
          <cell r="K420">
            <v>14.7</v>
          </cell>
        </row>
        <row r="421">
          <cell r="A421">
            <v>46723</v>
          </cell>
          <cell r="B421" t="str">
            <v>TGS-26-4406X4BLS-LX-ALU-EL</v>
          </cell>
          <cell r="E421" t="str">
            <v>2017-10-13</v>
          </cell>
          <cell r="I421">
            <v>42838</v>
          </cell>
          <cell r="J421" t="str">
            <v>BOOKED : 2017-08-8</v>
          </cell>
          <cell r="K421">
            <v>14.7</v>
          </cell>
        </row>
        <row r="422">
          <cell r="A422">
            <v>46724</v>
          </cell>
          <cell r="B422" t="str">
            <v>TGS-26-4406X4BLS-LX-ALU-EL</v>
          </cell>
          <cell r="E422" t="str">
            <v>2017-10-13</v>
          </cell>
          <cell r="I422">
            <v>42838</v>
          </cell>
          <cell r="J422" t="str">
            <v>BOOKED : 2017-08-8</v>
          </cell>
          <cell r="K422">
            <v>14.7</v>
          </cell>
        </row>
        <row r="423">
          <cell r="A423">
            <v>46725</v>
          </cell>
          <cell r="B423" t="str">
            <v>TGS-26-4406X4BLS-LX-ALU-EL</v>
          </cell>
          <cell r="E423" t="str">
            <v>2017-10-13</v>
          </cell>
          <cell r="I423">
            <v>42838</v>
          </cell>
          <cell r="J423" t="str">
            <v>BOOKED : 2017-08-8</v>
          </cell>
          <cell r="K423">
            <v>14.7</v>
          </cell>
        </row>
        <row r="424">
          <cell r="A424">
            <v>46960</v>
          </cell>
          <cell r="B424" t="str">
            <v>TGS-26-4406X4BLS-LX-ALU-EL</v>
          </cell>
          <cell r="E424" t="str">
            <v>2017-11-1</v>
          </cell>
          <cell r="I424">
            <v>42859</v>
          </cell>
          <cell r="J424" t="str">
            <v>CKD</v>
          </cell>
          <cell r="K424">
            <v>14.7</v>
          </cell>
        </row>
        <row r="425">
          <cell r="A425">
            <v>46961</v>
          </cell>
          <cell r="B425" t="str">
            <v>TGS-26-4406X4BLS-LX-ALU-EL</v>
          </cell>
          <cell r="E425" t="str">
            <v>2017-11-1</v>
          </cell>
          <cell r="I425">
            <v>42859</v>
          </cell>
          <cell r="J425" t="str">
            <v>CKD</v>
          </cell>
          <cell r="K425">
            <v>14.7</v>
          </cell>
        </row>
        <row r="426">
          <cell r="A426">
            <v>46962</v>
          </cell>
          <cell r="B426" t="str">
            <v>TGS-26-4406X4BLS-LX-ALU-EL</v>
          </cell>
          <cell r="E426" t="str">
            <v>2017-11-1</v>
          </cell>
          <cell r="I426">
            <v>42859</v>
          </cell>
          <cell r="J426" t="str">
            <v>CKD</v>
          </cell>
          <cell r="K426">
            <v>14.7</v>
          </cell>
        </row>
        <row r="427">
          <cell r="A427">
            <v>46963</v>
          </cell>
          <cell r="B427" t="str">
            <v>TGS-26-4406X4BLS-LX-ALU-EL</v>
          </cell>
          <cell r="E427" t="str">
            <v>2017-11-2</v>
          </cell>
          <cell r="I427">
            <v>42859</v>
          </cell>
          <cell r="J427" t="str">
            <v>CKD</v>
          </cell>
          <cell r="K427">
            <v>14.7</v>
          </cell>
        </row>
        <row r="428">
          <cell r="A428">
            <v>46964</v>
          </cell>
          <cell r="B428" t="str">
            <v>TGS-26-4406X4BLS-LX-ALU-EL</v>
          </cell>
          <cell r="E428" t="str">
            <v>2017-11-2</v>
          </cell>
          <cell r="I428">
            <v>42859</v>
          </cell>
          <cell r="J428" t="str">
            <v>CKD</v>
          </cell>
          <cell r="K428">
            <v>14.7</v>
          </cell>
        </row>
        <row r="429">
          <cell r="A429">
            <v>46965</v>
          </cell>
          <cell r="B429" t="str">
            <v>TGS-26-4406X4BLS-LX-ALU-EL</v>
          </cell>
          <cell r="E429" t="str">
            <v>2017-11-2</v>
          </cell>
          <cell r="I429">
            <v>42859</v>
          </cell>
          <cell r="J429" t="str">
            <v>CKD</v>
          </cell>
          <cell r="K429">
            <v>14.7</v>
          </cell>
        </row>
        <row r="430">
          <cell r="A430">
            <v>46966</v>
          </cell>
          <cell r="B430" t="str">
            <v>TGS-26-4406X4BLS-LX-ALU-EL</v>
          </cell>
          <cell r="E430" t="str">
            <v>2017-11-2</v>
          </cell>
          <cell r="I430">
            <v>42859</v>
          </cell>
          <cell r="J430" t="str">
            <v>CKD</v>
          </cell>
          <cell r="K430">
            <v>14.7</v>
          </cell>
        </row>
        <row r="431">
          <cell r="A431">
            <v>46967</v>
          </cell>
          <cell r="B431" t="str">
            <v>TGS-26-4406X4BLS-LX-ALU-EL</v>
          </cell>
          <cell r="E431" t="str">
            <v>2017-11-2</v>
          </cell>
          <cell r="I431">
            <v>42859</v>
          </cell>
          <cell r="J431" t="str">
            <v>CKD</v>
          </cell>
          <cell r="K431">
            <v>14.7</v>
          </cell>
        </row>
        <row r="432">
          <cell r="A432">
            <v>46968</v>
          </cell>
          <cell r="B432" t="str">
            <v>TGS-26-4406X4BLS-LX-ALU-EL</v>
          </cell>
          <cell r="E432" t="str">
            <v>2017-12-4</v>
          </cell>
          <cell r="I432">
            <v>42859</v>
          </cell>
          <cell r="J432" t="str">
            <v>CKD</v>
          </cell>
          <cell r="K432">
            <v>14.7</v>
          </cell>
        </row>
        <row r="433">
          <cell r="A433">
            <v>46969</v>
          </cell>
          <cell r="B433" t="str">
            <v>TGS-26-4406X4BLS-LX-ALU-EL</v>
          </cell>
          <cell r="E433" t="str">
            <v>2017-12-4</v>
          </cell>
          <cell r="I433">
            <v>42859</v>
          </cell>
          <cell r="J433" t="str">
            <v>CKD</v>
          </cell>
          <cell r="K433">
            <v>14.7</v>
          </cell>
        </row>
        <row r="434">
          <cell r="A434">
            <v>46970</v>
          </cell>
          <cell r="B434" t="str">
            <v>TGS-26-4406X4BLS-LX-ALU-EL</v>
          </cell>
          <cell r="E434" t="str">
            <v>2017-12-4</v>
          </cell>
          <cell r="I434">
            <v>42859</v>
          </cell>
          <cell r="J434" t="str">
            <v>CKD</v>
          </cell>
          <cell r="K434">
            <v>14.7</v>
          </cell>
        </row>
        <row r="435">
          <cell r="A435">
            <v>46971</v>
          </cell>
          <cell r="B435" t="str">
            <v>TGS-26-4406X4BLS-LX-ALU-EL</v>
          </cell>
          <cell r="E435" t="str">
            <v>2017-12-4</v>
          </cell>
          <cell r="I435">
            <v>42859</v>
          </cell>
          <cell r="J435" t="str">
            <v>CKD</v>
          </cell>
          <cell r="K435">
            <v>14.7</v>
          </cell>
        </row>
        <row r="436">
          <cell r="A436">
            <v>46972</v>
          </cell>
          <cell r="B436" t="str">
            <v>TGS-26-4406X4BLS-LX-ALU-EL</v>
          </cell>
          <cell r="E436" t="str">
            <v>2017-12-5</v>
          </cell>
          <cell r="I436">
            <v>42859</v>
          </cell>
          <cell r="J436" t="str">
            <v>CKD</v>
          </cell>
          <cell r="K436">
            <v>14.7</v>
          </cell>
        </row>
        <row r="437">
          <cell r="A437">
            <v>46973</v>
          </cell>
          <cell r="B437" t="str">
            <v>TGS-26-4406X4BLS-LX-ALU-EL</v>
          </cell>
          <cell r="E437" t="str">
            <v>2017-12-5</v>
          </cell>
          <cell r="I437">
            <v>42859</v>
          </cell>
          <cell r="J437" t="str">
            <v>CKD</v>
          </cell>
          <cell r="K437">
            <v>14.7</v>
          </cell>
        </row>
        <row r="438">
          <cell r="A438">
            <v>46974</v>
          </cell>
          <cell r="B438" t="str">
            <v>TGS-26-4406X4BLS-LX-ALU-EL</v>
          </cell>
          <cell r="E438" t="str">
            <v>2017-12-5</v>
          </cell>
          <cell r="I438">
            <v>42859</v>
          </cell>
          <cell r="J438" t="str">
            <v>CKD</v>
          </cell>
          <cell r="K438">
            <v>14.7</v>
          </cell>
        </row>
        <row r="439">
          <cell r="A439">
            <v>46975</v>
          </cell>
          <cell r="B439" t="str">
            <v>TGS-26-4406X4BLS-LX-ALU-EL</v>
          </cell>
          <cell r="E439" t="str">
            <v>2017-12-5</v>
          </cell>
          <cell r="I439">
            <v>42859</v>
          </cell>
          <cell r="J439" t="str">
            <v>CKD</v>
          </cell>
          <cell r="K439">
            <v>14.7</v>
          </cell>
        </row>
        <row r="440">
          <cell r="A440">
            <v>46976</v>
          </cell>
          <cell r="B440" t="str">
            <v>TGS-26-4406X4BLS-LX-ALU-EL</v>
          </cell>
          <cell r="E440" t="str">
            <v>2017-12-8</v>
          </cell>
          <cell r="I440">
            <v>42859</v>
          </cell>
          <cell r="J440" t="str">
            <v>CKD</v>
          </cell>
          <cell r="K440">
            <v>14.7</v>
          </cell>
        </row>
        <row r="441">
          <cell r="A441">
            <v>46977</v>
          </cell>
          <cell r="B441" t="str">
            <v>TGS-26-4406X4BLS-LX-ALU-EL</v>
          </cell>
          <cell r="E441" t="str">
            <v>2017-12-8</v>
          </cell>
          <cell r="I441">
            <v>42859</v>
          </cell>
          <cell r="J441" t="str">
            <v>CKD</v>
          </cell>
          <cell r="K441">
            <v>14.7</v>
          </cell>
        </row>
        <row r="442">
          <cell r="A442">
            <v>46978</v>
          </cell>
          <cell r="B442" t="str">
            <v>TGS-26-4406X4BLS-LX-ALU-EL</v>
          </cell>
          <cell r="E442" t="str">
            <v>2017-12-8</v>
          </cell>
          <cell r="I442">
            <v>42859</v>
          </cell>
          <cell r="J442" t="str">
            <v>CKD</v>
          </cell>
          <cell r="K442">
            <v>14.7</v>
          </cell>
        </row>
        <row r="443">
          <cell r="A443">
            <v>46979</v>
          </cell>
          <cell r="B443" t="str">
            <v>TGS-26-4406X4BLS-LX-ALU-EL</v>
          </cell>
          <cell r="E443" t="str">
            <v>2017-12-8</v>
          </cell>
          <cell r="I443">
            <v>42859</v>
          </cell>
          <cell r="J443" t="str">
            <v>CKD</v>
          </cell>
          <cell r="K443">
            <v>14.7</v>
          </cell>
        </row>
        <row r="444">
          <cell r="A444">
            <v>46980</v>
          </cell>
          <cell r="B444" t="str">
            <v>TGS-26-4406X4BLS-LX-ALU-EL</v>
          </cell>
          <cell r="E444" t="str">
            <v>2017-12-8</v>
          </cell>
          <cell r="I444">
            <v>42859</v>
          </cell>
          <cell r="J444" t="str">
            <v>CKD</v>
          </cell>
          <cell r="K444">
            <v>14.7</v>
          </cell>
        </row>
        <row r="445">
          <cell r="A445">
            <v>46981</v>
          </cell>
          <cell r="B445" t="str">
            <v>TGS-26-4406X4BLS-LX-ALU-EL</v>
          </cell>
          <cell r="E445" t="str">
            <v>2017-12-11</v>
          </cell>
          <cell r="I445">
            <v>42859</v>
          </cell>
          <cell r="J445" t="str">
            <v>CKD</v>
          </cell>
          <cell r="K445">
            <v>14.7</v>
          </cell>
        </row>
        <row r="446">
          <cell r="A446">
            <v>46982</v>
          </cell>
          <cell r="B446" t="str">
            <v>TGS-26-4406X4BLS-LX-ALU-EL</v>
          </cell>
          <cell r="E446" t="str">
            <v>2017-12-11</v>
          </cell>
          <cell r="I446">
            <v>42859</v>
          </cell>
          <cell r="J446" t="str">
            <v>CKD</v>
          </cell>
          <cell r="K446">
            <v>14.7</v>
          </cell>
        </row>
        <row r="447">
          <cell r="A447">
            <v>46983</v>
          </cell>
          <cell r="B447" t="str">
            <v>TGS-26-4406X4BLS-LX-ALU-EL</v>
          </cell>
          <cell r="E447" t="str">
            <v>2017-12-11</v>
          </cell>
          <cell r="I447">
            <v>42859</v>
          </cell>
          <cell r="J447" t="str">
            <v>CKD</v>
          </cell>
          <cell r="K447">
            <v>14.7</v>
          </cell>
        </row>
        <row r="448">
          <cell r="A448">
            <v>47779</v>
          </cell>
          <cell r="B448" t="str">
            <v>TGS-26-4406X4BLS-LX-ALU-EL</v>
          </cell>
          <cell r="E448" t="str">
            <v>2018-03-10</v>
          </cell>
          <cell r="I448">
            <v>42947</v>
          </cell>
          <cell r="J448" t="str">
            <v>CKD</v>
          </cell>
          <cell r="K448">
            <v>14.7</v>
          </cell>
        </row>
        <row r="449">
          <cell r="A449">
            <v>47780</v>
          </cell>
          <cell r="B449" t="str">
            <v>TGS-26-4406X4BLS-LX-ALU-EL</v>
          </cell>
          <cell r="E449" t="str">
            <v>2018-03-10</v>
          </cell>
          <cell r="I449">
            <v>42947</v>
          </cell>
          <cell r="J449" t="str">
            <v>CKD</v>
          </cell>
          <cell r="K449">
            <v>14.7</v>
          </cell>
        </row>
        <row r="450">
          <cell r="A450">
            <v>47781</v>
          </cell>
          <cell r="B450" t="str">
            <v>TGS-26-4406X4BLS-LX-ALU-EL</v>
          </cell>
          <cell r="E450" t="str">
            <v>2018-03-10</v>
          </cell>
          <cell r="I450">
            <v>42947</v>
          </cell>
          <cell r="J450" t="str">
            <v>CKD</v>
          </cell>
          <cell r="K450">
            <v>14.7</v>
          </cell>
        </row>
        <row r="451">
          <cell r="A451">
            <v>47782</v>
          </cell>
          <cell r="B451" t="str">
            <v>TGS-26-4406X4BLS-LX-ALU-EL</v>
          </cell>
          <cell r="E451" t="str">
            <v>2018-03-10</v>
          </cell>
          <cell r="I451">
            <v>42947</v>
          </cell>
          <cell r="J451" t="str">
            <v>CKD</v>
          </cell>
          <cell r="K451">
            <v>14.7</v>
          </cell>
        </row>
        <row r="452">
          <cell r="A452">
            <v>47783</v>
          </cell>
          <cell r="B452" t="str">
            <v>TGS-26-4406X4BLS-LX-ALU-EL</v>
          </cell>
          <cell r="E452" t="str">
            <v>2018-03-15</v>
          </cell>
          <cell r="I452">
            <v>42947</v>
          </cell>
          <cell r="J452" t="str">
            <v>CKD</v>
          </cell>
          <cell r="K452">
            <v>14.7</v>
          </cell>
        </row>
        <row r="453">
          <cell r="A453">
            <v>47784</v>
          </cell>
          <cell r="B453" t="str">
            <v>TGS-26-4406X4BLS-LX-ALU-EL</v>
          </cell>
          <cell r="E453" t="str">
            <v>2018-03-15</v>
          </cell>
          <cell r="I453">
            <v>42947</v>
          </cell>
          <cell r="J453" t="str">
            <v>CKD</v>
          </cell>
          <cell r="K453">
            <v>14.7</v>
          </cell>
        </row>
        <row r="454">
          <cell r="A454">
            <v>47785</v>
          </cell>
          <cell r="B454" t="str">
            <v>TGS-26-4406X4BLS-LX-ALU-EL</v>
          </cell>
          <cell r="E454" t="str">
            <v>2018-03-15</v>
          </cell>
          <cell r="I454">
            <v>42947</v>
          </cell>
          <cell r="J454" t="str">
            <v>CKD</v>
          </cell>
          <cell r="K454">
            <v>14.7</v>
          </cell>
        </row>
        <row r="455">
          <cell r="A455">
            <v>47786</v>
          </cell>
          <cell r="B455" t="str">
            <v>TGS-26-4406X4BLS-LX-ALU-EL</v>
          </cell>
          <cell r="E455" t="str">
            <v>2018-03-15</v>
          </cell>
          <cell r="I455">
            <v>42947</v>
          </cell>
          <cell r="J455" t="str">
            <v>CKD</v>
          </cell>
          <cell r="K455">
            <v>14.7</v>
          </cell>
        </row>
        <row r="456">
          <cell r="A456">
            <v>47787</v>
          </cell>
          <cell r="B456" t="str">
            <v>TGS-26-4406X4BLS-LX-ALU-EL</v>
          </cell>
          <cell r="E456" t="str">
            <v>2018-03-20</v>
          </cell>
          <cell r="I456">
            <v>42947</v>
          </cell>
          <cell r="J456" t="str">
            <v>CKD</v>
          </cell>
          <cell r="K456">
            <v>14.7</v>
          </cell>
        </row>
        <row r="457">
          <cell r="A457">
            <v>47788</v>
          </cell>
          <cell r="B457" t="str">
            <v>TGS-26-4406X4BLS-LX-ALU-EL</v>
          </cell>
          <cell r="E457" t="str">
            <v>2018-03-20</v>
          </cell>
          <cell r="I457">
            <v>42947</v>
          </cell>
          <cell r="J457" t="str">
            <v>CKD</v>
          </cell>
          <cell r="K457">
            <v>14.7</v>
          </cell>
        </row>
        <row r="458">
          <cell r="A458">
            <v>47789</v>
          </cell>
          <cell r="B458" t="str">
            <v>TGS-26-4406X4BLS-LX-ALU-EL</v>
          </cell>
          <cell r="E458" t="str">
            <v>2018-03-20</v>
          </cell>
          <cell r="I458">
            <v>42947</v>
          </cell>
          <cell r="J458" t="str">
            <v>CKD</v>
          </cell>
          <cell r="K458">
            <v>14.7</v>
          </cell>
        </row>
        <row r="459">
          <cell r="A459">
            <v>47790</v>
          </cell>
          <cell r="B459" t="str">
            <v>TGS-26-4406X4BLS-LX-ALU-EL</v>
          </cell>
          <cell r="E459" t="str">
            <v>2018-03-20</v>
          </cell>
          <cell r="I459">
            <v>42947</v>
          </cell>
          <cell r="J459" t="str">
            <v>CKD</v>
          </cell>
          <cell r="K459">
            <v>14.7</v>
          </cell>
        </row>
        <row r="460">
          <cell r="A460" t="str">
            <v>78W-5247</v>
          </cell>
          <cell r="B460" t="str">
            <v>TGS-26-4406X4BLS-LX-ALU-EL</v>
          </cell>
          <cell r="E460">
            <v>486</v>
          </cell>
          <cell r="I460">
            <v>42338</v>
          </cell>
          <cell r="J460" t="str">
            <v>DEMO</v>
          </cell>
          <cell r="K460">
            <v>14.6</v>
          </cell>
        </row>
        <row r="461">
          <cell r="A461" t="str">
            <v>78W-5255</v>
          </cell>
          <cell r="B461" t="str">
            <v>TGS-26-4406X4BLS-LX-ALU-EL</v>
          </cell>
          <cell r="E461">
            <v>430</v>
          </cell>
          <cell r="I461">
            <v>42338</v>
          </cell>
          <cell r="J461" t="str">
            <v>DEMO</v>
          </cell>
          <cell r="K461">
            <v>14.6</v>
          </cell>
        </row>
        <row r="462">
          <cell r="A462" t="str">
            <v>78W-5351</v>
          </cell>
          <cell r="B462" t="str">
            <v>TGS-26-4406X4BLS-LX-ALU-EL</v>
          </cell>
          <cell r="E462">
            <v>415</v>
          </cell>
          <cell r="I462">
            <v>42355</v>
          </cell>
          <cell r="J462" t="str">
            <v>DEMO</v>
          </cell>
          <cell r="K462">
            <v>15.2</v>
          </cell>
        </row>
        <row r="463">
          <cell r="A463" t="str">
            <v>78W-5669</v>
          </cell>
          <cell r="B463" t="str">
            <v>TGS-26-4406X4BLS-LX-ALU-EL</v>
          </cell>
          <cell r="E463">
            <v>150</v>
          </cell>
          <cell r="I463">
            <v>42667</v>
          </cell>
          <cell r="J463" t="str">
            <v>DEMO</v>
          </cell>
          <cell r="K463">
            <v>16</v>
          </cell>
        </row>
        <row r="464">
          <cell r="A464" t="str">
            <v>78W-5741</v>
          </cell>
          <cell r="B464" t="str">
            <v>TGS-26-4406X4BLS-LX-ALU-EL</v>
          </cell>
          <cell r="E464">
            <v>31</v>
          </cell>
          <cell r="I464">
            <v>42712</v>
          </cell>
          <cell r="J464" t="str">
            <v>BOOKED : 2017-08-8</v>
          </cell>
          <cell r="K464">
            <v>16</v>
          </cell>
        </row>
        <row r="465">
          <cell r="A465" t="str">
            <v>78W-5743</v>
          </cell>
          <cell r="B465" t="str">
            <v>TGS-26-4406X4BLS-LX-ALU-EL</v>
          </cell>
          <cell r="E465">
            <v>17</v>
          </cell>
          <cell r="I465">
            <v>42712</v>
          </cell>
          <cell r="J465" t="str">
            <v>BOOKED : 2017-08-8</v>
          </cell>
          <cell r="K465">
            <v>16</v>
          </cell>
        </row>
        <row r="466">
          <cell r="A466" t="str">
            <v>78W-5792</v>
          </cell>
          <cell r="B466" t="str">
            <v>TGS-26-4406X4BLS-LX-ALU-EL</v>
          </cell>
          <cell r="E466">
            <v>37</v>
          </cell>
          <cell r="I466">
            <v>42784</v>
          </cell>
          <cell r="J466" t="str">
            <v>BOOKED : 2017-08-8</v>
          </cell>
          <cell r="K466">
            <v>15.4</v>
          </cell>
        </row>
        <row r="467">
          <cell r="A467" t="str">
            <v>78W-5797</v>
          </cell>
          <cell r="B467" t="str">
            <v>TGS-26-4406X4BLS-LX-ALU-EL</v>
          </cell>
          <cell r="E467">
            <v>37</v>
          </cell>
          <cell r="I467">
            <v>42784</v>
          </cell>
          <cell r="J467" t="str">
            <v>BOOKED : 2017-08-8</v>
          </cell>
          <cell r="K467">
            <v>15.4</v>
          </cell>
        </row>
        <row r="468">
          <cell r="A468" t="str">
            <v>78W-5914</v>
          </cell>
          <cell r="B468" t="str">
            <v>TGS-26-4406X4BLS-LX-ALU-EL</v>
          </cell>
          <cell r="E468" t="str">
            <v>2017-09-7</v>
          </cell>
          <cell r="I468">
            <v>42838</v>
          </cell>
          <cell r="J468" t="str">
            <v>BOOKED : 2017-08-8</v>
          </cell>
          <cell r="K468">
            <v>14.7</v>
          </cell>
        </row>
        <row r="469">
          <cell r="A469" t="str">
            <v>78W-5915</v>
          </cell>
          <cell r="B469" t="str">
            <v>TGS-26-4406X4BLS-LX-ALU-EL</v>
          </cell>
          <cell r="E469" t="str">
            <v>2017-09-7</v>
          </cell>
          <cell r="I469">
            <v>42838</v>
          </cell>
          <cell r="J469" t="str">
            <v>BOOKED : 2017-08-8</v>
          </cell>
          <cell r="K469">
            <v>14.7</v>
          </cell>
        </row>
        <row r="470">
          <cell r="A470" t="str">
            <v>78W-5916</v>
          </cell>
          <cell r="B470" t="str">
            <v>TGS-26-4406X4BLS-LX-ALU-EL</v>
          </cell>
          <cell r="E470" t="str">
            <v>2017-09-7</v>
          </cell>
          <cell r="I470">
            <v>42838</v>
          </cell>
          <cell r="J470" t="str">
            <v>CKD</v>
          </cell>
          <cell r="K470">
            <v>14.7</v>
          </cell>
        </row>
        <row r="471">
          <cell r="A471" t="str">
            <v>78W-5917</v>
          </cell>
          <cell r="B471" t="str">
            <v>TGS-26-4406X4BLS-LX-ALU-EL</v>
          </cell>
          <cell r="E471" t="str">
            <v>2017-09-7</v>
          </cell>
          <cell r="I471">
            <v>42838</v>
          </cell>
          <cell r="J471" t="str">
            <v>CKD</v>
          </cell>
          <cell r="K471">
            <v>14.7</v>
          </cell>
        </row>
        <row r="472">
          <cell r="A472" t="str">
            <v>78W-5922</v>
          </cell>
          <cell r="B472" t="str">
            <v>TGS-26-4406X4BLS-LX-ALU-EL</v>
          </cell>
          <cell r="E472" t="str">
            <v>2017-10-24</v>
          </cell>
          <cell r="I472">
            <v>42838</v>
          </cell>
          <cell r="J472" t="str">
            <v>CKD</v>
          </cell>
          <cell r="K472">
            <v>14.7</v>
          </cell>
        </row>
        <row r="473">
          <cell r="A473" t="str">
            <v>78W-5923</v>
          </cell>
          <cell r="B473" t="str">
            <v>TGS-26-4406X4BLS-LX-ALU-EL</v>
          </cell>
          <cell r="E473" t="str">
            <v>2017-10-24</v>
          </cell>
          <cell r="I473">
            <v>42838</v>
          </cell>
          <cell r="J473" t="str">
            <v>CKD</v>
          </cell>
          <cell r="K473">
            <v>14.7</v>
          </cell>
        </row>
        <row r="474">
          <cell r="A474" t="str">
            <v>78W-5924</v>
          </cell>
          <cell r="B474" t="str">
            <v>TGS-26-4406X4BLS-LX-ALU-EL</v>
          </cell>
          <cell r="E474" t="str">
            <v>2017-10-24</v>
          </cell>
          <cell r="I474">
            <v>42838</v>
          </cell>
          <cell r="J474" t="str">
            <v>CKD</v>
          </cell>
          <cell r="K474">
            <v>14.7</v>
          </cell>
        </row>
        <row r="475">
          <cell r="A475" t="str">
            <v>78W-5925</v>
          </cell>
          <cell r="B475" t="str">
            <v>TGS-26-4406X4BLS-LX-ALU-EL</v>
          </cell>
          <cell r="E475" t="str">
            <v>2017-10-25</v>
          </cell>
          <cell r="I475">
            <v>42838</v>
          </cell>
          <cell r="J475" t="str">
            <v>CKD</v>
          </cell>
          <cell r="K475">
            <v>14.7</v>
          </cell>
        </row>
        <row r="476">
          <cell r="A476" t="str">
            <v>TBAKP707</v>
          </cell>
          <cell r="B476" t="str">
            <v>TGS-26-4406X4BLS-LX-ALU-EL</v>
          </cell>
          <cell r="E476" t="str">
            <v>2018-02-15</v>
          </cell>
          <cell r="I476">
            <v>42921</v>
          </cell>
          <cell r="J476" t="str">
            <v>CKD</v>
          </cell>
          <cell r="K476">
            <v>14.7</v>
          </cell>
        </row>
        <row r="477">
          <cell r="A477" t="str">
            <v>78W-5236</v>
          </cell>
          <cell r="B477" t="str">
            <v>TGS-26-4406X4BLS-M</v>
          </cell>
          <cell r="E477">
            <v>492</v>
          </cell>
          <cell r="I477">
            <v>42306</v>
          </cell>
          <cell r="J477" t="str">
            <v>DEMO</v>
          </cell>
          <cell r="K477">
            <v>14.6</v>
          </cell>
        </row>
        <row r="478">
          <cell r="A478">
            <v>47052</v>
          </cell>
          <cell r="B478" t="str">
            <v>TGS-26-4806X4BLS-LX</v>
          </cell>
          <cell r="E478" t="str">
            <v>2017-11-2</v>
          </cell>
          <cell r="I478">
            <v>42859</v>
          </cell>
          <cell r="J478" t="str">
            <v>CKD</v>
          </cell>
          <cell r="K478">
            <v>14.7</v>
          </cell>
        </row>
        <row r="479">
          <cell r="A479">
            <v>47053</v>
          </cell>
          <cell r="B479" t="str">
            <v>TGS-26-4806X4BLS-LX</v>
          </cell>
          <cell r="E479" t="str">
            <v>2017-11-2</v>
          </cell>
          <cell r="I479">
            <v>42859</v>
          </cell>
          <cell r="J479" t="str">
            <v>CKD</v>
          </cell>
          <cell r="K479">
            <v>14.7</v>
          </cell>
        </row>
        <row r="480">
          <cell r="A480">
            <v>47054</v>
          </cell>
          <cell r="B480" t="str">
            <v>TGS-26-4806X4BLS-LX</v>
          </cell>
          <cell r="E480" t="str">
            <v>2017-11-2</v>
          </cell>
          <cell r="I480">
            <v>42859</v>
          </cell>
          <cell r="J480" t="str">
            <v>CKD</v>
          </cell>
          <cell r="K480">
            <v>14.7</v>
          </cell>
        </row>
        <row r="481">
          <cell r="A481">
            <v>47055</v>
          </cell>
          <cell r="B481" t="str">
            <v>TGS-26-4806X4BLS-LX</v>
          </cell>
          <cell r="E481" t="str">
            <v>2017-11-3</v>
          </cell>
          <cell r="I481">
            <v>42859</v>
          </cell>
          <cell r="J481" t="str">
            <v>CKD</v>
          </cell>
          <cell r="K481">
            <v>14.7</v>
          </cell>
        </row>
        <row r="482">
          <cell r="A482" t="str">
            <v>TBAKP635</v>
          </cell>
          <cell r="B482" t="str">
            <v>TGS-26-4806X4BLS-LX</v>
          </cell>
          <cell r="E482" t="str">
            <v>2018-02-15</v>
          </cell>
          <cell r="I482">
            <v>42921</v>
          </cell>
          <cell r="J482" t="str">
            <v>CKD</v>
          </cell>
          <cell r="K482">
            <v>14.7</v>
          </cell>
        </row>
        <row r="483">
          <cell r="A483">
            <v>47412</v>
          </cell>
          <cell r="B483" t="str">
            <v>TGS-26-4806X4BLS-LX-EL</v>
          </cell>
          <cell r="E483" t="str">
            <v>2017-11-10</v>
          </cell>
          <cell r="I483">
            <v>42937</v>
          </cell>
          <cell r="J483" t="str">
            <v>CKD</v>
          </cell>
          <cell r="K483">
            <v>14.7</v>
          </cell>
        </row>
        <row r="484">
          <cell r="A484">
            <v>47413</v>
          </cell>
          <cell r="B484" t="str">
            <v>TGS-26-4806X4BLS-LX-EL</v>
          </cell>
          <cell r="E484" t="str">
            <v>2017-11-10</v>
          </cell>
          <cell r="I484">
            <v>42937</v>
          </cell>
          <cell r="J484" t="str">
            <v>CKD</v>
          </cell>
          <cell r="K484">
            <v>14.7</v>
          </cell>
        </row>
        <row r="485">
          <cell r="A485">
            <v>47414</v>
          </cell>
          <cell r="B485" t="str">
            <v>TGS-26-4806X4BLS-LX-EL</v>
          </cell>
          <cell r="E485" t="str">
            <v>2017-11-10</v>
          </cell>
          <cell r="I485">
            <v>42937</v>
          </cell>
          <cell r="J485" t="str">
            <v>CKD</v>
          </cell>
          <cell r="K485">
            <v>14.7</v>
          </cell>
        </row>
        <row r="486">
          <cell r="A486">
            <v>47415</v>
          </cell>
          <cell r="B486" t="str">
            <v>TGS-26-4806X4BLS-LX-EL</v>
          </cell>
          <cell r="E486" t="str">
            <v>2017-11-10</v>
          </cell>
          <cell r="I486">
            <v>42937</v>
          </cell>
          <cell r="J486" t="str">
            <v>CKD</v>
          </cell>
          <cell r="K486">
            <v>14.7</v>
          </cell>
        </row>
        <row r="487">
          <cell r="A487">
            <v>47416</v>
          </cell>
          <cell r="B487" t="str">
            <v>TGS-26-4806X4BLS-LX-EL</v>
          </cell>
          <cell r="E487" t="str">
            <v>2017-11-10</v>
          </cell>
          <cell r="I487">
            <v>42937</v>
          </cell>
          <cell r="J487" t="str">
            <v>CKD</v>
          </cell>
          <cell r="K487">
            <v>14.7</v>
          </cell>
        </row>
        <row r="488">
          <cell r="A488">
            <v>47417</v>
          </cell>
          <cell r="B488" t="str">
            <v>TGS-26-4806X4BLS-LX-EL</v>
          </cell>
          <cell r="E488" t="str">
            <v>2017-11-10</v>
          </cell>
          <cell r="I488">
            <v>42937</v>
          </cell>
          <cell r="J488" t="str">
            <v>CKD</v>
          </cell>
          <cell r="K488">
            <v>14.7</v>
          </cell>
        </row>
        <row r="489">
          <cell r="A489">
            <v>47418</v>
          </cell>
          <cell r="B489" t="str">
            <v>TGS-26-4806X4BLS-LX-EL</v>
          </cell>
          <cell r="E489" t="str">
            <v>2017-11-10</v>
          </cell>
          <cell r="I489">
            <v>42937</v>
          </cell>
          <cell r="J489" t="str">
            <v>CKD</v>
          </cell>
          <cell r="K489">
            <v>14.7</v>
          </cell>
        </row>
        <row r="490">
          <cell r="A490">
            <v>47419</v>
          </cell>
          <cell r="B490" t="str">
            <v>TGS-26-4806X4BLS-LX-EL</v>
          </cell>
          <cell r="E490" t="str">
            <v>2017-11-10</v>
          </cell>
          <cell r="I490">
            <v>42937</v>
          </cell>
          <cell r="J490" t="str">
            <v>CKD</v>
          </cell>
          <cell r="K490">
            <v>14.7</v>
          </cell>
        </row>
        <row r="491">
          <cell r="A491">
            <v>47420</v>
          </cell>
          <cell r="B491" t="str">
            <v>TGS-26-4806X4BLS-LX-EL</v>
          </cell>
          <cell r="E491" t="str">
            <v>2017-11-15</v>
          </cell>
          <cell r="I491">
            <v>42937</v>
          </cell>
          <cell r="J491" t="str">
            <v>CKD</v>
          </cell>
          <cell r="K491">
            <v>14.7</v>
          </cell>
        </row>
        <row r="492">
          <cell r="A492">
            <v>47421</v>
          </cell>
          <cell r="B492" t="str">
            <v>TGS-26-4806X4BLS-LX-EL</v>
          </cell>
          <cell r="E492" t="str">
            <v>2017-11-15</v>
          </cell>
          <cell r="I492">
            <v>42937</v>
          </cell>
          <cell r="J492" t="str">
            <v>CKD</v>
          </cell>
          <cell r="K492">
            <v>14.7</v>
          </cell>
        </row>
        <row r="493">
          <cell r="A493">
            <v>47422</v>
          </cell>
          <cell r="B493" t="str">
            <v>TGS-26-4806X4BLS-LX-EL</v>
          </cell>
          <cell r="E493" t="str">
            <v>2017-11-15</v>
          </cell>
          <cell r="I493">
            <v>42937</v>
          </cell>
          <cell r="J493" t="str">
            <v>CKD</v>
          </cell>
          <cell r="K493">
            <v>14.7</v>
          </cell>
        </row>
        <row r="494">
          <cell r="A494">
            <v>47423</v>
          </cell>
          <cell r="B494" t="str">
            <v>TGS-26-4806X4BLS-LX-EL</v>
          </cell>
          <cell r="E494" t="str">
            <v>2017-11-15</v>
          </cell>
          <cell r="I494">
            <v>42937</v>
          </cell>
          <cell r="J494" t="str">
            <v>CKD</v>
          </cell>
          <cell r="K494">
            <v>14.7</v>
          </cell>
        </row>
        <row r="495">
          <cell r="A495">
            <v>47424</v>
          </cell>
          <cell r="B495" t="str">
            <v>TGS-26-4806X4BLS-LX-EL</v>
          </cell>
          <cell r="E495" t="str">
            <v>2017-11-15</v>
          </cell>
          <cell r="I495">
            <v>42937</v>
          </cell>
          <cell r="J495" t="str">
            <v>CKD</v>
          </cell>
          <cell r="K495">
            <v>14.7</v>
          </cell>
        </row>
        <row r="496">
          <cell r="A496">
            <v>47425</v>
          </cell>
          <cell r="B496" t="str">
            <v>TGS-26-4806X4BLS-LX-EL</v>
          </cell>
          <cell r="E496" t="str">
            <v>2017-11-15</v>
          </cell>
          <cell r="I496">
            <v>42937</v>
          </cell>
          <cell r="J496" t="str">
            <v>CKD</v>
          </cell>
          <cell r="K496">
            <v>14.7</v>
          </cell>
        </row>
        <row r="497">
          <cell r="A497">
            <v>47426</v>
          </cell>
          <cell r="B497" t="str">
            <v>TGS-26-4806X4BLS-LX-EL</v>
          </cell>
          <cell r="E497" t="str">
            <v>2017-11-15</v>
          </cell>
          <cell r="I497">
            <v>42937</v>
          </cell>
          <cell r="J497" t="str">
            <v>CKD</v>
          </cell>
          <cell r="K497">
            <v>14.7</v>
          </cell>
        </row>
        <row r="498">
          <cell r="A498">
            <v>47427</v>
          </cell>
          <cell r="B498" t="str">
            <v>TGS-26-4806X4BLS-LX-EL</v>
          </cell>
          <cell r="E498" t="str">
            <v>2017-11-15</v>
          </cell>
          <cell r="I498">
            <v>42937</v>
          </cell>
          <cell r="J498" t="str">
            <v>CKD</v>
          </cell>
          <cell r="K498">
            <v>14.7</v>
          </cell>
        </row>
        <row r="499">
          <cell r="A499">
            <v>47791</v>
          </cell>
          <cell r="B499" t="str">
            <v>TGS-26-4806X4BLS-LX-EL</v>
          </cell>
          <cell r="E499" t="str">
            <v>2018-03-10</v>
          </cell>
          <cell r="I499">
            <v>42947</v>
          </cell>
          <cell r="J499" t="str">
            <v>CKD</v>
          </cell>
          <cell r="K499">
            <v>14.7</v>
          </cell>
        </row>
        <row r="500">
          <cell r="A500">
            <v>47792</v>
          </cell>
          <cell r="B500" t="str">
            <v>TGS-26-4806X4BLS-LX-EL</v>
          </cell>
          <cell r="E500" t="str">
            <v>2018-03-10</v>
          </cell>
          <cell r="I500">
            <v>42947</v>
          </cell>
          <cell r="J500" t="str">
            <v>CKD</v>
          </cell>
          <cell r="K500">
            <v>14.7</v>
          </cell>
        </row>
        <row r="501">
          <cell r="A501">
            <v>47793</v>
          </cell>
          <cell r="B501" t="str">
            <v>TGS-26-4806X4BLS-LX-EL</v>
          </cell>
          <cell r="E501" t="str">
            <v>2018-03-10</v>
          </cell>
          <cell r="I501">
            <v>42947</v>
          </cell>
          <cell r="J501" t="str">
            <v>CKD</v>
          </cell>
          <cell r="K501">
            <v>14.7</v>
          </cell>
        </row>
        <row r="502">
          <cell r="A502">
            <v>47794</v>
          </cell>
          <cell r="B502" t="str">
            <v>TGS-26-4806X4BLS-LX-EL</v>
          </cell>
          <cell r="E502" t="str">
            <v>2018-03-10</v>
          </cell>
          <cell r="I502">
            <v>42947</v>
          </cell>
          <cell r="J502" t="str">
            <v>CKD</v>
          </cell>
          <cell r="K502">
            <v>14.7</v>
          </cell>
        </row>
        <row r="503">
          <cell r="A503">
            <v>47795</v>
          </cell>
          <cell r="B503" t="str">
            <v>TGS-26-4806X4BLS-LX-EL</v>
          </cell>
          <cell r="E503" t="str">
            <v>2018-03-20</v>
          </cell>
          <cell r="I503">
            <v>42947</v>
          </cell>
          <cell r="J503" t="str">
            <v>CKD</v>
          </cell>
          <cell r="K503">
            <v>14.7</v>
          </cell>
        </row>
        <row r="504">
          <cell r="A504">
            <v>47796</v>
          </cell>
          <cell r="B504" t="str">
            <v>TGS-26-4806X4BLS-LX-EL</v>
          </cell>
          <cell r="E504" t="str">
            <v>2018-03-20</v>
          </cell>
          <cell r="I504">
            <v>42947</v>
          </cell>
          <cell r="J504" t="str">
            <v>CKD</v>
          </cell>
          <cell r="K504">
            <v>14.7</v>
          </cell>
        </row>
        <row r="505">
          <cell r="A505">
            <v>47797</v>
          </cell>
          <cell r="B505" t="str">
            <v>TGS-26-4806X4BLS-LX-EL</v>
          </cell>
          <cell r="E505" t="str">
            <v>2018-03-20</v>
          </cell>
          <cell r="I505">
            <v>42947</v>
          </cell>
          <cell r="J505" t="str">
            <v>CKD</v>
          </cell>
          <cell r="K505">
            <v>14.7</v>
          </cell>
        </row>
        <row r="506">
          <cell r="A506">
            <v>47798</v>
          </cell>
          <cell r="B506" t="str">
            <v>TGS-26-4806X4BLS-LX-EL</v>
          </cell>
          <cell r="E506" t="str">
            <v>2018-03-20</v>
          </cell>
          <cell r="I506">
            <v>42947</v>
          </cell>
          <cell r="J506" t="str">
            <v>CKD</v>
          </cell>
          <cell r="K506">
            <v>14.7</v>
          </cell>
        </row>
        <row r="507">
          <cell r="A507">
            <v>47799</v>
          </cell>
          <cell r="B507" t="str">
            <v>TGS-26-4806X4BLS-LX-EL</v>
          </cell>
          <cell r="E507" t="str">
            <v>2018-03-25</v>
          </cell>
          <cell r="I507">
            <v>42947</v>
          </cell>
          <cell r="J507" t="str">
            <v>CKD</v>
          </cell>
          <cell r="K507">
            <v>14.7</v>
          </cell>
        </row>
        <row r="508">
          <cell r="A508">
            <v>47800</v>
          </cell>
          <cell r="B508" t="str">
            <v>TGS-26-4806X4BLS-LX-EL</v>
          </cell>
          <cell r="E508" t="str">
            <v>2018-03-25</v>
          </cell>
          <cell r="I508">
            <v>42947</v>
          </cell>
          <cell r="J508" t="str">
            <v>CKD</v>
          </cell>
          <cell r="K508">
            <v>14.7</v>
          </cell>
        </row>
        <row r="509">
          <cell r="A509">
            <v>47801</v>
          </cell>
          <cell r="B509" t="str">
            <v>TGS-26-4806X4BLS-LX-EL</v>
          </cell>
          <cell r="E509" t="str">
            <v>2018-03-25</v>
          </cell>
          <cell r="I509">
            <v>42947</v>
          </cell>
          <cell r="J509" t="str">
            <v>CKD</v>
          </cell>
          <cell r="K509">
            <v>14.7</v>
          </cell>
        </row>
        <row r="510">
          <cell r="A510">
            <v>47802</v>
          </cell>
          <cell r="B510" t="str">
            <v>TGS-26-4806X4BLS-LX-EL</v>
          </cell>
          <cell r="E510" t="str">
            <v>2018-03-25</v>
          </cell>
          <cell r="I510">
            <v>42947</v>
          </cell>
          <cell r="J510" t="str">
            <v>CKD</v>
          </cell>
          <cell r="K510">
            <v>14.7</v>
          </cell>
        </row>
        <row r="511">
          <cell r="A511" t="str">
            <v>78W-5349</v>
          </cell>
          <cell r="B511" t="str">
            <v>TGS-26-4806X4BLS-LX-EL</v>
          </cell>
          <cell r="E511">
            <v>407</v>
          </cell>
          <cell r="I511">
            <v>42355</v>
          </cell>
          <cell r="J511" t="str">
            <v>DEMO</v>
          </cell>
          <cell r="K511">
            <v>15.2</v>
          </cell>
        </row>
        <row r="512">
          <cell r="A512" t="str">
            <v>78W-5423</v>
          </cell>
          <cell r="B512" t="str">
            <v>TGS-26-4806X4BLS-LX-EL</v>
          </cell>
          <cell r="E512">
            <v>294</v>
          </cell>
          <cell r="I512">
            <v>42384</v>
          </cell>
          <cell r="J512" t="str">
            <v>DEMO</v>
          </cell>
          <cell r="K512">
            <v>15.2</v>
          </cell>
        </row>
        <row r="513">
          <cell r="A513" t="str">
            <v>78W-5857</v>
          </cell>
          <cell r="B513" t="str">
            <v>TGS-26-4806X4BLS-LX-EL</v>
          </cell>
          <cell r="E513">
            <v>4</v>
          </cell>
          <cell r="I513">
            <v>42804</v>
          </cell>
          <cell r="J513" t="str">
            <v>BOOKED : 2017-08-8</v>
          </cell>
          <cell r="K513">
            <v>15.4</v>
          </cell>
        </row>
        <row r="514">
          <cell r="A514" t="str">
            <v>78W-5858</v>
          </cell>
          <cell r="B514" t="str">
            <v>TGS-26-4806X4BLS-LX-EL</v>
          </cell>
          <cell r="E514" t="str">
            <v>2017-08-22</v>
          </cell>
          <cell r="I514">
            <v>42804</v>
          </cell>
          <cell r="J514" t="str">
            <v>BOOKED : 2017-08-8</v>
          </cell>
          <cell r="K514">
            <v>15.4</v>
          </cell>
        </row>
        <row r="515">
          <cell r="A515" t="str">
            <v>78W-5859</v>
          </cell>
          <cell r="B515" t="str">
            <v>TGS-26-4806X4BLS-LX-EL</v>
          </cell>
          <cell r="E515" t="str">
            <v>2017-08-22</v>
          </cell>
          <cell r="I515">
            <v>42804</v>
          </cell>
          <cell r="J515" t="str">
            <v>BOOKED : 2017-08-8</v>
          </cell>
          <cell r="K515">
            <v>15.4</v>
          </cell>
        </row>
        <row r="516">
          <cell r="A516" t="str">
            <v>78W-5860</v>
          </cell>
          <cell r="B516" t="str">
            <v>TGS-26-4806X4BLS-LX-EL</v>
          </cell>
          <cell r="E516" t="str">
            <v>2017-08-22</v>
          </cell>
          <cell r="I516">
            <v>42804</v>
          </cell>
          <cell r="J516" t="str">
            <v>BOOKED : 2017-08-8</v>
          </cell>
          <cell r="K516">
            <v>15.4</v>
          </cell>
        </row>
        <row r="517">
          <cell r="A517" t="str">
            <v>78W-5861</v>
          </cell>
          <cell r="B517" t="str">
            <v>TGS-26-4806X4BLS-LX-EL</v>
          </cell>
          <cell r="E517" t="str">
            <v>2017-08-23</v>
          </cell>
          <cell r="I517">
            <v>42804</v>
          </cell>
          <cell r="J517" t="str">
            <v>BOOKED : 2017-08-8</v>
          </cell>
          <cell r="K517">
            <v>15.4</v>
          </cell>
        </row>
        <row r="518">
          <cell r="A518" t="str">
            <v>78W-5862</v>
          </cell>
          <cell r="B518" t="str">
            <v>TGS-26-4806X4BLS-LX-EL</v>
          </cell>
          <cell r="E518" t="str">
            <v>2017-08-23</v>
          </cell>
          <cell r="I518">
            <v>42804</v>
          </cell>
          <cell r="J518" t="str">
            <v>BOOKED : 2017-08-8</v>
          </cell>
          <cell r="K518">
            <v>15.4</v>
          </cell>
        </row>
        <row r="519">
          <cell r="A519" t="str">
            <v>78W-5863</v>
          </cell>
          <cell r="B519" t="str">
            <v>TGS-26-4806X4BLS-LX-EL</v>
          </cell>
          <cell r="E519" t="str">
            <v>2017-08-23</v>
          </cell>
          <cell r="I519">
            <v>42804</v>
          </cell>
          <cell r="J519" t="str">
            <v>BOOKED : 2017-08-8</v>
          </cell>
          <cell r="K519">
            <v>15.4</v>
          </cell>
        </row>
        <row r="520">
          <cell r="A520" t="str">
            <v>78W-5864</v>
          </cell>
          <cell r="B520" t="str">
            <v>TGS-26-4806X4BLS-LX-EL</v>
          </cell>
          <cell r="E520" t="str">
            <v>2017-08-23</v>
          </cell>
          <cell r="I520">
            <v>42804</v>
          </cell>
          <cell r="J520" t="str">
            <v>CKD</v>
          </cell>
          <cell r="K520">
            <v>15.4</v>
          </cell>
        </row>
        <row r="521">
          <cell r="A521" t="str">
            <v>78W-5865</v>
          </cell>
          <cell r="B521" t="str">
            <v>TGS-26-4806X4BLS-LX-EL</v>
          </cell>
          <cell r="E521" t="str">
            <v>2017-08-23</v>
          </cell>
          <cell r="I521">
            <v>42804</v>
          </cell>
          <cell r="J521" t="str">
            <v>CKD</v>
          </cell>
          <cell r="K521">
            <v>15.4</v>
          </cell>
        </row>
        <row r="522">
          <cell r="A522" t="str">
            <v>78W-5866</v>
          </cell>
          <cell r="B522" t="str">
            <v>TGS-26-4806X4BLS-LX-EL</v>
          </cell>
          <cell r="E522" t="str">
            <v>2017-08-25</v>
          </cell>
          <cell r="I522">
            <v>42804</v>
          </cell>
          <cell r="J522" t="str">
            <v>CKD</v>
          </cell>
          <cell r="K522">
            <v>15.4</v>
          </cell>
        </row>
        <row r="523">
          <cell r="A523" t="str">
            <v>78W-5867</v>
          </cell>
          <cell r="B523" t="str">
            <v>TGS-26-4806X4BLS-LX-EL</v>
          </cell>
          <cell r="E523" t="str">
            <v>2017-08-25</v>
          </cell>
          <cell r="I523">
            <v>42804</v>
          </cell>
          <cell r="J523" t="str">
            <v>CKD</v>
          </cell>
          <cell r="K523">
            <v>15.4</v>
          </cell>
        </row>
        <row r="524">
          <cell r="A524" t="str">
            <v>78W-5868</v>
          </cell>
          <cell r="B524" t="str">
            <v>TGS-26-4806X4BLS-LX-EL</v>
          </cell>
          <cell r="E524" t="str">
            <v>2017-08-28</v>
          </cell>
          <cell r="I524">
            <v>42804</v>
          </cell>
          <cell r="J524" t="str">
            <v>CKD</v>
          </cell>
          <cell r="K524">
            <v>15.4</v>
          </cell>
        </row>
        <row r="525">
          <cell r="A525" t="str">
            <v>78W-5869</v>
          </cell>
          <cell r="B525" t="str">
            <v>TGS-26-4806X4BLS-LX-EL</v>
          </cell>
          <cell r="E525" t="str">
            <v>2017-08-28</v>
          </cell>
          <cell r="I525">
            <v>42804</v>
          </cell>
          <cell r="J525" t="str">
            <v>CKD</v>
          </cell>
          <cell r="K525">
            <v>15.4</v>
          </cell>
        </row>
        <row r="526">
          <cell r="A526" t="str">
            <v>78W-5870</v>
          </cell>
          <cell r="B526" t="str">
            <v>TGS-26-4806X4BLS-LX-EL</v>
          </cell>
          <cell r="E526" t="str">
            <v>2017-08-29</v>
          </cell>
          <cell r="I526">
            <v>42804</v>
          </cell>
          <cell r="J526" t="str">
            <v>CKD</v>
          </cell>
          <cell r="K526">
            <v>15.4</v>
          </cell>
        </row>
        <row r="527">
          <cell r="A527" t="str">
            <v>78W-5871</v>
          </cell>
          <cell r="B527" t="str">
            <v>TGS-26-4806X4BLS-LX-EL</v>
          </cell>
          <cell r="E527" t="str">
            <v>2017-08-29</v>
          </cell>
          <cell r="I527">
            <v>42804</v>
          </cell>
          <cell r="J527" t="str">
            <v>CKD</v>
          </cell>
          <cell r="K527">
            <v>15.4</v>
          </cell>
        </row>
        <row r="528">
          <cell r="A528" t="str">
            <v>TBAKP709</v>
          </cell>
          <cell r="B528" t="str">
            <v>TGS-26-4806X4BLS-LX-EL</v>
          </cell>
          <cell r="E528" t="str">
            <v>2018-02-15</v>
          </cell>
          <cell r="I528">
            <v>42921</v>
          </cell>
          <cell r="J528" t="str">
            <v>CKD</v>
          </cell>
          <cell r="K528">
            <v>14.7</v>
          </cell>
        </row>
        <row r="529">
          <cell r="A529" t="str">
            <v>78W-5778</v>
          </cell>
          <cell r="B529" t="str">
            <v>TGS-26-4806X4BLS-LX-EL-ACC</v>
          </cell>
          <cell r="E529" t="str">
            <v>2017-06-30</v>
          </cell>
          <cell r="I529">
            <v>42784</v>
          </cell>
          <cell r="J529" t="str">
            <v>CKD</v>
          </cell>
          <cell r="K529">
            <v>15.4</v>
          </cell>
        </row>
        <row r="530">
          <cell r="A530" t="str">
            <v>78W-5874</v>
          </cell>
          <cell r="B530" t="str">
            <v>TGS-26-4806X4BLS-LX-EL-ACC</v>
          </cell>
          <cell r="E530">
            <v>4</v>
          </cell>
          <cell r="I530">
            <v>42804</v>
          </cell>
          <cell r="J530" t="str">
            <v>UNSOLD</v>
          </cell>
          <cell r="K530">
            <v>15.4</v>
          </cell>
        </row>
        <row r="531">
          <cell r="A531" t="str">
            <v>78W-5875</v>
          </cell>
          <cell r="B531" t="str">
            <v>TGS-26-4806X4BLS-LX-EL-ACC</v>
          </cell>
          <cell r="E531">
            <v>4</v>
          </cell>
          <cell r="I531">
            <v>42804</v>
          </cell>
          <cell r="J531" t="str">
            <v>UNSOLD</v>
          </cell>
          <cell r="K531">
            <v>15.4</v>
          </cell>
        </row>
        <row r="532">
          <cell r="A532" t="str">
            <v>78W-5877</v>
          </cell>
          <cell r="B532" t="str">
            <v>TGS-26-4806X4BLS-LX-EL-ACC</v>
          </cell>
          <cell r="E532">
            <v>7</v>
          </cell>
          <cell r="I532">
            <v>42804</v>
          </cell>
          <cell r="J532" t="str">
            <v>UNSOLD</v>
          </cell>
          <cell r="K532">
            <v>15.4</v>
          </cell>
        </row>
        <row r="533">
          <cell r="A533" t="str">
            <v>78W-5878</v>
          </cell>
          <cell r="B533" t="str">
            <v>TGS-26-4806X4BLS-LX-EL-ACC</v>
          </cell>
          <cell r="E533">
            <v>7</v>
          </cell>
          <cell r="I533">
            <v>42804</v>
          </cell>
          <cell r="J533" t="str">
            <v>UNSOLD</v>
          </cell>
          <cell r="K533">
            <v>15.4</v>
          </cell>
        </row>
        <row r="534">
          <cell r="A534" t="str">
            <v>78W-5879</v>
          </cell>
          <cell r="B534" t="str">
            <v>TGS-26-4806X4BLS-LX-EL-ACC</v>
          </cell>
          <cell r="E534">
            <v>8</v>
          </cell>
          <cell r="I534">
            <v>42804</v>
          </cell>
          <cell r="J534" t="str">
            <v>UNSOLD</v>
          </cell>
          <cell r="K534">
            <v>15.4</v>
          </cell>
        </row>
        <row r="535">
          <cell r="A535" t="str">
            <v>78W-5880</v>
          </cell>
          <cell r="B535" t="str">
            <v>TGS-26-4806X4BLS-LX-EL-ACC</v>
          </cell>
          <cell r="E535" t="str">
            <v>2017-08-11</v>
          </cell>
          <cell r="I535">
            <v>42804</v>
          </cell>
          <cell r="J535" t="str">
            <v>CKD</v>
          </cell>
          <cell r="K535">
            <v>15.4</v>
          </cell>
        </row>
        <row r="536">
          <cell r="A536" t="str">
            <v>78W-5881</v>
          </cell>
          <cell r="B536" t="str">
            <v>TGS-26-4806X4BLS-LX-EL-ACC</v>
          </cell>
          <cell r="E536" t="str">
            <v>2017-08-11</v>
          </cell>
          <cell r="I536">
            <v>42804</v>
          </cell>
          <cell r="J536" t="str">
            <v>CKD</v>
          </cell>
          <cell r="K536">
            <v>15.4</v>
          </cell>
        </row>
        <row r="537">
          <cell r="A537" t="str">
            <v>78W-5882</v>
          </cell>
          <cell r="B537" t="str">
            <v>TGS-26-4806X4BLS-LX-EL-ACC</v>
          </cell>
          <cell r="E537" t="str">
            <v>2017-08-14</v>
          </cell>
          <cell r="I537">
            <v>42804</v>
          </cell>
          <cell r="J537" t="str">
            <v>CKD</v>
          </cell>
          <cell r="K537">
            <v>15.4</v>
          </cell>
        </row>
        <row r="538">
          <cell r="A538" t="str">
            <v>78W-5883</v>
          </cell>
          <cell r="B538" t="str">
            <v>TGS-26-4806X4BLS-LX-EL-ACC</v>
          </cell>
          <cell r="E538" t="str">
            <v>2017-08-14</v>
          </cell>
          <cell r="I538">
            <v>42804</v>
          </cell>
          <cell r="J538" t="str">
            <v>CKD</v>
          </cell>
          <cell r="K538">
            <v>15.4</v>
          </cell>
        </row>
        <row r="539">
          <cell r="A539" t="str">
            <v>78W-5884</v>
          </cell>
          <cell r="B539" t="str">
            <v>TGS-26-4806X4BLS-LX-EL-ACC</v>
          </cell>
          <cell r="E539" t="str">
            <v>2017-08-14</v>
          </cell>
          <cell r="I539">
            <v>42804</v>
          </cell>
          <cell r="J539" t="str">
            <v>CKD</v>
          </cell>
          <cell r="K539">
            <v>15.4</v>
          </cell>
        </row>
        <row r="540">
          <cell r="A540" t="str">
            <v>78W-5885</v>
          </cell>
          <cell r="B540" t="str">
            <v>TGS-26-4806X4BLS-LX-EL-ACC</v>
          </cell>
          <cell r="E540">
            <v>1</v>
          </cell>
          <cell r="I540">
            <v>42804</v>
          </cell>
          <cell r="J540" t="str">
            <v>UNSOLD</v>
          </cell>
          <cell r="K540">
            <v>15.4</v>
          </cell>
        </row>
        <row r="541">
          <cell r="A541" t="str">
            <v>TBATG002</v>
          </cell>
          <cell r="B541" t="str">
            <v>TGS-26-4806X4BLS-LX-EL-ACC</v>
          </cell>
          <cell r="E541" t="str">
            <v>2018-02-15</v>
          </cell>
          <cell r="I541">
            <v>42921</v>
          </cell>
          <cell r="J541" t="str">
            <v>CKD</v>
          </cell>
          <cell r="K541">
            <v>14.7</v>
          </cell>
        </row>
        <row r="542">
          <cell r="A542">
            <v>46674</v>
          </cell>
          <cell r="B542" t="str">
            <v>TGS-27-4406X4BBS-L</v>
          </cell>
          <cell r="E542" t="str">
            <v>2017-10-20</v>
          </cell>
          <cell r="I542">
            <v>42838</v>
          </cell>
          <cell r="J542" t="str">
            <v>CKD</v>
          </cell>
          <cell r="K542">
            <v>14.7</v>
          </cell>
        </row>
        <row r="543">
          <cell r="A543">
            <v>46675</v>
          </cell>
          <cell r="B543" t="str">
            <v>TGS-27-4406X4BBS-L</v>
          </cell>
          <cell r="E543" t="str">
            <v>2017-10-20</v>
          </cell>
          <cell r="I543">
            <v>42838</v>
          </cell>
          <cell r="J543" t="str">
            <v>CKD</v>
          </cell>
          <cell r="K543">
            <v>14.7</v>
          </cell>
        </row>
        <row r="544">
          <cell r="A544">
            <v>46676</v>
          </cell>
          <cell r="B544" t="str">
            <v>TGS-27-4406X4BBS-L</v>
          </cell>
          <cell r="E544" t="str">
            <v>2017-10-20</v>
          </cell>
          <cell r="I544">
            <v>42838</v>
          </cell>
          <cell r="J544" t="str">
            <v>CKD</v>
          </cell>
          <cell r="K544">
            <v>14.7</v>
          </cell>
        </row>
        <row r="545">
          <cell r="A545">
            <v>46677</v>
          </cell>
          <cell r="B545" t="str">
            <v>TGS-27-4406X4BBS-L</v>
          </cell>
          <cell r="E545" t="str">
            <v>2017-10-20</v>
          </cell>
          <cell r="I545">
            <v>42838</v>
          </cell>
          <cell r="J545" t="str">
            <v>CKD</v>
          </cell>
          <cell r="K545">
            <v>14.7</v>
          </cell>
        </row>
        <row r="546">
          <cell r="A546">
            <v>46868</v>
          </cell>
          <cell r="B546" t="str">
            <v>TGS-27-4406X4BBS-L</v>
          </cell>
          <cell r="E546" t="str">
            <v>2017-10-27</v>
          </cell>
          <cell r="I546">
            <v>42859</v>
          </cell>
          <cell r="J546" t="str">
            <v>CKD</v>
          </cell>
          <cell r="K546">
            <v>14.7</v>
          </cell>
        </row>
        <row r="547">
          <cell r="A547">
            <v>46869</v>
          </cell>
          <cell r="B547" t="str">
            <v>TGS-27-4406X4BBS-L</v>
          </cell>
          <cell r="E547" t="str">
            <v>2017-10-27</v>
          </cell>
          <cell r="I547">
            <v>42859</v>
          </cell>
          <cell r="J547" t="str">
            <v>CKD</v>
          </cell>
          <cell r="K547">
            <v>14.7</v>
          </cell>
        </row>
        <row r="548">
          <cell r="A548">
            <v>46870</v>
          </cell>
          <cell r="B548" t="str">
            <v>TGS-27-4406X4BBS-L</v>
          </cell>
          <cell r="E548" t="str">
            <v>2017-10-27</v>
          </cell>
          <cell r="I548">
            <v>42859</v>
          </cell>
          <cell r="J548" t="str">
            <v>CKD</v>
          </cell>
          <cell r="K548">
            <v>14.7</v>
          </cell>
        </row>
        <row r="549">
          <cell r="A549">
            <v>46871</v>
          </cell>
          <cell r="B549" t="str">
            <v>TGS-27-4406X4BBS-L</v>
          </cell>
          <cell r="E549" t="str">
            <v>2017-10-27</v>
          </cell>
          <cell r="I549">
            <v>42859</v>
          </cell>
          <cell r="J549" t="str">
            <v>CKD</v>
          </cell>
          <cell r="K549">
            <v>14.7</v>
          </cell>
        </row>
        <row r="550">
          <cell r="A550">
            <v>46872</v>
          </cell>
          <cell r="B550" t="str">
            <v>TGS-27-4406X4BBS-L</v>
          </cell>
          <cell r="E550" t="str">
            <v>2017-10-27</v>
          </cell>
          <cell r="I550">
            <v>42859</v>
          </cell>
          <cell r="J550" t="str">
            <v>CKD</v>
          </cell>
          <cell r="K550">
            <v>14.7</v>
          </cell>
        </row>
        <row r="551">
          <cell r="A551">
            <v>46873</v>
          </cell>
          <cell r="B551" t="str">
            <v>TGS-27-4406X4BBS-L</v>
          </cell>
          <cell r="E551" t="str">
            <v>2017-10-27</v>
          </cell>
          <cell r="I551">
            <v>42859</v>
          </cell>
          <cell r="J551" t="str">
            <v>CKD</v>
          </cell>
          <cell r="K551">
            <v>14.7</v>
          </cell>
        </row>
        <row r="552">
          <cell r="A552">
            <v>46874</v>
          </cell>
          <cell r="B552" t="str">
            <v>TGS-27-4406X4BBS-L</v>
          </cell>
          <cell r="E552" t="str">
            <v>2017-10-30</v>
          </cell>
          <cell r="I552">
            <v>42859</v>
          </cell>
          <cell r="J552" t="str">
            <v>CKD</v>
          </cell>
          <cell r="K552">
            <v>14.7</v>
          </cell>
        </row>
        <row r="553">
          <cell r="A553">
            <v>46875</v>
          </cell>
          <cell r="B553" t="str">
            <v>TGS-27-4406X4BBS-L</v>
          </cell>
          <cell r="E553" t="str">
            <v>2017-10-30</v>
          </cell>
          <cell r="I553">
            <v>42859</v>
          </cell>
          <cell r="J553" t="str">
            <v>CKD</v>
          </cell>
          <cell r="K553">
            <v>14.7</v>
          </cell>
        </row>
        <row r="554">
          <cell r="A554">
            <v>46876</v>
          </cell>
          <cell r="B554" t="str">
            <v>TGS-27-4406X4BBS-L</v>
          </cell>
          <cell r="E554" t="str">
            <v>2017-11-6</v>
          </cell>
          <cell r="I554">
            <v>42859</v>
          </cell>
          <cell r="J554" t="str">
            <v>CKD</v>
          </cell>
          <cell r="K554">
            <v>14.7</v>
          </cell>
        </row>
        <row r="555">
          <cell r="A555">
            <v>46877</v>
          </cell>
          <cell r="B555" t="str">
            <v>TGS-27-4406X4BBS-L</v>
          </cell>
          <cell r="E555" t="str">
            <v>2017-11-6</v>
          </cell>
          <cell r="I555">
            <v>42859</v>
          </cell>
          <cell r="J555" t="str">
            <v>CKD</v>
          </cell>
          <cell r="K555">
            <v>14.7</v>
          </cell>
        </row>
        <row r="556">
          <cell r="A556">
            <v>46878</v>
          </cell>
          <cell r="B556" t="str">
            <v>TGS-27-4406X4BBS-L</v>
          </cell>
          <cell r="E556" t="str">
            <v>2017-11-6</v>
          </cell>
          <cell r="I556">
            <v>42859</v>
          </cell>
          <cell r="J556" t="str">
            <v>CKD</v>
          </cell>
          <cell r="K556">
            <v>14.7</v>
          </cell>
        </row>
        <row r="557">
          <cell r="A557">
            <v>46879</v>
          </cell>
          <cell r="B557" t="str">
            <v>TGS-27-4406X4BBS-L</v>
          </cell>
          <cell r="E557" t="str">
            <v>2017-11-6</v>
          </cell>
          <cell r="I557">
            <v>42859</v>
          </cell>
          <cell r="J557" t="str">
            <v>CKD</v>
          </cell>
          <cell r="K557">
            <v>14.7</v>
          </cell>
        </row>
        <row r="558">
          <cell r="A558">
            <v>46880</v>
          </cell>
          <cell r="B558" t="str">
            <v>TGS-27-4406X4BBS-L</v>
          </cell>
          <cell r="E558" t="str">
            <v>2017-11-6</v>
          </cell>
          <cell r="I558">
            <v>42859</v>
          </cell>
          <cell r="J558" t="str">
            <v>CKD</v>
          </cell>
          <cell r="K558">
            <v>14.7</v>
          </cell>
        </row>
        <row r="559">
          <cell r="A559">
            <v>46881</v>
          </cell>
          <cell r="B559" t="str">
            <v>TGS-27-4406X4BBS-L</v>
          </cell>
          <cell r="E559" t="str">
            <v>2017-11-7</v>
          </cell>
          <cell r="I559">
            <v>42859</v>
          </cell>
          <cell r="J559" t="str">
            <v>CKD</v>
          </cell>
          <cell r="K559">
            <v>14.7</v>
          </cell>
        </row>
        <row r="560">
          <cell r="A560">
            <v>46882</v>
          </cell>
          <cell r="B560" t="str">
            <v>TGS-27-4406X4BBS-L</v>
          </cell>
          <cell r="E560" t="str">
            <v>2017-11-7</v>
          </cell>
          <cell r="I560">
            <v>42859</v>
          </cell>
          <cell r="J560" t="str">
            <v>CKD</v>
          </cell>
          <cell r="K560">
            <v>14.7</v>
          </cell>
        </row>
        <row r="561">
          <cell r="A561">
            <v>46883</v>
          </cell>
          <cell r="B561" t="str">
            <v>TGS-27-4406X4BBS-L</v>
          </cell>
          <cell r="E561" t="str">
            <v>2017-11-7</v>
          </cell>
          <cell r="I561">
            <v>42859</v>
          </cell>
          <cell r="J561" t="str">
            <v>CKD</v>
          </cell>
          <cell r="K561">
            <v>14.7</v>
          </cell>
        </row>
        <row r="562">
          <cell r="A562">
            <v>46884</v>
          </cell>
          <cell r="B562" t="str">
            <v>TGS-27-4406X4BBS-L</v>
          </cell>
          <cell r="E562" t="str">
            <v>2017-11-13</v>
          </cell>
          <cell r="I562">
            <v>42859</v>
          </cell>
          <cell r="J562" t="str">
            <v>CKD</v>
          </cell>
          <cell r="K562">
            <v>14.7</v>
          </cell>
        </row>
        <row r="563">
          <cell r="A563">
            <v>46885</v>
          </cell>
          <cell r="B563" t="str">
            <v>TGS-27-4406X4BBS-L</v>
          </cell>
          <cell r="E563" t="str">
            <v>2017-11-13</v>
          </cell>
          <cell r="I563">
            <v>42859</v>
          </cell>
          <cell r="J563" t="str">
            <v>CKD</v>
          </cell>
          <cell r="K563">
            <v>14.7</v>
          </cell>
        </row>
        <row r="564">
          <cell r="A564">
            <v>46886</v>
          </cell>
          <cell r="B564" t="str">
            <v>TGS-27-4406X4BBS-L</v>
          </cell>
          <cell r="E564" t="str">
            <v>2017-11-14</v>
          </cell>
          <cell r="I564">
            <v>42859</v>
          </cell>
          <cell r="J564" t="str">
            <v>CKD</v>
          </cell>
          <cell r="K564">
            <v>14.7</v>
          </cell>
        </row>
        <row r="565">
          <cell r="A565">
            <v>46887</v>
          </cell>
          <cell r="B565" t="str">
            <v>TGS-27-4406X4BBS-L</v>
          </cell>
          <cell r="E565" t="str">
            <v>2017-11-14</v>
          </cell>
          <cell r="I565">
            <v>42859</v>
          </cell>
          <cell r="J565" t="str">
            <v>CKD</v>
          </cell>
          <cell r="K565">
            <v>14.7</v>
          </cell>
        </row>
        <row r="566">
          <cell r="A566">
            <v>47510</v>
          </cell>
          <cell r="B566" t="str">
            <v>TGS-27-4406X4BBS-L</v>
          </cell>
          <cell r="E566" t="str">
            <v>2017-11-15</v>
          </cell>
          <cell r="I566">
            <v>42937</v>
          </cell>
          <cell r="J566" t="str">
            <v>CKD</v>
          </cell>
          <cell r="K566">
            <v>14.7</v>
          </cell>
        </row>
        <row r="567">
          <cell r="A567">
            <v>47511</v>
          </cell>
          <cell r="B567" t="str">
            <v>TGS-27-4406X4BBS-L</v>
          </cell>
          <cell r="E567" t="str">
            <v>2017-11-15</v>
          </cell>
          <cell r="I567">
            <v>42937</v>
          </cell>
          <cell r="J567" t="str">
            <v>CKD</v>
          </cell>
          <cell r="K567">
            <v>14.7</v>
          </cell>
        </row>
        <row r="568">
          <cell r="A568">
            <v>47512</v>
          </cell>
          <cell r="B568" t="str">
            <v>TGS-27-4406X4BBS-L</v>
          </cell>
          <cell r="E568" t="str">
            <v>2017-11-15</v>
          </cell>
          <cell r="I568">
            <v>42937</v>
          </cell>
          <cell r="J568" t="str">
            <v>CKD</v>
          </cell>
          <cell r="K568">
            <v>14.7</v>
          </cell>
        </row>
        <row r="569">
          <cell r="A569">
            <v>47513</v>
          </cell>
          <cell r="B569" t="str">
            <v>TGS-27-4406X4BBS-L</v>
          </cell>
          <cell r="E569" t="str">
            <v>2017-11-15</v>
          </cell>
          <cell r="I569">
            <v>42937</v>
          </cell>
          <cell r="J569" t="str">
            <v>CKD</v>
          </cell>
          <cell r="K569">
            <v>14.7</v>
          </cell>
        </row>
        <row r="570">
          <cell r="A570">
            <v>47514</v>
          </cell>
          <cell r="B570" t="str">
            <v>TGS-27-4406X4BBS-L</v>
          </cell>
          <cell r="E570" t="str">
            <v>2017-11-15</v>
          </cell>
          <cell r="I570">
            <v>42937</v>
          </cell>
          <cell r="J570" t="str">
            <v>CKD</v>
          </cell>
          <cell r="K570">
            <v>14.7</v>
          </cell>
        </row>
        <row r="571">
          <cell r="A571">
            <v>47515</v>
          </cell>
          <cell r="B571" t="str">
            <v>TGS-27-4406X4BBS-L</v>
          </cell>
          <cell r="E571" t="str">
            <v>2017-11-15</v>
          </cell>
          <cell r="I571">
            <v>42937</v>
          </cell>
          <cell r="J571" t="str">
            <v>CKD</v>
          </cell>
          <cell r="K571">
            <v>14.7</v>
          </cell>
        </row>
        <row r="572">
          <cell r="A572">
            <v>47516</v>
          </cell>
          <cell r="B572" t="str">
            <v>TGS-27-4406X4BBS-L</v>
          </cell>
          <cell r="E572" t="str">
            <v>2017-11-15</v>
          </cell>
          <cell r="I572">
            <v>42937</v>
          </cell>
          <cell r="J572" t="str">
            <v>CKD</v>
          </cell>
          <cell r="K572">
            <v>14.7</v>
          </cell>
        </row>
        <row r="573">
          <cell r="A573">
            <v>47517</v>
          </cell>
          <cell r="B573" t="str">
            <v>TGS-27-4406X4BBS-L</v>
          </cell>
          <cell r="E573" t="str">
            <v>2017-11-15</v>
          </cell>
          <cell r="I573">
            <v>42937</v>
          </cell>
          <cell r="J573" t="str">
            <v>CKD</v>
          </cell>
          <cell r="K573">
            <v>14.7</v>
          </cell>
        </row>
        <row r="574">
          <cell r="A574">
            <v>47711</v>
          </cell>
          <cell r="B574" t="str">
            <v>TGS-27-4406X4BBS-L</v>
          </cell>
          <cell r="E574" t="str">
            <v>2018-02-15</v>
          </cell>
          <cell r="I574">
            <v>42947</v>
          </cell>
          <cell r="J574" t="str">
            <v>CKD</v>
          </cell>
          <cell r="K574">
            <v>14.7</v>
          </cell>
        </row>
        <row r="575">
          <cell r="A575">
            <v>47712</v>
          </cell>
          <cell r="B575" t="str">
            <v>TGS-27-4406X4BBS-L</v>
          </cell>
          <cell r="E575" t="str">
            <v>2018-02-15</v>
          </cell>
          <cell r="I575">
            <v>42947</v>
          </cell>
          <cell r="J575" t="str">
            <v>CKD</v>
          </cell>
          <cell r="K575">
            <v>14.7</v>
          </cell>
        </row>
        <row r="576">
          <cell r="A576">
            <v>47713</v>
          </cell>
          <cell r="B576" t="str">
            <v>TGS-27-4406X4BBS-L</v>
          </cell>
          <cell r="E576" t="str">
            <v>2018-02-15</v>
          </cell>
          <cell r="I576">
            <v>42947</v>
          </cell>
          <cell r="J576" t="str">
            <v>CKD</v>
          </cell>
          <cell r="K576">
            <v>14.7</v>
          </cell>
        </row>
        <row r="577">
          <cell r="A577">
            <v>47714</v>
          </cell>
          <cell r="B577" t="str">
            <v>TGS-27-4406X4BBS-L</v>
          </cell>
          <cell r="E577" t="str">
            <v>2018-02-15</v>
          </cell>
          <cell r="I577">
            <v>42947</v>
          </cell>
          <cell r="J577" t="str">
            <v>CKD</v>
          </cell>
          <cell r="K577">
            <v>14.7</v>
          </cell>
        </row>
        <row r="578">
          <cell r="A578">
            <v>47715</v>
          </cell>
          <cell r="B578" t="str">
            <v>TGS-27-4406X4BBS-L</v>
          </cell>
          <cell r="E578" t="str">
            <v>2018-02-28</v>
          </cell>
          <cell r="I578">
            <v>42947</v>
          </cell>
          <cell r="J578" t="str">
            <v>CKD</v>
          </cell>
          <cell r="K578">
            <v>14.7</v>
          </cell>
        </row>
        <row r="579">
          <cell r="A579">
            <v>47716</v>
          </cell>
          <cell r="B579" t="str">
            <v>TGS-27-4406X4BBS-L</v>
          </cell>
          <cell r="E579" t="str">
            <v>2018-02-28</v>
          </cell>
          <cell r="I579">
            <v>42947</v>
          </cell>
          <cell r="J579" t="str">
            <v>CKD</v>
          </cell>
          <cell r="K579">
            <v>14.7</v>
          </cell>
        </row>
        <row r="580">
          <cell r="A580">
            <v>47717</v>
          </cell>
          <cell r="B580" t="str">
            <v>TGS-27-4406X4BBS-L</v>
          </cell>
          <cell r="E580" t="str">
            <v>2018-02-28</v>
          </cell>
          <cell r="I580">
            <v>42947</v>
          </cell>
          <cell r="J580" t="str">
            <v>CKD</v>
          </cell>
          <cell r="K580">
            <v>14.7</v>
          </cell>
        </row>
        <row r="581">
          <cell r="A581">
            <v>47718</v>
          </cell>
          <cell r="B581" t="str">
            <v>TGS-27-4406X4BBS-L</v>
          </cell>
          <cell r="E581" t="str">
            <v>2018-02-28</v>
          </cell>
          <cell r="I581">
            <v>42947</v>
          </cell>
          <cell r="J581" t="str">
            <v>CKD</v>
          </cell>
          <cell r="K581">
            <v>14.7</v>
          </cell>
        </row>
        <row r="582">
          <cell r="A582">
            <v>47719</v>
          </cell>
          <cell r="B582" t="str">
            <v>TGS-27-4406X4BBS-L</v>
          </cell>
          <cell r="E582" t="str">
            <v>2018-03-5</v>
          </cell>
          <cell r="I582">
            <v>42947</v>
          </cell>
          <cell r="J582" t="str">
            <v>CKD</v>
          </cell>
          <cell r="K582">
            <v>14.7</v>
          </cell>
        </row>
        <row r="583">
          <cell r="A583">
            <v>47720</v>
          </cell>
          <cell r="B583" t="str">
            <v>TGS-27-4406X4BBS-L</v>
          </cell>
          <cell r="E583" t="str">
            <v>2018-03-5</v>
          </cell>
          <cell r="I583">
            <v>42947</v>
          </cell>
          <cell r="J583" t="str">
            <v>CKD</v>
          </cell>
          <cell r="K583">
            <v>14.7</v>
          </cell>
        </row>
        <row r="584">
          <cell r="A584">
            <v>47721</v>
          </cell>
          <cell r="B584" t="str">
            <v>TGS-27-4406X4BBS-L</v>
          </cell>
          <cell r="E584" t="str">
            <v>2018-03-5</v>
          </cell>
          <cell r="I584">
            <v>42947</v>
          </cell>
          <cell r="J584" t="str">
            <v>CKD</v>
          </cell>
          <cell r="K584">
            <v>14.7</v>
          </cell>
        </row>
        <row r="585">
          <cell r="A585">
            <v>47722</v>
          </cell>
          <cell r="B585" t="str">
            <v>TGS-27-4406X4BBS-L</v>
          </cell>
          <cell r="E585" t="str">
            <v>2018-03-5</v>
          </cell>
          <cell r="I585">
            <v>42947</v>
          </cell>
          <cell r="J585" t="str">
            <v>CKD</v>
          </cell>
          <cell r="K585">
            <v>14.7</v>
          </cell>
        </row>
        <row r="586">
          <cell r="A586" t="str">
            <v>76W-8123</v>
          </cell>
          <cell r="B586" t="str">
            <v>TGS-27-4406X4BBS-L</v>
          </cell>
          <cell r="E586">
            <v>318</v>
          </cell>
          <cell r="I586">
            <v>42384</v>
          </cell>
          <cell r="J586" t="str">
            <v>DEMO</v>
          </cell>
          <cell r="K586">
            <v>15.2</v>
          </cell>
        </row>
        <row r="587">
          <cell r="A587" t="str">
            <v>76W-9146</v>
          </cell>
          <cell r="B587" t="str">
            <v>TGS-27-4406X4BBS-L</v>
          </cell>
          <cell r="E587" t="str">
            <v>2017-08-16</v>
          </cell>
          <cell r="I587">
            <v>42804</v>
          </cell>
          <cell r="J587" t="str">
            <v>CKD</v>
          </cell>
          <cell r="K587">
            <v>15.4</v>
          </cell>
        </row>
        <row r="588">
          <cell r="A588" t="str">
            <v>TBAKP637</v>
          </cell>
          <cell r="B588" t="str">
            <v>TGS-27-4406X4BBS-L</v>
          </cell>
          <cell r="E588" t="str">
            <v>2018-02-15</v>
          </cell>
          <cell r="I588">
            <v>42921</v>
          </cell>
          <cell r="J588" t="str">
            <v>CKD</v>
          </cell>
          <cell r="K588">
            <v>14.7</v>
          </cell>
        </row>
        <row r="589">
          <cell r="A589">
            <v>46678</v>
          </cell>
          <cell r="B589" t="str">
            <v>TGS-27-4406X4BBS-L-STEEL</v>
          </cell>
          <cell r="E589" t="str">
            <v>2017-10-17</v>
          </cell>
          <cell r="I589">
            <v>42838</v>
          </cell>
          <cell r="J589" t="str">
            <v>CKD</v>
          </cell>
          <cell r="K589">
            <v>14.7</v>
          </cell>
        </row>
        <row r="590">
          <cell r="A590">
            <v>46679</v>
          </cell>
          <cell r="B590" t="str">
            <v>TGS-27-4406X4BBS-L-STEEL</v>
          </cell>
          <cell r="E590" t="str">
            <v>2017-10-17</v>
          </cell>
          <cell r="I590">
            <v>42838</v>
          </cell>
          <cell r="J590" t="str">
            <v>CKD</v>
          </cell>
          <cell r="K590">
            <v>14.7</v>
          </cell>
        </row>
        <row r="591">
          <cell r="A591">
            <v>46680</v>
          </cell>
          <cell r="B591" t="str">
            <v>TGS-27-4406X4BBS-L-STEEL</v>
          </cell>
          <cell r="E591" t="str">
            <v>2017-10-17</v>
          </cell>
          <cell r="I591">
            <v>42838</v>
          </cell>
          <cell r="J591" t="str">
            <v>CKD</v>
          </cell>
          <cell r="K591">
            <v>14.7</v>
          </cell>
        </row>
        <row r="592">
          <cell r="A592">
            <v>46681</v>
          </cell>
          <cell r="B592" t="str">
            <v>TGS-27-4406X4BBS-L-STEEL</v>
          </cell>
          <cell r="E592" t="str">
            <v>2017-10-17</v>
          </cell>
          <cell r="I592">
            <v>42838</v>
          </cell>
          <cell r="J592" t="str">
            <v>CKD</v>
          </cell>
          <cell r="K592">
            <v>14.7</v>
          </cell>
        </row>
        <row r="593">
          <cell r="A593">
            <v>46682</v>
          </cell>
          <cell r="B593" t="str">
            <v>TGS-27-4406X4BBS-L-STEEL</v>
          </cell>
          <cell r="E593" t="str">
            <v>2017-10-17</v>
          </cell>
          <cell r="I593">
            <v>42838</v>
          </cell>
          <cell r="J593" t="str">
            <v>CKD</v>
          </cell>
          <cell r="K593">
            <v>14.7</v>
          </cell>
        </row>
        <row r="594">
          <cell r="A594">
            <v>46683</v>
          </cell>
          <cell r="B594" t="str">
            <v>TGS-27-4406X4BBS-L-STEEL</v>
          </cell>
          <cell r="E594" t="str">
            <v>2017-10-17</v>
          </cell>
          <cell r="I594">
            <v>42838</v>
          </cell>
          <cell r="J594" t="str">
            <v>CKD</v>
          </cell>
          <cell r="K594">
            <v>14.7</v>
          </cell>
        </row>
        <row r="595">
          <cell r="A595">
            <v>46684</v>
          </cell>
          <cell r="B595" t="str">
            <v>TGS-27-4406X4BBS-L-STEEL</v>
          </cell>
          <cell r="E595" t="str">
            <v>2017-10-17</v>
          </cell>
          <cell r="I595">
            <v>42838</v>
          </cell>
          <cell r="J595" t="str">
            <v>CKD</v>
          </cell>
          <cell r="K595">
            <v>14.7</v>
          </cell>
        </row>
        <row r="596">
          <cell r="A596">
            <v>46685</v>
          </cell>
          <cell r="B596" t="str">
            <v>TGS-27-4406X4BBS-L-STEEL</v>
          </cell>
          <cell r="E596" t="str">
            <v>2017-10-18</v>
          </cell>
          <cell r="I596">
            <v>42838</v>
          </cell>
          <cell r="J596" t="str">
            <v>CKD</v>
          </cell>
          <cell r="K596">
            <v>14.7</v>
          </cell>
        </row>
        <row r="597">
          <cell r="A597">
            <v>46686</v>
          </cell>
          <cell r="B597" t="str">
            <v>TGS-27-4406X4BBS-L-STEEL</v>
          </cell>
          <cell r="E597" t="str">
            <v>2017-10-20</v>
          </cell>
          <cell r="I597">
            <v>42838</v>
          </cell>
          <cell r="J597" t="str">
            <v>CKD</v>
          </cell>
          <cell r="K597">
            <v>14.7</v>
          </cell>
        </row>
        <row r="598">
          <cell r="A598">
            <v>46687</v>
          </cell>
          <cell r="B598" t="str">
            <v>TGS-27-4406X4BBS-L-STEEL</v>
          </cell>
          <cell r="E598" t="str">
            <v>2017-10-20</v>
          </cell>
          <cell r="I598">
            <v>42838</v>
          </cell>
          <cell r="J598" t="str">
            <v>CKD</v>
          </cell>
          <cell r="K598">
            <v>14.7</v>
          </cell>
        </row>
        <row r="599">
          <cell r="A599">
            <v>46688</v>
          </cell>
          <cell r="B599" t="str">
            <v>TGS-27-4406X4BBS-L-STEEL</v>
          </cell>
          <cell r="E599" t="str">
            <v>2017-10-20</v>
          </cell>
          <cell r="I599">
            <v>42838</v>
          </cell>
          <cell r="J599" t="str">
            <v>CKD</v>
          </cell>
          <cell r="K599">
            <v>14.7</v>
          </cell>
        </row>
        <row r="600">
          <cell r="A600">
            <v>46689</v>
          </cell>
          <cell r="B600" t="str">
            <v>TGS-27-4406X4BBS-L-STEEL</v>
          </cell>
          <cell r="E600" t="str">
            <v>2017-10-23</v>
          </cell>
          <cell r="I600">
            <v>42838</v>
          </cell>
          <cell r="J600" t="str">
            <v>CKD</v>
          </cell>
          <cell r="K600">
            <v>14.7</v>
          </cell>
        </row>
        <row r="601">
          <cell r="A601">
            <v>46690</v>
          </cell>
          <cell r="B601" t="str">
            <v>TGS-27-4406X4BBS-L-STEEL</v>
          </cell>
          <cell r="E601" t="str">
            <v>2017-10-23</v>
          </cell>
          <cell r="I601">
            <v>42838</v>
          </cell>
          <cell r="J601" t="str">
            <v>CKD</v>
          </cell>
          <cell r="K601">
            <v>14.7</v>
          </cell>
        </row>
        <row r="602">
          <cell r="A602">
            <v>46691</v>
          </cell>
          <cell r="B602" t="str">
            <v>TGS-27-4406X4BBS-L-STEEL</v>
          </cell>
          <cell r="E602" t="str">
            <v>2017-10-23</v>
          </cell>
          <cell r="I602">
            <v>42838</v>
          </cell>
          <cell r="J602" t="str">
            <v>CKD</v>
          </cell>
          <cell r="K602">
            <v>14.7</v>
          </cell>
        </row>
        <row r="603">
          <cell r="A603">
            <v>46692</v>
          </cell>
          <cell r="B603" t="str">
            <v>TGS-27-4406X4BBS-L-STEEL</v>
          </cell>
          <cell r="E603" t="str">
            <v>2017-10-23</v>
          </cell>
          <cell r="I603">
            <v>42838</v>
          </cell>
          <cell r="J603" t="str">
            <v>CKD</v>
          </cell>
          <cell r="K603">
            <v>14.7</v>
          </cell>
        </row>
        <row r="604">
          <cell r="A604">
            <v>46693</v>
          </cell>
          <cell r="B604" t="str">
            <v>TGS-27-4406X4BBS-L-STEEL</v>
          </cell>
          <cell r="E604" t="str">
            <v>2017-10-23</v>
          </cell>
          <cell r="I604">
            <v>42838</v>
          </cell>
          <cell r="J604" t="str">
            <v>CKD</v>
          </cell>
          <cell r="K604">
            <v>14.7</v>
          </cell>
        </row>
        <row r="605">
          <cell r="A605">
            <v>46888</v>
          </cell>
          <cell r="B605" t="str">
            <v>TGS-27-4406X4BBS-L-STEEL</v>
          </cell>
          <cell r="E605" t="str">
            <v>2017-11-7</v>
          </cell>
          <cell r="I605">
            <v>42859</v>
          </cell>
          <cell r="J605" t="str">
            <v>CKD</v>
          </cell>
          <cell r="K605">
            <v>14.7</v>
          </cell>
        </row>
        <row r="606">
          <cell r="A606">
            <v>46889</v>
          </cell>
          <cell r="B606" t="str">
            <v>TGS-27-4406X4BBS-L-STEEL</v>
          </cell>
          <cell r="E606" t="str">
            <v>2017-11-7</v>
          </cell>
          <cell r="I606">
            <v>42859</v>
          </cell>
          <cell r="J606" t="str">
            <v>CKD</v>
          </cell>
          <cell r="K606">
            <v>14.7</v>
          </cell>
        </row>
        <row r="607">
          <cell r="A607">
            <v>46890</v>
          </cell>
          <cell r="B607" t="str">
            <v>TGS-27-4406X4BBS-L-STEEL</v>
          </cell>
          <cell r="E607" t="str">
            <v>2017-11-7</v>
          </cell>
          <cell r="I607">
            <v>42859</v>
          </cell>
          <cell r="J607" t="str">
            <v>CKD</v>
          </cell>
          <cell r="K607">
            <v>14.7</v>
          </cell>
        </row>
        <row r="608">
          <cell r="A608">
            <v>46891</v>
          </cell>
          <cell r="B608" t="str">
            <v>TGS-27-4406X4BBS-L-STEEL</v>
          </cell>
          <cell r="E608" t="str">
            <v>2017-11-7</v>
          </cell>
          <cell r="I608">
            <v>42859</v>
          </cell>
          <cell r="J608" t="str">
            <v>CKD</v>
          </cell>
          <cell r="K608">
            <v>14.7</v>
          </cell>
        </row>
        <row r="609">
          <cell r="A609">
            <v>46892</v>
          </cell>
          <cell r="B609" t="str">
            <v>TGS-27-4406X4BBS-L-STEEL</v>
          </cell>
          <cell r="E609" t="str">
            <v>2017-11-7</v>
          </cell>
          <cell r="I609">
            <v>42859</v>
          </cell>
          <cell r="J609" t="str">
            <v>CKD</v>
          </cell>
          <cell r="K609">
            <v>14.7</v>
          </cell>
        </row>
        <row r="610">
          <cell r="A610">
            <v>46893</v>
          </cell>
          <cell r="B610" t="str">
            <v>TGS-27-4406X4BBS-L-STEEL</v>
          </cell>
          <cell r="E610" t="str">
            <v>2017-11-8</v>
          </cell>
          <cell r="I610">
            <v>42859</v>
          </cell>
          <cell r="J610" t="str">
            <v>CKD</v>
          </cell>
          <cell r="K610">
            <v>14.7</v>
          </cell>
        </row>
        <row r="611">
          <cell r="A611">
            <v>46894</v>
          </cell>
          <cell r="B611" t="str">
            <v>TGS-27-4406X4BBS-L-STEEL</v>
          </cell>
          <cell r="E611" t="str">
            <v>2017-11-8</v>
          </cell>
          <cell r="I611">
            <v>42859</v>
          </cell>
          <cell r="J611" t="str">
            <v>CKD</v>
          </cell>
          <cell r="K611">
            <v>14.7</v>
          </cell>
        </row>
        <row r="612">
          <cell r="A612">
            <v>46895</v>
          </cell>
          <cell r="B612" t="str">
            <v>TGS-27-4406X4BBS-L-STEEL</v>
          </cell>
          <cell r="E612" t="str">
            <v>2017-11-8</v>
          </cell>
          <cell r="I612">
            <v>42859</v>
          </cell>
          <cell r="J612" t="str">
            <v>CKD</v>
          </cell>
          <cell r="K612">
            <v>14.7</v>
          </cell>
        </row>
        <row r="613">
          <cell r="A613">
            <v>46896</v>
          </cell>
          <cell r="B613" t="str">
            <v>TGS-27-4406X4BBS-L-STEEL</v>
          </cell>
          <cell r="E613" t="str">
            <v>2017-11-14</v>
          </cell>
          <cell r="I613">
            <v>42859</v>
          </cell>
          <cell r="J613" t="str">
            <v>CKD</v>
          </cell>
          <cell r="K613">
            <v>14.7</v>
          </cell>
        </row>
        <row r="614">
          <cell r="A614">
            <v>46897</v>
          </cell>
          <cell r="B614" t="str">
            <v>TGS-27-4406X4BBS-L-STEEL</v>
          </cell>
          <cell r="E614" t="str">
            <v>2017-11-14</v>
          </cell>
          <cell r="I614">
            <v>42859</v>
          </cell>
          <cell r="J614" t="str">
            <v>CKD</v>
          </cell>
          <cell r="K614">
            <v>14.7</v>
          </cell>
        </row>
        <row r="615">
          <cell r="A615">
            <v>46898</v>
          </cell>
          <cell r="B615" t="str">
            <v>TGS-27-4406X4BBS-L-STEEL</v>
          </cell>
          <cell r="E615" t="str">
            <v>2017-11-14</v>
          </cell>
          <cell r="I615">
            <v>42859</v>
          </cell>
          <cell r="J615" t="str">
            <v>CKD</v>
          </cell>
          <cell r="K615">
            <v>14.7</v>
          </cell>
        </row>
        <row r="616">
          <cell r="A616">
            <v>46899</v>
          </cell>
          <cell r="B616" t="str">
            <v>TGS-27-4406X4BBS-L-STEEL</v>
          </cell>
          <cell r="E616" t="str">
            <v>2017-11-14</v>
          </cell>
          <cell r="I616">
            <v>42859</v>
          </cell>
          <cell r="J616" t="str">
            <v>CKD</v>
          </cell>
          <cell r="K616">
            <v>14.7</v>
          </cell>
        </row>
        <row r="617">
          <cell r="A617">
            <v>46900</v>
          </cell>
          <cell r="B617" t="str">
            <v>TGS-27-4406X4BBS-L-STEEL</v>
          </cell>
          <cell r="E617" t="str">
            <v>2017-11-14</v>
          </cell>
          <cell r="I617">
            <v>42859</v>
          </cell>
          <cell r="J617" t="str">
            <v>CKD</v>
          </cell>
          <cell r="K617">
            <v>14.7</v>
          </cell>
        </row>
        <row r="618">
          <cell r="A618">
            <v>46901</v>
          </cell>
          <cell r="B618" t="str">
            <v>TGS-27-4406X4BBS-L-STEEL</v>
          </cell>
          <cell r="E618" t="str">
            <v>2017-11-14</v>
          </cell>
          <cell r="I618">
            <v>42859</v>
          </cell>
          <cell r="J618" t="str">
            <v>CKD</v>
          </cell>
          <cell r="K618">
            <v>14.7</v>
          </cell>
        </row>
        <row r="619">
          <cell r="A619">
            <v>46902</v>
          </cell>
          <cell r="B619" t="str">
            <v>TGS-27-4406X4BBS-L-STEEL</v>
          </cell>
          <cell r="E619" t="str">
            <v>2017-11-15</v>
          </cell>
          <cell r="I619">
            <v>42859</v>
          </cell>
          <cell r="J619" t="str">
            <v>CKD</v>
          </cell>
          <cell r="K619">
            <v>14.7</v>
          </cell>
        </row>
        <row r="620">
          <cell r="A620">
            <v>46903</v>
          </cell>
          <cell r="B620" t="str">
            <v>TGS-27-4406X4BBS-L-STEEL</v>
          </cell>
          <cell r="E620" t="str">
            <v>2017-11-15</v>
          </cell>
          <cell r="I620">
            <v>42859</v>
          </cell>
          <cell r="J620" t="str">
            <v>CKD</v>
          </cell>
          <cell r="K620">
            <v>14.7</v>
          </cell>
        </row>
        <row r="621">
          <cell r="A621">
            <v>46904</v>
          </cell>
          <cell r="B621" t="str">
            <v>TGS-27-4406X4BBS-L-STEEL</v>
          </cell>
          <cell r="E621" t="str">
            <v>2017-11-23</v>
          </cell>
          <cell r="I621">
            <v>42859</v>
          </cell>
          <cell r="J621" t="str">
            <v>CKD</v>
          </cell>
          <cell r="K621">
            <v>14.7</v>
          </cell>
        </row>
        <row r="622">
          <cell r="A622">
            <v>46905</v>
          </cell>
          <cell r="B622" t="str">
            <v>TGS-27-4406X4BBS-L-STEEL</v>
          </cell>
          <cell r="E622" t="str">
            <v>2017-11-23</v>
          </cell>
          <cell r="I622">
            <v>42859</v>
          </cell>
          <cell r="J622" t="str">
            <v>CKD</v>
          </cell>
          <cell r="K622">
            <v>14.7</v>
          </cell>
        </row>
        <row r="623">
          <cell r="A623">
            <v>46906</v>
          </cell>
          <cell r="B623" t="str">
            <v>TGS-27-4406X4BBS-L-STEEL</v>
          </cell>
          <cell r="E623" t="str">
            <v>2017-11-23</v>
          </cell>
          <cell r="I623">
            <v>42859</v>
          </cell>
          <cell r="J623" t="str">
            <v>CKD</v>
          </cell>
          <cell r="K623">
            <v>14.7</v>
          </cell>
        </row>
        <row r="624">
          <cell r="A624">
            <v>46907</v>
          </cell>
          <cell r="B624" t="str">
            <v>TGS-27-4406X4BBS-L-STEEL</v>
          </cell>
          <cell r="E624" t="str">
            <v>2017-11-23</v>
          </cell>
          <cell r="I624">
            <v>42859</v>
          </cell>
          <cell r="J624" t="str">
            <v>CKD</v>
          </cell>
          <cell r="K624">
            <v>14.7</v>
          </cell>
        </row>
        <row r="625">
          <cell r="A625">
            <v>47518</v>
          </cell>
          <cell r="B625" t="str">
            <v>TGS-27-4406X4BBS-L-STEEL</v>
          </cell>
          <cell r="E625" t="str">
            <v>2017-11-15</v>
          </cell>
          <cell r="I625">
            <v>42937</v>
          </cell>
          <cell r="J625" t="str">
            <v>CKD</v>
          </cell>
          <cell r="K625">
            <v>14.7</v>
          </cell>
        </row>
        <row r="626">
          <cell r="A626">
            <v>47519</v>
          </cell>
          <cell r="B626" t="str">
            <v>TGS-27-4406X4BBS-L-STEEL</v>
          </cell>
          <cell r="E626" t="str">
            <v>2017-11-15</v>
          </cell>
          <cell r="I626">
            <v>42937</v>
          </cell>
          <cell r="J626" t="str">
            <v>CKD</v>
          </cell>
          <cell r="K626">
            <v>14.7</v>
          </cell>
        </row>
        <row r="627">
          <cell r="A627">
            <v>47520</v>
          </cell>
          <cell r="B627" t="str">
            <v>TGS-27-4406X4BBS-L-STEEL</v>
          </cell>
          <cell r="E627" t="str">
            <v>2017-11-15</v>
          </cell>
          <cell r="I627">
            <v>42937</v>
          </cell>
          <cell r="J627" t="str">
            <v>CKD</v>
          </cell>
          <cell r="K627">
            <v>14.7</v>
          </cell>
        </row>
        <row r="628">
          <cell r="A628">
            <v>47521</v>
          </cell>
          <cell r="B628" t="str">
            <v>TGS-27-4406X4BBS-L-STEEL</v>
          </cell>
          <cell r="E628" t="str">
            <v>2017-11-15</v>
          </cell>
          <cell r="I628">
            <v>42937</v>
          </cell>
          <cell r="J628" t="str">
            <v>CKD</v>
          </cell>
          <cell r="K628">
            <v>14.7</v>
          </cell>
        </row>
        <row r="629">
          <cell r="A629">
            <v>47723</v>
          </cell>
          <cell r="B629" t="str">
            <v>TGS-27-4406X4BBS-L-STEEL</v>
          </cell>
          <cell r="E629" t="str">
            <v>2018-02-20</v>
          </cell>
          <cell r="I629">
            <v>42947</v>
          </cell>
          <cell r="J629" t="str">
            <v>CKD</v>
          </cell>
          <cell r="K629">
            <v>14.7</v>
          </cell>
        </row>
        <row r="630">
          <cell r="A630">
            <v>47724</v>
          </cell>
          <cell r="B630" t="str">
            <v>TGS-27-4406X4BBS-L-STEEL</v>
          </cell>
          <cell r="E630" t="str">
            <v>2018-02-20</v>
          </cell>
          <cell r="I630">
            <v>42947</v>
          </cell>
          <cell r="J630" t="str">
            <v>CKD</v>
          </cell>
          <cell r="K630">
            <v>14.7</v>
          </cell>
        </row>
        <row r="631">
          <cell r="A631">
            <v>47725</v>
          </cell>
          <cell r="B631" t="str">
            <v>TGS-27-4406X4BBS-L-STEEL</v>
          </cell>
          <cell r="E631" t="str">
            <v>2018-02-20</v>
          </cell>
          <cell r="I631">
            <v>42947</v>
          </cell>
          <cell r="J631" t="str">
            <v>CKD</v>
          </cell>
          <cell r="K631">
            <v>14.7</v>
          </cell>
        </row>
        <row r="632">
          <cell r="A632">
            <v>47726</v>
          </cell>
          <cell r="B632" t="str">
            <v>TGS-27-4406X4BBS-L-STEEL</v>
          </cell>
          <cell r="E632" t="str">
            <v>2018-02-20</v>
          </cell>
          <cell r="I632">
            <v>42947</v>
          </cell>
          <cell r="J632" t="str">
            <v>CKD</v>
          </cell>
          <cell r="K632">
            <v>14.7</v>
          </cell>
        </row>
        <row r="633">
          <cell r="A633">
            <v>47727</v>
          </cell>
          <cell r="B633" t="str">
            <v>TGS-27-4406X4BBS-L-STEEL</v>
          </cell>
          <cell r="E633" t="str">
            <v>2018-02-28</v>
          </cell>
          <cell r="I633">
            <v>42947</v>
          </cell>
          <cell r="J633" t="str">
            <v>CKD</v>
          </cell>
          <cell r="K633">
            <v>14.7</v>
          </cell>
        </row>
        <row r="634">
          <cell r="A634">
            <v>47728</v>
          </cell>
          <cell r="B634" t="str">
            <v>TGS-27-4406X4BBS-L-STEEL</v>
          </cell>
          <cell r="E634" t="str">
            <v>2018-02-28</v>
          </cell>
          <cell r="I634">
            <v>42947</v>
          </cell>
          <cell r="J634" t="str">
            <v>CKD</v>
          </cell>
          <cell r="K634">
            <v>14.7</v>
          </cell>
        </row>
        <row r="635">
          <cell r="A635">
            <v>47729</v>
          </cell>
          <cell r="B635" t="str">
            <v>TGS-27-4406X4BBS-L-STEEL</v>
          </cell>
          <cell r="E635" t="str">
            <v>2018-02-28</v>
          </cell>
          <cell r="I635">
            <v>42947</v>
          </cell>
          <cell r="J635" t="str">
            <v>CKD</v>
          </cell>
          <cell r="K635">
            <v>14.7</v>
          </cell>
        </row>
        <row r="636">
          <cell r="A636">
            <v>47730</v>
          </cell>
          <cell r="B636" t="str">
            <v>TGS-27-4406X4BBS-L-STEEL</v>
          </cell>
          <cell r="E636" t="str">
            <v>2018-02-28</v>
          </cell>
          <cell r="I636">
            <v>42947</v>
          </cell>
          <cell r="J636" t="str">
            <v>CKD</v>
          </cell>
          <cell r="K636">
            <v>14.7</v>
          </cell>
        </row>
        <row r="637">
          <cell r="A637">
            <v>47731</v>
          </cell>
          <cell r="B637" t="str">
            <v>TGS-27-4406X4BBS-L-STEEL</v>
          </cell>
          <cell r="E637" t="str">
            <v>2018-03-5</v>
          </cell>
          <cell r="I637">
            <v>42947</v>
          </cell>
          <cell r="J637" t="str">
            <v>CKD</v>
          </cell>
          <cell r="K637">
            <v>14.7</v>
          </cell>
        </row>
        <row r="638">
          <cell r="A638">
            <v>47732</v>
          </cell>
          <cell r="B638" t="str">
            <v>TGS-27-4406X4BBS-L-STEEL</v>
          </cell>
          <cell r="E638" t="str">
            <v>2018-03-5</v>
          </cell>
          <cell r="I638">
            <v>42947</v>
          </cell>
          <cell r="J638" t="str">
            <v>CKD</v>
          </cell>
          <cell r="K638">
            <v>14.7</v>
          </cell>
        </row>
        <row r="639">
          <cell r="A639">
            <v>47733</v>
          </cell>
          <cell r="B639" t="str">
            <v>TGS-27-4406X4BBS-L-STEEL</v>
          </cell>
          <cell r="E639" t="str">
            <v>2018-03-5</v>
          </cell>
          <cell r="I639">
            <v>42947</v>
          </cell>
          <cell r="J639" t="str">
            <v>CKD</v>
          </cell>
          <cell r="K639">
            <v>14.7</v>
          </cell>
        </row>
        <row r="640">
          <cell r="A640">
            <v>47734</v>
          </cell>
          <cell r="B640" t="str">
            <v>TGS-27-4406X4BBS-L-STEEL</v>
          </cell>
          <cell r="E640" t="str">
            <v>2018-03-5</v>
          </cell>
          <cell r="I640">
            <v>42947</v>
          </cell>
          <cell r="J640" t="str">
            <v>CKD</v>
          </cell>
          <cell r="K640">
            <v>14.7</v>
          </cell>
        </row>
        <row r="641">
          <cell r="A641" t="str">
            <v>76W-8726</v>
          </cell>
          <cell r="B641" t="str">
            <v>TGS-27-4406X4BBS-L-STEEL</v>
          </cell>
          <cell r="E641">
            <v>135</v>
          </cell>
          <cell r="I641">
            <v>42656</v>
          </cell>
          <cell r="J641" t="str">
            <v>DEMO</v>
          </cell>
          <cell r="K641">
            <v>16</v>
          </cell>
        </row>
        <row r="642">
          <cell r="A642" t="str">
            <v>76W-9197</v>
          </cell>
          <cell r="B642" t="str">
            <v>TGS-27-4406X4BBS-L-STEEL</v>
          </cell>
          <cell r="E642" t="str">
            <v>2017-08-21</v>
          </cell>
          <cell r="I642">
            <v>42823</v>
          </cell>
          <cell r="J642" t="str">
            <v>BOOKED : 2017-08-10</v>
          </cell>
          <cell r="K642">
            <v>15.4</v>
          </cell>
        </row>
        <row r="643">
          <cell r="A643" t="str">
            <v>76W-9198</v>
          </cell>
          <cell r="B643" t="str">
            <v>TGS-27-4406X4BBS-L-STEEL</v>
          </cell>
          <cell r="E643" t="str">
            <v>2017-08-21</v>
          </cell>
          <cell r="I643">
            <v>42823</v>
          </cell>
          <cell r="J643" t="str">
            <v>BOOKED : 2017-08-10</v>
          </cell>
          <cell r="K643">
            <v>15.4</v>
          </cell>
        </row>
        <row r="644">
          <cell r="A644" t="str">
            <v>76W-9199</v>
          </cell>
          <cell r="B644" t="str">
            <v>TGS-27-4406X4BBS-L-STEEL</v>
          </cell>
          <cell r="E644" t="str">
            <v>2017-08-21</v>
          </cell>
          <cell r="I644">
            <v>42823</v>
          </cell>
          <cell r="J644" t="str">
            <v>BOOKED : 2017-08-10</v>
          </cell>
          <cell r="K644">
            <v>15.4</v>
          </cell>
        </row>
        <row r="645">
          <cell r="A645" t="str">
            <v>76W-9200</v>
          </cell>
          <cell r="B645" t="str">
            <v>TGS-27-4406X4BBS-L-STEEL</v>
          </cell>
          <cell r="E645" t="str">
            <v>2017-08-22</v>
          </cell>
          <cell r="I645">
            <v>42823</v>
          </cell>
          <cell r="J645" t="str">
            <v>BOOKED : 2017-08-10</v>
          </cell>
          <cell r="K645">
            <v>15.4</v>
          </cell>
        </row>
        <row r="646">
          <cell r="A646" t="str">
            <v>76W-9201</v>
          </cell>
          <cell r="B646" t="str">
            <v>TGS-27-4406X4BBS-L-STEEL</v>
          </cell>
          <cell r="E646" t="str">
            <v>2017-08-22</v>
          </cell>
          <cell r="I646">
            <v>42823</v>
          </cell>
          <cell r="J646" t="str">
            <v>CKD</v>
          </cell>
          <cell r="K646">
            <v>15.4</v>
          </cell>
        </row>
        <row r="647">
          <cell r="A647" t="str">
            <v>76W-9202</v>
          </cell>
          <cell r="B647" t="str">
            <v>TGS-27-4406X4BBS-L-STEEL</v>
          </cell>
          <cell r="E647" t="str">
            <v>2017-08-22</v>
          </cell>
          <cell r="I647">
            <v>42823</v>
          </cell>
          <cell r="J647" t="str">
            <v>CKD</v>
          </cell>
          <cell r="K647">
            <v>15.4</v>
          </cell>
        </row>
        <row r="648">
          <cell r="A648" t="str">
            <v>76W-9203</v>
          </cell>
          <cell r="B648" t="str">
            <v>TGS-27-4406X4BBS-L-STEEL</v>
          </cell>
          <cell r="E648" t="str">
            <v>2017-08-31</v>
          </cell>
          <cell r="I648">
            <v>42823</v>
          </cell>
          <cell r="J648" t="str">
            <v>CKD</v>
          </cell>
          <cell r="K648">
            <v>15.4</v>
          </cell>
        </row>
        <row r="649">
          <cell r="A649" t="str">
            <v>76W-9204</v>
          </cell>
          <cell r="B649" t="str">
            <v>TGS-27-4406X4BBS-L-STEEL</v>
          </cell>
          <cell r="E649" t="str">
            <v>2017-08-31</v>
          </cell>
          <cell r="I649">
            <v>42823</v>
          </cell>
          <cell r="J649" t="str">
            <v>CKD</v>
          </cell>
          <cell r="K649">
            <v>15.4</v>
          </cell>
        </row>
        <row r="650">
          <cell r="A650" t="str">
            <v>76W-9205</v>
          </cell>
          <cell r="B650" t="str">
            <v>TGS-27-4406X4BBS-L-STEEL</v>
          </cell>
          <cell r="E650" t="str">
            <v>2017-09-1</v>
          </cell>
          <cell r="I650">
            <v>42823</v>
          </cell>
          <cell r="J650" t="str">
            <v>CKD</v>
          </cell>
          <cell r="K650">
            <v>15.4</v>
          </cell>
        </row>
        <row r="651">
          <cell r="A651" t="str">
            <v>76W-9206</v>
          </cell>
          <cell r="B651" t="str">
            <v>TGS-27-4406X4BBS-L-STEEL</v>
          </cell>
          <cell r="E651" t="str">
            <v>2017-09-1</v>
          </cell>
          <cell r="I651">
            <v>42823</v>
          </cell>
          <cell r="J651" t="str">
            <v>CKD</v>
          </cell>
          <cell r="K651">
            <v>15.4</v>
          </cell>
        </row>
        <row r="652">
          <cell r="A652" t="str">
            <v>TBAKP718</v>
          </cell>
          <cell r="B652" t="str">
            <v>TGS-27-4406X4BBS-L-STEEL</v>
          </cell>
          <cell r="E652" t="str">
            <v>2018-02-15</v>
          </cell>
          <cell r="I652">
            <v>42921</v>
          </cell>
          <cell r="J652" t="str">
            <v>CKD</v>
          </cell>
          <cell r="K652">
            <v>14.7</v>
          </cell>
        </row>
        <row r="653">
          <cell r="A653">
            <v>46694</v>
          </cell>
          <cell r="B653" t="str">
            <v>TGS-27-4406X4BBS-LX</v>
          </cell>
          <cell r="E653" t="str">
            <v>2017-10-23</v>
          </cell>
          <cell r="I653">
            <v>42838</v>
          </cell>
          <cell r="J653" t="str">
            <v>BOOKED : 2017-08-10</v>
          </cell>
          <cell r="K653">
            <v>14.7</v>
          </cell>
        </row>
        <row r="654">
          <cell r="A654">
            <v>46910</v>
          </cell>
          <cell r="B654" t="str">
            <v>TGS-27-4406X4BBS-LX</v>
          </cell>
          <cell r="E654" t="str">
            <v>2017-10-30</v>
          </cell>
          <cell r="I654">
            <v>42859</v>
          </cell>
          <cell r="J654" t="str">
            <v>BOOKED : 2017-08-10</v>
          </cell>
          <cell r="K654">
            <v>14.7</v>
          </cell>
        </row>
        <row r="655">
          <cell r="A655">
            <v>46911</v>
          </cell>
          <cell r="B655" t="str">
            <v>TGS-27-4406X4BBS-LX</v>
          </cell>
          <cell r="E655" t="str">
            <v>2017-10-30</v>
          </cell>
          <cell r="I655">
            <v>42859</v>
          </cell>
          <cell r="J655" t="str">
            <v>BOOKED : 2017-08-10</v>
          </cell>
          <cell r="K655">
            <v>14.7</v>
          </cell>
        </row>
        <row r="656">
          <cell r="A656">
            <v>46912</v>
          </cell>
          <cell r="B656" t="str">
            <v>TGS-27-4406X4BBS-LX</v>
          </cell>
          <cell r="E656" t="str">
            <v>2017-10-30</v>
          </cell>
          <cell r="I656">
            <v>42859</v>
          </cell>
          <cell r="J656" t="str">
            <v>BOOKED : 2017-08-10</v>
          </cell>
          <cell r="K656">
            <v>14.7</v>
          </cell>
        </row>
        <row r="657">
          <cell r="A657">
            <v>46913</v>
          </cell>
          <cell r="B657" t="str">
            <v>TGS-27-4406X4BBS-LX</v>
          </cell>
          <cell r="E657" t="str">
            <v>2017-10-30</v>
          </cell>
          <cell r="I657">
            <v>42859</v>
          </cell>
          <cell r="J657" t="str">
            <v>BOOKED : 2017-08-10</v>
          </cell>
          <cell r="K657">
            <v>14.7</v>
          </cell>
        </row>
        <row r="658">
          <cell r="A658">
            <v>46914</v>
          </cell>
          <cell r="B658" t="str">
            <v>TGS-27-4406X4BBS-LX</v>
          </cell>
          <cell r="E658" t="str">
            <v>2017-10-31</v>
          </cell>
          <cell r="I658">
            <v>42859</v>
          </cell>
          <cell r="J658" t="str">
            <v>BOOKED : 2017-08-10</v>
          </cell>
          <cell r="K658">
            <v>14.7</v>
          </cell>
        </row>
        <row r="659">
          <cell r="A659">
            <v>46915</v>
          </cell>
          <cell r="B659" t="str">
            <v>TGS-27-4406X4BBS-LX</v>
          </cell>
          <cell r="E659" t="str">
            <v>2017-10-31</v>
          </cell>
          <cell r="I659">
            <v>42859</v>
          </cell>
          <cell r="J659" t="str">
            <v>BOOKED : 2017-08-10</v>
          </cell>
          <cell r="K659">
            <v>14.7</v>
          </cell>
        </row>
        <row r="660">
          <cell r="A660">
            <v>46916</v>
          </cell>
          <cell r="B660" t="str">
            <v>TGS-27-4406X4BBS-LX</v>
          </cell>
          <cell r="E660" t="str">
            <v>2017-11-8</v>
          </cell>
          <cell r="I660">
            <v>42859</v>
          </cell>
          <cell r="J660" t="str">
            <v>BOOKED : 2017-08-10</v>
          </cell>
          <cell r="K660">
            <v>14.7</v>
          </cell>
        </row>
        <row r="661">
          <cell r="A661">
            <v>46917</v>
          </cell>
          <cell r="B661" t="str">
            <v>TGS-27-4406X4BBS-LX</v>
          </cell>
          <cell r="E661" t="str">
            <v>2017-11-8</v>
          </cell>
          <cell r="I661">
            <v>42859</v>
          </cell>
          <cell r="J661" t="str">
            <v>BOOKED : 2017-08-10</v>
          </cell>
          <cell r="K661">
            <v>14.7</v>
          </cell>
        </row>
        <row r="662">
          <cell r="A662">
            <v>46918</v>
          </cell>
          <cell r="B662" t="str">
            <v>TGS-27-4406X4BBS-LX</v>
          </cell>
          <cell r="E662" t="str">
            <v>2017-11-9</v>
          </cell>
          <cell r="I662">
            <v>42859</v>
          </cell>
          <cell r="J662" t="str">
            <v>BOOKED : 2017-08-10</v>
          </cell>
          <cell r="K662">
            <v>14.7</v>
          </cell>
        </row>
        <row r="663">
          <cell r="A663">
            <v>46919</v>
          </cell>
          <cell r="B663" t="str">
            <v>TGS-27-4406X4BBS-LX</v>
          </cell>
          <cell r="E663" t="str">
            <v>2017-11-9</v>
          </cell>
          <cell r="I663">
            <v>42859</v>
          </cell>
          <cell r="J663" t="str">
            <v>BOOKED : 2017-08-10</v>
          </cell>
          <cell r="K663">
            <v>14.7</v>
          </cell>
        </row>
        <row r="664">
          <cell r="A664">
            <v>46920</v>
          </cell>
          <cell r="B664" t="str">
            <v>TGS-27-4406X4BBS-LX</v>
          </cell>
          <cell r="E664" t="str">
            <v>2017-11-15</v>
          </cell>
          <cell r="I664">
            <v>42859</v>
          </cell>
          <cell r="J664" t="str">
            <v>BOOKED : 2017-08-10</v>
          </cell>
          <cell r="K664">
            <v>14.7</v>
          </cell>
        </row>
        <row r="665">
          <cell r="A665">
            <v>46921</v>
          </cell>
          <cell r="B665" t="str">
            <v>TGS-27-4406X4BBS-LX</v>
          </cell>
          <cell r="E665" t="str">
            <v>2017-11-15</v>
          </cell>
          <cell r="I665">
            <v>42859</v>
          </cell>
          <cell r="J665" t="str">
            <v>BOOKED : 2017-08-10</v>
          </cell>
          <cell r="K665">
            <v>14.7</v>
          </cell>
        </row>
        <row r="666">
          <cell r="A666">
            <v>46922</v>
          </cell>
          <cell r="B666" t="str">
            <v>TGS-27-4406X4BBS-LX</v>
          </cell>
          <cell r="E666" t="str">
            <v>2017-11-16</v>
          </cell>
          <cell r="I666">
            <v>42859</v>
          </cell>
          <cell r="J666" t="str">
            <v>BOOKED : 2017-08-10</v>
          </cell>
          <cell r="K666">
            <v>14.7</v>
          </cell>
        </row>
        <row r="667">
          <cell r="A667">
            <v>46927</v>
          </cell>
          <cell r="B667" t="str">
            <v>TGS-27-4406X4BBS-LX</v>
          </cell>
          <cell r="E667" t="str">
            <v>2017-11-16</v>
          </cell>
          <cell r="I667">
            <v>42859</v>
          </cell>
          <cell r="J667" t="str">
            <v>BOOKED : 2017-08-10</v>
          </cell>
          <cell r="K667">
            <v>14.7</v>
          </cell>
        </row>
        <row r="668">
          <cell r="A668">
            <v>47735</v>
          </cell>
          <cell r="B668" t="str">
            <v>TGS-27-4406X4BBS-LX</v>
          </cell>
          <cell r="E668" t="str">
            <v>2018-02-15</v>
          </cell>
          <cell r="I668">
            <v>42947</v>
          </cell>
          <cell r="J668" t="str">
            <v>CKD</v>
          </cell>
          <cell r="K668">
            <v>14.7</v>
          </cell>
        </row>
        <row r="669">
          <cell r="A669">
            <v>47736</v>
          </cell>
          <cell r="B669" t="str">
            <v>TGS-27-4406X4BBS-LX</v>
          </cell>
          <cell r="E669" t="str">
            <v>2018-02-15</v>
          </cell>
          <cell r="I669">
            <v>42947</v>
          </cell>
          <cell r="J669" t="str">
            <v>CKD</v>
          </cell>
          <cell r="K669">
            <v>14.7</v>
          </cell>
        </row>
        <row r="670">
          <cell r="A670">
            <v>47737</v>
          </cell>
          <cell r="B670" t="str">
            <v>TGS-27-4406X4BBS-LX</v>
          </cell>
          <cell r="E670" t="str">
            <v>2018-02-15</v>
          </cell>
          <cell r="I670">
            <v>42947</v>
          </cell>
          <cell r="J670" t="str">
            <v>CKD</v>
          </cell>
          <cell r="K670">
            <v>14.7</v>
          </cell>
        </row>
        <row r="671">
          <cell r="A671">
            <v>47738</v>
          </cell>
          <cell r="B671" t="str">
            <v>TGS-27-4406X4BBS-LX</v>
          </cell>
          <cell r="E671" t="str">
            <v>2018-02-15</v>
          </cell>
          <cell r="I671">
            <v>42947</v>
          </cell>
          <cell r="J671" t="str">
            <v>CKD</v>
          </cell>
          <cell r="K671">
            <v>14.7</v>
          </cell>
        </row>
        <row r="672">
          <cell r="A672">
            <v>47739</v>
          </cell>
          <cell r="B672" t="str">
            <v>TGS-27-4406X4BBS-LX</v>
          </cell>
          <cell r="E672" t="str">
            <v>2018-03-5</v>
          </cell>
          <cell r="I672">
            <v>42947</v>
          </cell>
          <cell r="J672" t="str">
            <v>CKD</v>
          </cell>
          <cell r="K672">
            <v>14.7</v>
          </cell>
        </row>
        <row r="673">
          <cell r="A673">
            <v>47740</v>
          </cell>
          <cell r="B673" t="str">
            <v>TGS-27-4406X4BBS-LX</v>
          </cell>
          <cell r="E673" t="str">
            <v>2018-03-5</v>
          </cell>
          <cell r="I673">
            <v>42947</v>
          </cell>
          <cell r="J673" t="str">
            <v>CKD</v>
          </cell>
          <cell r="K673">
            <v>14.7</v>
          </cell>
        </row>
        <row r="674">
          <cell r="A674">
            <v>47741</v>
          </cell>
          <cell r="B674" t="str">
            <v>TGS-27-4406X4BBS-LX</v>
          </cell>
          <cell r="E674" t="str">
            <v>2018-03-5</v>
          </cell>
          <cell r="I674">
            <v>42947</v>
          </cell>
          <cell r="J674" t="str">
            <v>CKD</v>
          </cell>
          <cell r="K674">
            <v>14.7</v>
          </cell>
        </row>
        <row r="675">
          <cell r="A675">
            <v>47742</v>
          </cell>
          <cell r="B675" t="str">
            <v>TGS-27-4406X4BBS-LX</v>
          </cell>
          <cell r="E675" t="str">
            <v>2018-03-5</v>
          </cell>
          <cell r="I675">
            <v>42947</v>
          </cell>
          <cell r="J675" t="str">
            <v>CKD</v>
          </cell>
          <cell r="K675">
            <v>14.7</v>
          </cell>
        </row>
        <row r="676">
          <cell r="A676">
            <v>47743</v>
          </cell>
          <cell r="B676" t="str">
            <v>TGS-27-4406X4BBS-LX</v>
          </cell>
          <cell r="E676" t="str">
            <v>2018-03-10</v>
          </cell>
          <cell r="I676">
            <v>42947</v>
          </cell>
          <cell r="J676" t="str">
            <v>CKD</v>
          </cell>
          <cell r="K676">
            <v>14.7</v>
          </cell>
        </row>
        <row r="677">
          <cell r="A677">
            <v>47744</v>
          </cell>
          <cell r="B677" t="str">
            <v>TGS-27-4406X4BBS-LX</v>
          </cell>
          <cell r="E677" t="str">
            <v>2018-03-10</v>
          </cell>
          <cell r="I677">
            <v>42947</v>
          </cell>
          <cell r="J677" t="str">
            <v>CKD</v>
          </cell>
          <cell r="K677">
            <v>14.7</v>
          </cell>
        </row>
        <row r="678">
          <cell r="A678">
            <v>47745</v>
          </cell>
          <cell r="B678" t="str">
            <v>TGS-27-4406X4BBS-LX</v>
          </cell>
          <cell r="E678" t="str">
            <v>2018-03-10</v>
          </cell>
          <cell r="I678">
            <v>42947</v>
          </cell>
          <cell r="J678" t="str">
            <v>CKD</v>
          </cell>
          <cell r="K678">
            <v>14.7</v>
          </cell>
        </row>
        <row r="679">
          <cell r="A679">
            <v>47746</v>
          </cell>
          <cell r="B679" t="str">
            <v>TGS-27-4406X4BBS-LX</v>
          </cell>
          <cell r="E679" t="str">
            <v>2018-03-10</v>
          </cell>
          <cell r="I679">
            <v>42947</v>
          </cell>
          <cell r="J679" t="str">
            <v>CKD</v>
          </cell>
          <cell r="K679">
            <v>14.7</v>
          </cell>
        </row>
        <row r="680">
          <cell r="A680" t="str">
            <v>76W-9159</v>
          </cell>
          <cell r="B680" t="str">
            <v>TGS-27-4406X4BBS-LX</v>
          </cell>
          <cell r="E680">
            <v>9</v>
          </cell>
          <cell r="I680">
            <v>42804</v>
          </cell>
          <cell r="J680" t="str">
            <v>BOOKED : 2017-10-3</v>
          </cell>
          <cell r="K680">
            <v>15.4</v>
          </cell>
        </row>
        <row r="681">
          <cell r="A681" t="str">
            <v>76W-9160</v>
          </cell>
          <cell r="B681" t="str">
            <v>TGS-27-4406X4BBS-LX</v>
          </cell>
          <cell r="E681">
            <v>8</v>
          </cell>
          <cell r="I681">
            <v>42804</v>
          </cell>
          <cell r="J681" t="str">
            <v>BOOKED : 2017-08-3</v>
          </cell>
          <cell r="K681">
            <v>15.4</v>
          </cell>
        </row>
        <row r="682">
          <cell r="A682" t="str">
            <v>TBAKP753</v>
          </cell>
          <cell r="B682" t="str">
            <v>TGS-27-4406X4BBS-LX</v>
          </cell>
          <cell r="E682" t="str">
            <v>2018-02-15</v>
          </cell>
          <cell r="I682">
            <v>42921</v>
          </cell>
          <cell r="J682" t="str">
            <v>CKD</v>
          </cell>
          <cell r="K682">
            <v>14.7</v>
          </cell>
        </row>
        <row r="683">
          <cell r="A683">
            <v>46698</v>
          </cell>
          <cell r="B683" t="str">
            <v>TGS-27-4806X4BBS-LX</v>
          </cell>
          <cell r="E683" t="str">
            <v>2017-10-11</v>
          </cell>
          <cell r="I683">
            <v>42838</v>
          </cell>
          <cell r="J683" t="str">
            <v>BOOKED : 2017-08-10</v>
          </cell>
          <cell r="K683">
            <v>14.7</v>
          </cell>
        </row>
        <row r="684">
          <cell r="A684">
            <v>46699</v>
          </cell>
          <cell r="B684" t="str">
            <v>TGS-27-4806X4BBS-LX</v>
          </cell>
          <cell r="E684" t="str">
            <v>2017-10-11</v>
          </cell>
          <cell r="I684">
            <v>42838</v>
          </cell>
          <cell r="J684" t="str">
            <v>BOOKED : 2017-08-10</v>
          </cell>
          <cell r="K684">
            <v>14.7</v>
          </cell>
        </row>
        <row r="685">
          <cell r="A685">
            <v>46700</v>
          </cell>
          <cell r="B685" t="str">
            <v>TGS-27-4806X4BBS-LX</v>
          </cell>
          <cell r="E685" t="str">
            <v>2017-10-11</v>
          </cell>
          <cell r="I685">
            <v>42838</v>
          </cell>
          <cell r="J685" t="str">
            <v>BOOKED : 2017-08-10</v>
          </cell>
          <cell r="K685">
            <v>14.7</v>
          </cell>
        </row>
        <row r="686">
          <cell r="A686">
            <v>46701</v>
          </cell>
          <cell r="B686" t="str">
            <v>TGS-27-4806X4BBS-LX</v>
          </cell>
          <cell r="E686" t="str">
            <v>2017-10-11</v>
          </cell>
          <cell r="I686">
            <v>42838</v>
          </cell>
          <cell r="J686" t="str">
            <v>BOOKED : 2017-08-10</v>
          </cell>
          <cell r="K686">
            <v>14.7</v>
          </cell>
        </row>
        <row r="687">
          <cell r="A687">
            <v>46928</v>
          </cell>
          <cell r="B687" t="str">
            <v>TGS-27-4806X4BBS-LX</v>
          </cell>
          <cell r="E687" t="str">
            <v>2017-10-31</v>
          </cell>
          <cell r="I687">
            <v>42859</v>
          </cell>
          <cell r="J687" t="str">
            <v>CKD</v>
          </cell>
          <cell r="K687">
            <v>14.7</v>
          </cell>
        </row>
        <row r="688">
          <cell r="A688">
            <v>46931</v>
          </cell>
          <cell r="B688" t="str">
            <v>TGS-27-4806X4BBS-LX</v>
          </cell>
          <cell r="E688" t="str">
            <v>2017-10-31</v>
          </cell>
          <cell r="I688">
            <v>42859</v>
          </cell>
          <cell r="J688" t="str">
            <v>BOOKED : 2017-08-10</v>
          </cell>
          <cell r="K688">
            <v>14.7</v>
          </cell>
        </row>
        <row r="689">
          <cell r="A689">
            <v>46932</v>
          </cell>
          <cell r="B689" t="str">
            <v>TGS-27-4806X4BBS-LX</v>
          </cell>
          <cell r="E689" t="str">
            <v>2017-10-31</v>
          </cell>
          <cell r="I689">
            <v>42859</v>
          </cell>
          <cell r="J689" t="str">
            <v>BOOKED : 2017-08-10</v>
          </cell>
          <cell r="K689">
            <v>14.7</v>
          </cell>
        </row>
        <row r="690">
          <cell r="A690">
            <v>46933</v>
          </cell>
          <cell r="B690" t="str">
            <v>TGS-27-4806X4BBS-LX</v>
          </cell>
          <cell r="E690" t="str">
            <v>2017-10-31</v>
          </cell>
          <cell r="I690">
            <v>42859</v>
          </cell>
          <cell r="J690" t="str">
            <v>BOOKED : 2017-08-10</v>
          </cell>
          <cell r="K690">
            <v>14.7</v>
          </cell>
        </row>
        <row r="691">
          <cell r="A691">
            <v>46934</v>
          </cell>
          <cell r="B691" t="str">
            <v>TGS-27-4806X4BBS-LX</v>
          </cell>
          <cell r="E691" t="str">
            <v>2017-11-1</v>
          </cell>
          <cell r="I691">
            <v>42859</v>
          </cell>
          <cell r="J691" t="str">
            <v>BOOKED : 2017-08-10</v>
          </cell>
          <cell r="K691">
            <v>14.7</v>
          </cell>
        </row>
        <row r="692">
          <cell r="A692">
            <v>46935</v>
          </cell>
          <cell r="B692" t="str">
            <v>TGS-27-4806X4BBS-LX</v>
          </cell>
          <cell r="E692" t="str">
            <v>2017-11-1</v>
          </cell>
          <cell r="I692">
            <v>42859</v>
          </cell>
          <cell r="J692" t="str">
            <v>BOOKED : 2017-08-10</v>
          </cell>
          <cell r="K692">
            <v>14.7</v>
          </cell>
        </row>
        <row r="693">
          <cell r="A693">
            <v>46936</v>
          </cell>
          <cell r="B693" t="str">
            <v>TGS-27-4806X4BBS-LX</v>
          </cell>
          <cell r="E693" t="str">
            <v>2017-11-9</v>
          </cell>
          <cell r="I693">
            <v>42859</v>
          </cell>
          <cell r="J693" t="str">
            <v>CKD</v>
          </cell>
          <cell r="K693">
            <v>14.7</v>
          </cell>
        </row>
        <row r="694">
          <cell r="A694">
            <v>46937</v>
          </cell>
          <cell r="B694" t="str">
            <v>TGS-27-4806X4BBS-LX</v>
          </cell>
          <cell r="E694" t="str">
            <v>2017-11-9</v>
          </cell>
          <cell r="I694">
            <v>42859</v>
          </cell>
          <cell r="J694" t="str">
            <v>CKD</v>
          </cell>
          <cell r="K694">
            <v>14.7</v>
          </cell>
        </row>
        <row r="695">
          <cell r="A695">
            <v>46938</v>
          </cell>
          <cell r="B695" t="str">
            <v>TGS-27-4806X4BBS-LX</v>
          </cell>
          <cell r="E695" t="str">
            <v>2017-11-9</v>
          </cell>
          <cell r="I695">
            <v>42859</v>
          </cell>
          <cell r="J695" t="str">
            <v>CKD</v>
          </cell>
          <cell r="K695">
            <v>14.7</v>
          </cell>
        </row>
        <row r="696">
          <cell r="A696">
            <v>46939</v>
          </cell>
          <cell r="B696" t="str">
            <v>TGS-27-4806X4BBS-LX</v>
          </cell>
          <cell r="E696" t="str">
            <v>2017-11-9</v>
          </cell>
          <cell r="I696">
            <v>42859</v>
          </cell>
          <cell r="J696" t="str">
            <v>CKD</v>
          </cell>
          <cell r="K696">
            <v>14.7</v>
          </cell>
        </row>
        <row r="697">
          <cell r="A697">
            <v>46940</v>
          </cell>
          <cell r="B697" t="str">
            <v>TGS-27-4806X4BBS-LX</v>
          </cell>
          <cell r="E697" t="str">
            <v>2017-11-9</v>
          </cell>
          <cell r="I697">
            <v>42859</v>
          </cell>
          <cell r="J697" t="str">
            <v>CKD</v>
          </cell>
          <cell r="K697">
            <v>14.7</v>
          </cell>
        </row>
        <row r="698">
          <cell r="A698">
            <v>46941</v>
          </cell>
          <cell r="B698" t="str">
            <v>TGS-27-4806X4BBS-LX</v>
          </cell>
          <cell r="E698" t="str">
            <v>2017-11-9</v>
          </cell>
          <cell r="I698">
            <v>42859</v>
          </cell>
          <cell r="J698" t="str">
            <v>CKD</v>
          </cell>
          <cell r="K698">
            <v>14.7</v>
          </cell>
        </row>
        <row r="699">
          <cell r="A699">
            <v>46942</v>
          </cell>
          <cell r="B699" t="str">
            <v>TGS-27-4806X4BBS-LX</v>
          </cell>
          <cell r="E699" t="str">
            <v>2017-11-10</v>
          </cell>
          <cell r="I699">
            <v>42859</v>
          </cell>
          <cell r="J699" t="str">
            <v>CKD</v>
          </cell>
          <cell r="K699">
            <v>14.7</v>
          </cell>
        </row>
        <row r="700">
          <cell r="A700">
            <v>46943</v>
          </cell>
          <cell r="B700" t="str">
            <v>TGS-27-4806X4BBS-LX</v>
          </cell>
          <cell r="E700" t="str">
            <v>2017-11-10</v>
          </cell>
          <cell r="I700">
            <v>42859</v>
          </cell>
          <cell r="J700" t="str">
            <v>CKD</v>
          </cell>
          <cell r="K700">
            <v>14.7</v>
          </cell>
        </row>
        <row r="701">
          <cell r="A701">
            <v>46944</v>
          </cell>
          <cell r="B701" t="str">
            <v>TGS-27-4806X4BBS-LX</v>
          </cell>
          <cell r="E701" t="str">
            <v>2017-11-16</v>
          </cell>
          <cell r="I701">
            <v>42859</v>
          </cell>
          <cell r="J701" t="str">
            <v>CKD</v>
          </cell>
          <cell r="K701">
            <v>14.7</v>
          </cell>
        </row>
        <row r="702">
          <cell r="A702">
            <v>46945</v>
          </cell>
          <cell r="B702" t="str">
            <v>TGS-27-4806X4BBS-LX</v>
          </cell>
          <cell r="E702" t="str">
            <v>2017-11-16</v>
          </cell>
          <cell r="I702">
            <v>42859</v>
          </cell>
          <cell r="J702" t="str">
            <v>CKD</v>
          </cell>
          <cell r="K702">
            <v>14.7</v>
          </cell>
        </row>
        <row r="703">
          <cell r="A703">
            <v>46946</v>
          </cell>
          <cell r="B703" t="str">
            <v>TGS-27-4806X4BBS-LX</v>
          </cell>
          <cell r="E703" t="str">
            <v>2017-11-17</v>
          </cell>
          <cell r="I703">
            <v>42859</v>
          </cell>
          <cell r="J703" t="str">
            <v>CKD</v>
          </cell>
          <cell r="K703">
            <v>14.7</v>
          </cell>
        </row>
        <row r="704">
          <cell r="A704">
            <v>46947</v>
          </cell>
          <cell r="B704" t="str">
            <v>TGS-27-4806X4BBS-LX</v>
          </cell>
          <cell r="E704" t="str">
            <v>2017-11-17</v>
          </cell>
          <cell r="I704">
            <v>42859</v>
          </cell>
          <cell r="J704" t="str">
            <v>CKD</v>
          </cell>
          <cell r="K704">
            <v>14.7</v>
          </cell>
        </row>
        <row r="705">
          <cell r="A705">
            <v>46948</v>
          </cell>
          <cell r="B705" t="str">
            <v>TGS-27-4806X4BBS-LX</v>
          </cell>
          <cell r="E705" t="str">
            <v>2017-11-17</v>
          </cell>
          <cell r="I705">
            <v>42859</v>
          </cell>
          <cell r="J705" t="str">
            <v>CKD</v>
          </cell>
          <cell r="K705">
            <v>14.7</v>
          </cell>
        </row>
        <row r="706">
          <cell r="A706">
            <v>46949</v>
          </cell>
          <cell r="B706" t="str">
            <v>TGS-27-4806X4BBS-LX</v>
          </cell>
          <cell r="E706" t="str">
            <v>2017-11-17</v>
          </cell>
          <cell r="I706">
            <v>42859</v>
          </cell>
          <cell r="J706" t="str">
            <v>CKD</v>
          </cell>
          <cell r="K706">
            <v>14.7</v>
          </cell>
        </row>
        <row r="707">
          <cell r="A707">
            <v>46950</v>
          </cell>
          <cell r="B707" t="str">
            <v>TGS-27-4806X4BBS-LX</v>
          </cell>
          <cell r="E707" t="str">
            <v>2017-11-17</v>
          </cell>
          <cell r="I707">
            <v>42859</v>
          </cell>
          <cell r="J707" t="str">
            <v>CKD</v>
          </cell>
          <cell r="K707">
            <v>14.7</v>
          </cell>
        </row>
        <row r="708">
          <cell r="A708">
            <v>46951</v>
          </cell>
          <cell r="B708" t="str">
            <v>TGS-27-4806X4BBS-LX</v>
          </cell>
          <cell r="E708" t="str">
            <v>2017-11-17</v>
          </cell>
          <cell r="I708">
            <v>42859</v>
          </cell>
          <cell r="J708" t="str">
            <v>CKD</v>
          </cell>
          <cell r="K708">
            <v>14.7</v>
          </cell>
        </row>
        <row r="709">
          <cell r="A709">
            <v>47522</v>
          </cell>
          <cell r="B709" t="str">
            <v>TGS-27-4806X4BBS-LX</v>
          </cell>
          <cell r="E709" t="str">
            <v>2017-11-5</v>
          </cell>
          <cell r="I709">
            <v>42937</v>
          </cell>
          <cell r="J709" t="str">
            <v>BOOKED : 2017-08-10</v>
          </cell>
          <cell r="K709">
            <v>14.7</v>
          </cell>
        </row>
        <row r="710">
          <cell r="A710">
            <v>47523</v>
          </cell>
          <cell r="B710" t="str">
            <v>TGS-27-4806X4BBS-LX</v>
          </cell>
          <cell r="E710" t="str">
            <v>2017-11-5</v>
          </cell>
          <cell r="I710">
            <v>42937</v>
          </cell>
          <cell r="J710" t="str">
            <v>BOOKED : 2017-08-10</v>
          </cell>
          <cell r="K710">
            <v>14.7</v>
          </cell>
        </row>
        <row r="711">
          <cell r="A711">
            <v>47524</v>
          </cell>
          <cell r="B711" t="str">
            <v>TGS-27-4806X4BBS-LX</v>
          </cell>
          <cell r="E711" t="str">
            <v>2017-11-5</v>
          </cell>
          <cell r="I711">
            <v>42937</v>
          </cell>
          <cell r="J711" t="str">
            <v>BOOKED : 2017-08-10</v>
          </cell>
          <cell r="K711">
            <v>14.7</v>
          </cell>
        </row>
        <row r="712">
          <cell r="A712">
            <v>47525</v>
          </cell>
          <cell r="B712" t="str">
            <v>TGS-27-4806X4BBS-LX</v>
          </cell>
          <cell r="E712" t="str">
            <v>2017-11-5</v>
          </cell>
          <cell r="I712">
            <v>42937</v>
          </cell>
          <cell r="J712" t="str">
            <v>BOOKED : 2017-08-10</v>
          </cell>
          <cell r="K712">
            <v>14.7</v>
          </cell>
        </row>
        <row r="713">
          <cell r="A713">
            <v>47526</v>
          </cell>
          <cell r="B713" t="str">
            <v>TGS-27-4806X4BBS-LX</v>
          </cell>
          <cell r="E713" t="str">
            <v>2017-11-5</v>
          </cell>
          <cell r="I713">
            <v>42937</v>
          </cell>
          <cell r="J713" t="str">
            <v>BOOKED : 2017-08-10</v>
          </cell>
          <cell r="K713">
            <v>14.7</v>
          </cell>
        </row>
        <row r="714">
          <cell r="A714">
            <v>47527</v>
          </cell>
          <cell r="B714" t="str">
            <v>TGS-27-4806X4BBS-LX</v>
          </cell>
          <cell r="E714" t="str">
            <v>2017-11-5</v>
          </cell>
          <cell r="I714">
            <v>42937</v>
          </cell>
          <cell r="J714" t="str">
            <v>BOOKED : 2017-08-10</v>
          </cell>
          <cell r="K714">
            <v>14.7</v>
          </cell>
        </row>
        <row r="715">
          <cell r="A715">
            <v>47528</v>
          </cell>
          <cell r="B715" t="str">
            <v>TGS-27-4806X4BBS-LX</v>
          </cell>
          <cell r="E715" t="str">
            <v>2017-11-5</v>
          </cell>
          <cell r="I715">
            <v>42937</v>
          </cell>
          <cell r="J715" t="str">
            <v>BOOKED : 2017-08-10</v>
          </cell>
          <cell r="K715">
            <v>14.7</v>
          </cell>
        </row>
        <row r="716">
          <cell r="A716">
            <v>47529</v>
          </cell>
          <cell r="B716" t="str">
            <v>TGS-27-4806X4BBS-LX</v>
          </cell>
          <cell r="E716" t="str">
            <v>2017-11-5</v>
          </cell>
          <cell r="I716">
            <v>42937</v>
          </cell>
          <cell r="J716" t="str">
            <v>CKD</v>
          </cell>
          <cell r="K716">
            <v>14.7</v>
          </cell>
        </row>
        <row r="717">
          <cell r="A717">
            <v>47530</v>
          </cell>
          <cell r="B717" t="str">
            <v>TGS-27-4806X4BBS-LX</v>
          </cell>
          <cell r="E717" t="str">
            <v>2017-11-20</v>
          </cell>
          <cell r="I717">
            <v>42937</v>
          </cell>
          <cell r="J717" t="str">
            <v>CKD</v>
          </cell>
          <cell r="K717">
            <v>14.7</v>
          </cell>
        </row>
        <row r="718">
          <cell r="A718">
            <v>47531</v>
          </cell>
          <cell r="B718" t="str">
            <v>TGS-27-4806X4BBS-LX</v>
          </cell>
          <cell r="E718" t="str">
            <v>2017-11-20</v>
          </cell>
          <cell r="I718">
            <v>42937</v>
          </cell>
          <cell r="J718" t="str">
            <v>CKD</v>
          </cell>
          <cell r="K718">
            <v>14.7</v>
          </cell>
        </row>
        <row r="719">
          <cell r="A719">
            <v>47532</v>
          </cell>
          <cell r="B719" t="str">
            <v>TGS-27-4806X4BBS-LX</v>
          </cell>
          <cell r="E719" t="str">
            <v>2017-11-20</v>
          </cell>
          <cell r="I719">
            <v>42937</v>
          </cell>
          <cell r="J719" t="str">
            <v>CKD</v>
          </cell>
          <cell r="K719">
            <v>14.7</v>
          </cell>
        </row>
        <row r="720">
          <cell r="A720">
            <v>47533</v>
          </cell>
          <cell r="B720" t="str">
            <v>TGS-27-4806X4BBS-LX</v>
          </cell>
          <cell r="E720" t="str">
            <v>2017-11-20</v>
          </cell>
          <cell r="I720">
            <v>42937</v>
          </cell>
          <cell r="J720" t="str">
            <v>CKD</v>
          </cell>
          <cell r="K720">
            <v>14.7</v>
          </cell>
        </row>
        <row r="721">
          <cell r="A721">
            <v>47534</v>
          </cell>
          <cell r="B721" t="str">
            <v>TGS-27-4806X4BBS-LX</v>
          </cell>
          <cell r="E721" t="str">
            <v>2017-11-20</v>
          </cell>
          <cell r="I721">
            <v>42937</v>
          </cell>
          <cell r="J721" t="str">
            <v>CKD</v>
          </cell>
          <cell r="K721">
            <v>14.7</v>
          </cell>
        </row>
        <row r="722">
          <cell r="A722">
            <v>47535</v>
          </cell>
          <cell r="B722" t="str">
            <v>TGS-27-4806X4BBS-LX</v>
          </cell>
          <cell r="E722" t="str">
            <v>2017-11-20</v>
          </cell>
          <cell r="I722">
            <v>42937</v>
          </cell>
          <cell r="J722" t="str">
            <v>CKD</v>
          </cell>
          <cell r="K722">
            <v>14.7</v>
          </cell>
        </row>
        <row r="723">
          <cell r="A723">
            <v>47536</v>
          </cell>
          <cell r="B723" t="str">
            <v>TGS-27-4806X4BBS-LX</v>
          </cell>
          <cell r="E723" t="str">
            <v>2017-11-20</v>
          </cell>
          <cell r="I723">
            <v>42937</v>
          </cell>
          <cell r="J723" t="str">
            <v>CKD</v>
          </cell>
          <cell r="K723">
            <v>14.7</v>
          </cell>
        </row>
        <row r="724">
          <cell r="A724">
            <v>47537</v>
          </cell>
          <cell r="B724" t="str">
            <v>TGS-27-4806X4BBS-LX</v>
          </cell>
          <cell r="E724" t="str">
            <v>2017-11-20</v>
          </cell>
          <cell r="I724">
            <v>42937</v>
          </cell>
          <cell r="J724" t="str">
            <v>CKD</v>
          </cell>
          <cell r="K724">
            <v>14.7</v>
          </cell>
        </row>
        <row r="725">
          <cell r="A725">
            <v>47538</v>
          </cell>
          <cell r="B725" t="str">
            <v>TGS-27-4806X4BBS-LX</v>
          </cell>
          <cell r="E725" t="str">
            <v>2017-11-30</v>
          </cell>
          <cell r="I725">
            <v>42937</v>
          </cell>
          <cell r="J725" t="str">
            <v>CKD</v>
          </cell>
          <cell r="K725">
            <v>14.7</v>
          </cell>
        </row>
        <row r="726">
          <cell r="A726">
            <v>47539</v>
          </cell>
          <cell r="B726" t="str">
            <v>TGS-27-4806X4BBS-LX</v>
          </cell>
          <cell r="E726" t="str">
            <v>2017-11-30</v>
          </cell>
          <cell r="I726">
            <v>42937</v>
          </cell>
          <cell r="J726" t="str">
            <v>CKD</v>
          </cell>
          <cell r="K726">
            <v>14.7</v>
          </cell>
        </row>
        <row r="727">
          <cell r="A727">
            <v>47540</v>
          </cell>
          <cell r="B727" t="str">
            <v>TGS-27-4806X4BBS-LX</v>
          </cell>
          <cell r="E727" t="str">
            <v>2017-11-30</v>
          </cell>
          <cell r="I727">
            <v>42937</v>
          </cell>
          <cell r="J727" t="str">
            <v>CKD</v>
          </cell>
          <cell r="K727">
            <v>14.7</v>
          </cell>
        </row>
        <row r="728">
          <cell r="A728">
            <v>47541</v>
          </cell>
          <cell r="B728" t="str">
            <v>TGS-27-4806X4BBS-LX</v>
          </cell>
          <cell r="E728" t="str">
            <v>2017-11-30</v>
          </cell>
          <cell r="I728">
            <v>42937</v>
          </cell>
          <cell r="J728" t="str">
            <v>CKD</v>
          </cell>
          <cell r="K728">
            <v>14.7</v>
          </cell>
        </row>
        <row r="729">
          <cell r="A729">
            <v>47747</v>
          </cell>
          <cell r="B729" t="str">
            <v>TGS-27-4806X4BBS-LX</v>
          </cell>
          <cell r="E729" t="str">
            <v>2018-02-28</v>
          </cell>
          <cell r="I729">
            <v>42947</v>
          </cell>
          <cell r="J729" t="str">
            <v>CKD</v>
          </cell>
          <cell r="K729">
            <v>14.7</v>
          </cell>
        </row>
        <row r="730">
          <cell r="A730">
            <v>47748</v>
          </cell>
          <cell r="B730" t="str">
            <v>TGS-27-4806X4BBS-LX</v>
          </cell>
          <cell r="E730" t="str">
            <v>2018-02-28</v>
          </cell>
          <cell r="I730">
            <v>42947</v>
          </cell>
          <cell r="J730" t="str">
            <v>CKD</v>
          </cell>
          <cell r="K730">
            <v>14.7</v>
          </cell>
        </row>
        <row r="731">
          <cell r="A731">
            <v>47749</v>
          </cell>
          <cell r="B731" t="str">
            <v>TGS-27-4806X4BBS-LX</v>
          </cell>
          <cell r="E731" t="str">
            <v>2018-02-28</v>
          </cell>
          <cell r="I731">
            <v>42947</v>
          </cell>
          <cell r="J731" t="str">
            <v>CKD</v>
          </cell>
          <cell r="K731">
            <v>14.7</v>
          </cell>
        </row>
        <row r="732">
          <cell r="A732">
            <v>47750</v>
          </cell>
          <cell r="B732" t="str">
            <v>TGS-27-4806X4BBS-LX</v>
          </cell>
          <cell r="E732" t="str">
            <v>2018-02-28</v>
          </cell>
          <cell r="I732">
            <v>42947</v>
          </cell>
          <cell r="J732" t="str">
            <v>CKD</v>
          </cell>
          <cell r="K732">
            <v>14.7</v>
          </cell>
        </row>
        <row r="733">
          <cell r="A733">
            <v>47751</v>
          </cell>
          <cell r="B733" t="str">
            <v>TGS-27-4806X4BBS-LX</v>
          </cell>
          <cell r="E733" t="str">
            <v>2018-03-10</v>
          </cell>
          <cell r="I733">
            <v>42947</v>
          </cell>
          <cell r="J733" t="str">
            <v>CKD</v>
          </cell>
          <cell r="K733">
            <v>14.7</v>
          </cell>
        </row>
        <row r="734">
          <cell r="A734">
            <v>47752</v>
          </cell>
          <cell r="B734" t="str">
            <v>TGS-27-4806X4BBS-LX</v>
          </cell>
          <cell r="E734" t="str">
            <v>2018-03-10</v>
          </cell>
          <cell r="I734">
            <v>42947</v>
          </cell>
          <cell r="J734" t="str">
            <v>CKD</v>
          </cell>
          <cell r="K734">
            <v>14.7</v>
          </cell>
        </row>
        <row r="735">
          <cell r="A735">
            <v>47753</v>
          </cell>
          <cell r="B735" t="str">
            <v>TGS-27-4806X4BBS-LX</v>
          </cell>
          <cell r="E735" t="str">
            <v>2018-03-10</v>
          </cell>
          <cell r="I735">
            <v>42947</v>
          </cell>
          <cell r="J735" t="str">
            <v>CKD</v>
          </cell>
          <cell r="K735">
            <v>14.7</v>
          </cell>
        </row>
        <row r="736">
          <cell r="A736">
            <v>47754</v>
          </cell>
          <cell r="B736" t="str">
            <v>TGS-27-4806X4BBS-LX</v>
          </cell>
          <cell r="E736" t="str">
            <v>2018-03-10</v>
          </cell>
          <cell r="I736">
            <v>42947</v>
          </cell>
          <cell r="J736" t="str">
            <v>CKD</v>
          </cell>
          <cell r="K736">
            <v>14.7</v>
          </cell>
        </row>
        <row r="737">
          <cell r="A737" t="str">
            <v>76W-9049</v>
          </cell>
          <cell r="B737" t="str">
            <v>TGS-27-4806X4BBS-LX</v>
          </cell>
          <cell r="E737">
            <v>11</v>
          </cell>
          <cell r="I737">
            <v>42712</v>
          </cell>
          <cell r="J737" t="str">
            <v>UNSOLD</v>
          </cell>
          <cell r="K737">
            <v>16</v>
          </cell>
        </row>
        <row r="738">
          <cell r="A738" t="str">
            <v>TBAKP659</v>
          </cell>
          <cell r="B738" t="str">
            <v>TGS-27-4806X4BBS-LX</v>
          </cell>
          <cell r="E738" t="str">
            <v>2018-02-15</v>
          </cell>
          <cell r="I738">
            <v>42921</v>
          </cell>
          <cell r="J738" t="str">
            <v>CKD</v>
          </cell>
          <cell r="K738">
            <v>14.7</v>
          </cell>
        </row>
        <row r="739">
          <cell r="A739">
            <v>46952</v>
          </cell>
          <cell r="B739" t="str">
            <v>TGS-33-3606X4BB-M</v>
          </cell>
          <cell r="E739" t="str">
            <v>2017-11-10</v>
          </cell>
          <cell r="I739">
            <v>42859</v>
          </cell>
          <cell r="J739" t="str">
            <v>CKD</v>
          </cell>
          <cell r="K739">
            <v>14.7</v>
          </cell>
        </row>
        <row r="740">
          <cell r="A740">
            <v>46953</v>
          </cell>
          <cell r="B740" t="str">
            <v>TGS-33-3606X4BB-M</v>
          </cell>
          <cell r="E740" t="str">
            <v>2017-11-10</v>
          </cell>
          <cell r="I740">
            <v>42859</v>
          </cell>
          <cell r="J740" t="str">
            <v>CKD</v>
          </cell>
          <cell r="K740">
            <v>14.7</v>
          </cell>
        </row>
        <row r="741">
          <cell r="A741">
            <v>46954</v>
          </cell>
          <cell r="B741" t="str">
            <v>TGS-33-3606X4BB-M</v>
          </cell>
          <cell r="E741" t="str">
            <v>2017-11-10</v>
          </cell>
          <cell r="I741">
            <v>42859</v>
          </cell>
          <cell r="J741" t="str">
            <v>CKD</v>
          </cell>
          <cell r="K741">
            <v>14.7</v>
          </cell>
        </row>
        <row r="742">
          <cell r="A742">
            <v>46955</v>
          </cell>
          <cell r="B742" t="str">
            <v>TGS-33-3606X4BB-M</v>
          </cell>
          <cell r="E742" t="str">
            <v>2017-11-10</v>
          </cell>
          <cell r="I742">
            <v>42859</v>
          </cell>
          <cell r="J742" t="str">
            <v>CKD</v>
          </cell>
          <cell r="K742">
            <v>14.7</v>
          </cell>
        </row>
        <row r="743">
          <cell r="A743">
            <v>47558</v>
          </cell>
          <cell r="B743" t="str">
            <v>TGS-33-3606X4BB-M</v>
          </cell>
          <cell r="E743" t="str">
            <v>2017-11-30</v>
          </cell>
          <cell r="I743">
            <v>42937</v>
          </cell>
          <cell r="J743" t="str">
            <v>CKD</v>
          </cell>
          <cell r="K743">
            <v>14.7</v>
          </cell>
        </row>
        <row r="744">
          <cell r="A744">
            <v>47559</v>
          </cell>
          <cell r="B744" t="str">
            <v>TGS-33-3606X4BB-M</v>
          </cell>
          <cell r="E744" t="str">
            <v>2017-11-30</v>
          </cell>
          <cell r="I744">
            <v>42937</v>
          </cell>
          <cell r="J744" t="str">
            <v>CKD</v>
          </cell>
          <cell r="K744">
            <v>14.7</v>
          </cell>
        </row>
        <row r="745">
          <cell r="A745">
            <v>47560</v>
          </cell>
          <cell r="B745" t="str">
            <v>TGS-33-3606X4BB-M</v>
          </cell>
          <cell r="E745" t="str">
            <v>2017-11-30</v>
          </cell>
          <cell r="I745">
            <v>42937</v>
          </cell>
          <cell r="J745" t="str">
            <v>CKD</v>
          </cell>
          <cell r="K745">
            <v>14.7</v>
          </cell>
        </row>
        <row r="746">
          <cell r="A746">
            <v>47561</v>
          </cell>
          <cell r="B746" t="str">
            <v>TGS-33-3606X4BB-M</v>
          </cell>
          <cell r="E746" t="str">
            <v>2017-11-30</v>
          </cell>
          <cell r="I746">
            <v>42937</v>
          </cell>
          <cell r="J746" t="str">
            <v>CKD</v>
          </cell>
          <cell r="K746">
            <v>14.7</v>
          </cell>
        </row>
        <row r="747">
          <cell r="A747">
            <v>47755</v>
          </cell>
          <cell r="B747" t="str">
            <v>TGS-33-3606X4BB-M</v>
          </cell>
          <cell r="E747" t="str">
            <v>2018-03-5</v>
          </cell>
          <cell r="I747">
            <v>42947</v>
          </cell>
          <cell r="J747" t="str">
            <v>CKD</v>
          </cell>
          <cell r="K747">
            <v>14.7</v>
          </cell>
        </row>
        <row r="748">
          <cell r="A748">
            <v>47756</v>
          </cell>
          <cell r="B748" t="str">
            <v>TGS-33-3606X4BB-M</v>
          </cell>
          <cell r="E748" t="str">
            <v>2018-03-5</v>
          </cell>
          <cell r="I748">
            <v>42947</v>
          </cell>
          <cell r="J748" t="str">
            <v>CKD</v>
          </cell>
          <cell r="K748">
            <v>14.7</v>
          </cell>
        </row>
        <row r="749">
          <cell r="A749">
            <v>47757</v>
          </cell>
          <cell r="B749" t="str">
            <v>TGS-33-3606X4BB-M</v>
          </cell>
          <cell r="E749" t="str">
            <v>2018-03-5</v>
          </cell>
          <cell r="I749">
            <v>42947</v>
          </cell>
          <cell r="J749" t="str">
            <v>CKD</v>
          </cell>
          <cell r="K749">
            <v>14.7</v>
          </cell>
        </row>
        <row r="750">
          <cell r="A750">
            <v>47758</v>
          </cell>
          <cell r="B750" t="str">
            <v>TGS-33-3606X4BB-M</v>
          </cell>
          <cell r="E750" t="str">
            <v>2018-03-5</v>
          </cell>
          <cell r="I750">
            <v>42947</v>
          </cell>
          <cell r="J750" t="str">
            <v>CKD</v>
          </cell>
          <cell r="K750">
            <v>14.7</v>
          </cell>
        </row>
        <row r="751">
          <cell r="A751" t="str">
            <v>TBAKP682</v>
          </cell>
          <cell r="B751" t="str">
            <v>TGS-33-3606X4BB-M</v>
          </cell>
          <cell r="E751" t="str">
            <v>2018-02-15</v>
          </cell>
          <cell r="I751">
            <v>42921</v>
          </cell>
          <cell r="J751" t="str">
            <v>CKD</v>
          </cell>
          <cell r="K751">
            <v>14.7</v>
          </cell>
        </row>
        <row r="752">
          <cell r="A752" t="str">
            <v>76W-2488</v>
          </cell>
          <cell r="B752" t="str">
            <v>TGS-33-3606X4BB-M-K</v>
          </cell>
          <cell r="E752">
            <v>318</v>
          </cell>
          <cell r="I752">
            <v>42446</v>
          </cell>
          <cell r="J752" t="str">
            <v>BODY</v>
          </cell>
          <cell r="K752">
            <v>18</v>
          </cell>
        </row>
        <row r="753">
          <cell r="A753" t="str">
            <v>76W-2512</v>
          </cell>
          <cell r="B753" t="str">
            <v>TGS-33-3606X4BB-M-K</v>
          </cell>
          <cell r="E753">
            <v>317</v>
          </cell>
          <cell r="I753">
            <v>42446</v>
          </cell>
          <cell r="J753" t="str">
            <v>BODY</v>
          </cell>
          <cell r="K753">
            <v>18</v>
          </cell>
        </row>
        <row r="754">
          <cell r="A754" t="str">
            <v>76W-8687</v>
          </cell>
          <cell r="B754" t="str">
            <v>TGS-33-3606X4BB-M-K</v>
          </cell>
          <cell r="E754">
            <v>171</v>
          </cell>
          <cell r="I754">
            <v>42628</v>
          </cell>
          <cell r="J754" t="str">
            <v>BODY</v>
          </cell>
          <cell r="K754">
            <v>16</v>
          </cell>
        </row>
        <row r="755">
          <cell r="A755" t="str">
            <v>76W-8688</v>
          </cell>
          <cell r="B755" t="str">
            <v>TGS-33-3606X4BB-M-K</v>
          </cell>
          <cell r="E755">
            <v>171</v>
          </cell>
          <cell r="I755">
            <v>42628</v>
          </cell>
          <cell r="J755" t="str">
            <v>BODY</v>
          </cell>
          <cell r="K755">
            <v>16</v>
          </cell>
        </row>
        <row r="756">
          <cell r="A756" t="str">
            <v>76W-8693</v>
          </cell>
          <cell r="B756" t="str">
            <v>TGS-33-3606X4BB-M-K</v>
          </cell>
          <cell r="E756">
            <v>163</v>
          </cell>
          <cell r="I756">
            <v>42628</v>
          </cell>
          <cell r="J756" t="str">
            <v>BOOKED</v>
          </cell>
          <cell r="K756">
            <v>16</v>
          </cell>
        </row>
        <row r="757">
          <cell r="A757" t="str">
            <v>76W-8754</v>
          </cell>
          <cell r="B757" t="str">
            <v>TGS-33-3606X4BB-M-K</v>
          </cell>
          <cell r="E757">
            <v>133</v>
          </cell>
          <cell r="I757">
            <v>42656</v>
          </cell>
          <cell r="J757" t="str">
            <v>BOOKED</v>
          </cell>
          <cell r="K757">
            <v>16</v>
          </cell>
        </row>
        <row r="758">
          <cell r="A758" t="str">
            <v>76W-8755</v>
          </cell>
          <cell r="B758" t="str">
            <v>TGS-33-3606X4BB-M-K</v>
          </cell>
          <cell r="E758">
            <v>133</v>
          </cell>
          <cell r="I758">
            <v>42656</v>
          </cell>
          <cell r="J758" t="str">
            <v>BOOKED</v>
          </cell>
          <cell r="K758">
            <v>16</v>
          </cell>
        </row>
        <row r="759">
          <cell r="A759" t="str">
            <v>76W-8756</v>
          </cell>
          <cell r="B759" t="str">
            <v>TGS-33-3606X4BB-M-K</v>
          </cell>
          <cell r="E759">
            <v>129</v>
          </cell>
          <cell r="I759">
            <v>42656</v>
          </cell>
          <cell r="J759" t="str">
            <v>UNSOLD</v>
          </cell>
          <cell r="K759">
            <v>16</v>
          </cell>
        </row>
        <row r="760">
          <cell r="A760" t="str">
            <v>76W-8757</v>
          </cell>
          <cell r="B760" t="str">
            <v>TGS-33-3606X4BB-M-K</v>
          </cell>
          <cell r="E760">
            <v>115</v>
          </cell>
          <cell r="I760">
            <v>42656</v>
          </cell>
          <cell r="J760" t="str">
            <v>UNSOLD</v>
          </cell>
          <cell r="K760">
            <v>16</v>
          </cell>
        </row>
        <row r="761">
          <cell r="A761" t="str">
            <v>76W-8758</v>
          </cell>
          <cell r="B761" t="str">
            <v>TGS-33-3606X4BB-M-K</v>
          </cell>
          <cell r="E761">
            <v>127</v>
          </cell>
          <cell r="I761">
            <v>42656</v>
          </cell>
          <cell r="J761" t="str">
            <v>UNSOLD</v>
          </cell>
          <cell r="K761">
            <v>16</v>
          </cell>
        </row>
        <row r="762">
          <cell r="A762" t="str">
            <v>76W-8759</v>
          </cell>
          <cell r="B762" t="str">
            <v>TGS-33-3606X4BB-M-K</v>
          </cell>
          <cell r="E762">
            <v>126</v>
          </cell>
          <cell r="I762">
            <v>42656</v>
          </cell>
          <cell r="J762" t="str">
            <v>UNSOLD</v>
          </cell>
          <cell r="K762">
            <v>16</v>
          </cell>
        </row>
        <row r="763">
          <cell r="A763" t="str">
            <v>76W-8760</v>
          </cell>
          <cell r="B763" t="str">
            <v>TGS-33-3606X4BB-M-K</v>
          </cell>
          <cell r="E763">
            <v>127</v>
          </cell>
          <cell r="I763">
            <v>42656</v>
          </cell>
          <cell r="J763" t="str">
            <v>UNSOLD</v>
          </cell>
          <cell r="K763">
            <v>16</v>
          </cell>
        </row>
        <row r="764">
          <cell r="A764" t="str">
            <v>76W-8761</v>
          </cell>
          <cell r="B764" t="str">
            <v>TGS-33-3606X4BB-M-K</v>
          </cell>
          <cell r="E764">
            <v>127</v>
          </cell>
          <cell r="I764">
            <v>42656</v>
          </cell>
          <cell r="J764" t="str">
            <v>UNSOLD</v>
          </cell>
          <cell r="K764">
            <v>16</v>
          </cell>
        </row>
        <row r="765">
          <cell r="A765" t="str">
            <v>76W-8764</v>
          </cell>
          <cell r="B765" t="str">
            <v>TGS-33-3606X4BB-M-K</v>
          </cell>
          <cell r="E765">
            <v>106</v>
          </cell>
          <cell r="I765">
            <v>42656</v>
          </cell>
          <cell r="J765" t="str">
            <v>UNSOLD</v>
          </cell>
          <cell r="K765">
            <v>16</v>
          </cell>
        </row>
        <row r="766">
          <cell r="A766" t="str">
            <v>76W-8765</v>
          </cell>
          <cell r="B766" t="str">
            <v>TGS-33-3606X4BB-M-K</v>
          </cell>
          <cell r="E766">
            <v>98</v>
          </cell>
          <cell r="I766">
            <v>42656</v>
          </cell>
          <cell r="J766" t="str">
            <v>DEMO</v>
          </cell>
          <cell r="K766">
            <v>16</v>
          </cell>
        </row>
        <row r="767">
          <cell r="A767" t="str">
            <v>TBAKP681</v>
          </cell>
          <cell r="B767" t="str">
            <v>TGS-33-3606X4BB-M-K</v>
          </cell>
          <cell r="E767" t="str">
            <v>2018-02-15</v>
          </cell>
          <cell r="I767">
            <v>42921</v>
          </cell>
          <cell r="J767" t="str">
            <v>CKD</v>
          </cell>
          <cell r="K767">
            <v>14.7</v>
          </cell>
        </row>
        <row r="768">
          <cell r="A768">
            <v>47428</v>
          </cell>
          <cell r="B768" t="str">
            <v>TGS-33-4406X4BBS-L</v>
          </cell>
          <cell r="E768" t="str">
            <v>2017-11-20</v>
          </cell>
          <cell r="I768">
            <v>42937</v>
          </cell>
          <cell r="J768" t="str">
            <v>CKD</v>
          </cell>
          <cell r="K768">
            <v>14.7</v>
          </cell>
        </row>
        <row r="769">
          <cell r="A769">
            <v>47429</v>
          </cell>
          <cell r="B769" t="str">
            <v>TGS-33-4406X4BBS-L</v>
          </cell>
          <cell r="E769" t="str">
            <v>2017-11-20</v>
          </cell>
          <cell r="I769">
            <v>42937</v>
          </cell>
          <cell r="J769" t="str">
            <v>CKD</v>
          </cell>
          <cell r="K769">
            <v>14.7</v>
          </cell>
        </row>
        <row r="770">
          <cell r="A770">
            <v>47430</v>
          </cell>
          <cell r="B770" t="str">
            <v>TGS-33-4406X4BBS-L</v>
          </cell>
          <cell r="E770" t="str">
            <v>2017-11-20</v>
          </cell>
          <cell r="I770">
            <v>42937</v>
          </cell>
          <cell r="J770" t="str">
            <v>CKD</v>
          </cell>
          <cell r="K770">
            <v>14.7</v>
          </cell>
        </row>
        <row r="771">
          <cell r="A771">
            <v>47431</v>
          </cell>
          <cell r="B771" t="str">
            <v>TGS-33-4406X4BBS-L</v>
          </cell>
          <cell r="E771" t="str">
            <v>2017-11-20</v>
          </cell>
          <cell r="I771">
            <v>42937</v>
          </cell>
          <cell r="J771" t="str">
            <v>CKD</v>
          </cell>
          <cell r="K771">
            <v>14.7</v>
          </cell>
        </row>
        <row r="772">
          <cell r="A772">
            <v>47432</v>
          </cell>
          <cell r="B772" t="str">
            <v>TGS-33-4406X4BBS-L</v>
          </cell>
          <cell r="E772" t="str">
            <v>2017-11-20</v>
          </cell>
          <cell r="I772">
            <v>42937</v>
          </cell>
          <cell r="J772" t="str">
            <v>CKD</v>
          </cell>
          <cell r="K772">
            <v>14.7</v>
          </cell>
        </row>
        <row r="773">
          <cell r="A773">
            <v>47433</v>
          </cell>
          <cell r="B773" t="str">
            <v>TGS-33-4406X4BBS-L</v>
          </cell>
          <cell r="E773" t="str">
            <v>2017-11-20</v>
          </cell>
          <cell r="I773">
            <v>42937</v>
          </cell>
          <cell r="J773" t="str">
            <v>CKD</v>
          </cell>
          <cell r="K773">
            <v>14.7</v>
          </cell>
        </row>
        <row r="774">
          <cell r="A774">
            <v>47434</v>
          </cell>
          <cell r="B774" t="str">
            <v>TGS-33-4406X4BBS-L</v>
          </cell>
          <cell r="E774" t="str">
            <v>2017-11-20</v>
          </cell>
          <cell r="I774">
            <v>42937</v>
          </cell>
          <cell r="J774" t="str">
            <v>CKD</v>
          </cell>
          <cell r="K774">
            <v>14.7</v>
          </cell>
        </row>
        <row r="775">
          <cell r="A775">
            <v>47435</v>
          </cell>
          <cell r="B775" t="str">
            <v>TGS-33-4406X4BBS-L</v>
          </cell>
          <cell r="E775" t="str">
            <v>2017-11-20</v>
          </cell>
          <cell r="I775">
            <v>42937</v>
          </cell>
          <cell r="J775" t="str">
            <v>CKD</v>
          </cell>
          <cell r="K775">
            <v>14.7</v>
          </cell>
        </row>
        <row r="776">
          <cell r="A776">
            <v>47436</v>
          </cell>
          <cell r="B776" t="str">
            <v>TGS-33-4406X4BBS-L</v>
          </cell>
          <cell r="E776" t="str">
            <v>2017-11-30</v>
          </cell>
          <cell r="I776">
            <v>42937</v>
          </cell>
          <cell r="J776" t="str">
            <v>CKD</v>
          </cell>
          <cell r="K776">
            <v>14.7</v>
          </cell>
        </row>
        <row r="777">
          <cell r="A777">
            <v>47437</v>
          </cell>
          <cell r="B777" t="str">
            <v>TGS-33-4406X4BBS-L</v>
          </cell>
          <cell r="E777" t="str">
            <v>2017-11-30</v>
          </cell>
          <cell r="I777">
            <v>42937</v>
          </cell>
          <cell r="J777" t="str">
            <v>CKD</v>
          </cell>
          <cell r="K777">
            <v>14.7</v>
          </cell>
        </row>
        <row r="778">
          <cell r="A778">
            <v>47438</v>
          </cell>
          <cell r="B778" t="str">
            <v>TGS-33-4406X4BBS-L</v>
          </cell>
          <cell r="E778" t="str">
            <v>2017-11-30</v>
          </cell>
          <cell r="I778">
            <v>42937</v>
          </cell>
          <cell r="J778" t="str">
            <v>CKD</v>
          </cell>
          <cell r="K778">
            <v>14.7</v>
          </cell>
        </row>
        <row r="779">
          <cell r="A779">
            <v>47439</v>
          </cell>
          <cell r="B779" t="str">
            <v>TGS-33-4406X4BBS-L</v>
          </cell>
          <cell r="E779" t="str">
            <v>2017-11-30</v>
          </cell>
          <cell r="I779">
            <v>42937</v>
          </cell>
          <cell r="J779" t="str">
            <v>CKD</v>
          </cell>
          <cell r="K779">
            <v>14.7</v>
          </cell>
        </row>
        <row r="780">
          <cell r="A780">
            <v>47440</v>
          </cell>
          <cell r="B780" t="str">
            <v>TGS-33-4406X4BBS-L</v>
          </cell>
          <cell r="E780" t="str">
            <v>2017-12-5</v>
          </cell>
          <cell r="I780">
            <v>42937</v>
          </cell>
          <cell r="J780" t="str">
            <v>CKD</v>
          </cell>
          <cell r="K780">
            <v>14.7</v>
          </cell>
        </row>
        <row r="781">
          <cell r="A781">
            <v>47441</v>
          </cell>
          <cell r="B781" t="str">
            <v>TGS-33-4406X4BBS-L</v>
          </cell>
          <cell r="E781" t="str">
            <v>2017-12-5</v>
          </cell>
          <cell r="I781">
            <v>42937</v>
          </cell>
          <cell r="J781" t="str">
            <v>CKD</v>
          </cell>
          <cell r="K781">
            <v>14.7</v>
          </cell>
        </row>
        <row r="782">
          <cell r="A782">
            <v>47442</v>
          </cell>
          <cell r="B782" t="str">
            <v>TGS-33-4406X4BBS-L</v>
          </cell>
          <cell r="E782" t="str">
            <v>2017-12-5</v>
          </cell>
          <cell r="I782">
            <v>42937</v>
          </cell>
          <cell r="J782" t="str">
            <v>CKD</v>
          </cell>
          <cell r="K782">
            <v>14.7</v>
          </cell>
        </row>
        <row r="783">
          <cell r="A783">
            <v>47443</v>
          </cell>
          <cell r="B783" t="str">
            <v>TGS-33-4406X4BBS-L</v>
          </cell>
          <cell r="E783" t="str">
            <v>2017-12-5</v>
          </cell>
          <cell r="I783">
            <v>42937</v>
          </cell>
          <cell r="J783" t="str">
            <v>CKD</v>
          </cell>
          <cell r="K783">
            <v>14.7</v>
          </cell>
        </row>
        <row r="784">
          <cell r="A784">
            <v>47444</v>
          </cell>
          <cell r="B784" t="str">
            <v>TGS-33-4406X4BBS-L</v>
          </cell>
          <cell r="E784" t="str">
            <v>2017-12-5</v>
          </cell>
          <cell r="I784">
            <v>42937</v>
          </cell>
          <cell r="J784" t="str">
            <v>CKD</v>
          </cell>
          <cell r="K784">
            <v>14.7</v>
          </cell>
        </row>
        <row r="785">
          <cell r="A785">
            <v>47445</v>
          </cell>
          <cell r="B785" t="str">
            <v>TGS-33-4406X4BBS-L</v>
          </cell>
          <cell r="E785" t="str">
            <v>2017-12-5</v>
          </cell>
          <cell r="I785">
            <v>42937</v>
          </cell>
          <cell r="J785" t="str">
            <v>CKD</v>
          </cell>
          <cell r="K785">
            <v>14.7</v>
          </cell>
        </row>
        <row r="786">
          <cell r="A786">
            <v>47446</v>
          </cell>
          <cell r="B786" t="str">
            <v>TGS-33-4406X4BBS-L</v>
          </cell>
          <cell r="E786" t="str">
            <v>2017-12-5</v>
          </cell>
          <cell r="I786">
            <v>42937</v>
          </cell>
          <cell r="J786" t="str">
            <v>CKD</v>
          </cell>
          <cell r="K786">
            <v>14.7</v>
          </cell>
        </row>
        <row r="787">
          <cell r="A787">
            <v>47447</v>
          </cell>
          <cell r="B787" t="str">
            <v>TGS-33-4406X4BBS-L</v>
          </cell>
          <cell r="E787" t="str">
            <v>2017-12-5</v>
          </cell>
          <cell r="I787">
            <v>42937</v>
          </cell>
          <cell r="J787" t="str">
            <v>CKD</v>
          </cell>
          <cell r="K787">
            <v>14.7</v>
          </cell>
        </row>
        <row r="788">
          <cell r="A788">
            <v>47448</v>
          </cell>
          <cell r="B788" t="str">
            <v>TGS-33-4406X4BBS-L</v>
          </cell>
          <cell r="E788" t="str">
            <v>2017-12-10</v>
          </cell>
          <cell r="I788">
            <v>42937</v>
          </cell>
          <cell r="J788" t="str">
            <v>CKD</v>
          </cell>
          <cell r="K788">
            <v>14.7</v>
          </cell>
        </row>
        <row r="789">
          <cell r="A789">
            <v>47449</v>
          </cell>
          <cell r="B789" t="str">
            <v>TGS-33-4406X4BBS-L</v>
          </cell>
          <cell r="E789" t="str">
            <v>2017-12-10</v>
          </cell>
          <cell r="I789">
            <v>42937</v>
          </cell>
          <cell r="J789" t="str">
            <v>CKD</v>
          </cell>
          <cell r="K789">
            <v>14.7</v>
          </cell>
        </row>
        <row r="790">
          <cell r="A790">
            <v>47450</v>
          </cell>
          <cell r="B790" t="str">
            <v>TGS-33-4406X4BBS-L</v>
          </cell>
          <cell r="E790" t="str">
            <v>2017-12-10</v>
          </cell>
          <cell r="I790">
            <v>42937</v>
          </cell>
          <cell r="J790" t="str">
            <v>CKD</v>
          </cell>
          <cell r="K790">
            <v>14.7</v>
          </cell>
        </row>
        <row r="791">
          <cell r="A791">
            <v>47451</v>
          </cell>
          <cell r="B791" t="str">
            <v>TGS-33-4406X4BBS-L</v>
          </cell>
          <cell r="E791" t="str">
            <v>2017-12-10</v>
          </cell>
          <cell r="I791">
            <v>42937</v>
          </cell>
          <cell r="J791" t="str">
            <v>CKD</v>
          </cell>
          <cell r="K791">
            <v>14.7</v>
          </cell>
        </row>
        <row r="792">
          <cell r="A792">
            <v>47452</v>
          </cell>
          <cell r="B792" t="str">
            <v>TGS-33-4406X4BBS-L</v>
          </cell>
          <cell r="E792" t="str">
            <v>2017-12-10</v>
          </cell>
          <cell r="I792">
            <v>42937</v>
          </cell>
          <cell r="J792" t="str">
            <v>CKD</v>
          </cell>
          <cell r="K792">
            <v>14.7</v>
          </cell>
        </row>
        <row r="793">
          <cell r="A793" t="str">
            <v>76W-8113</v>
          </cell>
          <cell r="B793" t="str">
            <v>TGS-33-4406X4BBS-L</v>
          </cell>
          <cell r="E793">
            <v>407</v>
          </cell>
          <cell r="I793">
            <v>42355</v>
          </cell>
          <cell r="J793" t="str">
            <v>DEMO</v>
          </cell>
          <cell r="K793">
            <v>15.2</v>
          </cell>
        </row>
        <row r="794">
          <cell r="A794" t="str">
            <v>TBAKP673</v>
          </cell>
          <cell r="B794" t="str">
            <v>TGS-33-4406X4BBS-L</v>
          </cell>
          <cell r="E794" t="str">
            <v>2018-02-15</v>
          </cell>
          <cell r="I794">
            <v>42921</v>
          </cell>
          <cell r="J794" t="str">
            <v>CKD</v>
          </cell>
          <cell r="K794">
            <v>14.7</v>
          </cell>
        </row>
        <row r="795">
          <cell r="A795">
            <v>46956</v>
          </cell>
          <cell r="B795" t="str">
            <v>TGS-33-4806X4BB-M</v>
          </cell>
          <cell r="E795" t="str">
            <v>2017-11-10</v>
          </cell>
          <cell r="I795">
            <v>42859</v>
          </cell>
          <cell r="J795" t="str">
            <v>CKD</v>
          </cell>
          <cell r="K795">
            <v>14.7</v>
          </cell>
        </row>
        <row r="796">
          <cell r="A796">
            <v>46957</v>
          </cell>
          <cell r="B796" t="str">
            <v>TGS-33-4806X4BB-M</v>
          </cell>
          <cell r="E796" t="str">
            <v>2017-11-10</v>
          </cell>
          <cell r="I796">
            <v>42859</v>
          </cell>
          <cell r="J796" t="str">
            <v>CKD</v>
          </cell>
          <cell r="K796">
            <v>14.7</v>
          </cell>
        </row>
        <row r="797">
          <cell r="A797">
            <v>47253</v>
          </cell>
          <cell r="B797" t="str">
            <v>TGS-33-4806X4BB-M</v>
          </cell>
          <cell r="E797" t="str">
            <v>2017-12-31</v>
          </cell>
          <cell r="I797">
            <v>42909</v>
          </cell>
          <cell r="J797" t="str">
            <v>CKD</v>
          </cell>
          <cell r="K797">
            <v>14.7</v>
          </cell>
        </row>
        <row r="798">
          <cell r="A798">
            <v>47255</v>
          </cell>
          <cell r="B798" t="str">
            <v>TGS-33-4806X4BB-M</v>
          </cell>
          <cell r="E798" t="str">
            <v>2017-12-31</v>
          </cell>
          <cell r="I798">
            <v>42909</v>
          </cell>
          <cell r="J798" t="str">
            <v>CKD</v>
          </cell>
          <cell r="K798">
            <v>14.7</v>
          </cell>
        </row>
        <row r="799">
          <cell r="A799">
            <v>47256</v>
          </cell>
          <cell r="B799" t="str">
            <v>TGS-33-4806X4BB-M</v>
          </cell>
          <cell r="E799" t="str">
            <v>2017-12-31</v>
          </cell>
          <cell r="I799">
            <v>42909</v>
          </cell>
          <cell r="J799" t="str">
            <v>CKD</v>
          </cell>
          <cell r="K799">
            <v>14.7</v>
          </cell>
        </row>
        <row r="800">
          <cell r="A800">
            <v>47257</v>
          </cell>
          <cell r="B800" t="str">
            <v>TGS-33-4806X4BB-M</v>
          </cell>
          <cell r="E800" t="str">
            <v>2017-12-31</v>
          </cell>
          <cell r="I800">
            <v>42909</v>
          </cell>
          <cell r="J800" t="str">
            <v>CKD</v>
          </cell>
          <cell r="K800">
            <v>14.7</v>
          </cell>
        </row>
        <row r="801">
          <cell r="A801">
            <v>47258</v>
          </cell>
          <cell r="B801" t="str">
            <v>TGS-33-4806X4BB-M</v>
          </cell>
          <cell r="E801" t="str">
            <v>2017-12-31</v>
          </cell>
          <cell r="I801">
            <v>42909</v>
          </cell>
          <cell r="J801" t="str">
            <v>CKD</v>
          </cell>
          <cell r="K801">
            <v>14.7</v>
          </cell>
        </row>
        <row r="802">
          <cell r="A802">
            <v>47259</v>
          </cell>
          <cell r="B802" t="str">
            <v>TGS-33-4806X4BB-M</v>
          </cell>
          <cell r="E802" t="str">
            <v>2017-12-31</v>
          </cell>
          <cell r="I802">
            <v>42909</v>
          </cell>
          <cell r="J802" t="str">
            <v>CKD</v>
          </cell>
          <cell r="K802">
            <v>14.7</v>
          </cell>
        </row>
        <row r="803">
          <cell r="A803">
            <v>47260</v>
          </cell>
          <cell r="B803" t="str">
            <v>TGS-33-4806X4BB-M</v>
          </cell>
          <cell r="E803" t="str">
            <v>2017-12-31</v>
          </cell>
          <cell r="I803">
            <v>42909</v>
          </cell>
          <cell r="J803" t="str">
            <v>CKD</v>
          </cell>
          <cell r="K803">
            <v>14.7</v>
          </cell>
        </row>
        <row r="804">
          <cell r="A804">
            <v>47261</v>
          </cell>
          <cell r="B804" t="str">
            <v>TGS-33-4806X4BB-M</v>
          </cell>
          <cell r="E804" t="str">
            <v>2017-12-31</v>
          </cell>
          <cell r="I804">
            <v>42909</v>
          </cell>
          <cell r="J804" t="str">
            <v>CKD</v>
          </cell>
          <cell r="K804">
            <v>14.7</v>
          </cell>
        </row>
        <row r="805">
          <cell r="A805">
            <v>47262</v>
          </cell>
          <cell r="B805" t="str">
            <v>TGS-33-4806X4BB-M</v>
          </cell>
          <cell r="E805" t="str">
            <v>2017-12-31</v>
          </cell>
          <cell r="I805">
            <v>42909</v>
          </cell>
          <cell r="J805" t="str">
            <v>CKD</v>
          </cell>
          <cell r="K805">
            <v>14.7</v>
          </cell>
        </row>
        <row r="806">
          <cell r="A806">
            <v>47263</v>
          </cell>
          <cell r="B806" t="str">
            <v>TGS-33-4806X4BB-M</v>
          </cell>
          <cell r="E806" t="str">
            <v>2017-12-31</v>
          </cell>
          <cell r="I806">
            <v>42909</v>
          </cell>
          <cell r="J806" t="str">
            <v>CKD</v>
          </cell>
          <cell r="K806">
            <v>14.7</v>
          </cell>
        </row>
        <row r="807">
          <cell r="A807">
            <v>47264</v>
          </cell>
          <cell r="B807" t="str">
            <v>TGS-33-4806X4BB-M</v>
          </cell>
          <cell r="E807" t="str">
            <v>2017-12-31</v>
          </cell>
          <cell r="I807">
            <v>42909</v>
          </cell>
          <cell r="J807" t="str">
            <v>CKD</v>
          </cell>
          <cell r="K807">
            <v>14.7</v>
          </cell>
        </row>
        <row r="808">
          <cell r="A808">
            <v>47265</v>
          </cell>
          <cell r="B808" t="str">
            <v>TGS-33-4806X4BB-M</v>
          </cell>
          <cell r="E808" t="str">
            <v>2017-12-31</v>
          </cell>
          <cell r="I808">
            <v>42909</v>
          </cell>
          <cell r="J808" t="str">
            <v>CKD</v>
          </cell>
          <cell r="K808">
            <v>14.7</v>
          </cell>
        </row>
        <row r="809">
          <cell r="A809">
            <v>47266</v>
          </cell>
          <cell r="B809" t="str">
            <v>TGS-33-4806X4BB-M</v>
          </cell>
          <cell r="E809" t="str">
            <v>2017-12-31</v>
          </cell>
          <cell r="I809">
            <v>42909</v>
          </cell>
          <cell r="J809" t="str">
            <v>CKD</v>
          </cell>
          <cell r="K809">
            <v>14.7</v>
          </cell>
        </row>
        <row r="810">
          <cell r="A810">
            <v>47267</v>
          </cell>
          <cell r="B810" t="str">
            <v>TGS-33-4806X4BB-M</v>
          </cell>
          <cell r="E810" t="str">
            <v>2017-12-31</v>
          </cell>
          <cell r="I810">
            <v>42909</v>
          </cell>
          <cell r="J810" t="str">
            <v>CKD</v>
          </cell>
          <cell r="K810">
            <v>14.7</v>
          </cell>
        </row>
        <row r="811">
          <cell r="A811">
            <v>47562</v>
          </cell>
          <cell r="B811" t="str">
            <v>TGS-33-4806X4BB-M</v>
          </cell>
          <cell r="E811" t="str">
            <v>2017-11-15</v>
          </cell>
          <cell r="I811">
            <v>42937</v>
          </cell>
          <cell r="J811" t="str">
            <v>CKD</v>
          </cell>
          <cell r="K811">
            <v>14.7</v>
          </cell>
        </row>
        <row r="812">
          <cell r="A812">
            <v>47563</v>
          </cell>
          <cell r="B812" t="str">
            <v>TGS-33-4806X4BB-M</v>
          </cell>
          <cell r="E812" t="str">
            <v>2017-11-15</v>
          </cell>
          <cell r="I812">
            <v>42937</v>
          </cell>
          <cell r="J812" t="str">
            <v>CKD</v>
          </cell>
          <cell r="K812">
            <v>14.7</v>
          </cell>
        </row>
        <row r="813">
          <cell r="A813">
            <v>47564</v>
          </cell>
          <cell r="B813" t="str">
            <v>TGS-33-4806X4BB-M</v>
          </cell>
          <cell r="E813" t="str">
            <v>2017-11-15</v>
          </cell>
          <cell r="I813">
            <v>42937</v>
          </cell>
          <cell r="J813" t="str">
            <v>CKD</v>
          </cell>
          <cell r="K813">
            <v>14.7</v>
          </cell>
        </row>
        <row r="814">
          <cell r="A814">
            <v>47565</v>
          </cell>
          <cell r="B814" t="str">
            <v>TGS-33-4806X4BB-M</v>
          </cell>
          <cell r="E814" t="str">
            <v>2017-11-15</v>
          </cell>
          <cell r="I814">
            <v>42937</v>
          </cell>
          <cell r="J814" t="str">
            <v>CKD</v>
          </cell>
          <cell r="K814">
            <v>14.7</v>
          </cell>
        </row>
        <row r="815">
          <cell r="A815">
            <v>47566</v>
          </cell>
          <cell r="B815" t="str">
            <v>TGS-33-4806X4BB-M</v>
          </cell>
          <cell r="E815" t="str">
            <v>2017-11-30</v>
          </cell>
          <cell r="I815">
            <v>42937</v>
          </cell>
          <cell r="J815" t="str">
            <v>CKD</v>
          </cell>
          <cell r="K815">
            <v>14.7</v>
          </cell>
        </row>
        <row r="816">
          <cell r="A816">
            <v>47567</v>
          </cell>
          <cell r="B816" t="str">
            <v>TGS-33-4806X4BB-M</v>
          </cell>
          <cell r="E816" t="str">
            <v>2017-11-30</v>
          </cell>
          <cell r="I816">
            <v>42937</v>
          </cell>
          <cell r="J816" t="str">
            <v>CKD</v>
          </cell>
          <cell r="K816">
            <v>14.7</v>
          </cell>
        </row>
        <row r="817">
          <cell r="A817">
            <v>47568</v>
          </cell>
          <cell r="B817" t="str">
            <v>TGS-33-4806X4BB-M</v>
          </cell>
          <cell r="E817" t="str">
            <v>2017-11-30</v>
          </cell>
          <cell r="I817">
            <v>42937</v>
          </cell>
          <cell r="J817" t="str">
            <v>CKD</v>
          </cell>
          <cell r="K817">
            <v>14.7</v>
          </cell>
        </row>
        <row r="818">
          <cell r="A818">
            <v>47569</v>
          </cell>
          <cell r="B818" t="str">
            <v>TGS-33-4806X4BB-M</v>
          </cell>
          <cell r="E818" t="str">
            <v>2017-11-30</v>
          </cell>
          <cell r="I818">
            <v>42937</v>
          </cell>
          <cell r="J818" t="str">
            <v>CKD</v>
          </cell>
          <cell r="K818">
            <v>14.7</v>
          </cell>
        </row>
        <row r="819">
          <cell r="A819" t="str">
            <v>76W-8611</v>
          </cell>
          <cell r="B819" t="str">
            <v>TGS-33-4806X4BB-M</v>
          </cell>
          <cell r="E819">
            <v>233</v>
          </cell>
          <cell r="I819">
            <v>42545</v>
          </cell>
          <cell r="J819" t="str">
            <v>UNSOLD</v>
          </cell>
          <cell r="K819">
            <v>17.3</v>
          </cell>
        </row>
        <row r="820">
          <cell r="A820" t="str">
            <v>TBAKP678</v>
          </cell>
          <cell r="B820" t="str">
            <v>TGS-33-4806X4BB-M</v>
          </cell>
          <cell r="E820" t="str">
            <v>2018-02-15</v>
          </cell>
          <cell r="I820">
            <v>42921</v>
          </cell>
          <cell r="J820" t="str">
            <v>CKD</v>
          </cell>
          <cell r="K820">
            <v>14.7</v>
          </cell>
        </row>
        <row r="821">
          <cell r="A821">
            <v>46702</v>
          </cell>
          <cell r="B821" t="str">
            <v>TGS-33-4806X4BBS-L</v>
          </cell>
          <cell r="E821" t="str">
            <v>2017-10-11</v>
          </cell>
          <cell r="I821">
            <v>42838</v>
          </cell>
          <cell r="J821" t="str">
            <v>CKD</v>
          </cell>
          <cell r="K821">
            <v>14.7</v>
          </cell>
        </row>
        <row r="822">
          <cell r="A822">
            <v>46703</v>
          </cell>
          <cell r="B822" t="str">
            <v>TGS-33-4806X4BBS-L</v>
          </cell>
          <cell r="E822" t="str">
            <v>2017-10-11</v>
          </cell>
          <cell r="I822">
            <v>42838</v>
          </cell>
          <cell r="J822" t="str">
            <v>CKD</v>
          </cell>
          <cell r="K822">
            <v>14.7</v>
          </cell>
        </row>
        <row r="823">
          <cell r="A823">
            <v>46704</v>
          </cell>
          <cell r="B823" t="str">
            <v>TGS-33-4806X4BBS-L</v>
          </cell>
          <cell r="E823" t="str">
            <v>2017-10-12</v>
          </cell>
          <cell r="I823">
            <v>42838</v>
          </cell>
          <cell r="J823" t="str">
            <v>CKD</v>
          </cell>
          <cell r="K823">
            <v>14.7</v>
          </cell>
        </row>
        <row r="824">
          <cell r="A824">
            <v>46705</v>
          </cell>
          <cell r="B824" t="str">
            <v>TGS-33-4806X4BBS-L</v>
          </cell>
          <cell r="E824" t="str">
            <v>2017-10-12</v>
          </cell>
          <cell r="I824">
            <v>42838</v>
          </cell>
          <cell r="J824" t="str">
            <v>CKD</v>
          </cell>
          <cell r="K824">
            <v>14.7</v>
          </cell>
        </row>
        <row r="825">
          <cell r="A825">
            <v>46706</v>
          </cell>
          <cell r="B825" t="str">
            <v>TGS-33-4806X4BBS-L</v>
          </cell>
          <cell r="E825" t="str">
            <v>2017-10-18</v>
          </cell>
          <cell r="I825">
            <v>42838</v>
          </cell>
          <cell r="J825" t="str">
            <v>CKD</v>
          </cell>
          <cell r="K825">
            <v>14.7</v>
          </cell>
        </row>
        <row r="826">
          <cell r="A826">
            <v>46707</v>
          </cell>
          <cell r="B826" t="str">
            <v>TGS-33-4806X4BBS-L</v>
          </cell>
          <cell r="E826" t="str">
            <v>2017-10-18</v>
          </cell>
          <cell r="I826">
            <v>42838</v>
          </cell>
          <cell r="J826" t="str">
            <v>CKD</v>
          </cell>
          <cell r="K826">
            <v>14.7</v>
          </cell>
        </row>
        <row r="827">
          <cell r="A827">
            <v>46708</v>
          </cell>
          <cell r="B827" t="str">
            <v>TGS-33-4806X4BBS-L</v>
          </cell>
          <cell r="E827" t="str">
            <v>2017-10-18</v>
          </cell>
          <cell r="I827">
            <v>42838</v>
          </cell>
          <cell r="J827" t="str">
            <v>CKD</v>
          </cell>
          <cell r="K827">
            <v>14.7</v>
          </cell>
        </row>
        <row r="828">
          <cell r="A828">
            <v>46709</v>
          </cell>
          <cell r="B828" t="str">
            <v>TGS-33-4806X4BBS-L</v>
          </cell>
          <cell r="E828" t="str">
            <v>2017-10-19</v>
          </cell>
          <cell r="I828">
            <v>42838</v>
          </cell>
          <cell r="J828" t="str">
            <v>CKD</v>
          </cell>
          <cell r="K828">
            <v>14.7</v>
          </cell>
        </row>
        <row r="829">
          <cell r="A829">
            <v>46710</v>
          </cell>
          <cell r="B829" t="str">
            <v>TGS-33-4806X4BBS-L</v>
          </cell>
          <cell r="E829" t="str">
            <v>2017-10-19</v>
          </cell>
          <cell r="I829">
            <v>42838</v>
          </cell>
          <cell r="J829" t="str">
            <v>CKD</v>
          </cell>
          <cell r="K829">
            <v>14.7</v>
          </cell>
        </row>
        <row r="830">
          <cell r="A830">
            <v>46711</v>
          </cell>
          <cell r="B830" t="str">
            <v>TGS-33-4806X4BBS-L</v>
          </cell>
          <cell r="E830" t="str">
            <v>2017-10-19</v>
          </cell>
          <cell r="I830">
            <v>42838</v>
          </cell>
          <cell r="J830" t="str">
            <v>CKD</v>
          </cell>
          <cell r="K830">
            <v>14.7</v>
          </cell>
        </row>
        <row r="831">
          <cell r="A831">
            <v>46712</v>
          </cell>
          <cell r="B831" t="str">
            <v>TGS-33-4806X4BBS-L</v>
          </cell>
          <cell r="E831" t="str">
            <v>2017-10-19</v>
          </cell>
          <cell r="I831">
            <v>42838</v>
          </cell>
          <cell r="J831" t="str">
            <v>CKD</v>
          </cell>
          <cell r="K831">
            <v>14.7</v>
          </cell>
        </row>
        <row r="832">
          <cell r="A832">
            <v>46713</v>
          </cell>
          <cell r="B832" t="str">
            <v>TGS-33-4806X4BBS-L</v>
          </cell>
          <cell r="E832" t="str">
            <v>2017-10-19</v>
          </cell>
          <cell r="I832">
            <v>42838</v>
          </cell>
          <cell r="J832" t="str">
            <v>CKD</v>
          </cell>
          <cell r="K832">
            <v>14.7</v>
          </cell>
        </row>
        <row r="833">
          <cell r="A833" t="str">
            <v>76W-2692</v>
          </cell>
          <cell r="B833" t="str">
            <v>TGS-33-4806X4BBS-L</v>
          </cell>
          <cell r="E833" t="str">
            <v>2017-10-24</v>
          </cell>
          <cell r="I833">
            <v>42838</v>
          </cell>
          <cell r="J833" t="str">
            <v>CKD</v>
          </cell>
          <cell r="K833">
            <v>14.7</v>
          </cell>
        </row>
        <row r="834">
          <cell r="A834" t="str">
            <v>76W-2693</v>
          </cell>
          <cell r="B834" t="str">
            <v>TGS-33-4806X4BBS-L</v>
          </cell>
          <cell r="E834" t="str">
            <v>2017-10-24</v>
          </cell>
          <cell r="I834">
            <v>42838</v>
          </cell>
          <cell r="J834" t="str">
            <v>CKD</v>
          </cell>
          <cell r="K834">
            <v>14.7</v>
          </cell>
        </row>
        <row r="835">
          <cell r="A835" t="str">
            <v>76W-2694</v>
          </cell>
          <cell r="B835" t="str">
            <v>TGS-33-4806X4BBS-L</v>
          </cell>
          <cell r="E835" t="str">
            <v>2017-10-24</v>
          </cell>
          <cell r="I835">
            <v>42838</v>
          </cell>
          <cell r="J835" t="str">
            <v>CKD</v>
          </cell>
          <cell r="K835">
            <v>14.7</v>
          </cell>
        </row>
        <row r="836">
          <cell r="A836" t="str">
            <v>76W-2695</v>
          </cell>
          <cell r="B836" t="str">
            <v>TGS-33-4806X4BBS-L</v>
          </cell>
          <cell r="E836" t="str">
            <v>2017-10-24</v>
          </cell>
          <cell r="I836">
            <v>42838</v>
          </cell>
          <cell r="J836" t="str">
            <v>CKD</v>
          </cell>
          <cell r="K836">
            <v>14.7</v>
          </cell>
        </row>
        <row r="837">
          <cell r="A837" t="str">
            <v>76W-8432</v>
          </cell>
          <cell r="B837" t="str">
            <v>TGS-33-4806X4BBS-L</v>
          </cell>
          <cell r="E837">
            <v>195</v>
          </cell>
          <cell r="I837">
            <v>42499</v>
          </cell>
          <cell r="J837" t="str">
            <v>DEMO</v>
          </cell>
          <cell r="K837">
            <v>17.3</v>
          </cell>
        </row>
        <row r="838">
          <cell r="A838" t="str">
            <v>TBAKP679</v>
          </cell>
          <cell r="B838" t="str">
            <v>TGS-33-4806X4BBS-L</v>
          </cell>
          <cell r="E838" t="str">
            <v>2018-02-15</v>
          </cell>
          <cell r="I838">
            <v>42921</v>
          </cell>
          <cell r="J838" t="str">
            <v>CKD</v>
          </cell>
          <cell r="K838">
            <v>14.7</v>
          </cell>
        </row>
        <row r="839">
          <cell r="A839">
            <v>47059</v>
          </cell>
          <cell r="B839" t="str">
            <v>TGS-41-4408X4BB-M-DWA</v>
          </cell>
          <cell r="E839" t="str">
            <v>2017-11-13</v>
          </cell>
          <cell r="I839">
            <v>42859</v>
          </cell>
          <cell r="J839" t="str">
            <v>CKD</v>
          </cell>
          <cell r="K839">
            <v>14.7</v>
          </cell>
        </row>
        <row r="840">
          <cell r="A840">
            <v>47060</v>
          </cell>
          <cell r="B840" t="str">
            <v>TGS-41-4408X4BB-M-DWA</v>
          </cell>
          <cell r="E840" t="str">
            <v>2017-11-24</v>
          </cell>
          <cell r="I840">
            <v>42859</v>
          </cell>
          <cell r="J840" t="str">
            <v>CKD</v>
          </cell>
          <cell r="K840">
            <v>14.7</v>
          </cell>
        </row>
        <row r="841">
          <cell r="A841">
            <v>47061</v>
          </cell>
          <cell r="B841" t="str">
            <v>TGS-41-4408X4BB-M-DWA</v>
          </cell>
          <cell r="E841" t="str">
            <v>2017-11-24</v>
          </cell>
          <cell r="I841">
            <v>42859</v>
          </cell>
          <cell r="J841" t="str">
            <v>CKD</v>
          </cell>
          <cell r="K841">
            <v>14.7</v>
          </cell>
        </row>
        <row r="842">
          <cell r="A842">
            <v>47062</v>
          </cell>
          <cell r="B842" t="str">
            <v>TGS-41-4408X4BB-M-DWA</v>
          </cell>
          <cell r="E842" t="str">
            <v>2017-11-24</v>
          </cell>
          <cell r="I842">
            <v>42859</v>
          </cell>
          <cell r="J842" t="str">
            <v>CKD</v>
          </cell>
          <cell r="K842">
            <v>14.7</v>
          </cell>
        </row>
        <row r="843">
          <cell r="A843">
            <v>47063</v>
          </cell>
          <cell r="B843" t="str">
            <v>TGS-41-4408X4BB-M-DWA</v>
          </cell>
          <cell r="E843" t="str">
            <v>2017-11-24</v>
          </cell>
          <cell r="I843">
            <v>42859</v>
          </cell>
          <cell r="J843" t="str">
            <v>CKD</v>
          </cell>
          <cell r="K843">
            <v>14.7</v>
          </cell>
        </row>
        <row r="844">
          <cell r="A844" t="str">
            <v>TBAKP732</v>
          </cell>
          <cell r="B844" t="str">
            <v>TGS-41-4408X4BB-M-DWA</v>
          </cell>
          <cell r="E844" t="str">
            <v>2018-02-15</v>
          </cell>
          <cell r="I844">
            <v>42921</v>
          </cell>
          <cell r="J844" t="str">
            <v>CKD</v>
          </cell>
          <cell r="K844">
            <v>14.7</v>
          </cell>
        </row>
        <row r="845">
          <cell r="A845">
            <v>47467</v>
          </cell>
          <cell r="B845" t="str">
            <v>TGS-41-4808X4BB-M-DWA</v>
          </cell>
          <cell r="E845" t="str">
            <v>2017-11-20</v>
          </cell>
          <cell r="I845">
            <v>42937</v>
          </cell>
          <cell r="J845" t="str">
            <v>CKD</v>
          </cell>
          <cell r="K845">
            <v>14.7</v>
          </cell>
        </row>
        <row r="846">
          <cell r="A846">
            <v>47468</v>
          </cell>
          <cell r="B846" t="str">
            <v>TGS-41-4808X4BB-M-DWA</v>
          </cell>
          <cell r="E846" t="str">
            <v>2017-11-20</v>
          </cell>
          <cell r="I846">
            <v>42937</v>
          </cell>
          <cell r="J846" t="str">
            <v>CKD</v>
          </cell>
          <cell r="K846">
            <v>14.7</v>
          </cell>
        </row>
        <row r="847">
          <cell r="A847" t="str">
            <v>TBAKP757</v>
          </cell>
          <cell r="B847" t="str">
            <v>TGS-41-4808X4BB-M-DWA</v>
          </cell>
          <cell r="E847" t="str">
            <v>2018-02-15</v>
          </cell>
          <cell r="I847">
            <v>42921</v>
          </cell>
          <cell r="J847" t="str">
            <v>CKD</v>
          </cell>
          <cell r="K847">
            <v>14.7</v>
          </cell>
        </row>
        <row r="848">
          <cell r="A848" t="str">
            <v>30X-2966</v>
          </cell>
          <cell r="B848" t="str">
            <v>TGX-26-5406X4BLS-XLX</v>
          </cell>
          <cell r="E848">
            <v>44</v>
          </cell>
          <cell r="I848">
            <v>42784</v>
          </cell>
          <cell r="J848" t="str">
            <v>UNSOLD</v>
          </cell>
          <cell r="K848">
            <v>15.4</v>
          </cell>
        </row>
        <row r="849">
          <cell r="A849" t="str">
            <v>30X-5223</v>
          </cell>
          <cell r="B849" t="str">
            <v>TGX-26-5406X4BLS-XLX</v>
          </cell>
          <cell r="E849">
            <v>28</v>
          </cell>
          <cell r="I849">
            <v>42794</v>
          </cell>
          <cell r="J849" t="str">
            <v>DEMO</v>
          </cell>
          <cell r="K849">
            <v>15.4</v>
          </cell>
        </row>
        <row r="850">
          <cell r="A850" t="str">
            <v>30X-5224</v>
          </cell>
          <cell r="B850" t="str">
            <v>TGX-26-5406X4BLS-XLX</v>
          </cell>
          <cell r="E850">
            <v>28</v>
          </cell>
          <cell r="I850">
            <v>42794</v>
          </cell>
          <cell r="J850" t="str">
            <v>UNSOLD</v>
          </cell>
          <cell r="K850">
            <v>15.4</v>
          </cell>
        </row>
        <row r="851">
          <cell r="A851" t="str">
            <v>30X-5225</v>
          </cell>
          <cell r="B851" t="str">
            <v>TGX-26-5406X4BLS-XLX</v>
          </cell>
          <cell r="E851">
            <v>28</v>
          </cell>
          <cell r="I851">
            <v>42794</v>
          </cell>
          <cell r="J851" t="str">
            <v>UNSOLD</v>
          </cell>
          <cell r="K851">
            <v>15.4</v>
          </cell>
        </row>
        <row r="852">
          <cell r="A852" t="str">
            <v>30X-5226</v>
          </cell>
          <cell r="B852" t="str">
            <v>TGX-26-5406X4BLS-XLX</v>
          </cell>
          <cell r="E852">
            <v>28</v>
          </cell>
          <cell r="I852">
            <v>42794</v>
          </cell>
          <cell r="J852" t="str">
            <v>UNSOLD</v>
          </cell>
          <cell r="K852">
            <v>15.4</v>
          </cell>
        </row>
        <row r="853">
          <cell r="A853" t="str">
            <v>30X-5227</v>
          </cell>
          <cell r="B853" t="str">
            <v>TGX-26-5406X4BLS-XLX</v>
          </cell>
          <cell r="E853">
            <v>28</v>
          </cell>
          <cell r="I853">
            <v>42794</v>
          </cell>
          <cell r="J853" t="str">
            <v>UNSOLD</v>
          </cell>
          <cell r="K853">
            <v>15.4</v>
          </cell>
        </row>
        <row r="854">
          <cell r="A854" t="str">
            <v>30X-5228</v>
          </cell>
          <cell r="B854" t="str">
            <v>TGX-26-5406X4BLS-XLX</v>
          </cell>
          <cell r="E854">
            <v>28</v>
          </cell>
          <cell r="I854">
            <v>42794</v>
          </cell>
          <cell r="J854" t="str">
            <v>UNSOLD</v>
          </cell>
          <cell r="K854">
            <v>15.4</v>
          </cell>
        </row>
        <row r="855">
          <cell r="A855" t="str">
            <v>30X-5229</v>
          </cell>
          <cell r="B855" t="str">
            <v>TGX-26-5406X4BLS-XLX</v>
          </cell>
          <cell r="E855">
            <v>28</v>
          </cell>
          <cell r="I855">
            <v>42794</v>
          </cell>
          <cell r="J855" t="str">
            <v>UNSOLD</v>
          </cell>
          <cell r="K855">
            <v>15.4</v>
          </cell>
        </row>
        <row r="856">
          <cell r="A856" t="str">
            <v>30X-5230</v>
          </cell>
          <cell r="B856" t="str">
            <v>TGX-26-5406X4BLS-XLX</v>
          </cell>
          <cell r="E856">
            <v>28</v>
          </cell>
          <cell r="I856">
            <v>42794</v>
          </cell>
          <cell r="J856" t="str">
            <v>UNSOLD</v>
          </cell>
          <cell r="K856">
            <v>15.4</v>
          </cell>
        </row>
        <row r="857">
          <cell r="A857" t="str">
            <v>30X-5231</v>
          </cell>
          <cell r="B857" t="str">
            <v>TGX-26-5406X4BLS-XLX</v>
          </cell>
          <cell r="E857">
            <v>28</v>
          </cell>
          <cell r="I857">
            <v>42794</v>
          </cell>
          <cell r="J857" t="str">
            <v>UNSOLD</v>
          </cell>
          <cell r="K857">
            <v>15.4</v>
          </cell>
        </row>
        <row r="858">
          <cell r="A858" t="str">
            <v>30X-5248</v>
          </cell>
          <cell r="B858" t="str">
            <v>TGX-26-5406X4BLS-XLX</v>
          </cell>
          <cell r="E858" t="str">
            <v>2017-09-15</v>
          </cell>
          <cell r="I858">
            <v>42849</v>
          </cell>
          <cell r="J858" t="str">
            <v>CKD</v>
          </cell>
          <cell r="K858">
            <v>14.7</v>
          </cell>
        </row>
        <row r="859">
          <cell r="A859" t="str">
            <v>30X-5249</v>
          </cell>
          <cell r="B859" t="str">
            <v>TGX-26-5406X4BLS-XLX</v>
          </cell>
          <cell r="E859" t="str">
            <v>2017-09-15</v>
          </cell>
          <cell r="I859">
            <v>42849</v>
          </cell>
          <cell r="J859" t="str">
            <v>CKD</v>
          </cell>
          <cell r="K859">
            <v>14.7</v>
          </cell>
        </row>
        <row r="860">
          <cell r="A860" t="str">
            <v>30X-5250</v>
          </cell>
          <cell r="B860" t="str">
            <v>TGX-26-5406X4BLS-XLX</v>
          </cell>
          <cell r="E860" t="str">
            <v>2017-09-15</v>
          </cell>
          <cell r="I860">
            <v>42849</v>
          </cell>
          <cell r="J860" t="str">
            <v>CKD</v>
          </cell>
          <cell r="K860">
            <v>14.7</v>
          </cell>
        </row>
        <row r="861">
          <cell r="A861" t="str">
            <v>30X-5251</v>
          </cell>
          <cell r="B861" t="str">
            <v>TGX-26-5406X4BLS-XLX</v>
          </cell>
          <cell r="E861" t="str">
            <v>2017-09-15</v>
          </cell>
          <cell r="I861">
            <v>42849</v>
          </cell>
          <cell r="J861" t="str">
            <v>CKD</v>
          </cell>
          <cell r="K861">
            <v>14.7</v>
          </cell>
        </row>
        <row r="862">
          <cell r="A862" t="str">
            <v>30X-5252</v>
          </cell>
          <cell r="B862" t="str">
            <v>TGX-26-5406X4BLS-XLX</v>
          </cell>
          <cell r="E862" t="str">
            <v>2017-09-15</v>
          </cell>
          <cell r="I862">
            <v>42849</v>
          </cell>
          <cell r="J862" t="str">
            <v>CKD</v>
          </cell>
          <cell r="K862">
            <v>14.7</v>
          </cell>
        </row>
        <row r="863">
          <cell r="A863" t="str">
            <v>30X-5253</v>
          </cell>
          <cell r="B863" t="str">
            <v>TGX-26-5406X4BLS-XLX</v>
          </cell>
          <cell r="E863" t="str">
            <v>2017-09-15</v>
          </cell>
          <cell r="I863">
            <v>42849</v>
          </cell>
          <cell r="J863" t="str">
            <v>CKD</v>
          </cell>
          <cell r="K863">
            <v>14.7</v>
          </cell>
        </row>
        <row r="864">
          <cell r="A864" t="str">
            <v>30X-5254</v>
          </cell>
          <cell r="B864" t="str">
            <v>TGX-26-5406X4BLS-XLX</v>
          </cell>
          <cell r="E864" t="str">
            <v>2017-09-15</v>
          </cell>
          <cell r="I864">
            <v>42849</v>
          </cell>
          <cell r="J864" t="str">
            <v>CKD</v>
          </cell>
          <cell r="K864">
            <v>14.7</v>
          </cell>
        </row>
        <row r="865">
          <cell r="A865" t="str">
            <v>30X-5255</v>
          </cell>
          <cell r="B865" t="str">
            <v>TGX-26-5406X4BLS-XLX</v>
          </cell>
          <cell r="E865" t="str">
            <v>2017-09-15</v>
          </cell>
          <cell r="I865">
            <v>42849</v>
          </cell>
          <cell r="J865" t="str">
            <v>CKD</v>
          </cell>
          <cell r="K865">
            <v>14.7</v>
          </cell>
        </row>
        <row r="866">
          <cell r="A866" t="str">
            <v>30X-5256</v>
          </cell>
          <cell r="B866" t="str">
            <v>TGX-26-5406X4BLS-XLX</v>
          </cell>
          <cell r="E866" t="str">
            <v>2017-09-15</v>
          </cell>
          <cell r="I866">
            <v>42849</v>
          </cell>
          <cell r="J866" t="str">
            <v>CKD</v>
          </cell>
          <cell r="K866">
            <v>14.7</v>
          </cell>
        </row>
        <row r="867">
          <cell r="A867" t="str">
            <v>30X-5257</v>
          </cell>
          <cell r="B867" t="str">
            <v>TGX-26-5406X4BLS-XLX</v>
          </cell>
          <cell r="E867" t="str">
            <v>2017-09-15</v>
          </cell>
          <cell r="I867">
            <v>42849</v>
          </cell>
          <cell r="J867" t="str">
            <v>CKD</v>
          </cell>
          <cell r="K867">
            <v>14.7</v>
          </cell>
        </row>
        <row r="868">
          <cell r="A868" t="str">
            <v>30X-5258</v>
          </cell>
          <cell r="B868" t="str">
            <v>TGX-26-5406X4BLS-XLX</v>
          </cell>
          <cell r="E868" t="str">
            <v>2017-09-15</v>
          </cell>
          <cell r="I868">
            <v>42849</v>
          </cell>
          <cell r="J868" t="str">
            <v>CKD</v>
          </cell>
          <cell r="K868">
            <v>14.7</v>
          </cell>
        </row>
        <row r="869">
          <cell r="A869" t="str">
            <v>30X-5259</v>
          </cell>
          <cell r="B869" t="str">
            <v>TGX-26-5406X4BLS-XLX</v>
          </cell>
          <cell r="E869" t="str">
            <v>2017-09-15</v>
          </cell>
          <cell r="I869">
            <v>42849</v>
          </cell>
          <cell r="J869" t="str">
            <v>CKD</v>
          </cell>
          <cell r="K869">
            <v>14.7</v>
          </cell>
        </row>
        <row r="870">
          <cell r="A870" t="str">
            <v>TBATG001</v>
          </cell>
          <cell r="B870" t="str">
            <v>TGX-26-5406X4BLS-XLX</v>
          </cell>
          <cell r="E870" t="str">
            <v>2018-02-15</v>
          </cell>
          <cell r="I870">
            <v>42921</v>
          </cell>
          <cell r="J870" t="str">
            <v>CKD</v>
          </cell>
          <cell r="K870">
            <v>14.7</v>
          </cell>
        </row>
      </sheetData>
      <sheetData sheetId="2"/>
      <sheetData sheetId="3"/>
      <sheetData sheetId="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ndard"/>
      <sheetName val="Extended"/>
    </sheetNames>
    <sheetDataSet>
      <sheetData sheetId="0">
        <row r="9">
          <cell r="B9" t="str">
            <v>KP000589</v>
          </cell>
          <cell r="C9">
            <v>665000</v>
          </cell>
          <cell r="E9">
            <v>541110.5</v>
          </cell>
          <cell r="F9">
            <v>527411.5</v>
          </cell>
          <cell r="G9">
            <v>520562</v>
          </cell>
          <cell r="H9">
            <v>503787.87878787878</v>
          </cell>
          <cell r="J9">
            <v>525350</v>
          </cell>
          <cell r="K9">
            <v>512050</v>
          </cell>
          <cell r="L9">
            <v>505400</v>
          </cell>
          <cell r="M9">
            <v>498750</v>
          </cell>
        </row>
        <row r="10">
          <cell r="B10"/>
          <cell r="C10" t="str">
            <v xml:space="preserve"> % Limit</v>
          </cell>
          <cell r="D10"/>
          <cell r="E10"/>
          <cell r="F10"/>
          <cell r="G10"/>
          <cell r="H10"/>
          <cell r="I10"/>
          <cell r="J10">
            <v>0.79</v>
          </cell>
          <cell r="K10">
            <v>0.77</v>
          </cell>
          <cell r="L10">
            <v>0.76</v>
          </cell>
          <cell r="M10">
            <v>0.75</v>
          </cell>
        </row>
        <row r="11">
          <cell r="B11" t="str">
            <v>KP000516</v>
          </cell>
          <cell r="C11">
            <v>990000</v>
          </cell>
          <cell r="E11">
            <v>805563</v>
          </cell>
          <cell r="F11">
            <v>785169</v>
          </cell>
          <cell r="G11">
            <v>774972</v>
          </cell>
          <cell r="H11">
            <v>750000</v>
          </cell>
          <cell r="J11">
            <v>782100</v>
          </cell>
          <cell r="K11">
            <v>762300</v>
          </cell>
          <cell r="L11">
            <v>752400</v>
          </cell>
          <cell r="M11">
            <v>742500</v>
          </cell>
        </row>
        <row r="12">
          <cell r="B12"/>
          <cell r="C12" t="str">
            <v xml:space="preserve"> % Limit</v>
          </cell>
          <cell r="D12"/>
          <cell r="E12"/>
          <cell r="F12"/>
          <cell r="G12"/>
          <cell r="H12"/>
          <cell r="I12"/>
          <cell r="J12">
            <v>0.77</v>
          </cell>
          <cell r="K12">
            <v>0.76</v>
          </cell>
          <cell r="L12">
            <v>0.75</v>
          </cell>
          <cell r="M12">
            <v>0.74</v>
          </cell>
        </row>
        <row r="13">
          <cell r="B13" t="str">
            <v>KP000590</v>
          </cell>
          <cell r="C13">
            <v>985000</v>
          </cell>
          <cell r="E13">
            <v>781203.5</v>
          </cell>
          <cell r="F13">
            <v>771058</v>
          </cell>
          <cell r="G13">
            <v>760912.5</v>
          </cell>
          <cell r="H13">
            <v>736262.62626262626</v>
          </cell>
          <cell r="J13">
            <v>758450</v>
          </cell>
          <cell r="K13">
            <v>748600</v>
          </cell>
          <cell r="L13">
            <v>738750</v>
          </cell>
          <cell r="M13">
            <v>728900</v>
          </cell>
        </row>
        <row r="14">
          <cell r="B14"/>
          <cell r="C14" t="str">
            <v xml:space="preserve"> % Limit</v>
          </cell>
          <cell r="D14"/>
          <cell r="E14"/>
          <cell r="F14"/>
          <cell r="G14"/>
          <cell r="H14"/>
          <cell r="I14"/>
          <cell r="J14">
            <v>0.75</v>
          </cell>
          <cell r="K14">
            <v>0.74</v>
          </cell>
          <cell r="L14">
            <v>0.73</v>
          </cell>
          <cell r="M14">
            <v>0.72</v>
          </cell>
        </row>
        <row r="15">
          <cell r="B15" t="str">
            <v>KP000564</v>
          </cell>
          <cell r="C15">
            <v>1030000</v>
          </cell>
          <cell r="E15">
            <v>795675</v>
          </cell>
          <cell r="F15">
            <v>785066</v>
          </cell>
          <cell r="G15">
            <v>774457</v>
          </cell>
          <cell r="H15">
            <v>749090.90909090906</v>
          </cell>
          <cell r="J15">
            <v>772500</v>
          </cell>
          <cell r="K15">
            <v>762200</v>
          </cell>
          <cell r="L15">
            <v>751900</v>
          </cell>
          <cell r="M15">
            <v>741600</v>
          </cell>
        </row>
        <row r="16">
          <cell r="B16"/>
          <cell r="C16" t="str">
            <v xml:space="preserve"> % Limit</v>
          </cell>
          <cell r="D16"/>
          <cell r="E16"/>
          <cell r="F16"/>
          <cell r="G16"/>
          <cell r="H16"/>
          <cell r="I16"/>
          <cell r="J16">
            <v>0.87</v>
          </cell>
          <cell r="K16">
            <v>0.85</v>
          </cell>
          <cell r="L16">
            <v>0.82</v>
          </cell>
          <cell r="M16">
            <v>0.8</v>
          </cell>
        </row>
        <row r="17">
          <cell r="B17" t="str">
            <v>KP000758</v>
          </cell>
          <cell r="C17">
            <v>860000</v>
          </cell>
          <cell r="E17">
            <v>770646</v>
          </cell>
          <cell r="F17">
            <v>752930</v>
          </cell>
          <cell r="G17">
            <v>726356</v>
          </cell>
          <cell r="H17">
            <v>694949.49494949495</v>
          </cell>
          <cell r="J17">
            <v>748200</v>
          </cell>
          <cell r="K17">
            <v>731000</v>
          </cell>
          <cell r="L17">
            <v>705200</v>
          </cell>
          <cell r="M17">
            <v>688000</v>
          </cell>
        </row>
        <row r="18">
          <cell r="B18" t="str">
            <v>KP000474</v>
          </cell>
          <cell r="C18">
            <v>980000</v>
          </cell>
          <cell r="E18">
            <v>878178</v>
          </cell>
          <cell r="F18">
            <v>857990</v>
          </cell>
          <cell r="G18">
            <v>827708</v>
          </cell>
          <cell r="H18">
            <v>791919.19191919197</v>
          </cell>
          <cell r="J18">
            <v>852600</v>
          </cell>
          <cell r="K18">
            <v>833000</v>
          </cell>
          <cell r="L18">
            <v>803600</v>
          </cell>
          <cell r="M18">
            <v>784000</v>
          </cell>
        </row>
        <row r="19">
          <cell r="B19" t="str">
            <v>KP000669</v>
          </cell>
          <cell r="C19">
            <v>1015000</v>
          </cell>
          <cell r="E19">
            <v>909541.5</v>
          </cell>
          <cell r="F19">
            <v>888632.5</v>
          </cell>
          <cell r="G19">
            <v>857269</v>
          </cell>
          <cell r="H19">
            <v>820202.02020202018</v>
          </cell>
          <cell r="J19">
            <v>883050</v>
          </cell>
          <cell r="K19">
            <v>862750</v>
          </cell>
          <cell r="L19">
            <v>832300</v>
          </cell>
          <cell r="M19">
            <v>812000</v>
          </cell>
        </row>
        <row r="20">
          <cell r="B20"/>
          <cell r="C20" t="str">
            <v xml:space="preserve"> % Limit</v>
          </cell>
          <cell r="D20"/>
          <cell r="E20"/>
          <cell r="F20"/>
          <cell r="G20"/>
          <cell r="H20"/>
          <cell r="I20"/>
          <cell r="J20">
            <v>0.8</v>
          </cell>
          <cell r="K20">
            <v>0.77</v>
          </cell>
          <cell r="L20">
            <v>0.75</v>
          </cell>
          <cell r="M20">
            <v>0.72</v>
          </cell>
        </row>
        <row r="21">
          <cell r="B21" t="str">
            <v>KP000405</v>
          </cell>
          <cell r="C21">
            <v>960000</v>
          </cell>
          <cell r="E21">
            <v>791040</v>
          </cell>
          <cell r="F21">
            <v>761376</v>
          </cell>
          <cell r="G21">
            <v>741600</v>
          </cell>
          <cell r="H21">
            <v>698181.81818181823</v>
          </cell>
          <cell r="J21">
            <v>768000</v>
          </cell>
          <cell r="K21">
            <v>739200</v>
          </cell>
          <cell r="L21">
            <v>720000</v>
          </cell>
          <cell r="M21">
            <v>691200</v>
          </cell>
        </row>
        <row r="22">
          <cell r="B22"/>
          <cell r="C22" t="str">
            <v xml:space="preserve"> % Limit</v>
          </cell>
          <cell r="D22"/>
          <cell r="E22"/>
          <cell r="F22"/>
          <cell r="G22"/>
          <cell r="H22"/>
          <cell r="I22"/>
          <cell r="J22">
            <v>0.8</v>
          </cell>
          <cell r="K22">
            <v>0.77</v>
          </cell>
          <cell r="L22">
            <v>0.75</v>
          </cell>
          <cell r="M22">
            <v>0.63</v>
          </cell>
        </row>
        <row r="23">
          <cell r="B23" t="str">
            <v>TGM00003</v>
          </cell>
          <cell r="C23">
            <v>1292000</v>
          </cell>
          <cell r="E23">
            <v>1064608</v>
          </cell>
          <cell r="F23">
            <v>1024685.2000000001</v>
          </cell>
          <cell r="G23">
            <v>998070</v>
          </cell>
          <cell r="H23">
            <v>822181.81818181823</v>
          </cell>
          <cell r="J23">
            <v>1033600</v>
          </cell>
          <cell r="K23">
            <v>994840</v>
          </cell>
          <cell r="L23">
            <v>969000</v>
          </cell>
          <cell r="M23">
            <v>813960</v>
          </cell>
        </row>
        <row r="24">
          <cell r="B24"/>
          <cell r="C24" t="str">
            <v xml:space="preserve"> % Limit</v>
          </cell>
          <cell r="D24"/>
          <cell r="E24"/>
          <cell r="F24"/>
          <cell r="G24"/>
          <cell r="H24"/>
          <cell r="I24"/>
          <cell r="J24">
            <v>0.76</v>
          </cell>
          <cell r="K24">
            <v>0.75</v>
          </cell>
          <cell r="L24">
            <v>0.72</v>
          </cell>
          <cell r="M24">
            <v>0.71</v>
          </cell>
        </row>
        <row r="25">
          <cell r="B25" t="str">
            <v>KP000404</v>
          </cell>
          <cell r="C25">
            <v>1070000</v>
          </cell>
          <cell r="E25">
            <v>837596</v>
          </cell>
          <cell r="F25">
            <v>826575</v>
          </cell>
          <cell r="G25">
            <v>793512</v>
          </cell>
          <cell r="H25">
            <v>767373.73737373739</v>
          </cell>
          <cell r="J25">
            <v>813200</v>
          </cell>
          <cell r="K25">
            <v>802500</v>
          </cell>
          <cell r="L25">
            <v>770400</v>
          </cell>
          <cell r="M25">
            <v>759700</v>
          </cell>
        </row>
        <row r="26">
          <cell r="B26" t="str">
            <v>KP000471</v>
          </cell>
          <cell r="C26">
            <v>1220000</v>
          </cell>
          <cell r="E26">
            <v>955016</v>
          </cell>
          <cell r="F26">
            <v>942450</v>
          </cell>
          <cell r="G26">
            <v>904752</v>
          </cell>
          <cell r="H26">
            <v>874949.49494949495</v>
          </cell>
          <cell r="J26">
            <v>927200</v>
          </cell>
          <cell r="K26">
            <v>915000</v>
          </cell>
          <cell r="L26">
            <v>878400</v>
          </cell>
          <cell r="M26">
            <v>866200</v>
          </cell>
        </row>
        <row r="27">
          <cell r="B27"/>
          <cell r="C27" t="str">
            <v xml:space="preserve"> % Limit</v>
          </cell>
          <cell r="D27"/>
          <cell r="E27"/>
          <cell r="F27"/>
          <cell r="G27"/>
          <cell r="H27"/>
          <cell r="I27"/>
          <cell r="J27">
            <v>0.73</v>
          </cell>
          <cell r="K27">
            <v>0.72</v>
          </cell>
          <cell r="L27">
            <v>0.71</v>
          </cell>
          <cell r="M27">
            <v>0.69</v>
          </cell>
        </row>
        <row r="28">
          <cell r="B28" t="str">
            <v>KP000489</v>
          </cell>
          <cell r="C28">
            <v>1300000</v>
          </cell>
          <cell r="E28">
            <v>977470</v>
          </cell>
          <cell r="F28">
            <v>964080</v>
          </cell>
          <cell r="G28">
            <v>950690</v>
          </cell>
          <cell r="H28">
            <v>906060.60606060596</v>
          </cell>
          <cell r="J28">
            <v>949000</v>
          </cell>
          <cell r="K28">
            <v>936000</v>
          </cell>
          <cell r="L28">
            <v>923000</v>
          </cell>
          <cell r="M28">
            <v>896999.99999999988</v>
          </cell>
        </row>
        <row r="29">
          <cell r="B29" t="str">
            <v>KP000481</v>
          </cell>
          <cell r="C29">
            <v>1325000</v>
          </cell>
          <cell r="E29">
            <v>996267.5</v>
          </cell>
          <cell r="F29">
            <v>982620</v>
          </cell>
          <cell r="G29">
            <v>968972.5</v>
          </cell>
          <cell r="H29">
            <v>923484.84848484839</v>
          </cell>
          <cell r="J29">
            <v>967250</v>
          </cell>
          <cell r="K29">
            <v>954000</v>
          </cell>
          <cell r="L29">
            <v>940750</v>
          </cell>
          <cell r="M29">
            <v>914249.99999999988</v>
          </cell>
        </row>
        <row r="30">
          <cell r="B30"/>
          <cell r="C30" t="str">
            <v xml:space="preserve"> % Limit</v>
          </cell>
          <cell r="D30"/>
          <cell r="E30"/>
          <cell r="F30"/>
          <cell r="G30"/>
          <cell r="H30"/>
          <cell r="I30"/>
          <cell r="J30">
            <v>0.75</v>
          </cell>
          <cell r="K30">
            <v>0.73</v>
          </cell>
          <cell r="L30">
            <v>0.71</v>
          </cell>
          <cell r="M30">
            <v>0.7</v>
          </cell>
        </row>
        <row r="31">
          <cell r="B31" t="str">
            <v>KP000632</v>
          </cell>
          <cell r="C31">
            <v>1295000</v>
          </cell>
          <cell r="E31">
            <v>1000387.5</v>
          </cell>
          <cell r="F31">
            <v>973710.5</v>
          </cell>
          <cell r="G31">
            <v>947033.5</v>
          </cell>
          <cell r="H31">
            <v>915656.56565656571</v>
          </cell>
          <cell r="J31">
            <v>971250</v>
          </cell>
          <cell r="K31">
            <v>945350</v>
          </cell>
          <cell r="L31">
            <v>919450</v>
          </cell>
          <cell r="M31">
            <v>906500</v>
          </cell>
        </row>
        <row r="32">
          <cell r="B32" t="str">
            <v>TGS00011</v>
          </cell>
          <cell r="C32">
            <v>1511531</v>
          </cell>
          <cell r="E32">
            <v>1167657.6975</v>
          </cell>
          <cell r="F32">
            <v>1136520.1588999999</v>
          </cell>
          <cell r="G32">
            <v>1105382.6203000001</v>
          </cell>
          <cell r="H32">
            <v>1068759.2929292929</v>
          </cell>
          <cell r="J32">
            <v>1133648.25</v>
          </cell>
          <cell r="K32">
            <v>1103417.6299999999</v>
          </cell>
          <cell r="L32">
            <v>1073187.01</v>
          </cell>
          <cell r="M32">
            <v>1058071.7</v>
          </cell>
        </row>
        <row r="33">
          <cell r="B33"/>
          <cell r="C33" t="str">
            <v xml:space="preserve"> % Limit</v>
          </cell>
          <cell r="D33"/>
          <cell r="E33"/>
          <cell r="F33"/>
          <cell r="G33"/>
          <cell r="H33"/>
          <cell r="I33"/>
          <cell r="J33">
            <v>0.92</v>
          </cell>
          <cell r="K33">
            <v>0.9</v>
          </cell>
          <cell r="L33">
            <v>0.88</v>
          </cell>
          <cell r="M33">
            <v>0.86</v>
          </cell>
        </row>
        <row r="34">
          <cell r="B34" t="str">
            <v>TGS00008</v>
          </cell>
          <cell r="C34">
            <v>1435000</v>
          </cell>
          <cell r="E34">
            <v>1359806</v>
          </cell>
          <cell r="F34">
            <v>1330245</v>
          </cell>
          <cell r="G34">
            <v>1300684</v>
          </cell>
          <cell r="H34">
            <v>1246565.6565656567</v>
          </cell>
          <cell r="J34">
            <v>1320200</v>
          </cell>
          <cell r="K34">
            <v>1291500</v>
          </cell>
          <cell r="L34">
            <v>1262800</v>
          </cell>
          <cell r="M34">
            <v>1234100</v>
          </cell>
        </row>
        <row r="35">
          <cell r="B35"/>
          <cell r="C35" t="str">
            <v xml:space="preserve"> % Limit</v>
          </cell>
          <cell r="D35"/>
          <cell r="E35"/>
          <cell r="F35"/>
          <cell r="G35"/>
          <cell r="H35"/>
          <cell r="I35"/>
          <cell r="J35">
            <v>0.8</v>
          </cell>
          <cell r="K35">
            <v>0.77</v>
          </cell>
          <cell r="L35">
            <v>0.75</v>
          </cell>
          <cell r="M35">
            <v>0.73</v>
          </cell>
        </row>
        <row r="36">
          <cell r="B36" t="str">
            <v>TGS00010</v>
          </cell>
          <cell r="C36">
            <v>1570000</v>
          </cell>
          <cell r="E36">
            <v>1293680</v>
          </cell>
          <cell r="F36">
            <v>1245167</v>
          </cell>
          <cell r="G36">
            <v>1212825</v>
          </cell>
          <cell r="H36">
            <v>1157676.7676767677</v>
          </cell>
          <cell r="J36">
            <v>1256000</v>
          </cell>
          <cell r="K36">
            <v>1208900</v>
          </cell>
          <cell r="L36">
            <v>1177500</v>
          </cell>
          <cell r="M36">
            <v>1146100</v>
          </cell>
        </row>
        <row r="37">
          <cell r="B37"/>
          <cell r="C37" t="str">
            <v xml:space="preserve"> % Limit</v>
          </cell>
          <cell r="D37"/>
          <cell r="E37"/>
          <cell r="F37"/>
          <cell r="G37"/>
          <cell r="H37"/>
          <cell r="I37"/>
          <cell r="J37">
            <v>0.75</v>
          </cell>
          <cell r="K37">
            <v>0.73</v>
          </cell>
          <cell r="L37">
            <v>0.72</v>
          </cell>
          <cell r="M37">
            <v>0.7</v>
          </cell>
        </row>
        <row r="38">
          <cell r="B38" t="str">
            <v>KP000634</v>
          </cell>
          <cell r="C38">
            <v>1700000</v>
          </cell>
          <cell r="E38">
            <v>1313250</v>
          </cell>
          <cell r="F38">
            <v>1278230</v>
          </cell>
          <cell r="G38">
            <v>1260720</v>
          </cell>
          <cell r="H38">
            <v>1202020.2020202021</v>
          </cell>
          <cell r="J38">
            <v>1275000</v>
          </cell>
          <cell r="K38">
            <v>1241000</v>
          </cell>
          <cell r="L38">
            <v>1224000</v>
          </cell>
          <cell r="M38">
            <v>1190000</v>
          </cell>
        </row>
        <row r="39">
          <cell r="B39" t="str">
            <v>KP000666</v>
          </cell>
          <cell r="C39">
            <v>1765000</v>
          </cell>
          <cell r="E39">
            <v>1363462.5</v>
          </cell>
          <cell r="F39">
            <v>1327103.5</v>
          </cell>
          <cell r="G39">
            <v>1308924</v>
          </cell>
          <cell r="H39">
            <v>1247979.7979797979</v>
          </cell>
          <cell r="J39">
            <v>1323750</v>
          </cell>
          <cell r="K39">
            <v>1288450</v>
          </cell>
          <cell r="L39">
            <v>1270800</v>
          </cell>
          <cell r="M39">
            <v>1235500</v>
          </cell>
        </row>
        <row r="40">
          <cell r="B40"/>
          <cell r="C40" t="str">
            <v xml:space="preserve"> % Limit</v>
          </cell>
          <cell r="D40"/>
          <cell r="E40"/>
          <cell r="F40"/>
          <cell r="G40"/>
          <cell r="H40"/>
          <cell r="I40"/>
          <cell r="J40">
            <v>0.76</v>
          </cell>
          <cell r="K40">
            <v>0.73499999999999999</v>
          </cell>
          <cell r="L40">
            <v>0.73</v>
          </cell>
          <cell r="M40">
            <v>0.71</v>
          </cell>
        </row>
        <row r="41">
          <cell r="B41" t="str">
            <v>KP000707</v>
          </cell>
          <cell r="C41">
            <v>1785000</v>
          </cell>
          <cell r="E41">
            <v>1397298</v>
          </cell>
          <cell r="F41">
            <v>1351334.25</v>
          </cell>
          <cell r="G41">
            <v>1342141.5</v>
          </cell>
          <cell r="H41">
            <v>1280151.5151515151</v>
          </cell>
          <cell r="J41">
            <v>1356600</v>
          </cell>
          <cell r="K41">
            <v>1311975</v>
          </cell>
          <cell r="L41">
            <v>1303050</v>
          </cell>
          <cell r="M41">
            <v>1267350</v>
          </cell>
        </row>
        <row r="42">
          <cell r="B42"/>
          <cell r="C42" t="str">
            <v xml:space="preserve"> % Limit</v>
          </cell>
          <cell r="D42"/>
          <cell r="E42"/>
          <cell r="F42"/>
          <cell r="G42"/>
          <cell r="H42"/>
          <cell r="I42"/>
          <cell r="J42">
            <v>0.73499999999999999</v>
          </cell>
          <cell r="K42">
            <v>0.73</v>
          </cell>
          <cell r="L42">
            <v>0.71</v>
          </cell>
          <cell r="M42">
            <v>0.7</v>
          </cell>
        </row>
        <row r="43">
          <cell r="B43" t="str">
            <v>TGS00001</v>
          </cell>
          <cell r="C43">
            <v>1750000</v>
          </cell>
          <cell r="E43">
            <v>1324837.5</v>
          </cell>
          <cell r="F43">
            <v>1315825</v>
          </cell>
          <cell r="G43">
            <v>1279775</v>
          </cell>
          <cell r="H43">
            <v>1237373.7373737374</v>
          </cell>
          <cell r="J43">
            <v>1286250</v>
          </cell>
          <cell r="K43">
            <v>1277500</v>
          </cell>
          <cell r="L43">
            <v>1242500</v>
          </cell>
          <cell r="M43">
            <v>1225000</v>
          </cell>
        </row>
        <row r="44">
          <cell r="B44"/>
          <cell r="C44" t="str">
            <v xml:space="preserve"> % Limit</v>
          </cell>
          <cell r="D44"/>
          <cell r="E44"/>
          <cell r="F44"/>
          <cell r="G44"/>
          <cell r="H44"/>
          <cell r="I44"/>
          <cell r="J44">
            <v>0.74</v>
          </cell>
          <cell r="K44">
            <v>0.71</v>
          </cell>
          <cell r="L44">
            <v>0.68</v>
          </cell>
          <cell r="M44">
            <v>0.64900000000000002</v>
          </cell>
        </row>
        <row r="45">
          <cell r="B45" t="str">
            <v>TGS00009</v>
          </cell>
          <cell r="C45">
            <v>1650000</v>
          </cell>
          <cell r="E45">
            <v>1257630</v>
          </cell>
          <cell r="F45">
            <v>1206645</v>
          </cell>
          <cell r="G45">
            <v>1155660</v>
          </cell>
          <cell r="H45">
            <v>1081666.6666666667</v>
          </cell>
          <cell r="J45">
            <v>1221000</v>
          </cell>
          <cell r="K45">
            <v>1171500</v>
          </cell>
          <cell r="L45">
            <v>1122000</v>
          </cell>
          <cell r="M45">
            <v>1070850</v>
          </cell>
        </row>
        <row r="46">
          <cell r="B46"/>
          <cell r="C46" t="str">
            <v xml:space="preserve"> % Limit</v>
          </cell>
          <cell r="D46"/>
          <cell r="E46"/>
          <cell r="F46"/>
          <cell r="G46"/>
          <cell r="H46"/>
          <cell r="I46"/>
          <cell r="J46">
            <v>0.72</v>
          </cell>
          <cell r="K46">
            <v>0.7</v>
          </cell>
          <cell r="L46">
            <v>0.68</v>
          </cell>
          <cell r="M46">
            <v>0.66</v>
          </cell>
        </row>
        <row r="47">
          <cell r="B47" t="str">
            <v>KP000635</v>
          </cell>
          <cell r="C47">
            <v>1800000</v>
          </cell>
          <cell r="E47">
            <v>1334880</v>
          </cell>
          <cell r="F47">
            <v>1297800</v>
          </cell>
          <cell r="G47">
            <v>1260720</v>
          </cell>
          <cell r="H47">
            <v>1200000</v>
          </cell>
          <cell r="J47">
            <v>1296000</v>
          </cell>
          <cell r="K47">
            <v>1260000</v>
          </cell>
          <cell r="L47">
            <v>1224000</v>
          </cell>
          <cell r="M47">
            <v>1188000</v>
          </cell>
        </row>
        <row r="48">
          <cell r="B48"/>
          <cell r="C48" t="str">
            <v xml:space="preserve"> % Limit</v>
          </cell>
          <cell r="D48"/>
          <cell r="E48"/>
          <cell r="F48"/>
          <cell r="G48"/>
          <cell r="H48"/>
          <cell r="I48"/>
          <cell r="J48">
            <v>0.7</v>
          </cell>
          <cell r="K48">
            <v>0.68</v>
          </cell>
          <cell r="L48">
            <v>0.66</v>
          </cell>
          <cell r="M48">
            <v>0.64</v>
          </cell>
        </row>
        <row r="49">
          <cell r="B49" t="str">
            <v>KP000709</v>
          </cell>
          <cell r="C49">
            <v>1860000</v>
          </cell>
          <cell r="E49">
            <v>1341060</v>
          </cell>
          <cell r="F49">
            <v>1302744</v>
          </cell>
          <cell r="G49">
            <v>1264428</v>
          </cell>
          <cell r="H49">
            <v>1202424.2424242424</v>
          </cell>
          <cell r="J49">
            <v>1302000</v>
          </cell>
          <cell r="K49">
            <v>1264800</v>
          </cell>
          <cell r="L49">
            <v>1227600</v>
          </cell>
          <cell r="M49">
            <v>1190400</v>
          </cell>
        </row>
        <row r="50">
          <cell r="B50" t="str">
            <v>TGS00002</v>
          </cell>
          <cell r="C50">
            <v>1960000</v>
          </cell>
          <cell r="E50">
            <v>1413160</v>
          </cell>
          <cell r="F50">
            <v>1372784</v>
          </cell>
          <cell r="G50">
            <v>1332408</v>
          </cell>
          <cell r="H50">
            <v>1267070.7070707071</v>
          </cell>
          <cell r="J50">
            <v>1372000</v>
          </cell>
          <cell r="K50">
            <v>1332800</v>
          </cell>
          <cell r="L50">
            <v>1293600</v>
          </cell>
          <cell r="M50">
            <v>1254400</v>
          </cell>
        </row>
        <row r="51">
          <cell r="B51"/>
          <cell r="C51" t="str">
            <v xml:space="preserve"> % Limit</v>
          </cell>
          <cell r="D51"/>
          <cell r="E51"/>
          <cell r="F51"/>
          <cell r="G51"/>
          <cell r="H51"/>
          <cell r="I51"/>
          <cell r="J51">
            <v>0.8</v>
          </cell>
          <cell r="K51">
            <v>0.78</v>
          </cell>
          <cell r="L51">
            <v>0.77</v>
          </cell>
          <cell r="M51">
            <v>0.75</v>
          </cell>
        </row>
        <row r="52">
          <cell r="B52" t="str">
            <v>KP000636</v>
          </cell>
          <cell r="C52">
            <v>1470000</v>
          </cell>
          <cell r="E52">
            <v>1211280</v>
          </cell>
          <cell r="F52">
            <v>1180998</v>
          </cell>
          <cell r="G52">
            <v>1165857</v>
          </cell>
          <cell r="H52">
            <v>1113636.3636363635</v>
          </cell>
          <cell r="J52">
            <v>1176000</v>
          </cell>
          <cell r="K52">
            <v>1146600</v>
          </cell>
          <cell r="L52">
            <v>1131900</v>
          </cell>
          <cell r="M52">
            <v>1102500</v>
          </cell>
        </row>
        <row r="53">
          <cell r="B53"/>
          <cell r="C53" t="str">
            <v xml:space="preserve"> % Limit</v>
          </cell>
          <cell r="D53"/>
          <cell r="E53"/>
          <cell r="F53"/>
          <cell r="G53"/>
          <cell r="H53"/>
          <cell r="I53"/>
          <cell r="J53">
            <v>0.77</v>
          </cell>
          <cell r="K53">
            <v>0.75</v>
          </cell>
          <cell r="L53">
            <v>0.74</v>
          </cell>
          <cell r="M53">
            <v>0.72</v>
          </cell>
        </row>
        <row r="54">
          <cell r="B54" t="str">
            <v>KP000637</v>
          </cell>
          <cell r="C54">
            <v>1595000</v>
          </cell>
          <cell r="E54">
            <v>1264994.5</v>
          </cell>
          <cell r="F54">
            <v>1232137.5</v>
          </cell>
          <cell r="G54">
            <v>1215709</v>
          </cell>
          <cell r="H54">
            <v>1160000</v>
          </cell>
          <cell r="J54">
            <v>1228150</v>
          </cell>
          <cell r="K54">
            <v>1196250</v>
          </cell>
          <cell r="L54">
            <v>1180300</v>
          </cell>
          <cell r="M54">
            <v>1148400</v>
          </cell>
        </row>
        <row r="55">
          <cell r="B55"/>
          <cell r="C55" t="str">
            <v xml:space="preserve"> % Limit</v>
          </cell>
          <cell r="D55"/>
          <cell r="E55"/>
          <cell r="F55"/>
          <cell r="G55"/>
          <cell r="H55"/>
          <cell r="I55"/>
          <cell r="J55">
            <v>0.74</v>
          </cell>
          <cell r="K55">
            <v>0.73</v>
          </cell>
          <cell r="L55">
            <v>0.71</v>
          </cell>
          <cell r="M55">
            <v>0.69</v>
          </cell>
        </row>
        <row r="56">
          <cell r="B56" t="str">
            <v>KP000718</v>
          </cell>
          <cell r="C56">
            <v>1680000</v>
          </cell>
          <cell r="E56">
            <v>1280496</v>
          </cell>
          <cell r="F56">
            <v>1263192</v>
          </cell>
          <cell r="G56">
            <v>1228584</v>
          </cell>
          <cell r="H56">
            <v>1170909.0909090908</v>
          </cell>
          <cell r="J56">
            <v>1243200</v>
          </cell>
          <cell r="K56">
            <v>1226400</v>
          </cell>
          <cell r="L56">
            <v>1192800</v>
          </cell>
          <cell r="M56">
            <v>1159200</v>
          </cell>
        </row>
        <row r="57">
          <cell r="B57"/>
          <cell r="C57" t="str">
            <v xml:space="preserve"> % Limit</v>
          </cell>
          <cell r="D57"/>
          <cell r="E57"/>
          <cell r="F57"/>
          <cell r="G57"/>
          <cell r="H57"/>
          <cell r="I57"/>
          <cell r="J57">
            <v>0.74</v>
          </cell>
          <cell r="K57">
            <v>0.73</v>
          </cell>
          <cell r="L57">
            <v>0.71</v>
          </cell>
          <cell r="M57">
            <v>0.69</v>
          </cell>
        </row>
        <row r="58">
          <cell r="B58" t="str">
            <v>KP000753</v>
          </cell>
          <cell r="C58">
            <v>1640000</v>
          </cell>
          <cell r="E58">
            <v>1250008</v>
          </cell>
          <cell r="F58">
            <v>1233116</v>
          </cell>
          <cell r="G58">
            <v>1199332</v>
          </cell>
          <cell r="H58">
            <v>1143030.303030303</v>
          </cell>
          <cell r="J58">
            <v>1213600</v>
          </cell>
          <cell r="K58">
            <v>1197200</v>
          </cell>
          <cell r="L58">
            <v>1164400</v>
          </cell>
          <cell r="M58">
            <v>1131600</v>
          </cell>
        </row>
        <row r="59">
          <cell r="B59" t="str">
            <v>TGS00003</v>
          </cell>
          <cell r="C59">
            <v>1750000</v>
          </cell>
          <cell r="E59">
            <v>1333850</v>
          </cell>
          <cell r="F59">
            <v>1315825</v>
          </cell>
          <cell r="G59">
            <v>1279775</v>
          </cell>
          <cell r="H59">
            <v>1219696.9696969697</v>
          </cell>
          <cell r="J59">
            <v>1295000</v>
          </cell>
          <cell r="K59">
            <v>1277500</v>
          </cell>
          <cell r="L59">
            <v>1242500</v>
          </cell>
          <cell r="M59">
            <v>1207500</v>
          </cell>
        </row>
        <row r="60">
          <cell r="B60"/>
          <cell r="C60" t="str">
            <v xml:space="preserve"> % Limit</v>
          </cell>
          <cell r="D60"/>
          <cell r="E60"/>
          <cell r="F60"/>
          <cell r="G60"/>
          <cell r="H60"/>
          <cell r="I60"/>
          <cell r="J60">
            <v>0.72499999999999998</v>
          </cell>
          <cell r="K60">
            <v>0.72</v>
          </cell>
          <cell r="L60">
            <v>0.7</v>
          </cell>
          <cell r="M60">
            <v>0.68</v>
          </cell>
        </row>
        <row r="61">
          <cell r="B61" t="str">
            <v>KP000638</v>
          </cell>
          <cell r="C61">
            <v>1660000</v>
          </cell>
          <cell r="E61">
            <v>1239605</v>
          </cell>
          <cell r="F61">
            <v>1231056</v>
          </cell>
          <cell r="G61">
            <v>1196860</v>
          </cell>
          <cell r="H61">
            <v>1140202.0202020202</v>
          </cell>
          <cell r="J61">
            <v>1203500</v>
          </cell>
          <cell r="K61">
            <v>1195200</v>
          </cell>
          <cell r="L61">
            <v>1162000</v>
          </cell>
          <cell r="M61">
            <v>1128800</v>
          </cell>
        </row>
        <row r="62">
          <cell r="B62" t="str">
            <v>KP000659</v>
          </cell>
          <cell r="C62">
            <v>1715000</v>
          </cell>
          <cell r="E62">
            <v>1280676.25</v>
          </cell>
          <cell r="F62">
            <v>1271844</v>
          </cell>
          <cell r="G62">
            <v>1236515</v>
          </cell>
          <cell r="H62">
            <v>1177979.7979797979</v>
          </cell>
          <cell r="J62">
            <v>1243375</v>
          </cell>
          <cell r="K62">
            <v>1234800</v>
          </cell>
          <cell r="L62">
            <v>1200500</v>
          </cell>
          <cell r="M62">
            <v>1166200</v>
          </cell>
        </row>
        <row r="63">
          <cell r="B63"/>
          <cell r="C63" t="str">
            <v xml:space="preserve"> % Limit</v>
          </cell>
          <cell r="D63"/>
          <cell r="E63"/>
          <cell r="F63"/>
          <cell r="G63"/>
          <cell r="H63"/>
          <cell r="I63"/>
          <cell r="J63">
            <v>0.92</v>
          </cell>
          <cell r="K63">
            <v>0.9</v>
          </cell>
          <cell r="L63">
            <v>0.88</v>
          </cell>
          <cell r="M63">
            <v>0.86</v>
          </cell>
        </row>
        <row r="64">
          <cell r="B64" t="str">
            <v>KP000698</v>
          </cell>
          <cell r="C64">
            <v>1485000</v>
          </cell>
          <cell r="E64">
            <v>1407186</v>
          </cell>
          <cell r="F64">
            <v>1376595</v>
          </cell>
          <cell r="G64">
            <v>1346004</v>
          </cell>
          <cell r="H64">
            <v>1290000</v>
          </cell>
          <cell r="J64">
            <v>1366200</v>
          </cell>
          <cell r="K64">
            <v>1336500</v>
          </cell>
          <cell r="L64">
            <v>1306800</v>
          </cell>
          <cell r="M64">
            <v>1277100</v>
          </cell>
        </row>
        <row r="65">
          <cell r="B65" t="str">
            <v>KP000677</v>
          </cell>
          <cell r="C65">
            <v>1650000</v>
          </cell>
          <cell r="E65">
            <v>1563540</v>
          </cell>
          <cell r="F65">
            <v>1529550</v>
          </cell>
          <cell r="G65">
            <v>1495560</v>
          </cell>
          <cell r="H65">
            <v>1433333.3333333333</v>
          </cell>
          <cell r="J65">
            <v>1518000</v>
          </cell>
          <cell r="K65">
            <v>1485000</v>
          </cell>
          <cell r="L65">
            <v>1452000</v>
          </cell>
          <cell r="M65">
            <v>1419000</v>
          </cell>
        </row>
        <row r="66">
          <cell r="B66"/>
          <cell r="C66" t="str">
            <v xml:space="preserve"> % Limit</v>
          </cell>
          <cell r="D66"/>
          <cell r="E66"/>
          <cell r="F66"/>
          <cell r="G66"/>
          <cell r="H66"/>
          <cell r="I66"/>
          <cell r="J66">
            <v>0.79</v>
          </cell>
          <cell r="K66">
            <v>0.77</v>
          </cell>
          <cell r="L66">
            <v>0.75</v>
          </cell>
          <cell r="M66">
            <v>0.74</v>
          </cell>
        </row>
        <row r="67">
          <cell r="B67" t="str">
            <v>KP000682</v>
          </cell>
          <cell r="C67">
            <v>1405000</v>
          </cell>
          <cell r="E67">
            <v>1143248.5</v>
          </cell>
          <cell r="F67">
            <v>1114305.5</v>
          </cell>
          <cell r="G67">
            <v>1085362.5</v>
          </cell>
          <cell r="H67">
            <v>1050202.0202020202</v>
          </cell>
          <cell r="J67">
            <v>1109950</v>
          </cell>
          <cell r="K67">
            <v>1081850</v>
          </cell>
          <cell r="L67">
            <v>1053750</v>
          </cell>
          <cell r="M67">
            <v>1039700</v>
          </cell>
        </row>
        <row r="68">
          <cell r="B68"/>
          <cell r="C68" t="str">
            <v xml:space="preserve"> % Limit</v>
          </cell>
          <cell r="D68"/>
          <cell r="E68"/>
          <cell r="F68"/>
          <cell r="G68"/>
          <cell r="H68"/>
          <cell r="I68"/>
          <cell r="J68">
            <v>0.72499999999999998</v>
          </cell>
          <cell r="K68">
            <v>0.72</v>
          </cell>
          <cell r="L68">
            <v>0.71</v>
          </cell>
          <cell r="M68">
            <v>0.69</v>
          </cell>
        </row>
        <row r="69">
          <cell r="B69" t="str">
            <v>KP000677</v>
          </cell>
          <cell r="C69">
            <v>1650000</v>
          </cell>
          <cell r="E69">
            <v>1232137.5</v>
          </cell>
          <cell r="F69">
            <v>1223640</v>
          </cell>
          <cell r="G69">
            <v>1206645</v>
          </cell>
          <cell r="H69">
            <v>1150000</v>
          </cell>
          <cell r="J69">
            <v>1196250</v>
          </cell>
          <cell r="K69">
            <v>1188000</v>
          </cell>
          <cell r="L69">
            <v>1171500</v>
          </cell>
          <cell r="M69">
            <v>1138500</v>
          </cell>
        </row>
        <row r="70">
          <cell r="B70" t="str">
            <v>KP000678</v>
          </cell>
          <cell r="C70">
            <v>1710000</v>
          </cell>
          <cell r="E70">
            <v>1276942.5</v>
          </cell>
          <cell r="F70">
            <v>1268136</v>
          </cell>
          <cell r="G70">
            <v>1250523</v>
          </cell>
          <cell r="H70">
            <v>1191818.1818181819</v>
          </cell>
          <cell r="J70">
            <v>1239750</v>
          </cell>
          <cell r="K70">
            <v>1231200</v>
          </cell>
          <cell r="L70">
            <v>1214100</v>
          </cell>
          <cell r="M70">
            <v>1179900</v>
          </cell>
        </row>
        <row r="71">
          <cell r="B71"/>
          <cell r="C71" t="str">
            <v xml:space="preserve"> % Limit</v>
          </cell>
          <cell r="D71"/>
          <cell r="E71"/>
          <cell r="F71"/>
          <cell r="G71"/>
          <cell r="H71"/>
          <cell r="I71"/>
          <cell r="J71">
            <v>0.82</v>
          </cell>
          <cell r="K71">
            <v>0.81</v>
          </cell>
          <cell r="L71">
            <v>0.79</v>
          </cell>
          <cell r="M71">
            <v>0.77</v>
          </cell>
        </row>
        <row r="72">
          <cell r="B72" t="str">
            <v>KP000681</v>
          </cell>
          <cell r="C72">
            <v>1375000</v>
          </cell>
          <cell r="E72">
            <v>1161325</v>
          </cell>
          <cell r="F72">
            <v>1147162.5</v>
          </cell>
          <cell r="G72">
            <v>1118837.5</v>
          </cell>
          <cell r="H72">
            <v>1069444.4444444445</v>
          </cell>
          <cell r="J72">
            <v>1127500</v>
          </cell>
          <cell r="K72">
            <v>1113750</v>
          </cell>
          <cell r="L72">
            <v>1086250</v>
          </cell>
          <cell r="M72">
            <v>1058750</v>
          </cell>
        </row>
        <row r="73">
          <cell r="B73" t="str">
            <v>KP000671</v>
          </cell>
          <cell r="C73">
            <v>1480000</v>
          </cell>
          <cell r="E73">
            <v>1250008</v>
          </cell>
          <cell r="F73">
            <v>1234764</v>
          </cell>
          <cell r="G73">
            <v>1204276</v>
          </cell>
          <cell r="H73">
            <v>1151111.111111111</v>
          </cell>
          <cell r="J73">
            <v>1213600</v>
          </cell>
          <cell r="K73">
            <v>1198800</v>
          </cell>
          <cell r="L73">
            <v>1169200</v>
          </cell>
          <cell r="M73">
            <v>1139600</v>
          </cell>
        </row>
        <row r="74">
          <cell r="B74"/>
          <cell r="C74" t="str">
            <v xml:space="preserve"> % Limit</v>
          </cell>
          <cell r="D74"/>
          <cell r="E74"/>
          <cell r="F74"/>
          <cell r="G74"/>
          <cell r="H74"/>
          <cell r="I74"/>
          <cell r="J74">
            <v>0.76</v>
          </cell>
          <cell r="K74">
            <v>0.75</v>
          </cell>
          <cell r="L74">
            <v>0.73</v>
          </cell>
          <cell r="M74">
            <v>0.71</v>
          </cell>
        </row>
        <row r="75">
          <cell r="B75" t="str">
            <v>KP000673</v>
          </cell>
          <cell r="C75">
            <v>1675000</v>
          </cell>
          <cell r="E75">
            <v>1311190</v>
          </cell>
          <cell r="F75">
            <v>1293937.5</v>
          </cell>
          <cell r="G75">
            <v>1259432.5</v>
          </cell>
          <cell r="H75">
            <v>1201262.6262626264</v>
          </cell>
          <cell r="J75">
            <v>1273000</v>
          </cell>
          <cell r="K75">
            <v>1256250</v>
          </cell>
          <cell r="L75">
            <v>1222750</v>
          </cell>
          <cell r="M75">
            <v>1189250</v>
          </cell>
        </row>
        <row r="76">
          <cell r="B76" t="str">
            <v>KP000679</v>
          </cell>
          <cell r="C76">
            <v>1730000</v>
          </cell>
          <cell r="E76">
            <v>1354244</v>
          </cell>
          <cell r="F76">
            <v>1336425</v>
          </cell>
          <cell r="G76">
            <v>1300787</v>
          </cell>
          <cell r="H76">
            <v>1240707.0707070706</v>
          </cell>
          <cell r="J76">
            <v>1314800</v>
          </cell>
          <cell r="K76">
            <v>1297500</v>
          </cell>
          <cell r="L76">
            <v>1262900</v>
          </cell>
          <cell r="M76">
            <v>1228300</v>
          </cell>
        </row>
        <row r="77">
          <cell r="B77"/>
          <cell r="C77" t="str">
            <v xml:space="preserve"> % Limit</v>
          </cell>
          <cell r="D77"/>
          <cell r="E77"/>
          <cell r="F77"/>
          <cell r="G77"/>
          <cell r="H77"/>
          <cell r="I77"/>
          <cell r="J77">
            <v>0.7</v>
          </cell>
          <cell r="K77">
            <v>0.69</v>
          </cell>
          <cell r="L77">
            <v>0.67</v>
          </cell>
          <cell r="M77">
            <v>0.66</v>
          </cell>
        </row>
        <row r="78">
          <cell r="B78" t="str">
            <v>KP000732</v>
          </cell>
          <cell r="C78">
            <v>1825000</v>
          </cell>
          <cell r="E78">
            <v>1315825</v>
          </cell>
          <cell r="F78">
            <v>1297027.5</v>
          </cell>
          <cell r="G78">
            <v>1259432.5</v>
          </cell>
          <cell r="H78">
            <v>1216666.6666666667</v>
          </cell>
          <cell r="J78">
            <v>1277500</v>
          </cell>
          <cell r="K78">
            <v>1259250</v>
          </cell>
          <cell r="L78">
            <v>1222750</v>
          </cell>
          <cell r="M78">
            <v>1204500</v>
          </cell>
        </row>
        <row r="79">
          <cell r="B79"/>
          <cell r="C79" t="str">
            <v xml:space="preserve"> % Limit</v>
          </cell>
          <cell r="D79"/>
          <cell r="E79"/>
          <cell r="F79"/>
          <cell r="G79"/>
          <cell r="H79"/>
          <cell r="I79"/>
          <cell r="J79">
            <v>0.69</v>
          </cell>
          <cell r="K79">
            <v>0.68</v>
          </cell>
          <cell r="L79">
            <v>0.67</v>
          </cell>
          <cell r="M79">
            <v>0.66</v>
          </cell>
        </row>
        <row r="80">
          <cell r="B80" t="str">
            <v>KP000757</v>
          </cell>
          <cell r="C80">
            <v>1895000</v>
          </cell>
          <cell r="E80">
            <v>1346776.5</v>
          </cell>
          <cell r="F80">
            <v>1327258</v>
          </cell>
          <cell r="G80">
            <v>1307739.5</v>
          </cell>
          <cell r="H80">
            <v>1263333.3333333333</v>
          </cell>
          <cell r="J80">
            <v>1307550</v>
          </cell>
          <cell r="K80">
            <v>1288600</v>
          </cell>
          <cell r="L80">
            <v>1269650</v>
          </cell>
          <cell r="M80">
            <v>1250700</v>
          </cell>
        </row>
        <row r="81">
          <cell r="B81"/>
          <cell r="C81" t="str">
            <v xml:space="preserve"> % Limit</v>
          </cell>
          <cell r="D81"/>
          <cell r="E81"/>
          <cell r="F81"/>
          <cell r="G81"/>
          <cell r="H81"/>
          <cell r="I81"/>
          <cell r="J81">
            <v>0.74</v>
          </cell>
          <cell r="K81">
            <v>0.72</v>
          </cell>
          <cell r="L81">
            <v>0.71</v>
          </cell>
          <cell r="M81">
            <v>0.69</v>
          </cell>
        </row>
        <row r="82">
          <cell r="B82" t="str">
            <v>TGX00001</v>
          </cell>
          <cell r="C82">
            <v>2195000</v>
          </cell>
          <cell r="E82">
            <v>1673029</v>
          </cell>
          <cell r="F82">
            <v>1627812</v>
          </cell>
          <cell r="G82">
            <v>1605203.5</v>
          </cell>
          <cell r="H82">
            <v>1529848.4848484846</v>
          </cell>
          <cell r="J82">
            <v>1624300</v>
          </cell>
          <cell r="K82">
            <v>1580400</v>
          </cell>
          <cell r="L82">
            <v>1558450</v>
          </cell>
          <cell r="M82">
            <v>1514549.9999999998</v>
          </cell>
        </row>
        <row r="83">
          <cell r="B83"/>
          <cell r="C83" t="str">
            <v xml:space="preserve"> % Limit</v>
          </cell>
          <cell r="D83"/>
          <cell r="E83"/>
          <cell r="F83"/>
          <cell r="G83"/>
          <cell r="H83"/>
          <cell r="I83"/>
          <cell r="J83">
            <v>0.77</v>
          </cell>
          <cell r="K83">
            <v>0.75</v>
          </cell>
          <cell r="L83">
            <v>0.74</v>
          </cell>
          <cell r="M83">
            <v>0.71</v>
          </cell>
        </row>
        <row r="84">
          <cell r="B84" t="str">
            <v>KP000765</v>
          </cell>
          <cell r="C84">
            <v>865000</v>
          </cell>
          <cell r="E84">
            <v>686031.5</v>
          </cell>
          <cell r="F84">
            <v>668212.5</v>
          </cell>
          <cell r="G84">
            <v>659303</v>
          </cell>
          <cell r="H84">
            <v>620353.53535353532</v>
          </cell>
          <cell r="J84">
            <v>666050</v>
          </cell>
          <cell r="K84">
            <v>648750</v>
          </cell>
          <cell r="L84">
            <v>640100</v>
          </cell>
          <cell r="M84">
            <v>614150</v>
          </cell>
        </row>
        <row r="85">
          <cell r="B85"/>
          <cell r="C85" t="str">
            <v xml:space="preserve"> % Limit</v>
          </cell>
          <cell r="D85"/>
          <cell r="E85"/>
          <cell r="F85"/>
          <cell r="G85"/>
          <cell r="H85"/>
          <cell r="I85"/>
          <cell r="J85">
            <v>0.74</v>
          </cell>
          <cell r="K85">
            <v>0.73</v>
          </cell>
          <cell r="L85">
            <v>0.71</v>
          </cell>
          <cell r="M85">
            <v>0.69</v>
          </cell>
        </row>
        <row r="86">
          <cell r="B86" t="str">
            <v>KP000766</v>
          </cell>
          <cell r="C86">
            <v>975000</v>
          </cell>
          <cell r="E86">
            <v>743145</v>
          </cell>
          <cell r="F86">
            <v>733102.5</v>
          </cell>
          <cell r="G86">
            <v>713017.5</v>
          </cell>
          <cell r="H86">
            <v>679545.45454545459</v>
          </cell>
          <cell r="J86">
            <v>721500</v>
          </cell>
          <cell r="K86">
            <v>711750</v>
          </cell>
          <cell r="L86">
            <v>692250</v>
          </cell>
          <cell r="M86">
            <v>672750</v>
          </cell>
        </row>
        <row r="87">
          <cell r="B87"/>
          <cell r="C87" t="str">
            <v xml:space="preserve"> % Limit</v>
          </cell>
          <cell r="D87"/>
          <cell r="E87"/>
          <cell r="F87"/>
          <cell r="G87"/>
          <cell r="H87"/>
          <cell r="I87"/>
          <cell r="J87">
            <v>0.82</v>
          </cell>
          <cell r="K87">
            <v>0.8</v>
          </cell>
          <cell r="L87">
            <v>0.75</v>
          </cell>
          <cell r="M87">
            <v>0.68</v>
          </cell>
        </row>
        <row r="88">
          <cell r="B88" t="str">
            <v>KP000596</v>
          </cell>
          <cell r="C88">
            <v>1030000</v>
          </cell>
          <cell r="E88">
            <v>869938</v>
          </cell>
          <cell r="F88">
            <v>848720</v>
          </cell>
          <cell r="G88">
            <v>795675</v>
          </cell>
          <cell r="H88">
            <v>707474.74747474748</v>
          </cell>
          <cell r="J88">
            <v>844600</v>
          </cell>
          <cell r="K88">
            <v>824000</v>
          </cell>
          <cell r="L88">
            <v>772500</v>
          </cell>
          <cell r="M88">
            <v>700400</v>
          </cell>
        </row>
        <row r="89">
          <cell r="B89" t="str">
            <v>KP000773</v>
          </cell>
          <cell r="C89">
            <v>1015000</v>
          </cell>
          <cell r="E89">
            <v>857269</v>
          </cell>
          <cell r="F89">
            <v>836360</v>
          </cell>
          <cell r="G89">
            <v>784087.5</v>
          </cell>
          <cell r="H89">
            <v>697171.7171717172</v>
          </cell>
          <cell r="J89">
            <v>832300</v>
          </cell>
          <cell r="K89">
            <v>812000</v>
          </cell>
          <cell r="L89">
            <v>761250</v>
          </cell>
          <cell r="M89">
            <v>690200</v>
          </cell>
        </row>
        <row r="90">
          <cell r="J90"/>
        </row>
        <row r="91">
          <cell r="J91"/>
        </row>
        <row r="92">
          <cell r="J92"/>
        </row>
        <row r="93">
          <cell r="J93"/>
        </row>
        <row r="94">
          <cell r="J94"/>
        </row>
        <row r="95">
          <cell r="J95"/>
        </row>
        <row r="96">
          <cell r="J96"/>
        </row>
        <row r="97">
          <cell r="J97"/>
        </row>
        <row r="98">
          <cell r="J98"/>
        </row>
        <row r="99">
          <cell r="J99"/>
        </row>
        <row r="100">
          <cell r="J100"/>
        </row>
        <row r="101">
          <cell r="J101"/>
        </row>
      </sheetData>
      <sheetData sheetId="1">
        <row r="9">
          <cell r="B9" t="str">
            <v>KP000589</v>
          </cell>
          <cell r="C9">
            <v>674000</v>
          </cell>
          <cell r="E9">
            <v>555376</v>
          </cell>
          <cell r="F9">
            <v>541491.6</v>
          </cell>
          <cell r="G9">
            <v>534549.4</v>
          </cell>
          <cell r="H9">
            <v>517414.1414141414</v>
          </cell>
          <cell r="J9">
            <v>539200</v>
          </cell>
          <cell r="K9">
            <v>525720</v>
          </cell>
          <cell r="L9">
            <v>518980</v>
          </cell>
          <cell r="M9">
            <v>512240</v>
          </cell>
        </row>
        <row r="10">
          <cell r="B10"/>
          <cell r="C10" t="str">
            <v xml:space="preserve"> % Limit</v>
          </cell>
          <cell r="D10"/>
          <cell r="E10"/>
          <cell r="F10"/>
          <cell r="G10"/>
          <cell r="H10"/>
          <cell r="I10"/>
          <cell r="J10">
            <v>0.82</v>
          </cell>
          <cell r="K10">
            <v>0.8</v>
          </cell>
          <cell r="L10">
            <v>0.78</v>
          </cell>
          <cell r="M10">
            <v>0.77</v>
          </cell>
        </row>
        <row r="11">
          <cell r="B11" t="str">
            <v>KP000516</v>
          </cell>
          <cell r="C11">
            <v>1007500</v>
          </cell>
          <cell r="E11">
            <v>850934.5</v>
          </cell>
          <cell r="F11">
            <v>830180</v>
          </cell>
          <cell r="G11">
            <v>809425.5</v>
          </cell>
          <cell r="H11">
            <v>783611.11111111112</v>
          </cell>
          <cell r="J11">
            <v>826150</v>
          </cell>
          <cell r="K11">
            <v>806000</v>
          </cell>
          <cell r="L11">
            <v>785850</v>
          </cell>
          <cell r="M11">
            <v>775775</v>
          </cell>
        </row>
        <row r="12">
          <cell r="B12"/>
          <cell r="C12" t="str">
            <v xml:space="preserve"> % Limit</v>
          </cell>
          <cell r="D12"/>
          <cell r="E12"/>
          <cell r="F12"/>
          <cell r="G12"/>
          <cell r="H12"/>
          <cell r="I12"/>
          <cell r="J12">
            <v>0.79</v>
          </cell>
          <cell r="K12">
            <v>0.78</v>
          </cell>
          <cell r="L12">
            <v>0.77</v>
          </cell>
          <cell r="M12">
            <v>0.76</v>
          </cell>
        </row>
        <row r="13">
          <cell r="B13" t="str">
            <v>KP000590</v>
          </cell>
          <cell r="C13">
            <v>1002500</v>
          </cell>
          <cell r="E13">
            <v>815734.25</v>
          </cell>
          <cell r="F13">
            <v>805408.5</v>
          </cell>
          <cell r="G13">
            <v>795082.75</v>
          </cell>
          <cell r="H13">
            <v>769595.95959595963</v>
          </cell>
          <cell r="J13">
            <v>791975</v>
          </cell>
          <cell r="K13">
            <v>781950</v>
          </cell>
          <cell r="L13">
            <v>771925</v>
          </cell>
          <cell r="M13">
            <v>761900</v>
          </cell>
        </row>
        <row r="14">
          <cell r="B14"/>
          <cell r="C14" t="str">
            <v xml:space="preserve"> % Limit</v>
          </cell>
          <cell r="D14"/>
          <cell r="E14"/>
          <cell r="F14"/>
          <cell r="G14"/>
          <cell r="H14"/>
          <cell r="I14"/>
          <cell r="J14">
            <v>0.77</v>
          </cell>
          <cell r="K14">
            <v>0.76</v>
          </cell>
          <cell r="L14">
            <v>0.75</v>
          </cell>
          <cell r="M14">
            <v>0.74</v>
          </cell>
        </row>
        <row r="15">
          <cell r="B15" t="str">
            <v>KP000564</v>
          </cell>
          <cell r="C15">
            <v>1047500</v>
          </cell>
          <cell r="E15">
            <v>830772.25</v>
          </cell>
          <cell r="F15">
            <v>819983</v>
          </cell>
          <cell r="G15">
            <v>809193.75</v>
          </cell>
          <cell r="H15">
            <v>782979.79797979794</v>
          </cell>
          <cell r="J15">
            <v>806575</v>
          </cell>
          <cell r="K15">
            <v>796100</v>
          </cell>
          <cell r="L15">
            <v>785625</v>
          </cell>
          <cell r="M15">
            <v>775150</v>
          </cell>
        </row>
        <row r="16">
          <cell r="B16"/>
          <cell r="C16" t="str">
            <v xml:space="preserve"> % Limit</v>
          </cell>
          <cell r="D16"/>
          <cell r="E16"/>
          <cell r="F16"/>
          <cell r="G16"/>
          <cell r="H16"/>
          <cell r="I16"/>
          <cell r="J16">
            <v>0.89</v>
          </cell>
          <cell r="K16">
            <v>0.87</v>
          </cell>
          <cell r="L16">
            <v>0.84</v>
          </cell>
          <cell r="M16">
            <v>0.82</v>
          </cell>
        </row>
        <row r="17">
          <cell r="B17" t="str">
            <v>KP000758</v>
          </cell>
          <cell r="C17">
            <v>875000</v>
          </cell>
          <cell r="E17">
            <v>802112.5</v>
          </cell>
          <cell r="F17">
            <v>784087.5</v>
          </cell>
          <cell r="G17">
            <v>757050</v>
          </cell>
          <cell r="H17">
            <v>724747.47474747477</v>
          </cell>
          <cell r="J17">
            <v>778750</v>
          </cell>
          <cell r="K17">
            <v>761250</v>
          </cell>
          <cell r="L17">
            <v>735000</v>
          </cell>
          <cell r="M17">
            <v>717500</v>
          </cell>
        </row>
        <row r="18">
          <cell r="B18" t="str">
            <v>KP000474</v>
          </cell>
          <cell r="C18">
            <v>995000</v>
          </cell>
          <cell r="E18">
            <v>912116.5</v>
          </cell>
          <cell r="F18">
            <v>891619.5</v>
          </cell>
          <cell r="G18">
            <v>860874</v>
          </cell>
          <cell r="H18">
            <v>824141.4141414141</v>
          </cell>
          <cell r="J18">
            <v>885550</v>
          </cell>
          <cell r="K18">
            <v>865650</v>
          </cell>
          <cell r="L18">
            <v>835800</v>
          </cell>
          <cell r="M18">
            <v>815900</v>
          </cell>
        </row>
        <row r="19">
          <cell r="B19" t="str">
            <v>KP000669</v>
          </cell>
          <cell r="C19">
            <v>1030000</v>
          </cell>
          <cell r="E19">
            <v>944201</v>
          </cell>
          <cell r="F19">
            <v>922983</v>
          </cell>
          <cell r="G19">
            <v>891156</v>
          </cell>
          <cell r="H19">
            <v>853131.31313131319</v>
          </cell>
          <cell r="J19">
            <v>916700</v>
          </cell>
          <cell r="K19">
            <v>896100</v>
          </cell>
          <cell r="L19">
            <v>865200</v>
          </cell>
          <cell r="M19">
            <v>844600</v>
          </cell>
        </row>
        <row r="20">
          <cell r="B20"/>
          <cell r="C20" t="str">
            <v xml:space="preserve"> % Limit</v>
          </cell>
          <cell r="D20"/>
          <cell r="E20"/>
          <cell r="F20"/>
          <cell r="G20"/>
          <cell r="H20"/>
          <cell r="I20"/>
          <cell r="J20">
            <v>0.82</v>
          </cell>
          <cell r="K20">
            <v>0.79</v>
          </cell>
          <cell r="L20">
            <v>0.77</v>
          </cell>
          <cell r="M20">
            <v>0.74</v>
          </cell>
        </row>
        <row r="21">
          <cell r="B21" t="str">
            <v>KP000405</v>
          </cell>
          <cell r="C21">
            <v>975000</v>
          </cell>
          <cell r="E21">
            <v>823485</v>
          </cell>
          <cell r="F21">
            <v>793357.5</v>
          </cell>
          <cell r="G21">
            <v>773272.5</v>
          </cell>
          <cell r="H21">
            <v>728787.87878787878</v>
          </cell>
          <cell r="J21">
            <v>799500</v>
          </cell>
          <cell r="K21">
            <v>770250</v>
          </cell>
          <cell r="L21">
            <v>750750</v>
          </cell>
          <cell r="M21">
            <v>721500</v>
          </cell>
        </row>
        <row r="22">
          <cell r="B22"/>
          <cell r="C22" t="str">
            <v xml:space="preserve"> % Limit</v>
          </cell>
          <cell r="D22"/>
          <cell r="E22"/>
          <cell r="F22"/>
          <cell r="G22"/>
          <cell r="H22"/>
          <cell r="I22"/>
          <cell r="J22">
            <v>0.82</v>
          </cell>
          <cell r="K22">
            <v>0.79</v>
          </cell>
          <cell r="L22">
            <v>0.77</v>
          </cell>
          <cell r="M22">
            <v>0.65</v>
          </cell>
        </row>
        <row r="23">
          <cell r="B23" t="str">
            <v>TGM00003</v>
          </cell>
          <cell r="C23">
            <v>1292000</v>
          </cell>
          <cell r="E23">
            <v>1091223.2</v>
          </cell>
          <cell r="F23">
            <v>1051300.4000000001</v>
          </cell>
          <cell r="G23">
            <v>1024685.2000000001</v>
          </cell>
          <cell r="H23">
            <v>848282.82828282833</v>
          </cell>
          <cell r="J23">
            <v>1059440</v>
          </cell>
          <cell r="K23">
            <v>1020680</v>
          </cell>
          <cell r="L23">
            <v>994840</v>
          </cell>
          <cell r="M23">
            <v>839800</v>
          </cell>
        </row>
        <row r="24">
          <cell r="B24"/>
          <cell r="C24" t="str">
            <v xml:space="preserve"> % Limit</v>
          </cell>
          <cell r="D24"/>
          <cell r="E24"/>
          <cell r="F24"/>
          <cell r="G24"/>
          <cell r="H24"/>
          <cell r="I24"/>
          <cell r="J24">
            <v>0.78</v>
          </cell>
          <cell r="K24">
            <v>0.77</v>
          </cell>
          <cell r="L24">
            <v>0.74</v>
          </cell>
          <cell r="M24">
            <v>0.73</v>
          </cell>
        </row>
        <row r="25">
          <cell r="B25" t="str">
            <v>KP000404</v>
          </cell>
          <cell r="C25">
            <v>1085000</v>
          </cell>
          <cell r="E25">
            <v>871689</v>
          </cell>
          <cell r="F25">
            <v>860513.5</v>
          </cell>
          <cell r="G25">
            <v>826987</v>
          </cell>
          <cell r="H25">
            <v>800050.50505050505</v>
          </cell>
          <cell r="J25">
            <v>846300</v>
          </cell>
          <cell r="K25">
            <v>835450</v>
          </cell>
          <cell r="L25">
            <v>802900</v>
          </cell>
          <cell r="M25">
            <v>792050</v>
          </cell>
        </row>
        <row r="26">
          <cell r="B26" t="str">
            <v>KP000471</v>
          </cell>
          <cell r="C26">
            <v>1235000</v>
          </cell>
          <cell r="E26">
            <v>992199</v>
          </cell>
          <cell r="F26">
            <v>979478.5</v>
          </cell>
          <cell r="G26">
            <v>941317</v>
          </cell>
          <cell r="H26">
            <v>910656.56565656571</v>
          </cell>
          <cell r="J26">
            <v>963300</v>
          </cell>
          <cell r="K26">
            <v>950950</v>
          </cell>
          <cell r="L26">
            <v>913900</v>
          </cell>
          <cell r="M26">
            <v>901550</v>
          </cell>
        </row>
        <row r="27">
          <cell r="B27"/>
          <cell r="C27" t="str">
            <v xml:space="preserve"> % Limit</v>
          </cell>
          <cell r="D27"/>
          <cell r="E27"/>
          <cell r="F27"/>
          <cell r="G27"/>
          <cell r="H27"/>
          <cell r="I27"/>
          <cell r="J27">
            <v>0.75</v>
          </cell>
          <cell r="K27">
            <v>0.74</v>
          </cell>
          <cell r="L27">
            <v>0.73</v>
          </cell>
          <cell r="M27">
            <v>0.71</v>
          </cell>
        </row>
        <row r="28">
          <cell r="B28" t="str">
            <v>KP000489</v>
          </cell>
          <cell r="C28">
            <v>1316000</v>
          </cell>
          <cell r="E28">
            <v>1016610</v>
          </cell>
          <cell r="F28">
            <v>1003055.2000000001</v>
          </cell>
          <cell r="G28">
            <v>989500.4</v>
          </cell>
          <cell r="H28">
            <v>943797.97979797982</v>
          </cell>
          <cell r="J28">
            <v>987000</v>
          </cell>
          <cell r="K28">
            <v>973840</v>
          </cell>
          <cell r="L28">
            <v>960680</v>
          </cell>
          <cell r="M28">
            <v>934360</v>
          </cell>
        </row>
        <row r="29">
          <cell r="B29" t="str">
            <v>KP000481</v>
          </cell>
          <cell r="C29">
            <v>1340000</v>
          </cell>
          <cell r="E29">
            <v>1035150</v>
          </cell>
          <cell r="F29">
            <v>1021348</v>
          </cell>
          <cell r="G29">
            <v>1007546</v>
          </cell>
          <cell r="H29">
            <v>961010.10101010103</v>
          </cell>
          <cell r="J29">
            <v>1005000</v>
          </cell>
          <cell r="K29">
            <v>991600</v>
          </cell>
          <cell r="L29">
            <v>978200</v>
          </cell>
          <cell r="M29">
            <v>951400</v>
          </cell>
        </row>
        <row r="30">
          <cell r="B30"/>
          <cell r="C30" t="str">
            <v xml:space="preserve"> % Limit</v>
          </cell>
          <cell r="D30"/>
          <cell r="E30"/>
          <cell r="F30"/>
          <cell r="G30"/>
          <cell r="H30"/>
          <cell r="I30"/>
          <cell r="J30">
            <v>0.77</v>
          </cell>
          <cell r="K30">
            <v>0.75</v>
          </cell>
          <cell r="L30">
            <v>0.73</v>
          </cell>
          <cell r="M30">
            <v>0.72</v>
          </cell>
        </row>
        <row r="31">
          <cell r="B31" t="str">
            <v>KP000632</v>
          </cell>
          <cell r="C31">
            <v>1320000</v>
          </cell>
          <cell r="E31">
            <v>1046892</v>
          </cell>
          <cell r="F31">
            <v>1019700</v>
          </cell>
          <cell r="G31">
            <v>992508</v>
          </cell>
          <cell r="H31">
            <v>960000</v>
          </cell>
          <cell r="J31">
            <v>1016400</v>
          </cell>
          <cell r="K31">
            <v>990000</v>
          </cell>
          <cell r="L31">
            <v>963600</v>
          </cell>
          <cell r="M31">
            <v>950400</v>
          </cell>
        </row>
        <row r="32">
          <cell r="B32" t="str">
            <v>TGS00011</v>
          </cell>
          <cell r="C32">
            <v>1536531</v>
          </cell>
          <cell r="E32">
            <v>1218622.7361000001</v>
          </cell>
          <cell r="F32">
            <v>1186970.1975</v>
          </cell>
          <cell r="G32">
            <v>1155317.6588999999</v>
          </cell>
          <cell r="H32">
            <v>1117477.0909090911</v>
          </cell>
          <cell r="J32">
            <v>1183128.8700000001</v>
          </cell>
          <cell r="K32">
            <v>1152398.25</v>
          </cell>
          <cell r="L32">
            <v>1121667.6299999999</v>
          </cell>
          <cell r="M32">
            <v>1106302.32</v>
          </cell>
        </row>
        <row r="33">
          <cell r="B33"/>
          <cell r="C33" t="str">
            <v xml:space="preserve"> % Limit</v>
          </cell>
          <cell r="D33"/>
          <cell r="E33"/>
          <cell r="F33"/>
          <cell r="G33"/>
          <cell r="H33"/>
          <cell r="I33"/>
          <cell r="J33">
            <v>0.94</v>
          </cell>
          <cell r="K33">
            <v>0.92</v>
          </cell>
          <cell r="L33">
            <v>0.9</v>
          </cell>
          <cell r="M33">
            <v>0.88</v>
          </cell>
        </row>
        <row r="34">
          <cell r="B34" t="str">
            <v>TGS00008</v>
          </cell>
          <cell r="C34">
            <v>1460000</v>
          </cell>
          <cell r="E34">
            <v>1413572</v>
          </cell>
          <cell r="F34">
            <v>1383496</v>
          </cell>
          <cell r="G34">
            <v>1353420</v>
          </cell>
          <cell r="H34">
            <v>1297777.7777777778</v>
          </cell>
          <cell r="J34">
            <v>1372400</v>
          </cell>
          <cell r="K34">
            <v>1343200</v>
          </cell>
          <cell r="L34">
            <v>1314000</v>
          </cell>
          <cell r="M34">
            <v>1284800</v>
          </cell>
        </row>
        <row r="35">
          <cell r="B35"/>
          <cell r="C35" t="str">
            <v xml:space="preserve"> % Limit</v>
          </cell>
          <cell r="D35"/>
          <cell r="E35"/>
          <cell r="F35"/>
          <cell r="G35"/>
          <cell r="H35"/>
          <cell r="I35"/>
          <cell r="J35">
            <v>0.82</v>
          </cell>
          <cell r="K35">
            <v>0.79</v>
          </cell>
          <cell r="L35">
            <v>0.77</v>
          </cell>
          <cell r="M35">
            <v>0.75</v>
          </cell>
        </row>
        <row r="36">
          <cell r="B36" t="str">
            <v>TGS00010</v>
          </cell>
          <cell r="C36">
            <v>1605000</v>
          </cell>
          <cell r="E36">
            <v>1355583</v>
          </cell>
          <cell r="F36">
            <v>1305988.5</v>
          </cell>
          <cell r="G36">
            <v>1272925.5</v>
          </cell>
          <cell r="H36">
            <v>1215909.0909090908</v>
          </cell>
          <cell r="J36">
            <v>1316100</v>
          </cell>
          <cell r="K36">
            <v>1267950</v>
          </cell>
          <cell r="L36">
            <v>1235850</v>
          </cell>
          <cell r="M36">
            <v>1203750</v>
          </cell>
        </row>
        <row r="37">
          <cell r="B37"/>
          <cell r="C37" t="str">
            <v xml:space="preserve"> % Limit</v>
          </cell>
          <cell r="D37"/>
          <cell r="E37"/>
          <cell r="F37"/>
          <cell r="G37"/>
          <cell r="H37"/>
          <cell r="I37"/>
          <cell r="J37">
            <v>0.74</v>
          </cell>
          <cell r="K37">
            <v>0.73</v>
          </cell>
          <cell r="L37">
            <v>0.72</v>
          </cell>
          <cell r="M37">
            <v>0.7</v>
          </cell>
        </row>
        <row r="38">
          <cell r="B38" t="str">
            <v>KP000634</v>
          </cell>
          <cell r="C38">
            <v>1735000</v>
          </cell>
          <cell r="E38">
            <v>1322417</v>
          </cell>
          <cell r="F38">
            <v>1304546.5</v>
          </cell>
          <cell r="G38">
            <v>1286676</v>
          </cell>
          <cell r="H38">
            <v>1226767.6767676768</v>
          </cell>
          <cell r="J38">
            <v>1283900</v>
          </cell>
          <cell r="K38">
            <v>1266550</v>
          </cell>
          <cell r="L38">
            <v>1249200</v>
          </cell>
          <cell r="M38">
            <v>1214500</v>
          </cell>
        </row>
        <row r="39">
          <cell r="B39" t="str">
            <v>KP000666</v>
          </cell>
          <cell r="C39">
            <v>1815000</v>
          </cell>
          <cell r="E39">
            <v>1383393</v>
          </cell>
          <cell r="F39">
            <v>1364698.5</v>
          </cell>
          <cell r="G39">
            <v>1346004</v>
          </cell>
          <cell r="H39">
            <v>1283333.3333333333</v>
          </cell>
          <cell r="J39">
            <v>1343100</v>
          </cell>
          <cell r="K39">
            <v>1324950</v>
          </cell>
          <cell r="L39">
            <v>1306800</v>
          </cell>
          <cell r="M39">
            <v>1270500</v>
          </cell>
        </row>
        <row r="40">
          <cell r="B40"/>
          <cell r="C40" t="str">
            <v xml:space="preserve"> % Limit</v>
          </cell>
          <cell r="D40"/>
          <cell r="E40"/>
          <cell r="F40"/>
          <cell r="G40"/>
          <cell r="H40"/>
          <cell r="I40"/>
          <cell r="J40">
            <v>0.78</v>
          </cell>
          <cell r="K40">
            <v>0.76</v>
          </cell>
          <cell r="L40">
            <v>0.75</v>
          </cell>
          <cell r="M40">
            <v>0.73</v>
          </cell>
        </row>
        <row r="41">
          <cell r="B41" t="str">
            <v>KP000707</v>
          </cell>
          <cell r="C41">
            <v>1835000</v>
          </cell>
          <cell r="E41">
            <v>1474239</v>
          </cell>
          <cell r="F41">
            <v>1436438</v>
          </cell>
          <cell r="G41">
            <v>1417537.5</v>
          </cell>
          <cell r="H41">
            <v>1353080.808080808</v>
          </cell>
          <cell r="J41">
            <v>1431300</v>
          </cell>
          <cell r="K41">
            <v>1394600</v>
          </cell>
          <cell r="L41">
            <v>1376250</v>
          </cell>
          <cell r="M41">
            <v>1339550</v>
          </cell>
        </row>
        <row r="42">
          <cell r="B42"/>
          <cell r="C42" t="str">
            <v xml:space="preserve"> % Limit</v>
          </cell>
          <cell r="D42"/>
          <cell r="E42"/>
          <cell r="F42"/>
          <cell r="G42"/>
          <cell r="H42"/>
          <cell r="I42"/>
          <cell r="J42">
            <v>0.74</v>
          </cell>
          <cell r="K42">
            <v>0.73</v>
          </cell>
          <cell r="L42">
            <v>0.71</v>
          </cell>
          <cell r="M42">
            <v>0.7</v>
          </cell>
        </row>
        <row r="43">
          <cell r="B43" t="str">
            <v>TGS00001</v>
          </cell>
          <cell r="C43">
            <v>1785000</v>
          </cell>
          <cell r="E43">
            <v>1360527</v>
          </cell>
          <cell r="F43">
            <v>1342141.5</v>
          </cell>
          <cell r="G43">
            <v>1305370.5</v>
          </cell>
          <cell r="H43">
            <v>1262121.2121212122</v>
          </cell>
          <cell r="J43">
            <v>1320900</v>
          </cell>
          <cell r="K43">
            <v>1303050</v>
          </cell>
          <cell r="L43">
            <v>1267350</v>
          </cell>
          <cell r="M43">
            <v>1249500</v>
          </cell>
        </row>
        <row r="44">
          <cell r="B44"/>
          <cell r="C44" t="str">
            <v xml:space="preserve"> % Limit</v>
          </cell>
          <cell r="D44"/>
          <cell r="E44"/>
          <cell r="F44"/>
          <cell r="G44"/>
          <cell r="H44"/>
          <cell r="I44"/>
          <cell r="J44">
            <v>0.76</v>
          </cell>
          <cell r="K44">
            <v>0.73</v>
          </cell>
          <cell r="L44">
            <v>0.7</v>
          </cell>
          <cell r="M44">
            <v>0.67</v>
          </cell>
        </row>
        <row r="45">
          <cell r="B45" t="str">
            <v>TGS00009</v>
          </cell>
          <cell r="C45">
            <v>1680000</v>
          </cell>
          <cell r="E45">
            <v>1315104</v>
          </cell>
          <cell r="F45">
            <v>1263192</v>
          </cell>
          <cell r="G45">
            <v>1211280</v>
          </cell>
          <cell r="H45">
            <v>1136969.696969697</v>
          </cell>
          <cell r="J45">
            <v>1276800</v>
          </cell>
          <cell r="K45">
            <v>1226400</v>
          </cell>
          <cell r="L45">
            <v>1176000</v>
          </cell>
          <cell r="M45">
            <v>1125600</v>
          </cell>
        </row>
        <row r="46">
          <cell r="B46"/>
          <cell r="C46" t="str">
            <v xml:space="preserve"> % Limit</v>
          </cell>
          <cell r="D46"/>
          <cell r="E46"/>
          <cell r="F46"/>
          <cell r="G46"/>
          <cell r="H46"/>
          <cell r="I46"/>
          <cell r="J46">
            <v>0.73</v>
          </cell>
          <cell r="K46">
            <v>0.71</v>
          </cell>
          <cell r="L46">
            <v>0.69</v>
          </cell>
          <cell r="M46">
            <v>0.67</v>
          </cell>
        </row>
        <row r="47">
          <cell r="B47" t="str">
            <v>KP000635</v>
          </cell>
          <cell r="C47">
            <v>1835000</v>
          </cell>
          <cell r="E47">
            <v>1379736.5</v>
          </cell>
          <cell r="F47">
            <v>1341935.5</v>
          </cell>
          <cell r="G47">
            <v>1304134.5</v>
          </cell>
          <cell r="H47">
            <v>1241868.6868686869</v>
          </cell>
          <cell r="J47">
            <v>1339550</v>
          </cell>
          <cell r="K47">
            <v>1302850</v>
          </cell>
          <cell r="L47">
            <v>1266150</v>
          </cell>
          <cell r="M47">
            <v>1229450</v>
          </cell>
        </row>
        <row r="48">
          <cell r="B48"/>
          <cell r="C48" t="str">
            <v xml:space="preserve"> % Limit</v>
          </cell>
          <cell r="D48"/>
          <cell r="E48"/>
          <cell r="F48"/>
          <cell r="G48"/>
          <cell r="H48"/>
          <cell r="I48"/>
          <cell r="J48">
            <v>0.74</v>
          </cell>
          <cell r="K48">
            <v>0.73</v>
          </cell>
          <cell r="L48">
            <v>0.72</v>
          </cell>
          <cell r="M48">
            <v>0.7</v>
          </cell>
        </row>
        <row r="49">
          <cell r="B49" t="str">
            <v>KP000709</v>
          </cell>
          <cell r="C49">
            <v>1895000</v>
          </cell>
          <cell r="E49">
            <v>1444369</v>
          </cell>
          <cell r="F49">
            <v>1424850.5</v>
          </cell>
          <cell r="G49">
            <v>1405332</v>
          </cell>
          <cell r="H49">
            <v>1339898.9898989899</v>
          </cell>
          <cell r="J49">
            <v>1402300</v>
          </cell>
          <cell r="K49">
            <v>1383350</v>
          </cell>
          <cell r="L49">
            <v>1364400</v>
          </cell>
          <cell r="M49">
            <v>1326500</v>
          </cell>
        </row>
        <row r="50">
          <cell r="B50" t="str">
            <v>TGS00002</v>
          </cell>
          <cell r="C50">
            <v>1960000</v>
          </cell>
          <cell r="E50">
            <v>1493912</v>
          </cell>
          <cell r="F50">
            <v>1473724</v>
          </cell>
          <cell r="G50">
            <v>1453536</v>
          </cell>
          <cell r="H50">
            <v>1385858.5858585858</v>
          </cell>
          <cell r="J50">
            <v>1450400</v>
          </cell>
          <cell r="K50">
            <v>1430800</v>
          </cell>
          <cell r="L50">
            <v>1411200</v>
          </cell>
          <cell r="M50">
            <v>1372000</v>
          </cell>
        </row>
        <row r="51">
          <cell r="B51"/>
          <cell r="C51" t="str">
            <v xml:space="preserve"> % Limit</v>
          </cell>
          <cell r="D51"/>
          <cell r="E51"/>
          <cell r="F51"/>
          <cell r="G51"/>
          <cell r="H51"/>
          <cell r="I51"/>
          <cell r="J51">
            <v>0.83</v>
          </cell>
          <cell r="K51">
            <v>0.81</v>
          </cell>
          <cell r="L51">
            <v>0.8</v>
          </cell>
          <cell r="M51">
            <v>0.78</v>
          </cell>
        </row>
        <row r="52">
          <cell r="B52" t="str">
            <v>KP000636</v>
          </cell>
          <cell r="C52">
            <v>1500000</v>
          </cell>
          <cell r="E52">
            <v>1282350</v>
          </cell>
          <cell r="F52">
            <v>1251450</v>
          </cell>
          <cell r="G52">
            <v>1236000</v>
          </cell>
          <cell r="H52">
            <v>1181818.1818181819</v>
          </cell>
          <cell r="J52">
            <v>1245000</v>
          </cell>
          <cell r="K52">
            <v>1215000</v>
          </cell>
          <cell r="L52">
            <v>1200000</v>
          </cell>
          <cell r="M52">
            <v>1170000</v>
          </cell>
        </row>
        <row r="53">
          <cell r="B53"/>
          <cell r="C53" t="str">
            <v xml:space="preserve"> % Limit</v>
          </cell>
          <cell r="D53"/>
          <cell r="E53"/>
          <cell r="F53"/>
          <cell r="G53"/>
          <cell r="H53"/>
          <cell r="I53"/>
          <cell r="J53">
            <v>0.8</v>
          </cell>
          <cell r="K53">
            <v>0.78</v>
          </cell>
          <cell r="L53">
            <v>0.77</v>
          </cell>
          <cell r="M53">
            <v>0.75</v>
          </cell>
        </row>
        <row r="54">
          <cell r="B54" t="str">
            <v>KP000637</v>
          </cell>
          <cell r="C54">
            <v>1625000</v>
          </cell>
          <cell r="E54">
            <v>1339000</v>
          </cell>
          <cell r="F54">
            <v>1305525</v>
          </cell>
          <cell r="G54">
            <v>1288787.5</v>
          </cell>
          <cell r="H54">
            <v>1231060.606060606</v>
          </cell>
          <cell r="J54">
            <v>1300000</v>
          </cell>
          <cell r="K54">
            <v>1267500</v>
          </cell>
          <cell r="L54">
            <v>1251250</v>
          </cell>
          <cell r="M54">
            <v>1218750</v>
          </cell>
        </row>
        <row r="55">
          <cell r="B55"/>
          <cell r="C55" t="str">
            <v xml:space="preserve"> % Limit</v>
          </cell>
          <cell r="D55"/>
          <cell r="E55"/>
          <cell r="F55"/>
          <cell r="G55"/>
          <cell r="H55"/>
          <cell r="I55"/>
          <cell r="J55">
            <v>0.75</v>
          </cell>
          <cell r="K55">
            <v>0.74</v>
          </cell>
          <cell r="L55">
            <v>0.72</v>
          </cell>
          <cell r="M55">
            <v>0.7</v>
          </cell>
        </row>
        <row r="56">
          <cell r="B56" t="str">
            <v>KP000718</v>
          </cell>
          <cell r="C56">
            <v>1715000</v>
          </cell>
          <cell r="E56">
            <v>1324837.5</v>
          </cell>
          <cell r="F56">
            <v>1307173</v>
          </cell>
          <cell r="G56">
            <v>1271844</v>
          </cell>
          <cell r="H56">
            <v>1212626.2626262626</v>
          </cell>
          <cell r="J56">
            <v>1286250</v>
          </cell>
          <cell r="K56">
            <v>1269100</v>
          </cell>
          <cell r="L56">
            <v>1234800</v>
          </cell>
          <cell r="M56">
            <v>1200500</v>
          </cell>
        </row>
        <row r="57">
          <cell r="B57"/>
          <cell r="C57" t="str">
            <v xml:space="preserve"> % Limit</v>
          </cell>
          <cell r="D57"/>
          <cell r="E57"/>
          <cell r="F57"/>
          <cell r="G57"/>
          <cell r="H57"/>
          <cell r="I57"/>
          <cell r="J57">
            <v>0.76</v>
          </cell>
          <cell r="K57">
            <v>0.75</v>
          </cell>
          <cell r="L57">
            <v>0.73</v>
          </cell>
          <cell r="M57">
            <v>0.71</v>
          </cell>
        </row>
        <row r="58">
          <cell r="B58" t="str">
            <v>KP000753</v>
          </cell>
          <cell r="C58">
            <v>1675000</v>
          </cell>
          <cell r="E58">
            <v>1311190</v>
          </cell>
          <cell r="F58">
            <v>1293937.5</v>
          </cell>
          <cell r="G58">
            <v>1259432.5</v>
          </cell>
          <cell r="H58">
            <v>1201262.6262626264</v>
          </cell>
          <cell r="J58">
            <v>1273000</v>
          </cell>
          <cell r="K58">
            <v>1256250</v>
          </cell>
          <cell r="L58">
            <v>1222750</v>
          </cell>
          <cell r="M58">
            <v>1189250</v>
          </cell>
        </row>
        <row r="59">
          <cell r="B59" t="str">
            <v>TGS00003</v>
          </cell>
          <cell r="C59">
            <v>1785000</v>
          </cell>
          <cell r="E59">
            <v>1397298</v>
          </cell>
          <cell r="F59">
            <v>1378912.5</v>
          </cell>
          <cell r="G59">
            <v>1342141.5</v>
          </cell>
          <cell r="H59">
            <v>1280151.5151515151</v>
          </cell>
          <cell r="J59">
            <v>1356600</v>
          </cell>
          <cell r="K59">
            <v>1338750</v>
          </cell>
          <cell r="L59">
            <v>1303050</v>
          </cell>
          <cell r="M59">
            <v>1267350</v>
          </cell>
        </row>
        <row r="60">
          <cell r="B60"/>
          <cell r="C60" t="str">
            <v xml:space="preserve"> % Limit</v>
          </cell>
          <cell r="D60"/>
          <cell r="E60"/>
          <cell r="F60"/>
          <cell r="G60"/>
          <cell r="H60"/>
          <cell r="I60"/>
          <cell r="J60">
            <v>0.74</v>
          </cell>
          <cell r="K60">
            <v>0.73</v>
          </cell>
          <cell r="L60">
            <v>0.71</v>
          </cell>
          <cell r="M60">
            <v>0.69</v>
          </cell>
        </row>
        <row r="61">
          <cell r="B61" t="str">
            <v>KP000638</v>
          </cell>
          <cell r="C61">
            <v>1695000</v>
          </cell>
          <cell r="E61">
            <v>1291929</v>
          </cell>
          <cell r="F61">
            <v>1274470.5</v>
          </cell>
          <cell r="G61">
            <v>1239553.5</v>
          </cell>
          <cell r="H61">
            <v>1181363.6363636365</v>
          </cell>
          <cell r="J61">
            <v>1254300</v>
          </cell>
          <cell r="K61">
            <v>1237350</v>
          </cell>
          <cell r="L61">
            <v>1203450</v>
          </cell>
          <cell r="M61">
            <v>1169550</v>
          </cell>
        </row>
        <row r="62">
          <cell r="B62" t="str">
            <v>KP000659</v>
          </cell>
          <cell r="C62">
            <v>1750000</v>
          </cell>
          <cell r="E62">
            <v>1333850</v>
          </cell>
          <cell r="F62">
            <v>1315825</v>
          </cell>
          <cell r="G62">
            <v>1279775</v>
          </cell>
          <cell r="H62">
            <v>1219696.9696969697</v>
          </cell>
          <cell r="J62">
            <v>1295000</v>
          </cell>
          <cell r="K62">
            <v>1277500</v>
          </cell>
          <cell r="L62">
            <v>1242500</v>
          </cell>
          <cell r="M62">
            <v>1207500</v>
          </cell>
        </row>
        <row r="63">
          <cell r="B63"/>
          <cell r="C63" t="str">
            <v xml:space="preserve"> % Limit</v>
          </cell>
          <cell r="D63"/>
          <cell r="E63"/>
          <cell r="F63"/>
          <cell r="G63"/>
          <cell r="H63"/>
          <cell r="I63"/>
          <cell r="J63">
            <v>0.93</v>
          </cell>
          <cell r="K63">
            <v>0.91</v>
          </cell>
          <cell r="L63">
            <v>0.89</v>
          </cell>
          <cell r="M63">
            <v>0.87</v>
          </cell>
        </row>
        <row r="64">
          <cell r="B64" t="str">
            <v>KP000698</v>
          </cell>
          <cell r="C64">
            <v>1520000</v>
          </cell>
          <cell r="E64">
            <v>1456008</v>
          </cell>
          <cell r="F64">
            <v>1424696</v>
          </cell>
          <cell r="G64">
            <v>1393384</v>
          </cell>
          <cell r="H64">
            <v>1335757.5757575757</v>
          </cell>
          <cell r="J64">
            <v>1413600</v>
          </cell>
          <cell r="K64">
            <v>1383200</v>
          </cell>
          <cell r="L64">
            <v>1352800</v>
          </cell>
          <cell r="M64">
            <v>1322400</v>
          </cell>
        </row>
        <row r="65">
          <cell r="B65" t="str">
            <v>KP000677</v>
          </cell>
          <cell r="C65">
            <v>1690000</v>
          </cell>
          <cell r="E65">
            <v>1618851</v>
          </cell>
          <cell r="F65">
            <v>1584037</v>
          </cell>
          <cell r="G65">
            <v>1549223</v>
          </cell>
          <cell r="H65">
            <v>1485151.5151515151</v>
          </cell>
          <cell r="J65">
            <v>1571700</v>
          </cell>
          <cell r="K65">
            <v>1537900</v>
          </cell>
          <cell r="L65">
            <v>1504100</v>
          </cell>
          <cell r="M65">
            <v>1470300</v>
          </cell>
        </row>
        <row r="66">
          <cell r="B66"/>
          <cell r="C66" t="str">
            <v xml:space="preserve"> % Limit</v>
          </cell>
          <cell r="D66"/>
          <cell r="E66"/>
          <cell r="F66"/>
          <cell r="G66"/>
          <cell r="H66"/>
          <cell r="I66"/>
          <cell r="J66">
            <v>0.79</v>
          </cell>
          <cell r="K66">
            <v>0.77</v>
          </cell>
          <cell r="L66">
            <v>0.75</v>
          </cell>
          <cell r="M66">
            <v>0.74</v>
          </cell>
        </row>
        <row r="67">
          <cell r="B67" t="str">
            <v>KP000682</v>
          </cell>
          <cell r="C67">
            <v>1445000</v>
          </cell>
          <cell r="E67">
            <v>1175796.5</v>
          </cell>
          <cell r="F67">
            <v>1146029.5</v>
          </cell>
          <cell r="G67">
            <v>1116262.5</v>
          </cell>
          <cell r="H67">
            <v>1080101.0101010101</v>
          </cell>
          <cell r="J67">
            <v>1141550</v>
          </cell>
          <cell r="K67">
            <v>1112650</v>
          </cell>
          <cell r="L67">
            <v>1083750</v>
          </cell>
          <cell r="M67">
            <v>1069300</v>
          </cell>
        </row>
        <row r="68">
          <cell r="B68"/>
          <cell r="C68" t="str">
            <v xml:space="preserve"> % Limit</v>
          </cell>
          <cell r="D68"/>
          <cell r="E68"/>
          <cell r="F68"/>
          <cell r="G68"/>
          <cell r="H68"/>
          <cell r="I68"/>
          <cell r="J68">
            <v>0.72499999999999998</v>
          </cell>
          <cell r="K68">
            <v>0.72</v>
          </cell>
          <cell r="L68">
            <v>0.71</v>
          </cell>
          <cell r="M68">
            <v>0.69</v>
          </cell>
        </row>
        <row r="69">
          <cell r="B69" t="str">
            <v>KP000677</v>
          </cell>
          <cell r="C69">
            <v>1690000</v>
          </cell>
          <cell r="E69">
            <v>1262007.5</v>
          </cell>
          <cell r="F69">
            <v>1253304</v>
          </cell>
          <cell r="G69">
            <v>1235897</v>
          </cell>
          <cell r="H69">
            <v>1177878.7878787878</v>
          </cell>
          <cell r="J69">
            <v>1225250</v>
          </cell>
          <cell r="K69">
            <v>1216800</v>
          </cell>
          <cell r="L69">
            <v>1199900</v>
          </cell>
          <cell r="M69">
            <v>1166100</v>
          </cell>
        </row>
        <row r="70">
          <cell r="B70" t="str">
            <v>KP000678</v>
          </cell>
          <cell r="C70">
            <v>1750000</v>
          </cell>
          <cell r="E70">
            <v>1306812.5</v>
          </cell>
          <cell r="F70">
            <v>1297800</v>
          </cell>
          <cell r="G70">
            <v>1279775</v>
          </cell>
          <cell r="H70">
            <v>1219696.9696969697</v>
          </cell>
          <cell r="J70">
            <v>1268750</v>
          </cell>
          <cell r="K70">
            <v>1260000</v>
          </cell>
          <cell r="L70">
            <v>1242500</v>
          </cell>
          <cell r="M70">
            <v>1207500</v>
          </cell>
        </row>
        <row r="71">
          <cell r="B71"/>
          <cell r="C71" t="str">
            <v xml:space="preserve"> % Limit</v>
          </cell>
          <cell r="D71"/>
          <cell r="E71"/>
          <cell r="F71"/>
          <cell r="G71"/>
          <cell r="H71"/>
          <cell r="I71"/>
          <cell r="J71">
            <v>0.82</v>
          </cell>
          <cell r="K71">
            <v>0.81</v>
          </cell>
          <cell r="L71">
            <v>0.79</v>
          </cell>
          <cell r="M71">
            <v>0.77</v>
          </cell>
        </row>
        <row r="72">
          <cell r="B72" t="str">
            <v>KP000681</v>
          </cell>
          <cell r="C72">
            <v>1415000</v>
          </cell>
          <cell r="E72">
            <v>1195109</v>
          </cell>
          <cell r="F72">
            <v>1180534.5</v>
          </cell>
          <cell r="G72">
            <v>1151385.5</v>
          </cell>
          <cell r="H72">
            <v>1100555.5555555555</v>
          </cell>
          <cell r="J72">
            <v>1160300</v>
          </cell>
          <cell r="K72">
            <v>1146150</v>
          </cell>
          <cell r="L72">
            <v>1117850</v>
          </cell>
          <cell r="M72">
            <v>1089550</v>
          </cell>
        </row>
        <row r="73">
          <cell r="B73" t="str">
            <v>KP000671</v>
          </cell>
          <cell r="C73">
            <v>1520000</v>
          </cell>
          <cell r="E73">
            <v>1283792</v>
          </cell>
          <cell r="F73">
            <v>1268136</v>
          </cell>
          <cell r="G73">
            <v>1236824</v>
          </cell>
          <cell r="H73">
            <v>1182222.2222222222</v>
          </cell>
          <cell r="J73">
            <v>1246400</v>
          </cell>
          <cell r="K73">
            <v>1231200</v>
          </cell>
          <cell r="L73">
            <v>1200800</v>
          </cell>
          <cell r="M73">
            <v>1170400</v>
          </cell>
        </row>
        <row r="74">
          <cell r="B74"/>
          <cell r="C74" t="str">
            <v xml:space="preserve"> % Limit</v>
          </cell>
          <cell r="D74"/>
          <cell r="E74"/>
          <cell r="F74"/>
          <cell r="G74"/>
          <cell r="H74"/>
          <cell r="I74"/>
          <cell r="J74">
            <v>0.76</v>
          </cell>
          <cell r="K74">
            <v>0.75</v>
          </cell>
          <cell r="L74">
            <v>0.73</v>
          </cell>
          <cell r="M74">
            <v>0.71</v>
          </cell>
        </row>
        <row r="75">
          <cell r="B75" t="str">
            <v>KP000673</v>
          </cell>
          <cell r="C75">
            <v>1725000</v>
          </cell>
          <cell r="E75">
            <v>1350330</v>
          </cell>
          <cell r="F75">
            <v>1332562.5</v>
          </cell>
          <cell r="G75">
            <v>1297027.5</v>
          </cell>
          <cell r="H75">
            <v>1237121.2121212122</v>
          </cell>
          <cell r="J75">
            <v>1311000</v>
          </cell>
          <cell r="K75">
            <v>1293750</v>
          </cell>
          <cell r="L75">
            <v>1259250</v>
          </cell>
          <cell r="M75">
            <v>1224750</v>
          </cell>
        </row>
        <row r="76">
          <cell r="B76" t="str">
            <v>KP000679</v>
          </cell>
          <cell r="C76">
            <v>1775000</v>
          </cell>
          <cell r="E76">
            <v>1389470</v>
          </cell>
          <cell r="F76">
            <v>1371187.5</v>
          </cell>
          <cell r="G76">
            <v>1334622.5</v>
          </cell>
          <cell r="H76">
            <v>1272979.7979797979</v>
          </cell>
          <cell r="J76">
            <v>1349000</v>
          </cell>
          <cell r="K76">
            <v>1331250</v>
          </cell>
          <cell r="L76">
            <v>1295750</v>
          </cell>
          <cell r="M76">
            <v>1260250</v>
          </cell>
        </row>
        <row r="77">
          <cell r="B77"/>
          <cell r="C77" t="str">
            <v xml:space="preserve"> % Limit</v>
          </cell>
          <cell r="D77"/>
          <cell r="E77"/>
          <cell r="F77"/>
          <cell r="G77"/>
          <cell r="H77"/>
          <cell r="I77"/>
          <cell r="J77">
            <v>0.7</v>
          </cell>
          <cell r="K77">
            <v>0.69</v>
          </cell>
          <cell r="L77">
            <v>0.67</v>
          </cell>
          <cell r="M77">
            <v>0.66</v>
          </cell>
        </row>
        <row r="78">
          <cell r="B78" t="str">
            <v>KP000732</v>
          </cell>
          <cell r="C78">
            <v>1875000</v>
          </cell>
          <cell r="E78">
            <v>1351875</v>
          </cell>
          <cell r="F78">
            <v>1332562.5</v>
          </cell>
          <cell r="G78">
            <v>1293937.5</v>
          </cell>
          <cell r="H78">
            <v>1250000</v>
          </cell>
          <cell r="J78">
            <v>1312500</v>
          </cell>
          <cell r="K78">
            <v>1293750</v>
          </cell>
          <cell r="L78">
            <v>1256250</v>
          </cell>
          <cell r="M78">
            <v>1237500</v>
          </cell>
        </row>
        <row r="79">
          <cell r="B79"/>
          <cell r="C79" t="str">
            <v xml:space="preserve"> % Limit</v>
          </cell>
          <cell r="D79"/>
          <cell r="E79"/>
          <cell r="F79"/>
          <cell r="G79"/>
          <cell r="H79"/>
          <cell r="I79"/>
          <cell r="J79">
            <v>0.69</v>
          </cell>
          <cell r="K79">
            <v>0.68</v>
          </cell>
          <cell r="L79">
            <v>0.67</v>
          </cell>
          <cell r="M79">
            <v>0.66</v>
          </cell>
        </row>
        <row r="80">
          <cell r="B80" t="str">
            <v>KP000757</v>
          </cell>
          <cell r="C80">
            <v>1895000</v>
          </cell>
          <cell r="E80">
            <v>1346776.5</v>
          </cell>
          <cell r="F80">
            <v>1327258</v>
          </cell>
          <cell r="G80">
            <v>1307739.5</v>
          </cell>
          <cell r="H80">
            <v>1263333.3333333333</v>
          </cell>
          <cell r="J80">
            <v>1307550</v>
          </cell>
          <cell r="K80">
            <v>1288600</v>
          </cell>
          <cell r="L80">
            <v>1269650</v>
          </cell>
          <cell r="M80">
            <v>1250700</v>
          </cell>
        </row>
        <row r="81">
          <cell r="B81"/>
          <cell r="C81" t="str">
            <v xml:space="preserve"> % Limit</v>
          </cell>
          <cell r="D81"/>
          <cell r="E81"/>
          <cell r="F81"/>
          <cell r="G81"/>
          <cell r="H81"/>
          <cell r="I81"/>
          <cell r="J81">
            <v>0.77</v>
          </cell>
          <cell r="K81">
            <v>0.75</v>
          </cell>
          <cell r="L81">
            <v>0.74</v>
          </cell>
          <cell r="M81">
            <v>0.72</v>
          </cell>
        </row>
        <row r="82">
          <cell r="B82" t="str">
            <v>TGX00001</v>
          </cell>
          <cell r="C82">
            <v>2240000</v>
          </cell>
          <cell r="E82">
            <v>1776544</v>
          </cell>
          <cell r="F82">
            <v>1730400</v>
          </cell>
          <cell r="G82">
            <v>1707328</v>
          </cell>
          <cell r="H82">
            <v>1629090.9090909092</v>
          </cell>
          <cell r="J82">
            <v>1724800</v>
          </cell>
          <cell r="K82">
            <v>1680000</v>
          </cell>
          <cell r="L82">
            <v>1657600</v>
          </cell>
          <cell r="M82">
            <v>1612800</v>
          </cell>
        </row>
        <row r="83">
          <cell r="B83"/>
          <cell r="C83"/>
          <cell r="J83"/>
        </row>
        <row r="84">
          <cell r="J84"/>
        </row>
        <row r="85">
          <cell r="J85"/>
        </row>
        <row r="86">
          <cell r="J86"/>
        </row>
        <row r="87">
          <cell r="J87"/>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 &amp; M"/>
      <sheetName val="Dealerships"/>
      <sheetName val="BuyBack"/>
      <sheetName val="Trade Back"/>
      <sheetName val="Warranties (CLA)"/>
      <sheetName val="Warranties (TGM)"/>
      <sheetName val="Warranties (TGS)"/>
      <sheetName val="Warranties (TGX)"/>
      <sheetName val="Factory Warranties"/>
      <sheetName val="Sheet1"/>
      <sheetName val="Sheet3"/>
      <sheetName val="Sales Provisions"/>
    </sheetNames>
    <sheetDataSet>
      <sheetData sheetId="0">
        <row r="2">
          <cell r="C2" t="str">
            <v>TGS-26-4406X4BL-MCOMFORT CARE36 MONTHS/360 000 KM</v>
          </cell>
          <cell r="D2" t="str">
            <v>COMFORT CARE</v>
          </cell>
          <cell r="E2" t="str">
            <v>36 MONTHS/360 000 KM</v>
          </cell>
          <cell r="F2">
            <v>109188</v>
          </cell>
        </row>
        <row r="3">
          <cell r="C3" t="str">
            <v>TGS-26-4406X4BL-MCOMFORT CARE36 MONTHS/480 000 KM</v>
          </cell>
          <cell r="D3" t="str">
            <v>COMFORT CARE</v>
          </cell>
          <cell r="E3" t="str">
            <v>36 MONTHS/480 000 KM</v>
          </cell>
          <cell r="F3">
            <v>188025.40079999997</v>
          </cell>
        </row>
        <row r="4">
          <cell r="C4" t="str">
            <v>TGS-26-4406X4BL-MCOMFORT CARE36 MONTHS/600 000 KM</v>
          </cell>
          <cell r="D4" t="str">
            <v>COMFORT CARE</v>
          </cell>
          <cell r="E4" t="str">
            <v>36 MONTHS/600 000 KM</v>
          </cell>
          <cell r="F4">
            <v>218944.37880000001</v>
          </cell>
        </row>
        <row r="5">
          <cell r="C5" t="str">
            <v>TGS-26-4406X4BL-MCOMFORT CARE48 MONTHS/480 000 KM</v>
          </cell>
          <cell r="D5" t="str">
            <v>COMFORT CARE</v>
          </cell>
          <cell r="E5" t="str">
            <v>48 MONTHS/480 000 KM</v>
          </cell>
          <cell r="F5">
            <v>193200.00000000003</v>
          </cell>
        </row>
        <row r="6">
          <cell r="C6" t="str">
            <v>TGS-26-4406X4BL-MCOMFORT CARE48 MONTHS/600 000 KM</v>
          </cell>
          <cell r="D6" t="str">
            <v>COMFORT CARE</v>
          </cell>
          <cell r="E6" t="str">
            <v>48 MONTHS/600 000 KM</v>
          </cell>
          <cell r="F6">
            <v>229800</v>
          </cell>
        </row>
        <row r="7">
          <cell r="C7" t="str">
            <v>TGS-26-4406X4BL-MCOMFORT CARE48 MONTHS/720 000 KM</v>
          </cell>
          <cell r="D7" t="str">
            <v>COMFORT CARE</v>
          </cell>
          <cell r="E7" t="str">
            <v>48 MONTHS/720 000 KM</v>
          </cell>
          <cell r="F7">
            <v>259272</v>
          </cell>
        </row>
        <row r="8">
          <cell r="C8" t="str">
            <v>TGS-26-4406X4BL-MCOMFORT CARE48 MONTHS/800 000 KM</v>
          </cell>
          <cell r="D8" t="str">
            <v>COMFORT CARE</v>
          </cell>
          <cell r="E8" t="str">
            <v>48 MONTHS/800 000 KM</v>
          </cell>
          <cell r="F8">
            <v>303686.0736</v>
          </cell>
        </row>
        <row r="9">
          <cell r="C9" t="str">
            <v>TGS-26-4406X4BL-MCOMFORT CARE60 MONTHS/600 000 KM</v>
          </cell>
          <cell r="D9" t="str">
            <v>COMFORT CARE</v>
          </cell>
          <cell r="E9" t="str">
            <v>60 MONTHS/600 000 KM</v>
          </cell>
          <cell r="F9">
            <v>233280</v>
          </cell>
        </row>
        <row r="10">
          <cell r="C10" t="str">
            <v>TGS-26-4406X4BL-MCOMFORT CARE60 MONTHS/700 000 KM</v>
          </cell>
          <cell r="D10" t="str">
            <v>COMFORT CARE</v>
          </cell>
          <cell r="E10" t="str">
            <v>60 MONTHS/700 000 KM</v>
          </cell>
          <cell r="F10">
            <v>256067.31599999999</v>
          </cell>
        </row>
        <row r="11">
          <cell r="C11" t="str">
            <v>TGS-26-4406X4BL-MCOMFORT CARE60 MONTHS/800 000 KM</v>
          </cell>
          <cell r="D11" t="str">
            <v>COMFORT CARE</v>
          </cell>
          <cell r="E11" t="str">
            <v>60 MONTHS/800 000 KM</v>
          </cell>
          <cell r="F11">
            <v>312895.64400000003</v>
          </cell>
        </row>
        <row r="12">
          <cell r="C12" t="str">
            <v>TGS-26-4406X4BL-MCOMFORT SERVICE36 MONTHS/360 000 KM</v>
          </cell>
          <cell r="D12" t="str">
            <v>COMFORT SERVICE</v>
          </cell>
          <cell r="E12" t="str">
            <v>36 MONTHS/360 000 KM</v>
          </cell>
          <cell r="F12">
            <v>101160.00000000001</v>
          </cell>
        </row>
        <row r="13">
          <cell r="C13" t="str">
            <v>TGS-26-4406X4BL-MCOMFORT SERVICE36 MONTHS/480 000 KM</v>
          </cell>
          <cell r="D13" t="str">
            <v>COMFORT SERVICE</v>
          </cell>
          <cell r="E13" t="str">
            <v>36 MONTHS/480 000 KM</v>
          </cell>
          <cell r="F13">
            <v>136326.81599999999</v>
          </cell>
        </row>
        <row r="14">
          <cell r="C14" t="str">
            <v>TGS-26-4406X4BL-MCOMFORT SERVICE36 MONTHS/600 000 KM</v>
          </cell>
          <cell r="D14" t="str">
            <v>COMFORT SERVICE</v>
          </cell>
          <cell r="E14" t="str">
            <v>36 MONTHS/600 000 KM</v>
          </cell>
          <cell r="F14">
            <v>159183.18359999999</v>
          </cell>
        </row>
        <row r="15">
          <cell r="C15" t="str">
            <v>TGS-26-4406X4BL-MCOMFORT SERVICE48 MONTHS/480 000 KM</v>
          </cell>
          <cell r="D15" t="str">
            <v>COMFORT SERVICE</v>
          </cell>
          <cell r="E15" t="str">
            <v>48 MONTHS/480 000 KM</v>
          </cell>
          <cell r="F15">
            <v>141504</v>
          </cell>
        </row>
        <row r="16">
          <cell r="C16" t="str">
            <v>TGS-26-4406X4BL-MCOMFORT SERVICE48 MONTHS/600 000 KM</v>
          </cell>
          <cell r="D16" t="str">
            <v>COMFORT SERVICE</v>
          </cell>
          <cell r="E16" t="str">
            <v>48 MONTHS/600 000 KM</v>
          </cell>
          <cell r="F16">
            <v>170099.99999999997</v>
          </cell>
        </row>
        <row r="17">
          <cell r="C17" t="str">
            <v>TGS-26-4406X4BL-MCOMFORT SERVICE48 MONTHS/720 000 KM</v>
          </cell>
          <cell r="D17" t="str">
            <v>COMFORT SERVICE</v>
          </cell>
          <cell r="E17" t="str">
            <v>48 MONTHS/720 000 KM</v>
          </cell>
          <cell r="F17">
            <v>199584</v>
          </cell>
        </row>
        <row r="18">
          <cell r="C18" t="str">
            <v>TGS-26-4406X4BL-MCOMFORT SERVICE48 MONTHS/800 000 KM</v>
          </cell>
          <cell r="D18" t="str">
            <v>COMFORT SERVICE</v>
          </cell>
          <cell r="E18" t="str">
            <v>48 MONTHS/800 000 KM</v>
          </cell>
          <cell r="F18">
            <v>211044.22079999995</v>
          </cell>
        </row>
        <row r="19">
          <cell r="C19" t="str">
            <v>TGS-26-4406X4BL-MCOMFORT SERVICE60 MONTHS/600 000 KM</v>
          </cell>
          <cell r="D19" t="str">
            <v>COMFORT SERVICE</v>
          </cell>
          <cell r="E19" t="str">
            <v>60 MONTHS/600 000 KM</v>
          </cell>
          <cell r="F19">
            <v>173580</v>
          </cell>
        </row>
        <row r="20">
          <cell r="C20" t="str">
            <v>TGS-26-4406X4BL-MCOMFORT SERVICE60 MONTHS/700 000 KM</v>
          </cell>
          <cell r="D20" t="str">
            <v>COMFORT SERVICE</v>
          </cell>
          <cell r="E20" t="str">
            <v>60 MONTHS/700 000 KM</v>
          </cell>
          <cell r="F20">
            <v>196285.60799999998</v>
          </cell>
        </row>
        <row r="21">
          <cell r="C21" t="str">
            <v>TGS-26-4406X4BL-MCOMFORT SERVICE60 MONTHS/800 000 KM</v>
          </cell>
          <cell r="D21" t="str">
            <v>COMFORT SERVICE</v>
          </cell>
          <cell r="E21" t="str">
            <v>60 MONTHS/800 000 KM</v>
          </cell>
          <cell r="F21">
            <v>220171.008</v>
          </cell>
        </row>
        <row r="22">
          <cell r="C22" t="str">
            <v>TGS-26-4406X4BL-MCOMFORT SUPER36 MONTHS/360 000 KM</v>
          </cell>
          <cell r="D22" t="str">
            <v>COMFORT SUPER</v>
          </cell>
          <cell r="E22" t="str">
            <v>36 MONTHS/360 000 KM</v>
          </cell>
          <cell r="F22">
            <v>167328</v>
          </cell>
        </row>
        <row r="23">
          <cell r="C23" t="str">
            <v>TGS-26-4406X4BL-MCOMFORT SUPER36 MONTHS/480 000 KM</v>
          </cell>
          <cell r="D23" t="str">
            <v>COMFORT SUPER</v>
          </cell>
          <cell r="E23" t="str">
            <v>36 MONTHS/480 000 KM</v>
          </cell>
          <cell r="F23">
            <v>230363.51760000002</v>
          </cell>
        </row>
        <row r="24">
          <cell r="C24" t="str">
            <v>TGS-26-4406X4BL-MCOMFORT SUPER36 MONTHS/600 000 KM</v>
          </cell>
          <cell r="D24" t="str">
            <v>COMFORT SUPER</v>
          </cell>
          <cell r="E24" t="str">
            <v>36 MONTHS/600 000 KM</v>
          </cell>
          <cell r="F24">
            <v>273965.4792</v>
          </cell>
        </row>
        <row r="25">
          <cell r="C25" t="str">
            <v>TGS-26-4406X4BL-MCOMFORT SUPER48 MONTHS/480 000 KM</v>
          </cell>
          <cell r="D25" t="str">
            <v>COMFORT SUPER</v>
          </cell>
          <cell r="E25" t="str">
            <v>48 MONTHS/480 000 KM</v>
          </cell>
          <cell r="F25">
            <v>255840</v>
          </cell>
        </row>
        <row r="26">
          <cell r="C26" t="str">
            <v>TGS-26-4406X4BL-MCOMFORT SUPER48 MONTHS/600 000 KM</v>
          </cell>
          <cell r="D26" t="str">
            <v>COMFORT SUPER</v>
          </cell>
          <cell r="E26" t="str">
            <v>48 MONTHS/600 000 KM</v>
          </cell>
          <cell r="F26">
            <v>324720</v>
          </cell>
        </row>
        <row r="27">
          <cell r="C27" t="str">
            <v>TGS-26-4406X4BL-MCOMFORT SUPER48 MONTHS/720 000 KM</v>
          </cell>
          <cell r="D27" t="str">
            <v>COMFORT SUPER</v>
          </cell>
          <cell r="E27" t="str">
            <v>48 MONTHS/720 000 KM</v>
          </cell>
          <cell r="F27">
            <v>387288.00000000006</v>
          </cell>
        </row>
        <row r="28">
          <cell r="C28" t="str">
            <v>TGS-26-4406X4BL-MCOMFORT SUPER48 MONTHS/800 000 KM</v>
          </cell>
          <cell r="D28" t="str">
            <v>COMFORT SUPER</v>
          </cell>
          <cell r="E28" t="str">
            <v>48 MONTHS/800 000 KM</v>
          </cell>
          <cell r="F28">
            <v>407048.14080000005</v>
          </cell>
        </row>
        <row r="29">
          <cell r="C29" t="str">
            <v>TGS-26-4406X4BL-MCOMFORT SUPER60 MONTHS/600 000 KM</v>
          </cell>
          <cell r="D29" t="str">
            <v>COMFORT SUPER</v>
          </cell>
          <cell r="E29" t="str">
            <v>60 MONTHS/600 000 KM</v>
          </cell>
          <cell r="F29">
            <v>349740</v>
          </cell>
        </row>
        <row r="30">
          <cell r="C30" t="str">
            <v>TGS-26-4406X4BL-MCOMFORT SUPER60 MONTHS/700 000 KM</v>
          </cell>
          <cell r="D30" t="str">
            <v>COMFORT SUPER</v>
          </cell>
          <cell r="E30" t="str">
            <v>60 MONTHS/700 000 KM</v>
          </cell>
          <cell r="F30">
            <v>418961.97000000003</v>
          </cell>
        </row>
        <row r="31">
          <cell r="C31" t="str">
            <v>TGS-26-4406X4BL-MCOMFORT SUPER60 MONTHS/800 000 KM</v>
          </cell>
          <cell r="D31" t="str">
            <v>COMFORT SUPER</v>
          </cell>
          <cell r="E31" t="str">
            <v>60 MONTHS/800 000 KM</v>
          </cell>
          <cell r="F31">
            <v>467543.37600000005</v>
          </cell>
        </row>
        <row r="32">
          <cell r="C32" t="str">
            <v>TGS-26-4406X4BLS-LX-ALUCOMFORT CARE36 MONTHS/360 000 KM</v>
          </cell>
          <cell r="D32" t="str">
            <v>COMFORT CARE</v>
          </cell>
          <cell r="E32" t="str">
            <v>36 MONTHS/360 000 KM</v>
          </cell>
          <cell r="F32">
            <v>109188</v>
          </cell>
        </row>
        <row r="33">
          <cell r="C33" t="str">
            <v>TGS-26-4406X4BLS-LX-ALUCOMFORT CARE36 MONTHS/480 000 KM</v>
          </cell>
          <cell r="D33" t="str">
            <v>COMFORT CARE</v>
          </cell>
          <cell r="E33" t="str">
            <v>36 MONTHS/480 000 KM</v>
          </cell>
          <cell r="F33">
            <v>188025.40079999997</v>
          </cell>
        </row>
        <row r="34">
          <cell r="C34" t="str">
            <v>TGS-26-4406X4BLS-LX-ALUCOMFORT CARE36 MONTHS/600 000 KM</v>
          </cell>
          <cell r="D34" t="str">
            <v>COMFORT CARE</v>
          </cell>
          <cell r="E34" t="str">
            <v>36 MONTHS/600 000 KM</v>
          </cell>
          <cell r="F34">
            <v>218944.37880000001</v>
          </cell>
        </row>
        <row r="35">
          <cell r="C35" t="str">
            <v>TGS-26-4406X4BLS-LX-ALUCOMFORT CARE48 MONTHS/480 000 KM</v>
          </cell>
          <cell r="D35" t="str">
            <v>COMFORT CARE</v>
          </cell>
          <cell r="E35" t="str">
            <v>48 MONTHS/480 000 KM</v>
          </cell>
          <cell r="F35">
            <v>193200.00000000003</v>
          </cell>
        </row>
        <row r="36">
          <cell r="C36" t="str">
            <v>TGS-26-4406X4BLS-LX-ALUCOMFORT CARE48 MONTHS/600 000 KM</v>
          </cell>
          <cell r="D36" t="str">
            <v>COMFORT CARE</v>
          </cell>
          <cell r="E36" t="str">
            <v>48 MONTHS/600 000 KM</v>
          </cell>
          <cell r="F36">
            <v>229800</v>
          </cell>
        </row>
        <row r="37">
          <cell r="C37" t="str">
            <v>TGS-26-4406X4BLS-LX-ALUCOMFORT CARE48 MONTHS/720 000 KM</v>
          </cell>
          <cell r="D37" t="str">
            <v>COMFORT CARE</v>
          </cell>
          <cell r="E37" t="str">
            <v>48 MONTHS/720 000 KM</v>
          </cell>
          <cell r="F37">
            <v>259272</v>
          </cell>
        </row>
        <row r="38">
          <cell r="C38" t="str">
            <v>TGS-26-4406X4BLS-LX-ALUCOMFORT CARE48 MONTHS/800 000 KM</v>
          </cell>
          <cell r="D38" t="str">
            <v>COMFORT CARE</v>
          </cell>
          <cell r="E38" t="str">
            <v>48 MONTHS/800 000 KM</v>
          </cell>
          <cell r="F38">
            <v>303686.0736</v>
          </cell>
        </row>
        <row r="39">
          <cell r="C39" t="str">
            <v>TGS-26-4406X4BLS-LX-ALUCOMFORT CARE60 MONTHS/600 000 KM</v>
          </cell>
          <cell r="D39" t="str">
            <v>COMFORT CARE</v>
          </cell>
          <cell r="E39" t="str">
            <v>60 MONTHS/600 000 KM</v>
          </cell>
          <cell r="F39">
            <v>233280</v>
          </cell>
        </row>
        <row r="40">
          <cell r="C40" t="str">
            <v>TGS-26-4406X4BLS-LX-ALUCOMFORT CARE60 MONTHS/700 000 KM</v>
          </cell>
          <cell r="D40" t="str">
            <v>COMFORT CARE</v>
          </cell>
          <cell r="E40" t="str">
            <v>60 MONTHS/700 000 KM</v>
          </cell>
          <cell r="F40">
            <v>256067.31599999999</v>
          </cell>
        </row>
        <row r="41">
          <cell r="C41" t="str">
            <v>TGS-26-4406X4BLS-LX-ALUCOMFORT CARE60 MONTHS/800 000 KM</v>
          </cell>
          <cell r="D41" t="str">
            <v>COMFORT CARE</v>
          </cell>
          <cell r="E41" t="str">
            <v>60 MONTHS/800 000 KM</v>
          </cell>
          <cell r="F41">
            <v>312895.64400000003</v>
          </cell>
        </row>
        <row r="42">
          <cell r="C42" t="str">
            <v>TGS-26-4406X4BLS-LX-ALUCOMFORT SERVICE36 MONTHS/360 000 KM</v>
          </cell>
          <cell r="D42" t="str">
            <v>COMFORT SERVICE</v>
          </cell>
          <cell r="E42" t="str">
            <v>36 MONTHS/360 000 KM</v>
          </cell>
          <cell r="F42">
            <v>101160.00000000001</v>
          </cell>
        </row>
        <row r="43">
          <cell r="C43" t="str">
            <v>TGS-26-4406X4BLS-LX-ALUCOMFORT SERVICE36 MONTHS/480 000 KM</v>
          </cell>
          <cell r="D43" t="str">
            <v>COMFORT SERVICE</v>
          </cell>
          <cell r="E43" t="str">
            <v>36 MONTHS/480 000 KM</v>
          </cell>
          <cell r="F43">
            <v>136326.81599999999</v>
          </cell>
        </row>
        <row r="44">
          <cell r="C44" t="str">
            <v>TGS-26-4406X4BLS-LX-ALUCOMFORT SERVICE36 MONTHS/600 000 KM</v>
          </cell>
          <cell r="D44" t="str">
            <v>COMFORT SERVICE</v>
          </cell>
          <cell r="E44" t="str">
            <v>36 MONTHS/600 000 KM</v>
          </cell>
          <cell r="F44">
            <v>159183.18359999999</v>
          </cell>
        </row>
        <row r="45">
          <cell r="C45" t="str">
            <v>TGS-26-4406X4BLS-LX-ALUCOMFORT SERVICE48 MONTHS/480 000 KM</v>
          </cell>
          <cell r="D45" t="str">
            <v>COMFORT SERVICE</v>
          </cell>
          <cell r="E45" t="str">
            <v>48 MONTHS/480 000 KM</v>
          </cell>
          <cell r="F45">
            <v>141504</v>
          </cell>
        </row>
        <row r="46">
          <cell r="C46" t="str">
            <v>TGS-26-4406X4BLS-LX-ALUCOMFORT SERVICE48 MONTHS/600 000 KM</v>
          </cell>
          <cell r="D46" t="str">
            <v>COMFORT SERVICE</v>
          </cell>
          <cell r="E46" t="str">
            <v>48 MONTHS/600 000 KM</v>
          </cell>
          <cell r="F46">
            <v>170099.99999999997</v>
          </cell>
        </row>
        <row r="47">
          <cell r="C47" t="str">
            <v>TGS-26-4406X4BLS-LX-ALUCOMFORT SERVICE48 MONTHS/720 000 KM</v>
          </cell>
          <cell r="D47" t="str">
            <v>COMFORT SERVICE</v>
          </cell>
          <cell r="E47" t="str">
            <v>48 MONTHS/720 000 KM</v>
          </cell>
          <cell r="F47">
            <v>199584</v>
          </cell>
        </row>
        <row r="48">
          <cell r="C48" t="str">
            <v>TGS-26-4406X4BLS-LX-ALUCOMFORT SERVICE48 MONTHS/800 000 KM</v>
          </cell>
          <cell r="D48" t="str">
            <v>COMFORT SERVICE</v>
          </cell>
          <cell r="E48" t="str">
            <v>48 MONTHS/800 000 KM</v>
          </cell>
          <cell r="F48">
            <v>211044.22079999995</v>
          </cell>
        </row>
        <row r="49">
          <cell r="C49" t="str">
            <v>TGS-26-4406X4BLS-LX-ALUCOMFORT SERVICE60 MONTHS/600 000 KM</v>
          </cell>
          <cell r="D49" t="str">
            <v>COMFORT SERVICE</v>
          </cell>
          <cell r="E49" t="str">
            <v>60 MONTHS/600 000 KM</v>
          </cell>
          <cell r="F49">
            <v>173580</v>
          </cell>
        </row>
        <row r="50">
          <cell r="C50" t="str">
            <v>TGS-26-4406X4BLS-LX-ALUCOMFORT SERVICE60 MONTHS/700 000 KM</v>
          </cell>
          <cell r="D50" t="str">
            <v>COMFORT SERVICE</v>
          </cell>
          <cell r="E50" t="str">
            <v>60 MONTHS/700 000 KM</v>
          </cell>
          <cell r="F50">
            <v>196285.60799999998</v>
          </cell>
        </row>
        <row r="51">
          <cell r="C51" t="str">
            <v>TGS-26-4406X4BLS-LX-ALUCOMFORT SERVICE60 MONTHS/800 000 KM</v>
          </cell>
          <cell r="D51" t="str">
            <v>COMFORT SERVICE</v>
          </cell>
          <cell r="E51" t="str">
            <v>60 MONTHS/800 000 KM</v>
          </cell>
          <cell r="F51">
            <v>220171.008</v>
          </cell>
        </row>
        <row r="52">
          <cell r="C52" t="str">
            <v>TGS-26-4406X4BLS-LX-ALUCOMFORT SUPER36 MONTHS/360 000 KM</v>
          </cell>
          <cell r="D52" t="str">
            <v>COMFORT SUPER</v>
          </cell>
          <cell r="E52" t="str">
            <v>36 MONTHS/360 000 KM</v>
          </cell>
          <cell r="F52">
            <v>167328</v>
          </cell>
        </row>
        <row r="53">
          <cell r="C53" t="str">
            <v>TGS-26-4406X4BLS-LX-ALUCOMFORT SUPER36 MONTHS/480 000 KM</v>
          </cell>
          <cell r="D53" t="str">
            <v>COMFORT SUPER</v>
          </cell>
          <cell r="E53" t="str">
            <v>36 MONTHS/480 000 KM</v>
          </cell>
          <cell r="F53">
            <v>230363.51760000002</v>
          </cell>
        </row>
        <row r="54">
          <cell r="C54" t="str">
            <v>TGS-26-4406X4BLS-LX-ALUCOMFORT SUPER36 MONTHS/600 000 KM</v>
          </cell>
          <cell r="D54" t="str">
            <v>COMFORT SUPER</v>
          </cell>
          <cell r="E54" t="str">
            <v>36 MONTHS/600 000 KM</v>
          </cell>
          <cell r="F54">
            <v>273965.4792</v>
          </cell>
        </row>
        <row r="55">
          <cell r="C55" t="str">
            <v>TGS-26-4406X4BLS-LX-ALUCOMFORT SUPER48 MONTHS/480 000 KM</v>
          </cell>
          <cell r="D55" t="str">
            <v>COMFORT SUPER</v>
          </cell>
          <cell r="E55" t="str">
            <v>48 MONTHS/480 000 KM</v>
          </cell>
          <cell r="F55">
            <v>255840</v>
          </cell>
        </row>
        <row r="56">
          <cell r="C56" t="str">
            <v>TGS-26-4406X4BLS-LX-ALUCOMFORT SUPER48 MONTHS/600 000 KM</v>
          </cell>
          <cell r="D56" t="str">
            <v>COMFORT SUPER</v>
          </cell>
          <cell r="E56" t="str">
            <v>48 MONTHS/600 000 KM</v>
          </cell>
          <cell r="F56">
            <v>324720</v>
          </cell>
        </row>
        <row r="57">
          <cell r="C57" t="str">
            <v>TGS-26-4406X4BLS-LX-ALUCOMFORT SUPER48 MONTHS/720 000 KM</v>
          </cell>
          <cell r="D57" t="str">
            <v>COMFORT SUPER</v>
          </cell>
          <cell r="E57" t="str">
            <v>48 MONTHS/720 000 KM</v>
          </cell>
          <cell r="F57">
            <v>387288.00000000006</v>
          </cell>
        </row>
        <row r="58">
          <cell r="C58" t="str">
            <v>TGS-26-4406X4BLS-LX-ALUCOMFORT SUPER48 MONTHS/800 000 KM</v>
          </cell>
          <cell r="D58" t="str">
            <v>COMFORT SUPER</v>
          </cell>
          <cell r="E58" t="str">
            <v>48 MONTHS/800 000 KM</v>
          </cell>
          <cell r="F58">
            <v>407048.14080000005</v>
          </cell>
        </row>
        <row r="59">
          <cell r="C59" t="str">
            <v>TGS-26-4406X4BLS-LX-ALUCOMFORT SUPER60 MONTHS/600 000 KM</v>
          </cell>
          <cell r="D59" t="str">
            <v>COMFORT SUPER</v>
          </cell>
          <cell r="E59" t="str">
            <v>60 MONTHS/600 000 KM</v>
          </cell>
          <cell r="F59">
            <v>349740</v>
          </cell>
        </row>
        <row r="60">
          <cell r="C60" t="str">
            <v>TGS-26-4406X4BLS-LX-ALUCOMFORT SUPER60 MONTHS/700 000 KM</v>
          </cell>
          <cell r="D60" t="str">
            <v>COMFORT SUPER</v>
          </cell>
          <cell r="E60" t="str">
            <v>60 MONTHS/700 000 KM</v>
          </cell>
          <cell r="F60">
            <v>418961.97000000003</v>
          </cell>
        </row>
        <row r="61">
          <cell r="C61" t="str">
            <v>TGS-26-4406X4BLS-LX-ALUCOMFORT SUPER60 MONTHS/800 000 KM</v>
          </cell>
          <cell r="D61" t="str">
            <v>COMFORT SUPER</v>
          </cell>
          <cell r="E61" t="str">
            <v>60 MONTHS/800 000 KM</v>
          </cell>
          <cell r="F61">
            <v>467543.37600000005</v>
          </cell>
        </row>
        <row r="62">
          <cell r="C62" t="str">
            <v>TGS-26-4406X4BLS-LX-ALU-ELCOMFORT CARE36 MONTHS/360 000 KM</v>
          </cell>
          <cell r="D62" t="str">
            <v>COMFORT CARE</v>
          </cell>
          <cell r="E62" t="str">
            <v>36 MONTHS/360 000 KM</v>
          </cell>
          <cell r="F62">
            <v>109188</v>
          </cell>
        </row>
        <row r="63">
          <cell r="C63" t="str">
            <v>TGS-26-4406X4BLS-LX-ALU-ELCOMFORT CARE36 MONTHS/480 000 KM</v>
          </cell>
          <cell r="D63" t="str">
            <v>COMFORT CARE</v>
          </cell>
          <cell r="E63" t="str">
            <v>36 MONTHS/480 000 KM</v>
          </cell>
          <cell r="F63">
            <v>188025.40079999997</v>
          </cell>
        </row>
        <row r="64">
          <cell r="C64" t="str">
            <v>TGS-26-4406X4BLS-LX-ALU-ELCOMFORT CARE36 MONTHS/600 000 KM</v>
          </cell>
          <cell r="D64" t="str">
            <v>COMFORT CARE</v>
          </cell>
          <cell r="E64" t="str">
            <v>36 MONTHS/600 000 KM</v>
          </cell>
          <cell r="F64">
            <v>218944.37880000001</v>
          </cell>
        </row>
        <row r="65">
          <cell r="C65" t="str">
            <v>TGS-26-4406X4BLS-LX-ALU-ELCOMFORT CARE48 MONTHS/480 000 KM</v>
          </cell>
          <cell r="D65" t="str">
            <v>COMFORT CARE</v>
          </cell>
          <cell r="E65" t="str">
            <v>48 MONTHS/480 000 KM</v>
          </cell>
          <cell r="F65">
            <v>193200.00000000003</v>
          </cell>
        </row>
        <row r="66">
          <cell r="C66" t="str">
            <v>TGS-26-4406X4BLS-LX-ALU-ELCOMFORT CARE48 MONTHS/600 000 KM</v>
          </cell>
          <cell r="D66" t="str">
            <v>COMFORT CARE</v>
          </cell>
          <cell r="E66" t="str">
            <v>48 MONTHS/600 000 KM</v>
          </cell>
          <cell r="F66">
            <v>229800</v>
          </cell>
        </row>
        <row r="67">
          <cell r="C67" t="str">
            <v>TGS-26-4406X4BLS-LX-ALU-ELCOMFORT CARE48 MONTHS/720 000 KM</v>
          </cell>
          <cell r="D67" t="str">
            <v>COMFORT CARE</v>
          </cell>
          <cell r="E67" t="str">
            <v>48 MONTHS/720 000 KM</v>
          </cell>
          <cell r="F67">
            <v>259272</v>
          </cell>
        </row>
        <row r="68">
          <cell r="C68" t="str">
            <v>TGS-26-4406X4BLS-LX-ALU-ELCOMFORT CARE48 MONTHS/800 000 KM</v>
          </cell>
          <cell r="D68" t="str">
            <v>COMFORT CARE</v>
          </cell>
          <cell r="E68" t="str">
            <v>48 MONTHS/800 000 KM</v>
          </cell>
          <cell r="F68">
            <v>303686.0736</v>
          </cell>
        </row>
        <row r="69">
          <cell r="C69" t="str">
            <v>TGS-26-4406X4BLS-LX-ALU-ELCOMFORT CARE60 MONTHS/600 000 KM</v>
          </cell>
          <cell r="D69" t="str">
            <v>COMFORT CARE</v>
          </cell>
          <cell r="E69" t="str">
            <v>60 MONTHS/600 000 KM</v>
          </cell>
          <cell r="F69">
            <v>233280</v>
          </cell>
        </row>
        <row r="70">
          <cell r="C70" t="str">
            <v>TGS-26-4406X4BLS-LX-ALU-ELCOMFORT CARE60 MONTHS/700 000 KM</v>
          </cell>
          <cell r="D70" t="str">
            <v>COMFORT CARE</v>
          </cell>
          <cell r="E70" t="str">
            <v>60 MONTHS/700 000 KM</v>
          </cell>
          <cell r="F70">
            <v>256067.31599999999</v>
          </cell>
        </row>
        <row r="71">
          <cell r="C71" t="str">
            <v>TGS-26-4406X4BLS-LX-ALU-ELCOMFORT CARE60 MONTHS/800 000 KM</v>
          </cell>
          <cell r="D71" t="str">
            <v>COMFORT CARE</v>
          </cell>
          <cell r="E71" t="str">
            <v>60 MONTHS/800 000 KM</v>
          </cell>
          <cell r="F71">
            <v>312895.64400000003</v>
          </cell>
        </row>
        <row r="72">
          <cell r="C72" t="str">
            <v>TGS-26-4406X4BLS-LX-ALU-ELCOMFORT SERVICE36 MONTHS/360 000 KM</v>
          </cell>
          <cell r="D72" t="str">
            <v>COMFORT SERVICE</v>
          </cell>
          <cell r="E72" t="str">
            <v>36 MONTHS/360 000 KM</v>
          </cell>
          <cell r="F72">
            <v>101160.00000000001</v>
          </cell>
        </row>
        <row r="73">
          <cell r="C73" t="str">
            <v>TGS-26-4406X4BLS-LX-ALU-ELCOMFORT SERVICE36 MONTHS/480 000 KM</v>
          </cell>
          <cell r="D73" t="str">
            <v>COMFORT SERVICE</v>
          </cell>
          <cell r="E73" t="str">
            <v>36 MONTHS/480 000 KM</v>
          </cell>
          <cell r="F73">
            <v>136326.81599999999</v>
          </cell>
        </row>
        <row r="74">
          <cell r="C74" t="str">
            <v>TGS-26-4406X4BLS-LX-ALU-ELCOMFORT SERVICE36 MONTHS/600 000 KM</v>
          </cell>
          <cell r="D74" t="str">
            <v>COMFORT SERVICE</v>
          </cell>
          <cell r="E74" t="str">
            <v>36 MONTHS/600 000 KM</v>
          </cell>
          <cell r="F74">
            <v>159183.18359999999</v>
          </cell>
        </row>
        <row r="75">
          <cell r="C75" t="str">
            <v>TGS-26-4406X4BLS-LX-ALU-ELCOMFORT SERVICE48 MONTHS/480 000 KM</v>
          </cell>
          <cell r="D75" t="str">
            <v>COMFORT SERVICE</v>
          </cell>
          <cell r="E75" t="str">
            <v>48 MONTHS/480 000 KM</v>
          </cell>
          <cell r="F75">
            <v>141504</v>
          </cell>
        </row>
        <row r="76">
          <cell r="C76" t="str">
            <v>TGS-26-4406X4BLS-LX-ALU-ELCOMFORT SERVICE48 MONTHS/600 000 KM</v>
          </cell>
          <cell r="D76" t="str">
            <v>COMFORT SERVICE</v>
          </cell>
          <cell r="E76" t="str">
            <v>48 MONTHS/600 000 KM</v>
          </cell>
          <cell r="F76">
            <v>170099.99999999997</v>
          </cell>
        </row>
        <row r="77">
          <cell r="C77" t="str">
            <v>TGS-26-4406X4BLS-LX-ALU-ELCOMFORT SERVICE48 MONTHS/720 000 KM</v>
          </cell>
          <cell r="D77" t="str">
            <v>COMFORT SERVICE</v>
          </cell>
          <cell r="E77" t="str">
            <v>48 MONTHS/720 000 KM</v>
          </cell>
          <cell r="F77">
            <v>199584</v>
          </cell>
        </row>
        <row r="78">
          <cell r="C78" t="str">
            <v>TGS-26-4406X4BLS-LX-ALU-ELCOMFORT SERVICE48 MONTHS/800 000 KM</v>
          </cell>
          <cell r="D78" t="str">
            <v>COMFORT SERVICE</v>
          </cell>
          <cell r="E78" t="str">
            <v>48 MONTHS/800 000 KM</v>
          </cell>
          <cell r="F78">
            <v>211044.22079999995</v>
          </cell>
        </row>
        <row r="79">
          <cell r="C79" t="str">
            <v>TGS-26-4406X4BLS-LX-ALU-ELCOMFORT SERVICE60 MONTHS/600 000 KM</v>
          </cell>
          <cell r="D79" t="str">
            <v>COMFORT SERVICE</v>
          </cell>
          <cell r="E79" t="str">
            <v>60 MONTHS/600 000 KM</v>
          </cell>
          <cell r="F79">
            <v>173580</v>
          </cell>
        </row>
        <row r="80">
          <cell r="C80" t="str">
            <v>TGS-26-4406X4BLS-LX-ALU-ELCOMFORT SERVICE60 MONTHS/700 000 KM</v>
          </cell>
          <cell r="D80" t="str">
            <v>COMFORT SERVICE</v>
          </cell>
          <cell r="E80" t="str">
            <v>60 MONTHS/700 000 KM</v>
          </cell>
          <cell r="F80">
            <v>196285.60799999998</v>
          </cell>
        </row>
        <row r="81">
          <cell r="C81" t="str">
            <v>TGS-26-4406X4BLS-LX-ALU-ELCOMFORT SERVICE60 MONTHS/800 000 KM</v>
          </cell>
          <cell r="D81" t="str">
            <v>COMFORT SERVICE</v>
          </cell>
          <cell r="E81" t="str">
            <v>60 MONTHS/800 000 KM</v>
          </cell>
          <cell r="F81">
            <v>220171.008</v>
          </cell>
        </row>
        <row r="82">
          <cell r="C82" t="str">
            <v>TGS-26-4406X4BLS-LX-ALU-ELCOMFORT SUPER36 MONTHS/360 000 KM</v>
          </cell>
          <cell r="D82" t="str">
            <v>COMFORT SUPER</v>
          </cell>
          <cell r="E82" t="str">
            <v>36 MONTHS/360 000 KM</v>
          </cell>
          <cell r="F82">
            <v>167328</v>
          </cell>
        </row>
        <row r="83">
          <cell r="C83" t="str">
            <v>TGS-26-4406X4BLS-LX-ALU-ELCOMFORT SUPER36 MONTHS/480 000 KM</v>
          </cell>
          <cell r="D83" t="str">
            <v>COMFORT SUPER</v>
          </cell>
          <cell r="E83" t="str">
            <v>36 MONTHS/480 000 KM</v>
          </cell>
          <cell r="F83">
            <v>230363.51760000002</v>
          </cell>
        </row>
        <row r="84">
          <cell r="C84" t="str">
            <v>TGS-26-4406X4BLS-LX-ALU-ELCOMFORT SUPER36 MONTHS/600 000 KM</v>
          </cell>
          <cell r="D84" t="str">
            <v>COMFORT SUPER</v>
          </cell>
          <cell r="E84" t="str">
            <v>36 MONTHS/600 000 KM</v>
          </cell>
          <cell r="F84">
            <v>273965.4792</v>
          </cell>
        </row>
        <row r="85">
          <cell r="C85" t="str">
            <v>TGS-26-4406X4BLS-LX-ALU-ELCOMFORT SUPER48 MONTHS/480 000 KM</v>
          </cell>
          <cell r="D85" t="str">
            <v>COMFORT SUPER</v>
          </cell>
          <cell r="E85" t="str">
            <v>48 MONTHS/480 000 KM</v>
          </cell>
          <cell r="F85">
            <v>255840</v>
          </cell>
        </row>
        <row r="86">
          <cell r="C86" t="str">
            <v>TGS-26-4406X4BLS-LX-ALU-ELCOMFORT SUPER48 MONTHS/600 000 KM</v>
          </cell>
          <cell r="D86" t="str">
            <v>COMFORT SUPER</v>
          </cell>
          <cell r="E86" t="str">
            <v>48 MONTHS/600 000 KM</v>
          </cell>
          <cell r="F86">
            <v>324720</v>
          </cell>
        </row>
        <row r="87">
          <cell r="C87" t="str">
            <v>TGS-26-4406X4BLS-LX-ALU-ELCOMFORT SUPER48 MONTHS/720 000 KM</v>
          </cell>
          <cell r="D87" t="str">
            <v>COMFORT SUPER</v>
          </cell>
          <cell r="E87" t="str">
            <v>48 MONTHS/720 000 KM</v>
          </cell>
          <cell r="F87">
            <v>387288.00000000006</v>
          </cell>
        </row>
        <row r="88">
          <cell r="C88" t="str">
            <v>TGS-26-4406X4BLS-LX-ALU-ELCOMFORT SUPER48 MONTHS/800 000 KM</v>
          </cell>
          <cell r="D88" t="str">
            <v>COMFORT SUPER</v>
          </cell>
          <cell r="E88" t="str">
            <v>48 MONTHS/800 000 KM</v>
          </cell>
          <cell r="F88">
            <v>407048.14080000005</v>
          </cell>
        </row>
        <row r="89">
          <cell r="C89" t="str">
            <v>TGS-26-4406X4BLS-LX-ALU-ELCOMFORT SUPER60 MONTHS/600 000 KM</v>
          </cell>
          <cell r="D89" t="str">
            <v>COMFORT SUPER</v>
          </cell>
          <cell r="E89" t="str">
            <v>60 MONTHS/600 000 KM</v>
          </cell>
          <cell r="F89">
            <v>349740</v>
          </cell>
        </row>
        <row r="90">
          <cell r="C90" t="str">
            <v>TGS-26-4406X4BLS-LX-ALU-ELCOMFORT SUPER60 MONTHS/700 000 KM</v>
          </cell>
          <cell r="D90" t="str">
            <v>COMFORT SUPER</v>
          </cell>
          <cell r="E90" t="str">
            <v>60 MONTHS/700 000 KM</v>
          </cell>
          <cell r="F90">
            <v>418961.97000000003</v>
          </cell>
        </row>
        <row r="91">
          <cell r="C91" t="str">
            <v>TGS-26-4406X4BLS-LX-ALU-ELCOMFORT SUPER60 MONTHS/800 000 KM</v>
          </cell>
          <cell r="D91" t="str">
            <v>COMFORT SUPER</v>
          </cell>
          <cell r="E91" t="str">
            <v>60 MONTHS/800 000 KM</v>
          </cell>
          <cell r="F91">
            <v>467543.37600000005</v>
          </cell>
        </row>
        <row r="92">
          <cell r="C92" t="str">
            <v>TGS-26-4406X4BLS-LXCOMFORT CARE36 MONTHS/360 000 KM</v>
          </cell>
          <cell r="D92" t="str">
            <v>COMFORT CARE</v>
          </cell>
          <cell r="E92" t="str">
            <v>36 MONTHS/360 000 KM</v>
          </cell>
          <cell r="F92">
            <v>109188</v>
          </cell>
        </row>
        <row r="93">
          <cell r="C93" t="str">
            <v>TGS-26-4406X4BLS-LXCOMFORT CARE36 MONTHS/480 000 KM</v>
          </cell>
          <cell r="D93" t="str">
            <v>COMFORT CARE</v>
          </cell>
          <cell r="E93" t="str">
            <v>36 MONTHS/480 000 KM</v>
          </cell>
          <cell r="F93">
            <v>188025.40079999997</v>
          </cell>
        </row>
        <row r="94">
          <cell r="C94" t="str">
            <v>TGS-26-4406X4BLS-LXCOMFORT CARE36 MONTHS/600 000 KM</v>
          </cell>
          <cell r="D94" t="str">
            <v>COMFORT CARE</v>
          </cell>
          <cell r="E94" t="str">
            <v>36 MONTHS/600 000 KM</v>
          </cell>
          <cell r="F94">
            <v>218944.37880000001</v>
          </cell>
        </row>
        <row r="95">
          <cell r="C95" t="str">
            <v>TGS-26-4406X4BLS-LXCOMFORT CARE48 MONTHS/480 000 KM</v>
          </cell>
          <cell r="D95" t="str">
            <v>COMFORT CARE</v>
          </cell>
          <cell r="E95" t="str">
            <v>48 MONTHS/480 000 KM</v>
          </cell>
          <cell r="F95">
            <v>193200.00000000003</v>
          </cell>
        </row>
        <row r="96">
          <cell r="C96" t="str">
            <v>TGS-26-4406X4BLS-LXCOMFORT CARE48 MONTHS/600 000 KM</v>
          </cell>
          <cell r="D96" t="str">
            <v>COMFORT CARE</v>
          </cell>
          <cell r="E96" t="str">
            <v>48 MONTHS/600 000 KM</v>
          </cell>
          <cell r="F96">
            <v>229800</v>
          </cell>
        </row>
        <row r="97">
          <cell r="C97" t="str">
            <v>TGS-26-4406X4BLS-LXCOMFORT CARE48 MONTHS/720 000 KM</v>
          </cell>
          <cell r="D97" t="str">
            <v>COMFORT CARE</v>
          </cell>
          <cell r="E97" t="str">
            <v>48 MONTHS/720 000 KM</v>
          </cell>
          <cell r="F97">
            <v>259272</v>
          </cell>
        </row>
        <row r="98">
          <cell r="C98" t="str">
            <v>TGS-26-4406X4BLS-LXCOMFORT CARE48 MONTHS/800 000 KM</v>
          </cell>
          <cell r="D98" t="str">
            <v>COMFORT CARE</v>
          </cell>
          <cell r="E98" t="str">
            <v>48 MONTHS/800 000 KM</v>
          </cell>
          <cell r="F98">
            <v>303686.0736</v>
          </cell>
        </row>
        <row r="99">
          <cell r="C99" t="str">
            <v>TGS-26-4406X4BLS-LXCOMFORT CARE60 MONTHS/600 000 KM</v>
          </cell>
          <cell r="D99" t="str">
            <v>COMFORT CARE</v>
          </cell>
          <cell r="E99" t="str">
            <v>60 MONTHS/600 000 KM</v>
          </cell>
          <cell r="F99">
            <v>233280</v>
          </cell>
        </row>
        <row r="100">
          <cell r="C100" t="str">
            <v>TGS-26-4406X4BLS-LXCOMFORT CARE60 MONTHS/700 000 KM</v>
          </cell>
          <cell r="D100" t="str">
            <v>COMFORT CARE</v>
          </cell>
          <cell r="E100" t="str">
            <v>60 MONTHS/700 000 KM</v>
          </cell>
          <cell r="F100">
            <v>256067.31599999999</v>
          </cell>
        </row>
        <row r="101">
          <cell r="C101" t="str">
            <v>TGS-26-4406X4BLS-LXCOMFORT CARE60 MONTHS/800 000 KM</v>
          </cell>
          <cell r="D101" t="str">
            <v>COMFORT CARE</v>
          </cell>
          <cell r="E101" t="str">
            <v>60 MONTHS/800 000 KM</v>
          </cell>
          <cell r="F101">
            <v>312895.64400000003</v>
          </cell>
        </row>
        <row r="102">
          <cell r="C102" t="str">
            <v>TGS-26-4406X4BLS-LXCOMFORT SERVICE36 MONTHS/360 000 KM</v>
          </cell>
          <cell r="D102" t="str">
            <v>COMFORT SERVICE</v>
          </cell>
          <cell r="E102" t="str">
            <v>36 MONTHS/360 000 KM</v>
          </cell>
          <cell r="F102">
            <v>101160.00000000001</v>
          </cell>
        </row>
        <row r="103">
          <cell r="C103" t="str">
            <v>TGS-26-4406X4BLS-LXCOMFORT SERVICE36 MONTHS/480 000 KM</v>
          </cell>
          <cell r="D103" t="str">
            <v>COMFORT SERVICE</v>
          </cell>
          <cell r="E103" t="str">
            <v>36 MONTHS/480 000 KM</v>
          </cell>
          <cell r="F103">
            <v>136326.81599999999</v>
          </cell>
        </row>
        <row r="104">
          <cell r="C104" t="str">
            <v>TGS-26-4406X4BLS-LXCOMFORT SERVICE36 MONTHS/600 000 KM</v>
          </cell>
          <cell r="D104" t="str">
            <v>COMFORT SERVICE</v>
          </cell>
          <cell r="E104" t="str">
            <v>36 MONTHS/600 000 KM</v>
          </cell>
          <cell r="F104">
            <v>159183.18359999999</v>
          </cell>
        </row>
        <row r="105">
          <cell r="C105" t="str">
            <v>TGS-26-4406X4BLS-LXCOMFORT SERVICE48 MONTHS/480 000 KM</v>
          </cell>
          <cell r="D105" t="str">
            <v>COMFORT SERVICE</v>
          </cell>
          <cell r="E105" t="str">
            <v>48 MONTHS/480 000 KM</v>
          </cell>
          <cell r="F105">
            <v>141504</v>
          </cell>
        </row>
        <row r="106">
          <cell r="C106" t="str">
            <v>TGS-26-4406X4BLS-LXCOMFORT SERVICE48 MONTHS/600 000 KM</v>
          </cell>
          <cell r="D106" t="str">
            <v>COMFORT SERVICE</v>
          </cell>
          <cell r="E106" t="str">
            <v>48 MONTHS/600 000 KM</v>
          </cell>
          <cell r="F106">
            <v>170099.99999999997</v>
          </cell>
        </row>
        <row r="107">
          <cell r="C107" t="str">
            <v>TGS-26-4406X4BLS-LXCOMFORT SERVICE48 MONTHS/720 000 KM</v>
          </cell>
          <cell r="D107" t="str">
            <v>COMFORT SERVICE</v>
          </cell>
          <cell r="E107" t="str">
            <v>48 MONTHS/720 000 KM</v>
          </cell>
          <cell r="F107">
            <v>199584</v>
          </cell>
        </row>
        <row r="108">
          <cell r="C108" t="str">
            <v>TGS-26-4406X4BLS-LXCOMFORT SERVICE48 MONTHS/800 000 KM</v>
          </cell>
          <cell r="D108" t="str">
            <v>COMFORT SERVICE</v>
          </cell>
          <cell r="E108" t="str">
            <v>48 MONTHS/800 000 KM</v>
          </cell>
          <cell r="F108">
            <v>211044.22079999995</v>
          </cell>
        </row>
        <row r="109">
          <cell r="C109" t="str">
            <v>TGS-26-4406X4BLS-LXCOMFORT SERVICE60 MONTHS/600 000 KM</v>
          </cell>
          <cell r="D109" t="str">
            <v>COMFORT SERVICE</v>
          </cell>
          <cell r="E109" t="str">
            <v>60 MONTHS/600 000 KM</v>
          </cell>
          <cell r="F109">
            <v>173580</v>
          </cell>
        </row>
        <row r="110">
          <cell r="C110" t="str">
            <v>TGS-26-4406X4BLS-LXCOMFORT SERVICE60 MONTHS/700 000 KM</v>
          </cell>
          <cell r="D110" t="str">
            <v>COMFORT SERVICE</v>
          </cell>
          <cell r="E110" t="str">
            <v>60 MONTHS/700 000 KM</v>
          </cell>
          <cell r="F110">
            <v>196285.60799999998</v>
          </cell>
        </row>
        <row r="111">
          <cell r="C111" t="str">
            <v>TGS-26-4406X4BLS-LXCOMFORT SERVICE60 MONTHS/800 000 KM</v>
          </cell>
          <cell r="D111" t="str">
            <v>COMFORT SERVICE</v>
          </cell>
          <cell r="E111" t="str">
            <v>60 MONTHS/800 000 KM</v>
          </cell>
          <cell r="F111">
            <v>220171.008</v>
          </cell>
        </row>
        <row r="112">
          <cell r="C112" t="str">
            <v>TGS-26-4406X4BLS-LXCOMFORT SUPER36 MONTHS/360 000 KM</v>
          </cell>
          <cell r="D112" t="str">
            <v>COMFORT SUPER</v>
          </cell>
          <cell r="E112" t="str">
            <v>36 MONTHS/360 000 KM</v>
          </cell>
          <cell r="F112">
            <v>167328</v>
          </cell>
        </row>
        <row r="113">
          <cell r="C113" t="str">
            <v>TGS-26-4406X4BLS-LXCOMFORT SUPER36 MONTHS/480 000 KM</v>
          </cell>
          <cell r="D113" t="str">
            <v>COMFORT SUPER</v>
          </cell>
          <cell r="E113" t="str">
            <v>36 MONTHS/480 000 KM</v>
          </cell>
          <cell r="F113">
            <v>230363.51760000002</v>
          </cell>
        </row>
        <row r="114">
          <cell r="C114" t="str">
            <v>TGS-26-4406X4BLS-LXCOMFORT SUPER36 MONTHS/600 000 KM</v>
          </cell>
          <cell r="D114" t="str">
            <v>COMFORT SUPER</v>
          </cell>
          <cell r="E114" t="str">
            <v>36 MONTHS/600 000 KM</v>
          </cell>
          <cell r="F114">
            <v>273965.4792</v>
          </cell>
        </row>
        <row r="115">
          <cell r="C115" t="str">
            <v>TGS-26-4406X4BLS-LXCOMFORT SUPER48 MONTHS/480 000 KM</v>
          </cell>
          <cell r="D115" t="str">
            <v>COMFORT SUPER</v>
          </cell>
          <cell r="E115" t="str">
            <v>48 MONTHS/480 000 KM</v>
          </cell>
          <cell r="F115">
            <v>255840</v>
          </cell>
        </row>
        <row r="116">
          <cell r="C116" t="str">
            <v>TGS-26-4406X4BLS-LXCOMFORT SUPER48 MONTHS/600 000 KM</v>
          </cell>
          <cell r="D116" t="str">
            <v>COMFORT SUPER</v>
          </cell>
          <cell r="E116" t="str">
            <v>48 MONTHS/600 000 KM</v>
          </cell>
          <cell r="F116">
            <v>324720</v>
          </cell>
        </row>
        <row r="117">
          <cell r="C117" t="str">
            <v>TGS-26-4406X4BLS-LXCOMFORT SUPER48 MONTHS/720 000 KM</v>
          </cell>
          <cell r="D117" t="str">
            <v>COMFORT SUPER</v>
          </cell>
          <cell r="E117" t="str">
            <v>48 MONTHS/720 000 KM</v>
          </cell>
          <cell r="F117">
            <v>387288.00000000006</v>
          </cell>
        </row>
        <row r="118">
          <cell r="C118" t="str">
            <v>TGS-26-4406X4BLS-LXCOMFORT SUPER48 MONTHS/800 000 KM</v>
          </cell>
          <cell r="D118" t="str">
            <v>COMFORT SUPER</v>
          </cell>
          <cell r="E118" t="str">
            <v>48 MONTHS/800 000 KM</v>
          </cell>
          <cell r="F118">
            <v>407048.14080000005</v>
          </cell>
        </row>
        <row r="119">
          <cell r="C119" t="str">
            <v>TGS-26-4406X4BLS-LXCOMFORT SUPER60 MONTHS/600 000 KM</v>
          </cell>
          <cell r="D119" t="str">
            <v>COMFORT SUPER</v>
          </cell>
          <cell r="E119" t="str">
            <v>60 MONTHS/600 000 KM</v>
          </cell>
          <cell r="F119">
            <v>349740</v>
          </cell>
        </row>
        <row r="120">
          <cell r="C120" t="str">
            <v>TGS-26-4406X4BLS-LXCOMFORT SUPER60 MONTHS/700 000 KM</v>
          </cell>
          <cell r="D120" t="str">
            <v>COMFORT SUPER</v>
          </cell>
          <cell r="E120" t="str">
            <v>60 MONTHS/700 000 KM</v>
          </cell>
          <cell r="F120">
            <v>418961.97000000003</v>
          </cell>
        </row>
        <row r="121">
          <cell r="C121" t="str">
            <v>TGS-26-4406X4BLS-LXCOMFORT SUPER60 MONTHS/800 000 KM</v>
          </cell>
          <cell r="D121" t="str">
            <v>COMFORT SUPER</v>
          </cell>
          <cell r="E121" t="str">
            <v>60 MONTHS/800 000 KM</v>
          </cell>
          <cell r="F121">
            <v>467543.37600000005</v>
          </cell>
        </row>
        <row r="122">
          <cell r="C122" t="str">
            <v>TGS-26-4406X4BLS-MCOMFORT CARE36 MONTHS/360 000 KM</v>
          </cell>
          <cell r="D122" t="str">
            <v>COMFORT CARE</v>
          </cell>
          <cell r="E122" t="str">
            <v>36 MONTHS/360 000 KM</v>
          </cell>
          <cell r="F122">
            <v>109188</v>
          </cell>
        </row>
        <row r="123">
          <cell r="C123" t="str">
            <v>TGS-26-4406X4BLS-MCOMFORT CARE36 MONTHS/480 000 KM</v>
          </cell>
          <cell r="D123" t="str">
            <v>COMFORT CARE</v>
          </cell>
          <cell r="E123" t="str">
            <v>36 MONTHS/480 000 KM</v>
          </cell>
          <cell r="F123">
            <v>188025.40079999997</v>
          </cell>
        </row>
        <row r="124">
          <cell r="C124" t="str">
            <v>TGS-26-4406X4BLS-MCOMFORT CARE36 MONTHS/600 000 KM</v>
          </cell>
          <cell r="D124" t="str">
            <v>COMFORT CARE</v>
          </cell>
          <cell r="E124" t="str">
            <v>36 MONTHS/600 000 KM</v>
          </cell>
          <cell r="F124">
            <v>218944.37880000001</v>
          </cell>
        </row>
        <row r="125">
          <cell r="C125" t="str">
            <v>TGS-26-4406X4BLS-MCOMFORT CARE48 MONTHS/480 000 KM</v>
          </cell>
          <cell r="D125" t="str">
            <v>COMFORT CARE</v>
          </cell>
          <cell r="E125" t="str">
            <v>48 MONTHS/480 000 KM</v>
          </cell>
          <cell r="F125">
            <v>193200.00000000003</v>
          </cell>
        </row>
        <row r="126">
          <cell r="C126" t="str">
            <v>TGS-26-4406X4BLS-MCOMFORT CARE48 MONTHS/600 000 KM</v>
          </cell>
          <cell r="D126" t="str">
            <v>COMFORT CARE</v>
          </cell>
          <cell r="E126" t="str">
            <v>48 MONTHS/600 000 KM</v>
          </cell>
          <cell r="F126">
            <v>229800</v>
          </cell>
        </row>
        <row r="127">
          <cell r="C127" t="str">
            <v>TGS-26-4406X4BLS-MCOMFORT CARE48 MONTHS/720 000 KM</v>
          </cell>
          <cell r="D127" t="str">
            <v>COMFORT CARE</v>
          </cell>
          <cell r="E127" t="str">
            <v>48 MONTHS/720 000 KM</v>
          </cell>
          <cell r="F127">
            <v>259272</v>
          </cell>
        </row>
        <row r="128">
          <cell r="C128" t="str">
            <v>TGS-26-4406X4BLS-MCOMFORT CARE48 MONTHS/800 000 KM</v>
          </cell>
          <cell r="D128" t="str">
            <v>COMFORT CARE</v>
          </cell>
          <cell r="E128" t="str">
            <v>48 MONTHS/800 000 KM</v>
          </cell>
          <cell r="F128">
            <v>303686.0736</v>
          </cell>
        </row>
        <row r="129">
          <cell r="C129" t="str">
            <v>TGS-26-4406X4BLS-MCOMFORT CARE60 MONTHS/600 000 KM</v>
          </cell>
          <cell r="D129" t="str">
            <v>COMFORT CARE</v>
          </cell>
          <cell r="E129" t="str">
            <v>60 MONTHS/600 000 KM</v>
          </cell>
          <cell r="F129">
            <v>233280</v>
          </cell>
        </row>
        <row r="130">
          <cell r="C130" t="str">
            <v>TGS-26-4406X4BLS-MCOMFORT CARE60 MONTHS/700 000 KM</v>
          </cell>
          <cell r="D130" t="str">
            <v>COMFORT CARE</v>
          </cell>
          <cell r="E130" t="str">
            <v>60 MONTHS/700 000 KM</v>
          </cell>
          <cell r="F130">
            <v>256067.31599999999</v>
          </cell>
        </row>
        <row r="131">
          <cell r="C131" t="str">
            <v>TGS-26-4406X4BLS-MCOMFORT CARE60 MONTHS/800 000 KM</v>
          </cell>
          <cell r="D131" t="str">
            <v>COMFORT CARE</v>
          </cell>
          <cell r="E131" t="str">
            <v>60 MONTHS/800 000 KM</v>
          </cell>
          <cell r="F131">
            <v>312895.64400000003</v>
          </cell>
        </row>
        <row r="132">
          <cell r="C132" t="str">
            <v>TGS-26-4406X4BLS-MCOMFORT SERVICE36 MONTHS/360 000 KM</v>
          </cell>
          <cell r="D132" t="str">
            <v>COMFORT SERVICE</v>
          </cell>
          <cell r="E132" t="str">
            <v>36 MONTHS/360 000 KM</v>
          </cell>
          <cell r="F132">
            <v>101160.00000000001</v>
          </cell>
        </row>
        <row r="133">
          <cell r="C133" t="str">
            <v>TGS-26-4406X4BLS-MCOMFORT SERVICE36 MONTHS/480 000 KM</v>
          </cell>
          <cell r="D133" t="str">
            <v>COMFORT SERVICE</v>
          </cell>
          <cell r="E133" t="str">
            <v>36 MONTHS/480 000 KM</v>
          </cell>
          <cell r="F133">
            <v>136326.81599999999</v>
          </cell>
        </row>
        <row r="134">
          <cell r="C134" t="str">
            <v>TGS-26-4406X4BLS-MCOMFORT SERVICE36 MONTHS/600 000 KM</v>
          </cell>
          <cell r="D134" t="str">
            <v>COMFORT SERVICE</v>
          </cell>
          <cell r="E134" t="str">
            <v>36 MONTHS/600 000 KM</v>
          </cell>
          <cell r="F134">
            <v>159183.18359999999</v>
          </cell>
        </row>
        <row r="135">
          <cell r="C135" t="str">
            <v>TGS-26-4406X4BLS-MCOMFORT SERVICE48 MONTHS/480 000 KM</v>
          </cell>
          <cell r="D135" t="str">
            <v>COMFORT SERVICE</v>
          </cell>
          <cell r="E135" t="str">
            <v>48 MONTHS/480 000 KM</v>
          </cell>
          <cell r="F135">
            <v>141504</v>
          </cell>
        </row>
        <row r="136">
          <cell r="C136" t="str">
            <v>TGS-26-4406X4BLS-MCOMFORT SERVICE48 MONTHS/600 000 KM</v>
          </cell>
          <cell r="D136" t="str">
            <v>COMFORT SERVICE</v>
          </cell>
          <cell r="E136" t="str">
            <v>48 MONTHS/600 000 KM</v>
          </cell>
          <cell r="F136">
            <v>170099.99999999997</v>
          </cell>
        </row>
        <row r="137">
          <cell r="C137" t="str">
            <v>TGS-26-4406X4BLS-MCOMFORT SERVICE48 MONTHS/720 000 KM</v>
          </cell>
          <cell r="D137" t="str">
            <v>COMFORT SERVICE</v>
          </cell>
          <cell r="E137" t="str">
            <v>48 MONTHS/720 000 KM</v>
          </cell>
          <cell r="F137">
            <v>199584</v>
          </cell>
        </row>
        <row r="138">
          <cell r="C138" t="str">
            <v>TGS-26-4406X4BLS-MCOMFORT SERVICE48 MONTHS/800 000 KM</v>
          </cell>
          <cell r="D138" t="str">
            <v>COMFORT SERVICE</v>
          </cell>
          <cell r="E138" t="str">
            <v>48 MONTHS/800 000 KM</v>
          </cell>
          <cell r="F138">
            <v>211044.22079999995</v>
          </cell>
        </row>
        <row r="139">
          <cell r="C139" t="str">
            <v>TGS-26-4406X4BLS-MCOMFORT SERVICE60 MONTHS/600 000 KM</v>
          </cell>
          <cell r="D139" t="str">
            <v>COMFORT SERVICE</v>
          </cell>
          <cell r="E139" t="str">
            <v>60 MONTHS/600 000 KM</v>
          </cell>
          <cell r="F139">
            <v>173580</v>
          </cell>
        </row>
        <row r="140">
          <cell r="C140" t="str">
            <v>TGS-26-4406X4BLS-MCOMFORT SERVICE60 MONTHS/700 000 KM</v>
          </cell>
          <cell r="D140" t="str">
            <v>COMFORT SERVICE</v>
          </cell>
          <cell r="E140" t="str">
            <v>60 MONTHS/700 000 KM</v>
          </cell>
          <cell r="F140">
            <v>196285.60799999998</v>
          </cell>
        </row>
        <row r="141">
          <cell r="C141" t="str">
            <v>TGS-26-4406X4BLS-MCOMFORT SERVICE60 MONTHS/800 000 KM</v>
          </cell>
          <cell r="D141" t="str">
            <v>COMFORT SERVICE</v>
          </cell>
          <cell r="E141" t="str">
            <v>60 MONTHS/800 000 KM</v>
          </cell>
          <cell r="F141">
            <v>220171.008</v>
          </cell>
        </row>
        <row r="142">
          <cell r="C142" t="str">
            <v>TGS-26-4406X4BLS-MCOMFORT SUPER36 MONTHS/360 000 KM</v>
          </cell>
          <cell r="D142" t="str">
            <v>COMFORT SUPER</v>
          </cell>
          <cell r="E142" t="str">
            <v>36 MONTHS/360 000 KM</v>
          </cell>
          <cell r="F142">
            <v>167328</v>
          </cell>
        </row>
        <row r="143">
          <cell r="C143" t="str">
            <v>TGS-26-4406X4BLS-MCOMFORT SUPER36 MONTHS/480 000 KM</v>
          </cell>
          <cell r="D143" t="str">
            <v>COMFORT SUPER</v>
          </cell>
          <cell r="E143" t="str">
            <v>36 MONTHS/480 000 KM</v>
          </cell>
          <cell r="F143">
            <v>230363.51760000002</v>
          </cell>
        </row>
        <row r="144">
          <cell r="C144" t="str">
            <v>TGS-26-4406X4BLS-MCOMFORT SUPER36 MONTHS/600 000 KM</v>
          </cell>
          <cell r="D144" t="str">
            <v>COMFORT SUPER</v>
          </cell>
          <cell r="E144" t="str">
            <v>36 MONTHS/600 000 KM</v>
          </cell>
          <cell r="F144">
            <v>273965.4792</v>
          </cell>
        </row>
        <row r="145">
          <cell r="C145" t="str">
            <v>TGS-26-4406X4BLS-MCOMFORT SUPER48 MONTHS/480 000 KM</v>
          </cell>
          <cell r="D145" t="str">
            <v>COMFORT SUPER</v>
          </cell>
          <cell r="E145" t="str">
            <v>48 MONTHS/480 000 KM</v>
          </cell>
          <cell r="F145">
            <v>255840</v>
          </cell>
        </row>
        <row r="146">
          <cell r="C146" t="str">
            <v>TGS-26-4406X4BLS-MCOMFORT SUPER48 MONTHS/600 000 KM</v>
          </cell>
          <cell r="D146" t="str">
            <v>COMFORT SUPER</v>
          </cell>
          <cell r="E146" t="str">
            <v>48 MONTHS/600 000 KM</v>
          </cell>
          <cell r="F146">
            <v>324720</v>
          </cell>
        </row>
        <row r="147">
          <cell r="C147" t="str">
            <v>TGS-26-4406X4BLS-MCOMFORT SUPER48 MONTHS/720 000 KM</v>
          </cell>
          <cell r="D147" t="str">
            <v>COMFORT SUPER</v>
          </cell>
          <cell r="E147" t="str">
            <v>48 MONTHS/720 000 KM</v>
          </cell>
          <cell r="F147">
            <v>387288.00000000006</v>
          </cell>
        </row>
        <row r="148">
          <cell r="C148" t="str">
            <v>TGS-26-4406X4BLS-MCOMFORT SUPER48 MONTHS/800 000 KM</v>
          </cell>
          <cell r="D148" t="str">
            <v>COMFORT SUPER</v>
          </cell>
          <cell r="E148" t="str">
            <v>48 MONTHS/800 000 KM</v>
          </cell>
          <cell r="F148">
            <v>407048.14080000005</v>
          </cell>
        </row>
        <row r="149">
          <cell r="C149" t="str">
            <v>TGS-26-4406X4BLS-MCOMFORT SUPER60 MONTHS/600 000 KM</v>
          </cell>
          <cell r="D149" t="str">
            <v>COMFORT SUPER</v>
          </cell>
          <cell r="E149" t="str">
            <v>60 MONTHS/600 000 KM</v>
          </cell>
          <cell r="F149">
            <v>349740</v>
          </cell>
        </row>
        <row r="150">
          <cell r="C150" t="str">
            <v>TGS-26-4406X4BLS-MCOMFORT SUPER60 MONTHS/700 000 KM</v>
          </cell>
          <cell r="D150" t="str">
            <v>COMFORT SUPER</v>
          </cell>
          <cell r="E150" t="str">
            <v>60 MONTHS/700 000 KM</v>
          </cell>
          <cell r="F150">
            <v>418961.97000000003</v>
          </cell>
        </row>
        <row r="151">
          <cell r="C151" t="str">
            <v>TGS-26-4406X4BLS-MCOMFORT SUPER60 MONTHS/800 000 KM</v>
          </cell>
          <cell r="D151" t="str">
            <v>COMFORT SUPER</v>
          </cell>
          <cell r="E151" t="str">
            <v>60 MONTHS/800 000 KM</v>
          </cell>
          <cell r="F151">
            <v>467543.37600000005</v>
          </cell>
        </row>
        <row r="152">
          <cell r="C152" t="str">
            <v>TGS-26-4806X4BLS-LXCOMFORT CARE36 MONTHS/360 000 KM</v>
          </cell>
          <cell r="D152" t="str">
            <v>COMFORT CARE</v>
          </cell>
          <cell r="E152" t="str">
            <v>36 MONTHS/360 000 KM</v>
          </cell>
          <cell r="F152">
            <v>109188</v>
          </cell>
        </row>
        <row r="153">
          <cell r="C153" t="str">
            <v>TGS-26-4806X4BLS-LXCOMFORT CARE36 MONTHS/480 000 KM</v>
          </cell>
          <cell r="D153" t="str">
            <v>COMFORT CARE</v>
          </cell>
          <cell r="E153" t="str">
            <v>36 MONTHS/480 000 KM</v>
          </cell>
          <cell r="F153">
            <v>188025.40079999997</v>
          </cell>
        </row>
        <row r="154">
          <cell r="C154" t="str">
            <v>TGS-26-4806X4BLS-LXCOMFORT CARE36 MONTHS/600 000 KM</v>
          </cell>
          <cell r="D154" t="str">
            <v>COMFORT CARE</v>
          </cell>
          <cell r="E154" t="str">
            <v>36 MONTHS/600 000 KM</v>
          </cell>
          <cell r="F154">
            <v>218944.37880000001</v>
          </cell>
        </row>
        <row r="155">
          <cell r="C155" t="str">
            <v>TGS-26-4806X4BLS-LXCOMFORT CARE48 MONTHS/480 000 KM</v>
          </cell>
          <cell r="D155" t="str">
            <v>COMFORT CARE</v>
          </cell>
          <cell r="E155" t="str">
            <v>48 MONTHS/480 000 KM</v>
          </cell>
          <cell r="F155">
            <v>193200.00000000003</v>
          </cell>
        </row>
        <row r="156">
          <cell r="C156" t="str">
            <v>TGS-26-4806X4BLS-LXCOMFORT CARE48 MONTHS/600 000 KM</v>
          </cell>
          <cell r="D156" t="str">
            <v>COMFORT CARE</v>
          </cell>
          <cell r="E156" t="str">
            <v>48 MONTHS/600 000 KM</v>
          </cell>
          <cell r="F156">
            <v>229800</v>
          </cell>
        </row>
        <row r="157">
          <cell r="C157" t="str">
            <v>TGS-26-4806X4BLS-LXCOMFORT CARE48 MONTHS/720 000 KM</v>
          </cell>
          <cell r="D157" t="str">
            <v>COMFORT CARE</v>
          </cell>
          <cell r="E157" t="str">
            <v>48 MONTHS/720 000 KM</v>
          </cell>
          <cell r="F157">
            <v>259272</v>
          </cell>
        </row>
        <row r="158">
          <cell r="C158" t="str">
            <v>TGS-26-4806X4BLS-LXCOMFORT CARE48 MONTHS/800 000 KM</v>
          </cell>
          <cell r="D158" t="str">
            <v>COMFORT CARE</v>
          </cell>
          <cell r="E158" t="str">
            <v>48 MONTHS/800 000 KM</v>
          </cell>
          <cell r="F158">
            <v>303686.0736</v>
          </cell>
        </row>
        <row r="159">
          <cell r="C159" t="str">
            <v>TGS-26-4806X4BLS-LXCOMFORT CARE60 MONTHS/600 000 KM</v>
          </cell>
          <cell r="D159" t="str">
            <v>COMFORT CARE</v>
          </cell>
          <cell r="E159" t="str">
            <v>60 MONTHS/600 000 KM</v>
          </cell>
          <cell r="F159">
            <v>233280</v>
          </cell>
        </row>
        <row r="160">
          <cell r="C160" t="str">
            <v>TGS-26-4806X4BLS-LXCOMFORT CARE60 MONTHS/700 000 KM</v>
          </cell>
          <cell r="D160" t="str">
            <v>COMFORT CARE</v>
          </cell>
          <cell r="E160" t="str">
            <v>60 MONTHS/700 000 KM</v>
          </cell>
          <cell r="F160">
            <v>256067.31599999999</v>
          </cell>
        </row>
        <row r="161">
          <cell r="C161" t="str">
            <v>TGS-26-4806X4BLS-LXCOMFORT CARE60 MONTHS/800 000 KM</v>
          </cell>
          <cell r="D161" t="str">
            <v>COMFORT CARE</v>
          </cell>
          <cell r="E161" t="str">
            <v>60 MONTHS/800 000 KM</v>
          </cell>
          <cell r="F161">
            <v>312895.64400000003</v>
          </cell>
        </row>
        <row r="162">
          <cell r="C162" t="str">
            <v>TGS-26-4806X4BLS-LXCOMFORT SERVICE36 MONTHS/360 000 KM</v>
          </cell>
          <cell r="D162" t="str">
            <v>COMFORT SERVICE</v>
          </cell>
          <cell r="E162" t="str">
            <v>36 MONTHS/360 000 KM</v>
          </cell>
          <cell r="F162">
            <v>101160.00000000001</v>
          </cell>
        </row>
        <row r="163">
          <cell r="C163" t="str">
            <v>TGS-26-4806X4BLS-LXCOMFORT SERVICE36 MONTHS/480 000 KM</v>
          </cell>
          <cell r="D163" t="str">
            <v>COMFORT SERVICE</v>
          </cell>
          <cell r="E163" t="str">
            <v>36 MONTHS/480 000 KM</v>
          </cell>
          <cell r="F163">
            <v>136326.81599999999</v>
          </cell>
        </row>
        <row r="164">
          <cell r="C164" t="str">
            <v>TGS-26-4806X4BLS-LXCOMFORT SERVICE36 MONTHS/600 000 KM</v>
          </cell>
          <cell r="D164" t="str">
            <v>COMFORT SERVICE</v>
          </cell>
          <cell r="E164" t="str">
            <v>36 MONTHS/600 000 KM</v>
          </cell>
          <cell r="F164">
            <v>159183.18359999999</v>
          </cell>
        </row>
        <row r="165">
          <cell r="C165" t="str">
            <v>TGS-26-4806X4BLS-LXCOMFORT SERVICE48 MONTHS/480 000 KM</v>
          </cell>
          <cell r="D165" t="str">
            <v>COMFORT SERVICE</v>
          </cell>
          <cell r="E165" t="str">
            <v>48 MONTHS/480 000 KM</v>
          </cell>
          <cell r="F165">
            <v>141504</v>
          </cell>
        </row>
        <row r="166">
          <cell r="C166" t="str">
            <v>TGS-26-4806X4BLS-LXCOMFORT SERVICE48 MONTHS/600 000 KM</v>
          </cell>
          <cell r="D166" t="str">
            <v>COMFORT SERVICE</v>
          </cell>
          <cell r="E166" t="str">
            <v>48 MONTHS/600 000 KM</v>
          </cell>
          <cell r="F166">
            <v>170099.99999999997</v>
          </cell>
        </row>
        <row r="167">
          <cell r="C167" t="str">
            <v>TGS-26-4806X4BLS-LXCOMFORT SERVICE48 MONTHS/720 000 KM</v>
          </cell>
          <cell r="D167" t="str">
            <v>COMFORT SERVICE</v>
          </cell>
          <cell r="E167" t="str">
            <v>48 MONTHS/720 000 KM</v>
          </cell>
          <cell r="F167">
            <v>199584</v>
          </cell>
        </row>
        <row r="168">
          <cell r="C168" t="str">
            <v>TGS-26-4806X4BLS-LXCOMFORT SERVICE48 MONTHS/800 000 KM</v>
          </cell>
          <cell r="D168" t="str">
            <v>COMFORT SERVICE</v>
          </cell>
          <cell r="E168" t="str">
            <v>48 MONTHS/800 000 KM</v>
          </cell>
          <cell r="F168">
            <v>211044.22079999995</v>
          </cell>
        </row>
        <row r="169">
          <cell r="C169" t="str">
            <v>TGS-26-4806X4BLS-LXCOMFORT SERVICE60 MONTHS/600 000 KM</v>
          </cell>
          <cell r="D169" t="str">
            <v>COMFORT SERVICE</v>
          </cell>
          <cell r="E169" t="str">
            <v>60 MONTHS/600 000 KM</v>
          </cell>
          <cell r="F169">
            <v>173580</v>
          </cell>
        </row>
        <row r="170">
          <cell r="C170" t="str">
            <v>TGS-26-4806X4BLS-LXCOMFORT SERVICE60 MONTHS/700 000 KM</v>
          </cell>
          <cell r="D170" t="str">
            <v>COMFORT SERVICE</v>
          </cell>
          <cell r="E170" t="str">
            <v>60 MONTHS/700 000 KM</v>
          </cell>
          <cell r="F170">
            <v>196285.60799999998</v>
          </cell>
        </row>
        <row r="171">
          <cell r="C171" t="str">
            <v>TGS-26-4806X4BLS-LXCOMFORT SERVICE60 MONTHS/800 000 KM</v>
          </cell>
          <cell r="D171" t="str">
            <v>COMFORT SERVICE</v>
          </cell>
          <cell r="E171" t="str">
            <v>60 MONTHS/800 000 KM</v>
          </cell>
          <cell r="F171">
            <v>220171.008</v>
          </cell>
        </row>
        <row r="172">
          <cell r="C172" t="str">
            <v>TGS-26-4806X4BLS-LXCOMFORT SUPER36 MONTHS/360 000 KM</v>
          </cell>
          <cell r="D172" t="str">
            <v>COMFORT SUPER</v>
          </cell>
          <cell r="E172" t="str">
            <v>36 MONTHS/360 000 KM</v>
          </cell>
          <cell r="F172">
            <v>167328</v>
          </cell>
        </row>
        <row r="173">
          <cell r="C173" t="str">
            <v>TGS-26-4806X4BLS-LXCOMFORT SUPER36 MONTHS/480 000 KM</v>
          </cell>
          <cell r="D173" t="str">
            <v>COMFORT SUPER</v>
          </cell>
          <cell r="E173" t="str">
            <v>36 MONTHS/480 000 KM</v>
          </cell>
          <cell r="F173">
            <v>230363.51760000002</v>
          </cell>
        </row>
        <row r="174">
          <cell r="C174" t="str">
            <v>TGS-26-4806X4BLS-LXCOMFORT SUPER36 MONTHS/600 000 KM</v>
          </cell>
          <cell r="D174" t="str">
            <v>COMFORT SUPER</v>
          </cell>
          <cell r="E174" t="str">
            <v>36 MONTHS/600 000 KM</v>
          </cell>
          <cell r="F174">
            <v>273965.4792</v>
          </cell>
        </row>
        <row r="175">
          <cell r="C175" t="str">
            <v>TGS-26-4806X4BLS-LXCOMFORT SUPER48 MONTHS/480 000 KM</v>
          </cell>
          <cell r="D175" t="str">
            <v>COMFORT SUPER</v>
          </cell>
          <cell r="E175" t="str">
            <v>48 MONTHS/480 000 KM</v>
          </cell>
          <cell r="F175">
            <v>255840</v>
          </cell>
        </row>
        <row r="176">
          <cell r="C176" t="str">
            <v>TGS-26-4806X4BLS-LXCOMFORT SUPER48 MONTHS/600 000 KM</v>
          </cell>
          <cell r="D176" t="str">
            <v>COMFORT SUPER</v>
          </cell>
          <cell r="E176" t="str">
            <v>48 MONTHS/600 000 KM</v>
          </cell>
          <cell r="F176">
            <v>324720</v>
          </cell>
        </row>
        <row r="177">
          <cell r="C177" t="str">
            <v>TGS-26-4806X4BLS-LXCOMFORT SUPER48 MONTHS/720 000 KM</v>
          </cell>
          <cell r="D177" t="str">
            <v>COMFORT SUPER</v>
          </cell>
          <cell r="E177" t="str">
            <v>48 MONTHS/720 000 KM</v>
          </cell>
          <cell r="F177">
            <v>387288.00000000006</v>
          </cell>
        </row>
        <row r="178">
          <cell r="C178" t="str">
            <v>TGS-26-4806X4BLS-LXCOMFORT SUPER48 MONTHS/800 000 KM</v>
          </cell>
          <cell r="D178" t="str">
            <v>COMFORT SUPER</v>
          </cell>
          <cell r="E178" t="str">
            <v>48 MONTHS/800 000 KM</v>
          </cell>
          <cell r="F178">
            <v>407048.14080000005</v>
          </cell>
        </row>
        <row r="179">
          <cell r="C179" t="str">
            <v>TGS-26-4806X4BLS-LXCOMFORT SUPER60 MONTHS/600 000 KM</v>
          </cell>
          <cell r="D179" t="str">
            <v>COMFORT SUPER</v>
          </cell>
          <cell r="E179" t="str">
            <v>60 MONTHS/600 000 KM</v>
          </cell>
          <cell r="F179">
            <v>349740</v>
          </cell>
        </row>
        <row r="180">
          <cell r="C180" t="str">
            <v>TGS-26-4806X4BLS-LXCOMFORT SUPER60 MONTHS/700 000 KM</v>
          </cell>
          <cell r="D180" t="str">
            <v>COMFORT SUPER</v>
          </cell>
          <cell r="E180" t="str">
            <v>60 MONTHS/700 000 KM</v>
          </cell>
          <cell r="F180">
            <v>418961.97000000003</v>
          </cell>
        </row>
        <row r="181">
          <cell r="C181" t="str">
            <v>TGS-26-4806X4BLS-LXCOMFORT SUPER60 MONTHS/800 000 KM</v>
          </cell>
          <cell r="D181" t="str">
            <v>COMFORT SUPER</v>
          </cell>
          <cell r="E181" t="str">
            <v>60 MONTHS/800 000 KM</v>
          </cell>
          <cell r="F181">
            <v>467543.37600000005</v>
          </cell>
        </row>
        <row r="182">
          <cell r="C182" t="str">
            <v>TGS-26-4806X4BLS-LX-E5COMFORT CARE36 MONTHS/360 000 KM</v>
          </cell>
          <cell r="D182" t="str">
            <v>COMFORT CARE</v>
          </cell>
          <cell r="E182" t="str">
            <v>36 MONTHS/360 000 KM</v>
          </cell>
          <cell r="F182">
            <v>109188</v>
          </cell>
        </row>
        <row r="183">
          <cell r="C183" t="str">
            <v>TGS-26-4806X4BLS-LX-E5COMFORT CARE36 MONTHS/480 000 KM</v>
          </cell>
          <cell r="D183" t="str">
            <v>COMFORT CARE</v>
          </cell>
          <cell r="E183" t="str">
            <v>36 MONTHS/480 000 KM</v>
          </cell>
          <cell r="F183">
            <v>188025.40079999997</v>
          </cell>
        </row>
        <row r="184">
          <cell r="C184" t="str">
            <v>TGS-26-4806X4BLS-LX-E5COMFORT CARE36 MONTHS/600 000 KM</v>
          </cell>
          <cell r="D184" t="str">
            <v>COMFORT CARE</v>
          </cell>
          <cell r="E184" t="str">
            <v>36 MONTHS/600 000 KM</v>
          </cell>
          <cell r="F184">
            <v>218944.37880000001</v>
          </cell>
        </row>
        <row r="185">
          <cell r="C185" t="str">
            <v>TGS-26-4806X4BLS-LX-E5COMFORT CARE48 MONTHS/480 000 KM</v>
          </cell>
          <cell r="D185" t="str">
            <v>COMFORT CARE</v>
          </cell>
          <cell r="E185" t="str">
            <v>48 MONTHS/480 000 KM</v>
          </cell>
          <cell r="F185">
            <v>193200.00000000003</v>
          </cell>
        </row>
        <row r="186">
          <cell r="C186" t="str">
            <v>TGS-26-4806X4BLS-LX-E5COMFORT CARE48 MONTHS/600 000 KM</v>
          </cell>
          <cell r="D186" t="str">
            <v>COMFORT CARE</v>
          </cell>
          <cell r="E186" t="str">
            <v>48 MONTHS/600 000 KM</v>
          </cell>
          <cell r="F186">
            <v>229800</v>
          </cell>
        </row>
        <row r="187">
          <cell r="C187" t="str">
            <v>TGS-26-4806X4BLS-LX-E5COMFORT CARE48 MONTHS/720 000 KM</v>
          </cell>
          <cell r="D187" t="str">
            <v>COMFORT CARE</v>
          </cell>
          <cell r="E187" t="str">
            <v>48 MONTHS/720 000 KM</v>
          </cell>
          <cell r="F187">
            <v>259272</v>
          </cell>
        </row>
        <row r="188">
          <cell r="C188" t="str">
            <v>TGS-26-4806X4BLS-LX-E5COMFORT CARE48 MONTHS/800 000 KM</v>
          </cell>
          <cell r="D188" t="str">
            <v>COMFORT CARE</v>
          </cell>
          <cell r="E188" t="str">
            <v>48 MONTHS/800 000 KM</v>
          </cell>
          <cell r="F188">
            <v>303686.0736</v>
          </cell>
        </row>
        <row r="189">
          <cell r="C189" t="str">
            <v>TGS-26-4806X4BLS-LX-E5COMFORT CARE60 MONTHS/600 000 KM</v>
          </cell>
          <cell r="D189" t="str">
            <v>COMFORT CARE</v>
          </cell>
          <cell r="E189" t="str">
            <v>60 MONTHS/600 000 KM</v>
          </cell>
          <cell r="F189">
            <v>233280</v>
          </cell>
        </row>
        <row r="190">
          <cell r="C190" t="str">
            <v>TGS-26-4806X4BLS-LX-E5COMFORT CARE60 MONTHS/700 000 KM</v>
          </cell>
          <cell r="D190" t="str">
            <v>COMFORT CARE</v>
          </cell>
          <cell r="E190" t="str">
            <v>60 MONTHS/700 000 KM</v>
          </cell>
          <cell r="F190">
            <v>256067.31599999999</v>
          </cell>
        </row>
        <row r="191">
          <cell r="C191" t="str">
            <v>TGS-26-4806X4BLS-LX-E5COMFORT CARE60 MONTHS/800 000 KM</v>
          </cell>
          <cell r="D191" t="str">
            <v>COMFORT CARE</v>
          </cell>
          <cell r="E191" t="str">
            <v>60 MONTHS/800 000 KM</v>
          </cell>
          <cell r="F191">
            <v>312895.64400000003</v>
          </cell>
        </row>
        <row r="192">
          <cell r="C192" t="str">
            <v>TGS-26-4806X4BLS-LX-E5COMFORT SERVICE36 MONTHS/360 000 KM</v>
          </cell>
          <cell r="D192" t="str">
            <v>COMFORT SERVICE</v>
          </cell>
          <cell r="E192" t="str">
            <v>36 MONTHS/360 000 KM</v>
          </cell>
          <cell r="F192">
            <v>101160.00000000001</v>
          </cell>
        </row>
        <row r="193">
          <cell r="C193" t="str">
            <v>TGS-26-4806X4BLS-LX-E5COMFORT SERVICE36 MONTHS/480 000 KM</v>
          </cell>
          <cell r="D193" t="str">
            <v>COMFORT SERVICE</v>
          </cell>
          <cell r="E193" t="str">
            <v>36 MONTHS/480 000 KM</v>
          </cell>
          <cell r="F193">
            <v>136326.81599999999</v>
          </cell>
        </row>
        <row r="194">
          <cell r="C194" t="str">
            <v>TGS-26-4806X4BLS-LX-E5COMFORT SERVICE36 MONTHS/600 000 KM</v>
          </cell>
          <cell r="D194" t="str">
            <v>COMFORT SERVICE</v>
          </cell>
          <cell r="E194" t="str">
            <v>36 MONTHS/600 000 KM</v>
          </cell>
          <cell r="F194">
            <v>159183.18359999999</v>
          </cell>
        </row>
        <row r="195">
          <cell r="C195" t="str">
            <v>TGS-26-4806X4BLS-LX-E5COMFORT SERVICE48 MONTHS/480 000 KM</v>
          </cell>
          <cell r="D195" t="str">
            <v>COMFORT SERVICE</v>
          </cell>
          <cell r="E195" t="str">
            <v>48 MONTHS/480 000 KM</v>
          </cell>
          <cell r="F195">
            <v>141504</v>
          </cell>
        </row>
        <row r="196">
          <cell r="C196" t="str">
            <v>TGS-26-4806X4BLS-LX-E5COMFORT SERVICE48 MONTHS/600 000 KM</v>
          </cell>
          <cell r="D196" t="str">
            <v>COMFORT SERVICE</v>
          </cell>
          <cell r="E196" t="str">
            <v>48 MONTHS/600 000 KM</v>
          </cell>
          <cell r="F196">
            <v>170099.99999999997</v>
          </cell>
        </row>
        <row r="197">
          <cell r="C197" t="str">
            <v>TGS-26-4806X4BLS-LX-E5COMFORT SERVICE48 MONTHS/720 000 KM</v>
          </cell>
          <cell r="D197" t="str">
            <v>COMFORT SERVICE</v>
          </cell>
          <cell r="E197" t="str">
            <v>48 MONTHS/720 000 KM</v>
          </cell>
          <cell r="F197">
            <v>199584</v>
          </cell>
        </row>
        <row r="198">
          <cell r="C198" t="str">
            <v>TGS-26-4806X4BLS-LX-E5COMFORT SERVICE48 MONTHS/800 000 KM</v>
          </cell>
          <cell r="D198" t="str">
            <v>COMFORT SERVICE</v>
          </cell>
          <cell r="E198" t="str">
            <v>48 MONTHS/800 000 KM</v>
          </cell>
          <cell r="F198">
            <v>211044.22079999995</v>
          </cell>
        </row>
        <row r="199">
          <cell r="C199" t="str">
            <v>TGS-26-4806X4BLS-LX-E5COMFORT SERVICE60 MONTHS/600 000 KM</v>
          </cell>
          <cell r="D199" t="str">
            <v>COMFORT SERVICE</v>
          </cell>
          <cell r="E199" t="str">
            <v>60 MONTHS/600 000 KM</v>
          </cell>
          <cell r="F199">
            <v>173580</v>
          </cell>
        </row>
        <row r="200">
          <cell r="C200" t="str">
            <v>TGS-26-4806X4BLS-LX-E5COMFORT SERVICE60 MONTHS/700 000 KM</v>
          </cell>
          <cell r="D200" t="str">
            <v>COMFORT SERVICE</v>
          </cell>
          <cell r="E200" t="str">
            <v>60 MONTHS/700 000 KM</v>
          </cell>
          <cell r="F200">
            <v>196285.60799999998</v>
          </cell>
        </row>
        <row r="201">
          <cell r="C201" t="str">
            <v>TGS-26-4806X4BLS-LX-E5COMFORT SERVICE60 MONTHS/800 000 KM</v>
          </cell>
          <cell r="D201" t="str">
            <v>COMFORT SERVICE</v>
          </cell>
          <cell r="E201" t="str">
            <v>60 MONTHS/800 000 KM</v>
          </cell>
          <cell r="F201">
            <v>220171.008</v>
          </cell>
        </row>
        <row r="202">
          <cell r="C202" t="str">
            <v>TGS-26-4806X4BLS-LX-E5COMFORT SUPER36 MONTHS/360 000 KM</v>
          </cell>
          <cell r="D202" t="str">
            <v>COMFORT SUPER</v>
          </cell>
          <cell r="E202" t="str">
            <v>36 MONTHS/360 000 KM</v>
          </cell>
          <cell r="F202">
            <v>167328</v>
          </cell>
        </row>
        <row r="203">
          <cell r="C203" t="str">
            <v>TGS-26-4806X4BLS-LX-E5COMFORT SUPER36 MONTHS/480 000 KM</v>
          </cell>
          <cell r="D203" t="str">
            <v>COMFORT SUPER</v>
          </cell>
          <cell r="E203" t="str">
            <v>36 MONTHS/480 000 KM</v>
          </cell>
          <cell r="F203">
            <v>230363.51760000002</v>
          </cell>
        </row>
        <row r="204">
          <cell r="C204" t="str">
            <v>TGS-26-4806X4BLS-LX-E5COMFORT SUPER36 MONTHS/600 000 KM</v>
          </cell>
          <cell r="D204" t="str">
            <v>COMFORT SUPER</v>
          </cell>
          <cell r="E204" t="str">
            <v>36 MONTHS/600 000 KM</v>
          </cell>
          <cell r="F204">
            <v>273965.4792</v>
          </cell>
        </row>
        <row r="205">
          <cell r="C205" t="str">
            <v>TGS-26-4806X4BLS-LX-E5COMFORT SUPER48 MONTHS/480 000 KM</v>
          </cell>
          <cell r="D205" t="str">
            <v>COMFORT SUPER</v>
          </cell>
          <cell r="E205" t="str">
            <v>48 MONTHS/480 000 KM</v>
          </cell>
          <cell r="F205">
            <v>255840</v>
          </cell>
        </row>
        <row r="206">
          <cell r="C206" t="str">
            <v>TGS-26-4806X4BLS-LX-E5COMFORT SUPER48 MONTHS/600 000 KM</v>
          </cell>
          <cell r="D206" t="str">
            <v>COMFORT SUPER</v>
          </cell>
          <cell r="E206" t="str">
            <v>48 MONTHS/600 000 KM</v>
          </cell>
          <cell r="F206">
            <v>324720</v>
          </cell>
        </row>
        <row r="207">
          <cell r="C207" t="str">
            <v>TGS-26-4806X4BLS-LX-E5COMFORT SUPER48 MONTHS/720 000 KM</v>
          </cell>
          <cell r="D207" t="str">
            <v>COMFORT SUPER</v>
          </cell>
          <cell r="E207" t="str">
            <v>48 MONTHS/720 000 KM</v>
          </cell>
          <cell r="F207">
            <v>387288.00000000006</v>
          </cell>
        </row>
        <row r="208">
          <cell r="C208" t="str">
            <v>TGS-26-4806X4BLS-LX-E5COMFORT SUPER48 MONTHS/800 000 KM</v>
          </cell>
          <cell r="D208" t="str">
            <v>COMFORT SUPER</v>
          </cell>
          <cell r="E208" t="str">
            <v>48 MONTHS/800 000 KM</v>
          </cell>
          <cell r="F208">
            <v>407048.14080000005</v>
          </cell>
        </row>
        <row r="209">
          <cell r="C209" t="str">
            <v>TGS-26-4806X4BLS-LX-E5COMFORT SUPER60 MONTHS/600 000 KM</v>
          </cell>
          <cell r="D209" t="str">
            <v>COMFORT SUPER</v>
          </cell>
          <cell r="E209" t="str">
            <v>60 MONTHS/600 000 KM</v>
          </cell>
          <cell r="F209">
            <v>349740</v>
          </cell>
        </row>
        <row r="210">
          <cell r="C210" t="str">
            <v>TGS-26-4806X4BLS-LX-E5COMFORT SUPER60 MONTHS/700 000 KM</v>
          </cell>
          <cell r="D210" t="str">
            <v>COMFORT SUPER</v>
          </cell>
          <cell r="E210" t="str">
            <v>60 MONTHS/700 000 KM</v>
          </cell>
          <cell r="F210">
            <v>418961.97000000003</v>
          </cell>
        </row>
        <row r="211">
          <cell r="C211" t="str">
            <v>TGS-26-4806X4BLS-LX-E5COMFORT SUPER60 MONTHS/800 000 KM</v>
          </cell>
          <cell r="D211" t="str">
            <v>COMFORT SUPER</v>
          </cell>
          <cell r="E211" t="str">
            <v>60 MONTHS/800 000 KM</v>
          </cell>
          <cell r="F211">
            <v>467543.37600000005</v>
          </cell>
        </row>
        <row r="212">
          <cell r="C212" t="str">
            <v>TGS-26-4806X4BLS-LX-ELCOMFORT CARE36 MONTHS/360 000 KM</v>
          </cell>
          <cell r="D212" t="str">
            <v>COMFORT CARE</v>
          </cell>
          <cell r="E212" t="str">
            <v>36 MONTHS/360 000 KM</v>
          </cell>
          <cell r="F212">
            <v>109188</v>
          </cell>
        </row>
        <row r="213">
          <cell r="C213" t="str">
            <v>TGS-26-4806X4BLS-LX-ELCOMFORT CARE36 MONTHS/480 000 KM</v>
          </cell>
          <cell r="D213" t="str">
            <v>COMFORT CARE</v>
          </cell>
          <cell r="E213" t="str">
            <v>36 MONTHS/480 000 KM</v>
          </cell>
          <cell r="F213">
            <v>188025.40079999997</v>
          </cell>
        </row>
        <row r="214">
          <cell r="C214" t="str">
            <v>TGS-26-4806X4BLS-LX-ELCOMFORT CARE36 MONTHS/600 000 KM</v>
          </cell>
          <cell r="D214" t="str">
            <v>COMFORT CARE</v>
          </cell>
          <cell r="E214" t="str">
            <v>36 MONTHS/600 000 KM</v>
          </cell>
          <cell r="F214">
            <v>218944.37880000001</v>
          </cell>
        </row>
        <row r="215">
          <cell r="C215" t="str">
            <v>TGS-26-4806X4BLS-LX-ELCOMFORT CARE48 MONTHS/480 000 KM</v>
          </cell>
          <cell r="D215" t="str">
            <v>COMFORT CARE</v>
          </cell>
          <cell r="E215" t="str">
            <v>48 MONTHS/480 000 KM</v>
          </cell>
          <cell r="F215">
            <v>193200.00000000003</v>
          </cell>
        </row>
        <row r="216">
          <cell r="C216" t="str">
            <v>TGS-26-4806X4BLS-LX-ELCOMFORT CARE48 MONTHS/600 000 KM</v>
          </cell>
          <cell r="D216" t="str">
            <v>COMFORT CARE</v>
          </cell>
          <cell r="E216" t="str">
            <v>48 MONTHS/600 000 KM</v>
          </cell>
          <cell r="F216">
            <v>229800</v>
          </cell>
        </row>
        <row r="217">
          <cell r="C217" t="str">
            <v>TGS-26-4806X4BLS-LX-ELCOMFORT CARE48 MONTHS/720 000 KM</v>
          </cell>
          <cell r="D217" t="str">
            <v>COMFORT CARE</v>
          </cell>
          <cell r="E217" t="str">
            <v>48 MONTHS/720 000 KM</v>
          </cell>
          <cell r="F217">
            <v>259272</v>
          </cell>
        </row>
        <row r="218">
          <cell r="C218" t="str">
            <v>TGS-26-4806X4BLS-LX-ELCOMFORT CARE48 MONTHS/800 000 KM</v>
          </cell>
          <cell r="D218" t="str">
            <v>COMFORT CARE</v>
          </cell>
          <cell r="E218" t="str">
            <v>48 MONTHS/800 000 KM</v>
          </cell>
          <cell r="F218">
            <v>303686.0736</v>
          </cell>
        </row>
        <row r="219">
          <cell r="C219" t="str">
            <v>TGS-26-4806X4BLS-LX-ELCOMFORT CARE60 MONTHS/600 000 KM</v>
          </cell>
          <cell r="D219" t="str">
            <v>COMFORT CARE</v>
          </cell>
          <cell r="E219" t="str">
            <v>60 MONTHS/600 000 KM</v>
          </cell>
          <cell r="F219">
            <v>233280</v>
          </cell>
        </row>
        <row r="220">
          <cell r="C220" t="str">
            <v>TGS-26-4806X4BLS-LX-ELCOMFORT CARE60 MONTHS/700 000 KM</v>
          </cell>
          <cell r="D220" t="str">
            <v>COMFORT CARE</v>
          </cell>
          <cell r="E220" t="str">
            <v>60 MONTHS/700 000 KM</v>
          </cell>
          <cell r="F220">
            <v>256067.31599999999</v>
          </cell>
        </row>
        <row r="221">
          <cell r="C221" t="str">
            <v>TGS-26-4806X4BLS-LX-ELCOMFORT CARE60 MONTHS/800 000 KM</v>
          </cell>
          <cell r="D221" t="str">
            <v>COMFORT CARE</v>
          </cell>
          <cell r="E221" t="str">
            <v>60 MONTHS/800 000 KM</v>
          </cell>
          <cell r="F221">
            <v>312895.64400000003</v>
          </cell>
        </row>
        <row r="222">
          <cell r="C222" t="str">
            <v>TGS-26-4806X4BLS-LX-ELCOMFORT SERVICE36 MONTHS/360 000 KM</v>
          </cell>
          <cell r="D222" t="str">
            <v>COMFORT SERVICE</v>
          </cell>
          <cell r="E222" t="str">
            <v>36 MONTHS/360 000 KM</v>
          </cell>
          <cell r="F222">
            <v>101160.00000000001</v>
          </cell>
        </row>
        <row r="223">
          <cell r="C223" t="str">
            <v>TGS-26-4806X4BLS-LX-ELCOMFORT SERVICE36 MONTHS/480 000 KM</v>
          </cell>
          <cell r="D223" t="str">
            <v>COMFORT SERVICE</v>
          </cell>
          <cell r="E223" t="str">
            <v>36 MONTHS/480 000 KM</v>
          </cell>
          <cell r="F223">
            <v>136326.81599999999</v>
          </cell>
        </row>
        <row r="224">
          <cell r="C224" t="str">
            <v>TGS-26-4806X4BLS-LX-ELCOMFORT SERVICE36 MONTHS/600 000 KM</v>
          </cell>
          <cell r="D224" t="str">
            <v>COMFORT SERVICE</v>
          </cell>
          <cell r="E224" t="str">
            <v>36 MONTHS/600 000 KM</v>
          </cell>
          <cell r="F224">
            <v>159183.18359999999</v>
          </cell>
        </row>
        <row r="225">
          <cell r="C225" t="str">
            <v>TGS-26-4806X4BLS-LX-ELCOMFORT SERVICE48 MONTHS/480 000 KM</v>
          </cell>
          <cell r="D225" t="str">
            <v>COMFORT SERVICE</v>
          </cell>
          <cell r="E225" t="str">
            <v>48 MONTHS/480 000 KM</v>
          </cell>
          <cell r="F225">
            <v>141504</v>
          </cell>
        </row>
        <row r="226">
          <cell r="C226" t="str">
            <v>TGS-26-4806X4BLS-LX-ELCOMFORT SERVICE48 MONTHS/600 000 KM</v>
          </cell>
          <cell r="D226" t="str">
            <v>COMFORT SERVICE</v>
          </cell>
          <cell r="E226" t="str">
            <v>48 MONTHS/600 000 KM</v>
          </cell>
          <cell r="F226">
            <v>170099.99999999997</v>
          </cell>
        </row>
        <row r="227">
          <cell r="C227" t="str">
            <v>TGS-26-4806X4BLS-LX-ELCOMFORT SERVICE48 MONTHS/720 000 KM</v>
          </cell>
          <cell r="D227" t="str">
            <v>COMFORT SERVICE</v>
          </cell>
          <cell r="E227" t="str">
            <v>48 MONTHS/720 000 KM</v>
          </cell>
          <cell r="F227">
            <v>199584</v>
          </cell>
        </row>
        <row r="228">
          <cell r="C228" t="str">
            <v>TGS-26-4806X4BLS-LX-ELCOMFORT SERVICE48 MONTHS/800 000 KM</v>
          </cell>
          <cell r="D228" t="str">
            <v>COMFORT SERVICE</v>
          </cell>
          <cell r="E228" t="str">
            <v>48 MONTHS/800 000 KM</v>
          </cell>
          <cell r="F228">
            <v>211044.22079999995</v>
          </cell>
        </row>
        <row r="229">
          <cell r="C229" t="str">
            <v>TGS-26-4806X4BLS-LX-ELCOMFORT SERVICE60 MONTHS/600 000 KM</v>
          </cell>
          <cell r="D229" t="str">
            <v>COMFORT SERVICE</v>
          </cell>
          <cell r="E229" t="str">
            <v>60 MONTHS/600 000 KM</v>
          </cell>
          <cell r="F229">
            <v>173580</v>
          </cell>
        </row>
        <row r="230">
          <cell r="C230" t="str">
            <v>TGS-26-4806X4BLS-LX-ELCOMFORT SERVICE60 MONTHS/700 000 KM</v>
          </cell>
          <cell r="D230" t="str">
            <v>COMFORT SERVICE</v>
          </cell>
          <cell r="E230" t="str">
            <v>60 MONTHS/700 000 KM</v>
          </cell>
          <cell r="F230">
            <v>196285.60799999998</v>
          </cell>
        </row>
        <row r="231">
          <cell r="C231" t="str">
            <v>TGS-26-4806X4BLS-LX-ELCOMFORT SERVICE60 MONTHS/800 000 KM</v>
          </cell>
          <cell r="D231" t="str">
            <v>COMFORT SERVICE</v>
          </cell>
          <cell r="E231" t="str">
            <v>60 MONTHS/800 000 KM</v>
          </cell>
          <cell r="F231">
            <v>220171.008</v>
          </cell>
        </row>
        <row r="232">
          <cell r="C232" t="str">
            <v>TGS-26-4806X4BLS-LX-ELCOMFORT SUPER36 MONTHS/360 000 KM</v>
          </cell>
          <cell r="D232" t="str">
            <v>COMFORT SUPER</v>
          </cell>
          <cell r="E232" t="str">
            <v>36 MONTHS/360 000 KM</v>
          </cell>
          <cell r="F232">
            <v>167328</v>
          </cell>
        </row>
        <row r="233">
          <cell r="C233" t="str">
            <v>TGS-26-4806X4BLS-LX-ELCOMFORT SUPER36 MONTHS/480 000 KM</v>
          </cell>
          <cell r="D233" t="str">
            <v>COMFORT SUPER</v>
          </cell>
          <cell r="E233" t="str">
            <v>36 MONTHS/480 000 KM</v>
          </cell>
          <cell r="F233">
            <v>230363.51760000002</v>
          </cell>
        </row>
        <row r="234">
          <cell r="C234" t="str">
            <v>TGS-26-4806X4BLS-LX-ELCOMFORT SUPER36 MONTHS/600 000 KM</v>
          </cell>
          <cell r="D234" t="str">
            <v>COMFORT SUPER</v>
          </cell>
          <cell r="E234" t="str">
            <v>36 MONTHS/600 000 KM</v>
          </cell>
          <cell r="F234">
            <v>273965.4792</v>
          </cell>
        </row>
        <row r="235">
          <cell r="C235" t="str">
            <v>TGS-26-4806X4BLS-LX-ELCOMFORT SUPER48 MONTHS/480 000 KM</v>
          </cell>
          <cell r="D235" t="str">
            <v>COMFORT SUPER</v>
          </cell>
          <cell r="E235" t="str">
            <v>48 MONTHS/480 000 KM</v>
          </cell>
          <cell r="F235">
            <v>255840</v>
          </cell>
        </row>
        <row r="236">
          <cell r="C236" t="str">
            <v>TGS-26-4806X4BLS-LX-ELCOMFORT SUPER48 MONTHS/600 000 KM</v>
          </cell>
          <cell r="D236" t="str">
            <v>COMFORT SUPER</v>
          </cell>
          <cell r="E236" t="str">
            <v>48 MONTHS/600 000 KM</v>
          </cell>
          <cell r="F236">
            <v>324720</v>
          </cell>
        </row>
        <row r="237">
          <cell r="C237" t="str">
            <v>TGS-26-4806X4BLS-LX-ELCOMFORT SUPER48 MONTHS/720 000 KM</v>
          </cell>
          <cell r="D237" t="str">
            <v>COMFORT SUPER</v>
          </cell>
          <cell r="E237" t="str">
            <v>48 MONTHS/720 000 KM</v>
          </cell>
          <cell r="F237">
            <v>387288.00000000006</v>
          </cell>
        </row>
        <row r="238">
          <cell r="C238" t="str">
            <v>TGS-26-4806X4BLS-LX-ELCOMFORT SUPER48 MONTHS/800 000 KM</v>
          </cell>
          <cell r="D238" t="str">
            <v>COMFORT SUPER</v>
          </cell>
          <cell r="E238" t="str">
            <v>48 MONTHS/800 000 KM</v>
          </cell>
          <cell r="F238">
            <v>407048.14080000005</v>
          </cell>
        </row>
        <row r="239">
          <cell r="C239" t="str">
            <v>TGS-26-4806X4BLS-LX-ELCOMFORT SUPER60 MONTHS/600 000 KM</v>
          </cell>
          <cell r="D239" t="str">
            <v>COMFORT SUPER</v>
          </cell>
          <cell r="E239" t="str">
            <v>60 MONTHS/600 000 KM</v>
          </cell>
          <cell r="F239">
            <v>349740</v>
          </cell>
        </row>
        <row r="240">
          <cell r="C240" t="str">
            <v>TGS-26-4806X4BLS-LX-ELCOMFORT SUPER60 MONTHS/700 000 KM</v>
          </cell>
          <cell r="D240" t="str">
            <v>COMFORT SUPER</v>
          </cell>
          <cell r="E240" t="str">
            <v>60 MONTHS/700 000 KM</v>
          </cell>
          <cell r="F240">
            <v>418961.97000000003</v>
          </cell>
        </row>
        <row r="241">
          <cell r="C241" t="str">
            <v>TGS-26-4806X4BLS-LX-ELCOMFORT SUPER60 MONTHS/800 000 KM</v>
          </cell>
          <cell r="D241" t="str">
            <v>COMFORT SUPER</v>
          </cell>
          <cell r="E241" t="str">
            <v>60 MONTHS/800 000 KM</v>
          </cell>
          <cell r="F241">
            <v>467543.37600000005</v>
          </cell>
        </row>
        <row r="242">
          <cell r="C242" t="str">
            <v>TGS-27-4406X4BBS-LCOMFORT CARE36 MONTHS/360 000 KM</v>
          </cell>
          <cell r="D242" t="str">
            <v>COMFORT CARE</v>
          </cell>
          <cell r="E242" t="str">
            <v>36 MONTHS/360 000 KM</v>
          </cell>
          <cell r="F242">
            <v>109188</v>
          </cell>
        </row>
        <row r="243">
          <cell r="C243" t="str">
            <v>TGS-27-4406X4BBS-LCOMFORT CARE36 MONTHS/480 000 KM</v>
          </cell>
          <cell r="D243" t="str">
            <v>COMFORT CARE</v>
          </cell>
          <cell r="E243" t="str">
            <v>36 MONTHS/480 000 KM</v>
          </cell>
          <cell r="F243">
            <v>188025.40079999997</v>
          </cell>
        </row>
        <row r="244">
          <cell r="C244" t="str">
            <v>TGS-27-4406X4BBS-LCOMFORT CARE36 MONTHS/600 000 KM</v>
          </cell>
          <cell r="D244" t="str">
            <v>COMFORT CARE</v>
          </cell>
          <cell r="E244" t="str">
            <v>36 MONTHS/600 000 KM</v>
          </cell>
          <cell r="F244">
            <v>218944.37880000001</v>
          </cell>
        </row>
        <row r="245">
          <cell r="C245" t="str">
            <v>TGS-27-4406X4BBS-LCOMFORT CARE48 MONTHS/480 000 KM</v>
          </cell>
          <cell r="D245" t="str">
            <v>COMFORT CARE</v>
          </cell>
          <cell r="E245" t="str">
            <v>48 MONTHS/480 000 KM</v>
          </cell>
          <cell r="F245">
            <v>193200.00000000003</v>
          </cell>
        </row>
        <row r="246">
          <cell r="C246" t="str">
            <v>TGS-27-4406X4BBS-LCOMFORT CARE48 MONTHS/600 000 KM</v>
          </cell>
          <cell r="D246" t="str">
            <v>COMFORT CARE</v>
          </cell>
          <cell r="E246" t="str">
            <v>48 MONTHS/600 000 KM</v>
          </cell>
          <cell r="F246">
            <v>193200.00000000003</v>
          </cell>
        </row>
        <row r="247">
          <cell r="C247" t="str">
            <v>TGS-27-4406X4BBS-LCOMFORT CARE48 MONTHS/720 000 KM</v>
          </cell>
          <cell r="D247" t="str">
            <v>COMFORT CARE</v>
          </cell>
          <cell r="E247" t="str">
            <v>48 MONTHS/720 000 KM</v>
          </cell>
          <cell r="F247">
            <v>259272</v>
          </cell>
        </row>
        <row r="248">
          <cell r="C248" t="str">
            <v>TGS-27-4406X4BBS-LCOMFORT CARE48 MONTHS/800 000 KM</v>
          </cell>
          <cell r="D248" t="str">
            <v>COMFORT CARE</v>
          </cell>
          <cell r="E248" t="str">
            <v>48 MONTHS/800 000 KM</v>
          </cell>
          <cell r="F248">
            <v>303686.0736</v>
          </cell>
        </row>
        <row r="249">
          <cell r="C249" t="str">
            <v>TGS-27-4406X4BBS-LCOMFORT CARE60 MONTHS/600 000 KM</v>
          </cell>
          <cell r="D249" t="str">
            <v>COMFORT CARE</v>
          </cell>
          <cell r="E249" t="str">
            <v>60 MONTHS/600 000 KM</v>
          </cell>
          <cell r="F249">
            <v>233280</v>
          </cell>
        </row>
        <row r="250">
          <cell r="C250" t="str">
            <v>TGS-27-4406X4BBS-LCOMFORT CARE60 MONTHS/700 000 KM</v>
          </cell>
          <cell r="D250" t="str">
            <v>COMFORT CARE</v>
          </cell>
          <cell r="E250" t="str">
            <v>60 MONTHS/700 000 KM</v>
          </cell>
          <cell r="F250">
            <v>256067.31599999999</v>
          </cell>
        </row>
        <row r="251">
          <cell r="C251" t="str">
            <v>TGS-27-4406X4BBS-LCOMFORT CARE60 MONTHS/800 000 KM</v>
          </cell>
          <cell r="D251" t="str">
            <v>COMFORT CARE</v>
          </cell>
          <cell r="E251" t="str">
            <v>60 MONTHS/800 000 KM</v>
          </cell>
          <cell r="F251">
            <v>312895.64400000003</v>
          </cell>
        </row>
        <row r="252">
          <cell r="C252" t="str">
            <v>TGS-27-4406X4BBS-LCOMFORT SERVICE36 MONTHS/360 000 KM</v>
          </cell>
          <cell r="D252" t="str">
            <v>COMFORT SERVICE</v>
          </cell>
          <cell r="E252" t="str">
            <v>36 MONTHS/360 000 KM</v>
          </cell>
          <cell r="F252">
            <v>101160.00000000001</v>
          </cell>
        </row>
        <row r="253">
          <cell r="C253" t="str">
            <v>TGS-27-4406X4BBS-LCOMFORT SERVICE36 MONTHS/480 000 KM</v>
          </cell>
          <cell r="D253" t="str">
            <v>COMFORT SERVICE</v>
          </cell>
          <cell r="E253" t="str">
            <v>36 MONTHS/480 000 KM</v>
          </cell>
          <cell r="F253">
            <v>136326.81599999999</v>
          </cell>
        </row>
        <row r="254">
          <cell r="C254" t="str">
            <v>TGS-27-4406X4BBS-LCOMFORT SERVICE36 MONTHS/600 000 KM</v>
          </cell>
          <cell r="D254" t="str">
            <v>COMFORT SERVICE</v>
          </cell>
          <cell r="E254" t="str">
            <v>36 MONTHS/600 000 KM</v>
          </cell>
          <cell r="F254">
            <v>159183.18359999999</v>
          </cell>
        </row>
        <row r="255">
          <cell r="C255" t="str">
            <v>TGS-27-4406X4BBS-LCOMFORT SERVICE48 MONTHS/480 000 KM</v>
          </cell>
          <cell r="D255" t="str">
            <v>COMFORT SERVICE</v>
          </cell>
          <cell r="E255" t="str">
            <v>48 MONTHS/480 000 KM</v>
          </cell>
          <cell r="F255">
            <v>141504</v>
          </cell>
        </row>
        <row r="256">
          <cell r="C256" t="str">
            <v>TGS-27-4406X4BBS-LCOMFORT SERVICE48 MONTHS/600 000 KM</v>
          </cell>
          <cell r="D256" t="str">
            <v>COMFORT SERVICE</v>
          </cell>
          <cell r="E256" t="str">
            <v>48 MONTHS/600 000 KM</v>
          </cell>
          <cell r="F256">
            <v>170099.99999999997</v>
          </cell>
        </row>
        <row r="257">
          <cell r="C257" t="str">
            <v>TGS-27-4406X4BBS-LCOMFORT SERVICE48 MONTHS/720 000 KM</v>
          </cell>
          <cell r="D257" t="str">
            <v>COMFORT SERVICE</v>
          </cell>
          <cell r="E257" t="str">
            <v>48 MONTHS/720 000 KM</v>
          </cell>
          <cell r="F257">
            <v>199584</v>
          </cell>
        </row>
        <row r="258">
          <cell r="C258" t="str">
            <v>TGS-27-4406X4BBS-LCOMFORT SERVICE48 MONTHS/800 000 KM</v>
          </cell>
          <cell r="D258" t="str">
            <v>COMFORT SERVICE</v>
          </cell>
          <cell r="E258" t="str">
            <v>48 MONTHS/800 000 KM</v>
          </cell>
          <cell r="F258">
            <v>211044.22079999995</v>
          </cell>
        </row>
        <row r="259">
          <cell r="C259" t="str">
            <v>TGS-27-4406X4BBS-LCOMFORT SERVICE60 MONTHS/600 000 KM</v>
          </cell>
          <cell r="D259" t="str">
            <v>COMFORT SERVICE</v>
          </cell>
          <cell r="E259" t="str">
            <v>60 MONTHS/600 000 KM</v>
          </cell>
          <cell r="F259">
            <v>173580</v>
          </cell>
        </row>
        <row r="260">
          <cell r="C260" t="str">
            <v>TGS-27-4406X4BBS-LCOMFORT SERVICE60 MONTHS/700 000 KM</v>
          </cell>
          <cell r="D260" t="str">
            <v>COMFORT SERVICE</v>
          </cell>
          <cell r="E260" t="str">
            <v>60 MONTHS/700 000 KM</v>
          </cell>
          <cell r="F260">
            <v>196285.60799999998</v>
          </cell>
        </row>
        <row r="261">
          <cell r="C261" t="str">
            <v>TGS-27-4406X4BBS-LCOMFORT SERVICE60 MONTHS/800 000 KM</v>
          </cell>
          <cell r="D261" t="str">
            <v>COMFORT SERVICE</v>
          </cell>
          <cell r="E261" t="str">
            <v>60 MONTHS/800 000 KM</v>
          </cell>
          <cell r="F261">
            <v>220171.008</v>
          </cell>
        </row>
        <row r="262">
          <cell r="C262" t="str">
            <v>TGS-27-4406X4BBS-LCOMFORT SUPER36 MONTHS/360 000 KM</v>
          </cell>
          <cell r="D262" t="str">
            <v>COMFORT SUPER</v>
          </cell>
          <cell r="E262" t="str">
            <v>36 MONTHS/360 000 KM</v>
          </cell>
          <cell r="F262">
            <v>167328</v>
          </cell>
        </row>
        <row r="263">
          <cell r="C263" t="str">
            <v>TGS-27-4406X4BBS-LCOMFORT SUPER36 MONTHS/480 000 KM</v>
          </cell>
          <cell r="D263" t="str">
            <v>COMFORT SUPER</v>
          </cell>
          <cell r="E263" t="str">
            <v>36 MONTHS/480 000 KM</v>
          </cell>
          <cell r="F263">
            <v>230363.51760000002</v>
          </cell>
        </row>
        <row r="264">
          <cell r="C264" t="str">
            <v>TGS-27-4406X4BBS-LCOMFORT SUPER36 MONTHS/600 000 KM</v>
          </cell>
          <cell r="D264" t="str">
            <v>COMFORT SUPER</v>
          </cell>
          <cell r="E264" t="str">
            <v>36 MONTHS/600 000 KM</v>
          </cell>
          <cell r="F264">
            <v>273965.4792</v>
          </cell>
        </row>
        <row r="265">
          <cell r="C265" t="str">
            <v>TGS-27-4406X4BBS-LCOMFORT SUPER48 MONTHS/480 000 KM</v>
          </cell>
          <cell r="D265" t="str">
            <v>COMFORT SUPER</v>
          </cell>
          <cell r="E265" t="str">
            <v>48 MONTHS/480 000 KM</v>
          </cell>
          <cell r="F265">
            <v>255840</v>
          </cell>
        </row>
        <row r="266">
          <cell r="C266" t="str">
            <v>TGS-27-4406X4BBS-LCOMFORT SUPER48 MONTHS/600 000 KM</v>
          </cell>
          <cell r="D266" t="str">
            <v>COMFORT SUPER</v>
          </cell>
          <cell r="E266" t="str">
            <v>48 MONTHS/600 000 KM</v>
          </cell>
          <cell r="F266">
            <v>255840</v>
          </cell>
        </row>
        <row r="267">
          <cell r="C267" t="str">
            <v>TGS-27-4406X4BBS-LCOMFORT SUPER48 MONTHS/720 000 KM</v>
          </cell>
          <cell r="D267" t="str">
            <v>COMFORT SUPER</v>
          </cell>
          <cell r="E267" t="str">
            <v>48 MONTHS/720 000 KM</v>
          </cell>
          <cell r="F267">
            <v>387288.00000000006</v>
          </cell>
        </row>
        <row r="268">
          <cell r="C268" t="str">
            <v>TGS-27-4406X4BBS-LCOMFORT SUPER48 MONTHS/800 000 KM</v>
          </cell>
          <cell r="D268" t="str">
            <v>COMFORT SUPER</v>
          </cell>
          <cell r="E268" t="str">
            <v>48 MONTHS/800 000 KM</v>
          </cell>
          <cell r="F268">
            <v>407048.14080000005</v>
          </cell>
        </row>
        <row r="269">
          <cell r="C269" t="str">
            <v>TGS-27-4406X4BBS-LCOMFORT SUPER60 MONTHS/600 000 KM</v>
          </cell>
          <cell r="D269" t="str">
            <v>COMFORT SUPER</v>
          </cell>
          <cell r="E269" t="str">
            <v>60 MONTHS/600 000 KM</v>
          </cell>
          <cell r="F269">
            <v>349740</v>
          </cell>
        </row>
        <row r="270">
          <cell r="C270" t="str">
            <v>TGS-27-4406X4BBS-LCOMFORT SUPER60 MONTHS/700 000 KM</v>
          </cell>
          <cell r="D270" t="str">
            <v>COMFORT SUPER</v>
          </cell>
          <cell r="E270" t="str">
            <v>60 MONTHS/700 000 KM</v>
          </cell>
          <cell r="F270">
            <v>418961.97000000003</v>
          </cell>
        </row>
        <row r="271">
          <cell r="C271" t="str">
            <v>TGS-27-4406X4BBS-LCOMFORT SUPER60 MONTHS/800 000 KM</v>
          </cell>
          <cell r="D271" t="str">
            <v>COMFORT SUPER</v>
          </cell>
          <cell r="E271" t="str">
            <v>60 MONTHS/800 000 KM</v>
          </cell>
          <cell r="F271">
            <v>467543.37600000005</v>
          </cell>
        </row>
        <row r="272">
          <cell r="C272" t="str">
            <v>TGS-27-4406X4BBS-L-STEELCOMFORT CARE36 MONTHS/360 000 KM</v>
          </cell>
          <cell r="D272" t="str">
            <v>COMFORT CARE</v>
          </cell>
          <cell r="E272" t="str">
            <v>36 MONTHS/360 000 KM</v>
          </cell>
          <cell r="F272">
            <v>109188</v>
          </cell>
        </row>
        <row r="273">
          <cell r="C273" t="str">
            <v>TGS-27-4406X4BBS-L-STEELCOMFORT CARE36 MONTHS/480 000 KM</v>
          </cell>
          <cell r="D273" t="str">
            <v>COMFORT CARE</v>
          </cell>
          <cell r="E273" t="str">
            <v>36 MONTHS/480 000 KM</v>
          </cell>
          <cell r="F273">
            <v>188025.40079999997</v>
          </cell>
        </row>
        <row r="274">
          <cell r="C274" t="str">
            <v>TGS-27-4406X4BBS-L-STEELCOMFORT CARE36 MONTHS/600 000 KM</v>
          </cell>
          <cell r="D274" t="str">
            <v>COMFORT CARE</v>
          </cell>
          <cell r="E274" t="str">
            <v>36 MONTHS/600 000 KM</v>
          </cell>
          <cell r="F274">
            <v>218944.37880000001</v>
          </cell>
        </row>
        <row r="275">
          <cell r="C275" t="str">
            <v>TGS-27-4406X4BBS-L-STEELCOMFORT CARE48 MONTHS/480 000 KM</v>
          </cell>
          <cell r="D275" t="str">
            <v>COMFORT CARE</v>
          </cell>
          <cell r="E275" t="str">
            <v>48 MONTHS/480 000 KM</v>
          </cell>
          <cell r="F275">
            <v>193200.00000000003</v>
          </cell>
        </row>
        <row r="276">
          <cell r="C276" t="str">
            <v>TGS-27-4406X4BBS-L-STEELCOMFORT CARE48 MONTHS/600 000 KM</v>
          </cell>
          <cell r="D276" t="str">
            <v>COMFORT CARE</v>
          </cell>
          <cell r="E276" t="str">
            <v>48 MONTHS/600 000 KM</v>
          </cell>
          <cell r="F276">
            <v>229800</v>
          </cell>
        </row>
        <row r="277">
          <cell r="C277" t="str">
            <v>TGS-27-4406X4BBS-L-STEELCOMFORT CARE48 MONTHS/720 000 KM</v>
          </cell>
          <cell r="D277" t="str">
            <v>COMFORT CARE</v>
          </cell>
          <cell r="E277" t="str">
            <v>48 MONTHS/720 000 KM</v>
          </cell>
          <cell r="F277">
            <v>259272</v>
          </cell>
        </row>
        <row r="278">
          <cell r="C278" t="str">
            <v>TGS-27-4406X4BBS-L-STEELCOMFORT CARE48 MONTHS/800 000 KM</v>
          </cell>
          <cell r="D278" t="str">
            <v>COMFORT CARE</v>
          </cell>
          <cell r="E278" t="str">
            <v>48 MONTHS/800 000 KM</v>
          </cell>
          <cell r="F278">
            <v>303686.0736</v>
          </cell>
        </row>
        <row r="279">
          <cell r="C279" t="str">
            <v>TGS-27-4406X4BBS-L-STEELCOMFORT CARE60 MONTHS/600 000 KM</v>
          </cell>
          <cell r="D279" t="str">
            <v>COMFORT CARE</v>
          </cell>
          <cell r="E279" t="str">
            <v>60 MONTHS/600 000 KM</v>
          </cell>
          <cell r="F279">
            <v>233280</v>
          </cell>
        </row>
        <row r="280">
          <cell r="C280" t="str">
            <v>TGS-27-4406X4BBS-L-STEELCOMFORT CARE60 MONTHS/700 000 KM</v>
          </cell>
          <cell r="D280" t="str">
            <v>COMFORT CARE</v>
          </cell>
          <cell r="E280" t="str">
            <v>60 MONTHS/700 000 KM</v>
          </cell>
          <cell r="F280">
            <v>256067.31599999999</v>
          </cell>
        </row>
        <row r="281">
          <cell r="C281" t="str">
            <v>TGS-27-4406X4BBS-L-STEELCOMFORT CARE60 MONTHS/800 000 KM</v>
          </cell>
          <cell r="D281" t="str">
            <v>COMFORT CARE</v>
          </cell>
          <cell r="E281" t="str">
            <v>60 MONTHS/800 000 KM</v>
          </cell>
          <cell r="F281">
            <v>312895.64400000003</v>
          </cell>
        </row>
        <row r="282">
          <cell r="C282" t="str">
            <v>TGS-27-4406X4BBS-L-STEELCOMFORT SERVICE36 MONTHS/360 000 KM</v>
          </cell>
          <cell r="D282" t="str">
            <v>COMFORT SERVICE</v>
          </cell>
          <cell r="E282" t="str">
            <v>36 MONTHS/360 000 KM</v>
          </cell>
          <cell r="F282">
            <v>101160.00000000001</v>
          </cell>
        </row>
        <row r="283">
          <cell r="C283" t="str">
            <v>TGS-27-4406X4BBS-L-STEELCOMFORT SERVICE36 MONTHS/480 000 KM</v>
          </cell>
          <cell r="D283" t="str">
            <v>COMFORT SERVICE</v>
          </cell>
          <cell r="E283" t="str">
            <v>36 MONTHS/480 000 KM</v>
          </cell>
          <cell r="F283">
            <v>136326.81599999999</v>
          </cell>
        </row>
        <row r="284">
          <cell r="C284" t="str">
            <v>TGS-27-4406X4BBS-L-STEELCOMFORT SERVICE36 MONTHS/600 000 KM</v>
          </cell>
          <cell r="D284" t="str">
            <v>COMFORT SERVICE</v>
          </cell>
          <cell r="E284" t="str">
            <v>36 MONTHS/600 000 KM</v>
          </cell>
          <cell r="F284">
            <v>159183.18359999999</v>
          </cell>
        </row>
        <row r="285">
          <cell r="C285" t="str">
            <v>TGS-27-4406X4BBS-L-STEELCOMFORT SERVICE48 MONTHS/480 000 KM</v>
          </cell>
          <cell r="D285" t="str">
            <v>COMFORT SERVICE</v>
          </cell>
          <cell r="E285" t="str">
            <v>48 MONTHS/480 000 KM</v>
          </cell>
          <cell r="F285">
            <v>141504</v>
          </cell>
        </row>
        <row r="286">
          <cell r="C286" t="str">
            <v>TGS-27-4406X4BBS-L-STEELCOMFORT SERVICE48 MONTHS/600 000 KM</v>
          </cell>
          <cell r="D286" t="str">
            <v>COMFORT SERVICE</v>
          </cell>
          <cell r="E286" t="str">
            <v>48 MONTHS/600 000 KM</v>
          </cell>
          <cell r="F286">
            <v>170099.99999999997</v>
          </cell>
        </row>
        <row r="287">
          <cell r="C287" t="str">
            <v>TGS-27-4406X4BBS-L-STEELCOMFORT SERVICE48 MONTHS/720 000 KM</v>
          </cell>
          <cell r="D287" t="str">
            <v>COMFORT SERVICE</v>
          </cell>
          <cell r="E287" t="str">
            <v>48 MONTHS/720 000 KM</v>
          </cell>
          <cell r="F287">
            <v>199584</v>
          </cell>
        </row>
        <row r="288">
          <cell r="C288" t="str">
            <v>TGS-27-4406X4BBS-L-STEELCOMFORT SERVICE48 MONTHS/800 000 KM</v>
          </cell>
          <cell r="D288" t="str">
            <v>COMFORT SERVICE</v>
          </cell>
          <cell r="E288" t="str">
            <v>48 MONTHS/800 000 KM</v>
          </cell>
          <cell r="F288">
            <v>211044.22079999995</v>
          </cell>
        </row>
        <row r="289">
          <cell r="C289" t="str">
            <v>TGS-27-4406X4BBS-L-STEELCOMFORT SERVICE60 MONTHS/600 000 KM</v>
          </cell>
          <cell r="D289" t="str">
            <v>COMFORT SERVICE</v>
          </cell>
          <cell r="E289" t="str">
            <v>60 MONTHS/600 000 KM</v>
          </cell>
          <cell r="F289">
            <v>173580</v>
          </cell>
        </row>
        <row r="290">
          <cell r="C290" t="str">
            <v>TGS-27-4406X4BBS-L-STEELCOMFORT SERVICE60 MONTHS/700 000 KM</v>
          </cell>
          <cell r="D290" t="str">
            <v>COMFORT SERVICE</v>
          </cell>
          <cell r="E290" t="str">
            <v>60 MONTHS/700 000 KM</v>
          </cell>
          <cell r="F290">
            <v>196285.60799999998</v>
          </cell>
        </row>
        <row r="291">
          <cell r="C291" t="str">
            <v>TGS-27-4406X4BBS-L-STEELCOMFORT SERVICE60 MONTHS/800 000 KM</v>
          </cell>
          <cell r="D291" t="str">
            <v>COMFORT SERVICE</v>
          </cell>
          <cell r="E291" t="str">
            <v>60 MONTHS/800 000 KM</v>
          </cell>
          <cell r="F291">
            <v>220171.008</v>
          </cell>
        </row>
        <row r="292">
          <cell r="C292" t="str">
            <v>TGS-27-4406X4BBS-L-STEELCOMFORT SUPER36 MONTHS/360 000 KM</v>
          </cell>
          <cell r="D292" t="str">
            <v>COMFORT SUPER</v>
          </cell>
          <cell r="E292" t="str">
            <v>36 MONTHS/360 000 KM</v>
          </cell>
          <cell r="F292">
            <v>173664</v>
          </cell>
        </row>
        <row r="293">
          <cell r="C293" t="str">
            <v>TGS-27-4406X4BBS-L-STEELCOMFORT SUPER36 MONTHS/480 000 KM</v>
          </cell>
          <cell r="D293" t="str">
            <v>COMFORT SUPER</v>
          </cell>
          <cell r="E293" t="str">
            <v>36 MONTHS/480 000 KM</v>
          </cell>
          <cell r="F293">
            <v>240204.00959999996</v>
          </cell>
        </row>
        <row r="294">
          <cell r="C294" t="str">
            <v>TGS-27-4406X4BBS-L-STEELCOMFORT SUPER36 MONTHS/600 000 KM</v>
          </cell>
          <cell r="D294" t="str">
            <v>COMFORT SUPER</v>
          </cell>
          <cell r="E294" t="str">
            <v>36 MONTHS/600 000 KM</v>
          </cell>
          <cell r="F294">
            <v>286805.73599999998</v>
          </cell>
        </row>
        <row r="295">
          <cell r="C295" t="str">
            <v>TGS-27-4406X4BBS-L-STEELCOMFORT SUPER48 MONTHS/480 000 KM</v>
          </cell>
          <cell r="D295" t="str">
            <v>COMFORT SUPER</v>
          </cell>
          <cell r="E295" t="str">
            <v>48 MONTHS/480 000 KM</v>
          </cell>
          <cell r="F295">
            <v>267264</v>
          </cell>
        </row>
        <row r="296">
          <cell r="C296" t="str">
            <v>TGS-27-4406X4BBS-L-STEELCOMFORT SUPER48 MONTHS/600 000 KM</v>
          </cell>
          <cell r="D296" t="str">
            <v>COMFORT SUPER</v>
          </cell>
          <cell r="E296" t="str">
            <v>48 MONTHS/600 000 KM</v>
          </cell>
          <cell r="F296">
            <v>339599.99999999994</v>
          </cell>
        </row>
        <row r="297">
          <cell r="C297" t="str">
            <v>TGS-27-4406X4BBS-L-STEELCOMFORT SUPER48 MONTHS/720 000 KM</v>
          </cell>
          <cell r="D297" t="str">
            <v>COMFORT SUPER</v>
          </cell>
          <cell r="E297" t="str">
            <v>48 MONTHS/720 000 KM</v>
          </cell>
          <cell r="F297">
            <v>405720</v>
          </cell>
        </row>
        <row r="298">
          <cell r="C298" t="str">
            <v>TGS-27-4406X4BBS-L-STEELCOMFORT SUPER48 MONTHS/800 000 KM</v>
          </cell>
          <cell r="D298" t="str">
            <v>COMFORT SUPER</v>
          </cell>
          <cell r="E298" t="str">
            <v>48 MONTHS/800 000 KM</v>
          </cell>
          <cell r="F298">
            <v>430168.6031999999</v>
          </cell>
        </row>
        <row r="299">
          <cell r="C299" t="str">
            <v>TGS-27-4406X4BBS-L-STEELCOMFORT SUPER60 MONTHS/600 000 KM</v>
          </cell>
          <cell r="D299" t="str">
            <v>COMFORT SUPER</v>
          </cell>
          <cell r="E299" t="str">
            <v>60 MONTHS/600 000 KM</v>
          </cell>
          <cell r="F299">
            <v>368160</v>
          </cell>
        </row>
        <row r="300">
          <cell r="C300" t="str">
            <v>TGS-27-4406X4BBS-L-STEELCOMFORT SUPER60 MONTHS/700 000 KM</v>
          </cell>
          <cell r="D300" t="str">
            <v>COMFORT SUPER</v>
          </cell>
          <cell r="E300" t="str">
            <v>60 MONTHS/700 000 KM</v>
          </cell>
          <cell r="F300">
            <v>448012.79999999999</v>
          </cell>
        </row>
        <row r="301">
          <cell r="C301" t="str">
            <v>TGS-27-4406X4BBS-L-STEELCOMFORT SUPER60 MONTHS/800 000 KM</v>
          </cell>
          <cell r="D301" t="str">
            <v>COMFORT SUPER</v>
          </cell>
          <cell r="E301" t="str">
            <v>60 MONTHS/800 000 KM</v>
          </cell>
          <cell r="F301">
            <v>496264.81200000003</v>
          </cell>
        </row>
        <row r="302">
          <cell r="C302" t="str">
            <v>TGS-27-4406X4BBS-LXCOMFORT CARE36 MONTHS/360 000 KM</v>
          </cell>
          <cell r="D302" t="str">
            <v>COMFORT CARE</v>
          </cell>
          <cell r="E302" t="str">
            <v>36 MONTHS/360 000 KM</v>
          </cell>
          <cell r="F302">
            <v>109188</v>
          </cell>
        </row>
        <row r="303">
          <cell r="C303" t="str">
            <v>TGS-27-4406X4BBS-LXCOMFORT CARE36 MONTHS/480 000 KM</v>
          </cell>
          <cell r="D303" t="str">
            <v>COMFORT CARE</v>
          </cell>
          <cell r="E303" t="str">
            <v>36 MONTHS/480 000 KM</v>
          </cell>
          <cell r="F303">
            <v>188025.40079999997</v>
          </cell>
        </row>
        <row r="304">
          <cell r="C304" t="str">
            <v>TGS-27-4406X4BBS-LXCOMFORT CARE36 MONTHS/600 000 KM</v>
          </cell>
          <cell r="D304" t="str">
            <v>COMFORT CARE</v>
          </cell>
          <cell r="E304" t="str">
            <v>36 MONTHS/600 000 KM</v>
          </cell>
          <cell r="F304">
            <v>218944.37880000001</v>
          </cell>
        </row>
        <row r="305">
          <cell r="C305" t="str">
            <v>TGS-27-4406X4BBS-LXCOMFORT CARE48 MONTHS/480 000 KM</v>
          </cell>
          <cell r="D305" t="str">
            <v>COMFORT CARE</v>
          </cell>
          <cell r="E305" t="str">
            <v>48 MONTHS/480 000 KM</v>
          </cell>
          <cell r="F305">
            <v>193200.00000000003</v>
          </cell>
        </row>
        <row r="306">
          <cell r="C306" t="str">
            <v>TGS-27-4406X4BBS-LXCOMFORT CARE48 MONTHS/600 000 KM</v>
          </cell>
          <cell r="D306" t="str">
            <v>COMFORT CARE</v>
          </cell>
          <cell r="E306" t="str">
            <v>48 MONTHS/600 000 KM</v>
          </cell>
          <cell r="F306">
            <v>193200.00000000003</v>
          </cell>
        </row>
        <row r="307">
          <cell r="C307" t="str">
            <v>TGS-27-4406X4BBS-LXCOMFORT CARE48 MONTHS/720 000 KM</v>
          </cell>
          <cell r="D307" t="str">
            <v>COMFORT CARE</v>
          </cell>
          <cell r="E307" t="str">
            <v>48 MONTHS/720 000 KM</v>
          </cell>
          <cell r="F307">
            <v>259272</v>
          </cell>
        </row>
        <row r="308">
          <cell r="C308" t="str">
            <v>TGS-27-4406X4BBS-LXCOMFORT CARE48 MONTHS/800 000 KM</v>
          </cell>
          <cell r="D308" t="str">
            <v>COMFORT CARE</v>
          </cell>
          <cell r="E308" t="str">
            <v>48 MONTHS/800 000 KM</v>
          </cell>
          <cell r="F308">
            <v>303686.0736</v>
          </cell>
        </row>
        <row r="309">
          <cell r="C309" t="str">
            <v>TGS-27-4406X4BBS-LXCOMFORT CARE60 MONTHS/600 000 KM</v>
          </cell>
          <cell r="D309" t="str">
            <v>COMFORT CARE</v>
          </cell>
          <cell r="E309" t="str">
            <v>60 MONTHS/600 000 KM</v>
          </cell>
          <cell r="F309">
            <v>233280</v>
          </cell>
        </row>
        <row r="310">
          <cell r="C310" t="str">
            <v>TGS-27-4406X4BBS-LXCOMFORT CARE60 MONTHS/700 000 KM</v>
          </cell>
          <cell r="D310" t="str">
            <v>COMFORT CARE</v>
          </cell>
          <cell r="E310" t="str">
            <v>60 MONTHS/700 000 KM</v>
          </cell>
          <cell r="F310">
            <v>256067.31599999999</v>
          </cell>
        </row>
        <row r="311">
          <cell r="C311" t="str">
            <v>TGS-27-4406X4BBS-LXCOMFORT CARE60 MONTHS/800 000 KM</v>
          </cell>
          <cell r="D311" t="str">
            <v>COMFORT CARE</v>
          </cell>
          <cell r="E311" t="str">
            <v>60 MONTHS/800 000 KM</v>
          </cell>
          <cell r="F311">
            <v>312895.64400000003</v>
          </cell>
        </row>
        <row r="312">
          <cell r="C312" t="str">
            <v>TGS-27-4406X4BBS-LXCOMFORT SERVICE36 MONTHS/360 000 KM</v>
          </cell>
          <cell r="D312" t="str">
            <v>COMFORT SERVICE</v>
          </cell>
          <cell r="E312" t="str">
            <v>36 MONTHS/360 000 KM</v>
          </cell>
          <cell r="F312">
            <v>101160.00000000001</v>
          </cell>
        </row>
        <row r="313">
          <cell r="C313" t="str">
            <v>TGS-27-4406X4BBS-LXCOMFORT SERVICE36 MONTHS/480 000 KM</v>
          </cell>
          <cell r="D313" t="str">
            <v>COMFORT SERVICE</v>
          </cell>
          <cell r="E313" t="str">
            <v>36 MONTHS/480 000 KM</v>
          </cell>
          <cell r="F313">
            <v>136326.81599999999</v>
          </cell>
        </row>
        <row r="314">
          <cell r="C314" t="str">
            <v>TGS-27-4406X4BBS-LXCOMFORT SERVICE36 MONTHS/600 000 KM</v>
          </cell>
          <cell r="D314" t="str">
            <v>COMFORT SERVICE</v>
          </cell>
          <cell r="E314" t="str">
            <v>36 MONTHS/600 000 KM</v>
          </cell>
          <cell r="F314">
            <v>159183.18359999999</v>
          </cell>
        </row>
        <row r="315">
          <cell r="C315" t="str">
            <v>TGS-27-4406X4BBS-LXCOMFORT SERVICE48 MONTHS/480 000 KM</v>
          </cell>
          <cell r="D315" t="str">
            <v>COMFORT SERVICE</v>
          </cell>
          <cell r="E315" t="str">
            <v>48 MONTHS/480 000 KM</v>
          </cell>
          <cell r="F315">
            <v>141504</v>
          </cell>
        </row>
        <row r="316">
          <cell r="C316" t="str">
            <v>TGS-27-4406X4BBS-LXCOMFORT SERVICE48 MONTHS/600 000 KM</v>
          </cell>
          <cell r="D316" t="str">
            <v>COMFORT SERVICE</v>
          </cell>
          <cell r="E316" t="str">
            <v>48 MONTHS/600 000 KM</v>
          </cell>
          <cell r="F316">
            <v>170099.99999999997</v>
          </cell>
        </row>
        <row r="317">
          <cell r="C317" t="str">
            <v>TGS-27-4406X4BBS-LXCOMFORT SERVICE48 MONTHS/720 000 KM</v>
          </cell>
          <cell r="D317" t="str">
            <v>COMFORT SERVICE</v>
          </cell>
          <cell r="E317" t="str">
            <v>48 MONTHS/720 000 KM</v>
          </cell>
          <cell r="F317">
            <v>199584</v>
          </cell>
        </row>
        <row r="318">
          <cell r="C318" t="str">
            <v>TGS-27-4406X4BBS-LXCOMFORT SERVICE48 MONTHS/800 000 KM</v>
          </cell>
          <cell r="D318" t="str">
            <v>COMFORT SERVICE</v>
          </cell>
          <cell r="E318" t="str">
            <v>48 MONTHS/800 000 KM</v>
          </cell>
          <cell r="F318">
            <v>211044.22079999995</v>
          </cell>
        </row>
        <row r="319">
          <cell r="C319" t="str">
            <v>TGS-27-4406X4BBS-LXCOMFORT SERVICE60 MONTHS/600 000 KM</v>
          </cell>
          <cell r="D319" t="str">
            <v>COMFORT SERVICE</v>
          </cell>
          <cell r="E319" t="str">
            <v>60 MONTHS/600 000 KM</v>
          </cell>
          <cell r="F319">
            <v>173580</v>
          </cell>
        </row>
        <row r="320">
          <cell r="C320" t="str">
            <v>TGS-27-4406X4BBS-LXCOMFORT SERVICE60 MONTHS/700 000 KM</v>
          </cell>
          <cell r="D320" t="str">
            <v>COMFORT SERVICE</v>
          </cell>
          <cell r="E320" t="str">
            <v>60 MONTHS/700 000 KM</v>
          </cell>
          <cell r="F320">
            <v>196285.60799999998</v>
          </cell>
        </row>
        <row r="321">
          <cell r="C321" t="str">
            <v>TGS-27-4406X4BBS-LXCOMFORT SERVICE60 MONTHS/800 000 KM</v>
          </cell>
          <cell r="D321" t="str">
            <v>COMFORT SERVICE</v>
          </cell>
          <cell r="E321" t="str">
            <v>60 MONTHS/800 000 KM</v>
          </cell>
          <cell r="F321">
            <v>220171.008</v>
          </cell>
        </row>
        <row r="322">
          <cell r="C322" t="str">
            <v>TGS-27-4406X4BBS-LXCOMFORT SUPER36 MONTHS/360 000 KM</v>
          </cell>
          <cell r="D322" t="str">
            <v>COMFORT SUPER</v>
          </cell>
          <cell r="E322" t="str">
            <v>36 MONTHS/360 000 KM</v>
          </cell>
          <cell r="F322">
            <v>167328</v>
          </cell>
        </row>
        <row r="323">
          <cell r="C323" t="str">
            <v>TGS-27-4406X4BBS-LXCOMFORT SUPER36 MONTHS/480 000 KM</v>
          </cell>
          <cell r="D323" t="str">
            <v>COMFORT SUPER</v>
          </cell>
          <cell r="E323" t="str">
            <v>36 MONTHS/480 000 KM</v>
          </cell>
          <cell r="F323">
            <v>230363.51760000002</v>
          </cell>
        </row>
        <row r="324">
          <cell r="C324" t="str">
            <v>TGS-27-4406X4BBS-LXCOMFORT SUPER36 MONTHS/600 000 KM</v>
          </cell>
          <cell r="D324" t="str">
            <v>COMFORT SUPER</v>
          </cell>
          <cell r="E324" t="str">
            <v>36 MONTHS/600 000 KM</v>
          </cell>
          <cell r="F324">
            <v>273965.4792</v>
          </cell>
        </row>
        <row r="325">
          <cell r="C325" t="str">
            <v>TGS-27-4406X4BBS-LXCOMFORT SUPER48 MONTHS/480 000 KM</v>
          </cell>
          <cell r="D325" t="str">
            <v>COMFORT SUPER</v>
          </cell>
          <cell r="E325" t="str">
            <v>48 MONTHS/480 000 KM</v>
          </cell>
          <cell r="F325">
            <v>255840</v>
          </cell>
        </row>
        <row r="326">
          <cell r="C326" t="str">
            <v>TGS-27-4406X4BBS-LXCOMFORT SUPER48 MONTHS/600 000 KM</v>
          </cell>
          <cell r="D326" t="str">
            <v>COMFORT SUPER</v>
          </cell>
          <cell r="E326" t="str">
            <v>48 MONTHS/600 000 KM</v>
          </cell>
          <cell r="F326">
            <v>255840</v>
          </cell>
        </row>
        <row r="327">
          <cell r="C327" t="str">
            <v>TGS-27-4406X4BBS-LXCOMFORT SUPER48 MONTHS/720 000 KM</v>
          </cell>
          <cell r="D327" t="str">
            <v>COMFORT SUPER</v>
          </cell>
          <cell r="E327" t="str">
            <v>48 MONTHS/720 000 KM</v>
          </cell>
          <cell r="F327">
            <v>387288.00000000006</v>
          </cell>
        </row>
        <row r="328">
          <cell r="C328" t="str">
            <v>TGS-27-4406X4BBS-LXCOMFORT SUPER48 MONTHS/800 000 KM</v>
          </cell>
          <cell r="D328" t="str">
            <v>COMFORT SUPER</v>
          </cell>
          <cell r="E328" t="str">
            <v>48 MONTHS/800 000 KM</v>
          </cell>
          <cell r="F328">
            <v>407048.14080000005</v>
          </cell>
        </row>
        <row r="329">
          <cell r="C329" t="str">
            <v>TGS-27-4406X4BBS-LXCOMFORT SUPER60 MONTHS/600 000 KM</v>
          </cell>
          <cell r="D329" t="str">
            <v>COMFORT SUPER</v>
          </cell>
          <cell r="E329" t="str">
            <v>60 MONTHS/600 000 KM</v>
          </cell>
          <cell r="F329">
            <v>349740</v>
          </cell>
        </row>
        <row r="330">
          <cell r="C330" t="str">
            <v>TGS-27-4406X4BBS-LXCOMFORT SUPER60 MONTHS/700 000 KM</v>
          </cell>
          <cell r="D330" t="str">
            <v>COMFORT SUPER</v>
          </cell>
          <cell r="E330" t="str">
            <v>60 MONTHS/700 000 KM</v>
          </cell>
          <cell r="F330">
            <v>418961.97000000003</v>
          </cell>
        </row>
        <row r="331">
          <cell r="C331" t="str">
            <v>TGS-27-4406X4BBS-LXCOMFORT SUPER60 MONTHS/800 000 KM</v>
          </cell>
          <cell r="D331" t="str">
            <v>COMFORT SUPER</v>
          </cell>
          <cell r="E331" t="str">
            <v>60 MONTHS/800 000 KM</v>
          </cell>
          <cell r="F331">
            <v>467543.37600000005</v>
          </cell>
        </row>
        <row r="332">
          <cell r="C332" t="str">
            <v>TGS-27-4806X4BBS-LCOMFORT CARE36 MONTHS/360 000 KM</v>
          </cell>
          <cell r="D332" t="str">
            <v>COMFORT CARE</v>
          </cell>
          <cell r="E332" t="str">
            <v>36 MONTHS/360 000 KM</v>
          </cell>
          <cell r="F332">
            <v>109188</v>
          </cell>
        </row>
        <row r="333">
          <cell r="C333" t="str">
            <v>TGS-27-4806X4BBS-LCOMFORT CARE36 MONTHS/480 000 KM</v>
          </cell>
          <cell r="D333" t="str">
            <v>COMFORT CARE</v>
          </cell>
          <cell r="E333" t="str">
            <v>36 MONTHS/480 000 KM</v>
          </cell>
          <cell r="F333">
            <v>188025.40079999997</v>
          </cell>
        </row>
        <row r="334">
          <cell r="C334" t="str">
            <v>TGS-27-4806X4BBS-LCOMFORT CARE36 MONTHS/600 000 KM</v>
          </cell>
          <cell r="D334" t="str">
            <v>COMFORT CARE</v>
          </cell>
          <cell r="E334" t="str">
            <v>36 MONTHS/600 000 KM</v>
          </cell>
          <cell r="F334">
            <v>218944.37880000001</v>
          </cell>
        </row>
        <row r="335">
          <cell r="C335" t="str">
            <v>TGS-27-4806X4BBS-LCOMFORT CARE48 MONTHS/480 000 KM</v>
          </cell>
          <cell r="D335" t="str">
            <v>COMFORT CARE</v>
          </cell>
          <cell r="E335" t="str">
            <v>48 MONTHS/480 000 KM</v>
          </cell>
          <cell r="F335">
            <v>193200.00000000003</v>
          </cell>
        </row>
        <row r="336">
          <cell r="C336" t="str">
            <v>TGS-27-4806X4BBS-LCOMFORT CARE48 MONTHS/600 000 KM</v>
          </cell>
          <cell r="D336" t="str">
            <v>COMFORT CARE</v>
          </cell>
          <cell r="E336" t="str">
            <v>48 MONTHS/600 000 KM</v>
          </cell>
          <cell r="F336">
            <v>193200.00000000003</v>
          </cell>
        </row>
        <row r="337">
          <cell r="C337" t="str">
            <v>TGS-27-4806X4BBS-LCOMFORT CARE48 MONTHS/720 000 KM</v>
          </cell>
          <cell r="D337" t="str">
            <v>COMFORT CARE</v>
          </cell>
          <cell r="E337" t="str">
            <v>48 MONTHS/720 000 KM</v>
          </cell>
          <cell r="F337">
            <v>259272</v>
          </cell>
        </row>
        <row r="338">
          <cell r="C338" t="str">
            <v>TGS-27-4806X4BBS-LCOMFORT CARE48 MONTHS/800 000 KM</v>
          </cell>
          <cell r="D338" t="str">
            <v>COMFORT CARE</v>
          </cell>
          <cell r="E338" t="str">
            <v>48 MONTHS/800 000 KM</v>
          </cell>
          <cell r="F338">
            <v>303686.0736</v>
          </cell>
        </row>
        <row r="339">
          <cell r="C339" t="str">
            <v>TGS-27-4806X4BBS-LCOMFORT CARE60 MONTHS/600 000 KM</v>
          </cell>
          <cell r="D339" t="str">
            <v>COMFORT CARE</v>
          </cell>
          <cell r="E339" t="str">
            <v>60 MONTHS/600 000 KM</v>
          </cell>
          <cell r="F339">
            <v>233280</v>
          </cell>
        </row>
        <row r="340">
          <cell r="C340" t="str">
            <v>TGS-27-4806X4BBS-LCOMFORT CARE60 MONTHS/700 000 KM</v>
          </cell>
          <cell r="D340" t="str">
            <v>COMFORT CARE</v>
          </cell>
          <cell r="E340" t="str">
            <v>60 MONTHS/700 000 KM</v>
          </cell>
          <cell r="F340">
            <v>256067.31599999999</v>
          </cell>
        </row>
        <row r="341">
          <cell r="C341" t="str">
            <v>TGS-27-4806X4BBS-LCOMFORT CARE60 MONTHS/800 000 KM</v>
          </cell>
          <cell r="D341" t="str">
            <v>COMFORT CARE</v>
          </cell>
          <cell r="E341" t="str">
            <v>60 MONTHS/800 000 KM</v>
          </cell>
          <cell r="F341">
            <v>312895.64400000003</v>
          </cell>
        </row>
        <row r="342">
          <cell r="C342" t="str">
            <v>TGS-27-4806X4BBS-LCOMFORT SERVICE36 MONTHS/360 000 KM</v>
          </cell>
          <cell r="D342" t="str">
            <v>COMFORT SERVICE</v>
          </cell>
          <cell r="E342" t="str">
            <v>36 MONTHS/360 000 KM</v>
          </cell>
          <cell r="F342">
            <v>101160.00000000001</v>
          </cell>
        </row>
        <row r="343">
          <cell r="C343" t="str">
            <v>TGS-27-4806X4BBS-LCOMFORT SERVICE36 MONTHS/480 000 KM</v>
          </cell>
          <cell r="D343" t="str">
            <v>COMFORT SERVICE</v>
          </cell>
          <cell r="E343" t="str">
            <v>36 MONTHS/480 000 KM</v>
          </cell>
          <cell r="F343">
            <v>136326.81599999999</v>
          </cell>
        </row>
        <row r="344">
          <cell r="C344" t="str">
            <v>TGS-27-4806X4BBS-LCOMFORT SERVICE36 MONTHS/600 000 KM</v>
          </cell>
          <cell r="D344" t="str">
            <v>COMFORT SERVICE</v>
          </cell>
          <cell r="E344" t="str">
            <v>36 MONTHS/600 000 KM</v>
          </cell>
          <cell r="F344">
            <v>159183.18359999999</v>
          </cell>
        </row>
        <row r="345">
          <cell r="C345" t="str">
            <v>TGS-27-4806X4BBS-LCOMFORT SERVICE48 MONTHS/480 000 KM</v>
          </cell>
          <cell r="D345" t="str">
            <v>COMFORT SERVICE</v>
          </cell>
          <cell r="E345" t="str">
            <v>48 MONTHS/480 000 KM</v>
          </cell>
          <cell r="F345">
            <v>141504</v>
          </cell>
        </row>
        <row r="346">
          <cell r="C346" t="str">
            <v>TGS-27-4806X4BBS-LCOMFORT SERVICE48 MONTHS/600 000 KM</v>
          </cell>
          <cell r="D346" t="str">
            <v>COMFORT SERVICE</v>
          </cell>
          <cell r="E346" t="str">
            <v>48 MONTHS/600 000 KM</v>
          </cell>
          <cell r="F346">
            <v>170099.99999999997</v>
          </cell>
        </row>
        <row r="347">
          <cell r="C347" t="str">
            <v>TGS-27-4806X4BBS-LCOMFORT SERVICE48 MONTHS/720 000 KM</v>
          </cell>
          <cell r="D347" t="str">
            <v>COMFORT SERVICE</v>
          </cell>
          <cell r="E347" t="str">
            <v>48 MONTHS/720 000 KM</v>
          </cell>
          <cell r="F347">
            <v>199584</v>
          </cell>
        </row>
        <row r="348">
          <cell r="C348" t="str">
            <v>TGS-27-4806X4BBS-LCOMFORT SERVICE48 MONTHS/800 000 KM</v>
          </cell>
          <cell r="D348" t="str">
            <v>COMFORT SERVICE</v>
          </cell>
          <cell r="E348" t="str">
            <v>48 MONTHS/800 000 KM</v>
          </cell>
          <cell r="F348">
            <v>211044.22079999995</v>
          </cell>
        </row>
        <row r="349">
          <cell r="C349" t="str">
            <v>TGS-27-4806X4BBS-LCOMFORT SERVICE60 MONTHS/600 000 KM</v>
          </cell>
          <cell r="D349" t="str">
            <v>COMFORT SERVICE</v>
          </cell>
          <cell r="E349" t="str">
            <v>60 MONTHS/600 000 KM</v>
          </cell>
          <cell r="F349">
            <v>173580</v>
          </cell>
        </row>
        <row r="350">
          <cell r="C350" t="str">
            <v>TGS-27-4806X4BBS-LCOMFORT SERVICE60 MONTHS/700 000 KM</v>
          </cell>
          <cell r="D350" t="str">
            <v>COMFORT SERVICE</v>
          </cell>
          <cell r="E350" t="str">
            <v>60 MONTHS/700 000 KM</v>
          </cell>
          <cell r="F350">
            <v>196285.60799999998</v>
          </cell>
        </row>
        <row r="351">
          <cell r="C351" t="str">
            <v>TGS-27-4806X4BBS-LCOMFORT SERVICE60 MONTHS/800 000 KM</v>
          </cell>
          <cell r="D351" t="str">
            <v>COMFORT SERVICE</v>
          </cell>
          <cell r="E351" t="str">
            <v>60 MONTHS/800 000 KM</v>
          </cell>
          <cell r="F351">
            <v>220171.008</v>
          </cell>
        </row>
        <row r="352">
          <cell r="C352" t="str">
            <v>TGS-27-4806X4BBS-LCOMFORT SUPER36 MONTHS/360 000 KM</v>
          </cell>
          <cell r="D352" t="str">
            <v>COMFORT SUPER</v>
          </cell>
          <cell r="E352" t="str">
            <v>36 MONTHS/360 000 KM</v>
          </cell>
          <cell r="F352">
            <v>167328</v>
          </cell>
        </row>
        <row r="353">
          <cell r="C353" t="str">
            <v>TGS-27-4806X4BBS-LCOMFORT SUPER36 MONTHS/480 000 KM</v>
          </cell>
          <cell r="D353" t="str">
            <v>COMFORT SUPER</v>
          </cell>
          <cell r="E353" t="str">
            <v>36 MONTHS/480 000 KM</v>
          </cell>
          <cell r="F353">
            <v>230363.51760000002</v>
          </cell>
        </row>
        <row r="354">
          <cell r="C354" t="str">
            <v>TGS-27-4806X4BBS-LCOMFORT SUPER36 MONTHS/600 000 KM</v>
          </cell>
          <cell r="D354" t="str">
            <v>COMFORT SUPER</v>
          </cell>
          <cell r="E354" t="str">
            <v>36 MONTHS/600 000 KM</v>
          </cell>
          <cell r="F354">
            <v>273965.4792</v>
          </cell>
        </row>
        <row r="355">
          <cell r="C355" t="str">
            <v>TGS-27-4806X4BBS-LCOMFORT SUPER48 MONTHS/480 000 KM</v>
          </cell>
          <cell r="D355" t="str">
            <v>COMFORT SUPER</v>
          </cell>
          <cell r="E355" t="str">
            <v>48 MONTHS/480 000 KM</v>
          </cell>
          <cell r="F355">
            <v>255840</v>
          </cell>
        </row>
        <row r="356">
          <cell r="C356" t="str">
            <v>TGS-27-4806X4BBS-LCOMFORT SUPER48 MONTHS/600 000 KM</v>
          </cell>
          <cell r="D356" t="str">
            <v>COMFORT SUPER</v>
          </cell>
          <cell r="E356" t="str">
            <v>48 MONTHS/600 000 KM</v>
          </cell>
          <cell r="F356">
            <v>255840</v>
          </cell>
        </row>
        <row r="357">
          <cell r="C357" t="str">
            <v>TGS-27-4806X4BBS-LCOMFORT SUPER48 MONTHS/720 000 KM</v>
          </cell>
          <cell r="D357" t="str">
            <v>COMFORT SUPER</v>
          </cell>
          <cell r="E357" t="str">
            <v>48 MONTHS/720 000 KM</v>
          </cell>
          <cell r="F357">
            <v>387288.00000000006</v>
          </cell>
        </row>
        <row r="358">
          <cell r="C358" t="str">
            <v>TGS-27-4806X4BBS-LCOMFORT SUPER48 MONTHS/800 000 KM</v>
          </cell>
          <cell r="D358" t="str">
            <v>COMFORT SUPER</v>
          </cell>
          <cell r="E358" t="str">
            <v>48 MONTHS/800 000 KM</v>
          </cell>
          <cell r="F358">
            <v>407048.14080000005</v>
          </cell>
        </row>
        <row r="359">
          <cell r="C359" t="str">
            <v>TGS-27-4806X4BBS-LCOMFORT SUPER60 MONTHS/600 000 KM</v>
          </cell>
          <cell r="D359" t="str">
            <v>COMFORT SUPER</v>
          </cell>
          <cell r="E359" t="str">
            <v>60 MONTHS/600 000 KM</v>
          </cell>
          <cell r="F359">
            <v>349740</v>
          </cell>
        </row>
        <row r="360">
          <cell r="C360" t="str">
            <v>TGS-27-4806X4BBS-LCOMFORT SUPER60 MONTHS/700 000 KM</v>
          </cell>
          <cell r="D360" t="str">
            <v>COMFORT SUPER</v>
          </cell>
          <cell r="E360" t="str">
            <v>60 MONTHS/700 000 KM</v>
          </cell>
          <cell r="F360">
            <v>418961.97000000003</v>
          </cell>
        </row>
        <row r="361">
          <cell r="C361" t="str">
            <v>TGS-27-4806X4BBS-LCOMFORT SUPER60 MONTHS/800 000 KM</v>
          </cell>
          <cell r="D361" t="str">
            <v>COMFORT SUPER</v>
          </cell>
          <cell r="E361" t="str">
            <v>60 MONTHS/800 000 KM</v>
          </cell>
          <cell r="F361">
            <v>467543.37600000005</v>
          </cell>
        </row>
        <row r="362">
          <cell r="C362" t="str">
            <v>TGS-27-4806X4BBS-L-STEELCOMFORT CARE36 MONTHS/360 000 KM</v>
          </cell>
          <cell r="D362" t="str">
            <v>COMFORT CARE</v>
          </cell>
          <cell r="E362" t="str">
            <v>36 MONTHS/360 000 KM</v>
          </cell>
          <cell r="F362">
            <v>109188</v>
          </cell>
        </row>
        <row r="363">
          <cell r="C363" t="str">
            <v>TGS-27-4806X4BBS-L-STEELCOMFORT CARE36 MONTHS/480 000 KM</v>
          </cell>
          <cell r="D363" t="str">
            <v>COMFORT CARE</v>
          </cell>
          <cell r="E363" t="str">
            <v>36 MONTHS/480 000 KM</v>
          </cell>
          <cell r="F363">
            <v>188025.40079999997</v>
          </cell>
        </row>
        <row r="364">
          <cell r="C364" t="str">
            <v>TGS-27-4806X4BBS-L-STEELCOMFORT CARE36 MONTHS/600 000 KM</v>
          </cell>
          <cell r="D364" t="str">
            <v>COMFORT CARE</v>
          </cell>
          <cell r="E364" t="str">
            <v>36 MONTHS/600 000 KM</v>
          </cell>
          <cell r="F364">
            <v>218944.37880000001</v>
          </cell>
        </row>
        <row r="365">
          <cell r="C365" t="str">
            <v>TGS-27-4806X4BBS-L-STEELCOMFORT CARE48 MONTHS/480 000 KM</v>
          </cell>
          <cell r="D365" t="str">
            <v>COMFORT CARE</v>
          </cell>
          <cell r="E365" t="str">
            <v>48 MONTHS/480 000 KM</v>
          </cell>
          <cell r="F365">
            <v>193200.00000000003</v>
          </cell>
        </row>
        <row r="366">
          <cell r="C366" t="str">
            <v>TGS-27-4806X4BBS-L-STEELCOMFORT CARE48 MONTHS/600 000 KM</v>
          </cell>
          <cell r="D366" t="str">
            <v>COMFORT CARE</v>
          </cell>
          <cell r="E366" t="str">
            <v>48 MONTHS/600 000 KM</v>
          </cell>
          <cell r="F366">
            <v>229800</v>
          </cell>
        </row>
        <row r="367">
          <cell r="C367" t="str">
            <v>TGS-27-4806X4BBS-L-STEELCOMFORT CARE48 MONTHS/720 000 KM</v>
          </cell>
          <cell r="D367" t="str">
            <v>COMFORT CARE</v>
          </cell>
          <cell r="E367" t="str">
            <v>48 MONTHS/720 000 KM</v>
          </cell>
          <cell r="F367">
            <v>259272</v>
          </cell>
        </row>
        <row r="368">
          <cell r="C368" t="str">
            <v>TGS-27-4806X4BBS-L-STEELCOMFORT CARE48 MONTHS/800 000 KM</v>
          </cell>
          <cell r="D368" t="str">
            <v>COMFORT CARE</v>
          </cell>
          <cell r="E368" t="str">
            <v>48 MONTHS/800 000 KM</v>
          </cell>
          <cell r="F368">
            <v>303686.0736</v>
          </cell>
        </row>
        <row r="369">
          <cell r="C369" t="str">
            <v>TGS-27-4806X4BBS-L-STEELCOMFORT CARE60 MONTHS/600 000 KM</v>
          </cell>
          <cell r="D369" t="str">
            <v>COMFORT CARE</v>
          </cell>
          <cell r="E369" t="str">
            <v>60 MONTHS/600 000 KM</v>
          </cell>
          <cell r="F369">
            <v>233280</v>
          </cell>
        </row>
        <row r="370">
          <cell r="C370" t="str">
            <v>TGS-27-4806X4BBS-L-STEELCOMFORT CARE60 MONTHS/700 000 KM</v>
          </cell>
          <cell r="D370" t="str">
            <v>COMFORT CARE</v>
          </cell>
          <cell r="E370" t="str">
            <v>60 MONTHS/700 000 KM</v>
          </cell>
          <cell r="F370">
            <v>256067.31599999999</v>
          </cell>
        </row>
        <row r="371">
          <cell r="C371" t="str">
            <v>TGS-27-4806X4BBS-L-STEELCOMFORT CARE60 MONTHS/800 000 KM</v>
          </cell>
          <cell r="D371" t="str">
            <v>COMFORT CARE</v>
          </cell>
          <cell r="E371" t="str">
            <v>60 MONTHS/800 000 KM</v>
          </cell>
          <cell r="F371">
            <v>312895.64400000003</v>
          </cell>
        </row>
        <row r="372">
          <cell r="C372" t="str">
            <v>TGS-27-4806X4BBS-L-STEELCOMFORT SERVICE36 MONTHS/360 000 KM</v>
          </cell>
          <cell r="D372" t="str">
            <v>COMFORT SERVICE</v>
          </cell>
          <cell r="E372" t="str">
            <v>36 MONTHS/360 000 KM</v>
          </cell>
          <cell r="F372">
            <v>101160.00000000001</v>
          </cell>
        </row>
        <row r="373">
          <cell r="C373" t="str">
            <v>TGS-27-4806X4BBS-L-STEELCOMFORT SERVICE36 MONTHS/480 000 KM</v>
          </cell>
          <cell r="D373" t="str">
            <v>COMFORT SERVICE</v>
          </cell>
          <cell r="E373" t="str">
            <v>36 MONTHS/480 000 KM</v>
          </cell>
          <cell r="F373">
            <v>136326.81599999999</v>
          </cell>
        </row>
        <row r="374">
          <cell r="C374" t="str">
            <v>TGS-27-4806X4BBS-L-STEELCOMFORT SERVICE36 MONTHS/600 000 KM</v>
          </cell>
          <cell r="D374" t="str">
            <v>COMFORT SERVICE</v>
          </cell>
          <cell r="E374" t="str">
            <v>36 MONTHS/600 000 KM</v>
          </cell>
          <cell r="F374">
            <v>159183.18359999999</v>
          </cell>
        </row>
        <row r="375">
          <cell r="C375" t="str">
            <v>TGS-27-4806X4BBS-L-STEELCOMFORT SERVICE48 MONTHS/480 000 KM</v>
          </cell>
          <cell r="D375" t="str">
            <v>COMFORT SERVICE</v>
          </cell>
          <cell r="E375" t="str">
            <v>48 MONTHS/480 000 KM</v>
          </cell>
          <cell r="F375">
            <v>141504</v>
          </cell>
        </row>
        <row r="376">
          <cell r="C376" t="str">
            <v>TGS-27-4806X4BBS-L-STEELCOMFORT SERVICE48 MONTHS/600 000 KM</v>
          </cell>
          <cell r="D376" t="str">
            <v>COMFORT SERVICE</v>
          </cell>
          <cell r="E376" t="str">
            <v>48 MONTHS/600 000 KM</v>
          </cell>
          <cell r="F376">
            <v>170099.99999999997</v>
          </cell>
        </row>
        <row r="377">
          <cell r="C377" t="str">
            <v>TGS-27-4806X4BBS-L-STEELCOMFORT SERVICE48 MONTHS/720 000 KM</v>
          </cell>
          <cell r="D377" t="str">
            <v>COMFORT SERVICE</v>
          </cell>
          <cell r="E377" t="str">
            <v>48 MONTHS/720 000 KM</v>
          </cell>
          <cell r="F377">
            <v>199584</v>
          </cell>
        </row>
        <row r="378">
          <cell r="C378" t="str">
            <v>TGS-27-4806X4BBS-L-STEELCOMFORT SERVICE48 MONTHS/800 000 KM</v>
          </cell>
          <cell r="D378" t="str">
            <v>COMFORT SERVICE</v>
          </cell>
          <cell r="E378" t="str">
            <v>48 MONTHS/800 000 KM</v>
          </cell>
          <cell r="F378">
            <v>211044.22079999995</v>
          </cell>
        </row>
        <row r="379">
          <cell r="C379" t="str">
            <v>TGS-27-4806X4BBS-L-STEELCOMFORT SERVICE60 MONTHS/600 000 KM</v>
          </cell>
          <cell r="D379" t="str">
            <v>COMFORT SERVICE</v>
          </cell>
          <cell r="E379" t="str">
            <v>60 MONTHS/600 000 KM</v>
          </cell>
          <cell r="F379">
            <v>173580</v>
          </cell>
        </row>
        <row r="380">
          <cell r="C380" t="str">
            <v>TGS-27-4806X4BBS-L-STEELCOMFORT SERVICE60 MONTHS/700 000 KM</v>
          </cell>
          <cell r="D380" t="str">
            <v>COMFORT SERVICE</v>
          </cell>
          <cell r="E380" t="str">
            <v>60 MONTHS/700 000 KM</v>
          </cell>
          <cell r="F380">
            <v>196285.60799999998</v>
          </cell>
        </row>
        <row r="381">
          <cell r="C381" t="str">
            <v>TGS-27-4806X4BBS-L-STEELCOMFORT SERVICE60 MONTHS/800 000 KM</v>
          </cell>
          <cell r="D381" t="str">
            <v>COMFORT SERVICE</v>
          </cell>
          <cell r="E381" t="str">
            <v>60 MONTHS/800 000 KM</v>
          </cell>
          <cell r="F381">
            <v>220171.008</v>
          </cell>
        </row>
        <row r="382">
          <cell r="C382" t="str">
            <v>TGS-27-4806X4BBS-L-STEELCOMFORT SUPER36 MONTHS/360 000 KM</v>
          </cell>
          <cell r="D382" t="str">
            <v>COMFORT SUPER</v>
          </cell>
          <cell r="E382" t="str">
            <v>36 MONTHS/360 000 KM</v>
          </cell>
          <cell r="F382">
            <v>173664</v>
          </cell>
        </row>
        <row r="383">
          <cell r="C383" t="str">
            <v>TGS-27-4806X4BBS-L-STEELCOMFORT SUPER36 MONTHS/480 000 KM</v>
          </cell>
          <cell r="D383" t="str">
            <v>COMFORT SUPER</v>
          </cell>
          <cell r="E383" t="str">
            <v>36 MONTHS/480 000 KM</v>
          </cell>
          <cell r="F383">
            <v>240204.00959999996</v>
          </cell>
        </row>
        <row r="384">
          <cell r="C384" t="str">
            <v>TGS-27-4806X4BBS-L-STEELCOMFORT SUPER36 MONTHS/600 000 KM</v>
          </cell>
          <cell r="D384" t="str">
            <v>COMFORT SUPER</v>
          </cell>
          <cell r="E384" t="str">
            <v>36 MONTHS/600 000 KM</v>
          </cell>
          <cell r="F384">
            <v>286805.73599999998</v>
          </cell>
        </row>
        <row r="385">
          <cell r="C385" t="str">
            <v>TGS-27-4806X4BBS-L-STEELCOMFORT SUPER48 MONTHS/480 000 KM</v>
          </cell>
          <cell r="D385" t="str">
            <v>COMFORT SUPER</v>
          </cell>
          <cell r="E385" t="str">
            <v>48 MONTHS/480 000 KM</v>
          </cell>
          <cell r="F385">
            <v>267264</v>
          </cell>
        </row>
        <row r="386">
          <cell r="C386" t="str">
            <v>TGS-27-4806X4BBS-L-STEELCOMFORT SUPER48 MONTHS/600 000 KM</v>
          </cell>
          <cell r="D386" t="str">
            <v>COMFORT SUPER</v>
          </cell>
          <cell r="E386" t="str">
            <v>48 MONTHS/600 000 KM</v>
          </cell>
          <cell r="F386">
            <v>339599.99999999994</v>
          </cell>
        </row>
        <row r="387">
          <cell r="C387" t="str">
            <v>TGS-27-4806X4BBS-L-STEELCOMFORT SUPER48 MONTHS/720 000 KM</v>
          </cell>
          <cell r="D387" t="str">
            <v>COMFORT SUPER</v>
          </cell>
          <cell r="E387" t="str">
            <v>48 MONTHS/720 000 KM</v>
          </cell>
          <cell r="F387">
            <v>405720</v>
          </cell>
        </row>
        <row r="388">
          <cell r="C388" t="str">
            <v>TGS-27-4806X4BBS-L-STEELCOMFORT SUPER48 MONTHS/800 000 KM</v>
          </cell>
          <cell r="D388" t="str">
            <v>COMFORT SUPER</v>
          </cell>
          <cell r="E388" t="str">
            <v>48 MONTHS/800 000 KM</v>
          </cell>
          <cell r="F388">
            <v>430168.6031999999</v>
          </cell>
        </row>
        <row r="389">
          <cell r="C389" t="str">
            <v>TGS-27-4806X4BBS-L-STEELCOMFORT SUPER60 MONTHS/600 000 KM</v>
          </cell>
          <cell r="D389" t="str">
            <v>COMFORT SUPER</v>
          </cell>
          <cell r="E389" t="str">
            <v>60 MONTHS/600 000 KM</v>
          </cell>
          <cell r="F389">
            <v>368160</v>
          </cell>
        </row>
        <row r="390">
          <cell r="C390" t="str">
            <v>TGS-27-4806X4BBS-L-STEELCOMFORT SUPER60 MONTHS/700 000 KM</v>
          </cell>
          <cell r="D390" t="str">
            <v>COMFORT SUPER</v>
          </cell>
          <cell r="E390" t="str">
            <v>60 MONTHS/700 000 KM</v>
          </cell>
          <cell r="F390">
            <v>448012.79999999999</v>
          </cell>
        </row>
        <row r="391">
          <cell r="C391" t="str">
            <v>TGS-27-4806X4BBS-L-STEELCOMFORT SUPER60 MONTHS/800 000 KM</v>
          </cell>
          <cell r="D391" t="str">
            <v>COMFORT SUPER</v>
          </cell>
          <cell r="E391" t="str">
            <v>60 MONTHS/800 000 KM</v>
          </cell>
          <cell r="F391">
            <v>496264.81200000003</v>
          </cell>
        </row>
        <row r="392">
          <cell r="C392" t="str">
            <v>TGS-27-4806X4BBS-LXCOMFORT CARE36 MONTHS/360 000 KM</v>
          </cell>
          <cell r="D392" t="str">
            <v>COMFORT CARE</v>
          </cell>
          <cell r="E392" t="str">
            <v>36 MONTHS/360 000 KM</v>
          </cell>
          <cell r="F392">
            <v>109188</v>
          </cell>
        </row>
        <row r="393">
          <cell r="C393" t="str">
            <v>TGS-27-4806X4BBS-LXCOMFORT CARE36 MONTHS/480 000 KM</v>
          </cell>
          <cell r="D393" t="str">
            <v>COMFORT CARE</v>
          </cell>
          <cell r="E393" t="str">
            <v>36 MONTHS/480 000 KM</v>
          </cell>
          <cell r="F393">
            <v>188025.40079999997</v>
          </cell>
        </row>
        <row r="394">
          <cell r="C394" t="str">
            <v>TGS-27-4806X4BBS-LXCOMFORT CARE36 MONTHS/600 000 KM</v>
          </cell>
          <cell r="D394" t="str">
            <v>COMFORT CARE</v>
          </cell>
          <cell r="E394" t="str">
            <v>36 MONTHS/600 000 KM</v>
          </cell>
          <cell r="F394">
            <v>218944.37880000001</v>
          </cell>
        </row>
        <row r="395">
          <cell r="C395" t="str">
            <v>TGS-27-4806X4BBS-LXCOMFORT CARE48 MONTHS/480 000 KM</v>
          </cell>
          <cell r="D395" t="str">
            <v>COMFORT CARE</v>
          </cell>
          <cell r="E395" t="str">
            <v>48 MONTHS/480 000 KM</v>
          </cell>
          <cell r="F395">
            <v>193200.00000000003</v>
          </cell>
        </row>
        <row r="396">
          <cell r="C396" t="str">
            <v>TGS-27-4806X4BBS-LXCOMFORT CARE48 MONTHS/600 000 KM</v>
          </cell>
          <cell r="D396" t="str">
            <v>COMFORT CARE</v>
          </cell>
          <cell r="E396" t="str">
            <v>48 MONTHS/600 000 KM</v>
          </cell>
          <cell r="F396">
            <v>193200.00000000003</v>
          </cell>
        </row>
        <row r="397">
          <cell r="C397" t="str">
            <v>TGS-27-4806X4BBS-LXCOMFORT CARE48 MONTHS/720 000 KM</v>
          </cell>
          <cell r="D397" t="str">
            <v>COMFORT CARE</v>
          </cell>
          <cell r="E397" t="str">
            <v>48 MONTHS/720 000 KM</v>
          </cell>
          <cell r="F397">
            <v>259272</v>
          </cell>
        </row>
        <row r="398">
          <cell r="C398" t="str">
            <v>TGS-27-4806X4BBS-LXCOMFORT CARE48 MONTHS/800 000 KM</v>
          </cell>
          <cell r="D398" t="str">
            <v>COMFORT CARE</v>
          </cell>
          <cell r="E398" t="str">
            <v>48 MONTHS/800 000 KM</v>
          </cell>
          <cell r="F398">
            <v>303686.0736</v>
          </cell>
        </row>
        <row r="399">
          <cell r="C399" t="str">
            <v>TGS-27-4806X4BBS-LXCOMFORT CARE60 MONTHS/600 000 KM</v>
          </cell>
          <cell r="D399" t="str">
            <v>COMFORT CARE</v>
          </cell>
          <cell r="E399" t="str">
            <v>60 MONTHS/600 000 KM</v>
          </cell>
          <cell r="F399">
            <v>233280</v>
          </cell>
        </row>
        <row r="400">
          <cell r="C400" t="str">
            <v>TGS-27-4806X4BBS-LXCOMFORT CARE60 MONTHS/700 000 KM</v>
          </cell>
          <cell r="D400" t="str">
            <v>COMFORT CARE</v>
          </cell>
          <cell r="E400" t="str">
            <v>60 MONTHS/700 000 KM</v>
          </cell>
          <cell r="F400">
            <v>256067.31599999999</v>
          </cell>
        </row>
        <row r="401">
          <cell r="C401" t="str">
            <v>TGS-27-4806X4BBS-LXCOMFORT CARE60 MONTHS/800 000 KM</v>
          </cell>
          <cell r="D401" t="str">
            <v>COMFORT CARE</v>
          </cell>
          <cell r="E401" t="str">
            <v>60 MONTHS/800 000 KM</v>
          </cell>
          <cell r="F401">
            <v>312895.64400000003</v>
          </cell>
        </row>
        <row r="402">
          <cell r="C402" t="str">
            <v>TGS-27-4806X4BBS-LXCOMFORT SERVICE36 MONTHS/360 000 KM</v>
          </cell>
          <cell r="D402" t="str">
            <v>COMFORT SERVICE</v>
          </cell>
          <cell r="E402" t="str">
            <v>36 MONTHS/360 000 KM</v>
          </cell>
          <cell r="F402">
            <v>101160.00000000001</v>
          </cell>
        </row>
        <row r="403">
          <cell r="C403" t="str">
            <v>TGS-27-4806X4BBS-LXCOMFORT SERVICE36 MONTHS/480 000 KM</v>
          </cell>
          <cell r="D403" t="str">
            <v>COMFORT SERVICE</v>
          </cell>
          <cell r="E403" t="str">
            <v>36 MONTHS/480 000 KM</v>
          </cell>
          <cell r="F403">
            <v>136326.81599999999</v>
          </cell>
        </row>
        <row r="404">
          <cell r="C404" t="str">
            <v>TGS-27-4806X4BBS-LXCOMFORT SERVICE36 MONTHS/600 000 KM</v>
          </cell>
          <cell r="D404" t="str">
            <v>COMFORT SERVICE</v>
          </cell>
          <cell r="E404" t="str">
            <v>36 MONTHS/600 000 KM</v>
          </cell>
          <cell r="F404">
            <v>159183.18359999999</v>
          </cell>
        </row>
        <row r="405">
          <cell r="C405" t="str">
            <v>TGS-27-4806X4BBS-LXCOMFORT SERVICE48 MONTHS/480 000 KM</v>
          </cell>
          <cell r="D405" t="str">
            <v>COMFORT SERVICE</v>
          </cell>
          <cell r="E405" t="str">
            <v>48 MONTHS/480 000 KM</v>
          </cell>
          <cell r="F405">
            <v>141504</v>
          </cell>
        </row>
        <row r="406">
          <cell r="C406" t="str">
            <v>TGS-27-4806X4BBS-LXCOMFORT SERVICE48 MONTHS/600 000 KM</v>
          </cell>
          <cell r="D406" t="str">
            <v>COMFORT SERVICE</v>
          </cell>
          <cell r="E406" t="str">
            <v>48 MONTHS/600 000 KM</v>
          </cell>
          <cell r="F406">
            <v>170099.99999999997</v>
          </cell>
        </row>
        <row r="407">
          <cell r="C407" t="str">
            <v>TGS-27-4806X4BBS-LXCOMFORT SERVICE48 MONTHS/720 000 KM</v>
          </cell>
          <cell r="D407" t="str">
            <v>COMFORT SERVICE</v>
          </cell>
          <cell r="E407" t="str">
            <v>48 MONTHS/720 000 KM</v>
          </cell>
          <cell r="F407">
            <v>199584</v>
          </cell>
        </row>
        <row r="408">
          <cell r="C408" t="str">
            <v>TGS-27-4806X4BBS-LXCOMFORT SERVICE48 MONTHS/800 000 KM</v>
          </cell>
          <cell r="D408" t="str">
            <v>COMFORT SERVICE</v>
          </cell>
          <cell r="E408" t="str">
            <v>48 MONTHS/800 000 KM</v>
          </cell>
          <cell r="F408">
            <v>211044.22079999995</v>
          </cell>
        </row>
        <row r="409">
          <cell r="C409" t="str">
            <v>TGS-27-4806X4BBS-LXCOMFORT SERVICE60 MONTHS/600 000 KM</v>
          </cell>
          <cell r="D409" t="str">
            <v>COMFORT SERVICE</v>
          </cell>
          <cell r="E409" t="str">
            <v>60 MONTHS/600 000 KM</v>
          </cell>
          <cell r="F409">
            <v>173580</v>
          </cell>
        </row>
        <row r="410">
          <cell r="C410" t="str">
            <v>TGS-27-4806X4BBS-LXCOMFORT SERVICE60 MONTHS/700 000 KM</v>
          </cell>
          <cell r="D410" t="str">
            <v>COMFORT SERVICE</v>
          </cell>
          <cell r="E410" t="str">
            <v>60 MONTHS/700 000 KM</v>
          </cell>
          <cell r="F410">
            <v>196285.60799999998</v>
          </cell>
        </row>
        <row r="411">
          <cell r="C411" t="str">
            <v>TGS-27-4806X4BBS-LXCOMFORT SERVICE60 MONTHS/800 000 KM</v>
          </cell>
          <cell r="D411" t="str">
            <v>COMFORT SERVICE</v>
          </cell>
          <cell r="E411" t="str">
            <v>60 MONTHS/800 000 KM</v>
          </cell>
          <cell r="F411">
            <v>220171.008</v>
          </cell>
        </row>
        <row r="412">
          <cell r="C412" t="str">
            <v>TGS-27-4806X4BBS-LXCOMFORT SUPER36 MONTHS/360 000 KM</v>
          </cell>
          <cell r="D412" t="str">
            <v>COMFORT SUPER</v>
          </cell>
          <cell r="E412" t="str">
            <v>36 MONTHS/360 000 KM</v>
          </cell>
          <cell r="F412">
            <v>167328</v>
          </cell>
        </row>
        <row r="413">
          <cell r="C413" t="str">
            <v>TGS-27-4806X4BBS-LXCOMFORT SUPER36 MONTHS/480 000 KM</v>
          </cell>
          <cell r="D413" t="str">
            <v>COMFORT SUPER</v>
          </cell>
          <cell r="E413" t="str">
            <v>36 MONTHS/480 000 KM</v>
          </cell>
          <cell r="F413">
            <v>230363.51760000002</v>
          </cell>
        </row>
        <row r="414">
          <cell r="C414" t="str">
            <v>TGS-27-4806X4BBS-LXCOMFORT SUPER36 MONTHS/600 000 KM</v>
          </cell>
          <cell r="D414" t="str">
            <v>COMFORT SUPER</v>
          </cell>
          <cell r="E414" t="str">
            <v>36 MONTHS/600 000 KM</v>
          </cell>
          <cell r="F414">
            <v>273965.4792</v>
          </cell>
        </row>
        <row r="415">
          <cell r="C415" t="str">
            <v>TGS-27-4806X4BBS-LXCOMFORT SUPER48 MONTHS/480 000 KM</v>
          </cell>
          <cell r="D415" t="str">
            <v>COMFORT SUPER</v>
          </cell>
          <cell r="E415" t="str">
            <v>48 MONTHS/480 000 KM</v>
          </cell>
          <cell r="F415">
            <v>255840</v>
          </cell>
        </row>
        <row r="416">
          <cell r="C416" t="str">
            <v>TGS-27-4806X4BBS-LXCOMFORT SUPER48 MONTHS/600 000 KM</v>
          </cell>
          <cell r="D416" t="str">
            <v>COMFORT SUPER</v>
          </cell>
          <cell r="E416" t="str">
            <v>48 MONTHS/600 000 KM</v>
          </cell>
          <cell r="F416">
            <v>255840</v>
          </cell>
        </row>
        <row r="417">
          <cell r="C417" t="str">
            <v>TGS-27-4806X4BBS-LXCOMFORT SUPER48 MONTHS/720 000 KM</v>
          </cell>
          <cell r="D417" t="str">
            <v>COMFORT SUPER</v>
          </cell>
          <cell r="E417" t="str">
            <v>48 MONTHS/720 000 KM</v>
          </cell>
          <cell r="F417">
            <v>387288.00000000006</v>
          </cell>
        </row>
        <row r="418">
          <cell r="C418" t="str">
            <v>TGS-27-4806X4BBS-LXCOMFORT SUPER48 MONTHS/800 000 KM</v>
          </cell>
          <cell r="D418" t="str">
            <v>COMFORT SUPER</v>
          </cell>
          <cell r="E418" t="str">
            <v>48 MONTHS/800 000 KM</v>
          </cell>
          <cell r="F418">
            <v>407048.14080000005</v>
          </cell>
        </row>
        <row r="419">
          <cell r="C419" t="str">
            <v>TGS-27-4806X4BBS-LXCOMFORT SUPER60 MONTHS/600 000 KM</v>
          </cell>
          <cell r="D419" t="str">
            <v>COMFORT SUPER</v>
          </cell>
          <cell r="E419" t="str">
            <v>60 MONTHS/600 000 KM</v>
          </cell>
          <cell r="F419">
            <v>349740</v>
          </cell>
        </row>
        <row r="420">
          <cell r="C420" t="str">
            <v>TGS-27-4806X4BBS-LXCOMFORT SUPER60 MONTHS/700 000 KM</v>
          </cell>
          <cell r="D420" t="str">
            <v>COMFORT SUPER</v>
          </cell>
          <cell r="E420" t="str">
            <v>60 MONTHS/700 000 KM</v>
          </cell>
          <cell r="F420">
            <v>418961.97000000003</v>
          </cell>
        </row>
        <row r="421">
          <cell r="C421" t="str">
            <v>TGS-27-4806X4BBS-LXCOMFORT SUPER60 MONTHS/800 000 KM</v>
          </cell>
          <cell r="D421" t="str">
            <v>COMFORT SUPER</v>
          </cell>
          <cell r="E421" t="str">
            <v>60 MONTHS/800 000 KM</v>
          </cell>
          <cell r="F421">
            <v>467543.37600000005</v>
          </cell>
        </row>
      </sheetData>
      <sheetData sheetId="1"/>
      <sheetData sheetId="2">
        <row r="4">
          <cell r="E4" t="str">
            <v>TGS-26-440BLS-LX36 MONTHS/10 000 KMNo</v>
          </cell>
          <cell r="F4">
            <v>651408.52792651509</v>
          </cell>
        </row>
        <row r="5">
          <cell r="E5" t="str">
            <v>TGS-26-440BLS-LX36 MONTHS/10 000 KMYes</v>
          </cell>
          <cell r="F5">
            <v>837204.26875886903</v>
          </cell>
        </row>
        <row r="6">
          <cell r="E6" t="str">
            <v>TGS-26-440BLS-LX36 MONTHS/100 000 KMNo</v>
          </cell>
          <cell r="F6">
            <v>587416.65373193857</v>
          </cell>
        </row>
        <row r="7">
          <cell r="E7" t="str">
            <v>TGS-26-440BLS-LX36 MONTHS/100 000 KMYes</v>
          </cell>
          <cell r="F7">
            <v>753098.27401530568</v>
          </cell>
        </row>
        <row r="8">
          <cell r="E8" t="str">
            <v>TGS-26-440BLS-LX36 MONTHS/110 000 KMNo</v>
          </cell>
          <cell r="F8">
            <v>581025.3746112152</v>
          </cell>
        </row>
        <row r="9">
          <cell r="E9" t="str">
            <v>TGS-26-440BLS-LX36 MONTHS/110 000 KMYes</v>
          </cell>
          <cell r="F9">
            <v>744904.32642463478</v>
          </cell>
        </row>
        <row r="10">
          <cell r="E10" t="str">
            <v>TGS-26-440BLS-LX36 MONTHS/120 000 KMNo</v>
          </cell>
          <cell r="F10">
            <v>575272.64812991605</v>
          </cell>
        </row>
        <row r="11">
          <cell r="E11" t="str">
            <v>TGS-26-440BLS-LX36 MONTHS/120 000 KMYes</v>
          </cell>
          <cell r="F11">
            <v>737529.03606399475</v>
          </cell>
        </row>
        <row r="12">
          <cell r="E12" t="str">
            <v>TGS-26-440BLS-LX36 MONTHS/130 000 KMNo</v>
          </cell>
          <cell r="F12">
            <v>569576.8793365506</v>
          </cell>
        </row>
        <row r="13">
          <cell r="E13" t="str">
            <v>TGS-26-440BLS-LX36 MONTHS/130 000 KMYes</v>
          </cell>
          <cell r="F13">
            <v>730226.76838019281</v>
          </cell>
        </row>
        <row r="14">
          <cell r="E14" t="str">
            <v>TGS-26-440BLS-LX36 MONTHS/140 000 KMNo</v>
          </cell>
          <cell r="F14">
            <v>563937.5042936143</v>
          </cell>
        </row>
        <row r="15">
          <cell r="E15" t="str">
            <v>TGS-26-440BLS-LX36 MONTHS/140 000 KMYes</v>
          </cell>
          <cell r="F15">
            <v>722996.80037642864</v>
          </cell>
        </row>
        <row r="16">
          <cell r="E16" t="str">
            <v>TGS-26-440BLS-LX36 MONTHS/150 000 KMNo</v>
          </cell>
          <cell r="F16">
            <v>558353.96464714292</v>
          </cell>
        </row>
        <row r="17">
          <cell r="E17" t="str">
            <v>TGS-26-440BLS-LX36 MONTHS/150 000 KMYes</v>
          </cell>
          <cell r="F17">
            <v>715838.41621428565</v>
          </cell>
        </row>
        <row r="18">
          <cell r="E18" t="str">
            <v>TGS-26-440BLS-LX36 MONTHS/160 000 KMNo</v>
          </cell>
          <cell r="F18">
            <v>552825.70757142862</v>
          </cell>
        </row>
        <row r="19">
          <cell r="E19" t="str">
            <v>TGS-26-440BLS-LX36 MONTHS/160 000 KMYes</v>
          </cell>
          <cell r="F19">
            <v>708750.90714285709</v>
          </cell>
        </row>
        <row r="20">
          <cell r="E20" t="str">
            <v>TGS-26-440BLS-LX36 MONTHS/170 000 KMNo</v>
          </cell>
          <cell r="F20">
            <v>547352.1857142857</v>
          </cell>
        </row>
        <row r="21">
          <cell r="E21" t="str">
            <v>TGS-26-440BLS-LX36 MONTHS/170 000 KMYes</v>
          </cell>
          <cell r="F21">
            <v>701733.57142857136</v>
          </cell>
        </row>
        <row r="22">
          <cell r="E22" t="str">
            <v>TGS-26-440BLS-LX36 MONTHS/180 000 KMNo</v>
          </cell>
          <cell r="F22">
            <v>541932.85714285716</v>
          </cell>
        </row>
        <row r="23">
          <cell r="E23" t="str">
            <v>TGS-26-440BLS-LX36 MONTHS/180 000 KMYes</v>
          </cell>
          <cell r="F23">
            <v>694785.7142857142</v>
          </cell>
        </row>
        <row r="24">
          <cell r="E24" t="str">
            <v>TGS-26-440BLS-LX36 MONTHS/190 000 KMNo</v>
          </cell>
          <cell r="F24">
            <v>516126.53061224491</v>
          </cell>
        </row>
        <row r="25">
          <cell r="E25" t="str">
            <v>TGS-26-440BLS-LX36 MONTHS/190 000 KMYes</v>
          </cell>
          <cell r="F25">
            <v>668063.18681318674</v>
          </cell>
        </row>
        <row r="26">
          <cell r="E26" t="str">
            <v>TGS-26-440BLS-LX36 MONTHS/20 000 KMNo</v>
          </cell>
          <cell r="F26">
            <v>643684.3161329201</v>
          </cell>
        </row>
        <row r="27">
          <cell r="E27" t="str">
            <v>TGS-26-440BLS-LX36 MONTHS/20 000 KMYes</v>
          </cell>
          <cell r="F27">
            <v>826868.41358900641</v>
          </cell>
        </row>
        <row r="28">
          <cell r="E28" t="str">
            <v>TGS-26-440BLS-LX36 MONTHS/200 000 KMNo</v>
          </cell>
          <cell r="F28">
            <v>491549.07677356654</v>
          </cell>
        </row>
        <row r="29">
          <cell r="E29" t="str">
            <v>TGS-26-440BLS-LX36 MONTHS/200 000 KMYes</v>
          </cell>
          <cell r="F29">
            <v>636250.65410779684</v>
          </cell>
        </row>
        <row r="30">
          <cell r="E30" t="str">
            <v>TGS-26-440BLS-LX36 MONTHS/210 000 KMNo</v>
          </cell>
          <cell r="F30">
            <v>468141.97787958715</v>
          </cell>
        </row>
        <row r="31">
          <cell r="E31" t="str">
            <v>TGS-26-440BLS-LX36 MONTHS/210 000 KMYes</v>
          </cell>
          <cell r="F31">
            <v>605953.00391218741</v>
          </cell>
        </row>
        <row r="32">
          <cell r="E32" t="str">
            <v>TGS-26-440BLS-LX36 MONTHS/220 000 KMNo</v>
          </cell>
          <cell r="F32">
            <v>445849.50274246396</v>
          </cell>
        </row>
        <row r="33">
          <cell r="E33" t="str">
            <v>TGS-26-440BLS-LX36 MONTHS/220 000 KMYes</v>
          </cell>
          <cell r="F33">
            <v>571653.77727564855</v>
          </cell>
        </row>
        <row r="34">
          <cell r="E34" t="str">
            <v>TGS-26-440BLS-LX36 MONTHS/230 000 KMNo</v>
          </cell>
          <cell r="F34">
            <v>416681.77826398495</v>
          </cell>
        </row>
        <row r="35">
          <cell r="E35" t="str">
            <v>TGS-26-440BLS-LX36 MONTHS/230 000 KMYes</v>
          </cell>
          <cell r="F35">
            <v>534255.86661275558</v>
          </cell>
        </row>
        <row r="36">
          <cell r="E36" t="str">
            <v>TGS-26-440BLS-LX36 MONTHS/240 000 KMNo</v>
          </cell>
          <cell r="F36">
            <v>389422.2226766214</v>
          </cell>
        </row>
        <row r="37">
          <cell r="E37" t="str">
            <v>TGS-26-440BLS-LX36 MONTHS/240 000 KMYes</v>
          </cell>
          <cell r="F37">
            <v>499304.5482362202</v>
          </cell>
        </row>
        <row r="38">
          <cell r="E38" t="str">
            <v>TGS-26-440BLS-LX36 MONTHS/250 000 KMNo</v>
          </cell>
          <cell r="F38">
            <v>363946.00250151526</v>
          </cell>
        </row>
        <row r="39">
          <cell r="E39" t="str">
            <v>TGS-26-440BLS-LX36 MONTHS/250 000 KMYes</v>
          </cell>
          <cell r="F39">
            <v>466639.76470674778</v>
          </cell>
        </row>
        <row r="40">
          <cell r="E40" t="str">
            <v>TGS-26-440BLS-LX36 MONTHS/260 000 KMNo</v>
          </cell>
          <cell r="F40">
            <v>340136.45093599556</v>
          </cell>
        </row>
        <row r="41">
          <cell r="E41" t="str">
            <v>TGS-26-440BLS-LX36 MONTHS/260 000 KMYes</v>
          </cell>
          <cell r="F41">
            <v>436111.92963247455</v>
          </cell>
        </row>
        <row r="42">
          <cell r="E42" t="str">
            <v>TGS-26-440BLS-LX36 MONTHS/270 000 KMNo</v>
          </cell>
          <cell r="F42">
            <v>317884.53358504252</v>
          </cell>
        </row>
        <row r="43">
          <cell r="E43" t="str">
            <v>TGS-26-440BLS-LX36 MONTHS/270 000 KMYes</v>
          </cell>
          <cell r="F43">
            <v>407581.24264717248</v>
          </cell>
        </row>
        <row r="44">
          <cell r="E44" t="str">
            <v>TGS-26-440BLS-LX36 MONTHS/280 000 KMNo</v>
          </cell>
          <cell r="F44">
            <v>297088.34914489958</v>
          </cell>
        </row>
        <row r="45">
          <cell r="E45" t="str">
            <v>TGS-26-440BLS-LX36 MONTHS/280 000 KMYes</v>
          </cell>
          <cell r="F45">
            <v>380917.04920296493</v>
          </cell>
        </row>
        <row r="46">
          <cell r="E46" t="str">
            <v>TGS-26-440BLS-LX36 MONTHS/30 000 KMNo</v>
          </cell>
          <cell r="F46">
            <v>636051.69578351791</v>
          </cell>
        </row>
        <row r="47">
          <cell r="E47" t="str">
            <v>TGS-26-440BLS-LX36 MONTHS/30 000 KMYes</v>
          </cell>
          <cell r="F47">
            <v>816660.16156938905</v>
          </cell>
        </row>
        <row r="48">
          <cell r="E48" t="str">
            <v>TGS-26-440BLS-LX36 MONTHS/40 000 KMNo</v>
          </cell>
          <cell r="F48">
            <v>628509.58081375284</v>
          </cell>
        </row>
        <row r="49">
          <cell r="E49" t="str">
            <v>TGS-26-440BLS-LX36 MONTHS/40 000 KMYes</v>
          </cell>
          <cell r="F49">
            <v>806577.93735248316</v>
          </cell>
        </row>
        <row r="50">
          <cell r="E50" t="str">
            <v>TGS-26-440BLS-LX36 MONTHS/50 000 KMNo</v>
          </cell>
          <cell r="F50">
            <v>621056.89803730522</v>
          </cell>
        </row>
        <row r="51">
          <cell r="E51" t="str">
            <v>TGS-26-440BLS-LX36 MONTHS/50 000 KMYes</v>
          </cell>
          <cell r="F51">
            <v>796620.18503948953</v>
          </cell>
        </row>
        <row r="52">
          <cell r="E52" t="str">
            <v>TGS-26-440BLS-LX36 MONTHS/60 000 KMNo</v>
          </cell>
          <cell r="F52">
            <v>613692.58699338464</v>
          </cell>
        </row>
        <row r="53">
          <cell r="E53" t="str">
            <v>TGS-26-440BLS-LX36 MONTHS/60 000 KMYes</v>
          </cell>
          <cell r="F53">
            <v>786785.36794023658</v>
          </cell>
        </row>
        <row r="54">
          <cell r="E54" t="str">
            <v>TGS-26-440BLS-LX36 MONTHS/70 000 KMNo</v>
          </cell>
          <cell r="F54">
            <v>607015.41740196315</v>
          </cell>
        </row>
        <row r="55">
          <cell r="E55" t="str">
            <v>TGS-26-440BLS-LX36 MONTHS/70 000 KMYes</v>
          </cell>
          <cell r="F55">
            <v>778224.89410508075</v>
          </cell>
        </row>
        <row r="56">
          <cell r="E56" t="str">
            <v>TGS-26-440BLS-LX36 MONTHS/80 000 KMNo</v>
          </cell>
          <cell r="F56">
            <v>600410.89752914256</v>
          </cell>
        </row>
        <row r="57">
          <cell r="E57" t="str">
            <v>TGS-26-440BLS-LX36 MONTHS/80 000 KMYes</v>
          </cell>
          <cell r="F57">
            <v>769757.56093479809</v>
          </cell>
        </row>
        <row r="58">
          <cell r="E58" t="str">
            <v>TGS-26-440BLS-LX36 MONTHS/90 000 KMNo</v>
          </cell>
          <cell r="F58">
            <v>593878.23692298983</v>
          </cell>
        </row>
        <row r="59">
          <cell r="E59" t="str">
            <v>TGS-26-440BLS-LX36 MONTHS/90 000 KMYes</v>
          </cell>
          <cell r="F59">
            <v>761382.35502947401</v>
          </cell>
        </row>
        <row r="60">
          <cell r="E60" t="str">
            <v>TGS-26-440BLS-LX42 MONTHS/10 000 KMNo</v>
          </cell>
          <cell r="F60">
            <v>603156.04437640286</v>
          </cell>
        </row>
        <row r="61">
          <cell r="E61" t="str">
            <v>TGS-26-440BLS-LX42 MONTHS/10 000 KMYes</v>
          </cell>
          <cell r="F61">
            <v>775189.1377396934</v>
          </cell>
        </row>
        <row r="62">
          <cell r="E62" t="str">
            <v>TGS-26-440BLS-LX42 MONTHS/100 000 KMNo</v>
          </cell>
          <cell r="F62">
            <v>543904.30901105411</v>
          </cell>
        </row>
        <row r="63">
          <cell r="E63" t="str">
            <v>TGS-26-440BLS-LX42 MONTHS/100 000 KMYes</v>
          </cell>
          <cell r="F63">
            <v>697313.21668083849</v>
          </cell>
        </row>
        <row r="64">
          <cell r="E64" t="str">
            <v>TGS-26-440BLS-LX42 MONTHS/110 000 KMNo</v>
          </cell>
          <cell r="F64">
            <v>537986.45797334739</v>
          </cell>
        </row>
        <row r="65">
          <cell r="E65" t="str">
            <v>TGS-26-440BLS-LX42 MONTHS/110 000 KMYes</v>
          </cell>
          <cell r="F65">
            <v>689726.22817095811</v>
          </cell>
        </row>
        <row r="66">
          <cell r="E66" t="str">
            <v>TGS-26-440BLS-LX42 MONTHS/120 000 KMNo</v>
          </cell>
          <cell r="F66">
            <v>532659.85937955184</v>
          </cell>
        </row>
        <row r="67">
          <cell r="E67" t="str">
            <v>TGS-26-440BLS-LX42 MONTHS/120 000 KMYes</v>
          </cell>
          <cell r="F67">
            <v>682897.25561481004</v>
          </cell>
        </row>
        <row r="68">
          <cell r="E68" t="str">
            <v>TGS-26-440BLS-LX42 MONTHS/130 000 KMNo</v>
          </cell>
          <cell r="F68">
            <v>527385.99938569486</v>
          </cell>
        </row>
        <row r="69">
          <cell r="E69" t="str">
            <v>TGS-26-440BLS-LX42 MONTHS/130 000 KMYes</v>
          </cell>
          <cell r="F69">
            <v>676135.89664832666</v>
          </cell>
        </row>
        <row r="70">
          <cell r="E70" t="str">
            <v>TGS-26-440BLS-LX42 MONTHS/140 000 KMNo</v>
          </cell>
          <cell r="F70">
            <v>522164.35582742072</v>
          </cell>
        </row>
        <row r="71">
          <cell r="E71" t="str">
            <v>TGS-26-440BLS-LX42 MONTHS/140 000 KMYes</v>
          </cell>
          <cell r="F71">
            <v>669441.48183002649</v>
          </cell>
        </row>
        <row r="72">
          <cell r="E72" t="str">
            <v>TGS-26-440BLS-LX42 MONTHS/150 000 KMNo</v>
          </cell>
          <cell r="F72">
            <v>516994.41171031742</v>
          </cell>
        </row>
        <row r="73">
          <cell r="E73" t="str">
            <v>TGS-26-440BLS-LX42 MONTHS/150 000 KMYes</v>
          </cell>
          <cell r="F73">
            <v>662813.34834656073</v>
          </cell>
        </row>
        <row r="74">
          <cell r="E74" t="str">
            <v>TGS-26-440BLS-LX42 MONTHS/160 000 KMNo</v>
          </cell>
          <cell r="F74">
            <v>511875.65515873022</v>
          </cell>
        </row>
        <row r="75">
          <cell r="E75" t="str">
            <v>TGS-26-440BLS-LX42 MONTHS/160 000 KMYes</v>
          </cell>
          <cell r="F75">
            <v>656250.8399470899</v>
          </cell>
        </row>
        <row r="76">
          <cell r="E76" t="str">
            <v>TGS-26-440BLS-LX42 MONTHS/170 000 KMNo</v>
          </cell>
          <cell r="F76">
            <v>506807.57936507941</v>
          </cell>
        </row>
        <row r="77">
          <cell r="E77" t="str">
            <v>TGS-26-440BLS-LX42 MONTHS/170 000 KMYes</v>
          </cell>
          <cell r="F77">
            <v>649753.30687830679</v>
          </cell>
        </row>
        <row r="78">
          <cell r="E78" t="str">
            <v>TGS-26-440BLS-LX42 MONTHS/180 000 KMNo</v>
          </cell>
          <cell r="F78">
            <v>501789.68253968249</v>
          </cell>
        </row>
        <row r="79">
          <cell r="E79" t="str">
            <v>TGS-26-440BLS-LX42 MONTHS/180 000 KMYes</v>
          </cell>
          <cell r="F79">
            <v>643320.10582010576</v>
          </cell>
        </row>
        <row r="80">
          <cell r="E80" t="str">
            <v>TGS-26-440BLS-LX42 MONTHS/190 000 KMNo</v>
          </cell>
          <cell r="F80">
            <v>477894.9357520786</v>
          </cell>
        </row>
        <row r="81">
          <cell r="E81" t="str">
            <v>TGS-26-440BLS-LX42 MONTHS/190 000 KMYes</v>
          </cell>
          <cell r="F81">
            <v>618577.02482702478</v>
          </cell>
        </row>
        <row r="82">
          <cell r="E82" t="str">
            <v>TGS-26-440BLS-LX42 MONTHS/20 000 KMNo</v>
          </cell>
          <cell r="F82">
            <v>596003.99641937041</v>
          </cell>
        </row>
        <row r="83">
          <cell r="E83" t="str">
            <v>TGS-26-440BLS-LX42 MONTHS/20 000 KMYes</v>
          </cell>
          <cell r="F83">
            <v>765618.90147130226</v>
          </cell>
        </row>
        <row r="84">
          <cell r="E84" t="str">
            <v>TGS-26-440BLS-LX42 MONTHS/200 000 KMNo</v>
          </cell>
          <cell r="F84">
            <v>455138.03404959867</v>
          </cell>
        </row>
        <row r="85">
          <cell r="E85" t="str">
            <v>TGS-26-440BLS-LX42 MONTHS/200 000 KMYes</v>
          </cell>
          <cell r="F85">
            <v>589120.97602573771</v>
          </cell>
        </row>
        <row r="86">
          <cell r="E86" t="str">
            <v>TGS-26-440BLS-LX42 MONTHS/210 000 KMNo</v>
          </cell>
          <cell r="F86">
            <v>433464.79433295102</v>
          </cell>
        </row>
        <row r="87">
          <cell r="E87" t="str">
            <v>TGS-26-440BLS-LX42 MONTHS/210 000 KMYes</v>
          </cell>
          <cell r="F87">
            <v>561067.59621498839</v>
          </cell>
        </row>
        <row r="88">
          <cell r="E88" t="str">
            <v>TGS-26-440BLS-LX42 MONTHS/220 000 KMNo</v>
          </cell>
          <cell r="F88">
            <v>412823.61365042953</v>
          </cell>
        </row>
        <row r="89">
          <cell r="E89" t="str">
            <v>TGS-26-440BLS-LX42 MONTHS/220 000 KMYes</v>
          </cell>
          <cell r="F89">
            <v>529309.05303300789</v>
          </cell>
        </row>
        <row r="90">
          <cell r="E90" t="str">
            <v>TGS-26-440BLS-LX42 MONTHS/230 000 KMNo</v>
          </cell>
          <cell r="F90">
            <v>385816.4613555416</v>
          </cell>
        </row>
        <row r="91">
          <cell r="E91" t="str">
            <v>TGS-26-440BLS-LX42 MONTHS/230 000 KMYes</v>
          </cell>
          <cell r="F91">
            <v>494681.35797477368</v>
          </cell>
        </row>
        <row r="92">
          <cell r="E92" t="str">
            <v>TGS-26-440BLS-LX42 MONTHS/240 000 KMNo</v>
          </cell>
          <cell r="F92">
            <v>360576.1321079827</v>
          </cell>
        </row>
        <row r="93">
          <cell r="E93" t="str">
            <v>TGS-26-440BLS-LX42 MONTHS/240 000 KMYes</v>
          </cell>
          <cell r="F93">
            <v>462319.02614464826</v>
          </cell>
        </row>
        <row r="94">
          <cell r="E94" t="str">
            <v>TGS-26-440BLS-LX42 MONTHS/250 000 KMNo</v>
          </cell>
          <cell r="F94">
            <v>336987.03935325489</v>
          </cell>
        </row>
        <row r="95">
          <cell r="E95" t="str">
            <v>TGS-26-440BLS-LX42 MONTHS/250 000 KMYes</v>
          </cell>
          <cell r="F95">
            <v>432073.85620995163</v>
          </cell>
        </row>
        <row r="96">
          <cell r="E96" t="str">
            <v>TGS-26-440BLS-LX42 MONTHS/260 000 KMNo</v>
          </cell>
          <cell r="F96">
            <v>314941.15827406995</v>
          </cell>
        </row>
        <row r="97">
          <cell r="E97" t="str">
            <v>TGS-26-440BLS-LX42 MONTHS/260 000 KMYes</v>
          </cell>
          <cell r="F97">
            <v>403807.34225229127</v>
          </cell>
        </row>
        <row r="98">
          <cell r="E98" t="str">
            <v>TGS-26-440BLS-LX42 MONTHS/270 000 KMNo</v>
          </cell>
          <cell r="F98">
            <v>294337.53109726158</v>
          </cell>
        </row>
        <row r="99">
          <cell r="E99" t="str">
            <v>TGS-26-440BLS-LX42 MONTHS/270 000 KMYes</v>
          </cell>
          <cell r="F99">
            <v>377390.03948812268</v>
          </cell>
        </row>
        <row r="100">
          <cell r="E100" t="str">
            <v>TGS-26-440BLS-LX42 MONTHS/280 000 KMNo</v>
          </cell>
          <cell r="F100">
            <v>275081.80476379592</v>
          </cell>
        </row>
        <row r="101">
          <cell r="E101" t="str">
            <v>TGS-26-440BLS-LX42 MONTHS/280 000 KMYes</v>
          </cell>
          <cell r="F101">
            <v>352700.97148422676</v>
          </cell>
        </row>
        <row r="102">
          <cell r="E102" t="str">
            <v>TGS-26-440BLS-LX42 MONTHS/30 000 KMNo</v>
          </cell>
          <cell r="F102">
            <v>588936.75535510911</v>
          </cell>
        </row>
        <row r="103">
          <cell r="E103" t="str">
            <v>TGS-26-440BLS-LX42 MONTHS/30 000 KMYes</v>
          </cell>
          <cell r="F103">
            <v>756166.81626795279</v>
          </cell>
        </row>
        <row r="104">
          <cell r="E104" t="str">
            <v>TGS-26-440BLS-LX42 MONTHS/40 000 KMNo</v>
          </cell>
          <cell r="F104">
            <v>581953.31556828972</v>
          </cell>
        </row>
        <row r="105">
          <cell r="E105" t="str">
            <v>TGS-26-440BLS-LX42 MONTHS/40 000 KMYes</v>
          </cell>
          <cell r="F105">
            <v>746831.42347452138</v>
          </cell>
        </row>
        <row r="106">
          <cell r="E106" t="str">
            <v>TGS-26-440BLS-LX42 MONTHS/50 000 KMNo</v>
          </cell>
          <cell r="F106">
            <v>575052.68336787506</v>
          </cell>
        </row>
        <row r="107">
          <cell r="E107" t="str">
            <v>TGS-26-440BLS-LX42 MONTHS/50 000 KMYes</v>
          </cell>
          <cell r="F107">
            <v>737611.28244397172</v>
          </cell>
        </row>
        <row r="108">
          <cell r="E108" t="str">
            <v>TGS-26-440BLS-LX42 MONTHS/60 000 KMNo</v>
          </cell>
          <cell r="F108">
            <v>568233.87684572639</v>
          </cell>
        </row>
        <row r="109">
          <cell r="E109" t="str">
            <v>TGS-26-440BLS-LX42 MONTHS/60 000 KMYes</v>
          </cell>
          <cell r="F109">
            <v>728504.97031503392</v>
          </cell>
        </row>
        <row r="110">
          <cell r="E110" t="str">
            <v>TGS-26-440BLS-LX42 MONTHS/70 000 KMNo</v>
          </cell>
          <cell r="F110">
            <v>562051.31240922515</v>
          </cell>
        </row>
        <row r="111">
          <cell r="E111" t="str">
            <v>TGS-26-440BLS-LX42 MONTHS/70 000 KMYes</v>
          </cell>
          <cell r="F111">
            <v>720578.60565285245</v>
          </cell>
        </row>
        <row r="112">
          <cell r="E112" t="str">
            <v>TGS-26-440BLS-LX42 MONTHS/80 000 KMNo</v>
          </cell>
          <cell r="F112">
            <v>555936.0162306875</v>
          </cell>
        </row>
        <row r="113">
          <cell r="E113" t="str">
            <v>TGS-26-440BLS-LX42 MONTHS/80 000 KMYes</v>
          </cell>
          <cell r="F113">
            <v>712738.48234703531</v>
          </cell>
        </row>
        <row r="114">
          <cell r="E114" t="str">
            <v>TGS-26-440BLS-LX42 MONTHS/90 000 KMNo</v>
          </cell>
          <cell r="F114">
            <v>549887.2564101757</v>
          </cell>
        </row>
        <row r="115">
          <cell r="E115" t="str">
            <v>TGS-26-440BLS-LX42 MONTHS/90 000 KMYes</v>
          </cell>
          <cell r="F115">
            <v>704983.66206432763</v>
          </cell>
        </row>
        <row r="116">
          <cell r="E116" t="str">
            <v>TGS-26-440BLS-LX48 MONTHS/10 000 KMNo</v>
          </cell>
          <cell r="F116">
            <v>551509.80548908538</v>
          </cell>
        </row>
        <row r="117">
          <cell r="E117" t="str">
            <v>TGS-26-440BLS-LX48 MONTHS/10 000 KMYes</v>
          </cell>
          <cell r="F117">
            <v>714984.66748020204</v>
          </cell>
        </row>
        <row r="118">
          <cell r="E118" t="str">
            <v>TGS-26-440BLS-LX48 MONTHS/100 000 KMNo</v>
          </cell>
          <cell r="F118">
            <v>499304.1556721477</v>
          </cell>
        </row>
        <row r="119">
          <cell r="E119" t="str">
            <v>TGS-26-440BLS-LX48 MONTHS/100 000 KMYes</v>
          </cell>
          <cell r="F119">
            <v>643156.92014445818</v>
          </cell>
        </row>
        <row r="120">
          <cell r="E120" t="str">
            <v>TGS-26-440BLS-LX48 MONTHS/110 000 KMNo</v>
          </cell>
          <cell r="F120">
            <v>493871.56841953291</v>
          </cell>
        </row>
        <row r="121">
          <cell r="E121" t="str">
            <v>TGS-26-440BLS-LX48 MONTHS/110 000 KMYes</v>
          </cell>
          <cell r="F121">
            <v>636159.16928235232</v>
          </cell>
        </row>
        <row r="122">
          <cell r="E122" t="str">
            <v>TGS-26-440BLS-LX48 MONTHS/120 000 KMNo</v>
          </cell>
          <cell r="F122">
            <v>488981.75091042859</v>
          </cell>
        </row>
        <row r="123">
          <cell r="E123" t="str">
            <v>TGS-26-440BLS-LX48 MONTHS/120 000 KMYes</v>
          </cell>
          <cell r="F123">
            <v>629860.56364589336</v>
          </cell>
        </row>
        <row r="124">
          <cell r="E124" t="str">
            <v>TGS-26-440BLS-LX48 MONTHS/130 000 KMNo</v>
          </cell>
          <cell r="F124">
            <v>484140.34743606788</v>
          </cell>
        </row>
        <row r="125">
          <cell r="E125" t="str">
            <v>TGS-26-440BLS-LX48 MONTHS/130 000 KMYes</v>
          </cell>
          <cell r="F125">
            <v>623624.32044147851</v>
          </cell>
        </row>
        <row r="126">
          <cell r="E126" t="str">
            <v>TGS-26-440BLS-LX48 MONTHS/140 000 KMNo</v>
          </cell>
          <cell r="F126">
            <v>479346.87864957214</v>
          </cell>
        </row>
        <row r="127">
          <cell r="E127" t="str">
            <v>TGS-26-440BLS-LX48 MONTHS/140 000 KMYes</v>
          </cell>
          <cell r="F127">
            <v>617449.82221928565</v>
          </cell>
        </row>
        <row r="128">
          <cell r="E128" t="str">
            <v>TGS-26-440BLS-LX48 MONTHS/150 000 KMNo</v>
          </cell>
          <cell r="F128">
            <v>474600.86995007138</v>
          </cell>
        </row>
        <row r="129">
          <cell r="E129" t="str">
            <v>TGS-26-440BLS-LX48 MONTHS/150 000 KMYes</v>
          </cell>
          <cell r="F129">
            <v>611336.4576428571</v>
          </cell>
        </row>
        <row r="130">
          <cell r="E130" t="str">
            <v>TGS-26-440BLS-LX48 MONTHS/160 000 KMNo</v>
          </cell>
          <cell r="F130">
            <v>469901.85143571428</v>
          </cell>
        </row>
        <row r="131">
          <cell r="E131" t="str">
            <v>TGS-26-440BLS-LX48 MONTHS/160 000 KMYes</v>
          </cell>
          <cell r="F131">
            <v>605283.62142857141</v>
          </cell>
        </row>
        <row r="132">
          <cell r="E132" t="str">
            <v>TGS-26-440BLS-LX48 MONTHS/170 000 KMNo</v>
          </cell>
          <cell r="F132">
            <v>465249.35785714287</v>
          </cell>
        </row>
        <row r="133">
          <cell r="E133" t="str">
            <v>TGS-26-440BLS-LX48 MONTHS/170 000 KMYes</v>
          </cell>
          <cell r="F133">
            <v>599290.7142857142</v>
          </cell>
        </row>
        <row r="134">
          <cell r="E134" t="str">
            <v>TGS-26-440BLS-LX48 MONTHS/180 000 KMNo</v>
          </cell>
          <cell r="F134">
            <v>460642.92857142858</v>
          </cell>
        </row>
        <row r="135">
          <cell r="E135" t="str">
            <v>TGS-26-440BLS-LX48 MONTHS/180 000 KMYes</v>
          </cell>
          <cell r="F135">
            <v>593357.14285714284</v>
          </cell>
        </row>
        <row r="136">
          <cell r="E136" t="str">
            <v>TGS-26-440BLS-LX48 MONTHS/190 000 KMNo</v>
          </cell>
          <cell r="F136">
            <v>438707.55102040817</v>
          </cell>
        </row>
        <row r="137">
          <cell r="E137" t="str">
            <v>TGS-26-440BLS-LX48 MONTHS/190 000 KMYes</v>
          </cell>
          <cell r="F137">
            <v>570535.71428571432</v>
          </cell>
        </row>
        <row r="138">
          <cell r="E138" t="str">
            <v>TGS-26-440BLS-LX48 MONTHS/20 000 KMNo</v>
          </cell>
          <cell r="F138">
            <v>544970.16352676426</v>
          </cell>
        </row>
        <row r="139">
          <cell r="E139" t="str">
            <v>TGS-26-440BLS-LX48 MONTHS/20 000 KMYes</v>
          </cell>
          <cell r="F139">
            <v>706157.69627674285</v>
          </cell>
        </row>
        <row r="140">
          <cell r="E140" t="str">
            <v>TGS-26-440BLS-LX48 MONTHS/200 000 KMNo</v>
          </cell>
          <cell r="F140">
            <v>417816.71525753156</v>
          </cell>
        </row>
        <row r="141">
          <cell r="E141" t="str">
            <v>TGS-26-440BLS-LX48 MONTHS/200 000 KMYes</v>
          </cell>
          <cell r="F141">
            <v>543367.3469387755</v>
          </cell>
        </row>
        <row r="142">
          <cell r="E142" t="str">
            <v>TGS-26-440BLS-LX48 MONTHS/210 000 KMNo</v>
          </cell>
          <cell r="F142">
            <v>397920.6811976491</v>
          </cell>
        </row>
        <row r="143">
          <cell r="E143" t="str">
            <v>TGS-26-440BLS-LX48 MONTHS/210 000 KMYes</v>
          </cell>
          <cell r="F143">
            <v>517492.71137026238</v>
          </cell>
        </row>
        <row r="144">
          <cell r="E144" t="str">
            <v>TGS-26-440BLS-LX48 MONTHS/220 000 KMNo</v>
          </cell>
          <cell r="F144">
            <v>378972.07733109436</v>
          </cell>
        </row>
        <row r="145">
          <cell r="E145" t="str">
            <v>TGS-26-440BLS-LX48 MONTHS/220 000 KMYes</v>
          </cell>
          <cell r="F145">
            <v>483638.04800959094</v>
          </cell>
        </row>
        <row r="146">
          <cell r="E146" t="str">
            <v>TGS-26-440BLS-LX48 MONTHS/230 000 KMNo</v>
          </cell>
          <cell r="F146">
            <v>354179.51152438723</v>
          </cell>
        </row>
        <row r="147">
          <cell r="E147" t="str">
            <v>TGS-26-440BLS-LX48 MONTHS/230 000 KMYes</v>
          </cell>
          <cell r="F147">
            <v>451998.17570989806</v>
          </cell>
        </row>
        <row r="148">
          <cell r="E148" t="str">
            <v>TGS-26-440BLS-LX48 MONTHS/240 000 KMNo</v>
          </cell>
          <cell r="F148">
            <v>331008.88927512825</v>
          </cell>
        </row>
        <row r="149">
          <cell r="E149" t="str">
            <v>TGS-26-440BLS-LX48 MONTHS/240 000 KMYes</v>
          </cell>
          <cell r="F149">
            <v>422428.20159803552</v>
          </cell>
        </row>
        <row r="150">
          <cell r="E150" t="str">
            <v>TGS-26-440BLS-LX48 MONTHS/250 000 KMNo</v>
          </cell>
          <cell r="F150">
            <v>309354.10212628805</v>
          </cell>
        </row>
        <row r="151">
          <cell r="E151" t="str">
            <v>TGS-26-440BLS-LX48 MONTHS/250 000 KMYes</v>
          </cell>
          <cell r="F151">
            <v>394792.71177386498</v>
          </cell>
        </row>
        <row r="152">
          <cell r="E152" t="str">
            <v>TGS-26-440BLS-LX48 MONTHS/260 000 KMNo</v>
          </cell>
          <cell r="F152">
            <v>289115.98329559626</v>
          </cell>
        </row>
        <row r="153">
          <cell r="E153" t="str">
            <v>TGS-26-440BLS-LX48 MONTHS/260 000 KMYes</v>
          </cell>
          <cell r="F153">
            <v>368965.15119052801</v>
          </cell>
        </row>
        <row r="154">
          <cell r="E154" t="str">
            <v>TGS-26-440BLS-LX48 MONTHS/270 000 KMNo</v>
          </cell>
          <cell r="F154">
            <v>270201.85354728624</v>
          </cell>
        </row>
        <row r="155">
          <cell r="E155" t="str">
            <v>TGS-26-440BLS-LX48 MONTHS/270 000 KMYes</v>
          </cell>
          <cell r="F155">
            <v>344827.24410329718</v>
          </cell>
        </row>
        <row r="156">
          <cell r="E156" t="str">
            <v>TGS-26-440BLS-LX48 MONTHS/280 000 KMNo</v>
          </cell>
          <cell r="F156">
            <v>252525.09677316467</v>
          </cell>
        </row>
        <row r="157">
          <cell r="E157" t="str">
            <v>TGS-26-440BLS-LX48 MONTHS/280 000 KMYes</v>
          </cell>
          <cell r="F157">
            <v>322268.45243298798</v>
          </cell>
        </row>
        <row r="158">
          <cell r="E158" t="str">
            <v>TGS-26-440BLS-LX48 MONTHS/30 000 KMNo</v>
          </cell>
          <cell r="F158">
            <v>538508.06672605162</v>
          </cell>
        </row>
        <row r="159">
          <cell r="E159" t="str">
            <v>TGS-26-440BLS-LX48 MONTHS/30 000 KMYes</v>
          </cell>
          <cell r="F159">
            <v>697439.70002641261</v>
          </cell>
        </row>
        <row r="160">
          <cell r="E160" t="str">
            <v>TGS-26-440BLS-LX48 MONTHS/40 000 KMNo</v>
          </cell>
          <cell r="F160">
            <v>532122.5955791024</v>
          </cell>
        </row>
        <row r="161">
          <cell r="E161" t="str">
            <v>TGS-26-440BLS-LX48 MONTHS/40 000 KMYes</v>
          </cell>
          <cell r="F161">
            <v>688829.33335941995</v>
          </cell>
        </row>
        <row r="162">
          <cell r="E162" t="str">
            <v>TGS-26-440BLS-LX48 MONTHS/50 000 KMNo</v>
          </cell>
          <cell r="F162">
            <v>525812.8414813265</v>
          </cell>
        </row>
        <row r="163">
          <cell r="E163" t="str">
            <v>TGS-26-440BLS-LX48 MONTHS/50 000 KMYes</v>
          </cell>
          <cell r="F163">
            <v>680325.26751547644</v>
          </cell>
        </row>
        <row r="164">
          <cell r="E164" t="str">
            <v>TGS-26-440BLS-LX48 MONTHS/60 000 KMNo</v>
          </cell>
          <cell r="F164">
            <v>519577.90660210128</v>
          </cell>
        </row>
        <row r="165">
          <cell r="E165" t="str">
            <v>TGS-26-440BLS-LX48 MONTHS/60 000 KMYes</v>
          </cell>
          <cell r="F165">
            <v>671926.19013874221</v>
          </cell>
        </row>
        <row r="166">
          <cell r="E166" t="str">
            <v>TGS-26-440BLS-LX48 MONTHS/70 000 KMNo</v>
          </cell>
          <cell r="F166">
            <v>514433.57089316956</v>
          </cell>
        </row>
        <row r="167">
          <cell r="E167" t="str">
            <v>TGS-26-440BLS-LX48 MONTHS/70 000 KMYes</v>
          </cell>
          <cell r="F167">
            <v>664615.42051309813</v>
          </cell>
        </row>
        <row r="168">
          <cell r="E168" t="str">
            <v>TGS-26-440BLS-LX48 MONTHS/80 000 KMNo</v>
          </cell>
          <cell r="F168">
            <v>509340.16920115799</v>
          </cell>
        </row>
        <row r="169">
          <cell r="E169" t="str">
            <v>TGS-26-440BLS-LX48 MONTHS/80 000 KMYes</v>
          </cell>
          <cell r="F169">
            <v>657384.19437497354</v>
          </cell>
        </row>
        <row r="170">
          <cell r="E170" t="str">
            <v>TGS-26-440BLS-LX48 MONTHS/90 000 KMNo</v>
          </cell>
          <cell r="F170">
            <v>504297.19722886925</v>
          </cell>
        </row>
        <row r="171">
          <cell r="E171" t="str">
            <v>TGS-26-440BLS-LX48 MONTHS/90 000 KMYes</v>
          </cell>
          <cell r="F171">
            <v>650231.64626604703</v>
          </cell>
        </row>
        <row r="172">
          <cell r="E172" t="str">
            <v>TGS-26-440BLS-LX54 MONTHS/10 000 KMNo</v>
          </cell>
          <cell r="F172">
            <v>488061.77476910217</v>
          </cell>
        </row>
        <row r="173">
          <cell r="E173" t="str">
            <v>TGS-26-440BLS-LX54 MONTHS/10 000 KMYes</v>
          </cell>
          <cell r="F173">
            <v>632729.79423026741</v>
          </cell>
        </row>
        <row r="174">
          <cell r="E174" t="str">
            <v>TGS-26-440BLS-LX54 MONTHS/100 000 KMNo</v>
          </cell>
          <cell r="F174">
            <v>441862.0846656175</v>
          </cell>
        </row>
        <row r="175">
          <cell r="E175" t="str">
            <v>TGS-26-440BLS-LX54 MONTHS/100 000 KMYes</v>
          </cell>
          <cell r="F175">
            <v>569165.41605704266</v>
          </cell>
        </row>
        <row r="176">
          <cell r="E176" t="str">
            <v>TGS-26-440BLS-LX54 MONTHS/110 000 KMNo</v>
          </cell>
          <cell r="F176">
            <v>437054.48532702029</v>
          </cell>
        </row>
        <row r="177">
          <cell r="E177" t="str">
            <v>TGS-26-440BLS-LX54 MONTHS/110 000 KMYes</v>
          </cell>
          <cell r="F177">
            <v>562972.71617907286</v>
          </cell>
        </row>
        <row r="178">
          <cell r="E178" t="str">
            <v>TGS-26-440BLS-LX54 MONTHS/120 000 KMNo</v>
          </cell>
          <cell r="F178">
            <v>432727.21319506958</v>
          </cell>
        </row>
        <row r="179">
          <cell r="E179" t="str">
            <v>TGS-26-440BLS-LX54 MONTHS/120 000 KMYes</v>
          </cell>
          <cell r="F179">
            <v>557398.72889017116</v>
          </cell>
        </row>
        <row r="180">
          <cell r="E180" t="str">
            <v>TGS-26-440BLS-LX54 MONTHS/130 000 KMNo</v>
          </cell>
          <cell r="F180">
            <v>428442.78534165304</v>
          </cell>
        </row>
        <row r="181">
          <cell r="E181" t="str">
            <v>TGS-26-440BLS-LX54 MONTHS/130 000 KMYes</v>
          </cell>
          <cell r="F181">
            <v>551879.92959422886</v>
          </cell>
        </row>
        <row r="182">
          <cell r="E182" t="str">
            <v>TGS-26-440BLS-LX54 MONTHS/140 000 KMNo</v>
          </cell>
          <cell r="F182">
            <v>424200.77756599314</v>
          </cell>
        </row>
        <row r="183">
          <cell r="E183" t="str">
            <v>TGS-26-440BLS-LX54 MONTHS/140 000 KMYes</v>
          </cell>
          <cell r="F183">
            <v>546415.77187547414</v>
          </cell>
        </row>
        <row r="184">
          <cell r="E184" t="str">
            <v>TGS-26-440BLS-LX54 MONTHS/150 000 KMNo</v>
          </cell>
          <cell r="F184">
            <v>420000.76986731985</v>
          </cell>
        </row>
        <row r="185">
          <cell r="E185" t="str">
            <v>TGS-26-440BLS-LX54 MONTHS/150 000 KMYes</v>
          </cell>
          <cell r="F185">
            <v>541005.71472819219</v>
          </cell>
        </row>
        <row r="186">
          <cell r="E186" t="str">
            <v>TGS-26-440BLS-LX54 MONTHS/160 000 KMNo</v>
          </cell>
          <cell r="F186">
            <v>415842.34640328703</v>
          </cell>
        </row>
        <row r="187">
          <cell r="E187" t="str">
            <v>TGS-26-440BLS-LX54 MONTHS/160 000 KMYes</v>
          </cell>
          <cell r="F187">
            <v>535649.22250316059</v>
          </cell>
        </row>
        <row r="188">
          <cell r="E188" t="str">
            <v>TGS-26-440BLS-LX54 MONTHS/170 000 KMNo</v>
          </cell>
          <cell r="F188">
            <v>411725.09544879902</v>
          </cell>
        </row>
        <row r="189">
          <cell r="E189" t="str">
            <v>TGS-26-440BLS-LX54 MONTHS/170 000 KMYes</v>
          </cell>
          <cell r="F189">
            <v>530345.76485461439</v>
          </cell>
        </row>
        <row r="190">
          <cell r="E190" t="str">
            <v>TGS-26-440BLS-LX54 MONTHS/180 000 KMNo</v>
          </cell>
          <cell r="F190">
            <v>407648.60935524653</v>
          </cell>
        </row>
        <row r="191">
          <cell r="E191" t="str">
            <v>TGS-26-440BLS-LX54 MONTHS/180 000 KMYes</v>
          </cell>
          <cell r="F191">
            <v>525094.81668773701</v>
          </cell>
        </row>
        <row r="192">
          <cell r="E192" t="str">
            <v>TGS-26-440BLS-LX54 MONTHS/190 000 KMNo</v>
          </cell>
          <cell r="F192">
            <v>388236.77081452054</v>
          </cell>
        </row>
        <row r="193">
          <cell r="E193" t="str">
            <v>TGS-26-440BLS-LX54 MONTHS/190 000 KMYes</v>
          </cell>
          <cell r="F193">
            <v>504898.86219974718</v>
          </cell>
        </row>
        <row r="194">
          <cell r="E194" t="str">
            <v>TGS-26-440BLS-LX54 MONTHS/20 000 KMNo</v>
          </cell>
          <cell r="F194">
            <v>482274.48099713662</v>
          </cell>
        </row>
        <row r="195">
          <cell r="E195" t="str">
            <v>TGS-26-440BLS-LX54 MONTHS/20 000 KMYes</v>
          </cell>
          <cell r="F195">
            <v>624918.31528915302</v>
          </cell>
        </row>
        <row r="196">
          <cell r="E196" t="str">
            <v>TGS-26-440BLS-LX54 MONTHS/200 000 KMNo</v>
          </cell>
          <cell r="F196">
            <v>369749.3055376386</v>
          </cell>
        </row>
        <row r="197">
          <cell r="E197" t="str">
            <v>TGS-26-440BLS-LX54 MONTHS/200 000 KMYes</v>
          </cell>
          <cell r="F197">
            <v>480856.0592378545</v>
          </cell>
        </row>
        <row r="198">
          <cell r="E198" t="str">
            <v>TGS-26-440BLS-LX54 MONTHS/210 000 KMNo</v>
          </cell>
          <cell r="F198">
            <v>352142.19575013197</v>
          </cell>
        </row>
        <row r="199">
          <cell r="E199" t="str">
            <v>TGS-26-440BLS-LX54 MONTHS/210 000 KMYes</v>
          </cell>
          <cell r="F199">
            <v>457958.15165509953</v>
          </cell>
        </row>
        <row r="200">
          <cell r="E200" t="str">
            <v>TGS-26-440BLS-LX54 MONTHS/220 000 KMNo</v>
          </cell>
          <cell r="F200">
            <v>335373.51976203045</v>
          </cell>
        </row>
        <row r="201">
          <cell r="E201" t="str">
            <v>TGS-26-440BLS-LX54 MONTHS/220 000 KMYes</v>
          </cell>
          <cell r="F201">
            <v>427998.27257485932</v>
          </cell>
        </row>
        <row r="202">
          <cell r="E202" t="str">
            <v>TGS-26-440BLS-LX54 MONTHS/230 000 KMNo</v>
          </cell>
          <cell r="F202">
            <v>313433.19603928074</v>
          </cell>
        </row>
        <row r="203">
          <cell r="E203" t="str">
            <v>TGS-26-440BLS-LX54 MONTHS/230 000 KMYes</v>
          </cell>
          <cell r="F203">
            <v>399998.38558398065</v>
          </cell>
        </row>
        <row r="204">
          <cell r="E204" t="str">
            <v>TGS-26-440BLS-LX54 MONTHS/240 000 KMNo</v>
          </cell>
          <cell r="F204">
            <v>292928.22059745865</v>
          </cell>
        </row>
        <row r="205">
          <cell r="E205" t="str">
            <v>TGS-26-440BLS-LX54 MONTHS/240 000 KMYes</v>
          </cell>
          <cell r="F205">
            <v>373830.26690091641</v>
          </cell>
        </row>
        <row r="206">
          <cell r="E206" t="str">
            <v>TGS-26-440BLS-LX54 MONTHS/250 000 KMNo</v>
          </cell>
          <cell r="F206">
            <v>273764.69214715756</v>
          </cell>
        </row>
        <row r="207">
          <cell r="E207" t="str">
            <v>TGS-26-440BLS-LX54 MONTHS/250 000 KMYes</v>
          </cell>
          <cell r="F207">
            <v>349374.0812158098</v>
          </cell>
        </row>
        <row r="208">
          <cell r="E208" t="str">
            <v>TGS-26-440BLS-LX54 MONTHS/260 000 KMNo</v>
          </cell>
          <cell r="F208">
            <v>255854.85247397906</v>
          </cell>
        </row>
        <row r="209">
          <cell r="E209" t="str">
            <v>TGS-26-440BLS-LX54 MONTHS/260 000 KMYes</v>
          </cell>
          <cell r="F209">
            <v>326517.83291197172</v>
          </cell>
        </row>
        <row r="210">
          <cell r="E210" t="str">
            <v>TGS-26-440BLS-LX54 MONTHS/270 000 KMNo</v>
          </cell>
          <cell r="F210">
            <v>239116.68455512056</v>
          </cell>
        </row>
        <row r="211">
          <cell r="E211" t="str">
            <v>TGS-26-440BLS-LX54 MONTHS/270 000 KMYes</v>
          </cell>
          <cell r="F211">
            <v>305156.85318875854</v>
          </cell>
        </row>
        <row r="212">
          <cell r="E212" t="str">
            <v>TGS-26-440BLS-LX54 MONTHS/280 000 KMNo</v>
          </cell>
          <cell r="F212">
            <v>223473.53696740238</v>
          </cell>
        </row>
        <row r="213">
          <cell r="E213" t="str">
            <v>TGS-26-440BLS-LX54 MONTHS/280 000 KMYes</v>
          </cell>
          <cell r="F213">
            <v>285193.32073715754</v>
          </cell>
        </row>
        <row r="214">
          <cell r="E214" t="str">
            <v>TGS-26-440BLS-LX54 MONTHS/30 000 KMNo</v>
          </cell>
          <cell r="F214">
            <v>476555.81126199261</v>
          </cell>
        </row>
        <row r="215">
          <cell r="E215" t="str">
            <v>TGS-26-440BLS-LX54 MONTHS/30 000 KMYes</v>
          </cell>
          <cell r="F215">
            <v>617203.2743596572</v>
          </cell>
        </row>
        <row r="216">
          <cell r="E216" t="str">
            <v>TGS-26-440BLS-LX54 MONTHS/40 000 KMNo</v>
          </cell>
          <cell r="F216">
            <v>470904.95183991367</v>
          </cell>
        </row>
        <row r="217">
          <cell r="E217" t="str">
            <v>TGS-26-440BLS-LX54 MONTHS/40 000 KMYes</v>
          </cell>
          <cell r="F217">
            <v>609583.48084904428</v>
          </cell>
        </row>
        <row r="218">
          <cell r="E218" t="str">
            <v>TGS-26-440BLS-LX54 MONTHS/50 000 KMNo</v>
          </cell>
          <cell r="F218">
            <v>465321.09865604114</v>
          </cell>
        </row>
        <row r="219">
          <cell r="E219" t="str">
            <v>TGS-26-440BLS-LX54 MONTHS/50 000 KMYes</v>
          </cell>
          <cell r="F219">
            <v>602057.75886325364</v>
          </cell>
        </row>
        <row r="220">
          <cell r="E220" t="str">
            <v>TGS-26-440BLS-LX54 MONTHS/60 000 KMNo</v>
          </cell>
          <cell r="F220">
            <v>459803.45717000117</v>
          </cell>
        </row>
        <row r="221">
          <cell r="E221" t="str">
            <v>TGS-26-440BLS-LX54 MONTHS/60 000 KMYes</v>
          </cell>
          <cell r="F221">
            <v>594624.94702543563</v>
          </cell>
        </row>
        <row r="222">
          <cell r="E222" t="str">
            <v>TGS-26-440BLS-LX54 MONTHS/70 000 KMNo</v>
          </cell>
          <cell r="F222">
            <v>455250.94769307045</v>
          </cell>
        </row>
        <row r="223">
          <cell r="E223" t="str">
            <v>TGS-26-440BLS-LX54 MONTHS/70 000 KMYes</v>
          </cell>
          <cell r="F223">
            <v>588155.23939212225</v>
          </cell>
        </row>
        <row r="224">
          <cell r="E224" t="str">
            <v>TGS-26-440BLS-LX54 MONTHS/80 000 KMNo</v>
          </cell>
          <cell r="F224">
            <v>450743.51256739645</v>
          </cell>
        </row>
        <row r="225">
          <cell r="E225" t="str">
            <v>TGS-26-440BLS-LX54 MONTHS/80 000 KMYes</v>
          </cell>
          <cell r="F225">
            <v>581755.92422564037</v>
          </cell>
        </row>
        <row r="226">
          <cell r="E226" t="str">
            <v>TGS-26-440BLS-LX54 MONTHS/90 000 KMNo</v>
          </cell>
          <cell r="F226">
            <v>446280.70551227371</v>
          </cell>
        </row>
        <row r="227">
          <cell r="E227" t="str">
            <v>TGS-26-440BLS-LX54 MONTHS/90 000 KMYes</v>
          </cell>
          <cell r="F227">
            <v>575426.23563367012</v>
          </cell>
        </row>
        <row r="228">
          <cell r="E228" t="str">
            <v>TGS-26-440BLS-LX60 MONTHS/10 000 KMNo</v>
          </cell>
          <cell r="F228">
            <v>390845.11675590905</v>
          </cell>
        </row>
        <row r="229">
          <cell r="E229" t="str">
            <v>TGS-26-440BLS-LX60 MONTHS/10 000 KMYes</v>
          </cell>
          <cell r="F229">
            <v>501100.36524253461</v>
          </cell>
        </row>
        <row r="230">
          <cell r="E230" t="str">
            <v>TGS-26-440BLS-LX60 MONTHS/100 000 KMNo</v>
          </cell>
          <cell r="F230">
            <v>352449.99223916308</v>
          </cell>
        </row>
        <row r="231">
          <cell r="E231" t="str">
            <v>TGS-26-440BLS-LX60 MONTHS/100 000 KMYes</v>
          </cell>
          <cell r="F231">
            <v>450759.55087047489</v>
          </cell>
        </row>
        <row r="232">
          <cell r="E232" t="str">
            <v>TGS-26-440BLS-LX60 MONTHS/110 000 KMNo</v>
          </cell>
          <cell r="F232">
            <v>348615.22476672911</v>
          </cell>
        </row>
        <row r="233">
          <cell r="E233" t="str">
            <v>TGS-26-440BLS-LX60 MONTHS/110 000 KMYes</v>
          </cell>
          <cell r="F233">
            <v>445855.14428335801</v>
          </cell>
        </row>
        <row r="234">
          <cell r="E234" t="str">
            <v>TGS-26-440BLS-LX60 MONTHS/120 000 KMNo</v>
          </cell>
          <cell r="F234">
            <v>345163.58887794957</v>
          </cell>
        </row>
        <row r="235">
          <cell r="E235" t="str">
            <v>TGS-26-440BLS-LX60 MONTHS/120 000 KMYes</v>
          </cell>
          <cell r="F235">
            <v>441440.73691421584</v>
          </cell>
        </row>
        <row r="236">
          <cell r="E236" t="str">
            <v>TGS-26-440BLS-LX60 MONTHS/130 000 KMNo</v>
          </cell>
          <cell r="F236">
            <v>341746.12760193029</v>
          </cell>
        </row>
        <row r="237">
          <cell r="E237" t="str">
            <v>TGS-26-440BLS-LX60 MONTHS/130 000 KMYes</v>
          </cell>
          <cell r="F237">
            <v>437070.03654872859</v>
          </cell>
        </row>
        <row r="238">
          <cell r="E238" t="str">
            <v>TGS-26-440BLS-LX60 MONTHS/140 000 KMNo</v>
          </cell>
          <cell r="F238">
            <v>338362.50257616863</v>
          </cell>
        </row>
        <row r="239">
          <cell r="E239" t="str">
            <v>TGS-26-440BLS-LX60 MONTHS/140 000 KMYes</v>
          </cell>
          <cell r="F239">
            <v>432742.61044428573</v>
          </cell>
        </row>
        <row r="240">
          <cell r="E240" t="str">
            <v>TGS-26-440BLS-LX60 MONTHS/150 000 KMNo</v>
          </cell>
          <cell r="F240">
            <v>335012.37878828571</v>
          </cell>
        </row>
        <row r="241">
          <cell r="E241" t="str">
            <v>TGS-26-440BLS-LX60 MONTHS/150 000 KMYes</v>
          </cell>
          <cell r="F241">
            <v>428458.03014285711</v>
          </cell>
        </row>
        <row r="242">
          <cell r="E242" t="str">
            <v>TGS-26-440BLS-LX60 MONTHS/160 000 KMNo</v>
          </cell>
          <cell r="F242">
            <v>331695.42454285716</v>
          </cell>
        </row>
        <row r="243">
          <cell r="E243" t="str">
            <v>TGS-26-440BLS-LX60 MONTHS/160 000 KMYes</v>
          </cell>
          <cell r="F243">
            <v>424215.87142857141</v>
          </cell>
        </row>
        <row r="244">
          <cell r="E244" t="str">
            <v>TGS-26-440BLS-LX60 MONTHS/170 000 KMNo</v>
          </cell>
          <cell r="F244">
            <v>328411.31142857147</v>
          </cell>
        </row>
        <row r="245">
          <cell r="E245" t="str">
            <v>TGS-26-440BLS-LX60 MONTHS/170 000 KMYes</v>
          </cell>
          <cell r="F245">
            <v>420015.71428571426</v>
          </cell>
        </row>
        <row r="246">
          <cell r="E246" t="str">
            <v>TGS-26-440BLS-LX60 MONTHS/180 000 KMNo</v>
          </cell>
          <cell r="F246">
            <v>325159.71428571426</v>
          </cell>
        </row>
        <row r="247">
          <cell r="E247" t="str">
            <v>TGS-26-440BLS-LX60 MONTHS/180 000 KMYes</v>
          </cell>
          <cell r="F247">
            <v>415857.14285714284</v>
          </cell>
        </row>
        <row r="248">
          <cell r="E248" t="str">
            <v>TGS-26-440BLS-LX60 MONTHS/190 000 KMNo</v>
          </cell>
          <cell r="F248">
            <v>309675.91836734692</v>
          </cell>
        </row>
        <row r="249">
          <cell r="E249" t="str">
            <v>TGS-26-440BLS-LX60 MONTHS/190 000 KMYes</v>
          </cell>
          <cell r="F249">
            <v>399862.63736263732</v>
          </cell>
        </row>
        <row r="250">
          <cell r="E250" t="str">
            <v>TGS-26-440BLS-LX60 MONTHS/20 000 KMNo</v>
          </cell>
          <cell r="F250">
            <v>386210.58967975207</v>
          </cell>
        </row>
        <row r="251">
          <cell r="E251" t="str">
            <v>TGS-26-440BLS-LX60 MONTHS/20 000 KMYes</v>
          </cell>
          <cell r="F251">
            <v>494913.94098028116</v>
          </cell>
        </row>
        <row r="252">
          <cell r="E252" t="str">
            <v>TGS-26-440BLS-LX60 MONTHS/200 000 KMNo</v>
          </cell>
          <cell r="F252">
            <v>294929.44606413989</v>
          </cell>
        </row>
        <row r="253">
          <cell r="E253" t="str">
            <v>TGS-26-440BLS-LX60 MONTHS/200 000 KMYes</v>
          </cell>
          <cell r="F253">
            <v>380821.55939298793</v>
          </cell>
        </row>
        <row r="254">
          <cell r="E254" t="str">
            <v>TGS-26-440BLS-LX60 MONTHS/210 000 KMNo</v>
          </cell>
          <cell r="F254">
            <v>280885.18672775227</v>
          </cell>
        </row>
        <row r="255">
          <cell r="E255" t="str">
            <v>TGS-26-440BLS-LX60 MONTHS/210 000 KMYes</v>
          </cell>
          <cell r="F255">
            <v>362687.19942189322</v>
          </cell>
        </row>
        <row r="256">
          <cell r="E256" t="str">
            <v>TGS-26-440BLS-LX60 MONTHS/220 000 KMNo</v>
          </cell>
          <cell r="F256">
            <v>267509.70164547832</v>
          </cell>
        </row>
        <row r="257">
          <cell r="E257" t="str">
            <v>TGS-26-440BLS-LX60 MONTHS/220 000 KMYes</v>
          </cell>
          <cell r="F257">
            <v>338959.99945971329</v>
          </cell>
        </row>
        <row r="258">
          <cell r="E258" t="str">
            <v>TGS-26-440BLS-LX60 MONTHS/230 000 KMNo</v>
          </cell>
          <cell r="F258">
            <v>250009.06695839093</v>
          </cell>
        </row>
        <row r="259">
          <cell r="E259" t="str">
            <v>TGS-26-440BLS-LX60 MONTHS/230 000 KMYes</v>
          </cell>
          <cell r="F259">
            <v>316785.04622403107</v>
          </cell>
        </row>
        <row r="260">
          <cell r="E260" t="str">
            <v>TGS-26-440BLS-LX60 MONTHS/240 000 KMNo</v>
          </cell>
          <cell r="F260">
            <v>233653.33360597282</v>
          </cell>
        </row>
        <row r="261">
          <cell r="E261" t="str">
            <v>TGS-26-440BLS-LX60 MONTHS/240 000 KMYes</v>
          </cell>
          <cell r="F261">
            <v>296060.79086358042</v>
          </cell>
        </row>
        <row r="262">
          <cell r="E262" t="str">
            <v>TGS-26-440BLS-LX60 MONTHS/250 000 KMNo</v>
          </cell>
          <cell r="F262">
            <v>218367.60150090916</v>
          </cell>
        </row>
        <row r="263">
          <cell r="E263" t="str">
            <v>TGS-26-440BLS-LX60 MONTHS/250 000 KMYes</v>
          </cell>
          <cell r="F263">
            <v>276692.32790988823</v>
          </cell>
        </row>
        <row r="264">
          <cell r="E264" t="str">
            <v>TGS-26-440BLS-LX60 MONTHS/260 000 KMNo</v>
          </cell>
          <cell r="F264">
            <v>204081.87056159734</v>
          </cell>
        </row>
        <row r="265">
          <cell r="E265" t="str">
            <v>TGS-26-440BLS-LX60 MONTHS/260 000 KMYes</v>
          </cell>
          <cell r="F265">
            <v>258590.96066344695</v>
          </cell>
        </row>
        <row r="266">
          <cell r="E266" t="str">
            <v>TGS-26-440BLS-LX60 MONTHS/270 000 KMNo</v>
          </cell>
          <cell r="F266">
            <v>190730.72015102557</v>
          </cell>
        </row>
        <row r="267">
          <cell r="E267" t="str">
            <v>TGS-26-440BLS-LX60 MONTHS/270 000 KMYes</v>
          </cell>
          <cell r="F267">
            <v>241673.79501256722</v>
          </cell>
        </row>
        <row r="268">
          <cell r="E268" t="str">
            <v>TGS-26-440BLS-LX60 MONTHS/280 000 KMNo</v>
          </cell>
          <cell r="F268">
            <v>178253.00948693976</v>
          </cell>
        </row>
        <row r="269">
          <cell r="E269" t="str">
            <v>TGS-26-440BLS-LX60 MONTHS/280 000 KMYes</v>
          </cell>
          <cell r="F269">
            <v>225863.35982482915</v>
          </cell>
        </row>
        <row r="270">
          <cell r="E270" t="str">
            <v>TGS-26-440BLS-LX60 MONTHS/30 000 KMNo</v>
          </cell>
          <cell r="F270">
            <v>381631.01747011073</v>
          </cell>
        </row>
        <row r="271">
          <cell r="E271" t="str">
            <v>TGS-26-440BLS-LX60 MONTHS/30 000 KMYes</v>
          </cell>
          <cell r="F271">
            <v>488803.8923262037</v>
          </cell>
        </row>
        <row r="272">
          <cell r="E272" t="str">
            <v>TGS-26-440BLS-LX60 MONTHS/40 000 KMNo</v>
          </cell>
          <cell r="F272">
            <v>377105.7484882517</v>
          </cell>
        </row>
        <row r="273">
          <cell r="E273" t="str">
            <v>TGS-26-440BLS-LX60 MONTHS/40 000 KMYes</v>
          </cell>
          <cell r="F273">
            <v>482769.27637155919</v>
          </cell>
        </row>
        <row r="274">
          <cell r="E274" t="str">
            <v>TGS-26-440BLS-LX60 MONTHS/50 000 KMNo</v>
          </cell>
          <cell r="F274">
            <v>372634.13882238313</v>
          </cell>
        </row>
        <row r="275">
          <cell r="E275" t="str">
            <v>TGS-26-440BLS-LX60 MONTHS/50 000 KMYes</v>
          </cell>
          <cell r="F275">
            <v>476809.16184845357</v>
          </cell>
        </row>
        <row r="276">
          <cell r="E276" t="str">
            <v>TGS-26-440BLS-LX60 MONTHS/60 000 KMNo</v>
          </cell>
          <cell r="F276">
            <v>368215.55219603074</v>
          </cell>
        </row>
        <row r="277">
          <cell r="E277" t="str">
            <v>TGS-26-440BLS-LX60 MONTHS/60 000 KMYes</v>
          </cell>
          <cell r="F277">
            <v>470922.62898612698</v>
          </cell>
        </row>
        <row r="278">
          <cell r="E278" t="str">
            <v>TGS-26-440BLS-LX60 MONTHS/70 000 KMNo</v>
          </cell>
          <cell r="F278">
            <v>364209.25044117781</v>
          </cell>
        </row>
        <row r="279">
          <cell r="E279" t="str">
            <v>TGS-26-440BLS-LX60 MONTHS/70 000 KMYes</v>
          </cell>
          <cell r="F279">
            <v>465798.8417271286</v>
          </cell>
        </row>
        <row r="280">
          <cell r="E280" t="str">
            <v>TGS-26-440BLS-LX60 MONTHS/80 000 KMNo</v>
          </cell>
          <cell r="F280">
            <v>360246.53851748555</v>
          </cell>
        </row>
        <row r="281">
          <cell r="E281" t="str">
            <v>TGS-26-440BLS-LX60 MONTHS/80 000 KMYes</v>
          </cell>
          <cell r="F281">
            <v>460730.80289528053</v>
          </cell>
        </row>
        <row r="282">
          <cell r="E282" t="str">
            <v>TGS-26-440BLS-LX60 MONTHS/90 000 KMNo</v>
          </cell>
          <cell r="F282">
            <v>356326.94215379382</v>
          </cell>
        </row>
        <row r="283">
          <cell r="E283" t="str">
            <v>TGS-26-440BLS-LX60 MONTHS/90 000 KMYes</v>
          </cell>
          <cell r="F283">
            <v>455717.90593005007</v>
          </cell>
        </row>
        <row r="284">
          <cell r="E284" t="str">
            <v>TGS-27-440BBS-L36 MONTHS/10 000 KMNo</v>
          </cell>
          <cell r="F284">
            <v>637144.10760695639</v>
          </cell>
        </row>
        <row r="285">
          <cell r="E285" t="str">
            <v>TGS-27-440BBS-L36 MONTHS/10 000 KMYes</v>
          </cell>
          <cell r="F285">
            <v>816851.42000891839</v>
          </cell>
        </row>
        <row r="286">
          <cell r="E286" t="str">
            <v>TGS-27-440BBS-L36 MONTHS/100 000 KMNo</v>
          </cell>
          <cell r="F286">
            <v>574553.5153290492</v>
          </cell>
        </row>
        <row r="287">
          <cell r="E287" t="str">
            <v>TGS-27-440BBS-L36 MONTHS/100 000 KMYes</v>
          </cell>
          <cell r="F287">
            <v>736607.07093467843</v>
          </cell>
        </row>
        <row r="288">
          <cell r="E288" t="str">
            <v>TGS-27-440BBS-L36 MONTHS/110 000 KMNo</v>
          </cell>
          <cell r="F288">
            <v>568302.19122556807</v>
          </cell>
        </row>
        <row r="289">
          <cell r="E289" t="str">
            <v>TGS-27-440BBS-L36 MONTHS/110 000 KMYes</v>
          </cell>
          <cell r="F289">
            <v>728592.55285329232</v>
          </cell>
        </row>
        <row r="290">
          <cell r="E290" t="str">
            <v>TGS-27-440BBS-L36 MONTHS/120 000 KMNo</v>
          </cell>
          <cell r="F290">
            <v>562675.43685699801</v>
          </cell>
        </row>
        <row r="291">
          <cell r="E291" t="str">
            <v>TGS-27-440BBS-L36 MONTHS/120 000 KMYes</v>
          </cell>
          <cell r="F291">
            <v>721378.76520127943</v>
          </cell>
        </row>
        <row r="292">
          <cell r="E292" t="str">
            <v>TGS-27-440BBS-L36 MONTHS/130 000 KMNo</v>
          </cell>
          <cell r="F292">
            <v>557104.39292772079</v>
          </cell>
        </row>
        <row r="293">
          <cell r="E293" t="str">
            <v>TGS-27-440BBS-L36 MONTHS/130 000 KMYes</v>
          </cell>
          <cell r="F293">
            <v>714236.40118938556</v>
          </cell>
        </row>
        <row r="294">
          <cell r="E294" t="str">
            <v>TGS-27-440BBS-L36 MONTHS/140 000 KMNo</v>
          </cell>
          <cell r="F294">
            <v>551588.50784922857</v>
          </cell>
        </row>
        <row r="295">
          <cell r="E295" t="str">
            <v>TGS-27-440BBS-L36 MONTHS/140 000 KMYes</v>
          </cell>
          <cell r="F295">
            <v>707164.75365285703</v>
          </cell>
        </row>
        <row r="296">
          <cell r="E296" t="str">
            <v>TGS-27-440BBS-L36 MONTHS/150 000 KMNo</v>
          </cell>
          <cell r="F296">
            <v>546127.23549428571</v>
          </cell>
        </row>
        <row r="297">
          <cell r="E297" t="str">
            <v>TGS-27-440BBS-L36 MONTHS/150 000 KMYes</v>
          </cell>
          <cell r="F297">
            <v>700163.12242857134</v>
          </cell>
        </row>
        <row r="298">
          <cell r="E298" t="str">
            <v>TGS-27-440BBS-L36 MONTHS/160 000 KMNo</v>
          </cell>
          <cell r="F298">
            <v>540720.03514285723</v>
          </cell>
        </row>
        <row r="299">
          <cell r="E299" t="str">
            <v>TGS-27-440BBS-L36 MONTHS/160 000 KMYes</v>
          </cell>
          <cell r="F299">
            <v>693230.8142857143</v>
          </cell>
        </row>
        <row r="300">
          <cell r="E300" t="str">
            <v>TGS-27-440BBS-L36 MONTHS/170 000 KMNo</v>
          </cell>
          <cell r="F300">
            <v>535366.37142857141</v>
          </cell>
        </row>
        <row r="301">
          <cell r="E301" t="str">
            <v>TGS-27-440BBS-L36 MONTHS/170 000 KMYes</v>
          </cell>
          <cell r="F301">
            <v>686367.14285714284</v>
          </cell>
        </row>
        <row r="302">
          <cell r="E302" t="str">
            <v>TGS-27-440BBS-L36 MONTHS/180 000 KMNo</v>
          </cell>
          <cell r="F302">
            <v>530065.71428571432</v>
          </cell>
        </row>
        <row r="303">
          <cell r="E303" t="str">
            <v>TGS-27-440BBS-L36 MONTHS/180 000 KMYes</v>
          </cell>
          <cell r="F303">
            <v>679571.42857142852</v>
          </cell>
        </row>
        <row r="304">
          <cell r="E304" t="str">
            <v>TGS-27-440BBS-L36 MONTHS/190 000 KMNo</v>
          </cell>
          <cell r="F304">
            <v>504824.4897959184</v>
          </cell>
        </row>
        <row r="305">
          <cell r="E305" t="str">
            <v>TGS-27-440BBS-L36 MONTHS/190 000 KMYes</v>
          </cell>
          <cell r="F305">
            <v>653434.06593406596</v>
          </cell>
        </row>
        <row r="306">
          <cell r="E306" t="str">
            <v>TGS-27-440BBS-L36 MONTHS/20 000 KMNo</v>
          </cell>
          <cell r="F306">
            <v>629589.03913730872</v>
          </cell>
        </row>
        <row r="307">
          <cell r="E307" t="str">
            <v>TGS-27-440BBS-L36 MONTHS/20 000 KMYes</v>
          </cell>
          <cell r="F307">
            <v>807165.43479142128</v>
          </cell>
        </row>
        <row r="308">
          <cell r="E308" t="str">
            <v>TGS-27-440BBS-L36 MONTHS/200 000 KMNo</v>
          </cell>
          <cell r="F308">
            <v>480785.2283770651</v>
          </cell>
        </row>
        <row r="309">
          <cell r="E309" t="str">
            <v>TGS-27-440BBS-L36 MONTHS/200 000 KMYes</v>
          </cell>
          <cell r="F309">
            <v>616447.23201326968</v>
          </cell>
        </row>
        <row r="310">
          <cell r="E310" t="str">
            <v>TGS-27-440BBS-L36 MONTHS/210 000 KMNo</v>
          </cell>
          <cell r="F310">
            <v>457890.6936924429</v>
          </cell>
        </row>
        <row r="311">
          <cell r="E311" t="str">
            <v>TGS-27-440BBS-L36 MONTHS/210 000 KMYes</v>
          </cell>
          <cell r="F311">
            <v>587092.60191739968</v>
          </cell>
        </row>
        <row r="312">
          <cell r="E312" t="str">
            <v>TGS-27-440BBS-L36 MONTHS/220 000 KMNo</v>
          </cell>
          <cell r="F312">
            <v>436086.37494518369</v>
          </cell>
        </row>
        <row r="313">
          <cell r="E313" t="str">
            <v>TGS-27-440BBS-L36 MONTHS/220 000 KMYes</v>
          </cell>
          <cell r="F313">
            <v>548684.67468915845</v>
          </cell>
        </row>
        <row r="314">
          <cell r="E314" t="str">
            <v>TGS-27-440BBS-L36 MONTHS/230 000 KMNo</v>
          </cell>
          <cell r="F314">
            <v>407557.35976185388</v>
          </cell>
        </row>
        <row r="315">
          <cell r="E315" t="str">
            <v>TGS-27-440BBS-L36 MONTHS/230 000 KMYes</v>
          </cell>
          <cell r="F315">
            <v>512789.41559734428</v>
          </cell>
        </row>
        <row r="316">
          <cell r="E316" t="str">
            <v>TGS-27-440BBS-L36 MONTHS/240 000 KMNo</v>
          </cell>
          <cell r="F316">
            <v>380894.7287493961</v>
          </cell>
        </row>
        <row r="317">
          <cell r="E317" t="str">
            <v>TGS-27-440BBS-L36 MONTHS/240 000 KMYes</v>
          </cell>
          <cell r="F317">
            <v>479242.44448349933</v>
          </cell>
        </row>
        <row r="318">
          <cell r="E318" t="str">
            <v>TGS-27-440BBS-L36 MONTHS/250 000 KMNo</v>
          </cell>
          <cell r="F318">
            <v>355976.38200878142</v>
          </cell>
        </row>
        <row r="319">
          <cell r="E319" t="str">
            <v>TGS-27-440BBS-L36 MONTHS/250 000 KMYes</v>
          </cell>
          <cell r="F319">
            <v>447890.13503130776</v>
          </cell>
        </row>
        <row r="320">
          <cell r="E320" t="str">
            <v>TGS-27-440BBS-L36 MONTHS/260 000 KMNo</v>
          </cell>
          <cell r="F320">
            <v>332688.20748484245</v>
          </cell>
        </row>
        <row r="321">
          <cell r="E321" t="str">
            <v>TGS-27-440BBS-L36 MONTHS/260 000 KMYes</v>
          </cell>
          <cell r="F321">
            <v>418588.91124421282</v>
          </cell>
        </row>
        <row r="322">
          <cell r="E322" t="str">
            <v>TGS-27-440BBS-L36 MONTHS/270 000 KMNo</v>
          </cell>
          <cell r="F322">
            <v>310923.55839704897</v>
          </cell>
        </row>
        <row r="323">
          <cell r="E323" t="str">
            <v>TGS-27-440BBS-L36 MONTHS/270 000 KMYes</v>
          </cell>
          <cell r="F323">
            <v>391204.58994786243</v>
          </cell>
        </row>
        <row r="324">
          <cell r="E324" t="str">
            <v>TGS-27-440BBS-L36 MONTHS/280 000 KMNo</v>
          </cell>
          <cell r="F324">
            <v>290582.76485705515</v>
          </cell>
        </row>
        <row r="325">
          <cell r="E325" t="str">
            <v>TGS-27-440BBS-L36 MONTHS/280 000 KMYes</v>
          </cell>
          <cell r="F325">
            <v>365611.76630641345</v>
          </cell>
        </row>
        <row r="326">
          <cell r="E326" t="str">
            <v>TGS-27-440BBS-L36 MONTHS/30 000 KMNo</v>
          </cell>
          <cell r="F326">
            <v>622123.55645979114</v>
          </cell>
        </row>
        <row r="327">
          <cell r="E327" t="str">
            <v>TGS-27-440BBS-L36 MONTHS/30 000 KMYes</v>
          </cell>
          <cell r="F327">
            <v>797594.30315357842</v>
          </cell>
        </row>
        <row r="328">
          <cell r="E328" t="str">
            <v>TGS-27-440BBS-L36 MONTHS/40 000 KMNo</v>
          </cell>
          <cell r="F328">
            <v>614746.59729228378</v>
          </cell>
        </row>
        <row r="329">
          <cell r="E329" t="str">
            <v>TGS-27-440BBS-L36 MONTHS/40 000 KMYes</v>
          </cell>
          <cell r="F329">
            <v>788136.66319523554</v>
          </cell>
        </row>
        <row r="330">
          <cell r="E330" t="str">
            <v>TGS-27-440BBS-L36 MONTHS/50 000 KMNo</v>
          </cell>
          <cell r="F330">
            <v>607457.1119488969</v>
          </cell>
        </row>
        <row r="331">
          <cell r="E331" t="str">
            <v>TGS-27-440BBS-L36 MONTHS/50 000 KMYes</v>
          </cell>
          <cell r="F331">
            <v>778791.16916525248</v>
          </cell>
        </row>
        <row r="332">
          <cell r="E332" t="str">
            <v>TGS-27-440BBS-L36 MONTHS/60 000 KMNo</v>
          </cell>
          <cell r="F332">
            <v>600254.06319060957</v>
          </cell>
        </row>
        <row r="333">
          <cell r="E333" t="str">
            <v>TGS-27-440BBS-L36 MONTHS/60 000 KMYes</v>
          </cell>
          <cell r="F333">
            <v>769556.49127001234</v>
          </cell>
        </row>
        <row r="334">
          <cell r="E334" t="str">
            <v>TGS-27-440BBS-L36 MONTHS/70 000 KMNo</v>
          </cell>
          <cell r="F334">
            <v>593723.10899170092</v>
          </cell>
        </row>
        <row r="335">
          <cell r="E335" t="str">
            <v>TGS-27-440BBS-L36 MONTHS/70 000 KMYes</v>
          </cell>
          <cell r="F335">
            <v>761183.47306628327</v>
          </cell>
        </row>
        <row r="336">
          <cell r="E336" t="str">
            <v>TGS-27-440BBS-L36 MONTHS/80 000 KMNo</v>
          </cell>
          <cell r="F336">
            <v>587263.21364164294</v>
          </cell>
        </row>
        <row r="337">
          <cell r="E337" t="str">
            <v>TGS-27-440BBS-L36 MONTHS/80 000 KMYes</v>
          </cell>
          <cell r="F337">
            <v>752901.55595082429</v>
          </cell>
        </row>
        <row r="338">
          <cell r="E338" t="str">
            <v>TGS-27-440BBS-L36 MONTHS/90 000 KMNo</v>
          </cell>
          <cell r="F338">
            <v>580873.60399766872</v>
          </cell>
        </row>
        <row r="339">
          <cell r="E339" t="str">
            <v>TGS-27-440BBS-L36 MONTHS/90 000 KMYes</v>
          </cell>
          <cell r="F339">
            <v>744709.74871495983</v>
          </cell>
        </row>
        <row r="340">
          <cell r="E340" t="str">
            <v>TGS-27-440BBS-L42 MONTHS/10 000 KMNo</v>
          </cell>
          <cell r="F340">
            <v>589948.24778421887</v>
          </cell>
        </row>
        <row r="341">
          <cell r="E341" t="str">
            <v>TGS-27-440BBS-L42 MONTHS/10 000 KMYes</v>
          </cell>
          <cell r="F341">
            <v>756343.9074156651</v>
          </cell>
        </row>
        <row r="342">
          <cell r="E342" t="str">
            <v>TGS-27-440BBS-L42 MONTHS/100 000 KMNo</v>
          </cell>
          <cell r="F342">
            <v>531993.99567504541</v>
          </cell>
        </row>
        <row r="343">
          <cell r="E343" t="str">
            <v>TGS-27-440BBS-L42 MONTHS/100 000 KMYes</v>
          </cell>
          <cell r="F343">
            <v>682043.58419877628</v>
          </cell>
        </row>
        <row r="344">
          <cell r="E344" t="str">
            <v>TGS-27-440BBS-L42 MONTHS/110 000 KMNo</v>
          </cell>
          <cell r="F344">
            <v>526205.73261626658</v>
          </cell>
        </row>
        <row r="345">
          <cell r="E345" t="str">
            <v>TGS-27-440BBS-L42 MONTHS/110 000 KMYes</v>
          </cell>
          <cell r="F345">
            <v>674622.73412341869</v>
          </cell>
        </row>
        <row r="346">
          <cell r="E346" t="str">
            <v>TGS-27-440BBS-L42 MONTHS/120 000 KMNo</v>
          </cell>
          <cell r="F346">
            <v>520995.77486759069</v>
          </cell>
        </row>
        <row r="347">
          <cell r="E347" t="str">
            <v>TGS-27-440BBS-L42 MONTHS/120 000 KMYes</v>
          </cell>
          <cell r="F347">
            <v>667943.30111229571</v>
          </cell>
        </row>
        <row r="348">
          <cell r="E348" t="str">
            <v>TGS-27-440BBS-L42 MONTHS/130 000 KMNo</v>
          </cell>
          <cell r="F348">
            <v>515837.40085900074</v>
          </cell>
        </row>
        <row r="349">
          <cell r="E349" t="str">
            <v>TGS-27-440BBS-L42 MONTHS/130 000 KMYes</v>
          </cell>
          <cell r="F349">
            <v>661330.00110128289</v>
          </cell>
        </row>
        <row r="350">
          <cell r="E350" t="str">
            <v>TGS-27-440BBS-L42 MONTHS/140 000 KMNo</v>
          </cell>
          <cell r="F350">
            <v>510730.09986039682</v>
          </cell>
        </row>
        <row r="351">
          <cell r="E351" t="str">
            <v>TGS-27-440BBS-L42 MONTHS/140 000 KMYes</v>
          </cell>
          <cell r="F351">
            <v>654782.17930820095</v>
          </cell>
        </row>
        <row r="352">
          <cell r="E352" t="str">
            <v>TGS-27-440BBS-L42 MONTHS/150 000 KMNo</v>
          </cell>
          <cell r="F352">
            <v>505673.36619841267</v>
          </cell>
        </row>
        <row r="353">
          <cell r="E353" t="str">
            <v>TGS-27-440BBS-L42 MONTHS/150 000 KMYes</v>
          </cell>
          <cell r="F353">
            <v>648299.18743386224</v>
          </cell>
        </row>
        <row r="354">
          <cell r="E354" t="str">
            <v>TGS-27-440BBS-L42 MONTHS/160 000 KMNo</v>
          </cell>
          <cell r="F354">
            <v>500666.69920634921</v>
          </cell>
        </row>
        <row r="355">
          <cell r="E355" t="str">
            <v>TGS-27-440BBS-L42 MONTHS/160 000 KMYes</v>
          </cell>
          <cell r="F355">
            <v>641880.38359788351</v>
          </cell>
        </row>
        <row r="356">
          <cell r="E356" t="str">
            <v>TGS-27-440BBS-L42 MONTHS/170 000 KMNo</v>
          </cell>
          <cell r="F356">
            <v>495709.60317460319</v>
          </cell>
        </row>
        <row r="357">
          <cell r="E357" t="str">
            <v>TGS-27-440BBS-L42 MONTHS/170 000 KMYes</v>
          </cell>
          <cell r="F357">
            <v>635525.13227513223</v>
          </cell>
        </row>
        <row r="358">
          <cell r="E358" t="str">
            <v>TGS-27-440BBS-L42 MONTHS/180 000 KMNo</v>
          </cell>
          <cell r="F358">
            <v>490801.58730158722</v>
          </cell>
        </row>
        <row r="359">
          <cell r="E359" t="str">
            <v>TGS-27-440BBS-L42 MONTHS/180 000 KMYes</v>
          </cell>
          <cell r="F359">
            <v>629232.8042328041</v>
          </cell>
        </row>
        <row r="360">
          <cell r="E360" t="str">
            <v>TGS-27-440BBS-L42 MONTHS/190 000 KMNo</v>
          </cell>
          <cell r="F360">
            <v>467430.08314436884</v>
          </cell>
        </row>
        <row r="361">
          <cell r="E361" t="str">
            <v>TGS-27-440BBS-L42 MONTHS/190 000 KMYes</v>
          </cell>
          <cell r="F361">
            <v>605031.54253154248</v>
          </cell>
        </row>
        <row r="362">
          <cell r="E362" t="str">
            <v>TGS-27-440BBS-L42 MONTHS/20 000 KMNo</v>
          </cell>
          <cell r="F362">
            <v>582952.81401602656</v>
          </cell>
        </row>
        <row r="363">
          <cell r="E363" t="str">
            <v>TGS-27-440BBS-L42 MONTHS/20 000 KMYes</v>
          </cell>
          <cell r="F363">
            <v>747375.40258464927</v>
          </cell>
        </row>
        <row r="364">
          <cell r="E364" t="str">
            <v>TGS-27-440BBS-L42 MONTHS/200 000 KMNo</v>
          </cell>
          <cell r="F364">
            <v>445171.50775654172</v>
          </cell>
        </row>
        <row r="365">
          <cell r="E365" t="str">
            <v>TGS-27-440BBS-L42 MONTHS/200 000 KMYes</v>
          </cell>
          <cell r="F365">
            <v>570784.47408636077</v>
          </cell>
        </row>
        <row r="366">
          <cell r="E366" t="str">
            <v>TGS-27-440BBS-L42 MONTHS/210 000 KMNo</v>
          </cell>
          <cell r="F366">
            <v>423972.86453003972</v>
          </cell>
        </row>
        <row r="367">
          <cell r="E367" t="str">
            <v>TGS-27-440BBS-L42 MONTHS/210 000 KMYes</v>
          </cell>
          <cell r="F367">
            <v>543604.26103462931</v>
          </cell>
        </row>
        <row r="368">
          <cell r="E368" t="str">
            <v>TGS-27-440BBS-L42 MONTHS/220 000 KMNo</v>
          </cell>
          <cell r="F368">
            <v>403783.6805047997</v>
          </cell>
        </row>
        <row r="369">
          <cell r="E369" t="str">
            <v>TGS-27-440BBS-L42 MONTHS/220 000 KMYes</v>
          </cell>
          <cell r="F369">
            <v>508041.36545292457</v>
          </cell>
        </row>
        <row r="370">
          <cell r="E370" t="str">
            <v>TGS-27-440BBS-L42 MONTHS/230 000 KMNo</v>
          </cell>
          <cell r="F370">
            <v>377367.9257054202</v>
          </cell>
        </row>
        <row r="371">
          <cell r="E371" t="str">
            <v>TGS-27-440BBS-L42 MONTHS/230 000 KMYes</v>
          </cell>
          <cell r="F371">
            <v>474805.01444198546</v>
          </cell>
        </row>
        <row r="372">
          <cell r="E372" t="str">
            <v>TGS-27-440BBS-L42 MONTHS/240 000 KMNo</v>
          </cell>
          <cell r="F372">
            <v>352680.304397589</v>
          </cell>
        </row>
        <row r="373">
          <cell r="E373" t="str">
            <v>TGS-27-440BBS-L42 MONTHS/240 000 KMYes</v>
          </cell>
          <cell r="F373">
            <v>443743.00415138825</v>
          </cell>
        </row>
        <row r="374">
          <cell r="E374" t="str">
            <v>TGS-27-440BBS-L42 MONTHS/250 000 KMNo</v>
          </cell>
          <cell r="F374">
            <v>329607.76111924206</v>
          </cell>
        </row>
        <row r="375">
          <cell r="E375" t="str">
            <v>TGS-27-440BBS-L42 MONTHS/250 000 KMYes</v>
          </cell>
          <cell r="F375">
            <v>414713.08799195156</v>
          </cell>
        </row>
        <row r="376">
          <cell r="E376" t="str">
            <v>TGS-27-440BBS-L42 MONTHS/260 000 KMNo</v>
          </cell>
          <cell r="F376">
            <v>308044.6365600393</v>
          </cell>
        </row>
        <row r="377">
          <cell r="E377" t="str">
            <v>TGS-27-440BBS-L42 MONTHS/260 000 KMYes</v>
          </cell>
          <cell r="F377">
            <v>387582.32522612292</v>
          </cell>
        </row>
        <row r="378">
          <cell r="E378" t="str">
            <v>TGS-27-440BBS-L42 MONTHS/270 000 KMNo</v>
          </cell>
          <cell r="F378">
            <v>287892.18370097131</v>
          </cell>
        </row>
        <row r="379">
          <cell r="E379" t="str">
            <v>TGS-27-440BBS-L42 MONTHS/270 000 KMYes</v>
          </cell>
          <cell r="F379">
            <v>362226.47217394668</v>
          </cell>
        </row>
        <row r="380">
          <cell r="E380" t="str">
            <v>TGS-27-440BBS-L42 MONTHS/280 000 KMNo</v>
          </cell>
          <cell r="F380">
            <v>269058.11560838437</v>
          </cell>
        </row>
        <row r="381">
          <cell r="E381" t="str">
            <v>TGS-27-440BBS-L42 MONTHS/280 000 KMYes</v>
          </cell>
          <cell r="F381">
            <v>338529.41324667912</v>
          </cell>
        </row>
        <row r="382">
          <cell r="E382" t="str">
            <v>TGS-27-440BBS-L42 MONTHS/30 000 KMNo</v>
          </cell>
          <cell r="F382">
            <v>576040.3300553622</v>
          </cell>
        </row>
        <row r="383">
          <cell r="E383" t="str">
            <v>TGS-27-440BBS-L42 MONTHS/30 000 KMYes</v>
          </cell>
          <cell r="F383">
            <v>738513.24366072065</v>
          </cell>
        </row>
        <row r="384">
          <cell r="E384" t="str">
            <v>TGS-27-440BBS-L42 MONTHS/40 000 KMNo</v>
          </cell>
          <cell r="F384">
            <v>569209.81230767013</v>
          </cell>
        </row>
        <row r="385">
          <cell r="E385" t="str">
            <v>TGS-27-440BBS-L42 MONTHS/40 000 KMYes</v>
          </cell>
          <cell r="F385">
            <v>729756.16962521814</v>
          </cell>
        </row>
        <row r="386">
          <cell r="E386" t="str">
            <v>TGS-27-440BBS-L42 MONTHS/50 000 KMNo</v>
          </cell>
          <cell r="F386">
            <v>562460.28884157131</v>
          </cell>
        </row>
        <row r="387">
          <cell r="E387" t="str">
            <v>TGS-27-440BBS-L42 MONTHS/50 000 KMYes</v>
          </cell>
          <cell r="F387">
            <v>721102.93441227078</v>
          </cell>
        </row>
        <row r="388">
          <cell r="E388" t="str">
            <v>TGS-27-440BBS-L42 MONTHS/60 000 KMNo</v>
          </cell>
          <cell r="F388">
            <v>555790.79925056442</v>
          </cell>
        </row>
        <row r="389">
          <cell r="E389" t="str">
            <v>TGS-27-440BBS-L42 MONTHS/60 000 KMYes</v>
          </cell>
          <cell r="F389">
            <v>712552.30673149286</v>
          </cell>
        </row>
        <row r="390">
          <cell r="E390" t="str">
            <v>TGS-27-440BBS-L42 MONTHS/70 000 KMNo</v>
          </cell>
          <cell r="F390">
            <v>549743.61943675997</v>
          </cell>
        </row>
        <row r="391">
          <cell r="E391" t="str">
            <v>TGS-27-440BBS-L42 MONTHS/70 000 KMYes</v>
          </cell>
          <cell r="F391">
            <v>704799.5120984104</v>
          </cell>
        </row>
        <row r="392">
          <cell r="E392" t="str">
            <v>TGS-27-440BBS-L42 MONTHS/80 000 KMNo</v>
          </cell>
          <cell r="F392">
            <v>543762.23485337303</v>
          </cell>
        </row>
        <row r="393">
          <cell r="E393" t="str">
            <v>TGS-27-440BBS-L42 MONTHS/80 000 KMYes</v>
          </cell>
          <cell r="F393">
            <v>697131.07032483735</v>
          </cell>
        </row>
        <row r="394">
          <cell r="E394" t="str">
            <v>TGS-27-440BBS-L42 MONTHS/90 000 KMNo</v>
          </cell>
          <cell r="F394">
            <v>537845.9296274709</v>
          </cell>
        </row>
        <row r="395">
          <cell r="E395" t="str">
            <v>TGS-27-440BBS-L42 MONTHS/90 000 KMYes</v>
          </cell>
          <cell r="F395">
            <v>689546.06362496282</v>
          </cell>
        </row>
        <row r="396">
          <cell r="E396" t="str">
            <v>TGS-27-440BBS-L48 MONTHS/10 000 KMNo</v>
          </cell>
          <cell r="F396">
            <v>541572.4914659129</v>
          </cell>
        </row>
        <row r="397">
          <cell r="E397" t="str">
            <v>TGS-27-440BBS-L48 MONTHS/10 000 KMYes</v>
          </cell>
          <cell r="F397">
            <v>696651.7272884018</v>
          </cell>
        </row>
        <row r="398">
          <cell r="E398" t="str">
            <v>TGS-27-440BBS-L48 MONTHS/100 000 KMNo</v>
          </cell>
          <cell r="F398">
            <v>488370.4880296918</v>
          </cell>
        </row>
        <row r="399">
          <cell r="E399" t="str">
            <v>TGS-27-440BBS-L48 MONTHS/100 000 KMYes</v>
          </cell>
          <cell r="F399">
            <v>626665.71706383082</v>
          </cell>
        </row>
        <row r="400">
          <cell r="E400" t="str">
            <v>TGS-27-440BBS-L48 MONTHS/110 000 KMNo</v>
          </cell>
          <cell r="F400">
            <v>483056.86254173279</v>
          </cell>
        </row>
        <row r="401">
          <cell r="E401" t="str">
            <v>TGS-27-440BBS-L48 MONTHS/110 000 KMYes</v>
          </cell>
          <cell r="F401">
            <v>619847.39571100986</v>
          </cell>
        </row>
        <row r="402">
          <cell r="E402" t="str">
            <v>TGS-27-440BBS-L48 MONTHS/120 000 KMNo</v>
          </cell>
          <cell r="F402">
            <v>478274.12132844824</v>
          </cell>
        </row>
        <row r="403">
          <cell r="E403" t="str">
            <v>TGS-27-440BBS-L48 MONTHS/120 000 KMYes</v>
          </cell>
          <cell r="F403">
            <v>613710.29278317804</v>
          </cell>
        </row>
        <row r="404">
          <cell r="E404" t="str">
            <v>TGS-27-440BBS-L48 MONTHS/130 000 KMNo</v>
          </cell>
          <cell r="F404">
            <v>473538.73398856266</v>
          </cell>
        </row>
        <row r="405">
          <cell r="E405" t="str">
            <v>TGS-27-440BBS-L48 MONTHS/130 000 KMYes</v>
          </cell>
          <cell r="F405">
            <v>607633.95325067139</v>
          </cell>
        </row>
        <row r="406">
          <cell r="E406" t="str">
            <v>TGS-27-440BBS-L48 MONTHS/140 000 KMNo</v>
          </cell>
          <cell r="F406">
            <v>468850.2316718442</v>
          </cell>
        </row>
        <row r="407">
          <cell r="E407" t="str">
            <v>TGS-27-440BBS-L48 MONTHS/140 000 KMYes</v>
          </cell>
          <cell r="F407">
            <v>601617.77549571416</v>
          </cell>
        </row>
        <row r="408">
          <cell r="E408" t="str">
            <v>TGS-27-440BBS-L48 MONTHS/150 000 KMNo</v>
          </cell>
          <cell r="F408">
            <v>464208.15017014276</v>
          </cell>
        </row>
        <row r="409">
          <cell r="E409" t="str">
            <v>TGS-27-440BBS-L48 MONTHS/150 000 KMYes</v>
          </cell>
          <cell r="F409">
            <v>595661.16385714279</v>
          </cell>
        </row>
        <row r="410">
          <cell r="E410" t="str">
            <v>TGS-27-440BBS-L48 MONTHS/160 000 KMNo</v>
          </cell>
          <cell r="F410">
            <v>459612.0298714285</v>
          </cell>
        </row>
        <row r="411">
          <cell r="E411" t="str">
            <v>TGS-27-440BBS-L48 MONTHS/160 000 KMYes</v>
          </cell>
          <cell r="F411">
            <v>589763.5285714285</v>
          </cell>
        </row>
        <row r="412">
          <cell r="E412" t="str">
            <v>TGS-27-440BBS-L48 MONTHS/170 000 KMNo</v>
          </cell>
          <cell r="F412">
            <v>455061.41571428563</v>
          </cell>
        </row>
        <row r="413">
          <cell r="E413" t="str">
            <v>TGS-27-440BBS-L48 MONTHS/170 000 KMYes</v>
          </cell>
          <cell r="F413">
            <v>583924.28571428568</v>
          </cell>
        </row>
        <row r="414">
          <cell r="E414" t="str">
            <v>TGS-27-440BBS-L48 MONTHS/180 000 KMNo</v>
          </cell>
          <cell r="F414">
            <v>450555.8571428571</v>
          </cell>
        </row>
        <row r="415">
          <cell r="E415" t="str">
            <v>TGS-27-440BBS-L48 MONTHS/180 000 KMYes</v>
          </cell>
          <cell r="F415">
            <v>578142.85714285716</v>
          </cell>
        </row>
        <row r="416">
          <cell r="E416" t="str">
            <v>TGS-27-440BBS-L48 MONTHS/190 000 KMNo</v>
          </cell>
          <cell r="F416">
            <v>429100.81632653053</v>
          </cell>
        </row>
        <row r="417">
          <cell r="E417" t="str">
            <v>TGS-27-440BBS-L48 MONTHS/190 000 KMYes</v>
          </cell>
          <cell r="F417">
            <v>555906.59340659331</v>
          </cell>
        </row>
        <row r="418">
          <cell r="E418" t="str">
            <v>TGS-27-440BBS-L48 MONTHS/20 000 KMNo</v>
          </cell>
          <cell r="F418">
            <v>535150.68326671235</v>
          </cell>
        </row>
        <row r="419">
          <cell r="E419" t="str">
            <v>TGS-27-440BBS-L48 MONTHS/20 000 KMYes</v>
          </cell>
          <cell r="F419">
            <v>688051.08867990307</v>
          </cell>
        </row>
        <row r="420">
          <cell r="E420" t="str">
            <v>TGS-27-440BBS-L48 MONTHS/200 000 KMNo</v>
          </cell>
          <cell r="F420">
            <v>408667.44412050524</v>
          </cell>
        </row>
        <row r="421">
          <cell r="E421" t="str">
            <v>TGS-27-440BBS-L48 MONTHS/200 000 KMYes</v>
          </cell>
          <cell r="F421">
            <v>524440.18245905021</v>
          </cell>
        </row>
        <row r="422">
          <cell r="E422" t="str">
            <v>TGS-27-440BBS-L48 MONTHS/210 000 KMNo</v>
          </cell>
          <cell r="F422">
            <v>389207.08963857638</v>
          </cell>
        </row>
        <row r="423">
          <cell r="E423" t="str">
            <v>TGS-27-440BBS-L48 MONTHS/210 000 KMYes</v>
          </cell>
          <cell r="F423">
            <v>499466.84043719067</v>
          </cell>
        </row>
        <row r="424">
          <cell r="E424" t="str">
            <v>TGS-27-440BBS-L48 MONTHS/220 000 KMNo</v>
          </cell>
          <cell r="F424">
            <v>370673.41870340606</v>
          </cell>
        </row>
        <row r="425">
          <cell r="E425" t="str">
            <v>TGS-27-440BBS-L48 MONTHS/220 000 KMYes</v>
          </cell>
          <cell r="F425">
            <v>466791.43966092583</v>
          </cell>
        </row>
        <row r="426">
          <cell r="E426" t="str">
            <v>TGS-27-440BBS-L48 MONTHS/230 000 KMNo</v>
          </cell>
          <cell r="F426">
            <v>346423.75579757575</v>
          </cell>
        </row>
        <row r="427">
          <cell r="E427" t="str">
            <v>TGS-27-440BBS-L48 MONTHS/230 000 KMYes</v>
          </cell>
          <cell r="F427">
            <v>436253.68192609883</v>
          </cell>
        </row>
        <row r="428">
          <cell r="E428" t="str">
            <v>TGS-27-440BBS-L48 MONTHS/240 000 KMNo</v>
          </cell>
          <cell r="F428">
            <v>323760.51943698671</v>
          </cell>
        </row>
        <row r="429">
          <cell r="E429" t="str">
            <v>TGS-27-440BBS-L48 MONTHS/240 000 KMYes</v>
          </cell>
          <cell r="F429">
            <v>407713.7214262606</v>
          </cell>
        </row>
        <row r="430">
          <cell r="E430" t="str">
            <v>TGS-27-440BBS-L48 MONTHS/250 000 KMNo</v>
          </cell>
          <cell r="F430">
            <v>302579.92470746423</v>
          </cell>
        </row>
        <row r="431">
          <cell r="E431" t="str">
            <v>TGS-27-440BBS-L48 MONTHS/250 000 KMYes</v>
          </cell>
          <cell r="F431">
            <v>381040.86114603793</v>
          </cell>
        </row>
        <row r="432">
          <cell r="E432" t="str">
            <v>TGS-27-440BBS-L48 MONTHS/260 000 KMNo</v>
          </cell>
          <cell r="F432">
            <v>282784.97636211605</v>
          </cell>
        </row>
        <row r="433">
          <cell r="E433" t="str">
            <v>TGS-27-440BBS-L48 MONTHS/260 000 KMYes</v>
          </cell>
          <cell r="F433">
            <v>356112.95434209151</v>
          </cell>
        </row>
        <row r="434">
          <cell r="E434" t="str">
            <v>TGS-27-440BBS-L48 MONTHS/270 000 KMNo</v>
          </cell>
          <cell r="F434">
            <v>264285.02463749168</v>
          </cell>
        </row>
        <row r="435">
          <cell r="E435" t="str">
            <v>TGS-27-440BBS-L48 MONTHS/270 000 KMYes</v>
          </cell>
          <cell r="F435">
            <v>332815.84517952474</v>
          </cell>
        </row>
        <row r="436">
          <cell r="E436" t="str">
            <v>TGS-27-440BBS-L48 MONTHS/280 000 KMNo</v>
          </cell>
          <cell r="F436">
            <v>246995.35012849685</v>
          </cell>
        </row>
        <row r="437">
          <cell r="E437" t="str">
            <v>TGS-27-440BBS-L48 MONTHS/280 000 KMYes</v>
          </cell>
          <cell r="F437">
            <v>311042.84596217261</v>
          </cell>
        </row>
        <row r="438">
          <cell r="E438" t="str">
            <v>TGS-27-440BBS-L48 MONTHS/30 000 KMNo</v>
          </cell>
          <cell r="F438">
            <v>528805.02299082256</v>
          </cell>
        </row>
        <row r="439">
          <cell r="E439" t="str">
            <v>TGS-27-440BBS-L48 MONTHS/30 000 KMYes</v>
          </cell>
          <cell r="F439">
            <v>679556.63079496601</v>
          </cell>
        </row>
        <row r="440">
          <cell r="E440" t="str">
            <v>TGS-27-440BBS-L48 MONTHS/40 000 KMNo</v>
          </cell>
          <cell r="F440">
            <v>522534.60769844119</v>
          </cell>
        </row>
        <row r="441">
          <cell r="E441" t="str">
            <v>TGS-27-440BBS-L48 MONTHS/40 000 KMYes</v>
          </cell>
          <cell r="F441">
            <v>671167.04276046029</v>
          </cell>
        </row>
        <row r="442">
          <cell r="E442" t="str">
            <v>TGS-27-440BBS-L48 MONTHS/50 000 KMNo</v>
          </cell>
          <cell r="F442">
            <v>516338.54515656241</v>
          </cell>
        </row>
        <row r="443">
          <cell r="E443" t="str">
            <v>TGS-27-440BBS-L48 MONTHS/50 000 KMYes</v>
          </cell>
          <cell r="F443">
            <v>662881.02988687437</v>
          </cell>
        </row>
        <row r="444">
          <cell r="E444" t="str">
            <v>TGS-27-440BBS-L48 MONTHS/60 000 KMNo</v>
          </cell>
          <cell r="F444">
            <v>510215.95371201821</v>
          </cell>
        </row>
        <row r="445">
          <cell r="E445" t="str">
            <v>TGS-27-440BBS-L48 MONTHS/60 000 KMYes</v>
          </cell>
          <cell r="F445">
            <v>654697.31346851797</v>
          </cell>
        </row>
        <row r="446">
          <cell r="E446" t="str">
            <v>TGS-27-440BBS-L48 MONTHS/70 000 KMNo</v>
          </cell>
          <cell r="F446">
            <v>504664.64264294587</v>
          </cell>
        </row>
        <row r="447">
          <cell r="E447" t="str">
            <v>TGS-27-440BBS-L48 MONTHS/70 000 KMYes</v>
          </cell>
          <cell r="F447">
            <v>647573.99947430065</v>
          </cell>
        </row>
        <row r="448">
          <cell r="E448" t="str">
            <v>TGS-27-440BBS-L48 MONTHS/80 000 KMNo</v>
          </cell>
          <cell r="F448">
            <v>499173.73159539653</v>
          </cell>
        </row>
        <row r="449">
          <cell r="E449" t="str">
            <v>TGS-27-440BBS-L48 MONTHS/80 000 KMYes</v>
          </cell>
          <cell r="F449">
            <v>640528.18939099973</v>
          </cell>
        </row>
        <row r="450">
          <cell r="E450" t="str">
            <v>TGS-27-440BBS-L48 MONTHS/90 000 KMNo</v>
          </cell>
          <cell r="F450">
            <v>493742.56339801836</v>
          </cell>
        </row>
        <row r="451">
          <cell r="E451" t="str">
            <v>TGS-27-440BBS-L48 MONTHS/90 000 KMYes</v>
          </cell>
          <cell r="F451">
            <v>633559.03995153296</v>
          </cell>
        </row>
        <row r="452">
          <cell r="E452" t="str">
            <v>TGS-27-440BBS-L54 MONTHS/10 000 KMNo</v>
          </cell>
          <cell r="F452">
            <v>479267.69156275486</v>
          </cell>
        </row>
        <row r="453">
          <cell r="E453" t="str">
            <v>TGS-27-440BBS-L54 MONTHS/10 000 KMYes</v>
          </cell>
          <cell r="F453">
            <v>616505.95335256809</v>
          </cell>
        </row>
        <row r="454">
          <cell r="E454" t="str">
            <v>TGS-27-440BBS-L54 MONTHS/100 000 KMNo</v>
          </cell>
          <cell r="F454">
            <v>432186.27259264764</v>
          </cell>
        </row>
        <row r="455">
          <cell r="E455" t="str">
            <v>TGS-27-440BBS-L54 MONTHS/100 000 KMYes</v>
          </cell>
          <cell r="F455">
            <v>554571.43102993886</v>
          </cell>
        </row>
        <row r="456">
          <cell r="E456" t="str">
            <v>TGS-27-440BBS-L54 MONTHS/110 000 KMNo</v>
          </cell>
          <cell r="F456">
            <v>427483.94915197592</v>
          </cell>
        </row>
        <row r="457">
          <cell r="E457" t="str">
            <v>TGS-27-440BBS-L54 MONTHS/110 000 KMYes</v>
          </cell>
          <cell r="F457">
            <v>548537.51832832734</v>
          </cell>
        </row>
        <row r="458">
          <cell r="E458" t="str">
            <v>TGS-27-440BBS-L54 MONTHS/120 000 KMNo</v>
          </cell>
          <cell r="F458">
            <v>423251.43480393657</v>
          </cell>
        </row>
        <row r="459">
          <cell r="E459" t="str">
            <v>TGS-27-440BBS-L54 MONTHS/120 000 KMYes</v>
          </cell>
          <cell r="F459">
            <v>543106.45379042323</v>
          </cell>
        </row>
        <row r="460">
          <cell r="E460" t="str">
            <v>TGS-27-440BBS-L54 MONTHS/130 000 KMNo</v>
          </cell>
          <cell r="F460">
            <v>419060.82653855107</v>
          </cell>
        </row>
        <row r="461">
          <cell r="E461" t="str">
            <v>TGS-27-440BBS-L54 MONTHS/130 000 KMYes</v>
          </cell>
          <cell r="F461">
            <v>537729.16216873587</v>
          </cell>
        </row>
        <row r="462">
          <cell r="E462" t="str">
            <v>TGS-27-440BBS-L54 MONTHS/140 000 KMNo</v>
          </cell>
          <cell r="F462">
            <v>414911.70944410993</v>
          </cell>
        </row>
        <row r="463">
          <cell r="E463" t="str">
            <v>TGS-27-440BBS-L54 MONTHS/140 000 KMYes</v>
          </cell>
          <cell r="F463">
            <v>532405.11105815426</v>
          </cell>
        </row>
        <row r="464">
          <cell r="E464" t="str">
            <v>TGS-27-440BBS-L54 MONTHS/150 000 KMNo</v>
          </cell>
          <cell r="F464">
            <v>410803.67271694052</v>
          </cell>
        </row>
        <row r="465">
          <cell r="E465" t="str">
            <v>TGS-27-440BBS-L54 MONTHS/150 000 KMYes</v>
          </cell>
          <cell r="F465">
            <v>527133.7733249052</v>
          </cell>
        </row>
        <row r="466">
          <cell r="E466" t="str">
            <v>TGS-27-440BBS-L54 MONTHS/160 000 KMNo</v>
          </cell>
          <cell r="F466">
            <v>406736.3096207332</v>
          </cell>
        </row>
        <row r="467">
          <cell r="E467" t="str">
            <v>TGS-27-440BBS-L54 MONTHS/160 000 KMYes</v>
          </cell>
          <cell r="F467">
            <v>521914.62705436163</v>
          </cell>
        </row>
        <row r="468">
          <cell r="E468" t="str">
            <v>TGS-27-440BBS-L54 MONTHS/170 000 KMNo</v>
          </cell>
          <cell r="F468">
            <v>402709.21744627052</v>
          </cell>
        </row>
        <row r="469">
          <cell r="E469" t="str">
            <v>TGS-27-440BBS-L54 MONTHS/170 000 KMYes</v>
          </cell>
          <cell r="F469">
            <v>516747.15549936792</v>
          </cell>
        </row>
        <row r="470">
          <cell r="E470" t="str">
            <v>TGS-27-440BBS-L54 MONTHS/180 000 KMNo</v>
          </cell>
          <cell r="F470">
            <v>398721.99747155496</v>
          </cell>
        </row>
        <row r="471">
          <cell r="E471" t="str">
            <v>TGS-27-440BBS-L54 MONTHS/180 000 KMYes</v>
          </cell>
          <cell r="F471">
            <v>511630.84702907718</v>
          </cell>
        </row>
        <row r="472">
          <cell r="E472" t="str">
            <v>TGS-27-440BBS-L54 MONTHS/190 000 KMNo</v>
          </cell>
          <cell r="F472">
            <v>379735.23568719527</v>
          </cell>
        </row>
        <row r="473">
          <cell r="E473" t="str">
            <v>TGS-27-440BBS-L54 MONTHS/190 000 KMYes</v>
          </cell>
          <cell r="F473">
            <v>491952.73752795876</v>
          </cell>
        </row>
        <row r="474">
          <cell r="E474" t="str">
            <v>TGS-27-440BBS-L54 MONTHS/20 000 KMNo</v>
          </cell>
          <cell r="F474">
            <v>473584.67545726767</v>
          </cell>
        </row>
        <row r="475">
          <cell r="E475" t="str">
            <v>TGS-27-440BBS-L54 MONTHS/20 000 KMYes</v>
          </cell>
          <cell r="F475">
            <v>608894.76874327706</v>
          </cell>
        </row>
        <row r="476">
          <cell r="E476" t="str">
            <v>TGS-27-440BBS-L54 MONTHS/200 000 KMNo</v>
          </cell>
          <cell r="F476">
            <v>361652.60541637638</v>
          </cell>
        </row>
        <row r="477">
          <cell r="E477" t="str">
            <v>TGS-27-440BBS-L54 MONTHS/200 000 KMYes</v>
          </cell>
          <cell r="F477">
            <v>464106.35615845158</v>
          </cell>
        </row>
        <row r="478">
          <cell r="E478" t="str">
            <v>TGS-27-440BBS-L54 MONTHS/210 000 KMNo</v>
          </cell>
          <cell r="F478">
            <v>344431.05277750129</v>
          </cell>
        </row>
        <row r="479">
          <cell r="E479" t="str">
            <v>TGS-27-440BBS-L54 MONTHS/210 000 KMYes</v>
          </cell>
          <cell r="F479">
            <v>442006.05348423956</v>
          </cell>
        </row>
        <row r="480">
          <cell r="E480" t="str">
            <v>TGS-27-440BBS-L54 MONTHS/220 000 KMNo</v>
          </cell>
          <cell r="F480">
            <v>328029.57407381065</v>
          </cell>
        </row>
        <row r="481">
          <cell r="E481" t="str">
            <v>TGS-27-440BBS-L54 MONTHS/220 000 KMYes</v>
          </cell>
          <cell r="F481">
            <v>413089.76961143885</v>
          </cell>
        </row>
        <row r="482">
          <cell r="E482" t="str">
            <v>TGS-27-440BBS-L54 MONTHS/230 000 KMNo</v>
          </cell>
          <cell r="F482">
            <v>306569.6953960848</v>
          </cell>
        </row>
        <row r="483">
          <cell r="E483" t="str">
            <v>TGS-27-440BBS-L54 MONTHS/230 000 KMYes</v>
          </cell>
          <cell r="F483">
            <v>386065.20524433529</v>
          </cell>
        </row>
        <row r="484">
          <cell r="E484" t="str">
            <v>TGS-27-440BBS-L54 MONTHS/240 000 KMNo</v>
          </cell>
          <cell r="F484">
            <v>286513.73401503247</v>
          </cell>
        </row>
        <row r="485">
          <cell r="E485" t="str">
            <v>TGS-27-440BBS-L54 MONTHS/240 000 KMYes</v>
          </cell>
          <cell r="F485">
            <v>360808.60303208907</v>
          </cell>
        </row>
        <row r="486">
          <cell r="E486" t="str">
            <v>TGS-27-440BBS-L54 MONTHS/250 000 KMNo</v>
          </cell>
          <cell r="F486">
            <v>267769.84487386217</v>
          </cell>
        </row>
        <row r="487">
          <cell r="E487" t="str">
            <v>TGS-27-440BBS-L54 MONTHS/250 000 KMYes</v>
          </cell>
          <cell r="F487">
            <v>337204.30189914862</v>
          </cell>
        </row>
        <row r="488">
          <cell r="E488" t="str">
            <v>TGS-27-440BBS-L54 MONTHS/260 000 KMNo</v>
          </cell>
          <cell r="F488">
            <v>250252.19147089924</v>
          </cell>
        </row>
        <row r="489">
          <cell r="E489" t="str">
            <v>TGS-27-440BBS-L54 MONTHS/260 000 KMYes</v>
          </cell>
          <cell r="F489">
            <v>315144.20738238189</v>
          </cell>
        </row>
        <row r="490">
          <cell r="E490" t="str">
            <v>TGS-27-440BBS-L54 MONTHS/270 000 KMNo</v>
          </cell>
          <cell r="F490">
            <v>233880.5527765413</v>
          </cell>
        </row>
        <row r="491">
          <cell r="E491" t="str">
            <v>TGS-27-440BBS-L54 MONTHS/270 000 KMYes</v>
          </cell>
          <cell r="F491">
            <v>294527.29661904846</v>
          </cell>
        </row>
        <row r="492">
          <cell r="E492" t="str">
            <v>TGS-27-440BBS-L54 MONTHS/280 000 KMNo</v>
          </cell>
          <cell r="F492">
            <v>218579.95586592646</v>
          </cell>
        </row>
        <row r="493">
          <cell r="E493" t="str">
            <v>TGS-27-440BBS-L54 MONTHS/280 000 KMYes</v>
          </cell>
          <cell r="F493">
            <v>275259.15571873687</v>
          </cell>
        </row>
        <row r="494">
          <cell r="E494" t="str">
            <v>TGS-27-440BBS-L54 MONTHS/30 000 KMNo</v>
          </cell>
          <cell r="F494">
            <v>467969.04689453327</v>
          </cell>
        </row>
        <row r="495">
          <cell r="E495" t="str">
            <v>TGS-27-440BBS-L54 MONTHS/30 000 KMYes</v>
          </cell>
          <cell r="F495">
            <v>601377.5493760762</v>
          </cell>
        </row>
        <row r="496">
          <cell r="E496" t="str">
            <v>TGS-27-440BBS-L54 MONTHS/40 000 KMNo</v>
          </cell>
          <cell r="F496">
            <v>462420.00681277981</v>
          </cell>
        </row>
        <row r="497">
          <cell r="E497" t="str">
            <v>TGS-27-440BBS-L54 MONTHS/40 000 KMYes</v>
          </cell>
          <cell r="F497">
            <v>593953.13518624811</v>
          </cell>
        </row>
        <row r="498">
          <cell r="E498" t="str">
            <v>TGS-27-440BBS-L54 MONTHS/50 000 KMNo</v>
          </cell>
          <cell r="F498">
            <v>456936.76562527649</v>
          </cell>
        </row>
        <row r="499">
          <cell r="E499" t="str">
            <v>TGS-27-440BBS-L54 MONTHS/50 000 KMYes</v>
          </cell>
          <cell r="F499">
            <v>586620.38043086242</v>
          </cell>
        </row>
        <row r="500">
          <cell r="E500" t="str">
            <v>TGS-27-440BBS-L54 MONTHS/60 000 KMNo</v>
          </cell>
          <cell r="F500">
            <v>451518.54310798075</v>
          </cell>
        </row>
        <row r="501">
          <cell r="E501" t="str">
            <v>TGS-27-440BBS-L54 MONTHS/60 000 KMYes</v>
          </cell>
          <cell r="F501">
            <v>579378.15351196285</v>
          </cell>
        </row>
        <row r="502">
          <cell r="E502" t="str">
            <v>TGS-27-440BBS-L54 MONTHS/70 000 KMNo</v>
          </cell>
          <cell r="F502">
            <v>446605.87844508485</v>
          </cell>
        </row>
        <row r="503">
          <cell r="E503" t="str">
            <v>TGS-27-440BBS-L54 MONTHS/70 000 KMYes</v>
          </cell>
          <cell r="F503">
            <v>573074.33581796533</v>
          </cell>
        </row>
        <row r="504">
          <cell r="E504" t="str">
            <v>TGS-27-440BBS-L54 MONTHS/80 000 KMNo</v>
          </cell>
          <cell r="F504">
            <v>441746.66512866953</v>
          </cell>
        </row>
        <row r="505">
          <cell r="E505" t="str">
            <v>TGS-27-440BBS-L54 MONTHS/80 000 KMYes</v>
          </cell>
          <cell r="F505">
            <v>566839.10565575201</v>
          </cell>
        </row>
        <row r="506">
          <cell r="E506" t="str">
            <v>TGS-27-440BBS-L54 MONTHS/90 000 KMNo</v>
          </cell>
          <cell r="F506">
            <v>436940.32159116672</v>
          </cell>
        </row>
        <row r="507">
          <cell r="E507" t="str">
            <v>TGS-27-440BBS-L54 MONTHS/90 000 KMYes</v>
          </cell>
          <cell r="F507">
            <v>560671.71677126817</v>
          </cell>
        </row>
        <row r="508">
          <cell r="E508" t="str">
            <v>TGS-27-440BBS-L60 MONTHS/10 000 KMNo</v>
          </cell>
          <cell r="F508">
            <v>382286.46456417383</v>
          </cell>
        </row>
        <row r="509">
          <cell r="E509" t="str">
            <v>TGS-27-440BBS-L60 MONTHS/10 000 KMYes</v>
          </cell>
          <cell r="F509">
            <v>482767.42505073454</v>
          </cell>
        </row>
        <row r="510">
          <cell r="E510" t="str">
            <v>TGS-27-440BBS-L60 MONTHS/100 000 KMNo</v>
          </cell>
          <cell r="F510">
            <v>344732.10919742956</v>
          </cell>
        </row>
        <row r="511">
          <cell r="E511" t="str">
            <v>TGS-27-440BBS-L60 MONTHS/100 000 KMYes</v>
          </cell>
          <cell r="F511">
            <v>434268.34778984776</v>
          </cell>
        </row>
        <row r="512">
          <cell r="E512" t="str">
            <v>TGS-27-440BBS-L60 MONTHS/110 000 KMNo</v>
          </cell>
          <cell r="F512">
            <v>340981.31473534077</v>
          </cell>
        </row>
        <row r="513">
          <cell r="E513" t="str">
            <v>TGS-27-440BBS-L60 MONTHS/110 000 KMYes</v>
          </cell>
          <cell r="F513">
            <v>429543.3707120156</v>
          </cell>
        </row>
        <row r="514">
          <cell r="E514" t="str">
            <v>TGS-27-440BBS-L60 MONTHS/120 000 KMNo</v>
          </cell>
          <cell r="F514">
            <v>337605.26211419876</v>
          </cell>
        </row>
        <row r="515">
          <cell r="E515" t="str">
            <v>TGS-27-440BBS-L60 MONTHS/120 000 KMYes</v>
          </cell>
          <cell r="F515">
            <v>425290.46605150064</v>
          </cell>
        </row>
        <row r="516">
          <cell r="E516" t="str">
            <v>TGS-27-440BBS-L60 MONTHS/130 000 KMNo</v>
          </cell>
          <cell r="F516">
            <v>334262.63575663243</v>
          </cell>
        </row>
        <row r="517">
          <cell r="E517" t="str">
            <v>TGS-27-440BBS-L60 MONTHS/130 000 KMYes</v>
          </cell>
          <cell r="F517">
            <v>421079.66935792146</v>
          </cell>
        </row>
        <row r="518">
          <cell r="E518" t="str">
            <v>TGS-27-440BBS-L60 MONTHS/140 000 KMNo</v>
          </cell>
          <cell r="F518">
            <v>330953.10470953712</v>
          </cell>
        </row>
        <row r="519">
          <cell r="E519" t="str">
            <v>TGS-27-440BBS-L60 MONTHS/140 000 KMYes</v>
          </cell>
          <cell r="F519">
            <v>416910.56372071424</v>
          </cell>
        </row>
        <row r="520">
          <cell r="E520" t="str">
            <v>TGS-27-440BBS-L60 MONTHS/150 000 KMNo</v>
          </cell>
          <cell r="F520">
            <v>327676.34129657137</v>
          </cell>
        </row>
        <row r="521">
          <cell r="E521" t="str">
            <v>TGS-27-440BBS-L60 MONTHS/150 000 KMYes</v>
          </cell>
          <cell r="F521">
            <v>412782.73635714286</v>
          </cell>
        </row>
        <row r="522">
          <cell r="E522" t="str">
            <v>TGS-27-440BBS-L60 MONTHS/160 000 KMNo</v>
          </cell>
          <cell r="F522">
            <v>324432.02108571422</v>
          </cell>
        </row>
        <row r="523">
          <cell r="E523" t="str">
            <v>TGS-27-440BBS-L60 MONTHS/160 000 KMYes</v>
          </cell>
          <cell r="F523">
            <v>408695.77857142856</v>
          </cell>
        </row>
        <row r="524">
          <cell r="E524" t="str">
            <v>TGS-27-440BBS-L60 MONTHS/170 000 KMNo</v>
          </cell>
          <cell r="F524">
            <v>321219.82285714278</v>
          </cell>
        </row>
        <row r="525">
          <cell r="E525" t="str">
            <v>TGS-27-440BBS-L60 MONTHS/170 000 KMYes</v>
          </cell>
          <cell r="F525">
            <v>404649.28571428568</v>
          </cell>
        </row>
        <row r="526">
          <cell r="E526" t="str">
            <v>TGS-27-440BBS-L60 MONTHS/180 000 KMNo</v>
          </cell>
          <cell r="F526">
            <v>318039.42857142852</v>
          </cell>
        </row>
        <row r="527">
          <cell r="E527" t="str">
            <v>TGS-27-440BBS-L60 MONTHS/180 000 KMYes</v>
          </cell>
          <cell r="F527">
            <v>400642.8571428571</v>
          </cell>
        </row>
        <row r="528">
          <cell r="E528" t="str">
            <v>TGS-27-440BBS-L60 MONTHS/190 000 KMNo</v>
          </cell>
          <cell r="F528">
            <v>302894.69387755095</v>
          </cell>
        </row>
        <row r="529">
          <cell r="E529" t="str">
            <v>TGS-27-440BBS-L60 MONTHS/190 000 KMYes</v>
          </cell>
          <cell r="F529">
            <v>385233.51648351649</v>
          </cell>
        </row>
        <row r="530">
          <cell r="E530" t="str">
            <v>TGS-27-440BBS-L60 MONTHS/20 000 KMNo</v>
          </cell>
          <cell r="F530">
            <v>377753.42348238517</v>
          </cell>
        </row>
        <row r="531">
          <cell r="E531" t="str">
            <v>TGS-27-440BBS-L60 MONTHS/20 000 KMYes</v>
          </cell>
          <cell r="F531">
            <v>476807.33338344161</v>
          </cell>
        </row>
        <row r="532">
          <cell r="E532" t="str">
            <v>TGS-27-440BBS-L60 MONTHS/200 000 KMNo</v>
          </cell>
          <cell r="F532">
            <v>288471.13702623901</v>
          </cell>
        </row>
        <row r="533">
          <cell r="E533" t="str">
            <v>TGS-27-440BBS-L60 MONTHS/200 000 KMYes</v>
          </cell>
          <cell r="F533">
            <v>363427.84573916649</v>
          </cell>
        </row>
        <row r="534">
          <cell r="E534" t="str">
            <v>TGS-27-440BBS-L60 MONTHS/210 000 KMNo</v>
          </cell>
          <cell r="F534">
            <v>274734.4162154657</v>
          </cell>
        </row>
        <row r="535">
          <cell r="E535" t="str">
            <v>TGS-27-440BBS-L60 MONTHS/210 000 KMYes</v>
          </cell>
          <cell r="F535">
            <v>346121.75784682523</v>
          </cell>
        </row>
        <row r="536">
          <cell r="E536" t="str">
            <v>TGS-27-440BBS-L60 MONTHS/220 000 KMNo</v>
          </cell>
          <cell r="F536">
            <v>261651.82496711018</v>
          </cell>
        </row>
        <row r="537">
          <cell r="E537" t="str">
            <v>TGS-27-440BBS-L60 MONTHS/220 000 KMYes</v>
          </cell>
          <cell r="F537">
            <v>323478.27836151887</v>
          </cell>
        </row>
        <row r="538">
          <cell r="E538" t="str">
            <v>TGS-27-440BBS-L60 MONTHS/230 000 KMNo</v>
          </cell>
          <cell r="F538">
            <v>244534.4158571123</v>
          </cell>
        </row>
        <row r="539">
          <cell r="E539" t="str">
            <v>TGS-27-440BBS-L60 MONTHS/230 000 KMYes</v>
          </cell>
          <cell r="F539">
            <v>302316.1480014195</v>
          </cell>
        </row>
        <row r="540">
          <cell r="E540" t="str">
            <v>TGS-27-440BBS-L60 MONTHS/240 000 KMNo</v>
          </cell>
          <cell r="F540">
            <v>228536.83724963764</v>
          </cell>
        </row>
        <row r="541">
          <cell r="E541" t="str">
            <v>TGS-27-440BBS-L60 MONTHS/240 000 KMYes</v>
          </cell>
          <cell r="F541">
            <v>282538.45607609296</v>
          </cell>
        </row>
        <row r="542">
          <cell r="E542" t="str">
            <v>TGS-27-440BBS-L60 MONTHS/250 000 KMNo</v>
          </cell>
          <cell r="F542">
            <v>213585.82920526882</v>
          </cell>
        </row>
        <row r="543">
          <cell r="E543" t="str">
            <v>TGS-27-440BBS-L60 MONTHS/250 000 KMYes</v>
          </cell>
          <cell r="F543">
            <v>264054.63184681587</v>
          </cell>
        </row>
        <row r="544">
          <cell r="E544" t="str">
            <v>TGS-27-440BBS-L60 MONTHS/260 000 KMNo</v>
          </cell>
          <cell r="F544">
            <v>199612.92449090543</v>
          </cell>
        </row>
        <row r="545">
          <cell r="E545" t="str">
            <v>TGS-27-440BBS-L60 MONTHS/260 000 KMYes</v>
          </cell>
          <cell r="F545">
            <v>246780.02976337928</v>
          </cell>
        </row>
        <row r="546">
          <cell r="E546" t="str">
            <v>TGS-27-440BBS-L60 MONTHS/270 000 KMNo</v>
          </cell>
          <cell r="F546">
            <v>186554.13503822937</v>
          </cell>
        </row>
        <row r="547">
          <cell r="E547" t="str">
            <v>TGS-27-440BBS-L60 MONTHS/270 000 KMYes</v>
          </cell>
          <cell r="F547">
            <v>230635.54183493389</v>
          </cell>
        </row>
        <row r="548">
          <cell r="E548" t="str">
            <v>TGS-27-440BBS-L60 MONTHS/280 000 KMNo</v>
          </cell>
          <cell r="F548">
            <v>174349.65891423303</v>
          </cell>
        </row>
        <row r="549">
          <cell r="E549" t="str">
            <v>TGS-27-440BBS-L60 MONTHS/280 000 KMYes</v>
          </cell>
          <cell r="F549">
            <v>215547.2353597513</v>
          </cell>
        </row>
        <row r="550">
          <cell r="E550" t="str">
            <v>TGS-27-440BBS-L60 MONTHS/30 000 KMNo</v>
          </cell>
          <cell r="F550">
            <v>373274.13387587469</v>
          </cell>
        </row>
        <row r="551">
          <cell r="E551" t="str">
            <v>TGS-27-440BBS-L60 MONTHS/30 000 KMYes</v>
          </cell>
          <cell r="F551">
            <v>470920.82309475716</v>
          </cell>
        </row>
        <row r="552">
          <cell r="E552" t="str">
            <v>TGS-27-440BBS-L60 MONTHS/40 000 KMNo</v>
          </cell>
          <cell r="F552">
            <v>368847.95837537025</v>
          </cell>
        </row>
        <row r="553">
          <cell r="E553" t="str">
            <v>TGS-27-440BBS-L60 MONTHS/40 000 KMYes</v>
          </cell>
          <cell r="F553">
            <v>465106.9857725997</v>
          </cell>
        </row>
        <row r="554">
          <cell r="E554" t="str">
            <v>TGS-27-440BBS-L60 MONTHS/50 000 KMNo</v>
          </cell>
          <cell r="F554">
            <v>364474.26716933819</v>
          </cell>
        </row>
        <row r="555">
          <cell r="E555" t="str">
            <v>TGS-27-440BBS-L60 MONTHS/50 000 KMYes</v>
          </cell>
          <cell r="F555">
            <v>459364.92421985156</v>
          </cell>
        </row>
        <row r="556">
          <cell r="E556" t="str">
            <v>TGS-27-440BBS-L60 MONTHS/60 000 KMNo</v>
          </cell>
          <cell r="F556">
            <v>360152.43791436579</v>
          </cell>
        </row>
        <row r="557">
          <cell r="E557" t="str">
            <v>TGS-27-440BBS-L60 MONTHS/60 000 KMYes</v>
          </cell>
          <cell r="F557">
            <v>453693.75231590279</v>
          </cell>
        </row>
        <row r="558">
          <cell r="E558" t="str">
            <v>TGS-27-440BBS-L60 MONTHS/70 000 KMNo</v>
          </cell>
          <cell r="F558">
            <v>356233.86539502064</v>
          </cell>
        </row>
        <row r="559">
          <cell r="E559" t="str">
            <v>TGS-27-440BBS-L60 MONTHS/70 000 KMYes</v>
          </cell>
          <cell r="F559">
            <v>448757.42068833119</v>
          </cell>
        </row>
        <row r="560">
          <cell r="E560" t="str">
            <v>TGS-27-440BBS-L60 MONTHS/80 000 KMNo</v>
          </cell>
          <cell r="F560">
            <v>352357.92818498582</v>
          </cell>
        </row>
        <row r="561">
          <cell r="E561" t="str">
            <v>TGS-27-440BBS-L60 MONTHS/80 000 KMYes</v>
          </cell>
          <cell r="F561">
            <v>443874.79791130684</v>
          </cell>
        </row>
        <row r="562">
          <cell r="E562" t="str">
            <v>TGS-27-440BBS-L60 MONTHS/90 000 KMNo</v>
          </cell>
          <cell r="F562">
            <v>348524.16239860124</v>
          </cell>
        </row>
        <row r="563">
          <cell r="E563" t="str">
            <v>TGS-27-440BBS-L60 MONTHS/90 000 KMYes</v>
          </cell>
          <cell r="F563">
            <v>439045.299615536</v>
          </cell>
        </row>
        <row r="564">
          <cell r="E564" t="str">
            <v>TGS-33-440BBS-L36 MONTHS/10 000 KMNo</v>
          </cell>
          <cell r="F564">
            <v>556863.19681176334</v>
          </cell>
        </row>
        <row r="565">
          <cell r="E565" t="str">
            <v>TGS-33-440BBS-L36 MONTHS/10 000 KMYes</v>
          </cell>
          <cell r="F565">
            <v>714984.66748020204</v>
          </cell>
        </row>
        <row r="566">
          <cell r="E566" t="str">
            <v>TGS-33-440BBS-L36 MONTHS/100 000 KMNo</v>
          </cell>
          <cell r="F566">
            <v>502159.09315595723</v>
          </cell>
        </row>
        <row r="567">
          <cell r="E567" t="str">
            <v>TGS-33-440BBS-L36 MONTHS/100 000 KMYes</v>
          </cell>
          <cell r="F567">
            <v>643156.92014445818</v>
          </cell>
        </row>
        <row r="568">
          <cell r="E568" t="str">
            <v>TGS-33-440BBS-L36 MONTHS/110 000 KMNo</v>
          </cell>
          <cell r="F568">
            <v>496695.44327987859</v>
          </cell>
        </row>
        <row r="569">
          <cell r="E569" t="str">
            <v>TGS-33-440BBS-L36 MONTHS/110 000 KMYes</v>
          </cell>
          <cell r="F569">
            <v>636159.16928235232</v>
          </cell>
        </row>
        <row r="570">
          <cell r="E570" t="str">
            <v>TGS-33-440BBS-L36 MONTHS/120 000 KMNo</v>
          </cell>
          <cell r="F570">
            <v>491291.23964379687</v>
          </cell>
        </row>
        <row r="571">
          <cell r="E571" t="str">
            <v>TGS-33-440BBS-L36 MONTHS/120 000 KMYes</v>
          </cell>
          <cell r="F571">
            <v>629860.56364589336</v>
          </cell>
        </row>
        <row r="572">
          <cell r="E572" t="str">
            <v>TGS-33-440BBS-L36 MONTHS/130 000 KMNo</v>
          </cell>
          <cell r="F572">
            <v>486426.96994435333</v>
          </cell>
        </row>
        <row r="573">
          <cell r="E573" t="str">
            <v>TGS-33-440BBS-L36 MONTHS/130 000 KMYes</v>
          </cell>
          <cell r="F573">
            <v>623624.32044147851</v>
          </cell>
        </row>
        <row r="574">
          <cell r="E574" t="str">
            <v>TGS-33-440BBS-L36 MONTHS/140 000 KMYes</v>
          </cell>
          <cell r="F574">
            <v>617449.82221928565</v>
          </cell>
        </row>
        <row r="575">
          <cell r="E575" t="str">
            <v>TGS-33-440BBS-L36 MONTHS/150 000 KMNo</v>
          </cell>
          <cell r="F575">
            <v>476842.43696142861</v>
          </cell>
        </row>
        <row r="576">
          <cell r="E576" t="str">
            <v>TGS-33-440BBS-L36 MONTHS/150 000 KMYes</v>
          </cell>
          <cell r="F576">
            <v>611336.4576428571</v>
          </cell>
        </row>
        <row r="577">
          <cell r="E577" t="str">
            <v>TGS-33-440BBS-L36 MONTHS/160 000 KMNo</v>
          </cell>
          <cell r="F577">
            <v>472121.22471428575</v>
          </cell>
        </row>
        <row r="578">
          <cell r="E578" t="str">
            <v>TGS-33-440BBS-L36 MONTHS/160 000 KMYes</v>
          </cell>
          <cell r="F578">
            <v>605283.62142857141</v>
          </cell>
        </row>
        <row r="579">
          <cell r="E579" t="str">
            <v>TGS-33-440BBS-L36 MONTHS/170 000 KMNo</v>
          </cell>
          <cell r="F579">
            <v>467446.75714285712</v>
          </cell>
        </row>
        <row r="580">
          <cell r="E580" t="str">
            <v>TGS-33-440BBS-L36 MONTHS/170 000 KMYes</v>
          </cell>
          <cell r="F580">
            <v>599290.7142857142</v>
          </cell>
        </row>
        <row r="581">
          <cell r="E581" t="str">
            <v>TGS-33-440BBS-L36 MONTHS/180 000 KMNo</v>
          </cell>
          <cell r="F581">
            <v>462818.57142857142</v>
          </cell>
        </row>
        <row r="582">
          <cell r="E582" t="str">
            <v>TGS-33-440BBS-L36 MONTHS/180 000 KMYes</v>
          </cell>
          <cell r="F582">
            <v>593357.14285714284</v>
          </cell>
        </row>
        <row r="583">
          <cell r="E583" t="str">
            <v>TGS-33-440BBS-L36 MONTHS/190 000 KMNo</v>
          </cell>
          <cell r="F583">
            <v>440779.59183673467</v>
          </cell>
        </row>
        <row r="584">
          <cell r="E584" t="str">
            <v>TGS-33-440BBS-L36 MONTHS/190 000 KMYes</v>
          </cell>
          <cell r="F584">
            <v>565102.04081632651</v>
          </cell>
        </row>
        <row r="585">
          <cell r="E585" t="str">
            <v>TGS-33-440BBS-L36 MONTHS/20 000 KMNo</v>
          </cell>
          <cell r="F585">
            <v>550260.07590095187</v>
          </cell>
        </row>
        <row r="586">
          <cell r="E586" t="str">
            <v>TGS-33-440BBS-L36 MONTHS/20 000 KMYes</v>
          </cell>
          <cell r="F586">
            <v>706157.69627674285</v>
          </cell>
        </row>
        <row r="587">
          <cell r="E587" t="str">
            <v>TGS-33-440BBS-L36 MONTHS/200 000 KMNo</v>
          </cell>
          <cell r="F587">
            <v>419790.08746355679</v>
          </cell>
        </row>
        <row r="588">
          <cell r="E588" t="str">
            <v>TGS-33-440BBS-L36 MONTHS/200 000 KMYes</v>
          </cell>
          <cell r="F588">
            <v>533115.13284559106</v>
          </cell>
        </row>
        <row r="589">
          <cell r="E589" t="str">
            <v>TGS-33-440BBS-L36 MONTHS/210 000 KMNo</v>
          </cell>
          <cell r="F589">
            <v>399800.08329862548</v>
          </cell>
        </row>
        <row r="590">
          <cell r="E590" t="str">
            <v>TGS-33-440BBS-L36 MONTHS/210 000 KMYes</v>
          </cell>
          <cell r="F590">
            <v>502938.80457131221</v>
          </cell>
        </row>
        <row r="591">
          <cell r="E591" t="str">
            <v>TGS-33-440BBS-L36 MONTHS/220 000 KMNo</v>
          </cell>
          <cell r="F591">
            <v>380761.984093929</v>
          </cell>
        </row>
        <row r="592">
          <cell r="E592" t="str">
            <v>TGS-33-440BBS-L36 MONTHS/220 000 KMYes</v>
          </cell>
          <cell r="F592">
            <v>478989.33768696402</v>
          </cell>
        </row>
        <row r="593">
          <cell r="E593" t="str">
            <v>TGS-33-440BBS-L36 MONTHS/230 000 KMNo</v>
          </cell>
          <cell r="F593">
            <v>355852.32158311119</v>
          </cell>
        </row>
        <row r="594">
          <cell r="E594" t="str">
            <v>TGS-33-440BBS-L36 MONTHS/230 000 KMYes</v>
          </cell>
          <cell r="F594">
            <v>447653.58662333083</v>
          </cell>
        </row>
        <row r="595">
          <cell r="E595" t="str">
            <v>TGS-33-440BBS-L36 MONTHS/240 000 KMNo</v>
          </cell>
          <cell r="F595">
            <v>332572.26316178613</v>
          </cell>
        </row>
        <row r="596">
          <cell r="E596" t="str">
            <v>TGS-33-440BBS-L36 MONTHS/240 000 KMYes</v>
          </cell>
          <cell r="F596">
            <v>418367.8379657297</v>
          </cell>
        </row>
        <row r="597">
          <cell r="E597" t="str">
            <v>TGS-33-440BBS-L36 MONTHS/250 000 KMNo</v>
          </cell>
          <cell r="F597">
            <v>310815.19921662257</v>
          </cell>
        </row>
        <row r="598">
          <cell r="E598" t="str">
            <v>TGS-33-440BBS-L36 MONTHS/250 000 KMYes</v>
          </cell>
          <cell r="F598">
            <v>390997.97940722405</v>
          </cell>
        </row>
        <row r="599">
          <cell r="E599" t="str">
            <v>TGS-33-440BBS-L36 MONTHS/260 000 KMNo</v>
          </cell>
          <cell r="F599">
            <v>290481.49459497439</v>
          </cell>
        </row>
        <row r="600">
          <cell r="E600" t="str">
            <v>TGS-33-440BBS-L36 MONTHS/260 000 KMYes</v>
          </cell>
          <cell r="F600">
            <v>365418.67234320001</v>
          </cell>
        </row>
        <row r="601">
          <cell r="E601" t="str">
            <v>TGS-33-440BBS-L36 MONTHS/270 000 KMNo</v>
          </cell>
          <cell r="F601">
            <v>271478.03233175172</v>
          </cell>
        </row>
        <row r="602">
          <cell r="E602" t="str">
            <v>TGS-33-440BBS-L36 MONTHS/270 000 KMYes</v>
          </cell>
          <cell r="F602">
            <v>341512.77789084113</v>
          </cell>
        </row>
        <row r="603">
          <cell r="E603" t="str">
            <v>TGS-33-440BBS-L36 MONTHS/280 000 KMNo</v>
          </cell>
          <cell r="F603">
            <v>253717.78722593616</v>
          </cell>
        </row>
        <row r="604">
          <cell r="E604" t="str">
            <v>TGS-33-440BBS-L36 MONTHS/280 000 KMYes</v>
          </cell>
          <cell r="F604">
            <v>319170.82045872998</v>
          </cell>
        </row>
        <row r="605">
          <cell r="E605" t="str">
            <v>TGS-33-440BBS-L36 MONTHS/30 000 KMNo</v>
          </cell>
          <cell r="F605">
            <v>543735.25286655326</v>
          </cell>
        </row>
        <row r="606">
          <cell r="E606" t="str">
            <v>TGS-33-440BBS-L36 MONTHS/30 000 KMYes</v>
          </cell>
          <cell r="F606">
            <v>697439.70002641261</v>
          </cell>
        </row>
        <row r="607">
          <cell r="E607" t="str">
            <v>TGS-33-440BBS-L36 MONTHS/40 000 KMNo</v>
          </cell>
          <cell r="F607">
            <v>537287.79927525029</v>
          </cell>
        </row>
        <row r="608">
          <cell r="E608" t="str">
            <v>TGS-33-440BBS-L36 MONTHS/40 000 KMYes</v>
          </cell>
          <cell r="F608">
            <v>688829.33335941995</v>
          </cell>
        </row>
        <row r="609">
          <cell r="E609" t="str">
            <v>TGS-33-440BBS-L36 MONTHS/50 000 KMNo</v>
          </cell>
          <cell r="F609">
            <v>530916.79770281643</v>
          </cell>
        </row>
        <row r="610">
          <cell r="E610" t="str">
            <v>TGS-33-440BBS-L36 MONTHS/50 000 KMYes</v>
          </cell>
          <cell r="F610">
            <v>680325.26751547644</v>
          </cell>
        </row>
        <row r="611">
          <cell r="E611" t="str">
            <v>TGS-33-440BBS-L36 MONTHS/60 000 KMNo</v>
          </cell>
          <cell r="F611">
            <v>524621.34160357364</v>
          </cell>
        </row>
        <row r="612">
          <cell r="E612" t="str">
            <v>TGS-33-440BBS-L36 MONTHS/60 000 KMYes</v>
          </cell>
          <cell r="F612">
            <v>671926.19013874221</v>
          </cell>
        </row>
        <row r="613">
          <cell r="E613" t="str">
            <v>TGS-33-440BBS-L36 MONTHS/70 000 KMNo</v>
          </cell>
          <cell r="F613">
            <v>518913.29535467224</v>
          </cell>
        </row>
        <row r="614">
          <cell r="E614" t="str">
            <v>TGS-33-440BBS-L36 MONTHS/70 000 KMYes</v>
          </cell>
          <cell r="F614">
            <v>664615.42051309813</v>
          </cell>
        </row>
        <row r="615">
          <cell r="E615" t="str">
            <v>TGS-33-440BBS-L36 MONTHS/80 000 KMNo</v>
          </cell>
          <cell r="F615">
            <v>513267.3544556601</v>
          </cell>
        </row>
        <row r="616">
          <cell r="E616" t="str">
            <v>TGS-33-440BBS-L36 MONTHS/80 000 KMYes</v>
          </cell>
          <cell r="F616">
            <v>657384.19437497354</v>
          </cell>
        </row>
        <row r="617">
          <cell r="E617" t="str">
            <v>TGS-33-440BBS-L36 MONTHS/90 000 KMNo</v>
          </cell>
          <cell r="F617">
            <v>507682.84318067273</v>
          </cell>
        </row>
        <row r="618">
          <cell r="E618" t="str">
            <v>TGS-33-440BBS-L36 MONTHS/90 000 KMYes</v>
          </cell>
          <cell r="F618">
            <v>650231.64626604703</v>
          </cell>
        </row>
        <row r="619">
          <cell r="E619" t="str">
            <v>TGS-33-440BBS-L42 MONTHS/10 000 KMNo</v>
          </cell>
          <cell r="F619">
            <v>515614.07112200308</v>
          </cell>
        </row>
        <row r="620">
          <cell r="E620" t="str">
            <v>TGS-33-440BBS-L42 MONTHS/10 000 KMYes</v>
          </cell>
          <cell r="F620">
            <v>662022.8402594463</v>
          </cell>
        </row>
        <row r="621">
          <cell r="E621" t="str">
            <v>TGS-33-440BBS-L42 MONTHS/100 000 KMNo</v>
          </cell>
          <cell r="F621">
            <v>464962.12329255295</v>
          </cell>
        </row>
        <row r="622">
          <cell r="E622" t="str">
            <v>TGS-33-440BBS-L42 MONTHS/100 000 KMYes</v>
          </cell>
          <cell r="F622">
            <v>595515.66680042411</v>
          </cell>
        </row>
        <row r="623">
          <cell r="E623" t="str">
            <v>TGS-33-440BBS-L42 MONTHS/110 000 KMNo</v>
          </cell>
          <cell r="F623">
            <v>459903.18822210981</v>
          </cell>
        </row>
        <row r="624">
          <cell r="E624" t="str">
            <v>TGS-33-440BBS-L42 MONTHS/110 000 KMYes</v>
          </cell>
          <cell r="F624">
            <v>589036.26785402978</v>
          </cell>
        </row>
        <row r="625">
          <cell r="E625" t="str">
            <v>TGS-33-440BBS-L42 MONTHS/120 000 KMNo</v>
          </cell>
          <cell r="F625">
            <v>454899.29596647859</v>
          </cell>
        </row>
        <row r="626">
          <cell r="E626" t="str">
            <v>TGS-33-440BBS-L42 MONTHS/120 000 KMYes</v>
          </cell>
          <cell r="F626">
            <v>583204.22559804935</v>
          </cell>
        </row>
        <row r="627">
          <cell r="E627" t="str">
            <v>TGS-33-440BBS-L42 MONTHS/130 000 KMNo</v>
          </cell>
          <cell r="F627">
            <v>450395.34254106786</v>
          </cell>
        </row>
        <row r="628">
          <cell r="E628" t="str">
            <v>TGS-33-440BBS-L42 MONTHS/130 000 KMYes</v>
          </cell>
          <cell r="F628">
            <v>577429.92633470229</v>
          </cell>
        </row>
        <row r="629">
          <cell r="E629" t="str">
            <v>TGS-33-440BBS-L42 MONTHS/140 000 KMNo</v>
          </cell>
          <cell r="F629">
            <v>445935.98271392862</v>
          </cell>
        </row>
        <row r="630">
          <cell r="E630" t="str">
            <v>TGS-33-440BBS-L42 MONTHS/140 000 KMYes</v>
          </cell>
          <cell r="F630">
            <v>571712.7983511904</v>
          </cell>
        </row>
        <row r="631">
          <cell r="E631" t="str">
            <v>TGS-33-440BBS-L42 MONTHS/150 000 KMNo</v>
          </cell>
          <cell r="F631">
            <v>441520.77496428572</v>
          </cell>
        </row>
        <row r="632">
          <cell r="E632" t="str">
            <v>TGS-33-440BBS-L42 MONTHS/150 000 KMYes</v>
          </cell>
          <cell r="F632">
            <v>566052.27559523797</v>
          </cell>
        </row>
        <row r="633">
          <cell r="E633" t="str">
            <v>TGS-33-440BBS-L42 MONTHS/160 000 KMNo</v>
          </cell>
          <cell r="F633">
            <v>437149.28214285715</v>
          </cell>
        </row>
        <row r="634">
          <cell r="E634" t="str">
            <v>TGS-33-440BBS-L42 MONTHS/160 000 KMYes</v>
          </cell>
          <cell r="F634">
            <v>560447.79761904757</v>
          </cell>
        </row>
        <row r="635">
          <cell r="E635" t="str">
            <v>TGS-33-440BBS-L42 MONTHS/170 000 KMNo</v>
          </cell>
          <cell r="F635">
            <v>432821.07142857142</v>
          </cell>
        </row>
        <row r="636">
          <cell r="E636" t="str">
            <v>TGS-33-440BBS-L42 MONTHS/170 000 KMYes</v>
          </cell>
          <cell r="F636">
            <v>554898.80952380947</v>
          </cell>
        </row>
        <row r="637">
          <cell r="E637" t="str">
            <v>TGS-33-440BBS-L42 MONTHS/180 000 KMNo</v>
          </cell>
          <cell r="F637">
            <v>428535.7142857142</v>
          </cell>
        </row>
        <row r="638">
          <cell r="E638" t="str">
            <v>TGS-33-440BBS-L42 MONTHS/180 000 KMYes</v>
          </cell>
          <cell r="F638">
            <v>549404.76190476189</v>
          </cell>
        </row>
        <row r="639">
          <cell r="E639" t="str">
            <v>TGS-33-440BBS-L42 MONTHS/190 000 KMNo</v>
          </cell>
          <cell r="F639">
            <v>408129.25170068024</v>
          </cell>
        </row>
        <row r="640">
          <cell r="E640" t="str">
            <v>TGS-33-440BBS-L42 MONTHS/190 000 KMYes</v>
          </cell>
          <cell r="F640">
            <v>523242.63038548752</v>
          </cell>
        </row>
        <row r="641">
          <cell r="E641" t="str">
            <v>TGS-33-440BBS-L42 MONTHS/20 000 KMNo</v>
          </cell>
          <cell r="F641">
            <v>509500.07027865917</v>
          </cell>
        </row>
        <row r="642">
          <cell r="E642" t="str">
            <v>TGS-33-440BBS-L42 MONTHS/20 000 KMYes</v>
          </cell>
          <cell r="F642">
            <v>653849.71877476189</v>
          </cell>
        </row>
        <row r="643">
          <cell r="E643" t="str">
            <v>TGS-33-440BBS-L42 MONTHS/200 000 KMNo</v>
          </cell>
          <cell r="F643">
            <v>388694.52542921924</v>
          </cell>
        </row>
        <row r="644">
          <cell r="E644" t="str">
            <v>TGS-33-440BBS-L42 MONTHS/200 000 KMYes</v>
          </cell>
          <cell r="F644">
            <v>493625.12300517684</v>
          </cell>
        </row>
        <row r="645">
          <cell r="E645" t="str">
            <v>TGS-33-440BBS-L42 MONTHS/210 000 KMNo</v>
          </cell>
          <cell r="F645">
            <v>370185.26231354213</v>
          </cell>
        </row>
        <row r="646">
          <cell r="E646" t="str">
            <v>TGS-33-440BBS-L42 MONTHS/210 000 KMYes</v>
          </cell>
          <cell r="F646">
            <v>465684.07830677053</v>
          </cell>
        </row>
        <row r="647">
          <cell r="E647" t="str">
            <v>TGS-33-440BBS-L42 MONTHS/220 000 KMNo</v>
          </cell>
          <cell r="F647">
            <v>352557.39267956384</v>
          </cell>
        </row>
        <row r="648">
          <cell r="E648" t="str">
            <v>TGS-33-440BBS-L42 MONTHS/220 000 KMYes</v>
          </cell>
          <cell r="F648">
            <v>443508.64600644814</v>
          </cell>
        </row>
        <row r="649">
          <cell r="E649" t="str">
            <v>TGS-33-440BBS-L42 MONTHS/230 000 KMNo</v>
          </cell>
          <cell r="F649">
            <v>329492.89035473258</v>
          </cell>
        </row>
        <row r="650">
          <cell r="E650" t="str">
            <v>TGS-33-440BBS-L42 MONTHS/230 000 KMYes</v>
          </cell>
          <cell r="F650">
            <v>414494.06168826926</v>
          </cell>
        </row>
        <row r="651">
          <cell r="E651" t="str">
            <v>TGS-33-440BBS-L42 MONTHS/240 000 KMNo</v>
          </cell>
          <cell r="F651">
            <v>307937.28070535749</v>
          </cell>
        </row>
        <row r="652">
          <cell r="E652" t="str">
            <v>TGS-33-440BBS-L42 MONTHS/240 000 KMYes</v>
          </cell>
          <cell r="F652">
            <v>387377.62774604606</v>
          </cell>
        </row>
        <row r="653">
          <cell r="E653" t="str">
            <v>TGS-33-440BBS-L42 MONTHS/250 000 KMNo</v>
          </cell>
          <cell r="F653">
            <v>287791.85112650233</v>
          </cell>
        </row>
        <row r="654">
          <cell r="E654" t="str">
            <v>TGS-33-440BBS-L42 MONTHS/250 000 KMYes</v>
          </cell>
          <cell r="F654">
            <v>362035.16611779999</v>
          </cell>
        </row>
        <row r="655">
          <cell r="E655" t="str">
            <v>TGS-33-440BBS-L42 MONTHS/260 000 KMNo</v>
          </cell>
          <cell r="F655">
            <v>268964.34684719844</v>
          </cell>
        </row>
        <row r="656">
          <cell r="E656" t="str">
            <v>TGS-33-440BBS-L42 MONTHS/260 000 KMYes</v>
          </cell>
          <cell r="F656">
            <v>338350.62254000001</v>
          </cell>
        </row>
        <row r="657">
          <cell r="E657" t="str">
            <v>TGS-33-440BBS-L42 MONTHS/270 000 KMNo</v>
          </cell>
          <cell r="F657">
            <v>251368.54845532565</v>
          </cell>
        </row>
        <row r="658">
          <cell r="E658" t="str">
            <v>TGS-33-440BBS-L42 MONTHS/270 000 KMYes</v>
          </cell>
          <cell r="F658">
            <v>316215.53508411208</v>
          </cell>
        </row>
        <row r="659">
          <cell r="E659" t="str">
            <v>TGS-33-440BBS-L42 MONTHS/280 000 KMNo</v>
          </cell>
          <cell r="F659">
            <v>234923.87706105199</v>
          </cell>
        </row>
        <row r="660">
          <cell r="E660" t="str">
            <v>TGS-33-440BBS-L42 MONTHS/280 000 KMYes</v>
          </cell>
          <cell r="F660">
            <v>295528.53746178705</v>
          </cell>
        </row>
        <row r="661">
          <cell r="E661" t="str">
            <v>TGS-33-440BBS-L42 MONTHS/30 000 KMNo</v>
          </cell>
          <cell r="F661">
            <v>503458.56746903074</v>
          </cell>
        </row>
        <row r="662">
          <cell r="E662" t="str">
            <v>TGS-33-440BBS-L42 MONTHS/30 000 KMYes</v>
          </cell>
          <cell r="F662">
            <v>645777.50002445618</v>
          </cell>
        </row>
        <row r="663">
          <cell r="E663" t="str">
            <v>TGS-33-440BBS-L42 MONTHS/40 000 KMNo</v>
          </cell>
          <cell r="F663">
            <v>497488.70303263905</v>
          </cell>
        </row>
        <row r="664">
          <cell r="E664" t="str">
            <v>TGS-33-440BBS-L42 MONTHS/40 000 KMYes</v>
          </cell>
          <cell r="F664">
            <v>637804.93829575914</v>
          </cell>
        </row>
        <row r="665">
          <cell r="E665" t="str">
            <v>TGS-33-440BBS-L42 MONTHS/50 000 KMNo</v>
          </cell>
          <cell r="F665">
            <v>491589.62750260782</v>
          </cell>
        </row>
        <row r="666">
          <cell r="E666" t="str">
            <v>TGS-33-440BBS-L42 MONTHS/50 000 KMYes</v>
          </cell>
          <cell r="F666">
            <v>629930.80325507082</v>
          </cell>
        </row>
        <row r="667">
          <cell r="E667" t="str">
            <v>TGS-33-440BBS-L42 MONTHS/60 000 KMNo</v>
          </cell>
          <cell r="F667">
            <v>485760.50148479035</v>
          </cell>
        </row>
        <row r="668">
          <cell r="E668" t="str">
            <v>TGS-33-440BBS-L42 MONTHS/60 000 KMYes</v>
          </cell>
          <cell r="F668">
            <v>622153.87975809455</v>
          </cell>
        </row>
        <row r="669">
          <cell r="E669" t="str">
            <v>TGS-33-440BBS-L42 MONTHS/70 000 KMNo</v>
          </cell>
          <cell r="F669">
            <v>480475.27347654832</v>
          </cell>
        </row>
        <row r="670">
          <cell r="E670" t="str">
            <v>TGS-33-440BBS-L42 MONTHS/70 000 KMYes</v>
          </cell>
          <cell r="F670">
            <v>615384.6486232389</v>
          </cell>
        </row>
        <row r="671">
          <cell r="E671" t="str">
            <v>TGS-33-440BBS-L42 MONTHS/80 000 KMNo</v>
          </cell>
          <cell r="F671">
            <v>475247.55042190745</v>
          </cell>
        </row>
        <row r="672">
          <cell r="E672" t="str">
            <v>TGS-33-440BBS-L42 MONTHS/80 000 KMYes</v>
          </cell>
          <cell r="F672">
            <v>608689.06886571611</v>
          </cell>
        </row>
        <row r="673">
          <cell r="E673" t="str">
            <v>TGS-33-440BBS-L42 MONTHS/90 000 KMNo</v>
          </cell>
          <cell r="F673">
            <v>470076.70664877101</v>
          </cell>
        </row>
        <row r="674">
          <cell r="E674" t="str">
            <v>TGS-33-440BBS-L42 MONTHS/90 000 KMYes</v>
          </cell>
          <cell r="F674">
            <v>602066.33913522877</v>
          </cell>
        </row>
        <row r="675">
          <cell r="E675" t="str">
            <v>TGS-33-440BBS-L48 MONTHS/10 000 KMNo</v>
          </cell>
          <cell r="F675">
            <v>472865.53359337163</v>
          </cell>
        </row>
        <row r="676">
          <cell r="E676" t="str">
            <v>TGS-33-440BBS-L48 MONTHS/10 000 KMYes</v>
          </cell>
          <cell r="F676">
            <v>580543.10607366834</v>
          </cell>
        </row>
        <row r="677">
          <cell r="E677" t="str">
            <v>TGS-33-440BBS-L48 MONTHS/100 000 KMNo</v>
          </cell>
          <cell r="F677">
            <v>426413.03805577569</v>
          </cell>
        </row>
        <row r="678">
          <cell r="E678" t="str">
            <v>TGS-33-440BBS-L48 MONTHS/100 000 KMYes</v>
          </cell>
          <cell r="F678">
            <v>522221.43088652595</v>
          </cell>
        </row>
        <row r="679">
          <cell r="E679" t="str">
            <v>TGS-33-440BBS-L48 MONTHS/110 000 KMNo</v>
          </cell>
          <cell r="F679">
            <v>421773.52923419949</v>
          </cell>
        </row>
        <row r="680">
          <cell r="E680" t="str">
            <v>TGS-33-440BBS-L48 MONTHS/110 000 KMYes</v>
          </cell>
          <cell r="F680">
            <v>516539.4964258417</v>
          </cell>
        </row>
        <row r="681">
          <cell r="E681" t="str">
            <v>TGS-33-440BBS-L48 MONTHS/120 000 KMNo</v>
          </cell>
          <cell r="F681">
            <v>417597.55369722727</v>
          </cell>
        </row>
        <row r="682">
          <cell r="E682" t="str">
            <v>TGS-33-440BBS-L48 MONTHS/120 000 KMYes</v>
          </cell>
          <cell r="F682">
            <v>511425.24398598186</v>
          </cell>
        </row>
        <row r="683">
          <cell r="E683" t="str">
            <v>TGS-33-440BBS-L48 MONTHS/130 000 KMNo</v>
          </cell>
          <cell r="F683">
            <v>413462.92445270024</v>
          </cell>
        </row>
        <row r="684">
          <cell r="E684" t="str">
            <v>TGS-33-440BBS-L48 MONTHS/130 000 KMYes</v>
          </cell>
          <cell r="F684">
            <v>506361.62770889286</v>
          </cell>
        </row>
        <row r="685">
          <cell r="E685" t="str">
            <v>TGS-33-440BBS-L48 MONTHS/140 000 KMNo</v>
          </cell>
          <cell r="F685">
            <v>409369.23213138641</v>
          </cell>
        </row>
        <row r="686">
          <cell r="E686" t="str">
            <v>TGS-33-440BBS-L48 MONTHS/140 000 KMYes</v>
          </cell>
          <cell r="F686">
            <v>501348.1462464286</v>
          </cell>
        </row>
        <row r="687">
          <cell r="E687" t="str">
            <v>TGS-33-440BBS-L48 MONTHS/150 000 KMNo</v>
          </cell>
          <cell r="F687">
            <v>405316.07141721429</v>
          </cell>
        </row>
        <row r="688">
          <cell r="E688" t="str">
            <v>TGS-33-440BBS-L48 MONTHS/150 000 KMYes</v>
          </cell>
          <cell r="F688">
            <v>496384.30321428576</v>
          </cell>
        </row>
        <row r="689">
          <cell r="E689" t="str">
            <v>TGS-33-440BBS-L48 MONTHS/160 000 KMNo</v>
          </cell>
          <cell r="F689">
            <v>401303.04100714286</v>
          </cell>
        </row>
        <row r="690">
          <cell r="E690" t="str">
            <v>TGS-33-440BBS-L48 MONTHS/160 000 KMYes</v>
          </cell>
          <cell r="F690">
            <v>491469.60714285716</v>
          </cell>
        </row>
        <row r="691">
          <cell r="E691" t="str">
            <v>TGS-33-440BBS-L48 MONTHS/170 000 KMNo</v>
          </cell>
          <cell r="F691">
            <v>397329.74357142852</v>
          </cell>
        </row>
        <row r="692">
          <cell r="E692" t="str">
            <v>TGS-33-440BBS-L48 MONTHS/170 000 KMYes</v>
          </cell>
          <cell r="F692">
            <v>486603.57142857142</v>
          </cell>
        </row>
        <row r="693">
          <cell r="E693" t="str">
            <v>TGS-33-440BBS-L48 MONTHS/180 000 KMNo</v>
          </cell>
          <cell r="F693">
            <v>393395.78571428568</v>
          </cell>
        </row>
        <row r="694">
          <cell r="E694" t="str">
            <v>TGS-33-440BBS-L48 MONTHS/180 000 KMYes</v>
          </cell>
          <cell r="F694">
            <v>481785.71428571426</v>
          </cell>
        </row>
        <row r="695">
          <cell r="E695" t="str">
            <v>TGS-33-440BBS-L48 MONTHS/190 000 KMNo</v>
          </cell>
          <cell r="F695">
            <v>374662.65306122444</v>
          </cell>
        </row>
        <row r="696">
          <cell r="E696" t="str">
            <v>TGS-33-440BBS-L48 MONTHS/190 000 KMYes</v>
          </cell>
          <cell r="F696">
            <v>458843.53741496592</v>
          </cell>
        </row>
        <row r="697">
          <cell r="E697" t="str">
            <v>TGS-33-440BBS-L48 MONTHS/20 000 KMNo</v>
          </cell>
          <cell r="F697">
            <v>467258.43240451737</v>
          </cell>
        </row>
        <row r="698">
          <cell r="E698" t="str">
            <v>TGS-33-440BBS-L48 MONTHS/20 000 KMYes</v>
          </cell>
          <cell r="F698">
            <v>573375.90723325277</v>
          </cell>
        </row>
        <row r="699">
          <cell r="E699" t="str">
            <v>TGS-33-440BBS-L48 MONTHS/200 000 KMNo</v>
          </cell>
          <cell r="F699">
            <v>356821.57434402325</v>
          </cell>
        </row>
        <row r="700">
          <cell r="E700" t="str">
            <v>TGS-33-440BBS-L48 MONTHS/200 000 KMYes</v>
          </cell>
          <cell r="F700">
            <v>432871.26171223202</v>
          </cell>
        </row>
        <row r="701">
          <cell r="E701" t="str">
            <v>TGS-33-440BBS-L48 MONTHS/210 000 KMNo</v>
          </cell>
          <cell r="F701">
            <v>339830.07080383162</v>
          </cell>
        </row>
        <row r="702">
          <cell r="E702" t="str">
            <v>TGS-33-440BBS-L48 MONTHS/210 000 KMYes</v>
          </cell>
          <cell r="F702">
            <v>408369.1148228604</v>
          </cell>
        </row>
        <row r="703">
          <cell r="E703" t="str">
            <v>TGS-33-440BBS-L48 MONTHS/220 000 KMNo</v>
          </cell>
          <cell r="F703">
            <v>323647.68647983961</v>
          </cell>
        </row>
        <row r="704">
          <cell r="E704" t="str">
            <v>TGS-33-440BBS-L48 MONTHS/220 000 KMYes</v>
          </cell>
          <cell r="F704">
            <v>388922.96649796225</v>
          </cell>
        </row>
        <row r="705">
          <cell r="E705" t="str">
            <v>TGS-33-440BBS-L48 MONTHS/230 000 KMNo</v>
          </cell>
          <cell r="F705">
            <v>302474.47334564448</v>
          </cell>
        </row>
        <row r="706">
          <cell r="E706" t="str">
            <v>TGS-33-440BBS-L48 MONTHS/230 000 KMYes</v>
          </cell>
          <cell r="F706">
            <v>363479.4079420208</v>
          </cell>
        </row>
        <row r="707">
          <cell r="E707" t="str">
            <v>TGS-33-440BBS-L48 MONTHS/240 000 KMNo</v>
          </cell>
          <cell r="F707">
            <v>282686.42368751823</v>
          </cell>
        </row>
        <row r="708">
          <cell r="E708" t="str">
            <v>TGS-33-440BBS-L48 MONTHS/240 000 KMYes</v>
          </cell>
          <cell r="F708">
            <v>339700.38125422504</v>
          </cell>
        </row>
        <row r="709">
          <cell r="E709" t="str">
            <v>TGS-33-440BBS-L48 MONTHS/250 000 KMNo</v>
          </cell>
          <cell r="F709">
            <v>264192.9193341292</v>
          </cell>
        </row>
        <row r="710">
          <cell r="E710" t="str">
            <v>TGS-33-440BBS-L48 MONTHS/250 000 KMYes</v>
          </cell>
          <cell r="F710">
            <v>317476.99182637857</v>
          </cell>
        </row>
        <row r="711">
          <cell r="E711" t="str">
            <v>TGS-33-440BBS-L48 MONTHS/260 000 KMNo</v>
          </cell>
          <cell r="F711">
            <v>246909.27040572817</v>
          </cell>
        </row>
        <row r="712">
          <cell r="E712" t="str">
            <v>TGS-33-440BBS-L48 MONTHS/260 000 KMYes</v>
          </cell>
          <cell r="F712">
            <v>296707.46899661544</v>
          </cell>
        </row>
        <row r="713">
          <cell r="E713" t="str">
            <v>TGS-33-440BBS-L48 MONTHS/270 000 KMNo</v>
          </cell>
          <cell r="F713">
            <v>230756.32748198893</v>
          </cell>
        </row>
        <row r="714">
          <cell r="E714" t="str">
            <v>TGS-33-440BBS-L48 MONTHS/270 000 KMYes</v>
          </cell>
          <cell r="F714">
            <v>277296.69999683683</v>
          </cell>
        </row>
        <row r="715">
          <cell r="E715" t="str">
            <v>TGS-33-440BBS-L48 MONTHS/280 000 KMNo</v>
          </cell>
          <cell r="F715">
            <v>215660.11914204573</v>
          </cell>
        </row>
        <row r="716">
          <cell r="E716" t="str">
            <v>TGS-33-440BBS-L48 MONTHS/280 000 KMYes</v>
          </cell>
          <cell r="F716">
            <v>259155.79438956713</v>
          </cell>
        </row>
        <row r="717">
          <cell r="E717" t="str">
            <v>TGS-33-440BBS-L48 MONTHS/30 000 KMNo</v>
          </cell>
          <cell r="F717">
            <v>461717.81858153892</v>
          </cell>
        </row>
        <row r="718">
          <cell r="E718" t="str">
            <v>TGS-33-440BBS-L48 MONTHS/30 000 KMYes</v>
          </cell>
          <cell r="F718">
            <v>566297.19232913863</v>
          </cell>
        </row>
        <row r="719">
          <cell r="E719" t="str">
            <v>TGS-33-440BBS-L48 MONTHS/40 000 KMNo</v>
          </cell>
          <cell r="F719">
            <v>456242.9037366985</v>
          </cell>
        </row>
        <row r="720">
          <cell r="E720" t="str">
            <v>TGS-33-440BBS-L48 MONTHS/40 000 KMYes</v>
          </cell>
          <cell r="F720">
            <v>559305.86896705045</v>
          </cell>
        </row>
        <row r="721">
          <cell r="E721" t="str">
            <v>TGS-33-440BBS-L48 MONTHS/50 000 KMNo</v>
          </cell>
          <cell r="F721">
            <v>450832.90883072978</v>
          </cell>
        </row>
        <row r="722">
          <cell r="E722" t="str">
            <v>TGS-33-440BBS-L48 MONTHS/50 000 KMYes</v>
          </cell>
          <cell r="F722">
            <v>552400.85823906225</v>
          </cell>
        </row>
        <row r="723">
          <cell r="E723" t="str">
            <v>TGS-33-440BBS-L48 MONTHS/60 000 KMNo</v>
          </cell>
          <cell r="F723">
            <v>445487.06406198593</v>
          </cell>
        </row>
        <row r="724">
          <cell r="E724" t="str">
            <v>TGS-33-440BBS-L48 MONTHS/60 000 KMYes</v>
          </cell>
          <cell r="F724">
            <v>545581.09455709858</v>
          </cell>
        </row>
        <row r="725">
          <cell r="E725" t="str">
            <v>TGS-33-440BBS-L48 MONTHS/70 000 KMNo</v>
          </cell>
          <cell r="F725">
            <v>440640.02380018396</v>
          </cell>
        </row>
        <row r="726">
          <cell r="E726" t="str">
            <v>TGS-33-440BBS-L48 MONTHS/70 000 KMYes</v>
          </cell>
          <cell r="F726">
            <v>539644.9995619175</v>
          </cell>
        </row>
        <row r="727">
          <cell r="E727" t="str">
            <v>TGS-33-440BBS-L48 MONTHS/80 000 KMNo</v>
          </cell>
          <cell r="F727">
            <v>435845.72087060736</v>
          </cell>
        </row>
        <row r="728">
          <cell r="E728" t="str">
            <v>TGS-33-440BBS-L48 MONTHS/80 000 KMYes</v>
          </cell>
          <cell r="F728">
            <v>533773.49115916668</v>
          </cell>
        </row>
        <row r="729">
          <cell r="E729" t="str">
            <v>TGS-33-440BBS-L48 MONTHS/90 000 KMNo</v>
          </cell>
          <cell r="F729">
            <v>431103.58147438912</v>
          </cell>
        </row>
        <row r="730">
          <cell r="E730" t="str">
            <v>TGS-33-440BBS-L48 MONTHS/90 000 KMYes</v>
          </cell>
          <cell r="F730">
            <v>527965.86662627768</v>
          </cell>
        </row>
        <row r="731">
          <cell r="E731" t="str">
            <v>TGS-33-440BBS-L54 MONTHS/10 000 KMNo</v>
          </cell>
          <cell r="F731">
            <v>418465.07397643512</v>
          </cell>
        </row>
        <row r="732">
          <cell r="E732" t="str">
            <v>TGS-33-440BBS-L54 MONTHS/10 000 KMYes</v>
          </cell>
          <cell r="F732">
            <v>513754.96112714021</v>
          </cell>
        </row>
        <row r="733">
          <cell r="E733" t="str">
            <v>TGS-33-440BBS-L54 MONTHS/100 000 KMNo</v>
          </cell>
          <cell r="F733">
            <v>377356.67084581923</v>
          </cell>
        </row>
        <row r="734">
          <cell r="E734" t="str">
            <v>TGS-33-440BBS-L54 MONTHS/100 000 KMYes</v>
          </cell>
          <cell r="F734">
            <v>462142.85919161595</v>
          </cell>
        </row>
        <row r="735">
          <cell r="E735" t="str">
            <v>TGS-33-440BBS-L54 MONTHS/110 000 KMNo</v>
          </cell>
          <cell r="F735">
            <v>373250.91082672524</v>
          </cell>
        </row>
        <row r="736">
          <cell r="E736" t="str">
            <v>TGS-33-440BBS-L54 MONTHS/110 000 KMYes</v>
          </cell>
          <cell r="F736">
            <v>457114.5986069396</v>
          </cell>
        </row>
        <row r="737">
          <cell r="E737" t="str">
            <v>TGS-33-440BBS-L54 MONTHS/120 000 KMNo</v>
          </cell>
          <cell r="F737">
            <v>369555.35725418344</v>
          </cell>
        </row>
        <row r="738">
          <cell r="E738" t="str">
            <v>TGS-33-440BBS-L54 MONTHS/120 000 KMYes</v>
          </cell>
          <cell r="F738">
            <v>452588.71149201936</v>
          </cell>
        </row>
        <row r="739">
          <cell r="E739" t="str">
            <v>TGS-33-440BBS-L54 MONTHS/130 000 KMNo</v>
          </cell>
          <cell r="F739">
            <v>365896.39332097373</v>
          </cell>
        </row>
        <row r="740">
          <cell r="E740" t="str">
            <v>TGS-33-440BBS-L54 MONTHS/130 000 KMYes</v>
          </cell>
          <cell r="F740">
            <v>448107.63514061319</v>
          </cell>
        </row>
        <row r="741">
          <cell r="E741" t="str">
            <v>TGS-33-440BBS-L54 MONTHS/140 000 KMNo</v>
          </cell>
          <cell r="F741">
            <v>362273.65675343934</v>
          </cell>
        </row>
        <row r="742">
          <cell r="E742" t="str">
            <v>TGS-33-440BBS-L54 MONTHS/140 000 KMYes</v>
          </cell>
          <cell r="F742">
            <v>443670.92588179529</v>
          </cell>
        </row>
        <row r="743">
          <cell r="E743" t="str">
            <v>TGS-33-440BBS-L54 MONTHS/150 000 KMNo</v>
          </cell>
          <cell r="F743">
            <v>358686.78886479145</v>
          </cell>
        </row>
        <row r="744">
          <cell r="E744" t="str">
            <v>TGS-33-440BBS-L54 MONTHS/150 000 KMYes</v>
          </cell>
          <cell r="F744">
            <v>439278.14443742106</v>
          </cell>
        </row>
        <row r="745">
          <cell r="E745" t="str">
            <v>TGS-33-440BBS-L54 MONTHS/160 000 KMNo</v>
          </cell>
          <cell r="F745">
            <v>355135.43451959547</v>
          </cell>
        </row>
        <row r="746">
          <cell r="E746" t="str">
            <v>TGS-33-440BBS-L54 MONTHS/160 000 KMYes</v>
          </cell>
          <cell r="F746">
            <v>434928.85587863467</v>
          </cell>
        </row>
        <row r="747">
          <cell r="E747" t="str">
            <v>TGS-33-440BBS-L54 MONTHS/170 000 KMNo</v>
          </cell>
          <cell r="F747">
            <v>351619.24209860933</v>
          </cell>
        </row>
        <row r="748">
          <cell r="E748" t="str">
            <v>TGS-33-440BBS-L54 MONTHS/170 000 KMYes</v>
          </cell>
          <cell r="F748">
            <v>430622.62958280655</v>
          </cell>
        </row>
        <row r="749">
          <cell r="E749" t="str">
            <v>TGS-33-440BBS-L54 MONTHS/180 000 KMNo</v>
          </cell>
          <cell r="F749">
            <v>348137.86346396967</v>
          </cell>
        </row>
        <row r="750">
          <cell r="E750" t="str">
            <v>TGS-33-440BBS-L54 MONTHS/180 000 KMYes</v>
          </cell>
          <cell r="F750">
            <v>426359.0391908976</v>
          </cell>
        </row>
        <row r="751">
          <cell r="E751" t="str">
            <v>TGS-33-440BBS-L54 MONTHS/190 000 KMNo</v>
          </cell>
          <cell r="F751">
            <v>331559.86996568536</v>
          </cell>
        </row>
        <row r="752">
          <cell r="E752" t="str">
            <v>TGS-33-440BBS-L54 MONTHS/190 000 KMYes</v>
          </cell>
          <cell r="F752">
            <v>406056.22780085483</v>
          </cell>
        </row>
        <row r="753">
          <cell r="E753" t="str">
            <v>TGS-33-440BBS-L54 MONTHS/20 000 KMNo</v>
          </cell>
          <cell r="F753">
            <v>413503.0375261216</v>
          </cell>
        </row>
        <row r="754">
          <cell r="E754" t="str">
            <v>TGS-33-440BBS-L54 MONTHS/20 000 KMYes</v>
          </cell>
          <cell r="F754">
            <v>507412.30728606449</v>
          </cell>
        </row>
        <row r="755">
          <cell r="E755" t="str">
            <v>TGS-33-440BBS-L54 MONTHS/200 000 KMNo</v>
          </cell>
          <cell r="F755">
            <v>315771.30472922412</v>
          </cell>
        </row>
        <row r="756">
          <cell r="E756" t="str">
            <v>TGS-33-440BBS-L54 MONTHS/200 000 KMYes</v>
          </cell>
          <cell r="F756">
            <v>383071.91301967436</v>
          </cell>
        </row>
        <row r="757">
          <cell r="E757" t="str">
            <v>TGS-33-440BBS-L54 MONTHS/210 000 KMNo</v>
          </cell>
          <cell r="F757">
            <v>300734.57593259437</v>
          </cell>
        </row>
        <row r="758">
          <cell r="E758" t="str">
            <v>TGS-33-440BBS-L54 MONTHS/210 000 KMYes</v>
          </cell>
          <cell r="F758">
            <v>361388.59718837211</v>
          </cell>
        </row>
        <row r="759">
          <cell r="E759" t="str">
            <v>TGS-33-440BBS-L54 MONTHS/220 000 KMNo</v>
          </cell>
          <cell r="F759">
            <v>286413.88184056606</v>
          </cell>
        </row>
        <row r="760">
          <cell r="E760" t="str">
            <v>TGS-33-440BBS-L54 MONTHS/220 000 KMYes</v>
          </cell>
          <cell r="F760">
            <v>344179.61636987812</v>
          </cell>
        </row>
        <row r="761">
          <cell r="E761" t="str">
            <v>TGS-33-440BBS-L54 MONTHS/230 000 KMNo</v>
          </cell>
          <cell r="F761">
            <v>267676.52508464118</v>
          </cell>
        </row>
        <row r="762">
          <cell r="E762" t="str">
            <v>TGS-33-440BBS-L54 MONTHS/230 000 KMYes</v>
          </cell>
          <cell r="F762">
            <v>321663.19286904501</v>
          </cell>
        </row>
        <row r="763">
          <cell r="E763" t="str">
            <v>TGS-33-440BBS-L54 MONTHS/240 000 KMNo</v>
          </cell>
          <cell r="F763">
            <v>250164.97671461789</v>
          </cell>
        </row>
        <row r="764">
          <cell r="E764" t="str">
            <v>TGS-33-440BBS-L54 MONTHS/240 000 KMYes</v>
          </cell>
          <cell r="F764">
            <v>300619.80641966825</v>
          </cell>
        </row>
        <row r="765">
          <cell r="E765" t="str">
            <v>TGS-33-440BBS-L54 MONTHS/250 000 KMNo</v>
          </cell>
          <cell r="F765">
            <v>233799.0436585214</v>
          </cell>
        </row>
        <row r="766">
          <cell r="E766" t="str">
            <v>TGS-33-440BBS-L54 MONTHS/250 000 KMYes</v>
          </cell>
          <cell r="F766">
            <v>280953.09011183947</v>
          </cell>
        </row>
        <row r="767">
          <cell r="E767" t="str">
            <v>TGS-33-440BBS-L54 MONTHS/260 000 KMNo</v>
          </cell>
          <cell r="F767">
            <v>218503.77912011347</v>
          </cell>
        </row>
        <row r="768">
          <cell r="E768" t="str">
            <v>TGS-33-440BBS-L54 MONTHS/260 000 KMYes</v>
          </cell>
          <cell r="F768">
            <v>262572.98141293402</v>
          </cell>
        </row>
        <row r="769">
          <cell r="E769" t="str">
            <v>TGS-33-440BBS-L54 MONTHS/270 000 KMNo</v>
          </cell>
          <cell r="F769">
            <v>204209.139364592</v>
          </cell>
        </row>
        <row r="770">
          <cell r="E770" t="str">
            <v>TGS-33-440BBS-L54 MONTHS/270 000 KMYes</v>
          </cell>
          <cell r="F770">
            <v>245395.30973171405</v>
          </cell>
        </row>
        <row r="771">
          <cell r="E771" t="str">
            <v>TGS-33-440BBS-L54 MONTHS/280 000 KMNo</v>
          </cell>
          <cell r="F771">
            <v>190849.6629575626</v>
          </cell>
        </row>
        <row r="772">
          <cell r="E772" t="str">
            <v>TGS-33-440BBS-L54 MONTHS/280 000 KMYes</v>
          </cell>
          <cell r="F772">
            <v>229341.41096421875</v>
          </cell>
        </row>
        <row r="773">
          <cell r="E773" t="str">
            <v>TGS-33-440BBS-L54 MONTHS/30 000 KMNo</v>
          </cell>
          <cell r="F773">
            <v>408599.83945268928</v>
          </cell>
        </row>
        <row r="774">
          <cell r="E774" t="str">
            <v>TGS-33-440BBS-L54 MONTHS/30 000 KMYes</v>
          </cell>
          <cell r="F774">
            <v>501147.95781339705</v>
          </cell>
        </row>
        <row r="775">
          <cell r="E775" t="str">
            <v>TGS-33-440BBS-L54 MONTHS/40 000 KMNo</v>
          </cell>
          <cell r="F775">
            <v>403754.78206787485</v>
          </cell>
        </row>
        <row r="776">
          <cell r="E776" t="str">
            <v>TGS-33-440BBS-L54 MONTHS/40 000 KMYes</v>
          </cell>
          <cell r="F776">
            <v>494960.9459885403</v>
          </cell>
        </row>
        <row r="777">
          <cell r="E777" t="str">
            <v>TGS-33-440BBS-L54 MONTHS/50 000 KMNo</v>
          </cell>
          <cell r="F777">
            <v>398967.17595639807</v>
          </cell>
        </row>
        <row r="778">
          <cell r="E778" t="str">
            <v>TGS-33-440BBS-L54 MONTHS/50 000 KMYes</v>
          </cell>
          <cell r="F778">
            <v>488850.31702571892</v>
          </cell>
        </row>
        <row r="779">
          <cell r="E779" t="str">
            <v>TGS-33-440BBS-L54 MONTHS/60 000 KMNo</v>
          </cell>
          <cell r="F779">
            <v>394236.33987786371</v>
          </cell>
        </row>
        <row r="780">
          <cell r="E780" t="str">
            <v>TGS-33-440BBS-L54 MONTHS/60 000 KMYes</v>
          </cell>
          <cell r="F780">
            <v>482815.12792663591</v>
          </cell>
        </row>
        <row r="781">
          <cell r="E781" t="str">
            <v>TGS-33-440BBS-L54 MONTHS/70 000 KMNo</v>
          </cell>
          <cell r="F781">
            <v>389946.92371697701</v>
          </cell>
        </row>
        <row r="782">
          <cell r="E782" t="str">
            <v>TGS-33-440BBS-L54 MONTHS/70 000 KMYes</v>
          </cell>
          <cell r="F782">
            <v>477561.94651497126</v>
          </cell>
        </row>
        <row r="783">
          <cell r="E783" t="str">
            <v>TGS-33-440BBS-L54 MONTHS/80 000 KMNo</v>
          </cell>
          <cell r="F783">
            <v>385704.17776159948</v>
          </cell>
        </row>
        <row r="784">
          <cell r="E784" t="str">
            <v>TGS-33-440BBS-L54 MONTHS/80 000 KMYes</v>
          </cell>
          <cell r="F784">
            <v>472365.92137979361</v>
          </cell>
        </row>
        <row r="785">
          <cell r="E785" t="str">
            <v>TGS-33-440BBS-L54 MONTHS/90 000 KMNo</v>
          </cell>
          <cell r="F785">
            <v>381507.59422512318</v>
          </cell>
        </row>
        <row r="786">
          <cell r="E786" t="str">
            <v>TGS-33-440BBS-L54 MONTHS/90 000 KMYes</v>
          </cell>
          <cell r="F786">
            <v>467226.43064272363</v>
          </cell>
        </row>
        <row r="787">
          <cell r="E787" t="str">
            <v>TGS-33-440BBS-L60 MONTHS/10 000 KMNo</v>
          </cell>
          <cell r="F787">
            <v>333787.43547767418</v>
          </cell>
        </row>
        <row r="788">
          <cell r="E788" t="str">
            <v>TGS-33-440BBS-L60 MONTHS/10 000 KMYes</v>
          </cell>
          <cell r="F788">
            <v>427768.60447533458</v>
          </cell>
        </row>
        <row r="789">
          <cell r="E789" t="str">
            <v>TGS-33-440BBS-L60 MONTHS/100 000 KMNo</v>
          </cell>
          <cell r="F789">
            <v>300997.43862760637</v>
          </cell>
        </row>
        <row r="790">
          <cell r="E790" t="str">
            <v>TGS-33-440BBS-L60 MONTHS/100 000 KMYes</v>
          </cell>
          <cell r="F790">
            <v>384794.73854796641</v>
          </cell>
        </row>
        <row r="791">
          <cell r="E791" t="str">
            <v>TGS-33-440BBS-L60 MONTHS/110 000 KMNo</v>
          </cell>
          <cell r="F791">
            <v>297722.49122414086</v>
          </cell>
        </row>
        <row r="792">
          <cell r="E792" t="str">
            <v>TGS-33-440BBS-L60 MONTHS/110 000 KMYes</v>
          </cell>
          <cell r="F792">
            <v>380608.04999798862</v>
          </cell>
        </row>
        <row r="793">
          <cell r="E793" t="str">
            <v>TGS-33-440BBS-L60 MONTHS/120 000 KMNo</v>
          </cell>
          <cell r="F793">
            <v>294774.74378627812</v>
          </cell>
        </row>
        <row r="794">
          <cell r="E794" t="str">
            <v>TGS-33-440BBS-L60 MONTHS/120 000 KMYes</v>
          </cell>
          <cell r="F794">
            <v>376839.65346335503</v>
          </cell>
        </row>
        <row r="795">
          <cell r="E795" t="str">
            <v>TGS-33-440BBS-L60 MONTHS/130 000 KMNo</v>
          </cell>
          <cell r="F795">
            <v>291856.181966612</v>
          </cell>
        </row>
        <row r="796">
          <cell r="E796" t="str">
            <v>TGS-33-440BBS-L60 MONTHS/130 000 KMYes</v>
          </cell>
          <cell r="F796">
            <v>373108.56778550002</v>
          </cell>
        </row>
        <row r="797">
          <cell r="E797" t="str">
            <v>TGS-33-440BBS-L60 MONTHS/140 000 KMNo</v>
          </cell>
          <cell r="F797">
            <v>481610.86133104295</v>
          </cell>
        </row>
        <row r="798">
          <cell r="E798" t="str">
            <v>TGS-33-440BBS-L60 MONTHS/140 000 KMNo</v>
          </cell>
          <cell r="F798">
            <v>288966.5167986257</v>
          </cell>
        </row>
        <row r="799">
          <cell r="E799" t="str">
            <v>TGS-33-440BBS-L60 MONTHS/140 000 KMYes</v>
          </cell>
          <cell r="F799">
            <v>369414.42355000001</v>
          </cell>
        </row>
        <row r="800">
          <cell r="E800" t="str">
            <v>TGS-33-440BBS-L60 MONTHS/150 000 KMNo</v>
          </cell>
          <cell r="F800">
            <v>286105.46217685717</v>
          </cell>
        </row>
        <row r="801">
          <cell r="E801" t="str">
            <v>TGS-33-440BBS-L60 MONTHS/150 000 KMYes</v>
          </cell>
          <cell r="F801">
            <v>365756.85500000004</v>
          </cell>
        </row>
        <row r="802">
          <cell r="E802" t="str">
            <v>TGS-33-440BBS-L60 MONTHS/160 000 KMNo</v>
          </cell>
          <cell r="F802">
            <v>283272.73482857144</v>
          </cell>
        </row>
        <row r="803">
          <cell r="E803" t="str">
            <v>TGS-33-440BBS-L60 MONTHS/160 000 KMYes</v>
          </cell>
          <cell r="F803">
            <v>362135.5</v>
          </cell>
        </row>
        <row r="804">
          <cell r="E804" t="str">
            <v>TGS-33-440BBS-L60 MONTHS/170 000 KMNo</v>
          </cell>
          <cell r="F804">
            <v>280468.05428571429</v>
          </cell>
        </row>
        <row r="805">
          <cell r="E805" t="str">
            <v>TGS-33-440BBS-L60 MONTHS/170 000 KMYes</v>
          </cell>
          <cell r="F805">
            <v>358550</v>
          </cell>
        </row>
        <row r="806">
          <cell r="E806" t="str">
            <v>TGS-33-440BBS-L60 MONTHS/180 000 KMNo</v>
          </cell>
          <cell r="F806">
            <v>277691.14285714284</v>
          </cell>
        </row>
        <row r="807">
          <cell r="E807" t="str">
            <v>TGS-33-440BBS-L60 MONTHS/180 000 KMYes</v>
          </cell>
          <cell r="F807">
            <v>355000</v>
          </cell>
        </row>
        <row r="808">
          <cell r="E808" t="str">
            <v>TGS-33-440BBS-L60 MONTHS/190 000 KMNo</v>
          </cell>
          <cell r="F808">
            <v>264467.75510204077</v>
          </cell>
        </row>
        <row r="809">
          <cell r="E809" t="str">
            <v>TGS-33-440BBS-L60 MONTHS/190 000 KMYes</v>
          </cell>
          <cell r="F809">
            <v>338095.23809523811</v>
          </cell>
        </row>
        <row r="810">
          <cell r="E810" t="str">
            <v>TGS-33-440BBS-L60 MONTHS/20 000 KMNo</v>
          </cell>
          <cell r="F810">
            <v>329829.48169730644</v>
          </cell>
        </row>
        <row r="811">
          <cell r="E811" t="str">
            <v>TGS-33-440BBS-L60 MONTHS/20 000 KMYes</v>
          </cell>
          <cell r="F811">
            <v>422487.51059292309</v>
          </cell>
        </row>
        <row r="812">
          <cell r="E812" t="str">
            <v>TGS-33-440BBS-L60 MONTHS/200 000 KMNo</v>
          </cell>
          <cell r="F812">
            <v>251874.05247813405</v>
          </cell>
        </row>
        <row r="813">
          <cell r="E813" t="str">
            <v>TGS-33-440BBS-L60 MONTHS/200 000 KMYes</v>
          </cell>
          <cell r="F813">
            <v>318957.77178796043</v>
          </cell>
        </row>
        <row r="814">
          <cell r="E814" t="str">
            <v>TGS-33-440BBS-L60 MONTHS/210 000 KMNo</v>
          </cell>
          <cell r="F814">
            <v>239880.04997917527</v>
          </cell>
        </row>
        <row r="815">
          <cell r="E815" t="str">
            <v>TGS-33-440BBS-L60 MONTHS/210 000 KMYes</v>
          </cell>
          <cell r="F815">
            <v>300903.55829052872</v>
          </cell>
        </row>
        <row r="816">
          <cell r="E816" t="str">
            <v>TGS-33-440BBS-L60 MONTHS/220 000 KMNo</v>
          </cell>
          <cell r="F816">
            <v>228457.19045635738</v>
          </cell>
        </row>
        <row r="817">
          <cell r="E817" t="str">
            <v>TGS-33-440BBS-L60 MONTHS/220 000 KMYes</v>
          </cell>
          <cell r="F817">
            <v>286574.81741955114</v>
          </cell>
        </row>
        <row r="818">
          <cell r="E818" t="str">
            <v>TGS-33-440BBS-L60 MONTHS/230 000 KMNo</v>
          </cell>
          <cell r="F818">
            <v>213511.39294986671</v>
          </cell>
        </row>
        <row r="819">
          <cell r="E819" t="str">
            <v>TGS-33-440BBS-L60 MONTHS/230 000 KMYes</v>
          </cell>
          <cell r="F819">
            <v>267826.93216780474</v>
          </cell>
        </row>
        <row r="820">
          <cell r="E820" t="str">
            <v>TGS-33-440BBS-L60 MONTHS/240 000 KMNo</v>
          </cell>
          <cell r="F820">
            <v>199543.35789707166</v>
          </cell>
        </row>
        <row r="821">
          <cell r="E821" t="str">
            <v>TGS-33-440BBS-L60 MONTHS/240 000 KMYes</v>
          </cell>
          <cell r="F821">
            <v>250305.54408206049</v>
          </cell>
        </row>
        <row r="822">
          <cell r="E822" t="str">
            <v>TGS-33-440BBS-L60 MONTHS/250 000 KMNo</v>
          </cell>
          <cell r="F822">
            <v>186489.11952997351</v>
          </cell>
        </row>
        <row r="823">
          <cell r="E823" t="str">
            <v>TGS-33-440BBS-L60 MONTHS/250 000 KMYes</v>
          </cell>
          <cell r="F823">
            <v>233930.41502996304</v>
          </cell>
        </row>
        <row r="824">
          <cell r="E824" t="str">
            <v>TGS-33-440BBS-L60 MONTHS/260 000 KMNo</v>
          </cell>
          <cell r="F824">
            <v>174288.89675698458</v>
          </cell>
        </row>
        <row r="825">
          <cell r="E825" t="str">
            <v>TGS-33-440BBS-L60 MONTHS/260 000 KMYes</v>
          </cell>
          <cell r="F825">
            <v>218626.55610276919</v>
          </cell>
        </row>
        <row r="826">
          <cell r="E826" t="str">
            <v>TGS-33-440BBS-L60 MONTHS/270 000 KMNo</v>
          </cell>
          <cell r="F826">
            <v>162886.81939905102</v>
          </cell>
        </row>
        <row r="827">
          <cell r="E827" t="str">
            <v>TGS-33-440BBS-L60 MONTHS/270 000 KMYes</v>
          </cell>
          <cell r="F827">
            <v>204323.88420819549</v>
          </cell>
        </row>
        <row r="828">
          <cell r="E828" t="str">
            <v>TGS-33-440BBS-L60 MONTHS/280 000 KMNo</v>
          </cell>
          <cell r="F828">
            <v>152230.67233556169</v>
          </cell>
        </row>
        <row r="829">
          <cell r="E829" t="str">
            <v>TGS-33-440BBS-L60 MONTHS/280 000 KMYes</v>
          </cell>
          <cell r="F829">
            <v>190956.90112915466</v>
          </cell>
        </row>
        <row r="830">
          <cell r="E830" t="str">
            <v>TGS-33-440BBS-L60 MONTHS/30 000 KMNo</v>
          </cell>
          <cell r="F830">
            <v>325918.46017520403</v>
          </cell>
        </row>
        <row r="831">
          <cell r="E831" t="str">
            <v>TGS-33-440BBS-L60 MONTHS/30 000 KMYes</v>
          </cell>
          <cell r="F831">
            <v>417271.61540041788</v>
          </cell>
        </row>
        <row r="832">
          <cell r="E832" t="str">
            <v>TGS-33-440BBS-L60 MONTHS/40 000 KMNo</v>
          </cell>
          <cell r="F832">
            <v>322053.81440237549</v>
          </cell>
        </row>
        <row r="833">
          <cell r="E833" t="str">
            <v>TGS-33-440BBS-L60 MONTHS/40 000 KMYes</v>
          </cell>
          <cell r="F833">
            <v>412120.11397572141</v>
          </cell>
        </row>
        <row r="834">
          <cell r="E834" t="str">
            <v>TGS-33-440BBS-L60 MONTHS/50 000 KMNo</v>
          </cell>
          <cell r="F834">
            <v>318234.99446875049</v>
          </cell>
        </row>
        <row r="835">
          <cell r="E835" t="str">
            <v>TGS-33-440BBS-L60 MONTHS/50 000 KMYes</v>
          </cell>
          <cell r="F835">
            <v>407032.2113340458</v>
          </cell>
        </row>
        <row r="836">
          <cell r="E836" t="str">
            <v>TGS-33-440BBS-L60 MONTHS/60 000 KMNo</v>
          </cell>
          <cell r="F836">
            <v>314461.45698493131</v>
          </cell>
        </row>
        <row r="837">
          <cell r="E837" t="str">
            <v>TGS-33-440BBS-L60 MONTHS/60 000 KMYes</v>
          </cell>
          <cell r="F837">
            <v>402007.12230523041</v>
          </cell>
        </row>
        <row r="838">
          <cell r="E838" t="str">
            <v>TGS-33-440BBS-L60 MONTHS/70 000 KMNo</v>
          </cell>
          <cell r="F838">
            <v>311040.0168001299</v>
          </cell>
        </row>
        <row r="839">
          <cell r="E839" t="str">
            <v>TGS-33-440BBS-L60 MONTHS/70 000 KMYes</v>
          </cell>
          <cell r="F839">
            <v>397633.15757193911</v>
          </cell>
        </row>
        <row r="840">
          <cell r="E840" t="str">
            <v>TGS-33-440BBS-L60 MONTHS/80 000 KMNo</v>
          </cell>
          <cell r="F840">
            <v>307655.8029674876</v>
          </cell>
        </row>
        <row r="841">
          <cell r="E841" t="str">
            <v>TGS-33-440BBS-L60 MONTHS/80 000 KMYes</v>
          </cell>
          <cell r="F841">
            <v>393306.78295938589</v>
          </cell>
        </row>
        <row r="842">
          <cell r="E842" t="str">
            <v>TGS-33-440BBS-L60 MONTHS/90 000 KMNo</v>
          </cell>
          <cell r="F842">
            <v>304308.41045251006</v>
          </cell>
        </row>
        <row r="843">
          <cell r="E843" t="str">
            <v>TGS-33-440BBS-L60 MONTHS/90 000 KMYes</v>
          </cell>
          <cell r="F843">
            <v>389027.48067199398</v>
          </cell>
        </row>
      </sheetData>
      <sheetData sheetId="3">
        <row r="4">
          <cell r="E4" t="str">
            <v>TGS-26-440BLS-LX36 MONTHS/10 000 KMNo</v>
          </cell>
          <cell r="F4">
            <v>683978.9543228409</v>
          </cell>
        </row>
        <row r="5">
          <cell r="E5" t="str">
            <v>TGS-26-440BLS-LX36 MONTHS/10 000 KMYes</v>
          </cell>
          <cell r="F5">
            <v>879064.48219681252</v>
          </cell>
        </row>
        <row r="6">
          <cell r="E6" t="str">
            <v>TGS-26-440BLS-LX36 MONTHS/100 000 KMNo</v>
          </cell>
          <cell r="F6">
            <v>616787.48641853547</v>
          </cell>
        </row>
        <row r="7">
          <cell r="E7" t="str">
            <v>TGS-26-440BLS-LX36 MONTHS/100 000 KMYes</v>
          </cell>
          <cell r="F7">
            <v>790753.18771607103</v>
          </cell>
        </row>
        <row r="8">
          <cell r="E8" t="str">
            <v>TGS-26-440BLS-LX36 MONTHS/110 000 KMNo</v>
          </cell>
          <cell r="F8">
            <v>610076.64334177598</v>
          </cell>
        </row>
        <row r="9">
          <cell r="E9" t="str">
            <v>TGS-26-440BLS-LX36 MONTHS/110 000 KMYes</v>
          </cell>
          <cell r="F9">
            <v>782149.54274586658</v>
          </cell>
        </row>
        <row r="10">
          <cell r="E10" t="str">
            <v>TGS-26-440BLS-LX36 MONTHS/120 000 KMNo</v>
          </cell>
          <cell r="F10">
            <v>604036.28053641191</v>
          </cell>
        </row>
        <row r="11">
          <cell r="E11" t="str">
            <v>TGS-26-440BLS-LX36 MONTHS/120 000 KMYes</v>
          </cell>
          <cell r="F11">
            <v>774405.48786719458</v>
          </cell>
        </row>
        <row r="12">
          <cell r="E12" t="str">
            <v>TGS-26-440BLS-LX36 MONTHS/130 000 KMNo</v>
          </cell>
          <cell r="F12">
            <v>598055.72330337809</v>
          </cell>
        </row>
        <row r="13">
          <cell r="E13" t="str">
            <v>TGS-26-440BLS-LX36 MONTHS/130 000 KMYes</v>
          </cell>
          <cell r="F13">
            <v>766738.10679920251</v>
          </cell>
        </row>
        <row r="14">
          <cell r="E14" t="str">
            <v>TGS-26-440BLS-LX36 MONTHS/140 000 KMNo</v>
          </cell>
          <cell r="F14">
            <v>592134.3795082951</v>
          </cell>
        </row>
        <row r="15">
          <cell r="E15" t="str">
            <v>TGS-26-440BLS-LX36 MONTHS/140 000 KMYes</v>
          </cell>
          <cell r="F15">
            <v>759146.64039525006</v>
          </cell>
        </row>
        <row r="16">
          <cell r="E16" t="str">
            <v>TGS-26-440BLS-LX36 MONTHS/150 000 KMNo</v>
          </cell>
          <cell r="F16">
            <v>586271.66287950007</v>
          </cell>
        </row>
        <row r="17">
          <cell r="E17" t="str">
            <v>TGS-26-440BLS-LX36 MONTHS/150 000 KMYes</v>
          </cell>
          <cell r="F17">
            <v>751630.33702500002</v>
          </cell>
        </row>
        <row r="18">
          <cell r="E18" t="str">
            <v>TGS-26-440BLS-LX36 MONTHS/160 000 KMNo</v>
          </cell>
          <cell r="F18">
            <v>580466.9929500001</v>
          </cell>
        </row>
        <row r="19">
          <cell r="E19" t="str">
            <v>TGS-26-440BLS-LX36 MONTHS/160 000 KMYes</v>
          </cell>
          <cell r="F19">
            <v>744188.45250000001</v>
          </cell>
        </row>
        <row r="20">
          <cell r="E20" t="str">
            <v>TGS-26-440BLS-LX36 MONTHS/170 000 KMNo</v>
          </cell>
          <cell r="F20">
            <v>574719.79500000004</v>
          </cell>
        </row>
        <row r="21">
          <cell r="E21" t="str">
            <v>TGS-26-440BLS-LX36 MONTHS/170 000 KMYes</v>
          </cell>
          <cell r="F21">
            <v>736820.25</v>
          </cell>
        </row>
        <row r="22">
          <cell r="E22" t="str">
            <v>TGS-26-440BLS-LX36 MONTHS/180 000 KMNo</v>
          </cell>
          <cell r="F22">
            <v>569029.5</v>
          </cell>
        </row>
        <row r="23">
          <cell r="E23" t="str">
            <v>TGS-26-440BLS-LX36 MONTHS/180 000 KMYes</v>
          </cell>
          <cell r="F23">
            <v>729525</v>
          </cell>
        </row>
        <row r="24">
          <cell r="E24" t="str">
            <v>TGS-26-440BLS-LX36 MONTHS/190 000 KMNo</v>
          </cell>
          <cell r="F24">
            <v>541932.85714285716</v>
          </cell>
        </row>
        <row r="25">
          <cell r="E25" t="str">
            <v>TGS-26-440BLS-LX36 MONTHS/190 000 KMYes</v>
          </cell>
          <cell r="F25">
            <v>701466.34615384613</v>
          </cell>
        </row>
        <row r="26">
          <cell r="E26" t="str">
            <v>TGS-26-440BLS-LX36 MONTHS/20 000 KMNo</v>
          </cell>
          <cell r="F26">
            <v>675868.53193956614</v>
          </cell>
        </row>
        <row r="27">
          <cell r="E27" t="str">
            <v>TGS-26-440BLS-LX36 MONTHS/20 000 KMYes</v>
          </cell>
          <cell r="F27">
            <v>868211.83426845679</v>
          </cell>
        </row>
        <row r="28">
          <cell r="E28" t="str">
            <v>TGS-26-440BLS-LX36 MONTHS/200 000 KMNo</v>
          </cell>
          <cell r="F28">
            <v>516126.53061224491</v>
          </cell>
        </row>
        <row r="29">
          <cell r="E29" t="str">
            <v>TGS-26-440BLS-LX36 MONTHS/200 000 KMYes</v>
          </cell>
          <cell r="F29">
            <v>668063.18681318674</v>
          </cell>
        </row>
        <row r="30">
          <cell r="E30" t="str">
            <v>TGS-26-440BLS-LX36 MONTHS/210 000 KMNo</v>
          </cell>
          <cell r="F30">
            <v>491549.07677356654</v>
          </cell>
        </row>
        <row r="31">
          <cell r="E31" t="str">
            <v>TGS-26-440BLS-LX36 MONTHS/210 000 KMYes</v>
          </cell>
          <cell r="F31">
            <v>636250.65410779684</v>
          </cell>
        </row>
        <row r="32">
          <cell r="E32" t="str">
            <v>TGS-26-440BLS-LX36 MONTHS/220 000 KMNo</v>
          </cell>
          <cell r="F32">
            <v>468141.97787958715</v>
          </cell>
        </row>
        <row r="33">
          <cell r="E33" t="str">
            <v>TGS-26-440BLS-LX36 MONTHS/220 000 KMYes</v>
          </cell>
          <cell r="F33">
            <v>600236.466139431</v>
          </cell>
        </row>
        <row r="34">
          <cell r="E34" t="str">
            <v>TGS-26-440BLS-LX36 MONTHS/230 000 KMNo</v>
          </cell>
          <cell r="F34">
            <v>437515.86717718421</v>
          </cell>
        </row>
        <row r="35">
          <cell r="E35" t="str">
            <v>TGS-26-440BLS-LX36 MONTHS/230 000 KMYes</v>
          </cell>
          <cell r="F35">
            <v>560968.65994339343</v>
          </cell>
        </row>
        <row r="36">
          <cell r="E36" t="str">
            <v>TGS-26-440BLS-LX36 MONTHS/240 000 KMNo</v>
          </cell>
          <cell r="F36">
            <v>408893.33381045249</v>
          </cell>
        </row>
        <row r="37">
          <cell r="E37" t="str">
            <v>TGS-26-440BLS-LX36 MONTHS/240 000 KMYes</v>
          </cell>
          <cell r="F37">
            <v>524269.77564803121</v>
          </cell>
        </row>
        <row r="38">
          <cell r="E38" t="str">
            <v>TGS-26-440BLS-LX36 MONTHS/250 000 KMNo</v>
          </cell>
          <cell r="F38">
            <v>382143.30262659106</v>
          </cell>
        </row>
        <row r="39">
          <cell r="E39" t="str">
            <v>TGS-26-440BLS-LX36 MONTHS/250 000 KMYes</v>
          </cell>
          <cell r="F39">
            <v>489971.75294208521</v>
          </cell>
        </row>
        <row r="40">
          <cell r="E40" t="str">
            <v>TGS-26-440BLS-LX36 MONTHS/260 000 KMNo</v>
          </cell>
          <cell r="F40">
            <v>357143.27348279534</v>
          </cell>
        </row>
        <row r="41">
          <cell r="E41" t="str">
            <v>TGS-26-440BLS-LX36 MONTHS/260 000 KMYes</v>
          </cell>
          <cell r="F41">
            <v>457917.52611409832</v>
          </cell>
        </row>
        <row r="42">
          <cell r="E42" t="str">
            <v>TGS-26-440BLS-LX36 MONTHS/270 000 KMNo</v>
          </cell>
          <cell r="F42">
            <v>333778.76026429469</v>
          </cell>
        </row>
        <row r="43">
          <cell r="E43" t="str">
            <v>TGS-26-440BLS-LX36 MONTHS/270 000 KMYes</v>
          </cell>
          <cell r="F43">
            <v>427960.30477953114</v>
          </cell>
        </row>
        <row r="44">
          <cell r="E44" t="str">
            <v>TGS-26-440BLS-LX36 MONTHS/280 000 KMNo</v>
          </cell>
          <cell r="F44">
            <v>311942.76660214458</v>
          </cell>
        </row>
        <row r="45">
          <cell r="E45" t="str">
            <v>TGS-26-440BLS-LX36 MONTHS/280 000 KMYes</v>
          </cell>
          <cell r="F45">
            <v>399962.90166311321</v>
          </cell>
        </row>
        <row r="46">
          <cell r="E46" t="str">
            <v>TGS-26-440BLS-LX36 MONTHS/30 000 KMNo</v>
          </cell>
          <cell r="F46">
            <v>667854.28057269379</v>
          </cell>
        </row>
        <row r="47">
          <cell r="E47" t="str">
            <v>TGS-26-440BLS-LX36 MONTHS/30 000 KMYes</v>
          </cell>
          <cell r="F47">
            <v>857493.16964785859</v>
          </cell>
        </row>
        <row r="48">
          <cell r="E48" t="str">
            <v>TGS-26-440BLS-LX36 MONTHS/40 000 KMNo</v>
          </cell>
          <cell r="F48">
            <v>659935.05985444051</v>
          </cell>
        </row>
        <row r="49">
          <cell r="E49" t="str">
            <v>TGS-26-440BLS-LX36 MONTHS/40 000 KMYes</v>
          </cell>
          <cell r="F49">
            <v>846906.8342201073</v>
          </cell>
        </row>
        <row r="50">
          <cell r="E50" t="str">
            <v>TGS-26-440BLS-LX36 MONTHS/50 000 KMNo</v>
          </cell>
          <cell r="F50">
            <v>652109.74293917045</v>
          </cell>
        </row>
        <row r="51">
          <cell r="E51" t="str">
            <v>TGS-26-440BLS-LX36 MONTHS/50 000 KMYes</v>
          </cell>
          <cell r="F51">
            <v>836451.19429146405</v>
          </cell>
        </row>
        <row r="52">
          <cell r="E52" t="str">
            <v>TGS-26-440BLS-LX36 MONTHS/60 000 KMNo</v>
          </cell>
          <cell r="F52">
            <v>644377.21634305385</v>
          </cell>
        </row>
        <row r="53">
          <cell r="E53" t="str">
            <v>TGS-26-440BLS-LX36 MONTHS/60 000 KMYes</v>
          </cell>
          <cell r="F53">
            <v>826124.63633724849</v>
          </cell>
        </row>
        <row r="54">
          <cell r="E54" t="str">
            <v>TGS-26-440BLS-LX36 MONTHS/70 000 KMNo</v>
          </cell>
          <cell r="F54">
            <v>637366.18827206129</v>
          </cell>
        </row>
        <row r="55">
          <cell r="E55" t="str">
            <v>TGS-26-440BLS-LX36 MONTHS/70 000 KMYes</v>
          </cell>
          <cell r="F55">
            <v>817136.13881033484</v>
          </cell>
        </row>
        <row r="56">
          <cell r="E56" t="str">
            <v>TGS-26-440BLS-LX36 MONTHS/80 000 KMNo</v>
          </cell>
          <cell r="F56">
            <v>630431.44240559975</v>
          </cell>
        </row>
        <row r="57">
          <cell r="E57" t="str">
            <v>TGS-26-440BLS-LX36 MONTHS/80 000 KMYes</v>
          </cell>
          <cell r="F57">
            <v>808245.43898153806</v>
          </cell>
        </row>
        <row r="58">
          <cell r="E58" t="str">
            <v>TGS-26-440BLS-LX36 MONTHS/90 000 KMNo</v>
          </cell>
          <cell r="F58">
            <v>623572.14876913931</v>
          </cell>
        </row>
        <row r="59">
          <cell r="E59" t="str">
            <v>TGS-26-440BLS-LX36 MONTHS/90 000 KMYes</v>
          </cell>
          <cell r="F59">
            <v>799451.47278094769</v>
          </cell>
        </row>
        <row r="60">
          <cell r="E60" t="str">
            <v>TGS-26-440BLS-LX42 MONTHS/10 000 KMNo</v>
          </cell>
          <cell r="F60">
            <v>633313.84659522306</v>
          </cell>
        </row>
        <row r="61">
          <cell r="E61" t="str">
            <v>TGS-26-440BLS-LX42 MONTHS/10 000 KMYes</v>
          </cell>
          <cell r="F61">
            <v>813948.59462667815</v>
          </cell>
        </row>
        <row r="62">
          <cell r="E62" t="str">
            <v>TGS-26-440BLS-LX42 MONTHS/100 000 KMNo</v>
          </cell>
          <cell r="F62">
            <v>571099.52446160687</v>
          </cell>
        </row>
        <row r="63">
          <cell r="E63" t="str">
            <v>TGS-26-440BLS-LX42 MONTHS/100 000 KMYes</v>
          </cell>
          <cell r="F63">
            <v>732178.8775148805</v>
          </cell>
        </row>
        <row r="64">
          <cell r="E64" t="str">
            <v>TGS-26-440BLS-LX42 MONTHS/110 000 KMNo</v>
          </cell>
          <cell r="F64">
            <v>564885.78087201482</v>
          </cell>
        </row>
        <row r="65">
          <cell r="E65" t="str">
            <v>TGS-26-440BLS-LX42 MONTHS/110 000 KMYes</v>
          </cell>
          <cell r="F65">
            <v>724212.53957950603</v>
          </cell>
        </row>
        <row r="66">
          <cell r="E66" t="str">
            <v>TGS-26-440BLS-LX42 MONTHS/120 000 KMNo</v>
          </cell>
          <cell r="F66">
            <v>559292.8523485295</v>
          </cell>
        </row>
        <row r="67">
          <cell r="E67" t="str">
            <v>TGS-26-440BLS-LX42 MONTHS/120 000 KMYes</v>
          </cell>
          <cell r="F67">
            <v>717042.11839555053</v>
          </cell>
        </row>
        <row r="68">
          <cell r="E68" t="str">
            <v>TGS-26-440BLS-LX42 MONTHS/130 000 KMNo</v>
          </cell>
          <cell r="F68">
            <v>553755.29935497965</v>
          </cell>
        </row>
        <row r="69">
          <cell r="E69" t="str">
            <v>TGS-26-440BLS-LX42 MONTHS/130 000 KMYes</v>
          </cell>
          <cell r="F69">
            <v>709942.691480743</v>
          </cell>
        </row>
        <row r="70">
          <cell r="E70" t="str">
            <v>TGS-26-440BLS-LX42 MONTHS/140 000 KMNo</v>
          </cell>
          <cell r="F70">
            <v>548272.57361879176</v>
          </cell>
        </row>
        <row r="71">
          <cell r="E71" t="str">
            <v>TGS-26-440BLS-LX42 MONTHS/140 000 KMYes</v>
          </cell>
          <cell r="F71">
            <v>702913.55592152779</v>
          </cell>
        </row>
        <row r="72">
          <cell r="E72" t="str">
            <v>TGS-26-440BLS-LX42 MONTHS/150 000 KMNo</v>
          </cell>
          <cell r="F72">
            <v>542844.13229583332</v>
          </cell>
        </row>
        <row r="73">
          <cell r="E73" t="str">
            <v>TGS-26-440BLS-LX42 MONTHS/150 000 KMYes</v>
          </cell>
          <cell r="F73">
            <v>695954.01576388883</v>
          </cell>
        </row>
        <row r="74">
          <cell r="E74" t="str">
            <v>TGS-26-440BLS-LX42 MONTHS/160 000 KMNo</v>
          </cell>
          <cell r="F74">
            <v>537469.43791666673</v>
          </cell>
        </row>
        <row r="75">
          <cell r="E75" t="str">
            <v>TGS-26-440BLS-LX42 MONTHS/160 000 KMYes</v>
          </cell>
          <cell r="F75">
            <v>689063.38194444438</v>
          </cell>
        </row>
        <row r="76">
          <cell r="E76" t="str">
            <v>TGS-26-440BLS-LX42 MONTHS/170 000 KMNo</v>
          </cell>
          <cell r="F76">
            <v>532147.95833333337</v>
          </cell>
        </row>
        <row r="77">
          <cell r="E77" t="str">
            <v>TGS-26-440BLS-LX42 MONTHS/170 000 KMYes</v>
          </cell>
          <cell r="F77">
            <v>682240.97222222213</v>
          </cell>
        </row>
        <row r="78">
          <cell r="E78" t="str">
            <v>TGS-26-440BLS-LX42 MONTHS/180 000 KMNo</v>
          </cell>
          <cell r="F78">
            <v>526879.16666666663</v>
          </cell>
        </row>
        <row r="79">
          <cell r="E79" t="str">
            <v>TGS-26-440BLS-LX42 MONTHS/180 000 KMYes</v>
          </cell>
          <cell r="F79">
            <v>675486.11111111112</v>
          </cell>
        </row>
        <row r="80">
          <cell r="E80" t="str">
            <v>TGS-26-440BLS-LX42 MONTHS/190 000 KMNo</v>
          </cell>
          <cell r="F80">
            <v>501789.68253968254</v>
          </cell>
        </row>
        <row r="81">
          <cell r="E81" t="str">
            <v>TGS-26-440BLS-LX42 MONTHS/190 000 KMYes</v>
          </cell>
          <cell r="F81">
            <v>649505.876068376</v>
          </cell>
        </row>
        <row r="82">
          <cell r="E82" t="str">
            <v>TGS-26-440BLS-LX42 MONTHS/20 000 KMNo</v>
          </cell>
          <cell r="F82">
            <v>625804.19624033896</v>
          </cell>
        </row>
        <row r="83">
          <cell r="E83" t="str">
            <v>TGS-26-440BLS-LX42 MONTHS/20 000 KMYes</v>
          </cell>
          <cell r="F83">
            <v>803899.84654486738</v>
          </cell>
        </row>
        <row r="84">
          <cell r="E84" t="str">
            <v>TGS-26-440BLS-LX42 MONTHS/200 000 KMNo</v>
          </cell>
          <cell r="F84">
            <v>477894.9357520786</v>
          </cell>
        </row>
        <row r="85">
          <cell r="E85" t="str">
            <v>TGS-26-440BLS-LX42 MONTHS/200 000 KMYes</v>
          </cell>
          <cell r="F85">
            <v>618577.02482702467</v>
          </cell>
        </row>
        <row r="86">
          <cell r="E86" t="str">
            <v>TGS-26-440BLS-LX42 MONTHS/210 000 KMNo</v>
          </cell>
          <cell r="F86">
            <v>455138.03404959862</v>
          </cell>
        </row>
        <row r="87">
          <cell r="E87" t="str">
            <v>TGS-26-440BLS-LX42 MONTHS/210 000 KMYes</v>
          </cell>
          <cell r="F87">
            <v>589120.97602573782</v>
          </cell>
        </row>
        <row r="88">
          <cell r="E88" t="str">
            <v>TGS-26-440BLS-LX42 MONTHS/220 000 KMNo</v>
          </cell>
          <cell r="F88">
            <v>433464.79433295102</v>
          </cell>
        </row>
        <row r="89">
          <cell r="E89" t="str">
            <v>TGS-26-440BLS-LX42 MONTHS/220 000 KMYes</v>
          </cell>
          <cell r="F89">
            <v>555774.5056846583</v>
          </cell>
        </row>
        <row r="90">
          <cell r="E90" t="str">
            <v>TGS-26-440BLS-LX42 MONTHS/230 000 KMNo</v>
          </cell>
          <cell r="F90">
            <v>405107.28442331869</v>
          </cell>
        </row>
        <row r="91">
          <cell r="E91" t="str">
            <v>TGS-26-440BLS-LX42 MONTHS/230 000 KMYes</v>
          </cell>
          <cell r="F91">
            <v>519415.4258735124</v>
          </cell>
        </row>
        <row r="92">
          <cell r="E92" t="str">
            <v>TGS-26-440BLS-LX42 MONTHS/240 000 KMNo</v>
          </cell>
          <cell r="F92">
            <v>378604.93871338188</v>
          </cell>
        </row>
        <row r="93">
          <cell r="E93" t="str">
            <v>TGS-26-440BLS-LX42 MONTHS/240 000 KMYes</v>
          </cell>
          <cell r="F93">
            <v>485434.9774518807</v>
          </cell>
        </row>
        <row r="94">
          <cell r="E94" t="str">
            <v>TGS-26-440BLS-LX42 MONTHS/250 000 KMNo</v>
          </cell>
          <cell r="F94">
            <v>353836.39132091764</v>
          </cell>
        </row>
        <row r="95">
          <cell r="E95" t="str">
            <v>TGS-26-440BLS-LX42 MONTHS/250 000 KMYes</v>
          </cell>
          <cell r="F95">
            <v>453677.54902044922</v>
          </cell>
        </row>
        <row r="96">
          <cell r="E96" t="str">
            <v>TGS-26-440BLS-LX42 MONTHS/260 000 KMNo</v>
          </cell>
          <cell r="F96">
            <v>330688.21618777345</v>
          </cell>
        </row>
        <row r="97">
          <cell r="E97" t="str">
            <v>TGS-26-440BLS-LX42 MONTHS/260 000 KMYes</v>
          </cell>
          <cell r="F97">
            <v>423997.70936490584</v>
          </cell>
        </row>
        <row r="98">
          <cell r="E98" t="str">
            <v>TGS-26-440BLS-LX42 MONTHS/270 000 KMNo</v>
          </cell>
          <cell r="F98">
            <v>309054.4076521247</v>
          </cell>
        </row>
        <row r="99">
          <cell r="E99" t="str">
            <v>TGS-26-440BLS-LX42 MONTHS/270 000 KMYes</v>
          </cell>
          <cell r="F99">
            <v>396259.54146252881</v>
          </cell>
        </row>
        <row r="100">
          <cell r="E100" t="str">
            <v>TGS-26-440BLS-LX42 MONTHS/280 000 KMNo</v>
          </cell>
          <cell r="F100">
            <v>288835.89500198571</v>
          </cell>
        </row>
        <row r="101">
          <cell r="E101" t="str">
            <v>TGS-26-440BLS-LX42 MONTHS/280 000 KMYes</v>
          </cell>
          <cell r="F101">
            <v>370336.02005843812</v>
          </cell>
        </row>
        <row r="102">
          <cell r="E102" t="str">
            <v>TGS-26-440BLS-LX42 MONTHS/30 000 KMNo</v>
          </cell>
          <cell r="F102">
            <v>618383.59312286461</v>
          </cell>
        </row>
        <row r="103">
          <cell r="E103" t="str">
            <v>TGS-26-440BLS-LX42 MONTHS/30 000 KMYes</v>
          </cell>
          <cell r="F103">
            <v>793975.15708135045</v>
          </cell>
        </row>
        <row r="104">
          <cell r="E104" t="str">
            <v>TGS-26-440BLS-LX42 MONTHS/40 000 KMNo</v>
          </cell>
          <cell r="F104">
            <v>611050.98134670418</v>
          </cell>
        </row>
        <row r="105">
          <cell r="E105" t="str">
            <v>TGS-26-440BLS-LX42 MONTHS/40 000 KMYes</v>
          </cell>
          <cell r="F105">
            <v>784172.99464824749</v>
          </cell>
        </row>
        <row r="106">
          <cell r="E106" t="str">
            <v>TGS-26-440BLS-LX42 MONTHS/50 000 KMNo</v>
          </cell>
          <cell r="F106">
            <v>603805.31753626885</v>
          </cell>
        </row>
        <row r="107">
          <cell r="E107" t="str">
            <v>TGS-26-440BLS-LX42 MONTHS/50 000 KMYes</v>
          </cell>
          <cell r="F107">
            <v>774491.84656617034</v>
          </cell>
        </row>
        <row r="108">
          <cell r="E108" t="str">
            <v>TGS-26-440BLS-LX42 MONTHS/60 000 KMNo</v>
          </cell>
          <cell r="F108">
            <v>596645.57068801275</v>
          </cell>
        </row>
        <row r="109">
          <cell r="E109" t="str">
            <v>TGS-26-440BLS-LX42 MONTHS/60 000 KMYes</v>
          </cell>
          <cell r="F109">
            <v>764930.2188307856</v>
          </cell>
        </row>
        <row r="110">
          <cell r="E110" t="str">
            <v>TGS-26-440BLS-LX42 MONTHS/70 000 KMNo</v>
          </cell>
          <cell r="F110">
            <v>590153.8780296864</v>
          </cell>
        </row>
        <row r="111">
          <cell r="E111" t="str">
            <v>TGS-26-440BLS-LX42 MONTHS/70 000 KMYes</v>
          </cell>
          <cell r="F111">
            <v>756607.53593549517</v>
          </cell>
        </row>
        <row r="112">
          <cell r="E112" t="str">
            <v>TGS-26-440BLS-LX42 MONTHS/80 000 KMNo</v>
          </cell>
          <cell r="F112">
            <v>583732.8170422219</v>
          </cell>
        </row>
        <row r="113">
          <cell r="E113" t="str">
            <v>TGS-26-440BLS-LX42 MONTHS/80 000 KMYes</v>
          </cell>
          <cell r="F113">
            <v>748375.40646438708</v>
          </cell>
        </row>
        <row r="114">
          <cell r="E114" t="str">
            <v>TGS-26-440BLS-LX42 MONTHS/90 000 KMNo</v>
          </cell>
          <cell r="F114">
            <v>577381.61923068448</v>
          </cell>
        </row>
        <row r="115">
          <cell r="E115" t="str">
            <v>TGS-26-440BLS-LX42 MONTHS/90 000 KMYes</v>
          </cell>
          <cell r="F115">
            <v>740232.84516754409</v>
          </cell>
        </row>
        <row r="116">
          <cell r="E116" t="str">
            <v>TGS-26-440BLS-LX48 MONTHS/10 000 KMNo</v>
          </cell>
          <cell r="F116">
            <v>579085.29576353973</v>
          </cell>
        </row>
        <row r="117">
          <cell r="E117" t="str">
            <v>TGS-26-440BLS-LX48 MONTHS/10 000 KMYes</v>
          </cell>
          <cell r="F117">
            <v>750733.90085421223</v>
          </cell>
        </row>
        <row r="118">
          <cell r="E118" t="str">
            <v>TGS-26-440BLS-LX48 MONTHS/100 000 KMNo</v>
          </cell>
          <cell r="F118">
            <v>524269.36345575511</v>
          </cell>
        </row>
        <row r="119">
          <cell r="E119" t="str">
            <v>TGS-26-440BLS-LX48 MONTHS/100 000 KMYes</v>
          </cell>
          <cell r="F119">
            <v>675314.76615168108</v>
          </cell>
        </row>
        <row r="120">
          <cell r="E120" t="str">
            <v>TGS-26-440BLS-LX48 MONTHS/110 000 KMNo</v>
          </cell>
          <cell r="F120">
            <v>518565.14684050955</v>
          </cell>
        </row>
        <row r="121">
          <cell r="E121" t="str">
            <v>TGS-26-440BLS-LX48 MONTHS/110 000 KMYes</v>
          </cell>
          <cell r="F121">
            <v>667967.12774646992</v>
          </cell>
        </row>
        <row r="122">
          <cell r="E122" t="str">
            <v>TGS-26-440BLS-LX48 MONTHS/120 000 KMNo</v>
          </cell>
          <cell r="F122">
            <v>513430.83845595003</v>
          </cell>
        </row>
        <row r="123">
          <cell r="E123" t="str">
            <v>TGS-26-440BLS-LX48 MONTHS/120 000 KMYes</v>
          </cell>
          <cell r="F123">
            <v>661353.59182818804</v>
          </cell>
        </row>
        <row r="124">
          <cell r="E124" t="str">
            <v>TGS-26-440BLS-LX48 MONTHS/130 000 KMNo</v>
          </cell>
          <cell r="F124">
            <v>508347.36480787129</v>
          </cell>
        </row>
        <row r="125">
          <cell r="E125" t="str">
            <v>TGS-26-440BLS-LX48 MONTHS/130 000 KMYes</v>
          </cell>
          <cell r="F125">
            <v>654805.5364635525</v>
          </cell>
        </row>
        <row r="126">
          <cell r="E126" t="str">
            <v>TGS-26-440BLS-LX48 MONTHS/140 000 KMNo</v>
          </cell>
          <cell r="F126">
            <v>503314.22258205077</v>
          </cell>
        </row>
        <row r="127">
          <cell r="E127" t="str">
            <v>TGS-26-440BLS-LX48 MONTHS/140 000 KMYes</v>
          </cell>
          <cell r="F127">
            <v>648322.31333024998</v>
          </cell>
        </row>
        <row r="128">
          <cell r="E128" t="str">
            <v>TGS-26-440BLS-LX48 MONTHS/150 000 KMNo</v>
          </cell>
          <cell r="F128">
            <v>498330.913447575</v>
          </cell>
        </row>
        <row r="129">
          <cell r="E129" t="str">
            <v>TGS-26-440BLS-LX48 MONTHS/150 000 KMYes</v>
          </cell>
          <cell r="F129">
            <v>641903.28052499995</v>
          </cell>
        </row>
        <row r="130">
          <cell r="E130" t="str">
            <v>TGS-26-440BLS-LX48 MONTHS/160 000 KMNo</v>
          </cell>
          <cell r="F130">
            <v>493396.94400750002</v>
          </cell>
        </row>
        <row r="131">
          <cell r="E131" t="str">
            <v>TGS-26-440BLS-LX48 MONTHS/160 000 KMYes</v>
          </cell>
          <cell r="F131">
            <v>635547.80249999999</v>
          </cell>
        </row>
        <row r="132">
          <cell r="E132" t="str">
            <v>TGS-26-440BLS-LX48 MONTHS/170 000 KMNo</v>
          </cell>
          <cell r="F132">
            <v>488511.82575000002</v>
          </cell>
        </row>
        <row r="133">
          <cell r="E133" t="str">
            <v>TGS-26-440BLS-LX48 MONTHS/170 000 KMYes</v>
          </cell>
          <cell r="F133">
            <v>629255.25</v>
          </cell>
        </row>
        <row r="134">
          <cell r="E134" t="str">
            <v>TGS-26-440BLS-LX48 MONTHS/180 000 KMNo</v>
          </cell>
          <cell r="F134">
            <v>483675.07500000001</v>
          </cell>
        </row>
        <row r="135">
          <cell r="E135" t="str">
            <v>TGS-26-440BLS-LX48 MONTHS/180 000 KMYes</v>
          </cell>
          <cell r="F135">
            <v>623025</v>
          </cell>
        </row>
        <row r="136">
          <cell r="E136" t="str">
            <v>TGS-26-440BLS-LX48 MONTHS/190 000 KMNo</v>
          </cell>
          <cell r="F136">
            <v>460642.92857142858</v>
          </cell>
        </row>
        <row r="137">
          <cell r="E137" t="str">
            <v>TGS-26-440BLS-LX48 MONTHS/190 000 KMYes</v>
          </cell>
          <cell r="F137">
            <v>599062.5</v>
          </cell>
        </row>
        <row r="138">
          <cell r="E138" t="str">
            <v>TGS-26-440BLS-LX48 MONTHS/20 000 KMNo</v>
          </cell>
          <cell r="F138">
            <v>572218.67170310253</v>
          </cell>
        </row>
        <row r="139">
          <cell r="E139" t="str">
            <v>TGS-26-440BLS-LX48 MONTHS/20 000 KMYes</v>
          </cell>
          <cell r="F139">
            <v>741465.58109057997</v>
          </cell>
        </row>
        <row r="140">
          <cell r="E140" t="str">
            <v>TGS-26-440BLS-LX48 MONTHS/200 000 KMNo</v>
          </cell>
          <cell r="F140">
            <v>438707.55102040817</v>
          </cell>
        </row>
        <row r="141">
          <cell r="E141" t="str">
            <v>TGS-26-440BLS-LX48 MONTHS/200 000 KMYes</v>
          </cell>
          <cell r="F141">
            <v>570535.71428571432</v>
          </cell>
        </row>
        <row r="142">
          <cell r="E142" t="str">
            <v>TGS-26-440BLS-LX48 MONTHS/210 000 KMNo</v>
          </cell>
          <cell r="F142">
            <v>417816.71525753156</v>
          </cell>
        </row>
        <row r="143">
          <cell r="E143" t="str">
            <v>TGS-26-440BLS-LX48 MONTHS/210 000 KMYes</v>
          </cell>
          <cell r="F143">
            <v>543367.3469387755</v>
          </cell>
        </row>
        <row r="144">
          <cell r="E144" t="str">
            <v>TGS-26-440BLS-LX48 MONTHS/220 000 KMNo</v>
          </cell>
          <cell r="F144">
            <v>397920.6811976491</v>
          </cell>
        </row>
        <row r="145">
          <cell r="E145" t="str">
            <v>TGS-26-440BLS-LX48 MONTHS/220 000 KMYes</v>
          </cell>
          <cell r="F145">
            <v>507819.95041007054</v>
          </cell>
        </row>
        <row r="146">
          <cell r="E146" t="str">
            <v>TGS-26-440BLS-LX48 MONTHS/230 000 KMNo</v>
          </cell>
          <cell r="F146">
            <v>371888.48710060661</v>
          </cell>
        </row>
        <row r="147">
          <cell r="E147" t="str">
            <v>TGS-26-440BLS-LX48 MONTHS/230 000 KMYes</v>
          </cell>
          <cell r="F147">
            <v>474598.08449539298</v>
          </cell>
        </row>
        <row r="148">
          <cell r="E148" t="str">
            <v>TGS-26-440BLS-LX48 MONTHS/240 000 KMNo</v>
          </cell>
          <cell r="F148">
            <v>347559.33373888466</v>
          </cell>
        </row>
        <row r="149">
          <cell r="E149" t="str">
            <v>TGS-26-440BLS-LX48 MONTHS/240 000 KMYes</v>
          </cell>
          <cell r="F149">
            <v>443549.61167793733</v>
          </cell>
        </row>
        <row r="150">
          <cell r="E150" t="str">
            <v>TGS-26-440BLS-LX48 MONTHS/250 000 KMNo</v>
          </cell>
          <cell r="F150">
            <v>324821.80723260244</v>
          </cell>
        </row>
        <row r="151">
          <cell r="E151" t="str">
            <v>TGS-26-440BLS-LX48 MONTHS/250 000 KMYes</v>
          </cell>
          <cell r="F151">
            <v>414532.34736255824</v>
          </cell>
        </row>
        <row r="152">
          <cell r="E152" t="str">
            <v>TGS-26-440BLS-LX48 MONTHS/260 000 KMNo</v>
          </cell>
          <cell r="F152">
            <v>303571.7824603761</v>
          </cell>
        </row>
        <row r="153">
          <cell r="E153" t="str">
            <v>TGS-26-440BLS-LX48 MONTHS/260 000 KMYes</v>
          </cell>
          <cell r="F153">
            <v>387413.40875005443</v>
          </cell>
        </row>
        <row r="154">
          <cell r="E154" t="str">
            <v>TGS-26-440BLS-LX48 MONTHS/270 000 KMNo</v>
          </cell>
          <cell r="F154">
            <v>283711.94622465054</v>
          </cell>
        </row>
        <row r="155">
          <cell r="E155" t="str">
            <v>TGS-26-440BLS-LX48 MONTHS/270 000 KMYes</v>
          </cell>
          <cell r="F155">
            <v>362068.60630846204</v>
          </cell>
        </row>
        <row r="156">
          <cell r="E156" t="str">
            <v>TGS-26-440BLS-LX48 MONTHS/280 000 KMNo</v>
          </cell>
          <cell r="F156">
            <v>265151.3516118229</v>
          </cell>
        </row>
        <row r="157">
          <cell r="E157" t="str">
            <v>TGS-26-440BLS-LX48 MONTHS/280 000 KMYes</v>
          </cell>
          <cell r="F157">
            <v>338381.87505463738</v>
          </cell>
        </row>
        <row r="158">
          <cell r="E158" t="str">
            <v>TGS-26-440BLS-LX48 MONTHS/30 000 KMNo</v>
          </cell>
          <cell r="F158">
            <v>565433.47006235423</v>
          </cell>
        </row>
        <row r="159">
          <cell r="E159" t="str">
            <v>TGS-26-440BLS-LX48 MONTHS/30 000 KMYes</v>
          </cell>
          <cell r="F159">
            <v>732311.68502773333</v>
          </cell>
        </row>
        <row r="160">
          <cell r="E160" t="str">
            <v>TGS-26-440BLS-LX48 MONTHS/40 000 KMNo</v>
          </cell>
          <cell r="F160">
            <v>558728.72535805753</v>
          </cell>
        </row>
        <row r="161">
          <cell r="E161" t="str">
            <v>TGS-26-440BLS-LX48 MONTHS/40 000 KMYes</v>
          </cell>
          <cell r="F161">
            <v>723270.80002739094</v>
          </cell>
        </row>
        <row r="162">
          <cell r="E162" t="str">
            <v>TGS-26-440BLS-LX48 MONTHS/50 000 KMNo</v>
          </cell>
          <cell r="F162">
            <v>552103.48355539283</v>
          </cell>
        </row>
        <row r="163">
          <cell r="E163" t="str">
            <v>TGS-26-440BLS-LX48 MONTHS/50 000 KMYes</v>
          </cell>
          <cell r="F163">
            <v>714341.53089125035</v>
          </cell>
        </row>
        <row r="164">
          <cell r="E164" t="str">
            <v>TGS-26-440BLS-LX48 MONTHS/60 000 KMNo</v>
          </cell>
          <cell r="F164">
            <v>545556.80193220638</v>
          </cell>
        </row>
        <row r="165">
          <cell r="E165" t="str">
            <v>TGS-26-440BLS-LX48 MONTHS/60 000 KMYes</v>
          </cell>
          <cell r="F165">
            <v>705522.49964567937</v>
          </cell>
        </row>
        <row r="166">
          <cell r="E166" t="str">
            <v>TGS-26-440BLS-LX48 MONTHS/70 000 KMNo</v>
          </cell>
          <cell r="F166">
            <v>540155.24943782808</v>
          </cell>
        </row>
        <row r="167">
          <cell r="E167" t="str">
            <v>TGS-26-440BLS-LX48 MONTHS/70 000 KMYes</v>
          </cell>
          <cell r="F167">
            <v>697846.1915387531</v>
          </cell>
        </row>
        <row r="168">
          <cell r="E168" t="str">
            <v>TGS-26-440BLS-LX48 MONTHS/80 000 KMNo</v>
          </cell>
          <cell r="F168">
            <v>534807.17766121589</v>
          </cell>
        </row>
        <row r="169">
          <cell r="E169" t="str">
            <v>TGS-26-440BLS-LX48 MONTHS/80 000 KMYes</v>
          </cell>
          <cell r="F169">
            <v>690253.40409372223</v>
          </cell>
        </row>
        <row r="170">
          <cell r="E170" t="str">
            <v>TGS-26-440BLS-LX48 MONTHS/90 000 KMNo</v>
          </cell>
          <cell r="F170">
            <v>529512.05709031271</v>
          </cell>
        </row>
        <row r="171">
          <cell r="E171" t="str">
            <v>TGS-26-440BLS-LX48 MONTHS/90 000 KMYes</v>
          </cell>
          <cell r="F171">
            <v>682743.22857934947</v>
          </cell>
        </row>
        <row r="172">
          <cell r="E172" t="str">
            <v>TGS-26-440BLS-LX54 MONTHS/10 000 KMNo</v>
          </cell>
          <cell r="F172">
            <v>512464.86350755731</v>
          </cell>
        </row>
        <row r="173">
          <cell r="E173" t="str">
            <v>TGS-26-440BLS-LX54 MONTHS/10 000 KMYes</v>
          </cell>
          <cell r="F173">
            <v>664366.2839417808</v>
          </cell>
        </row>
        <row r="174">
          <cell r="E174" t="str">
            <v>TGS-26-440BLS-LX54 MONTHS/100 000 KMNo</v>
          </cell>
          <cell r="F174">
            <v>463955.18889889837</v>
          </cell>
        </row>
        <row r="175">
          <cell r="E175" t="str">
            <v>TGS-26-440BLS-LX54 MONTHS/100 000 KMYes</v>
          </cell>
          <cell r="F175">
            <v>597623.68685989478</v>
          </cell>
        </row>
        <row r="176">
          <cell r="E176" t="str">
            <v>TGS-26-440BLS-LX54 MONTHS/110 000 KMNo</v>
          </cell>
          <cell r="F176">
            <v>458907.20959337131</v>
          </cell>
        </row>
        <row r="177">
          <cell r="E177" t="str">
            <v>TGS-26-440BLS-LX54 MONTHS/110 000 KMYes</v>
          </cell>
          <cell r="F177">
            <v>591121.35198802652</v>
          </cell>
        </row>
        <row r="178">
          <cell r="E178" t="str">
            <v>TGS-26-440BLS-LX54 MONTHS/120 000 KMNo</v>
          </cell>
          <cell r="F178">
            <v>454363.57385482307</v>
          </cell>
        </row>
        <row r="179">
          <cell r="E179" t="str">
            <v>TGS-26-440BLS-LX54 MONTHS/120 000 KMYes</v>
          </cell>
          <cell r="F179">
            <v>585268.66533467977</v>
          </cell>
        </row>
        <row r="180">
          <cell r="E180" t="str">
            <v>TGS-26-440BLS-LX54 MONTHS/130 000 KMNo</v>
          </cell>
          <cell r="F180">
            <v>449864.92460873572</v>
          </cell>
        </row>
        <row r="181">
          <cell r="E181" t="str">
            <v>TGS-26-440BLS-LX54 MONTHS/130 000 KMYes</v>
          </cell>
          <cell r="F181">
            <v>579473.92607394035</v>
          </cell>
        </row>
        <row r="182">
          <cell r="E182" t="str">
            <v>TGS-26-440BLS-LX54 MONTHS/140 000 KMNo</v>
          </cell>
          <cell r="F182">
            <v>445410.81644429278</v>
          </cell>
        </row>
        <row r="183">
          <cell r="E183" t="str">
            <v>TGS-26-440BLS-LX54 MONTHS/140 000 KMYes</v>
          </cell>
          <cell r="F183">
            <v>573736.56046924787</v>
          </cell>
        </row>
        <row r="184">
          <cell r="E184" t="str">
            <v>TGS-26-440BLS-LX54 MONTHS/150 000 KMNo</v>
          </cell>
          <cell r="F184">
            <v>441000.80836068589</v>
          </cell>
        </row>
        <row r="185">
          <cell r="E185" t="str">
            <v>TGS-26-440BLS-LX54 MONTHS/150 000 KMYes</v>
          </cell>
          <cell r="F185">
            <v>568056.00046460179</v>
          </cell>
        </row>
        <row r="186">
          <cell r="E186" t="str">
            <v>TGS-26-440BLS-LX54 MONTHS/160 000 KMNo</v>
          </cell>
          <cell r="F186">
            <v>436634.46372345136</v>
          </cell>
        </row>
        <row r="187">
          <cell r="E187" t="str">
            <v>TGS-26-440BLS-LX54 MONTHS/160 000 KMYes</v>
          </cell>
          <cell r="F187">
            <v>562431.6836283186</v>
          </cell>
        </row>
        <row r="188">
          <cell r="E188" t="str">
            <v>TGS-26-440BLS-LX54 MONTHS/170 000 KMNo</v>
          </cell>
          <cell r="F188">
            <v>432311.35022123897</v>
          </cell>
        </row>
        <row r="189">
          <cell r="E189" t="str">
            <v>TGS-26-440BLS-LX54 MONTHS/170 000 KMYes</v>
          </cell>
          <cell r="F189">
            <v>556863.05309734517</v>
          </cell>
        </row>
        <row r="190">
          <cell r="E190" t="str">
            <v>TGS-26-440BLS-LX54 MONTHS/180 000 KMNo</v>
          </cell>
          <cell r="F190">
            <v>428031.03982300888</v>
          </cell>
        </row>
        <row r="191">
          <cell r="E191" t="str">
            <v>TGS-26-440BLS-LX54 MONTHS/180 000 KMYes</v>
          </cell>
          <cell r="F191">
            <v>551349.55752212391</v>
          </cell>
        </row>
        <row r="192">
          <cell r="E192" t="str">
            <v>TGS-26-440BLS-LX54 MONTHS/190 000 KMNo</v>
          </cell>
          <cell r="F192">
            <v>407648.60935524659</v>
          </cell>
        </row>
        <row r="193">
          <cell r="E193" t="str">
            <v>TGS-26-440BLS-LX54 MONTHS/190 000 KMYes</v>
          </cell>
          <cell r="F193">
            <v>530143.80530973454</v>
          </cell>
        </row>
        <row r="194">
          <cell r="E194" t="str">
            <v>TGS-26-440BLS-LX54 MONTHS/20 000 KMNo</v>
          </cell>
          <cell r="F194">
            <v>506388.20504699345</v>
          </cell>
        </row>
        <row r="195">
          <cell r="E195" t="str">
            <v>TGS-26-440BLS-LX54 MONTHS/20 000 KMYes</v>
          </cell>
          <cell r="F195">
            <v>656164.23105361068</v>
          </cell>
        </row>
        <row r="196">
          <cell r="E196" t="str">
            <v>TGS-26-440BLS-LX54 MONTHS/200 000 KMNo</v>
          </cell>
          <cell r="F196">
            <v>388236.77081452054</v>
          </cell>
        </row>
        <row r="197">
          <cell r="E197" t="str">
            <v>TGS-26-440BLS-LX54 MONTHS/200 000 KMYes</v>
          </cell>
          <cell r="F197">
            <v>504898.86219974724</v>
          </cell>
        </row>
        <row r="198">
          <cell r="E198" t="str">
            <v>TGS-26-440BLS-LX54 MONTHS/210 000 KMNo</v>
          </cell>
          <cell r="F198">
            <v>369749.3055376386</v>
          </cell>
        </row>
        <row r="199">
          <cell r="E199" t="str">
            <v>TGS-26-440BLS-LX54 MONTHS/210 000 KMYes</v>
          </cell>
          <cell r="F199">
            <v>480856.0592378545</v>
          </cell>
        </row>
        <row r="200">
          <cell r="E200" t="str">
            <v>TGS-26-440BLS-LX54 MONTHS/220 000 KMNo</v>
          </cell>
          <cell r="F200">
            <v>352142.19575013197</v>
          </cell>
        </row>
        <row r="201">
          <cell r="E201" t="str">
            <v>TGS-26-440BLS-LX54 MONTHS/220 000 KMYes</v>
          </cell>
          <cell r="F201">
            <v>449398.18620360229</v>
          </cell>
        </row>
        <row r="202">
          <cell r="E202" t="str">
            <v>TGS-26-440BLS-LX54 MONTHS/230 000 KMNo</v>
          </cell>
          <cell r="F202">
            <v>329104.8558412448</v>
          </cell>
        </row>
        <row r="203">
          <cell r="E203" t="str">
            <v>TGS-26-440BLS-LX54 MONTHS/230 000 KMYes</v>
          </cell>
          <cell r="F203">
            <v>419998.30486317968</v>
          </cell>
        </row>
        <row r="204">
          <cell r="E204" t="str">
            <v>TGS-26-440BLS-LX54 MONTHS/240 000 KMNo</v>
          </cell>
          <cell r="F204">
            <v>307574.6316273316</v>
          </cell>
        </row>
        <row r="205">
          <cell r="E205" t="str">
            <v>TGS-26-440BLS-LX54 MONTHS/240 000 KMYes</v>
          </cell>
          <cell r="F205">
            <v>392521.78024596226</v>
          </cell>
        </row>
        <row r="206">
          <cell r="E206" t="str">
            <v>TGS-26-440BLS-LX54 MONTHS/250 000 KMNo</v>
          </cell>
          <cell r="F206">
            <v>287452.92675451544</v>
          </cell>
        </row>
        <row r="207">
          <cell r="E207" t="str">
            <v>TGS-26-440BLS-LX54 MONTHS/250 000 KMYes</v>
          </cell>
          <cell r="F207">
            <v>366842.78527660028</v>
          </cell>
        </row>
        <row r="208">
          <cell r="E208" t="str">
            <v>TGS-26-440BLS-LX54 MONTHS/260 000 KMNo</v>
          </cell>
          <cell r="F208">
            <v>268647.59509767802</v>
          </cell>
        </row>
        <row r="209">
          <cell r="E209" t="str">
            <v>TGS-26-440BLS-LX54 MONTHS/260 000 KMYes</v>
          </cell>
          <cell r="F209">
            <v>342843.7245575703</v>
          </cell>
        </row>
        <row r="210">
          <cell r="E210" t="str">
            <v>TGS-26-440BLS-LX54 MONTHS/270 000 KMNo</v>
          </cell>
          <cell r="F210">
            <v>251072.51878287661</v>
          </cell>
        </row>
        <row r="211">
          <cell r="E211" t="str">
            <v>TGS-26-440BLS-LX54 MONTHS/270 000 KMYes</v>
          </cell>
          <cell r="F211">
            <v>320414.69584819651</v>
          </cell>
        </row>
        <row r="212">
          <cell r="E212" t="str">
            <v>TGS-26-440BLS-LX54 MONTHS/280 000 KMNo</v>
          </cell>
          <cell r="F212">
            <v>234647.2138157725</v>
          </cell>
        </row>
        <row r="213">
          <cell r="E213" t="str">
            <v>TGS-26-440BLS-LX54 MONTHS/280 000 KMYes</v>
          </cell>
          <cell r="F213">
            <v>299452.98677401541</v>
          </cell>
        </row>
        <row r="214">
          <cell r="E214" t="str">
            <v>TGS-26-440BLS-LX54 MONTHS/30 000 KMNo</v>
          </cell>
          <cell r="F214">
            <v>500383.60182509228</v>
          </cell>
        </row>
        <row r="215">
          <cell r="E215" t="str">
            <v>TGS-26-440BLS-LX54 MONTHS/30 000 KMYes</v>
          </cell>
          <cell r="F215">
            <v>648063.43807764014</v>
          </cell>
        </row>
        <row r="216">
          <cell r="E216" t="str">
            <v>TGS-26-440BLS-LX54 MONTHS/40 000 KMNo</v>
          </cell>
          <cell r="F216">
            <v>494450.19943190936</v>
          </cell>
        </row>
        <row r="217">
          <cell r="E217" t="str">
            <v>TGS-26-440BLS-LX54 MONTHS/40 000 KMYes</v>
          </cell>
          <cell r="F217">
            <v>640062.65489149652</v>
          </cell>
        </row>
        <row r="218">
          <cell r="E218" t="str">
            <v>TGS-26-440BLS-LX54 MONTHS/50 000 KMNo</v>
          </cell>
          <cell r="F218">
            <v>488587.15358884324</v>
          </cell>
        </row>
        <row r="219">
          <cell r="E219" t="str">
            <v>TGS-26-440BLS-LX54 MONTHS/50 000 KMYes</v>
          </cell>
          <cell r="F219">
            <v>632160.64680641633</v>
          </cell>
        </row>
        <row r="220">
          <cell r="E220" t="str">
            <v>TGS-26-440BLS-LX54 MONTHS/60 000 KMNo</v>
          </cell>
          <cell r="F220">
            <v>482793.63002850127</v>
          </cell>
        </row>
        <row r="221">
          <cell r="E221" t="str">
            <v>TGS-26-440BLS-LX54 MONTHS/60 000 KMYes</v>
          </cell>
          <cell r="F221">
            <v>624356.19437670743</v>
          </cell>
        </row>
        <row r="222">
          <cell r="E222" t="str">
            <v>TGS-26-440BLS-LX54 MONTHS/70 000 KMNo</v>
          </cell>
          <cell r="F222">
            <v>478013.49507772399</v>
          </cell>
        </row>
        <row r="223">
          <cell r="E223" t="str">
            <v>TGS-26-440BLS-LX54 MONTHS/70 000 KMYes</v>
          </cell>
          <cell r="F223">
            <v>617563.00136172841</v>
          </cell>
        </row>
        <row r="224">
          <cell r="E224" t="str">
            <v>TGS-26-440BLS-LX54 MONTHS/80 000 KMNo</v>
          </cell>
          <cell r="F224">
            <v>473280.6881957663</v>
          </cell>
        </row>
        <row r="225">
          <cell r="E225" t="str">
            <v>TGS-26-440BLS-LX54 MONTHS/80 000 KMYes</v>
          </cell>
          <cell r="F225">
            <v>610843.72043692239</v>
          </cell>
        </row>
        <row r="226">
          <cell r="E226" t="str">
            <v>TGS-26-440BLS-LX54 MONTHS/90 000 KMNo</v>
          </cell>
          <cell r="F226">
            <v>468594.74078788742</v>
          </cell>
        </row>
        <row r="227">
          <cell r="E227" t="str">
            <v>TGS-26-440BLS-LX54 MONTHS/90 000 KMYes</v>
          </cell>
          <cell r="F227">
            <v>604197.54741535359</v>
          </cell>
        </row>
        <row r="228">
          <cell r="E228" t="str">
            <v>TGS-26-440BLS-LX60 MONTHS/10 000 KMNo</v>
          </cell>
          <cell r="F228">
            <v>410387.37259370455</v>
          </cell>
        </row>
        <row r="229">
          <cell r="E229" t="str">
            <v>TGS-26-440BLS-LX60 MONTHS/10 000 KMYes</v>
          </cell>
          <cell r="F229">
            <v>526155.38350466138</v>
          </cell>
        </row>
        <row r="230">
          <cell r="E230" t="str">
            <v>TGS-26-440BLS-LX60 MONTHS/100 000 KMNo</v>
          </cell>
          <cell r="F230">
            <v>370072.49185112125</v>
          </cell>
        </row>
        <row r="231">
          <cell r="E231" t="str">
            <v>TGS-26-440BLS-LX60 MONTHS/100 000 KMYes</v>
          </cell>
          <cell r="F231">
            <v>473297.52841399866</v>
          </cell>
        </row>
        <row r="232">
          <cell r="E232" t="str">
            <v>TGS-26-440BLS-LX60 MONTHS/110 000 KMNo</v>
          </cell>
          <cell r="F232">
            <v>366045.98600506556</v>
          </cell>
        </row>
        <row r="233">
          <cell r="E233" t="str">
            <v>TGS-26-440BLS-LX60 MONTHS/110 000 KMYes</v>
          </cell>
          <cell r="F233">
            <v>468147.90149752592</v>
          </cell>
        </row>
        <row r="234">
          <cell r="E234" t="str">
            <v>TGS-26-440BLS-LX60 MONTHS/120 000 KMNo</v>
          </cell>
          <cell r="F234">
            <v>362421.76832184708</v>
          </cell>
        </row>
        <row r="235">
          <cell r="E235" t="str">
            <v>TGS-26-440BLS-LX60 MONTHS/120 000 KMYes</v>
          </cell>
          <cell r="F235">
            <v>463512.77375992667</v>
          </cell>
        </row>
        <row r="236">
          <cell r="E236" t="str">
            <v>TGS-26-440BLS-LX60 MONTHS/130 000 KMNo</v>
          </cell>
          <cell r="F236">
            <v>358833.43398202682</v>
          </cell>
        </row>
        <row r="237">
          <cell r="E237" t="str">
            <v>TGS-26-440BLS-LX60 MONTHS/130 000 KMYes</v>
          </cell>
          <cell r="F237">
            <v>458923.53837616503</v>
          </cell>
        </row>
        <row r="238">
          <cell r="E238" t="str">
            <v>TGS-26-440BLS-LX60 MONTHS/140 000 KMNo</v>
          </cell>
          <cell r="F238">
            <v>355280.62770497706</v>
          </cell>
        </row>
        <row r="239">
          <cell r="E239" t="str">
            <v>TGS-26-440BLS-LX60 MONTHS/140 000 KMYes</v>
          </cell>
          <cell r="F239">
            <v>454379.74096650002</v>
          </cell>
        </row>
        <row r="240">
          <cell r="E240" t="str">
            <v>TGS-26-440BLS-LX60 MONTHS/150 000 KMNo</v>
          </cell>
          <cell r="F240">
            <v>351762.99772770004</v>
          </cell>
        </row>
        <row r="241">
          <cell r="E241" t="str">
            <v>TGS-26-440BLS-LX60 MONTHS/150 000 KMYes</v>
          </cell>
          <cell r="F241">
            <v>449880.93164999998</v>
          </cell>
        </row>
        <row r="242">
          <cell r="E242" t="str">
            <v>TGS-26-440BLS-LX60 MONTHS/160 000 KMNo</v>
          </cell>
          <cell r="F242">
            <v>348280.19577000005</v>
          </cell>
        </row>
        <row r="243">
          <cell r="E243" t="str">
            <v>TGS-26-440BLS-LX60 MONTHS/160 000 KMYes</v>
          </cell>
          <cell r="F243">
            <v>445426.66499999998</v>
          </cell>
        </row>
        <row r="244">
          <cell r="E244" t="str">
            <v>TGS-26-440BLS-LX60 MONTHS/170 000 KMNo</v>
          </cell>
          <cell r="F244">
            <v>344831.87700000004</v>
          </cell>
        </row>
        <row r="245">
          <cell r="E245" t="str">
            <v>TGS-26-440BLS-LX60 MONTHS/170 000 KMYes</v>
          </cell>
          <cell r="F245">
            <v>441016.5</v>
          </cell>
        </row>
        <row r="246">
          <cell r="E246" t="str">
            <v>TGS-26-440BLS-LX60 MONTHS/180 000 KMNo</v>
          </cell>
          <cell r="F246">
            <v>341417.7</v>
          </cell>
        </row>
        <row r="247">
          <cell r="E247" t="str">
            <v>TGS-26-440BLS-LX60 MONTHS/180 000 KMYes</v>
          </cell>
          <cell r="F247">
            <v>436650</v>
          </cell>
        </row>
        <row r="248">
          <cell r="E248" t="str">
            <v>TGS-26-440BLS-LX60 MONTHS/190 000 KMNo</v>
          </cell>
          <cell r="F248">
            <v>325159.71428571426</v>
          </cell>
        </row>
        <row r="249">
          <cell r="E249" t="str">
            <v>TGS-26-440BLS-LX60 MONTHS/190 000 KMYes</v>
          </cell>
          <cell r="F249">
            <v>419855.76923076919</v>
          </cell>
        </row>
        <row r="250">
          <cell r="E250" t="str">
            <v>TGS-26-440BLS-LX60 MONTHS/20 000 KMNo</v>
          </cell>
          <cell r="F250">
            <v>405521.11916373967</v>
          </cell>
        </row>
        <row r="251">
          <cell r="E251" t="str">
            <v>TGS-26-440BLS-LX60 MONTHS/20 000 KMYes</v>
          </cell>
          <cell r="F251">
            <v>519659.63802929525</v>
          </cell>
        </row>
        <row r="252">
          <cell r="E252" t="str">
            <v>TGS-26-440BLS-LX60 MONTHS/200 000 KMNo</v>
          </cell>
          <cell r="F252">
            <v>309675.91836734692</v>
          </cell>
        </row>
        <row r="253">
          <cell r="E253" t="str">
            <v>TGS-26-440BLS-LX60 MONTHS/200 000 KMYes</v>
          </cell>
          <cell r="F253">
            <v>399862.63736263732</v>
          </cell>
        </row>
        <row r="254">
          <cell r="E254" t="str">
            <v>TGS-26-440BLS-LX60 MONTHS/210 000 KMNo</v>
          </cell>
          <cell r="F254">
            <v>294929.44606413989</v>
          </cell>
        </row>
        <row r="255">
          <cell r="E255" t="str">
            <v>TGS-26-440BLS-LX60 MONTHS/210 000 KMYes</v>
          </cell>
          <cell r="F255">
            <v>380821.55939298793</v>
          </cell>
        </row>
        <row r="256">
          <cell r="E256" t="str">
            <v>TGS-26-440BLS-LX60 MONTHS/220 000 KMNo</v>
          </cell>
          <cell r="F256">
            <v>280885.18672775227</v>
          </cell>
        </row>
        <row r="257">
          <cell r="E257" t="str">
            <v>TGS-26-440BLS-LX60 MONTHS/220 000 KMYes</v>
          </cell>
          <cell r="F257">
            <v>355907.999432699</v>
          </cell>
        </row>
        <row r="258">
          <cell r="E258" t="str">
            <v>TGS-26-440BLS-LX60 MONTHS/230 000 KMNo</v>
          </cell>
          <cell r="F258">
            <v>262509.5203063105</v>
          </cell>
        </row>
        <row r="259">
          <cell r="E259" t="str">
            <v>TGS-26-440BLS-LX60 MONTHS/230 000 KMYes</v>
          </cell>
          <cell r="F259">
            <v>332624.29853523267</v>
          </cell>
        </row>
        <row r="260">
          <cell r="E260" t="str">
            <v>TGS-26-440BLS-LX60 MONTHS/240 000 KMNo</v>
          </cell>
          <cell r="F260">
            <v>245336.00028627148</v>
          </cell>
        </row>
        <row r="261">
          <cell r="E261" t="str">
            <v>TGS-26-440BLS-LX60 MONTHS/240 000 KMYes</v>
          </cell>
          <cell r="F261">
            <v>310863.83040675946</v>
          </cell>
        </row>
        <row r="262">
          <cell r="E262" t="str">
            <v>TGS-26-440BLS-LX60 MONTHS/250 000 KMNo</v>
          </cell>
          <cell r="F262">
            <v>229285.98157595465</v>
          </cell>
        </row>
        <row r="263">
          <cell r="E263" t="str">
            <v>TGS-26-440BLS-LX60 MONTHS/250 000 KMYes</v>
          </cell>
          <cell r="F263">
            <v>290526.94430538267</v>
          </cell>
        </row>
        <row r="264">
          <cell r="E264" t="str">
            <v>TGS-26-440BLS-LX60 MONTHS/260 000 KMNo</v>
          </cell>
          <cell r="F264">
            <v>214285.96408967723</v>
          </cell>
        </row>
        <row r="265">
          <cell r="E265" t="str">
            <v>TGS-26-440BLS-LX60 MONTHS/260 000 KMYes</v>
          </cell>
          <cell r="F265">
            <v>271520.5086966193</v>
          </cell>
        </row>
        <row r="266">
          <cell r="E266" t="str">
            <v>TGS-26-440BLS-LX60 MONTHS/270 000 KMNo</v>
          </cell>
          <cell r="F266">
            <v>200267.25615857684</v>
          </cell>
        </row>
        <row r="267">
          <cell r="E267" t="str">
            <v>TGS-26-440BLS-LX60 MONTHS/270 000 KMYes</v>
          </cell>
          <cell r="F267">
            <v>253757.48476319559</v>
          </cell>
        </row>
        <row r="268">
          <cell r="E268" t="str">
            <v>TGS-26-440BLS-LX60 MONTHS/280 000 KMNo</v>
          </cell>
          <cell r="F268">
            <v>187165.65996128676</v>
          </cell>
        </row>
        <row r="269">
          <cell r="E269" t="str">
            <v>TGS-26-440BLS-LX60 MONTHS/280 000 KMYes</v>
          </cell>
          <cell r="F269">
            <v>237156.52781607062</v>
          </cell>
        </row>
        <row r="270">
          <cell r="E270" t="str">
            <v>TGS-26-440BLS-LX60 MONTHS/30 000 KMNo</v>
          </cell>
          <cell r="F270">
            <v>400712.56834361627</v>
          </cell>
        </row>
        <row r="271">
          <cell r="E271" t="str">
            <v>TGS-26-440BLS-LX60 MONTHS/30 000 KMYes</v>
          </cell>
          <cell r="F271">
            <v>513244.08694251388</v>
          </cell>
        </row>
        <row r="272">
          <cell r="E272" t="str">
            <v>TGS-26-440BLS-LX60 MONTHS/40 000 KMNo</v>
          </cell>
          <cell r="F272">
            <v>395961.03591266432</v>
          </cell>
        </row>
        <row r="273">
          <cell r="E273" t="str">
            <v>TGS-26-440BLS-LX60 MONTHS/40 000 KMYes</v>
          </cell>
          <cell r="F273">
            <v>506907.74019013718</v>
          </cell>
        </row>
        <row r="274">
          <cell r="E274" t="str">
            <v>TGS-26-440BLS-LX60 MONTHS/50 000 KMNo</v>
          </cell>
          <cell r="F274">
            <v>391265.84576350229</v>
          </cell>
        </row>
        <row r="275">
          <cell r="E275" t="str">
            <v>TGS-26-440BLS-LX60 MONTHS/50 000 KMYes</v>
          </cell>
          <cell r="F275">
            <v>500649.61994087626</v>
          </cell>
        </row>
        <row r="276">
          <cell r="E276" t="str">
            <v>TGS-26-440BLS-LX60 MONTHS/60 000 KMNo</v>
          </cell>
          <cell r="F276">
            <v>386626.3298058323</v>
          </cell>
        </row>
        <row r="277">
          <cell r="E277" t="str">
            <v>TGS-26-440BLS-LX60 MONTHS/60 000 KMYes</v>
          </cell>
          <cell r="F277">
            <v>494468.76043543336</v>
          </cell>
        </row>
        <row r="278">
          <cell r="E278" t="str">
            <v>TGS-26-440BLS-LX60 MONTHS/70 000 KMNo</v>
          </cell>
          <cell r="F278">
            <v>382419.71296323673</v>
          </cell>
        </row>
        <row r="279">
          <cell r="E279" t="str">
            <v>TGS-26-440BLS-LX60 MONTHS/70 000 KMYes</v>
          </cell>
          <cell r="F279">
            <v>489088.78381348506</v>
          </cell>
        </row>
        <row r="280">
          <cell r="E280" t="str">
            <v>TGS-26-440BLS-LX60 MONTHS/80 000 KMNo</v>
          </cell>
          <cell r="F280">
            <v>378258.86544335983</v>
          </cell>
        </row>
        <row r="281">
          <cell r="E281" t="str">
            <v>TGS-26-440BLS-LX60 MONTHS/80 000 KMYes</v>
          </cell>
          <cell r="F281">
            <v>483767.34304004459</v>
          </cell>
        </row>
        <row r="282">
          <cell r="E282" t="str">
            <v>TGS-26-440BLS-LX60 MONTHS/90 000 KMNo</v>
          </cell>
          <cell r="F282">
            <v>374143.28926148353</v>
          </cell>
        </row>
        <row r="283">
          <cell r="E283" t="str">
            <v>TGS-26-440BLS-LX60 MONTHS/90 000 KMYes</v>
          </cell>
          <cell r="F283">
            <v>478503.80122655258</v>
          </cell>
        </row>
        <row r="284">
          <cell r="E284" t="str">
            <v>TGS-27-440BBS-L36 MONTHS/10 000 KMNo</v>
          </cell>
          <cell r="F284">
            <v>669001.31298730429</v>
          </cell>
        </row>
        <row r="285">
          <cell r="E285" t="str">
            <v>TGS-27-440BBS-L36 MONTHS/10 000 KMYes</v>
          </cell>
          <cell r="F285">
            <v>857693.99100936437</v>
          </cell>
        </row>
        <row r="286">
          <cell r="E286" t="str">
            <v>TGS-27-440BBS-L36 MONTHS/100 000 KMNo</v>
          </cell>
          <cell r="F286">
            <v>603281.19109550165</v>
          </cell>
        </row>
        <row r="287">
          <cell r="E287" t="str">
            <v>TGS-27-440BBS-L36 MONTHS/100 000 KMYes</v>
          </cell>
          <cell r="F287">
            <v>790753.18771607103</v>
          </cell>
        </row>
        <row r="288">
          <cell r="E288" t="str">
            <v>TGS-27-440BBS-L36 MONTHS/110 000 KMNo</v>
          </cell>
          <cell r="F288">
            <v>596717.30078684643</v>
          </cell>
        </row>
        <row r="289">
          <cell r="E289" t="str">
            <v>TGS-27-440BBS-L36 MONTHS/110 000 KMYes</v>
          </cell>
          <cell r="F289">
            <v>782149.54274586658</v>
          </cell>
        </row>
        <row r="290">
          <cell r="E290" t="str">
            <v>TGS-27-440BBS-L36 MONTHS/120 000 KMNo</v>
          </cell>
          <cell r="F290">
            <v>590809.20869984792</v>
          </cell>
        </row>
        <row r="291">
          <cell r="E291" t="str">
            <v>TGS-27-440BBS-L36 MONTHS/120 000 KMYes</v>
          </cell>
          <cell r="F291">
            <v>774405.48786719458</v>
          </cell>
        </row>
        <row r="292">
          <cell r="E292" t="str">
            <v>TGS-27-440BBS-L36 MONTHS/130 000 KMNo</v>
          </cell>
          <cell r="F292">
            <v>584959.6125741069</v>
          </cell>
        </row>
        <row r="293">
          <cell r="E293" t="str">
            <v>TGS-27-440BBS-L36 MONTHS/130 000 KMYes</v>
          </cell>
          <cell r="F293">
            <v>766738.10679920251</v>
          </cell>
        </row>
        <row r="294">
          <cell r="E294" t="str">
            <v>TGS-27-440BBS-L36 MONTHS/140 000 KMNo</v>
          </cell>
          <cell r="F294">
            <v>579167.93324169004</v>
          </cell>
        </row>
        <row r="295">
          <cell r="E295" t="str">
            <v>TGS-27-440BBS-L36 MONTHS/140 000 KMYes</v>
          </cell>
          <cell r="F295">
            <v>759146.64039525006</v>
          </cell>
        </row>
        <row r="296">
          <cell r="E296" t="str">
            <v>TGS-27-440BBS-L36 MONTHS/150 000 KMNo</v>
          </cell>
          <cell r="F296">
            <v>573433.59726900002</v>
          </cell>
        </row>
        <row r="297">
          <cell r="E297" t="str">
            <v>TGS-27-440BBS-L36 MONTHS/150 000 KMYes</v>
          </cell>
          <cell r="F297">
            <v>751630.33702500002</v>
          </cell>
        </row>
        <row r="298">
          <cell r="E298" t="str">
            <v>TGS-27-440BBS-L36 MONTHS/160 000 KMNo</v>
          </cell>
          <cell r="F298">
            <v>567756.03690000006</v>
          </cell>
        </row>
        <row r="299">
          <cell r="E299" t="str">
            <v>TGS-27-440BBS-L36 MONTHS/160 000 KMYes</v>
          </cell>
          <cell r="F299">
            <v>744188.45250000001</v>
          </cell>
        </row>
        <row r="300">
          <cell r="E300" t="str">
            <v>TGS-27-440BBS-L36 MONTHS/170 000 KMNo</v>
          </cell>
          <cell r="F300">
            <v>562134.69000000006</v>
          </cell>
        </row>
        <row r="301">
          <cell r="E301" t="str">
            <v>TGS-27-440BBS-L36 MONTHS/170 000 KMYes</v>
          </cell>
          <cell r="F301">
            <v>736820.25</v>
          </cell>
        </row>
        <row r="302">
          <cell r="E302" t="str">
            <v>TGS-27-440BBS-L36 MONTHS/180 000 KMNo</v>
          </cell>
          <cell r="F302">
            <v>556569</v>
          </cell>
        </row>
        <row r="303">
          <cell r="E303" t="str">
            <v>TGS-27-440BBS-L36 MONTHS/180 000 KMYes</v>
          </cell>
          <cell r="F303">
            <v>729525</v>
          </cell>
        </row>
        <row r="304">
          <cell r="E304" t="str">
            <v>TGS-27-440BBS-L36 MONTHS/190 000 KMNo</v>
          </cell>
          <cell r="F304">
            <v>530065.71428571432</v>
          </cell>
        </row>
        <row r="305">
          <cell r="E305" t="str">
            <v>TGS-27-440BBS-L36 MONTHS/190 000 KMYes</v>
          </cell>
          <cell r="F305">
            <v>701466.34615384613</v>
          </cell>
        </row>
        <row r="306">
          <cell r="E306" t="str">
            <v>TGS-27-440BBS-L36 MONTHS/20 000 KMNo</v>
          </cell>
          <cell r="F306">
            <v>661068.49109417421</v>
          </cell>
        </row>
        <row r="307">
          <cell r="E307" t="str">
            <v>TGS-27-440BBS-L36 MONTHS/20 000 KMYes</v>
          </cell>
          <cell r="F307">
            <v>847523.70653099241</v>
          </cell>
        </row>
        <row r="308">
          <cell r="E308" t="str">
            <v>TGS-27-440BBS-L36 MONTHS/200 000 KMNo</v>
          </cell>
          <cell r="F308">
            <v>504824.4897959184</v>
          </cell>
        </row>
        <row r="309">
          <cell r="E309" t="str">
            <v>TGS-27-440BBS-L36 MONTHS/200 000 KMYes</v>
          </cell>
          <cell r="F309">
            <v>668063.18681318674</v>
          </cell>
        </row>
        <row r="310">
          <cell r="E310" t="str">
            <v>TGS-27-440BBS-L36 MONTHS/210 000 KMNo</v>
          </cell>
          <cell r="F310">
            <v>480785.2283770651</v>
          </cell>
        </row>
        <row r="311">
          <cell r="E311" t="str">
            <v>TGS-27-440BBS-L36 MONTHS/210 000 KMYes</v>
          </cell>
          <cell r="F311">
            <v>636250.65410779684</v>
          </cell>
        </row>
        <row r="312">
          <cell r="E312" t="str">
            <v>TGS-27-440BBS-L36 MONTHS/220 000 KMNo</v>
          </cell>
          <cell r="F312">
            <v>468141.97787958715</v>
          </cell>
        </row>
        <row r="313">
          <cell r="E313" t="str">
            <v>TGS-27-440BBS-L36 MONTHS/220 000 KMYes</v>
          </cell>
          <cell r="F313">
            <v>600236.466139431</v>
          </cell>
        </row>
        <row r="314">
          <cell r="E314" t="str">
            <v>TGS-27-440BBS-L36 MONTHS/230 000 KMNo</v>
          </cell>
          <cell r="F314">
            <v>427935.22774994659</v>
          </cell>
        </row>
        <row r="315">
          <cell r="E315" t="str">
            <v>TGS-27-440BBS-L36 MONTHS/230 000 KMYes</v>
          </cell>
          <cell r="F315">
            <v>560968.65994339343</v>
          </cell>
        </row>
        <row r="316">
          <cell r="E316" t="str">
            <v>TGS-27-440BBS-L36 MONTHS/240 000 KMNo</v>
          </cell>
          <cell r="F316">
            <v>399939.46518686594</v>
          </cell>
        </row>
        <row r="317">
          <cell r="E317" t="str">
            <v>TGS-27-440BBS-L36 MONTHS/240 000 KMYes</v>
          </cell>
          <cell r="F317">
            <v>524269.77564803121</v>
          </cell>
        </row>
        <row r="318">
          <cell r="E318" t="str">
            <v>TGS-27-440BBS-L36 MONTHS/250 000 KMNo</v>
          </cell>
          <cell r="F318">
            <v>382143.30262659106</v>
          </cell>
        </row>
        <row r="319">
          <cell r="E319" t="str">
            <v>TGS-27-440BBS-L36 MONTHS/250 000 KMYes</v>
          </cell>
          <cell r="F319">
            <v>489971.75294208521</v>
          </cell>
        </row>
        <row r="320">
          <cell r="E320" t="str">
            <v>TGS-27-440BBS-L36 MONTHS/260 000 KMNo</v>
          </cell>
          <cell r="F320">
            <v>349322.61785908457</v>
          </cell>
        </row>
        <row r="321">
          <cell r="E321" t="str">
            <v>TGS-27-440BBS-L36 MONTHS/260 000 KMYes</v>
          </cell>
          <cell r="F321">
            <v>457917.52611409832</v>
          </cell>
        </row>
        <row r="322">
          <cell r="E322" t="str">
            <v>TGS-27-440BBS-L36 MONTHS/270 000 KMNo</v>
          </cell>
          <cell r="F322">
            <v>326469.73631690146</v>
          </cell>
        </row>
        <row r="323">
          <cell r="E323" t="str">
            <v>TGS-27-440BBS-L36 MONTHS/270 000 KMYes</v>
          </cell>
          <cell r="F323">
            <v>427960.30477953114</v>
          </cell>
        </row>
        <row r="324">
          <cell r="E324" t="str">
            <v>TGS-27-440BBS-L36 MONTHS/280 000 KMNo</v>
          </cell>
          <cell r="F324">
            <v>305111.90309990791</v>
          </cell>
        </row>
        <row r="325">
          <cell r="E325" t="str">
            <v>TGS-27-440BBS-L36 MONTHS/280 000 KMYes</v>
          </cell>
          <cell r="F325">
            <v>399962.90166311321</v>
          </cell>
        </row>
        <row r="326">
          <cell r="E326" t="str">
            <v>TGS-27-440BBS-L36 MONTHS/30 000 KMNo</v>
          </cell>
          <cell r="F326">
            <v>653229.73428278079</v>
          </cell>
        </row>
        <row r="327">
          <cell r="E327" t="str">
            <v>TGS-27-440BBS-L36 MONTHS/30 000 KMYes</v>
          </cell>
          <cell r="F327">
            <v>857493.16964785859</v>
          </cell>
        </row>
        <row r="328">
          <cell r="E328" t="str">
            <v>TGS-27-440BBS-L36 MONTHS/40 000 KMNo</v>
          </cell>
          <cell r="F328">
            <v>645483.92715689796</v>
          </cell>
        </row>
        <row r="329">
          <cell r="E329" t="str">
            <v>TGS-27-440BBS-L36 MONTHS/40 000 KMYes</v>
          </cell>
          <cell r="F329">
            <v>827543.49635499739</v>
          </cell>
        </row>
        <row r="330">
          <cell r="E330" t="str">
            <v>TGS-27-440BBS-L36 MONTHS/50 000 KMNo</v>
          </cell>
          <cell r="F330">
            <v>637829.96754634182</v>
          </cell>
        </row>
        <row r="331">
          <cell r="E331" t="str">
            <v>TGS-27-440BBS-L36 MONTHS/50 000 KMYes</v>
          </cell>
          <cell r="F331">
            <v>836451.19429146405</v>
          </cell>
        </row>
        <row r="332">
          <cell r="E332" t="str">
            <v>TGS-27-440BBS-L36 MONTHS/60 000 KMNo</v>
          </cell>
          <cell r="F332">
            <v>630266.7663501401</v>
          </cell>
        </row>
        <row r="333">
          <cell r="E333" t="str">
            <v>TGS-27-440BBS-L36 MONTHS/60 000 KMYes</v>
          </cell>
          <cell r="F333">
            <v>826124.63633724849</v>
          </cell>
        </row>
        <row r="334">
          <cell r="E334" t="str">
            <v>TGS-27-440BBS-L36 MONTHS/70 000 KMNo</v>
          </cell>
          <cell r="F334">
            <v>623409.26444128598</v>
          </cell>
        </row>
        <row r="335">
          <cell r="E335" t="str">
            <v>TGS-27-440BBS-L36 MONTHS/70 000 KMYes</v>
          </cell>
          <cell r="F335">
            <v>817136.13881033484</v>
          </cell>
        </row>
        <row r="336">
          <cell r="E336" t="str">
            <v>TGS-27-440BBS-L36 MONTHS/80 000 KMNo</v>
          </cell>
          <cell r="F336">
            <v>616626.37432372512</v>
          </cell>
        </row>
        <row r="337">
          <cell r="E337" t="str">
            <v>TGS-27-440BBS-L36 MONTHS/80 000 KMYes</v>
          </cell>
          <cell r="F337">
            <v>808245.43898153806</v>
          </cell>
        </row>
        <row r="338">
          <cell r="E338" t="str">
            <v>TGS-27-440BBS-L36 MONTHS/90 000 KMNo</v>
          </cell>
          <cell r="F338">
            <v>609917.28419755213</v>
          </cell>
        </row>
        <row r="339">
          <cell r="E339" t="str">
            <v>TGS-27-440BBS-L36 MONTHS/90 000 KMYes</v>
          </cell>
          <cell r="F339">
            <v>799451.47278094769</v>
          </cell>
        </row>
        <row r="340">
          <cell r="E340" t="str">
            <v>TGS-27-440BBS-L42 MONTHS/10 000 KMNo</v>
          </cell>
          <cell r="F340">
            <v>619445.66017342987</v>
          </cell>
        </row>
        <row r="341">
          <cell r="E341" t="str">
            <v>TGS-27-440BBS-L42 MONTHS/10 000 KMYes</v>
          </cell>
          <cell r="F341">
            <v>794161.10278644843</v>
          </cell>
        </row>
        <row r="342">
          <cell r="E342" t="str">
            <v>TGS-27-440BBS-L42 MONTHS/100 000 KMNo</v>
          </cell>
          <cell r="F342">
            <v>558593.69545879774</v>
          </cell>
        </row>
        <row r="343">
          <cell r="E343" t="str">
            <v>TGS-27-440BBS-L42 MONTHS/100 000 KMYes</v>
          </cell>
          <cell r="F343">
            <v>732178.8775148805</v>
          </cell>
        </row>
        <row r="344">
          <cell r="E344" t="str">
            <v>TGS-27-440BBS-L42 MONTHS/110 000 KMNo</v>
          </cell>
          <cell r="F344">
            <v>552516.01924707997</v>
          </cell>
        </row>
        <row r="345">
          <cell r="E345" t="str">
            <v>TGS-27-440BBS-L42 MONTHS/110 000 KMYes</v>
          </cell>
          <cell r="F345">
            <v>724212.53957950603</v>
          </cell>
        </row>
        <row r="346">
          <cell r="E346" t="str">
            <v>TGS-27-440BBS-L42 MONTHS/120 000 KMNo</v>
          </cell>
          <cell r="F346">
            <v>547045.56361097028</v>
          </cell>
        </row>
        <row r="347">
          <cell r="E347" t="str">
            <v>TGS-27-440BBS-L42 MONTHS/120 000 KMYes</v>
          </cell>
          <cell r="F347">
            <v>717042.11839555053</v>
          </cell>
        </row>
        <row r="348">
          <cell r="E348" t="str">
            <v>TGS-27-440BBS-L42 MONTHS/130 000 KMNo</v>
          </cell>
          <cell r="F348">
            <v>541629.27090195077</v>
          </cell>
        </row>
        <row r="349">
          <cell r="E349" t="str">
            <v>TGS-27-440BBS-L42 MONTHS/130 000 KMYes</v>
          </cell>
          <cell r="F349">
            <v>709942.691480743</v>
          </cell>
        </row>
        <row r="350">
          <cell r="E350" t="str">
            <v>TGS-27-440BBS-L42 MONTHS/140 000 KMNo</v>
          </cell>
          <cell r="F350">
            <v>536266.60485341668</v>
          </cell>
        </row>
        <row r="351">
          <cell r="E351" t="str">
            <v>TGS-27-440BBS-L42 MONTHS/140 000 KMYes</v>
          </cell>
          <cell r="F351">
            <v>702913.55592152779</v>
          </cell>
        </row>
        <row r="352">
          <cell r="E352" t="str">
            <v>TGS-27-440BBS-L42 MONTHS/150 000 KMNo</v>
          </cell>
          <cell r="F352">
            <v>530957.03450833331</v>
          </cell>
        </row>
        <row r="353">
          <cell r="E353" t="str">
            <v>TGS-27-440BBS-L42 MONTHS/150 000 KMYes</v>
          </cell>
          <cell r="F353">
            <v>695954.01576388883</v>
          </cell>
        </row>
        <row r="354">
          <cell r="E354" t="str">
            <v>TGS-27-440BBS-L42 MONTHS/160 000 KMNo</v>
          </cell>
          <cell r="F354">
            <v>525700.03416666668</v>
          </cell>
        </row>
        <row r="355">
          <cell r="E355" t="str">
            <v>TGS-27-440BBS-L42 MONTHS/160 000 KMYes</v>
          </cell>
          <cell r="F355">
            <v>689063.38194444438</v>
          </cell>
        </row>
        <row r="356">
          <cell r="E356" t="str">
            <v>TGS-27-440BBS-L42 MONTHS/170 000 KMNo</v>
          </cell>
          <cell r="F356">
            <v>520495.08333333337</v>
          </cell>
        </row>
        <row r="357">
          <cell r="E357" t="str">
            <v>TGS-27-440BBS-L42 MONTHS/170 000 KMYes</v>
          </cell>
          <cell r="F357">
            <v>682240.97222222213</v>
          </cell>
        </row>
        <row r="358">
          <cell r="E358" t="str">
            <v>TGS-27-440BBS-L42 MONTHS/180 000 KMNo</v>
          </cell>
          <cell r="F358">
            <v>515341.66666666663</v>
          </cell>
        </row>
        <row r="359">
          <cell r="E359" t="str">
            <v>TGS-27-440BBS-L42 MONTHS/180 000 KMYes</v>
          </cell>
          <cell r="F359">
            <v>675486.11111111112</v>
          </cell>
        </row>
        <row r="360">
          <cell r="E360" t="str">
            <v>TGS-27-440BBS-L42 MONTHS/190 000 KMNo</v>
          </cell>
          <cell r="F360">
            <v>490801.58730158728</v>
          </cell>
        </row>
        <row r="361">
          <cell r="E361" t="str">
            <v>TGS-27-440BBS-L42 MONTHS/190 000 KMYes</v>
          </cell>
          <cell r="F361">
            <v>649505.876068376</v>
          </cell>
        </row>
        <row r="362">
          <cell r="E362" t="str">
            <v>TGS-27-440BBS-L42 MONTHS/20 000 KMNo</v>
          </cell>
          <cell r="F362">
            <v>612100.45471682795</v>
          </cell>
        </row>
        <row r="363">
          <cell r="E363" t="str">
            <v>TGS-27-440BBS-L42 MONTHS/20 000 KMYes</v>
          </cell>
          <cell r="F363">
            <v>784744.17271388182</v>
          </cell>
        </row>
        <row r="364">
          <cell r="E364" t="str">
            <v>TGS-27-440BBS-L42 MONTHS/200 000 KMNo</v>
          </cell>
          <cell r="F364">
            <v>467430.08314436884</v>
          </cell>
        </row>
        <row r="365">
          <cell r="E365" t="str">
            <v>TGS-27-440BBS-L42 MONTHS/200 000 KMYes</v>
          </cell>
          <cell r="F365">
            <v>618577.02482702467</v>
          </cell>
        </row>
        <row r="366">
          <cell r="E366" t="str">
            <v>TGS-27-440BBS-L42 MONTHS/210 000 KMNo</v>
          </cell>
          <cell r="F366">
            <v>445171.50775654172</v>
          </cell>
        </row>
        <row r="367">
          <cell r="E367" t="str">
            <v>TGS-27-440BBS-L42 MONTHS/210 000 KMYes</v>
          </cell>
          <cell r="F367">
            <v>589120.97602573782</v>
          </cell>
        </row>
        <row r="368">
          <cell r="E368" t="str">
            <v>TGS-27-440BBS-L42 MONTHS/220 000 KMNo</v>
          </cell>
          <cell r="F368">
            <v>433464.79433295102</v>
          </cell>
        </row>
        <row r="369">
          <cell r="E369" t="str">
            <v>TGS-27-440BBS-L42 MONTHS/220 000 KMYes</v>
          </cell>
          <cell r="F369">
            <v>555774.5056846583</v>
          </cell>
        </row>
        <row r="370">
          <cell r="E370" t="str">
            <v>TGS-27-440BBS-L42 MONTHS/230 000 KMNo</v>
          </cell>
          <cell r="F370">
            <v>396236.32199069124</v>
          </cell>
        </row>
        <row r="371">
          <cell r="E371" t="str">
            <v>TGS-27-440BBS-L42 MONTHS/230 000 KMYes</v>
          </cell>
          <cell r="F371">
            <v>519415.4258735124</v>
          </cell>
        </row>
        <row r="372">
          <cell r="E372" t="str">
            <v>TGS-27-440BBS-L42 MONTHS/240 000 KMNo</v>
          </cell>
          <cell r="F372">
            <v>370314.31961746846</v>
          </cell>
        </row>
        <row r="373">
          <cell r="E373" t="str">
            <v>TGS-27-440BBS-L42 MONTHS/240 000 KMYes</v>
          </cell>
          <cell r="F373">
            <v>485434.9774518807</v>
          </cell>
        </row>
        <row r="374">
          <cell r="E374" t="str">
            <v>TGS-27-440BBS-L42 MONTHS/250 000 KMNo</v>
          </cell>
          <cell r="F374">
            <v>353836.39132091764</v>
          </cell>
        </row>
        <row r="375">
          <cell r="E375" t="str">
            <v>TGS-27-440BBS-L42 MONTHS/250 000 KMYes</v>
          </cell>
          <cell r="F375">
            <v>453677.54902044922</v>
          </cell>
        </row>
        <row r="376">
          <cell r="E376" t="str">
            <v>TGS-27-440BBS-L42 MONTHS/260 000 KMNo</v>
          </cell>
          <cell r="F376">
            <v>323446.86838804127</v>
          </cell>
        </row>
        <row r="377">
          <cell r="E377" t="str">
            <v>TGS-27-440BBS-L42 MONTHS/260 000 KMYes</v>
          </cell>
          <cell r="F377">
            <v>423997.70936490584</v>
          </cell>
        </row>
        <row r="378">
          <cell r="E378" t="str">
            <v>TGS-27-440BBS-L42 MONTHS/270 000 KMNo</v>
          </cell>
          <cell r="F378">
            <v>302286.79288601986</v>
          </cell>
        </row>
        <row r="379">
          <cell r="E379" t="str">
            <v>TGS-27-440BBS-L42 MONTHS/270 000 KMYes</v>
          </cell>
          <cell r="F379">
            <v>396259.54146252881</v>
          </cell>
        </row>
        <row r="380">
          <cell r="E380" t="str">
            <v>TGS-27-440BBS-L42 MONTHS/280 000 KMNo</v>
          </cell>
          <cell r="F380">
            <v>282511.02138880361</v>
          </cell>
        </row>
        <row r="381">
          <cell r="E381" t="str">
            <v>TGS-27-440BBS-L42 MONTHS/280 000 KMYes</v>
          </cell>
          <cell r="F381">
            <v>370336.02005843812</v>
          </cell>
        </row>
        <row r="382">
          <cell r="E382" t="str">
            <v>TGS-27-440BBS-L42 MONTHS/30 000 KMNo</v>
          </cell>
          <cell r="F382">
            <v>604842.34655813035</v>
          </cell>
        </row>
        <row r="383">
          <cell r="E383" t="str">
            <v>TGS-27-440BBS-L42 MONTHS/30 000 KMYes</v>
          </cell>
          <cell r="F383">
            <v>793975.15708135045</v>
          </cell>
        </row>
        <row r="384">
          <cell r="E384" t="str">
            <v>TGS-27-440BBS-L42 MONTHS/40 000 KMNo</v>
          </cell>
          <cell r="F384">
            <v>597670.30292305362</v>
          </cell>
        </row>
        <row r="385">
          <cell r="E385" t="str">
            <v>TGS-27-440BBS-L42 MONTHS/40 000 KMYes</v>
          </cell>
          <cell r="F385">
            <v>766243.97810647904</v>
          </cell>
        </row>
        <row r="386">
          <cell r="E386" t="str">
            <v>TGS-27-440BBS-L42 MONTHS/50 000 KMNo</v>
          </cell>
          <cell r="F386">
            <v>590583.30328364985</v>
          </cell>
        </row>
        <row r="387">
          <cell r="E387" t="str">
            <v>TGS-27-440BBS-L42 MONTHS/50 000 KMYes</v>
          </cell>
          <cell r="F387">
            <v>774491.84656617034</v>
          </cell>
        </row>
        <row r="388">
          <cell r="E388" t="str">
            <v>TGS-27-440BBS-L42 MONTHS/60 000 KMNo</v>
          </cell>
          <cell r="F388">
            <v>583580.33921309269</v>
          </cell>
        </row>
        <row r="389">
          <cell r="E389" t="str">
            <v>TGS-27-440BBS-L42 MONTHS/60 000 KMYes</v>
          </cell>
          <cell r="F389">
            <v>764930.2188307856</v>
          </cell>
        </row>
        <row r="390">
          <cell r="E390" t="str">
            <v>TGS-27-440BBS-L42 MONTHS/70 000 KMNo</v>
          </cell>
          <cell r="F390">
            <v>577230.80040859804</v>
          </cell>
        </row>
        <row r="391">
          <cell r="E391" t="str">
            <v>TGS-27-440BBS-L42 MONTHS/70 000 KMYes</v>
          </cell>
          <cell r="F391">
            <v>756607.53593549517</v>
          </cell>
        </row>
        <row r="392">
          <cell r="E392" t="str">
            <v>TGS-27-440BBS-L42 MONTHS/80 000 KMNo</v>
          </cell>
          <cell r="F392">
            <v>570950.34659604169</v>
          </cell>
        </row>
        <row r="393">
          <cell r="E393" t="str">
            <v>TGS-27-440BBS-L42 MONTHS/80 000 KMYes</v>
          </cell>
          <cell r="F393">
            <v>748375.40646438708</v>
          </cell>
        </row>
        <row r="394">
          <cell r="E394" t="str">
            <v>TGS-27-440BBS-L42 MONTHS/90 000 KMNo</v>
          </cell>
          <cell r="F394">
            <v>564738.22610884451</v>
          </cell>
        </row>
        <row r="395">
          <cell r="E395" t="str">
            <v>TGS-27-440BBS-L42 MONTHS/90 000 KMYes</v>
          </cell>
          <cell r="F395">
            <v>740232.84516754409</v>
          </cell>
        </row>
        <row r="396">
          <cell r="E396" t="str">
            <v>TGS-27-440BBS-L48 MONTHS/10 000 KMNo</v>
          </cell>
          <cell r="F396">
            <v>568651.1160392086</v>
          </cell>
        </row>
        <row r="397">
          <cell r="E397" t="str">
            <v>TGS-27-440BBS-L48 MONTHS/10 000 KMYes</v>
          </cell>
          <cell r="F397">
            <v>731484.31365282193</v>
          </cell>
        </row>
        <row r="398">
          <cell r="E398" t="str">
            <v>TGS-27-440BBS-L48 MONTHS/100 000 KMNo</v>
          </cell>
          <cell r="F398">
            <v>512789.01243117638</v>
          </cell>
        </row>
        <row r="399">
          <cell r="E399" t="str">
            <v>TGS-27-440BBS-L48 MONTHS/100 000 KMYes</v>
          </cell>
          <cell r="F399">
            <v>675314.76615168108</v>
          </cell>
        </row>
        <row r="400">
          <cell r="E400" t="str">
            <v>TGS-27-440BBS-L48 MONTHS/110 000 KMNo</v>
          </cell>
          <cell r="F400">
            <v>507209.70566881943</v>
          </cell>
        </row>
        <row r="401">
          <cell r="E401" t="str">
            <v>TGS-27-440BBS-L48 MONTHS/110 000 KMYes</v>
          </cell>
          <cell r="F401">
            <v>667967.12774646992</v>
          </cell>
        </row>
        <row r="402">
          <cell r="E402" t="str">
            <v>TGS-27-440BBS-L48 MONTHS/120 000 KMNo</v>
          </cell>
          <cell r="F402">
            <v>502187.82739487069</v>
          </cell>
        </row>
        <row r="403">
          <cell r="E403" t="str">
            <v>TGS-27-440BBS-L48 MONTHS/120 000 KMYes</v>
          </cell>
          <cell r="F403">
            <v>661353.59182818804</v>
          </cell>
        </row>
        <row r="404">
          <cell r="E404" t="str">
            <v>TGS-27-440BBS-L48 MONTHS/130 000 KMNo</v>
          </cell>
          <cell r="F404">
            <v>497215.67068799079</v>
          </cell>
        </row>
        <row r="405">
          <cell r="E405" t="str">
            <v>TGS-27-440BBS-L48 MONTHS/130 000 KMYes</v>
          </cell>
          <cell r="F405">
            <v>654805.5364635525</v>
          </cell>
        </row>
        <row r="406">
          <cell r="E406" t="str">
            <v>TGS-27-440BBS-L48 MONTHS/140 000 KMNo</v>
          </cell>
          <cell r="F406">
            <v>492292.74325543642</v>
          </cell>
        </row>
        <row r="407">
          <cell r="E407" t="str">
            <v>TGS-27-440BBS-L48 MONTHS/140 000 KMYes</v>
          </cell>
          <cell r="F407">
            <v>648322.31333024998</v>
          </cell>
        </row>
        <row r="408">
          <cell r="E408" t="str">
            <v>TGS-27-440BBS-L48 MONTHS/150 000 KMNo</v>
          </cell>
          <cell r="F408">
            <v>487418.5576786499</v>
          </cell>
        </row>
        <row r="409">
          <cell r="E409" t="str">
            <v>TGS-27-440BBS-L48 MONTHS/150 000 KMYes</v>
          </cell>
          <cell r="F409">
            <v>641903.28052499995</v>
          </cell>
        </row>
        <row r="410">
          <cell r="E410" t="str">
            <v>TGS-27-440BBS-L48 MONTHS/160 000 KMNo</v>
          </cell>
          <cell r="F410">
            <v>482592.63136499992</v>
          </cell>
        </row>
        <row r="411">
          <cell r="E411" t="str">
            <v>TGS-27-440BBS-L48 MONTHS/160 000 KMYes</v>
          </cell>
          <cell r="F411">
            <v>635547.80249999999</v>
          </cell>
        </row>
        <row r="412">
          <cell r="E412" t="str">
            <v>TGS-27-440BBS-L48 MONTHS/170 000 KMNo</v>
          </cell>
          <cell r="F412">
            <v>477814.48649999994</v>
          </cell>
        </row>
        <row r="413">
          <cell r="E413" t="str">
            <v>TGS-27-440BBS-L48 MONTHS/170 000 KMYes</v>
          </cell>
          <cell r="F413">
            <v>629255.25</v>
          </cell>
        </row>
        <row r="414">
          <cell r="E414" t="str">
            <v>TGS-27-440BBS-L48 MONTHS/180 000 KMNo</v>
          </cell>
          <cell r="F414">
            <v>473083.64999999997</v>
          </cell>
        </row>
        <row r="415">
          <cell r="E415" t="str">
            <v>TGS-27-440BBS-L48 MONTHS/180 000 KMYes</v>
          </cell>
          <cell r="F415">
            <v>623025</v>
          </cell>
        </row>
        <row r="416">
          <cell r="E416" t="str">
            <v>TGS-27-440BBS-L48 MONTHS/190 000 KMNo</v>
          </cell>
          <cell r="F416">
            <v>450555.8571428571</v>
          </cell>
        </row>
        <row r="417">
          <cell r="E417" t="str">
            <v>TGS-27-440BBS-L48 MONTHS/190 000 KMYes</v>
          </cell>
          <cell r="F417">
            <v>599062.5</v>
          </cell>
        </row>
        <row r="418">
          <cell r="E418" t="str">
            <v>TGS-27-440BBS-L48 MONTHS/20 000 KMNo</v>
          </cell>
          <cell r="F418">
            <v>561908.21743004804</v>
          </cell>
        </row>
        <row r="419">
          <cell r="E419" t="str">
            <v>TGS-27-440BBS-L48 MONTHS/20 000 KMYes</v>
          </cell>
          <cell r="F419">
            <v>722453.64311389823</v>
          </cell>
        </row>
        <row r="420">
          <cell r="E420" t="str">
            <v>TGS-27-440BBS-L48 MONTHS/200 000 KMNo</v>
          </cell>
          <cell r="F420">
            <v>429100.81632653053</v>
          </cell>
        </row>
        <row r="421">
          <cell r="E421" t="str">
            <v>TGS-27-440BBS-L48 MONTHS/200 000 KMYes</v>
          </cell>
          <cell r="F421">
            <v>570535.71428571432</v>
          </cell>
        </row>
        <row r="422">
          <cell r="E422" t="str">
            <v>TGS-27-440BBS-L48 MONTHS/210 000 KMNo</v>
          </cell>
          <cell r="F422">
            <v>408667.44412050524</v>
          </cell>
        </row>
        <row r="423">
          <cell r="E423" t="str">
            <v>TGS-27-440BBS-L48 MONTHS/210 000 KMYes</v>
          </cell>
          <cell r="F423">
            <v>543367.3469387755</v>
          </cell>
        </row>
        <row r="424">
          <cell r="E424" t="str">
            <v>TGS-27-440BBS-L48 MONTHS/220 000 KMNo</v>
          </cell>
          <cell r="F424">
            <v>397920.6811976491</v>
          </cell>
        </row>
        <row r="425">
          <cell r="E425" t="str">
            <v>TGS-27-440BBS-L48 MONTHS/220 000 KMYes</v>
          </cell>
          <cell r="F425">
            <v>507819.95041007054</v>
          </cell>
        </row>
        <row r="426">
          <cell r="E426" t="str">
            <v>TGS-27-440BBS-L48 MONTHS/230 000 KMNo</v>
          </cell>
          <cell r="F426">
            <v>363744.94358745456</v>
          </cell>
        </row>
        <row r="427">
          <cell r="E427" t="str">
            <v>TGS-27-440BBS-L48 MONTHS/230 000 KMYes</v>
          </cell>
          <cell r="F427">
            <v>474598.08449539298</v>
          </cell>
        </row>
        <row r="428">
          <cell r="E428" t="str">
            <v>TGS-27-440BBS-L48 MONTHS/240 000 KMNo</v>
          </cell>
          <cell r="F428">
            <v>339948.54540883604</v>
          </cell>
        </row>
        <row r="429">
          <cell r="E429" t="str">
            <v>TGS-27-440BBS-L48 MONTHS/240 000 KMYes</v>
          </cell>
          <cell r="F429">
            <v>443549.61167793733</v>
          </cell>
        </row>
        <row r="430">
          <cell r="E430" t="str">
            <v>TGS-27-440BBS-L48 MONTHS/250 000 KMNo</v>
          </cell>
          <cell r="F430">
            <v>324821.80723260244</v>
          </cell>
        </row>
        <row r="431">
          <cell r="E431" t="str">
            <v>TGS-27-440BBS-L48 MONTHS/250 000 KMYes</v>
          </cell>
          <cell r="F431">
            <v>414532.34736255824</v>
          </cell>
        </row>
        <row r="432">
          <cell r="E432" t="str">
            <v>TGS-27-440BBS-L48 MONTHS/260 000 KMNo</v>
          </cell>
          <cell r="F432">
            <v>296924.2251802219</v>
          </cell>
        </row>
        <row r="433">
          <cell r="E433" t="str">
            <v>TGS-27-440BBS-L48 MONTHS/260 000 KMYes</v>
          </cell>
          <cell r="F433">
            <v>387413.40875005443</v>
          </cell>
        </row>
        <row r="434">
          <cell r="E434" t="str">
            <v>TGS-27-440BBS-L48 MONTHS/270 000 KMNo</v>
          </cell>
          <cell r="F434">
            <v>277499.27586936625</v>
          </cell>
        </row>
        <row r="435">
          <cell r="E435" t="str">
            <v>TGS-27-440BBS-L48 MONTHS/270 000 KMYes</v>
          </cell>
          <cell r="F435">
            <v>362068.60630846204</v>
          </cell>
        </row>
        <row r="436">
          <cell r="E436" t="str">
            <v>TGS-27-440BBS-L48 MONTHS/280 000 KMNo</v>
          </cell>
          <cell r="F436">
            <v>259345.11763492171</v>
          </cell>
        </row>
        <row r="437">
          <cell r="E437" t="str">
            <v>TGS-27-440BBS-L48 MONTHS/280 000 KMYes</v>
          </cell>
          <cell r="F437">
            <v>338381.87505463738</v>
          </cell>
        </row>
        <row r="438">
          <cell r="E438" t="str">
            <v>TGS-27-440BBS-L48 MONTHS/30 000 KMNo</v>
          </cell>
          <cell r="F438">
            <v>555245.27414036368</v>
          </cell>
        </row>
        <row r="439">
          <cell r="E439" t="str">
            <v>TGS-27-440BBS-L48 MONTHS/30 000 KMYes</v>
          </cell>
          <cell r="F439">
            <v>732311.68502773333</v>
          </cell>
        </row>
        <row r="440">
          <cell r="E440" t="str">
            <v>TGS-27-440BBS-L48 MONTHS/40 000 KMNo</v>
          </cell>
          <cell r="F440">
            <v>548661.33808336325</v>
          </cell>
        </row>
        <row r="441">
          <cell r="E441" t="str">
            <v>TGS-27-440BBS-L48 MONTHS/40 000 KMYes</v>
          </cell>
          <cell r="F441">
            <v>704725.3948984833</v>
          </cell>
        </row>
        <row r="442">
          <cell r="E442" t="str">
            <v>TGS-27-440BBS-L48 MONTHS/50 000 KMNo</v>
          </cell>
          <cell r="F442">
            <v>542155.47241439053</v>
          </cell>
        </row>
        <row r="443">
          <cell r="E443" t="str">
            <v>TGS-27-440BBS-L48 MONTHS/50 000 KMYes</v>
          </cell>
          <cell r="F443">
            <v>714341.53089125035</v>
          </cell>
        </row>
        <row r="444">
          <cell r="E444" t="str">
            <v>TGS-27-440BBS-L48 MONTHS/60 000 KMNo</v>
          </cell>
          <cell r="F444">
            <v>535726.75139761914</v>
          </cell>
        </row>
        <row r="445">
          <cell r="E445" t="str">
            <v>TGS-27-440BBS-L48 MONTHS/60 000 KMYes</v>
          </cell>
          <cell r="F445">
            <v>705522.49964567937</v>
          </cell>
        </row>
        <row r="446">
          <cell r="E446" t="str">
            <v>TGS-27-440BBS-L48 MONTHS/70 000 KMNo</v>
          </cell>
          <cell r="F446">
            <v>529897.87477509317</v>
          </cell>
        </row>
        <row r="447">
          <cell r="E447" t="str">
            <v>TGS-27-440BBS-L48 MONTHS/70 000 KMYes</v>
          </cell>
          <cell r="F447">
            <v>697846.1915387531</v>
          </cell>
        </row>
        <row r="448">
          <cell r="E448" t="str">
            <v>TGS-27-440BBS-L48 MONTHS/80 000 KMNo</v>
          </cell>
          <cell r="F448">
            <v>524132.41817516636</v>
          </cell>
        </row>
        <row r="449">
          <cell r="E449" t="str">
            <v>TGS-27-440BBS-L48 MONTHS/80 000 KMYes</v>
          </cell>
          <cell r="F449">
            <v>690253.40409372223</v>
          </cell>
        </row>
        <row r="450">
          <cell r="E450" t="str">
            <v>TGS-27-440BBS-L48 MONTHS/90 000 KMNo</v>
          </cell>
          <cell r="F450">
            <v>518429.69156791928</v>
          </cell>
        </row>
        <row r="451">
          <cell r="E451" t="str">
            <v>TGS-27-440BBS-L48 MONTHS/90 000 KMYes</v>
          </cell>
          <cell r="F451">
            <v>682743.22857934947</v>
          </cell>
        </row>
        <row r="452">
          <cell r="E452" t="str">
            <v>TGS-27-440BBS-L54 MONTHS/10 000 KMNo</v>
          </cell>
          <cell r="F452">
            <v>503231.07614089263</v>
          </cell>
        </row>
        <row r="453">
          <cell r="E453" t="str">
            <v>TGS-27-440BBS-L54 MONTHS/10 000 KMYes</v>
          </cell>
          <cell r="F453">
            <v>647331.25102019648</v>
          </cell>
        </row>
        <row r="454">
          <cell r="E454" t="str">
            <v>TGS-27-440BBS-L54 MONTHS/100 000 KMNo</v>
          </cell>
          <cell r="F454">
            <v>453795.58622228005</v>
          </cell>
        </row>
        <row r="455">
          <cell r="E455" t="str">
            <v>TGS-27-440BBS-L54 MONTHS/100 000 KMYes</v>
          </cell>
          <cell r="F455">
            <v>597623.68685989478</v>
          </cell>
        </row>
        <row r="456">
          <cell r="E456" t="str">
            <v>TGS-27-440BBS-L54 MONTHS/110 000 KMNo</v>
          </cell>
          <cell r="F456">
            <v>448858.14660957473</v>
          </cell>
        </row>
        <row r="457">
          <cell r="E457" t="str">
            <v>TGS-27-440BBS-L54 MONTHS/110 000 KMYes</v>
          </cell>
          <cell r="F457">
            <v>591121.35198802652</v>
          </cell>
        </row>
        <row r="458">
          <cell r="E458" t="str">
            <v>TGS-27-440BBS-L54 MONTHS/120 000 KMNo</v>
          </cell>
          <cell r="F458">
            <v>444414.00654413342</v>
          </cell>
        </row>
        <row r="459">
          <cell r="E459" t="str">
            <v>TGS-27-440BBS-L54 MONTHS/120 000 KMYes</v>
          </cell>
          <cell r="F459">
            <v>585268.66533467977</v>
          </cell>
        </row>
        <row r="460">
          <cell r="E460" t="str">
            <v>TGS-27-440BBS-L54 MONTHS/130 000 KMNo</v>
          </cell>
          <cell r="F460">
            <v>440013.86786547862</v>
          </cell>
        </row>
        <row r="461">
          <cell r="E461" t="str">
            <v>TGS-27-440BBS-L54 MONTHS/130 000 KMYes</v>
          </cell>
          <cell r="F461">
            <v>579473.92607394035</v>
          </cell>
        </row>
        <row r="462">
          <cell r="E462" t="str">
            <v>TGS-27-440BBS-L54 MONTHS/140 000 KMNo</v>
          </cell>
          <cell r="F462">
            <v>435657.29491631547</v>
          </cell>
        </row>
        <row r="463">
          <cell r="E463" t="str">
            <v>TGS-27-440BBS-L54 MONTHS/140 000 KMYes</v>
          </cell>
          <cell r="F463">
            <v>573736.56046924787</v>
          </cell>
        </row>
        <row r="464">
          <cell r="E464" t="str">
            <v>TGS-27-440BBS-L54 MONTHS/150 000 KMNo</v>
          </cell>
          <cell r="F464">
            <v>431343.85635278758</v>
          </cell>
        </row>
        <row r="465">
          <cell r="E465" t="str">
            <v>TGS-27-440BBS-L54 MONTHS/150 000 KMYes</v>
          </cell>
          <cell r="F465">
            <v>568056.00046460179</v>
          </cell>
        </row>
        <row r="466">
          <cell r="E466" t="str">
            <v>TGS-27-440BBS-L54 MONTHS/160 000 KMNo</v>
          </cell>
          <cell r="F466">
            <v>427073.12510176987</v>
          </cell>
        </row>
        <row r="467">
          <cell r="E467" t="str">
            <v>TGS-27-440BBS-L54 MONTHS/160 000 KMYes</v>
          </cell>
          <cell r="F467">
            <v>562431.6836283186</v>
          </cell>
        </row>
        <row r="468">
          <cell r="E468" t="str">
            <v>TGS-27-440BBS-L54 MONTHS/170 000 KMNo</v>
          </cell>
          <cell r="F468">
            <v>422844.67831858405</v>
          </cell>
        </row>
        <row r="469">
          <cell r="E469" t="str">
            <v>TGS-27-440BBS-L54 MONTHS/170 000 KMYes</v>
          </cell>
          <cell r="F469">
            <v>556863.05309734517</v>
          </cell>
        </row>
        <row r="470">
          <cell r="E470" t="str">
            <v>TGS-27-440BBS-L54 MONTHS/180 000 KMNo</v>
          </cell>
          <cell r="F470">
            <v>418658.09734513273</v>
          </cell>
        </row>
        <row r="471">
          <cell r="E471" t="str">
            <v>TGS-27-440BBS-L54 MONTHS/180 000 KMYes</v>
          </cell>
          <cell r="F471">
            <v>551349.55752212391</v>
          </cell>
        </row>
        <row r="472">
          <cell r="E472" t="str">
            <v>TGS-27-440BBS-L54 MONTHS/190 000 KMNo</v>
          </cell>
          <cell r="F472">
            <v>398721.99747155502</v>
          </cell>
        </row>
        <row r="473">
          <cell r="E473" t="str">
            <v>TGS-27-440BBS-L54 MONTHS/190 000 KMYes</v>
          </cell>
          <cell r="F473">
            <v>530143.80530973454</v>
          </cell>
        </row>
        <row r="474">
          <cell r="E474" t="str">
            <v>TGS-27-440BBS-L54 MONTHS/20 000 KMNo</v>
          </cell>
          <cell r="F474">
            <v>497263.90923013107</v>
          </cell>
        </row>
        <row r="475">
          <cell r="E475" t="str">
            <v>TGS-27-440BBS-L54 MONTHS/20 000 KMYes</v>
          </cell>
          <cell r="F475">
            <v>639339.50718044094</v>
          </cell>
        </row>
        <row r="476">
          <cell r="E476" t="str">
            <v>TGS-27-440BBS-L54 MONTHS/200 000 KMNo</v>
          </cell>
          <cell r="F476">
            <v>379735.23568719521</v>
          </cell>
        </row>
        <row r="477">
          <cell r="E477" t="str">
            <v>TGS-27-440BBS-L54 MONTHS/200 000 KMYes</v>
          </cell>
          <cell r="F477">
            <v>504898.86219974724</v>
          </cell>
        </row>
        <row r="478">
          <cell r="E478" t="str">
            <v>TGS-27-440BBS-L54 MONTHS/210 000 KMNo</v>
          </cell>
          <cell r="F478">
            <v>361652.60541637638</v>
          </cell>
        </row>
        <row r="479">
          <cell r="E479" t="str">
            <v>TGS-27-440BBS-L54 MONTHS/210 000 KMYes</v>
          </cell>
          <cell r="F479">
            <v>480856.0592378545</v>
          </cell>
        </row>
        <row r="480">
          <cell r="E480" t="str">
            <v>TGS-27-440BBS-L54 MONTHS/220 000 KMNo</v>
          </cell>
          <cell r="F480">
            <v>352142.19575013197</v>
          </cell>
        </row>
        <row r="481">
          <cell r="E481" t="str">
            <v>TGS-27-440BBS-L54 MONTHS/220 000 KMYes</v>
          </cell>
          <cell r="F481">
            <v>449398.18620360229</v>
          </cell>
        </row>
        <row r="482">
          <cell r="E482" t="str">
            <v>TGS-27-440BBS-L54 MONTHS/230 000 KMNo</v>
          </cell>
          <cell r="F482">
            <v>321898.18016588903</v>
          </cell>
        </row>
        <row r="483">
          <cell r="E483" t="str">
            <v>TGS-27-440BBS-L54 MONTHS/230 000 KMYes</v>
          </cell>
          <cell r="F483">
            <v>419998.30486317968</v>
          </cell>
        </row>
        <row r="484">
          <cell r="E484" t="str">
            <v>TGS-27-440BBS-L54 MONTHS/240 000 KMNo</v>
          </cell>
          <cell r="F484">
            <v>300839.42071578413</v>
          </cell>
        </row>
        <row r="485">
          <cell r="E485" t="str">
            <v>TGS-27-440BBS-L54 MONTHS/240 000 KMYes</v>
          </cell>
          <cell r="F485">
            <v>392521.78024596226</v>
          </cell>
        </row>
        <row r="486">
          <cell r="E486" t="str">
            <v>TGS-27-440BBS-L54 MONTHS/250 000 KMNo</v>
          </cell>
          <cell r="F486">
            <v>287452.92675451544</v>
          </cell>
        </row>
        <row r="487">
          <cell r="E487" t="str">
            <v>TGS-27-440BBS-L54 MONTHS/250 000 KMYes</v>
          </cell>
          <cell r="F487">
            <v>366842.78527660028</v>
          </cell>
        </row>
        <row r="488">
          <cell r="E488" t="str">
            <v>TGS-27-440BBS-L54 MONTHS/260 000 KMNo</v>
          </cell>
          <cell r="F488">
            <v>262764.8010444442</v>
          </cell>
        </row>
        <row r="489">
          <cell r="E489" t="str">
            <v>TGS-27-440BBS-L54 MONTHS/260 000 KMYes</v>
          </cell>
          <cell r="F489">
            <v>342843.7245575703</v>
          </cell>
        </row>
        <row r="490">
          <cell r="E490" t="str">
            <v>TGS-27-440BBS-L54 MONTHS/270 000 KMNo</v>
          </cell>
          <cell r="F490">
            <v>245574.58041536837</v>
          </cell>
        </row>
        <row r="491">
          <cell r="E491" t="str">
            <v>TGS-27-440BBS-L54 MONTHS/270 000 KMYes</v>
          </cell>
          <cell r="F491">
            <v>320414.69584819651</v>
          </cell>
        </row>
        <row r="492">
          <cell r="E492" t="str">
            <v>TGS-27-440BBS-L54 MONTHS/280 000 KMNo</v>
          </cell>
          <cell r="F492">
            <v>229508.95365922278</v>
          </cell>
        </row>
        <row r="493">
          <cell r="E493" t="str">
            <v>TGS-27-440BBS-L54 MONTHS/280 000 KMYes</v>
          </cell>
          <cell r="F493">
            <v>299452.98677401541</v>
          </cell>
        </row>
        <row r="494">
          <cell r="E494" t="str">
            <v>TGS-27-440BBS-L54 MONTHS/30 000 KMNo</v>
          </cell>
          <cell r="F494">
            <v>491367.49923925992</v>
          </cell>
        </row>
        <row r="495">
          <cell r="E495" t="str">
            <v>TGS-27-440BBS-L54 MONTHS/30 000 KMYes</v>
          </cell>
          <cell r="F495">
            <v>648063.43807764014</v>
          </cell>
        </row>
        <row r="496">
          <cell r="E496" t="str">
            <v>TGS-27-440BBS-L54 MONTHS/40 000 KMNo</v>
          </cell>
          <cell r="F496">
            <v>485541.00715341885</v>
          </cell>
        </row>
        <row r="497">
          <cell r="E497" t="str">
            <v>TGS-27-440BBS-L54 MONTHS/40 000 KMYes</v>
          </cell>
          <cell r="F497">
            <v>623650.79194556049</v>
          </cell>
        </row>
        <row r="498">
          <cell r="E498" t="str">
            <v>TGS-27-440BBS-L54 MONTHS/50 000 KMNo</v>
          </cell>
          <cell r="F498">
            <v>479783.60390654032</v>
          </cell>
        </row>
        <row r="499">
          <cell r="E499" t="str">
            <v>TGS-27-440BBS-L54 MONTHS/50 000 KMYes</v>
          </cell>
          <cell r="F499">
            <v>632160.64680641633</v>
          </cell>
        </row>
        <row r="500">
          <cell r="E500" t="str">
            <v>TGS-27-440BBS-L54 MONTHS/60 000 KMNo</v>
          </cell>
          <cell r="F500">
            <v>474094.4702633798</v>
          </cell>
        </row>
        <row r="501">
          <cell r="E501" t="str">
            <v>TGS-27-440BBS-L54 MONTHS/60 000 KMYes</v>
          </cell>
          <cell r="F501">
            <v>624356.19437670743</v>
          </cell>
        </row>
        <row r="502">
          <cell r="E502" t="str">
            <v>TGS-27-440BBS-L54 MONTHS/70 000 KMNo</v>
          </cell>
          <cell r="F502">
            <v>468936.17236733914</v>
          </cell>
        </row>
        <row r="503">
          <cell r="E503" t="str">
            <v>TGS-27-440BBS-L54 MONTHS/70 000 KMYes</v>
          </cell>
          <cell r="F503">
            <v>617563.00136172841</v>
          </cell>
        </row>
        <row r="504">
          <cell r="E504" t="str">
            <v>TGS-27-440BBS-L54 MONTHS/80 000 KMNo</v>
          </cell>
          <cell r="F504">
            <v>463833.99838510301</v>
          </cell>
        </row>
        <row r="505">
          <cell r="E505" t="str">
            <v>TGS-27-440BBS-L54 MONTHS/80 000 KMYes</v>
          </cell>
          <cell r="F505">
            <v>610843.72043692239</v>
          </cell>
        </row>
        <row r="506">
          <cell r="E506" t="str">
            <v>TGS-27-440BBS-L54 MONTHS/90 000 KMNo</v>
          </cell>
          <cell r="F506">
            <v>458787.33767072507</v>
          </cell>
        </row>
        <row r="507">
          <cell r="E507" t="str">
            <v>TGS-27-440BBS-L54 MONTHS/90 000 KMYes</v>
          </cell>
          <cell r="F507">
            <v>604197.54741535359</v>
          </cell>
        </row>
        <row r="508">
          <cell r="E508" t="str">
            <v>TGS-27-440BBS-L60 MONTHS/10 000 KMNo</v>
          </cell>
          <cell r="F508">
            <v>401400.78779238253</v>
          </cell>
        </row>
        <row r="509">
          <cell r="E509" t="str">
            <v>TGS-27-440BBS-L60 MONTHS/10 000 KMYes</v>
          </cell>
          <cell r="F509">
            <v>506905.79630327132</v>
          </cell>
        </row>
        <row r="510">
          <cell r="E510" t="str">
            <v>TGS-27-440BBS-L60 MONTHS/100 000 KMNo</v>
          </cell>
          <cell r="F510">
            <v>361968.71465730102</v>
          </cell>
        </row>
        <row r="511">
          <cell r="E511" t="str">
            <v>TGS-27-440BBS-L60 MONTHS/100 000 KMYes</v>
          </cell>
          <cell r="F511">
            <v>473297.52841399866</v>
          </cell>
        </row>
        <row r="512">
          <cell r="E512" t="str">
            <v>TGS-27-440BBS-L60 MONTHS/110 000 KMNo</v>
          </cell>
          <cell r="F512">
            <v>358030.38047210785</v>
          </cell>
        </row>
        <row r="513">
          <cell r="E513" t="str">
            <v>TGS-27-440BBS-L60 MONTHS/110 000 KMYes</v>
          </cell>
          <cell r="F513">
            <v>468147.90149752592</v>
          </cell>
        </row>
        <row r="514">
          <cell r="E514" t="str">
            <v>TGS-27-440BBS-L60 MONTHS/120 000 KMNo</v>
          </cell>
          <cell r="F514">
            <v>354485.52521990874</v>
          </cell>
        </row>
        <row r="515">
          <cell r="E515" t="str">
            <v>TGS-27-440BBS-L60 MONTHS/120 000 KMYes</v>
          </cell>
          <cell r="F515">
            <v>463512.77375992667</v>
          </cell>
        </row>
        <row r="516">
          <cell r="E516" t="str">
            <v>TGS-27-440BBS-L60 MONTHS/130 000 KMNo</v>
          </cell>
          <cell r="F516">
            <v>350975.76754446409</v>
          </cell>
        </row>
        <row r="517">
          <cell r="E517" t="str">
            <v>TGS-27-440BBS-L60 MONTHS/130 000 KMYes</v>
          </cell>
          <cell r="F517">
            <v>458923.53837616503</v>
          </cell>
        </row>
        <row r="518">
          <cell r="E518" t="str">
            <v>TGS-27-440BBS-L60 MONTHS/140 000 KMNo</v>
          </cell>
          <cell r="F518">
            <v>347500.75994501397</v>
          </cell>
        </row>
        <row r="519">
          <cell r="E519" t="str">
            <v>TGS-27-440BBS-L60 MONTHS/140 000 KMYes</v>
          </cell>
          <cell r="F519">
            <v>454379.74096650002</v>
          </cell>
        </row>
        <row r="520">
          <cell r="E520" t="str">
            <v>TGS-27-440BBS-L60 MONTHS/150 000 KMNo</v>
          </cell>
          <cell r="F520">
            <v>344060.15836139995</v>
          </cell>
        </row>
        <row r="521">
          <cell r="E521" t="str">
            <v>TGS-27-440BBS-L60 MONTHS/150 000 KMYes</v>
          </cell>
          <cell r="F521">
            <v>449880.93164999998</v>
          </cell>
        </row>
        <row r="522">
          <cell r="E522" t="str">
            <v>TGS-27-440BBS-L60 MONTHS/160 000 KMNo</v>
          </cell>
          <cell r="F522">
            <v>340653.62213999993</v>
          </cell>
        </row>
        <row r="523">
          <cell r="E523" t="str">
            <v>TGS-27-440BBS-L60 MONTHS/160 000 KMYes</v>
          </cell>
          <cell r="F523">
            <v>445426.66499999998</v>
          </cell>
        </row>
        <row r="524">
          <cell r="E524" t="str">
            <v>TGS-27-440BBS-L60 MONTHS/170 000 KMNo</v>
          </cell>
          <cell r="F524">
            <v>337280.81399999995</v>
          </cell>
        </row>
        <row r="525">
          <cell r="E525" t="str">
            <v>TGS-27-440BBS-L60 MONTHS/170 000 KMYes</v>
          </cell>
          <cell r="F525">
            <v>441016.5</v>
          </cell>
        </row>
        <row r="526">
          <cell r="E526" t="str">
            <v>TGS-27-440BBS-L60 MONTHS/180 000 KMNo</v>
          </cell>
          <cell r="F526">
            <v>333941.39999999997</v>
          </cell>
        </row>
        <row r="527">
          <cell r="E527" t="str">
            <v>TGS-27-440BBS-L60 MONTHS/180 000 KMYes</v>
          </cell>
          <cell r="F527">
            <v>436650</v>
          </cell>
        </row>
        <row r="528">
          <cell r="E528" t="str">
            <v>TGS-27-440BBS-L60 MONTHS/190 000 KMNo</v>
          </cell>
          <cell r="F528">
            <v>318039.42857142852</v>
          </cell>
        </row>
        <row r="529">
          <cell r="E529" t="str">
            <v>TGS-27-440BBS-L60 MONTHS/190 000 KMYes</v>
          </cell>
          <cell r="F529">
            <v>419855.76923076919</v>
          </cell>
        </row>
        <row r="530">
          <cell r="E530" t="str">
            <v>TGS-27-440BBS-L60 MONTHS/20 000 KMNo</v>
          </cell>
          <cell r="F530">
            <v>396641.09465650446</v>
          </cell>
        </row>
        <row r="531">
          <cell r="E531" t="str">
            <v>TGS-27-440BBS-L60 MONTHS/20 000 KMYes</v>
          </cell>
          <cell r="F531">
            <v>500647.70005261368</v>
          </cell>
        </row>
        <row r="532">
          <cell r="E532" t="str">
            <v>TGS-27-440BBS-L60 MONTHS/200 000 KMNo</v>
          </cell>
          <cell r="F532">
            <v>302894.69387755095</v>
          </cell>
        </row>
        <row r="533">
          <cell r="E533" t="str">
            <v>TGS-27-440BBS-L60 MONTHS/200 000 KMYes</v>
          </cell>
          <cell r="F533">
            <v>399862.63736263732</v>
          </cell>
        </row>
        <row r="534">
          <cell r="E534" t="str">
            <v>TGS-27-440BBS-L60 MONTHS/210 000 KMNo</v>
          </cell>
          <cell r="F534">
            <v>288471.13702623901</v>
          </cell>
        </row>
        <row r="535">
          <cell r="E535" t="str">
            <v>TGS-27-440BBS-L60 MONTHS/210 000 KMYes</v>
          </cell>
          <cell r="F535">
            <v>380821.55939298793</v>
          </cell>
        </row>
        <row r="536">
          <cell r="E536" t="str">
            <v>TGS-27-440BBS-L60 MONTHS/220 000 KMNo</v>
          </cell>
          <cell r="F536">
            <v>280885.18672775227</v>
          </cell>
        </row>
        <row r="537">
          <cell r="E537" t="str">
            <v>TGS-27-440BBS-L60 MONTHS/220 000 KMYes</v>
          </cell>
          <cell r="F537">
            <v>355907.999432699</v>
          </cell>
        </row>
        <row r="538">
          <cell r="E538" t="str">
            <v>TGS-27-440BBS-L60 MONTHS/230 000 KMNo</v>
          </cell>
          <cell r="F538">
            <v>256761.13664996793</v>
          </cell>
        </row>
        <row r="539">
          <cell r="E539" t="str">
            <v>TGS-27-440BBS-L60 MONTHS/230 000 KMYes</v>
          </cell>
          <cell r="F539">
            <v>332624.29853523267</v>
          </cell>
        </row>
        <row r="540">
          <cell r="E540" t="str">
            <v>TGS-27-440BBS-L60 MONTHS/240 000 KMNo</v>
          </cell>
          <cell r="F540">
            <v>239963.67911211954</v>
          </cell>
        </row>
        <row r="541">
          <cell r="E541" t="str">
            <v>TGS-27-440BBS-L60 MONTHS/240 000 KMYes</v>
          </cell>
          <cell r="F541">
            <v>310863.83040675946</v>
          </cell>
        </row>
        <row r="542">
          <cell r="E542" t="str">
            <v>TGS-27-440BBS-L60 MONTHS/250 000 KMNo</v>
          </cell>
          <cell r="F542">
            <v>229285.98157595465</v>
          </cell>
        </row>
        <row r="543">
          <cell r="E543" t="str">
            <v>TGS-27-440BBS-L60 MONTHS/250 000 KMYes</v>
          </cell>
          <cell r="F543">
            <v>290526.94430538267</v>
          </cell>
        </row>
        <row r="544">
          <cell r="E544" t="str">
            <v>TGS-27-440BBS-L60 MONTHS/260 000 KMNo</v>
          </cell>
          <cell r="F544">
            <v>209593.57071545071</v>
          </cell>
        </row>
        <row r="545">
          <cell r="E545" t="str">
            <v>TGS-27-440BBS-L60 MONTHS/260 000 KMYes</v>
          </cell>
          <cell r="F545">
            <v>271520.5086966193</v>
          </cell>
        </row>
        <row r="546">
          <cell r="E546" t="str">
            <v>TGS-27-440BBS-L60 MONTHS/270 000 KMNo</v>
          </cell>
          <cell r="F546">
            <v>195881.84179014084</v>
          </cell>
        </row>
        <row r="547">
          <cell r="E547" t="str">
            <v>TGS-27-440BBS-L60 MONTHS/270 000 KMYes</v>
          </cell>
          <cell r="F547">
            <v>253757.48476319559</v>
          </cell>
        </row>
        <row r="548">
          <cell r="E548" t="str">
            <v>TGS-27-440BBS-L60 MONTHS/280 000 KMNo</v>
          </cell>
          <cell r="F548">
            <v>183067.14185994471</v>
          </cell>
        </row>
        <row r="549">
          <cell r="E549" t="str">
            <v>TGS-27-440BBS-L60 MONTHS/280 000 KMYes</v>
          </cell>
          <cell r="F549">
            <v>237156.52781607062</v>
          </cell>
        </row>
        <row r="550">
          <cell r="E550" t="str">
            <v>TGS-27-440BBS-L60 MONTHS/30 000 KMNo</v>
          </cell>
          <cell r="F550">
            <v>391937.84056966845</v>
          </cell>
        </row>
        <row r="551">
          <cell r="E551" t="str">
            <v>TGS-27-440BBS-L60 MONTHS/30 000 KMYes</v>
          </cell>
          <cell r="F551">
            <v>513244.08694251388</v>
          </cell>
        </row>
        <row r="552">
          <cell r="E552" t="str">
            <v>TGS-27-440BBS-L60 MONTHS/40 000 KMNo</v>
          </cell>
          <cell r="F552">
            <v>387290.35629413876</v>
          </cell>
        </row>
        <row r="553">
          <cell r="E553" t="str">
            <v>TGS-27-440BBS-L60 MONTHS/40 000 KMYes</v>
          </cell>
          <cell r="F553">
            <v>488362.33506122971</v>
          </cell>
        </row>
        <row r="554">
          <cell r="E554" t="str">
            <v>TGS-27-440BBS-L60 MONTHS/50 000 KMNo</v>
          </cell>
          <cell r="F554">
            <v>382697.98052780511</v>
          </cell>
        </row>
        <row r="555">
          <cell r="E555" t="str">
            <v>TGS-27-440BBS-L60 MONTHS/50 000 KMYes</v>
          </cell>
          <cell r="F555">
            <v>500649.61994087626</v>
          </cell>
        </row>
        <row r="556">
          <cell r="E556" t="str">
            <v>TGS-27-440BBS-L60 MONTHS/60 000 KMNo</v>
          </cell>
          <cell r="F556">
            <v>378160.05981008412</v>
          </cell>
        </row>
        <row r="557">
          <cell r="E557" t="str">
            <v>TGS-27-440BBS-L60 MONTHS/60 000 KMYes</v>
          </cell>
          <cell r="F557">
            <v>494468.76043543336</v>
          </cell>
        </row>
        <row r="558">
          <cell r="E558" t="str">
            <v>TGS-27-440BBS-L60 MONTHS/70 000 KMNo</v>
          </cell>
          <cell r="F558">
            <v>374045.55866477167</v>
          </cell>
        </row>
        <row r="559">
          <cell r="E559" t="str">
            <v>TGS-27-440BBS-L60 MONTHS/70 000 KMYes</v>
          </cell>
          <cell r="F559">
            <v>489088.78381348506</v>
          </cell>
        </row>
        <row r="560">
          <cell r="E560" t="str">
            <v>TGS-27-440BBS-L60 MONTHS/80 000 KMNo</v>
          </cell>
          <cell r="F560">
            <v>369975.82459423511</v>
          </cell>
        </row>
        <row r="561">
          <cell r="E561" t="str">
            <v>TGS-27-440BBS-L60 MONTHS/80 000 KMYes</v>
          </cell>
          <cell r="F561">
            <v>483767.34304004459</v>
          </cell>
        </row>
        <row r="562">
          <cell r="E562" t="str">
            <v>TGS-27-440BBS-L60 MONTHS/90 000 KMNo</v>
          </cell>
          <cell r="F562">
            <v>365950.3705185313</v>
          </cell>
        </row>
        <row r="563">
          <cell r="E563" t="str">
            <v>TGS-27-440BBS-L60 MONTHS/90 000 KMYes</v>
          </cell>
          <cell r="F563">
            <v>478503.80122655258</v>
          </cell>
        </row>
        <row r="564">
          <cell r="E564" t="str">
            <v>TGS-33-440BBS-L36 MONTHS/10 000 KMNo</v>
          </cell>
          <cell r="F564">
            <v>584706.35665235156</v>
          </cell>
        </row>
        <row r="565">
          <cell r="E565" t="str">
            <v>TGS-33-440BBS-L36 MONTHS/10 000 KMYes</v>
          </cell>
          <cell r="F565">
            <v>750733.90085421223</v>
          </cell>
        </row>
        <row r="566">
          <cell r="E566" t="str">
            <v>TGS-33-440BBS-L36 MONTHS/100 000 KMNo</v>
          </cell>
          <cell r="F566">
            <v>527267.04781375511</v>
          </cell>
        </row>
        <row r="567">
          <cell r="E567" t="str">
            <v>TGS-33-440BBS-L36 MONTHS/100 000 KMYes</v>
          </cell>
          <cell r="F567">
            <v>675314.76615168108</v>
          </cell>
        </row>
        <row r="568">
          <cell r="E568" t="str">
            <v>TGS-33-440BBS-L36 MONTHS/110 000 KMNo</v>
          </cell>
          <cell r="F568">
            <v>521530.21544387256</v>
          </cell>
        </row>
        <row r="569">
          <cell r="E569" t="str">
            <v>TGS-33-440BBS-L36 MONTHS/110 000 KMYes</v>
          </cell>
          <cell r="F569">
            <v>667967.12774646992</v>
          </cell>
        </row>
        <row r="570">
          <cell r="E570" t="str">
            <v>TGS-33-440BBS-L36 MONTHS/120 000 KMNo</v>
          </cell>
          <cell r="F570">
            <v>515855.80162598676</v>
          </cell>
        </row>
        <row r="571">
          <cell r="E571" t="str">
            <v>TGS-33-440BBS-L36 MONTHS/120 000 KMYes</v>
          </cell>
          <cell r="F571">
            <v>661353.59182818804</v>
          </cell>
        </row>
        <row r="572">
          <cell r="E572" t="str">
            <v>TGS-33-440BBS-L36 MONTHS/130 000 KMNo</v>
          </cell>
          <cell r="F572">
            <v>510748.31844157103</v>
          </cell>
        </row>
        <row r="573">
          <cell r="E573" t="str">
            <v>TGS-33-440BBS-L36 MONTHS/130 000 KMYes</v>
          </cell>
          <cell r="F573">
            <v>654805.5364635525</v>
          </cell>
        </row>
        <row r="574">
          <cell r="E574" t="str">
            <v>TGS-33-440BBS-L36 MONTHS/140 000 KMNo</v>
          </cell>
          <cell r="F574">
            <v>505691.40439759509</v>
          </cell>
        </row>
        <row r="575">
          <cell r="E575" t="str">
            <v>TGS-33-440BBS-L36 MONTHS/140 000 KMYes</v>
          </cell>
          <cell r="F575">
            <v>648322.31333024998</v>
          </cell>
        </row>
        <row r="576">
          <cell r="E576" t="str">
            <v>TGS-33-440BBS-L36 MONTHS/150 000 KMNo</v>
          </cell>
          <cell r="F576">
            <v>500684.55880950007</v>
          </cell>
        </row>
        <row r="577">
          <cell r="E577" t="str">
            <v>TGS-33-440BBS-L36 MONTHS/150 000 KMYes</v>
          </cell>
          <cell r="F577">
            <v>641903.28052499995</v>
          </cell>
        </row>
        <row r="578">
          <cell r="E578" t="str">
            <v>TGS-33-440BBS-L36 MONTHS/160 000 KMNo</v>
          </cell>
          <cell r="F578">
            <v>495727.28595000005</v>
          </cell>
        </row>
        <row r="579">
          <cell r="E579" t="str">
            <v>TGS-33-440BBS-L36 MONTHS/160 000 KMYes</v>
          </cell>
          <cell r="F579">
            <v>635547.80249999999</v>
          </cell>
        </row>
        <row r="580">
          <cell r="E580" t="str">
            <v>TGS-33-440BBS-L36 MONTHS/170 000 KMNo</v>
          </cell>
          <cell r="F580">
            <v>490819.09500000003</v>
          </cell>
        </row>
        <row r="581">
          <cell r="E581" t="str">
            <v>TGS-33-440BBS-L36 MONTHS/170 000 KMYes</v>
          </cell>
          <cell r="F581">
            <v>629255.25</v>
          </cell>
        </row>
        <row r="582">
          <cell r="E582" t="str">
            <v>TGS-33-440BBS-L36 MONTHS/180 000 KMNo</v>
          </cell>
          <cell r="F582">
            <v>485959.5</v>
          </cell>
        </row>
        <row r="583">
          <cell r="E583" t="str">
            <v>TGS-33-440BBS-L36 MONTHS/180 000 KMYes</v>
          </cell>
          <cell r="F583">
            <v>623025</v>
          </cell>
        </row>
        <row r="584">
          <cell r="E584" t="str">
            <v>TGS-33-440BBS-L36 MONTHS/190 000 KMNo</v>
          </cell>
          <cell r="F584">
            <v>462818.57142857142</v>
          </cell>
        </row>
        <row r="585">
          <cell r="E585" t="str">
            <v>TGS-33-440BBS-L36 MONTHS/190 000 KMYes</v>
          </cell>
          <cell r="F585">
            <v>593357.14285714284</v>
          </cell>
        </row>
        <row r="586">
          <cell r="E586" t="str">
            <v>TGS-33-440BBS-L36 MONTHS/20 000 KMNo</v>
          </cell>
          <cell r="F586">
            <v>577773.07969599951</v>
          </cell>
        </row>
        <row r="587">
          <cell r="E587" t="str">
            <v>TGS-33-440BBS-L36 MONTHS/20 000 KMYes</v>
          </cell>
          <cell r="F587">
            <v>741465.58109057997</v>
          </cell>
        </row>
        <row r="588">
          <cell r="E588" t="str">
            <v>TGS-33-440BBS-L36 MONTHS/200 000 KMNo</v>
          </cell>
          <cell r="F588">
            <v>440779.59183673467</v>
          </cell>
        </row>
        <row r="589">
          <cell r="E589" t="str">
            <v>TGS-33-440BBS-L36 MONTHS/200 000 KMYes</v>
          </cell>
          <cell r="F589">
            <v>559770.88948787062</v>
          </cell>
        </row>
        <row r="590">
          <cell r="E590" t="str">
            <v>TGS-33-440BBS-L36 MONTHS/210 000 KMNo</v>
          </cell>
          <cell r="F590">
            <v>419790.08746355679</v>
          </cell>
        </row>
        <row r="591">
          <cell r="E591" t="str">
            <v>TGS-33-440BBS-L36 MONTHS/210 000 KMYes</v>
          </cell>
          <cell r="F591">
            <v>528085.74479987787</v>
          </cell>
        </row>
        <row r="592">
          <cell r="E592" t="str">
            <v>TGS-33-440BBS-L36 MONTHS/220 000 KMNo</v>
          </cell>
          <cell r="F592">
            <v>399800.08329862548</v>
          </cell>
        </row>
        <row r="593">
          <cell r="E593" t="str">
            <v>TGS-33-440BBS-L36 MONTHS/220 000 KMYes</v>
          </cell>
          <cell r="F593">
            <v>502938.80457131221</v>
          </cell>
        </row>
        <row r="594">
          <cell r="E594" t="str">
            <v>TGS-33-440BBS-L36 MONTHS/230 000 KMNo</v>
          </cell>
          <cell r="F594">
            <v>373644.93766226678</v>
          </cell>
        </row>
        <row r="595">
          <cell r="E595" t="str">
            <v>TGS-33-440BBS-L36 MONTHS/230 000 KMYes</v>
          </cell>
          <cell r="F595">
            <v>470036.26595449739</v>
          </cell>
        </row>
        <row r="596">
          <cell r="E596" t="str">
            <v>TGS-33-440BBS-L36 MONTHS/240 000 KMNo</v>
          </cell>
          <cell r="F596">
            <v>349200.87631987548</v>
          </cell>
        </row>
        <row r="597">
          <cell r="E597" t="str">
            <v>TGS-33-440BBS-L36 MONTHS/240 000 KMYes</v>
          </cell>
          <cell r="F597">
            <v>439286.22986401623</v>
          </cell>
        </row>
        <row r="598">
          <cell r="E598" t="str">
            <v>TGS-33-440BBS-L36 MONTHS/250 000 KMNo</v>
          </cell>
          <cell r="F598">
            <v>326355.95917745371</v>
          </cell>
        </row>
        <row r="599">
          <cell r="E599" t="str">
            <v>TGS-33-440BBS-L36 MONTHS/250 000 KMYes</v>
          </cell>
          <cell r="F599">
            <v>410547.87837758526</v>
          </cell>
        </row>
        <row r="600">
          <cell r="E600" t="str">
            <v>TGS-33-440BBS-L36 MONTHS/260 000 KMNo</v>
          </cell>
          <cell r="F600">
            <v>305005.5693247231</v>
          </cell>
        </row>
        <row r="601">
          <cell r="E601" t="str">
            <v>TGS-33-440BBS-L36 MONTHS/260 000 KMYes</v>
          </cell>
          <cell r="F601">
            <v>383689.60596036003</v>
          </cell>
        </row>
        <row r="602">
          <cell r="E602" t="str">
            <v>TGS-33-440BBS-L36 MONTHS/270 000 KMNo</v>
          </cell>
          <cell r="F602">
            <v>285051.93394833931</v>
          </cell>
        </row>
        <row r="603">
          <cell r="E603" t="str">
            <v>TGS-33-440BBS-L36 MONTHS/270 000 KMYes</v>
          </cell>
          <cell r="F603">
            <v>358588.41678538319</v>
          </cell>
        </row>
        <row r="604">
          <cell r="E604" t="str">
            <v>TGS-33-440BBS-L36 MONTHS/280 000 KMNo</v>
          </cell>
          <cell r="F604">
            <v>266403.67658723297</v>
          </cell>
        </row>
        <row r="605">
          <cell r="E605" t="str">
            <v>TGS-33-440BBS-L36 MONTHS/280 000 KMYes</v>
          </cell>
          <cell r="F605">
            <v>335129.36148166651</v>
          </cell>
        </row>
        <row r="606">
          <cell r="E606" t="str">
            <v>TGS-33-440BBS-L36 MONTHS/30 000 KMNo</v>
          </cell>
          <cell r="F606">
            <v>570922.01550988096</v>
          </cell>
        </row>
        <row r="607">
          <cell r="E607" t="str">
            <v>TGS-33-440BBS-L36 MONTHS/30 000 KMYes</v>
          </cell>
          <cell r="F607">
            <v>732311.68502773333</v>
          </cell>
        </row>
        <row r="608">
          <cell r="E608" t="str">
            <v>TGS-33-440BBS-L36 MONTHS/40 000 KMNo</v>
          </cell>
          <cell r="F608">
            <v>564152.18923901278</v>
          </cell>
        </row>
        <row r="609">
          <cell r="E609" t="str">
            <v>TGS-33-440BBS-L36 MONTHS/40 000 KMYes</v>
          </cell>
          <cell r="F609">
            <v>723270.80002739094</v>
          </cell>
        </row>
        <row r="610">
          <cell r="E610" t="str">
            <v>TGS-33-440BBS-L36 MONTHS/50 000 KMNo</v>
          </cell>
          <cell r="F610">
            <v>557462.63758795732</v>
          </cell>
        </row>
        <row r="611">
          <cell r="E611" t="str">
            <v>TGS-33-440BBS-L36 MONTHS/50 000 KMYes</v>
          </cell>
          <cell r="F611">
            <v>714341.53089125035</v>
          </cell>
        </row>
        <row r="612">
          <cell r="E612" t="str">
            <v>TGS-33-440BBS-L36 MONTHS/60 000 KMNo</v>
          </cell>
          <cell r="F612">
            <v>550852.40868375229</v>
          </cell>
        </row>
        <row r="613">
          <cell r="E613" t="str">
            <v>TGS-33-440BBS-L36 MONTHS/60 000 KMYes</v>
          </cell>
          <cell r="F613">
            <v>705522.49964567937</v>
          </cell>
        </row>
        <row r="614">
          <cell r="E614" t="str">
            <v>TGS-33-440BBS-L36 MONTHS/70 000 KMNo</v>
          </cell>
          <cell r="F614">
            <v>544858.9601224059</v>
          </cell>
        </row>
        <row r="615">
          <cell r="E615" t="str">
            <v>TGS-33-440BBS-L36 MONTHS/70 000 KMYes</v>
          </cell>
          <cell r="F615">
            <v>697846.1915387531</v>
          </cell>
        </row>
        <row r="616">
          <cell r="E616" t="str">
            <v>TGS-33-440BBS-L36 MONTHS/80 000 KMNo</v>
          </cell>
          <cell r="F616">
            <v>538930.7221784431</v>
          </cell>
        </row>
        <row r="617">
          <cell r="E617" t="str">
            <v>TGS-33-440BBS-L36 MONTHS/80 000 KMYes</v>
          </cell>
          <cell r="F617">
            <v>690253.40409372223</v>
          </cell>
        </row>
        <row r="618">
          <cell r="E618" t="str">
            <v>TGS-33-440BBS-L36 MONTHS/90 000 KMNo</v>
          </cell>
          <cell r="F618">
            <v>533066.98533970641</v>
          </cell>
        </row>
        <row r="619">
          <cell r="E619" t="str">
            <v>TGS-33-440BBS-L36 MONTHS/90 000 KMYes</v>
          </cell>
          <cell r="F619">
            <v>682743.22857934947</v>
          </cell>
        </row>
        <row r="620">
          <cell r="E620" t="str">
            <v>TGS-33-440BBS-L42 MONTHS/10 000 KMNo</v>
          </cell>
          <cell r="F620">
            <v>541394.77467810328</v>
          </cell>
        </row>
        <row r="621">
          <cell r="E621" t="str">
            <v>TGS-33-440BBS-L42 MONTHS/10 000 KMYes</v>
          </cell>
          <cell r="F621">
            <v>695123.98227241868</v>
          </cell>
        </row>
        <row r="622">
          <cell r="E622" t="str">
            <v>TGS-33-440BBS-L42 MONTHS/100 000 KMNo</v>
          </cell>
          <cell r="F622">
            <v>488210.2294571806</v>
          </cell>
        </row>
        <row r="623">
          <cell r="E623" t="str">
            <v>TGS-33-440BBS-L42 MONTHS/100 000 KMYes</v>
          </cell>
          <cell r="F623">
            <v>625291.45014044538</v>
          </cell>
        </row>
        <row r="624">
          <cell r="E624" t="str">
            <v>TGS-33-440BBS-L42 MONTHS/110 000 KMNo</v>
          </cell>
          <cell r="F624">
            <v>482898.34763321531</v>
          </cell>
        </row>
        <row r="625">
          <cell r="E625" t="str">
            <v>TGS-33-440BBS-L42 MONTHS/110 000 KMYes</v>
          </cell>
          <cell r="F625">
            <v>618488.08124673134</v>
          </cell>
        </row>
        <row r="626">
          <cell r="E626" t="str">
            <v>TGS-33-440BBS-L42 MONTHS/120 000 KMNo</v>
          </cell>
          <cell r="F626">
            <v>477644.26076480252</v>
          </cell>
        </row>
        <row r="627">
          <cell r="E627" t="str">
            <v>TGS-33-440BBS-L42 MONTHS/120 000 KMYes</v>
          </cell>
          <cell r="F627">
            <v>612364.43687795184</v>
          </cell>
        </row>
        <row r="628">
          <cell r="E628" t="str">
            <v>TGS-33-440BBS-L42 MONTHS/130 000 KMNo</v>
          </cell>
          <cell r="F628">
            <v>472915.10966812127</v>
          </cell>
        </row>
        <row r="629">
          <cell r="E629" t="str">
            <v>TGS-33-440BBS-L42 MONTHS/130 000 KMYes</v>
          </cell>
          <cell r="F629">
            <v>606301.42265143746</v>
          </cell>
        </row>
        <row r="630">
          <cell r="E630" t="str">
            <v>TGS-33-440BBS-L42 MONTHS/140 000 KMNo</v>
          </cell>
          <cell r="F630">
            <v>468232.78184962505</v>
          </cell>
        </row>
        <row r="631">
          <cell r="E631" t="str">
            <v>TGS-33-440BBS-L42 MONTHS/140 000 KMYes</v>
          </cell>
          <cell r="F631">
            <v>600298.43826874997</v>
          </cell>
        </row>
        <row r="632">
          <cell r="E632" t="str">
            <v>TGS-33-440BBS-L42 MONTHS/150 000 KMNo</v>
          </cell>
          <cell r="F632">
            <v>463596.81371250004</v>
          </cell>
        </row>
        <row r="633">
          <cell r="E633" t="str">
            <v>TGS-33-440BBS-L42 MONTHS/150 000 KMYes</v>
          </cell>
          <cell r="F633">
            <v>594354.88937499991</v>
          </cell>
        </row>
        <row r="634">
          <cell r="E634" t="str">
            <v>TGS-33-440BBS-L42 MONTHS/160 000 KMNo</v>
          </cell>
          <cell r="F634">
            <v>459006.74625000003</v>
          </cell>
        </row>
        <row r="635">
          <cell r="E635" t="str">
            <v>TGS-33-440BBS-L42 MONTHS/160 000 KMYes</v>
          </cell>
          <cell r="F635">
            <v>588470.1875</v>
          </cell>
        </row>
        <row r="636">
          <cell r="E636" t="str">
            <v>TGS-33-440BBS-L42 MONTHS/170 000 KMNo</v>
          </cell>
          <cell r="F636">
            <v>454462.125</v>
          </cell>
        </row>
        <row r="637">
          <cell r="E637" t="str">
            <v>TGS-33-440BBS-L42 MONTHS/170 000 KMYes</v>
          </cell>
          <cell r="F637">
            <v>582643.75</v>
          </cell>
        </row>
        <row r="638">
          <cell r="E638" t="str">
            <v>TGS-33-440BBS-L42 MONTHS/180 000 KMNo</v>
          </cell>
          <cell r="F638">
            <v>449962.49999999994</v>
          </cell>
        </row>
        <row r="639">
          <cell r="E639" t="str">
            <v>TGS-33-440BBS-L42 MONTHS/180 000 KMYes</v>
          </cell>
          <cell r="F639">
            <v>576875</v>
          </cell>
        </row>
        <row r="640">
          <cell r="E640" t="str">
            <v>TGS-33-440BBS-L42 MONTHS/190 000 KMNo</v>
          </cell>
          <cell r="F640">
            <v>428535.71428571426</v>
          </cell>
        </row>
        <row r="641">
          <cell r="E641" t="str">
            <v>TGS-33-440BBS-L42 MONTHS/190 000 KMYes</v>
          </cell>
          <cell r="F641">
            <v>549404.76190476189</v>
          </cell>
        </row>
        <row r="642">
          <cell r="E642" t="str">
            <v>TGS-33-440BBS-L42 MONTHS/20 000 KMNo</v>
          </cell>
          <cell r="F642">
            <v>534975.07379259216</v>
          </cell>
        </row>
        <row r="643">
          <cell r="E643" t="str">
            <v>TGS-33-440BBS-L42 MONTHS/20 000 KMYes</v>
          </cell>
          <cell r="F643">
            <v>686542.20471349999</v>
          </cell>
        </row>
        <row r="644">
          <cell r="E644" t="str">
            <v>TGS-33-440BBS-L42 MONTHS/200 000 KMNo</v>
          </cell>
          <cell r="F644">
            <v>408129.25170068024</v>
          </cell>
        </row>
        <row r="645">
          <cell r="E645" t="str">
            <v>TGS-33-440BBS-L42 MONTHS/200 000 KMYes</v>
          </cell>
          <cell r="F645">
            <v>518306.37915543572</v>
          </cell>
        </row>
        <row r="646">
          <cell r="E646" t="str">
            <v>TGS-33-440BBS-L42 MONTHS/210 000 KMNo</v>
          </cell>
          <cell r="F646">
            <v>388694.52542921924</v>
          </cell>
        </row>
        <row r="647">
          <cell r="E647" t="str">
            <v>TGS-33-440BBS-L42 MONTHS/210 000 KMYes</v>
          </cell>
          <cell r="F647">
            <v>488968.28222210909</v>
          </cell>
        </row>
        <row r="648">
          <cell r="E648" t="str">
            <v>TGS-33-440BBS-L42 MONTHS/220 000 KMNo</v>
          </cell>
          <cell r="F648">
            <v>370185.26231354207</v>
          </cell>
        </row>
        <row r="649">
          <cell r="E649" t="str">
            <v>TGS-33-440BBS-L42 MONTHS/220 000 KMYes</v>
          </cell>
          <cell r="F649">
            <v>465684.07830677053</v>
          </cell>
        </row>
        <row r="650">
          <cell r="E650" t="str">
            <v>TGS-33-440BBS-L42 MONTHS/230 000 KMNo</v>
          </cell>
          <cell r="F650">
            <v>345967.5348724692</v>
          </cell>
        </row>
        <row r="651">
          <cell r="E651" t="str">
            <v>TGS-33-440BBS-L42 MONTHS/230 000 KMYes</v>
          </cell>
          <cell r="F651">
            <v>435218.76477268274</v>
          </cell>
        </row>
        <row r="652">
          <cell r="E652" t="str">
            <v>TGS-33-440BBS-L42 MONTHS/240 000 KMNo</v>
          </cell>
          <cell r="F652">
            <v>323334.1447406254</v>
          </cell>
        </row>
        <row r="653">
          <cell r="E653" t="str">
            <v>TGS-33-440BBS-L42 MONTHS/240 000 KMYes</v>
          </cell>
          <cell r="F653">
            <v>406746.50913334836</v>
          </cell>
        </row>
        <row r="654">
          <cell r="E654" t="str">
            <v>TGS-33-440BBS-L42 MONTHS/250 000 KMNo</v>
          </cell>
          <cell r="F654">
            <v>302181.44368282746</v>
          </cell>
        </row>
        <row r="655">
          <cell r="E655" t="str">
            <v>TGS-33-440BBS-L42 MONTHS/250 000 KMYes</v>
          </cell>
          <cell r="F655">
            <v>380136.92442369001</v>
          </cell>
        </row>
        <row r="656">
          <cell r="E656" t="str">
            <v>TGS-33-440BBS-L42 MONTHS/260 000 KMNo</v>
          </cell>
          <cell r="F656">
            <v>282412.56418955838</v>
          </cell>
        </row>
        <row r="657">
          <cell r="E657" t="str">
            <v>TGS-33-440BBS-L42 MONTHS/260 000 KMYes</v>
          </cell>
          <cell r="F657">
            <v>355268.15366700001</v>
          </cell>
        </row>
        <row r="658">
          <cell r="E658" t="str">
            <v>TGS-33-440BBS-L42 MONTHS/270 000 KMNo</v>
          </cell>
          <cell r="F658">
            <v>263936.97587809194</v>
          </cell>
        </row>
        <row r="659">
          <cell r="E659" t="str">
            <v>TGS-33-440BBS-L42 MONTHS/270 000 KMYes</v>
          </cell>
          <cell r="F659">
            <v>332026.31183831772</v>
          </cell>
        </row>
        <row r="660">
          <cell r="E660" t="str">
            <v>TGS-33-440BBS-L42 MONTHS/280 000 KMNo</v>
          </cell>
          <cell r="F660">
            <v>246670.07091410458</v>
          </cell>
        </row>
        <row r="661">
          <cell r="E661" t="str">
            <v>TGS-33-440BBS-L42 MONTHS/280 000 KMYes</v>
          </cell>
          <cell r="F661">
            <v>310304.96433487639</v>
          </cell>
        </row>
        <row r="662">
          <cell r="E662" t="str">
            <v>TGS-33-440BBS-L42 MONTHS/30 000 KMNo</v>
          </cell>
          <cell r="F662">
            <v>528631.49584248231</v>
          </cell>
        </row>
        <row r="663">
          <cell r="E663" t="str">
            <v>TGS-33-440BBS-L42 MONTHS/30 000 KMYes</v>
          </cell>
          <cell r="F663">
            <v>678066.37502567901</v>
          </cell>
        </row>
        <row r="664">
          <cell r="E664" t="str">
            <v>TGS-33-440BBS-L42 MONTHS/40 000 KMNo</v>
          </cell>
          <cell r="F664">
            <v>522363.13818427105</v>
          </cell>
        </row>
        <row r="665">
          <cell r="E665" t="str">
            <v>TGS-33-440BBS-L42 MONTHS/40 000 KMYes</v>
          </cell>
          <cell r="F665">
            <v>669695.18521054718</v>
          </cell>
        </row>
        <row r="666">
          <cell r="E666" t="str">
            <v>TGS-33-440BBS-L42 MONTHS/50 000 KMNo</v>
          </cell>
          <cell r="F666">
            <v>516169.10887773824</v>
          </cell>
        </row>
        <row r="667">
          <cell r="E667" t="str">
            <v>TGS-33-440BBS-L42 MONTHS/50 000 KMYes</v>
          </cell>
          <cell r="F667">
            <v>661427.34341782436</v>
          </cell>
        </row>
        <row r="668">
          <cell r="E668" t="str">
            <v>TGS-33-440BBS-L42 MONTHS/60 000 KMNo</v>
          </cell>
          <cell r="F668">
            <v>510048.52655902988</v>
          </cell>
        </row>
        <row r="669">
          <cell r="E669" t="str">
            <v>TGS-33-440BBS-L42 MONTHS/60 000 KMYes</v>
          </cell>
          <cell r="F669">
            <v>653261.57374599937</v>
          </cell>
        </row>
        <row r="670">
          <cell r="E670" t="str">
            <v>TGS-33-440BBS-L42 MONTHS/70 000 KMNo</v>
          </cell>
          <cell r="F670">
            <v>504499.03715037578</v>
          </cell>
        </row>
        <row r="671">
          <cell r="E671" t="str">
            <v>TGS-33-440BBS-L42 MONTHS/70 000 KMYes</v>
          </cell>
          <cell r="F671">
            <v>646153.88105440093</v>
          </cell>
        </row>
        <row r="672">
          <cell r="E672" t="str">
            <v>TGS-33-440BBS-L42 MONTHS/80 000 KMNo</v>
          </cell>
          <cell r="F672">
            <v>499009.92794300284</v>
          </cell>
        </row>
        <row r="673">
          <cell r="E673" t="str">
            <v>TGS-33-440BBS-L42 MONTHS/80 000 KMYes</v>
          </cell>
          <cell r="F673">
            <v>639123.522309002</v>
          </cell>
        </row>
        <row r="674">
          <cell r="E674" t="str">
            <v>TGS-33-440BBS-L42 MONTHS/90 000 KMNo</v>
          </cell>
          <cell r="F674">
            <v>493580.54198120959</v>
          </cell>
        </row>
        <row r="675">
          <cell r="E675" t="str">
            <v>TGS-33-440BBS-L42 MONTHS/90 000 KMYes</v>
          </cell>
          <cell r="F675">
            <v>632169.65609199018</v>
          </cell>
        </row>
        <row r="676">
          <cell r="E676" t="str">
            <v>TGS-33-440BBS-L48 MONTHS/10 000 KMNo</v>
          </cell>
          <cell r="F676">
            <v>496508.8102730402</v>
          </cell>
        </row>
        <row r="677">
          <cell r="E677" t="str">
            <v>TGS-33-440BBS-L48 MONTHS/10 000 KMYes</v>
          </cell>
          <cell r="F677">
            <v>609570.26137735182</v>
          </cell>
        </row>
        <row r="678">
          <cell r="E678" t="str">
            <v>TGS-33-440BBS-L48 MONTHS/100 000 KMNo</v>
          </cell>
          <cell r="F678">
            <v>447733.68995856447</v>
          </cell>
        </row>
        <row r="679">
          <cell r="E679" t="str">
            <v>TGS-33-440BBS-L48 MONTHS/100 000 KMYes</v>
          </cell>
          <cell r="F679">
            <v>548332.50243085227</v>
          </cell>
        </row>
        <row r="680">
          <cell r="E680" t="str">
            <v>TGS-33-440BBS-L48 MONTHS/110 000 KMNo</v>
          </cell>
          <cell r="F680">
            <v>442862.20569590951</v>
          </cell>
        </row>
        <row r="681">
          <cell r="E681" t="str">
            <v>TGS-33-440BBS-L48 MONTHS/110 000 KMYes</v>
          </cell>
          <cell r="F681">
            <v>542366.4712471338</v>
          </cell>
        </row>
        <row r="682">
          <cell r="E682" t="str">
            <v>TGS-33-440BBS-L48 MONTHS/120 000 KMNo</v>
          </cell>
          <cell r="F682">
            <v>438477.43138208863</v>
          </cell>
        </row>
        <row r="683">
          <cell r="E683" t="str">
            <v>TGS-33-440BBS-L48 MONTHS/120 000 KMYes</v>
          </cell>
          <cell r="F683">
            <v>536996.50618528097</v>
          </cell>
        </row>
        <row r="684">
          <cell r="E684" t="str">
            <v>TGS-33-440BBS-L48 MONTHS/130 000 KMNo</v>
          </cell>
          <cell r="F684">
            <v>434136.0706753353</v>
          </cell>
        </row>
        <row r="685">
          <cell r="E685" t="str">
            <v>TGS-33-440BBS-L48 MONTHS/130 000 KMYes</v>
          </cell>
          <cell r="F685">
            <v>531679.70909433754</v>
          </cell>
        </row>
        <row r="686">
          <cell r="E686" t="str">
            <v>TGS-33-440BBS-L48 MONTHS/140 000 KMNo</v>
          </cell>
          <cell r="F686">
            <v>429837.69373795576</v>
          </cell>
        </row>
        <row r="687">
          <cell r="E687" t="str">
            <v>TGS-33-440BBS-L48 MONTHS/140 000 KMYes</v>
          </cell>
          <cell r="F687">
            <v>526415.55355875008</v>
          </cell>
        </row>
        <row r="688">
          <cell r="E688" t="str">
            <v>TGS-33-440BBS-L48 MONTHS/150 000 KMNo</v>
          </cell>
          <cell r="F688">
            <v>425581.874988075</v>
          </cell>
        </row>
        <row r="689">
          <cell r="E689" t="str">
            <v>TGS-33-440BBS-L48 MONTHS/150 000 KMYes</v>
          </cell>
          <cell r="F689">
            <v>521203.51837500004</v>
          </cell>
        </row>
        <row r="690">
          <cell r="E690" t="str">
            <v>TGS-33-440BBS-L48 MONTHS/160 000 KMNo</v>
          </cell>
          <cell r="F690">
            <v>421368.1930575</v>
          </cell>
        </row>
        <row r="691">
          <cell r="E691" t="str">
            <v>TGS-33-440BBS-L48 MONTHS/160 000 KMYes</v>
          </cell>
          <cell r="F691">
            <v>516043.08750000002</v>
          </cell>
        </row>
        <row r="692">
          <cell r="E692" t="str">
            <v>TGS-33-440BBS-L48 MONTHS/170 000 KMNo</v>
          </cell>
          <cell r="F692">
            <v>417196.23074999999</v>
          </cell>
        </row>
        <row r="693">
          <cell r="E693" t="str">
            <v>TGS-33-440BBS-L48 MONTHS/170 000 KMYes</v>
          </cell>
          <cell r="F693">
            <v>510933.75</v>
          </cell>
        </row>
        <row r="694">
          <cell r="E694" t="str">
            <v>TGS-33-440BBS-L48 MONTHS/180 000 KMNo</v>
          </cell>
          <cell r="F694">
            <v>413065.57500000001</v>
          </cell>
        </row>
        <row r="695">
          <cell r="E695" t="str">
            <v>TGS-33-440BBS-L48 MONTHS/180 000 KMYes</v>
          </cell>
          <cell r="F695">
            <v>505875</v>
          </cell>
        </row>
        <row r="696">
          <cell r="E696" t="str">
            <v>TGS-33-440BBS-L48 MONTHS/190 000 KMNo</v>
          </cell>
          <cell r="F696">
            <v>393395.78571428568</v>
          </cell>
        </row>
        <row r="697">
          <cell r="E697" t="str">
            <v>TGS-33-440BBS-L48 MONTHS/190 000 KMYes</v>
          </cell>
          <cell r="F697">
            <v>481785.71428571426</v>
          </cell>
        </row>
        <row r="698">
          <cell r="E698" t="str">
            <v>TGS-33-440BBS-L48 MONTHS/20 000 KMNo</v>
          </cell>
          <cell r="F698">
            <v>490621.35402474325</v>
          </cell>
        </row>
        <row r="699">
          <cell r="E699" t="str">
            <v>TGS-33-440BBS-L48 MONTHS/20 000 KMYes</v>
          </cell>
          <cell r="F699">
            <v>602044.7025949154</v>
          </cell>
        </row>
        <row r="700">
          <cell r="E700" t="str">
            <v>TGS-33-440BBS-L48 MONTHS/200 000 KMNo</v>
          </cell>
          <cell r="F700">
            <v>374662.65306122444</v>
          </cell>
        </row>
        <row r="701">
          <cell r="E701" t="str">
            <v>TGS-33-440BBS-L48 MONTHS/200 000 KMYes</v>
          </cell>
          <cell r="F701">
            <v>454514.82479784364</v>
          </cell>
        </row>
        <row r="702">
          <cell r="E702" t="str">
            <v>TGS-33-440BBS-L48 MONTHS/210 000 KMNo</v>
          </cell>
          <cell r="F702">
            <v>356821.57434402325</v>
          </cell>
        </row>
        <row r="703">
          <cell r="E703" t="str">
            <v>TGS-33-440BBS-L48 MONTHS/210 000 KMYes</v>
          </cell>
          <cell r="F703">
            <v>428787.57056400343</v>
          </cell>
        </row>
        <row r="704">
          <cell r="E704" t="str">
            <v>TGS-33-440BBS-L48 MONTHS/220 000 KMNo</v>
          </cell>
          <cell r="F704">
            <v>339830.07080383162</v>
          </cell>
        </row>
        <row r="705">
          <cell r="E705" t="str">
            <v>TGS-33-440BBS-L48 MONTHS/220 000 KMYes</v>
          </cell>
          <cell r="F705">
            <v>408369.1148228604</v>
          </cell>
        </row>
        <row r="706">
          <cell r="E706" t="str">
            <v>TGS-33-440BBS-L48 MONTHS/230 000 KMNo</v>
          </cell>
          <cell r="F706">
            <v>317598.19701292674</v>
          </cell>
        </row>
        <row r="707">
          <cell r="E707" t="str">
            <v>TGS-33-440BBS-L48 MONTHS/230 000 KMYes</v>
          </cell>
          <cell r="F707">
            <v>381653.37833912187</v>
          </cell>
        </row>
        <row r="708">
          <cell r="E708" t="str">
            <v>TGS-33-440BBS-L48 MONTHS/240 000 KMNo</v>
          </cell>
          <cell r="F708">
            <v>296820.74487189413</v>
          </cell>
        </row>
        <row r="709">
          <cell r="E709" t="str">
            <v>TGS-33-440BBS-L48 MONTHS/240 000 KMYes</v>
          </cell>
          <cell r="F709">
            <v>356685.40031693631</v>
          </cell>
        </row>
        <row r="710">
          <cell r="E710" t="str">
            <v>TGS-33-440BBS-L48 MONTHS/250 000 KMNo</v>
          </cell>
          <cell r="F710">
            <v>277402.56530083565</v>
          </cell>
        </row>
        <row r="711">
          <cell r="E711" t="str">
            <v>TGS-33-440BBS-L48 MONTHS/250 000 KMYes</v>
          </cell>
          <cell r="F711">
            <v>333350.84141769749</v>
          </cell>
        </row>
        <row r="712">
          <cell r="E712" t="str">
            <v>TGS-33-440BBS-L48 MONTHS/260 000 KMNo</v>
          </cell>
          <cell r="F712">
            <v>259254.7339260146</v>
          </cell>
        </row>
        <row r="713">
          <cell r="E713" t="str">
            <v>TGS-33-440BBS-L48 MONTHS/260 000 KMYes</v>
          </cell>
          <cell r="F713">
            <v>311542.84244644624</v>
          </cell>
        </row>
        <row r="714">
          <cell r="E714" t="str">
            <v>TGS-33-440BBS-L48 MONTHS/270 000 KMNo</v>
          </cell>
          <cell r="F714">
            <v>242294.1438560884</v>
          </cell>
        </row>
        <row r="715">
          <cell r="E715" t="str">
            <v>TGS-33-440BBS-L48 MONTHS/270 000 KMYes</v>
          </cell>
          <cell r="F715">
            <v>291161.5349966787</v>
          </cell>
        </row>
        <row r="716">
          <cell r="E716" t="str">
            <v>TGS-33-440BBS-L48 MONTHS/280 000 KMNo</v>
          </cell>
          <cell r="F716">
            <v>226443.12509914802</v>
          </cell>
        </row>
        <row r="717">
          <cell r="E717" t="str">
            <v>TGS-33-440BBS-L48 MONTHS/280 000 KMYes</v>
          </cell>
          <cell r="F717">
            <v>272113.58410904551</v>
          </cell>
        </row>
        <row r="718">
          <cell r="E718" t="str">
            <v>TGS-33-440BBS-L48 MONTHS/30 000 KMNo</v>
          </cell>
          <cell r="F718">
            <v>484803.70951061585</v>
          </cell>
        </row>
        <row r="719">
          <cell r="E719" t="str">
            <v>TGS-33-440BBS-L48 MONTHS/30 000 KMYes</v>
          </cell>
          <cell r="F719">
            <v>594612.05194559554</v>
          </cell>
        </row>
        <row r="720">
          <cell r="E720" t="str">
            <v>TGS-33-440BBS-L48 MONTHS/40 000 KMNo</v>
          </cell>
          <cell r="F720">
            <v>479055.04892353347</v>
          </cell>
        </row>
        <row r="721">
          <cell r="E721" t="str">
            <v>TGS-33-440BBS-L48 MONTHS/40 000 KMYes</v>
          </cell>
          <cell r="F721">
            <v>587271.16241540306</v>
          </cell>
        </row>
        <row r="722">
          <cell r="E722" t="str">
            <v>TGS-33-440BBS-L48 MONTHS/50 000 KMNo</v>
          </cell>
          <cell r="F722">
            <v>473374.55427226628</v>
          </cell>
        </row>
        <row r="723">
          <cell r="E723" t="str">
            <v>TGS-33-440BBS-L48 MONTHS/50 000 KMYes</v>
          </cell>
          <cell r="F723">
            <v>580020.90115101542</v>
          </cell>
        </row>
        <row r="724">
          <cell r="E724" t="str">
            <v>TGS-33-440BBS-L48 MONTHS/60 000 KMNo</v>
          </cell>
          <cell r="F724">
            <v>467761.41726508527</v>
          </cell>
        </row>
        <row r="725">
          <cell r="E725" t="str">
            <v>TGS-33-440BBS-L48 MONTHS/60 000 KMYes</v>
          </cell>
          <cell r="F725">
            <v>572860.14928495348</v>
          </cell>
        </row>
        <row r="726">
          <cell r="E726" t="str">
            <v>TGS-33-440BBS-L48 MONTHS/70 000 KMNo</v>
          </cell>
          <cell r="F726">
            <v>462672.0249901932</v>
          </cell>
        </row>
        <row r="727">
          <cell r="E727" t="str">
            <v>TGS-33-440BBS-L48 MONTHS/70 000 KMYes</v>
          </cell>
          <cell r="F727">
            <v>566627.24954001338</v>
          </cell>
        </row>
        <row r="728">
          <cell r="E728" t="str">
            <v>TGS-33-440BBS-L48 MONTHS/80 000 KMNo</v>
          </cell>
          <cell r="F728">
            <v>457638.00691413775</v>
          </cell>
        </row>
        <row r="729">
          <cell r="E729" t="str">
            <v>TGS-33-440BBS-L48 MONTHS/80 000 KMYes</v>
          </cell>
          <cell r="F729">
            <v>560462.16571712506</v>
          </cell>
        </row>
        <row r="730">
          <cell r="E730" t="str">
            <v>TGS-33-440BBS-L48 MONTHS/90 000 KMNo</v>
          </cell>
          <cell r="F730">
            <v>452658.76054810861</v>
          </cell>
        </row>
        <row r="731">
          <cell r="E731" t="str">
            <v>TGS-33-440BBS-L48 MONTHS/90 000 KMYes</v>
          </cell>
          <cell r="F731">
            <v>554364.15995759156</v>
          </cell>
        </row>
        <row r="732">
          <cell r="E732" t="str">
            <v>TGS-33-440BBS-L54 MONTHS/10 000 KMNo</v>
          </cell>
          <cell r="F732">
            <v>439388.32767525688</v>
          </cell>
        </row>
        <row r="733">
          <cell r="E733" t="str">
            <v>TGS-33-440BBS-L54 MONTHS/10 000 KMYes</v>
          </cell>
          <cell r="F733">
            <v>539442.70918349724</v>
          </cell>
        </row>
        <row r="734">
          <cell r="E734" t="str">
            <v>TGS-33-440BBS-L54 MONTHS/100 000 KMNo</v>
          </cell>
          <cell r="F734">
            <v>396224.50438811019</v>
          </cell>
        </row>
        <row r="735">
          <cell r="E735" t="str">
            <v>TGS-33-440BBS-L54 MONTHS/100 000 KMYes</v>
          </cell>
          <cell r="F735">
            <v>485250.00215119676</v>
          </cell>
        </row>
        <row r="736">
          <cell r="E736" t="str">
            <v>TGS-33-440BBS-L54 MONTHS/110 000 KMNo</v>
          </cell>
          <cell r="F736">
            <v>391913.45636806154</v>
          </cell>
        </row>
        <row r="737">
          <cell r="E737" t="str">
            <v>TGS-33-440BBS-L54 MONTHS/110 000 KMYes</v>
          </cell>
          <cell r="F737">
            <v>479970.32853728661</v>
          </cell>
        </row>
        <row r="738">
          <cell r="E738" t="str">
            <v>TGS-33-440BBS-L54 MONTHS/120 000 KMNo</v>
          </cell>
          <cell r="F738">
            <v>388033.12511689262</v>
          </cell>
        </row>
        <row r="739">
          <cell r="E739" t="str">
            <v>TGS-33-440BBS-L54 MONTHS/120 000 KMYes</v>
          </cell>
          <cell r="F739">
            <v>475218.14706662035</v>
          </cell>
        </row>
        <row r="740">
          <cell r="E740" t="str">
            <v>TGS-33-440BBS-L54 MONTHS/130 000 KMNo</v>
          </cell>
          <cell r="F740">
            <v>384191.21298702242</v>
          </cell>
        </row>
        <row r="741">
          <cell r="E741" t="str">
            <v>TGS-33-440BBS-L54 MONTHS/130 000 KMYes</v>
          </cell>
          <cell r="F741">
            <v>470513.01689764386</v>
          </cell>
        </row>
        <row r="742">
          <cell r="E742" t="str">
            <v>TGS-33-440BBS-L54 MONTHS/140 000 KMNo</v>
          </cell>
          <cell r="F742">
            <v>380387.33959111135</v>
          </cell>
        </row>
        <row r="743">
          <cell r="E743" t="str">
            <v>TGS-33-440BBS-L54 MONTHS/140 000 KMYes</v>
          </cell>
          <cell r="F743">
            <v>465854.47217588505</v>
          </cell>
        </row>
        <row r="744">
          <cell r="E744" t="str">
            <v>TGS-33-440BBS-L54 MONTHS/150 000 KMNo</v>
          </cell>
          <cell r="F744">
            <v>376621.12830803101</v>
          </cell>
        </row>
        <row r="745">
          <cell r="E745" t="str">
            <v>TGS-33-440BBS-L54 MONTHS/150 000 KMYes</v>
          </cell>
          <cell r="F745">
            <v>461242.05165929213</v>
          </cell>
        </row>
        <row r="746">
          <cell r="E746" t="str">
            <v>TGS-33-440BBS-L54 MONTHS/160 000 KMNo</v>
          </cell>
          <cell r="F746">
            <v>372892.20624557527</v>
          </cell>
        </row>
        <row r="747">
          <cell r="E747" t="str">
            <v>TGS-33-440BBS-L54 MONTHS/160 000 KMYes</v>
          </cell>
          <cell r="F747">
            <v>456675.29867256642</v>
          </cell>
        </row>
        <row r="748">
          <cell r="E748" t="str">
            <v>TGS-33-440BBS-L54 MONTHS/170 000 KMNo</v>
          </cell>
          <cell r="F748">
            <v>369200.20420353982</v>
          </cell>
        </row>
        <row r="749">
          <cell r="E749" t="str">
            <v>TGS-33-440BBS-L54 MONTHS/170 000 KMYes</v>
          </cell>
          <cell r="F749">
            <v>452153.76106194692</v>
          </cell>
        </row>
        <row r="750">
          <cell r="E750" t="str">
            <v>TGS-33-440BBS-L54 MONTHS/180 000 KMNo</v>
          </cell>
          <cell r="F750">
            <v>365544.75663716818</v>
          </cell>
        </row>
        <row r="751">
          <cell r="E751" t="str">
            <v>TGS-33-440BBS-L54 MONTHS/180 000 KMYes</v>
          </cell>
          <cell r="F751">
            <v>447676.99115044251</v>
          </cell>
        </row>
        <row r="752">
          <cell r="E752" t="str">
            <v>TGS-33-440BBS-L54 MONTHS/190 000 KMNo</v>
          </cell>
          <cell r="F752">
            <v>348137.86346396967</v>
          </cell>
        </row>
        <row r="753">
          <cell r="E753" t="str">
            <v>TGS-33-440BBS-L54 MONTHS/190 000 KMYes</v>
          </cell>
          <cell r="F753">
            <v>426359.0391908976</v>
          </cell>
        </row>
        <row r="754">
          <cell r="E754" t="str">
            <v>TGS-33-440BBS-L54 MONTHS/20 000 KMNo</v>
          </cell>
          <cell r="F754">
            <v>434178.1894024277</v>
          </cell>
        </row>
        <row r="755">
          <cell r="E755" t="str">
            <v>TGS-33-440BBS-L54 MONTHS/20 000 KMYes</v>
          </cell>
          <cell r="F755">
            <v>532782.92265036772</v>
          </cell>
        </row>
        <row r="756">
          <cell r="E756" t="str">
            <v>TGS-33-440BBS-L54 MONTHS/200 000 KMNo</v>
          </cell>
          <cell r="F756">
            <v>331559.86996568536</v>
          </cell>
        </row>
        <row r="757">
          <cell r="E757" t="str">
            <v>TGS-33-440BBS-L54 MONTHS/200 000 KMYes</v>
          </cell>
          <cell r="F757">
            <v>402225.50867065811</v>
          </cell>
        </row>
        <row r="758">
          <cell r="E758" t="str">
            <v>TGS-33-440BBS-L54 MONTHS/210 000 KMNo</v>
          </cell>
          <cell r="F758">
            <v>315771.30472922412</v>
          </cell>
        </row>
        <row r="759">
          <cell r="E759" t="str">
            <v>TGS-33-440BBS-L54 MONTHS/210 000 KMYes</v>
          </cell>
          <cell r="F759">
            <v>379458.0270477907</v>
          </cell>
        </row>
        <row r="760">
          <cell r="E760" t="str">
            <v>TGS-33-440BBS-L54 MONTHS/220 000 KMNo</v>
          </cell>
          <cell r="F760">
            <v>300734.57593259437</v>
          </cell>
        </row>
        <row r="761">
          <cell r="E761" t="str">
            <v>TGS-33-440BBS-L54 MONTHS/220 000 KMYes</v>
          </cell>
          <cell r="F761">
            <v>361388.59718837205</v>
          </cell>
        </row>
        <row r="762">
          <cell r="E762" t="str">
            <v>TGS-33-440BBS-L54 MONTHS/230 000 KMNo</v>
          </cell>
          <cell r="F762">
            <v>281060.35133887327</v>
          </cell>
        </row>
        <row r="763">
          <cell r="E763" t="str">
            <v>TGS-33-440BBS-L54 MONTHS/230 000 KMYes</v>
          </cell>
          <cell r="F763">
            <v>337746.35251249728</v>
          </cell>
        </row>
        <row r="764">
          <cell r="E764" t="str">
            <v>TGS-33-440BBS-L54 MONTHS/240 000 KMNo</v>
          </cell>
          <cell r="F764">
            <v>262673.22555034881</v>
          </cell>
        </row>
        <row r="765">
          <cell r="E765" t="str">
            <v>TGS-33-440BBS-L54 MONTHS/240 000 KMYes</v>
          </cell>
          <cell r="F765">
            <v>315650.79674065165</v>
          </cell>
        </row>
        <row r="766">
          <cell r="E766" t="str">
            <v>TGS-33-440BBS-L54 MONTHS/250 000 KMNo</v>
          </cell>
          <cell r="F766">
            <v>245488.9958414475</v>
          </cell>
        </row>
        <row r="767">
          <cell r="E767" t="str">
            <v>TGS-33-440BBS-L54 MONTHS/250 000 KMYes</v>
          </cell>
          <cell r="F767">
            <v>295000.74461743142</v>
          </cell>
        </row>
        <row r="768">
          <cell r="E768" t="str">
            <v>TGS-33-440BBS-L54 MONTHS/260 000 KMNo</v>
          </cell>
          <cell r="F768">
            <v>229428.96807611914</v>
          </cell>
        </row>
        <row r="769">
          <cell r="E769" t="str">
            <v>TGS-33-440BBS-L54 MONTHS/260 000 KMYes</v>
          </cell>
          <cell r="F769">
            <v>275701.63048358075</v>
          </cell>
        </row>
        <row r="770">
          <cell r="E770" t="str">
            <v>TGS-33-440BBS-L54 MONTHS/270 000 KMNo</v>
          </cell>
          <cell r="F770">
            <v>214419.59633282162</v>
          </cell>
        </row>
        <row r="771">
          <cell r="E771" t="str">
            <v>TGS-33-440BBS-L54 MONTHS/270 000 KMYes</v>
          </cell>
          <cell r="F771">
            <v>257665.07521829975</v>
          </cell>
        </row>
        <row r="772">
          <cell r="E772" t="str">
            <v>TGS-33-440BBS-L54 MONTHS/280 000 KMNo</v>
          </cell>
          <cell r="F772">
            <v>200392.14610544074</v>
          </cell>
        </row>
        <row r="773">
          <cell r="E773" t="str">
            <v>TGS-33-440BBS-L54 MONTHS/280 000 KMYes</v>
          </cell>
          <cell r="F773">
            <v>240808.48151242969</v>
          </cell>
        </row>
        <row r="774">
          <cell r="E774" t="str">
            <v>TGS-33-440BBS-L54 MONTHS/30 000 KMNo</v>
          </cell>
          <cell r="F774">
            <v>429029.83142532379</v>
          </cell>
        </row>
        <row r="775">
          <cell r="E775" t="str">
            <v>TGS-33-440BBS-L54 MONTHS/30 000 KMYes</v>
          </cell>
          <cell r="F775">
            <v>526205.35570406693</v>
          </cell>
        </row>
        <row r="776">
          <cell r="E776" t="str">
            <v>TGS-33-440BBS-L54 MONTHS/40 000 KMNo</v>
          </cell>
          <cell r="F776">
            <v>423942.5211712686</v>
          </cell>
        </row>
        <row r="777">
          <cell r="E777" t="str">
            <v>TGS-33-440BBS-L54 MONTHS/40 000 KMYes</v>
          </cell>
          <cell r="F777">
            <v>519708.99328796734</v>
          </cell>
        </row>
        <row r="778">
          <cell r="E778" t="str">
            <v>TGS-33-440BBS-L54 MONTHS/50 000 KMNo</v>
          </cell>
          <cell r="F778">
            <v>418915.53475421801</v>
          </cell>
        </row>
        <row r="779">
          <cell r="E779" t="str">
            <v>TGS-33-440BBS-L54 MONTHS/50 000 KMYes</v>
          </cell>
          <cell r="F779">
            <v>513292.83287700487</v>
          </cell>
        </row>
        <row r="780">
          <cell r="E780" t="str">
            <v>TGS-33-440BBS-L54 MONTHS/60 000 KMNo</v>
          </cell>
          <cell r="F780">
            <v>413948.15687175689</v>
          </cell>
        </row>
        <row r="781">
          <cell r="E781" t="str">
            <v>TGS-33-440BBS-L54 MONTHS/60 000 KMYes</v>
          </cell>
          <cell r="F781">
            <v>506955.88432296773</v>
          </cell>
        </row>
        <row r="782">
          <cell r="E782" t="str">
            <v>TGS-33-440BBS-L54 MONTHS/70 000 KMNo</v>
          </cell>
          <cell r="F782">
            <v>409444.26990282588</v>
          </cell>
        </row>
        <row r="783">
          <cell r="E783" t="str">
            <v>TGS-33-440BBS-L54 MONTHS/70 000 KMYes</v>
          </cell>
          <cell r="F783">
            <v>501440.04384071985</v>
          </cell>
        </row>
        <row r="784">
          <cell r="E784" t="str">
            <v>TGS-33-440BBS-L54 MONTHS/80 000 KMNo</v>
          </cell>
          <cell r="F784">
            <v>404989.38664967945</v>
          </cell>
        </row>
        <row r="785">
          <cell r="E785" t="str">
            <v>TGS-33-440BBS-L54 MONTHS/80 000 KMYes</v>
          </cell>
          <cell r="F785">
            <v>495984.21744878328</v>
          </cell>
        </row>
        <row r="786">
          <cell r="E786" t="str">
            <v>TGS-33-440BBS-L54 MONTHS/90 000 KMNo</v>
          </cell>
          <cell r="F786">
            <v>400582.97393637936</v>
          </cell>
        </row>
        <row r="787">
          <cell r="E787" t="str">
            <v>TGS-33-440BBS-L54 MONTHS/90 000 KMYes</v>
          </cell>
          <cell r="F787">
            <v>490587.75217485981</v>
          </cell>
        </row>
        <row r="788">
          <cell r="E788" t="str">
            <v>TGS-33-440BBS-L60 MONTHS/10 000 KMNo</v>
          </cell>
          <cell r="F788">
            <v>350476.80725155788</v>
          </cell>
        </row>
        <row r="789">
          <cell r="E789" t="str">
            <v>TGS-33-440BBS-L60 MONTHS/10 000 KMYes</v>
          </cell>
          <cell r="F789">
            <v>449157.03469910135</v>
          </cell>
        </row>
        <row r="790">
          <cell r="E790" t="str">
            <v>TGS-33-440BBS-L60 MONTHS/100 000 KMNo</v>
          </cell>
          <cell r="F790">
            <v>316047.31055898673</v>
          </cell>
        </row>
        <row r="791">
          <cell r="E791" t="str">
            <v>TGS-33-440BBS-L60 MONTHS/100 000 KMYes</v>
          </cell>
          <cell r="F791">
            <v>404034.47547536477</v>
          </cell>
        </row>
        <row r="792">
          <cell r="E792" t="str">
            <v>TGS-33-440BBS-L60 MONTHS/110 000 KMNo</v>
          </cell>
          <cell r="F792">
            <v>312608.61578534794</v>
          </cell>
        </row>
        <row r="793">
          <cell r="E793" t="str">
            <v>TGS-33-440BBS-L60 MONTHS/110 000 KMYes</v>
          </cell>
          <cell r="F793">
            <v>399638.45249788807</v>
          </cell>
        </row>
        <row r="794">
          <cell r="E794" t="str">
            <v>TGS-33-440BBS-L60 MONTHS/120 000 KMNo</v>
          </cell>
          <cell r="F794">
            <v>309513.48097559204</v>
          </cell>
        </row>
        <row r="795">
          <cell r="E795" t="str">
            <v>TGS-33-440BBS-L60 MONTHS/120 000 KMYes</v>
          </cell>
          <cell r="F795">
            <v>395681.63613652281</v>
          </cell>
        </row>
        <row r="796">
          <cell r="E796" t="str">
            <v>TGS-33-440BBS-L60 MONTHS/130 000 KMNo</v>
          </cell>
          <cell r="F796">
            <v>306448.99106494262</v>
          </cell>
        </row>
        <row r="797">
          <cell r="E797" t="str">
            <v>TGS-33-440BBS-L60 MONTHS/130 000 KMYes</v>
          </cell>
          <cell r="F797">
            <v>391763.99617477506</v>
          </cell>
        </row>
        <row r="798">
          <cell r="E798" t="str">
            <v>TGS-33-440BBS-L60 MONTHS/140 000 KMNo</v>
          </cell>
          <cell r="F798">
            <v>303414.84263855702</v>
          </cell>
        </row>
        <row r="799">
          <cell r="E799" t="str">
            <v>TGS-33-440BBS-L60 MONTHS/140 000 KMYes</v>
          </cell>
          <cell r="F799">
            <v>387885.14472750004</v>
          </cell>
        </row>
        <row r="800">
          <cell r="E800" t="str">
            <v>TGS-33-440BBS-L60 MONTHS/150 000 KMNo</v>
          </cell>
          <cell r="F800">
            <v>300410.73528570001</v>
          </cell>
        </row>
        <row r="801">
          <cell r="E801" t="str">
            <v>TGS-33-440BBS-L60 MONTHS/150 000 KMYes</v>
          </cell>
          <cell r="F801">
            <v>384044.69775000005</v>
          </cell>
        </row>
        <row r="802">
          <cell r="E802" t="str">
            <v>TGS-33-440BBS-L60 MONTHS/160 000 KMNo</v>
          </cell>
          <cell r="F802">
            <v>297436.37157000002</v>
          </cell>
        </row>
        <row r="803">
          <cell r="E803" t="str">
            <v>TGS-33-440BBS-L60 MONTHS/160 000 KMYes</v>
          </cell>
          <cell r="F803">
            <v>380242.27500000002</v>
          </cell>
        </row>
        <row r="804">
          <cell r="E804" t="str">
            <v>TGS-33-440BBS-L60 MONTHS/170 000 KMNo</v>
          </cell>
          <cell r="F804">
            <v>294491.45699999999</v>
          </cell>
        </row>
        <row r="805">
          <cell r="E805" t="str">
            <v>TGS-33-440BBS-L60 MONTHS/170 000 KMYes</v>
          </cell>
          <cell r="F805">
            <v>376477.5</v>
          </cell>
        </row>
        <row r="806">
          <cell r="E806" t="str">
            <v>TGS-33-440BBS-L60 MONTHS/180 000 KMNo</v>
          </cell>
          <cell r="F806">
            <v>291575.7</v>
          </cell>
        </row>
        <row r="807">
          <cell r="E807" t="str">
            <v>TGS-33-440BBS-L60 MONTHS/180 000 KMYes</v>
          </cell>
          <cell r="F807">
            <v>372750</v>
          </cell>
        </row>
        <row r="808">
          <cell r="E808" t="str">
            <v>TGS-33-440BBS-L60 MONTHS/190 000 KMNo</v>
          </cell>
          <cell r="F808">
            <v>277691.14285714284</v>
          </cell>
        </row>
        <row r="809">
          <cell r="E809" t="str">
            <v>TGS-33-440BBS-L60 MONTHS/190 000 KMYes</v>
          </cell>
          <cell r="F809">
            <v>355000</v>
          </cell>
        </row>
        <row r="810">
          <cell r="E810" t="str">
            <v>TGS-33-440BBS-L60 MONTHS/20 000 KMNo</v>
          </cell>
          <cell r="F810">
            <v>346320.9557821718</v>
          </cell>
        </row>
        <row r="811">
          <cell r="E811" t="str">
            <v>TGS-33-440BBS-L60 MONTHS/20 000 KMYes</v>
          </cell>
          <cell r="F811">
            <v>443611.88612256927</v>
          </cell>
        </row>
        <row r="812">
          <cell r="E812" t="str">
            <v>TGS-33-440BBS-L60 MONTHS/200 000 KMNo</v>
          </cell>
          <cell r="F812">
            <v>264467.75510204077</v>
          </cell>
        </row>
        <row r="813">
          <cell r="E813" t="str">
            <v>TGS-33-440BBS-L60 MONTHS/200 000 KMYes</v>
          </cell>
          <cell r="F813">
            <v>334905.66037735849</v>
          </cell>
        </row>
        <row r="814">
          <cell r="E814" t="str">
            <v>TGS-33-440BBS-L60 MONTHS/210 000 KMNo</v>
          </cell>
          <cell r="F814">
            <v>251874.05247813405</v>
          </cell>
        </row>
        <row r="815">
          <cell r="E815" t="str">
            <v>TGS-33-440BBS-L60 MONTHS/210 000 KMYes</v>
          </cell>
          <cell r="F815">
            <v>315948.73620505515</v>
          </cell>
        </row>
        <row r="816">
          <cell r="E816" t="str">
            <v>TGS-33-440BBS-L60 MONTHS/220 000 KMNo</v>
          </cell>
          <cell r="F816">
            <v>239880.04997917527</v>
          </cell>
        </row>
        <row r="817">
          <cell r="E817" t="str">
            <v>TGS-33-440BBS-L60 MONTHS/220 000 KMYes</v>
          </cell>
          <cell r="F817">
            <v>300903.55829052872</v>
          </cell>
        </row>
        <row r="818">
          <cell r="E818" t="str">
            <v>TGS-33-440BBS-L60 MONTHS/230 000 KMNo</v>
          </cell>
          <cell r="F818">
            <v>224186.96259736005</v>
          </cell>
        </row>
        <row r="819">
          <cell r="E819" t="str">
            <v>TGS-33-440BBS-L60 MONTHS/230 000 KMYes</v>
          </cell>
          <cell r="F819">
            <v>281218.27877619502</v>
          </cell>
        </row>
        <row r="820">
          <cell r="E820" t="str">
            <v>TGS-33-440BBS-L60 MONTHS/240 000 KMNo</v>
          </cell>
          <cell r="F820">
            <v>209520.52579192526</v>
          </cell>
        </row>
        <row r="821">
          <cell r="E821" t="str">
            <v>TGS-33-440BBS-L60 MONTHS/240 000 KMYes</v>
          </cell>
          <cell r="F821">
            <v>262820.82128616353</v>
          </cell>
        </row>
        <row r="822">
          <cell r="E822" t="str">
            <v>TGS-33-440BBS-L60 MONTHS/250 000 KMNo</v>
          </cell>
          <cell r="F822">
            <v>195813.5755064722</v>
          </cell>
        </row>
        <row r="823">
          <cell r="E823" t="str">
            <v>TGS-33-440BBS-L60 MONTHS/250 000 KMYes</v>
          </cell>
          <cell r="F823">
            <v>245626.93578146122</v>
          </cell>
        </row>
        <row r="824">
          <cell r="E824" t="str">
            <v>TGS-33-440BBS-L60 MONTHS/260 000 KMNo</v>
          </cell>
          <cell r="F824">
            <v>183003.34159483382</v>
          </cell>
        </row>
        <row r="825">
          <cell r="E825" t="str">
            <v>TGS-33-440BBS-L60 MONTHS/260 000 KMYes</v>
          </cell>
          <cell r="F825">
            <v>229557.88390790767</v>
          </cell>
        </row>
        <row r="826">
          <cell r="E826" t="str">
            <v>TGS-33-440BBS-L60 MONTHS/270 000 KMNo</v>
          </cell>
          <cell r="F826">
            <v>171031.16036900357</v>
          </cell>
        </row>
        <row r="827">
          <cell r="E827" t="str">
            <v>TGS-33-440BBS-L60 MONTHS/270 000 KMYes</v>
          </cell>
          <cell r="F827">
            <v>214540.07841860529</v>
          </cell>
        </row>
        <row r="828">
          <cell r="E828" t="str">
            <v>TGS-33-440BBS-L60 MONTHS/280 000 KMNo</v>
          </cell>
          <cell r="F828">
            <v>159842.20595233978</v>
          </cell>
        </row>
        <row r="829">
          <cell r="E829" t="str">
            <v>TGS-33-440BBS-L60 MONTHS/280 000 KMYes</v>
          </cell>
          <cell r="F829">
            <v>200504.7461856124</v>
          </cell>
        </row>
        <row r="830">
          <cell r="E830" t="str">
            <v>TGS-33-440BBS-L60 MONTHS/30 000 KMNo</v>
          </cell>
          <cell r="F830">
            <v>342214.38318396424</v>
          </cell>
        </row>
        <row r="831">
          <cell r="E831" t="str">
            <v>TGS-33-440BBS-L60 MONTHS/30 000 KMYes</v>
          </cell>
          <cell r="F831">
            <v>438135.19617043878</v>
          </cell>
        </row>
        <row r="832">
          <cell r="E832" t="str">
            <v>TGS-33-440BBS-L60 MONTHS/40 000 KMNo</v>
          </cell>
          <cell r="F832">
            <v>338156.5051224943</v>
          </cell>
        </row>
        <row r="833">
          <cell r="E833" t="str">
            <v>TGS-33-440BBS-L60 MONTHS/40 000 KMYes</v>
          </cell>
          <cell r="F833">
            <v>432726.11967450747</v>
          </cell>
        </row>
        <row r="834">
          <cell r="E834" t="str">
            <v>TGS-33-440BBS-L60 MONTHS/50 000 KMNo</v>
          </cell>
          <cell r="F834">
            <v>334146.74419218802</v>
          </cell>
        </row>
        <row r="835">
          <cell r="E835" t="str">
            <v>TGS-33-440BBS-L60 MONTHS/50 000 KMYes</v>
          </cell>
          <cell r="F835">
            <v>427383.82190074812</v>
          </cell>
        </row>
        <row r="836">
          <cell r="E836" t="str">
            <v>TGS-33-440BBS-L60 MONTHS/60 000 KMNo</v>
          </cell>
          <cell r="F836">
            <v>330184.52983417787</v>
          </cell>
        </row>
        <row r="837">
          <cell r="E837" t="str">
            <v>TGS-33-440BBS-L60 MONTHS/60 000 KMYes</v>
          </cell>
          <cell r="F837">
            <v>422107.47842049197</v>
          </cell>
        </row>
        <row r="838">
          <cell r="E838" t="str">
            <v>TGS-33-440BBS-L60 MONTHS/70 000 KMNo</v>
          </cell>
          <cell r="F838">
            <v>326592.01764013642</v>
          </cell>
        </row>
        <row r="839">
          <cell r="E839" t="str">
            <v>TGS-33-440BBS-L60 MONTHS/70 000 KMYes</v>
          </cell>
          <cell r="F839">
            <v>417514.81545053609</v>
          </cell>
        </row>
        <row r="840">
          <cell r="E840" t="str">
            <v>TGS-33-440BBS-L60 MONTHS/80 000 KMNo</v>
          </cell>
          <cell r="F840">
            <v>323038.59311586199</v>
          </cell>
        </row>
        <row r="841">
          <cell r="E841" t="str">
            <v>TGS-33-440BBS-L60 MONTHS/80 000 KMYes</v>
          </cell>
          <cell r="F841">
            <v>412972.12210735522</v>
          </cell>
        </row>
        <row r="842">
          <cell r="E842" t="str">
            <v>TGS-33-440BBS-L60 MONTHS/90 000 KMNo</v>
          </cell>
          <cell r="F842">
            <v>319523.83097513556</v>
          </cell>
        </row>
        <row r="843">
          <cell r="E843" t="str">
            <v>TGS-33-440BBS-L60 MONTHS/90 000 KMYes</v>
          </cell>
          <cell r="F843">
            <v>408478.85470559372</v>
          </cell>
        </row>
      </sheetData>
      <sheetData sheetId="4">
        <row r="4">
          <cell r="F4" t="str">
            <v>CLA4X224 MONTHS/200 000 KMEntire VehicleNo</v>
          </cell>
          <cell r="G4">
            <v>10290</v>
          </cell>
        </row>
        <row r="5">
          <cell r="F5" t="str">
            <v>CLA4X224 MONTHS/200 000 KMEntire VehicleYes</v>
          </cell>
          <cell r="G5">
            <v>10290</v>
          </cell>
        </row>
        <row r="6">
          <cell r="F6" t="str">
            <v>CLA4X236 MONTHS/300 000 KMDrivelineNo</v>
          </cell>
          <cell r="G6">
            <v>11760</v>
          </cell>
        </row>
        <row r="7">
          <cell r="F7" t="str">
            <v>CLA4X236 MONTHS/300 000 KMDrivelineYes</v>
          </cell>
          <cell r="G7">
            <v>11760</v>
          </cell>
        </row>
        <row r="8">
          <cell r="F8" t="str">
            <v>CLA4X236 MONTHS/300 000 KMEntire VehicleNo</v>
          </cell>
          <cell r="G8">
            <v>30870</v>
          </cell>
        </row>
        <row r="9">
          <cell r="F9" t="str">
            <v>CLA4X236 MONTHS/300 000 KMEntire VehicleYes</v>
          </cell>
          <cell r="G9">
            <v>30870</v>
          </cell>
        </row>
        <row r="10">
          <cell r="F10" t="str">
            <v>CLA4X248 MONTHS/400 000 KMDrivelineNo</v>
          </cell>
          <cell r="G10">
            <v>22050</v>
          </cell>
        </row>
        <row r="11">
          <cell r="F11" t="str">
            <v>CLA4X248 MONTHS/400 000 KMDrivelineYes</v>
          </cell>
          <cell r="G11">
            <v>22050</v>
          </cell>
        </row>
        <row r="12">
          <cell r="F12" t="str">
            <v>CLA6X424 MONTHS/200 000 KMEntire VehicleNo</v>
          </cell>
          <cell r="G12">
            <v>16170</v>
          </cell>
        </row>
        <row r="13">
          <cell r="F13" t="str">
            <v>CLA6X424 MONTHS/200 000 KMEntire VehicleYes</v>
          </cell>
          <cell r="G13">
            <v>16170</v>
          </cell>
        </row>
        <row r="14">
          <cell r="F14" t="str">
            <v>CLA6X436 MONTHS/300 000 KMDrivelineNo</v>
          </cell>
          <cell r="G14">
            <v>23520</v>
          </cell>
        </row>
        <row r="15">
          <cell r="F15" t="str">
            <v>CLA6X436 MONTHS/300 000 KMDrivelineYes</v>
          </cell>
          <cell r="G15">
            <v>23520</v>
          </cell>
        </row>
        <row r="16">
          <cell r="F16" t="str">
            <v>CLA6X436 MONTHS/300 000 KMEntire VehicleNo</v>
          </cell>
          <cell r="G16">
            <v>50715</v>
          </cell>
        </row>
        <row r="17">
          <cell r="F17" t="str">
            <v>CLA6X436 MONTHS/300 000 KMEntire VehicleYes</v>
          </cell>
          <cell r="G17">
            <v>50715</v>
          </cell>
        </row>
        <row r="18">
          <cell r="F18" t="str">
            <v>CLA6X448 MONTHS/400 000 KMDrivelineNo</v>
          </cell>
          <cell r="G18">
            <v>41160</v>
          </cell>
        </row>
        <row r="19">
          <cell r="F19" t="str">
            <v>CLA6X448 MONTHS/400 000 KMDrivelineYes</v>
          </cell>
          <cell r="G19">
            <v>41160</v>
          </cell>
        </row>
      </sheetData>
      <sheetData sheetId="5">
        <row r="5">
          <cell r="F5" t="str">
            <v>TGM4X224 MONTHS/100 000 KMEntire VehicleNo</v>
          </cell>
          <cell r="G5">
            <v>5145</v>
          </cell>
          <cell r="N5" t="str">
            <v>TGM4X236 MONTHS/150 000 KMDrivelineNo</v>
          </cell>
          <cell r="O5">
            <v>8820</v>
          </cell>
          <cell r="W5" t="str">
            <v>TGM4X224 MONTHS/200 000 KM36 MONTHS/300 000 KMCombinationNo</v>
          </cell>
          <cell r="X5">
            <v>20580</v>
          </cell>
        </row>
        <row r="6">
          <cell r="F6" t="str">
            <v>TGM4X224 MONTHS/100 000 KMEntire VehicleYes</v>
          </cell>
          <cell r="G6">
            <v>4410</v>
          </cell>
          <cell r="N6" t="str">
            <v>TGM4X236 MONTHS/150 000 KMDrivelineYes</v>
          </cell>
          <cell r="O6">
            <v>7350</v>
          </cell>
          <cell r="W6" t="str">
            <v>TGM4X224 MONTHS/200 000 KM36 MONTHS/300 000 KMCombinationYes</v>
          </cell>
          <cell r="X6">
            <v>16905</v>
          </cell>
        </row>
        <row r="7">
          <cell r="F7" t="str">
            <v>TGM4X224 MONTHS/150 000 KMEntire VehicleNo</v>
          </cell>
          <cell r="G7">
            <v>6615</v>
          </cell>
          <cell r="N7" t="str">
            <v>TGM4X236 MONTHS/225 000 KMDrivelineNo</v>
          </cell>
          <cell r="O7">
            <v>10290</v>
          </cell>
          <cell r="W7" t="str">
            <v>TGM4X224 MONTHS/200 000 KM36 MONTHS/450 000 KMCombinationNo</v>
          </cell>
          <cell r="X7">
            <v>27195</v>
          </cell>
        </row>
        <row r="8">
          <cell r="F8" t="str">
            <v>TGM4X224 MONTHS/150 000 KMEntire VehicleYes</v>
          </cell>
          <cell r="G8">
            <v>5145</v>
          </cell>
          <cell r="N8" t="str">
            <v>TGM4X236 MONTHS/225 000 KMDrivelineYes</v>
          </cell>
          <cell r="O8">
            <v>8820</v>
          </cell>
          <cell r="W8" t="str">
            <v>TGM4X224 MONTHS/200 000 KM36 MONTHS/450 000 KMCombinationYes</v>
          </cell>
          <cell r="X8">
            <v>23520</v>
          </cell>
        </row>
        <row r="9">
          <cell r="F9" t="str">
            <v>TGM4X224 MONTHS/200 000 KMEntire VehicleNo</v>
          </cell>
          <cell r="G9">
            <v>7350</v>
          </cell>
          <cell r="N9" t="str">
            <v>TGM4X236 MONTHS/300 000 KMDrivelineNo</v>
          </cell>
          <cell r="O9">
            <v>13230</v>
          </cell>
          <cell r="W9" t="str">
            <v>TGM4X224 MONTHS/200 000 KM60 MONTHS/500 000 KMCombinationNo</v>
          </cell>
          <cell r="X9">
            <v>57330</v>
          </cell>
        </row>
        <row r="10">
          <cell r="F10" t="str">
            <v>TGM4X224 MONTHS/200 000 KMEntire VehicleYes</v>
          </cell>
          <cell r="G10">
            <v>5880</v>
          </cell>
          <cell r="N10" t="str">
            <v>TGM4X236 MONTHS/300 000 KMDrivelineYes</v>
          </cell>
          <cell r="O10">
            <v>11025</v>
          </cell>
          <cell r="W10" t="str">
            <v>TGM4X224 MONTHS/200 000 KM60 MONTHS/500 000 KMCombinationYes</v>
          </cell>
          <cell r="X10">
            <v>49245</v>
          </cell>
        </row>
        <row r="11">
          <cell r="F11" t="str">
            <v>TGM4X224 MONTHS/250 000 KMEntire VehicleNo</v>
          </cell>
          <cell r="G11">
            <v>8820</v>
          </cell>
          <cell r="N11" t="str">
            <v>TGM4X236 MONTHS/375 000 KMDrivelineNo</v>
          </cell>
          <cell r="O11">
            <v>15435</v>
          </cell>
          <cell r="W11" t="str">
            <v>TGM4X224 MONTHS/300 000 KM48 MONTHS/400 000 KMCombinationNo</v>
          </cell>
          <cell r="X11">
            <v>32340</v>
          </cell>
        </row>
        <row r="12">
          <cell r="F12" t="str">
            <v>TGM4X224 MONTHS/250 000 KMEntire VehicleYes</v>
          </cell>
          <cell r="G12">
            <v>7350</v>
          </cell>
          <cell r="N12" t="str">
            <v>TGM4X236 MONTHS/375 000 KMDrivelineYes</v>
          </cell>
          <cell r="O12">
            <v>13230</v>
          </cell>
          <cell r="W12" t="str">
            <v>TGM4X224 MONTHS/300 000 KM48 MONTHS/400 000 KMCombinationYes</v>
          </cell>
          <cell r="X12">
            <v>27195</v>
          </cell>
        </row>
        <row r="13">
          <cell r="F13" t="str">
            <v>TGM4X224 MONTHS/300 000 KMEntire VehicleNo</v>
          </cell>
          <cell r="G13">
            <v>10290</v>
          </cell>
          <cell r="N13" t="str">
            <v>TGM4X236 MONTHS/450 000 KMDrivelineNo</v>
          </cell>
          <cell r="O13">
            <v>16905</v>
          </cell>
          <cell r="W13" t="str">
            <v>TGM4X224 MONTHS/300 000 KM48 MONTHS/600 000 KMCombinationNo</v>
          </cell>
          <cell r="X13">
            <v>46305</v>
          </cell>
        </row>
        <row r="14">
          <cell r="F14" t="str">
            <v>TGM4X224 MONTHS/300 000 KMEntire VehicleYes</v>
          </cell>
          <cell r="G14">
            <v>8820</v>
          </cell>
          <cell r="N14" t="str">
            <v>TGM4X236 MONTHS/450 000 KMDrivelineYes</v>
          </cell>
          <cell r="O14">
            <v>14700</v>
          </cell>
          <cell r="W14" t="str">
            <v>TGM4X224 MONTHS/300 000 KM48 MONTHS/600 000 KMCombinationYes</v>
          </cell>
          <cell r="X14">
            <v>39690</v>
          </cell>
        </row>
        <row r="15">
          <cell r="F15" t="str">
            <v>TGM4X224 MONTHS/50 000 KMEntire VehicleNo</v>
          </cell>
          <cell r="G15">
            <v>4410</v>
          </cell>
          <cell r="N15" t="str">
            <v>TGM4X236 MONTHS/75 000 KMDrivelineNo</v>
          </cell>
          <cell r="O15">
            <v>8085</v>
          </cell>
          <cell r="W15" t="str">
            <v>TGM4X224 MONTHS/300 000 KM60 MONTHS/750 000 KMCombinationNo</v>
          </cell>
          <cell r="X15">
            <v>84525</v>
          </cell>
        </row>
        <row r="16">
          <cell r="F16" t="str">
            <v>TGM4X224 MONTHS/50 000 KMEntire VehicleYes</v>
          </cell>
          <cell r="G16">
            <v>3675</v>
          </cell>
          <cell r="N16" t="str">
            <v>TGM4X236 MONTHS/75 000 KMDrivelineYes</v>
          </cell>
          <cell r="O16">
            <v>6615</v>
          </cell>
          <cell r="W16" t="str">
            <v>TGM4X224 MONTHS/300 000 KM60 MONTHS/750 000 KMCombinationYes</v>
          </cell>
          <cell r="X16">
            <v>72765</v>
          </cell>
        </row>
        <row r="17">
          <cell r="F17" t="str">
            <v>TGM4X236 MONTHS/150 000 KMEntire VehicleNo</v>
          </cell>
          <cell r="G17">
            <v>16170</v>
          </cell>
          <cell r="N17" t="str">
            <v>TGM4X248 MONTHS/100 000 KMDrivelineNo</v>
          </cell>
          <cell r="O17">
            <v>13965</v>
          </cell>
          <cell r="W17" t="str">
            <v>TGM4X236 MONTHS/300 000 KM48 MONTHS/400 000 KMCombinationNo</v>
          </cell>
          <cell r="X17">
            <v>35280</v>
          </cell>
        </row>
        <row r="18">
          <cell r="F18" t="str">
            <v>TGM4X236 MONTHS/150 000 KMEntire VehicleYes</v>
          </cell>
          <cell r="G18">
            <v>13965</v>
          </cell>
          <cell r="N18" t="str">
            <v>TGM4X248 MONTHS/100 000 KMDrivelineYes</v>
          </cell>
          <cell r="O18">
            <v>11760</v>
          </cell>
          <cell r="W18" t="str">
            <v>TGM4X236 MONTHS/300 000 KM48 MONTHS/400 000 KMCombinationYes</v>
          </cell>
          <cell r="X18">
            <v>30135</v>
          </cell>
        </row>
        <row r="19">
          <cell r="F19" t="str">
            <v>TGM4X236 MONTHS/225 000 KMEntire VehicleNo</v>
          </cell>
          <cell r="G19">
            <v>19110</v>
          </cell>
          <cell r="N19" t="str">
            <v>TGM4X248 MONTHS/200 000 KMDrivelineNo</v>
          </cell>
          <cell r="O19">
            <v>16905</v>
          </cell>
          <cell r="W19" t="str">
            <v>TGM4X236 MONTHS/300 000 KM60 MONTHS/500 000 KMCombinationNo</v>
          </cell>
          <cell r="X19">
            <v>60270</v>
          </cell>
        </row>
        <row r="20">
          <cell r="F20" t="str">
            <v>TGM4X236 MONTHS/225 000 KMEntire VehicleYes</v>
          </cell>
          <cell r="G20">
            <v>16170</v>
          </cell>
          <cell r="N20" t="str">
            <v>TGM4X248 MONTHS/200 000 KMDrivelineYes</v>
          </cell>
          <cell r="O20">
            <v>14700</v>
          </cell>
          <cell r="W20" t="str">
            <v>TGM4X236 MONTHS/300 000 KM60 MONTHS/500 000 KMCombinationYes</v>
          </cell>
          <cell r="X20">
            <v>52185</v>
          </cell>
        </row>
        <row r="21">
          <cell r="F21" t="str">
            <v>TGM4X236 MONTHS/300 000 KMEntire VehicleNo</v>
          </cell>
          <cell r="G21">
            <v>23520</v>
          </cell>
          <cell r="N21" t="str">
            <v>TGM4X248 MONTHS/300 000 KMDrivelineNo</v>
          </cell>
          <cell r="O21">
            <v>20580</v>
          </cell>
          <cell r="W21" t="str">
            <v>TGM4X236 MONTHS/450 000 KM48 MONTHS/600 000 KMCombinationNo</v>
          </cell>
          <cell r="X21">
            <v>52185</v>
          </cell>
        </row>
        <row r="22">
          <cell r="F22" t="str">
            <v>TGM4X236 MONTHS/300 000 KMEntire VehicleYes</v>
          </cell>
          <cell r="G22">
            <v>19845</v>
          </cell>
          <cell r="N22" t="str">
            <v>TGM4X248 MONTHS/300 000 KMDrivelineYes</v>
          </cell>
          <cell r="O22">
            <v>17640</v>
          </cell>
          <cell r="W22" t="str">
            <v>TGM4X236 MONTHS/450 000 KM48 MONTHS/600 000 KMCombinationYes</v>
          </cell>
          <cell r="X22">
            <v>44835</v>
          </cell>
        </row>
        <row r="23">
          <cell r="F23" t="str">
            <v>TGM4X236 MONTHS/375 000 KMEntire VehicleNo</v>
          </cell>
          <cell r="G23">
            <v>27195</v>
          </cell>
          <cell r="N23" t="str">
            <v>TGM4X248 MONTHS/400 000 KMDrivelineNo</v>
          </cell>
          <cell r="O23">
            <v>24990</v>
          </cell>
          <cell r="W23" t="str">
            <v>TGM4X236 MONTHS/450 000 KM60 MONTHS/750 000 KMCombinationNo</v>
          </cell>
          <cell r="X23">
            <v>90405</v>
          </cell>
        </row>
        <row r="24">
          <cell r="F24" t="str">
            <v>TGM4X236 MONTHS/375 000 KMEntire VehicleYes</v>
          </cell>
          <cell r="G24">
            <v>23520</v>
          </cell>
          <cell r="N24" t="str">
            <v>TGM4X248 MONTHS/400 000 KMDrivelineYes</v>
          </cell>
          <cell r="O24">
            <v>21315</v>
          </cell>
          <cell r="W24" t="str">
            <v>TGM4X236 MONTHS/450 000 KM60 MONTHS/750 000 KMCombinationYes</v>
          </cell>
          <cell r="X24">
            <v>77910</v>
          </cell>
        </row>
        <row r="25">
          <cell r="F25" t="str">
            <v>TGM4X236 MONTHS/450 000 KMEntire VehicleNo</v>
          </cell>
          <cell r="G25">
            <v>33075</v>
          </cell>
          <cell r="N25" t="str">
            <v>TGM4X248 MONTHS/500 000 KMDrivelineNo</v>
          </cell>
          <cell r="O25">
            <v>30135</v>
          </cell>
          <cell r="W25" t="str">
            <v>TGM4X248 MONTHS/400 000 KM60 MONTHS/500 000 KMCombinationNo</v>
          </cell>
          <cell r="X25">
            <v>66150</v>
          </cell>
        </row>
        <row r="26">
          <cell r="F26" t="str">
            <v>TGM4X236 MONTHS/450 000 KMEntire VehicleYes</v>
          </cell>
          <cell r="G26">
            <v>28665</v>
          </cell>
          <cell r="N26" t="str">
            <v>TGM4X248 MONTHS/500 000 KMDrivelineYes</v>
          </cell>
          <cell r="O26">
            <v>25725</v>
          </cell>
          <cell r="W26" t="str">
            <v>TGM4X248 MONTHS/400 000 KM60 MONTHS/500 000 KMCombinationYes</v>
          </cell>
          <cell r="X26">
            <v>57330</v>
          </cell>
        </row>
        <row r="27">
          <cell r="F27" t="str">
            <v>TGM4X236 MONTHS/75 000 KMEntire VehicleNo</v>
          </cell>
          <cell r="G27">
            <v>13230</v>
          </cell>
          <cell r="N27" t="str">
            <v>TGM4X248 MONTHS/600 000 KMDrivelineNo</v>
          </cell>
          <cell r="O27">
            <v>36015</v>
          </cell>
          <cell r="W27" t="str">
            <v>TGM4X248 MONTHS/600 000 KM60 MONTHS/750 000 KMCombinationNo</v>
          </cell>
          <cell r="X27">
            <v>100695</v>
          </cell>
        </row>
        <row r="28">
          <cell r="F28" t="str">
            <v>TGM4X236 MONTHS/75 000 KMEntire VehicleYes</v>
          </cell>
          <cell r="G28">
            <v>11025</v>
          </cell>
          <cell r="N28" t="str">
            <v>TGM4X248 MONTHS/600 000 KMDrivelineYes</v>
          </cell>
          <cell r="O28">
            <v>30870</v>
          </cell>
          <cell r="W28" t="str">
            <v>TGM4X248 MONTHS/600 000 KM60 MONTHS/750 000 KMCombinationYes</v>
          </cell>
          <cell r="X28">
            <v>84525</v>
          </cell>
        </row>
        <row r="29">
          <cell r="F29" t="str">
            <v>TGM4X248 MONTHS/100 000 KMEntire VehicleNo</v>
          </cell>
          <cell r="G29">
            <v>23520</v>
          </cell>
          <cell r="N29" t="str">
            <v>TGM4X260 MONTHS/125 000 KMDrivelineNo</v>
          </cell>
          <cell r="O29">
            <v>29400</v>
          </cell>
          <cell r="W29" t="str">
            <v>TGM4X424 MONTHS/200 000 KM36 MONTHS/300 000 KMCombinationNo</v>
          </cell>
          <cell r="X29">
            <v>24990</v>
          </cell>
        </row>
        <row r="30">
          <cell r="F30" t="str">
            <v>TGM4X248 MONTHS/100 000 KMEntire VehicleYes</v>
          </cell>
          <cell r="G30">
            <v>19845</v>
          </cell>
          <cell r="N30" t="str">
            <v>TGM4X260 MONTHS/125 000 KMDrivelineYes</v>
          </cell>
          <cell r="O30">
            <v>24990</v>
          </cell>
          <cell r="W30" t="str">
            <v>TGM4X424 MONTHS/200 000 KM36 MONTHS/300 000 KMCombinationYes</v>
          </cell>
          <cell r="X30">
            <v>21315</v>
          </cell>
        </row>
        <row r="31">
          <cell r="F31" t="str">
            <v>TGM4X248 MONTHS/200 000 KMEntire VehicleNo</v>
          </cell>
          <cell r="G31">
            <v>27930</v>
          </cell>
          <cell r="N31" t="str">
            <v>TGM4X260 MONTHS/250 000 KMDrivelineNo</v>
          </cell>
          <cell r="O31">
            <v>35280</v>
          </cell>
          <cell r="W31" t="str">
            <v>TGM4X424 MONTHS/200 000 KM36 MONTHS/450 000 KMCombinationNo</v>
          </cell>
          <cell r="X31">
            <v>34545</v>
          </cell>
        </row>
        <row r="32">
          <cell r="F32" t="str">
            <v>TGM4X248 MONTHS/200 000 KMEntire VehicleYes</v>
          </cell>
          <cell r="G32">
            <v>24255</v>
          </cell>
          <cell r="N32" t="str">
            <v>TGM4X260 MONTHS/250 000 KMDrivelineYes</v>
          </cell>
          <cell r="O32">
            <v>30135</v>
          </cell>
          <cell r="W32" t="str">
            <v>TGM4X424 MONTHS/200 000 KM36 MONTHS/450 000 KMCombinationYes</v>
          </cell>
          <cell r="X32">
            <v>29400</v>
          </cell>
        </row>
        <row r="33">
          <cell r="F33" t="str">
            <v>TGM4X248 MONTHS/300 000 KMEntire VehicleNo</v>
          </cell>
          <cell r="G33">
            <v>33810</v>
          </cell>
          <cell r="N33" t="str">
            <v>TGM4X260 MONTHS/375 000 KMDrivelineNo</v>
          </cell>
          <cell r="O33">
            <v>41895</v>
          </cell>
          <cell r="W33" t="str">
            <v>TGM4X424 MONTHS/200 000 KM60 MONTHS/500 000 KMCombinationNo</v>
          </cell>
          <cell r="X33">
            <v>69090</v>
          </cell>
        </row>
        <row r="34">
          <cell r="F34" t="str">
            <v>TGM4X248 MONTHS/300 000 KMEntire VehicleYes</v>
          </cell>
          <cell r="G34">
            <v>29400</v>
          </cell>
          <cell r="N34" t="str">
            <v>TGM4X260 MONTHS/375 000 KMDrivelineYes</v>
          </cell>
          <cell r="O34">
            <v>36015</v>
          </cell>
          <cell r="W34" t="str">
            <v>TGM4X424 MONTHS/200 000 KM60 MONTHS/500 000 KMCombinationYes</v>
          </cell>
          <cell r="X34">
            <v>59535</v>
          </cell>
        </row>
        <row r="35">
          <cell r="F35" t="str">
            <v>TGM4X248 MONTHS/400 000 KMEntire VehicleNo</v>
          </cell>
          <cell r="G35">
            <v>41160</v>
          </cell>
          <cell r="N35" t="str">
            <v>TGM4X260 MONTHS/500 000 KMDrivelineNo</v>
          </cell>
          <cell r="O35">
            <v>49980</v>
          </cell>
          <cell r="W35" t="str">
            <v>TGM4X424 MONTHS/300 000 KM48 MONTHS/400 000 KMCombinationNo</v>
          </cell>
          <cell r="X35">
            <v>41160</v>
          </cell>
        </row>
        <row r="36">
          <cell r="F36" t="str">
            <v>TGM4X248 MONTHS/400 000 KMEntire VehicleYes</v>
          </cell>
          <cell r="G36">
            <v>35280</v>
          </cell>
          <cell r="N36" t="str">
            <v>TGM4X260 MONTHS/500 000 KMDrivelineYes</v>
          </cell>
          <cell r="O36">
            <v>43365</v>
          </cell>
          <cell r="W36" t="str">
            <v>TGM4X424 MONTHS/300 000 KM48 MONTHS/400 000 KMCombinationYes</v>
          </cell>
          <cell r="X36">
            <v>35280</v>
          </cell>
        </row>
        <row r="37">
          <cell r="F37" t="str">
            <v>TGM4X248 MONTHS/500 000 KMEntire VehicleNo</v>
          </cell>
          <cell r="G37">
            <v>49245</v>
          </cell>
          <cell r="N37" t="str">
            <v>TGM4X260 MONTHS/625 000 KMDrivelineNo</v>
          </cell>
          <cell r="O37">
            <v>61005</v>
          </cell>
          <cell r="W37" t="str">
            <v>TGM4X424 MONTHS/300 000 KM48 MONTHS/600 000 KMCombinationNo</v>
          </cell>
          <cell r="X37">
            <v>54390</v>
          </cell>
        </row>
        <row r="38">
          <cell r="F38" t="str">
            <v>TGM4X248 MONTHS/500 000 KMEntire VehicleYes</v>
          </cell>
          <cell r="G38">
            <v>42630</v>
          </cell>
          <cell r="N38" t="str">
            <v>TGM4X260 MONTHS/625 000 KMDrivelineYes</v>
          </cell>
          <cell r="O38">
            <v>52920</v>
          </cell>
          <cell r="W38" t="str">
            <v>TGM4X424 MONTHS/300 000 KM48 MONTHS/600 000 KMCombinationYes</v>
          </cell>
          <cell r="X38">
            <v>46305</v>
          </cell>
        </row>
        <row r="39">
          <cell r="F39" t="str">
            <v>TGM4X248 MONTHS/600 000 KMEntire VehicleNo</v>
          </cell>
          <cell r="G39">
            <v>59535</v>
          </cell>
          <cell r="N39" t="str">
            <v>TGM4X260 MONTHS/750 000 KMDrivelineNo</v>
          </cell>
          <cell r="O39">
            <v>74235</v>
          </cell>
          <cell r="W39" t="str">
            <v>TGM4X424 MONTHS/300 000 KM60 MONTHS/750 000 KMCombinationNo</v>
          </cell>
          <cell r="X39">
            <v>97020</v>
          </cell>
        </row>
        <row r="40">
          <cell r="F40" t="str">
            <v>TGM4X248 MONTHS/600 000 KMEntire VehicleYes</v>
          </cell>
          <cell r="G40">
            <v>51450</v>
          </cell>
          <cell r="N40" t="str">
            <v>TGM4X260 MONTHS/750 000 KMDrivelineYes</v>
          </cell>
          <cell r="O40">
            <v>63945</v>
          </cell>
          <cell r="W40" t="str">
            <v>TGM4X424 MONTHS/300 000 KM60 MONTHS/750 000 KMCombinationYes</v>
          </cell>
          <cell r="X40">
            <v>83790</v>
          </cell>
        </row>
        <row r="41">
          <cell r="F41" t="str">
            <v>TGM4X260 MONTHS/125 000 KMEntire VehicleNo</v>
          </cell>
          <cell r="G41">
            <v>48510</v>
          </cell>
          <cell r="N41" t="str">
            <v>TGM4X436 MONTHS/150 000 KMDrivelineNo</v>
          </cell>
          <cell r="O41">
            <v>11025</v>
          </cell>
          <cell r="W41" t="str">
            <v>TGM4X436 MONTHS/300 000 KM48 MONTHS/400 000 KMCombinationNo</v>
          </cell>
          <cell r="X41">
            <v>49245</v>
          </cell>
        </row>
        <row r="42">
          <cell r="F42" t="str">
            <v>TGM4X260 MONTHS/125 000 KMEntire VehicleYes</v>
          </cell>
          <cell r="G42">
            <v>41895</v>
          </cell>
          <cell r="N42" t="str">
            <v>TGM4X436 MONTHS/150 000 KMDrivelineYes</v>
          </cell>
          <cell r="O42">
            <v>9555</v>
          </cell>
          <cell r="W42" t="str">
            <v>TGM4X436 MONTHS/300 000 KM48 MONTHS/400 000 KMCombinationYes</v>
          </cell>
          <cell r="X42">
            <v>42630</v>
          </cell>
        </row>
        <row r="43">
          <cell r="F43" t="str">
            <v>TGM4X260 MONTHS/250 000 KMEntire VehicleNo</v>
          </cell>
          <cell r="G43">
            <v>58065</v>
          </cell>
          <cell r="N43" t="str">
            <v>TGM4X436 MONTHS/225 000 KMDrivelineNo</v>
          </cell>
          <cell r="O43">
            <v>13230</v>
          </cell>
          <cell r="W43" t="str">
            <v>TGM4X436 MONTHS/300 000 KM60 MONTHS/500 000 KMCombinationNo</v>
          </cell>
          <cell r="X43">
            <v>77175</v>
          </cell>
        </row>
        <row r="44">
          <cell r="F44" t="str">
            <v>TGM4X260 MONTHS/250 000 KMEntire VehicleYes</v>
          </cell>
          <cell r="G44">
            <v>49980</v>
          </cell>
          <cell r="N44" t="str">
            <v>TGM4X436 MONTHS/225 000 KMDrivelineYes</v>
          </cell>
          <cell r="O44">
            <v>11025</v>
          </cell>
          <cell r="W44" t="str">
            <v>TGM4X436 MONTHS/300 000 KM60 MONTHS/500 000 KMCombinationYes</v>
          </cell>
          <cell r="X44">
            <v>66885</v>
          </cell>
        </row>
        <row r="45">
          <cell r="F45" t="str">
            <v>TGM4X260 MONTHS/375 000 KMEntire VehicleNo</v>
          </cell>
          <cell r="G45">
            <v>70560</v>
          </cell>
          <cell r="N45" t="str">
            <v>TGM4X436 MONTHS/300 000 KMDrivelineNo</v>
          </cell>
          <cell r="O45">
            <v>15435</v>
          </cell>
          <cell r="W45" t="str">
            <v>TGM4X436 MONTHS/450 000 KM48 MONTHS/600 000 KMCombinationNo</v>
          </cell>
          <cell r="X45">
            <v>58800</v>
          </cell>
        </row>
        <row r="46">
          <cell r="F46" t="str">
            <v>TGM4X260 MONTHS/375 000 KMEntire VehicleYes</v>
          </cell>
          <cell r="G46">
            <v>61005</v>
          </cell>
          <cell r="N46" t="str">
            <v>TGM4X436 MONTHS/300 000 KMDrivelineYes</v>
          </cell>
          <cell r="O46">
            <v>13230</v>
          </cell>
          <cell r="W46" t="str">
            <v>TGM4X436 MONTHS/450 000 KM48 MONTHS/600 000 KMCombinationYes</v>
          </cell>
          <cell r="X46">
            <v>50715</v>
          </cell>
        </row>
        <row r="47">
          <cell r="F47" t="str">
            <v>TGM4X260 MONTHS/500 000 KMEntire VehicleNo</v>
          </cell>
          <cell r="G47">
            <v>84525</v>
          </cell>
          <cell r="N47" t="str">
            <v>TGM4X436 MONTHS/375 000 KMDrivelineNo</v>
          </cell>
          <cell r="O47">
            <v>18375</v>
          </cell>
          <cell r="W47" t="str">
            <v>TGM4X436 MONTHS/450 000 KM60 MONTHS/750 000 KMCombinationNo</v>
          </cell>
          <cell r="X47">
            <v>101430</v>
          </cell>
        </row>
        <row r="48">
          <cell r="F48" t="str">
            <v>TGM4X260 MONTHS/500 000 KMEntire VehicleYes</v>
          </cell>
          <cell r="G48">
            <v>73500</v>
          </cell>
          <cell r="N48" t="str">
            <v>TGM4X436 MONTHS/375 000 KMDrivelineYes</v>
          </cell>
          <cell r="O48">
            <v>15435</v>
          </cell>
          <cell r="W48" t="str">
            <v>TGM4X436 MONTHS/450 000 KM60 MONTHS/750 000 KMCombinationYes</v>
          </cell>
          <cell r="X48">
            <v>88200</v>
          </cell>
        </row>
        <row r="49">
          <cell r="F49" t="str">
            <v>TGM4X260 MONTHS/625 000 KMEntire VehicleNo</v>
          </cell>
          <cell r="G49">
            <v>102900</v>
          </cell>
          <cell r="N49" t="str">
            <v>TGM4X436 MONTHS/450 000 KMDrivelineNo</v>
          </cell>
          <cell r="O49">
            <v>20580</v>
          </cell>
          <cell r="W49" t="str">
            <v>TGM4X448 MONTHS/400 000 KM60 MONTHS/500 000 KMCombinationNo</v>
          </cell>
          <cell r="X49">
            <v>76440</v>
          </cell>
        </row>
        <row r="50">
          <cell r="F50" t="str">
            <v>TGM4X260 MONTHS/625 000 KMEntire VehicleYes</v>
          </cell>
          <cell r="G50">
            <v>88935</v>
          </cell>
          <cell r="N50" t="str">
            <v>TGM4X436 MONTHS/450 000 KMDrivelineYes</v>
          </cell>
          <cell r="O50">
            <v>17640</v>
          </cell>
          <cell r="W50" t="str">
            <v>TGM4X448 MONTHS/400 000 KM60 MONTHS/500 000 KMCombinationYes</v>
          </cell>
          <cell r="X50">
            <v>66150</v>
          </cell>
        </row>
        <row r="51">
          <cell r="F51" t="str">
            <v>TGM4X260 MONTHS/750 000 KMEntire VehicleNo</v>
          </cell>
          <cell r="G51">
            <v>123480</v>
          </cell>
          <cell r="N51" t="str">
            <v>TGM4X436 MONTHS/75 000 KMDrivelineNo</v>
          </cell>
          <cell r="O51">
            <v>9555</v>
          </cell>
          <cell r="W51" t="str">
            <v>TGM4X448 MONTHS/600 000 KM60 MONTHS/750 000 KMCombinationNo</v>
          </cell>
          <cell r="X51">
            <v>113190</v>
          </cell>
        </row>
        <row r="52">
          <cell r="F52" t="str">
            <v>TGM4X260 MONTHS/750 000 KMEntire VehicleYes</v>
          </cell>
          <cell r="G52">
            <v>107310</v>
          </cell>
          <cell r="N52" t="str">
            <v>TGM4X436 MONTHS/75 000 KMDrivelineYes</v>
          </cell>
          <cell r="O52">
            <v>8085</v>
          </cell>
          <cell r="W52" t="str">
            <v>TGM4X448 MONTHS/600 000 KM60 MONTHS/750 000 KMCombinationYes</v>
          </cell>
          <cell r="X52">
            <v>98490</v>
          </cell>
        </row>
        <row r="53">
          <cell r="F53" t="str">
            <v>TGM4X424 MONTHS/100 000 KMEntire VehicleNo</v>
          </cell>
          <cell r="G53">
            <v>6615</v>
          </cell>
          <cell r="N53" t="str">
            <v>TGM4X448 MONTHS/100 000 KMDrivelineNo</v>
          </cell>
          <cell r="O53">
            <v>18375</v>
          </cell>
          <cell r="W53" t="str">
            <v>TGM6X224 MONTHS/200 000 KM36 MONTHS/300 000 KMCombinationNo</v>
          </cell>
          <cell r="X53">
            <v>24990</v>
          </cell>
        </row>
        <row r="54">
          <cell r="F54" t="str">
            <v>TGM4X424 MONTHS/100 000 KMEntire VehicleYes</v>
          </cell>
          <cell r="G54">
            <v>5733</v>
          </cell>
          <cell r="N54" t="str">
            <v>TGM4X448 MONTHS/100 000 KMDrivelineYes</v>
          </cell>
          <cell r="O54">
            <v>15435</v>
          </cell>
          <cell r="W54" t="str">
            <v>TGM6X224 MONTHS/200 000 KM36 MONTHS/300 000 KMCombinationYes</v>
          </cell>
          <cell r="X54">
            <v>21315</v>
          </cell>
        </row>
        <row r="55">
          <cell r="F55" t="str">
            <v>TGM4X424 MONTHS/150 000 KMEntire VehicleNo</v>
          </cell>
          <cell r="G55">
            <v>8085</v>
          </cell>
          <cell r="N55" t="str">
            <v>TGM4X448 MONTHS/200 000 KMDrivelineNo</v>
          </cell>
          <cell r="O55">
            <v>22050</v>
          </cell>
          <cell r="W55" t="str">
            <v>TGM6X224 MONTHS/200 000 KM36 MONTHS/450 000 KMCombinationNo</v>
          </cell>
          <cell r="X55">
            <v>34545</v>
          </cell>
        </row>
        <row r="56">
          <cell r="F56" t="str">
            <v>TGM4X424 MONTHS/150 000 KMEntire VehicleYes</v>
          </cell>
          <cell r="G56">
            <v>6615</v>
          </cell>
          <cell r="N56" t="str">
            <v>TGM4X448 MONTHS/200 000 KMDrivelineYes</v>
          </cell>
          <cell r="O56">
            <v>19110</v>
          </cell>
          <cell r="W56" t="str">
            <v>TGM6X224 MONTHS/200 000 KM36 MONTHS/450 000 KMCombinationYes</v>
          </cell>
          <cell r="X56">
            <v>29400</v>
          </cell>
        </row>
        <row r="57">
          <cell r="F57" t="str">
            <v>TGM4X424 MONTHS/200 000 KMEntire VehicleNo</v>
          </cell>
          <cell r="G57">
            <v>9555</v>
          </cell>
          <cell r="N57" t="str">
            <v>TGM4X448 MONTHS/300 000 KMDrivelineNo</v>
          </cell>
          <cell r="O57">
            <v>26460</v>
          </cell>
          <cell r="W57" t="str">
            <v>TGM6X224 MONTHS/200 000 KM60 MONTHS/500 000 KMCombinationNo</v>
          </cell>
          <cell r="X57">
            <v>69090</v>
          </cell>
        </row>
        <row r="58">
          <cell r="F58" t="str">
            <v>TGM4X424 MONTHS/200 000 KMEntire VehicleYes</v>
          </cell>
          <cell r="G58">
            <v>8085</v>
          </cell>
          <cell r="N58" t="str">
            <v>TGM4X448 MONTHS/300 000 KMDrivelineYes</v>
          </cell>
          <cell r="O58">
            <v>22785</v>
          </cell>
          <cell r="W58" t="str">
            <v>TGM6X224 MONTHS/200 000 KM60 MONTHS/500 000 KMCombinationYes</v>
          </cell>
          <cell r="X58">
            <v>59535</v>
          </cell>
        </row>
        <row r="59">
          <cell r="F59" t="str">
            <v>TGM4X424 MONTHS/250 000 KMEntire VehicleNo</v>
          </cell>
          <cell r="G59">
            <v>11025</v>
          </cell>
          <cell r="N59" t="str">
            <v>TGM4X448 MONTHS/400 000 KMDrivelineNo</v>
          </cell>
          <cell r="O59">
            <v>31605</v>
          </cell>
          <cell r="W59" t="str">
            <v>TGM6X224 MONTHS/300 000 KM48 MONTHS/400 000 KMCombinationNo</v>
          </cell>
          <cell r="X59">
            <v>41160</v>
          </cell>
        </row>
        <row r="60">
          <cell r="F60" t="str">
            <v>TGM4X424 MONTHS/250 000 KMEntire VehicleYes</v>
          </cell>
          <cell r="G60">
            <v>9555</v>
          </cell>
          <cell r="N60" t="str">
            <v>TGM4X448 MONTHS/400 000 KMDrivelineYes</v>
          </cell>
          <cell r="O60">
            <v>27195</v>
          </cell>
          <cell r="W60" t="str">
            <v>TGM6X224 MONTHS/300 000 KM48 MONTHS/400 000 KMCombinationYes</v>
          </cell>
          <cell r="X60">
            <v>35280</v>
          </cell>
        </row>
        <row r="61">
          <cell r="F61" t="str">
            <v>TGM4X424 MONTHS/300 000 KMEntire VehicleNo</v>
          </cell>
          <cell r="G61">
            <v>13965</v>
          </cell>
          <cell r="N61" t="str">
            <v>TGM4X448 MONTHS/500 000 KMDrivelineNo</v>
          </cell>
          <cell r="O61">
            <v>35280</v>
          </cell>
          <cell r="W61" t="str">
            <v>TGM6X224 MONTHS/300 000 KM48 MONTHS/600 000 KMCombinationNo</v>
          </cell>
          <cell r="X61">
            <v>54390</v>
          </cell>
        </row>
        <row r="62">
          <cell r="F62" t="str">
            <v>TGM4X424 MONTHS/300 000 KMEntire VehicleYes</v>
          </cell>
          <cell r="G62">
            <v>11760</v>
          </cell>
          <cell r="N62" t="str">
            <v>TGM4X448 MONTHS/500 000 KMDrivelineYes</v>
          </cell>
          <cell r="O62">
            <v>30135</v>
          </cell>
          <cell r="W62" t="str">
            <v>TGM6X224 MONTHS/300 000 KM48 MONTHS/600 000 KMCombinationYes</v>
          </cell>
          <cell r="X62">
            <v>46305</v>
          </cell>
        </row>
        <row r="63">
          <cell r="F63" t="str">
            <v>TGM4X424 MONTHS/50 000 KMEntire VehicleNo</v>
          </cell>
          <cell r="G63">
            <v>5880</v>
          </cell>
          <cell r="N63" t="str">
            <v>TGM4X448 MONTHS/600 000 KMDrivelineNo</v>
          </cell>
          <cell r="O63">
            <v>40425</v>
          </cell>
          <cell r="W63" t="str">
            <v>TGM6X224 MONTHS/300 000 KM60 MONTHS/750 000 KMCombinationNo</v>
          </cell>
          <cell r="X63">
            <v>97020</v>
          </cell>
        </row>
        <row r="64">
          <cell r="F64" t="str">
            <v>TGM4X424 MONTHS/50 000 KMEntire VehicleYes</v>
          </cell>
          <cell r="G64">
            <v>5145</v>
          </cell>
          <cell r="N64" t="str">
            <v>TGM4X448 MONTHS/600 000 KMDrivelineYes</v>
          </cell>
          <cell r="O64">
            <v>34545</v>
          </cell>
          <cell r="W64" t="str">
            <v>TGM6X224 MONTHS/300 000 KM60 MONTHS/750 000 KMCombinationYes</v>
          </cell>
          <cell r="X64">
            <v>83790</v>
          </cell>
        </row>
        <row r="65">
          <cell r="F65" t="str">
            <v>TGM4X436 MONTHS/150 000 KMEntire VehicleNo</v>
          </cell>
          <cell r="G65">
            <v>23520</v>
          </cell>
          <cell r="N65" t="str">
            <v>TGM4X460 MONTHS/125 000 KMDrivelineNo</v>
          </cell>
          <cell r="O65">
            <v>37485</v>
          </cell>
          <cell r="W65" t="str">
            <v>TGM6X236 MONTHS/300 000 KM48 MONTHS/400 000 KMCombinationNo</v>
          </cell>
          <cell r="X65">
            <v>49245</v>
          </cell>
        </row>
        <row r="66">
          <cell r="F66" t="str">
            <v>TGM4X436 MONTHS/150 000 KMEntire VehicleYes</v>
          </cell>
          <cell r="G66">
            <v>19845</v>
          </cell>
          <cell r="N66" t="str">
            <v>TGM4X460 MONTHS/125 000 KMDrivelineYes</v>
          </cell>
          <cell r="O66">
            <v>32340</v>
          </cell>
          <cell r="W66" t="str">
            <v>TGM6X236 MONTHS/300 000 KM48 MONTHS/400 000 KMCombinationYes</v>
          </cell>
          <cell r="X66">
            <v>42630</v>
          </cell>
        </row>
        <row r="67">
          <cell r="F67" t="str">
            <v>TGM4X436 MONTHS/225 000 KMEntire VehicleNo</v>
          </cell>
          <cell r="G67">
            <v>27195</v>
          </cell>
          <cell r="N67" t="str">
            <v>TGM4X460 MONTHS/250 000 KMDrivelineNo</v>
          </cell>
          <cell r="O67">
            <v>44835</v>
          </cell>
          <cell r="W67" t="str">
            <v>TGM6X236 MONTHS/300 000 KM60 MONTHS/500 000 KMCombinationNo</v>
          </cell>
          <cell r="X67">
            <v>77175</v>
          </cell>
        </row>
        <row r="68">
          <cell r="F68" t="str">
            <v>TGM4X436 MONTHS/225 000 KMEntire VehicleYes</v>
          </cell>
          <cell r="G68">
            <v>23520</v>
          </cell>
          <cell r="N68" t="str">
            <v>TGM4X460 MONTHS/250 000 KMDrivelineYes</v>
          </cell>
          <cell r="O68">
            <v>38955</v>
          </cell>
          <cell r="W68" t="str">
            <v>TGM6X236 MONTHS/300 000 KM60 MONTHS/500 000 KMCombinationYes</v>
          </cell>
          <cell r="X68">
            <v>66885</v>
          </cell>
        </row>
        <row r="69">
          <cell r="F69" t="str">
            <v>TGM4X436 MONTHS/300 000 KMEntire VehicleNo</v>
          </cell>
          <cell r="G69">
            <v>33075</v>
          </cell>
          <cell r="N69" t="str">
            <v>TGM4X460 MONTHS/375 000 KMDrivelineNo</v>
          </cell>
          <cell r="O69">
            <v>54390</v>
          </cell>
          <cell r="W69" t="str">
            <v>TGM6X236 MONTHS/450 000 KM48 MONTHS/600 000 KMCombinationNo</v>
          </cell>
          <cell r="X69">
            <v>58800</v>
          </cell>
        </row>
        <row r="70">
          <cell r="F70" t="str">
            <v>TGM4X436 MONTHS/300 000 KMEntire VehicleYes</v>
          </cell>
          <cell r="G70">
            <v>28665</v>
          </cell>
          <cell r="N70" t="str">
            <v>TGM4X460 MONTHS/375 000 KMDrivelineYes</v>
          </cell>
          <cell r="O70">
            <v>47040</v>
          </cell>
          <cell r="W70" t="str">
            <v>TGM6X236 MONTHS/450 000 KM48 MONTHS/600 000 KMCombinationYes</v>
          </cell>
          <cell r="X70">
            <v>50715</v>
          </cell>
        </row>
        <row r="71">
          <cell r="F71" t="str">
            <v>TGM4X436 MONTHS/375 000 KMEntire VehicleNo</v>
          </cell>
          <cell r="G71">
            <v>36015</v>
          </cell>
          <cell r="N71" t="str">
            <v>TGM4X460 MONTHS/500 000 KMDrivelineNo</v>
          </cell>
          <cell r="O71">
            <v>59535</v>
          </cell>
          <cell r="W71" t="str">
            <v>TGM6X236 MONTHS/450 000 KM60 MONTHS/750 000 KMCombinationNo</v>
          </cell>
          <cell r="X71">
            <v>101430</v>
          </cell>
        </row>
        <row r="72">
          <cell r="F72" t="str">
            <v>TGM4X436 MONTHS/375 000 KMEntire VehicleYes</v>
          </cell>
          <cell r="G72">
            <v>30870</v>
          </cell>
          <cell r="N72" t="str">
            <v>TGM4X460 MONTHS/500 000 KMDrivelineYes</v>
          </cell>
          <cell r="O72">
            <v>51450</v>
          </cell>
          <cell r="W72" t="str">
            <v>TGM6X236 MONTHS/450 000 KM60 MONTHS/750 000 KMCombinationYes</v>
          </cell>
          <cell r="X72">
            <v>88200</v>
          </cell>
        </row>
        <row r="73">
          <cell r="F73" t="str">
            <v>TGM4X436 MONTHS/450 000 KMEntire VehicleNo</v>
          </cell>
          <cell r="G73">
            <v>38955</v>
          </cell>
          <cell r="N73" t="str">
            <v>TGM4X460 MONTHS/625 000 KMDrivelineNo</v>
          </cell>
          <cell r="O73">
            <v>69090</v>
          </cell>
          <cell r="W73" t="str">
            <v>TGM6X248 MONTHS/400 000 KM60 MONTHS/500 000 KMCombinationNo</v>
          </cell>
          <cell r="X73">
            <v>76440</v>
          </cell>
        </row>
        <row r="74">
          <cell r="F74" t="str">
            <v>TGM4X436 MONTHS/450 000 KMEntire VehicleYes</v>
          </cell>
          <cell r="G74">
            <v>33810</v>
          </cell>
          <cell r="N74" t="str">
            <v>TGM4X460 MONTHS/625 000 KMDrivelineYes</v>
          </cell>
          <cell r="O74">
            <v>59535</v>
          </cell>
          <cell r="W74" t="str">
            <v>TGM6X248 MONTHS/400 000 KM60 MONTHS/500 000 KMCombinationYes</v>
          </cell>
          <cell r="X74">
            <v>66150</v>
          </cell>
        </row>
        <row r="75">
          <cell r="F75" t="str">
            <v>TGM4X436 MONTHS/75 000 KMEntire VehicleNo</v>
          </cell>
          <cell r="G75">
            <v>19110</v>
          </cell>
          <cell r="N75" t="str">
            <v>TGM4X460 MONTHS/750 000 KMDrivelineNo</v>
          </cell>
          <cell r="O75">
            <v>83055</v>
          </cell>
          <cell r="W75" t="str">
            <v>TGM6X248 MONTHS/600 000 KM60 MONTHS/750 000 KMCombinationNo</v>
          </cell>
          <cell r="X75">
            <v>113190</v>
          </cell>
        </row>
        <row r="76">
          <cell r="F76" t="str">
            <v>TGM4X436 MONTHS/75 000 KMEntire VehicleYes</v>
          </cell>
          <cell r="G76">
            <v>16170</v>
          </cell>
          <cell r="N76" t="str">
            <v>TGM4X460 MONTHS/750 000 KMDrivelineYes</v>
          </cell>
          <cell r="O76">
            <v>72030</v>
          </cell>
          <cell r="W76" t="str">
            <v>TGM6X248 MONTHS/600 000 KM60 MONTHS/750 000 KMCombinationYes</v>
          </cell>
          <cell r="X76">
            <v>98490</v>
          </cell>
        </row>
        <row r="77">
          <cell r="F77" t="str">
            <v>TGM4X448 MONTHS/100 000 KMEntire VehicleNo</v>
          </cell>
          <cell r="G77">
            <v>27195</v>
          </cell>
          <cell r="N77" t="str">
            <v>TGM6X236 MONTHS/150 000 KMDrivelineNo</v>
          </cell>
          <cell r="O77">
            <v>11025</v>
          </cell>
          <cell r="W77" t="str">
            <v>TGM6X424 MONTHS/200 000 KM36 MONTHS/300 000 KMCombinationNo</v>
          </cell>
          <cell r="X77">
            <v>24990</v>
          </cell>
        </row>
        <row r="78">
          <cell r="F78" t="str">
            <v>TGM4X448 MONTHS/100 000 KMEntire VehicleYes</v>
          </cell>
          <cell r="G78">
            <v>23520</v>
          </cell>
          <cell r="N78" t="str">
            <v>TGM6X236 MONTHS/150 000 KMDrivelineYes</v>
          </cell>
          <cell r="O78">
            <v>9555</v>
          </cell>
          <cell r="W78" t="str">
            <v>TGM6X424 MONTHS/200 000 KM36 MONTHS/300 000 KMCombinationYes</v>
          </cell>
          <cell r="X78">
            <v>21315</v>
          </cell>
        </row>
        <row r="79">
          <cell r="F79" t="str">
            <v>TGM4X448 MONTHS/200 000 KMEntire VehicleNo</v>
          </cell>
          <cell r="G79">
            <v>33075</v>
          </cell>
          <cell r="N79" t="str">
            <v>TGM6X236 MONTHS/225 000 KMDrivelineNo</v>
          </cell>
          <cell r="O79">
            <v>13230</v>
          </cell>
          <cell r="W79" t="str">
            <v>TGM6X424 MONTHS/200 000 KM36 MONTHS/450 000 KMCombinationNo</v>
          </cell>
          <cell r="X79">
            <v>34545</v>
          </cell>
        </row>
        <row r="80">
          <cell r="F80" t="str">
            <v>TGM4X448 MONTHS/200 000 KMEntire VehicleYes</v>
          </cell>
          <cell r="G80">
            <v>28665</v>
          </cell>
          <cell r="N80" t="str">
            <v>TGM6X236 MONTHS/225 000 KMDrivelineYes</v>
          </cell>
          <cell r="O80">
            <v>11025</v>
          </cell>
          <cell r="W80" t="str">
            <v>TGM6X424 MONTHS/200 000 KM36 MONTHS/450 000 KMCombinationYes</v>
          </cell>
          <cell r="X80">
            <v>29400</v>
          </cell>
        </row>
        <row r="81">
          <cell r="F81" t="str">
            <v>TGM4X448 MONTHS/300 000 KMEntire VehicleNo</v>
          </cell>
          <cell r="G81">
            <v>40425</v>
          </cell>
          <cell r="N81" t="str">
            <v>TGM6X236 MONTHS/300 000 KMDrivelineNo</v>
          </cell>
          <cell r="O81">
            <v>15435</v>
          </cell>
          <cell r="W81" t="str">
            <v>TGM6X424 MONTHS/200 000 KM60 MONTHS/500 000 KMCombinationNo</v>
          </cell>
          <cell r="X81">
            <v>69090</v>
          </cell>
        </row>
        <row r="82">
          <cell r="F82" t="str">
            <v>TGM4X448 MONTHS/300 000 KMEntire VehicleYes</v>
          </cell>
          <cell r="G82">
            <v>34545</v>
          </cell>
          <cell r="N82" t="str">
            <v>TGM6X236 MONTHS/300 000 KMDrivelineYes</v>
          </cell>
          <cell r="O82">
            <v>13230</v>
          </cell>
          <cell r="W82" t="str">
            <v>TGM6X424 MONTHS/200 000 KM60 MONTHS/500 000 KMCombinationYes</v>
          </cell>
          <cell r="X82">
            <v>59535</v>
          </cell>
        </row>
        <row r="83">
          <cell r="F83" t="str">
            <v>TGM4X448 MONTHS/400 000 KMEntire VehicleNo</v>
          </cell>
          <cell r="G83">
            <v>48510</v>
          </cell>
          <cell r="N83" t="str">
            <v>TGM6X236 MONTHS/375 000 KMDrivelineNo</v>
          </cell>
          <cell r="O83">
            <v>18375</v>
          </cell>
          <cell r="W83" t="str">
            <v>TGM6X424 MONTHS/300 000 KM48 MONTHS/400 000 KMCombinationNo</v>
          </cell>
          <cell r="X83">
            <v>41160</v>
          </cell>
        </row>
        <row r="84">
          <cell r="F84" t="str">
            <v>TGM4X448 MONTHS/400 000 KMEntire VehicleYes</v>
          </cell>
          <cell r="G84">
            <v>41895</v>
          </cell>
          <cell r="N84" t="str">
            <v>TGM6X236 MONTHS/375 000 KMDrivelineYes</v>
          </cell>
          <cell r="O84">
            <v>15435</v>
          </cell>
          <cell r="W84" t="str">
            <v>TGM6X424 MONTHS/300 000 KM48 MONTHS/400 000 KMCombinationYes</v>
          </cell>
          <cell r="X84">
            <v>35280</v>
          </cell>
        </row>
        <row r="85">
          <cell r="F85" t="str">
            <v>TGM4X448 MONTHS/500 000 KMEntire VehicleNo</v>
          </cell>
          <cell r="G85">
            <v>58800</v>
          </cell>
          <cell r="N85" t="str">
            <v>TGM6X236 MONTHS/450 000 KMDrivelineNo</v>
          </cell>
          <cell r="O85">
            <v>20580</v>
          </cell>
          <cell r="W85" t="str">
            <v>TGM6X424 MONTHS/300 000 KM48 MONTHS/600 000 KMCombinationNo</v>
          </cell>
          <cell r="X85">
            <v>54390</v>
          </cell>
        </row>
        <row r="86">
          <cell r="F86" t="str">
            <v>TGM4X448 MONTHS/500 000 KMEntire VehicleYes</v>
          </cell>
          <cell r="G86">
            <v>50715</v>
          </cell>
          <cell r="N86" t="str">
            <v>TGM6X236 MONTHS/450 000 KMDrivelineYes</v>
          </cell>
          <cell r="O86">
            <v>17640</v>
          </cell>
          <cell r="W86" t="str">
            <v>TGM6X424 MONTHS/300 000 KM48 MONTHS/600 000 KMCombinationYes</v>
          </cell>
          <cell r="X86">
            <v>46305</v>
          </cell>
        </row>
        <row r="87">
          <cell r="F87" t="str">
            <v>TGM4X448 MONTHS/600 000 KMEntire VehicleNo</v>
          </cell>
          <cell r="G87">
            <v>70560</v>
          </cell>
          <cell r="N87" t="str">
            <v>TGM6X236 MONTHS/75 000 KMDrivelineNo</v>
          </cell>
          <cell r="O87">
            <v>9555</v>
          </cell>
          <cell r="W87" t="str">
            <v>TGM6X424 MONTHS/300 000 KM60 MONTHS/750 000 KMCombinationNo</v>
          </cell>
          <cell r="X87">
            <v>97020</v>
          </cell>
        </row>
        <row r="88">
          <cell r="F88" t="str">
            <v>TGM4X448 MONTHS/600 000 KMEntire VehicleYes</v>
          </cell>
          <cell r="G88">
            <v>61005</v>
          </cell>
          <cell r="N88" t="str">
            <v>TGM6X236 MONTHS/75 000 KMDrivelineYes</v>
          </cell>
          <cell r="O88">
            <v>8085</v>
          </cell>
          <cell r="W88" t="str">
            <v>TGM6X424 MONTHS/300 000 KM60 MONTHS/750 000 KMCombinationYes</v>
          </cell>
          <cell r="X88">
            <v>83790</v>
          </cell>
        </row>
        <row r="89">
          <cell r="F89" t="str">
            <v>TGM4X460 MONTHS/125 000 KMEntire VehicleNo</v>
          </cell>
          <cell r="G89">
            <v>57330</v>
          </cell>
          <cell r="N89" t="str">
            <v>TGM6X248 MONTHS/100 000 KMDrivelineNo</v>
          </cell>
          <cell r="O89">
            <v>18375</v>
          </cell>
          <cell r="W89" t="str">
            <v>TGM6X436 MONTHS/300 000 KM48 MONTHS/400 000 KMCombinationNo</v>
          </cell>
          <cell r="X89">
            <v>49245</v>
          </cell>
        </row>
        <row r="90">
          <cell r="F90" t="str">
            <v>TGM4X460 MONTHS/125 000 KMEntire VehicleYes</v>
          </cell>
          <cell r="G90">
            <v>49245</v>
          </cell>
          <cell r="N90" t="str">
            <v>TGM6X248 MONTHS/100 000 KMDrivelineYes</v>
          </cell>
          <cell r="O90">
            <v>15435</v>
          </cell>
          <cell r="W90" t="str">
            <v>TGM6X436 MONTHS/300 000 KM48 MONTHS/400 000 KMCombinationYes</v>
          </cell>
          <cell r="X90">
            <v>42630</v>
          </cell>
        </row>
        <row r="91">
          <cell r="F91" t="str">
            <v>TGM4X460 MONTHS/250 000 KMEntire VehicleNo</v>
          </cell>
          <cell r="G91">
            <v>69090</v>
          </cell>
          <cell r="N91" t="str">
            <v>TGM6X248 MONTHS/200 000 KMDrivelineNo</v>
          </cell>
          <cell r="O91">
            <v>22050</v>
          </cell>
          <cell r="W91" t="str">
            <v>TGM6X436 MONTHS/300 000 KM60 MONTHS/500 000 KMCombinationNo</v>
          </cell>
          <cell r="X91">
            <v>77175</v>
          </cell>
        </row>
        <row r="92">
          <cell r="F92" t="str">
            <v>TGM4X460 MONTHS/250 000 KMEntire VehicleYes</v>
          </cell>
          <cell r="G92">
            <v>59535</v>
          </cell>
          <cell r="N92" t="str">
            <v>TGM6X248 MONTHS/200 000 KMDrivelineYes</v>
          </cell>
          <cell r="O92">
            <v>19110</v>
          </cell>
          <cell r="W92" t="str">
            <v>TGM6X436 MONTHS/300 000 KM60 MONTHS/500 000 KMCombinationYes</v>
          </cell>
          <cell r="X92">
            <v>66885</v>
          </cell>
        </row>
        <row r="93">
          <cell r="F93" t="str">
            <v>TGM4X460 MONTHS/375 000 KMEntire VehicleNo</v>
          </cell>
          <cell r="G93">
            <v>83055</v>
          </cell>
          <cell r="N93" t="str">
            <v>TGM6X248 MONTHS/300 000 KMDrivelineNo</v>
          </cell>
          <cell r="O93">
            <v>26460</v>
          </cell>
          <cell r="W93" t="str">
            <v>TGM6X436 MONTHS/450 000 KM48 MONTHS/600 000 KMCombinationNo</v>
          </cell>
          <cell r="X93">
            <v>58800</v>
          </cell>
        </row>
        <row r="94">
          <cell r="F94" t="str">
            <v>TGM4X460 MONTHS/375 000 KMEntire VehicleYes</v>
          </cell>
          <cell r="G94">
            <v>72030</v>
          </cell>
          <cell r="N94" t="str">
            <v>TGM6X248 MONTHS/300 000 KMDrivelineYes</v>
          </cell>
          <cell r="O94">
            <v>22785</v>
          </cell>
          <cell r="W94" t="str">
            <v>TGM6X436 MONTHS/450 000 KM48 MONTHS/600 000 KMCombinationYes</v>
          </cell>
          <cell r="X94">
            <v>50715</v>
          </cell>
        </row>
        <row r="95">
          <cell r="F95" t="str">
            <v>TGM4X460 MONTHS/500 000 KMEntire VehicleNo</v>
          </cell>
          <cell r="G95">
            <v>100695</v>
          </cell>
          <cell r="N95" t="str">
            <v>TGM6X248 MONTHS/400 000 KMDrivelineNo</v>
          </cell>
          <cell r="O95">
            <v>31605</v>
          </cell>
          <cell r="W95" t="str">
            <v>TGM6X436 MONTHS/450 000 KM60 MONTHS/750 000 KMCombinationNo</v>
          </cell>
          <cell r="X95">
            <v>101430</v>
          </cell>
        </row>
        <row r="96">
          <cell r="F96" t="str">
            <v>TGM4X460 MONTHS/500 000 KMEntire VehicleYes</v>
          </cell>
          <cell r="G96">
            <v>87465</v>
          </cell>
          <cell r="N96" t="str">
            <v>TGM6X248 MONTHS/400 000 KMDrivelineYes</v>
          </cell>
          <cell r="O96">
            <v>27195</v>
          </cell>
          <cell r="W96" t="str">
            <v>TGM6X436 MONTHS/450 000 KM60 MONTHS/750 000 KMCombinationYes</v>
          </cell>
          <cell r="X96">
            <v>88200</v>
          </cell>
        </row>
        <row r="97">
          <cell r="F97" t="str">
            <v>TGM4X460 MONTHS/625 000 KMEntire VehicleNo</v>
          </cell>
          <cell r="G97">
            <v>122010</v>
          </cell>
          <cell r="N97" t="str">
            <v>TGM6X248 MONTHS/500 000 KMDrivelineNo</v>
          </cell>
          <cell r="O97">
            <v>35280</v>
          </cell>
          <cell r="W97" t="str">
            <v>TGM6X448 MONTHS/400 000 KM60 MONTHS/500 000 KMCombinationNo</v>
          </cell>
          <cell r="X97">
            <v>76440</v>
          </cell>
        </row>
        <row r="98">
          <cell r="F98" t="str">
            <v>TGM4X460 MONTHS/625 000 KMEntire VehicleYes</v>
          </cell>
          <cell r="G98">
            <v>105840</v>
          </cell>
          <cell r="N98" t="str">
            <v>TGM6X248 MONTHS/500 000 KMDrivelineYes</v>
          </cell>
          <cell r="O98">
            <v>30135</v>
          </cell>
          <cell r="W98" t="str">
            <v>TGM6X448 MONTHS/400 000 KM60 MONTHS/500 000 KMCombinationYes</v>
          </cell>
          <cell r="X98">
            <v>66150</v>
          </cell>
        </row>
        <row r="99">
          <cell r="F99" t="str">
            <v>TGM4X460 MONTHS/750 000 KMEntire VehicleNo</v>
          </cell>
          <cell r="G99">
            <v>147735</v>
          </cell>
          <cell r="N99" t="str">
            <v>TGM6X248 MONTHS/600 000 KMDrivelineNo</v>
          </cell>
          <cell r="O99">
            <v>40425</v>
          </cell>
          <cell r="W99" t="str">
            <v>TGM6X448 MONTHS/600 000 KM60 MONTHS/750 000 KMCombinationNo</v>
          </cell>
          <cell r="X99">
            <v>113190</v>
          </cell>
        </row>
        <row r="100">
          <cell r="F100" t="str">
            <v>TGM4X460 MONTHS/750 000 KMEntire VehicleYes</v>
          </cell>
          <cell r="G100">
            <v>127890</v>
          </cell>
          <cell r="N100" t="str">
            <v>TGM6X248 MONTHS/600 000 KMDrivelineYes</v>
          </cell>
          <cell r="O100">
            <v>34545</v>
          </cell>
          <cell r="W100" t="str">
            <v>TGM6X448 MONTHS/600 000 KM60 MONTHS/750 000 KMCombinationYes</v>
          </cell>
          <cell r="X100">
            <v>98490</v>
          </cell>
        </row>
        <row r="101">
          <cell r="F101" t="str">
            <v>TGM6X224 MONTHS/100 000 KMEntire VehicleNo</v>
          </cell>
          <cell r="G101">
            <v>6615</v>
          </cell>
          <cell r="N101" t="str">
            <v>TGM6X260 MONTHS/125 000 KMDrivelineNo</v>
          </cell>
          <cell r="O101">
            <v>37485</v>
          </cell>
        </row>
        <row r="102">
          <cell r="F102" t="str">
            <v>TGM6X224 MONTHS/100 000 KMEntire VehicleYes</v>
          </cell>
          <cell r="G102">
            <v>5733</v>
          </cell>
          <cell r="N102" t="str">
            <v>TGM6X260 MONTHS/125 000 KMDrivelineYes</v>
          </cell>
          <cell r="O102">
            <v>32340</v>
          </cell>
        </row>
        <row r="103">
          <cell r="F103" t="str">
            <v>TGM6X224 MONTHS/150 000 KMEntire VehicleNo</v>
          </cell>
          <cell r="G103">
            <v>8085</v>
          </cell>
          <cell r="N103" t="str">
            <v>TGM6X260 MONTHS/250 000 KMDrivelineNo</v>
          </cell>
          <cell r="O103">
            <v>44835</v>
          </cell>
        </row>
        <row r="104">
          <cell r="F104" t="str">
            <v>TGM6X224 MONTHS/150 000 KMEntire VehicleYes</v>
          </cell>
          <cell r="G104">
            <v>6615</v>
          </cell>
          <cell r="N104" t="str">
            <v>TGM6X260 MONTHS/250 000 KMDrivelineYes</v>
          </cell>
          <cell r="O104">
            <v>38955</v>
          </cell>
        </row>
        <row r="105">
          <cell r="F105" t="str">
            <v>TGM6X224 MONTHS/200 000 KMEntire VehicleNo</v>
          </cell>
          <cell r="G105">
            <v>9555</v>
          </cell>
          <cell r="N105" t="str">
            <v>TGM6X260 MONTHS/375 000 KMDrivelineNo</v>
          </cell>
          <cell r="O105">
            <v>54390</v>
          </cell>
        </row>
        <row r="106">
          <cell r="F106" t="str">
            <v>TGM6X224 MONTHS/200 000 KMEntire VehicleYes</v>
          </cell>
          <cell r="G106">
            <v>8085</v>
          </cell>
          <cell r="N106" t="str">
            <v>TGM6X260 MONTHS/375 000 KMDrivelineYes</v>
          </cell>
          <cell r="O106">
            <v>47040</v>
          </cell>
        </row>
        <row r="107">
          <cell r="F107" t="str">
            <v>TGM6X224 MONTHS/250 000 KMEntire VehicleNo</v>
          </cell>
          <cell r="G107">
            <v>11025</v>
          </cell>
          <cell r="N107" t="str">
            <v>TGM6X260 MONTHS/500 000 KMDrivelineNo</v>
          </cell>
          <cell r="O107">
            <v>59535</v>
          </cell>
        </row>
        <row r="108">
          <cell r="F108" t="str">
            <v>TGM6X224 MONTHS/250 000 KMEntire VehicleYes</v>
          </cell>
          <cell r="G108">
            <v>9555</v>
          </cell>
          <cell r="N108" t="str">
            <v>TGM6X260 MONTHS/500 000 KMDrivelineYes</v>
          </cell>
          <cell r="O108">
            <v>51450</v>
          </cell>
        </row>
        <row r="109">
          <cell r="F109" t="str">
            <v>TGM6X224 MONTHS/300 000 KMEntire VehicleNo</v>
          </cell>
          <cell r="G109">
            <v>13965</v>
          </cell>
          <cell r="N109" t="str">
            <v>TGM6X260 MONTHS/625 000 KMDrivelineNo</v>
          </cell>
          <cell r="O109">
            <v>69090</v>
          </cell>
        </row>
        <row r="110">
          <cell r="F110" t="str">
            <v>TGM6X224 MONTHS/300 000 KMEntire VehicleYes</v>
          </cell>
          <cell r="G110">
            <v>11760</v>
          </cell>
          <cell r="N110" t="str">
            <v>TGM6X260 MONTHS/625 000 KMDrivelineYes</v>
          </cell>
          <cell r="O110">
            <v>59535</v>
          </cell>
        </row>
        <row r="111">
          <cell r="F111" t="str">
            <v>TGM6X224 MONTHS/50 000 KMEntire VehicleNo</v>
          </cell>
          <cell r="G111">
            <v>5880</v>
          </cell>
          <cell r="N111" t="str">
            <v>TGM6X260 MONTHS/750 000 KMDrivelineNo</v>
          </cell>
          <cell r="O111">
            <v>83055</v>
          </cell>
        </row>
        <row r="112">
          <cell r="F112" t="str">
            <v>TGM6X224 MONTHS/50 000 KMEntire VehicleYes</v>
          </cell>
          <cell r="G112">
            <v>5145</v>
          </cell>
          <cell r="N112" t="str">
            <v>TGM6X260 MONTHS/750 000 KMDrivelineYes</v>
          </cell>
          <cell r="O112">
            <v>72030</v>
          </cell>
        </row>
        <row r="113">
          <cell r="F113" t="str">
            <v>TGM6X236 MONTHS/150 000 KMEntire VehicleNo</v>
          </cell>
          <cell r="G113">
            <v>23520</v>
          </cell>
          <cell r="N113" t="str">
            <v>TGM6X436 MONTHS/150 000 KMDrivelineNo</v>
          </cell>
          <cell r="O113">
            <v>11025</v>
          </cell>
        </row>
        <row r="114">
          <cell r="F114" t="str">
            <v>TGM6X236 MONTHS/150 000 KMEntire VehicleYes</v>
          </cell>
          <cell r="G114">
            <v>19845</v>
          </cell>
          <cell r="N114" t="str">
            <v>TGM6X436 MONTHS/150 000 KMDrivelineYes</v>
          </cell>
          <cell r="O114">
            <v>9555</v>
          </cell>
        </row>
        <row r="115">
          <cell r="F115" t="str">
            <v>TGM6X236 MONTHS/225 000 KMEntire VehicleNo</v>
          </cell>
          <cell r="G115">
            <v>27195</v>
          </cell>
          <cell r="N115" t="str">
            <v>TGM6X436 MONTHS/225 000 KMDrivelineNo</v>
          </cell>
          <cell r="O115">
            <v>13230</v>
          </cell>
        </row>
        <row r="116">
          <cell r="F116" t="str">
            <v>TGM6X236 MONTHS/225 000 KMEntire VehicleYes</v>
          </cell>
          <cell r="G116">
            <v>23520</v>
          </cell>
          <cell r="N116" t="str">
            <v>TGM6X436 MONTHS/225 000 KMDrivelineYes</v>
          </cell>
          <cell r="O116">
            <v>11025</v>
          </cell>
        </row>
        <row r="117">
          <cell r="F117" t="str">
            <v>TGM6X236 MONTHS/300 000 KMEntire VehicleNo</v>
          </cell>
          <cell r="G117">
            <v>33075</v>
          </cell>
          <cell r="N117" t="str">
            <v>TGM6X436 MONTHS/300 000 KMDrivelineNo</v>
          </cell>
          <cell r="O117">
            <v>15435</v>
          </cell>
        </row>
        <row r="118">
          <cell r="F118" t="str">
            <v>TGM6X236 MONTHS/300 000 KMEntire VehicleYes</v>
          </cell>
          <cell r="G118">
            <v>28665</v>
          </cell>
          <cell r="N118" t="str">
            <v>TGM6X436 MONTHS/300 000 KMDrivelineYes</v>
          </cell>
          <cell r="O118">
            <v>13230</v>
          </cell>
        </row>
        <row r="119">
          <cell r="F119" t="str">
            <v>TGM6X236 MONTHS/375 000 KMEntire VehicleNo</v>
          </cell>
          <cell r="G119">
            <v>36015</v>
          </cell>
          <cell r="N119" t="str">
            <v>TGM6X436 MONTHS/375 000 KMDrivelineNo</v>
          </cell>
          <cell r="O119">
            <v>18375</v>
          </cell>
        </row>
        <row r="120">
          <cell r="F120" t="str">
            <v>TGM6X236 MONTHS/375 000 KMEntire VehicleYes</v>
          </cell>
          <cell r="G120">
            <v>30870</v>
          </cell>
          <cell r="N120" t="str">
            <v>TGM6X436 MONTHS/375 000 KMDrivelineYes</v>
          </cell>
          <cell r="O120">
            <v>15435</v>
          </cell>
        </row>
        <row r="121">
          <cell r="F121" t="str">
            <v>TGM6X236 MONTHS/450 000 KMEntire VehicleNo</v>
          </cell>
          <cell r="G121">
            <v>38955</v>
          </cell>
          <cell r="N121" t="str">
            <v>TGM6X436 MONTHS/450 000 KMDrivelineNo</v>
          </cell>
          <cell r="O121">
            <v>20580</v>
          </cell>
        </row>
        <row r="122">
          <cell r="F122" t="str">
            <v>TGM6X236 MONTHS/450 000 KMEntire VehicleYes</v>
          </cell>
          <cell r="G122">
            <v>33810</v>
          </cell>
          <cell r="N122" t="str">
            <v>TGM6X436 MONTHS/450 000 KMDrivelineYes</v>
          </cell>
          <cell r="O122">
            <v>17640</v>
          </cell>
        </row>
        <row r="123">
          <cell r="F123" t="str">
            <v>TGM6X236 MONTHS/75 000 KMEntire VehicleNo</v>
          </cell>
          <cell r="G123">
            <v>19110</v>
          </cell>
          <cell r="N123" t="str">
            <v>TGM6X436 MONTHS/75 000 KMDrivelineNo</v>
          </cell>
          <cell r="O123">
            <v>9555</v>
          </cell>
        </row>
        <row r="124">
          <cell r="F124" t="str">
            <v>TGM6X236 MONTHS/75 000 KMEntire VehicleYes</v>
          </cell>
          <cell r="G124">
            <v>16170</v>
          </cell>
          <cell r="N124" t="str">
            <v>TGM6X436 MONTHS/75 000 KMDrivelineYes</v>
          </cell>
          <cell r="O124">
            <v>8085</v>
          </cell>
        </row>
        <row r="125">
          <cell r="F125" t="str">
            <v>TGM6X248 MONTHS/100 000 KMEntire VehicleNo</v>
          </cell>
          <cell r="G125">
            <v>27195</v>
          </cell>
          <cell r="N125" t="str">
            <v>TGM6X448 MONTHS/100 000 KMDrivelineNo</v>
          </cell>
          <cell r="O125">
            <v>18375</v>
          </cell>
        </row>
        <row r="126">
          <cell r="F126" t="str">
            <v>TGM6X248 MONTHS/100 000 KMEntire VehicleYes</v>
          </cell>
          <cell r="G126">
            <v>23520</v>
          </cell>
          <cell r="N126" t="str">
            <v>TGM6X448 MONTHS/100 000 KMDrivelineYes</v>
          </cell>
          <cell r="O126">
            <v>15435</v>
          </cell>
        </row>
        <row r="127">
          <cell r="F127" t="str">
            <v>TGM6X248 MONTHS/200 000 KMEntire VehicleNo</v>
          </cell>
          <cell r="G127">
            <v>33075</v>
          </cell>
          <cell r="N127" t="str">
            <v>TGM6X448 MONTHS/200 000 KMDrivelineNo</v>
          </cell>
          <cell r="O127">
            <v>22050</v>
          </cell>
        </row>
        <row r="128">
          <cell r="F128" t="str">
            <v>TGM6X248 MONTHS/200 000 KMEntire VehicleYes</v>
          </cell>
          <cell r="G128">
            <v>28665</v>
          </cell>
          <cell r="N128" t="str">
            <v>TGM6X448 MONTHS/200 000 KMDrivelineYes</v>
          </cell>
          <cell r="O128">
            <v>19110</v>
          </cell>
        </row>
        <row r="129">
          <cell r="F129" t="str">
            <v>TGM6X248 MONTHS/300 000 KMEntire VehicleNo</v>
          </cell>
          <cell r="G129">
            <v>40425</v>
          </cell>
          <cell r="N129" t="str">
            <v>TGM6X448 MONTHS/300 000 KMDrivelineNo</v>
          </cell>
          <cell r="O129">
            <v>26460</v>
          </cell>
        </row>
        <row r="130">
          <cell r="F130" t="str">
            <v>TGM6X248 MONTHS/300 000 KMEntire VehicleYes</v>
          </cell>
          <cell r="G130">
            <v>34545</v>
          </cell>
          <cell r="N130" t="str">
            <v>TGM6X448 MONTHS/300 000 KMDrivelineYes</v>
          </cell>
          <cell r="O130">
            <v>22785</v>
          </cell>
        </row>
        <row r="131">
          <cell r="F131" t="str">
            <v>TGM6X248 MONTHS/400 000 KMEntire VehicleNo</v>
          </cell>
          <cell r="G131">
            <v>48510</v>
          </cell>
          <cell r="N131" t="str">
            <v>TGM6X448 MONTHS/400 000 KMDrivelineNo</v>
          </cell>
          <cell r="O131">
            <v>31605</v>
          </cell>
        </row>
        <row r="132">
          <cell r="F132" t="str">
            <v>TGM6X248 MONTHS/400 000 KMEntire VehicleYes</v>
          </cell>
          <cell r="G132">
            <v>41895</v>
          </cell>
          <cell r="N132" t="str">
            <v>TGM6X448 MONTHS/400 000 KMDrivelineYes</v>
          </cell>
          <cell r="O132">
            <v>27195</v>
          </cell>
        </row>
        <row r="133">
          <cell r="F133" t="str">
            <v>TGM6X248 MONTHS/500 000 KMEntire VehicleNo</v>
          </cell>
          <cell r="G133">
            <v>58800</v>
          </cell>
          <cell r="N133" t="str">
            <v>TGM6X448 MONTHS/500 000 KMDrivelineNo</v>
          </cell>
          <cell r="O133">
            <v>35280</v>
          </cell>
        </row>
        <row r="134">
          <cell r="F134" t="str">
            <v>TGM6X248 MONTHS/500 000 KMEntire VehicleYes</v>
          </cell>
          <cell r="G134">
            <v>50715</v>
          </cell>
          <cell r="N134" t="str">
            <v>TGM6X448 MONTHS/500 000 KMDrivelineYes</v>
          </cell>
          <cell r="O134">
            <v>30135</v>
          </cell>
        </row>
        <row r="135">
          <cell r="F135" t="str">
            <v>TGM6X248 MONTHS/600 000 KMEntire VehicleNo</v>
          </cell>
          <cell r="G135">
            <v>70560</v>
          </cell>
          <cell r="N135" t="str">
            <v>TGM6X448 MONTHS/600 000 KMDrivelineNo</v>
          </cell>
          <cell r="O135">
            <v>40425</v>
          </cell>
        </row>
        <row r="136">
          <cell r="F136" t="str">
            <v>TGM6X248 MONTHS/600 000 KMEntire VehicleYes</v>
          </cell>
          <cell r="G136">
            <v>61005</v>
          </cell>
          <cell r="N136" t="str">
            <v>TGM6X448 MONTHS/600 000 KMDrivelineYes</v>
          </cell>
          <cell r="O136">
            <v>34545</v>
          </cell>
        </row>
        <row r="137">
          <cell r="F137" t="str">
            <v>TGM6X260 MONTHS/125 000 KMEntire VehicleNo</v>
          </cell>
          <cell r="G137">
            <v>57330</v>
          </cell>
          <cell r="N137" t="str">
            <v>TGM6X460 MONTHS/125 000 KMDrivelineNo</v>
          </cell>
          <cell r="O137">
            <v>37485</v>
          </cell>
        </row>
        <row r="138">
          <cell r="F138" t="str">
            <v>TGM6X260 MONTHS/125 000 KMEntire VehicleYes</v>
          </cell>
          <cell r="G138">
            <v>49245</v>
          </cell>
          <cell r="N138" t="str">
            <v>TGM6X460 MONTHS/125 000 KMDrivelineYes</v>
          </cell>
          <cell r="O138">
            <v>32340</v>
          </cell>
        </row>
        <row r="139">
          <cell r="F139" t="str">
            <v>TGM6X260 MONTHS/250 000 KMEntire VehicleNo</v>
          </cell>
          <cell r="G139">
            <v>69090</v>
          </cell>
          <cell r="N139" t="str">
            <v>TGM6X460 MONTHS/250 000 KMDrivelineNo</v>
          </cell>
          <cell r="O139">
            <v>44835</v>
          </cell>
        </row>
        <row r="140">
          <cell r="F140" t="str">
            <v>TGM6X260 MONTHS/250 000 KMEntire VehicleYes</v>
          </cell>
          <cell r="G140">
            <v>59535</v>
          </cell>
          <cell r="N140" t="str">
            <v>TGM6X460 MONTHS/250 000 KMDrivelineYes</v>
          </cell>
          <cell r="O140">
            <v>38955</v>
          </cell>
        </row>
        <row r="141">
          <cell r="F141" t="str">
            <v>TGM6X260 MONTHS/375 000 KMEntire VehicleNo</v>
          </cell>
          <cell r="G141">
            <v>83055</v>
          </cell>
          <cell r="N141" t="str">
            <v>TGM6X460 MONTHS/375 000 KMDrivelineNo</v>
          </cell>
          <cell r="O141">
            <v>54390</v>
          </cell>
        </row>
        <row r="142">
          <cell r="F142" t="str">
            <v>TGM6X260 MONTHS/375 000 KMEntire VehicleYes</v>
          </cell>
          <cell r="G142">
            <v>72030</v>
          </cell>
          <cell r="N142" t="str">
            <v>TGM6X460 MONTHS/375 000 KMDrivelineYes</v>
          </cell>
          <cell r="O142">
            <v>47040</v>
          </cell>
        </row>
        <row r="143">
          <cell r="F143" t="str">
            <v>TGM6X260 MONTHS/500 000 KMEntire VehicleNo</v>
          </cell>
          <cell r="G143">
            <v>100695</v>
          </cell>
          <cell r="N143" t="str">
            <v>TGM6X460 MONTHS/500 000 KMDrivelineNo</v>
          </cell>
          <cell r="O143">
            <v>59535</v>
          </cell>
        </row>
        <row r="144">
          <cell r="F144" t="str">
            <v>TGM6X260 MONTHS/500 000 KMEntire VehicleYes</v>
          </cell>
          <cell r="G144">
            <v>87465</v>
          </cell>
          <cell r="N144" t="str">
            <v>TGM6X460 MONTHS/500 000 KMDrivelineYes</v>
          </cell>
          <cell r="O144">
            <v>51450</v>
          </cell>
        </row>
        <row r="145">
          <cell r="F145" t="str">
            <v>TGM6X260 MONTHS/625 000 KMEntire VehicleNo</v>
          </cell>
          <cell r="G145">
            <v>122010</v>
          </cell>
          <cell r="N145" t="str">
            <v>TGM6X460 MONTHS/625 000 KMDrivelineNo</v>
          </cell>
          <cell r="O145">
            <v>69090</v>
          </cell>
        </row>
        <row r="146">
          <cell r="F146" t="str">
            <v>TGM6X260 MONTHS/625 000 KMEntire VehicleYes</v>
          </cell>
          <cell r="G146">
            <v>105840</v>
          </cell>
          <cell r="N146" t="str">
            <v>TGM6X460 MONTHS/625 000 KMDrivelineYes</v>
          </cell>
          <cell r="O146">
            <v>59535</v>
          </cell>
        </row>
        <row r="147">
          <cell r="F147" t="str">
            <v>TGM6X260 MONTHS/750 000 KMEntire VehicleNo</v>
          </cell>
          <cell r="G147">
            <v>147735</v>
          </cell>
          <cell r="N147" t="str">
            <v>TGM6X460 MONTHS/750 000 KMDrivelineNo</v>
          </cell>
          <cell r="O147">
            <v>83055</v>
          </cell>
        </row>
        <row r="148">
          <cell r="F148" t="str">
            <v>TGM6X260 MONTHS/750 000 KMEntire VehicleYes</v>
          </cell>
          <cell r="G148">
            <v>127890</v>
          </cell>
          <cell r="N148" t="str">
            <v>TGM6X460 MONTHS/750 000 KMDrivelineYes</v>
          </cell>
          <cell r="O148">
            <v>72030</v>
          </cell>
        </row>
        <row r="149">
          <cell r="F149" t="str">
            <v>TGM6X424 MONTHS/100 000 KMEntire VehicleNo</v>
          </cell>
          <cell r="G149">
            <v>6615</v>
          </cell>
        </row>
        <row r="150">
          <cell r="F150" t="str">
            <v>TGM6X424 MONTHS/100 000 KMEntire VehicleYes</v>
          </cell>
          <cell r="G150">
            <v>5733</v>
          </cell>
        </row>
        <row r="151">
          <cell r="F151" t="str">
            <v>TGM6X424 MONTHS/150 000 KMEntire VehicleNo</v>
          </cell>
          <cell r="G151">
            <v>8085</v>
          </cell>
        </row>
        <row r="152">
          <cell r="F152" t="str">
            <v>TGM6X424 MONTHS/150 000 KMEntire VehicleYes</v>
          </cell>
          <cell r="G152">
            <v>6615</v>
          </cell>
        </row>
        <row r="153">
          <cell r="F153" t="str">
            <v>TGM6X424 MONTHS/200 000 KMEntire VehicleNo</v>
          </cell>
          <cell r="G153">
            <v>9555</v>
          </cell>
        </row>
        <row r="154">
          <cell r="F154" t="str">
            <v>TGM6X424 MONTHS/200 000 KMEntire VehicleYes</v>
          </cell>
          <cell r="G154">
            <v>8085</v>
          </cell>
        </row>
        <row r="155">
          <cell r="F155" t="str">
            <v>TGM6X424 MONTHS/250 000 KMEntire VehicleNo</v>
          </cell>
          <cell r="G155">
            <v>11025</v>
          </cell>
        </row>
        <row r="156">
          <cell r="F156" t="str">
            <v>TGM6X424 MONTHS/250 000 KMEntire VehicleYes</v>
          </cell>
          <cell r="G156">
            <v>9555</v>
          </cell>
        </row>
        <row r="157">
          <cell r="F157" t="str">
            <v>TGM6X424 MONTHS/300 000 KMEntire VehicleNo</v>
          </cell>
          <cell r="G157">
            <v>13965</v>
          </cell>
        </row>
        <row r="158">
          <cell r="F158" t="str">
            <v>TGM6X424 MONTHS/300 000 KMEntire VehicleYes</v>
          </cell>
          <cell r="G158">
            <v>11760</v>
          </cell>
        </row>
        <row r="159">
          <cell r="F159" t="str">
            <v>TGM6X424 MONTHS/50 000 KMEntire VehicleNo</v>
          </cell>
          <cell r="G159">
            <v>5880</v>
          </cell>
        </row>
        <row r="160">
          <cell r="F160" t="str">
            <v>TGM6X424 MONTHS/50 000 KMEntire VehicleYes</v>
          </cell>
          <cell r="G160">
            <v>5145</v>
          </cell>
        </row>
        <row r="161">
          <cell r="F161" t="str">
            <v>TGM6X436 MONTHS/150 000 KMEntire VehicleNo</v>
          </cell>
          <cell r="G161">
            <v>23520</v>
          </cell>
        </row>
        <row r="162">
          <cell r="F162" t="str">
            <v>TGM6X436 MONTHS/150 000 KMEntire VehicleYes</v>
          </cell>
          <cell r="G162">
            <v>19845</v>
          </cell>
        </row>
        <row r="163">
          <cell r="F163" t="str">
            <v>TGM6X436 MONTHS/225 000 KMEntire VehicleNo</v>
          </cell>
          <cell r="G163">
            <v>27195</v>
          </cell>
        </row>
        <row r="164">
          <cell r="F164" t="str">
            <v>TGM6X436 MONTHS/225 000 KMEntire VehicleYes</v>
          </cell>
          <cell r="G164">
            <v>23520</v>
          </cell>
        </row>
        <row r="165">
          <cell r="F165" t="str">
            <v>TGM6X436 MONTHS/300 000 KMEntire VehicleNo</v>
          </cell>
          <cell r="G165">
            <v>33075</v>
          </cell>
        </row>
        <row r="166">
          <cell r="F166" t="str">
            <v>TGM6X436 MONTHS/300 000 KMEntire VehicleYes</v>
          </cell>
          <cell r="G166">
            <v>28665</v>
          </cell>
        </row>
        <row r="167">
          <cell r="F167" t="str">
            <v>TGM6X436 MONTHS/375 000 KMEntire VehicleNo</v>
          </cell>
          <cell r="G167">
            <v>36015</v>
          </cell>
        </row>
        <row r="168">
          <cell r="F168" t="str">
            <v>TGM6X436 MONTHS/375 000 KMEntire VehicleYes</v>
          </cell>
          <cell r="G168">
            <v>30870</v>
          </cell>
        </row>
        <row r="169">
          <cell r="F169" t="str">
            <v>TGM6X436 MONTHS/450 000 KMEntire VehicleNo</v>
          </cell>
          <cell r="G169">
            <v>38955</v>
          </cell>
        </row>
        <row r="170">
          <cell r="F170" t="str">
            <v>TGM6X436 MONTHS/450 000 KMEntire VehicleYes</v>
          </cell>
          <cell r="G170">
            <v>33810</v>
          </cell>
        </row>
        <row r="171">
          <cell r="F171" t="str">
            <v>TGM6X436 MONTHS/75 000 KMEntire VehicleNo</v>
          </cell>
          <cell r="G171">
            <v>19110</v>
          </cell>
        </row>
        <row r="172">
          <cell r="F172" t="str">
            <v>TGM6X436 MONTHS/75 000 KMEntire VehicleYes</v>
          </cell>
          <cell r="G172">
            <v>16170</v>
          </cell>
        </row>
        <row r="173">
          <cell r="F173" t="str">
            <v>TGM6X448 MONTHS/100 000 KMEntire VehicleNo</v>
          </cell>
          <cell r="G173">
            <v>27195</v>
          </cell>
        </row>
        <row r="174">
          <cell r="F174" t="str">
            <v>TGM6X448 MONTHS/100 000 KMEntire VehicleYes</v>
          </cell>
          <cell r="G174">
            <v>23520</v>
          </cell>
        </row>
        <row r="175">
          <cell r="F175" t="str">
            <v>TGM6X448 MONTHS/200 000 KMEntire VehicleNo</v>
          </cell>
          <cell r="G175">
            <v>33075</v>
          </cell>
        </row>
        <row r="176">
          <cell r="F176" t="str">
            <v>TGM6X448 MONTHS/200 000 KMEntire VehicleYes</v>
          </cell>
          <cell r="G176">
            <v>28665</v>
          </cell>
        </row>
        <row r="177">
          <cell r="F177" t="str">
            <v>TGM6X448 MONTHS/300 000 KMEntire VehicleNo</v>
          </cell>
          <cell r="G177">
            <v>40425</v>
          </cell>
        </row>
        <row r="178">
          <cell r="F178" t="str">
            <v>TGM6X448 MONTHS/300 000 KMEntire VehicleYes</v>
          </cell>
          <cell r="G178">
            <v>34545</v>
          </cell>
        </row>
        <row r="179">
          <cell r="F179" t="str">
            <v>TGM6X448 MONTHS/400 000 KMEntire VehicleNo</v>
          </cell>
          <cell r="G179">
            <v>48510</v>
          </cell>
        </row>
        <row r="180">
          <cell r="F180" t="str">
            <v>TGM6X448 MONTHS/400 000 KMEntire VehicleYes</v>
          </cell>
          <cell r="G180">
            <v>41895</v>
          </cell>
        </row>
        <row r="181">
          <cell r="F181" t="str">
            <v>TGM6X448 MONTHS/500 000 KMEntire VehicleNo</v>
          </cell>
          <cell r="G181">
            <v>58800</v>
          </cell>
        </row>
        <row r="182">
          <cell r="F182" t="str">
            <v>TGM6X448 MONTHS/500 000 KMEntire VehicleYes</v>
          </cell>
          <cell r="G182">
            <v>50715</v>
          </cell>
        </row>
        <row r="183">
          <cell r="F183" t="str">
            <v>TGM6X448 MONTHS/600 000 KMEntire VehicleNo</v>
          </cell>
          <cell r="G183">
            <v>70560</v>
          </cell>
        </row>
        <row r="184">
          <cell r="F184" t="str">
            <v>TGM6X448 MONTHS/600 000 KMEntire VehicleYes</v>
          </cell>
          <cell r="G184">
            <v>61005</v>
          </cell>
        </row>
        <row r="185">
          <cell r="F185" t="str">
            <v>TGM6X460 MONTHS/125 000 KMEntire VehicleNo</v>
          </cell>
          <cell r="G185">
            <v>57330</v>
          </cell>
        </row>
        <row r="186">
          <cell r="F186" t="str">
            <v>TGM6X460 MONTHS/125 000 KMEntire VehicleYes</v>
          </cell>
          <cell r="G186">
            <v>49245</v>
          </cell>
        </row>
        <row r="187">
          <cell r="F187" t="str">
            <v>TGM6X460 MONTHS/250 000 KMEntire VehicleNo</v>
          </cell>
          <cell r="G187">
            <v>69090</v>
          </cell>
        </row>
        <row r="188">
          <cell r="F188" t="str">
            <v>TGM6X460 MONTHS/250 000 KMEntire VehicleYes</v>
          </cell>
          <cell r="G188">
            <v>59535</v>
          </cell>
        </row>
        <row r="189">
          <cell r="F189" t="str">
            <v>TGM6X460 MONTHS/375 000 KMEntire VehicleNo</v>
          </cell>
          <cell r="G189">
            <v>83055</v>
          </cell>
        </row>
        <row r="190">
          <cell r="F190" t="str">
            <v>TGM6X460 MONTHS/375 000 KMEntire VehicleYes</v>
          </cell>
          <cell r="G190">
            <v>72030</v>
          </cell>
        </row>
        <row r="191">
          <cell r="F191" t="str">
            <v>TGM6X460 MONTHS/500 000 KMEntire VehicleNo</v>
          </cell>
          <cell r="G191">
            <v>100695</v>
          </cell>
        </row>
        <row r="192">
          <cell r="F192" t="str">
            <v>TGM6X460 MONTHS/500 000 KMEntire VehicleYes</v>
          </cell>
          <cell r="G192">
            <v>87465</v>
          </cell>
        </row>
        <row r="193">
          <cell r="F193" t="str">
            <v>TGM6X460 MONTHS/625 000 KMEntire VehicleNo</v>
          </cell>
          <cell r="G193">
            <v>122010</v>
          </cell>
        </row>
        <row r="194">
          <cell r="F194" t="str">
            <v>TGM6X460 MONTHS/625 000 KMEntire VehicleYes</v>
          </cell>
          <cell r="G194">
            <v>105840</v>
          </cell>
        </row>
        <row r="195">
          <cell r="F195" t="str">
            <v>TGM6X460 MONTHS/750 000 KMEntire VehicleNo</v>
          </cell>
          <cell r="G195">
            <v>147735</v>
          </cell>
        </row>
        <row r="196">
          <cell r="F196" t="str">
            <v>TGM6X460 MONTHS/750 000 KMEntire VehicleYes</v>
          </cell>
          <cell r="G196">
            <v>127890</v>
          </cell>
        </row>
      </sheetData>
      <sheetData sheetId="6">
        <row r="5">
          <cell r="G5" t="str">
            <v>TGS4X224 MONTHS/300 000 KM36 MONTHS/450 000 KMCombinationNo</v>
          </cell>
          <cell r="H5">
            <v>30135</v>
          </cell>
          <cell r="AC5" t="str">
            <v>TGS4X224 MONTHS/150 000 KMEntire VehicleNo</v>
          </cell>
          <cell r="AD5">
            <v>7350</v>
          </cell>
          <cell r="AK5" t="str">
            <v>TGS4X236 MONTHS/225 000 KMDrivelineNo</v>
          </cell>
          <cell r="AL5">
            <v>9555</v>
          </cell>
        </row>
        <row r="6">
          <cell r="G6" t="str">
            <v>TGS4X224 MONTHS/300 000 KM36 MONTHS/450 000 KMCombinationYes</v>
          </cell>
          <cell r="H6">
            <v>25725</v>
          </cell>
          <cell r="AC6" t="str">
            <v>TGS4X224 MONTHS/150 000 KMEntire VehicleYes</v>
          </cell>
          <cell r="AD6">
            <v>5880</v>
          </cell>
          <cell r="AK6" t="str">
            <v>TGS4X236 MONTHS/225 000 KMDrivelineYes</v>
          </cell>
          <cell r="AL6">
            <v>8085</v>
          </cell>
        </row>
        <row r="7">
          <cell r="G7" t="str">
            <v>TGS4X224 MONTHS/300 000 KM48 MONTHS/600 000 KMCombinationNo</v>
          </cell>
          <cell r="H7">
            <v>47040</v>
          </cell>
          <cell r="AC7" t="str">
            <v>TGS4X224 MONTHS/200 000 KMEntire VehicleNo</v>
          </cell>
          <cell r="AD7">
            <v>8820</v>
          </cell>
          <cell r="AK7" t="str">
            <v>TGS4X236 MONTHS/300 000 KMDrivelineNo</v>
          </cell>
          <cell r="AL7">
            <v>11025</v>
          </cell>
        </row>
        <row r="8">
          <cell r="G8" t="str">
            <v>TGS4X224 MONTHS/300 000 KM48 MONTHS/600 000 KMCombinationYes</v>
          </cell>
          <cell r="H8">
            <v>40425</v>
          </cell>
          <cell r="AC8" t="str">
            <v>TGS4X224 MONTHS/200 000 KMEntire VehicleYes</v>
          </cell>
          <cell r="AD8">
            <v>7350</v>
          </cell>
          <cell r="AK8" t="str">
            <v>TGS4X236 MONTHS/300 000 KMDrivelineYes</v>
          </cell>
          <cell r="AL8">
            <v>9555</v>
          </cell>
        </row>
        <row r="9">
          <cell r="G9" t="str">
            <v>TGS4X224 MONTHS/300 000 KM60 MONTHS/750 000 KMCombinationNo</v>
          </cell>
          <cell r="H9">
            <v>69825</v>
          </cell>
          <cell r="AC9" t="str">
            <v>TGS4X224 MONTHS/250 000 KMEntire VehicleNo</v>
          </cell>
          <cell r="AD9">
            <v>11025</v>
          </cell>
          <cell r="AK9" t="str">
            <v>TGS4X236 MONTHS/375 000 KMDrivelineNo</v>
          </cell>
          <cell r="AL9">
            <v>13965</v>
          </cell>
        </row>
        <row r="10">
          <cell r="G10" t="str">
            <v>TGS4X224 MONTHS/300 000 KM60 MONTHS/750 000 KMCombinationYes</v>
          </cell>
          <cell r="H10">
            <v>60270</v>
          </cell>
          <cell r="AC10" t="str">
            <v>TGS4X224 MONTHS/250 000 KMEntire VehicleYes</v>
          </cell>
          <cell r="AD10">
            <v>9555</v>
          </cell>
          <cell r="AK10" t="str">
            <v>TGS4X236 MONTHS/375 000 KMDrivelineYes</v>
          </cell>
          <cell r="AL10">
            <v>11760</v>
          </cell>
        </row>
        <row r="11">
          <cell r="G11" t="str">
            <v>TGS4X224 MONTHS/400 000 KM36 MONTHS/600 000 KMCombinationNo</v>
          </cell>
          <cell r="H11">
            <v>38220</v>
          </cell>
          <cell r="AC11" t="str">
            <v>TGS4X224 MONTHS/300 000 KMEntire VehicleNo</v>
          </cell>
          <cell r="AD11">
            <v>13965</v>
          </cell>
          <cell r="AK11" t="str">
            <v>TGS4X236 MONTHS/450 000 KMDrivelineNo</v>
          </cell>
          <cell r="AL11">
            <v>16170</v>
          </cell>
        </row>
        <row r="12">
          <cell r="G12" t="str">
            <v>TGS4X224 MONTHS/400 000 KM36 MONTHS/600 000 KMCombinationYes</v>
          </cell>
          <cell r="H12">
            <v>33075</v>
          </cell>
          <cell r="AC12" t="str">
            <v>TGS4X224 MONTHS/300 000 KMEntire VehicleYes</v>
          </cell>
          <cell r="AD12">
            <v>11760</v>
          </cell>
          <cell r="AK12" t="str">
            <v>TGS4X236 MONTHS/450 000 KMDrivelineYes</v>
          </cell>
          <cell r="AL12">
            <v>13965</v>
          </cell>
        </row>
        <row r="13">
          <cell r="G13" t="str">
            <v>TGS4X224 MONTHS/400 000 KM48 MONTHS/800 000 KMCombinationNo</v>
          </cell>
          <cell r="H13">
            <v>68355</v>
          </cell>
          <cell r="AC13" t="str">
            <v>TGS4X224 MONTHS/350 000 KMEntire VehicleNo</v>
          </cell>
          <cell r="AD13">
            <v>15435</v>
          </cell>
          <cell r="AK13" t="str">
            <v>TGS4X236 MONTHS/525 000 KMDrivelineNo</v>
          </cell>
          <cell r="AL13">
            <v>19110</v>
          </cell>
        </row>
        <row r="14">
          <cell r="G14" t="str">
            <v>TGS4X224 MONTHS/400 000 KM48 MONTHS/800 000 KMCombinationYes</v>
          </cell>
          <cell r="H14">
            <v>58800</v>
          </cell>
          <cell r="AC14" t="str">
            <v>TGS4X224 MONTHS/350 000 KMEntire VehicleYes</v>
          </cell>
          <cell r="AD14">
            <v>13230</v>
          </cell>
          <cell r="AK14" t="str">
            <v>TGS4X236 MONTHS/525 000 KMDrivelineYes</v>
          </cell>
          <cell r="AL14">
            <v>16170</v>
          </cell>
        </row>
        <row r="15">
          <cell r="G15" t="str">
            <v>TGS4X224 MONTHS/400 000 KM60 MONTHS/1000 000 KMCombinationNo</v>
          </cell>
          <cell r="H15">
            <v>96285</v>
          </cell>
          <cell r="AC15" t="str">
            <v>TGS4X224 MONTHS/400 000 KMEntire VehicleNo</v>
          </cell>
          <cell r="AD15">
            <v>16170</v>
          </cell>
          <cell r="AK15" t="str">
            <v>TGS4X236 MONTHS/600 000 KMDrivelineNo</v>
          </cell>
          <cell r="AL15">
            <v>22050</v>
          </cell>
        </row>
        <row r="16">
          <cell r="G16" t="str">
            <v>TGS4X224 MONTHS/400 000 KM60 MONTHS/1000 000 KMCombinationYes</v>
          </cell>
          <cell r="H16">
            <v>83055</v>
          </cell>
          <cell r="AC16" t="str">
            <v>TGS4X224 MONTHS/400 000 KMEntire VehicleYes</v>
          </cell>
          <cell r="AD16">
            <v>13965</v>
          </cell>
          <cell r="AK16" t="str">
            <v>TGS4X236 MONTHS/600 000 KMDrivelineYes</v>
          </cell>
          <cell r="AL16">
            <v>19110</v>
          </cell>
        </row>
        <row r="17">
          <cell r="G17" t="str">
            <v>TGS4X236 MONTHS/450 000 KM48 MONTHS/600 000 KMCombinationNo</v>
          </cell>
          <cell r="H17">
            <v>57330</v>
          </cell>
          <cell r="AC17" t="str">
            <v>TGS4X236 MONTHS/225 000 KMEntire VehicleNo</v>
          </cell>
          <cell r="AD17">
            <v>25725</v>
          </cell>
          <cell r="AK17" t="str">
            <v>TGS4X248 MONTHS/300 000 KMDrivelineNo</v>
          </cell>
          <cell r="AL17">
            <v>12495</v>
          </cell>
        </row>
        <row r="18">
          <cell r="G18" t="str">
            <v>TGS4X236 MONTHS/450 000 KM48 MONTHS/600 000 KMCombinationYes</v>
          </cell>
          <cell r="H18">
            <v>49245</v>
          </cell>
          <cell r="AC18" t="str">
            <v>TGS4X236 MONTHS/225 000 KMEntire VehicleYes</v>
          </cell>
          <cell r="AD18">
            <v>22050</v>
          </cell>
          <cell r="AK18" t="str">
            <v>TGS4X248 MONTHS/300 000 KMDrivelineYes</v>
          </cell>
          <cell r="AL18">
            <v>10290</v>
          </cell>
        </row>
        <row r="19">
          <cell r="G19" t="str">
            <v>TGS4X236 MONTHS/450 000 KM60 MONTHS/750 000 KMCombinationNo</v>
          </cell>
          <cell r="H19">
            <v>80115</v>
          </cell>
          <cell r="AC19" t="str">
            <v>TGS4X236 MONTHS/300 000 KMEntire VehicleNo</v>
          </cell>
          <cell r="AD19">
            <v>29400</v>
          </cell>
          <cell r="AK19" t="str">
            <v>TGS4X248 MONTHS/400 000 KMDrivelineNo</v>
          </cell>
          <cell r="AL19">
            <v>16905</v>
          </cell>
        </row>
        <row r="20">
          <cell r="G20" t="str">
            <v>TGS4X236 MONTHS/450 000 KM60 MONTHS/750 000 KMCombinationYes</v>
          </cell>
          <cell r="H20">
            <v>69090</v>
          </cell>
          <cell r="AC20" t="str">
            <v>TGS4X236 MONTHS/300 000 KMEntire VehicleYes</v>
          </cell>
          <cell r="AD20">
            <v>24990</v>
          </cell>
          <cell r="AK20" t="str">
            <v>TGS4X248 MONTHS/400 000 KMDrivelineYes</v>
          </cell>
          <cell r="AL20">
            <v>14700</v>
          </cell>
        </row>
        <row r="21">
          <cell r="G21" t="str">
            <v>TGS4X236 MONTHS/600 000 KM48 MONTHS/800 000 KMCombinationNo</v>
          </cell>
          <cell r="H21">
            <v>80115</v>
          </cell>
          <cell r="AC21" t="str">
            <v>TGS4X236 MONTHS/375 000 KMEntire VehicleNo</v>
          </cell>
          <cell r="AD21">
            <v>35280</v>
          </cell>
          <cell r="AK21" t="str">
            <v>TGS4X248 MONTHS/500 000 KMDrivelineNo</v>
          </cell>
          <cell r="AL21">
            <v>24255</v>
          </cell>
        </row>
        <row r="22">
          <cell r="G22" t="str">
            <v>TGS4X236 MONTHS/600 000 KM48 MONTHS/800 000 KMCombinationYes</v>
          </cell>
          <cell r="H22">
            <v>69090</v>
          </cell>
          <cell r="AC22" t="str">
            <v>TGS4X236 MONTHS/375 000 KMEntire VehicleYes</v>
          </cell>
          <cell r="AD22">
            <v>30135</v>
          </cell>
          <cell r="AK22" t="str">
            <v>TGS4X248 MONTHS/500 000 KMDrivelineYes</v>
          </cell>
          <cell r="AL22">
            <v>20580</v>
          </cell>
        </row>
        <row r="23">
          <cell r="G23" t="str">
            <v>TGS4X236 MONTHS/600 000 KM60 MONTHS/1000 000 KMCombinationNo</v>
          </cell>
          <cell r="H23">
            <v>108045</v>
          </cell>
          <cell r="AC23" t="str">
            <v>TGS4X236 MONTHS/450 000 KMEntire VehicleNo</v>
          </cell>
          <cell r="AD23">
            <v>40425</v>
          </cell>
          <cell r="AK23" t="str">
            <v>TGS4X248 MONTHS/600 000 KMDrivelineNo</v>
          </cell>
          <cell r="AL23">
            <v>33075</v>
          </cell>
        </row>
        <row r="24">
          <cell r="G24" t="str">
            <v>TGS4X236 MONTHS/600 000 KM60 MONTHS/1000 000 KMCombinationYes</v>
          </cell>
          <cell r="H24">
            <v>93345</v>
          </cell>
          <cell r="AC24" t="str">
            <v>TGS4X236 MONTHS/450 000 KMEntire VehicleYes</v>
          </cell>
          <cell r="AD24">
            <v>34545</v>
          </cell>
          <cell r="AK24" t="str">
            <v>TGS4X248 MONTHS/600 000 KMDrivelineYes</v>
          </cell>
          <cell r="AL24">
            <v>28665</v>
          </cell>
        </row>
        <row r="25">
          <cell r="G25" t="str">
            <v>TGS4X248 MONTHS/600 000 KM60 MONTHS/750 000 KMCombinationNo</v>
          </cell>
          <cell r="H25">
            <v>110985</v>
          </cell>
          <cell r="AC25" t="str">
            <v>TGS4X236 MONTHS/525 000 KMEntire VehicleNo</v>
          </cell>
          <cell r="AD25">
            <v>44835</v>
          </cell>
          <cell r="AK25" t="str">
            <v>TGS4X248 MONTHS/700 000 KMDrivelineNo</v>
          </cell>
          <cell r="AL25">
            <v>42630</v>
          </cell>
        </row>
        <row r="26">
          <cell r="G26" t="str">
            <v>TGS4X248 MONTHS/600 000 KM60 MONTHS/750 000 KMCombinationYes</v>
          </cell>
          <cell r="H26">
            <v>96285</v>
          </cell>
          <cell r="AC26" t="str">
            <v>TGS4X236 MONTHS/525 000 KMEntire VehicleYes</v>
          </cell>
          <cell r="AD26">
            <v>38955</v>
          </cell>
          <cell r="AK26" t="str">
            <v>TGS4X248 MONTHS/700 000 KMDrivelineYes</v>
          </cell>
          <cell r="AL26">
            <v>36750</v>
          </cell>
        </row>
        <row r="27">
          <cell r="G27" t="str">
            <v>TGS4X248 MONTHS/800 000 KM60 MONTHS/1000 000 KMCombinationNo</v>
          </cell>
          <cell r="H27">
            <v>128625</v>
          </cell>
          <cell r="AC27" t="str">
            <v>TGS4X236 MONTHS/600 000 KMEntire VehicleNo</v>
          </cell>
          <cell r="AD27">
            <v>49980</v>
          </cell>
          <cell r="AK27" t="str">
            <v>TGS4X248 MONTHS/800 000 KMDrivelineNo</v>
          </cell>
          <cell r="AL27">
            <v>52185</v>
          </cell>
        </row>
        <row r="28">
          <cell r="G28" t="str">
            <v>TGS4X248 MONTHS/800 000 KM60 MONTHS/1000 000 KMCombinationYes</v>
          </cell>
          <cell r="H28">
            <v>111720</v>
          </cell>
          <cell r="AC28" t="str">
            <v>TGS4X236 MONTHS/600 000 KMEntire VehicleYes</v>
          </cell>
          <cell r="AD28">
            <v>43365</v>
          </cell>
          <cell r="AK28" t="str">
            <v>TGS4X248 MONTHS/800 000 KMDrivelineYes</v>
          </cell>
          <cell r="AL28">
            <v>44835</v>
          </cell>
        </row>
        <row r="29">
          <cell r="G29" t="str">
            <v>TGS4X4 H/D24 MONTHS/150 000 KM36 MONTHS/225 000 KMCombinationNo</v>
          </cell>
          <cell r="H29">
            <v>31605</v>
          </cell>
          <cell r="AC29" t="str">
            <v>TGS4X248 MONTHS/300 000 KMEntire VehicleNo</v>
          </cell>
          <cell r="AD29">
            <v>50715</v>
          </cell>
          <cell r="AK29" t="str">
            <v>TGS4X260 MONTHS/1 000 000 KMDrivelineNo</v>
          </cell>
          <cell r="AL29">
            <v>80115</v>
          </cell>
        </row>
        <row r="30">
          <cell r="G30" t="str">
            <v>TGS4X4 H/D24 MONTHS/150 000 KM36 MONTHS/225 000 KMCombinationYes</v>
          </cell>
          <cell r="H30">
            <v>61005</v>
          </cell>
          <cell r="AC30" t="str">
            <v>TGS4X248 MONTHS/300 000 KMEntire VehicleYes</v>
          </cell>
          <cell r="AD30">
            <v>44100</v>
          </cell>
          <cell r="AK30" t="str">
            <v>TGS4X260 MONTHS/1 000 000 KMDrivelineYes</v>
          </cell>
          <cell r="AL30">
            <v>69090</v>
          </cell>
        </row>
        <row r="31">
          <cell r="G31" t="str">
            <v>TGS4X4 H/D24 MONTHS/150 000 KM48 MONTHS/300 000 KMCombinationNo</v>
          </cell>
          <cell r="H31">
            <v>55860</v>
          </cell>
          <cell r="AC31" t="str">
            <v>TGS4X248 MONTHS/400 000 KMEntire VehicleNo</v>
          </cell>
          <cell r="AD31">
            <v>65415</v>
          </cell>
          <cell r="AK31" t="str">
            <v>TGS4X260 MONTHS/375 000 KMDrivelineNo</v>
          </cell>
          <cell r="AL31">
            <v>24990</v>
          </cell>
        </row>
        <row r="32">
          <cell r="G32" t="str">
            <v>TGS4X4 H/D24 MONTHS/150 000 KM48 MONTHS/300 000 KMCombinationYes</v>
          </cell>
          <cell r="H32">
            <v>96285</v>
          </cell>
          <cell r="AC32" t="str">
            <v>TGS4X248 MONTHS/400 000 KMEntire VehicleYes</v>
          </cell>
          <cell r="AD32">
            <v>56595</v>
          </cell>
          <cell r="AK32" t="str">
            <v>TGS4X260 MONTHS/375 000 KMDrivelineYes</v>
          </cell>
          <cell r="AL32">
            <v>21315</v>
          </cell>
        </row>
        <row r="33">
          <cell r="G33" t="str">
            <v>TGS4X4 H/D24 MONTHS/150 000 KM60 MONTHS/375 000 KMCombinationNo</v>
          </cell>
          <cell r="H33">
            <v>102165</v>
          </cell>
          <cell r="AC33" t="str">
            <v>TGS4X248 MONTHS/500 000 KMEntire VehicleNo</v>
          </cell>
          <cell r="AD33">
            <v>80115</v>
          </cell>
          <cell r="AK33" t="str">
            <v>TGS4X260 MONTHS/500 000 KMDrivelineNo</v>
          </cell>
          <cell r="AL33">
            <v>33810</v>
          </cell>
        </row>
        <row r="34">
          <cell r="G34" t="str">
            <v>TGS4X4 H/D24 MONTHS/150 000 KM60 MONTHS/375 000 KMCombinationYes</v>
          </cell>
          <cell r="H34">
            <v>183750</v>
          </cell>
          <cell r="AC34" t="str">
            <v>TGS4X248 MONTHS/500 000 KMEntire VehicleYes</v>
          </cell>
          <cell r="AD34">
            <v>69090</v>
          </cell>
          <cell r="AK34" t="str">
            <v>TGS4X260 MONTHS/500 000 KMDrivelineYes</v>
          </cell>
          <cell r="AL34">
            <v>29400</v>
          </cell>
        </row>
        <row r="35">
          <cell r="G35" t="str">
            <v>TGS4X4 H/D24 MONTHS/300 000 KM36 MONTHS/450 000 KMCombinationNo</v>
          </cell>
          <cell r="H35">
            <v>52920</v>
          </cell>
          <cell r="AC35" t="str">
            <v>TGS4X248 MONTHS/600 000 KMEntire VehicleNo</v>
          </cell>
          <cell r="AD35">
            <v>88200</v>
          </cell>
          <cell r="AK35" t="str">
            <v>TGS4X260 MONTHS/625 000 KMDrivelineNo</v>
          </cell>
          <cell r="AL35">
            <v>44100</v>
          </cell>
        </row>
        <row r="36">
          <cell r="G36" t="str">
            <v>TGS4X4 H/D24 MONTHS/300 000 KM36 MONTHS/450 000 KMCombinationYes</v>
          </cell>
          <cell r="H36">
            <v>109515</v>
          </cell>
          <cell r="AC36" t="str">
            <v>TGS4X248 MONTHS/600 000 KMEntire VehicleYes</v>
          </cell>
          <cell r="AD36">
            <v>76440</v>
          </cell>
          <cell r="AK36" t="str">
            <v>TGS4X260 MONTHS/625 000 KMDrivelineYes</v>
          </cell>
          <cell r="AL36">
            <v>38220</v>
          </cell>
        </row>
        <row r="37">
          <cell r="G37" t="str">
            <v>TGS4X4 H/D24 MONTHS/300 000 KM48 MONTHS/600 000 KMCombinationNo</v>
          </cell>
          <cell r="H37">
            <v>88935</v>
          </cell>
          <cell r="AC37" t="str">
            <v>TGS4X248 MONTHS/700 000 KMEntire VehicleNo</v>
          </cell>
          <cell r="AD37">
            <v>94080</v>
          </cell>
          <cell r="AK37" t="str">
            <v>TGS4X260 MONTHS/750 000 KMDrivelineNo</v>
          </cell>
          <cell r="AL37">
            <v>55860</v>
          </cell>
        </row>
        <row r="38">
          <cell r="G38" t="str">
            <v>TGS4X4 H/D24 MONTHS/300 000 KM48 MONTHS/600 000 KMCombinationYes</v>
          </cell>
          <cell r="H38">
            <v>167580</v>
          </cell>
          <cell r="AC38" t="str">
            <v>TGS4X248 MONTHS/700 000 KMEntire VehicleYes</v>
          </cell>
          <cell r="AD38">
            <v>81585</v>
          </cell>
          <cell r="AK38" t="str">
            <v>TGS4X260 MONTHS/750 000 KMDrivelineYes</v>
          </cell>
          <cell r="AL38">
            <v>48510</v>
          </cell>
        </row>
        <row r="39">
          <cell r="G39" t="str">
            <v>TGS4X4 H/D24 MONTHS/300 000 KM60 MONTHS/750 000 KMCombinationNo</v>
          </cell>
          <cell r="H39">
            <v>170520</v>
          </cell>
          <cell r="AC39" t="str">
            <v>TGS4X248 MONTHS/800 000 KMEntire VehicleNo</v>
          </cell>
          <cell r="AD39">
            <v>100695</v>
          </cell>
          <cell r="AK39" t="str">
            <v>TGS4X260 MONTHS/875 000 KMDrivelineNo</v>
          </cell>
          <cell r="AL39">
            <v>66885</v>
          </cell>
        </row>
        <row r="40">
          <cell r="G40" t="str">
            <v>TGS4X4 H/D24 MONTHS/300 000 KM60 MONTHS/750 000 KMCombinationYes</v>
          </cell>
          <cell r="H40">
            <v>312375</v>
          </cell>
          <cell r="AC40" t="str">
            <v>TGS4X248 MONTHS/800 000 KMEntire VehicleYes</v>
          </cell>
          <cell r="AD40">
            <v>87465</v>
          </cell>
          <cell r="AK40" t="str">
            <v>TGS4X260 MONTHS/875 000 KMDrivelineYes</v>
          </cell>
          <cell r="AL40">
            <v>58065</v>
          </cell>
        </row>
        <row r="41">
          <cell r="G41" t="str">
            <v>TGS4X4 H/D36 MONTHS/225 000 KM48 MONTHS/300 000 KM CombinationNo</v>
          </cell>
          <cell r="H41">
            <v>71295</v>
          </cell>
          <cell r="AC41" t="str">
            <v>TGS4X260 MONTHS/1 000 000 KMEntire VehicleNo</v>
          </cell>
          <cell r="AD41">
            <v>189630</v>
          </cell>
          <cell r="AK41" t="str">
            <v>TGS4X436 MONTHS/150 000 KMDrivelineYes</v>
          </cell>
          <cell r="AL41">
            <v>11760</v>
          </cell>
        </row>
        <row r="42">
          <cell r="G42" t="str">
            <v>TGS4X4 H/D36 MONTHS/225 000 KM48 MONTHS/300 000 KM CombinationYes</v>
          </cell>
          <cell r="H42">
            <v>114660</v>
          </cell>
          <cell r="AC42" t="str">
            <v>TGS4X260 MONTHS/1 000 000 KMEntire VehicleYes</v>
          </cell>
          <cell r="AD42">
            <v>164640</v>
          </cell>
          <cell r="AK42" t="str">
            <v>TGS4X436 MONTHS/225 000 KMDrivelineYes</v>
          </cell>
          <cell r="AL42">
            <v>13230</v>
          </cell>
        </row>
        <row r="43">
          <cell r="G43" t="str">
            <v>TGS4X4 H/D36 MONTHS/225 000 KM60 MONTHS/750 000 KMCombinationNo</v>
          </cell>
          <cell r="H43">
            <v>117600</v>
          </cell>
          <cell r="AC43" t="str">
            <v>TGS4X260 MONTHS/375 000 KMEntire VehicleNo</v>
          </cell>
          <cell r="AD43">
            <v>95550</v>
          </cell>
          <cell r="AK43" t="str">
            <v>TGS4X436 MONTHS/300 000 KMDrivelineYes</v>
          </cell>
          <cell r="AL43">
            <v>16905</v>
          </cell>
        </row>
        <row r="44">
          <cell r="G44" t="str">
            <v>TGS4X4 H/D36 MONTHS/225 000 KM60 MONTHS/750 000 KMCombinationYes</v>
          </cell>
          <cell r="H44">
            <v>202125</v>
          </cell>
          <cell r="AC44" t="str">
            <v>TGS4X260 MONTHS/375 000 KMEntire VehicleYes</v>
          </cell>
          <cell r="AD44">
            <v>83055</v>
          </cell>
          <cell r="AK44" t="str">
            <v>TGS4X436 MONTHS/375 000 KMDrivelineYes</v>
          </cell>
          <cell r="AL44">
            <v>20580</v>
          </cell>
        </row>
        <row r="45">
          <cell r="G45" t="str">
            <v>TGS4X4 H/D36 MONTHS/450 000 KM48 MONTHS/600 000 KMCombinationNo</v>
          </cell>
          <cell r="H45">
            <v>113190</v>
          </cell>
          <cell r="AC45" t="str">
            <v>TGS4X260 MONTHS/500 000 KMEntire VehicleNo</v>
          </cell>
          <cell r="AD45">
            <v>126420</v>
          </cell>
          <cell r="AK45" t="str">
            <v>TGS4X436 MONTHS/450 000 KMDrivelineYes</v>
          </cell>
          <cell r="AL45">
            <v>21315</v>
          </cell>
        </row>
        <row r="46">
          <cell r="G46" t="str">
            <v>TGS4X4 H/D36 MONTHS/450 000 KM48 MONTHS/600 000 KMCombinationYes</v>
          </cell>
          <cell r="H46">
            <v>188160</v>
          </cell>
          <cell r="AC46" t="str">
            <v>TGS4X260 MONTHS/500 000 KMEntire VehicleYes</v>
          </cell>
          <cell r="AD46">
            <v>109515</v>
          </cell>
          <cell r="AK46" t="str">
            <v>TGS4X436 MONTHS/75 000 KMDrivelineYes</v>
          </cell>
          <cell r="AL46">
            <v>7350</v>
          </cell>
        </row>
        <row r="47">
          <cell r="G47" t="str">
            <v>TGS4X4 H/D36 MONTHS/450 000 KM60 MONTHS/750 000 KMCombinationNo</v>
          </cell>
          <cell r="H47">
            <v>194775</v>
          </cell>
          <cell r="AC47" t="str">
            <v>TGS4X260 MONTHS/625 000 KMEntire VehicleNo</v>
          </cell>
          <cell r="AD47">
            <v>150675</v>
          </cell>
          <cell r="AK47" t="str">
            <v>TGS4X448 MONTHS/100 000 KMDrivelineYes</v>
          </cell>
          <cell r="AL47">
            <v>19110</v>
          </cell>
        </row>
        <row r="48">
          <cell r="G48" t="str">
            <v>TGS4X4 H/D36 MONTHS/450 000 KM60 MONTHS/750 000 KMCombinationYes</v>
          </cell>
          <cell r="H48">
            <v>332955</v>
          </cell>
          <cell r="AC48" t="str">
            <v>TGS4X260 MONTHS/625 000 KMEntire VehicleYes</v>
          </cell>
          <cell r="AD48">
            <v>130830</v>
          </cell>
          <cell r="AK48" t="str">
            <v>TGS4X448 MONTHS/200 000 KMDrivelineYes</v>
          </cell>
          <cell r="AL48">
            <v>22050</v>
          </cell>
        </row>
        <row r="49">
          <cell r="G49" t="str">
            <v>TGS4X4 H/D48 MONTHS/300 000 KM60 MONTHS/750 000 KMCombinationNo</v>
          </cell>
          <cell r="H49">
            <v>171255</v>
          </cell>
          <cell r="AC49" t="str">
            <v>TGS4X260 MONTHS/750 000 KMEntire VehicleNo</v>
          </cell>
          <cell r="AD49">
            <v>163170</v>
          </cell>
          <cell r="AK49" t="str">
            <v>TGS4X448 MONTHS/300 000 KMDrivelineYes</v>
          </cell>
          <cell r="AL49">
            <v>25725</v>
          </cell>
        </row>
        <row r="50">
          <cell r="G50" t="str">
            <v>TGS4X4 H/D48 MONTHS/300 000 KM60 MONTHS/750 000 KMCombinationNo</v>
          </cell>
          <cell r="H50">
            <v>287385</v>
          </cell>
          <cell r="AC50" t="str">
            <v>TGS4X260 MONTHS/750 000 KMEntire VehicleYes</v>
          </cell>
          <cell r="AD50">
            <v>141855</v>
          </cell>
          <cell r="AK50" t="str">
            <v>TGS4X448 MONTHS/400 000 KMDrivelineYes</v>
          </cell>
          <cell r="AL50">
            <v>33810</v>
          </cell>
        </row>
        <row r="51">
          <cell r="G51" t="str">
            <v>TGS4X4 H/D48 MONTHS/300 000 KM60 MONTHS/750 000 KMCombinationYes</v>
          </cell>
          <cell r="H51">
            <v>241815</v>
          </cell>
          <cell r="AC51" t="str">
            <v>TGS4X260 MONTHS/875 000 KMEntire VehicleNo</v>
          </cell>
          <cell r="AD51">
            <v>171990</v>
          </cell>
          <cell r="AK51" t="str">
            <v>TGS4X448 MONTHS/500 000 KMDrivelineYes</v>
          </cell>
          <cell r="AL51">
            <v>47040</v>
          </cell>
        </row>
        <row r="52">
          <cell r="G52" t="str">
            <v>TGS4X4 H/D48 MONTHS/300 000 KM60 MONTHS/750 000 KMCombinationYes</v>
          </cell>
          <cell r="H52">
            <v>399840</v>
          </cell>
          <cell r="AC52" t="str">
            <v>TGS4X260 MONTHS/875 000 KMEntire VehicleYes</v>
          </cell>
          <cell r="AD52">
            <v>149205</v>
          </cell>
          <cell r="AK52" t="str">
            <v>TGS4X448 MONTHS/600 000 KMDrivelineYes</v>
          </cell>
          <cell r="AL52">
            <v>49980</v>
          </cell>
        </row>
        <row r="53">
          <cell r="G53" t="str">
            <v>TGS4X424 MONTHS/150 000 KM 60 MONTHS/375 000 KMCombinationNo</v>
          </cell>
          <cell r="H53">
            <v>72765</v>
          </cell>
          <cell r="AC53" t="str">
            <v>TGS4X424 MONTHS/100 000 KMEntire VehicleYes</v>
          </cell>
          <cell r="AD53">
            <v>7350</v>
          </cell>
          <cell r="AK53" t="str">
            <v>TGS4X460 MONTHS/125 000 KMDrivelineYes</v>
          </cell>
          <cell r="AL53">
            <v>38955</v>
          </cell>
        </row>
        <row r="54">
          <cell r="G54" t="str">
            <v>TGS4X424 MONTHS/150 000 KM 60 MONTHS/375 000 KMCombinationYes</v>
          </cell>
          <cell r="H54">
            <v>63210</v>
          </cell>
          <cell r="AC54" t="str">
            <v>TGS4X424 MONTHS/150 000 KMEntire VehicleYes</v>
          </cell>
          <cell r="AD54">
            <v>9555</v>
          </cell>
          <cell r="AK54" t="str">
            <v>TGS4X460 MONTHS/250 000 KMDrivelineYes</v>
          </cell>
          <cell r="AL54">
            <v>45570</v>
          </cell>
        </row>
        <row r="55">
          <cell r="G55" t="str">
            <v>TGS4X424 MONTHS/150 000 KM36 MONTHS/225 000 KMCombinationNo</v>
          </cell>
          <cell r="H55">
            <v>26030.454545454544</v>
          </cell>
          <cell r="AC55" t="str">
            <v>TGS4X424 MONTHS/200 000 KMEntire VehicleYes</v>
          </cell>
          <cell r="AD55">
            <v>11025</v>
          </cell>
          <cell r="AK55" t="str">
            <v>TGS4X460 MONTHS/375 000 KMDrivelineYes</v>
          </cell>
          <cell r="AL55">
            <v>53655</v>
          </cell>
        </row>
        <row r="56">
          <cell r="G56" t="str">
            <v>TGS4X424 MONTHS/150 000 KM36 MONTHS/225 000 KMCombinationYes</v>
          </cell>
          <cell r="H56">
            <v>22785</v>
          </cell>
          <cell r="AC56" t="str">
            <v>TGS4X424 MONTHS/250 000 KMEntire VehicleYes</v>
          </cell>
          <cell r="AD56">
            <v>13230</v>
          </cell>
          <cell r="AK56" t="str">
            <v>TGS4X460 MONTHS/500 000 KMDrivelineYes</v>
          </cell>
          <cell r="AL56">
            <v>80850</v>
          </cell>
        </row>
        <row r="57">
          <cell r="G57" t="str">
            <v>TGS4X424 MONTHS/150 000 KM48 MONTHS/300 000 KMCombinationNo</v>
          </cell>
          <cell r="H57">
            <v>41160</v>
          </cell>
          <cell r="AC57" t="str">
            <v>TGS4X424 MONTHS/300 000 KMEntire VehicleYes</v>
          </cell>
          <cell r="AD57">
            <v>13965</v>
          </cell>
          <cell r="AK57" t="str">
            <v>TGS4X460 MONTHS/625 000 KMDrivelineYes</v>
          </cell>
          <cell r="AL57">
            <v>104370</v>
          </cell>
        </row>
        <row r="58">
          <cell r="G58" t="str">
            <v>TGS4X424 MONTHS/150 000 KM48 MONTHS/300 000 KMCombinationYes</v>
          </cell>
          <cell r="H58">
            <v>35280</v>
          </cell>
          <cell r="AC58" t="str">
            <v>TGS4X424 MONTHS/50 000 KMEntire VehicleYes</v>
          </cell>
          <cell r="AD58">
            <v>5880</v>
          </cell>
          <cell r="AK58" t="str">
            <v>TGS4X460 MONTHS/750 000 KMDrivelineYes</v>
          </cell>
          <cell r="AL58">
            <v>112455</v>
          </cell>
        </row>
        <row r="59">
          <cell r="G59" t="str">
            <v>TGS4X424 MONTHS/300 000 KM36 MONTHS/450 000 KMCombinationNo</v>
          </cell>
          <cell r="H59">
            <v>41160</v>
          </cell>
          <cell r="AC59" t="str">
            <v>TGS4X436 MONTHS/150 000 KMEntire VehicleYes</v>
          </cell>
          <cell r="AD59">
            <v>27930</v>
          </cell>
          <cell r="AK59" t="str">
            <v>TGS4X4HYDRO36 MONTHS/150 000 KMDrivelineYes</v>
          </cell>
          <cell r="AL59">
            <v>13965</v>
          </cell>
        </row>
        <row r="60">
          <cell r="G60" t="str">
            <v>TGS4X424 MONTHS/300 000 KM36 MONTHS/450 000 KMCombinationYes</v>
          </cell>
          <cell r="H60">
            <v>35280</v>
          </cell>
          <cell r="AC60" t="str">
            <v>TGS4X436 MONTHS/225 000 KMEntire VehicleYes</v>
          </cell>
          <cell r="AD60">
            <v>33075</v>
          </cell>
          <cell r="AK60" t="str">
            <v>TGS4X4HYDRO36 MONTHS/225 000 KMDrivelineYes</v>
          </cell>
          <cell r="AL60">
            <v>16170</v>
          </cell>
        </row>
        <row r="61">
          <cell r="G61" t="str">
            <v>TGS4X424 MONTHS/300 000 KM48 MONTHS/600 000 KMCombinationNo</v>
          </cell>
          <cell r="H61">
            <v>74235</v>
          </cell>
          <cell r="AC61" t="str">
            <v>TGS4X436 MONTHS/300 000 KMEntire VehicleYes</v>
          </cell>
          <cell r="AD61">
            <v>42630</v>
          </cell>
          <cell r="AK61" t="str">
            <v>TGS4X4HYDRO36 MONTHS/300 000 KMDrivelineYes</v>
          </cell>
          <cell r="AL61">
            <v>20580</v>
          </cell>
        </row>
        <row r="62">
          <cell r="G62" t="str">
            <v>TGS4X424 MONTHS/300 000 KM48 MONTHS/600 000 KMCombinationYes</v>
          </cell>
          <cell r="H62">
            <v>63945</v>
          </cell>
          <cell r="AC62" t="str">
            <v>TGS4X436 MONTHS/375 000 KMEntire VehicleYes</v>
          </cell>
          <cell r="AD62">
            <v>52185</v>
          </cell>
          <cell r="AK62" t="str">
            <v>TGS4X4HYDRO36 MONTHS/375 000 KMDrivelineYes</v>
          </cell>
          <cell r="AL62">
            <v>25725</v>
          </cell>
        </row>
        <row r="63">
          <cell r="G63" t="str">
            <v>TGS4X424 MONTHS/300 000 KM60 MONTHS/750 000 KMCombinationNo</v>
          </cell>
          <cell r="H63">
            <v>145530</v>
          </cell>
          <cell r="AC63" t="str">
            <v>TGS4X436 MONTHS/450 000 KMEntire VehicleYes</v>
          </cell>
          <cell r="AD63">
            <v>56595</v>
          </cell>
          <cell r="AK63" t="str">
            <v>TGS4X4HYDRO36 MONTHS/450 000 KMDrivelineYes</v>
          </cell>
          <cell r="AL63">
            <v>26460</v>
          </cell>
        </row>
        <row r="64">
          <cell r="G64" t="str">
            <v>TGS4X424 MONTHS/300 000 KM60 MONTHS/750 000 KMCombinationYes</v>
          </cell>
          <cell r="H64">
            <v>126420</v>
          </cell>
          <cell r="AC64" t="str">
            <v>TGS4X436 MONTHS/75 000 KMEntire VehicleYes</v>
          </cell>
          <cell r="AD64">
            <v>23520</v>
          </cell>
          <cell r="AK64" t="str">
            <v>TGS4X4HYDRO36 MONTHS/75 000 KMDrivelineYes</v>
          </cell>
          <cell r="AL64">
            <v>11760</v>
          </cell>
        </row>
        <row r="65">
          <cell r="G65" t="str">
            <v>TGS4X436 MONTHS/225 000 KM48 MONTHS/300 000 KM CombinationNo</v>
          </cell>
          <cell r="H65">
            <v>52920</v>
          </cell>
          <cell r="AC65" t="str">
            <v>TGS4X448 MONTHS/100 000 KMEntire VehicleYes</v>
          </cell>
          <cell r="AD65">
            <v>74970</v>
          </cell>
          <cell r="AK65" t="str">
            <v>TGS4X4HYDRO48 MONTHS/100 000 KMDrivelineYes</v>
          </cell>
          <cell r="AL65">
            <v>27195</v>
          </cell>
        </row>
        <row r="66">
          <cell r="G66" t="str">
            <v>TGS4X436 MONTHS/225 000 KM48 MONTHS/300 000 KM CombinationYes</v>
          </cell>
          <cell r="H66">
            <v>45570</v>
          </cell>
          <cell r="AC66" t="str">
            <v>TGS4X448 MONTHS/200 000 KMEntire VehicleYes</v>
          </cell>
          <cell r="AD66">
            <v>88200</v>
          </cell>
          <cell r="AK66" t="str">
            <v>TGS4X4HYDRO48 MONTHS/200 000 KMDrivelineYes</v>
          </cell>
          <cell r="AL66">
            <v>31605</v>
          </cell>
        </row>
        <row r="67">
          <cell r="G67" t="str">
            <v>TGS4X436 MONTHS/225 000 KM60 MONTHS/750 000 KMCombinationNo</v>
          </cell>
          <cell r="H67">
            <v>84525</v>
          </cell>
          <cell r="AC67" t="str">
            <v>TGS4X448 MONTHS/300 000 KMEntire VehicleYes</v>
          </cell>
          <cell r="AD67">
            <v>102900</v>
          </cell>
          <cell r="AK67" t="str">
            <v>TGS4X4HYDRO48 MONTHS/300 000 KMDrivelineYes</v>
          </cell>
          <cell r="AL67">
            <v>37485</v>
          </cell>
        </row>
        <row r="68">
          <cell r="G68" t="str">
            <v>TGS4X436 MONTHS/225 000 KM60 MONTHS/750 000 KMCombinationYes</v>
          </cell>
          <cell r="H68">
            <v>73500</v>
          </cell>
          <cell r="AC68" t="str">
            <v>TGS4X448 MONTHS/400 000 KMEntire VehicleYes</v>
          </cell>
          <cell r="AD68">
            <v>134505</v>
          </cell>
          <cell r="AK68" t="str">
            <v>TGS4X4HYDRO48 MONTHS/400 000 KMDrivelineYes</v>
          </cell>
          <cell r="AL68">
            <v>48510</v>
          </cell>
        </row>
        <row r="69">
          <cell r="G69" t="str">
            <v>TGS4X436 MONTHS/450 000 KM48 MONTHS/600 000 KMCombinationNo</v>
          </cell>
          <cell r="H69">
            <v>98490</v>
          </cell>
          <cell r="AC69" t="str">
            <v>TGS4X448 MONTHS/500 000 KMEntire VehicleYes</v>
          </cell>
          <cell r="AD69">
            <v>165375</v>
          </cell>
          <cell r="AK69" t="str">
            <v>TGS4X4HYDRO48 MONTHS/500 000 KMDrivelineYes</v>
          </cell>
          <cell r="AL69">
            <v>56595</v>
          </cell>
        </row>
        <row r="70">
          <cell r="G70" t="str">
            <v>TGS4X436 MONTHS/450 000 KM48 MONTHS/600 000 KMCombinationYes</v>
          </cell>
          <cell r="H70">
            <v>85260</v>
          </cell>
          <cell r="AC70" t="str">
            <v>TGS4X448 MONTHS/600 000 KMEntire VehicleYes</v>
          </cell>
          <cell r="AD70">
            <v>169785</v>
          </cell>
          <cell r="AK70" t="str">
            <v>TGS4X4HYDRO48 MONTHS/600 000 KMDrivelineYes</v>
          </cell>
          <cell r="AL70">
            <v>58065</v>
          </cell>
        </row>
        <row r="71">
          <cell r="G71" t="str">
            <v>TGS4X436 MONTHS/450 000 KM60 MONTHS/750 000 KMCombinationNo</v>
          </cell>
          <cell r="H71">
            <v>169479.54545454544</v>
          </cell>
          <cell r="AC71" t="str">
            <v>TGS4X460 MONTHS/125 000 KMEntire VehicleYes</v>
          </cell>
          <cell r="AD71">
            <v>156555</v>
          </cell>
          <cell r="AK71" t="str">
            <v>TGS4X4HYDRO60 MONTHS/125 000 KMDrivelineYes</v>
          </cell>
          <cell r="AL71">
            <v>56595</v>
          </cell>
        </row>
        <row r="72">
          <cell r="G72" t="str">
            <v>TGS4X436 MONTHS/450 000 KM60 MONTHS/750 000 KMCombinationYes</v>
          </cell>
          <cell r="H72">
            <v>147735</v>
          </cell>
          <cell r="AC72" t="str">
            <v>TGS4X460 MONTHS/250 000 KMEntire VehicleYes</v>
          </cell>
          <cell r="AD72">
            <v>184485</v>
          </cell>
          <cell r="AK72" t="str">
            <v>TGS4X4HYDRO60 MONTHS/250 000 KMDrivelineYes</v>
          </cell>
          <cell r="AL72">
            <v>66885</v>
          </cell>
        </row>
        <row r="73">
          <cell r="G73" t="str">
            <v>TGS4X448 MONTHS/300 000 KM60 MONTHS/750 000 KMCombinationNo</v>
          </cell>
          <cell r="H73">
            <v>149940</v>
          </cell>
          <cell r="AC73" t="str">
            <v>TGS4X460 MONTHS/375 000 KMEntire VehicleYes</v>
          </cell>
          <cell r="AD73">
            <v>216090</v>
          </cell>
          <cell r="AK73" t="str">
            <v>TGS4X4HYDRO60 MONTHS/375 000 KMDrivelineYes</v>
          </cell>
          <cell r="AL73">
            <v>77910</v>
          </cell>
        </row>
        <row r="74">
          <cell r="G74" t="str">
            <v>TGS4X448 MONTHS/300 000 KM60 MONTHS/750 000 KMCombinationNo</v>
          </cell>
          <cell r="H74">
            <v>266805</v>
          </cell>
          <cell r="AC74" t="str">
            <v>TGS4X460 MONTHS/500 000 KMEntire VehicleYes</v>
          </cell>
          <cell r="AD74">
            <v>282240</v>
          </cell>
          <cell r="AK74" t="str">
            <v>TGS4X4HYDRO60 MONTHS/500 000 KMDrivelineYes</v>
          </cell>
          <cell r="AL74">
            <v>102165</v>
          </cell>
        </row>
        <row r="75">
          <cell r="G75" t="str">
            <v>TGS4X448 MONTHS/300 000 KM60 MONTHS/750 000 KMCombinationYes</v>
          </cell>
          <cell r="H75">
            <v>130830</v>
          </cell>
          <cell r="AC75" t="str">
            <v>TGS4X460 MONTHS/625 000 KMEntire VehicleYes</v>
          </cell>
          <cell r="AD75">
            <v>347655</v>
          </cell>
          <cell r="AK75" t="str">
            <v>TGS4X4HYDRO60 MONTHS/625 000 KMDrivelineYes</v>
          </cell>
          <cell r="AL75">
            <v>118335</v>
          </cell>
        </row>
        <row r="76">
          <cell r="G76" t="str">
            <v>TGS4X448 MONTHS/300 000 KM60 MONTHS/750 000 KMCombinationYes</v>
          </cell>
          <cell r="H76">
            <v>232260</v>
          </cell>
          <cell r="AC76" t="str">
            <v>TGS4X460 MONTHS/750 000 KMEntire VehicleYes</v>
          </cell>
          <cell r="AD76">
            <v>356475</v>
          </cell>
          <cell r="AK76" t="str">
            <v>TGS4X4HYDRO60 MONTHS/750 000 KMDrivelineYes</v>
          </cell>
          <cell r="AL76">
            <v>128625</v>
          </cell>
        </row>
        <row r="77">
          <cell r="G77" t="str">
            <v>TGS6X224 MONTHS/300 000 KM36 MONTHS/450 000 KMCombinationNo</v>
          </cell>
          <cell r="H77">
            <v>30135</v>
          </cell>
          <cell r="AC77" t="str">
            <v>TGS4X4HYDRO24 MONTHS/100 000 KMEntire VehicleYes</v>
          </cell>
          <cell r="AD77">
            <v>8820</v>
          </cell>
          <cell r="AK77" t="str">
            <v>TGS6X236 MONTHS/225 000 KMDrivelineNo</v>
          </cell>
          <cell r="AL77">
            <v>9555</v>
          </cell>
        </row>
        <row r="78">
          <cell r="G78" t="str">
            <v>TGS6X224 MONTHS/300 000 KM36 MONTHS/450 000 KMCombinationYes</v>
          </cell>
          <cell r="H78">
            <v>25725</v>
          </cell>
          <cell r="AC78" t="str">
            <v>TGS4X4HYDRO24 MONTHS/150 000 KMEntire VehicleYes</v>
          </cell>
          <cell r="AD78">
            <v>10290</v>
          </cell>
          <cell r="AK78" t="str">
            <v>TGS6X236 MONTHS/225 000 KMDrivelineYes</v>
          </cell>
          <cell r="AL78">
            <v>8085</v>
          </cell>
        </row>
        <row r="79">
          <cell r="G79" t="str">
            <v>TGS6X224 MONTHS/300 000 KM48 MONTHS/600 000 KMCombinationNo</v>
          </cell>
          <cell r="H79">
            <v>47040</v>
          </cell>
          <cell r="AC79" t="str">
            <v>TGS4X4HYDRO24 MONTHS/200 000 KMEntire VehicleYes</v>
          </cell>
          <cell r="AD79">
            <v>13230</v>
          </cell>
          <cell r="AK79" t="str">
            <v>TGS6X236 MONTHS/300 000 KMDrivelineNo</v>
          </cell>
          <cell r="AL79">
            <v>11025</v>
          </cell>
        </row>
        <row r="80">
          <cell r="G80" t="str">
            <v>TGS6X224 MONTHS/300 000 KM48 MONTHS/600 000 KMCombinationYes</v>
          </cell>
          <cell r="H80">
            <v>40425</v>
          </cell>
          <cell r="AC80" t="str">
            <v>TGS4X4HYDRO24 MONTHS/250 000 KMEntire VehicleYes</v>
          </cell>
          <cell r="AD80">
            <v>17640</v>
          </cell>
          <cell r="AK80" t="str">
            <v>TGS6X236 MONTHS/300 000 KMDrivelineYes</v>
          </cell>
          <cell r="AL80">
            <v>9555</v>
          </cell>
        </row>
        <row r="81">
          <cell r="G81" t="str">
            <v>TGS6X224 MONTHS/300 000 KM60 MONTHS/750 000 KMCombinationNo</v>
          </cell>
          <cell r="H81">
            <v>69825</v>
          </cell>
          <cell r="AC81" t="str">
            <v>TGS4X4HYDRO24 MONTHS/300 000 KMEntire VehicleYes</v>
          </cell>
          <cell r="AD81">
            <v>19110</v>
          </cell>
          <cell r="AK81" t="str">
            <v>TGS6X236 MONTHS/375 000 KMDrivelineNo</v>
          </cell>
          <cell r="AL81">
            <v>13965</v>
          </cell>
        </row>
        <row r="82">
          <cell r="G82" t="str">
            <v>TGS6X224 MONTHS/300 000 KM60 MONTHS/750 000 KMCombinationYes</v>
          </cell>
          <cell r="H82">
            <v>60270</v>
          </cell>
          <cell r="AC82" t="str">
            <v>TGS4X4HYDRO24 MONTHS/50 000 KMEntire VehicleYes</v>
          </cell>
          <cell r="AD82">
            <v>6615</v>
          </cell>
          <cell r="AK82" t="str">
            <v>TGS6X236 MONTHS/375 000 KMDrivelineYes</v>
          </cell>
          <cell r="AL82">
            <v>11760</v>
          </cell>
        </row>
        <row r="83">
          <cell r="G83" t="str">
            <v>TGS6X224 MONTHS/400 000 KM36 MONTHS/600 000 KMCombinationNo</v>
          </cell>
          <cell r="H83">
            <v>38220</v>
          </cell>
          <cell r="AC83" t="str">
            <v>TGS4X4HYDRO36 MONTHS/150 000 KMEntire VehicleYes</v>
          </cell>
          <cell r="AD83">
            <v>34545</v>
          </cell>
          <cell r="AK83" t="str">
            <v>TGS6X236 MONTHS/450 000 KMDrivelineNo</v>
          </cell>
          <cell r="AL83">
            <v>16170</v>
          </cell>
        </row>
        <row r="84">
          <cell r="G84" t="str">
            <v>TGS6X224 MONTHS/400 000 KM36 MONTHS/600 000 KMCombinationYes</v>
          </cell>
          <cell r="H84">
            <v>33075</v>
          </cell>
          <cell r="AC84" t="str">
            <v>TGS4X4HYDRO36 MONTHS/225 000 KMEntire VehicleYes</v>
          </cell>
          <cell r="AD84">
            <v>40425</v>
          </cell>
          <cell r="AK84" t="str">
            <v>TGS6X236 MONTHS/450 000 KMDrivelineYes</v>
          </cell>
          <cell r="AL84">
            <v>13965</v>
          </cell>
        </row>
        <row r="85">
          <cell r="G85" t="str">
            <v>TGS6X224 MONTHS/400 000 KM48 MONTHS/800 000 KMCombinationNo</v>
          </cell>
          <cell r="H85">
            <v>68355</v>
          </cell>
          <cell r="AC85" t="str">
            <v>TGS4X4HYDRO36 MONTHS/300 000 KMEntire VehicleYes</v>
          </cell>
          <cell r="AD85">
            <v>52185</v>
          </cell>
          <cell r="AK85" t="str">
            <v>TGS6X236 MONTHS/525 000 KMDrivelineNo</v>
          </cell>
          <cell r="AL85">
            <v>19110</v>
          </cell>
        </row>
        <row r="86">
          <cell r="G86" t="str">
            <v>TGS6X224 MONTHS/400 000 KM48 MONTHS/800 000 KMCombinationYes</v>
          </cell>
          <cell r="H86">
            <v>58800</v>
          </cell>
          <cell r="AC86" t="str">
            <v>TGS4X4HYDRO36 MONTHS/375 000 KMEntire VehicleYes</v>
          </cell>
          <cell r="AD86">
            <v>64680</v>
          </cell>
          <cell r="AK86" t="str">
            <v>TGS6X236 MONTHS/525 000 KMDrivelineYes</v>
          </cell>
          <cell r="AL86">
            <v>16170</v>
          </cell>
        </row>
        <row r="87">
          <cell r="G87" t="str">
            <v>TGS6X224 MONTHS/400 000 KM60 MONTHS/1000 000 KMCombinationNo</v>
          </cell>
          <cell r="H87">
            <v>96285</v>
          </cell>
          <cell r="AC87" t="str">
            <v>TGS4X4HYDRO36 MONTHS/450 000 KMEntire VehicleYes</v>
          </cell>
          <cell r="AD87">
            <v>66885</v>
          </cell>
          <cell r="AK87" t="str">
            <v>TGS6X236 MONTHS/600 000 KMDrivelineNo</v>
          </cell>
          <cell r="AL87">
            <v>22050</v>
          </cell>
        </row>
        <row r="88">
          <cell r="G88" t="str">
            <v>TGS6X224 MONTHS/400 000 KM60 MONTHS/1000 000 KMCombinationYes</v>
          </cell>
          <cell r="H88">
            <v>83055</v>
          </cell>
          <cell r="AC88" t="str">
            <v>TGS4X4HYDRO36 MONTHS/75 000 KMEntire VehicleYes</v>
          </cell>
          <cell r="AD88">
            <v>29400</v>
          </cell>
          <cell r="AK88" t="str">
            <v>TGS6X236 MONTHS/600 000 KMDrivelineYes</v>
          </cell>
          <cell r="AL88">
            <v>19110</v>
          </cell>
        </row>
        <row r="89">
          <cell r="G89" t="str">
            <v>TGS6X236 MONTHS/450 000 KM48 MONTHS/600 000 KMCombinationNo</v>
          </cell>
          <cell r="H89">
            <v>57330</v>
          </cell>
          <cell r="AC89" t="str">
            <v>TGS4X4HYDRO48 MONTHS/100 000 KMEntire VehicleYes</v>
          </cell>
          <cell r="AD89">
            <v>79830</v>
          </cell>
          <cell r="AK89" t="str">
            <v>TGS6X248 MONTHS/300 000 KMDrivelineNo</v>
          </cell>
          <cell r="AL89">
            <v>12495</v>
          </cell>
        </row>
        <row r="90">
          <cell r="G90" t="str">
            <v>TGS6X236 MONTHS/450 000 KM48 MONTHS/600 000 KMCombinationYes</v>
          </cell>
          <cell r="H90">
            <v>49245</v>
          </cell>
          <cell r="AC90" t="str">
            <v>TGS4X4HYDRO48 MONTHS/200 000 KMEntire VehicleYes</v>
          </cell>
          <cell r="AD90">
            <v>92610</v>
          </cell>
          <cell r="AK90" t="str">
            <v>TGS6X248 MONTHS/300 000 KMDrivelineYes</v>
          </cell>
          <cell r="AL90">
            <v>10290</v>
          </cell>
        </row>
        <row r="91">
          <cell r="G91" t="str">
            <v>TGS6X236 MONTHS/450 000 KM60 MONTHS/750 000 KMCombinationNo</v>
          </cell>
          <cell r="H91">
            <v>80115</v>
          </cell>
          <cell r="AC91" t="str">
            <v>TGS4X4HYDRO48 MONTHS/300 000 KMEntire VehicleYes</v>
          </cell>
          <cell r="AD91">
            <v>108045</v>
          </cell>
          <cell r="AK91" t="str">
            <v>TGS6X248 MONTHS/400 000 KMDrivelineNo</v>
          </cell>
          <cell r="AL91">
            <v>16905</v>
          </cell>
        </row>
        <row r="92">
          <cell r="G92" t="str">
            <v>TGS6X236 MONTHS/450 000 KM60 MONTHS/750 000 KMCombinationYes</v>
          </cell>
          <cell r="H92">
            <v>69090</v>
          </cell>
          <cell r="AC92" t="str">
            <v>TGS4X4HYDRO48 MONTHS/400 000 KMEntire VehicleYes</v>
          </cell>
          <cell r="AD92">
            <v>141855</v>
          </cell>
          <cell r="AK92" t="str">
            <v>TGS6X248 MONTHS/400 000 KMDrivelineYes</v>
          </cell>
          <cell r="AL92">
            <v>14700</v>
          </cell>
        </row>
        <row r="93">
          <cell r="G93" t="str">
            <v>TGS6X236 MONTHS/600 000 KM48 MONTHS/800 000 KMCombinationNo</v>
          </cell>
          <cell r="H93">
            <v>80115</v>
          </cell>
          <cell r="AC93" t="str">
            <v>TGS4X4HYDRO48 MONTHS/500 000 KMEntire VehicleYes</v>
          </cell>
          <cell r="AD93">
            <v>174195</v>
          </cell>
          <cell r="AK93" t="str">
            <v>TGS6X248 MONTHS/500 000 KMDrivelineNo</v>
          </cell>
          <cell r="AL93">
            <v>24255</v>
          </cell>
        </row>
        <row r="94">
          <cell r="G94" t="str">
            <v>TGS6X236 MONTHS/600 000 KM48 MONTHS/800 000 KMCombinationYes</v>
          </cell>
          <cell r="H94">
            <v>69090</v>
          </cell>
          <cell r="AC94" t="str">
            <v>TGS4X4HYDRO48 MONTHS/600 000 KMEntire VehicleYes</v>
          </cell>
          <cell r="AD94">
            <v>178605</v>
          </cell>
          <cell r="AK94" t="str">
            <v>TGS6X248 MONTHS/500 000 KMDrivelineYes</v>
          </cell>
          <cell r="AL94">
            <v>20580</v>
          </cell>
        </row>
        <row r="95">
          <cell r="G95" t="str">
            <v>TGS6X236 MONTHS/600 000 KM60 MONTHS/1000 000 KMCombinationNo</v>
          </cell>
          <cell r="H95">
            <v>108045</v>
          </cell>
          <cell r="AC95" t="str">
            <v>TGS4X4HYDRO60 MONTHS/125 000 KMEntire VehicleYes</v>
          </cell>
          <cell r="AD95">
            <v>164640</v>
          </cell>
          <cell r="AK95" t="str">
            <v>TGS6X248 MONTHS/600 000 KMDrivelineNo</v>
          </cell>
          <cell r="AL95">
            <v>33075</v>
          </cell>
        </row>
        <row r="96">
          <cell r="G96" t="str">
            <v>TGS6X236 MONTHS/600 000 KM60 MONTHS/1000 000 KMCombinationYes</v>
          </cell>
          <cell r="H96">
            <v>93345</v>
          </cell>
          <cell r="AC96" t="str">
            <v>TGS4X4HYDRO60 MONTHS/250 000 KMEntire VehicleYes</v>
          </cell>
          <cell r="AD96">
            <v>194040</v>
          </cell>
          <cell r="AK96" t="str">
            <v>TGS6X248 MONTHS/600 000 KMDrivelineYes</v>
          </cell>
          <cell r="AL96">
            <v>28665</v>
          </cell>
        </row>
        <row r="97">
          <cell r="G97" t="str">
            <v>TGS6X248 MONTHS/600 000 KM60 MONTHS/750 000 KMCombinationNo</v>
          </cell>
          <cell r="H97">
            <v>110985</v>
          </cell>
          <cell r="AC97" t="str">
            <v>TGS4X4HYDRO60 MONTHS/375 000 KMEntire VehicleYes</v>
          </cell>
          <cell r="AD97">
            <v>227115</v>
          </cell>
          <cell r="AK97" t="str">
            <v>TGS6X248 MONTHS/700 000 KMDrivelineNo</v>
          </cell>
          <cell r="AL97">
            <v>42630</v>
          </cell>
        </row>
        <row r="98">
          <cell r="G98" t="str">
            <v>TGS6X248 MONTHS/600 000 KM60 MONTHS/750 000 KMCombinationYes</v>
          </cell>
          <cell r="H98">
            <v>96285</v>
          </cell>
          <cell r="AC98" t="str">
            <v>TGS4X4HYDRO60 MONTHS/500 000 KMEntire VehicleYes</v>
          </cell>
          <cell r="AD98">
            <v>296940</v>
          </cell>
          <cell r="AK98" t="str">
            <v>TGS6X248 MONTHS/700 000 KMDrivelineYes</v>
          </cell>
          <cell r="AL98">
            <v>36750</v>
          </cell>
        </row>
        <row r="99">
          <cell r="G99" t="str">
            <v>TGS6X248 MONTHS/800 000 KM60 MONTHS/1000 000 KMCombinationNo</v>
          </cell>
          <cell r="H99">
            <v>128625</v>
          </cell>
          <cell r="AC99" t="str">
            <v>TGS4X4HYDRO60 MONTHS/625 000 KMEntire VehicleYes</v>
          </cell>
          <cell r="AD99">
            <v>365295</v>
          </cell>
          <cell r="AK99" t="str">
            <v>TGS6X248 MONTHS/800 000 KMDrivelineNo</v>
          </cell>
          <cell r="AL99">
            <v>52185</v>
          </cell>
        </row>
        <row r="100">
          <cell r="G100" t="str">
            <v>TGS6X248 MONTHS/800 000 KM60 MONTHS/1000 000 KMCombinationYes</v>
          </cell>
          <cell r="H100">
            <v>111720</v>
          </cell>
          <cell r="AC100" t="str">
            <v>TGS4X4HYDRO60 MONTHS/750 000 KMEntire VehicleYes</v>
          </cell>
          <cell r="AD100">
            <v>374850</v>
          </cell>
          <cell r="AK100" t="str">
            <v>TGS6X248 MONTHS/800 000 KMDrivelineYes</v>
          </cell>
          <cell r="AL100">
            <v>44835</v>
          </cell>
        </row>
        <row r="101">
          <cell r="G101" t="str">
            <v>TGS6X4 H/D (ABN)24 MONTHS/150 000 KM36 MONTHS/225 000 KMCombinationNo</v>
          </cell>
          <cell r="H101">
            <v>71295</v>
          </cell>
          <cell r="AC101" t="str">
            <v>TGS6X224 MONTHS/150 000 KMEntire VehicleNo</v>
          </cell>
          <cell r="AD101">
            <v>7350</v>
          </cell>
          <cell r="AK101" t="str">
            <v>TGS6X260 MONTHS/1 000 000 KMDrivelineNo</v>
          </cell>
          <cell r="AL101">
            <v>80115</v>
          </cell>
        </row>
        <row r="102">
          <cell r="G102" t="str">
            <v>TGS6X4 H/D (ABN)24 MONTHS/150 000 KM36 MONTHS/225 000 KMCombinationYes</v>
          </cell>
          <cell r="H102">
            <v>26460</v>
          </cell>
          <cell r="AC102" t="str">
            <v>TGS6X224 MONTHS/150 000 KMEntire VehicleYes</v>
          </cell>
          <cell r="AD102">
            <v>5880</v>
          </cell>
          <cell r="AK102" t="str">
            <v>TGS6X260 MONTHS/1 000 000 KMDrivelineYes</v>
          </cell>
          <cell r="AL102">
            <v>69090</v>
          </cell>
        </row>
        <row r="103">
          <cell r="G103" t="str">
            <v>TGS6X4 H/D (ABN)24 MONTHS/150 000 KM48 MONTHS/300 000 KMCombinationNo</v>
          </cell>
          <cell r="H103">
            <v>111720</v>
          </cell>
          <cell r="AC103" t="str">
            <v>TGS6X224 MONTHS/200 000 KMEntire VehicleNo</v>
          </cell>
          <cell r="AD103">
            <v>8820</v>
          </cell>
          <cell r="AK103" t="str">
            <v>TGS6X260 MONTHS/375 000 KMDrivelineNo</v>
          </cell>
          <cell r="AL103">
            <v>24990</v>
          </cell>
        </row>
        <row r="104">
          <cell r="G104" t="str">
            <v>TGS6X4 H/D (ABN)24 MONTHS/150 000 KM48 MONTHS/300 000 KMCombinationYes</v>
          </cell>
          <cell r="H104">
            <v>47775</v>
          </cell>
          <cell r="AC104" t="str">
            <v>TGS6X224 MONTHS/200 000 KMEntire VehicleYes</v>
          </cell>
          <cell r="AD104">
            <v>7350</v>
          </cell>
          <cell r="AK104" t="str">
            <v>TGS6X260 MONTHS/375 000 KMDrivelineYes</v>
          </cell>
          <cell r="AL104">
            <v>21315</v>
          </cell>
        </row>
        <row r="105">
          <cell r="G105" t="str">
            <v>TGS6X4 H/D (ABN)24 MONTHS/150 000 KM60 MONTHS/375 000 KMCombinationNo</v>
          </cell>
          <cell r="H105">
            <v>212415</v>
          </cell>
          <cell r="AC105" t="str">
            <v>TGS6X224 MONTHS/250 000 KMEntire VehicleNo</v>
          </cell>
          <cell r="AD105">
            <v>11025</v>
          </cell>
          <cell r="AK105" t="str">
            <v>TGS6X260 MONTHS/500 000 KMDrivelineNo</v>
          </cell>
          <cell r="AL105">
            <v>33810</v>
          </cell>
        </row>
        <row r="106">
          <cell r="G106" t="str">
            <v>TGS6X4 H/D (ABN)24 MONTHS/150 000 KM60 MONTHS/375 000 KMCombinationYes</v>
          </cell>
          <cell r="H106">
            <v>88200</v>
          </cell>
          <cell r="AC106" t="str">
            <v>TGS6X224 MONTHS/250 000 KMEntire VehicleYes</v>
          </cell>
          <cell r="AD106">
            <v>9555</v>
          </cell>
          <cell r="AK106" t="str">
            <v>TGS6X260 MONTHS/500 000 KMDrivelineYes</v>
          </cell>
          <cell r="AL106">
            <v>29400</v>
          </cell>
        </row>
        <row r="107">
          <cell r="G107" t="str">
            <v>TGS6X4 H/D (ABN)24 MONTHS/300 000 KM36 MONTHS/450 000 KMCombinationNo</v>
          </cell>
          <cell r="H107">
            <v>126420</v>
          </cell>
          <cell r="AC107" t="str">
            <v>TGS6X224 MONTHS/300 000 KMEntire VehicleNo</v>
          </cell>
          <cell r="AD107">
            <v>13965</v>
          </cell>
          <cell r="AK107" t="str">
            <v>TGS6X260 MONTHS/625 000 KMDrivelineNo</v>
          </cell>
          <cell r="AL107">
            <v>44100</v>
          </cell>
        </row>
        <row r="108">
          <cell r="G108" t="str">
            <v>TGS6X4 H/D (ABN)24 MONTHS/300 000 KM36 MONTHS/450 000 KMCombinationYes</v>
          </cell>
          <cell r="H108">
            <v>45312.272727272721</v>
          </cell>
          <cell r="AC108" t="str">
            <v>TGS6X224 MONTHS/300 000 KMEntire VehicleYes</v>
          </cell>
          <cell r="AD108">
            <v>11760</v>
          </cell>
          <cell r="AK108" t="str">
            <v>TGS6X260 MONTHS/625 000 KMDrivelineYes</v>
          </cell>
          <cell r="AL108">
            <v>38220</v>
          </cell>
        </row>
        <row r="109">
          <cell r="G109" t="str">
            <v>TGS6X4 H/D (ABN)24 MONTHS/300 000 KM48 MONTHS/600 000 KMCombinationNo</v>
          </cell>
          <cell r="H109">
            <v>193305</v>
          </cell>
          <cell r="AC109" t="str">
            <v>TGS6X224 MONTHS/350 000 KMEntire VehicleNo</v>
          </cell>
          <cell r="AD109">
            <v>15435</v>
          </cell>
          <cell r="AK109" t="str">
            <v>TGS6X260 MONTHS/750 000 KMDrivelineNo</v>
          </cell>
          <cell r="AL109">
            <v>55860</v>
          </cell>
        </row>
        <row r="110">
          <cell r="G110" t="str">
            <v>TGS6X4 H/D (ABN)24 MONTHS/300 000 KM48 MONTHS/600 000 KMCombinationYes</v>
          </cell>
          <cell r="H110">
            <v>77175</v>
          </cell>
          <cell r="AC110" t="str">
            <v>TGS6X224 MONTHS/350 000 KMEntire VehicleYes</v>
          </cell>
          <cell r="AD110">
            <v>13230</v>
          </cell>
          <cell r="AK110" t="str">
            <v>TGS6X260 MONTHS/750 000 KMDrivelineYes</v>
          </cell>
          <cell r="AL110">
            <v>48510</v>
          </cell>
        </row>
        <row r="111">
          <cell r="G111" t="str">
            <v>TGS6X4 H/D (ABN)24 MONTHS/300 000 KM60 MONTHS/750 000 KMCombinationNo</v>
          </cell>
          <cell r="H111">
            <v>360150</v>
          </cell>
          <cell r="AC111" t="str">
            <v>TGS6X224 MONTHS/400 000 KMEntire VehicleNo</v>
          </cell>
          <cell r="AD111">
            <v>16170</v>
          </cell>
          <cell r="AK111" t="str">
            <v>TGS6X260 MONTHS/875 000 KMDrivelineNo</v>
          </cell>
          <cell r="AL111">
            <v>58065</v>
          </cell>
        </row>
        <row r="112">
          <cell r="G112" t="str">
            <v>TGS6X4 H/D (ABN)24 MONTHS/300 000 KM60 MONTHS/750 000 KMCombinationYes</v>
          </cell>
          <cell r="H112">
            <v>147735</v>
          </cell>
          <cell r="AC112" t="str">
            <v>TGS6X224 MONTHS/400 000 KMEntire VehicleYes</v>
          </cell>
          <cell r="AD112">
            <v>13965</v>
          </cell>
          <cell r="AK112" t="str">
            <v>TGS6X260 MONTHS/875 000 KMDrivelineYes</v>
          </cell>
          <cell r="AL112">
            <v>58065</v>
          </cell>
        </row>
        <row r="113">
          <cell r="G113" t="str">
            <v>TGS6X4 H/D (ABN)36 MONTHS/225 000 KM48 MONTHS/300 000 KM CombinationNo</v>
          </cell>
          <cell r="H113">
            <v>132300</v>
          </cell>
          <cell r="AC113" t="str">
            <v>TGS6X236 MONTHS/225 000 KMEntire VehicleNo</v>
          </cell>
          <cell r="AD113">
            <v>25725</v>
          </cell>
          <cell r="AK113" t="str">
            <v>TGS6X436 MONTHS/150 000 KMDrivelineYes</v>
          </cell>
          <cell r="AL113">
            <v>11760</v>
          </cell>
        </row>
        <row r="114">
          <cell r="G114" t="str">
            <v>TGS6X4 H/D (ABN)36 MONTHS/225 000 KM48 MONTHS/300 000 KM CombinationYes</v>
          </cell>
          <cell r="H114">
            <v>61740</v>
          </cell>
          <cell r="AC114" t="str">
            <v>TGS6X236 MONTHS/225 000 KMEntire VehicleYes</v>
          </cell>
          <cell r="AD114">
            <v>22050</v>
          </cell>
          <cell r="AK114" t="str">
            <v>TGS6X436 MONTHS/225 000 KMDrivelineYes</v>
          </cell>
          <cell r="AL114">
            <v>13230</v>
          </cell>
        </row>
        <row r="115">
          <cell r="G115" t="str">
            <v>TGS6X4 H/D (ABN)36 MONTHS/225 000 KM60 MONTHS/750 000 KMCombinationNo</v>
          </cell>
          <cell r="H115">
            <v>232995</v>
          </cell>
          <cell r="AC115" t="str">
            <v>TGS6X236 MONTHS/300 000 KMEntire VehicleNo</v>
          </cell>
          <cell r="AD115">
            <v>29400</v>
          </cell>
          <cell r="AK115" t="str">
            <v>TGS6X436 MONTHS/300 000 KMDrivelineYes</v>
          </cell>
          <cell r="AL115">
            <v>16905</v>
          </cell>
        </row>
        <row r="116">
          <cell r="G116" t="str">
            <v>TGS6X4 H/D (ABN)36 MONTHS/225 000 KM60 MONTHS/750 000 KMCombinationYes</v>
          </cell>
          <cell r="H116">
            <v>102165</v>
          </cell>
          <cell r="AC116" t="str">
            <v>TGS6X236 MONTHS/300 000 KMEntire VehicleYes</v>
          </cell>
          <cell r="AD116">
            <v>24990</v>
          </cell>
          <cell r="AK116" t="str">
            <v>TGS6X436 MONTHS/375 000 KMDrivelineYes</v>
          </cell>
          <cell r="AL116">
            <v>20580</v>
          </cell>
        </row>
        <row r="117">
          <cell r="G117" t="str">
            <v>TGS6X4 H/D (ABN)36 MONTHS/450 000 KM48 MONTHS/600 000 KMCombinationNo</v>
          </cell>
          <cell r="H117">
            <v>216825</v>
          </cell>
          <cell r="AC117" t="str">
            <v>TGS6X236 MONTHS/375 000 KMEntire VehicleNo</v>
          </cell>
          <cell r="AD117">
            <v>35280</v>
          </cell>
          <cell r="AK117" t="str">
            <v>TGS6X436 MONTHS/450 000 KMDrivelineYes</v>
          </cell>
          <cell r="AL117">
            <v>21315</v>
          </cell>
        </row>
        <row r="118">
          <cell r="G118" t="str">
            <v>TGS6X4 H/D (ABN)36 MONTHS/450 000 KM48 MONTHS/600 000 KMCombinationYes</v>
          </cell>
          <cell r="H118">
            <v>98490</v>
          </cell>
          <cell r="AC118" t="str">
            <v>TGS6X236 MONTHS/375 000 KMEntire VehicleYes</v>
          </cell>
          <cell r="AD118">
            <v>30135</v>
          </cell>
          <cell r="AK118" t="str">
            <v>TGS6X436 MONTHS/75 000 KMDrivelineYes</v>
          </cell>
          <cell r="AL118">
            <v>7350</v>
          </cell>
        </row>
        <row r="119">
          <cell r="G119" t="str">
            <v>TGS6X4 H/D (ABN)36 MONTHS/450 000 KM60 MONTHS/750 000 KMCombinationNo</v>
          </cell>
          <cell r="H119">
            <v>383670</v>
          </cell>
          <cell r="AC119" t="str">
            <v>TGS6X236 MONTHS/450 000 KMEntire VehicleNo</v>
          </cell>
          <cell r="AD119">
            <v>40425</v>
          </cell>
          <cell r="AK119" t="str">
            <v>TGS6X448 MONTHS/100 000 KMDrivelineYes</v>
          </cell>
          <cell r="AL119">
            <v>19110</v>
          </cell>
        </row>
        <row r="120">
          <cell r="G120" t="str">
            <v>TGS6X4 H/D (ABN)36 MONTHS/450 000 KM60 MONTHS/750 000 KMCombinationYes</v>
          </cell>
          <cell r="H120">
            <v>169050</v>
          </cell>
          <cell r="AC120" t="str">
            <v>TGS6X236 MONTHS/450 000 KMEntire VehicleYes</v>
          </cell>
          <cell r="AD120">
            <v>34545</v>
          </cell>
          <cell r="AK120" t="str">
            <v>TGS6X448 MONTHS/200 000 KMDrivelineYes</v>
          </cell>
          <cell r="AL120">
            <v>22050</v>
          </cell>
        </row>
        <row r="121">
          <cell r="G121" t="str">
            <v>TGS6X4 H/D (ABN)48 MONTHS/300 000 KM60 MONTHS/750 000 KMCombinationNo</v>
          </cell>
          <cell r="H121">
            <v>278565</v>
          </cell>
          <cell r="AC121" t="str">
            <v>TGS6X236 MONTHS/525 000 KMEntire VehicleNo</v>
          </cell>
          <cell r="AD121">
            <v>44835</v>
          </cell>
          <cell r="AK121" t="str">
            <v>TGS6X448 MONTHS/300 000 KMDrivelineYes</v>
          </cell>
          <cell r="AL121">
            <v>25725</v>
          </cell>
        </row>
        <row r="122">
          <cell r="G122" t="str">
            <v>TGS6X4 H/D (ABN)48 MONTHS/300 000 KM60 MONTHS/750 000 KMCombinationNo</v>
          </cell>
          <cell r="H122">
            <v>460845</v>
          </cell>
          <cell r="AC122" t="str">
            <v>TGS6X236 MONTHS/525 000 KMEntire VehicleYes</v>
          </cell>
          <cell r="AD122">
            <v>38955</v>
          </cell>
          <cell r="AK122" t="str">
            <v>TGS6X448 MONTHS/400 000 KMDrivelineYes</v>
          </cell>
          <cell r="AL122">
            <v>33810</v>
          </cell>
        </row>
        <row r="123">
          <cell r="G123" t="str">
            <v>TGS6X4 H/D (ABN)48 MONTHS/300 000 KM60 MONTHS/750 000 KMCombinationYes</v>
          </cell>
          <cell r="H123">
            <v>148470</v>
          </cell>
          <cell r="AC123" t="str">
            <v>TGS6X236 MONTHS/600 000 KMEntire VehicleNo</v>
          </cell>
          <cell r="AD123">
            <v>49980</v>
          </cell>
          <cell r="AK123" t="str">
            <v>TGS6X448 MONTHS/500 000 KMDrivelineYes</v>
          </cell>
          <cell r="AL123">
            <v>47040</v>
          </cell>
        </row>
        <row r="124">
          <cell r="G124" t="str">
            <v>TGS6X4 H/D (ABN)48 MONTHS/300 000 KM60 MONTHS/750 000 KMCombinationYes</v>
          </cell>
          <cell r="H124">
            <v>249165</v>
          </cell>
          <cell r="AC124" t="str">
            <v>TGS6X236 MONTHS/600 000 KMEntire VehicleYes</v>
          </cell>
          <cell r="AD124">
            <v>43365</v>
          </cell>
          <cell r="AK124" t="str">
            <v>TGS6X448 MONTHS/600 000 KMDrivelineYes</v>
          </cell>
          <cell r="AL124">
            <v>49980</v>
          </cell>
        </row>
        <row r="125">
          <cell r="G125" t="str">
            <v>TGS6X4 H/D24 MONTHS/150 000 KM36 MONTHS/225 000 KMCombinationNo</v>
          </cell>
          <cell r="H125">
            <v>31605</v>
          </cell>
          <cell r="AC125" t="str">
            <v>TGS6X248 MONTHS/300 000 KMEntire VehicleNo</v>
          </cell>
          <cell r="AD125">
            <v>50715</v>
          </cell>
          <cell r="AK125" t="str">
            <v>TGS6X460 MONTHS/125 000 KMDrivelineYes</v>
          </cell>
          <cell r="AL125">
            <v>38955</v>
          </cell>
        </row>
        <row r="126">
          <cell r="G126" t="str">
            <v>TGS6X4 H/D24 MONTHS/150 000 KM36 MONTHS/225 000 KMCombinationYes</v>
          </cell>
          <cell r="H126">
            <v>61005</v>
          </cell>
          <cell r="AC126" t="str">
            <v>TGS6X248 MONTHS/300 000 KMEntire VehicleYes</v>
          </cell>
          <cell r="AD126">
            <v>44100</v>
          </cell>
          <cell r="AK126" t="str">
            <v>TGS6X460 MONTHS/250 000 KMDrivelineYes</v>
          </cell>
          <cell r="AL126">
            <v>45570</v>
          </cell>
        </row>
        <row r="127">
          <cell r="G127" t="str">
            <v>TGS6X4 H/D24 MONTHS/150 000 KM48 MONTHS/300 000 KMCombinationNo</v>
          </cell>
          <cell r="H127">
            <v>55860</v>
          </cell>
          <cell r="AC127" t="str">
            <v>TGS6X248 MONTHS/400 000 KMEntire VehicleNo</v>
          </cell>
          <cell r="AD127">
            <v>65415</v>
          </cell>
          <cell r="AK127" t="str">
            <v>TGS6X460 MONTHS/375 000 KMDrivelineYes</v>
          </cell>
          <cell r="AL127">
            <v>53655</v>
          </cell>
        </row>
        <row r="128">
          <cell r="G128" t="str">
            <v>TGS6X4 H/D24 MONTHS/150 000 KM48 MONTHS/300 000 KMCombinationYes</v>
          </cell>
          <cell r="H128">
            <v>96285</v>
          </cell>
          <cell r="AC128" t="str">
            <v>TGS6X248 MONTHS/400 000 KMEntire VehicleYes</v>
          </cell>
          <cell r="AD128">
            <v>56595</v>
          </cell>
          <cell r="AK128" t="str">
            <v>TGS6X460 MONTHS/500 000 KMDrivelineYes</v>
          </cell>
          <cell r="AL128">
            <v>80850</v>
          </cell>
        </row>
        <row r="129">
          <cell r="G129" t="str">
            <v>TGS6X4 H/D24 MONTHS/150 000 KM60 MONTHS/375 000 KMCombinationNo</v>
          </cell>
          <cell r="H129">
            <v>102165</v>
          </cell>
          <cell r="AC129" t="str">
            <v>TGS6X248 MONTHS/500 000 KMEntire VehicleNo</v>
          </cell>
          <cell r="AD129">
            <v>80115</v>
          </cell>
          <cell r="AK129" t="str">
            <v>TGS6X460 MONTHS/625 000 KMDrivelineYes</v>
          </cell>
          <cell r="AL129">
            <v>104370</v>
          </cell>
        </row>
        <row r="130">
          <cell r="G130" t="str">
            <v>TGS6X4 H/D24 MONTHS/150 000 KM60 MONTHS/375 000 KMCombinationYes</v>
          </cell>
          <cell r="H130">
            <v>183750</v>
          </cell>
          <cell r="AC130" t="str">
            <v>TGS6X248 MONTHS/500 000 KMEntire VehicleYes</v>
          </cell>
          <cell r="AD130">
            <v>69090</v>
          </cell>
          <cell r="AK130" t="str">
            <v>TGS6X460 MONTHS/750 000 KMDrivelineYes</v>
          </cell>
          <cell r="AL130">
            <v>112455</v>
          </cell>
        </row>
        <row r="131">
          <cell r="G131" t="str">
            <v>TGS6X4 H/D24 MONTHS/300 000 KM36 MONTHS/450 000 KMCombinationNo</v>
          </cell>
          <cell r="H131">
            <v>52920</v>
          </cell>
          <cell r="AC131" t="str">
            <v>TGS6X248 MONTHS/600 000 KMEntire VehicleNo</v>
          </cell>
          <cell r="AD131">
            <v>88200</v>
          </cell>
          <cell r="AK131" t="str">
            <v>TGS6X4H/D36 MONTHS/150 000 KMDrivelineYes</v>
          </cell>
          <cell r="AL131">
            <v>38220</v>
          </cell>
        </row>
        <row r="132">
          <cell r="G132" t="str">
            <v>TGS6X4 H/D24 MONTHS/300 000 KM36 MONTHS/450 000 KMCombinationYes</v>
          </cell>
          <cell r="H132">
            <v>109515</v>
          </cell>
          <cell r="AC132" t="str">
            <v>TGS6X248 MONTHS/600 000 KMEntire VehicleYes</v>
          </cell>
          <cell r="AD132">
            <v>76440</v>
          </cell>
          <cell r="AK132" t="str">
            <v>TGS6X4H/D36 MONTHS/225 000 KMDrivelineYes</v>
          </cell>
          <cell r="AL132">
            <v>44835</v>
          </cell>
        </row>
        <row r="133">
          <cell r="G133" t="str">
            <v>TGS6X4 H/D24 MONTHS/300 000 KM48 MONTHS/600 000 KMCombinationNo</v>
          </cell>
          <cell r="H133">
            <v>88935</v>
          </cell>
          <cell r="AC133" t="str">
            <v>TGS6X248 MONTHS/700 000 KMEntire VehicleNo</v>
          </cell>
          <cell r="AD133">
            <v>94080</v>
          </cell>
          <cell r="AK133" t="str">
            <v>TGS6X4H/D36 MONTHS/300 000 KMDrivelineYes</v>
          </cell>
          <cell r="AL133">
            <v>58065</v>
          </cell>
        </row>
        <row r="134">
          <cell r="G134" t="str">
            <v>TGS6X4 H/D24 MONTHS/300 000 KM48 MONTHS/600 000 KMCombinationYes</v>
          </cell>
          <cell r="H134">
            <v>167580</v>
          </cell>
          <cell r="AC134" t="str">
            <v>TGS6X248 MONTHS/700 000 KMEntire VehicleYes</v>
          </cell>
          <cell r="AD134">
            <v>81585</v>
          </cell>
          <cell r="AK134" t="str">
            <v>TGS6X4H/D36 MONTHS/375 000 KMDrivelineYes</v>
          </cell>
          <cell r="AL134">
            <v>71295</v>
          </cell>
        </row>
        <row r="135">
          <cell r="G135" t="str">
            <v>TGS6X4 H/D24 MONTHS/300 000 KM60 MONTHS/750 000 KMCombinationNo</v>
          </cell>
          <cell r="H135">
            <v>170520</v>
          </cell>
          <cell r="AC135" t="str">
            <v>TGS6X248 MONTHS/800 000 KMEntire VehicleNo</v>
          </cell>
          <cell r="AD135">
            <v>100695</v>
          </cell>
          <cell r="AK135" t="str">
            <v>TGS6X4H/D36 MONTHS/450 000 KMDrivelineYes</v>
          </cell>
          <cell r="AL135">
            <v>73500</v>
          </cell>
        </row>
        <row r="136">
          <cell r="G136" t="str">
            <v>TGS6X4 H/D24 MONTHS/300 000 KM60 MONTHS/750 000 KMCombinationYes</v>
          </cell>
          <cell r="H136">
            <v>312375</v>
          </cell>
          <cell r="AC136" t="str">
            <v>TGS6X248 MONTHS/800 000 KMEntire VehicleYes</v>
          </cell>
          <cell r="AD136">
            <v>87465</v>
          </cell>
          <cell r="AK136" t="str">
            <v>TGS6X4H/D36 MONTHS/75 000 KMDrivelineYes</v>
          </cell>
          <cell r="AL136">
            <v>32340</v>
          </cell>
        </row>
        <row r="137">
          <cell r="G137" t="str">
            <v>TGS6X4 H/D36 MONTHS/225 000 KM48 MONTHS/300 000 KM CombinationNo</v>
          </cell>
          <cell r="H137">
            <v>71295</v>
          </cell>
          <cell r="AC137" t="str">
            <v>TGS6X260 MONTHS/1 000 000 KMEntire VehicleNo</v>
          </cell>
          <cell r="AD137">
            <v>189630</v>
          </cell>
          <cell r="AK137" t="str">
            <v>TGS6X4H/D48 MONTHS/100 000 KMDrivelineYes</v>
          </cell>
          <cell r="AL137">
            <v>58065</v>
          </cell>
        </row>
        <row r="138">
          <cell r="G138" t="str">
            <v>TGS6X4 H/D36 MONTHS/225 000 KM48 MONTHS/300 000 KM CombinationYes</v>
          </cell>
          <cell r="H138">
            <v>114660</v>
          </cell>
          <cell r="AC138" t="str">
            <v>TGS6X260 MONTHS/1 000 000 KMEntire VehicleYes</v>
          </cell>
          <cell r="AD138">
            <v>164640</v>
          </cell>
          <cell r="AK138" t="str">
            <v>TGS6X4H/D48 MONTHS/200 000 KMDrivelineYes</v>
          </cell>
          <cell r="AL138">
            <v>68335</v>
          </cell>
        </row>
        <row r="139">
          <cell r="G139" t="str">
            <v>TGS6X4 H/D36 MONTHS/225 000 KM60 MONTHS/750 000 KMCombinationNo</v>
          </cell>
          <cell r="H139">
            <v>117600</v>
          </cell>
          <cell r="AC139" t="str">
            <v>TGS6X260 MONTHS/375 000 KMEntire VehicleNo</v>
          </cell>
          <cell r="AD139">
            <v>95550</v>
          </cell>
          <cell r="AK139" t="str">
            <v>TGS6X4H/D48 MONTHS/300 000 KMDrivelineYes</v>
          </cell>
          <cell r="AL139">
            <v>80115</v>
          </cell>
        </row>
        <row r="140">
          <cell r="G140" t="str">
            <v>TGS6X4 H/D36 MONTHS/225 000 KM60 MONTHS/750 000 KMCombinationYes</v>
          </cell>
          <cell r="H140">
            <v>202125</v>
          </cell>
          <cell r="AC140" t="str">
            <v>TGS6X260 MONTHS/375 000 KMEntire VehicleYes</v>
          </cell>
          <cell r="AD140">
            <v>83055</v>
          </cell>
          <cell r="AK140" t="str">
            <v>TGS6X4H/D48 MONTHS/400 000 KMDrivelineYes</v>
          </cell>
          <cell r="AL140">
            <v>104370</v>
          </cell>
        </row>
        <row r="141">
          <cell r="G141" t="str">
            <v>TGS6X4 H/D36 MONTHS/450 000 KM48 MONTHS/600 000 KMCombinationNo</v>
          </cell>
          <cell r="H141">
            <v>113190</v>
          </cell>
          <cell r="AC141" t="str">
            <v>TGS6X260 MONTHS/500 000 KMEntire VehicleNo</v>
          </cell>
          <cell r="AD141">
            <v>126420</v>
          </cell>
          <cell r="AK141" t="str">
            <v>TGS6X4H/D48 MONTHS/500 000 KMDrivelineYes</v>
          </cell>
          <cell r="AL141">
            <v>127890</v>
          </cell>
        </row>
        <row r="142">
          <cell r="G142" t="str">
            <v>TGS6X4 H/D36 MONTHS/450 000 KM48 MONTHS/600 000 KMCombinationYes</v>
          </cell>
          <cell r="H142">
            <v>188160</v>
          </cell>
          <cell r="AC142" t="str">
            <v>TGS6X260 MONTHS/500 000 KMEntire VehicleYes</v>
          </cell>
          <cell r="AD142">
            <v>109515</v>
          </cell>
          <cell r="AK142" t="str">
            <v>TGS6X4H/D48 MONTHS/600 000 KMDrivelineYes</v>
          </cell>
          <cell r="AL142">
            <v>131565</v>
          </cell>
        </row>
        <row r="143">
          <cell r="G143" t="str">
            <v>TGS6X4 H/D36 MONTHS/450 000 KM60 MONTHS/750 000 KMCombinationNo</v>
          </cell>
          <cell r="H143">
            <v>194775</v>
          </cell>
          <cell r="AC143" t="str">
            <v>TGS6X260 MONTHS/625 000 KMEntire VehicleNo</v>
          </cell>
          <cell r="AD143">
            <v>150675</v>
          </cell>
          <cell r="AK143" t="str">
            <v>TGS6X4H/D60 MONTHS/125 000 KMDrivelineYes</v>
          </cell>
          <cell r="AL143">
            <v>121275</v>
          </cell>
        </row>
        <row r="144">
          <cell r="G144" t="str">
            <v>TGS6X4 H/D36 MONTHS/450 000 KM60 MONTHS/750 000 KMCombinationYes</v>
          </cell>
          <cell r="H144">
            <v>332955</v>
          </cell>
          <cell r="AC144" t="str">
            <v>TGS6X260 MONTHS/625 000 KMEntire VehicleYes</v>
          </cell>
          <cell r="AD144">
            <v>130830</v>
          </cell>
          <cell r="AK144" t="str">
            <v>TGS6X4H/D60 MONTHS/250 000 KMDrivelineYes</v>
          </cell>
          <cell r="AL144">
            <v>142590</v>
          </cell>
        </row>
        <row r="145">
          <cell r="G145" t="str">
            <v>TGS6X4 H/D48 MONTHS/300 000 KM60 MONTHS/750 000 KMCombinationNo</v>
          </cell>
          <cell r="H145">
            <v>171255</v>
          </cell>
          <cell r="AC145" t="str">
            <v>TGS6X260 MONTHS/750 000 KMEntire VehicleNo</v>
          </cell>
          <cell r="AD145">
            <v>163170</v>
          </cell>
          <cell r="AK145" t="str">
            <v>TGS6X4H/D60 MONTHS/375 000 KMDrivelineYes</v>
          </cell>
          <cell r="AL145">
            <v>167580</v>
          </cell>
        </row>
        <row r="146">
          <cell r="G146" t="str">
            <v>TGS6X4 H/D48 MONTHS/300 000 KM60 MONTHS/750 000 KMCombinationNo</v>
          </cell>
          <cell r="H146">
            <v>287385</v>
          </cell>
          <cell r="AC146" t="str">
            <v>TGS6X260 MONTHS/750 000 KMEntire VehicleYes</v>
          </cell>
          <cell r="AD146">
            <v>141855</v>
          </cell>
          <cell r="AK146" t="str">
            <v>TGS6X4H/D60 MONTHS/500 000 KMDrivelineYes</v>
          </cell>
          <cell r="AL146">
            <v>218295</v>
          </cell>
        </row>
        <row r="147">
          <cell r="G147" t="str">
            <v>TGS6X4 H/D48 MONTHS/300 000 KM60 MONTHS/750 000 KMCombinationYes</v>
          </cell>
          <cell r="H147">
            <v>241815</v>
          </cell>
          <cell r="AC147" t="str">
            <v>TGS6X260 MONTHS/875 000 KMEntire VehicleNo</v>
          </cell>
          <cell r="AD147">
            <v>171990</v>
          </cell>
          <cell r="AK147" t="str">
            <v>TGS6X4H/D60 MONTHS/625 000 KMDrivelineYes</v>
          </cell>
          <cell r="AL147">
            <v>269010</v>
          </cell>
        </row>
        <row r="148">
          <cell r="G148" t="str">
            <v>TGS6X4 H/D48 MONTHS/300 000 KM60 MONTHS/750 000 KMCombinationYes</v>
          </cell>
          <cell r="H148">
            <v>399840</v>
          </cell>
          <cell r="AC148" t="str">
            <v>TGS6X260 MONTHS/875 000 KMEntire VehicleYes</v>
          </cell>
          <cell r="AD148">
            <v>149205</v>
          </cell>
          <cell r="AK148" t="str">
            <v>TGS6X4H/D60 MONTHS/750 000 KMDrivelineYes</v>
          </cell>
          <cell r="AL148">
            <v>276360</v>
          </cell>
        </row>
        <row r="149">
          <cell r="G149" t="str">
            <v>TGS6X424 MONTHS/150 000 KM 60 MONTHS/375 000 KMCombinationNo</v>
          </cell>
          <cell r="H149">
            <v>72765</v>
          </cell>
          <cell r="AC149" t="str">
            <v>TGS6X424 MONTHS/100 000 KMEntire VehicleYes</v>
          </cell>
          <cell r="AD149">
            <v>7350</v>
          </cell>
          <cell r="AK149" t="str">
            <v>TGS6X4HYDRO36 MONTHS/150 000 KMDrivelineYes</v>
          </cell>
          <cell r="AL149">
            <v>13965</v>
          </cell>
        </row>
        <row r="150">
          <cell r="G150" t="str">
            <v>TGS6X424 MONTHS/150 000 KM 60 MONTHS/375 000 KMCombinationYes</v>
          </cell>
          <cell r="H150">
            <v>63210</v>
          </cell>
          <cell r="AC150" t="str">
            <v>TGS6X424 MONTHS/150 000 KMEntire VehicleYes</v>
          </cell>
          <cell r="AD150">
            <v>9555</v>
          </cell>
          <cell r="AK150" t="str">
            <v>TGS6X4HYDRO36 MONTHS/225 000 KMDrivelineYes</v>
          </cell>
          <cell r="AL150">
            <v>16170</v>
          </cell>
        </row>
        <row r="151">
          <cell r="G151" t="str">
            <v>TGS6X424 MONTHS/150 000 KM36 MONTHS/225 000 KMCombinationNo</v>
          </cell>
          <cell r="H151">
            <v>26460</v>
          </cell>
          <cell r="AC151" t="str">
            <v>TGS6X424 MONTHS/200 000 KMEntire VehicleYes</v>
          </cell>
          <cell r="AD151">
            <v>11025</v>
          </cell>
          <cell r="AK151" t="str">
            <v>TGS6X4HYDRO36 MONTHS/300 000 KMDrivelineYes</v>
          </cell>
          <cell r="AL151">
            <v>20580</v>
          </cell>
        </row>
        <row r="152">
          <cell r="G152" t="str">
            <v>TGS6X424 MONTHS/150 000 KM36 MONTHS/225 000 KMCombinationYes</v>
          </cell>
          <cell r="H152">
            <v>22785</v>
          </cell>
          <cell r="AC152" t="str">
            <v>TGS6X424 MONTHS/250 000 KMEntire VehicleYes</v>
          </cell>
          <cell r="AD152">
            <v>13230</v>
          </cell>
          <cell r="AK152" t="str">
            <v>TGS6X4HYDRO36 MONTHS/375 000 KMDrivelineYes</v>
          </cell>
          <cell r="AL152">
            <v>25725</v>
          </cell>
        </row>
        <row r="153">
          <cell r="G153" t="str">
            <v>TGS6X424 MONTHS/150 000 KM48 MONTHS/300 000 KMCombinationNo</v>
          </cell>
          <cell r="H153">
            <v>41160</v>
          </cell>
          <cell r="AC153" t="str">
            <v>TGS6X424 MONTHS/300 000 KMEntire VehicleYes</v>
          </cell>
          <cell r="AD153">
            <v>13965</v>
          </cell>
          <cell r="AK153" t="str">
            <v>TGS6X4HYDRO36 MONTHS/450 000 KMDrivelineYes</v>
          </cell>
          <cell r="AL153">
            <v>26460</v>
          </cell>
        </row>
        <row r="154">
          <cell r="G154" t="str">
            <v>TGS6X424 MONTHS/150 000 KM48 MONTHS/300 000 KMCombinationYes</v>
          </cell>
          <cell r="H154">
            <v>35280</v>
          </cell>
          <cell r="AC154" t="str">
            <v>TGS6X424 MONTHS/50 000 KMEntire VehicleYes</v>
          </cell>
          <cell r="AD154">
            <v>5880</v>
          </cell>
          <cell r="AK154" t="str">
            <v>TGS6X4HYDRO36 MONTHS/75 000 KMDrivelineYes</v>
          </cell>
          <cell r="AL154">
            <v>11760</v>
          </cell>
        </row>
        <row r="155">
          <cell r="G155" t="str">
            <v>TGS6X424 MONTHS/300 000 KM36 MONTHS/450 000 KMCombinationNo</v>
          </cell>
          <cell r="H155">
            <v>41160</v>
          </cell>
          <cell r="AC155" t="str">
            <v>TGS6X436 MONTHS/150 000 KMEntire VehicleYes</v>
          </cell>
          <cell r="AD155">
            <v>27930</v>
          </cell>
          <cell r="AK155" t="str">
            <v>TGS6X4HYDRO48 MONTHS/100 000 KMDrivelineYes</v>
          </cell>
          <cell r="AL155">
            <v>27195</v>
          </cell>
        </row>
        <row r="156">
          <cell r="G156" t="str">
            <v>TGS6X424 MONTHS/300 000 KM36 MONTHS/450 000 KMCombinationYes</v>
          </cell>
          <cell r="H156">
            <v>35280</v>
          </cell>
          <cell r="AC156" t="str">
            <v>TGS6X436 MONTHS/225 000 KMEntire VehicleYes</v>
          </cell>
          <cell r="AD156">
            <v>33075</v>
          </cell>
          <cell r="AK156" t="str">
            <v>TGS6X4HYDRO48 MONTHS/200 000 KMDrivelineYes</v>
          </cell>
          <cell r="AL156">
            <v>31605</v>
          </cell>
        </row>
        <row r="157">
          <cell r="G157" t="str">
            <v>TGS6X424 MONTHS/300 000 KM48 MONTHS/600 000 KMCombinationNo</v>
          </cell>
          <cell r="H157">
            <v>74235</v>
          </cell>
          <cell r="AC157" t="str">
            <v>TGS6X436 MONTHS/300 000 KMEntire VehicleYes</v>
          </cell>
          <cell r="AD157">
            <v>42630</v>
          </cell>
          <cell r="AK157" t="str">
            <v>TGS6X4HYDRO48 MONTHS/300 000 KMDrivelineYes</v>
          </cell>
          <cell r="AL157">
            <v>37485</v>
          </cell>
        </row>
        <row r="158">
          <cell r="G158" t="str">
            <v>TGS6X424 MONTHS/300 000 KM48 MONTHS/600 000 KMCombinationYes</v>
          </cell>
          <cell r="H158">
            <v>63945</v>
          </cell>
          <cell r="AC158" t="str">
            <v>TGS6X436 MONTHS/375 000 KMEntire VehicleYes</v>
          </cell>
          <cell r="AD158">
            <v>52185</v>
          </cell>
          <cell r="AK158" t="str">
            <v>TGS6X4HYDRO48 MONTHS/400 000 KMDrivelineYes</v>
          </cell>
          <cell r="AL158">
            <v>48510</v>
          </cell>
        </row>
        <row r="159">
          <cell r="G159" t="str">
            <v>TGS6X424 MONTHS/300 000 KM60 MONTHS/750 000 KMCombinationNo</v>
          </cell>
          <cell r="H159">
            <v>145530</v>
          </cell>
          <cell r="AC159" t="str">
            <v>TGS6X436 MONTHS/450 000 KMEntire VehicleYes</v>
          </cell>
          <cell r="AD159">
            <v>56595</v>
          </cell>
          <cell r="AK159" t="str">
            <v>TGS6X4HYDRO48 MONTHS/500 000 KMDrivelineYes</v>
          </cell>
          <cell r="AL159">
            <v>56595</v>
          </cell>
        </row>
        <row r="160">
          <cell r="G160" t="str">
            <v>TGS6X424 MONTHS/300 000 KM60 MONTHS/750 000 KMCombinationYes</v>
          </cell>
          <cell r="H160">
            <v>126420</v>
          </cell>
          <cell r="AC160" t="str">
            <v>TGS6X436 MONTHS/75 000 KMEntire VehicleYes</v>
          </cell>
          <cell r="AD160">
            <v>23520</v>
          </cell>
          <cell r="AK160" t="str">
            <v>TGS6X4HYDRO48 MONTHS/600 000 KMDrivelineYes</v>
          </cell>
          <cell r="AL160">
            <v>58065</v>
          </cell>
        </row>
        <row r="161">
          <cell r="G161" t="str">
            <v>TGS6X436 MONTHS/225 000 KM48 MONTHS/300 000 KM CombinationNo</v>
          </cell>
          <cell r="H161">
            <v>52920</v>
          </cell>
          <cell r="AC161" t="str">
            <v>TGS6X448 MONTHS/100 000 KMEntire VehicleYes</v>
          </cell>
          <cell r="AD161">
            <v>74970</v>
          </cell>
          <cell r="AK161" t="str">
            <v>TGS6X4HYDRO60 MONTHS/125 000 KMDrivelineYes</v>
          </cell>
          <cell r="AL161">
            <v>56595</v>
          </cell>
        </row>
        <row r="162">
          <cell r="G162" t="str">
            <v>TGS6X436 MONTHS/225 000 KM48 MONTHS/300 000 KM CombinationYes</v>
          </cell>
          <cell r="H162">
            <v>45570</v>
          </cell>
          <cell r="AC162" t="str">
            <v>TGS6X448 MONTHS/200 000 KMEntire VehicleYes</v>
          </cell>
          <cell r="AD162">
            <v>88200</v>
          </cell>
          <cell r="AK162" t="str">
            <v>TGS6X4HYDRO60 MONTHS/250 000 KMDrivelineYes</v>
          </cell>
          <cell r="AL162">
            <v>66885</v>
          </cell>
        </row>
        <row r="163">
          <cell r="G163" t="str">
            <v>TGS6X436 MONTHS/225 000 KM60 MONTHS/750 000 KMCombinationNo</v>
          </cell>
          <cell r="H163">
            <v>84525</v>
          </cell>
          <cell r="AC163" t="str">
            <v>TGS6X448 MONTHS/300 000 KMEntire VehicleYes</v>
          </cell>
          <cell r="AD163">
            <v>102900</v>
          </cell>
          <cell r="AK163" t="str">
            <v>TGS6X4HYDRO60 MONTHS/375 000 KMDrivelineYes</v>
          </cell>
          <cell r="AL163">
            <v>77910</v>
          </cell>
        </row>
        <row r="164">
          <cell r="G164" t="str">
            <v>TGS6X436 MONTHS/225 000 KM60 MONTHS/750 000 KMCombinationYes</v>
          </cell>
          <cell r="H164">
            <v>73500</v>
          </cell>
          <cell r="AC164" t="str">
            <v>TGS6X448 MONTHS/400 000 KMEntire VehicleYes</v>
          </cell>
          <cell r="AD164">
            <v>134505</v>
          </cell>
          <cell r="AK164" t="str">
            <v>TGS6X4HYDRO60 MONTHS/500 000 KMDrivelineYes</v>
          </cell>
          <cell r="AL164">
            <v>102165</v>
          </cell>
        </row>
        <row r="165">
          <cell r="G165" t="str">
            <v>TGS6X436 MONTHS/450 000 KM48 MONTHS/600 000 KMCombinationNo</v>
          </cell>
          <cell r="H165">
            <v>98490</v>
          </cell>
          <cell r="AC165" t="str">
            <v>TGS6X448 MONTHS/500 000 KMEntire VehicleYes</v>
          </cell>
          <cell r="AD165">
            <v>165375</v>
          </cell>
          <cell r="AK165" t="str">
            <v>TGS6X4HYDRO60 MONTHS/625 000 KMDrivelineYes</v>
          </cell>
          <cell r="AL165">
            <v>118335</v>
          </cell>
        </row>
        <row r="166">
          <cell r="G166" t="str">
            <v>TGS6X436 MONTHS/450 000 KM48 MONTHS/600 000 KMCombinationYes</v>
          </cell>
          <cell r="H166">
            <v>85260</v>
          </cell>
          <cell r="AC166" t="str">
            <v>TGS6X448 MONTHS/600 000 KMEntire VehicleYes</v>
          </cell>
          <cell r="AD166">
            <v>169785</v>
          </cell>
          <cell r="AK166" t="str">
            <v>TGS6X4HYDRO60 MONTHS/750 000 KMDrivelineYes</v>
          </cell>
          <cell r="AL166">
            <v>128625</v>
          </cell>
        </row>
        <row r="167">
          <cell r="G167" t="str">
            <v>TGS6X436 MONTHS/450 000 KM60 MONTHS/750 000 KMCombinationNo</v>
          </cell>
          <cell r="H167">
            <v>169479.54545454544</v>
          </cell>
          <cell r="AC167" t="str">
            <v>TGS6X460 MONTHS/125 000 KMEntire VehicleYes</v>
          </cell>
          <cell r="AD167">
            <v>156555</v>
          </cell>
          <cell r="AK167" t="str">
            <v>TGS6X636 MONTHS/150 000 KMDrivelineYes</v>
          </cell>
          <cell r="AL167">
            <v>11760</v>
          </cell>
        </row>
        <row r="168">
          <cell r="G168" t="str">
            <v>TGS6X436 MONTHS/450 000 KM60 MONTHS/750 000 KMCombinationYes</v>
          </cell>
          <cell r="H168">
            <v>147735</v>
          </cell>
          <cell r="AC168" t="str">
            <v>TGS6X460 MONTHS/250 000 KMEntire VehicleYes</v>
          </cell>
          <cell r="AD168">
            <v>184485</v>
          </cell>
          <cell r="AK168" t="str">
            <v>TGS6X636 MONTHS/225 000 KMDrivelineYes</v>
          </cell>
          <cell r="AL168">
            <v>13230</v>
          </cell>
        </row>
        <row r="169">
          <cell r="G169" t="str">
            <v>TGS6X448 MONTHS/300 000 KM60 MONTHS/750 000 KMCombinationNo</v>
          </cell>
          <cell r="H169">
            <v>149940</v>
          </cell>
          <cell r="AC169" t="str">
            <v>TGS6X460 MONTHS/375 000 KMEntire VehicleYes</v>
          </cell>
          <cell r="AD169">
            <v>216090</v>
          </cell>
          <cell r="AK169" t="str">
            <v>TGS6X636 MONTHS/300 000 KMDrivelineYes</v>
          </cell>
          <cell r="AL169">
            <v>16905</v>
          </cell>
        </row>
        <row r="170">
          <cell r="G170" t="str">
            <v>TGS6X448 MONTHS/300 000 KM60 MONTHS/750 000 KMCombinationNo</v>
          </cell>
          <cell r="H170">
            <v>266805</v>
          </cell>
          <cell r="AC170" t="str">
            <v>TGS6X460 MONTHS/500 000 KMEntire VehicleYes</v>
          </cell>
          <cell r="AD170">
            <v>282240</v>
          </cell>
          <cell r="AK170" t="str">
            <v>TGS6X636 MONTHS/375 000 KMDrivelineYes</v>
          </cell>
          <cell r="AL170">
            <v>20580</v>
          </cell>
        </row>
        <row r="171">
          <cell r="G171" t="str">
            <v>TGS6X448 MONTHS/300 000 KM60 MONTHS/750 000 KMCombinationYes</v>
          </cell>
          <cell r="H171">
            <v>130830</v>
          </cell>
          <cell r="AC171" t="str">
            <v>TGS6X460 MONTHS/625 000 KMEntire VehicleYes</v>
          </cell>
          <cell r="AD171">
            <v>347655</v>
          </cell>
          <cell r="AK171" t="str">
            <v>TGS6X636 MONTHS/450 000 KMDrivelineYes</v>
          </cell>
          <cell r="AL171">
            <v>21315</v>
          </cell>
        </row>
        <row r="172">
          <cell r="G172" t="str">
            <v>TGS6X448 MONTHS/300 000 KM60 MONTHS/750 000 KMCombinationYes</v>
          </cell>
          <cell r="H172">
            <v>232260</v>
          </cell>
          <cell r="AC172" t="str">
            <v>TGS6X460 MONTHS/750 000 KMEntire VehicleYes</v>
          </cell>
          <cell r="AD172">
            <v>356475</v>
          </cell>
          <cell r="AK172" t="str">
            <v>TGS6X636 MONTHS/75 000 KMDrivelineYes</v>
          </cell>
          <cell r="AL172">
            <v>7350</v>
          </cell>
        </row>
        <row r="173">
          <cell r="G173" t="str">
            <v>TGS6X6 H/D (ABN)24 MONTHS/150 000 KM36 MONTHS/225 000 KMCombinationNo</v>
          </cell>
          <cell r="H173">
            <v>71295</v>
          </cell>
          <cell r="AC173" t="str">
            <v>TGS6X4H/D24 MONTHS/100 000 KMEntire VehicleYes</v>
          </cell>
          <cell r="AD173">
            <v>13230</v>
          </cell>
          <cell r="AK173" t="str">
            <v>TGS6X648 MONTHS/100 000 KMDrivelineYes</v>
          </cell>
          <cell r="AL173">
            <v>19110</v>
          </cell>
        </row>
        <row r="174">
          <cell r="G174" t="str">
            <v>TGS6X6 H/D (ABN)24 MONTHS/150 000 KM36 MONTHS/225 000 KMCombinationYes</v>
          </cell>
          <cell r="H174">
            <v>26460</v>
          </cell>
          <cell r="AC174" t="str">
            <v>TGS6X4H/D24 MONTHS/150 000 KMEntire VehicleYes</v>
          </cell>
          <cell r="AD174">
            <v>16170</v>
          </cell>
          <cell r="AK174" t="str">
            <v>TGS6X648 MONTHS/200 000 KMDrivelineYes</v>
          </cell>
          <cell r="AL174">
            <v>22050</v>
          </cell>
        </row>
        <row r="175">
          <cell r="G175" t="str">
            <v>TGS6X6 H/D (ABN)24 MONTHS/150 000 KM48 MONTHS/300 000 KMCombinationNo</v>
          </cell>
          <cell r="H175">
            <v>111720</v>
          </cell>
          <cell r="AC175" t="str">
            <v>TGS6X4H/D24 MONTHS/200 000 KMEntire VehicleYes</v>
          </cell>
          <cell r="AD175">
            <v>20580</v>
          </cell>
          <cell r="AK175" t="str">
            <v>TGS6X648 MONTHS/300 000 KMDrivelineYes</v>
          </cell>
          <cell r="AL175">
            <v>25725</v>
          </cell>
        </row>
        <row r="176">
          <cell r="G176" t="str">
            <v>TGS6X6 H/D (ABN)24 MONTHS/150 000 KM48 MONTHS/300 000 KMCombinationYes</v>
          </cell>
          <cell r="H176">
            <v>47775</v>
          </cell>
          <cell r="AC176" t="str">
            <v>TGS6X4H/D24 MONTHS/250 000 KMEntire VehicleYes</v>
          </cell>
          <cell r="AD176">
            <v>27930</v>
          </cell>
          <cell r="AK176" t="str">
            <v>TGS6X648 MONTHS/400 000 KMDrivelineYes</v>
          </cell>
          <cell r="AL176">
            <v>33810</v>
          </cell>
        </row>
        <row r="177">
          <cell r="G177" t="str">
            <v>TGS6X6 H/D (ABN)24 MONTHS/150 000 KM60 MONTHS/375 000 KMCombinationNo</v>
          </cell>
          <cell r="H177">
            <v>212415</v>
          </cell>
          <cell r="AC177" t="str">
            <v>TGS6X4H/D24 MONTHS/300 000 KMEntire VehicleYes</v>
          </cell>
          <cell r="AD177">
            <v>36015</v>
          </cell>
          <cell r="AK177" t="str">
            <v>TGS6X648 MONTHS/500 000 KMDrivelineYes</v>
          </cell>
          <cell r="AL177">
            <v>47040</v>
          </cell>
        </row>
        <row r="178">
          <cell r="G178" t="str">
            <v>TGS6X6 H/D (ABN)24 MONTHS/150 000 KM60 MONTHS/375 000 KMCombinationYes</v>
          </cell>
          <cell r="H178">
            <v>88200</v>
          </cell>
          <cell r="AC178" t="str">
            <v>TGS6X4H/D24 MONTHS/50 000 KMEntire VehicleYes</v>
          </cell>
          <cell r="AD178">
            <v>10290</v>
          </cell>
          <cell r="AK178" t="str">
            <v>TGS6X648 MONTHS/600 000 KMDrivelineYes</v>
          </cell>
          <cell r="AL178">
            <v>49980</v>
          </cell>
        </row>
        <row r="179">
          <cell r="G179" t="str">
            <v>TGS6X6 H/D (ABN)24 MONTHS/300 000 KM36 MONTHS/450 000 KMCombinationNo</v>
          </cell>
          <cell r="H179">
            <v>126420</v>
          </cell>
          <cell r="AC179" t="str">
            <v>TGS6X4H/D36 MONTHS/150 000 KMEntire VehicleYes</v>
          </cell>
          <cell r="AD179">
            <v>67620</v>
          </cell>
          <cell r="AK179" t="str">
            <v>TGS6X660 MONTHS/125 000 KMDrivelineYes</v>
          </cell>
          <cell r="AL179">
            <v>38955</v>
          </cell>
        </row>
        <row r="180">
          <cell r="G180" t="str">
            <v>TGS6X6 H/D (ABN)24 MONTHS/300 000 KM36 MONTHS/450 000 KMCombinationYes</v>
          </cell>
          <cell r="H180">
            <v>45312.272727272721</v>
          </cell>
          <cell r="AC180" t="str">
            <v>TGS6X4H/D36 MONTHS/225 000 KMEntire VehicleYes</v>
          </cell>
          <cell r="AD180">
            <v>79380</v>
          </cell>
          <cell r="AK180" t="str">
            <v>TGS6X660 MONTHS/250 000 KMDrivelineYes</v>
          </cell>
          <cell r="AL180">
            <v>45570</v>
          </cell>
        </row>
        <row r="181">
          <cell r="G181" t="str">
            <v>TGS6X6 H/D (ABN)24 MONTHS/300 000 KM48 MONTHS/600 000 KMCombinationNo</v>
          </cell>
          <cell r="H181">
            <v>193305</v>
          </cell>
          <cell r="AC181" t="str">
            <v>TGS6X4H/D36 MONTHS/300 000 KMEntire VehicleYes</v>
          </cell>
          <cell r="AD181">
            <v>109200</v>
          </cell>
          <cell r="AK181" t="str">
            <v>TGS6X660 MONTHS/375 000 KMDrivelineYes</v>
          </cell>
          <cell r="AL181">
            <v>53655</v>
          </cell>
        </row>
        <row r="182">
          <cell r="G182" t="str">
            <v>TGS6X6 H/D (ABN)24 MONTHS/300 000 KM48 MONTHS/600 000 KMCombinationYes</v>
          </cell>
          <cell r="H182">
            <v>77175</v>
          </cell>
          <cell r="AC182" t="str">
            <v>TGS6X4H/D36 MONTHS/375 000 KMEntire VehicleYes</v>
          </cell>
          <cell r="AD182">
            <v>127155</v>
          </cell>
          <cell r="AK182" t="str">
            <v>TGS6X660 MONTHS/500 000 KMDrivelineYes</v>
          </cell>
          <cell r="AL182">
            <v>80850</v>
          </cell>
        </row>
        <row r="183">
          <cell r="G183" t="str">
            <v>TGS6X6 H/D (ABN)24 MONTHS/300 000 KM60 MONTHS/750 000 KMCombinationNo</v>
          </cell>
          <cell r="H183">
            <v>360150</v>
          </cell>
          <cell r="AC183" t="str">
            <v>TGS6X4H/D36 MONTHS/450 000 KMEntire VehicleYes</v>
          </cell>
          <cell r="AD183">
            <v>130095</v>
          </cell>
          <cell r="AK183" t="str">
            <v>TGS6X660 MONTHS/625 000 KMDrivelineYes</v>
          </cell>
          <cell r="AL183">
            <v>104370</v>
          </cell>
        </row>
        <row r="184">
          <cell r="G184" t="str">
            <v>TGS6X6 H/D (ABN)24 MONTHS/300 000 KM60 MONTHS/750 000 KMCombinationYes</v>
          </cell>
          <cell r="H184">
            <v>147735</v>
          </cell>
          <cell r="AC184" t="str">
            <v>TGS6X4H/D36 MONTHS/75 000 KMEntire VehicleYes</v>
          </cell>
          <cell r="AD184">
            <v>57330</v>
          </cell>
          <cell r="AK184" t="str">
            <v>TGS6X660 MONTHS/750 000 KMDrivelineYes</v>
          </cell>
          <cell r="AL184">
            <v>112455</v>
          </cell>
        </row>
        <row r="185">
          <cell r="G185" t="str">
            <v>TGS6X6 H/D (ABN)36 MONTHS/225 000 KM48 MONTHS/300 000 KM CombinationNo</v>
          </cell>
          <cell r="H185">
            <v>132300</v>
          </cell>
          <cell r="AC185" t="str">
            <v>TGS6X4H/D48 MONTHS/100 000 KMEntire VehicleYes</v>
          </cell>
          <cell r="AD185">
            <v>111720</v>
          </cell>
          <cell r="AK185" t="str">
            <v>TGS6X6H/D36 MONTHS/150 000 KMDrivelineYes</v>
          </cell>
          <cell r="AL185">
            <v>38220</v>
          </cell>
        </row>
        <row r="186">
          <cell r="G186" t="str">
            <v>TGS6X6 H/D (ABN)36 MONTHS/225 000 KM48 MONTHS/300 000 KM CombinationYes</v>
          </cell>
          <cell r="H186">
            <v>61740</v>
          </cell>
          <cell r="AC186" t="str">
            <v>TGS6X4H/D48 MONTHS/200 000 KMEntire VehicleYes</v>
          </cell>
          <cell r="AD186">
            <v>131565</v>
          </cell>
          <cell r="AK186" t="str">
            <v>TGS6X6H/D36 MONTHS/225 000 KMDrivelineYes</v>
          </cell>
          <cell r="AL186">
            <v>44835</v>
          </cell>
        </row>
        <row r="187">
          <cell r="G187" t="str">
            <v>TGS6X6 H/D (ABN)36 MONTHS/225 000 KM60 MONTHS/750 000 KMCombinationNo</v>
          </cell>
          <cell r="H187">
            <v>232995</v>
          </cell>
          <cell r="AC187" t="str">
            <v>TGS6X4H/D48 MONTHS/300 000 KMEntire VehicleYes</v>
          </cell>
          <cell r="AD187">
            <v>154350</v>
          </cell>
          <cell r="AK187" t="str">
            <v>TGS6X6H/D36 MONTHS/300 000 KMDrivelineYes</v>
          </cell>
          <cell r="AL187">
            <v>58065</v>
          </cell>
        </row>
        <row r="188">
          <cell r="G188" t="str">
            <v>TGS6X6 H/D (ABN)36 MONTHS/225 000 KM60 MONTHS/750 000 KMCombinationYes</v>
          </cell>
          <cell r="H188">
            <v>102165</v>
          </cell>
          <cell r="AC188" t="str">
            <v>TGS6X4H/D48 MONTHS/400 000 KMEntire VehicleYes</v>
          </cell>
          <cell r="AD188">
            <v>201390</v>
          </cell>
          <cell r="AK188" t="str">
            <v>TGS6X6H/D36 MONTHS/375 000 KMDrivelineYes</v>
          </cell>
          <cell r="AL188">
            <v>71295</v>
          </cell>
        </row>
        <row r="189">
          <cell r="G189" t="str">
            <v>TGS6X6 H/D (ABN)36 MONTHS/450 000 KM48 MONTHS/600 000 KMCombinationNo</v>
          </cell>
          <cell r="H189">
            <v>216825</v>
          </cell>
          <cell r="AC189" t="str">
            <v>TGS6X4H/D48 MONTHS/500 000 KMEntire VehicleYes</v>
          </cell>
          <cell r="AD189">
            <v>248430</v>
          </cell>
          <cell r="AK189" t="str">
            <v>TGS6X6H/D36 MONTHS/450 000 KMDrivelineYes</v>
          </cell>
          <cell r="AL189">
            <v>73500</v>
          </cell>
        </row>
        <row r="190">
          <cell r="G190" t="str">
            <v>TGS6X6 H/D (ABN)36 MONTHS/450 000 KM48 MONTHS/600 000 KMCombinationYes</v>
          </cell>
          <cell r="H190">
            <v>98490</v>
          </cell>
          <cell r="AC190" t="str">
            <v>TGS6X4H/D48 MONTHS/600 000 KMEntire VehicleYes</v>
          </cell>
          <cell r="AD190">
            <v>255045</v>
          </cell>
          <cell r="AK190" t="str">
            <v>TGS6X6H/D36 MONTHS/75 000 KMDrivelineYes</v>
          </cell>
          <cell r="AL190">
            <v>32340</v>
          </cell>
        </row>
        <row r="191">
          <cell r="G191" t="str">
            <v>TGS6X6 H/D (ABN)36 MONTHS/450 000 KM60 MONTHS/750 000 KMCombinationNo</v>
          </cell>
          <cell r="H191">
            <v>383670</v>
          </cell>
          <cell r="AC191" t="str">
            <v>TGS6X4H/D60 MONTHS/125 000 KMEntire VehicleYes</v>
          </cell>
          <cell r="AD191">
            <v>235200</v>
          </cell>
          <cell r="AK191" t="str">
            <v>TGS6X6H/D48 MONTHS/100 000 KMDrivelineYes</v>
          </cell>
          <cell r="AL191">
            <v>58065</v>
          </cell>
        </row>
        <row r="192">
          <cell r="G192" t="str">
            <v>TGS6X6 H/D (ABN)36 MONTHS/450 000 KM60 MONTHS/750 000 KMCombinationYes</v>
          </cell>
          <cell r="H192">
            <v>169050</v>
          </cell>
          <cell r="AC192" t="str">
            <v>TGS6X4H/D60 MONTHS/250 000 KMEntire VehicleYes</v>
          </cell>
          <cell r="AD192">
            <v>276360</v>
          </cell>
          <cell r="AK192" t="str">
            <v>TGS6X6H/D48 MONTHS/200 000 KMDrivelineYes</v>
          </cell>
          <cell r="AL192">
            <v>68335</v>
          </cell>
        </row>
        <row r="193">
          <cell r="G193" t="str">
            <v>TGS6X6 H/D (ABN)48 MONTHS/300 000 KM60 MONTHS/750 000 KMCombinationNo</v>
          </cell>
          <cell r="H193">
            <v>278565</v>
          </cell>
          <cell r="AC193" t="str">
            <v>TGS6X4H/D60 MONTHS/375 000 KMEntire VehicleYes</v>
          </cell>
          <cell r="AD193">
            <v>324135</v>
          </cell>
          <cell r="AK193" t="str">
            <v>TGS6X6H/D48 MONTHS/300 000 KMDrivelineYes</v>
          </cell>
          <cell r="AL193">
            <v>80115</v>
          </cell>
        </row>
        <row r="194">
          <cell r="G194" t="str">
            <v>TGS6X6 H/D (ABN)48 MONTHS/300 000 KM60 MONTHS/750 000 KMCombinationNo</v>
          </cell>
          <cell r="H194">
            <v>460845</v>
          </cell>
          <cell r="AC194" t="str">
            <v>TGS6X4H/D60 MONTHS/500 000 KMEntire VehicleYes</v>
          </cell>
          <cell r="AD194">
            <v>422625</v>
          </cell>
          <cell r="AK194" t="str">
            <v>TGS6X6H/D48 MONTHS/400 000 KMDrivelineYes</v>
          </cell>
          <cell r="AL194">
            <v>104370</v>
          </cell>
        </row>
        <row r="195">
          <cell r="G195" t="str">
            <v>TGS6X6 H/D (ABN)48 MONTHS/300 000 KM60 MONTHS/750 000 KMCombinationYes</v>
          </cell>
          <cell r="H195">
            <v>148470</v>
          </cell>
          <cell r="AC195" t="str">
            <v>TGS6X4H/D60 MONTHS/625 000 KMEntire VehicleYes</v>
          </cell>
          <cell r="AD195">
            <v>521115</v>
          </cell>
          <cell r="AK195" t="str">
            <v>TGS6X6H/D48 MONTHS/500 000 KMDrivelineYes</v>
          </cell>
          <cell r="AL195">
            <v>127890</v>
          </cell>
        </row>
        <row r="196">
          <cell r="G196" t="str">
            <v>TGS6X6 H/D (ABN)48 MONTHS/300 000 KM60 MONTHS/750 000 KMCombinationYes</v>
          </cell>
          <cell r="H196">
            <v>249165</v>
          </cell>
          <cell r="AC196" t="str">
            <v>TGS6X4H/D60 MONTHS/750 000 KMEntire VehicleYes</v>
          </cell>
          <cell r="AD196">
            <v>535080</v>
          </cell>
          <cell r="AK196" t="str">
            <v>TGS6X6H/D48 MONTHS/600 000 KMDrivelineYes</v>
          </cell>
          <cell r="AL196">
            <v>131565</v>
          </cell>
        </row>
        <row r="197">
          <cell r="G197" t="str">
            <v>TGS6X6 H/D24 MONTHS/150 000 KM36 MONTHS/225 000 KMCombinationNo</v>
          </cell>
          <cell r="H197">
            <v>31605</v>
          </cell>
          <cell r="AC197" t="str">
            <v>TGS6X4HYDRO24 MONTHS/100 000 KMEntire VehicleYes</v>
          </cell>
          <cell r="AD197">
            <v>8820</v>
          </cell>
          <cell r="AK197" t="str">
            <v>TGS6X6H/D60 MONTHS/125 000 KMDrivelineYes</v>
          </cell>
          <cell r="AL197">
            <v>121275</v>
          </cell>
        </row>
        <row r="198">
          <cell r="G198" t="str">
            <v>TGS6X6 H/D24 MONTHS/150 000 KM36 MONTHS/225 000 KMCombinationYes</v>
          </cell>
          <cell r="H198">
            <v>61005</v>
          </cell>
          <cell r="AC198" t="str">
            <v>TGS6X4HYDRO24 MONTHS/150 000 KMEntire VehicleYes</v>
          </cell>
          <cell r="AD198">
            <v>10290</v>
          </cell>
          <cell r="AK198" t="str">
            <v>TGS6X6H/D60 MONTHS/250 000 KMDrivelineYes</v>
          </cell>
          <cell r="AL198">
            <v>142590</v>
          </cell>
        </row>
        <row r="199">
          <cell r="G199" t="str">
            <v>TGS6X6 H/D24 MONTHS/150 000 KM48 MONTHS/300 000 KMCombinationNo</v>
          </cell>
          <cell r="H199">
            <v>55860</v>
          </cell>
          <cell r="AC199" t="str">
            <v>TGS6X4HYDRO24 MONTHS/200 000 KMEntire VehicleYes</v>
          </cell>
          <cell r="AD199">
            <v>13230</v>
          </cell>
          <cell r="AK199" t="str">
            <v>TGS6X6H/D60 MONTHS/375 000 KMDrivelineYes</v>
          </cell>
          <cell r="AL199">
            <v>167580</v>
          </cell>
        </row>
        <row r="200">
          <cell r="G200" t="str">
            <v>TGS6X6 H/D24 MONTHS/150 000 KM48 MONTHS/300 000 KMCombinationYes</v>
          </cell>
          <cell r="H200">
            <v>96285</v>
          </cell>
          <cell r="AC200" t="str">
            <v>TGS6X4HYDRO24 MONTHS/250 000 KMEntire VehicleYes</v>
          </cell>
          <cell r="AD200">
            <v>17640</v>
          </cell>
          <cell r="AK200" t="str">
            <v>TGS6X6H/D60 MONTHS/500 000 KMDrivelineYes</v>
          </cell>
          <cell r="AL200">
            <v>218295</v>
          </cell>
        </row>
        <row r="201">
          <cell r="G201" t="str">
            <v>TGS6X6 H/D24 MONTHS/150 000 KM60 MONTHS/375 000 KMCombinationNo</v>
          </cell>
          <cell r="H201">
            <v>102165</v>
          </cell>
          <cell r="AC201" t="str">
            <v>TGS6X4HYDRO24 MONTHS/300 000 KMEntire VehicleYes</v>
          </cell>
          <cell r="AD201">
            <v>19110</v>
          </cell>
          <cell r="AK201" t="str">
            <v>TGS6X6H/D60 MONTHS/625 000 KMDrivelineYes</v>
          </cell>
          <cell r="AL201">
            <v>269010</v>
          </cell>
        </row>
        <row r="202">
          <cell r="G202" t="str">
            <v>TGS6X6 H/D24 MONTHS/150 000 KM60 MONTHS/375 000 KMCombinationYes</v>
          </cell>
          <cell r="H202">
            <v>183750</v>
          </cell>
          <cell r="AC202" t="str">
            <v>TGS6X4HYDRO24 MONTHS/50 000 KMEntire VehicleYes</v>
          </cell>
          <cell r="AD202">
            <v>6615</v>
          </cell>
          <cell r="AK202" t="str">
            <v>TGS6X6H/D60 MONTHS/750 000 KMDrivelineYes</v>
          </cell>
          <cell r="AL202">
            <v>276360</v>
          </cell>
        </row>
        <row r="203">
          <cell r="G203" t="str">
            <v>TGS6X6 H/D24 MONTHS/300 000 KM36 MONTHS/450 000 KMCombinationNo</v>
          </cell>
          <cell r="H203">
            <v>52920</v>
          </cell>
          <cell r="AC203" t="str">
            <v>TGS6X4HYDRO36 MONTHS/150 000 KMEntire VehicleYes</v>
          </cell>
          <cell r="AD203">
            <v>34545</v>
          </cell>
          <cell r="AK203" t="str">
            <v>TGS6X6HYDRO36 MONTHS/150 000 KMDrivelineYes</v>
          </cell>
          <cell r="AL203">
            <v>13965</v>
          </cell>
        </row>
        <row r="204">
          <cell r="G204" t="str">
            <v>TGS6X6 H/D24 MONTHS/300 000 KM36 MONTHS/450 000 KMCombinationYes</v>
          </cell>
          <cell r="H204">
            <v>109515</v>
          </cell>
          <cell r="AC204" t="str">
            <v>TGS6X4HYDRO36 MONTHS/225 000 KMEntire VehicleYes</v>
          </cell>
          <cell r="AD204">
            <v>40425</v>
          </cell>
          <cell r="AK204" t="str">
            <v>TGS6X6HYDRO36 MONTHS/225 000 KMDrivelineYes</v>
          </cell>
          <cell r="AL204">
            <v>16170</v>
          </cell>
        </row>
        <row r="205">
          <cell r="G205" t="str">
            <v>TGS6X6 H/D24 MONTHS/300 000 KM48 MONTHS/600 000 KMCombinationNo</v>
          </cell>
          <cell r="H205">
            <v>88935</v>
          </cell>
          <cell r="AC205" t="str">
            <v>TGS6X4HYDRO36 MONTHS/300 000 KMEntire VehicleYes</v>
          </cell>
          <cell r="AD205">
            <v>52185</v>
          </cell>
          <cell r="AK205" t="str">
            <v>TGS6X6HYDRO36 MONTHS/300 000 KMDrivelineYes</v>
          </cell>
          <cell r="AL205">
            <v>20580</v>
          </cell>
        </row>
        <row r="206">
          <cell r="G206" t="str">
            <v>TGS6X6 H/D24 MONTHS/300 000 KM48 MONTHS/600 000 KMCombinationYes</v>
          </cell>
          <cell r="H206">
            <v>167580</v>
          </cell>
          <cell r="AC206" t="str">
            <v>TGS6X4HYDRO36 MONTHS/375 000 KMEntire VehicleYes</v>
          </cell>
          <cell r="AD206">
            <v>64680</v>
          </cell>
          <cell r="AK206" t="str">
            <v>TGS6X6HYDRO36 MONTHS/375 000 KMDrivelineYes</v>
          </cell>
          <cell r="AL206">
            <v>25725</v>
          </cell>
        </row>
        <row r="207">
          <cell r="G207" t="str">
            <v>TGS6X6 H/D24 MONTHS/300 000 KM60 MONTHS/750 000 KMCombinationNo</v>
          </cell>
          <cell r="H207">
            <v>170520</v>
          </cell>
          <cell r="AC207" t="str">
            <v>TGS6X4HYDRO36 MONTHS/450 000 KMEntire VehicleYes</v>
          </cell>
          <cell r="AD207">
            <v>66885</v>
          </cell>
          <cell r="AK207" t="str">
            <v>TGS6X6HYDRO36 MONTHS/450 000 KMDrivelineYes</v>
          </cell>
          <cell r="AL207">
            <v>26460</v>
          </cell>
        </row>
        <row r="208">
          <cell r="G208" t="str">
            <v>TGS6X6 H/D24 MONTHS/300 000 KM60 MONTHS/750 000 KMCombinationYes</v>
          </cell>
          <cell r="H208">
            <v>312375</v>
          </cell>
          <cell r="AC208" t="str">
            <v>TGS6X4HYDRO36 MONTHS/75 000 KMEntire VehicleYes</v>
          </cell>
          <cell r="AD208">
            <v>29400</v>
          </cell>
          <cell r="AK208" t="str">
            <v>TGS6X6HYDRO36 MONTHS/75 000 KMDrivelineYes</v>
          </cell>
          <cell r="AL208">
            <v>11760</v>
          </cell>
        </row>
        <row r="209">
          <cell r="G209" t="str">
            <v>TGS6X6 H/D36 MONTHS/225 000 KM48 MONTHS/300 000 KM CombinationNo</v>
          </cell>
          <cell r="H209">
            <v>71295</v>
          </cell>
          <cell r="AC209" t="str">
            <v>TGS6X4HYDRO48 MONTHS/100 000 KMEntire VehicleYes</v>
          </cell>
          <cell r="AD209">
            <v>79830</v>
          </cell>
          <cell r="AK209" t="str">
            <v>TGS6X6HYDRO48 MONTHS/100 000 KMDrivelineYes</v>
          </cell>
          <cell r="AL209">
            <v>27195</v>
          </cell>
        </row>
        <row r="210">
          <cell r="G210" t="str">
            <v>TGS6X6 H/D36 MONTHS/225 000 KM48 MONTHS/300 000 KM CombinationYes</v>
          </cell>
          <cell r="H210">
            <v>114660</v>
          </cell>
          <cell r="AC210" t="str">
            <v>TGS6X4HYDRO48 MONTHS/200 000 KMEntire VehicleYes</v>
          </cell>
          <cell r="AD210">
            <v>92610</v>
          </cell>
          <cell r="AK210" t="str">
            <v>TGS6X6HYDRO48 MONTHS/200 000 KMDrivelineYes</v>
          </cell>
          <cell r="AL210">
            <v>31605</v>
          </cell>
        </row>
        <row r="211">
          <cell r="G211" t="str">
            <v>TGS6X6 H/D36 MONTHS/225 000 KM60 MONTHS/750 000 KMCombinationNo</v>
          </cell>
          <cell r="H211">
            <v>117600</v>
          </cell>
          <cell r="AC211" t="str">
            <v>TGS6X4HYDRO48 MONTHS/300 000 KMEntire VehicleYes</v>
          </cell>
          <cell r="AD211">
            <v>108045</v>
          </cell>
          <cell r="AK211" t="str">
            <v>TGS6X6HYDRO48 MONTHS/300 000 KMDrivelineYes</v>
          </cell>
          <cell r="AL211">
            <v>37485</v>
          </cell>
        </row>
        <row r="212">
          <cell r="G212" t="str">
            <v>TGS6X6 H/D36 MONTHS/225 000 KM60 MONTHS/750 000 KMCombinationYes</v>
          </cell>
          <cell r="H212">
            <v>202125</v>
          </cell>
          <cell r="AC212" t="str">
            <v>TGS6X4HYDRO48 MONTHS/400 000 KMEntire VehicleYes</v>
          </cell>
          <cell r="AD212">
            <v>141855</v>
          </cell>
          <cell r="AK212" t="str">
            <v>TGS6X6HYDRO48 MONTHS/400 000 KMDrivelineYes</v>
          </cell>
          <cell r="AL212">
            <v>48510</v>
          </cell>
        </row>
        <row r="213">
          <cell r="G213" t="str">
            <v>TGS6X6 H/D36 MONTHS/450 000 KM48 MONTHS/600 000 KMCombinationNo</v>
          </cell>
          <cell r="H213">
            <v>113190</v>
          </cell>
          <cell r="AC213" t="str">
            <v>TGS6X4HYDRO48 MONTHS/500 000 KMEntire VehicleYes</v>
          </cell>
          <cell r="AD213">
            <v>174195</v>
          </cell>
          <cell r="AK213" t="str">
            <v>TGS6X6HYDRO48 MONTHS/500 000 KMDrivelineYes</v>
          </cell>
          <cell r="AL213">
            <v>56595</v>
          </cell>
        </row>
        <row r="214">
          <cell r="G214" t="str">
            <v>TGS6X6 H/D36 MONTHS/450 000 KM48 MONTHS/600 000 KMCombinationYes</v>
          </cell>
          <cell r="H214">
            <v>188160</v>
          </cell>
          <cell r="AC214" t="str">
            <v>TGS6X4HYDRO48 MONTHS/600 000 KMEntire VehicleYes</v>
          </cell>
          <cell r="AD214">
            <v>178605</v>
          </cell>
          <cell r="AK214" t="str">
            <v>TGS6X6HYDRO48 MONTHS/600 000 KMDrivelineYes</v>
          </cell>
          <cell r="AL214">
            <v>58065</v>
          </cell>
        </row>
        <row r="215">
          <cell r="G215" t="str">
            <v>TGS6X6 H/D36 MONTHS/450 000 KM60 MONTHS/750 000 KMCombinationNo</v>
          </cell>
          <cell r="H215">
            <v>194775</v>
          </cell>
          <cell r="AC215" t="str">
            <v>TGS6X4HYDRO60 MONTHS/125 000 KMEntire VehicleYes</v>
          </cell>
          <cell r="AD215">
            <v>164640</v>
          </cell>
          <cell r="AK215" t="str">
            <v>TGS6X6HYDRO60 MONTHS/125 000 KMDrivelineYes</v>
          </cell>
          <cell r="AL215">
            <v>56595</v>
          </cell>
        </row>
        <row r="216">
          <cell r="G216" t="str">
            <v>TGS6X6 H/D36 MONTHS/450 000 KM60 MONTHS/750 000 KMCombinationYes</v>
          </cell>
          <cell r="H216">
            <v>332955</v>
          </cell>
          <cell r="AC216" t="str">
            <v>TGS6X4HYDRO60 MONTHS/250 000 KMEntire VehicleYes</v>
          </cell>
          <cell r="AD216">
            <v>194040</v>
          </cell>
          <cell r="AK216" t="str">
            <v>TGS6X6HYDRO60 MONTHS/250 000 KMDrivelineYes</v>
          </cell>
          <cell r="AL216">
            <v>66885</v>
          </cell>
        </row>
        <row r="217">
          <cell r="G217" t="str">
            <v>TGS6X6 H/D48 MONTHS/300 000 KM60 MONTHS/750 000 KMCombinationNo</v>
          </cell>
          <cell r="H217">
            <v>171255</v>
          </cell>
          <cell r="AC217" t="str">
            <v>TGS6X4HYDRO60 MONTHS/375 000 KMEntire VehicleYes</v>
          </cell>
          <cell r="AD217">
            <v>227115</v>
          </cell>
          <cell r="AK217" t="str">
            <v>TGS6X6HYDRO60 MONTHS/375 000 KMDrivelineYes</v>
          </cell>
          <cell r="AL217">
            <v>77910</v>
          </cell>
        </row>
        <row r="218">
          <cell r="G218" t="str">
            <v>TGS6X6 H/D48 MONTHS/300 000 KM60 MONTHS/750 000 KMCombinationNo</v>
          </cell>
          <cell r="H218">
            <v>287385</v>
          </cell>
          <cell r="AC218" t="str">
            <v>TGS6X4HYDRO60 MONTHS/500 000 KMEntire VehicleYes</v>
          </cell>
          <cell r="AD218">
            <v>296940</v>
          </cell>
          <cell r="AK218" t="str">
            <v>TGS6X6HYDRO60 MONTHS/500 000 KMDrivelineYes</v>
          </cell>
          <cell r="AL218">
            <v>102165</v>
          </cell>
        </row>
        <row r="219">
          <cell r="G219" t="str">
            <v>TGS6X6 H/D48 MONTHS/300 000 KM60 MONTHS/750 000 KMCombinationYes</v>
          </cell>
          <cell r="H219">
            <v>241815</v>
          </cell>
          <cell r="AC219" t="str">
            <v>TGS6X4HYDRO60 MONTHS/625 000 KMEntire VehicleYes</v>
          </cell>
          <cell r="AD219">
            <v>365295</v>
          </cell>
          <cell r="AK219" t="str">
            <v>TGS6X6HYDRO60 MONTHS/625 000 KMDrivelineYes</v>
          </cell>
          <cell r="AL219">
            <v>118335</v>
          </cell>
        </row>
        <row r="220">
          <cell r="G220" t="str">
            <v>TGS6X6 H/D48 MONTHS/300 000 KM60 MONTHS/750 000 KMCombinationYes</v>
          </cell>
          <cell r="H220">
            <v>399840</v>
          </cell>
          <cell r="AC220" t="str">
            <v>TGS6X4HYDRO60 MONTHS/750 000 KMEntire VehicleYes</v>
          </cell>
          <cell r="AD220">
            <v>374850</v>
          </cell>
          <cell r="AK220" t="str">
            <v>TGS6X6HYDRO60 MONTHS/750 000 KMDrivelineYes</v>
          </cell>
          <cell r="AL220">
            <v>128625</v>
          </cell>
        </row>
        <row r="221">
          <cell r="G221" t="str">
            <v>TGS6X624 MONTHS/150 000 KM 60 MONTHS/375 000 KMCombinationNo</v>
          </cell>
          <cell r="H221">
            <v>72765</v>
          </cell>
          <cell r="AC221" t="str">
            <v>TGS6X624 MONTHS/100 000 KMEntire VehicleYes</v>
          </cell>
          <cell r="AD221">
            <v>7350</v>
          </cell>
          <cell r="AK221" t="str">
            <v>TGS8X236 MONTHS/225 000 KMDrivelineNo</v>
          </cell>
          <cell r="AL221">
            <v>9555</v>
          </cell>
        </row>
        <row r="222">
          <cell r="G222" t="str">
            <v>TGS6X624 MONTHS/150 000 KM 60 MONTHS/375 000 KMCombinationYes</v>
          </cell>
          <cell r="H222">
            <v>63210</v>
          </cell>
          <cell r="AC222" t="str">
            <v>TGS6X624 MONTHS/150 000 KMEntire VehicleYes</v>
          </cell>
          <cell r="AD222">
            <v>9555</v>
          </cell>
          <cell r="AK222" t="str">
            <v>TGS8X236 MONTHS/225 000 KMDrivelineYes</v>
          </cell>
          <cell r="AL222">
            <v>8085</v>
          </cell>
        </row>
        <row r="223">
          <cell r="G223" t="str">
            <v>TGS6X624 MONTHS/150 000 KM36 MONTHS/225 000 KMCombinationNo</v>
          </cell>
          <cell r="H223">
            <v>26030.454545454544</v>
          </cell>
          <cell r="AC223" t="str">
            <v>TGS6X624 MONTHS/200 000 KMEntire VehicleYes</v>
          </cell>
          <cell r="AD223">
            <v>11025</v>
          </cell>
          <cell r="AK223" t="str">
            <v>TGS8X236 MONTHS/300 000 KMDrivelineNo</v>
          </cell>
          <cell r="AL223">
            <v>11025</v>
          </cell>
        </row>
        <row r="224">
          <cell r="G224" t="str">
            <v>TGS6X624 MONTHS/150 000 KM36 MONTHS/225 000 KMCombinationYes</v>
          </cell>
          <cell r="H224">
            <v>22785</v>
          </cell>
          <cell r="AC224" t="str">
            <v>TGS6X624 MONTHS/250 000 KMEntire VehicleYes</v>
          </cell>
          <cell r="AD224">
            <v>13230</v>
          </cell>
          <cell r="AK224" t="str">
            <v>TGS8X236 MONTHS/300 000 KMDrivelineYes</v>
          </cell>
          <cell r="AL224">
            <v>9555</v>
          </cell>
        </row>
        <row r="225">
          <cell r="G225" t="str">
            <v>TGS6X624 MONTHS/150 000 KM48 MONTHS/300 000 KMCombinationNo</v>
          </cell>
          <cell r="H225">
            <v>41160</v>
          </cell>
          <cell r="AC225" t="str">
            <v>TGS6X624 MONTHS/300 000 KMEntire VehicleYes</v>
          </cell>
          <cell r="AD225">
            <v>13965</v>
          </cell>
          <cell r="AK225" t="str">
            <v>TGS8X236 MONTHS/375 000 KMDrivelineNo</v>
          </cell>
          <cell r="AL225">
            <v>13965</v>
          </cell>
        </row>
        <row r="226">
          <cell r="G226" t="str">
            <v>TGS6X624 MONTHS/150 000 KM48 MONTHS/300 000 KMCombinationYes</v>
          </cell>
          <cell r="H226">
            <v>35280</v>
          </cell>
          <cell r="AC226" t="str">
            <v>TGS6X624 MONTHS/50 000 KMEntire VehicleYes</v>
          </cell>
          <cell r="AD226">
            <v>5880</v>
          </cell>
          <cell r="AK226" t="str">
            <v>TGS8X236 MONTHS/375 000 KMDrivelineYes</v>
          </cell>
          <cell r="AL226">
            <v>11760</v>
          </cell>
        </row>
        <row r="227">
          <cell r="G227" t="str">
            <v>TGS6X624 MONTHS/300 000 KM36 MONTHS/450 000 KMCombinationNo</v>
          </cell>
          <cell r="H227">
            <v>41160</v>
          </cell>
          <cell r="AC227" t="str">
            <v>TGS6X636 MONTHS/150 000 KMEntire VehicleYes</v>
          </cell>
          <cell r="AD227">
            <v>27930</v>
          </cell>
          <cell r="AK227" t="str">
            <v>TGS8X236 MONTHS/450 000 KMDrivelineNo</v>
          </cell>
          <cell r="AL227">
            <v>16170</v>
          </cell>
        </row>
        <row r="228">
          <cell r="G228" t="str">
            <v>TGS6X624 MONTHS/300 000 KM36 MONTHS/450 000 KMCombinationYes</v>
          </cell>
          <cell r="H228">
            <v>35280</v>
          </cell>
          <cell r="AC228" t="str">
            <v>TGS6X636 MONTHS/225 000 KMEntire VehicleYes</v>
          </cell>
          <cell r="AD228">
            <v>33075</v>
          </cell>
          <cell r="AK228" t="str">
            <v>TGS8X236 MONTHS/450 000 KMDrivelineYes</v>
          </cell>
          <cell r="AL228">
            <v>13965</v>
          </cell>
        </row>
        <row r="229">
          <cell r="G229" t="str">
            <v>TGS6X624 MONTHS/300 000 KM48 MONTHS/600 000 KMCombinationNo</v>
          </cell>
          <cell r="H229">
            <v>74235</v>
          </cell>
          <cell r="AC229" t="str">
            <v>TGS6X636 MONTHS/300 000 KMEntire VehicleYes</v>
          </cell>
          <cell r="AD229">
            <v>42630</v>
          </cell>
          <cell r="AK229" t="str">
            <v>TGS8X236 MONTHS/525 000 KMDrivelineNo</v>
          </cell>
          <cell r="AL229">
            <v>19110</v>
          </cell>
        </row>
        <row r="230">
          <cell r="G230" t="str">
            <v>TGS6X624 MONTHS/300 000 KM48 MONTHS/600 000 KMCombinationYes</v>
          </cell>
          <cell r="H230">
            <v>63945</v>
          </cell>
          <cell r="AC230" t="str">
            <v>TGS6X636 MONTHS/375 000 KMEntire VehicleYes</v>
          </cell>
          <cell r="AD230">
            <v>52185</v>
          </cell>
          <cell r="AK230" t="str">
            <v>TGS8X236 MONTHS/525 000 KMDrivelineYes</v>
          </cell>
          <cell r="AL230">
            <v>16170</v>
          </cell>
        </row>
        <row r="231">
          <cell r="G231" t="str">
            <v>TGS6X624 MONTHS/300 000 KM60 MONTHS/750 000 KMCombinationNo</v>
          </cell>
          <cell r="H231">
            <v>145530</v>
          </cell>
          <cell r="AC231" t="str">
            <v>TGS6X636 MONTHS/450 000 KMEntire VehicleYes</v>
          </cell>
          <cell r="AD231">
            <v>56595</v>
          </cell>
          <cell r="AK231" t="str">
            <v>TGS8X236 MONTHS/600 000 KMDrivelineNo</v>
          </cell>
          <cell r="AL231">
            <v>22050</v>
          </cell>
        </row>
        <row r="232">
          <cell r="G232" t="str">
            <v>TGS6X624 MONTHS/300 000 KM60 MONTHS/750 000 KMCombinationYes</v>
          </cell>
          <cell r="H232">
            <v>126420</v>
          </cell>
          <cell r="AC232" t="str">
            <v>TGS6X636 MONTHS/75 000 KMEntire VehicleYes</v>
          </cell>
          <cell r="AD232">
            <v>23520</v>
          </cell>
          <cell r="AK232" t="str">
            <v>TGS8X236 MONTHS/600 000 KMDrivelineYes</v>
          </cell>
          <cell r="AL232">
            <v>19110</v>
          </cell>
        </row>
        <row r="233">
          <cell r="G233" t="str">
            <v>TGS6X636 MONTHS/225 000 KM48 MONTHS/300 000 KM CombinationNo</v>
          </cell>
          <cell r="H233">
            <v>52920</v>
          </cell>
          <cell r="AC233" t="str">
            <v>TGS6X648 MONTHS/100 000 KMEntire VehicleYes</v>
          </cell>
          <cell r="AD233">
            <v>74970</v>
          </cell>
          <cell r="AK233" t="str">
            <v>TGS8X248 MONTHS/300 000 KMDrivelineNo</v>
          </cell>
          <cell r="AL233">
            <v>12495</v>
          </cell>
        </row>
        <row r="234">
          <cell r="G234" t="str">
            <v>TGS6X636 MONTHS/225 000 KM48 MONTHS/300 000 KM CombinationYes</v>
          </cell>
          <cell r="H234">
            <v>45570</v>
          </cell>
          <cell r="AC234" t="str">
            <v>TGS6X648 MONTHS/200 000 KMEntire VehicleYes</v>
          </cell>
          <cell r="AD234">
            <v>88200</v>
          </cell>
          <cell r="AK234" t="str">
            <v>TGS8X248 MONTHS/300 000 KMDrivelineYes</v>
          </cell>
          <cell r="AL234">
            <v>10290</v>
          </cell>
        </row>
        <row r="235">
          <cell r="G235" t="str">
            <v>TGS6X636 MONTHS/225 000 KM60 MONTHS/750 000 KMCombinationNo</v>
          </cell>
          <cell r="H235">
            <v>84525</v>
          </cell>
          <cell r="AC235" t="str">
            <v>TGS6X648 MONTHS/300 000 KMEntire VehicleYes</v>
          </cell>
          <cell r="AD235">
            <v>102900</v>
          </cell>
          <cell r="AK235" t="str">
            <v>TGS8X248 MONTHS/400 000 KMDrivelineNo</v>
          </cell>
          <cell r="AL235">
            <v>16905</v>
          </cell>
        </row>
        <row r="236">
          <cell r="G236" t="str">
            <v>TGS6X636 MONTHS/225 000 KM60 MONTHS/750 000 KMCombinationYes</v>
          </cell>
          <cell r="H236">
            <v>73500</v>
          </cell>
          <cell r="AC236" t="str">
            <v>TGS6X648 MONTHS/400 000 KMEntire VehicleYes</v>
          </cell>
          <cell r="AD236">
            <v>134505</v>
          </cell>
          <cell r="AK236" t="str">
            <v>TGS8X248 MONTHS/400 000 KMDrivelineYes</v>
          </cell>
          <cell r="AL236">
            <v>14700</v>
          </cell>
        </row>
        <row r="237">
          <cell r="G237" t="str">
            <v>TGS6X636 MONTHS/450 000 KM48 MONTHS/600 000 KMCombinationNo</v>
          </cell>
          <cell r="H237">
            <v>98490</v>
          </cell>
          <cell r="AC237" t="str">
            <v>TGS6X648 MONTHS/500 000 KMEntire VehicleYes</v>
          </cell>
          <cell r="AD237">
            <v>165375</v>
          </cell>
          <cell r="AK237" t="str">
            <v>TGS8X248 MONTHS/500 000 KMDrivelineNo</v>
          </cell>
          <cell r="AL237">
            <v>24255</v>
          </cell>
        </row>
        <row r="238">
          <cell r="G238" t="str">
            <v>TGS6X636 MONTHS/450 000 KM48 MONTHS/600 000 KMCombinationYes</v>
          </cell>
          <cell r="H238">
            <v>85260</v>
          </cell>
          <cell r="AC238" t="str">
            <v>TGS6X648 MONTHS/600 000 KMEntire VehicleYes</v>
          </cell>
          <cell r="AD238">
            <v>169785</v>
          </cell>
          <cell r="AK238" t="str">
            <v>TGS8X248 MONTHS/500 000 KMDrivelineYes</v>
          </cell>
          <cell r="AL238">
            <v>20580</v>
          </cell>
        </row>
        <row r="239">
          <cell r="G239" t="str">
            <v>TGS6X636 MONTHS/450 000 KM60 MONTHS/750 000 KMCombinationNo</v>
          </cell>
          <cell r="H239">
            <v>169479.54545454544</v>
          </cell>
          <cell r="AC239" t="str">
            <v>TGS6X660 MONTHS/125 000 KMEntire VehicleYes</v>
          </cell>
          <cell r="AD239">
            <v>156555</v>
          </cell>
          <cell r="AK239" t="str">
            <v>TGS8X248 MONTHS/600 000 KMDrivelineNo</v>
          </cell>
          <cell r="AL239">
            <v>33075</v>
          </cell>
        </row>
        <row r="240">
          <cell r="G240" t="str">
            <v>TGS6X636 MONTHS/450 000 KM60 MONTHS/750 000 KMCombinationYes</v>
          </cell>
          <cell r="H240">
            <v>147735</v>
          </cell>
          <cell r="AC240" t="str">
            <v>TGS6X660 MONTHS/250 000 KMEntire VehicleYes</v>
          </cell>
          <cell r="AD240">
            <v>184485</v>
          </cell>
          <cell r="AK240" t="str">
            <v>TGS8X248 MONTHS/600 000 KMDrivelineYes</v>
          </cell>
          <cell r="AL240">
            <v>28665</v>
          </cell>
        </row>
        <row r="241">
          <cell r="G241" t="str">
            <v>TGS6X648 MONTHS/300 000 KM60 MONTHS/750 000 KMCombinationNo</v>
          </cell>
          <cell r="H241">
            <v>149940</v>
          </cell>
          <cell r="AC241" t="str">
            <v>TGS6X660 MONTHS/375 000 KMEntire VehicleYes</v>
          </cell>
          <cell r="AD241">
            <v>216090</v>
          </cell>
          <cell r="AK241" t="str">
            <v>TGS8X248 MONTHS/700 000 KMDrivelineNo</v>
          </cell>
          <cell r="AL241">
            <v>42630</v>
          </cell>
        </row>
        <row r="242">
          <cell r="G242" t="str">
            <v>TGS6X648 MONTHS/300 000 KM60 MONTHS/750 000 KMCombinationNo</v>
          </cell>
          <cell r="H242">
            <v>266805</v>
          </cell>
          <cell r="AC242" t="str">
            <v>TGS6X660 MONTHS/500 000 KMEntire VehicleYes</v>
          </cell>
          <cell r="AD242">
            <v>282240</v>
          </cell>
          <cell r="AK242" t="str">
            <v>TGS8X248 MONTHS/700 000 KMDrivelineYes</v>
          </cell>
          <cell r="AL242">
            <v>36750</v>
          </cell>
        </row>
        <row r="243">
          <cell r="G243" t="str">
            <v>TGS6X648 MONTHS/300 000 KM60 MONTHS/750 000 KMCombinationYes</v>
          </cell>
          <cell r="H243">
            <v>130830</v>
          </cell>
          <cell r="AC243" t="str">
            <v>TGS6X660 MONTHS/625 000 KMEntire VehicleYes</v>
          </cell>
          <cell r="AD243">
            <v>347655</v>
          </cell>
          <cell r="AK243" t="str">
            <v>TGS8X248 MONTHS/800 000 KMDrivelineNo</v>
          </cell>
          <cell r="AL243">
            <v>52185</v>
          </cell>
        </row>
        <row r="244">
          <cell r="G244" t="str">
            <v>TGS6X648 MONTHS/300 000 KM60 MONTHS/750 000 KMCombinationYes</v>
          </cell>
          <cell r="H244">
            <v>232260</v>
          </cell>
          <cell r="AC244" t="str">
            <v>TGS6X660 MONTHS/750 000 KMEntire VehicleYes</v>
          </cell>
          <cell r="AD244">
            <v>356475</v>
          </cell>
          <cell r="AK244" t="str">
            <v>TGS8X248 MONTHS/800 000 KMDrivelineYes</v>
          </cell>
          <cell r="AL244">
            <v>44835</v>
          </cell>
        </row>
        <row r="245">
          <cell r="G245" t="str">
            <v>TGS8X224 MONTHS/300 000 KM36 MONTHS/450 000 KMCombinationNo</v>
          </cell>
          <cell r="H245">
            <v>30135</v>
          </cell>
          <cell r="AC245" t="str">
            <v>TGS6X6H/D24 MONTHS/100 000 KMEntire VehicleYes</v>
          </cell>
          <cell r="AD245">
            <v>13230</v>
          </cell>
          <cell r="AK245" t="str">
            <v>TGS8X260 MONTHS/1 000 000 KMDrivelineNo</v>
          </cell>
          <cell r="AL245">
            <v>80115</v>
          </cell>
        </row>
        <row r="246">
          <cell r="G246" t="str">
            <v>TGS8X224 MONTHS/300 000 KM36 MONTHS/450 000 KMCombinationYes</v>
          </cell>
          <cell r="H246">
            <v>25725</v>
          </cell>
          <cell r="AC246" t="str">
            <v>TGS6X6H/D24 MONTHS/150 000 KMEntire VehicleYes</v>
          </cell>
          <cell r="AD246">
            <v>16170</v>
          </cell>
          <cell r="AK246" t="str">
            <v>TGS8X260 MONTHS/1 000 000 KMDrivelineYes</v>
          </cell>
          <cell r="AL246">
            <v>69090</v>
          </cell>
        </row>
        <row r="247">
          <cell r="G247" t="str">
            <v>TGS8X224 MONTHS/300 000 KM48 MONTHS/600 000 KMCombinationNo</v>
          </cell>
          <cell r="H247">
            <v>47040</v>
          </cell>
          <cell r="AC247" t="str">
            <v>TGS6X6H/D24 MONTHS/200 000 KMEntire VehicleYes</v>
          </cell>
          <cell r="AD247">
            <v>20580</v>
          </cell>
          <cell r="AK247" t="str">
            <v>TGS8X260 MONTHS/375 000 KMDrivelineNo</v>
          </cell>
          <cell r="AL247">
            <v>24990</v>
          </cell>
        </row>
        <row r="248">
          <cell r="G248" t="str">
            <v>TGS8X224 MONTHS/300 000 KM48 MONTHS/600 000 KMCombinationYes</v>
          </cell>
          <cell r="H248">
            <v>40425</v>
          </cell>
          <cell r="AC248" t="str">
            <v>TGS6X6H/D24 MONTHS/250 000 KMEntire VehicleYes</v>
          </cell>
          <cell r="AD248">
            <v>27930</v>
          </cell>
          <cell r="AK248" t="str">
            <v>TGS8X260 MONTHS/375 000 KMDrivelineYes</v>
          </cell>
          <cell r="AL248">
            <v>21315</v>
          </cell>
        </row>
        <row r="249">
          <cell r="G249" t="str">
            <v>TGS8X224 MONTHS/300 000 KM60 MONTHS/750 000 KMCombinationNo</v>
          </cell>
          <cell r="H249">
            <v>69825</v>
          </cell>
          <cell r="AC249" t="str">
            <v>TGS6X6H/D24 MONTHS/300 000 KMEntire VehicleYes</v>
          </cell>
          <cell r="AD249">
            <v>36015</v>
          </cell>
          <cell r="AK249" t="str">
            <v>TGS8X260 MONTHS/500 000 KMDrivelineNo</v>
          </cell>
          <cell r="AL249">
            <v>33810</v>
          </cell>
        </row>
        <row r="250">
          <cell r="G250" t="str">
            <v>TGS8X224 MONTHS/300 000 KM60 MONTHS/750 000 KMCombinationYes</v>
          </cell>
          <cell r="H250">
            <v>60270</v>
          </cell>
          <cell r="AC250" t="str">
            <v>TGS6X6H/D24 MONTHS/50 000 KMEntire VehicleYes</v>
          </cell>
          <cell r="AD250">
            <v>10290</v>
          </cell>
          <cell r="AK250" t="str">
            <v>TGS8X260 MONTHS/500 000 KMDrivelineYes</v>
          </cell>
          <cell r="AL250">
            <v>29400</v>
          </cell>
        </row>
        <row r="251">
          <cell r="G251" t="str">
            <v>TGS8X224 MONTHS/400 000 KM36 MONTHS/600 000 KMCombinationNo</v>
          </cell>
          <cell r="H251">
            <v>38220</v>
          </cell>
          <cell r="AC251" t="str">
            <v>TGS6X6H/D36 MONTHS/150 000 KMEntire VehicleYes</v>
          </cell>
          <cell r="AD251">
            <v>67620</v>
          </cell>
          <cell r="AK251" t="str">
            <v>TGS8X260 MONTHS/625 000 KMDrivelineNo</v>
          </cell>
          <cell r="AL251">
            <v>44100</v>
          </cell>
        </row>
        <row r="252">
          <cell r="G252" t="str">
            <v>TGS8X224 MONTHS/400 000 KM36 MONTHS/600 000 KMCombinationYes</v>
          </cell>
          <cell r="H252">
            <v>33075</v>
          </cell>
          <cell r="AC252" t="str">
            <v>TGS6X6H/D36 MONTHS/225 000 KMEntire VehicleYes</v>
          </cell>
          <cell r="AD252">
            <v>79380</v>
          </cell>
          <cell r="AK252" t="str">
            <v>TGS8X260 MONTHS/625 000 KMDrivelineYes</v>
          </cell>
          <cell r="AL252">
            <v>38220</v>
          </cell>
        </row>
        <row r="253">
          <cell r="G253" t="str">
            <v>TGS8X224 MONTHS/400 000 KM48 MONTHS/800 000 KMCombinationNo</v>
          </cell>
          <cell r="H253">
            <v>68355</v>
          </cell>
          <cell r="AC253" t="str">
            <v>TGS6X6H/D36 MONTHS/300 000 KMEntire VehicleYes</v>
          </cell>
          <cell r="AD253">
            <v>109200</v>
          </cell>
          <cell r="AK253" t="str">
            <v>TGS8X260 MONTHS/750 000 KMDrivelineNo</v>
          </cell>
          <cell r="AL253">
            <v>55860</v>
          </cell>
        </row>
        <row r="254">
          <cell r="G254" t="str">
            <v>TGS8X224 MONTHS/400 000 KM48 MONTHS/800 000 KMCombinationYes</v>
          </cell>
          <cell r="H254">
            <v>58800</v>
          </cell>
          <cell r="AC254" t="str">
            <v>TGS6X6H/D36 MONTHS/375 000 KMEntire VehicleYes</v>
          </cell>
          <cell r="AD254">
            <v>127155</v>
          </cell>
          <cell r="AK254" t="str">
            <v>TGS8X260 MONTHS/750 000 KMDrivelineYes</v>
          </cell>
          <cell r="AL254">
            <v>48510</v>
          </cell>
        </row>
        <row r="255">
          <cell r="G255" t="str">
            <v>TGS8X224 MONTHS/400 000 KM60 MONTHS/1000 000 KMCombinationNo</v>
          </cell>
          <cell r="H255">
            <v>96285</v>
          </cell>
          <cell r="AC255" t="str">
            <v>TGS6X6H/D36 MONTHS/450 000 KMEntire VehicleYes</v>
          </cell>
          <cell r="AD255">
            <v>130095</v>
          </cell>
          <cell r="AK255" t="str">
            <v>TGS8X260 MONTHS/875 000 KMDrivelineNo</v>
          </cell>
          <cell r="AL255">
            <v>58065</v>
          </cell>
        </row>
        <row r="256">
          <cell r="G256" t="str">
            <v>TGS8X224 MONTHS/400 000 KM60 MONTHS/1000 000 KMCombinationYes</v>
          </cell>
          <cell r="H256">
            <v>83055</v>
          </cell>
          <cell r="AC256" t="str">
            <v>TGS6X6H/D36 MONTHS/75 000 KMEntire VehicleYes</v>
          </cell>
          <cell r="AD256">
            <v>57330</v>
          </cell>
          <cell r="AK256" t="str">
            <v>TGS8X260 MONTHS/875 000 KMDrivelineYes</v>
          </cell>
          <cell r="AL256">
            <v>58065</v>
          </cell>
        </row>
        <row r="257">
          <cell r="G257" t="str">
            <v>TGS8X236 MONTHS/450 000 KM48 MONTHS/600 000 KMCombinationNo</v>
          </cell>
          <cell r="H257">
            <v>57330</v>
          </cell>
          <cell r="AC257" t="str">
            <v>TGS6X6H/D48 MONTHS/100 000 KMEntire VehicleYes</v>
          </cell>
          <cell r="AD257">
            <v>111720</v>
          </cell>
          <cell r="AK257" t="str">
            <v>TGS8X436 MONTHS/150 000 KMDrivelineYes</v>
          </cell>
          <cell r="AL257">
            <v>12495</v>
          </cell>
        </row>
        <row r="258">
          <cell r="G258" t="str">
            <v>TGS8X236 MONTHS/450 000 KM48 MONTHS/600 000 KMCombinationYes</v>
          </cell>
          <cell r="H258">
            <v>49245</v>
          </cell>
          <cell r="AC258" t="str">
            <v>TGS6X6H/D48 MONTHS/200 000 KMEntire VehicleYes</v>
          </cell>
          <cell r="AD258">
            <v>131565</v>
          </cell>
          <cell r="AK258" t="str">
            <v>TGS8X436 MONTHS/225 000 KMDrivelineYes</v>
          </cell>
          <cell r="AL258">
            <v>14700</v>
          </cell>
        </row>
        <row r="259">
          <cell r="G259" t="str">
            <v>TGS8X236 MONTHS/450 000 KM60 MONTHS/750 000 KMCombinationNo</v>
          </cell>
          <cell r="H259">
            <v>80115</v>
          </cell>
          <cell r="AC259" t="str">
            <v>TGS6X6H/D48 MONTHS/300 000 KMEntire VehicleYes</v>
          </cell>
          <cell r="AD259">
            <v>154350</v>
          </cell>
          <cell r="AK259" t="str">
            <v>TGS8X436 MONTHS/300 000 KMDrivelineYes</v>
          </cell>
          <cell r="AL259">
            <v>19110</v>
          </cell>
        </row>
        <row r="260">
          <cell r="G260" t="str">
            <v>TGS8X236 MONTHS/450 000 KM60 MONTHS/750 000 KMCombinationYes</v>
          </cell>
          <cell r="H260">
            <v>69090</v>
          </cell>
          <cell r="AC260" t="str">
            <v>TGS6X6H/D48 MONTHS/400 000 KMEntire VehicleYes</v>
          </cell>
          <cell r="AD260">
            <v>201390</v>
          </cell>
          <cell r="AK260" t="str">
            <v>TGS8X436 MONTHS/375 000 KMDrivelineYes</v>
          </cell>
          <cell r="AL260">
            <v>23520</v>
          </cell>
        </row>
        <row r="261">
          <cell r="G261" t="str">
            <v>TGS8X236 MONTHS/600 000 KM48 MONTHS/800 000 KMCombinationNo</v>
          </cell>
          <cell r="H261">
            <v>80115</v>
          </cell>
          <cell r="AC261" t="str">
            <v>TGS6X6H/D48 MONTHS/500 000 KMEntire VehicleYes</v>
          </cell>
          <cell r="AD261">
            <v>248430</v>
          </cell>
          <cell r="AK261" t="str">
            <v>TGS8X436 MONTHS/450 000 KMDrivelineYes</v>
          </cell>
          <cell r="AL261">
            <v>27195</v>
          </cell>
        </row>
        <row r="262">
          <cell r="G262" t="str">
            <v>TGS8X236 MONTHS/600 000 KM48 MONTHS/800 000 KMCombinationYes</v>
          </cell>
          <cell r="H262">
            <v>69090</v>
          </cell>
          <cell r="AC262" t="str">
            <v>TGS6X6H/D48 MONTHS/600 000 KMEntire VehicleYes</v>
          </cell>
          <cell r="AD262">
            <v>255045</v>
          </cell>
          <cell r="AK262" t="str">
            <v>TGS8X436 MONTHS/75 000 KMDrivelineYes</v>
          </cell>
          <cell r="AL262">
            <v>8085</v>
          </cell>
        </row>
        <row r="263">
          <cell r="G263" t="str">
            <v>TGS8X236 MONTHS/600 000 KM60 MONTHS/1000 000 KMCombinationNo</v>
          </cell>
          <cell r="H263">
            <v>108045</v>
          </cell>
          <cell r="AC263" t="str">
            <v>TGS6X6H/D60 MONTHS/125 000 KMEntire VehicleYes</v>
          </cell>
          <cell r="AD263">
            <v>235200</v>
          </cell>
          <cell r="AK263" t="str">
            <v>TGS8X448 MONTHS/100 000 KMDrivelineYes</v>
          </cell>
          <cell r="AL263">
            <v>22050</v>
          </cell>
        </row>
        <row r="264">
          <cell r="G264" t="str">
            <v>TGS8X236 MONTHS/600 000 KM60 MONTHS/1000 000 KMCombinationYes</v>
          </cell>
          <cell r="H264">
            <v>93345</v>
          </cell>
          <cell r="AC264" t="str">
            <v>TGS6X6H/D60 MONTHS/250 000 KMEntire VehicleYes</v>
          </cell>
          <cell r="AD264">
            <v>276360</v>
          </cell>
          <cell r="AK264" t="str">
            <v>TGS8X448 MONTHS/200 000 KMDrivelineYes</v>
          </cell>
          <cell r="AL264">
            <v>25725</v>
          </cell>
        </row>
        <row r="265">
          <cell r="G265" t="str">
            <v>TGS8X248 MONTHS/600 000 KM60 MONTHS/750 000 KMCombinationNo</v>
          </cell>
          <cell r="H265">
            <v>110985</v>
          </cell>
          <cell r="AC265" t="str">
            <v>TGS6X6H/D60 MONTHS/375 000 KMEntire VehicleYes</v>
          </cell>
          <cell r="AD265">
            <v>324135</v>
          </cell>
          <cell r="AK265" t="str">
            <v>TGS8X448 MONTHS/300 000 KMDrivelineYes</v>
          </cell>
          <cell r="AL265">
            <v>30870</v>
          </cell>
        </row>
        <row r="266">
          <cell r="G266" t="str">
            <v>TGS8X248 MONTHS/600 000 KM60 MONTHS/750 000 KMCombinationYes</v>
          </cell>
          <cell r="H266">
            <v>96285</v>
          </cell>
          <cell r="AC266" t="str">
            <v>TGS6X6H/D60 MONTHS/500 000 KMEntire VehicleYes</v>
          </cell>
          <cell r="AD266">
            <v>422625</v>
          </cell>
          <cell r="AK266" t="str">
            <v>TGS8X448 MONTHS/400 000 KMDrivelineYes</v>
          </cell>
          <cell r="AL266">
            <v>39690</v>
          </cell>
        </row>
        <row r="267">
          <cell r="G267" t="str">
            <v>TGS8X248 MONTHS/800 000 KM60 MONTHS/1000 000 KMCombinationNo</v>
          </cell>
          <cell r="H267">
            <v>128625</v>
          </cell>
          <cell r="AC267" t="str">
            <v>TGS6X6H/D60 MONTHS/625 000 KMEntire VehicleYes</v>
          </cell>
          <cell r="AD267">
            <v>521115</v>
          </cell>
          <cell r="AK267" t="str">
            <v>TGS8X448 MONTHS/500 000 KMDrivelineYes</v>
          </cell>
          <cell r="AL267">
            <v>61005</v>
          </cell>
        </row>
        <row r="268">
          <cell r="G268" t="str">
            <v>TGS8X248 MONTHS/800 000 KM60 MONTHS/1000 000 KMCombinationYes</v>
          </cell>
          <cell r="H268">
            <v>111720</v>
          </cell>
          <cell r="AC268" t="str">
            <v>TGS6X6H/D60 MONTHS/750 000 KMEntire VehicleYes</v>
          </cell>
          <cell r="AD268">
            <v>535080</v>
          </cell>
          <cell r="AK268" t="str">
            <v>TGS8X448 MONTHS/600 000 KMDrivelineYes</v>
          </cell>
          <cell r="AL268">
            <v>62475</v>
          </cell>
        </row>
        <row r="269">
          <cell r="G269" t="str">
            <v>TGS8X4 H/D (ABN)24 MONTHS/150 000 KM36 MONTHS/225 000 KMCombinationNo</v>
          </cell>
          <cell r="H269">
            <v>71295</v>
          </cell>
          <cell r="AC269" t="str">
            <v>TGS6X6HYDRO24 MONTHS/100 000 KMEntire VehicleYes</v>
          </cell>
          <cell r="AD269">
            <v>8820</v>
          </cell>
          <cell r="AK269" t="str">
            <v>TGS8X460 MONTHS/125 000 KMDrivelineYes</v>
          </cell>
          <cell r="AL269">
            <v>34545</v>
          </cell>
        </row>
        <row r="270">
          <cell r="G270" t="str">
            <v>TGS8X4 H/D (ABN)24 MONTHS/150 000 KM36 MONTHS/225 000 KMCombinationYes</v>
          </cell>
          <cell r="H270">
            <v>26460</v>
          </cell>
          <cell r="AC270" t="str">
            <v>TGS6X6HYDRO24 MONTHS/150 000 KMEntire VehicleYes</v>
          </cell>
          <cell r="AD270">
            <v>10290</v>
          </cell>
          <cell r="AK270" t="str">
            <v>TGS8X460 MONTHS/250 000 KMDrivelineYes</v>
          </cell>
          <cell r="AL270">
            <v>41160</v>
          </cell>
        </row>
        <row r="271">
          <cell r="G271" t="str">
            <v>TGS8X4 H/D (ABN)24 MONTHS/150 000 KM48 MONTHS/300 000 KMCombinationNo</v>
          </cell>
          <cell r="H271">
            <v>111720</v>
          </cell>
          <cell r="AC271" t="str">
            <v>TGS6X6HYDRO24 MONTHS/200 000 KMEntire VehicleYes</v>
          </cell>
          <cell r="AD271">
            <v>13230</v>
          </cell>
          <cell r="AK271" t="str">
            <v>TGS8X460 MONTHS/375 000 KMDrivelineYes</v>
          </cell>
          <cell r="AL271">
            <v>47775</v>
          </cell>
        </row>
        <row r="272">
          <cell r="G272" t="str">
            <v>TGS8X4 H/D (ABN)24 MONTHS/150 000 KM48 MONTHS/300 000 KMCombinationYes</v>
          </cell>
          <cell r="H272">
            <v>47775</v>
          </cell>
          <cell r="AC272" t="str">
            <v>TGS6X6HYDRO24 MONTHS/250 000 KMEntire VehicleYes</v>
          </cell>
          <cell r="AD272">
            <v>17640</v>
          </cell>
          <cell r="AK272" t="str">
            <v>TGS8X460 MONTHS/500 000 KMDrivelineYes</v>
          </cell>
          <cell r="AL272">
            <v>77910</v>
          </cell>
        </row>
        <row r="273">
          <cell r="G273" t="str">
            <v>TGS8X4 H/D (ABN)24 MONTHS/150 000 KM60 MONTHS/375 000 KMCombinationNo</v>
          </cell>
          <cell r="H273">
            <v>212415</v>
          </cell>
          <cell r="AC273" t="str">
            <v>TGS6X6HYDRO24 MONTHS/300 000 KMEntire VehicleYes</v>
          </cell>
          <cell r="AD273">
            <v>19110</v>
          </cell>
          <cell r="AK273" t="str">
            <v>TGS8X460 MONTHS/625 000 KMDrivelineYes</v>
          </cell>
          <cell r="AL273">
            <v>114660</v>
          </cell>
        </row>
        <row r="274">
          <cell r="G274" t="str">
            <v>TGS8X4 H/D (ABN)24 MONTHS/150 000 KM60 MONTHS/375 000 KMCombinationYes</v>
          </cell>
          <cell r="H274">
            <v>88200</v>
          </cell>
          <cell r="AC274" t="str">
            <v>TGS6X6HYDRO24 MONTHS/50 000 KMEntire VehicleYes</v>
          </cell>
          <cell r="AD274">
            <v>6615</v>
          </cell>
          <cell r="AK274" t="str">
            <v>TGS8X460 MONTHS/750 000 KMDrivelineYes</v>
          </cell>
          <cell r="AL274">
            <v>118335</v>
          </cell>
        </row>
        <row r="275">
          <cell r="G275" t="str">
            <v>TGS8X4 H/D (ABN)24 MONTHS/300 000 KM36 MONTHS/450 000 KMCombinationNo</v>
          </cell>
          <cell r="H275">
            <v>126420</v>
          </cell>
          <cell r="AC275" t="str">
            <v>TGS6X6HYDRO36 MONTHS/150 000 KMEntire VehicleYes</v>
          </cell>
          <cell r="AD275">
            <v>34545</v>
          </cell>
          <cell r="AK275" t="str">
            <v>TGS8X4H/D36 MONTHS/150 000 KMDrivelineYes</v>
          </cell>
          <cell r="AL275">
            <v>38220</v>
          </cell>
        </row>
        <row r="276">
          <cell r="G276" t="str">
            <v>TGS8X4 H/D (ABN)24 MONTHS/300 000 KM36 MONTHS/450 000 KMCombinationYes</v>
          </cell>
          <cell r="H276">
            <v>45312.272727272721</v>
          </cell>
          <cell r="AC276" t="str">
            <v>TGS6X6HYDRO36 MONTHS/225 000 KMEntire VehicleYes</v>
          </cell>
          <cell r="AD276">
            <v>40425</v>
          </cell>
          <cell r="AK276" t="str">
            <v>TGS8X4H/D36 MONTHS/225 000 KMDrivelineYes</v>
          </cell>
          <cell r="AL276">
            <v>44835</v>
          </cell>
        </row>
        <row r="277">
          <cell r="G277" t="str">
            <v>TGS8X4 H/D (ABN)24 MONTHS/300 000 KM48 MONTHS/600 000 KMCombinationNo</v>
          </cell>
          <cell r="H277">
            <v>193305</v>
          </cell>
          <cell r="AC277" t="str">
            <v>TGS6X6HYDRO36 MONTHS/300 000 KMEntire VehicleYes</v>
          </cell>
          <cell r="AD277">
            <v>52185</v>
          </cell>
          <cell r="AK277" t="str">
            <v>TGS8X4H/D36 MONTHS/300 000 KMDrivelineYes</v>
          </cell>
          <cell r="AL277">
            <v>58065</v>
          </cell>
        </row>
        <row r="278">
          <cell r="G278" t="str">
            <v>TGS8X4 H/D (ABN)24 MONTHS/300 000 KM48 MONTHS/600 000 KMCombinationYes</v>
          </cell>
          <cell r="H278">
            <v>77175</v>
          </cell>
          <cell r="AC278" t="str">
            <v>TGS6X6HYDRO36 MONTHS/375 000 KMEntire VehicleYes</v>
          </cell>
          <cell r="AD278">
            <v>64680</v>
          </cell>
          <cell r="AK278" t="str">
            <v>TGS8X4H/D36 MONTHS/375 000 KMDrivelineYes</v>
          </cell>
          <cell r="AL278">
            <v>71295</v>
          </cell>
        </row>
        <row r="279">
          <cell r="G279" t="str">
            <v>TGS8X4 H/D (ABN)24 MONTHS/300 000 KM60 MONTHS/750 000 KMCombinationNo</v>
          </cell>
          <cell r="H279">
            <v>360150</v>
          </cell>
          <cell r="AC279" t="str">
            <v>TGS6X6HYDRO36 MONTHS/450 000 KMEntire VehicleYes</v>
          </cell>
          <cell r="AD279">
            <v>66885</v>
          </cell>
          <cell r="AK279" t="str">
            <v>TGS8X4H/D36 MONTHS/450 000 KMDrivelineYes</v>
          </cell>
          <cell r="AL279">
            <v>73500</v>
          </cell>
        </row>
        <row r="280">
          <cell r="G280" t="str">
            <v>TGS8X4 H/D (ABN)24 MONTHS/300 000 KM60 MONTHS/750 000 KMCombinationYes</v>
          </cell>
          <cell r="H280">
            <v>147735</v>
          </cell>
          <cell r="AC280" t="str">
            <v>TGS6X6HYDRO36 MONTHS/75 000 KMEntire VehicleYes</v>
          </cell>
          <cell r="AD280">
            <v>29400</v>
          </cell>
          <cell r="AK280" t="str">
            <v>TGS8X4H/D36 MONTHS/75 000 KMDrivelineYes</v>
          </cell>
          <cell r="AL280">
            <v>32340</v>
          </cell>
        </row>
        <row r="281">
          <cell r="G281" t="str">
            <v>TGS8X4 H/D (ABN)36 MONTHS/225 000 KM48 MONTHS/300 000 KM CombinationNo</v>
          </cell>
          <cell r="H281">
            <v>132300</v>
          </cell>
          <cell r="AC281" t="str">
            <v>TGS6X6HYDRO48 MONTHS/100 000 KMEntire VehicleYes</v>
          </cell>
          <cell r="AD281">
            <v>79830</v>
          </cell>
          <cell r="AK281" t="str">
            <v>TGS8X4H/D48 MONTHS/100 000 KMDrivelineYes</v>
          </cell>
          <cell r="AL281">
            <v>58065</v>
          </cell>
        </row>
        <row r="282">
          <cell r="G282" t="str">
            <v>TGS8X4 H/D (ABN)36 MONTHS/225 000 KM48 MONTHS/300 000 KM CombinationYes</v>
          </cell>
          <cell r="H282">
            <v>61740</v>
          </cell>
          <cell r="AC282" t="str">
            <v>TGS6X6HYDRO48 MONTHS/200 000 KMEntire VehicleYes</v>
          </cell>
          <cell r="AD282">
            <v>92610</v>
          </cell>
          <cell r="AK282" t="str">
            <v>TGS8X4H/D48 MONTHS/200 000 KMDrivelineYes</v>
          </cell>
          <cell r="AL282">
            <v>68335</v>
          </cell>
        </row>
        <row r="283">
          <cell r="G283" t="str">
            <v>TGS8X4 H/D (ABN)36 MONTHS/225 000 KM60 MONTHS/750 000 KMCombinationNo</v>
          </cell>
          <cell r="H283">
            <v>232995</v>
          </cell>
          <cell r="AC283" t="str">
            <v>TGS6X6HYDRO48 MONTHS/300 000 KMEntire VehicleYes</v>
          </cell>
          <cell r="AD283">
            <v>108045</v>
          </cell>
          <cell r="AK283" t="str">
            <v>TGS8X4H/D48 MONTHS/300 000 KMDrivelineYes</v>
          </cell>
          <cell r="AL283">
            <v>80115</v>
          </cell>
        </row>
        <row r="284">
          <cell r="G284" t="str">
            <v>TGS8X4 H/D (ABN)36 MONTHS/225 000 KM60 MONTHS/750 000 KMCombinationYes</v>
          </cell>
          <cell r="H284">
            <v>102165</v>
          </cell>
          <cell r="AC284" t="str">
            <v>TGS6X6HYDRO48 MONTHS/400 000 KMEntire VehicleYes</v>
          </cell>
          <cell r="AD284">
            <v>141855</v>
          </cell>
          <cell r="AK284" t="str">
            <v>TGS8X4H/D48 MONTHS/400 000 KMDrivelineYes</v>
          </cell>
          <cell r="AL284">
            <v>104370</v>
          </cell>
        </row>
        <row r="285">
          <cell r="G285" t="str">
            <v>TGS8X4 H/D (ABN)36 MONTHS/450 000 KM48 MONTHS/600 000 KMCombinationNo</v>
          </cell>
          <cell r="H285">
            <v>216825</v>
          </cell>
          <cell r="AC285" t="str">
            <v>TGS6X6HYDRO48 MONTHS/500 000 KMEntire VehicleYes</v>
          </cell>
          <cell r="AD285">
            <v>174195</v>
          </cell>
          <cell r="AK285" t="str">
            <v>TGS8X4H/D48 MONTHS/500 000 KMDrivelineYes</v>
          </cell>
          <cell r="AL285">
            <v>127890</v>
          </cell>
        </row>
        <row r="286">
          <cell r="G286" t="str">
            <v>TGS8X4 H/D (ABN)36 MONTHS/450 000 KM48 MONTHS/600 000 KMCombinationYes</v>
          </cell>
          <cell r="H286">
            <v>98490</v>
          </cell>
          <cell r="AC286" t="str">
            <v>TGS6X6HYDRO48 MONTHS/600 000 KMEntire VehicleYes</v>
          </cell>
          <cell r="AD286">
            <v>178605</v>
          </cell>
          <cell r="AK286" t="str">
            <v>TGS8X4H/D48 MONTHS/600 000 KMDrivelineYes</v>
          </cell>
          <cell r="AL286">
            <v>131565</v>
          </cell>
        </row>
        <row r="287">
          <cell r="G287" t="str">
            <v>TGS8X4 H/D (ABN)36 MONTHS/450 000 KM60 MONTHS/750 000 KMCombinationNo</v>
          </cell>
          <cell r="H287">
            <v>383670</v>
          </cell>
          <cell r="AC287" t="str">
            <v>TGS6X6HYDRO60 MONTHS/125 000 KMEntire VehicleYes</v>
          </cell>
          <cell r="AD287">
            <v>164640</v>
          </cell>
          <cell r="AK287" t="str">
            <v>TGS8X4H/D60 MONTHS/125 000 KMDrivelineYes</v>
          </cell>
          <cell r="AL287">
            <v>121275</v>
          </cell>
        </row>
        <row r="288">
          <cell r="G288" t="str">
            <v>TGS8X4 H/D (ABN)36 MONTHS/450 000 KM60 MONTHS/750 000 KMCombinationYes</v>
          </cell>
          <cell r="H288">
            <v>169050</v>
          </cell>
          <cell r="AC288" t="str">
            <v>TGS6X6HYDRO60 MONTHS/250 000 KMEntire VehicleYes</v>
          </cell>
          <cell r="AD288">
            <v>194040</v>
          </cell>
          <cell r="AK288" t="str">
            <v>TGS8X4H/D60 MONTHS/250 000 KMDrivelineYes</v>
          </cell>
          <cell r="AL288">
            <v>142590</v>
          </cell>
        </row>
        <row r="289">
          <cell r="G289" t="str">
            <v>TGS8X4 H/D (ABN)48 MONTHS/300 000 KM60 MONTHS/750 000 KMCombinationNo</v>
          </cell>
          <cell r="H289">
            <v>278565</v>
          </cell>
          <cell r="AC289" t="str">
            <v>TGS6X6HYDRO60 MONTHS/375 000 KMEntire VehicleYes</v>
          </cell>
          <cell r="AD289">
            <v>227115</v>
          </cell>
          <cell r="AK289" t="str">
            <v>TGS8X4H/D60 MONTHS/375 000 KMDrivelineYes</v>
          </cell>
          <cell r="AL289">
            <v>167580</v>
          </cell>
        </row>
        <row r="290">
          <cell r="G290" t="str">
            <v>TGS8X4 H/D (ABN)48 MONTHS/300 000 KM60 MONTHS/750 000 KMCombinationNo</v>
          </cell>
          <cell r="H290">
            <v>460845</v>
          </cell>
          <cell r="AC290" t="str">
            <v>TGS6X6HYDRO60 MONTHS/500 000 KMEntire VehicleYes</v>
          </cell>
          <cell r="AD290">
            <v>296940</v>
          </cell>
          <cell r="AK290" t="str">
            <v>TGS8X4H/D60 MONTHS/500 000 KMDrivelineYes</v>
          </cell>
          <cell r="AL290">
            <v>218295</v>
          </cell>
        </row>
        <row r="291">
          <cell r="G291" t="str">
            <v>TGS8X4 H/D (ABN)48 MONTHS/300 000 KM60 MONTHS/750 000 KMCombinationYes</v>
          </cell>
          <cell r="H291">
            <v>148470</v>
          </cell>
          <cell r="AC291" t="str">
            <v>TGS6X6HYDRO60 MONTHS/625 000 KMEntire VehicleYes</v>
          </cell>
          <cell r="AD291">
            <v>365295</v>
          </cell>
          <cell r="AK291" t="str">
            <v>TGS8X4H/D60 MONTHS/625 000 KMDrivelineYes</v>
          </cell>
          <cell r="AL291">
            <v>269010</v>
          </cell>
        </row>
        <row r="292">
          <cell r="G292" t="str">
            <v>TGS8X4 H/D (ABN)48 MONTHS/300 000 KM60 MONTHS/750 000 KMCombinationYes</v>
          </cell>
          <cell r="H292">
            <v>249165</v>
          </cell>
          <cell r="AC292" t="str">
            <v>TGS6X6HYDRO60 MONTHS/750 000 KMEntire VehicleYes</v>
          </cell>
          <cell r="AD292">
            <v>374850</v>
          </cell>
          <cell r="AK292" t="str">
            <v>TGS8X4H/D60 MONTHS/750 000 KMDrivelineYes</v>
          </cell>
          <cell r="AL292">
            <v>276360</v>
          </cell>
        </row>
        <row r="293">
          <cell r="G293" t="str">
            <v>TGS8X4 H/D24 MONTHS/150 000 KM36 MONTHS/225 000 KMCombinationNo</v>
          </cell>
          <cell r="H293">
            <v>31605</v>
          </cell>
          <cell r="AC293" t="str">
            <v>TGS8X224 MONTHS/150 000 KMEntire VehicleNo</v>
          </cell>
          <cell r="AD293">
            <v>7350</v>
          </cell>
          <cell r="AK293" t="str">
            <v>TGS8X4HYDRO36 MONTHS/150 000 KMDrivelineYes</v>
          </cell>
          <cell r="AL293">
            <v>13965</v>
          </cell>
        </row>
        <row r="294">
          <cell r="G294" t="str">
            <v>TGS8X4 H/D24 MONTHS/150 000 KM36 MONTHS/225 000 KMCombinationYes</v>
          </cell>
          <cell r="H294">
            <v>61005</v>
          </cell>
          <cell r="AC294" t="str">
            <v>TGS8X224 MONTHS/150 000 KMEntire VehicleYes</v>
          </cell>
          <cell r="AD294">
            <v>5880</v>
          </cell>
          <cell r="AK294" t="str">
            <v>TGS8X4HYDRO36 MONTHS/225 000 KMDrivelineYes</v>
          </cell>
          <cell r="AL294">
            <v>16170</v>
          </cell>
        </row>
        <row r="295">
          <cell r="G295" t="str">
            <v>TGS8X4 H/D24 MONTHS/150 000 KM48 MONTHS/300 000 KMCombinationNo</v>
          </cell>
          <cell r="H295">
            <v>55860</v>
          </cell>
          <cell r="AC295" t="str">
            <v>TGS8X224 MONTHS/200 000 KMEntire VehicleNo</v>
          </cell>
          <cell r="AD295">
            <v>8820</v>
          </cell>
          <cell r="AK295" t="str">
            <v>TGS8X4HYDRO36 MONTHS/300 000 KMDrivelineYes</v>
          </cell>
          <cell r="AL295">
            <v>20580</v>
          </cell>
        </row>
        <row r="296">
          <cell r="G296" t="str">
            <v>TGS8X4 H/D24 MONTHS/150 000 KM48 MONTHS/300 000 KMCombinationYes</v>
          </cell>
          <cell r="H296">
            <v>96285</v>
          </cell>
          <cell r="AC296" t="str">
            <v>TGS8X224 MONTHS/200 000 KMEntire VehicleYes</v>
          </cell>
          <cell r="AD296">
            <v>7350</v>
          </cell>
          <cell r="AK296" t="str">
            <v>TGS8X4HYDRO36 MONTHS/375 000 KMDrivelineYes</v>
          </cell>
          <cell r="AL296">
            <v>25725</v>
          </cell>
        </row>
        <row r="297">
          <cell r="G297" t="str">
            <v>TGS8X4 H/D24 MONTHS/150 000 KM60 MONTHS/375 000 KMCombinationNo</v>
          </cell>
          <cell r="H297">
            <v>102165</v>
          </cell>
          <cell r="AC297" t="str">
            <v>TGS8X224 MONTHS/250 000 KMEntire VehicleNo</v>
          </cell>
          <cell r="AD297">
            <v>11025</v>
          </cell>
          <cell r="AK297" t="str">
            <v>TGS8X4HYDRO36 MONTHS/450 000 KMDrivelineYes</v>
          </cell>
          <cell r="AL297">
            <v>26460</v>
          </cell>
        </row>
        <row r="298">
          <cell r="G298" t="str">
            <v>TGS8X4 H/D24 MONTHS/150 000 KM60 MONTHS/375 000 KMCombinationYes</v>
          </cell>
          <cell r="H298">
            <v>183750</v>
          </cell>
          <cell r="AC298" t="str">
            <v>TGS8X224 MONTHS/250 000 KMEntire VehicleYes</v>
          </cell>
          <cell r="AD298">
            <v>9555</v>
          </cell>
          <cell r="AK298" t="str">
            <v>TGS8X4HYDRO36 MONTHS/75 000 KMDrivelineYes</v>
          </cell>
          <cell r="AL298">
            <v>11760</v>
          </cell>
        </row>
        <row r="299">
          <cell r="G299" t="str">
            <v>TGS8X4 H/D24 MONTHS/300 000 KM36 MONTHS/450 000 KMCombinationNo</v>
          </cell>
          <cell r="H299">
            <v>52920</v>
          </cell>
          <cell r="AC299" t="str">
            <v>TGS8X224 MONTHS/300 000 KMEntire VehicleNo</v>
          </cell>
          <cell r="AD299">
            <v>13965</v>
          </cell>
          <cell r="AK299" t="str">
            <v>TGS8X4HYDRO48 MONTHS/100 000 KMDrivelineYes</v>
          </cell>
          <cell r="AL299">
            <v>27195</v>
          </cell>
        </row>
        <row r="300">
          <cell r="G300" t="str">
            <v>TGS8X4 H/D24 MONTHS/300 000 KM36 MONTHS/450 000 KMCombinationYes</v>
          </cell>
          <cell r="H300">
            <v>109515</v>
          </cell>
          <cell r="AC300" t="str">
            <v>TGS8X224 MONTHS/300 000 KMEntire VehicleYes</v>
          </cell>
          <cell r="AD300">
            <v>11760</v>
          </cell>
          <cell r="AK300" t="str">
            <v>TGS8X4HYDRO48 MONTHS/200 000 KMDrivelineYes</v>
          </cell>
          <cell r="AL300">
            <v>31605</v>
          </cell>
        </row>
        <row r="301">
          <cell r="G301" t="str">
            <v>TGS8X4 H/D24 MONTHS/300 000 KM48 MONTHS/600 000 KMCombinationNo</v>
          </cell>
          <cell r="H301">
            <v>88935</v>
          </cell>
          <cell r="AC301" t="str">
            <v>TGS8X224 MONTHS/350 000 KMEntire VehicleNo</v>
          </cell>
          <cell r="AD301">
            <v>15435</v>
          </cell>
          <cell r="AK301" t="str">
            <v>TGS8X4HYDRO48 MONTHS/300 000 KMDrivelineYes</v>
          </cell>
          <cell r="AL301">
            <v>37485</v>
          </cell>
        </row>
        <row r="302">
          <cell r="G302" t="str">
            <v>TGS8X4 H/D24 MONTHS/300 000 KM48 MONTHS/600 000 KMCombinationYes</v>
          </cell>
          <cell r="H302">
            <v>167580</v>
          </cell>
          <cell r="AC302" t="str">
            <v>TGS8X224 MONTHS/350 000 KMEntire VehicleYes</v>
          </cell>
          <cell r="AD302">
            <v>13230</v>
          </cell>
          <cell r="AK302" t="str">
            <v>TGS8X4HYDRO48 MONTHS/400 000 KMDrivelineYes</v>
          </cell>
          <cell r="AL302">
            <v>48510</v>
          </cell>
        </row>
        <row r="303">
          <cell r="G303" t="str">
            <v>TGS8X4 H/D24 MONTHS/300 000 KM60 MONTHS/750 000 KMCombinationNo</v>
          </cell>
          <cell r="H303">
            <v>170520</v>
          </cell>
          <cell r="AC303" t="str">
            <v>TGS8X224 MONTHS/400 000 KMEntire VehicleNo</v>
          </cell>
          <cell r="AD303">
            <v>16170</v>
          </cell>
          <cell r="AK303" t="str">
            <v>TGS8X4HYDRO48 MONTHS/500 000 KMDrivelineYes</v>
          </cell>
          <cell r="AL303">
            <v>56595</v>
          </cell>
        </row>
        <row r="304">
          <cell r="G304" t="str">
            <v>TGS8X4 H/D24 MONTHS/300 000 KM60 MONTHS/750 000 KMCombinationYes</v>
          </cell>
          <cell r="H304">
            <v>312375</v>
          </cell>
          <cell r="AC304" t="str">
            <v>TGS8X224 MONTHS/400 000 KMEntire VehicleYes</v>
          </cell>
          <cell r="AD304">
            <v>13965</v>
          </cell>
          <cell r="AK304" t="str">
            <v>TGS8X4HYDRO48 MONTHS/600 000 KMDrivelineYes</v>
          </cell>
          <cell r="AL304">
            <v>58065</v>
          </cell>
        </row>
        <row r="305">
          <cell r="G305" t="str">
            <v>TGS8X4 H/D36 MONTHS/225 000 KM48 MONTHS/300 000 KM CombinationNo</v>
          </cell>
          <cell r="H305">
            <v>71295</v>
          </cell>
          <cell r="AC305" t="str">
            <v>TGS8X236 MONTHS/225 000 KMEntire VehicleNo</v>
          </cell>
          <cell r="AD305">
            <v>25725</v>
          </cell>
          <cell r="AK305" t="str">
            <v>TGS8X4HYDRO60 MONTHS/125 000 KMDrivelineYes</v>
          </cell>
          <cell r="AL305">
            <v>56595</v>
          </cell>
        </row>
        <row r="306">
          <cell r="G306" t="str">
            <v>TGS8X4 H/D36 MONTHS/225 000 KM48 MONTHS/300 000 KM CombinationYes</v>
          </cell>
          <cell r="H306">
            <v>114660</v>
          </cell>
          <cell r="AC306" t="str">
            <v>TGS8X236 MONTHS/225 000 KMEntire VehicleYes</v>
          </cell>
          <cell r="AD306">
            <v>22050</v>
          </cell>
          <cell r="AK306" t="str">
            <v>TGS8X4HYDRO60 MONTHS/250 000 KMDrivelineYes</v>
          </cell>
          <cell r="AL306">
            <v>66885</v>
          </cell>
        </row>
        <row r="307">
          <cell r="G307" t="str">
            <v>TGS8X4 H/D36 MONTHS/225 000 KM60 MONTHS/750 000 KMCombinationNo</v>
          </cell>
          <cell r="H307">
            <v>117600</v>
          </cell>
          <cell r="AC307" t="str">
            <v>TGS8X236 MONTHS/300 000 KMEntire VehicleNo</v>
          </cell>
          <cell r="AD307">
            <v>29400</v>
          </cell>
          <cell r="AK307" t="str">
            <v>TGS8X4HYDRO60 MONTHS/375 000 KMDrivelineYes</v>
          </cell>
          <cell r="AL307">
            <v>77910</v>
          </cell>
        </row>
        <row r="308">
          <cell r="G308" t="str">
            <v>TGS8X4 H/D36 MONTHS/225 000 KM60 MONTHS/750 000 KMCombinationYes</v>
          </cell>
          <cell r="H308">
            <v>202125</v>
          </cell>
          <cell r="AC308" t="str">
            <v>TGS8X236 MONTHS/300 000 KMEntire VehicleYes</v>
          </cell>
          <cell r="AD308">
            <v>24990</v>
          </cell>
          <cell r="AK308" t="str">
            <v>TGS8X4HYDRO60 MONTHS/500 000 KMDrivelineYes</v>
          </cell>
          <cell r="AL308">
            <v>102165</v>
          </cell>
        </row>
        <row r="309">
          <cell r="G309" t="str">
            <v>TGS8X4 H/D36 MONTHS/450 000 KM48 MONTHS/600 000 KMCombinationNo</v>
          </cell>
          <cell r="H309">
            <v>113190</v>
          </cell>
          <cell r="AC309" t="str">
            <v>TGS8X236 MONTHS/375 000 KMEntire VehicleNo</v>
          </cell>
          <cell r="AD309">
            <v>35280</v>
          </cell>
          <cell r="AK309" t="str">
            <v>TGS8X4HYDRO60 MONTHS/625 000 KMDrivelineYes</v>
          </cell>
          <cell r="AL309">
            <v>118335</v>
          </cell>
        </row>
        <row r="310">
          <cell r="G310" t="str">
            <v>TGS8X4 H/D36 MONTHS/450 000 KM48 MONTHS/600 000 KMCombinationYes</v>
          </cell>
          <cell r="H310">
            <v>188160</v>
          </cell>
          <cell r="AC310" t="str">
            <v>TGS8X236 MONTHS/375 000 KMEntire VehicleYes</v>
          </cell>
          <cell r="AD310">
            <v>30135</v>
          </cell>
          <cell r="AK310" t="str">
            <v>TGS8X4HYDRO60 MONTHS/750 000 KMDrivelineYes</v>
          </cell>
          <cell r="AL310">
            <v>128625</v>
          </cell>
        </row>
        <row r="311">
          <cell r="G311" t="str">
            <v>TGS8X4 H/D36 MONTHS/450 000 KM60 MONTHS/750 000 KMCombinationNo</v>
          </cell>
          <cell r="H311">
            <v>194775</v>
          </cell>
          <cell r="AC311" t="str">
            <v>TGS8X236 MONTHS/450 000 KMEntire VehicleNo</v>
          </cell>
          <cell r="AD311">
            <v>40425</v>
          </cell>
          <cell r="AK311" t="str">
            <v>TGS8X636 MONTHS/150 000 KMDrivelineYes</v>
          </cell>
          <cell r="AL311">
            <v>12495</v>
          </cell>
        </row>
        <row r="312">
          <cell r="G312" t="str">
            <v>TGS8X4 H/D36 MONTHS/450 000 KM60 MONTHS/750 000 KMCombinationYes</v>
          </cell>
          <cell r="H312">
            <v>332955</v>
          </cell>
          <cell r="AC312" t="str">
            <v>TGS8X236 MONTHS/450 000 KMEntire VehicleYes</v>
          </cell>
          <cell r="AD312">
            <v>34545</v>
          </cell>
          <cell r="AK312" t="str">
            <v>TGS8X636 MONTHS/225 000 KMDrivelineYes</v>
          </cell>
          <cell r="AL312">
            <v>14700</v>
          </cell>
        </row>
        <row r="313">
          <cell r="G313" t="str">
            <v>TGS8X4 H/D48 MONTHS/300 000 KM60 MONTHS/750 000 KMCombinationNo</v>
          </cell>
          <cell r="H313">
            <v>171255</v>
          </cell>
          <cell r="AC313" t="str">
            <v>TGS8X236 MONTHS/525 000 KMEntire VehicleNo</v>
          </cell>
          <cell r="AD313">
            <v>44835</v>
          </cell>
          <cell r="AK313" t="str">
            <v>TGS8X636 MONTHS/300 000 KMDrivelineYes</v>
          </cell>
          <cell r="AL313">
            <v>19110</v>
          </cell>
        </row>
        <row r="314">
          <cell r="G314" t="str">
            <v>TGS8X4 H/D48 MONTHS/300 000 KM60 MONTHS/750 000 KMCombinationNo</v>
          </cell>
          <cell r="H314">
            <v>287385</v>
          </cell>
          <cell r="AC314" t="str">
            <v>TGS8X236 MONTHS/525 000 KMEntire VehicleYes</v>
          </cell>
          <cell r="AD314">
            <v>38955</v>
          </cell>
          <cell r="AK314" t="str">
            <v>TGS8X636 MONTHS/375 000 KMDrivelineYes</v>
          </cell>
          <cell r="AL314">
            <v>23520</v>
          </cell>
        </row>
        <row r="315">
          <cell r="G315" t="str">
            <v>TGS8X4 H/D48 MONTHS/300 000 KM60 MONTHS/750 000 KMCombinationYes</v>
          </cell>
          <cell r="H315">
            <v>241815</v>
          </cell>
          <cell r="AC315" t="str">
            <v>TGS8X236 MONTHS/600 000 KMEntire VehicleNo</v>
          </cell>
          <cell r="AD315">
            <v>49980</v>
          </cell>
          <cell r="AK315" t="str">
            <v>TGS8X636 MONTHS/450 000 KMDrivelineYes</v>
          </cell>
          <cell r="AL315">
            <v>27195</v>
          </cell>
        </row>
        <row r="316">
          <cell r="G316" t="str">
            <v>TGS8X4 H/D48 MONTHS/300 000 KM60 MONTHS/750 000 KMCombinationYes</v>
          </cell>
          <cell r="H316">
            <v>399840</v>
          </cell>
          <cell r="AC316" t="str">
            <v>TGS8X236 MONTHS/600 000 KMEntire VehicleYes</v>
          </cell>
          <cell r="AD316">
            <v>43365</v>
          </cell>
          <cell r="AK316" t="str">
            <v>TGS8X636 MONTHS/75 000 KMDrivelineYes</v>
          </cell>
          <cell r="AL316">
            <v>8085</v>
          </cell>
        </row>
        <row r="317">
          <cell r="G317" t="str">
            <v>TGS8X424 MONTHS/150 000 KM 60 MONTHS/375 000 KMCombinationNo</v>
          </cell>
          <cell r="H317">
            <v>67620</v>
          </cell>
          <cell r="AC317" t="str">
            <v>TGS8X248 MONTHS/300 000 KMEntire VehicleNo</v>
          </cell>
          <cell r="AD317">
            <v>50715</v>
          </cell>
          <cell r="AK317" t="str">
            <v>TGS8X648 MONTHS/100 000 KMDrivelineYes</v>
          </cell>
          <cell r="AL317">
            <v>22050</v>
          </cell>
        </row>
        <row r="318">
          <cell r="G318" t="str">
            <v>TGS8X424 MONTHS/150 000 KM 60 MONTHS/375 000 KMCombinationYes</v>
          </cell>
          <cell r="H318">
            <v>58065</v>
          </cell>
          <cell r="AC318" t="str">
            <v>TGS8X248 MONTHS/300 000 KMEntire VehicleYes</v>
          </cell>
          <cell r="AD318">
            <v>44100</v>
          </cell>
          <cell r="AK318" t="str">
            <v>TGS8X648 MONTHS/200 000 KMDrivelineYes</v>
          </cell>
          <cell r="AL318">
            <v>25725</v>
          </cell>
        </row>
        <row r="319">
          <cell r="G319" t="str">
            <v>TGS8X424 MONTHS/150 000 KM36 MONTHS/225 000 KMCombinationNo</v>
          </cell>
          <cell r="H319">
            <v>29400</v>
          </cell>
          <cell r="AC319" t="str">
            <v>TGS8X248 MONTHS/400 000 KMEntire VehicleNo</v>
          </cell>
          <cell r="AD319">
            <v>65415</v>
          </cell>
          <cell r="AK319" t="str">
            <v>TGS8X648 MONTHS/300 000 KMDrivelineYes</v>
          </cell>
          <cell r="AL319">
            <v>30870</v>
          </cell>
        </row>
        <row r="320">
          <cell r="G320" t="str">
            <v>TGS8X424 MONTHS/150 000 KM36 MONTHS/225 000 KMCombinationYes</v>
          </cell>
          <cell r="H320">
            <v>24990</v>
          </cell>
          <cell r="AC320" t="str">
            <v>TGS8X248 MONTHS/400 000 KMEntire VehicleYes</v>
          </cell>
          <cell r="AD320">
            <v>56595</v>
          </cell>
          <cell r="AK320" t="str">
            <v>TGS8X648 MONTHS/400 000 KMDrivelineYes</v>
          </cell>
          <cell r="AL320">
            <v>39690</v>
          </cell>
        </row>
        <row r="321">
          <cell r="G321" t="str">
            <v>TGS8X424 MONTHS/150 000 KM48 MONTHS/300 000 KMCombinationNo</v>
          </cell>
          <cell r="H321">
            <v>48510</v>
          </cell>
          <cell r="AC321" t="str">
            <v>TGS8X248 MONTHS/500 000 KMEntire VehicleNo</v>
          </cell>
          <cell r="AD321">
            <v>80115</v>
          </cell>
          <cell r="AK321" t="str">
            <v>TGS8X648 MONTHS/500 000 KMDrivelineYes</v>
          </cell>
          <cell r="AL321">
            <v>61005</v>
          </cell>
        </row>
        <row r="322">
          <cell r="G322" t="str">
            <v>TGS8X424 MONTHS/150 000 KM48 MONTHS/300 000 KMCombinationYes</v>
          </cell>
          <cell r="H322">
            <v>41160</v>
          </cell>
          <cell r="AC322" t="str">
            <v>TGS8X248 MONTHS/500 000 KMEntire VehicleYes</v>
          </cell>
          <cell r="AD322">
            <v>69090</v>
          </cell>
          <cell r="AK322" t="str">
            <v>TGS8X648 MONTHS/600 000 KMDrivelineYes</v>
          </cell>
          <cell r="AL322">
            <v>62475</v>
          </cell>
        </row>
        <row r="323">
          <cell r="G323" t="str">
            <v>TGS8X424 MONTHS/300 000 KM36 MONTHS/450 000 KMCombinationNo</v>
          </cell>
          <cell r="H323">
            <v>53655</v>
          </cell>
          <cell r="AC323" t="str">
            <v>TGS8X248 MONTHS/600 000 KMEntire VehicleNo</v>
          </cell>
          <cell r="AD323">
            <v>88200</v>
          </cell>
          <cell r="AK323" t="str">
            <v>TGS8X660 MONTHS/125 000 KMDrivelineYes</v>
          </cell>
          <cell r="AL323">
            <v>34545</v>
          </cell>
        </row>
        <row r="324">
          <cell r="G324" t="str">
            <v>TGS8X424 MONTHS/300 000 KM36 MONTHS/450 000 KMCombinationYes</v>
          </cell>
          <cell r="H324">
            <v>46305</v>
          </cell>
          <cell r="AC324" t="str">
            <v>TGS8X248 MONTHS/600 000 KMEntire VehicleYes</v>
          </cell>
          <cell r="AD324">
            <v>76440</v>
          </cell>
          <cell r="AK324" t="str">
            <v>TGS8X660 MONTHS/250 000 KMDrivelineYes</v>
          </cell>
          <cell r="AL324">
            <v>41160</v>
          </cell>
        </row>
        <row r="325">
          <cell r="G325" t="str">
            <v>TGS8X424 MONTHS/300 000 KM48 MONTHS/600 000 KMCombinationNo</v>
          </cell>
          <cell r="H325">
            <v>94080</v>
          </cell>
          <cell r="AC325" t="str">
            <v>TGS8X248 MONTHS/700 000 KMEntire VehicleNo</v>
          </cell>
          <cell r="AD325">
            <v>94080</v>
          </cell>
          <cell r="AK325" t="str">
            <v>TGS8X660 MONTHS/375 000 KMDrivelineYes</v>
          </cell>
          <cell r="AL325">
            <v>47775</v>
          </cell>
        </row>
        <row r="326">
          <cell r="G326" t="str">
            <v>TGS8X424 MONTHS/300 000 KM48 MONTHS/600 000 KMCombinationYes</v>
          </cell>
          <cell r="H326">
            <v>81585</v>
          </cell>
          <cell r="AC326" t="str">
            <v>TGS8X248 MONTHS/700 000 KMEntire VehicleYes</v>
          </cell>
          <cell r="AD326">
            <v>81585</v>
          </cell>
          <cell r="AK326" t="str">
            <v>TGS8X660 MONTHS/500 000 KMDrivelineYes</v>
          </cell>
          <cell r="AL326">
            <v>77910</v>
          </cell>
        </row>
        <row r="327">
          <cell r="G327" t="str">
            <v>TGS8X424 MONTHS/300 000 KM60 MONTHS/750 000 KMCombinationNo</v>
          </cell>
          <cell r="H327">
            <v>158760</v>
          </cell>
          <cell r="AC327" t="str">
            <v>TGS8X248 MONTHS/800 000 KMEntire VehicleNo</v>
          </cell>
          <cell r="AD327">
            <v>100695</v>
          </cell>
          <cell r="AK327" t="str">
            <v>TGS8X660 MONTHS/625 000 KMDrivelineYes</v>
          </cell>
          <cell r="AL327">
            <v>114660</v>
          </cell>
        </row>
        <row r="328">
          <cell r="G328" t="str">
            <v>TGS8X424 MONTHS/300 000 KM60 MONTHS/750 000 KMCombinationYes</v>
          </cell>
          <cell r="H328">
            <v>137445</v>
          </cell>
          <cell r="AC328" t="str">
            <v>TGS8X248 MONTHS/800 000 KMEntire VehicleYes</v>
          </cell>
          <cell r="AD328">
            <v>87465</v>
          </cell>
          <cell r="AK328" t="str">
            <v>TGS8X660 MONTHS/750 000 KMDrivelineYes</v>
          </cell>
          <cell r="AL328">
            <v>118335</v>
          </cell>
        </row>
        <row r="329">
          <cell r="G329" t="str">
            <v>TGS8X436 MONTHS/225 000 KM48 MONTHS/300 000 KM CombinationNo</v>
          </cell>
          <cell r="H329">
            <v>66150</v>
          </cell>
          <cell r="AC329" t="str">
            <v>TGS8X260 MONTHS/1 000 000 KMEntire VehicleNo</v>
          </cell>
          <cell r="AD329">
            <v>189630</v>
          </cell>
          <cell r="AK329" t="str">
            <v>TGS8X6H/D36 MONTHS/150 000 KMDrivelineYes</v>
          </cell>
          <cell r="AL329">
            <v>38220</v>
          </cell>
        </row>
        <row r="330">
          <cell r="G330" t="str">
            <v>TGS8X436 MONTHS/225 000 KM48 MONTHS/300 000 KM CombinationYes</v>
          </cell>
          <cell r="H330">
            <v>56595</v>
          </cell>
          <cell r="AC330" t="str">
            <v>TGS8X260 MONTHS/1 000 000 KMEntire VehicleYes</v>
          </cell>
          <cell r="AD330">
            <v>164640</v>
          </cell>
          <cell r="AK330" t="str">
            <v>TGS8X6H/D36 MONTHS/225 000 KMDrivelineYes</v>
          </cell>
          <cell r="AL330">
            <v>44835</v>
          </cell>
        </row>
        <row r="331">
          <cell r="G331" t="str">
            <v>TGS8X436 MONTHS/225 000 KM60 MONTHS/750 000 KMCombinationNo</v>
          </cell>
          <cell r="H331">
            <v>85260</v>
          </cell>
          <cell r="AC331" t="str">
            <v>TGS8X260 MONTHS/375 000 KMEntire VehicleNo</v>
          </cell>
          <cell r="AD331">
            <v>95550</v>
          </cell>
          <cell r="AK331" t="str">
            <v>TGS8X6H/D36 MONTHS/300 000 KMDrivelineYes</v>
          </cell>
          <cell r="AL331">
            <v>58065</v>
          </cell>
        </row>
        <row r="332">
          <cell r="G332" t="str">
            <v>TGS8X436 MONTHS/225 000 KM60 MONTHS/750 000 KMCombinationYes</v>
          </cell>
          <cell r="H332">
            <v>73500</v>
          </cell>
          <cell r="AC332" t="str">
            <v>TGS8X260 MONTHS/375 000 KMEntire VehicleYes</v>
          </cell>
          <cell r="AD332">
            <v>83055</v>
          </cell>
          <cell r="AK332" t="str">
            <v>TGS8X6H/D36 MONTHS/375 000 KMDrivelineYes</v>
          </cell>
          <cell r="AL332">
            <v>71295</v>
          </cell>
        </row>
        <row r="333">
          <cell r="G333" t="str">
            <v>TGS8X436 MONTHS/450 000 KM48 MONTHS/600 000 KMCombinationNo</v>
          </cell>
          <cell r="H333">
            <v>117600</v>
          </cell>
          <cell r="AC333" t="str">
            <v>TGS8X260 MONTHS/500 000 KMEntire VehicleNo</v>
          </cell>
          <cell r="AD333">
            <v>126420</v>
          </cell>
          <cell r="AK333" t="str">
            <v>TGS8X6H/D36 MONTHS/450 000 KMDrivelineYes</v>
          </cell>
          <cell r="AL333">
            <v>73500</v>
          </cell>
        </row>
        <row r="334">
          <cell r="G334" t="str">
            <v>TGS8X436 MONTHS/450 000 KM48 MONTHS/600 000 KMCombinationYes</v>
          </cell>
          <cell r="H334">
            <v>102165</v>
          </cell>
          <cell r="AC334" t="str">
            <v>TGS8X260 MONTHS/500 000 KMEntire VehicleYes</v>
          </cell>
          <cell r="AD334">
            <v>109515</v>
          </cell>
          <cell r="AK334" t="str">
            <v>TGS8X6H/D36 MONTHS/75 000 KMDrivelineYes</v>
          </cell>
          <cell r="AL334">
            <v>32340</v>
          </cell>
        </row>
        <row r="335">
          <cell r="G335" t="str">
            <v>TGS8X436 MONTHS/450 000 KM60 MONTHS/750 000 KMCombinationNo</v>
          </cell>
          <cell r="H335">
            <v>182280</v>
          </cell>
          <cell r="AC335" t="str">
            <v>TGS8X260 MONTHS/625 000 KMEntire VehicleNo</v>
          </cell>
          <cell r="AD335">
            <v>150675</v>
          </cell>
          <cell r="AK335" t="str">
            <v>TGS8X6H/D48 MONTHS/100 000 KMDrivelineYes</v>
          </cell>
          <cell r="AL335">
            <v>58065</v>
          </cell>
        </row>
        <row r="336">
          <cell r="G336" t="str">
            <v>TGS8X436 MONTHS/450 000 KM60 MONTHS/750 000 KMCombinationYes</v>
          </cell>
          <cell r="H336">
            <v>158025</v>
          </cell>
          <cell r="AC336" t="str">
            <v>TGS8X260 MONTHS/625 000 KMEntire VehicleYes</v>
          </cell>
          <cell r="AD336">
            <v>130830</v>
          </cell>
          <cell r="AK336" t="str">
            <v>TGS8X6H/D48 MONTHS/200 000 KMDrivelineYes</v>
          </cell>
          <cell r="AL336">
            <v>68335</v>
          </cell>
        </row>
        <row r="337">
          <cell r="G337" t="str">
            <v>TGS8X448 MONTHS/300 000 KM60 MONTHS/750 000 KMCombinationNo</v>
          </cell>
          <cell r="H337">
            <v>144060</v>
          </cell>
          <cell r="AC337" t="str">
            <v>TGS8X260 MONTHS/750 000 KMEntire VehicleNo</v>
          </cell>
          <cell r="AD337">
            <v>163170</v>
          </cell>
          <cell r="AK337" t="str">
            <v>TGS8X6H/D48 MONTHS/300 000 KMDrivelineYes</v>
          </cell>
          <cell r="AL337">
            <v>80115</v>
          </cell>
        </row>
        <row r="338">
          <cell r="G338" t="str">
            <v>TGS8X448 MONTHS/300 000 KM60 MONTHS/750 000 KMCombinationNo</v>
          </cell>
          <cell r="H338">
            <v>270480</v>
          </cell>
          <cell r="AC338" t="str">
            <v>TGS8X260 MONTHS/750 000 KMEntire VehicleYes</v>
          </cell>
          <cell r="AD338">
            <v>141855</v>
          </cell>
          <cell r="AK338" t="str">
            <v>TGS8X6H/D48 MONTHS/400 000 KMDrivelineYes</v>
          </cell>
          <cell r="AL338">
            <v>104370</v>
          </cell>
        </row>
        <row r="339">
          <cell r="G339" t="str">
            <v>TGS8X448 MONTHS/300 000 KM60 MONTHS/750 000 KMCombinationYes</v>
          </cell>
          <cell r="H339">
            <v>124950</v>
          </cell>
          <cell r="AC339" t="str">
            <v>TGS8X260 MONTHS/875 000 KMEntire VehicleNo</v>
          </cell>
          <cell r="AD339">
            <v>171990</v>
          </cell>
          <cell r="AK339" t="str">
            <v>TGS8X6H/D48 MONTHS/500 000 KMDrivelineYes</v>
          </cell>
          <cell r="AL339">
            <v>127890</v>
          </cell>
        </row>
        <row r="340">
          <cell r="G340" t="str">
            <v>TGS8X448 MONTHS/300 000 KM60 MONTHS/750 000 KMCombinationYes</v>
          </cell>
          <cell r="H340">
            <v>234465</v>
          </cell>
          <cell r="AC340" t="str">
            <v>TGS8X260 MONTHS/875 000 KMEntire VehicleYes</v>
          </cell>
          <cell r="AD340">
            <v>149205</v>
          </cell>
          <cell r="AK340" t="str">
            <v>TGS8X6H/D48 MONTHS/600 000 KMDrivelineYes</v>
          </cell>
          <cell r="AL340">
            <v>131565</v>
          </cell>
        </row>
        <row r="341">
          <cell r="G341" t="str">
            <v>TGS8X6 H/D (ABN)24 MONTHS/150 000 KM36 MONTHS/225 000 KMCombinationNo</v>
          </cell>
          <cell r="H341">
            <v>71295</v>
          </cell>
          <cell r="AC341" t="str">
            <v>TGS8X424 MONTHS/100 000 KMEntire VehicleYes</v>
          </cell>
          <cell r="AD341">
            <v>8820</v>
          </cell>
          <cell r="AK341" t="str">
            <v>TGS8X6H/D60 MONTHS/125 000 KMDrivelineYes</v>
          </cell>
          <cell r="AL341">
            <v>121275</v>
          </cell>
        </row>
        <row r="342">
          <cell r="G342" t="str">
            <v>TGS8X6 H/D (ABN)24 MONTHS/150 000 KM36 MONTHS/225 000 KMCombinationYes</v>
          </cell>
          <cell r="H342">
            <v>26460</v>
          </cell>
          <cell r="AC342" t="str">
            <v>TGS8X424 MONTHS/150 000 KMEntire VehicleYes</v>
          </cell>
          <cell r="AD342">
            <v>10290</v>
          </cell>
          <cell r="AK342" t="str">
            <v>TGS8X6H/D60 MONTHS/250 000 KMDrivelineYes</v>
          </cell>
          <cell r="AL342">
            <v>142590</v>
          </cell>
        </row>
        <row r="343">
          <cell r="G343" t="str">
            <v>TGS8X6 H/D (ABN)24 MONTHS/150 000 KM48 MONTHS/300 000 KMCombinationNo</v>
          </cell>
          <cell r="H343">
            <v>111720</v>
          </cell>
          <cell r="AC343" t="str">
            <v>TGS8X424 MONTHS/200 000 KMEntire VehicleYes</v>
          </cell>
          <cell r="AD343">
            <v>13230</v>
          </cell>
          <cell r="AK343" t="str">
            <v>TGS8X6H/D60 MONTHS/375 000 KMDrivelineYes</v>
          </cell>
          <cell r="AL343">
            <v>167580</v>
          </cell>
        </row>
        <row r="344">
          <cell r="G344" t="str">
            <v>TGS8X6 H/D (ABN)24 MONTHS/150 000 KM48 MONTHS/300 000 KMCombinationYes</v>
          </cell>
          <cell r="H344">
            <v>47775</v>
          </cell>
          <cell r="AC344" t="str">
            <v>TGS8X424 MONTHS/250 000 KMEntire VehicleYes</v>
          </cell>
          <cell r="AD344">
            <v>17640</v>
          </cell>
          <cell r="AK344" t="str">
            <v>TGS8X6H/D60 MONTHS/500 000 KMDrivelineYes</v>
          </cell>
          <cell r="AL344">
            <v>218295</v>
          </cell>
        </row>
        <row r="345">
          <cell r="G345" t="str">
            <v>TGS8X6 H/D (ABN)24 MONTHS/150 000 KM60 MONTHS/375 000 KMCombinationNo</v>
          </cell>
          <cell r="H345">
            <v>212415</v>
          </cell>
          <cell r="AC345" t="str">
            <v>TGS8X424 MONTHS/300 000 KMEntire VehicleYes</v>
          </cell>
          <cell r="AD345">
            <v>19110</v>
          </cell>
          <cell r="AK345" t="str">
            <v>TGS8X6H/D60 MONTHS/625 000 KMDrivelineYes</v>
          </cell>
          <cell r="AL345">
            <v>269010</v>
          </cell>
        </row>
        <row r="346">
          <cell r="G346" t="str">
            <v>TGS8X6 H/D (ABN)24 MONTHS/150 000 KM60 MONTHS/375 000 KMCombinationYes</v>
          </cell>
          <cell r="H346">
            <v>88200</v>
          </cell>
          <cell r="AC346" t="str">
            <v>TGS8X424 MONTHS/50 000 KMEntire VehicleYes</v>
          </cell>
          <cell r="AD346">
            <v>6615</v>
          </cell>
          <cell r="AK346" t="str">
            <v>TGS8X6H/D60 MONTHS/750 000 KMDrivelineYes</v>
          </cell>
          <cell r="AL346">
            <v>276360</v>
          </cell>
        </row>
        <row r="347">
          <cell r="G347" t="str">
            <v>TGS8X6 H/D (ABN)24 MONTHS/300 000 KM36 MONTHS/450 000 KMCombinationNo</v>
          </cell>
          <cell r="H347">
            <v>126420</v>
          </cell>
          <cell r="AC347" t="str">
            <v>TGS8X436 MONTHS/150 000 KMEntire VehicleYes</v>
          </cell>
          <cell r="AD347">
            <v>34545</v>
          </cell>
          <cell r="AK347" t="str">
            <v>TGS8X6HYDRO36 MONTHS/150 000 KMDrivelineYes</v>
          </cell>
          <cell r="AL347">
            <v>13965</v>
          </cell>
        </row>
        <row r="348">
          <cell r="G348" t="str">
            <v>TGS8X6 H/D (ABN)24 MONTHS/300 000 KM36 MONTHS/450 000 KMCombinationYes</v>
          </cell>
          <cell r="H348">
            <v>45312.272727272721</v>
          </cell>
          <cell r="AC348" t="str">
            <v>TGS8X436 MONTHS/225 000 KMEntire VehicleYes</v>
          </cell>
          <cell r="AD348">
            <v>40425</v>
          </cell>
          <cell r="AK348" t="str">
            <v>TGS8X6HYDRO36 MONTHS/225 000 KMDrivelineYes</v>
          </cell>
          <cell r="AL348">
            <v>16170</v>
          </cell>
        </row>
        <row r="349">
          <cell r="G349" t="str">
            <v>TGS8X6 H/D (ABN)24 MONTHS/300 000 KM48 MONTHS/600 000 KMCombinationNo</v>
          </cell>
          <cell r="H349">
            <v>193305</v>
          </cell>
          <cell r="AC349" t="str">
            <v>TGS8X436 MONTHS/300 000 KMEntire VehicleYes</v>
          </cell>
          <cell r="AD349">
            <v>52185</v>
          </cell>
          <cell r="AK349" t="str">
            <v>TGS8X6HYDRO36 MONTHS/300 000 KMDrivelineYes</v>
          </cell>
          <cell r="AL349">
            <v>20580</v>
          </cell>
        </row>
        <row r="350">
          <cell r="G350" t="str">
            <v>TGS8X6 H/D (ABN)24 MONTHS/300 000 KM48 MONTHS/600 000 KMCombinationYes</v>
          </cell>
          <cell r="H350">
            <v>77175</v>
          </cell>
          <cell r="AC350" t="str">
            <v>TGS8X436 MONTHS/375 000 KMEntire VehicleYes</v>
          </cell>
          <cell r="AD350">
            <v>64680</v>
          </cell>
          <cell r="AK350" t="str">
            <v>TGS8X6HYDRO36 MONTHS/375 000 KMDrivelineYes</v>
          </cell>
          <cell r="AL350">
            <v>25725</v>
          </cell>
        </row>
        <row r="351">
          <cell r="G351" t="str">
            <v>TGS8X6 H/D (ABN)24 MONTHS/300 000 KM60 MONTHS/750 000 KMCombinationNo</v>
          </cell>
          <cell r="H351">
            <v>360150</v>
          </cell>
          <cell r="AC351" t="str">
            <v>TGS8X436 MONTHS/450 000 KMEntire VehicleYes</v>
          </cell>
          <cell r="AD351">
            <v>66885</v>
          </cell>
          <cell r="AK351" t="str">
            <v>TGS8X6HYDRO36 MONTHS/450 000 KMDrivelineYes</v>
          </cell>
          <cell r="AL351">
            <v>26460</v>
          </cell>
        </row>
        <row r="352">
          <cell r="G352" t="str">
            <v>TGS8X6 H/D (ABN)24 MONTHS/300 000 KM60 MONTHS/750 000 KMCombinationYes</v>
          </cell>
          <cell r="H352">
            <v>147735</v>
          </cell>
          <cell r="AC352" t="str">
            <v>TGS8X436 MONTHS/75 000 KMEntire VehicleYes</v>
          </cell>
          <cell r="AD352">
            <v>29400</v>
          </cell>
          <cell r="AK352" t="str">
            <v>TGS8X6HYDRO36 MONTHS/75 000 KMDrivelineYes</v>
          </cell>
          <cell r="AL352">
            <v>11760</v>
          </cell>
        </row>
        <row r="353">
          <cell r="G353" t="str">
            <v>TGS8X6 H/D (ABN)36 MONTHS/225 000 KM48 MONTHS/300 000 KM CombinationNo</v>
          </cell>
          <cell r="H353">
            <v>132300</v>
          </cell>
          <cell r="AC353" t="str">
            <v>TGS8X448 MONTHS/100 000 KMEntire VehicleYes</v>
          </cell>
          <cell r="AD353">
            <v>79830</v>
          </cell>
          <cell r="AK353" t="str">
            <v>TGS8X6HYDRO48 MONTHS/100 000 KMDrivelineYes</v>
          </cell>
          <cell r="AL353">
            <v>27195</v>
          </cell>
        </row>
        <row r="354">
          <cell r="G354" t="str">
            <v>TGS8X6 H/D (ABN)36 MONTHS/225 000 KM48 MONTHS/300 000 KM CombinationYes</v>
          </cell>
          <cell r="H354">
            <v>61740</v>
          </cell>
          <cell r="AC354" t="str">
            <v>TGS8X448 MONTHS/200 000 KMEntire VehicleYes</v>
          </cell>
          <cell r="AD354">
            <v>92610</v>
          </cell>
          <cell r="AK354" t="str">
            <v>TGS8X6HYDRO48 MONTHS/200 000 KMDrivelineYes</v>
          </cell>
          <cell r="AL354">
            <v>31605</v>
          </cell>
        </row>
        <row r="355">
          <cell r="G355" t="str">
            <v>TGS8X6 H/D (ABN)36 MONTHS/225 000 KM60 MONTHS/750 000 KMCombinationNo</v>
          </cell>
          <cell r="H355">
            <v>232995</v>
          </cell>
          <cell r="AC355" t="str">
            <v>TGS8X448 MONTHS/300 000 KMEntire VehicleYes</v>
          </cell>
          <cell r="AD355">
            <v>108045</v>
          </cell>
          <cell r="AK355" t="str">
            <v>TGS8X6HYDRO48 MONTHS/300 000 KMDrivelineYes</v>
          </cell>
          <cell r="AL355">
            <v>37485</v>
          </cell>
        </row>
        <row r="356">
          <cell r="G356" t="str">
            <v>TGS8X6 H/D (ABN)36 MONTHS/225 000 KM60 MONTHS/750 000 KMCombinationYes</v>
          </cell>
          <cell r="H356">
            <v>102165</v>
          </cell>
          <cell r="AC356" t="str">
            <v>TGS8X448 MONTHS/400 000 KMEntire VehicleYes</v>
          </cell>
          <cell r="AD356">
            <v>141855</v>
          </cell>
          <cell r="AK356" t="str">
            <v>TGS8X6HYDRO48 MONTHS/400 000 KMDrivelineYes</v>
          </cell>
          <cell r="AL356">
            <v>48510</v>
          </cell>
        </row>
        <row r="357">
          <cell r="G357" t="str">
            <v>TGS8X6 H/D (ABN)36 MONTHS/450 000 KM48 MONTHS/600 000 KMCombinationNo</v>
          </cell>
          <cell r="H357">
            <v>216825</v>
          </cell>
          <cell r="AC357" t="str">
            <v>TGS8X448 MONTHS/500 000 KMEntire VehicleYes</v>
          </cell>
          <cell r="AD357">
            <v>174195</v>
          </cell>
          <cell r="AK357" t="str">
            <v>TGS8X6HYDRO48 MONTHS/500 000 KMDrivelineYes</v>
          </cell>
          <cell r="AL357">
            <v>56595</v>
          </cell>
        </row>
        <row r="358">
          <cell r="G358" t="str">
            <v>TGS8X6 H/D (ABN)36 MONTHS/450 000 KM48 MONTHS/600 000 KMCombinationYes</v>
          </cell>
          <cell r="H358">
            <v>98490</v>
          </cell>
          <cell r="AC358" t="str">
            <v>TGS8X448 MONTHS/600 000 KMEntire VehicleYes</v>
          </cell>
          <cell r="AD358">
            <v>178605</v>
          </cell>
          <cell r="AK358" t="str">
            <v>TGS8X6HYDRO48 MONTHS/600 000 KMDrivelineYes</v>
          </cell>
          <cell r="AL358">
            <v>58065</v>
          </cell>
        </row>
        <row r="359">
          <cell r="G359" t="str">
            <v>TGS8X6 H/D (ABN)36 MONTHS/450 000 KM60 MONTHS/750 000 KMCombinationNo</v>
          </cell>
          <cell r="H359">
            <v>383670</v>
          </cell>
          <cell r="AC359" t="str">
            <v>TGS8X460 MONTHS/125 000 KMEntire VehicleYes</v>
          </cell>
          <cell r="AD359">
            <v>164640</v>
          </cell>
          <cell r="AK359" t="str">
            <v>TGS8X6HYDRO60 MONTHS/125 000 KMDrivelineYes</v>
          </cell>
          <cell r="AL359">
            <v>56595</v>
          </cell>
        </row>
        <row r="360">
          <cell r="G360" t="str">
            <v>TGS8X6 H/D (ABN)36 MONTHS/450 000 KM60 MONTHS/750 000 KMCombinationYes</v>
          </cell>
          <cell r="H360">
            <v>169050</v>
          </cell>
          <cell r="AC360" t="str">
            <v>TGS8X460 MONTHS/250 000 KMEntire VehicleYes</v>
          </cell>
          <cell r="AD360">
            <v>194040</v>
          </cell>
          <cell r="AK360" t="str">
            <v>TGS8X6HYDRO60 MONTHS/250 000 KMDrivelineYes</v>
          </cell>
          <cell r="AL360">
            <v>66885</v>
          </cell>
        </row>
        <row r="361">
          <cell r="G361" t="str">
            <v>TGS8X6 H/D (ABN)48 MONTHS/300 000 KM60 MONTHS/750 000 KMCombinationNo</v>
          </cell>
          <cell r="H361">
            <v>278565</v>
          </cell>
          <cell r="AC361" t="str">
            <v>TGS8X460 MONTHS/375 000 KMEntire VehicleYes</v>
          </cell>
          <cell r="AD361">
            <v>227115</v>
          </cell>
          <cell r="AK361" t="str">
            <v>TGS8X6HYDRO60 MONTHS/375 000 KMDrivelineYes</v>
          </cell>
          <cell r="AL361">
            <v>77910</v>
          </cell>
        </row>
        <row r="362">
          <cell r="G362" t="str">
            <v>TGS8X6 H/D (ABN)48 MONTHS/300 000 KM60 MONTHS/750 000 KMCombinationNo</v>
          </cell>
          <cell r="H362">
            <v>460845</v>
          </cell>
          <cell r="AC362" t="str">
            <v>TGS8X460 MONTHS/500 000 KMEntire VehicleYes</v>
          </cell>
          <cell r="AD362">
            <v>296940</v>
          </cell>
          <cell r="AK362" t="str">
            <v>TGS8X6HYDRO60 MONTHS/500 000 KMDrivelineYes</v>
          </cell>
          <cell r="AL362">
            <v>102165</v>
          </cell>
        </row>
        <row r="363">
          <cell r="G363" t="str">
            <v>TGS8X6 H/D (ABN)48 MONTHS/300 000 KM60 MONTHS/750 000 KMCombinationYes</v>
          </cell>
          <cell r="H363">
            <v>148470</v>
          </cell>
          <cell r="AC363" t="str">
            <v>TGS8X460 MONTHS/625 000 KMEntire VehicleYes</v>
          </cell>
          <cell r="AD363">
            <v>365295</v>
          </cell>
          <cell r="AK363" t="str">
            <v>TGS8X6HYDRO60 MONTHS/625 000 KMDrivelineYes</v>
          </cell>
          <cell r="AL363">
            <v>118335</v>
          </cell>
        </row>
        <row r="364">
          <cell r="G364" t="str">
            <v>TGS8X6 H/D (ABN)48 MONTHS/300 000 KM60 MONTHS/750 000 KMCombinationYes</v>
          </cell>
          <cell r="H364">
            <v>249165</v>
          </cell>
          <cell r="AC364" t="str">
            <v>TGS8X460 MONTHS/750 000 KMEntire VehicleYes</v>
          </cell>
          <cell r="AD364">
            <v>374850</v>
          </cell>
          <cell r="AK364" t="str">
            <v>TGS8X6HYDRO60 MONTHS/750 000 KMDrivelineYes</v>
          </cell>
          <cell r="AL364">
            <v>128625</v>
          </cell>
        </row>
        <row r="365">
          <cell r="G365" t="str">
            <v>TGS8X6 H/D24 MONTHS/150 000 KM36 MONTHS/225 000 KMCombinationNo</v>
          </cell>
          <cell r="H365">
            <v>31605</v>
          </cell>
          <cell r="AC365" t="str">
            <v>TGS8X4H/D24 MONTHS/100 000 KMEntire VehicleYes</v>
          </cell>
          <cell r="AD365">
            <v>13230</v>
          </cell>
          <cell r="AK365" t="str">
            <v>TGS8X836 MONTHS/150 000 KMDrivelineYes</v>
          </cell>
          <cell r="AL365">
            <v>12495</v>
          </cell>
        </row>
        <row r="366">
          <cell r="G366" t="str">
            <v>TGS8X6 H/D24 MONTHS/150 000 KM36 MONTHS/225 000 KMCombinationYes</v>
          </cell>
          <cell r="H366">
            <v>61005</v>
          </cell>
          <cell r="AC366" t="str">
            <v>TGS8X4H/D24 MONTHS/150 000 KMEntire VehicleYes</v>
          </cell>
          <cell r="AD366">
            <v>16170</v>
          </cell>
          <cell r="AK366" t="str">
            <v>TGS8X836 MONTHS/225 000 KMDrivelineYes</v>
          </cell>
          <cell r="AL366">
            <v>14700</v>
          </cell>
        </row>
        <row r="367">
          <cell r="G367" t="str">
            <v>TGS8X6 H/D24 MONTHS/150 000 KM48 MONTHS/300 000 KMCombinationNo</v>
          </cell>
          <cell r="H367">
            <v>55860</v>
          </cell>
          <cell r="AC367" t="str">
            <v>TGS8X4H/D24 MONTHS/200 000 KMEntire VehicleYes</v>
          </cell>
          <cell r="AD367">
            <v>20580</v>
          </cell>
          <cell r="AK367" t="str">
            <v>TGS8X836 MONTHS/300 000 KMDrivelineYes</v>
          </cell>
          <cell r="AL367">
            <v>19110</v>
          </cell>
        </row>
        <row r="368">
          <cell r="G368" t="str">
            <v>TGS8X6 H/D24 MONTHS/150 000 KM48 MONTHS/300 000 KMCombinationYes</v>
          </cell>
          <cell r="H368">
            <v>96285</v>
          </cell>
          <cell r="AC368" t="str">
            <v>TGS8X4H/D24 MONTHS/250 000 KMEntire VehicleYes</v>
          </cell>
          <cell r="AD368">
            <v>27930</v>
          </cell>
          <cell r="AK368" t="str">
            <v>TGS8X836 MONTHS/375 000 KMDrivelineYes</v>
          </cell>
          <cell r="AL368">
            <v>23520</v>
          </cell>
        </row>
        <row r="369">
          <cell r="G369" t="str">
            <v>TGS8X6 H/D24 MONTHS/150 000 KM60 MONTHS/375 000 KMCombinationNo</v>
          </cell>
          <cell r="H369">
            <v>102165</v>
          </cell>
          <cell r="AC369" t="str">
            <v>TGS8X4H/D24 MONTHS/300 000 KMEntire VehicleYes</v>
          </cell>
          <cell r="AD369">
            <v>36015</v>
          </cell>
          <cell r="AK369" t="str">
            <v>TGS8X836 MONTHS/450 000 KMDrivelineYes</v>
          </cell>
          <cell r="AL369">
            <v>27195</v>
          </cell>
        </row>
        <row r="370">
          <cell r="G370" t="str">
            <v>TGS8X6 H/D24 MONTHS/150 000 KM60 MONTHS/375 000 KMCombinationYes</v>
          </cell>
          <cell r="H370">
            <v>183750</v>
          </cell>
          <cell r="AC370" t="str">
            <v>TGS8X4H/D24 MONTHS/50 000 KMEntire VehicleYes</v>
          </cell>
          <cell r="AD370">
            <v>10290</v>
          </cell>
          <cell r="AK370" t="str">
            <v>TGS8X836 MONTHS/75 000 KMDrivelineYes</v>
          </cell>
          <cell r="AL370">
            <v>8085</v>
          </cell>
        </row>
        <row r="371">
          <cell r="G371" t="str">
            <v>TGS8X6 H/D24 MONTHS/300 000 KM36 MONTHS/450 000 KMCombinationNo</v>
          </cell>
          <cell r="H371">
            <v>52920</v>
          </cell>
          <cell r="AC371" t="str">
            <v>TGS8X4H/D36 MONTHS/150 000 KMEntire VehicleYes</v>
          </cell>
          <cell r="AD371">
            <v>67620</v>
          </cell>
          <cell r="AK371" t="str">
            <v>TGS8X848 MONTHS/100 000 KMDrivelineYes</v>
          </cell>
          <cell r="AL371">
            <v>22050</v>
          </cell>
        </row>
        <row r="372">
          <cell r="G372" t="str">
            <v>TGS8X6 H/D24 MONTHS/300 000 KM36 MONTHS/450 000 KMCombinationYes</v>
          </cell>
          <cell r="H372">
            <v>109515</v>
          </cell>
          <cell r="AC372" t="str">
            <v>TGS8X4H/D36 MONTHS/225 000 KMEntire VehicleYes</v>
          </cell>
          <cell r="AD372">
            <v>79380</v>
          </cell>
          <cell r="AK372" t="str">
            <v>TGS8X848 MONTHS/200 000 KMDrivelineYes</v>
          </cell>
          <cell r="AL372">
            <v>25725</v>
          </cell>
        </row>
        <row r="373">
          <cell r="G373" t="str">
            <v>TGS8X6 H/D24 MONTHS/300 000 KM48 MONTHS/600 000 KMCombinationNo</v>
          </cell>
          <cell r="H373">
            <v>88935</v>
          </cell>
          <cell r="AC373" t="str">
            <v>TGS8X4H/D36 MONTHS/300 000 KMEntire VehicleYes</v>
          </cell>
          <cell r="AD373">
            <v>109200</v>
          </cell>
          <cell r="AK373" t="str">
            <v>TGS8X848 MONTHS/300 000 KMDrivelineYes</v>
          </cell>
          <cell r="AL373">
            <v>30870</v>
          </cell>
        </row>
        <row r="374">
          <cell r="G374" t="str">
            <v>TGS8X6 H/D24 MONTHS/300 000 KM48 MONTHS/600 000 KMCombinationYes</v>
          </cell>
          <cell r="H374">
            <v>167580</v>
          </cell>
          <cell r="AC374" t="str">
            <v>TGS8X4H/D36 MONTHS/375 000 KMEntire VehicleYes</v>
          </cell>
          <cell r="AD374">
            <v>127155</v>
          </cell>
          <cell r="AK374" t="str">
            <v>TGS8X848 MONTHS/400 000 KMDrivelineYes</v>
          </cell>
          <cell r="AL374">
            <v>39690</v>
          </cell>
        </row>
        <row r="375">
          <cell r="G375" t="str">
            <v>TGS8X6 H/D24 MONTHS/300 000 KM60 MONTHS/750 000 KMCombinationNo</v>
          </cell>
          <cell r="H375">
            <v>170520</v>
          </cell>
          <cell r="AC375" t="str">
            <v>TGS8X4H/D36 MONTHS/450 000 KMEntire VehicleYes</v>
          </cell>
          <cell r="AD375">
            <v>130095</v>
          </cell>
          <cell r="AK375" t="str">
            <v>TGS8X848 MONTHS/500 000 KMDrivelineYes</v>
          </cell>
          <cell r="AL375">
            <v>61005</v>
          </cell>
        </row>
        <row r="376">
          <cell r="G376" t="str">
            <v>TGS8X6 H/D24 MONTHS/300 000 KM60 MONTHS/750 000 KMCombinationYes</v>
          </cell>
          <cell r="H376">
            <v>312375</v>
          </cell>
          <cell r="AC376" t="str">
            <v>TGS8X4H/D36 MONTHS/75 000 KMEntire VehicleYes</v>
          </cell>
          <cell r="AD376">
            <v>57330</v>
          </cell>
          <cell r="AK376" t="str">
            <v>TGS8X848 MONTHS/600 000 KMDrivelineYes</v>
          </cell>
          <cell r="AL376">
            <v>62475</v>
          </cell>
        </row>
        <row r="377">
          <cell r="G377" t="str">
            <v>TGS8X6 H/D36 MONTHS/225 000 KM48 MONTHS/300 000 KM CombinationNo</v>
          </cell>
          <cell r="H377">
            <v>71295</v>
          </cell>
          <cell r="AC377" t="str">
            <v>TGS8X4H/D48 MONTHS/100 000 KMEntire VehicleYes</v>
          </cell>
          <cell r="AD377">
            <v>111720</v>
          </cell>
          <cell r="AK377" t="str">
            <v>TGS8X860 MONTHS/125 000 KMDrivelineYes</v>
          </cell>
          <cell r="AL377">
            <v>34545</v>
          </cell>
        </row>
        <row r="378">
          <cell r="G378" t="str">
            <v>TGS8X6 H/D36 MONTHS/225 000 KM48 MONTHS/300 000 KM CombinationYes</v>
          </cell>
          <cell r="H378">
            <v>114660</v>
          </cell>
          <cell r="AC378" t="str">
            <v>TGS8X4H/D48 MONTHS/200 000 KMEntire VehicleYes</v>
          </cell>
          <cell r="AD378">
            <v>131565</v>
          </cell>
          <cell r="AK378" t="str">
            <v>TGS8X860 MONTHS/250 000 KMDrivelineYes</v>
          </cell>
          <cell r="AL378">
            <v>41160</v>
          </cell>
        </row>
        <row r="379">
          <cell r="G379" t="str">
            <v>TGS8X6 H/D36 MONTHS/225 000 KM60 MONTHS/750 000 KMCombinationNo</v>
          </cell>
          <cell r="H379">
            <v>117600</v>
          </cell>
          <cell r="AC379" t="str">
            <v>TGS8X4H/D48 MONTHS/300 000 KMEntire VehicleYes</v>
          </cell>
          <cell r="AD379">
            <v>154350</v>
          </cell>
          <cell r="AK379" t="str">
            <v>TGS8X860 MONTHS/375 000 KMDrivelineYes</v>
          </cell>
          <cell r="AL379">
            <v>47775</v>
          </cell>
        </row>
        <row r="380">
          <cell r="G380" t="str">
            <v>TGS8X6 H/D36 MONTHS/225 000 KM60 MONTHS/750 000 KMCombinationYes</v>
          </cell>
          <cell r="H380">
            <v>202125</v>
          </cell>
          <cell r="AC380" t="str">
            <v>TGS8X4H/D48 MONTHS/400 000 KMEntire VehicleYes</v>
          </cell>
          <cell r="AD380">
            <v>201390</v>
          </cell>
          <cell r="AK380" t="str">
            <v>TGS8X860 MONTHS/500 000 KMDrivelineYes</v>
          </cell>
          <cell r="AL380">
            <v>77910</v>
          </cell>
        </row>
        <row r="381">
          <cell r="G381" t="str">
            <v>TGS8X6 H/D36 MONTHS/450 000 KM48 MONTHS/600 000 KMCombinationNo</v>
          </cell>
          <cell r="H381">
            <v>113190</v>
          </cell>
          <cell r="AC381" t="str">
            <v>TGS8X4H/D48 MONTHS/500 000 KMEntire VehicleYes</v>
          </cell>
          <cell r="AD381">
            <v>248430</v>
          </cell>
          <cell r="AK381" t="str">
            <v>TGS8X860 MONTHS/625 000 KMDrivelineYes</v>
          </cell>
          <cell r="AL381">
            <v>114660</v>
          </cell>
        </row>
        <row r="382">
          <cell r="G382" t="str">
            <v>TGS8X6 H/D36 MONTHS/450 000 KM48 MONTHS/600 000 KMCombinationYes</v>
          </cell>
          <cell r="H382">
            <v>188160</v>
          </cell>
          <cell r="AC382" t="str">
            <v>TGS8X4H/D48 MONTHS/600 000 KMEntire VehicleYes</v>
          </cell>
          <cell r="AD382">
            <v>255045</v>
          </cell>
          <cell r="AK382" t="str">
            <v>TGS8X860 MONTHS/750 000 KMDrivelineYes</v>
          </cell>
          <cell r="AL382">
            <v>118335</v>
          </cell>
        </row>
        <row r="383">
          <cell r="G383" t="str">
            <v>TGS8X6 H/D36 MONTHS/450 000 KM60 MONTHS/750 000 KMCombinationNo</v>
          </cell>
          <cell r="H383">
            <v>194775</v>
          </cell>
          <cell r="AC383" t="str">
            <v>TGS8X4H/D60 MONTHS/125 000 KMEntire VehicleYes</v>
          </cell>
          <cell r="AD383">
            <v>235200</v>
          </cell>
        </row>
        <row r="384">
          <cell r="G384" t="str">
            <v>TGS8X6 H/D36 MONTHS/450 000 KM60 MONTHS/750 000 KMCombinationYes</v>
          </cell>
          <cell r="H384">
            <v>332955</v>
          </cell>
          <cell r="AC384" t="str">
            <v>TGS8X4H/D60 MONTHS/250 000 KMEntire VehicleYes</v>
          </cell>
          <cell r="AD384">
            <v>276360</v>
          </cell>
        </row>
        <row r="385">
          <cell r="G385" t="str">
            <v>TGS8X6 H/D48 MONTHS/300 000 KM60 MONTHS/750 000 KMCombinationNo</v>
          </cell>
          <cell r="H385">
            <v>171255</v>
          </cell>
          <cell r="AC385" t="str">
            <v>TGS8X4H/D60 MONTHS/375 000 KMEntire VehicleYes</v>
          </cell>
          <cell r="AD385">
            <v>324135</v>
          </cell>
        </row>
        <row r="386">
          <cell r="G386" t="str">
            <v>TGS8X6 H/D48 MONTHS/300 000 KM60 MONTHS/750 000 KMCombinationNo</v>
          </cell>
          <cell r="H386">
            <v>287385</v>
          </cell>
          <cell r="AC386" t="str">
            <v>TGS8X4H/D60 MONTHS/500 000 KMEntire VehicleYes</v>
          </cell>
          <cell r="AD386">
            <v>422625</v>
          </cell>
        </row>
        <row r="387">
          <cell r="G387" t="str">
            <v>TGS8X6 H/D48 MONTHS/300 000 KM60 MONTHS/750 000 KMCombinationYes</v>
          </cell>
          <cell r="H387">
            <v>241815</v>
          </cell>
          <cell r="AC387" t="str">
            <v>TGS8X4H/D60 MONTHS/625 000 KMEntire VehicleYes</v>
          </cell>
          <cell r="AD387">
            <v>521115</v>
          </cell>
        </row>
        <row r="388">
          <cell r="G388" t="str">
            <v>TGS8X6 H/D48 MONTHS/300 000 KM60 MONTHS/750 000 KMCombinationYes</v>
          </cell>
          <cell r="H388">
            <v>399840</v>
          </cell>
          <cell r="AC388" t="str">
            <v>TGS8X4H/D60 MONTHS/750 000 KMEntire VehicleYes</v>
          </cell>
          <cell r="AD388">
            <v>535080</v>
          </cell>
        </row>
        <row r="389">
          <cell r="G389" t="str">
            <v>TGS8X624 MONTHS/150 000 KM 60 MONTHS/375 000 KMCombinationNo</v>
          </cell>
          <cell r="H389">
            <v>67620</v>
          </cell>
          <cell r="AC389" t="str">
            <v>TGS8X4HYDRO24 MONTHS/100 000 KMEntire VehicleYes</v>
          </cell>
          <cell r="AD389">
            <v>8820</v>
          </cell>
        </row>
        <row r="390">
          <cell r="G390" t="str">
            <v>TGS8X624 MONTHS/150 000 KM 60 MONTHS/375 000 KMCombinationYes</v>
          </cell>
          <cell r="H390">
            <v>58065</v>
          </cell>
          <cell r="AC390" t="str">
            <v>TGS8X4HYDRO24 MONTHS/150 000 KMEntire VehicleYes</v>
          </cell>
          <cell r="AD390">
            <v>10290</v>
          </cell>
        </row>
        <row r="391">
          <cell r="G391" t="str">
            <v>TGS8X624 MONTHS/150 000 KM36 MONTHS/225 000 KMCombinationNo</v>
          </cell>
          <cell r="H391">
            <v>29400</v>
          </cell>
          <cell r="AC391" t="str">
            <v>TGS8X4HYDRO24 MONTHS/200 000 KMEntire VehicleYes</v>
          </cell>
          <cell r="AD391">
            <v>13230</v>
          </cell>
        </row>
        <row r="392">
          <cell r="G392" t="str">
            <v>TGS8X624 MONTHS/150 000 KM36 MONTHS/225 000 KMCombinationYes</v>
          </cell>
          <cell r="H392">
            <v>24990</v>
          </cell>
          <cell r="AC392" t="str">
            <v>TGS8X4HYDRO24 MONTHS/250 000 KMEntire VehicleYes</v>
          </cell>
          <cell r="AD392">
            <v>17640</v>
          </cell>
        </row>
        <row r="393">
          <cell r="G393" t="str">
            <v>TGS8X624 MONTHS/150 000 KM48 MONTHS/300 000 KMCombinationNo</v>
          </cell>
          <cell r="H393">
            <v>48510</v>
          </cell>
          <cell r="AC393" t="str">
            <v>TGS8X4HYDRO24 MONTHS/300 000 KMEntire VehicleYes</v>
          </cell>
          <cell r="AD393">
            <v>19110</v>
          </cell>
        </row>
        <row r="394">
          <cell r="G394" t="str">
            <v>TGS8X624 MONTHS/150 000 KM48 MONTHS/300 000 KMCombinationYes</v>
          </cell>
          <cell r="H394">
            <v>41160</v>
          </cell>
          <cell r="AC394" t="str">
            <v>TGS8X4HYDRO24 MONTHS/50 000 KMEntire VehicleYes</v>
          </cell>
          <cell r="AD394">
            <v>6615</v>
          </cell>
        </row>
        <row r="395">
          <cell r="G395" t="str">
            <v>TGS8X624 MONTHS/300 000 KM36 MONTHS/450 000 KMCombinationNo</v>
          </cell>
          <cell r="H395">
            <v>53655</v>
          </cell>
          <cell r="AC395" t="str">
            <v>TGS8X4HYDRO36 MONTHS/150 000 KMEntire VehicleYes</v>
          </cell>
          <cell r="AD395">
            <v>34545</v>
          </cell>
        </row>
        <row r="396">
          <cell r="G396" t="str">
            <v>TGS8X624 MONTHS/300 000 KM36 MONTHS/450 000 KMCombinationYes</v>
          </cell>
          <cell r="H396">
            <v>46305</v>
          </cell>
          <cell r="AC396" t="str">
            <v>TGS8X4HYDRO36 MONTHS/225 000 KMEntire VehicleYes</v>
          </cell>
          <cell r="AD396">
            <v>40425</v>
          </cell>
        </row>
        <row r="397">
          <cell r="G397" t="str">
            <v>TGS8X624 MONTHS/300 000 KM48 MONTHS/600 000 KMCombinationNo</v>
          </cell>
          <cell r="H397">
            <v>94080</v>
          </cell>
          <cell r="AC397" t="str">
            <v>TGS8X4HYDRO36 MONTHS/300 000 KMEntire VehicleYes</v>
          </cell>
          <cell r="AD397">
            <v>52185</v>
          </cell>
        </row>
        <row r="398">
          <cell r="G398" t="str">
            <v>TGS8X624 MONTHS/300 000 KM48 MONTHS/600 000 KMCombinationYes</v>
          </cell>
          <cell r="H398">
            <v>81585</v>
          </cell>
          <cell r="AC398" t="str">
            <v>TGS8X4HYDRO36 MONTHS/375 000 KMEntire VehicleYes</v>
          </cell>
          <cell r="AD398">
            <v>64680</v>
          </cell>
        </row>
        <row r="399">
          <cell r="G399" t="str">
            <v>TGS8X624 MONTHS/300 000 KM60 MONTHS/750 000 KMCombinationNo</v>
          </cell>
          <cell r="H399">
            <v>158760</v>
          </cell>
          <cell r="AC399" t="str">
            <v>TGS8X4HYDRO36 MONTHS/450 000 KMEntire VehicleYes</v>
          </cell>
          <cell r="AD399">
            <v>66885</v>
          </cell>
        </row>
        <row r="400">
          <cell r="G400" t="str">
            <v>TGS8X624 MONTHS/300 000 KM60 MONTHS/750 000 KMCombinationYes</v>
          </cell>
          <cell r="H400">
            <v>137445</v>
          </cell>
          <cell r="AC400" t="str">
            <v>TGS8X4HYDRO36 MONTHS/75 000 KMEntire VehicleYes</v>
          </cell>
          <cell r="AD400">
            <v>29400</v>
          </cell>
        </row>
        <row r="401">
          <cell r="G401" t="str">
            <v>TGS8X636 MONTHS/225 000 KM48 MONTHS/300 000 KM CombinationNo</v>
          </cell>
          <cell r="H401">
            <v>66150</v>
          </cell>
          <cell r="AC401" t="str">
            <v>TGS8X4HYDRO48 MONTHS/100 000 KMEntire VehicleYes</v>
          </cell>
          <cell r="AD401">
            <v>79830</v>
          </cell>
        </row>
        <row r="402">
          <cell r="G402" t="str">
            <v>TGS8X636 MONTHS/225 000 KM48 MONTHS/300 000 KM CombinationYes</v>
          </cell>
          <cell r="H402">
            <v>56595</v>
          </cell>
          <cell r="AC402" t="str">
            <v>TGS8X4HYDRO48 MONTHS/200 000 KMEntire VehicleYes</v>
          </cell>
          <cell r="AD402">
            <v>92610</v>
          </cell>
        </row>
        <row r="403">
          <cell r="G403" t="str">
            <v>TGS8X636 MONTHS/225 000 KM60 MONTHS/750 000 KMCombinationNo</v>
          </cell>
          <cell r="H403">
            <v>85260</v>
          </cell>
          <cell r="AC403" t="str">
            <v>TGS8X4HYDRO48 MONTHS/300 000 KMEntire VehicleYes</v>
          </cell>
          <cell r="AD403">
            <v>108045</v>
          </cell>
        </row>
        <row r="404">
          <cell r="G404" t="str">
            <v>TGS8X636 MONTHS/225 000 KM60 MONTHS/750 000 KMCombinationYes</v>
          </cell>
          <cell r="H404">
            <v>73500</v>
          </cell>
          <cell r="AC404" t="str">
            <v>TGS8X4HYDRO48 MONTHS/400 000 KMEntire VehicleYes</v>
          </cell>
          <cell r="AD404">
            <v>141855</v>
          </cell>
        </row>
        <row r="405">
          <cell r="G405" t="str">
            <v>TGS8X636 MONTHS/450 000 KM48 MONTHS/600 000 KMCombinationNo</v>
          </cell>
          <cell r="H405">
            <v>117600</v>
          </cell>
          <cell r="AC405" t="str">
            <v>TGS8X4HYDRO48 MONTHS/500 000 KMEntire VehicleYes</v>
          </cell>
          <cell r="AD405">
            <v>174195</v>
          </cell>
        </row>
        <row r="406">
          <cell r="G406" t="str">
            <v>TGS8X636 MONTHS/450 000 KM48 MONTHS/600 000 KMCombinationYes</v>
          </cell>
          <cell r="H406">
            <v>102165</v>
          </cell>
          <cell r="AC406" t="str">
            <v>TGS8X4HYDRO48 MONTHS/600 000 KMEntire VehicleYes</v>
          </cell>
          <cell r="AD406">
            <v>178605</v>
          </cell>
        </row>
        <row r="407">
          <cell r="G407" t="str">
            <v>TGS8X636 MONTHS/450 000 KM60 MONTHS/750 000 KMCombinationNo</v>
          </cell>
          <cell r="H407">
            <v>182280</v>
          </cell>
          <cell r="AC407" t="str">
            <v>TGS8X4HYDRO60 MONTHS/125 000 KMEntire VehicleYes</v>
          </cell>
          <cell r="AD407">
            <v>164640</v>
          </cell>
        </row>
        <row r="408">
          <cell r="G408" t="str">
            <v>TGS8X636 MONTHS/450 000 KM60 MONTHS/750 000 KMCombinationYes</v>
          </cell>
          <cell r="H408">
            <v>158025</v>
          </cell>
          <cell r="AC408" t="str">
            <v>TGS8X4HYDRO60 MONTHS/250 000 KMEntire VehicleYes</v>
          </cell>
          <cell r="AD408">
            <v>194040</v>
          </cell>
        </row>
        <row r="409">
          <cell r="G409" t="str">
            <v>TGS8X648 MONTHS/300 000 KM60 MONTHS/750 000 KMCombinationNo</v>
          </cell>
          <cell r="H409">
            <v>144060</v>
          </cell>
          <cell r="AC409" t="str">
            <v>TGS8X4HYDRO60 MONTHS/375 000 KMEntire VehicleYes</v>
          </cell>
          <cell r="AD409">
            <v>227115</v>
          </cell>
        </row>
        <row r="410">
          <cell r="G410" t="str">
            <v>TGS8X648 MONTHS/300 000 KM60 MONTHS/750 000 KMCombinationNo</v>
          </cell>
          <cell r="H410">
            <v>270480</v>
          </cell>
          <cell r="AC410" t="str">
            <v>TGS8X4HYDRO60 MONTHS/500 000 KMEntire VehicleYes</v>
          </cell>
          <cell r="AD410">
            <v>296940</v>
          </cell>
        </row>
        <row r="411">
          <cell r="G411" t="str">
            <v>TGS8X648 MONTHS/300 000 KM60 MONTHS/750 000 KMCombinationYes</v>
          </cell>
          <cell r="H411">
            <v>124950</v>
          </cell>
          <cell r="AC411" t="str">
            <v>TGS8X4HYDRO60 MONTHS/625 000 KMEntire VehicleYes</v>
          </cell>
          <cell r="AD411">
            <v>365295</v>
          </cell>
        </row>
        <row r="412">
          <cell r="G412" t="str">
            <v>TGS8X648 MONTHS/300 000 KM60 MONTHS/750 000 KMCombinationYes</v>
          </cell>
          <cell r="H412">
            <v>234465</v>
          </cell>
          <cell r="AC412" t="str">
            <v>TGS8X4HYDRO60 MONTHS/750 000 KMEntire VehicleYes</v>
          </cell>
          <cell r="AD412">
            <v>374850</v>
          </cell>
        </row>
        <row r="413">
          <cell r="G413" t="str">
            <v>TGS8X824 MONTHS/150 000 KM 60 MONTHS/375 000 KMCombinationNo</v>
          </cell>
          <cell r="H413">
            <v>67620</v>
          </cell>
          <cell r="AC413" t="str">
            <v>TGS8X624 MONTHS/100 000 KMEntire VehicleYes</v>
          </cell>
          <cell r="AD413">
            <v>8820</v>
          </cell>
        </row>
        <row r="414">
          <cell r="G414" t="str">
            <v>TGS8X824 MONTHS/150 000 KM36 MONTHS/225 000 KMCombinationNo</v>
          </cell>
          <cell r="H414">
            <v>29400</v>
          </cell>
          <cell r="AC414" t="str">
            <v>TGS8X624 MONTHS/150 000 KMEntire VehicleYes</v>
          </cell>
          <cell r="AD414">
            <v>10290</v>
          </cell>
        </row>
        <row r="415">
          <cell r="G415" t="str">
            <v>TGS8X824 MONTHS/150 000 KM36 MONTHS/225 000 KMCombinationYes</v>
          </cell>
          <cell r="H415">
            <v>24990</v>
          </cell>
          <cell r="AC415" t="str">
            <v>TGS8X624 MONTHS/200 000 KMEntire VehicleYes</v>
          </cell>
          <cell r="AD415">
            <v>13230</v>
          </cell>
        </row>
        <row r="416">
          <cell r="G416" t="str">
            <v>TGS8X824 MONTHS/150 000 KM48 MONTHS/300 000 KMCombinationNo</v>
          </cell>
          <cell r="H416">
            <v>48510</v>
          </cell>
          <cell r="AC416" t="str">
            <v>TGS8X624 MONTHS/250 000 KMEntire VehicleYes</v>
          </cell>
          <cell r="AD416">
            <v>17640</v>
          </cell>
        </row>
        <row r="417">
          <cell r="G417" t="str">
            <v>TGS8X824 MONTHS/150 000 KM48 MONTHS/300 000 KMCombinationYes</v>
          </cell>
          <cell r="H417">
            <v>41160</v>
          </cell>
          <cell r="AC417" t="str">
            <v>TGS8X624 MONTHS/300 000 KMEntire VehicleYes</v>
          </cell>
          <cell r="AD417">
            <v>19110</v>
          </cell>
        </row>
        <row r="418">
          <cell r="G418" t="str">
            <v>TGS8X824 MONTHS/150 000 KM60 MONTHS/375 000 KMCombinationYes</v>
          </cell>
          <cell r="H418">
            <v>58065</v>
          </cell>
          <cell r="AC418" t="str">
            <v>TGS8X624 MONTHS/50 000 KMEntire VehicleYes</v>
          </cell>
          <cell r="AD418">
            <v>6615</v>
          </cell>
        </row>
        <row r="419">
          <cell r="G419" t="str">
            <v>TGS8X824 MONTHS/300 000 KM36 MONTHS/450 000 KMCombinationNo</v>
          </cell>
          <cell r="H419">
            <v>53655</v>
          </cell>
          <cell r="AC419" t="str">
            <v>TGS8X636 MONTHS/150 000 KMEntire VehicleYes</v>
          </cell>
          <cell r="AD419">
            <v>34545</v>
          </cell>
        </row>
        <row r="420">
          <cell r="G420" t="str">
            <v>TGS8X824 MONTHS/300 000 KM36 MONTHS/450 000 KMCombinationYes</v>
          </cell>
          <cell r="H420">
            <v>46305</v>
          </cell>
          <cell r="AC420" t="str">
            <v>TGS8X636 MONTHS/225 000 KMEntire VehicleYes</v>
          </cell>
          <cell r="AD420">
            <v>40425</v>
          </cell>
        </row>
        <row r="421">
          <cell r="G421" t="str">
            <v>TGS8X824 MONTHS/300 000 KM48 MONTHS/600 000 KMCombinationNo</v>
          </cell>
          <cell r="H421">
            <v>94080</v>
          </cell>
          <cell r="AC421" t="str">
            <v>TGS8X636 MONTHS/300 000 KMEntire VehicleYes</v>
          </cell>
          <cell r="AD421">
            <v>52185</v>
          </cell>
        </row>
        <row r="422">
          <cell r="G422" t="str">
            <v>TGS8X824 MONTHS/300 000 KM48 MONTHS/600 000 KMCombinationYes</v>
          </cell>
          <cell r="H422">
            <v>81585</v>
          </cell>
          <cell r="AC422" t="str">
            <v>TGS8X636 MONTHS/375 000 KMEntire VehicleYes</v>
          </cell>
          <cell r="AD422">
            <v>64680</v>
          </cell>
        </row>
        <row r="423">
          <cell r="G423" t="str">
            <v>TGS8X824 MONTHS/300 000 KM60 MONTHS/750 000 KMCombinationNo</v>
          </cell>
          <cell r="H423">
            <v>158760</v>
          </cell>
          <cell r="AC423" t="str">
            <v>TGS8X636 MONTHS/450 000 KMEntire VehicleYes</v>
          </cell>
          <cell r="AD423">
            <v>66885</v>
          </cell>
        </row>
        <row r="424">
          <cell r="G424" t="str">
            <v>TGS8X824 MONTHS/300 000 KM60 MONTHS/750 000 KMCombinationYes</v>
          </cell>
          <cell r="H424">
            <v>137445</v>
          </cell>
          <cell r="AC424" t="str">
            <v>TGS8X636 MONTHS/75 000 KMEntire VehicleYes</v>
          </cell>
          <cell r="AD424">
            <v>29400</v>
          </cell>
        </row>
        <row r="425">
          <cell r="G425" t="str">
            <v>TGS8X836 MONTHS/225 000 KM48 MONTHS/300 000 KM CombinationNo</v>
          </cell>
          <cell r="H425">
            <v>66150</v>
          </cell>
          <cell r="AC425" t="str">
            <v>TGS8X648 MONTHS/100 000 KMEntire VehicleYes</v>
          </cell>
          <cell r="AD425">
            <v>79830</v>
          </cell>
        </row>
        <row r="426">
          <cell r="G426" t="str">
            <v>TGS8X836 MONTHS/225 000 KM48 MONTHS/300 000 KM CombinationYes</v>
          </cell>
          <cell r="H426">
            <v>56595</v>
          </cell>
          <cell r="AC426" t="str">
            <v>TGS8X648 MONTHS/200 000 KMEntire VehicleYes</v>
          </cell>
          <cell r="AD426">
            <v>92610</v>
          </cell>
        </row>
        <row r="427">
          <cell r="G427" t="str">
            <v>TGS8X836 MONTHS/225 000 KM60 MONTHS/750 000 KMCombinationNo</v>
          </cell>
          <cell r="H427">
            <v>85260</v>
          </cell>
          <cell r="AC427" t="str">
            <v>TGS8X648 MONTHS/300 000 KMEntire VehicleYes</v>
          </cell>
          <cell r="AD427">
            <v>108045</v>
          </cell>
        </row>
        <row r="428">
          <cell r="G428" t="str">
            <v>TGS8X836 MONTHS/225 000 KM60 MONTHS/750 000 KMCombinationYes</v>
          </cell>
          <cell r="H428">
            <v>73500</v>
          </cell>
          <cell r="AC428" t="str">
            <v>TGS8X648 MONTHS/400 000 KMEntire VehicleYes</v>
          </cell>
          <cell r="AD428">
            <v>141855</v>
          </cell>
        </row>
        <row r="429">
          <cell r="G429" t="str">
            <v>TGS8X836 MONTHS/450 000 KM48 MONTHS/600 000 KMCombinationNo</v>
          </cell>
          <cell r="H429">
            <v>117600</v>
          </cell>
          <cell r="AC429" t="str">
            <v>TGS8X648 MONTHS/500 000 KMEntire VehicleYes</v>
          </cell>
          <cell r="AD429">
            <v>174195</v>
          </cell>
        </row>
        <row r="430">
          <cell r="G430" t="str">
            <v>TGS8X836 MONTHS/450 000 KM48 MONTHS/600 000 KMCombinationYes</v>
          </cell>
          <cell r="H430">
            <v>102165</v>
          </cell>
          <cell r="AC430" t="str">
            <v>TGS8X648 MONTHS/600 000 KMEntire VehicleYes</v>
          </cell>
          <cell r="AD430">
            <v>178605</v>
          </cell>
        </row>
        <row r="431">
          <cell r="G431" t="str">
            <v>TGS8X836 MONTHS/450 000 KM60 MONTHS/750 000 KMCombinationNo</v>
          </cell>
          <cell r="H431">
            <v>182280</v>
          </cell>
          <cell r="AC431" t="str">
            <v>TGS8X660 MONTHS/125 000 KMEntire VehicleYes</v>
          </cell>
          <cell r="AD431">
            <v>164640</v>
          </cell>
        </row>
        <row r="432">
          <cell r="G432" t="str">
            <v>TGS8X836 MONTHS/450 000 KM60 MONTHS/750 000 KMCombinationYes</v>
          </cell>
          <cell r="H432">
            <v>158025</v>
          </cell>
          <cell r="AC432" t="str">
            <v>TGS8X660 MONTHS/250 000 KMEntire VehicleYes</v>
          </cell>
          <cell r="AD432">
            <v>194040</v>
          </cell>
        </row>
        <row r="433">
          <cell r="G433" t="str">
            <v>TGS8X848 MONTHS/300 000 KM60 MONTHS/750 000 KMCombinationNo</v>
          </cell>
          <cell r="H433">
            <v>144060</v>
          </cell>
          <cell r="AC433" t="str">
            <v>TGS8X660 MONTHS/375 000 KMEntire VehicleYes</v>
          </cell>
          <cell r="AD433">
            <v>227115</v>
          </cell>
        </row>
        <row r="434">
          <cell r="G434" t="str">
            <v>TGS8X848 MONTHS/300 000 KM60 MONTHS/750 000 KMCombinationNo</v>
          </cell>
          <cell r="H434">
            <v>270480</v>
          </cell>
          <cell r="AC434" t="str">
            <v>TGS8X660 MONTHS/500 000 KMEntire VehicleYes</v>
          </cell>
          <cell r="AD434">
            <v>296940</v>
          </cell>
        </row>
        <row r="435">
          <cell r="G435" t="str">
            <v>TGS8X848 MONTHS/300 000 KM60 MONTHS/750 000 KMCombinationYes</v>
          </cell>
          <cell r="H435">
            <v>124950</v>
          </cell>
          <cell r="AC435" t="str">
            <v>TGS8X660 MONTHS/625 000 KMEntire VehicleYes</v>
          </cell>
          <cell r="AD435">
            <v>365295</v>
          </cell>
        </row>
        <row r="436">
          <cell r="G436" t="str">
            <v>TGS8X848 MONTHS/300 000 KM60 MONTHS/750 000 KMCombinationYes</v>
          </cell>
          <cell r="H436">
            <v>234465</v>
          </cell>
          <cell r="AC436" t="str">
            <v>TGS8X660 MONTHS/750 000 KMEntire VehicleYes</v>
          </cell>
          <cell r="AD436">
            <v>374850</v>
          </cell>
        </row>
        <row r="437">
          <cell r="AC437" t="str">
            <v>TGS8X6H/D24 MONTHS/100 000 KMEntire VehicleYes</v>
          </cell>
          <cell r="AD437">
            <v>13230</v>
          </cell>
        </row>
        <row r="438">
          <cell r="AC438" t="str">
            <v>TGS8X6H/D24 MONTHS/150 000 KMEntire VehicleYes</v>
          </cell>
          <cell r="AD438">
            <v>16170</v>
          </cell>
        </row>
        <row r="439">
          <cell r="AC439" t="str">
            <v>TGS8X6H/D24 MONTHS/200 000 KMEntire VehicleYes</v>
          </cell>
          <cell r="AD439">
            <v>20580</v>
          </cell>
        </row>
        <row r="440">
          <cell r="AC440" t="str">
            <v>TGS8X6H/D24 MONTHS/250 000 KMEntire VehicleYes</v>
          </cell>
          <cell r="AD440">
            <v>27930</v>
          </cell>
        </row>
        <row r="441">
          <cell r="AC441" t="str">
            <v>TGS8X6H/D24 MONTHS/300 000 KMEntire VehicleYes</v>
          </cell>
          <cell r="AD441">
            <v>36015</v>
          </cell>
        </row>
        <row r="442">
          <cell r="AC442" t="str">
            <v>TGS8X6H/D24 MONTHS/50 000 KMEntire VehicleYes</v>
          </cell>
          <cell r="AD442">
            <v>10290</v>
          </cell>
        </row>
        <row r="443">
          <cell r="AC443" t="str">
            <v>TGS8X6H/D36 MONTHS/150 000 KMEntire VehicleYes</v>
          </cell>
          <cell r="AD443">
            <v>67620</v>
          </cell>
        </row>
        <row r="444">
          <cell r="AC444" t="str">
            <v>TGS8X6H/D36 MONTHS/225 000 KMEntire VehicleYes</v>
          </cell>
          <cell r="AD444">
            <v>79380</v>
          </cell>
        </row>
        <row r="445">
          <cell r="AC445" t="str">
            <v>TGS8X6H/D36 MONTHS/300 000 KMEntire VehicleYes</v>
          </cell>
          <cell r="AD445">
            <v>109200</v>
          </cell>
        </row>
        <row r="446">
          <cell r="AC446" t="str">
            <v>TGS8X6H/D36 MONTHS/375 000 KMEntire VehicleYes</v>
          </cell>
          <cell r="AD446">
            <v>127155</v>
          </cell>
        </row>
        <row r="447">
          <cell r="AC447" t="str">
            <v>TGS8X6H/D36 MONTHS/450 000 KMEntire VehicleYes</v>
          </cell>
          <cell r="AD447">
            <v>130095</v>
          </cell>
        </row>
        <row r="448">
          <cell r="AC448" t="str">
            <v>TGS8X6H/D36 MONTHS/75 000 KMEntire VehicleYes</v>
          </cell>
          <cell r="AD448">
            <v>57330</v>
          </cell>
        </row>
        <row r="449">
          <cell r="AC449" t="str">
            <v>TGS8X6H/D48 MONTHS/100 000 KMEntire VehicleYes</v>
          </cell>
          <cell r="AD449">
            <v>111720</v>
          </cell>
        </row>
        <row r="450">
          <cell r="AC450" t="str">
            <v>TGS8X6H/D48 MONTHS/200 000 KMEntire VehicleYes</v>
          </cell>
          <cell r="AD450">
            <v>131565</v>
          </cell>
        </row>
        <row r="451">
          <cell r="AC451" t="str">
            <v>TGS8X6H/D48 MONTHS/300 000 KMEntire VehicleYes</v>
          </cell>
          <cell r="AD451">
            <v>154350</v>
          </cell>
        </row>
        <row r="452">
          <cell r="AC452" t="str">
            <v>TGS8X6H/D48 MONTHS/400 000 KMEntire VehicleYes</v>
          </cell>
          <cell r="AD452">
            <v>201390</v>
          </cell>
        </row>
        <row r="453">
          <cell r="AC453" t="str">
            <v>TGS8X6H/D48 MONTHS/500 000 KMEntire VehicleYes</v>
          </cell>
          <cell r="AD453">
            <v>248430</v>
          </cell>
        </row>
        <row r="454">
          <cell r="AC454" t="str">
            <v>TGS8X6H/D48 MONTHS/600 000 KMEntire VehicleYes</v>
          </cell>
          <cell r="AD454">
            <v>255045</v>
          </cell>
        </row>
        <row r="455">
          <cell r="AC455" t="str">
            <v>TGS8X6H/D60 MONTHS/125 000 KMEntire VehicleYes</v>
          </cell>
          <cell r="AD455">
            <v>235200</v>
          </cell>
        </row>
        <row r="456">
          <cell r="AC456" t="str">
            <v>TGS8X6H/D60 MONTHS/250 000 KMEntire VehicleYes</v>
          </cell>
          <cell r="AD456">
            <v>276360</v>
          </cell>
        </row>
        <row r="457">
          <cell r="AC457" t="str">
            <v>TGS8X6H/D60 MONTHS/375 000 KMEntire VehicleYes</v>
          </cell>
          <cell r="AD457">
            <v>324135</v>
          </cell>
        </row>
        <row r="458">
          <cell r="AC458" t="str">
            <v>TGS8X6H/D60 MONTHS/500 000 KMEntire VehicleYes</v>
          </cell>
          <cell r="AD458">
            <v>422625</v>
          </cell>
        </row>
        <row r="459">
          <cell r="AC459" t="str">
            <v>TGS8X6H/D60 MONTHS/625 000 KMEntire VehicleYes</v>
          </cell>
          <cell r="AD459">
            <v>521115</v>
          </cell>
        </row>
        <row r="460">
          <cell r="AC460" t="str">
            <v>TGS8X6H/D60 MONTHS/750 000 KMEntire VehicleYes</v>
          </cell>
          <cell r="AD460">
            <v>535080</v>
          </cell>
        </row>
        <row r="461">
          <cell r="AC461" t="str">
            <v>TGS8X6HYDRO24 MONTHS/100 000 KMEntire VehicleYes</v>
          </cell>
          <cell r="AD461">
            <v>8820</v>
          </cell>
        </row>
        <row r="462">
          <cell r="AC462" t="str">
            <v>TGS8X6HYDRO24 MONTHS/150 000 KMEntire VehicleYes</v>
          </cell>
          <cell r="AD462">
            <v>10290</v>
          </cell>
        </row>
        <row r="463">
          <cell r="AC463" t="str">
            <v>TGS8X6HYDRO24 MONTHS/200 000 KMEntire VehicleYes</v>
          </cell>
          <cell r="AD463">
            <v>13230</v>
          </cell>
        </row>
        <row r="464">
          <cell r="AC464" t="str">
            <v>TGS8X6HYDRO24 MONTHS/250 000 KMEntire VehicleYes</v>
          </cell>
          <cell r="AD464">
            <v>17640</v>
          </cell>
        </row>
        <row r="465">
          <cell r="AC465" t="str">
            <v>TGS8X6HYDRO24 MONTHS/300 000 KMEntire VehicleYes</v>
          </cell>
          <cell r="AD465">
            <v>19110</v>
          </cell>
        </row>
        <row r="466">
          <cell r="AC466" t="str">
            <v>TGS8X6HYDRO24 MONTHS/50 000 KMEntire VehicleYes</v>
          </cell>
          <cell r="AD466">
            <v>6615</v>
          </cell>
        </row>
        <row r="467">
          <cell r="AC467" t="str">
            <v>TGS8X6HYDRO36 MONTHS/150 000 KMEntire VehicleYes</v>
          </cell>
          <cell r="AD467">
            <v>34545</v>
          </cell>
        </row>
        <row r="468">
          <cell r="AC468" t="str">
            <v>TGS8X6HYDRO36 MONTHS/225 000 KMEntire VehicleYes</v>
          </cell>
          <cell r="AD468">
            <v>40425</v>
          </cell>
        </row>
        <row r="469">
          <cell r="AC469" t="str">
            <v>TGS8X6HYDRO36 MONTHS/300 000 KMEntire VehicleYes</v>
          </cell>
          <cell r="AD469">
            <v>52185</v>
          </cell>
        </row>
        <row r="470">
          <cell r="AC470" t="str">
            <v>TGS8X6HYDRO36 MONTHS/375 000 KMEntire VehicleYes</v>
          </cell>
          <cell r="AD470">
            <v>64680</v>
          </cell>
        </row>
        <row r="471">
          <cell r="AC471" t="str">
            <v>TGS8X6HYDRO36 MONTHS/450 000 KMEntire VehicleYes</v>
          </cell>
          <cell r="AD471">
            <v>66885</v>
          </cell>
        </row>
        <row r="472">
          <cell r="AC472" t="str">
            <v>TGS8X6HYDRO36 MONTHS/75 000 KMEntire VehicleYes</v>
          </cell>
          <cell r="AD472">
            <v>29400</v>
          </cell>
        </row>
        <row r="473">
          <cell r="AC473" t="str">
            <v>TGS8X6HYDRO48 MONTHS/100 000 KMEntire VehicleYes</v>
          </cell>
          <cell r="AD473">
            <v>79830</v>
          </cell>
        </row>
        <row r="474">
          <cell r="AC474" t="str">
            <v>TGS8X6HYDRO48 MONTHS/200 000 KMEntire VehicleYes</v>
          </cell>
          <cell r="AD474">
            <v>92610</v>
          </cell>
        </row>
        <row r="475">
          <cell r="AC475" t="str">
            <v>TGS8X6HYDRO48 MONTHS/300 000 KMEntire VehicleYes</v>
          </cell>
          <cell r="AD475">
            <v>108045</v>
          </cell>
        </row>
        <row r="476">
          <cell r="AC476" t="str">
            <v>TGS8X6HYDRO48 MONTHS/400 000 KMEntire VehicleYes</v>
          </cell>
          <cell r="AD476">
            <v>141855</v>
          </cell>
        </row>
        <row r="477">
          <cell r="AC477" t="str">
            <v>TGS8X6HYDRO48 MONTHS/500 000 KMEntire VehicleYes</v>
          </cell>
          <cell r="AD477">
            <v>174195</v>
          </cell>
        </row>
        <row r="478">
          <cell r="AC478" t="str">
            <v>TGS8X6HYDRO48 MONTHS/600 000 KMEntire VehicleYes</v>
          </cell>
          <cell r="AD478">
            <v>178605</v>
          </cell>
        </row>
        <row r="479">
          <cell r="AC479" t="str">
            <v>TGS8X6HYDRO60 MONTHS/125 000 KMEntire VehicleYes</v>
          </cell>
          <cell r="AD479">
            <v>164640</v>
          </cell>
        </row>
        <row r="480">
          <cell r="AC480" t="str">
            <v>TGS8X6HYDRO60 MONTHS/250 000 KMEntire VehicleYes</v>
          </cell>
          <cell r="AD480">
            <v>194040</v>
          </cell>
        </row>
        <row r="481">
          <cell r="AC481" t="str">
            <v>TGS8X6HYDRO60 MONTHS/375 000 KMEntire VehicleYes</v>
          </cell>
          <cell r="AD481">
            <v>227115</v>
          </cell>
        </row>
        <row r="482">
          <cell r="AC482" t="str">
            <v>TGS8X6HYDRO60 MONTHS/500 000 KMEntire VehicleYes</v>
          </cell>
          <cell r="AD482">
            <v>296940</v>
          </cell>
        </row>
        <row r="483">
          <cell r="AC483" t="str">
            <v>TGS8X6HYDRO60 MONTHS/625 000 KMEntire VehicleYes</v>
          </cell>
          <cell r="AD483">
            <v>365295</v>
          </cell>
        </row>
        <row r="484">
          <cell r="AC484" t="str">
            <v>TGS8X6HYDRO60 MONTHS/750 000 KMEntire VehicleYes</v>
          </cell>
          <cell r="AD484">
            <v>374850</v>
          </cell>
        </row>
        <row r="485">
          <cell r="AC485" t="str">
            <v>TGS8X824 MONTHS/100 000 KMEntire VehicleYes</v>
          </cell>
          <cell r="AD485">
            <v>8820</v>
          </cell>
        </row>
        <row r="486">
          <cell r="AC486" t="str">
            <v>TGS8X824 MONTHS/150 000 KMEntire VehicleYes</v>
          </cell>
          <cell r="AD486">
            <v>10290</v>
          </cell>
        </row>
        <row r="487">
          <cell r="AC487" t="str">
            <v>TGS8X824 MONTHS/200 000 KMEntire VehicleYes</v>
          </cell>
          <cell r="AD487">
            <v>13230</v>
          </cell>
        </row>
        <row r="488">
          <cell r="AC488" t="str">
            <v>TGS8X824 MONTHS/250 000 KMEntire VehicleYes</v>
          </cell>
          <cell r="AD488">
            <v>17640</v>
          </cell>
        </row>
        <row r="489">
          <cell r="AC489" t="str">
            <v>TGS8X824 MONTHS/300 000 KMEntire VehicleYes</v>
          </cell>
          <cell r="AD489">
            <v>19110</v>
          </cell>
        </row>
        <row r="490">
          <cell r="AC490" t="str">
            <v>TGS8X824 MONTHS/50 000 KMEntire VehicleYes</v>
          </cell>
          <cell r="AD490">
            <v>6615</v>
          </cell>
        </row>
        <row r="491">
          <cell r="AC491" t="str">
            <v>TGS8X836 MONTHS/150 000 KMEntire VehicleYes</v>
          </cell>
          <cell r="AD491">
            <v>34545</v>
          </cell>
        </row>
        <row r="492">
          <cell r="AC492" t="str">
            <v>TGS8X836 MONTHS/225 000 KMEntire VehicleYes</v>
          </cell>
          <cell r="AD492">
            <v>40425</v>
          </cell>
        </row>
        <row r="493">
          <cell r="AC493" t="str">
            <v>TGS8X836 MONTHS/300 000 KMEntire VehicleYes</v>
          </cell>
          <cell r="AD493">
            <v>52185</v>
          </cell>
        </row>
        <row r="494">
          <cell r="AC494" t="str">
            <v>TGS8X836 MONTHS/375 000 KMEntire VehicleYes</v>
          </cell>
          <cell r="AD494">
            <v>64680</v>
          </cell>
        </row>
        <row r="495">
          <cell r="AC495" t="str">
            <v>TGS8X836 MONTHS/450 000 KMEntire VehicleYes</v>
          </cell>
          <cell r="AD495">
            <v>66885</v>
          </cell>
        </row>
        <row r="496">
          <cell r="AC496" t="str">
            <v>TGS8X836 MONTHS/75 000 KMEntire VehicleYes</v>
          </cell>
          <cell r="AD496">
            <v>29400</v>
          </cell>
        </row>
        <row r="497">
          <cell r="AC497" t="str">
            <v>TGS8X848 MONTHS/100 000 KMEntire VehicleYes</v>
          </cell>
          <cell r="AD497">
            <v>79830</v>
          </cell>
        </row>
        <row r="498">
          <cell r="AC498" t="str">
            <v>TGS8X848 MONTHS/200 000 KMEntire VehicleYes</v>
          </cell>
          <cell r="AD498">
            <v>92610</v>
          </cell>
        </row>
        <row r="499">
          <cell r="AC499" t="str">
            <v>TGS8X848 MONTHS/300 000 KMEntire VehicleYes</v>
          </cell>
          <cell r="AD499">
            <v>108045</v>
          </cell>
        </row>
        <row r="500">
          <cell r="AC500" t="str">
            <v>TGS8X848 MONTHS/400 000 KMEntire VehicleYes</v>
          </cell>
          <cell r="AD500">
            <v>141855</v>
          </cell>
        </row>
        <row r="501">
          <cell r="AC501" t="str">
            <v>TGS8X848 MONTHS/500 000 KMEntire VehicleYes</v>
          </cell>
          <cell r="AD501">
            <v>174195</v>
          </cell>
        </row>
        <row r="502">
          <cell r="AC502" t="str">
            <v>TGS8X848 MONTHS/600 000 KMEntire VehicleYes</v>
          </cell>
          <cell r="AD502">
            <v>178605</v>
          </cell>
        </row>
        <row r="503">
          <cell r="AC503" t="str">
            <v>TGS8X860 MONTHS/125 000 KMEntire VehicleYes</v>
          </cell>
          <cell r="AD503">
            <v>164640</v>
          </cell>
        </row>
        <row r="504">
          <cell r="AC504" t="str">
            <v>TGS8X860 MONTHS/250 000 KMEntire VehicleYes</v>
          </cell>
          <cell r="AD504">
            <v>194040</v>
          </cell>
        </row>
        <row r="505">
          <cell r="AC505" t="str">
            <v>TGS8X860 MONTHS/375 000 KMEntire VehicleYes</v>
          </cell>
          <cell r="AD505">
            <v>227115</v>
          </cell>
        </row>
        <row r="506">
          <cell r="AC506" t="str">
            <v>TGS8X860 MONTHS/500 000 KMEntire VehicleYes</v>
          </cell>
          <cell r="AD506">
            <v>296940</v>
          </cell>
        </row>
        <row r="507">
          <cell r="AC507" t="str">
            <v>TGS8X860 MONTHS/625 000 KMEntire VehicleYes</v>
          </cell>
          <cell r="AD507">
            <v>365295</v>
          </cell>
        </row>
        <row r="508">
          <cell r="AC508" t="str">
            <v>TGS8X860 MONTHS/750 000 KMEntire VehicleYes</v>
          </cell>
          <cell r="AD508">
            <v>374850</v>
          </cell>
        </row>
      </sheetData>
      <sheetData sheetId="7">
        <row r="5">
          <cell r="G5" t="str">
            <v>TGX4X224 MONTHS/300 000 KM36 MONTHS/450 000 KMCombinationYes</v>
          </cell>
          <cell r="H5">
            <v>25725</v>
          </cell>
          <cell r="AC5" t="str">
            <v>TGX4X224 MONTHS/150 000 KMEntire VehicleYes</v>
          </cell>
          <cell r="AD5">
            <v>5880</v>
          </cell>
          <cell r="AK5" t="str">
            <v>TGX4X236 MONTHS/225 000 KMDrivelineYes</v>
          </cell>
          <cell r="AL5">
            <v>8085</v>
          </cell>
        </row>
        <row r="6">
          <cell r="G6" t="str">
            <v>TGX4X224 MONTHS/300 000 KM48 MONTHS/600 000 KMCombinationNo</v>
          </cell>
          <cell r="H6">
            <v>47040</v>
          </cell>
          <cell r="AC6" t="str">
            <v>TGX4X224 MONTHS/200 000 KMEntire VehicleNo</v>
          </cell>
          <cell r="AD6">
            <v>8820</v>
          </cell>
          <cell r="AK6" t="str">
            <v>TGX4X236 MONTHS/300 000 KMDrivelineNo</v>
          </cell>
          <cell r="AL6">
            <v>11025</v>
          </cell>
        </row>
        <row r="7">
          <cell r="G7" t="str">
            <v>TGX4X224 MONTHS/300 000 KM48 MONTHS/600 000 KMCombinationYes</v>
          </cell>
          <cell r="H7">
            <v>40425</v>
          </cell>
          <cell r="AC7" t="str">
            <v>TGX4X224 MONTHS/200 000 KMEntire VehicleYes</v>
          </cell>
          <cell r="AD7">
            <v>7350</v>
          </cell>
          <cell r="AK7" t="str">
            <v>TGX4X236 MONTHS/300 000 KMDrivelineYes</v>
          </cell>
          <cell r="AL7">
            <v>9555</v>
          </cell>
        </row>
        <row r="8">
          <cell r="G8" t="str">
            <v>TGX4X224 MONTHS/300 000 KM60 MONTHS/750 000 KMCombinationNo</v>
          </cell>
          <cell r="H8">
            <v>69825</v>
          </cell>
          <cell r="AC8" t="str">
            <v>TGX4X224 MONTHS/250 000 KMEntire VehicleNo</v>
          </cell>
          <cell r="AD8">
            <v>11025</v>
          </cell>
          <cell r="AK8" t="str">
            <v>TGX4X236 MONTHS/375 000 KMDrivelineNo</v>
          </cell>
          <cell r="AL8">
            <v>13965</v>
          </cell>
        </row>
        <row r="9">
          <cell r="G9" t="str">
            <v>TGX4X224 MONTHS/300 000 KM60 MONTHS/750 000 KMCombinationYes</v>
          </cell>
          <cell r="H9">
            <v>60270</v>
          </cell>
          <cell r="AC9" t="str">
            <v>TGX4X224 MONTHS/250 000 KMEntire VehicleYes</v>
          </cell>
          <cell r="AD9">
            <v>9555</v>
          </cell>
          <cell r="AK9" t="str">
            <v>TGX4X236 MONTHS/375 000 KMDrivelineYes</v>
          </cell>
          <cell r="AL9">
            <v>11760</v>
          </cell>
        </row>
        <row r="10">
          <cell r="G10" t="str">
            <v>TGX4X224 MONTHS/400 000 KM36 MONTHS/600 000 KMCombinationNo</v>
          </cell>
          <cell r="H10">
            <v>38220</v>
          </cell>
          <cell r="AC10" t="str">
            <v>TGX4X224 MONTHS/300 000 KMEntire VehicleNo</v>
          </cell>
          <cell r="AD10">
            <v>13965</v>
          </cell>
          <cell r="AK10" t="str">
            <v>TGX4X236 MONTHS/450 000 KMDrivelineNo</v>
          </cell>
          <cell r="AL10">
            <v>16170</v>
          </cell>
        </row>
        <row r="11">
          <cell r="G11" t="str">
            <v>TGX4X224 MONTHS/400 000 KM36 MONTHS/600 000 KMCombinationYes</v>
          </cell>
          <cell r="H11">
            <v>33075</v>
          </cell>
          <cell r="AC11" t="str">
            <v>TGX4X224 MONTHS/300 000 KMEntire VehicleYes</v>
          </cell>
          <cell r="AD11">
            <v>11760</v>
          </cell>
          <cell r="AK11" t="str">
            <v>TGX4X236 MONTHS/450 000 KMDrivelineYes</v>
          </cell>
          <cell r="AL11">
            <v>13965</v>
          </cell>
        </row>
        <row r="12">
          <cell r="G12" t="str">
            <v>TGX4X224 MONTHS/400 000 KM48 MONTHS/800 000 KMCombinationNo</v>
          </cell>
          <cell r="H12">
            <v>68355</v>
          </cell>
          <cell r="AC12" t="str">
            <v>TGX4X224 MONTHS/350 000 KMEntire VehicleNo</v>
          </cell>
          <cell r="AD12">
            <v>15435</v>
          </cell>
          <cell r="AK12" t="str">
            <v>TGX4X236 MONTHS/525 000 KMDrivelineNo</v>
          </cell>
          <cell r="AL12">
            <v>19110</v>
          </cell>
        </row>
        <row r="13">
          <cell r="G13" t="str">
            <v>TGX4X224 MONTHS/400 000 KM48 MONTHS/800 000 KMCombinationYes</v>
          </cell>
          <cell r="H13">
            <v>58800</v>
          </cell>
          <cell r="AC13" t="str">
            <v>TGX4X224 MONTHS/350 000 KMEntire VehicleYes</v>
          </cell>
          <cell r="AD13">
            <v>13230</v>
          </cell>
          <cell r="AK13" t="str">
            <v>TGX4X236 MONTHS/525 000 KMDrivelineYes</v>
          </cell>
          <cell r="AL13">
            <v>16170</v>
          </cell>
        </row>
        <row r="14">
          <cell r="G14" t="str">
            <v>TGX4X224 MONTHS/400 000 KM60 MONTHS/1000 000 KMCombinationNo</v>
          </cell>
          <cell r="H14">
            <v>96285</v>
          </cell>
          <cell r="AC14" t="str">
            <v>TGX4X224 MONTHS/400 000 KMEntire VehicleNo</v>
          </cell>
          <cell r="AD14">
            <v>16170</v>
          </cell>
          <cell r="AK14" t="str">
            <v>TGX4X236 MONTHS/600 000 KMDrivelineNo</v>
          </cell>
          <cell r="AL14">
            <v>22050</v>
          </cell>
        </row>
        <row r="15">
          <cell r="G15" t="str">
            <v>TGX4X224 MONTHS/400 000 KM60 MONTHS/1000 000 KMCombinationYes</v>
          </cell>
          <cell r="H15">
            <v>83055</v>
          </cell>
          <cell r="AC15" t="str">
            <v>TGX4X224 MONTHS/400 000 KMEntire VehicleYes</v>
          </cell>
          <cell r="AD15">
            <v>13965</v>
          </cell>
          <cell r="AK15" t="str">
            <v>TGX4X236 MONTHS/600 000 KMDrivelineYes</v>
          </cell>
          <cell r="AL15">
            <v>19110</v>
          </cell>
        </row>
        <row r="16">
          <cell r="G16" t="str">
            <v>TGX4X236 MONTHS/450 000 KM48 MONTHS/600 000 KMCombinationNo</v>
          </cell>
          <cell r="H16">
            <v>57330</v>
          </cell>
          <cell r="AC16" t="str">
            <v>TGX4X236 MONTHS/225 000 KMEntire VehicleNo</v>
          </cell>
          <cell r="AD16">
            <v>25725</v>
          </cell>
          <cell r="AK16" t="str">
            <v>TGX4X248 MONTHS/300 000 KMDrivelineNo</v>
          </cell>
          <cell r="AL16">
            <v>12495</v>
          </cell>
        </row>
        <row r="17">
          <cell r="G17" t="str">
            <v>TGX4X236 MONTHS/450 000 KM48 MONTHS/600 000 KMCombinationYes</v>
          </cell>
          <cell r="H17">
            <v>49245</v>
          </cell>
          <cell r="AC17" t="str">
            <v>TGX4X236 MONTHS/225 000 KMEntire VehicleYes</v>
          </cell>
          <cell r="AD17">
            <v>22050</v>
          </cell>
          <cell r="AK17" t="str">
            <v>TGX4X248 MONTHS/300 000 KMDrivelineYes</v>
          </cell>
          <cell r="AL17">
            <v>10290</v>
          </cell>
        </row>
        <row r="18">
          <cell r="G18" t="str">
            <v>TGX4X236 MONTHS/450 000 KM60 MONTHS/750 000 KMCombinationNo</v>
          </cell>
          <cell r="H18">
            <v>80115</v>
          </cell>
          <cell r="AC18" t="str">
            <v>TGX4X236 MONTHS/300 000 KMEntire VehicleNo</v>
          </cell>
          <cell r="AD18">
            <v>29400</v>
          </cell>
          <cell r="AK18" t="str">
            <v>TGX4X248 MONTHS/400 000 KMDrivelineNo</v>
          </cell>
          <cell r="AL18">
            <v>16905</v>
          </cell>
        </row>
        <row r="19">
          <cell r="G19" t="str">
            <v>TGX4X236 MONTHS/450 000 KM60 MONTHS/750 000 KMCombinationYes</v>
          </cell>
          <cell r="H19">
            <v>69090</v>
          </cell>
          <cell r="AC19" t="str">
            <v>TGX4X236 MONTHS/300 000 KMEntire VehicleYes</v>
          </cell>
          <cell r="AD19">
            <v>24990</v>
          </cell>
          <cell r="AK19" t="str">
            <v>TGX4X248 MONTHS/400 000 KMDrivelineYes</v>
          </cell>
          <cell r="AL19">
            <v>14700</v>
          </cell>
        </row>
        <row r="20">
          <cell r="G20" t="str">
            <v>TGX4X236 MONTHS/600 000 KM48 MONTHS/800 000 KMCombinationNo</v>
          </cell>
          <cell r="H20">
            <v>80115</v>
          </cell>
          <cell r="AC20" t="str">
            <v>TGX4X236 MONTHS/375 000 KMEntire VehicleNo</v>
          </cell>
          <cell r="AD20">
            <v>35280</v>
          </cell>
          <cell r="AK20" t="str">
            <v>TGX4X248 MONTHS/500 000 KMDrivelineNo</v>
          </cell>
          <cell r="AL20">
            <v>24255</v>
          </cell>
        </row>
        <row r="21">
          <cell r="G21" t="str">
            <v>TGX4X236 MONTHS/600 000 KM48 MONTHS/800 000 KMCombinationYes</v>
          </cell>
          <cell r="H21">
            <v>69090</v>
          </cell>
          <cell r="AC21" t="str">
            <v>TGX4X236 MONTHS/375 000 KMEntire VehicleYes</v>
          </cell>
          <cell r="AD21">
            <v>30135</v>
          </cell>
          <cell r="AK21" t="str">
            <v>TGX4X248 MONTHS/500 000 KMDrivelineYes</v>
          </cell>
          <cell r="AL21">
            <v>20580</v>
          </cell>
        </row>
        <row r="22">
          <cell r="G22" t="str">
            <v>TGX4X236 MONTHS/600 000 KM60 MONTHS/1000 000 KMCombinationNo</v>
          </cell>
          <cell r="H22">
            <v>108045</v>
          </cell>
          <cell r="AC22" t="str">
            <v>TGX4X236 MONTHS/450 000 KMEntire VehicleNo</v>
          </cell>
          <cell r="AD22">
            <v>40425</v>
          </cell>
          <cell r="AK22" t="str">
            <v>TGX4X248 MONTHS/600 000 KMDrivelineNo</v>
          </cell>
          <cell r="AL22">
            <v>33075</v>
          </cell>
        </row>
        <row r="23">
          <cell r="G23" t="str">
            <v>TGX4X236 MONTHS/600 000 KM60 MONTHS/1000 000 KMCombinationYes</v>
          </cell>
          <cell r="H23">
            <v>93345</v>
          </cell>
          <cell r="AC23" t="str">
            <v>TGX4X236 MONTHS/450 000 KMEntire VehicleYes</v>
          </cell>
          <cell r="AD23">
            <v>34545</v>
          </cell>
          <cell r="AK23" t="str">
            <v>TGX4X248 MONTHS/600 000 KMDrivelineYes</v>
          </cell>
          <cell r="AL23">
            <v>28665</v>
          </cell>
        </row>
        <row r="24">
          <cell r="G24" t="str">
            <v>TGX4X248 MONTHS/600 000 KM60 MONTHS/750 000 KMCombinationNo</v>
          </cell>
          <cell r="H24">
            <v>110985</v>
          </cell>
          <cell r="AC24" t="str">
            <v>TGX4X236 MONTHS/525 000 KMEntire VehicleNo</v>
          </cell>
          <cell r="AD24">
            <v>44835</v>
          </cell>
          <cell r="AK24" t="str">
            <v>TGX4X248 MONTHS/700 000 KMDrivelineNo</v>
          </cell>
          <cell r="AL24">
            <v>42630</v>
          </cell>
        </row>
        <row r="25">
          <cell r="G25" t="str">
            <v>TGX4X248 MONTHS/600 000 KM60 MONTHS/750 000 KMCombinationYes</v>
          </cell>
          <cell r="H25">
            <v>96285</v>
          </cell>
          <cell r="AC25" t="str">
            <v>TGX4X236 MONTHS/525 000 KMEntire VehicleYes</v>
          </cell>
          <cell r="AD25">
            <v>38955</v>
          </cell>
          <cell r="AK25" t="str">
            <v>TGX4X248 MONTHS/700 000 KMDrivelineYes</v>
          </cell>
          <cell r="AL25">
            <v>36750</v>
          </cell>
        </row>
        <row r="26">
          <cell r="G26" t="str">
            <v>TGX4X248 MONTHS/800 000 KM60 MONTHS/1000 000 KMCombinationNo</v>
          </cell>
          <cell r="H26">
            <v>128625</v>
          </cell>
          <cell r="AC26" t="str">
            <v>TGX4X236 MONTHS/600 000 KMEntire VehicleNo</v>
          </cell>
          <cell r="AD26">
            <v>49980</v>
          </cell>
          <cell r="AK26" t="str">
            <v>TGX4X248 MONTHS/800 000 KMDrivelineNo</v>
          </cell>
          <cell r="AL26">
            <v>52185</v>
          </cell>
        </row>
        <row r="27">
          <cell r="G27" t="str">
            <v>TGX4X248 MONTHS/800 000 KM60 MONTHS/1000 000 KMCombinationYes</v>
          </cell>
          <cell r="H27">
            <v>111720</v>
          </cell>
          <cell r="AC27" t="str">
            <v>TGX4X236 MONTHS/600 000 KMEntire VehicleYes</v>
          </cell>
          <cell r="AD27">
            <v>43365</v>
          </cell>
          <cell r="AK27" t="str">
            <v>TGX4X248 MONTHS/800 000 KMDrivelineYes</v>
          </cell>
          <cell r="AL27">
            <v>44835</v>
          </cell>
        </row>
        <row r="28">
          <cell r="G28" t="str">
            <v>TGX4X4 H/D24 MONTHS/150 000 KM36 MONTHS/225 000 KMCombinationNo</v>
          </cell>
          <cell r="H28">
            <v>31605</v>
          </cell>
          <cell r="AC28" t="str">
            <v>TGX4X248 MONTHS/300 000 KMEntire VehicleNo</v>
          </cell>
          <cell r="AD28">
            <v>50715</v>
          </cell>
          <cell r="AK28" t="str">
            <v>TGX4X260 MONTHS/1 000 000 KMDrivelineNo</v>
          </cell>
          <cell r="AL28">
            <v>80115</v>
          </cell>
        </row>
        <row r="29">
          <cell r="G29" t="str">
            <v>TGX4X4 H/D24 MONTHS/150 000 KM36 MONTHS/225 000 KMCombinationYes</v>
          </cell>
          <cell r="H29">
            <v>61005</v>
          </cell>
          <cell r="AC29" t="str">
            <v>TGX4X248 MONTHS/300 000 KMEntire VehicleYes</v>
          </cell>
          <cell r="AD29">
            <v>44100</v>
          </cell>
          <cell r="AK29" t="str">
            <v>TGX4X260 MONTHS/1 000 000 KMDrivelineYes</v>
          </cell>
          <cell r="AL29">
            <v>69090</v>
          </cell>
        </row>
        <row r="30">
          <cell r="G30" t="str">
            <v>TGX4X4 H/D24 MONTHS/150 000 KM48 MONTHS/300 000 KMCombinationNo</v>
          </cell>
          <cell r="H30">
            <v>55860</v>
          </cell>
          <cell r="AC30" t="str">
            <v>TGX4X248 MONTHS/400 000 KMEntire VehicleNo</v>
          </cell>
          <cell r="AD30">
            <v>65415</v>
          </cell>
          <cell r="AK30" t="str">
            <v>TGX4X260 MONTHS/375 000 KMDrivelineNo</v>
          </cell>
          <cell r="AL30">
            <v>24990</v>
          </cell>
        </row>
        <row r="31">
          <cell r="G31" t="str">
            <v>TGX4X4 H/D24 MONTHS/150 000 KM48 MONTHS/300 000 KMCombinationYes</v>
          </cell>
          <cell r="H31">
            <v>96285</v>
          </cell>
          <cell r="AC31" t="str">
            <v>TGX4X248 MONTHS/400 000 KMEntire VehicleYes</v>
          </cell>
          <cell r="AD31">
            <v>56595</v>
          </cell>
          <cell r="AK31" t="str">
            <v>TGX4X260 MONTHS/375 000 KMDrivelineYes</v>
          </cell>
          <cell r="AL31">
            <v>21315</v>
          </cell>
        </row>
        <row r="32">
          <cell r="G32" t="str">
            <v>TGX4X4 H/D24 MONTHS/150 000 KM60 MONTHS/375 000 KMCombinationNo</v>
          </cell>
          <cell r="H32">
            <v>102165</v>
          </cell>
          <cell r="AC32" t="str">
            <v>TGX4X248 MONTHS/500 000 KMEntire VehicleNo</v>
          </cell>
          <cell r="AD32">
            <v>80115</v>
          </cell>
          <cell r="AK32" t="str">
            <v>TGX4X260 MONTHS/500 000 KMDrivelineNo</v>
          </cell>
          <cell r="AL32">
            <v>33810</v>
          </cell>
        </row>
        <row r="33">
          <cell r="G33" t="str">
            <v>TGX4X4 H/D24 MONTHS/150 000 KM60 MONTHS/375 000 KMCombinationYes</v>
          </cell>
          <cell r="H33">
            <v>183750</v>
          </cell>
          <cell r="AC33" t="str">
            <v>TGX4X248 MONTHS/500 000 KMEntire VehicleYes</v>
          </cell>
          <cell r="AD33">
            <v>69090</v>
          </cell>
          <cell r="AK33" t="str">
            <v>TGX4X260 MONTHS/500 000 KMDrivelineYes</v>
          </cell>
          <cell r="AL33">
            <v>29400</v>
          </cell>
        </row>
        <row r="34">
          <cell r="G34" t="str">
            <v>TGX4X4 H/D24 MONTHS/300 000 KM36 MONTHS/450 000 KMCombinationNo</v>
          </cell>
          <cell r="H34">
            <v>52920</v>
          </cell>
          <cell r="AC34" t="str">
            <v>TGX4X248 MONTHS/600 000 KMEntire VehicleNo</v>
          </cell>
          <cell r="AD34">
            <v>88200</v>
          </cell>
          <cell r="AK34" t="str">
            <v>TGX4X260 MONTHS/625 000 KMDrivelineNo</v>
          </cell>
          <cell r="AL34">
            <v>44100</v>
          </cell>
        </row>
        <row r="35">
          <cell r="G35" t="str">
            <v>TGX4X4 H/D24 MONTHS/300 000 KM36 MONTHS/450 000 KMCombinationYes</v>
          </cell>
          <cell r="H35">
            <v>109515</v>
          </cell>
          <cell r="AC35" t="str">
            <v>TGX4X248 MONTHS/600 000 KMEntire VehicleYes</v>
          </cell>
          <cell r="AD35">
            <v>76440</v>
          </cell>
          <cell r="AK35" t="str">
            <v>TGX4X260 MONTHS/625 000 KMDrivelineYes</v>
          </cell>
          <cell r="AL35">
            <v>38220</v>
          </cell>
        </row>
        <row r="36">
          <cell r="G36" t="str">
            <v>TGX4X4 H/D24 MONTHS/300 000 KM48 MONTHS/600 000 KMCombinationNo</v>
          </cell>
          <cell r="H36">
            <v>88935</v>
          </cell>
          <cell r="AC36" t="str">
            <v>TGX4X248 MONTHS/700 000 KMEntire VehicleNo</v>
          </cell>
          <cell r="AD36">
            <v>94080</v>
          </cell>
          <cell r="AK36" t="str">
            <v>TGX4X260 MONTHS/750 000 KMDrivelineNo</v>
          </cell>
          <cell r="AL36">
            <v>55860</v>
          </cell>
        </row>
        <row r="37">
          <cell r="G37" t="str">
            <v>TGX4X4 H/D24 MONTHS/300 000 KM48 MONTHS/600 000 KMCombinationYes</v>
          </cell>
          <cell r="H37">
            <v>167580</v>
          </cell>
          <cell r="AC37" t="str">
            <v>TGX4X248 MONTHS/700 000 KMEntire VehicleYes</v>
          </cell>
          <cell r="AD37">
            <v>81585</v>
          </cell>
          <cell r="AK37" t="str">
            <v>TGX4X260 MONTHS/750 000 KMDrivelineYes</v>
          </cell>
          <cell r="AL37">
            <v>48510</v>
          </cell>
        </row>
        <row r="38">
          <cell r="G38" t="str">
            <v>TGX4X4 H/D24 MONTHS/300 000 KM60 MONTHS/750 000 KMCombinationNo</v>
          </cell>
          <cell r="H38">
            <v>170520</v>
          </cell>
          <cell r="AC38" t="str">
            <v>TGX4X248 MONTHS/800 000 KMEntire VehicleNo</v>
          </cell>
          <cell r="AD38">
            <v>100695</v>
          </cell>
          <cell r="AK38" t="str">
            <v>TGX4X260 MONTHS/875 000 KMDrivelineNo</v>
          </cell>
          <cell r="AL38">
            <v>66885</v>
          </cell>
        </row>
        <row r="39">
          <cell r="G39" t="str">
            <v>TGX4X4 H/D24 MONTHS/300 000 KM60 MONTHS/750 000 KMCombinationYes</v>
          </cell>
          <cell r="H39">
            <v>312375</v>
          </cell>
          <cell r="AC39" t="str">
            <v>TGX4X248 MONTHS/800 000 KMEntire VehicleYes</v>
          </cell>
          <cell r="AD39">
            <v>87465</v>
          </cell>
          <cell r="AK39" t="str">
            <v>TGX4X260 MONTHS/875 000 KMDrivelineYes</v>
          </cell>
          <cell r="AL39">
            <v>58065</v>
          </cell>
        </row>
        <row r="40">
          <cell r="G40" t="str">
            <v>TGX4X4 H/D36 MONTHS/225 000 KM48 MONTHS/300 000 KM CombinationNo</v>
          </cell>
          <cell r="H40">
            <v>71295</v>
          </cell>
          <cell r="AC40" t="str">
            <v>TGX4X260 MONTHS/1 000 000 KMEntire VehicleNo</v>
          </cell>
          <cell r="AD40">
            <v>189630</v>
          </cell>
          <cell r="AK40" t="str">
            <v>TGX4X436 MONTHS/150 000 KMDrivelineYes</v>
          </cell>
          <cell r="AL40">
            <v>11760</v>
          </cell>
        </row>
        <row r="41">
          <cell r="G41" t="str">
            <v>TGX4X4 H/D36 MONTHS/225 000 KM48 MONTHS/300 000 KM CombinationYes</v>
          </cell>
          <cell r="H41">
            <v>114660</v>
          </cell>
          <cell r="AC41" t="str">
            <v>TGX4X260 MONTHS/1 000 000 KMEntire VehicleYes</v>
          </cell>
          <cell r="AD41">
            <v>164640</v>
          </cell>
          <cell r="AK41" t="str">
            <v>TGX4X436 MONTHS/225 000 KMDrivelineYes</v>
          </cell>
          <cell r="AL41">
            <v>13230</v>
          </cell>
        </row>
        <row r="42">
          <cell r="G42" t="str">
            <v>TGX4X4 H/D36 MONTHS/225 000 KM60 MONTHS/750 000 KMCombinationNo</v>
          </cell>
          <cell r="H42">
            <v>117600</v>
          </cell>
          <cell r="AC42" t="str">
            <v>TGX4X260 MONTHS/375 000 KMEntire VehicleNo</v>
          </cell>
          <cell r="AD42">
            <v>95550</v>
          </cell>
          <cell r="AK42" t="str">
            <v>TGX4X436 MONTHS/300 000 KMDrivelineYes</v>
          </cell>
          <cell r="AL42">
            <v>16905</v>
          </cell>
        </row>
        <row r="43">
          <cell r="G43" t="str">
            <v>TGX4X4 H/D36 MONTHS/225 000 KM60 MONTHS/750 000 KMCombinationYes</v>
          </cell>
          <cell r="H43">
            <v>202125</v>
          </cell>
          <cell r="AC43" t="str">
            <v>TGX4X260 MONTHS/375 000 KMEntire VehicleYes</v>
          </cell>
          <cell r="AD43">
            <v>83055</v>
          </cell>
          <cell r="AK43" t="str">
            <v>TGX4X436 MONTHS/375 000 KMDrivelineYes</v>
          </cell>
          <cell r="AL43">
            <v>20580</v>
          </cell>
        </row>
        <row r="44">
          <cell r="G44" t="str">
            <v>TGX4X4 H/D36 MONTHS/450 000 KM48 MONTHS/600 000 KMCombinationNo</v>
          </cell>
          <cell r="H44">
            <v>113190</v>
          </cell>
          <cell r="AC44" t="str">
            <v>TGX4X260 MONTHS/500 000 KMEntire VehicleNo</v>
          </cell>
          <cell r="AD44">
            <v>126420</v>
          </cell>
          <cell r="AK44" t="str">
            <v>TGX4X436 MONTHS/450 000 KMDrivelineYes</v>
          </cell>
          <cell r="AL44">
            <v>21315</v>
          </cell>
        </row>
        <row r="45">
          <cell r="G45" t="str">
            <v>TGX4X4 H/D36 MONTHS/450 000 KM48 MONTHS/600 000 KMCombinationYes</v>
          </cell>
          <cell r="H45">
            <v>188160</v>
          </cell>
          <cell r="AC45" t="str">
            <v>TGX4X260 MONTHS/500 000 KMEntire VehicleYes</v>
          </cell>
          <cell r="AD45">
            <v>109515</v>
          </cell>
          <cell r="AK45" t="str">
            <v>TGX4X436 MONTHS/75 000 KMDrivelineYes</v>
          </cell>
          <cell r="AL45">
            <v>7350</v>
          </cell>
        </row>
        <row r="46">
          <cell r="G46" t="str">
            <v>TGX4X4 H/D36 MONTHS/450 000 KM60 MONTHS/750 000 KMCombinationNo</v>
          </cell>
          <cell r="H46">
            <v>194775</v>
          </cell>
          <cell r="AC46" t="str">
            <v>TGX4X260 MONTHS/625 000 KMEntire VehicleNo</v>
          </cell>
          <cell r="AD46">
            <v>150675</v>
          </cell>
          <cell r="AK46" t="str">
            <v>TGX4X448 MONTHS/100 000 KMDrivelineYes</v>
          </cell>
          <cell r="AL46">
            <v>19110</v>
          </cell>
        </row>
        <row r="47">
          <cell r="G47" t="str">
            <v>TGX4X4 H/D36 MONTHS/450 000 KM60 MONTHS/750 000 KMCombinationYes</v>
          </cell>
          <cell r="H47">
            <v>332955</v>
          </cell>
          <cell r="AC47" t="str">
            <v>TGX4X260 MONTHS/625 000 KMEntire VehicleYes</v>
          </cell>
          <cell r="AD47">
            <v>130830</v>
          </cell>
          <cell r="AK47" t="str">
            <v>TGX4X448 MONTHS/200 000 KMDrivelineYes</v>
          </cell>
          <cell r="AL47">
            <v>22050</v>
          </cell>
        </row>
        <row r="48">
          <cell r="G48" t="str">
            <v>TGX4X4 H/D48 MONTHS/300 000 KM60 MONTHS/750 000 KMCombinationNo</v>
          </cell>
          <cell r="H48">
            <v>171255</v>
          </cell>
          <cell r="AC48" t="str">
            <v>TGX4X260 MONTHS/750 000 KMEntire VehicleNo</v>
          </cell>
          <cell r="AD48">
            <v>163170</v>
          </cell>
          <cell r="AK48" t="str">
            <v>TGX4X448 MONTHS/300 000 KMDrivelineYes</v>
          </cell>
          <cell r="AL48">
            <v>25725</v>
          </cell>
        </row>
        <row r="49">
          <cell r="G49" t="str">
            <v>TGX4X4 H/D48 MONTHS/300 000 KM60 MONTHS/750 000 KMCombinationNo</v>
          </cell>
          <cell r="H49">
            <v>287385</v>
          </cell>
          <cell r="AC49" t="str">
            <v>TGX4X260 MONTHS/750 000 KMEntire VehicleYes</v>
          </cell>
          <cell r="AD49">
            <v>141855</v>
          </cell>
          <cell r="AK49" t="str">
            <v>TGX4X448 MONTHS/400 000 KMDrivelineYes</v>
          </cell>
          <cell r="AL49">
            <v>33810</v>
          </cell>
        </row>
        <row r="50">
          <cell r="G50" t="str">
            <v>TGX4X4 H/D48 MONTHS/300 000 KM60 MONTHS/750 000 KMCombinationYes</v>
          </cell>
          <cell r="H50">
            <v>241815</v>
          </cell>
          <cell r="AC50" t="str">
            <v>TGX4X260 MONTHS/875 000 KMEntire VehicleNo</v>
          </cell>
          <cell r="AD50">
            <v>171990</v>
          </cell>
          <cell r="AK50" t="str">
            <v>TGX4X448 MONTHS/500 000 KMDrivelineYes</v>
          </cell>
          <cell r="AL50">
            <v>47040</v>
          </cell>
        </row>
        <row r="51">
          <cell r="G51" t="str">
            <v>TGX4X4 H/D48 MONTHS/300 000 KM60 MONTHS/750 000 KMCombinationYes</v>
          </cell>
          <cell r="H51">
            <v>399840</v>
          </cell>
          <cell r="AC51" t="str">
            <v>TGX4X260 MONTHS/875 000 KMEntire VehicleYes</v>
          </cell>
          <cell r="AD51">
            <v>149205</v>
          </cell>
          <cell r="AK51" t="str">
            <v>TGX4X448 MONTHS/600 000 KMDrivelineYes</v>
          </cell>
          <cell r="AL51">
            <v>49980</v>
          </cell>
        </row>
        <row r="52">
          <cell r="G52" t="str">
            <v>TGX4X424 MONTHS/150 000 KM 60 MONTHS/375 000 KMCombinationNo</v>
          </cell>
          <cell r="H52">
            <v>72765</v>
          </cell>
          <cell r="AC52" t="str">
            <v>TGX4X424 MONTHS/100 000 KMEntire VehicleYes</v>
          </cell>
          <cell r="AD52">
            <v>7350</v>
          </cell>
          <cell r="AK52" t="str">
            <v>TGX4X460 MONTHS/125 000 KMDrivelineYes</v>
          </cell>
          <cell r="AL52">
            <v>38955</v>
          </cell>
        </row>
        <row r="53">
          <cell r="G53" t="str">
            <v>TGX4X424 MONTHS/150 000 KM 60 MONTHS/375 000 KMCombinationYes</v>
          </cell>
          <cell r="H53">
            <v>63210</v>
          </cell>
          <cell r="AC53" t="str">
            <v>TGX4X424 MONTHS/150 000 KMEntire VehicleYes</v>
          </cell>
          <cell r="AD53">
            <v>9555</v>
          </cell>
          <cell r="AK53" t="str">
            <v>TGX4X460 MONTHS/250 000 KMDrivelineYes</v>
          </cell>
          <cell r="AL53">
            <v>45570</v>
          </cell>
        </row>
        <row r="54">
          <cell r="G54" t="str">
            <v>TGX4X424 MONTHS/150 000 KM36 MONTHS/225 000 KMCombinationNo</v>
          </cell>
          <cell r="H54">
            <v>26030.454545454544</v>
          </cell>
          <cell r="AC54" t="str">
            <v>TGX4X424 MONTHS/200 000 KMEntire VehicleYes</v>
          </cell>
          <cell r="AD54">
            <v>11025</v>
          </cell>
          <cell r="AK54" t="str">
            <v>TGX4X460 MONTHS/375 000 KMDrivelineYes</v>
          </cell>
          <cell r="AL54">
            <v>53655</v>
          </cell>
        </row>
        <row r="55">
          <cell r="G55" t="str">
            <v>TGX4X424 MONTHS/150 000 KM36 MONTHS/225 000 KMCombinationYes</v>
          </cell>
          <cell r="H55">
            <v>22785</v>
          </cell>
          <cell r="AC55" t="str">
            <v>TGX4X424 MONTHS/250 000 KMEntire VehicleYes</v>
          </cell>
          <cell r="AD55">
            <v>13230</v>
          </cell>
          <cell r="AK55" t="str">
            <v>TGX4X460 MONTHS/500 000 KMDrivelineYes</v>
          </cell>
          <cell r="AL55">
            <v>80850</v>
          </cell>
        </row>
        <row r="56">
          <cell r="G56" t="str">
            <v>TGX4X424 MONTHS/150 000 KM48 MONTHS/300 000 KMCombinationNo</v>
          </cell>
          <cell r="H56">
            <v>41160</v>
          </cell>
          <cell r="AC56" t="str">
            <v>TGX4X424 MONTHS/300 000 KMEntire VehicleYes</v>
          </cell>
          <cell r="AD56">
            <v>13965</v>
          </cell>
          <cell r="AK56" t="str">
            <v>TGX4X460 MONTHS/625 000 KMDrivelineYes</v>
          </cell>
          <cell r="AL56">
            <v>104370</v>
          </cell>
        </row>
        <row r="57">
          <cell r="G57" t="str">
            <v>TGX4X424 MONTHS/150 000 KM48 MONTHS/300 000 KMCombinationYes</v>
          </cell>
          <cell r="H57">
            <v>35280</v>
          </cell>
          <cell r="AC57" t="str">
            <v>TGX4X424 MONTHS/50 000 KMEntire VehicleYes</v>
          </cell>
          <cell r="AD57">
            <v>5880</v>
          </cell>
          <cell r="AK57" t="str">
            <v>TGX4X460 MONTHS/750 000 KMDrivelineYes</v>
          </cell>
          <cell r="AL57">
            <v>112455</v>
          </cell>
        </row>
        <row r="58">
          <cell r="G58" t="str">
            <v>TGX4X424 MONTHS/300 000 KM36 MONTHS/450 000 KMCombinationNo</v>
          </cell>
          <cell r="H58">
            <v>41160</v>
          </cell>
          <cell r="AC58" t="str">
            <v>TGX4X436 MONTHS/150 000 KMEntire VehicleYes</v>
          </cell>
          <cell r="AD58">
            <v>27930</v>
          </cell>
          <cell r="AK58" t="str">
            <v>TGX4X4HYDRO36 MONTHS/150 000 KMDrivelineYes</v>
          </cell>
          <cell r="AL58">
            <v>13965</v>
          </cell>
        </row>
        <row r="59">
          <cell r="G59" t="str">
            <v>TGX4X424 MONTHS/300 000 KM36 MONTHS/450 000 KMCombinationYes</v>
          </cell>
          <cell r="H59">
            <v>35280</v>
          </cell>
          <cell r="AC59" t="str">
            <v>TGX4X436 MONTHS/225 000 KMEntire VehicleYes</v>
          </cell>
          <cell r="AD59">
            <v>33075</v>
          </cell>
          <cell r="AK59" t="str">
            <v>TGX4X4HYDRO36 MONTHS/225 000 KMDrivelineYes</v>
          </cell>
          <cell r="AL59">
            <v>16170</v>
          </cell>
        </row>
        <row r="60">
          <cell r="G60" t="str">
            <v>TGX4X424 MONTHS/300 000 KM48 MONTHS/600 000 KMCombinationNo</v>
          </cell>
          <cell r="H60">
            <v>74235</v>
          </cell>
          <cell r="AC60" t="str">
            <v>TGX4X436 MONTHS/300 000 KMEntire VehicleYes</v>
          </cell>
          <cell r="AD60">
            <v>42630</v>
          </cell>
          <cell r="AK60" t="str">
            <v>TGX4X4HYDRO36 MONTHS/300 000 KMDrivelineYes</v>
          </cell>
          <cell r="AL60">
            <v>20580</v>
          </cell>
        </row>
        <row r="61">
          <cell r="G61" t="str">
            <v>TGX4X424 MONTHS/300 000 KM48 MONTHS/600 000 KMCombinationYes</v>
          </cell>
          <cell r="H61">
            <v>63945</v>
          </cell>
          <cell r="AC61" t="str">
            <v>TGX4X436 MONTHS/375 000 KMEntire VehicleYes</v>
          </cell>
          <cell r="AD61">
            <v>52185</v>
          </cell>
          <cell r="AK61" t="str">
            <v>TGX4X4HYDRO36 MONTHS/375 000 KMDrivelineYes</v>
          </cell>
          <cell r="AL61">
            <v>25725</v>
          </cell>
        </row>
        <row r="62">
          <cell r="G62" t="str">
            <v>TGX4X424 MONTHS/300 000 KM60 MONTHS/750 000 KMCombinationNo</v>
          </cell>
          <cell r="H62">
            <v>145530</v>
          </cell>
          <cell r="AC62" t="str">
            <v>TGX4X436 MONTHS/450 000 KMEntire VehicleYes</v>
          </cell>
          <cell r="AD62">
            <v>56595</v>
          </cell>
          <cell r="AK62" t="str">
            <v>TGX4X4HYDRO36 MONTHS/450 000 KMDrivelineYes</v>
          </cell>
          <cell r="AL62">
            <v>26460</v>
          </cell>
        </row>
        <row r="63">
          <cell r="G63" t="str">
            <v>TGX4X424 MONTHS/300 000 KM60 MONTHS/750 000 KMCombinationYes</v>
          </cell>
          <cell r="H63">
            <v>126420</v>
          </cell>
          <cell r="AC63" t="str">
            <v>TGX4X436 MONTHS/75 000 KMEntire VehicleYes</v>
          </cell>
          <cell r="AD63">
            <v>23520</v>
          </cell>
          <cell r="AK63" t="str">
            <v>TGX4X4HYDRO36 MONTHS/75 000 KMDrivelineYes</v>
          </cell>
          <cell r="AL63">
            <v>11760</v>
          </cell>
        </row>
        <row r="64">
          <cell r="G64" t="str">
            <v>TGX4X436 MONTHS/225 000 KM48 MONTHS/300 000 KM CombinationNo</v>
          </cell>
          <cell r="H64">
            <v>52920</v>
          </cell>
          <cell r="AC64" t="str">
            <v>TGX4X448 MONTHS/100 000 KMEntire VehicleYes</v>
          </cell>
          <cell r="AD64">
            <v>74970</v>
          </cell>
          <cell r="AK64" t="str">
            <v>TGX4X4HYDRO48 MONTHS/100 000 KMDrivelineYes</v>
          </cell>
          <cell r="AL64">
            <v>27195</v>
          </cell>
        </row>
        <row r="65">
          <cell r="G65" t="str">
            <v>TGX4X436 MONTHS/225 000 KM48 MONTHS/300 000 KM CombinationYes</v>
          </cell>
          <cell r="H65">
            <v>45570</v>
          </cell>
          <cell r="AC65" t="str">
            <v>TGX4X448 MONTHS/200 000 KMEntire VehicleYes</v>
          </cell>
          <cell r="AD65">
            <v>88200</v>
          </cell>
          <cell r="AK65" t="str">
            <v>TGX4X4HYDRO48 MONTHS/200 000 KMDrivelineYes</v>
          </cell>
          <cell r="AL65">
            <v>31605</v>
          </cell>
        </row>
        <row r="66">
          <cell r="G66" t="str">
            <v>TGX4X436 MONTHS/225 000 KM60 MONTHS/750 000 KMCombinationNo</v>
          </cell>
          <cell r="H66">
            <v>84525</v>
          </cell>
          <cell r="AC66" t="str">
            <v>TGX4X448 MONTHS/300 000 KMEntire VehicleYes</v>
          </cell>
          <cell r="AD66">
            <v>102900</v>
          </cell>
          <cell r="AK66" t="str">
            <v>TGX4X4HYDRO48 MONTHS/300 000 KMDrivelineYes</v>
          </cell>
          <cell r="AL66">
            <v>37485</v>
          </cell>
        </row>
        <row r="67">
          <cell r="G67" t="str">
            <v>TGX4X436 MONTHS/225 000 KM60 MONTHS/750 000 KMCombinationYes</v>
          </cell>
          <cell r="H67">
            <v>73500</v>
          </cell>
          <cell r="AC67" t="str">
            <v>TGX4X448 MONTHS/400 000 KMEntire VehicleYes</v>
          </cell>
          <cell r="AD67">
            <v>134505</v>
          </cell>
          <cell r="AK67" t="str">
            <v>TGX4X4HYDRO48 MONTHS/400 000 KMDrivelineYes</v>
          </cell>
          <cell r="AL67">
            <v>48510</v>
          </cell>
        </row>
        <row r="68">
          <cell r="G68" t="str">
            <v>TGX4X436 MONTHS/450 000 KM48 MONTHS/600 000 KMCombinationNo</v>
          </cell>
          <cell r="H68">
            <v>98490</v>
          </cell>
          <cell r="AC68" t="str">
            <v>TGX4X448 MONTHS/500 000 KMEntire VehicleYes</v>
          </cell>
          <cell r="AD68">
            <v>165375</v>
          </cell>
          <cell r="AK68" t="str">
            <v>TGX4X4HYDRO48 MONTHS/500 000 KMDrivelineYes</v>
          </cell>
          <cell r="AL68">
            <v>56595</v>
          </cell>
        </row>
        <row r="69">
          <cell r="G69" t="str">
            <v>TGX4X436 MONTHS/450 000 KM48 MONTHS/600 000 KMCombinationYes</v>
          </cell>
          <cell r="H69">
            <v>85260</v>
          </cell>
          <cell r="AC69" t="str">
            <v>TGX4X448 MONTHS/600 000 KMEntire VehicleYes</v>
          </cell>
          <cell r="AD69">
            <v>169785</v>
          </cell>
          <cell r="AK69" t="str">
            <v>TGX4X4HYDRO48 MONTHS/600 000 KMDrivelineYes</v>
          </cell>
          <cell r="AL69">
            <v>58065</v>
          </cell>
        </row>
        <row r="70">
          <cell r="G70" t="str">
            <v>TGX4X436 MONTHS/450 000 KM60 MONTHS/750 000 KMCombinationNo</v>
          </cell>
          <cell r="H70">
            <v>169479.54545454544</v>
          </cell>
          <cell r="AC70" t="str">
            <v>TGX4X460 MONTHS/125 000 KMEntire VehicleYes</v>
          </cell>
          <cell r="AD70">
            <v>156555</v>
          </cell>
          <cell r="AK70" t="str">
            <v>TGX4X4HYDRO60 MONTHS/125 000 KMDrivelineYes</v>
          </cell>
          <cell r="AL70">
            <v>56595</v>
          </cell>
        </row>
        <row r="71">
          <cell r="G71" t="str">
            <v>TGX4X436 MONTHS/450 000 KM60 MONTHS/750 000 KMCombinationYes</v>
          </cell>
          <cell r="H71">
            <v>147735</v>
          </cell>
          <cell r="AC71" t="str">
            <v>TGX4X460 MONTHS/250 000 KMEntire VehicleYes</v>
          </cell>
          <cell r="AD71">
            <v>184485</v>
          </cell>
          <cell r="AK71" t="str">
            <v>TGX4X4HYDRO60 MONTHS/250 000 KMDrivelineYes</v>
          </cell>
          <cell r="AL71">
            <v>66885</v>
          </cell>
        </row>
        <row r="72">
          <cell r="G72" t="str">
            <v>TGX4X448 MONTHS/300 000 KM60 MONTHS/750 000 KMCombinationNo</v>
          </cell>
          <cell r="H72">
            <v>149940</v>
          </cell>
          <cell r="AC72" t="str">
            <v>TGX4X460 MONTHS/375 000 KMEntire VehicleYes</v>
          </cell>
          <cell r="AD72">
            <v>216090</v>
          </cell>
          <cell r="AK72" t="str">
            <v>TGX4X4HYDRO60 MONTHS/375 000 KMDrivelineYes</v>
          </cell>
          <cell r="AL72">
            <v>77910</v>
          </cell>
        </row>
        <row r="73">
          <cell r="G73" t="str">
            <v>TGX4X448 MONTHS/300 000 KM60 MONTHS/750 000 KMCombinationNo</v>
          </cell>
          <cell r="H73">
            <v>266805</v>
          </cell>
          <cell r="AC73" t="str">
            <v>TGX4X460 MONTHS/500 000 KMEntire VehicleYes</v>
          </cell>
          <cell r="AD73">
            <v>282240</v>
          </cell>
          <cell r="AK73" t="str">
            <v>TGX4X4HYDRO60 MONTHS/500 000 KMDrivelineYes</v>
          </cell>
          <cell r="AL73">
            <v>102165</v>
          </cell>
        </row>
        <row r="74">
          <cell r="G74" t="str">
            <v>TGX4X448 MONTHS/300 000 KM60 MONTHS/750 000 KMCombinationYes</v>
          </cell>
          <cell r="H74">
            <v>130830</v>
          </cell>
          <cell r="AC74" t="str">
            <v>TGX4X460 MONTHS/625 000 KMEntire VehicleYes</v>
          </cell>
          <cell r="AD74">
            <v>347655</v>
          </cell>
          <cell r="AK74" t="str">
            <v>TGX4X4HYDRO60 MONTHS/625 000 KMDrivelineYes</v>
          </cell>
          <cell r="AL74">
            <v>118335</v>
          </cell>
        </row>
        <row r="75">
          <cell r="G75" t="str">
            <v>TGX4X448 MONTHS/300 000 KM60 MONTHS/750 000 KMCombinationYes</v>
          </cell>
          <cell r="H75">
            <v>232260</v>
          </cell>
          <cell r="AC75" t="str">
            <v>TGX4X460 MONTHS/750 000 KMEntire VehicleYes</v>
          </cell>
          <cell r="AD75">
            <v>356475</v>
          </cell>
          <cell r="AK75" t="str">
            <v>TGX4X4HYDRO60 MONTHS/750 000 KMDrivelineYes</v>
          </cell>
          <cell r="AL75">
            <v>128625</v>
          </cell>
        </row>
        <row r="76">
          <cell r="G76" t="str">
            <v>TGX6X224 MONTHS/300 000 KM36 MONTHS/450 000 KMCombinationNo</v>
          </cell>
          <cell r="H76">
            <v>30135</v>
          </cell>
          <cell r="AC76" t="str">
            <v>TGX4X4HYDRO24 MONTHS/100 000 KMEntire VehicleYes</v>
          </cell>
          <cell r="AD76">
            <v>8820</v>
          </cell>
          <cell r="AK76" t="str">
            <v>TGX6X236 MONTHS/225 000 KMDrivelineNo</v>
          </cell>
          <cell r="AL76">
            <v>9555</v>
          </cell>
        </row>
        <row r="77">
          <cell r="G77" t="str">
            <v>TGX6X224 MONTHS/300 000 KM36 MONTHS/450 000 KMCombinationYes</v>
          </cell>
          <cell r="H77">
            <v>25725</v>
          </cell>
          <cell r="AC77" t="str">
            <v>TGX4X4HYDRO24 MONTHS/150 000 KMEntire VehicleYes</v>
          </cell>
          <cell r="AD77">
            <v>10290</v>
          </cell>
          <cell r="AK77" t="str">
            <v>TGX6X236 MONTHS/225 000 KMDrivelineYes</v>
          </cell>
          <cell r="AL77">
            <v>8085</v>
          </cell>
        </row>
        <row r="78">
          <cell r="G78" t="str">
            <v>TGX6X224 MONTHS/300 000 KM48 MONTHS/600 000 KMCombinationNo</v>
          </cell>
          <cell r="H78">
            <v>47040</v>
          </cell>
          <cell r="AC78" t="str">
            <v>TGX4X4HYDRO24 MONTHS/200 000 KMEntire VehicleYes</v>
          </cell>
          <cell r="AD78">
            <v>13230</v>
          </cell>
          <cell r="AK78" t="str">
            <v>TGX6X236 MONTHS/300 000 KMDrivelineNo</v>
          </cell>
          <cell r="AL78">
            <v>11025</v>
          </cell>
        </row>
        <row r="79">
          <cell r="G79" t="str">
            <v>TGX6X224 MONTHS/300 000 KM48 MONTHS/600 000 KMCombinationYes</v>
          </cell>
          <cell r="H79">
            <v>40425</v>
          </cell>
          <cell r="AC79" t="str">
            <v>TGX4X4HYDRO24 MONTHS/250 000 KMEntire VehicleYes</v>
          </cell>
          <cell r="AD79">
            <v>17640</v>
          </cell>
          <cell r="AK79" t="str">
            <v>TGX6X236 MONTHS/300 000 KMDrivelineYes</v>
          </cell>
          <cell r="AL79">
            <v>9555</v>
          </cell>
        </row>
        <row r="80">
          <cell r="G80" t="str">
            <v>TGX6X224 MONTHS/300 000 KM60 MONTHS/750 000 KMCombinationNo</v>
          </cell>
          <cell r="H80">
            <v>69825</v>
          </cell>
          <cell r="AC80" t="str">
            <v>TGX4X4HYDRO24 MONTHS/300 000 KMEntire VehicleYes</v>
          </cell>
          <cell r="AD80">
            <v>19110</v>
          </cell>
          <cell r="AK80" t="str">
            <v>TGX6X236 MONTHS/375 000 KMDrivelineNo</v>
          </cell>
          <cell r="AL80">
            <v>13965</v>
          </cell>
        </row>
        <row r="81">
          <cell r="G81" t="str">
            <v>TGX6X224 MONTHS/300 000 KM60 MONTHS/750 000 KMCombinationYes</v>
          </cell>
          <cell r="H81">
            <v>60270</v>
          </cell>
          <cell r="AC81" t="str">
            <v>TGX4X4HYDRO24 MONTHS/50 000 KMEntire VehicleYes</v>
          </cell>
          <cell r="AD81">
            <v>6615</v>
          </cell>
          <cell r="AK81" t="str">
            <v>TGX6X236 MONTHS/375 000 KMDrivelineYes</v>
          </cell>
          <cell r="AL81">
            <v>11760</v>
          </cell>
        </row>
        <row r="82">
          <cell r="G82" t="str">
            <v>TGX6X224 MONTHS/400 000 KM36 MONTHS/600 000 KMCombinationNo</v>
          </cell>
          <cell r="H82">
            <v>38220</v>
          </cell>
          <cell r="AC82" t="str">
            <v>TGX4X4HYDRO36 MONTHS/150 000 KMEntire VehicleYes</v>
          </cell>
          <cell r="AD82">
            <v>34545</v>
          </cell>
          <cell r="AK82" t="str">
            <v>TGX6X236 MONTHS/450 000 KMDrivelineNo</v>
          </cell>
          <cell r="AL82">
            <v>16170</v>
          </cell>
        </row>
        <row r="83">
          <cell r="G83" t="str">
            <v>TGX6X224 MONTHS/400 000 KM36 MONTHS/600 000 KMCombinationYes</v>
          </cell>
          <cell r="H83">
            <v>33075</v>
          </cell>
          <cell r="AC83" t="str">
            <v>TGX4X4HYDRO36 MONTHS/225 000 KMEntire VehicleYes</v>
          </cell>
          <cell r="AD83">
            <v>40425</v>
          </cell>
          <cell r="AK83" t="str">
            <v>TGX6X236 MONTHS/450 000 KMDrivelineYes</v>
          </cell>
          <cell r="AL83">
            <v>13965</v>
          </cell>
        </row>
        <row r="84">
          <cell r="G84" t="str">
            <v>TGX6X224 MONTHS/400 000 KM48 MONTHS/800 000 KMCombinationNo</v>
          </cell>
          <cell r="H84">
            <v>68355</v>
          </cell>
          <cell r="AC84" t="str">
            <v>TGX4X4HYDRO36 MONTHS/300 000 KMEntire VehicleYes</v>
          </cell>
          <cell r="AD84">
            <v>52185</v>
          </cell>
          <cell r="AK84" t="str">
            <v>TGX6X236 MONTHS/525 000 KMDrivelineNo</v>
          </cell>
          <cell r="AL84">
            <v>19110</v>
          </cell>
        </row>
        <row r="85">
          <cell r="G85" t="str">
            <v>TGX6X224 MONTHS/400 000 KM48 MONTHS/800 000 KMCombinationYes</v>
          </cell>
          <cell r="H85">
            <v>58800</v>
          </cell>
          <cell r="AC85" t="str">
            <v>TGX4X4HYDRO36 MONTHS/375 000 KMEntire VehicleYes</v>
          </cell>
          <cell r="AD85">
            <v>64680</v>
          </cell>
          <cell r="AK85" t="str">
            <v>TGX6X236 MONTHS/525 000 KMDrivelineYes</v>
          </cell>
          <cell r="AL85">
            <v>16170</v>
          </cell>
        </row>
        <row r="86">
          <cell r="G86" t="str">
            <v>TGX6X224 MONTHS/400 000 KM60 MONTHS/1000 000 KMCombinationNo</v>
          </cell>
          <cell r="H86">
            <v>96285</v>
          </cell>
          <cell r="AC86" t="str">
            <v>TGX4X4HYDRO36 MONTHS/450 000 KMEntire VehicleYes</v>
          </cell>
          <cell r="AD86">
            <v>66885</v>
          </cell>
          <cell r="AK86" t="str">
            <v>TGX6X236 MONTHS/600 000 KMDrivelineNo</v>
          </cell>
          <cell r="AL86">
            <v>22050</v>
          </cell>
        </row>
        <row r="87">
          <cell r="G87" t="str">
            <v>TGX6X224 MONTHS/400 000 KM60 MONTHS/1000 000 KMCombinationYes</v>
          </cell>
          <cell r="H87">
            <v>83055</v>
          </cell>
          <cell r="AC87" t="str">
            <v>TGX4X4HYDRO36 MONTHS/75 000 KMEntire VehicleYes</v>
          </cell>
          <cell r="AD87">
            <v>29400</v>
          </cell>
          <cell r="AK87" t="str">
            <v>TGX6X236 MONTHS/600 000 KMDrivelineYes</v>
          </cell>
          <cell r="AL87">
            <v>19110</v>
          </cell>
        </row>
        <row r="88">
          <cell r="G88" t="str">
            <v>TGX6X236 MONTHS/450 000 KM48 MONTHS/600 000 KMCombinationNo</v>
          </cell>
          <cell r="H88">
            <v>57330</v>
          </cell>
          <cell r="AC88" t="str">
            <v>TGX4X4HYDRO48 MONTHS/100 000 KMEntire VehicleYes</v>
          </cell>
          <cell r="AD88">
            <v>79830</v>
          </cell>
          <cell r="AK88" t="str">
            <v>TGX6X248 MONTHS/300 000 KMDrivelineNo</v>
          </cell>
          <cell r="AL88">
            <v>12495</v>
          </cell>
        </row>
        <row r="89">
          <cell r="G89" t="str">
            <v>TGX6X236 MONTHS/450 000 KM48 MONTHS/600 000 KMCombinationYes</v>
          </cell>
          <cell r="H89">
            <v>49245</v>
          </cell>
          <cell r="AC89" t="str">
            <v>TGX4X4HYDRO48 MONTHS/200 000 KMEntire VehicleYes</v>
          </cell>
          <cell r="AD89">
            <v>92610</v>
          </cell>
          <cell r="AK89" t="str">
            <v>TGX6X248 MONTHS/300 000 KMDrivelineYes</v>
          </cell>
          <cell r="AL89">
            <v>10290</v>
          </cell>
        </row>
        <row r="90">
          <cell r="G90" t="str">
            <v>TGX6X236 MONTHS/450 000 KM60 MONTHS/750 000 KMCombinationNo</v>
          </cell>
          <cell r="H90">
            <v>80115</v>
          </cell>
          <cell r="AC90" t="str">
            <v>TGX4X4HYDRO48 MONTHS/300 000 KMEntire VehicleYes</v>
          </cell>
          <cell r="AD90">
            <v>108045</v>
          </cell>
          <cell r="AK90" t="str">
            <v>TGX6X248 MONTHS/400 000 KMDrivelineNo</v>
          </cell>
          <cell r="AL90">
            <v>16905</v>
          </cell>
        </row>
        <row r="91">
          <cell r="G91" t="str">
            <v>TGX6X236 MONTHS/450 000 KM60 MONTHS/750 000 KMCombinationYes</v>
          </cell>
          <cell r="H91">
            <v>69090</v>
          </cell>
          <cell r="AC91" t="str">
            <v>TGX4X4HYDRO48 MONTHS/400 000 KMEntire VehicleYes</v>
          </cell>
          <cell r="AD91">
            <v>141855</v>
          </cell>
          <cell r="AK91" t="str">
            <v>TGX6X248 MONTHS/400 000 KMDrivelineYes</v>
          </cell>
          <cell r="AL91">
            <v>14700</v>
          </cell>
        </row>
        <row r="92">
          <cell r="G92" t="str">
            <v>TGX6X236 MONTHS/600 000 KM48 MONTHS/800 000 KMCombinationNo</v>
          </cell>
          <cell r="H92">
            <v>80115</v>
          </cell>
          <cell r="AC92" t="str">
            <v>TGX4X4HYDRO48 MONTHS/500 000 KMEntire VehicleYes</v>
          </cell>
          <cell r="AD92">
            <v>174195</v>
          </cell>
          <cell r="AK92" t="str">
            <v>TGX6X248 MONTHS/500 000 KMDrivelineNo</v>
          </cell>
          <cell r="AL92">
            <v>24255</v>
          </cell>
        </row>
        <row r="93">
          <cell r="G93" t="str">
            <v>TGX6X236 MONTHS/600 000 KM48 MONTHS/800 000 KMCombinationYes</v>
          </cell>
          <cell r="H93">
            <v>69090</v>
          </cell>
          <cell r="AC93" t="str">
            <v>TGX4X4HYDRO48 MONTHS/600 000 KMEntire VehicleYes</v>
          </cell>
          <cell r="AD93">
            <v>178605</v>
          </cell>
          <cell r="AK93" t="str">
            <v>TGX6X248 MONTHS/500 000 KMDrivelineYes</v>
          </cell>
          <cell r="AL93">
            <v>20580</v>
          </cell>
        </row>
        <row r="94">
          <cell r="G94" t="str">
            <v>TGX6X236 MONTHS/600 000 KM60 MONTHS/1000 000 KMCombinationNo</v>
          </cell>
          <cell r="H94">
            <v>108045</v>
          </cell>
          <cell r="AC94" t="str">
            <v>TGX4X4HYDRO60 MONTHS/125 000 KMEntire VehicleYes</v>
          </cell>
          <cell r="AD94">
            <v>164640</v>
          </cell>
          <cell r="AK94" t="str">
            <v>TGX6X248 MONTHS/600 000 KMDrivelineNo</v>
          </cell>
          <cell r="AL94">
            <v>33075</v>
          </cell>
        </row>
        <row r="95">
          <cell r="G95" t="str">
            <v>TGX6X236 MONTHS/600 000 KM60 MONTHS/1000 000 KMCombinationYes</v>
          </cell>
          <cell r="H95">
            <v>93345</v>
          </cell>
          <cell r="AC95" t="str">
            <v>TGX4X4HYDRO60 MONTHS/250 000 KMEntire VehicleYes</v>
          </cell>
          <cell r="AD95">
            <v>194040</v>
          </cell>
          <cell r="AK95" t="str">
            <v>TGX6X248 MONTHS/600 000 KMDrivelineYes</v>
          </cell>
          <cell r="AL95">
            <v>28665</v>
          </cell>
        </row>
        <row r="96">
          <cell r="G96" t="str">
            <v>TGX6X248 MONTHS/600 000 KM60 MONTHS/750 000 KMCombinationNo</v>
          </cell>
          <cell r="H96">
            <v>110985</v>
          </cell>
          <cell r="AC96" t="str">
            <v>TGX4X4HYDRO60 MONTHS/375 000 KMEntire VehicleYes</v>
          </cell>
          <cell r="AD96">
            <v>227115</v>
          </cell>
          <cell r="AK96" t="str">
            <v>TGX6X248 MONTHS/700 000 KMDrivelineNo</v>
          </cell>
          <cell r="AL96">
            <v>42630</v>
          </cell>
        </row>
        <row r="97">
          <cell r="G97" t="str">
            <v>TGX6X248 MONTHS/600 000 KM60 MONTHS/750 000 KMCombinationYes</v>
          </cell>
          <cell r="H97">
            <v>96285</v>
          </cell>
          <cell r="AC97" t="str">
            <v>TGX4X4HYDRO60 MONTHS/500 000 KMEntire VehicleYes</v>
          </cell>
          <cell r="AD97">
            <v>296940</v>
          </cell>
          <cell r="AK97" t="str">
            <v>TGX6X248 MONTHS/700 000 KMDrivelineYes</v>
          </cell>
          <cell r="AL97">
            <v>36750</v>
          </cell>
        </row>
        <row r="98">
          <cell r="G98" t="str">
            <v>TGX6X248 MONTHS/800 000 KM60 MONTHS/1000 000 KMCombinationNo</v>
          </cell>
          <cell r="H98">
            <v>128625</v>
          </cell>
          <cell r="AC98" t="str">
            <v>TGX4X4HYDRO60 MONTHS/625 000 KMEntire VehicleYes</v>
          </cell>
          <cell r="AD98">
            <v>365295</v>
          </cell>
          <cell r="AK98" t="str">
            <v>TGX6X248 MONTHS/800 000 KMDrivelineNo</v>
          </cell>
          <cell r="AL98">
            <v>52185</v>
          </cell>
        </row>
        <row r="99">
          <cell r="G99" t="str">
            <v>TGX6X248 MONTHS/800 000 KM60 MONTHS/1000 000 KMCombinationYes</v>
          </cell>
          <cell r="H99">
            <v>111720</v>
          </cell>
          <cell r="AC99" t="str">
            <v>TGX4X4HYDRO60 MONTHS/750 000 KMEntire VehicleYes</v>
          </cell>
          <cell r="AD99">
            <v>374850</v>
          </cell>
          <cell r="AK99" t="str">
            <v>TGX6X248 MONTHS/800 000 KMDrivelineYes</v>
          </cell>
          <cell r="AL99">
            <v>44835</v>
          </cell>
        </row>
        <row r="100">
          <cell r="G100" t="str">
            <v>TGX6X4 H/D (ABN)24 MONTHS/150 000 KM36 MONTHS/225 000 KMCombinationNo</v>
          </cell>
          <cell r="H100">
            <v>71295</v>
          </cell>
          <cell r="AC100" t="str">
            <v>TGX6X224 MONTHS/150 000 KMEntire VehicleNo</v>
          </cell>
          <cell r="AD100">
            <v>7350</v>
          </cell>
          <cell r="AK100" t="str">
            <v>TGX6X260 MONTHS/1 000 000 KMDrivelineNo</v>
          </cell>
          <cell r="AL100">
            <v>80115</v>
          </cell>
        </row>
        <row r="101">
          <cell r="G101" t="str">
            <v>TGX6X4 H/D (ABN)24 MONTHS/150 000 KM36 MONTHS/225 000 KMCombinationYes</v>
          </cell>
          <cell r="H101">
            <v>26460</v>
          </cell>
          <cell r="AC101" t="str">
            <v>TGX6X224 MONTHS/150 000 KMEntire VehicleYes</v>
          </cell>
          <cell r="AD101">
            <v>5880</v>
          </cell>
          <cell r="AK101" t="str">
            <v>TGX6X260 MONTHS/1 000 000 KMDrivelineYes</v>
          </cell>
          <cell r="AL101">
            <v>69090</v>
          </cell>
        </row>
        <row r="102">
          <cell r="G102" t="str">
            <v>TGX6X4 H/D (ABN)24 MONTHS/150 000 KM48 MONTHS/300 000 KMCombinationNo</v>
          </cell>
          <cell r="H102">
            <v>111720</v>
          </cell>
          <cell r="AC102" t="str">
            <v>TGX6X224 MONTHS/200 000 KMEntire VehicleNo</v>
          </cell>
          <cell r="AD102">
            <v>8820</v>
          </cell>
          <cell r="AK102" t="str">
            <v>TGX6X260 MONTHS/375 000 KMDrivelineNo</v>
          </cell>
          <cell r="AL102">
            <v>24990</v>
          </cell>
        </row>
        <row r="103">
          <cell r="G103" t="str">
            <v>TGX6X4 H/D (ABN)24 MONTHS/150 000 KM48 MONTHS/300 000 KMCombinationYes</v>
          </cell>
          <cell r="H103">
            <v>47775</v>
          </cell>
          <cell r="AC103" t="str">
            <v>TGX6X224 MONTHS/200 000 KMEntire VehicleYes</v>
          </cell>
          <cell r="AD103">
            <v>7350</v>
          </cell>
          <cell r="AK103" t="str">
            <v>TGX6X260 MONTHS/375 000 KMDrivelineYes</v>
          </cell>
          <cell r="AL103">
            <v>21315</v>
          </cell>
        </row>
        <row r="104">
          <cell r="G104" t="str">
            <v>TGX6X4 H/D (ABN)24 MONTHS/150 000 KM60 MONTHS/375 000 KMCombinationNo</v>
          </cell>
          <cell r="H104">
            <v>212415</v>
          </cell>
          <cell r="AC104" t="str">
            <v>TGX6X224 MONTHS/250 000 KMEntire VehicleNo</v>
          </cell>
          <cell r="AD104">
            <v>11025</v>
          </cell>
          <cell r="AK104" t="str">
            <v>TGX6X260 MONTHS/500 000 KMDrivelineNo</v>
          </cell>
          <cell r="AL104">
            <v>33810</v>
          </cell>
        </row>
        <row r="105">
          <cell r="G105" t="str">
            <v>TGX6X4 H/D (ABN)24 MONTHS/150 000 KM60 MONTHS/375 000 KMCombinationYes</v>
          </cell>
          <cell r="H105">
            <v>88200</v>
          </cell>
          <cell r="AC105" t="str">
            <v>TGX6X224 MONTHS/250 000 KMEntire VehicleYes</v>
          </cell>
          <cell r="AD105">
            <v>9555</v>
          </cell>
          <cell r="AK105" t="str">
            <v>TGX6X260 MONTHS/500 000 KMDrivelineYes</v>
          </cell>
          <cell r="AL105">
            <v>29400</v>
          </cell>
        </row>
        <row r="106">
          <cell r="G106" t="str">
            <v>TGX6X4 H/D (ABN)24 MONTHS/300 000 KM36 MONTHS/450 000 KMCombinationNo</v>
          </cell>
          <cell r="H106">
            <v>126420</v>
          </cell>
          <cell r="AC106" t="str">
            <v>TGX6X224 MONTHS/300 000 KMEntire VehicleNo</v>
          </cell>
          <cell r="AD106">
            <v>13965</v>
          </cell>
          <cell r="AK106" t="str">
            <v>TGX6X260 MONTHS/625 000 KMDrivelineNo</v>
          </cell>
          <cell r="AL106">
            <v>44100</v>
          </cell>
        </row>
        <row r="107">
          <cell r="G107" t="str">
            <v>TGX6X4 H/D (ABN)24 MONTHS/300 000 KM36 MONTHS/450 000 KMCombinationYes</v>
          </cell>
          <cell r="H107">
            <v>45312.272727272721</v>
          </cell>
          <cell r="AC107" t="str">
            <v>TGX6X224 MONTHS/300 000 KMEntire VehicleYes</v>
          </cell>
          <cell r="AD107">
            <v>11760</v>
          </cell>
          <cell r="AK107" t="str">
            <v>TGX6X260 MONTHS/625 000 KMDrivelineYes</v>
          </cell>
          <cell r="AL107">
            <v>38220</v>
          </cell>
        </row>
        <row r="108">
          <cell r="G108" t="str">
            <v>TGX6X4 H/D (ABN)24 MONTHS/300 000 KM48 MONTHS/600 000 KMCombinationNo</v>
          </cell>
          <cell r="H108">
            <v>193305</v>
          </cell>
          <cell r="AC108" t="str">
            <v>TGX6X224 MONTHS/350 000 KMEntire VehicleNo</v>
          </cell>
          <cell r="AD108">
            <v>15435</v>
          </cell>
          <cell r="AK108" t="str">
            <v>TGX6X260 MONTHS/750 000 KMDrivelineNo</v>
          </cell>
          <cell r="AL108">
            <v>55860</v>
          </cell>
        </row>
        <row r="109">
          <cell r="G109" t="str">
            <v>TGX6X4 H/D (ABN)24 MONTHS/300 000 KM48 MONTHS/600 000 KMCombinationYes</v>
          </cell>
          <cell r="H109">
            <v>77175</v>
          </cell>
          <cell r="AC109" t="str">
            <v>TGX6X224 MONTHS/350 000 KMEntire VehicleYes</v>
          </cell>
          <cell r="AD109">
            <v>13230</v>
          </cell>
          <cell r="AK109" t="str">
            <v>TGX6X260 MONTHS/750 000 KMDrivelineYes</v>
          </cell>
          <cell r="AL109">
            <v>48510</v>
          </cell>
        </row>
        <row r="110">
          <cell r="G110" t="str">
            <v>TGX6X4 H/D (ABN)24 MONTHS/300 000 KM60 MONTHS/750 000 KMCombinationNo</v>
          </cell>
          <cell r="H110">
            <v>360150</v>
          </cell>
          <cell r="AC110" t="str">
            <v>TGX6X224 MONTHS/400 000 KMEntire VehicleNo</v>
          </cell>
          <cell r="AD110">
            <v>16170</v>
          </cell>
          <cell r="AK110" t="str">
            <v>TGX6X260 MONTHS/875 000 KMDrivelineNo</v>
          </cell>
          <cell r="AL110">
            <v>58065</v>
          </cell>
        </row>
        <row r="111">
          <cell r="G111" t="str">
            <v>TGX6X4 H/D (ABN)24 MONTHS/300 000 KM60 MONTHS/750 000 KMCombinationYes</v>
          </cell>
          <cell r="H111">
            <v>147735</v>
          </cell>
          <cell r="AC111" t="str">
            <v>TGX6X224 MONTHS/400 000 KMEntire VehicleYes</v>
          </cell>
          <cell r="AD111">
            <v>13965</v>
          </cell>
          <cell r="AK111" t="str">
            <v>TGX6X260 MONTHS/875 000 KMDrivelineYes</v>
          </cell>
          <cell r="AL111">
            <v>58065</v>
          </cell>
        </row>
        <row r="112">
          <cell r="G112" t="str">
            <v>TGX6X4 H/D (ABN)36 MONTHS/225 000 KM48 MONTHS/300 000 KM CombinationNo</v>
          </cell>
          <cell r="H112">
            <v>132300</v>
          </cell>
          <cell r="AC112" t="str">
            <v>TGX6X236 MONTHS/225 000 KMEntire VehicleNo</v>
          </cell>
          <cell r="AD112">
            <v>25725</v>
          </cell>
          <cell r="AK112" t="str">
            <v>TGX6X436 MONTHS/150 000 KMDrivelineYes</v>
          </cell>
          <cell r="AL112">
            <v>11760</v>
          </cell>
        </row>
        <row r="113">
          <cell r="G113" t="str">
            <v>TGX6X4 H/D (ABN)36 MONTHS/225 000 KM48 MONTHS/300 000 KM CombinationYes</v>
          </cell>
          <cell r="H113">
            <v>61740</v>
          </cell>
          <cell r="AC113" t="str">
            <v>TGX6X236 MONTHS/225 000 KMEntire VehicleYes</v>
          </cell>
          <cell r="AD113">
            <v>22050</v>
          </cell>
          <cell r="AK113" t="str">
            <v>TGX6X436 MONTHS/225 000 KMDrivelineYes</v>
          </cell>
          <cell r="AL113">
            <v>13230</v>
          </cell>
        </row>
        <row r="114">
          <cell r="G114" t="str">
            <v>TGX6X4 H/D (ABN)36 MONTHS/225 000 KM60 MONTHS/750 000 KMCombinationNo</v>
          </cell>
          <cell r="H114">
            <v>232995</v>
          </cell>
          <cell r="AC114" t="str">
            <v>TGX6X236 MONTHS/300 000 KMEntire VehicleNo</v>
          </cell>
          <cell r="AD114">
            <v>29400</v>
          </cell>
          <cell r="AK114" t="str">
            <v>TGX6X436 MONTHS/300 000 KMDrivelineYes</v>
          </cell>
          <cell r="AL114">
            <v>16905</v>
          </cell>
        </row>
        <row r="115">
          <cell r="G115" t="str">
            <v>TGX6X4 H/D (ABN)36 MONTHS/225 000 KM60 MONTHS/750 000 KMCombinationYes</v>
          </cell>
          <cell r="H115">
            <v>102165</v>
          </cell>
          <cell r="AC115" t="str">
            <v>TGX6X236 MONTHS/300 000 KMEntire VehicleYes</v>
          </cell>
          <cell r="AD115">
            <v>24990</v>
          </cell>
          <cell r="AK115" t="str">
            <v>TGX6X436 MONTHS/375 000 KMDrivelineYes</v>
          </cell>
          <cell r="AL115">
            <v>20580</v>
          </cell>
        </row>
        <row r="116">
          <cell r="G116" t="str">
            <v>TGX6X4 H/D (ABN)36 MONTHS/450 000 KM48 MONTHS/600 000 KMCombinationNo</v>
          </cell>
          <cell r="H116">
            <v>216825</v>
          </cell>
          <cell r="AC116" t="str">
            <v>TGX6X236 MONTHS/375 000 KMEntire VehicleNo</v>
          </cell>
          <cell r="AD116">
            <v>35280</v>
          </cell>
          <cell r="AK116" t="str">
            <v>TGX6X436 MONTHS/450 000 KMDrivelineYes</v>
          </cell>
          <cell r="AL116">
            <v>21315</v>
          </cell>
        </row>
        <row r="117">
          <cell r="G117" t="str">
            <v>TGX6X4 H/D (ABN)36 MONTHS/450 000 KM48 MONTHS/600 000 KMCombinationYes</v>
          </cell>
          <cell r="H117">
            <v>98490</v>
          </cell>
          <cell r="AC117" t="str">
            <v>TGX6X236 MONTHS/375 000 KMEntire VehicleYes</v>
          </cell>
          <cell r="AD117">
            <v>30135</v>
          </cell>
          <cell r="AK117" t="str">
            <v>TGX6X436 MONTHS/75 000 KMDrivelineYes</v>
          </cell>
          <cell r="AL117">
            <v>7350</v>
          </cell>
        </row>
        <row r="118">
          <cell r="G118" t="str">
            <v>TGX6X4 H/D (ABN)36 MONTHS/450 000 KM60 MONTHS/750 000 KMCombinationNo</v>
          </cell>
          <cell r="H118">
            <v>383670</v>
          </cell>
          <cell r="AC118" t="str">
            <v>TGX6X236 MONTHS/450 000 KMEntire VehicleNo</v>
          </cell>
          <cell r="AD118">
            <v>40425</v>
          </cell>
          <cell r="AK118" t="str">
            <v>TGX6X448 MONTHS/100 000 KMDrivelineYes</v>
          </cell>
          <cell r="AL118">
            <v>19110</v>
          </cell>
        </row>
        <row r="119">
          <cell r="G119" t="str">
            <v>TGX6X4 H/D (ABN)36 MONTHS/450 000 KM60 MONTHS/750 000 KMCombinationYes</v>
          </cell>
          <cell r="H119">
            <v>169050</v>
          </cell>
          <cell r="AC119" t="str">
            <v>TGX6X236 MONTHS/450 000 KMEntire VehicleYes</v>
          </cell>
          <cell r="AD119">
            <v>34545</v>
          </cell>
          <cell r="AK119" t="str">
            <v>TGX6X448 MONTHS/200 000 KMDrivelineYes</v>
          </cell>
          <cell r="AL119">
            <v>22050</v>
          </cell>
        </row>
        <row r="120">
          <cell r="G120" t="str">
            <v>TGX6X4 H/D (ABN)48 MONTHS/300 000 KM60 MONTHS/750 000 KMCombinationNo</v>
          </cell>
          <cell r="H120">
            <v>278565</v>
          </cell>
          <cell r="AC120" t="str">
            <v>TGX6X236 MONTHS/525 000 KMEntire VehicleNo</v>
          </cell>
          <cell r="AD120">
            <v>44835</v>
          </cell>
          <cell r="AK120" t="str">
            <v>TGX6X448 MONTHS/300 000 KMDrivelineYes</v>
          </cell>
          <cell r="AL120">
            <v>25725</v>
          </cell>
        </row>
        <row r="121">
          <cell r="G121" t="str">
            <v>TGX6X4 H/D (ABN)48 MONTHS/300 000 KM60 MONTHS/750 000 KMCombinationNo</v>
          </cell>
          <cell r="H121">
            <v>460845</v>
          </cell>
          <cell r="AC121" t="str">
            <v>TGX6X236 MONTHS/525 000 KMEntire VehicleYes</v>
          </cell>
          <cell r="AD121">
            <v>38955</v>
          </cell>
          <cell r="AK121" t="str">
            <v>TGX6X448 MONTHS/400 000 KMDrivelineYes</v>
          </cell>
          <cell r="AL121">
            <v>33810</v>
          </cell>
        </row>
        <row r="122">
          <cell r="G122" t="str">
            <v>TGX6X4 H/D (ABN)48 MONTHS/300 000 KM60 MONTHS/750 000 KMCombinationYes</v>
          </cell>
          <cell r="H122">
            <v>148470</v>
          </cell>
          <cell r="AC122" t="str">
            <v>TGX6X236 MONTHS/600 000 KMEntire VehicleNo</v>
          </cell>
          <cell r="AD122">
            <v>49980</v>
          </cell>
          <cell r="AK122" t="str">
            <v>TGX6X448 MONTHS/500 000 KMDrivelineYes</v>
          </cell>
          <cell r="AL122">
            <v>47040</v>
          </cell>
        </row>
        <row r="123">
          <cell r="G123" t="str">
            <v>TGX6X4 H/D (ABN)48 MONTHS/300 000 KM60 MONTHS/750 000 KMCombinationYes</v>
          </cell>
          <cell r="H123">
            <v>249165</v>
          </cell>
          <cell r="AC123" t="str">
            <v>TGX6X236 MONTHS/600 000 KMEntire VehicleYes</v>
          </cell>
          <cell r="AD123">
            <v>43365</v>
          </cell>
          <cell r="AK123" t="str">
            <v>TGX6X448 MONTHS/600 000 KMDrivelineYes</v>
          </cell>
          <cell r="AL123">
            <v>49980</v>
          </cell>
        </row>
        <row r="124">
          <cell r="G124" t="str">
            <v>TGX6X4 H/D24 MONTHS/150 000 KM36 MONTHS/225 000 KMCombinationNo</v>
          </cell>
          <cell r="H124">
            <v>31605</v>
          </cell>
          <cell r="AC124" t="str">
            <v>TGX6X248 MONTHS/300 000 KMEntire VehicleNo</v>
          </cell>
          <cell r="AD124">
            <v>50715</v>
          </cell>
          <cell r="AK124" t="str">
            <v>TGX6X460 MONTHS/125 000 KMDrivelineYes</v>
          </cell>
          <cell r="AL124">
            <v>38955</v>
          </cell>
        </row>
        <row r="125">
          <cell r="G125" t="str">
            <v>TGX6X4 H/D24 MONTHS/150 000 KM36 MONTHS/225 000 KMCombinationYes</v>
          </cell>
          <cell r="H125">
            <v>61005</v>
          </cell>
          <cell r="AC125" t="str">
            <v>TGX6X248 MONTHS/300 000 KMEntire VehicleYes</v>
          </cell>
          <cell r="AD125">
            <v>44100</v>
          </cell>
          <cell r="AK125" t="str">
            <v>TGX6X460 MONTHS/250 000 KMDrivelineYes</v>
          </cell>
          <cell r="AL125">
            <v>45570</v>
          </cell>
        </row>
        <row r="126">
          <cell r="G126" t="str">
            <v>TGX6X4 H/D24 MONTHS/150 000 KM48 MONTHS/300 000 KMCombinationNo</v>
          </cell>
          <cell r="H126">
            <v>55860</v>
          </cell>
          <cell r="AC126" t="str">
            <v>TGX6X248 MONTHS/400 000 KMEntire VehicleNo</v>
          </cell>
          <cell r="AD126">
            <v>65415</v>
          </cell>
          <cell r="AK126" t="str">
            <v>TGX6X460 MONTHS/375 000 KMDrivelineYes</v>
          </cell>
          <cell r="AL126">
            <v>53655</v>
          </cell>
        </row>
        <row r="127">
          <cell r="G127" t="str">
            <v>TGX6X4 H/D24 MONTHS/150 000 KM48 MONTHS/300 000 KMCombinationYes</v>
          </cell>
          <cell r="H127">
            <v>96285</v>
          </cell>
          <cell r="AC127" t="str">
            <v>TGX6X248 MONTHS/400 000 KMEntire VehicleYes</v>
          </cell>
          <cell r="AD127">
            <v>56595</v>
          </cell>
          <cell r="AK127" t="str">
            <v>TGX6X460 MONTHS/500 000 KMDrivelineYes</v>
          </cell>
          <cell r="AL127">
            <v>80850</v>
          </cell>
        </row>
        <row r="128">
          <cell r="G128" t="str">
            <v>TGX6X4 H/D24 MONTHS/150 000 KM60 MONTHS/375 000 KMCombinationNo</v>
          </cell>
          <cell r="H128">
            <v>102165</v>
          </cell>
          <cell r="AC128" t="str">
            <v>TGX6X248 MONTHS/500 000 KMEntire VehicleNo</v>
          </cell>
          <cell r="AD128">
            <v>80115</v>
          </cell>
          <cell r="AK128" t="str">
            <v>TGX6X460 MONTHS/625 000 KMDrivelineYes</v>
          </cell>
          <cell r="AL128">
            <v>104370</v>
          </cell>
        </row>
        <row r="129">
          <cell r="G129" t="str">
            <v>TGX6X4 H/D24 MONTHS/150 000 KM60 MONTHS/375 000 KMCombinationYes</v>
          </cell>
          <cell r="H129">
            <v>183750</v>
          </cell>
          <cell r="AC129" t="str">
            <v>TGX6X248 MONTHS/500 000 KMEntire VehicleYes</v>
          </cell>
          <cell r="AD129">
            <v>69090</v>
          </cell>
          <cell r="AK129" t="str">
            <v>TGX6X460 MONTHS/750 000 KMDrivelineYes</v>
          </cell>
          <cell r="AL129">
            <v>112455</v>
          </cell>
        </row>
        <row r="130">
          <cell r="G130" t="str">
            <v>TGX6X4 H/D24 MONTHS/300 000 KM36 MONTHS/450 000 KMCombinationNo</v>
          </cell>
          <cell r="H130">
            <v>52920</v>
          </cell>
          <cell r="AC130" t="str">
            <v>TGX6X248 MONTHS/600 000 KMEntire VehicleNo</v>
          </cell>
          <cell r="AD130">
            <v>88200</v>
          </cell>
          <cell r="AK130" t="str">
            <v>TGX6X4H/D36 MONTHS/150 000 KMDrivelineYes</v>
          </cell>
          <cell r="AL130">
            <v>38220</v>
          </cell>
        </row>
        <row r="131">
          <cell r="G131" t="str">
            <v>TGX6X4 H/D24 MONTHS/300 000 KM36 MONTHS/450 000 KMCombinationYes</v>
          </cell>
          <cell r="H131">
            <v>109515</v>
          </cell>
          <cell r="AC131" t="str">
            <v>TGX6X248 MONTHS/600 000 KMEntire VehicleYes</v>
          </cell>
          <cell r="AD131">
            <v>76440</v>
          </cell>
          <cell r="AK131" t="str">
            <v>TGX6X4H/D36 MONTHS/225 000 KMDrivelineYes</v>
          </cell>
          <cell r="AL131">
            <v>44835</v>
          </cell>
        </row>
        <row r="132">
          <cell r="G132" t="str">
            <v>TGX6X4 H/D24 MONTHS/300 000 KM48 MONTHS/600 000 KMCombinationNo</v>
          </cell>
          <cell r="H132">
            <v>88935</v>
          </cell>
          <cell r="AC132" t="str">
            <v>TGX6X248 MONTHS/700 000 KMEntire VehicleNo</v>
          </cell>
          <cell r="AD132">
            <v>94080</v>
          </cell>
          <cell r="AK132" t="str">
            <v>TGX6X4H/D36 MONTHS/300 000 KMDrivelineYes</v>
          </cell>
          <cell r="AL132">
            <v>58065</v>
          </cell>
        </row>
        <row r="133">
          <cell r="G133" t="str">
            <v>TGX6X4 H/D24 MONTHS/300 000 KM48 MONTHS/600 000 KMCombinationYes</v>
          </cell>
          <cell r="H133">
            <v>167580</v>
          </cell>
          <cell r="AC133" t="str">
            <v>TGX6X248 MONTHS/700 000 KMEntire VehicleYes</v>
          </cell>
          <cell r="AD133">
            <v>81585</v>
          </cell>
          <cell r="AK133" t="str">
            <v>TGX6X4H/D36 MONTHS/375 000 KMDrivelineYes</v>
          </cell>
          <cell r="AL133">
            <v>71295</v>
          </cell>
        </row>
        <row r="134">
          <cell r="G134" t="str">
            <v>TGX6X4 H/D24 MONTHS/300 000 KM60 MONTHS/750 000 KMCombinationNo</v>
          </cell>
          <cell r="H134">
            <v>170520</v>
          </cell>
          <cell r="AC134" t="str">
            <v>TGX6X248 MONTHS/800 000 KMEntire VehicleNo</v>
          </cell>
          <cell r="AD134">
            <v>100695</v>
          </cell>
          <cell r="AK134" t="str">
            <v>TGX6X4H/D36 MONTHS/450 000 KMDrivelineYes</v>
          </cell>
          <cell r="AL134">
            <v>73500</v>
          </cell>
        </row>
        <row r="135">
          <cell r="G135" t="str">
            <v>TGX6X4 H/D24 MONTHS/300 000 KM60 MONTHS/750 000 KMCombinationYes</v>
          </cell>
          <cell r="H135">
            <v>312375</v>
          </cell>
          <cell r="AC135" t="str">
            <v>TGX6X248 MONTHS/800 000 KMEntire VehicleYes</v>
          </cell>
          <cell r="AD135">
            <v>87465</v>
          </cell>
          <cell r="AK135" t="str">
            <v>TGX6X4H/D36 MONTHS/75 000 KMDrivelineYes</v>
          </cell>
          <cell r="AL135">
            <v>32340</v>
          </cell>
        </row>
        <row r="136">
          <cell r="G136" t="str">
            <v>TGX6X4 H/D36 MONTHS/225 000 KM48 MONTHS/300 000 KM CombinationNo</v>
          </cell>
          <cell r="H136">
            <v>71295</v>
          </cell>
          <cell r="AC136" t="str">
            <v>TGX6X260 MONTHS/1 000 000 KMEntire VehicleNo</v>
          </cell>
          <cell r="AD136">
            <v>189630</v>
          </cell>
          <cell r="AK136" t="str">
            <v>TGX6X4H/D48 MONTHS/100 000 KMDrivelineYes</v>
          </cell>
          <cell r="AL136">
            <v>58065</v>
          </cell>
        </row>
        <row r="137">
          <cell r="G137" t="str">
            <v>TGX6X4 H/D36 MONTHS/225 000 KM48 MONTHS/300 000 KM CombinationYes</v>
          </cell>
          <cell r="H137">
            <v>114660</v>
          </cell>
          <cell r="AC137" t="str">
            <v>TGX6X260 MONTHS/1 000 000 KMEntire VehicleYes</v>
          </cell>
          <cell r="AD137">
            <v>164640</v>
          </cell>
          <cell r="AK137" t="str">
            <v>TGX6X4H/D48 MONTHS/200 000 KMDrivelineYes</v>
          </cell>
          <cell r="AL137">
            <v>68335</v>
          </cell>
        </row>
        <row r="138">
          <cell r="G138" t="str">
            <v>TGX6X4 H/D36 MONTHS/225 000 KM60 MONTHS/750 000 KMCombinationNo</v>
          </cell>
          <cell r="H138">
            <v>117600</v>
          </cell>
          <cell r="AC138" t="str">
            <v>TGX6X260 MONTHS/375 000 KMEntire VehicleNo</v>
          </cell>
          <cell r="AD138">
            <v>95550</v>
          </cell>
          <cell r="AK138" t="str">
            <v>TGX6X4H/D48 MONTHS/300 000 KMDrivelineYes</v>
          </cell>
          <cell r="AL138">
            <v>80115</v>
          </cell>
        </row>
        <row r="139">
          <cell r="G139" t="str">
            <v>TGX6X4 H/D36 MONTHS/225 000 KM60 MONTHS/750 000 KMCombinationYes</v>
          </cell>
          <cell r="H139">
            <v>202125</v>
          </cell>
          <cell r="AC139" t="str">
            <v>TGX6X260 MONTHS/375 000 KMEntire VehicleYes</v>
          </cell>
          <cell r="AD139">
            <v>83055</v>
          </cell>
          <cell r="AK139" t="str">
            <v>TGX6X4H/D48 MONTHS/400 000 KMDrivelineYes</v>
          </cell>
          <cell r="AL139">
            <v>104370</v>
          </cell>
        </row>
        <row r="140">
          <cell r="G140" t="str">
            <v>TGX6X4 H/D36 MONTHS/450 000 KM48 MONTHS/600 000 KMCombinationNo</v>
          </cell>
          <cell r="H140">
            <v>113190</v>
          </cell>
          <cell r="AC140" t="str">
            <v>TGX6X260 MONTHS/500 000 KMEntire VehicleNo</v>
          </cell>
          <cell r="AD140">
            <v>126420</v>
          </cell>
          <cell r="AK140" t="str">
            <v>TGX6X4H/D48 MONTHS/500 000 KMDrivelineYes</v>
          </cell>
          <cell r="AL140">
            <v>127890</v>
          </cell>
        </row>
        <row r="141">
          <cell r="G141" t="str">
            <v>TGX6X4 H/D36 MONTHS/450 000 KM48 MONTHS/600 000 KMCombinationYes</v>
          </cell>
          <cell r="H141">
            <v>188160</v>
          </cell>
          <cell r="AC141" t="str">
            <v>TGX6X260 MONTHS/500 000 KMEntire VehicleYes</v>
          </cell>
          <cell r="AD141">
            <v>109515</v>
          </cell>
          <cell r="AK141" t="str">
            <v>TGX6X4H/D48 MONTHS/600 000 KMDrivelineYes</v>
          </cell>
          <cell r="AL141">
            <v>131565</v>
          </cell>
        </row>
        <row r="142">
          <cell r="G142" t="str">
            <v>TGX6X4 H/D36 MONTHS/450 000 KM60 MONTHS/750 000 KMCombinationNo</v>
          </cell>
          <cell r="H142">
            <v>194775</v>
          </cell>
          <cell r="AC142" t="str">
            <v>TGX6X260 MONTHS/625 000 KMEntire VehicleNo</v>
          </cell>
          <cell r="AD142">
            <v>150675</v>
          </cell>
          <cell r="AK142" t="str">
            <v>TGX6X4H/D60 MONTHS/125 000 KMDrivelineYes</v>
          </cell>
          <cell r="AL142">
            <v>121275</v>
          </cell>
        </row>
        <row r="143">
          <cell r="G143" t="str">
            <v>TGX6X4 H/D36 MONTHS/450 000 KM60 MONTHS/750 000 KMCombinationYes</v>
          </cell>
          <cell r="H143">
            <v>332955</v>
          </cell>
          <cell r="AC143" t="str">
            <v>TGX6X260 MONTHS/625 000 KMEntire VehicleYes</v>
          </cell>
          <cell r="AD143">
            <v>130830</v>
          </cell>
          <cell r="AK143" t="str">
            <v>TGX6X4H/D60 MONTHS/250 000 KMDrivelineYes</v>
          </cell>
          <cell r="AL143">
            <v>142590</v>
          </cell>
        </row>
        <row r="144">
          <cell r="G144" t="str">
            <v>TGX6X4 H/D48 MONTHS/300 000 KM60 MONTHS/750 000 KMCombinationNo</v>
          </cell>
          <cell r="H144">
            <v>171255</v>
          </cell>
          <cell r="AC144" t="str">
            <v>TGX6X260 MONTHS/750 000 KMEntire VehicleNo</v>
          </cell>
          <cell r="AD144">
            <v>163170</v>
          </cell>
          <cell r="AK144" t="str">
            <v>TGX6X4H/D60 MONTHS/375 000 KMDrivelineYes</v>
          </cell>
          <cell r="AL144">
            <v>167580</v>
          </cell>
        </row>
        <row r="145">
          <cell r="G145" t="str">
            <v>TGX6X4 H/D48 MONTHS/300 000 KM60 MONTHS/750 000 KMCombinationNo</v>
          </cell>
          <cell r="H145">
            <v>287385</v>
          </cell>
          <cell r="AC145" t="str">
            <v>TGX6X260 MONTHS/750 000 KMEntire VehicleYes</v>
          </cell>
          <cell r="AD145">
            <v>141855</v>
          </cell>
          <cell r="AK145" t="str">
            <v>TGX6X4H/D60 MONTHS/500 000 KMDrivelineYes</v>
          </cell>
          <cell r="AL145">
            <v>218295</v>
          </cell>
        </row>
        <row r="146">
          <cell r="G146" t="str">
            <v>TGX6X4 H/D48 MONTHS/300 000 KM60 MONTHS/750 000 KMCombinationYes</v>
          </cell>
          <cell r="H146">
            <v>241815</v>
          </cell>
          <cell r="AC146" t="str">
            <v>TGX6X260 MONTHS/875 000 KMEntire VehicleNo</v>
          </cell>
          <cell r="AD146">
            <v>171990</v>
          </cell>
          <cell r="AK146" t="str">
            <v>TGX6X4H/D60 MONTHS/625 000 KMDrivelineYes</v>
          </cell>
          <cell r="AL146">
            <v>269010</v>
          </cell>
        </row>
        <row r="147">
          <cell r="G147" t="str">
            <v>TGX6X4 H/D48 MONTHS/300 000 KM60 MONTHS/750 000 KMCombinationYes</v>
          </cell>
          <cell r="H147">
            <v>399840</v>
          </cell>
          <cell r="AC147" t="str">
            <v>TGX6X260 MONTHS/875 000 KMEntire VehicleYes</v>
          </cell>
          <cell r="AD147">
            <v>149205</v>
          </cell>
          <cell r="AK147" t="str">
            <v>TGX6X4H/D60 MONTHS/750 000 KMDrivelineYes</v>
          </cell>
          <cell r="AL147">
            <v>276360</v>
          </cell>
        </row>
        <row r="148">
          <cell r="G148" t="str">
            <v>TGX6X424 MONTHS/150 000 KM 60 MONTHS/375 000 KMCombinationNo</v>
          </cell>
          <cell r="H148">
            <v>72765</v>
          </cell>
          <cell r="AC148" t="str">
            <v>TGX6X424 MONTHS/100 000 KMEntire VehicleYes</v>
          </cell>
          <cell r="AD148">
            <v>7350</v>
          </cell>
          <cell r="AK148" t="str">
            <v>TGX6X4HYDRO36 MONTHS/150 000 KMDrivelineYes</v>
          </cell>
          <cell r="AL148">
            <v>13965</v>
          </cell>
        </row>
        <row r="149">
          <cell r="G149" t="str">
            <v>TGX6X424 MONTHS/150 000 KM 60 MONTHS/375 000 KMCombinationYes</v>
          </cell>
          <cell r="H149">
            <v>63210</v>
          </cell>
          <cell r="AC149" t="str">
            <v>TGX6X424 MONTHS/150 000 KMEntire VehicleYes</v>
          </cell>
          <cell r="AD149">
            <v>9555</v>
          </cell>
          <cell r="AK149" t="str">
            <v>TGX6X4HYDRO36 MONTHS/225 000 KMDrivelineYes</v>
          </cell>
          <cell r="AL149">
            <v>16170</v>
          </cell>
        </row>
        <row r="150">
          <cell r="G150" t="str">
            <v>TGX6X424 MONTHS/150 000 KM36 MONTHS/225 000 KMCombinationNo</v>
          </cell>
          <cell r="H150">
            <v>26460</v>
          </cell>
          <cell r="AC150" t="str">
            <v>TGX6X424 MONTHS/200 000 KMEntire VehicleYes</v>
          </cell>
          <cell r="AD150">
            <v>11025</v>
          </cell>
          <cell r="AK150" t="str">
            <v>TGX6X4HYDRO36 MONTHS/300 000 KMDrivelineYes</v>
          </cell>
          <cell r="AL150">
            <v>20580</v>
          </cell>
        </row>
        <row r="151">
          <cell r="G151" t="str">
            <v>TGX6X424 MONTHS/150 000 KM36 MONTHS/225 000 KMCombinationYes</v>
          </cell>
          <cell r="H151">
            <v>22785</v>
          </cell>
          <cell r="AC151" t="str">
            <v>TGX6X424 MONTHS/250 000 KMEntire VehicleYes</v>
          </cell>
          <cell r="AD151">
            <v>13230</v>
          </cell>
          <cell r="AK151" t="str">
            <v>TGX6X4HYDRO36 MONTHS/375 000 KMDrivelineYes</v>
          </cell>
          <cell r="AL151">
            <v>25725</v>
          </cell>
        </row>
        <row r="152">
          <cell r="G152" t="str">
            <v>TGX6X424 MONTHS/150 000 KM48 MONTHS/300 000 KMCombinationNo</v>
          </cell>
          <cell r="H152">
            <v>41160</v>
          </cell>
          <cell r="AC152" t="str">
            <v>TGX6X424 MONTHS/300 000 KMEntire VehicleYes</v>
          </cell>
          <cell r="AD152">
            <v>13965</v>
          </cell>
          <cell r="AK152" t="str">
            <v>TGX6X4HYDRO36 MONTHS/450 000 KMDrivelineYes</v>
          </cell>
          <cell r="AL152">
            <v>26460</v>
          </cell>
        </row>
        <row r="153">
          <cell r="G153" t="str">
            <v>TGX6X424 MONTHS/150 000 KM48 MONTHS/300 000 KMCombinationYes</v>
          </cell>
          <cell r="H153">
            <v>35280</v>
          </cell>
          <cell r="AC153" t="str">
            <v>TGX6X424 MONTHS/50 000 KMEntire VehicleYes</v>
          </cell>
          <cell r="AD153">
            <v>5880</v>
          </cell>
          <cell r="AK153" t="str">
            <v>TGX6X4HYDRO36 MONTHS/75 000 KMDrivelineYes</v>
          </cell>
          <cell r="AL153">
            <v>11760</v>
          </cell>
        </row>
        <row r="154">
          <cell r="G154" t="str">
            <v>TGX6X424 MONTHS/300 000 KM36 MONTHS/450 000 KMCombinationNo</v>
          </cell>
          <cell r="H154">
            <v>41160</v>
          </cell>
          <cell r="AC154" t="str">
            <v>TGX6X436 MONTHS/150 000 KMEntire VehicleYes</v>
          </cell>
          <cell r="AD154">
            <v>27930</v>
          </cell>
          <cell r="AK154" t="str">
            <v>TGX6X4HYDRO48 MONTHS/100 000 KMDrivelineYes</v>
          </cell>
          <cell r="AL154">
            <v>27195</v>
          </cell>
        </row>
        <row r="155">
          <cell r="G155" t="str">
            <v>TGX6X424 MONTHS/300 000 KM36 MONTHS/450 000 KMCombinationYes</v>
          </cell>
          <cell r="H155">
            <v>35280</v>
          </cell>
          <cell r="AC155" t="str">
            <v>TGX6X436 MONTHS/225 000 KMEntire VehicleYes</v>
          </cell>
          <cell r="AD155">
            <v>33075</v>
          </cell>
          <cell r="AK155" t="str">
            <v>TGX6X4HYDRO48 MONTHS/200 000 KMDrivelineYes</v>
          </cell>
          <cell r="AL155">
            <v>31605</v>
          </cell>
        </row>
        <row r="156">
          <cell r="G156" t="str">
            <v>TGX6X424 MONTHS/300 000 KM48 MONTHS/600 000 KMCombinationNo</v>
          </cell>
          <cell r="H156">
            <v>74235</v>
          </cell>
          <cell r="AC156" t="str">
            <v>TGX6X436 MONTHS/300 000 KMEntire VehicleYes</v>
          </cell>
          <cell r="AD156">
            <v>42630</v>
          </cell>
          <cell r="AK156" t="str">
            <v>TGX6X4HYDRO48 MONTHS/300 000 KMDrivelineYes</v>
          </cell>
          <cell r="AL156">
            <v>37485</v>
          </cell>
        </row>
        <row r="157">
          <cell r="G157" t="str">
            <v>TGX6X424 MONTHS/300 000 KM48 MONTHS/600 000 KMCombinationYes</v>
          </cell>
          <cell r="H157">
            <v>63945</v>
          </cell>
          <cell r="AC157" t="str">
            <v>TGX6X436 MONTHS/375 000 KMEntire VehicleYes</v>
          </cell>
          <cell r="AD157">
            <v>52185</v>
          </cell>
          <cell r="AK157" t="str">
            <v>TGX6X4HYDRO48 MONTHS/400 000 KMDrivelineYes</v>
          </cell>
          <cell r="AL157">
            <v>48510</v>
          </cell>
        </row>
        <row r="158">
          <cell r="G158" t="str">
            <v>TGX6X424 MONTHS/300 000 KM60 MONTHS/750 000 KMCombinationNo</v>
          </cell>
          <cell r="H158">
            <v>145530</v>
          </cell>
          <cell r="AC158" t="str">
            <v>TGX6X436 MONTHS/450 000 KMEntire VehicleYes</v>
          </cell>
          <cell r="AD158">
            <v>56595</v>
          </cell>
          <cell r="AK158" t="str">
            <v>TGX6X4HYDRO48 MONTHS/500 000 KMDrivelineYes</v>
          </cell>
          <cell r="AL158">
            <v>56595</v>
          </cell>
        </row>
        <row r="159">
          <cell r="G159" t="str">
            <v>TGX6X424 MONTHS/300 000 KM60 MONTHS/750 000 KMCombinationYes</v>
          </cell>
          <cell r="H159">
            <v>126420</v>
          </cell>
          <cell r="AC159" t="str">
            <v>TGX6X436 MONTHS/75 000 KMEntire VehicleYes</v>
          </cell>
          <cell r="AD159">
            <v>23520</v>
          </cell>
          <cell r="AK159" t="str">
            <v>TGX6X4HYDRO48 MONTHS/600 000 KMDrivelineYes</v>
          </cell>
          <cell r="AL159">
            <v>58065</v>
          </cell>
        </row>
        <row r="160">
          <cell r="G160" t="str">
            <v>TGX6X436 MONTHS/225 000 KM48 MONTHS/300 000 KM CombinationNo</v>
          </cell>
          <cell r="H160">
            <v>52920</v>
          </cell>
          <cell r="AC160" t="str">
            <v>TGX6X448 MONTHS/100 000 KMEntire VehicleYes</v>
          </cell>
          <cell r="AD160">
            <v>74970</v>
          </cell>
          <cell r="AK160" t="str">
            <v>TGX6X4HYDRO60 MONTHS/125 000 KMDrivelineYes</v>
          </cell>
          <cell r="AL160">
            <v>56595</v>
          </cell>
        </row>
        <row r="161">
          <cell r="G161" t="str">
            <v>TGX6X436 MONTHS/225 000 KM48 MONTHS/300 000 KM CombinationYes</v>
          </cell>
          <cell r="H161">
            <v>45570</v>
          </cell>
          <cell r="AC161" t="str">
            <v>TGX6X448 MONTHS/200 000 KMEntire VehicleYes</v>
          </cell>
          <cell r="AD161">
            <v>88200</v>
          </cell>
          <cell r="AK161" t="str">
            <v>TGX6X4HYDRO60 MONTHS/250 000 KMDrivelineYes</v>
          </cell>
          <cell r="AL161">
            <v>66885</v>
          </cell>
        </row>
        <row r="162">
          <cell r="G162" t="str">
            <v>TGX6X436 MONTHS/225 000 KM60 MONTHS/750 000 KMCombinationNo</v>
          </cell>
          <cell r="H162">
            <v>84525</v>
          </cell>
          <cell r="AC162" t="str">
            <v>TGX6X448 MONTHS/300 000 KMEntire VehicleYes</v>
          </cell>
          <cell r="AD162">
            <v>102900</v>
          </cell>
          <cell r="AK162" t="str">
            <v>TGX6X4HYDRO60 MONTHS/375 000 KMDrivelineYes</v>
          </cell>
          <cell r="AL162">
            <v>77910</v>
          </cell>
        </row>
        <row r="163">
          <cell r="G163" t="str">
            <v>TGX6X436 MONTHS/225 000 KM60 MONTHS/750 000 KMCombinationYes</v>
          </cell>
          <cell r="H163">
            <v>73500</v>
          </cell>
          <cell r="AC163" t="str">
            <v>TGX6X448 MONTHS/400 000 KMEntire VehicleYes</v>
          </cell>
          <cell r="AD163">
            <v>134505</v>
          </cell>
          <cell r="AK163" t="str">
            <v>TGX6X4HYDRO60 MONTHS/500 000 KMDrivelineYes</v>
          </cell>
          <cell r="AL163">
            <v>102165</v>
          </cell>
        </row>
        <row r="164">
          <cell r="G164" t="str">
            <v>TGX6X436 MONTHS/450 000 KM48 MONTHS/600 000 KMCombinationNo</v>
          </cell>
          <cell r="H164">
            <v>98490</v>
          </cell>
          <cell r="AC164" t="str">
            <v>TGX6X448 MONTHS/500 000 KMEntire VehicleYes</v>
          </cell>
          <cell r="AD164">
            <v>165375</v>
          </cell>
          <cell r="AK164" t="str">
            <v>TGX6X4HYDRO60 MONTHS/625 000 KMDrivelineYes</v>
          </cell>
          <cell r="AL164">
            <v>118335</v>
          </cell>
        </row>
        <row r="165">
          <cell r="G165" t="str">
            <v>TGX6X436 MONTHS/450 000 KM48 MONTHS/600 000 KMCombinationYes</v>
          </cell>
          <cell r="H165">
            <v>85260</v>
          </cell>
          <cell r="AC165" t="str">
            <v>TGX6X448 MONTHS/600 000 KMEntire VehicleYes</v>
          </cell>
          <cell r="AD165">
            <v>169785</v>
          </cell>
          <cell r="AK165" t="str">
            <v>TGX6X4HYDRO60 MONTHS/750 000 KMDrivelineYes</v>
          </cell>
          <cell r="AL165">
            <v>128625</v>
          </cell>
        </row>
        <row r="166">
          <cell r="G166" t="str">
            <v>TGX6X436 MONTHS/450 000 KM60 MONTHS/750 000 KMCombinationNo</v>
          </cell>
          <cell r="H166">
            <v>169479.54545454544</v>
          </cell>
          <cell r="AC166" t="str">
            <v>TGX6X460 MONTHS/125 000 KMEntire VehicleYes</v>
          </cell>
          <cell r="AD166">
            <v>156555</v>
          </cell>
          <cell r="AK166" t="str">
            <v>TGX6X636 MONTHS/150 000 KMDrivelineYes</v>
          </cell>
          <cell r="AL166">
            <v>11760</v>
          </cell>
        </row>
        <row r="167">
          <cell r="G167" t="str">
            <v>TGX6X436 MONTHS/450 000 KM60 MONTHS/750 000 KMCombinationYes</v>
          </cell>
          <cell r="H167">
            <v>147735</v>
          </cell>
          <cell r="AC167" t="str">
            <v>TGX6X460 MONTHS/250 000 KMEntire VehicleYes</v>
          </cell>
          <cell r="AD167">
            <v>184485</v>
          </cell>
          <cell r="AK167" t="str">
            <v>TGX6X636 MONTHS/225 000 KMDrivelineYes</v>
          </cell>
          <cell r="AL167">
            <v>13230</v>
          </cell>
        </row>
        <row r="168">
          <cell r="G168" t="str">
            <v>TGX6X448 MONTHS/300 000 KM60 MONTHS/750 000 KMCombinationNo</v>
          </cell>
          <cell r="H168">
            <v>149940</v>
          </cell>
          <cell r="AC168" t="str">
            <v>TGX6X460 MONTHS/375 000 KMEntire VehicleYes</v>
          </cell>
          <cell r="AD168">
            <v>216090</v>
          </cell>
          <cell r="AK168" t="str">
            <v>TGX6X636 MONTHS/300 000 KMDrivelineYes</v>
          </cell>
          <cell r="AL168">
            <v>16905</v>
          </cell>
        </row>
        <row r="169">
          <cell r="G169" t="str">
            <v>TGX6X448 MONTHS/300 000 KM60 MONTHS/750 000 KMCombinationNo</v>
          </cell>
          <cell r="H169">
            <v>266805</v>
          </cell>
          <cell r="AC169" t="str">
            <v>TGX6X460 MONTHS/500 000 KMEntire VehicleYes</v>
          </cell>
          <cell r="AD169">
            <v>282240</v>
          </cell>
          <cell r="AK169" t="str">
            <v>TGX6X636 MONTHS/375 000 KMDrivelineYes</v>
          </cell>
          <cell r="AL169">
            <v>20580</v>
          </cell>
        </row>
        <row r="170">
          <cell r="G170" t="str">
            <v>TGX6X448 MONTHS/300 000 KM60 MONTHS/750 000 KMCombinationYes</v>
          </cell>
          <cell r="H170">
            <v>130830</v>
          </cell>
          <cell r="AC170" t="str">
            <v>TGX6X460 MONTHS/625 000 KMEntire VehicleYes</v>
          </cell>
          <cell r="AD170">
            <v>347655</v>
          </cell>
          <cell r="AK170" t="str">
            <v>TGX6X636 MONTHS/450 000 KMDrivelineYes</v>
          </cell>
          <cell r="AL170">
            <v>21315</v>
          </cell>
        </row>
        <row r="171">
          <cell r="G171" t="str">
            <v>TGX6X448 MONTHS/300 000 KM60 MONTHS/750 000 KMCombinationYes</v>
          </cell>
          <cell r="H171">
            <v>232260</v>
          </cell>
          <cell r="AC171" t="str">
            <v>TGX6X460 MONTHS/750 000 KMEntire VehicleYes</v>
          </cell>
          <cell r="AD171">
            <v>356475</v>
          </cell>
          <cell r="AK171" t="str">
            <v>TGX6X636 MONTHS/75 000 KMDrivelineYes</v>
          </cell>
          <cell r="AL171">
            <v>7350</v>
          </cell>
        </row>
        <row r="172">
          <cell r="G172" t="str">
            <v>TGX6X6 H/D (ABN)24 MONTHS/150 000 KM36 MONTHS/225 000 KMCombinationNo</v>
          </cell>
          <cell r="H172">
            <v>71295</v>
          </cell>
          <cell r="AC172" t="str">
            <v>TGX6X4H/D24 MONTHS/100 000 KMEntire VehicleYes</v>
          </cell>
          <cell r="AD172">
            <v>13230</v>
          </cell>
          <cell r="AK172" t="str">
            <v>TGX6X648 MONTHS/100 000 KMDrivelineYes</v>
          </cell>
          <cell r="AL172">
            <v>19110</v>
          </cell>
        </row>
        <row r="173">
          <cell r="G173" t="str">
            <v>TGX6X6 H/D (ABN)24 MONTHS/150 000 KM36 MONTHS/225 000 KMCombinationYes</v>
          </cell>
          <cell r="H173">
            <v>26460</v>
          </cell>
          <cell r="AC173" t="str">
            <v>TGX6X4H/D24 MONTHS/150 000 KMEntire VehicleYes</v>
          </cell>
          <cell r="AD173">
            <v>16170</v>
          </cell>
          <cell r="AK173" t="str">
            <v>TGX6X648 MONTHS/200 000 KMDrivelineYes</v>
          </cell>
          <cell r="AL173">
            <v>22050</v>
          </cell>
        </row>
        <row r="174">
          <cell r="G174" t="str">
            <v>TGX6X6 H/D (ABN)24 MONTHS/150 000 KM48 MONTHS/300 000 KMCombinationNo</v>
          </cell>
          <cell r="H174">
            <v>111720</v>
          </cell>
          <cell r="AC174" t="str">
            <v>TGX6X4H/D24 MONTHS/200 000 KMEntire VehicleYes</v>
          </cell>
          <cell r="AD174">
            <v>20580</v>
          </cell>
          <cell r="AK174" t="str">
            <v>TGX6X648 MONTHS/300 000 KMDrivelineYes</v>
          </cell>
          <cell r="AL174">
            <v>25725</v>
          </cell>
        </row>
        <row r="175">
          <cell r="G175" t="str">
            <v>TGX6X6 H/D (ABN)24 MONTHS/150 000 KM48 MONTHS/300 000 KMCombinationYes</v>
          </cell>
          <cell r="H175">
            <v>47775</v>
          </cell>
          <cell r="AC175" t="str">
            <v>TGX6X4H/D24 MONTHS/250 000 KMEntire VehicleYes</v>
          </cell>
          <cell r="AD175">
            <v>27930</v>
          </cell>
          <cell r="AK175" t="str">
            <v>TGX6X648 MONTHS/400 000 KMDrivelineYes</v>
          </cell>
          <cell r="AL175">
            <v>33810</v>
          </cell>
        </row>
        <row r="176">
          <cell r="G176" t="str">
            <v>TGX6X6 H/D (ABN)24 MONTHS/150 000 KM60 MONTHS/375 000 KMCombinationNo</v>
          </cell>
          <cell r="H176">
            <v>212415</v>
          </cell>
          <cell r="AC176" t="str">
            <v>TGX6X4H/D24 MONTHS/300 000 KMEntire VehicleYes</v>
          </cell>
          <cell r="AD176">
            <v>36015</v>
          </cell>
          <cell r="AK176" t="str">
            <v>TGX6X648 MONTHS/500 000 KMDrivelineYes</v>
          </cell>
          <cell r="AL176">
            <v>47040</v>
          </cell>
        </row>
        <row r="177">
          <cell r="G177" t="str">
            <v>TGX6X6 H/D (ABN)24 MONTHS/150 000 KM60 MONTHS/375 000 KMCombinationYes</v>
          </cell>
          <cell r="H177">
            <v>88200</v>
          </cell>
          <cell r="AC177" t="str">
            <v>TGX6X4H/D24 MONTHS/50 000 KMEntire VehicleYes</v>
          </cell>
          <cell r="AD177">
            <v>10290</v>
          </cell>
          <cell r="AK177" t="str">
            <v>TGX6X648 MONTHS/600 000 KMDrivelineYes</v>
          </cell>
          <cell r="AL177">
            <v>49980</v>
          </cell>
        </row>
        <row r="178">
          <cell r="G178" t="str">
            <v>TGX6X6 H/D (ABN)24 MONTHS/300 000 KM36 MONTHS/450 000 KMCombinationNo</v>
          </cell>
          <cell r="H178">
            <v>126420</v>
          </cell>
          <cell r="AC178" t="str">
            <v>TGX6X4H/D36 MONTHS/150 000 KMEntire VehicleYes</v>
          </cell>
          <cell r="AD178">
            <v>67620</v>
          </cell>
          <cell r="AK178" t="str">
            <v>TGX6X660 MONTHS/125 000 KMDrivelineYes</v>
          </cell>
          <cell r="AL178">
            <v>38955</v>
          </cell>
        </row>
        <row r="179">
          <cell r="G179" t="str">
            <v>TGX6X6 H/D (ABN)24 MONTHS/300 000 KM36 MONTHS/450 000 KMCombinationYes</v>
          </cell>
          <cell r="H179">
            <v>45312.272727272721</v>
          </cell>
          <cell r="AC179" t="str">
            <v>TGX6X4H/D36 MONTHS/225 000 KMEntire VehicleYes</v>
          </cell>
          <cell r="AD179">
            <v>79380</v>
          </cell>
          <cell r="AK179" t="str">
            <v>TGX6X660 MONTHS/250 000 KMDrivelineYes</v>
          </cell>
          <cell r="AL179">
            <v>45570</v>
          </cell>
        </row>
        <row r="180">
          <cell r="G180" t="str">
            <v>TGX6X6 H/D (ABN)24 MONTHS/300 000 KM48 MONTHS/600 000 KMCombinationNo</v>
          </cell>
          <cell r="H180">
            <v>193305</v>
          </cell>
          <cell r="AC180" t="str">
            <v>TGX6X4H/D36 MONTHS/300 000 KMEntire VehicleYes</v>
          </cell>
          <cell r="AD180">
            <v>109200</v>
          </cell>
          <cell r="AK180" t="str">
            <v>TGX6X660 MONTHS/375 000 KMDrivelineYes</v>
          </cell>
          <cell r="AL180">
            <v>53655</v>
          </cell>
        </row>
        <row r="181">
          <cell r="G181" t="str">
            <v>TGX6X6 H/D (ABN)24 MONTHS/300 000 KM48 MONTHS/600 000 KMCombinationYes</v>
          </cell>
          <cell r="H181">
            <v>77175</v>
          </cell>
          <cell r="AC181" t="str">
            <v>TGX6X4H/D36 MONTHS/375 000 KMEntire VehicleYes</v>
          </cell>
          <cell r="AD181">
            <v>127155</v>
          </cell>
          <cell r="AK181" t="str">
            <v>TGX6X660 MONTHS/500 000 KMDrivelineYes</v>
          </cell>
          <cell r="AL181">
            <v>80850</v>
          </cell>
        </row>
        <row r="182">
          <cell r="G182" t="str">
            <v>TGX6X6 H/D (ABN)24 MONTHS/300 000 KM60 MONTHS/750 000 KMCombinationNo</v>
          </cell>
          <cell r="H182">
            <v>360150</v>
          </cell>
          <cell r="AC182" t="str">
            <v>TGX6X4H/D36 MONTHS/450 000 KMEntire VehicleYes</v>
          </cell>
          <cell r="AD182">
            <v>130095</v>
          </cell>
          <cell r="AK182" t="str">
            <v>TGX6X660 MONTHS/625 000 KMDrivelineYes</v>
          </cell>
          <cell r="AL182">
            <v>104370</v>
          </cell>
        </row>
        <row r="183">
          <cell r="G183" t="str">
            <v>TGX6X6 H/D (ABN)24 MONTHS/300 000 KM60 MONTHS/750 000 KMCombinationYes</v>
          </cell>
          <cell r="H183">
            <v>147735</v>
          </cell>
          <cell r="AC183" t="str">
            <v>TGX6X4H/D36 MONTHS/75 000 KMEntire VehicleYes</v>
          </cell>
          <cell r="AD183">
            <v>57330</v>
          </cell>
          <cell r="AK183" t="str">
            <v>TGX6X660 MONTHS/750 000 KMDrivelineYes</v>
          </cell>
          <cell r="AL183">
            <v>112455</v>
          </cell>
        </row>
        <row r="184">
          <cell r="G184" t="str">
            <v>TGX6X6 H/D (ABN)36 MONTHS/225 000 KM48 MONTHS/300 000 KM CombinationNo</v>
          </cell>
          <cell r="H184">
            <v>132300</v>
          </cell>
          <cell r="AC184" t="str">
            <v>TGX6X4H/D48 MONTHS/100 000 KMEntire VehicleYes</v>
          </cell>
          <cell r="AD184">
            <v>111720</v>
          </cell>
          <cell r="AK184" t="str">
            <v>TGX6X6H/D36 MONTHS/150 000 KMDrivelineYes</v>
          </cell>
          <cell r="AL184">
            <v>38220</v>
          </cell>
        </row>
        <row r="185">
          <cell r="G185" t="str">
            <v>TGX6X6 H/D (ABN)36 MONTHS/225 000 KM48 MONTHS/300 000 KM CombinationYes</v>
          </cell>
          <cell r="H185">
            <v>61740</v>
          </cell>
          <cell r="AC185" t="str">
            <v>TGX6X4H/D48 MONTHS/200 000 KMEntire VehicleYes</v>
          </cell>
          <cell r="AD185">
            <v>131565</v>
          </cell>
          <cell r="AK185" t="str">
            <v>TGX6X6H/D36 MONTHS/225 000 KMDrivelineYes</v>
          </cell>
          <cell r="AL185">
            <v>44835</v>
          </cell>
        </row>
        <row r="186">
          <cell r="G186" t="str">
            <v>TGX6X6 H/D (ABN)36 MONTHS/225 000 KM60 MONTHS/750 000 KMCombinationNo</v>
          </cell>
          <cell r="H186">
            <v>232995</v>
          </cell>
          <cell r="AC186" t="str">
            <v>TGX6X4H/D48 MONTHS/300 000 KMEntire VehicleYes</v>
          </cell>
          <cell r="AD186">
            <v>154350</v>
          </cell>
          <cell r="AK186" t="str">
            <v>TGX6X6H/D36 MONTHS/300 000 KMDrivelineYes</v>
          </cell>
          <cell r="AL186">
            <v>58065</v>
          </cell>
        </row>
        <row r="187">
          <cell r="G187" t="str">
            <v>TGX6X6 H/D (ABN)36 MONTHS/225 000 KM60 MONTHS/750 000 KMCombinationYes</v>
          </cell>
          <cell r="H187">
            <v>102165</v>
          </cell>
          <cell r="AC187" t="str">
            <v>TGX6X4H/D48 MONTHS/400 000 KMEntire VehicleYes</v>
          </cell>
          <cell r="AD187">
            <v>201390</v>
          </cell>
          <cell r="AK187" t="str">
            <v>TGX6X6H/D36 MONTHS/375 000 KMDrivelineYes</v>
          </cell>
          <cell r="AL187">
            <v>71295</v>
          </cell>
        </row>
        <row r="188">
          <cell r="G188" t="str">
            <v>TGX6X6 H/D (ABN)36 MONTHS/450 000 KM48 MONTHS/600 000 KMCombinationNo</v>
          </cell>
          <cell r="H188">
            <v>216825</v>
          </cell>
          <cell r="AC188" t="str">
            <v>TGX6X4H/D48 MONTHS/500 000 KMEntire VehicleYes</v>
          </cell>
          <cell r="AD188">
            <v>248430</v>
          </cell>
          <cell r="AK188" t="str">
            <v>TGX6X6H/D36 MONTHS/450 000 KMDrivelineYes</v>
          </cell>
          <cell r="AL188">
            <v>73500</v>
          </cell>
        </row>
        <row r="189">
          <cell r="G189" t="str">
            <v>TGX6X6 H/D (ABN)36 MONTHS/450 000 KM48 MONTHS/600 000 KMCombinationYes</v>
          </cell>
          <cell r="H189">
            <v>98490</v>
          </cell>
          <cell r="AC189" t="str">
            <v>TGX6X4H/D48 MONTHS/600 000 KMEntire VehicleYes</v>
          </cell>
          <cell r="AD189">
            <v>255045</v>
          </cell>
          <cell r="AK189" t="str">
            <v>TGX6X6H/D36 MONTHS/75 000 KMDrivelineYes</v>
          </cell>
          <cell r="AL189">
            <v>32340</v>
          </cell>
        </row>
        <row r="190">
          <cell r="G190" t="str">
            <v>TGX6X6 H/D (ABN)36 MONTHS/450 000 KM60 MONTHS/750 000 KMCombinationNo</v>
          </cell>
          <cell r="H190">
            <v>383670</v>
          </cell>
          <cell r="AC190" t="str">
            <v>TGX6X4H/D60 MONTHS/125 000 KMEntire VehicleYes</v>
          </cell>
          <cell r="AD190">
            <v>235200</v>
          </cell>
          <cell r="AK190" t="str">
            <v>TGX6X6H/D48 MONTHS/100 000 KMDrivelineYes</v>
          </cell>
          <cell r="AL190">
            <v>58065</v>
          </cell>
        </row>
        <row r="191">
          <cell r="G191" t="str">
            <v>TGX6X6 H/D (ABN)36 MONTHS/450 000 KM60 MONTHS/750 000 KMCombinationYes</v>
          </cell>
          <cell r="H191">
            <v>169050</v>
          </cell>
          <cell r="AC191" t="str">
            <v>TGX6X4H/D60 MONTHS/250 000 KMEntire VehicleYes</v>
          </cell>
          <cell r="AD191">
            <v>276360</v>
          </cell>
          <cell r="AK191" t="str">
            <v>TGX6X6H/D48 MONTHS/200 000 KMDrivelineYes</v>
          </cell>
          <cell r="AL191">
            <v>68335</v>
          </cell>
        </row>
        <row r="192">
          <cell r="G192" t="str">
            <v>TGX6X6 H/D (ABN)48 MONTHS/300 000 KM60 MONTHS/750 000 KMCombinationNo</v>
          </cell>
          <cell r="H192">
            <v>278565</v>
          </cell>
          <cell r="AC192" t="str">
            <v>TGX6X4H/D60 MONTHS/375 000 KMEntire VehicleYes</v>
          </cell>
          <cell r="AD192">
            <v>324135</v>
          </cell>
          <cell r="AK192" t="str">
            <v>TGX6X6H/D48 MONTHS/300 000 KMDrivelineYes</v>
          </cell>
          <cell r="AL192">
            <v>80115</v>
          </cell>
        </row>
        <row r="193">
          <cell r="G193" t="str">
            <v>TGX6X6 H/D (ABN)48 MONTHS/300 000 KM60 MONTHS/750 000 KMCombinationNo</v>
          </cell>
          <cell r="H193">
            <v>460845</v>
          </cell>
          <cell r="AC193" t="str">
            <v>TGX6X4H/D60 MONTHS/500 000 KMEntire VehicleYes</v>
          </cell>
          <cell r="AD193">
            <v>422625</v>
          </cell>
          <cell r="AK193" t="str">
            <v>TGX6X6H/D48 MONTHS/400 000 KMDrivelineYes</v>
          </cell>
          <cell r="AL193">
            <v>104370</v>
          </cell>
        </row>
        <row r="194">
          <cell r="G194" t="str">
            <v>TGX6X6 H/D (ABN)48 MONTHS/300 000 KM60 MONTHS/750 000 KMCombinationYes</v>
          </cell>
          <cell r="H194">
            <v>148470</v>
          </cell>
          <cell r="AC194" t="str">
            <v>TGX6X4H/D60 MONTHS/625 000 KMEntire VehicleYes</v>
          </cell>
          <cell r="AD194">
            <v>521115</v>
          </cell>
          <cell r="AK194" t="str">
            <v>TGX6X6H/D48 MONTHS/500 000 KMDrivelineYes</v>
          </cell>
          <cell r="AL194">
            <v>127890</v>
          </cell>
        </row>
        <row r="195">
          <cell r="G195" t="str">
            <v>TGX6X6 H/D (ABN)48 MONTHS/300 000 KM60 MONTHS/750 000 KMCombinationYes</v>
          </cell>
          <cell r="H195">
            <v>249165</v>
          </cell>
          <cell r="AC195" t="str">
            <v>TGX6X4H/D60 MONTHS/750 000 KMEntire VehicleYes</v>
          </cell>
          <cell r="AD195">
            <v>535080</v>
          </cell>
          <cell r="AK195" t="str">
            <v>TGX6X6H/D48 MONTHS/600 000 KMDrivelineYes</v>
          </cell>
          <cell r="AL195">
            <v>131565</v>
          </cell>
        </row>
        <row r="196">
          <cell r="G196" t="str">
            <v>TGX6X6 H/D24 MONTHS/150 000 KM36 MONTHS/225 000 KMCombinationNo</v>
          </cell>
          <cell r="H196">
            <v>31605</v>
          </cell>
          <cell r="AC196" t="str">
            <v>TGX6X4HYDRO24 MONTHS/100 000 KMEntire VehicleYes</v>
          </cell>
          <cell r="AD196">
            <v>8820</v>
          </cell>
          <cell r="AK196" t="str">
            <v>TGX6X6H/D60 MONTHS/125 000 KMDrivelineYes</v>
          </cell>
          <cell r="AL196">
            <v>121275</v>
          </cell>
        </row>
        <row r="197">
          <cell r="G197" t="str">
            <v>TGX6X6 H/D24 MONTHS/150 000 KM36 MONTHS/225 000 KMCombinationYes</v>
          </cell>
          <cell r="H197">
            <v>61005</v>
          </cell>
          <cell r="AC197" t="str">
            <v>TGX6X4HYDRO24 MONTHS/150 000 KMEntire VehicleYes</v>
          </cell>
          <cell r="AD197">
            <v>10290</v>
          </cell>
          <cell r="AK197" t="str">
            <v>TGX6X6H/D60 MONTHS/250 000 KMDrivelineYes</v>
          </cell>
          <cell r="AL197">
            <v>142590</v>
          </cell>
        </row>
        <row r="198">
          <cell r="G198" t="str">
            <v>TGX6X6 H/D24 MONTHS/150 000 KM48 MONTHS/300 000 KMCombinationNo</v>
          </cell>
          <cell r="H198">
            <v>55860</v>
          </cell>
          <cell r="AC198" t="str">
            <v>TGX6X4HYDRO24 MONTHS/200 000 KMEntire VehicleYes</v>
          </cell>
          <cell r="AD198">
            <v>13230</v>
          </cell>
          <cell r="AK198" t="str">
            <v>TGX6X6H/D60 MONTHS/375 000 KMDrivelineYes</v>
          </cell>
          <cell r="AL198">
            <v>167580</v>
          </cell>
        </row>
        <row r="199">
          <cell r="G199" t="str">
            <v>TGX6X6 H/D24 MONTHS/150 000 KM48 MONTHS/300 000 KMCombinationYes</v>
          </cell>
          <cell r="H199">
            <v>96285</v>
          </cell>
          <cell r="AC199" t="str">
            <v>TGX6X4HYDRO24 MONTHS/250 000 KMEntire VehicleYes</v>
          </cell>
          <cell r="AD199">
            <v>17640</v>
          </cell>
          <cell r="AK199" t="str">
            <v>TGX6X6H/D60 MONTHS/500 000 KMDrivelineYes</v>
          </cell>
          <cell r="AL199">
            <v>218295</v>
          </cell>
        </row>
        <row r="200">
          <cell r="G200" t="str">
            <v>TGX6X6 H/D24 MONTHS/150 000 KM60 MONTHS/375 000 KMCombinationNo</v>
          </cell>
          <cell r="H200">
            <v>102165</v>
          </cell>
          <cell r="AC200" t="str">
            <v>TGX6X4HYDRO24 MONTHS/300 000 KMEntire VehicleYes</v>
          </cell>
          <cell r="AD200">
            <v>19110</v>
          </cell>
          <cell r="AK200" t="str">
            <v>TGX6X6H/D60 MONTHS/625 000 KMDrivelineYes</v>
          </cell>
          <cell r="AL200">
            <v>269010</v>
          </cell>
        </row>
        <row r="201">
          <cell r="G201" t="str">
            <v>TGX6X6 H/D24 MONTHS/150 000 KM60 MONTHS/375 000 KMCombinationYes</v>
          </cell>
          <cell r="H201">
            <v>183750</v>
          </cell>
          <cell r="AC201" t="str">
            <v>TGX6X4HYDRO24 MONTHS/50 000 KMEntire VehicleYes</v>
          </cell>
          <cell r="AD201">
            <v>6615</v>
          </cell>
          <cell r="AK201" t="str">
            <v>TGX6X6H/D60 MONTHS/750 000 KMDrivelineYes</v>
          </cell>
          <cell r="AL201">
            <v>276360</v>
          </cell>
        </row>
        <row r="202">
          <cell r="G202" t="str">
            <v>TGX6X6 H/D24 MONTHS/300 000 KM36 MONTHS/450 000 KMCombinationNo</v>
          </cell>
          <cell r="H202">
            <v>52920</v>
          </cell>
          <cell r="AC202" t="str">
            <v>TGX6X4HYDRO36 MONTHS/150 000 KMEntire VehicleYes</v>
          </cell>
          <cell r="AD202">
            <v>34545</v>
          </cell>
          <cell r="AK202" t="str">
            <v>TGX6X6HYDRO36 MONTHS/150 000 KMDrivelineYes</v>
          </cell>
          <cell r="AL202">
            <v>13965</v>
          </cell>
        </row>
        <row r="203">
          <cell r="G203" t="str">
            <v>TGX6X6 H/D24 MONTHS/300 000 KM36 MONTHS/450 000 KMCombinationYes</v>
          </cell>
          <cell r="H203">
            <v>109515</v>
          </cell>
          <cell r="AC203" t="str">
            <v>TGX6X4HYDRO36 MONTHS/225 000 KMEntire VehicleYes</v>
          </cell>
          <cell r="AD203">
            <v>40425</v>
          </cell>
          <cell r="AK203" t="str">
            <v>TGX6X6HYDRO36 MONTHS/225 000 KMDrivelineYes</v>
          </cell>
          <cell r="AL203">
            <v>16170</v>
          </cell>
        </row>
        <row r="204">
          <cell r="G204" t="str">
            <v>TGX6X6 H/D24 MONTHS/300 000 KM48 MONTHS/600 000 KMCombinationNo</v>
          </cell>
          <cell r="H204">
            <v>88935</v>
          </cell>
          <cell r="AC204" t="str">
            <v>TGX6X4HYDRO36 MONTHS/300 000 KMEntire VehicleYes</v>
          </cell>
          <cell r="AD204">
            <v>52185</v>
          </cell>
          <cell r="AK204" t="str">
            <v>TGX6X6HYDRO36 MONTHS/300 000 KMDrivelineYes</v>
          </cell>
          <cell r="AL204">
            <v>20580</v>
          </cell>
        </row>
        <row r="205">
          <cell r="G205" t="str">
            <v>TGX6X6 H/D24 MONTHS/300 000 KM48 MONTHS/600 000 KMCombinationYes</v>
          </cell>
          <cell r="H205">
            <v>167580</v>
          </cell>
          <cell r="AC205" t="str">
            <v>TGX6X4HYDRO36 MONTHS/375 000 KMEntire VehicleYes</v>
          </cell>
          <cell r="AD205">
            <v>64680</v>
          </cell>
          <cell r="AK205" t="str">
            <v>TGX6X6HYDRO36 MONTHS/375 000 KMDrivelineYes</v>
          </cell>
          <cell r="AL205">
            <v>25725</v>
          </cell>
        </row>
        <row r="206">
          <cell r="G206" t="str">
            <v>TGX6X6 H/D24 MONTHS/300 000 KM60 MONTHS/750 000 KMCombinationNo</v>
          </cell>
          <cell r="H206">
            <v>170520</v>
          </cell>
          <cell r="AC206" t="str">
            <v>TGX6X4HYDRO36 MONTHS/450 000 KMEntire VehicleYes</v>
          </cell>
          <cell r="AD206">
            <v>66885</v>
          </cell>
          <cell r="AK206" t="str">
            <v>TGX6X6HYDRO36 MONTHS/450 000 KMDrivelineYes</v>
          </cell>
          <cell r="AL206">
            <v>26460</v>
          </cell>
        </row>
        <row r="207">
          <cell r="G207" t="str">
            <v>TGX6X6 H/D24 MONTHS/300 000 KM60 MONTHS/750 000 KMCombinationYes</v>
          </cell>
          <cell r="H207">
            <v>312375</v>
          </cell>
          <cell r="AC207" t="str">
            <v>TGX6X4HYDRO36 MONTHS/75 000 KMEntire VehicleYes</v>
          </cell>
          <cell r="AD207">
            <v>29400</v>
          </cell>
          <cell r="AK207" t="str">
            <v>TGX6X6HYDRO36 MONTHS/75 000 KMDrivelineYes</v>
          </cell>
          <cell r="AL207">
            <v>11760</v>
          </cell>
        </row>
        <row r="208">
          <cell r="G208" t="str">
            <v>TGX6X6 H/D36 MONTHS/225 000 KM48 MONTHS/300 000 KM CombinationNo</v>
          </cell>
          <cell r="H208">
            <v>71295</v>
          </cell>
          <cell r="AC208" t="str">
            <v>TGX6X4HYDRO48 MONTHS/100 000 KMEntire VehicleYes</v>
          </cell>
          <cell r="AD208">
            <v>79830</v>
          </cell>
          <cell r="AK208" t="str">
            <v>TGX6X6HYDRO48 MONTHS/100 000 KMDrivelineYes</v>
          </cell>
          <cell r="AL208">
            <v>27195</v>
          </cell>
        </row>
        <row r="209">
          <cell r="G209" t="str">
            <v>TGX6X6 H/D36 MONTHS/225 000 KM48 MONTHS/300 000 KM CombinationYes</v>
          </cell>
          <cell r="H209">
            <v>114660</v>
          </cell>
          <cell r="AC209" t="str">
            <v>TGX6X4HYDRO48 MONTHS/200 000 KMEntire VehicleYes</v>
          </cell>
          <cell r="AD209">
            <v>92610</v>
          </cell>
          <cell r="AK209" t="str">
            <v>TGX6X6HYDRO48 MONTHS/200 000 KMDrivelineYes</v>
          </cell>
          <cell r="AL209">
            <v>31605</v>
          </cell>
        </row>
        <row r="210">
          <cell r="G210" t="str">
            <v>TGX6X6 H/D36 MONTHS/225 000 KM60 MONTHS/750 000 KMCombinationNo</v>
          </cell>
          <cell r="H210">
            <v>117600</v>
          </cell>
          <cell r="AC210" t="str">
            <v>TGX6X4HYDRO48 MONTHS/300 000 KMEntire VehicleYes</v>
          </cell>
          <cell r="AD210">
            <v>108045</v>
          </cell>
          <cell r="AK210" t="str">
            <v>TGX6X6HYDRO48 MONTHS/300 000 KMDrivelineYes</v>
          </cell>
          <cell r="AL210">
            <v>37485</v>
          </cell>
        </row>
        <row r="211">
          <cell r="G211" t="str">
            <v>TGX6X6 H/D36 MONTHS/225 000 KM60 MONTHS/750 000 KMCombinationYes</v>
          </cell>
          <cell r="H211">
            <v>202125</v>
          </cell>
          <cell r="AC211" t="str">
            <v>TGX6X4HYDRO48 MONTHS/400 000 KMEntire VehicleYes</v>
          </cell>
          <cell r="AD211">
            <v>141855</v>
          </cell>
          <cell r="AK211" t="str">
            <v>TGX6X6HYDRO48 MONTHS/400 000 KMDrivelineYes</v>
          </cell>
          <cell r="AL211">
            <v>48510</v>
          </cell>
        </row>
        <row r="212">
          <cell r="G212" t="str">
            <v>TGX6X6 H/D36 MONTHS/450 000 KM48 MONTHS/600 000 KMCombinationNo</v>
          </cell>
          <cell r="H212">
            <v>113190</v>
          </cell>
          <cell r="AC212" t="str">
            <v>TGX6X4HYDRO48 MONTHS/500 000 KMEntire VehicleYes</v>
          </cell>
          <cell r="AD212">
            <v>174195</v>
          </cell>
          <cell r="AK212" t="str">
            <v>TGX6X6HYDRO48 MONTHS/500 000 KMDrivelineYes</v>
          </cell>
          <cell r="AL212">
            <v>56595</v>
          </cell>
        </row>
        <row r="213">
          <cell r="G213" t="str">
            <v>TGX6X6 H/D36 MONTHS/450 000 KM48 MONTHS/600 000 KMCombinationYes</v>
          </cell>
          <cell r="H213">
            <v>188160</v>
          </cell>
          <cell r="AC213" t="str">
            <v>TGX6X4HYDRO48 MONTHS/600 000 KMEntire VehicleYes</v>
          </cell>
          <cell r="AD213">
            <v>178605</v>
          </cell>
          <cell r="AK213" t="str">
            <v>TGX6X6HYDRO48 MONTHS/600 000 KMDrivelineYes</v>
          </cell>
          <cell r="AL213">
            <v>58065</v>
          </cell>
        </row>
        <row r="214">
          <cell r="G214" t="str">
            <v>TGX6X6 H/D36 MONTHS/450 000 KM60 MONTHS/750 000 KMCombinationNo</v>
          </cell>
          <cell r="H214">
            <v>194775</v>
          </cell>
          <cell r="AC214" t="str">
            <v>TGX6X4HYDRO60 MONTHS/125 000 KMEntire VehicleYes</v>
          </cell>
          <cell r="AD214">
            <v>164640</v>
          </cell>
          <cell r="AK214" t="str">
            <v>TGX6X6HYDRO60 MONTHS/125 000 KMDrivelineYes</v>
          </cell>
          <cell r="AL214">
            <v>56595</v>
          </cell>
        </row>
        <row r="215">
          <cell r="G215" t="str">
            <v>TGX6X6 H/D36 MONTHS/450 000 KM60 MONTHS/750 000 KMCombinationYes</v>
          </cell>
          <cell r="H215">
            <v>332955</v>
          </cell>
          <cell r="AC215" t="str">
            <v>TGX6X4HYDRO60 MONTHS/250 000 KMEntire VehicleYes</v>
          </cell>
          <cell r="AD215">
            <v>194040</v>
          </cell>
          <cell r="AK215" t="str">
            <v>TGX6X6HYDRO60 MONTHS/250 000 KMDrivelineYes</v>
          </cell>
          <cell r="AL215">
            <v>66885</v>
          </cell>
        </row>
        <row r="216">
          <cell r="G216" t="str">
            <v>TGX6X6 H/D48 MONTHS/300 000 KM60 MONTHS/750 000 KMCombinationNo</v>
          </cell>
          <cell r="H216">
            <v>171255</v>
          </cell>
          <cell r="AC216" t="str">
            <v>TGX6X4HYDRO60 MONTHS/375 000 KMEntire VehicleYes</v>
          </cell>
          <cell r="AD216">
            <v>227115</v>
          </cell>
          <cell r="AK216" t="str">
            <v>TGX6X6HYDRO60 MONTHS/375 000 KMDrivelineYes</v>
          </cell>
          <cell r="AL216">
            <v>77910</v>
          </cell>
        </row>
        <row r="217">
          <cell r="G217" t="str">
            <v>TGX6X6 H/D48 MONTHS/300 000 KM60 MONTHS/750 000 KMCombinationNo</v>
          </cell>
          <cell r="H217">
            <v>287385</v>
          </cell>
          <cell r="AC217" t="str">
            <v>TGX6X4HYDRO60 MONTHS/500 000 KMEntire VehicleYes</v>
          </cell>
          <cell r="AD217">
            <v>296940</v>
          </cell>
          <cell r="AK217" t="str">
            <v>TGX6X6HYDRO60 MONTHS/500 000 KMDrivelineYes</v>
          </cell>
          <cell r="AL217">
            <v>102165</v>
          </cell>
        </row>
        <row r="218">
          <cell r="G218" t="str">
            <v>TGX6X6 H/D48 MONTHS/300 000 KM60 MONTHS/750 000 KMCombinationYes</v>
          </cell>
          <cell r="H218">
            <v>241815</v>
          </cell>
          <cell r="AC218" t="str">
            <v>TGX6X4HYDRO60 MONTHS/625 000 KMEntire VehicleYes</v>
          </cell>
          <cell r="AD218">
            <v>365295</v>
          </cell>
          <cell r="AK218" t="str">
            <v>TGX6X6HYDRO60 MONTHS/625 000 KMDrivelineYes</v>
          </cell>
          <cell r="AL218">
            <v>118335</v>
          </cell>
        </row>
        <row r="219">
          <cell r="G219" t="str">
            <v>TGX6X6 H/D48 MONTHS/300 000 KM60 MONTHS/750 000 KMCombinationYes</v>
          </cell>
          <cell r="H219">
            <v>399840</v>
          </cell>
          <cell r="AC219" t="str">
            <v>TGX6X4HYDRO60 MONTHS/750 000 KMEntire VehicleYes</v>
          </cell>
          <cell r="AD219">
            <v>374850</v>
          </cell>
          <cell r="AK219" t="str">
            <v>TGX6X6HYDRO60 MONTHS/750 000 KMDrivelineYes</v>
          </cell>
          <cell r="AL219">
            <v>128625</v>
          </cell>
        </row>
        <row r="220">
          <cell r="G220" t="str">
            <v>TGX6X624 MONTHS/150 000 KM 60 MONTHS/375 000 KMCombinationNo</v>
          </cell>
          <cell r="H220">
            <v>72765</v>
          </cell>
          <cell r="AC220" t="str">
            <v>TGX6X624 MONTHS/100 000 KMEntire VehicleYes</v>
          </cell>
          <cell r="AD220">
            <v>7350</v>
          </cell>
          <cell r="AK220" t="str">
            <v>TGX8X236 MONTHS/225 000 KMDrivelineNo</v>
          </cell>
          <cell r="AL220">
            <v>9555</v>
          </cell>
        </row>
        <row r="221">
          <cell r="G221" t="str">
            <v>TGX6X624 MONTHS/150 000 KM 60 MONTHS/375 000 KMCombinationYes</v>
          </cell>
          <cell r="H221">
            <v>63210</v>
          </cell>
          <cell r="AC221" t="str">
            <v>TGX6X624 MONTHS/150 000 KMEntire VehicleYes</v>
          </cell>
          <cell r="AD221">
            <v>9555</v>
          </cell>
          <cell r="AK221" t="str">
            <v>TGX8X236 MONTHS/225 000 KMDrivelineYes</v>
          </cell>
          <cell r="AL221">
            <v>8085</v>
          </cell>
        </row>
        <row r="222">
          <cell r="G222" t="str">
            <v>TGX6X624 MONTHS/150 000 KM36 MONTHS/225 000 KMCombinationNo</v>
          </cell>
          <cell r="H222">
            <v>26030.454545454544</v>
          </cell>
          <cell r="AC222" t="str">
            <v>TGX6X624 MONTHS/200 000 KMEntire VehicleYes</v>
          </cell>
          <cell r="AD222">
            <v>11025</v>
          </cell>
          <cell r="AK222" t="str">
            <v>TGX8X236 MONTHS/300 000 KMDrivelineNo</v>
          </cell>
          <cell r="AL222">
            <v>11025</v>
          </cell>
        </row>
        <row r="223">
          <cell r="G223" t="str">
            <v>TGX6X624 MONTHS/150 000 KM36 MONTHS/225 000 KMCombinationYes</v>
          </cell>
          <cell r="H223">
            <v>22785</v>
          </cell>
          <cell r="AC223" t="str">
            <v>TGX6X624 MONTHS/250 000 KMEntire VehicleYes</v>
          </cell>
          <cell r="AD223">
            <v>13230</v>
          </cell>
          <cell r="AK223" t="str">
            <v>TGX8X236 MONTHS/300 000 KMDrivelineYes</v>
          </cell>
          <cell r="AL223">
            <v>9555</v>
          </cell>
        </row>
        <row r="224">
          <cell r="G224" t="str">
            <v>TGX6X624 MONTHS/150 000 KM48 MONTHS/300 000 KMCombinationNo</v>
          </cell>
          <cell r="H224">
            <v>41160</v>
          </cell>
          <cell r="AC224" t="str">
            <v>TGX6X624 MONTHS/300 000 KMEntire VehicleYes</v>
          </cell>
          <cell r="AD224">
            <v>13965</v>
          </cell>
          <cell r="AK224" t="str">
            <v>TGX8X236 MONTHS/375 000 KMDrivelineNo</v>
          </cell>
          <cell r="AL224">
            <v>13965</v>
          </cell>
        </row>
        <row r="225">
          <cell r="G225" t="str">
            <v>TGX6X624 MONTHS/150 000 KM48 MONTHS/300 000 KMCombinationYes</v>
          </cell>
          <cell r="H225">
            <v>35280</v>
          </cell>
          <cell r="AC225" t="str">
            <v>TGX6X624 MONTHS/50 000 KMEntire VehicleYes</v>
          </cell>
          <cell r="AD225">
            <v>5880</v>
          </cell>
          <cell r="AK225" t="str">
            <v>TGX8X236 MONTHS/375 000 KMDrivelineYes</v>
          </cell>
          <cell r="AL225">
            <v>11760</v>
          </cell>
        </row>
        <row r="226">
          <cell r="G226" t="str">
            <v>TGX6X624 MONTHS/300 000 KM36 MONTHS/450 000 KMCombinationNo</v>
          </cell>
          <cell r="H226">
            <v>41160</v>
          </cell>
          <cell r="AC226" t="str">
            <v>TGX6X636 MONTHS/150 000 KMEntire VehicleYes</v>
          </cell>
          <cell r="AD226">
            <v>27930</v>
          </cell>
          <cell r="AK226" t="str">
            <v>TGX8X236 MONTHS/450 000 KMDrivelineNo</v>
          </cell>
          <cell r="AL226">
            <v>16170</v>
          </cell>
        </row>
        <row r="227">
          <cell r="G227" t="str">
            <v>TGX6X624 MONTHS/300 000 KM36 MONTHS/450 000 KMCombinationYes</v>
          </cell>
          <cell r="H227">
            <v>35280</v>
          </cell>
          <cell r="AC227" t="str">
            <v>TGX6X636 MONTHS/225 000 KMEntire VehicleYes</v>
          </cell>
          <cell r="AD227">
            <v>33075</v>
          </cell>
          <cell r="AK227" t="str">
            <v>TGX8X236 MONTHS/450 000 KMDrivelineYes</v>
          </cell>
          <cell r="AL227">
            <v>13965</v>
          </cell>
        </row>
        <row r="228">
          <cell r="G228" t="str">
            <v>TGX6X624 MONTHS/300 000 KM48 MONTHS/600 000 KMCombinationNo</v>
          </cell>
          <cell r="H228">
            <v>74235</v>
          </cell>
          <cell r="AC228" t="str">
            <v>TGX6X636 MONTHS/300 000 KMEntire VehicleYes</v>
          </cell>
          <cell r="AD228">
            <v>42630</v>
          </cell>
          <cell r="AK228" t="str">
            <v>TGX8X236 MONTHS/525 000 KMDrivelineNo</v>
          </cell>
          <cell r="AL228">
            <v>19110</v>
          </cell>
        </row>
        <row r="229">
          <cell r="G229" t="str">
            <v>TGX6X624 MONTHS/300 000 KM48 MONTHS/600 000 KMCombinationYes</v>
          </cell>
          <cell r="H229">
            <v>63945</v>
          </cell>
          <cell r="AC229" t="str">
            <v>TGX6X636 MONTHS/375 000 KMEntire VehicleYes</v>
          </cell>
          <cell r="AD229">
            <v>52185</v>
          </cell>
          <cell r="AK229" t="str">
            <v>TGX8X236 MONTHS/525 000 KMDrivelineYes</v>
          </cell>
          <cell r="AL229">
            <v>16170</v>
          </cell>
        </row>
        <row r="230">
          <cell r="G230" t="str">
            <v>TGX6X624 MONTHS/300 000 KM60 MONTHS/750 000 KMCombinationNo</v>
          </cell>
          <cell r="H230">
            <v>145530</v>
          </cell>
          <cell r="AC230" t="str">
            <v>TGX6X636 MONTHS/450 000 KMEntire VehicleYes</v>
          </cell>
          <cell r="AD230">
            <v>56595</v>
          </cell>
          <cell r="AK230" t="str">
            <v>TGX8X236 MONTHS/600 000 KMDrivelineNo</v>
          </cell>
          <cell r="AL230">
            <v>22050</v>
          </cell>
        </row>
        <row r="231">
          <cell r="G231" t="str">
            <v>TGX6X624 MONTHS/300 000 KM60 MONTHS/750 000 KMCombinationYes</v>
          </cell>
          <cell r="H231">
            <v>126420</v>
          </cell>
          <cell r="AC231" t="str">
            <v>TGX6X636 MONTHS/75 000 KMEntire VehicleYes</v>
          </cell>
          <cell r="AD231">
            <v>23520</v>
          </cell>
          <cell r="AK231" t="str">
            <v>TGX8X236 MONTHS/600 000 KMDrivelineYes</v>
          </cell>
          <cell r="AL231">
            <v>19110</v>
          </cell>
        </row>
        <row r="232">
          <cell r="G232" t="str">
            <v>TGX6X636 MONTHS/225 000 KM48 MONTHS/300 000 KM CombinationNo</v>
          </cell>
          <cell r="H232">
            <v>52920</v>
          </cell>
          <cell r="AC232" t="str">
            <v>TGX6X648 MONTHS/100 000 KMEntire VehicleYes</v>
          </cell>
          <cell r="AD232">
            <v>74970</v>
          </cell>
          <cell r="AK232" t="str">
            <v>TGX8X248 MONTHS/300 000 KMDrivelineNo</v>
          </cell>
          <cell r="AL232">
            <v>12495</v>
          </cell>
        </row>
        <row r="233">
          <cell r="G233" t="str">
            <v>TGX6X636 MONTHS/225 000 KM48 MONTHS/300 000 KM CombinationYes</v>
          </cell>
          <cell r="H233">
            <v>45570</v>
          </cell>
          <cell r="AC233" t="str">
            <v>TGX6X648 MONTHS/200 000 KMEntire VehicleYes</v>
          </cell>
          <cell r="AD233">
            <v>88200</v>
          </cell>
          <cell r="AK233" t="str">
            <v>TGX8X248 MONTHS/300 000 KMDrivelineYes</v>
          </cell>
          <cell r="AL233">
            <v>10290</v>
          </cell>
        </row>
        <row r="234">
          <cell r="G234" t="str">
            <v>TGX6X636 MONTHS/225 000 KM60 MONTHS/750 000 KMCombinationNo</v>
          </cell>
          <cell r="H234">
            <v>84525</v>
          </cell>
          <cell r="AC234" t="str">
            <v>TGX6X648 MONTHS/300 000 KMEntire VehicleYes</v>
          </cell>
          <cell r="AD234">
            <v>102900</v>
          </cell>
          <cell r="AK234" t="str">
            <v>TGX8X248 MONTHS/400 000 KMDrivelineNo</v>
          </cell>
          <cell r="AL234">
            <v>16905</v>
          </cell>
        </row>
        <row r="235">
          <cell r="G235" t="str">
            <v>TGX6X636 MONTHS/225 000 KM60 MONTHS/750 000 KMCombinationYes</v>
          </cell>
          <cell r="H235">
            <v>73500</v>
          </cell>
          <cell r="AC235" t="str">
            <v>TGX6X648 MONTHS/400 000 KMEntire VehicleYes</v>
          </cell>
          <cell r="AD235">
            <v>134505</v>
          </cell>
          <cell r="AK235" t="str">
            <v>TGX8X248 MONTHS/400 000 KMDrivelineYes</v>
          </cell>
          <cell r="AL235">
            <v>14700</v>
          </cell>
        </row>
        <row r="236">
          <cell r="G236" t="str">
            <v>TGX6X636 MONTHS/450 000 KM48 MONTHS/600 000 KMCombinationNo</v>
          </cell>
          <cell r="H236">
            <v>98490</v>
          </cell>
          <cell r="AC236" t="str">
            <v>TGX6X648 MONTHS/500 000 KMEntire VehicleYes</v>
          </cell>
          <cell r="AD236">
            <v>165375</v>
          </cell>
          <cell r="AK236" t="str">
            <v>TGX8X248 MONTHS/500 000 KMDrivelineNo</v>
          </cell>
          <cell r="AL236">
            <v>24255</v>
          </cell>
        </row>
        <row r="237">
          <cell r="G237" t="str">
            <v>TGX6X636 MONTHS/450 000 KM48 MONTHS/600 000 KMCombinationYes</v>
          </cell>
          <cell r="H237">
            <v>85260</v>
          </cell>
          <cell r="AC237" t="str">
            <v>TGX6X648 MONTHS/600 000 KMEntire VehicleYes</v>
          </cell>
          <cell r="AD237">
            <v>169785</v>
          </cell>
          <cell r="AK237" t="str">
            <v>TGX8X248 MONTHS/500 000 KMDrivelineYes</v>
          </cell>
          <cell r="AL237">
            <v>20580</v>
          </cell>
        </row>
        <row r="238">
          <cell r="G238" t="str">
            <v>TGX6X636 MONTHS/450 000 KM60 MONTHS/750 000 KMCombinationNo</v>
          </cell>
          <cell r="H238">
            <v>169479.54545454544</v>
          </cell>
          <cell r="AC238" t="str">
            <v>TGX6X660 MONTHS/125 000 KMEntire VehicleYes</v>
          </cell>
          <cell r="AD238">
            <v>156555</v>
          </cell>
          <cell r="AK238" t="str">
            <v>TGX8X248 MONTHS/600 000 KMDrivelineNo</v>
          </cell>
          <cell r="AL238">
            <v>33075</v>
          </cell>
        </row>
        <row r="239">
          <cell r="G239" t="str">
            <v>TGX6X636 MONTHS/450 000 KM60 MONTHS/750 000 KMCombinationYes</v>
          </cell>
          <cell r="H239">
            <v>147735</v>
          </cell>
          <cell r="AC239" t="str">
            <v>TGX6X660 MONTHS/250 000 KMEntire VehicleYes</v>
          </cell>
          <cell r="AD239">
            <v>184485</v>
          </cell>
          <cell r="AK239" t="str">
            <v>TGX8X248 MONTHS/600 000 KMDrivelineYes</v>
          </cell>
          <cell r="AL239">
            <v>28665</v>
          </cell>
        </row>
        <row r="240">
          <cell r="G240" t="str">
            <v>TGX6X648 MONTHS/300 000 KM60 MONTHS/750 000 KMCombinationNo</v>
          </cell>
          <cell r="H240">
            <v>149940</v>
          </cell>
          <cell r="AC240" t="str">
            <v>TGX6X660 MONTHS/375 000 KMEntire VehicleYes</v>
          </cell>
          <cell r="AD240">
            <v>216090</v>
          </cell>
          <cell r="AK240" t="str">
            <v>TGX8X248 MONTHS/700 000 KMDrivelineNo</v>
          </cell>
          <cell r="AL240">
            <v>42630</v>
          </cell>
        </row>
        <row r="241">
          <cell r="G241" t="str">
            <v>TGX6X648 MONTHS/300 000 KM60 MONTHS/750 000 KMCombinationNo</v>
          </cell>
          <cell r="H241">
            <v>266805</v>
          </cell>
          <cell r="AC241" t="str">
            <v>TGX6X660 MONTHS/500 000 KMEntire VehicleYes</v>
          </cell>
          <cell r="AD241">
            <v>282240</v>
          </cell>
          <cell r="AK241" t="str">
            <v>TGX8X248 MONTHS/700 000 KMDrivelineYes</v>
          </cell>
          <cell r="AL241">
            <v>36750</v>
          </cell>
        </row>
        <row r="242">
          <cell r="G242" t="str">
            <v>TGX6X648 MONTHS/300 000 KM60 MONTHS/750 000 KMCombinationYes</v>
          </cell>
          <cell r="H242">
            <v>130830</v>
          </cell>
          <cell r="AC242" t="str">
            <v>TGX6X660 MONTHS/625 000 KMEntire VehicleYes</v>
          </cell>
          <cell r="AD242">
            <v>347655</v>
          </cell>
          <cell r="AK242" t="str">
            <v>TGX8X248 MONTHS/800 000 KMDrivelineNo</v>
          </cell>
          <cell r="AL242">
            <v>52185</v>
          </cell>
        </row>
        <row r="243">
          <cell r="G243" t="str">
            <v>TGX6X648 MONTHS/300 000 KM60 MONTHS/750 000 KMCombinationYes</v>
          </cell>
          <cell r="H243">
            <v>232260</v>
          </cell>
          <cell r="AC243" t="str">
            <v>TGX6X660 MONTHS/750 000 KMEntire VehicleYes</v>
          </cell>
          <cell r="AD243">
            <v>356475</v>
          </cell>
          <cell r="AK243" t="str">
            <v>TGX8X248 MONTHS/800 000 KMDrivelineYes</v>
          </cell>
          <cell r="AL243">
            <v>44835</v>
          </cell>
        </row>
        <row r="244">
          <cell r="G244" t="str">
            <v>TGX8X224 MONTHS/300 000 KM36 MONTHS/450 000 KMCombinationNo</v>
          </cell>
          <cell r="H244">
            <v>30135</v>
          </cell>
          <cell r="AC244" t="str">
            <v>TGX6X6H/D24 MONTHS/100 000 KMEntire VehicleYes</v>
          </cell>
          <cell r="AD244">
            <v>13230</v>
          </cell>
          <cell r="AK244" t="str">
            <v>TGX8X260 MONTHS/1 000 000 KMDrivelineNo</v>
          </cell>
          <cell r="AL244">
            <v>80115</v>
          </cell>
        </row>
        <row r="245">
          <cell r="G245" t="str">
            <v>TGX8X224 MONTHS/300 000 KM36 MONTHS/450 000 KMCombinationYes</v>
          </cell>
          <cell r="H245">
            <v>25725</v>
          </cell>
          <cell r="AC245" t="str">
            <v>TGX6X6H/D24 MONTHS/150 000 KMEntire VehicleYes</v>
          </cell>
          <cell r="AD245">
            <v>16170</v>
          </cell>
          <cell r="AK245" t="str">
            <v>TGX8X260 MONTHS/1 000 000 KMDrivelineYes</v>
          </cell>
          <cell r="AL245">
            <v>69090</v>
          </cell>
        </row>
        <row r="246">
          <cell r="G246" t="str">
            <v>TGX8X224 MONTHS/300 000 KM48 MONTHS/600 000 KMCombinationNo</v>
          </cell>
          <cell r="H246">
            <v>47040</v>
          </cell>
          <cell r="AC246" t="str">
            <v>TGX6X6H/D24 MONTHS/200 000 KMEntire VehicleYes</v>
          </cell>
          <cell r="AD246">
            <v>20580</v>
          </cell>
          <cell r="AK246" t="str">
            <v>TGX8X260 MONTHS/375 000 KMDrivelineNo</v>
          </cell>
          <cell r="AL246">
            <v>24990</v>
          </cell>
        </row>
        <row r="247">
          <cell r="G247" t="str">
            <v>TGX8X224 MONTHS/300 000 KM48 MONTHS/600 000 KMCombinationYes</v>
          </cell>
          <cell r="H247">
            <v>40425</v>
          </cell>
          <cell r="AC247" t="str">
            <v>TGX6X6H/D24 MONTHS/250 000 KMEntire VehicleYes</v>
          </cell>
          <cell r="AD247">
            <v>27930</v>
          </cell>
          <cell r="AK247" t="str">
            <v>TGX8X260 MONTHS/375 000 KMDrivelineYes</v>
          </cell>
          <cell r="AL247">
            <v>21315</v>
          </cell>
        </row>
        <row r="248">
          <cell r="G248" t="str">
            <v>TGX8X224 MONTHS/300 000 KM60 MONTHS/750 000 KMCombinationNo</v>
          </cell>
          <cell r="H248">
            <v>69825</v>
          </cell>
          <cell r="AC248" t="str">
            <v>TGX6X6H/D24 MONTHS/300 000 KMEntire VehicleYes</v>
          </cell>
          <cell r="AD248">
            <v>36015</v>
          </cell>
          <cell r="AK248" t="str">
            <v>TGX8X260 MONTHS/500 000 KMDrivelineNo</v>
          </cell>
          <cell r="AL248">
            <v>33810</v>
          </cell>
        </row>
        <row r="249">
          <cell r="G249" t="str">
            <v>TGX8X224 MONTHS/300 000 KM60 MONTHS/750 000 KMCombinationYes</v>
          </cell>
          <cell r="H249">
            <v>60270</v>
          </cell>
          <cell r="AC249" t="str">
            <v>TGX6X6H/D24 MONTHS/50 000 KMEntire VehicleYes</v>
          </cell>
          <cell r="AD249">
            <v>10290</v>
          </cell>
          <cell r="AK249" t="str">
            <v>TGX8X260 MONTHS/500 000 KMDrivelineYes</v>
          </cell>
          <cell r="AL249">
            <v>29400</v>
          </cell>
        </row>
        <row r="250">
          <cell r="G250" t="str">
            <v>TGX8X224 MONTHS/400 000 KM36 MONTHS/600 000 KMCombinationNo</v>
          </cell>
          <cell r="H250">
            <v>38220</v>
          </cell>
          <cell r="AC250" t="str">
            <v>TGX6X6H/D36 MONTHS/150 000 KMEntire VehicleYes</v>
          </cell>
          <cell r="AD250">
            <v>67620</v>
          </cell>
          <cell r="AK250" t="str">
            <v>TGX8X260 MONTHS/625 000 KMDrivelineNo</v>
          </cell>
          <cell r="AL250">
            <v>44100</v>
          </cell>
        </row>
        <row r="251">
          <cell r="G251" t="str">
            <v>TGX8X224 MONTHS/400 000 KM36 MONTHS/600 000 KMCombinationYes</v>
          </cell>
          <cell r="H251">
            <v>33075</v>
          </cell>
          <cell r="AC251" t="str">
            <v>TGX6X6H/D36 MONTHS/225 000 KMEntire VehicleYes</v>
          </cell>
          <cell r="AD251">
            <v>79380</v>
          </cell>
          <cell r="AK251" t="str">
            <v>TGX8X260 MONTHS/625 000 KMDrivelineYes</v>
          </cell>
          <cell r="AL251">
            <v>38220</v>
          </cell>
        </row>
        <row r="252">
          <cell r="G252" t="str">
            <v>TGX8X224 MONTHS/400 000 KM48 MONTHS/800 000 KMCombinationNo</v>
          </cell>
          <cell r="H252">
            <v>68355</v>
          </cell>
          <cell r="AC252" t="str">
            <v>TGX6X6H/D36 MONTHS/300 000 KMEntire VehicleYes</v>
          </cell>
          <cell r="AD252">
            <v>109200</v>
          </cell>
          <cell r="AK252" t="str">
            <v>TGX8X260 MONTHS/750 000 KMDrivelineNo</v>
          </cell>
          <cell r="AL252">
            <v>55860</v>
          </cell>
        </row>
        <row r="253">
          <cell r="G253" t="str">
            <v>TGX8X224 MONTHS/400 000 KM48 MONTHS/800 000 KMCombinationYes</v>
          </cell>
          <cell r="H253">
            <v>58800</v>
          </cell>
          <cell r="AC253" t="str">
            <v>TGX6X6H/D36 MONTHS/375 000 KMEntire VehicleYes</v>
          </cell>
          <cell r="AD253">
            <v>127155</v>
          </cell>
          <cell r="AK253" t="str">
            <v>TGX8X260 MONTHS/750 000 KMDrivelineYes</v>
          </cell>
          <cell r="AL253">
            <v>48510</v>
          </cell>
        </row>
        <row r="254">
          <cell r="G254" t="str">
            <v>TGX8X224 MONTHS/400 000 KM60 MONTHS/1000 000 KMCombinationNo</v>
          </cell>
          <cell r="H254">
            <v>96285</v>
          </cell>
          <cell r="AC254" t="str">
            <v>TGX6X6H/D36 MONTHS/450 000 KMEntire VehicleYes</v>
          </cell>
          <cell r="AD254">
            <v>130095</v>
          </cell>
          <cell r="AK254" t="str">
            <v>TGX8X260 MONTHS/875 000 KMDrivelineNo</v>
          </cell>
          <cell r="AL254">
            <v>58065</v>
          </cell>
        </row>
        <row r="255">
          <cell r="G255" t="str">
            <v>TGX8X224 MONTHS/400 000 KM60 MONTHS/1000 000 KMCombinationYes</v>
          </cell>
          <cell r="H255">
            <v>83055</v>
          </cell>
          <cell r="AC255" t="str">
            <v>TGX6X6H/D36 MONTHS/75 000 KMEntire VehicleYes</v>
          </cell>
          <cell r="AD255">
            <v>57330</v>
          </cell>
          <cell r="AK255" t="str">
            <v>TGX8X260 MONTHS/875 000 KMDrivelineYes</v>
          </cell>
          <cell r="AL255">
            <v>58065</v>
          </cell>
        </row>
        <row r="256">
          <cell r="G256" t="str">
            <v>TGX8X236 MONTHS/450 000 KM48 MONTHS/600 000 KMCombinationNo</v>
          </cell>
          <cell r="H256">
            <v>57330</v>
          </cell>
          <cell r="AC256" t="str">
            <v>TGX6X6H/D48 MONTHS/100 000 KMEntire VehicleYes</v>
          </cell>
          <cell r="AD256">
            <v>111720</v>
          </cell>
          <cell r="AK256" t="str">
            <v>TGX8X436 MONTHS/150 000 KMDrivelineYes</v>
          </cell>
          <cell r="AL256">
            <v>12495</v>
          </cell>
        </row>
        <row r="257">
          <cell r="G257" t="str">
            <v>TGX8X236 MONTHS/450 000 KM48 MONTHS/600 000 KMCombinationYes</v>
          </cell>
          <cell r="H257">
            <v>49245</v>
          </cell>
          <cell r="AC257" t="str">
            <v>TGX6X6H/D48 MONTHS/200 000 KMEntire VehicleYes</v>
          </cell>
          <cell r="AD257">
            <v>131565</v>
          </cell>
          <cell r="AK257" t="str">
            <v>TGX8X436 MONTHS/225 000 KMDrivelineYes</v>
          </cell>
          <cell r="AL257">
            <v>14700</v>
          </cell>
        </row>
        <row r="258">
          <cell r="G258" t="str">
            <v>TGX8X236 MONTHS/450 000 KM60 MONTHS/750 000 KMCombinationNo</v>
          </cell>
          <cell r="H258">
            <v>80115</v>
          </cell>
          <cell r="AC258" t="str">
            <v>TGX6X6H/D48 MONTHS/300 000 KMEntire VehicleYes</v>
          </cell>
          <cell r="AD258">
            <v>154350</v>
          </cell>
          <cell r="AK258" t="str">
            <v>TGX8X436 MONTHS/300 000 KMDrivelineYes</v>
          </cell>
          <cell r="AL258">
            <v>19110</v>
          </cell>
        </row>
        <row r="259">
          <cell r="G259" t="str">
            <v>TGX8X236 MONTHS/450 000 KM60 MONTHS/750 000 KMCombinationYes</v>
          </cell>
          <cell r="H259">
            <v>69090</v>
          </cell>
          <cell r="AC259" t="str">
            <v>TGX6X6H/D48 MONTHS/400 000 KMEntire VehicleYes</v>
          </cell>
          <cell r="AD259">
            <v>201390</v>
          </cell>
          <cell r="AK259" t="str">
            <v>TGX8X436 MONTHS/375 000 KMDrivelineYes</v>
          </cell>
          <cell r="AL259">
            <v>23520</v>
          </cell>
        </row>
        <row r="260">
          <cell r="G260" t="str">
            <v>TGX8X236 MONTHS/600 000 KM48 MONTHS/800 000 KMCombinationNo</v>
          </cell>
          <cell r="H260">
            <v>80115</v>
          </cell>
          <cell r="AC260" t="str">
            <v>TGX6X6H/D48 MONTHS/500 000 KMEntire VehicleYes</v>
          </cell>
          <cell r="AD260">
            <v>248430</v>
          </cell>
          <cell r="AK260" t="str">
            <v>TGX8X436 MONTHS/450 000 KMDrivelineYes</v>
          </cell>
          <cell r="AL260">
            <v>27195</v>
          </cell>
        </row>
        <row r="261">
          <cell r="G261" t="str">
            <v>TGX8X236 MONTHS/600 000 KM48 MONTHS/800 000 KMCombinationYes</v>
          </cell>
          <cell r="H261">
            <v>69090</v>
          </cell>
          <cell r="AC261" t="str">
            <v>TGX6X6H/D48 MONTHS/600 000 KMEntire VehicleYes</v>
          </cell>
          <cell r="AD261">
            <v>255045</v>
          </cell>
          <cell r="AK261" t="str">
            <v>TGX8X436 MONTHS/75 000 KMDrivelineYes</v>
          </cell>
          <cell r="AL261">
            <v>8085</v>
          </cell>
        </row>
        <row r="262">
          <cell r="G262" t="str">
            <v>TGX8X236 MONTHS/600 000 KM60 MONTHS/1000 000 KMCombinationNo</v>
          </cell>
          <cell r="H262">
            <v>108045</v>
          </cell>
          <cell r="AC262" t="str">
            <v>TGX6X6H/D60 MONTHS/125 000 KMEntire VehicleYes</v>
          </cell>
          <cell r="AD262">
            <v>235200</v>
          </cell>
          <cell r="AK262" t="str">
            <v>TGX8X448 MONTHS/100 000 KMDrivelineYes</v>
          </cell>
          <cell r="AL262">
            <v>22050</v>
          </cell>
        </row>
        <row r="263">
          <cell r="G263" t="str">
            <v>TGX8X236 MONTHS/600 000 KM60 MONTHS/1000 000 KMCombinationYes</v>
          </cell>
          <cell r="H263">
            <v>93345</v>
          </cell>
          <cell r="AC263" t="str">
            <v>TGX6X6H/D60 MONTHS/250 000 KMEntire VehicleYes</v>
          </cell>
          <cell r="AD263">
            <v>276360</v>
          </cell>
          <cell r="AK263" t="str">
            <v>TGX8X448 MONTHS/200 000 KMDrivelineYes</v>
          </cell>
          <cell r="AL263">
            <v>25725</v>
          </cell>
        </row>
        <row r="264">
          <cell r="G264" t="str">
            <v>TGX8X248 MONTHS/600 000 KM60 MONTHS/750 000 KMCombinationNo</v>
          </cell>
          <cell r="H264">
            <v>110985</v>
          </cell>
          <cell r="AC264" t="str">
            <v>TGX6X6H/D60 MONTHS/375 000 KMEntire VehicleYes</v>
          </cell>
          <cell r="AD264">
            <v>324135</v>
          </cell>
          <cell r="AK264" t="str">
            <v>TGX8X448 MONTHS/300 000 KMDrivelineYes</v>
          </cell>
          <cell r="AL264">
            <v>30870</v>
          </cell>
        </row>
        <row r="265">
          <cell r="G265" t="str">
            <v>TGX8X248 MONTHS/600 000 KM60 MONTHS/750 000 KMCombinationYes</v>
          </cell>
          <cell r="H265">
            <v>96285</v>
          </cell>
          <cell r="AC265" t="str">
            <v>TGX6X6H/D60 MONTHS/500 000 KMEntire VehicleYes</v>
          </cell>
          <cell r="AD265">
            <v>422625</v>
          </cell>
          <cell r="AK265" t="str">
            <v>TGX8X448 MONTHS/400 000 KMDrivelineYes</v>
          </cell>
          <cell r="AL265">
            <v>39690</v>
          </cell>
        </row>
        <row r="266">
          <cell r="G266" t="str">
            <v>TGX8X248 MONTHS/800 000 KM60 MONTHS/1000 000 KMCombinationNo</v>
          </cell>
          <cell r="H266">
            <v>128625</v>
          </cell>
          <cell r="AC266" t="str">
            <v>TGX6X6H/D60 MONTHS/625 000 KMEntire VehicleYes</v>
          </cell>
          <cell r="AD266">
            <v>521115</v>
          </cell>
          <cell r="AK266" t="str">
            <v>TGX8X448 MONTHS/500 000 KMDrivelineYes</v>
          </cell>
          <cell r="AL266">
            <v>61005</v>
          </cell>
        </row>
        <row r="267">
          <cell r="G267" t="str">
            <v>TGX8X248 MONTHS/800 000 KM60 MONTHS/1000 000 KMCombinationYes</v>
          </cell>
          <cell r="H267">
            <v>111720</v>
          </cell>
          <cell r="AC267" t="str">
            <v>TGX6X6H/D60 MONTHS/750 000 KMEntire VehicleYes</v>
          </cell>
          <cell r="AD267">
            <v>535080</v>
          </cell>
          <cell r="AK267" t="str">
            <v>TGX8X448 MONTHS/600 000 KMDrivelineYes</v>
          </cell>
          <cell r="AL267">
            <v>62475</v>
          </cell>
        </row>
        <row r="268">
          <cell r="G268" t="str">
            <v>TGX8X4 H/D (ABN)24 MONTHS/150 000 KM36 MONTHS/225 000 KMCombinationNo</v>
          </cell>
          <cell r="H268">
            <v>71295</v>
          </cell>
          <cell r="AC268" t="str">
            <v>TGX6X6HYDRO24 MONTHS/100 000 KMEntire VehicleYes</v>
          </cell>
          <cell r="AD268">
            <v>8820</v>
          </cell>
          <cell r="AK268" t="str">
            <v>TGX8X460 MONTHS/125 000 KMDrivelineYes</v>
          </cell>
          <cell r="AL268">
            <v>34545</v>
          </cell>
        </row>
        <row r="269">
          <cell r="G269" t="str">
            <v>TGX8X4 H/D (ABN)24 MONTHS/150 000 KM36 MONTHS/225 000 KMCombinationYes</v>
          </cell>
          <cell r="H269">
            <v>26460</v>
          </cell>
          <cell r="AC269" t="str">
            <v>TGX6X6HYDRO24 MONTHS/150 000 KMEntire VehicleYes</v>
          </cell>
          <cell r="AD269">
            <v>10290</v>
          </cell>
          <cell r="AK269" t="str">
            <v>TGX8X460 MONTHS/250 000 KMDrivelineYes</v>
          </cell>
          <cell r="AL269">
            <v>41160</v>
          </cell>
        </row>
        <row r="270">
          <cell r="G270" t="str">
            <v>TGX8X4 H/D (ABN)24 MONTHS/150 000 KM48 MONTHS/300 000 KMCombinationNo</v>
          </cell>
          <cell r="H270">
            <v>111720</v>
          </cell>
          <cell r="AC270" t="str">
            <v>TGX6X6HYDRO24 MONTHS/200 000 KMEntire VehicleYes</v>
          </cell>
          <cell r="AD270">
            <v>13230</v>
          </cell>
          <cell r="AK270" t="str">
            <v>TGX8X460 MONTHS/375 000 KMDrivelineYes</v>
          </cell>
          <cell r="AL270">
            <v>47775</v>
          </cell>
        </row>
        <row r="271">
          <cell r="G271" t="str">
            <v>TGX8X4 H/D (ABN)24 MONTHS/150 000 KM48 MONTHS/300 000 KMCombinationYes</v>
          </cell>
          <cell r="H271">
            <v>47775</v>
          </cell>
          <cell r="AC271" t="str">
            <v>TGX6X6HYDRO24 MONTHS/250 000 KMEntire VehicleYes</v>
          </cell>
          <cell r="AD271">
            <v>17640</v>
          </cell>
          <cell r="AK271" t="str">
            <v>TGX8X460 MONTHS/500 000 KMDrivelineYes</v>
          </cell>
          <cell r="AL271">
            <v>77910</v>
          </cell>
        </row>
        <row r="272">
          <cell r="G272" t="str">
            <v>TGX8X4 H/D (ABN)24 MONTHS/150 000 KM60 MONTHS/375 000 KMCombinationNo</v>
          </cell>
          <cell r="H272">
            <v>212415</v>
          </cell>
          <cell r="AC272" t="str">
            <v>TGX6X6HYDRO24 MONTHS/300 000 KMEntire VehicleYes</v>
          </cell>
          <cell r="AD272">
            <v>19110</v>
          </cell>
          <cell r="AK272" t="str">
            <v>TGX8X460 MONTHS/625 000 KMDrivelineYes</v>
          </cell>
          <cell r="AL272">
            <v>114660</v>
          </cell>
        </row>
        <row r="273">
          <cell r="G273" t="str">
            <v>TGX8X4 H/D (ABN)24 MONTHS/150 000 KM60 MONTHS/375 000 KMCombinationYes</v>
          </cell>
          <cell r="H273">
            <v>88200</v>
          </cell>
          <cell r="AC273" t="str">
            <v>TGX6X6HYDRO24 MONTHS/50 000 KMEntire VehicleYes</v>
          </cell>
          <cell r="AD273">
            <v>6615</v>
          </cell>
          <cell r="AK273" t="str">
            <v>TGX8X460 MONTHS/750 000 KMDrivelineYes</v>
          </cell>
          <cell r="AL273">
            <v>118335</v>
          </cell>
        </row>
        <row r="274">
          <cell r="G274" t="str">
            <v>TGX8X4 H/D (ABN)24 MONTHS/300 000 KM36 MONTHS/450 000 KMCombinationNo</v>
          </cell>
          <cell r="H274">
            <v>126420</v>
          </cell>
          <cell r="AC274" t="str">
            <v>TGX6X6HYDRO36 MONTHS/150 000 KMEntire VehicleYes</v>
          </cell>
          <cell r="AD274">
            <v>34545</v>
          </cell>
          <cell r="AK274" t="str">
            <v>TGX8X4H/D36 MONTHS/150 000 KMDrivelineYes</v>
          </cell>
          <cell r="AL274">
            <v>38220</v>
          </cell>
        </row>
        <row r="275">
          <cell r="G275" t="str">
            <v>TGX8X4 H/D (ABN)24 MONTHS/300 000 KM36 MONTHS/450 000 KMCombinationYes</v>
          </cell>
          <cell r="H275">
            <v>45312.272727272721</v>
          </cell>
          <cell r="AC275" t="str">
            <v>TGX6X6HYDRO36 MONTHS/225 000 KMEntire VehicleYes</v>
          </cell>
          <cell r="AD275">
            <v>40425</v>
          </cell>
          <cell r="AK275" t="str">
            <v>TGX8X4H/D36 MONTHS/225 000 KMDrivelineYes</v>
          </cell>
          <cell r="AL275">
            <v>44835</v>
          </cell>
        </row>
        <row r="276">
          <cell r="G276" t="str">
            <v>TGX8X4 H/D (ABN)24 MONTHS/300 000 KM48 MONTHS/600 000 KMCombinationNo</v>
          </cell>
          <cell r="H276">
            <v>193305</v>
          </cell>
          <cell r="AC276" t="str">
            <v>TGX6X6HYDRO36 MONTHS/300 000 KMEntire VehicleYes</v>
          </cell>
          <cell r="AD276">
            <v>52185</v>
          </cell>
          <cell r="AK276" t="str">
            <v>TGX8X4H/D36 MONTHS/300 000 KMDrivelineYes</v>
          </cell>
          <cell r="AL276">
            <v>58065</v>
          </cell>
        </row>
        <row r="277">
          <cell r="G277" t="str">
            <v>TGX8X4 H/D (ABN)24 MONTHS/300 000 KM48 MONTHS/600 000 KMCombinationYes</v>
          </cell>
          <cell r="H277">
            <v>77175</v>
          </cell>
          <cell r="AC277" t="str">
            <v>TGX6X6HYDRO36 MONTHS/375 000 KMEntire VehicleYes</v>
          </cell>
          <cell r="AD277">
            <v>64680</v>
          </cell>
          <cell r="AK277" t="str">
            <v>TGX8X4H/D36 MONTHS/375 000 KMDrivelineYes</v>
          </cell>
          <cell r="AL277">
            <v>71295</v>
          </cell>
        </row>
        <row r="278">
          <cell r="G278" t="str">
            <v>TGX8X4 H/D (ABN)24 MONTHS/300 000 KM60 MONTHS/750 000 KMCombinationNo</v>
          </cell>
          <cell r="H278">
            <v>360150</v>
          </cell>
          <cell r="AC278" t="str">
            <v>TGX6X6HYDRO36 MONTHS/450 000 KMEntire VehicleYes</v>
          </cell>
          <cell r="AD278">
            <v>66885</v>
          </cell>
          <cell r="AK278" t="str">
            <v>TGX8X4H/D36 MONTHS/450 000 KMDrivelineYes</v>
          </cell>
          <cell r="AL278">
            <v>73500</v>
          </cell>
        </row>
        <row r="279">
          <cell r="G279" t="str">
            <v>TGX8X4 H/D (ABN)24 MONTHS/300 000 KM60 MONTHS/750 000 KMCombinationYes</v>
          </cell>
          <cell r="H279">
            <v>147735</v>
          </cell>
          <cell r="AC279" t="str">
            <v>TGX6X6HYDRO36 MONTHS/75 000 KMEntire VehicleYes</v>
          </cell>
          <cell r="AD279">
            <v>29400</v>
          </cell>
          <cell r="AK279" t="str">
            <v>TGX8X4H/D36 MONTHS/75 000 KMDrivelineYes</v>
          </cell>
          <cell r="AL279">
            <v>32340</v>
          </cell>
        </row>
        <row r="280">
          <cell r="G280" t="str">
            <v>TGX8X4 H/D (ABN)36 MONTHS/225 000 KM48 MONTHS/300 000 KM CombinationNo</v>
          </cell>
          <cell r="H280">
            <v>132300</v>
          </cell>
          <cell r="AC280" t="str">
            <v>TGX6X6HYDRO48 MONTHS/100 000 KMEntire VehicleYes</v>
          </cell>
          <cell r="AD280">
            <v>79830</v>
          </cell>
          <cell r="AK280" t="str">
            <v>TGX8X4H/D48 MONTHS/100 000 KMDrivelineYes</v>
          </cell>
          <cell r="AL280">
            <v>58065</v>
          </cell>
        </row>
        <row r="281">
          <cell r="G281" t="str">
            <v>TGX8X4 H/D (ABN)36 MONTHS/225 000 KM48 MONTHS/300 000 KM CombinationYes</v>
          </cell>
          <cell r="H281">
            <v>61740</v>
          </cell>
          <cell r="AC281" t="str">
            <v>TGX6X6HYDRO48 MONTHS/200 000 KMEntire VehicleYes</v>
          </cell>
          <cell r="AD281">
            <v>92610</v>
          </cell>
          <cell r="AK281" t="str">
            <v>TGX8X4H/D48 MONTHS/200 000 KMDrivelineYes</v>
          </cell>
          <cell r="AL281">
            <v>68335</v>
          </cell>
        </row>
        <row r="282">
          <cell r="G282" t="str">
            <v>TGX8X4 H/D (ABN)36 MONTHS/225 000 KM60 MONTHS/750 000 KMCombinationNo</v>
          </cell>
          <cell r="H282">
            <v>232995</v>
          </cell>
          <cell r="AC282" t="str">
            <v>TGX6X6HYDRO48 MONTHS/300 000 KMEntire VehicleYes</v>
          </cell>
          <cell r="AD282">
            <v>108045</v>
          </cell>
          <cell r="AK282" t="str">
            <v>TGX8X4H/D48 MONTHS/300 000 KMDrivelineYes</v>
          </cell>
          <cell r="AL282">
            <v>80115</v>
          </cell>
        </row>
        <row r="283">
          <cell r="G283" t="str">
            <v>TGX8X4 H/D (ABN)36 MONTHS/225 000 KM60 MONTHS/750 000 KMCombinationYes</v>
          </cell>
          <cell r="H283">
            <v>102165</v>
          </cell>
          <cell r="AC283" t="str">
            <v>TGX6X6HYDRO48 MONTHS/400 000 KMEntire VehicleYes</v>
          </cell>
          <cell r="AD283">
            <v>141855</v>
          </cell>
          <cell r="AK283" t="str">
            <v>TGX8X4H/D48 MONTHS/400 000 KMDrivelineYes</v>
          </cell>
          <cell r="AL283">
            <v>104370</v>
          </cell>
        </row>
        <row r="284">
          <cell r="G284" t="str">
            <v>TGX8X4 H/D (ABN)36 MONTHS/450 000 KM48 MONTHS/600 000 KMCombinationNo</v>
          </cell>
          <cell r="H284">
            <v>216825</v>
          </cell>
          <cell r="AC284" t="str">
            <v>TGX6X6HYDRO48 MONTHS/500 000 KMEntire VehicleYes</v>
          </cell>
          <cell r="AD284">
            <v>174195</v>
          </cell>
          <cell r="AK284" t="str">
            <v>TGX8X4H/D48 MONTHS/500 000 KMDrivelineYes</v>
          </cell>
          <cell r="AL284">
            <v>127890</v>
          </cell>
        </row>
        <row r="285">
          <cell r="G285" t="str">
            <v>TGX8X4 H/D (ABN)36 MONTHS/450 000 KM48 MONTHS/600 000 KMCombinationYes</v>
          </cell>
          <cell r="H285">
            <v>98490</v>
          </cell>
          <cell r="AC285" t="str">
            <v>TGX6X6HYDRO48 MONTHS/600 000 KMEntire VehicleYes</v>
          </cell>
          <cell r="AD285">
            <v>178605</v>
          </cell>
          <cell r="AK285" t="str">
            <v>TGX8X4H/D48 MONTHS/600 000 KMDrivelineYes</v>
          </cell>
          <cell r="AL285">
            <v>131565</v>
          </cell>
        </row>
        <row r="286">
          <cell r="G286" t="str">
            <v>TGX8X4 H/D (ABN)36 MONTHS/450 000 KM60 MONTHS/750 000 KMCombinationNo</v>
          </cell>
          <cell r="H286">
            <v>383670</v>
          </cell>
          <cell r="AC286" t="str">
            <v>TGX6X6HYDRO60 MONTHS/125 000 KMEntire VehicleYes</v>
          </cell>
          <cell r="AD286">
            <v>164640</v>
          </cell>
          <cell r="AK286" t="str">
            <v>TGX8X4H/D60 MONTHS/125 000 KMDrivelineYes</v>
          </cell>
          <cell r="AL286">
            <v>121275</v>
          </cell>
        </row>
        <row r="287">
          <cell r="G287" t="str">
            <v>TGX8X4 H/D (ABN)36 MONTHS/450 000 KM60 MONTHS/750 000 KMCombinationYes</v>
          </cell>
          <cell r="H287">
            <v>169050</v>
          </cell>
          <cell r="AC287" t="str">
            <v>TGX6X6HYDRO60 MONTHS/250 000 KMEntire VehicleYes</v>
          </cell>
          <cell r="AD287">
            <v>194040</v>
          </cell>
          <cell r="AK287" t="str">
            <v>TGX8X4H/D60 MONTHS/250 000 KMDrivelineYes</v>
          </cell>
          <cell r="AL287">
            <v>142590</v>
          </cell>
        </row>
        <row r="288">
          <cell r="G288" t="str">
            <v>TGX8X4 H/D (ABN)48 MONTHS/300 000 KM60 MONTHS/750 000 KMCombinationNo</v>
          </cell>
          <cell r="H288">
            <v>278565</v>
          </cell>
          <cell r="AC288" t="str">
            <v>TGX6X6HYDRO60 MONTHS/375 000 KMEntire VehicleYes</v>
          </cell>
          <cell r="AD288">
            <v>227115</v>
          </cell>
          <cell r="AK288" t="str">
            <v>TGX8X4H/D60 MONTHS/375 000 KMDrivelineYes</v>
          </cell>
          <cell r="AL288">
            <v>167580</v>
          </cell>
        </row>
        <row r="289">
          <cell r="G289" t="str">
            <v>TGX8X4 H/D (ABN)48 MONTHS/300 000 KM60 MONTHS/750 000 KMCombinationNo</v>
          </cell>
          <cell r="H289">
            <v>460845</v>
          </cell>
          <cell r="AC289" t="str">
            <v>TGX6X6HYDRO60 MONTHS/500 000 KMEntire VehicleYes</v>
          </cell>
          <cell r="AD289">
            <v>296940</v>
          </cell>
          <cell r="AK289" t="str">
            <v>TGX8X4H/D60 MONTHS/500 000 KMDrivelineYes</v>
          </cell>
          <cell r="AL289">
            <v>218295</v>
          </cell>
        </row>
        <row r="290">
          <cell r="G290" t="str">
            <v>TGX8X4 H/D (ABN)48 MONTHS/300 000 KM60 MONTHS/750 000 KMCombinationYes</v>
          </cell>
          <cell r="H290">
            <v>148470</v>
          </cell>
          <cell r="AC290" t="str">
            <v>TGX6X6HYDRO60 MONTHS/625 000 KMEntire VehicleYes</v>
          </cell>
          <cell r="AD290">
            <v>365295</v>
          </cell>
          <cell r="AK290" t="str">
            <v>TGX8X4H/D60 MONTHS/625 000 KMDrivelineYes</v>
          </cell>
          <cell r="AL290">
            <v>269010</v>
          </cell>
        </row>
        <row r="291">
          <cell r="G291" t="str">
            <v>TGX8X4 H/D (ABN)48 MONTHS/300 000 KM60 MONTHS/750 000 KMCombinationYes</v>
          </cell>
          <cell r="H291">
            <v>249165</v>
          </cell>
          <cell r="AC291" t="str">
            <v>TGX6X6HYDRO60 MONTHS/750 000 KMEntire VehicleYes</v>
          </cell>
          <cell r="AD291">
            <v>374850</v>
          </cell>
          <cell r="AK291" t="str">
            <v>TGX8X4H/D60 MONTHS/750 000 KMDrivelineYes</v>
          </cell>
          <cell r="AL291">
            <v>276360</v>
          </cell>
        </row>
        <row r="292">
          <cell r="G292" t="str">
            <v>TGX8X4 H/D24 MONTHS/150 000 KM36 MONTHS/225 000 KMCombinationNo</v>
          </cell>
          <cell r="H292">
            <v>31605</v>
          </cell>
          <cell r="AC292" t="str">
            <v>TGX8X224 MONTHS/150 000 KMEntire VehicleNo</v>
          </cell>
          <cell r="AD292">
            <v>7350</v>
          </cell>
          <cell r="AK292" t="str">
            <v>TGX8X4HYDRO36 MONTHS/150 000 KMDrivelineYes</v>
          </cell>
          <cell r="AL292">
            <v>13965</v>
          </cell>
        </row>
        <row r="293">
          <cell r="G293" t="str">
            <v>TGX8X4 H/D24 MONTHS/150 000 KM36 MONTHS/225 000 KMCombinationYes</v>
          </cell>
          <cell r="H293">
            <v>61005</v>
          </cell>
          <cell r="AC293" t="str">
            <v>TGX8X224 MONTHS/150 000 KMEntire VehicleYes</v>
          </cell>
          <cell r="AD293">
            <v>5880</v>
          </cell>
          <cell r="AK293" t="str">
            <v>TGX8X4HYDRO36 MONTHS/225 000 KMDrivelineYes</v>
          </cell>
          <cell r="AL293">
            <v>16170</v>
          </cell>
        </row>
        <row r="294">
          <cell r="G294" t="str">
            <v>TGX8X4 H/D24 MONTHS/150 000 KM48 MONTHS/300 000 KMCombinationNo</v>
          </cell>
          <cell r="H294">
            <v>55860</v>
          </cell>
          <cell r="AC294" t="str">
            <v>TGX8X224 MONTHS/200 000 KMEntire VehicleNo</v>
          </cell>
          <cell r="AD294">
            <v>8820</v>
          </cell>
          <cell r="AK294" t="str">
            <v>TGX8X4HYDRO36 MONTHS/300 000 KMDrivelineYes</v>
          </cell>
          <cell r="AL294">
            <v>20580</v>
          </cell>
        </row>
        <row r="295">
          <cell r="G295" t="str">
            <v>TGX8X4 H/D24 MONTHS/150 000 KM48 MONTHS/300 000 KMCombinationYes</v>
          </cell>
          <cell r="H295">
            <v>96285</v>
          </cell>
          <cell r="AC295" t="str">
            <v>TGX8X224 MONTHS/200 000 KMEntire VehicleYes</v>
          </cell>
          <cell r="AD295">
            <v>7350</v>
          </cell>
          <cell r="AK295" t="str">
            <v>TGX8X4HYDRO36 MONTHS/375 000 KMDrivelineYes</v>
          </cell>
          <cell r="AL295">
            <v>25725</v>
          </cell>
        </row>
        <row r="296">
          <cell r="G296" t="str">
            <v>TGX8X4 H/D24 MONTHS/150 000 KM60 MONTHS/375 000 KMCombinationNo</v>
          </cell>
          <cell r="H296">
            <v>102165</v>
          </cell>
          <cell r="AC296" t="str">
            <v>TGX8X224 MONTHS/250 000 KMEntire VehicleNo</v>
          </cell>
          <cell r="AD296">
            <v>11025</v>
          </cell>
          <cell r="AK296" t="str">
            <v>TGX8X4HYDRO36 MONTHS/450 000 KMDrivelineYes</v>
          </cell>
          <cell r="AL296">
            <v>26460</v>
          </cell>
        </row>
        <row r="297">
          <cell r="G297" t="str">
            <v>TGX8X4 H/D24 MONTHS/150 000 KM60 MONTHS/375 000 KMCombinationYes</v>
          </cell>
          <cell r="H297">
            <v>183750</v>
          </cell>
          <cell r="AC297" t="str">
            <v>TGX8X224 MONTHS/250 000 KMEntire VehicleYes</v>
          </cell>
          <cell r="AD297">
            <v>9555</v>
          </cell>
          <cell r="AK297" t="str">
            <v>TGX8X4HYDRO36 MONTHS/75 000 KMDrivelineYes</v>
          </cell>
          <cell r="AL297">
            <v>11760</v>
          </cell>
        </row>
        <row r="298">
          <cell r="G298" t="str">
            <v>TGX8X4 H/D24 MONTHS/300 000 KM36 MONTHS/450 000 KMCombinationNo</v>
          </cell>
          <cell r="H298">
            <v>52920</v>
          </cell>
          <cell r="AC298" t="str">
            <v>TGX8X224 MONTHS/300 000 KMEntire VehicleNo</v>
          </cell>
          <cell r="AD298">
            <v>13965</v>
          </cell>
          <cell r="AK298" t="str">
            <v>TGX8X4HYDRO48 MONTHS/100 000 KMDrivelineYes</v>
          </cell>
          <cell r="AL298">
            <v>27195</v>
          </cell>
        </row>
        <row r="299">
          <cell r="G299" t="str">
            <v>TGX8X4 H/D24 MONTHS/300 000 KM36 MONTHS/450 000 KMCombinationYes</v>
          </cell>
          <cell r="H299">
            <v>109515</v>
          </cell>
          <cell r="AC299" t="str">
            <v>TGX8X224 MONTHS/300 000 KMEntire VehicleYes</v>
          </cell>
          <cell r="AD299">
            <v>11760</v>
          </cell>
          <cell r="AK299" t="str">
            <v>TGX8X4HYDRO48 MONTHS/200 000 KMDrivelineYes</v>
          </cell>
          <cell r="AL299">
            <v>31605</v>
          </cell>
        </row>
        <row r="300">
          <cell r="G300" t="str">
            <v>TGX8X4 H/D24 MONTHS/300 000 KM48 MONTHS/600 000 KMCombinationNo</v>
          </cell>
          <cell r="H300">
            <v>88935</v>
          </cell>
          <cell r="AC300" t="str">
            <v>TGX8X224 MONTHS/350 000 KMEntire VehicleNo</v>
          </cell>
          <cell r="AD300">
            <v>15435</v>
          </cell>
          <cell r="AK300" t="str">
            <v>TGX8X4HYDRO48 MONTHS/300 000 KMDrivelineYes</v>
          </cell>
          <cell r="AL300">
            <v>37485</v>
          </cell>
        </row>
        <row r="301">
          <cell r="G301" t="str">
            <v>TGX8X4 H/D24 MONTHS/300 000 KM48 MONTHS/600 000 KMCombinationYes</v>
          </cell>
          <cell r="H301">
            <v>167580</v>
          </cell>
          <cell r="AC301" t="str">
            <v>TGX8X224 MONTHS/350 000 KMEntire VehicleYes</v>
          </cell>
          <cell r="AD301">
            <v>13230</v>
          </cell>
          <cell r="AK301" t="str">
            <v>TGX8X4HYDRO48 MONTHS/400 000 KMDrivelineYes</v>
          </cell>
          <cell r="AL301">
            <v>48510</v>
          </cell>
        </row>
        <row r="302">
          <cell r="G302" t="str">
            <v>TGX8X4 H/D24 MONTHS/300 000 KM60 MONTHS/750 000 KMCombinationNo</v>
          </cell>
          <cell r="H302">
            <v>170520</v>
          </cell>
          <cell r="AC302" t="str">
            <v>TGX8X224 MONTHS/400 000 KMEntire VehicleNo</v>
          </cell>
          <cell r="AD302">
            <v>16170</v>
          </cell>
          <cell r="AK302" t="str">
            <v>TGX8X4HYDRO48 MONTHS/500 000 KMDrivelineYes</v>
          </cell>
          <cell r="AL302">
            <v>56595</v>
          </cell>
        </row>
        <row r="303">
          <cell r="G303" t="str">
            <v>TGX8X4 H/D24 MONTHS/300 000 KM60 MONTHS/750 000 KMCombinationYes</v>
          </cell>
          <cell r="H303">
            <v>312375</v>
          </cell>
          <cell r="AC303" t="str">
            <v>TGX8X224 MONTHS/400 000 KMEntire VehicleYes</v>
          </cell>
          <cell r="AD303">
            <v>13965</v>
          </cell>
          <cell r="AK303" t="str">
            <v>TGX8X4HYDRO48 MONTHS/600 000 KMDrivelineYes</v>
          </cell>
          <cell r="AL303">
            <v>58065</v>
          </cell>
        </row>
        <row r="304">
          <cell r="G304" t="str">
            <v>TGX8X4 H/D36 MONTHS/225 000 KM48 MONTHS/300 000 KM CombinationNo</v>
          </cell>
          <cell r="H304">
            <v>71295</v>
          </cell>
          <cell r="AC304" t="str">
            <v>TGX8X236 MONTHS/225 000 KMEntire VehicleNo</v>
          </cell>
          <cell r="AD304">
            <v>25725</v>
          </cell>
          <cell r="AK304" t="str">
            <v>TGX8X4HYDRO60 MONTHS/125 000 KMDrivelineYes</v>
          </cell>
          <cell r="AL304">
            <v>56595</v>
          </cell>
        </row>
        <row r="305">
          <cell r="G305" t="str">
            <v>TGX8X4 H/D36 MONTHS/225 000 KM48 MONTHS/300 000 KM CombinationYes</v>
          </cell>
          <cell r="H305">
            <v>114660</v>
          </cell>
          <cell r="AC305" t="str">
            <v>TGX8X236 MONTHS/225 000 KMEntire VehicleYes</v>
          </cell>
          <cell r="AD305">
            <v>22050</v>
          </cell>
          <cell r="AK305" t="str">
            <v>TGX8X4HYDRO60 MONTHS/250 000 KMDrivelineYes</v>
          </cell>
          <cell r="AL305">
            <v>66885</v>
          </cell>
        </row>
        <row r="306">
          <cell r="G306" t="str">
            <v>TGX8X4 H/D36 MONTHS/225 000 KM60 MONTHS/750 000 KMCombinationNo</v>
          </cell>
          <cell r="H306">
            <v>117600</v>
          </cell>
          <cell r="AC306" t="str">
            <v>TGX8X236 MONTHS/300 000 KMEntire VehicleNo</v>
          </cell>
          <cell r="AD306">
            <v>29400</v>
          </cell>
          <cell r="AK306" t="str">
            <v>TGX8X4HYDRO60 MONTHS/375 000 KMDrivelineYes</v>
          </cell>
          <cell r="AL306">
            <v>77910</v>
          </cell>
        </row>
        <row r="307">
          <cell r="G307" t="str">
            <v>TGX8X4 H/D36 MONTHS/225 000 KM60 MONTHS/750 000 KMCombinationYes</v>
          </cell>
          <cell r="H307">
            <v>202125</v>
          </cell>
          <cell r="AC307" t="str">
            <v>TGX8X236 MONTHS/300 000 KMEntire VehicleYes</v>
          </cell>
          <cell r="AD307">
            <v>24990</v>
          </cell>
          <cell r="AK307" t="str">
            <v>TGX8X4HYDRO60 MONTHS/500 000 KMDrivelineYes</v>
          </cell>
          <cell r="AL307">
            <v>102165</v>
          </cell>
        </row>
        <row r="308">
          <cell r="G308" t="str">
            <v>TGX8X4 H/D36 MONTHS/450 000 KM48 MONTHS/600 000 KMCombinationNo</v>
          </cell>
          <cell r="H308">
            <v>113190</v>
          </cell>
          <cell r="AC308" t="str">
            <v>TGX8X236 MONTHS/375 000 KMEntire VehicleNo</v>
          </cell>
          <cell r="AD308">
            <v>35280</v>
          </cell>
          <cell r="AK308" t="str">
            <v>TGX8X4HYDRO60 MONTHS/625 000 KMDrivelineYes</v>
          </cell>
          <cell r="AL308">
            <v>118335</v>
          </cell>
        </row>
        <row r="309">
          <cell r="G309" t="str">
            <v>TGX8X4 H/D36 MONTHS/450 000 KM48 MONTHS/600 000 KMCombinationYes</v>
          </cell>
          <cell r="H309">
            <v>188160</v>
          </cell>
          <cell r="AC309" t="str">
            <v>TGX8X236 MONTHS/375 000 KMEntire VehicleYes</v>
          </cell>
          <cell r="AD309">
            <v>30135</v>
          </cell>
          <cell r="AK309" t="str">
            <v>TGX8X4HYDRO60 MONTHS/750 000 KMDrivelineYes</v>
          </cell>
          <cell r="AL309">
            <v>128625</v>
          </cell>
        </row>
        <row r="310">
          <cell r="G310" t="str">
            <v>TGX8X4 H/D36 MONTHS/450 000 KM60 MONTHS/750 000 KMCombinationNo</v>
          </cell>
          <cell r="H310">
            <v>194775</v>
          </cell>
          <cell r="AC310" t="str">
            <v>TGX8X236 MONTHS/450 000 KMEntire VehicleNo</v>
          </cell>
          <cell r="AD310">
            <v>40425</v>
          </cell>
          <cell r="AK310" t="str">
            <v>TGX8X636 MONTHS/150 000 KMDrivelineYes</v>
          </cell>
          <cell r="AL310">
            <v>12495</v>
          </cell>
        </row>
        <row r="311">
          <cell r="G311" t="str">
            <v>TGX8X4 H/D36 MONTHS/450 000 KM60 MONTHS/750 000 KMCombinationYes</v>
          </cell>
          <cell r="H311">
            <v>332955</v>
          </cell>
          <cell r="AC311" t="str">
            <v>TGX8X236 MONTHS/450 000 KMEntire VehicleYes</v>
          </cell>
          <cell r="AD311">
            <v>34545</v>
          </cell>
          <cell r="AK311" t="str">
            <v>TGX8X636 MONTHS/225 000 KMDrivelineYes</v>
          </cell>
          <cell r="AL311">
            <v>14700</v>
          </cell>
        </row>
        <row r="312">
          <cell r="G312" t="str">
            <v>TGX8X4 H/D48 MONTHS/300 000 KM60 MONTHS/750 000 KMCombinationNo</v>
          </cell>
          <cell r="H312">
            <v>171255</v>
          </cell>
          <cell r="AC312" t="str">
            <v>TGX8X236 MONTHS/525 000 KMEntire VehicleNo</v>
          </cell>
          <cell r="AD312">
            <v>44835</v>
          </cell>
          <cell r="AK312" t="str">
            <v>TGX8X636 MONTHS/300 000 KMDrivelineYes</v>
          </cell>
          <cell r="AL312">
            <v>19110</v>
          </cell>
        </row>
        <row r="313">
          <cell r="G313" t="str">
            <v>TGX8X4 H/D48 MONTHS/300 000 KM60 MONTHS/750 000 KMCombinationNo</v>
          </cell>
          <cell r="H313">
            <v>287385</v>
          </cell>
          <cell r="AC313" t="str">
            <v>TGX8X236 MONTHS/525 000 KMEntire VehicleYes</v>
          </cell>
          <cell r="AD313">
            <v>38955</v>
          </cell>
          <cell r="AK313" t="str">
            <v>TGX8X636 MONTHS/375 000 KMDrivelineYes</v>
          </cell>
          <cell r="AL313">
            <v>23520</v>
          </cell>
        </row>
        <row r="314">
          <cell r="G314" t="str">
            <v>TGX8X4 H/D48 MONTHS/300 000 KM60 MONTHS/750 000 KMCombinationYes</v>
          </cell>
          <cell r="H314">
            <v>241815</v>
          </cell>
          <cell r="AC314" t="str">
            <v>TGX8X236 MONTHS/600 000 KMEntire VehicleNo</v>
          </cell>
          <cell r="AD314">
            <v>49980</v>
          </cell>
          <cell r="AK314" t="str">
            <v>TGX8X636 MONTHS/450 000 KMDrivelineYes</v>
          </cell>
          <cell r="AL314">
            <v>27195</v>
          </cell>
        </row>
        <row r="315">
          <cell r="G315" t="str">
            <v>TGX8X4 H/D48 MONTHS/300 000 KM60 MONTHS/750 000 KMCombinationYes</v>
          </cell>
          <cell r="H315">
            <v>399840</v>
          </cell>
          <cell r="AC315" t="str">
            <v>TGX8X236 MONTHS/600 000 KMEntire VehicleYes</v>
          </cell>
          <cell r="AD315">
            <v>43365</v>
          </cell>
          <cell r="AK315" t="str">
            <v>TGX8X636 MONTHS/75 000 KMDrivelineYes</v>
          </cell>
          <cell r="AL315">
            <v>8085</v>
          </cell>
        </row>
        <row r="316">
          <cell r="G316" t="str">
            <v>TGX8X424 MONTHS/150 000 KM 60 MONTHS/375 000 KMCombinationNo</v>
          </cell>
          <cell r="H316">
            <v>67620</v>
          </cell>
          <cell r="AC316" t="str">
            <v>TGX8X248 MONTHS/300 000 KMEntire VehicleNo</v>
          </cell>
          <cell r="AD316">
            <v>50715</v>
          </cell>
          <cell r="AK316" t="str">
            <v>TGX8X648 MONTHS/100 000 KMDrivelineYes</v>
          </cell>
          <cell r="AL316">
            <v>22050</v>
          </cell>
        </row>
        <row r="317">
          <cell r="G317" t="str">
            <v>TGX8X424 MONTHS/150 000 KM 60 MONTHS/375 000 KMCombinationYes</v>
          </cell>
          <cell r="H317">
            <v>58065</v>
          </cell>
          <cell r="AC317" t="str">
            <v>TGX8X248 MONTHS/300 000 KMEntire VehicleYes</v>
          </cell>
          <cell r="AD317">
            <v>44100</v>
          </cell>
          <cell r="AK317" t="str">
            <v>TGX8X648 MONTHS/200 000 KMDrivelineYes</v>
          </cell>
          <cell r="AL317">
            <v>25725</v>
          </cell>
        </row>
        <row r="318">
          <cell r="G318" t="str">
            <v>TGX8X424 MONTHS/150 000 KM36 MONTHS/225 000 KMCombinationNo</v>
          </cell>
          <cell r="H318">
            <v>29400</v>
          </cell>
          <cell r="AC318" t="str">
            <v>TGX8X248 MONTHS/400 000 KMEntire VehicleNo</v>
          </cell>
          <cell r="AD318">
            <v>65415</v>
          </cell>
          <cell r="AK318" t="str">
            <v>TGX8X648 MONTHS/300 000 KMDrivelineYes</v>
          </cell>
          <cell r="AL318">
            <v>30870</v>
          </cell>
        </row>
        <row r="319">
          <cell r="G319" t="str">
            <v>TGX8X424 MONTHS/150 000 KM36 MONTHS/225 000 KMCombinationYes</v>
          </cell>
          <cell r="H319">
            <v>24990</v>
          </cell>
          <cell r="AC319" t="str">
            <v>TGX8X248 MONTHS/400 000 KMEntire VehicleYes</v>
          </cell>
          <cell r="AD319">
            <v>56595</v>
          </cell>
          <cell r="AK319" t="str">
            <v>TGX8X648 MONTHS/400 000 KMDrivelineYes</v>
          </cell>
          <cell r="AL319">
            <v>39690</v>
          </cell>
        </row>
        <row r="320">
          <cell r="G320" t="str">
            <v>TGX8X424 MONTHS/150 000 KM48 MONTHS/300 000 KMCombinationNo</v>
          </cell>
          <cell r="H320">
            <v>48510</v>
          </cell>
          <cell r="AC320" t="str">
            <v>TGX8X248 MONTHS/500 000 KMEntire VehicleNo</v>
          </cell>
          <cell r="AD320">
            <v>80115</v>
          </cell>
          <cell r="AK320" t="str">
            <v>TGX8X648 MONTHS/500 000 KMDrivelineYes</v>
          </cell>
          <cell r="AL320">
            <v>61005</v>
          </cell>
        </row>
        <row r="321">
          <cell r="G321" t="str">
            <v>TGX8X424 MONTHS/150 000 KM48 MONTHS/300 000 KMCombinationYes</v>
          </cell>
          <cell r="H321">
            <v>41160</v>
          </cell>
          <cell r="AC321" t="str">
            <v>TGX8X248 MONTHS/500 000 KMEntire VehicleYes</v>
          </cell>
          <cell r="AD321">
            <v>69090</v>
          </cell>
          <cell r="AK321" t="str">
            <v>TGX8X648 MONTHS/600 000 KMDrivelineYes</v>
          </cell>
          <cell r="AL321">
            <v>62475</v>
          </cell>
        </row>
        <row r="322">
          <cell r="G322" t="str">
            <v>TGX8X424 MONTHS/300 000 KM36 MONTHS/450 000 KMCombinationNo</v>
          </cell>
          <cell r="H322">
            <v>53655</v>
          </cell>
          <cell r="AC322" t="str">
            <v>TGX8X248 MONTHS/600 000 KMEntire VehicleNo</v>
          </cell>
          <cell r="AD322">
            <v>88200</v>
          </cell>
          <cell r="AK322" t="str">
            <v>TGX8X660 MONTHS/125 000 KMDrivelineYes</v>
          </cell>
          <cell r="AL322">
            <v>34545</v>
          </cell>
        </row>
        <row r="323">
          <cell r="G323" t="str">
            <v>TGX8X424 MONTHS/300 000 KM36 MONTHS/450 000 KMCombinationYes</v>
          </cell>
          <cell r="H323">
            <v>46305</v>
          </cell>
          <cell r="AC323" t="str">
            <v>TGX8X248 MONTHS/600 000 KMEntire VehicleYes</v>
          </cell>
          <cell r="AD323">
            <v>76440</v>
          </cell>
          <cell r="AK323" t="str">
            <v>TGX8X660 MONTHS/250 000 KMDrivelineYes</v>
          </cell>
          <cell r="AL323">
            <v>41160</v>
          </cell>
        </row>
        <row r="324">
          <cell r="G324" t="str">
            <v>TGX8X424 MONTHS/300 000 KM48 MONTHS/600 000 KMCombinationNo</v>
          </cell>
          <cell r="H324">
            <v>94080</v>
          </cell>
          <cell r="AC324" t="str">
            <v>TGX8X248 MONTHS/700 000 KMEntire VehicleNo</v>
          </cell>
          <cell r="AD324">
            <v>94080</v>
          </cell>
          <cell r="AK324" t="str">
            <v>TGX8X660 MONTHS/375 000 KMDrivelineYes</v>
          </cell>
          <cell r="AL324">
            <v>47775</v>
          </cell>
        </row>
        <row r="325">
          <cell r="G325" t="str">
            <v>TGX8X424 MONTHS/300 000 KM48 MONTHS/600 000 KMCombinationYes</v>
          </cell>
          <cell r="H325">
            <v>81585</v>
          </cell>
          <cell r="AC325" t="str">
            <v>TGX8X248 MONTHS/700 000 KMEntire VehicleYes</v>
          </cell>
          <cell r="AD325">
            <v>81585</v>
          </cell>
          <cell r="AK325" t="str">
            <v>TGX8X660 MONTHS/500 000 KMDrivelineYes</v>
          </cell>
          <cell r="AL325">
            <v>77910</v>
          </cell>
        </row>
        <row r="326">
          <cell r="G326" t="str">
            <v>TGX8X424 MONTHS/300 000 KM60 MONTHS/750 000 KMCombinationNo</v>
          </cell>
          <cell r="H326">
            <v>158760</v>
          </cell>
          <cell r="AC326" t="str">
            <v>TGX8X248 MONTHS/800 000 KMEntire VehicleNo</v>
          </cell>
          <cell r="AD326">
            <v>100695</v>
          </cell>
          <cell r="AK326" t="str">
            <v>TGX8X660 MONTHS/625 000 KMDrivelineYes</v>
          </cell>
          <cell r="AL326">
            <v>114660</v>
          </cell>
        </row>
        <row r="327">
          <cell r="G327" t="str">
            <v>TGX8X424 MONTHS/300 000 KM60 MONTHS/750 000 KMCombinationYes</v>
          </cell>
          <cell r="H327">
            <v>137445</v>
          </cell>
          <cell r="AC327" t="str">
            <v>TGX8X248 MONTHS/800 000 KMEntire VehicleYes</v>
          </cell>
          <cell r="AD327">
            <v>87465</v>
          </cell>
          <cell r="AK327" t="str">
            <v>TGX8X660 MONTHS/750 000 KMDrivelineYes</v>
          </cell>
          <cell r="AL327">
            <v>118335</v>
          </cell>
        </row>
        <row r="328">
          <cell r="G328" t="str">
            <v>TGX8X436 MONTHS/225 000 KM48 MONTHS/300 000 KM CombinationNo</v>
          </cell>
          <cell r="H328">
            <v>66150</v>
          </cell>
          <cell r="AC328" t="str">
            <v>TGX8X260 MONTHS/1 000 000 KMEntire VehicleNo</v>
          </cell>
          <cell r="AD328">
            <v>189630</v>
          </cell>
          <cell r="AK328" t="str">
            <v>TGX8X6H/D36 MONTHS/150 000 KMDrivelineYes</v>
          </cell>
          <cell r="AL328">
            <v>38220</v>
          </cell>
        </row>
        <row r="329">
          <cell r="G329" t="str">
            <v>TGX8X436 MONTHS/225 000 KM48 MONTHS/300 000 KM CombinationYes</v>
          </cell>
          <cell r="H329">
            <v>56595</v>
          </cell>
          <cell r="AC329" t="str">
            <v>TGX8X260 MONTHS/1 000 000 KMEntire VehicleYes</v>
          </cell>
          <cell r="AD329">
            <v>164640</v>
          </cell>
          <cell r="AK329" t="str">
            <v>TGX8X6H/D36 MONTHS/225 000 KMDrivelineYes</v>
          </cell>
          <cell r="AL329">
            <v>44835</v>
          </cell>
        </row>
        <row r="330">
          <cell r="G330" t="str">
            <v>TGX8X436 MONTHS/225 000 KM60 MONTHS/750 000 KMCombinationNo</v>
          </cell>
          <cell r="H330">
            <v>85260</v>
          </cell>
          <cell r="AC330" t="str">
            <v>TGX8X260 MONTHS/375 000 KMEntire VehicleNo</v>
          </cell>
          <cell r="AD330">
            <v>95550</v>
          </cell>
          <cell r="AK330" t="str">
            <v>TGX8X6H/D36 MONTHS/300 000 KMDrivelineYes</v>
          </cell>
          <cell r="AL330">
            <v>58065</v>
          </cell>
        </row>
        <row r="331">
          <cell r="G331" t="str">
            <v>TGX8X436 MONTHS/225 000 KM60 MONTHS/750 000 KMCombinationYes</v>
          </cell>
          <cell r="H331">
            <v>73500</v>
          </cell>
          <cell r="AC331" t="str">
            <v>TGX8X260 MONTHS/375 000 KMEntire VehicleYes</v>
          </cell>
          <cell r="AD331">
            <v>83055</v>
          </cell>
          <cell r="AK331" t="str">
            <v>TGX8X6H/D36 MONTHS/375 000 KMDrivelineYes</v>
          </cell>
          <cell r="AL331">
            <v>71295</v>
          </cell>
        </row>
        <row r="332">
          <cell r="G332" t="str">
            <v>TGX8X436 MONTHS/450 000 KM48 MONTHS/600 000 KMCombinationNo</v>
          </cell>
          <cell r="H332">
            <v>117600</v>
          </cell>
          <cell r="AC332" t="str">
            <v>TGX8X260 MONTHS/500 000 KMEntire VehicleNo</v>
          </cell>
          <cell r="AD332">
            <v>126420</v>
          </cell>
          <cell r="AK332" t="str">
            <v>TGX8X6H/D36 MONTHS/450 000 KMDrivelineYes</v>
          </cell>
          <cell r="AL332">
            <v>73500</v>
          </cell>
        </row>
        <row r="333">
          <cell r="G333" t="str">
            <v>TGX8X436 MONTHS/450 000 KM48 MONTHS/600 000 KMCombinationYes</v>
          </cell>
          <cell r="H333">
            <v>102165</v>
          </cell>
          <cell r="AC333" t="str">
            <v>TGX8X260 MONTHS/500 000 KMEntire VehicleYes</v>
          </cell>
          <cell r="AD333">
            <v>109515</v>
          </cell>
          <cell r="AK333" t="str">
            <v>TGX8X6H/D36 MONTHS/75 000 KMDrivelineYes</v>
          </cell>
          <cell r="AL333">
            <v>32340</v>
          </cell>
        </row>
        <row r="334">
          <cell r="G334" t="str">
            <v>TGX8X436 MONTHS/450 000 KM60 MONTHS/750 000 KMCombinationNo</v>
          </cell>
          <cell r="H334">
            <v>182280</v>
          </cell>
          <cell r="AC334" t="str">
            <v>TGX8X260 MONTHS/625 000 KMEntire VehicleNo</v>
          </cell>
          <cell r="AD334">
            <v>150675</v>
          </cell>
          <cell r="AK334" t="str">
            <v>TGX8X6H/D48 MONTHS/100 000 KMDrivelineYes</v>
          </cell>
          <cell r="AL334">
            <v>58065</v>
          </cell>
        </row>
        <row r="335">
          <cell r="G335" t="str">
            <v>TGX8X436 MONTHS/450 000 KM60 MONTHS/750 000 KMCombinationYes</v>
          </cell>
          <cell r="H335">
            <v>158025</v>
          </cell>
          <cell r="AC335" t="str">
            <v>TGX8X260 MONTHS/625 000 KMEntire VehicleYes</v>
          </cell>
          <cell r="AD335">
            <v>130830</v>
          </cell>
          <cell r="AK335" t="str">
            <v>TGX8X6H/D48 MONTHS/200 000 KMDrivelineYes</v>
          </cell>
          <cell r="AL335">
            <v>68335</v>
          </cell>
        </row>
        <row r="336">
          <cell r="G336" t="str">
            <v>TGX8X448 MONTHS/300 000 KM60 MONTHS/750 000 KMCombinationNo</v>
          </cell>
          <cell r="H336">
            <v>144060</v>
          </cell>
          <cell r="AC336" t="str">
            <v>TGX8X260 MONTHS/750 000 KMEntire VehicleNo</v>
          </cell>
          <cell r="AD336">
            <v>163170</v>
          </cell>
          <cell r="AK336" t="str">
            <v>TGX8X6H/D48 MONTHS/300 000 KMDrivelineYes</v>
          </cell>
          <cell r="AL336">
            <v>80115</v>
          </cell>
        </row>
        <row r="337">
          <cell r="G337" t="str">
            <v>TGX8X448 MONTHS/300 000 KM60 MONTHS/750 000 KMCombinationNo</v>
          </cell>
          <cell r="H337">
            <v>270480</v>
          </cell>
          <cell r="AC337" t="str">
            <v>TGX8X260 MONTHS/750 000 KMEntire VehicleYes</v>
          </cell>
          <cell r="AD337">
            <v>141855</v>
          </cell>
          <cell r="AK337" t="str">
            <v>TGX8X6H/D48 MONTHS/400 000 KMDrivelineYes</v>
          </cell>
          <cell r="AL337">
            <v>104370</v>
          </cell>
        </row>
        <row r="338">
          <cell r="G338" t="str">
            <v>TGX8X448 MONTHS/300 000 KM60 MONTHS/750 000 KMCombinationYes</v>
          </cell>
          <cell r="H338">
            <v>124950</v>
          </cell>
          <cell r="AC338" t="str">
            <v>TGX8X260 MONTHS/875 000 KMEntire VehicleNo</v>
          </cell>
          <cell r="AD338">
            <v>171990</v>
          </cell>
          <cell r="AK338" t="str">
            <v>TGX8X6H/D48 MONTHS/500 000 KMDrivelineYes</v>
          </cell>
          <cell r="AL338">
            <v>127890</v>
          </cell>
        </row>
        <row r="339">
          <cell r="G339" t="str">
            <v>TGX8X448 MONTHS/300 000 KM60 MONTHS/750 000 KMCombinationYes</v>
          </cell>
          <cell r="H339">
            <v>234465</v>
          </cell>
          <cell r="AC339" t="str">
            <v>TGX8X260 MONTHS/875 000 KMEntire VehicleYes</v>
          </cell>
          <cell r="AD339">
            <v>149205</v>
          </cell>
          <cell r="AK339" t="str">
            <v>TGX8X6H/D48 MONTHS/600 000 KMDrivelineYes</v>
          </cell>
          <cell r="AL339">
            <v>131565</v>
          </cell>
        </row>
        <row r="340">
          <cell r="G340" t="str">
            <v>TGX8X6 H/D (ABN)24 MONTHS/150 000 KM36 MONTHS/225 000 KMCombinationNo</v>
          </cell>
          <cell r="H340">
            <v>71295</v>
          </cell>
          <cell r="AC340" t="str">
            <v>TGX8X424 MONTHS/100 000 KMEntire VehicleYes</v>
          </cell>
          <cell r="AD340">
            <v>8820</v>
          </cell>
          <cell r="AK340" t="str">
            <v>TGX8X6H/D60 MONTHS/125 000 KMDrivelineYes</v>
          </cell>
          <cell r="AL340">
            <v>121275</v>
          </cell>
        </row>
        <row r="341">
          <cell r="G341" t="str">
            <v>TGX8X6 H/D (ABN)24 MONTHS/150 000 KM36 MONTHS/225 000 KMCombinationYes</v>
          </cell>
          <cell r="H341">
            <v>26460</v>
          </cell>
          <cell r="AC341" t="str">
            <v>TGX8X424 MONTHS/150 000 KMEntire VehicleYes</v>
          </cell>
          <cell r="AD341">
            <v>10290</v>
          </cell>
          <cell r="AK341" t="str">
            <v>TGX8X6H/D60 MONTHS/250 000 KMDrivelineYes</v>
          </cell>
          <cell r="AL341">
            <v>142590</v>
          </cell>
        </row>
        <row r="342">
          <cell r="G342" t="str">
            <v>TGX8X6 H/D (ABN)24 MONTHS/150 000 KM48 MONTHS/300 000 KMCombinationNo</v>
          </cell>
          <cell r="H342">
            <v>111720</v>
          </cell>
          <cell r="AC342" t="str">
            <v>TGX8X424 MONTHS/200 000 KMEntire VehicleYes</v>
          </cell>
          <cell r="AD342">
            <v>13230</v>
          </cell>
          <cell r="AK342" t="str">
            <v>TGX8X6H/D60 MONTHS/375 000 KMDrivelineYes</v>
          </cell>
          <cell r="AL342">
            <v>167580</v>
          </cell>
        </row>
        <row r="343">
          <cell r="G343" t="str">
            <v>TGX8X6 H/D (ABN)24 MONTHS/150 000 KM48 MONTHS/300 000 KMCombinationYes</v>
          </cell>
          <cell r="H343">
            <v>47775</v>
          </cell>
          <cell r="AC343" t="str">
            <v>TGX8X424 MONTHS/250 000 KMEntire VehicleYes</v>
          </cell>
          <cell r="AD343">
            <v>17640</v>
          </cell>
          <cell r="AK343" t="str">
            <v>TGX8X6H/D60 MONTHS/500 000 KMDrivelineYes</v>
          </cell>
          <cell r="AL343">
            <v>218295</v>
          </cell>
        </row>
        <row r="344">
          <cell r="G344" t="str">
            <v>TGX8X6 H/D (ABN)24 MONTHS/150 000 KM60 MONTHS/375 000 KMCombinationNo</v>
          </cell>
          <cell r="H344">
            <v>212415</v>
          </cell>
          <cell r="AC344" t="str">
            <v>TGX8X424 MONTHS/300 000 KMEntire VehicleYes</v>
          </cell>
          <cell r="AD344">
            <v>19110</v>
          </cell>
          <cell r="AK344" t="str">
            <v>TGX8X6H/D60 MONTHS/625 000 KMDrivelineYes</v>
          </cell>
          <cell r="AL344">
            <v>269010</v>
          </cell>
        </row>
        <row r="345">
          <cell r="G345" t="str">
            <v>TGX8X6 H/D (ABN)24 MONTHS/150 000 KM60 MONTHS/375 000 KMCombinationYes</v>
          </cell>
          <cell r="H345">
            <v>88200</v>
          </cell>
          <cell r="AC345" t="str">
            <v>TGX8X424 MONTHS/50 000 KMEntire VehicleYes</v>
          </cell>
          <cell r="AD345">
            <v>6615</v>
          </cell>
          <cell r="AK345" t="str">
            <v>TGX8X6H/D60 MONTHS/750 000 KMDrivelineYes</v>
          </cell>
          <cell r="AL345">
            <v>276360</v>
          </cell>
        </row>
        <row r="346">
          <cell r="G346" t="str">
            <v>TGX8X6 H/D (ABN)24 MONTHS/300 000 KM36 MONTHS/450 000 KMCombinationNo</v>
          </cell>
          <cell r="H346">
            <v>126420</v>
          </cell>
          <cell r="AC346" t="str">
            <v>TGX8X436 MONTHS/150 000 KMEntire VehicleYes</v>
          </cell>
          <cell r="AD346">
            <v>34545</v>
          </cell>
          <cell r="AK346" t="str">
            <v>TGX8X6HYDRO36 MONTHS/150 000 KMDrivelineYes</v>
          </cell>
          <cell r="AL346">
            <v>13965</v>
          </cell>
        </row>
        <row r="347">
          <cell r="G347" t="str">
            <v>TGX8X6 H/D (ABN)24 MONTHS/300 000 KM36 MONTHS/450 000 KMCombinationYes</v>
          </cell>
          <cell r="H347">
            <v>45312.272727272721</v>
          </cell>
          <cell r="AC347" t="str">
            <v>TGX8X436 MONTHS/225 000 KMEntire VehicleYes</v>
          </cell>
          <cell r="AD347">
            <v>40425</v>
          </cell>
          <cell r="AK347" t="str">
            <v>TGX8X6HYDRO36 MONTHS/225 000 KMDrivelineYes</v>
          </cell>
          <cell r="AL347">
            <v>16170</v>
          </cell>
        </row>
        <row r="348">
          <cell r="G348" t="str">
            <v>TGX8X6 H/D (ABN)24 MONTHS/300 000 KM48 MONTHS/600 000 KMCombinationNo</v>
          </cell>
          <cell r="H348">
            <v>193305</v>
          </cell>
          <cell r="AC348" t="str">
            <v>TGX8X436 MONTHS/300 000 KMEntire VehicleYes</v>
          </cell>
          <cell r="AD348">
            <v>52185</v>
          </cell>
          <cell r="AK348" t="str">
            <v>TGX8X6HYDRO36 MONTHS/300 000 KMDrivelineYes</v>
          </cell>
          <cell r="AL348">
            <v>20580</v>
          </cell>
        </row>
        <row r="349">
          <cell r="G349" t="str">
            <v>TGX8X6 H/D (ABN)24 MONTHS/300 000 KM48 MONTHS/600 000 KMCombinationYes</v>
          </cell>
          <cell r="H349">
            <v>77175</v>
          </cell>
          <cell r="AC349" t="str">
            <v>TGX8X436 MONTHS/375 000 KMEntire VehicleYes</v>
          </cell>
          <cell r="AD349">
            <v>64680</v>
          </cell>
          <cell r="AK349" t="str">
            <v>TGX8X6HYDRO36 MONTHS/375 000 KMDrivelineYes</v>
          </cell>
          <cell r="AL349">
            <v>25725</v>
          </cell>
        </row>
        <row r="350">
          <cell r="G350" t="str">
            <v>TGX8X6 H/D (ABN)24 MONTHS/300 000 KM60 MONTHS/750 000 KMCombinationNo</v>
          </cell>
          <cell r="H350">
            <v>360150</v>
          </cell>
          <cell r="AC350" t="str">
            <v>TGX8X436 MONTHS/450 000 KMEntire VehicleYes</v>
          </cell>
          <cell r="AD350">
            <v>66885</v>
          </cell>
          <cell r="AK350" t="str">
            <v>TGX8X6HYDRO36 MONTHS/450 000 KMDrivelineYes</v>
          </cell>
          <cell r="AL350">
            <v>26460</v>
          </cell>
        </row>
        <row r="351">
          <cell r="G351" t="str">
            <v>TGX8X6 H/D (ABN)24 MONTHS/300 000 KM60 MONTHS/750 000 KMCombinationYes</v>
          </cell>
          <cell r="H351">
            <v>147735</v>
          </cell>
          <cell r="AC351" t="str">
            <v>TGX8X436 MONTHS/75 000 KMEntire VehicleYes</v>
          </cell>
          <cell r="AD351">
            <v>29400</v>
          </cell>
          <cell r="AK351" t="str">
            <v>TGX8X6HYDRO36 MONTHS/75 000 KMDrivelineYes</v>
          </cell>
          <cell r="AL351">
            <v>11760</v>
          </cell>
        </row>
        <row r="352">
          <cell r="G352" t="str">
            <v>TGX8X6 H/D (ABN)36 MONTHS/225 000 KM48 MONTHS/300 000 KM CombinationNo</v>
          </cell>
          <cell r="H352">
            <v>132300</v>
          </cell>
          <cell r="AC352" t="str">
            <v>TGX8X448 MONTHS/100 000 KMEntire VehicleYes</v>
          </cell>
          <cell r="AD352">
            <v>79830</v>
          </cell>
          <cell r="AK352" t="str">
            <v>TGX8X6HYDRO48 MONTHS/100 000 KMDrivelineYes</v>
          </cell>
          <cell r="AL352">
            <v>27195</v>
          </cell>
        </row>
        <row r="353">
          <cell r="G353" t="str">
            <v>TGX8X6 H/D (ABN)36 MONTHS/225 000 KM48 MONTHS/300 000 KM CombinationYes</v>
          </cell>
          <cell r="H353">
            <v>61740</v>
          </cell>
          <cell r="AC353" t="str">
            <v>TGX8X448 MONTHS/200 000 KMEntire VehicleYes</v>
          </cell>
          <cell r="AD353">
            <v>92610</v>
          </cell>
          <cell r="AK353" t="str">
            <v>TGX8X6HYDRO48 MONTHS/200 000 KMDrivelineYes</v>
          </cell>
          <cell r="AL353">
            <v>31605</v>
          </cell>
        </row>
        <row r="354">
          <cell r="G354" t="str">
            <v>TGX8X6 H/D (ABN)36 MONTHS/225 000 KM60 MONTHS/750 000 KMCombinationNo</v>
          </cell>
          <cell r="H354">
            <v>232995</v>
          </cell>
          <cell r="AC354" t="str">
            <v>TGX8X448 MONTHS/300 000 KMEntire VehicleYes</v>
          </cell>
          <cell r="AD354">
            <v>108045</v>
          </cell>
          <cell r="AK354" t="str">
            <v>TGX8X6HYDRO48 MONTHS/300 000 KMDrivelineYes</v>
          </cell>
          <cell r="AL354">
            <v>37485</v>
          </cell>
        </row>
        <row r="355">
          <cell r="G355" t="str">
            <v>TGX8X6 H/D (ABN)36 MONTHS/225 000 KM60 MONTHS/750 000 KMCombinationYes</v>
          </cell>
          <cell r="H355">
            <v>102165</v>
          </cell>
          <cell r="AC355" t="str">
            <v>TGX8X448 MONTHS/400 000 KMEntire VehicleYes</v>
          </cell>
          <cell r="AD355">
            <v>141855</v>
          </cell>
          <cell r="AK355" t="str">
            <v>TGX8X6HYDRO48 MONTHS/400 000 KMDrivelineYes</v>
          </cell>
          <cell r="AL355">
            <v>48510</v>
          </cell>
        </row>
        <row r="356">
          <cell r="G356" t="str">
            <v>TGX8X6 H/D (ABN)36 MONTHS/450 000 KM48 MONTHS/600 000 KMCombinationNo</v>
          </cell>
          <cell r="H356">
            <v>216825</v>
          </cell>
          <cell r="AC356" t="str">
            <v>TGX8X448 MONTHS/500 000 KMEntire VehicleYes</v>
          </cell>
          <cell r="AD356">
            <v>174195</v>
          </cell>
          <cell r="AK356" t="str">
            <v>TGX8X6HYDRO48 MONTHS/500 000 KMDrivelineYes</v>
          </cell>
          <cell r="AL356">
            <v>56595</v>
          </cell>
        </row>
        <row r="357">
          <cell r="G357" t="str">
            <v>TGX8X6 H/D (ABN)36 MONTHS/450 000 KM48 MONTHS/600 000 KMCombinationYes</v>
          </cell>
          <cell r="H357">
            <v>98490</v>
          </cell>
          <cell r="AC357" t="str">
            <v>TGX8X448 MONTHS/600 000 KMEntire VehicleYes</v>
          </cell>
          <cell r="AD357">
            <v>178605</v>
          </cell>
          <cell r="AK357" t="str">
            <v>TGX8X6HYDRO48 MONTHS/600 000 KMDrivelineYes</v>
          </cell>
          <cell r="AL357">
            <v>58065</v>
          </cell>
        </row>
        <row r="358">
          <cell r="G358" t="str">
            <v>TGX8X6 H/D (ABN)36 MONTHS/450 000 KM60 MONTHS/750 000 KMCombinationNo</v>
          </cell>
          <cell r="H358">
            <v>383670</v>
          </cell>
          <cell r="AC358" t="str">
            <v>TGX8X460 MONTHS/125 000 KMEntire VehicleYes</v>
          </cell>
          <cell r="AD358">
            <v>164640</v>
          </cell>
          <cell r="AK358" t="str">
            <v>TGX8X6HYDRO60 MONTHS/125 000 KMDrivelineYes</v>
          </cell>
          <cell r="AL358">
            <v>56595</v>
          </cell>
        </row>
        <row r="359">
          <cell r="G359" t="str">
            <v>TGX8X6 H/D (ABN)36 MONTHS/450 000 KM60 MONTHS/750 000 KMCombinationYes</v>
          </cell>
          <cell r="H359">
            <v>169050</v>
          </cell>
          <cell r="AC359" t="str">
            <v>TGX8X460 MONTHS/250 000 KMEntire VehicleYes</v>
          </cell>
          <cell r="AD359">
            <v>194040</v>
          </cell>
          <cell r="AK359" t="str">
            <v>TGX8X6HYDRO60 MONTHS/250 000 KMDrivelineYes</v>
          </cell>
          <cell r="AL359">
            <v>66885</v>
          </cell>
        </row>
        <row r="360">
          <cell r="G360" t="str">
            <v>TGX8X6 H/D (ABN)48 MONTHS/300 000 KM60 MONTHS/750 000 KMCombinationNo</v>
          </cell>
          <cell r="H360">
            <v>278565</v>
          </cell>
          <cell r="AC360" t="str">
            <v>TGX8X460 MONTHS/375 000 KMEntire VehicleYes</v>
          </cell>
          <cell r="AD360">
            <v>227115</v>
          </cell>
          <cell r="AK360" t="str">
            <v>TGX8X6HYDRO60 MONTHS/375 000 KMDrivelineYes</v>
          </cell>
          <cell r="AL360">
            <v>77910</v>
          </cell>
        </row>
        <row r="361">
          <cell r="G361" t="str">
            <v>TGX8X6 H/D (ABN)48 MONTHS/300 000 KM60 MONTHS/750 000 KMCombinationNo</v>
          </cell>
          <cell r="H361">
            <v>460845</v>
          </cell>
          <cell r="AC361" t="str">
            <v>TGX8X460 MONTHS/500 000 KMEntire VehicleYes</v>
          </cell>
          <cell r="AD361">
            <v>296940</v>
          </cell>
          <cell r="AK361" t="str">
            <v>TGX8X6HYDRO60 MONTHS/500 000 KMDrivelineYes</v>
          </cell>
          <cell r="AL361">
            <v>102165</v>
          </cell>
        </row>
        <row r="362">
          <cell r="G362" t="str">
            <v>TGX8X6 H/D (ABN)48 MONTHS/300 000 KM60 MONTHS/750 000 KMCombinationYes</v>
          </cell>
          <cell r="H362">
            <v>148470</v>
          </cell>
          <cell r="AC362" t="str">
            <v>TGX8X460 MONTHS/625 000 KMEntire VehicleYes</v>
          </cell>
          <cell r="AD362">
            <v>365295</v>
          </cell>
          <cell r="AK362" t="str">
            <v>TGX8X6HYDRO60 MONTHS/625 000 KMDrivelineYes</v>
          </cell>
          <cell r="AL362">
            <v>118335</v>
          </cell>
        </row>
        <row r="363">
          <cell r="G363" t="str">
            <v>TGX8X6 H/D (ABN)48 MONTHS/300 000 KM60 MONTHS/750 000 KMCombinationYes</v>
          </cell>
          <cell r="H363">
            <v>249165</v>
          </cell>
          <cell r="AC363" t="str">
            <v>TGX8X460 MONTHS/750 000 KMEntire VehicleYes</v>
          </cell>
          <cell r="AD363">
            <v>374850</v>
          </cell>
          <cell r="AK363" t="str">
            <v>TGX8X6HYDRO60 MONTHS/750 000 KMDrivelineYes</v>
          </cell>
          <cell r="AL363">
            <v>128625</v>
          </cell>
        </row>
        <row r="364">
          <cell r="G364" t="str">
            <v>TGX8X6 H/D24 MONTHS/150 000 KM36 MONTHS/225 000 KMCombinationNo</v>
          </cell>
          <cell r="H364">
            <v>31605</v>
          </cell>
          <cell r="AC364" t="str">
            <v>TGX8X4H/D24 MONTHS/100 000 KMEntire VehicleYes</v>
          </cell>
          <cell r="AD364">
            <v>13230</v>
          </cell>
          <cell r="AK364" t="str">
            <v>TGX8X836 MONTHS/150 000 KMDrivelineYes</v>
          </cell>
          <cell r="AL364">
            <v>12495</v>
          </cell>
        </row>
        <row r="365">
          <cell r="G365" t="str">
            <v>TGX8X6 H/D24 MONTHS/150 000 KM36 MONTHS/225 000 KMCombinationYes</v>
          </cell>
          <cell r="H365">
            <v>61005</v>
          </cell>
          <cell r="AC365" t="str">
            <v>TGX8X4H/D24 MONTHS/150 000 KMEntire VehicleYes</v>
          </cell>
          <cell r="AD365">
            <v>16170</v>
          </cell>
          <cell r="AK365" t="str">
            <v>TGX8X836 MONTHS/225 000 KMDrivelineYes</v>
          </cell>
          <cell r="AL365">
            <v>14700</v>
          </cell>
        </row>
        <row r="366">
          <cell r="G366" t="str">
            <v>TGX8X6 H/D24 MONTHS/150 000 KM48 MONTHS/300 000 KMCombinationNo</v>
          </cell>
          <cell r="H366">
            <v>55860</v>
          </cell>
          <cell r="AC366" t="str">
            <v>TGX8X4H/D24 MONTHS/200 000 KMEntire VehicleYes</v>
          </cell>
          <cell r="AD366">
            <v>20580</v>
          </cell>
          <cell r="AK366" t="str">
            <v>TGX8X836 MONTHS/300 000 KMDrivelineYes</v>
          </cell>
          <cell r="AL366">
            <v>19110</v>
          </cell>
        </row>
        <row r="367">
          <cell r="G367" t="str">
            <v>TGX8X6 H/D24 MONTHS/150 000 KM48 MONTHS/300 000 KMCombinationYes</v>
          </cell>
          <cell r="H367">
            <v>96285</v>
          </cell>
          <cell r="AC367" t="str">
            <v>TGX8X4H/D24 MONTHS/250 000 KMEntire VehicleYes</v>
          </cell>
          <cell r="AD367">
            <v>27930</v>
          </cell>
          <cell r="AK367" t="str">
            <v>TGX8X836 MONTHS/375 000 KMDrivelineYes</v>
          </cell>
          <cell r="AL367">
            <v>23520</v>
          </cell>
        </row>
        <row r="368">
          <cell r="G368" t="str">
            <v>TGX8X6 H/D24 MONTHS/150 000 KM60 MONTHS/375 000 KMCombinationNo</v>
          </cell>
          <cell r="H368">
            <v>102165</v>
          </cell>
          <cell r="AC368" t="str">
            <v>TGX8X4H/D24 MONTHS/300 000 KMEntire VehicleYes</v>
          </cell>
          <cell r="AD368">
            <v>36015</v>
          </cell>
          <cell r="AK368" t="str">
            <v>TGX8X836 MONTHS/450 000 KMDrivelineYes</v>
          </cell>
          <cell r="AL368">
            <v>27195</v>
          </cell>
        </row>
        <row r="369">
          <cell r="G369" t="str">
            <v>TGX8X6 H/D24 MONTHS/150 000 KM60 MONTHS/375 000 KMCombinationYes</v>
          </cell>
          <cell r="H369">
            <v>183750</v>
          </cell>
          <cell r="AC369" t="str">
            <v>TGX8X4H/D24 MONTHS/50 000 KMEntire VehicleYes</v>
          </cell>
          <cell r="AD369">
            <v>10290</v>
          </cell>
          <cell r="AK369" t="str">
            <v>TGX8X836 MONTHS/75 000 KMDrivelineYes</v>
          </cell>
          <cell r="AL369">
            <v>8085</v>
          </cell>
        </row>
        <row r="370">
          <cell r="G370" t="str">
            <v>TGX8X6 H/D24 MONTHS/300 000 KM36 MONTHS/450 000 KMCombinationNo</v>
          </cell>
          <cell r="H370">
            <v>52920</v>
          </cell>
          <cell r="AC370" t="str">
            <v>TGX8X4H/D36 MONTHS/150 000 KMEntire VehicleYes</v>
          </cell>
          <cell r="AD370">
            <v>67620</v>
          </cell>
          <cell r="AK370" t="str">
            <v>TGX8X848 MONTHS/100 000 KMDrivelineYes</v>
          </cell>
          <cell r="AL370">
            <v>22050</v>
          </cell>
        </row>
        <row r="371">
          <cell r="G371" t="str">
            <v>TGX8X6 H/D24 MONTHS/300 000 KM36 MONTHS/450 000 KMCombinationYes</v>
          </cell>
          <cell r="H371">
            <v>109515</v>
          </cell>
          <cell r="AC371" t="str">
            <v>TGX8X4H/D36 MONTHS/225 000 KMEntire VehicleYes</v>
          </cell>
          <cell r="AD371">
            <v>79380</v>
          </cell>
          <cell r="AK371" t="str">
            <v>TGX8X848 MONTHS/200 000 KMDrivelineYes</v>
          </cell>
          <cell r="AL371">
            <v>25725</v>
          </cell>
        </row>
        <row r="372">
          <cell r="G372" t="str">
            <v>TGX8X6 H/D24 MONTHS/300 000 KM48 MONTHS/600 000 KMCombinationNo</v>
          </cell>
          <cell r="H372">
            <v>88935</v>
          </cell>
          <cell r="AC372" t="str">
            <v>TGX8X4H/D36 MONTHS/300 000 KMEntire VehicleYes</v>
          </cell>
          <cell r="AD372">
            <v>109200</v>
          </cell>
          <cell r="AK372" t="str">
            <v>TGX8X848 MONTHS/300 000 KMDrivelineYes</v>
          </cell>
          <cell r="AL372">
            <v>30870</v>
          </cell>
        </row>
        <row r="373">
          <cell r="G373" t="str">
            <v>TGX8X6 H/D24 MONTHS/300 000 KM48 MONTHS/600 000 KMCombinationYes</v>
          </cell>
          <cell r="H373">
            <v>167580</v>
          </cell>
          <cell r="AC373" t="str">
            <v>TGX8X4H/D36 MONTHS/375 000 KMEntire VehicleYes</v>
          </cell>
          <cell r="AD373">
            <v>127155</v>
          </cell>
          <cell r="AK373" t="str">
            <v>TGX8X848 MONTHS/400 000 KMDrivelineYes</v>
          </cell>
          <cell r="AL373">
            <v>39690</v>
          </cell>
        </row>
        <row r="374">
          <cell r="G374" t="str">
            <v>TGX8X6 H/D24 MONTHS/300 000 KM60 MONTHS/750 000 KMCombinationNo</v>
          </cell>
          <cell r="H374">
            <v>170520</v>
          </cell>
          <cell r="AC374" t="str">
            <v>TGX8X4H/D36 MONTHS/450 000 KMEntire VehicleYes</v>
          </cell>
          <cell r="AD374">
            <v>130095</v>
          </cell>
          <cell r="AK374" t="str">
            <v>TGX8X848 MONTHS/500 000 KMDrivelineYes</v>
          </cell>
          <cell r="AL374">
            <v>61005</v>
          </cell>
        </row>
        <row r="375">
          <cell r="G375" t="str">
            <v>TGX8X6 H/D24 MONTHS/300 000 KM60 MONTHS/750 000 KMCombinationYes</v>
          </cell>
          <cell r="H375">
            <v>312375</v>
          </cell>
          <cell r="AC375" t="str">
            <v>TGX8X4H/D36 MONTHS/75 000 KMEntire VehicleYes</v>
          </cell>
          <cell r="AD375">
            <v>57330</v>
          </cell>
          <cell r="AK375" t="str">
            <v>TGX8X848 MONTHS/600 000 KMDrivelineYes</v>
          </cell>
          <cell r="AL375">
            <v>62475</v>
          </cell>
        </row>
        <row r="376">
          <cell r="G376" t="str">
            <v>TGX8X6 H/D36 MONTHS/225 000 KM48 MONTHS/300 000 KM CombinationNo</v>
          </cell>
          <cell r="H376">
            <v>71295</v>
          </cell>
          <cell r="AC376" t="str">
            <v>TGX8X4H/D48 MONTHS/100 000 KMEntire VehicleYes</v>
          </cell>
          <cell r="AD376">
            <v>111720</v>
          </cell>
          <cell r="AK376" t="str">
            <v>TGX8X860 MONTHS/125 000 KMDrivelineYes</v>
          </cell>
          <cell r="AL376">
            <v>34545</v>
          </cell>
        </row>
        <row r="377">
          <cell r="G377" t="str">
            <v>TGX8X6 H/D36 MONTHS/225 000 KM48 MONTHS/300 000 KM CombinationYes</v>
          </cell>
          <cell r="H377">
            <v>114660</v>
          </cell>
          <cell r="AC377" t="str">
            <v>TGX8X4H/D48 MONTHS/200 000 KMEntire VehicleYes</v>
          </cell>
          <cell r="AD377">
            <v>131565</v>
          </cell>
          <cell r="AK377" t="str">
            <v>TGX8X860 MONTHS/250 000 KMDrivelineYes</v>
          </cell>
          <cell r="AL377">
            <v>41160</v>
          </cell>
        </row>
        <row r="378">
          <cell r="G378" t="str">
            <v>TGX8X6 H/D36 MONTHS/225 000 KM60 MONTHS/750 000 KMCombinationNo</v>
          </cell>
          <cell r="H378">
            <v>117600</v>
          </cell>
          <cell r="AC378" t="str">
            <v>TGX8X4H/D48 MONTHS/300 000 KMEntire VehicleYes</v>
          </cell>
          <cell r="AD378">
            <v>154350</v>
          </cell>
          <cell r="AK378" t="str">
            <v>TGX8X860 MONTHS/375 000 KMDrivelineYes</v>
          </cell>
          <cell r="AL378">
            <v>47775</v>
          </cell>
        </row>
        <row r="379">
          <cell r="G379" t="str">
            <v>TGX8X6 H/D36 MONTHS/225 000 KM60 MONTHS/750 000 KMCombinationYes</v>
          </cell>
          <cell r="H379">
            <v>202125</v>
          </cell>
          <cell r="AC379" t="str">
            <v>TGX8X4H/D48 MONTHS/400 000 KMEntire VehicleYes</v>
          </cell>
          <cell r="AD379">
            <v>201390</v>
          </cell>
          <cell r="AK379" t="str">
            <v>TGX8X860 MONTHS/500 000 KMDrivelineYes</v>
          </cell>
          <cell r="AL379">
            <v>77910</v>
          </cell>
        </row>
        <row r="380">
          <cell r="G380" t="str">
            <v>TGX8X6 H/D36 MONTHS/450 000 KM48 MONTHS/600 000 KMCombinationNo</v>
          </cell>
          <cell r="H380">
            <v>113190</v>
          </cell>
          <cell r="AC380" t="str">
            <v>TGX8X4H/D48 MONTHS/500 000 KMEntire VehicleYes</v>
          </cell>
          <cell r="AD380">
            <v>248430</v>
          </cell>
          <cell r="AK380" t="str">
            <v>TGX8X860 MONTHS/625 000 KMDrivelineYes</v>
          </cell>
          <cell r="AL380">
            <v>114660</v>
          </cell>
        </row>
        <row r="381">
          <cell r="G381" t="str">
            <v>TGX8X6 H/D36 MONTHS/450 000 KM48 MONTHS/600 000 KMCombinationYes</v>
          </cell>
          <cell r="H381">
            <v>188160</v>
          </cell>
          <cell r="AC381" t="str">
            <v>TGX8X4H/D48 MONTHS/600 000 KMEntire VehicleYes</v>
          </cell>
          <cell r="AD381">
            <v>255045</v>
          </cell>
          <cell r="AK381" t="str">
            <v>TGX8X860 MONTHS/750 000 KMDrivelineYes</v>
          </cell>
          <cell r="AL381">
            <v>118335</v>
          </cell>
        </row>
        <row r="382">
          <cell r="G382" t="str">
            <v>TGX8X6 H/D36 MONTHS/450 000 KM60 MONTHS/750 000 KMCombinationNo</v>
          </cell>
          <cell r="H382">
            <v>194775</v>
          </cell>
          <cell r="AC382" t="str">
            <v>TGX8X4H/D60 MONTHS/125 000 KMEntire VehicleYes</v>
          </cell>
          <cell r="AD382">
            <v>235200</v>
          </cell>
        </row>
        <row r="383">
          <cell r="G383" t="str">
            <v>TGX8X6 H/D36 MONTHS/450 000 KM60 MONTHS/750 000 KMCombinationYes</v>
          </cell>
          <cell r="H383">
            <v>332955</v>
          </cell>
          <cell r="AC383" t="str">
            <v>TGX8X4H/D60 MONTHS/250 000 KMEntire VehicleYes</v>
          </cell>
          <cell r="AD383">
            <v>276360</v>
          </cell>
        </row>
        <row r="384">
          <cell r="G384" t="str">
            <v>TGX8X6 H/D48 MONTHS/300 000 KM60 MONTHS/750 000 KMCombinationNo</v>
          </cell>
          <cell r="H384">
            <v>171255</v>
          </cell>
          <cell r="AC384" t="str">
            <v>TGX8X4H/D60 MONTHS/375 000 KMEntire VehicleYes</v>
          </cell>
          <cell r="AD384">
            <v>324135</v>
          </cell>
        </row>
        <row r="385">
          <cell r="G385" t="str">
            <v>TGX8X6 H/D48 MONTHS/300 000 KM60 MONTHS/750 000 KMCombinationNo</v>
          </cell>
          <cell r="H385">
            <v>287385</v>
          </cell>
          <cell r="AC385" t="str">
            <v>TGX8X4H/D60 MONTHS/500 000 KMEntire VehicleYes</v>
          </cell>
          <cell r="AD385">
            <v>422625</v>
          </cell>
        </row>
        <row r="386">
          <cell r="G386" t="str">
            <v>TGX8X6 H/D48 MONTHS/300 000 KM60 MONTHS/750 000 KMCombinationYes</v>
          </cell>
          <cell r="H386">
            <v>241815</v>
          </cell>
          <cell r="AC386" t="str">
            <v>TGX8X4H/D60 MONTHS/625 000 KMEntire VehicleYes</v>
          </cell>
          <cell r="AD386">
            <v>521115</v>
          </cell>
        </row>
        <row r="387">
          <cell r="G387" t="str">
            <v>TGX8X6 H/D48 MONTHS/300 000 KM60 MONTHS/750 000 KMCombinationYes</v>
          </cell>
          <cell r="H387">
            <v>399840</v>
          </cell>
          <cell r="AC387" t="str">
            <v>TGX8X4H/D60 MONTHS/750 000 KMEntire VehicleYes</v>
          </cell>
          <cell r="AD387">
            <v>535080</v>
          </cell>
        </row>
        <row r="388">
          <cell r="G388" t="str">
            <v>TGX8X624 MONTHS/150 000 KM 60 MONTHS/375 000 KMCombinationNo</v>
          </cell>
          <cell r="H388">
            <v>67620</v>
          </cell>
          <cell r="AC388" t="str">
            <v>TGX8X4HYDRO24 MONTHS/100 000 KMEntire VehicleYes</v>
          </cell>
          <cell r="AD388">
            <v>8820</v>
          </cell>
        </row>
        <row r="389">
          <cell r="G389" t="str">
            <v>TGX8X624 MONTHS/150 000 KM 60 MONTHS/375 000 KMCombinationYes</v>
          </cell>
          <cell r="H389">
            <v>58065</v>
          </cell>
          <cell r="AC389" t="str">
            <v>TGX8X4HYDRO24 MONTHS/150 000 KMEntire VehicleYes</v>
          </cell>
          <cell r="AD389">
            <v>10290</v>
          </cell>
        </row>
        <row r="390">
          <cell r="G390" t="str">
            <v>TGX8X624 MONTHS/150 000 KM36 MONTHS/225 000 KMCombinationNo</v>
          </cell>
          <cell r="H390">
            <v>29400</v>
          </cell>
          <cell r="AC390" t="str">
            <v>TGX8X4HYDRO24 MONTHS/200 000 KMEntire VehicleYes</v>
          </cell>
          <cell r="AD390">
            <v>13230</v>
          </cell>
        </row>
        <row r="391">
          <cell r="G391" t="str">
            <v>TGX8X624 MONTHS/150 000 KM36 MONTHS/225 000 KMCombinationYes</v>
          </cell>
          <cell r="H391">
            <v>24990</v>
          </cell>
          <cell r="AC391" t="str">
            <v>TGX8X4HYDRO24 MONTHS/250 000 KMEntire VehicleYes</v>
          </cell>
          <cell r="AD391">
            <v>17640</v>
          </cell>
        </row>
        <row r="392">
          <cell r="G392" t="str">
            <v>TGX8X624 MONTHS/150 000 KM48 MONTHS/300 000 KMCombinationNo</v>
          </cell>
          <cell r="H392">
            <v>48510</v>
          </cell>
          <cell r="AC392" t="str">
            <v>TGX8X4HYDRO24 MONTHS/300 000 KMEntire VehicleYes</v>
          </cell>
          <cell r="AD392">
            <v>19110</v>
          </cell>
        </row>
        <row r="393">
          <cell r="G393" t="str">
            <v>TGX8X624 MONTHS/150 000 KM48 MONTHS/300 000 KMCombinationYes</v>
          </cell>
          <cell r="H393">
            <v>41160</v>
          </cell>
          <cell r="AC393" t="str">
            <v>TGX8X4HYDRO24 MONTHS/50 000 KMEntire VehicleYes</v>
          </cell>
          <cell r="AD393">
            <v>6615</v>
          </cell>
        </row>
        <row r="394">
          <cell r="G394" t="str">
            <v>TGX8X624 MONTHS/300 000 KM36 MONTHS/450 000 KMCombinationNo</v>
          </cell>
          <cell r="H394">
            <v>53655</v>
          </cell>
          <cell r="AC394" t="str">
            <v>TGX8X4HYDRO36 MONTHS/150 000 KMEntire VehicleYes</v>
          </cell>
          <cell r="AD394">
            <v>34545</v>
          </cell>
        </row>
        <row r="395">
          <cell r="G395" t="str">
            <v>TGX8X624 MONTHS/300 000 KM36 MONTHS/450 000 KMCombinationYes</v>
          </cell>
          <cell r="H395">
            <v>46305</v>
          </cell>
          <cell r="AC395" t="str">
            <v>TGX8X4HYDRO36 MONTHS/225 000 KMEntire VehicleYes</v>
          </cell>
          <cell r="AD395">
            <v>40425</v>
          </cell>
        </row>
        <row r="396">
          <cell r="G396" t="str">
            <v>TGX8X624 MONTHS/300 000 KM48 MONTHS/600 000 KMCombinationNo</v>
          </cell>
          <cell r="H396">
            <v>94080</v>
          </cell>
          <cell r="AC396" t="str">
            <v>TGX8X4HYDRO36 MONTHS/300 000 KMEntire VehicleYes</v>
          </cell>
          <cell r="AD396">
            <v>52185</v>
          </cell>
        </row>
        <row r="397">
          <cell r="G397" t="str">
            <v>TGX8X624 MONTHS/300 000 KM48 MONTHS/600 000 KMCombinationYes</v>
          </cell>
          <cell r="H397">
            <v>81585</v>
          </cell>
          <cell r="AC397" t="str">
            <v>TGX8X4HYDRO36 MONTHS/375 000 KMEntire VehicleYes</v>
          </cell>
          <cell r="AD397">
            <v>64680</v>
          </cell>
        </row>
        <row r="398">
          <cell r="G398" t="str">
            <v>TGX8X624 MONTHS/300 000 KM60 MONTHS/750 000 KMCombinationNo</v>
          </cell>
          <cell r="H398">
            <v>158760</v>
          </cell>
          <cell r="AC398" t="str">
            <v>TGX8X4HYDRO36 MONTHS/450 000 KMEntire VehicleYes</v>
          </cell>
          <cell r="AD398">
            <v>66885</v>
          </cell>
        </row>
        <row r="399">
          <cell r="G399" t="str">
            <v>TGX8X624 MONTHS/300 000 KM60 MONTHS/750 000 KMCombinationYes</v>
          </cell>
          <cell r="H399">
            <v>137445</v>
          </cell>
          <cell r="AC399" t="str">
            <v>TGX8X4HYDRO36 MONTHS/75 000 KMEntire VehicleYes</v>
          </cell>
          <cell r="AD399">
            <v>29400</v>
          </cell>
        </row>
        <row r="400">
          <cell r="G400" t="str">
            <v>TGX8X636 MONTHS/225 000 KM48 MONTHS/300 000 KM CombinationNo</v>
          </cell>
          <cell r="H400">
            <v>66150</v>
          </cell>
          <cell r="AC400" t="str">
            <v>TGX8X4HYDRO48 MONTHS/100 000 KMEntire VehicleYes</v>
          </cell>
          <cell r="AD400">
            <v>79830</v>
          </cell>
        </row>
        <row r="401">
          <cell r="G401" t="str">
            <v>TGX8X636 MONTHS/225 000 KM48 MONTHS/300 000 KM CombinationYes</v>
          </cell>
          <cell r="H401">
            <v>56595</v>
          </cell>
          <cell r="AC401" t="str">
            <v>TGX8X4HYDRO48 MONTHS/200 000 KMEntire VehicleYes</v>
          </cell>
          <cell r="AD401">
            <v>92610</v>
          </cell>
        </row>
        <row r="402">
          <cell r="G402" t="str">
            <v>TGX8X636 MONTHS/225 000 KM60 MONTHS/750 000 KMCombinationNo</v>
          </cell>
          <cell r="H402">
            <v>85260</v>
          </cell>
          <cell r="AC402" t="str">
            <v>TGX8X4HYDRO48 MONTHS/300 000 KMEntire VehicleYes</v>
          </cell>
          <cell r="AD402">
            <v>108045</v>
          </cell>
        </row>
        <row r="403">
          <cell r="G403" t="str">
            <v>TGX8X636 MONTHS/225 000 KM60 MONTHS/750 000 KMCombinationYes</v>
          </cell>
          <cell r="H403">
            <v>73500</v>
          </cell>
          <cell r="AC403" t="str">
            <v>TGX8X4HYDRO48 MONTHS/400 000 KMEntire VehicleYes</v>
          </cell>
          <cell r="AD403">
            <v>141855</v>
          </cell>
        </row>
        <row r="404">
          <cell r="G404" t="str">
            <v>TGX8X636 MONTHS/450 000 KM48 MONTHS/600 000 KMCombinationNo</v>
          </cell>
          <cell r="H404">
            <v>117600</v>
          </cell>
          <cell r="AC404" t="str">
            <v>TGX8X4HYDRO48 MONTHS/500 000 KMEntire VehicleYes</v>
          </cell>
          <cell r="AD404">
            <v>174195</v>
          </cell>
        </row>
        <row r="405">
          <cell r="G405" t="str">
            <v>TGX8X636 MONTHS/450 000 KM48 MONTHS/600 000 KMCombinationYes</v>
          </cell>
          <cell r="H405">
            <v>102165</v>
          </cell>
          <cell r="AC405" t="str">
            <v>TGX8X4HYDRO48 MONTHS/600 000 KMEntire VehicleYes</v>
          </cell>
          <cell r="AD405">
            <v>178605</v>
          </cell>
        </row>
        <row r="406">
          <cell r="G406" t="str">
            <v>TGX8X636 MONTHS/450 000 KM60 MONTHS/750 000 KMCombinationNo</v>
          </cell>
          <cell r="H406">
            <v>182280</v>
          </cell>
          <cell r="AC406" t="str">
            <v>TGX8X4HYDRO60 MONTHS/125 000 KMEntire VehicleYes</v>
          </cell>
          <cell r="AD406">
            <v>164640</v>
          </cell>
        </row>
        <row r="407">
          <cell r="G407" t="str">
            <v>TGX8X636 MONTHS/450 000 KM60 MONTHS/750 000 KMCombinationYes</v>
          </cell>
          <cell r="H407">
            <v>158025</v>
          </cell>
          <cell r="AC407" t="str">
            <v>TGX8X4HYDRO60 MONTHS/250 000 KMEntire VehicleYes</v>
          </cell>
          <cell r="AD407">
            <v>194040</v>
          </cell>
        </row>
        <row r="408">
          <cell r="G408" t="str">
            <v>TGX8X648 MONTHS/300 000 KM60 MONTHS/750 000 KMCombinationNo</v>
          </cell>
          <cell r="H408">
            <v>144060</v>
          </cell>
          <cell r="AC408" t="str">
            <v>TGX8X4HYDRO60 MONTHS/375 000 KMEntire VehicleYes</v>
          </cell>
          <cell r="AD408">
            <v>227115</v>
          </cell>
        </row>
        <row r="409">
          <cell r="G409" t="str">
            <v>TGX8X648 MONTHS/300 000 KM60 MONTHS/750 000 KMCombinationNo</v>
          </cell>
          <cell r="H409">
            <v>270480</v>
          </cell>
          <cell r="AC409" t="str">
            <v>TGX8X4HYDRO60 MONTHS/500 000 KMEntire VehicleYes</v>
          </cell>
          <cell r="AD409">
            <v>296940</v>
          </cell>
        </row>
        <row r="410">
          <cell r="G410" t="str">
            <v>TGX8X648 MONTHS/300 000 KM60 MONTHS/750 000 KMCombinationYes</v>
          </cell>
          <cell r="H410">
            <v>124950</v>
          </cell>
          <cell r="AC410" t="str">
            <v>TGX8X4HYDRO60 MONTHS/625 000 KMEntire VehicleYes</v>
          </cell>
          <cell r="AD410">
            <v>365295</v>
          </cell>
        </row>
        <row r="411">
          <cell r="G411" t="str">
            <v>TGX8X648 MONTHS/300 000 KM60 MONTHS/750 000 KMCombinationYes</v>
          </cell>
          <cell r="H411">
            <v>234465</v>
          </cell>
          <cell r="AC411" t="str">
            <v>TGX8X4HYDRO60 MONTHS/750 000 KMEntire VehicleYes</v>
          </cell>
          <cell r="AD411">
            <v>374850</v>
          </cell>
        </row>
        <row r="412">
          <cell r="G412" t="str">
            <v>TGX8X824 MONTHS/150 000 KM 60 MONTHS/375 000 KMCombinationNo</v>
          </cell>
          <cell r="H412">
            <v>67620</v>
          </cell>
          <cell r="AC412" t="str">
            <v>TGX8X624 MONTHS/100 000 KMEntire VehicleYes</v>
          </cell>
          <cell r="AD412">
            <v>8820</v>
          </cell>
        </row>
        <row r="413">
          <cell r="G413" t="str">
            <v>TGX8X824 MONTHS/150 000 KM36 MONTHS/225 000 KMCombinationNo</v>
          </cell>
          <cell r="H413">
            <v>29400</v>
          </cell>
          <cell r="AC413" t="str">
            <v>TGX8X624 MONTHS/150 000 KMEntire VehicleYes</v>
          </cell>
          <cell r="AD413">
            <v>10290</v>
          </cell>
        </row>
        <row r="414">
          <cell r="G414" t="str">
            <v>TGX8X824 MONTHS/150 000 KM36 MONTHS/225 000 KMCombinationYes</v>
          </cell>
          <cell r="H414">
            <v>24990</v>
          </cell>
          <cell r="AC414" t="str">
            <v>TGX8X624 MONTHS/200 000 KMEntire VehicleYes</v>
          </cell>
          <cell r="AD414">
            <v>13230</v>
          </cell>
        </row>
        <row r="415">
          <cell r="G415" t="str">
            <v>TGX8X824 MONTHS/150 000 KM48 MONTHS/300 000 KMCombinationNo</v>
          </cell>
          <cell r="H415">
            <v>48510</v>
          </cell>
          <cell r="AC415" t="str">
            <v>TGX8X624 MONTHS/250 000 KMEntire VehicleYes</v>
          </cell>
          <cell r="AD415">
            <v>17640</v>
          </cell>
        </row>
        <row r="416">
          <cell r="G416" t="str">
            <v>TGX8X824 MONTHS/150 000 KM48 MONTHS/300 000 KMCombinationYes</v>
          </cell>
          <cell r="H416">
            <v>41160</v>
          </cell>
          <cell r="AC416" t="str">
            <v>TGX8X624 MONTHS/300 000 KMEntire VehicleYes</v>
          </cell>
          <cell r="AD416">
            <v>19110</v>
          </cell>
        </row>
        <row r="417">
          <cell r="G417" t="str">
            <v>TGX8X824 MONTHS/150 000 KM60 MONTHS/375 000 KMCombinationYes</v>
          </cell>
          <cell r="H417">
            <v>58065</v>
          </cell>
          <cell r="AC417" t="str">
            <v>TGX8X624 MONTHS/50 000 KMEntire VehicleYes</v>
          </cell>
          <cell r="AD417">
            <v>6615</v>
          </cell>
        </row>
        <row r="418">
          <cell r="G418" t="str">
            <v>TGX8X824 MONTHS/300 000 KM36 MONTHS/450 000 KMCombinationNo</v>
          </cell>
          <cell r="H418">
            <v>53655</v>
          </cell>
          <cell r="AC418" t="str">
            <v>TGX8X636 MONTHS/150 000 KMEntire VehicleYes</v>
          </cell>
          <cell r="AD418">
            <v>34545</v>
          </cell>
        </row>
        <row r="419">
          <cell r="G419" t="str">
            <v>TGX8X824 MONTHS/300 000 KM36 MONTHS/450 000 KMCombinationYes</v>
          </cell>
          <cell r="H419">
            <v>46305</v>
          </cell>
          <cell r="AC419" t="str">
            <v>TGX8X636 MONTHS/225 000 KMEntire VehicleYes</v>
          </cell>
          <cell r="AD419">
            <v>40425</v>
          </cell>
        </row>
        <row r="420">
          <cell r="G420" t="str">
            <v>TGX8X824 MONTHS/300 000 KM48 MONTHS/600 000 KMCombinationNo</v>
          </cell>
          <cell r="H420">
            <v>94080</v>
          </cell>
          <cell r="AC420" t="str">
            <v>TGX8X636 MONTHS/300 000 KMEntire VehicleYes</v>
          </cell>
          <cell r="AD420">
            <v>52185</v>
          </cell>
        </row>
        <row r="421">
          <cell r="G421" t="str">
            <v>TGX8X824 MONTHS/300 000 KM48 MONTHS/600 000 KMCombinationYes</v>
          </cell>
          <cell r="H421">
            <v>81585</v>
          </cell>
          <cell r="AC421" t="str">
            <v>TGX8X636 MONTHS/375 000 KMEntire VehicleYes</v>
          </cell>
          <cell r="AD421">
            <v>64680</v>
          </cell>
        </row>
        <row r="422">
          <cell r="G422" t="str">
            <v>TGX8X824 MONTHS/300 000 KM60 MONTHS/750 000 KMCombinationNo</v>
          </cell>
          <cell r="H422">
            <v>158760</v>
          </cell>
          <cell r="AC422" t="str">
            <v>TGX8X636 MONTHS/450 000 KMEntire VehicleYes</v>
          </cell>
          <cell r="AD422">
            <v>66885</v>
          </cell>
        </row>
        <row r="423">
          <cell r="G423" t="str">
            <v>TGX8X824 MONTHS/300 000 KM60 MONTHS/750 000 KMCombinationYes</v>
          </cell>
          <cell r="H423">
            <v>137445</v>
          </cell>
          <cell r="AC423" t="str">
            <v>TGX8X636 MONTHS/75 000 KMEntire VehicleYes</v>
          </cell>
          <cell r="AD423">
            <v>29400</v>
          </cell>
        </row>
        <row r="424">
          <cell r="G424" t="str">
            <v>TGX8X836 MONTHS/225 000 KM48 MONTHS/300 000 KM CombinationNo</v>
          </cell>
          <cell r="H424">
            <v>66150</v>
          </cell>
          <cell r="AC424" t="str">
            <v>TGX8X648 MONTHS/100 000 KMEntire VehicleYes</v>
          </cell>
          <cell r="AD424">
            <v>79830</v>
          </cell>
        </row>
        <row r="425">
          <cell r="G425" t="str">
            <v>TGX8X836 MONTHS/225 000 KM48 MONTHS/300 000 KM CombinationYes</v>
          </cell>
          <cell r="H425">
            <v>56595</v>
          </cell>
          <cell r="AC425" t="str">
            <v>TGX8X648 MONTHS/200 000 KMEntire VehicleYes</v>
          </cell>
          <cell r="AD425">
            <v>92610</v>
          </cell>
        </row>
        <row r="426">
          <cell r="G426" t="str">
            <v>TGX8X836 MONTHS/225 000 KM60 MONTHS/750 000 KMCombinationNo</v>
          </cell>
          <cell r="H426">
            <v>85260</v>
          </cell>
          <cell r="AC426" t="str">
            <v>TGX8X648 MONTHS/300 000 KMEntire VehicleYes</v>
          </cell>
          <cell r="AD426">
            <v>108045</v>
          </cell>
        </row>
        <row r="427">
          <cell r="G427" t="str">
            <v>TGX8X836 MONTHS/225 000 KM60 MONTHS/750 000 KMCombinationYes</v>
          </cell>
          <cell r="H427">
            <v>73500</v>
          </cell>
          <cell r="AC427" t="str">
            <v>TGX8X648 MONTHS/400 000 KMEntire VehicleYes</v>
          </cell>
          <cell r="AD427">
            <v>141855</v>
          </cell>
        </row>
        <row r="428">
          <cell r="G428" t="str">
            <v>TGX8X836 MONTHS/450 000 KM48 MONTHS/600 000 KMCombinationNo</v>
          </cell>
          <cell r="H428">
            <v>117600</v>
          </cell>
          <cell r="AC428" t="str">
            <v>TGX8X648 MONTHS/500 000 KMEntire VehicleYes</v>
          </cell>
          <cell r="AD428">
            <v>174195</v>
          </cell>
        </row>
        <row r="429">
          <cell r="G429" t="str">
            <v>TGX8X836 MONTHS/450 000 KM48 MONTHS/600 000 KMCombinationYes</v>
          </cell>
          <cell r="H429">
            <v>102165</v>
          </cell>
          <cell r="AC429" t="str">
            <v>TGX8X648 MONTHS/600 000 KMEntire VehicleYes</v>
          </cell>
          <cell r="AD429">
            <v>178605</v>
          </cell>
        </row>
        <row r="430">
          <cell r="G430" t="str">
            <v>TGX8X836 MONTHS/450 000 KM60 MONTHS/750 000 KMCombinationNo</v>
          </cell>
          <cell r="H430">
            <v>182280</v>
          </cell>
          <cell r="AC430" t="str">
            <v>TGX8X660 MONTHS/125 000 KMEntire VehicleYes</v>
          </cell>
          <cell r="AD430">
            <v>164640</v>
          </cell>
        </row>
        <row r="431">
          <cell r="G431" t="str">
            <v>TGX8X836 MONTHS/450 000 KM60 MONTHS/750 000 KMCombinationYes</v>
          </cell>
          <cell r="H431">
            <v>158025</v>
          </cell>
          <cell r="AC431" t="str">
            <v>TGX8X660 MONTHS/250 000 KMEntire VehicleYes</v>
          </cell>
          <cell r="AD431">
            <v>194040</v>
          </cell>
        </row>
        <row r="432">
          <cell r="G432" t="str">
            <v>TGX8X848 MONTHS/300 000 KM60 MONTHS/750 000 KMCombinationNo</v>
          </cell>
          <cell r="H432">
            <v>144060</v>
          </cell>
          <cell r="AC432" t="str">
            <v>TGX8X660 MONTHS/375 000 KMEntire VehicleYes</v>
          </cell>
          <cell r="AD432">
            <v>227115</v>
          </cell>
        </row>
        <row r="433">
          <cell r="G433" t="str">
            <v>TGX8X848 MONTHS/300 000 KM60 MONTHS/750 000 KMCombinationNo</v>
          </cell>
          <cell r="H433">
            <v>270480</v>
          </cell>
          <cell r="AC433" t="str">
            <v>TGX8X660 MONTHS/500 000 KMEntire VehicleYes</v>
          </cell>
          <cell r="AD433">
            <v>296940</v>
          </cell>
        </row>
        <row r="434">
          <cell r="G434" t="str">
            <v>TGX8X848 MONTHS/300 000 KM60 MONTHS/750 000 KMCombinationYes</v>
          </cell>
          <cell r="H434">
            <v>124950</v>
          </cell>
          <cell r="AC434" t="str">
            <v>TGX8X660 MONTHS/625 000 KMEntire VehicleYes</v>
          </cell>
          <cell r="AD434">
            <v>365295</v>
          </cell>
        </row>
        <row r="435">
          <cell r="G435" t="str">
            <v>TGX8X848 MONTHS/300 000 KM60 MONTHS/750 000 KMCombinationYes</v>
          </cell>
          <cell r="H435">
            <v>234465</v>
          </cell>
          <cell r="AC435" t="str">
            <v>TGX8X660 MONTHS/750 000 KMEntire VehicleYes</v>
          </cell>
          <cell r="AD435">
            <v>374850</v>
          </cell>
        </row>
        <row r="436">
          <cell r="G436"/>
          <cell r="H436"/>
          <cell r="AC436" t="str">
            <v>TGX8X6H/D24 MONTHS/100 000 KMEntire VehicleYes</v>
          </cell>
          <cell r="AD436">
            <v>13230</v>
          </cell>
        </row>
        <row r="437">
          <cell r="AC437" t="str">
            <v>TGX8X6H/D24 MONTHS/150 000 KMEntire VehicleYes</v>
          </cell>
          <cell r="AD437">
            <v>16170</v>
          </cell>
        </row>
        <row r="438">
          <cell r="AC438" t="str">
            <v>TGX8X6H/D24 MONTHS/200 000 KMEntire VehicleYes</v>
          </cell>
          <cell r="AD438">
            <v>20580</v>
          </cell>
        </row>
        <row r="439">
          <cell r="AC439" t="str">
            <v>TGX8X6H/D24 MONTHS/250 000 KMEntire VehicleYes</v>
          </cell>
          <cell r="AD439">
            <v>27930</v>
          </cell>
        </row>
        <row r="440">
          <cell r="AC440" t="str">
            <v>TGX8X6H/D24 MONTHS/300 000 KMEntire VehicleYes</v>
          </cell>
          <cell r="AD440">
            <v>36015</v>
          </cell>
        </row>
        <row r="441">
          <cell r="AC441" t="str">
            <v>TGX8X6H/D24 MONTHS/50 000 KMEntire VehicleYes</v>
          </cell>
          <cell r="AD441">
            <v>10290</v>
          </cell>
        </row>
        <row r="442">
          <cell r="AC442" t="str">
            <v>TGX8X6H/D36 MONTHS/150 000 KMEntire VehicleYes</v>
          </cell>
          <cell r="AD442">
            <v>67620</v>
          </cell>
        </row>
        <row r="443">
          <cell r="AC443" t="str">
            <v>TGX8X6H/D36 MONTHS/225 000 KMEntire VehicleYes</v>
          </cell>
          <cell r="AD443">
            <v>79380</v>
          </cell>
        </row>
        <row r="444">
          <cell r="AC444" t="str">
            <v>TGX8X6H/D36 MONTHS/300 000 KMEntire VehicleYes</v>
          </cell>
          <cell r="AD444">
            <v>109200</v>
          </cell>
        </row>
        <row r="445">
          <cell r="AC445" t="str">
            <v>TGX8X6H/D36 MONTHS/375 000 KMEntire VehicleYes</v>
          </cell>
          <cell r="AD445">
            <v>127155</v>
          </cell>
        </row>
        <row r="446">
          <cell r="AC446" t="str">
            <v>TGX8X6H/D36 MONTHS/450 000 KMEntire VehicleYes</v>
          </cell>
          <cell r="AD446">
            <v>130095</v>
          </cell>
        </row>
        <row r="447">
          <cell r="AC447" t="str">
            <v>TGX8X6H/D36 MONTHS/75 000 KMEntire VehicleYes</v>
          </cell>
          <cell r="AD447">
            <v>57330</v>
          </cell>
        </row>
        <row r="448">
          <cell r="AC448" t="str">
            <v>TGX8X6H/D48 MONTHS/100 000 KMEntire VehicleYes</v>
          </cell>
          <cell r="AD448">
            <v>111720</v>
          </cell>
        </row>
        <row r="449">
          <cell r="AC449" t="str">
            <v>TGX8X6H/D48 MONTHS/200 000 KMEntire VehicleYes</v>
          </cell>
          <cell r="AD449">
            <v>131565</v>
          </cell>
        </row>
        <row r="450">
          <cell r="AC450" t="str">
            <v>TGX8X6H/D48 MONTHS/300 000 KMEntire VehicleYes</v>
          </cell>
          <cell r="AD450">
            <v>154350</v>
          </cell>
        </row>
        <row r="451">
          <cell r="AC451" t="str">
            <v>TGX8X6H/D48 MONTHS/400 000 KMEntire VehicleYes</v>
          </cell>
          <cell r="AD451">
            <v>201390</v>
          </cell>
        </row>
        <row r="452">
          <cell r="AC452" t="str">
            <v>TGX8X6H/D48 MONTHS/500 000 KMEntire VehicleYes</v>
          </cell>
          <cell r="AD452">
            <v>248430</v>
          </cell>
        </row>
        <row r="453">
          <cell r="AC453" t="str">
            <v>TGX8X6H/D48 MONTHS/600 000 KMEntire VehicleYes</v>
          </cell>
          <cell r="AD453">
            <v>255045</v>
          </cell>
        </row>
        <row r="454">
          <cell r="AC454" t="str">
            <v>TGX8X6H/D60 MONTHS/125 000 KMEntire VehicleYes</v>
          </cell>
          <cell r="AD454">
            <v>235200</v>
          </cell>
        </row>
        <row r="455">
          <cell r="AC455" t="str">
            <v>TGX8X6H/D60 MONTHS/250 000 KMEntire VehicleYes</v>
          </cell>
          <cell r="AD455">
            <v>276360</v>
          </cell>
        </row>
        <row r="456">
          <cell r="AC456" t="str">
            <v>TGX8X6H/D60 MONTHS/375 000 KMEntire VehicleYes</v>
          </cell>
          <cell r="AD456">
            <v>324135</v>
          </cell>
        </row>
        <row r="457">
          <cell r="AC457" t="str">
            <v>TGX8X6H/D60 MONTHS/500 000 KMEntire VehicleYes</v>
          </cell>
          <cell r="AD457">
            <v>422625</v>
          </cell>
        </row>
        <row r="458">
          <cell r="AC458" t="str">
            <v>TGX8X6H/D60 MONTHS/625 000 KMEntire VehicleYes</v>
          </cell>
          <cell r="AD458">
            <v>521115</v>
          </cell>
        </row>
        <row r="459">
          <cell r="AC459" t="str">
            <v>TGX8X6H/D60 MONTHS/750 000 KMEntire VehicleYes</v>
          </cell>
          <cell r="AD459">
            <v>535080</v>
          </cell>
        </row>
        <row r="460">
          <cell r="AC460" t="str">
            <v>TGX8X6HYDRO24 MONTHS/100 000 KMEntire VehicleYes</v>
          </cell>
          <cell r="AD460">
            <v>8820</v>
          </cell>
        </row>
        <row r="461">
          <cell r="AC461" t="str">
            <v>TGX8X6HYDRO24 MONTHS/150 000 KMEntire VehicleYes</v>
          </cell>
          <cell r="AD461">
            <v>10290</v>
          </cell>
        </row>
        <row r="462">
          <cell r="AC462" t="str">
            <v>TGX8X6HYDRO24 MONTHS/200 000 KMEntire VehicleYes</v>
          </cell>
          <cell r="AD462">
            <v>13230</v>
          </cell>
        </row>
        <row r="463">
          <cell r="AC463" t="str">
            <v>TGX8X6HYDRO24 MONTHS/250 000 KMEntire VehicleYes</v>
          </cell>
          <cell r="AD463">
            <v>17640</v>
          </cell>
        </row>
        <row r="464">
          <cell r="AC464" t="str">
            <v>TGX8X6HYDRO24 MONTHS/300 000 KMEntire VehicleYes</v>
          </cell>
          <cell r="AD464">
            <v>19110</v>
          </cell>
        </row>
        <row r="465">
          <cell r="AC465" t="str">
            <v>TGX8X6HYDRO24 MONTHS/50 000 KMEntire VehicleYes</v>
          </cell>
          <cell r="AD465">
            <v>6615</v>
          </cell>
        </row>
        <row r="466">
          <cell r="AC466" t="str">
            <v>TGX8X6HYDRO36 MONTHS/150 000 KMEntire VehicleYes</v>
          </cell>
          <cell r="AD466">
            <v>34545</v>
          </cell>
        </row>
        <row r="467">
          <cell r="AC467" t="str">
            <v>TGX8X6HYDRO36 MONTHS/225 000 KMEntire VehicleYes</v>
          </cell>
          <cell r="AD467">
            <v>40425</v>
          </cell>
        </row>
        <row r="468">
          <cell r="AC468" t="str">
            <v>TGX8X6HYDRO36 MONTHS/300 000 KMEntire VehicleYes</v>
          </cell>
          <cell r="AD468">
            <v>52185</v>
          </cell>
        </row>
        <row r="469">
          <cell r="AC469" t="str">
            <v>TGX8X6HYDRO36 MONTHS/375 000 KMEntire VehicleYes</v>
          </cell>
          <cell r="AD469">
            <v>64680</v>
          </cell>
        </row>
        <row r="470">
          <cell r="AC470" t="str">
            <v>TGX8X6HYDRO36 MONTHS/450 000 KMEntire VehicleYes</v>
          </cell>
          <cell r="AD470">
            <v>66885</v>
          </cell>
        </row>
        <row r="471">
          <cell r="AC471" t="str">
            <v>TGX8X6HYDRO36 MONTHS/75 000 KMEntire VehicleYes</v>
          </cell>
          <cell r="AD471">
            <v>29400</v>
          </cell>
        </row>
        <row r="472">
          <cell r="AC472" t="str">
            <v>TGX8X6HYDRO48 MONTHS/100 000 KMEntire VehicleYes</v>
          </cell>
          <cell r="AD472">
            <v>79830</v>
          </cell>
        </row>
        <row r="473">
          <cell r="AC473" t="str">
            <v>TGX8X6HYDRO48 MONTHS/200 000 KMEntire VehicleYes</v>
          </cell>
          <cell r="AD473">
            <v>92610</v>
          </cell>
        </row>
        <row r="474">
          <cell r="AC474" t="str">
            <v>TGX8X6HYDRO48 MONTHS/300 000 KMEntire VehicleYes</v>
          </cell>
          <cell r="AD474">
            <v>108045</v>
          </cell>
        </row>
        <row r="475">
          <cell r="AC475" t="str">
            <v>TGX8X6HYDRO48 MONTHS/400 000 KMEntire VehicleYes</v>
          </cell>
          <cell r="AD475">
            <v>141855</v>
          </cell>
        </row>
        <row r="476">
          <cell r="AC476" t="str">
            <v>TGX8X6HYDRO48 MONTHS/500 000 KMEntire VehicleYes</v>
          </cell>
          <cell r="AD476">
            <v>174195</v>
          </cell>
        </row>
        <row r="477">
          <cell r="AC477" t="str">
            <v>TGX8X6HYDRO48 MONTHS/600 000 KMEntire VehicleYes</v>
          </cell>
          <cell r="AD477">
            <v>178605</v>
          </cell>
        </row>
        <row r="478">
          <cell r="AC478" t="str">
            <v>TGX8X6HYDRO60 MONTHS/125 000 KMEntire VehicleYes</v>
          </cell>
          <cell r="AD478">
            <v>164640</v>
          </cell>
        </row>
        <row r="479">
          <cell r="AC479" t="str">
            <v>TGX8X6HYDRO60 MONTHS/250 000 KMEntire VehicleYes</v>
          </cell>
          <cell r="AD479">
            <v>194040</v>
          </cell>
        </row>
        <row r="480">
          <cell r="AC480" t="str">
            <v>TGX8X6HYDRO60 MONTHS/375 000 KMEntire VehicleYes</v>
          </cell>
          <cell r="AD480">
            <v>227115</v>
          </cell>
        </row>
        <row r="481">
          <cell r="AC481" t="str">
            <v>TGX8X6HYDRO60 MONTHS/500 000 KMEntire VehicleYes</v>
          </cell>
          <cell r="AD481">
            <v>296940</v>
          </cell>
        </row>
        <row r="482">
          <cell r="AC482" t="str">
            <v>TGX8X6HYDRO60 MONTHS/625 000 KMEntire VehicleYes</v>
          </cell>
          <cell r="AD482">
            <v>365295</v>
          </cell>
        </row>
        <row r="483">
          <cell r="AC483" t="str">
            <v>TGX8X6HYDRO60 MONTHS/750 000 KMEntire VehicleYes</v>
          </cell>
          <cell r="AD483">
            <v>374850</v>
          </cell>
        </row>
        <row r="484">
          <cell r="AC484" t="str">
            <v>TGX8X824 MONTHS/100 000 KMEntire VehicleYes</v>
          </cell>
          <cell r="AD484">
            <v>8820</v>
          </cell>
        </row>
        <row r="485">
          <cell r="AC485" t="str">
            <v>TGX8X824 MONTHS/150 000 KMEntire VehicleYes</v>
          </cell>
          <cell r="AD485">
            <v>10290</v>
          </cell>
        </row>
        <row r="486">
          <cell r="AC486" t="str">
            <v>TGX8X824 MONTHS/200 000 KMEntire VehicleYes</v>
          </cell>
          <cell r="AD486">
            <v>13230</v>
          </cell>
        </row>
        <row r="487">
          <cell r="AC487" t="str">
            <v>TGX8X824 MONTHS/250 000 KMEntire VehicleYes</v>
          </cell>
          <cell r="AD487">
            <v>17640</v>
          </cell>
        </row>
        <row r="488">
          <cell r="AC488" t="str">
            <v>TGX8X824 MONTHS/300 000 KMEntire VehicleYes</v>
          </cell>
          <cell r="AD488">
            <v>19110</v>
          </cell>
        </row>
        <row r="489">
          <cell r="AC489" t="str">
            <v>TGX8X824 MONTHS/50 000 KMEntire VehicleYes</v>
          </cell>
          <cell r="AD489">
            <v>6615</v>
          </cell>
        </row>
        <row r="490">
          <cell r="AC490" t="str">
            <v>TGX8X836 MONTHS/150 000 KMEntire VehicleYes</v>
          </cell>
          <cell r="AD490">
            <v>34545</v>
          </cell>
        </row>
        <row r="491">
          <cell r="AC491" t="str">
            <v>TGX8X836 MONTHS/225 000 KMEntire VehicleYes</v>
          </cell>
          <cell r="AD491">
            <v>40425</v>
          </cell>
        </row>
        <row r="492">
          <cell r="AC492" t="str">
            <v>TGX8X836 MONTHS/300 000 KMEntire VehicleYes</v>
          </cell>
          <cell r="AD492">
            <v>52185</v>
          </cell>
        </row>
        <row r="493">
          <cell r="AC493" t="str">
            <v>TGX8X836 MONTHS/375 000 KMEntire VehicleYes</v>
          </cell>
          <cell r="AD493">
            <v>64680</v>
          </cell>
        </row>
        <row r="494">
          <cell r="AC494" t="str">
            <v>TGX8X836 MONTHS/450 000 KMEntire VehicleYes</v>
          </cell>
          <cell r="AD494">
            <v>66885</v>
          </cell>
        </row>
        <row r="495">
          <cell r="AC495" t="str">
            <v>TGX8X836 MONTHS/75 000 KMEntire VehicleYes</v>
          </cell>
          <cell r="AD495">
            <v>29400</v>
          </cell>
        </row>
        <row r="496">
          <cell r="AC496" t="str">
            <v>TGX8X848 MONTHS/100 000 KMEntire VehicleYes</v>
          </cell>
          <cell r="AD496">
            <v>79830</v>
          </cell>
        </row>
        <row r="497">
          <cell r="AC497" t="str">
            <v>TGX8X848 MONTHS/200 000 KMEntire VehicleYes</v>
          </cell>
          <cell r="AD497">
            <v>92610</v>
          </cell>
        </row>
        <row r="498">
          <cell r="AC498" t="str">
            <v>TGX8X848 MONTHS/300 000 KMEntire VehicleYes</v>
          </cell>
          <cell r="AD498">
            <v>108045</v>
          </cell>
        </row>
        <row r="499">
          <cell r="AC499" t="str">
            <v>TGX8X848 MONTHS/400 000 KMEntire VehicleYes</v>
          </cell>
          <cell r="AD499">
            <v>141855</v>
          </cell>
        </row>
        <row r="500">
          <cell r="AC500" t="str">
            <v>TGX8X848 MONTHS/500 000 KMEntire VehicleYes</v>
          </cell>
          <cell r="AD500">
            <v>174195</v>
          </cell>
        </row>
        <row r="501">
          <cell r="AC501" t="str">
            <v>TGX8X848 MONTHS/600 000 KMEntire VehicleYes</v>
          </cell>
          <cell r="AD501">
            <v>178605</v>
          </cell>
        </row>
        <row r="502">
          <cell r="AC502" t="str">
            <v>TGX8X860 MONTHS/125 000 KMEntire VehicleYes</v>
          </cell>
          <cell r="AD502">
            <v>164640</v>
          </cell>
        </row>
        <row r="503">
          <cell r="AC503" t="str">
            <v>TGX8X860 MONTHS/250 000 KMEntire VehicleYes</v>
          </cell>
          <cell r="AD503">
            <v>194040</v>
          </cell>
        </row>
        <row r="504">
          <cell r="AC504" t="str">
            <v>TGX8X860 MONTHS/375 000 KMEntire VehicleYes</v>
          </cell>
          <cell r="AD504">
            <v>227115</v>
          </cell>
        </row>
        <row r="505">
          <cell r="AC505" t="str">
            <v>TGX8X860 MONTHS/500 000 KMEntire VehicleYes</v>
          </cell>
          <cell r="AD505">
            <v>296940</v>
          </cell>
        </row>
        <row r="506">
          <cell r="AC506" t="str">
            <v>TGX8X860 MONTHS/625 000 KMEntire VehicleYes</v>
          </cell>
          <cell r="AD506">
            <v>365295</v>
          </cell>
        </row>
        <row r="507">
          <cell r="AC507" t="str">
            <v>TGX8X860 MONTHS/750 000 KMEntire VehicleYes</v>
          </cell>
          <cell r="AD507">
            <v>374850</v>
          </cell>
        </row>
        <row r="508">
          <cell r="AC508" t="str">
            <v>TGX6X4LH36 MONTHS/300 000 KMEntire VehicleYes</v>
          </cell>
          <cell r="AD508">
            <v>36750</v>
          </cell>
        </row>
      </sheetData>
      <sheetData sheetId="8">
        <row r="6">
          <cell r="F6" t="str">
            <v>CLA6X412 MONTHS/UNLIMITED24 MONTHS/UNLIMITEDNo</v>
          </cell>
          <cell r="G6">
            <v>0</v>
          </cell>
        </row>
        <row r="7">
          <cell r="F7" t="str">
            <v>CLA6X412 MONTHS/UNLIMITED24 MONTHS/UNLIMITEDYes</v>
          </cell>
          <cell r="G7">
            <v>0</v>
          </cell>
        </row>
        <row r="8">
          <cell r="F8" t="str">
            <v>CLA4X212 MONTHS/UNLIMITED36 MONTHS/300 000 KMNo</v>
          </cell>
          <cell r="G8">
            <v>11760</v>
          </cell>
        </row>
        <row r="9">
          <cell r="F9" t="str">
            <v>CLA4X212 MONTHS/UNLIMITED36 MONTHS/300 000 KMYes</v>
          </cell>
          <cell r="G9">
            <v>11760</v>
          </cell>
        </row>
        <row r="10">
          <cell r="F10" t="str">
            <v>CLA6X412 MONTHS/UNLIMITED36 MONTHS/300 000 KMNo</v>
          </cell>
          <cell r="G10">
            <v>23520</v>
          </cell>
        </row>
        <row r="11">
          <cell r="F11" t="str">
            <v>CLA6X412 MONTHS/UNLIMITED36 MONTHS/300 000 KMYes</v>
          </cell>
          <cell r="G11">
            <v>23520</v>
          </cell>
        </row>
        <row r="12">
          <cell r="F12" t="str">
            <v>TGM4X212 MONTHS/UNLIMITED24 MONTHS/UNLIMITEDNo</v>
          </cell>
          <cell r="G12">
            <v>0</v>
          </cell>
        </row>
        <row r="13">
          <cell r="F13" t="str">
            <v>TGM4X212 MONTHS/UNLIMITED24 MONTHS/UNLIMITEDYes</v>
          </cell>
          <cell r="G13">
            <v>0</v>
          </cell>
        </row>
        <row r="14">
          <cell r="F14" t="str">
            <v>TGM4X412 MONTHS/UNLIMITED24 MONTHS/UNLIMITEDNo</v>
          </cell>
          <cell r="G14">
            <v>0</v>
          </cell>
        </row>
        <row r="15">
          <cell r="F15" t="str">
            <v>TGM4X412 MONTHS/UNLIMITED24 MONTHS/UNLIMITEDYes</v>
          </cell>
          <cell r="G15">
            <v>0</v>
          </cell>
        </row>
        <row r="16">
          <cell r="F16" t="str">
            <v>TGM6X212 MONTHS/UNLIMITED24 MONTHS/UNLIMITEDNo</v>
          </cell>
          <cell r="G16">
            <v>0</v>
          </cell>
        </row>
        <row r="17">
          <cell r="F17" t="str">
            <v>TGM6X212 MONTHS/UNLIMITED24 MONTHS/UNLIMITEDYes</v>
          </cell>
          <cell r="G17">
            <v>0</v>
          </cell>
        </row>
        <row r="18">
          <cell r="F18" t="str">
            <v>TGM6X412 MONTHS/UNLIMITED24 MONTHS/UNLIMITEDNo</v>
          </cell>
          <cell r="G18">
            <v>0</v>
          </cell>
        </row>
        <row r="19">
          <cell r="F19" t="str">
            <v>TGM6X412 MONTHS/UNLIMITED24 MONTHS/UNLIMITEDYes</v>
          </cell>
          <cell r="G19">
            <v>0</v>
          </cell>
        </row>
        <row r="20">
          <cell r="F20" t="str">
            <v>TGM4X212 MONTHS/UNLIMITED36 MONTHS/450 000 KMNo</v>
          </cell>
          <cell r="G20">
            <v>16905</v>
          </cell>
        </row>
        <row r="21">
          <cell r="F21" t="str">
            <v>TGM4X212 MONTHS/UNLIMITED36 MONTHS/450 000 KMYes</v>
          </cell>
          <cell r="G21">
            <v>14700</v>
          </cell>
        </row>
        <row r="22">
          <cell r="F22" t="str">
            <v>TGM4X412 MONTHS/UNLIMITED36 MONTHS/450 000 KMNo</v>
          </cell>
          <cell r="G22">
            <v>20580</v>
          </cell>
        </row>
        <row r="23">
          <cell r="F23" t="str">
            <v>TGM4X412 MONTHS/UNLIMITED36 MONTHS/450 000 KMYes</v>
          </cell>
          <cell r="G23">
            <v>17640</v>
          </cell>
        </row>
        <row r="24">
          <cell r="F24" t="str">
            <v>TGM6X212 MONTHS/UNLIMITED36 MONTHS/450 000 KMNo</v>
          </cell>
          <cell r="G24">
            <v>20580</v>
          </cell>
        </row>
        <row r="25">
          <cell r="F25" t="str">
            <v>TGM6X212 MONTHS/UNLIMITED36 MONTHS/450 000 KMYes</v>
          </cell>
          <cell r="G25">
            <v>17640</v>
          </cell>
        </row>
        <row r="26">
          <cell r="F26" t="str">
            <v>TGM6X412 MONTHS/UNLIMITED36 MONTHS/450 000 KMNo</v>
          </cell>
          <cell r="G26">
            <v>20580</v>
          </cell>
        </row>
        <row r="27">
          <cell r="F27" t="str">
            <v>TGM6X412 MONTHS/UNLIMITED36 MONTHS/450 000 KMYes</v>
          </cell>
          <cell r="G27">
            <v>17640</v>
          </cell>
        </row>
        <row r="28">
          <cell r="F28" t="str">
            <v>TGS4X212 MONTHS/UNLIMITED36 MONTHS/600 000 KMNo</v>
          </cell>
          <cell r="G28">
            <v>22050</v>
          </cell>
        </row>
        <row r="29">
          <cell r="F29" t="str">
            <v>TGS4X212 MONTHS/UNLIMITED36 MONTHS/600 000 KMYes</v>
          </cell>
          <cell r="G29">
            <v>19110</v>
          </cell>
        </row>
        <row r="30">
          <cell r="F30" t="str">
            <v>TGS4X412 MONTHS/UNLIMITED36 MONTHS/450 000 KMNo</v>
          </cell>
          <cell r="G30">
            <v>24990</v>
          </cell>
        </row>
        <row r="31">
          <cell r="F31" t="str">
            <v>TGS4X412 MONTHS/UNLIMITED36 MONTHS/450 000 KMYes</v>
          </cell>
          <cell r="G31">
            <v>21315</v>
          </cell>
        </row>
        <row r="32">
          <cell r="F32" t="str">
            <v>TGS4X4HYDRO12 MONTHS/UNLIMITED36 MONTHS/450 000 KMNo</v>
          </cell>
          <cell r="G32">
            <v>30870</v>
          </cell>
        </row>
        <row r="33">
          <cell r="F33" t="str">
            <v>TGS4X4HYDRO12 MONTHS/UNLIMITED36 MONTHS/450 000 KMYes</v>
          </cell>
          <cell r="G33">
            <v>26460</v>
          </cell>
        </row>
        <row r="34">
          <cell r="F34" t="str">
            <v>TGS6X212 MONTHS/UNLIMITED36 MONTHS/600 000 KMNo</v>
          </cell>
          <cell r="G34">
            <v>22050</v>
          </cell>
        </row>
        <row r="35">
          <cell r="F35" t="str">
            <v>TGS6X212 MONTHS/UNLIMITED36 MONTHS/600 000 KMYes</v>
          </cell>
          <cell r="G35">
            <v>19110</v>
          </cell>
        </row>
        <row r="36">
          <cell r="F36" t="str">
            <v>TGS6X412 MONTHS/UNLIMITED36 MONTHS/450 000 KMNo</v>
          </cell>
          <cell r="G36">
            <v>24990</v>
          </cell>
        </row>
        <row r="37">
          <cell r="F37" t="str">
            <v>TGS6X412 MONTHS/UNLIMITED36 MONTHS/450 000 KMYes</v>
          </cell>
          <cell r="G37">
            <v>21315</v>
          </cell>
        </row>
        <row r="38">
          <cell r="F38" t="str">
            <v>TGS6X4H/D12 MONTHS/UNLIMITED36 MONTHS/450 000 KMNo</v>
          </cell>
          <cell r="G38">
            <v>84525</v>
          </cell>
        </row>
        <row r="39">
          <cell r="F39" t="str">
            <v>TGS6X4H/D12 MONTHS/UNLIMITED36 MONTHS/450 000 KMYes</v>
          </cell>
          <cell r="G39">
            <v>73500</v>
          </cell>
        </row>
        <row r="40">
          <cell r="F40" t="str">
            <v>TGS6X4HYDRO12 MONTHS/UNLIMITED36 MONTHS/450 000 KMNo</v>
          </cell>
          <cell r="G40">
            <v>30870</v>
          </cell>
        </row>
        <row r="41">
          <cell r="F41" t="str">
            <v>TGS6X4HYDRO12 MONTHS/UNLIMITED36 MONTHS/450 000 KMYes</v>
          </cell>
          <cell r="G41">
            <v>26460</v>
          </cell>
        </row>
        <row r="42">
          <cell r="F42" t="str">
            <v>TGS6X4LH12 MONTHS/UNLIMITED36 MONTHS/600 000 KMNo</v>
          </cell>
          <cell r="G42">
            <v>26460</v>
          </cell>
        </row>
        <row r="43">
          <cell r="F43" t="str">
            <v>TGS6X4LH12 MONTHS/UNLIMITED36 MONTHS/600 000 KMYes</v>
          </cell>
          <cell r="G43">
            <v>26460</v>
          </cell>
        </row>
        <row r="44">
          <cell r="F44" t="str">
            <v>TGS6X412 MONTHS/UNLIMITED36 MONTHS/600 000 KMNo</v>
          </cell>
          <cell r="G44">
            <v>26460</v>
          </cell>
        </row>
        <row r="45">
          <cell r="F45" t="str">
            <v>TGS6X412 MONTHS/UNLIMITED36 MONTHS/600 000 KMYes</v>
          </cell>
          <cell r="G45">
            <v>26460</v>
          </cell>
        </row>
        <row r="46">
          <cell r="F46" t="str">
            <v>TGS6X612 MONTHS/UNLIMITED36 MONTHS/450 000 KMNo</v>
          </cell>
          <cell r="G46">
            <v>24990</v>
          </cell>
        </row>
        <row r="47">
          <cell r="F47" t="str">
            <v>TGS6X612 MONTHS/UNLIMITED36 MONTHS/450 000 KMYes</v>
          </cell>
          <cell r="G47">
            <v>21315</v>
          </cell>
        </row>
        <row r="48">
          <cell r="F48" t="str">
            <v>TGS6X6H/D12 MONTHS/UNLIMITED36 MONTHS/450 000 KMNo</v>
          </cell>
          <cell r="G48">
            <v>84525</v>
          </cell>
        </row>
        <row r="49">
          <cell r="F49" t="str">
            <v>TGS6X6H/D12 MONTHS/UNLIMITED36 MONTHS/450 000 KMYes</v>
          </cell>
          <cell r="G49">
            <v>73500</v>
          </cell>
        </row>
        <row r="50">
          <cell r="F50" t="str">
            <v>TGS6X6HYDRO12 MONTHS/UNLIMITED36 MONTHS/450 000 KMNo</v>
          </cell>
          <cell r="G50">
            <v>30870</v>
          </cell>
        </row>
        <row r="51">
          <cell r="F51" t="str">
            <v>TGS6X6HYDRO12 MONTHS/UNLIMITED36 MONTHS/450 000 KMYes</v>
          </cell>
          <cell r="G51">
            <v>26460</v>
          </cell>
        </row>
        <row r="52">
          <cell r="F52" t="str">
            <v>TGS8X212 MONTHS/UNLIMITED36 MONTHS/600 000 KMNo</v>
          </cell>
          <cell r="G52">
            <v>22050</v>
          </cell>
        </row>
        <row r="53">
          <cell r="F53" t="str">
            <v>TGS8X212 MONTHS/UNLIMITED36 MONTHS/600 000 KMYes</v>
          </cell>
          <cell r="G53">
            <v>19110</v>
          </cell>
        </row>
        <row r="54">
          <cell r="F54" t="str">
            <v>TGS8X412 MONTHS/UNLIMITED36 MONTHS/450 000 KMNo</v>
          </cell>
          <cell r="G54">
            <v>31605</v>
          </cell>
        </row>
        <row r="55">
          <cell r="F55" t="str">
            <v>TGS8X412 MONTHS/UNLIMITED36 MONTHS/450 000 KMYes</v>
          </cell>
          <cell r="G55">
            <v>27195</v>
          </cell>
        </row>
        <row r="56">
          <cell r="F56" t="str">
            <v>TGS8X4H/D12 MONTHS/UNLIMITED36 MONTHS/450 000 KMNo</v>
          </cell>
          <cell r="G56">
            <v>84525</v>
          </cell>
        </row>
        <row r="57">
          <cell r="F57" t="str">
            <v>TGS8X4H/D12 MONTHS/UNLIMITED36 MONTHS/450 000 KMYes</v>
          </cell>
          <cell r="G57">
            <v>73500</v>
          </cell>
        </row>
        <row r="58">
          <cell r="F58" t="str">
            <v>TGS8X4HYDRO12 MONTHS/UNLIMITED36 MONTHS/450 000 KMNo</v>
          </cell>
          <cell r="G58">
            <v>30870</v>
          </cell>
        </row>
        <row r="59">
          <cell r="F59" t="str">
            <v>TGS8X4HYDRO12 MONTHS/UNLIMITED36 MONTHS/450 000 KMYes</v>
          </cell>
          <cell r="G59">
            <v>26460</v>
          </cell>
        </row>
        <row r="60">
          <cell r="F60" t="str">
            <v>TGS8X4LH12 MONTHS/UNLIMITED36 MONTHS/600 000 KMNo</v>
          </cell>
          <cell r="G60">
            <v>26460</v>
          </cell>
        </row>
        <row r="61">
          <cell r="F61" t="str">
            <v>TGS8X4LH12 MONTHS/UNLIMITED36 MONTHS/600 000 KMYes</v>
          </cell>
          <cell r="G61">
            <v>26460</v>
          </cell>
        </row>
        <row r="62">
          <cell r="F62" t="str">
            <v>TGS8X612 MONTHS/UNLIMITED36 MONTHS/450 000 KMNo</v>
          </cell>
          <cell r="G62">
            <v>31605</v>
          </cell>
        </row>
        <row r="63">
          <cell r="F63" t="str">
            <v>TGS8X612 MONTHS/UNLIMITED36 MONTHS/450 000 KMYes</v>
          </cell>
          <cell r="G63">
            <v>27195</v>
          </cell>
        </row>
        <row r="64">
          <cell r="F64" t="str">
            <v>TGS8X6H/D12 MONTHS/UNLIMITED36 MONTHS/450 000 KMNo</v>
          </cell>
          <cell r="G64">
            <v>84525</v>
          </cell>
        </row>
        <row r="65">
          <cell r="F65" t="str">
            <v>TGS8X6H/D12 MONTHS/UNLIMITED36 MONTHS/450 000 KMYes</v>
          </cell>
          <cell r="G65">
            <v>73500</v>
          </cell>
        </row>
        <row r="66">
          <cell r="F66" t="str">
            <v>TGS8X6HYDRO12 MONTHS/UNLIMITED36 MONTHS/450 000 KMNo</v>
          </cell>
          <cell r="G66">
            <v>30870</v>
          </cell>
        </row>
        <row r="67">
          <cell r="F67" t="str">
            <v>TGS8X6HYDRO12 MONTHS/UNLIMITED36 MONTHS/450 000 KMYes</v>
          </cell>
          <cell r="G67">
            <v>26460</v>
          </cell>
        </row>
        <row r="68">
          <cell r="F68" t="str">
            <v>TGS8X812 MONTHS/UNLIMITED36 MONTHS/450 000 KMNo</v>
          </cell>
          <cell r="G68">
            <v>31605</v>
          </cell>
        </row>
        <row r="69">
          <cell r="F69" t="str">
            <v>TGS8X812 MONTHS/UNLIMITED36 MONTHS/450 000 KMYes</v>
          </cell>
          <cell r="G69">
            <v>27195</v>
          </cell>
        </row>
        <row r="70">
          <cell r="F70" t="str">
            <v>TGX4X212 MONTHS/UNLIMITED36 MONTHS/600 000 KMNo</v>
          </cell>
          <cell r="G70">
            <v>22050</v>
          </cell>
        </row>
        <row r="71">
          <cell r="F71" t="str">
            <v>TGX4X212 MONTHS/UNLIMITED36 MONTHS/600 000 KMYes</v>
          </cell>
          <cell r="G71">
            <v>19110</v>
          </cell>
        </row>
        <row r="72">
          <cell r="F72" t="str">
            <v>TGX4X412 MONTHS/UNLIMITED36 MONTHS/450 000 KMNo</v>
          </cell>
          <cell r="G72">
            <v>24990</v>
          </cell>
        </row>
        <row r="73">
          <cell r="F73" t="str">
            <v>TGX4X412 MONTHS/UNLIMITED36 MONTHS/450 000 KMYes</v>
          </cell>
          <cell r="G73">
            <v>21315</v>
          </cell>
        </row>
        <row r="74">
          <cell r="F74" t="str">
            <v>TGX4X4HYDRO12 MONTHS/UNLIMITED36 MONTHS/450 000 KMNo</v>
          </cell>
          <cell r="G74">
            <v>30870</v>
          </cell>
        </row>
        <row r="75">
          <cell r="F75" t="str">
            <v>TGX4X4HYDRO12 MONTHS/UNLIMITED36 MONTHS/450 000 KMYes</v>
          </cell>
          <cell r="G75">
            <v>26460</v>
          </cell>
        </row>
        <row r="76">
          <cell r="F76" t="str">
            <v>TGX6X212 MONTHS/UNLIMITED36 MONTHS/600 000 KMNo</v>
          </cell>
          <cell r="G76">
            <v>22050</v>
          </cell>
        </row>
        <row r="77">
          <cell r="F77" t="str">
            <v>TGX6X212 MONTHS/UNLIMITED36 MONTHS/600 000 KMYes</v>
          </cell>
          <cell r="G77">
            <v>19110</v>
          </cell>
        </row>
        <row r="78">
          <cell r="F78" t="str">
            <v>TGX6X412 MONTHS/UNLIMITED36 MONTHS/450 000 KMNo</v>
          </cell>
          <cell r="G78">
            <v>24990</v>
          </cell>
        </row>
        <row r="79">
          <cell r="F79" t="str">
            <v>TGX6X412 MONTHS/UNLIMITED36 MONTHS/450 000 KMYes</v>
          </cell>
          <cell r="G79">
            <v>21315</v>
          </cell>
        </row>
        <row r="80">
          <cell r="F80" t="str">
            <v>TGX6X4H/D12 MONTHS/UNLIMITED36 MONTHS/450 000 KMNo</v>
          </cell>
          <cell r="G80">
            <v>84525</v>
          </cell>
        </row>
        <row r="81">
          <cell r="F81" t="str">
            <v>TGX6X4H/D12 MONTHS/UNLIMITED36 MONTHS/450 000 KMYes</v>
          </cell>
          <cell r="G81">
            <v>73500</v>
          </cell>
        </row>
        <row r="82">
          <cell r="F82" t="str">
            <v>TGX6X4HYDRO12 MONTHS/UNLIMITED36 MONTHS/450 000 KMNo</v>
          </cell>
          <cell r="G82">
            <v>30870</v>
          </cell>
        </row>
        <row r="83">
          <cell r="F83" t="str">
            <v>TGX6X4HYDRO12 MONTHS/UNLIMITED36 MONTHS/450 000 KMYes</v>
          </cell>
          <cell r="G83">
            <v>26460</v>
          </cell>
        </row>
        <row r="84">
          <cell r="F84" t="str">
            <v>TGX6X4LH12 MONTHS/UNLIMITED36 MONTHS/600 000 KMNo</v>
          </cell>
          <cell r="G84">
            <v>26460</v>
          </cell>
        </row>
        <row r="85">
          <cell r="F85" t="str">
            <v>TGX6X4LH12 MONTHS/UNLIMITED36 MONTHS/600 000 KMYes</v>
          </cell>
          <cell r="G85">
            <v>26460</v>
          </cell>
        </row>
        <row r="86">
          <cell r="F86" t="str">
            <v>TGX6X412 MONTHS/UNLIMITED36 MONTHS/600 000 KMNo</v>
          </cell>
          <cell r="G86">
            <v>26460</v>
          </cell>
        </row>
        <row r="87">
          <cell r="F87" t="str">
            <v>TGX6X412 MONTHS/UNLIMITED36 MONTHS/600 000 KMYes</v>
          </cell>
          <cell r="G87">
            <v>26460</v>
          </cell>
        </row>
        <row r="88">
          <cell r="F88" t="str">
            <v>TGX6X612 MONTHS/UNLIMITED36 MONTHS/450 000 KMNo</v>
          </cell>
          <cell r="G88">
            <v>24990</v>
          </cell>
        </row>
        <row r="89">
          <cell r="F89" t="str">
            <v>TGX6X612 MONTHS/UNLIMITED36 MONTHS/450 000 KMYes</v>
          </cell>
          <cell r="G89">
            <v>21315</v>
          </cell>
        </row>
        <row r="90">
          <cell r="F90" t="str">
            <v>TGX6X6H/D12 MONTHS/UNLIMITED36 MONTHS/450 000 KMNo</v>
          </cell>
          <cell r="G90">
            <v>84525</v>
          </cell>
        </row>
        <row r="91">
          <cell r="F91" t="str">
            <v>TGX6X6H/D12 MONTHS/UNLIMITED36 MONTHS/450 000 KMYes</v>
          </cell>
          <cell r="G91">
            <v>73500</v>
          </cell>
        </row>
        <row r="92">
          <cell r="F92" t="str">
            <v>TGX6X6HYDRO12 MONTHS/UNLIMITED36 MONTHS/450 000 KMNo</v>
          </cell>
          <cell r="G92">
            <v>30870</v>
          </cell>
        </row>
        <row r="93">
          <cell r="F93" t="str">
            <v>TGX6X6HYDRO12 MONTHS/UNLIMITED36 MONTHS/450 000 KMYes</v>
          </cell>
          <cell r="G93">
            <v>26460</v>
          </cell>
        </row>
        <row r="94">
          <cell r="F94" t="str">
            <v>TGX8X212 MONTHS/UNLIMITED36 MONTHS/600 000 KMNo</v>
          </cell>
          <cell r="G94">
            <v>22050</v>
          </cell>
        </row>
        <row r="95">
          <cell r="F95" t="str">
            <v>TGX8X212 MONTHS/UNLIMITED36 MONTHS/600 000 KMYes</v>
          </cell>
          <cell r="G95">
            <v>19110</v>
          </cell>
        </row>
        <row r="96">
          <cell r="F96" t="str">
            <v>TGX8X412 MONTHS/UNLIMITED36 MONTHS/450 000 KMNo</v>
          </cell>
          <cell r="G96">
            <v>31605</v>
          </cell>
        </row>
        <row r="97">
          <cell r="F97" t="str">
            <v>TGX8X412 MONTHS/UNLIMITED36 MONTHS/450 000 KMYes</v>
          </cell>
          <cell r="G97">
            <v>27195</v>
          </cell>
        </row>
        <row r="98">
          <cell r="F98" t="str">
            <v>TGX8X4H/D12 MONTHS/UNLIMITED36 MONTHS/450 000 KMNo</v>
          </cell>
          <cell r="G98">
            <v>84525</v>
          </cell>
        </row>
        <row r="99">
          <cell r="F99" t="str">
            <v>TGX8X4H/D12 MONTHS/UNLIMITED36 MONTHS/450 000 KMYes</v>
          </cell>
          <cell r="G99">
            <v>73500</v>
          </cell>
        </row>
        <row r="100">
          <cell r="F100" t="str">
            <v>TGX8X4HYDRO12 MONTHS/UNLIMITED36 MONTHS/450 000 KMNo</v>
          </cell>
          <cell r="G100">
            <v>30870</v>
          </cell>
        </row>
        <row r="101">
          <cell r="F101" t="str">
            <v>TGX8X4HYDRO12 MONTHS/UNLIMITED36 MONTHS/450 000 KMYes</v>
          </cell>
          <cell r="G101">
            <v>26460</v>
          </cell>
        </row>
        <row r="102">
          <cell r="F102" t="str">
            <v>TGX8X4LH12 MONTHS/UNLIMITED36 MONTHS/600 000 KMNo</v>
          </cell>
          <cell r="G102">
            <v>26460</v>
          </cell>
        </row>
        <row r="103">
          <cell r="F103" t="str">
            <v>TGX8X4LH12 MONTHS/UNLIMITED36 MONTHS/600 000 KMYes</v>
          </cell>
          <cell r="G103">
            <v>26460</v>
          </cell>
        </row>
        <row r="104">
          <cell r="F104" t="str">
            <v>TGX8X612 MONTHS/UNLIMITED36 MONTHS/450 000 KMNo</v>
          </cell>
          <cell r="G104">
            <v>31605</v>
          </cell>
        </row>
        <row r="105">
          <cell r="F105" t="str">
            <v>TGX8X612 MONTHS/UNLIMITED36 MONTHS/450 000 KMYes</v>
          </cell>
          <cell r="G105">
            <v>27195</v>
          </cell>
        </row>
        <row r="106">
          <cell r="F106" t="str">
            <v>TGX8X6H/D12 MONTHS/UNLIMITED36 MONTHS/450 000 KMNo</v>
          </cell>
          <cell r="G106">
            <v>84525</v>
          </cell>
        </row>
        <row r="107">
          <cell r="F107" t="str">
            <v>TGX8X6H/D12 MONTHS/UNLIMITED36 MONTHS/450 000 KMYes</v>
          </cell>
          <cell r="G107">
            <v>73500</v>
          </cell>
        </row>
        <row r="108">
          <cell r="F108" t="str">
            <v>TGX8X6HYDRO12 MONTHS/UNLIMITED36 MONTHS/450 000 KMNo</v>
          </cell>
          <cell r="G108">
            <v>30870</v>
          </cell>
        </row>
        <row r="109">
          <cell r="F109" t="str">
            <v>TGX8X6HYDRO12 MONTHS/UNLIMITED36 MONTHS/450 000 KMYes</v>
          </cell>
          <cell r="G109">
            <v>26460</v>
          </cell>
        </row>
        <row r="110">
          <cell r="F110" t="str">
            <v>TGX8X812 MONTHS/UNLIMITED36 MONTHS/450 000 KMNo</v>
          </cell>
          <cell r="G110">
            <v>31605</v>
          </cell>
        </row>
        <row r="111">
          <cell r="F111" t="str">
            <v>TGX8X812 MONTHS/UNLIMITED36 MONTHS/450 000 KMYes</v>
          </cell>
          <cell r="G111">
            <v>27195</v>
          </cell>
        </row>
        <row r="112">
          <cell r="F112" t="str">
            <v>TGX4X224 MONTHS/300 000 KM48 MONTHS/600 000 KMNo</v>
          </cell>
          <cell r="G112">
            <v>47040</v>
          </cell>
        </row>
        <row r="113">
          <cell r="F113" t="str">
            <v>TGX4X224 MONTHS/300 000 KM48 MONTHS/600 000 KMYes</v>
          </cell>
          <cell r="G113">
            <v>40425</v>
          </cell>
        </row>
        <row r="114">
          <cell r="F114" t="str">
            <v>TGX4X236 MONTHS/450 000 KM48 MONTHS/600 000 KMNo</v>
          </cell>
          <cell r="G114">
            <v>57330</v>
          </cell>
        </row>
        <row r="115">
          <cell r="F115" t="str">
            <v>TGX4X236 MONTHS/450 000 KM48 MONTHS/600 000 KMYes</v>
          </cell>
          <cell r="G115">
            <v>49245</v>
          </cell>
        </row>
        <row r="116">
          <cell r="F116" t="str">
            <v>TGX4X4 H/D24 MONTHS/300 000 KM48 MONTHS/600 000 KMNo</v>
          </cell>
          <cell r="G116">
            <v>88935</v>
          </cell>
        </row>
        <row r="117">
          <cell r="F117" t="str">
            <v>TGX4X4 H/D24 MONTHS/300 000 KM48 MONTHS/600 000 KMYes</v>
          </cell>
          <cell r="G117">
            <v>167580</v>
          </cell>
        </row>
        <row r="118">
          <cell r="F118" t="str">
            <v>TGX4X4 H/D36 MONTHS/450 000 KM48 MONTHS/600 000 KMNo</v>
          </cell>
          <cell r="G118">
            <v>113190</v>
          </cell>
        </row>
        <row r="119">
          <cell r="F119" t="str">
            <v>TGX4X4 H/D36 MONTHS/450 000 KM48 MONTHS/600 000 KMYes</v>
          </cell>
          <cell r="G119">
            <v>188160</v>
          </cell>
        </row>
        <row r="120">
          <cell r="F120" t="str">
            <v>TGX4X424 MONTHS/300 000 KM48 MONTHS/600 000 KMNo</v>
          </cell>
          <cell r="G120">
            <v>74235</v>
          </cell>
        </row>
        <row r="121">
          <cell r="F121" t="str">
            <v>TGX4X424 MONTHS/300 000 KM48 MONTHS/600 000 KMYes</v>
          </cell>
          <cell r="G121">
            <v>63945</v>
          </cell>
        </row>
        <row r="122">
          <cell r="F122" t="str">
            <v>TGX4X436 MONTHS/450 000 KM48 MONTHS/600 000 KMNo</v>
          </cell>
          <cell r="G122">
            <v>98490</v>
          </cell>
        </row>
        <row r="123">
          <cell r="F123" t="str">
            <v>TGX4X436 MONTHS/450 000 KM48 MONTHS/600 000 KMYes</v>
          </cell>
          <cell r="G123">
            <v>85260</v>
          </cell>
        </row>
        <row r="124">
          <cell r="F124" t="str">
            <v>TGX6X224 MONTHS/300 000 KM48 MONTHS/600 000 KMNo</v>
          </cell>
          <cell r="G124">
            <v>47040</v>
          </cell>
        </row>
        <row r="125">
          <cell r="F125" t="str">
            <v>TGX6X224 MONTHS/300 000 KM48 MONTHS/600 000 KMYes</v>
          </cell>
          <cell r="G125">
            <v>40425</v>
          </cell>
        </row>
        <row r="126">
          <cell r="F126" t="str">
            <v>TGX6X236 MONTHS/450 000 KM48 MONTHS/600 000 KMNo</v>
          </cell>
          <cell r="G126">
            <v>57330</v>
          </cell>
        </row>
        <row r="127">
          <cell r="F127" t="str">
            <v>TGX6X236 MONTHS/450 000 KM48 MONTHS/600 000 KMYes</v>
          </cell>
          <cell r="G127">
            <v>49245</v>
          </cell>
        </row>
        <row r="128">
          <cell r="F128" t="str">
            <v>TGX6X4 H/D (ABN)24 MONTHS/300 000 KM48 MONTHS/600 000 KMNo</v>
          </cell>
          <cell r="G128">
            <v>193305</v>
          </cell>
        </row>
        <row r="129">
          <cell r="F129" t="str">
            <v>TGX6X4 H/D (ABN)24 MONTHS/300 000 KM48 MONTHS/600 000 KMYes</v>
          </cell>
          <cell r="G129">
            <v>77175</v>
          </cell>
        </row>
        <row r="130">
          <cell r="F130" t="str">
            <v>TGX6X4 H/D (ABN)36 MONTHS/450 000 KM48 MONTHS/600 000 KMNo</v>
          </cell>
          <cell r="G130">
            <v>216825</v>
          </cell>
        </row>
        <row r="131">
          <cell r="F131" t="str">
            <v>TGX6X4 H/D (ABN)36 MONTHS/450 000 KM48 MONTHS/600 000 KMYes</v>
          </cell>
          <cell r="G131">
            <v>98490</v>
          </cell>
        </row>
        <row r="132">
          <cell r="F132" t="str">
            <v>TGX6X4 H/D24 MONTHS/300 000 KM48 MONTHS/600 000 KMNo</v>
          </cell>
          <cell r="G132">
            <v>88935</v>
          </cell>
        </row>
        <row r="133">
          <cell r="F133" t="str">
            <v>TGX6X4 H/D24 MONTHS/300 000 KM48 MONTHS/600 000 KMYes</v>
          </cell>
          <cell r="G133">
            <v>167580</v>
          </cell>
        </row>
        <row r="134">
          <cell r="F134" t="str">
            <v>TGX6X4 H/D36 MONTHS/450 000 KM48 MONTHS/600 000 KMNo</v>
          </cell>
          <cell r="G134">
            <v>113190</v>
          </cell>
        </row>
        <row r="135">
          <cell r="F135" t="str">
            <v>TGX6X4 H/D36 MONTHS/450 000 KM48 MONTHS/600 000 KMYes</v>
          </cell>
          <cell r="G135">
            <v>188160</v>
          </cell>
        </row>
        <row r="136">
          <cell r="F136" t="str">
            <v>TGX6X424 MONTHS/300 000 KM48 MONTHS/600 000 KMNo</v>
          </cell>
          <cell r="G136">
            <v>74235</v>
          </cell>
        </row>
        <row r="137">
          <cell r="F137" t="str">
            <v>TGX6X424 MONTHS/300 000 KM48 MONTHS/600 000 KMYes</v>
          </cell>
          <cell r="G137">
            <v>63945</v>
          </cell>
        </row>
        <row r="138">
          <cell r="F138" t="str">
            <v>TGX6X436 MONTHS/450 000 KM48 MONTHS/600 000 KMNo</v>
          </cell>
          <cell r="G138">
            <v>98490</v>
          </cell>
        </row>
        <row r="139">
          <cell r="F139" t="str">
            <v>TGX6X436 MONTHS/450 000 KM48 MONTHS/600 000 KMYes</v>
          </cell>
          <cell r="G139">
            <v>85260</v>
          </cell>
        </row>
        <row r="140">
          <cell r="F140" t="str">
            <v>TGX6X6 H/D (ABN)24 MONTHS/300 000 KM48 MONTHS/600 000 KMNo</v>
          </cell>
          <cell r="G140">
            <v>193305</v>
          </cell>
        </row>
        <row r="141">
          <cell r="F141" t="str">
            <v>TGX6X6 H/D (ABN)24 MONTHS/300 000 KM48 MONTHS/600 000 KMYes</v>
          </cell>
          <cell r="G141">
            <v>77175</v>
          </cell>
        </row>
        <row r="142">
          <cell r="F142" t="str">
            <v>TGX6X6 H/D (ABN)36 MONTHS/450 000 KM48 MONTHS/600 000 KMNo</v>
          </cell>
          <cell r="G142">
            <v>216825</v>
          </cell>
        </row>
        <row r="143">
          <cell r="F143" t="str">
            <v>TGX6X6 H/D (ABN)36 MONTHS/450 000 KM48 MONTHS/600 000 KMYes</v>
          </cell>
          <cell r="G143">
            <v>98490</v>
          </cell>
        </row>
        <row r="144">
          <cell r="F144" t="str">
            <v>TGX6X6 H/D24 MONTHS/300 000 KM48 MONTHS/600 000 KMNo</v>
          </cell>
          <cell r="G144">
            <v>88935</v>
          </cell>
        </row>
        <row r="145">
          <cell r="F145" t="str">
            <v>TGX6X6 H/D24 MONTHS/300 000 KM48 MONTHS/600 000 KMYes</v>
          </cell>
          <cell r="G145">
            <v>167580</v>
          </cell>
        </row>
        <row r="146">
          <cell r="F146" t="str">
            <v>TGX6X6 H/D36 MONTHS/450 000 KM48 MONTHS/600 000 KMNo</v>
          </cell>
          <cell r="G146">
            <v>113190</v>
          </cell>
        </row>
        <row r="147">
          <cell r="F147" t="str">
            <v>TGX6X6 H/D36 MONTHS/450 000 KM48 MONTHS/600 000 KMYes</v>
          </cell>
          <cell r="G147">
            <v>188160</v>
          </cell>
        </row>
        <row r="148">
          <cell r="F148" t="str">
            <v>TGX6X624 MONTHS/300 000 KM48 MONTHS/600 000 KMNo</v>
          </cell>
          <cell r="G148">
            <v>74235</v>
          </cell>
        </row>
        <row r="149">
          <cell r="F149" t="str">
            <v>TGX6X624 MONTHS/300 000 KM48 MONTHS/600 000 KMYes</v>
          </cell>
          <cell r="G149">
            <v>63945</v>
          </cell>
        </row>
        <row r="150">
          <cell r="F150" t="str">
            <v>TGX6X636 MONTHS/450 000 KM48 MONTHS/600 000 KMNo</v>
          </cell>
          <cell r="G150">
            <v>98490</v>
          </cell>
        </row>
        <row r="151">
          <cell r="F151" t="str">
            <v>TGX6X636 MONTHS/450 000 KM48 MONTHS/600 000 KMYes</v>
          </cell>
          <cell r="G151">
            <v>85260</v>
          </cell>
        </row>
        <row r="152">
          <cell r="F152" t="str">
            <v>TGX8X224 MONTHS/300 000 KM48 MONTHS/600 000 KMNo</v>
          </cell>
          <cell r="G152">
            <v>47040</v>
          </cell>
        </row>
        <row r="153">
          <cell r="F153" t="str">
            <v>TGX8X224 MONTHS/300 000 KM48 MONTHS/600 000 KMYes</v>
          </cell>
          <cell r="G153">
            <v>40425</v>
          </cell>
        </row>
        <row r="154">
          <cell r="F154" t="str">
            <v>TGX8X236 MONTHS/450 000 KM48 MONTHS/600 000 KMNo</v>
          </cell>
          <cell r="G154">
            <v>57330</v>
          </cell>
        </row>
        <row r="155">
          <cell r="F155" t="str">
            <v>TGX8X236 MONTHS/450 000 KM48 MONTHS/600 000 KMYes</v>
          </cell>
          <cell r="G155">
            <v>49245</v>
          </cell>
        </row>
        <row r="156">
          <cell r="F156" t="str">
            <v>TGX8X4 H/D (ABN)24 MONTHS/300 000 KM48 MONTHS/600 000 KMNo</v>
          </cell>
          <cell r="G156">
            <v>193305</v>
          </cell>
        </row>
        <row r="157">
          <cell r="F157" t="str">
            <v>TGX8X4 H/D (ABN)24 MONTHS/300 000 KM48 MONTHS/600 000 KMYes</v>
          </cell>
          <cell r="G157">
            <v>77175</v>
          </cell>
        </row>
        <row r="158">
          <cell r="F158" t="str">
            <v>TGX8X4 H/D (ABN)36 MONTHS/450 000 KM48 MONTHS/600 000 KMNo</v>
          </cell>
          <cell r="G158">
            <v>216825</v>
          </cell>
        </row>
        <row r="159">
          <cell r="F159" t="str">
            <v>TGX8X4 H/D (ABN)36 MONTHS/450 000 KM48 MONTHS/600 000 KMYes</v>
          </cell>
          <cell r="G159">
            <v>98490</v>
          </cell>
        </row>
        <row r="160">
          <cell r="F160" t="str">
            <v>TGX8X4 H/D24 MONTHS/300 000 KM48 MONTHS/600 000 KMNo</v>
          </cell>
          <cell r="G160">
            <v>88935</v>
          </cell>
        </row>
        <row r="161">
          <cell r="F161" t="str">
            <v>TGX8X4 H/D24 MONTHS/300 000 KM48 MONTHS/600 000 KMYes</v>
          </cell>
          <cell r="G161">
            <v>167580</v>
          </cell>
        </row>
        <row r="162">
          <cell r="F162" t="str">
            <v>TGX8X4 H/D36 MONTHS/450 000 KM48 MONTHS/600 000 KMNo</v>
          </cell>
          <cell r="G162">
            <v>113190</v>
          </cell>
        </row>
        <row r="163">
          <cell r="F163" t="str">
            <v>TGX8X4 H/D36 MONTHS/450 000 KM48 MONTHS/600 000 KMYes</v>
          </cell>
          <cell r="G163">
            <v>188160</v>
          </cell>
        </row>
        <row r="164">
          <cell r="F164" t="str">
            <v>TGX8X424 MONTHS/300 000 KM48 MONTHS/600 000 KMNo</v>
          </cell>
          <cell r="G164">
            <v>94080</v>
          </cell>
        </row>
        <row r="165">
          <cell r="F165" t="str">
            <v>TGX8X424 MONTHS/300 000 KM48 MONTHS/600 000 KMYes</v>
          </cell>
          <cell r="G165">
            <v>81585</v>
          </cell>
        </row>
        <row r="166">
          <cell r="F166" t="str">
            <v>TGX8X436 MONTHS/450 000 KM48 MONTHS/600 000 KMNo</v>
          </cell>
          <cell r="G166">
            <v>117600</v>
          </cell>
        </row>
        <row r="167">
          <cell r="F167" t="str">
            <v>TGX8X436 MONTHS/450 000 KM48 MONTHS/600 000 KMYes</v>
          </cell>
          <cell r="G167">
            <v>102165</v>
          </cell>
        </row>
        <row r="168">
          <cell r="F168" t="str">
            <v>TGX8X6 H/D (ABN)24 MONTHS/300 000 KM48 MONTHS/600 000 KMNo</v>
          </cell>
          <cell r="G168">
            <v>193305</v>
          </cell>
        </row>
        <row r="169">
          <cell r="F169" t="str">
            <v>TGX8X6 H/D (ABN)24 MONTHS/300 000 KM48 MONTHS/600 000 KMYes</v>
          </cell>
          <cell r="G169">
            <v>77175</v>
          </cell>
        </row>
        <row r="170">
          <cell r="F170" t="str">
            <v>TGX8X6 H/D (ABN)36 MONTHS/450 000 KM48 MONTHS/600 000 KMNo</v>
          </cell>
          <cell r="G170">
            <v>216825</v>
          </cell>
        </row>
        <row r="171">
          <cell r="F171" t="str">
            <v>TGX8X6 H/D (ABN)36 MONTHS/450 000 KM48 MONTHS/600 000 KMYes</v>
          </cell>
          <cell r="G171">
            <v>98490</v>
          </cell>
        </row>
        <row r="172">
          <cell r="F172" t="str">
            <v>TGX8X6 H/D24 MONTHS/300 000 KM48 MONTHS/600 000 KMNo</v>
          </cell>
          <cell r="G172">
            <v>88935</v>
          </cell>
        </row>
        <row r="173">
          <cell r="F173" t="str">
            <v>TGX8X6 H/D24 MONTHS/300 000 KM48 MONTHS/600 000 KMYes</v>
          </cell>
          <cell r="G173">
            <v>167580</v>
          </cell>
        </row>
        <row r="174">
          <cell r="F174" t="str">
            <v>TGX8X6 H/D36 MONTHS/450 000 KM48 MONTHS/600 000 KMNo</v>
          </cell>
          <cell r="G174">
            <v>113190</v>
          </cell>
        </row>
        <row r="175">
          <cell r="F175" t="str">
            <v>TGX8X6 H/D36 MONTHS/450 000 KM48 MONTHS/600 000 KMYes</v>
          </cell>
          <cell r="G175">
            <v>188160</v>
          </cell>
        </row>
        <row r="176">
          <cell r="F176" t="str">
            <v>TGX8X624 MONTHS/300 000 KM48 MONTHS/600 000 KMNo</v>
          </cell>
          <cell r="G176">
            <v>94080</v>
          </cell>
        </row>
        <row r="177">
          <cell r="F177" t="str">
            <v>TGX8X624 MONTHS/300 000 KM48 MONTHS/600 000 KMYes</v>
          </cell>
          <cell r="G177">
            <v>81585</v>
          </cell>
        </row>
        <row r="178">
          <cell r="F178" t="str">
            <v>TGX8X636 MONTHS/450 000 KM48 MONTHS/600 000 KMNo</v>
          </cell>
          <cell r="G178">
            <v>117600</v>
          </cell>
        </row>
        <row r="179">
          <cell r="F179" t="str">
            <v>TGX8X636 MONTHS/450 000 KM48 MONTHS/600 000 KMYes</v>
          </cell>
          <cell r="G179">
            <v>102165</v>
          </cell>
        </row>
        <row r="180">
          <cell r="F180" t="str">
            <v>TGX8X824 MONTHS/300 000 KM48 MONTHS/600 000 KMNo</v>
          </cell>
          <cell r="G180">
            <v>94080</v>
          </cell>
        </row>
        <row r="181">
          <cell r="F181" t="str">
            <v>TGX8X824 MONTHS/300 000 KM48 MONTHS/600 000 KMYes</v>
          </cell>
          <cell r="G181">
            <v>81585</v>
          </cell>
        </row>
        <row r="182">
          <cell r="F182" t="str">
            <v>TGX8X836 MONTHS/450 000 KM48 MONTHS/600 000 KMNo</v>
          </cell>
          <cell r="G182">
            <v>117600</v>
          </cell>
        </row>
        <row r="183">
          <cell r="F183" t="str">
            <v>TGX8X836 MONTHS/450 000 KM48 MONTHS/600 000 KMYes</v>
          </cell>
          <cell r="G183">
            <v>102165</v>
          </cell>
        </row>
        <row r="184">
          <cell r="F184" t="str">
            <v>TGS4X224 MONTHS/300 000 KM48 MONTHS/600 000 KMNo</v>
          </cell>
          <cell r="G184">
            <v>47040</v>
          </cell>
        </row>
        <row r="185">
          <cell r="F185" t="str">
            <v>TGS4X224 MONTHS/300 000 KM48 MONTHS/600 000 KMYes</v>
          </cell>
          <cell r="G185">
            <v>40425</v>
          </cell>
        </row>
        <row r="186">
          <cell r="F186" t="str">
            <v>TGS4X236 MONTHS/450 000 KM48 MONTHS/600 000 KMNo</v>
          </cell>
          <cell r="G186">
            <v>57330</v>
          </cell>
        </row>
        <row r="187">
          <cell r="F187" t="str">
            <v>TGS4X236 MONTHS/450 000 KM48 MONTHS/600 000 KMYes</v>
          </cell>
          <cell r="G187">
            <v>49245</v>
          </cell>
        </row>
        <row r="188">
          <cell r="F188" t="str">
            <v>TGS4X4 H/D24 MONTHS/300 000 KM48 MONTHS/600 000 KMNo</v>
          </cell>
          <cell r="G188">
            <v>88935</v>
          </cell>
        </row>
        <row r="189">
          <cell r="F189" t="str">
            <v>TGS4X4 H/D24 MONTHS/300 000 KM48 MONTHS/600 000 KMYes</v>
          </cell>
          <cell r="G189">
            <v>167580</v>
          </cell>
        </row>
        <row r="190">
          <cell r="F190" t="str">
            <v>TGS4X4 H/D36 MONTHS/450 000 KM48 MONTHS/600 000 KMNo</v>
          </cell>
          <cell r="G190">
            <v>113190</v>
          </cell>
        </row>
        <row r="191">
          <cell r="F191" t="str">
            <v>TGS4X4 H/D36 MONTHS/450 000 KM48 MONTHS/600 000 KMYes</v>
          </cell>
          <cell r="G191">
            <v>188160</v>
          </cell>
        </row>
        <row r="192">
          <cell r="F192" t="str">
            <v>TGS4X424 MONTHS/300 000 KM48 MONTHS/600 000 KMNo</v>
          </cell>
          <cell r="G192">
            <v>74235</v>
          </cell>
        </row>
        <row r="193">
          <cell r="F193" t="str">
            <v>TGS4X424 MONTHS/300 000 KM48 MONTHS/600 000 KMYes</v>
          </cell>
          <cell r="G193">
            <v>63945</v>
          </cell>
        </row>
        <row r="194">
          <cell r="F194" t="str">
            <v>TGS4X436 MONTHS/450 000 KM48 MONTHS/600 000 KMNo</v>
          </cell>
          <cell r="G194">
            <v>98490</v>
          </cell>
        </row>
        <row r="195">
          <cell r="F195" t="str">
            <v>TGS4X436 MONTHS/450 000 KM48 MONTHS/600 000 KMYes</v>
          </cell>
          <cell r="G195">
            <v>85260</v>
          </cell>
        </row>
        <row r="196">
          <cell r="F196" t="str">
            <v>TGS6X224 MONTHS/300 000 KM48 MONTHS/600 000 KMNo</v>
          </cell>
          <cell r="G196">
            <v>47040</v>
          </cell>
        </row>
        <row r="197">
          <cell r="F197" t="str">
            <v>TGS6X224 MONTHS/300 000 KM48 MONTHS/600 000 KMYes</v>
          </cell>
          <cell r="G197">
            <v>40425</v>
          </cell>
        </row>
        <row r="198">
          <cell r="F198" t="str">
            <v>TGS6X236 MONTHS/450 000 KM48 MONTHS/600 000 KMNo</v>
          </cell>
          <cell r="G198">
            <v>57330</v>
          </cell>
        </row>
        <row r="199">
          <cell r="F199" t="str">
            <v>TGS6X236 MONTHS/450 000 KM48 MONTHS/600 000 KMYes</v>
          </cell>
          <cell r="G199">
            <v>49245</v>
          </cell>
        </row>
        <row r="200">
          <cell r="F200" t="str">
            <v>TGS6X4 H/D (ABN)24 MONTHS/300 000 KM48 MONTHS/600 000 KMNo</v>
          </cell>
          <cell r="G200">
            <v>193305</v>
          </cell>
        </row>
        <row r="201">
          <cell r="F201" t="str">
            <v>TGS6X4 H/D (ABN)24 MONTHS/300 000 KM48 MONTHS/600 000 KMYes</v>
          </cell>
          <cell r="G201">
            <v>77175</v>
          </cell>
        </row>
        <row r="202">
          <cell r="F202" t="str">
            <v>TGS6X4 H/D (ABN)36 MONTHS/450 000 KM48 MONTHS/600 000 KMNo</v>
          </cell>
          <cell r="G202">
            <v>216825</v>
          </cell>
        </row>
        <row r="203">
          <cell r="F203" t="str">
            <v>TGS6X4 H/D (ABN)36 MONTHS/450 000 KM48 MONTHS/600 000 KMYes</v>
          </cell>
          <cell r="G203">
            <v>98490</v>
          </cell>
        </row>
        <row r="204">
          <cell r="F204" t="str">
            <v>TGS6X4 H/D24 MONTHS/300 000 KM48 MONTHS/600 000 KMNo</v>
          </cell>
          <cell r="G204">
            <v>88935</v>
          </cell>
        </row>
        <row r="205">
          <cell r="F205" t="str">
            <v>TGS6X4 H/D24 MONTHS/300 000 KM48 MONTHS/600 000 KMYes</v>
          </cell>
          <cell r="G205">
            <v>167580</v>
          </cell>
        </row>
        <row r="206">
          <cell r="F206" t="str">
            <v>TGS6X4 H/D36 MONTHS/450 000 KM48 MONTHS/600 000 KMNo</v>
          </cell>
          <cell r="G206">
            <v>113190</v>
          </cell>
        </row>
        <row r="207">
          <cell r="F207" t="str">
            <v>TGS6X4 H/D36 MONTHS/450 000 KM48 MONTHS/600 000 KMYes</v>
          </cell>
          <cell r="G207">
            <v>188160</v>
          </cell>
        </row>
        <row r="208">
          <cell r="F208" t="str">
            <v>TGS6X4LH24 MONTHS/300 000 KM48 MONTHS/600 000 KMNo</v>
          </cell>
          <cell r="G208">
            <v>74235</v>
          </cell>
        </row>
        <row r="209">
          <cell r="F209" t="str">
            <v>TGS6X4LH24 MONTHS/300 000 KM48 MONTHS/600 000 KMYes</v>
          </cell>
          <cell r="G209">
            <v>63945</v>
          </cell>
        </row>
        <row r="210">
          <cell r="F210" t="str">
            <v>TGS6X424 MONTHS/300 000 KM48 MONTHS/600 000 KMNo</v>
          </cell>
          <cell r="G210">
            <v>74235</v>
          </cell>
        </row>
        <row r="211">
          <cell r="F211" t="str">
            <v>TGS6X424 MONTHS/300 000 KM48 MONTHS/600 000 KMYes</v>
          </cell>
          <cell r="G211">
            <v>63945</v>
          </cell>
        </row>
        <row r="212">
          <cell r="F212" t="str">
            <v>TGS6X436 MONTHS/450 000 KM48 MONTHS/600 000 KMNo</v>
          </cell>
          <cell r="G212">
            <v>98490</v>
          </cell>
        </row>
        <row r="213">
          <cell r="F213" t="str">
            <v>TGS6X436 MONTHS/450 000 KM48 MONTHS/600 000 KMYes</v>
          </cell>
          <cell r="G213">
            <v>85260</v>
          </cell>
        </row>
        <row r="214">
          <cell r="F214" t="str">
            <v>TGS6X6 H/D (ABN)24 MONTHS/300 000 KM48 MONTHS/600 000 KMNo</v>
          </cell>
          <cell r="G214">
            <v>193305</v>
          </cell>
        </row>
        <row r="215">
          <cell r="F215" t="str">
            <v>TGS6X6 H/D (ABN)24 MONTHS/300 000 KM48 MONTHS/600 000 KMYes</v>
          </cell>
          <cell r="G215">
            <v>77175</v>
          </cell>
        </row>
        <row r="216">
          <cell r="F216" t="str">
            <v>TGS6X6 H/D (ABN)36 MONTHS/450 000 KM48 MONTHS/600 000 KMNo</v>
          </cell>
          <cell r="G216">
            <v>216825</v>
          </cell>
        </row>
        <row r="217">
          <cell r="F217" t="str">
            <v>TGS6X6 H/D (ABN)36 MONTHS/450 000 KM48 MONTHS/600 000 KMYes</v>
          </cell>
          <cell r="G217">
            <v>98490</v>
          </cell>
        </row>
        <row r="218">
          <cell r="F218" t="str">
            <v>TGS6X6 H/D24 MONTHS/300 000 KM48 MONTHS/600 000 KMNo</v>
          </cell>
          <cell r="G218">
            <v>88935</v>
          </cell>
        </row>
        <row r="219">
          <cell r="F219" t="str">
            <v>TGS6X6 H/D24 MONTHS/300 000 KM48 MONTHS/600 000 KMYes</v>
          </cell>
          <cell r="G219">
            <v>167580</v>
          </cell>
        </row>
        <row r="220">
          <cell r="F220" t="str">
            <v>TGS6X6 H/D36 MONTHS/450 000 KM48 MONTHS/600 000 KMNo</v>
          </cell>
          <cell r="G220">
            <v>113190</v>
          </cell>
        </row>
        <row r="221">
          <cell r="F221" t="str">
            <v>TGS6X6 H/D36 MONTHS/450 000 KM48 MONTHS/600 000 KMYes</v>
          </cell>
          <cell r="G221">
            <v>188160</v>
          </cell>
        </row>
        <row r="222">
          <cell r="F222" t="str">
            <v>TGS6X624 MONTHS/300 000 KM48 MONTHS/600 000 KMNo</v>
          </cell>
          <cell r="G222">
            <v>74235</v>
          </cell>
        </row>
        <row r="223">
          <cell r="F223" t="str">
            <v>TGS6X624 MONTHS/300 000 KM48 MONTHS/600 000 KMYes</v>
          </cell>
          <cell r="G223">
            <v>63945</v>
          </cell>
        </row>
        <row r="224">
          <cell r="F224" t="str">
            <v>TGS6X636 MONTHS/450 000 KM48 MONTHS/600 000 KMNo</v>
          </cell>
          <cell r="G224">
            <v>98490</v>
          </cell>
        </row>
        <row r="225">
          <cell r="F225" t="str">
            <v>TGS6X636 MONTHS/450 000 KM48 MONTHS/600 000 KMYes</v>
          </cell>
          <cell r="G225">
            <v>85260</v>
          </cell>
        </row>
        <row r="226">
          <cell r="F226" t="str">
            <v>TGS8X224 MONTHS/300 000 KM48 MONTHS/600 000 KMNo</v>
          </cell>
          <cell r="G226">
            <v>47040</v>
          </cell>
        </row>
        <row r="227">
          <cell r="F227" t="str">
            <v>TGS8X224 MONTHS/300 000 KM48 MONTHS/600 000 KMYes</v>
          </cell>
          <cell r="G227">
            <v>40425</v>
          </cell>
        </row>
        <row r="228">
          <cell r="F228" t="str">
            <v>TGS8X236 MONTHS/450 000 KM48 MONTHS/600 000 KMNo</v>
          </cell>
          <cell r="G228">
            <v>57330</v>
          </cell>
        </row>
        <row r="229">
          <cell r="F229" t="str">
            <v>TGS8X236 MONTHS/450 000 KM48 MONTHS/600 000 KMYes</v>
          </cell>
          <cell r="G229">
            <v>49245</v>
          </cell>
        </row>
        <row r="230">
          <cell r="F230" t="str">
            <v>TGS8X4 H/D (ABN)24 MONTHS/300 000 KM48 MONTHS/600 000 KMNo</v>
          </cell>
          <cell r="G230">
            <v>193305</v>
          </cell>
        </row>
        <row r="231">
          <cell r="F231" t="str">
            <v>TGS8X4 H/D (ABN)24 MONTHS/300 000 KM48 MONTHS/600 000 KMYes</v>
          </cell>
          <cell r="G231">
            <v>77175</v>
          </cell>
        </row>
        <row r="232">
          <cell r="F232" t="str">
            <v>TGS8X4 H/D (ABN)36 MONTHS/450 000 KM48 MONTHS/600 000 KMNo</v>
          </cell>
          <cell r="G232">
            <v>216825</v>
          </cell>
        </row>
        <row r="233">
          <cell r="F233" t="str">
            <v>TGS8X4 H/D (ABN)36 MONTHS/450 000 KM48 MONTHS/600 000 KMYes</v>
          </cell>
          <cell r="G233">
            <v>98490</v>
          </cell>
        </row>
        <row r="234">
          <cell r="F234" t="str">
            <v>TGS8X4 H/D24 MONTHS/300 000 KM48 MONTHS/600 000 KMNo</v>
          </cell>
          <cell r="G234">
            <v>88935</v>
          </cell>
        </row>
        <row r="235">
          <cell r="F235" t="str">
            <v>TGS8X4 H/D24 MONTHS/300 000 KM48 MONTHS/600 000 KMYes</v>
          </cell>
          <cell r="G235">
            <v>167580</v>
          </cell>
        </row>
        <row r="236">
          <cell r="F236" t="str">
            <v>TGS8X4 H/D36 MONTHS/450 000 KM48 MONTHS/600 000 KMNo</v>
          </cell>
          <cell r="G236">
            <v>113190</v>
          </cell>
        </row>
        <row r="237">
          <cell r="F237" t="str">
            <v>TGS8X4 H/D36 MONTHS/450 000 KM48 MONTHS/600 000 KMYes</v>
          </cell>
          <cell r="G237">
            <v>188160</v>
          </cell>
        </row>
        <row r="238">
          <cell r="F238" t="str">
            <v>TGS8X424 MONTHS/300 000 KM48 MONTHS/600 000 KMNo</v>
          </cell>
          <cell r="G238">
            <v>94080</v>
          </cell>
        </row>
        <row r="239">
          <cell r="F239" t="str">
            <v>TGS8X424 MONTHS/300 000 KM48 MONTHS/600 000 KMYes</v>
          </cell>
          <cell r="G239">
            <v>81585</v>
          </cell>
        </row>
        <row r="240">
          <cell r="F240" t="str">
            <v>TGS8X436 MONTHS/450 000 KM48 MONTHS/600 000 KMNo</v>
          </cell>
          <cell r="G240">
            <v>117600</v>
          </cell>
        </row>
        <row r="241">
          <cell r="F241" t="str">
            <v>TGS8X436 MONTHS/450 000 KM48 MONTHS/600 000 KMYes</v>
          </cell>
          <cell r="G241">
            <v>102165</v>
          </cell>
        </row>
        <row r="242">
          <cell r="F242" t="str">
            <v>TGS8X6 H/D (ABN)24 MONTHS/300 000 KM48 MONTHS/600 000 KMNo</v>
          </cell>
          <cell r="G242">
            <v>193305</v>
          </cell>
        </row>
        <row r="243">
          <cell r="F243" t="str">
            <v>TGS8X6 H/D (ABN)24 MONTHS/300 000 KM48 MONTHS/600 000 KMYes</v>
          </cell>
          <cell r="G243">
            <v>77175</v>
          </cell>
        </row>
        <row r="244">
          <cell r="F244" t="str">
            <v>TGS8X6 H/D (ABN)36 MONTHS/450 000 KM48 MONTHS/600 000 KMNo</v>
          </cell>
          <cell r="G244">
            <v>216825</v>
          </cell>
        </row>
        <row r="245">
          <cell r="F245" t="str">
            <v>TGS8X6 H/D (ABN)36 MONTHS/450 000 KM48 MONTHS/600 000 KMYes</v>
          </cell>
          <cell r="G245">
            <v>98490</v>
          </cell>
        </row>
        <row r="246">
          <cell r="F246" t="str">
            <v>TGS8X6 H/D24 MONTHS/300 000 KM48 MONTHS/600 000 KMNo</v>
          </cell>
          <cell r="G246">
            <v>88935</v>
          </cell>
        </row>
        <row r="247">
          <cell r="F247" t="str">
            <v>TGS8X6 H/D24 MONTHS/300 000 KM48 MONTHS/600 000 KMYes</v>
          </cell>
          <cell r="G247">
            <v>167580</v>
          </cell>
        </row>
        <row r="248">
          <cell r="F248" t="str">
            <v>TGS8X6H/D36 MONTHS/450 000 KM48 MONTHS/600 000 KMNo</v>
          </cell>
          <cell r="G248">
            <v>113190</v>
          </cell>
        </row>
        <row r="249">
          <cell r="F249" t="str">
            <v>TGS8X6H/D36 MONTHS/450 000 KM48 MONTHS/600 000 KMYes</v>
          </cell>
          <cell r="G249">
            <v>188160</v>
          </cell>
        </row>
        <row r="250">
          <cell r="F250" t="str">
            <v>TGS8X624 MONTHS/300 000 KM48 MONTHS/600 000 KMNo</v>
          </cell>
          <cell r="G250">
            <v>94080</v>
          </cell>
        </row>
        <row r="251">
          <cell r="F251" t="str">
            <v>TGS8X624 MONTHS/300 000 KM48 MONTHS/600 000 KMYes</v>
          </cell>
          <cell r="G251">
            <v>81585</v>
          </cell>
        </row>
        <row r="252">
          <cell r="F252" t="str">
            <v>TGS8X636 MONTHS/450 000 KM48 MONTHS/600 000 KMNo</v>
          </cell>
          <cell r="G252">
            <v>117600</v>
          </cell>
        </row>
        <row r="253">
          <cell r="F253" t="str">
            <v>TGS8X636 MONTHS/450 000 KM48 MONTHS/600 000 KMYes</v>
          </cell>
          <cell r="G253">
            <v>102165</v>
          </cell>
        </row>
        <row r="254">
          <cell r="F254" t="str">
            <v>TGS8X824 MONTHS/300 000 KM48 MONTHS/600 000 KMNo</v>
          </cell>
          <cell r="G254">
            <v>94080</v>
          </cell>
        </row>
        <row r="255">
          <cell r="F255" t="str">
            <v>TGS8X824 MONTHS/300 000 KM48 MONTHS/600 000 KMYes</v>
          </cell>
          <cell r="G255">
            <v>81585</v>
          </cell>
        </row>
        <row r="256">
          <cell r="F256" t="str">
            <v>TGS8X836 MONTHS/450 000 KM48 MONTHS/600 000 KMNo</v>
          </cell>
          <cell r="G256">
            <v>117600</v>
          </cell>
        </row>
        <row r="257">
          <cell r="F257" t="str">
            <v>TGS8X836 MONTHS/450 000 KM48 MONTHS/600 000 KMYes</v>
          </cell>
          <cell r="G257">
            <v>102165</v>
          </cell>
        </row>
        <row r="258">
          <cell r="F258" t="str">
            <v>TGS6X4LH36 MONTHS/450 000 KM48 MONTHS/600 000 KMNo</v>
          </cell>
          <cell r="G258">
            <v>98490</v>
          </cell>
        </row>
        <row r="259">
          <cell r="F259" t="str">
            <v>TGS6X4LH36 MONTHS/450 000 KM48 MONTHS/600 000 KMYes</v>
          </cell>
          <cell r="G259">
            <v>98490</v>
          </cell>
        </row>
        <row r="260">
          <cell r="F260" t="str">
            <v>TGS8X4LH36 MONTHS/450 000 KM48 MONTHS/600 000 KMNo</v>
          </cell>
          <cell r="G260">
            <v>119070</v>
          </cell>
        </row>
        <row r="261">
          <cell r="F261" t="str">
            <v>TGS8X4LH36 MONTHS/450 000 KM48 MONTHS/600 000 KMYes</v>
          </cell>
          <cell r="G261">
            <v>119070</v>
          </cell>
        </row>
        <row r="262">
          <cell r="F262" t="str">
            <v>TGX6X4LH36 MONTHS/450 000 KM48 MONTHS/600 000 KMNo</v>
          </cell>
          <cell r="G262">
            <v>98490</v>
          </cell>
        </row>
        <row r="263">
          <cell r="F263" t="str">
            <v>TGX6X4LH36 MONTHS/450 000 KM48 MONTHS/600 000 KMYes</v>
          </cell>
          <cell r="G263">
            <v>98490</v>
          </cell>
        </row>
        <row r="264">
          <cell r="F264" t="str">
            <v>TGX8X4LH36 MONTHS/450 000 KM48 MONTHS/600 000 KMNo</v>
          </cell>
          <cell r="G264">
            <v>119070</v>
          </cell>
        </row>
        <row r="265">
          <cell r="F265" t="str">
            <v>TGX8X4LH36 MONTHS/450 000 KM48 MONTHS/600 000 KMYes</v>
          </cell>
          <cell r="G265">
            <v>119070</v>
          </cell>
        </row>
        <row r="266">
          <cell r="F266" t="str">
            <v>TGS6X4H/D12 MONTHS/UNLIMITED36 MONTHS/450 000 KMYes</v>
          </cell>
          <cell r="G266">
            <v>12495</v>
          </cell>
        </row>
        <row r="267">
          <cell r="F267" t="str">
            <v>TGS6X4H/D12 MONTHS/UNLIMITED36 MONTHS/450 000 KMNo</v>
          </cell>
          <cell r="G267">
            <v>12495</v>
          </cell>
        </row>
        <row r="268">
          <cell r="F268" t="str">
            <v>TGS6X6H/D12 MONTHS/UNLIMITED36 MONTHS/450 000 KMYes</v>
          </cell>
          <cell r="G268">
            <v>12495</v>
          </cell>
        </row>
        <row r="269">
          <cell r="F269" t="str">
            <v>TGS6X6H/D12 MONTHS/UNLIMITED36 MONTHS/450 000 KMNo</v>
          </cell>
          <cell r="G269">
            <v>12495</v>
          </cell>
        </row>
        <row r="270">
          <cell r="F270" t="str">
            <v>TGS8X4H/D12 MONTHS/UNLIMITED36 MONTHS/450 000 KMYes</v>
          </cell>
          <cell r="G270">
            <v>12495</v>
          </cell>
        </row>
        <row r="271">
          <cell r="F271" t="str">
            <v>TGS8X4H/D12 MONTHS/UNLIMITED36 MONTHS/450 000 KMNo</v>
          </cell>
          <cell r="G271">
            <v>12495</v>
          </cell>
        </row>
        <row r="272">
          <cell r="F272" t="str">
            <v>TGS8X6H/D12 MONTHS/UNLIMITED36 MONTHS/450 000 KMYes</v>
          </cell>
          <cell r="G272">
            <v>12495</v>
          </cell>
        </row>
        <row r="273">
          <cell r="F273" t="str">
            <v>TGS8X6H/D12 MONTHS/UNLIMITED36 MONTHS/450 000 KMNo</v>
          </cell>
          <cell r="G273">
            <v>12495</v>
          </cell>
        </row>
        <row r="274">
          <cell r="F274" t="str">
            <v>TGS4X4HYDRO12 MONTHS/UNLIMITED36 MONTHS/450 000 KMYes</v>
          </cell>
          <cell r="G274">
            <v>26460</v>
          </cell>
        </row>
        <row r="275">
          <cell r="F275" t="str">
            <v>TGS4X4HYDRO12 MONTHS/UNLIMITED36 MONTHS/450 000 KMNo</v>
          </cell>
          <cell r="G275">
            <v>26460</v>
          </cell>
        </row>
        <row r="276">
          <cell r="F276" t="str">
            <v>TGS6X4H/D12 MONTHS/UNLIMITED36 MONTHS/450 000 KMYes</v>
          </cell>
          <cell r="G276">
            <v>73500</v>
          </cell>
        </row>
        <row r="277">
          <cell r="F277" t="str">
            <v>TGS6X4H/D12 MONTHS/UNLIMITED36 MONTHS/450 000 KMNo</v>
          </cell>
          <cell r="G277">
            <v>73500</v>
          </cell>
        </row>
        <row r="278">
          <cell r="F278" t="str">
            <v>TGS6X4HYDRO12 MONTHS/UNLIMITED36 MONTHS/450 000 KMYes</v>
          </cell>
          <cell r="G278">
            <v>26460</v>
          </cell>
        </row>
        <row r="279">
          <cell r="F279" t="str">
            <v>TGS6X4HYDRO12 MONTHS/UNLIMITED36 MONTHS/450 000 KMNo</v>
          </cell>
          <cell r="G279">
            <v>26460</v>
          </cell>
        </row>
        <row r="280">
          <cell r="F280" t="str">
            <v>TGS6X6H/D12 MONTHS/UNLIMITED36 MONTHS/450 000 KMYes</v>
          </cell>
          <cell r="G280">
            <v>73500</v>
          </cell>
        </row>
        <row r="281">
          <cell r="F281" t="str">
            <v>TGS6X6H/D12 MONTHS/UNLIMITED36 MONTHS/450 000 KMNo</v>
          </cell>
          <cell r="G281">
            <v>73500</v>
          </cell>
        </row>
        <row r="282">
          <cell r="F282" t="str">
            <v>TGS6X6HYDRO12 MONTHS/UNLIMITED36 MONTHS/450 000 KMYes</v>
          </cell>
          <cell r="G282">
            <v>26460</v>
          </cell>
        </row>
        <row r="283">
          <cell r="F283" t="str">
            <v>TGS6X6HYDRO12 MONTHS/UNLIMITED36 MONTHS/450 000 KMNo</v>
          </cell>
          <cell r="G283">
            <v>26460</v>
          </cell>
        </row>
        <row r="284">
          <cell r="F284" t="str">
            <v>TGS8X4H/D12 MONTHS/UNLIMITED36 MONTHS/450 000 KMYes</v>
          </cell>
          <cell r="G284">
            <v>73500</v>
          </cell>
        </row>
        <row r="285">
          <cell r="F285" t="str">
            <v>TGS8X4H/D12 MONTHS/UNLIMITED36 MONTHS/450 000 KMNo</v>
          </cell>
          <cell r="G285">
            <v>73500</v>
          </cell>
        </row>
        <row r="286">
          <cell r="F286" t="str">
            <v>TGS8X4HYDRO12 MONTHS/UNLIMITED36 MONTHS/450 000 KMYes</v>
          </cell>
          <cell r="G286">
            <v>26460</v>
          </cell>
        </row>
        <row r="287">
          <cell r="F287" t="str">
            <v>TGS8X4HYDRO12 MONTHS/UNLIMITED36 MONTHS/450 000 KMNo</v>
          </cell>
          <cell r="G287">
            <v>26460</v>
          </cell>
        </row>
        <row r="288">
          <cell r="F288" t="str">
            <v>TGS8X6H/D12 MONTHS/UNLIMITED36 MONTHS/450 000 KMYes</v>
          </cell>
          <cell r="G288">
            <v>73500</v>
          </cell>
        </row>
        <row r="289">
          <cell r="F289" t="str">
            <v>TGS8X6H/D12 MONTHS/UNLIMITED36 MONTHS/450 000 KMNo</v>
          </cell>
          <cell r="G289">
            <v>73500</v>
          </cell>
        </row>
        <row r="290">
          <cell r="F290" t="str">
            <v>TGS8X6HYDRO12 MONTHS/UNLIMITED36 MONTHS/450 000 KMYes</v>
          </cell>
          <cell r="G290">
            <v>26460</v>
          </cell>
        </row>
        <row r="291">
          <cell r="F291" t="str">
            <v>TGS8X6HYDRO12 MONTHS/UNLIMITED36 MONTHS/450 000 KMNo</v>
          </cell>
          <cell r="G291">
            <v>26460</v>
          </cell>
        </row>
        <row r="292">
          <cell r="F292" t="str">
            <v>TGX4X4HYDRO12 MONTHS/UNLIMITED36 MONTHS/450 000 KMYes</v>
          </cell>
          <cell r="G292">
            <v>26460</v>
          </cell>
        </row>
        <row r="293">
          <cell r="F293" t="str">
            <v>TGX4X4HYDRO12 MONTHS/UNLIMITED36 MONTHS/450 000 KMNo</v>
          </cell>
          <cell r="G293">
            <v>26460</v>
          </cell>
        </row>
        <row r="294">
          <cell r="F294" t="str">
            <v>TGX6X4H/D12 MONTHS/UNLIMITED36 MONTHS/450 000 KMYes</v>
          </cell>
          <cell r="G294">
            <v>73500</v>
          </cell>
        </row>
        <row r="295">
          <cell r="F295" t="str">
            <v>TGX6X4H/D12 MONTHS/UNLIMITED36 MONTHS/450 000 KMNo</v>
          </cell>
          <cell r="G295">
            <v>73500</v>
          </cell>
        </row>
        <row r="296">
          <cell r="F296" t="str">
            <v>TGX6X4HYDRO12 MONTHS/UNLIMITED36 MONTHS/450 000 KMYes</v>
          </cell>
          <cell r="G296">
            <v>26460</v>
          </cell>
        </row>
        <row r="297">
          <cell r="F297" t="str">
            <v>TGX6X4HYDRO12 MONTHS/UNLIMITED36 MONTHS/450 000 KMNo</v>
          </cell>
          <cell r="G297">
            <v>26460</v>
          </cell>
        </row>
        <row r="298">
          <cell r="F298" t="str">
            <v>TGX6X6H/D12 MONTHS/UNLIMITED36 MONTHS/450 000 KMYes</v>
          </cell>
          <cell r="G298">
            <v>73500</v>
          </cell>
        </row>
        <row r="299">
          <cell r="F299" t="str">
            <v>TGX6X6H/D12 MONTHS/UNLIMITED36 MONTHS/450 000 KMNo</v>
          </cell>
          <cell r="G299">
            <v>73500</v>
          </cell>
        </row>
        <row r="300">
          <cell r="F300" t="str">
            <v>TGX6X6HYDRO12 MONTHS/UNLIMITED36 MONTHS/450 000 KMYes</v>
          </cell>
          <cell r="G300">
            <v>26460</v>
          </cell>
        </row>
        <row r="301">
          <cell r="F301" t="str">
            <v>TGX6X6HYDRO12 MONTHS/UNLIMITED36 MONTHS/450 000 KMNo</v>
          </cell>
          <cell r="G301">
            <v>26460</v>
          </cell>
        </row>
        <row r="302">
          <cell r="F302" t="str">
            <v>TGX8X4H/D12 MONTHS/UNLIMITED36 MONTHS/450 000 KMYes</v>
          </cell>
          <cell r="G302">
            <v>73500</v>
          </cell>
        </row>
        <row r="303">
          <cell r="F303" t="str">
            <v>TGX8X4H/D12 MONTHS/UNLIMITED36 MONTHS/450 000 KMNo</v>
          </cell>
          <cell r="G303">
            <v>73500</v>
          </cell>
        </row>
        <row r="304">
          <cell r="F304" t="str">
            <v>TGX8X4HYDRO12 MONTHS/UNLIMITED36 MONTHS/450 000 KMYes</v>
          </cell>
          <cell r="G304">
            <v>26460</v>
          </cell>
        </row>
        <row r="305">
          <cell r="F305" t="str">
            <v>TGX8X4HYDRO12 MONTHS/UNLIMITED36 MONTHS/450 000 KMNo</v>
          </cell>
          <cell r="G305">
            <v>26460</v>
          </cell>
        </row>
        <row r="306">
          <cell r="F306" t="str">
            <v>TGX8X6H/D12 MONTHS/UNLIMITED36 MONTHS/450 000 KMYes</v>
          </cell>
          <cell r="G306">
            <v>73500</v>
          </cell>
        </row>
        <row r="307">
          <cell r="F307" t="str">
            <v>TGX8X6H/D12 MONTHS/UNLIMITED36 MONTHS/450 000 KMNo</v>
          </cell>
          <cell r="G307">
            <v>73500</v>
          </cell>
        </row>
        <row r="308">
          <cell r="F308" t="str">
            <v>TGX8X6HYDRO12 MONTHS/UNLIMITED36 MONTHS/450 000 KMYes</v>
          </cell>
          <cell r="G308">
            <v>26460</v>
          </cell>
        </row>
        <row r="309">
          <cell r="F309" t="str">
            <v>TGX8X6HYDRO12 MONTHS/UNLIMITED36 MONTHS/450 000 KMNo</v>
          </cell>
          <cell r="G309">
            <v>26460</v>
          </cell>
        </row>
        <row r="310">
          <cell r="F310" t="str">
            <v>TGS-33-440BBS-L12 MONTHS/UNLIMITED36 MONTHS/600 000 KMNo</v>
          </cell>
          <cell r="G310">
            <v>26460</v>
          </cell>
        </row>
        <row r="311">
          <cell r="F311" t="str">
            <v>TGS-33-440BBS-L12 MONTHS/UNLIMITED36 MONTHS/600 000 KMYes</v>
          </cell>
          <cell r="G311">
            <v>26460</v>
          </cell>
        </row>
        <row r="312">
          <cell r="F312" t="str">
            <v>TGS-33-480BBS-L12 MONTHS/UNLIMITED36 MONTHS/600 000 KMNo</v>
          </cell>
          <cell r="G312">
            <v>26460</v>
          </cell>
        </row>
        <row r="313">
          <cell r="F313" t="str">
            <v>TGS-33-480BBS-L12 MONTHS/UNLIMITED36 MONTHS/600 000 KMYes</v>
          </cell>
          <cell r="G313">
            <v>26460</v>
          </cell>
        </row>
        <row r="314">
          <cell r="F314" t="str">
            <v>TGS-33-440BBS-L24 MONTHS/300 000 KM48 MONTHS/600 000 KMNo</v>
          </cell>
          <cell r="G314">
            <v>74235</v>
          </cell>
        </row>
        <row r="315">
          <cell r="F315" t="str">
            <v>TGS-33-440BBS-L24 MONTHS/300 000 KM48 MONTHS/600 000 KMYes</v>
          </cell>
          <cell r="G315">
            <v>63945</v>
          </cell>
        </row>
        <row r="316">
          <cell r="F316" t="str">
            <v>TGS-33-480BBS-L24 MONTHS/300 000 KM48 MONTHS/600 000 KMNo</v>
          </cell>
          <cell r="G316">
            <v>74235</v>
          </cell>
        </row>
        <row r="317">
          <cell r="F317" t="str">
            <v>TGS-33-480BBS-L24 MONTHS/300 000 KM48 MONTHS/600 000 KMYes</v>
          </cell>
          <cell r="G317">
            <v>63945</v>
          </cell>
        </row>
      </sheetData>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openxmlformats.org/officeDocument/2006/relationships/hyperlink" Target="mailto:jvanschalwyk@jjt.co.za"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tabColor rgb="FF00B0F0"/>
  </sheetPr>
  <dimension ref="A1:CO2002"/>
  <sheetViews>
    <sheetView showGridLines="0" zoomScale="80" zoomScaleNormal="80" workbookViewId="0">
      <pane ySplit="4" topLeftCell="A467" activePane="bottomLeft" state="frozen"/>
      <selection pane="bottomLeft" activeCell="B479" sqref="B479"/>
    </sheetView>
  </sheetViews>
  <sheetFormatPr defaultColWidth="9.1015625" defaultRowHeight="15"/>
  <cols>
    <col min="1" max="1" width="2.68359375" style="69" customWidth="1"/>
    <col min="2" max="2" width="21.1015625" style="61" customWidth="1"/>
    <col min="3" max="3" width="41.1015625" style="13" customWidth="1"/>
    <col min="4" max="4" width="20.1015625" style="20" customWidth="1"/>
    <col min="5" max="5" width="25.3125" style="14" customWidth="1"/>
    <col min="6" max="6" width="20" style="15" customWidth="1"/>
    <col min="7" max="7" width="13.68359375" style="58" customWidth="1"/>
    <col min="8" max="9" width="13.68359375" style="47" customWidth="1"/>
    <col min="10" max="10" width="17.68359375" style="64" customWidth="1"/>
    <col min="11" max="11" width="17.68359375" style="270" customWidth="1"/>
    <col min="12" max="12" width="21.5234375" style="271" customWidth="1"/>
    <col min="13" max="13" width="18.68359375" style="64" customWidth="1"/>
    <col min="14" max="14" width="18.68359375" style="270" customWidth="1"/>
    <col min="15" max="15" width="18.68359375" style="271" customWidth="1"/>
    <col min="16" max="16" width="10.41796875" style="116" customWidth="1"/>
    <col min="17" max="17" width="18.3125" style="110" customWidth="1"/>
    <col min="18" max="18" width="15.41796875" style="111" customWidth="1"/>
    <col min="19" max="19" width="14.1015625" style="112" customWidth="1"/>
    <col min="20" max="22" width="9.1015625" style="112" customWidth="1"/>
    <col min="23" max="25" width="20.41796875" style="89" customWidth="1"/>
    <col min="26" max="26" width="3.68359375" style="89" customWidth="1"/>
    <col min="27" max="29" width="20.41796875" style="89" customWidth="1"/>
    <col min="30" max="32" width="9.1015625" style="89"/>
    <col min="33" max="45" width="9.1015625" style="5"/>
    <col min="46" max="46" width="28.5234375" style="89" bestFit="1" customWidth="1"/>
    <col min="47" max="47" width="15" style="89" customWidth="1"/>
    <col min="48" max="48" width="9.1015625" style="89"/>
    <col min="49" max="49" width="9.68359375" style="89" bestFit="1" customWidth="1"/>
    <col min="50" max="50" width="11.5234375" style="89" customWidth="1"/>
    <col min="51" max="51" width="12" style="89" bestFit="1" customWidth="1"/>
    <col min="52" max="54" width="9.1015625" style="89"/>
    <col min="55" max="56" width="9.1015625" style="94"/>
    <col min="57" max="16384" width="9.1015625" style="3"/>
  </cols>
  <sheetData>
    <row r="1" spans="1:93" s="69" customFormat="1">
      <c r="B1" s="75"/>
      <c r="C1" s="76"/>
      <c r="D1" s="77"/>
      <c r="F1" s="78"/>
      <c r="G1" s="79"/>
      <c r="H1" s="80"/>
      <c r="I1" s="80"/>
      <c r="J1" s="77"/>
      <c r="K1" s="268"/>
      <c r="L1" s="268"/>
      <c r="M1" s="77"/>
      <c r="N1" s="268"/>
      <c r="O1" s="268"/>
      <c r="P1" s="261"/>
      <c r="Q1" s="262"/>
      <c r="R1" s="263"/>
      <c r="S1" s="264"/>
      <c r="T1" s="264"/>
      <c r="U1" s="264"/>
      <c r="V1" s="264"/>
      <c r="W1" s="84"/>
      <c r="X1" s="84"/>
      <c r="Y1" s="84"/>
      <c r="Z1" s="84"/>
      <c r="AA1" s="84"/>
      <c r="AB1" s="84"/>
      <c r="AC1" s="84"/>
      <c r="AD1" s="84"/>
      <c r="AE1" s="84"/>
      <c r="AF1" s="84"/>
      <c r="AT1" s="84"/>
      <c r="AU1" s="84"/>
      <c r="AV1" s="84"/>
      <c r="AW1" s="84"/>
      <c r="AX1" s="84"/>
      <c r="AY1" s="84"/>
      <c r="AZ1" s="84"/>
      <c r="BA1" s="84"/>
      <c r="BB1" s="84"/>
      <c r="BC1" s="84"/>
      <c r="BD1" s="84"/>
    </row>
    <row r="2" spans="1:93" s="69" customFormat="1">
      <c r="B2" s="75"/>
      <c r="C2" s="76"/>
      <c r="D2" s="77"/>
      <c r="F2" s="78"/>
      <c r="G2" s="79"/>
      <c r="H2" s="80"/>
      <c r="I2" s="80"/>
      <c r="J2" s="77"/>
      <c r="K2" s="268"/>
      <c r="L2" s="268"/>
      <c r="M2" s="77"/>
      <c r="N2" s="268"/>
      <c r="O2" s="268"/>
      <c r="P2" s="261"/>
      <c r="Q2" s="262"/>
      <c r="R2" s="263"/>
      <c r="S2" s="264"/>
      <c r="T2" s="264"/>
      <c r="U2" s="264"/>
      <c r="V2" s="264"/>
      <c r="W2" s="84"/>
      <c r="X2" s="84"/>
      <c r="Y2" s="84"/>
      <c r="Z2" s="84"/>
      <c r="AA2" s="84"/>
      <c r="AB2" s="84"/>
      <c r="AC2" s="84"/>
      <c r="AD2" s="84"/>
      <c r="AE2" s="84"/>
      <c r="AF2" s="84"/>
      <c r="AT2" s="84"/>
      <c r="AU2" s="84"/>
      <c r="AV2" s="84"/>
      <c r="AW2" s="84"/>
      <c r="AX2" s="84"/>
      <c r="AY2" s="84"/>
      <c r="AZ2" s="84"/>
      <c r="BA2" s="84"/>
      <c r="BB2" s="84"/>
      <c r="BC2" s="84"/>
      <c r="BD2" s="84"/>
    </row>
    <row r="3" spans="1:93" s="69" customFormat="1" ht="38.25" customHeight="1">
      <c r="B3" s="75"/>
      <c r="C3" s="76"/>
      <c r="D3" s="77"/>
      <c r="F3" s="78"/>
      <c r="G3" s="79"/>
      <c r="H3" s="80"/>
      <c r="I3" s="80"/>
      <c r="J3" s="697" t="s">
        <v>342</v>
      </c>
      <c r="K3" s="698"/>
      <c r="L3" s="699"/>
      <c r="M3" s="700" t="s">
        <v>49</v>
      </c>
      <c r="N3" s="701"/>
      <c r="O3" s="702"/>
      <c r="P3" s="261"/>
      <c r="Q3" s="262"/>
      <c r="R3" s="263"/>
      <c r="S3" s="264"/>
      <c r="T3" s="264"/>
      <c r="U3" s="264"/>
      <c r="V3" s="264"/>
      <c r="W3" s="315"/>
      <c r="X3" s="315"/>
      <c r="Y3" s="315"/>
      <c r="Z3" s="310"/>
      <c r="AA3" s="314"/>
      <c r="AB3" s="314"/>
      <c r="AC3" s="314"/>
      <c r="AD3" s="84"/>
      <c r="AE3" s="84"/>
      <c r="AF3" s="84"/>
      <c r="AT3" s="84"/>
      <c r="AU3" s="84"/>
      <c r="AV3" s="84"/>
      <c r="AW3" s="84"/>
      <c r="AX3" s="84"/>
      <c r="AY3" s="84"/>
      <c r="AZ3" s="84"/>
      <c r="BA3" s="84"/>
      <c r="BB3" s="84"/>
      <c r="BC3" s="84"/>
      <c r="BD3" s="84"/>
    </row>
    <row r="4" spans="1:93" s="1" customFormat="1" ht="61.5" customHeight="1">
      <c r="A4" s="81"/>
      <c r="B4" s="59" t="s">
        <v>0</v>
      </c>
      <c r="C4" s="9" t="s">
        <v>1</v>
      </c>
      <c r="D4" s="10" t="s">
        <v>44</v>
      </c>
      <c r="E4" s="9" t="s">
        <v>583</v>
      </c>
      <c r="F4" s="7" t="s">
        <v>488</v>
      </c>
      <c r="G4" s="57" t="s">
        <v>47</v>
      </c>
      <c r="H4" s="45" t="s">
        <v>113</v>
      </c>
      <c r="I4" s="45" t="s">
        <v>46</v>
      </c>
      <c r="J4" s="266" t="s">
        <v>2</v>
      </c>
      <c r="K4" s="266" t="s">
        <v>3</v>
      </c>
      <c r="L4" s="266" t="s">
        <v>4</v>
      </c>
      <c r="M4" s="267" t="s">
        <v>2</v>
      </c>
      <c r="N4" s="267" t="s">
        <v>3</v>
      </c>
      <c r="O4" s="267" t="s">
        <v>4</v>
      </c>
      <c r="P4" s="113" t="s">
        <v>5</v>
      </c>
      <c r="Q4" s="114" t="s">
        <v>6</v>
      </c>
      <c r="R4" s="115"/>
      <c r="S4" s="115"/>
      <c r="T4" s="115"/>
      <c r="U4" s="115"/>
      <c r="V4" s="115"/>
      <c r="W4" s="312"/>
      <c r="X4" s="312"/>
      <c r="Y4" s="312"/>
      <c r="Z4" s="313"/>
      <c r="AA4" s="314"/>
      <c r="AB4" s="314"/>
      <c r="AC4" s="314"/>
      <c r="AD4" s="85"/>
      <c r="AE4" s="85"/>
      <c r="AF4" s="85"/>
      <c r="AG4" s="52"/>
      <c r="AH4" s="52"/>
      <c r="AI4" s="52"/>
      <c r="AJ4" s="52"/>
      <c r="AK4" s="52"/>
      <c r="AL4" s="52"/>
      <c r="AM4" s="52"/>
      <c r="AN4" s="52"/>
      <c r="AO4" s="52"/>
      <c r="AP4" s="52"/>
      <c r="AQ4" s="52"/>
      <c r="AR4" s="52"/>
      <c r="AS4" s="52"/>
      <c r="AT4" s="85" t="s">
        <v>114</v>
      </c>
      <c r="AU4" s="85" t="s">
        <v>293</v>
      </c>
      <c r="AV4" s="85"/>
      <c r="AW4" s="86" t="s">
        <v>291</v>
      </c>
      <c r="AX4" s="86" t="s">
        <v>292</v>
      </c>
      <c r="AY4" s="86" t="s">
        <v>46</v>
      </c>
      <c r="AZ4" s="85"/>
      <c r="BA4" s="85"/>
      <c r="BB4" s="85"/>
      <c r="BC4" s="87"/>
      <c r="BD4" s="87"/>
    </row>
    <row r="5" spans="1:93">
      <c r="B5" s="60">
        <f>[2]Trucks!A2</f>
        <v>47121</v>
      </c>
      <c r="C5" s="11" t="str">
        <f>[2]Trucks!B2</f>
        <v>CLA-15-2204X2BB-C</v>
      </c>
      <c r="D5" s="19" t="str">
        <f>IFERROR(VLOOKUP(C5&amp;"",'[2]Retail Price List'!$A$3:$B$103,2,FALSE),"Special Order")</f>
        <v>KP000589</v>
      </c>
      <c r="E5" s="18" t="str">
        <f>[2]Trucks!J2</f>
        <v>CKD</v>
      </c>
      <c r="F5" s="12" t="str">
        <f>[2]Trucks!E2</f>
        <v>2017-12-31</v>
      </c>
      <c r="G5" s="56">
        <f>[2]Trucks!K2</f>
        <v>14.7</v>
      </c>
      <c r="H5" s="46">
        <f>[2]Trucks!I2</f>
        <v>42900</v>
      </c>
      <c r="I5" s="83" t="str">
        <f t="shared" ref="I5:I68" si="0">IFERROR(VLOOKUP(AU5,$AW$5:$AY$40,3,FALSE),"")</f>
        <v>2017Q2</v>
      </c>
      <c r="J5" s="272">
        <f>IFERROR(VLOOKUP((D5&amp;C5)&amp;"",'[2]Retail Price List'!$C$4:$F$102,3,FALSE),"")</f>
        <v>665000</v>
      </c>
      <c r="K5" s="272">
        <f>IFERROR(IF(BA5="WIP - 30 Days",VLOOKUP(D5,[3]Standard!$B$9:$E$101,4,FALSE),IF(BA5="31-120 Days",VLOOKUP(D5,[3]Standard!$B$9:$F$101,5,FALSE),IF(BA5="121-365 Days",VLOOKUP(D5,[3]Standard!$B$9:$G$101,6,FALSE),VLOOKUP(D5,[3]Standard!$B$9:$H$101,7,FALSE)))),0)</f>
        <v>541110.5</v>
      </c>
      <c r="L5" s="272">
        <f>IFERROR(IF(BA5="WIP - 30 Days",VLOOKUP(D5,[3]Standard!$B$9:$J$101,9,FALSE),IF(BA5="31-120 Days",VLOOKUP(D5,[3]Standard!$B$9:$K$100,10,FALSE),IF(BA5="121-365 Days",VLOOKUP(D5,[3]Standard!$B$9:$L$101,11,FALSE),VLOOKUP(D5,[3]Standard!$B$9:$M$101,12,FALSE)))),0)</f>
        <v>525350</v>
      </c>
      <c r="M5" s="269">
        <f>IFERROR(VLOOKUP((D5&amp;C5)&amp;"",'[2]Retail Price List'!$C$4:$F$102,4,FALSE),"")</f>
        <v>674000</v>
      </c>
      <c r="N5" s="269">
        <f>IFERROR(IF(BA5="WIP - 30 Days",VLOOKUP(D5,[3]Extended!$B$9:$E$101,4,FALSE),IF(BA5="31-120 Days",VLOOKUP(D5,[3]Extended!$B$9:$F$101,5,FALSE),IF(BA5="121-365 Days",VLOOKUP(D5,[3]Extended!$B$9:$G$101,6,FALSE),VLOOKUP(D5,[3]Extended!$B$9:$H$101,7,FALSE)))),0)</f>
        <v>555376</v>
      </c>
      <c r="O5" s="269">
        <f>IFERROR(IF(BA5="WIP - 30 Days",VLOOKUP(D5,[3]Extended!$B$9:$J$101,9,FALSE),IF(BA5="31-120 Days",VLOOKUP(D5,[3]Extended!$B$9:$K$101,10,FALSE),IF(BA5="121-365 Days",VLOOKUP(D5,[3]Extended!$B$9:$L$101,11,FALSE),VLOOKUP(D5,[3]Extended!$B$9:$M$101,12,FALSE)))),0)</f>
        <v>539200</v>
      </c>
      <c r="P5" s="116">
        <f t="shared" ref="P5:P68" si="1">(M5-O5)/M5</f>
        <v>0.2</v>
      </c>
      <c r="Q5" s="110" t="e">
        <f>O5-#REF!</f>
        <v>#REF!</v>
      </c>
      <c r="R5" s="265" t="s">
        <v>8</v>
      </c>
      <c r="S5" s="112" t="s">
        <v>9</v>
      </c>
      <c r="T5" s="112" t="s">
        <v>10</v>
      </c>
      <c r="U5" s="112" t="s">
        <v>11</v>
      </c>
      <c r="W5" s="311"/>
      <c r="X5" s="311"/>
      <c r="Y5" s="311"/>
      <c r="Z5" s="311"/>
      <c r="AA5" s="311"/>
      <c r="AB5" s="311"/>
      <c r="AC5" s="311"/>
      <c r="AS5" s="2"/>
      <c r="AT5" s="88" t="str">
        <f t="shared" ref="AT5:AT68" si="2">D5&amp;I5&amp;G5</f>
        <v>KP0005892017Q214,7</v>
      </c>
      <c r="AU5" s="89" t="str">
        <f t="shared" ref="AU5:AU68" si="3">IF(MONTH(H5)&lt;10,0&amp;MONTH(H5)&amp;"-"&amp;YEAR(H5),MONTH(H5)&amp;"-"&amp;YEAR(H5))</f>
        <v>06-2017</v>
      </c>
      <c r="AW5" s="90" t="s">
        <v>307</v>
      </c>
      <c r="AX5" s="90" t="s">
        <v>287</v>
      </c>
      <c r="AY5" s="91" t="s">
        <v>295</v>
      </c>
      <c r="AZ5" s="92"/>
      <c r="BA5" s="92" t="str">
        <f t="shared" ref="BA5:BA68" si="4">IF(B5=0,"",IF(AND(F5&gt;=31,F5&lt;=120),"31-120 Days",IF(AND(F5&gt;=121,F5&lt;=365),"121-365 Days",IF(OR(E5="CKD",F5&lt;=30),"WIP - 30 Days","&gt;365 Days"))))</f>
        <v>WIP - 30 Days</v>
      </c>
      <c r="BB5" s="92"/>
      <c r="BC5" s="92"/>
      <c r="BD5" s="92"/>
      <c r="BE5" s="82"/>
      <c r="BF5" s="82"/>
      <c r="BG5" s="82"/>
      <c r="BH5" s="82"/>
      <c r="BI5" s="82"/>
      <c r="BJ5" s="82"/>
      <c r="BK5" s="82"/>
      <c r="BL5" s="82"/>
      <c r="BM5" s="82"/>
      <c r="BN5" s="82"/>
      <c r="BO5" s="82"/>
      <c r="BP5" s="82"/>
      <c r="BQ5" s="82"/>
      <c r="BR5" s="82"/>
      <c r="BS5" s="82"/>
      <c r="BT5" s="82"/>
      <c r="BU5" s="82"/>
      <c r="BV5" s="82"/>
      <c r="BW5" s="82"/>
      <c r="BX5" s="82"/>
      <c r="BY5" s="82"/>
      <c r="BZ5" s="82"/>
      <c r="CA5" s="82"/>
      <c r="CB5" s="82"/>
      <c r="CC5" s="82"/>
      <c r="CD5" s="82"/>
      <c r="CE5" s="82"/>
      <c r="CF5" s="82"/>
      <c r="CG5" s="82"/>
      <c r="CO5" s="3" t="str">
        <f>D5&amp;C5</f>
        <v>KP000589CLA-15-2204X2BB-C</v>
      </c>
    </row>
    <row r="6" spans="1:93">
      <c r="B6" s="60">
        <f>[2]Trucks!A3</f>
        <v>47122</v>
      </c>
      <c r="C6" s="11" t="str">
        <f>[2]Trucks!B3</f>
        <v>CLA-15-2204X2BB-C</v>
      </c>
      <c r="D6" s="19" t="str">
        <f>IFERROR(VLOOKUP(C6&amp;"",'[2]Retail Price List'!$A$3:$B$103,2,FALSE),"Special Order")</f>
        <v>KP000589</v>
      </c>
      <c r="E6" s="18" t="str">
        <f>[2]Trucks!J3</f>
        <v>CKD</v>
      </c>
      <c r="F6" s="12" t="str">
        <f>[2]Trucks!E3</f>
        <v>2017-12-31</v>
      </c>
      <c r="G6" s="56">
        <f>[2]Trucks!K3</f>
        <v>14.7</v>
      </c>
      <c r="H6" s="46">
        <f>[2]Trucks!I3</f>
        <v>42900</v>
      </c>
      <c r="I6" s="83" t="str">
        <f t="shared" si="0"/>
        <v>2017Q2</v>
      </c>
      <c r="J6" s="272">
        <f>IFERROR(VLOOKUP((D6&amp;C6)&amp;"",'[2]Retail Price List'!$C$4:$F$102,3,FALSE),"")</f>
        <v>665000</v>
      </c>
      <c r="K6" s="272">
        <f>IFERROR(IF(BA6="WIP - 30 Days",VLOOKUP(D6,[3]Standard!$B$9:$E$101,4,FALSE),IF(BA6="31-120 Days",VLOOKUP(D6,[3]Standard!$B$9:$F$101,5,FALSE),IF(BA6="121-365 Days",VLOOKUP(D6,[3]Standard!$B$9:$G$101,6,FALSE),VLOOKUP(D6,[3]Standard!$B$9:$H$101,7,FALSE)))),0)</f>
        <v>541110.5</v>
      </c>
      <c r="L6" s="272">
        <f>IFERROR(IF(BA6="WIP - 30 Days",VLOOKUP(D6,[3]Standard!$B$9:$J$101,9,FALSE),IF(BA6="31-120 Days",VLOOKUP(D6,[3]Standard!$B$9:$K$100,10,FALSE),IF(BA6="121-365 Days",VLOOKUP(D6,[3]Standard!$B$9:$L$101,11,FALSE),VLOOKUP(D6,[3]Standard!$B$9:$M$101,12,FALSE)))),0)</f>
        <v>525350</v>
      </c>
      <c r="M6" s="269">
        <f>IFERROR(VLOOKUP((D6&amp;C6)&amp;"",'[2]Retail Price List'!$C$4:$F$102,4,FALSE),"")</f>
        <v>674000</v>
      </c>
      <c r="N6" s="269">
        <f>IFERROR(IF(BA6="WIP - 30 Days",VLOOKUP(D6,[3]Extended!$B$9:$E$101,4,FALSE),IF(BA6="31-120 Days",VLOOKUP(D6,[3]Extended!$B$9:$F$101,5,FALSE),IF(BA6="121-365 Days",VLOOKUP(D6,[3]Extended!$B$9:$G$101,6,FALSE),VLOOKUP(D6,[3]Extended!$B$9:$H$101,7,FALSE)))),0)</f>
        <v>555376</v>
      </c>
      <c r="O6" s="269">
        <f>IFERROR(IF(BA6="WIP - 30 Days",VLOOKUP(D6,[3]Extended!$B$9:$J$101,9,FALSE),IF(BA6="31-120 Days",VLOOKUP(D6,[3]Extended!$B$9:$K$101,10,FALSE),IF(BA6="121-365 Days",VLOOKUP(D6,[3]Extended!$B$9:$L$101,11,FALSE),VLOOKUP(D6,[3]Extended!$B$9:$M$101,12,FALSE)))),0)</f>
        <v>539200</v>
      </c>
      <c r="P6" s="116">
        <f t="shared" si="1"/>
        <v>0.2</v>
      </c>
      <c r="Q6" s="110" t="e">
        <f>O6-#REF!</f>
        <v>#REF!</v>
      </c>
      <c r="R6" s="265" t="s">
        <v>12</v>
      </c>
      <c r="S6" s="112">
        <v>13.6</v>
      </c>
      <c r="T6" s="112">
        <v>-7.9</v>
      </c>
      <c r="U6" s="112">
        <v>-2.6</v>
      </c>
      <c r="W6" s="311"/>
      <c r="X6" s="311"/>
      <c r="Y6" s="311"/>
      <c r="Z6" s="311"/>
      <c r="AA6" s="311"/>
      <c r="AB6" s="311"/>
      <c r="AC6" s="311"/>
      <c r="AO6" s="5" t="s">
        <v>590</v>
      </c>
      <c r="AS6" s="2"/>
      <c r="AT6" s="88" t="str">
        <f t="shared" si="2"/>
        <v>KP0005892017Q214,7</v>
      </c>
      <c r="AU6" s="89" t="str">
        <f t="shared" si="3"/>
        <v>06-2017</v>
      </c>
      <c r="AW6" s="93" t="s">
        <v>308</v>
      </c>
      <c r="AX6" s="91" t="s">
        <v>287</v>
      </c>
      <c r="AY6" s="91" t="s">
        <v>295</v>
      </c>
      <c r="BA6" s="92" t="str">
        <f t="shared" si="4"/>
        <v>WIP - 30 Days</v>
      </c>
    </row>
    <row r="7" spans="1:93">
      <c r="B7" s="60">
        <f>[2]Trucks!A4</f>
        <v>47123</v>
      </c>
      <c r="C7" s="11" t="str">
        <f>[2]Trucks!B4</f>
        <v>CLA-15-2204X2BB-C</v>
      </c>
      <c r="D7" s="19" t="str">
        <f>IFERROR(VLOOKUP(C7&amp;"",'[2]Retail Price List'!$A$3:$B$103,2,FALSE),"Special Order")</f>
        <v>KP000589</v>
      </c>
      <c r="E7" s="18" t="str">
        <f>[2]Trucks!J4</f>
        <v>CKD</v>
      </c>
      <c r="F7" s="12" t="str">
        <f>[2]Trucks!E4</f>
        <v>2017-12-31</v>
      </c>
      <c r="G7" s="56">
        <f>[2]Trucks!K4</f>
        <v>14.7</v>
      </c>
      <c r="H7" s="46">
        <f>[2]Trucks!I4</f>
        <v>42900</v>
      </c>
      <c r="I7" s="83" t="str">
        <f t="shared" si="0"/>
        <v>2017Q2</v>
      </c>
      <c r="J7" s="272">
        <f>IFERROR(VLOOKUP((D7&amp;C7)&amp;"",'[2]Retail Price List'!$C$4:$F$102,3,FALSE),"")</f>
        <v>665000</v>
      </c>
      <c r="K7" s="272">
        <f>IFERROR(IF(BA7="WIP - 30 Days",VLOOKUP(D7,[3]Standard!$B$9:$E$101,4,FALSE),IF(BA7="31-120 Days",VLOOKUP(D7,[3]Standard!$B$9:$F$101,5,FALSE),IF(BA7="121-365 Days",VLOOKUP(D7,[3]Standard!$B$9:$G$101,6,FALSE),VLOOKUP(D7,[3]Standard!$B$9:$H$101,7,FALSE)))),0)</f>
        <v>541110.5</v>
      </c>
      <c r="L7" s="272">
        <f>IFERROR(IF(BA7="WIP - 30 Days",VLOOKUP(D7,[3]Standard!$B$9:$J$101,9,FALSE),IF(BA7="31-120 Days",VLOOKUP(D7,[3]Standard!$B$9:$K$100,10,FALSE),IF(BA7="121-365 Days",VLOOKUP(D7,[3]Standard!$B$9:$L$101,11,FALSE),VLOOKUP(D7,[3]Standard!$B$9:$M$101,12,FALSE)))),0)</f>
        <v>525350</v>
      </c>
      <c r="M7" s="269">
        <f>IFERROR(VLOOKUP((D7&amp;C7)&amp;"",'[2]Retail Price List'!$C$4:$F$102,4,FALSE),"")</f>
        <v>674000</v>
      </c>
      <c r="N7" s="269">
        <f>IFERROR(IF(BA7="WIP - 30 Days",VLOOKUP(D7,[3]Extended!$B$9:$E$101,4,FALSE),IF(BA7="31-120 Days",VLOOKUP(D7,[3]Extended!$B$9:$F$101,5,FALSE),IF(BA7="121-365 Days",VLOOKUP(D7,[3]Extended!$B$9:$G$101,6,FALSE),VLOOKUP(D7,[3]Extended!$B$9:$H$101,7,FALSE)))),0)</f>
        <v>555376</v>
      </c>
      <c r="O7" s="269">
        <f>IFERROR(IF(BA7="WIP - 30 Days",VLOOKUP(D7,[3]Extended!$B$9:$J$101,9,FALSE),IF(BA7="31-120 Days",VLOOKUP(D7,[3]Extended!$B$9:$K$101,10,FALSE),IF(BA7="121-365 Days",VLOOKUP(D7,[3]Extended!$B$9:$L$101,11,FALSE),VLOOKUP(D7,[3]Extended!$B$9:$M$101,12,FALSE)))),0)</f>
        <v>539200</v>
      </c>
      <c r="P7" s="116">
        <f t="shared" si="1"/>
        <v>0.2</v>
      </c>
      <c r="Q7" s="110" t="e">
        <f>O7-#REF!</f>
        <v>#REF!</v>
      </c>
      <c r="R7" s="111" t="s">
        <v>13</v>
      </c>
      <c r="S7" s="112">
        <v>3.6</v>
      </c>
      <c r="T7" s="112">
        <v>3.6</v>
      </c>
      <c r="U7" s="112">
        <v>3.6</v>
      </c>
      <c r="W7" s="311"/>
      <c r="X7" s="311"/>
      <c r="Y7" s="311"/>
      <c r="Z7" s="311"/>
      <c r="AA7" s="311"/>
      <c r="AB7" s="311"/>
      <c r="AC7" s="311"/>
      <c r="AT7" s="88" t="str">
        <f t="shared" si="2"/>
        <v>KP0005892017Q214,7</v>
      </c>
      <c r="AU7" s="89" t="str">
        <f t="shared" si="3"/>
        <v>06-2017</v>
      </c>
      <c r="AW7" s="90" t="s">
        <v>310</v>
      </c>
      <c r="AX7" s="95" t="s">
        <v>287</v>
      </c>
      <c r="AY7" s="91" t="s">
        <v>295</v>
      </c>
      <c r="BA7" s="92" t="str">
        <f t="shared" si="4"/>
        <v>WIP - 30 Days</v>
      </c>
    </row>
    <row r="8" spans="1:93">
      <c r="B8" s="60">
        <f>[2]Trucks!A5</f>
        <v>47124</v>
      </c>
      <c r="C8" s="11" t="str">
        <f>[2]Trucks!B5</f>
        <v>CLA-15-2204X2BB-C</v>
      </c>
      <c r="D8" s="19" t="str">
        <f>IFERROR(VLOOKUP(C8&amp;"",'[2]Retail Price List'!$A$3:$B$103,2,FALSE),"Special Order")</f>
        <v>KP000589</v>
      </c>
      <c r="E8" s="18" t="str">
        <f>[2]Trucks!J5</f>
        <v>CKD</v>
      </c>
      <c r="F8" s="12" t="str">
        <f>[2]Trucks!E5</f>
        <v>2017-12-31</v>
      </c>
      <c r="G8" s="56">
        <f>[2]Trucks!K5</f>
        <v>14.7</v>
      </c>
      <c r="H8" s="46">
        <f>[2]Trucks!I5</f>
        <v>42900</v>
      </c>
      <c r="I8" s="83" t="str">
        <f t="shared" si="0"/>
        <v>2017Q2</v>
      </c>
      <c r="J8" s="272">
        <f>IFERROR(VLOOKUP((D8&amp;C8)&amp;"",'[2]Retail Price List'!$C$4:$F$102,3,FALSE),"")</f>
        <v>665000</v>
      </c>
      <c r="K8" s="272">
        <f>IFERROR(IF(BA8="WIP - 30 Days",VLOOKUP(D8,[3]Standard!$B$9:$E$101,4,FALSE),IF(BA8="31-120 Days",VLOOKUP(D8,[3]Standard!$B$9:$F$101,5,FALSE),IF(BA8="121-365 Days",VLOOKUP(D8,[3]Standard!$B$9:$G$101,6,FALSE),VLOOKUP(D8,[3]Standard!$B$9:$H$101,7,FALSE)))),0)</f>
        <v>541110.5</v>
      </c>
      <c r="L8" s="272">
        <f>IFERROR(IF(BA8="WIP - 30 Days",VLOOKUP(D8,[3]Standard!$B$9:$J$101,9,FALSE),IF(BA8="31-120 Days",VLOOKUP(D8,[3]Standard!$B$9:$K$100,10,FALSE),IF(BA8="121-365 Days",VLOOKUP(D8,[3]Standard!$B$9:$L$101,11,FALSE),VLOOKUP(D8,[3]Standard!$B$9:$M$101,12,FALSE)))),0)</f>
        <v>525350</v>
      </c>
      <c r="M8" s="269">
        <f>IFERROR(VLOOKUP((D8&amp;C8)&amp;"",'[2]Retail Price List'!$C$4:$F$102,4,FALSE),"")</f>
        <v>674000</v>
      </c>
      <c r="N8" s="269">
        <f>IFERROR(IF(BA8="WIP - 30 Days",VLOOKUP(D8,[3]Extended!$B$9:$E$101,4,FALSE),IF(BA8="31-120 Days",VLOOKUP(D8,[3]Extended!$B$9:$F$101,5,FALSE),IF(BA8="121-365 Days",VLOOKUP(D8,[3]Extended!$B$9:$G$101,6,FALSE),VLOOKUP(D8,[3]Extended!$B$9:$H$101,7,FALSE)))),0)</f>
        <v>555376</v>
      </c>
      <c r="O8" s="269">
        <f>IFERROR(IF(BA8="WIP - 30 Days",VLOOKUP(D8,[3]Extended!$B$9:$J$101,9,FALSE),IF(BA8="31-120 Days",VLOOKUP(D8,[3]Extended!$B$9:$K$101,10,FALSE),IF(BA8="121-365 Days",VLOOKUP(D8,[3]Extended!$B$9:$L$101,11,FALSE),VLOOKUP(D8,[3]Extended!$B$9:$M$101,12,FALSE)))),0)</f>
        <v>539200</v>
      </c>
      <c r="P8" s="116">
        <f t="shared" si="1"/>
        <v>0.2</v>
      </c>
      <c r="Q8" s="110" t="e">
        <f>O8-#REF!</f>
        <v>#REF!</v>
      </c>
      <c r="R8" s="111" t="s">
        <v>14</v>
      </c>
      <c r="S8" s="112">
        <f>COUNT(#REF!)</f>
        <v>0</v>
      </c>
      <c r="W8" s="311"/>
      <c r="X8" s="311"/>
      <c r="Y8" s="311"/>
      <c r="Z8" s="311"/>
      <c r="AA8" s="311"/>
      <c r="AB8" s="311"/>
      <c r="AC8" s="311"/>
      <c r="AT8" s="88" t="str">
        <f t="shared" si="2"/>
        <v>KP0005892017Q214,7</v>
      </c>
      <c r="AU8" s="89" t="str">
        <f t="shared" si="3"/>
        <v>06-2017</v>
      </c>
      <c r="AW8" s="93" t="s">
        <v>311</v>
      </c>
      <c r="AX8" s="95" t="s">
        <v>288</v>
      </c>
      <c r="AY8" s="91" t="s">
        <v>296</v>
      </c>
      <c r="BA8" s="92" t="str">
        <f t="shared" si="4"/>
        <v>WIP - 30 Days</v>
      </c>
    </row>
    <row r="9" spans="1:93">
      <c r="B9" s="60">
        <f>[2]Trucks!A6</f>
        <v>47125</v>
      </c>
      <c r="C9" s="11" t="str">
        <f>[2]Trucks!B6</f>
        <v>CLA-15-2204X2BB-C</v>
      </c>
      <c r="D9" s="19" t="str">
        <f>IFERROR(VLOOKUP(C9&amp;"",'[2]Retail Price List'!$A$3:$B$103,2,FALSE),"Special Order")</f>
        <v>KP000589</v>
      </c>
      <c r="E9" s="18" t="str">
        <f>[2]Trucks!J6</f>
        <v>CKD</v>
      </c>
      <c r="F9" s="12" t="str">
        <f>[2]Trucks!E6</f>
        <v>2017-12-31</v>
      </c>
      <c r="G9" s="56">
        <f>[2]Trucks!K6</f>
        <v>14.7</v>
      </c>
      <c r="H9" s="46">
        <f>[2]Trucks!I6</f>
        <v>42900</v>
      </c>
      <c r="I9" s="83" t="str">
        <f t="shared" si="0"/>
        <v>2017Q2</v>
      </c>
      <c r="J9" s="272">
        <f>IFERROR(VLOOKUP((D9&amp;C9)&amp;"",'[2]Retail Price List'!$C$4:$F$102,3,FALSE),"")</f>
        <v>665000</v>
      </c>
      <c r="K9" s="272">
        <f>IFERROR(IF(BA9="WIP - 30 Days",VLOOKUP(D9,[3]Standard!$B$9:$E$101,4,FALSE),IF(BA9="31-120 Days",VLOOKUP(D9,[3]Standard!$B$9:$F$101,5,FALSE),IF(BA9="121-365 Days",VLOOKUP(D9,[3]Standard!$B$9:$G$101,6,FALSE),VLOOKUP(D9,[3]Standard!$B$9:$H$101,7,FALSE)))),0)</f>
        <v>541110.5</v>
      </c>
      <c r="L9" s="272">
        <f>IFERROR(IF(BA9="WIP - 30 Days",VLOOKUP(D9,[3]Standard!$B$9:$J$101,9,FALSE),IF(BA9="31-120 Days",VLOOKUP(D9,[3]Standard!$B$9:$K$100,10,FALSE),IF(BA9="121-365 Days",VLOOKUP(D9,[3]Standard!$B$9:$L$101,11,FALSE),VLOOKUP(D9,[3]Standard!$B$9:$M$101,12,FALSE)))),0)</f>
        <v>525350</v>
      </c>
      <c r="M9" s="269">
        <f>IFERROR(VLOOKUP((D9&amp;C9)&amp;"",'[2]Retail Price List'!$C$4:$F$102,4,FALSE),"")</f>
        <v>674000</v>
      </c>
      <c r="N9" s="269">
        <f>IFERROR(IF(BA9="WIP - 30 Days",VLOOKUP(D9,[3]Extended!$B$9:$E$101,4,FALSE),IF(BA9="31-120 Days",VLOOKUP(D9,[3]Extended!$B$9:$F$101,5,FALSE),IF(BA9="121-365 Days",VLOOKUP(D9,[3]Extended!$B$9:$G$101,6,FALSE),VLOOKUP(D9,[3]Extended!$B$9:$H$101,7,FALSE)))),0)</f>
        <v>555376</v>
      </c>
      <c r="O9" s="269">
        <f>IFERROR(IF(BA9="WIP - 30 Days",VLOOKUP(D9,[3]Extended!$B$9:$J$101,9,FALSE),IF(BA9="31-120 Days",VLOOKUP(D9,[3]Extended!$B$9:$K$101,10,FALSE),IF(BA9="121-365 Days",VLOOKUP(D9,[3]Extended!$B$9:$L$101,11,FALSE),VLOOKUP(D9,[3]Extended!$B$9:$M$101,12,FALSE)))),0)</f>
        <v>539200</v>
      </c>
      <c r="P9" s="116">
        <f t="shared" si="1"/>
        <v>0.2</v>
      </c>
      <c r="Q9" s="110" t="e">
        <f>O9-#REF!</f>
        <v>#REF!</v>
      </c>
      <c r="S9" s="110" t="e">
        <f>+AVERAGE(#REF!)</f>
        <v>#REF!</v>
      </c>
      <c r="W9" s="311"/>
      <c r="X9" s="311"/>
      <c r="Y9" s="311"/>
      <c r="Z9" s="311"/>
      <c r="AA9" s="311"/>
      <c r="AB9" s="311"/>
      <c r="AC9" s="311"/>
      <c r="AT9" s="88" t="str">
        <f t="shared" si="2"/>
        <v>KP0005892017Q214,7</v>
      </c>
      <c r="AU9" s="89" t="str">
        <f t="shared" si="3"/>
        <v>06-2017</v>
      </c>
      <c r="AW9" s="93" t="s">
        <v>312</v>
      </c>
      <c r="AX9" s="95" t="s">
        <v>288</v>
      </c>
      <c r="AY9" s="91" t="s">
        <v>296</v>
      </c>
      <c r="BA9" s="92" t="str">
        <f t="shared" si="4"/>
        <v>WIP - 30 Days</v>
      </c>
    </row>
    <row r="10" spans="1:93">
      <c r="B10" s="60">
        <f>[2]Trucks!A7</f>
        <v>47126</v>
      </c>
      <c r="C10" s="11" t="str">
        <f>[2]Trucks!B7</f>
        <v>CLA-15-2204X2BB-C</v>
      </c>
      <c r="D10" s="19" t="str">
        <f>IFERROR(VLOOKUP(C10&amp;"",'[2]Retail Price List'!$A$3:$B$103,2,FALSE),"Special Order")</f>
        <v>KP000589</v>
      </c>
      <c r="E10" s="18" t="str">
        <f>[2]Trucks!J7</f>
        <v>CKD</v>
      </c>
      <c r="F10" s="12" t="str">
        <f>[2]Trucks!E7</f>
        <v>2017-12-31</v>
      </c>
      <c r="G10" s="56">
        <f>[2]Trucks!K7</f>
        <v>14.7</v>
      </c>
      <c r="H10" s="46">
        <f>[2]Trucks!I7</f>
        <v>42900</v>
      </c>
      <c r="I10" s="83" t="str">
        <f t="shared" si="0"/>
        <v>2017Q2</v>
      </c>
      <c r="J10" s="272">
        <f>IFERROR(VLOOKUP((D10&amp;C10)&amp;"",'[2]Retail Price List'!$C$4:$F$102,3,FALSE),"")</f>
        <v>665000</v>
      </c>
      <c r="K10" s="272">
        <f>IFERROR(IF(BA10="WIP - 30 Days",VLOOKUP(D10,[3]Standard!$B$9:$E$101,4,FALSE),IF(BA10="31-120 Days",VLOOKUP(D10,[3]Standard!$B$9:$F$101,5,FALSE),IF(BA10="121-365 Days",VLOOKUP(D10,[3]Standard!$B$9:$G$101,6,FALSE),VLOOKUP(D10,[3]Standard!$B$9:$H$101,7,FALSE)))),0)</f>
        <v>541110.5</v>
      </c>
      <c r="L10" s="272">
        <f>IFERROR(IF(BA10="WIP - 30 Days",VLOOKUP(D10,[3]Standard!$B$9:$J$101,9,FALSE),IF(BA10="31-120 Days",VLOOKUP(D10,[3]Standard!$B$9:$K$100,10,FALSE),IF(BA10="121-365 Days",VLOOKUP(D10,[3]Standard!$B$9:$L$101,11,FALSE),VLOOKUP(D10,[3]Standard!$B$9:$M$101,12,FALSE)))),0)</f>
        <v>525350</v>
      </c>
      <c r="M10" s="269">
        <f>IFERROR(VLOOKUP((D10&amp;C10)&amp;"",'[2]Retail Price List'!$C$4:$F$102,4,FALSE),"")</f>
        <v>674000</v>
      </c>
      <c r="N10" s="269">
        <f>IFERROR(IF(BA10="WIP - 30 Days",VLOOKUP(D10,[3]Extended!$B$9:$E$101,4,FALSE),IF(BA10="31-120 Days",VLOOKUP(D10,[3]Extended!$B$9:$F$101,5,FALSE),IF(BA10="121-365 Days",VLOOKUP(D10,[3]Extended!$B$9:$G$101,6,FALSE),VLOOKUP(D10,[3]Extended!$B$9:$H$101,7,FALSE)))),0)</f>
        <v>555376</v>
      </c>
      <c r="O10" s="269">
        <f>IFERROR(IF(BA10="WIP - 30 Days",VLOOKUP(D10,[3]Extended!$B$9:$J$101,9,FALSE),IF(BA10="31-120 Days",VLOOKUP(D10,[3]Extended!$B$9:$K$101,10,FALSE),IF(BA10="121-365 Days",VLOOKUP(D10,[3]Extended!$B$9:$L$101,11,FALSE),VLOOKUP(D10,[3]Extended!$B$9:$M$101,12,FALSE)))),0)</f>
        <v>539200</v>
      </c>
      <c r="P10" s="116">
        <f t="shared" si="1"/>
        <v>0.2</v>
      </c>
      <c r="Q10" s="110" t="e">
        <f>O10-#REF!</f>
        <v>#REF!</v>
      </c>
      <c r="S10" s="110"/>
      <c r="W10" s="311"/>
      <c r="X10" s="311"/>
      <c r="Y10" s="311"/>
      <c r="Z10" s="311"/>
      <c r="AA10" s="311"/>
      <c r="AB10" s="311"/>
      <c r="AC10" s="311"/>
      <c r="AT10" s="88" t="str">
        <f t="shared" si="2"/>
        <v>KP0005892017Q214,7</v>
      </c>
      <c r="AU10" s="89" t="str">
        <f t="shared" si="3"/>
        <v>06-2017</v>
      </c>
      <c r="AW10" s="93" t="s">
        <v>313</v>
      </c>
      <c r="AX10" s="95" t="s">
        <v>288</v>
      </c>
      <c r="AY10" s="91" t="s">
        <v>296</v>
      </c>
      <c r="BA10" s="92" t="str">
        <f t="shared" si="4"/>
        <v>WIP - 30 Days</v>
      </c>
    </row>
    <row r="11" spans="1:93">
      <c r="B11" s="60" t="str">
        <f>[2]Trucks!A8</f>
        <v>MA6-0684</v>
      </c>
      <c r="C11" s="11" t="str">
        <f>[2]Trucks!B8</f>
        <v>CLA-15-2204X2BB-C</v>
      </c>
      <c r="D11" s="19" t="str">
        <f>IFERROR(VLOOKUP(C11&amp;"",'[2]Retail Price List'!$A$3:$B$103,2,FALSE),"Special Order")</f>
        <v>KP000589</v>
      </c>
      <c r="E11" s="18" t="str">
        <f>[2]Trucks!J8</f>
        <v>BODY</v>
      </c>
      <c r="F11" s="12">
        <f>[2]Trucks!E8</f>
        <v>92</v>
      </c>
      <c r="G11" s="56">
        <f>[2]Trucks!K8</f>
        <v>15.4</v>
      </c>
      <c r="H11" s="46">
        <f>[2]Trucks!I8</f>
        <v>42751</v>
      </c>
      <c r="I11" s="83" t="str">
        <f t="shared" si="0"/>
        <v>2017Q1</v>
      </c>
      <c r="J11" s="272">
        <f>IFERROR(VLOOKUP((D11&amp;C11)&amp;"",'[2]Retail Price List'!$C$4:$F$102,3,FALSE),"")</f>
        <v>665000</v>
      </c>
      <c r="K11" s="272">
        <f>IFERROR(IF(BA11="WIP - 30 Days",VLOOKUP(D11,[3]Standard!$B$9:$E$101,4,FALSE),IF(BA11="31-120 Days",VLOOKUP(D11,[3]Standard!$B$9:$F$101,5,FALSE),IF(BA11="121-365 Days",VLOOKUP(D11,[3]Standard!$B$9:$G$101,6,FALSE),VLOOKUP(D11,[3]Standard!$B$9:$H$101,7,FALSE)))),0)</f>
        <v>527411.5</v>
      </c>
      <c r="L11" s="272">
        <f>IFERROR(IF(BA11="WIP - 30 Days",VLOOKUP(D11,[3]Standard!$B$9:$J$101,9,FALSE),IF(BA11="31-120 Days",VLOOKUP(D11,[3]Standard!$B$9:$K$100,10,FALSE),IF(BA11="121-365 Days",VLOOKUP(D11,[3]Standard!$B$9:$L$101,11,FALSE),VLOOKUP(D11,[3]Standard!$B$9:$M$101,12,FALSE)))),0)</f>
        <v>512050</v>
      </c>
      <c r="M11" s="269">
        <f>IFERROR(VLOOKUP((D11&amp;C11)&amp;"",'[2]Retail Price List'!$C$4:$F$102,4,FALSE),"")</f>
        <v>674000</v>
      </c>
      <c r="N11" s="269">
        <f>IFERROR(IF(BA11="WIP - 30 Days",VLOOKUP(D11,[3]Extended!$B$9:$E$101,4,FALSE),IF(BA11="31-120 Days",VLOOKUP(D11,[3]Extended!$B$9:$F$101,5,FALSE),IF(BA11="121-365 Days",VLOOKUP(D11,[3]Extended!$B$9:$G$101,6,FALSE),VLOOKUP(D11,[3]Extended!$B$9:$H$101,7,FALSE)))),0)</f>
        <v>541491.6</v>
      </c>
      <c r="O11" s="269">
        <f>IFERROR(IF(BA11="WIP - 30 Days",VLOOKUP(D11,[3]Extended!$B$9:$J$101,9,FALSE),IF(BA11="31-120 Days",VLOOKUP(D11,[3]Extended!$B$9:$K$101,10,FALSE),IF(BA11="121-365 Days",VLOOKUP(D11,[3]Extended!$B$9:$L$101,11,FALSE),VLOOKUP(D11,[3]Extended!$B$9:$M$101,12,FALSE)))),0)</f>
        <v>525720</v>
      </c>
      <c r="P11" s="116">
        <f t="shared" si="1"/>
        <v>0.22</v>
      </c>
      <c r="Q11" s="110" t="e">
        <f>O11-#REF!</f>
        <v>#REF!</v>
      </c>
      <c r="S11" s="110"/>
      <c r="W11" s="311"/>
      <c r="X11" s="311"/>
      <c r="Y11" s="311"/>
      <c r="Z11" s="311"/>
      <c r="AA11" s="311"/>
      <c r="AB11" s="311"/>
      <c r="AC11" s="311"/>
      <c r="AT11" s="88" t="str">
        <f t="shared" si="2"/>
        <v>KP0005892017Q115,4</v>
      </c>
      <c r="AU11" s="89" t="str">
        <f t="shared" si="3"/>
        <v>01-2017</v>
      </c>
      <c r="AW11" s="93" t="s">
        <v>314</v>
      </c>
      <c r="AX11" s="95" t="s">
        <v>289</v>
      </c>
      <c r="AY11" s="91" t="s">
        <v>297</v>
      </c>
      <c r="BA11" s="92" t="str">
        <f t="shared" si="4"/>
        <v>31-120 Days</v>
      </c>
    </row>
    <row r="12" spans="1:93">
      <c r="B12" s="60" t="str">
        <f>[2]Trucks!A9</f>
        <v>MA6-0685</v>
      </c>
      <c r="C12" s="11" t="str">
        <f>[2]Trucks!B9</f>
        <v>CLA-15-2204X2BB-C</v>
      </c>
      <c r="D12" s="19" t="str">
        <f>IFERROR(VLOOKUP(C12&amp;"",'[2]Retail Price List'!$A$3:$B$103,2,FALSE),"Special Order")</f>
        <v>KP000589</v>
      </c>
      <c r="E12" s="18" t="str">
        <f>[2]Trucks!J9</f>
        <v>BODY</v>
      </c>
      <c r="F12" s="12">
        <f>[2]Trucks!E9</f>
        <v>92</v>
      </c>
      <c r="G12" s="56">
        <f>[2]Trucks!K9</f>
        <v>15.4</v>
      </c>
      <c r="H12" s="46">
        <f>[2]Trucks!I9</f>
        <v>42751</v>
      </c>
      <c r="I12" s="83" t="str">
        <f t="shared" si="0"/>
        <v>2017Q1</v>
      </c>
      <c r="J12" s="272">
        <f>IFERROR(VLOOKUP((D12&amp;C12)&amp;"",'[2]Retail Price List'!$C$4:$F$102,3,FALSE),"")</f>
        <v>665000</v>
      </c>
      <c r="K12" s="272">
        <f>IFERROR(IF(BA12="WIP - 30 Days",VLOOKUP(D12,[3]Standard!$B$9:$E$101,4,FALSE),IF(BA12="31-120 Days",VLOOKUP(D12,[3]Standard!$B$9:$F$101,5,FALSE),IF(BA12="121-365 Days",VLOOKUP(D12,[3]Standard!$B$9:$G$101,6,FALSE),VLOOKUP(D12,[3]Standard!$B$9:$H$101,7,FALSE)))),0)</f>
        <v>527411.5</v>
      </c>
      <c r="L12" s="272">
        <f>IFERROR(IF(BA12="WIP - 30 Days",VLOOKUP(D12,[3]Standard!$B$9:$J$101,9,FALSE),IF(BA12="31-120 Days",VLOOKUP(D12,[3]Standard!$B$9:$K$100,10,FALSE),IF(BA12="121-365 Days",VLOOKUP(D12,[3]Standard!$B$9:$L$101,11,FALSE),VLOOKUP(D12,[3]Standard!$B$9:$M$101,12,FALSE)))),0)</f>
        <v>512050</v>
      </c>
      <c r="M12" s="269">
        <f>IFERROR(VLOOKUP((D12&amp;C12)&amp;"",'[2]Retail Price List'!$C$4:$F$102,4,FALSE),"")</f>
        <v>674000</v>
      </c>
      <c r="N12" s="269">
        <f>IFERROR(IF(BA12="WIP - 30 Days",VLOOKUP(D12,[3]Extended!$B$9:$E$101,4,FALSE),IF(BA12="31-120 Days",VLOOKUP(D12,[3]Extended!$B$9:$F$101,5,FALSE),IF(BA12="121-365 Days",VLOOKUP(D12,[3]Extended!$B$9:$G$101,6,FALSE),VLOOKUP(D12,[3]Extended!$B$9:$H$101,7,FALSE)))),0)</f>
        <v>541491.6</v>
      </c>
      <c r="O12" s="269">
        <f>IFERROR(IF(BA12="WIP - 30 Days",VLOOKUP(D12,[3]Extended!$B$9:$J$101,9,FALSE),IF(BA12="31-120 Days",VLOOKUP(D12,[3]Extended!$B$9:$K$101,10,FALSE),IF(BA12="121-365 Days",VLOOKUP(D12,[3]Extended!$B$9:$L$101,11,FALSE),VLOOKUP(D12,[3]Extended!$B$9:$M$101,12,FALSE)))),0)</f>
        <v>525720</v>
      </c>
      <c r="P12" s="116">
        <f t="shared" si="1"/>
        <v>0.22</v>
      </c>
      <c r="Q12" s="110" t="e">
        <f>O12-#REF!</f>
        <v>#REF!</v>
      </c>
      <c r="S12" s="110"/>
      <c r="W12" s="311"/>
      <c r="X12" s="311"/>
      <c r="Y12" s="311"/>
      <c r="Z12" s="311"/>
      <c r="AA12" s="311"/>
      <c r="AB12" s="311"/>
      <c r="AC12" s="311"/>
      <c r="AT12" s="88" t="str">
        <f t="shared" si="2"/>
        <v>KP0005892017Q115,4</v>
      </c>
      <c r="AU12" s="89" t="str">
        <f t="shared" si="3"/>
        <v>01-2017</v>
      </c>
      <c r="AW12" s="93" t="s">
        <v>315</v>
      </c>
      <c r="AX12" s="95" t="s">
        <v>289</v>
      </c>
      <c r="AY12" s="91" t="s">
        <v>297</v>
      </c>
      <c r="BA12" s="92" t="str">
        <f t="shared" si="4"/>
        <v>31-120 Days</v>
      </c>
    </row>
    <row r="13" spans="1:93">
      <c r="B13" s="60" t="str">
        <f>[2]Trucks!A10</f>
        <v>MA6-0687</v>
      </c>
      <c r="C13" s="11" t="str">
        <f>[2]Trucks!B10</f>
        <v>CLA-15-2204X2BB-C</v>
      </c>
      <c r="D13" s="19" t="str">
        <f>IFERROR(VLOOKUP(C13&amp;"",'[2]Retail Price List'!$A$3:$B$103,2,FALSE),"Special Order")</f>
        <v>KP000589</v>
      </c>
      <c r="E13" s="18" t="str">
        <f>[2]Trucks!J10</f>
        <v>CKD</v>
      </c>
      <c r="F13" s="12" t="str">
        <f>[2]Trucks!E10</f>
        <v>2017-05-26</v>
      </c>
      <c r="G13" s="56">
        <f>[2]Trucks!K10</f>
        <v>15.4</v>
      </c>
      <c r="H13" s="46">
        <f>[2]Trucks!I10</f>
        <v>42751</v>
      </c>
      <c r="I13" s="83" t="str">
        <f t="shared" si="0"/>
        <v>2017Q1</v>
      </c>
      <c r="J13" s="272">
        <f>IFERROR(VLOOKUP((D13&amp;C13)&amp;"",'[2]Retail Price List'!$C$4:$F$102,3,FALSE),"")</f>
        <v>665000</v>
      </c>
      <c r="K13" s="272">
        <f>IFERROR(IF(BA13="WIP - 30 Days",VLOOKUP(D13,[3]Standard!$B$9:$E$101,4,FALSE),IF(BA13="31-120 Days",VLOOKUP(D13,[3]Standard!$B$9:$F$101,5,FALSE),IF(BA13="121-365 Days",VLOOKUP(D13,[3]Standard!$B$9:$G$101,6,FALSE),VLOOKUP(D13,[3]Standard!$B$9:$H$101,7,FALSE)))),0)</f>
        <v>541110.5</v>
      </c>
      <c r="L13" s="272">
        <f>IFERROR(IF(BA13="WIP - 30 Days",VLOOKUP(D13,[3]Standard!$B$9:$J$101,9,FALSE),IF(BA13="31-120 Days",VLOOKUP(D13,[3]Standard!$B$9:$K$100,10,FALSE),IF(BA13="121-365 Days",VLOOKUP(D13,[3]Standard!$B$9:$L$101,11,FALSE),VLOOKUP(D13,[3]Standard!$B$9:$M$101,12,FALSE)))),0)</f>
        <v>525350</v>
      </c>
      <c r="M13" s="269">
        <f>IFERROR(VLOOKUP((D13&amp;C13)&amp;"",'[2]Retail Price List'!$C$4:$F$102,4,FALSE),"")</f>
        <v>674000</v>
      </c>
      <c r="N13" s="269">
        <f>IFERROR(IF(BA13="WIP - 30 Days",VLOOKUP(D13,[3]Extended!$B$9:$E$101,4,FALSE),IF(BA13="31-120 Days",VLOOKUP(D13,[3]Extended!$B$9:$F$101,5,FALSE),IF(BA13="121-365 Days",VLOOKUP(D13,[3]Extended!$B$9:$G$101,6,FALSE),VLOOKUP(D13,[3]Extended!$B$9:$H$101,7,FALSE)))),0)</f>
        <v>555376</v>
      </c>
      <c r="O13" s="269">
        <f>IFERROR(IF(BA13="WIP - 30 Days",VLOOKUP(D13,[3]Extended!$B$9:$J$101,9,FALSE),IF(BA13="31-120 Days",VLOOKUP(D13,[3]Extended!$B$9:$K$101,10,FALSE),IF(BA13="121-365 Days",VLOOKUP(D13,[3]Extended!$B$9:$L$101,11,FALSE),VLOOKUP(D13,[3]Extended!$B$9:$M$101,12,FALSE)))),0)</f>
        <v>539200</v>
      </c>
      <c r="P13" s="116">
        <f t="shared" si="1"/>
        <v>0.2</v>
      </c>
      <c r="Q13" s="110" t="e">
        <f>O13-#REF!</f>
        <v>#REF!</v>
      </c>
      <c r="S13" s="110"/>
      <c r="W13" s="311"/>
      <c r="X13" s="311"/>
      <c r="Y13" s="311"/>
      <c r="Z13" s="311"/>
      <c r="AA13" s="311"/>
      <c r="AB13" s="311"/>
      <c r="AC13" s="311"/>
      <c r="AT13" s="88" t="str">
        <f t="shared" si="2"/>
        <v>KP0005892017Q115,4</v>
      </c>
      <c r="AU13" s="89" t="str">
        <f t="shared" si="3"/>
        <v>01-2017</v>
      </c>
      <c r="AW13" s="93" t="s">
        <v>316</v>
      </c>
      <c r="AX13" s="95" t="s">
        <v>289</v>
      </c>
      <c r="AY13" s="91" t="s">
        <v>297</v>
      </c>
      <c r="BA13" s="92" t="str">
        <f t="shared" si="4"/>
        <v>WIP - 30 Days</v>
      </c>
    </row>
    <row r="14" spans="1:93">
      <c r="B14" s="60" t="str">
        <f>[2]Trucks!A11</f>
        <v>MA6-4916</v>
      </c>
      <c r="C14" s="11" t="str">
        <f>[2]Trucks!B11</f>
        <v>CLA-15-2204X2BB-C</v>
      </c>
      <c r="D14" s="19" t="str">
        <f>IFERROR(VLOOKUP(C14&amp;"",'[2]Retail Price List'!$A$3:$B$103,2,FALSE),"Special Order")</f>
        <v>KP000589</v>
      </c>
      <c r="E14" s="18" t="str">
        <f>[2]Trucks!J11</f>
        <v>BODY</v>
      </c>
      <c r="F14" s="12">
        <f>[2]Trucks!E11</f>
        <v>158</v>
      </c>
      <c r="G14" s="56">
        <f>[2]Trucks!K11</f>
        <v>16</v>
      </c>
      <c r="H14" s="46">
        <f>[2]Trucks!I11</f>
        <v>42648</v>
      </c>
      <c r="I14" s="83" t="str">
        <f t="shared" si="0"/>
        <v>201610Q4</v>
      </c>
      <c r="J14" s="272">
        <f>IFERROR(VLOOKUP((D14&amp;C14)&amp;"",'[2]Retail Price List'!$C$4:$F$102,3,FALSE),"")</f>
        <v>665000</v>
      </c>
      <c r="K14" s="272">
        <f>IFERROR(IF(BA14="WIP - 30 Days",VLOOKUP(D14,[3]Standard!$B$9:$E$101,4,FALSE),IF(BA14="31-120 Days",VLOOKUP(D14,[3]Standard!$B$9:$F$101,5,FALSE),IF(BA14="121-365 Days",VLOOKUP(D14,[3]Standard!$B$9:$G$101,6,FALSE),VLOOKUP(D14,[3]Standard!$B$9:$H$101,7,FALSE)))),0)</f>
        <v>520562</v>
      </c>
      <c r="L14" s="272">
        <f>IFERROR(IF(BA14="WIP - 30 Days",VLOOKUP(D14,[3]Standard!$B$9:$J$101,9,FALSE),IF(BA14="31-120 Days",VLOOKUP(D14,[3]Standard!$B$9:$K$100,10,FALSE),IF(BA14="121-365 Days",VLOOKUP(D14,[3]Standard!$B$9:$L$101,11,FALSE),VLOOKUP(D14,[3]Standard!$B$9:$M$101,12,FALSE)))),0)</f>
        <v>505400</v>
      </c>
      <c r="M14" s="269">
        <f>IFERROR(VLOOKUP((D14&amp;C14)&amp;"",'[2]Retail Price List'!$C$4:$F$102,4,FALSE),"")</f>
        <v>674000</v>
      </c>
      <c r="N14" s="269">
        <f>IFERROR(IF(BA14="WIP - 30 Days",VLOOKUP(D14,[3]Extended!$B$9:$E$101,4,FALSE),IF(BA14="31-120 Days",VLOOKUP(D14,[3]Extended!$B$9:$F$101,5,FALSE),IF(BA14="121-365 Days",VLOOKUP(D14,[3]Extended!$B$9:$G$101,6,FALSE),VLOOKUP(D14,[3]Extended!$B$9:$H$101,7,FALSE)))),0)</f>
        <v>534549.4</v>
      </c>
      <c r="O14" s="269">
        <f>IFERROR(IF(BA14="WIP - 30 Days",VLOOKUP(D14,[3]Extended!$B$9:$J$101,9,FALSE),IF(BA14="31-120 Days",VLOOKUP(D14,[3]Extended!$B$9:$K$101,10,FALSE),IF(BA14="121-365 Days",VLOOKUP(D14,[3]Extended!$B$9:$L$101,11,FALSE),VLOOKUP(D14,[3]Extended!$B$9:$M$101,12,FALSE)))),0)</f>
        <v>518980</v>
      </c>
      <c r="P14" s="116">
        <f t="shared" si="1"/>
        <v>0.23</v>
      </c>
      <c r="Q14" s="110" t="e">
        <f>O14-#REF!</f>
        <v>#REF!</v>
      </c>
      <c r="S14" s="110"/>
      <c r="W14" s="311"/>
      <c r="X14" s="311"/>
      <c r="Y14" s="311"/>
      <c r="Z14" s="311"/>
      <c r="AA14" s="311"/>
      <c r="AB14" s="311"/>
      <c r="AC14" s="311"/>
      <c r="AT14" s="88" t="str">
        <f t="shared" si="2"/>
        <v>KP000589201610Q416</v>
      </c>
      <c r="AU14" s="89" t="str">
        <f t="shared" si="3"/>
        <v>10-2016</v>
      </c>
      <c r="AW14" s="90" t="s">
        <v>294</v>
      </c>
      <c r="AX14" s="95" t="s">
        <v>290</v>
      </c>
      <c r="AY14" s="91" t="s">
        <v>489</v>
      </c>
      <c r="BA14" s="92" t="str">
        <f t="shared" si="4"/>
        <v>121-365 Days</v>
      </c>
    </row>
    <row r="15" spans="1:93">
      <c r="B15" s="60" t="str">
        <f>[2]Trucks!A12</f>
        <v>MA6-4954</v>
      </c>
      <c r="C15" s="11" t="str">
        <f>[2]Trucks!B12</f>
        <v>CLA-15-2204X2BB-C</v>
      </c>
      <c r="D15" s="19" t="str">
        <f>IFERROR(VLOOKUP(C15&amp;"",'[2]Retail Price List'!$A$3:$B$103,2,FALSE),"Special Order")</f>
        <v>KP000589</v>
      </c>
      <c r="E15" s="18" t="str">
        <f>[2]Trucks!J12</f>
        <v>UNSOLD</v>
      </c>
      <c r="F15" s="12">
        <f>[2]Trucks!E12</f>
        <v>116</v>
      </c>
      <c r="G15" s="56">
        <f>[2]Trucks!K12</f>
        <v>16</v>
      </c>
      <c r="H15" s="46">
        <f>[2]Trucks!I12</f>
        <v>42667</v>
      </c>
      <c r="I15" s="83" t="str">
        <f t="shared" si="0"/>
        <v>201610Q4</v>
      </c>
      <c r="J15" s="272">
        <f>IFERROR(VLOOKUP((D15&amp;C15)&amp;"",'[2]Retail Price List'!$C$4:$F$102,3,FALSE),"")</f>
        <v>665000</v>
      </c>
      <c r="K15" s="272">
        <f>IFERROR(IF(BA15="WIP - 30 Days",VLOOKUP(D15,[3]Standard!$B$9:$E$101,4,FALSE),IF(BA15="31-120 Days",VLOOKUP(D15,[3]Standard!$B$9:$F$101,5,FALSE),IF(BA15="121-365 Days",VLOOKUP(D15,[3]Standard!$B$9:$G$101,6,FALSE),VLOOKUP(D15,[3]Standard!$B$9:$H$101,7,FALSE)))),0)</f>
        <v>527411.5</v>
      </c>
      <c r="L15" s="272">
        <f>IFERROR(IF(BA15="WIP - 30 Days",VLOOKUP(D15,[3]Standard!$B$9:$J$101,9,FALSE),IF(BA15="31-120 Days",VLOOKUP(D15,[3]Standard!$B$9:$K$100,10,FALSE),IF(BA15="121-365 Days",VLOOKUP(D15,[3]Standard!$B$9:$L$101,11,FALSE),VLOOKUP(D15,[3]Standard!$B$9:$M$101,12,FALSE)))),0)</f>
        <v>512050</v>
      </c>
      <c r="M15" s="269">
        <f>IFERROR(VLOOKUP((D15&amp;C15)&amp;"",'[2]Retail Price List'!$C$4:$F$102,4,FALSE),"")</f>
        <v>674000</v>
      </c>
      <c r="N15" s="269">
        <f>IFERROR(IF(BA15="WIP - 30 Days",VLOOKUP(D15,[3]Extended!$B$9:$E$101,4,FALSE),IF(BA15="31-120 Days",VLOOKUP(D15,[3]Extended!$B$9:$F$101,5,FALSE),IF(BA15="121-365 Days",VLOOKUP(D15,[3]Extended!$B$9:$G$101,6,FALSE),VLOOKUP(D15,[3]Extended!$B$9:$H$101,7,FALSE)))),0)</f>
        <v>541491.6</v>
      </c>
      <c r="O15" s="269">
        <f>IFERROR(IF(BA15="WIP - 30 Days",VLOOKUP(D15,[3]Extended!$B$9:$J$101,9,FALSE),IF(BA15="31-120 Days",VLOOKUP(D15,[3]Extended!$B$9:$K$101,10,FALSE),IF(BA15="121-365 Days",VLOOKUP(D15,[3]Extended!$B$9:$L$101,11,FALSE),VLOOKUP(D15,[3]Extended!$B$9:$M$101,12,FALSE)))),0)</f>
        <v>525720</v>
      </c>
      <c r="P15" s="116">
        <f t="shared" si="1"/>
        <v>0.22</v>
      </c>
      <c r="Q15" s="110" t="e">
        <f>O15-#REF!</f>
        <v>#REF!</v>
      </c>
      <c r="S15" s="110"/>
      <c r="W15" s="311"/>
      <c r="X15" s="311"/>
      <c r="Y15" s="311"/>
      <c r="Z15" s="311"/>
      <c r="AA15" s="311"/>
      <c r="AB15" s="311"/>
      <c r="AC15" s="311"/>
      <c r="AT15" s="88" t="str">
        <f t="shared" si="2"/>
        <v>KP000589201610Q416</v>
      </c>
      <c r="AU15" s="89" t="str">
        <f t="shared" si="3"/>
        <v>10-2016</v>
      </c>
      <c r="AW15" s="93" t="s">
        <v>317</v>
      </c>
      <c r="AX15" s="95" t="s">
        <v>290</v>
      </c>
      <c r="AY15" s="91" t="s">
        <v>298</v>
      </c>
      <c r="BA15" s="92" t="str">
        <f t="shared" si="4"/>
        <v>31-120 Days</v>
      </c>
    </row>
    <row r="16" spans="1:93">
      <c r="B16" s="60" t="str">
        <f>[2]Trucks!A13</f>
        <v>MA6-4956</v>
      </c>
      <c r="C16" s="11" t="str">
        <f>[2]Trucks!B13</f>
        <v>CLA-15-2204X2BB-C</v>
      </c>
      <c r="D16" s="19" t="str">
        <f>IFERROR(VLOOKUP(C16&amp;"",'[2]Retail Price List'!$A$3:$B$103,2,FALSE),"Special Order")</f>
        <v>KP000589</v>
      </c>
      <c r="E16" s="18" t="str">
        <f>[2]Trucks!J13</f>
        <v>UNSOLD</v>
      </c>
      <c r="F16" s="12">
        <f>[2]Trucks!E13</f>
        <v>115</v>
      </c>
      <c r="G16" s="56">
        <f>[2]Trucks!K13</f>
        <v>16</v>
      </c>
      <c r="H16" s="46">
        <f>[2]Trucks!I13</f>
        <v>42667</v>
      </c>
      <c r="I16" s="83" t="str">
        <f t="shared" si="0"/>
        <v>201610Q4</v>
      </c>
      <c r="J16" s="272">
        <f>IFERROR(VLOOKUP((D16&amp;C16)&amp;"",'[2]Retail Price List'!$C$4:$F$102,3,FALSE),"")</f>
        <v>665000</v>
      </c>
      <c r="K16" s="272">
        <f>IFERROR(IF(BA16="WIP - 30 Days",VLOOKUP(D16,[3]Standard!$B$9:$E$101,4,FALSE),IF(BA16="31-120 Days",VLOOKUP(D16,[3]Standard!$B$9:$F$101,5,FALSE),IF(BA16="121-365 Days",VLOOKUP(D16,[3]Standard!$B$9:$G$101,6,FALSE),VLOOKUP(D16,[3]Standard!$B$9:$H$101,7,FALSE)))),0)</f>
        <v>527411.5</v>
      </c>
      <c r="L16" s="272">
        <f>IFERROR(IF(BA16="WIP - 30 Days",VLOOKUP(D16,[3]Standard!$B$9:$J$101,9,FALSE),IF(BA16="31-120 Days",VLOOKUP(D16,[3]Standard!$B$9:$K$100,10,FALSE),IF(BA16="121-365 Days",VLOOKUP(D16,[3]Standard!$B$9:$L$101,11,FALSE),VLOOKUP(D16,[3]Standard!$B$9:$M$101,12,FALSE)))),0)</f>
        <v>512050</v>
      </c>
      <c r="M16" s="269">
        <f>IFERROR(VLOOKUP((D16&amp;C16)&amp;"",'[2]Retail Price List'!$C$4:$F$102,4,FALSE),"")</f>
        <v>674000</v>
      </c>
      <c r="N16" s="269">
        <f>IFERROR(IF(BA16="WIP - 30 Days",VLOOKUP(D16,[3]Extended!$B$9:$E$101,4,FALSE),IF(BA16="31-120 Days",VLOOKUP(D16,[3]Extended!$B$9:$F$101,5,FALSE),IF(BA16="121-365 Days",VLOOKUP(D16,[3]Extended!$B$9:$G$101,6,FALSE),VLOOKUP(D16,[3]Extended!$B$9:$H$101,7,FALSE)))),0)</f>
        <v>541491.6</v>
      </c>
      <c r="O16" s="269">
        <f>IFERROR(IF(BA16="WIP - 30 Days",VLOOKUP(D16,[3]Extended!$B$9:$J$101,9,FALSE),IF(BA16="31-120 Days",VLOOKUP(D16,[3]Extended!$B$9:$K$101,10,FALSE),IF(BA16="121-365 Days",VLOOKUP(D16,[3]Extended!$B$9:$L$101,11,FALSE),VLOOKUP(D16,[3]Extended!$B$9:$M$101,12,FALSE)))),0)</f>
        <v>525720</v>
      </c>
      <c r="P16" s="116">
        <f t="shared" si="1"/>
        <v>0.22</v>
      </c>
      <c r="Q16" s="110" t="e">
        <f>O16-#REF!</f>
        <v>#REF!</v>
      </c>
      <c r="W16" s="311"/>
      <c r="X16" s="311"/>
      <c r="Y16" s="311"/>
      <c r="Z16" s="311"/>
      <c r="AA16" s="311"/>
      <c r="AB16" s="311"/>
      <c r="AC16" s="311"/>
      <c r="AT16" s="88" t="str">
        <f t="shared" si="2"/>
        <v>KP000589201610Q416</v>
      </c>
      <c r="AU16" s="89" t="str">
        <f t="shared" si="3"/>
        <v>10-2016</v>
      </c>
      <c r="AW16" s="93" t="s">
        <v>318</v>
      </c>
      <c r="AX16" s="95" t="s">
        <v>290</v>
      </c>
      <c r="AY16" s="91" t="s">
        <v>298</v>
      </c>
      <c r="BA16" s="92" t="str">
        <f t="shared" si="4"/>
        <v>31-120 Days</v>
      </c>
    </row>
    <row r="17" spans="2:53">
      <c r="B17" s="60" t="str">
        <f>[2]Trucks!A14</f>
        <v>MA6-4957</v>
      </c>
      <c r="C17" s="11" t="str">
        <f>[2]Trucks!B14</f>
        <v>CLA-15-2204X2BB-C</v>
      </c>
      <c r="D17" s="19" t="str">
        <f>IFERROR(VLOOKUP(C17&amp;"",'[2]Retail Price List'!$A$3:$B$103,2,FALSE),"Special Order")</f>
        <v>KP000589</v>
      </c>
      <c r="E17" s="18" t="str">
        <f>[2]Trucks!J14</f>
        <v>UNSOLD</v>
      </c>
      <c r="F17" s="12">
        <f>[2]Trucks!E14</f>
        <v>116</v>
      </c>
      <c r="G17" s="56">
        <f>[2]Trucks!K14</f>
        <v>16</v>
      </c>
      <c r="H17" s="46">
        <f>[2]Trucks!I14</f>
        <v>42667</v>
      </c>
      <c r="I17" s="83" t="str">
        <f t="shared" si="0"/>
        <v>201610Q4</v>
      </c>
      <c r="J17" s="272">
        <f>IFERROR(VLOOKUP((D17&amp;C17)&amp;"",'[2]Retail Price List'!$C$4:$F$102,3,FALSE),"")</f>
        <v>665000</v>
      </c>
      <c r="K17" s="272">
        <f>IFERROR(IF(BA17="WIP - 30 Days",VLOOKUP(D17,[3]Standard!$B$9:$E$101,4,FALSE),IF(BA17="31-120 Days",VLOOKUP(D17,[3]Standard!$B$9:$F$101,5,FALSE),IF(BA17="121-365 Days",VLOOKUP(D17,[3]Standard!$B$9:$G$101,6,FALSE),VLOOKUP(D17,[3]Standard!$B$9:$H$101,7,FALSE)))),0)</f>
        <v>527411.5</v>
      </c>
      <c r="L17" s="272">
        <f>IFERROR(IF(BA17="WIP - 30 Days",VLOOKUP(D17,[3]Standard!$B$9:$J$101,9,FALSE),IF(BA17="31-120 Days",VLOOKUP(D17,[3]Standard!$B$9:$K$100,10,FALSE),IF(BA17="121-365 Days",VLOOKUP(D17,[3]Standard!$B$9:$L$101,11,FALSE),VLOOKUP(D17,[3]Standard!$B$9:$M$101,12,FALSE)))),0)</f>
        <v>512050</v>
      </c>
      <c r="M17" s="269">
        <f>IFERROR(VLOOKUP((D17&amp;C17)&amp;"",'[2]Retail Price List'!$C$4:$F$102,4,FALSE),"")</f>
        <v>674000</v>
      </c>
      <c r="N17" s="269">
        <f>IFERROR(IF(BA17="WIP - 30 Days",VLOOKUP(D17,[3]Extended!$B$9:$E$101,4,FALSE),IF(BA17="31-120 Days",VLOOKUP(D17,[3]Extended!$B$9:$F$101,5,FALSE),IF(BA17="121-365 Days",VLOOKUP(D17,[3]Extended!$B$9:$G$101,6,FALSE),VLOOKUP(D17,[3]Extended!$B$9:$H$101,7,FALSE)))),0)</f>
        <v>541491.6</v>
      </c>
      <c r="O17" s="269">
        <f>IFERROR(IF(BA17="WIP - 30 Days",VLOOKUP(D17,[3]Extended!$B$9:$J$101,9,FALSE),IF(BA17="31-120 Days",VLOOKUP(D17,[3]Extended!$B$9:$K$101,10,FALSE),IF(BA17="121-365 Days",VLOOKUP(D17,[3]Extended!$B$9:$L$101,11,FALSE),VLOOKUP(D17,[3]Extended!$B$9:$M$101,12,FALSE)))),0)</f>
        <v>525720</v>
      </c>
      <c r="P17" s="116">
        <f t="shared" si="1"/>
        <v>0.22</v>
      </c>
      <c r="Q17" s="110" t="e">
        <f>O17-#REF!</f>
        <v>#REF!</v>
      </c>
      <c r="W17" s="311"/>
      <c r="X17" s="311"/>
      <c r="Y17" s="311"/>
      <c r="Z17" s="311"/>
      <c r="AA17" s="311"/>
      <c r="AB17" s="311"/>
      <c r="AC17" s="311"/>
      <c r="AT17" s="88" t="str">
        <f t="shared" si="2"/>
        <v>KP000589201610Q416</v>
      </c>
      <c r="AU17" s="89" t="str">
        <f t="shared" si="3"/>
        <v>10-2016</v>
      </c>
      <c r="AW17" s="93" t="s">
        <v>309</v>
      </c>
      <c r="AX17" s="91" t="s">
        <v>287</v>
      </c>
      <c r="AY17" s="91" t="s">
        <v>299</v>
      </c>
      <c r="BA17" s="92" t="str">
        <f t="shared" si="4"/>
        <v>31-120 Days</v>
      </c>
    </row>
    <row r="18" spans="2:53">
      <c r="B18" s="60" t="str">
        <f>[2]Trucks!A15</f>
        <v>MA6-4960</v>
      </c>
      <c r="C18" s="11" t="str">
        <f>[2]Trucks!B15</f>
        <v>CLA-15-2204X2BB-C</v>
      </c>
      <c r="D18" s="19" t="str">
        <f>IFERROR(VLOOKUP(C18&amp;"",'[2]Retail Price List'!$A$3:$B$103,2,FALSE),"Special Order")</f>
        <v>KP000589</v>
      </c>
      <c r="E18" s="18" t="str">
        <f>[2]Trucks!J15</f>
        <v>UNSOLD</v>
      </c>
      <c r="F18" s="12">
        <f>[2]Trucks!E15</f>
        <v>115</v>
      </c>
      <c r="G18" s="56">
        <f>[2]Trucks!K15</f>
        <v>16</v>
      </c>
      <c r="H18" s="46">
        <f>[2]Trucks!I15</f>
        <v>42667</v>
      </c>
      <c r="I18" s="83" t="str">
        <f t="shared" si="0"/>
        <v>201610Q4</v>
      </c>
      <c r="J18" s="272">
        <f>IFERROR(VLOOKUP((D18&amp;C18)&amp;"",'[2]Retail Price List'!$C$4:$F$102,3,FALSE),"")</f>
        <v>665000</v>
      </c>
      <c r="K18" s="272">
        <f>IFERROR(IF(BA18="WIP - 30 Days",VLOOKUP(D18,[3]Standard!$B$9:$E$101,4,FALSE),IF(BA18="31-120 Days",VLOOKUP(D18,[3]Standard!$B$9:$F$101,5,FALSE),IF(BA18="121-365 Days",VLOOKUP(D18,[3]Standard!$B$9:$G$101,6,FALSE),VLOOKUP(D18,[3]Standard!$B$9:$H$101,7,FALSE)))),0)</f>
        <v>527411.5</v>
      </c>
      <c r="L18" s="272">
        <f>IFERROR(IF(BA18="WIP - 30 Days",VLOOKUP(D18,[3]Standard!$B$9:$J$101,9,FALSE),IF(BA18="31-120 Days",VLOOKUP(D18,[3]Standard!$B$9:$K$100,10,FALSE),IF(BA18="121-365 Days",VLOOKUP(D18,[3]Standard!$B$9:$L$101,11,FALSE),VLOOKUP(D18,[3]Standard!$B$9:$M$101,12,FALSE)))),0)</f>
        <v>512050</v>
      </c>
      <c r="M18" s="269">
        <f>IFERROR(VLOOKUP((D18&amp;C18)&amp;"",'[2]Retail Price List'!$C$4:$F$102,4,FALSE),"")</f>
        <v>674000</v>
      </c>
      <c r="N18" s="269">
        <f>IFERROR(IF(BA18="WIP - 30 Days",VLOOKUP(D18,[3]Extended!$B$9:$E$101,4,FALSE),IF(BA18="31-120 Days",VLOOKUP(D18,[3]Extended!$B$9:$F$101,5,FALSE),IF(BA18="121-365 Days",VLOOKUP(D18,[3]Extended!$B$9:$G$101,6,FALSE),VLOOKUP(D18,[3]Extended!$B$9:$H$101,7,FALSE)))),0)</f>
        <v>541491.6</v>
      </c>
      <c r="O18" s="269">
        <f>IFERROR(IF(BA18="WIP - 30 Days",VLOOKUP(D18,[3]Extended!$B$9:$J$101,9,FALSE),IF(BA18="31-120 Days",VLOOKUP(D18,[3]Extended!$B$9:$K$101,10,FALSE),IF(BA18="121-365 Days",VLOOKUP(D18,[3]Extended!$B$9:$L$101,11,FALSE),VLOOKUP(D18,[3]Extended!$B$9:$M$101,12,FALSE)))),0)</f>
        <v>525720</v>
      </c>
      <c r="P18" s="116">
        <f t="shared" si="1"/>
        <v>0.22</v>
      </c>
      <c r="Q18" s="110" t="e">
        <f>O18-#REF!</f>
        <v>#REF!</v>
      </c>
      <c r="W18" s="311"/>
      <c r="X18" s="311"/>
      <c r="Y18" s="311"/>
      <c r="Z18" s="311"/>
      <c r="AA18" s="311"/>
      <c r="AB18" s="311"/>
      <c r="AC18" s="311"/>
      <c r="AT18" s="88" t="str">
        <f t="shared" si="2"/>
        <v>KP000589201610Q416</v>
      </c>
      <c r="AU18" s="89" t="str">
        <f t="shared" si="3"/>
        <v>10-2016</v>
      </c>
      <c r="AW18" s="93" t="s">
        <v>319</v>
      </c>
      <c r="AX18" s="91" t="s">
        <v>287</v>
      </c>
      <c r="AY18" s="91" t="s">
        <v>299</v>
      </c>
      <c r="BA18" s="92" t="str">
        <f t="shared" si="4"/>
        <v>31-120 Days</v>
      </c>
    </row>
    <row r="19" spans="2:53">
      <c r="B19" s="60" t="str">
        <f>[2]Trucks!A16</f>
        <v>MA6-4962</v>
      </c>
      <c r="C19" s="11" t="str">
        <f>[2]Trucks!B16</f>
        <v>CLA-15-2204X2BB-C</v>
      </c>
      <c r="D19" s="19" t="str">
        <f>IFERROR(VLOOKUP(C19&amp;"",'[2]Retail Price List'!$A$3:$B$103,2,FALSE),"Special Order")</f>
        <v>KP000589</v>
      </c>
      <c r="E19" s="18" t="str">
        <f>[2]Trucks!J16</f>
        <v>UNSOLD</v>
      </c>
      <c r="F19" s="12">
        <f>[2]Trucks!E16</f>
        <v>116</v>
      </c>
      <c r="G19" s="56">
        <f>[2]Trucks!K16</f>
        <v>16</v>
      </c>
      <c r="H19" s="46">
        <f>[2]Trucks!I16</f>
        <v>42667</v>
      </c>
      <c r="I19" s="83" t="str">
        <f t="shared" si="0"/>
        <v>201610Q4</v>
      </c>
      <c r="J19" s="272">
        <f>IFERROR(VLOOKUP((D19&amp;C19)&amp;"",'[2]Retail Price List'!$C$4:$F$102,3,FALSE),"")</f>
        <v>665000</v>
      </c>
      <c r="K19" s="272">
        <f>IFERROR(IF(BA19="WIP - 30 Days",VLOOKUP(D19,[3]Standard!$B$9:$E$101,4,FALSE),IF(BA19="31-120 Days",VLOOKUP(D19,[3]Standard!$B$9:$F$101,5,FALSE),IF(BA19="121-365 Days",VLOOKUP(D19,[3]Standard!$B$9:$G$101,6,FALSE),VLOOKUP(D19,[3]Standard!$B$9:$H$101,7,FALSE)))),0)</f>
        <v>527411.5</v>
      </c>
      <c r="L19" s="272">
        <f>IFERROR(IF(BA19="WIP - 30 Days",VLOOKUP(D19,[3]Standard!$B$9:$J$101,9,FALSE),IF(BA19="31-120 Days",VLOOKUP(D19,[3]Standard!$B$9:$K$100,10,FALSE),IF(BA19="121-365 Days",VLOOKUP(D19,[3]Standard!$B$9:$L$101,11,FALSE),VLOOKUP(D19,[3]Standard!$B$9:$M$101,12,FALSE)))),0)</f>
        <v>512050</v>
      </c>
      <c r="M19" s="269">
        <f>IFERROR(VLOOKUP((D19&amp;C19)&amp;"",'[2]Retail Price List'!$C$4:$F$102,4,FALSE),"")</f>
        <v>674000</v>
      </c>
      <c r="N19" s="269">
        <f>IFERROR(IF(BA19="WIP - 30 Days",VLOOKUP(D19,[3]Extended!$B$9:$E$101,4,FALSE),IF(BA19="31-120 Days",VLOOKUP(D19,[3]Extended!$B$9:$F$101,5,FALSE),IF(BA19="121-365 Days",VLOOKUP(D19,[3]Extended!$B$9:$G$101,6,FALSE),VLOOKUP(D19,[3]Extended!$B$9:$H$101,7,FALSE)))),0)</f>
        <v>541491.6</v>
      </c>
      <c r="O19" s="269">
        <f>IFERROR(IF(BA19="WIP - 30 Days",VLOOKUP(D19,[3]Extended!$B$9:$J$101,9,FALSE),IF(BA19="31-120 Days",VLOOKUP(D19,[3]Extended!$B$9:$K$101,10,FALSE),IF(BA19="121-365 Days",VLOOKUP(D19,[3]Extended!$B$9:$L$101,11,FALSE),VLOOKUP(D19,[3]Extended!$B$9:$M$101,12,FALSE)))),0)</f>
        <v>525720</v>
      </c>
      <c r="P19" s="116">
        <f t="shared" si="1"/>
        <v>0.22</v>
      </c>
      <c r="Q19" s="110" t="e">
        <f>O19-#REF!</f>
        <v>#REF!</v>
      </c>
      <c r="W19" s="311"/>
      <c r="X19" s="311"/>
      <c r="Y19" s="311"/>
      <c r="Z19" s="311"/>
      <c r="AA19" s="311"/>
      <c r="AB19" s="311"/>
      <c r="AC19" s="311"/>
      <c r="AT19" s="88" t="str">
        <f t="shared" si="2"/>
        <v>KP000589201610Q416</v>
      </c>
      <c r="AU19" s="89" t="str">
        <f t="shared" si="3"/>
        <v>10-2016</v>
      </c>
      <c r="AW19" s="93" t="s">
        <v>320</v>
      </c>
      <c r="AX19" s="95" t="s">
        <v>287</v>
      </c>
      <c r="AY19" s="91" t="s">
        <v>299</v>
      </c>
      <c r="BA19" s="92" t="str">
        <f t="shared" si="4"/>
        <v>31-120 Days</v>
      </c>
    </row>
    <row r="20" spans="2:53">
      <c r="B20" s="60" t="str">
        <f>[2]Trucks!A17</f>
        <v>MA6-4964</v>
      </c>
      <c r="C20" s="11" t="str">
        <f>[2]Trucks!B17</f>
        <v>CLA-15-2204X2BB-C</v>
      </c>
      <c r="D20" s="19" t="str">
        <f>IFERROR(VLOOKUP(C20&amp;"",'[2]Retail Price List'!$A$3:$B$103,2,FALSE),"Special Order")</f>
        <v>KP000589</v>
      </c>
      <c r="E20" s="18" t="str">
        <f>[2]Trucks!J17</f>
        <v>UNSOLD</v>
      </c>
      <c r="F20" s="12">
        <f>[2]Trucks!E17</f>
        <v>116</v>
      </c>
      <c r="G20" s="56">
        <f>[2]Trucks!K17</f>
        <v>16</v>
      </c>
      <c r="H20" s="46">
        <f>[2]Trucks!I17</f>
        <v>42667</v>
      </c>
      <c r="I20" s="83" t="str">
        <f t="shared" si="0"/>
        <v>201610Q4</v>
      </c>
      <c r="J20" s="272">
        <f>IFERROR(VLOOKUP((D20&amp;C20)&amp;"",'[2]Retail Price List'!$C$4:$F$102,3,FALSE),"")</f>
        <v>665000</v>
      </c>
      <c r="K20" s="272">
        <f>IFERROR(IF(BA20="WIP - 30 Days",VLOOKUP(D20,[3]Standard!$B$9:$E$101,4,FALSE),IF(BA20="31-120 Days",VLOOKUP(D20,[3]Standard!$B$9:$F$101,5,FALSE),IF(BA20="121-365 Days",VLOOKUP(D20,[3]Standard!$B$9:$G$101,6,FALSE),VLOOKUP(D20,[3]Standard!$B$9:$H$101,7,FALSE)))),0)</f>
        <v>527411.5</v>
      </c>
      <c r="L20" s="272">
        <f>IFERROR(IF(BA20="WIP - 30 Days",VLOOKUP(D20,[3]Standard!$B$9:$J$101,9,FALSE),IF(BA20="31-120 Days",VLOOKUP(D20,[3]Standard!$B$9:$K$100,10,FALSE),IF(BA20="121-365 Days",VLOOKUP(D20,[3]Standard!$B$9:$L$101,11,FALSE),VLOOKUP(D20,[3]Standard!$B$9:$M$101,12,FALSE)))),0)</f>
        <v>512050</v>
      </c>
      <c r="M20" s="269">
        <f>IFERROR(VLOOKUP((D20&amp;C20)&amp;"",'[2]Retail Price List'!$C$4:$F$102,4,FALSE),"")</f>
        <v>674000</v>
      </c>
      <c r="N20" s="269">
        <f>IFERROR(IF(BA20="WIP - 30 Days",VLOOKUP(D20,[3]Extended!$B$9:$E$101,4,FALSE),IF(BA20="31-120 Days",VLOOKUP(D20,[3]Extended!$B$9:$F$101,5,FALSE),IF(BA20="121-365 Days",VLOOKUP(D20,[3]Extended!$B$9:$G$101,6,FALSE),VLOOKUP(D20,[3]Extended!$B$9:$H$101,7,FALSE)))),0)</f>
        <v>541491.6</v>
      </c>
      <c r="O20" s="269">
        <f>IFERROR(IF(BA20="WIP - 30 Days",VLOOKUP(D20,[3]Extended!$B$9:$J$101,9,FALSE),IF(BA20="31-120 Days",VLOOKUP(D20,[3]Extended!$B$9:$K$101,10,FALSE),IF(BA20="121-365 Days",VLOOKUP(D20,[3]Extended!$B$9:$L$101,11,FALSE),VLOOKUP(D20,[3]Extended!$B$9:$M$101,12,FALSE)))),0)</f>
        <v>525720</v>
      </c>
      <c r="P20" s="116">
        <f t="shared" si="1"/>
        <v>0.22</v>
      </c>
      <c r="Q20" s="110" t="e">
        <f>O20-#REF!</f>
        <v>#REF!</v>
      </c>
      <c r="W20" s="311"/>
      <c r="X20" s="311"/>
      <c r="Y20" s="311"/>
      <c r="Z20" s="311"/>
      <c r="AA20" s="311"/>
      <c r="AB20" s="311"/>
      <c r="AC20" s="311"/>
      <c r="AT20" s="88" t="str">
        <f t="shared" si="2"/>
        <v>KP000589201610Q416</v>
      </c>
      <c r="AU20" s="89" t="str">
        <f t="shared" si="3"/>
        <v>10-2016</v>
      </c>
      <c r="AW20" s="93" t="s">
        <v>321</v>
      </c>
      <c r="AX20" s="95" t="s">
        <v>288</v>
      </c>
      <c r="AY20" s="91" t="s">
        <v>300</v>
      </c>
      <c r="BA20" s="92" t="str">
        <f t="shared" si="4"/>
        <v>31-120 Days</v>
      </c>
    </row>
    <row r="21" spans="2:53">
      <c r="B21" s="60" t="str">
        <f>[2]Trucks!A18</f>
        <v>MA6-4966</v>
      </c>
      <c r="C21" s="11" t="str">
        <f>[2]Trucks!B18</f>
        <v>CLA-15-2204X2BB-C</v>
      </c>
      <c r="D21" s="19" t="str">
        <f>IFERROR(VLOOKUP(C21&amp;"",'[2]Retail Price List'!$A$3:$B$103,2,FALSE),"Special Order")</f>
        <v>KP000589</v>
      </c>
      <c r="E21" s="18" t="str">
        <f>[2]Trucks!J18</f>
        <v>UNSOLD</v>
      </c>
      <c r="F21" s="12">
        <f>[2]Trucks!E18</f>
        <v>116</v>
      </c>
      <c r="G21" s="56">
        <f>[2]Trucks!K18</f>
        <v>16</v>
      </c>
      <c r="H21" s="46">
        <f>[2]Trucks!I18</f>
        <v>42667</v>
      </c>
      <c r="I21" s="83" t="str">
        <f t="shared" si="0"/>
        <v>201610Q4</v>
      </c>
      <c r="J21" s="272">
        <f>IFERROR(VLOOKUP((D21&amp;C21)&amp;"",'[2]Retail Price List'!$C$4:$F$102,3,FALSE),"")</f>
        <v>665000</v>
      </c>
      <c r="K21" s="272">
        <f>IFERROR(IF(BA21="WIP - 30 Days",VLOOKUP(D21,[3]Standard!$B$9:$E$101,4,FALSE),IF(BA21="31-120 Days",VLOOKUP(D21,[3]Standard!$B$9:$F$101,5,FALSE),IF(BA21="121-365 Days",VLOOKUP(D21,[3]Standard!$B$9:$G$101,6,FALSE),VLOOKUP(D21,[3]Standard!$B$9:$H$101,7,FALSE)))),0)</f>
        <v>527411.5</v>
      </c>
      <c r="L21" s="272">
        <f>IFERROR(IF(BA21="WIP - 30 Days",VLOOKUP(D21,[3]Standard!$B$9:$J$101,9,FALSE),IF(BA21="31-120 Days",VLOOKUP(D21,[3]Standard!$B$9:$K$100,10,FALSE),IF(BA21="121-365 Days",VLOOKUP(D21,[3]Standard!$B$9:$L$101,11,FALSE),VLOOKUP(D21,[3]Standard!$B$9:$M$101,12,FALSE)))),0)</f>
        <v>512050</v>
      </c>
      <c r="M21" s="269">
        <f>IFERROR(VLOOKUP((D21&amp;C21)&amp;"",'[2]Retail Price List'!$C$4:$F$102,4,FALSE),"")</f>
        <v>674000</v>
      </c>
      <c r="N21" s="269">
        <f>IFERROR(IF(BA21="WIP - 30 Days",VLOOKUP(D21,[3]Extended!$B$9:$E$101,4,FALSE),IF(BA21="31-120 Days",VLOOKUP(D21,[3]Extended!$B$9:$F$101,5,FALSE),IF(BA21="121-365 Days",VLOOKUP(D21,[3]Extended!$B$9:$G$101,6,FALSE),VLOOKUP(D21,[3]Extended!$B$9:$H$101,7,FALSE)))),0)</f>
        <v>541491.6</v>
      </c>
      <c r="O21" s="269">
        <f>IFERROR(IF(BA21="WIP - 30 Days",VLOOKUP(D21,[3]Extended!$B$9:$J$101,9,FALSE),IF(BA21="31-120 Days",VLOOKUP(D21,[3]Extended!$B$9:$K$101,10,FALSE),IF(BA21="121-365 Days",VLOOKUP(D21,[3]Extended!$B$9:$L$101,11,FALSE),VLOOKUP(D21,[3]Extended!$B$9:$M$101,12,FALSE)))),0)</f>
        <v>525720</v>
      </c>
      <c r="P21" s="116">
        <f t="shared" si="1"/>
        <v>0.22</v>
      </c>
      <c r="Q21" s="110" t="e">
        <f>O21-#REF!</f>
        <v>#REF!</v>
      </c>
      <c r="W21" s="311"/>
      <c r="X21" s="311"/>
      <c r="Y21" s="311"/>
      <c r="Z21" s="311"/>
      <c r="AA21" s="311"/>
      <c r="AB21" s="311"/>
      <c r="AC21" s="311"/>
      <c r="AT21" s="88" t="str">
        <f t="shared" si="2"/>
        <v>KP000589201610Q416</v>
      </c>
      <c r="AU21" s="89" t="str">
        <f t="shared" si="3"/>
        <v>10-2016</v>
      </c>
      <c r="AW21" s="93" t="s">
        <v>322</v>
      </c>
      <c r="AX21" s="95" t="s">
        <v>288</v>
      </c>
      <c r="AY21" s="91" t="s">
        <v>300</v>
      </c>
      <c r="BA21" s="92" t="str">
        <f t="shared" si="4"/>
        <v>31-120 Days</v>
      </c>
    </row>
    <row r="22" spans="2:53">
      <c r="B22" s="60" t="str">
        <f>[2]Trucks!A19</f>
        <v>MA6-4967</v>
      </c>
      <c r="C22" s="11" t="str">
        <f>[2]Trucks!B19</f>
        <v>CLA-15-2204X2BB-C</v>
      </c>
      <c r="D22" s="19" t="str">
        <f>IFERROR(VLOOKUP(C22&amp;"",'[2]Retail Price List'!$A$3:$B$103,2,FALSE),"Special Order")</f>
        <v>KP000589</v>
      </c>
      <c r="E22" s="18" t="str">
        <f>[2]Trucks!J19</f>
        <v>BODY</v>
      </c>
      <c r="F22" s="12">
        <f>[2]Trucks!E19</f>
        <v>127</v>
      </c>
      <c r="G22" s="56">
        <f>[2]Trucks!K19</f>
        <v>16</v>
      </c>
      <c r="H22" s="46">
        <f>[2]Trucks!I19</f>
        <v>42667</v>
      </c>
      <c r="I22" s="83" t="str">
        <f t="shared" si="0"/>
        <v>201610Q4</v>
      </c>
      <c r="J22" s="272">
        <f>IFERROR(VLOOKUP((D22&amp;C22)&amp;"",'[2]Retail Price List'!$C$4:$F$102,3,FALSE),"")</f>
        <v>665000</v>
      </c>
      <c r="K22" s="272">
        <f>IFERROR(IF(BA22="WIP - 30 Days",VLOOKUP(D22,[3]Standard!$B$9:$E$101,4,FALSE),IF(BA22="31-120 Days",VLOOKUP(D22,[3]Standard!$B$9:$F$101,5,FALSE),IF(BA22="121-365 Days",VLOOKUP(D22,[3]Standard!$B$9:$G$101,6,FALSE),VLOOKUP(D22,[3]Standard!$B$9:$H$101,7,FALSE)))),0)</f>
        <v>520562</v>
      </c>
      <c r="L22" s="272">
        <f>IFERROR(IF(BA22="WIP - 30 Days",VLOOKUP(D22,[3]Standard!$B$9:$J$101,9,FALSE),IF(BA22="31-120 Days",VLOOKUP(D22,[3]Standard!$B$9:$K$100,10,FALSE),IF(BA22="121-365 Days",VLOOKUP(D22,[3]Standard!$B$9:$L$101,11,FALSE),VLOOKUP(D22,[3]Standard!$B$9:$M$101,12,FALSE)))),0)</f>
        <v>505400</v>
      </c>
      <c r="M22" s="269">
        <f>IFERROR(VLOOKUP((D22&amp;C22)&amp;"",'[2]Retail Price List'!$C$4:$F$102,4,FALSE),"")</f>
        <v>674000</v>
      </c>
      <c r="N22" s="269">
        <f>IFERROR(IF(BA22="WIP - 30 Days",VLOOKUP(D22,[3]Extended!$B$9:$E$101,4,FALSE),IF(BA22="31-120 Days",VLOOKUP(D22,[3]Extended!$B$9:$F$101,5,FALSE),IF(BA22="121-365 Days",VLOOKUP(D22,[3]Extended!$B$9:$G$101,6,FALSE),VLOOKUP(D22,[3]Extended!$B$9:$H$101,7,FALSE)))),0)</f>
        <v>534549.4</v>
      </c>
      <c r="O22" s="269">
        <f>IFERROR(IF(BA22="WIP - 30 Days",VLOOKUP(D22,[3]Extended!$B$9:$J$101,9,FALSE),IF(BA22="31-120 Days",VLOOKUP(D22,[3]Extended!$B$9:$K$101,10,FALSE),IF(BA22="121-365 Days",VLOOKUP(D22,[3]Extended!$B$9:$L$101,11,FALSE),VLOOKUP(D22,[3]Extended!$B$9:$M$101,12,FALSE)))),0)</f>
        <v>518980</v>
      </c>
      <c r="P22" s="116">
        <f t="shared" si="1"/>
        <v>0.23</v>
      </c>
      <c r="Q22" s="110" t="e">
        <f>O22-#REF!</f>
        <v>#REF!</v>
      </c>
      <c r="W22" s="311"/>
      <c r="X22" s="311"/>
      <c r="Y22" s="311"/>
      <c r="Z22" s="311"/>
      <c r="AA22" s="311"/>
      <c r="AB22" s="311"/>
      <c r="AC22" s="311"/>
      <c r="AT22" s="88" t="str">
        <f t="shared" si="2"/>
        <v>KP000589201610Q416</v>
      </c>
      <c r="AU22" s="89" t="str">
        <f t="shared" si="3"/>
        <v>10-2016</v>
      </c>
      <c r="AW22" s="93" t="s">
        <v>323</v>
      </c>
      <c r="AX22" s="95" t="s">
        <v>288</v>
      </c>
      <c r="AY22" s="91" t="s">
        <v>300</v>
      </c>
      <c r="BA22" s="92" t="str">
        <f t="shared" si="4"/>
        <v>121-365 Days</v>
      </c>
    </row>
    <row r="23" spans="2:53">
      <c r="B23" s="60" t="str">
        <f>[2]Trucks!A20</f>
        <v>MA6-4970</v>
      </c>
      <c r="C23" s="11" t="str">
        <f>[2]Trucks!B20</f>
        <v>CLA-15-2204X2BB-C</v>
      </c>
      <c r="D23" s="19" t="str">
        <f>IFERROR(VLOOKUP(C23&amp;"",'[2]Retail Price List'!$A$3:$B$103,2,FALSE),"Special Order")</f>
        <v>KP000589</v>
      </c>
      <c r="E23" s="18" t="str">
        <f>[2]Trucks!J20</f>
        <v>UNSOLD</v>
      </c>
      <c r="F23" s="12">
        <f>[2]Trucks!E20</f>
        <v>123</v>
      </c>
      <c r="G23" s="56">
        <f>[2]Trucks!K20</f>
        <v>16</v>
      </c>
      <c r="H23" s="46">
        <f>[2]Trucks!I20</f>
        <v>42667</v>
      </c>
      <c r="I23" s="83" t="str">
        <f t="shared" si="0"/>
        <v>201610Q4</v>
      </c>
      <c r="J23" s="272">
        <f>IFERROR(VLOOKUP((D23&amp;C23)&amp;"",'[2]Retail Price List'!$C$4:$F$102,3,FALSE),"")</f>
        <v>665000</v>
      </c>
      <c r="K23" s="272">
        <f>IFERROR(IF(BA23="WIP - 30 Days",VLOOKUP(D23,[3]Standard!$B$9:$E$101,4,FALSE),IF(BA23="31-120 Days",VLOOKUP(D23,[3]Standard!$B$9:$F$101,5,FALSE),IF(BA23="121-365 Days",VLOOKUP(D23,[3]Standard!$B$9:$G$101,6,FALSE),VLOOKUP(D23,[3]Standard!$B$9:$H$101,7,FALSE)))),0)</f>
        <v>520562</v>
      </c>
      <c r="L23" s="272">
        <f>IFERROR(IF(BA23="WIP - 30 Days",VLOOKUP(D23,[3]Standard!$B$9:$J$101,9,FALSE),IF(BA23="31-120 Days",VLOOKUP(D23,[3]Standard!$B$9:$K$100,10,FALSE),IF(BA23="121-365 Days",VLOOKUP(D23,[3]Standard!$B$9:$L$101,11,FALSE),VLOOKUP(D23,[3]Standard!$B$9:$M$101,12,FALSE)))),0)</f>
        <v>505400</v>
      </c>
      <c r="M23" s="269">
        <f>IFERROR(VLOOKUP((D23&amp;C23)&amp;"",'[2]Retail Price List'!$C$4:$F$102,4,FALSE),"")</f>
        <v>674000</v>
      </c>
      <c r="N23" s="269">
        <f>IFERROR(IF(BA23="WIP - 30 Days",VLOOKUP(D23,[3]Extended!$B$9:$E$101,4,FALSE),IF(BA23="31-120 Days",VLOOKUP(D23,[3]Extended!$B$9:$F$101,5,FALSE),IF(BA23="121-365 Days",VLOOKUP(D23,[3]Extended!$B$9:$G$101,6,FALSE),VLOOKUP(D23,[3]Extended!$B$9:$H$101,7,FALSE)))),0)</f>
        <v>534549.4</v>
      </c>
      <c r="O23" s="269">
        <f>IFERROR(IF(BA23="WIP - 30 Days",VLOOKUP(D23,[3]Extended!$B$9:$J$101,9,FALSE),IF(BA23="31-120 Days",VLOOKUP(D23,[3]Extended!$B$9:$K$101,10,FALSE),IF(BA23="121-365 Days",VLOOKUP(D23,[3]Extended!$B$9:$L$101,11,FALSE),VLOOKUP(D23,[3]Extended!$B$9:$M$101,12,FALSE)))),0)</f>
        <v>518980</v>
      </c>
      <c r="P23" s="116">
        <f t="shared" si="1"/>
        <v>0.23</v>
      </c>
      <c r="Q23" s="110" t="e">
        <f>O23-#REF!</f>
        <v>#REF!</v>
      </c>
      <c r="W23" s="311"/>
      <c r="X23" s="311"/>
      <c r="Y23" s="311"/>
      <c r="Z23" s="311"/>
      <c r="AA23" s="311"/>
      <c r="AB23" s="311"/>
      <c r="AC23" s="311"/>
      <c r="AT23" s="88" t="str">
        <f t="shared" si="2"/>
        <v>KP000589201610Q416</v>
      </c>
      <c r="AU23" s="89" t="str">
        <f t="shared" si="3"/>
        <v>10-2016</v>
      </c>
      <c r="AW23" s="93" t="s">
        <v>324</v>
      </c>
      <c r="AX23" s="95" t="s">
        <v>289</v>
      </c>
      <c r="AY23" s="91" t="s">
        <v>301</v>
      </c>
      <c r="BA23" s="92" t="str">
        <f t="shared" si="4"/>
        <v>121-365 Days</v>
      </c>
    </row>
    <row r="24" spans="2:53">
      <c r="B24" s="60" t="str">
        <f>[2]Trucks!A21</f>
        <v>MA6-4971</v>
      </c>
      <c r="C24" s="11" t="str">
        <f>[2]Trucks!B21</f>
        <v>CLA-15-2204X2BB-C</v>
      </c>
      <c r="D24" s="19" t="str">
        <f>IFERROR(VLOOKUP(C24&amp;"",'[2]Retail Price List'!$A$3:$B$103,2,FALSE),"Special Order")</f>
        <v>KP000589</v>
      </c>
      <c r="E24" s="18" t="str">
        <f>[2]Trucks!J21</f>
        <v>UNSOLD</v>
      </c>
      <c r="F24" s="12">
        <f>[2]Trucks!E21</f>
        <v>123</v>
      </c>
      <c r="G24" s="56">
        <f>[2]Trucks!K21</f>
        <v>16</v>
      </c>
      <c r="H24" s="46">
        <f>[2]Trucks!I21</f>
        <v>42667</v>
      </c>
      <c r="I24" s="83" t="str">
        <f t="shared" si="0"/>
        <v>201610Q4</v>
      </c>
      <c r="J24" s="272">
        <f>IFERROR(VLOOKUP((D24&amp;C24)&amp;"",'[2]Retail Price List'!$C$4:$F$102,3,FALSE),"")</f>
        <v>665000</v>
      </c>
      <c r="K24" s="272">
        <f>IFERROR(IF(BA24="WIP - 30 Days",VLOOKUP(D24,[3]Standard!$B$9:$E$101,4,FALSE),IF(BA24="31-120 Days",VLOOKUP(D24,[3]Standard!$B$9:$F$101,5,FALSE),IF(BA24="121-365 Days",VLOOKUP(D24,[3]Standard!$B$9:$G$101,6,FALSE),VLOOKUP(D24,[3]Standard!$B$9:$H$101,7,FALSE)))),0)</f>
        <v>520562</v>
      </c>
      <c r="L24" s="272">
        <f>IFERROR(IF(BA24="WIP - 30 Days",VLOOKUP(D24,[3]Standard!$B$9:$J$101,9,FALSE),IF(BA24="31-120 Days",VLOOKUP(D24,[3]Standard!$B$9:$K$100,10,FALSE),IF(BA24="121-365 Days",VLOOKUP(D24,[3]Standard!$B$9:$L$101,11,FALSE),VLOOKUP(D24,[3]Standard!$B$9:$M$101,12,FALSE)))),0)</f>
        <v>505400</v>
      </c>
      <c r="M24" s="269">
        <f>IFERROR(VLOOKUP((D24&amp;C24)&amp;"",'[2]Retail Price List'!$C$4:$F$102,4,FALSE),"")</f>
        <v>674000</v>
      </c>
      <c r="N24" s="269">
        <f>IFERROR(IF(BA24="WIP - 30 Days",VLOOKUP(D24,[3]Extended!$B$9:$E$101,4,FALSE),IF(BA24="31-120 Days",VLOOKUP(D24,[3]Extended!$B$9:$F$101,5,FALSE),IF(BA24="121-365 Days",VLOOKUP(D24,[3]Extended!$B$9:$G$101,6,FALSE),VLOOKUP(D24,[3]Extended!$B$9:$H$101,7,FALSE)))),0)</f>
        <v>534549.4</v>
      </c>
      <c r="O24" s="269">
        <f>IFERROR(IF(BA24="WIP - 30 Days",VLOOKUP(D24,[3]Extended!$B$9:$J$101,9,FALSE),IF(BA24="31-120 Days",VLOOKUP(D24,[3]Extended!$B$9:$K$101,10,FALSE),IF(BA24="121-365 Days",VLOOKUP(D24,[3]Extended!$B$9:$L$101,11,FALSE),VLOOKUP(D24,[3]Extended!$B$9:$M$101,12,FALSE)))),0)</f>
        <v>518980</v>
      </c>
      <c r="P24" s="116">
        <f t="shared" si="1"/>
        <v>0.23</v>
      </c>
      <c r="Q24" s="110" t="e">
        <f>O24-#REF!</f>
        <v>#REF!</v>
      </c>
      <c r="W24" s="311"/>
      <c r="X24" s="311"/>
      <c r="Y24" s="311"/>
      <c r="Z24" s="311"/>
      <c r="AA24" s="311"/>
      <c r="AB24" s="311"/>
      <c r="AC24" s="311"/>
      <c r="AT24" s="88" t="str">
        <f t="shared" si="2"/>
        <v>KP000589201610Q416</v>
      </c>
      <c r="AU24" s="89" t="str">
        <f t="shared" si="3"/>
        <v>10-2016</v>
      </c>
      <c r="AW24" s="93" t="s">
        <v>325</v>
      </c>
      <c r="AX24" s="95" t="s">
        <v>289</v>
      </c>
      <c r="AY24" s="91" t="s">
        <v>301</v>
      </c>
      <c r="BA24" s="92" t="str">
        <f t="shared" si="4"/>
        <v>121-365 Days</v>
      </c>
    </row>
    <row r="25" spans="2:53">
      <c r="B25" s="60" t="str">
        <f>[2]Trucks!A22</f>
        <v>MA6-4972</v>
      </c>
      <c r="C25" s="11" t="str">
        <f>[2]Trucks!B22</f>
        <v>CLA-15-2204X2BB-C</v>
      </c>
      <c r="D25" s="19" t="str">
        <f>IFERROR(VLOOKUP(C25&amp;"",'[2]Retail Price List'!$A$3:$B$103,2,FALSE),"Special Order")</f>
        <v>KP000589</v>
      </c>
      <c r="E25" s="18" t="str">
        <f>[2]Trucks!J22</f>
        <v>UNSOLD</v>
      </c>
      <c r="F25" s="12">
        <f>[2]Trucks!E22</f>
        <v>123</v>
      </c>
      <c r="G25" s="56">
        <f>[2]Trucks!K22</f>
        <v>16</v>
      </c>
      <c r="H25" s="46">
        <f>[2]Trucks!I22</f>
        <v>42667</v>
      </c>
      <c r="I25" s="83" t="str">
        <f t="shared" si="0"/>
        <v>201610Q4</v>
      </c>
      <c r="J25" s="272">
        <f>IFERROR(VLOOKUP((D25&amp;C25)&amp;"",'[2]Retail Price List'!$C$4:$F$102,3,FALSE),"")</f>
        <v>665000</v>
      </c>
      <c r="K25" s="272">
        <f>IFERROR(IF(BA25="WIP - 30 Days",VLOOKUP(D25,[3]Standard!$B$9:$E$101,4,FALSE),IF(BA25="31-120 Days",VLOOKUP(D25,[3]Standard!$B$9:$F$101,5,FALSE),IF(BA25="121-365 Days",VLOOKUP(D25,[3]Standard!$B$9:$G$101,6,FALSE),VLOOKUP(D25,[3]Standard!$B$9:$H$101,7,FALSE)))),0)</f>
        <v>520562</v>
      </c>
      <c r="L25" s="272">
        <f>IFERROR(IF(BA25="WIP - 30 Days",VLOOKUP(D25,[3]Standard!$B$9:$J$101,9,FALSE),IF(BA25="31-120 Days",VLOOKUP(D25,[3]Standard!$B$9:$K$100,10,FALSE),IF(BA25="121-365 Days",VLOOKUP(D25,[3]Standard!$B$9:$L$101,11,FALSE),VLOOKUP(D25,[3]Standard!$B$9:$M$101,12,FALSE)))),0)</f>
        <v>505400</v>
      </c>
      <c r="M25" s="269">
        <f>IFERROR(VLOOKUP((D25&amp;C25)&amp;"",'[2]Retail Price List'!$C$4:$F$102,4,FALSE),"")</f>
        <v>674000</v>
      </c>
      <c r="N25" s="269">
        <f>IFERROR(IF(BA25="WIP - 30 Days",VLOOKUP(D25,[3]Extended!$B$9:$E$101,4,FALSE),IF(BA25="31-120 Days",VLOOKUP(D25,[3]Extended!$B$9:$F$101,5,FALSE),IF(BA25="121-365 Days",VLOOKUP(D25,[3]Extended!$B$9:$G$101,6,FALSE),VLOOKUP(D25,[3]Extended!$B$9:$H$101,7,FALSE)))),0)</f>
        <v>534549.4</v>
      </c>
      <c r="O25" s="269">
        <f>IFERROR(IF(BA25="WIP - 30 Days",VLOOKUP(D25,[3]Extended!$B$9:$J$101,9,FALSE),IF(BA25="31-120 Days",VLOOKUP(D25,[3]Extended!$B$9:$K$101,10,FALSE),IF(BA25="121-365 Days",VLOOKUP(D25,[3]Extended!$B$9:$L$101,11,FALSE),VLOOKUP(D25,[3]Extended!$B$9:$M$101,12,FALSE)))),0)</f>
        <v>518980</v>
      </c>
      <c r="P25" s="116">
        <f t="shared" si="1"/>
        <v>0.23</v>
      </c>
      <c r="Q25" s="110" t="e">
        <f>O25-#REF!</f>
        <v>#REF!</v>
      </c>
      <c r="W25" s="311"/>
      <c r="X25" s="311"/>
      <c r="Y25" s="311"/>
      <c r="Z25" s="311"/>
      <c r="AA25" s="311"/>
      <c r="AB25" s="311"/>
      <c r="AC25" s="311"/>
      <c r="AT25" s="88" t="str">
        <f t="shared" si="2"/>
        <v>KP000589201610Q416</v>
      </c>
      <c r="AU25" s="89" t="str">
        <f t="shared" si="3"/>
        <v>10-2016</v>
      </c>
      <c r="AW25" s="93" t="s">
        <v>326</v>
      </c>
      <c r="AX25" s="95" t="s">
        <v>289</v>
      </c>
      <c r="AY25" s="91" t="s">
        <v>301</v>
      </c>
      <c r="BA25" s="92" t="str">
        <f t="shared" si="4"/>
        <v>121-365 Days</v>
      </c>
    </row>
    <row r="26" spans="2:53">
      <c r="B26" s="60" t="str">
        <f>[2]Trucks!A23</f>
        <v>MA6-4973</v>
      </c>
      <c r="C26" s="11" t="str">
        <f>[2]Trucks!B23</f>
        <v>CLA-15-2204X2BB-C</v>
      </c>
      <c r="D26" s="19" t="str">
        <f>IFERROR(VLOOKUP(C26&amp;"",'[2]Retail Price List'!$A$3:$B$103,2,FALSE),"Special Order")</f>
        <v>KP000589</v>
      </c>
      <c r="E26" s="18" t="str">
        <f>[2]Trucks!J23</f>
        <v>BODY</v>
      </c>
      <c r="F26" s="12">
        <f>[2]Trucks!E23</f>
        <v>123</v>
      </c>
      <c r="G26" s="56">
        <f>[2]Trucks!K23</f>
        <v>16</v>
      </c>
      <c r="H26" s="46">
        <f>[2]Trucks!I23</f>
        <v>42667</v>
      </c>
      <c r="I26" s="83" t="str">
        <f t="shared" si="0"/>
        <v>201610Q4</v>
      </c>
      <c r="J26" s="272">
        <f>IFERROR(VLOOKUP((D26&amp;C26)&amp;"",'[2]Retail Price List'!$C$4:$F$102,3,FALSE),"")</f>
        <v>665000</v>
      </c>
      <c r="K26" s="272">
        <f>IFERROR(IF(BA26="WIP - 30 Days",VLOOKUP(D26,[3]Standard!$B$9:$E$101,4,FALSE),IF(BA26="31-120 Days",VLOOKUP(D26,[3]Standard!$B$9:$F$101,5,FALSE),IF(BA26="121-365 Days",VLOOKUP(D26,[3]Standard!$B$9:$G$101,6,FALSE),VLOOKUP(D26,[3]Standard!$B$9:$H$101,7,FALSE)))),0)</f>
        <v>520562</v>
      </c>
      <c r="L26" s="272">
        <f>IFERROR(IF(BA26="WIP - 30 Days",VLOOKUP(D26,[3]Standard!$B$9:$J$101,9,FALSE),IF(BA26="31-120 Days",VLOOKUP(D26,[3]Standard!$B$9:$K$100,10,FALSE),IF(BA26="121-365 Days",VLOOKUP(D26,[3]Standard!$B$9:$L$101,11,FALSE),VLOOKUP(D26,[3]Standard!$B$9:$M$101,12,FALSE)))),0)</f>
        <v>505400</v>
      </c>
      <c r="M26" s="269">
        <f>IFERROR(VLOOKUP((D26&amp;C26)&amp;"",'[2]Retail Price List'!$C$4:$F$102,4,FALSE),"")</f>
        <v>674000</v>
      </c>
      <c r="N26" s="269">
        <f>IFERROR(IF(BA26="WIP - 30 Days",VLOOKUP(D26,[3]Extended!$B$9:$E$101,4,FALSE),IF(BA26="31-120 Days",VLOOKUP(D26,[3]Extended!$B$9:$F$101,5,FALSE),IF(BA26="121-365 Days",VLOOKUP(D26,[3]Extended!$B$9:$G$101,6,FALSE),VLOOKUP(D26,[3]Extended!$B$9:$H$101,7,FALSE)))),0)</f>
        <v>534549.4</v>
      </c>
      <c r="O26" s="269">
        <f>IFERROR(IF(BA26="WIP - 30 Days",VLOOKUP(D26,[3]Extended!$B$9:$J$101,9,FALSE),IF(BA26="31-120 Days",VLOOKUP(D26,[3]Extended!$B$9:$K$101,10,FALSE),IF(BA26="121-365 Days",VLOOKUP(D26,[3]Extended!$B$9:$L$101,11,FALSE),VLOOKUP(D26,[3]Extended!$B$9:$M$101,12,FALSE)))),0)</f>
        <v>518980</v>
      </c>
      <c r="P26" s="116">
        <f t="shared" si="1"/>
        <v>0.23</v>
      </c>
      <c r="Q26" s="110" t="e">
        <f>O26-#REF!</f>
        <v>#REF!</v>
      </c>
      <c r="W26" s="311"/>
      <c r="X26" s="311"/>
      <c r="Y26" s="311"/>
      <c r="Z26" s="311"/>
      <c r="AA26" s="311"/>
      <c r="AB26" s="311"/>
      <c r="AC26" s="311"/>
      <c r="AT26" s="88" t="str">
        <f t="shared" si="2"/>
        <v>KP000589201610Q416</v>
      </c>
      <c r="AU26" s="89" t="str">
        <f t="shared" si="3"/>
        <v>10-2016</v>
      </c>
      <c r="AW26" s="93" t="s">
        <v>327</v>
      </c>
      <c r="AX26" s="95" t="s">
        <v>290</v>
      </c>
      <c r="AY26" s="91" t="s">
        <v>302</v>
      </c>
      <c r="BA26" s="92" t="str">
        <f t="shared" si="4"/>
        <v>121-365 Days</v>
      </c>
    </row>
    <row r="27" spans="2:53">
      <c r="B27" s="60" t="str">
        <f>[2]Trucks!A24</f>
        <v>MA6-4974</v>
      </c>
      <c r="C27" s="11" t="str">
        <f>[2]Trucks!B24</f>
        <v>CLA-15-2204X2BB-C</v>
      </c>
      <c r="D27" s="19" t="str">
        <f>IFERROR(VLOOKUP(C27&amp;"",'[2]Retail Price List'!$A$3:$B$103,2,FALSE),"Special Order")</f>
        <v>KP000589</v>
      </c>
      <c r="E27" s="18" t="str">
        <f>[2]Trucks!J24</f>
        <v>BODY</v>
      </c>
      <c r="F27" s="12">
        <f>[2]Trucks!E24</f>
        <v>123</v>
      </c>
      <c r="G27" s="56">
        <f>[2]Trucks!K24</f>
        <v>16</v>
      </c>
      <c r="H27" s="46">
        <f>[2]Trucks!I24</f>
        <v>42667</v>
      </c>
      <c r="I27" s="83" t="str">
        <f t="shared" si="0"/>
        <v>201610Q4</v>
      </c>
      <c r="J27" s="272">
        <f>IFERROR(VLOOKUP((D27&amp;C27)&amp;"",'[2]Retail Price List'!$C$4:$F$102,3,FALSE),"")</f>
        <v>665000</v>
      </c>
      <c r="K27" s="272">
        <f>IFERROR(IF(BA27="WIP - 30 Days",VLOOKUP(D27,[3]Standard!$B$9:$E$101,4,FALSE),IF(BA27="31-120 Days",VLOOKUP(D27,[3]Standard!$B$9:$F$101,5,FALSE),IF(BA27="121-365 Days",VLOOKUP(D27,[3]Standard!$B$9:$G$101,6,FALSE),VLOOKUP(D27,[3]Standard!$B$9:$H$101,7,FALSE)))),0)</f>
        <v>520562</v>
      </c>
      <c r="L27" s="272">
        <f>IFERROR(IF(BA27="WIP - 30 Days",VLOOKUP(D27,[3]Standard!$B$9:$J$101,9,FALSE),IF(BA27="31-120 Days",VLOOKUP(D27,[3]Standard!$B$9:$K$100,10,FALSE),IF(BA27="121-365 Days",VLOOKUP(D27,[3]Standard!$B$9:$L$101,11,FALSE),VLOOKUP(D27,[3]Standard!$B$9:$M$101,12,FALSE)))),0)</f>
        <v>505400</v>
      </c>
      <c r="M27" s="269">
        <f>IFERROR(VLOOKUP((D27&amp;C27)&amp;"",'[2]Retail Price List'!$C$4:$F$102,4,FALSE),"")</f>
        <v>674000</v>
      </c>
      <c r="N27" s="269">
        <f>IFERROR(IF(BA27="WIP - 30 Days",VLOOKUP(D27,[3]Extended!$B$9:$E$101,4,FALSE),IF(BA27="31-120 Days",VLOOKUP(D27,[3]Extended!$B$9:$F$101,5,FALSE),IF(BA27="121-365 Days",VLOOKUP(D27,[3]Extended!$B$9:$G$101,6,FALSE),VLOOKUP(D27,[3]Extended!$B$9:$H$101,7,FALSE)))),0)</f>
        <v>534549.4</v>
      </c>
      <c r="O27" s="269">
        <f>IFERROR(IF(BA27="WIP - 30 Days",VLOOKUP(D27,[3]Extended!$B$9:$J$101,9,FALSE),IF(BA27="31-120 Days",VLOOKUP(D27,[3]Extended!$B$9:$K$101,10,FALSE),IF(BA27="121-365 Days",VLOOKUP(D27,[3]Extended!$B$9:$L$101,11,FALSE),VLOOKUP(D27,[3]Extended!$B$9:$M$101,12,FALSE)))),0)</f>
        <v>518980</v>
      </c>
      <c r="P27" s="116">
        <f t="shared" si="1"/>
        <v>0.23</v>
      </c>
      <c r="Q27" s="110" t="e">
        <f>O27-#REF!</f>
        <v>#REF!</v>
      </c>
      <c r="W27" s="311"/>
      <c r="X27" s="311"/>
      <c r="Y27" s="311"/>
      <c r="Z27" s="311"/>
      <c r="AA27" s="311"/>
      <c r="AB27" s="311"/>
      <c r="AC27" s="311"/>
      <c r="AT27" s="88" t="str">
        <f t="shared" si="2"/>
        <v>KP000589201610Q416</v>
      </c>
      <c r="AU27" s="89" t="str">
        <f t="shared" si="3"/>
        <v>10-2016</v>
      </c>
      <c r="AW27" s="93" t="s">
        <v>328</v>
      </c>
      <c r="AX27" s="95" t="s">
        <v>290</v>
      </c>
      <c r="AY27" s="91" t="s">
        <v>302</v>
      </c>
      <c r="BA27" s="92" t="str">
        <f t="shared" si="4"/>
        <v>121-365 Days</v>
      </c>
    </row>
    <row r="28" spans="2:53">
      <c r="B28" s="60" t="str">
        <f>[2]Trucks!A25</f>
        <v>MA6-4975</v>
      </c>
      <c r="C28" s="11" t="str">
        <f>[2]Trucks!B25</f>
        <v>CLA-15-2204X2BB-C</v>
      </c>
      <c r="D28" s="19" t="str">
        <f>IFERROR(VLOOKUP(C28&amp;"",'[2]Retail Price List'!$A$3:$B$103,2,FALSE),"Special Order")</f>
        <v>KP000589</v>
      </c>
      <c r="E28" s="18" t="str">
        <f>[2]Trucks!J25</f>
        <v>UNSOLD</v>
      </c>
      <c r="F28" s="12">
        <f>[2]Trucks!E25</f>
        <v>121</v>
      </c>
      <c r="G28" s="56">
        <f>[2]Trucks!K25</f>
        <v>16</v>
      </c>
      <c r="H28" s="46">
        <f>[2]Trucks!I25</f>
        <v>42667</v>
      </c>
      <c r="I28" s="83" t="str">
        <f t="shared" si="0"/>
        <v>201610Q4</v>
      </c>
      <c r="J28" s="272">
        <f>IFERROR(VLOOKUP((D28&amp;C28)&amp;"",'[2]Retail Price List'!$C$4:$F$102,3,FALSE),"")</f>
        <v>665000</v>
      </c>
      <c r="K28" s="272">
        <f>IFERROR(IF(BA28="WIP - 30 Days",VLOOKUP(D28,[3]Standard!$B$9:$E$101,4,FALSE),IF(BA28="31-120 Days",VLOOKUP(D28,[3]Standard!$B$9:$F$101,5,FALSE),IF(BA28="121-365 Days",VLOOKUP(D28,[3]Standard!$B$9:$G$101,6,FALSE),VLOOKUP(D28,[3]Standard!$B$9:$H$101,7,FALSE)))),0)</f>
        <v>520562</v>
      </c>
      <c r="L28" s="272">
        <f>IFERROR(IF(BA28="WIP - 30 Days",VLOOKUP(D28,[3]Standard!$B$9:$J$101,9,FALSE),IF(BA28="31-120 Days",VLOOKUP(D28,[3]Standard!$B$9:$K$100,10,FALSE),IF(BA28="121-365 Days",VLOOKUP(D28,[3]Standard!$B$9:$L$101,11,FALSE),VLOOKUP(D28,[3]Standard!$B$9:$M$101,12,FALSE)))),0)</f>
        <v>505400</v>
      </c>
      <c r="M28" s="269">
        <f>IFERROR(VLOOKUP((D28&amp;C28)&amp;"",'[2]Retail Price List'!$C$4:$F$102,4,FALSE),"")</f>
        <v>674000</v>
      </c>
      <c r="N28" s="269">
        <f>IFERROR(IF(BA28="WIP - 30 Days",VLOOKUP(D28,[3]Extended!$B$9:$E$101,4,FALSE),IF(BA28="31-120 Days",VLOOKUP(D28,[3]Extended!$B$9:$F$101,5,FALSE),IF(BA28="121-365 Days",VLOOKUP(D28,[3]Extended!$B$9:$G$101,6,FALSE),VLOOKUP(D28,[3]Extended!$B$9:$H$101,7,FALSE)))),0)</f>
        <v>534549.4</v>
      </c>
      <c r="O28" s="269">
        <f>IFERROR(IF(BA28="WIP - 30 Days",VLOOKUP(D28,[3]Extended!$B$9:$J$101,9,FALSE),IF(BA28="31-120 Days",VLOOKUP(D28,[3]Extended!$B$9:$K$101,10,FALSE),IF(BA28="121-365 Days",VLOOKUP(D28,[3]Extended!$B$9:$L$101,11,FALSE),VLOOKUP(D28,[3]Extended!$B$9:$M$101,12,FALSE)))),0)</f>
        <v>518980</v>
      </c>
      <c r="P28" s="116">
        <f t="shared" si="1"/>
        <v>0.23</v>
      </c>
      <c r="Q28" s="110" t="e">
        <f>O28-#REF!</f>
        <v>#REF!</v>
      </c>
      <c r="W28" s="311"/>
      <c r="X28" s="311"/>
      <c r="Y28" s="311"/>
      <c r="Z28" s="311"/>
      <c r="AA28" s="311"/>
      <c r="AB28" s="311"/>
      <c r="AC28" s="311"/>
      <c r="AT28" s="88" t="str">
        <f t="shared" si="2"/>
        <v>KP000589201610Q416</v>
      </c>
      <c r="AU28" s="89" t="str">
        <f t="shared" si="3"/>
        <v>10-2016</v>
      </c>
      <c r="AW28" s="93" t="s">
        <v>329</v>
      </c>
      <c r="AX28" s="95" t="s">
        <v>290</v>
      </c>
      <c r="AY28" s="91" t="s">
        <v>302</v>
      </c>
      <c r="BA28" s="92" t="str">
        <f t="shared" si="4"/>
        <v>121-365 Days</v>
      </c>
    </row>
    <row r="29" spans="2:53">
      <c r="B29" s="60" t="str">
        <f>[2]Trucks!A26</f>
        <v>MA6-4976</v>
      </c>
      <c r="C29" s="11" t="str">
        <f>[2]Trucks!B26</f>
        <v>CLA-15-2204X2BB-C</v>
      </c>
      <c r="D29" s="19" t="str">
        <f>IFERROR(VLOOKUP(C29&amp;"",'[2]Retail Price List'!$A$3:$B$103,2,FALSE),"Special Order")</f>
        <v>KP000589</v>
      </c>
      <c r="E29" s="18" t="str">
        <f>[2]Trucks!J26</f>
        <v>UNSOLD</v>
      </c>
      <c r="F29" s="12">
        <f>[2]Trucks!E26</f>
        <v>121</v>
      </c>
      <c r="G29" s="56">
        <f>[2]Trucks!K26</f>
        <v>16</v>
      </c>
      <c r="H29" s="46">
        <f>[2]Trucks!I26</f>
        <v>42667</v>
      </c>
      <c r="I29" s="83" t="str">
        <f t="shared" si="0"/>
        <v>201610Q4</v>
      </c>
      <c r="J29" s="272">
        <f>IFERROR(VLOOKUP((D29&amp;C29)&amp;"",'[2]Retail Price List'!$C$4:$F$102,3,FALSE),"")</f>
        <v>665000</v>
      </c>
      <c r="K29" s="272">
        <f>IFERROR(IF(BA29="WIP - 30 Days",VLOOKUP(D29,[3]Standard!$B$9:$E$101,4,FALSE),IF(BA29="31-120 Days",VLOOKUP(D29,[3]Standard!$B$9:$F$101,5,FALSE),IF(BA29="121-365 Days",VLOOKUP(D29,[3]Standard!$B$9:$G$101,6,FALSE),VLOOKUP(D29,[3]Standard!$B$9:$H$101,7,FALSE)))),0)</f>
        <v>520562</v>
      </c>
      <c r="L29" s="272">
        <f>IFERROR(IF(BA29="WIP - 30 Days",VLOOKUP(D29,[3]Standard!$B$9:$J$101,9,FALSE),IF(BA29="31-120 Days",VLOOKUP(D29,[3]Standard!$B$9:$K$100,10,FALSE),IF(BA29="121-365 Days",VLOOKUP(D29,[3]Standard!$B$9:$L$101,11,FALSE),VLOOKUP(D29,[3]Standard!$B$9:$M$101,12,FALSE)))),0)</f>
        <v>505400</v>
      </c>
      <c r="M29" s="269">
        <f>IFERROR(VLOOKUP((D29&amp;C29)&amp;"",'[2]Retail Price List'!$C$4:$F$102,4,FALSE),"")</f>
        <v>674000</v>
      </c>
      <c r="N29" s="269">
        <f>IFERROR(IF(BA29="WIP - 30 Days",VLOOKUP(D29,[3]Extended!$B$9:$E$101,4,FALSE),IF(BA29="31-120 Days",VLOOKUP(D29,[3]Extended!$B$9:$F$101,5,FALSE),IF(BA29="121-365 Days",VLOOKUP(D29,[3]Extended!$B$9:$G$101,6,FALSE),VLOOKUP(D29,[3]Extended!$B$9:$H$101,7,FALSE)))),0)</f>
        <v>534549.4</v>
      </c>
      <c r="O29" s="269">
        <f>IFERROR(IF(BA29="WIP - 30 Days",VLOOKUP(D29,[3]Extended!$B$9:$J$101,9,FALSE),IF(BA29="31-120 Days",VLOOKUP(D29,[3]Extended!$B$9:$K$101,10,FALSE),IF(BA29="121-365 Days",VLOOKUP(D29,[3]Extended!$B$9:$L$101,11,FALSE),VLOOKUP(D29,[3]Extended!$B$9:$M$101,12,FALSE)))),0)</f>
        <v>518980</v>
      </c>
      <c r="P29" s="116">
        <f t="shared" si="1"/>
        <v>0.23</v>
      </c>
      <c r="Q29" s="110" t="e">
        <f>O29-#REF!</f>
        <v>#REF!</v>
      </c>
      <c r="W29" s="311"/>
      <c r="X29" s="311"/>
      <c r="Y29" s="311"/>
      <c r="Z29" s="311"/>
      <c r="AA29" s="311"/>
      <c r="AB29" s="311"/>
      <c r="AC29" s="311"/>
      <c r="AT29" s="88" t="str">
        <f t="shared" si="2"/>
        <v>KP000589201610Q416</v>
      </c>
      <c r="AU29" s="89" t="str">
        <f t="shared" si="3"/>
        <v>10-2016</v>
      </c>
      <c r="AW29" s="93" t="s">
        <v>330</v>
      </c>
      <c r="AX29" s="91" t="s">
        <v>287</v>
      </c>
      <c r="AY29" s="91" t="s">
        <v>303</v>
      </c>
      <c r="BA29" s="92" t="str">
        <f t="shared" si="4"/>
        <v>121-365 Days</v>
      </c>
    </row>
    <row r="30" spans="2:53">
      <c r="B30" s="60" t="str">
        <f>[2]Trucks!A27</f>
        <v>MA6-4977</v>
      </c>
      <c r="C30" s="11" t="str">
        <f>[2]Trucks!B27</f>
        <v>CLA-15-2204X2BB-C</v>
      </c>
      <c r="D30" s="19" t="str">
        <f>IFERROR(VLOOKUP(C30&amp;"",'[2]Retail Price List'!$A$3:$B$103,2,FALSE),"Special Order")</f>
        <v>KP000589</v>
      </c>
      <c r="E30" s="18" t="str">
        <f>[2]Trucks!J27</f>
        <v>UNSOLD</v>
      </c>
      <c r="F30" s="12">
        <f>[2]Trucks!E27</f>
        <v>121</v>
      </c>
      <c r="G30" s="56">
        <f>[2]Trucks!K27</f>
        <v>16</v>
      </c>
      <c r="H30" s="46">
        <f>[2]Trucks!I27</f>
        <v>42667</v>
      </c>
      <c r="I30" s="83" t="str">
        <f t="shared" si="0"/>
        <v>201610Q4</v>
      </c>
      <c r="J30" s="272">
        <f>IFERROR(VLOOKUP((D30&amp;C30)&amp;"",'[2]Retail Price List'!$C$4:$F$102,3,FALSE),"")</f>
        <v>665000</v>
      </c>
      <c r="K30" s="272">
        <f>IFERROR(IF(BA30="WIP - 30 Days",VLOOKUP(D30,[3]Standard!$B$9:$E$101,4,FALSE),IF(BA30="31-120 Days",VLOOKUP(D30,[3]Standard!$B$9:$F$101,5,FALSE),IF(BA30="121-365 Days",VLOOKUP(D30,[3]Standard!$B$9:$G$101,6,FALSE),VLOOKUP(D30,[3]Standard!$B$9:$H$101,7,FALSE)))),0)</f>
        <v>520562</v>
      </c>
      <c r="L30" s="272">
        <f>IFERROR(IF(BA30="WIP - 30 Days",VLOOKUP(D30,[3]Standard!$B$9:$J$101,9,FALSE),IF(BA30="31-120 Days",VLOOKUP(D30,[3]Standard!$B$9:$K$100,10,FALSE),IF(BA30="121-365 Days",VLOOKUP(D30,[3]Standard!$B$9:$L$101,11,FALSE),VLOOKUP(D30,[3]Standard!$B$9:$M$101,12,FALSE)))),0)</f>
        <v>505400</v>
      </c>
      <c r="M30" s="269">
        <f>IFERROR(VLOOKUP((D30&amp;C30)&amp;"",'[2]Retail Price List'!$C$4:$F$102,4,FALSE),"")</f>
        <v>674000</v>
      </c>
      <c r="N30" s="269">
        <f>IFERROR(IF(BA30="WIP - 30 Days",VLOOKUP(D30,[3]Extended!$B$9:$E$101,4,FALSE),IF(BA30="31-120 Days",VLOOKUP(D30,[3]Extended!$B$9:$F$101,5,FALSE),IF(BA30="121-365 Days",VLOOKUP(D30,[3]Extended!$B$9:$G$101,6,FALSE),VLOOKUP(D30,[3]Extended!$B$9:$H$101,7,FALSE)))),0)</f>
        <v>534549.4</v>
      </c>
      <c r="O30" s="269">
        <f>IFERROR(IF(BA30="WIP - 30 Days",VLOOKUP(D30,[3]Extended!$B$9:$J$101,9,FALSE),IF(BA30="31-120 Days",VLOOKUP(D30,[3]Extended!$B$9:$K$101,10,FALSE),IF(BA30="121-365 Days",VLOOKUP(D30,[3]Extended!$B$9:$L$101,11,FALSE),VLOOKUP(D30,[3]Extended!$B$9:$M$101,12,FALSE)))),0)</f>
        <v>518980</v>
      </c>
      <c r="P30" s="116">
        <f t="shared" si="1"/>
        <v>0.23</v>
      </c>
      <c r="Q30" s="110" t="e">
        <f>O30-#REF!</f>
        <v>#REF!</v>
      </c>
      <c r="W30" s="311"/>
      <c r="X30" s="311"/>
      <c r="Y30" s="311"/>
      <c r="Z30" s="311"/>
      <c r="AA30" s="311"/>
      <c r="AB30" s="311"/>
      <c r="AC30" s="311"/>
      <c r="AT30" s="88" t="str">
        <f t="shared" si="2"/>
        <v>KP000589201610Q416</v>
      </c>
      <c r="AU30" s="89" t="str">
        <f t="shared" si="3"/>
        <v>10-2016</v>
      </c>
      <c r="AW30" s="93" t="s">
        <v>331</v>
      </c>
      <c r="AX30" s="91" t="s">
        <v>287</v>
      </c>
      <c r="AY30" s="91" t="s">
        <v>303</v>
      </c>
      <c r="BA30" s="92" t="str">
        <f t="shared" si="4"/>
        <v>121-365 Days</v>
      </c>
    </row>
    <row r="31" spans="2:53">
      <c r="B31" s="60" t="str">
        <f>[2]Trucks!A28</f>
        <v>MA6-4986</v>
      </c>
      <c r="C31" s="11" t="str">
        <f>[2]Trucks!B28</f>
        <v>CLA-15-2204X2BB-C</v>
      </c>
      <c r="D31" s="19" t="str">
        <f>IFERROR(VLOOKUP(C31&amp;"",'[2]Retail Price List'!$A$3:$B$103,2,FALSE),"Special Order")</f>
        <v>KP000589</v>
      </c>
      <c r="E31" s="18" t="str">
        <f>[2]Trucks!J28</f>
        <v>UNSOLD</v>
      </c>
      <c r="F31" s="12">
        <f>[2]Trucks!E28</f>
        <v>102</v>
      </c>
      <c r="G31" s="56">
        <f>[2]Trucks!K28</f>
        <v>16</v>
      </c>
      <c r="H31" s="46">
        <f>[2]Trucks!I28</f>
        <v>42667</v>
      </c>
      <c r="I31" s="83" t="str">
        <f t="shared" si="0"/>
        <v>201610Q4</v>
      </c>
      <c r="J31" s="272">
        <f>IFERROR(VLOOKUP((D31&amp;C31)&amp;"",'[2]Retail Price List'!$C$4:$F$102,3,FALSE),"")</f>
        <v>665000</v>
      </c>
      <c r="K31" s="272">
        <f>IFERROR(IF(BA31="WIP - 30 Days",VLOOKUP(D31,[3]Standard!$B$9:$E$101,4,FALSE),IF(BA31="31-120 Days",VLOOKUP(D31,[3]Standard!$B$9:$F$101,5,FALSE),IF(BA31="121-365 Days",VLOOKUP(D31,[3]Standard!$B$9:$G$101,6,FALSE),VLOOKUP(D31,[3]Standard!$B$9:$H$101,7,FALSE)))),0)</f>
        <v>527411.5</v>
      </c>
      <c r="L31" s="272">
        <f>IFERROR(IF(BA31="WIP - 30 Days",VLOOKUP(D31,[3]Standard!$B$9:$J$101,9,FALSE),IF(BA31="31-120 Days",VLOOKUP(D31,[3]Standard!$B$9:$K$100,10,FALSE),IF(BA31="121-365 Days",VLOOKUP(D31,[3]Standard!$B$9:$L$101,11,FALSE),VLOOKUP(D31,[3]Standard!$B$9:$M$101,12,FALSE)))),0)</f>
        <v>512050</v>
      </c>
      <c r="M31" s="269">
        <f>IFERROR(VLOOKUP((D31&amp;C31)&amp;"",'[2]Retail Price List'!$C$4:$F$102,4,FALSE),"")</f>
        <v>674000</v>
      </c>
      <c r="N31" s="269">
        <f>IFERROR(IF(BA31="WIP - 30 Days",VLOOKUP(D31,[3]Extended!$B$9:$E$101,4,FALSE),IF(BA31="31-120 Days",VLOOKUP(D31,[3]Extended!$B$9:$F$101,5,FALSE),IF(BA31="121-365 Days",VLOOKUP(D31,[3]Extended!$B$9:$G$101,6,FALSE),VLOOKUP(D31,[3]Extended!$B$9:$H$101,7,FALSE)))),0)</f>
        <v>541491.6</v>
      </c>
      <c r="O31" s="269">
        <f>IFERROR(IF(BA31="WIP - 30 Days",VLOOKUP(D31,[3]Extended!$B$9:$J$101,9,FALSE),IF(BA31="31-120 Days",VLOOKUP(D31,[3]Extended!$B$9:$K$101,10,FALSE),IF(BA31="121-365 Days",VLOOKUP(D31,[3]Extended!$B$9:$L$101,11,FALSE),VLOOKUP(D31,[3]Extended!$B$9:$M$101,12,FALSE)))),0)</f>
        <v>525720</v>
      </c>
      <c r="P31" s="116">
        <f t="shared" si="1"/>
        <v>0.22</v>
      </c>
      <c r="Q31" s="110" t="e">
        <f>O31-#REF!</f>
        <v>#REF!</v>
      </c>
      <c r="W31" s="311"/>
      <c r="X31" s="311"/>
      <c r="Y31" s="311"/>
      <c r="Z31" s="311"/>
      <c r="AA31" s="311"/>
      <c r="AB31" s="311"/>
      <c r="AC31" s="311"/>
      <c r="AT31" s="88" t="str">
        <f t="shared" si="2"/>
        <v>KP000589201610Q416</v>
      </c>
      <c r="AU31" s="89" t="str">
        <f t="shared" si="3"/>
        <v>10-2016</v>
      </c>
      <c r="AW31" s="93" t="s">
        <v>332</v>
      </c>
      <c r="AX31" s="95" t="s">
        <v>287</v>
      </c>
      <c r="AY31" s="91" t="s">
        <v>303</v>
      </c>
      <c r="BA31" s="92" t="str">
        <f t="shared" si="4"/>
        <v>31-120 Days</v>
      </c>
    </row>
    <row r="32" spans="2:53">
      <c r="B32" s="60" t="str">
        <f>[2]Trucks!A29</f>
        <v>MA6-5109</v>
      </c>
      <c r="C32" s="11" t="str">
        <f>[2]Trucks!B29</f>
        <v>CLA-15-2204X2BB-C</v>
      </c>
      <c r="D32" s="19" t="str">
        <f>IFERROR(VLOOKUP(C32&amp;"",'[2]Retail Price List'!$A$3:$B$103,2,FALSE),"Special Order")</f>
        <v>KP000589</v>
      </c>
      <c r="E32" s="18" t="str">
        <f>[2]Trucks!J29</f>
        <v>CKD</v>
      </c>
      <c r="F32" s="12" t="str">
        <f>[2]Trucks!E29</f>
        <v>2017-11-13</v>
      </c>
      <c r="G32" s="56">
        <f>[2]Trucks!K29</f>
        <v>14.7</v>
      </c>
      <c r="H32" s="46">
        <f>[2]Trucks!I29</f>
        <v>42859</v>
      </c>
      <c r="I32" s="83" t="str">
        <f t="shared" si="0"/>
        <v>2017Q2</v>
      </c>
      <c r="J32" s="272">
        <f>IFERROR(VLOOKUP((D32&amp;C32)&amp;"",'[2]Retail Price List'!$C$4:$F$102,3,FALSE),"")</f>
        <v>665000</v>
      </c>
      <c r="K32" s="272">
        <f>IFERROR(IF(BA32="WIP - 30 Days",VLOOKUP(D32,[3]Standard!$B$9:$E$101,4,FALSE),IF(BA32="31-120 Days",VLOOKUP(D32,[3]Standard!$B$9:$F$101,5,FALSE),IF(BA32="121-365 Days",VLOOKUP(D32,[3]Standard!$B$9:$G$101,6,FALSE),VLOOKUP(D32,[3]Standard!$B$9:$H$101,7,FALSE)))),0)</f>
        <v>541110.5</v>
      </c>
      <c r="L32" s="272">
        <f>IFERROR(IF(BA32="WIP - 30 Days",VLOOKUP(D32,[3]Standard!$B$9:$J$101,9,FALSE),IF(BA32="31-120 Days",VLOOKUP(D32,[3]Standard!$B$9:$K$100,10,FALSE),IF(BA32="121-365 Days",VLOOKUP(D32,[3]Standard!$B$9:$L$101,11,FALSE),VLOOKUP(D32,[3]Standard!$B$9:$M$101,12,FALSE)))),0)</f>
        <v>525350</v>
      </c>
      <c r="M32" s="269">
        <f>IFERROR(VLOOKUP((D32&amp;C32)&amp;"",'[2]Retail Price List'!$C$4:$F$102,4,FALSE),"")</f>
        <v>674000</v>
      </c>
      <c r="N32" s="269">
        <f>IFERROR(IF(BA32="WIP - 30 Days",VLOOKUP(D32,[3]Extended!$B$9:$E$101,4,FALSE),IF(BA32="31-120 Days",VLOOKUP(D32,[3]Extended!$B$9:$F$101,5,FALSE),IF(BA32="121-365 Days",VLOOKUP(D32,[3]Extended!$B$9:$G$101,6,FALSE),VLOOKUP(D32,[3]Extended!$B$9:$H$101,7,FALSE)))),0)</f>
        <v>555376</v>
      </c>
      <c r="O32" s="269">
        <f>IFERROR(IF(BA32="WIP - 30 Days",VLOOKUP(D32,[3]Extended!$B$9:$J$101,9,FALSE),IF(BA32="31-120 Days",VLOOKUP(D32,[3]Extended!$B$9:$K$101,10,FALSE),IF(BA32="121-365 Days",VLOOKUP(D32,[3]Extended!$B$9:$L$101,11,FALSE),VLOOKUP(D32,[3]Extended!$B$9:$M$101,12,FALSE)))),0)</f>
        <v>539200</v>
      </c>
      <c r="P32" s="116">
        <f t="shared" si="1"/>
        <v>0.2</v>
      </c>
      <c r="Q32" s="110" t="e">
        <f>O32-#REF!</f>
        <v>#REF!</v>
      </c>
      <c r="W32" s="311"/>
      <c r="X32" s="311"/>
      <c r="Y32" s="311"/>
      <c r="Z32" s="311"/>
      <c r="AA32" s="311"/>
      <c r="AB32" s="311"/>
      <c r="AC32" s="311"/>
      <c r="AT32" s="88" t="str">
        <f t="shared" si="2"/>
        <v>KP0005892017Q214,7</v>
      </c>
      <c r="AU32" s="89" t="str">
        <f t="shared" si="3"/>
        <v>05-2017</v>
      </c>
      <c r="AW32" s="93" t="s">
        <v>333</v>
      </c>
      <c r="AX32" s="95" t="s">
        <v>288</v>
      </c>
      <c r="AY32" s="91" t="s">
        <v>304</v>
      </c>
      <c r="BA32" s="92" t="str">
        <f t="shared" si="4"/>
        <v>WIP - 30 Days</v>
      </c>
    </row>
    <row r="33" spans="2:53">
      <c r="B33" s="60" t="str">
        <f>[2]Trucks!A30</f>
        <v>MA6-5110</v>
      </c>
      <c r="C33" s="11" t="str">
        <f>[2]Trucks!B30</f>
        <v>CLA-15-2204X2BB-C</v>
      </c>
      <c r="D33" s="19" t="str">
        <f>IFERROR(VLOOKUP(C33&amp;"",'[2]Retail Price List'!$A$3:$B$103,2,FALSE),"Special Order")</f>
        <v>KP000589</v>
      </c>
      <c r="E33" s="18" t="str">
        <f>[2]Trucks!J30</f>
        <v>CKD</v>
      </c>
      <c r="F33" s="12" t="str">
        <f>[2]Trucks!E30</f>
        <v>2017-11-13</v>
      </c>
      <c r="G33" s="56">
        <f>[2]Trucks!K30</f>
        <v>14.7</v>
      </c>
      <c r="H33" s="46">
        <f>[2]Trucks!I30</f>
        <v>42859</v>
      </c>
      <c r="I33" s="83" t="str">
        <f t="shared" si="0"/>
        <v>2017Q2</v>
      </c>
      <c r="J33" s="272">
        <f>IFERROR(VLOOKUP((D33&amp;C33)&amp;"",'[2]Retail Price List'!$C$4:$F$102,3,FALSE),"")</f>
        <v>665000</v>
      </c>
      <c r="K33" s="272">
        <f>IFERROR(IF(BA33="WIP - 30 Days",VLOOKUP(D33,[3]Standard!$B$9:$E$101,4,FALSE),IF(BA33="31-120 Days",VLOOKUP(D33,[3]Standard!$B$9:$F$101,5,FALSE),IF(BA33="121-365 Days",VLOOKUP(D33,[3]Standard!$B$9:$G$101,6,FALSE),VLOOKUP(D33,[3]Standard!$B$9:$H$101,7,FALSE)))),0)</f>
        <v>541110.5</v>
      </c>
      <c r="L33" s="272">
        <f>IFERROR(IF(BA33="WIP - 30 Days",VLOOKUP(D33,[3]Standard!$B$9:$J$101,9,FALSE),IF(BA33="31-120 Days",VLOOKUP(D33,[3]Standard!$B$9:$K$100,10,FALSE),IF(BA33="121-365 Days",VLOOKUP(D33,[3]Standard!$B$9:$L$101,11,FALSE),VLOOKUP(D33,[3]Standard!$B$9:$M$101,12,FALSE)))),0)</f>
        <v>525350</v>
      </c>
      <c r="M33" s="269">
        <f>IFERROR(VLOOKUP((D33&amp;C33)&amp;"",'[2]Retail Price List'!$C$4:$F$102,4,FALSE),"")</f>
        <v>674000</v>
      </c>
      <c r="N33" s="269">
        <f>IFERROR(IF(BA33="WIP - 30 Days",VLOOKUP(D33,[3]Extended!$B$9:$E$101,4,FALSE),IF(BA33="31-120 Days",VLOOKUP(D33,[3]Extended!$B$9:$F$101,5,FALSE),IF(BA33="121-365 Days",VLOOKUP(D33,[3]Extended!$B$9:$G$101,6,FALSE),VLOOKUP(D33,[3]Extended!$B$9:$H$101,7,FALSE)))),0)</f>
        <v>555376</v>
      </c>
      <c r="O33" s="269">
        <f>IFERROR(IF(BA33="WIP - 30 Days",VLOOKUP(D33,[3]Extended!$B$9:$J$101,9,FALSE),IF(BA33="31-120 Days",VLOOKUP(D33,[3]Extended!$B$9:$K$101,10,FALSE),IF(BA33="121-365 Days",VLOOKUP(D33,[3]Extended!$B$9:$L$101,11,FALSE),VLOOKUP(D33,[3]Extended!$B$9:$M$101,12,FALSE)))),0)</f>
        <v>539200</v>
      </c>
      <c r="P33" s="116">
        <f t="shared" si="1"/>
        <v>0.2</v>
      </c>
      <c r="Q33" s="110" t="e">
        <f>O33-#REF!</f>
        <v>#REF!</v>
      </c>
      <c r="W33" s="311"/>
      <c r="X33" s="311"/>
      <c r="Y33" s="311"/>
      <c r="Z33" s="311"/>
      <c r="AA33" s="311"/>
      <c r="AB33" s="311"/>
      <c r="AC33" s="311"/>
      <c r="AT33" s="88" t="str">
        <f t="shared" si="2"/>
        <v>KP0005892017Q214,7</v>
      </c>
      <c r="AU33" s="89" t="str">
        <f t="shared" si="3"/>
        <v>05-2017</v>
      </c>
      <c r="AW33" s="93" t="s">
        <v>334</v>
      </c>
      <c r="AX33" s="95" t="s">
        <v>288</v>
      </c>
      <c r="AY33" s="91" t="s">
        <v>304</v>
      </c>
      <c r="BA33" s="92" t="str">
        <f t="shared" si="4"/>
        <v>WIP - 30 Days</v>
      </c>
    </row>
    <row r="34" spans="2:53">
      <c r="B34" s="60" t="str">
        <f>[2]Trucks!A31</f>
        <v>MA6-5111</v>
      </c>
      <c r="C34" s="11" t="str">
        <f>[2]Trucks!B31</f>
        <v>CLA-15-2204X2BB-C</v>
      </c>
      <c r="D34" s="19" t="str">
        <f>IFERROR(VLOOKUP(C34&amp;"",'[2]Retail Price List'!$A$3:$B$103,2,FALSE),"Special Order")</f>
        <v>KP000589</v>
      </c>
      <c r="E34" s="18" t="str">
        <f>[2]Trucks!J31</f>
        <v>CKD</v>
      </c>
      <c r="F34" s="12" t="str">
        <f>[2]Trucks!E31</f>
        <v>2017-11-13</v>
      </c>
      <c r="G34" s="56">
        <f>[2]Trucks!K31</f>
        <v>14.7</v>
      </c>
      <c r="H34" s="46">
        <f>[2]Trucks!I31</f>
        <v>42859</v>
      </c>
      <c r="I34" s="83" t="str">
        <f t="shared" si="0"/>
        <v>2017Q2</v>
      </c>
      <c r="J34" s="272">
        <f>IFERROR(VLOOKUP((D34&amp;C34)&amp;"",'[2]Retail Price List'!$C$4:$F$102,3,FALSE),"")</f>
        <v>665000</v>
      </c>
      <c r="K34" s="272">
        <f>IFERROR(IF(BA34="WIP - 30 Days",VLOOKUP(D34,[3]Standard!$B$9:$E$101,4,FALSE),IF(BA34="31-120 Days",VLOOKUP(D34,[3]Standard!$B$9:$F$101,5,FALSE),IF(BA34="121-365 Days",VLOOKUP(D34,[3]Standard!$B$9:$G$101,6,FALSE),VLOOKUP(D34,[3]Standard!$B$9:$H$101,7,FALSE)))),0)</f>
        <v>541110.5</v>
      </c>
      <c r="L34" s="272">
        <f>IFERROR(IF(BA34="WIP - 30 Days",VLOOKUP(D34,[3]Standard!$B$9:$J$101,9,FALSE),IF(BA34="31-120 Days",VLOOKUP(D34,[3]Standard!$B$9:$K$100,10,FALSE),IF(BA34="121-365 Days",VLOOKUP(D34,[3]Standard!$B$9:$L$101,11,FALSE),VLOOKUP(D34,[3]Standard!$B$9:$M$101,12,FALSE)))),0)</f>
        <v>525350</v>
      </c>
      <c r="M34" s="269">
        <f>IFERROR(VLOOKUP((D34&amp;C34)&amp;"",'[2]Retail Price List'!$C$4:$F$102,4,FALSE),"")</f>
        <v>674000</v>
      </c>
      <c r="N34" s="269">
        <f>IFERROR(IF(BA34="WIP - 30 Days",VLOOKUP(D34,[3]Extended!$B$9:$E$101,4,FALSE),IF(BA34="31-120 Days",VLOOKUP(D34,[3]Extended!$B$9:$F$101,5,FALSE),IF(BA34="121-365 Days",VLOOKUP(D34,[3]Extended!$B$9:$G$101,6,FALSE),VLOOKUP(D34,[3]Extended!$B$9:$H$101,7,FALSE)))),0)</f>
        <v>555376</v>
      </c>
      <c r="O34" s="269">
        <f>IFERROR(IF(BA34="WIP - 30 Days",VLOOKUP(D34,[3]Extended!$B$9:$J$101,9,FALSE),IF(BA34="31-120 Days",VLOOKUP(D34,[3]Extended!$B$9:$K$101,10,FALSE),IF(BA34="121-365 Days",VLOOKUP(D34,[3]Extended!$B$9:$L$101,11,FALSE),VLOOKUP(D34,[3]Extended!$B$9:$M$101,12,FALSE)))),0)</f>
        <v>539200</v>
      </c>
      <c r="P34" s="116">
        <f t="shared" si="1"/>
        <v>0.2</v>
      </c>
      <c r="Q34" s="110" t="e">
        <f>O34-#REF!</f>
        <v>#REF!</v>
      </c>
      <c r="W34" s="311"/>
      <c r="X34" s="311"/>
      <c r="Y34" s="311"/>
      <c r="Z34" s="311"/>
      <c r="AA34" s="311"/>
      <c r="AB34" s="311"/>
      <c r="AC34" s="311"/>
      <c r="AT34" s="88" t="str">
        <f t="shared" si="2"/>
        <v>KP0005892017Q214,7</v>
      </c>
      <c r="AU34" s="89" t="str">
        <f t="shared" si="3"/>
        <v>05-2017</v>
      </c>
      <c r="AW34" s="93" t="s">
        <v>335</v>
      </c>
      <c r="AX34" s="95" t="s">
        <v>288</v>
      </c>
      <c r="AY34" s="91" t="s">
        <v>304</v>
      </c>
      <c r="BA34" s="92" t="str">
        <f t="shared" si="4"/>
        <v>WIP - 30 Days</v>
      </c>
    </row>
    <row r="35" spans="2:53">
      <c r="B35" s="60" t="str">
        <f>[2]Trucks!A32</f>
        <v>MA6-5112</v>
      </c>
      <c r="C35" s="11" t="str">
        <f>[2]Trucks!B32</f>
        <v>CLA-15-2204X2BB-C</v>
      </c>
      <c r="D35" s="19" t="str">
        <f>IFERROR(VLOOKUP(C35&amp;"",'[2]Retail Price List'!$A$3:$B$103,2,FALSE),"Special Order")</f>
        <v>KP000589</v>
      </c>
      <c r="E35" s="18" t="str">
        <f>[2]Trucks!J32</f>
        <v>CKD</v>
      </c>
      <c r="F35" s="12" t="str">
        <f>[2]Trucks!E32</f>
        <v>2017-11-14</v>
      </c>
      <c r="G35" s="56">
        <f>[2]Trucks!K32</f>
        <v>14.7</v>
      </c>
      <c r="H35" s="46">
        <f>[2]Trucks!I32</f>
        <v>42859</v>
      </c>
      <c r="I35" s="83" t="str">
        <f t="shared" si="0"/>
        <v>2017Q2</v>
      </c>
      <c r="J35" s="272">
        <f>IFERROR(VLOOKUP((D35&amp;C35)&amp;"",'[2]Retail Price List'!$C$4:$F$102,3,FALSE),"")</f>
        <v>665000</v>
      </c>
      <c r="K35" s="272">
        <f>IFERROR(IF(BA35="WIP - 30 Days",VLOOKUP(D35,[3]Standard!$B$9:$E$101,4,FALSE),IF(BA35="31-120 Days",VLOOKUP(D35,[3]Standard!$B$9:$F$101,5,FALSE),IF(BA35="121-365 Days",VLOOKUP(D35,[3]Standard!$B$9:$G$101,6,FALSE),VLOOKUP(D35,[3]Standard!$B$9:$H$101,7,FALSE)))),0)</f>
        <v>541110.5</v>
      </c>
      <c r="L35" s="272">
        <f>IFERROR(IF(BA35="WIP - 30 Days",VLOOKUP(D35,[3]Standard!$B$9:$J$101,9,FALSE),IF(BA35="31-120 Days",VLOOKUP(D35,[3]Standard!$B$9:$K$100,10,FALSE),IF(BA35="121-365 Days",VLOOKUP(D35,[3]Standard!$B$9:$L$101,11,FALSE),VLOOKUP(D35,[3]Standard!$B$9:$M$101,12,FALSE)))),0)</f>
        <v>525350</v>
      </c>
      <c r="M35" s="269">
        <f>IFERROR(VLOOKUP((D35&amp;C35)&amp;"",'[2]Retail Price List'!$C$4:$F$102,4,FALSE),"")</f>
        <v>674000</v>
      </c>
      <c r="N35" s="269">
        <f>IFERROR(IF(BA35="WIP - 30 Days",VLOOKUP(D35,[3]Extended!$B$9:$E$101,4,FALSE),IF(BA35="31-120 Days",VLOOKUP(D35,[3]Extended!$B$9:$F$101,5,FALSE),IF(BA35="121-365 Days",VLOOKUP(D35,[3]Extended!$B$9:$G$101,6,FALSE),VLOOKUP(D35,[3]Extended!$B$9:$H$101,7,FALSE)))),0)</f>
        <v>555376</v>
      </c>
      <c r="O35" s="269">
        <f>IFERROR(IF(BA35="WIP - 30 Days",VLOOKUP(D35,[3]Extended!$B$9:$J$101,9,FALSE),IF(BA35="31-120 Days",VLOOKUP(D35,[3]Extended!$B$9:$K$101,10,FALSE),IF(BA35="121-365 Days",VLOOKUP(D35,[3]Extended!$B$9:$L$101,11,FALSE),VLOOKUP(D35,[3]Extended!$B$9:$M$101,12,FALSE)))),0)</f>
        <v>539200</v>
      </c>
      <c r="P35" s="116">
        <f t="shared" si="1"/>
        <v>0.2</v>
      </c>
      <c r="Q35" s="110" t="e">
        <f>O35-#REF!</f>
        <v>#REF!</v>
      </c>
      <c r="W35" s="311"/>
      <c r="X35" s="311"/>
      <c r="Y35" s="311"/>
      <c r="Z35" s="311"/>
      <c r="AA35" s="311"/>
      <c r="AB35" s="311"/>
      <c r="AC35" s="311"/>
      <c r="AT35" s="88" t="str">
        <f t="shared" si="2"/>
        <v>KP0005892017Q214,7</v>
      </c>
      <c r="AU35" s="89" t="str">
        <f t="shared" si="3"/>
        <v>05-2017</v>
      </c>
      <c r="AW35" s="93" t="s">
        <v>336</v>
      </c>
      <c r="AX35" s="95" t="s">
        <v>289</v>
      </c>
      <c r="AY35" s="91" t="s">
        <v>305</v>
      </c>
      <c r="BA35" s="92" t="str">
        <f t="shared" si="4"/>
        <v>WIP - 30 Days</v>
      </c>
    </row>
    <row r="36" spans="2:53">
      <c r="B36" s="60" t="str">
        <f>[2]Trucks!A33</f>
        <v>MA6-5113</v>
      </c>
      <c r="C36" s="11" t="str">
        <f>[2]Trucks!B33</f>
        <v>CLA-15-2204X2BB-C</v>
      </c>
      <c r="D36" s="19" t="str">
        <f>IFERROR(VLOOKUP(C36&amp;"",'[2]Retail Price List'!$A$3:$B$103,2,FALSE),"Special Order")</f>
        <v>KP000589</v>
      </c>
      <c r="E36" s="18" t="str">
        <f>[2]Trucks!J33</f>
        <v>CKD</v>
      </c>
      <c r="F36" s="12" t="str">
        <f>[2]Trucks!E33</f>
        <v>2017-11-14</v>
      </c>
      <c r="G36" s="56">
        <f>[2]Trucks!K33</f>
        <v>14.7</v>
      </c>
      <c r="H36" s="46">
        <f>[2]Trucks!I33</f>
        <v>42859</v>
      </c>
      <c r="I36" s="83" t="str">
        <f t="shared" si="0"/>
        <v>2017Q2</v>
      </c>
      <c r="J36" s="272">
        <f>IFERROR(VLOOKUP((D36&amp;C36)&amp;"",'[2]Retail Price List'!$C$4:$F$102,3,FALSE),"")</f>
        <v>665000</v>
      </c>
      <c r="K36" s="272">
        <f>IFERROR(IF(BA36="WIP - 30 Days",VLOOKUP(D36,[3]Standard!$B$9:$E$101,4,FALSE),IF(BA36="31-120 Days",VLOOKUP(D36,[3]Standard!$B$9:$F$101,5,FALSE),IF(BA36="121-365 Days",VLOOKUP(D36,[3]Standard!$B$9:$G$101,6,FALSE),VLOOKUP(D36,[3]Standard!$B$9:$H$101,7,FALSE)))),0)</f>
        <v>541110.5</v>
      </c>
      <c r="L36" s="272">
        <f>IFERROR(IF(BA36="WIP - 30 Days",VLOOKUP(D36,[3]Standard!$B$9:$J$101,9,FALSE),IF(BA36="31-120 Days",VLOOKUP(D36,[3]Standard!$B$9:$K$100,10,FALSE),IF(BA36="121-365 Days",VLOOKUP(D36,[3]Standard!$B$9:$L$101,11,FALSE),VLOOKUP(D36,[3]Standard!$B$9:$M$101,12,FALSE)))),0)</f>
        <v>525350</v>
      </c>
      <c r="M36" s="269">
        <f>IFERROR(VLOOKUP((D36&amp;C36)&amp;"",'[2]Retail Price List'!$C$4:$F$102,4,FALSE),"")</f>
        <v>674000</v>
      </c>
      <c r="N36" s="269">
        <f>IFERROR(IF(BA36="WIP - 30 Days",VLOOKUP(D36,[3]Extended!$B$9:$E$101,4,FALSE),IF(BA36="31-120 Days",VLOOKUP(D36,[3]Extended!$B$9:$F$101,5,FALSE),IF(BA36="121-365 Days",VLOOKUP(D36,[3]Extended!$B$9:$G$101,6,FALSE),VLOOKUP(D36,[3]Extended!$B$9:$H$101,7,FALSE)))),0)</f>
        <v>555376</v>
      </c>
      <c r="O36" s="269">
        <f>IFERROR(IF(BA36="WIP - 30 Days",VLOOKUP(D36,[3]Extended!$B$9:$J$101,9,FALSE),IF(BA36="31-120 Days",VLOOKUP(D36,[3]Extended!$B$9:$K$101,10,FALSE),IF(BA36="121-365 Days",VLOOKUP(D36,[3]Extended!$B$9:$L$101,11,FALSE),VLOOKUP(D36,[3]Extended!$B$9:$M$101,12,FALSE)))),0)</f>
        <v>539200</v>
      </c>
      <c r="P36" s="116">
        <f t="shared" si="1"/>
        <v>0.2</v>
      </c>
      <c r="Q36" s="110" t="e">
        <f>O36-#REF!</f>
        <v>#REF!</v>
      </c>
      <c r="W36" s="311"/>
      <c r="X36" s="311"/>
      <c r="Y36" s="311"/>
      <c r="Z36" s="311"/>
      <c r="AA36" s="311"/>
      <c r="AB36" s="311"/>
      <c r="AC36" s="311"/>
      <c r="AT36" s="88" t="str">
        <f t="shared" si="2"/>
        <v>KP0005892017Q214,7</v>
      </c>
      <c r="AU36" s="89" t="str">
        <f t="shared" si="3"/>
        <v>05-2017</v>
      </c>
      <c r="AW36" s="93" t="s">
        <v>337</v>
      </c>
      <c r="AX36" s="95" t="s">
        <v>289</v>
      </c>
      <c r="AY36" s="91" t="s">
        <v>305</v>
      </c>
      <c r="BA36" s="92" t="str">
        <f t="shared" si="4"/>
        <v>WIP - 30 Days</v>
      </c>
    </row>
    <row r="37" spans="2:53">
      <c r="B37" s="60" t="str">
        <f>[2]Trucks!A34</f>
        <v>MA6-5114</v>
      </c>
      <c r="C37" s="11" t="str">
        <f>[2]Trucks!B34</f>
        <v>CLA-15-2204X2BB-C</v>
      </c>
      <c r="D37" s="19" t="str">
        <f>IFERROR(VLOOKUP(C37&amp;"",'[2]Retail Price List'!$A$3:$B$103,2,FALSE),"Special Order")</f>
        <v>KP000589</v>
      </c>
      <c r="E37" s="18" t="str">
        <f>[2]Trucks!J34</f>
        <v>CKD</v>
      </c>
      <c r="F37" s="12" t="str">
        <f>[2]Trucks!E34</f>
        <v>2017-11-14</v>
      </c>
      <c r="G37" s="56">
        <f>[2]Trucks!K34</f>
        <v>14.7</v>
      </c>
      <c r="H37" s="46">
        <f>[2]Trucks!I34</f>
        <v>42859</v>
      </c>
      <c r="I37" s="83" t="str">
        <f t="shared" si="0"/>
        <v>2017Q2</v>
      </c>
      <c r="J37" s="272">
        <f>IFERROR(VLOOKUP((D37&amp;C37)&amp;"",'[2]Retail Price List'!$C$4:$F$102,3,FALSE),"")</f>
        <v>665000</v>
      </c>
      <c r="K37" s="272">
        <f>IFERROR(IF(BA37="WIP - 30 Days",VLOOKUP(D37,[3]Standard!$B$9:$E$101,4,FALSE),IF(BA37="31-120 Days",VLOOKUP(D37,[3]Standard!$B$9:$F$101,5,FALSE),IF(BA37="121-365 Days",VLOOKUP(D37,[3]Standard!$B$9:$G$101,6,FALSE),VLOOKUP(D37,[3]Standard!$B$9:$H$101,7,FALSE)))),0)</f>
        <v>541110.5</v>
      </c>
      <c r="L37" s="272">
        <f>IFERROR(IF(BA37="WIP - 30 Days",VLOOKUP(D37,[3]Standard!$B$9:$J$101,9,FALSE),IF(BA37="31-120 Days",VLOOKUP(D37,[3]Standard!$B$9:$K$100,10,FALSE),IF(BA37="121-365 Days",VLOOKUP(D37,[3]Standard!$B$9:$L$101,11,FALSE),VLOOKUP(D37,[3]Standard!$B$9:$M$101,12,FALSE)))),0)</f>
        <v>525350</v>
      </c>
      <c r="M37" s="269">
        <f>IFERROR(VLOOKUP((D37&amp;C37)&amp;"",'[2]Retail Price List'!$C$4:$F$102,4,FALSE),"")</f>
        <v>674000</v>
      </c>
      <c r="N37" s="269">
        <f>IFERROR(IF(BA37="WIP - 30 Days",VLOOKUP(D37,[3]Extended!$B$9:$E$101,4,FALSE),IF(BA37="31-120 Days",VLOOKUP(D37,[3]Extended!$B$9:$F$101,5,FALSE),IF(BA37="121-365 Days",VLOOKUP(D37,[3]Extended!$B$9:$G$101,6,FALSE),VLOOKUP(D37,[3]Extended!$B$9:$H$101,7,FALSE)))),0)</f>
        <v>555376</v>
      </c>
      <c r="O37" s="269">
        <f>IFERROR(IF(BA37="WIP - 30 Days",VLOOKUP(D37,[3]Extended!$B$9:$J$101,9,FALSE),IF(BA37="31-120 Days",VLOOKUP(D37,[3]Extended!$B$9:$K$101,10,FALSE),IF(BA37="121-365 Days",VLOOKUP(D37,[3]Extended!$B$9:$L$101,11,FALSE),VLOOKUP(D37,[3]Extended!$B$9:$M$101,12,FALSE)))),0)</f>
        <v>539200</v>
      </c>
      <c r="P37" s="116">
        <f t="shared" si="1"/>
        <v>0.2</v>
      </c>
      <c r="Q37" s="110" t="e">
        <f>O37-#REF!</f>
        <v>#REF!</v>
      </c>
      <c r="W37" s="311"/>
      <c r="X37" s="311"/>
      <c r="Y37" s="311"/>
      <c r="Z37" s="311"/>
      <c r="AA37" s="311"/>
      <c r="AB37" s="311"/>
      <c r="AC37" s="311"/>
      <c r="AT37" s="88" t="str">
        <f t="shared" si="2"/>
        <v>KP0005892017Q214,7</v>
      </c>
      <c r="AU37" s="89" t="str">
        <f t="shared" si="3"/>
        <v>05-2017</v>
      </c>
      <c r="AW37" s="93" t="s">
        <v>338</v>
      </c>
      <c r="AX37" s="95" t="s">
        <v>289</v>
      </c>
      <c r="AY37" s="91" t="s">
        <v>305</v>
      </c>
      <c r="BA37" s="92" t="str">
        <f t="shared" si="4"/>
        <v>WIP - 30 Days</v>
      </c>
    </row>
    <row r="38" spans="2:53">
      <c r="B38" s="60" t="str">
        <f>[2]Trucks!A35</f>
        <v>MA6-5165</v>
      </c>
      <c r="C38" s="11" t="str">
        <f>[2]Trucks!B35</f>
        <v>CLA-15-2204X2BB-C</v>
      </c>
      <c r="D38" s="19" t="str">
        <f>IFERROR(VLOOKUP(C38&amp;"",'[2]Retail Price List'!$A$3:$B$103,2,FALSE),"Special Order")</f>
        <v>KP000589</v>
      </c>
      <c r="E38" s="18" t="str">
        <f>[2]Trucks!J35</f>
        <v>CKD</v>
      </c>
      <c r="F38" s="12" t="str">
        <f>[2]Trucks!E35</f>
        <v>2017-12-31</v>
      </c>
      <c r="G38" s="56">
        <f>[2]Trucks!K35</f>
        <v>14.7</v>
      </c>
      <c r="H38" s="46">
        <f>[2]Trucks!I35</f>
        <v>42900</v>
      </c>
      <c r="I38" s="83" t="str">
        <f t="shared" si="0"/>
        <v>2017Q2</v>
      </c>
      <c r="J38" s="272">
        <f>IFERROR(VLOOKUP((D38&amp;C38)&amp;"",'[2]Retail Price List'!$C$4:$F$102,3,FALSE),"")</f>
        <v>665000</v>
      </c>
      <c r="K38" s="272">
        <f>IFERROR(IF(BA38="WIP - 30 Days",VLOOKUP(D38,[3]Standard!$B$9:$E$101,4,FALSE),IF(BA38="31-120 Days",VLOOKUP(D38,[3]Standard!$B$9:$F$101,5,FALSE),IF(BA38="121-365 Days",VLOOKUP(D38,[3]Standard!$B$9:$G$101,6,FALSE),VLOOKUP(D38,[3]Standard!$B$9:$H$101,7,FALSE)))),0)</f>
        <v>541110.5</v>
      </c>
      <c r="L38" s="272">
        <f>IFERROR(IF(BA38="WIP - 30 Days",VLOOKUP(D38,[3]Standard!$B$9:$J$101,9,FALSE),IF(BA38="31-120 Days",VLOOKUP(D38,[3]Standard!$B$9:$K$100,10,FALSE),IF(BA38="121-365 Days",VLOOKUP(D38,[3]Standard!$B$9:$L$101,11,FALSE),VLOOKUP(D38,[3]Standard!$B$9:$M$101,12,FALSE)))),0)</f>
        <v>525350</v>
      </c>
      <c r="M38" s="269">
        <f>IFERROR(VLOOKUP((D38&amp;C38)&amp;"",'[2]Retail Price List'!$C$4:$F$102,4,FALSE),"")</f>
        <v>674000</v>
      </c>
      <c r="N38" s="269">
        <f>IFERROR(IF(BA38="WIP - 30 Days",VLOOKUP(D38,[3]Extended!$B$9:$E$101,4,FALSE),IF(BA38="31-120 Days",VLOOKUP(D38,[3]Extended!$B$9:$F$101,5,FALSE),IF(BA38="121-365 Days",VLOOKUP(D38,[3]Extended!$B$9:$G$101,6,FALSE),VLOOKUP(D38,[3]Extended!$B$9:$H$101,7,FALSE)))),0)</f>
        <v>555376</v>
      </c>
      <c r="O38" s="269">
        <f>IFERROR(IF(BA38="WIP - 30 Days",VLOOKUP(D38,[3]Extended!$B$9:$J$101,9,FALSE),IF(BA38="31-120 Days",VLOOKUP(D38,[3]Extended!$B$9:$K$101,10,FALSE),IF(BA38="121-365 Days",VLOOKUP(D38,[3]Extended!$B$9:$L$101,11,FALSE),VLOOKUP(D38,[3]Extended!$B$9:$M$101,12,FALSE)))),0)</f>
        <v>539200</v>
      </c>
      <c r="P38" s="116">
        <f t="shared" si="1"/>
        <v>0.2</v>
      </c>
      <c r="Q38" s="110" t="e">
        <f>O38-#REF!</f>
        <v>#REF!</v>
      </c>
      <c r="W38" s="311"/>
      <c r="X38" s="311"/>
      <c r="Y38" s="311"/>
      <c r="Z38" s="311"/>
      <c r="AA38" s="311"/>
      <c r="AB38" s="311"/>
      <c r="AC38" s="311"/>
      <c r="AT38" s="88" t="str">
        <f t="shared" si="2"/>
        <v>KP0005892017Q214,7</v>
      </c>
      <c r="AU38" s="89" t="str">
        <f t="shared" si="3"/>
        <v>06-2017</v>
      </c>
      <c r="AW38" s="93" t="s">
        <v>339</v>
      </c>
      <c r="AX38" s="95" t="s">
        <v>290</v>
      </c>
      <c r="AY38" s="91" t="s">
        <v>306</v>
      </c>
      <c r="BA38" s="92" t="str">
        <f t="shared" si="4"/>
        <v>WIP - 30 Days</v>
      </c>
    </row>
    <row r="39" spans="2:53">
      <c r="B39" s="60" t="str">
        <f>[2]Trucks!A36</f>
        <v>MA6-5166</v>
      </c>
      <c r="C39" s="11" t="str">
        <f>[2]Trucks!B36</f>
        <v>CLA-15-2204X2BB-C</v>
      </c>
      <c r="D39" s="19" t="str">
        <f>IFERROR(VLOOKUP(C39&amp;"",'[2]Retail Price List'!$A$3:$B$103,2,FALSE),"Special Order")</f>
        <v>KP000589</v>
      </c>
      <c r="E39" s="18" t="str">
        <f>[2]Trucks!J36</f>
        <v>CKD</v>
      </c>
      <c r="F39" s="12" t="str">
        <f>[2]Trucks!E36</f>
        <v>2017-12-31</v>
      </c>
      <c r="G39" s="56">
        <f>[2]Trucks!K36</f>
        <v>14.7</v>
      </c>
      <c r="H39" s="46">
        <f>[2]Trucks!I36</f>
        <v>42900</v>
      </c>
      <c r="I39" s="83" t="str">
        <f t="shared" si="0"/>
        <v>2017Q2</v>
      </c>
      <c r="J39" s="272">
        <f>IFERROR(VLOOKUP((D39&amp;C39)&amp;"",'[2]Retail Price List'!$C$4:$F$102,3,FALSE),"")</f>
        <v>665000</v>
      </c>
      <c r="K39" s="272">
        <f>IFERROR(IF(BA39="WIP - 30 Days",VLOOKUP(D39,[3]Standard!$B$9:$E$101,4,FALSE),IF(BA39="31-120 Days",VLOOKUP(D39,[3]Standard!$B$9:$F$101,5,FALSE),IF(BA39="121-365 Days",VLOOKUP(D39,[3]Standard!$B$9:$G$101,6,FALSE),VLOOKUP(D39,[3]Standard!$B$9:$H$101,7,FALSE)))),0)</f>
        <v>541110.5</v>
      </c>
      <c r="L39" s="272">
        <f>IFERROR(IF(BA39="WIP - 30 Days",VLOOKUP(D39,[3]Standard!$B$9:$J$101,9,FALSE),IF(BA39="31-120 Days",VLOOKUP(D39,[3]Standard!$B$9:$K$100,10,FALSE),IF(BA39="121-365 Days",VLOOKUP(D39,[3]Standard!$B$9:$L$101,11,FALSE),VLOOKUP(D39,[3]Standard!$B$9:$M$101,12,FALSE)))),0)</f>
        <v>525350</v>
      </c>
      <c r="M39" s="269">
        <f>IFERROR(VLOOKUP((D39&amp;C39)&amp;"",'[2]Retail Price List'!$C$4:$F$102,4,FALSE),"")</f>
        <v>674000</v>
      </c>
      <c r="N39" s="269">
        <f>IFERROR(IF(BA39="WIP - 30 Days",VLOOKUP(D39,[3]Extended!$B$9:$E$101,4,FALSE),IF(BA39="31-120 Days",VLOOKUP(D39,[3]Extended!$B$9:$F$101,5,FALSE),IF(BA39="121-365 Days",VLOOKUP(D39,[3]Extended!$B$9:$G$101,6,FALSE),VLOOKUP(D39,[3]Extended!$B$9:$H$101,7,FALSE)))),0)</f>
        <v>555376</v>
      </c>
      <c r="O39" s="269">
        <f>IFERROR(IF(BA39="WIP - 30 Days",VLOOKUP(D39,[3]Extended!$B$9:$J$101,9,FALSE),IF(BA39="31-120 Days",VLOOKUP(D39,[3]Extended!$B$9:$K$101,10,FALSE),IF(BA39="121-365 Days",VLOOKUP(D39,[3]Extended!$B$9:$L$101,11,FALSE),VLOOKUP(D39,[3]Extended!$B$9:$M$101,12,FALSE)))),0)</f>
        <v>539200</v>
      </c>
      <c r="P39" s="116">
        <f t="shared" si="1"/>
        <v>0.2</v>
      </c>
      <c r="Q39" s="110" t="e">
        <f>O39-#REF!</f>
        <v>#REF!</v>
      </c>
      <c r="W39" s="311"/>
      <c r="X39" s="311"/>
      <c r="Y39" s="311"/>
      <c r="Z39" s="311"/>
      <c r="AA39" s="311"/>
      <c r="AB39" s="311"/>
      <c r="AC39" s="311"/>
      <c r="AT39" s="88" t="str">
        <f t="shared" si="2"/>
        <v>KP0005892017Q214,7</v>
      </c>
      <c r="AU39" s="89" t="str">
        <f t="shared" si="3"/>
        <v>06-2017</v>
      </c>
      <c r="AW39" s="93" t="s">
        <v>340</v>
      </c>
      <c r="AX39" s="95" t="s">
        <v>290</v>
      </c>
      <c r="AY39" s="91" t="s">
        <v>306</v>
      </c>
      <c r="BA39" s="92" t="str">
        <f t="shared" si="4"/>
        <v>WIP - 30 Days</v>
      </c>
    </row>
    <row r="40" spans="2:53">
      <c r="B40" s="60" t="str">
        <f>[2]Trucks!A37</f>
        <v>MA6-5167</v>
      </c>
      <c r="C40" s="11" t="str">
        <f>[2]Trucks!B37</f>
        <v>CLA-15-2204X2BB-C</v>
      </c>
      <c r="D40" s="19" t="str">
        <f>IFERROR(VLOOKUP(C40&amp;"",'[2]Retail Price List'!$A$3:$B$103,2,FALSE),"Special Order")</f>
        <v>KP000589</v>
      </c>
      <c r="E40" s="18" t="str">
        <f>[2]Trucks!J37</f>
        <v>CKD</v>
      </c>
      <c r="F40" s="12" t="str">
        <f>[2]Trucks!E37</f>
        <v>2017-12-31</v>
      </c>
      <c r="G40" s="56">
        <f>[2]Trucks!K37</f>
        <v>14.7</v>
      </c>
      <c r="H40" s="46">
        <f>[2]Trucks!I37</f>
        <v>42900</v>
      </c>
      <c r="I40" s="83" t="str">
        <f t="shared" si="0"/>
        <v>2017Q2</v>
      </c>
      <c r="J40" s="272">
        <f>IFERROR(VLOOKUP((D40&amp;C40)&amp;"",'[2]Retail Price List'!$C$4:$F$102,3,FALSE),"")</f>
        <v>665000</v>
      </c>
      <c r="K40" s="272">
        <f>IFERROR(IF(BA40="WIP - 30 Days",VLOOKUP(D40,[3]Standard!$B$9:$E$101,4,FALSE),IF(BA40="31-120 Days",VLOOKUP(D40,[3]Standard!$B$9:$F$101,5,FALSE),IF(BA40="121-365 Days",VLOOKUP(D40,[3]Standard!$B$9:$G$101,6,FALSE),VLOOKUP(D40,[3]Standard!$B$9:$H$101,7,FALSE)))),0)</f>
        <v>541110.5</v>
      </c>
      <c r="L40" s="272">
        <f>IFERROR(IF(BA40="WIP - 30 Days",VLOOKUP(D40,[3]Standard!$B$9:$J$101,9,FALSE),IF(BA40="31-120 Days",VLOOKUP(D40,[3]Standard!$B$9:$K$100,10,FALSE),IF(BA40="121-365 Days",VLOOKUP(D40,[3]Standard!$B$9:$L$101,11,FALSE),VLOOKUP(D40,[3]Standard!$B$9:$M$101,12,FALSE)))),0)</f>
        <v>525350</v>
      </c>
      <c r="M40" s="269">
        <f>IFERROR(VLOOKUP((D40&amp;C40)&amp;"",'[2]Retail Price List'!$C$4:$F$102,4,FALSE),"")</f>
        <v>674000</v>
      </c>
      <c r="N40" s="269">
        <f>IFERROR(IF(BA40="WIP - 30 Days",VLOOKUP(D40,[3]Extended!$B$9:$E$101,4,FALSE),IF(BA40="31-120 Days",VLOOKUP(D40,[3]Extended!$B$9:$F$101,5,FALSE),IF(BA40="121-365 Days",VLOOKUP(D40,[3]Extended!$B$9:$G$101,6,FALSE),VLOOKUP(D40,[3]Extended!$B$9:$H$101,7,FALSE)))),0)</f>
        <v>555376</v>
      </c>
      <c r="O40" s="269">
        <f>IFERROR(IF(BA40="WIP - 30 Days",VLOOKUP(D40,[3]Extended!$B$9:$J$101,9,FALSE),IF(BA40="31-120 Days",VLOOKUP(D40,[3]Extended!$B$9:$K$101,10,FALSE),IF(BA40="121-365 Days",VLOOKUP(D40,[3]Extended!$B$9:$L$101,11,FALSE),VLOOKUP(D40,[3]Extended!$B$9:$M$101,12,FALSE)))),0)</f>
        <v>539200</v>
      </c>
      <c r="P40" s="116">
        <f t="shared" si="1"/>
        <v>0.2</v>
      </c>
      <c r="Q40" s="110" t="e">
        <f>O40-#REF!</f>
        <v>#REF!</v>
      </c>
      <c r="W40" s="311"/>
      <c r="X40" s="311"/>
      <c r="Y40" s="311"/>
      <c r="Z40" s="311"/>
      <c r="AA40" s="311"/>
      <c r="AB40" s="311"/>
      <c r="AC40" s="311"/>
      <c r="AT40" s="88" t="str">
        <f t="shared" si="2"/>
        <v>KP0005892017Q214,7</v>
      </c>
      <c r="AU40" s="89" t="str">
        <f t="shared" si="3"/>
        <v>06-2017</v>
      </c>
      <c r="AW40" s="93" t="s">
        <v>341</v>
      </c>
      <c r="AX40" s="95" t="s">
        <v>290</v>
      </c>
      <c r="AY40" s="91" t="s">
        <v>306</v>
      </c>
      <c r="BA40" s="92" t="str">
        <f t="shared" si="4"/>
        <v>WIP - 30 Days</v>
      </c>
    </row>
    <row r="41" spans="2:53">
      <c r="B41" s="60" t="str">
        <f>[2]Trucks!A38</f>
        <v>MA6-5168</v>
      </c>
      <c r="C41" s="11" t="str">
        <f>[2]Trucks!B38</f>
        <v>CLA-15-2204X2BB-C</v>
      </c>
      <c r="D41" s="19" t="str">
        <f>IFERROR(VLOOKUP(C41&amp;"",'[2]Retail Price List'!$A$3:$B$103,2,FALSE),"Special Order")</f>
        <v>KP000589</v>
      </c>
      <c r="E41" s="18" t="str">
        <f>[2]Trucks!J38</f>
        <v>CKD</v>
      </c>
      <c r="F41" s="12" t="str">
        <f>[2]Trucks!E38</f>
        <v>2017-12-31</v>
      </c>
      <c r="G41" s="56">
        <f>[2]Trucks!K38</f>
        <v>14.7</v>
      </c>
      <c r="H41" s="46">
        <f>[2]Trucks!I38</f>
        <v>42900</v>
      </c>
      <c r="I41" s="83" t="str">
        <f t="shared" si="0"/>
        <v>2017Q2</v>
      </c>
      <c r="J41" s="272">
        <f>IFERROR(VLOOKUP((D41&amp;C41)&amp;"",'[2]Retail Price List'!$C$4:$F$102,3,FALSE),"")</f>
        <v>665000</v>
      </c>
      <c r="K41" s="272">
        <f>IFERROR(IF(BA41="WIP - 30 Days",VLOOKUP(D41,[3]Standard!$B$9:$E$101,4,FALSE),IF(BA41="31-120 Days",VLOOKUP(D41,[3]Standard!$B$9:$F$101,5,FALSE),IF(BA41="121-365 Days",VLOOKUP(D41,[3]Standard!$B$9:$G$101,6,FALSE),VLOOKUP(D41,[3]Standard!$B$9:$H$101,7,FALSE)))),0)</f>
        <v>541110.5</v>
      </c>
      <c r="L41" s="272">
        <f>IFERROR(IF(BA41="WIP - 30 Days",VLOOKUP(D41,[3]Standard!$B$9:$J$101,9,FALSE),IF(BA41="31-120 Days",VLOOKUP(D41,[3]Standard!$B$9:$K$100,10,FALSE),IF(BA41="121-365 Days",VLOOKUP(D41,[3]Standard!$B$9:$L$101,11,FALSE),VLOOKUP(D41,[3]Standard!$B$9:$M$101,12,FALSE)))),0)</f>
        <v>525350</v>
      </c>
      <c r="M41" s="269">
        <f>IFERROR(VLOOKUP((D41&amp;C41)&amp;"",'[2]Retail Price List'!$C$4:$F$102,4,FALSE),"")</f>
        <v>674000</v>
      </c>
      <c r="N41" s="269">
        <f>IFERROR(IF(BA41="WIP - 30 Days",VLOOKUP(D41,[3]Extended!$B$9:$E$101,4,FALSE),IF(BA41="31-120 Days",VLOOKUP(D41,[3]Extended!$B$9:$F$101,5,FALSE),IF(BA41="121-365 Days",VLOOKUP(D41,[3]Extended!$B$9:$G$101,6,FALSE),VLOOKUP(D41,[3]Extended!$B$9:$H$101,7,FALSE)))),0)</f>
        <v>555376</v>
      </c>
      <c r="O41" s="269">
        <f>IFERROR(IF(BA41="WIP - 30 Days",VLOOKUP(D41,[3]Extended!$B$9:$J$101,9,FALSE),IF(BA41="31-120 Days",VLOOKUP(D41,[3]Extended!$B$9:$K$101,10,FALSE),IF(BA41="121-365 Days",VLOOKUP(D41,[3]Extended!$B$9:$L$101,11,FALSE),VLOOKUP(D41,[3]Extended!$B$9:$M$101,12,FALSE)))),0)</f>
        <v>539200</v>
      </c>
      <c r="P41" s="116">
        <f t="shared" si="1"/>
        <v>0.2</v>
      </c>
      <c r="Q41" s="110" t="e">
        <f>O41-#REF!</f>
        <v>#REF!</v>
      </c>
      <c r="W41" s="311"/>
      <c r="X41" s="311"/>
      <c r="Y41" s="311"/>
      <c r="Z41" s="311"/>
      <c r="AA41" s="311"/>
      <c r="AB41" s="311"/>
      <c r="AC41" s="311"/>
      <c r="AT41" s="88" t="str">
        <f t="shared" si="2"/>
        <v>KP0005892017Q214,7</v>
      </c>
      <c r="AU41" s="89" t="str">
        <f t="shared" si="3"/>
        <v>06-2017</v>
      </c>
      <c r="BA41" s="92" t="str">
        <f t="shared" si="4"/>
        <v>WIP - 30 Days</v>
      </c>
    </row>
    <row r="42" spans="2:53">
      <c r="B42" s="60" t="str">
        <f>[2]Trucks!A39</f>
        <v>MA6-5169</v>
      </c>
      <c r="C42" s="11" t="str">
        <f>[2]Trucks!B39</f>
        <v>CLA-15-2204X2BB-C</v>
      </c>
      <c r="D42" s="19" t="str">
        <f>IFERROR(VLOOKUP(C42&amp;"",'[2]Retail Price List'!$A$3:$B$103,2,FALSE),"Special Order")</f>
        <v>KP000589</v>
      </c>
      <c r="E42" s="18" t="str">
        <f>[2]Trucks!J39</f>
        <v>CKD</v>
      </c>
      <c r="F42" s="12" t="str">
        <f>[2]Trucks!E39</f>
        <v>2017-12-31</v>
      </c>
      <c r="G42" s="56">
        <f>[2]Trucks!K39</f>
        <v>14.7</v>
      </c>
      <c r="H42" s="46">
        <f>[2]Trucks!I39</f>
        <v>42900</v>
      </c>
      <c r="I42" s="83" t="str">
        <f t="shared" si="0"/>
        <v>2017Q2</v>
      </c>
      <c r="J42" s="272">
        <f>IFERROR(VLOOKUP((D42&amp;C42)&amp;"",'[2]Retail Price List'!$C$4:$F$102,3,FALSE),"")</f>
        <v>665000</v>
      </c>
      <c r="K42" s="272">
        <f>IFERROR(IF(BA42="WIP - 30 Days",VLOOKUP(D42,[3]Standard!$B$9:$E$101,4,FALSE),IF(BA42="31-120 Days",VLOOKUP(D42,[3]Standard!$B$9:$F$101,5,FALSE),IF(BA42="121-365 Days",VLOOKUP(D42,[3]Standard!$B$9:$G$101,6,FALSE),VLOOKUP(D42,[3]Standard!$B$9:$H$101,7,FALSE)))),0)</f>
        <v>541110.5</v>
      </c>
      <c r="L42" s="272">
        <f>IFERROR(IF(BA42="WIP - 30 Days",VLOOKUP(D42,[3]Standard!$B$9:$J$101,9,FALSE),IF(BA42="31-120 Days",VLOOKUP(D42,[3]Standard!$B$9:$K$100,10,FALSE),IF(BA42="121-365 Days",VLOOKUP(D42,[3]Standard!$B$9:$L$101,11,FALSE),VLOOKUP(D42,[3]Standard!$B$9:$M$101,12,FALSE)))),0)</f>
        <v>525350</v>
      </c>
      <c r="M42" s="269">
        <f>IFERROR(VLOOKUP((D42&amp;C42)&amp;"",'[2]Retail Price List'!$C$4:$F$102,4,FALSE),"")</f>
        <v>674000</v>
      </c>
      <c r="N42" s="269">
        <f>IFERROR(IF(BA42="WIP - 30 Days",VLOOKUP(D42,[3]Extended!$B$9:$E$101,4,FALSE),IF(BA42="31-120 Days",VLOOKUP(D42,[3]Extended!$B$9:$F$101,5,FALSE),IF(BA42="121-365 Days",VLOOKUP(D42,[3]Extended!$B$9:$G$101,6,FALSE),VLOOKUP(D42,[3]Extended!$B$9:$H$101,7,FALSE)))),0)</f>
        <v>555376</v>
      </c>
      <c r="O42" s="269">
        <f>IFERROR(IF(BA42="WIP - 30 Days",VLOOKUP(D42,[3]Extended!$B$9:$J$101,9,FALSE),IF(BA42="31-120 Days",VLOOKUP(D42,[3]Extended!$B$9:$K$101,10,FALSE),IF(BA42="121-365 Days",VLOOKUP(D42,[3]Extended!$B$9:$L$101,11,FALSE),VLOOKUP(D42,[3]Extended!$B$9:$M$101,12,FALSE)))),0)</f>
        <v>539200</v>
      </c>
      <c r="P42" s="116">
        <f t="shared" si="1"/>
        <v>0.2</v>
      </c>
      <c r="Q42" s="110" t="e">
        <f>O42-#REF!</f>
        <v>#REF!</v>
      </c>
      <c r="W42" s="311"/>
      <c r="X42" s="311"/>
      <c r="Y42" s="311"/>
      <c r="Z42" s="311"/>
      <c r="AA42" s="311"/>
      <c r="AB42" s="311"/>
      <c r="AC42" s="311"/>
      <c r="AT42" s="88" t="str">
        <f t="shared" si="2"/>
        <v>KP0005892017Q214,7</v>
      </c>
      <c r="AU42" s="89" t="str">
        <f t="shared" si="3"/>
        <v>06-2017</v>
      </c>
      <c r="BA42" s="92" t="str">
        <f t="shared" si="4"/>
        <v>WIP - 30 Days</v>
      </c>
    </row>
    <row r="43" spans="2:53">
      <c r="B43" s="60" t="str">
        <f>[2]Trucks!A40</f>
        <v>MA6-5170</v>
      </c>
      <c r="C43" s="11" t="str">
        <f>[2]Trucks!B40</f>
        <v>CLA-15-2204X2BB-C</v>
      </c>
      <c r="D43" s="19" t="str">
        <f>IFERROR(VLOOKUP(C43&amp;"",'[2]Retail Price List'!$A$3:$B$103,2,FALSE),"Special Order")</f>
        <v>KP000589</v>
      </c>
      <c r="E43" s="18" t="str">
        <f>[2]Trucks!J40</f>
        <v>CKD</v>
      </c>
      <c r="F43" s="12" t="str">
        <f>[2]Trucks!E40</f>
        <v>2017-12-31</v>
      </c>
      <c r="G43" s="56">
        <f>[2]Trucks!K40</f>
        <v>14.7</v>
      </c>
      <c r="H43" s="46">
        <f>[2]Trucks!I40</f>
        <v>42900</v>
      </c>
      <c r="I43" s="83" t="str">
        <f t="shared" si="0"/>
        <v>2017Q2</v>
      </c>
      <c r="J43" s="272">
        <f>IFERROR(VLOOKUP((D43&amp;C43)&amp;"",'[2]Retail Price List'!$C$4:$F$102,3,FALSE),"")</f>
        <v>665000</v>
      </c>
      <c r="K43" s="272">
        <f>IFERROR(IF(BA43="WIP - 30 Days",VLOOKUP(D43,[3]Standard!$B$9:$E$101,4,FALSE),IF(BA43="31-120 Days",VLOOKUP(D43,[3]Standard!$B$9:$F$101,5,FALSE),IF(BA43="121-365 Days",VLOOKUP(D43,[3]Standard!$B$9:$G$101,6,FALSE),VLOOKUP(D43,[3]Standard!$B$9:$H$101,7,FALSE)))),0)</f>
        <v>541110.5</v>
      </c>
      <c r="L43" s="272">
        <f>IFERROR(IF(BA43="WIP - 30 Days",VLOOKUP(D43,[3]Standard!$B$9:$J$101,9,FALSE),IF(BA43="31-120 Days",VLOOKUP(D43,[3]Standard!$B$9:$K$100,10,FALSE),IF(BA43="121-365 Days",VLOOKUP(D43,[3]Standard!$B$9:$L$101,11,FALSE),VLOOKUP(D43,[3]Standard!$B$9:$M$101,12,FALSE)))),0)</f>
        <v>525350</v>
      </c>
      <c r="M43" s="269">
        <f>IFERROR(VLOOKUP((D43&amp;C43)&amp;"",'[2]Retail Price List'!$C$4:$F$102,4,FALSE),"")</f>
        <v>674000</v>
      </c>
      <c r="N43" s="269">
        <f>IFERROR(IF(BA43="WIP - 30 Days",VLOOKUP(D43,[3]Extended!$B$9:$E$101,4,FALSE),IF(BA43="31-120 Days",VLOOKUP(D43,[3]Extended!$B$9:$F$101,5,FALSE),IF(BA43="121-365 Days",VLOOKUP(D43,[3]Extended!$B$9:$G$101,6,FALSE),VLOOKUP(D43,[3]Extended!$B$9:$H$101,7,FALSE)))),0)</f>
        <v>555376</v>
      </c>
      <c r="O43" s="269">
        <f>IFERROR(IF(BA43="WIP - 30 Days",VLOOKUP(D43,[3]Extended!$B$9:$J$101,9,FALSE),IF(BA43="31-120 Days",VLOOKUP(D43,[3]Extended!$B$9:$K$101,10,FALSE),IF(BA43="121-365 Days",VLOOKUP(D43,[3]Extended!$B$9:$L$101,11,FALSE),VLOOKUP(D43,[3]Extended!$B$9:$M$101,12,FALSE)))),0)</f>
        <v>539200</v>
      </c>
      <c r="P43" s="116">
        <f t="shared" si="1"/>
        <v>0.2</v>
      </c>
      <c r="Q43" s="110" t="e">
        <f>O43-#REF!</f>
        <v>#REF!</v>
      </c>
      <c r="W43" s="311"/>
      <c r="X43" s="311"/>
      <c r="Y43" s="311"/>
      <c r="Z43" s="311"/>
      <c r="AA43" s="311"/>
      <c r="AB43" s="311"/>
      <c r="AC43" s="311"/>
      <c r="AT43" s="88" t="str">
        <f t="shared" si="2"/>
        <v>KP0005892017Q214,7</v>
      </c>
      <c r="AU43" s="89" t="str">
        <f t="shared" si="3"/>
        <v>06-2017</v>
      </c>
      <c r="BA43" s="92" t="str">
        <f t="shared" si="4"/>
        <v>WIP - 30 Days</v>
      </c>
    </row>
    <row r="44" spans="2:53">
      <c r="B44" s="60" t="str">
        <f>[2]Trucks!A41</f>
        <v>TBAKP589</v>
      </c>
      <c r="C44" s="11" t="str">
        <f>[2]Trucks!B41</f>
        <v>CLA-15-2204X2BB-C</v>
      </c>
      <c r="D44" s="19" t="str">
        <f>IFERROR(VLOOKUP(C44&amp;"",'[2]Retail Price List'!$A$3:$B$103,2,FALSE),"Special Order")</f>
        <v>KP000589</v>
      </c>
      <c r="E44" s="18" t="str">
        <f>[2]Trucks!J41</f>
        <v>CKD</v>
      </c>
      <c r="F44" s="12" t="str">
        <f>[2]Trucks!E41</f>
        <v>2018-02-15</v>
      </c>
      <c r="G44" s="56">
        <f>[2]Trucks!K41</f>
        <v>14.7</v>
      </c>
      <c r="H44" s="46">
        <f>[2]Trucks!I41</f>
        <v>42921</v>
      </c>
      <c r="I44" s="83" t="str">
        <f t="shared" si="0"/>
        <v>2017Q3</v>
      </c>
      <c r="J44" s="272">
        <f>IFERROR(VLOOKUP((D44&amp;C44)&amp;"",'[2]Retail Price List'!$C$4:$F$102,3,FALSE),"")</f>
        <v>665000</v>
      </c>
      <c r="K44" s="272">
        <f>IFERROR(IF(BA44="WIP - 30 Days",VLOOKUP(D44,[3]Standard!$B$9:$E$101,4,FALSE),IF(BA44="31-120 Days",VLOOKUP(D44,[3]Standard!$B$9:$F$101,5,FALSE),IF(BA44="121-365 Days",VLOOKUP(D44,[3]Standard!$B$9:$G$101,6,FALSE),VLOOKUP(D44,[3]Standard!$B$9:$H$101,7,FALSE)))),0)</f>
        <v>541110.5</v>
      </c>
      <c r="L44" s="272">
        <f>IFERROR(IF(BA44="WIP - 30 Days",VLOOKUP(D44,[3]Standard!$B$9:$J$101,9,FALSE),IF(BA44="31-120 Days",VLOOKUP(D44,[3]Standard!$B$9:$K$100,10,FALSE),IF(BA44="121-365 Days",VLOOKUP(D44,[3]Standard!$B$9:$L$101,11,FALSE),VLOOKUP(D44,[3]Standard!$B$9:$M$101,12,FALSE)))),0)</f>
        <v>525350</v>
      </c>
      <c r="M44" s="269">
        <f>IFERROR(VLOOKUP((D44&amp;C44)&amp;"",'[2]Retail Price List'!$C$4:$F$102,4,FALSE),"")</f>
        <v>674000</v>
      </c>
      <c r="N44" s="269">
        <f>IFERROR(IF(BA44="WIP - 30 Days",VLOOKUP(D44,[3]Extended!$B$9:$E$101,4,FALSE),IF(BA44="31-120 Days",VLOOKUP(D44,[3]Extended!$B$9:$F$101,5,FALSE),IF(BA44="121-365 Days",VLOOKUP(D44,[3]Extended!$B$9:$G$101,6,FALSE),VLOOKUP(D44,[3]Extended!$B$9:$H$101,7,FALSE)))),0)</f>
        <v>555376</v>
      </c>
      <c r="O44" s="269">
        <f>IFERROR(IF(BA44="WIP - 30 Days",VLOOKUP(D44,[3]Extended!$B$9:$J$101,9,FALSE),IF(BA44="31-120 Days",VLOOKUP(D44,[3]Extended!$B$9:$K$101,10,FALSE),IF(BA44="121-365 Days",VLOOKUP(D44,[3]Extended!$B$9:$L$101,11,FALSE),VLOOKUP(D44,[3]Extended!$B$9:$M$101,12,FALSE)))),0)</f>
        <v>539200</v>
      </c>
      <c r="P44" s="116">
        <f t="shared" si="1"/>
        <v>0.2</v>
      </c>
      <c r="Q44" s="110" t="e">
        <f>O44-#REF!</f>
        <v>#REF!</v>
      </c>
      <c r="W44" s="311"/>
      <c r="X44" s="311"/>
      <c r="Y44" s="311"/>
      <c r="Z44" s="311"/>
      <c r="AA44" s="311"/>
      <c r="AB44" s="311"/>
      <c r="AC44" s="311"/>
      <c r="AT44" s="88" t="str">
        <f t="shared" si="2"/>
        <v>KP0005892017Q314,7</v>
      </c>
      <c r="AU44" s="89" t="str">
        <f t="shared" si="3"/>
        <v>07-2017</v>
      </c>
      <c r="BA44" s="92" t="str">
        <f t="shared" si="4"/>
        <v>WIP - 30 Days</v>
      </c>
    </row>
    <row r="45" spans="2:53">
      <c r="B45" s="60">
        <f>[2]Trucks!A42</f>
        <v>47139</v>
      </c>
      <c r="C45" s="11" t="str">
        <f>[2]Trucks!B42</f>
        <v>CLA-26-2806X4BB-C-K</v>
      </c>
      <c r="D45" s="19" t="str">
        <f>IFERROR(VLOOKUP(C45&amp;"",'[2]Retail Price List'!$A$3:$B$103,2,FALSE),"Special Order")</f>
        <v>KP000516</v>
      </c>
      <c r="E45" s="18" t="str">
        <f>[2]Trucks!J42</f>
        <v>CKD</v>
      </c>
      <c r="F45" s="12" t="str">
        <f>[2]Trucks!E42</f>
        <v>2017-12-31</v>
      </c>
      <c r="G45" s="56">
        <f>[2]Trucks!K42</f>
        <v>14.7</v>
      </c>
      <c r="H45" s="46">
        <f>[2]Trucks!I42</f>
        <v>42900</v>
      </c>
      <c r="I45" s="83" t="str">
        <f t="shared" si="0"/>
        <v>2017Q2</v>
      </c>
      <c r="J45" s="272">
        <f>IFERROR(VLOOKUP((D45&amp;C45)&amp;"",'[2]Retail Price List'!$C$4:$F$102,3,FALSE),"")</f>
        <v>990000</v>
      </c>
      <c r="K45" s="272">
        <f>IFERROR(IF(BA45="WIP - 30 Days",VLOOKUP(D45,[3]Standard!$B$9:$E$101,4,FALSE),IF(BA45="31-120 Days",VLOOKUP(D45,[3]Standard!$B$9:$F$101,5,FALSE),IF(BA45="121-365 Days",VLOOKUP(D45,[3]Standard!$B$9:$G$101,6,FALSE),VLOOKUP(D45,[3]Standard!$B$9:$H$101,7,FALSE)))),0)</f>
        <v>805563</v>
      </c>
      <c r="L45" s="272">
        <f>IFERROR(IF(BA45="WIP - 30 Days",VLOOKUP(D45,[3]Standard!$B$9:$J$101,9,FALSE),IF(BA45="31-120 Days",VLOOKUP(D45,[3]Standard!$B$9:$K$100,10,FALSE),IF(BA45="121-365 Days",VLOOKUP(D45,[3]Standard!$B$9:$L$101,11,FALSE),VLOOKUP(D45,[3]Standard!$B$9:$M$101,12,FALSE)))),0)</f>
        <v>782100</v>
      </c>
      <c r="M45" s="269">
        <f>IFERROR(VLOOKUP((D45&amp;C45)&amp;"",'[2]Retail Price List'!$C$4:$F$102,4,FALSE),"")</f>
        <v>1007500</v>
      </c>
      <c r="N45" s="269">
        <f>IFERROR(IF(BA45="WIP - 30 Days",VLOOKUP(D45,[3]Extended!$B$9:$E$101,4,FALSE),IF(BA45="31-120 Days",VLOOKUP(D45,[3]Extended!$B$9:$F$101,5,FALSE),IF(BA45="121-365 Days",VLOOKUP(D45,[3]Extended!$B$9:$G$101,6,FALSE),VLOOKUP(D45,[3]Extended!$B$9:$H$101,7,FALSE)))),0)</f>
        <v>850934.5</v>
      </c>
      <c r="O45" s="269">
        <f>IFERROR(IF(BA45="WIP - 30 Days",VLOOKUP(D45,[3]Extended!$B$9:$J$101,9,FALSE),IF(BA45="31-120 Days",VLOOKUP(D45,[3]Extended!$B$9:$K$101,10,FALSE),IF(BA45="121-365 Days",VLOOKUP(D45,[3]Extended!$B$9:$L$101,11,FALSE),VLOOKUP(D45,[3]Extended!$B$9:$M$101,12,FALSE)))),0)</f>
        <v>826150</v>
      </c>
      <c r="P45" s="116">
        <f t="shared" si="1"/>
        <v>0.18</v>
      </c>
      <c r="Q45" s="110" t="e">
        <f>O45-#REF!</f>
        <v>#REF!</v>
      </c>
      <c r="W45" s="311"/>
      <c r="X45" s="311"/>
      <c r="Y45" s="311"/>
      <c r="Z45" s="311"/>
      <c r="AA45" s="311"/>
      <c r="AB45" s="311"/>
      <c r="AC45" s="311"/>
      <c r="AT45" s="88" t="str">
        <f t="shared" si="2"/>
        <v>KP0005162017Q214,7</v>
      </c>
      <c r="AU45" s="89" t="str">
        <f t="shared" si="3"/>
        <v>06-2017</v>
      </c>
      <c r="BA45" s="92" t="str">
        <f t="shared" si="4"/>
        <v>WIP - 30 Days</v>
      </c>
    </row>
    <row r="46" spans="2:53">
      <c r="B46" s="60">
        <f>[2]Trucks!A43</f>
        <v>47140</v>
      </c>
      <c r="C46" s="11" t="str">
        <f>[2]Trucks!B43</f>
        <v>CLA-26-2806X4BB-C-K</v>
      </c>
      <c r="D46" s="19" t="str">
        <f>IFERROR(VLOOKUP(C46&amp;"",'[2]Retail Price List'!$A$3:$B$103,2,FALSE),"Special Order")</f>
        <v>KP000516</v>
      </c>
      <c r="E46" s="18" t="str">
        <f>[2]Trucks!J43</f>
        <v>CKD</v>
      </c>
      <c r="F46" s="12" t="str">
        <f>[2]Trucks!E43</f>
        <v>2017-12-31</v>
      </c>
      <c r="G46" s="56">
        <f>[2]Trucks!K43</f>
        <v>14.7</v>
      </c>
      <c r="H46" s="46">
        <f>[2]Trucks!I43</f>
        <v>42900</v>
      </c>
      <c r="I46" s="83" t="str">
        <f t="shared" si="0"/>
        <v>2017Q2</v>
      </c>
      <c r="J46" s="272">
        <f>IFERROR(VLOOKUP((D46&amp;C46)&amp;"",'[2]Retail Price List'!$C$4:$F$102,3,FALSE),"")</f>
        <v>990000</v>
      </c>
      <c r="K46" s="272">
        <f>IFERROR(IF(BA46="WIP - 30 Days",VLOOKUP(D46,[3]Standard!$B$9:$E$101,4,FALSE),IF(BA46="31-120 Days",VLOOKUP(D46,[3]Standard!$B$9:$F$101,5,FALSE),IF(BA46="121-365 Days",VLOOKUP(D46,[3]Standard!$B$9:$G$101,6,FALSE),VLOOKUP(D46,[3]Standard!$B$9:$H$101,7,FALSE)))),0)</f>
        <v>805563</v>
      </c>
      <c r="L46" s="272">
        <f>IFERROR(IF(BA46="WIP - 30 Days",VLOOKUP(D46,[3]Standard!$B$9:$J$101,9,FALSE),IF(BA46="31-120 Days",VLOOKUP(D46,[3]Standard!$B$9:$K$100,10,FALSE),IF(BA46="121-365 Days",VLOOKUP(D46,[3]Standard!$B$9:$L$101,11,FALSE),VLOOKUP(D46,[3]Standard!$B$9:$M$101,12,FALSE)))),0)</f>
        <v>782100</v>
      </c>
      <c r="M46" s="269">
        <f>IFERROR(VLOOKUP((D46&amp;C46)&amp;"",'[2]Retail Price List'!$C$4:$F$102,4,FALSE),"")</f>
        <v>1007500</v>
      </c>
      <c r="N46" s="269">
        <f>IFERROR(IF(BA46="WIP - 30 Days",VLOOKUP(D46,[3]Extended!$B$9:$E$101,4,FALSE),IF(BA46="31-120 Days",VLOOKUP(D46,[3]Extended!$B$9:$F$101,5,FALSE),IF(BA46="121-365 Days",VLOOKUP(D46,[3]Extended!$B$9:$G$101,6,FALSE),VLOOKUP(D46,[3]Extended!$B$9:$H$101,7,FALSE)))),0)</f>
        <v>850934.5</v>
      </c>
      <c r="O46" s="269">
        <f>IFERROR(IF(BA46="WIP - 30 Days",VLOOKUP(D46,[3]Extended!$B$9:$J$101,9,FALSE),IF(BA46="31-120 Days",VLOOKUP(D46,[3]Extended!$B$9:$K$101,10,FALSE),IF(BA46="121-365 Days",VLOOKUP(D46,[3]Extended!$B$9:$L$101,11,FALSE),VLOOKUP(D46,[3]Extended!$B$9:$M$101,12,FALSE)))),0)</f>
        <v>826150</v>
      </c>
      <c r="P46" s="116">
        <f t="shared" si="1"/>
        <v>0.18</v>
      </c>
      <c r="Q46" s="110" t="e">
        <f>O46-#REF!</f>
        <v>#REF!</v>
      </c>
      <c r="W46" s="311"/>
      <c r="X46" s="311"/>
      <c r="Y46" s="311"/>
      <c r="Z46" s="311"/>
      <c r="AA46" s="311"/>
      <c r="AB46" s="311"/>
      <c r="AC46" s="311"/>
      <c r="AT46" s="88" t="str">
        <f t="shared" si="2"/>
        <v>KP0005162017Q214,7</v>
      </c>
      <c r="AU46" s="89" t="str">
        <f t="shared" si="3"/>
        <v>06-2017</v>
      </c>
      <c r="BA46" s="92" t="str">
        <f t="shared" si="4"/>
        <v>WIP - 30 Days</v>
      </c>
    </row>
    <row r="47" spans="2:53">
      <c r="B47" s="60">
        <f>[2]Trucks!A44</f>
        <v>47141</v>
      </c>
      <c r="C47" s="11" t="str">
        <f>[2]Trucks!B44</f>
        <v>CLA-26-2806X4BB-C-K</v>
      </c>
      <c r="D47" s="19" t="str">
        <f>IFERROR(VLOOKUP(C47&amp;"",'[2]Retail Price List'!$A$3:$B$103,2,FALSE),"Special Order")</f>
        <v>KP000516</v>
      </c>
      <c r="E47" s="18" t="str">
        <f>[2]Trucks!J44</f>
        <v>CKD</v>
      </c>
      <c r="F47" s="12" t="str">
        <f>[2]Trucks!E44</f>
        <v>2017-12-31</v>
      </c>
      <c r="G47" s="56">
        <f>[2]Trucks!K44</f>
        <v>14.7</v>
      </c>
      <c r="H47" s="46">
        <f>[2]Trucks!I44</f>
        <v>42900</v>
      </c>
      <c r="I47" s="83" t="str">
        <f t="shared" si="0"/>
        <v>2017Q2</v>
      </c>
      <c r="J47" s="272">
        <f>IFERROR(VLOOKUP((D47&amp;C47)&amp;"",'[2]Retail Price List'!$C$4:$F$102,3,FALSE),"")</f>
        <v>990000</v>
      </c>
      <c r="K47" s="272">
        <f>IFERROR(IF(BA47="WIP - 30 Days",VLOOKUP(D47,[3]Standard!$B$9:$E$101,4,FALSE),IF(BA47="31-120 Days",VLOOKUP(D47,[3]Standard!$B$9:$F$101,5,FALSE),IF(BA47="121-365 Days",VLOOKUP(D47,[3]Standard!$B$9:$G$101,6,FALSE),VLOOKUP(D47,[3]Standard!$B$9:$H$101,7,FALSE)))),0)</f>
        <v>805563</v>
      </c>
      <c r="L47" s="272">
        <f>IFERROR(IF(BA47="WIP - 30 Days",VLOOKUP(D47,[3]Standard!$B$9:$J$101,9,FALSE),IF(BA47="31-120 Days",VLOOKUP(D47,[3]Standard!$B$9:$K$100,10,FALSE),IF(BA47="121-365 Days",VLOOKUP(D47,[3]Standard!$B$9:$L$101,11,FALSE),VLOOKUP(D47,[3]Standard!$B$9:$M$101,12,FALSE)))),0)</f>
        <v>782100</v>
      </c>
      <c r="M47" s="269">
        <f>IFERROR(VLOOKUP((D47&amp;C47)&amp;"",'[2]Retail Price List'!$C$4:$F$102,4,FALSE),"")</f>
        <v>1007500</v>
      </c>
      <c r="N47" s="269">
        <f>IFERROR(IF(BA47="WIP - 30 Days",VLOOKUP(D47,[3]Extended!$B$9:$E$101,4,FALSE),IF(BA47="31-120 Days",VLOOKUP(D47,[3]Extended!$B$9:$F$101,5,FALSE),IF(BA47="121-365 Days",VLOOKUP(D47,[3]Extended!$B$9:$G$101,6,FALSE),VLOOKUP(D47,[3]Extended!$B$9:$H$101,7,FALSE)))),0)</f>
        <v>850934.5</v>
      </c>
      <c r="O47" s="269">
        <f>IFERROR(IF(BA47="WIP - 30 Days",VLOOKUP(D47,[3]Extended!$B$9:$J$101,9,FALSE),IF(BA47="31-120 Days",VLOOKUP(D47,[3]Extended!$B$9:$K$101,10,FALSE),IF(BA47="121-365 Days",VLOOKUP(D47,[3]Extended!$B$9:$L$101,11,FALSE),VLOOKUP(D47,[3]Extended!$B$9:$M$101,12,FALSE)))),0)</f>
        <v>826150</v>
      </c>
      <c r="P47" s="116">
        <f t="shared" si="1"/>
        <v>0.18</v>
      </c>
      <c r="Q47" s="110" t="e">
        <f>O47-#REF!</f>
        <v>#REF!</v>
      </c>
      <c r="W47" s="311"/>
      <c r="X47" s="311"/>
      <c r="Y47" s="311"/>
      <c r="Z47" s="311"/>
      <c r="AA47" s="311"/>
      <c r="AB47" s="311"/>
      <c r="AC47" s="311"/>
      <c r="AT47" s="88" t="str">
        <f t="shared" si="2"/>
        <v>KP0005162017Q214,7</v>
      </c>
      <c r="AU47" s="89" t="str">
        <f t="shared" si="3"/>
        <v>06-2017</v>
      </c>
      <c r="BA47" s="92" t="str">
        <f t="shared" si="4"/>
        <v>WIP - 30 Days</v>
      </c>
    </row>
    <row r="48" spans="2:53">
      <c r="B48" s="60">
        <f>[2]Trucks!A45</f>
        <v>47142</v>
      </c>
      <c r="C48" s="11" t="str">
        <f>[2]Trucks!B45</f>
        <v>CLA-26-2806X4BB-C-K</v>
      </c>
      <c r="D48" s="19" t="str">
        <f>IFERROR(VLOOKUP(C48&amp;"",'[2]Retail Price List'!$A$3:$B$103,2,FALSE),"Special Order")</f>
        <v>KP000516</v>
      </c>
      <c r="E48" s="18" t="str">
        <f>[2]Trucks!J45</f>
        <v>CKD</v>
      </c>
      <c r="F48" s="12" t="str">
        <f>[2]Trucks!E45</f>
        <v>2017-12-31</v>
      </c>
      <c r="G48" s="56">
        <f>[2]Trucks!K45</f>
        <v>14.7</v>
      </c>
      <c r="H48" s="46">
        <f>[2]Trucks!I45</f>
        <v>42900</v>
      </c>
      <c r="I48" s="83" t="str">
        <f t="shared" si="0"/>
        <v>2017Q2</v>
      </c>
      <c r="J48" s="272">
        <f>IFERROR(VLOOKUP((D48&amp;C48)&amp;"",'[2]Retail Price List'!$C$4:$F$102,3,FALSE),"")</f>
        <v>990000</v>
      </c>
      <c r="K48" s="272">
        <f>IFERROR(IF(BA48="WIP - 30 Days",VLOOKUP(D48,[3]Standard!$B$9:$E$101,4,FALSE),IF(BA48="31-120 Days",VLOOKUP(D48,[3]Standard!$B$9:$F$101,5,FALSE),IF(BA48="121-365 Days",VLOOKUP(D48,[3]Standard!$B$9:$G$101,6,FALSE),VLOOKUP(D48,[3]Standard!$B$9:$H$101,7,FALSE)))),0)</f>
        <v>805563</v>
      </c>
      <c r="L48" s="272">
        <f>IFERROR(IF(BA48="WIP - 30 Days",VLOOKUP(D48,[3]Standard!$B$9:$J$101,9,FALSE),IF(BA48="31-120 Days",VLOOKUP(D48,[3]Standard!$B$9:$K$100,10,FALSE),IF(BA48="121-365 Days",VLOOKUP(D48,[3]Standard!$B$9:$L$101,11,FALSE),VLOOKUP(D48,[3]Standard!$B$9:$M$101,12,FALSE)))),0)</f>
        <v>782100</v>
      </c>
      <c r="M48" s="269">
        <f>IFERROR(VLOOKUP((D48&amp;C48)&amp;"",'[2]Retail Price List'!$C$4:$F$102,4,FALSE),"")</f>
        <v>1007500</v>
      </c>
      <c r="N48" s="269">
        <f>IFERROR(IF(BA48="WIP - 30 Days",VLOOKUP(D48,[3]Extended!$B$9:$E$101,4,FALSE),IF(BA48="31-120 Days",VLOOKUP(D48,[3]Extended!$B$9:$F$101,5,FALSE),IF(BA48="121-365 Days",VLOOKUP(D48,[3]Extended!$B$9:$G$101,6,FALSE),VLOOKUP(D48,[3]Extended!$B$9:$H$101,7,FALSE)))),0)</f>
        <v>850934.5</v>
      </c>
      <c r="O48" s="269">
        <f>IFERROR(IF(BA48="WIP - 30 Days",VLOOKUP(D48,[3]Extended!$B$9:$J$101,9,FALSE),IF(BA48="31-120 Days",VLOOKUP(D48,[3]Extended!$B$9:$K$101,10,FALSE),IF(BA48="121-365 Days",VLOOKUP(D48,[3]Extended!$B$9:$L$101,11,FALSE),VLOOKUP(D48,[3]Extended!$B$9:$M$101,12,FALSE)))),0)</f>
        <v>826150</v>
      </c>
      <c r="P48" s="116">
        <f t="shared" si="1"/>
        <v>0.18</v>
      </c>
      <c r="Q48" s="110" t="e">
        <f>O48-#REF!</f>
        <v>#REF!</v>
      </c>
      <c r="W48" s="311"/>
      <c r="X48" s="311"/>
      <c r="Y48" s="311"/>
      <c r="Z48" s="311"/>
      <c r="AA48" s="311"/>
      <c r="AB48" s="311"/>
      <c r="AC48" s="311"/>
      <c r="AT48" s="88" t="str">
        <f t="shared" si="2"/>
        <v>KP0005162017Q214,7</v>
      </c>
      <c r="AU48" s="89" t="str">
        <f t="shared" si="3"/>
        <v>06-2017</v>
      </c>
      <c r="BA48" s="92" t="str">
        <f t="shared" si="4"/>
        <v>WIP - 30 Days</v>
      </c>
    </row>
    <row r="49" spans="2:53">
      <c r="B49" s="60">
        <f>[2]Trucks!A46</f>
        <v>47143</v>
      </c>
      <c r="C49" s="11" t="str">
        <f>[2]Trucks!B46</f>
        <v>CLA-26-2806X4BB-C-K</v>
      </c>
      <c r="D49" s="19" t="str">
        <f>IFERROR(VLOOKUP(C49&amp;"",'[2]Retail Price List'!$A$3:$B$103,2,FALSE),"Special Order")</f>
        <v>KP000516</v>
      </c>
      <c r="E49" s="18" t="str">
        <f>[2]Trucks!J46</f>
        <v>CKD</v>
      </c>
      <c r="F49" s="12" t="str">
        <f>[2]Trucks!E46</f>
        <v>2017-12-31</v>
      </c>
      <c r="G49" s="56">
        <f>[2]Trucks!K46</f>
        <v>14.7</v>
      </c>
      <c r="H49" s="46">
        <f>[2]Trucks!I46</f>
        <v>42900</v>
      </c>
      <c r="I49" s="83" t="str">
        <f t="shared" si="0"/>
        <v>2017Q2</v>
      </c>
      <c r="J49" s="272">
        <f>IFERROR(VLOOKUP((D49&amp;C49)&amp;"",'[2]Retail Price List'!$C$4:$F$102,3,FALSE),"")</f>
        <v>990000</v>
      </c>
      <c r="K49" s="272">
        <f>IFERROR(IF(BA49="WIP - 30 Days",VLOOKUP(D49,[3]Standard!$B$9:$E$101,4,FALSE),IF(BA49="31-120 Days",VLOOKUP(D49,[3]Standard!$B$9:$F$101,5,FALSE),IF(BA49="121-365 Days",VLOOKUP(D49,[3]Standard!$B$9:$G$101,6,FALSE),VLOOKUP(D49,[3]Standard!$B$9:$H$101,7,FALSE)))),0)</f>
        <v>805563</v>
      </c>
      <c r="L49" s="272">
        <f>IFERROR(IF(BA49="WIP - 30 Days",VLOOKUP(D49,[3]Standard!$B$9:$J$101,9,FALSE),IF(BA49="31-120 Days",VLOOKUP(D49,[3]Standard!$B$9:$K$100,10,FALSE),IF(BA49="121-365 Days",VLOOKUP(D49,[3]Standard!$B$9:$L$101,11,FALSE),VLOOKUP(D49,[3]Standard!$B$9:$M$101,12,FALSE)))),0)</f>
        <v>782100</v>
      </c>
      <c r="M49" s="269">
        <f>IFERROR(VLOOKUP((D49&amp;C49)&amp;"",'[2]Retail Price List'!$C$4:$F$102,4,FALSE),"")</f>
        <v>1007500</v>
      </c>
      <c r="N49" s="269">
        <f>IFERROR(IF(BA49="WIP - 30 Days",VLOOKUP(D49,[3]Extended!$B$9:$E$101,4,FALSE),IF(BA49="31-120 Days",VLOOKUP(D49,[3]Extended!$B$9:$F$101,5,FALSE),IF(BA49="121-365 Days",VLOOKUP(D49,[3]Extended!$B$9:$G$101,6,FALSE),VLOOKUP(D49,[3]Extended!$B$9:$H$101,7,FALSE)))),0)</f>
        <v>850934.5</v>
      </c>
      <c r="O49" s="269">
        <f>IFERROR(IF(BA49="WIP - 30 Days",VLOOKUP(D49,[3]Extended!$B$9:$J$101,9,FALSE),IF(BA49="31-120 Days",VLOOKUP(D49,[3]Extended!$B$9:$K$101,10,FALSE),IF(BA49="121-365 Days",VLOOKUP(D49,[3]Extended!$B$9:$L$101,11,FALSE),VLOOKUP(D49,[3]Extended!$B$9:$M$101,12,FALSE)))),0)</f>
        <v>826150</v>
      </c>
      <c r="P49" s="116">
        <f t="shared" si="1"/>
        <v>0.18</v>
      </c>
      <c r="Q49" s="110" t="e">
        <f>O49-#REF!</f>
        <v>#REF!</v>
      </c>
      <c r="W49" s="311"/>
      <c r="X49" s="311"/>
      <c r="Y49" s="311"/>
      <c r="Z49" s="311"/>
      <c r="AA49" s="311"/>
      <c r="AB49" s="311"/>
      <c r="AC49" s="311"/>
      <c r="AT49" s="88" t="str">
        <f t="shared" si="2"/>
        <v>KP0005162017Q214,7</v>
      </c>
      <c r="AU49" s="89" t="str">
        <f t="shared" si="3"/>
        <v>06-2017</v>
      </c>
      <c r="BA49" s="92" t="str">
        <f t="shared" si="4"/>
        <v>WIP - 30 Days</v>
      </c>
    </row>
    <row r="50" spans="2:53">
      <c r="B50" s="60">
        <f>[2]Trucks!A47</f>
        <v>47144</v>
      </c>
      <c r="C50" s="11" t="str">
        <f>[2]Trucks!B47</f>
        <v>CLA-26-2806X4BB-C-K</v>
      </c>
      <c r="D50" s="19" t="str">
        <f>IFERROR(VLOOKUP(C50&amp;"",'[2]Retail Price List'!$A$3:$B$103,2,FALSE),"Special Order")</f>
        <v>KP000516</v>
      </c>
      <c r="E50" s="18" t="str">
        <f>[2]Trucks!J47</f>
        <v>CKD</v>
      </c>
      <c r="F50" s="12" t="str">
        <f>[2]Trucks!E47</f>
        <v>2017-12-31</v>
      </c>
      <c r="G50" s="56">
        <f>[2]Trucks!K47</f>
        <v>14.7</v>
      </c>
      <c r="H50" s="46">
        <f>[2]Trucks!I47</f>
        <v>42900</v>
      </c>
      <c r="I50" s="83" t="str">
        <f t="shared" si="0"/>
        <v>2017Q2</v>
      </c>
      <c r="J50" s="272">
        <f>IFERROR(VLOOKUP((D50&amp;C50)&amp;"",'[2]Retail Price List'!$C$4:$F$102,3,FALSE),"")</f>
        <v>990000</v>
      </c>
      <c r="K50" s="272">
        <f>IFERROR(IF(BA50="WIP - 30 Days",VLOOKUP(D50,[3]Standard!$B$9:$E$101,4,FALSE),IF(BA50="31-120 Days",VLOOKUP(D50,[3]Standard!$B$9:$F$101,5,FALSE),IF(BA50="121-365 Days",VLOOKUP(D50,[3]Standard!$B$9:$G$101,6,FALSE),VLOOKUP(D50,[3]Standard!$B$9:$H$101,7,FALSE)))),0)</f>
        <v>805563</v>
      </c>
      <c r="L50" s="272">
        <f>IFERROR(IF(BA50="WIP - 30 Days",VLOOKUP(D50,[3]Standard!$B$9:$J$101,9,FALSE),IF(BA50="31-120 Days",VLOOKUP(D50,[3]Standard!$B$9:$K$100,10,FALSE),IF(BA50="121-365 Days",VLOOKUP(D50,[3]Standard!$B$9:$L$101,11,FALSE),VLOOKUP(D50,[3]Standard!$B$9:$M$101,12,FALSE)))),0)</f>
        <v>782100</v>
      </c>
      <c r="M50" s="269">
        <f>IFERROR(VLOOKUP((D50&amp;C50)&amp;"",'[2]Retail Price List'!$C$4:$F$102,4,FALSE),"")</f>
        <v>1007500</v>
      </c>
      <c r="N50" s="269">
        <f>IFERROR(IF(BA50="WIP - 30 Days",VLOOKUP(D50,[3]Extended!$B$9:$E$101,4,FALSE),IF(BA50="31-120 Days",VLOOKUP(D50,[3]Extended!$B$9:$F$101,5,FALSE),IF(BA50="121-365 Days",VLOOKUP(D50,[3]Extended!$B$9:$G$101,6,FALSE),VLOOKUP(D50,[3]Extended!$B$9:$H$101,7,FALSE)))),0)</f>
        <v>850934.5</v>
      </c>
      <c r="O50" s="269">
        <f>IFERROR(IF(BA50="WIP - 30 Days",VLOOKUP(D50,[3]Extended!$B$9:$J$101,9,FALSE),IF(BA50="31-120 Days",VLOOKUP(D50,[3]Extended!$B$9:$K$101,10,FALSE),IF(BA50="121-365 Days",VLOOKUP(D50,[3]Extended!$B$9:$L$101,11,FALSE),VLOOKUP(D50,[3]Extended!$B$9:$M$101,12,FALSE)))),0)</f>
        <v>826150</v>
      </c>
      <c r="P50" s="116">
        <f t="shared" si="1"/>
        <v>0.18</v>
      </c>
      <c r="Q50" s="110" t="e">
        <f>O50-#REF!</f>
        <v>#REF!</v>
      </c>
      <c r="W50" s="311"/>
      <c r="X50" s="311"/>
      <c r="Y50" s="311"/>
      <c r="Z50" s="311"/>
      <c r="AA50" s="311"/>
      <c r="AB50" s="311"/>
      <c r="AC50" s="311"/>
      <c r="AT50" s="88" t="str">
        <f t="shared" si="2"/>
        <v>KP0005162017Q214,7</v>
      </c>
      <c r="AU50" s="89" t="str">
        <f t="shared" si="3"/>
        <v>06-2017</v>
      </c>
      <c r="BA50" s="92" t="str">
        <f t="shared" si="4"/>
        <v>WIP - 30 Days</v>
      </c>
    </row>
    <row r="51" spans="2:53">
      <c r="B51" s="60">
        <f>[2]Trucks!A48</f>
        <v>47652</v>
      </c>
      <c r="C51" s="11" t="str">
        <f>[2]Trucks!B48</f>
        <v>CLA-26-2806X4BB-C-K</v>
      </c>
      <c r="D51" s="19" t="str">
        <f>IFERROR(VLOOKUP(C51&amp;"",'[2]Retail Price List'!$A$3:$B$103,2,FALSE),"Special Order")</f>
        <v>KP000516</v>
      </c>
      <c r="E51" s="18" t="str">
        <f>[2]Trucks!J48</f>
        <v>CKD</v>
      </c>
      <c r="F51" s="12" t="str">
        <f>[2]Trucks!E48</f>
        <v>2018-02-20</v>
      </c>
      <c r="G51" s="56">
        <f>[2]Trucks!K48</f>
        <v>14.7</v>
      </c>
      <c r="H51" s="46">
        <f>[2]Trucks!I48</f>
        <v>42947</v>
      </c>
      <c r="I51" s="83" t="str">
        <f t="shared" si="0"/>
        <v>2017Q3</v>
      </c>
      <c r="J51" s="272">
        <f>IFERROR(VLOOKUP((D51&amp;C51)&amp;"",'[2]Retail Price List'!$C$4:$F$102,3,FALSE),"")</f>
        <v>990000</v>
      </c>
      <c r="K51" s="272">
        <f>IFERROR(IF(BA51="WIP - 30 Days",VLOOKUP(D51,[3]Standard!$B$9:$E$101,4,FALSE),IF(BA51="31-120 Days",VLOOKUP(D51,[3]Standard!$B$9:$F$101,5,FALSE),IF(BA51="121-365 Days",VLOOKUP(D51,[3]Standard!$B$9:$G$101,6,FALSE),VLOOKUP(D51,[3]Standard!$B$9:$H$101,7,FALSE)))),0)</f>
        <v>805563</v>
      </c>
      <c r="L51" s="272">
        <f>IFERROR(IF(BA51="WIP - 30 Days",VLOOKUP(D51,[3]Standard!$B$9:$J$101,9,FALSE),IF(BA51="31-120 Days",VLOOKUP(D51,[3]Standard!$B$9:$K$100,10,FALSE),IF(BA51="121-365 Days",VLOOKUP(D51,[3]Standard!$B$9:$L$101,11,FALSE),VLOOKUP(D51,[3]Standard!$B$9:$M$101,12,FALSE)))),0)</f>
        <v>782100</v>
      </c>
      <c r="M51" s="269">
        <f>IFERROR(VLOOKUP((D51&amp;C51)&amp;"",'[2]Retail Price List'!$C$4:$F$102,4,FALSE),"")</f>
        <v>1007500</v>
      </c>
      <c r="N51" s="269">
        <f>IFERROR(IF(BA51="WIP - 30 Days",VLOOKUP(D51,[3]Extended!$B$9:$E$101,4,FALSE),IF(BA51="31-120 Days",VLOOKUP(D51,[3]Extended!$B$9:$F$101,5,FALSE),IF(BA51="121-365 Days",VLOOKUP(D51,[3]Extended!$B$9:$G$101,6,FALSE),VLOOKUP(D51,[3]Extended!$B$9:$H$101,7,FALSE)))),0)</f>
        <v>850934.5</v>
      </c>
      <c r="O51" s="269">
        <f>IFERROR(IF(BA51="WIP - 30 Days",VLOOKUP(D51,[3]Extended!$B$9:$J$101,9,FALSE),IF(BA51="31-120 Days",VLOOKUP(D51,[3]Extended!$B$9:$K$101,10,FALSE),IF(BA51="121-365 Days",VLOOKUP(D51,[3]Extended!$B$9:$L$101,11,FALSE),VLOOKUP(D51,[3]Extended!$B$9:$M$101,12,FALSE)))),0)</f>
        <v>826150</v>
      </c>
      <c r="P51" s="116">
        <f t="shared" si="1"/>
        <v>0.18</v>
      </c>
      <c r="Q51" s="110" t="e">
        <f>O51-#REF!</f>
        <v>#REF!</v>
      </c>
      <c r="W51" s="311"/>
      <c r="X51" s="311"/>
      <c r="Y51" s="311"/>
      <c r="Z51" s="311"/>
      <c r="AA51" s="311"/>
      <c r="AB51" s="311"/>
      <c r="AC51" s="311"/>
      <c r="AT51" s="88" t="str">
        <f t="shared" si="2"/>
        <v>KP0005162017Q314,7</v>
      </c>
      <c r="AU51" s="89" t="str">
        <f t="shared" si="3"/>
        <v>07-2017</v>
      </c>
      <c r="BA51" s="92" t="str">
        <f t="shared" si="4"/>
        <v>WIP - 30 Days</v>
      </c>
    </row>
    <row r="52" spans="2:53">
      <c r="B52" s="60">
        <f>[2]Trucks!A49</f>
        <v>47653</v>
      </c>
      <c r="C52" s="11" t="str">
        <f>[2]Trucks!B49</f>
        <v>CLA-26-2806X4BB-C-K</v>
      </c>
      <c r="D52" s="19" t="str">
        <f>IFERROR(VLOOKUP(C52&amp;"",'[2]Retail Price List'!$A$3:$B$103,2,FALSE),"Special Order")</f>
        <v>KP000516</v>
      </c>
      <c r="E52" s="18" t="str">
        <f>[2]Trucks!J49</f>
        <v>CKD</v>
      </c>
      <c r="F52" s="12" t="str">
        <f>[2]Trucks!E49</f>
        <v>2018-02-20</v>
      </c>
      <c r="G52" s="56">
        <f>[2]Trucks!K49</f>
        <v>14.7</v>
      </c>
      <c r="H52" s="46">
        <f>[2]Trucks!I49</f>
        <v>42947</v>
      </c>
      <c r="I52" s="83" t="str">
        <f t="shared" si="0"/>
        <v>2017Q3</v>
      </c>
      <c r="J52" s="272">
        <f>IFERROR(VLOOKUP((D52&amp;C52)&amp;"",'[2]Retail Price List'!$C$4:$F$102,3,FALSE),"")</f>
        <v>990000</v>
      </c>
      <c r="K52" s="272">
        <f>IFERROR(IF(BA52="WIP - 30 Days",VLOOKUP(D52,[3]Standard!$B$9:$E$101,4,FALSE),IF(BA52="31-120 Days",VLOOKUP(D52,[3]Standard!$B$9:$F$101,5,FALSE),IF(BA52="121-365 Days",VLOOKUP(D52,[3]Standard!$B$9:$G$101,6,FALSE),VLOOKUP(D52,[3]Standard!$B$9:$H$101,7,FALSE)))),0)</f>
        <v>805563</v>
      </c>
      <c r="L52" s="272">
        <f>IFERROR(IF(BA52="WIP - 30 Days",VLOOKUP(D52,[3]Standard!$B$9:$J$101,9,FALSE),IF(BA52="31-120 Days",VLOOKUP(D52,[3]Standard!$B$9:$K$100,10,FALSE),IF(BA52="121-365 Days",VLOOKUP(D52,[3]Standard!$B$9:$L$101,11,FALSE),VLOOKUP(D52,[3]Standard!$B$9:$M$101,12,FALSE)))),0)</f>
        <v>782100</v>
      </c>
      <c r="M52" s="269">
        <f>IFERROR(VLOOKUP((D52&amp;C52)&amp;"",'[2]Retail Price List'!$C$4:$F$102,4,FALSE),"")</f>
        <v>1007500</v>
      </c>
      <c r="N52" s="269">
        <f>IFERROR(IF(BA52="WIP - 30 Days",VLOOKUP(D52,[3]Extended!$B$9:$E$101,4,FALSE),IF(BA52="31-120 Days",VLOOKUP(D52,[3]Extended!$B$9:$F$101,5,FALSE),IF(BA52="121-365 Days",VLOOKUP(D52,[3]Extended!$B$9:$G$101,6,FALSE),VLOOKUP(D52,[3]Extended!$B$9:$H$101,7,FALSE)))),0)</f>
        <v>850934.5</v>
      </c>
      <c r="O52" s="269">
        <f>IFERROR(IF(BA52="WIP - 30 Days",VLOOKUP(D52,[3]Extended!$B$9:$J$101,9,FALSE),IF(BA52="31-120 Days",VLOOKUP(D52,[3]Extended!$B$9:$K$101,10,FALSE),IF(BA52="121-365 Days",VLOOKUP(D52,[3]Extended!$B$9:$L$101,11,FALSE),VLOOKUP(D52,[3]Extended!$B$9:$M$101,12,FALSE)))),0)</f>
        <v>826150</v>
      </c>
      <c r="P52" s="116">
        <f t="shared" si="1"/>
        <v>0.18</v>
      </c>
      <c r="Q52" s="110" t="e">
        <f>O52-#REF!</f>
        <v>#REF!</v>
      </c>
      <c r="W52" s="311"/>
      <c r="X52" s="311"/>
      <c r="Y52" s="311"/>
      <c r="Z52" s="311"/>
      <c r="AA52" s="311"/>
      <c r="AB52" s="311"/>
      <c r="AC52" s="311"/>
      <c r="AT52" s="88" t="str">
        <f t="shared" si="2"/>
        <v>KP0005162017Q314,7</v>
      </c>
      <c r="AU52" s="89" t="str">
        <f t="shared" si="3"/>
        <v>07-2017</v>
      </c>
      <c r="BA52" s="92" t="str">
        <f t="shared" si="4"/>
        <v>WIP - 30 Days</v>
      </c>
    </row>
    <row r="53" spans="2:53">
      <c r="B53" s="60">
        <f>[2]Trucks!A50</f>
        <v>47654</v>
      </c>
      <c r="C53" s="11" t="str">
        <f>[2]Trucks!B50</f>
        <v>CLA-26-2806X4BB-C-K</v>
      </c>
      <c r="D53" s="19" t="str">
        <f>IFERROR(VLOOKUP(C53&amp;"",'[2]Retail Price List'!$A$3:$B$103,2,FALSE),"Special Order")</f>
        <v>KP000516</v>
      </c>
      <c r="E53" s="18" t="str">
        <f>[2]Trucks!J50</f>
        <v>CKD</v>
      </c>
      <c r="F53" s="12" t="str">
        <f>[2]Trucks!E50</f>
        <v>2018-02-20</v>
      </c>
      <c r="G53" s="56">
        <f>[2]Trucks!K50</f>
        <v>14.7</v>
      </c>
      <c r="H53" s="46">
        <f>[2]Trucks!I50</f>
        <v>42947</v>
      </c>
      <c r="I53" s="83" t="str">
        <f t="shared" si="0"/>
        <v>2017Q3</v>
      </c>
      <c r="J53" s="272">
        <f>IFERROR(VLOOKUP((D53&amp;C53)&amp;"",'[2]Retail Price List'!$C$4:$F$102,3,FALSE),"")</f>
        <v>990000</v>
      </c>
      <c r="K53" s="272">
        <f>IFERROR(IF(BA53="WIP - 30 Days",VLOOKUP(D53,[3]Standard!$B$9:$E$101,4,FALSE),IF(BA53="31-120 Days",VLOOKUP(D53,[3]Standard!$B$9:$F$101,5,FALSE),IF(BA53="121-365 Days",VLOOKUP(D53,[3]Standard!$B$9:$G$101,6,FALSE),VLOOKUP(D53,[3]Standard!$B$9:$H$101,7,FALSE)))),0)</f>
        <v>805563</v>
      </c>
      <c r="L53" s="272">
        <f>IFERROR(IF(BA53="WIP - 30 Days",VLOOKUP(D53,[3]Standard!$B$9:$J$101,9,FALSE),IF(BA53="31-120 Days",VLOOKUP(D53,[3]Standard!$B$9:$K$100,10,FALSE),IF(BA53="121-365 Days",VLOOKUP(D53,[3]Standard!$B$9:$L$101,11,FALSE),VLOOKUP(D53,[3]Standard!$B$9:$M$101,12,FALSE)))),0)</f>
        <v>782100</v>
      </c>
      <c r="M53" s="269">
        <f>IFERROR(VLOOKUP((D53&amp;C53)&amp;"",'[2]Retail Price List'!$C$4:$F$102,4,FALSE),"")</f>
        <v>1007500</v>
      </c>
      <c r="N53" s="269">
        <f>IFERROR(IF(BA53="WIP - 30 Days",VLOOKUP(D53,[3]Extended!$B$9:$E$101,4,FALSE),IF(BA53="31-120 Days",VLOOKUP(D53,[3]Extended!$B$9:$F$101,5,FALSE),IF(BA53="121-365 Days",VLOOKUP(D53,[3]Extended!$B$9:$G$101,6,FALSE),VLOOKUP(D53,[3]Extended!$B$9:$H$101,7,FALSE)))),0)</f>
        <v>850934.5</v>
      </c>
      <c r="O53" s="269">
        <f>IFERROR(IF(BA53="WIP - 30 Days",VLOOKUP(D53,[3]Extended!$B$9:$J$101,9,FALSE),IF(BA53="31-120 Days",VLOOKUP(D53,[3]Extended!$B$9:$K$101,10,FALSE),IF(BA53="121-365 Days",VLOOKUP(D53,[3]Extended!$B$9:$L$101,11,FALSE),VLOOKUP(D53,[3]Extended!$B$9:$M$101,12,FALSE)))),0)</f>
        <v>826150</v>
      </c>
      <c r="P53" s="116">
        <f t="shared" si="1"/>
        <v>0.18</v>
      </c>
      <c r="Q53" s="110" t="e">
        <f>O53-#REF!</f>
        <v>#REF!</v>
      </c>
      <c r="W53" s="311"/>
      <c r="X53" s="311"/>
      <c r="Y53" s="311"/>
      <c r="Z53" s="311"/>
      <c r="AA53" s="311"/>
      <c r="AB53" s="311"/>
      <c r="AC53" s="311"/>
      <c r="AT53" s="88" t="str">
        <f t="shared" si="2"/>
        <v>KP0005162017Q314,7</v>
      </c>
      <c r="AU53" s="89" t="str">
        <f t="shared" si="3"/>
        <v>07-2017</v>
      </c>
      <c r="BA53" s="92" t="str">
        <f t="shared" si="4"/>
        <v>WIP - 30 Days</v>
      </c>
    </row>
    <row r="54" spans="2:53">
      <c r="B54" s="60">
        <f>[2]Trucks!A51</f>
        <v>47655</v>
      </c>
      <c r="C54" s="11" t="str">
        <f>[2]Trucks!B51</f>
        <v>CLA-26-2806X4BB-C-K</v>
      </c>
      <c r="D54" s="19" t="str">
        <f>IFERROR(VLOOKUP(C54&amp;"",'[2]Retail Price List'!$A$3:$B$103,2,FALSE),"Special Order")</f>
        <v>KP000516</v>
      </c>
      <c r="E54" s="18" t="str">
        <f>[2]Trucks!J51</f>
        <v>CKD</v>
      </c>
      <c r="F54" s="12" t="str">
        <f>[2]Trucks!E51</f>
        <v>2018-02-20</v>
      </c>
      <c r="G54" s="56">
        <f>[2]Trucks!K51</f>
        <v>14.7</v>
      </c>
      <c r="H54" s="46">
        <f>[2]Trucks!I51</f>
        <v>42947</v>
      </c>
      <c r="I54" s="83" t="str">
        <f t="shared" si="0"/>
        <v>2017Q3</v>
      </c>
      <c r="J54" s="272">
        <f>IFERROR(VLOOKUP((D54&amp;C54)&amp;"",'[2]Retail Price List'!$C$4:$F$102,3,FALSE),"")</f>
        <v>990000</v>
      </c>
      <c r="K54" s="272">
        <f>IFERROR(IF(BA54="WIP - 30 Days",VLOOKUP(D54,[3]Standard!$B$9:$E$101,4,FALSE),IF(BA54="31-120 Days",VLOOKUP(D54,[3]Standard!$B$9:$F$101,5,FALSE),IF(BA54="121-365 Days",VLOOKUP(D54,[3]Standard!$B$9:$G$101,6,FALSE),VLOOKUP(D54,[3]Standard!$B$9:$H$101,7,FALSE)))),0)</f>
        <v>805563</v>
      </c>
      <c r="L54" s="272">
        <f>IFERROR(IF(BA54="WIP - 30 Days",VLOOKUP(D54,[3]Standard!$B$9:$J$101,9,FALSE),IF(BA54="31-120 Days",VLOOKUP(D54,[3]Standard!$B$9:$K$100,10,FALSE),IF(BA54="121-365 Days",VLOOKUP(D54,[3]Standard!$B$9:$L$101,11,FALSE),VLOOKUP(D54,[3]Standard!$B$9:$M$101,12,FALSE)))),0)</f>
        <v>782100</v>
      </c>
      <c r="M54" s="269">
        <f>IFERROR(VLOOKUP((D54&amp;C54)&amp;"",'[2]Retail Price List'!$C$4:$F$102,4,FALSE),"")</f>
        <v>1007500</v>
      </c>
      <c r="N54" s="269">
        <f>IFERROR(IF(BA54="WIP - 30 Days",VLOOKUP(D54,[3]Extended!$B$9:$E$101,4,FALSE),IF(BA54="31-120 Days",VLOOKUP(D54,[3]Extended!$B$9:$F$101,5,FALSE),IF(BA54="121-365 Days",VLOOKUP(D54,[3]Extended!$B$9:$G$101,6,FALSE),VLOOKUP(D54,[3]Extended!$B$9:$H$101,7,FALSE)))),0)</f>
        <v>850934.5</v>
      </c>
      <c r="O54" s="269">
        <f>IFERROR(IF(BA54="WIP - 30 Days",VLOOKUP(D54,[3]Extended!$B$9:$J$101,9,FALSE),IF(BA54="31-120 Days",VLOOKUP(D54,[3]Extended!$B$9:$K$101,10,FALSE),IF(BA54="121-365 Days",VLOOKUP(D54,[3]Extended!$B$9:$L$101,11,FALSE),VLOOKUP(D54,[3]Extended!$B$9:$M$101,12,FALSE)))),0)</f>
        <v>826150</v>
      </c>
      <c r="P54" s="116">
        <f t="shared" si="1"/>
        <v>0.18</v>
      </c>
      <c r="Q54" s="110" t="e">
        <f>O54-#REF!</f>
        <v>#REF!</v>
      </c>
      <c r="W54" s="311"/>
      <c r="X54" s="311"/>
      <c r="Y54" s="311"/>
      <c r="Z54" s="311"/>
      <c r="AA54" s="311"/>
      <c r="AB54" s="311"/>
      <c r="AC54" s="311"/>
      <c r="AT54" s="88" t="str">
        <f t="shared" si="2"/>
        <v>KP0005162017Q314,7</v>
      </c>
      <c r="AU54" s="89" t="str">
        <f t="shared" si="3"/>
        <v>07-2017</v>
      </c>
      <c r="BA54" s="92" t="str">
        <f t="shared" si="4"/>
        <v>WIP - 30 Days</v>
      </c>
    </row>
    <row r="55" spans="2:53">
      <c r="B55" s="60">
        <f>[2]Trucks!A52</f>
        <v>47656</v>
      </c>
      <c r="C55" s="11" t="str">
        <f>[2]Trucks!B52</f>
        <v>CLA-26-2806X4BB-C-K</v>
      </c>
      <c r="D55" s="19" t="str">
        <f>IFERROR(VLOOKUP(C55&amp;"",'[2]Retail Price List'!$A$3:$B$103,2,FALSE),"Special Order")</f>
        <v>KP000516</v>
      </c>
      <c r="E55" s="18" t="str">
        <f>[2]Trucks!J52</f>
        <v>CKD</v>
      </c>
      <c r="F55" s="12" t="str">
        <f>[2]Trucks!E52</f>
        <v>2018-02-20</v>
      </c>
      <c r="G55" s="56">
        <f>[2]Trucks!K52</f>
        <v>14.7</v>
      </c>
      <c r="H55" s="46">
        <f>[2]Trucks!I52</f>
        <v>42947</v>
      </c>
      <c r="I55" s="83" t="str">
        <f t="shared" si="0"/>
        <v>2017Q3</v>
      </c>
      <c r="J55" s="272">
        <f>IFERROR(VLOOKUP((D55&amp;C55)&amp;"",'[2]Retail Price List'!$C$4:$F$102,3,FALSE),"")</f>
        <v>990000</v>
      </c>
      <c r="K55" s="272">
        <f>IFERROR(IF(BA55="WIP - 30 Days",VLOOKUP(D55,[3]Standard!$B$9:$E$101,4,FALSE),IF(BA55="31-120 Days",VLOOKUP(D55,[3]Standard!$B$9:$F$101,5,FALSE),IF(BA55="121-365 Days",VLOOKUP(D55,[3]Standard!$B$9:$G$101,6,FALSE),VLOOKUP(D55,[3]Standard!$B$9:$H$101,7,FALSE)))),0)</f>
        <v>805563</v>
      </c>
      <c r="L55" s="272">
        <f>IFERROR(IF(BA55="WIP - 30 Days",VLOOKUP(D55,[3]Standard!$B$9:$J$101,9,FALSE),IF(BA55="31-120 Days",VLOOKUP(D55,[3]Standard!$B$9:$K$100,10,FALSE),IF(BA55="121-365 Days",VLOOKUP(D55,[3]Standard!$B$9:$L$101,11,FALSE),VLOOKUP(D55,[3]Standard!$B$9:$M$101,12,FALSE)))),0)</f>
        <v>782100</v>
      </c>
      <c r="M55" s="269">
        <f>IFERROR(VLOOKUP((D55&amp;C55)&amp;"",'[2]Retail Price List'!$C$4:$F$102,4,FALSE),"")</f>
        <v>1007500</v>
      </c>
      <c r="N55" s="269">
        <f>IFERROR(IF(BA55="WIP - 30 Days",VLOOKUP(D55,[3]Extended!$B$9:$E$101,4,FALSE),IF(BA55="31-120 Days",VLOOKUP(D55,[3]Extended!$B$9:$F$101,5,FALSE),IF(BA55="121-365 Days",VLOOKUP(D55,[3]Extended!$B$9:$G$101,6,FALSE),VLOOKUP(D55,[3]Extended!$B$9:$H$101,7,FALSE)))),0)</f>
        <v>850934.5</v>
      </c>
      <c r="O55" s="269">
        <f>IFERROR(IF(BA55="WIP - 30 Days",VLOOKUP(D55,[3]Extended!$B$9:$J$101,9,FALSE),IF(BA55="31-120 Days",VLOOKUP(D55,[3]Extended!$B$9:$K$101,10,FALSE),IF(BA55="121-365 Days",VLOOKUP(D55,[3]Extended!$B$9:$L$101,11,FALSE),VLOOKUP(D55,[3]Extended!$B$9:$M$101,12,FALSE)))),0)</f>
        <v>826150</v>
      </c>
      <c r="P55" s="116">
        <f t="shared" si="1"/>
        <v>0.18</v>
      </c>
      <c r="Q55" s="110" t="e">
        <f>O55-#REF!</f>
        <v>#REF!</v>
      </c>
      <c r="W55" s="311"/>
      <c r="X55" s="311"/>
      <c r="Y55" s="311"/>
      <c r="Z55" s="311"/>
      <c r="AA55" s="311"/>
      <c r="AB55" s="311"/>
      <c r="AC55" s="311"/>
      <c r="AT55" s="88" t="str">
        <f t="shared" si="2"/>
        <v>KP0005162017Q314,7</v>
      </c>
      <c r="AU55" s="89" t="str">
        <f t="shared" si="3"/>
        <v>07-2017</v>
      </c>
      <c r="BA55" s="92" t="str">
        <f t="shared" si="4"/>
        <v>WIP - 30 Days</v>
      </c>
    </row>
    <row r="56" spans="2:53">
      <c r="B56" s="60">
        <f>[2]Trucks!A53</f>
        <v>47657</v>
      </c>
      <c r="C56" s="11" t="str">
        <f>[2]Trucks!B53</f>
        <v>CLA-26-2806X4BB-C-K</v>
      </c>
      <c r="D56" s="19" t="str">
        <f>IFERROR(VLOOKUP(C56&amp;"",'[2]Retail Price List'!$A$3:$B$103,2,FALSE),"Special Order")</f>
        <v>KP000516</v>
      </c>
      <c r="E56" s="18" t="str">
        <f>[2]Trucks!J53</f>
        <v>CKD</v>
      </c>
      <c r="F56" s="12" t="str">
        <f>[2]Trucks!E53</f>
        <v>2018-02-20</v>
      </c>
      <c r="G56" s="56">
        <f>[2]Trucks!K53</f>
        <v>14.7</v>
      </c>
      <c r="H56" s="46">
        <f>[2]Trucks!I53</f>
        <v>42947</v>
      </c>
      <c r="I56" s="83" t="str">
        <f t="shared" si="0"/>
        <v>2017Q3</v>
      </c>
      <c r="J56" s="272">
        <f>IFERROR(VLOOKUP((D56&amp;C56)&amp;"",'[2]Retail Price List'!$C$4:$F$102,3,FALSE),"")</f>
        <v>990000</v>
      </c>
      <c r="K56" s="272">
        <f>IFERROR(IF(BA56="WIP - 30 Days",VLOOKUP(D56,[3]Standard!$B$9:$E$101,4,FALSE),IF(BA56="31-120 Days",VLOOKUP(D56,[3]Standard!$B$9:$F$101,5,FALSE),IF(BA56="121-365 Days",VLOOKUP(D56,[3]Standard!$B$9:$G$101,6,FALSE),VLOOKUP(D56,[3]Standard!$B$9:$H$101,7,FALSE)))),0)</f>
        <v>805563</v>
      </c>
      <c r="L56" s="272">
        <f>IFERROR(IF(BA56="WIP - 30 Days",VLOOKUP(D56,[3]Standard!$B$9:$J$101,9,FALSE),IF(BA56="31-120 Days",VLOOKUP(D56,[3]Standard!$B$9:$K$100,10,FALSE),IF(BA56="121-365 Days",VLOOKUP(D56,[3]Standard!$B$9:$L$101,11,FALSE),VLOOKUP(D56,[3]Standard!$B$9:$M$101,12,FALSE)))),0)</f>
        <v>782100</v>
      </c>
      <c r="M56" s="269">
        <f>IFERROR(VLOOKUP((D56&amp;C56)&amp;"",'[2]Retail Price List'!$C$4:$F$102,4,FALSE),"")</f>
        <v>1007500</v>
      </c>
      <c r="N56" s="269">
        <f>IFERROR(IF(BA56="WIP - 30 Days",VLOOKUP(D56,[3]Extended!$B$9:$E$101,4,FALSE),IF(BA56="31-120 Days",VLOOKUP(D56,[3]Extended!$B$9:$F$101,5,FALSE),IF(BA56="121-365 Days",VLOOKUP(D56,[3]Extended!$B$9:$G$101,6,FALSE),VLOOKUP(D56,[3]Extended!$B$9:$H$101,7,FALSE)))),0)</f>
        <v>850934.5</v>
      </c>
      <c r="O56" s="269">
        <f>IFERROR(IF(BA56="WIP - 30 Days",VLOOKUP(D56,[3]Extended!$B$9:$J$101,9,FALSE),IF(BA56="31-120 Days",VLOOKUP(D56,[3]Extended!$B$9:$K$101,10,FALSE),IF(BA56="121-365 Days",VLOOKUP(D56,[3]Extended!$B$9:$L$101,11,FALSE),VLOOKUP(D56,[3]Extended!$B$9:$M$101,12,FALSE)))),0)</f>
        <v>826150</v>
      </c>
      <c r="P56" s="116">
        <f t="shared" si="1"/>
        <v>0.18</v>
      </c>
      <c r="Q56" s="110" t="e">
        <f>O56-#REF!</f>
        <v>#REF!</v>
      </c>
      <c r="W56" s="311"/>
      <c r="X56" s="311"/>
      <c r="Y56" s="311"/>
      <c r="Z56" s="311"/>
      <c r="AA56" s="311"/>
      <c r="AB56" s="311"/>
      <c r="AC56" s="311"/>
      <c r="AT56" s="88" t="str">
        <f t="shared" si="2"/>
        <v>KP0005162017Q314,7</v>
      </c>
      <c r="AU56" s="89" t="str">
        <f t="shared" si="3"/>
        <v>07-2017</v>
      </c>
      <c r="BA56" s="92" t="str">
        <f t="shared" si="4"/>
        <v>WIP - 30 Days</v>
      </c>
    </row>
    <row r="57" spans="2:53">
      <c r="B57" s="60">
        <f>[2]Trucks!A54</f>
        <v>47658</v>
      </c>
      <c r="C57" s="11" t="str">
        <f>[2]Trucks!B54</f>
        <v>CLA-26-2806X4BB-C-K</v>
      </c>
      <c r="D57" s="19" t="str">
        <f>IFERROR(VLOOKUP(C57&amp;"",'[2]Retail Price List'!$A$3:$B$103,2,FALSE),"Special Order")</f>
        <v>KP000516</v>
      </c>
      <c r="E57" s="18" t="str">
        <f>[2]Trucks!J54</f>
        <v>CKD</v>
      </c>
      <c r="F57" s="12" t="str">
        <f>[2]Trucks!E54</f>
        <v>2018-02-28</v>
      </c>
      <c r="G57" s="56">
        <f>[2]Trucks!K54</f>
        <v>14.7</v>
      </c>
      <c r="H57" s="46">
        <f>[2]Trucks!I54</f>
        <v>42947</v>
      </c>
      <c r="I57" s="83" t="str">
        <f t="shared" si="0"/>
        <v>2017Q3</v>
      </c>
      <c r="J57" s="272">
        <f>IFERROR(VLOOKUP((D57&amp;C57)&amp;"",'[2]Retail Price List'!$C$4:$F$102,3,FALSE),"")</f>
        <v>990000</v>
      </c>
      <c r="K57" s="272">
        <f>IFERROR(IF(BA57="WIP - 30 Days",VLOOKUP(D57,[3]Standard!$B$9:$E$101,4,FALSE),IF(BA57="31-120 Days",VLOOKUP(D57,[3]Standard!$B$9:$F$101,5,FALSE),IF(BA57="121-365 Days",VLOOKUP(D57,[3]Standard!$B$9:$G$101,6,FALSE),VLOOKUP(D57,[3]Standard!$B$9:$H$101,7,FALSE)))),0)</f>
        <v>805563</v>
      </c>
      <c r="L57" s="272">
        <f>IFERROR(IF(BA57="WIP - 30 Days",VLOOKUP(D57,[3]Standard!$B$9:$J$101,9,FALSE),IF(BA57="31-120 Days",VLOOKUP(D57,[3]Standard!$B$9:$K$100,10,FALSE),IF(BA57="121-365 Days",VLOOKUP(D57,[3]Standard!$B$9:$L$101,11,FALSE),VLOOKUP(D57,[3]Standard!$B$9:$M$101,12,FALSE)))),0)</f>
        <v>782100</v>
      </c>
      <c r="M57" s="269">
        <f>IFERROR(VLOOKUP((D57&amp;C57)&amp;"",'[2]Retail Price List'!$C$4:$F$102,4,FALSE),"")</f>
        <v>1007500</v>
      </c>
      <c r="N57" s="269">
        <f>IFERROR(IF(BA57="WIP - 30 Days",VLOOKUP(D57,[3]Extended!$B$9:$E$101,4,FALSE),IF(BA57="31-120 Days",VLOOKUP(D57,[3]Extended!$B$9:$F$101,5,FALSE),IF(BA57="121-365 Days",VLOOKUP(D57,[3]Extended!$B$9:$G$101,6,FALSE),VLOOKUP(D57,[3]Extended!$B$9:$H$101,7,FALSE)))),0)</f>
        <v>850934.5</v>
      </c>
      <c r="O57" s="269">
        <f>IFERROR(IF(BA57="WIP - 30 Days",VLOOKUP(D57,[3]Extended!$B$9:$J$101,9,FALSE),IF(BA57="31-120 Days",VLOOKUP(D57,[3]Extended!$B$9:$K$101,10,FALSE),IF(BA57="121-365 Days",VLOOKUP(D57,[3]Extended!$B$9:$L$101,11,FALSE),VLOOKUP(D57,[3]Extended!$B$9:$M$101,12,FALSE)))),0)</f>
        <v>826150</v>
      </c>
      <c r="P57" s="116">
        <f t="shared" si="1"/>
        <v>0.18</v>
      </c>
      <c r="Q57" s="110" t="e">
        <f>O57-#REF!</f>
        <v>#REF!</v>
      </c>
      <c r="W57" s="311"/>
      <c r="X57" s="311"/>
      <c r="Y57" s="311"/>
      <c r="Z57" s="311"/>
      <c r="AA57" s="311"/>
      <c r="AB57" s="311"/>
      <c r="AC57" s="311"/>
      <c r="AT57" s="88" t="str">
        <f t="shared" si="2"/>
        <v>KP0005162017Q314,7</v>
      </c>
      <c r="AU57" s="89" t="str">
        <f t="shared" si="3"/>
        <v>07-2017</v>
      </c>
      <c r="BA57" s="92" t="str">
        <f t="shared" si="4"/>
        <v>WIP - 30 Days</v>
      </c>
    </row>
    <row r="58" spans="2:53">
      <c r="B58" s="60">
        <f>[2]Trucks!A55</f>
        <v>47659</v>
      </c>
      <c r="C58" s="11" t="str">
        <f>[2]Trucks!B55</f>
        <v>CLA-26-2806X4BB-C-K</v>
      </c>
      <c r="D58" s="19" t="str">
        <f>IFERROR(VLOOKUP(C58&amp;"",'[2]Retail Price List'!$A$3:$B$103,2,FALSE),"Special Order")</f>
        <v>KP000516</v>
      </c>
      <c r="E58" s="18" t="str">
        <f>[2]Trucks!J55</f>
        <v>CKD</v>
      </c>
      <c r="F58" s="12" t="str">
        <f>[2]Trucks!E55</f>
        <v>2018-02-28</v>
      </c>
      <c r="G58" s="56">
        <f>[2]Trucks!K55</f>
        <v>14.7</v>
      </c>
      <c r="H58" s="46">
        <f>[2]Trucks!I55</f>
        <v>42947</v>
      </c>
      <c r="I58" s="83" t="str">
        <f t="shared" si="0"/>
        <v>2017Q3</v>
      </c>
      <c r="J58" s="272">
        <f>IFERROR(VLOOKUP((D58&amp;C58)&amp;"",'[2]Retail Price List'!$C$4:$F$102,3,FALSE),"")</f>
        <v>990000</v>
      </c>
      <c r="K58" s="272">
        <f>IFERROR(IF(BA58="WIP - 30 Days",VLOOKUP(D58,[3]Standard!$B$9:$E$101,4,FALSE),IF(BA58="31-120 Days",VLOOKUP(D58,[3]Standard!$B$9:$F$101,5,FALSE),IF(BA58="121-365 Days",VLOOKUP(D58,[3]Standard!$B$9:$G$101,6,FALSE),VLOOKUP(D58,[3]Standard!$B$9:$H$101,7,FALSE)))),0)</f>
        <v>805563</v>
      </c>
      <c r="L58" s="272">
        <f>IFERROR(IF(BA58="WIP - 30 Days",VLOOKUP(D58,[3]Standard!$B$9:$J$101,9,FALSE),IF(BA58="31-120 Days",VLOOKUP(D58,[3]Standard!$B$9:$K$100,10,FALSE),IF(BA58="121-365 Days",VLOOKUP(D58,[3]Standard!$B$9:$L$101,11,FALSE),VLOOKUP(D58,[3]Standard!$B$9:$M$101,12,FALSE)))),0)</f>
        <v>782100</v>
      </c>
      <c r="M58" s="269">
        <f>IFERROR(VLOOKUP((D58&amp;C58)&amp;"",'[2]Retail Price List'!$C$4:$F$102,4,FALSE),"")</f>
        <v>1007500</v>
      </c>
      <c r="N58" s="269">
        <f>IFERROR(IF(BA58="WIP - 30 Days",VLOOKUP(D58,[3]Extended!$B$9:$E$101,4,FALSE),IF(BA58="31-120 Days",VLOOKUP(D58,[3]Extended!$B$9:$F$101,5,FALSE),IF(BA58="121-365 Days",VLOOKUP(D58,[3]Extended!$B$9:$G$101,6,FALSE),VLOOKUP(D58,[3]Extended!$B$9:$H$101,7,FALSE)))),0)</f>
        <v>850934.5</v>
      </c>
      <c r="O58" s="269">
        <f>IFERROR(IF(BA58="WIP - 30 Days",VLOOKUP(D58,[3]Extended!$B$9:$J$101,9,FALSE),IF(BA58="31-120 Days",VLOOKUP(D58,[3]Extended!$B$9:$K$101,10,FALSE),IF(BA58="121-365 Days",VLOOKUP(D58,[3]Extended!$B$9:$L$101,11,FALSE),VLOOKUP(D58,[3]Extended!$B$9:$M$101,12,FALSE)))),0)</f>
        <v>826150</v>
      </c>
      <c r="P58" s="116">
        <f t="shared" si="1"/>
        <v>0.18</v>
      </c>
      <c r="Q58" s="110" t="e">
        <f>O58-#REF!</f>
        <v>#REF!</v>
      </c>
      <c r="W58" s="311"/>
      <c r="X58" s="311"/>
      <c r="Y58" s="311"/>
      <c r="Z58" s="311"/>
      <c r="AA58" s="311"/>
      <c r="AB58" s="311"/>
      <c r="AC58" s="311"/>
      <c r="AT58" s="88" t="str">
        <f t="shared" si="2"/>
        <v>KP0005162017Q314,7</v>
      </c>
      <c r="AU58" s="89" t="str">
        <f t="shared" si="3"/>
        <v>07-2017</v>
      </c>
      <c r="BA58" s="92" t="str">
        <f t="shared" si="4"/>
        <v>WIP - 30 Days</v>
      </c>
    </row>
    <row r="59" spans="2:53">
      <c r="B59" s="60">
        <f>[2]Trucks!A56</f>
        <v>47660</v>
      </c>
      <c r="C59" s="11" t="str">
        <f>[2]Trucks!B56</f>
        <v>CLA-26-2806X4BB-C-K</v>
      </c>
      <c r="D59" s="19" t="str">
        <f>IFERROR(VLOOKUP(C59&amp;"",'[2]Retail Price List'!$A$3:$B$103,2,FALSE),"Special Order")</f>
        <v>KP000516</v>
      </c>
      <c r="E59" s="18" t="str">
        <f>[2]Trucks!J56</f>
        <v>CKD</v>
      </c>
      <c r="F59" s="12" t="str">
        <f>[2]Trucks!E56</f>
        <v>2018-02-28</v>
      </c>
      <c r="G59" s="56">
        <f>[2]Trucks!K56</f>
        <v>14.7</v>
      </c>
      <c r="H59" s="46">
        <f>[2]Trucks!I56</f>
        <v>42947</v>
      </c>
      <c r="I59" s="83" t="str">
        <f t="shared" si="0"/>
        <v>2017Q3</v>
      </c>
      <c r="J59" s="272">
        <f>IFERROR(VLOOKUP((D59&amp;C59)&amp;"",'[2]Retail Price List'!$C$4:$F$102,3,FALSE),"")</f>
        <v>990000</v>
      </c>
      <c r="K59" s="272">
        <f>IFERROR(IF(BA59="WIP - 30 Days",VLOOKUP(D59,[3]Standard!$B$9:$E$101,4,FALSE),IF(BA59="31-120 Days",VLOOKUP(D59,[3]Standard!$B$9:$F$101,5,FALSE),IF(BA59="121-365 Days",VLOOKUP(D59,[3]Standard!$B$9:$G$101,6,FALSE),VLOOKUP(D59,[3]Standard!$B$9:$H$101,7,FALSE)))),0)</f>
        <v>805563</v>
      </c>
      <c r="L59" s="272">
        <f>IFERROR(IF(BA59="WIP - 30 Days",VLOOKUP(D59,[3]Standard!$B$9:$J$101,9,FALSE),IF(BA59="31-120 Days",VLOOKUP(D59,[3]Standard!$B$9:$K$100,10,FALSE),IF(BA59="121-365 Days",VLOOKUP(D59,[3]Standard!$B$9:$L$101,11,FALSE),VLOOKUP(D59,[3]Standard!$B$9:$M$101,12,FALSE)))),0)</f>
        <v>782100</v>
      </c>
      <c r="M59" s="269">
        <f>IFERROR(VLOOKUP((D59&amp;C59)&amp;"",'[2]Retail Price List'!$C$4:$F$102,4,FALSE),"")</f>
        <v>1007500</v>
      </c>
      <c r="N59" s="269">
        <f>IFERROR(IF(BA59="WIP - 30 Days",VLOOKUP(D59,[3]Extended!$B$9:$E$101,4,FALSE),IF(BA59="31-120 Days",VLOOKUP(D59,[3]Extended!$B$9:$F$101,5,FALSE),IF(BA59="121-365 Days",VLOOKUP(D59,[3]Extended!$B$9:$G$101,6,FALSE),VLOOKUP(D59,[3]Extended!$B$9:$H$101,7,FALSE)))),0)</f>
        <v>850934.5</v>
      </c>
      <c r="O59" s="269">
        <f>IFERROR(IF(BA59="WIP - 30 Days",VLOOKUP(D59,[3]Extended!$B$9:$J$101,9,FALSE),IF(BA59="31-120 Days",VLOOKUP(D59,[3]Extended!$B$9:$K$101,10,FALSE),IF(BA59="121-365 Days",VLOOKUP(D59,[3]Extended!$B$9:$L$101,11,FALSE),VLOOKUP(D59,[3]Extended!$B$9:$M$101,12,FALSE)))),0)</f>
        <v>826150</v>
      </c>
      <c r="P59" s="116">
        <f t="shared" si="1"/>
        <v>0.18</v>
      </c>
      <c r="Q59" s="110" t="e">
        <f>O59-#REF!</f>
        <v>#REF!</v>
      </c>
      <c r="W59" s="311"/>
      <c r="X59" s="311"/>
      <c r="Y59" s="311"/>
      <c r="Z59" s="311"/>
      <c r="AA59" s="311"/>
      <c r="AB59" s="311"/>
      <c r="AC59" s="311"/>
      <c r="AT59" s="88" t="str">
        <f t="shared" si="2"/>
        <v>KP0005162017Q314,7</v>
      </c>
      <c r="AU59" s="89" t="str">
        <f t="shared" si="3"/>
        <v>07-2017</v>
      </c>
      <c r="BA59" s="92" t="str">
        <f t="shared" si="4"/>
        <v>WIP - 30 Days</v>
      </c>
    </row>
    <row r="60" spans="2:53">
      <c r="B60" s="60">
        <f>[2]Trucks!A57</f>
        <v>47661</v>
      </c>
      <c r="C60" s="11" t="str">
        <f>[2]Trucks!B57</f>
        <v>CLA-26-2806X4BB-C-K</v>
      </c>
      <c r="D60" s="19" t="str">
        <f>IFERROR(VLOOKUP(C60&amp;"",'[2]Retail Price List'!$A$3:$B$103,2,FALSE),"Special Order")</f>
        <v>KP000516</v>
      </c>
      <c r="E60" s="18" t="str">
        <f>[2]Trucks!J57</f>
        <v>CKD</v>
      </c>
      <c r="F60" s="12" t="str">
        <f>[2]Trucks!E57</f>
        <v>2018-02-28</v>
      </c>
      <c r="G60" s="56">
        <f>[2]Trucks!K57</f>
        <v>14.7</v>
      </c>
      <c r="H60" s="46">
        <f>[2]Trucks!I57</f>
        <v>42947</v>
      </c>
      <c r="I60" s="83" t="str">
        <f t="shared" si="0"/>
        <v>2017Q3</v>
      </c>
      <c r="J60" s="272">
        <f>IFERROR(VLOOKUP((D60&amp;C60)&amp;"",'[2]Retail Price List'!$C$4:$F$102,3,FALSE),"")</f>
        <v>990000</v>
      </c>
      <c r="K60" s="272">
        <f>IFERROR(IF(BA60="WIP - 30 Days",VLOOKUP(D60,[3]Standard!$B$9:$E$101,4,FALSE),IF(BA60="31-120 Days",VLOOKUP(D60,[3]Standard!$B$9:$F$101,5,FALSE),IF(BA60="121-365 Days",VLOOKUP(D60,[3]Standard!$B$9:$G$101,6,FALSE),VLOOKUP(D60,[3]Standard!$B$9:$H$101,7,FALSE)))),0)</f>
        <v>805563</v>
      </c>
      <c r="L60" s="272">
        <f>IFERROR(IF(BA60="WIP - 30 Days",VLOOKUP(D60,[3]Standard!$B$9:$J$101,9,FALSE),IF(BA60="31-120 Days",VLOOKUP(D60,[3]Standard!$B$9:$K$100,10,FALSE),IF(BA60="121-365 Days",VLOOKUP(D60,[3]Standard!$B$9:$L$101,11,FALSE),VLOOKUP(D60,[3]Standard!$B$9:$M$101,12,FALSE)))),0)</f>
        <v>782100</v>
      </c>
      <c r="M60" s="269">
        <f>IFERROR(VLOOKUP((D60&amp;C60)&amp;"",'[2]Retail Price List'!$C$4:$F$102,4,FALSE),"")</f>
        <v>1007500</v>
      </c>
      <c r="N60" s="269">
        <f>IFERROR(IF(BA60="WIP - 30 Days",VLOOKUP(D60,[3]Extended!$B$9:$E$101,4,FALSE),IF(BA60="31-120 Days",VLOOKUP(D60,[3]Extended!$B$9:$F$101,5,FALSE),IF(BA60="121-365 Days",VLOOKUP(D60,[3]Extended!$B$9:$G$101,6,FALSE),VLOOKUP(D60,[3]Extended!$B$9:$H$101,7,FALSE)))),0)</f>
        <v>850934.5</v>
      </c>
      <c r="O60" s="269">
        <f>IFERROR(IF(BA60="WIP - 30 Days",VLOOKUP(D60,[3]Extended!$B$9:$J$101,9,FALSE),IF(BA60="31-120 Days",VLOOKUP(D60,[3]Extended!$B$9:$K$101,10,FALSE),IF(BA60="121-365 Days",VLOOKUP(D60,[3]Extended!$B$9:$L$101,11,FALSE),VLOOKUP(D60,[3]Extended!$B$9:$M$101,12,FALSE)))),0)</f>
        <v>826150</v>
      </c>
      <c r="P60" s="116">
        <f t="shared" si="1"/>
        <v>0.18</v>
      </c>
      <c r="Q60" s="110" t="e">
        <f>O60-#REF!</f>
        <v>#REF!</v>
      </c>
      <c r="W60" s="311"/>
      <c r="X60" s="311"/>
      <c r="Y60" s="311"/>
      <c r="Z60" s="311"/>
      <c r="AA60" s="311"/>
      <c r="AB60" s="311"/>
      <c r="AC60" s="311"/>
      <c r="AT60" s="88" t="str">
        <f t="shared" si="2"/>
        <v>KP0005162017Q314,7</v>
      </c>
      <c r="AU60" s="89" t="str">
        <f t="shared" si="3"/>
        <v>07-2017</v>
      </c>
      <c r="BA60" s="92" t="str">
        <f t="shared" si="4"/>
        <v>WIP - 30 Days</v>
      </c>
    </row>
    <row r="61" spans="2:53">
      <c r="B61" s="60">
        <f>[2]Trucks!A58</f>
        <v>47662</v>
      </c>
      <c r="C61" s="11" t="str">
        <f>[2]Trucks!B58</f>
        <v>CLA-26-2806X4BB-C-K</v>
      </c>
      <c r="D61" s="19" t="str">
        <f>IFERROR(VLOOKUP(C61&amp;"",'[2]Retail Price List'!$A$3:$B$103,2,FALSE),"Special Order")</f>
        <v>KP000516</v>
      </c>
      <c r="E61" s="18" t="str">
        <f>[2]Trucks!J58</f>
        <v>CKD</v>
      </c>
      <c r="F61" s="12" t="str">
        <f>[2]Trucks!E58</f>
        <v>2018-02-28</v>
      </c>
      <c r="G61" s="56">
        <f>[2]Trucks!K58</f>
        <v>14.7</v>
      </c>
      <c r="H61" s="46">
        <f>[2]Trucks!I58</f>
        <v>42947</v>
      </c>
      <c r="I61" s="83" t="str">
        <f t="shared" si="0"/>
        <v>2017Q3</v>
      </c>
      <c r="J61" s="272">
        <f>IFERROR(VLOOKUP((D61&amp;C61)&amp;"",'[2]Retail Price List'!$C$4:$F$102,3,FALSE),"")</f>
        <v>990000</v>
      </c>
      <c r="K61" s="272">
        <f>IFERROR(IF(BA61="WIP - 30 Days",VLOOKUP(D61,[3]Standard!$B$9:$E$101,4,FALSE),IF(BA61="31-120 Days",VLOOKUP(D61,[3]Standard!$B$9:$F$101,5,FALSE),IF(BA61="121-365 Days",VLOOKUP(D61,[3]Standard!$B$9:$G$101,6,FALSE),VLOOKUP(D61,[3]Standard!$B$9:$H$101,7,FALSE)))),0)</f>
        <v>805563</v>
      </c>
      <c r="L61" s="272">
        <f>IFERROR(IF(BA61="WIP - 30 Days",VLOOKUP(D61,[3]Standard!$B$9:$J$101,9,FALSE),IF(BA61="31-120 Days",VLOOKUP(D61,[3]Standard!$B$9:$K$100,10,FALSE),IF(BA61="121-365 Days",VLOOKUP(D61,[3]Standard!$B$9:$L$101,11,FALSE),VLOOKUP(D61,[3]Standard!$B$9:$M$101,12,FALSE)))),0)</f>
        <v>782100</v>
      </c>
      <c r="M61" s="269">
        <f>IFERROR(VLOOKUP((D61&amp;C61)&amp;"",'[2]Retail Price List'!$C$4:$F$102,4,FALSE),"")</f>
        <v>1007500</v>
      </c>
      <c r="N61" s="269">
        <f>IFERROR(IF(BA61="WIP - 30 Days",VLOOKUP(D61,[3]Extended!$B$9:$E$101,4,FALSE),IF(BA61="31-120 Days",VLOOKUP(D61,[3]Extended!$B$9:$F$101,5,FALSE),IF(BA61="121-365 Days",VLOOKUP(D61,[3]Extended!$B$9:$G$101,6,FALSE),VLOOKUP(D61,[3]Extended!$B$9:$H$101,7,FALSE)))),0)</f>
        <v>850934.5</v>
      </c>
      <c r="O61" s="269">
        <f>IFERROR(IF(BA61="WIP - 30 Days",VLOOKUP(D61,[3]Extended!$B$9:$J$101,9,FALSE),IF(BA61="31-120 Days",VLOOKUP(D61,[3]Extended!$B$9:$K$101,10,FALSE),IF(BA61="121-365 Days",VLOOKUP(D61,[3]Extended!$B$9:$L$101,11,FALSE),VLOOKUP(D61,[3]Extended!$B$9:$M$101,12,FALSE)))),0)</f>
        <v>826150</v>
      </c>
      <c r="P61" s="116">
        <f t="shared" si="1"/>
        <v>0.18</v>
      </c>
      <c r="Q61" s="110" t="e">
        <f>O61-#REF!</f>
        <v>#REF!</v>
      </c>
      <c r="W61" s="311"/>
      <c r="X61" s="311"/>
      <c r="Y61" s="311"/>
      <c r="Z61" s="311"/>
      <c r="AA61" s="311"/>
      <c r="AB61" s="311"/>
      <c r="AC61" s="311"/>
      <c r="AT61" s="88" t="str">
        <f t="shared" si="2"/>
        <v>KP0005162017Q314,7</v>
      </c>
      <c r="AU61" s="89" t="str">
        <f t="shared" si="3"/>
        <v>07-2017</v>
      </c>
      <c r="BA61" s="92" t="str">
        <f t="shared" si="4"/>
        <v>WIP - 30 Days</v>
      </c>
    </row>
    <row r="62" spans="2:53">
      <c r="B62" s="60">
        <f>[2]Trucks!A59</f>
        <v>47663</v>
      </c>
      <c r="C62" s="11" t="str">
        <f>[2]Trucks!B59</f>
        <v>CLA-26-2806X4BB-C-K</v>
      </c>
      <c r="D62" s="19" t="str">
        <f>IFERROR(VLOOKUP(C62&amp;"",'[2]Retail Price List'!$A$3:$B$103,2,FALSE),"Special Order")</f>
        <v>KP000516</v>
      </c>
      <c r="E62" s="18" t="str">
        <f>[2]Trucks!J59</f>
        <v>CKD</v>
      </c>
      <c r="F62" s="12" t="str">
        <f>[2]Trucks!E59</f>
        <v>2018-02-28</v>
      </c>
      <c r="G62" s="56">
        <f>[2]Trucks!K59</f>
        <v>14.7</v>
      </c>
      <c r="H62" s="46">
        <f>[2]Trucks!I59</f>
        <v>42947</v>
      </c>
      <c r="I62" s="83" t="str">
        <f t="shared" si="0"/>
        <v>2017Q3</v>
      </c>
      <c r="J62" s="272">
        <f>IFERROR(VLOOKUP((D62&amp;C62)&amp;"",'[2]Retail Price List'!$C$4:$F$102,3,FALSE),"")</f>
        <v>990000</v>
      </c>
      <c r="K62" s="272">
        <f>IFERROR(IF(BA62="WIP - 30 Days",VLOOKUP(D62,[3]Standard!$B$9:$E$101,4,FALSE),IF(BA62="31-120 Days",VLOOKUP(D62,[3]Standard!$B$9:$F$101,5,FALSE),IF(BA62="121-365 Days",VLOOKUP(D62,[3]Standard!$B$9:$G$101,6,FALSE),VLOOKUP(D62,[3]Standard!$B$9:$H$101,7,FALSE)))),0)</f>
        <v>805563</v>
      </c>
      <c r="L62" s="272">
        <f>IFERROR(IF(BA62="WIP - 30 Days",VLOOKUP(D62,[3]Standard!$B$9:$J$101,9,FALSE),IF(BA62="31-120 Days",VLOOKUP(D62,[3]Standard!$B$9:$K$100,10,FALSE),IF(BA62="121-365 Days",VLOOKUP(D62,[3]Standard!$B$9:$L$101,11,FALSE),VLOOKUP(D62,[3]Standard!$B$9:$M$101,12,FALSE)))),0)</f>
        <v>782100</v>
      </c>
      <c r="M62" s="269">
        <f>IFERROR(VLOOKUP((D62&amp;C62)&amp;"",'[2]Retail Price List'!$C$4:$F$102,4,FALSE),"")</f>
        <v>1007500</v>
      </c>
      <c r="N62" s="269">
        <f>IFERROR(IF(BA62="WIP - 30 Days",VLOOKUP(D62,[3]Extended!$B$9:$E$101,4,FALSE),IF(BA62="31-120 Days",VLOOKUP(D62,[3]Extended!$B$9:$F$101,5,FALSE),IF(BA62="121-365 Days",VLOOKUP(D62,[3]Extended!$B$9:$G$101,6,FALSE),VLOOKUP(D62,[3]Extended!$B$9:$H$101,7,FALSE)))),0)</f>
        <v>850934.5</v>
      </c>
      <c r="O62" s="269">
        <f>IFERROR(IF(BA62="WIP - 30 Days",VLOOKUP(D62,[3]Extended!$B$9:$J$101,9,FALSE),IF(BA62="31-120 Days",VLOOKUP(D62,[3]Extended!$B$9:$K$101,10,FALSE),IF(BA62="121-365 Days",VLOOKUP(D62,[3]Extended!$B$9:$L$101,11,FALSE),VLOOKUP(D62,[3]Extended!$B$9:$M$101,12,FALSE)))),0)</f>
        <v>826150</v>
      </c>
      <c r="P62" s="116">
        <f t="shared" si="1"/>
        <v>0.18</v>
      </c>
      <c r="Q62" s="110" t="e">
        <f>O62-#REF!</f>
        <v>#REF!</v>
      </c>
      <c r="W62" s="311"/>
      <c r="X62" s="311"/>
      <c r="Y62" s="311"/>
      <c r="Z62" s="311"/>
      <c r="AA62" s="311"/>
      <c r="AB62" s="311"/>
      <c r="AC62" s="311"/>
      <c r="AT62" s="88" t="str">
        <f t="shared" si="2"/>
        <v>KP0005162017Q314,7</v>
      </c>
      <c r="AU62" s="89" t="str">
        <f t="shared" si="3"/>
        <v>07-2017</v>
      </c>
      <c r="BA62" s="92" t="str">
        <f t="shared" si="4"/>
        <v>WIP - 30 Days</v>
      </c>
    </row>
    <row r="63" spans="2:53">
      <c r="B63" s="60" t="str">
        <f>[2]Trucks!A60</f>
        <v>MC6-3468</v>
      </c>
      <c r="C63" s="11" t="str">
        <f>[2]Trucks!B60</f>
        <v>CLA-26-2806X4BB-C-K</v>
      </c>
      <c r="D63" s="19" t="str">
        <f>IFERROR(VLOOKUP(C63&amp;"",'[2]Retail Price List'!$A$3:$B$103,2,FALSE),"Special Order")</f>
        <v>KP000516</v>
      </c>
      <c r="E63" s="18" t="str">
        <f>[2]Trucks!J60</f>
        <v>UNSOLD</v>
      </c>
      <c r="F63" s="12">
        <f>[2]Trucks!E60</f>
        <v>164</v>
      </c>
      <c r="G63" s="56">
        <f>[2]Trucks!K60</f>
        <v>16</v>
      </c>
      <c r="H63" s="46">
        <f>[2]Trucks!I60</f>
        <v>42628</v>
      </c>
      <c r="I63" s="83" t="str">
        <f t="shared" si="0"/>
        <v>2016Q3</v>
      </c>
      <c r="J63" s="272">
        <f>IFERROR(VLOOKUP((D63&amp;C63)&amp;"",'[2]Retail Price List'!$C$4:$F$102,3,FALSE),"")</f>
        <v>990000</v>
      </c>
      <c r="K63" s="272">
        <f>IFERROR(IF(BA63="WIP - 30 Days",VLOOKUP(D63,[3]Standard!$B$9:$E$101,4,FALSE),IF(BA63="31-120 Days",VLOOKUP(D63,[3]Standard!$B$9:$F$101,5,FALSE),IF(BA63="121-365 Days",VLOOKUP(D63,[3]Standard!$B$9:$G$101,6,FALSE),VLOOKUP(D63,[3]Standard!$B$9:$H$101,7,FALSE)))),0)</f>
        <v>774972</v>
      </c>
      <c r="L63" s="272">
        <f>IFERROR(IF(BA63="WIP - 30 Days",VLOOKUP(D63,[3]Standard!$B$9:$J$101,9,FALSE),IF(BA63="31-120 Days",VLOOKUP(D63,[3]Standard!$B$9:$K$100,10,FALSE),IF(BA63="121-365 Days",VLOOKUP(D63,[3]Standard!$B$9:$L$101,11,FALSE),VLOOKUP(D63,[3]Standard!$B$9:$M$101,12,FALSE)))),0)</f>
        <v>752400</v>
      </c>
      <c r="M63" s="269">
        <f>IFERROR(VLOOKUP((D63&amp;C63)&amp;"",'[2]Retail Price List'!$C$4:$F$102,4,FALSE),"")</f>
        <v>1007500</v>
      </c>
      <c r="N63" s="269">
        <f>IFERROR(IF(BA63="WIP - 30 Days",VLOOKUP(D63,[3]Extended!$B$9:$E$101,4,FALSE),IF(BA63="31-120 Days",VLOOKUP(D63,[3]Extended!$B$9:$F$101,5,FALSE),IF(BA63="121-365 Days",VLOOKUP(D63,[3]Extended!$B$9:$G$101,6,FALSE),VLOOKUP(D63,[3]Extended!$B$9:$H$101,7,FALSE)))),0)</f>
        <v>809425.5</v>
      </c>
      <c r="O63" s="269">
        <f>IFERROR(IF(BA63="WIP - 30 Days",VLOOKUP(D63,[3]Extended!$B$9:$J$101,9,FALSE),IF(BA63="31-120 Days",VLOOKUP(D63,[3]Extended!$B$9:$K$101,10,FALSE),IF(BA63="121-365 Days",VLOOKUP(D63,[3]Extended!$B$9:$L$101,11,FALSE),VLOOKUP(D63,[3]Extended!$B$9:$M$101,12,FALSE)))),0)</f>
        <v>785850</v>
      </c>
      <c r="P63" s="116">
        <f t="shared" si="1"/>
        <v>0.22</v>
      </c>
      <c r="Q63" s="110" t="e">
        <f>O63-#REF!</f>
        <v>#REF!</v>
      </c>
      <c r="W63" s="311"/>
      <c r="X63" s="311"/>
      <c r="Y63" s="311"/>
      <c r="Z63" s="311"/>
      <c r="AA63" s="311"/>
      <c r="AB63" s="311"/>
      <c r="AC63" s="311"/>
      <c r="AT63" s="88" t="str">
        <f t="shared" si="2"/>
        <v>KP0005162016Q316</v>
      </c>
      <c r="AU63" s="89" t="str">
        <f t="shared" si="3"/>
        <v>09-2016</v>
      </c>
      <c r="BA63" s="92" t="str">
        <f t="shared" si="4"/>
        <v>121-365 Days</v>
      </c>
    </row>
    <row r="64" spans="2:53">
      <c r="B64" s="60" t="str">
        <f>[2]Trucks!A61</f>
        <v>MC6-3469</v>
      </c>
      <c r="C64" s="11" t="str">
        <f>[2]Trucks!B61</f>
        <v>CLA-26-2806X4BB-C-K</v>
      </c>
      <c r="D64" s="19" t="str">
        <f>IFERROR(VLOOKUP(C64&amp;"",'[2]Retail Price List'!$A$3:$B$103,2,FALSE),"Special Order")</f>
        <v>KP000516</v>
      </c>
      <c r="E64" s="18" t="str">
        <f>[2]Trucks!J61</f>
        <v>BODY</v>
      </c>
      <c r="F64" s="12">
        <f>[2]Trucks!E61</f>
        <v>165</v>
      </c>
      <c r="G64" s="56">
        <f>[2]Trucks!K61</f>
        <v>16</v>
      </c>
      <c r="H64" s="46">
        <f>[2]Trucks!I61</f>
        <v>42628</v>
      </c>
      <c r="I64" s="83" t="str">
        <f t="shared" si="0"/>
        <v>2016Q3</v>
      </c>
      <c r="J64" s="272">
        <f>IFERROR(VLOOKUP((D64&amp;C64)&amp;"",'[2]Retail Price List'!$C$4:$F$102,3,FALSE),"")</f>
        <v>990000</v>
      </c>
      <c r="K64" s="272">
        <f>IFERROR(IF(BA64="WIP - 30 Days",VLOOKUP(D64,[3]Standard!$B$9:$E$101,4,FALSE),IF(BA64="31-120 Days",VLOOKUP(D64,[3]Standard!$B$9:$F$101,5,FALSE),IF(BA64="121-365 Days",VLOOKUP(D64,[3]Standard!$B$9:$G$101,6,FALSE),VLOOKUP(D64,[3]Standard!$B$9:$H$101,7,FALSE)))),0)</f>
        <v>774972</v>
      </c>
      <c r="L64" s="272">
        <f>IFERROR(IF(BA64="WIP - 30 Days",VLOOKUP(D64,[3]Standard!$B$9:$J$101,9,FALSE),IF(BA64="31-120 Days",VLOOKUP(D64,[3]Standard!$B$9:$K$100,10,FALSE),IF(BA64="121-365 Days",VLOOKUP(D64,[3]Standard!$B$9:$L$101,11,FALSE),VLOOKUP(D64,[3]Standard!$B$9:$M$101,12,FALSE)))),0)</f>
        <v>752400</v>
      </c>
      <c r="M64" s="269">
        <f>IFERROR(VLOOKUP((D64&amp;C64)&amp;"",'[2]Retail Price List'!$C$4:$F$102,4,FALSE),"")</f>
        <v>1007500</v>
      </c>
      <c r="N64" s="269">
        <f>IFERROR(IF(BA64="WIP - 30 Days",VLOOKUP(D64,[3]Extended!$B$9:$E$101,4,FALSE),IF(BA64="31-120 Days",VLOOKUP(D64,[3]Extended!$B$9:$F$101,5,FALSE),IF(BA64="121-365 Days",VLOOKUP(D64,[3]Extended!$B$9:$G$101,6,FALSE),VLOOKUP(D64,[3]Extended!$B$9:$H$101,7,FALSE)))),0)</f>
        <v>809425.5</v>
      </c>
      <c r="O64" s="269">
        <f>IFERROR(IF(BA64="WIP - 30 Days",VLOOKUP(D64,[3]Extended!$B$9:$J$101,9,FALSE),IF(BA64="31-120 Days",VLOOKUP(D64,[3]Extended!$B$9:$K$101,10,FALSE),IF(BA64="121-365 Days",VLOOKUP(D64,[3]Extended!$B$9:$L$101,11,FALSE),VLOOKUP(D64,[3]Extended!$B$9:$M$101,12,FALSE)))),0)</f>
        <v>785850</v>
      </c>
      <c r="P64" s="116">
        <f t="shared" si="1"/>
        <v>0.22</v>
      </c>
      <c r="Q64" s="110" t="e">
        <f>O64-#REF!</f>
        <v>#REF!</v>
      </c>
      <c r="W64" s="311"/>
      <c r="X64" s="311"/>
      <c r="Y64" s="311"/>
      <c r="Z64" s="311"/>
      <c r="AA64" s="311"/>
      <c r="AB64" s="311"/>
      <c r="AC64" s="311"/>
      <c r="AT64" s="88" t="str">
        <f t="shared" si="2"/>
        <v>KP0005162016Q316</v>
      </c>
      <c r="AU64" s="89" t="str">
        <f t="shared" si="3"/>
        <v>09-2016</v>
      </c>
      <c r="AW64" s="96"/>
      <c r="AX64" s="96"/>
      <c r="AY64" s="96"/>
      <c r="BA64" s="92" t="str">
        <f t="shared" si="4"/>
        <v>121-365 Days</v>
      </c>
    </row>
    <row r="65" spans="1:56" s="66" customFormat="1">
      <c r="A65" s="69"/>
      <c r="B65" s="60" t="str">
        <f>[2]Trucks!A62</f>
        <v>MC6-3471</v>
      </c>
      <c r="C65" s="11" t="str">
        <f>[2]Trucks!B62</f>
        <v>CLA-26-2806X4BB-C-K</v>
      </c>
      <c r="D65" s="19" t="str">
        <f>IFERROR(VLOOKUP(C65&amp;"",'[2]Retail Price List'!$A$3:$B$103,2,FALSE),"Special Order")</f>
        <v>KP000516</v>
      </c>
      <c r="E65" s="18" t="str">
        <f>[2]Trucks!J62</f>
        <v>BODY</v>
      </c>
      <c r="F65" s="12">
        <f>[2]Trucks!E62</f>
        <v>164</v>
      </c>
      <c r="G65" s="56">
        <f>[2]Trucks!K62</f>
        <v>16</v>
      </c>
      <c r="H65" s="46">
        <f>[2]Trucks!I62</f>
        <v>42628</v>
      </c>
      <c r="I65" s="83" t="str">
        <f t="shared" si="0"/>
        <v>2016Q3</v>
      </c>
      <c r="J65" s="272">
        <f>IFERROR(VLOOKUP((D65&amp;C65)&amp;"",'[2]Retail Price List'!$C$4:$F$102,3,FALSE),"")</f>
        <v>990000</v>
      </c>
      <c r="K65" s="272">
        <f>IFERROR(IF(BA65="WIP - 30 Days",VLOOKUP(D65,[3]Standard!$B$9:$E$101,4,FALSE),IF(BA65="31-120 Days",VLOOKUP(D65,[3]Standard!$B$9:$F$101,5,FALSE),IF(BA65="121-365 Days",VLOOKUP(D65,[3]Standard!$B$9:$G$101,6,FALSE),VLOOKUP(D65,[3]Standard!$B$9:$H$101,7,FALSE)))),0)</f>
        <v>774972</v>
      </c>
      <c r="L65" s="272">
        <f>IFERROR(IF(BA65="WIP - 30 Days",VLOOKUP(D65,[3]Standard!$B$9:$J$101,9,FALSE),IF(BA65="31-120 Days",VLOOKUP(D65,[3]Standard!$B$9:$K$100,10,FALSE),IF(BA65="121-365 Days",VLOOKUP(D65,[3]Standard!$B$9:$L$101,11,FALSE),VLOOKUP(D65,[3]Standard!$B$9:$M$101,12,FALSE)))),0)</f>
        <v>752400</v>
      </c>
      <c r="M65" s="269">
        <f>IFERROR(VLOOKUP((D65&amp;C65)&amp;"",'[2]Retail Price List'!$C$4:$F$102,4,FALSE),"")</f>
        <v>1007500</v>
      </c>
      <c r="N65" s="269">
        <f>IFERROR(IF(BA65="WIP - 30 Days",VLOOKUP(D65,[3]Extended!$B$9:$E$101,4,FALSE),IF(BA65="31-120 Days",VLOOKUP(D65,[3]Extended!$B$9:$F$101,5,FALSE),IF(BA65="121-365 Days",VLOOKUP(D65,[3]Extended!$B$9:$G$101,6,FALSE),VLOOKUP(D65,[3]Extended!$B$9:$H$101,7,FALSE)))),0)</f>
        <v>809425.5</v>
      </c>
      <c r="O65" s="269">
        <f>IFERROR(IF(BA65="WIP - 30 Days",VLOOKUP(D65,[3]Extended!$B$9:$J$101,9,FALSE),IF(BA65="31-120 Days",VLOOKUP(D65,[3]Extended!$B$9:$K$101,10,FALSE),IF(BA65="121-365 Days",VLOOKUP(D65,[3]Extended!$B$9:$L$101,11,FALSE),VLOOKUP(D65,[3]Extended!$B$9:$M$101,12,FALSE)))),0)</f>
        <v>785850</v>
      </c>
      <c r="P65" s="116">
        <f t="shared" si="1"/>
        <v>0.22</v>
      </c>
      <c r="Q65" s="110" t="e">
        <f>O65-#REF!</f>
        <v>#REF!</v>
      </c>
      <c r="R65" s="111"/>
      <c r="S65" s="112"/>
      <c r="T65" s="112"/>
      <c r="U65" s="112"/>
      <c r="V65" s="112"/>
      <c r="W65" s="311"/>
      <c r="X65" s="311"/>
      <c r="Y65" s="311"/>
      <c r="Z65" s="311"/>
      <c r="AA65" s="311"/>
      <c r="AB65" s="311"/>
      <c r="AC65" s="311"/>
      <c r="AD65" s="89"/>
      <c r="AE65" s="89"/>
      <c r="AF65" s="89"/>
      <c r="AG65" s="5"/>
      <c r="AH65" s="5"/>
      <c r="AI65" s="5"/>
      <c r="AJ65" s="5"/>
      <c r="AK65" s="5"/>
      <c r="AL65" s="5"/>
      <c r="AM65" s="5"/>
      <c r="AT65" s="88" t="str">
        <f t="shared" si="2"/>
        <v>KP0005162016Q316</v>
      </c>
      <c r="AU65" s="89" t="str">
        <f t="shared" si="3"/>
        <v>09-2016</v>
      </c>
      <c r="AV65" s="96"/>
      <c r="AW65" s="89"/>
      <c r="AX65" s="89"/>
      <c r="AY65" s="89"/>
      <c r="AZ65" s="96"/>
      <c r="BA65" s="92" t="str">
        <f t="shared" si="4"/>
        <v>121-365 Days</v>
      </c>
      <c r="BB65" s="96"/>
      <c r="BC65" s="96"/>
      <c r="BD65" s="96"/>
    </row>
    <row r="66" spans="1:56">
      <c r="B66" s="60" t="str">
        <f>[2]Trucks!A63</f>
        <v>MC6-3472</v>
      </c>
      <c r="C66" s="11" t="str">
        <f>[2]Trucks!B63</f>
        <v>CLA-26-2806X4BB-C-K</v>
      </c>
      <c r="D66" s="19" t="str">
        <f>IFERROR(VLOOKUP(C66&amp;"",'[2]Retail Price List'!$A$3:$B$103,2,FALSE),"Special Order")</f>
        <v>KP000516</v>
      </c>
      <c r="E66" s="18" t="str">
        <f>[2]Trucks!J63</f>
        <v>BODY</v>
      </c>
      <c r="F66" s="12">
        <f>[2]Trucks!E63</f>
        <v>164</v>
      </c>
      <c r="G66" s="56">
        <f>[2]Trucks!K63</f>
        <v>16</v>
      </c>
      <c r="H66" s="46">
        <f>[2]Trucks!I63</f>
        <v>42628</v>
      </c>
      <c r="I66" s="83" t="str">
        <f t="shared" si="0"/>
        <v>2016Q3</v>
      </c>
      <c r="J66" s="272">
        <f>IFERROR(VLOOKUP((D66&amp;C66)&amp;"",'[2]Retail Price List'!$C$4:$F$102,3,FALSE),"")</f>
        <v>990000</v>
      </c>
      <c r="K66" s="272">
        <f>IFERROR(IF(BA66="WIP - 30 Days",VLOOKUP(D66,[3]Standard!$B$9:$E$101,4,FALSE),IF(BA66="31-120 Days",VLOOKUP(D66,[3]Standard!$B$9:$F$101,5,FALSE),IF(BA66="121-365 Days",VLOOKUP(D66,[3]Standard!$B$9:$G$101,6,FALSE),VLOOKUP(D66,[3]Standard!$B$9:$H$101,7,FALSE)))),0)</f>
        <v>774972</v>
      </c>
      <c r="L66" s="272">
        <f>IFERROR(IF(BA66="WIP - 30 Days",VLOOKUP(D66,[3]Standard!$B$9:$J$101,9,FALSE),IF(BA66="31-120 Days",VLOOKUP(D66,[3]Standard!$B$9:$K$100,10,FALSE),IF(BA66="121-365 Days",VLOOKUP(D66,[3]Standard!$B$9:$L$101,11,FALSE),VLOOKUP(D66,[3]Standard!$B$9:$M$101,12,FALSE)))),0)</f>
        <v>752400</v>
      </c>
      <c r="M66" s="269">
        <f>IFERROR(VLOOKUP((D66&amp;C66)&amp;"",'[2]Retail Price List'!$C$4:$F$102,4,FALSE),"")</f>
        <v>1007500</v>
      </c>
      <c r="N66" s="269">
        <f>IFERROR(IF(BA66="WIP - 30 Days",VLOOKUP(D66,[3]Extended!$B$9:$E$101,4,FALSE),IF(BA66="31-120 Days",VLOOKUP(D66,[3]Extended!$B$9:$F$101,5,FALSE),IF(BA66="121-365 Days",VLOOKUP(D66,[3]Extended!$B$9:$G$101,6,FALSE),VLOOKUP(D66,[3]Extended!$B$9:$H$101,7,FALSE)))),0)</f>
        <v>809425.5</v>
      </c>
      <c r="O66" s="269">
        <f>IFERROR(IF(BA66="WIP - 30 Days",VLOOKUP(D66,[3]Extended!$B$9:$J$101,9,FALSE),IF(BA66="31-120 Days",VLOOKUP(D66,[3]Extended!$B$9:$K$101,10,FALSE),IF(BA66="121-365 Days",VLOOKUP(D66,[3]Extended!$B$9:$L$101,11,FALSE),VLOOKUP(D66,[3]Extended!$B$9:$M$101,12,FALSE)))),0)</f>
        <v>785850</v>
      </c>
      <c r="P66" s="116">
        <f t="shared" si="1"/>
        <v>0.22</v>
      </c>
      <c r="Q66" s="110" t="e">
        <f>O66-#REF!</f>
        <v>#REF!</v>
      </c>
      <c r="W66" s="311"/>
      <c r="X66" s="311"/>
      <c r="Y66" s="311"/>
      <c r="Z66" s="311"/>
      <c r="AA66" s="311"/>
      <c r="AB66" s="311"/>
      <c r="AC66" s="311"/>
      <c r="AT66" s="88" t="str">
        <f t="shared" si="2"/>
        <v>KP0005162016Q316</v>
      </c>
      <c r="AU66" s="89" t="str">
        <f t="shared" si="3"/>
        <v>09-2016</v>
      </c>
      <c r="BA66" s="92" t="str">
        <f t="shared" si="4"/>
        <v>121-365 Days</v>
      </c>
    </row>
    <row r="67" spans="1:56">
      <c r="B67" s="60" t="str">
        <f>[2]Trucks!A64</f>
        <v>MC6-3479</v>
      </c>
      <c r="C67" s="11" t="str">
        <f>[2]Trucks!B64</f>
        <v>CLA-26-2806X4BB-C-K</v>
      </c>
      <c r="D67" s="19" t="str">
        <f>IFERROR(VLOOKUP(C67&amp;"",'[2]Retail Price List'!$A$3:$B$103,2,FALSE),"Special Order")</f>
        <v>KP000516</v>
      </c>
      <c r="E67" s="18" t="str">
        <f>[2]Trucks!J64</f>
        <v>UNSOLD</v>
      </c>
      <c r="F67" s="12">
        <f>[2]Trucks!E64</f>
        <v>135</v>
      </c>
      <c r="G67" s="56">
        <f>[2]Trucks!K64</f>
        <v>16</v>
      </c>
      <c r="H67" s="46">
        <f>[2]Trucks!I64</f>
        <v>42628</v>
      </c>
      <c r="I67" s="83" t="str">
        <f t="shared" si="0"/>
        <v>2016Q3</v>
      </c>
      <c r="J67" s="272">
        <f>IFERROR(VLOOKUP((D67&amp;C67)&amp;"",'[2]Retail Price List'!$C$4:$F$102,3,FALSE),"")</f>
        <v>990000</v>
      </c>
      <c r="K67" s="272">
        <f>IFERROR(IF(BA67="WIP - 30 Days",VLOOKUP(D67,[3]Standard!$B$9:$E$101,4,FALSE),IF(BA67="31-120 Days",VLOOKUP(D67,[3]Standard!$B$9:$F$101,5,FALSE),IF(BA67="121-365 Days",VLOOKUP(D67,[3]Standard!$B$9:$G$101,6,FALSE),VLOOKUP(D67,[3]Standard!$B$9:$H$101,7,FALSE)))),0)</f>
        <v>774972</v>
      </c>
      <c r="L67" s="272">
        <f>IFERROR(IF(BA67="WIP - 30 Days",VLOOKUP(D67,[3]Standard!$B$9:$J$101,9,FALSE),IF(BA67="31-120 Days",VLOOKUP(D67,[3]Standard!$B$9:$K$100,10,FALSE),IF(BA67="121-365 Days",VLOOKUP(D67,[3]Standard!$B$9:$L$101,11,FALSE),VLOOKUP(D67,[3]Standard!$B$9:$M$101,12,FALSE)))),0)</f>
        <v>752400</v>
      </c>
      <c r="M67" s="269">
        <f>IFERROR(VLOOKUP((D67&amp;C67)&amp;"",'[2]Retail Price List'!$C$4:$F$102,4,FALSE),"")</f>
        <v>1007500</v>
      </c>
      <c r="N67" s="269">
        <f>IFERROR(IF(BA67="WIP - 30 Days",VLOOKUP(D67,[3]Extended!$B$9:$E$101,4,FALSE),IF(BA67="31-120 Days",VLOOKUP(D67,[3]Extended!$B$9:$F$101,5,FALSE),IF(BA67="121-365 Days",VLOOKUP(D67,[3]Extended!$B$9:$G$101,6,FALSE),VLOOKUP(D67,[3]Extended!$B$9:$H$101,7,FALSE)))),0)</f>
        <v>809425.5</v>
      </c>
      <c r="O67" s="269">
        <f>IFERROR(IF(BA67="WIP - 30 Days",VLOOKUP(D67,[3]Extended!$B$9:$J$101,9,FALSE),IF(BA67="31-120 Days",VLOOKUP(D67,[3]Extended!$B$9:$K$101,10,FALSE),IF(BA67="121-365 Days",VLOOKUP(D67,[3]Extended!$B$9:$L$101,11,FALSE),VLOOKUP(D67,[3]Extended!$B$9:$M$101,12,FALSE)))),0)</f>
        <v>785850</v>
      </c>
      <c r="P67" s="116">
        <f t="shared" si="1"/>
        <v>0.22</v>
      </c>
      <c r="Q67" s="110" t="e">
        <f>O67-#REF!</f>
        <v>#REF!</v>
      </c>
      <c r="W67" s="311"/>
      <c r="X67" s="311"/>
      <c r="Y67" s="311"/>
      <c r="Z67" s="311"/>
      <c r="AA67" s="311"/>
      <c r="AB67" s="311"/>
      <c r="AC67" s="311"/>
      <c r="AT67" s="88" t="str">
        <f t="shared" si="2"/>
        <v>KP0005162016Q316</v>
      </c>
      <c r="AU67" s="89" t="str">
        <f t="shared" si="3"/>
        <v>09-2016</v>
      </c>
      <c r="BA67" s="92" t="str">
        <f t="shared" si="4"/>
        <v>121-365 Days</v>
      </c>
    </row>
    <row r="68" spans="1:56">
      <c r="B68" s="60" t="str">
        <f>[2]Trucks!A65</f>
        <v>MC6-3480</v>
      </c>
      <c r="C68" s="11" t="str">
        <f>[2]Trucks!B65</f>
        <v>CLA-26-2806X4BB-C-K</v>
      </c>
      <c r="D68" s="19" t="str">
        <f>IFERROR(VLOOKUP(C68&amp;"",'[2]Retail Price List'!$A$3:$B$103,2,FALSE),"Special Order")</f>
        <v>KP000516</v>
      </c>
      <c r="E68" s="18" t="str">
        <f>[2]Trucks!J65</f>
        <v>UNSOLD</v>
      </c>
      <c r="F68" s="12">
        <f>[2]Trucks!E65</f>
        <v>144</v>
      </c>
      <c r="G68" s="56">
        <f>[2]Trucks!K65</f>
        <v>16</v>
      </c>
      <c r="H68" s="46">
        <f>[2]Trucks!I65</f>
        <v>42628</v>
      </c>
      <c r="I68" s="83" t="str">
        <f t="shared" si="0"/>
        <v>2016Q3</v>
      </c>
      <c r="J68" s="272">
        <f>IFERROR(VLOOKUP((D68&amp;C68)&amp;"",'[2]Retail Price List'!$C$4:$F$102,3,FALSE),"")</f>
        <v>990000</v>
      </c>
      <c r="K68" s="272">
        <f>IFERROR(IF(BA68="WIP - 30 Days",VLOOKUP(D68,[3]Standard!$B$9:$E$101,4,FALSE),IF(BA68="31-120 Days",VLOOKUP(D68,[3]Standard!$B$9:$F$101,5,FALSE),IF(BA68="121-365 Days",VLOOKUP(D68,[3]Standard!$B$9:$G$101,6,FALSE),VLOOKUP(D68,[3]Standard!$B$9:$H$101,7,FALSE)))),0)</f>
        <v>774972</v>
      </c>
      <c r="L68" s="272">
        <f>IFERROR(IF(BA68="WIP - 30 Days",VLOOKUP(D68,[3]Standard!$B$9:$J$101,9,FALSE),IF(BA68="31-120 Days",VLOOKUP(D68,[3]Standard!$B$9:$K$100,10,FALSE),IF(BA68="121-365 Days",VLOOKUP(D68,[3]Standard!$B$9:$L$101,11,FALSE),VLOOKUP(D68,[3]Standard!$B$9:$M$101,12,FALSE)))),0)</f>
        <v>752400</v>
      </c>
      <c r="M68" s="269">
        <f>IFERROR(VLOOKUP((D68&amp;C68)&amp;"",'[2]Retail Price List'!$C$4:$F$102,4,FALSE),"")</f>
        <v>1007500</v>
      </c>
      <c r="N68" s="269">
        <f>IFERROR(IF(BA68="WIP - 30 Days",VLOOKUP(D68,[3]Extended!$B$9:$E$101,4,FALSE),IF(BA68="31-120 Days",VLOOKUP(D68,[3]Extended!$B$9:$F$101,5,FALSE),IF(BA68="121-365 Days",VLOOKUP(D68,[3]Extended!$B$9:$G$101,6,FALSE),VLOOKUP(D68,[3]Extended!$B$9:$H$101,7,FALSE)))),0)</f>
        <v>809425.5</v>
      </c>
      <c r="O68" s="269">
        <f>IFERROR(IF(BA68="WIP - 30 Days",VLOOKUP(D68,[3]Extended!$B$9:$J$101,9,FALSE),IF(BA68="31-120 Days",VLOOKUP(D68,[3]Extended!$B$9:$K$101,10,FALSE),IF(BA68="121-365 Days",VLOOKUP(D68,[3]Extended!$B$9:$L$101,11,FALSE),VLOOKUP(D68,[3]Extended!$B$9:$M$101,12,FALSE)))),0)</f>
        <v>785850</v>
      </c>
      <c r="P68" s="116">
        <f t="shared" si="1"/>
        <v>0.22</v>
      </c>
      <c r="Q68" s="110" t="e">
        <f>O68-#REF!</f>
        <v>#REF!</v>
      </c>
      <c r="W68" s="311"/>
      <c r="X68" s="311"/>
      <c r="Y68" s="311"/>
      <c r="Z68" s="311"/>
      <c r="AA68" s="311"/>
      <c r="AB68" s="311"/>
      <c r="AC68" s="311"/>
      <c r="AT68" s="88" t="str">
        <f t="shared" si="2"/>
        <v>KP0005162016Q316</v>
      </c>
      <c r="AU68" s="89" t="str">
        <f t="shared" si="3"/>
        <v>09-2016</v>
      </c>
      <c r="BA68" s="92" t="str">
        <f t="shared" si="4"/>
        <v>121-365 Days</v>
      </c>
    </row>
    <row r="69" spans="1:56">
      <c r="B69" s="60" t="str">
        <f>[2]Trucks!A66</f>
        <v>MC6-3481</v>
      </c>
      <c r="C69" s="11" t="str">
        <f>[2]Trucks!B66</f>
        <v>CLA-26-2806X4BB-C-K</v>
      </c>
      <c r="D69" s="19" t="str">
        <f>IFERROR(VLOOKUP(C69&amp;"",'[2]Retail Price List'!$A$3:$B$103,2,FALSE),"Special Order")</f>
        <v>KP000516</v>
      </c>
      <c r="E69" s="18" t="str">
        <f>[2]Trucks!J66</f>
        <v>DEMO</v>
      </c>
      <c r="F69" s="12">
        <f>[2]Trucks!E66</f>
        <v>150</v>
      </c>
      <c r="G69" s="56">
        <f>[2]Trucks!K66</f>
        <v>16</v>
      </c>
      <c r="H69" s="46">
        <f>[2]Trucks!I66</f>
        <v>42628</v>
      </c>
      <c r="I69" s="83" t="str">
        <f t="shared" ref="I69:I132" si="5">IFERROR(VLOOKUP(AU69,$AW$5:$AY$40,3,FALSE),"")</f>
        <v>2016Q3</v>
      </c>
      <c r="J69" s="272">
        <f>IFERROR(VLOOKUP((D69&amp;C69)&amp;"",'[2]Retail Price List'!$C$4:$F$102,3,FALSE),"")</f>
        <v>990000</v>
      </c>
      <c r="K69" s="272">
        <f>IFERROR(IF(BA69="WIP - 30 Days",VLOOKUP(D69,[3]Standard!$B$9:$E$101,4,FALSE),IF(BA69="31-120 Days",VLOOKUP(D69,[3]Standard!$B$9:$F$101,5,FALSE),IF(BA69="121-365 Days",VLOOKUP(D69,[3]Standard!$B$9:$G$101,6,FALSE),VLOOKUP(D69,[3]Standard!$B$9:$H$101,7,FALSE)))),0)</f>
        <v>774972</v>
      </c>
      <c r="L69" s="272">
        <f>IFERROR(IF(BA69="WIP - 30 Days",VLOOKUP(D69,[3]Standard!$B$9:$J$101,9,FALSE),IF(BA69="31-120 Days",VLOOKUP(D69,[3]Standard!$B$9:$K$100,10,FALSE),IF(BA69="121-365 Days",VLOOKUP(D69,[3]Standard!$B$9:$L$101,11,FALSE),VLOOKUP(D69,[3]Standard!$B$9:$M$101,12,FALSE)))),0)</f>
        <v>752400</v>
      </c>
      <c r="M69" s="269">
        <f>IFERROR(VLOOKUP((D69&amp;C69)&amp;"",'[2]Retail Price List'!$C$4:$F$102,4,FALSE),"")</f>
        <v>1007500</v>
      </c>
      <c r="N69" s="269">
        <f>IFERROR(IF(BA69="WIP - 30 Days",VLOOKUP(D69,[3]Extended!$B$9:$E$101,4,FALSE),IF(BA69="31-120 Days",VLOOKUP(D69,[3]Extended!$B$9:$F$101,5,FALSE),IF(BA69="121-365 Days",VLOOKUP(D69,[3]Extended!$B$9:$G$101,6,FALSE),VLOOKUP(D69,[3]Extended!$B$9:$H$101,7,FALSE)))),0)</f>
        <v>809425.5</v>
      </c>
      <c r="O69" s="269">
        <f>IFERROR(IF(BA69="WIP - 30 Days",VLOOKUP(D69,[3]Extended!$B$9:$J$101,9,FALSE),IF(BA69="31-120 Days",VLOOKUP(D69,[3]Extended!$B$9:$K$101,10,FALSE),IF(BA69="121-365 Days",VLOOKUP(D69,[3]Extended!$B$9:$L$101,11,FALSE),VLOOKUP(D69,[3]Extended!$B$9:$M$101,12,FALSE)))),0)</f>
        <v>785850</v>
      </c>
      <c r="P69" s="116">
        <f t="shared" ref="P69:P132" si="6">(M69-O69)/M69</f>
        <v>0.22</v>
      </c>
      <c r="Q69" s="110" t="e">
        <f>O69-#REF!</f>
        <v>#REF!</v>
      </c>
      <c r="W69" s="311"/>
      <c r="X69" s="311"/>
      <c r="Y69" s="311"/>
      <c r="Z69" s="311"/>
      <c r="AA69" s="311"/>
      <c r="AB69" s="311"/>
      <c r="AC69" s="311"/>
      <c r="AT69" s="88" t="str">
        <f t="shared" ref="AT69:AT132" si="7">D69&amp;I69&amp;G69</f>
        <v>KP0005162016Q316</v>
      </c>
      <c r="AU69" s="89" t="str">
        <f t="shared" ref="AU69:AU132" si="8">IF(MONTH(H69)&lt;10,0&amp;MONTH(H69)&amp;"-"&amp;YEAR(H69),MONTH(H69)&amp;"-"&amp;YEAR(H69))</f>
        <v>09-2016</v>
      </c>
      <c r="BA69" s="92" t="str">
        <f t="shared" ref="BA69:BA132" si="9">IF(B69=0,"",IF(AND(F69&gt;=31,F69&lt;=120),"31-120 Days",IF(AND(F69&gt;=121,F69&lt;=365),"121-365 Days",IF(OR(E69="CKD",F69&lt;=30),"WIP - 30 Days","&gt;365 Days"))))</f>
        <v>121-365 Days</v>
      </c>
    </row>
    <row r="70" spans="1:56">
      <c r="B70" s="60" t="str">
        <f>[2]Trucks!A67</f>
        <v>MC6-3482</v>
      </c>
      <c r="C70" s="11" t="str">
        <f>[2]Trucks!B67</f>
        <v>CLA-26-2806X4BB-C-K</v>
      </c>
      <c r="D70" s="19" t="str">
        <f>IFERROR(VLOOKUP(C70&amp;"",'[2]Retail Price List'!$A$3:$B$103,2,FALSE),"Special Order")</f>
        <v>KP000516</v>
      </c>
      <c r="E70" s="18" t="str">
        <f>[2]Trucks!J67</f>
        <v>UNSOLD</v>
      </c>
      <c r="F70" s="12">
        <f>[2]Trucks!E67</f>
        <v>148</v>
      </c>
      <c r="G70" s="56">
        <f>[2]Trucks!K67</f>
        <v>16</v>
      </c>
      <c r="H70" s="46">
        <f>[2]Trucks!I67</f>
        <v>42628</v>
      </c>
      <c r="I70" s="83" t="str">
        <f t="shared" si="5"/>
        <v>2016Q3</v>
      </c>
      <c r="J70" s="272">
        <f>IFERROR(VLOOKUP((D70&amp;C70)&amp;"",'[2]Retail Price List'!$C$4:$F$102,3,FALSE),"")</f>
        <v>990000</v>
      </c>
      <c r="K70" s="272">
        <f>IFERROR(IF(BA70="WIP - 30 Days",VLOOKUP(D70,[3]Standard!$B$9:$E$101,4,FALSE),IF(BA70="31-120 Days",VLOOKUP(D70,[3]Standard!$B$9:$F$101,5,FALSE),IF(BA70="121-365 Days",VLOOKUP(D70,[3]Standard!$B$9:$G$101,6,FALSE),VLOOKUP(D70,[3]Standard!$B$9:$H$101,7,FALSE)))),0)</f>
        <v>774972</v>
      </c>
      <c r="L70" s="272">
        <f>IFERROR(IF(BA70="WIP - 30 Days",VLOOKUP(D70,[3]Standard!$B$9:$J$101,9,FALSE),IF(BA70="31-120 Days",VLOOKUP(D70,[3]Standard!$B$9:$K$100,10,FALSE),IF(BA70="121-365 Days",VLOOKUP(D70,[3]Standard!$B$9:$L$101,11,FALSE),VLOOKUP(D70,[3]Standard!$B$9:$M$101,12,FALSE)))),0)</f>
        <v>752400</v>
      </c>
      <c r="M70" s="269">
        <f>IFERROR(VLOOKUP((D70&amp;C70)&amp;"",'[2]Retail Price List'!$C$4:$F$102,4,FALSE),"")</f>
        <v>1007500</v>
      </c>
      <c r="N70" s="269">
        <f>IFERROR(IF(BA70="WIP - 30 Days",VLOOKUP(D70,[3]Extended!$B$9:$E$101,4,FALSE),IF(BA70="31-120 Days",VLOOKUP(D70,[3]Extended!$B$9:$F$101,5,FALSE),IF(BA70="121-365 Days",VLOOKUP(D70,[3]Extended!$B$9:$G$101,6,FALSE),VLOOKUP(D70,[3]Extended!$B$9:$H$101,7,FALSE)))),0)</f>
        <v>809425.5</v>
      </c>
      <c r="O70" s="269">
        <f>IFERROR(IF(BA70="WIP - 30 Days",VLOOKUP(D70,[3]Extended!$B$9:$J$101,9,FALSE),IF(BA70="31-120 Days",VLOOKUP(D70,[3]Extended!$B$9:$K$101,10,FALSE),IF(BA70="121-365 Days",VLOOKUP(D70,[3]Extended!$B$9:$L$101,11,FALSE),VLOOKUP(D70,[3]Extended!$B$9:$M$101,12,FALSE)))),0)</f>
        <v>785850</v>
      </c>
      <c r="P70" s="116">
        <f t="shared" si="6"/>
        <v>0.22</v>
      </c>
      <c r="Q70" s="110" t="e">
        <f>O70-#REF!</f>
        <v>#REF!</v>
      </c>
      <c r="W70" s="311"/>
      <c r="X70" s="311"/>
      <c r="Y70" s="311"/>
      <c r="Z70" s="311"/>
      <c r="AA70" s="311"/>
      <c r="AB70" s="311"/>
      <c r="AC70" s="311"/>
      <c r="AT70" s="88" t="str">
        <f t="shared" si="7"/>
        <v>KP0005162016Q316</v>
      </c>
      <c r="AU70" s="89" t="str">
        <f t="shared" si="8"/>
        <v>09-2016</v>
      </c>
      <c r="BA70" s="92" t="str">
        <f t="shared" si="9"/>
        <v>121-365 Days</v>
      </c>
    </row>
    <row r="71" spans="1:56">
      <c r="B71" s="60" t="str">
        <f>[2]Trucks!A68</f>
        <v>MC6-3483</v>
      </c>
      <c r="C71" s="11" t="str">
        <f>[2]Trucks!B68</f>
        <v>CLA-26-2806X4BB-C-K</v>
      </c>
      <c r="D71" s="19" t="str">
        <f>IFERROR(VLOOKUP(C71&amp;"",'[2]Retail Price List'!$A$3:$B$103,2,FALSE),"Special Order")</f>
        <v>KP000516</v>
      </c>
      <c r="E71" s="18" t="str">
        <f>[2]Trucks!J68</f>
        <v>UNSOLD</v>
      </c>
      <c r="F71" s="12">
        <f>[2]Trucks!E68</f>
        <v>143</v>
      </c>
      <c r="G71" s="56">
        <f>[2]Trucks!K68</f>
        <v>16</v>
      </c>
      <c r="H71" s="46">
        <f>[2]Trucks!I68</f>
        <v>42628</v>
      </c>
      <c r="I71" s="83" t="str">
        <f t="shared" si="5"/>
        <v>2016Q3</v>
      </c>
      <c r="J71" s="272">
        <f>IFERROR(VLOOKUP((D71&amp;C71)&amp;"",'[2]Retail Price List'!$C$4:$F$102,3,FALSE),"")</f>
        <v>990000</v>
      </c>
      <c r="K71" s="272">
        <f>IFERROR(IF(BA71="WIP - 30 Days",VLOOKUP(D71,[3]Standard!$B$9:$E$101,4,FALSE),IF(BA71="31-120 Days",VLOOKUP(D71,[3]Standard!$B$9:$F$101,5,FALSE),IF(BA71="121-365 Days",VLOOKUP(D71,[3]Standard!$B$9:$G$101,6,FALSE),VLOOKUP(D71,[3]Standard!$B$9:$H$101,7,FALSE)))),0)</f>
        <v>774972</v>
      </c>
      <c r="L71" s="272">
        <f>IFERROR(IF(BA71="WIP - 30 Days",VLOOKUP(D71,[3]Standard!$B$9:$J$101,9,FALSE),IF(BA71="31-120 Days",VLOOKUP(D71,[3]Standard!$B$9:$K$100,10,FALSE),IF(BA71="121-365 Days",VLOOKUP(D71,[3]Standard!$B$9:$L$101,11,FALSE),VLOOKUP(D71,[3]Standard!$B$9:$M$101,12,FALSE)))),0)</f>
        <v>752400</v>
      </c>
      <c r="M71" s="269">
        <f>IFERROR(VLOOKUP((D71&amp;C71)&amp;"",'[2]Retail Price List'!$C$4:$F$102,4,FALSE),"")</f>
        <v>1007500</v>
      </c>
      <c r="N71" s="269">
        <f>IFERROR(IF(BA71="WIP - 30 Days",VLOOKUP(D71,[3]Extended!$B$9:$E$101,4,FALSE),IF(BA71="31-120 Days",VLOOKUP(D71,[3]Extended!$B$9:$F$101,5,FALSE),IF(BA71="121-365 Days",VLOOKUP(D71,[3]Extended!$B$9:$G$101,6,FALSE),VLOOKUP(D71,[3]Extended!$B$9:$H$101,7,FALSE)))),0)</f>
        <v>809425.5</v>
      </c>
      <c r="O71" s="269">
        <f>IFERROR(IF(BA71="WIP - 30 Days",VLOOKUP(D71,[3]Extended!$B$9:$J$101,9,FALSE),IF(BA71="31-120 Days",VLOOKUP(D71,[3]Extended!$B$9:$K$101,10,FALSE),IF(BA71="121-365 Days",VLOOKUP(D71,[3]Extended!$B$9:$L$101,11,FALSE),VLOOKUP(D71,[3]Extended!$B$9:$M$101,12,FALSE)))),0)</f>
        <v>785850</v>
      </c>
      <c r="P71" s="116">
        <f t="shared" si="6"/>
        <v>0.22</v>
      </c>
      <c r="Q71" s="110" t="e">
        <f>O71-#REF!</f>
        <v>#REF!</v>
      </c>
      <c r="W71" s="311"/>
      <c r="X71" s="311"/>
      <c r="Y71" s="311"/>
      <c r="Z71" s="311"/>
      <c r="AA71" s="311"/>
      <c r="AB71" s="311"/>
      <c r="AC71" s="311"/>
      <c r="AT71" s="88" t="str">
        <f t="shared" si="7"/>
        <v>KP0005162016Q316</v>
      </c>
      <c r="AU71" s="89" t="str">
        <f t="shared" si="8"/>
        <v>09-2016</v>
      </c>
      <c r="BA71" s="92" t="str">
        <f t="shared" si="9"/>
        <v>121-365 Days</v>
      </c>
    </row>
    <row r="72" spans="1:56">
      <c r="B72" s="60" t="str">
        <f>[2]Trucks!A69</f>
        <v>MC6-3484</v>
      </c>
      <c r="C72" s="11" t="str">
        <f>[2]Trucks!B69</f>
        <v>CLA-26-2806X4BB-C-K</v>
      </c>
      <c r="D72" s="19" t="str">
        <f>IFERROR(VLOOKUP(C72&amp;"",'[2]Retail Price List'!$A$3:$B$103,2,FALSE),"Special Order")</f>
        <v>KP000516</v>
      </c>
      <c r="E72" s="18" t="str">
        <f>[2]Trucks!J69</f>
        <v>UNSOLD</v>
      </c>
      <c r="F72" s="12">
        <f>[2]Trucks!E69</f>
        <v>148</v>
      </c>
      <c r="G72" s="56">
        <f>[2]Trucks!K69</f>
        <v>16</v>
      </c>
      <c r="H72" s="46">
        <f>[2]Trucks!I69</f>
        <v>42628</v>
      </c>
      <c r="I72" s="83" t="str">
        <f t="shared" si="5"/>
        <v>2016Q3</v>
      </c>
      <c r="J72" s="272">
        <f>IFERROR(VLOOKUP((D72&amp;C72)&amp;"",'[2]Retail Price List'!$C$4:$F$102,3,FALSE),"")</f>
        <v>990000</v>
      </c>
      <c r="K72" s="272">
        <f>IFERROR(IF(BA72="WIP - 30 Days",VLOOKUP(D72,[3]Standard!$B$9:$E$101,4,FALSE),IF(BA72="31-120 Days",VLOOKUP(D72,[3]Standard!$B$9:$F$101,5,FALSE),IF(BA72="121-365 Days",VLOOKUP(D72,[3]Standard!$B$9:$G$101,6,FALSE),VLOOKUP(D72,[3]Standard!$B$9:$H$101,7,FALSE)))),0)</f>
        <v>774972</v>
      </c>
      <c r="L72" s="272">
        <f>IFERROR(IF(BA72="WIP - 30 Days",VLOOKUP(D72,[3]Standard!$B$9:$J$101,9,FALSE),IF(BA72="31-120 Days",VLOOKUP(D72,[3]Standard!$B$9:$K$100,10,FALSE),IF(BA72="121-365 Days",VLOOKUP(D72,[3]Standard!$B$9:$L$101,11,FALSE),VLOOKUP(D72,[3]Standard!$B$9:$M$101,12,FALSE)))),0)</f>
        <v>752400</v>
      </c>
      <c r="M72" s="269">
        <f>IFERROR(VLOOKUP((D72&amp;C72)&amp;"",'[2]Retail Price List'!$C$4:$F$102,4,FALSE),"")</f>
        <v>1007500</v>
      </c>
      <c r="N72" s="269">
        <f>IFERROR(IF(BA72="WIP - 30 Days",VLOOKUP(D72,[3]Extended!$B$9:$E$101,4,FALSE),IF(BA72="31-120 Days",VLOOKUP(D72,[3]Extended!$B$9:$F$101,5,FALSE),IF(BA72="121-365 Days",VLOOKUP(D72,[3]Extended!$B$9:$G$101,6,FALSE),VLOOKUP(D72,[3]Extended!$B$9:$H$101,7,FALSE)))),0)</f>
        <v>809425.5</v>
      </c>
      <c r="O72" s="269">
        <f>IFERROR(IF(BA72="WIP - 30 Days",VLOOKUP(D72,[3]Extended!$B$9:$J$101,9,FALSE),IF(BA72="31-120 Days",VLOOKUP(D72,[3]Extended!$B$9:$K$101,10,FALSE),IF(BA72="121-365 Days",VLOOKUP(D72,[3]Extended!$B$9:$L$101,11,FALSE),VLOOKUP(D72,[3]Extended!$B$9:$M$101,12,FALSE)))),0)</f>
        <v>785850</v>
      </c>
      <c r="P72" s="116">
        <f t="shared" si="6"/>
        <v>0.22</v>
      </c>
      <c r="Q72" s="110" t="e">
        <f>O72-#REF!</f>
        <v>#REF!</v>
      </c>
      <c r="W72" s="311"/>
      <c r="X72" s="311"/>
      <c r="Y72" s="311"/>
      <c r="Z72" s="311"/>
      <c r="AA72" s="311"/>
      <c r="AB72" s="311"/>
      <c r="AC72" s="311"/>
      <c r="AT72" s="88" t="str">
        <f t="shared" si="7"/>
        <v>KP0005162016Q316</v>
      </c>
      <c r="AU72" s="89" t="str">
        <f t="shared" si="8"/>
        <v>09-2016</v>
      </c>
      <c r="BA72" s="92" t="str">
        <f t="shared" si="9"/>
        <v>121-365 Days</v>
      </c>
    </row>
    <row r="73" spans="1:56">
      <c r="B73" s="60" t="str">
        <f>[2]Trucks!A70</f>
        <v>MC6-3594</v>
      </c>
      <c r="C73" s="11" t="str">
        <f>[2]Trucks!B70</f>
        <v>CLA-26-2806X4BB-C-K</v>
      </c>
      <c r="D73" s="19" t="str">
        <f>IFERROR(VLOOKUP(C73&amp;"",'[2]Retail Price List'!$A$3:$B$103,2,FALSE),"Special Order")</f>
        <v>KP000516</v>
      </c>
      <c r="E73" s="18" t="str">
        <f>[2]Trucks!J70</f>
        <v>UNSOLD</v>
      </c>
      <c r="F73" s="12">
        <f>[2]Trucks!E70</f>
        <v>148</v>
      </c>
      <c r="G73" s="56">
        <f>[2]Trucks!K70</f>
        <v>16</v>
      </c>
      <c r="H73" s="46">
        <f>[2]Trucks!I70</f>
        <v>42656</v>
      </c>
      <c r="I73" s="83" t="str">
        <f t="shared" si="5"/>
        <v>201610Q4</v>
      </c>
      <c r="J73" s="272">
        <f>IFERROR(VLOOKUP((D73&amp;C73)&amp;"",'[2]Retail Price List'!$C$4:$F$102,3,FALSE),"")</f>
        <v>990000</v>
      </c>
      <c r="K73" s="272">
        <f>IFERROR(IF(BA73="WIP - 30 Days",VLOOKUP(D73,[3]Standard!$B$9:$E$101,4,FALSE),IF(BA73="31-120 Days",VLOOKUP(D73,[3]Standard!$B$9:$F$101,5,FALSE),IF(BA73="121-365 Days",VLOOKUP(D73,[3]Standard!$B$9:$G$101,6,FALSE),VLOOKUP(D73,[3]Standard!$B$9:$H$101,7,FALSE)))),0)</f>
        <v>774972</v>
      </c>
      <c r="L73" s="272">
        <f>IFERROR(IF(BA73="WIP - 30 Days",VLOOKUP(D73,[3]Standard!$B$9:$J$101,9,FALSE),IF(BA73="31-120 Days",VLOOKUP(D73,[3]Standard!$B$9:$K$100,10,FALSE),IF(BA73="121-365 Days",VLOOKUP(D73,[3]Standard!$B$9:$L$101,11,FALSE),VLOOKUP(D73,[3]Standard!$B$9:$M$101,12,FALSE)))),0)</f>
        <v>752400</v>
      </c>
      <c r="M73" s="269">
        <f>IFERROR(VLOOKUP((D73&amp;C73)&amp;"",'[2]Retail Price List'!$C$4:$F$102,4,FALSE),"")</f>
        <v>1007500</v>
      </c>
      <c r="N73" s="269">
        <f>IFERROR(IF(BA73="WIP - 30 Days",VLOOKUP(D73,[3]Extended!$B$9:$E$101,4,FALSE),IF(BA73="31-120 Days",VLOOKUP(D73,[3]Extended!$B$9:$F$101,5,FALSE),IF(BA73="121-365 Days",VLOOKUP(D73,[3]Extended!$B$9:$G$101,6,FALSE),VLOOKUP(D73,[3]Extended!$B$9:$H$101,7,FALSE)))),0)</f>
        <v>809425.5</v>
      </c>
      <c r="O73" s="269">
        <f>IFERROR(IF(BA73="WIP - 30 Days",VLOOKUP(D73,[3]Extended!$B$9:$J$101,9,FALSE),IF(BA73="31-120 Days",VLOOKUP(D73,[3]Extended!$B$9:$K$101,10,FALSE),IF(BA73="121-365 Days",VLOOKUP(D73,[3]Extended!$B$9:$L$101,11,FALSE),VLOOKUP(D73,[3]Extended!$B$9:$M$101,12,FALSE)))),0)</f>
        <v>785850</v>
      </c>
      <c r="P73" s="116">
        <f t="shared" si="6"/>
        <v>0.22</v>
      </c>
      <c r="Q73" s="110" t="e">
        <f>O73-#REF!</f>
        <v>#REF!</v>
      </c>
      <c r="W73" s="311"/>
      <c r="X73" s="311"/>
      <c r="Y73" s="311"/>
      <c r="Z73" s="311"/>
      <c r="AA73" s="311"/>
      <c r="AB73" s="311"/>
      <c r="AC73" s="311"/>
      <c r="AT73" s="88" t="str">
        <f t="shared" si="7"/>
        <v>KP000516201610Q416</v>
      </c>
      <c r="AU73" s="89" t="str">
        <f t="shared" si="8"/>
        <v>10-2016</v>
      </c>
      <c r="BA73" s="92" t="str">
        <f t="shared" si="9"/>
        <v>121-365 Days</v>
      </c>
    </row>
    <row r="74" spans="1:56">
      <c r="B74" s="60" t="str">
        <f>[2]Trucks!A71</f>
        <v>MC6-3596</v>
      </c>
      <c r="C74" s="11" t="str">
        <f>[2]Trucks!B71</f>
        <v>CLA-26-2806X4BB-C-K</v>
      </c>
      <c r="D74" s="19" t="str">
        <f>IFERROR(VLOOKUP(C74&amp;"",'[2]Retail Price List'!$A$3:$B$103,2,FALSE),"Special Order")</f>
        <v>KP000516</v>
      </c>
      <c r="E74" s="18" t="str">
        <f>[2]Trucks!J71</f>
        <v>UNSOLD</v>
      </c>
      <c r="F74" s="12">
        <f>[2]Trucks!E71</f>
        <v>119</v>
      </c>
      <c r="G74" s="56">
        <f>[2]Trucks!K71</f>
        <v>16</v>
      </c>
      <c r="H74" s="46">
        <f>[2]Trucks!I71</f>
        <v>42656</v>
      </c>
      <c r="I74" s="83" t="str">
        <f t="shared" si="5"/>
        <v>201610Q4</v>
      </c>
      <c r="J74" s="272">
        <f>IFERROR(VLOOKUP((D74&amp;C74)&amp;"",'[2]Retail Price List'!$C$4:$F$102,3,FALSE),"")</f>
        <v>990000</v>
      </c>
      <c r="K74" s="272">
        <f>IFERROR(IF(BA74="WIP - 30 Days",VLOOKUP(D74,[3]Standard!$B$9:$E$101,4,FALSE),IF(BA74="31-120 Days",VLOOKUP(D74,[3]Standard!$B$9:$F$101,5,FALSE),IF(BA74="121-365 Days",VLOOKUP(D74,[3]Standard!$B$9:$G$101,6,FALSE),VLOOKUP(D74,[3]Standard!$B$9:$H$101,7,FALSE)))),0)</f>
        <v>785169</v>
      </c>
      <c r="L74" s="272">
        <f>IFERROR(IF(BA74="WIP - 30 Days",VLOOKUP(D74,[3]Standard!$B$9:$J$101,9,FALSE),IF(BA74="31-120 Days",VLOOKUP(D74,[3]Standard!$B$9:$K$100,10,FALSE),IF(BA74="121-365 Days",VLOOKUP(D74,[3]Standard!$B$9:$L$101,11,FALSE),VLOOKUP(D74,[3]Standard!$B$9:$M$101,12,FALSE)))),0)</f>
        <v>762300</v>
      </c>
      <c r="M74" s="269">
        <f>IFERROR(VLOOKUP((D74&amp;C74)&amp;"",'[2]Retail Price List'!$C$4:$F$102,4,FALSE),"")</f>
        <v>1007500</v>
      </c>
      <c r="N74" s="269">
        <f>IFERROR(IF(BA74="WIP - 30 Days",VLOOKUP(D74,[3]Extended!$B$9:$E$101,4,FALSE),IF(BA74="31-120 Days",VLOOKUP(D74,[3]Extended!$B$9:$F$101,5,FALSE),IF(BA74="121-365 Days",VLOOKUP(D74,[3]Extended!$B$9:$G$101,6,FALSE),VLOOKUP(D74,[3]Extended!$B$9:$H$101,7,FALSE)))),0)</f>
        <v>830180</v>
      </c>
      <c r="O74" s="269">
        <f>IFERROR(IF(BA74="WIP - 30 Days",VLOOKUP(D74,[3]Extended!$B$9:$J$101,9,FALSE),IF(BA74="31-120 Days",VLOOKUP(D74,[3]Extended!$B$9:$K$101,10,FALSE),IF(BA74="121-365 Days",VLOOKUP(D74,[3]Extended!$B$9:$L$101,11,FALSE),VLOOKUP(D74,[3]Extended!$B$9:$M$101,12,FALSE)))),0)</f>
        <v>806000</v>
      </c>
      <c r="P74" s="116">
        <f t="shared" si="6"/>
        <v>0.2</v>
      </c>
      <c r="Q74" s="110" t="e">
        <f>O74-#REF!</f>
        <v>#REF!</v>
      </c>
      <c r="W74" s="311"/>
      <c r="X74" s="311"/>
      <c r="Y74" s="311"/>
      <c r="Z74" s="311"/>
      <c r="AA74" s="311"/>
      <c r="AB74" s="311"/>
      <c r="AC74" s="311"/>
      <c r="AT74" s="88" t="str">
        <f t="shared" si="7"/>
        <v>KP000516201610Q416</v>
      </c>
      <c r="AU74" s="89" t="str">
        <f t="shared" si="8"/>
        <v>10-2016</v>
      </c>
      <c r="BA74" s="92" t="str">
        <f t="shared" si="9"/>
        <v>31-120 Days</v>
      </c>
    </row>
    <row r="75" spans="1:56">
      <c r="B75" s="60" t="str">
        <f>[2]Trucks!A72</f>
        <v>MC6-3597</v>
      </c>
      <c r="C75" s="11" t="str">
        <f>[2]Trucks!B72</f>
        <v>CLA-26-2806X4BB-C-K</v>
      </c>
      <c r="D75" s="19" t="str">
        <f>IFERROR(VLOOKUP(C75&amp;"",'[2]Retail Price List'!$A$3:$B$103,2,FALSE),"Special Order")</f>
        <v>KP000516</v>
      </c>
      <c r="E75" s="18" t="str">
        <f>[2]Trucks!J72</f>
        <v>UNSOLD</v>
      </c>
      <c r="F75" s="12">
        <f>[2]Trucks!E72</f>
        <v>141</v>
      </c>
      <c r="G75" s="56">
        <f>[2]Trucks!K72</f>
        <v>16</v>
      </c>
      <c r="H75" s="46">
        <f>[2]Trucks!I72</f>
        <v>42656</v>
      </c>
      <c r="I75" s="83" t="str">
        <f t="shared" si="5"/>
        <v>201610Q4</v>
      </c>
      <c r="J75" s="272">
        <f>IFERROR(VLOOKUP((D75&amp;C75)&amp;"",'[2]Retail Price List'!$C$4:$F$102,3,FALSE),"")</f>
        <v>990000</v>
      </c>
      <c r="K75" s="272">
        <f>IFERROR(IF(BA75="WIP - 30 Days",VLOOKUP(D75,[3]Standard!$B$9:$E$101,4,FALSE),IF(BA75="31-120 Days",VLOOKUP(D75,[3]Standard!$B$9:$F$101,5,FALSE),IF(BA75="121-365 Days",VLOOKUP(D75,[3]Standard!$B$9:$G$101,6,FALSE),VLOOKUP(D75,[3]Standard!$B$9:$H$101,7,FALSE)))),0)</f>
        <v>774972</v>
      </c>
      <c r="L75" s="272">
        <f>IFERROR(IF(BA75="WIP - 30 Days",VLOOKUP(D75,[3]Standard!$B$9:$J$101,9,FALSE),IF(BA75="31-120 Days",VLOOKUP(D75,[3]Standard!$B$9:$K$100,10,FALSE),IF(BA75="121-365 Days",VLOOKUP(D75,[3]Standard!$B$9:$L$101,11,FALSE),VLOOKUP(D75,[3]Standard!$B$9:$M$101,12,FALSE)))),0)</f>
        <v>752400</v>
      </c>
      <c r="M75" s="269">
        <f>IFERROR(VLOOKUP((D75&amp;C75)&amp;"",'[2]Retail Price List'!$C$4:$F$102,4,FALSE),"")</f>
        <v>1007500</v>
      </c>
      <c r="N75" s="269">
        <f>IFERROR(IF(BA75="WIP - 30 Days",VLOOKUP(D75,[3]Extended!$B$9:$E$101,4,FALSE),IF(BA75="31-120 Days",VLOOKUP(D75,[3]Extended!$B$9:$F$101,5,FALSE),IF(BA75="121-365 Days",VLOOKUP(D75,[3]Extended!$B$9:$G$101,6,FALSE),VLOOKUP(D75,[3]Extended!$B$9:$H$101,7,FALSE)))),0)</f>
        <v>809425.5</v>
      </c>
      <c r="O75" s="269">
        <f>IFERROR(IF(BA75="WIP - 30 Days",VLOOKUP(D75,[3]Extended!$B$9:$J$101,9,FALSE),IF(BA75="31-120 Days",VLOOKUP(D75,[3]Extended!$B$9:$K$101,10,FALSE),IF(BA75="121-365 Days",VLOOKUP(D75,[3]Extended!$B$9:$L$101,11,FALSE),VLOOKUP(D75,[3]Extended!$B$9:$M$101,12,FALSE)))),0)</f>
        <v>785850</v>
      </c>
      <c r="P75" s="116">
        <f t="shared" si="6"/>
        <v>0.22</v>
      </c>
      <c r="Q75" s="110" t="e">
        <f>O75-#REF!</f>
        <v>#REF!</v>
      </c>
      <c r="W75" s="311"/>
      <c r="X75" s="311"/>
      <c r="Y75" s="311"/>
      <c r="Z75" s="311"/>
      <c r="AA75" s="311"/>
      <c r="AB75" s="311"/>
      <c r="AC75" s="311"/>
      <c r="AT75" s="88" t="str">
        <f t="shared" si="7"/>
        <v>KP000516201610Q416</v>
      </c>
      <c r="AU75" s="89" t="str">
        <f t="shared" si="8"/>
        <v>10-2016</v>
      </c>
      <c r="BA75" s="92" t="str">
        <f t="shared" si="9"/>
        <v>121-365 Days</v>
      </c>
    </row>
    <row r="76" spans="1:56">
      <c r="B76" s="60" t="str">
        <f>[2]Trucks!A73</f>
        <v>MC6-3598</v>
      </c>
      <c r="C76" s="11" t="str">
        <f>[2]Trucks!B73</f>
        <v>CLA-26-2806X4BB-C-K</v>
      </c>
      <c r="D76" s="19" t="str">
        <f>IFERROR(VLOOKUP(C76&amp;"",'[2]Retail Price List'!$A$3:$B$103,2,FALSE),"Special Order")</f>
        <v>KP000516</v>
      </c>
      <c r="E76" s="18" t="str">
        <f>[2]Trucks!J73</f>
        <v>UNSOLD</v>
      </c>
      <c r="F76" s="12">
        <f>[2]Trucks!E73</f>
        <v>133</v>
      </c>
      <c r="G76" s="56">
        <f>[2]Trucks!K73</f>
        <v>16</v>
      </c>
      <c r="H76" s="46">
        <f>[2]Trucks!I73</f>
        <v>42656</v>
      </c>
      <c r="I76" s="83" t="str">
        <f t="shared" si="5"/>
        <v>201610Q4</v>
      </c>
      <c r="J76" s="272">
        <f>IFERROR(VLOOKUP((D76&amp;C76)&amp;"",'[2]Retail Price List'!$C$4:$F$102,3,FALSE),"")</f>
        <v>990000</v>
      </c>
      <c r="K76" s="272">
        <f>IFERROR(IF(BA76="WIP - 30 Days",VLOOKUP(D76,[3]Standard!$B$9:$E$101,4,FALSE),IF(BA76="31-120 Days",VLOOKUP(D76,[3]Standard!$B$9:$F$101,5,FALSE),IF(BA76="121-365 Days",VLOOKUP(D76,[3]Standard!$B$9:$G$101,6,FALSE),VLOOKUP(D76,[3]Standard!$B$9:$H$101,7,FALSE)))),0)</f>
        <v>774972</v>
      </c>
      <c r="L76" s="272">
        <f>IFERROR(IF(BA76="WIP - 30 Days",VLOOKUP(D76,[3]Standard!$B$9:$J$101,9,FALSE),IF(BA76="31-120 Days",VLOOKUP(D76,[3]Standard!$B$9:$K$100,10,FALSE),IF(BA76="121-365 Days",VLOOKUP(D76,[3]Standard!$B$9:$L$101,11,FALSE),VLOOKUP(D76,[3]Standard!$B$9:$M$101,12,FALSE)))),0)</f>
        <v>752400</v>
      </c>
      <c r="M76" s="269">
        <f>IFERROR(VLOOKUP((D76&amp;C76)&amp;"",'[2]Retail Price List'!$C$4:$F$102,4,FALSE),"")</f>
        <v>1007500</v>
      </c>
      <c r="N76" s="269">
        <f>IFERROR(IF(BA76="WIP - 30 Days",VLOOKUP(D76,[3]Extended!$B$9:$E$101,4,FALSE),IF(BA76="31-120 Days",VLOOKUP(D76,[3]Extended!$B$9:$F$101,5,FALSE),IF(BA76="121-365 Days",VLOOKUP(D76,[3]Extended!$B$9:$G$101,6,FALSE),VLOOKUP(D76,[3]Extended!$B$9:$H$101,7,FALSE)))),0)</f>
        <v>809425.5</v>
      </c>
      <c r="O76" s="269">
        <f>IFERROR(IF(BA76="WIP - 30 Days",VLOOKUP(D76,[3]Extended!$B$9:$J$101,9,FALSE),IF(BA76="31-120 Days",VLOOKUP(D76,[3]Extended!$B$9:$K$101,10,FALSE),IF(BA76="121-365 Days",VLOOKUP(D76,[3]Extended!$B$9:$L$101,11,FALSE),VLOOKUP(D76,[3]Extended!$B$9:$M$101,12,FALSE)))),0)</f>
        <v>785850</v>
      </c>
      <c r="P76" s="116">
        <f t="shared" si="6"/>
        <v>0.22</v>
      </c>
      <c r="Q76" s="110" t="e">
        <f>O76-#REF!</f>
        <v>#REF!</v>
      </c>
      <c r="W76" s="311"/>
      <c r="X76" s="311"/>
      <c r="Y76" s="311"/>
      <c r="Z76" s="311"/>
      <c r="AA76" s="311"/>
      <c r="AB76" s="311"/>
      <c r="AC76" s="311"/>
      <c r="AT76" s="88" t="str">
        <f t="shared" si="7"/>
        <v>KP000516201610Q416</v>
      </c>
      <c r="AU76" s="89" t="str">
        <f t="shared" si="8"/>
        <v>10-2016</v>
      </c>
      <c r="BA76" s="92" t="str">
        <f t="shared" si="9"/>
        <v>121-365 Days</v>
      </c>
    </row>
    <row r="77" spans="1:56">
      <c r="B77" s="60" t="str">
        <f>[2]Trucks!A74</f>
        <v>MC6-3599</v>
      </c>
      <c r="C77" s="11" t="str">
        <f>[2]Trucks!B74</f>
        <v>CLA-26-2806X4BB-C-K</v>
      </c>
      <c r="D77" s="19" t="str">
        <f>IFERROR(VLOOKUP(C77&amp;"",'[2]Retail Price List'!$A$3:$B$103,2,FALSE),"Special Order")</f>
        <v>KP000516</v>
      </c>
      <c r="E77" s="18" t="str">
        <f>[2]Trucks!J74</f>
        <v>UNSOLD</v>
      </c>
      <c r="F77" s="12">
        <f>[2]Trucks!E74</f>
        <v>147</v>
      </c>
      <c r="G77" s="56">
        <f>[2]Trucks!K74</f>
        <v>16</v>
      </c>
      <c r="H77" s="46">
        <f>[2]Trucks!I74</f>
        <v>42656</v>
      </c>
      <c r="I77" s="83" t="str">
        <f t="shared" si="5"/>
        <v>201610Q4</v>
      </c>
      <c r="J77" s="272">
        <f>IFERROR(VLOOKUP((D77&amp;C77)&amp;"",'[2]Retail Price List'!$C$4:$F$102,3,FALSE),"")</f>
        <v>990000</v>
      </c>
      <c r="K77" s="272">
        <f>IFERROR(IF(BA77="WIP - 30 Days",VLOOKUP(D77,[3]Standard!$B$9:$E$101,4,FALSE),IF(BA77="31-120 Days",VLOOKUP(D77,[3]Standard!$B$9:$F$101,5,FALSE),IF(BA77="121-365 Days",VLOOKUP(D77,[3]Standard!$B$9:$G$101,6,FALSE),VLOOKUP(D77,[3]Standard!$B$9:$H$101,7,FALSE)))),0)</f>
        <v>774972</v>
      </c>
      <c r="L77" s="272">
        <f>IFERROR(IF(BA77="WIP - 30 Days",VLOOKUP(D77,[3]Standard!$B$9:$J$101,9,FALSE),IF(BA77="31-120 Days",VLOOKUP(D77,[3]Standard!$B$9:$K$100,10,FALSE),IF(BA77="121-365 Days",VLOOKUP(D77,[3]Standard!$B$9:$L$101,11,FALSE),VLOOKUP(D77,[3]Standard!$B$9:$M$101,12,FALSE)))),0)</f>
        <v>752400</v>
      </c>
      <c r="M77" s="269">
        <f>IFERROR(VLOOKUP((D77&amp;C77)&amp;"",'[2]Retail Price List'!$C$4:$F$102,4,FALSE),"")</f>
        <v>1007500</v>
      </c>
      <c r="N77" s="269">
        <f>IFERROR(IF(BA77="WIP - 30 Days",VLOOKUP(D77,[3]Extended!$B$9:$E$101,4,FALSE),IF(BA77="31-120 Days",VLOOKUP(D77,[3]Extended!$B$9:$F$101,5,FALSE),IF(BA77="121-365 Days",VLOOKUP(D77,[3]Extended!$B$9:$G$101,6,FALSE),VLOOKUP(D77,[3]Extended!$B$9:$H$101,7,FALSE)))),0)</f>
        <v>809425.5</v>
      </c>
      <c r="O77" s="269">
        <f>IFERROR(IF(BA77="WIP - 30 Days",VLOOKUP(D77,[3]Extended!$B$9:$J$101,9,FALSE),IF(BA77="31-120 Days",VLOOKUP(D77,[3]Extended!$B$9:$K$101,10,FALSE),IF(BA77="121-365 Days",VLOOKUP(D77,[3]Extended!$B$9:$L$101,11,FALSE),VLOOKUP(D77,[3]Extended!$B$9:$M$101,12,FALSE)))),0)</f>
        <v>785850</v>
      </c>
      <c r="P77" s="116">
        <f t="shared" si="6"/>
        <v>0.22</v>
      </c>
      <c r="Q77" s="110" t="e">
        <f>O77-#REF!</f>
        <v>#REF!</v>
      </c>
      <c r="W77" s="311"/>
      <c r="X77" s="311"/>
      <c r="Y77" s="311"/>
      <c r="Z77" s="311"/>
      <c r="AA77" s="311"/>
      <c r="AB77" s="311"/>
      <c r="AC77" s="311"/>
      <c r="AT77" s="88" t="str">
        <f t="shared" si="7"/>
        <v>KP000516201610Q416</v>
      </c>
      <c r="AU77" s="89" t="str">
        <f t="shared" si="8"/>
        <v>10-2016</v>
      </c>
      <c r="BA77" s="92" t="str">
        <f t="shared" si="9"/>
        <v>121-365 Days</v>
      </c>
    </row>
    <row r="78" spans="1:56">
      <c r="B78" s="60" t="str">
        <f>[2]Trucks!A75</f>
        <v>MC6-3601</v>
      </c>
      <c r="C78" s="11" t="str">
        <f>[2]Trucks!B75</f>
        <v>CLA-26-2806X4BB-C-K</v>
      </c>
      <c r="D78" s="19" t="str">
        <f>IFERROR(VLOOKUP(C78&amp;"",'[2]Retail Price List'!$A$3:$B$103,2,FALSE),"Special Order")</f>
        <v>KP000516</v>
      </c>
      <c r="E78" s="18" t="str">
        <f>[2]Trucks!J75</f>
        <v>UNSOLD</v>
      </c>
      <c r="F78" s="12">
        <f>[2]Trucks!E75</f>
        <v>147</v>
      </c>
      <c r="G78" s="56">
        <f>[2]Trucks!K75</f>
        <v>16</v>
      </c>
      <c r="H78" s="46">
        <f>[2]Trucks!I75</f>
        <v>42656</v>
      </c>
      <c r="I78" s="83" t="str">
        <f t="shared" si="5"/>
        <v>201610Q4</v>
      </c>
      <c r="J78" s="272">
        <f>IFERROR(VLOOKUP((D78&amp;C78)&amp;"",'[2]Retail Price List'!$C$4:$F$102,3,FALSE),"")</f>
        <v>990000</v>
      </c>
      <c r="K78" s="272">
        <f>IFERROR(IF(BA78="WIP - 30 Days",VLOOKUP(D78,[3]Standard!$B$9:$E$101,4,FALSE),IF(BA78="31-120 Days",VLOOKUP(D78,[3]Standard!$B$9:$F$101,5,FALSE),IF(BA78="121-365 Days",VLOOKUP(D78,[3]Standard!$B$9:$G$101,6,FALSE),VLOOKUP(D78,[3]Standard!$B$9:$H$101,7,FALSE)))),0)</f>
        <v>774972</v>
      </c>
      <c r="L78" s="272">
        <f>IFERROR(IF(BA78="WIP - 30 Days",VLOOKUP(D78,[3]Standard!$B$9:$J$101,9,FALSE),IF(BA78="31-120 Days",VLOOKUP(D78,[3]Standard!$B$9:$K$100,10,FALSE),IF(BA78="121-365 Days",VLOOKUP(D78,[3]Standard!$B$9:$L$101,11,FALSE),VLOOKUP(D78,[3]Standard!$B$9:$M$101,12,FALSE)))),0)</f>
        <v>752400</v>
      </c>
      <c r="M78" s="269">
        <f>IFERROR(VLOOKUP((D78&amp;C78)&amp;"",'[2]Retail Price List'!$C$4:$F$102,4,FALSE),"")</f>
        <v>1007500</v>
      </c>
      <c r="N78" s="269">
        <f>IFERROR(IF(BA78="WIP - 30 Days",VLOOKUP(D78,[3]Extended!$B$9:$E$101,4,FALSE),IF(BA78="31-120 Days",VLOOKUP(D78,[3]Extended!$B$9:$F$101,5,FALSE),IF(BA78="121-365 Days",VLOOKUP(D78,[3]Extended!$B$9:$G$101,6,FALSE),VLOOKUP(D78,[3]Extended!$B$9:$H$101,7,FALSE)))),0)</f>
        <v>809425.5</v>
      </c>
      <c r="O78" s="269">
        <f>IFERROR(IF(BA78="WIP - 30 Days",VLOOKUP(D78,[3]Extended!$B$9:$J$101,9,FALSE),IF(BA78="31-120 Days",VLOOKUP(D78,[3]Extended!$B$9:$K$101,10,FALSE),IF(BA78="121-365 Days",VLOOKUP(D78,[3]Extended!$B$9:$L$101,11,FALSE),VLOOKUP(D78,[3]Extended!$B$9:$M$101,12,FALSE)))),0)</f>
        <v>785850</v>
      </c>
      <c r="P78" s="116">
        <f t="shared" si="6"/>
        <v>0.22</v>
      </c>
      <c r="Q78" s="110" t="e">
        <f>O78-#REF!</f>
        <v>#REF!</v>
      </c>
      <c r="W78" s="311"/>
      <c r="X78" s="311"/>
      <c r="Y78" s="311"/>
      <c r="Z78" s="311"/>
      <c r="AA78" s="311"/>
      <c r="AB78" s="311"/>
      <c r="AC78" s="311"/>
      <c r="AT78" s="88" t="str">
        <f t="shared" si="7"/>
        <v>KP000516201610Q416</v>
      </c>
      <c r="AU78" s="89" t="str">
        <f t="shared" si="8"/>
        <v>10-2016</v>
      </c>
      <c r="BA78" s="92" t="str">
        <f t="shared" si="9"/>
        <v>121-365 Days</v>
      </c>
    </row>
    <row r="79" spans="1:56">
      <c r="B79" s="60" t="str">
        <f>[2]Trucks!A76</f>
        <v>MC6-3602</v>
      </c>
      <c r="C79" s="11" t="str">
        <f>[2]Trucks!B76</f>
        <v>CLA-26-2806X4BB-C-K</v>
      </c>
      <c r="D79" s="19" t="str">
        <f>IFERROR(VLOOKUP(C79&amp;"",'[2]Retail Price List'!$A$3:$B$103,2,FALSE),"Special Order")</f>
        <v>KP000516</v>
      </c>
      <c r="E79" s="18" t="str">
        <f>[2]Trucks!J76</f>
        <v>BOOKED</v>
      </c>
      <c r="F79" s="12">
        <f>[2]Trucks!E76</f>
        <v>141</v>
      </c>
      <c r="G79" s="56">
        <f>[2]Trucks!K76</f>
        <v>16</v>
      </c>
      <c r="H79" s="46">
        <f>[2]Trucks!I76</f>
        <v>42656</v>
      </c>
      <c r="I79" s="83" t="str">
        <f t="shared" si="5"/>
        <v>201610Q4</v>
      </c>
      <c r="J79" s="272">
        <f>IFERROR(VLOOKUP((D79&amp;C79)&amp;"",'[2]Retail Price List'!$C$4:$F$102,3,FALSE),"")</f>
        <v>990000</v>
      </c>
      <c r="K79" s="272">
        <f>IFERROR(IF(BA79="WIP - 30 Days",VLOOKUP(D79,[3]Standard!$B$9:$E$101,4,FALSE),IF(BA79="31-120 Days",VLOOKUP(D79,[3]Standard!$B$9:$F$101,5,FALSE),IF(BA79="121-365 Days",VLOOKUP(D79,[3]Standard!$B$9:$G$101,6,FALSE),VLOOKUP(D79,[3]Standard!$B$9:$H$101,7,FALSE)))),0)</f>
        <v>774972</v>
      </c>
      <c r="L79" s="272">
        <f>IFERROR(IF(BA79="WIP - 30 Days",VLOOKUP(D79,[3]Standard!$B$9:$J$101,9,FALSE),IF(BA79="31-120 Days",VLOOKUP(D79,[3]Standard!$B$9:$K$100,10,FALSE),IF(BA79="121-365 Days",VLOOKUP(D79,[3]Standard!$B$9:$L$101,11,FALSE),VLOOKUP(D79,[3]Standard!$B$9:$M$101,12,FALSE)))),0)</f>
        <v>752400</v>
      </c>
      <c r="M79" s="269">
        <f>IFERROR(VLOOKUP((D79&amp;C79)&amp;"",'[2]Retail Price List'!$C$4:$F$102,4,FALSE),"")</f>
        <v>1007500</v>
      </c>
      <c r="N79" s="269">
        <f>IFERROR(IF(BA79="WIP - 30 Days",VLOOKUP(D79,[3]Extended!$B$9:$E$101,4,FALSE),IF(BA79="31-120 Days",VLOOKUP(D79,[3]Extended!$B$9:$F$101,5,FALSE),IF(BA79="121-365 Days",VLOOKUP(D79,[3]Extended!$B$9:$G$101,6,FALSE),VLOOKUP(D79,[3]Extended!$B$9:$H$101,7,FALSE)))),0)</f>
        <v>809425.5</v>
      </c>
      <c r="O79" s="269">
        <f>IFERROR(IF(BA79="WIP - 30 Days",VLOOKUP(D79,[3]Extended!$B$9:$J$101,9,FALSE),IF(BA79="31-120 Days",VLOOKUP(D79,[3]Extended!$B$9:$K$101,10,FALSE),IF(BA79="121-365 Days",VLOOKUP(D79,[3]Extended!$B$9:$L$101,11,FALSE),VLOOKUP(D79,[3]Extended!$B$9:$M$101,12,FALSE)))),0)</f>
        <v>785850</v>
      </c>
      <c r="P79" s="116">
        <f t="shared" si="6"/>
        <v>0.22</v>
      </c>
      <c r="Q79" s="110" t="e">
        <f>O79-#REF!</f>
        <v>#REF!</v>
      </c>
      <c r="W79" s="311"/>
      <c r="X79" s="311"/>
      <c r="Y79" s="311"/>
      <c r="Z79" s="311"/>
      <c r="AA79" s="311"/>
      <c r="AB79" s="311"/>
      <c r="AC79" s="311"/>
      <c r="AT79" s="88" t="str">
        <f t="shared" si="7"/>
        <v>KP000516201610Q416</v>
      </c>
      <c r="AU79" s="89" t="str">
        <f t="shared" si="8"/>
        <v>10-2016</v>
      </c>
      <c r="BA79" s="92" t="str">
        <f t="shared" si="9"/>
        <v>121-365 Days</v>
      </c>
    </row>
    <row r="80" spans="1:56">
      <c r="B80" s="60" t="str">
        <f>[2]Trucks!A77</f>
        <v>MC6-3603</v>
      </c>
      <c r="C80" s="11" t="str">
        <f>[2]Trucks!B77</f>
        <v>CLA-26-2806X4BB-C-K</v>
      </c>
      <c r="D80" s="19" t="str">
        <f>IFERROR(VLOOKUP(C80&amp;"",'[2]Retail Price List'!$A$3:$B$103,2,FALSE),"Special Order")</f>
        <v>KP000516</v>
      </c>
      <c r="E80" s="18" t="str">
        <f>[2]Trucks!J77</f>
        <v>UNSOLD</v>
      </c>
      <c r="F80" s="12">
        <f>[2]Trucks!E77</f>
        <v>142</v>
      </c>
      <c r="G80" s="56">
        <f>[2]Trucks!K77</f>
        <v>16</v>
      </c>
      <c r="H80" s="46">
        <f>[2]Trucks!I77</f>
        <v>42656</v>
      </c>
      <c r="I80" s="83" t="str">
        <f t="shared" si="5"/>
        <v>201610Q4</v>
      </c>
      <c r="J80" s="272">
        <f>IFERROR(VLOOKUP((D80&amp;C80)&amp;"",'[2]Retail Price List'!$C$4:$F$102,3,FALSE),"")</f>
        <v>990000</v>
      </c>
      <c r="K80" s="272">
        <f>IFERROR(IF(BA80="WIP - 30 Days",VLOOKUP(D80,[3]Standard!$B$9:$E$101,4,FALSE),IF(BA80="31-120 Days",VLOOKUP(D80,[3]Standard!$B$9:$F$101,5,FALSE),IF(BA80="121-365 Days",VLOOKUP(D80,[3]Standard!$B$9:$G$101,6,FALSE),VLOOKUP(D80,[3]Standard!$B$9:$H$101,7,FALSE)))),0)</f>
        <v>774972</v>
      </c>
      <c r="L80" s="272">
        <f>IFERROR(IF(BA80="WIP - 30 Days",VLOOKUP(D80,[3]Standard!$B$9:$J$101,9,FALSE),IF(BA80="31-120 Days",VLOOKUP(D80,[3]Standard!$B$9:$K$100,10,FALSE),IF(BA80="121-365 Days",VLOOKUP(D80,[3]Standard!$B$9:$L$101,11,FALSE),VLOOKUP(D80,[3]Standard!$B$9:$M$101,12,FALSE)))),0)</f>
        <v>752400</v>
      </c>
      <c r="M80" s="269">
        <f>IFERROR(VLOOKUP((D80&amp;C80)&amp;"",'[2]Retail Price List'!$C$4:$F$102,4,FALSE),"")</f>
        <v>1007500</v>
      </c>
      <c r="N80" s="269">
        <f>IFERROR(IF(BA80="WIP - 30 Days",VLOOKUP(D80,[3]Extended!$B$9:$E$101,4,FALSE),IF(BA80="31-120 Days",VLOOKUP(D80,[3]Extended!$B$9:$F$101,5,FALSE),IF(BA80="121-365 Days",VLOOKUP(D80,[3]Extended!$B$9:$G$101,6,FALSE),VLOOKUP(D80,[3]Extended!$B$9:$H$101,7,FALSE)))),0)</f>
        <v>809425.5</v>
      </c>
      <c r="O80" s="269">
        <f>IFERROR(IF(BA80="WIP - 30 Days",VLOOKUP(D80,[3]Extended!$B$9:$J$101,9,FALSE),IF(BA80="31-120 Days",VLOOKUP(D80,[3]Extended!$B$9:$K$101,10,FALSE),IF(BA80="121-365 Days",VLOOKUP(D80,[3]Extended!$B$9:$L$101,11,FALSE),VLOOKUP(D80,[3]Extended!$B$9:$M$101,12,FALSE)))),0)</f>
        <v>785850</v>
      </c>
      <c r="P80" s="116">
        <f t="shared" si="6"/>
        <v>0.22</v>
      </c>
      <c r="Q80" s="110" t="e">
        <f>O80-#REF!</f>
        <v>#REF!</v>
      </c>
      <c r="W80" s="311"/>
      <c r="X80" s="311"/>
      <c r="Y80" s="311"/>
      <c r="Z80" s="311"/>
      <c r="AA80" s="311"/>
      <c r="AB80" s="311"/>
      <c r="AC80" s="311"/>
      <c r="AT80" s="88" t="str">
        <f t="shared" si="7"/>
        <v>KP000516201610Q416</v>
      </c>
      <c r="AU80" s="89" t="str">
        <f t="shared" si="8"/>
        <v>10-2016</v>
      </c>
      <c r="BA80" s="92" t="str">
        <f t="shared" si="9"/>
        <v>121-365 Days</v>
      </c>
    </row>
    <row r="81" spans="1:56">
      <c r="B81" s="60" t="str">
        <f>[2]Trucks!A78</f>
        <v>MC6-3604</v>
      </c>
      <c r="C81" s="11" t="str">
        <f>[2]Trucks!B78</f>
        <v>CLA-26-2806X4BB-C-K</v>
      </c>
      <c r="D81" s="19" t="str">
        <f>IFERROR(VLOOKUP(C81&amp;"",'[2]Retail Price List'!$A$3:$B$103,2,FALSE),"Special Order")</f>
        <v>KP000516</v>
      </c>
      <c r="E81" s="18" t="str">
        <f>[2]Trucks!J78</f>
        <v>UNSOLD</v>
      </c>
      <c r="F81" s="12">
        <f>[2]Trucks!E78</f>
        <v>142</v>
      </c>
      <c r="G81" s="56">
        <f>[2]Trucks!K78</f>
        <v>16</v>
      </c>
      <c r="H81" s="46">
        <f>[2]Trucks!I78</f>
        <v>42656</v>
      </c>
      <c r="I81" s="83" t="str">
        <f t="shared" si="5"/>
        <v>201610Q4</v>
      </c>
      <c r="J81" s="272">
        <f>IFERROR(VLOOKUP((D81&amp;C81)&amp;"",'[2]Retail Price List'!$C$4:$F$102,3,FALSE),"")</f>
        <v>990000</v>
      </c>
      <c r="K81" s="272">
        <f>IFERROR(IF(BA81="WIP - 30 Days",VLOOKUP(D81,[3]Standard!$B$9:$E$101,4,FALSE),IF(BA81="31-120 Days",VLOOKUP(D81,[3]Standard!$B$9:$F$101,5,FALSE),IF(BA81="121-365 Days",VLOOKUP(D81,[3]Standard!$B$9:$G$101,6,FALSE),VLOOKUP(D81,[3]Standard!$B$9:$H$101,7,FALSE)))),0)</f>
        <v>774972</v>
      </c>
      <c r="L81" s="272">
        <f>IFERROR(IF(BA81="WIP - 30 Days",VLOOKUP(D81,[3]Standard!$B$9:$J$101,9,FALSE),IF(BA81="31-120 Days",VLOOKUP(D81,[3]Standard!$B$9:$K$100,10,FALSE),IF(BA81="121-365 Days",VLOOKUP(D81,[3]Standard!$B$9:$L$101,11,FALSE),VLOOKUP(D81,[3]Standard!$B$9:$M$101,12,FALSE)))),0)</f>
        <v>752400</v>
      </c>
      <c r="M81" s="269">
        <f>IFERROR(VLOOKUP((D81&amp;C81)&amp;"",'[2]Retail Price List'!$C$4:$F$102,4,FALSE),"")</f>
        <v>1007500</v>
      </c>
      <c r="N81" s="269">
        <f>IFERROR(IF(BA81="WIP - 30 Days",VLOOKUP(D81,[3]Extended!$B$9:$E$101,4,FALSE),IF(BA81="31-120 Days",VLOOKUP(D81,[3]Extended!$B$9:$F$101,5,FALSE),IF(BA81="121-365 Days",VLOOKUP(D81,[3]Extended!$B$9:$G$101,6,FALSE),VLOOKUP(D81,[3]Extended!$B$9:$H$101,7,FALSE)))),0)</f>
        <v>809425.5</v>
      </c>
      <c r="O81" s="269">
        <f>IFERROR(IF(BA81="WIP - 30 Days",VLOOKUP(D81,[3]Extended!$B$9:$J$101,9,FALSE),IF(BA81="31-120 Days",VLOOKUP(D81,[3]Extended!$B$9:$K$101,10,FALSE),IF(BA81="121-365 Days",VLOOKUP(D81,[3]Extended!$B$9:$L$101,11,FALSE),VLOOKUP(D81,[3]Extended!$B$9:$M$101,12,FALSE)))),0)</f>
        <v>785850</v>
      </c>
      <c r="P81" s="116">
        <f t="shared" si="6"/>
        <v>0.22</v>
      </c>
      <c r="Q81" s="110" t="e">
        <f>O81-#REF!</f>
        <v>#REF!</v>
      </c>
      <c r="W81" s="311"/>
      <c r="X81" s="311"/>
      <c r="Y81" s="311"/>
      <c r="Z81" s="311"/>
      <c r="AA81" s="311"/>
      <c r="AB81" s="311"/>
      <c r="AC81" s="311"/>
      <c r="AT81" s="88" t="str">
        <f t="shared" si="7"/>
        <v>KP000516201610Q416</v>
      </c>
      <c r="AU81" s="89" t="str">
        <f t="shared" si="8"/>
        <v>10-2016</v>
      </c>
      <c r="BA81" s="92" t="str">
        <f t="shared" si="9"/>
        <v>121-365 Days</v>
      </c>
    </row>
    <row r="82" spans="1:56">
      <c r="B82" s="60" t="str">
        <f>[2]Trucks!A79</f>
        <v>MC6-3605</v>
      </c>
      <c r="C82" s="11" t="str">
        <f>[2]Trucks!B79</f>
        <v>CLA-26-2806X4BB-C-K</v>
      </c>
      <c r="D82" s="19" t="str">
        <f>IFERROR(VLOOKUP(C82&amp;"",'[2]Retail Price List'!$A$3:$B$103,2,FALSE),"Special Order")</f>
        <v>KP000516</v>
      </c>
      <c r="E82" s="18" t="str">
        <f>[2]Trucks!J79</f>
        <v>UNSOLD</v>
      </c>
      <c r="F82" s="12">
        <f>[2]Trucks!E79</f>
        <v>127</v>
      </c>
      <c r="G82" s="56">
        <f>[2]Trucks!K79</f>
        <v>16</v>
      </c>
      <c r="H82" s="46">
        <f>[2]Trucks!I79</f>
        <v>42656</v>
      </c>
      <c r="I82" s="83" t="str">
        <f t="shared" si="5"/>
        <v>201610Q4</v>
      </c>
      <c r="J82" s="272">
        <f>IFERROR(VLOOKUP((D82&amp;C82)&amp;"",'[2]Retail Price List'!$C$4:$F$102,3,FALSE),"")</f>
        <v>990000</v>
      </c>
      <c r="K82" s="272">
        <f>IFERROR(IF(BA82="WIP - 30 Days",VLOOKUP(D82,[3]Standard!$B$9:$E$101,4,FALSE),IF(BA82="31-120 Days",VLOOKUP(D82,[3]Standard!$B$9:$F$101,5,FALSE),IF(BA82="121-365 Days",VLOOKUP(D82,[3]Standard!$B$9:$G$101,6,FALSE),VLOOKUP(D82,[3]Standard!$B$9:$H$101,7,FALSE)))),0)</f>
        <v>774972</v>
      </c>
      <c r="L82" s="272">
        <f>IFERROR(IF(BA82="WIP - 30 Days",VLOOKUP(D82,[3]Standard!$B$9:$J$101,9,FALSE),IF(BA82="31-120 Days",VLOOKUP(D82,[3]Standard!$B$9:$K$100,10,FALSE),IF(BA82="121-365 Days",VLOOKUP(D82,[3]Standard!$B$9:$L$101,11,FALSE),VLOOKUP(D82,[3]Standard!$B$9:$M$101,12,FALSE)))),0)</f>
        <v>752400</v>
      </c>
      <c r="M82" s="269">
        <f>IFERROR(VLOOKUP((D82&amp;C82)&amp;"",'[2]Retail Price List'!$C$4:$F$102,4,FALSE),"")</f>
        <v>1007500</v>
      </c>
      <c r="N82" s="269">
        <f>IFERROR(IF(BA82="WIP - 30 Days",VLOOKUP(D82,[3]Extended!$B$9:$E$101,4,FALSE),IF(BA82="31-120 Days",VLOOKUP(D82,[3]Extended!$B$9:$F$101,5,FALSE),IF(BA82="121-365 Days",VLOOKUP(D82,[3]Extended!$B$9:$G$101,6,FALSE),VLOOKUP(D82,[3]Extended!$B$9:$H$101,7,FALSE)))),0)</f>
        <v>809425.5</v>
      </c>
      <c r="O82" s="269">
        <f>IFERROR(IF(BA82="WIP - 30 Days",VLOOKUP(D82,[3]Extended!$B$9:$J$101,9,FALSE),IF(BA82="31-120 Days",VLOOKUP(D82,[3]Extended!$B$9:$K$101,10,FALSE),IF(BA82="121-365 Days",VLOOKUP(D82,[3]Extended!$B$9:$L$101,11,FALSE),VLOOKUP(D82,[3]Extended!$B$9:$M$101,12,FALSE)))),0)</f>
        <v>785850</v>
      </c>
      <c r="P82" s="116">
        <f t="shared" si="6"/>
        <v>0.22</v>
      </c>
      <c r="Q82" s="110" t="e">
        <f>O82-#REF!</f>
        <v>#REF!</v>
      </c>
      <c r="W82" s="311"/>
      <c r="X82" s="311"/>
      <c r="Y82" s="311"/>
      <c r="Z82" s="311"/>
      <c r="AA82" s="311"/>
      <c r="AB82" s="311"/>
      <c r="AC82" s="311"/>
      <c r="AT82" s="88" t="str">
        <f t="shared" si="7"/>
        <v>KP000516201610Q416</v>
      </c>
      <c r="AU82" s="89" t="str">
        <f t="shared" si="8"/>
        <v>10-2016</v>
      </c>
      <c r="BA82" s="92" t="str">
        <f t="shared" si="9"/>
        <v>121-365 Days</v>
      </c>
    </row>
    <row r="83" spans="1:56">
      <c r="B83" s="60" t="str">
        <f>[2]Trucks!A80</f>
        <v>MC6-3807</v>
      </c>
      <c r="C83" s="11" t="str">
        <f>[2]Trucks!B80</f>
        <v>CLA-26-2806X4BB-C-K</v>
      </c>
      <c r="D83" s="19" t="str">
        <f>IFERROR(VLOOKUP(C83&amp;"",'[2]Retail Price List'!$A$3:$B$103,2,FALSE),"Special Order")</f>
        <v>KP000516</v>
      </c>
      <c r="E83" s="18" t="str">
        <f>[2]Trucks!J80</f>
        <v>CKD</v>
      </c>
      <c r="F83" s="12" t="str">
        <f>[2]Trucks!E80</f>
        <v>2017-12-31</v>
      </c>
      <c r="G83" s="56">
        <f>[2]Trucks!K80</f>
        <v>14.7</v>
      </c>
      <c r="H83" s="46">
        <f>[2]Trucks!I80</f>
        <v>42900</v>
      </c>
      <c r="I83" s="83" t="str">
        <f t="shared" si="5"/>
        <v>2017Q2</v>
      </c>
      <c r="J83" s="272">
        <f>IFERROR(VLOOKUP((D83&amp;C83)&amp;"",'[2]Retail Price List'!$C$4:$F$102,3,FALSE),"")</f>
        <v>990000</v>
      </c>
      <c r="K83" s="272">
        <f>IFERROR(IF(BA83="WIP - 30 Days",VLOOKUP(D83,[3]Standard!$B$9:$E$101,4,FALSE),IF(BA83="31-120 Days",VLOOKUP(D83,[3]Standard!$B$9:$F$101,5,FALSE),IF(BA83="121-365 Days",VLOOKUP(D83,[3]Standard!$B$9:$G$101,6,FALSE),VLOOKUP(D83,[3]Standard!$B$9:$H$101,7,FALSE)))),0)</f>
        <v>805563</v>
      </c>
      <c r="L83" s="272">
        <f>IFERROR(IF(BA83="WIP - 30 Days",VLOOKUP(D83,[3]Standard!$B$9:$J$101,9,FALSE),IF(BA83="31-120 Days",VLOOKUP(D83,[3]Standard!$B$9:$K$100,10,FALSE),IF(BA83="121-365 Days",VLOOKUP(D83,[3]Standard!$B$9:$L$101,11,FALSE),VLOOKUP(D83,[3]Standard!$B$9:$M$101,12,FALSE)))),0)</f>
        <v>782100</v>
      </c>
      <c r="M83" s="269">
        <f>IFERROR(VLOOKUP((D83&amp;C83)&amp;"",'[2]Retail Price List'!$C$4:$F$102,4,FALSE),"")</f>
        <v>1007500</v>
      </c>
      <c r="N83" s="269">
        <f>IFERROR(IF(BA83="WIP - 30 Days",VLOOKUP(D83,[3]Extended!$B$9:$E$101,4,FALSE),IF(BA83="31-120 Days",VLOOKUP(D83,[3]Extended!$B$9:$F$101,5,FALSE),IF(BA83="121-365 Days",VLOOKUP(D83,[3]Extended!$B$9:$G$101,6,FALSE),VLOOKUP(D83,[3]Extended!$B$9:$H$101,7,FALSE)))),0)</f>
        <v>850934.5</v>
      </c>
      <c r="O83" s="269">
        <f>IFERROR(IF(BA83="WIP - 30 Days",VLOOKUP(D83,[3]Extended!$B$9:$J$101,9,FALSE),IF(BA83="31-120 Days",VLOOKUP(D83,[3]Extended!$B$9:$K$101,10,FALSE),IF(BA83="121-365 Days",VLOOKUP(D83,[3]Extended!$B$9:$L$101,11,FALSE),VLOOKUP(D83,[3]Extended!$B$9:$M$101,12,FALSE)))),0)</f>
        <v>826150</v>
      </c>
      <c r="P83" s="116">
        <f t="shared" si="6"/>
        <v>0.18</v>
      </c>
      <c r="Q83" s="110" t="e">
        <f>O83-#REF!</f>
        <v>#REF!</v>
      </c>
      <c r="W83" s="311"/>
      <c r="X83" s="311"/>
      <c r="Y83" s="311"/>
      <c r="Z83" s="311"/>
      <c r="AA83" s="311"/>
      <c r="AB83" s="311"/>
      <c r="AC83" s="311"/>
      <c r="AT83" s="88" t="str">
        <f t="shared" si="7"/>
        <v>KP0005162017Q214,7</v>
      </c>
      <c r="AU83" s="89" t="str">
        <f t="shared" si="8"/>
        <v>06-2017</v>
      </c>
      <c r="BA83" s="92" t="str">
        <f t="shared" si="9"/>
        <v>WIP - 30 Days</v>
      </c>
    </row>
    <row r="84" spans="1:56">
      <c r="B84" s="60" t="str">
        <f>[2]Trucks!A81</f>
        <v>MC6-3808</v>
      </c>
      <c r="C84" s="11" t="str">
        <f>[2]Trucks!B81</f>
        <v>CLA-26-2806X4BB-C-K</v>
      </c>
      <c r="D84" s="19" t="str">
        <f>IFERROR(VLOOKUP(C84&amp;"",'[2]Retail Price List'!$A$3:$B$103,2,FALSE),"Special Order")</f>
        <v>KP000516</v>
      </c>
      <c r="E84" s="18" t="str">
        <f>[2]Trucks!J81</f>
        <v>CKD</v>
      </c>
      <c r="F84" s="12" t="str">
        <f>[2]Trucks!E81</f>
        <v>2017-12-31</v>
      </c>
      <c r="G84" s="56">
        <f>[2]Trucks!K81</f>
        <v>14.7</v>
      </c>
      <c r="H84" s="46">
        <f>[2]Trucks!I81</f>
        <v>42900</v>
      </c>
      <c r="I84" s="83" t="str">
        <f t="shared" si="5"/>
        <v>2017Q2</v>
      </c>
      <c r="J84" s="272">
        <f>IFERROR(VLOOKUP((D84&amp;C84)&amp;"",'[2]Retail Price List'!$C$4:$F$102,3,FALSE),"")</f>
        <v>990000</v>
      </c>
      <c r="K84" s="272">
        <f>IFERROR(IF(BA84="WIP - 30 Days",VLOOKUP(D84,[3]Standard!$B$9:$E$101,4,FALSE),IF(BA84="31-120 Days",VLOOKUP(D84,[3]Standard!$B$9:$F$101,5,FALSE),IF(BA84="121-365 Days",VLOOKUP(D84,[3]Standard!$B$9:$G$101,6,FALSE),VLOOKUP(D84,[3]Standard!$B$9:$H$101,7,FALSE)))),0)</f>
        <v>805563</v>
      </c>
      <c r="L84" s="272">
        <f>IFERROR(IF(BA84="WIP - 30 Days",VLOOKUP(D84,[3]Standard!$B$9:$J$101,9,FALSE),IF(BA84="31-120 Days",VLOOKUP(D84,[3]Standard!$B$9:$K$100,10,FALSE),IF(BA84="121-365 Days",VLOOKUP(D84,[3]Standard!$B$9:$L$101,11,FALSE),VLOOKUP(D84,[3]Standard!$B$9:$M$101,12,FALSE)))),0)</f>
        <v>782100</v>
      </c>
      <c r="M84" s="269">
        <f>IFERROR(VLOOKUP((D84&amp;C84)&amp;"",'[2]Retail Price List'!$C$4:$F$102,4,FALSE),"")</f>
        <v>1007500</v>
      </c>
      <c r="N84" s="269">
        <f>IFERROR(IF(BA84="WIP - 30 Days",VLOOKUP(D84,[3]Extended!$B$9:$E$101,4,FALSE),IF(BA84="31-120 Days",VLOOKUP(D84,[3]Extended!$B$9:$F$101,5,FALSE),IF(BA84="121-365 Days",VLOOKUP(D84,[3]Extended!$B$9:$G$101,6,FALSE),VLOOKUP(D84,[3]Extended!$B$9:$H$101,7,FALSE)))),0)</f>
        <v>850934.5</v>
      </c>
      <c r="O84" s="269">
        <f>IFERROR(IF(BA84="WIP - 30 Days",VLOOKUP(D84,[3]Extended!$B$9:$J$101,9,FALSE),IF(BA84="31-120 Days",VLOOKUP(D84,[3]Extended!$B$9:$K$101,10,FALSE),IF(BA84="121-365 Days",VLOOKUP(D84,[3]Extended!$B$9:$L$101,11,FALSE),VLOOKUP(D84,[3]Extended!$B$9:$M$101,12,FALSE)))),0)</f>
        <v>826150</v>
      </c>
      <c r="P84" s="116">
        <f t="shared" si="6"/>
        <v>0.18</v>
      </c>
      <c r="Q84" s="110" t="e">
        <f>O84-#REF!</f>
        <v>#REF!</v>
      </c>
      <c r="W84" s="311"/>
      <c r="X84" s="311"/>
      <c r="Y84" s="311"/>
      <c r="Z84" s="311"/>
      <c r="AA84" s="311"/>
      <c r="AB84" s="311"/>
      <c r="AC84" s="311"/>
      <c r="AT84" s="88" t="str">
        <f t="shared" si="7"/>
        <v>KP0005162017Q214,7</v>
      </c>
      <c r="AU84" s="89" t="str">
        <f t="shared" si="8"/>
        <v>06-2017</v>
      </c>
      <c r="BA84" s="92" t="str">
        <f t="shared" si="9"/>
        <v>WIP - 30 Days</v>
      </c>
    </row>
    <row r="85" spans="1:56">
      <c r="B85" s="60" t="str">
        <f>[2]Trucks!A82</f>
        <v>MC6-3809</v>
      </c>
      <c r="C85" s="11" t="str">
        <f>[2]Trucks!B82</f>
        <v>CLA-26-2806X4BB-C-K</v>
      </c>
      <c r="D85" s="19" t="str">
        <f>IFERROR(VLOOKUP(C85&amp;"",'[2]Retail Price List'!$A$3:$B$103,2,FALSE),"Special Order")</f>
        <v>KP000516</v>
      </c>
      <c r="E85" s="18" t="str">
        <f>[2]Trucks!J82</f>
        <v>CKD</v>
      </c>
      <c r="F85" s="12" t="str">
        <f>[2]Trucks!E82</f>
        <v>2017-12-31</v>
      </c>
      <c r="G85" s="56">
        <f>[2]Trucks!K82</f>
        <v>14.7</v>
      </c>
      <c r="H85" s="46">
        <f>[2]Trucks!I82</f>
        <v>42900</v>
      </c>
      <c r="I85" s="83" t="str">
        <f t="shared" si="5"/>
        <v>2017Q2</v>
      </c>
      <c r="J85" s="272">
        <f>IFERROR(VLOOKUP((D85&amp;C85)&amp;"",'[2]Retail Price List'!$C$4:$F$102,3,FALSE),"")</f>
        <v>990000</v>
      </c>
      <c r="K85" s="272">
        <f>IFERROR(IF(BA85="WIP - 30 Days",VLOOKUP(D85,[3]Standard!$B$9:$E$101,4,FALSE),IF(BA85="31-120 Days",VLOOKUP(D85,[3]Standard!$B$9:$F$101,5,FALSE),IF(BA85="121-365 Days",VLOOKUP(D85,[3]Standard!$B$9:$G$101,6,FALSE),VLOOKUP(D85,[3]Standard!$B$9:$H$101,7,FALSE)))),0)</f>
        <v>805563</v>
      </c>
      <c r="L85" s="272">
        <f>IFERROR(IF(BA85="WIP - 30 Days",VLOOKUP(D85,[3]Standard!$B$9:$J$101,9,FALSE),IF(BA85="31-120 Days",VLOOKUP(D85,[3]Standard!$B$9:$K$100,10,FALSE),IF(BA85="121-365 Days",VLOOKUP(D85,[3]Standard!$B$9:$L$101,11,FALSE),VLOOKUP(D85,[3]Standard!$B$9:$M$101,12,FALSE)))),0)</f>
        <v>782100</v>
      </c>
      <c r="M85" s="269">
        <f>IFERROR(VLOOKUP((D85&amp;C85)&amp;"",'[2]Retail Price List'!$C$4:$F$102,4,FALSE),"")</f>
        <v>1007500</v>
      </c>
      <c r="N85" s="269">
        <f>IFERROR(IF(BA85="WIP - 30 Days",VLOOKUP(D85,[3]Extended!$B$9:$E$101,4,FALSE),IF(BA85="31-120 Days",VLOOKUP(D85,[3]Extended!$B$9:$F$101,5,FALSE),IF(BA85="121-365 Days",VLOOKUP(D85,[3]Extended!$B$9:$G$101,6,FALSE),VLOOKUP(D85,[3]Extended!$B$9:$H$101,7,FALSE)))),0)</f>
        <v>850934.5</v>
      </c>
      <c r="O85" s="269">
        <f>IFERROR(IF(BA85="WIP - 30 Days",VLOOKUP(D85,[3]Extended!$B$9:$J$101,9,FALSE),IF(BA85="31-120 Days",VLOOKUP(D85,[3]Extended!$B$9:$K$101,10,FALSE),IF(BA85="121-365 Days",VLOOKUP(D85,[3]Extended!$B$9:$L$101,11,FALSE),VLOOKUP(D85,[3]Extended!$B$9:$M$101,12,FALSE)))),0)</f>
        <v>826150</v>
      </c>
      <c r="P85" s="116">
        <f t="shared" si="6"/>
        <v>0.18</v>
      </c>
      <c r="Q85" s="110" t="e">
        <f>O85-#REF!</f>
        <v>#REF!</v>
      </c>
      <c r="W85" s="311"/>
      <c r="X85" s="311"/>
      <c r="Y85" s="311"/>
      <c r="Z85" s="311"/>
      <c r="AA85" s="311"/>
      <c r="AB85" s="311"/>
      <c r="AC85" s="311"/>
      <c r="AT85" s="88" t="str">
        <f t="shared" si="7"/>
        <v>KP0005162017Q214,7</v>
      </c>
      <c r="AU85" s="89" t="str">
        <f t="shared" si="8"/>
        <v>06-2017</v>
      </c>
      <c r="BA85" s="92" t="str">
        <f t="shared" si="9"/>
        <v>WIP - 30 Days</v>
      </c>
    </row>
    <row r="86" spans="1:56">
      <c r="B86" s="60" t="str">
        <f>[2]Trucks!A83</f>
        <v>MC6-3810</v>
      </c>
      <c r="C86" s="11" t="str">
        <f>[2]Trucks!B83</f>
        <v>CLA-26-2806X4BB-C-K</v>
      </c>
      <c r="D86" s="19" t="str">
        <f>IFERROR(VLOOKUP(C86&amp;"",'[2]Retail Price List'!$A$3:$B$103,2,FALSE),"Special Order")</f>
        <v>KP000516</v>
      </c>
      <c r="E86" s="18" t="str">
        <f>[2]Trucks!J83</f>
        <v>CKD</v>
      </c>
      <c r="F86" s="12" t="str">
        <f>[2]Trucks!E83</f>
        <v>2017-12-31</v>
      </c>
      <c r="G86" s="56">
        <f>[2]Trucks!K83</f>
        <v>14.7</v>
      </c>
      <c r="H86" s="46">
        <f>[2]Trucks!I83</f>
        <v>42900</v>
      </c>
      <c r="I86" s="83" t="str">
        <f t="shared" si="5"/>
        <v>2017Q2</v>
      </c>
      <c r="J86" s="272">
        <f>IFERROR(VLOOKUP((D86&amp;C86)&amp;"",'[2]Retail Price List'!$C$4:$F$102,3,FALSE),"")</f>
        <v>990000</v>
      </c>
      <c r="K86" s="272">
        <f>IFERROR(IF(BA86="WIP - 30 Days",VLOOKUP(D86,[3]Standard!$B$9:$E$101,4,FALSE),IF(BA86="31-120 Days",VLOOKUP(D86,[3]Standard!$B$9:$F$101,5,FALSE),IF(BA86="121-365 Days",VLOOKUP(D86,[3]Standard!$B$9:$G$101,6,FALSE),VLOOKUP(D86,[3]Standard!$B$9:$H$101,7,FALSE)))),0)</f>
        <v>805563</v>
      </c>
      <c r="L86" s="272">
        <f>IFERROR(IF(BA86="WIP - 30 Days",VLOOKUP(D86,[3]Standard!$B$9:$J$101,9,FALSE),IF(BA86="31-120 Days",VLOOKUP(D86,[3]Standard!$B$9:$K$100,10,FALSE),IF(BA86="121-365 Days",VLOOKUP(D86,[3]Standard!$B$9:$L$101,11,FALSE),VLOOKUP(D86,[3]Standard!$B$9:$M$101,12,FALSE)))),0)</f>
        <v>782100</v>
      </c>
      <c r="M86" s="269">
        <f>IFERROR(VLOOKUP((D86&amp;C86)&amp;"",'[2]Retail Price List'!$C$4:$F$102,4,FALSE),"")</f>
        <v>1007500</v>
      </c>
      <c r="N86" s="269">
        <f>IFERROR(IF(BA86="WIP - 30 Days",VLOOKUP(D86,[3]Extended!$B$9:$E$101,4,FALSE),IF(BA86="31-120 Days",VLOOKUP(D86,[3]Extended!$B$9:$F$101,5,FALSE),IF(BA86="121-365 Days",VLOOKUP(D86,[3]Extended!$B$9:$G$101,6,FALSE),VLOOKUP(D86,[3]Extended!$B$9:$H$101,7,FALSE)))),0)</f>
        <v>850934.5</v>
      </c>
      <c r="O86" s="269">
        <f>IFERROR(IF(BA86="WIP - 30 Days",VLOOKUP(D86,[3]Extended!$B$9:$J$101,9,FALSE),IF(BA86="31-120 Days",VLOOKUP(D86,[3]Extended!$B$9:$K$101,10,FALSE),IF(BA86="121-365 Days",VLOOKUP(D86,[3]Extended!$B$9:$L$101,11,FALSE),VLOOKUP(D86,[3]Extended!$B$9:$M$101,12,FALSE)))),0)</f>
        <v>826150</v>
      </c>
      <c r="P86" s="116">
        <f t="shared" si="6"/>
        <v>0.18</v>
      </c>
      <c r="Q86" s="110" t="e">
        <f>O86-#REF!</f>
        <v>#REF!</v>
      </c>
      <c r="W86" s="311"/>
      <c r="X86" s="311"/>
      <c r="Y86" s="311"/>
      <c r="Z86" s="311"/>
      <c r="AA86" s="311"/>
      <c r="AB86" s="311"/>
      <c r="AC86" s="311"/>
      <c r="AT86" s="88" t="str">
        <f t="shared" si="7"/>
        <v>KP0005162017Q214,7</v>
      </c>
      <c r="AU86" s="89" t="str">
        <f t="shared" si="8"/>
        <v>06-2017</v>
      </c>
      <c r="BA86" s="92" t="str">
        <f t="shared" si="9"/>
        <v>WIP - 30 Days</v>
      </c>
    </row>
    <row r="87" spans="1:56">
      <c r="B87" s="60" t="str">
        <f>[2]Trucks!A84</f>
        <v>MC6-3811</v>
      </c>
      <c r="C87" s="11" t="str">
        <f>[2]Trucks!B84</f>
        <v>CLA-26-2806X4BB-C-K</v>
      </c>
      <c r="D87" s="19" t="str">
        <f>IFERROR(VLOOKUP(C87&amp;"",'[2]Retail Price List'!$A$3:$B$103,2,FALSE),"Special Order")</f>
        <v>KP000516</v>
      </c>
      <c r="E87" s="18" t="str">
        <f>[2]Trucks!J84</f>
        <v>CKD</v>
      </c>
      <c r="F87" s="12" t="str">
        <f>[2]Trucks!E84</f>
        <v>2017-12-31</v>
      </c>
      <c r="G87" s="56">
        <f>[2]Trucks!K84</f>
        <v>14.7</v>
      </c>
      <c r="H87" s="46">
        <f>[2]Trucks!I84</f>
        <v>42900</v>
      </c>
      <c r="I87" s="83" t="str">
        <f t="shared" si="5"/>
        <v>2017Q2</v>
      </c>
      <c r="J87" s="272">
        <f>IFERROR(VLOOKUP((D87&amp;C87)&amp;"",'[2]Retail Price List'!$C$4:$F$102,3,FALSE),"")</f>
        <v>990000</v>
      </c>
      <c r="K87" s="272">
        <f>IFERROR(IF(BA87="WIP - 30 Days",VLOOKUP(D87,[3]Standard!$B$9:$E$101,4,FALSE),IF(BA87="31-120 Days",VLOOKUP(D87,[3]Standard!$B$9:$F$101,5,FALSE),IF(BA87="121-365 Days",VLOOKUP(D87,[3]Standard!$B$9:$G$101,6,FALSE),VLOOKUP(D87,[3]Standard!$B$9:$H$101,7,FALSE)))),0)</f>
        <v>805563</v>
      </c>
      <c r="L87" s="272">
        <f>IFERROR(IF(BA87="WIP - 30 Days",VLOOKUP(D87,[3]Standard!$B$9:$J$101,9,FALSE),IF(BA87="31-120 Days",VLOOKUP(D87,[3]Standard!$B$9:$K$100,10,FALSE),IF(BA87="121-365 Days",VLOOKUP(D87,[3]Standard!$B$9:$L$101,11,FALSE),VLOOKUP(D87,[3]Standard!$B$9:$M$101,12,FALSE)))),0)</f>
        <v>782100</v>
      </c>
      <c r="M87" s="269">
        <f>IFERROR(VLOOKUP((D87&amp;C87)&amp;"",'[2]Retail Price List'!$C$4:$F$102,4,FALSE),"")</f>
        <v>1007500</v>
      </c>
      <c r="N87" s="269">
        <f>IFERROR(IF(BA87="WIP - 30 Days",VLOOKUP(D87,[3]Extended!$B$9:$E$101,4,FALSE),IF(BA87="31-120 Days",VLOOKUP(D87,[3]Extended!$B$9:$F$101,5,FALSE),IF(BA87="121-365 Days",VLOOKUP(D87,[3]Extended!$B$9:$G$101,6,FALSE),VLOOKUP(D87,[3]Extended!$B$9:$H$101,7,FALSE)))),0)</f>
        <v>850934.5</v>
      </c>
      <c r="O87" s="269">
        <f>IFERROR(IF(BA87="WIP - 30 Days",VLOOKUP(D87,[3]Extended!$B$9:$J$101,9,FALSE),IF(BA87="31-120 Days",VLOOKUP(D87,[3]Extended!$B$9:$K$101,10,FALSE),IF(BA87="121-365 Days",VLOOKUP(D87,[3]Extended!$B$9:$L$101,11,FALSE),VLOOKUP(D87,[3]Extended!$B$9:$M$101,12,FALSE)))),0)</f>
        <v>826150</v>
      </c>
      <c r="P87" s="116">
        <f t="shared" si="6"/>
        <v>0.18</v>
      </c>
      <c r="Q87" s="110" t="e">
        <f>O87-#REF!</f>
        <v>#REF!</v>
      </c>
      <c r="W87" s="311"/>
      <c r="X87" s="311"/>
      <c r="Y87" s="311"/>
      <c r="Z87" s="311"/>
      <c r="AA87" s="311"/>
      <c r="AB87" s="311"/>
      <c r="AC87" s="311"/>
      <c r="AT87" s="88" t="str">
        <f t="shared" si="7"/>
        <v>KP0005162017Q214,7</v>
      </c>
      <c r="AU87" s="89" t="str">
        <f t="shared" si="8"/>
        <v>06-2017</v>
      </c>
      <c r="BA87" s="92" t="str">
        <f t="shared" si="9"/>
        <v>WIP - 30 Days</v>
      </c>
    </row>
    <row r="88" spans="1:56" s="4" customFormat="1">
      <c r="A88" s="69"/>
      <c r="B88" s="60" t="str">
        <f>[2]Trucks!A85</f>
        <v>MC6-3812</v>
      </c>
      <c r="C88" s="11" t="str">
        <f>[2]Trucks!B85</f>
        <v>CLA-26-2806X4BB-C-K</v>
      </c>
      <c r="D88" s="19" t="str">
        <f>IFERROR(VLOOKUP(C88&amp;"",'[2]Retail Price List'!$A$3:$B$103,2,FALSE),"Special Order")</f>
        <v>KP000516</v>
      </c>
      <c r="E88" s="18" t="str">
        <f>[2]Trucks!J85</f>
        <v>CKD</v>
      </c>
      <c r="F88" s="12" t="str">
        <f>[2]Trucks!E85</f>
        <v>2017-12-31</v>
      </c>
      <c r="G88" s="56">
        <f>[2]Trucks!K85</f>
        <v>14.7</v>
      </c>
      <c r="H88" s="46">
        <f>[2]Trucks!I85</f>
        <v>42900</v>
      </c>
      <c r="I88" s="83" t="str">
        <f t="shared" si="5"/>
        <v>2017Q2</v>
      </c>
      <c r="J88" s="272">
        <f>IFERROR(VLOOKUP((D88&amp;C88)&amp;"",'[2]Retail Price List'!$C$4:$F$102,3,FALSE),"")</f>
        <v>990000</v>
      </c>
      <c r="K88" s="272">
        <f>IFERROR(IF(BA88="WIP - 30 Days",VLOOKUP(D88,[3]Standard!$B$9:$E$101,4,FALSE),IF(BA88="31-120 Days",VLOOKUP(D88,[3]Standard!$B$9:$F$101,5,FALSE),IF(BA88="121-365 Days",VLOOKUP(D88,[3]Standard!$B$9:$G$101,6,FALSE),VLOOKUP(D88,[3]Standard!$B$9:$H$101,7,FALSE)))),0)</f>
        <v>805563</v>
      </c>
      <c r="L88" s="272">
        <f>IFERROR(IF(BA88="WIP - 30 Days",VLOOKUP(D88,[3]Standard!$B$9:$J$101,9,FALSE),IF(BA88="31-120 Days",VLOOKUP(D88,[3]Standard!$B$9:$K$100,10,FALSE),IF(BA88="121-365 Days",VLOOKUP(D88,[3]Standard!$B$9:$L$101,11,FALSE),VLOOKUP(D88,[3]Standard!$B$9:$M$101,12,FALSE)))),0)</f>
        <v>782100</v>
      </c>
      <c r="M88" s="269">
        <f>IFERROR(VLOOKUP((D88&amp;C88)&amp;"",'[2]Retail Price List'!$C$4:$F$102,4,FALSE),"")</f>
        <v>1007500</v>
      </c>
      <c r="N88" s="269">
        <f>IFERROR(IF(BA88="WIP - 30 Days",VLOOKUP(D88,[3]Extended!$B$9:$E$101,4,FALSE),IF(BA88="31-120 Days",VLOOKUP(D88,[3]Extended!$B$9:$F$101,5,FALSE),IF(BA88="121-365 Days",VLOOKUP(D88,[3]Extended!$B$9:$G$101,6,FALSE),VLOOKUP(D88,[3]Extended!$B$9:$H$101,7,FALSE)))),0)</f>
        <v>850934.5</v>
      </c>
      <c r="O88" s="269">
        <f>IFERROR(IF(BA88="WIP - 30 Days",VLOOKUP(D88,[3]Extended!$B$9:$J$101,9,FALSE),IF(BA88="31-120 Days",VLOOKUP(D88,[3]Extended!$B$9:$K$101,10,FALSE),IF(BA88="121-365 Days",VLOOKUP(D88,[3]Extended!$B$9:$L$101,11,FALSE),VLOOKUP(D88,[3]Extended!$B$9:$M$101,12,FALSE)))),0)</f>
        <v>826150</v>
      </c>
      <c r="P88" s="116">
        <f t="shared" si="6"/>
        <v>0.18</v>
      </c>
      <c r="Q88" s="110" t="e">
        <f>O88-#REF!</f>
        <v>#REF!</v>
      </c>
      <c r="R88" s="111" t="e">
        <f>SUM(Q5:Q87)/SUM(O5:O87)</f>
        <v>#REF!</v>
      </c>
      <c r="S88" s="112"/>
      <c r="T88" s="112"/>
      <c r="U88" s="112"/>
      <c r="V88" s="112"/>
      <c r="W88" s="311"/>
      <c r="X88" s="311"/>
      <c r="Y88" s="311"/>
      <c r="Z88" s="311"/>
      <c r="AA88" s="311"/>
      <c r="AB88" s="311"/>
      <c r="AC88" s="311"/>
      <c r="AD88" s="89"/>
      <c r="AE88" s="89"/>
      <c r="AF88" s="89"/>
      <c r="AG88" s="5"/>
      <c r="AH88" s="5"/>
      <c r="AI88" s="5"/>
      <c r="AJ88" s="5"/>
      <c r="AK88" s="5"/>
      <c r="AL88" s="5"/>
      <c r="AM88" s="5"/>
      <c r="AN88" s="5"/>
      <c r="AO88" s="5"/>
      <c r="AP88" s="5"/>
      <c r="AQ88" s="5"/>
      <c r="AR88" s="5"/>
      <c r="AS88" s="5"/>
      <c r="AT88" s="88" t="str">
        <f t="shared" si="7"/>
        <v>KP0005162017Q214,7</v>
      </c>
      <c r="AU88" s="89" t="str">
        <f t="shared" si="8"/>
        <v>06-2017</v>
      </c>
      <c r="AV88" s="89"/>
      <c r="AW88" s="89"/>
      <c r="AX88" s="89"/>
      <c r="AY88" s="89"/>
      <c r="AZ88" s="89"/>
      <c r="BA88" s="92" t="str">
        <f t="shared" si="9"/>
        <v>WIP - 30 Days</v>
      </c>
      <c r="BB88" s="89"/>
      <c r="BC88" s="97"/>
      <c r="BD88" s="97"/>
    </row>
    <row r="89" spans="1:56">
      <c r="B89" s="60" t="str">
        <f>[2]Trucks!A86</f>
        <v>MC6-3813</v>
      </c>
      <c r="C89" s="11" t="str">
        <f>[2]Trucks!B86</f>
        <v>CLA-26-2806X4BB-C-K</v>
      </c>
      <c r="D89" s="19" t="str">
        <f>IFERROR(VLOOKUP(C89&amp;"",'[2]Retail Price List'!$A$3:$B$103,2,FALSE),"Special Order")</f>
        <v>KP000516</v>
      </c>
      <c r="E89" s="18" t="str">
        <f>[2]Trucks!J86</f>
        <v>CKD</v>
      </c>
      <c r="F89" s="12" t="str">
        <f>[2]Trucks!E86</f>
        <v>2017-12-31</v>
      </c>
      <c r="G89" s="56">
        <f>[2]Trucks!K86</f>
        <v>14.7</v>
      </c>
      <c r="H89" s="46">
        <f>[2]Trucks!I86</f>
        <v>42900</v>
      </c>
      <c r="I89" s="83" t="str">
        <f t="shared" si="5"/>
        <v>2017Q2</v>
      </c>
      <c r="J89" s="272">
        <f>IFERROR(VLOOKUP((D89&amp;C89)&amp;"",'[2]Retail Price List'!$C$4:$F$102,3,FALSE),"")</f>
        <v>990000</v>
      </c>
      <c r="K89" s="272">
        <f>IFERROR(IF(BA89="WIP - 30 Days",VLOOKUP(D89,[3]Standard!$B$9:$E$101,4,FALSE),IF(BA89="31-120 Days",VLOOKUP(D89,[3]Standard!$B$9:$F$101,5,FALSE),IF(BA89="121-365 Days",VLOOKUP(D89,[3]Standard!$B$9:$G$101,6,FALSE),VLOOKUP(D89,[3]Standard!$B$9:$H$101,7,FALSE)))),0)</f>
        <v>805563</v>
      </c>
      <c r="L89" s="272">
        <f>IFERROR(IF(BA89="WIP - 30 Days",VLOOKUP(D89,[3]Standard!$B$9:$J$101,9,FALSE),IF(BA89="31-120 Days",VLOOKUP(D89,[3]Standard!$B$9:$K$100,10,FALSE),IF(BA89="121-365 Days",VLOOKUP(D89,[3]Standard!$B$9:$L$101,11,FALSE),VLOOKUP(D89,[3]Standard!$B$9:$M$101,12,FALSE)))),0)</f>
        <v>782100</v>
      </c>
      <c r="M89" s="269">
        <f>IFERROR(VLOOKUP((D89&amp;C89)&amp;"",'[2]Retail Price List'!$C$4:$F$102,4,FALSE),"")</f>
        <v>1007500</v>
      </c>
      <c r="N89" s="269">
        <f>IFERROR(IF(BA89="WIP - 30 Days",VLOOKUP(D89,[3]Extended!$B$9:$E$101,4,FALSE),IF(BA89="31-120 Days",VLOOKUP(D89,[3]Extended!$B$9:$F$101,5,FALSE),IF(BA89="121-365 Days",VLOOKUP(D89,[3]Extended!$B$9:$G$101,6,FALSE),VLOOKUP(D89,[3]Extended!$B$9:$H$101,7,FALSE)))),0)</f>
        <v>850934.5</v>
      </c>
      <c r="O89" s="269">
        <f>IFERROR(IF(BA89="WIP - 30 Days",VLOOKUP(D89,[3]Extended!$B$9:$J$101,9,FALSE),IF(BA89="31-120 Days",VLOOKUP(D89,[3]Extended!$B$9:$K$101,10,FALSE),IF(BA89="121-365 Days",VLOOKUP(D89,[3]Extended!$B$9:$L$101,11,FALSE),VLOOKUP(D89,[3]Extended!$B$9:$M$101,12,FALSE)))),0)</f>
        <v>826150</v>
      </c>
      <c r="P89" s="116">
        <f t="shared" si="6"/>
        <v>0.18</v>
      </c>
      <c r="Q89" s="110" t="e">
        <f>O89-#REF!</f>
        <v>#REF!</v>
      </c>
      <c r="S89" s="112" t="s">
        <v>9</v>
      </c>
      <c r="T89" s="112" t="s">
        <v>10</v>
      </c>
      <c r="U89" s="112" t="s">
        <v>11</v>
      </c>
      <c r="W89" s="311"/>
      <c r="X89" s="311"/>
      <c r="Y89" s="311"/>
      <c r="Z89" s="311"/>
      <c r="AA89" s="311"/>
      <c r="AB89" s="311"/>
      <c r="AC89" s="311"/>
      <c r="AT89" s="88" t="str">
        <f t="shared" si="7"/>
        <v>KP0005162017Q214,7</v>
      </c>
      <c r="AU89" s="89" t="str">
        <f t="shared" si="8"/>
        <v>06-2017</v>
      </c>
      <c r="BA89" s="92" t="str">
        <f t="shared" si="9"/>
        <v>WIP - 30 Days</v>
      </c>
    </row>
    <row r="90" spans="1:56">
      <c r="B90" s="60" t="str">
        <f>[2]Trucks!A87</f>
        <v>MC6-3814</v>
      </c>
      <c r="C90" s="11" t="str">
        <f>[2]Trucks!B87</f>
        <v>CLA-26-2806X4BB-C-K</v>
      </c>
      <c r="D90" s="19" t="str">
        <f>IFERROR(VLOOKUP(C90&amp;"",'[2]Retail Price List'!$A$3:$B$103,2,FALSE),"Special Order")</f>
        <v>KP000516</v>
      </c>
      <c r="E90" s="18" t="str">
        <f>[2]Trucks!J87</f>
        <v>CKD</v>
      </c>
      <c r="F90" s="12" t="str">
        <f>[2]Trucks!E87</f>
        <v>2017-12-31</v>
      </c>
      <c r="G90" s="56">
        <f>[2]Trucks!K87</f>
        <v>14.7</v>
      </c>
      <c r="H90" s="46">
        <f>[2]Trucks!I87</f>
        <v>42900</v>
      </c>
      <c r="I90" s="83" t="str">
        <f t="shared" si="5"/>
        <v>2017Q2</v>
      </c>
      <c r="J90" s="272">
        <f>IFERROR(VLOOKUP((D90&amp;C90)&amp;"",'[2]Retail Price List'!$C$4:$F$102,3,FALSE),"")</f>
        <v>990000</v>
      </c>
      <c r="K90" s="272">
        <f>IFERROR(IF(BA90="WIP - 30 Days",VLOOKUP(D90,[3]Standard!$B$9:$E$101,4,FALSE),IF(BA90="31-120 Days",VLOOKUP(D90,[3]Standard!$B$9:$F$101,5,FALSE),IF(BA90="121-365 Days",VLOOKUP(D90,[3]Standard!$B$9:$G$101,6,FALSE),VLOOKUP(D90,[3]Standard!$B$9:$H$101,7,FALSE)))),0)</f>
        <v>805563</v>
      </c>
      <c r="L90" s="272">
        <f>IFERROR(IF(BA90="WIP - 30 Days",VLOOKUP(D90,[3]Standard!$B$9:$J$101,9,FALSE),IF(BA90="31-120 Days",VLOOKUP(D90,[3]Standard!$B$9:$K$100,10,FALSE),IF(BA90="121-365 Days",VLOOKUP(D90,[3]Standard!$B$9:$L$101,11,FALSE),VLOOKUP(D90,[3]Standard!$B$9:$M$101,12,FALSE)))),0)</f>
        <v>782100</v>
      </c>
      <c r="M90" s="269">
        <f>IFERROR(VLOOKUP((D90&amp;C90)&amp;"",'[2]Retail Price List'!$C$4:$F$102,4,FALSE),"")</f>
        <v>1007500</v>
      </c>
      <c r="N90" s="269">
        <f>IFERROR(IF(BA90="WIP - 30 Days",VLOOKUP(D90,[3]Extended!$B$9:$E$101,4,FALSE),IF(BA90="31-120 Days",VLOOKUP(D90,[3]Extended!$B$9:$F$101,5,FALSE),IF(BA90="121-365 Days",VLOOKUP(D90,[3]Extended!$B$9:$G$101,6,FALSE),VLOOKUP(D90,[3]Extended!$B$9:$H$101,7,FALSE)))),0)</f>
        <v>850934.5</v>
      </c>
      <c r="O90" s="269">
        <f>IFERROR(IF(BA90="WIP - 30 Days",VLOOKUP(D90,[3]Extended!$B$9:$J$101,9,FALSE),IF(BA90="31-120 Days",VLOOKUP(D90,[3]Extended!$B$9:$K$101,10,FALSE),IF(BA90="121-365 Days",VLOOKUP(D90,[3]Extended!$B$9:$L$101,11,FALSE),VLOOKUP(D90,[3]Extended!$B$9:$M$101,12,FALSE)))),0)</f>
        <v>826150</v>
      </c>
      <c r="P90" s="116">
        <f t="shared" si="6"/>
        <v>0.18</v>
      </c>
      <c r="Q90" s="110" t="e">
        <f>O90-#REF!</f>
        <v>#REF!</v>
      </c>
      <c r="W90" s="311"/>
      <c r="X90" s="311"/>
      <c r="Y90" s="311"/>
      <c r="Z90" s="311"/>
      <c r="AA90" s="311"/>
      <c r="AB90" s="311"/>
      <c r="AC90" s="311"/>
      <c r="AT90" s="88" t="str">
        <f t="shared" si="7"/>
        <v>KP0005162017Q214,7</v>
      </c>
      <c r="AU90" s="89" t="str">
        <f t="shared" si="8"/>
        <v>06-2017</v>
      </c>
      <c r="BA90" s="92" t="str">
        <f t="shared" si="9"/>
        <v>WIP - 30 Days</v>
      </c>
    </row>
    <row r="91" spans="1:56">
      <c r="B91" s="60" t="str">
        <f>[2]Trucks!A88</f>
        <v>MC6-3815</v>
      </c>
      <c r="C91" s="11" t="str">
        <f>[2]Trucks!B88</f>
        <v>CLA-26-2806X4BB-C-K</v>
      </c>
      <c r="D91" s="19" t="str">
        <f>IFERROR(VLOOKUP(C91&amp;"",'[2]Retail Price List'!$A$3:$B$103,2,FALSE),"Special Order")</f>
        <v>KP000516</v>
      </c>
      <c r="E91" s="18" t="str">
        <f>[2]Trucks!J88</f>
        <v>CKD</v>
      </c>
      <c r="F91" s="12" t="str">
        <f>[2]Trucks!E88</f>
        <v>2017-12-31</v>
      </c>
      <c r="G91" s="56">
        <f>[2]Trucks!K88</f>
        <v>14.7</v>
      </c>
      <c r="H91" s="46">
        <f>[2]Trucks!I88</f>
        <v>42900</v>
      </c>
      <c r="I91" s="83" t="str">
        <f t="shared" si="5"/>
        <v>2017Q2</v>
      </c>
      <c r="J91" s="272">
        <f>IFERROR(VLOOKUP((D91&amp;C91)&amp;"",'[2]Retail Price List'!$C$4:$F$102,3,FALSE),"")</f>
        <v>990000</v>
      </c>
      <c r="K91" s="272">
        <f>IFERROR(IF(BA91="WIP - 30 Days",VLOOKUP(D91,[3]Standard!$B$9:$E$101,4,FALSE),IF(BA91="31-120 Days",VLOOKUP(D91,[3]Standard!$B$9:$F$101,5,FALSE),IF(BA91="121-365 Days",VLOOKUP(D91,[3]Standard!$B$9:$G$101,6,FALSE),VLOOKUP(D91,[3]Standard!$B$9:$H$101,7,FALSE)))),0)</f>
        <v>805563</v>
      </c>
      <c r="L91" s="272">
        <f>IFERROR(IF(BA91="WIP - 30 Days",VLOOKUP(D91,[3]Standard!$B$9:$J$101,9,FALSE),IF(BA91="31-120 Days",VLOOKUP(D91,[3]Standard!$B$9:$K$100,10,FALSE),IF(BA91="121-365 Days",VLOOKUP(D91,[3]Standard!$B$9:$L$101,11,FALSE),VLOOKUP(D91,[3]Standard!$B$9:$M$101,12,FALSE)))),0)</f>
        <v>782100</v>
      </c>
      <c r="M91" s="269">
        <f>IFERROR(VLOOKUP((D91&amp;C91)&amp;"",'[2]Retail Price List'!$C$4:$F$102,4,FALSE),"")</f>
        <v>1007500</v>
      </c>
      <c r="N91" s="269">
        <f>IFERROR(IF(BA91="WIP - 30 Days",VLOOKUP(D91,[3]Extended!$B$9:$E$101,4,FALSE),IF(BA91="31-120 Days",VLOOKUP(D91,[3]Extended!$B$9:$F$101,5,FALSE),IF(BA91="121-365 Days",VLOOKUP(D91,[3]Extended!$B$9:$G$101,6,FALSE),VLOOKUP(D91,[3]Extended!$B$9:$H$101,7,FALSE)))),0)</f>
        <v>850934.5</v>
      </c>
      <c r="O91" s="269">
        <f>IFERROR(IF(BA91="WIP - 30 Days",VLOOKUP(D91,[3]Extended!$B$9:$J$101,9,FALSE),IF(BA91="31-120 Days",VLOOKUP(D91,[3]Extended!$B$9:$K$101,10,FALSE),IF(BA91="121-365 Days",VLOOKUP(D91,[3]Extended!$B$9:$L$101,11,FALSE),VLOOKUP(D91,[3]Extended!$B$9:$M$101,12,FALSE)))),0)</f>
        <v>826150</v>
      </c>
      <c r="P91" s="116">
        <f t="shared" si="6"/>
        <v>0.18</v>
      </c>
      <c r="Q91" s="110" t="e">
        <f>O91-#REF!</f>
        <v>#REF!</v>
      </c>
      <c r="R91" s="265" t="s">
        <v>8</v>
      </c>
      <c r="S91" s="112">
        <v>11.2</v>
      </c>
      <c r="T91" s="112">
        <v>-1.8</v>
      </c>
      <c r="U91" s="112">
        <v>2.8</v>
      </c>
      <c r="W91" s="311"/>
      <c r="X91" s="311"/>
      <c r="Y91" s="311"/>
      <c r="Z91" s="311"/>
      <c r="AA91" s="311"/>
      <c r="AB91" s="311"/>
      <c r="AC91" s="311"/>
      <c r="AT91" s="88" t="str">
        <f t="shared" si="7"/>
        <v>KP0005162017Q214,7</v>
      </c>
      <c r="AU91" s="89" t="str">
        <f t="shared" si="8"/>
        <v>06-2017</v>
      </c>
      <c r="BA91" s="92" t="str">
        <f t="shared" si="9"/>
        <v>WIP - 30 Days</v>
      </c>
    </row>
    <row r="92" spans="1:56">
      <c r="B92" s="60" t="str">
        <f>[2]Trucks!A89</f>
        <v>MC6-3816</v>
      </c>
      <c r="C92" s="11" t="str">
        <f>[2]Trucks!B89</f>
        <v>CLA-26-2806X4BB-C-K</v>
      </c>
      <c r="D92" s="19" t="str">
        <f>IFERROR(VLOOKUP(C92&amp;"",'[2]Retail Price List'!$A$3:$B$103,2,FALSE),"Special Order")</f>
        <v>KP000516</v>
      </c>
      <c r="E92" s="18" t="str">
        <f>[2]Trucks!J89</f>
        <v>CKD</v>
      </c>
      <c r="F92" s="12" t="str">
        <f>[2]Trucks!E89</f>
        <v>2017-12-31</v>
      </c>
      <c r="G92" s="56">
        <f>[2]Trucks!K89</f>
        <v>14.7</v>
      </c>
      <c r="H92" s="46">
        <f>[2]Trucks!I89</f>
        <v>42900</v>
      </c>
      <c r="I92" s="83" t="str">
        <f t="shared" si="5"/>
        <v>2017Q2</v>
      </c>
      <c r="J92" s="272">
        <f>IFERROR(VLOOKUP((D92&amp;C92)&amp;"",'[2]Retail Price List'!$C$4:$F$102,3,FALSE),"")</f>
        <v>990000</v>
      </c>
      <c r="K92" s="272">
        <f>IFERROR(IF(BA92="WIP - 30 Days",VLOOKUP(D92,[3]Standard!$B$9:$E$101,4,FALSE),IF(BA92="31-120 Days",VLOOKUP(D92,[3]Standard!$B$9:$F$101,5,FALSE),IF(BA92="121-365 Days",VLOOKUP(D92,[3]Standard!$B$9:$G$101,6,FALSE),VLOOKUP(D92,[3]Standard!$B$9:$H$101,7,FALSE)))),0)</f>
        <v>805563</v>
      </c>
      <c r="L92" s="272">
        <f>IFERROR(IF(BA92="WIP - 30 Days",VLOOKUP(D92,[3]Standard!$B$9:$J$101,9,FALSE),IF(BA92="31-120 Days",VLOOKUP(D92,[3]Standard!$B$9:$K$100,10,FALSE),IF(BA92="121-365 Days",VLOOKUP(D92,[3]Standard!$B$9:$L$101,11,FALSE),VLOOKUP(D92,[3]Standard!$B$9:$M$101,12,FALSE)))),0)</f>
        <v>782100</v>
      </c>
      <c r="M92" s="269">
        <f>IFERROR(VLOOKUP((D92&amp;C92)&amp;"",'[2]Retail Price List'!$C$4:$F$102,4,FALSE),"")</f>
        <v>1007500</v>
      </c>
      <c r="N92" s="269">
        <f>IFERROR(IF(BA92="WIP - 30 Days",VLOOKUP(D92,[3]Extended!$B$9:$E$101,4,FALSE),IF(BA92="31-120 Days",VLOOKUP(D92,[3]Extended!$B$9:$F$101,5,FALSE),IF(BA92="121-365 Days",VLOOKUP(D92,[3]Extended!$B$9:$G$101,6,FALSE),VLOOKUP(D92,[3]Extended!$B$9:$H$101,7,FALSE)))),0)</f>
        <v>850934.5</v>
      </c>
      <c r="O92" s="269">
        <f>IFERROR(IF(BA92="WIP - 30 Days",VLOOKUP(D92,[3]Extended!$B$9:$J$101,9,FALSE),IF(BA92="31-120 Days",VLOOKUP(D92,[3]Extended!$B$9:$K$101,10,FALSE),IF(BA92="121-365 Days",VLOOKUP(D92,[3]Extended!$B$9:$L$101,11,FALSE),VLOOKUP(D92,[3]Extended!$B$9:$M$101,12,FALSE)))),0)</f>
        <v>826150</v>
      </c>
      <c r="P92" s="116">
        <f t="shared" si="6"/>
        <v>0.18</v>
      </c>
      <c r="Q92" s="110" t="e">
        <f>O92-#REF!</f>
        <v>#REF!</v>
      </c>
      <c r="R92" s="265" t="s">
        <v>12</v>
      </c>
      <c r="S92" s="112">
        <v>5.8</v>
      </c>
      <c r="T92" s="112">
        <v>2.7</v>
      </c>
      <c r="U92" s="112">
        <v>3.5</v>
      </c>
      <c r="W92" s="311"/>
      <c r="X92" s="311"/>
      <c r="Y92" s="311"/>
      <c r="Z92" s="311"/>
      <c r="AA92" s="311"/>
      <c r="AB92" s="311"/>
      <c r="AC92" s="311"/>
      <c r="AT92" s="88" t="str">
        <f t="shared" si="7"/>
        <v>KP0005162017Q214,7</v>
      </c>
      <c r="AU92" s="89" t="str">
        <f t="shared" si="8"/>
        <v>06-2017</v>
      </c>
      <c r="BA92" s="92" t="str">
        <f t="shared" si="9"/>
        <v>WIP - 30 Days</v>
      </c>
    </row>
    <row r="93" spans="1:56">
      <c r="B93" s="60" t="str">
        <f>[2]Trucks!A90</f>
        <v>MC6-3817</v>
      </c>
      <c r="C93" s="11" t="str">
        <f>[2]Trucks!B90</f>
        <v>CLA-26-2806X4BB-C-K</v>
      </c>
      <c r="D93" s="19" t="str">
        <f>IFERROR(VLOOKUP(C93&amp;"",'[2]Retail Price List'!$A$3:$B$103,2,FALSE),"Special Order")</f>
        <v>KP000516</v>
      </c>
      <c r="E93" s="18" t="str">
        <f>[2]Trucks!J90</f>
        <v>CKD</v>
      </c>
      <c r="F93" s="12" t="str">
        <f>[2]Trucks!E90</f>
        <v>2017-12-31</v>
      </c>
      <c r="G93" s="56">
        <f>[2]Trucks!K90</f>
        <v>14.7</v>
      </c>
      <c r="H93" s="46">
        <f>[2]Trucks!I90</f>
        <v>42900</v>
      </c>
      <c r="I93" s="83" t="str">
        <f t="shared" si="5"/>
        <v>2017Q2</v>
      </c>
      <c r="J93" s="272">
        <f>IFERROR(VLOOKUP((D93&amp;C93)&amp;"",'[2]Retail Price List'!$C$4:$F$102,3,FALSE),"")</f>
        <v>990000</v>
      </c>
      <c r="K93" s="272">
        <f>IFERROR(IF(BA93="WIP - 30 Days",VLOOKUP(D93,[3]Standard!$B$9:$E$101,4,FALSE),IF(BA93="31-120 Days",VLOOKUP(D93,[3]Standard!$B$9:$F$101,5,FALSE),IF(BA93="121-365 Days",VLOOKUP(D93,[3]Standard!$B$9:$G$101,6,FALSE),VLOOKUP(D93,[3]Standard!$B$9:$H$101,7,FALSE)))),0)</f>
        <v>805563</v>
      </c>
      <c r="L93" s="272">
        <f>IFERROR(IF(BA93="WIP - 30 Days",VLOOKUP(D93,[3]Standard!$B$9:$J$101,9,FALSE),IF(BA93="31-120 Days",VLOOKUP(D93,[3]Standard!$B$9:$K$100,10,FALSE),IF(BA93="121-365 Days",VLOOKUP(D93,[3]Standard!$B$9:$L$101,11,FALSE),VLOOKUP(D93,[3]Standard!$B$9:$M$101,12,FALSE)))),0)</f>
        <v>782100</v>
      </c>
      <c r="M93" s="269">
        <f>IFERROR(VLOOKUP((D93&amp;C93)&amp;"",'[2]Retail Price List'!$C$4:$F$102,4,FALSE),"")</f>
        <v>1007500</v>
      </c>
      <c r="N93" s="269">
        <f>IFERROR(IF(BA93="WIP - 30 Days",VLOOKUP(D93,[3]Extended!$B$9:$E$101,4,FALSE),IF(BA93="31-120 Days",VLOOKUP(D93,[3]Extended!$B$9:$F$101,5,FALSE),IF(BA93="121-365 Days",VLOOKUP(D93,[3]Extended!$B$9:$G$101,6,FALSE),VLOOKUP(D93,[3]Extended!$B$9:$H$101,7,FALSE)))),0)</f>
        <v>850934.5</v>
      </c>
      <c r="O93" s="269">
        <f>IFERROR(IF(BA93="WIP - 30 Days",VLOOKUP(D93,[3]Extended!$B$9:$J$101,9,FALSE),IF(BA93="31-120 Days",VLOOKUP(D93,[3]Extended!$B$9:$K$101,10,FALSE),IF(BA93="121-365 Days",VLOOKUP(D93,[3]Extended!$B$9:$L$101,11,FALSE),VLOOKUP(D93,[3]Extended!$B$9:$M$101,12,FALSE)))),0)</f>
        <v>826150</v>
      </c>
      <c r="P93" s="116">
        <f t="shared" si="6"/>
        <v>0.18</v>
      </c>
      <c r="Q93" s="110" t="e">
        <f>O93-#REF!</f>
        <v>#REF!</v>
      </c>
      <c r="R93" s="111" t="s">
        <v>13</v>
      </c>
      <c r="S93" s="112">
        <f>COUNT(#REF!)</f>
        <v>0</v>
      </c>
      <c r="W93" s="311"/>
      <c r="X93" s="311"/>
      <c r="Y93" s="311"/>
      <c r="Z93" s="311"/>
      <c r="AA93" s="311"/>
      <c r="AB93" s="311"/>
      <c r="AC93" s="311"/>
      <c r="AT93" s="88" t="str">
        <f t="shared" si="7"/>
        <v>KP0005162017Q214,7</v>
      </c>
      <c r="AU93" s="89" t="str">
        <f t="shared" si="8"/>
        <v>06-2017</v>
      </c>
      <c r="BA93" s="92" t="str">
        <f t="shared" si="9"/>
        <v>WIP - 30 Days</v>
      </c>
    </row>
    <row r="94" spans="1:56">
      <c r="B94" s="60" t="str">
        <f>[2]Trucks!A91</f>
        <v>MC6-3818</v>
      </c>
      <c r="C94" s="11" t="str">
        <f>[2]Trucks!B91</f>
        <v>CLA-26-2806X4BB-C-K</v>
      </c>
      <c r="D94" s="19" t="str">
        <f>IFERROR(VLOOKUP(C94&amp;"",'[2]Retail Price List'!$A$3:$B$103,2,FALSE),"Special Order")</f>
        <v>KP000516</v>
      </c>
      <c r="E94" s="18" t="str">
        <f>[2]Trucks!J91</f>
        <v>CKD</v>
      </c>
      <c r="F94" s="12" t="str">
        <f>[2]Trucks!E91</f>
        <v>2017-12-31</v>
      </c>
      <c r="G94" s="56">
        <f>[2]Trucks!K91</f>
        <v>14.7</v>
      </c>
      <c r="H94" s="46">
        <f>[2]Trucks!I91</f>
        <v>42900</v>
      </c>
      <c r="I94" s="83" t="str">
        <f t="shared" si="5"/>
        <v>2017Q2</v>
      </c>
      <c r="J94" s="272">
        <f>IFERROR(VLOOKUP((D94&amp;C94)&amp;"",'[2]Retail Price List'!$C$4:$F$102,3,FALSE),"")</f>
        <v>990000</v>
      </c>
      <c r="K94" s="272">
        <f>IFERROR(IF(BA94="WIP - 30 Days",VLOOKUP(D94,[3]Standard!$B$9:$E$101,4,FALSE),IF(BA94="31-120 Days",VLOOKUP(D94,[3]Standard!$B$9:$F$101,5,FALSE),IF(BA94="121-365 Days",VLOOKUP(D94,[3]Standard!$B$9:$G$101,6,FALSE),VLOOKUP(D94,[3]Standard!$B$9:$H$101,7,FALSE)))),0)</f>
        <v>805563</v>
      </c>
      <c r="L94" s="272">
        <f>IFERROR(IF(BA94="WIP - 30 Days",VLOOKUP(D94,[3]Standard!$B$9:$J$101,9,FALSE),IF(BA94="31-120 Days",VLOOKUP(D94,[3]Standard!$B$9:$K$100,10,FALSE),IF(BA94="121-365 Days",VLOOKUP(D94,[3]Standard!$B$9:$L$101,11,FALSE),VLOOKUP(D94,[3]Standard!$B$9:$M$101,12,FALSE)))),0)</f>
        <v>782100</v>
      </c>
      <c r="M94" s="269">
        <f>IFERROR(VLOOKUP((D94&amp;C94)&amp;"",'[2]Retail Price List'!$C$4:$F$102,4,FALSE),"")</f>
        <v>1007500</v>
      </c>
      <c r="N94" s="269">
        <f>IFERROR(IF(BA94="WIP - 30 Days",VLOOKUP(D94,[3]Extended!$B$9:$E$101,4,FALSE),IF(BA94="31-120 Days",VLOOKUP(D94,[3]Extended!$B$9:$F$101,5,FALSE),IF(BA94="121-365 Days",VLOOKUP(D94,[3]Extended!$B$9:$G$101,6,FALSE),VLOOKUP(D94,[3]Extended!$B$9:$H$101,7,FALSE)))),0)</f>
        <v>850934.5</v>
      </c>
      <c r="O94" s="269">
        <f>IFERROR(IF(BA94="WIP - 30 Days",VLOOKUP(D94,[3]Extended!$B$9:$J$101,9,FALSE),IF(BA94="31-120 Days",VLOOKUP(D94,[3]Extended!$B$9:$K$101,10,FALSE),IF(BA94="121-365 Days",VLOOKUP(D94,[3]Extended!$B$9:$L$101,11,FALSE),VLOOKUP(D94,[3]Extended!$B$9:$M$101,12,FALSE)))),0)</f>
        <v>826150</v>
      </c>
      <c r="P94" s="116">
        <f t="shared" si="6"/>
        <v>0.18</v>
      </c>
      <c r="Q94" s="110" t="e">
        <f>O94-#REF!</f>
        <v>#REF!</v>
      </c>
      <c r="R94" s="111" t="s">
        <v>14</v>
      </c>
      <c r="S94" s="110" t="e">
        <f>+AVERAGE(#REF!)</f>
        <v>#REF!</v>
      </c>
      <c r="W94" s="311"/>
      <c r="X94" s="311"/>
      <c r="Y94" s="311"/>
      <c r="Z94" s="311"/>
      <c r="AA94" s="311"/>
      <c r="AB94" s="311"/>
      <c r="AC94" s="311"/>
      <c r="AT94" s="88" t="str">
        <f t="shared" si="7"/>
        <v>KP0005162017Q214,7</v>
      </c>
      <c r="AU94" s="89" t="str">
        <f t="shared" si="8"/>
        <v>06-2017</v>
      </c>
      <c r="BA94" s="92" t="str">
        <f t="shared" si="9"/>
        <v>WIP - 30 Days</v>
      </c>
    </row>
    <row r="95" spans="1:56">
      <c r="B95" s="60" t="str">
        <f>[2]Trucks!A92</f>
        <v>TBAKP516</v>
      </c>
      <c r="C95" s="11" t="str">
        <f>[2]Trucks!B92</f>
        <v>CLA-26-2806X4BB-C-K</v>
      </c>
      <c r="D95" s="19" t="str">
        <f>IFERROR(VLOOKUP(C95&amp;"",'[2]Retail Price List'!$A$3:$B$103,2,FALSE),"Special Order")</f>
        <v>KP000516</v>
      </c>
      <c r="E95" s="18" t="str">
        <f>[2]Trucks!J92</f>
        <v>CKD</v>
      </c>
      <c r="F95" s="12" t="str">
        <f>[2]Trucks!E92</f>
        <v>2018-02-15</v>
      </c>
      <c r="G95" s="56">
        <f>[2]Trucks!K92</f>
        <v>14.7</v>
      </c>
      <c r="H95" s="46">
        <f>[2]Trucks!I92</f>
        <v>42921</v>
      </c>
      <c r="I95" s="83" t="str">
        <f t="shared" si="5"/>
        <v>2017Q3</v>
      </c>
      <c r="J95" s="272">
        <f>IFERROR(VLOOKUP((D95&amp;C95)&amp;"",'[2]Retail Price List'!$C$4:$F$102,3,FALSE),"")</f>
        <v>990000</v>
      </c>
      <c r="K95" s="272">
        <f>IFERROR(IF(BA95="WIP - 30 Days",VLOOKUP(D95,[3]Standard!$B$9:$E$101,4,FALSE),IF(BA95="31-120 Days",VLOOKUP(D95,[3]Standard!$B$9:$F$101,5,FALSE),IF(BA95="121-365 Days",VLOOKUP(D95,[3]Standard!$B$9:$G$101,6,FALSE),VLOOKUP(D95,[3]Standard!$B$9:$H$101,7,FALSE)))),0)</f>
        <v>805563</v>
      </c>
      <c r="L95" s="272">
        <f>IFERROR(IF(BA95="WIP - 30 Days",VLOOKUP(D95,[3]Standard!$B$9:$J$101,9,FALSE),IF(BA95="31-120 Days",VLOOKUP(D95,[3]Standard!$B$9:$K$100,10,FALSE),IF(BA95="121-365 Days",VLOOKUP(D95,[3]Standard!$B$9:$L$101,11,FALSE),VLOOKUP(D95,[3]Standard!$B$9:$M$101,12,FALSE)))),0)</f>
        <v>782100</v>
      </c>
      <c r="M95" s="269">
        <f>IFERROR(VLOOKUP((D95&amp;C95)&amp;"",'[2]Retail Price List'!$C$4:$F$102,4,FALSE),"")</f>
        <v>1007500</v>
      </c>
      <c r="N95" s="269">
        <f>IFERROR(IF(BA95="WIP - 30 Days",VLOOKUP(D95,[3]Extended!$B$9:$E$101,4,FALSE),IF(BA95="31-120 Days",VLOOKUP(D95,[3]Extended!$B$9:$F$101,5,FALSE),IF(BA95="121-365 Days",VLOOKUP(D95,[3]Extended!$B$9:$G$101,6,FALSE),VLOOKUP(D95,[3]Extended!$B$9:$H$101,7,FALSE)))),0)</f>
        <v>850934.5</v>
      </c>
      <c r="O95" s="269">
        <f>IFERROR(IF(BA95="WIP - 30 Days",VLOOKUP(D95,[3]Extended!$B$9:$J$101,9,FALSE),IF(BA95="31-120 Days",VLOOKUP(D95,[3]Extended!$B$9:$K$101,10,FALSE),IF(BA95="121-365 Days",VLOOKUP(D95,[3]Extended!$B$9:$L$101,11,FALSE),VLOOKUP(D95,[3]Extended!$B$9:$M$101,12,FALSE)))),0)</f>
        <v>826150</v>
      </c>
      <c r="P95" s="116">
        <f t="shared" si="6"/>
        <v>0.18</v>
      </c>
      <c r="Q95" s="110" t="e">
        <f>O95-#REF!</f>
        <v>#REF!</v>
      </c>
      <c r="W95" s="311"/>
      <c r="X95" s="311"/>
      <c r="Y95" s="311"/>
      <c r="Z95" s="311"/>
      <c r="AA95" s="311"/>
      <c r="AB95" s="311"/>
      <c r="AC95" s="311"/>
      <c r="AT95" s="88" t="str">
        <f t="shared" si="7"/>
        <v>KP0005162017Q314,7</v>
      </c>
      <c r="AU95" s="89" t="str">
        <f t="shared" si="8"/>
        <v>07-2017</v>
      </c>
      <c r="BA95" s="92" t="str">
        <f t="shared" si="9"/>
        <v>WIP - 30 Days</v>
      </c>
    </row>
    <row r="96" spans="1:56">
      <c r="B96" s="60">
        <f>[2]Trucks!A93</f>
        <v>46660</v>
      </c>
      <c r="C96" s="11" t="str">
        <f>[2]Trucks!B93</f>
        <v>CLA-26-2806X4BB-C-L</v>
      </c>
      <c r="D96" s="19" t="str">
        <f>IFERROR(VLOOKUP(C96&amp;"",'[2]Retail Price List'!$A$3:$B$103,2,FALSE),"Special Order")</f>
        <v>KP000590</v>
      </c>
      <c r="E96" s="18" t="str">
        <f>[2]Trucks!J93</f>
        <v>CKD</v>
      </c>
      <c r="F96" s="12" t="str">
        <f>[2]Trucks!E93</f>
        <v>2017-10-18</v>
      </c>
      <c r="G96" s="56">
        <f>[2]Trucks!K93</f>
        <v>14.7</v>
      </c>
      <c r="H96" s="46">
        <f>[2]Trucks!I93</f>
        <v>42838</v>
      </c>
      <c r="I96" s="83" t="str">
        <f t="shared" si="5"/>
        <v>2017Q2</v>
      </c>
      <c r="J96" s="272">
        <f>IFERROR(VLOOKUP((D96&amp;C96)&amp;"",'[2]Retail Price List'!$C$4:$F$102,3,FALSE),"")</f>
        <v>985000</v>
      </c>
      <c r="K96" s="272">
        <f>IFERROR(IF(BA96="WIP - 30 Days",VLOOKUP(D96,[3]Standard!$B$9:$E$101,4,FALSE),IF(BA96="31-120 Days",VLOOKUP(D96,[3]Standard!$B$9:$F$101,5,FALSE),IF(BA96="121-365 Days",VLOOKUP(D96,[3]Standard!$B$9:$G$101,6,FALSE),VLOOKUP(D96,[3]Standard!$B$9:$H$101,7,FALSE)))),0)</f>
        <v>781203.5</v>
      </c>
      <c r="L96" s="272">
        <f>IFERROR(IF(BA96="WIP - 30 Days",VLOOKUP(D96,[3]Standard!$B$9:$J$101,9,FALSE),IF(BA96="31-120 Days",VLOOKUP(D96,[3]Standard!$B$9:$K$100,10,FALSE),IF(BA96="121-365 Days",VLOOKUP(D96,[3]Standard!$B$9:$L$101,11,FALSE),VLOOKUP(D96,[3]Standard!$B$9:$M$101,12,FALSE)))),0)</f>
        <v>758450</v>
      </c>
      <c r="M96" s="269">
        <f>IFERROR(VLOOKUP((D96&amp;C96)&amp;"",'[2]Retail Price List'!$C$4:$F$102,4,FALSE),"")</f>
        <v>1002500</v>
      </c>
      <c r="N96" s="269">
        <f>IFERROR(IF(BA96="WIP - 30 Days",VLOOKUP(D96,[3]Extended!$B$9:$E$101,4,FALSE),IF(BA96="31-120 Days",VLOOKUP(D96,[3]Extended!$B$9:$F$101,5,FALSE),IF(BA96="121-365 Days",VLOOKUP(D96,[3]Extended!$B$9:$G$101,6,FALSE),VLOOKUP(D96,[3]Extended!$B$9:$H$101,7,FALSE)))),0)</f>
        <v>815734.25</v>
      </c>
      <c r="O96" s="269">
        <f>IFERROR(IF(BA96="WIP - 30 Days",VLOOKUP(D96,[3]Extended!$B$9:$J$101,9,FALSE),IF(BA96="31-120 Days",VLOOKUP(D96,[3]Extended!$B$9:$K$101,10,FALSE),IF(BA96="121-365 Days",VLOOKUP(D96,[3]Extended!$B$9:$L$101,11,FALSE),VLOOKUP(D96,[3]Extended!$B$9:$M$101,12,FALSE)))),0)</f>
        <v>791975</v>
      </c>
      <c r="P96" s="116">
        <f t="shared" si="6"/>
        <v>0.21</v>
      </c>
      <c r="Q96" s="110" t="e">
        <f>O96-#REF!</f>
        <v>#REF!</v>
      </c>
      <c r="W96" s="311"/>
      <c r="X96" s="311"/>
      <c r="Y96" s="311"/>
      <c r="Z96" s="311"/>
      <c r="AA96" s="311"/>
      <c r="AB96" s="311"/>
      <c r="AC96" s="311"/>
      <c r="AT96" s="88" t="str">
        <f t="shared" si="7"/>
        <v>KP0005902017Q214,7</v>
      </c>
      <c r="AU96" s="89" t="str">
        <f t="shared" si="8"/>
        <v>04-2017</v>
      </c>
      <c r="BA96" s="92" t="str">
        <f t="shared" si="9"/>
        <v>WIP - 30 Days</v>
      </c>
    </row>
    <row r="97" spans="2:53">
      <c r="B97" s="60">
        <f>[2]Trucks!A94</f>
        <v>46661</v>
      </c>
      <c r="C97" s="11" t="str">
        <f>[2]Trucks!B94</f>
        <v>CLA-26-2806X4BB-C-L</v>
      </c>
      <c r="D97" s="19" t="str">
        <f>IFERROR(VLOOKUP(C97&amp;"",'[2]Retail Price List'!$A$3:$B$103,2,FALSE),"Special Order")</f>
        <v>KP000590</v>
      </c>
      <c r="E97" s="18" t="str">
        <f>[2]Trucks!J94</f>
        <v>CKD</v>
      </c>
      <c r="F97" s="12" t="str">
        <f>[2]Trucks!E94</f>
        <v>2017-10-18</v>
      </c>
      <c r="G97" s="56">
        <f>[2]Trucks!K94</f>
        <v>14.7</v>
      </c>
      <c r="H97" s="46">
        <f>[2]Trucks!I94</f>
        <v>42838</v>
      </c>
      <c r="I97" s="83" t="str">
        <f t="shared" si="5"/>
        <v>2017Q2</v>
      </c>
      <c r="J97" s="272">
        <f>IFERROR(VLOOKUP((D97&amp;C97)&amp;"",'[2]Retail Price List'!$C$4:$F$102,3,FALSE),"")</f>
        <v>985000</v>
      </c>
      <c r="K97" s="272">
        <f>IFERROR(IF(BA97="WIP - 30 Days",VLOOKUP(D97,[3]Standard!$B$9:$E$101,4,FALSE),IF(BA97="31-120 Days",VLOOKUP(D97,[3]Standard!$B$9:$F$101,5,FALSE),IF(BA97="121-365 Days",VLOOKUP(D97,[3]Standard!$B$9:$G$101,6,FALSE),VLOOKUP(D97,[3]Standard!$B$9:$H$101,7,FALSE)))),0)</f>
        <v>781203.5</v>
      </c>
      <c r="L97" s="272">
        <f>IFERROR(IF(BA97="WIP - 30 Days",VLOOKUP(D97,[3]Standard!$B$9:$J$101,9,FALSE),IF(BA97="31-120 Days",VLOOKUP(D97,[3]Standard!$B$9:$K$100,10,FALSE),IF(BA97="121-365 Days",VLOOKUP(D97,[3]Standard!$B$9:$L$101,11,FALSE),VLOOKUP(D97,[3]Standard!$B$9:$M$101,12,FALSE)))),0)</f>
        <v>758450</v>
      </c>
      <c r="M97" s="269">
        <f>IFERROR(VLOOKUP((D97&amp;C97)&amp;"",'[2]Retail Price List'!$C$4:$F$102,4,FALSE),"")</f>
        <v>1002500</v>
      </c>
      <c r="N97" s="269">
        <f>IFERROR(IF(BA97="WIP - 30 Days",VLOOKUP(D97,[3]Extended!$B$9:$E$101,4,FALSE),IF(BA97="31-120 Days",VLOOKUP(D97,[3]Extended!$B$9:$F$101,5,FALSE),IF(BA97="121-365 Days",VLOOKUP(D97,[3]Extended!$B$9:$G$101,6,FALSE),VLOOKUP(D97,[3]Extended!$B$9:$H$101,7,FALSE)))),0)</f>
        <v>815734.25</v>
      </c>
      <c r="O97" s="269">
        <f>IFERROR(IF(BA97="WIP - 30 Days",VLOOKUP(D97,[3]Extended!$B$9:$J$101,9,FALSE),IF(BA97="31-120 Days",VLOOKUP(D97,[3]Extended!$B$9:$K$101,10,FALSE),IF(BA97="121-365 Days",VLOOKUP(D97,[3]Extended!$B$9:$L$101,11,FALSE),VLOOKUP(D97,[3]Extended!$B$9:$M$101,12,FALSE)))),0)</f>
        <v>791975</v>
      </c>
      <c r="P97" s="116">
        <f t="shared" si="6"/>
        <v>0.21</v>
      </c>
      <c r="Q97" s="110" t="e">
        <f>O97-#REF!</f>
        <v>#REF!</v>
      </c>
      <c r="W97" s="311"/>
      <c r="X97" s="311"/>
      <c r="Y97" s="311"/>
      <c r="Z97" s="311"/>
      <c r="AA97" s="311"/>
      <c r="AB97" s="311"/>
      <c r="AC97" s="311"/>
      <c r="AT97" s="88" t="str">
        <f t="shared" si="7"/>
        <v>KP0005902017Q214,7</v>
      </c>
      <c r="AU97" s="89" t="str">
        <f t="shared" si="8"/>
        <v>04-2017</v>
      </c>
      <c r="BA97" s="92" t="str">
        <f t="shared" si="9"/>
        <v>WIP - 30 Days</v>
      </c>
    </row>
    <row r="98" spans="2:53">
      <c r="B98" s="60">
        <f>[2]Trucks!A95</f>
        <v>46662</v>
      </c>
      <c r="C98" s="11" t="str">
        <f>[2]Trucks!B95</f>
        <v>CLA-26-2806X4BB-C-L</v>
      </c>
      <c r="D98" s="19" t="str">
        <f>IFERROR(VLOOKUP(C98&amp;"",'[2]Retail Price List'!$A$3:$B$103,2,FALSE),"Special Order")</f>
        <v>KP000590</v>
      </c>
      <c r="E98" s="18" t="str">
        <f>[2]Trucks!J95</f>
        <v>CKD</v>
      </c>
      <c r="F98" s="12" t="str">
        <f>[2]Trucks!E95</f>
        <v>2017-10-18</v>
      </c>
      <c r="G98" s="56">
        <f>[2]Trucks!K95</f>
        <v>14.7</v>
      </c>
      <c r="H98" s="46">
        <f>[2]Trucks!I95</f>
        <v>42838</v>
      </c>
      <c r="I98" s="83" t="str">
        <f t="shared" si="5"/>
        <v>2017Q2</v>
      </c>
      <c r="J98" s="272">
        <f>IFERROR(VLOOKUP((D98&amp;C98)&amp;"",'[2]Retail Price List'!$C$4:$F$102,3,FALSE),"")</f>
        <v>985000</v>
      </c>
      <c r="K98" s="272">
        <f>IFERROR(IF(BA98="WIP - 30 Days",VLOOKUP(D98,[3]Standard!$B$9:$E$101,4,FALSE),IF(BA98="31-120 Days",VLOOKUP(D98,[3]Standard!$B$9:$F$101,5,FALSE),IF(BA98="121-365 Days",VLOOKUP(D98,[3]Standard!$B$9:$G$101,6,FALSE),VLOOKUP(D98,[3]Standard!$B$9:$H$101,7,FALSE)))),0)</f>
        <v>781203.5</v>
      </c>
      <c r="L98" s="272">
        <f>IFERROR(IF(BA98="WIP - 30 Days",VLOOKUP(D98,[3]Standard!$B$9:$J$101,9,FALSE),IF(BA98="31-120 Days",VLOOKUP(D98,[3]Standard!$B$9:$K$100,10,FALSE),IF(BA98="121-365 Days",VLOOKUP(D98,[3]Standard!$B$9:$L$101,11,FALSE),VLOOKUP(D98,[3]Standard!$B$9:$M$101,12,FALSE)))),0)</f>
        <v>758450</v>
      </c>
      <c r="M98" s="269">
        <f>IFERROR(VLOOKUP((D98&amp;C98)&amp;"",'[2]Retail Price List'!$C$4:$F$102,4,FALSE),"")</f>
        <v>1002500</v>
      </c>
      <c r="N98" s="269">
        <f>IFERROR(IF(BA98="WIP - 30 Days",VLOOKUP(D98,[3]Extended!$B$9:$E$101,4,FALSE),IF(BA98="31-120 Days",VLOOKUP(D98,[3]Extended!$B$9:$F$101,5,FALSE),IF(BA98="121-365 Days",VLOOKUP(D98,[3]Extended!$B$9:$G$101,6,FALSE),VLOOKUP(D98,[3]Extended!$B$9:$H$101,7,FALSE)))),0)</f>
        <v>815734.25</v>
      </c>
      <c r="O98" s="269">
        <f>IFERROR(IF(BA98="WIP - 30 Days",VLOOKUP(D98,[3]Extended!$B$9:$J$101,9,FALSE),IF(BA98="31-120 Days",VLOOKUP(D98,[3]Extended!$B$9:$K$101,10,FALSE),IF(BA98="121-365 Days",VLOOKUP(D98,[3]Extended!$B$9:$L$101,11,FALSE),VLOOKUP(D98,[3]Extended!$B$9:$M$101,12,FALSE)))),0)</f>
        <v>791975</v>
      </c>
      <c r="P98" s="116">
        <f t="shared" si="6"/>
        <v>0.21</v>
      </c>
      <c r="Q98" s="110" t="e">
        <f>O98-#REF!</f>
        <v>#REF!</v>
      </c>
      <c r="W98" s="311"/>
      <c r="X98" s="311"/>
      <c r="Y98" s="311"/>
      <c r="Z98" s="311"/>
      <c r="AA98" s="311"/>
      <c r="AB98" s="311"/>
      <c r="AC98" s="311"/>
      <c r="AT98" s="88" t="str">
        <f t="shared" si="7"/>
        <v>KP0005902017Q214,7</v>
      </c>
      <c r="AU98" s="89" t="str">
        <f t="shared" si="8"/>
        <v>04-2017</v>
      </c>
      <c r="BA98" s="92" t="str">
        <f t="shared" si="9"/>
        <v>WIP - 30 Days</v>
      </c>
    </row>
    <row r="99" spans="2:53">
      <c r="B99" s="60">
        <f>[2]Trucks!A96</f>
        <v>46663</v>
      </c>
      <c r="C99" s="11" t="str">
        <f>[2]Trucks!B96</f>
        <v>CLA-26-2806X4BB-C-L</v>
      </c>
      <c r="D99" s="19" t="str">
        <f>IFERROR(VLOOKUP(C99&amp;"",'[2]Retail Price List'!$A$3:$B$103,2,FALSE),"Special Order")</f>
        <v>KP000590</v>
      </c>
      <c r="E99" s="18" t="str">
        <f>[2]Trucks!J96</f>
        <v>CKD</v>
      </c>
      <c r="F99" s="12" t="str">
        <f>[2]Trucks!E96</f>
        <v>2017-10-18</v>
      </c>
      <c r="G99" s="56">
        <f>[2]Trucks!K96</f>
        <v>14.7</v>
      </c>
      <c r="H99" s="46">
        <f>[2]Trucks!I96</f>
        <v>42838</v>
      </c>
      <c r="I99" s="83" t="str">
        <f t="shared" si="5"/>
        <v>2017Q2</v>
      </c>
      <c r="J99" s="272">
        <f>IFERROR(VLOOKUP((D99&amp;C99)&amp;"",'[2]Retail Price List'!$C$4:$F$102,3,FALSE),"")</f>
        <v>985000</v>
      </c>
      <c r="K99" s="272">
        <f>IFERROR(IF(BA99="WIP - 30 Days",VLOOKUP(D99,[3]Standard!$B$9:$E$101,4,FALSE),IF(BA99="31-120 Days",VLOOKUP(D99,[3]Standard!$B$9:$F$101,5,FALSE),IF(BA99="121-365 Days",VLOOKUP(D99,[3]Standard!$B$9:$G$101,6,FALSE),VLOOKUP(D99,[3]Standard!$B$9:$H$101,7,FALSE)))),0)</f>
        <v>781203.5</v>
      </c>
      <c r="L99" s="272">
        <f>IFERROR(IF(BA99="WIP - 30 Days",VLOOKUP(D99,[3]Standard!$B$9:$J$101,9,FALSE),IF(BA99="31-120 Days",VLOOKUP(D99,[3]Standard!$B$9:$K$100,10,FALSE),IF(BA99="121-365 Days",VLOOKUP(D99,[3]Standard!$B$9:$L$101,11,FALSE),VLOOKUP(D99,[3]Standard!$B$9:$M$101,12,FALSE)))),0)</f>
        <v>758450</v>
      </c>
      <c r="M99" s="269">
        <f>IFERROR(VLOOKUP((D99&amp;C99)&amp;"",'[2]Retail Price List'!$C$4:$F$102,4,FALSE),"")</f>
        <v>1002500</v>
      </c>
      <c r="N99" s="269">
        <f>IFERROR(IF(BA99="WIP - 30 Days",VLOOKUP(D99,[3]Extended!$B$9:$E$101,4,FALSE),IF(BA99="31-120 Days",VLOOKUP(D99,[3]Extended!$B$9:$F$101,5,FALSE),IF(BA99="121-365 Days",VLOOKUP(D99,[3]Extended!$B$9:$G$101,6,FALSE),VLOOKUP(D99,[3]Extended!$B$9:$H$101,7,FALSE)))),0)</f>
        <v>815734.25</v>
      </c>
      <c r="O99" s="269">
        <f>IFERROR(IF(BA99="WIP - 30 Days",VLOOKUP(D99,[3]Extended!$B$9:$J$101,9,FALSE),IF(BA99="31-120 Days",VLOOKUP(D99,[3]Extended!$B$9:$K$101,10,FALSE),IF(BA99="121-365 Days",VLOOKUP(D99,[3]Extended!$B$9:$L$101,11,FALSE),VLOOKUP(D99,[3]Extended!$B$9:$M$101,12,FALSE)))),0)</f>
        <v>791975</v>
      </c>
      <c r="P99" s="116">
        <f t="shared" si="6"/>
        <v>0.21</v>
      </c>
      <c r="Q99" s="110" t="e">
        <f>O99-#REF!</f>
        <v>#REF!</v>
      </c>
      <c r="W99" s="311"/>
      <c r="X99" s="311"/>
      <c r="Y99" s="311"/>
      <c r="Z99" s="311"/>
      <c r="AA99" s="311"/>
      <c r="AB99" s="311"/>
      <c r="AC99" s="311"/>
      <c r="AT99" s="88" t="str">
        <f t="shared" si="7"/>
        <v>KP0005902017Q214,7</v>
      </c>
      <c r="AU99" s="89" t="str">
        <f t="shared" si="8"/>
        <v>04-2017</v>
      </c>
      <c r="BA99" s="92" t="str">
        <f t="shared" si="9"/>
        <v>WIP - 30 Days</v>
      </c>
    </row>
    <row r="100" spans="2:53">
      <c r="B100" s="60">
        <f>[2]Trucks!A97</f>
        <v>46664</v>
      </c>
      <c r="C100" s="11" t="str">
        <f>[2]Trucks!B97</f>
        <v>CLA-26-2806X4BB-C-L</v>
      </c>
      <c r="D100" s="19" t="str">
        <f>IFERROR(VLOOKUP(C100&amp;"",'[2]Retail Price List'!$A$3:$B$103,2,FALSE),"Special Order")</f>
        <v>KP000590</v>
      </c>
      <c r="E100" s="18" t="str">
        <f>[2]Trucks!J97</f>
        <v>CKD</v>
      </c>
      <c r="F100" s="12" t="str">
        <f>[2]Trucks!E97</f>
        <v>2017-10-18</v>
      </c>
      <c r="G100" s="56">
        <f>[2]Trucks!K97</f>
        <v>14.7</v>
      </c>
      <c r="H100" s="46">
        <f>[2]Trucks!I97</f>
        <v>42838</v>
      </c>
      <c r="I100" s="83" t="str">
        <f t="shared" si="5"/>
        <v>2017Q2</v>
      </c>
      <c r="J100" s="272">
        <f>IFERROR(VLOOKUP((D100&amp;C100)&amp;"",'[2]Retail Price List'!$C$4:$F$102,3,FALSE),"")</f>
        <v>985000</v>
      </c>
      <c r="K100" s="272">
        <f>IFERROR(IF(BA100="WIP - 30 Days",VLOOKUP(D100,[3]Standard!$B$9:$E$101,4,FALSE),IF(BA100="31-120 Days",VLOOKUP(D100,[3]Standard!$B$9:$F$101,5,FALSE),IF(BA100="121-365 Days",VLOOKUP(D100,[3]Standard!$B$9:$G$101,6,FALSE),VLOOKUP(D100,[3]Standard!$B$9:$H$101,7,FALSE)))),0)</f>
        <v>781203.5</v>
      </c>
      <c r="L100" s="272">
        <f>IFERROR(IF(BA100="WIP - 30 Days",VLOOKUP(D100,[3]Standard!$B$9:$J$101,9,FALSE),IF(BA100="31-120 Days",VLOOKUP(D100,[3]Standard!$B$9:$K$100,10,FALSE),IF(BA100="121-365 Days",VLOOKUP(D100,[3]Standard!$B$9:$L$101,11,FALSE),VLOOKUP(D100,[3]Standard!$B$9:$M$101,12,FALSE)))),0)</f>
        <v>758450</v>
      </c>
      <c r="M100" s="269">
        <f>IFERROR(VLOOKUP((D100&amp;C100)&amp;"",'[2]Retail Price List'!$C$4:$F$102,4,FALSE),"")</f>
        <v>1002500</v>
      </c>
      <c r="N100" s="269">
        <f>IFERROR(IF(BA100="WIP - 30 Days",VLOOKUP(D100,[3]Extended!$B$9:$E$101,4,FALSE),IF(BA100="31-120 Days",VLOOKUP(D100,[3]Extended!$B$9:$F$101,5,FALSE),IF(BA100="121-365 Days",VLOOKUP(D100,[3]Extended!$B$9:$G$101,6,FALSE),VLOOKUP(D100,[3]Extended!$B$9:$H$101,7,FALSE)))),0)</f>
        <v>815734.25</v>
      </c>
      <c r="O100" s="269">
        <f>IFERROR(IF(BA100="WIP - 30 Days",VLOOKUP(D100,[3]Extended!$B$9:$J$101,9,FALSE),IF(BA100="31-120 Days",VLOOKUP(D100,[3]Extended!$B$9:$K$101,10,FALSE),IF(BA100="121-365 Days",VLOOKUP(D100,[3]Extended!$B$9:$L$101,11,FALSE),VLOOKUP(D100,[3]Extended!$B$9:$M$101,12,FALSE)))),0)</f>
        <v>791975</v>
      </c>
      <c r="P100" s="116">
        <f t="shared" si="6"/>
        <v>0.21</v>
      </c>
      <c r="Q100" s="110" t="e">
        <f>O100-#REF!</f>
        <v>#REF!</v>
      </c>
      <c r="W100" s="311"/>
      <c r="X100" s="311"/>
      <c r="Y100" s="311"/>
      <c r="Z100" s="311"/>
      <c r="AA100" s="311"/>
      <c r="AB100" s="311"/>
      <c r="AC100" s="311"/>
      <c r="AT100" s="88" t="str">
        <f t="shared" si="7"/>
        <v>KP0005902017Q214,7</v>
      </c>
      <c r="AU100" s="89" t="str">
        <f t="shared" si="8"/>
        <v>04-2017</v>
      </c>
      <c r="BA100" s="92" t="str">
        <f t="shared" si="9"/>
        <v>WIP - 30 Days</v>
      </c>
    </row>
    <row r="101" spans="2:53">
      <c r="B101" s="60">
        <f>[2]Trucks!A98</f>
        <v>46665</v>
      </c>
      <c r="C101" s="11" t="str">
        <f>[2]Trucks!B98</f>
        <v>CLA-26-2806X4BB-C-L</v>
      </c>
      <c r="D101" s="19" t="str">
        <f>IFERROR(VLOOKUP(C101&amp;"",'[2]Retail Price List'!$A$3:$B$103,2,FALSE),"Special Order")</f>
        <v>KP000590</v>
      </c>
      <c r="E101" s="18" t="str">
        <f>[2]Trucks!J98</f>
        <v>CKD</v>
      </c>
      <c r="F101" s="12" t="str">
        <f>[2]Trucks!E98</f>
        <v>2017-10-18</v>
      </c>
      <c r="G101" s="56">
        <f>[2]Trucks!K98</f>
        <v>14.7</v>
      </c>
      <c r="H101" s="46">
        <f>[2]Trucks!I98</f>
        <v>42838</v>
      </c>
      <c r="I101" s="83" t="str">
        <f t="shared" si="5"/>
        <v>2017Q2</v>
      </c>
      <c r="J101" s="272">
        <f>IFERROR(VLOOKUP((D101&amp;C101)&amp;"",'[2]Retail Price List'!$C$4:$F$102,3,FALSE),"")</f>
        <v>985000</v>
      </c>
      <c r="K101" s="272">
        <f>IFERROR(IF(BA101="WIP - 30 Days",VLOOKUP(D101,[3]Standard!$B$9:$E$101,4,FALSE),IF(BA101="31-120 Days",VLOOKUP(D101,[3]Standard!$B$9:$F$101,5,FALSE),IF(BA101="121-365 Days",VLOOKUP(D101,[3]Standard!$B$9:$G$101,6,FALSE),VLOOKUP(D101,[3]Standard!$B$9:$H$101,7,FALSE)))),0)</f>
        <v>781203.5</v>
      </c>
      <c r="L101" s="272">
        <f>IFERROR(IF(BA101="WIP - 30 Days",VLOOKUP(D101,[3]Standard!$B$9:$J$101,9,FALSE),IF(BA101="31-120 Days",VLOOKUP(D101,[3]Standard!$B$9:$K$100,10,FALSE),IF(BA101="121-365 Days",VLOOKUP(D101,[3]Standard!$B$9:$L$101,11,FALSE),VLOOKUP(D101,[3]Standard!$B$9:$M$101,12,FALSE)))),0)</f>
        <v>758450</v>
      </c>
      <c r="M101" s="269">
        <f>IFERROR(VLOOKUP((D101&amp;C101)&amp;"",'[2]Retail Price List'!$C$4:$F$102,4,FALSE),"")</f>
        <v>1002500</v>
      </c>
      <c r="N101" s="269">
        <f>IFERROR(IF(BA101="WIP - 30 Days",VLOOKUP(D101,[3]Extended!$B$9:$E$101,4,FALSE),IF(BA101="31-120 Days",VLOOKUP(D101,[3]Extended!$B$9:$F$101,5,FALSE),IF(BA101="121-365 Days",VLOOKUP(D101,[3]Extended!$B$9:$G$101,6,FALSE),VLOOKUP(D101,[3]Extended!$B$9:$H$101,7,FALSE)))),0)</f>
        <v>815734.25</v>
      </c>
      <c r="O101" s="269">
        <f>IFERROR(IF(BA101="WIP - 30 Days",VLOOKUP(D101,[3]Extended!$B$9:$J$101,9,FALSE),IF(BA101="31-120 Days",VLOOKUP(D101,[3]Extended!$B$9:$K$101,10,FALSE),IF(BA101="121-365 Days",VLOOKUP(D101,[3]Extended!$B$9:$L$101,11,FALSE),VLOOKUP(D101,[3]Extended!$B$9:$M$101,12,FALSE)))),0)</f>
        <v>791975</v>
      </c>
      <c r="P101" s="116">
        <f t="shared" si="6"/>
        <v>0.21</v>
      </c>
      <c r="Q101" s="110" t="e">
        <f>O101-#REF!</f>
        <v>#REF!</v>
      </c>
      <c r="W101" s="311"/>
      <c r="X101" s="311"/>
      <c r="Y101" s="311"/>
      <c r="Z101" s="311"/>
      <c r="AA101" s="311"/>
      <c r="AB101" s="311"/>
      <c r="AC101" s="311"/>
      <c r="AT101" s="88" t="str">
        <f t="shared" si="7"/>
        <v>KP0005902017Q214,7</v>
      </c>
      <c r="AU101" s="89" t="str">
        <f t="shared" si="8"/>
        <v>04-2017</v>
      </c>
      <c r="BA101" s="92" t="str">
        <f t="shared" si="9"/>
        <v>WIP - 30 Days</v>
      </c>
    </row>
    <row r="102" spans="2:53">
      <c r="B102" s="60">
        <f>[2]Trucks!A99</f>
        <v>47145</v>
      </c>
      <c r="C102" s="11" t="str">
        <f>[2]Trucks!B99</f>
        <v>CLA-26-2806X4BB-C-L</v>
      </c>
      <c r="D102" s="19" t="str">
        <f>IFERROR(VLOOKUP(C102&amp;"",'[2]Retail Price List'!$A$3:$B$103,2,FALSE),"Special Order")</f>
        <v>KP000590</v>
      </c>
      <c r="E102" s="18" t="str">
        <f>[2]Trucks!J99</f>
        <v>CKD</v>
      </c>
      <c r="F102" s="12" t="str">
        <f>[2]Trucks!E99</f>
        <v>2017-12-31</v>
      </c>
      <c r="G102" s="56">
        <f>[2]Trucks!K99</f>
        <v>14.7</v>
      </c>
      <c r="H102" s="46">
        <f>[2]Trucks!I99</f>
        <v>42900</v>
      </c>
      <c r="I102" s="83" t="str">
        <f t="shared" si="5"/>
        <v>2017Q2</v>
      </c>
      <c r="J102" s="272">
        <f>IFERROR(VLOOKUP((D102&amp;C102)&amp;"",'[2]Retail Price List'!$C$4:$F$102,3,FALSE),"")</f>
        <v>985000</v>
      </c>
      <c r="K102" s="272">
        <f>IFERROR(IF(BA102="WIP - 30 Days",VLOOKUP(D102,[3]Standard!$B$9:$E$101,4,FALSE),IF(BA102="31-120 Days",VLOOKUP(D102,[3]Standard!$B$9:$F$101,5,FALSE),IF(BA102="121-365 Days",VLOOKUP(D102,[3]Standard!$B$9:$G$101,6,FALSE),VLOOKUP(D102,[3]Standard!$B$9:$H$101,7,FALSE)))),0)</f>
        <v>781203.5</v>
      </c>
      <c r="L102" s="272">
        <f>IFERROR(IF(BA102="WIP - 30 Days",VLOOKUP(D102,[3]Standard!$B$9:$J$101,9,FALSE),IF(BA102="31-120 Days",VLOOKUP(D102,[3]Standard!$B$9:$K$100,10,FALSE),IF(BA102="121-365 Days",VLOOKUP(D102,[3]Standard!$B$9:$L$101,11,FALSE),VLOOKUP(D102,[3]Standard!$B$9:$M$101,12,FALSE)))),0)</f>
        <v>758450</v>
      </c>
      <c r="M102" s="269">
        <f>IFERROR(VLOOKUP((D102&amp;C102)&amp;"",'[2]Retail Price List'!$C$4:$F$102,4,FALSE),"")</f>
        <v>1002500</v>
      </c>
      <c r="N102" s="269">
        <f>IFERROR(IF(BA102="WIP - 30 Days",VLOOKUP(D102,[3]Extended!$B$9:$E$101,4,FALSE),IF(BA102="31-120 Days",VLOOKUP(D102,[3]Extended!$B$9:$F$101,5,FALSE),IF(BA102="121-365 Days",VLOOKUP(D102,[3]Extended!$B$9:$G$101,6,FALSE),VLOOKUP(D102,[3]Extended!$B$9:$H$101,7,FALSE)))),0)</f>
        <v>815734.25</v>
      </c>
      <c r="O102" s="269">
        <f>IFERROR(IF(BA102="WIP - 30 Days",VLOOKUP(D102,[3]Extended!$B$9:$J$101,9,FALSE),IF(BA102="31-120 Days",VLOOKUP(D102,[3]Extended!$B$9:$K$101,10,FALSE),IF(BA102="121-365 Days",VLOOKUP(D102,[3]Extended!$B$9:$L$101,11,FALSE),VLOOKUP(D102,[3]Extended!$B$9:$M$101,12,FALSE)))),0)</f>
        <v>791975</v>
      </c>
      <c r="P102" s="116">
        <f t="shared" si="6"/>
        <v>0.21</v>
      </c>
      <c r="Q102" s="110" t="e">
        <f>O102-#REF!</f>
        <v>#REF!</v>
      </c>
      <c r="W102" s="311"/>
      <c r="X102" s="311"/>
      <c r="Y102" s="311"/>
      <c r="Z102" s="311"/>
      <c r="AA102" s="311"/>
      <c r="AB102" s="311"/>
      <c r="AC102" s="311"/>
      <c r="AT102" s="88" t="str">
        <f t="shared" si="7"/>
        <v>KP0005902017Q214,7</v>
      </c>
      <c r="AU102" s="89" t="str">
        <f t="shared" si="8"/>
        <v>06-2017</v>
      </c>
      <c r="BA102" s="92" t="str">
        <f t="shared" si="9"/>
        <v>WIP - 30 Days</v>
      </c>
    </row>
    <row r="103" spans="2:53">
      <c r="B103" s="60">
        <f>[2]Trucks!A100</f>
        <v>47146</v>
      </c>
      <c r="C103" s="11" t="str">
        <f>[2]Trucks!B100</f>
        <v>CLA-26-2806X4BB-C-L</v>
      </c>
      <c r="D103" s="19" t="str">
        <f>IFERROR(VLOOKUP(C103&amp;"",'[2]Retail Price List'!$A$3:$B$103,2,FALSE),"Special Order")</f>
        <v>KP000590</v>
      </c>
      <c r="E103" s="18" t="str">
        <f>[2]Trucks!J100</f>
        <v>CKD</v>
      </c>
      <c r="F103" s="12" t="str">
        <f>[2]Trucks!E100</f>
        <v>2017-12-31</v>
      </c>
      <c r="G103" s="56">
        <f>[2]Trucks!K100</f>
        <v>14.7</v>
      </c>
      <c r="H103" s="46">
        <f>[2]Trucks!I100</f>
        <v>42900</v>
      </c>
      <c r="I103" s="83" t="str">
        <f t="shared" si="5"/>
        <v>2017Q2</v>
      </c>
      <c r="J103" s="272">
        <f>IFERROR(VLOOKUP((D103&amp;C103)&amp;"",'[2]Retail Price List'!$C$4:$F$102,3,FALSE),"")</f>
        <v>985000</v>
      </c>
      <c r="K103" s="272">
        <f>IFERROR(IF(BA103="WIP - 30 Days",VLOOKUP(D103,[3]Standard!$B$9:$E$101,4,FALSE),IF(BA103="31-120 Days",VLOOKUP(D103,[3]Standard!$B$9:$F$101,5,FALSE),IF(BA103="121-365 Days",VLOOKUP(D103,[3]Standard!$B$9:$G$101,6,FALSE),VLOOKUP(D103,[3]Standard!$B$9:$H$101,7,FALSE)))),0)</f>
        <v>781203.5</v>
      </c>
      <c r="L103" s="272">
        <f>IFERROR(IF(BA103="WIP - 30 Days",VLOOKUP(D103,[3]Standard!$B$9:$J$101,9,FALSE),IF(BA103="31-120 Days",VLOOKUP(D103,[3]Standard!$B$9:$K$100,10,FALSE),IF(BA103="121-365 Days",VLOOKUP(D103,[3]Standard!$B$9:$L$101,11,FALSE),VLOOKUP(D103,[3]Standard!$B$9:$M$101,12,FALSE)))),0)</f>
        <v>758450</v>
      </c>
      <c r="M103" s="269">
        <f>IFERROR(VLOOKUP((D103&amp;C103)&amp;"",'[2]Retail Price List'!$C$4:$F$102,4,FALSE),"")</f>
        <v>1002500</v>
      </c>
      <c r="N103" s="269">
        <f>IFERROR(IF(BA103="WIP - 30 Days",VLOOKUP(D103,[3]Extended!$B$9:$E$101,4,FALSE),IF(BA103="31-120 Days",VLOOKUP(D103,[3]Extended!$B$9:$F$101,5,FALSE),IF(BA103="121-365 Days",VLOOKUP(D103,[3]Extended!$B$9:$G$101,6,FALSE),VLOOKUP(D103,[3]Extended!$B$9:$H$101,7,FALSE)))),0)</f>
        <v>815734.25</v>
      </c>
      <c r="O103" s="269">
        <f>IFERROR(IF(BA103="WIP - 30 Days",VLOOKUP(D103,[3]Extended!$B$9:$J$101,9,FALSE),IF(BA103="31-120 Days",VLOOKUP(D103,[3]Extended!$B$9:$K$101,10,FALSE),IF(BA103="121-365 Days",VLOOKUP(D103,[3]Extended!$B$9:$L$101,11,FALSE),VLOOKUP(D103,[3]Extended!$B$9:$M$101,12,FALSE)))),0)</f>
        <v>791975</v>
      </c>
      <c r="P103" s="116">
        <f t="shared" si="6"/>
        <v>0.21</v>
      </c>
      <c r="Q103" s="110" t="e">
        <f>O103-#REF!</f>
        <v>#REF!</v>
      </c>
      <c r="W103" s="311"/>
      <c r="X103" s="311"/>
      <c r="Y103" s="311"/>
      <c r="Z103" s="311"/>
      <c r="AA103" s="311"/>
      <c r="AB103" s="311"/>
      <c r="AC103" s="311"/>
      <c r="AT103" s="88" t="str">
        <f t="shared" si="7"/>
        <v>KP0005902017Q214,7</v>
      </c>
      <c r="AU103" s="89" t="str">
        <f t="shared" si="8"/>
        <v>06-2017</v>
      </c>
      <c r="BA103" s="92" t="str">
        <f t="shared" si="9"/>
        <v>WIP - 30 Days</v>
      </c>
    </row>
    <row r="104" spans="2:53">
      <c r="B104" s="60">
        <f>[2]Trucks!A101</f>
        <v>47147</v>
      </c>
      <c r="C104" s="11" t="str">
        <f>[2]Trucks!B101</f>
        <v>CLA-26-2806X4BB-C-L</v>
      </c>
      <c r="D104" s="19" t="str">
        <f>IFERROR(VLOOKUP(C104&amp;"",'[2]Retail Price List'!$A$3:$B$103,2,FALSE),"Special Order")</f>
        <v>KP000590</v>
      </c>
      <c r="E104" s="18" t="str">
        <f>[2]Trucks!J101</f>
        <v>CKD</v>
      </c>
      <c r="F104" s="12" t="str">
        <f>[2]Trucks!E101</f>
        <v>2017-12-31</v>
      </c>
      <c r="G104" s="56">
        <f>[2]Trucks!K101</f>
        <v>14.7</v>
      </c>
      <c r="H104" s="46">
        <f>[2]Trucks!I101</f>
        <v>42900</v>
      </c>
      <c r="I104" s="83" t="str">
        <f t="shared" si="5"/>
        <v>2017Q2</v>
      </c>
      <c r="J104" s="272">
        <f>IFERROR(VLOOKUP((D104&amp;C104)&amp;"",'[2]Retail Price List'!$C$4:$F$102,3,FALSE),"")</f>
        <v>985000</v>
      </c>
      <c r="K104" s="272">
        <f>IFERROR(IF(BA104="WIP - 30 Days",VLOOKUP(D104,[3]Standard!$B$9:$E$101,4,FALSE),IF(BA104="31-120 Days",VLOOKUP(D104,[3]Standard!$B$9:$F$101,5,FALSE),IF(BA104="121-365 Days",VLOOKUP(D104,[3]Standard!$B$9:$G$101,6,FALSE),VLOOKUP(D104,[3]Standard!$B$9:$H$101,7,FALSE)))),0)</f>
        <v>781203.5</v>
      </c>
      <c r="L104" s="272">
        <f>IFERROR(IF(BA104="WIP - 30 Days",VLOOKUP(D104,[3]Standard!$B$9:$J$101,9,FALSE),IF(BA104="31-120 Days",VLOOKUP(D104,[3]Standard!$B$9:$K$100,10,FALSE),IF(BA104="121-365 Days",VLOOKUP(D104,[3]Standard!$B$9:$L$101,11,FALSE),VLOOKUP(D104,[3]Standard!$B$9:$M$101,12,FALSE)))),0)</f>
        <v>758450</v>
      </c>
      <c r="M104" s="269">
        <f>IFERROR(VLOOKUP((D104&amp;C104)&amp;"",'[2]Retail Price List'!$C$4:$F$102,4,FALSE),"")</f>
        <v>1002500</v>
      </c>
      <c r="N104" s="269">
        <f>IFERROR(IF(BA104="WIP - 30 Days",VLOOKUP(D104,[3]Extended!$B$9:$E$101,4,FALSE),IF(BA104="31-120 Days",VLOOKUP(D104,[3]Extended!$B$9:$F$101,5,FALSE),IF(BA104="121-365 Days",VLOOKUP(D104,[3]Extended!$B$9:$G$101,6,FALSE),VLOOKUP(D104,[3]Extended!$B$9:$H$101,7,FALSE)))),0)</f>
        <v>815734.25</v>
      </c>
      <c r="O104" s="269">
        <f>IFERROR(IF(BA104="WIP - 30 Days",VLOOKUP(D104,[3]Extended!$B$9:$J$101,9,FALSE),IF(BA104="31-120 Days",VLOOKUP(D104,[3]Extended!$B$9:$K$101,10,FALSE),IF(BA104="121-365 Days",VLOOKUP(D104,[3]Extended!$B$9:$L$101,11,FALSE),VLOOKUP(D104,[3]Extended!$B$9:$M$101,12,FALSE)))),0)</f>
        <v>791975</v>
      </c>
      <c r="P104" s="116">
        <f t="shared" si="6"/>
        <v>0.21</v>
      </c>
      <c r="Q104" s="110" t="e">
        <f>O104-#REF!</f>
        <v>#REF!</v>
      </c>
      <c r="W104" s="311"/>
      <c r="X104" s="311"/>
      <c r="Y104" s="311"/>
      <c r="Z104" s="311"/>
      <c r="AA104" s="311"/>
      <c r="AB104" s="311"/>
      <c r="AC104" s="311"/>
      <c r="AT104" s="88" t="str">
        <f t="shared" si="7"/>
        <v>KP0005902017Q214,7</v>
      </c>
      <c r="AU104" s="89" t="str">
        <f t="shared" si="8"/>
        <v>06-2017</v>
      </c>
      <c r="BA104" s="92" t="str">
        <f t="shared" si="9"/>
        <v>WIP - 30 Days</v>
      </c>
    </row>
    <row r="105" spans="2:53">
      <c r="B105" s="60">
        <f>[2]Trucks!A102</f>
        <v>47148</v>
      </c>
      <c r="C105" s="11" t="str">
        <f>[2]Trucks!B102</f>
        <v>CLA-26-2806X4BB-C-L</v>
      </c>
      <c r="D105" s="19" t="str">
        <f>IFERROR(VLOOKUP(C105&amp;"",'[2]Retail Price List'!$A$3:$B$103,2,FALSE),"Special Order")</f>
        <v>KP000590</v>
      </c>
      <c r="E105" s="18" t="str">
        <f>[2]Trucks!J102</f>
        <v>CKD</v>
      </c>
      <c r="F105" s="12" t="str">
        <f>[2]Trucks!E102</f>
        <v>2017-12-31</v>
      </c>
      <c r="G105" s="56">
        <f>[2]Trucks!K102</f>
        <v>14.7</v>
      </c>
      <c r="H105" s="46">
        <f>[2]Trucks!I102</f>
        <v>42900</v>
      </c>
      <c r="I105" s="83" t="str">
        <f t="shared" si="5"/>
        <v>2017Q2</v>
      </c>
      <c r="J105" s="272">
        <f>IFERROR(VLOOKUP((D105&amp;C105)&amp;"",'[2]Retail Price List'!$C$4:$F$102,3,FALSE),"")</f>
        <v>985000</v>
      </c>
      <c r="K105" s="272">
        <f>IFERROR(IF(BA105="WIP - 30 Days",VLOOKUP(D105,[3]Standard!$B$9:$E$101,4,FALSE),IF(BA105="31-120 Days",VLOOKUP(D105,[3]Standard!$B$9:$F$101,5,FALSE),IF(BA105="121-365 Days",VLOOKUP(D105,[3]Standard!$B$9:$G$101,6,FALSE),VLOOKUP(D105,[3]Standard!$B$9:$H$101,7,FALSE)))),0)</f>
        <v>781203.5</v>
      </c>
      <c r="L105" s="272">
        <f>IFERROR(IF(BA105="WIP - 30 Days",VLOOKUP(D105,[3]Standard!$B$9:$J$101,9,FALSE),IF(BA105="31-120 Days",VLOOKUP(D105,[3]Standard!$B$9:$K$100,10,FALSE),IF(BA105="121-365 Days",VLOOKUP(D105,[3]Standard!$B$9:$L$101,11,FALSE),VLOOKUP(D105,[3]Standard!$B$9:$M$101,12,FALSE)))),0)</f>
        <v>758450</v>
      </c>
      <c r="M105" s="269">
        <f>IFERROR(VLOOKUP((D105&amp;C105)&amp;"",'[2]Retail Price List'!$C$4:$F$102,4,FALSE),"")</f>
        <v>1002500</v>
      </c>
      <c r="N105" s="269">
        <f>IFERROR(IF(BA105="WIP - 30 Days",VLOOKUP(D105,[3]Extended!$B$9:$E$101,4,FALSE),IF(BA105="31-120 Days",VLOOKUP(D105,[3]Extended!$B$9:$F$101,5,FALSE),IF(BA105="121-365 Days",VLOOKUP(D105,[3]Extended!$B$9:$G$101,6,FALSE),VLOOKUP(D105,[3]Extended!$B$9:$H$101,7,FALSE)))),0)</f>
        <v>815734.25</v>
      </c>
      <c r="O105" s="269">
        <f>IFERROR(IF(BA105="WIP - 30 Days",VLOOKUP(D105,[3]Extended!$B$9:$J$101,9,FALSE),IF(BA105="31-120 Days",VLOOKUP(D105,[3]Extended!$B$9:$K$101,10,FALSE),IF(BA105="121-365 Days",VLOOKUP(D105,[3]Extended!$B$9:$L$101,11,FALSE),VLOOKUP(D105,[3]Extended!$B$9:$M$101,12,FALSE)))),0)</f>
        <v>791975</v>
      </c>
      <c r="P105" s="116">
        <f t="shared" si="6"/>
        <v>0.21</v>
      </c>
      <c r="Q105" s="110" t="e">
        <f>O105-#REF!</f>
        <v>#REF!</v>
      </c>
      <c r="W105" s="311"/>
      <c r="X105" s="311"/>
      <c r="Y105" s="311"/>
      <c r="Z105" s="311"/>
      <c r="AA105" s="311"/>
      <c r="AB105" s="311"/>
      <c r="AC105" s="311"/>
      <c r="AT105" s="88" t="str">
        <f t="shared" si="7"/>
        <v>KP0005902017Q214,7</v>
      </c>
      <c r="AU105" s="89" t="str">
        <f t="shared" si="8"/>
        <v>06-2017</v>
      </c>
      <c r="BA105" s="92" t="str">
        <f t="shared" si="9"/>
        <v>WIP - 30 Days</v>
      </c>
    </row>
    <row r="106" spans="2:53">
      <c r="B106" s="60">
        <f>[2]Trucks!A103</f>
        <v>47149</v>
      </c>
      <c r="C106" s="11" t="str">
        <f>[2]Trucks!B103</f>
        <v>CLA-26-2806X4BB-C-L</v>
      </c>
      <c r="D106" s="19" t="str">
        <f>IFERROR(VLOOKUP(C106&amp;"",'[2]Retail Price List'!$A$3:$B$103,2,FALSE),"Special Order")</f>
        <v>KP000590</v>
      </c>
      <c r="E106" s="18" t="str">
        <f>[2]Trucks!J103</f>
        <v>CKD</v>
      </c>
      <c r="F106" s="12" t="str">
        <f>[2]Trucks!E103</f>
        <v>2017-12-31</v>
      </c>
      <c r="G106" s="56">
        <f>[2]Trucks!K103</f>
        <v>14.7</v>
      </c>
      <c r="H106" s="46">
        <f>[2]Trucks!I103</f>
        <v>42900</v>
      </c>
      <c r="I106" s="83" t="str">
        <f t="shared" si="5"/>
        <v>2017Q2</v>
      </c>
      <c r="J106" s="272">
        <f>IFERROR(VLOOKUP((D106&amp;C106)&amp;"",'[2]Retail Price List'!$C$4:$F$102,3,FALSE),"")</f>
        <v>985000</v>
      </c>
      <c r="K106" s="272">
        <f>IFERROR(IF(BA106="WIP - 30 Days",VLOOKUP(D106,[3]Standard!$B$9:$E$101,4,FALSE),IF(BA106="31-120 Days",VLOOKUP(D106,[3]Standard!$B$9:$F$101,5,FALSE),IF(BA106="121-365 Days",VLOOKUP(D106,[3]Standard!$B$9:$G$101,6,FALSE),VLOOKUP(D106,[3]Standard!$B$9:$H$101,7,FALSE)))),0)</f>
        <v>781203.5</v>
      </c>
      <c r="L106" s="272">
        <f>IFERROR(IF(BA106="WIP - 30 Days",VLOOKUP(D106,[3]Standard!$B$9:$J$101,9,FALSE),IF(BA106="31-120 Days",VLOOKUP(D106,[3]Standard!$B$9:$K$100,10,FALSE),IF(BA106="121-365 Days",VLOOKUP(D106,[3]Standard!$B$9:$L$101,11,FALSE),VLOOKUP(D106,[3]Standard!$B$9:$M$101,12,FALSE)))),0)</f>
        <v>758450</v>
      </c>
      <c r="M106" s="269">
        <f>IFERROR(VLOOKUP((D106&amp;C106)&amp;"",'[2]Retail Price List'!$C$4:$F$102,4,FALSE),"")</f>
        <v>1002500</v>
      </c>
      <c r="N106" s="269">
        <f>IFERROR(IF(BA106="WIP - 30 Days",VLOOKUP(D106,[3]Extended!$B$9:$E$101,4,FALSE),IF(BA106="31-120 Days",VLOOKUP(D106,[3]Extended!$B$9:$F$101,5,FALSE),IF(BA106="121-365 Days",VLOOKUP(D106,[3]Extended!$B$9:$G$101,6,FALSE),VLOOKUP(D106,[3]Extended!$B$9:$H$101,7,FALSE)))),0)</f>
        <v>815734.25</v>
      </c>
      <c r="O106" s="269">
        <f>IFERROR(IF(BA106="WIP - 30 Days",VLOOKUP(D106,[3]Extended!$B$9:$J$101,9,FALSE),IF(BA106="31-120 Days",VLOOKUP(D106,[3]Extended!$B$9:$K$101,10,FALSE),IF(BA106="121-365 Days",VLOOKUP(D106,[3]Extended!$B$9:$L$101,11,FALSE),VLOOKUP(D106,[3]Extended!$B$9:$M$101,12,FALSE)))),0)</f>
        <v>791975</v>
      </c>
      <c r="P106" s="116">
        <f t="shared" si="6"/>
        <v>0.21</v>
      </c>
      <c r="Q106" s="110" t="e">
        <f>O106-#REF!</f>
        <v>#REF!</v>
      </c>
      <c r="W106" s="311"/>
      <c r="X106" s="311"/>
      <c r="Y106" s="311"/>
      <c r="Z106" s="311"/>
      <c r="AA106" s="311"/>
      <c r="AB106" s="311"/>
      <c r="AC106" s="311"/>
      <c r="AT106" s="88" t="str">
        <f t="shared" si="7"/>
        <v>KP0005902017Q214,7</v>
      </c>
      <c r="AU106" s="89" t="str">
        <f t="shared" si="8"/>
        <v>06-2017</v>
      </c>
      <c r="BA106" s="92" t="str">
        <f t="shared" si="9"/>
        <v>WIP - 30 Days</v>
      </c>
    </row>
    <row r="107" spans="2:53">
      <c r="B107" s="60">
        <f>[2]Trucks!A104</f>
        <v>47150</v>
      </c>
      <c r="C107" s="11" t="str">
        <f>[2]Trucks!B104</f>
        <v>CLA-26-2806X4BB-C-L</v>
      </c>
      <c r="D107" s="19" t="str">
        <f>IFERROR(VLOOKUP(C107&amp;"",'[2]Retail Price List'!$A$3:$B$103,2,FALSE),"Special Order")</f>
        <v>KP000590</v>
      </c>
      <c r="E107" s="18" t="str">
        <f>[2]Trucks!J104</f>
        <v>CKD</v>
      </c>
      <c r="F107" s="12" t="str">
        <f>[2]Trucks!E104</f>
        <v>2017-12-31</v>
      </c>
      <c r="G107" s="56">
        <f>[2]Trucks!K104</f>
        <v>14.7</v>
      </c>
      <c r="H107" s="46">
        <f>[2]Trucks!I104</f>
        <v>42900</v>
      </c>
      <c r="I107" s="83" t="str">
        <f t="shared" si="5"/>
        <v>2017Q2</v>
      </c>
      <c r="J107" s="272">
        <f>IFERROR(VLOOKUP((D107&amp;C107)&amp;"",'[2]Retail Price List'!$C$4:$F$102,3,FALSE),"")</f>
        <v>985000</v>
      </c>
      <c r="K107" s="272">
        <f>IFERROR(IF(BA107="WIP - 30 Days",VLOOKUP(D107,[3]Standard!$B$9:$E$101,4,FALSE),IF(BA107="31-120 Days",VLOOKUP(D107,[3]Standard!$B$9:$F$101,5,FALSE),IF(BA107="121-365 Days",VLOOKUP(D107,[3]Standard!$B$9:$G$101,6,FALSE),VLOOKUP(D107,[3]Standard!$B$9:$H$101,7,FALSE)))),0)</f>
        <v>781203.5</v>
      </c>
      <c r="L107" s="272">
        <f>IFERROR(IF(BA107="WIP - 30 Days",VLOOKUP(D107,[3]Standard!$B$9:$J$101,9,FALSE),IF(BA107="31-120 Days",VLOOKUP(D107,[3]Standard!$B$9:$K$100,10,FALSE),IF(BA107="121-365 Days",VLOOKUP(D107,[3]Standard!$B$9:$L$101,11,FALSE),VLOOKUP(D107,[3]Standard!$B$9:$M$101,12,FALSE)))),0)</f>
        <v>758450</v>
      </c>
      <c r="M107" s="269">
        <f>IFERROR(VLOOKUP((D107&amp;C107)&amp;"",'[2]Retail Price List'!$C$4:$F$102,4,FALSE),"")</f>
        <v>1002500</v>
      </c>
      <c r="N107" s="269">
        <f>IFERROR(IF(BA107="WIP - 30 Days",VLOOKUP(D107,[3]Extended!$B$9:$E$101,4,FALSE),IF(BA107="31-120 Days",VLOOKUP(D107,[3]Extended!$B$9:$F$101,5,FALSE),IF(BA107="121-365 Days",VLOOKUP(D107,[3]Extended!$B$9:$G$101,6,FALSE),VLOOKUP(D107,[3]Extended!$B$9:$H$101,7,FALSE)))),0)</f>
        <v>815734.25</v>
      </c>
      <c r="O107" s="269">
        <f>IFERROR(IF(BA107="WIP - 30 Days",VLOOKUP(D107,[3]Extended!$B$9:$J$101,9,FALSE),IF(BA107="31-120 Days",VLOOKUP(D107,[3]Extended!$B$9:$K$101,10,FALSE),IF(BA107="121-365 Days",VLOOKUP(D107,[3]Extended!$B$9:$L$101,11,FALSE),VLOOKUP(D107,[3]Extended!$B$9:$M$101,12,FALSE)))),0)</f>
        <v>791975</v>
      </c>
      <c r="P107" s="116">
        <f t="shared" si="6"/>
        <v>0.21</v>
      </c>
      <c r="Q107" s="110" t="e">
        <f>O107-#REF!</f>
        <v>#REF!</v>
      </c>
      <c r="W107" s="311"/>
      <c r="X107" s="311"/>
      <c r="Y107" s="311"/>
      <c r="Z107" s="311"/>
      <c r="AA107" s="311"/>
      <c r="AB107" s="311"/>
      <c r="AC107" s="311"/>
      <c r="AT107" s="88" t="str">
        <f t="shared" si="7"/>
        <v>KP0005902017Q214,7</v>
      </c>
      <c r="AU107" s="89" t="str">
        <f t="shared" si="8"/>
        <v>06-2017</v>
      </c>
      <c r="BA107" s="92" t="str">
        <f t="shared" si="9"/>
        <v>WIP - 30 Days</v>
      </c>
    </row>
    <row r="108" spans="2:53">
      <c r="B108" s="60">
        <f>[2]Trucks!A105</f>
        <v>47157</v>
      </c>
      <c r="C108" s="11" t="str">
        <f>[2]Trucks!B105</f>
        <v>CLA-26-2806X4BB-C-L</v>
      </c>
      <c r="D108" s="19" t="str">
        <f>IFERROR(VLOOKUP(C108&amp;"",'[2]Retail Price List'!$A$3:$B$103,2,FALSE),"Special Order")</f>
        <v>KP000590</v>
      </c>
      <c r="E108" s="18" t="str">
        <f>[2]Trucks!J105</f>
        <v>CKD</v>
      </c>
      <c r="F108" s="12" t="str">
        <f>[2]Trucks!E105</f>
        <v>2017-12-31</v>
      </c>
      <c r="G108" s="56">
        <f>[2]Trucks!K105</f>
        <v>14.7</v>
      </c>
      <c r="H108" s="46">
        <f>[2]Trucks!I105</f>
        <v>42900</v>
      </c>
      <c r="I108" s="83" t="str">
        <f t="shared" si="5"/>
        <v>2017Q2</v>
      </c>
      <c r="J108" s="272">
        <f>IFERROR(VLOOKUP((D108&amp;C108)&amp;"",'[2]Retail Price List'!$C$4:$F$102,3,FALSE),"")</f>
        <v>985000</v>
      </c>
      <c r="K108" s="272">
        <f>IFERROR(IF(BA108="WIP - 30 Days",VLOOKUP(D108,[3]Standard!$B$9:$E$101,4,FALSE),IF(BA108="31-120 Days",VLOOKUP(D108,[3]Standard!$B$9:$F$101,5,FALSE),IF(BA108="121-365 Days",VLOOKUP(D108,[3]Standard!$B$9:$G$101,6,FALSE),VLOOKUP(D108,[3]Standard!$B$9:$H$101,7,FALSE)))),0)</f>
        <v>781203.5</v>
      </c>
      <c r="L108" s="272">
        <f>IFERROR(IF(BA108="WIP - 30 Days",VLOOKUP(D108,[3]Standard!$B$9:$J$101,9,FALSE),IF(BA108="31-120 Days",VLOOKUP(D108,[3]Standard!$B$9:$K$100,10,FALSE),IF(BA108="121-365 Days",VLOOKUP(D108,[3]Standard!$B$9:$L$101,11,FALSE),VLOOKUP(D108,[3]Standard!$B$9:$M$101,12,FALSE)))),0)</f>
        <v>758450</v>
      </c>
      <c r="M108" s="269">
        <f>IFERROR(VLOOKUP((D108&amp;C108)&amp;"",'[2]Retail Price List'!$C$4:$F$102,4,FALSE),"")</f>
        <v>1002500</v>
      </c>
      <c r="N108" s="269">
        <f>IFERROR(IF(BA108="WIP - 30 Days",VLOOKUP(D108,[3]Extended!$B$9:$E$101,4,FALSE),IF(BA108="31-120 Days",VLOOKUP(D108,[3]Extended!$B$9:$F$101,5,FALSE),IF(BA108="121-365 Days",VLOOKUP(D108,[3]Extended!$B$9:$G$101,6,FALSE),VLOOKUP(D108,[3]Extended!$B$9:$H$101,7,FALSE)))),0)</f>
        <v>815734.25</v>
      </c>
      <c r="O108" s="269">
        <f>IFERROR(IF(BA108="WIP - 30 Days",VLOOKUP(D108,[3]Extended!$B$9:$J$101,9,FALSE),IF(BA108="31-120 Days",VLOOKUP(D108,[3]Extended!$B$9:$K$101,10,FALSE),IF(BA108="121-365 Days",VLOOKUP(D108,[3]Extended!$B$9:$L$101,11,FALSE),VLOOKUP(D108,[3]Extended!$B$9:$M$101,12,FALSE)))),0)</f>
        <v>791975</v>
      </c>
      <c r="P108" s="116">
        <f t="shared" si="6"/>
        <v>0.21</v>
      </c>
      <c r="Q108" s="110" t="e">
        <f>O108-#REF!</f>
        <v>#REF!</v>
      </c>
      <c r="W108" s="311"/>
      <c r="X108" s="311"/>
      <c r="Y108" s="311"/>
      <c r="Z108" s="311"/>
      <c r="AA108" s="311"/>
      <c r="AB108" s="311"/>
      <c r="AC108" s="311"/>
      <c r="AT108" s="88" t="str">
        <f t="shared" si="7"/>
        <v>KP0005902017Q214,7</v>
      </c>
      <c r="AU108" s="89" t="str">
        <f t="shared" si="8"/>
        <v>06-2017</v>
      </c>
      <c r="BA108" s="92" t="str">
        <f t="shared" si="9"/>
        <v>WIP - 30 Days</v>
      </c>
    </row>
    <row r="109" spans="2:53">
      <c r="B109" s="60">
        <f>[2]Trucks!A106</f>
        <v>47158</v>
      </c>
      <c r="C109" s="11" t="str">
        <f>[2]Trucks!B106</f>
        <v>CLA-26-2806X4BB-C-L</v>
      </c>
      <c r="D109" s="19" t="str">
        <f>IFERROR(VLOOKUP(C109&amp;"",'[2]Retail Price List'!$A$3:$B$103,2,FALSE),"Special Order")</f>
        <v>KP000590</v>
      </c>
      <c r="E109" s="18" t="str">
        <f>[2]Trucks!J106</f>
        <v>CKD</v>
      </c>
      <c r="F109" s="12" t="str">
        <f>[2]Trucks!E106</f>
        <v>2017-12-31</v>
      </c>
      <c r="G109" s="56">
        <f>[2]Trucks!K106</f>
        <v>14.7</v>
      </c>
      <c r="H109" s="46">
        <f>[2]Trucks!I106</f>
        <v>42900</v>
      </c>
      <c r="I109" s="83" t="str">
        <f t="shared" si="5"/>
        <v>2017Q2</v>
      </c>
      <c r="J109" s="272">
        <f>IFERROR(VLOOKUP((D109&amp;C109)&amp;"",'[2]Retail Price List'!$C$4:$F$102,3,FALSE),"")</f>
        <v>985000</v>
      </c>
      <c r="K109" s="272">
        <f>IFERROR(IF(BA109="WIP - 30 Days",VLOOKUP(D109,[3]Standard!$B$9:$E$101,4,FALSE),IF(BA109="31-120 Days",VLOOKUP(D109,[3]Standard!$B$9:$F$101,5,FALSE),IF(BA109="121-365 Days",VLOOKUP(D109,[3]Standard!$B$9:$G$101,6,FALSE),VLOOKUP(D109,[3]Standard!$B$9:$H$101,7,FALSE)))),0)</f>
        <v>781203.5</v>
      </c>
      <c r="L109" s="272">
        <f>IFERROR(IF(BA109="WIP - 30 Days",VLOOKUP(D109,[3]Standard!$B$9:$J$101,9,FALSE),IF(BA109="31-120 Days",VLOOKUP(D109,[3]Standard!$B$9:$K$100,10,FALSE),IF(BA109="121-365 Days",VLOOKUP(D109,[3]Standard!$B$9:$L$101,11,FALSE),VLOOKUP(D109,[3]Standard!$B$9:$M$101,12,FALSE)))),0)</f>
        <v>758450</v>
      </c>
      <c r="M109" s="269">
        <f>IFERROR(VLOOKUP((D109&amp;C109)&amp;"",'[2]Retail Price List'!$C$4:$F$102,4,FALSE),"")</f>
        <v>1002500</v>
      </c>
      <c r="N109" s="269">
        <f>IFERROR(IF(BA109="WIP - 30 Days",VLOOKUP(D109,[3]Extended!$B$9:$E$101,4,FALSE),IF(BA109="31-120 Days",VLOOKUP(D109,[3]Extended!$B$9:$F$101,5,FALSE),IF(BA109="121-365 Days",VLOOKUP(D109,[3]Extended!$B$9:$G$101,6,FALSE),VLOOKUP(D109,[3]Extended!$B$9:$H$101,7,FALSE)))),0)</f>
        <v>815734.25</v>
      </c>
      <c r="O109" s="269">
        <f>IFERROR(IF(BA109="WIP - 30 Days",VLOOKUP(D109,[3]Extended!$B$9:$J$101,9,FALSE),IF(BA109="31-120 Days",VLOOKUP(D109,[3]Extended!$B$9:$K$101,10,FALSE),IF(BA109="121-365 Days",VLOOKUP(D109,[3]Extended!$B$9:$L$101,11,FALSE),VLOOKUP(D109,[3]Extended!$B$9:$M$101,12,FALSE)))),0)</f>
        <v>791975</v>
      </c>
      <c r="P109" s="116">
        <f t="shared" si="6"/>
        <v>0.21</v>
      </c>
      <c r="Q109" s="110" t="e">
        <f>O109-#REF!</f>
        <v>#REF!</v>
      </c>
      <c r="W109" s="311"/>
      <c r="X109" s="311"/>
      <c r="Y109" s="311"/>
      <c r="Z109" s="311"/>
      <c r="AA109" s="311"/>
      <c r="AB109" s="311"/>
      <c r="AC109" s="311"/>
      <c r="AT109" s="88" t="str">
        <f t="shared" si="7"/>
        <v>KP0005902017Q214,7</v>
      </c>
      <c r="AU109" s="89" t="str">
        <f t="shared" si="8"/>
        <v>06-2017</v>
      </c>
      <c r="BA109" s="92" t="str">
        <f t="shared" si="9"/>
        <v>WIP - 30 Days</v>
      </c>
    </row>
    <row r="110" spans="2:53">
      <c r="B110" s="60">
        <f>[2]Trucks!A107</f>
        <v>47159</v>
      </c>
      <c r="C110" s="11" t="str">
        <f>[2]Trucks!B107</f>
        <v>CLA-26-2806X4BB-C-L</v>
      </c>
      <c r="D110" s="19" t="str">
        <f>IFERROR(VLOOKUP(C110&amp;"",'[2]Retail Price List'!$A$3:$B$103,2,FALSE),"Special Order")</f>
        <v>KP000590</v>
      </c>
      <c r="E110" s="18" t="str">
        <f>[2]Trucks!J107</f>
        <v>CKD</v>
      </c>
      <c r="F110" s="12" t="str">
        <f>[2]Trucks!E107</f>
        <v>2017-12-31</v>
      </c>
      <c r="G110" s="56">
        <f>[2]Trucks!K107</f>
        <v>14.7</v>
      </c>
      <c r="H110" s="46">
        <f>[2]Trucks!I107</f>
        <v>42900</v>
      </c>
      <c r="I110" s="83" t="str">
        <f t="shared" si="5"/>
        <v>2017Q2</v>
      </c>
      <c r="J110" s="272">
        <f>IFERROR(VLOOKUP((D110&amp;C110)&amp;"",'[2]Retail Price List'!$C$4:$F$102,3,FALSE),"")</f>
        <v>985000</v>
      </c>
      <c r="K110" s="272">
        <f>IFERROR(IF(BA110="WIP - 30 Days",VLOOKUP(D110,[3]Standard!$B$9:$E$101,4,FALSE),IF(BA110="31-120 Days",VLOOKUP(D110,[3]Standard!$B$9:$F$101,5,FALSE),IF(BA110="121-365 Days",VLOOKUP(D110,[3]Standard!$B$9:$G$101,6,FALSE),VLOOKUP(D110,[3]Standard!$B$9:$H$101,7,FALSE)))),0)</f>
        <v>781203.5</v>
      </c>
      <c r="L110" s="272">
        <f>IFERROR(IF(BA110="WIP - 30 Days",VLOOKUP(D110,[3]Standard!$B$9:$J$101,9,FALSE),IF(BA110="31-120 Days",VLOOKUP(D110,[3]Standard!$B$9:$K$100,10,FALSE),IF(BA110="121-365 Days",VLOOKUP(D110,[3]Standard!$B$9:$L$101,11,FALSE),VLOOKUP(D110,[3]Standard!$B$9:$M$101,12,FALSE)))),0)</f>
        <v>758450</v>
      </c>
      <c r="M110" s="269">
        <f>IFERROR(VLOOKUP((D110&amp;C110)&amp;"",'[2]Retail Price List'!$C$4:$F$102,4,FALSE),"")</f>
        <v>1002500</v>
      </c>
      <c r="N110" s="269">
        <f>IFERROR(IF(BA110="WIP - 30 Days",VLOOKUP(D110,[3]Extended!$B$9:$E$101,4,FALSE),IF(BA110="31-120 Days",VLOOKUP(D110,[3]Extended!$B$9:$F$101,5,FALSE),IF(BA110="121-365 Days",VLOOKUP(D110,[3]Extended!$B$9:$G$101,6,FALSE),VLOOKUP(D110,[3]Extended!$B$9:$H$101,7,FALSE)))),0)</f>
        <v>815734.25</v>
      </c>
      <c r="O110" s="269">
        <f>IFERROR(IF(BA110="WIP - 30 Days",VLOOKUP(D110,[3]Extended!$B$9:$J$101,9,FALSE),IF(BA110="31-120 Days",VLOOKUP(D110,[3]Extended!$B$9:$K$101,10,FALSE),IF(BA110="121-365 Days",VLOOKUP(D110,[3]Extended!$B$9:$L$101,11,FALSE),VLOOKUP(D110,[3]Extended!$B$9:$M$101,12,FALSE)))),0)</f>
        <v>791975</v>
      </c>
      <c r="P110" s="116">
        <f t="shared" si="6"/>
        <v>0.21</v>
      </c>
      <c r="Q110" s="110" t="e">
        <f>O110-#REF!</f>
        <v>#REF!</v>
      </c>
      <c r="W110" s="311"/>
      <c r="X110" s="311"/>
      <c r="Y110" s="311"/>
      <c r="Z110" s="311"/>
      <c r="AA110" s="311"/>
      <c r="AB110" s="311"/>
      <c r="AC110" s="311"/>
      <c r="AT110" s="88" t="str">
        <f t="shared" si="7"/>
        <v>KP0005902017Q214,7</v>
      </c>
      <c r="AU110" s="89" t="str">
        <f t="shared" si="8"/>
        <v>06-2017</v>
      </c>
      <c r="BA110" s="92" t="str">
        <f t="shared" si="9"/>
        <v>WIP - 30 Days</v>
      </c>
    </row>
    <row r="111" spans="2:53">
      <c r="B111" s="60">
        <f>[2]Trucks!A108</f>
        <v>47160</v>
      </c>
      <c r="C111" s="11" t="str">
        <f>[2]Trucks!B108</f>
        <v>CLA-26-2806X4BB-C-L</v>
      </c>
      <c r="D111" s="19" t="str">
        <f>IFERROR(VLOOKUP(C111&amp;"",'[2]Retail Price List'!$A$3:$B$103,2,FALSE),"Special Order")</f>
        <v>KP000590</v>
      </c>
      <c r="E111" s="18" t="str">
        <f>[2]Trucks!J108</f>
        <v>CKD</v>
      </c>
      <c r="F111" s="12" t="str">
        <f>[2]Trucks!E108</f>
        <v>2017-12-31</v>
      </c>
      <c r="G111" s="56">
        <f>[2]Trucks!K108</f>
        <v>14.7</v>
      </c>
      <c r="H111" s="46">
        <f>[2]Trucks!I108</f>
        <v>42900</v>
      </c>
      <c r="I111" s="83" t="str">
        <f t="shared" si="5"/>
        <v>2017Q2</v>
      </c>
      <c r="J111" s="272">
        <f>IFERROR(VLOOKUP((D111&amp;C111)&amp;"",'[2]Retail Price List'!$C$4:$F$102,3,FALSE),"")</f>
        <v>985000</v>
      </c>
      <c r="K111" s="272">
        <f>IFERROR(IF(BA111="WIP - 30 Days",VLOOKUP(D111,[3]Standard!$B$9:$E$101,4,FALSE),IF(BA111="31-120 Days",VLOOKUP(D111,[3]Standard!$B$9:$F$101,5,FALSE),IF(BA111="121-365 Days",VLOOKUP(D111,[3]Standard!$B$9:$G$101,6,FALSE),VLOOKUP(D111,[3]Standard!$B$9:$H$101,7,FALSE)))),0)</f>
        <v>781203.5</v>
      </c>
      <c r="L111" s="272">
        <f>IFERROR(IF(BA111="WIP - 30 Days",VLOOKUP(D111,[3]Standard!$B$9:$J$101,9,FALSE),IF(BA111="31-120 Days",VLOOKUP(D111,[3]Standard!$B$9:$K$100,10,FALSE),IF(BA111="121-365 Days",VLOOKUP(D111,[3]Standard!$B$9:$L$101,11,FALSE),VLOOKUP(D111,[3]Standard!$B$9:$M$101,12,FALSE)))),0)</f>
        <v>758450</v>
      </c>
      <c r="M111" s="269">
        <f>IFERROR(VLOOKUP((D111&amp;C111)&amp;"",'[2]Retail Price List'!$C$4:$F$102,4,FALSE),"")</f>
        <v>1002500</v>
      </c>
      <c r="N111" s="269">
        <f>IFERROR(IF(BA111="WIP - 30 Days",VLOOKUP(D111,[3]Extended!$B$9:$E$101,4,FALSE),IF(BA111="31-120 Days",VLOOKUP(D111,[3]Extended!$B$9:$F$101,5,FALSE),IF(BA111="121-365 Days",VLOOKUP(D111,[3]Extended!$B$9:$G$101,6,FALSE),VLOOKUP(D111,[3]Extended!$B$9:$H$101,7,FALSE)))),0)</f>
        <v>815734.25</v>
      </c>
      <c r="O111" s="269">
        <f>IFERROR(IF(BA111="WIP - 30 Days",VLOOKUP(D111,[3]Extended!$B$9:$J$101,9,FALSE),IF(BA111="31-120 Days",VLOOKUP(D111,[3]Extended!$B$9:$K$101,10,FALSE),IF(BA111="121-365 Days",VLOOKUP(D111,[3]Extended!$B$9:$L$101,11,FALSE),VLOOKUP(D111,[3]Extended!$B$9:$M$101,12,FALSE)))),0)</f>
        <v>791975</v>
      </c>
      <c r="P111" s="116">
        <f t="shared" si="6"/>
        <v>0.21</v>
      </c>
      <c r="Q111" s="110" t="e">
        <f>O111-#REF!</f>
        <v>#REF!</v>
      </c>
      <c r="W111" s="311"/>
      <c r="X111" s="311"/>
      <c r="Y111" s="311"/>
      <c r="Z111" s="311"/>
      <c r="AA111" s="311"/>
      <c r="AB111" s="311"/>
      <c r="AC111" s="311"/>
      <c r="AT111" s="88" t="str">
        <f t="shared" si="7"/>
        <v>KP0005902017Q214,7</v>
      </c>
      <c r="AU111" s="89" t="str">
        <f t="shared" si="8"/>
        <v>06-2017</v>
      </c>
      <c r="BA111" s="92" t="str">
        <f t="shared" si="9"/>
        <v>WIP - 30 Days</v>
      </c>
    </row>
    <row r="112" spans="2:53">
      <c r="B112" s="60">
        <f>[2]Trucks!A109</f>
        <v>47161</v>
      </c>
      <c r="C112" s="11" t="str">
        <f>[2]Trucks!B109</f>
        <v>CLA-26-2806X4BB-C-L</v>
      </c>
      <c r="D112" s="19" t="str">
        <f>IFERROR(VLOOKUP(C112&amp;"",'[2]Retail Price List'!$A$3:$B$103,2,FALSE),"Special Order")</f>
        <v>KP000590</v>
      </c>
      <c r="E112" s="18" t="str">
        <f>[2]Trucks!J109</f>
        <v>CKD</v>
      </c>
      <c r="F112" s="12" t="str">
        <f>[2]Trucks!E109</f>
        <v>2017-12-31</v>
      </c>
      <c r="G112" s="56">
        <f>[2]Trucks!K109</f>
        <v>14.7</v>
      </c>
      <c r="H112" s="46">
        <f>[2]Trucks!I109</f>
        <v>42900</v>
      </c>
      <c r="I112" s="83" t="str">
        <f t="shared" si="5"/>
        <v>2017Q2</v>
      </c>
      <c r="J112" s="272">
        <f>IFERROR(VLOOKUP((D112&amp;C112)&amp;"",'[2]Retail Price List'!$C$4:$F$102,3,FALSE),"")</f>
        <v>985000</v>
      </c>
      <c r="K112" s="272">
        <f>IFERROR(IF(BA112="WIP - 30 Days",VLOOKUP(D112,[3]Standard!$B$9:$E$101,4,FALSE),IF(BA112="31-120 Days",VLOOKUP(D112,[3]Standard!$B$9:$F$101,5,FALSE),IF(BA112="121-365 Days",VLOOKUP(D112,[3]Standard!$B$9:$G$101,6,FALSE),VLOOKUP(D112,[3]Standard!$B$9:$H$101,7,FALSE)))),0)</f>
        <v>781203.5</v>
      </c>
      <c r="L112" s="272">
        <f>IFERROR(IF(BA112="WIP - 30 Days",VLOOKUP(D112,[3]Standard!$B$9:$J$101,9,FALSE),IF(BA112="31-120 Days",VLOOKUP(D112,[3]Standard!$B$9:$K$100,10,FALSE),IF(BA112="121-365 Days",VLOOKUP(D112,[3]Standard!$B$9:$L$101,11,FALSE),VLOOKUP(D112,[3]Standard!$B$9:$M$101,12,FALSE)))),0)</f>
        <v>758450</v>
      </c>
      <c r="M112" s="269">
        <f>IFERROR(VLOOKUP((D112&amp;C112)&amp;"",'[2]Retail Price List'!$C$4:$F$102,4,FALSE),"")</f>
        <v>1002500</v>
      </c>
      <c r="N112" s="269">
        <f>IFERROR(IF(BA112="WIP - 30 Days",VLOOKUP(D112,[3]Extended!$B$9:$E$101,4,FALSE),IF(BA112="31-120 Days",VLOOKUP(D112,[3]Extended!$B$9:$F$101,5,FALSE),IF(BA112="121-365 Days",VLOOKUP(D112,[3]Extended!$B$9:$G$101,6,FALSE),VLOOKUP(D112,[3]Extended!$B$9:$H$101,7,FALSE)))),0)</f>
        <v>815734.25</v>
      </c>
      <c r="O112" s="269">
        <f>IFERROR(IF(BA112="WIP - 30 Days",VLOOKUP(D112,[3]Extended!$B$9:$J$101,9,FALSE),IF(BA112="31-120 Days",VLOOKUP(D112,[3]Extended!$B$9:$K$101,10,FALSE),IF(BA112="121-365 Days",VLOOKUP(D112,[3]Extended!$B$9:$L$101,11,FALSE),VLOOKUP(D112,[3]Extended!$B$9:$M$101,12,FALSE)))),0)</f>
        <v>791975</v>
      </c>
      <c r="P112" s="116">
        <f t="shared" si="6"/>
        <v>0.21</v>
      </c>
      <c r="Q112" s="110" t="e">
        <f>O112-#REF!</f>
        <v>#REF!</v>
      </c>
      <c r="W112" s="311"/>
      <c r="X112" s="311"/>
      <c r="Y112" s="311"/>
      <c r="Z112" s="311"/>
      <c r="AA112" s="311"/>
      <c r="AB112" s="311"/>
      <c r="AC112" s="311"/>
      <c r="AT112" s="88" t="str">
        <f t="shared" si="7"/>
        <v>KP0005902017Q214,7</v>
      </c>
      <c r="AU112" s="89" t="str">
        <f t="shared" si="8"/>
        <v>06-2017</v>
      </c>
      <c r="BA112" s="92" t="str">
        <f t="shared" si="9"/>
        <v>WIP - 30 Days</v>
      </c>
    </row>
    <row r="113" spans="1:56">
      <c r="B113" s="60">
        <f>[2]Trucks!A110</f>
        <v>47162</v>
      </c>
      <c r="C113" s="11" t="str">
        <f>[2]Trucks!B110</f>
        <v>CLA-26-2806X4BB-C-L</v>
      </c>
      <c r="D113" s="19" t="str">
        <f>IFERROR(VLOOKUP(C113&amp;"",'[2]Retail Price List'!$A$3:$B$103,2,FALSE),"Special Order")</f>
        <v>KP000590</v>
      </c>
      <c r="E113" s="18" t="str">
        <f>[2]Trucks!J110</f>
        <v>CKD</v>
      </c>
      <c r="F113" s="12" t="str">
        <f>[2]Trucks!E110</f>
        <v>2017-12-31</v>
      </c>
      <c r="G113" s="56">
        <f>[2]Trucks!K110</f>
        <v>14.7</v>
      </c>
      <c r="H113" s="46">
        <f>[2]Trucks!I110</f>
        <v>42900</v>
      </c>
      <c r="I113" s="83" t="str">
        <f t="shared" si="5"/>
        <v>2017Q2</v>
      </c>
      <c r="J113" s="272">
        <f>IFERROR(VLOOKUP((D113&amp;C113)&amp;"",'[2]Retail Price List'!$C$4:$F$102,3,FALSE),"")</f>
        <v>985000</v>
      </c>
      <c r="K113" s="272">
        <f>IFERROR(IF(BA113="WIP - 30 Days",VLOOKUP(D113,[3]Standard!$B$9:$E$101,4,FALSE),IF(BA113="31-120 Days",VLOOKUP(D113,[3]Standard!$B$9:$F$101,5,FALSE),IF(BA113="121-365 Days",VLOOKUP(D113,[3]Standard!$B$9:$G$101,6,FALSE),VLOOKUP(D113,[3]Standard!$B$9:$H$101,7,FALSE)))),0)</f>
        <v>781203.5</v>
      </c>
      <c r="L113" s="272">
        <f>IFERROR(IF(BA113="WIP - 30 Days",VLOOKUP(D113,[3]Standard!$B$9:$J$101,9,FALSE),IF(BA113="31-120 Days",VLOOKUP(D113,[3]Standard!$B$9:$K$100,10,FALSE),IF(BA113="121-365 Days",VLOOKUP(D113,[3]Standard!$B$9:$L$101,11,FALSE),VLOOKUP(D113,[3]Standard!$B$9:$M$101,12,FALSE)))),0)</f>
        <v>758450</v>
      </c>
      <c r="M113" s="269">
        <f>IFERROR(VLOOKUP((D113&amp;C113)&amp;"",'[2]Retail Price List'!$C$4:$F$102,4,FALSE),"")</f>
        <v>1002500</v>
      </c>
      <c r="N113" s="269">
        <f>IFERROR(IF(BA113="WIP - 30 Days",VLOOKUP(D113,[3]Extended!$B$9:$E$101,4,FALSE),IF(BA113="31-120 Days",VLOOKUP(D113,[3]Extended!$B$9:$F$101,5,FALSE),IF(BA113="121-365 Days",VLOOKUP(D113,[3]Extended!$B$9:$G$101,6,FALSE),VLOOKUP(D113,[3]Extended!$B$9:$H$101,7,FALSE)))),0)</f>
        <v>815734.25</v>
      </c>
      <c r="O113" s="269">
        <f>IFERROR(IF(BA113="WIP - 30 Days",VLOOKUP(D113,[3]Extended!$B$9:$J$101,9,FALSE),IF(BA113="31-120 Days",VLOOKUP(D113,[3]Extended!$B$9:$K$101,10,FALSE),IF(BA113="121-365 Days",VLOOKUP(D113,[3]Extended!$B$9:$L$101,11,FALSE),VLOOKUP(D113,[3]Extended!$B$9:$M$101,12,FALSE)))),0)</f>
        <v>791975</v>
      </c>
      <c r="P113" s="116">
        <f t="shared" si="6"/>
        <v>0.21</v>
      </c>
      <c r="Q113" s="110" t="e">
        <f>O113-#REF!</f>
        <v>#REF!</v>
      </c>
      <c r="W113" s="311"/>
      <c r="X113" s="311"/>
      <c r="Y113" s="311"/>
      <c r="Z113" s="311"/>
      <c r="AA113" s="311"/>
      <c r="AB113" s="311"/>
      <c r="AC113" s="311"/>
      <c r="AT113" s="88" t="str">
        <f t="shared" si="7"/>
        <v>KP0005902017Q214,7</v>
      </c>
      <c r="AU113" s="89" t="str">
        <f t="shared" si="8"/>
        <v>06-2017</v>
      </c>
      <c r="BA113" s="92" t="str">
        <f t="shared" si="9"/>
        <v>WIP - 30 Days</v>
      </c>
    </row>
    <row r="114" spans="1:56">
      <c r="B114" s="60">
        <f>[2]Trucks!A111</f>
        <v>47498</v>
      </c>
      <c r="C114" s="11" t="str">
        <f>[2]Trucks!B111</f>
        <v>CLA-26-2806X4BB-C-L</v>
      </c>
      <c r="D114" s="19" t="str">
        <f>IFERROR(VLOOKUP(C114&amp;"",'[2]Retail Price List'!$A$3:$B$103,2,FALSE),"Special Order")</f>
        <v>KP000590</v>
      </c>
      <c r="E114" s="18" t="str">
        <f>[2]Trucks!J111</f>
        <v>CKD</v>
      </c>
      <c r="F114" s="12" t="str">
        <f>[2]Trucks!E111</f>
        <v>2017-12-3</v>
      </c>
      <c r="G114" s="56">
        <f>[2]Trucks!K111</f>
        <v>14.7</v>
      </c>
      <c r="H114" s="46">
        <f>[2]Trucks!I111</f>
        <v>42937</v>
      </c>
      <c r="I114" s="83" t="str">
        <f t="shared" si="5"/>
        <v>2017Q3</v>
      </c>
      <c r="J114" s="272">
        <f>IFERROR(VLOOKUP((D114&amp;C114)&amp;"",'[2]Retail Price List'!$C$4:$F$102,3,FALSE),"")</f>
        <v>985000</v>
      </c>
      <c r="K114" s="272">
        <f>IFERROR(IF(BA114="WIP - 30 Days",VLOOKUP(D114,[3]Standard!$B$9:$E$101,4,FALSE),IF(BA114="31-120 Days",VLOOKUP(D114,[3]Standard!$B$9:$F$101,5,FALSE),IF(BA114="121-365 Days",VLOOKUP(D114,[3]Standard!$B$9:$G$101,6,FALSE),VLOOKUP(D114,[3]Standard!$B$9:$H$101,7,FALSE)))),0)</f>
        <v>781203.5</v>
      </c>
      <c r="L114" s="272">
        <f>IFERROR(IF(BA114="WIP - 30 Days",VLOOKUP(D114,[3]Standard!$B$9:$J$101,9,FALSE),IF(BA114="31-120 Days",VLOOKUP(D114,[3]Standard!$B$9:$K$100,10,FALSE),IF(BA114="121-365 Days",VLOOKUP(D114,[3]Standard!$B$9:$L$101,11,FALSE),VLOOKUP(D114,[3]Standard!$B$9:$M$101,12,FALSE)))),0)</f>
        <v>758450</v>
      </c>
      <c r="M114" s="269">
        <f>IFERROR(VLOOKUP((D114&amp;C114)&amp;"",'[2]Retail Price List'!$C$4:$F$102,4,FALSE),"")</f>
        <v>1002500</v>
      </c>
      <c r="N114" s="269">
        <f>IFERROR(IF(BA114="WIP - 30 Days",VLOOKUP(D114,[3]Extended!$B$9:$E$101,4,FALSE),IF(BA114="31-120 Days",VLOOKUP(D114,[3]Extended!$B$9:$F$101,5,FALSE),IF(BA114="121-365 Days",VLOOKUP(D114,[3]Extended!$B$9:$G$101,6,FALSE),VLOOKUP(D114,[3]Extended!$B$9:$H$101,7,FALSE)))),0)</f>
        <v>815734.25</v>
      </c>
      <c r="O114" s="269">
        <f>IFERROR(IF(BA114="WIP - 30 Days",VLOOKUP(D114,[3]Extended!$B$9:$J$101,9,FALSE),IF(BA114="31-120 Days",VLOOKUP(D114,[3]Extended!$B$9:$K$101,10,FALSE),IF(BA114="121-365 Days",VLOOKUP(D114,[3]Extended!$B$9:$L$101,11,FALSE),VLOOKUP(D114,[3]Extended!$B$9:$M$101,12,FALSE)))),0)</f>
        <v>791975</v>
      </c>
      <c r="P114" s="116">
        <f t="shared" si="6"/>
        <v>0.21</v>
      </c>
      <c r="Q114" s="110" t="e">
        <f>O114-#REF!</f>
        <v>#REF!</v>
      </c>
      <c r="W114" s="311"/>
      <c r="X114" s="311"/>
      <c r="Y114" s="311"/>
      <c r="Z114" s="311"/>
      <c r="AA114" s="311"/>
      <c r="AB114" s="311"/>
      <c r="AC114" s="311"/>
      <c r="AT114" s="88" t="str">
        <f t="shared" si="7"/>
        <v>KP0005902017Q314,7</v>
      </c>
      <c r="AU114" s="89" t="str">
        <f t="shared" si="8"/>
        <v>07-2017</v>
      </c>
      <c r="BA114" s="92" t="str">
        <f t="shared" si="9"/>
        <v>WIP - 30 Days</v>
      </c>
    </row>
    <row r="115" spans="1:56" s="4" customFormat="1">
      <c r="A115" s="69"/>
      <c r="B115" s="60">
        <f>[2]Trucks!A112</f>
        <v>47499</v>
      </c>
      <c r="C115" s="11" t="str">
        <f>[2]Trucks!B112</f>
        <v>CLA-26-2806X4BB-C-L</v>
      </c>
      <c r="D115" s="19" t="str">
        <f>IFERROR(VLOOKUP(C115&amp;"",'[2]Retail Price List'!$A$3:$B$103,2,FALSE),"Special Order")</f>
        <v>KP000590</v>
      </c>
      <c r="E115" s="18" t="str">
        <f>[2]Trucks!J112</f>
        <v>CKD</v>
      </c>
      <c r="F115" s="12" t="str">
        <f>[2]Trucks!E112</f>
        <v>2017-12-3</v>
      </c>
      <c r="G115" s="56">
        <f>[2]Trucks!K112</f>
        <v>14.7</v>
      </c>
      <c r="H115" s="46">
        <f>[2]Trucks!I112</f>
        <v>42937</v>
      </c>
      <c r="I115" s="83" t="str">
        <f t="shared" si="5"/>
        <v>2017Q3</v>
      </c>
      <c r="J115" s="272">
        <f>IFERROR(VLOOKUP((D115&amp;C115)&amp;"",'[2]Retail Price List'!$C$4:$F$102,3,FALSE),"")</f>
        <v>985000</v>
      </c>
      <c r="K115" s="272">
        <f>IFERROR(IF(BA115="WIP - 30 Days",VLOOKUP(D115,[3]Standard!$B$9:$E$101,4,FALSE),IF(BA115="31-120 Days",VLOOKUP(D115,[3]Standard!$B$9:$F$101,5,FALSE),IF(BA115="121-365 Days",VLOOKUP(D115,[3]Standard!$B$9:$G$101,6,FALSE),VLOOKUP(D115,[3]Standard!$B$9:$H$101,7,FALSE)))),0)</f>
        <v>781203.5</v>
      </c>
      <c r="L115" s="272">
        <f>IFERROR(IF(BA115="WIP - 30 Days",VLOOKUP(D115,[3]Standard!$B$9:$J$101,9,FALSE),IF(BA115="31-120 Days",VLOOKUP(D115,[3]Standard!$B$9:$K$100,10,FALSE),IF(BA115="121-365 Days",VLOOKUP(D115,[3]Standard!$B$9:$L$101,11,FALSE),VLOOKUP(D115,[3]Standard!$B$9:$M$101,12,FALSE)))),0)</f>
        <v>758450</v>
      </c>
      <c r="M115" s="269">
        <f>IFERROR(VLOOKUP((D115&amp;C115)&amp;"",'[2]Retail Price List'!$C$4:$F$102,4,FALSE),"")</f>
        <v>1002500</v>
      </c>
      <c r="N115" s="269">
        <f>IFERROR(IF(BA115="WIP - 30 Days",VLOOKUP(D115,[3]Extended!$B$9:$E$101,4,FALSE),IF(BA115="31-120 Days",VLOOKUP(D115,[3]Extended!$B$9:$F$101,5,FALSE),IF(BA115="121-365 Days",VLOOKUP(D115,[3]Extended!$B$9:$G$101,6,FALSE),VLOOKUP(D115,[3]Extended!$B$9:$H$101,7,FALSE)))),0)</f>
        <v>815734.25</v>
      </c>
      <c r="O115" s="269">
        <f>IFERROR(IF(BA115="WIP - 30 Days",VLOOKUP(D115,[3]Extended!$B$9:$J$101,9,FALSE),IF(BA115="31-120 Days",VLOOKUP(D115,[3]Extended!$B$9:$K$101,10,FALSE),IF(BA115="121-365 Days",VLOOKUP(D115,[3]Extended!$B$9:$L$101,11,FALSE),VLOOKUP(D115,[3]Extended!$B$9:$M$101,12,FALSE)))),0)</f>
        <v>791975</v>
      </c>
      <c r="P115" s="116">
        <f t="shared" si="6"/>
        <v>0.21</v>
      </c>
      <c r="Q115" s="110" t="e">
        <f>O115-#REF!</f>
        <v>#REF!</v>
      </c>
      <c r="R115" s="111" t="e">
        <f>SUM(Q89:Q114)/SUM(O89:O114)</f>
        <v>#REF!</v>
      </c>
      <c r="S115" s="112"/>
      <c r="T115" s="112"/>
      <c r="U115" s="112"/>
      <c r="V115" s="112"/>
      <c r="W115" s="311"/>
      <c r="X115" s="311"/>
      <c r="Y115" s="311"/>
      <c r="Z115" s="311"/>
      <c r="AA115" s="311"/>
      <c r="AB115" s="311"/>
      <c r="AC115" s="311"/>
      <c r="AD115" s="89"/>
      <c r="AE115" s="89"/>
      <c r="AF115" s="89"/>
      <c r="AG115" s="5"/>
      <c r="AH115" s="5"/>
      <c r="AI115" s="5"/>
      <c r="AJ115" s="5"/>
      <c r="AK115" s="5"/>
      <c r="AL115" s="5"/>
      <c r="AM115" s="5"/>
      <c r="AN115" s="5"/>
      <c r="AO115" s="5"/>
      <c r="AP115" s="5"/>
      <c r="AQ115" s="5"/>
      <c r="AR115" s="5"/>
      <c r="AS115" s="5"/>
      <c r="AT115" s="88" t="str">
        <f t="shared" si="7"/>
        <v>KP0005902017Q314,7</v>
      </c>
      <c r="AU115" s="89" t="str">
        <f t="shared" si="8"/>
        <v>07-2017</v>
      </c>
      <c r="AV115" s="89"/>
      <c r="AW115" s="89"/>
      <c r="AX115" s="89"/>
      <c r="AY115" s="89"/>
      <c r="AZ115" s="89"/>
      <c r="BA115" s="92" t="str">
        <f t="shared" si="9"/>
        <v>WIP - 30 Days</v>
      </c>
      <c r="BB115" s="89"/>
      <c r="BC115" s="97"/>
      <c r="BD115" s="97"/>
    </row>
    <row r="116" spans="1:56">
      <c r="B116" s="60">
        <f>[2]Trucks!A113</f>
        <v>47500</v>
      </c>
      <c r="C116" s="11" t="str">
        <f>[2]Trucks!B113</f>
        <v>CLA-26-2806X4BB-C-L</v>
      </c>
      <c r="D116" s="19" t="str">
        <f>IFERROR(VLOOKUP(C116&amp;"",'[2]Retail Price List'!$A$3:$B$103,2,FALSE),"Special Order")</f>
        <v>KP000590</v>
      </c>
      <c r="E116" s="18" t="str">
        <f>[2]Trucks!J113</f>
        <v>CKD</v>
      </c>
      <c r="F116" s="12" t="str">
        <f>[2]Trucks!E113</f>
        <v>2017-12-3</v>
      </c>
      <c r="G116" s="56">
        <f>[2]Trucks!K113</f>
        <v>14.7</v>
      </c>
      <c r="H116" s="46">
        <f>[2]Trucks!I113</f>
        <v>42937</v>
      </c>
      <c r="I116" s="83" t="str">
        <f t="shared" si="5"/>
        <v>2017Q3</v>
      </c>
      <c r="J116" s="272">
        <f>IFERROR(VLOOKUP((D116&amp;C116)&amp;"",'[2]Retail Price List'!$C$4:$F$102,3,FALSE),"")</f>
        <v>985000</v>
      </c>
      <c r="K116" s="272">
        <f>IFERROR(IF(BA116="WIP - 30 Days",VLOOKUP(D116,[3]Standard!$B$9:$E$101,4,FALSE),IF(BA116="31-120 Days",VLOOKUP(D116,[3]Standard!$B$9:$F$101,5,FALSE),IF(BA116="121-365 Days",VLOOKUP(D116,[3]Standard!$B$9:$G$101,6,FALSE),VLOOKUP(D116,[3]Standard!$B$9:$H$101,7,FALSE)))),0)</f>
        <v>781203.5</v>
      </c>
      <c r="L116" s="272">
        <f>IFERROR(IF(BA116="WIP - 30 Days",VLOOKUP(D116,[3]Standard!$B$9:$J$101,9,FALSE),IF(BA116="31-120 Days",VLOOKUP(D116,[3]Standard!$B$9:$K$100,10,FALSE),IF(BA116="121-365 Days",VLOOKUP(D116,[3]Standard!$B$9:$L$101,11,FALSE),VLOOKUP(D116,[3]Standard!$B$9:$M$101,12,FALSE)))),0)</f>
        <v>758450</v>
      </c>
      <c r="M116" s="269">
        <f>IFERROR(VLOOKUP((D116&amp;C116)&amp;"",'[2]Retail Price List'!$C$4:$F$102,4,FALSE),"")</f>
        <v>1002500</v>
      </c>
      <c r="N116" s="269">
        <f>IFERROR(IF(BA116="WIP - 30 Days",VLOOKUP(D116,[3]Extended!$B$9:$E$101,4,FALSE),IF(BA116="31-120 Days",VLOOKUP(D116,[3]Extended!$B$9:$F$101,5,FALSE),IF(BA116="121-365 Days",VLOOKUP(D116,[3]Extended!$B$9:$G$101,6,FALSE),VLOOKUP(D116,[3]Extended!$B$9:$H$101,7,FALSE)))),0)</f>
        <v>815734.25</v>
      </c>
      <c r="O116" s="269">
        <f>IFERROR(IF(BA116="WIP - 30 Days",VLOOKUP(D116,[3]Extended!$B$9:$J$101,9,FALSE),IF(BA116="31-120 Days",VLOOKUP(D116,[3]Extended!$B$9:$K$101,10,FALSE),IF(BA116="121-365 Days",VLOOKUP(D116,[3]Extended!$B$9:$L$101,11,FALSE),VLOOKUP(D116,[3]Extended!$B$9:$M$101,12,FALSE)))),0)</f>
        <v>791975</v>
      </c>
      <c r="P116" s="116">
        <f t="shared" si="6"/>
        <v>0.21</v>
      </c>
      <c r="Q116" s="110" t="e">
        <f>O116-#REF!</f>
        <v>#REF!</v>
      </c>
      <c r="S116" s="112" t="s">
        <v>9</v>
      </c>
      <c r="T116" s="112" t="s">
        <v>10</v>
      </c>
      <c r="U116" s="112" t="s">
        <v>11</v>
      </c>
      <c r="W116" s="311"/>
      <c r="X116" s="311"/>
      <c r="Y116" s="311"/>
      <c r="Z116" s="311"/>
      <c r="AA116" s="311"/>
      <c r="AB116" s="311"/>
      <c r="AC116" s="311"/>
      <c r="AT116" s="88" t="str">
        <f t="shared" si="7"/>
        <v>KP0005902017Q314,7</v>
      </c>
      <c r="AU116" s="89" t="str">
        <f t="shared" si="8"/>
        <v>07-2017</v>
      </c>
      <c r="BA116" s="92" t="str">
        <f t="shared" si="9"/>
        <v>WIP - 30 Days</v>
      </c>
    </row>
    <row r="117" spans="1:56">
      <c r="B117" s="60">
        <f>[2]Trucks!A114</f>
        <v>47664</v>
      </c>
      <c r="C117" s="11" t="str">
        <f>[2]Trucks!B114</f>
        <v>CLA-26-2806X4BB-C-L</v>
      </c>
      <c r="D117" s="19" t="str">
        <f>IFERROR(VLOOKUP(C117&amp;"",'[2]Retail Price List'!$A$3:$B$103,2,FALSE),"Special Order")</f>
        <v>KP000590</v>
      </c>
      <c r="E117" s="18" t="str">
        <f>[2]Trucks!J114</f>
        <v>CKD</v>
      </c>
      <c r="F117" s="12" t="str">
        <f>[2]Trucks!E114</f>
        <v>2018-02-15</v>
      </c>
      <c r="G117" s="56">
        <f>[2]Trucks!K114</f>
        <v>14.7</v>
      </c>
      <c r="H117" s="46">
        <f>[2]Trucks!I114</f>
        <v>42947</v>
      </c>
      <c r="I117" s="83" t="str">
        <f t="shared" si="5"/>
        <v>2017Q3</v>
      </c>
      <c r="J117" s="272">
        <f>IFERROR(VLOOKUP((D117&amp;C117)&amp;"",'[2]Retail Price List'!$C$4:$F$102,3,FALSE),"")</f>
        <v>985000</v>
      </c>
      <c r="K117" s="272">
        <f>IFERROR(IF(BA117="WIP - 30 Days",VLOOKUP(D117,[3]Standard!$B$9:$E$101,4,FALSE),IF(BA117="31-120 Days",VLOOKUP(D117,[3]Standard!$B$9:$F$101,5,FALSE),IF(BA117="121-365 Days",VLOOKUP(D117,[3]Standard!$B$9:$G$101,6,FALSE),VLOOKUP(D117,[3]Standard!$B$9:$H$101,7,FALSE)))),0)</f>
        <v>781203.5</v>
      </c>
      <c r="L117" s="272">
        <f>IFERROR(IF(BA117="WIP - 30 Days",VLOOKUP(D117,[3]Standard!$B$9:$J$101,9,FALSE),IF(BA117="31-120 Days",VLOOKUP(D117,[3]Standard!$B$9:$K$100,10,FALSE),IF(BA117="121-365 Days",VLOOKUP(D117,[3]Standard!$B$9:$L$101,11,FALSE),VLOOKUP(D117,[3]Standard!$B$9:$M$101,12,FALSE)))),0)</f>
        <v>758450</v>
      </c>
      <c r="M117" s="269">
        <f>IFERROR(VLOOKUP((D117&amp;C117)&amp;"",'[2]Retail Price List'!$C$4:$F$102,4,FALSE),"")</f>
        <v>1002500</v>
      </c>
      <c r="N117" s="269">
        <f>IFERROR(IF(BA117="WIP - 30 Days",VLOOKUP(D117,[3]Extended!$B$9:$E$101,4,FALSE),IF(BA117="31-120 Days",VLOOKUP(D117,[3]Extended!$B$9:$F$101,5,FALSE),IF(BA117="121-365 Days",VLOOKUP(D117,[3]Extended!$B$9:$G$101,6,FALSE),VLOOKUP(D117,[3]Extended!$B$9:$H$101,7,FALSE)))),0)</f>
        <v>815734.25</v>
      </c>
      <c r="O117" s="269">
        <f>IFERROR(IF(BA117="WIP - 30 Days",VLOOKUP(D117,[3]Extended!$B$9:$J$101,9,FALSE),IF(BA117="31-120 Days",VLOOKUP(D117,[3]Extended!$B$9:$K$101,10,FALSE),IF(BA117="121-365 Days",VLOOKUP(D117,[3]Extended!$B$9:$L$101,11,FALSE),VLOOKUP(D117,[3]Extended!$B$9:$M$101,12,FALSE)))),0)</f>
        <v>791975</v>
      </c>
      <c r="P117" s="116">
        <f t="shared" si="6"/>
        <v>0.21</v>
      </c>
      <c r="Q117" s="110" t="e">
        <f>O117-#REF!</f>
        <v>#REF!</v>
      </c>
      <c r="R117" s="265" t="s">
        <v>8</v>
      </c>
      <c r="S117" s="112">
        <v>11.5</v>
      </c>
      <c r="T117" s="112">
        <v>-3.3</v>
      </c>
      <c r="U117" s="112">
        <v>2.9</v>
      </c>
      <c r="W117" s="311"/>
      <c r="X117" s="311"/>
      <c r="Y117" s="311"/>
      <c r="Z117" s="311"/>
      <c r="AA117" s="311"/>
      <c r="AB117" s="311"/>
      <c r="AC117" s="311"/>
      <c r="AT117" s="88" t="str">
        <f t="shared" si="7"/>
        <v>KP0005902017Q314,7</v>
      </c>
      <c r="AU117" s="89" t="str">
        <f t="shared" si="8"/>
        <v>07-2017</v>
      </c>
      <c r="BA117" s="92" t="str">
        <f t="shared" si="9"/>
        <v>WIP - 30 Days</v>
      </c>
    </row>
    <row r="118" spans="1:56">
      <c r="B118" s="60">
        <f>[2]Trucks!A115</f>
        <v>47665</v>
      </c>
      <c r="C118" s="11" t="str">
        <f>[2]Trucks!B115</f>
        <v>CLA-26-2806X4BB-C-L</v>
      </c>
      <c r="D118" s="19" t="str">
        <f>IFERROR(VLOOKUP(C118&amp;"",'[2]Retail Price List'!$A$3:$B$103,2,FALSE),"Special Order")</f>
        <v>KP000590</v>
      </c>
      <c r="E118" s="18" t="str">
        <f>[2]Trucks!J115</f>
        <v>CKD</v>
      </c>
      <c r="F118" s="12" t="str">
        <f>[2]Trucks!E115</f>
        <v>2018-02-15</v>
      </c>
      <c r="G118" s="56">
        <f>[2]Trucks!K115</f>
        <v>14.7</v>
      </c>
      <c r="H118" s="46">
        <f>[2]Trucks!I115</f>
        <v>42947</v>
      </c>
      <c r="I118" s="83" t="str">
        <f t="shared" si="5"/>
        <v>2017Q3</v>
      </c>
      <c r="J118" s="272">
        <f>IFERROR(VLOOKUP((D118&amp;C118)&amp;"",'[2]Retail Price List'!$C$4:$F$102,3,FALSE),"")</f>
        <v>985000</v>
      </c>
      <c r="K118" s="272">
        <f>IFERROR(IF(BA118="WIP - 30 Days",VLOOKUP(D118,[3]Standard!$B$9:$E$101,4,FALSE),IF(BA118="31-120 Days",VLOOKUP(D118,[3]Standard!$B$9:$F$101,5,FALSE),IF(BA118="121-365 Days",VLOOKUP(D118,[3]Standard!$B$9:$G$101,6,FALSE),VLOOKUP(D118,[3]Standard!$B$9:$H$101,7,FALSE)))),0)</f>
        <v>781203.5</v>
      </c>
      <c r="L118" s="272">
        <f>IFERROR(IF(BA118="WIP - 30 Days",VLOOKUP(D118,[3]Standard!$B$9:$J$101,9,FALSE),IF(BA118="31-120 Days",VLOOKUP(D118,[3]Standard!$B$9:$K$100,10,FALSE),IF(BA118="121-365 Days",VLOOKUP(D118,[3]Standard!$B$9:$L$101,11,FALSE),VLOOKUP(D118,[3]Standard!$B$9:$M$101,12,FALSE)))),0)</f>
        <v>758450</v>
      </c>
      <c r="M118" s="269">
        <f>IFERROR(VLOOKUP((D118&amp;C118)&amp;"",'[2]Retail Price List'!$C$4:$F$102,4,FALSE),"")</f>
        <v>1002500</v>
      </c>
      <c r="N118" s="269">
        <f>IFERROR(IF(BA118="WIP - 30 Days",VLOOKUP(D118,[3]Extended!$B$9:$E$101,4,FALSE),IF(BA118="31-120 Days",VLOOKUP(D118,[3]Extended!$B$9:$F$101,5,FALSE),IF(BA118="121-365 Days",VLOOKUP(D118,[3]Extended!$B$9:$G$101,6,FALSE),VLOOKUP(D118,[3]Extended!$B$9:$H$101,7,FALSE)))),0)</f>
        <v>815734.25</v>
      </c>
      <c r="O118" s="269">
        <f>IFERROR(IF(BA118="WIP - 30 Days",VLOOKUP(D118,[3]Extended!$B$9:$J$101,9,FALSE),IF(BA118="31-120 Days",VLOOKUP(D118,[3]Extended!$B$9:$K$101,10,FALSE),IF(BA118="121-365 Days",VLOOKUP(D118,[3]Extended!$B$9:$L$101,11,FALSE),VLOOKUP(D118,[3]Extended!$B$9:$M$101,12,FALSE)))),0)</f>
        <v>791975</v>
      </c>
      <c r="P118" s="116">
        <f t="shared" si="6"/>
        <v>0.21</v>
      </c>
      <c r="Q118" s="110" t="e">
        <f>O118-#REF!</f>
        <v>#REF!</v>
      </c>
      <c r="R118" s="265" t="s">
        <v>12</v>
      </c>
      <c r="S118" s="112">
        <v>-2.6</v>
      </c>
      <c r="T118" s="112">
        <v>-2.6</v>
      </c>
      <c r="U118" s="112">
        <v>-2.6</v>
      </c>
      <c r="W118" s="311"/>
      <c r="X118" s="311"/>
      <c r="Y118" s="311"/>
      <c r="Z118" s="311"/>
      <c r="AA118" s="311"/>
      <c r="AB118" s="311"/>
      <c r="AC118" s="311"/>
      <c r="AT118" s="88" t="str">
        <f t="shared" si="7"/>
        <v>KP0005902017Q314,7</v>
      </c>
      <c r="AU118" s="89" t="str">
        <f t="shared" si="8"/>
        <v>07-2017</v>
      </c>
      <c r="BA118" s="92" t="str">
        <f t="shared" si="9"/>
        <v>WIP - 30 Days</v>
      </c>
    </row>
    <row r="119" spans="1:56">
      <c r="B119" s="60">
        <f>[2]Trucks!A116</f>
        <v>47666</v>
      </c>
      <c r="C119" s="11" t="str">
        <f>[2]Trucks!B116</f>
        <v>CLA-26-2806X4BB-C-L</v>
      </c>
      <c r="D119" s="19" t="str">
        <f>IFERROR(VLOOKUP(C119&amp;"",'[2]Retail Price List'!$A$3:$B$103,2,FALSE),"Special Order")</f>
        <v>KP000590</v>
      </c>
      <c r="E119" s="18" t="str">
        <f>[2]Trucks!J116</f>
        <v>CKD</v>
      </c>
      <c r="F119" s="12" t="str">
        <f>[2]Trucks!E116</f>
        <v>2018-02-15</v>
      </c>
      <c r="G119" s="56">
        <f>[2]Trucks!K116</f>
        <v>14.7</v>
      </c>
      <c r="H119" s="46">
        <f>[2]Trucks!I116</f>
        <v>42947</v>
      </c>
      <c r="I119" s="83" t="str">
        <f t="shared" si="5"/>
        <v>2017Q3</v>
      </c>
      <c r="J119" s="272">
        <f>IFERROR(VLOOKUP((D119&amp;C119)&amp;"",'[2]Retail Price List'!$C$4:$F$102,3,FALSE),"")</f>
        <v>985000</v>
      </c>
      <c r="K119" s="272">
        <f>IFERROR(IF(BA119="WIP - 30 Days",VLOOKUP(D119,[3]Standard!$B$9:$E$101,4,FALSE),IF(BA119="31-120 Days",VLOOKUP(D119,[3]Standard!$B$9:$F$101,5,FALSE),IF(BA119="121-365 Days",VLOOKUP(D119,[3]Standard!$B$9:$G$101,6,FALSE),VLOOKUP(D119,[3]Standard!$B$9:$H$101,7,FALSE)))),0)</f>
        <v>781203.5</v>
      </c>
      <c r="L119" s="272">
        <f>IFERROR(IF(BA119="WIP - 30 Days",VLOOKUP(D119,[3]Standard!$B$9:$J$101,9,FALSE),IF(BA119="31-120 Days",VLOOKUP(D119,[3]Standard!$B$9:$K$100,10,FALSE),IF(BA119="121-365 Days",VLOOKUP(D119,[3]Standard!$B$9:$L$101,11,FALSE),VLOOKUP(D119,[3]Standard!$B$9:$M$101,12,FALSE)))),0)</f>
        <v>758450</v>
      </c>
      <c r="M119" s="269">
        <f>IFERROR(VLOOKUP((D119&amp;C119)&amp;"",'[2]Retail Price List'!$C$4:$F$102,4,FALSE),"")</f>
        <v>1002500</v>
      </c>
      <c r="N119" s="269">
        <f>IFERROR(IF(BA119="WIP - 30 Days",VLOOKUP(D119,[3]Extended!$B$9:$E$101,4,FALSE),IF(BA119="31-120 Days",VLOOKUP(D119,[3]Extended!$B$9:$F$101,5,FALSE),IF(BA119="121-365 Days",VLOOKUP(D119,[3]Extended!$B$9:$G$101,6,FALSE),VLOOKUP(D119,[3]Extended!$B$9:$H$101,7,FALSE)))),0)</f>
        <v>815734.25</v>
      </c>
      <c r="O119" s="269">
        <f>IFERROR(IF(BA119="WIP - 30 Days",VLOOKUP(D119,[3]Extended!$B$9:$J$101,9,FALSE),IF(BA119="31-120 Days",VLOOKUP(D119,[3]Extended!$B$9:$K$101,10,FALSE),IF(BA119="121-365 Days",VLOOKUP(D119,[3]Extended!$B$9:$L$101,11,FALSE),VLOOKUP(D119,[3]Extended!$B$9:$M$101,12,FALSE)))),0)</f>
        <v>791975</v>
      </c>
      <c r="P119" s="116">
        <f t="shared" si="6"/>
        <v>0.21</v>
      </c>
      <c r="Q119" s="110" t="e">
        <f>O119-#REF!</f>
        <v>#REF!</v>
      </c>
      <c r="R119" s="111" t="s">
        <v>13</v>
      </c>
      <c r="S119" s="112">
        <f>COUNT(#REF!)</f>
        <v>0</v>
      </c>
      <c r="W119" s="311"/>
      <c r="X119" s="311"/>
      <c r="Y119" s="311"/>
      <c r="Z119" s="311"/>
      <c r="AA119" s="311"/>
      <c r="AB119" s="311"/>
      <c r="AC119" s="311"/>
      <c r="AT119" s="88" t="str">
        <f t="shared" si="7"/>
        <v>KP0005902017Q314,7</v>
      </c>
      <c r="AU119" s="89" t="str">
        <f t="shared" si="8"/>
        <v>07-2017</v>
      </c>
      <c r="BA119" s="92" t="str">
        <f t="shared" si="9"/>
        <v>WIP - 30 Days</v>
      </c>
    </row>
    <row r="120" spans="1:56">
      <c r="B120" s="60">
        <f>[2]Trucks!A117</f>
        <v>47667</v>
      </c>
      <c r="C120" s="11" t="str">
        <f>[2]Trucks!B117</f>
        <v>CLA-26-2806X4BB-C-L</v>
      </c>
      <c r="D120" s="19" t="str">
        <f>IFERROR(VLOOKUP(C120&amp;"",'[2]Retail Price List'!$A$3:$B$103,2,FALSE),"Special Order")</f>
        <v>KP000590</v>
      </c>
      <c r="E120" s="18" t="str">
        <f>[2]Trucks!J117</f>
        <v>CKD</v>
      </c>
      <c r="F120" s="12" t="str">
        <f>[2]Trucks!E117</f>
        <v>2018-02-15</v>
      </c>
      <c r="G120" s="56">
        <f>[2]Trucks!K117</f>
        <v>14.7</v>
      </c>
      <c r="H120" s="46">
        <f>[2]Trucks!I117</f>
        <v>42947</v>
      </c>
      <c r="I120" s="83" t="str">
        <f t="shared" si="5"/>
        <v>2017Q3</v>
      </c>
      <c r="J120" s="272">
        <f>IFERROR(VLOOKUP((D120&amp;C120)&amp;"",'[2]Retail Price List'!$C$4:$F$102,3,FALSE),"")</f>
        <v>985000</v>
      </c>
      <c r="K120" s="272">
        <f>IFERROR(IF(BA120="WIP - 30 Days",VLOOKUP(D120,[3]Standard!$B$9:$E$101,4,FALSE),IF(BA120="31-120 Days",VLOOKUP(D120,[3]Standard!$B$9:$F$101,5,FALSE),IF(BA120="121-365 Days",VLOOKUP(D120,[3]Standard!$B$9:$G$101,6,FALSE),VLOOKUP(D120,[3]Standard!$B$9:$H$101,7,FALSE)))),0)</f>
        <v>781203.5</v>
      </c>
      <c r="L120" s="272">
        <f>IFERROR(IF(BA120="WIP - 30 Days",VLOOKUP(D120,[3]Standard!$B$9:$J$101,9,FALSE),IF(BA120="31-120 Days",VLOOKUP(D120,[3]Standard!$B$9:$K$100,10,FALSE),IF(BA120="121-365 Days",VLOOKUP(D120,[3]Standard!$B$9:$L$101,11,FALSE),VLOOKUP(D120,[3]Standard!$B$9:$M$101,12,FALSE)))),0)</f>
        <v>758450</v>
      </c>
      <c r="M120" s="269">
        <f>IFERROR(VLOOKUP((D120&amp;C120)&amp;"",'[2]Retail Price List'!$C$4:$F$102,4,FALSE),"")</f>
        <v>1002500</v>
      </c>
      <c r="N120" s="269">
        <f>IFERROR(IF(BA120="WIP - 30 Days",VLOOKUP(D120,[3]Extended!$B$9:$E$101,4,FALSE),IF(BA120="31-120 Days",VLOOKUP(D120,[3]Extended!$B$9:$F$101,5,FALSE),IF(BA120="121-365 Days",VLOOKUP(D120,[3]Extended!$B$9:$G$101,6,FALSE),VLOOKUP(D120,[3]Extended!$B$9:$H$101,7,FALSE)))),0)</f>
        <v>815734.25</v>
      </c>
      <c r="O120" s="269">
        <f>IFERROR(IF(BA120="WIP - 30 Days",VLOOKUP(D120,[3]Extended!$B$9:$J$101,9,FALSE),IF(BA120="31-120 Days",VLOOKUP(D120,[3]Extended!$B$9:$K$101,10,FALSE),IF(BA120="121-365 Days",VLOOKUP(D120,[3]Extended!$B$9:$L$101,11,FALSE),VLOOKUP(D120,[3]Extended!$B$9:$M$101,12,FALSE)))),0)</f>
        <v>791975</v>
      </c>
      <c r="P120" s="116">
        <f t="shared" si="6"/>
        <v>0.21</v>
      </c>
      <c r="Q120" s="110" t="e">
        <f>O120-#REF!</f>
        <v>#REF!</v>
      </c>
      <c r="R120" s="111" t="s">
        <v>14</v>
      </c>
      <c r="S120" s="110" t="e">
        <f>+AVERAGE(#REF!)</f>
        <v>#REF!</v>
      </c>
      <c r="W120" s="311"/>
      <c r="X120" s="311"/>
      <c r="Y120" s="311"/>
      <c r="Z120" s="311"/>
      <c r="AA120" s="311"/>
      <c r="AB120" s="311"/>
      <c r="AC120" s="311"/>
      <c r="AT120" s="88" t="str">
        <f t="shared" si="7"/>
        <v>KP0005902017Q314,7</v>
      </c>
      <c r="AU120" s="89" t="str">
        <f t="shared" si="8"/>
        <v>07-2017</v>
      </c>
      <c r="BA120" s="92" t="str">
        <f t="shared" si="9"/>
        <v>WIP - 30 Days</v>
      </c>
    </row>
    <row r="121" spans="1:56">
      <c r="B121" s="60">
        <f>[2]Trucks!A118</f>
        <v>47668</v>
      </c>
      <c r="C121" s="11" t="str">
        <f>[2]Trucks!B118</f>
        <v>CLA-26-2806X4BB-C-L</v>
      </c>
      <c r="D121" s="19" t="str">
        <f>IFERROR(VLOOKUP(C121&amp;"",'[2]Retail Price List'!$A$3:$B$103,2,FALSE),"Special Order")</f>
        <v>KP000590</v>
      </c>
      <c r="E121" s="18" t="str">
        <f>[2]Trucks!J118</f>
        <v>CKD</v>
      </c>
      <c r="F121" s="12" t="str">
        <f>[2]Trucks!E118</f>
        <v>2018-02-15</v>
      </c>
      <c r="G121" s="56">
        <f>[2]Trucks!K118</f>
        <v>14.7</v>
      </c>
      <c r="H121" s="46">
        <f>[2]Trucks!I118</f>
        <v>42947</v>
      </c>
      <c r="I121" s="83" t="str">
        <f t="shared" si="5"/>
        <v>2017Q3</v>
      </c>
      <c r="J121" s="272">
        <f>IFERROR(VLOOKUP((D121&amp;C121)&amp;"",'[2]Retail Price List'!$C$4:$F$102,3,FALSE),"")</f>
        <v>985000</v>
      </c>
      <c r="K121" s="272">
        <f>IFERROR(IF(BA121="WIP - 30 Days",VLOOKUP(D121,[3]Standard!$B$9:$E$101,4,FALSE),IF(BA121="31-120 Days",VLOOKUP(D121,[3]Standard!$B$9:$F$101,5,FALSE),IF(BA121="121-365 Days",VLOOKUP(D121,[3]Standard!$B$9:$G$101,6,FALSE),VLOOKUP(D121,[3]Standard!$B$9:$H$101,7,FALSE)))),0)</f>
        <v>781203.5</v>
      </c>
      <c r="L121" s="272">
        <f>IFERROR(IF(BA121="WIP - 30 Days",VLOOKUP(D121,[3]Standard!$B$9:$J$101,9,FALSE),IF(BA121="31-120 Days",VLOOKUP(D121,[3]Standard!$B$9:$K$100,10,FALSE),IF(BA121="121-365 Days",VLOOKUP(D121,[3]Standard!$B$9:$L$101,11,FALSE),VLOOKUP(D121,[3]Standard!$B$9:$M$101,12,FALSE)))),0)</f>
        <v>758450</v>
      </c>
      <c r="M121" s="269">
        <f>IFERROR(VLOOKUP((D121&amp;C121)&amp;"",'[2]Retail Price List'!$C$4:$F$102,4,FALSE),"")</f>
        <v>1002500</v>
      </c>
      <c r="N121" s="269">
        <f>IFERROR(IF(BA121="WIP - 30 Days",VLOOKUP(D121,[3]Extended!$B$9:$E$101,4,FALSE),IF(BA121="31-120 Days",VLOOKUP(D121,[3]Extended!$B$9:$F$101,5,FALSE),IF(BA121="121-365 Days",VLOOKUP(D121,[3]Extended!$B$9:$G$101,6,FALSE),VLOOKUP(D121,[3]Extended!$B$9:$H$101,7,FALSE)))),0)</f>
        <v>815734.25</v>
      </c>
      <c r="O121" s="269">
        <f>IFERROR(IF(BA121="WIP - 30 Days",VLOOKUP(D121,[3]Extended!$B$9:$J$101,9,FALSE),IF(BA121="31-120 Days",VLOOKUP(D121,[3]Extended!$B$9:$K$101,10,FALSE),IF(BA121="121-365 Days",VLOOKUP(D121,[3]Extended!$B$9:$L$101,11,FALSE),VLOOKUP(D121,[3]Extended!$B$9:$M$101,12,FALSE)))),0)</f>
        <v>791975</v>
      </c>
      <c r="P121" s="116">
        <f t="shared" si="6"/>
        <v>0.21</v>
      </c>
      <c r="Q121" s="110" t="e">
        <f>O121-#REF!</f>
        <v>#REF!</v>
      </c>
      <c r="S121" s="110"/>
      <c r="W121" s="311"/>
      <c r="X121" s="311"/>
      <c r="Y121" s="311"/>
      <c r="Z121" s="311"/>
      <c r="AA121" s="311"/>
      <c r="AB121" s="311"/>
      <c r="AC121" s="311"/>
      <c r="AT121" s="88" t="str">
        <f t="shared" si="7"/>
        <v>KP0005902017Q314,7</v>
      </c>
      <c r="AU121" s="89" t="str">
        <f t="shared" si="8"/>
        <v>07-2017</v>
      </c>
      <c r="BA121" s="92" t="str">
        <f t="shared" si="9"/>
        <v>WIP - 30 Days</v>
      </c>
    </row>
    <row r="122" spans="1:56">
      <c r="B122" s="60">
        <f>[2]Trucks!A119</f>
        <v>47669</v>
      </c>
      <c r="C122" s="11" t="str">
        <f>[2]Trucks!B119</f>
        <v>CLA-26-2806X4BB-C-L</v>
      </c>
      <c r="D122" s="19" t="str">
        <f>IFERROR(VLOOKUP(C122&amp;"",'[2]Retail Price List'!$A$3:$B$103,2,FALSE),"Special Order")</f>
        <v>KP000590</v>
      </c>
      <c r="E122" s="18" t="str">
        <f>[2]Trucks!J119</f>
        <v>CKD</v>
      </c>
      <c r="F122" s="12" t="str">
        <f>[2]Trucks!E119</f>
        <v>2018-02-15</v>
      </c>
      <c r="G122" s="56">
        <f>[2]Trucks!K119</f>
        <v>14.7</v>
      </c>
      <c r="H122" s="46">
        <f>[2]Trucks!I119</f>
        <v>42947</v>
      </c>
      <c r="I122" s="83" t="str">
        <f t="shared" si="5"/>
        <v>2017Q3</v>
      </c>
      <c r="J122" s="272">
        <f>IFERROR(VLOOKUP((D122&amp;C122)&amp;"",'[2]Retail Price List'!$C$4:$F$102,3,FALSE),"")</f>
        <v>985000</v>
      </c>
      <c r="K122" s="272">
        <f>IFERROR(IF(BA122="WIP - 30 Days",VLOOKUP(D122,[3]Standard!$B$9:$E$101,4,FALSE),IF(BA122="31-120 Days",VLOOKUP(D122,[3]Standard!$B$9:$F$101,5,FALSE),IF(BA122="121-365 Days",VLOOKUP(D122,[3]Standard!$B$9:$G$101,6,FALSE),VLOOKUP(D122,[3]Standard!$B$9:$H$101,7,FALSE)))),0)</f>
        <v>781203.5</v>
      </c>
      <c r="L122" s="272">
        <f>IFERROR(IF(BA122="WIP - 30 Days",VLOOKUP(D122,[3]Standard!$B$9:$J$101,9,FALSE),IF(BA122="31-120 Days",VLOOKUP(D122,[3]Standard!$B$9:$K$100,10,FALSE),IF(BA122="121-365 Days",VLOOKUP(D122,[3]Standard!$B$9:$L$101,11,FALSE),VLOOKUP(D122,[3]Standard!$B$9:$M$101,12,FALSE)))),0)</f>
        <v>758450</v>
      </c>
      <c r="M122" s="269">
        <f>IFERROR(VLOOKUP((D122&amp;C122)&amp;"",'[2]Retail Price List'!$C$4:$F$102,4,FALSE),"")</f>
        <v>1002500</v>
      </c>
      <c r="N122" s="269">
        <f>IFERROR(IF(BA122="WIP - 30 Days",VLOOKUP(D122,[3]Extended!$B$9:$E$101,4,FALSE),IF(BA122="31-120 Days",VLOOKUP(D122,[3]Extended!$B$9:$F$101,5,FALSE),IF(BA122="121-365 Days",VLOOKUP(D122,[3]Extended!$B$9:$G$101,6,FALSE),VLOOKUP(D122,[3]Extended!$B$9:$H$101,7,FALSE)))),0)</f>
        <v>815734.25</v>
      </c>
      <c r="O122" s="269">
        <f>IFERROR(IF(BA122="WIP - 30 Days",VLOOKUP(D122,[3]Extended!$B$9:$J$101,9,FALSE),IF(BA122="31-120 Days",VLOOKUP(D122,[3]Extended!$B$9:$K$101,10,FALSE),IF(BA122="121-365 Days",VLOOKUP(D122,[3]Extended!$B$9:$L$101,11,FALSE),VLOOKUP(D122,[3]Extended!$B$9:$M$101,12,FALSE)))),0)</f>
        <v>791975</v>
      </c>
      <c r="P122" s="116">
        <f t="shared" si="6"/>
        <v>0.21</v>
      </c>
      <c r="Q122" s="110" t="e">
        <f>O122-#REF!</f>
        <v>#REF!</v>
      </c>
      <c r="S122" s="110"/>
      <c r="W122" s="311"/>
      <c r="X122" s="311"/>
      <c r="Y122" s="311"/>
      <c r="Z122" s="311"/>
      <c r="AA122" s="311"/>
      <c r="AB122" s="311"/>
      <c r="AC122" s="311"/>
      <c r="AT122" s="88" t="str">
        <f t="shared" si="7"/>
        <v>KP0005902017Q314,7</v>
      </c>
      <c r="AU122" s="89" t="str">
        <f t="shared" si="8"/>
        <v>07-2017</v>
      </c>
      <c r="BA122" s="92" t="str">
        <f t="shared" si="9"/>
        <v>WIP - 30 Days</v>
      </c>
    </row>
    <row r="123" spans="1:56">
      <c r="B123" s="60">
        <f>[2]Trucks!A120</f>
        <v>47670</v>
      </c>
      <c r="C123" s="11" t="str">
        <f>[2]Trucks!B120</f>
        <v>CLA-26-2806X4BB-C-L</v>
      </c>
      <c r="D123" s="19" t="str">
        <f>IFERROR(VLOOKUP(C123&amp;"",'[2]Retail Price List'!$A$3:$B$103,2,FALSE),"Special Order")</f>
        <v>KP000590</v>
      </c>
      <c r="E123" s="18" t="str">
        <f>[2]Trucks!J120</f>
        <v>CKD</v>
      </c>
      <c r="F123" s="12" t="str">
        <f>[2]Trucks!E120</f>
        <v>2018-02-28</v>
      </c>
      <c r="G123" s="56">
        <f>[2]Trucks!K120</f>
        <v>14.7</v>
      </c>
      <c r="H123" s="46">
        <f>[2]Trucks!I120</f>
        <v>42947</v>
      </c>
      <c r="I123" s="83" t="str">
        <f t="shared" si="5"/>
        <v>2017Q3</v>
      </c>
      <c r="J123" s="272">
        <f>IFERROR(VLOOKUP((D123&amp;C123)&amp;"",'[2]Retail Price List'!$C$4:$F$102,3,FALSE),"")</f>
        <v>985000</v>
      </c>
      <c r="K123" s="272">
        <f>IFERROR(IF(BA123="WIP - 30 Days",VLOOKUP(D123,[3]Standard!$B$9:$E$101,4,FALSE),IF(BA123="31-120 Days",VLOOKUP(D123,[3]Standard!$B$9:$F$101,5,FALSE),IF(BA123="121-365 Days",VLOOKUP(D123,[3]Standard!$B$9:$G$101,6,FALSE),VLOOKUP(D123,[3]Standard!$B$9:$H$101,7,FALSE)))),0)</f>
        <v>781203.5</v>
      </c>
      <c r="L123" s="272">
        <f>IFERROR(IF(BA123="WIP - 30 Days",VLOOKUP(D123,[3]Standard!$B$9:$J$101,9,FALSE),IF(BA123="31-120 Days",VLOOKUP(D123,[3]Standard!$B$9:$K$100,10,FALSE),IF(BA123="121-365 Days",VLOOKUP(D123,[3]Standard!$B$9:$L$101,11,FALSE),VLOOKUP(D123,[3]Standard!$B$9:$M$101,12,FALSE)))),0)</f>
        <v>758450</v>
      </c>
      <c r="M123" s="269">
        <f>IFERROR(VLOOKUP((D123&amp;C123)&amp;"",'[2]Retail Price List'!$C$4:$F$102,4,FALSE),"")</f>
        <v>1002500</v>
      </c>
      <c r="N123" s="269">
        <f>IFERROR(IF(BA123="WIP - 30 Days",VLOOKUP(D123,[3]Extended!$B$9:$E$101,4,FALSE),IF(BA123="31-120 Days",VLOOKUP(D123,[3]Extended!$B$9:$F$101,5,FALSE),IF(BA123="121-365 Days",VLOOKUP(D123,[3]Extended!$B$9:$G$101,6,FALSE),VLOOKUP(D123,[3]Extended!$B$9:$H$101,7,FALSE)))),0)</f>
        <v>815734.25</v>
      </c>
      <c r="O123" s="269">
        <f>IFERROR(IF(BA123="WIP - 30 Days",VLOOKUP(D123,[3]Extended!$B$9:$J$101,9,FALSE),IF(BA123="31-120 Days",VLOOKUP(D123,[3]Extended!$B$9:$K$101,10,FALSE),IF(BA123="121-365 Days",VLOOKUP(D123,[3]Extended!$B$9:$L$101,11,FALSE),VLOOKUP(D123,[3]Extended!$B$9:$M$101,12,FALSE)))),0)</f>
        <v>791975</v>
      </c>
      <c r="P123" s="116">
        <f t="shared" si="6"/>
        <v>0.21</v>
      </c>
      <c r="Q123" s="110" t="e">
        <f>O123-#REF!</f>
        <v>#REF!</v>
      </c>
      <c r="S123" s="110"/>
      <c r="W123" s="311"/>
      <c r="X123" s="311"/>
      <c r="Y123" s="311"/>
      <c r="Z123" s="311"/>
      <c r="AA123" s="311"/>
      <c r="AB123" s="311"/>
      <c r="AC123" s="311"/>
      <c r="AT123" s="88" t="str">
        <f t="shared" si="7"/>
        <v>KP0005902017Q314,7</v>
      </c>
      <c r="AU123" s="89" t="str">
        <f t="shared" si="8"/>
        <v>07-2017</v>
      </c>
      <c r="BA123" s="92" t="str">
        <f t="shared" si="9"/>
        <v>WIP - 30 Days</v>
      </c>
    </row>
    <row r="124" spans="1:56">
      <c r="B124" s="60">
        <f>[2]Trucks!A121</f>
        <v>47671</v>
      </c>
      <c r="C124" s="11" t="str">
        <f>[2]Trucks!B121</f>
        <v>CLA-26-2806X4BB-C-L</v>
      </c>
      <c r="D124" s="19" t="str">
        <f>IFERROR(VLOOKUP(C124&amp;"",'[2]Retail Price List'!$A$3:$B$103,2,FALSE),"Special Order")</f>
        <v>KP000590</v>
      </c>
      <c r="E124" s="18" t="str">
        <f>[2]Trucks!J121</f>
        <v>CKD</v>
      </c>
      <c r="F124" s="12" t="str">
        <f>[2]Trucks!E121</f>
        <v>2018-02-28</v>
      </c>
      <c r="G124" s="56">
        <f>[2]Trucks!K121</f>
        <v>14.7</v>
      </c>
      <c r="H124" s="46">
        <f>[2]Trucks!I121</f>
        <v>42947</v>
      </c>
      <c r="I124" s="83" t="str">
        <f t="shared" si="5"/>
        <v>2017Q3</v>
      </c>
      <c r="J124" s="272">
        <f>IFERROR(VLOOKUP((D124&amp;C124)&amp;"",'[2]Retail Price List'!$C$4:$F$102,3,FALSE),"")</f>
        <v>985000</v>
      </c>
      <c r="K124" s="272">
        <f>IFERROR(IF(BA124="WIP - 30 Days",VLOOKUP(D124,[3]Standard!$B$9:$E$101,4,FALSE),IF(BA124="31-120 Days",VLOOKUP(D124,[3]Standard!$B$9:$F$101,5,FALSE),IF(BA124="121-365 Days",VLOOKUP(D124,[3]Standard!$B$9:$G$101,6,FALSE),VLOOKUP(D124,[3]Standard!$B$9:$H$101,7,FALSE)))),0)</f>
        <v>781203.5</v>
      </c>
      <c r="L124" s="272">
        <f>IFERROR(IF(BA124="WIP - 30 Days",VLOOKUP(D124,[3]Standard!$B$9:$J$101,9,FALSE),IF(BA124="31-120 Days",VLOOKUP(D124,[3]Standard!$B$9:$K$100,10,FALSE),IF(BA124="121-365 Days",VLOOKUP(D124,[3]Standard!$B$9:$L$101,11,FALSE),VLOOKUP(D124,[3]Standard!$B$9:$M$101,12,FALSE)))),0)</f>
        <v>758450</v>
      </c>
      <c r="M124" s="269">
        <f>IFERROR(VLOOKUP((D124&amp;C124)&amp;"",'[2]Retail Price List'!$C$4:$F$102,4,FALSE),"")</f>
        <v>1002500</v>
      </c>
      <c r="N124" s="269">
        <f>IFERROR(IF(BA124="WIP - 30 Days",VLOOKUP(D124,[3]Extended!$B$9:$E$101,4,FALSE),IF(BA124="31-120 Days",VLOOKUP(D124,[3]Extended!$B$9:$F$101,5,FALSE),IF(BA124="121-365 Days",VLOOKUP(D124,[3]Extended!$B$9:$G$101,6,FALSE),VLOOKUP(D124,[3]Extended!$B$9:$H$101,7,FALSE)))),0)</f>
        <v>815734.25</v>
      </c>
      <c r="O124" s="269">
        <f>IFERROR(IF(BA124="WIP - 30 Days",VLOOKUP(D124,[3]Extended!$B$9:$J$101,9,FALSE),IF(BA124="31-120 Days",VLOOKUP(D124,[3]Extended!$B$9:$K$101,10,FALSE),IF(BA124="121-365 Days",VLOOKUP(D124,[3]Extended!$B$9:$L$101,11,FALSE),VLOOKUP(D124,[3]Extended!$B$9:$M$101,12,FALSE)))),0)</f>
        <v>791975</v>
      </c>
      <c r="P124" s="116">
        <f t="shared" si="6"/>
        <v>0.21</v>
      </c>
      <c r="Q124" s="110" t="e">
        <f>O124-#REF!</f>
        <v>#REF!</v>
      </c>
      <c r="S124" s="110"/>
      <c r="W124" s="311"/>
      <c r="X124" s="311"/>
      <c r="Y124" s="311"/>
      <c r="Z124" s="311"/>
      <c r="AA124" s="311"/>
      <c r="AB124" s="311"/>
      <c r="AC124" s="311"/>
      <c r="AT124" s="88" t="str">
        <f t="shared" si="7"/>
        <v>KP0005902017Q314,7</v>
      </c>
      <c r="AU124" s="89" t="str">
        <f t="shared" si="8"/>
        <v>07-2017</v>
      </c>
      <c r="BA124" s="92" t="str">
        <f t="shared" si="9"/>
        <v>WIP - 30 Days</v>
      </c>
    </row>
    <row r="125" spans="1:56">
      <c r="B125" s="60">
        <f>[2]Trucks!A122</f>
        <v>47672</v>
      </c>
      <c r="C125" s="11" t="str">
        <f>[2]Trucks!B122</f>
        <v>CLA-26-2806X4BB-C-L</v>
      </c>
      <c r="D125" s="19" t="str">
        <f>IFERROR(VLOOKUP(C125&amp;"",'[2]Retail Price List'!$A$3:$B$103,2,FALSE),"Special Order")</f>
        <v>KP000590</v>
      </c>
      <c r="E125" s="18" t="str">
        <f>[2]Trucks!J122</f>
        <v>CKD</v>
      </c>
      <c r="F125" s="12" t="str">
        <f>[2]Trucks!E122</f>
        <v>2018-02-28</v>
      </c>
      <c r="G125" s="56">
        <f>[2]Trucks!K122</f>
        <v>14.7</v>
      </c>
      <c r="H125" s="46">
        <f>[2]Trucks!I122</f>
        <v>42947</v>
      </c>
      <c r="I125" s="83" t="str">
        <f t="shared" si="5"/>
        <v>2017Q3</v>
      </c>
      <c r="J125" s="272">
        <f>IFERROR(VLOOKUP((D125&amp;C125)&amp;"",'[2]Retail Price List'!$C$4:$F$102,3,FALSE),"")</f>
        <v>985000</v>
      </c>
      <c r="K125" s="272">
        <f>IFERROR(IF(BA125="WIP - 30 Days",VLOOKUP(D125,[3]Standard!$B$9:$E$101,4,FALSE),IF(BA125="31-120 Days",VLOOKUP(D125,[3]Standard!$B$9:$F$101,5,FALSE),IF(BA125="121-365 Days",VLOOKUP(D125,[3]Standard!$B$9:$G$101,6,FALSE),VLOOKUP(D125,[3]Standard!$B$9:$H$101,7,FALSE)))),0)</f>
        <v>781203.5</v>
      </c>
      <c r="L125" s="272">
        <f>IFERROR(IF(BA125="WIP - 30 Days",VLOOKUP(D125,[3]Standard!$B$9:$J$101,9,FALSE),IF(BA125="31-120 Days",VLOOKUP(D125,[3]Standard!$B$9:$K$100,10,FALSE),IF(BA125="121-365 Days",VLOOKUP(D125,[3]Standard!$B$9:$L$101,11,FALSE),VLOOKUP(D125,[3]Standard!$B$9:$M$101,12,FALSE)))),0)</f>
        <v>758450</v>
      </c>
      <c r="M125" s="269">
        <f>IFERROR(VLOOKUP((D125&amp;C125)&amp;"",'[2]Retail Price List'!$C$4:$F$102,4,FALSE),"")</f>
        <v>1002500</v>
      </c>
      <c r="N125" s="269">
        <f>IFERROR(IF(BA125="WIP - 30 Days",VLOOKUP(D125,[3]Extended!$B$9:$E$101,4,FALSE),IF(BA125="31-120 Days",VLOOKUP(D125,[3]Extended!$B$9:$F$101,5,FALSE),IF(BA125="121-365 Days",VLOOKUP(D125,[3]Extended!$B$9:$G$101,6,FALSE),VLOOKUP(D125,[3]Extended!$B$9:$H$101,7,FALSE)))),0)</f>
        <v>815734.25</v>
      </c>
      <c r="O125" s="269">
        <f>IFERROR(IF(BA125="WIP - 30 Days",VLOOKUP(D125,[3]Extended!$B$9:$J$101,9,FALSE),IF(BA125="31-120 Days",VLOOKUP(D125,[3]Extended!$B$9:$K$101,10,FALSE),IF(BA125="121-365 Days",VLOOKUP(D125,[3]Extended!$B$9:$L$101,11,FALSE),VLOOKUP(D125,[3]Extended!$B$9:$M$101,12,FALSE)))),0)</f>
        <v>791975</v>
      </c>
      <c r="P125" s="116">
        <f t="shared" si="6"/>
        <v>0.21</v>
      </c>
      <c r="Q125" s="110" t="e">
        <f>O125-#REF!</f>
        <v>#REF!</v>
      </c>
      <c r="S125" s="110"/>
      <c r="W125" s="311"/>
      <c r="X125" s="311"/>
      <c r="Y125" s="311"/>
      <c r="Z125" s="311"/>
      <c r="AA125" s="311"/>
      <c r="AB125" s="311"/>
      <c r="AC125" s="311"/>
      <c r="AT125" s="88" t="str">
        <f t="shared" si="7"/>
        <v>KP0005902017Q314,7</v>
      </c>
      <c r="AU125" s="89" t="str">
        <f t="shared" si="8"/>
        <v>07-2017</v>
      </c>
      <c r="BA125" s="92" t="str">
        <f t="shared" si="9"/>
        <v>WIP - 30 Days</v>
      </c>
    </row>
    <row r="126" spans="1:56">
      <c r="B126" s="60">
        <f>[2]Trucks!A123</f>
        <v>47673</v>
      </c>
      <c r="C126" s="11" t="str">
        <f>[2]Trucks!B123</f>
        <v>CLA-26-2806X4BB-C-L</v>
      </c>
      <c r="D126" s="19" t="str">
        <f>IFERROR(VLOOKUP(C126&amp;"",'[2]Retail Price List'!$A$3:$B$103,2,FALSE),"Special Order")</f>
        <v>KP000590</v>
      </c>
      <c r="E126" s="18" t="str">
        <f>[2]Trucks!J123</f>
        <v>CKD</v>
      </c>
      <c r="F126" s="12" t="str">
        <f>[2]Trucks!E123</f>
        <v>2018-02-28</v>
      </c>
      <c r="G126" s="56">
        <f>[2]Trucks!K123</f>
        <v>14.7</v>
      </c>
      <c r="H126" s="46">
        <f>[2]Trucks!I123</f>
        <v>42947</v>
      </c>
      <c r="I126" s="83" t="str">
        <f t="shared" si="5"/>
        <v>2017Q3</v>
      </c>
      <c r="J126" s="272">
        <f>IFERROR(VLOOKUP((D126&amp;C126)&amp;"",'[2]Retail Price List'!$C$4:$F$102,3,FALSE),"")</f>
        <v>985000</v>
      </c>
      <c r="K126" s="272">
        <f>IFERROR(IF(BA126="WIP - 30 Days",VLOOKUP(D126,[3]Standard!$B$9:$E$101,4,FALSE),IF(BA126="31-120 Days",VLOOKUP(D126,[3]Standard!$B$9:$F$101,5,FALSE),IF(BA126="121-365 Days",VLOOKUP(D126,[3]Standard!$B$9:$G$101,6,FALSE),VLOOKUP(D126,[3]Standard!$B$9:$H$101,7,FALSE)))),0)</f>
        <v>781203.5</v>
      </c>
      <c r="L126" s="272">
        <f>IFERROR(IF(BA126="WIP - 30 Days",VLOOKUP(D126,[3]Standard!$B$9:$J$101,9,FALSE),IF(BA126="31-120 Days",VLOOKUP(D126,[3]Standard!$B$9:$K$100,10,FALSE),IF(BA126="121-365 Days",VLOOKUP(D126,[3]Standard!$B$9:$L$101,11,FALSE),VLOOKUP(D126,[3]Standard!$B$9:$M$101,12,FALSE)))),0)</f>
        <v>758450</v>
      </c>
      <c r="M126" s="269">
        <f>IFERROR(VLOOKUP((D126&amp;C126)&amp;"",'[2]Retail Price List'!$C$4:$F$102,4,FALSE),"")</f>
        <v>1002500</v>
      </c>
      <c r="N126" s="269">
        <f>IFERROR(IF(BA126="WIP - 30 Days",VLOOKUP(D126,[3]Extended!$B$9:$E$101,4,FALSE),IF(BA126="31-120 Days",VLOOKUP(D126,[3]Extended!$B$9:$F$101,5,FALSE),IF(BA126="121-365 Days",VLOOKUP(D126,[3]Extended!$B$9:$G$101,6,FALSE),VLOOKUP(D126,[3]Extended!$B$9:$H$101,7,FALSE)))),0)</f>
        <v>815734.25</v>
      </c>
      <c r="O126" s="269">
        <f>IFERROR(IF(BA126="WIP - 30 Days",VLOOKUP(D126,[3]Extended!$B$9:$J$101,9,FALSE),IF(BA126="31-120 Days",VLOOKUP(D126,[3]Extended!$B$9:$K$101,10,FALSE),IF(BA126="121-365 Days",VLOOKUP(D126,[3]Extended!$B$9:$L$101,11,FALSE),VLOOKUP(D126,[3]Extended!$B$9:$M$101,12,FALSE)))),0)</f>
        <v>791975</v>
      </c>
      <c r="P126" s="116">
        <f t="shared" si="6"/>
        <v>0.21</v>
      </c>
      <c r="Q126" s="110" t="e">
        <f>O126-#REF!</f>
        <v>#REF!</v>
      </c>
      <c r="S126" s="110"/>
      <c r="W126" s="311"/>
      <c r="X126" s="311"/>
      <c r="Y126" s="311"/>
      <c r="Z126" s="311"/>
      <c r="AA126" s="311"/>
      <c r="AB126" s="311"/>
      <c r="AC126" s="311"/>
      <c r="AT126" s="88" t="str">
        <f t="shared" si="7"/>
        <v>KP0005902017Q314,7</v>
      </c>
      <c r="AU126" s="89" t="str">
        <f t="shared" si="8"/>
        <v>07-2017</v>
      </c>
      <c r="BA126" s="92" t="str">
        <f t="shared" si="9"/>
        <v>WIP - 30 Days</v>
      </c>
    </row>
    <row r="127" spans="1:56">
      <c r="B127" s="60">
        <f>[2]Trucks!A124</f>
        <v>47674</v>
      </c>
      <c r="C127" s="11" t="str">
        <f>[2]Trucks!B124</f>
        <v>CLA-26-2806X4BB-C-L</v>
      </c>
      <c r="D127" s="19" t="str">
        <f>IFERROR(VLOOKUP(C127&amp;"",'[2]Retail Price List'!$A$3:$B$103,2,FALSE),"Special Order")</f>
        <v>KP000590</v>
      </c>
      <c r="E127" s="18" t="str">
        <f>[2]Trucks!J124</f>
        <v>CKD</v>
      </c>
      <c r="F127" s="12" t="str">
        <f>[2]Trucks!E124</f>
        <v>2018-02-28</v>
      </c>
      <c r="G127" s="56">
        <f>[2]Trucks!K124</f>
        <v>14.7</v>
      </c>
      <c r="H127" s="46">
        <f>[2]Trucks!I124</f>
        <v>42947</v>
      </c>
      <c r="I127" s="83" t="str">
        <f t="shared" si="5"/>
        <v>2017Q3</v>
      </c>
      <c r="J127" s="272">
        <f>IFERROR(VLOOKUP((D127&amp;C127)&amp;"",'[2]Retail Price List'!$C$4:$F$102,3,FALSE),"")</f>
        <v>985000</v>
      </c>
      <c r="K127" s="272">
        <f>IFERROR(IF(BA127="WIP - 30 Days",VLOOKUP(D127,[3]Standard!$B$9:$E$101,4,FALSE),IF(BA127="31-120 Days",VLOOKUP(D127,[3]Standard!$B$9:$F$101,5,FALSE),IF(BA127="121-365 Days",VLOOKUP(D127,[3]Standard!$B$9:$G$101,6,FALSE),VLOOKUP(D127,[3]Standard!$B$9:$H$101,7,FALSE)))),0)</f>
        <v>781203.5</v>
      </c>
      <c r="L127" s="272">
        <f>IFERROR(IF(BA127="WIP - 30 Days",VLOOKUP(D127,[3]Standard!$B$9:$J$101,9,FALSE),IF(BA127="31-120 Days",VLOOKUP(D127,[3]Standard!$B$9:$K$100,10,FALSE),IF(BA127="121-365 Days",VLOOKUP(D127,[3]Standard!$B$9:$L$101,11,FALSE),VLOOKUP(D127,[3]Standard!$B$9:$M$101,12,FALSE)))),0)</f>
        <v>758450</v>
      </c>
      <c r="M127" s="269">
        <f>IFERROR(VLOOKUP((D127&amp;C127)&amp;"",'[2]Retail Price List'!$C$4:$F$102,4,FALSE),"")</f>
        <v>1002500</v>
      </c>
      <c r="N127" s="269">
        <f>IFERROR(IF(BA127="WIP - 30 Days",VLOOKUP(D127,[3]Extended!$B$9:$E$101,4,FALSE),IF(BA127="31-120 Days",VLOOKUP(D127,[3]Extended!$B$9:$F$101,5,FALSE),IF(BA127="121-365 Days",VLOOKUP(D127,[3]Extended!$B$9:$G$101,6,FALSE),VLOOKUP(D127,[3]Extended!$B$9:$H$101,7,FALSE)))),0)</f>
        <v>815734.25</v>
      </c>
      <c r="O127" s="269">
        <f>IFERROR(IF(BA127="WIP - 30 Days",VLOOKUP(D127,[3]Extended!$B$9:$J$101,9,FALSE),IF(BA127="31-120 Days",VLOOKUP(D127,[3]Extended!$B$9:$K$101,10,FALSE),IF(BA127="121-365 Days",VLOOKUP(D127,[3]Extended!$B$9:$L$101,11,FALSE),VLOOKUP(D127,[3]Extended!$B$9:$M$101,12,FALSE)))),0)</f>
        <v>791975</v>
      </c>
      <c r="P127" s="116">
        <f t="shared" si="6"/>
        <v>0.21</v>
      </c>
      <c r="Q127" s="110" t="e">
        <f>O127-#REF!</f>
        <v>#REF!</v>
      </c>
      <c r="S127" s="110"/>
      <c r="W127" s="311"/>
      <c r="X127" s="311"/>
      <c r="Y127" s="311"/>
      <c r="Z127" s="311"/>
      <c r="AA127" s="311"/>
      <c r="AB127" s="311"/>
      <c r="AC127" s="311"/>
      <c r="AT127" s="88" t="str">
        <f t="shared" si="7"/>
        <v>KP0005902017Q314,7</v>
      </c>
      <c r="AU127" s="89" t="str">
        <f t="shared" si="8"/>
        <v>07-2017</v>
      </c>
      <c r="BA127" s="92" t="str">
        <f t="shared" si="9"/>
        <v>WIP - 30 Days</v>
      </c>
    </row>
    <row r="128" spans="1:56">
      <c r="B128" s="60">
        <f>[2]Trucks!A125</f>
        <v>47675</v>
      </c>
      <c r="C128" s="11" t="str">
        <f>[2]Trucks!B125</f>
        <v>CLA-26-2806X4BB-C-L</v>
      </c>
      <c r="D128" s="19" t="str">
        <f>IFERROR(VLOOKUP(C128&amp;"",'[2]Retail Price List'!$A$3:$B$103,2,FALSE),"Special Order")</f>
        <v>KP000590</v>
      </c>
      <c r="E128" s="18" t="str">
        <f>[2]Trucks!J125</f>
        <v>CKD</v>
      </c>
      <c r="F128" s="12" t="str">
        <f>[2]Trucks!E125</f>
        <v>2018-02-28</v>
      </c>
      <c r="G128" s="56">
        <f>[2]Trucks!K125</f>
        <v>14.7</v>
      </c>
      <c r="H128" s="46">
        <f>[2]Trucks!I125</f>
        <v>42947</v>
      </c>
      <c r="I128" s="83" t="str">
        <f t="shared" si="5"/>
        <v>2017Q3</v>
      </c>
      <c r="J128" s="272">
        <f>IFERROR(VLOOKUP((D128&amp;C128)&amp;"",'[2]Retail Price List'!$C$4:$F$102,3,FALSE),"")</f>
        <v>985000</v>
      </c>
      <c r="K128" s="272">
        <f>IFERROR(IF(BA128="WIP - 30 Days",VLOOKUP(D128,[3]Standard!$B$9:$E$101,4,FALSE),IF(BA128="31-120 Days",VLOOKUP(D128,[3]Standard!$B$9:$F$101,5,FALSE),IF(BA128="121-365 Days",VLOOKUP(D128,[3]Standard!$B$9:$G$101,6,FALSE),VLOOKUP(D128,[3]Standard!$B$9:$H$101,7,FALSE)))),0)</f>
        <v>781203.5</v>
      </c>
      <c r="L128" s="272">
        <f>IFERROR(IF(BA128="WIP - 30 Days",VLOOKUP(D128,[3]Standard!$B$9:$J$101,9,FALSE),IF(BA128="31-120 Days",VLOOKUP(D128,[3]Standard!$B$9:$K$100,10,FALSE),IF(BA128="121-365 Days",VLOOKUP(D128,[3]Standard!$B$9:$L$101,11,FALSE),VLOOKUP(D128,[3]Standard!$B$9:$M$101,12,FALSE)))),0)</f>
        <v>758450</v>
      </c>
      <c r="M128" s="269">
        <f>IFERROR(VLOOKUP((D128&amp;C128)&amp;"",'[2]Retail Price List'!$C$4:$F$102,4,FALSE),"")</f>
        <v>1002500</v>
      </c>
      <c r="N128" s="269">
        <f>IFERROR(IF(BA128="WIP - 30 Days",VLOOKUP(D128,[3]Extended!$B$9:$E$101,4,FALSE),IF(BA128="31-120 Days",VLOOKUP(D128,[3]Extended!$B$9:$F$101,5,FALSE),IF(BA128="121-365 Days",VLOOKUP(D128,[3]Extended!$B$9:$G$101,6,FALSE),VLOOKUP(D128,[3]Extended!$B$9:$H$101,7,FALSE)))),0)</f>
        <v>815734.25</v>
      </c>
      <c r="O128" s="269">
        <f>IFERROR(IF(BA128="WIP - 30 Days",VLOOKUP(D128,[3]Extended!$B$9:$J$101,9,FALSE),IF(BA128="31-120 Days",VLOOKUP(D128,[3]Extended!$B$9:$K$101,10,FALSE),IF(BA128="121-365 Days",VLOOKUP(D128,[3]Extended!$B$9:$L$101,11,FALSE),VLOOKUP(D128,[3]Extended!$B$9:$M$101,12,FALSE)))),0)</f>
        <v>791975</v>
      </c>
      <c r="P128" s="116">
        <f t="shared" si="6"/>
        <v>0.21</v>
      </c>
      <c r="Q128" s="110" t="e">
        <f>O128-#REF!</f>
        <v>#REF!</v>
      </c>
      <c r="S128" s="110"/>
      <c r="W128" s="311"/>
      <c r="X128" s="311"/>
      <c r="Y128" s="311"/>
      <c r="Z128" s="311"/>
      <c r="AA128" s="311"/>
      <c r="AB128" s="311"/>
      <c r="AC128" s="311"/>
      <c r="AT128" s="88" t="str">
        <f t="shared" si="7"/>
        <v>KP0005902017Q314,7</v>
      </c>
      <c r="AU128" s="89" t="str">
        <f t="shared" si="8"/>
        <v>07-2017</v>
      </c>
      <c r="BA128" s="92" t="str">
        <f t="shared" si="9"/>
        <v>WIP - 30 Days</v>
      </c>
    </row>
    <row r="129" spans="1:56">
      <c r="B129" s="60">
        <f>[2]Trucks!A126</f>
        <v>47676</v>
      </c>
      <c r="C129" s="11" t="str">
        <f>[2]Trucks!B126</f>
        <v>CLA-26-2806X4BB-C-L</v>
      </c>
      <c r="D129" s="19" t="str">
        <f>IFERROR(VLOOKUP(C129&amp;"",'[2]Retail Price List'!$A$3:$B$103,2,FALSE),"Special Order")</f>
        <v>KP000590</v>
      </c>
      <c r="E129" s="18" t="str">
        <f>[2]Trucks!J126</f>
        <v>CKD</v>
      </c>
      <c r="F129" s="12" t="str">
        <f>[2]Trucks!E126</f>
        <v>2018-03-10</v>
      </c>
      <c r="G129" s="56">
        <f>[2]Trucks!K126</f>
        <v>14.7</v>
      </c>
      <c r="H129" s="46">
        <f>[2]Trucks!I126</f>
        <v>42947</v>
      </c>
      <c r="I129" s="83" t="str">
        <f t="shared" si="5"/>
        <v>2017Q3</v>
      </c>
      <c r="J129" s="272">
        <f>IFERROR(VLOOKUP((D129&amp;C129)&amp;"",'[2]Retail Price List'!$C$4:$F$102,3,FALSE),"")</f>
        <v>985000</v>
      </c>
      <c r="K129" s="272">
        <f>IFERROR(IF(BA129="WIP - 30 Days",VLOOKUP(D129,[3]Standard!$B$9:$E$101,4,FALSE),IF(BA129="31-120 Days",VLOOKUP(D129,[3]Standard!$B$9:$F$101,5,FALSE),IF(BA129="121-365 Days",VLOOKUP(D129,[3]Standard!$B$9:$G$101,6,FALSE),VLOOKUP(D129,[3]Standard!$B$9:$H$101,7,FALSE)))),0)</f>
        <v>781203.5</v>
      </c>
      <c r="L129" s="272">
        <f>IFERROR(IF(BA129="WIP - 30 Days",VLOOKUP(D129,[3]Standard!$B$9:$J$101,9,FALSE),IF(BA129="31-120 Days",VLOOKUP(D129,[3]Standard!$B$9:$K$100,10,FALSE),IF(BA129="121-365 Days",VLOOKUP(D129,[3]Standard!$B$9:$L$101,11,FALSE),VLOOKUP(D129,[3]Standard!$B$9:$M$101,12,FALSE)))),0)</f>
        <v>758450</v>
      </c>
      <c r="M129" s="269">
        <f>IFERROR(VLOOKUP((D129&amp;C129)&amp;"",'[2]Retail Price List'!$C$4:$F$102,4,FALSE),"")</f>
        <v>1002500</v>
      </c>
      <c r="N129" s="269">
        <f>IFERROR(IF(BA129="WIP - 30 Days",VLOOKUP(D129,[3]Extended!$B$9:$E$101,4,FALSE),IF(BA129="31-120 Days",VLOOKUP(D129,[3]Extended!$B$9:$F$101,5,FALSE),IF(BA129="121-365 Days",VLOOKUP(D129,[3]Extended!$B$9:$G$101,6,FALSE),VLOOKUP(D129,[3]Extended!$B$9:$H$101,7,FALSE)))),0)</f>
        <v>815734.25</v>
      </c>
      <c r="O129" s="269">
        <f>IFERROR(IF(BA129="WIP - 30 Days",VLOOKUP(D129,[3]Extended!$B$9:$J$101,9,FALSE),IF(BA129="31-120 Days",VLOOKUP(D129,[3]Extended!$B$9:$K$101,10,FALSE),IF(BA129="121-365 Days",VLOOKUP(D129,[3]Extended!$B$9:$L$101,11,FALSE),VLOOKUP(D129,[3]Extended!$B$9:$M$101,12,FALSE)))),0)</f>
        <v>791975</v>
      </c>
      <c r="P129" s="116">
        <f t="shared" si="6"/>
        <v>0.21</v>
      </c>
      <c r="Q129" s="110" t="e">
        <f>O129-#REF!</f>
        <v>#REF!</v>
      </c>
      <c r="S129" s="110"/>
      <c r="W129" s="311"/>
      <c r="X129" s="311"/>
      <c r="Y129" s="311"/>
      <c r="Z129" s="311"/>
      <c r="AA129" s="311"/>
      <c r="AB129" s="311"/>
      <c r="AC129" s="311"/>
      <c r="AT129" s="88" t="str">
        <f t="shared" si="7"/>
        <v>KP0005902017Q314,7</v>
      </c>
      <c r="AU129" s="89" t="str">
        <f t="shared" si="8"/>
        <v>07-2017</v>
      </c>
      <c r="BA129" s="92" t="str">
        <f t="shared" si="9"/>
        <v>WIP - 30 Days</v>
      </c>
    </row>
    <row r="130" spans="1:56">
      <c r="B130" s="60">
        <f>[2]Trucks!A127</f>
        <v>47677</v>
      </c>
      <c r="C130" s="11" t="str">
        <f>[2]Trucks!B127</f>
        <v>CLA-26-2806X4BB-C-L</v>
      </c>
      <c r="D130" s="19" t="str">
        <f>IFERROR(VLOOKUP(C130&amp;"",'[2]Retail Price List'!$A$3:$B$103,2,FALSE),"Special Order")</f>
        <v>KP000590</v>
      </c>
      <c r="E130" s="18" t="str">
        <f>[2]Trucks!J127</f>
        <v>CKD</v>
      </c>
      <c r="F130" s="12" t="str">
        <f>[2]Trucks!E127</f>
        <v>2018-03-10</v>
      </c>
      <c r="G130" s="56">
        <f>[2]Trucks!K127</f>
        <v>14.7</v>
      </c>
      <c r="H130" s="46">
        <f>[2]Trucks!I127</f>
        <v>42947</v>
      </c>
      <c r="I130" s="83" t="str">
        <f t="shared" si="5"/>
        <v>2017Q3</v>
      </c>
      <c r="J130" s="272">
        <f>IFERROR(VLOOKUP((D130&amp;C130)&amp;"",'[2]Retail Price List'!$C$4:$F$102,3,FALSE),"")</f>
        <v>985000</v>
      </c>
      <c r="K130" s="272">
        <f>IFERROR(IF(BA130="WIP - 30 Days",VLOOKUP(D130,[3]Standard!$B$9:$E$101,4,FALSE),IF(BA130="31-120 Days",VLOOKUP(D130,[3]Standard!$B$9:$F$101,5,FALSE),IF(BA130="121-365 Days",VLOOKUP(D130,[3]Standard!$B$9:$G$101,6,FALSE),VLOOKUP(D130,[3]Standard!$B$9:$H$101,7,FALSE)))),0)</f>
        <v>781203.5</v>
      </c>
      <c r="L130" s="272">
        <f>IFERROR(IF(BA130="WIP - 30 Days",VLOOKUP(D130,[3]Standard!$B$9:$J$101,9,FALSE),IF(BA130="31-120 Days",VLOOKUP(D130,[3]Standard!$B$9:$K$100,10,FALSE),IF(BA130="121-365 Days",VLOOKUP(D130,[3]Standard!$B$9:$L$101,11,FALSE),VLOOKUP(D130,[3]Standard!$B$9:$M$101,12,FALSE)))),0)</f>
        <v>758450</v>
      </c>
      <c r="M130" s="269">
        <f>IFERROR(VLOOKUP((D130&amp;C130)&amp;"",'[2]Retail Price List'!$C$4:$F$102,4,FALSE),"")</f>
        <v>1002500</v>
      </c>
      <c r="N130" s="269">
        <f>IFERROR(IF(BA130="WIP - 30 Days",VLOOKUP(D130,[3]Extended!$B$9:$E$101,4,FALSE),IF(BA130="31-120 Days",VLOOKUP(D130,[3]Extended!$B$9:$F$101,5,FALSE),IF(BA130="121-365 Days",VLOOKUP(D130,[3]Extended!$B$9:$G$101,6,FALSE),VLOOKUP(D130,[3]Extended!$B$9:$H$101,7,FALSE)))),0)</f>
        <v>815734.25</v>
      </c>
      <c r="O130" s="269">
        <f>IFERROR(IF(BA130="WIP - 30 Days",VLOOKUP(D130,[3]Extended!$B$9:$J$101,9,FALSE),IF(BA130="31-120 Days",VLOOKUP(D130,[3]Extended!$B$9:$K$101,10,FALSE),IF(BA130="121-365 Days",VLOOKUP(D130,[3]Extended!$B$9:$L$101,11,FALSE),VLOOKUP(D130,[3]Extended!$B$9:$M$101,12,FALSE)))),0)</f>
        <v>791975</v>
      </c>
      <c r="P130" s="116">
        <f t="shared" si="6"/>
        <v>0.21</v>
      </c>
      <c r="Q130" s="110" t="e">
        <f>O130-#REF!</f>
        <v>#REF!</v>
      </c>
      <c r="S130" s="110"/>
      <c r="W130" s="311"/>
      <c r="X130" s="311"/>
      <c r="Y130" s="311"/>
      <c r="Z130" s="311"/>
      <c r="AA130" s="311"/>
      <c r="AB130" s="311"/>
      <c r="AC130" s="311"/>
      <c r="AT130" s="88" t="str">
        <f t="shared" si="7"/>
        <v>KP0005902017Q314,7</v>
      </c>
      <c r="AU130" s="89" t="str">
        <f t="shared" si="8"/>
        <v>07-2017</v>
      </c>
      <c r="BA130" s="92" t="str">
        <f t="shared" si="9"/>
        <v>WIP - 30 Days</v>
      </c>
    </row>
    <row r="131" spans="1:56">
      <c r="B131" s="60">
        <f>[2]Trucks!A128</f>
        <v>47678</v>
      </c>
      <c r="C131" s="11" t="str">
        <f>[2]Trucks!B128</f>
        <v>CLA-26-2806X4BB-C-L</v>
      </c>
      <c r="D131" s="19" t="str">
        <f>IFERROR(VLOOKUP(C131&amp;"",'[2]Retail Price List'!$A$3:$B$103,2,FALSE),"Special Order")</f>
        <v>KP000590</v>
      </c>
      <c r="E131" s="18" t="str">
        <f>[2]Trucks!J128</f>
        <v>CKD</v>
      </c>
      <c r="F131" s="12" t="str">
        <f>[2]Trucks!E128</f>
        <v>2018-03-10</v>
      </c>
      <c r="G131" s="56">
        <f>[2]Trucks!K128</f>
        <v>14.7</v>
      </c>
      <c r="H131" s="46">
        <f>[2]Trucks!I128</f>
        <v>42947</v>
      </c>
      <c r="I131" s="83" t="str">
        <f t="shared" si="5"/>
        <v>2017Q3</v>
      </c>
      <c r="J131" s="272">
        <f>IFERROR(VLOOKUP((D131&amp;C131)&amp;"",'[2]Retail Price List'!$C$4:$F$102,3,FALSE),"")</f>
        <v>985000</v>
      </c>
      <c r="K131" s="272">
        <f>IFERROR(IF(BA131="WIP - 30 Days",VLOOKUP(D131,[3]Standard!$B$9:$E$101,4,FALSE),IF(BA131="31-120 Days",VLOOKUP(D131,[3]Standard!$B$9:$F$101,5,FALSE),IF(BA131="121-365 Days",VLOOKUP(D131,[3]Standard!$B$9:$G$101,6,FALSE),VLOOKUP(D131,[3]Standard!$B$9:$H$101,7,FALSE)))),0)</f>
        <v>781203.5</v>
      </c>
      <c r="L131" s="272">
        <f>IFERROR(IF(BA131="WIP - 30 Days",VLOOKUP(D131,[3]Standard!$B$9:$J$101,9,FALSE),IF(BA131="31-120 Days",VLOOKUP(D131,[3]Standard!$B$9:$K$100,10,FALSE),IF(BA131="121-365 Days",VLOOKUP(D131,[3]Standard!$B$9:$L$101,11,FALSE),VLOOKUP(D131,[3]Standard!$B$9:$M$101,12,FALSE)))),0)</f>
        <v>758450</v>
      </c>
      <c r="M131" s="269">
        <f>IFERROR(VLOOKUP((D131&amp;C131)&amp;"",'[2]Retail Price List'!$C$4:$F$102,4,FALSE),"")</f>
        <v>1002500</v>
      </c>
      <c r="N131" s="269">
        <f>IFERROR(IF(BA131="WIP - 30 Days",VLOOKUP(D131,[3]Extended!$B$9:$E$101,4,FALSE),IF(BA131="31-120 Days",VLOOKUP(D131,[3]Extended!$B$9:$F$101,5,FALSE),IF(BA131="121-365 Days",VLOOKUP(D131,[3]Extended!$B$9:$G$101,6,FALSE),VLOOKUP(D131,[3]Extended!$B$9:$H$101,7,FALSE)))),0)</f>
        <v>815734.25</v>
      </c>
      <c r="O131" s="269">
        <f>IFERROR(IF(BA131="WIP - 30 Days",VLOOKUP(D131,[3]Extended!$B$9:$J$101,9,FALSE),IF(BA131="31-120 Days",VLOOKUP(D131,[3]Extended!$B$9:$K$101,10,FALSE),IF(BA131="121-365 Days",VLOOKUP(D131,[3]Extended!$B$9:$L$101,11,FALSE),VLOOKUP(D131,[3]Extended!$B$9:$M$101,12,FALSE)))),0)</f>
        <v>791975</v>
      </c>
      <c r="P131" s="116">
        <f t="shared" si="6"/>
        <v>0.21</v>
      </c>
      <c r="Q131" s="110" t="e">
        <f>O131-#REF!</f>
        <v>#REF!</v>
      </c>
      <c r="S131" s="110"/>
      <c r="W131" s="311"/>
      <c r="X131" s="311"/>
      <c r="Y131" s="311"/>
      <c r="Z131" s="311"/>
      <c r="AA131" s="311"/>
      <c r="AB131" s="311"/>
      <c r="AC131" s="311"/>
      <c r="AT131" s="88" t="str">
        <f t="shared" si="7"/>
        <v>KP0005902017Q314,7</v>
      </c>
      <c r="AU131" s="89" t="str">
        <f t="shared" si="8"/>
        <v>07-2017</v>
      </c>
      <c r="BA131" s="92" t="str">
        <f t="shared" si="9"/>
        <v>WIP - 30 Days</v>
      </c>
    </row>
    <row r="132" spans="1:56">
      <c r="B132" s="60">
        <f>[2]Trucks!A129</f>
        <v>47679</v>
      </c>
      <c r="C132" s="11" t="str">
        <f>[2]Trucks!B129</f>
        <v>CLA-26-2806X4BB-C-L</v>
      </c>
      <c r="D132" s="19" t="str">
        <f>IFERROR(VLOOKUP(C132&amp;"",'[2]Retail Price List'!$A$3:$B$103,2,FALSE),"Special Order")</f>
        <v>KP000590</v>
      </c>
      <c r="E132" s="18" t="str">
        <f>[2]Trucks!J129</f>
        <v>CKD</v>
      </c>
      <c r="F132" s="12" t="str">
        <f>[2]Trucks!E129</f>
        <v>2018-03-10</v>
      </c>
      <c r="G132" s="56">
        <f>[2]Trucks!K129</f>
        <v>14.7</v>
      </c>
      <c r="H132" s="46">
        <f>[2]Trucks!I129</f>
        <v>42947</v>
      </c>
      <c r="I132" s="83" t="str">
        <f t="shared" si="5"/>
        <v>2017Q3</v>
      </c>
      <c r="J132" s="272">
        <f>IFERROR(VLOOKUP((D132&amp;C132)&amp;"",'[2]Retail Price List'!$C$4:$F$102,3,FALSE),"")</f>
        <v>985000</v>
      </c>
      <c r="K132" s="272">
        <f>IFERROR(IF(BA132="WIP - 30 Days",VLOOKUP(D132,[3]Standard!$B$9:$E$101,4,FALSE),IF(BA132="31-120 Days",VLOOKUP(D132,[3]Standard!$B$9:$F$101,5,FALSE),IF(BA132="121-365 Days",VLOOKUP(D132,[3]Standard!$B$9:$G$101,6,FALSE),VLOOKUP(D132,[3]Standard!$B$9:$H$101,7,FALSE)))),0)</f>
        <v>781203.5</v>
      </c>
      <c r="L132" s="272">
        <f>IFERROR(IF(BA132="WIP - 30 Days",VLOOKUP(D132,[3]Standard!$B$9:$J$101,9,FALSE),IF(BA132="31-120 Days",VLOOKUP(D132,[3]Standard!$B$9:$K$100,10,FALSE),IF(BA132="121-365 Days",VLOOKUP(D132,[3]Standard!$B$9:$L$101,11,FALSE),VLOOKUP(D132,[3]Standard!$B$9:$M$101,12,FALSE)))),0)</f>
        <v>758450</v>
      </c>
      <c r="M132" s="269">
        <f>IFERROR(VLOOKUP((D132&amp;C132)&amp;"",'[2]Retail Price List'!$C$4:$F$102,4,FALSE),"")</f>
        <v>1002500</v>
      </c>
      <c r="N132" s="269">
        <f>IFERROR(IF(BA132="WIP - 30 Days",VLOOKUP(D132,[3]Extended!$B$9:$E$101,4,FALSE),IF(BA132="31-120 Days",VLOOKUP(D132,[3]Extended!$B$9:$F$101,5,FALSE),IF(BA132="121-365 Days",VLOOKUP(D132,[3]Extended!$B$9:$G$101,6,FALSE),VLOOKUP(D132,[3]Extended!$B$9:$H$101,7,FALSE)))),0)</f>
        <v>815734.25</v>
      </c>
      <c r="O132" s="269">
        <f>IFERROR(IF(BA132="WIP - 30 Days",VLOOKUP(D132,[3]Extended!$B$9:$J$101,9,FALSE),IF(BA132="31-120 Days",VLOOKUP(D132,[3]Extended!$B$9:$K$101,10,FALSE),IF(BA132="121-365 Days",VLOOKUP(D132,[3]Extended!$B$9:$L$101,11,FALSE),VLOOKUP(D132,[3]Extended!$B$9:$M$101,12,FALSE)))),0)</f>
        <v>791975</v>
      </c>
      <c r="P132" s="116">
        <f t="shared" si="6"/>
        <v>0.21</v>
      </c>
      <c r="Q132" s="110" t="e">
        <f>O132-#REF!</f>
        <v>#REF!</v>
      </c>
      <c r="S132" s="110"/>
      <c r="W132" s="311"/>
      <c r="X132" s="311"/>
      <c r="Y132" s="311"/>
      <c r="Z132" s="311"/>
      <c r="AA132" s="311"/>
      <c r="AB132" s="311"/>
      <c r="AC132" s="311"/>
      <c r="AT132" s="88" t="str">
        <f t="shared" si="7"/>
        <v>KP0005902017Q314,7</v>
      </c>
      <c r="AU132" s="89" t="str">
        <f t="shared" si="8"/>
        <v>07-2017</v>
      </c>
      <c r="BA132" s="92" t="str">
        <f t="shared" si="9"/>
        <v>WIP - 30 Days</v>
      </c>
    </row>
    <row r="133" spans="1:56">
      <c r="B133" s="60">
        <f>[2]Trucks!A130</f>
        <v>47680</v>
      </c>
      <c r="C133" s="11" t="str">
        <f>[2]Trucks!B130</f>
        <v>CLA-26-2806X4BB-C-L</v>
      </c>
      <c r="D133" s="19" t="str">
        <f>IFERROR(VLOOKUP(C133&amp;"",'[2]Retail Price List'!$A$3:$B$103,2,FALSE),"Special Order")</f>
        <v>KP000590</v>
      </c>
      <c r="E133" s="18" t="str">
        <f>[2]Trucks!J130</f>
        <v>CKD</v>
      </c>
      <c r="F133" s="12" t="str">
        <f>[2]Trucks!E130</f>
        <v>2018-03-10</v>
      </c>
      <c r="G133" s="56">
        <f>[2]Trucks!K130</f>
        <v>14.7</v>
      </c>
      <c r="H133" s="46">
        <f>[2]Trucks!I130</f>
        <v>42947</v>
      </c>
      <c r="I133" s="83" t="str">
        <f t="shared" ref="I133:I196" si="10">IFERROR(VLOOKUP(AU133,$AW$5:$AY$40,3,FALSE),"")</f>
        <v>2017Q3</v>
      </c>
      <c r="J133" s="272">
        <f>IFERROR(VLOOKUP((D133&amp;C133)&amp;"",'[2]Retail Price List'!$C$4:$F$102,3,FALSE),"")</f>
        <v>985000</v>
      </c>
      <c r="K133" s="272">
        <f>IFERROR(IF(BA133="WIP - 30 Days",VLOOKUP(D133,[3]Standard!$B$9:$E$101,4,FALSE),IF(BA133="31-120 Days",VLOOKUP(D133,[3]Standard!$B$9:$F$101,5,FALSE),IF(BA133="121-365 Days",VLOOKUP(D133,[3]Standard!$B$9:$G$101,6,FALSE),VLOOKUP(D133,[3]Standard!$B$9:$H$101,7,FALSE)))),0)</f>
        <v>781203.5</v>
      </c>
      <c r="L133" s="272">
        <f>IFERROR(IF(BA133="WIP - 30 Days",VLOOKUP(D133,[3]Standard!$B$9:$J$101,9,FALSE),IF(BA133="31-120 Days",VLOOKUP(D133,[3]Standard!$B$9:$K$100,10,FALSE),IF(BA133="121-365 Days",VLOOKUP(D133,[3]Standard!$B$9:$L$101,11,FALSE),VLOOKUP(D133,[3]Standard!$B$9:$M$101,12,FALSE)))),0)</f>
        <v>758450</v>
      </c>
      <c r="M133" s="269">
        <f>IFERROR(VLOOKUP((D133&amp;C133)&amp;"",'[2]Retail Price List'!$C$4:$F$102,4,FALSE),"")</f>
        <v>1002500</v>
      </c>
      <c r="N133" s="269">
        <f>IFERROR(IF(BA133="WIP - 30 Days",VLOOKUP(D133,[3]Extended!$B$9:$E$101,4,FALSE),IF(BA133="31-120 Days",VLOOKUP(D133,[3]Extended!$B$9:$F$101,5,FALSE),IF(BA133="121-365 Days",VLOOKUP(D133,[3]Extended!$B$9:$G$101,6,FALSE),VLOOKUP(D133,[3]Extended!$B$9:$H$101,7,FALSE)))),0)</f>
        <v>815734.25</v>
      </c>
      <c r="O133" s="269">
        <f>IFERROR(IF(BA133="WIP - 30 Days",VLOOKUP(D133,[3]Extended!$B$9:$J$101,9,FALSE),IF(BA133="31-120 Days",VLOOKUP(D133,[3]Extended!$B$9:$K$101,10,FALSE),IF(BA133="121-365 Days",VLOOKUP(D133,[3]Extended!$B$9:$L$101,11,FALSE),VLOOKUP(D133,[3]Extended!$B$9:$M$101,12,FALSE)))),0)</f>
        <v>791975</v>
      </c>
      <c r="P133" s="116">
        <f t="shared" ref="P133:P196" si="11">(M133-O133)/M133</f>
        <v>0.21</v>
      </c>
      <c r="Q133" s="110" t="e">
        <f>O133-#REF!</f>
        <v>#REF!</v>
      </c>
      <c r="W133" s="311"/>
      <c r="X133" s="311"/>
      <c r="Y133" s="311"/>
      <c r="Z133" s="311"/>
      <c r="AA133" s="311"/>
      <c r="AB133" s="311"/>
      <c r="AC133" s="311"/>
      <c r="AT133" s="88" t="str">
        <f t="shared" ref="AT133:AT196" si="12">D133&amp;I133&amp;G133</f>
        <v>KP0005902017Q314,7</v>
      </c>
      <c r="AU133" s="89" t="str">
        <f t="shared" ref="AU133:AU196" si="13">IF(MONTH(H133)&lt;10,0&amp;MONTH(H133)&amp;"-"&amp;YEAR(H133),MONTH(H133)&amp;"-"&amp;YEAR(H133))</f>
        <v>07-2017</v>
      </c>
      <c r="BA133" s="92" t="str">
        <f t="shared" ref="BA133:BA196" si="14">IF(B133=0,"",IF(AND(F133&gt;=31,F133&lt;=120),"31-120 Days",IF(AND(F133&gt;=121,F133&lt;=365),"121-365 Days",IF(OR(E133="CKD",F133&lt;=30),"WIP - 30 Days","&gt;365 Days"))))</f>
        <v>WIP - 30 Days</v>
      </c>
    </row>
    <row r="134" spans="1:56">
      <c r="B134" s="60">
        <f>[2]Trucks!A131</f>
        <v>47681</v>
      </c>
      <c r="C134" s="11" t="str">
        <f>[2]Trucks!B131</f>
        <v>CLA-26-2806X4BB-C-L</v>
      </c>
      <c r="D134" s="19" t="str">
        <f>IFERROR(VLOOKUP(C134&amp;"",'[2]Retail Price List'!$A$3:$B$103,2,FALSE),"Special Order")</f>
        <v>KP000590</v>
      </c>
      <c r="E134" s="18" t="str">
        <f>[2]Trucks!J131</f>
        <v>CKD</v>
      </c>
      <c r="F134" s="12" t="str">
        <f>[2]Trucks!E131</f>
        <v>2018-03-10</v>
      </c>
      <c r="G134" s="56">
        <f>[2]Trucks!K131</f>
        <v>14.7</v>
      </c>
      <c r="H134" s="46">
        <f>[2]Trucks!I131</f>
        <v>42947</v>
      </c>
      <c r="I134" s="83" t="str">
        <f t="shared" si="10"/>
        <v>2017Q3</v>
      </c>
      <c r="J134" s="272">
        <f>IFERROR(VLOOKUP((D134&amp;C134)&amp;"",'[2]Retail Price List'!$C$4:$F$102,3,FALSE),"")</f>
        <v>985000</v>
      </c>
      <c r="K134" s="272">
        <f>IFERROR(IF(BA134="WIP - 30 Days",VLOOKUP(D134,[3]Standard!$B$9:$E$101,4,FALSE),IF(BA134="31-120 Days",VLOOKUP(D134,[3]Standard!$B$9:$F$101,5,FALSE),IF(BA134="121-365 Days",VLOOKUP(D134,[3]Standard!$B$9:$G$101,6,FALSE),VLOOKUP(D134,[3]Standard!$B$9:$H$101,7,FALSE)))),0)</f>
        <v>781203.5</v>
      </c>
      <c r="L134" s="272">
        <f>IFERROR(IF(BA134="WIP - 30 Days",VLOOKUP(D134,[3]Standard!$B$9:$J$101,9,FALSE),IF(BA134="31-120 Days",VLOOKUP(D134,[3]Standard!$B$9:$K$100,10,FALSE),IF(BA134="121-365 Days",VLOOKUP(D134,[3]Standard!$B$9:$L$101,11,FALSE),VLOOKUP(D134,[3]Standard!$B$9:$M$101,12,FALSE)))),0)</f>
        <v>758450</v>
      </c>
      <c r="M134" s="269">
        <f>IFERROR(VLOOKUP((D134&amp;C134)&amp;"",'[2]Retail Price List'!$C$4:$F$102,4,FALSE),"")</f>
        <v>1002500</v>
      </c>
      <c r="N134" s="269">
        <f>IFERROR(IF(BA134="WIP - 30 Days",VLOOKUP(D134,[3]Extended!$B$9:$E$101,4,FALSE),IF(BA134="31-120 Days",VLOOKUP(D134,[3]Extended!$B$9:$F$101,5,FALSE),IF(BA134="121-365 Days",VLOOKUP(D134,[3]Extended!$B$9:$G$101,6,FALSE),VLOOKUP(D134,[3]Extended!$B$9:$H$101,7,FALSE)))),0)</f>
        <v>815734.25</v>
      </c>
      <c r="O134" s="269">
        <f>IFERROR(IF(BA134="WIP - 30 Days",VLOOKUP(D134,[3]Extended!$B$9:$J$101,9,FALSE),IF(BA134="31-120 Days",VLOOKUP(D134,[3]Extended!$B$9:$K$101,10,FALSE),IF(BA134="121-365 Days",VLOOKUP(D134,[3]Extended!$B$9:$L$101,11,FALSE),VLOOKUP(D134,[3]Extended!$B$9:$M$101,12,FALSE)))),0)</f>
        <v>791975</v>
      </c>
      <c r="P134" s="116">
        <f t="shared" si="11"/>
        <v>0.21</v>
      </c>
      <c r="Q134" s="110" t="e">
        <f>O134-#REF!</f>
        <v>#REF!</v>
      </c>
      <c r="W134" s="311"/>
      <c r="X134" s="311"/>
      <c r="Y134" s="311"/>
      <c r="Z134" s="311"/>
      <c r="AA134" s="311"/>
      <c r="AB134" s="311"/>
      <c r="AC134" s="311"/>
      <c r="AT134" s="88" t="str">
        <f t="shared" si="12"/>
        <v>KP0005902017Q314,7</v>
      </c>
      <c r="AU134" s="89" t="str">
        <f t="shared" si="13"/>
        <v>07-2017</v>
      </c>
      <c r="BA134" s="92" t="str">
        <f t="shared" si="14"/>
        <v>WIP - 30 Days</v>
      </c>
    </row>
    <row r="135" spans="1:56">
      <c r="B135" s="60" t="str">
        <f>[2]Trucks!A132</f>
        <v>MC6-1092</v>
      </c>
      <c r="C135" s="11" t="str">
        <f>[2]Trucks!B132</f>
        <v>CLA-26-2806X4BB-C-L</v>
      </c>
      <c r="D135" s="19" t="str">
        <f>IFERROR(VLOOKUP(C135&amp;"",'[2]Retail Price List'!$A$3:$B$103,2,FALSE),"Special Order")</f>
        <v>KP000590</v>
      </c>
      <c r="E135" s="18" t="str">
        <f>[2]Trucks!J132</f>
        <v>UNSOLD</v>
      </c>
      <c r="F135" s="12">
        <f>[2]Trucks!E132</f>
        <v>18</v>
      </c>
      <c r="G135" s="56">
        <f>[2]Trucks!K132</f>
        <v>17.3</v>
      </c>
      <c r="H135" s="46">
        <f>[2]Trucks!I132</f>
        <v>42584</v>
      </c>
      <c r="I135" s="83" t="str">
        <f t="shared" si="10"/>
        <v>2016Q3</v>
      </c>
      <c r="J135" s="272">
        <f>IFERROR(VLOOKUP((D135&amp;C135)&amp;"",'[2]Retail Price List'!$C$4:$F$102,3,FALSE),"")</f>
        <v>985000</v>
      </c>
      <c r="K135" s="272">
        <f>IFERROR(IF(BA135="WIP - 30 Days",VLOOKUP(D135,[3]Standard!$B$9:$E$101,4,FALSE),IF(BA135="31-120 Days",VLOOKUP(D135,[3]Standard!$B$9:$F$101,5,FALSE),IF(BA135="121-365 Days",VLOOKUP(D135,[3]Standard!$B$9:$G$101,6,FALSE),VLOOKUP(D135,[3]Standard!$B$9:$H$101,7,FALSE)))),0)</f>
        <v>781203.5</v>
      </c>
      <c r="L135" s="272">
        <f>IFERROR(IF(BA135="WIP - 30 Days",VLOOKUP(D135,[3]Standard!$B$9:$J$101,9,FALSE),IF(BA135="31-120 Days",VLOOKUP(D135,[3]Standard!$B$9:$K$100,10,FALSE),IF(BA135="121-365 Days",VLOOKUP(D135,[3]Standard!$B$9:$L$101,11,FALSE),VLOOKUP(D135,[3]Standard!$B$9:$M$101,12,FALSE)))),0)</f>
        <v>758450</v>
      </c>
      <c r="M135" s="269">
        <f>IFERROR(VLOOKUP((D135&amp;C135)&amp;"",'[2]Retail Price List'!$C$4:$F$102,4,FALSE),"")</f>
        <v>1002500</v>
      </c>
      <c r="N135" s="269">
        <f>IFERROR(IF(BA135="WIP - 30 Days",VLOOKUP(D135,[3]Extended!$B$9:$E$101,4,FALSE),IF(BA135="31-120 Days",VLOOKUP(D135,[3]Extended!$B$9:$F$101,5,FALSE),IF(BA135="121-365 Days",VLOOKUP(D135,[3]Extended!$B$9:$G$101,6,FALSE),VLOOKUP(D135,[3]Extended!$B$9:$H$101,7,FALSE)))),0)</f>
        <v>815734.25</v>
      </c>
      <c r="O135" s="269">
        <f>IFERROR(IF(BA135="WIP - 30 Days",VLOOKUP(D135,[3]Extended!$B$9:$J$101,9,FALSE),IF(BA135="31-120 Days",VLOOKUP(D135,[3]Extended!$B$9:$K$101,10,FALSE),IF(BA135="121-365 Days",VLOOKUP(D135,[3]Extended!$B$9:$L$101,11,FALSE),VLOOKUP(D135,[3]Extended!$B$9:$M$101,12,FALSE)))),0)</f>
        <v>791975</v>
      </c>
      <c r="P135" s="116">
        <f t="shared" si="11"/>
        <v>0.21</v>
      </c>
      <c r="Q135" s="110" t="e">
        <f>O135-#REF!</f>
        <v>#REF!</v>
      </c>
      <c r="W135" s="311"/>
      <c r="X135" s="311"/>
      <c r="Y135" s="311"/>
      <c r="Z135" s="311"/>
      <c r="AA135" s="311"/>
      <c r="AB135" s="311"/>
      <c r="AC135" s="311"/>
      <c r="AT135" s="88" t="str">
        <f t="shared" si="12"/>
        <v>KP0005902016Q317,3</v>
      </c>
      <c r="AU135" s="89" t="str">
        <f t="shared" si="13"/>
        <v>08-2016</v>
      </c>
      <c r="BA135" s="92" t="str">
        <f t="shared" si="14"/>
        <v>WIP - 30 Days</v>
      </c>
    </row>
    <row r="136" spans="1:56">
      <c r="B136" s="60" t="str">
        <f>[2]Trucks!A133</f>
        <v>MC6-3738</v>
      </c>
      <c r="C136" s="11" t="str">
        <f>[2]Trucks!B133</f>
        <v>CLA-26-2806X4BB-C-L</v>
      </c>
      <c r="D136" s="19" t="str">
        <f>IFERROR(VLOOKUP(C136&amp;"",'[2]Retail Price List'!$A$3:$B$103,2,FALSE),"Special Order")</f>
        <v>KP000590</v>
      </c>
      <c r="E136" s="18" t="str">
        <f>[2]Trucks!J133</f>
        <v>CKD</v>
      </c>
      <c r="F136" s="12" t="str">
        <f>[2]Trucks!E133</f>
        <v>2017-08-25</v>
      </c>
      <c r="G136" s="56">
        <f>[2]Trucks!K133</f>
        <v>15.4</v>
      </c>
      <c r="H136" s="46">
        <f>[2]Trucks!I133</f>
        <v>42804</v>
      </c>
      <c r="I136" s="83" t="str">
        <f t="shared" si="10"/>
        <v>2017Q1</v>
      </c>
      <c r="J136" s="272">
        <f>IFERROR(VLOOKUP((D136&amp;C136)&amp;"",'[2]Retail Price List'!$C$4:$F$102,3,FALSE),"")</f>
        <v>985000</v>
      </c>
      <c r="K136" s="272">
        <f>IFERROR(IF(BA136="WIP - 30 Days",VLOOKUP(D136,[3]Standard!$B$9:$E$101,4,FALSE),IF(BA136="31-120 Days",VLOOKUP(D136,[3]Standard!$B$9:$F$101,5,FALSE),IF(BA136="121-365 Days",VLOOKUP(D136,[3]Standard!$B$9:$G$101,6,FALSE),VLOOKUP(D136,[3]Standard!$B$9:$H$101,7,FALSE)))),0)</f>
        <v>781203.5</v>
      </c>
      <c r="L136" s="272">
        <f>IFERROR(IF(BA136="WIP - 30 Days",VLOOKUP(D136,[3]Standard!$B$9:$J$101,9,FALSE),IF(BA136="31-120 Days",VLOOKUP(D136,[3]Standard!$B$9:$K$100,10,FALSE),IF(BA136="121-365 Days",VLOOKUP(D136,[3]Standard!$B$9:$L$101,11,FALSE),VLOOKUP(D136,[3]Standard!$B$9:$M$101,12,FALSE)))),0)</f>
        <v>758450</v>
      </c>
      <c r="M136" s="269">
        <f>IFERROR(VLOOKUP((D136&amp;C136)&amp;"",'[2]Retail Price List'!$C$4:$F$102,4,FALSE),"")</f>
        <v>1002500</v>
      </c>
      <c r="N136" s="269">
        <f>IFERROR(IF(BA136="WIP - 30 Days",VLOOKUP(D136,[3]Extended!$B$9:$E$101,4,FALSE),IF(BA136="31-120 Days",VLOOKUP(D136,[3]Extended!$B$9:$F$101,5,FALSE),IF(BA136="121-365 Days",VLOOKUP(D136,[3]Extended!$B$9:$G$101,6,FALSE),VLOOKUP(D136,[3]Extended!$B$9:$H$101,7,FALSE)))),0)</f>
        <v>815734.25</v>
      </c>
      <c r="O136" s="269">
        <f>IFERROR(IF(BA136="WIP - 30 Days",VLOOKUP(D136,[3]Extended!$B$9:$J$101,9,FALSE),IF(BA136="31-120 Days",VLOOKUP(D136,[3]Extended!$B$9:$K$101,10,FALSE),IF(BA136="121-365 Days",VLOOKUP(D136,[3]Extended!$B$9:$L$101,11,FALSE),VLOOKUP(D136,[3]Extended!$B$9:$M$101,12,FALSE)))),0)</f>
        <v>791975</v>
      </c>
      <c r="P136" s="116">
        <f t="shared" si="11"/>
        <v>0.21</v>
      </c>
      <c r="Q136" s="110" t="e">
        <f>O136-#REF!</f>
        <v>#REF!</v>
      </c>
      <c r="W136" s="311"/>
      <c r="X136" s="311"/>
      <c r="Y136" s="311"/>
      <c r="Z136" s="311"/>
      <c r="AA136" s="311"/>
      <c r="AB136" s="311"/>
      <c r="AC136" s="311"/>
      <c r="AT136" s="88" t="str">
        <f t="shared" si="12"/>
        <v>KP0005902017Q115,4</v>
      </c>
      <c r="AU136" s="89" t="str">
        <f t="shared" si="13"/>
        <v>03-2017</v>
      </c>
      <c r="BA136" s="92" t="str">
        <f t="shared" si="14"/>
        <v>WIP - 30 Days</v>
      </c>
    </row>
    <row r="137" spans="1:56">
      <c r="B137" s="60" t="str">
        <f>[2]Trucks!A134</f>
        <v>MC6-3739</v>
      </c>
      <c r="C137" s="11" t="str">
        <f>[2]Trucks!B134</f>
        <v>CLA-26-2806X4BB-C-L</v>
      </c>
      <c r="D137" s="19" t="str">
        <f>IFERROR(VLOOKUP(C137&amp;"",'[2]Retail Price List'!$A$3:$B$103,2,FALSE),"Special Order")</f>
        <v>KP000590</v>
      </c>
      <c r="E137" s="18" t="str">
        <f>[2]Trucks!J134</f>
        <v>CKD</v>
      </c>
      <c r="F137" s="12" t="str">
        <f>[2]Trucks!E134</f>
        <v>2017-08-28</v>
      </c>
      <c r="G137" s="56">
        <f>[2]Trucks!K134</f>
        <v>15.4</v>
      </c>
      <c r="H137" s="46">
        <f>[2]Trucks!I134</f>
        <v>42804</v>
      </c>
      <c r="I137" s="83" t="str">
        <f t="shared" si="10"/>
        <v>2017Q1</v>
      </c>
      <c r="J137" s="272">
        <f>IFERROR(VLOOKUP((D137&amp;C137)&amp;"",'[2]Retail Price List'!$C$4:$F$102,3,FALSE),"")</f>
        <v>985000</v>
      </c>
      <c r="K137" s="272">
        <f>IFERROR(IF(BA137="WIP - 30 Days",VLOOKUP(D137,[3]Standard!$B$9:$E$101,4,FALSE),IF(BA137="31-120 Days",VLOOKUP(D137,[3]Standard!$B$9:$F$101,5,FALSE),IF(BA137="121-365 Days",VLOOKUP(D137,[3]Standard!$B$9:$G$101,6,FALSE),VLOOKUP(D137,[3]Standard!$B$9:$H$101,7,FALSE)))),0)</f>
        <v>781203.5</v>
      </c>
      <c r="L137" s="272">
        <f>IFERROR(IF(BA137="WIP - 30 Days",VLOOKUP(D137,[3]Standard!$B$9:$J$101,9,FALSE),IF(BA137="31-120 Days",VLOOKUP(D137,[3]Standard!$B$9:$K$100,10,FALSE),IF(BA137="121-365 Days",VLOOKUP(D137,[3]Standard!$B$9:$L$101,11,FALSE),VLOOKUP(D137,[3]Standard!$B$9:$M$101,12,FALSE)))),0)</f>
        <v>758450</v>
      </c>
      <c r="M137" s="269">
        <f>IFERROR(VLOOKUP((D137&amp;C137)&amp;"",'[2]Retail Price List'!$C$4:$F$102,4,FALSE),"")</f>
        <v>1002500</v>
      </c>
      <c r="N137" s="269">
        <f>IFERROR(IF(BA137="WIP - 30 Days",VLOOKUP(D137,[3]Extended!$B$9:$E$101,4,FALSE),IF(BA137="31-120 Days",VLOOKUP(D137,[3]Extended!$B$9:$F$101,5,FALSE),IF(BA137="121-365 Days",VLOOKUP(D137,[3]Extended!$B$9:$G$101,6,FALSE),VLOOKUP(D137,[3]Extended!$B$9:$H$101,7,FALSE)))),0)</f>
        <v>815734.25</v>
      </c>
      <c r="O137" s="269">
        <f>IFERROR(IF(BA137="WIP - 30 Days",VLOOKUP(D137,[3]Extended!$B$9:$J$101,9,FALSE),IF(BA137="31-120 Days",VLOOKUP(D137,[3]Extended!$B$9:$K$101,10,FALSE),IF(BA137="121-365 Days",VLOOKUP(D137,[3]Extended!$B$9:$L$101,11,FALSE),VLOOKUP(D137,[3]Extended!$B$9:$M$101,12,FALSE)))),0)</f>
        <v>791975</v>
      </c>
      <c r="P137" s="116">
        <f t="shared" si="11"/>
        <v>0.21</v>
      </c>
      <c r="Q137" s="110" t="e">
        <f>O137-#REF!</f>
        <v>#REF!</v>
      </c>
      <c r="W137" s="311"/>
      <c r="X137" s="311"/>
      <c r="Y137" s="311"/>
      <c r="Z137" s="311"/>
      <c r="AA137" s="311"/>
      <c r="AB137" s="311"/>
      <c r="AC137" s="311"/>
      <c r="AT137" s="88" t="str">
        <f t="shared" si="12"/>
        <v>KP0005902017Q115,4</v>
      </c>
      <c r="AU137" s="89" t="str">
        <f t="shared" si="13"/>
        <v>03-2017</v>
      </c>
      <c r="BA137" s="92" t="str">
        <f t="shared" si="14"/>
        <v>WIP - 30 Days</v>
      </c>
    </row>
    <row r="138" spans="1:56">
      <c r="B138" s="60" t="str">
        <f>[2]Trucks!A135</f>
        <v>MC6-3740</v>
      </c>
      <c r="C138" s="11" t="str">
        <f>[2]Trucks!B135</f>
        <v>CLA-26-2806X4BB-C-L</v>
      </c>
      <c r="D138" s="19" t="str">
        <f>IFERROR(VLOOKUP(C138&amp;"",'[2]Retail Price List'!$A$3:$B$103,2,FALSE),"Special Order")</f>
        <v>KP000590</v>
      </c>
      <c r="E138" s="18" t="str">
        <f>[2]Trucks!J135</f>
        <v>CKD</v>
      </c>
      <c r="F138" s="12" t="str">
        <f>[2]Trucks!E135</f>
        <v>2017-08-28</v>
      </c>
      <c r="G138" s="56">
        <f>[2]Trucks!K135</f>
        <v>15.4</v>
      </c>
      <c r="H138" s="46">
        <f>[2]Trucks!I135</f>
        <v>42804</v>
      </c>
      <c r="I138" s="83" t="str">
        <f t="shared" si="10"/>
        <v>2017Q1</v>
      </c>
      <c r="J138" s="272">
        <f>IFERROR(VLOOKUP((D138&amp;C138)&amp;"",'[2]Retail Price List'!$C$4:$F$102,3,FALSE),"")</f>
        <v>985000</v>
      </c>
      <c r="K138" s="272">
        <f>IFERROR(IF(BA138="WIP - 30 Days",VLOOKUP(D138,[3]Standard!$B$9:$E$101,4,FALSE),IF(BA138="31-120 Days",VLOOKUP(D138,[3]Standard!$B$9:$F$101,5,FALSE),IF(BA138="121-365 Days",VLOOKUP(D138,[3]Standard!$B$9:$G$101,6,FALSE),VLOOKUP(D138,[3]Standard!$B$9:$H$101,7,FALSE)))),0)</f>
        <v>781203.5</v>
      </c>
      <c r="L138" s="272">
        <f>IFERROR(IF(BA138="WIP - 30 Days",VLOOKUP(D138,[3]Standard!$B$9:$J$101,9,FALSE),IF(BA138="31-120 Days",VLOOKUP(D138,[3]Standard!$B$9:$K$100,10,FALSE),IF(BA138="121-365 Days",VLOOKUP(D138,[3]Standard!$B$9:$L$101,11,FALSE),VLOOKUP(D138,[3]Standard!$B$9:$M$101,12,FALSE)))),0)</f>
        <v>758450</v>
      </c>
      <c r="M138" s="269">
        <f>IFERROR(VLOOKUP((D138&amp;C138)&amp;"",'[2]Retail Price List'!$C$4:$F$102,4,FALSE),"")</f>
        <v>1002500</v>
      </c>
      <c r="N138" s="269">
        <f>IFERROR(IF(BA138="WIP - 30 Days",VLOOKUP(D138,[3]Extended!$B$9:$E$101,4,FALSE),IF(BA138="31-120 Days",VLOOKUP(D138,[3]Extended!$B$9:$F$101,5,FALSE),IF(BA138="121-365 Days",VLOOKUP(D138,[3]Extended!$B$9:$G$101,6,FALSE),VLOOKUP(D138,[3]Extended!$B$9:$H$101,7,FALSE)))),0)</f>
        <v>815734.25</v>
      </c>
      <c r="O138" s="269">
        <f>IFERROR(IF(BA138="WIP - 30 Days",VLOOKUP(D138,[3]Extended!$B$9:$J$101,9,FALSE),IF(BA138="31-120 Days",VLOOKUP(D138,[3]Extended!$B$9:$K$101,10,FALSE),IF(BA138="121-365 Days",VLOOKUP(D138,[3]Extended!$B$9:$L$101,11,FALSE),VLOOKUP(D138,[3]Extended!$B$9:$M$101,12,FALSE)))),0)</f>
        <v>791975</v>
      </c>
      <c r="P138" s="116">
        <f t="shared" si="11"/>
        <v>0.21</v>
      </c>
      <c r="Q138" s="110" t="e">
        <f>O138-#REF!</f>
        <v>#REF!</v>
      </c>
      <c r="W138" s="311"/>
      <c r="X138" s="311"/>
      <c r="Y138" s="311"/>
      <c r="Z138" s="311"/>
      <c r="AA138" s="311"/>
      <c r="AB138" s="311"/>
      <c r="AC138" s="311"/>
      <c r="AT138" s="88" t="str">
        <f t="shared" si="12"/>
        <v>KP0005902017Q115,4</v>
      </c>
      <c r="AU138" s="89" t="str">
        <f t="shared" si="13"/>
        <v>03-2017</v>
      </c>
      <c r="BA138" s="92" t="str">
        <f t="shared" si="14"/>
        <v>WIP - 30 Days</v>
      </c>
    </row>
    <row r="139" spans="1:56">
      <c r="B139" s="60" t="str">
        <f>[2]Trucks!A136</f>
        <v>MC6-3741</v>
      </c>
      <c r="C139" s="11" t="str">
        <f>[2]Trucks!B136</f>
        <v>CLA-26-2806X4BB-C-L</v>
      </c>
      <c r="D139" s="19" t="str">
        <f>IFERROR(VLOOKUP(C139&amp;"",'[2]Retail Price List'!$A$3:$B$103,2,FALSE),"Special Order")</f>
        <v>KP000590</v>
      </c>
      <c r="E139" s="18" t="str">
        <f>[2]Trucks!J136</f>
        <v>CKD</v>
      </c>
      <c r="F139" s="12" t="str">
        <f>[2]Trucks!E136</f>
        <v>2017-08-29</v>
      </c>
      <c r="G139" s="56">
        <f>[2]Trucks!K136</f>
        <v>15.4</v>
      </c>
      <c r="H139" s="46">
        <f>[2]Trucks!I136</f>
        <v>42804</v>
      </c>
      <c r="I139" s="83" t="str">
        <f t="shared" si="10"/>
        <v>2017Q1</v>
      </c>
      <c r="J139" s="272">
        <f>IFERROR(VLOOKUP((D139&amp;C139)&amp;"",'[2]Retail Price List'!$C$4:$F$102,3,FALSE),"")</f>
        <v>985000</v>
      </c>
      <c r="K139" s="272">
        <f>IFERROR(IF(BA139="WIP - 30 Days",VLOOKUP(D139,[3]Standard!$B$9:$E$101,4,FALSE),IF(BA139="31-120 Days",VLOOKUP(D139,[3]Standard!$B$9:$F$101,5,FALSE),IF(BA139="121-365 Days",VLOOKUP(D139,[3]Standard!$B$9:$G$101,6,FALSE),VLOOKUP(D139,[3]Standard!$B$9:$H$101,7,FALSE)))),0)</f>
        <v>781203.5</v>
      </c>
      <c r="L139" s="272">
        <f>IFERROR(IF(BA139="WIP - 30 Days",VLOOKUP(D139,[3]Standard!$B$9:$J$101,9,FALSE),IF(BA139="31-120 Days",VLOOKUP(D139,[3]Standard!$B$9:$K$100,10,FALSE),IF(BA139="121-365 Days",VLOOKUP(D139,[3]Standard!$B$9:$L$101,11,FALSE),VLOOKUP(D139,[3]Standard!$B$9:$M$101,12,FALSE)))),0)</f>
        <v>758450</v>
      </c>
      <c r="M139" s="269">
        <f>IFERROR(VLOOKUP((D139&amp;C139)&amp;"",'[2]Retail Price List'!$C$4:$F$102,4,FALSE),"")</f>
        <v>1002500</v>
      </c>
      <c r="N139" s="269">
        <f>IFERROR(IF(BA139="WIP - 30 Days",VLOOKUP(D139,[3]Extended!$B$9:$E$101,4,FALSE),IF(BA139="31-120 Days",VLOOKUP(D139,[3]Extended!$B$9:$F$101,5,FALSE),IF(BA139="121-365 Days",VLOOKUP(D139,[3]Extended!$B$9:$G$101,6,FALSE),VLOOKUP(D139,[3]Extended!$B$9:$H$101,7,FALSE)))),0)</f>
        <v>815734.25</v>
      </c>
      <c r="O139" s="269">
        <f>IFERROR(IF(BA139="WIP - 30 Days",VLOOKUP(D139,[3]Extended!$B$9:$J$101,9,FALSE),IF(BA139="31-120 Days",VLOOKUP(D139,[3]Extended!$B$9:$K$101,10,FALSE),IF(BA139="121-365 Days",VLOOKUP(D139,[3]Extended!$B$9:$L$101,11,FALSE),VLOOKUP(D139,[3]Extended!$B$9:$M$101,12,FALSE)))),0)</f>
        <v>791975</v>
      </c>
      <c r="P139" s="116">
        <f t="shared" si="11"/>
        <v>0.21</v>
      </c>
      <c r="Q139" s="110" t="e">
        <f>O139-#REF!</f>
        <v>#REF!</v>
      </c>
      <c r="W139" s="311"/>
      <c r="X139" s="311"/>
      <c r="Y139" s="311"/>
      <c r="Z139" s="311"/>
      <c r="AA139" s="311"/>
      <c r="AB139" s="311"/>
      <c r="AC139" s="311"/>
      <c r="AT139" s="88" t="str">
        <f t="shared" si="12"/>
        <v>KP0005902017Q115,4</v>
      </c>
      <c r="AU139" s="89" t="str">
        <f t="shared" si="13"/>
        <v>03-2017</v>
      </c>
      <c r="BA139" s="92" t="str">
        <f t="shared" si="14"/>
        <v>WIP - 30 Days</v>
      </c>
    </row>
    <row r="140" spans="1:56">
      <c r="B140" s="60" t="str">
        <f>[2]Trucks!A137</f>
        <v>MC6-3742</v>
      </c>
      <c r="C140" s="11" t="str">
        <f>[2]Trucks!B137</f>
        <v>CLA-26-2806X4BB-C-L</v>
      </c>
      <c r="D140" s="19" t="str">
        <f>IFERROR(VLOOKUP(C140&amp;"",'[2]Retail Price List'!$A$3:$B$103,2,FALSE),"Special Order")</f>
        <v>KP000590</v>
      </c>
      <c r="E140" s="18" t="str">
        <f>[2]Trucks!J137</f>
        <v>CKD</v>
      </c>
      <c r="F140" s="12" t="str">
        <f>[2]Trucks!E137</f>
        <v>2017-08-29</v>
      </c>
      <c r="G140" s="56">
        <f>[2]Trucks!K137</f>
        <v>15.4</v>
      </c>
      <c r="H140" s="46">
        <f>[2]Trucks!I137</f>
        <v>42804</v>
      </c>
      <c r="I140" s="83" t="str">
        <f t="shared" si="10"/>
        <v>2017Q1</v>
      </c>
      <c r="J140" s="272">
        <f>IFERROR(VLOOKUP((D140&amp;C140)&amp;"",'[2]Retail Price List'!$C$4:$F$102,3,FALSE),"")</f>
        <v>985000</v>
      </c>
      <c r="K140" s="272">
        <f>IFERROR(IF(BA140="WIP - 30 Days",VLOOKUP(D140,[3]Standard!$B$9:$E$101,4,FALSE),IF(BA140="31-120 Days",VLOOKUP(D140,[3]Standard!$B$9:$F$101,5,FALSE),IF(BA140="121-365 Days",VLOOKUP(D140,[3]Standard!$B$9:$G$101,6,FALSE),VLOOKUP(D140,[3]Standard!$B$9:$H$101,7,FALSE)))),0)</f>
        <v>781203.5</v>
      </c>
      <c r="L140" s="272">
        <f>IFERROR(IF(BA140="WIP - 30 Days",VLOOKUP(D140,[3]Standard!$B$9:$J$101,9,FALSE),IF(BA140="31-120 Days",VLOOKUP(D140,[3]Standard!$B$9:$K$100,10,FALSE),IF(BA140="121-365 Days",VLOOKUP(D140,[3]Standard!$B$9:$L$101,11,FALSE),VLOOKUP(D140,[3]Standard!$B$9:$M$101,12,FALSE)))),0)</f>
        <v>758450</v>
      </c>
      <c r="M140" s="269">
        <f>IFERROR(VLOOKUP((D140&amp;C140)&amp;"",'[2]Retail Price List'!$C$4:$F$102,4,FALSE),"")</f>
        <v>1002500</v>
      </c>
      <c r="N140" s="269">
        <f>IFERROR(IF(BA140="WIP - 30 Days",VLOOKUP(D140,[3]Extended!$B$9:$E$101,4,FALSE),IF(BA140="31-120 Days",VLOOKUP(D140,[3]Extended!$B$9:$F$101,5,FALSE),IF(BA140="121-365 Days",VLOOKUP(D140,[3]Extended!$B$9:$G$101,6,FALSE),VLOOKUP(D140,[3]Extended!$B$9:$H$101,7,FALSE)))),0)</f>
        <v>815734.25</v>
      </c>
      <c r="O140" s="269">
        <f>IFERROR(IF(BA140="WIP - 30 Days",VLOOKUP(D140,[3]Extended!$B$9:$J$101,9,FALSE),IF(BA140="31-120 Days",VLOOKUP(D140,[3]Extended!$B$9:$K$101,10,FALSE),IF(BA140="121-365 Days",VLOOKUP(D140,[3]Extended!$B$9:$L$101,11,FALSE),VLOOKUP(D140,[3]Extended!$B$9:$M$101,12,FALSE)))),0)</f>
        <v>791975</v>
      </c>
      <c r="P140" s="116">
        <f t="shared" si="11"/>
        <v>0.21</v>
      </c>
      <c r="Q140" s="110" t="e">
        <f>O140-#REF!</f>
        <v>#REF!</v>
      </c>
      <c r="W140" s="311"/>
      <c r="X140" s="311"/>
      <c r="Y140" s="311"/>
      <c r="Z140" s="311"/>
      <c r="AA140" s="311"/>
      <c r="AB140" s="311"/>
      <c r="AC140" s="311"/>
      <c r="AT140" s="88" t="str">
        <f t="shared" si="12"/>
        <v>KP0005902017Q115,4</v>
      </c>
      <c r="AU140" s="89" t="str">
        <f t="shared" si="13"/>
        <v>03-2017</v>
      </c>
      <c r="BA140" s="92" t="str">
        <f t="shared" si="14"/>
        <v>WIP - 30 Days</v>
      </c>
    </row>
    <row r="141" spans="1:56">
      <c r="B141" s="60" t="str">
        <f>[2]Trucks!A138</f>
        <v>MC6-3743</v>
      </c>
      <c r="C141" s="11" t="str">
        <f>[2]Trucks!B138</f>
        <v>CLA-26-2806X4BB-C-L</v>
      </c>
      <c r="D141" s="19" t="str">
        <f>IFERROR(VLOOKUP(C141&amp;"",'[2]Retail Price List'!$A$3:$B$103,2,FALSE),"Special Order")</f>
        <v>KP000590</v>
      </c>
      <c r="E141" s="18" t="str">
        <f>[2]Trucks!J138</f>
        <v>CKD</v>
      </c>
      <c r="F141" s="12" t="str">
        <f>[2]Trucks!E138</f>
        <v>2017-08-29</v>
      </c>
      <c r="G141" s="56">
        <f>[2]Trucks!K138</f>
        <v>15.4</v>
      </c>
      <c r="H141" s="46">
        <f>[2]Trucks!I138</f>
        <v>42804</v>
      </c>
      <c r="I141" s="83" t="str">
        <f t="shared" si="10"/>
        <v>2017Q1</v>
      </c>
      <c r="J141" s="272">
        <f>IFERROR(VLOOKUP((D141&amp;C141)&amp;"",'[2]Retail Price List'!$C$4:$F$102,3,FALSE),"")</f>
        <v>985000</v>
      </c>
      <c r="K141" s="272">
        <f>IFERROR(IF(BA141="WIP - 30 Days",VLOOKUP(D141,[3]Standard!$B$9:$E$101,4,FALSE),IF(BA141="31-120 Days",VLOOKUP(D141,[3]Standard!$B$9:$F$101,5,FALSE),IF(BA141="121-365 Days",VLOOKUP(D141,[3]Standard!$B$9:$G$101,6,FALSE),VLOOKUP(D141,[3]Standard!$B$9:$H$101,7,FALSE)))),0)</f>
        <v>781203.5</v>
      </c>
      <c r="L141" s="272">
        <f>IFERROR(IF(BA141="WIP - 30 Days",VLOOKUP(D141,[3]Standard!$B$9:$J$101,9,FALSE),IF(BA141="31-120 Days",VLOOKUP(D141,[3]Standard!$B$9:$K$100,10,FALSE),IF(BA141="121-365 Days",VLOOKUP(D141,[3]Standard!$B$9:$L$101,11,FALSE),VLOOKUP(D141,[3]Standard!$B$9:$M$101,12,FALSE)))),0)</f>
        <v>758450</v>
      </c>
      <c r="M141" s="269">
        <f>IFERROR(VLOOKUP((D141&amp;C141)&amp;"",'[2]Retail Price List'!$C$4:$F$102,4,FALSE),"")</f>
        <v>1002500</v>
      </c>
      <c r="N141" s="269">
        <f>IFERROR(IF(BA141="WIP - 30 Days",VLOOKUP(D141,[3]Extended!$B$9:$E$101,4,FALSE),IF(BA141="31-120 Days",VLOOKUP(D141,[3]Extended!$B$9:$F$101,5,FALSE),IF(BA141="121-365 Days",VLOOKUP(D141,[3]Extended!$B$9:$G$101,6,FALSE),VLOOKUP(D141,[3]Extended!$B$9:$H$101,7,FALSE)))),0)</f>
        <v>815734.25</v>
      </c>
      <c r="O141" s="269">
        <f>IFERROR(IF(BA141="WIP - 30 Days",VLOOKUP(D141,[3]Extended!$B$9:$J$101,9,FALSE),IF(BA141="31-120 Days",VLOOKUP(D141,[3]Extended!$B$9:$K$101,10,FALSE),IF(BA141="121-365 Days",VLOOKUP(D141,[3]Extended!$B$9:$L$101,11,FALSE),VLOOKUP(D141,[3]Extended!$B$9:$M$101,12,FALSE)))),0)</f>
        <v>791975</v>
      </c>
      <c r="P141" s="116">
        <f t="shared" si="11"/>
        <v>0.21</v>
      </c>
      <c r="Q141" s="110" t="e">
        <f>O141-#REF!</f>
        <v>#REF!</v>
      </c>
      <c r="W141" s="311"/>
      <c r="X141" s="311"/>
      <c r="Y141" s="311"/>
      <c r="Z141" s="311"/>
      <c r="AA141" s="311"/>
      <c r="AB141" s="311"/>
      <c r="AC141" s="311"/>
      <c r="AT141" s="88" t="str">
        <f t="shared" si="12"/>
        <v>KP0005902017Q115,4</v>
      </c>
      <c r="AU141" s="89" t="str">
        <f t="shared" si="13"/>
        <v>03-2017</v>
      </c>
      <c r="BA141" s="92" t="str">
        <f t="shared" si="14"/>
        <v>WIP - 30 Days</v>
      </c>
    </row>
    <row r="142" spans="1:56">
      <c r="B142" s="60" t="str">
        <f>[2]Trucks!A139</f>
        <v>MC6-3744</v>
      </c>
      <c r="C142" s="11" t="str">
        <f>[2]Trucks!B139</f>
        <v>CLA-26-2806X4BB-C-L</v>
      </c>
      <c r="D142" s="19" t="str">
        <f>IFERROR(VLOOKUP(C142&amp;"",'[2]Retail Price List'!$A$3:$B$103,2,FALSE),"Special Order")</f>
        <v>KP000590</v>
      </c>
      <c r="E142" s="18" t="str">
        <f>[2]Trucks!J139</f>
        <v>CKD</v>
      </c>
      <c r="F142" s="12" t="str">
        <f>[2]Trucks!E139</f>
        <v>2017-08-31</v>
      </c>
      <c r="G142" s="56">
        <f>[2]Trucks!K139</f>
        <v>15.4</v>
      </c>
      <c r="H142" s="46">
        <f>[2]Trucks!I139</f>
        <v>42804</v>
      </c>
      <c r="I142" s="83" t="str">
        <f t="shared" si="10"/>
        <v>2017Q1</v>
      </c>
      <c r="J142" s="272">
        <f>IFERROR(VLOOKUP((D142&amp;C142)&amp;"",'[2]Retail Price List'!$C$4:$F$102,3,FALSE),"")</f>
        <v>985000</v>
      </c>
      <c r="K142" s="272">
        <f>IFERROR(IF(BA142="WIP - 30 Days",VLOOKUP(D142,[3]Standard!$B$9:$E$101,4,FALSE),IF(BA142="31-120 Days",VLOOKUP(D142,[3]Standard!$B$9:$F$101,5,FALSE),IF(BA142="121-365 Days",VLOOKUP(D142,[3]Standard!$B$9:$G$101,6,FALSE),VLOOKUP(D142,[3]Standard!$B$9:$H$101,7,FALSE)))),0)</f>
        <v>781203.5</v>
      </c>
      <c r="L142" s="272">
        <f>IFERROR(IF(BA142="WIP - 30 Days",VLOOKUP(D142,[3]Standard!$B$9:$J$101,9,FALSE),IF(BA142="31-120 Days",VLOOKUP(D142,[3]Standard!$B$9:$K$100,10,FALSE),IF(BA142="121-365 Days",VLOOKUP(D142,[3]Standard!$B$9:$L$101,11,FALSE),VLOOKUP(D142,[3]Standard!$B$9:$M$101,12,FALSE)))),0)</f>
        <v>758450</v>
      </c>
      <c r="M142" s="269">
        <f>IFERROR(VLOOKUP((D142&amp;C142)&amp;"",'[2]Retail Price List'!$C$4:$F$102,4,FALSE),"")</f>
        <v>1002500</v>
      </c>
      <c r="N142" s="269">
        <f>IFERROR(IF(BA142="WIP - 30 Days",VLOOKUP(D142,[3]Extended!$B$9:$E$101,4,FALSE),IF(BA142="31-120 Days",VLOOKUP(D142,[3]Extended!$B$9:$F$101,5,FALSE),IF(BA142="121-365 Days",VLOOKUP(D142,[3]Extended!$B$9:$G$101,6,FALSE),VLOOKUP(D142,[3]Extended!$B$9:$H$101,7,FALSE)))),0)</f>
        <v>815734.25</v>
      </c>
      <c r="O142" s="269">
        <f>IFERROR(IF(BA142="WIP - 30 Days",VLOOKUP(D142,[3]Extended!$B$9:$J$101,9,FALSE),IF(BA142="31-120 Days",VLOOKUP(D142,[3]Extended!$B$9:$K$101,10,FALSE),IF(BA142="121-365 Days",VLOOKUP(D142,[3]Extended!$B$9:$L$101,11,FALSE),VLOOKUP(D142,[3]Extended!$B$9:$M$101,12,FALSE)))),0)</f>
        <v>791975</v>
      </c>
      <c r="P142" s="116">
        <f t="shared" si="11"/>
        <v>0.21</v>
      </c>
      <c r="Q142" s="110" t="e">
        <f>O142-#REF!</f>
        <v>#REF!</v>
      </c>
      <c r="W142" s="311"/>
      <c r="X142" s="311"/>
      <c r="Y142" s="311"/>
      <c r="Z142" s="311"/>
      <c r="AA142" s="311"/>
      <c r="AB142" s="311"/>
      <c r="AC142" s="311"/>
      <c r="AT142" s="88" t="str">
        <f t="shared" si="12"/>
        <v>KP0005902017Q115,4</v>
      </c>
      <c r="AU142" s="89" t="str">
        <f t="shared" si="13"/>
        <v>03-2017</v>
      </c>
      <c r="BA142" s="92" t="str">
        <f t="shared" si="14"/>
        <v>WIP - 30 Days</v>
      </c>
    </row>
    <row r="143" spans="1:56" s="4" customFormat="1">
      <c r="A143" s="69"/>
      <c r="B143" s="60" t="str">
        <f>[2]Trucks!A140</f>
        <v>MC6-3745</v>
      </c>
      <c r="C143" s="11" t="str">
        <f>[2]Trucks!B140</f>
        <v>CLA-26-2806X4BB-C-L</v>
      </c>
      <c r="D143" s="19" t="str">
        <f>IFERROR(VLOOKUP(C143&amp;"",'[2]Retail Price List'!$A$3:$B$103,2,FALSE),"Special Order")</f>
        <v>KP000590</v>
      </c>
      <c r="E143" s="18" t="str">
        <f>[2]Trucks!J140</f>
        <v>CKD</v>
      </c>
      <c r="F143" s="12" t="str">
        <f>[2]Trucks!E140</f>
        <v>2017-08-31</v>
      </c>
      <c r="G143" s="56">
        <f>[2]Trucks!K140</f>
        <v>15.4</v>
      </c>
      <c r="H143" s="46">
        <f>[2]Trucks!I140</f>
        <v>42804</v>
      </c>
      <c r="I143" s="83" t="str">
        <f t="shared" si="10"/>
        <v>2017Q1</v>
      </c>
      <c r="J143" s="272">
        <f>IFERROR(VLOOKUP((D143&amp;C143)&amp;"",'[2]Retail Price List'!$C$4:$F$102,3,FALSE),"")</f>
        <v>985000</v>
      </c>
      <c r="K143" s="272">
        <f>IFERROR(IF(BA143="WIP - 30 Days",VLOOKUP(D143,[3]Standard!$B$9:$E$101,4,FALSE),IF(BA143="31-120 Days",VLOOKUP(D143,[3]Standard!$B$9:$F$101,5,FALSE),IF(BA143="121-365 Days",VLOOKUP(D143,[3]Standard!$B$9:$G$101,6,FALSE),VLOOKUP(D143,[3]Standard!$B$9:$H$101,7,FALSE)))),0)</f>
        <v>781203.5</v>
      </c>
      <c r="L143" s="272">
        <f>IFERROR(IF(BA143="WIP - 30 Days",VLOOKUP(D143,[3]Standard!$B$9:$J$101,9,FALSE),IF(BA143="31-120 Days",VLOOKUP(D143,[3]Standard!$B$9:$K$100,10,FALSE),IF(BA143="121-365 Days",VLOOKUP(D143,[3]Standard!$B$9:$L$101,11,FALSE),VLOOKUP(D143,[3]Standard!$B$9:$M$101,12,FALSE)))),0)</f>
        <v>758450</v>
      </c>
      <c r="M143" s="269">
        <f>IFERROR(VLOOKUP((D143&amp;C143)&amp;"",'[2]Retail Price List'!$C$4:$F$102,4,FALSE),"")</f>
        <v>1002500</v>
      </c>
      <c r="N143" s="269">
        <f>IFERROR(IF(BA143="WIP - 30 Days",VLOOKUP(D143,[3]Extended!$B$9:$E$101,4,FALSE),IF(BA143="31-120 Days",VLOOKUP(D143,[3]Extended!$B$9:$F$101,5,FALSE),IF(BA143="121-365 Days",VLOOKUP(D143,[3]Extended!$B$9:$G$101,6,FALSE),VLOOKUP(D143,[3]Extended!$B$9:$H$101,7,FALSE)))),0)</f>
        <v>815734.25</v>
      </c>
      <c r="O143" s="269">
        <f>IFERROR(IF(BA143="WIP - 30 Days",VLOOKUP(D143,[3]Extended!$B$9:$J$101,9,FALSE),IF(BA143="31-120 Days",VLOOKUP(D143,[3]Extended!$B$9:$K$101,10,FALSE),IF(BA143="121-365 Days",VLOOKUP(D143,[3]Extended!$B$9:$L$101,11,FALSE),VLOOKUP(D143,[3]Extended!$B$9:$M$101,12,FALSE)))),0)</f>
        <v>791975</v>
      </c>
      <c r="P143" s="116">
        <f t="shared" si="11"/>
        <v>0.21</v>
      </c>
      <c r="Q143" s="110" t="e">
        <f>O143-#REF!</f>
        <v>#REF!</v>
      </c>
      <c r="R143" s="111" t="e">
        <f>SUM(Q116:Q142)/SUM(O116:O142)</f>
        <v>#REF!</v>
      </c>
      <c r="S143" s="112"/>
      <c r="T143" s="112"/>
      <c r="U143" s="112"/>
      <c r="V143" s="112"/>
      <c r="W143" s="311"/>
      <c r="X143" s="311"/>
      <c r="Y143" s="311"/>
      <c r="Z143" s="311"/>
      <c r="AA143" s="311"/>
      <c r="AB143" s="311"/>
      <c r="AC143" s="311"/>
      <c r="AD143" s="89"/>
      <c r="AE143" s="89"/>
      <c r="AF143" s="89"/>
      <c r="AG143" s="5"/>
      <c r="AH143" s="5"/>
      <c r="AI143" s="5"/>
      <c r="AJ143" s="5"/>
      <c r="AK143" s="5"/>
      <c r="AL143" s="5"/>
      <c r="AM143" s="5"/>
      <c r="AN143" s="5"/>
      <c r="AO143" s="5"/>
      <c r="AP143" s="5"/>
      <c r="AQ143" s="5"/>
      <c r="AR143" s="5"/>
      <c r="AS143" s="5"/>
      <c r="AT143" s="88" t="str">
        <f t="shared" si="12"/>
        <v>KP0005902017Q115,4</v>
      </c>
      <c r="AU143" s="89" t="str">
        <f t="shared" si="13"/>
        <v>03-2017</v>
      </c>
      <c r="AV143" s="89"/>
      <c r="AW143" s="89"/>
      <c r="AX143" s="89"/>
      <c r="AY143" s="89"/>
      <c r="AZ143" s="89"/>
      <c r="BA143" s="92" t="str">
        <f t="shared" si="14"/>
        <v>WIP - 30 Days</v>
      </c>
      <c r="BB143" s="89"/>
      <c r="BC143" s="97"/>
      <c r="BD143" s="97"/>
    </row>
    <row r="144" spans="1:56">
      <c r="B144" s="60" t="str">
        <f>[2]Trucks!A141</f>
        <v>MC6-3746</v>
      </c>
      <c r="C144" s="11" t="str">
        <f>[2]Trucks!B141</f>
        <v>CLA-26-2806X4BB-C-L</v>
      </c>
      <c r="D144" s="19" t="str">
        <f>IFERROR(VLOOKUP(C144&amp;"",'[2]Retail Price List'!$A$3:$B$103,2,FALSE),"Special Order")</f>
        <v>KP000590</v>
      </c>
      <c r="E144" s="18" t="str">
        <f>[2]Trucks!J141</f>
        <v>CKD</v>
      </c>
      <c r="F144" s="12" t="str">
        <f>[2]Trucks!E141</f>
        <v>2017-08-31</v>
      </c>
      <c r="G144" s="56">
        <f>[2]Trucks!K141</f>
        <v>15.4</v>
      </c>
      <c r="H144" s="46">
        <f>[2]Trucks!I141</f>
        <v>42804</v>
      </c>
      <c r="I144" s="83" t="str">
        <f t="shared" si="10"/>
        <v>2017Q1</v>
      </c>
      <c r="J144" s="272">
        <f>IFERROR(VLOOKUP((D144&amp;C144)&amp;"",'[2]Retail Price List'!$C$4:$F$102,3,FALSE),"")</f>
        <v>985000</v>
      </c>
      <c r="K144" s="272">
        <f>IFERROR(IF(BA144="WIP - 30 Days",VLOOKUP(D144,[3]Standard!$B$9:$E$101,4,FALSE),IF(BA144="31-120 Days",VLOOKUP(D144,[3]Standard!$B$9:$F$101,5,FALSE),IF(BA144="121-365 Days",VLOOKUP(D144,[3]Standard!$B$9:$G$101,6,FALSE),VLOOKUP(D144,[3]Standard!$B$9:$H$101,7,FALSE)))),0)</f>
        <v>781203.5</v>
      </c>
      <c r="L144" s="272">
        <f>IFERROR(IF(BA144="WIP - 30 Days",VLOOKUP(D144,[3]Standard!$B$9:$J$101,9,FALSE),IF(BA144="31-120 Days",VLOOKUP(D144,[3]Standard!$B$9:$K$100,10,FALSE),IF(BA144="121-365 Days",VLOOKUP(D144,[3]Standard!$B$9:$L$101,11,FALSE),VLOOKUP(D144,[3]Standard!$B$9:$M$101,12,FALSE)))),0)</f>
        <v>758450</v>
      </c>
      <c r="M144" s="269">
        <f>IFERROR(VLOOKUP((D144&amp;C144)&amp;"",'[2]Retail Price List'!$C$4:$F$102,4,FALSE),"")</f>
        <v>1002500</v>
      </c>
      <c r="N144" s="269">
        <f>IFERROR(IF(BA144="WIP - 30 Days",VLOOKUP(D144,[3]Extended!$B$9:$E$101,4,FALSE),IF(BA144="31-120 Days",VLOOKUP(D144,[3]Extended!$B$9:$F$101,5,FALSE),IF(BA144="121-365 Days",VLOOKUP(D144,[3]Extended!$B$9:$G$101,6,FALSE),VLOOKUP(D144,[3]Extended!$B$9:$H$101,7,FALSE)))),0)</f>
        <v>815734.25</v>
      </c>
      <c r="O144" s="269">
        <f>IFERROR(IF(BA144="WIP - 30 Days",VLOOKUP(D144,[3]Extended!$B$9:$J$101,9,FALSE),IF(BA144="31-120 Days",VLOOKUP(D144,[3]Extended!$B$9:$K$101,10,FALSE),IF(BA144="121-365 Days",VLOOKUP(D144,[3]Extended!$B$9:$L$101,11,FALSE),VLOOKUP(D144,[3]Extended!$B$9:$M$101,12,FALSE)))),0)</f>
        <v>791975</v>
      </c>
      <c r="P144" s="116">
        <f t="shared" si="11"/>
        <v>0.21</v>
      </c>
      <c r="Q144" s="110" t="e">
        <f>O144-#REF!</f>
        <v>#REF!</v>
      </c>
      <c r="S144" s="112" t="s">
        <v>9</v>
      </c>
      <c r="T144" s="112" t="s">
        <v>10</v>
      </c>
      <c r="U144" s="112" t="s">
        <v>11</v>
      </c>
      <c r="W144" s="311"/>
      <c r="X144" s="311"/>
      <c r="Y144" s="311"/>
      <c r="Z144" s="311"/>
      <c r="AA144" s="311"/>
      <c r="AB144" s="311"/>
      <c r="AC144" s="311"/>
      <c r="AT144" s="88" t="str">
        <f t="shared" si="12"/>
        <v>KP0005902017Q115,4</v>
      </c>
      <c r="AU144" s="89" t="str">
        <f t="shared" si="13"/>
        <v>03-2017</v>
      </c>
      <c r="BA144" s="92" t="str">
        <f t="shared" si="14"/>
        <v>WIP - 30 Days</v>
      </c>
    </row>
    <row r="145" spans="1:56">
      <c r="B145" s="60" t="str">
        <f>[2]Trucks!A142</f>
        <v>MC6-3747</v>
      </c>
      <c r="C145" s="11" t="str">
        <f>[2]Trucks!B142</f>
        <v>CLA-26-2806X4BB-C-L</v>
      </c>
      <c r="D145" s="19" t="str">
        <f>IFERROR(VLOOKUP(C145&amp;"",'[2]Retail Price List'!$A$3:$B$103,2,FALSE),"Special Order")</f>
        <v>KP000590</v>
      </c>
      <c r="E145" s="18" t="str">
        <f>[2]Trucks!J142</f>
        <v>CKD</v>
      </c>
      <c r="F145" s="12" t="str">
        <f>[2]Trucks!E142</f>
        <v>2017-09-1</v>
      </c>
      <c r="G145" s="56">
        <f>[2]Trucks!K142</f>
        <v>15.4</v>
      </c>
      <c r="H145" s="46">
        <f>[2]Trucks!I142</f>
        <v>42804</v>
      </c>
      <c r="I145" s="83" t="str">
        <f t="shared" si="10"/>
        <v>2017Q1</v>
      </c>
      <c r="J145" s="272">
        <f>IFERROR(VLOOKUP((D145&amp;C145)&amp;"",'[2]Retail Price List'!$C$4:$F$102,3,FALSE),"")</f>
        <v>985000</v>
      </c>
      <c r="K145" s="272">
        <f>IFERROR(IF(BA145="WIP - 30 Days",VLOOKUP(D145,[3]Standard!$B$9:$E$101,4,FALSE),IF(BA145="31-120 Days",VLOOKUP(D145,[3]Standard!$B$9:$F$101,5,FALSE),IF(BA145="121-365 Days",VLOOKUP(D145,[3]Standard!$B$9:$G$101,6,FALSE),VLOOKUP(D145,[3]Standard!$B$9:$H$101,7,FALSE)))),0)</f>
        <v>781203.5</v>
      </c>
      <c r="L145" s="272">
        <f>IFERROR(IF(BA145="WIP - 30 Days",VLOOKUP(D145,[3]Standard!$B$9:$J$101,9,FALSE),IF(BA145="31-120 Days",VLOOKUP(D145,[3]Standard!$B$9:$K$100,10,FALSE),IF(BA145="121-365 Days",VLOOKUP(D145,[3]Standard!$B$9:$L$101,11,FALSE),VLOOKUP(D145,[3]Standard!$B$9:$M$101,12,FALSE)))),0)</f>
        <v>758450</v>
      </c>
      <c r="M145" s="269">
        <f>IFERROR(VLOOKUP((D145&amp;C145)&amp;"",'[2]Retail Price List'!$C$4:$F$102,4,FALSE),"")</f>
        <v>1002500</v>
      </c>
      <c r="N145" s="269">
        <f>IFERROR(IF(BA145="WIP - 30 Days",VLOOKUP(D145,[3]Extended!$B$9:$E$101,4,FALSE),IF(BA145="31-120 Days",VLOOKUP(D145,[3]Extended!$B$9:$F$101,5,FALSE),IF(BA145="121-365 Days",VLOOKUP(D145,[3]Extended!$B$9:$G$101,6,FALSE),VLOOKUP(D145,[3]Extended!$B$9:$H$101,7,FALSE)))),0)</f>
        <v>815734.25</v>
      </c>
      <c r="O145" s="269">
        <f>IFERROR(IF(BA145="WIP - 30 Days",VLOOKUP(D145,[3]Extended!$B$9:$J$101,9,FALSE),IF(BA145="31-120 Days",VLOOKUP(D145,[3]Extended!$B$9:$K$101,10,FALSE),IF(BA145="121-365 Days",VLOOKUP(D145,[3]Extended!$B$9:$L$101,11,FALSE),VLOOKUP(D145,[3]Extended!$B$9:$M$101,12,FALSE)))),0)</f>
        <v>791975</v>
      </c>
      <c r="P145" s="116">
        <f t="shared" si="11"/>
        <v>0.21</v>
      </c>
      <c r="Q145" s="110" t="e">
        <f>O145-#REF!</f>
        <v>#REF!</v>
      </c>
      <c r="R145" s="265" t="s">
        <v>8</v>
      </c>
      <c r="S145" s="112">
        <v>5.3</v>
      </c>
      <c r="T145" s="112">
        <v>5.3</v>
      </c>
      <c r="U145" s="112">
        <v>5.3</v>
      </c>
      <c r="W145" s="311"/>
      <c r="X145" s="311"/>
      <c r="Y145" s="311"/>
      <c r="Z145" s="311"/>
      <c r="AA145" s="311"/>
      <c r="AB145" s="311"/>
      <c r="AC145" s="311"/>
      <c r="AT145" s="88" t="str">
        <f t="shared" si="12"/>
        <v>KP0005902017Q115,4</v>
      </c>
      <c r="AU145" s="89" t="str">
        <f t="shared" si="13"/>
        <v>03-2017</v>
      </c>
      <c r="BA145" s="92" t="str">
        <f t="shared" si="14"/>
        <v>WIP - 30 Days</v>
      </c>
    </row>
    <row r="146" spans="1:56" s="4" customFormat="1">
      <c r="A146" s="69"/>
      <c r="B146" s="60" t="str">
        <f>[2]Trucks!A143</f>
        <v>MC6-3748</v>
      </c>
      <c r="C146" s="11" t="str">
        <f>[2]Trucks!B143</f>
        <v>CLA-26-2806X4BB-C-L</v>
      </c>
      <c r="D146" s="19" t="str">
        <f>IFERROR(VLOOKUP(C146&amp;"",'[2]Retail Price List'!$A$3:$B$103,2,FALSE),"Special Order")</f>
        <v>KP000590</v>
      </c>
      <c r="E146" s="18" t="str">
        <f>[2]Trucks!J143</f>
        <v>CKD</v>
      </c>
      <c r="F146" s="12" t="str">
        <f>[2]Trucks!E143</f>
        <v>2017-09-1</v>
      </c>
      <c r="G146" s="56">
        <f>[2]Trucks!K143</f>
        <v>15.4</v>
      </c>
      <c r="H146" s="46">
        <f>[2]Trucks!I143</f>
        <v>42804</v>
      </c>
      <c r="I146" s="83" t="str">
        <f t="shared" si="10"/>
        <v>2017Q1</v>
      </c>
      <c r="J146" s="272">
        <f>IFERROR(VLOOKUP((D146&amp;C146)&amp;"",'[2]Retail Price List'!$C$4:$F$102,3,FALSE),"")</f>
        <v>985000</v>
      </c>
      <c r="K146" s="272">
        <f>IFERROR(IF(BA146="WIP - 30 Days",VLOOKUP(D146,[3]Standard!$B$9:$E$101,4,FALSE),IF(BA146="31-120 Days",VLOOKUP(D146,[3]Standard!$B$9:$F$101,5,FALSE),IF(BA146="121-365 Days",VLOOKUP(D146,[3]Standard!$B$9:$G$101,6,FALSE),VLOOKUP(D146,[3]Standard!$B$9:$H$101,7,FALSE)))),0)</f>
        <v>781203.5</v>
      </c>
      <c r="L146" s="272">
        <f>IFERROR(IF(BA146="WIP - 30 Days",VLOOKUP(D146,[3]Standard!$B$9:$J$101,9,FALSE),IF(BA146="31-120 Days",VLOOKUP(D146,[3]Standard!$B$9:$K$100,10,FALSE),IF(BA146="121-365 Days",VLOOKUP(D146,[3]Standard!$B$9:$L$101,11,FALSE),VLOOKUP(D146,[3]Standard!$B$9:$M$101,12,FALSE)))),0)</f>
        <v>758450</v>
      </c>
      <c r="M146" s="269">
        <f>IFERROR(VLOOKUP((D146&amp;C146)&amp;"",'[2]Retail Price List'!$C$4:$F$102,4,FALSE),"")</f>
        <v>1002500</v>
      </c>
      <c r="N146" s="269">
        <f>IFERROR(IF(BA146="WIP - 30 Days",VLOOKUP(D146,[3]Extended!$B$9:$E$101,4,FALSE),IF(BA146="31-120 Days",VLOOKUP(D146,[3]Extended!$B$9:$F$101,5,FALSE),IF(BA146="121-365 Days",VLOOKUP(D146,[3]Extended!$B$9:$G$101,6,FALSE),VLOOKUP(D146,[3]Extended!$B$9:$H$101,7,FALSE)))),0)</f>
        <v>815734.25</v>
      </c>
      <c r="O146" s="269">
        <f>IFERROR(IF(BA146="WIP - 30 Days",VLOOKUP(D146,[3]Extended!$B$9:$J$101,9,FALSE),IF(BA146="31-120 Days",VLOOKUP(D146,[3]Extended!$B$9:$K$101,10,FALSE),IF(BA146="121-365 Days",VLOOKUP(D146,[3]Extended!$B$9:$L$101,11,FALSE),VLOOKUP(D146,[3]Extended!$B$9:$M$101,12,FALSE)))),0)</f>
        <v>791975</v>
      </c>
      <c r="P146" s="116">
        <f t="shared" si="11"/>
        <v>0.21</v>
      </c>
      <c r="Q146" s="110" t="e">
        <f>O146-#REF!</f>
        <v>#REF!</v>
      </c>
      <c r="R146" s="111" t="e">
        <f>SUM(Q144:Q145)/SUM(O144:O145)</f>
        <v>#REF!</v>
      </c>
      <c r="S146" s="112"/>
      <c r="T146" s="112"/>
      <c r="U146" s="112"/>
      <c r="V146" s="112"/>
      <c r="W146" s="311"/>
      <c r="X146" s="311"/>
      <c r="Y146" s="311"/>
      <c r="Z146" s="311"/>
      <c r="AA146" s="311"/>
      <c r="AB146" s="311"/>
      <c r="AC146" s="311"/>
      <c r="AD146" s="89"/>
      <c r="AE146" s="89"/>
      <c r="AF146" s="89"/>
      <c r="AG146" s="5"/>
      <c r="AH146" s="5"/>
      <c r="AI146" s="5"/>
      <c r="AJ146" s="5"/>
      <c r="AK146" s="5"/>
      <c r="AL146" s="5"/>
      <c r="AM146" s="5"/>
      <c r="AN146" s="5"/>
      <c r="AO146" s="5"/>
      <c r="AP146" s="5"/>
      <c r="AQ146" s="5"/>
      <c r="AR146" s="5"/>
      <c r="AS146" s="5"/>
      <c r="AT146" s="88" t="str">
        <f t="shared" si="12"/>
        <v>KP0005902017Q115,4</v>
      </c>
      <c r="AU146" s="89" t="str">
        <f t="shared" si="13"/>
        <v>03-2017</v>
      </c>
      <c r="AV146" s="89"/>
      <c r="AW146" s="89"/>
      <c r="AX146" s="89"/>
      <c r="AY146" s="89"/>
      <c r="AZ146" s="89"/>
      <c r="BA146" s="92" t="str">
        <f t="shared" si="14"/>
        <v>WIP - 30 Days</v>
      </c>
      <c r="BB146" s="89"/>
      <c r="BC146" s="97"/>
      <c r="BD146" s="97"/>
    </row>
    <row r="147" spans="1:56">
      <c r="B147" s="60" t="str">
        <f>[2]Trucks!A144</f>
        <v>MC6-3749</v>
      </c>
      <c r="C147" s="11" t="str">
        <f>[2]Trucks!B144</f>
        <v>CLA-26-2806X4BB-C-L</v>
      </c>
      <c r="D147" s="19" t="str">
        <f>IFERROR(VLOOKUP(C147&amp;"",'[2]Retail Price List'!$A$3:$B$103,2,FALSE),"Special Order")</f>
        <v>KP000590</v>
      </c>
      <c r="E147" s="18" t="str">
        <f>[2]Trucks!J144</f>
        <v>CKD</v>
      </c>
      <c r="F147" s="12" t="str">
        <f>[2]Trucks!E144</f>
        <v>2017-09-1</v>
      </c>
      <c r="G147" s="56">
        <f>[2]Trucks!K144</f>
        <v>15.4</v>
      </c>
      <c r="H147" s="46">
        <f>[2]Trucks!I144</f>
        <v>42804</v>
      </c>
      <c r="I147" s="83" t="str">
        <f t="shared" si="10"/>
        <v>2017Q1</v>
      </c>
      <c r="J147" s="272">
        <f>IFERROR(VLOOKUP((D147&amp;C147)&amp;"",'[2]Retail Price List'!$C$4:$F$102,3,FALSE),"")</f>
        <v>985000</v>
      </c>
      <c r="K147" s="272">
        <f>IFERROR(IF(BA147="WIP - 30 Days",VLOOKUP(D147,[3]Standard!$B$9:$E$101,4,FALSE),IF(BA147="31-120 Days",VLOOKUP(D147,[3]Standard!$B$9:$F$101,5,FALSE),IF(BA147="121-365 Days",VLOOKUP(D147,[3]Standard!$B$9:$G$101,6,FALSE),VLOOKUP(D147,[3]Standard!$B$9:$H$101,7,FALSE)))),0)</f>
        <v>781203.5</v>
      </c>
      <c r="L147" s="272">
        <f>IFERROR(IF(BA147="WIP - 30 Days",VLOOKUP(D147,[3]Standard!$B$9:$J$101,9,FALSE),IF(BA147="31-120 Days",VLOOKUP(D147,[3]Standard!$B$9:$K$100,10,FALSE),IF(BA147="121-365 Days",VLOOKUP(D147,[3]Standard!$B$9:$L$101,11,FALSE),VLOOKUP(D147,[3]Standard!$B$9:$M$101,12,FALSE)))),0)</f>
        <v>758450</v>
      </c>
      <c r="M147" s="269">
        <f>IFERROR(VLOOKUP((D147&amp;C147)&amp;"",'[2]Retail Price List'!$C$4:$F$102,4,FALSE),"")</f>
        <v>1002500</v>
      </c>
      <c r="N147" s="269">
        <f>IFERROR(IF(BA147="WIP - 30 Days",VLOOKUP(D147,[3]Extended!$B$9:$E$101,4,FALSE),IF(BA147="31-120 Days",VLOOKUP(D147,[3]Extended!$B$9:$F$101,5,FALSE),IF(BA147="121-365 Days",VLOOKUP(D147,[3]Extended!$B$9:$G$101,6,FALSE),VLOOKUP(D147,[3]Extended!$B$9:$H$101,7,FALSE)))),0)</f>
        <v>815734.25</v>
      </c>
      <c r="O147" s="269">
        <f>IFERROR(IF(BA147="WIP - 30 Days",VLOOKUP(D147,[3]Extended!$B$9:$J$101,9,FALSE),IF(BA147="31-120 Days",VLOOKUP(D147,[3]Extended!$B$9:$K$101,10,FALSE),IF(BA147="121-365 Days",VLOOKUP(D147,[3]Extended!$B$9:$L$101,11,FALSE),VLOOKUP(D147,[3]Extended!$B$9:$M$101,12,FALSE)))),0)</f>
        <v>791975</v>
      </c>
      <c r="P147" s="116">
        <f t="shared" si="11"/>
        <v>0.21</v>
      </c>
      <c r="Q147" s="110" t="e">
        <f>O147-#REF!</f>
        <v>#REF!</v>
      </c>
      <c r="S147" s="112" t="s">
        <v>9</v>
      </c>
      <c r="T147" s="112" t="s">
        <v>10</v>
      </c>
      <c r="U147" s="112" t="s">
        <v>11</v>
      </c>
      <c r="W147" s="311"/>
      <c r="X147" s="311"/>
      <c r="Y147" s="311"/>
      <c r="Z147" s="311"/>
      <c r="AA147" s="311"/>
      <c r="AB147" s="311"/>
      <c r="AC147" s="311"/>
      <c r="AT147" s="88" t="str">
        <f t="shared" si="12"/>
        <v>KP0005902017Q115,4</v>
      </c>
      <c r="AU147" s="89" t="str">
        <f t="shared" si="13"/>
        <v>03-2017</v>
      </c>
      <c r="BA147" s="92" t="str">
        <f t="shared" si="14"/>
        <v>WIP - 30 Days</v>
      </c>
    </row>
    <row r="148" spans="1:56">
      <c r="B148" s="60" t="str">
        <f>[2]Trucks!A145</f>
        <v>MC6-3750</v>
      </c>
      <c r="C148" s="11" t="str">
        <f>[2]Trucks!B145</f>
        <v>CLA-26-2806X4BB-C-L</v>
      </c>
      <c r="D148" s="19" t="str">
        <f>IFERROR(VLOOKUP(C148&amp;"",'[2]Retail Price List'!$A$3:$B$103,2,FALSE),"Special Order")</f>
        <v>KP000590</v>
      </c>
      <c r="E148" s="18" t="str">
        <f>[2]Trucks!J145</f>
        <v>CKD</v>
      </c>
      <c r="F148" s="12" t="str">
        <f>[2]Trucks!E145</f>
        <v>2017-09-4</v>
      </c>
      <c r="G148" s="56">
        <f>[2]Trucks!K145</f>
        <v>15.4</v>
      </c>
      <c r="H148" s="46">
        <f>[2]Trucks!I145</f>
        <v>42804</v>
      </c>
      <c r="I148" s="83" t="str">
        <f t="shared" si="10"/>
        <v>2017Q1</v>
      </c>
      <c r="J148" s="272">
        <f>IFERROR(VLOOKUP((D148&amp;C148)&amp;"",'[2]Retail Price List'!$C$4:$F$102,3,FALSE),"")</f>
        <v>985000</v>
      </c>
      <c r="K148" s="272">
        <f>IFERROR(IF(BA148="WIP - 30 Days",VLOOKUP(D148,[3]Standard!$B$9:$E$101,4,FALSE),IF(BA148="31-120 Days",VLOOKUP(D148,[3]Standard!$B$9:$F$101,5,FALSE),IF(BA148="121-365 Days",VLOOKUP(D148,[3]Standard!$B$9:$G$101,6,FALSE),VLOOKUP(D148,[3]Standard!$B$9:$H$101,7,FALSE)))),0)</f>
        <v>781203.5</v>
      </c>
      <c r="L148" s="272">
        <f>IFERROR(IF(BA148="WIP - 30 Days",VLOOKUP(D148,[3]Standard!$B$9:$J$101,9,FALSE),IF(BA148="31-120 Days",VLOOKUP(D148,[3]Standard!$B$9:$K$100,10,FALSE),IF(BA148="121-365 Days",VLOOKUP(D148,[3]Standard!$B$9:$L$101,11,FALSE),VLOOKUP(D148,[3]Standard!$B$9:$M$101,12,FALSE)))),0)</f>
        <v>758450</v>
      </c>
      <c r="M148" s="269">
        <f>IFERROR(VLOOKUP((D148&amp;C148)&amp;"",'[2]Retail Price List'!$C$4:$F$102,4,FALSE),"")</f>
        <v>1002500</v>
      </c>
      <c r="N148" s="269">
        <f>IFERROR(IF(BA148="WIP - 30 Days",VLOOKUP(D148,[3]Extended!$B$9:$E$101,4,FALSE),IF(BA148="31-120 Days",VLOOKUP(D148,[3]Extended!$B$9:$F$101,5,FALSE),IF(BA148="121-365 Days",VLOOKUP(D148,[3]Extended!$B$9:$G$101,6,FALSE),VLOOKUP(D148,[3]Extended!$B$9:$H$101,7,FALSE)))),0)</f>
        <v>815734.25</v>
      </c>
      <c r="O148" s="269">
        <f>IFERROR(IF(BA148="WIP - 30 Days",VLOOKUP(D148,[3]Extended!$B$9:$J$101,9,FALSE),IF(BA148="31-120 Days",VLOOKUP(D148,[3]Extended!$B$9:$K$101,10,FALSE),IF(BA148="121-365 Days",VLOOKUP(D148,[3]Extended!$B$9:$L$101,11,FALSE),VLOOKUP(D148,[3]Extended!$B$9:$M$101,12,FALSE)))),0)</f>
        <v>791975</v>
      </c>
      <c r="P148" s="116">
        <f t="shared" si="11"/>
        <v>0.21</v>
      </c>
      <c r="Q148" s="110" t="e">
        <f>O148-#REF!</f>
        <v>#REF!</v>
      </c>
      <c r="R148" s="265" t="s">
        <v>8</v>
      </c>
      <c r="S148" s="112">
        <v>0</v>
      </c>
      <c r="T148" s="112">
        <v>0</v>
      </c>
      <c r="U148" s="112">
        <v>0</v>
      </c>
      <c r="W148" s="311"/>
      <c r="X148" s="311"/>
      <c r="Y148" s="311"/>
      <c r="Z148" s="311"/>
      <c r="AA148" s="311"/>
      <c r="AB148" s="311"/>
      <c r="AC148" s="311"/>
      <c r="AT148" s="88" t="str">
        <f t="shared" si="12"/>
        <v>KP0005902017Q115,4</v>
      </c>
      <c r="AU148" s="89" t="str">
        <f t="shared" si="13"/>
        <v>03-2017</v>
      </c>
      <c r="BA148" s="92" t="str">
        <f t="shared" si="14"/>
        <v>WIP - 30 Days</v>
      </c>
    </row>
    <row r="149" spans="1:56">
      <c r="B149" s="60" t="str">
        <f>[2]Trucks!A146</f>
        <v>MC6-3751</v>
      </c>
      <c r="C149" s="11" t="str">
        <f>[2]Trucks!B146</f>
        <v>CLA-26-2806X4BB-C-L</v>
      </c>
      <c r="D149" s="19" t="str">
        <f>IFERROR(VLOOKUP(C149&amp;"",'[2]Retail Price List'!$A$3:$B$103,2,FALSE),"Special Order")</f>
        <v>KP000590</v>
      </c>
      <c r="E149" s="18" t="str">
        <f>[2]Trucks!J146</f>
        <v>CKD</v>
      </c>
      <c r="F149" s="12" t="str">
        <f>[2]Trucks!E146</f>
        <v>2017-09-5</v>
      </c>
      <c r="G149" s="56">
        <f>[2]Trucks!K146</f>
        <v>15.4</v>
      </c>
      <c r="H149" s="46">
        <f>[2]Trucks!I146</f>
        <v>42804</v>
      </c>
      <c r="I149" s="83" t="str">
        <f t="shared" si="10"/>
        <v>2017Q1</v>
      </c>
      <c r="J149" s="272">
        <f>IFERROR(VLOOKUP((D149&amp;C149)&amp;"",'[2]Retail Price List'!$C$4:$F$102,3,FALSE),"")</f>
        <v>985000</v>
      </c>
      <c r="K149" s="272">
        <f>IFERROR(IF(BA149="WIP - 30 Days",VLOOKUP(D149,[3]Standard!$B$9:$E$101,4,FALSE),IF(BA149="31-120 Days",VLOOKUP(D149,[3]Standard!$B$9:$F$101,5,FALSE),IF(BA149="121-365 Days",VLOOKUP(D149,[3]Standard!$B$9:$G$101,6,FALSE),VLOOKUP(D149,[3]Standard!$B$9:$H$101,7,FALSE)))),0)</f>
        <v>781203.5</v>
      </c>
      <c r="L149" s="272">
        <f>IFERROR(IF(BA149="WIP - 30 Days",VLOOKUP(D149,[3]Standard!$B$9:$J$101,9,FALSE),IF(BA149="31-120 Days",VLOOKUP(D149,[3]Standard!$B$9:$K$100,10,FALSE),IF(BA149="121-365 Days",VLOOKUP(D149,[3]Standard!$B$9:$L$101,11,FALSE),VLOOKUP(D149,[3]Standard!$B$9:$M$101,12,FALSE)))),0)</f>
        <v>758450</v>
      </c>
      <c r="M149" s="269">
        <f>IFERROR(VLOOKUP((D149&amp;C149)&amp;"",'[2]Retail Price List'!$C$4:$F$102,4,FALSE),"")</f>
        <v>1002500</v>
      </c>
      <c r="N149" s="269">
        <f>IFERROR(IF(BA149="WIP - 30 Days",VLOOKUP(D149,[3]Extended!$B$9:$E$101,4,FALSE),IF(BA149="31-120 Days",VLOOKUP(D149,[3]Extended!$B$9:$F$101,5,FALSE),IF(BA149="121-365 Days",VLOOKUP(D149,[3]Extended!$B$9:$G$101,6,FALSE),VLOOKUP(D149,[3]Extended!$B$9:$H$101,7,FALSE)))),0)</f>
        <v>815734.25</v>
      </c>
      <c r="O149" s="269">
        <f>IFERROR(IF(BA149="WIP - 30 Days",VLOOKUP(D149,[3]Extended!$B$9:$J$101,9,FALSE),IF(BA149="31-120 Days",VLOOKUP(D149,[3]Extended!$B$9:$K$101,10,FALSE),IF(BA149="121-365 Days",VLOOKUP(D149,[3]Extended!$B$9:$L$101,11,FALSE),VLOOKUP(D149,[3]Extended!$B$9:$M$101,12,FALSE)))),0)</f>
        <v>791975</v>
      </c>
      <c r="P149" s="116">
        <f t="shared" si="11"/>
        <v>0.21</v>
      </c>
      <c r="Q149" s="110" t="e">
        <f>O149-#REF!</f>
        <v>#REF!</v>
      </c>
      <c r="R149" s="265" t="s">
        <v>12</v>
      </c>
      <c r="S149" s="112">
        <v>0</v>
      </c>
      <c r="T149" s="112">
        <v>0</v>
      </c>
      <c r="U149" s="112">
        <v>0</v>
      </c>
      <c r="W149" s="311"/>
      <c r="X149" s="311"/>
      <c r="Y149" s="311"/>
      <c r="Z149" s="311"/>
      <c r="AA149" s="311"/>
      <c r="AB149" s="311"/>
      <c r="AC149" s="311"/>
      <c r="AT149" s="88" t="str">
        <f t="shared" si="12"/>
        <v>KP0005902017Q115,4</v>
      </c>
      <c r="AU149" s="89" t="str">
        <f t="shared" si="13"/>
        <v>03-2017</v>
      </c>
      <c r="BA149" s="92" t="str">
        <f t="shared" si="14"/>
        <v>WIP - 30 Days</v>
      </c>
    </row>
    <row r="150" spans="1:56">
      <c r="B150" s="60" t="str">
        <f>[2]Trucks!A147</f>
        <v>MC6-3752</v>
      </c>
      <c r="C150" s="11" t="str">
        <f>[2]Trucks!B147</f>
        <v>CLA-26-2806X4BB-C-L</v>
      </c>
      <c r="D150" s="19" t="str">
        <f>IFERROR(VLOOKUP(C150&amp;"",'[2]Retail Price List'!$A$3:$B$103,2,FALSE),"Special Order")</f>
        <v>KP000590</v>
      </c>
      <c r="E150" s="18" t="str">
        <f>[2]Trucks!J147</f>
        <v>CKD</v>
      </c>
      <c r="F150" s="12" t="str">
        <f>[2]Trucks!E147</f>
        <v>2017-09-5</v>
      </c>
      <c r="G150" s="56">
        <f>[2]Trucks!K147</f>
        <v>15.4</v>
      </c>
      <c r="H150" s="46">
        <f>[2]Trucks!I147</f>
        <v>42804</v>
      </c>
      <c r="I150" s="83" t="str">
        <f t="shared" si="10"/>
        <v>2017Q1</v>
      </c>
      <c r="J150" s="272">
        <f>IFERROR(VLOOKUP((D150&amp;C150)&amp;"",'[2]Retail Price List'!$C$4:$F$102,3,FALSE),"")</f>
        <v>985000</v>
      </c>
      <c r="K150" s="272">
        <f>IFERROR(IF(BA150="WIP - 30 Days",VLOOKUP(D150,[3]Standard!$B$9:$E$101,4,FALSE),IF(BA150="31-120 Days",VLOOKUP(D150,[3]Standard!$B$9:$F$101,5,FALSE),IF(BA150="121-365 Days",VLOOKUP(D150,[3]Standard!$B$9:$G$101,6,FALSE),VLOOKUP(D150,[3]Standard!$B$9:$H$101,7,FALSE)))),0)</f>
        <v>781203.5</v>
      </c>
      <c r="L150" s="272">
        <f>IFERROR(IF(BA150="WIP - 30 Days",VLOOKUP(D150,[3]Standard!$B$9:$J$101,9,FALSE),IF(BA150="31-120 Days",VLOOKUP(D150,[3]Standard!$B$9:$K$100,10,FALSE),IF(BA150="121-365 Days",VLOOKUP(D150,[3]Standard!$B$9:$L$101,11,FALSE),VLOOKUP(D150,[3]Standard!$B$9:$M$101,12,FALSE)))),0)</f>
        <v>758450</v>
      </c>
      <c r="M150" s="269">
        <f>IFERROR(VLOOKUP((D150&amp;C150)&amp;"",'[2]Retail Price List'!$C$4:$F$102,4,FALSE),"")</f>
        <v>1002500</v>
      </c>
      <c r="N150" s="269">
        <f>IFERROR(IF(BA150="WIP - 30 Days",VLOOKUP(D150,[3]Extended!$B$9:$E$101,4,FALSE),IF(BA150="31-120 Days",VLOOKUP(D150,[3]Extended!$B$9:$F$101,5,FALSE),IF(BA150="121-365 Days",VLOOKUP(D150,[3]Extended!$B$9:$G$101,6,FALSE),VLOOKUP(D150,[3]Extended!$B$9:$H$101,7,FALSE)))),0)</f>
        <v>815734.25</v>
      </c>
      <c r="O150" s="269">
        <f>IFERROR(IF(BA150="WIP - 30 Days",VLOOKUP(D150,[3]Extended!$B$9:$J$101,9,FALSE),IF(BA150="31-120 Days",VLOOKUP(D150,[3]Extended!$B$9:$K$101,10,FALSE),IF(BA150="121-365 Days",VLOOKUP(D150,[3]Extended!$B$9:$L$101,11,FALSE),VLOOKUP(D150,[3]Extended!$B$9:$M$101,12,FALSE)))),0)</f>
        <v>791975</v>
      </c>
      <c r="P150" s="116">
        <f t="shared" si="11"/>
        <v>0.21</v>
      </c>
      <c r="Q150" s="110" t="e">
        <f>O150-#REF!</f>
        <v>#REF!</v>
      </c>
      <c r="R150" s="111" t="s">
        <v>13</v>
      </c>
      <c r="S150" s="112">
        <f>COUNT(#REF!)</f>
        <v>0</v>
      </c>
      <c r="W150" s="311"/>
      <c r="X150" s="311"/>
      <c r="Y150" s="311"/>
      <c r="Z150" s="311"/>
      <c r="AA150" s="311"/>
      <c r="AB150" s="311"/>
      <c r="AC150" s="311"/>
      <c r="AT150" s="88" t="str">
        <f t="shared" si="12"/>
        <v>KP0005902017Q115,4</v>
      </c>
      <c r="AU150" s="89" t="str">
        <f t="shared" si="13"/>
        <v>03-2017</v>
      </c>
      <c r="BA150" s="92" t="str">
        <f t="shared" si="14"/>
        <v>WIP - 30 Days</v>
      </c>
    </row>
    <row r="151" spans="1:56">
      <c r="B151" s="60" t="str">
        <f>[2]Trucks!A148</f>
        <v>MC6-3819</v>
      </c>
      <c r="C151" s="11" t="str">
        <f>[2]Trucks!B148</f>
        <v>CLA-26-2806X4BB-C-L</v>
      </c>
      <c r="D151" s="19" t="str">
        <f>IFERROR(VLOOKUP(C151&amp;"",'[2]Retail Price List'!$A$3:$B$103,2,FALSE),"Special Order")</f>
        <v>KP000590</v>
      </c>
      <c r="E151" s="18" t="str">
        <f>[2]Trucks!J148</f>
        <v>CKD</v>
      </c>
      <c r="F151" s="12" t="str">
        <f>[2]Trucks!E148</f>
        <v>2017-12-31</v>
      </c>
      <c r="G151" s="56">
        <f>[2]Trucks!K148</f>
        <v>14.7</v>
      </c>
      <c r="H151" s="46">
        <f>[2]Trucks!I148</f>
        <v>42900</v>
      </c>
      <c r="I151" s="83" t="str">
        <f t="shared" si="10"/>
        <v>2017Q2</v>
      </c>
      <c r="J151" s="272">
        <f>IFERROR(VLOOKUP((D151&amp;C151)&amp;"",'[2]Retail Price List'!$C$4:$F$102,3,FALSE),"")</f>
        <v>985000</v>
      </c>
      <c r="K151" s="272">
        <f>IFERROR(IF(BA151="WIP - 30 Days",VLOOKUP(D151,[3]Standard!$B$9:$E$101,4,FALSE),IF(BA151="31-120 Days",VLOOKUP(D151,[3]Standard!$B$9:$F$101,5,FALSE),IF(BA151="121-365 Days",VLOOKUP(D151,[3]Standard!$B$9:$G$101,6,FALSE),VLOOKUP(D151,[3]Standard!$B$9:$H$101,7,FALSE)))),0)</f>
        <v>781203.5</v>
      </c>
      <c r="L151" s="272">
        <f>IFERROR(IF(BA151="WIP - 30 Days",VLOOKUP(D151,[3]Standard!$B$9:$J$101,9,FALSE),IF(BA151="31-120 Days",VLOOKUP(D151,[3]Standard!$B$9:$K$100,10,FALSE),IF(BA151="121-365 Days",VLOOKUP(D151,[3]Standard!$B$9:$L$101,11,FALSE),VLOOKUP(D151,[3]Standard!$B$9:$M$101,12,FALSE)))),0)</f>
        <v>758450</v>
      </c>
      <c r="M151" s="269">
        <f>IFERROR(VLOOKUP((D151&amp;C151)&amp;"",'[2]Retail Price List'!$C$4:$F$102,4,FALSE),"")</f>
        <v>1002500</v>
      </c>
      <c r="N151" s="269">
        <f>IFERROR(IF(BA151="WIP - 30 Days",VLOOKUP(D151,[3]Extended!$B$9:$E$101,4,FALSE),IF(BA151="31-120 Days",VLOOKUP(D151,[3]Extended!$B$9:$F$101,5,FALSE),IF(BA151="121-365 Days",VLOOKUP(D151,[3]Extended!$B$9:$G$101,6,FALSE),VLOOKUP(D151,[3]Extended!$B$9:$H$101,7,FALSE)))),0)</f>
        <v>815734.25</v>
      </c>
      <c r="O151" s="269">
        <f>IFERROR(IF(BA151="WIP - 30 Days",VLOOKUP(D151,[3]Extended!$B$9:$J$101,9,FALSE),IF(BA151="31-120 Days",VLOOKUP(D151,[3]Extended!$B$9:$K$101,10,FALSE),IF(BA151="121-365 Days",VLOOKUP(D151,[3]Extended!$B$9:$L$101,11,FALSE),VLOOKUP(D151,[3]Extended!$B$9:$M$101,12,FALSE)))),0)</f>
        <v>791975</v>
      </c>
      <c r="P151" s="116">
        <f t="shared" si="11"/>
        <v>0.21</v>
      </c>
      <c r="Q151" s="110" t="e">
        <f>O151-#REF!</f>
        <v>#REF!</v>
      </c>
      <c r="R151" s="111" t="s">
        <v>14</v>
      </c>
      <c r="S151" s="110" t="e">
        <f>+AVERAGE(#REF!)</f>
        <v>#REF!</v>
      </c>
      <c r="W151" s="311"/>
      <c r="X151" s="311"/>
      <c r="Y151" s="311"/>
      <c r="Z151" s="311"/>
      <c r="AA151" s="311"/>
      <c r="AB151" s="311"/>
      <c r="AC151" s="311"/>
      <c r="AT151" s="88" t="str">
        <f t="shared" si="12"/>
        <v>KP0005902017Q214,7</v>
      </c>
      <c r="AU151" s="89" t="str">
        <f t="shared" si="13"/>
        <v>06-2017</v>
      </c>
      <c r="BA151" s="92" t="str">
        <f t="shared" si="14"/>
        <v>WIP - 30 Days</v>
      </c>
    </row>
    <row r="152" spans="1:56">
      <c r="B152" s="60" t="str">
        <f>[2]Trucks!A149</f>
        <v>MC6-3820</v>
      </c>
      <c r="C152" s="11" t="str">
        <f>[2]Trucks!B149</f>
        <v>CLA-26-2806X4BB-C-L</v>
      </c>
      <c r="D152" s="19" t="str">
        <f>IFERROR(VLOOKUP(C152&amp;"",'[2]Retail Price List'!$A$3:$B$103,2,FALSE),"Special Order")</f>
        <v>KP000590</v>
      </c>
      <c r="E152" s="18" t="str">
        <f>[2]Trucks!J149</f>
        <v>CKD</v>
      </c>
      <c r="F152" s="12" t="str">
        <f>[2]Trucks!E149</f>
        <v>2017-12-31</v>
      </c>
      <c r="G152" s="56">
        <f>[2]Trucks!K149</f>
        <v>14.7</v>
      </c>
      <c r="H152" s="46">
        <f>[2]Trucks!I149</f>
        <v>42900</v>
      </c>
      <c r="I152" s="83" t="str">
        <f t="shared" si="10"/>
        <v>2017Q2</v>
      </c>
      <c r="J152" s="272">
        <f>IFERROR(VLOOKUP((D152&amp;C152)&amp;"",'[2]Retail Price List'!$C$4:$F$102,3,FALSE),"")</f>
        <v>985000</v>
      </c>
      <c r="K152" s="272">
        <f>IFERROR(IF(BA152="WIP - 30 Days",VLOOKUP(D152,[3]Standard!$B$9:$E$101,4,FALSE),IF(BA152="31-120 Days",VLOOKUP(D152,[3]Standard!$B$9:$F$101,5,FALSE),IF(BA152="121-365 Days",VLOOKUP(D152,[3]Standard!$B$9:$G$101,6,FALSE),VLOOKUP(D152,[3]Standard!$B$9:$H$101,7,FALSE)))),0)</f>
        <v>781203.5</v>
      </c>
      <c r="L152" s="272">
        <f>IFERROR(IF(BA152="WIP - 30 Days",VLOOKUP(D152,[3]Standard!$B$9:$J$101,9,FALSE),IF(BA152="31-120 Days",VLOOKUP(D152,[3]Standard!$B$9:$K$100,10,FALSE),IF(BA152="121-365 Days",VLOOKUP(D152,[3]Standard!$B$9:$L$101,11,FALSE),VLOOKUP(D152,[3]Standard!$B$9:$M$101,12,FALSE)))),0)</f>
        <v>758450</v>
      </c>
      <c r="M152" s="269">
        <f>IFERROR(VLOOKUP((D152&amp;C152)&amp;"",'[2]Retail Price List'!$C$4:$F$102,4,FALSE),"")</f>
        <v>1002500</v>
      </c>
      <c r="N152" s="269">
        <f>IFERROR(IF(BA152="WIP - 30 Days",VLOOKUP(D152,[3]Extended!$B$9:$E$101,4,FALSE),IF(BA152="31-120 Days",VLOOKUP(D152,[3]Extended!$B$9:$F$101,5,FALSE),IF(BA152="121-365 Days",VLOOKUP(D152,[3]Extended!$B$9:$G$101,6,FALSE),VLOOKUP(D152,[3]Extended!$B$9:$H$101,7,FALSE)))),0)</f>
        <v>815734.25</v>
      </c>
      <c r="O152" s="269">
        <f>IFERROR(IF(BA152="WIP - 30 Days",VLOOKUP(D152,[3]Extended!$B$9:$J$101,9,FALSE),IF(BA152="31-120 Days",VLOOKUP(D152,[3]Extended!$B$9:$K$101,10,FALSE),IF(BA152="121-365 Days",VLOOKUP(D152,[3]Extended!$B$9:$L$101,11,FALSE),VLOOKUP(D152,[3]Extended!$B$9:$M$101,12,FALSE)))),0)</f>
        <v>791975</v>
      </c>
      <c r="P152" s="116">
        <f t="shared" si="11"/>
        <v>0.21</v>
      </c>
      <c r="Q152" s="110" t="e">
        <f>O152-#REF!</f>
        <v>#REF!</v>
      </c>
      <c r="W152" s="311"/>
      <c r="X152" s="311"/>
      <c r="Y152" s="311"/>
      <c r="Z152" s="311"/>
      <c r="AA152" s="311"/>
      <c r="AB152" s="311"/>
      <c r="AC152" s="311"/>
      <c r="AT152" s="88" t="str">
        <f t="shared" si="12"/>
        <v>KP0005902017Q214,7</v>
      </c>
      <c r="AU152" s="89" t="str">
        <f t="shared" si="13"/>
        <v>06-2017</v>
      </c>
      <c r="BA152" s="92" t="str">
        <f t="shared" si="14"/>
        <v>WIP - 30 Days</v>
      </c>
    </row>
    <row r="153" spans="1:56">
      <c r="B153" s="60" t="str">
        <f>[2]Trucks!A150</f>
        <v>MC6-3821</v>
      </c>
      <c r="C153" s="11" t="str">
        <f>[2]Trucks!B150</f>
        <v>CLA-26-2806X4BB-C-L</v>
      </c>
      <c r="D153" s="19" t="str">
        <f>IFERROR(VLOOKUP(C153&amp;"",'[2]Retail Price List'!$A$3:$B$103,2,FALSE),"Special Order")</f>
        <v>KP000590</v>
      </c>
      <c r="E153" s="18" t="str">
        <f>[2]Trucks!J150</f>
        <v>CKD</v>
      </c>
      <c r="F153" s="12" t="str">
        <f>[2]Trucks!E150</f>
        <v>2017-12-31</v>
      </c>
      <c r="G153" s="56">
        <f>[2]Trucks!K150</f>
        <v>14.7</v>
      </c>
      <c r="H153" s="46">
        <f>[2]Trucks!I150</f>
        <v>42900</v>
      </c>
      <c r="I153" s="83" t="str">
        <f t="shared" si="10"/>
        <v>2017Q2</v>
      </c>
      <c r="J153" s="272">
        <f>IFERROR(VLOOKUP((D153&amp;C153)&amp;"",'[2]Retail Price List'!$C$4:$F$102,3,FALSE),"")</f>
        <v>985000</v>
      </c>
      <c r="K153" s="272">
        <f>IFERROR(IF(BA153="WIP - 30 Days",VLOOKUP(D153,[3]Standard!$B$9:$E$101,4,FALSE),IF(BA153="31-120 Days",VLOOKUP(D153,[3]Standard!$B$9:$F$101,5,FALSE),IF(BA153="121-365 Days",VLOOKUP(D153,[3]Standard!$B$9:$G$101,6,FALSE),VLOOKUP(D153,[3]Standard!$B$9:$H$101,7,FALSE)))),0)</f>
        <v>781203.5</v>
      </c>
      <c r="L153" s="272">
        <f>IFERROR(IF(BA153="WIP - 30 Days",VLOOKUP(D153,[3]Standard!$B$9:$J$101,9,FALSE),IF(BA153="31-120 Days",VLOOKUP(D153,[3]Standard!$B$9:$K$100,10,FALSE),IF(BA153="121-365 Days",VLOOKUP(D153,[3]Standard!$B$9:$L$101,11,FALSE),VLOOKUP(D153,[3]Standard!$B$9:$M$101,12,FALSE)))),0)</f>
        <v>758450</v>
      </c>
      <c r="M153" s="269">
        <f>IFERROR(VLOOKUP((D153&amp;C153)&amp;"",'[2]Retail Price List'!$C$4:$F$102,4,FALSE),"")</f>
        <v>1002500</v>
      </c>
      <c r="N153" s="269">
        <f>IFERROR(IF(BA153="WIP - 30 Days",VLOOKUP(D153,[3]Extended!$B$9:$E$101,4,FALSE),IF(BA153="31-120 Days",VLOOKUP(D153,[3]Extended!$B$9:$F$101,5,FALSE),IF(BA153="121-365 Days",VLOOKUP(D153,[3]Extended!$B$9:$G$101,6,FALSE),VLOOKUP(D153,[3]Extended!$B$9:$H$101,7,FALSE)))),0)</f>
        <v>815734.25</v>
      </c>
      <c r="O153" s="269">
        <f>IFERROR(IF(BA153="WIP - 30 Days",VLOOKUP(D153,[3]Extended!$B$9:$J$101,9,FALSE),IF(BA153="31-120 Days",VLOOKUP(D153,[3]Extended!$B$9:$K$101,10,FALSE),IF(BA153="121-365 Days",VLOOKUP(D153,[3]Extended!$B$9:$L$101,11,FALSE),VLOOKUP(D153,[3]Extended!$B$9:$M$101,12,FALSE)))),0)</f>
        <v>791975</v>
      </c>
      <c r="P153" s="116">
        <f t="shared" si="11"/>
        <v>0.21</v>
      </c>
      <c r="Q153" s="110" t="e">
        <f>O153-#REF!</f>
        <v>#REF!</v>
      </c>
      <c r="W153" s="311"/>
      <c r="X153" s="311"/>
      <c r="Y153" s="311"/>
      <c r="Z153" s="311"/>
      <c r="AA153" s="311"/>
      <c r="AB153" s="311"/>
      <c r="AC153" s="311"/>
      <c r="AT153" s="88" t="str">
        <f t="shared" si="12"/>
        <v>KP0005902017Q214,7</v>
      </c>
      <c r="AU153" s="89" t="str">
        <f t="shared" si="13"/>
        <v>06-2017</v>
      </c>
      <c r="BA153" s="92" t="str">
        <f t="shared" si="14"/>
        <v>WIP - 30 Days</v>
      </c>
    </row>
    <row r="154" spans="1:56">
      <c r="B154" s="60" t="str">
        <f>[2]Trucks!A151</f>
        <v>MC6-3822</v>
      </c>
      <c r="C154" s="11" t="str">
        <f>[2]Trucks!B151</f>
        <v>CLA-26-2806X4BB-C-L</v>
      </c>
      <c r="D154" s="19" t="str">
        <f>IFERROR(VLOOKUP(C154&amp;"",'[2]Retail Price List'!$A$3:$B$103,2,FALSE),"Special Order")</f>
        <v>KP000590</v>
      </c>
      <c r="E154" s="18" t="str">
        <f>[2]Trucks!J151</f>
        <v>CKD</v>
      </c>
      <c r="F154" s="12" t="str">
        <f>[2]Trucks!E151</f>
        <v>2017-12-31</v>
      </c>
      <c r="G154" s="56">
        <f>[2]Trucks!K151</f>
        <v>14.7</v>
      </c>
      <c r="H154" s="46">
        <f>[2]Trucks!I151</f>
        <v>42900</v>
      </c>
      <c r="I154" s="83" t="str">
        <f t="shared" si="10"/>
        <v>2017Q2</v>
      </c>
      <c r="J154" s="272">
        <f>IFERROR(VLOOKUP((D154&amp;C154)&amp;"",'[2]Retail Price List'!$C$4:$F$102,3,FALSE),"")</f>
        <v>985000</v>
      </c>
      <c r="K154" s="272">
        <f>IFERROR(IF(BA154="WIP - 30 Days",VLOOKUP(D154,[3]Standard!$B$9:$E$101,4,FALSE),IF(BA154="31-120 Days",VLOOKUP(D154,[3]Standard!$B$9:$F$101,5,FALSE),IF(BA154="121-365 Days",VLOOKUP(D154,[3]Standard!$B$9:$G$101,6,FALSE),VLOOKUP(D154,[3]Standard!$B$9:$H$101,7,FALSE)))),0)</f>
        <v>781203.5</v>
      </c>
      <c r="L154" s="272">
        <f>IFERROR(IF(BA154="WIP - 30 Days",VLOOKUP(D154,[3]Standard!$B$9:$J$101,9,FALSE),IF(BA154="31-120 Days",VLOOKUP(D154,[3]Standard!$B$9:$K$100,10,FALSE),IF(BA154="121-365 Days",VLOOKUP(D154,[3]Standard!$B$9:$L$101,11,FALSE),VLOOKUP(D154,[3]Standard!$B$9:$M$101,12,FALSE)))),0)</f>
        <v>758450</v>
      </c>
      <c r="M154" s="269">
        <f>IFERROR(VLOOKUP((D154&amp;C154)&amp;"",'[2]Retail Price List'!$C$4:$F$102,4,FALSE),"")</f>
        <v>1002500</v>
      </c>
      <c r="N154" s="269">
        <f>IFERROR(IF(BA154="WIP - 30 Days",VLOOKUP(D154,[3]Extended!$B$9:$E$101,4,FALSE),IF(BA154="31-120 Days",VLOOKUP(D154,[3]Extended!$B$9:$F$101,5,FALSE),IF(BA154="121-365 Days",VLOOKUP(D154,[3]Extended!$B$9:$G$101,6,FALSE),VLOOKUP(D154,[3]Extended!$B$9:$H$101,7,FALSE)))),0)</f>
        <v>815734.25</v>
      </c>
      <c r="O154" s="269">
        <f>IFERROR(IF(BA154="WIP - 30 Days",VLOOKUP(D154,[3]Extended!$B$9:$J$101,9,FALSE),IF(BA154="31-120 Days",VLOOKUP(D154,[3]Extended!$B$9:$K$101,10,FALSE),IF(BA154="121-365 Days",VLOOKUP(D154,[3]Extended!$B$9:$L$101,11,FALSE),VLOOKUP(D154,[3]Extended!$B$9:$M$101,12,FALSE)))),0)</f>
        <v>791975</v>
      </c>
      <c r="P154" s="116">
        <f t="shared" si="11"/>
        <v>0.21</v>
      </c>
      <c r="Q154" s="110" t="e">
        <f>O154-#REF!</f>
        <v>#REF!</v>
      </c>
      <c r="W154" s="311"/>
      <c r="X154" s="311"/>
      <c r="Y154" s="311"/>
      <c r="Z154" s="311"/>
      <c r="AA154" s="311"/>
      <c r="AB154" s="311"/>
      <c r="AC154" s="311"/>
      <c r="AT154" s="88" t="str">
        <f t="shared" si="12"/>
        <v>KP0005902017Q214,7</v>
      </c>
      <c r="AU154" s="89" t="str">
        <f t="shared" si="13"/>
        <v>06-2017</v>
      </c>
      <c r="BA154" s="92" t="str">
        <f t="shared" si="14"/>
        <v>WIP - 30 Days</v>
      </c>
    </row>
    <row r="155" spans="1:56">
      <c r="B155" s="60" t="str">
        <f>[2]Trucks!A152</f>
        <v>MC6-3823</v>
      </c>
      <c r="C155" s="11" t="str">
        <f>[2]Trucks!B152</f>
        <v>CLA-26-2806X4BB-C-L</v>
      </c>
      <c r="D155" s="19" t="str">
        <f>IFERROR(VLOOKUP(C155&amp;"",'[2]Retail Price List'!$A$3:$B$103,2,FALSE),"Special Order")</f>
        <v>KP000590</v>
      </c>
      <c r="E155" s="18" t="str">
        <f>[2]Trucks!J152</f>
        <v>CKD</v>
      </c>
      <c r="F155" s="12" t="str">
        <f>[2]Trucks!E152</f>
        <v>2017-12-31</v>
      </c>
      <c r="G155" s="56">
        <f>[2]Trucks!K152</f>
        <v>14.7</v>
      </c>
      <c r="H155" s="46">
        <f>[2]Trucks!I152</f>
        <v>42900</v>
      </c>
      <c r="I155" s="83" t="str">
        <f t="shared" si="10"/>
        <v>2017Q2</v>
      </c>
      <c r="J155" s="272">
        <f>IFERROR(VLOOKUP((D155&amp;C155)&amp;"",'[2]Retail Price List'!$C$4:$F$102,3,FALSE),"")</f>
        <v>985000</v>
      </c>
      <c r="K155" s="272">
        <f>IFERROR(IF(BA155="WIP - 30 Days",VLOOKUP(D155,[3]Standard!$B$9:$E$101,4,FALSE),IF(BA155="31-120 Days",VLOOKUP(D155,[3]Standard!$B$9:$F$101,5,FALSE),IF(BA155="121-365 Days",VLOOKUP(D155,[3]Standard!$B$9:$G$101,6,FALSE),VLOOKUP(D155,[3]Standard!$B$9:$H$101,7,FALSE)))),0)</f>
        <v>781203.5</v>
      </c>
      <c r="L155" s="272">
        <f>IFERROR(IF(BA155="WIP - 30 Days",VLOOKUP(D155,[3]Standard!$B$9:$J$101,9,FALSE),IF(BA155="31-120 Days",VLOOKUP(D155,[3]Standard!$B$9:$K$100,10,FALSE),IF(BA155="121-365 Days",VLOOKUP(D155,[3]Standard!$B$9:$L$101,11,FALSE),VLOOKUP(D155,[3]Standard!$B$9:$M$101,12,FALSE)))),0)</f>
        <v>758450</v>
      </c>
      <c r="M155" s="269">
        <f>IFERROR(VLOOKUP((D155&amp;C155)&amp;"",'[2]Retail Price List'!$C$4:$F$102,4,FALSE),"")</f>
        <v>1002500</v>
      </c>
      <c r="N155" s="269">
        <f>IFERROR(IF(BA155="WIP - 30 Days",VLOOKUP(D155,[3]Extended!$B$9:$E$101,4,FALSE),IF(BA155="31-120 Days",VLOOKUP(D155,[3]Extended!$B$9:$F$101,5,FALSE),IF(BA155="121-365 Days",VLOOKUP(D155,[3]Extended!$B$9:$G$101,6,FALSE),VLOOKUP(D155,[3]Extended!$B$9:$H$101,7,FALSE)))),0)</f>
        <v>815734.25</v>
      </c>
      <c r="O155" s="269">
        <f>IFERROR(IF(BA155="WIP - 30 Days",VLOOKUP(D155,[3]Extended!$B$9:$J$101,9,FALSE),IF(BA155="31-120 Days",VLOOKUP(D155,[3]Extended!$B$9:$K$101,10,FALSE),IF(BA155="121-365 Days",VLOOKUP(D155,[3]Extended!$B$9:$L$101,11,FALSE),VLOOKUP(D155,[3]Extended!$B$9:$M$101,12,FALSE)))),0)</f>
        <v>791975</v>
      </c>
      <c r="P155" s="116">
        <f t="shared" si="11"/>
        <v>0.21</v>
      </c>
      <c r="Q155" s="110" t="e">
        <f>O155-#REF!</f>
        <v>#REF!</v>
      </c>
      <c r="W155" s="311"/>
      <c r="X155" s="311"/>
      <c r="Y155" s="311"/>
      <c r="Z155" s="311"/>
      <c r="AA155" s="311"/>
      <c r="AB155" s="311"/>
      <c r="AC155" s="311"/>
      <c r="AT155" s="88" t="str">
        <f t="shared" si="12"/>
        <v>KP0005902017Q214,7</v>
      </c>
      <c r="AU155" s="89" t="str">
        <f t="shared" si="13"/>
        <v>06-2017</v>
      </c>
      <c r="BA155" s="92" t="str">
        <f t="shared" si="14"/>
        <v>WIP - 30 Days</v>
      </c>
    </row>
    <row r="156" spans="1:56">
      <c r="B156" s="60" t="str">
        <f>[2]Trucks!A153</f>
        <v>MC6-3824</v>
      </c>
      <c r="C156" s="11" t="str">
        <f>[2]Trucks!B153</f>
        <v>CLA-26-2806X4BB-C-L</v>
      </c>
      <c r="D156" s="19" t="str">
        <f>IFERROR(VLOOKUP(C156&amp;"",'[2]Retail Price List'!$A$3:$B$103,2,FALSE),"Special Order")</f>
        <v>KP000590</v>
      </c>
      <c r="E156" s="18" t="str">
        <f>[2]Trucks!J153</f>
        <v>CKD</v>
      </c>
      <c r="F156" s="12" t="str">
        <f>[2]Trucks!E153</f>
        <v>2017-12-31</v>
      </c>
      <c r="G156" s="56">
        <f>[2]Trucks!K153</f>
        <v>14.7</v>
      </c>
      <c r="H156" s="46">
        <f>[2]Trucks!I153</f>
        <v>42900</v>
      </c>
      <c r="I156" s="83" t="str">
        <f t="shared" si="10"/>
        <v>2017Q2</v>
      </c>
      <c r="J156" s="272">
        <f>IFERROR(VLOOKUP((D156&amp;C156)&amp;"",'[2]Retail Price List'!$C$4:$F$102,3,FALSE),"")</f>
        <v>985000</v>
      </c>
      <c r="K156" s="272">
        <f>IFERROR(IF(BA156="WIP - 30 Days",VLOOKUP(D156,[3]Standard!$B$9:$E$101,4,FALSE),IF(BA156="31-120 Days",VLOOKUP(D156,[3]Standard!$B$9:$F$101,5,FALSE),IF(BA156="121-365 Days",VLOOKUP(D156,[3]Standard!$B$9:$G$101,6,FALSE),VLOOKUP(D156,[3]Standard!$B$9:$H$101,7,FALSE)))),0)</f>
        <v>781203.5</v>
      </c>
      <c r="L156" s="272">
        <f>IFERROR(IF(BA156="WIP - 30 Days",VLOOKUP(D156,[3]Standard!$B$9:$J$101,9,FALSE),IF(BA156="31-120 Days",VLOOKUP(D156,[3]Standard!$B$9:$K$100,10,FALSE),IF(BA156="121-365 Days",VLOOKUP(D156,[3]Standard!$B$9:$L$101,11,FALSE),VLOOKUP(D156,[3]Standard!$B$9:$M$101,12,FALSE)))),0)</f>
        <v>758450</v>
      </c>
      <c r="M156" s="269">
        <f>IFERROR(VLOOKUP((D156&amp;C156)&amp;"",'[2]Retail Price List'!$C$4:$F$102,4,FALSE),"")</f>
        <v>1002500</v>
      </c>
      <c r="N156" s="269">
        <f>IFERROR(IF(BA156="WIP - 30 Days",VLOOKUP(D156,[3]Extended!$B$9:$E$101,4,FALSE),IF(BA156="31-120 Days",VLOOKUP(D156,[3]Extended!$B$9:$F$101,5,FALSE),IF(BA156="121-365 Days",VLOOKUP(D156,[3]Extended!$B$9:$G$101,6,FALSE),VLOOKUP(D156,[3]Extended!$B$9:$H$101,7,FALSE)))),0)</f>
        <v>815734.25</v>
      </c>
      <c r="O156" s="269">
        <f>IFERROR(IF(BA156="WIP - 30 Days",VLOOKUP(D156,[3]Extended!$B$9:$J$101,9,FALSE),IF(BA156="31-120 Days",VLOOKUP(D156,[3]Extended!$B$9:$K$101,10,FALSE),IF(BA156="121-365 Days",VLOOKUP(D156,[3]Extended!$B$9:$L$101,11,FALSE),VLOOKUP(D156,[3]Extended!$B$9:$M$101,12,FALSE)))),0)</f>
        <v>791975</v>
      </c>
      <c r="P156" s="116">
        <f t="shared" si="11"/>
        <v>0.21</v>
      </c>
      <c r="Q156" s="110" t="e">
        <f>O156-#REF!</f>
        <v>#REF!</v>
      </c>
      <c r="W156" s="311"/>
      <c r="X156" s="311"/>
      <c r="Y156" s="311"/>
      <c r="Z156" s="311"/>
      <c r="AA156" s="311"/>
      <c r="AB156" s="311"/>
      <c r="AC156" s="311"/>
      <c r="AT156" s="88" t="str">
        <f t="shared" si="12"/>
        <v>KP0005902017Q214,7</v>
      </c>
      <c r="AU156" s="89" t="str">
        <f t="shared" si="13"/>
        <v>06-2017</v>
      </c>
      <c r="BA156" s="92" t="str">
        <f t="shared" si="14"/>
        <v>WIP - 30 Days</v>
      </c>
    </row>
    <row r="157" spans="1:56">
      <c r="B157" s="60" t="str">
        <f>[2]Trucks!A154</f>
        <v>TBAKP590</v>
      </c>
      <c r="C157" s="11" t="str">
        <f>[2]Trucks!B154</f>
        <v>CLA-26-2806X4BB-C-L</v>
      </c>
      <c r="D157" s="19" t="str">
        <f>IFERROR(VLOOKUP(C157&amp;"",'[2]Retail Price List'!$A$3:$B$103,2,FALSE),"Special Order")</f>
        <v>KP000590</v>
      </c>
      <c r="E157" s="18" t="str">
        <f>[2]Trucks!J154</f>
        <v>CKD</v>
      </c>
      <c r="F157" s="12" t="str">
        <f>[2]Trucks!E154</f>
        <v>2018-02-15</v>
      </c>
      <c r="G157" s="56">
        <f>[2]Trucks!K154</f>
        <v>14.7</v>
      </c>
      <c r="H157" s="46">
        <f>[2]Trucks!I154</f>
        <v>42921</v>
      </c>
      <c r="I157" s="83" t="str">
        <f t="shared" si="10"/>
        <v>2017Q3</v>
      </c>
      <c r="J157" s="272">
        <f>IFERROR(VLOOKUP((D157&amp;C157)&amp;"",'[2]Retail Price List'!$C$4:$F$102,3,FALSE),"")</f>
        <v>985000</v>
      </c>
      <c r="K157" s="272">
        <f>IFERROR(IF(BA157="WIP - 30 Days",VLOOKUP(D157,[3]Standard!$B$9:$E$101,4,FALSE),IF(BA157="31-120 Days",VLOOKUP(D157,[3]Standard!$B$9:$F$101,5,FALSE),IF(BA157="121-365 Days",VLOOKUP(D157,[3]Standard!$B$9:$G$101,6,FALSE),VLOOKUP(D157,[3]Standard!$B$9:$H$101,7,FALSE)))),0)</f>
        <v>781203.5</v>
      </c>
      <c r="L157" s="272">
        <f>IFERROR(IF(BA157="WIP - 30 Days",VLOOKUP(D157,[3]Standard!$B$9:$J$101,9,FALSE),IF(BA157="31-120 Days",VLOOKUP(D157,[3]Standard!$B$9:$K$100,10,FALSE),IF(BA157="121-365 Days",VLOOKUP(D157,[3]Standard!$B$9:$L$101,11,FALSE),VLOOKUP(D157,[3]Standard!$B$9:$M$101,12,FALSE)))),0)</f>
        <v>758450</v>
      </c>
      <c r="M157" s="269">
        <f>IFERROR(VLOOKUP((D157&amp;C157)&amp;"",'[2]Retail Price List'!$C$4:$F$102,4,FALSE),"")</f>
        <v>1002500</v>
      </c>
      <c r="N157" s="269">
        <f>IFERROR(IF(BA157="WIP - 30 Days",VLOOKUP(D157,[3]Extended!$B$9:$E$101,4,FALSE),IF(BA157="31-120 Days",VLOOKUP(D157,[3]Extended!$B$9:$F$101,5,FALSE),IF(BA157="121-365 Days",VLOOKUP(D157,[3]Extended!$B$9:$G$101,6,FALSE),VLOOKUP(D157,[3]Extended!$B$9:$H$101,7,FALSE)))),0)</f>
        <v>815734.25</v>
      </c>
      <c r="O157" s="269">
        <f>IFERROR(IF(BA157="WIP - 30 Days",VLOOKUP(D157,[3]Extended!$B$9:$J$101,9,FALSE),IF(BA157="31-120 Days",VLOOKUP(D157,[3]Extended!$B$9:$K$101,10,FALSE),IF(BA157="121-365 Days",VLOOKUP(D157,[3]Extended!$B$9:$L$101,11,FALSE),VLOOKUP(D157,[3]Extended!$B$9:$M$101,12,FALSE)))),0)</f>
        <v>791975</v>
      </c>
      <c r="P157" s="116">
        <f t="shared" si="11"/>
        <v>0.21</v>
      </c>
      <c r="Q157" s="110" t="e">
        <f>O157-#REF!</f>
        <v>#REF!</v>
      </c>
      <c r="W157" s="311"/>
      <c r="X157" s="311"/>
      <c r="Y157" s="311"/>
      <c r="Z157" s="311"/>
      <c r="AA157" s="311"/>
      <c r="AB157" s="311"/>
      <c r="AC157" s="311"/>
      <c r="AT157" s="88" t="str">
        <f t="shared" si="12"/>
        <v>KP0005902017Q314,7</v>
      </c>
      <c r="AU157" s="89" t="str">
        <f t="shared" si="13"/>
        <v>07-2017</v>
      </c>
      <c r="BA157" s="92" t="str">
        <f t="shared" si="14"/>
        <v>WIP - 30 Days</v>
      </c>
    </row>
    <row r="158" spans="1:56">
      <c r="B158" s="60">
        <f>[2]Trucks!A155</f>
        <v>47501</v>
      </c>
      <c r="C158" s="11" t="str">
        <f>[2]Trucks!B155</f>
        <v>CLA-26-2806X4BB-C-M</v>
      </c>
      <c r="D158" s="19" t="str">
        <f>IFERROR(VLOOKUP(C158&amp;"",'[2]Retail Price List'!$A$3:$B$103,2,FALSE),"Special Order")</f>
        <v>KP000564</v>
      </c>
      <c r="E158" s="18" t="str">
        <f>[2]Trucks!J155</f>
        <v>CKD</v>
      </c>
      <c r="F158" s="12" t="str">
        <f>[2]Trucks!E155</f>
        <v>2017-11-30</v>
      </c>
      <c r="G158" s="56">
        <f>[2]Trucks!K155</f>
        <v>14.7</v>
      </c>
      <c r="H158" s="46">
        <f>[2]Trucks!I155</f>
        <v>42937</v>
      </c>
      <c r="I158" s="83" t="str">
        <f t="shared" si="10"/>
        <v>2017Q3</v>
      </c>
      <c r="J158" s="272">
        <f>IFERROR(VLOOKUP((D158&amp;C158)&amp;"",'[2]Retail Price List'!$C$4:$F$102,3,FALSE),"")</f>
        <v>1030000</v>
      </c>
      <c r="K158" s="272">
        <f>IFERROR(IF(BA158="WIP - 30 Days",VLOOKUP(D158,[3]Standard!$B$9:$E$101,4,FALSE),IF(BA158="31-120 Days",VLOOKUP(D158,[3]Standard!$B$9:$F$101,5,FALSE),IF(BA158="121-365 Days",VLOOKUP(D158,[3]Standard!$B$9:$G$101,6,FALSE),VLOOKUP(D158,[3]Standard!$B$9:$H$101,7,FALSE)))),0)</f>
        <v>795675</v>
      </c>
      <c r="L158" s="272">
        <f>IFERROR(IF(BA158="WIP - 30 Days",VLOOKUP(D158,[3]Standard!$B$9:$J$101,9,FALSE),IF(BA158="31-120 Days",VLOOKUP(D158,[3]Standard!$B$9:$K$100,10,FALSE),IF(BA158="121-365 Days",VLOOKUP(D158,[3]Standard!$B$9:$L$101,11,FALSE),VLOOKUP(D158,[3]Standard!$B$9:$M$101,12,FALSE)))),0)</f>
        <v>772500</v>
      </c>
      <c r="M158" s="269">
        <f>IFERROR(VLOOKUP((D158&amp;C158)&amp;"",'[2]Retail Price List'!$C$4:$F$102,4,FALSE),"")</f>
        <v>1047500</v>
      </c>
      <c r="N158" s="269">
        <f>IFERROR(IF(BA158="WIP - 30 Days",VLOOKUP(D158,[3]Extended!$B$9:$E$101,4,FALSE),IF(BA158="31-120 Days",VLOOKUP(D158,[3]Extended!$B$9:$F$101,5,FALSE),IF(BA158="121-365 Days",VLOOKUP(D158,[3]Extended!$B$9:$G$101,6,FALSE),VLOOKUP(D158,[3]Extended!$B$9:$H$101,7,FALSE)))),0)</f>
        <v>830772.25</v>
      </c>
      <c r="O158" s="269">
        <f>IFERROR(IF(BA158="WIP - 30 Days",VLOOKUP(D158,[3]Extended!$B$9:$J$101,9,FALSE),IF(BA158="31-120 Days",VLOOKUP(D158,[3]Extended!$B$9:$K$101,10,FALSE),IF(BA158="121-365 Days",VLOOKUP(D158,[3]Extended!$B$9:$L$101,11,FALSE),VLOOKUP(D158,[3]Extended!$B$9:$M$101,12,FALSE)))),0)</f>
        <v>806575</v>
      </c>
      <c r="P158" s="116">
        <f t="shared" si="11"/>
        <v>0.23</v>
      </c>
      <c r="Q158" s="110" t="e">
        <f>O158-#REF!</f>
        <v>#REF!</v>
      </c>
      <c r="W158" s="311"/>
      <c r="X158" s="311"/>
      <c r="Y158" s="311"/>
      <c r="Z158" s="311"/>
      <c r="AA158" s="311"/>
      <c r="AB158" s="311"/>
      <c r="AC158" s="311"/>
      <c r="AT158" s="88" t="str">
        <f t="shared" si="12"/>
        <v>KP0005642017Q314,7</v>
      </c>
      <c r="AU158" s="89" t="str">
        <f t="shared" si="13"/>
        <v>07-2017</v>
      </c>
      <c r="BA158" s="92" t="str">
        <f t="shared" si="14"/>
        <v>WIP - 30 Days</v>
      </c>
    </row>
    <row r="159" spans="1:56">
      <c r="B159" s="60">
        <f>[2]Trucks!A156</f>
        <v>47682</v>
      </c>
      <c r="C159" s="11" t="str">
        <f>[2]Trucks!B156</f>
        <v>CLA-26-2806X4BB-C-M</v>
      </c>
      <c r="D159" s="19" t="str">
        <f>IFERROR(VLOOKUP(C159&amp;"",'[2]Retail Price List'!$A$3:$B$103,2,FALSE),"Special Order")</f>
        <v>KP000564</v>
      </c>
      <c r="E159" s="18" t="str">
        <f>[2]Trucks!J156</f>
        <v>CKD</v>
      </c>
      <c r="F159" s="12" t="str">
        <f>[2]Trucks!E156</f>
        <v>2018-03-10</v>
      </c>
      <c r="G159" s="56">
        <f>[2]Trucks!K156</f>
        <v>14.7</v>
      </c>
      <c r="H159" s="46">
        <f>[2]Trucks!I156</f>
        <v>42947</v>
      </c>
      <c r="I159" s="83" t="str">
        <f t="shared" si="10"/>
        <v>2017Q3</v>
      </c>
      <c r="J159" s="272">
        <f>IFERROR(VLOOKUP((D159&amp;C159)&amp;"",'[2]Retail Price List'!$C$4:$F$102,3,FALSE),"")</f>
        <v>1030000</v>
      </c>
      <c r="K159" s="272">
        <f>IFERROR(IF(BA159="WIP - 30 Days",VLOOKUP(D159,[3]Standard!$B$9:$E$101,4,FALSE),IF(BA159="31-120 Days",VLOOKUP(D159,[3]Standard!$B$9:$F$101,5,FALSE),IF(BA159="121-365 Days",VLOOKUP(D159,[3]Standard!$B$9:$G$101,6,FALSE),VLOOKUP(D159,[3]Standard!$B$9:$H$101,7,FALSE)))),0)</f>
        <v>795675</v>
      </c>
      <c r="L159" s="272">
        <f>IFERROR(IF(BA159="WIP - 30 Days",VLOOKUP(D159,[3]Standard!$B$9:$J$101,9,FALSE),IF(BA159="31-120 Days",VLOOKUP(D159,[3]Standard!$B$9:$K$100,10,FALSE),IF(BA159="121-365 Days",VLOOKUP(D159,[3]Standard!$B$9:$L$101,11,FALSE),VLOOKUP(D159,[3]Standard!$B$9:$M$101,12,FALSE)))),0)</f>
        <v>772500</v>
      </c>
      <c r="M159" s="269">
        <f>IFERROR(VLOOKUP((D159&amp;C159)&amp;"",'[2]Retail Price List'!$C$4:$F$102,4,FALSE),"")</f>
        <v>1047500</v>
      </c>
      <c r="N159" s="269">
        <f>IFERROR(IF(BA159="WIP - 30 Days",VLOOKUP(D159,[3]Extended!$B$9:$E$101,4,FALSE),IF(BA159="31-120 Days",VLOOKUP(D159,[3]Extended!$B$9:$F$101,5,FALSE),IF(BA159="121-365 Days",VLOOKUP(D159,[3]Extended!$B$9:$G$101,6,FALSE),VLOOKUP(D159,[3]Extended!$B$9:$H$101,7,FALSE)))),0)</f>
        <v>830772.25</v>
      </c>
      <c r="O159" s="269">
        <f>IFERROR(IF(BA159="WIP - 30 Days",VLOOKUP(D159,[3]Extended!$B$9:$J$101,9,FALSE),IF(BA159="31-120 Days",VLOOKUP(D159,[3]Extended!$B$9:$K$101,10,FALSE),IF(BA159="121-365 Days",VLOOKUP(D159,[3]Extended!$B$9:$L$101,11,FALSE),VLOOKUP(D159,[3]Extended!$B$9:$M$101,12,FALSE)))),0)</f>
        <v>806575</v>
      </c>
      <c r="P159" s="116">
        <f t="shared" si="11"/>
        <v>0.23</v>
      </c>
      <c r="Q159" s="110" t="e">
        <f>O159-#REF!</f>
        <v>#REF!</v>
      </c>
      <c r="W159" s="311"/>
      <c r="X159" s="311"/>
      <c r="Y159" s="311"/>
      <c r="Z159" s="311"/>
      <c r="AA159" s="311"/>
      <c r="AB159" s="311"/>
      <c r="AC159" s="311"/>
      <c r="AT159" s="88" t="str">
        <f t="shared" si="12"/>
        <v>KP0005642017Q314,7</v>
      </c>
      <c r="AU159" s="89" t="str">
        <f t="shared" si="13"/>
        <v>07-2017</v>
      </c>
      <c r="BA159" s="92" t="str">
        <f t="shared" si="14"/>
        <v>WIP - 30 Days</v>
      </c>
    </row>
    <row r="160" spans="1:56" s="4" customFormat="1">
      <c r="A160" s="69"/>
      <c r="B160" s="60">
        <f>[2]Trucks!A157</f>
        <v>47683</v>
      </c>
      <c r="C160" s="11" t="str">
        <f>[2]Trucks!B157</f>
        <v>CLA-26-2806X4BB-C-M</v>
      </c>
      <c r="D160" s="19" t="str">
        <f>IFERROR(VLOOKUP(C160&amp;"",'[2]Retail Price List'!$A$3:$B$103,2,FALSE),"Special Order")</f>
        <v>KP000564</v>
      </c>
      <c r="E160" s="18" t="str">
        <f>[2]Trucks!J157</f>
        <v>CKD</v>
      </c>
      <c r="F160" s="12" t="str">
        <f>[2]Trucks!E157</f>
        <v>2018-03-10</v>
      </c>
      <c r="G160" s="56">
        <f>[2]Trucks!K157</f>
        <v>14.7</v>
      </c>
      <c r="H160" s="46">
        <f>[2]Trucks!I157</f>
        <v>42947</v>
      </c>
      <c r="I160" s="83" t="str">
        <f t="shared" si="10"/>
        <v>2017Q3</v>
      </c>
      <c r="J160" s="272">
        <f>IFERROR(VLOOKUP((D160&amp;C160)&amp;"",'[2]Retail Price List'!$C$4:$F$102,3,FALSE),"")</f>
        <v>1030000</v>
      </c>
      <c r="K160" s="272">
        <f>IFERROR(IF(BA160="WIP - 30 Days",VLOOKUP(D160,[3]Standard!$B$9:$E$101,4,FALSE),IF(BA160="31-120 Days",VLOOKUP(D160,[3]Standard!$B$9:$F$101,5,FALSE),IF(BA160="121-365 Days",VLOOKUP(D160,[3]Standard!$B$9:$G$101,6,FALSE),VLOOKUP(D160,[3]Standard!$B$9:$H$101,7,FALSE)))),0)</f>
        <v>795675</v>
      </c>
      <c r="L160" s="272">
        <f>IFERROR(IF(BA160="WIP - 30 Days",VLOOKUP(D160,[3]Standard!$B$9:$J$101,9,FALSE),IF(BA160="31-120 Days",VLOOKUP(D160,[3]Standard!$B$9:$K$100,10,FALSE),IF(BA160="121-365 Days",VLOOKUP(D160,[3]Standard!$B$9:$L$101,11,FALSE),VLOOKUP(D160,[3]Standard!$B$9:$M$101,12,FALSE)))),0)</f>
        <v>772500</v>
      </c>
      <c r="M160" s="269">
        <f>IFERROR(VLOOKUP((D160&amp;C160)&amp;"",'[2]Retail Price List'!$C$4:$F$102,4,FALSE),"")</f>
        <v>1047500</v>
      </c>
      <c r="N160" s="269">
        <f>IFERROR(IF(BA160="WIP - 30 Days",VLOOKUP(D160,[3]Extended!$B$9:$E$101,4,FALSE),IF(BA160="31-120 Days",VLOOKUP(D160,[3]Extended!$B$9:$F$101,5,FALSE),IF(BA160="121-365 Days",VLOOKUP(D160,[3]Extended!$B$9:$G$101,6,FALSE),VLOOKUP(D160,[3]Extended!$B$9:$H$101,7,FALSE)))),0)</f>
        <v>830772.25</v>
      </c>
      <c r="O160" s="269">
        <f>IFERROR(IF(BA160="WIP - 30 Days",VLOOKUP(D160,[3]Extended!$B$9:$J$101,9,FALSE),IF(BA160="31-120 Days",VLOOKUP(D160,[3]Extended!$B$9:$K$101,10,FALSE),IF(BA160="121-365 Days",VLOOKUP(D160,[3]Extended!$B$9:$L$101,11,FALSE),VLOOKUP(D160,[3]Extended!$B$9:$M$101,12,FALSE)))),0)</f>
        <v>806575</v>
      </c>
      <c r="P160" s="116">
        <f t="shared" si="11"/>
        <v>0.23</v>
      </c>
      <c r="Q160" s="110" t="e">
        <f>O160-#REF!</f>
        <v>#REF!</v>
      </c>
      <c r="R160" s="111" t="e">
        <f>SUM(Q147:Q159)/SUM(O147:O159)</f>
        <v>#REF!</v>
      </c>
      <c r="S160" s="112"/>
      <c r="T160" s="112"/>
      <c r="U160" s="112"/>
      <c r="V160" s="112"/>
      <c r="W160" s="311"/>
      <c r="X160" s="311"/>
      <c r="Y160" s="311"/>
      <c r="Z160" s="311"/>
      <c r="AA160" s="311"/>
      <c r="AB160" s="311"/>
      <c r="AC160" s="311"/>
      <c r="AD160" s="89"/>
      <c r="AE160" s="89"/>
      <c r="AF160" s="89"/>
      <c r="AG160" s="5"/>
      <c r="AH160" s="5"/>
      <c r="AI160" s="5"/>
      <c r="AJ160" s="5"/>
      <c r="AK160" s="5"/>
      <c r="AL160" s="5"/>
      <c r="AM160" s="5"/>
      <c r="AN160" s="5"/>
      <c r="AO160" s="5"/>
      <c r="AP160" s="5"/>
      <c r="AQ160" s="5"/>
      <c r="AR160" s="5"/>
      <c r="AS160" s="5"/>
      <c r="AT160" s="88" t="str">
        <f t="shared" si="12"/>
        <v>KP0005642017Q314,7</v>
      </c>
      <c r="AU160" s="89" t="str">
        <f t="shared" si="13"/>
        <v>07-2017</v>
      </c>
      <c r="AV160" s="89"/>
      <c r="AW160" s="89"/>
      <c r="AX160" s="89"/>
      <c r="AY160" s="89"/>
      <c r="AZ160" s="89"/>
      <c r="BA160" s="92" t="str">
        <f t="shared" si="14"/>
        <v>WIP - 30 Days</v>
      </c>
      <c r="BB160" s="89"/>
      <c r="BC160" s="97"/>
      <c r="BD160" s="97"/>
    </row>
    <row r="161" spans="1:56">
      <c r="B161" s="60">
        <f>[2]Trucks!A158</f>
        <v>47684</v>
      </c>
      <c r="C161" s="11" t="str">
        <f>[2]Trucks!B158</f>
        <v>CLA-26-2806X4BB-C-M</v>
      </c>
      <c r="D161" s="19" t="str">
        <f>IFERROR(VLOOKUP(C161&amp;"",'[2]Retail Price List'!$A$3:$B$103,2,FALSE),"Special Order")</f>
        <v>KP000564</v>
      </c>
      <c r="E161" s="18" t="str">
        <f>[2]Trucks!J158</f>
        <v>CKD</v>
      </c>
      <c r="F161" s="12" t="str">
        <f>[2]Trucks!E158</f>
        <v>2018-03-10</v>
      </c>
      <c r="G161" s="56">
        <f>[2]Trucks!K158</f>
        <v>14.7</v>
      </c>
      <c r="H161" s="46">
        <f>[2]Trucks!I158</f>
        <v>42947</v>
      </c>
      <c r="I161" s="83" t="str">
        <f t="shared" si="10"/>
        <v>2017Q3</v>
      </c>
      <c r="J161" s="272">
        <f>IFERROR(VLOOKUP((D161&amp;C161)&amp;"",'[2]Retail Price List'!$C$4:$F$102,3,FALSE),"")</f>
        <v>1030000</v>
      </c>
      <c r="K161" s="272">
        <f>IFERROR(IF(BA161="WIP - 30 Days",VLOOKUP(D161,[3]Standard!$B$9:$E$101,4,FALSE),IF(BA161="31-120 Days",VLOOKUP(D161,[3]Standard!$B$9:$F$101,5,FALSE),IF(BA161="121-365 Days",VLOOKUP(D161,[3]Standard!$B$9:$G$101,6,FALSE),VLOOKUP(D161,[3]Standard!$B$9:$H$101,7,FALSE)))),0)</f>
        <v>795675</v>
      </c>
      <c r="L161" s="272">
        <f>IFERROR(IF(BA161="WIP - 30 Days",VLOOKUP(D161,[3]Standard!$B$9:$J$101,9,FALSE),IF(BA161="31-120 Days",VLOOKUP(D161,[3]Standard!$B$9:$K$100,10,FALSE),IF(BA161="121-365 Days",VLOOKUP(D161,[3]Standard!$B$9:$L$101,11,FALSE),VLOOKUP(D161,[3]Standard!$B$9:$M$101,12,FALSE)))),0)</f>
        <v>772500</v>
      </c>
      <c r="M161" s="269">
        <f>IFERROR(VLOOKUP((D161&amp;C161)&amp;"",'[2]Retail Price List'!$C$4:$F$102,4,FALSE),"")</f>
        <v>1047500</v>
      </c>
      <c r="N161" s="269">
        <f>IFERROR(IF(BA161="WIP - 30 Days",VLOOKUP(D161,[3]Extended!$B$9:$E$101,4,FALSE),IF(BA161="31-120 Days",VLOOKUP(D161,[3]Extended!$B$9:$F$101,5,FALSE),IF(BA161="121-365 Days",VLOOKUP(D161,[3]Extended!$B$9:$G$101,6,FALSE),VLOOKUP(D161,[3]Extended!$B$9:$H$101,7,FALSE)))),0)</f>
        <v>830772.25</v>
      </c>
      <c r="O161" s="269">
        <f>IFERROR(IF(BA161="WIP - 30 Days",VLOOKUP(D161,[3]Extended!$B$9:$J$101,9,FALSE),IF(BA161="31-120 Days",VLOOKUP(D161,[3]Extended!$B$9:$K$101,10,FALSE),IF(BA161="121-365 Days",VLOOKUP(D161,[3]Extended!$B$9:$L$101,11,FALSE),VLOOKUP(D161,[3]Extended!$B$9:$M$101,12,FALSE)))),0)</f>
        <v>806575</v>
      </c>
      <c r="P161" s="116">
        <f t="shared" si="11"/>
        <v>0.23</v>
      </c>
      <c r="Q161" s="110" t="e">
        <f>O161-#REF!</f>
        <v>#REF!</v>
      </c>
      <c r="S161" s="110" t="e">
        <f>+AVERAGE(#REF!)</f>
        <v>#REF!</v>
      </c>
      <c r="W161" s="311"/>
      <c r="X161" s="311"/>
      <c r="Y161" s="311"/>
      <c r="Z161" s="311"/>
      <c r="AA161" s="311"/>
      <c r="AB161" s="311"/>
      <c r="AC161" s="311"/>
      <c r="AT161" s="88" t="str">
        <f t="shared" si="12"/>
        <v>KP0005642017Q314,7</v>
      </c>
      <c r="AU161" s="89" t="str">
        <f t="shared" si="13"/>
        <v>07-2017</v>
      </c>
      <c r="BA161" s="92" t="str">
        <f t="shared" si="14"/>
        <v>WIP - 30 Days</v>
      </c>
    </row>
    <row r="162" spans="1:56">
      <c r="B162" s="60">
        <f>[2]Trucks!A159</f>
        <v>47685</v>
      </c>
      <c r="C162" s="11" t="str">
        <f>[2]Trucks!B159</f>
        <v>CLA-26-2806X4BB-C-M</v>
      </c>
      <c r="D162" s="19" t="str">
        <f>IFERROR(VLOOKUP(C162&amp;"",'[2]Retail Price List'!$A$3:$B$103,2,FALSE),"Special Order")</f>
        <v>KP000564</v>
      </c>
      <c r="E162" s="18" t="str">
        <f>[2]Trucks!J159</f>
        <v>CKD</v>
      </c>
      <c r="F162" s="12" t="str">
        <f>[2]Trucks!E159</f>
        <v>2018-03-10</v>
      </c>
      <c r="G162" s="56">
        <f>[2]Trucks!K159</f>
        <v>14.7</v>
      </c>
      <c r="H162" s="46">
        <f>[2]Trucks!I159</f>
        <v>42947</v>
      </c>
      <c r="I162" s="83" t="str">
        <f t="shared" si="10"/>
        <v>2017Q3</v>
      </c>
      <c r="J162" s="272">
        <f>IFERROR(VLOOKUP((D162&amp;C162)&amp;"",'[2]Retail Price List'!$C$4:$F$102,3,FALSE),"")</f>
        <v>1030000</v>
      </c>
      <c r="K162" s="272">
        <f>IFERROR(IF(BA162="WIP - 30 Days",VLOOKUP(D162,[3]Standard!$B$9:$E$101,4,FALSE),IF(BA162="31-120 Days",VLOOKUP(D162,[3]Standard!$B$9:$F$101,5,FALSE),IF(BA162="121-365 Days",VLOOKUP(D162,[3]Standard!$B$9:$G$101,6,FALSE),VLOOKUP(D162,[3]Standard!$B$9:$H$101,7,FALSE)))),0)</f>
        <v>795675</v>
      </c>
      <c r="L162" s="272">
        <f>IFERROR(IF(BA162="WIP - 30 Days",VLOOKUP(D162,[3]Standard!$B$9:$J$101,9,FALSE),IF(BA162="31-120 Days",VLOOKUP(D162,[3]Standard!$B$9:$K$100,10,FALSE),IF(BA162="121-365 Days",VLOOKUP(D162,[3]Standard!$B$9:$L$101,11,FALSE),VLOOKUP(D162,[3]Standard!$B$9:$M$101,12,FALSE)))),0)</f>
        <v>772500</v>
      </c>
      <c r="M162" s="269">
        <f>IFERROR(VLOOKUP((D162&amp;C162)&amp;"",'[2]Retail Price List'!$C$4:$F$102,4,FALSE),"")</f>
        <v>1047500</v>
      </c>
      <c r="N162" s="269">
        <f>IFERROR(IF(BA162="WIP - 30 Days",VLOOKUP(D162,[3]Extended!$B$9:$E$101,4,FALSE),IF(BA162="31-120 Days",VLOOKUP(D162,[3]Extended!$B$9:$F$101,5,FALSE),IF(BA162="121-365 Days",VLOOKUP(D162,[3]Extended!$B$9:$G$101,6,FALSE),VLOOKUP(D162,[3]Extended!$B$9:$H$101,7,FALSE)))),0)</f>
        <v>830772.25</v>
      </c>
      <c r="O162" s="269">
        <f>IFERROR(IF(BA162="WIP - 30 Days",VLOOKUP(D162,[3]Extended!$B$9:$J$101,9,FALSE),IF(BA162="31-120 Days",VLOOKUP(D162,[3]Extended!$B$9:$K$101,10,FALSE),IF(BA162="121-365 Days",VLOOKUP(D162,[3]Extended!$B$9:$L$101,11,FALSE),VLOOKUP(D162,[3]Extended!$B$9:$M$101,12,FALSE)))),0)</f>
        <v>806575</v>
      </c>
      <c r="P162" s="116">
        <f t="shared" si="11"/>
        <v>0.23</v>
      </c>
      <c r="Q162" s="110" t="e">
        <f>O162-#REF!</f>
        <v>#REF!</v>
      </c>
      <c r="W162" s="311"/>
      <c r="X162" s="311"/>
      <c r="Y162" s="311"/>
      <c r="Z162" s="311"/>
      <c r="AA162" s="311"/>
      <c r="AB162" s="311"/>
      <c r="AC162" s="311"/>
      <c r="AT162" s="88" t="str">
        <f t="shared" si="12"/>
        <v>KP0005642017Q314,7</v>
      </c>
      <c r="AU162" s="89" t="str">
        <f t="shared" si="13"/>
        <v>07-2017</v>
      </c>
      <c r="BA162" s="92" t="str">
        <f t="shared" si="14"/>
        <v>WIP - 30 Days</v>
      </c>
    </row>
    <row r="163" spans="1:56">
      <c r="B163" s="60">
        <f>[2]Trucks!A160</f>
        <v>47686</v>
      </c>
      <c r="C163" s="11" t="str">
        <f>[2]Trucks!B160</f>
        <v>CLA-26-2806X4BB-C-M</v>
      </c>
      <c r="D163" s="19" t="str">
        <f>IFERROR(VLOOKUP(C163&amp;"",'[2]Retail Price List'!$A$3:$B$103,2,FALSE),"Special Order")</f>
        <v>KP000564</v>
      </c>
      <c r="E163" s="18" t="str">
        <f>[2]Trucks!J160</f>
        <v>CKD</v>
      </c>
      <c r="F163" s="12" t="str">
        <f>[2]Trucks!E160</f>
        <v>2018-03-10</v>
      </c>
      <c r="G163" s="56">
        <f>[2]Trucks!K160</f>
        <v>14.7</v>
      </c>
      <c r="H163" s="46">
        <f>[2]Trucks!I160</f>
        <v>42947</v>
      </c>
      <c r="I163" s="83" t="str">
        <f t="shared" si="10"/>
        <v>2017Q3</v>
      </c>
      <c r="J163" s="272">
        <f>IFERROR(VLOOKUP((D163&amp;C163)&amp;"",'[2]Retail Price List'!$C$4:$F$102,3,FALSE),"")</f>
        <v>1030000</v>
      </c>
      <c r="K163" s="272">
        <f>IFERROR(IF(BA163="WIP - 30 Days",VLOOKUP(D163,[3]Standard!$B$9:$E$101,4,FALSE),IF(BA163="31-120 Days",VLOOKUP(D163,[3]Standard!$B$9:$F$101,5,FALSE),IF(BA163="121-365 Days",VLOOKUP(D163,[3]Standard!$B$9:$G$101,6,FALSE),VLOOKUP(D163,[3]Standard!$B$9:$H$101,7,FALSE)))),0)</f>
        <v>795675</v>
      </c>
      <c r="L163" s="272">
        <f>IFERROR(IF(BA163="WIP - 30 Days",VLOOKUP(D163,[3]Standard!$B$9:$J$101,9,FALSE),IF(BA163="31-120 Days",VLOOKUP(D163,[3]Standard!$B$9:$K$100,10,FALSE),IF(BA163="121-365 Days",VLOOKUP(D163,[3]Standard!$B$9:$L$101,11,FALSE),VLOOKUP(D163,[3]Standard!$B$9:$M$101,12,FALSE)))),0)</f>
        <v>772500</v>
      </c>
      <c r="M163" s="269">
        <f>IFERROR(VLOOKUP((D163&amp;C163)&amp;"",'[2]Retail Price List'!$C$4:$F$102,4,FALSE),"")</f>
        <v>1047500</v>
      </c>
      <c r="N163" s="269">
        <f>IFERROR(IF(BA163="WIP - 30 Days",VLOOKUP(D163,[3]Extended!$B$9:$E$101,4,FALSE),IF(BA163="31-120 Days",VLOOKUP(D163,[3]Extended!$B$9:$F$101,5,FALSE),IF(BA163="121-365 Days",VLOOKUP(D163,[3]Extended!$B$9:$G$101,6,FALSE),VLOOKUP(D163,[3]Extended!$B$9:$H$101,7,FALSE)))),0)</f>
        <v>830772.25</v>
      </c>
      <c r="O163" s="269">
        <f>IFERROR(IF(BA163="WIP - 30 Days",VLOOKUP(D163,[3]Extended!$B$9:$J$101,9,FALSE),IF(BA163="31-120 Days",VLOOKUP(D163,[3]Extended!$B$9:$K$101,10,FALSE),IF(BA163="121-365 Days",VLOOKUP(D163,[3]Extended!$B$9:$L$101,11,FALSE),VLOOKUP(D163,[3]Extended!$B$9:$M$101,12,FALSE)))),0)</f>
        <v>806575</v>
      </c>
      <c r="P163" s="116">
        <f t="shared" si="11"/>
        <v>0.23</v>
      </c>
      <c r="Q163" s="110" t="e">
        <f>O163-#REF!</f>
        <v>#REF!</v>
      </c>
      <c r="W163" s="311"/>
      <c r="X163" s="311"/>
      <c r="Y163" s="311"/>
      <c r="Z163" s="311"/>
      <c r="AA163" s="311"/>
      <c r="AB163" s="311"/>
      <c r="AC163" s="311"/>
      <c r="AT163" s="88" t="str">
        <f t="shared" si="12"/>
        <v>KP0005642017Q314,7</v>
      </c>
      <c r="AU163" s="89" t="str">
        <f t="shared" si="13"/>
        <v>07-2017</v>
      </c>
      <c r="BA163" s="92" t="str">
        <f t="shared" si="14"/>
        <v>WIP - 30 Days</v>
      </c>
    </row>
    <row r="164" spans="1:56">
      <c r="B164" s="60">
        <f>[2]Trucks!A161</f>
        <v>47687</v>
      </c>
      <c r="C164" s="11" t="str">
        <f>[2]Trucks!B161</f>
        <v>CLA-26-2806X4BB-C-M</v>
      </c>
      <c r="D164" s="19" t="str">
        <f>IFERROR(VLOOKUP(C164&amp;"",'[2]Retail Price List'!$A$3:$B$103,2,FALSE),"Special Order")</f>
        <v>KP000564</v>
      </c>
      <c r="E164" s="18" t="str">
        <f>[2]Trucks!J161</f>
        <v>CKD</v>
      </c>
      <c r="F164" s="12" t="str">
        <f>[2]Trucks!E161</f>
        <v>2018-03-10</v>
      </c>
      <c r="G164" s="56">
        <f>[2]Trucks!K161</f>
        <v>14.7</v>
      </c>
      <c r="H164" s="46">
        <f>[2]Trucks!I161</f>
        <v>42947</v>
      </c>
      <c r="I164" s="83" t="str">
        <f t="shared" si="10"/>
        <v>2017Q3</v>
      </c>
      <c r="J164" s="272">
        <f>IFERROR(VLOOKUP((D164&amp;C164)&amp;"",'[2]Retail Price List'!$C$4:$F$102,3,FALSE),"")</f>
        <v>1030000</v>
      </c>
      <c r="K164" s="272">
        <f>IFERROR(IF(BA164="WIP - 30 Days",VLOOKUP(D164,[3]Standard!$B$9:$E$101,4,FALSE),IF(BA164="31-120 Days",VLOOKUP(D164,[3]Standard!$B$9:$F$101,5,FALSE),IF(BA164="121-365 Days",VLOOKUP(D164,[3]Standard!$B$9:$G$101,6,FALSE),VLOOKUP(D164,[3]Standard!$B$9:$H$101,7,FALSE)))),0)</f>
        <v>795675</v>
      </c>
      <c r="L164" s="272">
        <f>IFERROR(IF(BA164="WIP - 30 Days",VLOOKUP(D164,[3]Standard!$B$9:$J$101,9,FALSE),IF(BA164="31-120 Days",VLOOKUP(D164,[3]Standard!$B$9:$K$100,10,FALSE),IF(BA164="121-365 Days",VLOOKUP(D164,[3]Standard!$B$9:$L$101,11,FALSE),VLOOKUP(D164,[3]Standard!$B$9:$M$101,12,FALSE)))),0)</f>
        <v>772500</v>
      </c>
      <c r="M164" s="269">
        <f>IFERROR(VLOOKUP((D164&amp;C164)&amp;"",'[2]Retail Price List'!$C$4:$F$102,4,FALSE),"")</f>
        <v>1047500</v>
      </c>
      <c r="N164" s="269">
        <f>IFERROR(IF(BA164="WIP - 30 Days",VLOOKUP(D164,[3]Extended!$B$9:$E$101,4,FALSE),IF(BA164="31-120 Days",VLOOKUP(D164,[3]Extended!$B$9:$F$101,5,FALSE),IF(BA164="121-365 Days",VLOOKUP(D164,[3]Extended!$B$9:$G$101,6,FALSE),VLOOKUP(D164,[3]Extended!$B$9:$H$101,7,FALSE)))),0)</f>
        <v>830772.25</v>
      </c>
      <c r="O164" s="269">
        <f>IFERROR(IF(BA164="WIP - 30 Days",VLOOKUP(D164,[3]Extended!$B$9:$J$101,9,FALSE),IF(BA164="31-120 Days",VLOOKUP(D164,[3]Extended!$B$9:$K$101,10,FALSE),IF(BA164="121-365 Days",VLOOKUP(D164,[3]Extended!$B$9:$L$101,11,FALSE),VLOOKUP(D164,[3]Extended!$B$9:$M$101,12,FALSE)))),0)</f>
        <v>806575</v>
      </c>
      <c r="P164" s="116">
        <f t="shared" si="11"/>
        <v>0.23</v>
      </c>
      <c r="Q164" s="110" t="e">
        <f>O164-#REF!</f>
        <v>#REF!</v>
      </c>
      <c r="W164" s="311"/>
      <c r="X164" s="311"/>
      <c r="Y164" s="311"/>
      <c r="Z164" s="311"/>
      <c r="AA164" s="311"/>
      <c r="AB164" s="311"/>
      <c r="AC164" s="311"/>
      <c r="AT164" s="88" t="str">
        <f t="shared" si="12"/>
        <v>KP0005642017Q314,7</v>
      </c>
      <c r="AU164" s="89" t="str">
        <f t="shared" si="13"/>
        <v>07-2017</v>
      </c>
      <c r="BA164" s="92" t="str">
        <f t="shared" si="14"/>
        <v>WIP - 30 Days</v>
      </c>
    </row>
    <row r="165" spans="1:56" s="4" customFormat="1">
      <c r="A165" s="69"/>
      <c r="B165" s="60">
        <f>[2]Trucks!A162</f>
        <v>47688</v>
      </c>
      <c r="C165" s="11" t="str">
        <f>[2]Trucks!B162</f>
        <v>CLA-26-2806X4BB-C-M</v>
      </c>
      <c r="D165" s="19" t="str">
        <f>IFERROR(VLOOKUP(C165&amp;"",'[2]Retail Price List'!$A$3:$B$103,2,FALSE),"Special Order")</f>
        <v>KP000564</v>
      </c>
      <c r="E165" s="18" t="str">
        <f>[2]Trucks!J162</f>
        <v>CKD</v>
      </c>
      <c r="F165" s="12" t="str">
        <f>[2]Trucks!E162</f>
        <v>2018-03-20</v>
      </c>
      <c r="G165" s="56">
        <f>[2]Trucks!K162</f>
        <v>14.7</v>
      </c>
      <c r="H165" s="46">
        <f>[2]Trucks!I162</f>
        <v>42947</v>
      </c>
      <c r="I165" s="83" t="str">
        <f t="shared" si="10"/>
        <v>2017Q3</v>
      </c>
      <c r="J165" s="272">
        <f>IFERROR(VLOOKUP((D165&amp;C165)&amp;"",'[2]Retail Price List'!$C$4:$F$102,3,FALSE),"")</f>
        <v>1030000</v>
      </c>
      <c r="K165" s="272">
        <f>IFERROR(IF(BA165="WIP - 30 Days",VLOOKUP(D165,[3]Standard!$B$9:$E$101,4,FALSE),IF(BA165="31-120 Days",VLOOKUP(D165,[3]Standard!$B$9:$F$101,5,FALSE),IF(BA165="121-365 Days",VLOOKUP(D165,[3]Standard!$B$9:$G$101,6,FALSE),VLOOKUP(D165,[3]Standard!$B$9:$H$101,7,FALSE)))),0)</f>
        <v>795675</v>
      </c>
      <c r="L165" s="272">
        <f>IFERROR(IF(BA165="WIP - 30 Days",VLOOKUP(D165,[3]Standard!$B$9:$J$101,9,FALSE),IF(BA165="31-120 Days",VLOOKUP(D165,[3]Standard!$B$9:$K$100,10,FALSE),IF(BA165="121-365 Days",VLOOKUP(D165,[3]Standard!$B$9:$L$101,11,FALSE),VLOOKUP(D165,[3]Standard!$B$9:$M$101,12,FALSE)))),0)</f>
        <v>772500</v>
      </c>
      <c r="M165" s="269">
        <f>IFERROR(VLOOKUP((D165&amp;C165)&amp;"",'[2]Retail Price List'!$C$4:$F$102,4,FALSE),"")</f>
        <v>1047500</v>
      </c>
      <c r="N165" s="269">
        <f>IFERROR(IF(BA165="WIP - 30 Days",VLOOKUP(D165,[3]Extended!$B$9:$E$101,4,FALSE),IF(BA165="31-120 Days",VLOOKUP(D165,[3]Extended!$B$9:$F$101,5,FALSE),IF(BA165="121-365 Days",VLOOKUP(D165,[3]Extended!$B$9:$G$101,6,FALSE),VLOOKUP(D165,[3]Extended!$B$9:$H$101,7,FALSE)))),0)</f>
        <v>830772.25</v>
      </c>
      <c r="O165" s="269">
        <f>IFERROR(IF(BA165="WIP - 30 Days",VLOOKUP(D165,[3]Extended!$B$9:$J$101,9,FALSE),IF(BA165="31-120 Days",VLOOKUP(D165,[3]Extended!$B$9:$K$101,10,FALSE),IF(BA165="121-365 Days",VLOOKUP(D165,[3]Extended!$B$9:$L$101,11,FALSE),VLOOKUP(D165,[3]Extended!$B$9:$M$101,12,FALSE)))),0)</f>
        <v>806575</v>
      </c>
      <c r="P165" s="116">
        <f t="shared" si="11"/>
        <v>0.23</v>
      </c>
      <c r="Q165" s="110" t="e">
        <f>O165-#REF!</f>
        <v>#REF!</v>
      </c>
      <c r="R165" s="111" t="e">
        <f>SUM(Q161:Q164)/SUM(O161:O164)</f>
        <v>#REF!</v>
      </c>
      <c r="S165" s="112"/>
      <c r="T165" s="112"/>
      <c r="U165" s="112"/>
      <c r="V165" s="112"/>
      <c r="W165" s="311"/>
      <c r="X165" s="311"/>
      <c r="Y165" s="311"/>
      <c r="Z165" s="311"/>
      <c r="AA165" s="311"/>
      <c r="AB165" s="311"/>
      <c r="AC165" s="311"/>
      <c r="AD165" s="89"/>
      <c r="AE165" s="89"/>
      <c r="AF165" s="89"/>
      <c r="AG165" s="5"/>
      <c r="AH165" s="5"/>
      <c r="AI165" s="5"/>
      <c r="AJ165" s="5"/>
      <c r="AK165" s="5"/>
      <c r="AL165" s="5"/>
      <c r="AM165" s="5"/>
      <c r="AN165" s="5"/>
      <c r="AO165" s="5"/>
      <c r="AP165" s="5"/>
      <c r="AQ165" s="5"/>
      <c r="AR165" s="5"/>
      <c r="AS165" s="5"/>
      <c r="AT165" s="88" t="str">
        <f t="shared" si="12"/>
        <v>KP0005642017Q314,7</v>
      </c>
      <c r="AU165" s="89" t="str">
        <f t="shared" si="13"/>
        <v>07-2017</v>
      </c>
      <c r="AV165" s="89"/>
      <c r="AW165" s="89"/>
      <c r="AX165" s="89"/>
      <c r="AY165" s="89"/>
      <c r="AZ165" s="89"/>
      <c r="BA165" s="92" t="str">
        <f t="shared" si="14"/>
        <v>WIP - 30 Days</v>
      </c>
      <c r="BB165" s="89"/>
      <c r="BC165" s="97"/>
      <c r="BD165" s="97"/>
    </row>
    <row r="166" spans="1:56">
      <c r="B166" s="60">
        <f>[2]Trucks!A163</f>
        <v>47689</v>
      </c>
      <c r="C166" s="11" t="str">
        <f>[2]Trucks!B163</f>
        <v>CLA-26-2806X4BB-C-M</v>
      </c>
      <c r="D166" s="19" t="str">
        <f>IFERROR(VLOOKUP(C166&amp;"",'[2]Retail Price List'!$A$3:$B$103,2,FALSE),"Special Order")</f>
        <v>KP000564</v>
      </c>
      <c r="E166" s="18" t="str">
        <f>[2]Trucks!J163</f>
        <v>CKD</v>
      </c>
      <c r="F166" s="12" t="str">
        <f>[2]Trucks!E163</f>
        <v>2018-03-20</v>
      </c>
      <c r="G166" s="56">
        <f>[2]Trucks!K163</f>
        <v>14.7</v>
      </c>
      <c r="H166" s="46">
        <f>[2]Trucks!I163</f>
        <v>42947</v>
      </c>
      <c r="I166" s="83" t="str">
        <f t="shared" si="10"/>
        <v>2017Q3</v>
      </c>
      <c r="J166" s="272">
        <f>IFERROR(VLOOKUP((D166&amp;C166)&amp;"",'[2]Retail Price List'!$C$4:$F$102,3,FALSE),"")</f>
        <v>1030000</v>
      </c>
      <c r="K166" s="272">
        <f>IFERROR(IF(BA166="WIP - 30 Days",VLOOKUP(D166,[3]Standard!$B$9:$E$101,4,FALSE),IF(BA166="31-120 Days",VLOOKUP(D166,[3]Standard!$B$9:$F$101,5,FALSE),IF(BA166="121-365 Days",VLOOKUP(D166,[3]Standard!$B$9:$G$101,6,FALSE),VLOOKUP(D166,[3]Standard!$B$9:$H$101,7,FALSE)))),0)</f>
        <v>795675</v>
      </c>
      <c r="L166" s="272">
        <f>IFERROR(IF(BA166="WIP - 30 Days",VLOOKUP(D166,[3]Standard!$B$9:$J$101,9,FALSE),IF(BA166="31-120 Days",VLOOKUP(D166,[3]Standard!$B$9:$K$100,10,FALSE),IF(BA166="121-365 Days",VLOOKUP(D166,[3]Standard!$B$9:$L$101,11,FALSE),VLOOKUP(D166,[3]Standard!$B$9:$M$101,12,FALSE)))),0)</f>
        <v>772500</v>
      </c>
      <c r="M166" s="269">
        <f>IFERROR(VLOOKUP((D166&amp;C166)&amp;"",'[2]Retail Price List'!$C$4:$F$102,4,FALSE),"")</f>
        <v>1047500</v>
      </c>
      <c r="N166" s="269">
        <f>IFERROR(IF(BA166="WIP - 30 Days",VLOOKUP(D166,[3]Extended!$B$9:$E$101,4,FALSE),IF(BA166="31-120 Days",VLOOKUP(D166,[3]Extended!$B$9:$F$101,5,FALSE),IF(BA166="121-365 Days",VLOOKUP(D166,[3]Extended!$B$9:$G$101,6,FALSE),VLOOKUP(D166,[3]Extended!$B$9:$H$101,7,FALSE)))),0)</f>
        <v>830772.25</v>
      </c>
      <c r="O166" s="269">
        <f>IFERROR(IF(BA166="WIP - 30 Days",VLOOKUP(D166,[3]Extended!$B$9:$J$101,9,FALSE),IF(BA166="31-120 Days",VLOOKUP(D166,[3]Extended!$B$9:$K$101,10,FALSE),IF(BA166="121-365 Days",VLOOKUP(D166,[3]Extended!$B$9:$L$101,11,FALSE),VLOOKUP(D166,[3]Extended!$B$9:$M$101,12,FALSE)))),0)</f>
        <v>806575</v>
      </c>
      <c r="P166" s="116">
        <f t="shared" si="11"/>
        <v>0.23</v>
      </c>
      <c r="Q166" s="110" t="e">
        <f>O166-#REF!</f>
        <v>#REF!</v>
      </c>
      <c r="W166" s="311"/>
      <c r="X166" s="311"/>
      <c r="Y166" s="311"/>
      <c r="Z166" s="311"/>
      <c r="AA166" s="311"/>
      <c r="AB166" s="311"/>
      <c r="AC166" s="311"/>
      <c r="AT166" s="88" t="str">
        <f t="shared" si="12"/>
        <v>KP0005642017Q314,7</v>
      </c>
      <c r="AU166" s="89" t="str">
        <f t="shared" si="13"/>
        <v>07-2017</v>
      </c>
      <c r="BA166" s="92" t="str">
        <f t="shared" si="14"/>
        <v>WIP - 30 Days</v>
      </c>
    </row>
    <row r="167" spans="1:56" s="4" customFormat="1">
      <c r="A167" s="69"/>
      <c r="B167" s="60">
        <f>[2]Trucks!A164</f>
        <v>47690</v>
      </c>
      <c r="C167" s="11" t="str">
        <f>[2]Trucks!B164</f>
        <v>CLA-26-2806X4BB-C-M</v>
      </c>
      <c r="D167" s="19" t="str">
        <f>IFERROR(VLOOKUP(C167&amp;"",'[2]Retail Price List'!$A$3:$B$103,2,FALSE),"Special Order")</f>
        <v>KP000564</v>
      </c>
      <c r="E167" s="18" t="str">
        <f>[2]Trucks!J164</f>
        <v>CKD</v>
      </c>
      <c r="F167" s="12" t="str">
        <f>[2]Trucks!E164</f>
        <v>2018-03-20</v>
      </c>
      <c r="G167" s="56">
        <f>[2]Trucks!K164</f>
        <v>14.7</v>
      </c>
      <c r="H167" s="46">
        <f>[2]Trucks!I164</f>
        <v>42947</v>
      </c>
      <c r="I167" s="83" t="str">
        <f t="shared" si="10"/>
        <v>2017Q3</v>
      </c>
      <c r="J167" s="272">
        <f>IFERROR(VLOOKUP((D167&amp;C167)&amp;"",'[2]Retail Price List'!$C$4:$F$102,3,FALSE),"")</f>
        <v>1030000</v>
      </c>
      <c r="K167" s="272">
        <f>IFERROR(IF(BA167="WIP - 30 Days",VLOOKUP(D167,[3]Standard!$B$9:$E$101,4,FALSE),IF(BA167="31-120 Days",VLOOKUP(D167,[3]Standard!$B$9:$F$101,5,FALSE),IF(BA167="121-365 Days",VLOOKUP(D167,[3]Standard!$B$9:$G$101,6,FALSE),VLOOKUP(D167,[3]Standard!$B$9:$H$101,7,FALSE)))),0)</f>
        <v>795675</v>
      </c>
      <c r="L167" s="272">
        <f>IFERROR(IF(BA167="WIP - 30 Days",VLOOKUP(D167,[3]Standard!$B$9:$J$101,9,FALSE),IF(BA167="31-120 Days",VLOOKUP(D167,[3]Standard!$B$9:$K$100,10,FALSE),IF(BA167="121-365 Days",VLOOKUP(D167,[3]Standard!$B$9:$L$101,11,FALSE),VLOOKUP(D167,[3]Standard!$B$9:$M$101,12,FALSE)))),0)</f>
        <v>772500</v>
      </c>
      <c r="M167" s="269">
        <f>IFERROR(VLOOKUP((D167&amp;C167)&amp;"",'[2]Retail Price List'!$C$4:$F$102,4,FALSE),"")</f>
        <v>1047500</v>
      </c>
      <c r="N167" s="269">
        <f>IFERROR(IF(BA167="WIP - 30 Days",VLOOKUP(D167,[3]Extended!$B$9:$E$101,4,FALSE),IF(BA167="31-120 Days",VLOOKUP(D167,[3]Extended!$B$9:$F$101,5,FALSE),IF(BA167="121-365 Days",VLOOKUP(D167,[3]Extended!$B$9:$G$101,6,FALSE),VLOOKUP(D167,[3]Extended!$B$9:$H$101,7,FALSE)))),0)</f>
        <v>830772.25</v>
      </c>
      <c r="O167" s="269">
        <f>IFERROR(IF(BA167="WIP - 30 Days",VLOOKUP(D167,[3]Extended!$B$9:$J$101,9,FALSE),IF(BA167="31-120 Days",VLOOKUP(D167,[3]Extended!$B$9:$K$101,10,FALSE),IF(BA167="121-365 Days",VLOOKUP(D167,[3]Extended!$B$9:$L$101,11,FALSE),VLOOKUP(D167,[3]Extended!$B$9:$M$101,12,FALSE)))),0)</f>
        <v>806575</v>
      </c>
      <c r="P167" s="116">
        <f t="shared" si="11"/>
        <v>0.23</v>
      </c>
      <c r="Q167" s="110" t="e">
        <f>O167-#REF!</f>
        <v>#REF!</v>
      </c>
      <c r="R167" s="111" t="e">
        <f>Q166/O166</f>
        <v>#REF!</v>
      </c>
      <c r="S167" s="112"/>
      <c r="T167" s="112"/>
      <c r="U167" s="112"/>
      <c r="V167" s="112"/>
      <c r="W167" s="311"/>
      <c r="X167" s="311"/>
      <c r="Y167" s="311"/>
      <c r="Z167" s="311"/>
      <c r="AA167" s="311"/>
      <c r="AB167" s="311"/>
      <c r="AC167" s="311"/>
      <c r="AD167" s="89"/>
      <c r="AE167" s="89"/>
      <c r="AF167" s="89"/>
      <c r="AG167" s="5"/>
      <c r="AH167" s="5"/>
      <c r="AI167" s="5"/>
      <c r="AJ167" s="5"/>
      <c r="AK167" s="5"/>
      <c r="AL167" s="5"/>
      <c r="AM167" s="5"/>
      <c r="AN167" s="5"/>
      <c r="AO167" s="5"/>
      <c r="AP167" s="5"/>
      <c r="AQ167" s="5"/>
      <c r="AR167" s="5"/>
      <c r="AS167" s="5"/>
      <c r="AT167" s="88" t="str">
        <f t="shared" si="12"/>
        <v>KP0005642017Q314,7</v>
      </c>
      <c r="AU167" s="89" t="str">
        <f t="shared" si="13"/>
        <v>07-2017</v>
      </c>
      <c r="AV167" s="89"/>
      <c r="AW167" s="89"/>
      <c r="AX167" s="89"/>
      <c r="AY167" s="89"/>
      <c r="AZ167" s="89"/>
      <c r="BA167" s="92" t="str">
        <f t="shared" si="14"/>
        <v>WIP - 30 Days</v>
      </c>
      <c r="BB167" s="89"/>
      <c r="BC167" s="97"/>
      <c r="BD167" s="97"/>
    </row>
    <row r="168" spans="1:56">
      <c r="B168" s="60">
        <f>[2]Trucks!A165</f>
        <v>47691</v>
      </c>
      <c r="C168" s="11" t="str">
        <f>[2]Trucks!B165</f>
        <v>CLA-26-2806X4BB-C-M</v>
      </c>
      <c r="D168" s="19" t="str">
        <f>IFERROR(VLOOKUP(C168&amp;"",'[2]Retail Price List'!$A$3:$B$103,2,FALSE),"Special Order")</f>
        <v>KP000564</v>
      </c>
      <c r="E168" s="18" t="str">
        <f>[2]Trucks!J165</f>
        <v>CKD</v>
      </c>
      <c r="F168" s="12" t="str">
        <f>[2]Trucks!E165</f>
        <v>2018-03-20</v>
      </c>
      <c r="G168" s="56">
        <f>[2]Trucks!K165</f>
        <v>14.7</v>
      </c>
      <c r="H168" s="46">
        <f>[2]Trucks!I165</f>
        <v>42947</v>
      </c>
      <c r="I168" s="83" t="str">
        <f t="shared" si="10"/>
        <v>2017Q3</v>
      </c>
      <c r="J168" s="272">
        <f>IFERROR(VLOOKUP((D168&amp;C168)&amp;"",'[2]Retail Price List'!$C$4:$F$102,3,FALSE),"")</f>
        <v>1030000</v>
      </c>
      <c r="K168" s="272">
        <f>IFERROR(IF(BA168="WIP - 30 Days",VLOOKUP(D168,[3]Standard!$B$9:$E$101,4,FALSE),IF(BA168="31-120 Days",VLOOKUP(D168,[3]Standard!$B$9:$F$101,5,FALSE),IF(BA168="121-365 Days",VLOOKUP(D168,[3]Standard!$B$9:$G$101,6,FALSE),VLOOKUP(D168,[3]Standard!$B$9:$H$101,7,FALSE)))),0)</f>
        <v>795675</v>
      </c>
      <c r="L168" s="272">
        <f>IFERROR(IF(BA168="WIP - 30 Days",VLOOKUP(D168,[3]Standard!$B$9:$J$101,9,FALSE),IF(BA168="31-120 Days",VLOOKUP(D168,[3]Standard!$B$9:$K$100,10,FALSE),IF(BA168="121-365 Days",VLOOKUP(D168,[3]Standard!$B$9:$L$101,11,FALSE),VLOOKUP(D168,[3]Standard!$B$9:$M$101,12,FALSE)))),0)</f>
        <v>772500</v>
      </c>
      <c r="M168" s="269">
        <f>IFERROR(VLOOKUP((D168&amp;C168)&amp;"",'[2]Retail Price List'!$C$4:$F$102,4,FALSE),"")</f>
        <v>1047500</v>
      </c>
      <c r="N168" s="269">
        <f>IFERROR(IF(BA168="WIP - 30 Days",VLOOKUP(D168,[3]Extended!$B$9:$E$101,4,FALSE),IF(BA168="31-120 Days",VLOOKUP(D168,[3]Extended!$B$9:$F$101,5,FALSE),IF(BA168="121-365 Days",VLOOKUP(D168,[3]Extended!$B$9:$G$101,6,FALSE),VLOOKUP(D168,[3]Extended!$B$9:$H$101,7,FALSE)))),0)</f>
        <v>830772.25</v>
      </c>
      <c r="O168" s="269">
        <f>IFERROR(IF(BA168="WIP - 30 Days",VLOOKUP(D168,[3]Extended!$B$9:$J$101,9,FALSE),IF(BA168="31-120 Days",VLOOKUP(D168,[3]Extended!$B$9:$K$101,10,FALSE),IF(BA168="121-365 Days",VLOOKUP(D168,[3]Extended!$B$9:$L$101,11,FALSE),VLOOKUP(D168,[3]Extended!$B$9:$M$101,12,FALSE)))),0)</f>
        <v>806575</v>
      </c>
      <c r="P168" s="116">
        <f t="shared" si="11"/>
        <v>0.23</v>
      </c>
      <c r="Q168" s="110" t="e">
        <f>O168-#REF!</f>
        <v>#REF!</v>
      </c>
      <c r="W168" s="311"/>
      <c r="X168" s="311"/>
      <c r="Y168" s="311"/>
      <c r="Z168" s="311"/>
      <c r="AA168" s="311"/>
      <c r="AB168" s="311"/>
      <c r="AC168" s="311"/>
      <c r="AT168" s="88" t="str">
        <f t="shared" si="12"/>
        <v>KP0005642017Q314,7</v>
      </c>
      <c r="AU168" s="89" t="str">
        <f t="shared" si="13"/>
        <v>07-2017</v>
      </c>
      <c r="BA168" s="92" t="str">
        <f t="shared" si="14"/>
        <v>WIP - 30 Days</v>
      </c>
    </row>
    <row r="169" spans="1:56">
      <c r="B169" s="60">
        <f>[2]Trucks!A166</f>
        <v>47692</v>
      </c>
      <c r="C169" s="11" t="str">
        <f>[2]Trucks!B166</f>
        <v>CLA-26-2806X4BB-C-M</v>
      </c>
      <c r="D169" s="19" t="str">
        <f>IFERROR(VLOOKUP(C169&amp;"",'[2]Retail Price List'!$A$3:$B$103,2,FALSE),"Special Order")</f>
        <v>KP000564</v>
      </c>
      <c r="E169" s="18" t="str">
        <f>[2]Trucks!J166</f>
        <v>CKD</v>
      </c>
      <c r="F169" s="12" t="str">
        <f>[2]Trucks!E166</f>
        <v>2018-03-20</v>
      </c>
      <c r="G169" s="56">
        <f>[2]Trucks!K166</f>
        <v>14.7</v>
      </c>
      <c r="H169" s="46">
        <f>[2]Trucks!I166</f>
        <v>42947</v>
      </c>
      <c r="I169" s="83" t="str">
        <f t="shared" si="10"/>
        <v>2017Q3</v>
      </c>
      <c r="J169" s="272">
        <f>IFERROR(VLOOKUP((D169&amp;C169)&amp;"",'[2]Retail Price List'!$C$4:$F$102,3,FALSE),"")</f>
        <v>1030000</v>
      </c>
      <c r="K169" s="272">
        <f>IFERROR(IF(BA169="WIP - 30 Days",VLOOKUP(D169,[3]Standard!$B$9:$E$101,4,FALSE),IF(BA169="31-120 Days",VLOOKUP(D169,[3]Standard!$B$9:$F$101,5,FALSE),IF(BA169="121-365 Days",VLOOKUP(D169,[3]Standard!$B$9:$G$101,6,FALSE),VLOOKUP(D169,[3]Standard!$B$9:$H$101,7,FALSE)))),0)</f>
        <v>795675</v>
      </c>
      <c r="L169" s="272">
        <f>IFERROR(IF(BA169="WIP - 30 Days",VLOOKUP(D169,[3]Standard!$B$9:$J$101,9,FALSE),IF(BA169="31-120 Days",VLOOKUP(D169,[3]Standard!$B$9:$K$100,10,FALSE),IF(BA169="121-365 Days",VLOOKUP(D169,[3]Standard!$B$9:$L$101,11,FALSE),VLOOKUP(D169,[3]Standard!$B$9:$M$101,12,FALSE)))),0)</f>
        <v>772500</v>
      </c>
      <c r="M169" s="269">
        <f>IFERROR(VLOOKUP((D169&amp;C169)&amp;"",'[2]Retail Price List'!$C$4:$F$102,4,FALSE),"")</f>
        <v>1047500</v>
      </c>
      <c r="N169" s="269">
        <f>IFERROR(IF(BA169="WIP - 30 Days",VLOOKUP(D169,[3]Extended!$B$9:$E$101,4,FALSE),IF(BA169="31-120 Days",VLOOKUP(D169,[3]Extended!$B$9:$F$101,5,FALSE),IF(BA169="121-365 Days",VLOOKUP(D169,[3]Extended!$B$9:$G$101,6,FALSE),VLOOKUP(D169,[3]Extended!$B$9:$H$101,7,FALSE)))),0)</f>
        <v>830772.25</v>
      </c>
      <c r="O169" s="269">
        <f>IFERROR(IF(BA169="WIP - 30 Days",VLOOKUP(D169,[3]Extended!$B$9:$J$101,9,FALSE),IF(BA169="31-120 Days",VLOOKUP(D169,[3]Extended!$B$9:$K$101,10,FALSE),IF(BA169="121-365 Days",VLOOKUP(D169,[3]Extended!$B$9:$L$101,11,FALSE),VLOOKUP(D169,[3]Extended!$B$9:$M$101,12,FALSE)))),0)</f>
        <v>806575</v>
      </c>
      <c r="P169" s="116">
        <f t="shared" si="11"/>
        <v>0.23</v>
      </c>
      <c r="Q169" s="110" t="e">
        <f>O169-#REF!</f>
        <v>#REF!</v>
      </c>
      <c r="W169" s="311"/>
      <c r="X169" s="311"/>
      <c r="Y169" s="311"/>
      <c r="Z169" s="311"/>
      <c r="AA169" s="311"/>
      <c r="AB169" s="311"/>
      <c r="AC169" s="311"/>
      <c r="AT169" s="88" t="str">
        <f t="shared" si="12"/>
        <v>KP0005642017Q314,7</v>
      </c>
      <c r="AU169" s="89" t="str">
        <f t="shared" si="13"/>
        <v>07-2017</v>
      </c>
      <c r="BA169" s="92" t="str">
        <f t="shared" si="14"/>
        <v>WIP - 30 Days</v>
      </c>
    </row>
    <row r="170" spans="1:56" s="4" customFormat="1">
      <c r="A170" s="69"/>
      <c r="B170" s="60">
        <f>[2]Trucks!A167</f>
        <v>47693</v>
      </c>
      <c r="C170" s="11" t="str">
        <f>[2]Trucks!B167</f>
        <v>CLA-26-2806X4BB-C-M</v>
      </c>
      <c r="D170" s="19" t="str">
        <f>IFERROR(VLOOKUP(C170&amp;"",'[2]Retail Price List'!$A$3:$B$103,2,FALSE),"Special Order")</f>
        <v>KP000564</v>
      </c>
      <c r="E170" s="18" t="str">
        <f>[2]Trucks!J167</f>
        <v>CKD</v>
      </c>
      <c r="F170" s="12" t="str">
        <f>[2]Trucks!E167</f>
        <v>2018-03-20</v>
      </c>
      <c r="G170" s="56">
        <f>[2]Trucks!K167</f>
        <v>14.7</v>
      </c>
      <c r="H170" s="46">
        <f>[2]Trucks!I167</f>
        <v>42947</v>
      </c>
      <c r="I170" s="83" t="str">
        <f t="shared" si="10"/>
        <v>2017Q3</v>
      </c>
      <c r="J170" s="272">
        <f>IFERROR(VLOOKUP((D170&amp;C170)&amp;"",'[2]Retail Price List'!$C$4:$F$102,3,FALSE),"")</f>
        <v>1030000</v>
      </c>
      <c r="K170" s="272">
        <f>IFERROR(IF(BA170="WIP - 30 Days",VLOOKUP(D170,[3]Standard!$B$9:$E$101,4,FALSE),IF(BA170="31-120 Days",VLOOKUP(D170,[3]Standard!$B$9:$F$101,5,FALSE),IF(BA170="121-365 Days",VLOOKUP(D170,[3]Standard!$B$9:$G$101,6,FALSE),VLOOKUP(D170,[3]Standard!$B$9:$H$101,7,FALSE)))),0)</f>
        <v>795675</v>
      </c>
      <c r="L170" s="272">
        <f>IFERROR(IF(BA170="WIP - 30 Days",VLOOKUP(D170,[3]Standard!$B$9:$J$101,9,FALSE),IF(BA170="31-120 Days",VLOOKUP(D170,[3]Standard!$B$9:$K$100,10,FALSE),IF(BA170="121-365 Days",VLOOKUP(D170,[3]Standard!$B$9:$L$101,11,FALSE),VLOOKUP(D170,[3]Standard!$B$9:$M$101,12,FALSE)))),0)</f>
        <v>772500</v>
      </c>
      <c r="M170" s="269">
        <f>IFERROR(VLOOKUP((D170&amp;C170)&amp;"",'[2]Retail Price List'!$C$4:$F$102,4,FALSE),"")</f>
        <v>1047500</v>
      </c>
      <c r="N170" s="269">
        <f>IFERROR(IF(BA170="WIP - 30 Days",VLOOKUP(D170,[3]Extended!$B$9:$E$101,4,FALSE),IF(BA170="31-120 Days",VLOOKUP(D170,[3]Extended!$B$9:$F$101,5,FALSE),IF(BA170="121-365 Days",VLOOKUP(D170,[3]Extended!$B$9:$G$101,6,FALSE),VLOOKUP(D170,[3]Extended!$B$9:$H$101,7,FALSE)))),0)</f>
        <v>830772.25</v>
      </c>
      <c r="O170" s="269">
        <f>IFERROR(IF(BA170="WIP - 30 Days",VLOOKUP(D170,[3]Extended!$B$9:$J$101,9,FALSE),IF(BA170="31-120 Days",VLOOKUP(D170,[3]Extended!$B$9:$K$101,10,FALSE),IF(BA170="121-365 Days",VLOOKUP(D170,[3]Extended!$B$9:$L$101,11,FALSE),VLOOKUP(D170,[3]Extended!$B$9:$M$101,12,FALSE)))),0)</f>
        <v>806575</v>
      </c>
      <c r="P170" s="116">
        <f t="shared" si="11"/>
        <v>0.23</v>
      </c>
      <c r="Q170" s="110" t="e">
        <f>O170-#REF!</f>
        <v>#REF!</v>
      </c>
      <c r="R170" s="111" t="e">
        <f>SUM(Q168:Q169)/SUM(O168:O169)</f>
        <v>#REF!</v>
      </c>
      <c r="S170" s="112"/>
      <c r="T170" s="112"/>
      <c r="U170" s="112"/>
      <c r="V170" s="112"/>
      <c r="W170" s="311"/>
      <c r="X170" s="311"/>
      <c r="Y170" s="311"/>
      <c r="Z170" s="311"/>
      <c r="AA170" s="311"/>
      <c r="AB170" s="311"/>
      <c r="AC170" s="311"/>
      <c r="AD170" s="89"/>
      <c r="AE170" s="89"/>
      <c r="AF170" s="89"/>
      <c r="AG170" s="5"/>
      <c r="AH170" s="5"/>
      <c r="AI170" s="5"/>
      <c r="AJ170" s="5"/>
      <c r="AK170" s="5"/>
      <c r="AL170" s="5"/>
      <c r="AM170" s="5"/>
      <c r="AN170" s="5"/>
      <c r="AO170" s="5"/>
      <c r="AP170" s="5"/>
      <c r="AQ170" s="5"/>
      <c r="AR170" s="5"/>
      <c r="AS170" s="5"/>
      <c r="AT170" s="88" t="str">
        <f t="shared" si="12"/>
        <v>KP0005642017Q314,7</v>
      </c>
      <c r="AU170" s="89" t="str">
        <f t="shared" si="13"/>
        <v>07-2017</v>
      </c>
      <c r="AV170" s="89"/>
      <c r="AW170" s="89"/>
      <c r="AX170" s="89"/>
      <c r="AY170" s="89"/>
      <c r="AZ170" s="89"/>
      <c r="BA170" s="92" t="str">
        <f t="shared" si="14"/>
        <v>WIP - 30 Days</v>
      </c>
      <c r="BB170" s="89"/>
      <c r="BC170" s="97"/>
      <c r="BD170" s="97"/>
    </row>
    <row r="171" spans="1:56">
      <c r="B171" s="60" t="str">
        <f>[2]Trucks!A168</f>
        <v>MC6-1309</v>
      </c>
      <c r="C171" s="11" t="str">
        <f>[2]Trucks!B168</f>
        <v>CLA-26-2806X4BB-C-M</v>
      </c>
      <c r="D171" s="19" t="str">
        <f>IFERROR(VLOOKUP(C171&amp;"",'[2]Retail Price List'!$A$3:$B$103,2,FALSE),"Special Order")</f>
        <v>KP000564</v>
      </c>
      <c r="E171" s="18" t="str">
        <f>[2]Trucks!J168</f>
        <v>DEMO</v>
      </c>
      <c r="F171" s="12">
        <f>[2]Trucks!E168</f>
        <v>133</v>
      </c>
      <c r="G171" s="56">
        <f>[2]Trucks!K168</f>
        <v>16</v>
      </c>
      <c r="H171" s="46">
        <f>[2]Trucks!I168</f>
        <v>42648</v>
      </c>
      <c r="I171" s="83" t="str">
        <f t="shared" si="10"/>
        <v>201610Q4</v>
      </c>
      <c r="J171" s="272">
        <f>IFERROR(VLOOKUP((D171&amp;C171)&amp;"",'[2]Retail Price List'!$C$4:$F$102,3,FALSE),"")</f>
        <v>1030000</v>
      </c>
      <c r="K171" s="272">
        <f>IFERROR(IF(BA171="WIP - 30 Days",VLOOKUP(D171,[3]Standard!$B$9:$E$101,4,FALSE),IF(BA171="31-120 Days",VLOOKUP(D171,[3]Standard!$B$9:$F$101,5,FALSE),IF(BA171="121-365 Days",VLOOKUP(D171,[3]Standard!$B$9:$G$101,6,FALSE),VLOOKUP(D171,[3]Standard!$B$9:$H$101,7,FALSE)))),0)</f>
        <v>774457</v>
      </c>
      <c r="L171" s="272">
        <f>IFERROR(IF(BA171="WIP - 30 Days",VLOOKUP(D171,[3]Standard!$B$9:$J$101,9,FALSE),IF(BA171="31-120 Days",VLOOKUP(D171,[3]Standard!$B$9:$K$100,10,FALSE),IF(BA171="121-365 Days",VLOOKUP(D171,[3]Standard!$B$9:$L$101,11,FALSE),VLOOKUP(D171,[3]Standard!$B$9:$M$101,12,FALSE)))),0)</f>
        <v>751900</v>
      </c>
      <c r="M171" s="269">
        <f>IFERROR(VLOOKUP((D171&amp;C171)&amp;"",'[2]Retail Price List'!$C$4:$F$102,4,FALSE),"")</f>
        <v>1047500</v>
      </c>
      <c r="N171" s="269">
        <f>IFERROR(IF(BA171="WIP - 30 Days",VLOOKUP(D171,[3]Extended!$B$9:$E$101,4,FALSE),IF(BA171="31-120 Days",VLOOKUP(D171,[3]Extended!$B$9:$F$101,5,FALSE),IF(BA171="121-365 Days",VLOOKUP(D171,[3]Extended!$B$9:$G$101,6,FALSE),VLOOKUP(D171,[3]Extended!$B$9:$H$101,7,FALSE)))),0)</f>
        <v>809193.75</v>
      </c>
      <c r="O171" s="269">
        <f>IFERROR(IF(BA171="WIP - 30 Days",VLOOKUP(D171,[3]Extended!$B$9:$J$101,9,FALSE),IF(BA171="31-120 Days",VLOOKUP(D171,[3]Extended!$B$9:$K$101,10,FALSE),IF(BA171="121-365 Days",VLOOKUP(D171,[3]Extended!$B$9:$L$101,11,FALSE),VLOOKUP(D171,[3]Extended!$B$9:$M$101,12,FALSE)))),0)</f>
        <v>785625</v>
      </c>
      <c r="P171" s="116">
        <f t="shared" si="11"/>
        <v>0.25</v>
      </c>
      <c r="Q171" s="110" t="e">
        <f>O171-#REF!</f>
        <v>#REF!</v>
      </c>
      <c r="W171" s="311"/>
      <c r="X171" s="311"/>
      <c r="Y171" s="311"/>
      <c r="Z171" s="311"/>
      <c r="AA171" s="311"/>
      <c r="AB171" s="311"/>
      <c r="AC171" s="311"/>
      <c r="AT171" s="88" t="str">
        <f t="shared" si="12"/>
        <v>KP000564201610Q416</v>
      </c>
      <c r="AU171" s="89" t="str">
        <f t="shared" si="13"/>
        <v>10-2016</v>
      </c>
      <c r="BA171" s="92" t="str">
        <f t="shared" si="14"/>
        <v>121-365 Days</v>
      </c>
    </row>
    <row r="172" spans="1:56">
      <c r="B172" s="60" t="str">
        <f>[2]Trucks!A169</f>
        <v>TBAKP564</v>
      </c>
      <c r="C172" s="11" t="str">
        <f>[2]Trucks!B169</f>
        <v>CLA-26-2806X4BB-C-M</v>
      </c>
      <c r="D172" s="19" t="str">
        <f>IFERROR(VLOOKUP(C172&amp;"",'[2]Retail Price List'!$A$3:$B$103,2,FALSE),"Special Order")</f>
        <v>KP000564</v>
      </c>
      <c r="E172" s="18" t="str">
        <f>[2]Trucks!J169</f>
        <v>CKD</v>
      </c>
      <c r="F172" s="12" t="str">
        <f>[2]Trucks!E169</f>
        <v>2018-02-15</v>
      </c>
      <c r="G172" s="56">
        <f>[2]Trucks!K169</f>
        <v>14.7</v>
      </c>
      <c r="H172" s="46">
        <f>[2]Trucks!I169</f>
        <v>42921</v>
      </c>
      <c r="I172" s="83" t="str">
        <f t="shared" si="10"/>
        <v>2017Q3</v>
      </c>
      <c r="J172" s="272">
        <f>IFERROR(VLOOKUP((D172&amp;C172)&amp;"",'[2]Retail Price List'!$C$4:$F$102,3,FALSE),"")</f>
        <v>1030000</v>
      </c>
      <c r="K172" s="272">
        <f>IFERROR(IF(BA172="WIP - 30 Days",VLOOKUP(D172,[3]Standard!$B$9:$E$101,4,FALSE),IF(BA172="31-120 Days",VLOOKUP(D172,[3]Standard!$B$9:$F$101,5,FALSE),IF(BA172="121-365 Days",VLOOKUP(D172,[3]Standard!$B$9:$G$101,6,FALSE),VLOOKUP(D172,[3]Standard!$B$9:$H$101,7,FALSE)))),0)</f>
        <v>795675</v>
      </c>
      <c r="L172" s="272">
        <f>IFERROR(IF(BA172="WIP - 30 Days",VLOOKUP(D172,[3]Standard!$B$9:$J$101,9,FALSE),IF(BA172="31-120 Days",VLOOKUP(D172,[3]Standard!$B$9:$K$100,10,FALSE),IF(BA172="121-365 Days",VLOOKUP(D172,[3]Standard!$B$9:$L$101,11,FALSE),VLOOKUP(D172,[3]Standard!$B$9:$M$101,12,FALSE)))),0)</f>
        <v>772500</v>
      </c>
      <c r="M172" s="269">
        <f>IFERROR(VLOOKUP((D172&amp;C172)&amp;"",'[2]Retail Price List'!$C$4:$F$102,4,FALSE),"")</f>
        <v>1047500</v>
      </c>
      <c r="N172" s="269">
        <f>IFERROR(IF(BA172="WIP - 30 Days",VLOOKUP(D172,[3]Extended!$B$9:$E$101,4,FALSE),IF(BA172="31-120 Days",VLOOKUP(D172,[3]Extended!$B$9:$F$101,5,FALSE),IF(BA172="121-365 Days",VLOOKUP(D172,[3]Extended!$B$9:$G$101,6,FALSE),VLOOKUP(D172,[3]Extended!$B$9:$H$101,7,FALSE)))),0)</f>
        <v>830772.25</v>
      </c>
      <c r="O172" s="269">
        <f>IFERROR(IF(BA172="WIP - 30 Days",VLOOKUP(D172,[3]Extended!$B$9:$J$101,9,FALSE),IF(BA172="31-120 Days",VLOOKUP(D172,[3]Extended!$B$9:$K$101,10,FALSE),IF(BA172="121-365 Days",VLOOKUP(D172,[3]Extended!$B$9:$L$101,11,FALSE),VLOOKUP(D172,[3]Extended!$B$9:$M$101,12,FALSE)))),0)</f>
        <v>806575</v>
      </c>
      <c r="P172" s="116">
        <f t="shared" si="11"/>
        <v>0.23</v>
      </c>
      <c r="Q172" s="110" t="e">
        <f>O172-#REF!</f>
        <v>#REF!</v>
      </c>
      <c r="W172" s="311"/>
      <c r="X172" s="311"/>
      <c r="Y172" s="311"/>
      <c r="Z172" s="311"/>
      <c r="AA172" s="311"/>
      <c r="AB172" s="311"/>
      <c r="AC172" s="311"/>
      <c r="AT172" s="88" t="str">
        <f t="shared" si="12"/>
        <v>KP0005642017Q314,7</v>
      </c>
      <c r="AU172" s="89" t="str">
        <f t="shared" si="13"/>
        <v>07-2017</v>
      </c>
      <c r="BA172" s="92" t="str">
        <f t="shared" si="14"/>
        <v>WIP - 30 Days</v>
      </c>
    </row>
    <row r="173" spans="1:56" s="4" customFormat="1">
      <c r="A173" s="69"/>
      <c r="B173" s="60" t="str">
        <f>[2]Trucks!A170</f>
        <v>N63-0275</v>
      </c>
      <c r="C173" s="11" t="str">
        <f>[2]Trucks!B170</f>
        <v>TGM-15-2404X2BL-C</v>
      </c>
      <c r="D173" s="19" t="str">
        <f>IFERROR(VLOOKUP(C173&amp;"",'[2]Retail Price List'!$A$3:$B$103,2,FALSE),"Special Order")</f>
        <v>KP000758</v>
      </c>
      <c r="E173" s="18" t="str">
        <f>[2]Trucks!J170</f>
        <v>UNSOLD</v>
      </c>
      <c r="F173" s="12">
        <f>[2]Trucks!E170</f>
        <v>21</v>
      </c>
      <c r="G173" s="56">
        <f>[2]Trucks!K170</f>
        <v>15.4</v>
      </c>
      <c r="H173" s="46">
        <f>[2]Trucks!I170</f>
        <v>42751</v>
      </c>
      <c r="I173" s="83" t="str">
        <f t="shared" si="10"/>
        <v>2017Q1</v>
      </c>
      <c r="J173" s="272">
        <f>IFERROR(VLOOKUP((D173&amp;C173)&amp;"",'[2]Retail Price List'!$C$4:$F$102,3,FALSE),"")</f>
        <v>860000</v>
      </c>
      <c r="K173" s="272">
        <f>IFERROR(IF(BA173="WIP - 30 Days",VLOOKUP(D173,[3]Standard!$B$9:$E$101,4,FALSE),IF(BA173="31-120 Days",VLOOKUP(D173,[3]Standard!$B$9:$F$101,5,FALSE),IF(BA173="121-365 Days",VLOOKUP(D173,[3]Standard!$B$9:$G$101,6,FALSE),VLOOKUP(D173,[3]Standard!$B$9:$H$101,7,FALSE)))),0)</f>
        <v>770646</v>
      </c>
      <c r="L173" s="272">
        <f>IFERROR(IF(BA173="WIP - 30 Days",VLOOKUP(D173,[3]Standard!$B$9:$J$101,9,FALSE),IF(BA173="31-120 Days",VLOOKUP(D173,[3]Standard!$B$9:$K$100,10,FALSE),IF(BA173="121-365 Days",VLOOKUP(D173,[3]Standard!$B$9:$L$101,11,FALSE),VLOOKUP(D173,[3]Standard!$B$9:$M$101,12,FALSE)))),0)</f>
        <v>748200</v>
      </c>
      <c r="M173" s="269">
        <f>IFERROR(VLOOKUP((D173&amp;C173)&amp;"",'[2]Retail Price List'!$C$4:$F$102,4,FALSE),"")</f>
        <v>875000</v>
      </c>
      <c r="N173" s="269">
        <f>IFERROR(IF(BA173="WIP - 30 Days",VLOOKUP(D173,[3]Extended!$B$9:$E$101,4,FALSE),IF(BA173="31-120 Days",VLOOKUP(D173,[3]Extended!$B$9:$F$101,5,FALSE),IF(BA173="121-365 Days",VLOOKUP(D173,[3]Extended!$B$9:$G$101,6,FALSE),VLOOKUP(D173,[3]Extended!$B$9:$H$101,7,FALSE)))),0)</f>
        <v>802112.5</v>
      </c>
      <c r="O173" s="269">
        <f>IFERROR(IF(BA173="WIP - 30 Days",VLOOKUP(D173,[3]Extended!$B$9:$J$101,9,FALSE),IF(BA173="31-120 Days",VLOOKUP(D173,[3]Extended!$B$9:$K$101,10,FALSE),IF(BA173="121-365 Days",VLOOKUP(D173,[3]Extended!$B$9:$L$101,11,FALSE),VLOOKUP(D173,[3]Extended!$B$9:$M$101,12,FALSE)))),0)</f>
        <v>778750</v>
      </c>
      <c r="P173" s="116">
        <f t="shared" si="11"/>
        <v>0.11</v>
      </c>
      <c r="Q173" s="110" t="e">
        <f>O173-#REF!</f>
        <v>#REF!</v>
      </c>
      <c r="R173" s="111" t="e">
        <f>SUM(Q171:Q172)/SUM(O171:O172)</f>
        <v>#REF!</v>
      </c>
      <c r="S173" s="112"/>
      <c r="T173" s="112"/>
      <c r="U173" s="112"/>
      <c r="V173" s="112"/>
      <c r="W173" s="311"/>
      <c r="X173" s="311"/>
      <c r="Y173" s="311"/>
      <c r="Z173" s="311"/>
      <c r="AA173" s="311"/>
      <c r="AB173" s="311"/>
      <c r="AC173" s="311"/>
      <c r="AD173" s="89"/>
      <c r="AE173" s="89"/>
      <c r="AF173" s="89"/>
      <c r="AG173" s="5"/>
      <c r="AH173" s="5"/>
      <c r="AI173" s="5"/>
      <c r="AJ173" s="5"/>
      <c r="AK173" s="5"/>
      <c r="AL173" s="5"/>
      <c r="AM173" s="5"/>
      <c r="AN173" s="5"/>
      <c r="AO173" s="5"/>
      <c r="AP173" s="5"/>
      <c r="AQ173" s="5"/>
      <c r="AR173" s="5"/>
      <c r="AS173" s="5"/>
      <c r="AT173" s="88" t="str">
        <f t="shared" si="12"/>
        <v>KP0007582017Q115,4</v>
      </c>
      <c r="AU173" s="89" t="str">
        <f t="shared" si="13"/>
        <v>01-2017</v>
      </c>
      <c r="AV173" s="89"/>
      <c r="AW173" s="89"/>
      <c r="AX173" s="89"/>
      <c r="AY173" s="89"/>
      <c r="AZ173" s="89"/>
      <c r="BA173" s="92" t="str">
        <f t="shared" si="14"/>
        <v>WIP - 30 Days</v>
      </c>
      <c r="BB173" s="89"/>
      <c r="BC173" s="97"/>
      <c r="BD173" s="97"/>
    </row>
    <row r="174" spans="1:56">
      <c r="B174" s="60" t="str">
        <f>[2]Trucks!A171</f>
        <v>TBAKP758</v>
      </c>
      <c r="C174" s="11" t="str">
        <f>[2]Trucks!B171</f>
        <v>TGM-15-2404X2BL-C</v>
      </c>
      <c r="D174" s="19" t="str">
        <f>IFERROR(VLOOKUP(C174&amp;"",'[2]Retail Price List'!$A$3:$B$103,2,FALSE),"Special Order")</f>
        <v>KP000758</v>
      </c>
      <c r="E174" s="18" t="str">
        <f>[2]Trucks!J171</f>
        <v>CKD</v>
      </c>
      <c r="F174" s="12" t="str">
        <f>[2]Trucks!E171</f>
        <v>2018-02-15</v>
      </c>
      <c r="G174" s="56">
        <f>[2]Trucks!K171</f>
        <v>14.7</v>
      </c>
      <c r="H174" s="46">
        <f>[2]Trucks!I171</f>
        <v>42921</v>
      </c>
      <c r="I174" s="83" t="str">
        <f t="shared" si="10"/>
        <v>2017Q3</v>
      </c>
      <c r="J174" s="272">
        <f>IFERROR(VLOOKUP((D174&amp;C174)&amp;"",'[2]Retail Price List'!$C$4:$F$102,3,FALSE),"")</f>
        <v>860000</v>
      </c>
      <c r="K174" s="272">
        <f>IFERROR(IF(BA174="WIP - 30 Days",VLOOKUP(D174,[3]Standard!$B$9:$E$101,4,FALSE),IF(BA174="31-120 Days",VLOOKUP(D174,[3]Standard!$B$9:$F$101,5,FALSE),IF(BA174="121-365 Days",VLOOKUP(D174,[3]Standard!$B$9:$G$101,6,FALSE),VLOOKUP(D174,[3]Standard!$B$9:$H$101,7,FALSE)))),0)</f>
        <v>770646</v>
      </c>
      <c r="L174" s="272">
        <f>IFERROR(IF(BA174="WIP - 30 Days",VLOOKUP(D174,[3]Standard!$B$9:$J$101,9,FALSE),IF(BA174="31-120 Days",VLOOKUP(D174,[3]Standard!$B$9:$K$100,10,FALSE),IF(BA174="121-365 Days",VLOOKUP(D174,[3]Standard!$B$9:$L$101,11,FALSE),VLOOKUP(D174,[3]Standard!$B$9:$M$101,12,FALSE)))),0)</f>
        <v>748200</v>
      </c>
      <c r="M174" s="269">
        <f>IFERROR(VLOOKUP((D174&amp;C174)&amp;"",'[2]Retail Price List'!$C$4:$F$102,4,FALSE),"")</f>
        <v>875000</v>
      </c>
      <c r="N174" s="269">
        <f>IFERROR(IF(BA174="WIP - 30 Days",VLOOKUP(D174,[3]Extended!$B$9:$E$101,4,FALSE),IF(BA174="31-120 Days",VLOOKUP(D174,[3]Extended!$B$9:$F$101,5,FALSE),IF(BA174="121-365 Days",VLOOKUP(D174,[3]Extended!$B$9:$G$101,6,FALSE),VLOOKUP(D174,[3]Extended!$B$9:$H$101,7,FALSE)))),0)</f>
        <v>802112.5</v>
      </c>
      <c r="O174" s="269">
        <f>IFERROR(IF(BA174="WIP - 30 Days",VLOOKUP(D174,[3]Extended!$B$9:$J$101,9,FALSE),IF(BA174="31-120 Days",VLOOKUP(D174,[3]Extended!$B$9:$K$101,10,FALSE),IF(BA174="121-365 Days",VLOOKUP(D174,[3]Extended!$B$9:$L$101,11,FALSE),VLOOKUP(D174,[3]Extended!$B$9:$M$101,12,FALSE)))),0)</f>
        <v>778750</v>
      </c>
      <c r="P174" s="116">
        <f t="shared" si="11"/>
        <v>0.11</v>
      </c>
      <c r="Q174" s="110" t="e">
        <f>O174-#REF!</f>
        <v>#REF!</v>
      </c>
      <c r="W174" s="311"/>
      <c r="X174" s="311"/>
      <c r="Y174" s="311"/>
      <c r="Z174" s="311"/>
      <c r="AA174" s="311"/>
      <c r="AB174" s="311"/>
      <c r="AC174" s="311"/>
      <c r="AT174" s="88" t="str">
        <f t="shared" si="12"/>
        <v>KP0007582017Q314,7</v>
      </c>
      <c r="AU174" s="89" t="str">
        <f t="shared" si="13"/>
        <v>07-2017</v>
      </c>
      <c r="BA174" s="92" t="str">
        <f t="shared" si="14"/>
        <v>WIP - 30 Days</v>
      </c>
    </row>
    <row r="175" spans="1:56" s="4" customFormat="1">
      <c r="A175" s="69"/>
      <c r="B175" s="60" t="str">
        <f>[2]Trucks!A172</f>
        <v>TBAKP405</v>
      </c>
      <c r="C175" s="11" t="str">
        <f>[2]Trucks!B172</f>
        <v>TGM-18-2404X2BB-C-K</v>
      </c>
      <c r="D175" s="19" t="str">
        <f>IFERROR(VLOOKUP(C175&amp;"",'[2]Retail Price List'!$A$3:$B$103,2,FALSE),"Special Order")</f>
        <v>KP000405</v>
      </c>
      <c r="E175" s="18" t="str">
        <f>[2]Trucks!J172</f>
        <v>CKD</v>
      </c>
      <c r="F175" s="12" t="str">
        <f>[2]Trucks!E172</f>
        <v>2018-02-15</v>
      </c>
      <c r="G175" s="56">
        <f>[2]Trucks!K172</f>
        <v>14.7</v>
      </c>
      <c r="H175" s="46">
        <f>[2]Trucks!I172</f>
        <v>42921</v>
      </c>
      <c r="I175" s="83" t="str">
        <f t="shared" si="10"/>
        <v>2017Q3</v>
      </c>
      <c r="J175" s="272">
        <f>IFERROR(VLOOKUP((D175&amp;C175)&amp;"",'[2]Retail Price List'!$C$4:$F$102,3,FALSE),"")</f>
        <v>960000</v>
      </c>
      <c r="K175" s="272">
        <f>IFERROR(IF(BA175="WIP - 30 Days",VLOOKUP(D175,[3]Standard!$B$9:$E$101,4,FALSE),IF(BA175="31-120 Days",VLOOKUP(D175,[3]Standard!$B$9:$F$101,5,FALSE),IF(BA175="121-365 Days",VLOOKUP(D175,[3]Standard!$B$9:$G$101,6,FALSE),VLOOKUP(D175,[3]Standard!$B$9:$H$101,7,FALSE)))),0)</f>
        <v>791040</v>
      </c>
      <c r="L175" s="272">
        <f>IFERROR(IF(BA175="WIP - 30 Days",VLOOKUP(D175,[3]Standard!$B$9:$J$101,9,FALSE),IF(BA175="31-120 Days",VLOOKUP(D175,[3]Standard!$B$9:$K$100,10,FALSE),IF(BA175="121-365 Days",VLOOKUP(D175,[3]Standard!$B$9:$L$101,11,FALSE),VLOOKUP(D175,[3]Standard!$B$9:$M$101,12,FALSE)))),0)</f>
        <v>768000</v>
      </c>
      <c r="M175" s="269">
        <f>IFERROR(VLOOKUP((D175&amp;C175)&amp;"",'[2]Retail Price List'!$C$4:$F$102,4,FALSE),"")</f>
        <v>975000</v>
      </c>
      <c r="N175" s="269">
        <f>IFERROR(IF(BA175="WIP - 30 Days",VLOOKUP(D175,[3]Extended!$B$9:$E$101,4,FALSE),IF(BA175="31-120 Days",VLOOKUP(D175,[3]Extended!$B$9:$F$101,5,FALSE),IF(BA175="121-365 Days",VLOOKUP(D175,[3]Extended!$B$9:$G$101,6,FALSE),VLOOKUP(D175,[3]Extended!$B$9:$H$101,7,FALSE)))),0)</f>
        <v>823485</v>
      </c>
      <c r="O175" s="269">
        <f>IFERROR(IF(BA175="WIP - 30 Days",VLOOKUP(D175,[3]Extended!$B$9:$J$101,9,FALSE),IF(BA175="31-120 Days",VLOOKUP(D175,[3]Extended!$B$9:$K$101,10,FALSE),IF(BA175="121-365 Days",VLOOKUP(D175,[3]Extended!$B$9:$L$101,11,FALSE),VLOOKUP(D175,[3]Extended!$B$9:$M$101,12,FALSE)))),0)</f>
        <v>799500</v>
      </c>
      <c r="P175" s="116">
        <f t="shared" si="11"/>
        <v>0.18</v>
      </c>
      <c r="Q175" s="110" t="e">
        <f>O175-#REF!</f>
        <v>#REF!</v>
      </c>
      <c r="R175" s="111" t="e">
        <f>Q174/O174</f>
        <v>#REF!</v>
      </c>
      <c r="S175" s="112"/>
      <c r="T175" s="112"/>
      <c r="U175" s="112"/>
      <c r="V175" s="112"/>
      <c r="W175" s="311"/>
      <c r="X175" s="311"/>
      <c r="Y175" s="311"/>
      <c r="Z175" s="311"/>
      <c r="AA175" s="311"/>
      <c r="AB175" s="311"/>
      <c r="AC175" s="311"/>
      <c r="AD175" s="89"/>
      <c r="AE175" s="89"/>
      <c r="AF175" s="89"/>
      <c r="AG175" s="5"/>
      <c r="AH175" s="5"/>
      <c r="AI175" s="5"/>
      <c r="AJ175" s="5"/>
      <c r="AK175" s="5"/>
      <c r="AL175" s="5"/>
      <c r="AM175" s="5"/>
      <c r="AN175" s="5"/>
      <c r="AO175" s="5"/>
      <c r="AP175" s="5"/>
      <c r="AQ175" s="5"/>
      <c r="AR175" s="5"/>
      <c r="AS175" s="5"/>
      <c r="AT175" s="88" t="str">
        <f t="shared" si="12"/>
        <v>KP0004052017Q314,7</v>
      </c>
      <c r="AU175" s="89" t="str">
        <f t="shared" si="13"/>
        <v>07-2017</v>
      </c>
      <c r="AV175" s="89"/>
      <c r="AW175" s="89"/>
      <c r="AX175" s="89"/>
      <c r="AY175" s="89"/>
      <c r="AZ175" s="89"/>
      <c r="BA175" s="92" t="str">
        <f t="shared" si="14"/>
        <v>WIP - 30 Days</v>
      </c>
      <c r="BB175" s="89"/>
      <c r="BC175" s="97"/>
      <c r="BD175" s="97"/>
    </row>
    <row r="176" spans="1:56">
      <c r="B176" s="60" t="str">
        <f>[2]Trucks!A173</f>
        <v>TBAKP471</v>
      </c>
      <c r="C176" s="11" t="str">
        <f>[2]Trucks!B173</f>
        <v>TGM-18-2404X4BB-C-DWA</v>
      </c>
      <c r="D176" s="19" t="str">
        <f>IFERROR(VLOOKUP(C176&amp;"",'[2]Retail Price List'!$A$3:$B$103,2,FALSE),"Special Order")</f>
        <v>KP000471</v>
      </c>
      <c r="E176" s="18" t="str">
        <f>[2]Trucks!J173</f>
        <v>CKD</v>
      </c>
      <c r="F176" s="12" t="str">
        <f>[2]Trucks!E173</f>
        <v>2018-02-15</v>
      </c>
      <c r="G176" s="56">
        <f>[2]Trucks!K173</f>
        <v>14.7</v>
      </c>
      <c r="H176" s="46">
        <f>[2]Trucks!I173</f>
        <v>42921</v>
      </c>
      <c r="I176" s="83" t="str">
        <f t="shared" si="10"/>
        <v>2017Q3</v>
      </c>
      <c r="J176" s="272">
        <f>IFERROR(VLOOKUP((D176&amp;C176)&amp;"",'[2]Retail Price List'!$C$4:$F$102,3,FALSE),"")</f>
        <v>1220000</v>
      </c>
      <c r="K176" s="272">
        <f>IFERROR(IF(BA176="WIP - 30 Days",VLOOKUP(D176,[3]Standard!$B$9:$E$101,4,FALSE),IF(BA176="31-120 Days",VLOOKUP(D176,[3]Standard!$B$9:$F$101,5,FALSE),IF(BA176="121-365 Days",VLOOKUP(D176,[3]Standard!$B$9:$G$101,6,FALSE),VLOOKUP(D176,[3]Standard!$B$9:$H$101,7,FALSE)))),0)</f>
        <v>955016</v>
      </c>
      <c r="L176" s="272">
        <f>IFERROR(IF(BA176="WIP - 30 Days",VLOOKUP(D176,[3]Standard!$B$9:$J$101,9,FALSE),IF(BA176="31-120 Days",VLOOKUP(D176,[3]Standard!$B$9:$K$100,10,FALSE),IF(BA176="121-365 Days",VLOOKUP(D176,[3]Standard!$B$9:$L$101,11,FALSE),VLOOKUP(D176,[3]Standard!$B$9:$M$101,12,FALSE)))),0)</f>
        <v>927200</v>
      </c>
      <c r="M176" s="269">
        <f>IFERROR(VLOOKUP((D176&amp;C176)&amp;"",'[2]Retail Price List'!$C$4:$F$102,4,FALSE),"")</f>
        <v>1235000</v>
      </c>
      <c r="N176" s="269">
        <f>IFERROR(IF(BA176="WIP - 30 Days",VLOOKUP(D176,[3]Extended!$B$9:$E$101,4,FALSE),IF(BA176="31-120 Days",VLOOKUP(D176,[3]Extended!$B$9:$F$101,5,FALSE),IF(BA176="121-365 Days",VLOOKUP(D176,[3]Extended!$B$9:$G$101,6,FALSE),VLOOKUP(D176,[3]Extended!$B$9:$H$101,7,FALSE)))),0)</f>
        <v>992199</v>
      </c>
      <c r="O176" s="269">
        <f>IFERROR(IF(BA176="WIP - 30 Days",VLOOKUP(D176,[3]Extended!$B$9:$J$101,9,FALSE),IF(BA176="31-120 Days",VLOOKUP(D176,[3]Extended!$B$9:$K$101,10,FALSE),IF(BA176="121-365 Days",VLOOKUP(D176,[3]Extended!$B$9:$L$101,11,FALSE),VLOOKUP(D176,[3]Extended!$B$9:$M$101,12,FALSE)))),0)</f>
        <v>963300</v>
      </c>
      <c r="P176" s="116">
        <f t="shared" si="11"/>
        <v>0.22</v>
      </c>
      <c r="Q176" s="110" t="e">
        <f>O176-#REF!</f>
        <v>#REF!</v>
      </c>
      <c r="S176" s="112" t="s">
        <v>9</v>
      </c>
      <c r="T176" s="112" t="s">
        <v>10</v>
      </c>
      <c r="U176" s="112" t="s">
        <v>11</v>
      </c>
      <c r="W176" s="311"/>
      <c r="X176" s="311"/>
      <c r="Y176" s="311"/>
      <c r="Z176" s="311"/>
      <c r="AA176" s="311"/>
      <c r="AB176" s="311"/>
      <c r="AC176" s="311"/>
      <c r="AT176" s="88" t="str">
        <f t="shared" si="12"/>
        <v>KP0004712017Q314,7</v>
      </c>
      <c r="AU176" s="89" t="str">
        <f t="shared" si="13"/>
        <v>07-2017</v>
      </c>
      <c r="BA176" s="92" t="str">
        <f t="shared" si="14"/>
        <v>WIP - 30 Days</v>
      </c>
    </row>
    <row r="177" spans="2:53">
      <c r="B177" s="60">
        <f>[2]Trucks!A174</f>
        <v>47356</v>
      </c>
      <c r="C177" s="11" t="str">
        <f>[2]Trucks!B174</f>
        <v>TGM-18-2404X4BB-C-SWA</v>
      </c>
      <c r="D177" s="19" t="str">
        <f>IFERROR(VLOOKUP(C177&amp;"",'[2]Retail Price List'!$A$3:$B$103,2,FALSE),"Special Order")</f>
        <v>KP000481</v>
      </c>
      <c r="E177" s="18" t="str">
        <f>[2]Trucks!J174</f>
        <v>CKD</v>
      </c>
      <c r="F177" s="12" t="str">
        <f>[2]Trucks!E174</f>
        <v>2017-11-15</v>
      </c>
      <c r="G177" s="56">
        <f>[2]Trucks!K174</f>
        <v>14.7</v>
      </c>
      <c r="H177" s="46">
        <f>[2]Trucks!I174</f>
        <v>42937</v>
      </c>
      <c r="I177" s="83" t="str">
        <f t="shared" si="10"/>
        <v>2017Q3</v>
      </c>
      <c r="J177" s="272">
        <f>IFERROR(VLOOKUP((D177&amp;C177)&amp;"",'[2]Retail Price List'!$C$4:$F$102,3,FALSE),"")</f>
        <v>1325000</v>
      </c>
      <c r="K177" s="272">
        <f>IFERROR(IF(BA177="WIP - 30 Days",VLOOKUP(D177,[3]Standard!$B$9:$E$101,4,FALSE),IF(BA177="31-120 Days",VLOOKUP(D177,[3]Standard!$B$9:$F$101,5,FALSE),IF(BA177="121-365 Days",VLOOKUP(D177,[3]Standard!$B$9:$G$101,6,FALSE),VLOOKUP(D177,[3]Standard!$B$9:$H$101,7,FALSE)))),0)</f>
        <v>996267.5</v>
      </c>
      <c r="L177" s="272">
        <f>IFERROR(IF(BA177="WIP - 30 Days",VLOOKUP(D177,[3]Standard!$B$9:$J$101,9,FALSE),IF(BA177="31-120 Days",VLOOKUP(D177,[3]Standard!$B$9:$K$100,10,FALSE),IF(BA177="121-365 Days",VLOOKUP(D177,[3]Standard!$B$9:$L$101,11,FALSE),VLOOKUP(D177,[3]Standard!$B$9:$M$101,12,FALSE)))),0)</f>
        <v>967250</v>
      </c>
      <c r="M177" s="269">
        <f>IFERROR(VLOOKUP((D177&amp;C177)&amp;"",'[2]Retail Price List'!$C$4:$F$102,4,FALSE),"")</f>
        <v>1340000</v>
      </c>
      <c r="N177" s="269">
        <f>IFERROR(IF(BA177="WIP - 30 Days",VLOOKUP(D177,[3]Extended!$B$9:$E$101,4,FALSE),IF(BA177="31-120 Days",VLOOKUP(D177,[3]Extended!$B$9:$F$101,5,FALSE),IF(BA177="121-365 Days",VLOOKUP(D177,[3]Extended!$B$9:$G$101,6,FALSE),VLOOKUP(D177,[3]Extended!$B$9:$H$101,7,FALSE)))),0)</f>
        <v>1035150</v>
      </c>
      <c r="O177" s="269">
        <f>IFERROR(IF(BA177="WIP - 30 Days",VLOOKUP(D177,[3]Extended!$B$9:$J$101,9,FALSE),IF(BA177="31-120 Days",VLOOKUP(D177,[3]Extended!$B$9:$K$101,10,FALSE),IF(BA177="121-365 Days",VLOOKUP(D177,[3]Extended!$B$9:$L$101,11,FALSE),VLOOKUP(D177,[3]Extended!$B$9:$M$101,12,FALSE)))),0)</f>
        <v>1005000</v>
      </c>
      <c r="P177" s="116">
        <f t="shared" si="11"/>
        <v>0.25</v>
      </c>
      <c r="Q177" s="110" t="e">
        <f>O177-#REF!</f>
        <v>#REF!</v>
      </c>
      <c r="S177" s="112">
        <v>14.3</v>
      </c>
      <c r="T177" s="112">
        <v>-13.7</v>
      </c>
      <c r="U177" s="112">
        <v>0.9</v>
      </c>
      <c r="W177" s="311"/>
      <c r="X177" s="311"/>
      <c r="Y177" s="311"/>
      <c r="Z177" s="311"/>
      <c r="AA177" s="311"/>
      <c r="AB177" s="311"/>
      <c r="AC177" s="311"/>
      <c r="AT177" s="88" t="str">
        <f t="shared" si="12"/>
        <v>KP0004812017Q314,7</v>
      </c>
      <c r="AU177" s="89" t="str">
        <f t="shared" si="13"/>
        <v>07-2017</v>
      </c>
      <c r="BA177" s="92" t="str">
        <f t="shared" si="14"/>
        <v>WIP - 30 Days</v>
      </c>
    </row>
    <row r="178" spans="2:53">
      <c r="B178" s="60">
        <f>[2]Trucks!A175</f>
        <v>47357</v>
      </c>
      <c r="C178" s="11" t="str">
        <f>[2]Trucks!B175</f>
        <v>TGM-18-2404X4BB-C-SWA</v>
      </c>
      <c r="D178" s="19" t="str">
        <f>IFERROR(VLOOKUP(C178&amp;"",'[2]Retail Price List'!$A$3:$B$103,2,FALSE),"Special Order")</f>
        <v>KP000481</v>
      </c>
      <c r="E178" s="18" t="str">
        <f>[2]Trucks!J175</f>
        <v>CKD</v>
      </c>
      <c r="F178" s="12" t="str">
        <f>[2]Trucks!E175</f>
        <v>2017-11-15</v>
      </c>
      <c r="G178" s="56">
        <f>[2]Trucks!K175</f>
        <v>14.7</v>
      </c>
      <c r="H178" s="46">
        <f>[2]Trucks!I175</f>
        <v>42937</v>
      </c>
      <c r="I178" s="83" t="str">
        <f t="shared" si="10"/>
        <v>2017Q3</v>
      </c>
      <c r="J178" s="272">
        <f>IFERROR(VLOOKUP((D178&amp;C178)&amp;"",'[2]Retail Price List'!$C$4:$F$102,3,FALSE),"")</f>
        <v>1325000</v>
      </c>
      <c r="K178" s="272">
        <f>IFERROR(IF(BA178="WIP - 30 Days",VLOOKUP(D178,[3]Standard!$B$9:$E$101,4,FALSE),IF(BA178="31-120 Days",VLOOKUP(D178,[3]Standard!$B$9:$F$101,5,FALSE),IF(BA178="121-365 Days",VLOOKUP(D178,[3]Standard!$B$9:$G$101,6,FALSE),VLOOKUP(D178,[3]Standard!$B$9:$H$101,7,FALSE)))),0)</f>
        <v>996267.5</v>
      </c>
      <c r="L178" s="272">
        <f>IFERROR(IF(BA178="WIP - 30 Days",VLOOKUP(D178,[3]Standard!$B$9:$J$101,9,FALSE),IF(BA178="31-120 Days",VLOOKUP(D178,[3]Standard!$B$9:$K$100,10,FALSE),IF(BA178="121-365 Days",VLOOKUP(D178,[3]Standard!$B$9:$L$101,11,FALSE),VLOOKUP(D178,[3]Standard!$B$9:$M$101,12,FALSE)))),0)</f>
        <v>967250</v>
      </c>
      <c r="M178" s="269">
        <f>IFERROR(VLOOKUP((D178&amp;C178)&amp;"",'[2]Retail Price List'!$C$4:$F$102,4,FALSE),"")</f>
        <v>1340000</v>
      </c>
      <c r="N178" s="269">
        <f>IFERROR(IF(BA178="WIP - 30 Days",VLOOKUP(D178,[3]Extended!$B$9:$E$101,4,FALSE),IF(BA178="31-120 Days",VLOOKUP(D178,[3]Extended!$B$9:$F$101,5,FALSE),IF(BA178="121-365 Days",VLOOKUP(D178,[3]Extended!$B$9:$G$101,6,FALSE),VLOOKUP(D178,[3]Extended!$B$9:$H$101,7,FALSE)))),0)</f>
        <v>1035150</v>
      </c>
      <c r="O178" s="269">
        <f>IFERROR(IF(BA178="WIP - 30 Days",VLOOKUP(D178,[3]Extended!$B$9:$J$101,9,FALSE),IF(BA178="31-120 Days",VLOOKUP(D178,[3]Extended!$B$9:$K$101,10,FALSE),IF(BA178="121-365 Days",VLOOKUP(D178,[3]Extended!$B$9:$L$101,11,FALSE),VLOOKUP(D178,[3]Extended!$B$9:$M$101,12,FALSE)))),0)</f>
        <v>1005000</v>
      </c>
      <c r="P178" s="116">
        <f t="shared" si="11"/>
        <v>0.25</v>
      </c>
      <c r="Q178" s="110" t="e">
        <f>O178-#REF!</f>
        <v>#REF!</v>
      </c>
      <c r="S178" s="112">
        <v>6.3</v>
      </c>
      <c r="T178" s="112">
        <v>6.3</v>
      </c>
      <c r="U178" s="112">
        <v>6.3</v>
      </c>
      <c r="W178" s="311"/>
      <c r="X178" s="311"/>
      <c r="Y178" s="311"/>
      <c r="Z178" s="311"/>
      <c r="AA178" s="311"/>
      <c r="AB178" s="311"/>
      <c r="AC178" s="311"/>
      <c r="AT178" s="88" t="str">
        <f t="shared" si="12"/>
        <v>KP0004812017Q314,7</v>
      </c>
      <c r="AU178" s="89" t="str">
        <f t="shared" si="13"/>
        <v>07-2017</v>
      </c>
      <c r="BA178" s="92" t="str">
        <f t="shared" si="14"/>
        <v>WIP - 30 Days</v>
      </c>
    </row>
    <row r="179" spans="2:53">
      <c r="B179" s="60">
        <f>[2]Trucks!A176</f>
        <v>47358</v>
      </c>
      <c r="C179" s="11" t="str">
        <f>[2]Trucks!B176</f>
        <v>TGM-18-2404X4BB-C-SWA</v>
      </c>
      <c r="D179" s="19" t="str">
        <f>IFERROR(VLOOKUP(C179&amp;"",'[2]Retail Price List'!$A$3:$B$103,2,FALSE),"Special Order")</f>
        <v>KP000481</v>
      </c>
      <c r="E179" s="18" t="str">
        <f>[2]Trucks!J176</f>
        <v>CKD</v>
      </c>
      <c r="F179" s="12" t="str">
        <f>[2]Trucks!E176</f>
        <v>2017-11-15</v>
      </c>
      <c r="G179" s="56">
        <f>[2]Trucks!K176</f>
        <v>14.7</v>
      </c>
      <c r="H179" s="46">
        <f>[2]Trucks!I176</f>
        <v>42937</v>
      </c>
      <c r="I179" s="83" t="str">
        <f t="shared" si="10"/>
        <v>2017Q3</v>
      </c>
      <c r="J179" s="272">
        <f>IFERROR(VLOOKUP((D179&amp;C179)&amp;"",'[2]Retail Price List'!$C$4:$F$102,3,FALSE),"")</f>
        <v>1325000</v>
      </c>
      <c r="K179" s="272">
        <f>IFERROR(IF(BA179="WIP - 30 Days",VLOOKUP(D179,[3]Standard!$B$9:$E$101,4,FALSE),IF(BA179="31-120 Days",VLOOKUP(D179,[3]Standard!$B$9:$F$101,5,FALSE),IF(BA179="121-365 Days",VLOOKUP(D179,[3]Standard!$B$9:$G$101,6,FALSE),VLOOKUP(D179,[3]Standard!$B$9:$H$101,7,FALSE)))),0)</f>
        <v>996267.5</v>
      </c>
      <c r="L179" s="272">
        <f>IFERROR(IF(BA179="WIP - 30 Days",VLOOKUP(D179,[3]Standard!$B$9:$J$101,9,FALSE),IF(BA179="31-120 Days",VLOOKUP(D179,[3]Standard!$B$9:$K$100,10,FALSE),IF(BA179="121-365 Days",VLOOKUP(D179,[3]Standard!$B$9:$L$101,11,FALSE),VLOOKUP(D179,[3]Standard!$B$9:$M$101,12,FALSE)))),0)</f>
        <v>967250</v>
      </c>
      <c r="M179" s="269">
        <f>IFERROR(VLOOKUP((D179&amp;C179)&amp;"",'[2]Retail Price List'!$C$4:$F$102,4,FALSE),"")</f>
        <v>1340000</v>
      </c>
      <c r="N179" s="269">
        <f>IFERROR(IF(BA179="WIP - 30 Days",VLOOKUP(D179,[3]Extended!$B$9:$E$101,4,FALSE),IF(BA179="31-120 Days",VLOOKUP(D179,[3]Extended!$B$9:$F$101,5,FALSE),IF(BA179="121-365 Days",VLOOKUP(D179,[3]Extended!$B$9:$G$101,6,FALSE),VLOOKUP(D179,[3]Extended!$B$9:$H$101,7,FALSE)))),0)</f>
        <v>1035150</v>
      </c>
      <c r="O179" s="269">
        <f>IFERROR(IF(BA179="WIP - 30 Days",VLOOKUP(D179,[3]Extended!$B$9:$J$101,9,FALSE),IF(BA179="31-120 Days",VLOOKUP(D179,[3]Extended!$B$9:$K$101,10,FALSE),IF(BA179="121-365 Days",VLOOKUP(D179,[3]Extended!$B$9:$L$101,11,FALSE),VLOOKUP(D179,[3]Extended!$B$9:$M$101,12,FALSE)))),0)</f>
        <v>1005000</v>
      </c>
      <c r="P179" s="116">
        <f t="shared" si="11"/>
        <v>0.25</v>
      </c>
      <c r="Q179" s="110" t="e">
        <f>O179-#REF!</f>
        <v>#REF!</v>
      </c>
      <c r="S179" s="112">
        <f>COUNT(#REF!)</f>
        <v>0</v>
      </c>
      <c r="W179" s="311"/>
      <c r="X179" s="311"/>
      <c r="Y179" s="311"/>
      <c r="Z179" s="311"/>
      <c r="AA179" s="311"/>
      <c r="AB179" s="311"/>
      <c r="AC179" s="311"/>
      <c r="AT179" s="88" t="str">
        <f t="shared" si="12"/>
        <v>KP0004812017Q314,7</v>
      </c>
      <c r="AU179" s="89" t="str">
        <f t="shared" si="13"/>
        <v>07-2017</v>
      </c>
      <c r="BA179" s="92" t="str">
        <f t="shared" si="14"/>
        <v>WIP - 30 Days</v>
      </c>
    </row>
    <row r="180" spans="2:53">
      <c r="B180" s="60">
        <f>[2]Trucks!A177</f>
        <v>47359</v>
      </c>
      <c r="C180" s="11" t="str">
        <f>[2]Trucks!B177</f>
        <v>TGM-18-2404X4BB-C-SWA</v>
      </c>
      <c r="D180" s="19" t="str">
        <f>IFERROR(VLOOKUP(C180&amp;"",'[2]Retail Price List'!$A$3:$B$103,2,FALSE),"Special Order")</f>
        <v>KP000481</v>
      </c>
      <c r="E180" s="18" t="str">
        <f>[2]Trucks!J177</f>
        <v>CKD</v>
      </c>
      <c r="F180" s="12" t="str">
        <f>[2]Trucks!E177</f>
        <v>2017-11-15</v>
      </c>
      <c r="G180" s="56">
        <f>[2]Trucks!K177</f>
        <v>14.7</v>
      </c>
      <c r="H180" s="46">
        <f>[2]Trucks!I177</f>
        <v>42937</v>
      </c>
      <c r="I180" s="83" t="str">
        <f t="shared" si="10"/>
        <v>2017Q3</v>
      </c>
      <c r="J180" s="272">
        <f>IFERROR(VLOOKUP((D180&amp;C180)&amp;"",'[2]Retail Price List'!$C$4:$F$102,3,FALSE),"")</f>
        <v>1325000</v>
      </c>
      <c r="K180" s="272">
        <f>IFERROR(IF(BA180="WIP - 30 Days",VLOOKUP(D180,[3]Standard!$B$9:$E$101,4,FALSE),IF(BA180="31-120 Days",VLOOKUP(D180,[3]Standard!$B$9:$F$101,5,FALSE),IF(BA180="121-365 Days",VLOOKUP(D180,[3]Standard!$B$9:$G$101,6,FALSE),VLOOKUP(D180,[3]Standard!$B$9:$H$101,7,FALSE)))),0)</f>
        <v>996267.5</v>
      </c>
      <c r="L180" s="272">
        <f>IFERROR(IF(BA180="WIP - 30 Days",VLOOKUP(D180,[3]Standard!$B$9:$J$101,9,FALSE),IF(BA180="31-120 Days",VLOOKUP(D180,[3]Standard!$B$9:$K$100,10,FALSE),IF(BA180="121-365 Days",VLOOKUP(D180,[3]Standard!$B$9:$L$101,11,FALSE),VLOOKUP(D180,[3]Standard!$B$9:$M$101,12,FALSE)))),0)</f>
        <v>967250</v>
      </c>
      <c r="M180" s="269">
        <f>IFERROR(VLOOKUP((D180&amp;C180)&amp;"",'[2]Retail Price List'!$C$4:$F$102,4,FALSE),"")</f>
        <v>1340000</v>
      </c>
      <c r="N180" s="269">
        <f>IFERROR(IF(BA180="WIP - 30 Days",VLOOKUP(D180,[3]Extended!$B$9:$E$101,4,FALSE),IF(BA180="31-120 Days",VLOOKUP(D180,[3]Extended!$B$9:$F$101,5,FALSE),IF(BA180="121-365 Days",VLOOKUP(D180,[3]Extended!$B$9:$G$101,6,FALSE),VLOOKUP(D180,[3]Extended!$B$9:$H$101,7,FALSE)))),0)</f>
        <v>1035150</v>
      </c>
      <c r="O180" s="269">
        <f>IFERROR(IF(BA180="WIP - 30 Days",VLOOKUP(D180,[3]Extended!$B$9:$J$101,9,FALSE),IF(BA180="31-120 Days",VLOOKUP(D180,[3]Extended!$B$9:$K$101,10,FALSE),IF(BA180="121-365 Days",VLOOKUP(D180,[3]Extended!$B$9:$L$101,11,FALSE),VLOOKUP(D180,[3]Extended!$B$9:$M$101,12,FALSE)))),0)</f>
        <v>1005000</v>
      </c>
      <c r="P180" s="116">
        <f t="shared" si="11"/>
        <v>0.25</v>
      </c>
      <c r="Q180" s="110" t="e">
        <f>O180-#REF!</f>
        <v>#REF!</v>
      </c>
      <c r="S180" s="110" t="e">
        <f>+AVERAGE(#REF!)</f>
        <v>#REF!</v>
      </c>
      <c r="W180" s="311"/>
      <c r="X180" s="311"/>
      <c r="Y180" s="311"/>
      <c r="Z180" s="311"/>
      <c r="AA180" s="311"/>
      <c r="AB180" s="311"/>
      <c r="AC180" s="311"/>
      <c r="AT180" s="88" t="str">
        <f t="shared" si="12"/>
        <v>KP0004812017Q314,7</v>
      </c>
      <c r="AU180" s="89" t="str">
        <f t="shared" si="13"/>
        <v>07-2017</v>
      </c>
      <c r="BA180" s="92" t="str">
        <f t="shared" si="14"/>
        <v>WIP - 30 Days</v>
      </c>
    </row>
    <row r="181" spans="2:53">
      <c r="B181" s="60">
        <f>[2]Trucks!A178</f>
        <v>47360</v>
      </c>
      <c r="C181" s="11" t="str">
        <f>[2]Trucks!B178</f>
        <v>TGM-18-2404X4BB-C-SWA</v>
      </c>
      <c r="D181" s="19" t="str">
        <f>IFERROR(VLOOKUP(C181&amp;"",'[2]Retail Price List'!$A$3:$B$103,2,FALSE),"Special Order")</f>
        <v>KP000481</v>
      </c>
      <c r="E181" s="18" t="str">
        <f>[2]Trucks!J178</f>
        <v>CKD</v>
      </c>
      <c r="F181" s="12" t="str">
        <f>[2]Trucks!E178</f>
        <v>2017-11-15</v>
      </c>
      <c r="G181" s="56">
        <f>[2]Trucks!K178</f>
        <v>14.7</v>
      </c>
      <c r="H181" s="46">
        <f>[2]Trucks!I178</f>
        <v>42937</v>
      </c>
      <c r="I181" s="83" t="str">
        <f t="shared" si="10"/>
        <v>2017Q3</v>
      </c>
      <c r="J181" s="272">
        <f>IFERROR(VLOOKUP((D181&amp;C181)&amp;"",'[2]Retail Price List'!$C$4:$F$102,3,FALSE),"")</f>
        <v>1325000</v>
      </c>
      <c r="K181" s="272">
        <f>IFERROR(IF(BA181="WIP - 30 Days",VLOOKUP(D181,[3]Standard!$B$9:$E$101,4,FALSE),IF(BA181="31-120 Days",VLOOKUP(D181,[3]Standard!$B$9:$F$101,5,FALSE),IF(BA181="121-365 Days",VLOOKUP(D181,[3]Standard!$B$9:$G$101,6,FALSE),VLOOKUP(D181,[3]Standard!$B$9:$H$101,7,FALSE)))),0)</f>
        <v>996267.5</v>
      </c>
      <c r="L181" s="272">
        <f>IFERROR(IF(BA181="WIP - 30 Days",VLOOKUP(D181,[3]Standard!$B$9:$J$101,9,FALSE),IF(BA181="31-120 Days",VLOOKUP(D181,[3]Standard!$B$9:$K$100,10,FALSE),IF(BA181="121-365 Days",VLOOKUP(D181,[3]Standard!$B$9:$L$101,11,FALSE),VLOOKUP(D181,[3]Standard!$B$9:$M$101,12,FALSE)))),0)</f>
        <v>967250</v>
      </c>
      <c r="M181" s="269">
        <f>IFERROR(VLOOKUP((D181&amp;C181)&amp;"",'[2]Retail Price List'!$C$4:$F$102,4,FALSE),"")</f>
        <v>1340000</v>
      </c>
      <c r="N181" s="269">
        <f>IFERROR(IF(BA181="WIP - 30 Days",VLOOKUP(D181,[3]Extended!$B$9:$E$101,4,FALSE),IF(BA181="31-120 Days",VLOOKUP(D181,[3]Extended!$B$9:$F$101,5,FALSE),IF(BA181="121-365 Days",VLOOKUP(D181,[3]Extended!$B$9:$G$101,6,FALSE),VLOOKUP(D181,[3]Extended!$B$9:$H$101,7,FALSE)))),0)</f>
        <v>1035150</v>
      </c>
      <c r="O181" s="269">
        <f>IFERROR(IF(BA181="WIP - 30 Days",VLOOKUP(D181,[3]Extended!$B$9:$J$101,9,FALSE),IF(BA181="31-120 Days",VLOOKUP(D181,[3]Extended!$B$9:$K$101,10,FALSE),IF(BA181="121-365 Days",VLOOKUP(D181,[3]Extended!$B$9:$L$101,11,FALSE),VLOOKUP(D181,[3]Extended!$B$9:$M$101,12,FALSE)))),0)</f>
        <v>1005000</v>
      </c>
      <c r="P181" s="116">
        <f t="shared" si="11"/>
        <v>0.25</v>
      </c>
      <c r="Q181" s="110" t="e">
        <f>O181-#REF!</f>
        <v>#REF!</v>
      </c>
      <c r="W181" s="311"/>
      <c r="X181" s="311"/>
      <c r="Y181" s="311"/>
      <c r="Z181" s="311"/>
      <c r="AA181" s="311"/>
      <c r="AB181" s="311"/>
      <c r="AC181" s="311"/>
      <c r="AT181" s="88" t="str">
        <f t="shared" si="12"/>
        <v>KP0004812017Q314,7</v>
      </c>
      <c r="AU181" s="89" t="str">
        <f t="shared" si="13"/>
        <v>07-2017</v>
      </c>
      <c r="BA181" s="92" t="str">
        <f t="shared" si="14"/>
        <v>WIP - 30 Days</v>
      </c>
    </row>
    <row r="182" spans="2:53">
      <c r="B182" s="60">
        <f>[2]Trucks!A179</f>
        <v>47361</v>
      </c>
      <c r="C182" s="11" t="str">
        <f>[2]Trucks!B179</f>
        <v>TGM-18-2404X4BB-C-SWA</v>
      </c>
      <c r="D182" s="19" t="str">
        <f>IFERROR(VLOOKUP(C182&amp;"",'[2]Retail Price List'!$A$3:$B$103,2,FALSE),"Special Order")</f>
        <v>KP000481</v>
      </c>
      <c r="E182" s="18" t="str">
        <f>[2]Trucks!J179</f>
        <v>CKD</v>
      </c>
      <c r="F182" s="12" t="str">
        <f>[2]Trucks!E179</f>
        <v>2017-11-15</v>
      </c>
      <c r="G182" s="56">
        <f>[2]Trucks!K179</f>
        <v>14.7</v>
      </c>
      <c r="H182" s="46">
        <f>[2]Trucks!I179</f>
        <v>42937</v>
      </c>
      <c r="I182" s="83" t="str">
        <f t="shared" si="10"/>
        <v>2017Q3</v>
      </c>
      <c r="J182" s="272">
        <f>IFERROR(VLOOKUP((D182&amp;C182)&amp;"",'[2]Retail Price List'!$C$4:$F$102,3,FALSE),"")</f>
        <v>1325000</v>
      </c>
      <c r="K182" s="272">
        <f>IFERROR(IF(BA182="WIP - 30 Days",VLOOKUP(D182,[3]Standard!$B$9:$E$101,4,FALSE),IF(BA182="31-120 Days",VLOOKUP(D182,[3]Standard!$B$9:$F$101,5,FALSE),IF(BA182="121-365 Days",VLOOKUP(D182,[3]Standard!$B$9:$G$101,6,FALSE),VLOOKUP(D182,[3]Standard!$B$9:$H$101,7,FALSE)))),0)</f>
        <v>996267.5</v>
      </c>
      <c r="L182" s="272">
        <f>IFERROR(IF(BA182="WIP - 30 Days",VLOOKUP(D182,[3]Standard!$B$9:$J$101,9,FALSE),IF(BA182="31-120 Days",VLOOKUP(D182,[3]Standard!$B$9:$K$100,10,FALSE),IF(BA182="121-365 Days",VLOOKUP(D182,[3]Standard!$B$9:$L$101,11,FALSE),VLOOKUP(D182,[3]Standard!$B$9:$M$101,12,FALSE)))),0)</f>
        <v>967250</v>
      </c>
      <c r="M182" s="269">
        <f>IFERROR(VLOOKUP((D182&amp;C182)&amp;"",'[2]Retail Price List'!$C$4:$F$102,4,FALSE),"")</f>
        <v>1340000</v>
      </c>
      <c r="N182" s="269">
        <f>IFERROR(IF(BA182="WIP - 30 Days",VLOOKUP(D182,[3]Extended!$B$9:$E$101,4,FALSE),IF(BA182="31-120 Days",VLOOKUP(D182,[3]Extended!$B$9:$F$101,5,FALSE),IF(BA182="121-365 Days",VLOOKUP(D182,[3]Extended!$B$9:$G$101,6,FALSE),VLOOKUP(D182,[3]Extended!$B$9:$H$101,7,FALSE)))),0)</f>
        <v>1035150</v>
      </c>
      <c r="O182" s="269">
        <f>IFERROR(IF(BA182="WIP - 30 Days",VLOOKUP(D182,[3]Extended!$B$9:$J$101,9,FALSE),IF(BA182="31-120 Days",VLOOKUP(D182,[3]Extended!$B$9:$K$101,10,FALSE),IF(BA182="121-365 Days",VLOOKUP(D182,[3]Extended!$B$9:$L$101,11,FALSE),VLOOKUP(D182,[3]Extended!$B$9:$M$101,12,FALSE)))),0)</f>
        <v>1005000</v>
      </c>
      <c r="P182" s="116">
        <f t="shared" si="11"/>
        <v>0.25</v>
      </c>
      <c r="Q182" s="110" t="e">
        <f>O182-#REF!</f>
        <v>#REF!</v>
      </c>
      <c r="W182" s="311"/>
      <c r="X182" s="311"/>
      <c r="Y182" s="311"/>
      <c r="Z182" s="311"/>
      <c r="AA182" s="311"/>
      <c r="AB182" s="311"/>
      <c r="AC182" s="311"/>
      <c r="AT182" s="88" t="str">
        <f t="shared" si="12"/>
        <v>KP0004812017Q314,7</v>
      </c>
      <c r="AU182" s="89" t="str">
        <f t="shared" si="13"/>
        <v>07-2017</v>
      </c>
      <c r="BA182" s="92" t="str">
        <f t="shared" si="14"/>
        <v>WIP - 30 Days</v>
      </c>
    </row>
    <row r="183" spans="2:53">
      <c r="B183" s="60">
        <f>[2]Trucks!A180</f>
        <v>47362</v>
      </c>
      <c r="C183" s="11" t="str">
        <f>[2]Trucks!B180</f>
        <v>TGM-18-2404X4BB-C-SWA</v>
      </c>
      <c r="D183" s="19" t="str">
        <f>IFERROR(VLOOKUP(C183&amp;"",'[2]Retail Price List'!$A$3:$B$103,2,FALSE),"Special Order")</f>
        <v>KP000481</v>
      </c>
      <c r="E183" s="18" t="str">
        <f>[2]Trucks!J180</f>
        <v>CKD</v>
      </c>
      <c r="F183" s="12" t="str">
        <f>[2]Trucks!E180</f>
        <v>2017-12-5</v>
      </c>
      <c r="G183" s="56">
        <f>[2]Trucks!K180</f>
        <v>14.7</v>
      </c>
      <c r="H183" s="46">
        <f>[2]Trucks!I180</f>
        <v>42937</v>
      </c>
      <c r="I183" s="83" t="str">
        <f t="shared" si="10"/>
        <v>2017Q3</v>
      </c>
      <c r="J183" s="272">
        <f>IFERROR(VLOOKUP((D183&amp;C183)&amp;"",'[2]Retail Price List'!$C$4:$F$102,3,FALSE),"")</f>
        <v>1325000</v>
      </c>
      <c r="K183" s="272">
        <f>IFERROR(IF(BA183="WIP - 30 Days",VLOOKUP(D183,[3]Standard!$B$9:$E$101,4,FALSE),IF(BA183="31-120 Days",VLOOKUP(D183,[3]Standard!$B$9:$F$101,5,FALSE),IF(BA183="121-365 Days",VLOOKUP(D183,[3]Standard!$B$9:$G$101,6,FALSE),VLOOKUP(D183,[3]Standard!$B$9:$H$101,7,FALSE)))),0)</f>
        <v>996267.5</v>
      </c>
      <c r="L183" s="272">
        <f>IFERROR(IF(BA183="WIP - 30 Days",VLOOKUP(D183,[3]Standard!$B$9:$J$101,9,FALSE),IF(BA183="31-120 Days",VLOOKUP(D183,[3]Standard!$B$9:$K$100,10,FALSE),IF(BA183="121-365 Days",VLOOKUP(D183,[3]Standard!$B$9:$L$101,11,FALSE),VLOOKUP(D183,[3]Standard!$B$9:$M$101,12,FALSE)))),0)</f>
        <v>967250</v>
      </c>
      <c r="M183" s="269">
        <f>IFERROR(VLOOKUP((D183&amp;C183)&amp;"",'[2]Retail Price List'!$C$4:$F$102,4,FALSE),"")</f>
        <v>1340000</v>
      </c>
      <c r="N183" s="269">
        <f>IFERROR(IF(BA183="WIP - 30 Days",VLOOKUP(D183,[3]Extended!$B$9:$E$101,4,FALSE),IF(BA183="31-120 Days",VLOOKUP(D183,[3]Extended!$B$9:$F$101,5,FALSE),IF(BA183="121-365 Days",VLOOKUP(D183,[3]Extended!$B$9:$G$101,6,FALSE),VLOOKUP(D183,[3]Extended!$B$9:$H$101,7,FALSE)))),0)</f>
        <v>1035150</v>
      </c>
      <c r="O183" s="269">
        <f>IFERROR(IF(BA183="WIP - 30 Days",VLOOKUP(D183,[3]Extended!$B$9:$J$101,9,FALSE),IF(BA183="31-120 Days",VLOOKUP(D183,[3]Extended!$B$9:$K$101,10,FALSE),IF(BA183="121-365 Days",VLOOKUP(D183,[3]Extended!$B$9:$L$101,11,FALSE),VLOOKUP(D183,[3]Extended!$B$9:$M$101,12,FALSE)))),0)</f>
        <v>1005000</v>
      </c>
      <c r="P183" s="116">
        <f t="shared" si="11"/>
        <v>0.25</v>
      </c>
      <c r="Q183" s="110" t="e">
        <f>O183-#REF!</f>
        <v>#REF!</v>
      </c>
      <c r="W183" s="311"/>
      <c r="X183" s="311"/>
      <c r="Y183" s="311"/>
      <c r="Z183" s="311"/>
      <c r="AA183" s="311"/>
      <c r="AB183" s="311"/>
      <c r="AC183" s="311"/>
      <c r="AT183" s="88" t="str">
        <f t="shared" si="12"/>
        <v>KP0004812017Q314,7</v>
      </c>
      <c r="AU183" s="89" t="str">
        <f t="shared" si="13"/>
        <v>07-2017</v>
      </c>
      <c r="BA183" s="92" t="str">
        <f t="shared" si="14"/>
        <v>WIP - 30 Days</v>
      </c>
    </row>
    <row r="184" spans="2:53">
      <c r="B184" s="60">
        <f>[2]Trucks!A181</f>
        <v>47363</v>
      </c>
      <c r="C184" s="11" t="str">
        <f>[2]Trucks!B181</f>
        <v>TGM-18-2404X4BB-C-SWA</v>
      </c>
      <c r="D184" s="19" t="str">
        <f>IFERROR(VLOOKUP(C184&amp;"",'[2]Retail Price List'!$A$3:$B$103,2,FALSE),"Special Order")</f>
        <v>KP000481</v>
      </c>
      <c r="E184" s="18" t="str">
        <f>[2]Trucks!J181</f>
        <v>CKD</v>
      </c>
      <c r="F184" s="12" t="str">
        <f>[2]Trucks!E181</f>
        <v>2017-12-5</v>
      </c>
      <c r="G184" s="56">
        <f>[2]Trucks!K181</f>
        <v>14.7</v>
      </c>
      <c r="H184" s="46">
        <f>[2]Trucks!I181</f>
        <v>42937</v>
      </c>
      <c r="I184" s="83" t="str">
        <f t="shared" si="10"/>
        <v>2017Q3</v>
      </c>
      <c r="J184" s="272">
        <f>IFERROR(VLOOKUP((D184&amp;C184)&amp;"",'[2]Retail Price List'!$C$4:$F$102,3,FALSE),"")</f>
        <v>1325000</v>
      </c>
      <c r="K184" s="272">
        <f>IFERROR(IF(BA184="WIP - 30 Days",VLOOKUP(D184,[3]Standard!$B$9:$E$101,4,FALSE),IF(BA184="31-120 Days",VLOOKUP(D184,[3]Standard!$B$9:$F$101,5,FALSE),IF(BA184="121-365 Days",VLOOKUP(D184,[3]Standard!$B$9:$G$101,6,FALSE),VLOOKUP(D184,[3]Standard!$B$9:$H$101,7,FALSE)))),0)</f>
        <v>996267.5</v>
      </c>
      <c r="L184" s="272">
        <f>IFERROR(IF(BA184="WIP - 30 Days",VLOOKUP(D184,[3]Standard!$B$9:$J$101,9,FALSE),IF(BA184="31-120 Days",VLOOKUP(D184,[3]Standard!$B$9:$K$100,10,FALSE),IF(BA184="121-365 Days",VLOOKUP(D184,[3]Standard!$B$9:$L$101,11,FALSE),VLOOKUP(D184,[3]Standard!$B$9:$M$101,12,FALSE)))),0)</f>
        <v>967250</v>
      </c>
      <c r="M184" s="269">
        <f>IFERROR(VLOOKUP((D184&amp;C184)&amp;"",'[2]Retail Price List'!$C$4:$F$102,4,FALSE),"")</f>
        <v>1340000</v>
      </c>
      <c r="N184" s="269">
        <f>IFERROR(IF(BA184="WIP - 30 Days",VLOOKUP(D184,[3]Extended!$B$9:$E$101,4,FALSE),IF(BA184="31-120 Days",VLOOKUP(D184,[3]Extended!$B$9:$F$101,5,FALSE),IF(BA184="121-365 Days",VLOOKUP(D184,[3]Extended!$B$9:$G$101,6,FALSE),VLOOKUP(D184,[3]Extended!$B$9:$H$101,7,FALSE)))),0)</f>
        <v>1035150</v>
      </c>
      <c r="O184" s="269">
        <f>IFERROR(IF(BA184="WIP - 30 Days",VLOOKUP(D184,[3]Extended!$B$9:$J$101,9,FALSE),IF(BA184="31-120 Days",VLOOKUP(D184,[3]Extended!$B$9:$K$101,10,FALSE),IF(BA184="121-365 Days",VLOOKUP(D184,[3]Extended!$B$9:$L$101,11,FALSE),VLOOKUP(D184,[3]Extended!$B$9:$M$101,12,FALSE)))),0)</f>
        <v>1005000</v>
      </c>
      <c r="P184" s="116">
        <f t="shared" si="11"/>
        <v>0.25</v>
      </c>
      <c r="Q184" s="110" t="e">
        <f>O184-#REF!</f>
        <v>#REF!</v>
      </c>
      <c r="W184" s="311"/>
      <c r="X184" s="311"/>
      <c r="Y184" s="311"/>
      <c r="Z184" s="311"/>
      <c r="AA184" s="311"/>
      <c r="AB184" s="311"/>
      <c r="AC184" s="311"/>
      <c r="AT184" s="88" t="str">
        <f t="shared" si="12"/>
        <v>KP0004812017Q314,7</v>
      </c>
      <c r="AU184" s="89" t="str">
        <f t="shared" si="13"/>
        <v>07-2017</v>
      </c>
      <c r="BA184" s="92" t="str">
        <f t="shared" si="14"/>
        <v>WIP - 30 Days</v>
      </c>
    </row>
    <row r="185" spans="2:53">
      <c r="B185" s="60">
        <f>[2]Trucks!A182</f>
        <v>47364</v>
      </c>
      <c r="C185" s="11" t="str">
        <f>[2]Trucks!B182</f>
        <v>TGM-18-2404X4BB-C-SWA</v>
      </c>
      <c r="D185" s="19" t="str">
        <f>IFERROR(VLOOKUP(C185&amp;"",'[2]Retail Price List'!$A$3:$B$103,2,FALSE),"Special Order")</f>
        <v>KP000481</v>
      </c>
      <c r="E185" s="18" t="str">
        <f>[2]Trucks!J182</f>
        <v>CKD</v>
      </c>
      <c r="F185" s="12" t="str">
        <f>[2]Trucks!E182</f>
        <v>2017-12-5</v>
      </c>
      <c r="G185" s="56">
        <f>[2]Trucks!K182</f>
        <v>14.7</v>
      </c>
      <c r="H185" s="46">
        <f>[2]Trucks!I182</f>
        <v>42937</v>
      </c>
      <c r="I185" s="83" t="str">
        <f t="shared" si="10"/>
        <v>2017Q3</v>
      </c>
      <c r="J185" s="272">
        <f>IFERROR(VLOOKUP((D185&amp;C185)&amp;"",'[2]Retail Price List'!$C$4:$F$102,3,FALSE),"")</f>
        <v>1325000</v>
      </c>
      <c r="K185" s="272">
        <f>IFERROR(IF(BA185="WIP - 30 Days",VLOOKUP(D185,[3]Standard!$B$9:$E$101,4,FALSE),IF(BA185="31-120 Days",VLOOKUP(D185,[3]Standard!$B$9:$F$101,5,FALSE),IF(BA185="121-365 Days",VLOOKUP(D185,[3]Standard!$B$9:$G$101,6,FALSE),VLOOKUP(D185,[3]Standard!$B$9:$H$101,7,FALSE)))),0)</f>
        <v>996267.5</v>
      </c>
      <c r="L185" s="272">
        <f>IFERROR(IF(BA185="WIP - 30 Days",VLOOKUP(D185,[3]Standard!$B$9:$J$101,9,FALSE),IF(BA185="31-120 Days",VLOOKUP(D185,[3]Standard!$B$9:$K$100,10,FALSE),IF(BA185="121-365 Days",VLOOKUP(D185,[3]Standard!$B$9:$L$101,11,FALSE),VLOOKUP(D185,[3]Standard!$B$9:$M$101,12,FALSE)))),0)</f>
        <v>967250</v>
      </c>
      <c r="M185" s="269">
        <f>IFERROR(VLOOKUP((D185&amp;C185)&amp;"",'[2]Retail Price List'!$C$4:$F$102,4,FALSE),"")</f>
        <v>1340000</v>
      </c>
      <c r="N185" s="269">
        <f>IFERROR(IF(BA185="WIP - 30 Days",VLOOKUP(D185,[3]Extended!$B$9:$E$101,4,FALSE),IF(BA185="31-120 Days",VLOOKUP(D185,[3]Extended!$B$9:$F$101,5,FALSE),IF(BA185="121-365 Days",VLOOKUP(D185,[3]Extended!$B$9:$G$101,6,FALSE),VLOOKUP(D185,[3]Extended!$B$9:$H$101,7,FALSE)))),0)</f>
        <v>1035150</v>
      </c>
      <c r="O185" s="269">
        <f>IFERROR(IF(BA185="WIP - 30 Days",VLOOKUP(D185,[3]Extended!$B$9:$J$101,9,FALSE),IF(BA185="31-120 Days",VLOOKUP(D185,[3]Extended!$B$9:$K$101,10,FALSE),IF(BA185="121-365 Days",VLOOKUP(D185,[3]Extended!$B$9:$L$101,11,FALSE),VLOOKUP(D185,[3]Extended!$B$9:$M$101,12,FALSE)))),0)</f>
        <v>1005000</v>
      </c>
      <c r="P185" s="116">
        <f t="shared" si="11"/>
        <v>0.25</v>
      </c>
      <c r="Q185" s="110" t="e">
        <f>O185-#REF!</f>
        <v>#REF!</v>
      </c>
      <c r="W185" s="311"/>
      <c r="X185" s="311"/>
      <c r="Y185" s="311"/>
      <c r="Z185" s="311"/>
      <c r="AA185" s="311"/>
      <c r="AB185" s="311"/>
      <c r="AC185" s="311"/>
      <c r="AT185" s="88" t="str">
        <f t="shared" si="12"/>
        <v>KP0004812017Q314,7</v>
      </c>
      <c r="AU185" s="89" t="str">
        <f t="shared" si="13"/>
        <v>07-2017</v>
      </c>
      <c r="BA185" s="92" t="str">
        <f t="shared" si="14"/>
        <v>WIP - 30 Days</v>
      </c>
    </row>
    <row r="186" spans="2:53">
      <c r="B186" s="60">
        <f>[2]Trucks!A183</f>
        <v>47365</v>
      </c>
      <c r="C186" s="11" t="str">
        <f>[2]Trucks!B183</f>
        <v>TGM-18-2404X4BB-C-SWA</v>
      </c>
      <c r="D186" s="19" t="str">
        <f>IFERROR(VLOOKUP(C186&amp;"",'[2]Retail Price List'!$A$3:$B$103,2,FALSE),"Special Order")</f>
        <v>KP000481</v>
      </c>
      <c r="E186" s="18" t="str">
        <f>[2]Trucks!J183</f>
        <v>CKD</v>
      </c>
      <c r="F186" s="12" t="str">
        <f>[2]Trucks!E183</f>
        <v>2017-12-5</v>
      </c>
      <c r="G186" s="56">
        <f>[2]Trucks!K183</f>
        <v>14.7</v>
      </c>
      <c r="H186" s="46">
        <f>[2]Trucks!I183</f>
        <v>42937</v>
      </c>
      <c r="I186" s="83" t="str">
        <f t="shared" si="10"/>
        <v>2017Q3</v>
      </c>
      <c r="J186" s="272">
        <f>IFERROR(VLOOKUP((D186&amp;C186)&amp;"",'[2]Retail Price List'!$C$4:$F$102,3,FALSE),"")</f>
        <v>1325000</v>
      </c>
      <c r="K186" s="272">
        <f>IFERROR(IF(BA186="WIP - 30 Days",VLOOKUP(D186,[3]Standard!$B$9:$E$101,4,FALSE),IF(BA186="31-120 Days",VLOOKUP(D186,[3]Standard!$B$9:$F$101,5,FALSE),IF(BA186="121-365 Days",VLOOKUP(D186,[3]Standard!$B$9:$G$101,6,FALSE),VLOOKUP(D186,[3]Standard!$B$9:$H$101,7,FALSE)))),0)</f>
        <v>996267.5</v>
      </c>
      <c r="L186" s="272">
        <f>IFERROR(IF(BA186="WIP - 30 Days",VLOOKUP(D186,[3]Standard!$B$9:$J$101,9,FALSE),IF(BA186="31-120 Days",VLOOKUP(D186,[3]Standard!$B$9:$K$100,10,FALSE),IF(BA186="121-365 Days",VLOOKUP(D186,[3]Standard!$B$9:$L$101,11,FALSE),VLOOKUP(D186,[3]Standard!$B$9:$M$101,12,FALSE)))),0)</f>
        <v>967250</v>
      </c>
      <c r="M186" s="269">
        <f>IFERROR(VLOOKUP((D186&amp;C186)&amp;"",'[2]Retail Price List'!$C$4:$F$102,4,FALSE),"")</f>
        <v>1340000</v>
      </c>
      <c r="N186" s="269">
        <f>IFERROR(IF(BA186="WIP - 30 Days",VLOOKUP(D186,[3]Extended!$B$9:$E$101,4,FALSE),IF(BA186="31-120 Days",VLOOKUP(D186,[3]Extended!$B$9:$F$101,5,FALSE),IF(BA186="121-365 Days",VLOOKUP(D186,[3]Extended!$B$9:$G$101,6,FALSE),VLOOKUP(D186,[3]Extended!$B$9:$H$101,7,FALSE)))),0)</f>
        <v>1035150</v>
      </c>
      <c r="O186" s="269">
        <f>IFERROR(IF(BA186="WIP - 30 Days",VLOOKUP(D186,[3]Extended!$B$9:$J$101,9,FALSE),IF(BA186="31-120 Days",VLOOKUP(D186,[3]Extended!$B$9:$K$101,10,FALSE),IF(BA186="121-365 Days",VLOOKUP(D186,[3]Extended!$B$9:$L$101,11,FALSE),VLOOKUP(D186,[3]Extended!$B$9:$M$101,12,FALSE)))),0)</f>
        <v>1005000</v>
      </c>
      <c r="P186" s="116">
        <f t="shared" si="11"/>
        <v>0.25</v>
      </c>
      <c r="Q186" s="110" t="e">
        <f>O186-#REF!</f>
        <v>#REF!</v>
      </c>
      <c r="W186" s="311"/>
      <c r="X186" s="311"/>
      <c r="Y186" s="311"/>
      <c r="Z186" s="311"/>
      <c r="AA186" s="311"/>
      <c r="AB186" s="311"/>
      <c r="AC186" s="311"/>
      <c r="AT186" s="88" t="str">
        <f t="shared" si="12"/>
        <v>KP0004812017Q314,7</v>
      </c>
      <c r="AU186" s="89" t="str">
        <f t="shared" si="13"/>
        <v>07-2017</v>
      </c>
      <c r="BA186" s="92" t="str">
        <f t="shared" si="14"/>
        <v>WIP - 30 Days</v>
      </c>
    </row>
    <row r="187" spans="2:53">
      <c r="B187" s="60">
        <f>[2]Trucks!A184</f>
        <v>47371</v>
      </c>
      <c r="C187" s="11" t="str">
        <f>[2]Trucks!B184</f>
        <v>TGM-18-2404X4BB-C-SWA</v>
      </c>
      <c r="D187" s="19" t="str">
        <f>IFERROR(VLOOKUP(C187&amp;"",'[2]Retail Price List'!$A$3:$B$103,2,FALSE),"Special Order")</f>
        <v>KP000481</v>
      </c>
      <c r="E187" s="18" t="str">
        <f>[2]Trucks!J184</f>
        <v>CKD</v>
      </c>
      <c r="F187" s="12" t="str">
        <f>[2]Trucks!E184</f>
        <v>2017-12-4</v>
      </c>
      <c r="G187" s="56">
        <f>[2]Trucks!K184</f>
        <v>14.7</v>
      </c>
      <c r="H187" s="46">
        <f>[2]Trucks!I184</f>
        <v>42935</v>
      </c>
      <c r="I187" s="83" t="str">
        <f t="shared" si="10"/>
        <v>2017Q3</v>
      </c>
      <c r="J187" s="272">
        <f>IFERROR(VLOOKUP((D187&amp;C187)&amp;"",'[2]Retail Price List'!$C$4:$F$102,3,FALSE),"")</f>
        <v>1325000</v>
      </c>
      <c r="K187" s="272">
        <f>IFERROR(IF(BA187="WIP - 30 Days",VLOOKUP(D187,[3]Standard!$B$9:$E$101,4,FALSE),IF(BA187="31-120 Days",VLOOKUP(D187,[3]Standard!$B$9:$F$101,5,FALSE),IF(BA187="121-365 Days",VLOOKUP(D187,[3]Standard!$B$9:$G$101,6,FALSE),VLOOKUP(D187,[3]Standard!$B$9:$H$101,7,FALSE)))),0)</f>
        <v>996267.5</v>
      </c>
      <c r="L187" s="272">
        <f>IFERROR(IF(BA187="WIP - 30 Days",VLOOKUP(D187,[3]Standard!$B$9:$J$101,9,FALSE),IF(BA187="31-120 Days",VLOOKUP(D187,[3]Standard!$B$9:$K$100,10,FALSE),IF(BA187="121-365 Days",VLOOKUP(D187,[3]Standard!$B$9:$L$101,11,FALSE),VLOOKUP(D187,[3]Standard!$B$9:$M$101,12,FALSE)))),0)</f>
        <v>967250</v>
      </c>
      <c r="M187" s="269">
        <f>IFERROR(VLOOKUP((D187&amp;C187)&amp;"",'[2]Retail Price List'!$C$4:$F$102,4,FALSE),"")</f>
        <v>1340000</v>
      </c>
      <c r="N187" s="269">
        <f>IFERROR(IF(BA187="WIP - 30 Days",VLOOKUP(D187,[3]Extended!$B$9:$E$101,4,FALSE),IF(BA187="31-120 Days",VLOOKUP(D187,[3]Extended!$B$9:$F$101,5,FALSE),IF(BA187="121-365 Days",VLOOKUP(D187,[3]Extended!$B$9:$G$101,6,FALSE),VLOOKUP(D187,[3]Extended!$B$9:$H$101,7,FALSE)))),0)</f>
        <v>1035150</v>
      </c>
      <c r="O187" s="269">
        <f>IFERROR(IF(BA187="WIP - 30 Days",VLOOKUP(D187,[3]Extended!$B$9:$J$101,9,FALSE),IF(BA187="31-120 Days",VLOOKUP(D187,[3]Extended!$B$9:$K$101,10,FALSE),IF(BA187="121-365 Days",VLOOKUP(D187,[3]Extended!$B$9:$L$101,11,FALSE),VLOOKUP(D187,[3]Extended!$B$9:$M$101,12,FALSE)))),0)</f>
        <v>1005000</v>
      </c>
      <c r="P187" s="116">
        <f t="shared" si="11"/>
        <v>0.25</v>
      </c>
      <c r="Q187" s="110" t="e">
        <f>O187-#REF!</f>
        <v>#REF!</v>
      </c>
      <c r="W187" s="311"/>
      <c r="X187" s="311"/>
      <c r="Y187" s="311"/>
      <c r="Z187" s="311"/>
      <c r="AA187" s="311"/>
      <c r="AB187" s="311"/>
      <c r="AC187" s="311"/>
      <c r="AT187" s="88" t="str">
        <f t="shared" si="12"/>
        <v>KP0004812017Q314,7</v>
      </c>
      <c r="AU187" s="89" t="str">
        <f t="shared" si="13"/>
        <v>07-2017</v>
      </c>
      <c r="BA187" s="92" t="str">
        <f t="shared" si="14"/>
        <v>WIP - 30 Days</v>
      </c>
    </row>
    <row r="188" spans="2:53">
      <c r="B188" s="60">
        <f>[2]Trucks!A185</f>
        <v>47372</v>
      </c>
      <c r="C188" s="11" t="str">
        <f>[2]Trucks!B185</f>
        <v>TGM-18-2404X4BB-C-SWA</v>
      </c>
      <c r="D188" s="19" t="str">
        <f>IFERROR(VLOOKUP(C188&amp;"",'[2]Retail Price List'!$A$3:$B$103,2,FALSE),"Special Order")</f>
        <v>KP000481</v>
      </c>
      <c r="E188" s="18" t="str">
        <f>[2]Trucks!J185</f>
        <v>CKD</v>
      </c>
      <c r="F188" s="12" t="str">
        <f>[2]Trucks!E185</f>
        <v>2017-12-4</v>
      </c>
      <c r="G188" s="56">
        <f>[2]Trucks!K185</f>
        <v>14.7</v>
      </c>
      <c r="H188" s="46">
        <f>[2]Trucks!I185</f>
        <v>42935</v>
      </c>
      <c r="I188" s="83" t="str">
        <f t="shared" si="10"/>
        <v>2017Q3</v>
      </c>
      <c r="J188" s="272">
        <f>IFERROR(VLOOKUP((D188&amp;C188)&amp;"",'[2]Retail Price List'!$C$4:$F$102,3,FALSE),"")</f>
        <v>1325000</v>
      </c>
      <c r="K188" s="272">
        <f>IFERROR(IF(BA188="WIP - 30 Days",VLOOKUP(D188,[3]Standard!$B$9:$E$101,4,FALSE),IF(BA188="31-120 Days",VLOOKUP(D188,[3]Standard!$B$9:$F$101,5,FALSE),IF(BA188="121-365 Days",VLOOKUP(D188,[3]Standard!$B$9:$G$101,6,FALSE),VLOOKUP(D188,[3]Standard!$B$9:$H$101,7,FALSE)))),0)</f>
        <v>996267.5</v>
      </c>
      <c r="L188" s="272">
        <f>IFERROR(IF(BA188="WIP - 30 Days",VLOOKUP(D188,[3]Standard!$B$9:$J$101,9,FALSE),IF(BA188="31-120 Days",VLOOKUP(D188,[3]Standard!$B$9:$K$100,10,FALSE),IF(BA188="121-365 Days",VLOOKUP(D188,[3]Standard!$B$9:$L$101,11,FALSE),VLOOKUP(D188,[3]Standard!$B$9:$M$101,12,FALSE)))),0)</f>
        <v>967250</v>
      </c>
      <c r="M188" s="269">
        <f>IFERROR(VLOOKUP((D188&amp;C188)&amp;"",'[2]Retail Price List'!$C$4:$F$102,4,FALSE),"")</f>
        <v>1340000</v>
      </c>
      <c r="N188" s="269">
        <f>IFERROR(IF(BA188="WIP - 30 Days",VLOOKUP(D188,[3]Extended!$B$9:$E$101,4,FALSE),IF(BA188="31-120 Days",VLOOKUP(D188,[3]Extended!$B$9:$F$101,5,FALSE),IF(BA188="121-365 Days",VLOOKUP(D188,[3]Extended!$B$9:$G$101,6,FALSE),VLOOKUP(D188,[3]Extended!$B$9:$H$101,7,FALSE)))),0)</f>
        <v>1035150</v>
      </c>
      <c r="O188" s="269">
        <f>IFERROR(IF(BA188="WIP - 30 Days",VLOOKUP(D188,[3]Extended!$B$9:$J$101,9,FALSE),IF(BA188="31-120 Days",VLOOKUP(D188,[3]Extended!$B$9:$K$101,10,FALSE),IF(BA188="121-365 Days",VLOOKUP(D188,[3]Extended!$B$9:$L$101,11,FALSE),VLOOKUP(D188,[3]Extended!$B$9:$M$101,12,FALSE)))),0)</f>
        <v>1005000</v>
      </c>
      <c r="P188" s="116">
        <f t="shared" si="11"/>
        <v>0.25</v>
      </c>
      <c r="Q188" s="110" t="e">
        <f>O188-#REF!</f>
        <v>#REF!</v>
      </c>
      <c r="W188" s="311"/>
      <c r="X188" s="311"/>
      <c r="Y188" s="311"/>
      <c r="Z188" s="311"/>
      <c r="AA188" s="311"/>
      <c r="AB188" s="311"/>
      <c r="AC188" s="311"/>
      <c r="AT188" s="88" t="str">
        <f t="shared" si="12"/>
        <v>KP0004812017Q314,7</v>
      </c>
      <c r="AU188" s="89" t="str">
        <f t="shared" si="13"/>
        <v>07-2017</v>
      </c>
      <c r="BA188" s="92" t="str">
        <f t="shared" si="14"/>
        <v>WIP - 30 Days</v>
      </c>
    </row>
    <row r="189" spans="2:53">
      <c r="B189" s="60">
        <f>[2]Trucks!A186</f>
        <v>47373</v>
      </c>
      <c r="C189" s="11" t="str">
        <f>[2]Trucks!B186</f>
        <v>TGM-18-2404X4BB-C-SWA</v>
      </c>
      <c r="D189" s="19" t="str">
        <f>IFERROR(VLOOKUP(C189&amp;"",'[2]Retail Price List'!$A$3:$B$103,2,FALSE),"Special Order")</f>
        <v>KP000481</v>
      </c>
      <c r="E189" s="18" t="str">
        <f>[2]Trucks!J186</f>
        <v>CKD</v>
      </c>
      <c r="F189" s="12" t="str">
        <f>[2]Trucks!E186</f>
        <v>2017-12-4</v>
      </c>
      <c r="G189" s="56">
        <f>[2]Trucks!K186</f>
        <v>14.7</v>
      </c>
      <c r="H189" s="46">
        <f>[2]Trucks!I186</f>
        <v>42935</v>
      </c>
      <c r="I189" s="83" t="str">
        <f t="shared" si="10"/>
        <v>2017Q3</v>
      </c>
      <c r="J189" s="272">
        <f>IFERROR(VLOOKUP((D189&amp;C189)&amp;"",'[2]Retail Price List'!$C$4:$F$102,3,FALSE),"")</f>
        <v>1325000</v>
      </c>
      <c r="K189" s="272">
        <f>IFERROR(IF(BA189="WIP - 30 Days",VLOOKUP(D189,[3]Standard!$B$9:$E$101,4,FALSE),IF(BA189="31-120 Days",VLOOKUP(D189,[3]Standard!$B$9:$F$101,5,FALSE),IF(BA189="121-365 Days",VLOOKUP(D189,[3]Standard!$B$9:$G$101,6,FALSE),VLOOKUP(D189,[3]Standard!$B$9:$H$101,7,FALSE)))),0)</f>
        <v>996267.5</v>
      </c>
      <c r="L189" s="272">
        <f>IFERROR(IF(BA189="WIP - 30 Days",VLOOKUP(D189,[3]Standard!$B$9:$J$101,9,FALSE),IF(BA189="31-120 Days",VLOOKUP(D189,[3]Standard!$B$9:$K$100,10,FALSE),IF(BA189="121-365 Days",VLOOKUP(D189,[3]Standard!$B$9:$L$101,11,FALSE),VLOOKUP(D189,[3]Standard!$B$9:$M$101,12,FALSE)))),0)</f>
        <v>967250</v>
      </c>
      <c r="M189" s="269">
        <f>IFERROR(VLOOKUP((D189&amp;C189)&amp;"",'[2]Retail Price List'!$C$4:$F$102,4,FALSE),"")</f>
        <v>1340000</v>
      </c>
      <c r="N189" s="269">
        <f>IFERROR(IF(BA189="WIP - 30 Days",VLOOKUP(D189,[3]Extended!$B$9:$E$101,4,FALSE),IF(BA189="31-120 Days",VLOOKUP(D189,[3]Extended!$B$9:$F$101,5,FALSE),IF(BA189="121-365 Days",VLOOKUP(D189,[3]Extended!$B$9:$G$101,6,FALSE),VLOOKUP(D189,[3]Extended!$B$9:$H$101,7,FALSE)))),0)</f>
        <v>1035150</v>
      </c>
      <c r="O189" s="269">
        <f>IFERROR(IF(BA189="WIP - 30 Days",VLOOKUP(D189,[3]Extended!$B$9:$J$101,9,FALSE),IF(BA189="31-120 Days",VLOOKUP(D189,[3]Extended!$B$9:$K$101,10,FALSE),IF(BA189="121-365 Days",VLOOKUP(D189,[3]Extended!$B$9:$L$101,11,FALSE),VLOOKUP(D189,[3]Extended!$B$9:$M$101,12,FALSE)))),0)</f>
        <v>1005000</v>
      </c>
      <c r="P189" s="116">
        <f t="shared" si="11"/>
        <v>0.25</v>
      </c>
      <c r="Q189" s="110" t="e">
        <f>O189-#REF!</f>
        <v>#REF!</v>
      </c>
      <c r="W189" s="311"/>
      <c r="X189" s="311"/>
      <c r="Y189" s="311"/>
      <c r="Z189" s="311"/>
      <c r="AA189" s="311"/>
      <c r="AB189" s="311"/>
      <c r="AC189" s="311"/>
      <c r="AT189" s="88" t="str">
        <f t="shared" si="12"/>
        <v>KP0004812017Q314,7</v>
      </c>
      <c r="AU189" s="89" t="str">
        <f t="shared" si="13"/>
        <v>07-2017</v>
      </c>
      <c r="BA189" s="92" t="str">
        <f t="shared" si="14"/>
        <v>WIP - 30 Days</v>
      </c>
    </row>
    <row r="190" spans="2:53">
      <c r="B190" s="60">
        <f>[2]Trucks!A187</f>
        <v>47374</v>
      </c>
      <c r="C190" s="11" t="str">
        <f>[2]Trucks!B187</f>
        <v>TGM-18-2404X4BB-C-SWA</v>
      </c>
      <c r="D190" s="19" t="str">
        <f>IFERROR(VLOOKUP(C190&amp;"",'[2]Retail Price List'!$A$3:$B$103,2,FALSE),"Special Order")</f>
        <v>KP000481</v>
      </c>
      <c r="E190" s="18" t="str">
        <f>[2]Trucks!J187</f>
        <v>CKD</v>
      </c>
      <c r="F190" s="12" t="str">
        <f>[2]Trucks!E187</f>
        <v>2017-12-4</v>
      </c>
      <c r="G190" s="56">
        <f>[2]Trucks!K187</f>
        <v>14.7</v>
      </c>
      <c r="H190" s="46">
        <f>[2]Trucks!I187</f>
        <v>42935</v>
      </c>
      <c r="I190" s="83" t="str">
        <f t="shared" si="10"/>
        <v>2017Q3</v>
      </c>
      <c r="J190" s="272">
        <f>IFERROR(VLOOKUP((D190&amp;C190)&amp;"",'[2]Retail Price List'!$C$4:$F$102,3,FALSE),"")</f>
        <v>1325000</v>
      </c>
      <c r="K190" s="272">
        <f>IFERROR(IF(BA190="WIP - 30 Days",VLOOKUP(D190,[3]Standard!$B$9:$E$101,4,FALSE),IF(BA190="31-120 Days",VLOOKUP(D190,[3]Standard!$B$9:$F$101,5,FALSE),IF(BA190="121-365 Days",VLOOKUP(D190,[3]Standard!$B$9:$G$101,6,FALSE),VLOOKUP(D190,[3]Standard!$B$9:$H$101,7,FALSE)))),0)</f>
        <v>996267.5</v>
      </c>
      <c r="L190" s="272">
        <f>IFERROR(IF(BA190="WIP - 30 Days",VLOOKUP(D190,[3]Standard!$B$9:$J$101,9,FALSE),IF(BA190="31-120 Days",VLOOKUP(D190,[3]Standard!$B$9:$K$100,10,FALSE),IF(BA190="121-365 Days",VLOOKUP(D190,[3]Standard!$B$9:$L$101,11,FALSE),VLOOKUP(D190,[3]Standard!$B$9:$M$101,12,FALSE)))),0)</f>
        <v>967250</v>
      </c>
      <c r="M190" s="269">
        <f>IFERROR(VLOOKUP((D190&amp;C190)&amp;"",'[2]Retail Price List'!$C$4:$F$102,4,FALSE),"")</f>
        <v>1340000</v>
      </c>
      <c r="N190" s="269">
        <f>IFERROR(IF(BA190="WIP - 30 Days",VLOOKUP(D190,[3]Extended!$B$9:$E$101,4,FALSE),IF(BA190="31-120 Days",VLOOKUP(D190,[3]Extended!$B$9:$F$101,5,FALSE),IF(BA190="121-365 Days",VLOOKUP(D190,[3]Extended!$B$9:$G$101,6,FALSE),VLOOKUP(D190,[3]Extended!$B$9:$H$101,7,FALSE)))),0)</f>
        <v>1035150</v>
      </c>
      <c r="O190" s="269">
        <f>IFERROR(IF(BA190="WIP - 30 Days",VLOOKUP(D190,[3]Extended!$B$9:$J$101,9,FALSE),IF(BA190="31-120 Days",VLOOKUP(D190,[3]Extended!$B$9:$K$101,10,FALSE),IF(BA190="121-365 Days",VLOOKUP(D190,[3]Extended!$B$9:$L$101,11,FALSE),VLOOKUP(D190,[3]Extended!$B$9:$M$101,12,FALSE)))),0)</f>
        <v>1005000</v>
      </c>
      <c r="P190" s="116">
        <f t="shared" si="11"/>
        <v>0.25</v>
      </c>
      <c r="Q190" s="110" t="e">
        <f>O190-#REF!</f>
        <v>#REF!</v>
      </c>
      <c r="W190" s="311"/>
      <c r="X190" s="311"/>
      <c r="Y190" s="311"/>
      <c r="Z190" s="311"/>
      <c r="AA190" s="311"/>
      <c r="AB190" s="311"/>
      <c r="AC190" s="311"/>
      <c r="AT190" s="88" t="str">
        <f t="shared" si="12"/>
        <v>KP0004812017Q314,7</v>
      </c>
      <c r="AU190" s="89" t="str">
        <f t="shared" si="13"/>
        <v>07-2017</v>
      </c>
      <c r="BA190" s="92" t="str">
        <f t="shared" si="14"/>
        <v>WIP - 30 Days</v>
      </c>
    </row>
    <row r="191" spans="2:53">
      <c r="B191" s="60">
        <f>[2]Trucks!A188</f>
        <v>47375</v>
      </c>
      <c r="C191" s="11" t="str">
        <f>[2]Trucks!B188</f>
        <v>TGM-18-2404X4BB-C-SWA</v>
      </c>
      <c r="D191" s="19" t="str">
        <f>IFERROR(VLOOKUP(C191&amp;"",'[2]Retail Price List'!$A$3:$B$103,2,FALSE),"Special Order")</f>
        <v>KP000481</v>
      </c>
      <c r="E191" s="18" t="str">
        <f>[2]Trucks!J188</f>
        <v>CKD</v>
      </c>
      <c r="F191" s="12" t="str">
        <f>[2]Trucks!E188</f>
        <v>2017-12-4</v>
      </c>
      <c r="G191" s="56">
        <f>[2]Trucks!K188</f>
        <v>14.7</v>
      </c>
      <c r="H191" s="46">
        <f>[2]Trucks!I188</f>
        <v>42935</v>
      </c>
      <c r="I191" s="83" t="str">
        <f t="shared" si="10"/>
        <v>2017Q3</v>
      </c>
      <c r="J191" s="272">
        <f>IFERROR(VLOOKUP((D191&amp;C191)&amp;"",'[2]Retail Price List'!$C$4:$F$102,3,FALSE),"")</f>
        <v>1325000</v>
      </c>
      <c r="K191" s="272">
        <f>IFERROR(IF(BA191="WIP - 30 Days",VLOOKUP(D191,[3]Standard!$B$9:$E$101,4,FALSE),IF(BA191="31-120 Days",VLOOKUP(D191,[3]Standard!$B$9:$F$101,5,FALSE),IF(BA191="121-365 Days",VLOOKUP(D191,[3]Standard!$B$9:$G$101,6,FALSE),VLOOKUP(D191,[3]Standard!$B$9:$H$101,7,FALSE)))),0)</f>
        <v>996267.5</v>
      </c>
      <c r="L191" s="272">
        <f>IFERROR(IF(BA191="WIP - 30 Days",VLOOKUP(D191,[3]Standard!$B$9:$J$101,9,FALSE),IF(BA191="31-120 Days",VLOOKUP(D191,[3]Standard!$B$9:$K$100,10,FALSE),IF(BA191="121-365 Days",VLOOKUP(D191,[3]Standard!$B$9:$L$101,11,FALSE),VLOOKUP(D191,[3]Standard!$B$9:$M$101,12,FALSE)))),0)</f>
        <v>967250</v>
      </c>
      <c r="M191" s="269">
        <f>IFERROR(VLOOKUP((D191&amp;C191)&amp;"",'[2]Retail Price List'!$C$4:$F$102,4,FALSE),"")</f>
        <v>1340000</v>
      </c>
      <c r="N191" s="269">
        <f>IFERROR(IF(BA191="WIP - 30 Days",VLOOKUP(D191,[3]Extended!$B$9:$E$101,4,FALSE),IF(BA191="31-120 Days",VLOOKUP(D191,[3]Extended!$B$9:$F$101,5,FALSE),IF(BA191="121-365 Days",VLOOKUP(D191,[3]Extended!$B$9:$G$101,6,FALSE),VLOOKUP(D191,[3]Extended!$B$9:$H$101,7,FALSE)))),0)</f>
        <v>1035150</v>
      </c>
      <c r="O191" s="269">
        <f>IFERROR(IF(BA191="WIP - 30 Days",VLOOKUP(D191,[3]Extended!$B$9:$J$101,9,FALSE),IF(BA191="31-120 Days",VLOOKUP(D191,[3]Extended!$B$9:$K$101,10,FALSE),IF(BA191="121-365 Days",VLOOKUP(D191,[3]Extended!$B$9:$L$101,11,FALSE),VLOOKUP(D191,[3]Extended!$B$9:$M$101,12,FALSE)))),0)</f>
        <v>1005000</v>
      </c>
      <c r="P191" s="116">
        <f t="shared" si="11"/>
        <v>0.25</v>
      </c>
      <c r="Q191" s="110" t="e">
        <f>O191-#REF!</f>
        <v>#REF!</v>
      </c>
      <c r="W191" s="311"/>
      <c r="X191" s="311"/>
      <c r="Y191" s="311"/>
      <c r="Z191" s="311"/>
      <c r="AA191" s="311"/>
      <c r="AB191" s="311"/>
      <c r="AC191" s="311"/>
      <c r="AT191" s="88" t="str">
        <f t="shared" si="12"/>
        <v>KP0004812017Q314,7</v>
      </c>
      <c r="AU191" s="89" t="str">
        <f t="shared" si="13"/>
        <v>07-2017</v>
      </c>
      <c r="BA191" s="92" t="str">
        <f t="shared" si="14"/>
        <v>WIP - 30 Days</v>
      </c>
    </row>
    <row r="192" spans="2:53">
      <c r="B192" s="60">
        <f>[2]Trucks!A189</f>
        <v>47694</v>
      </c>
      <c r="C192" s="11" t="str">
        <f>[2]Trucks!B189</f>
        <v>TGM-18-2404X4BB-C-SWA</v>
      </c>
      <c r="D192" s="19" t="str">
        <f>IFERROR(VLOOKUP(C192&amp;"",'[2]Retail Price List'!$A$3:$B$103,2,FALSE),"Special Order")</f>
        <v>KP000481</v>
      </c>
      <c r="E192" s="18" t="str">
        <f>[2]Trucks!J189</f>
        <v>CKD</v>
      </c>
      <c r="F192" s="12" t="str">
        <f>[2]Trucks!E189</f>
        <v>2018-02-15</v>
      </c>
      <c r="G192" s="56">
        <f>[2]Trucks!K189</f>
        <v>14.7</v>
      </c>
      <c r="H192" s="46">
        <f>[2]Trucks!I189</f>
        <v>42947</v>
      </c>
      <c r="I192" s="83" t="str">
        <f t="shared" si="10"/>
        <v>2017Q3</v>
      </c>
      <c r="J192" s="272">
        <f>IFERROR(VLOOKUP((D192&amp;C192)&amp;"",'[2]Retail Price List'!$C$4:$F$102,3,FALSE),"")</f>
        <v>1325000</v>
      </c>
      <c r="K192" s="272">
        <f>IFERROR(IF(BA192="WIP - 30 Days",VLOOKUP(D192,[3]Standard!$B$9:$E$101,4,FALSE),IF(BA192="31-120 Days",VLOOKUP(D192,[3]Standard!$B$9:$F$101,5,FALSE),IF(BA192="121-365 Days",VLOOKUP(D192,[3]Standard!$B$9:$G$101,6,FALSE),VLOOKUP(D192,[3]Standard!$B$9:$H$101,7,FALSE)))),0)</f>
        <v>996267.5</v>
      </c>
      <c r="L192" s="272">
        <f>IFERROR(IF(BA192="WIP - 30 Days",VLOOKUP(D192,[3]Standard!$B$9:$J$101,9,FALSE),IF(BA192="31-120 Days",VLOOKUP(D192,[3]Standard!$B$9:$K$100,10,FALSE),IF(BA192="121-365 Days",VLOOKUP(D192,[3]Standard!$B$9:$L$101,11,FALSE),VLOOKUP(D192,[3]Standard!$B$9:$M$101,12,FALSE)))),0)</f>
        <v>967250</v>
      </c>
      <c r="M192" s="269">
        <f>IFERROR(VLOOKUP((D192&amp;C192)&amp;"",'[2]Retail Price List'!$C$4:$F$102,4,FALSE),"")</f>
        <v>1340000</v>
      </c>
      <c r="N192" s="269">
        <f>IFERROR(IF(BA192="WIP - 30 Days",VLOOKUP(D192,[3]Extended!$B$9:$E$101,4,FALSE),IF(BA192="31-120 Days",VLOOKUP(D192,[3]Extended!$B$9:$F$101,5,FALSE),IF(BA192="121-365 Days",VLOOKUP(D192,[3]Extended!$B$9:$G$101,6,FALSE),VLOOKUP(D192,[3]Extended!$B$9:$H$101,7,FALSE)))),0)</f>
        <v>1035150</v>
      </c>
      <c r="O192" s="269">
        <f>IFERROR(IF(BA192="WIP - 30 Days",VLOOKUP(D192,[3]Extended!$B$9:$J$101,9,FALSE),IF(BA192="31-120 Days",VLOOKUP(D192,[3]Extended!$B$9:$K$101,10,FALSE),IF(BA192="121-365 Days",VLOOKUP(D192,[3]Extended!$B$9:$L$101,11,FALSE),VLOOKUP(D192,[3]Extended!$B$9:$M$101,12,FALSE)))),0)</f>
        <v>1005000</v>
      </c>
      <c r="P192" s="116">
        <f t="shared" si="11"/>
        <v>0.25</v>
      </c>
      <c r="Q192" s="110" t="e">
        <f>O192-#REF!</f>
        <v>#REF!</v>
      </c>
      <c r="W192" s="311"/>
      <c r="X192" s="311"/>
      <c r="Y192" s="311"/>
      <c r="Z192" s="311"/>
      <c r="AA192" s="311"/>
      <c r="AB192" s="311"/>
      <c r="AC192" s="311"/>
      <c r="AT192" s="88" t="str">
        <f t="shared" si="12"/>
        <v>KP0004812017Q314,7</v>
      </c>
      <c r="AU192" s="89" t="str">
        <f t="shared" si="13"/>
        <v>07-2017</v>
      </c>
      <c r="BA192" s="92" t="str">
        <f t="shared" si="14"/>
        <v>WIP - 30 Days</v>
      </c>
    </row>
    <row r="193" spans="1:56">
      <c r="B193" s="60">
        <f>[2]Trucks!A190</f>
        <v>47695</v>
      </c>
      <c r="C193" s="11" t="str">
        <f>[2]Trucks!B190</f>
        <v>TGM-18-2404X4BB-C-SWA</v>
      </c>
      <c r="D193" s="19" t="str">
        <f>IFERROR(VLOOKUP(C193&amp;"",'[2]Retail Price List'!$A$3:$B$103,2,FALSE),"Special Order")</f>
        <v>KP000481</v>
      </c>
      <c r="E193" s="18" t="str">
        <f>[2]Trucks!J190</f>
        <v>CKD</v>
      </c>
      <c r="F193" s="12" t="str">
        <f>[2]Trucks!E190</f>
        <v>2018-02-15</v>
      </c>
      <c r="G193" s="56">
        <f>[2]Trucks!K190</f>
        <v>14.7</v>
      </c>
      <c r="H193" s="46">
        <f>[2]Trucks!I190</f>
        <v>42947</v>
      </c>
      <c r="I193" s="83" t="str">
        <f t="shared" si="10"/>
        <v>2017Q3</v>
      </c>
      <c r="J193" s="272">
        <f>IFERROR(VLOOKUP((D193&amp;C193)&amp;"",'[2]Retail Price List'!$C$4:$F$102,3,FALSE),"")</f>
        <v>1325000</v>
      </c>
      <c r="K193" s="272">
        <f>IFERROR(IF(BA193="WIP - 30 Days",VLOOKUP(D193,[3]Standard!$B$9:$E$101,4,FALSE),IF(BA193="31-120 Days",VLOOKUP(D193,[3]Standard!$B$9:$F$101,5,FALSE),IF(BA193="121-365 Days",VLOOKUP(D193,[3]Standard!$B$9:$G$101,6,FALSE),VLOOKUP(D193,[3]Standard!$B$9:$H$101,7,FALSE)))),0)</f>
        <v>996267.5</v>
      </c>
      <c r="L193" s="272">
        <f>IFERROR(IF(BA193="WIP - 30 Days",VLOOKUP(D193,[3]Standard!$B$9:$J$101,9,FALSE),IF(BA193="31-120 Days",VLOOKUP(D193,[3]Standard!$B$9:$K$100,10,FALSE),IF(BA193="121-365 Days",VLOOKUP(D193,[3]Standard!$B$9:$L$101,11,FALSE),VLOOKUP(D193,[3]Standard!$B$9:$M$101,12,FALSE)))),0)</f>
        <v>967250</v>
      </c>
      <c r="M193" s="269">
        <f>IFERROR(VLOOKUP((D193&amp;C193)&amp;"",'[2]Retail Price List'!$C$4:$F$102,4,FALSE),"")</f>
        <v>1340000</v>
      </c>
      <c r="N193" s="269">
        <f>IFERROR(IF(BA193="WIP - 30 Days",VLOOKUP(D193,[3]Extended!$B$9:$E$101,4,FALSE),IF(BA193="31-120 Days",VLOOKUP(D193,[3]Extended!$B$9:$F$101,5,FALSE),IF(BA193="121-365 Days",VLOOKUP(D193,[3]Extended!$B$9:$G$101,6,FALSE),VLOOKUP(D193,[3]Extended!$B$9:$H$101,7,FALSE)))),0)</f>
        <v>1035150</v>
      </c>
      <c r="O193" s="269">
        <f>IFERROR(IF(BA193="WIP - 30 Days",VLOOKUP(D193,[3]Extended!$B$9:$J$101,9,FALSE),IF(BA193="31-120 Days",VLOOKUP(D193,[3]Extended!$B$9:$K$101,10,FALSE),IF(BA193="121-365 Days",VLOOKUP(D193,[3]Extended!$B$9:$L$101,11,FALSE),VLOOKUP(D193,[3]Extended!$B$9:$M$101,12,FALSE)))),0)</f>
        <v>1005000</v>
      </c>
      <c r="P193" s="116">
        <f t="shared" si="11"/>
        <v>0.25</v>
      </c>
      <c r="Q193" s="110" t="e">
        <f>O193-#REF!</f>
        <v>#REF!</v>
      </c>
      <c r="W193" s="311"/>
      <c r="X193" s="311"/>
      <c r="Y193" s="311"/>
      <c r="Z193" s="311"/>
      <c r="AA193" s="311"/>
      <c r="AB193" s="311"/>
      <c r="AC193" s="311"/>
      <c r="AT193" s="88" t="str">
        <f t="shared" si="12"/>
        <v>KP0004812017Q314,7</v>
      </c>
      <c r="AU193" s="89" t="str">
        <f t="shared" si="13"/>
        <v>07-2017</v>
      </c>
      <c r="BA193" s="92" t="str">
        <f t="shared" si="14"/>
        <v>WIP - 30 Days</v>
      </c>
    </row>
    <row r="194" spans="1:56">
      <c r="B194" s="60" t="str">
        <f>[2]Trucks!A191</f>
        <v>N64-0623</v>
      </c>
      <c r="C194" s="11" t="str">
        <f>[2]Trucks!B191</f>
        <v>TGM-18-2404X4BB-C-SWA</v>
      </c>
      <c r="D194" s="19" t="str">
        <f>IFERROR(VLOOKUP(C194&amp;"",'[2]Retail Price List'!$A$3:$B$103,2,FALSE),"Special Order")</f>
        <v>KP000481</v>
      </c>
      <c r="E194" s="18" t="str">
        <f>[2]Trucks!J191</f>
        <v>DEMO</v>
      </c>
      <c r="F194" s="12">
        <f>[2]Trucks!E191</f>
        <v>165</v>
      </c>
      <c r="G194" s="56">
        <f>[2]Trucks!K191</f>
        <v>17.3</v>
      </c>
      <c r="H194" s="46">
        <f>[2]Trucks!I191</f>
        <v>42564</v>
      </c>
      <c r="I194" s="83" t="str">
        <f t="shared" si="10"/>
        <v>2016Q3</v>
      </c>
      <c r="J194" s="272">
        <f>IFERROR(VLOOKUP((D194&amp;C194)&amp;"",'[2]Retail Price List'!$C$4:$F$102,3,FALSE),"")</f>
        <v>1325000</v>
      </c>
      <c r="K194" s="272">
        <f>IFERROR(IF(BA194="WIP - 30 Days",VLOOKUP(D194,[3]Standard!$B$9:$E$101,4,FALSE),IF(BA194="31-120 Days",VLOOKUP(D194,[3]Standard!$B$9:$F$101,5,FALSE),IF(BA194="121-365 Days",VLOOKUP(D194,[3]Standard!$B$9:$G$101,6,FALSE),VLOOKUP(D194,[3]Standard!$B$9:$H$101,7,FALSE)))),0)</f>
        <v>968972.5</v>
      </c>
      <c r="L194" s="272">
        <f>IFERROR(IF(BA194="WIP - 30 Days",VLOOKUP(D194,[3]Standard!$B$9:$J$101,9,FALSE),IF(BA194="31-120 Days",VLOOKUP(D194,[3]Standard!$B$9:$K$100,10,FALSE),IF(BA194="121-365 Days",VLOOKUP(D194,[3]Standard!$B$9:$L$101,11,FALSE),VLOOKUP(D194,[3]Standard!$B$9:$M$101,12,FALSE)))),0)</f>
        <v>940750</v>
      </c>
      <c r="M194" s="269">
        <f>IFERROR(VLOOKUP((D194&amp;C194)&amp;"",'[2]Retail Price List'!$C$4:$F$102,4,FALSE),"")</f>
        <v>1340000</v>
      </c>
      <c r="N194" s="269">
        <f>IFERROR(IF(BA194="WIP - 30 Days",VLOOKUP(D194,[3]Extended!$B$9:$E$101,4,FALSE),IF(BA194="31-120 Days",VLOOKUP(D194,[3]Extended!$B$9:$F$101,5,FALSE),IF(BA194="121-365 Days",VLOOKUP(D194,[3]Extended!$B$9:$G$101,6,FALSE),VLOOKUP(D194,[3]Extended!$B$9:$H$101,7,FALSE)))),0)</f>
        <v>1007546</v>
      </c>
      <c r="O194" s="269">
        <f>IFERROR(IF(BA194="WIP - 30 Days",VLOOKUP(D194,[3]Extended!$B$9:$J$101,9,FALSE),IF(BA194="31-120 Days",VLOOKUP(D194,[3]Extended!$B$9:$K$101,10,FALSE),IF(BA194="121-365 Days",VLOOKUP(D194,[3]Extended!$B$9:$L$101,11,FALSE),VLOOKUP(D194,[3]Extended!$B$9:$M$101,12,FALSE)))),0)</f>
        <v>978200</v>
      </c>
      <c r="P194" s="116">
        <f t="shared" si="11"/>
        <v>0.27</v>
      </c>
      <c r="Q194" s="110" t="e">
        <f>O194-#REF!</f>
        <v>#REF!</v>
      </c>
      <c r="W194" s="311"/>
      <c r="X194" s="311"/>
      <c r="Y194" s="311"/>
      <c r="Z194" s="311"/>
      <c r="AA194" s="311"/>
      <c r="AB194" s="311"/>
      <c r="AC194" s="311"/>
      <c r="AT194" s="88" t="str">
        <f t="shared" si="12"/>
        <v>KP0004812016Q317,3</v>
      </c>
      <c r="AU194" s="89" t="str">
        <f t="shared" si="13"/>
        <v>07-2016</v>
      </c>
      <c r="BA194" s="92" t="str">
        <f t="shared" si="14"/>
        <v>121-365 Days</v>
      </c>
    </row>
    <row r="195" spans="1:56">
      <c r="B195" s="60" t="str">
        <f>[2]Trucks!A192</f>
        <v>TBAKP481</v>
      </c>
      <c r="C195" s="11" t="str">
        <f>[2]Trucks!B192</f>
        <v>TGM-18-2404X4BB-C-SWA</v>
      </c>
      <c r="D195" s="19" t="str">
        <f>IFERROR(VLOOKUP(C195&amp;"",'[2]Retail Price List'!$A$3:$B$103,2,FALSE),"Special Order")</f>
        <v>KP000481</v>
      </c>
      <c r="E195" s="18" t="str">
        <f>[2]Trucks!J192</f>
        <v>CKD</v>
      </c>
      <c r="F195" s="12" t="str">
        <f>[2]Trucks!E192</f>
        <v>2018-02-15</v>
      </c>
      <c r="G195" s="56">
        <f>[2]Trucks!K192</f>
        <v>14.7</v>
      </c>
      <c r="H195" s="46">
        <f>[2]Trucks!I192</f>
        <v>42921</v>
      </c>
      <c r="I195" s="83" t="str">
        <f t="shared" si="10"/>
        <v>2017Q3</v>
      </c>
      <c r="J195" s="272">
        <f>IFERROR(VLOOKUP((D195&amp;C195)&amp;"",'[2]Retail Price List'!$C$4:$F$102,3,FALSE),"")</f>
        <v>1325000</v>
      </c>
      <c r="K195" s="272">
        <f>IFERROR(IF(BA195="WIP - 30 Days",VLOOKUP(D195,[3]Standard!$B$9:$E$101,4,FALSE),IF(BA195="31-120 Days",VLOOKUP(D195,[3]Standard!$B$9:$F$101,5,FALSE),IF(BA195="121-365 Days",VLOOKUP(D195,[3]Standard!$B$9:$G$101,6,FALSE),VLOOKUP(D195,[3]Standard!$B$9:$H$101,7,FALSE)))),0)</f>
        <v>996267.5</v>
      </c>
      <c r="L195" s="272">
        <f>IFERROR(IF(BA195="WIP - 30 Days",VLOOKUP(D195,[3]Standard!$B$9:$J$101,9,FALSE),IF(BA195="31-120 Days",VLOOKUP(D195,[3]Standard!$B$9:$K$100,10,FALSE),IF(BA195="121-365 Days",VLOOKUP(D195,[3]Standard!$B$9:$L$101,11,FALSE),VLOOKUP(D195,[3]Standard!$B$9:$M$101,12,FALSE)))),0)</f>
        <v>967250</v>
      </c>
      <c r="M195" s="269">
        <f>IFERROR(VLOOKUP((D195&amp;C195)&amp;"",'[2]Retail Price List'!$C$4:$F$102,4,FALSE),"")</f>
        <v>1340000</v>
      </c>
      <c r="N195" s="269">
        <f>IFERROR(IF(BA195="WIP - 30 Days",VLOOKUP(D195,[3]Extended!$B$9:$E$101,4,FALSE),IF(BA195="31-120 Days",VLOOKUP(D195,[3]Extended!$B$9:$F$101,5,FALSE),IF(BA195="121-365 Days",VLOOKUP(D195,[3]Extended!$B$9:$G$101,6,FALSE),VLOOKUP(D195,[3]Extended!$B$9:$H$101,7,FALSE)))),0)</f>
        <v>1035150</v>
      </c>
      <c r="O195" s="269">
        <f>IFERROR(IF(BA195="WIP - 30 Days",VLOOKUP(D195,[3]Extended!$B$9:$J$101,9,FALSE),IF(BA195="31-120 Days",VLOOKUP(D195,[3]Extended!$B$9:$K$101,10,FALSE),IF(BA195="121-365 Days",VLOOKUP(D195,[3]Extended!$B$9:$L$101,11,FALSE),VLOOKUP(D195,[3]Extended!$B$9:$M$101,12,FALSE)))),0)</f>
        <v>1005000</v>
      </c>
      <c r="P195" s="116">
        <f t="shared" si="11"/>
        <v>0.25</v>
      </c>
      <c r="Q195" s="110" t="e">
        <f>O195-#REF!</f>
        <v>#REF!</v>
      </c>
      <c r="W195" s="311"/>
      <c r="X195" s="311"/>
      <c r="Y195" s="311"/>
      <c r="Z195" s="311"/>
      <c r="AA195" s="311"/>
      <c r="AB195" s="311"/>
      <c r="AC195" s="311"/>
      <c r="AT195" s="88" t="str">
        <f t="shared" si="12"/>
        <v>KP0004812017Q314,7</v>
      </c>
      <c r="AU195" s="89" t="str">
        <f t="shared" si="13"/>
        <v>07-2017</v>
      </c>
      <c r="BA195" s="92" t="str">
        <f t="shared" si="14"/>
        <v>WIP - 30 Days</v>
      </c>
    </row>
    <row r="196" spans="1:56">
      <c r="B196" s="60" t="str">
        <f>[2]Trucks!A193</f>
        <v>N08-D419</v>
      </c>
      <c r="C196" s="11" t="str">
        <f>[2]Trucks!B193</f>
        <v>TGM-18-2804X2BB-DK-DWA</v>
      </c>
      <c r="D196" s="19" t="str">
        <f>IFERROR(VLOOKUP(C196&amp;"",'[2]Retail Price List'!$A$3:$B$103,2,FALSE),"Special Order")</f>
        <v>TGM00003</v>
      </c>
      <c r="E196" s="18" t="str">
        <f>[2]Trucks!J193</f>
        <v>UNSOLD</v>
      </c>
      <c r="F196" s="12">
        <f>[2]Trucks!E193</f>
        <v>409</v>
      </c>
      <c r="G196" s="56">
        <f>[2]Trucks!K193</f>
        <v>18</v>
      </c>
      <c r="H196" s="46">
        <f>[2]Trucks!I193</f>
        <v>42447</v>
      </c>
      <c r="I196" s="83" t="str">
        <f t="shared" si="10"/>
        <v>2016Q1</v>
      </c>
      <c r="J196" s="272">
        <f>IFERROR(VLOOKUP((D196&amp;C196)&amp;"",'[2]Retail Price List'!$C$4:$F$102,3,FALSE),"")</f>
        <v>1292000</v>
      </c>
      <c r="K196" s="272">
        <f>IFERROR(IF(BA196="WIP - 30 Days",VLOOKUP(D196,[3]Standard!$B$9:$E$101,4,FALSE),IF(BA196="31-120 Days",VLOOKUP(D196,[3]Standard!$B$9:$F$101,5,FALSE),IF(BA196="121-365 Days",VLOOKUP(D196,[3]Standard!$B$9:$G$101,6,FALSE),VLOOKUP(D196,[3]Standard!$B$9:$H$101,7,FALSE)))),0)</f>
        <v>822181.81818181823</v>
      </c>
      <c r="L196" s="272">
        <f>IFERROR(IF(BA196="WIP - 30 Days",VLOOKUP(D196,[3]Standard!$B$9:$J$101,9,FALSE),IF(BA196="31-120 Days",VLOOKUP(D196,[3]Standard!$B$9:$K$100,10,FALSE),IF(BA196="121-365 Days",VLOOKUP(D196,[3]Standard!$B$9:$L$101,11,FALSE),VLOOKUP(D196,[3]Standard!$B$9:$M$101,12,FALSE)))),0)</f>
        <v>813960</v>
      </c>
      <c r="M196" s="269">
        <f>IFERROR(VLOOKUP((D196&amp;C196)&amp;"",'[2]Retail Price List'!$C$4:$F$102,4,FALSE),"")</f>
        <v>1292000</v>
      </c>
      <c r="N196" s="269">
        <f>IFERROR(IF(BA196="WIP - 30 Days",VLOOKUP(D196,[3]Extended!$B$9:$E$101,4,FALSE),IF(BA196="31-120 Days",VLOOKUP(D196,[3]Extended!$B$9:$F$101,5,FALSE),IF(BA196="121-365 Days",VLOOKUP(D196,[3]Extended!$B$9:$G$101,6,FALSE),VLOOKUP(D196,[3]Extended!$B$9:$H$101,7,FALSE)))),0)</f>
        <v>848282.82828282833</v>
      </c>
      <c r="O196" s="269">
        <f>IFERROR(IF(BA196="WIP - 30 Days",VLOOKUP(D196,[3]Extended!$B$9:$J$101,9,FALSE),IF(BA196="31-120 Days",VLOOKUP(D196,[3]Extended!$B$9:$K$101,10,FALSE),IF(BA196="121-365 Days",VLOOKUP(D196,[3]Extended!$B$9:$L$101,11,FALSE),VLOOKUP(D196,[3]Extended!$B$9:$M$101,12,FALSE)))),0)</f>
        <v>839800</v>
      </c>
      <c r="P196" s="116">
        <f t="shared" si="11"/>
        <v>0.35</v>
      </c>
      <c r="Q196" s="110" t="e">
        <f>O196-#REF!</f>
        <v>#REF!</v>
      </c>
      <c r="W196" s="311"/>
      <c r="X196" s="311"/>
      <c r="Y196" s="311"/>
      <c r="Z196" s="311"/>
      <c r="AA196" s="311"/>
      <c r="AB196" s="311"/>
      <c r="AC196" s="311"/>
      <c r="AT196" s="88" t="str">
        <f t="shared" si="12"/>
        <v>TGM000032016Q118</v>
      </c>
      <c r="AU196" s="89" t="str">
        <f t="shared" si="13"/>
        <v>03-2016</v>
      </c>
      <c r="BA196" s="92" t="str">
        <f t="shared" si="14"/>
        <v>&gt;365 Days</v>
      </c>
    </row>
    <row r="197" spans="1:56">
      <c r="B197" s="60" t="str">
        <f>[2]Trucks!A194</f>
        <v>N08-D427</v>
      </c>
      <c r="C197" s="11" t="str">
        <f>[2]Trucks!B194</f>
        <v>TGM-18-2804X2BB-DK-DWA</v>
      </c>
      <c r="D197" s="19" t="str">
        <f>IFERROR(VLOOKUP(C197&amp;"",'[2]Retail Price List'!$A$3:$B$103,2,FALSE),"Special Order")</f>
        <v>TGM00003</v>
      </c>
      <c r="E197" s="18" t="str">
        <f>[2]Trucks!J194</f>
        <v>UNSOLD</v>
      </c>
      <c r="F197" s="12">
        <f>[2]Trucks!E194</f>
        <v>409</v>
      </c>
      <c r="G197" s="56">
        <f>[2]Trucks!K194</f>
        <v>18</v>
      </c>
      <c r="H197" s="46">
        <f>[2]Trucks!I194</f>
        <v>42447</v>
      </c>
      <c r="I197" s="83" t="str">
        <f t="shared" ref="I197:I260" si="15">IFERROR(VLOOKUP(AU197,$AW$5:$AY$40,3,FALSE),"")</f>
        <v>2016Q1</v>
      </c>
      <c r="J197" s="272">
        <f>IFERROR(VLOOKUP((D197&amp;C197)&amp;"",'[2]Retail Price List'!$C$4:$F$102,3,FALSE),"")</f>
        <v>1292000</v>
      </c>
      <c r="K197" s="272">
        <f>IFERROR(IF(BA197="WIP - 30 Days",VLOOKUP(D197,[3]Standard!$B$9:$E$101,4,FALSE),IF(BA197="31-120 Days",VLOOKUP(D197,[3]Standard!$B$9:$F$101,5,FALSE),IF(BA197="121-365 Days",VLOOKUP(D197,[3]Standard!$B$9:$G$101,6,FALSE),VLOOKUP(D197,[3]Standard!$B$9:$H$101,7,FALSE)))),0)</f>
        <v>822181.81818181823</v>
      </c>
      <c r="L197" s="272">
        <f>IFERROR(IF(BA197="WIP - 30 Days",VLOOKUP(D197,[3]Standard!$B$9:$J$101,9,FALSE),IF(BA197="31-120 Days",VLOOKUP(D197,[3]Standard!$B$9:$K$100,10,FALSE),IF(BA197="121-365 Days",VLOOKUP(D197,[3]Standard!$B$9:$L$101,11,FALSE),VLOOKUP(D197,[3]Standard!$B$9:$M$101,12,FALSE)))),0)</f>
        <v>813960</v>
      </c>
      <c r="M197" s="269">
        <f>IFERROR(VLOOKUP((D197&amp;C197)&amp;"",'[2]Retail Price List'!$C$4:$F$102,4,FALSE),"")</f>
        <v>1292000</v>
      </c>
      <c r="N197" s="269">
        <f>IFERROR(IF(BA197="WIP - 30 Days",VLOOKUP(D197,[3]Extended!$B$9:$E$101,4,FALSE),IF(BA197="31-120 Days",VLOOKUP(D197,[3]Extended!$B$9:$F$101,5,FALSE),IF(BA197="121-365 Days",VLOOKUP(D197,[3]Extended!$B$9:$G$101,6,FALSE),VLOOKUP(D197,[3]Extended!$B$9:$H$101,7,FALSE)))),0)</f>
        <v>848282.82828282833</v>
      </c>
      <c r="O197" s="269">
        <f>IFERROR(IF(BA197="WIP - 30 Days",VLOOKUP(D197,[3]Extended!$B$9:$J$101,9,FALSE),IF(BA197="31-120 Days",VLOOKUP(D197,[3]Extended!$B$9:$K$101,10,FALSE),IF(BA197="121-365 Days",VLOOKUP(D197,[3]Extended!$B$9:$L$101,11,FALSE),VLOOKUP(D197,[3]Extended!$B$9:$M$101,12,FALSE)))),0)</f>
        <v>839800</v>
      </c>
      <c r="P197" s="116">
        <f t="shared" ref="P197:P260" si="16">(M197-O197)/M197</f>
        <v>0.35</v>
      </c>
      <c r="Q197" s="110" t="e">
        <f>O197-#REF!</f>
        <v>#REF!</v>
      </c>
      <c r="W197" s="311"/>
      <c r="X197" s="311"/>
      <c r="Y197" s="311"/>
      <c r="Z197" s="311"/>
      <c r="AA197" s="311"/>
      <c r="AB197" s="311"/>
      <c r="AC197" s="311"/>
      <c r="AT197" s="88" t="str">
        <f t="shared" ref="AT197:AT260" si="17">D197&amp;I197&amp;G197</f>
        <v>TGM000032016Q118</v>
      </c>
      <c r="AU197" s="89" t="str">
        <f t="shared" ref="AU197:AU260" si="18">IF(MONTH(H197)&lt;10,0&amp;MONTH(H197)&amp;"-"&amp;YEAR(H197),MONTH(H197)&amp;"-"&amp;YEAR(H197))</f>
        <v>03-2016</v>
      </c>
      <c r="BA197" s="92" t="str">
        <f t="shared" ref="BA197:BA260" si="19">IF(B197=0,"",IF(AND(F197&gt;=31,F197&lt;=120),"31-120 Days",IF(AND(F197&gt;=121,F197&lt;=365),"121-365 Days",IF(OR(E197="CKD",F197&lt;=30),"WIP - 30 Days","&gt;365 Days"))))</f>
        <v>&gt;365 Days</v>
      </c>
    </row>
    <row r="198" spans="1:56">
      <c r="B198" s="60" t="str">
        <f>[2]Trucks!A195</f>
        <v>TBAKP404</v>
      </c>
      <c r="C198" s="11" t="str">
        <f>[2]Trucks!B195</f>
        <v>TGM-18-2804X2BB-L</v>
      </c>
      <c r="D198" s="19" t="str">
        <f>IFERROR(VLOOKUP(C198&amp;"",'[2]Retail Price List'!$A$3:$B$103,2,FALSE),"Special Order")</f>
        <v>KP000404</v>
      </c>
      <c r="E198" s="18" t="str">
        <f>[2]Trucks!J195</f>
        <v>CKD</v>
      </c>
      <c r="F198" s="12" t="str">
        <f>[2]Trucks!E195</f>
        <v>2018-02-15</v>
      </c>
      <c r="G198" s="56">
        <f>[2]Trucks!K195</f>
        <v>14.7</v>
      </c>
      <c r="H198" s="46">
        <f>[2]Trucks!I195</f>
        <v>42921</v>
      </c>
      <c r="I198" s="83" t="str">
        <f t="shared" si="15"/>
        <v>2017Q3</v>
      </c>
      <c r="J198" s="272">
        <f>IFERROR(VLOOKUP((D198&amp;C198)&amp;"",'[2]Retail Price List'!$C$4:$F$102,3,FALSE),"")</f>
        <v>1070000</v>
      </c>
      <c r="K198" s="272">
        <f>IFERROR(IF(BA198="WIP - 30 Days",VLOOKUP(D198,[3]Standard!$B$9:$E$101,4,FALSE),IF(BA198="31-120 Days",VLOOKUP(D198,[3]Standard!$B$9:$F$101,5,FALSE),IF(BA198="121-365 Days",VLOOKUP(D198,[3]Standard!$B$9:$G$101,6,FALSE),VLOOKUP(D198,[3]Standard!$B$9:$H$101,7,FALSE)))),0)</f>
        <v>837596</v>
      </c>
      <c r="L198" s="272">
        <f>IFERROR(IF(BA198="WIP - 30 Days",VLOOKUP(D198,[3]Standard!$B$9:$J$101,9,FALSE),IF(BA198="31-120 Days",VLOOKUP(D198,[3]Standard!$B$9:$K$100,10,FALSE),IF(BA198="121-365 Days",VLOOKUP(D198,[3]Standard!$B$9:$L$101,11,FALSE),VLOOKUP(D198,[3]Standard!$B$9:$M$101,12,FALSE)))),0)</f>
        <v>813200</v>
      </c>
      <c r="M198" s="269">
        <f>IFERROR(VLOOKUP((D198&amp;C198)&amp;"",'[2]Retail Price List'!$C$4:$F$102,4,FALSE),"")</f>
        <v>1085000</v>
      </c>
      <c r="N198" s="269">
        <f>IFERROR(IF(BA198="WIP - 30 Days",VLOOKUP(D198,[3]Extended!$B$9:$E$101,4,FALSE),IF(BA198="31-120 Days",VLOOKUP(D198,[3]Extended!$B$9:$F$101,5,FALSE),IF(BA198="121-365 Days",VLOOKUP(D198,[3]Extended!$B$9:$G$101,6,FALSE),VLOOKUP(D198,[3]Extended!$B$9:$H$101,7,FALSE)))),0)</f>
        <v>871689</v>
      </c>
      <c r="O198" s="269">
        <f>IFERROR(IF(BA198="WIP - 30 Days",VLOOKUP(D198,[3]Extended!$B$9:$J$101,9,FALSE),IF(BA198="31-120 Days",VLOOKUP(D198,[3]Extended!$B$9:$K$101,10,FALSE),IF(BA198="121-365 Days",VLOOKUP(D198,[3]Extended!$B$9:$L$101,11,FALSE),VLOOKUP(D198,[3]Extended!$B$9:$M$101,12,FALSE)))),0)</f>
        <v>846300</v>
      </c>
      <c r="P198" s="116">
        <f t="shared" si="16"/>
        <v>0.22</v>
      </c>
      <c r="Q198" s="110" t="e">
        <f>O198-#REF!</f>
        <v>#REF!</v>
      </c>
      <c r="W198" s="311"/>
      <c r="X198" s="311"/>
      <c r="Y198" s="311"/>
      <c r="Z198" s="311"/>
      <c r="AA198" s="311"/>
      <c r="AB198" s="311"/>
      <c r="AC198" s="311"/>
      <c r="AT198" s="88" t="str">
        <f t="shared" si="17"/>
        <v>KP0004042017Q314,7</v>
      </c>
      <c r="AU198" s="89" t="str">
        <f t="shared" si="18"/>
        <v>07-2017</v>
      </c>
      <c r="BA198" s="92" t="str">
        <f t="shared" si="19"/>
        <v>WIP - 30 Days</v>
      </c>
    </row>
    <row r="199" spans="1:56" s="4" customFormat="1">
      <c r="A199" s="69"/>
      <c r="B199" s="60">
        <f>[2]Trucks!A196</f>
        <v>46863</v>
      </c>
      <c r="C199" s="11" t="str">
        <f>[2]Trucks!B196</f>
        <v>TGM-25-2806X2BL-L</v>
      </c>
      <c r="D199" s="19" t="str">
        <f>IFERROR(VLOOKUP(C199&amp;"",'[2]Retail Price List'!$A$3:$B$103,2,FALSE),"Special Order")</f>
        <v>KP000489</v>
      </c>
      <c r="E199" s="18" t="str">
        <f>[2]Trucks!J196</f>
        <v>CKD</v>
      </c>
      <c r="F199" s="12" t="str">
        <f>[2]Trucks!E196</f>
        <v>2017-12-1</v>
      </c>
      <c r="G199" s="56">
        <f>[2]Trucks!K196</f>
        <v>14.7</v>
      </c>
      <c r="H199" s="46">
        <f>[2]Trucks!I196</f>
        <v>42859</v>
      </c>
      <c r="I199" s="83" t="str">
        <f t="shared" si="15"/>
        <v>2017Q2</v>
      </c>
      <c r="J199" s="272">
        <f>IFERROR(VLOOKUP((D199&amp;C199)&amp;"",'[2]Retail Price List'!$C$4:$F$102,3,FALSE),"")</f>
        <v>1300000</v>
      </c>
      <c r="K199" s="272">
        <f>IFERROR(IF(BA199="WIP - 30 Days",VLOOKUP(D199,[3]Standard!$B$9:$E$101,4,FALSE),IF(BA199="31-120 Days",VLOOKUP(D199,[3]Standard!$B$9:$F$101,5,FALSE),IF(BA199="121-365 Days",VLOOKUP(D199,[3]Standard!$B$9:$G$101,6,FALSE),VLOOKUP(D199,[3]Standard!$B$9:$H$101,7,FALSE)))),0)</f>
        <v>977470</v>
      </c>
      <c r="L199" s="272">
        <f>IFERROR(IF(BA199="WIP - 30 Days",VLOOKUP(D199,[3]Standard!$B$9:$J$101,9,FALSE),IF(BA199="31-120 Days",VLOOKUP(D199,[3]Standard!$B$9:$K$100,10,FALSE),IF(BA199="121-365 Days",VLOOKUP(D199,[3]Standard!$B$9:$L$101,11,FALSE),VLOOKUP(D199,[3]Standard!$B$9:$M$101,12,FALSE)))),0)</f>
        <v>949000</v>
      </c>
      <c r="M199" s="269">
        <f>IFERROR(VLOOKUP((D199&amp;C199)&amp;"",'[2]Retail Price List'!$C$4:$F$102,4,FALSE),"")</f>
        <v>1316000</v>
      </c>
      <c r="N199" s="269">
        <f>IFERROR(IF(BA199="WIP - 30 Days",VLOOKUP(D199,[3]Extended!$B$9:$E$101,4,FALSE),IF(BA199="31-120 Days",VLOOKUP(D199,[3]Extended!$B$9:$F$101,5,FALSE),IF(BA199="121-365 Days",VLOOKUP(D199,[3]Extended!$B$9:$G$101,6,FALSE),VLOOKUP(D199,[3]Extended!$B$9:$H$101,7,FALSE)))),0)</f>
        <v>1016610</v>
      </c>
      <c r="O199" s="269">
        <f>IFERROR(IF(BA199="WIP - 30 Days",VLOOKUP(D199,[3]Extended!$B$9:$J$101,9,FALSE),IF(BA199="31-120 Days",VLOOKUP(D199,[3]Extended!$B$9:$K$101,10,FALSE),IF(BA199="121-365 Days",VLOOKUP(D199,[3]Extended!$B$9:$L$101,11,FALSE),VLOOKUP(D199,[3]Extended!$B$9:$M$101,12,FALSE)))),0)</f>
        <v>987000</v>
      </c>
      <c r="P199" s="116">
        <f t="shared" si="16"/>
        <v>0.25</v>
      </c>
      <c r="Q199" s="110" t="e">
        <f>O199-#REF!</f>
        <v>#REF!</v>
      </c>
      <c r="R199" s="111" t="e">
        <f>SUM(Q176:Q198)/SUM(O176:O198)</f>
        <v>#REF!</v>
      </c>
      <c r="S199" s="112"/>
      <c r="T199" s="112"/>
      <c r="U199" s="112"/>
      <c r="V199" s="112"/>
      <c r="W199" s="311"/>
      <c r="X199" s="311"/>
      <c r="Y199" s="311"/>
      <c r="Z199" s="311"/>
      <c r="AA199" s="311"/>
      <c r="AB199" s="311"/>
      <c r="AC199" s="311"/>
      <c r="AD199" s="89"/>
      <c r="AE199" s="89"/>
      <c r="AF199" s="89"/>
      <c r="AG199" s="5"/>
      <c r="AH199" s="5"/>
      <c r="AI199" s="5"/>
      <c r="AJ199" s="5"/>
      <c r="AK199" s="5"/>
      <c r="AL199" s="5"/>
      <c r="AM199" s="5"/>
      <c r="AN199" s="5"/>
      <c r="AO199" s="5"/>
      <c r="AP199" s="5"/>
      <c r="AQ199" s="5"/>
      <c r="AR199" s="5"/>
      <c r="AS199" s="5"/>
      <c r="AT199" s="88" t="str">
        <f t="shared" si="17"/>
        <v>KP0004892017Q214,7</v>
      </c>
      <c r="AU199" s="89" t="str">
        <f t="shared" si="18"/>
        <v>05-2017</v>
      </c>
      <c r="AV199" s="89"/>
      <c r="AW199" s="89"/>
      <c r="AX199" s="89"/>
      <c r="AY199" s="89"/>
      <c r="AZ199" s="89"/>
      <c r="BA199" s="92" t="str">
        <f t="shared" si="19"/>
        <v>WIP - 30 Days</v>
      </c>
      <c r="BB199" s="89"/>
      <c r="BC199" s="97"/>
      <c r="BD199" s="97"/>
    </row>
    <row r="200" spans="1:56">
      <c r="B200" s="60">
        <f>[2]Trucks!A197</f>
        <v>46867</v>
      </c>
      <c r="C200" s="11" t="str">
        <f>[2]Trucks!B197</f>
        <v>TGM-25-2806X2BL-L</v>
      </c>
      <c r="D200" s="19" t="str">
        <f>IFERROR(VLOOKUP(C200&amp;"",'[2]Retail Price List'!$A$3:$B$103,2,FALSE),"Special Order")</f>
        <v>KP000489</v>
      </c>
      <c r="E200" s="18" t="str">
        <f>[2]Trucks!J197</f>
        <v>CKD</v>
      </c>
      <c r="F200" s="12" t="str">
        <f>[2]Trucks!E197</f>
        <v>2017-12-4</v>
      </c>
      <c r="G200" s="56">
        <f>[2]Trucks!K197</f>
        <v>14.7</v>
      </c>
      <c r="H200" s="46">
        <f>[2]Trucks!I197</f>
        <v>42859</v>
      </c>
      <c r="I200" s="83" t="str">
        <f t="shared" si="15"/>
        <v>2017Q2</v>
      </c>
      <c r="J200" s="272">
        <f>IFERROR(VLOOKUP((D200&amp;C200)&amp;"",'[2]Retail Price List'!$C$4:$F$102,3,FALSE),"")</f>
        <v>1300000</v>
      </c>
      <c r="K200" s="272">
        <f>IFERROR(IF(BA200="WIP - 30 Days",VLOOKUP(D200,[3]Standard!$B$9:$E$101,4,FALSE),IF(BA200="31-120 Days",VLOOKUP(D200,[3]Standard!$B$9:$F$101,5,FALSE),IF(BA200="121-365 Days",VLOOKUP(D200,[3]Standard!$B$9:$G$101,6,FALSE),VLOOKUP(D200,[3]Standard!$B$9:$H$101,7,FALSE)))),0)</f>
        <v>977470</v>
      </c>
      <c r="L200" s="272">
        <f>IFERROR(IF(BA200="WIP - 30 Days",VLOOKUP(D200,[3]Standard!$B$9:$J$101,9,FALSE),IF(BA200="31-120 Days",VLOOKUP(D200,[3]Standard!$B$9:$K$100,10,FALSE),IF(BA200="121-365 Days",VLOOKUP(D200,[3]Standard!$B$9:$L$101,11,FALSE),VLOOKUP(D200,[3]Standard!$B$9:$M$101,12,FALSE)))),0)</f>
        <v>949000</v>
      </c>
      <c r="M200" s="269">
        <f>IFERROR(VLOOKUP((D200&amp;C200)&amp;"",'[2]Retail Price List'!$C$4:$F$102,4,FALSE),"")</f>
        <v>1316000</v>
      </c>
      <c r="N200" s="269">
        <f>IFERROR(IF(BA200="WIP - 30 Days",VLOOKUP(D200,[3]Extended!$B$9:$E$101,4,FALSE),IF(BA200="31-120 Days",VLOOKUP(D200,[3]Extended!$B$9:$F$101,5,FALSE),IF(BA200="121-365 Days",VLOOKUP(D200,[3]Extended!$B$9:$G$101,6,FALSE),VLOOKUP(D200,[3]Extended!$B$9:$H$101,7,FALSE)))),0)</f>
        <v>1016610</v>
      </c>
      <c r="O200" s="269">
        <f>IFERROR(IF(BA200="WIP - 30 Days",VLOOKUP(D200,[3]Extended!$B$9:$J$101,9,FALSE),IF(BA200="31-120 Days",VLOOKUP(D200,[3]Extended!$B$9:$K$101,10,FALSE),IF(BA200="121-365 Days",VLOOKUP(D200,[3]Extended!$B$9:$L$101,11,FALSE),VLOOKUP(D200,[3]Extended!$B$9:$M$101,12,FALSE)))),0)</f>
        <v>987000</v>
      </c>
      <c r="P200" s="116">
        <f t="shared" si="16"/>
        <v>0.25</v>
      </c>
      <c r="Q200" s="110" t="e">
        <f>O200-#REF!</f>
        <v>#REF!</v>
      </c>
      <c r="S200" s="112">
        <v>13</v>
      </c>
      <c r="T200" s="112">
        <v>8.5</v>
      </c>
      <c r="U200" s="112">
        <v>10.4</v>
      </c>
      <c r="W200" s="311"/>
      <c r="X200" s="311"/>
      <c r="Y200" s="311"/>
      <c r="Z200" s="311"/>
      <c r="AA200" s="311"/>
      <c r="AB200" s="311"/>
      <c r="AC200" s="311"/>
      <c r="AT200" s="88" t="str">
        <f t="shared" si="17"/>
        <v>KP0004892017Q214,7</v>
      </c>
      <c r="AU200" s="89" t="str">
        <f t="shared" si="18"/>
        <v>05-2017</v>
      </c>
      <c r="BA200" s="92" t="str">
        <f t="shared" si="19"/>
        <v>WIP - 30 Days</v>
      </c>
    </row>
    <row r="201" spans="1:56">
      <c r="B201" s="60">
        <f>[2]Trucks!A198</f>
        <v>47574</v>
      </c>
      <c r="C201" s="11" t="str">
        <f>[2]Trucks!B198</f>
        <v>TGM-25-2806X2BL-L</v>
      </c>
      <c r="D201" s="19" t="str">
        <f>IFERROR(VLOOKUP(C201&amp;"",'[2]Retail Price List'!$A$3:$B$103,2,FALSE),"Special Order")</f>
        <v>KP000489</v>
      </c>
      <c r="E201" s="18" t="str">
        <f>[2]Trucks!J198</f>
        <v>CKD</v>
      </c>
      <c r="F201" s="12" t="str">
        <f>[2]Trucks!E198</f>
        <v>2017-11-20</v>
      </c>
      <c r="G201" s="56">
        <f>[2]Trucks!K198</f>
        <v>14.7</v>
      </c>
      <c r="H201" s="46">
        <f>[2]Trucks!I198</f>
        <v>42937</v>
      </c>
      <c r="I201" s="83" t="str">
        <f t="shared" si="15"/>
        <v>2017Q3</v>
      </c>
      <c r="J201" s="272">
        <f>IFERROR(VLOOKUP((D201&amp;C201)&amp;"",'[2]Retail Price List'!$C$4:$F$102,3,FALSE),"")</f>
        <v>1300000</v>
      </c>
      <c r="K201" s="272">
        <f>IFERROR(IF(BA201="WIP - 30 Days",VLOOKUP(D201,[3]Standard!$B$9:$E$101,4,FALSE),IF(BA201="31-120 Days",VLOOKUP(D201,[3]Standard!$B$9:$F$101,5,FALSE),IF(BA201="121-365 Days",VLOOKUP(D201,[3]Standard!$B$9:$G$101,6,FALSE),VLOOKUP(D201,[3]Standard!$B$9:$H$101,7,FALSE)))),0)</f>
        <v>977470</v>
      </c>
      <c r="L201" s="272">
        <f>IFERROR(IF(BA201="WIP - 30 Days",VLOOKUP(D201,[3]Standard!$B$9:$J$101,9,FALSE),IF(BA201="31-120 Days",VLOOKUP(D201,[3]Standard!$B$9:$K$100,10,FALSE),IF(BA201="121-365 Days",VLOOKUP(D201,[3]Standard!$B$9:$L$101,11,FALSE),VLOOKUP(D201,[3]Standard!$B$9:$M$101,12,FALSE)))),0)</f>
        <v>949000</v>
      </c>
      <c r="M201" s="269">
        <f>IFERROR(VLOOKUP((D201&amp;C201)&amp;"",'[2]Retail Price List'!$C$4:$F$102,4,FALSE),"")</f>
        <v>1316000</v>
      </c>
      <c r="N201" s="269">
        <f>IFERROR(IF(BA201="WIP - 30 Days",VLOOKUP(D201,[3]Extended!$B$9:$E$101,4,FALSE),IF(BA201="31-120 Days",VLOOKUP(D201,[3]Extended!$B$9:$F$101,5,FALSE),IF(BA201="121-365 Days",VLOOKUP(D201,[3]Extended!$B$9:$G$101,6,FALSE),VLOOKUP(D201,[3]Extended!$B$9:$H$101,7,FALSE)))),0)</f>
        <v>1016610</v>
      </c>
      <c r="O201" s="269">
        <f>IFERROR(IF(BA201="WIP - 30 Days",VLOOKUP(D201,[3]Extended!$B$9:$J$101,9,FALSE),IF(BA201="31-120 Days",VLOOKUP(D201,[3]Extended!$B$9:$K$101,10,FALSE),IF(BA201="121-365 Days",VLOOKUP(D201,[3]Extended!$B$9:$L$101,11,FALSE),VLOOKUP(D201,[3]Extended!$B$9:$M$101,12,FALSE)))),0)</f>
        <v>987000</v>
      </c>
      <c r="P201" s="116">
        <f t="shared" si="16"/>
        <v>0.25</v>
      </c>
      <c r="Q201" s="110" t="e">
        <f>O201-#REF!</f>
        <v>#REF!</v>
      </c>
      <c r="S201" s="112">
        <v>0</v>
      </c>
      <c r="T201" s="112">
        <v>0</v>
      </c>
      <c r="U201" s="112">
        <v>0</v>
      </c>
      <c r="W201" s="311"/>
      <c r="X201" s="311"/>
      <c r="Y201" s="311"/>
      <c r="Z201" s="311"/>
      <c r="AA201" s="311"/>
      <c r="AB201" s="311"/>
      <c r="AC201" s="311"/>
      <c r="AT201" s="88" t="str">
        <f t="shared" si="17"/>
        <v>KP0004892017Q314,7</v>
      </c>
      <c r="AU201" s="89" t="str">
        <f t="shared" si="18"/>
        <v>07-2017</v>
      </c>
      <c r="BA201" s="92" t="str">
        <f t="shared" si="19"/>
        <v>WIP - 30 Days</v>
      </c>
    </row>
    <row r="202" spans="1:56">
      <c r="B202" s="60">
        <f>[2]Trucks!A199</f>
        <v>47575</v>
      </c>
      <c r="C202" s="11" t="str">
        <f>[2]Trucks!B199</f>
        <v>TGM-25-2806X2BL-L</v>
      </c>
      <c r="D202" s="19" t="str">
        <f>IFERROR(VLOOKUP(C202&amp;"",'[2]Retail Price List'!$A$3:$B$103,2,FALSE),"Special Order")</f>
        <v>KP000489</v>
      </c>
      <c r="E202" s="18" t="str">
        <f>[2]Trucks!J199</f>
        <v>CKD</v>
      </c>
      <c r="F202" s="12" t="str">
        <f>[2]Trucks!E199</f>
        <v>2017-11-20</v>
      </c>
      <c r="G202" s="56">
        <f>[2]Trucks!K199</f>
        <v>14.7</v>
      </c>
      <c r="H202" s="46">
        <f>[2]Trucks!I199</f>
        <v>42937</v>
      </c>
      <c r="I202" s="83" t="str">
        <f t="shared" si="15"/>
        <v>2017Q3</v>
      </c>
      <c r="J202" s="272">
        <f>IFERROR(VLOOKUP((D202&amp;C202)&amp;"",'[2]Retail Price List'!$C$4:$F$102,3,FALSE),"")</f>
        <v>1300000</v>
      </c>
      <c r="K202" s="272">
        <f>IFERROR(IF(BA202="WIP - 30 Days",VLOOKUP(D202,[3]Standard!$B$9:$E$101,4,FALSE),IF(BA202="31-120 Days",VLOOKUP(D202,[3]Standard!$B$9:$F$101,5,FALSE),IF(BA202="121-365 Days",VLOOKUP(D202,[3]Standard!$B$9:$G$101,6,FALSE),VLOOKUP(D202,[3]Standard!$B$9:$H$101,7,FALSE)))),0)</f>
        <v>977470</v>
      </c>
      <c r="L202" s="272">
        <f>IFERROR(IF(BA202="WIP - 30 Days",VLOOKUP(D202,[3]Standard!$B$9:$J$101,9,FALSE),IF(BA202="31-120 Days",VLOOKUP(D202,[3]Standard!$B$9:$K$100,10,FALSE),IF(BA202="121-365 Days",VLOOKUP(D202,[3]Standard!$B$9:$L$101,11,FALSE),VLOOKUP(D202,[3]Standard!$B$9:$M$101,12,FALSE)))),0)</f>
        <v>949000</v>
      </c>
      <c r="M202" s="269">
        <f>IFERROR(VLOOKUP((D202&amp;C202)&amp;"",'[2]Retail Price List'!$C$4:$F$102,4,FALSE),"")</f>
        <v>1316000</v>
      </c>
      <c r="N202" s="269">
        <f>IFERROR(IF(BA202="WIP - 30 Days",VLOOKUP(D202,[3]Extended!$B$9:$E$101,4,FALSE),IF(BA202="31-120 Days",VLOOKUP(D202,[3]Extended!$B$9:$F$101,5,FALSE),IF(BA202="121-365 Days",VLOOKUP(D202,[3]Extended!$B$9:$G$101,6,FALSE),VLOOKUP(D202,[3]Extended!$B$9:$H$101,7,FALSE)))),0)</f>
        <v>1016610</v>
      </c>
      <c r="O202" s="269">
        <f>IFERROR(IF(BA202="WIP - 30 Days",VLOOKUP(D202,[3]Extended!$B$9:$J$101,9,FALSE),IF(BA202="31-120 Days",VLOOKUP(D202,[3]Extended!$B$9:$K$101,10,FALSE),IF(BA202="121-365 Days",VLOOKUP(D202,[3]Extended!$B$9:$L$101,11,FALSE),VLOOKUP(D202,[3]Extended!$B$9:$M$101,12,FALSE)))),0)</f>
        <v>987000</v>
      </c>
      <c r="P202" s="116">
        <f t="shared" si="16"/>
        <v>0.25</v>
      </c>
      <c r="Q202" s="110" t="e">
        <f>O202-#REF!</f>
        <v>#REF!</v>
      </c>
      <c r="S202" s="112">
        <f>COUNT(#REF!)</f>
        <v>0</v>
      </c>
      <c r="W202" s="311"/>
      <c r="X202" s="311"/>
      <c r="Y202" s="311"/>
      <c r="Z202" s="311"/>
      <c r="AA202" s="311"/>
      <c r="AB202" s="311"/>
      <c r="AC202" s="311"/>
      <c r="AT202" s="88" t="str">
        <f t="shared" si="17"/>
        <v>KP0004892017Q314,7</v>
      </c>
      <c r="AU202" s="89" t="str">
        <f t="shared" si="18"/>
        <v>07-2017</v>
      </c>
      <c r="BA202" s="92" t="str">
        <f t="shared" si="19"/>
        <v>WIP - 30 Days</v>
      </c>
    </row>
    <row r="203" spans="1:56">
      <c r="B203" s="60">
        <f>[2]Trucks!A200</f>
        <v>47576</v>
      </c>
      <c r="C203" s="11" t="str">
        <f>[2]Trucks!B200</f>
        <v>TGM-25-2806X2BL-L</v>
      </c>
      <c r="D203" s="19" t="str">
        <f>IFERROR(VLOOKUP(C203&amp;"",'[2]Retail Price List'!$A$3:$B$103,2,FALSE),"Special Order")</f>
        <v>KP000489</v>
      </c>
      <c r="E203" s="18" t="str">
        <f>[2]Trucks!J200</f>
        <v>CKD</v>
      </c>
      <c r="F203" s="12" t="str">
        <f>[2]Trucks!E200</f>
        <v>2017-11-20</v>
      </c>
      <c r="G203" s="56">
        <f>[2]Trucks!K200</f>
        <v>14.7</v>
      </c>
      <c r="H203" s="46">
        <f>[2]Trucks!I200</f>
        <v>42937</v>
      </c>
      <c r="I203" s="83" t="str">
        <f t="shared" si="15"/>
        <v>2017Q3</v>
      </c>
      <c r="J203" s="272">
        <f>IFERROR(VLOOKUP((D203&amp;C203)&amp;"",'[2]Retail Price List'!$C$4:$F$102,3,FALSE),"")</f>
        <v>1300000</v>
      </c>
      <c r="K203" s="272">
        <f>IFERROR(IF(BA203="WIP - 30 Days",VLOOKUP(D203,[3]Standard!$B$9:$E$101,4,FALSE),IF(BA203="31-120 Days",VLOOKUP(D203,[3]Standard!$B$9:$F$101,5,FALSE),IF(BA203="121-365 Days",VLOOKUP(D203,[3]Standard!$B$9:$G$101,6,FALSE),VLOOKUP(D203,[3]Standard!$B$9:$H$101,7,FALSE)))),0)</f>
        <v>977470</v>
      </c>
      <c r="L203" s="272">
        <f>IFERROR(IF(BA203="WIP - 30 Days",VLOOKUP(D203,[3]Standard!$B$9:$J$101,9,FALSE),IF(BA203="31-120 Days",VLOOKUP(D203,[3]Standard!$B$9:$K$100,10,FALSE),IF(BA203="121-365 Days",VLOOKUP(D203,[3]Standard!$B$9:$L$101,11,FALSE),VLOOKUP(D203,[3]Standard!$B$9:$M$101,12,FALSE)))),0)</f>
        <v>949000</v>
      </c>
      <c r="M203" s="269">
        <f>IFERROR(VLOOKUP((D203&amp;C203)&amp;"",'[2]Retail Price List'!$C$4:$F$102,4,FALSE),"")</f>
        <v>1316000</v>
      </c>
      <c r="N203" s="269">
        <f>IFERROR(IF(BA203="WIP - 30 Days",VLOOKUP(D203,[3]Extended!$B$9:$E$101,4,FALSE),IF(BA203="31-120 Days",VLOOKUP(D203,[3]Extended!$B$9:$F$101,5,FALSE),IF(BA203="121-365 Days",VLOOKUP(D203,[3]Extended!$B$9:$G$101,6,FALSE),VLOOKUP(D203,[3]Extended!$B$9:$H$101,7,FALSE)))),0)</f>
        <v>1016610</v>
      </c>
      <c r="O203" s="269">
        <f>IFERROR(IF(BA203="WIP - 30 Days",VLOOKUP(D203,[3]Extended!$B$9:$J$101,9,FALSE),IF(BA203="31-120 Days",VLOOKUP(D203,[3]Extended!$B$9:$K$101,10,FALSE),IF(BA203="121-365 Days",VLOOKUP(D203,[3]Extended!$B$9:$L$101,11,FALSE),VLOOKUP(D203,[3]Extended!$B$9:$M$101,12,FALSE)))),0)</f>
        <v>987000</v>
      </c>
      <c r="P203" s="116">
        <f t="shared" si="16"/>
        <v>0.25</v>
      </c>
      <c r="Q203" s="110" t="e">
        <f>O203-#REF!</f>
        <v>#REF!</v>
      </c>
      <c r="S203" s="110" t="e">
        <f>+AVERAGE(#REF!)</f>
        <v>#REF!</v>
      </c>
      <c r="W203" s="311"/>
      <c r="X203" s="311"/>
      <c r="Y203" s="311"/>
      <c r="Z203" s="311"/>
      <c r="AA203" s="311"/>
      <c r="AB203" s="311"/>
      <c r="AC203" s="311"/>
      <c r="AT203" s="88" t="str">
        <f t="shared" si="17"/>
        <v>KP0004892017Q314,7</v>
      </c>
      <c r="AU203" s="89" t="str">
        <f t="shared" si="18"/>
        <v>07-2017</v>
      </c>
      <c r="BA203" s="92" t="str">
        <f t="shared" si="19"/>
        <v>WIP - 30 Days</v>
      </c>
    </row>
    <row r="204" spans="1:56">
      <c r="B204" s="60">
        <f>[2]Trucks!A201</f>
        <v>47577</v>
      </c>
      <c r="C204" s="11" t="str">
        <f>[2]Trucks!B201</f>
        <v>TGM-25-2806X2BL-L</v>
      </c>
      <c r="D204" s="19" t="str">
        <f>IFERROR(VLOOKUP(C204&amp;"",'[2]Retail Price List'!$A$3:$B$103,2,FALSE),"Special Order")</f>
        <v>KP000489</v>
      </c>
      <c r="E204" s="18" t="str">
        <f>[2]Trucks!J201</f>
        <v>CKD</v>
      </c>
      <c r="F204" s="12" t="str">
        <f>[2]Trucks!E201</f>
        <v>2017-11-20</v>
      </c>
      <c r="G204" s="56">
        <f>[2]Trucks!K201</f>
        <v>14.7</v>
      </c>
      <c r="H204" s="46">
        <f>[2]Trucks!I201</f>
        <v>42937</v>
      </c>
      <c r="I204" s="83" t="str">
        <f t="shared" si="15"/>
        <v>2017Q3</v>
      </c>
      <c r="J204" s="272">
        <f>IFERROR(VLOOKUP((D204&amp;C204)&amp;"",'[2]Retail Price List'!$C$4:$F$102,3,FALSE),"")</f>
        <v>1300000</v>
      </c>
      <c r="K204" s="272">
        <f>IFERROR(IF(BA204="WIP - 30 Days",VLOOKUP(D204,[3]Standard!$B$9:$E$101,4,FALSE),IF(BA204="31-120 Days",VLOOKUP(D204,[3]Standard!$B$9:$F$101,5,FALSE),IF(BA204="121-365 Days",VLOOKUP(D204,[3]Standard!$B$9:$G$101,6,FALSE),VLOOKUP(D204,[3]Standard!$B$9:$H$101,7,FALSE)))),0)</f>
        <v>977470</v>
      </c>
      <c r="L204" s="272">
        <f>IFERROR(IF(BA204="WIP - 30 Days",VLOOKUP(D204,[3]Standard!$B$9:$J$101,9,FALSE),IF(BA204="31-120 Days",VLOOKUP(D204,[3]Standard!$B$9:$K$100,10,FALSE),IF(BA204="121-365 Days",VLOOKUP(D204,[3]Standard!$B$9:$L$101,11,FALSE),VLOOKUP(D204,[3]Standard!$B$9:$M$101,12,FALSE)))),0)</f>
        <v>949000</v>
      </c>
      <c r="M204" s="269">
        <f>IFERROR(VLOOKUP((D204&amp;C204)&amp;"",'[2]Retail Price List'!$C$4:$F$102,4,FALSE),"")</f>
        <v>1316000</v>
      </c>
      <c r="N204" s="269">
        <f>IFERROR(IF(BA204="WIP - 30 Days",VLOOKUP(D204,[3]Extended!$B$9:$E$101,4,FALSE),IF(BA204="31-120 Days",VLOOKUP(D204,[3]Extended!$B$9:$F$101,5,FALSE),IF(BA204="121-365 Days",VLOOKUP(D204,[3]Extended!$B$9:$G$101,6,FALSE),VLOOKUP(D204,[3]Extended!$B$9:$H$101,7,FALSE)))),0)</f>
        <v>1016610</v>
      </c>
      <c r="O204" s="269">
        <f>IFERROR(IF(BA204="WIP - 30 Days",VLOOKUP(D204,[3]Extended!$B$9:$J$101,9,FALSE),IF(BA204="31-120 Days",VLOOKUP(D204,[3]Extended!$B$9:$K$101,10,FALSE),IF(BA204="121-365 Days",VLOOKUP(D204,[3]Extended!$B$9:$L$101,11,FALSE),VLOOKUP(D204,[3]Extended!$B$9:$M$101,12,FALSE)))),0)</f>
        <v>987000</v>
      </c>
      <c r="P204" s="116">
        <f t="shared" si="16"/>
        <v>0.25</v>
      </c>
      <c r="Q204" s="110" t="e">
        <f>O204-#REF!</f>
        <v>#REF!</v>
      </c>
      <c r="W204" s="311"/>
      <c r="X204" s="311"/>
      <c r="Y204" s="311"/>
      <c r="Z204" s="311"/>
      <c r="AA204" s="311"/>
      <c r="AB204" s="311"/>
      <c r="AC204" s="311"/>
      <c r="AT204" s="88" t="str">
        <f t="shared" si="17"/>
        <v>KP0004892017Q314,7</v>
      </c>
      <c r="AU204" s="89" t="str">
        <f t="shared" si="18"/>
        <v>07-2017</v>
      </c>
      <c r="BA204" s="92" t="str">
        <f t="shared" si="19"/>
        <v>WIP - 30 Days</v>
      </c>
    </row>
    <row r="205" spans="1:56">
      <c r="B205" s="60">
        <f>[2]Trucks!A202</f>
        <v>47578</v>
      </c>
      <c r="C205" s="11" t="str">
        <f>[2]Trucks!B202</f>
        <v>TGM-25-2806X2BL-L</v>
      </c>
      <c r="D205" s="19" t="str">
        <f>IFERROR(VLOOKUP(C205&amp;"",'[2]Retail Price List'!$A$3:$B$103,2,FALSE),"Special Order")</f>
        <v>KP000489</v>
      </c>
      <c r="E205" s="18" t="str">
        <f>[2]Trucks!J202</f>
        <v>CKD</v>
      </c>
      <c r="F205" s="12" t="str">
        <f>[2]Trucks!E202</f>
        <v>2017-12-5</v>
      </c>
      <c r="G205" s="56">
        <f>[2]Trucks!K202</f>
        <v>14.7</v>
      </c>
      <c r="H205" s="46">
        <f>[2]Trucks!I202</f>
        <v>42937</v>
      </c>
      <c r="I205" s="83" t="str">
        <f t="shared" si="15"/>
        <v>2017Q3</v>
      </c>
      <c r="J205" s="272">
        <f>IFERROR(VLOOKUP((D205&amp;C205)&amp;"",'[2]Retail Price List'!$C$4:$F$102,3,FALSE),"")</f>
        <v>1300000</v>
      </c>
      <c r="K205" s="272">
        <f>IFERROR(IF(BA205="WIP - 30 Days",VLOOKUP(D205,[3]Standard!$B$9:$E$101,4,FALSE),IF(BA205="31-120 Days",VLOOKUP(D205,[3]Standard!$B$9:$F$101,5,FALSE),IF(BA205="121-365 Days",VLOOKUP(D205,[3]Standard!$B$9:$G$101,6,FALSE),VLOOKUP(D205,[3]Standard!$B$9:$H$101,7,FALSE)))),0)</f>
        <v>977470</v>
      </c>
      <c r="L205" s="272">
        <f>IFERROR(IF(BA205="WIP - 30 Days",VLOOKUP(D205,[3]Standard!$B$9:$J$101,9,FALSE),IF(BA205="31-120 Days",VLOOKUP(D205,[3]Standard!$B$9:$K$100,10,FALSE),IF(BA205="121-365 Days",VLOOKUP(D205,[3]Standard!$B$9:$L$101,11,FALSE),VLOOKUP(D205,[3]Standard!$B$9:$M$101,12,FALSE)))),0)</f>
        <v>949000</v>
      </c>
      <c r="M205" s="269">
        <f>IFERROR(VLOOKUP((D205&amp;C205)&amp;"",'[2]Retail Price List'!$C$4:$F$102,4,FALSE),"")</f>
        <v>1316000</v>
      </c>
      <c r="N205" s="269">
        <f>IFERROR(IF(BA205="WIP - 30 Days",VLOOKUP(D205,[3]Extended!$B$9:$E$101,4,FALSE),IF(BA205="31-120 Days",VLOOKUP(D205,[3]Extended!$B$9:$F$101,5,FALSE),IF(BA205="121-365 Days",VLOOKUP(D205,[3]Extended!$B$9:$G$101,6,FALSE),VLOOKUP(D205,[3]Extended!$B$9:$H$101,7,FALSE)))),0)</f>
        <v>1016610</v>
      </c>
      <c r="O205" s="269">
        <f>IFERROR(IF(BA205="WIP - 30 Days",VLOOKUP(D205,[3]Extended!$B$9:$J$101,9,FALSE),IF(BA205="31-120 Days",VLOOKUP(D205,[3]Extended!$B$9:$K$101,10,FALSE),IF(BA205="121-365 Days",VLOOKUP(D205,[3]Extended!$B$9:$L$101,11,FALSE),VLOOKUP(D205,[3]Extended!$B$9:$M$101,12,FALSE)))),0)</f>
        <v>987000</v>
      </c>
      <c r="P205" s="116">
        <f t="shared" si="16"/>
        <v>0.25</v>
      </c>
      <c r="Q205" s="110" t="e">
        <f>O205-#REF!</f>
        <v>#REF!</v>
      </c>
      <c r="W205" s="311"/>
      <c r="X205" s="311"/>
      <c r="Y205" s="311"/>
      <c r="Z205" s="311"/>
      <c r="AA205" s="311"/>
      <c r="AB205" s="311"/>
      <c r="AC205" s="311"/>
      <c r="AT205" s="88" t="str">
        <f t="shared" si="17"/>
        <v>KP0004892017Q314,7</v>
      </c>
      <c r="AU205" s="89" t="str">
        <f t="shared" si="18"/>
        <v>07-2017</v>
      </c>
      <c r="BA205" s="92" t="str">
        <f t="shared" si="19"/>
        <v>WIP - 30 Days</v>
      </c>
    </row>
    <row r="206" spans="1:56">
      <c r="B206" s="60">
        <f>[2]Trucks!A203</f>
        <v>47579</v>
      </c>
      <c r="C206" s="11" t="str">
        <f>[2]Trucks!B203</f>
        <v>TGM-25-2806X2BL-L</v>
      </c>
      <c r="D206" s="19" t="str">
        <f>IFERROR(VLOOKUP(C206&amp;"",'[2]Retail Price List'!$A$3:$B$103,2,FALSE),"Special Order")</f>
        <v>KP000489</v>
      </c>
      <c r="E206" s="18" t="str">
        <f>[2]Trucks!J203</f>
        <v>CKD</v>
      </c>
      <c r="F206" s="12" t="str">
        <f>[2]Trucks!E203</f>
        <v>2017-12-5</v>
      </c>
      <c r="G206" s="56">
        <f>[2]Trucks!K203</f>
        <v>14.7</v>
      </c>
      <c r="H206" s="46">
        <f>[2]Trucks!I203</f>
        <v>42937</v>
      </c>
      <c r="I206" s="83" t="str">
        <f t="shared" si="15"/>
        <v>2017Q3</v>
      </c>
      <c r="J206" s="272">
        <f>IFERROR(VLOOKUP((D206&amp;C206)&amp;"",'[2]Retail Price List'!$C$4:$F$102,3,FALSE),"")</f>
        <v>1300000</v>
      </c>
      <c r="K206" s="272">
        <f>IFERROR(IF(BA206="WIP - 30 Days",VLOOKUP(D206,[3]Standard!$B$9:$E$101,4,FALSE),IF(BA206="31-120 Days",VLOOKUP(D206,[3]Standard!$B$9:$F$101,5,FALSE),IF(BA206="121-365 Days",VLOOKUP(D206,[3]Standard!$B$9:$G$101,6,FALSE),VLOOKUP(D206,[3]Standard!$B$9:$H$101,7,FALSE)))),0)</f>
        <v>977470</v>
      </c>
      <c r="L206" s="272">
        <f>IFERROR(IF(BA206="WIP - 30 Days",VLOOKUP(D206,[3]Standard!$B$9:$J$101,9,FALSE),IF(BA206="31-120 Days",VLOOKUP(D206,[3]Standard!$B$9:$K$100,10,FALSE),IF(BA206="121-365 Days",VLOOKUP(D206,[3]Standard!$B$9:$L$101,11,FALSE),VLOOKUP(D206,[3]Standard!$B$9:$M$101,12,FALSE)))),0)</f>
        <v>949000</v>
      </c>
      <c r="M206" s="269">
        <f>IFERROR(VLOOKUP((D206&amp;C206)&amp;"",'[2]Retail Price List'!$C$4:$F$102,4,FALSE),"")</f>
        <v>1316000</v>
      </c>
      <c r="N206" s="269">
        <f>IFERROR(IF(BA206="WIP - 30 Days",VLOOKUP(D206,[3]Extended!$B$9:$E$101,4,FALSE),IF(BA206="31-120 Days",VLOOKUP(D206,[3]Extended!$B$9:$F$101,5,FALSE),IF(BA206="121-365 Days",VLOOKUP(D206,[3]Extended!$B$9:$G$101,6,FALSE),VLOOKUP(D206,[3]Extended!$B$9:$H$101,7,FALSE)))),0)</f>
        <v>1016610</v>
      </c>
      <c r="O206" s="269">
        <f>IFERROR(IF(BA206="WIP - 30 Days",VLOOKUP(D206,[3]Extended!$B$9:$J$101,9,FALSE),IF(BA206="31-120 Days",VLOOKUP(D206,[3]Extended!$B$9:$K$101,10,FALSE),IF(BA206="121-365 Days",VLOOKUP(D206,[3]Extended!$B$9:$L$101,11,FALSE),VLOOKUP(D206,[3]Extended!$B$9:$M$101,12,FALSE)))),0)</f>
        <v>987000</v>
      </c>
      <c r="P206" s="116">
        <f t="shared" si="16"/>
        <v>0.25</v>
      </c>
      <c r="Q206" s="110" t="e">
        <f>O206-#REF!</f>
        <v>#REF!</v>
      </c>
      <c r="W206" s="311"/>
      <c r="X206" s="311"/>
      <c r="Y206" s="311"/>
      <c r="Z206" s="311"/>
      <c r="AA206" s="311"/>
      <c r="AB206" s="311"/>
      <c r="AC206" s="311"/>
      <c r="AT206" s="88" t="str">
        <f t="shared" si="17"/>
        <v>KP0004892017Q314,7</v>
      </c>
      <c r="AU206" s="89" t="str">
        <f t="shared" si="18"/>
        <v>07-2017</v>
      </c>
      <c r="BA206" s="92" t="str">
        <f t="shared" si="19"/>
        <v>WIP - 30 Days</v>
      </c>
    </row>
    <row r="207" spans="1:56">
      <c r="B207" s="60">
        <f>[2]Trucks!A204</f>
        <v>47580</v>
      </c>
      <c r="C207" s="11" t="str">
        <f>[2]Trucks!B204</f>
        <v>TGM-25-2806X2BL-L</v>
      </c>
      <c r="D207" s="19" t="str">
        <f>IFERROR(VLOOKUP(C207&amp;"",'[2]Retail Price List'!$A$3:$B$103,2,FALSE),"Special Order")</f>
        <v>KP000489</v>
      </c>
      <c r="E207" s="18" t="str">
        <f>[2]Trucks!J204</f>
        <v>CKD</v>
      </c>
      <c r="F207" s="12" t="str">
        <f>[2]Trucks!E204</f>
        <v>2017-12-5</v>
      </c>
      <c r="G207" s="56">
        <f>[2]Trucks!K204</f>
        <v>14.7</v>
      </c>
      <c r="H207" s="46">
        <f>[2]Trucks!I204</f>
        <v>42937</v>
      </c>
      <c r="I207" s="83" t="str">
        <f t="shared" si="15"/>
        <v>2017Q3</v>
      </c>
      <c r="J207" s="272">
        <f>IFERROR(VLOOKUP((D207&amp;C207)&amp;"",'[2]Retail Price List'!$C$4:$F$102,3,FALSE),"")</f>
        <v>1300000</v>
      </c>
      <c r="K207" s="272">
        <f>IFERROR(IF(BA207="WIP - 30 Days",VLOOKUP(D207,[3]Standard!$B$9:$E$101,4,FALSE),IF(BA207="31-120 Days",VLOOKUP(D207,[3]Standard!$B$9:$F$101,5,FALSE),IF(BA207="121-365 Days",VLOOKUP(D207,[3]Standard!$B$9:$G$101,6,FALSE),VLOOKUP(D207,[3]Standard!$B$9:$H$101,7,FALSE)))),0)</f>
        <v>977470</v>
      </c>
      <c r="L207" s="272">
        <f>IFERROR(IF(BA207="WIP - 30 Days",VLOOKUP(D207,[3]Standard!$B$9:$J$101,9,FALSE),IF(BA207="31-120 Days",VLOOKUP(D207,[3]Standard!$B$9:$K$100,10,FALSE),IF(BA207="121-365 Days",VLOOKUP(D207,[3]Standard!$B$9:$L$101,11,FALSE),VLOOKUP(D207,[3]Standard!$B$9:$M$101,12,FALSE)))),0)</f>
        <v>949000</v>
      </c>
      <c r="M207" s="269">
        <f>IFERROR(VLOOKUP((D207&amp;C207)&amp;"",'[2]Retail Price List'!$C$4:$F$102,4,FALSE),"")</f>
        <v>1316000</v>
      </c>
      <c r="N207" s="269">
        <f>IFERROR(IF(BA207="WIP - 30 Days",VLOOKUP(D207,[3]Extended!$B$9:$E$101,4,FALSE),IF(BA207="31-120 Days",VLOOKUP(D207,[3]Extended!$B$9:$F$101,5,FALSE),IF(BA207="121-365 Days",VLOOKUP(D207,[3]Extended!$B$9:$G$101,6,FALSE),VLOOKUP(D207,[3]Extended!$B$9:$H$101,7,FALSE)))),0)</f>
        <v>1016610</v>
      </c>
      <c r="O207" s="269">
        <f>IFERROR(IF(BA207="WIP - 30 Days",VLOOKUP(D207,[3]Extended!$B$9:$J$101,9,FALSE),IF(BA207="31-120 Days",VLOOKUP(D207,[3]Extended!$B$9:$K$101,10,FALSE),IF(BA207="121-365 Days",VLOOKUP(D207,[3]Extended!$B$9:$L$101,11,FALSE),VLOOKUP(D207,[3]Extended!$B$9:$M$101,12,FALSE)))),0)</f>
        <v>987000</v>
      </c>
      <c r="P207" s="116">
        <f t="shared" si="16"/>
        <v>0.25</v>
      </c>
      <c r="Q207" s="110" t="e">
        <f>O207-#REF!</f>
        <v>#REF!</v>
      </c>
      <c r="W207" s="311"/>
      <c r="X207" s="311"/>
      <c r="Y207" s="311"/>
      <c r="Z207" s="311"/>
      <c r="AA207" s="311"/>
      <c r="AB207" s="311"/>
      <c r="AC207" s="311"/>
      <c r="AT207" s="88" t="str">
        <f t="shared" si="17"/>
        <v>KP0004892017Q314,7</v>
      </c>
      <c r="AU207" s="89" t="str">
        <f t="shared" si="18"/>
        <v>07-2017</v>
      </c>
      <c r="BA207" s="92" t="str">
        <f t="shared" si="19"/>
        <v>WIP - 30 Days</v>
      </c>
    </row>
    <row r="208" spans="1:56">
      <c r="B208" s="60">
        <f>[2]Trucks!A205</f>
        <v>47581</v>
      </c>
      <c r="C208" s="11" t="str">
        <f>[2]Trucks!B205</f>
        <v>TGM-25-2806X2BL-L</v>
      </c>
      <c r="D208" s="19" t="str">
        <f>IFERROR(VLOOKUP(C208&amp;"",'[2]Retail Price List'!$A$3:$B$103,2,FALSE),"Special Order")</f>
        <v>KP000489</v>
      </c>
      <c r="E208" s="18" t="str">
        <f>[2]Trucks!J205</f>
        <v>CKD</v>
      </c>
      <c r="F208" s="12" t="str">
        <f>[2]Trucks!E205</f>
        <v>2017-12-5</v>
      </c>
      <c r="G208" s="56">
        <f>[2]Trucks!K205</f>
        <v>14.7</v>
      </c>
      <c r="H208" s="46">
        <f>[2]Trucks!I205</f>
        <v>42937</v>
      </c>
      <c r="I208" s="83" t="str">
        <f t="shared" si="15"/>
        <v>2017Q3</v>
      </c>
      <c r="J208" s="272">
        <f>IFERROR(VLOOKUP((D208&amp;C208)&amp;"",'[2]Retail Price List'!$C$4:$F$102,3,FALSE),"")</f>
        <v>1300000</v>
      </c>
      <c r="K208" s="272">
        <f>IFERROR(IF(BA208="WIP - 30 Days",VLOOKUP(D208,[3]Standard!$B$9:$E$101,4,FALSE),IF(BA208="31-120 Days",VLOOKUP(D208,[3]Standard!$B$9:$F$101,5,FALSE),IF(BA208="121-365 Days",VLOOKUP(D208,[3]Standard!$B$9:$G$101,6,FALSE),VLOOKUP(D208,[3]Standard!$B$9:$H$101,7,FALSE)))),0)</f>
        <v>977470</v>
      </c>
      <c r="L208" s="272">
        <f>IFERROR(IF(BA208="WIP - 30 Days",VLOOKUP(D208,[3]Standard!$B$9:$J$101,9,FALSE),IF(BA208="31-120 Days",VLOOKUP(D208,[3]Standard!$B$9:$K$100,10,FALSE),IF(BA208="121-365 Days",VLOOKUP(D208,[3]Standard!$B$9:$L$101,11,FALSE),VLOOKUP(D208,[3]Standard!$B$9:$M$101,12,FALSE)))),0)</f>
        <v>949000</v>
      </c>
      <c r="M208" s="269">
        <f>IFERROR(VLOOKUP((D208&amp;C208)&amp;"",'[2]Retail Price List'!$C$4:$F$102,4,FALSE),"")</f>
        <v>1316000</v>
      </c>
      <c r="N208" s="269">
        <f>IFERROR(IF(BA208="WIP - 30 Days",VLOOKUP(D208,[3]Extended!$B$9:$E$101,4,FALSE),IF(BA208="31-120 Days",VLOOKUP(D208,[3]Extended!$B$9:$F$101,5,FALSE),IF(BA208="121-365 Days",VLOOKUP(D208,[3]Extended!$B$9:$G$101,6,FALSE),VLOOKUP(D208,[3]Extended!$B$9:$H$101,7,FALSE)))),0)</f>
        <v>1016610</v>
      </c>
      <c r="O208" s="269">
        <f>IFERROR(IF(BA208="WIP - 30 Days",VLOOKUP(D208,[3]Extended!$B$9:$J$101,9,FALSE),IF(BA208="31-120 Days",VLOOKUP(D208,[3]Extended!$B$9:$K$101,10,FALSE),IF(BA208="121-365 Days",VLOOKUP(D208,[3]Extended!$B$9:$L$101,11,FALSE),VLOOKUP(D208,[3]Extended!$B$9:$M$101,12,FALSE)))),0)</f>
        <v>987000</v>
      </c>
      <c r="P208" s="116">
        <f t="shared" si="16"/>
        <v>0.25</v>
      </c>
      <c r="Q208" s="110" t="e">
        <f>O208-#REF!</f>
        <v>#REF!</v>
      </c>
      <c r="W208" s="311"/>
      <c r="X208" s="311"/>
      <c r="Y208" s="311"/>
      <c r="Z208" s="311"/>
      <c r="AA208" s="311"/>
      <c r="AB208" s="311"/>
      <c r="AC208" s="311"/>
      <c r="AT208" s="88" t="str">
        <f t="shared" si="17"/>
        <v>KP0004892017Q314,7</v>
      </c>
      <c r="AU208" s="89" t="str">
        <f t="shared" si="18"/>
        <v>07-2017</v>
      </c>
      <c r="BA208" s="92" t="str">
        <f t="shared" si="19"/>
        <v>WIP - 30 Days</v>
      </c>
    </row>
    <row r="209" spans="2:53">
      <c r="B209" s="60">
        <f>[2]Trucks!A206</f>
        <v>47582</v>
      </c>
      <c r="C209" s="11" t="str">
        <f>[2]Trucks!B206</f>
        <v>TGM-25-2806X2BL-L</v>
      </c>
      <c r="D209" s="19" t="str">
        <f>IFERROR(VLOOKUP(C209&amp;"",'[2]Retail Price List'!$A$3:$B$103,2,FALSE),"Special Order")</f>
        <v>KP000489</v>
      </c>
      <c r="E209" s="18" t="str">
        <f>[2]Trucks!J206</f>
        <v>CKD</v>
      </c>
      <c r="F209" s="12" t="str">
        <f>[2]Trucks!E206</f>
        <v>2017-12-5</v>
      </c>
      <c r="G209" s="56">
        <f>[2]Trucks!K206</f>
        <v>14.7</v>
      </c>
      <c r="H209" s="46">
        <f>[2]Trucks!I206</f>
        <v>42937</v>
      </c>
      <c r="I209" s="83" t="str">
        <f t="shared" si="15"/>
        <v>2017Q3</v>
      </c>
      <c r="J209" s="272">
        <f>IFERROR(VLOOKUP((D209&amp;C209)&amp;"",'[2]Retail Price List'!$C$4:$F$102,3,FALSE),"")</f>
        <v>1300000</v>
      </c>
      <c r="K209" s="272">
        <f>IFERROR(IF(BA209="WIP - 30 Days",VLOOKUP(D209,[3]Standard!$B$9:$E$101,4,FALSE),IF(BA209="31-120 Days",VLOOKUP(D209,[3]Standard!$B$9:$F$101,5,FALSE),IF(BA209="121-365 Days",VLOOKUP(D209,[3]Standard!$B$9:$G$101,6,FALSE),VLOOKUP(D209,[3]Standard!$B$9:$H$101,7,FALSE)))),0)</f>
        <v>977470</v>
      </c>
      <c r="L209" s="272">
        <f>IFERROR(IF(BA209="WIP - 30 Days",VLOOKUP(D209,[3]Standard!$B$9:$J$101,9,FALSE),IF(BA209="31-120 Days",VLOOKUP(D209,[3]Standard!$B$9:$K$100,10,FALSE),IF(BA209="121-365 Days",VLOOKUP(D209,[3]Standard!$B$9:$L$101,11,FALSE),VLOOKUP(D209,[3]Standard!$B$9:$M$101,12,FALSE)))),0)</f>
        <v>949000</v>
      </c>
      <c r="M209" s="269">
        <f>IFERROR(VLOOKUP((D209&amp;C209)&amp;"",'[2]Retail Price List'!$C$4:$F$102,4,FALSE),"")</f>
        <v>1316000</v>
      </c>
      <c r="N209" s="269">
        <f>IFERROR(IF(BA209="WIP - 30 Days",VLOOKUP(D209,[3]Extended!$B$9:$E$101,4,FALSE),IF(BA209="31-120 Days",VLOOKUP(D209,[3]Extended!$B$9:$F$101,5,FALSE),IF(BA209="121-365 Days",VLOOKUP(D209,[3]Extended!$B$9:$G$101,6,FALSE),VLOOKUP(D209,[3]Extended!$B$9:$H$101,7,FALSE)))),0)</f>
        <v>1016610</v>
      </c>
      <c r="O209" s="269">
        <f>IFERROR(IF(BA209="WIP - 30 Days",VLOOKUP(D209,[3]Extended!$B$9:$J$101,9,FALSE),IF(BA209="31-120 Days",VLOOKUP(D209,[3]Extended!$B$9:$K$101,10,FALSE),IF(BA209="121-365 Days",VLOOKUP(D209,[3]Extended!$B$9:$L$101,11,FALSE),VLOOKUP(D209,[3]Extended!$B$9:$M$101,12,FALSE)))),0)</f>
        <v>987000</v>
      </c>
      <c r="P209" s="116">
        <f t="shared" si="16"/>
        <v>0.25</v>
      </c>
      <c r="Q209" s="110" t="e">
        <f>O209-#REF!</f>
        <v>#REF!</v>
      </c>
      <c r="W209" s="311"/>
      <c r="X209" s="311"/>
      <c r="Y209" s="311"/>
      <c r="Z209" s="311"/>
      <c r="AA209" s="311"/>
      <c r="AB209" s="311"/>
      <c r="AC209" s="311"/>
      <c r="AT209" s="88" t="str">
        <f t="shared" si="17"/>
        <v>KP0004892017Q314,7</v>
      </c>
      <c r="AU209" s="89" t="str">
        <f t="shared" si="18"/>
        <v>07-2017</v>
      </c>
      <c r="BA209" s="92" t="str">
        <f t="shared" si="19"/>
        <v>WIP - 30 Days</v>
      </c>
    </row>
    <row r="210" spans="2:53">
      <c r="B210" s="60">
        <f>[2]Trucks!A207</f>
        <v>47583</v>
      </c>
      <c r="C210" s="11" t="str">
        <f>[2]Trucks!B207</f>
        <v>TGM-25-2806X2BL-L</v>
      </c>
      <c r="D210" s="19" t="str">
        <f>IFERROR(VLOOKUP(C210&amp;"",'[2]Retail Price List'!$A$3:$B$103,2,FALSE),"Special Order")</f>
        <v>KP000489</v>
      </c>
      <c r="E210" s="18" t="str">
        <f>[2]Trucks!J207</f>
        <v>CKD</v>
      </c>
      <c r="F210" s="12" t="str">
        <f>[2]Trucks!E207</f>
        <v>2017-12-5</v>
      </c>
      <c r="G210" s="56">
        <f>[2]Trucks!K207</f>
        <v>14.7</v>
      </c>
      <c r="H210" s="46">
        <f>[2]Trucks!I207</f>
        <v>42937</v>
      </c>
      <c r="I210" s="83" t="str">
        <f t="shared" si="15"/>
        <v>2017Q3</v>
      </c>
      <c r="J210" s="272">
        <f>IFERROR(VLOOKUP((D210&amp;C210)&amp;"",'[2]Retail Price List'!$C$4:$F$102,3,FALSE),"")</f>
        <v>1300000</v>
      </c>
      <c r="K210" s="272">
        <f>IFERROR(IF(BA210="WIP - 30 Days",VLOOKUP(D210,[3]Standard!$B$9:$E$101,4,FALSE),IF(BA210="31-120 Days",VLOOKUP(D210,[3]Standard!$B$9:$F$101,5,FALSE),IF(BA210="121-365 Days",VLOOKUP(D210,[3]Standard!$B$9:$G$101,6,FALSE),VLOOKUP(D210,[3]Standard!$B$9:$H$101,7,FALSE)))),0)</f>
        <v>977470</v>
      </c>
      <c r="L210" s="272">
        <f>IFERROR(IF(BA210="WIP - 30 Days",VLOOKUP(D210,[3]Standard!$B$9:$J$101,9,FALSE),IF(BA210="31-120 Days",VLOOKUP(D210,[3]Standard!$B$9:$K$100,10,FALSE),IF(BA210="121-365 Days",VLOOKUP(D210,[3]Standard!$B$9:$L$101,11,FALSE),VLOOKUP(D210,[3]Standard!$B$9:$M$101,12,FALSE)))),0)</f>
        <v>949000</v>
      </c>
      <c r="M210" s="269">
        <f>IFERROR(VLOOKUP((D210&amp;C210)&amp;"",'[2]Retail Price List'!$C$4:$F$102,4,FALSE),"")</f>
        <v>1316000</v>
      </c>
      <c r="N210" s="269">
        <f>IFERROR(IF(BA210="WIP - 30 Days",VLOOKUP(D210,[3]Extended!$B$9:$E$101,4,FALSE),IF(BA210="31-120 Days",VLOOKUP(D210,[3]Extended!$B$9:$F$101,5,FALSE),IF(BA210="121-365 Days",VLOOKUP(D210,[3]Extended!$B$9:$G$101,6,FALSE),VLOOKUP(D210,[3]Extended!$B$9:$H$101,7,FALSE)))),0)</f>
        <v>1016610</v>
      </c>
      <c r="O210" s="269">
        <f>IFERROR(IF(BA210="WIP - 30 Days",VLOOKUP(D210,[3]Extended!$B$9:$J$101,9,FALSE),IF(BA210="31-120 Days",VLOOKUP(D210,[3]Extended!$B$9:$K$101,10,FALSE),IF(BA210="121-365 Days",VLOOKUP(D210,[3]Extended!$B$9:$L$101,11,FALSE),VLOOKUP(D210,[3]Extended!$B$9:$M$101,12,FALSE)))),0)</f>
        <v>987000</v>
      </c>
      <c r="P210" s="116">
        <f t="shared" si="16"/>
        <v>0.25</v>
      </c>
      <c r="Q210" s="110" t="e">
        <f>O210-#REF!</f>
        <v>#REF!</v>
      </c>
      <c r="W210" s="311"/>
      <c r="X210" s="311"/>
      <c r="Y210" s="311"/>
      <c r="Z210" s="311"/>
      <c r="AA210" s="311"/>
      <c r="AB210" s="311"/>
      <c r="AC210" s="311"/>
      <c r="AT210" s="88" t="str">
        <f t="shared" si="17"/>
        <v>KP0004892017Q314,7</v>
      </c>
      <c r="AU210" s="89" t="str">
        <f t="shared" si="18"/>
        <v>07-2017</v>
      </c>
      <c r="BA210" s="92" t="str">
        <f t="shared" si="19"/>
        <v>WIP - 30 Days</v>
      </c>
    </row>
    <row r="211" spans="2:53">
      <c r="B211" s="60">
        <f>[2]Trucks!A208</f>
        <v>47696</v>
      </c>
      <c r="C211" s="11" t="str">
        <f>[2]Trucks!B208</f>
        <v>TGM-25-2806X2BL-L</v>
      </c>
      <c r="D211" s="19" t="str">
        <f>IFERROR(VLOOKUP(C211&amp;"",'[2]Retail Price List'!$A$3:$B$103,2,FALSE),"Special Order")</f>
        <v>KP000489</v>
      </c>
      <c r="E211" s="18" t="str">
        <f>[2]Trucks!J208</f>
        <v>CKD</v>
      </c>
      <c r="F211" s="12" t="str">
        <f>[2]Trucks!E208</f>
        <v>2018-02-10</v>
      </c>
      <c r="G211" s="56">
        <f>[2]Trucks!K208</f>
        <v>14.7</v>
      </c>
      <c r="H211" s="46">
        <f>[2]Trucks!I208</f>
        <v>42947</v>
      </c>
      <c r="I211" s="83" t="str">
        <f t="shared" si="15"/>
        <v>2017Q3</v>
      </c>
      <c r="J211" s="272">
        <f>IFERROR(VLOOKUP((D211&amp;C211)&amp;"",'[2]Retail Price List'!$C$4:$F$102,3,FALSE),"")</f>
        <v>1300000</v>
      </c>
      <c r="K211" s="272">
        <f>IFERROR(IF(BA211="WIP - 30 Days",VLOOKUP(D211,[3]Standard!$B$9:$E$101,4,FALSE),IF(BA211="31-120 Days",VLOOKUP(D211,[3]Standard!$B$9:$F$101,5,FALSE),IF(BA211="121-365 Days",VLOOKUP(D211,[3]Standard!$B$9:$G$101,6,FALSE),VLOOKUP(D211,[3]Standard!$B$9:$H$101,7,FALSE)))),0)</f>
        <v>977470</v>
      </c>
      <c r="L211" s="272">
        <f>IFERROR(IF(BA211="WIP - 30 Days",VLOOKUP(D211,[3]Standard!$B$9:$J$101,9,FALSE),IF(BA211="31-120 Days",VLOOKUP(D211,[3]Standard!$B$9:$K$100,10,FALSE),IF(BA211="121-365 Days",VLOOKUP(D211,[3]Standard!$B$9:$L$101,11,FALSE),VLOOKUP(D211,[3]Standard!$B$9:$M$101,12,FALSE)))),0)</f>
        <v>949000</v>
      </c>
      <c r="M211" s="269">
        <f>IFERROR(VLOOKUP((D211&amp;C211)&amp;"",'[2]Retail Price List'!$C$4:$F$102,4,FALSE),"")</f>
        <v>1316000</v>
      </c>
      <c r="N211" s="269">
        <f>IFERROR(IF(BA211="WIP - 30 Days",VLOOKUP(D211,[3]Extended!$B$9:$E$101,4,FALSE),IF(BA211="31-120 Days",VLOOKUP(D211,[3]Extended!$B$9:$F$101,5,FALSE),IF(BA211="121-365 Days",VLOOKUP(D211,[3]Extended!$B$9:$G$101,6,FALSE),VLOOKUP(D211,[3]Extended!$B$9:$H$101,7,FALSE)))),0)</f>
        <v>1016610</v>
      </c>
      <c r="O211" s="269">
        <f>IFERROR(IF(BA211="WIP - 30 Days",VLOOKUP(D211,[3]Extended!$B$9:$J$101,9,FALSE),IF(BA211="31-120 Days",VLOOKUP(D211,[3]Extended!$B$9:$K$101,10,FALSE),IF(BA211="121-365 Days",VLOOKUP(D211,[3]Extended!$B$9:$L$101,11,FALSE),VLOOKUP(D211,[3]Extended!$B$9:$M$101,12,FALSE)))),0)</f>
        <v>987000</v>
      </c>
      <c r="P211" s="116">
        <f t="shared" si="16"/>
        <v>0.25</v>
      </c>
      <c r="Q211" s="110" t="e">
        <f>O211-#REF!</f>
        <v>#REF!</v>
      </c>
      <c r="W211" s="311"/>
      <c r="X211" s="311"/>
      <c r="Y211" s="311"/>
      <c r="Z211" s="311"/>
      <c r="AA211" s="311"/>
      <c r="AB211" s="311"/>
      <c r="AC211" s="311"/>
      <c r="AT211" s="88" t="str">
        <f t="shared" si="17"/>
        <v>KP0004892017Q314,7</v>
      </c>
      <c r="AU211" s="89" t="str">
        <f t="shared" si="18"/>
        <v>07-2017</v>
      </c>
      <c r="BA211" s="92" t="str">
        <f t="shared" si="19"/>
        <v>WIP - 30 Days</v>
      </c>
    </row>
    <row r="212" spans="2:53">
      <c r="B212" s="60">
        <f>[2]Trucks!A209</f>
        <v>47697</v>
      </c>
      <c r="C212" s="11" t="str">
        <f>[2]Trucks!B209</f>
        <v>TGM-25-2806X2BL-L</v>
      </c>
      <c r="D212" s="19" t="str">
        <f>IFERROR(VLOOKUP(C212&amp;"",'[2]Retail Price List'!$A$3:$B$103,2,FALSE),"Special Order")</f>
        <v>KP000489</v>
      </c>
      <c r="E212" s="18" t="str">
        <f>[2]Trucks!J209</f>
        <v>CKD</v>
      </c>
      <c r="F212" s="12" t="str">
        <f>[2]Trucks!E209</f>
        <v>2018-02-10</v>
      </c>
      <c r="G212" s="56">
        <f>[2]Trucks!K209</f>
        <v>14.7</v>
      </c>
      <c r="H212" s="46">
        <f>[2]Trucks!I209</f>
        <v>42947</v>
      </c>
      <c r="I212" s="83" t="str">
        <f t="shared" si="15"/>
        <v>2017Q3</v>
      </c>
      <c r="J212" s="272">
        <f>IFERROR(VLOOKUP((D212&amp;C212)&amp;"",'[2]Retail Price List'!$C$4:$F$102,3,FALSE),"")</f>
        <v>1300000</v>
      </c>
      <c r="K212" s="272">
        <f>IFERROR(IF(BA212="WIP - 30 Days",VLOOKUP(D212,[3]Standard!$B$9:$E$101,4,FALSE),IF(BA212="31-120 Days",VLOOKUP(D212,[3]Standard!$B$9:$F$101,5,FALSE),IF(BA212="121-365 Days",VLOOKUP(D212,[3]Standard!$B$9:$G$101,6,FALSE),VLOOKUP(D212,[3]Standard!$B$9:$H$101,7,FALSE)))),0)</f>
        <v>977470</v>
      </c>
      <c r="L212" s="272">
        <f>IFERROR(IF(BA212="WIP - 30 Days",VLOOKUP(D212,[3]Standard!$B$9:$J$101,9,FALSE),IF(BA212="31-120 Days",VLOOKUP(D212,[3]Standard!$B$9:$K$100,10,FALSE),IF(BA212="121-365 Days",VLOOKUP(D212,[3]Standard!$B$9:$L$101,11,FALSE),VLOOKUP(D212,[3]Standard!$B$9:$M$101,12,FALSE)))),0)</f>
        <v>949000</v>
      </c>
      <c r="M212" s="269">
        <f>IFERROR(VLOOKUP((D212&amp;C212)&amp;"",'[2]Retail Price List'!$C$4:$F$102,4,FALSE),"")</f>
        <v>1316000</v>
      </c>
      <c r="N212" s="269">
        <f>IFERROR(IF(BA212="WIP - 30 Days",VLOOKUP(D212,[3]Extended!$B$9:$E$101,4,FALSE),IF(BA212="31-120 Days",VLOOKUP(D212,[3]Extended!$B$9:$F$101,5,FALSE),IF(BA212="121-365 Days",VLOOKUP(D212,[3]Extended!$B$9:$G$101,6,FALSE),VLOOKUP(D212,[3]Extended!$B$9:$H$101,7,FALSE)))),0)</f>
        <v>1016610</v>
      </c>
      <c r="O212" s="269">
        <f>IFERROR(IF(BA212="WIP - 30 Days",VLOOKUP(D212,[3]Extended!$B$9:$J$101,9,FALSE),IF(BA212="31-120 Days",VLOOKUP(D212,[3]Extended!$B$9:$K$101,10,FALSE),IF(BA212="121-365 Days",VLOOKUP(D212,[3]Extended!$B$9:$L$101,11,FALSE),VLOOKUP(D212,[3]Extended!$B$9:$M$101,12,FALSE)))),0)</f>
        <v>987000</v>
      </c>
      <c r="P212" s="116">
        <f t="shared" si="16"/>
        <v>0.25</v>
      </c>
      <c r="Q212" s="110" t="e">
        <f>O212-#REF!</f>
        <v>#REF!</v>
      </c>
      <c r="W212" s="311"/>
      <c r="X212" s="311"/>
      <c r="Y212" s="311"/>
      <c r="Z212" s="311"/>
      <c r="AA212" s="311"/>
      <c r="AB212" s="311"/>
      <c r="AC212" s="311"/>
      <c r="AT212" s="88" t="str">
        <f t="shared" si="17"/>
        <v>KP0004892017Q314,7</v>
      </c>
      <c r="AU212" s="89" t="str">
        <f t="shared" si="18"/>
        <v>07-2017</v>
      </c>
      <c r="BA212" s="92" t="str">
        <f t="shared" si="19"/>
        <v>WIP - 30 Days</v>
      </c>
    </row>
    <row r="213" spans="2:53">
      <c r="B213" s="60">
        <f>[2]Trucks!A210</f>
        <v>47698</v>
      </c>
      <c r="C213" s="11" t="str">
        <f>[2]Trucks!B210</f>
        <v>TGM-25-2806X2BL-L</v>
      </c>
      <c r="D213" s="19" t="str">
        <f>IFERROR(VLOOKUP(C213&amp;"",'[2]Retail Price List'!$A$3:$B$103,2,FALSE),"Special Order")</f>
        <v>KP000489</v>
      </c>
      <c r="E213" s="18" t="str">
        <f>[2]Trucks!J210</f>
        <v>CKD</v>
      </c>
      <c r="F213" s="12" t="str">
        <f>[2]Trucks!E210</f>
        <v>2018-02-10</v>
      </c>
      <c r="G213" s="56">
        <f>[2]Trucks!K210</f>
        <v>14.7</v>
      </c>
      <c r="H213" s="46">
        <f>[2]Trucks!I210</f>
        <v>42947</v>
      </c>
      <c r="I213" s="83" t="str">
        <f t="shared" si="15"/>
        <v>2017Q3</v>
      </c>
      <c r="J213" s="272">
        <f>IFERROR(VLOOKUP((D213&amp;C213)&amp;"",'[2]Retail Price List'!$C$4:$F$102,3,FALSE),"")</f>
        <v>1300000</v>
      </c>
      <c r="K213" s="272">
        <f>IFERROR(IF(BA213="WIP - 30 Days",VLOOKUP(D213,[3]Standard!$B$9:$E$101,4,FALSE),IF(BA213="31-120 Days",VLOOKUP(D213,[3]Standard!$B$9:$F$101,5,FALSE),IF(BA213="121-365 Days",VLOOKUP(D213,[3]Standard!$B$9:$G$101,6,FALSE),VLOOKUP(D213,[3]Standard!$B$9:$H$101,7,FALSE)))),0)</f>
        <v>977470</v>
      </c>
      <c r="L213" s="272">
        <f>IFERROR(IF(BA213="WIP - 30 Days",VLOOKUP(D213,[3]Standard!$B$9:$J$101,9,FALSE),IF(BA213="31-120 Days",VLOOKUP(D213,[3]Standard!$B$9:$K$100,10,FALSE),IF(BA213="121-365 Days",VLOOKUP(D213,[3]Standard!$B$9:$L$101,11,FALSE),VLOOKUP(D213,[3]Standard!$B$9:$M$101,12,FALSE)))),0)</f>
        <v>949000</v>
      </c>
      <c r="M213" s="269">
        <f>IFERROR(VLOOKUP((D213&amp;C213)&amp;"",'[2]Retail Price List'!$C$4:$F$102,4,FALSE),"")</f>
        <v>1316000</v>
      </c>
      <c r="N213" s="269">
        <f>IFERROR(IF(BA213="WIP - 30 Days",VLOOKUP(D213,[3]Extended!$B$9:$E$101,4,FALSE),IF(BA213="31-120 Days",VLOOKUP(D213,[3]Extended!$B$9:$F$101,5,FALSE),IF(BA213="121-365 Days",VLOOKUP(D213,[3]Extended!$B$9:$G$101,6,FALSE),VLOOKUP(D213,[3]Extended!$B$9:$H$101,7,FALSE)))),0)</f>
        <v>1016610</v>
      </c>
      <c r="O213" s="269">
        <f>IFERROR(IF(BA213="WIP - 30 Days",VLOOKUP(D213,[3]Extended!$B$9:$J$101,9,FALSE),IF(BA213="31-120 Days",VLOOKUP(D213,[3]Extended!$B$9:$K$101,10,FALSE),IF(BA213="121-365 Days",VLOOKUP(D213,[3]Extended!$B$9:$L$101,11,FALSE),VLOOKUP(D213,[3]Extended!$B$9:$M$101,12,FALSE)))),0)</f>
        <v>987000</v>
      </c>
      <c r="P213" s="116">
        <f t="shared" si="16"/>
        <v>0.25</v>
      </c>
      <c r="Q213" s="110" t="e">
        <f>O213-#REF!</f>
        <v>#REF!</v>
      </c>
      <c r="W213" s="311"/>
      <c r="X213" s="311"/>
      <c r="Y213" s="311"/>
      <c r="Z213" s="311"/>
      <c r="AA213" s="311"/>
      <c r="AB213" s="311"/>
      <c r="AC213" s="311"/>
      <c r="AT213" s="88" t="str">
        <f t="shared" si="17"/>
        <v>KP0004892017Q314,7</v>
      </c>
      <c r="AU213" s="89" t="str">
        <f t="shared" si="18"/>
        <v>07-2017</v>
      </c>
      <c r="BA213" s="92" t="str">
        <f t="shared" si="19"/>
        <v>WIP - 30 Days</v>
      </c>
    </row>
    <row r="214" spans="2:53">
      <c r="B214" s="60">
        <f>[2]Trucks!A211</f>
        <v>47699</v>
      </c>
      <c r="C214" s="11" t="str">
        <f>[2]Trucks!B211</f>
        <v>TGM-25-2806X2BL-L</v>
      </c>
      <c r="D214" s="19" t="str">
        <f>IFERROR(VLOOKUP(C214&amp;"",'[2]Retail Price List'!$A$3:$B$103,2,FALSE),"Special Order")</f>
        <v>KP000489</v>
      </c>
      <c r="E214" s="18" t="str">
        <f>[2]Trucks!J211</f>
        <v>CKD</v>
      </c>
      <c r="F214" s="12" t="str">
        <f>[2]Trucks!E211</f>
        <v>2018-02-10</v>
      </c>
      <c r="G214" s="56">
        <f>[2]Trucks!K211</f>
        <v>14.7</v>
      </c>
      <c r="H214" s="46">
        <f>[2]Trucks!I211</f>
        <v>42947</v>
      </c>
      <c r="I214" s="83" t="str">
        <f t="shared" si="15"/>
        <v>2017Q3</v>
      </c>
      <c r="J214" s="272">
        <f>IFERROR(VLOOKUP((D214&amp;C214)&amp;"",'[2]Retail Price List'!$C$4:$F$102,3,FALSE),"")</f>
        <v>1300000</v>
      </c>
      <c r="K214" s="272">
        <f>IFERROR(IF(BA214="WIP - 30 Days",VLOOKUP(D214,[3]Standard!$B$9:$E$101,4,FALSE),IF(BA214="31-120 Days",VLOOKUP(D214,[3]Standard!$B$9:$F$101,5,FALSE),IF(BA214="121-365 Days",VLOOKUP(D214,[3]Standard!$B$9:$G$101,6,FALSE),VLOOKUP(D214,[3]Standard!$B$9:$H$101,7,FALSE)))),0)</f>
        <v>977470</v>
      </c>
      <c r="L214" s="272">
        <f>IFERROR(IF(BA214="WIP - 30 Days",VLOOKUP(D214,[3]Standard!$B$9:$J$101,9,FALSE),IF(BA214="31-120 Days",VLOOKUP(D214,[3]Standard!$B$9:$K$100,10,FALSE),IF(BA214="121-365 Days",VLOOKUP(D214,[3]Standard!$B$9:$L$101,11,FALSE),VLOOKUP(D214,[3]Standard!$B$9:$M$101,12,FALSE)))),0)</f>
        <v>949000</v>
      </c>
      <c r="M214" s="269">
        <f>IFERROR(VLOOKUP((D214&amp;C214)&amp;"",'[2]Retail Price List'!$C$4:$F$102,4,FALSE),"")</f>
        <v>1316000</v>
      </c>
      <c r="N214" s="269">
        <f>IFERROR(IF(BA214="WIP - 30 Days",VLOOKUP(D214,[3]Extended!$B$9:$E$101,4,FALSE),IF(BA214="31-120 Days",VLOOKUP(D214,[3]Extended!$B$9:$F$101,5,FALSE),IF(BA214="121-365 Days",VLOOKUP(D214,[3]Extended!$B$9:$G$101,6,FALSE),VLOOKUP(D214,[3]Extended!$B$9:$H$101,7,FALSE)))),0)</f>
        <v>1016610</v>
      </c>
      <c r="O214" s="269">
        <f>IFERROR(IF(BA214="WIP - 30 Days",VLOOKUP(D214,[3]Extended!$B$9:$J$101,9,FALSE),IF(BA214="31-120 Days",VLOOKUP(D214,[3]Extended!$B$9:$K$101,10,FALSE),IF(BA214="121-365 Days",VLOOKUP(D214,[3]Extended!$B$9:$L$101,11,FALSE),VLOOKUP(D214,[3]Extended!$B$9:$M$101,12,FALSE)))),0)</f>
        <v>987000</v>
      </c>
      <c r="P214" s="116">
        <f t="shared" si="16"/>
        <v>0.25</v>
      </c>
      <c r="Q214" s="110" t="e">
        <f>O214-#REF!</f>
        <v>#REF!</v>
      </c>
      <c r="W214" s="311"/>
      <c r="X214" s="311"/>
      <c r="Y214" s="311"/>
      <c r="Z214" s="311"/>
      <c r="AA214" s="311"/>
      <c r="AB214" s="311"/>
      <c r="AC214" s="311"/>
      <c r="AT214" s="88" t="str">
        <f t="shared" si="17"/>
        <v>KP0004892017Q314,7</v>
      </c>
      <c r="AU214" s="89" t="str">
        <f t="shared" si="18"/>
        <v>07-2017</v>
      </c>
      <c r="BA214" s="92" t="str">
        <f t="shared" si="19"/>
        <v>WIP - 30 Days</v>
      </c>
    </row>
    <row r="215" spans="2:53">
      <c r="B215" s="60">
        <f>[2]Trucks!A212</f>
        <v>47700</v>
      </c>
      <c r="C215" s="11" t="str">
        <f>[2]Trucks!B212</f>
        <v>TGM-25-2806X2BL-L</v>
      </c>
      <c r="D215" s="19" t="str">
        <f>IFERROR(VLOOKUP(C215&amp;"",'[2]Retail Price List'!$A$3:$B$103,2,FALSE),"Special Order")</f>
        <v>KP000489</v>
      </c>
      <c r="E215" s="18" t="str">
        <f>[2]Trucks!J212</f>
        <v>CKD</v>
      </c>
      <c r="F215" s="12" t="str">
        <f>[2]Trucks!E212</f>
        <v>2018-02-15</v>
      </c>
      <c r="G215" s="56">
        <f>[2]Trucks!K212</f>
        <v>14.7</v>
      </c>
      <c r="H215" s="46">
        <f>[2]Trucks!I212</f>
        <v>42947</v>
      </c>
      <c r="I215" s="83" t="str">
        <f t="shared" si="15"/>
        <v>2017Q3</v>
      </c>
      <c r="J215" s="272">
        <f>IFERROR(VLOOKUP((D215&amp;C215)&amp;"",'[2]Retail Price List'!$C$4:$F$102,3,FALSE),"")</f>
        <v>1300000</v>
      </c>
      <c r="K215" s="272">
        <f>IFERROR(IF(BA215="WIP - 30 Days",VLOOKUP(D215,[3]Standard!$B$9:$E$101,4,FALSE),IF(BA215="31-120 Days",VLOOKUP(D215,[3]Standard!$B$9:$F$101,5,FALSE),IF(BA215="121-365 Days",VLOOKUP(D215,[3]Standard!$B$9:$G$101,6,FALSE),VLOOKUP(D215,[3]Standard!$B$9:$H$101,7,FALSE)))),0)</f>
        <v>977470</v>
      </c>
      <c r="L215" s="272">
        <f>IFERROR(IF(BA215="WIP - 30 Days",VLOOKUP(D215,[3]Standard!$B$9:$J$101,9,FALSE),IF(BA215="31-120 Days",VLOOKUP(D215,[3]Standard!$B$9:$K$100,10,FALSE),IF(BA215="121-365 Days",VLOOKUP(D215,[3]Standard!$B$9:$L$101,11,FALSE),VLOOKUP(D215,[3]Standard!$B$9:$M$101,12,FALSE)))),0)</f>
        <v>949000</v>
      </c>
      <c r="M215" s="269">
        <f>IFERROR(VLOOKUP((D215&amp;C215)&amp;"",'[2]Retail Price List'!$C$4:$F$102,4,FALSE),"")</f>
        <v>1316000</v>
      </c>
      <c r="N215" s="269">
        <f>IFERROR(IF(BA215="WIP - 30 Days",VLOOKUP(D215,[3]Extended!$B$9:$E$101,4,FALSE),IF(BA215="31-120 Days",VLOOKUP(D215,[3]Extended!$B$9:$F$101,5,FALSE),IF(BA215="121-365 Days",VLOOKUP(D215,[3]Extended!$B$9:$G$101,6,FALSE),VLOOKUP(D215,[3]Extended!$B$9:$H$101,7,FALSE)))),0)</f>
        <v>1016610</v>
      </c>
      <c r="O215" s="269">
        <f>IFERROR(IF(BA215="WIP - 30 Days",VLOOKUP(D215,[3]Extended!$B$9:$J$101,9,FALSE),IF(BA215="31-120 Days",VLOOKUP(D215,[3]Extended!$B$9:$K$101,10,FALSE),IF(BA215="121-365 Days",VLOOKUP(D215,[3]Extended!$B$9:$L$101,11,FALSE),VLOOKUP(D215,[3]Extended!$B$9:$M$101,12,FALSE)))),0)</f>
        <v>987000</v>
      </c>
      <c r="P215" s="116">
        <f t="shared" si="16"/>
        <v>0.25</v>
      </c>
      <c r="Q215" s="110" t="e">
        <f>O215-#REF!</f>
        <v>#REF!</v>
      </c>
      <c r="W215" s="311"/>
      <c r="X215" s="311"/>
      <c r="Y215" s="311"/>
      <c r="Z215" s="311"/>
      <c r="AA215" s="311"/>
      <c r="AB215" s="311"/>
      <c r="AC215" s="311"/>
      <c r="AT215" s="88" t="str">
        <f t="shared" si="17"/>
        <v>KP0004892017Q314,7</v>
      </c>
      <c r="AU215" s="89" t="str">
        <f t="shared" si="18"/>
        <v>07-2017</v>
      </c>
      <c r="BA215" s="92" t="str">
        <f t="shared" si="19"/>
        <v>WIP - 30 Days</v>
      </c>
    </row>
    <row r="216" spans="2:53">
      <c r="B216" s="60">
        <f>[2]Trucks!A213</f>
        <v>47701</v>
      </c>
      <c r="C216" s="11" t="str">
        <f>[2]Trucks!B213</f>
        <v>TGM-25-2806X2BL-L</v>
      </c>
      <c r="D216" s="19" t="str">
        <f>IFERROR(VLOOKUP(C216&amp;"",'[2]Retail Price List'!$A$3:$B$103,2,FALSE),"Special Order")</f>
        <v>KP000489</v>
      </c>
      <c r="E216" s="18" t="str">
        <f>[2]Trucks!J213</f>
        <v>CKD</v>
      </c>
      <c r="F216" s="12" t="str">
        <f>[2]Trucks!E213</f>
        <v>2018-02-15</v>
      </c>
      <c r="G216" s="56">
        <f>[2]Trucks!K213</f>
        <v>14.7</v>
      </c>
      <c r="H216" s="46">
        <f>[2]Trucks!I213</f>
        <v>42947</v>
      </c>
      <c r="I216" s="83" t="str">
        <f t="shared" si="15"/>
        <v>2017Q3</v>
      </c>
      <c r="J216" s="272">
        <f>IFERROR(VLOOKUP((D216&amp;C216)&amp;"",'[2]Retail Price List'!$C$4:$F$102,3,FALSE),"")</f>
        <v>1300000</v>
      </c>
      <c r="K216" s="272">
        <f>IFERROR(IF(BA216="WIP - 30 Days",VLOOKUP(D216,[3]Standard!$B$9:$E$101,4,FALSE),IF(BA216="31-120 Days",VLOOKUP(D216,[3]Standard!$B$9:$F$101,5,FALSE),IF(BA216="121-365 Days",VLOOKUP(D216,[3]Standard!$B$9:$G$101,6,FALSE),VLOOKUP(D216,[3]Standard!$B$9:$H$101,7,FALSE)))),0)</f>
        <v>977470</v>
      </c>
      <c r="L216" s="272">
        <f>IFERROR(IF(BA216="WIP - 30 Days",VLOOKUP(D216,[3]Standard!$B$9:$J$101,9,FALSE),IF(BA216="31-120 Days",VLOOKUP(D216,[3]Standard!$B$9:$K$100,10,FALSE),IF(BA216="121-365 Days",VLOOKUP(D216,[3]Standard!$B$9:$L$101,11,FALSE),VLOOKUP(D216,[3]Standard!$B$9:$M$101,12,FALSE)))),0)</f>
        <v>949000</v>
      </c>
      <c r="M216" s="269">
        <f>IFERROR(VLOOKUP((D216&amp;C216)&amp;"",'[2]Retail Price List'!$C$4:$F$102,4,FALSE),"")</f>
        <v>1316000</v>
      </c>
      <c r="N216" s="269">
        <f>IFERROR(IF(BA216="WIP - 30 Days",VLOOKUP(D216,[3]Extended!$B$9:$E$101,4,FALSE),IF(BA216="31-120 Days",VLOOKUP(D216,[3]Extended!$B$9:$F$101,5,FALSE),IF(BA216="121-365 Days",VLOOKUP(D216,[3]Extended!$B$9:$G$101,6,FALSE),VLOOKUP(D216,[3]Extended!$B$9:$H$101,7,FALSE)))),0)</f>
        <v>1016610</v>
      </c>
      <c r="O216" s="269">
        <f>IFERROR(IF(BA216="WIP - 30 Days",VLOOKUP(D216,[3]Extended!$B$9:$J$101,9,FALSE),IF(BA216="31-120 Days",VLOOKUP(D216,[3]Extended!$B$9:$K$101,10,FALSE),IF(BA216="121-365 Days",VLOOKUP(D216,[3]Extended!$B$9:$L$101,11,FALSE),VLOOKUP(D216,[3]Extended!$B$9:$M$101,12,FALSE)))),0)</f>
        <v>987000</v>
      </c>
      <c r="P216" s="116">
        <f t="shared" si="16"/>
        <v>0.25</v>
      </c>
      <c r="Q216" s="110" t="e">
        <f>O216-#REF!</f>
        <v>#REF!</v>
      </c>
      <c r="W216" s="311"/>
      <c r="X216" s="311"/>
      <c r="Y216" s="311"/>
      <c r="Z216" s="311"/>
      <c r="AA216" s="311"/>
      <c r="AB216" s="311"/>
      <c r="AC216" s="311"/>
      <c r="AT216" s="88" t="str">
        <f t="shared" si="17"/>
        <v>KP0004892017Q314,7</v>
      </c>
      <c r="AU216" s="89" t="str">
        <f t="shared" si="18"/>
        <v>07-2017</v>
      </c>
      <c r="BA216" s="92" t="str">
        <f t="shared" si="19"/>
        <v>WIP - 30 Days</v>
      </c>
    </row>
    <row r="217" spans="2:53">
      <c r="B217" s="60">
        <f>[2]Trucks!A214</f>
        <v>47702</v>
      </c>
      <c r="C217" s="11" t="str">
        <f>[2]Trucks!B214</f>
        <v>TGM-25-2806X2BL-L</v>
      </c>
      <c r="D217" s="19" t="str">
        <f>IFERROR(VLOOKUP(C217&amp;"",'[2]Retail Price List'!$A$3:$B$103,2,FALSE),"Special Order")</f>
        <v>KP000489</v>
      </c>
      <c r="E217" s="18" t="str">
        <f>[2]Trucks!J214</f>
        <v>CKD</v>
      </c>
      <c r="F217" s="12" t="str">
        <f>[2]Trucks!E214</f>
        <v>2018-02-15</v>
      </c>
      <c r="G217" s="56">
        <f>[2]Trucks!K214</f>
        <v>14.7</v>
      </c>
      <c r="H217" s="46">
        <f>[2]Trucks!I214</f>
        <v>42947</v>
      </c>
      <c r="I217" s="83" t="str">
        <f t="shared" si="15"/>
        <v>2017Q3</v>
      </c>
      <c r="J217" s="272">
        <f>IFERROR(VLOOKUP((D217&amp;C217)&amp;"",'[2]Retail Price List'!$C$4:$F$102,3,FALSE),"")</f>
        <v>1300000</v>
      </c>
      <c r="K217" s="272">
        <f>IFERROR(IF(BA217="WIP - 30 Days",VLOOKUP(D217,[3]Standard!$B$9:$E$101,4,FALSE),IF(BA217="31-120 Days",VLOOKUP(D217,[3]Standard!$B$9:$F$101,5,FALSE),IF(BA217="121-365 Days",VLOOKUP(D217,[3]Standard!$B$9:$G$101,6,FALSE),VLOOKUP(D217,[3]Standard!$B$9:$H$101,7,FALSE)))),0)</f>
        <v>977470</v>
      </c>
      <c r="L217" s="272">
        <f>IFERROR(IF(BA217="WIP - 30 Days",VLOOKUP(D217,[3]Standard!$B$9:$J$101,9,FALSE),IF(BA217="31-120 Days",VLOOKUP(D217,[3]Standard!$B$9:$K$100,10,FALSE),IF(BA217="121-365 Days",VLOOKUP(D217,[3]Standard!$B$9:$L$101,11,FALSE),VLOOKUP(D217,[3]Standard!$B$9:$M$101,12,FALSE)))),0)</f>
        <v>949000</v>
      </c>
      <c r="M217" s="269">
        <f>IFERROR(VLOOKUP((D217&amp;C217)&amp;"",'[2]Retail Price List'!$C$4:$F$102,4,FALSE),"")</f>
        <v>1316000</v>
      </c>
      <c r="N217" s="269">
        <f>IFERROR(IF(BA217="WIP - 30 Days",VLOOKUP(D217,[3]Extended!$B$9:$E$101,4,FALSE),IF(BA217="31-120 Days",VLOOKUP(D217,[3]Extended!$B$9:$F$101,5,FALSE),IF(BA217="121-365 Days",VLOOKUP(D217,[3]Extended!$B$9:$G$101,6,FALSE),VLOOKUP(D217,[3]Extended!$B$9:$H$101,7,FALSE)))),0)</f>
        <v>1016610</v>
      </c>
      <c r="O217" s="269">
        <f>IFERROR(IF(BA217="WIP - 30 Days",VLOOKUP(D217,[3]Extended!$B$9:$J$101,9,FALSE),IF(BA217="31-120 Days",VLOOKUP(D217,[3]Extended!$B$9:$K$101,10,FALSE),IF(BA217="121-365 Days",VLOOKUP(D217,[3]Extended!$B$9:$L$101,11,FALSE),VLOOKUP(D217,[3]Extended!$B$9:$M$101,12,FALSE)))),0)</f>
        <v>987000</v>
      </c>
      <c r="P217" s="116">
        <f t="shared" si="16"/>
        <v>0.25</v>
      </c>
      <c r="Q217" s="110" t="e">
        <f>O217-#REF!</f>
        <v>#REF!</v>
      </c>
      <c r="W217" s="311"/>
      <c r="X217" s="311"/>
      <c r="Y217" s="311"/>
      <c r="Z217" s="311"/>
      <c r="AA217" s="311"/>
      <c r="AB217" s="311"/>
      <c r="AC217" s="311"/>
      <c r="AT217" s="88" t="str">
        <f t="shared" si="17"/>
        <v>KP0004892017Q314,7</v>
      </c>
      <c r="AU217" s="89" t="str">
        <f t="shared" si="18"/>
        <v>07-2017</v>
      </c>
      <c r="BA217" s="92" t="str">
        <f t="shared" si="19"/>
        <v>WIP - 30 Days</v>
      </c>
    </row>
    <row r="218" spans="2:53">
      <c r="B218" s="60">
        <f>[2]Trucks!A215</f>
        <v>47703</v>
      </c>
      <c r="C218" s="11" t="str">
        <f>[2]Trucks!B215</f>
        <v>TGM-25-2806X2BL-L</v>
      </c>
      <c r="D218" s="19" t="str">
        <f>IFERROR(VLOOKUP(C218&amp;"",'[2]Retail Price List'!$A$3:$B$103,2,FALSE),"Special Order")</f>
        <v>KP000489</v>
      </c>
      <c r="E218" s="18" t="str">
        <f>[2]Trucks!J215</f>
        <v>CKD</v>
      </c>
      <c r="F218" s="12" t="str">
        <f>[2]Trucks!E215</f>
        <v>2018-02-15</v>
      </c>
      <c r="G218" s="56">
        <f>[2]Trucks!K215</f>
        <v>14.7</v>
      </c>
      <c r="H218" s="46">
        <f>[2]Trucks!I215</f>
        <v>42947</v>
      </c>
      <c r="I218" s="83" t="str">
        <f t="shared" si="15"/>
        <v>2017Q3</v>
      </c>
      <c r="J218" s="272">
        <f>IFERROR(VLOOKUP((D218&amp;C218)&amp;"",'[2]Retail Price List'!$C$4:$F$102,3,FALSE),"")</f>
        <v>1300000</v>
      </c>
      <c r="K218" s="272">
        <f>IFERROR(IF(BA218="WIP - 30 Days",VLOOKUP(D218,[3]Standard!$B$9:$E$101,4,FALSE),IF(BA218="31-120 Days",VLOOKUP(D218,[3]Standard!$B$9:$F$101,5,FALSE),IF(BA218="121-365 Days",VLOOKUP(D218,[3]Standard!$B$9:$G$101,6,FALSE),VLOOKUP(D218,[3]Standard!$B$9:$H$101,7,FALSE)))),0)</f>
        <v>977470</v>
      </c>
      <c r="L218" s="272">
        <f>IFERROR(IF(BA218="WIP - 30 Days",VLOOKUP(D218,[3]Standard!$B$9:$J$101,9,FALSE),IF(BA218="31-120 Days",VLOOKUP(D218,[3]Standard!$B$9:$K$100,10,FALSE),IF(BA218="121-365 Days",VLOOKUP(D218,[3]Standard!$B$9:$L$101,11,FALSE),VLOOKUP(D218,[3]Standard!$B$9:$M$101,12,FALSE)))),0)</f>
        <v>949000</v>
      </c>
      <c r="M218" s="269">
        <f>IFERROR(VLOOKUP((D218&amp;C218)&amp;"",'[2]Retail Price List'!$C$4:$F$102,4,FALSE),"")</f>
        <v>1316000</v>
      </c>
      <c r="N218" s="269">
        <f>IFERROR(IF(BA218="WIP - 30 Days",VLOOKUP(D218,[3]Extended!$B$9:$E$101,4,FALSE),IF(BA218="31-120 Days",VLOOKUP(D218,[3]Extended!$B$9:$F$101,5,FALSE),IF(BA218="121-365 Days",VLOOKUP(D218,[3]Extended!$B$9:$G$101,6,FALSE),VLOOKUP(D218,[3]Extended!$B$9:$H$101,7,FALSE)))),0)</f>
        <v>1016610</v>
      </c>
      <c r="O218" s="269">
        <f>IFERROR(IF(BA218="WIP - 30 Days",VLOOKUP(D218,[3]Extended!$B$9:$J$101,9,FALSE),IF(BA218="31-120 Days",VLOOKUP(D218,[3]Extended!$B$9:$K$101,10,FALSE),IF(BA218="121-365 Days",VLOOKUP(D218,[3]Extended!$B$9:$L$101,11,FALSE),VLOOKUP(D218,[3]Extended!$B$9:$M$101,12,FALSE)))),0)</f>
        <v>987000</v>
      </c>
      <c r="P218" s="116">
        <f t="shared" si="16"/>
        <v>0.25</v>
      </c>
      <c r="Q218" s="110" t="e">
        <f>O218-#REF!</f>
        <v>#REF!</v>
      </c>
      <c r="W218" s="311"/>
      <c r="X218" s="311"/>
      <c r="Y218" s="311"/>
      <c r="Z218" s="311"/>
      <c r="AA218" s="311"/>
      <c r="AB218" s="311"/>
      <c r="AC218" s="311"/>
      <c r="AT218" s="88" t="str">
        <f t="shared" si="17"/>
        <v>KP0004892017Q314,7</v>
      </c>
      <c r="AU218" s="89" t="str">
        <f t="shared" si="18"/>
        <v>07-2017</v>
      </c>
      <c r="BA218" s="92" t="str">
        <f t="shared" si="19"/>
        <v>WIP - 30 Days</v>
      </c>
    </row>
    <row r="219" spans="2:53">
      <c r="B219" s="60">
        <f>[2]Trucks!A216</f>
        <v>47704</v>
      </c>
      <c r="C219" s="11" t="str">
        <f>[2]Trucks!B216</f>
        <v>TGM-25-2806X2BL-L</v>
      </c>
      <c r="D219" s="19" t="str">
        <f>IFERROR(VLOOKUP(C219&amp;"",'[2]Retail Price List'!$A$3:$B$103,2,FALSE),"Special Order")</f>
        <v>KP000489</v>
      </c>
      <c r="E219" s="18" t="str">
        <f>[2]Trucks!J216</f>
        <v>CKD</v>
      </c>
      <c r="F219" s="12" t="str">
        <f>[2]Trucks!E216</f>
        <v>2018-02-15</v>
      </c>
      <c r="G219" s="56">
        <f>[2]Trucks!K216</f>
        <v>14.7</v>
      </c>
      <c r="H219" s="46">
        <f>[2]Trucks!I216</f>
        <v>42947</v>
      </c>
      <c r="I219" s="83" t="str">
        <f t="shared" si="15"/>
        <v>2017Q3</v>
      </c>
      <c r="J219" s="272">
        <f>IFERROR(VLOOKUP((D219&amp;C219)&amp;"",'[2]Retail Price List'!$C$4:$F$102,3,FALSE),"")</f>
        <v>1300000</v>
      </c>
      <c r="K219" s="272">
        <f>IFERROR(IF(BA219="WIP - 30 Days",VLOOKUP(D219,[3]Standard!$B$9:$E$101,4,FALSE),IF(BA219="31-120 Days",VLOOKUP(D219,[3]Standard!$B$9:$F$101,5,FALSE),IF(BA219="121-365 Days",VLOOKUP(D219,[3]Standard!$B$9:$G$101,6,FALSE),VLOOKUP(D219,[3]Standard!$B$9:$H$101,7,FALSE)))),0)</f>
        <v>977470</v>
      </c>
      <c r="L219" s="272">
        <f>IFERROR(IF(BA219="WIP - 30 Days",VLOOKUP(D219,[3]Standard!$B$9:$J$101,9,FALSE),IF(BA219="31-120 Days",VLOOKUP(D219,[3]Standard!$B$9:$K$100,10,FALSE),IF(BA219="121-365 Days",VLOOKUP(D219,[3]Standard!$B$9:$L$101,11,FALSE),VLOOKUP(D219,[3]Standard!$B$9:$M$101,12,FALSE)))),0)</f>
        <v>949000</v>
      </c>
      <c r="M219" s="269">
        <f>IFERROR(VLOOKUP((D219&amp;C219)&amp;"",'[2]Retail Price List'!$C$4:$F$102,4,FALSE),"")</f>
        <v>1316000</v>
      </c>
      <c r="N219" s="269">
        <f>IFERROR(IF(BA219="WIP - 30 Days",VLOOKUP(D219,[3]Extended!$B$9:$E$101,4,FALSE),IF(BA219="31-120 Days",VLOOKUP(D219,[3]Extended!$B$9:$F$101,5,FALSE),IF(BA219="121-365 Days",VLOOKUP(D219,[3]Extended!$B$9:$G$101,6,FALSE),VLOOKUP(D219,[3]Extended!$B$9:$H$101,7,FALSE)))),0)</f>
        <v>1016610</v>
      </c>
      <c r="O219" s="269">
        <f>IFERROR(IF(BA219="WIP - 30 Days",VLOOKUP(D219,[3]Extended!$B$9:$J$101,9,FALSE),IF(BA219="31-120 Days",VLOOKUP(D219,[3]Extended!$B$9:$K$101,10,FALSE),IF(BA219="121-365 Days",VLOOKUP(D219,[3]Extended!$B$9:$L$101,11,FALSE),VLOOKUP(D219,[3]Extended!$B$9:$M$101,12,FALSE)))),0)</f>
        <v>987000</v>
      </c>
      <c r="P219" s="116">
        <f t="shared" si="16"/>
        <v>0.25</v>
      </c>
      <c r="Q219" s="110" t="e">
        <f>O219-#REF!</f>
        <v>#REF!</v>
      </c>
      <c r="W219" s="311"/>
      <c r="X219" s="311"/>
      <c r="Y219" s="311"/>
      <c r="Z219" s="311"/>
      <c r="AA219" s="311"/>
      <c r="AB219" s="311"/>
      <c r="AC219" s="311"/>
      <c r="AT219" s="88" t="str">
        <f t="shared" si="17"/>
        <v>KP0004892017Q314,7</v>
      </c>
      <c r="AU219" s="89" t="str">
        <f t="shared" si="18"/>
        <v>07-2017</v>
      </c>
      <c r="BA219" s="92" t="str">
        <f t="shared" si="19"/>
        <v>WIP - 30 Days</v>
      </c>
    </row>
    <row r="220" spans="2:53">
      <c r="B220" s="60">
        <f>[2]Trucks!A217</f>
        <v>47705</v>
      </c>
      <c r="C220" s="11" t="str">
        <f>[2]Trucks!B217</f>
        <v>TGM-25-2806X2BL-L</v>
      </c>
      <c r="D220" s="19" t="str">
        <f>IFERROR(VLOOKUP(C220&amp;"",'[2]Retail Price List'!$A$3:$B$103,2,FALSE),"Special Order")</f>
        <v>KP000489</v>
      </c>
      <c r="E220" s="18" t="str">
        <f>[2]Trucks!J217</f>
        <v>CKD</v>
      </c>
      <c r="F220" s="12" t="str">
        <f>[2]Trucks!E217</f>
        <v>2018-02-15</v>
      </c>
      <c r="G220" s="56">
        <f>[2]Trucks!K217</f>
        <v>14.7</v>
      </c>
      <c r="H220" s="46">
        <f>[2]Trucks!I217</f>
        <v>42947</v>
      </c>
      <c r="I220" s="83" t="str">
        <f t="shared" si="15"/>
        <v>2017Q3</v>
      </c>
      <c r="J220" s="272">
        <f>IFERROR(VLOOKUP((D220&amp;C220)&amp;"",'[2]Retail Price List'!$C$4:$F$102,3,FALSE),"")</f>
        <v>1300000</v>
      </c>
      <c r="K220" s="272">
        <f>IFERROR(IF(BA220="WIP - 30 Days",VLOOKUP(D220,[3]Standard!$B$9:$E$101,4,FALSE),IF(BA220="31-120 Days",VLOOKUP(D220,[3]Standard!$B$9:$F$101,5,FALSE),IF(BA220="121-365 Days",VLOOKUP(D220,[3]Standard!$B$9:$G$101,6,FALSE),VLOOKUP(D220,[3]Standard!$B$9:$H$101,7,FALSE)))),0)</f>
        <v>977470</v>
      </c>
      <c r="L220" s="272">
        <f>IFERROR(IF(BA220="WIP - 30 Days",VLOOKUP(D220,[3]Standard!$B$9:$J$101,9,FALSE),IF(BA220="31-120 Days",VLOOKUP(D220,[3]Standard!$B$9:$K$100,10,FALSE),IF(BA220="121-365 Days",VLOOKUP(D220,[3]Standard!$B$9:$L$101,11,FALSE),VLOOKUP(D220,[3]Standard!$B$9:$M$101,12,FALSE)))),0)</f>
        <v>949000</v>
      </c>
      <c r="M220" s="269">
        <f>IFERROR(VLOOKUP((D220&amp;C220)&amp;"",'[2]Retail Price List'!$C$4:$F$102,4,FALSE),"")</f>
        <v>1316000</v>
      </c>
      <c r="N220" s="269">
        <f>IFERROR(IF(BA220="WIP - 30 Days",VLOOKUP(D220,[3]Extended!$B$9:$E$101,4,FALSE),IF(BA220="31-120 Days",VLOOKUP(D220,[3]Extended!$B$9:$F$101,5,FALSE),IF(BA220="121-365 Days",VLOOKUP(D220,[3]Extended!$B$9:$G$101,6,FALSE),VLOOKUP(D220,[3]Extended!$B$9:$H$101,7,FALSE)))),0)</f>
        <v>1016610</v>
      </c>
      <c r="O220" s="269">
        <f>IFERROR(IF(BA220="WIP - 30 Days",VLOOKUP(D220,[3]Extended!$B$9:$J$101,9,FALSE),IF(BA220="31-120 Days",VLOOKUP(D220,[3]Extended!$B$9:$K$101,10,FALSE),IF(BA220="121-365 Days",VLOOKUP(D220,[3]Extended!$B$9:$L$101,11,FALSE),VLOOKUP(D220,[3]Extended!$B$9:$M$101,12,FALSE)))),0)</f>
        <v>987000</v>
      </c>
      <c r="P220" s="116">
        <f t="shared" si="16"/>
        <v>0.25</v>
      </c>
      <c r="Q220" s="110" t="e">
        <f>O220-#REF!</f>
        <v>#REF!</v>
      </c>
      <c r="W220" s="311"/>
      <c r="X220" s="311"/>
      <c r="Y220" s="311"/>
      <c r="Z220" s="311"/>
      <c r="AA220" s="311"/>
      <c r="AB220" s="311"/>
      <c r="AC220" s="311"/>
      <c r="AT220" s="88" t="str">
        <f t="shared" si="17"/>
        <v>KP0004892017Q314,7</v>
      </c>
      <c r="AU220" s="89" t="str">
        <f t="shared" si="18"/>
        <v>07-2017</v>
      </c>
      <c r="BA220" s="92" t="str">
        <f t="shared" si="19"/>
        <v>WIP - 30 Days</v>
      </c>
    </row>
    <row r="221" spans="2:53">
      <c r="B221" s="60">
        <f>[2]Trucks!A218</f>
        <v>47706</v>
      </c>
      <c r="C221" s="11" t="str">
        <f>[2]Trucks!B218</f>
        <v>TGM-25-2806X2BL-L</v>
      </c>
      <c r="D221" s="19" t="str">
        <f>IFERROR(VLOOKUP(C221&amp;"",'[2]Retail Price List'!$A$3:$B$103,2,FALSE),"Special Order")</f>
        <v>KP000489</v>
      </c>
      <c r="E221" s="18" t="str">
        <f>[2]Trucks!J218</f>
        <v>CKD</v>
      </c>
      <c r="F221" s="12" t="str">
        <f>[2]Trucks!E218</f>
        <v>2018-02-25</v>
      </c>
      <c r="G221" s="56">
        <f>[2]Trucks!K218</f>
        <v>14.7</v>
      </c>
      <c r="H221" s="46">
        <f>[2]Trucks!I218</f>
        <v>42947</v>
      </c>
      <c r="I221" s="83" t="str">
        <f t="shared" si="15"/>
        <v>2017Q3</v>
      </c>
      <c r="J221" s="272">
        <f>IFERROR(VLOOKUP((D221&amp;C221)&amp;"",'[2]Retail Price List'!$C$4:$F$102,3,FALSE),"")</f>
        <v>1300000</v>
      </c>
      <c r="K221" s="272">
        <f>IFERROR(IF(BA221="WIP - 30 Days",VLOOKUP(D221,[3]Standard!$B$9:$E$101,4,FALSE),IF(BA221="31-120 Days",VLOOKUP(D221,[3]Standard!$B$9:$F$101,5,FALSE),IF(BA221="121-365 Days",VLOOKUP(D221,[3]Standard!$B$9:$G$101,6,FALSE),VLOOKUP(D221,[3]Standard!$B$9:$H$101,7,FALSE)))),0)</f>
        <v>977470</v>
      </c>
      <c r="L221" s="272">
        <f>IFERROR(IF(BA221="WIP - 30 Days",VLOOKUP(D221,[3]Standard!$B$9:$J$101,9,FALSE),IF(BA221="31-120 Days",VLOOKUP(D221,[3]Standard!$B$9:$K$100,10,FALSE),IF(BA221="121-365 Days",VLOOKUP(D221,[3]Standard!$B$9:$L$101,11,FALSE),VLOOKUP(D221,[3]Standard!$B$9:$M$101,12,FALSE)))),0)</f>
        <v>949000</v>
      </c>
      <c r="M221" s="269">
        <f>IFERROR(VLOOKUP((D221&amp;C221)&amp;"",'[2]Retail Price List'!$C$4:$F$102,4,FALSE),"")</f>
        <v>1316000</v>
      </c>
      <c r="N221" s="269">
        <f>IFERROR(IF(BA221="WIP - 30 Days",VLOOKUP(D221,[3]Extended!$B$9:$E$101,4,FALSE),IF(BA221="31-120 Days",VLOOKUP(D221,[3]Extended!$B$9:$F$101,5,FALSE),IF(BA221="121-365 Days",VLOOKUP(D221,[3]Extended!$B$9:$G$101,6,FALSE),VLOOKUP(D221,[3]Extended!$B$9:$H$101,7,FALSE)))),0)</f>
        <v>1016610</v>
      </c>
      <c r="O221" s="269">
        <f>IFERROR(IF(BA221="WIP - 30 Days",VLOOKUP(D221,[3]Extended!$B$9:$J$101,9,FALSE),IF(BA221="31-120 Days",VLOOKUP(D221,[3]Extended!$B$9:$K$101,10,FALSE),IF(BA221="121-365 Days",VLOOKUP(D221,[3]Extended!$B$9:$L$101,11,FALSE),VLOOKUP(D221,[3]Extended!$B$9:$M$101,12,FALSE)))),0)</f>
        <v>987000</v>
      </c>
      <c r="P221" s="116">
        <f t="shared" si="16"/>
        <v>0.25</v>
      </c>
      <c r="Q221" s="110" t="e">
        <f>O221-#REF!</f>
        <v>#REF!</v>
      </c>
      <c r="W221" s="311"/>
      <c r="X221" s="311"/>
      <c r="Y221" s="311"/>
      <c r="Z221" s="311"/>
      <c r="AA221" s="311"/>
      <c r="AB221" s="311"/>
      <c r="AC221" s="311"/>
      <c r="AT221" s="88" t="str">
        <f t="shared" si="17"/>
        <v>KP0004892017Q314,7</v>
      </c>
      <c r="AU221" s="89" t="str">
        <f t="shared" si="18"/>
        <v>07-2017</v>
      </c>
      <c r="BA221" s="92" t="str">
        <f t="shared" si="19"/>
        <v>WIP - 30 Days</v>
      </c>
    </row>
    <row r="222" spans="2:53">
      <c r="B222" s="60">
        <f>[2]Trucks!A219</f>
        <v>47707</v>
      </c>
      <c r="C222" s="11" t="str">
        <f>[2]Trucks!B219</f>
        <v>TGM-25-2806X2BL-L</v>
      </c>
      <c r="D222" s="19" t="str">
        <f>IFERROR(VLOOKUP(C222&amp;"",'[2]Retail Price List'!$A$3:$B$103,2,FALSE),"Special Order")</f>
        <v>KP000489</v>
      </c>
      <c r="E222" s="18" t="str">
        <f>[2]Trucks!J219</f>
        <v>CKD</v>
      </c>
      <c r="F222" s="12" t="str">
        <f>[2]Trucks!E219</f>
        <v>2018-02-25</v>
      </c>
      <c r="G222" s="56">
        <f>[2]Trucks!K219</f>
        <v>14.7</v>
      </c>
      <c r="H222" s="46">
        <f>[2]Trucks!I219</f>
        <v>42947</v>
      </c>
      <c r="I222" s="83" t="str">
        <f t="shared" si="15"/>
        <v>2017Q3</v>
      </c>
      <c r="J222" s="272">
        <f>IFERROR(VLOOKUP((D222&amp;C222)&amp;"",'[2]Retail Price List'!$C$4:$F$102,3,FALSE),"")</f>
        <v>1300000</v>
      </c>
      <c r="K222" s="272">
        <f>IFERROR(IF(BA222="WIP - 30 Days",VLOOKUP(D222,[3]Standard!$B$9:$E$101,4,FALSE),IF(BA222="31-120 Days",VLOOKUP(D222,[3]Standard!$B$9:$F$101,5,FALSE),IF(BA222="121-365 Days",VLOOKUP(D222,[3]Standard!$B$9:$G$101,6,FALSE),VLOOKUP(D222,[3]Standard!$B$9:$H$101,7,FALSE)))),0)</f>
        <v>977470</v>
      </c>
      <c r="L222" s="272">
        <f>IFERROR(IF(BA222="WIP - 30 Days",VLOOKUP(D222,[3]Standard!$B$9:$J$101,9,FALSE),IF(BA222="31-120 Days",VLOOKUP(D222,[3]Standard!$B$9:$K$100,10,FALSE),IF(BA222="121-365 Days",VLOOKUP(D222,[3]Standard!$B$9:$L$101,11,FALSE),VLOOKUP(D222,[3]Standard!$B$9:$M$101,12,FALSE)))),0)</f>
        <v>949000</v>
      </c>
      <c r="M222" s="269">
        <f>IFERROR(VLOOKUP((D222&amp;C222)&amp;"",'[2]Retail Price List'!$C$4:$F$102,4,FALSE),"")</f>
        <v>1316000</v>
      </c>
      <c r="N222" s="269">
        <f>IFERROR(IF(BA222="WIP - 30 Days",VLOOKUP(D222,[3]Extended!$B$9:$E$101,4,FALSE),IF(BA222="31-120 Days",VLOOKUP(D222,[3]Extended!$B$9:$F$101,5,FALSE),IF(BA222="121-365 Days",VLOOKUP(D222,[3]Extended!$B$9:$G$101,6,FALSE),VLOOKUP(D222,[3]Extended!$B$9:$H$101,7,FALSE)))),0)</f>
        <v>1016610</v>
      </c>
      <c r="O222" s="269">
        <f>IFERROR(IF(BA222="WIP - 30 Days",VLOOKUP(D222,[3]Extended!$B$9:$J$101,9,FALSE),IF(BA222="31-120 Days",VLOOKUP(D222,[3]Extended!$B$9:$K$101,10,FALSE),IF(BA222="121-365 Days",VLOOKUP(D222,[3]Extended!$B$9:$L$101,11,FALSE),VLOOKUP(D222,[3]Extended!$B$9:$M$101,12,FALSE)))),0)</f>
        <v>987000</v>
      </c>
      <c r="P222" s="116">
        <f t="shared" si="16"/>
        <v>0.25</v>
      </c>
      <c r="Q222" s="110" t="e">
        <f>O222-#REF!</f>
        <v>#REF!</v>
      </c>
      <c r="W222" s="311"/>
      <c r="X222" s="311"/>
      <c r="Y222" s="311"/>
      <c r="Z222" s="311"/>
      <c r="AA222" s="311"/>
      <c r="AB222" s="311"/>
      <c r="AC222" s="311"/>
      <c r="AT222" s="88" t="str">
        <f t="shared" si="17"/>
        <v>KP0004892017Q314,7</v>
      </c>
      <c r="AU222" s="89" t="str">
        <f t="shared" si="18"/>
        <v>07-2017</v>
      </c>
      <c r="BA222" s="92" t="str">
        <f t="shared" si="19"/>
        <v>WIP - 30 Days</v>
      </c>
    </row>
    <row r="223" spans="2:53">
      <c r="B223" s="60">
        <f>[2]Trucks!A220</f>
        <v>47708</v>
      </c>
      <c r="C223" s="11" t="str">
        <f>[2]Trucks!B220</f>
        <v>TGM-25-2806X2BL-L</v>
      </c>
      <c r="D223" s="19" t="str">
        <f>IFERROR(VLOOKUP(C223&amp;"",'[2]Retail Price List'!$A$3:$B$103,2,FALSE),"Special Order")</f>
        <v>KP000489</v>
      </c>
      <c r="E223" s="18" t="str">
        <f>[2]Trucks!J220</f>
        <v>CKD</v>
      </c>
      <c r="F223" s="12" t="str">
        <f>[2]Trucks!E220</f>
        <v>2018-02-25</v>
      </c>
      <c r="G223" s="56">
        <f>[2]Trucks!K220</f>
        <v>14.7</v>
      </c>
      <c r="H223" s="46">
        <f>[2]Trucks!I220</f>
        <v>42947</v>
      </c>
      <c r="I223" s="83" t="str">
        <f t="shared" si="15"/>
        <v>2017Q3</v>
      </c>
      <c r="J223" s="272">
        <f>IFERROR(VLOOKUP((D223&amp;C223)&amp;"",'[2]Retail Price List'!$C$4:$F$102,3,FALSE),"")</f>
        <v>1300000</v>
      </c>
      <c r="K223" s="272">
        <f>IFERROR(IF(BA223="WIP - 30 Days",VLOOKUP(D223,[3]Standard!$B$9:$E$101,4,FALSE),IF(BA223="31-120 Days",VLOOKUP(D223,[3]Standard!$B$9:$F$101,5,FALSE),IF(BA223="121-365 Days",VLOOKUP(D223,[3]Standard!$B$9:$G$101,6,FALSE),VLOOKUP(D223,[3]Standard!$B$9:$H$101,7,FALSE)))),0)</f>
        <v>977470</v>
      </c>
      <c r="L223" s="272">
        <f>IFERROR(IF(BA223="WIP - 30 Days",VLOOKUP(D223,[3]Standard!$B$9:$J$101,9,FALSE),IF(BA223="31-120 Days",VLOOKUP(D223,[3]Standard!$B$9:$K$100,10,FALSE),IF(BA223="121-365 Days",VLOOKUP(D223,[3]Standard!$B$9:$L$101,11,FALSE),VLOOKUP(D223,[3]Standard!$B$9:$M$101,12,FALSE)))),0)</f>
        <v>949000</v>
      </c>
      <c r="M223" s="269">
        <f>IFERROR(VLOOKUP((D223&amp;C223)&amp;"",'[2]Retail Price List'!$C$4:$F$102,4,FALSE),"")</f>
        <v>1316000</v>
      </c>
      <c r="N223" s="269">
        <f>IFERROR(IF(BA223="WIP - 30 Days",VLOOKUP(D223,[3]Extended!$B$9:$E$101,4,FALSE),IF(BA223="31-120 Days",VLOOKUP(D223,[3]Extended!$B$9:$F$101,5,FALSE),IF(BA223="121-365 Days",VLOOKUP(D223,[3]Extended!$B$9:$G$101,6,FALSE),VLOOKUP(D223,[3]Extended!$B$9:$H$101,7,FALSE)))),0)</f>
        <v>1016610</v>
      </c>
      <c r="O223" s="269">
        <f>IFERROR(IF(BA223="WIP - 30 Days",VLOOKUP(D223,[3]Extended!$B$9:$J$101,9,FALSE),IF(BA223="31-120 Days",VLOOKUP(D223,[3]Extended!$B$9:$K$101,10,FALSE),IF(BA223="121-365 Days",VLOOKUP(D223,[3]Extended!$B$9:$L$101,11,FALSE),VLOOKUP(D223,[3]Extended!$B$9:$M$101,12,FALSE)))),0)</f>
        <v>987000</v>
      </c>
      <c r="P223" s="116">
        <f t="shared" si="16"/>
        <v>0.25</v>
      </c>
      <c r="Q223" s="110" t="e">
        <f>O223-#REF!</f>
        <v>#REF!</v>
      </c>
      <c r="W223" s="311"/>
      <c r="X223" s="311"/>
      <c r="Y223" s="311"/>
      <c r="Z223" s="311"/>
      <c r="AA223" s="311"/>
      <c r="AB223" s="311"/>
      <c r="AC223" s="311"/>
      <c r="AT223" s="88" t="str">
        <f t="shared" si="17"/>
        <v>KP0004892017Q314,7</v>
      </c>
      <c r="AU223" s="89" t="str">
        <f t="shared" si="18"/>
        <v>07-2017</v>
      </c>
      <c r="BA223" s="92" t="str">
        <f t="shared" si="19"/>
        <v>WIP - 30 Days</v>
      </c>
    </row>
    <row r="224" spans="2:53">
      <c r="B224" s="60">
        <f>[2]Trucks!A221</f>
        <v>47709</v>
      </c>
      <c r="C224" s="11" t="str">
        <f>[2]Trucks!B221</f>
        <v>TGM-25-2806X2BL-L</v>
      </c>
      <c r="D224" s="19" t="str">
        <f>IFERROR(VLOOKUP(C224&amp;"",'[2]Retail Price List'!$A$3:$B$103,2,FALSE),"Special Order")</f>
        <v>KP000489</v>
      </c>
      <c r="E224" s="18" t="str">
        <f>[2]Trucks!J221</f>
        <v>CKD</v>
      </c>
      <c r="F224" s="12" t="str">
        <f>[2]Trucks!E221</f>
        <v>2018-02-25</v>
      </c>
      <c r="G224" s="56">
        <f>[2]Trucks!K221</f>
        <v>14.7</v>
      </c>
      <c r="H224" s="46">
        <f>[2]Trucks!I221</f>
        <v>42947</v>
      </c>
      <c r="I224" s="83" t="str">
        <f t="shared" si="15"/>
        <v>2017Q3</v>
      </c>
      <c r="J224" s="272">
        <f>IFERROR(VLOOKUP((D224&amp;C224)&amp;"",'[2]Retail Price List'!$C$4:$F$102,3,FALSE),"")</f>
        <v>1300000</v>
      </c>
      <c r="K224" s="272">
        <f>IFERROR(IF(BA224="WIP - 30 Days",VLOOKUP(D224,[3]Standard!$B$9:$E$101,4,FALSE),IF(BA224="31-120 Days",VLOOKUP(D224,[3]Standard!$B$9:$F$101,5,FALSE),IF(BA224="121-365 Days",VLOOKUP(D224,[3]Standard!$B$9:$G$101,6,FALSE),VLOOKUP(D224,[3]Standard!$B$9:$H$101,7,FALSE)))),0)</f>
        <v>977470</v>
      </c>
      <c r="L224" s="272">
        <f>IFERROR(IF(BA224="WIP - 30 Days",VLOOKUP(D224,[3]Standard!$B$9:$J$101,9,FALSE),IF(BA224="31-120 Days",VLOOKUP(D224,[3]Standard!$B$9:$K$100,10,FALSE),IF(BA224="121-365 Days",VLOOKUP(D224,[3]Standard!$B$9:$L$101,11,FALSE),VLOOKUP(D224,[3]Standard!$B$9:$M$101,12,FALSE)))),0)</f>
        <v>949000</v>
      </c>
      <c r="M224" s="269">
        <f>IFERROR(VLOOKUP((D224&amp;C224)&amp;"",'[2]Retail Price List'!$C$4:$F$102,4,FALSE),"")</f>
        <v>1316000</v>
      </c>
      <c r="N224" s="269">
        <f>IFERROR(IF(BA224="WIP - 30 Days",VLOOKUP(D224,[3]Extended!$B$9:$E$101,4,FALSE),IF(BA224="31-120 Days",VLOOKUP(D224,[3]Extended!$B$9:$F$101,5,FALSE),IF(BA224="121-365 Days",VLOOKUP(D224,[3]Extended!$B$9:$G$101,6,FALSE),VLOOKUP(D224,[3]Extended!$B$9:$H$101,7,FALSE)))),0)</f>
        <v>1016610</v>
      </c>
      <c r="O224" s="269">
        <f>IFERROR(IF(BA224="WIP - 30 Days",VLOOKUP(D224,[3]Extended!$B$9:$J$101,9,FALSE),IF(BA224="31-120 Days",VLOOKUP(D224,[3]Extended!$B$9:$K$101,10,FALSE),IF(BA224="121-365 Days",VLOOKUP(D224,[3]Extended!$B$9:$L$101,11,FALSE),VLOOKUP(D224,[3]Extended!$B$9:$M$101,12,FALSE)))),0)</f>
        <v>987000</v>
      </c>
      <c r="P224" s="116">
        <f t="shared" si="16"/>
        <v>0.25</v>
      </c>
      <c r="Q224" s="110" t="e">
        <f>O224-#REF!</f>
        <v>#REF!</v>
      </c>
      <c r="W224" s="311"/>
      <c r="X224" s="311"/>
      <c r="Y224" s="311"/>
      <c r="Z224" s="311"/>
      <c r="AA224" s="311"/>
      <c r="AB224" s="311"/>
      <c r="AC224" s="311"/>
      <c r="AT224" s="88" t="str">
        <f t="shared" si="17"/>
        <v>KP0004892017Q314,7</v>
      </c>
      <c r="AU224" s="89" t="str">
        <f t="shared" si="18"/>
        <v>07-2017</v>
      </c>
      <c r="BA224" s="92" t="str">
        <f t="shared" si="19"/>
        <v>WIP - 30 Days</v>
      </c>
    </row>
    <row r="225" spans="1:56">
      <c r="B225" s="60">
        <f>[2]Trucks!A222</f>
        <v>47710</v>
      </c>
      <c r="C225" s="11" t="str">
        <f>[2]Trucks!B222</f>
        <v>TGM-25-2806X2BL-L</v>
      </c>
      <c r="D225" s="19" t="str">
        <f>IFERROR(VLOOKUP(C225&amp;"",'[2]Retail Price List'!$A$3:$B$103,2,FALSE),"Special Order")</f>
        <v>KP000489</v>
      </c>
      <c r="E225" s="18" t="str">
        <f>[2]Trucks!J222</f>
        <v>CKD</v>
      </c>
      <c r="F225" s="12" t="str">
        <f>[2]Trucks!E222</f>
        <v>2018-02-25</v>
      </c>
      <c r="G225" s="56">
        <f>[2]Trucks!K222</f>
        <v>14.7</v>
      </c>
      <c r="H225" s="46">
        <f>[2]Trucks!I222</f>
        <v>42947</v>
      </c>
      <c r="I225" s="83" t="str">
        <f t="shared" si="15"/>
        <v>2017Q3</v>
      </c>
      <c r="J225" s="272">
        <f>IFERROR(VLOOKUP((D225&amp;C225)&amp;"",'[2]Retail Price List'!$C$4:$F$102,3,FALSE),"")</f>
        <v>1300000</v>
      </c>
      <c r="K225" s="272">
        <f>IFERROR(IF(BA225="WIP - 30 Days",VLOOKUP(D225,[3]Standard!$B$9:$E$101,4,FALSE),IF(BA225="31-120 Days",VLOOKUP(D225,[3]Standard!$B$9:$F$101,5,FALSE),IF(BA225="121-365 Days",VLOOKUP(D225,[3]Standard!$B$9:$G$101,6,FALSE),VLOOKUP(D225,[3]Standard!$B$9:$H$101,7,FALSE)))),0)</f>
        <v>977470</v>
      </c>
      <c r="L225" s="272">
        <f>IFERROR(IF(BA225="WIP - 30 Days",VLOOKUP(D225,[3]Standard!$B$9:$J$101,9,FALSE),IF(BA225="31-120 Days",VLOOKUP(D225,[3]Standard!$B$9:$K$100,10,FALSE),IF(BA225="121-365 Days",VLOOKUP(D225,[3]Standard!$B$9:$L$101,11,FALSE),VLOOKUP(D225,[3]Standard!$B$9:$M$101,12,FALSE)))),0)</f>
        <v>949000</v>
      </c>
      <c r="M225" s="269">
        <f>IFERROR(VLOOKUP((D225&amp;C225)&amp;"",'[2]Retail Price List'!$C$4:$F$102,4,FALSE),"")</f>
        <v>1316000</v>
      </c>
      <c r="N225" s="269">
        <f>IFERROR(IF(BA225="WIP - 30 Days",VLOOKUP(D225,[3]Extended!$B$9:$E$101,4,FALSE),IF(BA225="31-120 Days",VLOOKUP(D225,[3]Extended!$B$9:$F$101,5,FALSE),IF(BA225="121-365 Days",VLOOKUP(D225,[3]Extended!$B$9:$G$101,6,FALSE),VLOOKUP(D225,[3]Extended!$B$9:$H$101,7,FALSE)))),0)</f>
        <v>1016610</v>
      </c>
      <c r="O225" s="269">
        <f>IFERROR(IF(BA225="WIP - 30 Days",VLOOKUP(D225,[3]Extended!$B$9:$J$101,9,FALSE),IF(BA225="31-120 Days",VLOOKUP(D225,[3]Extended!$B$9:$K$101,10,FALSE),IF(BA225="121-365 Days",VLOOKUP(D225,[3]Extended!$B$9:$L$101,11,FALSE),VLOOKUP(D225,[3]Extended!$B$9:$M$101,12,FALSE)))),0)</f>
        <v>987000</v>
      </c>
      <c r="P225" s="116">
        <f t="shared" si="16"/>
        <v>0.25</v>
      </c>
      <c r="Q225" s="110" t="e">
        <f>O225-#REF!</f>
        <v>#REF!</v>
      </c>
      <c r="W225" s="311"/>
      <c r="X225" s="311"/>
      <c r="Y225" s="311"/>
      <c r="Z225" s="311"/>
      <c r="AA225" s="311"/>
      <c r="AB225" s="311"/>
      <c r="AC225" s="311"/>
      <c r="AT225" s="88" t="str">
        <f t="shared" si="17"/>
        <v>KP0004892017Q314,7</v>
      </c>
      <c r="AU225" s="89" t="str">
        <f t="shared" si="18"/>
        <v>07-2017</v>
      </c>
      <c r="BA225" s="92" t="str">
        <f t="shared" si="19"/>
        <v>WIP - 30 Days</v>
      </c>
    </row>
    <row r="226" spans="1:56" s="4" customFormat="1">
      <c r="A226" s="69"/>
      <c r="B226" s="60" t="str">
        <f>[2]Trucks!A223</f>
        <v>N65-1193</v>
      </c>
      <c r="C226" s="11" t="str">
        <f>[2]Trucks!B223</f>
        <v>TGM-25-2806X2BL-L</v>
      </c>
      <c r="D226" s="19" t="str">
        <f>IFERROR(VLOOKUP(C226&amp;"",'[2]Retail Price List'!$A$3:$B$103,2,FALSE),"Special Order")</f>
        <v>KP000489</v>
      </c>
      <c r="E226" s="18" t="str">
        <f>[2]Trucks!J223</f>
        <v>UNSOLD</v>
      </c>
      <c r="F226" s="12">
        <f>[2]Trucks!E223</f>
        <v>39</v>
      </c>
      <c r="G226" s="56">
        <f>[2]Trucks!K223</f>
        <v>16</v>
      </c>
      <c r="H226" s="46">
        <f>[2]Trucks!I223</f>
        <v>42671</v>
      </c>
      <c r="I226" s="83" t="str">
        <f t="shared" si="15"/>
        <v>201610Q4</v>
      </c>
      <c r="J226" s="272">
        <f>IFERROR(VLOOKUP((D226&amp;C226)&amp;"",'[2]Retail Price List'!$C$4:$F$102,3,FALSE),"")</f>
        <v>1300000</v>
      </c>
      <c r="K226" s="272">
        <f>IFERROR(IF(BA226="WIP - 30 Days",VLOOKUP(D226,[3]Standard!$B$9:$E$101,4,FALSE),IF(BA226="31-120 Days",VLOOKUP(D226,[3]Standard!$B$9:$F$101,5,FALSE),IF(BA226="121-365 Days",VLOOKUP(D226,[3]Standard!$B$9:$G$101,6,FALSE),VLOOKUP(D226,[3]Standard!$B$9:$H$101,7,FALSE)))),0)</f>
        <v>964080</v>
      </c>
      <c r="L226" s="272">
        <f>IFERROR(IF(BA226="WIP - 30 Days",VLOOKUP(D226,[3]Standard!$B$9:$J$101,9,FALSE),IF(BA226="31-120 Days",VLOOKUP(D226,[3]Standard!$B$9:$K$100,10,FALSE),IF(BA226="121-365 Days",VLOOKUP(D226,[3]Standard!$B$9:$L$101,11,FALSE),VLOOKUP(D226,[3]Standard!$B$9:$M$101,12,FALSE)))),0)</f>
        <v>936000</v>
      </c>
      <c r="M226" s="269">
        <f>IFERROR(VLOOKUP((D226&amp;C226)&amp;"",'[2]Retail Price List'!$C$4:$F$102,4,FALSE),"")</f>
        <v>1316000</v>
      </c>
      <c r="N226" s="269">
        <f>IFERROR(IF(BA226="WIP - 30 Days",VLOOKUP(D226,[3]Extended!$B$9:$E$101,4,FALSE),IF(BA226="31-120 Days",VLOOKUP(D226,[3]Extended!$B$9:$F$101,5,FALSE),IF(BA226="121-365 Days",VLOOKUP(D226,[3]Extended!$B$9:$G$101,6,FALSE),VLOOKUP(D226,[3]Extended!$B$9:$H$101,7,FALSE)))),0)</f>
        <v>1003055.2000000001</v>
      </c>
      <c r="O226" s="269">
        <f>IFERROR(IF(BA226="WIP - 30 Days",VLOOKUP(D226,[3]Extended!$B$9:$J$101,9,FALSE),IF(BA226="31-120 Days",VLOOKUP(D226,[3]Extended!$B$9:$K$101,10,FALSE),IF(BA226="121-365 Days",VLOOKUP(D226,[3]Extended!$B$9:$L$101,11,FALSE),VLOOKUP(D226,[3]Extended!$B$9:$M$101,12,FALSE)))),0)</f>
        <v>973840</v>
      </c>
      <c r="P226" s="116">
        <f t="shared" si="16"/>
        <v>0.26</v>
      </c>
      <c r="Q226" s="110" t="e">
        <f>O226-#REF!</f>
        <v>#REF!</v>
      </c>
      <c r="R226" s="111" t="e">
        <f>SUM(Q200:Q225)/SUM(O200:O225)</f>
        <v>#REF!</v>
      </c>
      <c r="S226" s="112"/>
      <c r="T226" s="112"/>
      <c r="U226" s="112"/>
      <c r="V226" s="112"/>
      <c r="W226" s="311"/>
      <c r="X226" s="311"/>
      <c r="Y226" s="311"/>
      <c r="Z226" s="311"/>
      <c r="AA226" s="311"/>
      <c r="AB226" s="311"/>
      <c r="AC226" s="311"/>
      <c r="AD226" s="89"/>
      <c r="AE226" s="89"/>
      <c r="AF226" s="89"/>
      <c r="AG226" s="5"/>
      <c r="AH226" s="5"/>
      <c r="AI226" s="5"/>
      <c r="AJ226" s="5"/>
      <c r="AK226" s="5"/>
      <c r="AL226" s="5"/>
      <c r="AM226" s="5"/>
      <c r="AN226" s="5"/>
      <c r="AO226" s="5"/>
      <c r="AP226" s="5"/>
      <c r="AQ226" s="5"/>
      <c r="AR226" s="5"/>
      <c r="AS226" s="5"/>
      <c r="AT226" s="88" t="str">
        <f t="shared" si="17"/>
        <v>KP000489201610Q416</v>
      </c>
      <c r="AU226" s="89" t="str">
        <f t="shared" si="18"/>
        <v>10-2016</v>
      </c>
      <c r="AV226" s="89"/>
      <c r="AW226" s="89"/>
      <c r="AX226" s="89"/>
      <c r="AY226" s="89"/>
      <c r="AZ226" s="89"/>
      <c r="BA226" s="92" t="str">
        <f t="shared" si="19"/>
        <v>31-120 Days</v>
      </c>
      <c r="BB226" s="89"/>
      <c r="BC226" s="97"/>
      <c r="BD226" s="97"/>
    </row>
    <row r="227" spans="1:56">
      <c r="B227" s="60" t="str">
        <f>[2]Trucks!A224</f>
        <v>N65-1195</v>
      </c>
      <c r="C227" s="11" t="str">
        <f>[2]Trucks!B224</f>
        <v>TGM-25-2806X2BL-L</v>
      </c>
      <c r="D227" s="19" t="str">
        <f>IFERROR(VLOOKUP(C227&amp;"",'[2]Retail Price List'!$A$3:$B$103,2,FALSE),"Special Order")</f>
        <v>KP000489</v>
      </c>
      <c r="E227" s="18" t="str">
        <f>[2]Trucks!J224</f>
        <v>BOOKED : 2017-08-7</v>
      </c>
      <c r="F227" s="12">
        <f>[2]Trucks!E224</f>
        <v>39</v>
      </c>
      <c r="G227" s="56">
        <f>[2]Trucks!K224</f>
        <v>16</v>
      </c>
      <c r="H227" s="46">
        <f>[2]Trucks!I224</f>
        <v>42671</v>
      </c>
      <c r="I227" s="83" t="str">
        <f t="shared" si="15"/>
        <v>201610Q4</v>
      </c>
      <c r="J227" s="272">
        <f>IFERROR(VLOOKUP((D227&amp;C227)&amp;"",'[2]Retail Price List'!$C$4:$F$102,3,FALSE),"")</f>
        <v>1300000</v>
      </c>
      <c r="K227" s="272">
        <f>IFERROR(IF(BA227="WIP - 30 Days",VLOOKUP(D227,[3]Standard!$B$9:$E$101,4,FALSE),IF(BA227="31-120 Days",VLOOKUP(D227,[3]Standard!$B$9:$F$101,5,FALSE),IF(BA227="121-365 Days",VLOOKUP(D227,[3]Standard!$B$9:$G$101,6,FALSE),VLOOKUP(D227,[3]Standard!$B$9:$H$101,7,FALSE)))),0)</f>
        <v>964080</v>
      </c>
      <c r="L227" s="272">
        <f>IFERROR(IF(BA227="WIP - 30 Days",VLOOKUP(D227,[3]Standard!$B$9:$J$101,9,FALSE),IF(BA227="31-120 Days",VLOOKUP(D227,[3]Standard!$B$9:$K$100,10,FALSE),IF(BA227="121-365 Days",VLOOKUP(D227,[3]Standard!$B$9:$L$101,11,FALSE),VLOOKUP(D227,[3]Standard!$B$9:$M$101,12,FALSE)))),0)</f>
        <v>936000</v>
      </c>
      <c r="M227" s="269">
        <f>IFERROR(VLOOKUP((D227&amp;C227)&amp;"",'[2]Retail Price List'!$C$4:$F$102,4,FALSE),"")</f>
        <v>1316000</v>
      </c>
      <c r="N227" s="269">
        <f>IFERROR(IF(BA227="WIP - 30 Days",VLOOKUP(D227,[3]Extended!$B$9:$E$101,4,FALSE),IF(BA227="31-120 Days",VLOOKUP(D227,[3]Extended!$B$9:$F$101,5,FALSE),IF(BA227="121-365 Days",VLOOKUP(D227,[3]Extended!$B$9:$G$101,6,FALSE),VLOOKUP(D227,[3]Extended!$B$9:$H$101,7,FALSE)))),0)</f>
        <v>1003055.2000000001</v>
      </c>
      <c r="O227" s="269">
        <f>IFERROR(IF(BA227="WIP - 30 Days",VLOOKUP(D227,[3]Extended!$B$9:$J$101,9,FALSE),IF(BA227="31-120 Days",VLOOKUP(D227,[3]Extended!$B$9:$K$101,10,FALSE),IF(BA227="121-365 Days",VLOOKUP(D227,[3]Extended!$B$9:$L$101,11,FALSE),VLOOKUP(D227,[3]Extended!$B$9:$M$101,12,FALSE)))),0)</f>
        <v>973840</v>
      </c>
      <c r="P227" s="116">
        <f t="shared" si="16"/>
        <v>0.26</v>
      </c>
      <c r="Q227" s="110" t="e">
        <f>O227-#REF!</f>
        <v>#REF!</v>
      </c>
      <c r="W227" s="311"/>
      <c r="X227" s="311"/>
      <c r="Y227" s="311"/>
      <c r="Z227" s="311"/>
      <c r="AA227" s="311"/>
      <c r="AB227" s="311"/>
      <c r="AC227" s="311"/>
      <c r="AT227" s="88" t="str">
        <f t="shared" si="17"/>
        <v>KP000489201610Q416</v>
      </c>
      <c r="AU227" s="89" t="str">
        <f t="shared" si="18"/>
        <v>10-2016</v>
      </c>
      <c r="BA227" s="92" t="str">
        <f t="shared" si="19"/>
        <v>31-120 Days</v>
      </c>
    </row>
    <row r="228" spans="1:56">
      <c r="B228" s="60" t="str">
        <f>[2]Trucks!A225</f>
        <v>N65-1196</v>
      </c>
      <c r="C228" s="11" t="str">
        <f>[2]Trucks!B225</f>
        <v>TGM-25-2806X2BL-L</v>
      </c>
      <c r="D228" s="19" t="str">
        <f>IFERROR(VLOOKUP(C228&amp;"",'[2]Retail Price List'!$A$3:$B$103,2,FALSE),"Special Order")</f>
        <v>KP000489</v>
      </c>
      <c r="E228" s="18" t="str">
        <f>[2]Trucks!J225</f>
        <v>UNSOLD</v>
      </c>
      <c r="F228" s="12">
        <f>[2]Trucks!E225</f>
        <v>38</v>
      </c>
      <c r="G228" s="56">
        <f>[2]Trucks!K225</f>
        <v>16</v>
      </c>
      <c r="H228" s="46">
        <f>[2]Trucks!I225</f>
        <v>42671</v>
      </c>
      <c r="I228" s="83" t="str">
        <f t="shared" si="15"/>
        <v>201610Q4</v>
      </c>
      <c r="J228" s="272">
        <f>IFERROR(VLOOKUP((D228&amp;C228)&amp;"",'[2]Retail Price List'!$C$4:$F$102,3,FALSE),"")</f>
        <v>1300000</v>
      </c>
      <c r="K228" s="272">
        <f>IFERROR(IF(BA228="WIP - 30 Days",VLOOKUP(D228,[3]Standard!$B$9:$E$101,4,FALSE),IF(BA228="31-120 Days",VLOOKUP(D228,[3]Standard!$B$9:$F$101,5,FALSE),IF(BA228="121-365 Days",VLOOKUP(D228,[3]Standard!$B$9:$G$101,6,FALSE),VLOOKUP(D228,[3]Standard!$B$9:$H$101,7,FALSE)))),0)</f>
        <v>964080</v>
      </c>
      <c r="L228" s="272">
        <f>IFERROR(IF(BA228="WIP - 30 Days",VLOOKUP(D228,[3]Standard!$B$9:$J$101,9,FALSE),IF(BA228="31-120 Days",VLOOKUP(D228,[3]Standard!$B$9:$K$100,10,FALSE),IF(BA228="121-365 Days",VLOOKUP(D228,[3]Standard!$B$9:$L$101,11,FALSE),VLOOKUP(D228,[3]Standard!$B$9:$M$101,12,FALSE)))),0)</f>
        <v>936000</v>
      </c>
      <c r="M228" s="269">
        <f>IFERROR(VLOOKUP((D228&amp;C228)&amp;"",'[2]Retail Price List'!$C$4:$F$102,4,FALSE),"")</f>
        <v>1316000</v>
      </c>
      <c r="N228" s="269">
        <f>IFERROR(IF(BA228="WIP - 30 Days",VLOOKUP(D228,[3]Extended!$B$9:$E$101,4,FALSE),IF(BA228="31-120 Days",VLOOKUP(D228,[3]Extended!$B$9:$F$101,5,FALSE),IF(BA228="121-365 Days",VLOOKUP(D228,[3]Extended!$B$9:$G$101,6,FALSE),VLOOKUP(D228,[3]Extended!$B$9:$H$101,7,FALSE)))),0)</f>
        <v>1003055.2000000001</v>
      </c>
      <c r="O228" s="269">
        <f>IFERROR(IF(BA228="WIP - 30 Days",VLOOKUP(D228,[3]Extended!$B$9:$J$101,9,FALSE),IF(BA228="31-120 Days",VLOOKUP(D228,[3]Extended!$B$9:$K$101,10,FALSE),IF(BA228="121-365 Days",VLOOKUP(D228,[3]Extended!$B$9:$L$101,11,FALSE),VLOOKUP(D228,[3]Extended!$B$9:$M$101,12,FALSE)))),0)</f>
        <v>973840</v>
      </c>
      <c r="P228" s="116">
        <f t="shared" si="16"/>
        <v>0.26</v>
      </c>
      <c r="Q228" s="110" t="e">
        <f>O228-#REF!</f>
        <v>#REF!</v>
      </c>
      <c r="W228" s="311"/>
      <c r="X228" s="311"/>
      <c r="Y228" s="311"/>
      <c r="Z228" s="311"/>
      <c r="AA228" s="311"/>
      <c r="AB228" s="311"/>
      <c r="AC228" s="311"/>
      <c r="AT228" s="88" t="str">
        <f t="shared" si="17"/>
        <v>KP000489201610Q416</v>
      </c>
      <c r="AU228" s="89" t="str">
        <f t="shared" si="18"/>
        <v>10-2016</v>
      </c>
      <c r="BA228" s="92" t="str">
        <f t="shared" si="19"/>
        <v>31-120 Days</v>
      </c>
    </row>
    <row r="229" spans="1:56" s="4" customFormat="1">
      <c r="A229" s="69"/>
      <c r="B229" s="60" t="str">
        <f>[2]Trucks!A226</f>
        <v>TBAKP489</v>
      </c>
      <c r="C229" s="11" t="str">
        <f>[2]Trucks!B226</f>
        <v>TGM-25-2806X2BL-L</v>
      </c>
      <c r="D229" s="19" t="str">
        <f>IFERROR(VLOOKUP(C229&amp;"",'[2]Retail Price List'!$A$3:$B$103,2,FALSE),"Special Order")</f>
        <v>KP000489</v>
      </c>
      <c r="E229" s="18" t="str">
        <f>[2]Trucks!J226</f>
        <v>CKD</v>
      </c>
      <c r="F229" s="12" t="str">
        <f>[2]Trucks!E226</f>
        <v>2018-02-15</v>
      </c>
      <c r="G229" s="56">
        <f>[2]Trucks!K226</f>
        <v>14.7</v>
      </c>
      <c r="H229" s="46">
        <f>[2]Trucks!I226</f>
        <v>42921</v>
      </c>
      <c r="I229" s="83" t="str">
        <f t="shared" si="15"/>
        <v>2017Q3</v>
      </c>
      <c r="J229" s="272">
        <f>IFERROR(VLOOKUP((D229&amp;C229)&amp;"",'[2]Retail Price List'!$C$4:$F$102,3,FALSE),"")</f>
        <v>1300000</v>
      </c>
      <c r="K229" s="272">
        <f>IFERROR(IF(BA229="WIP - 30 Days",VLOOKUP(D229,[3]Standard!$B$9:$E$101,4,FALSE),IF(BA229="31-120 Days",VLOOKUP(D229,[3]Standard!$B$9:$F$101,5,FALSE),IF(BA229="121-365 Days",VLOOKUP(D229,[3]Standard!$B$9:$G$101,6,FALSE),VLOOKUP(D229,[3]Standard!$B$9:$H$101,7,FALSE)))),0)</f>
        <v>977470</v>
      </c>
      <c r="L229" s="272">
        <f>IFERROR(IF(BA229="WIP - 30 Days",VLOOKUP(D229,[3]Standard!$B$9:$J$101,9,FALSE),IF(BA229="31-120 Days",VLOOKUP(D229,[3]Standard!$B$9:$K$100,10,FALSE),IF(BA229="121-365 Days",VLOOKUP(D229,[3]Standard!$B$9:$L$101,11,FALSE),VLOOKUP(D229,[3]Standard!$B$9:$M$101,12,FALSE)))),0)</f>
        <v>949000</v>
      </c>
      <c r="M229" s="269">
        <f>IFERROR(VLOOKUP((D229&amp;C229)&amp;"",'[2]Retail Price List'!$C$4:$F$102,4,FALSE),"")</f>
        <v>1316000</v>
      </c>
      <c r="N229" s="269">
        <f>IFERROR(IF(BA229="WIP - 30 Days",VLOOKUP(D229,[3]Extended!$B$9:$E$101,4,FALSE),IF(BA229="31-120 Days",VLOOKUP(D229,[3]Extended!$B$9:$F$101,5,FALSE),IF(BA229="121-365 Days",VLOOKUP(D229,[3]Extended!$B$9:$G$101,6,FALSE),VLOOKUP(D229,[3]Extended!$B$9:$H$101,7,FALSE)))),0)</f>
        <v>1016610</v>
      </c>
      <c r="O229" s="269">
        <f>IFERROR(IF(BA229="WIP - 30 Days",VLOOKUP(D229,[3]Extended!$B$9:$J$101,9,FALSE),IF(BA229="31-120 Days",VLOOKUP(D229,[3]Extended!$B$9:$K$101,10,FALSE),IF(BA229="121-365 Days",VLOOKUP(D229,[3]Extended!$B$9:$L$101,11,FALSE),VLOOKUP(D229,[3]Extended!$B$9:$M$101,12,FALSE)))),0)</f>
        <v>987000</v>
      </c>
      <c r="P229" s="116">
        <f t="shared" si="16"/>
        <v>0.25</v>
      </c>
      <c r="Q229" s="110" t="e">
        <f>O229-#REF!</f>
        <v>#REF!</v>
      </c>
      <c r="R229" s="111" t="e">
        <f>SUM(Q227:Q228)/SUM(O227:O228)</f>
        <v>#REF!</v>
      </c>
      <c r="S229" s="112"/>
      <c r="T229" s="112"/>
      <c r="U229" s="112"/>
      <c r="V229" s="112"/>
      <c r="W229" s="311"/>
      <c r="X229" s="311"/>
      <c r="Y229" s="311"/>
      <c r="Z229" s="311"/>
      <c r="AA229" s="311"/>
      <c r="AB229" s="311"/>
      <c r="AC229" s="311"/>
      <c r="AD229" s="89"/>
      <c r="AE229" s="89"/>
      <c r="AF229" s="89"/>
      <c r="AG229" s="5"/>
      <c r="AH229" s="5"/>
      <c r="AI229" s="5"/>
      <c r="AJ229" s="5"/>
      <c r="AK229" s="5"/>
      <c r="AL229" s="5"/>
      <c r="AM229" s="5"/>
      <c r="AN229" s="5"/>
      <c r="AO229" s="5"/>
      <c r="AP229" s="5"/>
      <c r="AQ229" s="5"/>
      <c r="AR229" s="5"/>
      <c r="AS229" s="5"/>
      <c r="AT229" s="88" t="str">
        <f t="shared" si="17"/>
        <v>KP0004892017Q314,7</v>
      </c>
      <c r="AU229" s="89" t="str">
        <f t="shared" si="18"/>
        <v>07-2017</v>
      </c>
      <c r="AV229" s="89"/>
      <c r="AW229" s="89"/>
      <c r="AX229" s="89"/>
      <c r="AY229" s="89"/>
      <c r="AZ229" s="89"/>
      <c r="BA229" s="92" t="str">
        <f t="shared" si="19"/>
        <v>WIP - 30 Days</v>
      </c>
      <c r="BB229" s="89"/>
      <c r="BC229" s="97"/>
      <c r="BD229" s="97"/>
    </row>
    <row r="230" spans="1:56">
      <c r="B230" s="60" t="str">
        <f>[2]Trucks!A227</f>
        <v>72W-1179</v>
      </c>
      <c r="C230" s="11" t="str">
        <f>[2]Trucks!B227</f>
        <v>TGS-19-3604X2BLS-L</v>
      </c>
      <c r="D230" s="19" t="str">
        <f>IFERROR(VLOOKUP(C230&amp;"",'[2]Retail Price List'!$A$3:$B$103,2,FALSE),"Special Order")</f>
        <v>KP000632</v>
      </c>
      <c r="E230" s="18" t="str">
        <f>[2]Trucks!J227</f>
        <v>DEMO</v>
      </c>
      <c r="F230" s="12">
        <f>[2]Trucks!E227</f>
        <v>478</v>
      </c>
      <c r="G230" s="56">
        <f>[2]Trucks!K227</f>
        <v>14.6</v>
      </c>
      <c r="H230" s="46">
        <f>[2]Trucks!I227</f>
        <v>42306</v>
      </c>
      <c r="I230" s="83" t="str">
        <f t="shared" si="15"/>
        <v/>
      </c>
      <c r="J230" s="272">
        <f>IFERROR(VLOOKUP((D230&amp;C230)&amp;"",'[2]Retail Price List'!$C$4:$F$102,3,FALSE),"")</f>
        <v>1295000</v>
      </c>
      <c r="K230" s="272">
        <f>IFERROR(IF(BA230="WIP - 30 Days",VLOOKUP(D230,[3]Standard!$B$9:$E$101,4,FALSE),IF(BA230="31-120 Days",VLOOKUP(D230,[3]Standard!$B$9:$F$101,5,FALSE),IF(BA230="121-365 Days",VLOOKUP(D230,[3]Standard!$B$9:$G$101,6,FALSE),VLOOKUP(D230,[3]Standard!$B$9:$H$101,7,FALSE)))),0)</f>
        <v>915656.56565656571</v>
      </c>
      <c r="L230" s="272">
        <f>IFERROR(IF(BA230="WIP - 30 Days",VLOOKUP(D230,[3]Standard!$B$9:$J$101,9,FALSE),IF(BA230="31-120 Days",VLOOKUP(D230,[3]Standard!$B$9:$K$100,10,FALSE),IF(BA230="121-365 Days",VLOOKUP(D230,[3]Standard!$B$9:$L$101,11,FALSE),VLOOKUP(D230,[3]Standard!$B$9:$M$101,12,FALSE)))),0)</f>
        <v>906500</v>
      </c>
      <c r="M230" s="269">
        <f>IFERROR(VLOOKUP((D230&amp;C230)&amp;"",'[2]Retail Price List'!$C$4:$F$102,4,FALSE),"")</f>
        <v>1320000</v>
      </c>
      <c r="N230" s="269">
        <f>IFERROR(IF(BA230="WIP - 30 Days",VLOOKUP(D230,[3]Extended!$B$9:$E$101,4,FALSE),IF(BA230="31-120 Days",VLOOKUP(D230,[3]Extended!$B$9:$F$101,5,FALSE),IF(BA230="121-365 Days",VLOOKUP(D230,[3]Extended!$B$9:$G$101,6,FALSE),VLOOKUP(D230,[3]Extended!$B$9:$H$101,7,FALSE)))),0)</f>
        <v>960000</v>
      </c>
      <c r="O230" s="269">
        <f>IFERROR(IF(BA230="WIP - 30 Days",VLOOKUP(D230,[3]Extended!$B$9:$J$101,9,FALSE),IF(BA230="31-120 Days",VLOOKUP(D230,[3]Extended!$B$9:$K$101,10,FALSE),IF(BA230="121-365 Days",VLOOKUP(D230,[3]Extended!$B$9:$L$101,11,FALSE),VLOOKUP(D230,[3]Extended!$B$9:$M$101,12,FALSE)))),0)</f>
        <v>950400</v>
      </c>
      <c r="P230" s="116">
        <f t="shared" si="16"/>
        <v>0.28000000000000003</v>
      </c>
      <c r="Q230" s="110" t="e">
        <f>O230-#REF!</f>
        <v>#REF!</v>
      </c>
      <c r="W230" s="311"/>
      <c r="X230" s="311"/>
      <c r="Y230" s="311"/>
      <c r="Z230" s="311"/>
      <c r="AA230" s="311"/>
      <c r="AB230" s="311"/>
      <c r="AC230" s="311"/>
      <c r="AT230" s="88" t="str">
        <f t="shared" si="17"/>
        <v>KP00063214,6</v>
      </c>
      <c r="AU230" s="89" t="str">
        <f t="shared" si="18"/>
        <v>10-2015</v>
      </c>
      <c r="BA230" s="92" t="str">
        <f t="shared" si="19"/>
        <v>&gt;365 Days</v>
      </c>
    </row>
    <row r="231" spans="1:56">
      <c r="B231" s="60" t="str">
        <f>[2]Trucks!A228</f>
        <v>72W-8578</v>
      </c>
      <c r="C231" s="11" t="str">
        <f>[2]Trucks!B228</f>
        <v>TGS-19-3604X2BLS-L</v>
      </c>
      <c r="D231" s="19" t="str">
        <f>IFERROR(VLOOKUP(C231&amp;"",'[2]Retail Price List'!$A$3:$B$103,2,FALSE),"Special Order")</f>
        <v>KP000632</v>
      </c>
      <c r="E231" s="18" t="str">
        <f>[2]Trucks!J228</f>
        <v>UNSOLD</v>
      </c>
      <c r="F231" s="12">
        <f>[2]Trucks!E228</f>
        <v>308</v>
      </c>
      <c r="G231" s="56">
        <f>[2]Trucks!K228</f>
        <v>18</v>
      </c>
      <c r="H231" s="46">
        <f>[2]Trucks!I228</f>
        <v>42446</v>
      </c>
      <c r="I231" s="83" t="str">
        <f t="shared" si="15"/>
        <v>2016Q1</v>
      </c>
      <c r="J231" s="272">
        <f>IFERROR(VLOOKUP((D231&amp;C231)&amp;"",'[2]Retail Price List'!$C$4:$F$102,3,FALSE),"")</f>
        <v>1295000</v>
      </c>
      <c r="K231" s="272">
        <f>IFERROR(IF(BA231="WIP - 30 Days",VLOOKUP(D231,[3]Standard!$B$9:$E$101,4,FALSE),IF(BA231="31-120 Days",VLOOKUP(D231,[3]Standard!$B$9:$F$101,5,FALSE),IF(BA231="121-365 Days",VLOOKUP(D231,[3]Standard!$B$9:$G$101,6,FALSE),VLOOKUP(D231,[3]Standard!$B$9:$H$101,7,FALSE)))),0)</f>
        <v>947033.5</v>
      </c>
      <c r="L231" s="272">
        <f>IFERROR(IF(BA231="WIP - 30 Days",VLOOKUP(D231,[3]Standard!$B$9:$J$101,9,FALSE),IF(BA231="31-120 Days",VLOOKUP(D231,[3]Standard!$B$9:$K$100,10,FALSE),IF(BA231="121-365 Days",VLOOKUP(D231,[3]Standard!$B$9:$L$101,11,FALSE),VLOOKUP(D231,[3]Standard!$B$9:$M$101,12,FALSE)))),0)</f>
        <v>919450</v>
      </c>
      <c r="M231" s="269">
        <f>IFERROR(VLOOKUP((D231&amp;C231)&amp;"",'[2]Retail Price List'!$C$4:$F$102,4,FALSE),"")</f>
        <v>1320000</v>
      </c>
      <c r="N231" s="269">
        <f>IFERROR(IF(BA231="WIP - 30 Days",VLOOKUP(D231,[3]Extended!$B$9:$E$101,4,FALSE),IF(BA231="31-120 Days",VLOOKUP(D231,[3]Extended!$B$9:$F$101,5,FALSE),IF(BA231="121-365 Days",VLOOKUP(D231,[3]Extended!$B$9:$G$101,6,FALSE),VLOOKUP(D231,[3]Extended!$B$9:$H$101,7,FALSE)))),0)</f>
        <v>992508</v>
      </c>
      <c r="O231" s="269">
        <f>IFERROR(IF(BA231="WIP - 30 Days",VLOOKUP(D231,[3]Extended!$B$9:$J$101,9,FALSE),IF(BA231="31-120 Days",VLOOKUP(D231,[3]Extended!$B$9:$K$101,10,FALSE),IF(BA231="121-365 Days",VLOOKUP(D231,[3]Extended!$B$9:$L$101,11,FALSE),VLOOKUP(D231,[3]Extended!$B$9:$M$101,12,FALSE)))),0)</f>
        <v>963600</v>
      </c>
      <c r="P231" s="116">
        <f t="shared" si="16"/>
        <v>0.27</v>
      </c>
      <c r="Q231" s="110" t="e">
        <f>O231-#REF!</f>
        <v>#REF!</v>
      </c>
      <c r="W231" s="311"/>
      <c r="X231" s="311"/>
      <c r="Y231" s="311"/>
      <c r="Z231" s="311"/>
      <c r="AA231" s="311"/>
      <c r="AB231" s="311"/>
      <c r="AC231" s="311"/>
      <c r="AT231" s="88" t="str">
        <f t="shared" si="17"/>
        <v>KP0006322016Q118</v>
      </c>
      <c r="AU231" s="89" t="str">
        <f t="shared" si="18"/>
        <v>03-2016</v>
      </c>
      <c r="BA231" s="92" t="str">
        <f t="shared" si="19"/>
        <v>121-365 Days</v>
      </c>
    </row>
    <row r="232" spans="1:56" s="4" customFormat="1">
      <c r="A232" s="69"/>
      <c r="B232" s="60" t="str">
        <f>[2]Trucks!A229</f>
        <v>72W-8579</v>
      </c>
      <c r="C232" s="11" t="str">
        <f>[2]Trucks!B229</f>
        <v>TGS-19-3604X2BLS-L</v>
      </c>
      <c r="D232" s="19" t="str">
        <f>IFERROR(VLOOKUP(C232&amp;"",'[2]Retail Price List'!$A$3:$B$103,2,FALSE),"Special Order")</f>
        <v>KP000632</v>
      </c>
      <c r="E232" s="18" t="str">
        <f>[2]Trucks!J229</f>
        <v>UNSOLD</v>
      </c>
      <c r="F232" s="12">
        <f>[2]Trucks!E229</f>
        <v>310</v>
      </c>
      <c r="G232" s="56">
        <f>[2]Trucks!K229</f>
        <v>18</v>
      </c>
      <c r="H232" s="46">
        <f>[2]Trucks!I229</f>
        <v>42446</v>
      </c>
      <c r="I232" s="83" t="str">
        <f t="shared" si="15"/>
        <v>2016Q1</v>
      </c>
      <c r="J232" s="272">
        <f>IFERROR(VLOOKUP((D232&amp;C232)&amp;"",'[2]Retail Price List'!$C$4:$F$102,3,FALSE),"")</f>
        <v>1295000</v>
      </c>
      <c r="K232" s="272">
        <f>IFERROR(IF(BA232="WIP - 30 Days",VLOOKUP(D232,[3]Standard!$B$9:$E$101,4,FALSE),IF(BA232="31-120 Days",VLOOKUP(D232,[3]Standard!$B$9:$F$101,5,FALSE),IF(BA232="121-365 Days",VLOOKUP(D232,[3]Standard!$B$9:$G$101,6,FALSE),VLOOKUP(D232,[3]Standard!$B$9:$H$101,7,FALSE)))),0)</f>
        <v>947033.5</v>
      </c>
      <c r="L232" s="272">
        <f>IFERROR(IF(BA232="WIP - 30 Days",VLOOKUP(D232,[3]Standard!$B$9:$J$101,9,FALSE),IF(BA232="31-120 Days",VLOOKUP(D232,[3]Standard!$B$9:$K$100,10,FALSE),IF(BA232="121-365 Days",VLOOKUP(D232,[3]Standard!$B$9:$L$101,11,FALSE),VLOOKUP(D232,[3]Standard!$B$9:$M$101,12,FALSE)))),0)</f>
        <v>919450</v>
      </c>
      <c r="M232" s="269">
        <f>IFERROR(VLOOKUP((D232&amp;C232)&amp;"",'[2]Retail Price List'!$C$4:$F$102,4,FALSE),"")</f>
        <v>1320000</v>
      </c>
      <c r="N232" s="269">
        <f>IFERROR(IF(BA232="WIP - 30 Days",VLOOKUP(D232,[3]Extended!$B$9:$E$101,4,FALSE),IF(BA232="31-120 Days",VLOOKUP(D232,[3]Extended!$B$9:$F$101,5,FALSE),IF(BA232="121-365 Days",VLOOKUP(D232,[3]Extended!$B$9:$G$101,6,FALSE),VLOOKUP(D232,[3]Extended!$B$9:$H$101,7,FALSE)))),0)</f>
        <v>992508</v>
      </c>
      <c r="O232" s="269">
        <f>IFERROR(IF(BA232="WIP - 30 Days",VLOOKUP(D232,[3]Extended!$B$9:$J$101,9,FALSE),IF(BA232="31-120 Days",VLOOKUP(D232,[3]Extended!$B$9:$K$101,10,FALSE),IF(BA232="121-365 Days",VLOOKUP(D232,[3]Extended!$B$9:$L$101,11,FALSE),VLOOKUP(D232,[3]Extended!$B$9:$M$101,12,FALSE)))),0)</f>
        <v>963600</v>
      </c>
      <c r="P232" s="116">
        <f t="shared" si="16"/>
        <v>0.27</v>
      </c>
      <c r="Q232" s="110" t="e">
        <f>O232-#REF!</f>
        <v>#REF!</v>
      </c>
      <c r="R232" s="111" t="e">
        <f>SUM(Q230:Q231)/SUM(O230:O231)</f>
        <v>#REF!</v>
      </c>
      <c r="S232" s="112"/>
      <c r="T232" s="112"/>
      <c r="U232" s="112"/>
      <c r="V232" s="112"/>
      <c r="W232" s="311"/>
      <c r="X232" s="311"/>
      <c r="Y232" s="311"/>
      <c r="Z232" s="311"/>
      <c r="AA232" s="311"/>
      <c r="AB232" s="311"/>
      <c r="AC232" s="311"/>
      <c r="AD232" s="89"/>
      <c r="AE232" s="89"/>
      <c r="AF232" s="89"/>
      <c r="AG232" s="5"/>
      <c r="AH232" s="5"/>
      <c r="AI232" s="5"/>
      <c r="AJ232" s="5"/>
      <c r="AK232" s="5"/>
      <c r="AL232" s="5"/>
      <c r="AM232" s="5"/>
      <c r="AN232" s="5"/>
      <c r="AO232" s="5"/>
      <c r="AP232" s="5"/>
      <c r="AQ232" s="5"/>
      <c r="AR232" s="5"/>
      <c r="AS232" s="5"/>
      <c r="AT232" s="88" t="str">
        <f t="shared" si="17"/>
        <v>KP0006322016Q118</v>
      </c>
      <c r="AU232" s="89" t="str">
        <f t="shared" si="18"/>
        <v>03-2016</v>
      </c>
      <c r="AV232" s="89"/>
      <c r="AW232" s="89"/>
      <c r="AX232" s="89"/>
      <c r="AY232" s="89"/>
      <c r="AZ232" s="89"/>
      <c r="BA232" s="92" t="str">
        <f t="shared" si="19"/>
        <v>121-365 Days</v>
      </c>
      <c r="BB232" s="89"/>
      <c r="BC232" s="97"/>
      <c r="BD232" s="97"/>
    </row>
    <row r="233" spans="1:56">
      <c r="B233" s="60" t="str">
        <f>[2]Trucks!A230</f>
        <v>72W-8580</v>
      </c>
      <c r="C233" s="11" t="str">
        <f>[2]Trucks!B230</f>
        <v>TGS-19-3604X2BLS-L</v>
      </c>
      <c r="D233" s="19" t="str">
        <f>IFERROR(VLOOKUP(C233&amp;"",'[2]Retail Price List'!$A$3:$B$103,2,FALSE),"Special Order")</f>
        <v>KP000632</v>
      </c>
      <c r="E233" s="18" t="str">
        <f>[2]Trucks!J230</f>
        <v>UNSOLD</v>
      </c>
      <c r="F233" s="12">
        <f>[2]Trucks!E230</f>
        <v>304</v>
      </c>
      <c r="G233" s="56">
        <f>[2]Trucks!K230</f>
        <v>18</v>
      </c>
      <c r="H233" s="46">
        <f>[2]Trucks!I230</f>
        <v>42446</v>
      </c>
      <c r="I233" s="83" t="str">
        <f t="shared" si="15"/>
        <v>2016Q1</v>
      </c>
      <c r="J233" s="272">
        <f>IFERROR(VLOOKUP((D233&amp;C233)&amp;"",'[2]Retail Price List'!$C$4:$F$102,3,FALSE),"")</f>
        <v>1295000</v>
      </c>
      <c r="K233" s="272">
        <f>IFERROR(IF(BA233="WIP - 30 Days",VLOOKUP(D233,[3]Standard!$B$9:$E$101,4,FALSE),IF(BA233="31-120 Days",VLOOKUP(D233,[3]Standard!$B$9:$F$101,5,FALSE),IF(BA233="121-365 Days",VLOOKUP(D233,[3]Standard!$B$9:$G$101,6,FALSE),VLOOKUP(D233,[3]Standard!$B$9:$H$101,7,FALSE)))),0)</f>
        <v>947033.5</v>
      </c>
      <c r="L233" s="272">
        <f>IFERROR(IF(BA233="WIP - 30 Days",VLOOKUP(D233,[3]Standard!$B$9:$J$101,9,FALSE),IF(BA233="31-120 Days",VLOOKUP(D233,[3]Standard!$B$9:$K$100,10,FALSE),IF(BA233="121-365 Days",VLOOKUP(D233,[3]Standard!$B$9:$L$101,11,FALSE),VLOOKUP(D233,[3]Standard!$B$9:$M$101,12,FALSE)))),0)</f>
        <v>919450</v>
      </c>
      <c r="M233" s="269">
        <f>IFERROR(VLOOKUP((D233&amp;C233)&amp;"",'[2]Retail Price List'!$C$4:$F$102,4,FALSE),"")</f>
        <v>1320000</v>
      </c>
      <c r="N233" s="269">
        <f>IFERROR(IF(BA233="WIP - 30 Days",VLOOKUP(D233,[3]Extended!$B$9:$E$101,4,FALSE),IF(BA233="31-120 Days",VLOOKUP(D233,[3]Extended!$B$9:$F$101,5,FALSE),IF(BA233="121-365 Days",VLOOKUP(D233,[3]Extended!$B$9:$G$101,6,FALSE),VLOOKUP(D233,[3]Extended!$B$9:$H$101,7,FALSE)))),0)</f>
        <v>992508</v>
      </c>
      <c r="O233" s="269">
        <f>IFERROR(IF(BA233="WIP - 30 Days",VLOOKUP(D233,[3]Extended!$B$9:$J$101,9,FALSE),IF(BA233="31-120 Days",VLOOKUP(D233,[3]Extended!$B$9:$K$101,10,FALSE),IF(BA233="121-365 Days",VLOOKUP(D233,[3]Extended!$B$9:$L$101,11,FALSE),VLOOKUP(D233,[3]Extended!$B$9:$M$101,12,FALSE)))),0)</f>
        <v>963600</v>
      </c>
      <c r="P233" s="116">
        <f t="shared" si="16"/>
        <v>0.27</v>
      </c>
      <c r="Q233" s="110" t="e">
        <f>O233-#REF!</f>
        <v>#REF!</v>
      </c>
      <c r="W233" s="311"/>
      <c r="X233" s="311"/>
      <c r="Y233" s="311"/>
      <c r="Z233" s="311"/>
      <c r="AA233" s="311"/>
      <c r="AB233" s="311"/>
      <c r="AC233" s="311"/>
      <c r="AT233" s="88" t="str">
        <f t="shared" si="17"/>
        <v>KP0006322016Q118</v>
      </c>
      <c r="AU233" s="89" t="str">
        <f t="shared" si="18"/>
        <v>03-2016</v>
      </c>
      <c r="BA233" s="92" t="str">
        <f t="shared" si="19"/>
        <v>121-365 Days</v>
      </c>
    </row>
    <row r="234" spans="1:56">
      <c r="B234" s="60" t="str">
        <f>[2]Trucks!A231</f>
        <v>72W-8585</v>
      </c>
      <c r="C234" s="11" t="str">
        <f>[2]Trucks!B231</f>
        <v>TGS-19-3604X2BLS-L</v>
      </c>
      <c r="D234" s="19" t="str">
        <f>IFERROR(VLOOKUP(C234&amp;"",'[2]Retail Price List'!$A$3:$B$103,2,FALSE),"Special Order")</f>
        <v>KP000632</v>
      </c>
      <c r="E234" s="18" t="str">
        <f>[2]Trucks!J231</f>
        <v>UNSOLD</v>
      </c>
      <c r="F234" s="12">
        <f>[2]Trucks!E231</f>
        <v>308</v>
      </c>
      <c r="G234" s="56">
        <f>[2]Trucks!K231</f>
        <v>18</v>
      </c>
      <c r="H234" s="46">
        <f>[2]Trucks!I231</f>
        <v>42446</v>
      </c>
      <c r="I234" s="83" t="str">
        <f t="shared" si="15"/>
        <v>2016Q1</v>
      </c>
      <c r="J234" s="272">
        <f>IFERROR(VLOOKUP((D234&amp;C234)&amp;"",'[2]Retail Price List'!$C$4:$F$102,3,FALSE),"")</f>
        <v>1295000</v>
      </c>
      <c r="K234" s="272">
        <f>IFERROR(IF(BA234="WIP - 30 Days",VLOOKUP(D234,[3]Standard!$B$9:$E$101,4,FALSE),IF(BA234="31-120 Days",VLOOKUP(D234,[3]Standard!$B$9:$F$101,5,FALSE),IF(BA234="121-365 Days",VLOOKUP(D234,[3]Standard!$B$9:$G$101,6,FALSE),VLOOKUP(D234,[3]Standard!$B$9:$H$101,7,FALSE)))),0)</f>
        <v>947033.5</v>
      </c>
      <c r="L234" s="272">
        <f>IFERROR(IF(BA234="WIP - 30 Days",VLOOKUP(D234,[3]Standard!$B$9:$J$101,9,FALSE),IF(BA234="31-120 Days",VLOOKUP(D234,[3]Standard!$B$9:$K$100,10,FALSE),IF(BA234="121-365 Days",VLOOKUP(D234,[3]Standard!$B$9:$L$101,11,FALSE),VLOOKUP(D234,[3]Standard!$B$9:$M$101,12,FALSE)))),0)</f>
        <v>919450</v>
      </c>
      <c r="M234" s="269">
        <f>IFERROR(VLOOKUP((D234&amp;C234)&amp;"",'[2]Retail Price List'!$C$4:$F$102,4,FALSE),"")</f>
        <v>1320000</v>
      </c>
      <c r="N234" s="269">
        <f>IFERROR(IF(BA234="WIP - 30 Days",VLOOKUP(D234,[3]Extended!$B$9:$E$101,4,FALSE),IF(BA234="31-120 Days",VLOOKUP(D234,[3]Extended!$B$9:$F$101,5,FALSE),IF(BA234="121-365 Days",VLOOKUP(D234,[3]Extended!$B$9:$G$101,6,FALSE),VLOOKUP(D234,[3]Extended!$B$9:$H$101,7,FALSE)))),0)</f>
        <v>992508</v>
      </c>
      <c r="O234" s="269">
        <f>IFERROR(IF(BA234="WIP - 30 Days",VLOOKUP(D234,[3]Extended!$B$9:$J$101,9,FALSE),IF(BA234="31-120 Days",VLOOKUP(D234,[3]Extended!$B$9:$K$101,10,FALSE),IF(BA234="121-365 Days",VLOOKUP(D234,[3]Extended!$B$9:$L$101,11,FALSE),VLOOKUP(D234,[3]Extended!$B$9:$M$101,12,FALSE)))),0)</f>
        <v>963600</v>
      </c>
      <c r="P234" s="116">
        <f t="shared" si="16"/>
        <v>0.27</v>
      </c>
      <c r="Q234" s="110" t="e">
        <f>O234-#REF!</f>
        <v>#REF!</v>
      </c>
      <c r="W234" s="311"/>
      <c r="X234" s="311"/>
      <c r="Y234" s="311"/>
      <c r="Z234" s="311"/>
      <c r="AA234" s="311"/>
      <c r="AB234" s="311"/>
      <c r="AC234" s="311"/>
      <c r="AT234" s="88" t="str">
        <f t="shared" si="17"/>
        <v>KP0006322016Q118</v>
      </c>
      <c r="AU234" s="89" t="str">
        <f t="shared" si="18"/>
        <v>03-2016</v>
      </c>
      <c r="BA234" s="92" t="str">
        <f t="shared" si="19"/>
        <v>121-365 Days</v>
      </c>
    </row>
    <row r="235" spans="1:56">
      <c r="B235" s="60" t="str">
        <f>[2]Trucks!A232</f>
        <v>72W-8586</v>
      </c>
      <c r="C235" s="11" t="str">
        <f>[2]Trucks!B232</f>
        <v>TGS-19-3604X2BLS-L</v>
      </c>
      <c r="D235" s="19" t="str">
        <f>IFERROR(VLOOKUP(C235&amp;"",'[2]Retail Price List'!$A$3:$B$103,2,FALSE),"Special Order")</f>
        <v>KP000632</v>
      </c>
      <c r="E235" s="18" t="str">
        <f>[2]Trucks!J232</f>
        <v>UNSOLD</v>
      </c>
      <c r="F235" s="12">
        <f>[2]Trucks!E232</f>
        <v>305</v>
      </c>
      <c r="G235" s="56">
        <f>[2]Trucks!K232</f>
        <v>18</v>
      </c>
      <c r="H235" s="46">
        <f>[2]Trucks!I232</f>
        <v>42446</v>
      </c>
      <c r="I235" s="83" t="str">
        <f t="shared" si="15"/>
        <v>2016Q1</v>
      </c>
      <c r="J235" s="272">
        <f>IFERROR(VLOOKUP((D235&amp;C235)&amp;"",'[2]Retail Price List'!$C$4:$F$102,3,FALSE),"")</f>
        <v>1295000</v>
      </c>
      <c r="K235" s="272">
        <f>IFERROR(IF(BA235="WIP - 30 Days",VLOOKUP(D235,[3]Standard!$B$9:$E$101,4,FALSE),IF(BA235="31-120 Days",VLOOKUP(D235,[3]Standard!$B$9:$F$101,5,FALSE),IF(BA235="121-365 Days",VLOOKUP(D235,[3]Standard!$B$9:$G$101,6,FALSE),VLOOKUP(D235,[3]Standard!$B$9:$H$101,7,FALSE)))),0)</f>
        <v>947033.5</v>
      </c>
      <c r="L235" s="272">
        <f>IFERROR(IF(BA235="WIP - 30 Days",VLOOKUP(D235,[3]Standard!$B$9:$J$101,9,FALSE),IF(BA235="31-120 Days",VLOOKUP(D235,[3]Standard!$B$9:$K$100,10,FALSE),IF(BA235="121-365 Days",VLOOKUP(D235,[3]Standard!$B$9:$L$101,11,FALSE),VLOOKUP(D235,[3]Standard!$B$9:$M$101,12,FALSE)))),0)</f>
        <v>919450</v>
      </c>
      <c r="M235" s="269">
        <f>IFERROR(VLOOKUP((D235&amp;C235)&amp;"",'[2]Retail Price List'!$C$4:$F$102,4,FALSE),"")</f>
        <v>1320000</v>
      </c>
      <c r="N235" s="269">
        <f>IFERROR(IF(BA235="WIP - 30 Days",VLOOKUP(D235,[3]Extended!$B$9:$E$101,4,FALSE),IF(BA235="31-120 Days",VLOOKUP(D235,[3]Extended!$B$9:$F$101,5,FALSE),IF(BA235="121-365 Days",VLOOKUP(D235,[3]Extended!$B$9:$G$101,6,FALSE),VLOOKUP(D235,[3]Extended!$B$9:$H$101,7,FALSE)))),0)</f>
        <v>992508</v>
      </c>
      <c r="O235" s="269">
        <f>IFERROR(IF(BA235="WIP - 30 Days",VLOOKUP(D235,[3]Extended!$B$9:$J$101,9,FALSE),IF(BA235="31-120 Days",VLOOKUP(D235,[3]Extended!$B$9:$K$101,10,FALSE),IF(BA235="121-365 Days",VLOOKUP(D235,[3]Extended!$B$9:$L$101,11,FALSE),VLOOKUP(D235,[3]Extended!$B$9:$M$101,12,FALSE)))),0)</f>
        <v>963600</v>
      </c>
      <c r="P235" s="116">
        <f t="shared" si="16"/>
        <v>0.27</v>
      </c>
      <c r="Q235" s="110" t="e">
        <f>O235-#REF!</f>
        <v>#REF!</v>
      </c>
      <c r="W235" s="311"/>
      <c r="X235" s="311"/>
      <c r="Y235" s="311"/>
      <c r="Z235" s="311"/>
      <c r="AA235" s="311"/>
      <c r="AB235" s="311"/>
      <c r="AC235" s="311"/>
      <c r="AT235" s="88" t="str">
        <f t="shared" si="17"/>
        <v>KP0006322016Q118</v>
      </c>
      <c r="AU235" s="89" t="str">
        <f t="shared" si="18"/>
        <v>03-2016</v>
      </c>
      <c r="BA235" s="92" t="str">
        <f t="shared" si="19"/>
        <v>121-365 Days</v>
      </c>
    </row>
    <row r="236" spans="1:56">
      <c r="B236" s="60" t="str">
        <f>[2]Trucks!A233</f>
        <v>72W-8587</v>
      </c>
      <c r="C236" s="11" t="str">
        <f>[2]Trucks!B233</f>
        <v>TGS-19-3604X2BLS-L</v>
      </c>
      <c r="D236" s="19" t="str">
        <f>IFERROR(VLOOKUP(C236&amp;"",'[2]Retail Price List'!$A$3:$B$103,2,FALSE),"Special Order")</f>
        <v>KP000632</v>
      </c>
      <c r="E236" s="18" t="str">
        <f>[2]Trucks!J233</f>
        <v>UNSOLD</v>
      </c>
      <c r="F236" s="12">
        <f>[2]Trucks!E233</f>
        <v>304</v>
      </c>
      <c r="G236" s="56">
        <f>[2]Trucks!K233</f>
        <v>18</v>
      </c>
      <c r="H236" s="46">
        <f>[2]Trucks!I233</f>
        <v>42446</v>
      </c>
      <c r="I236" s="83" t="str">
        <f t="shared" si="15"/>
        <v>2016Q1</v>
      </c>
      <c r="J236" s="272">
        <f>IFERROR(VLOOKUP((D236&amp;C236)&amp;"",'[2]Retail Price List'!$C$4:$F$102,3,FALSE),"")</f>
        <v>1295000</v>
      </c>
      <c r="K236" s="272">
        <f>IFERROR(IF(BA236="WIP - 30 Days",VLOOKUP(D236,[3]Standard!$B$9:$E$101,4,FALSE),IF(BA236="31-120 Days",VLOOKUP(D236,[3]Standard!$B$9:$F$101,5,FALSE),IF(BA236="121-365 Days",VLOOKUP(D236,[3]Standard!$B$9:$G$101,6,FALSE),VLOOKUP(D236,[3]Standard!$B$9:$H$101,7,FALSE)))),0)</f>
        <v>947033.5</v>
      </c>
      <c r="L236" s="272">
        <f>IFERROR(IF(BA236="WIP - 30 Days",VLOOKUP(D236,[3]Standard!$B$9:$J$101,9,FALSE),IF(BA236="31-120 Days",VLOOKUP(D236,[3]Standard!$B$9:$K$100,10,FALSE),IF(BA236="121-365 Days",VLOOKUP(D236,[3]Standard!$B$9:$L$101,11,FALSE),VLOOKUP(D236,[3]Standard!$B$9:$M$101,12,FALSE)))),0)</f>
        <v>919450</v>
      </c>
      <c r="M236" s="269">
        <f>IFERROR(VLOOKUP((D236&amp;C236)&amp;"",'[2]Retail Price List'!$C$4:$F$102,4,FALSE),"")</f>
        <v>1320000</v>
      </c>
      <c r="N236" s="269">
        <f>IFERROR(IF(BA236="WIP - 30 Days",VLOOKUP(D236,[3]Extended!$B$9:$E$101,4,FALSE),IF(BA236="31-120 Days",VLOOKUP(D236,[3]Extended!$B$9:$F$101,5,FALSE),IF(BA236="121-365 Days",VLOOKUP(D236,[3]Extended!$B$9:$G$101,6,FALSE),VLOOKUP(D236,[3]Extended!$B$9:$H$101,7,FALSE)))),0)</f>
        <v>992508</v>
      </c>
      <c r="O236" s="269">
        <f>IFERROR(IF(BA236="WIP - 30 Days",VLOOKUP(D236,[3]Extended!$B$9:$J$101,9,FALSE),IF(BA236="31-120 Days",VLOOKUP(D236,[3]Extended!$B$9:$K$101,10,FALSE),IF(BA236="121-365 Days",VLOOKUP(D236,[3]Extended!$B$9:$L$101,11,FALSE),VLOOKUP(D236,[3]Extended!$B$9:$M$101,12,FALSE)))),0)</f>
        <v>963600</v>
      </c>
      <c r="P236" s="116">
        <f t="shared" si="16"/>
        <v>0.27</v>
      </c>
      <c r="Q236" s="110" t="e">
        <f>O236-#REF!</f>
        <v>#REF!</v>
      </c>
      <c r="W236" s="311"/>
      <c r="X236" s="311"/>
      <c r="Y236" s="311"/>
      <c r="Z236" s="311"/>
      <c r="AA236" s="311"/>
      <c r="AB236" s="311"/>
      <c r="AC236" s="311"/>
      <c r="AT236" s="88" t="str">
        <f t="shared" si="17"/>
        <v>KP0006322016Q118</v>
      </c>
      <c r="AU236" s="89" t="str">
        <f t="shared" si="18"/>
        <v>03-2016</v>
      </c>
      <c r="BA236" s="92" t="str">
        <f t="shared" si="19"/>
        <v>121-365 Days</v>
      </c>
    </row>
    <row r="237" spans="1:56" s="4" customFormat="1">
      <c r="A237" s="69"/>
      <c r="B237" s="60" t="str">
        <f>[2]Trucks!A234</f>
        <v>72W-8588</v>
      </c>
      <c r="C237" s="11" t="str">
        <f>[2]Trucks!B234</f>
        <v>TGS-19-3604X2BLS-L</v>
      </c>
      <c r="D237" s="19" t="str">
        <f>IFERROR(VLOOKUP(C237&amp;"",'[2]Retail Price List'!$A$3:$B$103,2,FALSE),"Special Order")</f>
        <v>KP000632</v>
      </c>
      <c r="E237" s="18" t="str">
        <f>[2]Trucks!J234</f>
        <v>UNSOLD</v>
      </c>
      <c r="F237" s="12">
        <f>[2]Trucks!E234</f>
        <v>296</v>
      </c>
      <c r="G237" s="56">
        <f>[2]Trucks!K234</f>
        <v>18</v>
      </c>
      <c r="H237" s="46">
        <f>[2]Trucks!I234</f>
        <v>42446</v>
      </c>
      <c r="I237" s="83" t="str">
        <f t="shared" si="15"/>
        <v>2016Q1</v>
      </c>
      <c r="J237" s="272">
        <f>IFERROR(VLOOKUP((D237&amp;C237)&amp;"",'[2]Retail Price List'!$C$4:$F$102,3,FALSE),"")</f>
        <v>1295000</v>
      </c>
      <c r="K237" s="272">
        <f>IFERROR(IF(BA237="WIP - 30 Days",VLOOKUP(D237,[3]Standard!$B$9:$E$101,4,FALSE),IF(BA237="31-120 Days",VLOOKUP(D237,[3]Standard!$B$9:$F$101,5,FALSE),IF(BA237="121-365 Days",VLOOKUP(D237,[3]Standard!$B$9:$G$101,6,FALSE),VLOOKUP(D237,[3]Standard!$B$9:$H$101,7,FALSE)))),0)</f>
        <v>947033.5</v>
      </c>
      <c r="L237" s="272">
        <f>IFERROR(IF(BA237="WIP - 30 Days",VLOOKUP(D237,[3]Standard!$B$9:$J$101,9,FALSE),IF(BA237="31-120 Days",VLOOKUP(D237,[3]Standard!$B$9:$K$100,10,FALSE),IF(BA237="121-365 Days",VLOOKUP(D237,[3]Standard!$B$9:$L$101,11,FALSE),VLOOKUP(D237,[3]Standard!$B$9:$M$101,12,FALSE)))),0)</f>
        <v>919450</v>
      </c>
      <c r="M237" s="269">
        <f>IFERROR(VLOOKUP((D237&amp;C237)&amp;"",'[2]Retail Price List'!$C$4:$F$102,4,FALSE),"")</f>
        <v>1320000</v>
      </c>
      <c r="N237" s="269">
        <f>IFERROR(IF(BA237="WIP - 30 Days",VLOOKUP(D237,[3]Extended!$B$9:$E$101,4,FALSE),IF(BA237="31-120 Days",VLOOKUP(D237,[3]Extended!$B$9:$F$101,5,FALSE),IF(BA237="121-365 Days",VLOOKUP(D237,[3]Extended!$B$9:$G$101,6,FALSE),VLOOKUP(D237,[3]Extended!$B$9:$H$101,7,FALSE)))),0)</f>
        <v>992508</v>
      </c>
      <c r="O237" s="269">
        <f>IFERROR(IF(BA237="WIP - 30 Days",VLOOKUP(D237,[3]Extended!$B$9:$J$101,9,FALSE),IF(BA237="31-120 Days",VLOOKUP(D237,[3]Extended!$B$9:$K$101,10,FALSE),IF(BA237="121-365 Days",VLOOKUP(D237,[3]Extended!$B$9:$L$101,11,FALSE),VLOOKUP(D237,[3]Extended!$B$9:$M$101,12,FALSE)))),0)</f>
        <v>963600</v>
      </c>
      <c r="P237" s="116">
        <f t="shared" si="16"/>
        <v>0.27</v>
      </c>
      <c r="Q237" s="110" t="e">
        <f>O237-#REF!</f>
        <v>#REF!</v>
      </c>
      <c r="R237" s="111" t="e">
        <f>SUM(Q233:Q236)/SUM(O233:O236)</f>
        <v>#REF!</v>
      </c>
      <c r="S237" s="112"/>
      <c r="T237" s="112"/>
      <c r="U237" s="112"/>
      <c r="V237" s="112"/>
      <c r="W237" s="311"/>
      <c r="X237" s="311"/>
      <c r="Y237" s="311"/>
      <c r="Z237" s="311"/>
      <c r="AA237" s="311"/>
      <c r="AB237" s="311"/>
      <c r="AC237" s="311"/>
      <c r="AD237" s="89"/>
      <c r="AE237" s="89"/>
      <c r="AF237" s="89"/>
      <c r="AG237" s="5"/>
      <c r="AH237" s="5"/>
      <c r="AI237" s="5"/>
      <c r="AJ237" s="5"/>
      <c r="AK237" s="5"/>
      <c r="AL237" s="5"/>
      <c r="AM237" s="5"/>
      <c r="AN237" s="5"/>
      <c r="AO237" s="5"/>
      <c r="AP237" s="5"/>
      <c r="AQ237" s="5"/>
      <c r="AR237" s="5"/>
      <c r="AS237" s="5"/>
      <c r="AT237" s="88" t="str">
        <f t="shared" si="17"/>
        <v>KP0006322016Q118</v>
      </c>
      <c r="AU237" s="89" t="str">
        <f t="shared" si="18"/>
        <v>03-2016</v>
      </c>
      <c r="AV237" s="89"/>
      <c r="AW237" s="89"/>
      <c r="AX237" s="89"/>
      <c r="AY237" s="89"/>
      <c r="AZ237" s="89"/>
      <c r="BA237" s="92" t="str">
        <f t="shared" si="19"/>
        <v>121-365 Days</v>
      </c>
      <c r="BB237" s="89"/>
      <c r="BC237" s="97"/>
      <c r="BD237" s="97"/>
    </row>
    <row r="238" spans="1:56">
      <c r="B238" s="60" t="str">
        <f>[2]Trucks!A235</f>
        <v>72W-8589</v>
      </c>
      <c r="C238" s="11" t="str">
        <f>[2]Trucks!B235</f>
        <v>TGS-19-3604X2BLS-L</v>
      </c>
      <c r="D238" s="19" t="str">
        <f>IFERROR(VLOOKUP(C238&amp;"",'[2]Retail Price List'!$A$3:$B$103,2,FALSE),"Special Order")</f>
        <v>KP000632</v>
      </c>
      <c r="E238" s="18" t="str">
        <f>[2]Trucks!J235</f>
        <v>UNSOLD</v>
      </c>
      <c r="F238" s="12">
        <f>[2]Trucks!E235</f>
        <v>309</v>
      </c>
      <c r="G238" s="56">
        <f>[2]Trucks!K235</f>
        <v>18</v>
      </c>
      <c r="H238" s="46">
        <f>[2]Trucks!I235</f>
        <v>42446</v>
      </c>
      <c r="I238" s="83" t="str">
        <f t="shared" si="15"/>
        <v>2016Q1</v>
      </c>
      <c r="J238" s="272">
        <f>IFERROR(VLOOKUP((D238&amp;C238)&amp;"",'[2]Retail Price List'!$C$4:$F$102,3,FALSE),"")</f>
        <v>1295000</v>
      </c>
      <c r="K238" s="272">
        <f>IFERROR(IF(BA238="WIP - 30 Days",VLOOKUP(D238,[3]Standard!$B$9:$E$101,4,FALSE),IF(BA238="31-120 Days",VLOOKUP(D238,[3]Standard!$B$9:$F$101,5,FALSE),IF(BA238="121-365 Days",VLOOKUP(D238,[3]Standard!$B$9:$G$101,6,FALSE),VLOOKUP(D238,[3]Standard!$B$9:$H$101,7,FALSE)))),0)</f>
        <v>947033.5</v>
      </c>
      <c r="L238" s="272">
        <f>IFERROR(IF(BA238="WIP - 30 Days",VLOOKUP(D238,[3]Standard!$B$9:$J$101,9,FALSE),IF(BA238="31-120 Days",VLOOKUP(D238,[3]Standard!$B$9:$K$100,10,FALSE),IF(BA238="121-365 Days",VLOOKUP(D238,[3]Standard!$B$9:$L$101,11,FALSE),VLOOKUP(D238,[3]Standard!$B$9:$M$101,12,FALSE)))),0)</f>
        <v>919450</v>
      </c>
      <c r="M238" s="269">
        <f>IFERROR(VLOOKUP((D238&amp;C238)&amp;"",'[2]Retail Price List'!$C$4:$F$102,4,FALSE),"")</f>
        <v>1320000</v>
      </c>
      <c r="N238" s="269">
        <f>IFERROR(IF(BA238="WIP - 30 Days",VLOOKUP(D238,[3]Extended!$B$9:$E$101,4,FALSE),IF(BA238="31-120 Days",VLOOKUP(D238,[3]Extended!$B$9:$F$101,5,FALSE),IF(BA238="121-365 Days",VLOOKUP(D238,[3]Extended!$B$9:$G$101,6,FALSE),VLOOKUP(D238,[3]Extended!$B$9:$H$101,7,FALSE)))),0)</f>
        <v>992508</v>
      </c>
      <c r="O238" s="269">
        <f>IFERROR(IF(BA238="WIP - 30 Days",VLOOKUP(D238,[3]Extended!$B$9:$J$101,9,FALSE),IF(BA238="31-120 Days",VLOOKUP(D238,[3]Extended!$B$9:$K$101,10,FALSE),IF(BA238="121-365 Days",VLOOKUP(D238,[3]Extended!$B$9:$L$101,11,FALSE),VLOOKUP(D238,[3]Extended!$B$9:$M$101,12,FALSE)))),0)</f>
        <v>963600</v>
      </c>
      <c r="P238" s="116">
        <f t="shared" si="16"/>
        <v>0.27</v>
      </c>
      <c r="Q238" s="110" t="e">
        <f>O238-#REF!</f>
        <v>#REF!</v>
      </c>
      <c r="S238" s="112" t="s">
        <v>9</v>
      </c>
      <c r="T238" s="112" t="s">
        <v>10</v>
      </c>
      <c r="U238" s="112" t="s">
        <v>11</v>
      </c>
      <c r="W238" s="311"/>
      <c r="X238" s="311"/>
      <c r="Y238" s="311"/>
      <c r="Z238" s="311"/>
      <c r="AA238" s="311"/>
      <c r="AB238" s="311"/>
      <c r="AC238" s="311"/>
      <c r="AT238" s="88" t="str">
        <f t="shared" si="17"/>
        <v>KP0006322016Q118</v>
      </c>
      <c r="AU238" s="89" t="str">
        <f t="shared" si="18"/>
        <v>03-2016</v>
      </c>
      <c r="BA238" s="92" t="str">
        <f t="shared" si="19"/>
        <v>121-365 Days</v>
      </c>
    </row>
    <row r="239" spans="1:56">
      <c r="B239" s="60" t="str">
        <f>[2]Trucks!A236</f>
        <v>72W-8590</v>
      </c>
      <c r="C239" s="11" t="str">
        <f>[2]Trucks!B236</f>
        <v>TGS-19-3604X2BLS-L</v>
      </c>
      <c r="D239" s="19" t="str">
        <f>IFERROR(VLOOKUP(C239&amp;"",'[2]Retail Price List'!$A$3:$B$103,2,FALSE),"Special Order")</f>
        <v>KP000632</v>
      </c>
      <c r="E239" s="18" t="str">
        <f>[2]Trucks!J236</f>
        <v>UNSOLD</v>
      </c>
      <c r="F239" s="12">
        <f>[2]Trucks!E236</f>
        <v>317</v>
      </c>
      <c r="G239" s="56">
        <f>[2]Trucks!K236</f>
        <v>18</v>
      </c>
      <c r="H239" s="46">
        <f>[2]Trucks!I236</f>
        <v>42446</v>
      </c>
      <c r="I239" s="83" t="str">
        <f t="shared" si="15"/>
        <v>2016Q1</v>
      </c>
      <c r="J239" s="272">
        <f>IFERROR(VLOOKUP((D239&amp;C239)&amp;"",'[2]Retail Price List'!$C$4:$F$102,3,FALSE),"")</f>
        <v>1295000</v>
      </c>
      <c r="K239" s="272">
        <f>IFERROR(IF(BA239="WIP - 30 Days",VLOOKUP(D239,[3]Standard!$B$9:$E$101,4,FALSE),IF(BA239="31-120 Days",VLOOKUP(D239,[3]Standard!$B$9:$F$101,5,FALSE),IF(BA239="121-365 Days",VLOOKUP(D239,[3]Standard!$B$9:$G$101,6,FALSE),VLOOKUP(D239,[3]Standard!$B$9:$H$101,7,FALSE)))),0)</f>
        <v>947033.5</v>
      </c>
      <c r="L239" s="272">
        <f>IFERROR(IF(BA239="WIP - 30 Days",VLOOKUP(D239,[3]Standard!$B$9:$J$101,9,FALSE),IF(BA239="31-120 Days",VLOOKUP(D239,[3]Standard!$B$9:$K$100,10,FALSE),IF(BA239="121-365 Days",VLOOKUP(D239,[3]Standard!$B$9:$L$101,11,FALSE),VLOOKUP(D239,[3]Standard!$B$9:$M$101,12,FALSE)))),0)</f>
        <v>919450</v>
      </c>
      <c r="M239" s="269">
        <f>IFERROR(VLOOKUP((D239&amp;C239)&amp;"",'[2]Retail Price List'!$C$4:$F$102,4,FALSE),"")</f>
        <v>1320000</v>
      </c>
      <c r="N239" s="269">
        <f>IFERROR(IF(BA239="WIP - 30 Days",VLOOKUP(D239,[3]Extended!$B$9:$E$101,4,FALSE),IF(BA239="31-120 Days",VLOOKUP(D239,[3]Extended!$B$9:$F$101,5,FALSE),IF(BA239="121-365 Days",VLOOKUP(D239,[3]Extended!$B$9:$G$101,6,FALSE),VLOOKUP(D239,[3]Extended!$B$9:$H$101,7,FALSE)))),0)</f>
        <v>992508</v>
      </c>
      <c r="O239" s="269">
        <f>IFERROR(IF(BA239="WIP - 30 Days",VLOOKUP(D239,[3]Extended!$B$9:$J$101,9,FALSE),IF(BA239="31-120 Days",VLOOKUP(D239,[3]Extended!$B$9:$K$101,10,FALSE),IF(BA239="121-365 Days",VLOOKUP(D239,[3]Extended!$B$9:$L$101,11,FALSE),VLOOKUP(D239,[3]Extended!$B$9:$M$101,12,FALSE)))),0)</f>
        <v>963600</v>
      </c>
      <c r="P239" s="116">
        <f t="shared" si="16"/>
        <v>0.27</v>
      </c>
      <c r="Q239" s="110" t="e">
        <f>O239-#REF!</f>
        <v>#REF!</v>
      </c>
      <c r="S239" s="112">
        <v>10</v>
      </c>
      <c r="T239" s="112">
        <v>-4.8</v>
      </c>
      <c r="U239" s="112">
        <v>2.4</v>
      </c>
      <c r="W239" s="311"/>
      <c r="X239" s="311"/>
      <c r="Y239" s="311"/>
      <c r="Z239" s="311"/>
      <c r="AA239" s="311"/>
      <c r="AB239" s="311"/>
      <c r="AC239" s="311"/>
      <c r="AT239" s="88" t="str">
        <f t="shared" si="17"/>
        <v>KP0006322016Q118</v>
      </c>
      <c r="AU239" s="89" t="str">
        <f t="shared" si="18"/>
        <v>03-2016</v>
      </c>
      <c r="BA239" s="92" t="str">
        <f t="shared" si="19"/>
        <v>121-365 Days</v>
      </c>
    </row>
    <row r="240" spans="1:56">
      <c r="B240" s="60" t="str">
        <f>[2]Trucks!A237</f>
        <v>72W-8591</v>
      </c>
      <c r="C240" s="11" t="str">
        <f>[2]Trucks!B237</f>
        <v>TGS-19-3604X2BLS-L</v>
      </c>
      <c r="D240" s="19" t="str">
        <f>IFERROR(VLOOKUP(C240&amp;"",'[2]Retail Price List'!$A$3:$B$103,2,FALSE),"Special Order")</f>
        <v>KP000632</v>
      </c>
      <c r="E240" s="18" t="str">
        <f>[2]Trucks!J237</f>
        <v>UNSOLD</v>
      </c>
      <c r="F240" s="12">
        <f>[2]Trucks!E237</f>
        <v>316</v>
      </c>
      <c r="G240" s="56">
        <f>[2]Trucks!K237</f>
        <v>18</v>
      </c>
      <c r="H240" s="46">
        <f>[2]Trucks!I237</f>
        <v>42446</v>
      </c>
      <c r="I240" s="83" t="str">
        <f t="shared" si="15"/>
        <v>2016Q1</v>
      </c>
      <c r="J240" s="272">
        <f>IFERROR(VLOOKUP((D240&amp;C240)&amp;"",'[2]Retail Price List'!$C$4:$F$102,3,FALSE),"")</f>
        <v>1295000</v>
      </c>
      <c r="K240" s="272">
        <f>IFERROR(IF(BA240="WIP - 30 Days",VLOOKUP(D240,[3]Standard!$B$9:$E$101,4,FALSE),IF(BA240="31-120 Days",VLOOKUP(D240,[3]Standard!$B$9:$F$101,5,FALSE),IF(BA240="121-365 Days",VLOOKUP(D240,[3]Standard!$B$9:$G$101,6,FALSE),VLOOKUP(D240,[3]Standard!$B$9:$H$101,7,FALSE)))),0)</f>
        <v>947033.5</v>
      </c>
      <c r="L240" s="272">
        <f>IFERROR(IF(BA240="WIP - 30 Days",VLOOKUP(D240,[3]Standard!$B$9:$J$101,9,FALSE),IF(BA240="31-120 Days",VLOOKUP(D240,[3]Standard!$B$9:$K$100,10,FALSE),IF(BA240="121-365 Days",VLOOKUP(D240,[3]Standard!$B$9:$L$101,11,FALSE),VLOOKUP(D240,[3]Standard!$B$9:$M$101,12,FALSE)))),0)</f>
        <v>919450</v>
      </c>
      <c r="M240" s="269">
        <f>IFERROR(VLOOKUP((D240&amp;C240)&amp;"",'[2]Retail Price List'!$C$4:$F$102,4,FALSE),"")</f>
        <v>1320000</v>
      </c>
      <c r="N240" s="269">
        <f>IFERROR(IF(BA240="WIP - 30 Days",VLOOKUP(D240,[3]Extended!$B$9:$E$101,4,FALSE),IF(BA240="31-120 Days",VLOOKUP(D240,[3]Extended!$B$9:$F$101,5,FALSE),IF(BA240="121-365 Days",VLOOKUP(D240,[3]Extended!$B$9:$G$101,6,FALSE),VLOOKUP(D240,[3]Extended!$B$9:$H$101,7,FALSE)))),0)</f>
        <v>992508</v>
      </c>
      <c r="O240" s="269">
        <f>IFERROR(IF(BA240="WIP - 30 Days",VLOOKUP(D240,[3]Extended!$B$9:$J$101,9,FALSE),IF(BA240="31-120 Days",VLOOKUP(D240,[3]Extended!$B$9:$K$101,10,FALSE),IF(BA240="121-365 Days",VLOOKUP(D240,[3]Extended!$B$9:$L$101,11,FALSE),VLOOKUP(D240,[3]Extended!$B$9:$M$101,12,FALSE)))),0)</f>
        <v>963600</v>
      </c>
      <c r="P240" s="116">
        <f t="shared" si="16"/>
        <v>0.27</v>
      </c>
      <c r="Q240" s="110" t="e">
        <f>O240-#REF!</f>
        <v>#REF!</v>
      </c>
      <c r="S240" s="112">
        <v>6.3</v>
      </c>
      <c r="T240" s="112">
        <v>6.3</v>
      </c>
      <c r="U240" s="112">
        <v>6.3</v>
      </c>
      <c r="W240" s="311"/>
      <c r="X240" s="311"/>
      <c r="Y240" s="311"/>
      <c r="Z240" s="311"/>
      <c r="AA240" s="311"/>
      <c r="AB240" s="311"/>
      <c r="AC240" s="311"/>
      <c r="AT240" s="88" t="str">
        <f t="shared" si="17"/>
        <v>KP0006322016Q118</v>
      </c>
      <c r="AU240" s="89" t="str">
        <f t="shared" si="18"/>
        <v>03-2016</v>
      </c>
      <c r="BA240" s="92" t="str">
        <f t="shared" si="19"/>
        <v>121-365 Days</v>
      </c>
    </row>
    <row r="241" spans="1:56">
      <c r="B241" s="60" t="str">
        <f>[2]Trucks!A238</f>
        <v>72W-8592</v>
      </c>
      <c r="C241" s="11" t="str">
        <f>[2]Trucks!B238</f>
        <v>TGS-19-3604X2BLS-L</v>
      </c>
      <c r="D241" s="19" t="str">
        <f>IFERROR(VLOOKUP(C241&amp;"",'[2]Retail Price List'!$A$3:$B$103,2,FALSE),"Special Order")</f>
        <v>KP000632</v>
      </c>
      <c r="E241" s="18" t="str">
        <f>[2]Trucks!J238</f>
        <v>UNSOLD</v>
      </c>
      <c r="F241" s="12">
        <f>[2]Trucks!E238</f>
        <v>316</v>
      </c>
      <c r="G241" s="56">
        <f>[2]Trucks!K238</f>
        <v>18</v>
      </c>
      <c r="H241" s="46">
        <f>[2]Trucks!I238</f>
        <v>42446</v>
      </c>
      <c r="I241" s="83" t="str">
        <f t="shared" si="15"/>
        <v>2016Q1</v>
      </c>
      <c r="J241" s="272">
        <f>IFERROR(VLOOKUP((D241&amp;C241)&amp;"",'[2]Retail Price List'!$C$4:$F$102,3,FALSE),"")</f>
        <v>1295000</v>
      </c>
      <c r="K241" s="272">
        <f>IFERROR(IF(BA241="WIP - 30 Days",VLOOKUP(D241,[3]Standard!$B$9:$E$101,4,FALSE),IF(BA241="31-120 Days",VLOOKUP(D241,[3]Standard!$B$9:$F$101,5,FALSE),IF(BA241="121-365 Days",VLOOKUP(D241,[3]Standard!$B$9:$G$101,6,FALSE),VLOOKUP(D241,[3]Standard!$B$9:$H$101,7,FALSE)))),0)</f>
        <v>947033.5</v>
      </c>
      <c r="L241" s="272">
        <f>IFERROR(IF(BA241="WIP - 30 Days",VLOOKUP(D241,[3]Standard!$B$9:$J$101,9,FALSE),IF(BA241="31-120 Days",VLOOKUP(D241,[3]Standard!$B$9:$K$100,10,FALSE),IF(BA241="121-365 Days",VLOOKUP(D241,[3]Standard!$B$9:$L$101,11,FALSE),VLOOKUP(D241,[3]Standard!$B$9:$M$101,12,FALSE)))),0)</f>
        <v>919450</v>
      </c>
      <c r="M241" s="269">
        <f>IFERROR(VLOOKUP((D241&amp;C241)&amp;"",'[2]Retail Price List'!$C$4:$F$102,4,FALSE),"")</f>
        <v>1320000</v>
      </c>
      <c r="N241" s="269">
        <f>IFERROR(IF(BA241="WIP - 30 Days",VLOOKUP(D241,[3]Extended!$B$9:$E$101,4,FALSE),IF(BA241="31-120 Days",VLOOKUP(D241,[3]Extended!$B$9:$F$101,5,FALSE),IF(BA241="121-365 Days",VLOOKUP(D241,[3]Extended!$B$9:$G$101,6,FALSE),VLOOKUP(D241,[3]Extended!$B$9:$H$101,7,FALSE)))),0)</f>
        <v>992508</v>
      </c>
      <c r="O241" s="269">
        <f>IFERROR(IF(BA241="WIP - 30 Days",VLOOKUP(D241,[3]Extended!$B$9:$J$101,9,FALSE),IF(BA241="31-120 Days",VLOOKUP(D241,[3]Extended!$B$9:$K$101,10,FALSE),IF(BA241="121-365 Days",VLOOKUP(D241,[3]Extended!$B$9:$L$101,11,FALSE),VLOOKUP(D241,[3]Extended!$B$9:$M$101,12,FALSE)))),0)</f>
        <v>963600</v>
      </c>
      <c r="P241" s="116">
        <f t="shared" si="16"/>
        <v>0.27</v>
      </c>
      <c r="Q241" s="110" t="e">
        <f>O241-#REF!</f>
        <v>#REF!</v>
      </c>
      <c r="S241" s="112">
        <f>COUNT(#REF!)</f>
        <v>0</v>
      </c>
      <c r="W241" s="311"/>
      <c r="X241" s="311"/>
      <c r="Y241" s="311"/>
      <c r="Z241" s="311"/>
      <c r="AA241" s="311"/>
      <c r="AB241" s="311"/>
      <c r="AC241" s="311"/>
      <c r="AT241" s="88" t="str">
        <f t="shared" si="17"/>
        <v>KP0006322016Q118</v>
      </c>
      <c r="AU241" s="89" t="str">
        <f t="shared" si="18"/>
        <v>03-2016</v>
      </c>
      <c r="BA241" s="92" t="str">
        <f t="shared" si="19"/>
        <v>121-365 Days</v>
      </c>
    </row>
    <row r="242" spans="1:56">
      <c r="B242" s="60" t="str">
        <f>[2]Trucks!A239</f>
        <v>72W-8938</v>
      </c>
      <c r="C242" s="11" t="str">
        <f>[2]Trucks!B239</f>
        <v>TGS-19-3604X2BLS-L</v>
      </c>
      <c r="D242" s="19" t="str">
        <f>IFERROR(VLOOKUP(C242&amp;"",'[2]Retail Price List'!$A$3:$B$103,2,FALSE),"Special Order")</f>
        <v>KP000632</v>
      </c>
      <c r="E242" s="18" t="str">
        <f>[2]Trucks!J239</f>
        <v>UNSOLD</v>
      </c>
      <c r="F242" s="12">
        <f>[2]Trucks!E239</f>
        <v>270</v>
      </c>
      <c r="G242" s="56">
        <f>[2]Trucks!K239</f>
        <v>17.3</v>
      </c>
      <c r="H242" s="46">
        <f>[2]Trucks!I239</f>
        <v>42545</v>
      </c>
      <c r="I242" s="83" t="str">
        <f t="shared" si="15"/>
        <v>2016Q2</v>
      </c>
      <c r="J242" s="272">
        <f>IFERROR(VLOOKUP((D242&amp;C242)&amp;"",'[2]Retail Price List'!$C$4:$F$102,3,FALSE),"")</f>
        <v>1295000</v>
      </c>
      <c r="K242" s="272">
        <f>IFERROR(IF(BA242="WIP - 30 Days",VLOOKUP(D242,[3]Standard!$B$9:$E$101,4,FALSE),IF(BA242="31-120 Days",VLOOKUP(D242,[3]Standard!$B$9:$F$101,5,FALSE),IF(BA242="121-365 Days",VLOOKUP(D242,[3]Standard!$B$9:$G$101,6,FALSE),VLOOKUP(D242,[3]Standard!$B$9:$H$101,7,FALSE)))),0)</f>
        <v>947033.5</v>
      </c>
      <c r="L242" s="272">
        <f>IFERROR(IF(BA242="WIP - 30 Days",VLOOKUP(D242,[3]Standard!$B$9:$J$101,9,FALSE),IF(BA242="31-120 Days",VLOOKUP(D242,[3]Standard!$B$9:$K$100,10,FALSE),IF(BA242="121-365 Days",VLOOKUP(D242,[3]Standard!$B$9:$L$101,11,FALSE),VLOOKUP(D242,[3]Standard!$B$9:$M$101,12,FALSE)))),0)</f>
        <v>919450</v>
      </c>
      <c r="M242" s="269">
        <f>IFERROR(VLOOKUP((D242&amp;C242)&amp;"",'[2]Retail Price List'!$C$4:$F$102,4,FALSE),"")</f>
        <v>1320000</v>
      </c>
      <c r="N242" s="269">
        <f>IFERROR(IF(BA242="WIP - 30 Days",VLOOKUP(D242,[3]Extended!$B$9:$E$101,4,FALSE),IF(BA242="31-120 Days",VLOOKUP(D242,[3]Extended!$B$9:$F$101,5,FALSE),IF(BA242="121-365 Days",VLOOKUP(D242,[3]Extended!$B$9:$G$101,6,FALSE),VLOOKUP(D242,[3]Extended!$B$9:$H$101,7,FALSE)))),0)</f>
        <v>992508</v>
      </c>
      <c r="O242" s="269">
        <f>IFERROR(IF(BA242="WIP - 30 Days",VLOOKUP(D242,[3]Extended!$B$9:$J$101,9,FALSE),IF(BA242="31-120 Days",VLOOKUP(D242,[3]Extended!$B$9:$K$101,10,FALSE),IF(BA242="121-365 Days",VLOOKUP(D242,[3]Extended!$B$9:$L$101,11,FALSE),VLOOKUP(D242,[3]Extended!$B$9:$M$101,12,FALSE)))),0)</f>
        <v>963600</v>
      </c>
      <c r="P242" s="116">
        <f t="shared" si="16"/>
        <v>0.27</v>
      </c>
      <c r="Q242" s="110" t="e">
        <f>O242-#REF!</f>
        <v>#REF!</v>
      </c>
      <c r="S242" s="110" t="e">
        <f>+AVERAGE(#REF!)</f>
        <v>#REF!</v>
      </c>
      <c r="W242" s="311"/>
      <c r="X242" s="311"/>
      <c r="Y242" s="311"/>
      <c r="Z242" s="311"/>
      <c r="AA242" s="311"/>
      <c r="AB242" s="311"/>
      <c r="AC242" s="311"/>
      <c r="AT242" s="88" t="str">
        <f t="shared" si="17"/>
        <v>KP0006322016Q217,3</v>
      </c>
      <c r="AU242" s="89" t="str">
        <f t="shared" si="18"/>
        <v>06-2016</v>
      </c>
      <c r="BA242" s="92" t="str">
        <f t="shared" si="19"/>
        <v>121-365 Days</v>
      </c>
    </row>
    <row r="243" spans="1:56">
      <c r="B243" s="60" t="str">
        <f>[2]Trucks!A240</f>
        <v>72W-8939</v>
      </c>
      <c r="C243" s="11" t="str">
        <f>[2]Trucks!B240</f>
        <v>TGS-19-3604X2BLS-L</v>
      </c>
      <c r="D243" s="19" t="str">
        <f>IFERROR(VLOOKUP(C243&amp;"",'[2]Retail Price List'!$A$3:$B$103,2,FALSE),"Special Order")</f>
        <v>KP000632</v>
      </c>
      <c r="E243" s="18" t="str">
        <f>[2]Trucks!J240</f>
        <v>UNSOLD</v>
      </c>
      <c r="F243" s="12">
        <f>[2]Trucks!E240</f>
        <v>269</v>
      </c>
      <c r="G243" s="56">
        <f>[2]Trucks!K240</f>
        <v>17.3</v>
      </c>
      <c r="H243" s="46">
        <f>[2]Trucks!I240</f>
        <v>42545</v>
      </c>
      <c r="I243" s="83" t="str">
        <f t="shared" si="15"/>
        <v>2016Q2</v>
      </c>
      <c r="J243" s="272">
        <f>IFERROR(VLOOKUP((D243&amp;C243)&amp;"",'[2]Retail Price List'!$C$4:$F$102,3,FALSE),"")</f>
        <v>1295000</v>
      </c>
      <c r="K243" s="272">
        <f>IFERROR(IF(BA243="WIP - 30 Days",VLOOKUP(D243,[3]Standard!$B$9:$E$101,4,FALSE),IF(BA243="31-120 Days",VLOOKUP(D243,[3]Standard!$B$9:$F$101,5,FALSE),IF(BA243="121-365 Days",VLOOKUP(D243,[3]Standard!$B$9:$G$101,6,FALSE),VLOOKUP(D243,[3]Standard!$B$9:$H$101,7,FALSE)))),0)</f>
        <v>947033.5</v>
      </c>
      <c r="L243" s="272">
        <f>IFERROR(IF(BA243="WIP - 30 Days",VLOOKUP(D243,[3]Standard!$B$9:$J$101,9,FALSE),IF(BA243="31-120 Days",VLOOKUP(D243,[3]Standard!$B$9:$K$100,10,FALSE),IF(BA243="121-365 Days",VLOOKUP(D243,[3]Standard!$B$9:$L$101,11,FALSE),VLOOKUP(D243,[3]Standard!$B$9:$M$101,12,FALSE)))),0)</f>
        <v>919450</v>
      </c>
      <c r="M243" s="269">
        <f>IFERROR(VLOOKUP((D243&amp;C243)&amp;"",'[2]Retail Price List'!$C$4:$F$102,4,FALSE),"")</f>
        <v>1320000</v>
      </c>
      <c r="N243" s="269">
        <f>IFERROR(IF(BA243="WIP - 30 Days",VLOOKUP(D243,[3]Extended!$B$9:$E$101,4,FALSE),IF(BA243="31-120 Days",VLOOKUP(D243,[3]Extended!$B$9:$F$101,5,FALSE),IF(BA243="121-365 Days",VLOOKUP(D243,[3]Extended!$B$9:$G$101,6,FALSE),VLOOKUP(D243,[3]Extended!$B$9:$H$101,7,FALSE)))),0)</f>
        <v>992508</v>
      </c>
      <c r="O243" s="269">
        <f>IFERROR(IF(BA243="WIP - 30 Days",VLOOKUP(D243,[3]Extended!$B$9:$J$101,9,FALSE),IF(BA243="31-120 Days",VLOOKUP(D243,[3]Extended!$B$9:$K$101,10,FALSE),IF(BA243="121-365 Days",VLOOKUP(D243,[3]Extended!$B$9:$L$101,11,FALSE),VLOOKUP(D243,[3]Extended!$B$9:$M$101,12,FALSE)))),0)</f>
        <v>963600</v>
      </c>
      <c r="P243" s="116">
        <f t="shared" si="16"/>
        <v>0.27</v>
      </c>
      <c r="Q243" s="110" t="e">
        <f>O243-#REF!</f>
        <v>#REF!</v>
      </c>
      <c r="W243" s="311"/>
      <c r="X243" s="311"/>
      <c r="Y243" s="311"/>
      <c r="Z243" s="311"/>
      <c r="AA243" s="311"/>
      <c r="AB243" s="311"/>
      <c r="AC243" s="311"/>
      <c r="AT243" s="88" t="str">
        <f t="shared" si="17"/>
        <v>KP0006322016Q217,3</v>
      </c>
      <c r="AU243" s="89" t="str">
        <f t="shared" si="18"/>
        <v>06-2016</v>
      </c>
      <c r="BA243" s="92" t="str">
        <f t="shared" si="19"/>
        <v>121-365 Days</v>
      </c>
    </row>
    <row r="244" spans="1:56">
      <c r="B244" s="60" t="str">
        <f>[2]Trucks!A241</f>
        <v>72W-8940</v>
      </c>
      <c r="C244" s="11" t="str">
        <f>[2]Trucks!B241</f>
        <v>TGS-19-3604X2BLS-L</v>
      </c>
      <c r="D244" s="19" t="str">
        <f>IFERROR(VLOOKUP(C244&amp;"",'[2]Retail Price List'!$A$3:$B$103,2,FALSE),"Special Order")</f>
        <v>KP000632</v>
      </c>
      <c r="E244" s="18" t="str">
        <f>[2]Trucks!J241</f>
        <v>UNSOLD</v>
      </c>
      <c r="F244" s="12">
        <f>[2]Trucks!E241</f>
        <v>260</v>
      </c>
      <c r="G244" s="56">
        <f>[2]Trucks!K241</f>
        <v>17.3</v>
      </c>
      <c r="H244" s="46">
        <f>[2]Trucks!I241</f>
        <v>42545</v>
      </c>
      <c r="I244" s="83" t="str">
        <f t="shared" si="15"/>
        <v>2016Q2</v>
      </c>
      <c r="J244" s="272">
        <f>IFERROR(VLOOKUP((D244&amp;C244)&amp;"",'[2]Retail Price List'!$C$4:$F$102,3,FALSE),"")</f>
        <v>1295000</v>
      </c>
      <c r="K244" s="272">
        <f>IFERROR(IF(BA244="WIP - 30 Days",VLOOKUP(D244,[3]Standard!$B$9:$E$101,4,FALSE),IF(BA244="31-120 Days",VLOOKUP(D244,[3]Standard!$B$9:$F$101,5,FALSE),IF(BA244="121-365 Days",VLOOKUP(D244,[3]Standard!$B$9:$G$101,6,FALSE),VLOOKUP(D244,[3]Standard!$B$9:$H$101,7,FALSE)))),0)</f>
        <v>947033.5</v>
      </c>
      <c r="L244" s="272">
        <f>IFERROR(IF(BA244="WIP - 30 Days",VLOOKUP(D244,[3]Standard!$B$9:$J$101,9,FALSE),IF(BA244="31-120 Days",VLOOKUP(D244,[3]Standard!$B$9:$K$100,10,FALSE),IF(BA244="121-365 Days",VLOOKUP(D244,[3]Standard!$B$9:$L$101,11,FALSE),VLOOKUP(D244,[3]Standard!$B$9:$M$101,12,FALSE)))),0)</f>
        <v>919450</v>
      </c>
      <c r="M244" s="269">
        <f>IFERROR(VLOOKUP((D244&amp;C244)&amp;"",'[2]Retail Price List'!$C$4:$F$102,4,FALSE),"")</f>
        <v>1320000</v>
      </c>
      <c r="N244" s="269">
        <f>IFERROR(IF(BA244="WIP - 30 Days",VLOOKUP(D244,[3]Extended!$B$9:$E$101,4,FALSE),IF(BA244="31-120 Days",VLOOKUP(D244,[3]Extended!$B$9:$F$101,5,FALSE),IF(BA244="121-365 Days",VLOOKUP(D244,[3]Extended!$B$9:$G$101,6,FALSE),VLOOKUP(D244,[3]Extended!$B$9:$H$101,7,FALSE)))),0)</f>
        <v>992508</v>
      </c>
      <c r="O244" s="269">
        <f>IFERROR(IF(BA244="WIP - 30 Days",VLOOKUP(D244,[3]Extended!$B$9:$J$101,9,FALSE),IF(BA244="31-120 Days",VLOOKUP(D244,[3]Extended!$B$9:$K$101,10,FALSE),IF(BA244="121-365 Days",VLOOKUP(D244,[3]Extended!$B$9:$L$101,11,FALSE),VLOOKUP(D244,[3]Extended!$B$9:$M$101,12,FALSE)))),0)</f>
        <v>963600</v>
      </c>
      <c r="P244" s="116">
        <f t="shared" si="16"/>
        <v>0.27</v>
      </c>
      <c r="Q244" s="110" t="e">
        <f>O244-#REF!</f>
        <v>#REF!</v>
      </c>
      <c r="W244" s="311"/>
      <c r="X244" s="311"/>
      <c r="Y244" s="311"/>
      <c r="Z244" s="311"/>
      <c r="AA244" s="311"/>
      <c r="AB244" s="311"/>
      <c r="AC244" s="311"/>
      <c r="AT244" s="88" t="str">
        <f t="shared" si="17"/>
        <v>KP0006322016Q217,3</v>
      </c>
      <c r="AU244" s="89" t="str">
        <f t="shared" si="18"/>
        <v>06-2016</v>
      </c>
      <c r="BA244" s="92" t="str">
        <f t="shared" si="19"/>
        <v>121-365 Days</v>
      </c>
    </row>
    <row r="245" spans="1:56">
      <c r="B245" s="60" t="str">
        <f>[2]Trucks!A242</f>
        <v>72W-8941</v>
      </c>
      <c r="C245" s="11" t="str">
        <f>[2]Trucks!B242</f>
        <v>TGS-19-3604X2BLS-L</v>
      </c>
      <c r="D245" s="19" t="str">
        <f>IFERROR(VLOOKUP(C245&amp;"",'[2]Retail Price List'!$A$3:$B$103,2,FALSE),"Special Order")</f>
        <v>KP000632</v>
      </c>
      <c r="E245" s="18" t="str">
        <f>[2]Trucks!J242</f>
        <v>UNSOLD</v>
      </c>
      <c r="F245" s="12">
        <f>[2]Trucks!E242</f>
        <v>260</v>
      </c>
      <c r="G245" s="56">
        <f>[2]Trucks!K242</f>
        <v>17.3</v>
      </c>
      <c r="H245" s="46">
        <f>[2]Trucks!I242</f>
        <v>42545</v>
      </c>
      <c r="I245" s="83" t="str">
        <f t="shared" si="15"/>
        <v>2016Q2</v>
      </c>
      <c r="J245" s="272">
        <f>IFERROR(VLOOKUP((D245&amp;C245)&amp;"",'[2]Retail Price List'!$C$4:$F$102,3,FALSE),"")</f>
        <v>1295000</v>
      </c>
      <c r="K245" s="272">
        <f>IFERROR(IF(BA245="WIP - 30 Days",VLOOKUP(D245,[3]Standard!$B$9:$E$101,4,FALSE),IF(BA245="31-120 Days",VLOOKUP(D245,[3]Standard!$B$9:$F$101,5,FALSE),IF(BA245="121-365 Days",VLOOKUP(D245,[3]Standard!$B$9:$G$101,6,FALSE),VLOOKUP(D245,[3]Standard!$B$9:$H$101,7,FALSE)))),0)</f>
        <v>947033.5</v>
      </c>
      <c r="L245" s="272">
        <f>IFERROR(IF(BA245="WIP - 30 Days",VLOOKUP(D245,[3]Standard!$B$9:$J$101,9,FALSE),IF(BA245="31-120 Days",VLOOKUP(D245,[3]Standard!$B$9:$K$100,10,FALSE),IF(BA245="121-365 Days",VLOOKUP(D245,[3]Standard!$B$9:$L$101,11,FALSE),VLOOKUP(D245,[3]Standard!$B$9:$M$101,12,FALSE)))),0)</f>
        <v>919450</v>
      </c>
      <c r="M245" s="269">
        <f>IFERROR(VLOOKUP((D245&amp;C245)&amp;"",'[2]Retail Price List'!$C$4:$F$102,4,FALSE),"")</f>
        <v>1320000</v>
      </c>
      <c r="N245" s="269">
        <f>IFERROR(IF(BA245="WIP - 30 Days",VLOOKUP(D245,[3]Extended!$B$9:$E$101,4,FALSE),IF(BA245="31-120 Days",VLOOKUP(D245,[3]Extended!$B$9:$F$101,5,FALSE),IF(BA245="121-365 Days",VLOOKUP(D245,[3]Extended!$B$9:$G$101,6,FALSE),VLOOKUP(D245,[3]Extended!$B$9:$H$101,7,FALSE)))),0)</f>
        <v>992508</v>
      </c>
      <c r="O245" s="269">
        <f>IFERROR(IF(BA245="WIP - 30 Days",VLOOKUP(D245,[3]Extended!$B$9:$J$101,9,FALSE),IF(BA245="31-120 Days",VLOOKUP(D245,[3]Extended!$B$9:$K$101,10,FALSE),IF(BA245="121-365 Days",VLOOKUP(D245,[3]Extended!$B$9:$L$101,11,FALSE),VLOOKUP(D245,[3]Extended!$B$9:$M$101,12,FALSE)))),0)</f>
        <v>963600</v>
      </c>
      <c r="P245" s="116">
        <f t="shared" si="16"/>
        <v>0.27</v>
      </c>
      <c r="Q245" s="110" t="e">
        <f>O245-#REF!</f>
        <v>#REF!</v>
      </c>
      <c r="W245" s="311"/>
      <c r="X245" s="311"/>
      <c r="Y245" s="311"/>
      <c r="Z245" s="311"/>
      <c r="AA245" s="311"/>
      <c r="AB245" s="311"/>
      <c r="AC245" s="311"/>
      <c r="AT245" s="88" t="str">
        <f t="shared" si="17"/>
        <v>KP0006322016Q217,3</v>
      </c>
      <c r="AU245" s="89" t="str">
        <f t="shared" si="18"/>
        <v>06-2016</v>
      </c>
      <c r="BA245" s="92" t="str">
        <f t="shared" si="19"/>
        <v>121-365 Days</v>
      </c>
    </row>
    <row r="246" spans="1:56">
      <c r="B246" s="60" t="str">
        <f>[2]Trucks!A243</f>
        <v>72W-8942</v>
      </c>
      <c r="C246" s="11" t="str">
        <f>[2]Trucks!B243</f>
        <v>TGS-19-3604X2BLS-L</v>
      </c>
      <c r="D246" s="19" t="str">
        <f>IFERROR(VLOOKUP(C246&amp;"",'[2]Retail Price List'!$A$3:$B$103,2,FALSE),"Special Order")</f>
        <v>KP000632</v>
      </c>
      <c r="E246" s="18" t="str">
        <f>[2]Trucks!J243</f>
        <v>UNSOLD</v>
      </c>
      <c r="F246" s="12">
        <f>[2]Trucks!E243</f>
        <v>269</v>
      </c>
      <c r="G246" s="56">
        <f>[2]Trucks!K243</f>
        <v>17.3</v>
      </c>
      <c r="H246" s="46">
        <f>[2]Trucks!I243</f>
        <v>42545</v>
      </c>
      <c r="I246" s="83" t="str">
        <f t="shared" si="15"/>
        <v>2016Q2</v>
      </c>
      <c r="J246" s="272">
        <f>IFERROR(VLOOKUP((D246&amp;C246)&amp;"",'[2]Retail Price List'!$C$4:$F$102,3,FALSE),"")</f>
        <v>1295000</v>
      </c>
      <c r="K246" s="272">
        <f>IFERROR(IF(BA246="WIP - 30 Days",VLOOKUP(D246,[3]Standard!$B$9:$E$101,4,FALSE),IF(BA246="31-120 Days",VLOOKUP(D246,[3]Standard!$B$9:$F$101,5,FALSE),IF(BA246="121-365 Days",VLOOKUP(D246,[3]Standard!$B$9:$G$101,6,FALSE),VLOOKUP(D246,[3]Standard!$B$9:$H$101,7,FALSE)))),0)</f>
        <v>947033.5</v>
      </c>
      <c r="L246" s="272">
        <f>IFERROR(IF(BA246="WIP - 30 Days",VLOOKUP(D246,[3]Standard!$B$9:$J$101,9,FALSE),IF(BA246="31-120 Days",VLOOKUP(D246,[3]Standard!$B$9:$K$100,10,FALSE),IF(BA246="121-365 Days",VLOOKUP(D246,[3]Standard!$B$9:$L$101,11,FALSE),VLOOKUP(D246,[3]Standard!$B$9:$M$101,12,FALSE)))),0)</f>
        <v>919450</v>
      </c>
      <c r="M246" s="269">
        <f>IFERROR(VLOOKUP((D246&amp;C246)&amp;"",'[2]Retail Price List'!$C$4:$F$102,4,FALSE),"")</f>
        <v>1320000</v>
      </c>
      <c r="N246" s="269">
        <f>IFERROR(IF(BA246="WIP - 30 Days",VLOOKUP(D246,[3]Extended!$B$9:$E$101,4,FALSE),IF(BA246="31-120 Days",VLOOKUP(D246,[3]Extended!$B$9:$F$101,5,FALSE),IF(BA246="121-365 Days",VLOOKUP(D246,[3]Extended!$B$9:$G$101,6,FALSE),VLOOKUP(D246,[3]Extended!$B$9:$H$101,7,FALSE)))),0)</f>
        <v>992508</v>
      </c>
      <c r="O246" s="269">
        <f>IFERROR(IF(BA246="WIP - 30 Days",VLOOKUP(D246,[3]Extended!$B$9:$J$101,9,FALSE),IF(BA246="31-120 Days",VLOOKUP(D246,[3]Extended!$B$9:$K$101,10,FALSE),IF(BA246="121-365 Days",VLOOKUP(D246,[3]Extended!$B$9:$L$101,11,FALSE),VLOOKUP(D246,[3]Extended!$B$9:$M$101,12,FALSE)))),0)</f>
        <v>963600</v>
      </c>
      <c r="P246" s="116">
        <f t="shared" si="16"/>
        <v>0.27</v>
      </c>
      <c r="Q246" s="110" t="e">
        <f>O246-#REF!</f>
        <v>#REF!</v>
      </c>
      <c r="W246" s="311"/>
      <c r="X246" s="311"/>
      <c r="Y246" s="311"/>
      <c r="Z246" s="311"/>
      <c r="AA246" s="311"/>
      <c r="AB246" s="311"/>
      <c r="AC246" s="311"/>
      <c r="AT246" s="88" t="str">
        <f t="shared" si="17"/>
        <v>KP0006322016Q217,3</v>
      </c>
      <c r="AU246" s="89" t="str">
        <f t="shared" si="18"/>
        <v>06-2016</v>
      </c>
      <c r="BA246" s="92" t="str">
        <f t="shared" si="19"/>
        <v>121-365 Days</v>
      </c>
    </row>
    <row r="247" spans="1:56">
      <c r="B247" s="60" t="str">
        <f>[2]Trucks!A244</f>
        <v>72W-8943</v>
      </c>
      <c r="C247" s="11" t="str">
        <f>[2]Trucks!B244</f>
        <v>TGS-19-3604X2BLS-L</v>
      </c>
      <c r="D247" s="19" t="str">
        <f>IFERROR(VLOOKUP(C247&amp;"",'[2]Retail Price List'!$A$3:$B$103,2,FALSE),"Special Order")</f>
        <v>KP000632</v>
      </c>
      <c r="E247" s="18" t="str">
        <f>[2]Trucks!J244</f>
        <v>UNSOLD</v>
      </c>
      <c r="F247" s="12">
        <f>[2]Trucks!E244</f>
        <v>269</v>
      </c>
      <c r="G247" s="56">
        <f>[2]Trucks!K244</f>
        <v>17.3</v>
      </c>
      <c r="H247" s="46">
        <f>[2]Trucks!I244</f>
        <v>42545</v>
      </c>
      <c r="I247" s="83" t="str">
        <f t="shared" si="15"/>
        <v>2016Q2</v>
      </c>
      <c r="J247" s="272">
        <f>IFERROR(VLOOKUP((D247&amp;C247)&amp;"",'[2]Retail Price List'!$C$4:$F$102,3,FALSE),"")</f>
        <v>1295000</v>
      </c>
      <c r="K247" s="272">
        <f>IFERROR(IF(BA247="WIP - 30 Days",VLOOKUP(D247,[3]Standard!$B$9:$E$101,4,FALSE),IF(BA247="31-120 Days",VLOOKUP(D247,[3]Standard!$B$9:$F$101,5,FALSE),IF(BA247="121-365 Days",VLOOKUP(D247,[3]Standard!$B$9:$G$101,6,FALSE),VLOOKUP(D247,[3]Standard!$B$9:$H$101,7,FALSE)))),0)</f>
        <v>947033.5</v>
      </c>
      <c r="L247" s="272">
        <f>IFERROR(IF(BA247="WIP - 30 Days",VLOOKUP(D247,[3]Standard!$B$9:$J$101,9,FALSE),IF(BA247="31-120 Days",VLOOKUP(D247,[3]Standard!$B$9:$K$100,10,FALSE),IF(BA247="121-365 Days",VLOOKUP(D247,[3]Standard!$B$9:$L$101,11,FALSE),VLOOKUP(D247,[3]Standard!$B$9:$M$101,12,FALSE)))),0)</f>
        <v>919450</v>
      </c>
      <c r="M247" s="269">
        <f>IFERROR(VLOOKUP((D247&amp;C247)&amp;"",'[2]Retail Price List'!$C$4:$F$102,4,FALSE),"")</f>
        <v>1320000</v>
      </c>
      <c r="N247" s="269">
        <f>IFERROR(IF(BA247="WIP - 30 Days",VLOOKUP(D247,[3]Extended!$B$9:$E$101,4,FALSE),IF(BA247="31-120 Days",VLOOKUP(D247,[3]Extended!$B$9:$F$101,5,FALSE),IF(BA247="121-365 Days",VLOOKUP(D247,[3]Extended!$B$9:$G$101,6,FALSE),VLOOKUP(D247,[3]Extended!$B$9:$H$101,7,FALSE)))),0)</f>
        <v>992508</v>
      </c>
      <c r="O247" s="269">
        <f>IFERROR(IF(BA247="WIP - 30 Days",VLOOKUP(D247,[3]Extended!$B$9:$J$101,9,FALSE),IF(BA247="31-120 Days",VLOOKUP(D247,[3]Extended!$B$9:$K$101,10,FALSE),IF(BA247="121-365 Days",VLOOKUP(D247,[3]Extended!$B$9:$L$101,11,FALSE),VLOOKUP(D247,[3]Extended!$B$9:$M$101,12,FALSE)))),0)</f>
        <v>963600</v>
      </c>
      <c r="P247" s="116">
        <f t="shared" si="16"/>
        <v>0.27</v>
      </c>
      <c r="Q247" s="110" t="e">
        <f>O247-#REF!</f>
        <v>#REF!</v>
      </c>
      <c r="W247" s="311"/>
      <c r="X247" s="311"/>
      <c r="Y247" s="311"/>
      <c r="Z247" s="311"/>
      <c r="AA247" s="311"/>
      <c r="AB247" s="311"/>
      <c r="AC247" s="311"/>
      <c r="AT247" s="88" t="str">
        <f t="shared" si="17"/>
        <v>KP0006322016Q217,3</v>
      </c>
      <c r="AU247" s="89" t="str">
        <f t="shared" si="18"/>
        <v>06-2016</v>
      </c>
      <c r="BA247" s="92" t="str">
        <f t="shared" si="19"/>
        <v>121-365 Days</v>
      </c>
    </row>
    <row r="248" spans="1:56">
      <c r="B248" s="60" t="str">
        <f>[2]Trucks!A245</f>
        <v>72W-8944</v>
      </c>
      <c r="C248" s="11" t="str">
        <f>[2]Trucks!B245</f>
        <v>TGS-19-3604X2BLS-L</v>
      </c>
      <c r="D248" s="19" t="str">
        <f>IFERROR(VLOOKUP(C248&amp;"",'[2]Retail Price List'!$A$3:$B$103,2,FALSE),"Special Order")</f>
        <v>KP000632</v>
      </c>
      <c r="E248" s="18" t="str">
        <f>[2]Trucks!J245</f>
        <v>UNSOLD</v>
      </c>
      <c r="F248" s="12">
        <f>[2]Trucks!E245</f>
        <v>262</v>
      </c>
      <c r="G248" s="56">
        <f>[2]Trucks!K245</f>
        <v>17.3</v>
      </c>
      <c r="H248" s="46">
        <f>[2]Trucks!I245</f>
        <v>42545</v>
      </c>
      <c r="I248" s="83" t="str">
        <f t="shared" si="15"/>
        <v>2016Q2</v>
      </c>
      <c r="J248" s="272">
        <f>IFERROR(VLOOKUP((D248&amp;C248)&amp;"",'[2]Retail Price List'!$C$4:$F$102,3,FALSE),"")</f>
        <v>1295000</v>
      </c>
      <c r="K248" s="272">
        <f>IFERROR(IF(BA248="WIP - 30 Days",VLOOKUP(D248,[3]Standard!$B$9:$E$101,4,FALSE),IF(BA248="31-120 Days",VLOOKUP(D248,[3]Standard!$B$9:$F$101,5,FALSE),IF(BA248="121-365 Days",VLOOKUP(D248,[3]Standard!$B$9:$G$101,6,FALSE),VLOOKUP(D248,[3]Standard!$B$9:$H$101,7,FALSE)))),0)</f>
        <v>947033.5</v>
      </c>
      <c r="L248" s="272">
        <f>IFERROR(IF(BA248="WIP - 30 Days",VLOOKUP(D248,[3]Standard!$B$9:$J$101,9,FALSE),IF(BA248="31-120 Days",VLOOKUP(D248,[3]Standard!$B$9:$K$100,10,FALSE),IF(BA248="121-365 Days",VLOOKUP(D248,[3]Standard!$B$9:$L$101,11,FALSE),VLOOKUP(D248,[3]Standard!$B$9:$M$101,12,FALSE)))),0)</f>
        <v>919450</v>
      </c>
      <c r="M248" s="269">
        <f>IFERROR(VLOOKUP((D248&amp;C248)&amp;"",'[2]Retail Price List'!$C$4:$F$102,4,FALSE),"")</f>
        <v>1320000</v>
      </c>
      <c r="N248" s="269">
        <f>IFERROR(IF(BA248="WIP - 30 Days",VLOOKUP(D248,[3]Extended!$B$9:$E$101,4,FALSE),IF(BA248="31-120 Days",VLOOKUP(D248,[3]Extended!$B$9:$F$101,5,FALSE),IF(BA248="121-365 Days",VLOOKUP(D248,[3]Extended!$B$9:$G$101,6,FALSE),VLOOKUP(D248,[3]Extended!$B$9:$H$101,7,FALSE)))),0)</f>
        <v>992508</v>
      </c>
      <c r="O248" s="269">
        <f>IFERROR(IF(BA248="WIP - 30 Days",VLOOKUP(D248,[3]Extended!$B$9:$J$101,9,FALSE),IF(BA248="31-120 Days",VLOOKUP(D248,[3]Extended!$B$9:$K$101,10,FALSE),IF(BA248="121-365 Days",VLOOKUP(D248,[3]Extended!$B$9:$L$101,11,FALSE),VLOOKUP(D248,[3]Extended!$B$9:$M$101,12,FALSE)))),0)</f>
        <v>963600</v>
      </c>
      <c r="P248" s="116">
        <f t="shared" si="16"/>
        <v>0.27</v>
      </c>
      <c r="Q248" s="110" t="e">
        <f>O248-#REF!</f>
        <v>#REF!</v>
      </c>
      <c r="W248" s="311"/>
      <c r="X248" s="311"/>
      <c r="Y248" s="311"/>
      <c r="Z248" s="311"/>
      <c r="AA248" s="311"/>
      <c r="AB248" s="311"/>
      <c r="AC248" s="311"/>
      <c r="AT248" s="88" t="str">
        <f t="shared" si="17"/>
        <v>KP0006322016Q217,3</v>
      </c>
      <c r="AU248" s="89" t="str">
        <f t="shared" si="18"/>
        <v>06-2016</v>
      </c>
      <c r="BA248" s="92" t="str">
        <f t="shared" si="19"/>
        <v>121-365 Days</v>
      </c>
    </row>
    <row r="249" spans="1:56">
      <c r="B249" s="60" t="str">
        <f>[2]Trucks!A246</f>
        <v>72W-8945</v>
      </c>
      <c r="C249" s="11" t="str">
        <f>[2]Trucks!B246</f>
        <v>TGS-19-3604X2BLS-L</v>
      </c>
      <c r="D249" s="19" t="str">
        <f>IFERROR(VLOOKUP(C249&amp;"",'[2]Retail Price List'!$A$3:$B$103,2,FALSE),"Special Order")</f>
        <v>KP000632</v>
      </c>
      <c r="E249" s="18" t="str">
        <f>[2]Trucks!J246</f>
        <v>UNSOLD</v>
      </c>
      <c r="F249" s="12">
        <f>[2]Trucks!E246</f>
        <v>234</v>
      </c>
      <c r="G249" s="56">
        <f>[2]Trucks!K246</f>
        <v>17.3</v>
      </c>
      <c r="H249" s="46">
        <f>[2]Trucks!I246</f>
        <v>42545</v>
      </c>
      <c r="I249" s="83" t="str">
        <f t="shared" si="15"/>
        <v>2016Q2</v>
      </c>
      <c r="J249" s="272">
        <f>IFERROR(VLOOKUP((D249&amp;C249)&amp;"",'[2]Retail Price List'!$C$4:$F$102,3,FALSE),"")</f>
        <v>1295000</v>
      </c>
      <c r="K249" s="272">
        <f>IFERROR(IF(BA249="WIP - 30 Days",VLOOKUP(D249,[3]Standard!$B$9:$E$101,4,FALSE),IF(BA249="31-120 Days",VLOOKUP(D249,[3]Standard!$B$9:$F$101,5,FALSE),IF(BA249="121-365 Days",VLOOKUP(D249,[3]Standard!$B$9:$G$101,6,FALSE),VLOOKUP(D249,[3]Standard!$B$9:$H$101,7,FALSE)))),0)</f>
        <v>947033.5</v>
      </c>
      <c r="L249" s="272">
        <f>IFERROR(IF(BA249="WIP - 30 Days",VLOOKUP(D249,[3]Standard!$B$9:$J$101,9,FALSE),IF(BA249="31-120 Days",VLOOKUP(D249,[3]Standard!$B$9:$K$100,10,FALSE),IF(BA249="121-365 Days",VLOOKUP(D249,[3]Standard!$B$9:$L$101,11,FALSE),VLOOKUP(D249,[3]Standard!$B$9:$M$101,12,FALSE)))),0)</f>
        <v>919450</v>
      </c>
      <c r="M249" s="269">
        <f>IFERROR(VLOOKUP((D249&amp;C249)&amp;"",'[2]Retail Price List'!$C$4:$F$102,4,FALSE),"")</f>
        <v>1320000</v>
      </c>
      <c r="N249" s="269">
        <f>IFERROR(IF(BA249="WIP - 30 Days",VLOOKUP(D249,[3]Extended!$B$9:$E$101,4,FALSE),IF(BA249="31-120 Days",VLOOKUP(D249,[3]Extended!$B$9:$F$101,5,FALSE),IF(BA249="121-365 Days",VLOOKUP(D249,[3]Extended!$B$9:$G$101,6,FALSE),VLOOKUP(D249,[3]Extended!$B$9:$H$101,7,FALSE)))),0)</f>
        <v>992508</v>
      </c>
      <c r="O249" s="269">
        <f>IFERROR(IF(BA249="WIP - 30 Days",VLOOKUP(D249,[3]Extended!$B$9:$J$101,9,FALSE),IF(BA249="31-120 Days",VLOOKUP(D249,[3]Extended!$B$9:$K$101,10,FALSE),IF(BA249="121-365 Days",VLOOKUP(D249,[3]Extended!$B$9:$L$101,11,FALSE),VLOOKUP(D249,[3]Extended!$B$9:$M$101,12,FALSE)))),0)</f>
        <v>963600</v>
      </c>
      <c r="P249" s="116">
        <f t="shared" si="16"/>
        <v>0.27</v>
      </c>
      <c r="Q249" s="110" t="e">
        <f>O249-#REF!</f>
        <v>#REF!</v>
      </c>
      <c r="W249" s="311"/>
      <c r="X249" s="311"/>
      <c r="Y249" s="311"/>
      <c r="Z249" s="311"/>
      <c r="AA249" s="311"/>
      <c r="AB249" s="311"/>
      <c r="AC249" s="311"/>
      <c r="AT249" s="88" t="str">
        <f t="shared" si="17"/>
        <v>KP0006322016Q217,3</v>
      </c>
      <c r="AU249" s="89" t="str">
        <f t="shared" si="18"/>
        <v>06-2016</v>
      </c>
      <c r="BA249" s="92" t="str">
        <f t="shared" si="19"/>
        <v>121-365 Days</v>
      </c>
    </row>
    <row r="250" spans="1:56">
      <c r="B250" s="60" t="str">
        <f>[2]Trucks!A247</f>
        <v>72W-9174</v>
      </c>
      <c r="C250" s="11" t="str">
        <f>[2]Trucks!B247</f>
        <v>TGS-19-3604X2BLS-L</v>
      </c>
      <c r="D250" s="19" t="str">
        <f>IFERROR(VLOOKUP(C250&amp;"",'[2]Retail Price List'!$A$3:$B$103,2,FALSE),"Special Order")</f>
        <v>KP000632</v>
      </c>
      <c r="E250" s="18" t="str">
        <f>[2]Trucks!J247</f>
        <v>UNSOLD</v>
      </c>
      <c r="F250" s="12">
        <f>[2]Trucks!E247</f>
        <v>126</v>
      </c>
      <c r="G250" s="56">
        <f>[2]Trucks!K247</f>
        <v>16</v>
      </c>
      <c r="H250" s="46">
        <f>[2]Trucks!I247</f>
        <v>42629</v>
      </c>
      <c r="I250" s="83" t="str">
        <f t="shared" si="15"/>
        <v>2016Q3</v>
      </c>
      <c r="J250" s="272">
        <f>IFERROR(VLOOKUP((D250&amp;C250)&amp;"",'[2]Retail Price List'!$C$4:$F$102,3,FALSE),"")</f>
        <v>1295000</v>
      </c>
      <c r="K250" s="272">
        <f>IFERROR(IF(BA250="WIP - 30 Days",VLOOKUP(D250,[3]Standard!$B$9:$E$101,4,FALSE),IF(BA250="31-120 Days",VLOOKUP(D250,[3]Standard!$B$9:$F$101,5,FALSE),IF(BA250="121-365 Days",VLOOKUP(D250,[3]Standard!$B$9:$G$101,6,FALSE),VLOOKUP(D250,[3]Standard!$B$9:$H$101,7,FALSE)))),0)</f>
        <v>947033.5</v>
      </c>
      <c r="L250" s="272">
        <f>IFERROR(IF(BA250="WIP - 30 Days",VLOOKUP(D250,[3]Standard!$B$9:$J$101,9,FALSE),IF(BA250="31-120 Days",VLOOKUP(D250,[3]Standard!$B$9:$K$100,10,FALSE),IF(BA250="121-365 Days",VLOOKUP(D250,[3]Standard!$B$9:$L$101,11,FALSE),VLOOKUP(D250,[3]Standard!$B$9:$M$101,12,FALSE)))),0)</f>
        <v>919450</v>
      </c>
      <c r="M250" s="269">
        <f>IFERROR(VLOOKUP((D250&amp;C250)&amp;"",'[2]Retail Price List'!$C$4:$F$102,4,FALSE),"")</f>
        <v>1320000</v>
      </c>
      <c r="N250" s="269">
        <f>IFERROR(IF(BA250="WIP - 30 Days",VLOOKUP(D250,[3]Extended!$B$9:$E$101,4,FALSE),IF(BA250="31-120 Days",VLOOKUP(D250,[3]Extended!$B$9:$F$101,5,FALSE),IF(BA250="121-365 Days",VLOOKUP(D250,[3]Extended!$B$9:$G$101,6,FALSE),VLOOKUP(D250,[3]Extended!$B$9:$H$101,7,FALSE)))),0)</f>
        <v>992508</v>
      </c>
      <c r="O250" s="269">
        <f>IFERROR(IF(BA250="WIP - 30 Days",VLOOKUP(D250,[3]Extended!$B$9:$J$101,9,FALSE),IF(BA250="31-120 Days",VLOOKUP(D250,[3]Extended!$B$9:$K$101,10,FALSE),IF(BA250="121-365 Days",VLOOKUP(D250,[3]Extended!$B$9:$L$101,11,FALSE),VLOOKUP(D250,[3]Extended!$B$9:$M$101,12,FALSE)))),0)</f>
        <v>963600</v>
      </c>
      <c r="P250" s="116">
        <f t="shared" si="16"/>
        <v>0.27</v>
      </c>
      <c r="Q250" s="110" t="e">
        <f>O250-#REF!</f>
        <v>#REF!</v>
      </c>
      <c r="W250" s="311"/>
      <c r="X250" s="311"/>
      <c r="Y250" s="311"/>
      <c r="Z250" s="311"/>
      <c r="AA250" s="311"/>
      <c r="AB250" s="311"/>
      <c r="AC250" s="311"/>
      <c r="AT250" s="88" t="str">
        <f t="shared" si="17"/>
        <v>KP0006322016Q316</v>
      </c>
      <c r="AU250" s="89" t="str">
        <f t="shared" si="18"/>
        <v>09-2016</v>
      </c>
      <c r="BA250" s="92" t="str">
        <f t="shared" si="19"/>
        <v>121-365 Days</v>
      </c>
    </row>
    <row r="251" spans="1:56">
      <c r="B251" s="60" t="str">
        <f>[2]Trucks!A248</f>
        <v>72W-9175</v>
      </c>
      <c r="C251" s="11" t="str">
        <f>[2]Trucks!B248</f>
        <v>TGS-19-3604X2BLS-L</v>
      </c>
      <c r="D251" s="19" t="str">
        <f>IFERROR(VLOOKUP(C251&amp;"",'[2]Retail Price List'!$A$3:$B$103,2,FALSE),"Special Order")</f>
        <v>KP000632</v>
      </c>
      <c r="E251" s="18" t="str">
        <f>[2]Trucks!J248</f>
        <v>UNSOLD</v>
      </c>
      <c r="F251" s="12">
        <f>[2]Trucks!E248</f>
        <v>126</v>
      </c>
      <c r="G251" s="56">
        <f>[2]Trucks!K248</f>
        <v>16</v>
      </c>
      <c r="H251" s="46">
        <f>[2]Trucks!I248</f>
        <v>42629</v>
      </c>
      <c r="I251" s="83" t="str">
        <f t="shared" si="15"/>
        <v>2016Q3</v>
      </c>
      <c r="J251" s="272">
        <f>IFERROR(VLOOKUP((D251&amp;C251)&amp;"",'[2]Retail Price List'!$C$4:$F$102,3,FALSE),"")</f>
        <v>1295000</v>
      </c>
      <c r="K251" s="272">
        <f>IFERROR(IF(BA251="WIP - 30 Days",VLOOKUP(D251,[3]Standard!$B$9:$E$101,4,FALSE),IF(BA251="31-120 Days",VLOOKUP(D251,[3]Standard!$B$9:$F$101,5,FALSE),IF(BA251="121-365 Days",VLOOKUP(D251,[3]Standard!$B$9:$G$101,6,FALSE),VLOOKUP(D251,[3]Standard!$B$9:$H$101,7,FALSE)))),0)</f>
        <v>947033.5</v>
      </c>
      <c r="L251" s="272">
        <f>IFERROR(IF(BA251="WIP - 30 Days",VLOOKUP(D251,[3]Standard!$B$9:$J$101,9,FALSE),IF(BA251="31-120 Days",VLOOKUP(D251,[3]Standard!$B$9:$K$100,10,FALSE),IF(BA251="121-365 Days",VLOOKUP(D251,[3]Standard!$B$9:$L$101,11,FALSE),VLOOKUP(D251,[3]Standard!$B$9:$M$101,12,FALSE)))),0)</f>
        <v>919450</v>
      </c>
      <c r="M251" s="269">
        <f>IFERROR(VLOOKUP((D251&amp;C251)&amp;"",'[2]Retail Price List'!$C$4:$F$102,4,FALSE),"")</f>
        <v>1320000</v>
      </c>
      <c r="N251" s="269">
        <f>IFERROR(IF(BA251="WIP - 30 Days",VLOOKUP(D251,[3]Extended!$B$9:$E$101,4,FALSE),IF(BA251="31-120 Days",VLOOKUP(D251,[3]Extended!$B$9:$F$101,5,FALSE),IF(BA251="121-365 Days",VLOOKUP(D251,[3]Extended!$B$9:$G$101,6,FALSE),VLOOKUP(D251,[3]Extended!$B$9:$H$101,7,FALSE)))),0)</f>
        <v>992508</v>
      </c>
      <c r="O251" s="269">
        <f>IFERROR(IF(BA251="WIP - 30 Days",VLOOKUP(D251,[3]Extended!$B$9:$J$101,9,FALSE),IF(BA251="31-120 Days",VLOOKUP(D251,[3]Extended!$B$9:$K$101,10,FALSE),IF(BA251="121-365 Days",VLOOKUP(D251,[3]Extended!$B$9:$L$101,11,FALSE),VLOOKUP(D251,[3]Extended!$B$9:$M$101,12,FALSE)))),0)</f>
        <v>963600</v>
      </c>
      <c r="P251" s="116">
        <f t="shared" si="16"/>
        <v>0.27</v>
      </c>
      <c r="Q251" s="110" t="e">
        <f>O251-#REF!</f>
        <v>#REF!</v>
      </c>
      <c r="W251" s="311"/>
      <c r="X251" s="311"/>
      <c r="Y251" s="311"/>
      <c r="Z251" s="311"/>
      <c r="AA251" s="311"/>
      <c r="AB251" s="311"/>
      <c r="AC251" s="311"/>
      <c r="AT251" s="88" t="str">
        <f t="shared" si="17"/>
        <v>KP0006322016Q316</v>
      </c>
      <c r="AU251" s="89" t="str">
        <f t="shared" si="18"/>
        <v>09-2016</v>
      </c>
      <c r="BA251" s="92" t="str">
        <f t="shared" si="19"/>
        <v>121-365 Days</v>
      </c>
    </row>
    <row r="252" spans="1:56">
      <c r="B252" s="60" t="str">
        <f>[2]Trucks!A249</f>
        <v>72W-9176</v>
      </c>
      <c r="C252" s="11" t="str">
        <f>[2]Trucks!B249</f>
        <v>TGS-19-3604X2BLS-L</v>
      </c>
      <c r="D252" s="19" t="str">
        <f>IFERROR(VLOOKUP(C252&amp;"",'[2]Retail Price List'!$A$3:$B$103,2,FALSE),"Special Order")</f>
        <v>KP000632</v>
      </c>
      <c r="E252" s="18" t="str">
        <f>[2]Trucks!J249</f>
        <v>UNSOLD</v>
      </c>
      <c r="F252" s="12">
        <f>[2]Trucks!E249</f>
        <v>126</v>
      </c>
      <c r="G252" s="56">
        <f>[2]Trucks!K249</f>
        <v>16</v>
      </c>
      <c r="H252" s="46">
        <f>[2]Trucks!I249</f>
        <v>42629</v>
      </c>
      <c r="I252" s="83" t="str">
        <f t="shared" si="15"/>
        <v>2016Q3</v>
      </c>
      <c r="J252" s="272">
        <f>IFERROR(VLOOKUP((D252&amp;C252)&amp;"",'[2]Retail Price List'!$C$4:$F$102,3,FALSE),"")</f>
        <v>1295000</v>
      </c>
      <c r="K252" s="272">
        <f>IFERROR(IF(BA252="WIP - 30 Days",VLOOKUP(D252,[3]Standard!$B$9:$E$101,4,FALSE),IF(BA252="31-120 Days",VLOOKUP(D252,[3]Standard!$B$9:$F$101,5,FALSE),IF(BA252="121-365 Days",VLOOKUP(D252,[3]Standard!$B$9:$G$101,6,FALSE),VLOOKUP(D252,[3]Standard!$B$9:$H$101,7,FALSE)))),0)</f>
        <v>947033.5</v>
      </c>
      <c r="L252" s="272">
        <f>IFERROR(IF(BA252="WIP - 30 Days",VLOOKUP(D252,[3]Standard!$B$9:$J$101,9,FALSE),IF(BA252="31-120 Days",VLOOKUP(D252,[3]Standard!$B$9:$K$100,10,FALSE),IF(BA252="121-365 Days",VLOOKUP(D252,[3]Standard!$B$9:$L$101,11,FALSE),VLOOKUP(D252,[3]Standard!$B$9:$M$101,12,FALSE)))),0)</f>
        <v>919450</v>
      </c>
      <c r="M252" s="269">
        <f>IFERROR(VLOOKUP((D252&amp;C252)&amp;"",'[2]Retail Price List'!$C$4:$F$102,4,FALSE),"")</f>
        <v>1320000</v>
      </c>
      <c r="N252" s="269">
        <f>IFERROR(IF(BA252="WIP - 30 Days",VLOOKUP(D252,[3]Extended!$B$9:$E$101,4,FALSE),IF(BA252="31-120 Days",VLOOKUP(D252,[3]Extended!$B$9:$F$101,5,FALSE),IF(BA252="121-365 Days",VLOOKUP(D252,[3]Extended!$B$9:$G$101,6,FALSE),VLOOKUP(D252,[3]Extended!$B$9:$H$101,7,FALSE)))),0)</f>
        <v>992508</v>
      </c>
      <c r="O252" s="269">
        <f>IFERROR(IF(BA252="WIP - 30 Days",VLOOKUP(D252,[3]Extended!$B$9:$J$101,9,FALSE),IF(BA252="31-120 Days",VLOOKUP(D252,[3]Extended!$B$9:$K$101,10,FALSE),IF(BA252="121-365 Days",VLOOKUP(D252,[3]Extended!$B$9:$L$101,11,FALSE),VLOOKUP(D252,[3]Extended!$B$9:$M$101,12,FALSE)))),0)</f>
        <v>963600</v>
      </c>
      <c r="P252" s="116">
        <f t="shared" si="16"/>
        <v>0.27</v>
      </c>
      <c r="Q252" s="110" t="e">
        <f>O252-#REF!</f>
        <v>#REF!</v>
      </c>
      <c r="W252" s="311"/>
      <c r="X252" s="311"/>
      <c r="Y252" s="311"/>
      <c r="Z252" s="311"/>
      <c r="AA252" s="311"/>
      <c r="AB252" s="311"/>
      <c r="AC252" s="311"/>
      <c r="AT252" s="88" t="str">
        <f t="shared" si="17"/>
        <v>KP0006322016Q316</v>
      </c>
      <c r="AU252" s="89" t="str">
        <f t="shared" si="18"/>
        <v>09-2016</v>
      </c>
      <c r="BA252" s="92" t="str">
        <f t="shared" si="19"/>
        <v>121-365 Days</v>
      </c>
    </row>
    <row r="253" spans="1:56">
      <c r="B253" s="60" t="str">
        <f>[2]Trucks!A250</f>
        <v>72W-9177</v>
      </c>
      <c r="C253" s="11" t="str">
        <f>[2]Trucks!B250</f>
        <v>TGS-19-3604X2BLS-L</v>
      </c>
      <c r="D253" s="19" t="str">
        <f>IFERROR(VLOOKUP(C253&amp;"",'[2]Retail Price List'!$A$3:$B$103,2,FALSE),"Special Order")</f>
        <v>KP000632</v>
      </c>
      <c r="E253" s="18" t="str">
        <f>[2]Trucks!J250</f>
        <v>UNSOLD</v>
      </c>
      <c r="F253" s="12">
        <f>[2]Trucks!E250</f>
        <v>116</v>
      </c>
      <c r="G253" s="56">
        <f>[2]Trucks!K250</f>
        <v>16</v>
      </c>
      <c r="H253" s="46">
        <f>[2]Trucks!I250</f>
        <v>42629</v>
      </c>
      <c r="I253" s="83" t="str">
        <f t="shared" si="15"/>
        <v>2016Q3</v>
      </c>
      <c r="J253" s="272">
        <f>IFERROR(VLOOKUP((D253&amp;C253)&amp;"",'[2]Retail Price List'!$C$4:$F$102,3,FALSE),"")</f>
        <v>1295000</v>
      </c>
      <c r="K253" s="272">
        <f>IFERROR(IF(BA253="WIP - 30 Days",VLOOKUP(D253,[3]Standard!$B$9:$E$101,4,FALSE),IF(BA253="31-120 Days",VLOOKUP(D253,[3]Standard!$B$9:$F$101,5,FALSE),IF(BA253="121-365 Days",VLOOKUP(D253,[3]Standard!$B$9:$G$101,6,FALSE),VLOOKUP(D253,[3]Standard!$B$9:$H$101,7,FALSE)))),0)</f>
        <v>973710.5</v>
      </c>
      <c r="L253" s="272">
        <f>IFERROR(IF(BA253="WIP - 30 Days",VLOOKUP(D253,[3]Standard!$B$9:$J$101,9,FALSE),IF(BA253="31-120 Days",VLOOKUP(D253,[3]Standard!$B$9:$K$100,10,FALSE),IF(BA253="121-365 Days",VLOOKUP(D253,[3]Standard!$B$9:$L$101,11,FALSE),VLOOKUP(D253,[3]Standard!$B$9:$M$101,12,FALSE)))),0)</f>
        <v>945350</v>
      </c>
      <c r="M253" s="269">
        <f>IFERROR(VLOOKUP((D253&amp;C253)&amp;"",'[2]Retail Price List'!$C$4:$F$102,4,FALSE),"")</f>
        <v>1320000</v>
      </c>
      <c r="N253" s="269">
        <f>IFERROR(IF(BA253="WIP - 30 Days",VLOOKUP(D253,[3]Extended!$B$9:$E$101,4,FALSE),IF(BA253="31-120 Days",VLOOKUP(D253,[3]Extended!$B$9:$F$101,5,FALSE),IF(BA253="121-365 Days",VLOOKUP(D253,[3]Extended!$B$9:$G$101,6,FALSE),VLOOKUP(D253,[3]Extended!$B$9:$H$101,7,FALSE)))),0)</f>
        <v>1019700</v>
      </c>
      <c r="O253" s="269">
        <f>IFERROR(IF(BA253="WIP - 30 Days",VLOOKUP(D253,[3]Extended!$B$9:$J$101,9,FALSE),IF(BA253="31-120 Days",VLOOKUP(D253,[3]Extended!$B$9:$K$101,10,FALSE),IF(BA253="121-365 Days",VLOOKUP(D253,[3]Extended!$B$9:$L$101,11,FALSE),VLOOKUP(D253,[3]Extended!$B$9:$M$101,12,FALSE)))),0)</f>
        <v>990000</v>
      </c>
      <c r="P253" s="116">
        <f t="shared" si="16"/>
        <v>0.25</v>
      </c>
      <c r="Q253" s="110" t="e">
        <f>O253-#REF!</f>
        <v>#REF!</v>
      </c>
      <c r="W253" s="311"/>
      <c r="X253" s="311"/>
      <c r="Y253" s="311"/>
      <c r="Z253" s="311"/>
      <c r="AA253" s="311"/>
      <c r="AB253" s="311"/>
      <c r="AC253" s="311"/>
      <c r="AT253" s="88" t="str">
        <f t="shared" si="17"/>
        <v>KP0006322016Q316</v>
      </c>
      <c r="AU253" s="89" t="str">
        <f t="shared" si="18"/>
        <v>09-2016</v>
      </c>
      <c r="BA253" s="92" t="str">
        <f t="shared" si="19"/>
        <v>31-120 Days</v>
      </c>
    </row>
    <row r="254" spans="1:56">
      <c r="B254" s="60" t="str">
        <f>[2]Trucks!A251</f>
        <v>TBAKP632</v>
      </c>
      <c r="C254" s="11" t="str">
        <f>[2]Trucks!B251</f>
        <v>TGS-19-3604X2BLS-L</v>
      </c>
      <c r="D254" s="19" t="str">
        <f>IFERROR(VLOOKUP(C254&amp;"",'[2]Retail Price List'!$A$3:$B$103,2,FALSE),"Special Order")</f>
        <v>KP000632</v>
      </c>
      <c r="E254" s="18" t="str">
        <f>[2]Trucks!J251</f>
        <v>CKD</v>
      </c>
      <c r="F254" s="12" t="str">
        <f>[2]Trucks!E251</f>
        <v>2018-02-15</v>
      </c>
      <c r="G254" s="56">
        <f>[2]Trucks!K251</f>
        <v>14.7</v>
      </c>
      <c r="H254" s="46">
        <f>[2]Trucks!I251</f>
        <v>42921</v>
      </c>
      <c r="I254" s="83" t="str">
        <f t="shared" si="15"/>
        <v>2017Q3</v>
      </c>
      <c r="J254" s="272">
        <f>IFERROR(VLOOKUP((D254&amp;C254)&amp;"",'[2]Retail Price List'!$C$4:$F$102,3,FALSE),"")</f>
        <v>1295000</v>
      </c>
      <c r="K254" s="272">
        <f>IFERROR(IF(BA254="WIP - 30 Days",VLOOKUP(D254,[3]Standard!$B$9:$E$101,4,FALSE),IF(BA254="31-120 Days",VLOOKUP(D254,[3]Standard!$B$9:$F$101,5,FALSE),IF(BA254="121-365 Days",VLOOKUP(D254,[3]Standard!$B$9:$G$101,6,FALSE),VLOOKUP(D254,[3]Standard!$B$9:$H$101,7,FALSE)))),0)</f>
        <v>1000387.5</v>
      </c>
      <c r="L254" s="272">
        <f>IFERROR(IF(BA254="WIP - 30 Days",VLOOKUP(D254,[3]Standard!$B$9:$J$101,9,FALSE),IF(BA254="31-120 Days",VLOOKUP(D254,[3]Standard!$B$9:$K$100,10,FALSE),IF(BA254="121-365 Days",VLOOKUP(D254,[3]Standard!$B$9:$L$101,11,FALSE),VLOOKUP(D254,[3]Standard!$B$9:$M$101,12,FALSE)))),0)</f>
        <v>971250</v>
      </c>
      <c r="M254" s="269">
        <f>IFERROR(VLOOKUP((D254&amp;C254)&amp;"",'[2]Retail Price List'!$C$4:$F$102,4,FALSE),"")</f>
        <v>1320000</v>
      </c>
      <c r="N254" s="269">
        <f>IFERROR(IF(BA254="WIP - 30 Days",VLOOKUP(D254,[3]Extended!$B$9:$E$101,4,FALSE),IF(BA254="31-120 Days",VLOOKUP(D254,[3]Extended!$B$9:$F$101,5,FALSE),IF(BA254="121-365 Days",VLOOKUP(D254,[3]Extended!$B$9:$G$101,6,FALSE),VLOOKUP(D254,[3]Extended!$B$9:$H$101,7,FALSE)))),0)</f>
        <v>1046892</v>
      </c>
      <c r="O254" s="269">
        <f>IFERROR(IF(BA254="WIP - 30 Days",VLOOKUP(D254,[3]Extended!$B$9:$J$101,9,FALSE),IF(BA254="31-120 Days",VLOOKUP(D254,[3]Extended!$B$9:$K$101,10,FALSE),IF(BA254="121-365 Days",VLOOKUP(D254,[3]Extended!$B$9:$L$101,11,FALSE),VLOOKUP(D254,[3]Extended!$B$9:$M$101,12,FALSE)))),0)</f>
        <v>1016400</v>
      </c>
      <c r="P254" s="116">
        <f t="shared" si="16"/>
        <v>0.23</v>
      </c>
      <c r="Q254" s="110" t="e">
        <f>O254-#REF!</f>
        <v>#REF!</v>
      </c>
      <c r="W254" s="311"/>
      <c r="X254" s="311"/>
      <c r="Y254" s="311"/>
      <c r="Z254" s="311"/>
      <c r="AA254" s="311"/>
      <c r="AB254" s="311"/>
      <c r="AC254" s="311"/>
      <c r="AT254" s="88" t="str">
        <f t="shared" si="17"/>
        <v>KP0006322017Q314,7</v>
      </c>
      <c r="AU254" s="89" t="str">
        <f t="shared" si="18"/>
        <v>07-2017</v>
      </c>
      <c r="BA254" s="92" t="str">
        <f t="shared" si="19"/>
        <v>WIP - 30 Days</v>
      </c>
    </row>
    <row r="255" spans="1:56" s="4" customFormat="1">
      <c r="A255" s="69"/>
      <c r="B255" s="60" t="str">
        <f>[2]Trucks!A252</f>
        <v>TBAKP011</v>
      </c>
      <c r="C255" s="11" t="str">
        <f>[2]Trucks!B252</f>
        <v>TGS-19-3604X2BLS-L - INT</v>
      </c>
      <c r="D255" s="19" t="str">
        <f>IFERROR(VLOOKUP(C255&amp;"",'[2]Retail Price List'!$A$3:$B$103,2,FALSE),"Special Order")</f>
        <v>TGS00011</v>
      </c>
      <c r="E255" s="18" t="str">
        <f>[2]Trucks!J252</f>
        <v>CKD</v>
      </c>
      <c r="F255" s="12" t="str">
        <f>[2]Trucks!E252</f>
        <v>2018-02-15</v>
      </c>
      <c r="G255" s="56">
        <f>[2]Trucks!K252</f>
        <v>14.7</v>
      </c>
      <c r="H255" s="46">
        <f>[2]Trucks!I252</f>
        <v>42921</v>
      </c>
      <c r="I255" s="83" t="str">
        <f t="shared" si="15"/>
        <v>2017Q3</v>
      </c>
      <c r="J255" s="272">
        <f>IFERROR(VLOOKUP((D255&amp;C255)&amp;"",'[2]Retail Price List'!$C$4:$F$102,3,FALSE),"")</f>
        <v>1511531</v>
      </c>
      <c r="K255" s="272">
        <f>IFERROR(IF(BA255="WIP - 30 Days",VLOOKUP(D255,[3]Standard!$B$9:$E$101,4,FALSE),IF(BA255="31-120 Days",VLOOKUP(D255,[3]Standard!$B$9:$F$101,5,FALSE),IF(BA255="121-365 Days",VLOOKUP(D255,[3]Standard!$B$9:$G$101,6,FALSE),VLOOKUP(D255,[3]Standard!$B$9:$H$101,7,FALSE)))),0)</f>
        <v>1167657.6975</v>
      </c>
      <c r="L255" s="272">
        <f>IFERROR(IF(BA255="WIP - 30 Days",VLOOKUP(D255,[3]Standard!$B$9:$J$101,9,FALSE),IF(BA255="31-120 Days",VLOOKUP(D255,[3]Standard!$B$9:$K$100,10,FALSE),IF(BA255="121-365 Days",VLOOKUP(D255,[3]Standard!$B$9:$L$101,11,FALSE),VLOOKUP(D255,[3]Standard!$B$9:$M$101,12,FALSE)))),0)</f>
        <v>1133648.25</v>
      </c>
      <c r="M255" s="269">
        <f>IFERROR(VLOOKUP((D255&amp;C255)&amp;"",'[2]Retail Price List'!$C$4:$F$102,4,FALSE),"")</f>
        <v>1536531</v>
      </c>
      <c r="N255" s="269">
        <f>IFERROR(IF(BA255="WIP - 30 Days",VLOOKUP(D255,[3]Extended!$B$9:$E$101,4,FALSE),IF(BA255="31-120 Days",VLOOKUP(D255,[3]Extended!$B$9:$F$101,5,FALSE),IF(BA255="121-365 Days",VLOOKUP(D255,[3]Extended!$B$9:$G$101,6,FALSE),VLOOKUP(D255,[3]Extended!$B$9:$H$101,7,FALSE)))),0)</f>
        <v>1218622.7361000001</v>
      </c>
      <c r="O255" s="269">
        <f>IFERROR(IF(BA255="WIP - 30 Days",VLOOKUP(D255,[3]Extended!$B$9:$J$101,9,FALSE),IF(BA255="31-120 Days",VLOOKUP(D255,[3]Extended!$B$9:$K$101,10,FALSE),IF(BA255="121-365 Days",VLOOKUP(D255,[3]Extended!$B$9:$L$101,11,FALSE),VLOOKUP(D255,[3]Extended!$B$9:$M$101,12,FALSE)))),0)</f>
        <v>1183128.8700000001</v>
      </c>
      <c r="P255" s="116">
        <f t="shared" si="16"/>
        <v>0.22999999999999993</v>
      </c>
      <c r="Q255" s="110" t="e">
        <f>O255-#REF!</f>
        <v>#REF!</v>
      </c>
      <c r="R255" s="111" t="e">
        <f>SUM(Q238:Q254)/SUM(O238:O254)</f>
        <v>#REF!</v>
      </c>
      <c r="S255" s="112"/>
      <c r="T255" s="112"/>
      <c r="U255" s="112"/>
      <c r="V255" s="112"/>
      <c r="W255" s="311"/>
      <c r="X255" s="311"/>
      <c r="Y255" s="311"/>
      <c r="Z255" s="311"/>
      <c r="AA255" s="311"/>
      <c r="AB255" s="311"/>
      <c r="AC255" s="311"/>
      <c r="AD255" s="89"/>
      <c r="AE255" s="89"/>
      <c r="AF255" s="89"/>
      <c r="AG255" s="5"/>
      <c r="AH255" s="5"/>
      <c r="AI255" s="5"/>
      <c r="AJ255" s="5"/>
      <c r="AK255" s="5"/>
      <c r="AL255" s="5"/>
      <c r="AM255" s="5"/>
      <c r="AN255" s="5"/>
      <c r="AO255" s="5"/>
      <c r="AP255" s="5"/>
      <c r="AQ255" s="5"/>
      <c r="AR255" s="5"/>
      <c r="AS255" s="5"/>
      <c r="AT255" s="88" t="str">
        <f t="shared" si="17"/>
        <v>TGS000112017Q314,7</v>
      </c>
      <c r="AU255" s="89" t="str">
        <f t="shared" si="18"/>
        <v>07-2017</v>
      </c>
      <c r="AV255" s="89"/>
      <c r="AW255" s="89"/>
      <c r="AX255" s="89"/>
      <c r="AY255" s="89"/>
      <c r="AZ255" s="89"/>
      <c r="BA255" s="92" t="str">
        <f t="shared" si="19"/>
        <v>WIP - 30 Days</v>
      </c>
      <c r="BB255" s="89"/>
      <c r="BC255" s="97"/>
      <c r="BD255" s="97"/>
    </row>
    <row r="256" spans="1:56">
      <c r="B256" s="60" t="str">
        <f>[2]Trucks!A253</f>
        <v>72W-8577</v>
      </c>
      <c r="C256" s="11" t="str">
        <f>[2]Trucks!B253</f>
        <v>TGS-19-4004X2BLS-L-ALU-PTO</v>
      </c>
      <c r="D256" s="19" t="str">
        <f>IFERROR(VLOOKUP(C256&amp;"",'[2]Retail Price List'!$A$3:$B$103,2,FALSE),"Special Order")</f>
        <v>TGS00008</v>
      </c>
      <c r="E256" s="18" t="str">
        <f>[2]Trucks!J253</f>
        <v>DEMO</v>
      </c>
      <c r="F256" s="12">
        <f>[2]Trucks!E253</f>
        <v>309</v>
      </c>
      <c r="G256" s="56">
        <f>[2]Trucks!K253</f>
        <v>18</v>
      </c>
      <c r="H256" s="46">
        <f>[2]Trucks!I253</f>
        <v>42446</v>
      </c>
      <c r="I256" s="83" t="str">
        <f t="shared" si="15"/>
        <v>2016Q1</v>
      </c>
      <c r="J256" s="272">
        <f>IFERROR(VLOOKUP((D256&amp;C256)&amp;"",'[2]Retail Price List'!$C$4:$F$102,3,FALSE),"")</f>
        <v>1435000</v>
      </c>
      <c r="K256" s="272">
        <f>IFERROR(IF(BA256="WIP - 30 Days",VLOOKUP(D256,[3]Standard!$B$9:$E$101,4,FALSE),IF(BA256="31-120 Days",VLOOKUP(D256,[3]Standard!$B$9:$F$101,5,FALSE),IF(BA256="121-365 Days",VLOOKUP(D256,[3]Standard!$B$9:$G$101,6,FALSE),VLOOKUP(D256,[3]Standard!$B$9:$H$101,7,FALSE)))),0)</f>
        <v>1300684</v>
      </c>
      <c r="L256" s="272">
        <f>IFERROR(IF(BA256="WIP - 30 Days",VLOOKUP(D256,[3]Standard!$B$9:$J$101,9,FALSE),IF(BA256="31-120 Days",VLOOKUP(D256,[3]Standard!$B$9:$K$100,10,FALSE),IF(BA256="121-365 Days",VLOOKUP(D256,[3]Standard!$B$9:$L$101,11,FALSE),VLOOKUP(D256,[3]Standard!$B$9:$M$101,12,FALSE)))),0)</f>
        <v>1262800</v>
      </c>
      <c r="M256" s="269">
        <f>IFERROR(VLOOKUP((D256&amp;C256)&amp;"",'[2]Retail Price List'!$C$4:$F$102,4,FALSE),"")</f>
        <v>1460000</v>
      </c>
      <c r="N256" s="269">
        <f>IFERROR(IF(BA256="WIP - 30 Days",VLOOKUP(D256,[3]Extended!$B$9:$E$101,4,FALSE),IF(BA256="31-120 Days",VLOOKUP(D256,[3]Extended!$B$9:$F$101,5,FALSE),IF(BA256="121-365 Days",VLOOKUP(D256,[3]Extended!$B$9:$G$101,6,FALSE),VLOOKUP(D256,[3]Extended!$B$9:$H$101,7,FALSE)))),0)</f>
        <v>1353420</v>
      </c>
      <c r="O256" s="269">
        <f>IFERROR(IF(BA256="WIP - 30 Days",VLOOKUP(D256,[3]Extended!$B$9:$J$101,9,FALSE),IF(BA256="31-120 Days",VLOOKUP(D256,[3]Extended!$B$9:$K$101,10,FALSE),IF(BA256="121-365 Days",VLOOKUP(D256,[3]Extended!$B$9:$L$101,11,FALSE),VLOOKUP(D256,[3]Extended!$B$9:$M$101,12,FALSE)))),0)</f>
        <v>1314000</v>
      </c>
      <c r="P256" s="116">
        <f t="shared" si="16"/>
        <v>0.1</v>
      </c>
      <c r="Q256" s="110" t="e">
        <f>O256-#REF!</f>
        <v>#REF!</v>
      </c>
      <c r="S256" s="112" t="s">
        <v>9</v>
      </c>
      <c r="T256" s="112" t="s">
        <v>10</v>
      </c>
      <c r="U256" s="112" t="s">
        <v>11</v>
      </c>
      <c r="W256" s="311"/>
      <c r="X256" s="311"/>
      <c r="Y256" s="311"/>
      <c r="Z256" s="311"/>
      <c r="AA256" s="311"/>
      <c r="AB256" s="311"/>
      <c r="AC256" s="311"/>
      <c r="AT256" s="88" t="str">
        <f t="shared" si="17"/>
        <v>TGS000082016Q118</v>
      </c>
      <c r="AU256" s="89" t="str">
        <f t="shared" si="18"/>
        <v>03-2016</v>
      </c>
      <c r="BA256" s="92" t="str">
        <f t="shared" si="19"/>
        <v>121-365 Days</v>
      </c>
    </row>
    <row r="257" spans="2:53">
      <c r="B257" s="60">
        <f>[2]Trucks!A254</f>
        <v>47268</v>
      </c>
      <c r="C257" s="11" t="str">
        <f>[2]Trucks!B254</f>
        <v>TGS-25-4406X2BLS-LX</v>
      </c>
      <c r="D257" s="19" t="str">
        <f>IFERROR(VLOOKUP(C257&amp;"",'[2]Retail Price List'!$A$3:$B$103,2,FALSE),"Special Order")</f>
        <v>TGS00010</v>
      </c>
      <c r="E257" s="18" t="str">
        <f>[2]Trucks!J254</f>
        <v>CKD</v>
      </c>
      <c r="F257" s="12" t="str">
        <f>[2]Trucks!E254</f>
        <v>2017-10-25</v>
      </c>
      <c r="G257" s="56">
        <f>[2]Trucks!K254</f>
        <v>14.7</v>
      </c>
      <c r="H257" s="46">
        <f>[2]Trucks!I254</f>
        <v>42909</v>
      </c>
      <c r="I257" s="83" t="str">
        <f t="shared" si="15"/>
        <v>2017Q2</v>
      </c>
      <c r="J257" s="272">
        <f>IFERROR(VLOOKUP((D257&amp;C257)&amp;"",'[2]Retail Price List'!$C$4:$F$102,3,FALSE),"")</f>
        <v>1570000</v>
      </c>
      <c r="K257" s="272">
        <f>IFERROR(IF(BA257="WIP - 30 Days",VLOOKUP(D257,[3]Standard!$B$9:$E$101,4,FALSE),IF(BA257="31-120 Days",VLOOKUP(D257,[3]Standard!$B$9:$F$101,5,FALSE),IF(BA257="121-365 Days",VLOOKUP(D257,[3]Standard!$B$9:$G$101,6,FALSE),VLOOKUP(D257,[3]Standard!$B$9:$H$101,7,FALSE)))),0)</f>
        <v>1293680</v>
      </c>
      <c r="L257" s="272">
        <f>IFERROR(IF(BA257="WIP - 30 Days",VLOOKUP(D257,[3]Standard!$B$9:$J$101,9,FALSE),IF(BA257="31-120 Days",VLOOKUP(D257,[3]Standard!$B$9:$K$100,10,FALSE),IF(BA257="121-365 Days",VLOOKUP(D257,[3]Standard!$B$9:$L$101,11,FALSE),VLOOKUP(D257,[3]Standard!$B$9:$M$101,12,FALSE)))),0)</f>
        <v>1256000</v>
      </c>
      <c r="M257" s="269">
        <f>IFERROR(VLOOKUP((D257&amp;C257)&amp;"",'[2]Retail Price List'!$C$4:$F$102,4,FALSE),"")</f>
        <v>1605000</v>
      </c>
      <c r="N257" s="269">
        <f>IFERROR(IF(BA257="WIP - 30 Days",VLOOKUP(D257,[3]Extended!$B$9:$E$101,4,FALSE),IF(BA257="31-120 Days",VLOOKUP(D257,[3]Extended!$B$9:$F$101,5,FALSE),IF(BA257="121-365 Days",VLOOKUP(D257,[3]Extended!$B$9:$G$101,6,FALSE),VLOOKUP(D257,[3]Extended!$B$9:$H$101,7,FALSE)))),0)</f>
        <v>1355583</v>
      </c>
      <c r="O257" s="269">
        <f>IFERROR(IF(BA257="WIP - 30 Days",VLOOKUP(D257,[3]Extended!$B$9:$J$101,9,FALSE),IF(BA257="31-120 Days",VLOOKUP(D257,[3]Extended!$B$9:$K$101,10,FALSE),IF(BA257="121-365 Days",VLOOKUP(D257,[3]Extended!$B$9:$L$101,11,FALSE),VLOOKUP(D257,[3]Extended!$B$9:$M$101,12,FALSE)))),0)</f>
        <v>1316100</v>
      </c>
      <c r="P257" s="116">
        <f t="shared" si="16"/>
        <v>0.18</v>
      </c>
      <c r="Q257" s="110" t="e">
        <f>O257-#REF!</f>
        <v>#REF!</v>
      </c>
      <c r="S257" s="112">
        <v>16.5</v>
      </c>
      <c r="T257" s="112">
        <v>-1.2</v>
      </c>
      <c r="U257" s="112">
        <v>6.6</v>
      </c>
      <c r="W257" s="311"/>
      <c r="X257" s="311"/>
      <c r="Y257" s="311"/>
      <c r="Z257" s="311"/>
      <c r="AA257" s="311"/>
      <c r="AB257" s="311"/>
      <c r="AC257" s="311"/>
      <c r="AT257" s="88" t="str">
        <f t="shared" si="17"/>
        <v>TGS000102017Q214,7</v>
      </c>
      <c r="AU257" s="89" t="str">
        <f t="shared" si="18"/>
        <v>06-2017</v>
      </c>
      <c r="BA257" s="92" t="str">
        <f t="shared" si="19"/>
        <v>WIP - 30 Days</v>
      </c>
    </row>
    <row r="258" spans="2:53">
      <c r="B258" s="60">
        <f>[2]Trucks!A255</f>
        <v>47269</v>
      </c>
      <c r="C258" s="11" t="str">
        <f>[2]Trucks!B255</f>
        <v>TGS-25-4406X2BLS-LX</v>
      </c>
      <c r="D258" s="19" t="str">
        <f>IFERROR(VLOOKUP(C258&amp;"",'[2]Retail Price List'!$A$3:$B$103,2,FALSE),"Special Order")</f>
        <v>TGS00010</v>
      </c>
      <c r="E258" s="18" t="str">
        <f>[2]Trucks!J255</f>
        <v>CKD</v>
      </c>
      <c r="F258" s="12" t="str">
        <f>[2]Trucks!E255</f>
        <v>2017-10-25</v>
      </c>
      <c r="G258" s="56">
        <f>[2]Trucks!K255</f>
        <v>14.7</v>
      </c>
      <c r="H258" s="46">
        <f>[2]Trucks!I255</f>
        <v>42909</v>
      </c>
      <c r="I258" s="83" t="str">
        <f t="shared" si="15"/>
        <v>2017Q2</v>
      </c>
      <c r="J258" s="272">
        <f>IFERROR(VLOOKUP((D258&amp;C258)&amp;"",'[2]Retail Price List'!$C$4:$F$102,3,FALSE),"")</f>
        <v>1570000</v>
      </c>
      <c r="K258" s="272">
        <f>IFERROR(IF(BA258="WIP - 30 Days",VLOOKUP(D258,[3]Standard!$B$9:$E$101,4,FALSE),IF(BA258="31-120 Days",VLOOKUP(D258,[3]Standard!$B$9:$F$101,5,FALSE),IF(BA258="121-365 Days",VLOOKUP(D258,[3]Standard!$B$9:$G$101,6,FALSE),VLOOKUP(D258,[3]Standard!$B$9:$H$101,7,FALSE)))),0)</f>
        <v>1293680</v>
      </c>
      <c r="L258" s="272">
        <f>IFERROR(IF(BA258="WIP - 30 Days",VLOOKUP(D258,[3]Standard!$B$9:$J$101,9,FALSE),IF(BA258="31-120 Days",VLOOKUP(D258,[3]Standard!$B$9:$K$100,10,FALSE),IF(BA258="121-365 Days",VLOOKUP(D258,[3]Standard!$B$9:$L$101,11,FALSE),VLOOKUP(D258,[3]Standard!$B$9:$M$101,12,FALSE)))),0)</f>
        <v>1256000</v>
      </c>
      <c r="M258" s="269">
        <f>IFERROR(VLOOKUP((D258&amp;C258)&amp;"",'[2]Retail Price List'!$C$4:$F$102,4,FALSE),"")</f>
        <v>1605000</v>
      </c>
      <c r="N258" s="269">
        <f>IFERROR(IF(BA258="WIP - 30 Days",VLOOKUP(D258,[3]Extended!$B$9:$E$101,4,FALSE),IF(BA258="31-120 Days",VLOOKUP(D258,[3]Extended!$B$9:$F$101,5,FALSE),IF(BA258="121-365 Days",VLOOKUP(D258,[3]Extended!$B$9:$G$101,6,FALSE),VLOOKUP(D258,[3]Extended!$B$9:$H$101,7,FALSE)))),0)</f>
        <v>1355583</v>
      </c>
      <c r="O258" s="269">
        <f>IFERROR(IF(BA258="WIP - 30 Days",VLOOKUP(D258,[3]Extended!$B$9:$J$101,9,FALSE),IF(BA258="31-120 Days",VLOOKUP(D258,[3]Extended!$B$9:$K$101,10,FALSE),IF(BA258="121-365 Days",VLOOKUP(D258,[3]Extended!$B$9:$L$101,11,FALSE),VLOOKUP(D258,[3]Extended!$B$9:$M$101,12,FALSE)))),0)</f>
        <v>1316100</v>
      </c>
      <c r="P258" s="116">
        <f t="shared" si="16"/>
        <v>0.18</v>
      </c>
      <c r="Q258" s="110" t="e">
        <f>O258-#REF!</f>
        <v>#REF!</v>
      </c>
      <c r="S258" s="112">
        <v>-1.6</v>
      </c>
      <c r="T258" s="112">
        <v>-1.6</v>
      </c>
      <c r="U258" s="112">
        <v>-1.6</v>
      </c>
      <c r="W258" s="311"/>
      <c r="X258" s="311"/>
      <c r="Y258" s="311"/>
      <c r="Z258" s="311"/>
      <c r="AA258" s="311"/>
      <c r="AB258" s="311"/>
      <c r="AC258" s="311"/>
      <c r="AT258" s="88" t="str">
        <f t="shared" si="17"/>
        <v>TGS000102017Q214,7</v>
      </c>
      <c r="AU258" s="89" t="str">
        <f t="shared" si="18"/>
        <v>06-2017</v>
      </c>
      <c r="BA258" s="92" t="str">
        <f t="shared" si="19"/>
        <v>WIP - 30 Days</v>
      </c>
    </row>
    <row r="259" spans="2:53">
      <c r="B259" s="60">
        <f>[2]Trucks!A256</f>
        <v>47270</v>
      </c>
      <c r="C259" s="11" t="str">
        <f>[2]Trucks!B256</f>
        <v>TGS-25-4406X2BLS-LX</v>
      </c>
      <c r="D259" s="19" t="str">
        <f>IFERROR(VLOOKUP(C259&amp;"",'[2]Retail Price List'!$A$3:$B$103,2,FALSE),"Special Order")</f>
        <v>TGS00010</v>
      </c>
      <c r="E259" s="18" t="str">
        <f>[2]Trucks!J256</f>
        <v>CKD</v>
      </c>
      <c r="F259" s="12" t="str">
        <f>[2]Trucks!E256</f>
        <v>2017-10-25</v>
      </c>
      <c r="G259" s="56">
        <f>[2]Trucks!K256</f>
        <v>14.7</v>
      </c>
      <c r="H259" s="46">
        <f>[2]Trucks!I256</f>
        <v>42909</v>
      </c>
      <c r="I259" s="83" t="str">
        <f t="shared" si="15"/>
        <v>2017Q2</v>
      </c>
      <c r="J259" s="272">
        <f>IFERROR(VLOOKUP((D259&amp;C259)&amp;"",'[2]Retail Price List'!$C$4:$F$102,3,FALSE),"")</f>
        <v>1570000</v>
      </c>
      <c r="K259" s="272">
        <f>IFERROR(IF(BA259="WIP - 30 Days",VLOOKUP(D259,[3]Standard!$B$9:$E$101,4,FALSE),IF(BA259="31-120 Days",VLOOKUP(D259,[3]Standard!$B$9:$F$101,5,FALSE),IF(BA259="121-365 Days",VLOOKUP(D259,[3]Standard!$B$9:$G$101,6,FALSE),VLOOKUP(D259,[3]Standard!$B$9:$H$101,7,FALSE)))),0)</f>
        <v>1293680</v>
      </c>
      <c r="L259" s="272">
        <f>IFERROR(IF(BA259="WIP - 30 Days",VLOOKUP(D259,[3]Standard!$B$9:$J$101,9,FALSE),IF(BA259="31-120 Days",VLOOKUP(D259,[3]Standard!$B$9:$K$100,10,FALSE),IF(BA259="121-365 Days",VLOOKUP(D259,[3]Standard!$B$9:$L$101,11,FALSE),VLOOKUP(D259,[3]Standard!$B$9:$M$101,12,FALSE)))),0)</f>
        <v>1256000</v>
      </c>
      <c r="M259" s="269">
        <f>IFERROR(VLOOKUP((D259&amp;C259)&amp;"",'[2]Retail Price List'!$C$4:$F$102,4,FALSE),"")</f>
        <v>1605000</v>
      </c>
      <c r="N259" s="269">
        <f>IFERROR(IF(BA259="WIP - 30 Days",VLOOKUP(D259,[3]Extended!$B$9:$E$101,4,FALSE),IF(BA259="31-120 Days",VLOOKUP(D259,[3]Extended!$B$9:$F$101,5,FALSE),IF(BA259="121-365 Days",VLOOKUP(D259,[3]Extended!$B$9:$G$101,6,FALSE),VLOOKUP(D259,[3]Extended!$B$9:$H$101,7,FALSE)))),0)</f>
        <v>1355583</v>
      </c>
      <c r="O259" s="269">
        <f>IFERROR(IF(BA259="WIP - 30 Days",VLOOKUP(D259,[3]Extended!$B$9:$J$101,9,FALSE),IF(BA259="31-120 Days",VLOOKUP(D259,[3]Extended!$B$9:$K$101,10,FALSE),IF(BA259="121-365 Days",VLOOKUP(D259,[3]Extended!$B$9:$L$101,11,FALSE),VLOOKUP(D259,[3]Extended!$B$9:$M$101,12,FALSE)))),0)</f>
        <v>1316100</v>
      </c>
      <c r="P259" s="116">
        <f t="shared" si="16"/>
        <v>0.18</v>
      </c>
      <c r="Q259" s="110" t="e">
        <f>O259-#REF!</f>
        <v>#REF!</v>
      </c>
      <c r="S259" s="112">
        <f>COUNT(K256:N277)</f>
        <v>88</v>
      </c>
      <c r="W259" s="311"/>
      <c r="X259" s="311"/>
      <c r="Y259" s="311"/>
      <c r="Z259" s="311"/>
      <c r="AA259" s="311"/>
      <c r="AB259" s="311"/>
      <c r="AC259" s="311"/>
      <c r="AT259" s="88" t="str">
        <f t="shared" si="17"/>
        <v>TGS000102017Q214,7</v>
      </c>
      <c r="AU259" s="89" t="str">
        <f t="shared" si="18"/>
        <v>06-2017</v>
      </c>
      <c r="BA259" s="92" t="str">
        <f t="shared" si="19"/>
        <v>WIP - 30 Days</v>
      </c>
    </row>
    <row r="260" spans="2:53">
      <c r="B260" s="60">
        <f>[2]Trucks!A257</f>
        <v>47271</v>
      </c>
      <c r="C260" s="11" t="str">
        <f>[2]Trucks!B257</f>
        <v>TGS-25-4406X2BLS-LX</v>
      </c>
      <c r="D260" s="19" t="str">
        <f>IFERROR(VLOOKUP(C260&amp;"",'[2]Retail Price List'!$A$3:$B$103,2,FALSE),"Special Order")</f>
        <v>TGS00010</v>
      </c>
      <c r="E260" s="18" t="str">
        <f>[2]Trucks!J257</f>
        <v>CKD</v>
      </c>
      <c r="F260" s="12" t="str">
        <f>[2]Trucks!E257</f>
        <v>2017-10-25</v>
      </c>
      <c r="G260" s="56">
        <f>[2]Trucks!K257</f>
        <v>14.7</v>
      </c>
      <c r="H260" s="46">
        <f>[2]Trucks!I257</f>
        <v>42909</v>
      </c>
      <c r="I260" s="83" t="str">
        <f t="shared" si="15"/>
        <v>2017Q2</v>
      </c>
      <c r="J260" s="272">
        <f>IFERROR(VLOOKUP((D260&amp;C260)&amp;"",'[2]Retail Price List'!$C$4:$F$102,3,FALSE),"")</f>
        <v>1570000</v>
      </c>
      <c r="K260" s="272">
        <f>IFERROR(IF(BA260="WIP - 30 Days",VLOOKUP(D260,[3]Standard!$B$9:$E$101,4,FALSE),IF(BA260="31-120 Days",VLOOKUP(D260,[3]Standard!$B$9:$F$101,5,FALSE),IF(BA260="121-365 Days",VLOOKUP(D260,[3]Standard!$B$9:$G$101,6,FALSE),VLOOKUP(D260,[3]Standard!$B$9:$H$101,7,FALSE)))),0)</f>
        <v>1293680</v>
      </c>
      <c r="L260" s="272">
        <f>IFERROR(IF(BA260="WIP - 30 Days",VLOOKUP(D260,[3]Standard!$B$9:$J$101,9,FALSE),IF(BA260="31-120 Days",VLOOKUP(D260,[3]Standard!$B$9:$K$100,10,FALSE),IF(BA260="121-365 Days",VLOOKUP(D260,[3]Standard!$B$9:$L$101,11,FALSE),VLOOKUP(D260,[3]Standard!$B$9:$M$101,12,FALSE)))),0)</f>
        <v>1256000</v>
      </c>
      <c r="M260" s="269">
        <f>IFERROR(VLOOKUP((D260&amp;C260)&amp;"",'[2]Retail Price List'!$C$4:$F$102,4,FALSE),"")</f>
        <v>1605000</v>
      </c>
      <c r="N260" s="269">
        <f>IFERROR(IF(BA260="WIP - 30 Days",VLOOKUP(D260,[3]Extended!$B$9:$E$101,4,FALSE),IF(BA260="31-120 Days",VLOOKUP(D260,[3]Extended!$B$9:$F$101,5,FALSE),IF(BA260="121-365 Days",VLOOKUP(D260,[3]Extended!$B$9:$G$101,6,FALSE),VLOOKUP(D260,[3]Extended!$B$9:$H$101,7,FALSE)))),0)</f>
        <v>1355583</v>
      </c>
      <c r="O260" s="269">
        <f>IFERROR(IF(BA260="WIP - 30 Days",VLOOKUP(D260,[3]Extended!$B$9:$J$101,9,FALSE),IF(BA260="31-120 Days",VLOOKUP(D260,[3]Extended!$B$9:$K$101,10,FALSE),IF(BA260="121-365 Days",VLOOKUP(D260,[3]Extended!$B$9:$L$101,11,FALSE),VLOOKUP(D260,[3]Extended!$B$9:$M$101,12,FALSE)))),0)</f>
        <v>1316100</v>
      </c>
      <c r="P260" s="116">
        <f t="shared" si="16"/>
        <v>0.18</v>
      </c>
      <c r="Q260" s="110" t="e">
        <f>O260-#REF!</f>
        <v>#REF!</v>
      </c>
      <c r="S260" s="110" t="e">
        <f>+AVERAGE(#REF!)</f>
        <v>#REF!</v>
      </c>
      <c r="W260" s="311"/>
      <c r="X260" s="311"/>
      <c r="Y260" s="311"/>
      <c r="Z260" s="311"/>
      <c r="AA260" s="311"/>
      <c r="AB260" s="311"/>
      <c r="AC260" s="311"/>
      <c r="AT260" s="88" t="str">
        <f t="shared" si="17"/>
        <v>TGS000102017Q214,7</v>
      </c>
      <c r="AU260" s="89" t="str">
        <f t="shared" si="18"/>
        <v>06-2017</v>
      </c>
      <c r="BA260" s="92" t="str">
        <f t="shared" si="19"/>
        <v>WIP - 30 Days</v>
      </c>
    </row>
    <row r="261" spans="2:53">
      <c r="B261" s="60">
        <f>[2]Trucks!A258</f>
        <v>47272</v>
      </c>
      <c r="C261" s="11" t="str">
        <f>[2]Trucks!B258</f>
        <v>TGS-25-4406X2BLS-LX</v>
      </c>
      <c r="D261" s="19" t="str">
        <f>IFERROR(VLOOKUP(C261&amp;"",'[2]Retail Price List'!$A$3:$B$103,2,FALSE),"Special Order")</f>
        <v>TGS00010</v>
      </c>
      <c r="E261" s="18" t="str">
        <f>[2]Trucks!J258</f>
        <v>CKD</v>
      </c>
      <c r="F261" s="12" t="str">
        <f>[2]Trucks!E258</f>
        <v>2017-10-25</v>
      </c>
      <c r="G261" s="56">
        <f>[2]Trucks!K258</f>
        <v>14.7</v>
      </c>
      <c r="H261" s="46">
        <f>[2]Trucks!I258</f>
        <v>42909</v>
      </c>
      <c r="I261" s="83" t="str">
        <f t="shared" ref="I261:I324" si="20">IFERROR(VLOOKUP(AU261,$AW$5:$AY$40,3,FALSE),"")</f>
        <v>2017Q2</v>
      </c>
      <c r="J261" s="272">
        <f>IFERROR(VLOOKUP((D261&amp;C261)&amp;"",'[2]Retail Price List'!$C$4:$F$102,3,FALSE),"")</f>
        <v>1570000</v>
      </c>
      <c r="K261" s="272">
        <f>IFERROR(IF(BA261="WIP - 30 Days",VLOOKUP(D261,[3]Standard!$B$9:$E$101,4,FALSE),IF(BA261="31-120 Days",VLOOKUP(D261,[3]Standard!$B$9:$F$101,5,FALSE),IF(BA261="121-365 Days",VLOOKUP(D261,[3]Standard!$B$9:$G$101,6,FALSE),VLOOKUP(D261,[3]Standard!$B$9:$H$101,7,FALSE)))),0)</f>
        <v>1293680</v>
      </c>
      <c r="L261" s="272">
        <f>IFERROR(IF(BA261="WIP - 30 Days",VLOOKUP(D261,[3]Standard!$B$9:$J$101,9,FALSE),IF(BA261="31-120 Days",VLOOKUP(D261,[3]Standard!$B$9:$K$100,10,FALSE),IF(BA261="121-365 Days",VLOOKUP(D261,[3]Standard!$B$9:$L$101,11,FALSE),VLOOKUP(D261,[3]Standard!$B$9:$M$101,12,FALSE)))),0)</f>
        <v>1256000</v>
      </c>
      <c r="M261" s="269">
        <f>IFERROR(VLOOKUP((D261&amp;C261)&amp;"",'[2]Retail Price List'!$C$4:$F$102,4,FALSE),"")</f>
        <v>1605000</v>
      </c>
      <c r="N261" s="269">
        <f>IFERROR(IF(BA261="WIP - 30 Days",VLOOKUP(D261,[3]Extended!$B$9:$E$101,4,FALSE),IF(BA261="31-120 Days",VLOOKUP(D261,[3]Extended!$B$9:$F$101,5,FALSE),IF(BA261="121-365 Days",VLOOKUP(D261,[3]Extended!$B$9:$G$101,6,FALSE),VLOOKUP(D261,[3]Extended!$B$9:$H$101,7,FALSE)))),0)</f>
        <v>1355583</v>
      </c>
      <c r="O261" s="269">
        <f>IFERROR(IF(BA261="WIP - 30 Days",VLOOKUP(D261,[3]Extended!$B$9:$J$101,9,FALSE),IF(BA261="31-120 Days",VLOOKUP(D261,[3]Extended!$B$9:$K$101,10,FALSE),IF(BA261="121-365 Days",VLOOKUP(D261,[3]Extended!$B$9:$L$101,11,FALSE),VLOOKUP(D261,[3]Extended!$B$9:$M$101,12,FALSE)))),0)</f>
        <v>1316100</v>
      </c>
      <c r="P261" s="116">
        <f t="shared" ref="P261:P324" si="21">(M261-O261)/M261</f>
        <v>0.18</v>
      </c>
      <c r="Q261" s="110" t="e">
        <f>O261-#REF!</f>
        <v>#REF!</v>
      </c>
      <c r="W261" s="311"/>
      <c r="X261" s="311"/>
      <c r="Y261" s="311"/>
      <c r="Z261" s="311"/>
      <c r="AA261" s="311"/>
      <c r="AB261" s="311"/>
      <c r="AC261" s="311"/>
      <c r="AT261" s="88" t="str">
        <f t="shared" ref="AT261:AT324" si="22">D261&amp;I261&amp;G261</f>
        <v>TGS000102017Q214,7</v>
      </c>
      <c r="AU261" s="89" t="str">
        <f t="shared" ref="AU261:AU324" si="23">IF(MONTH(H261)&lt;10,0&amp;MONTH(H261)&amp;"-"&amp;YEAR(H261),MONTH(H261)&amp;"-"&amp;YEAR(H261))</f>
        <v>06-2017</v>
      </c>
      <c r="BA261" s="92" t="str">
        <f t="shared" ref="BA261:BA324" si="24">IF(B261=0,"",IF(AND(F261&gt;=31,F261&lt;=120),"31-120 Days",IF(AND(F261&gt;=121,F261&lt;=365),"121-365 Days",IF(OR(E261="CKD",F261&lt;=30),"WIP - 30 Days","&gt;365 Days"))))</f>
        <v>WIP - 30 Days</v>
      </c>
    </row>
    <row r="262" spans="2:53">
      <c r="B262" s="60">
        <f>[2]Trucks!A259</f>
        <v>47273</v>
      </c>
      <c r="C262" s="11" t="str">
        <f>[2]Trucks!B259</f>
        <v>TGS-25-4406X2BLS-LX</v>
      </c>
      <c r="D262" s="19" t="str">
        <f>IFERROR(VLOOKUP(C262&amp;"",'[2]Retail Price List'!$A$3:$B$103,2,FALSE),"Special Order")</f>
        <v>TGS00010</v>
      </c>
      <c r="E262" s="18" t="str">
        <f>[2]Trucks!J259</f>
        <v>CKD</v>
      </c>
      <c r="F262" s="12" t="str">
        <f>[2]Trucks!E259</f>
        <v>2017-10-25</v>
      </c>
      <c r="G262" s="56">
        <f>[2]Trucks!K259</f>
        <v>14.7</v>
      </c>
      <c r="H262" s="46">
        <f>[2]Trucks!I259</f>
        <v>42909</v>
      </c>
      <c r="I262" s="83" t="str">
        <f t="shared" si="20"/>
        <v>2017Q2</v>
      </c>
      <c r="J262" s="272">
        <f>IFERROR(VLOOKUP((D262&amp;C262)&amp;"",'[2]Retail Price List'!$C$4:$F$102,3,FALSE),"")</f>
        <v>1570000</v>
      </c>
      <c r="K262" s="272">
        <f>IFERROR(IF(BA262="WIP - 30 Days",VLOOKUP(D262,[3]Standard!$B$9:$E$101,4,FALSE),IF(BA262="31-120 Days",VLOOKUP(D262,[3]Standard!$B$9:$F$101,5,FALSE),IF(BA262="121-365 Days",VLOOKUP(D262,[3]Standard!$B$9:$G$101,6,FALSE),VLOOKUP(D262,[3]Standard!$B$9:$H$101,7,FALSE)))),0)</f>
        <v>1293680</v>
      </c>
      <c r="L262" s="272">
        <f>IFERROR(IF(BA262="WIP - 30 Days",VLOOKUP(D262,[3]Standard!$B$9:$J$101,9,FALSE),IF(BA262="31-120 Days",VLOOKUP(D262,[3]Standard!$B$9:$K$100,10,FALSE),IF(BA262="121-365 Days",VLOOKUP(D262,[3]Standard!$B$9:$L$101,11,FALSE),VLOOKUP(D262,[3]Standard!$B$9:$M$101,12,FALSE)))),0)</f>
        <v>1256000</v>
      </c>
      <c r="M262" s="269">
        <f>IFERROR(VLOOKUP((D262&amp;C262)&amp;"",'[2]Retail Price List'!$C$4:$F$102,4,FALSE),"")</f>
        <v>1605000</v>
      </c>
      <c r="N262" s="269">
        <f>IFERROR(IF(BA262="WIP - 30 Days",VLOOKUP(D262,[3]Extended!$B$9:$E$101,4,FALSE),IF(BA262="31-120 Days",VLOOKUP(D262,[3]Extended!$B$9:$F$101,5,FALSE),IF(BA262="121-365 Days",VLOOKUP(D262,[3]Extended!$B$9:$G$101,6,FALSE),VLOOKUP(D262,[3]Extended!$B$9:$H$101,7,FALSE)))),0)</f>
        <v>1355583</v>
      </c>
      <c r="O262" s="269">
        <f>IFERROR(IF(BA262="WIP - 30 Days",VLOOKUP(D262,[3]Extended!$B$9:$J$101,9,FALSE),IF(BA262="31-120 Days",VLOOKUP(D262,[3]Extended!$B$9:$K$101,10,FALSE),IF(BA262="121-365 Days",VLOOKUP(D262,[3]Extended!$B$9:$L$101,11,FALSE),VLOOKUP(D262,[3]Extended!$B$9:$M$101,12,FALSE)))),0)</f>
        <v>1316100</v>
      </c>
      <c r="P262" s="116">
        <f t="shared" si="21"/>
        <v>0.18</v>
      </c>
      <c r="Q262" s="110" t="e">
        <f>O262-#REF!</f>
        <v>#REF!</v>
      </c>
      <c r="W262" s="311"/>
      <c r="X262" s="311"/>
      <c r="Y262" s="311"/>
      <c r="Z262" s="311"/>
      <c r="AA262" s="311"/>
      <c r="AB262" s="311"/>
      <c r="AC262" s="311"/>
      <c r="AT262" s="88" t="str">
        <f t="shared" si="22"/>
        <v>TGS000102017Q214,7</v>
      </c>
      <c r="AU262" s="89" t="str">
        <f t="shared" si="23"/>
        <v>06-2017</v>
      </c>
      <c r="BA262" s="92" t="str">
        <f t="shared" si="24"/>
        <v>WIP - 30 Days</v>
      </c>
    </row>
    <row r="263" spans="2:53">
      <c r="B263" s="60">
        <f>[2]Trucks!A260</f>
        <v>47376</v>
      </c>
      <c r="C263" s="11" t="str">
        <f>[2]Trucks!B260</f>
        <v>TGS-26-4406X4BLS-LX</v>
      </c>
      <c r="D263" s="19" t="str">
        <f>IFERROR(VLOOKUP(C263&amp;"",'[2]Retail Price List'!$A$3:$B$103,2,FALSE),"Special Order")</f>
        <v>KP000634</v>
      </c>
      <c r="E263" s="18" t="str">
        <f>[2]Trucks!J260</f>
        <v>BOOKED : 2017-08-17</v>
      </c>
      <c r="F263" s="12" t="str">
        <f>[2]Trucks!E260</f>
        <v>2017-11-15</v>
      </c>
      <c r="G263" s="56">
        <f>[2]Trucks!K260</f>
        <v>14.7</v>
      </c>
      <c r="H263" s="46">
        <f>[2]Trucks!I260</f>
        <v>42937</v>
      </c>
      <c r="I263" s="83" t="str">
        <f t="shared" si="20"/>
        <v>2017Q3</v>
      </c>
      <c r="J263" s="272">
        <f>IFERROR(VLOOKUP((D263&amp;C263)&amp;"",'[2]Retail Price List'!$C$4:$F$102,3,FALSE),"")</f>
        <v>1700000</v>
      </c>
      <c r="K263" s="272">
        <f>IFERROR(IF(BA263="WIP - 30 Days",VLOOKUP(D263,[3]Standard!$B$9:$E$101,4,FALSE),IF(BA263="31-120 Days",VLOOKUP(D263,[3]Standard!$B$9:$F$101,5,FALSE),IF(BA263="121-365 Days",VLOOKUP(D263,[3]Standard!$B$9:$G$101,6,FALSE),VLOOKUP(D263,[3]Standard!$B$9:$H$101,7,FALSE)))),0)</f>
        <v>1202020.2020202021</v>
      </c>
      <c r="L263" s="272">
        <f>IFERROR(IF(BA263="WIP - 30 Days",VLOOKUP(D263,[3]Standard!$B$9:$J$101,9,FALSE),IF(BA263="31-120 Days",VLOOKUP(D263,[3]Standard!$B$9:$K$100,10,FALSE),IF(BA263="121-365 Days",VLOOKUP(D263,[3]Standard!$B$9:$L$101,11,FALSE),VLOOKUP(D263,[3]Standard!$B$9:$M$101,12,FALSE)))),0)</f>
        <v>1190000</v>
      </c>
      <c r="M263" s="269">
        <f>IFERROR(VLOOKUP((D263&amp;C263)&amp;"",'[2]Retail Price List'!$C$4:$F$102,4,FALSE),"")</f>
        <v>1735000</v>
      </c>
      <c r="N263" s="269">
        <f>IFERROR(IF(BA263="WIP - 30 Days",VLOOKUP(D263,[3]Extended!$B$9:$E$101,4,FALSE),IF(BA263="31-120 Days",VLOOKUP(D263,[3]Extended!$B$9:$F$101,5,FALSE),IF(BA263="121-365 Days",VLOOKUP(D263,[3]Extended!$B$9:$G$101,6,FALSE),VLOOKUP(D263,[3]Extended!$B$9:$H$101,7,FALSE)))),0)</f>
        <v>1226767.6767676768</v>
      </c>
      <c r="O263" s="269">
        <f>IFERROR(IF(BA263="WIP - 30 Days",VLOOKUP(D263,[3]Extended!$B$9:$J$101,9,FALSE),IF(BA263="31-120 Days",VLOOKUP(D263,[3]Extended!$B$9:$K$101,10,FALSE),IF(BA263="121-365 Days",VLOOKUP(D263,[3]Extended!$B$9:$L$101,11,FALSE),VLOOKUP(D263,[3]Extended!$B$9:$M$101,12,FALSE)))),0)</f>
        <v>1214500</v>
      </c>
      <c r="P263" s="116">
        <f t="shared" si="21"/>
        <v>0.3</v>
      </c>
      <c r="Q263" s="110" t="e">
        <f>O263-#REF!</f>
        <v>#REF!</v>
      </c>
      <c r="W263" s="311"/>
      <c r="X263" s="311"/>
      <c r="Y263" s="311"/>
      <c r="Z263" s="311"/>
      <c r="AA263" s="311"/>
      <c r="AB263" s="311"/>
      <c r="AC263" s="311"/>
      <c r="AT263" s="88" t="str">
        <f t="shared" si="22"/>
        <v>KP0006342017Q314,7</v>
      </c>
      <c r="AU263" s="89" t="str">
        <f t="shared" si="23"/>
        <v>07-2017</v>
      </c>
      <c r="BA263" s="92" t="str">
        <f t="shared" si="24"/>
        <v>&gt;365 Days</v>
      </c>
    </row>
    <row r="264" spans="2:53">
      <c r="B264" s="60">
        <f>[2]Trucks!A261</f>
        <v>47377</v>
      </c>
      <c r="C264" s="11" t="str">
        <f>[2]Trucks!B261</f>
        <v>TGS-26-4406X4BLS-LX</v>
      </c>
      <c r="D264" s="19" t="str">
        <f>IFERROR(VLOOKUP(C264&amp;"",'[2]Retail Price List'!$A$3:$B$103,2,FALSE),"Special Order")</f>
        <v>KP000634</v>
      </c>
      <c r="E264" s="18" t="str">
        <f>[2]Trucks!J261</f>
        <v>BOOKED : 2017-08-17</v>
      </c>
      <c r="F264" s="12" t="str">
        <f>[2]Trucks!E261</f>
        <v>2017-11-15</v>
      </c>
      <c r="G264" s="56">
        <f>[2]Trucks!K261</f>
        <v>14.7</v>
      </c>
      <c r="H264" s="46">
        <f>[2]Trucks!I261</f>
        <v>42937</v>
      </c>
      <c r="I264" s="83" t="str">
        <f t="shared" si="20"/>
        <v>2017Q3</v>
      </c>
      <c r="J264" s="272">
        <f>IFERROR(VLOOKUP((D264&amp;C264)&amp;"",'[2]Retail Price List'!$C$4:$F$102,3,FALSE),"")</f>
        <v>1700000</v>
      </c>
      <c r="K264" s="272">
        <f>IFERROR(IF(BA264="WIP - 30 Days",VLOOKUP(D264,[3]Standard!$B$9:$E$101,4,FALSE),IF(BA264="31-120 Days",VLOOKUP(D264,[3]Standard!$B$9:$F$101,5,FALSE),IF(BA264="121-365 Days",VLOOKUP(D264,[3]Standard!$B$9:$G$101,6,FALSE),VLOOKUP(D264,[3]Standard!$B$9:$H$101,7,FALSE)))),0)</f>
        <v>1202020.2020202021</v>
      </c>
      <c r="L264" s="272">
        <f>IFERROR(IF(BA264="WIP - 30 Days",VLOOKUP(D264,[3]Standard!$B$9:$J$101,9,FALSE),IF(BA264="31-120 Days",VLOOKUP(D264,[3]Standard!$B$9:$K$100,10,FALSE),IF(BA264="121-365 Days",VLOOKUP(D264,[3]Standard!$B$9:$L$101,11,FALSE),VLOOKUP(D264,[3]Standard!$B$9:$M$101,12,FALSE)))),0)</f>
        <v>1190000</v>
      </c>
      <c r="M264" s="269">
        <f>IFERROR(VLOOKUP((D264&amp;C264)&amp;"",'[2]Retail Price List'!$C$4:$F$102,4,FALSE),"")</f>
        <v>1735000</v>
      </c>
      <c r="N264" s="269">
        <f>IFERROR(IF(BA264="WIP - 30 Days",VLOOKUP(D264,[3]Extended!$B$9:$E$101,4,FALSE),IF(BA264="31-120 Days",VLOOKUP(D264,[3]Extended!$B$9:$F$101,5,FALSE),IF(BA264="121-365 Days",VLOOKUP(D264,[3]Extended!$B$9:$G$101,6,FALSE),VLOOKUP(D264,[3]Extended!$B$9:$H$101,7,FALSE)))),0)</f>
        <v>1226767.6767676768</v>
      </c>
      <c r="O264" s="269">
        <f>IFERROR(IF(BA264="WIP - 30 Days",VLOOKUP(D264,[3]Extended!$B$9:$J$101,9,FALSE),IF(BA264="31-120 Days",VLOOKUP(D264,[3]Extended!$B$9:$K$101,10,FALSE),IF(BA264="121-365 Days",VLOOKUP(D264,[3]Extended!$B$9:$L$101,11,FALSE),VLOOKUP(D264,[3]Extended!$B$9:$M$101,12,FALSE)))),0)</f>
        <v>1214500</v>
      </c>
      <c r="P264" s="116">
        <f t="shared" si="21"/>
        <v>0.3</v>
      </c>
      <c r="Q264" s="110" t="e">
        <f>O264-#REF!</f>
        <v>#REF!</v>
      </c>
      <c r="W264" s="311"/>
      <c r="X264" s="311"/>
      <c r="Y264" s="311"/>
      <c r="Z264" s="311"/>
      <c r="AA264" s="311"/>
      <c r="AB264" s="311"/>
      <c r="AC264" s="311"/>
      <c r="AT264" s="88" t="str">
        <f t="shared" si="22"/>
        <v>KP0006342017Q314,7</v>
      </c>
      <c r="AU264" s="89" t="str">
        <f t="shared" si="23"/>
        <v>07-2017</v>
      </c>
      <c r="BA264" s="92" t="str">
        <f t="shared" si="24"/>
        <v>&gt;365 Days</v>
      </c>
    </row>
    <row r="265" spans="2:53">
      <c r="B265" s="60">
        <f>[2]Trucks!A262</f>
        <v>47378</v>
      </c>
      <c r="C265" s="11" t="str">
        <f>[2]Trucks!B262</f>
        <v>TGS-26-4406X4BLS-LX</v>
      </c>
      <c r="D265" s="19" t="str">
        <f>IFERROR(VLOOKUP(C265&amp;"",'[2]Retail Price List'!$A$3:$B$103,2,FALSE),"Special Order")</f>
        <v>KP000634</v>
      </c>
      <c r="E265" s="18" t="str">
        <f>[2]Trucks!J262</f>
        <v>BOOKED : 2017-08-17</v>
      </c>
      <c r="F265" s="12" t="str">
        <f>[2]Trucks!E262</f>
        <v>2017-11-15</v>
      </c>
      <c r="G265" s="56">
        <f>[2]Trucks!K262</f>
        <v>14.7</v>
      </c>
      <c r="H265" s="46">
        <f>[2]Trucks!I262</f>
        <v>42937</v>
      </c>
      <c r="I265" s="83" t="str">
        <f t="shared" si="20"/>
        <v>2017Q3</v>
      </c>
      <c r="J265" s="272">
        <f>IFERROR(VLOOKUP((D265&amp;C265)&amp;"",'[2]Retail Price List'!$C$4:$F$102,3,FALSE),"")</f>
        <v>1700000</v>
      </c>
      <c r="K265" s="272">
        <f>IFERROR(IF(BA265="WIP - 30 Days",VLOOKUP(D265,[3]Standard!$B$9:$E$101,4,FALSE),IF(BA265="31-120 Days",VLOOKUP(D265,[3]Standard!$B$9:$F$101,5,FALSE),IF(BA265="121-365 Days",VLOOKUP(D265,[3]Standard!$B$9:$G$101,6,FALSE),VLOOKUP(D265,[3]Standard!$B$9:$H$101,7,FALSE)))),0)</f>
        <v>1202020.2020202021</v>
      </c>
      <c r="L265" s="272">
        <f>IFERROR(IF(BA265="WIP - 30 Days",VLOOKUP(D265,[3]Standard!$B$9:$J$101,9,FALSE),IF(BA265="31-120 Days",VLOOKUP(D265,[3]Standard!$B$9:$K$100,10,FALSE),IF(BA265="121-365 Days",VLOOKUP(D265,[3]Standard!$B$9:$L$101,11,FALSE),VLOOKUP(D265,[3]Standard!$B$9:$M$101,12,FALSE)))),0)</f>
        <v>1190000</v>
      </c>
      <c r="M265" s="269">
        <f>IFERROR(VLOOKUP((D265&amp;C265)&amp;"",'[2]Retail Price List'!$C$4:$F$102,4,FALSE),"")</f>
        <v>1735000</v>
      </c>
      <c r="N265" s="269">
        <f>IFERROR(IF(BA265="WIP - 30 Days",VLOOKUP(D265,[3]Extended!$B$9:$E$101,4,FALSE),IF(BA265="31-120 Days",VLOOKUP(D265,[3]Extended!$B$9:$F$101,5,FALSE),IF(BA265="121-365 Days",VLOOKUP(D265,[3]Extended!$B$9:$G$101,6,FALSE),VLOOKUP(D265,[3]Extended!$B$9:$H$101,7,FALSE)))),0)</f>
        <v>1226767.6767676768</v>
      </c>
      <c r="O265" s="269">
        <f>IFERROR(IF(BA265="WIP - 30 Days",VLOOKUP(D265,[3]Extended!$B$9:$J$101,9,FALSE),IF(BA265="31-120 Days",VLOOKUP(D265,[3]Extended!$B$9:$K$101,10,FALSE),IF(BA265="121-365 Days",VLOOKUP(D265,[3]Extended!$B$9:$L$101,11,FALSE),VLOOKUP(D265,[3]Extended!$B$9:$M$101,12,FALSE)))),0)</f>
        <v>1214500</v>
      </c>
      <c r="P265" s="116">
        <f t="shared" si="21"/>
        <v>0.3</v>
      </c>
      <c r="Q265" s="110" t="e">
        <f>O265-#REF!</f>
        <v>#REF!</v>
      </c>
      <c r="W265" s="311"/>
      <c r="X265" s="311"/>
      <c r="Y265" s="311"/>
      <c r="Z265" s="311"/>
      <c r="AA265" s="311"/>
      <c r="AB265" s="311"/>
      <c r="AC265" s="311"/>
      <c r="AT265" s="88" t="str">
        <f t="shared" si="22"/>
        <v>KP0006342017Q314,7</v>
      </c>
      <c r="AU265" s="89" t="str">
        <f t="shared" si="23"/>
        <v>07-2017</v>
      </c>
      <c r="BA265" s="92" t="str">
        <f t="shared" si="24"/>
        <v>&gt;365 Days</v>
      </c>
    </row>
    <row r="266" spans="2:53">
      <c r="B266" s="60">
        <f>[2]Trucks!A263</f>
        <v>47379</v>
      </c>
      <c r="C266" s="11" t="str">
        <f>[2]Trucks!B263</f>
        <v>TGS-26-4406X4BLS-LX</v>
      </c>
      <c r="D266" s="19" t="str">
        <f>IFERROR(VLOOKUP(C266&amp;"",'[2]Retail Price List'!$A$3:$B$103,2,FALSE),"Special Order")</f>
        <v>KP000634</v>
      </c>
      <c r="E266" s="18" t="str">
        <f>[2]Trucks!J263</f>
        <v>BOOKED : 2017-08-17</v>
      </c>
      <c r="F266" s="12" t="str">
        <f>[2]Trucks!E263</f>
        <v>2017-11-15</v>
      </c>
      <c r="G266" s="56">
        <f>[2]Trucks!K263</f>
        <v>14.7</v>
      </c>
      <c r="H266" s="46">
        <f>[2]Trucks!I263</f>
        <v>42937</v>
      </c>
      <c r="I266" s="83" t="str">
        <f t="shared" si="20"/>
        <v>2017Q3</v>
      </c>
      <c r="J266" s="272">
        <f>IFERROR(VLOOKUP((D266&amp;C266)&amp;"",'[2]Retail Price List'!$C$4:$F$102,3,FALSE),"")</f>
        <v>1700000</v>
      </c>
      <c r="K266" s="272">
        <f>IFERROR(IF(BA266="WIP - 30 Days",VLOOKUP(D266,[3]Standard!$B$9:$E$101,4,FALSE),IF(BA266="31-120 Days",VLOOKUP(D266,[3]Standard!$B$9:$F$101,5,FALSE),IF(BA266="121-365 Days",VLOOKUP(D266,[3]Standard!$B$9:$G$101,6,FALSE),VLOOKUP(D266,[3]Standard!$B$9:$H$101,7,FALSE)))),0)</f>
        <v>1202020.2020202021</v>
      </c>
      <c r="L266" s="272">
        <f>IFERROR(IF(BA266="WIP - 30 Days",VLOOKUP(D266,[3]Standard!$B$9:$J$101,9,FALSE),IF(BA266="31-120 Days",VLOOKUP(D266,[3]Standard!$B$9:$K$100,10,FALSE),IF(BA266="121-365 Days",VLOOKUP(D266,[3]Standard!$B$9:$L$101,11,FALSE),VLOOKUP(D266,[3]Standard!$B$9:$M$101,12,FALSE)))),0)</f>
        <v>1190000</v>
      </c>
      <c r="M266" s="269">
        <f>IFERROR(VLOOKUP((D266&amp;C266)&amp;"",'[2]Retail Price List'!$C$4:$F$102,4,FALSE),"")</f>
        <v>1735000</v>
      </c>
      <c r="N266" s="269">
        <f>IFERROR(IF(BA266="WIP - 30 Days",VLOOKUP(D266,[3]Extended!$B$9:$E$101,4,FALSE),IF(BA266="31-120 Days",VLOOKUP(D266,[3]Extended!$B$9:$F$101,5,FALSE),IF(BA266="121-365 Days",VLOOKUP(D266,[3]Extended!$B$9:$G$101,6,FALSE),VLOOKUP(D266,[3]Extended!$B$9:$H$101,7,FALSE)))),0)</f>
        <v>1226767.6767676768</v>
      </c>
      <c r="O266" s="269">
        <f>IFERROR(IF(BA266="WIP - 30 Days",VLOOKUP(D266,[3]Extended!$B$9:$J$101,9,FALSE),IF(BA266="31-120 Days",VLOOKUP(D266,[3]Extended!$B$9:$K$101,10,FALSE),IF(BA266="121-365 Days",VLOOKUP(D266,[3]Extended!$B$9:$L$101,11,FALSE),VLOOKUP(D266,[3]Extended!$B$9:$M$101,12,FALSE)))),0)</f>
        <v>1214500</v>
      </c>
      <c r="P266" s="116">
        <f t="shared" si="21"/>
        <v>0.3</v>
      </c>
      <c r="Q266" s="110" t="e">
        <f>O266-#REF!</f>
        <v>#REF!</v>
      </c>
      <c r="W266" s="311"/>
      <c r="X266" s="311"/>
      <c r="Y266" s="311"/>
      <c r="Z266" s="311"/>
      <c r="AA266" s="311"/>
      <c r="AB266" s="311"/>
      <c r="AC266" s="311"/>
      <c r="AT266" s="88" t="str">
        <f t="shared" si="22"/>
        <v>KP0006342017Q314,7</v>
      </c>
      <c r="AU266" s="89" t="str">
        <f t="shared" si="23"/>
        <v>07-2017</v>
      </c>
      <c r="BA266" s="92" t="str">
        <f t="shared" si="24"/>
        <v>&gt;365 Days</v>
      </c>
    </row>
    <row r="267" spans="2:53">
      <c r="B267" s="60">
        <f>[2]Trucks!A264</f>
        <v>47380</v>
      </c>
      <c r="C267" s="11" t="str">
        <f>[2]Trucks!B264</f>
        <v>TGS-26-4406X4BLS-LX</v>
      </c>
      <c r="D267" s="19" t="str">
        <f>IFERROR(VLOOKUP(C267&amp;"",'[2]Retail Price List'!$A$3:$B$103,2,FALSE),"Special Order")</f>
        <v>KP000634</v>
      </c>
      <c r="E267" s="18" t="str">
        <f>[2]Trucks!J264</f>
        <v>BOOKED : 2017-08-17</v>
      </c>
      <c r="F267" s="12" t="str">
        <f>[2]Trucks!E264</f>
        <v>2017-11-15</v>
      </c>
      <c r="G267" s="56">
        <f>[2]Trucks!K264</f>
        <v>14.7</v>
      </c>
      <c r="H267" s="46">
        <f>[2]Trucks!I264</f>
        <v>42937</v>
      </c>
      <c r="I267" s="83" t="str">
        <f t="shared" si="20"/>
        <v>2017Q3</v>
      </c>
      <c r="J267" s="272">
        <f>IFERROR(VLOOKUP((D267&amp;C267)&amp;"",'[2]Retail Price List'!$C$4:$F$102,3,FALSE),"")</f>
        <v>1700000</v>
      </c>
      <c r="K267" s="272">
        <f>IFERROR(IF(BA267="WIP - 30 Days",VLOOKUP(D267,[3]Standard!$B$9:$E$101,4,FALSE),IF(BA267="31-120 Days",VLOOKUP(D267,[3]Standard!$B$9:$F$101,5,FALSE),IF(BA267="121-365 Days",VLOOKUP(D267,[3]Standard!$B$9:$G$101,6,FALSE),VLOOKUP(D267,[3]Standard!$B$9:$H$101,7,FALSE)))),0)</f>
        <v>1202020.2020202021</v>
      </c>
      <c r="L267" s="272">
        <f>IFERROR(IF(BA267="WIP - 30 Days",VLOOKUP(D267,[3]Standard!$B$9:$J$101,9,FALSE),IF(BA267="31-120 Days",VLOOKUP(D267,[3]Standard!$B$9:$K$100,10,FALSE),IF(BA267="121-365 Days",VLOOKUP(D267,[3]Standard!$B$9:$L$101,11,FALSE),VLOOKUP(D267,[3]Standard!$B$9:$M$101,12,FALSE)))),0)</f>
        <v>1190000</v>
      </c>
      <c r="M267" s="269">
        <f>IFERROR(VLOOKUP((D267&amp;C267)&amp;"",'[2]Retail Price List'!$C$4:$F$102,4,FALSE),"")</f>
        <v>1735000</v>
      </c>
      <c r="N267" s="269">
        <f>IFERROR(IF(BA267="WIP - 30 Days",VLOOKUP(D267,[3]Extended!$B$9:$E$101,4,FALSE),IF(BA267="31-120 Days",VLOOKUP(D267,[3]Extended!$B$9:$F$101,5,FALSE),IF(BA267="121-365 Days",VLOOKUP(D267,[3]Extended!$B$9:$G$101,6,FALSE),VLOOKUP(D267,[3]Extended!$B$9:$H$101,7,FALSE)))),0)</f>
        <v>1226767.6767676768</v>
      </c>
      <c r="O267" s="269">
        <f>IFERROR(IF(BA267="WIP - 30 Days",VLOOKUP(D267,[3]Extended!$B$9:$J$101,9,FALSE),IF(BA267="31-120 Days",VLOOKUP(D267,[3]Extended!$B$9:$K$101,10,FALSE),IF(BA267="121-365 Days",VLOOKUP(D267,[3]Extended!$B$9:$L$101,11,FALSE),VLOOKUP(D267,[3]Extended!$B$9:$M$101,12,FALSE)))),0)</f>
        <v>1214500</v>
      </c>
      <c r="P267" s="116">
        <f t="shared" si="21"/>
        <v>0.3</v>
      </c>
      <c r="Q267" s="110" t="e">
        <f>O267-#REF!</f>
        <v>#REF!</v>
      </c>
      <c r="W267" s="311"/>
      <c r="X267" s="311"/>
      <c r="Y267" s="311"/>
      <c r="Z267" s="311"/>
      <c r="AA267" s="311"/>
      <c r="AB267" s="311"/>
      <c r="AC267" s="311"/>
      <c r="AT267" s="88" t="str">
        <f t="shared" si="22"/>
        <v>KP0006342017Q314,7</v>
      </c>
      <c r="AU267" s="89" t="str">
        <f t="shared" si="23"/>
        <v>07-2017</v>
      </c>
      <c r="BA267" s="92" t="str">
        <f t="shared" si="24"/>
        <v>&gt;365 Days</v>
      </c>
    </row>
    <row r="268" spans="2:53">
      <c r="B268" s="60">
        <f>[2]Trucks!A265</f>
        <v>47381</v>
      </c>
      <c r="C268" s="11" t="str">
        <f>[2]Trucks!B265</f>
        <v>TGS-26-4406X4BLS-LX</v>
      </c>
      <c r="D268" s="19" t="str">
        <f>IFERROR(VLOOKUP(C268&amp;"",'[2]Retail Price List'!$A$3:$B$103,2,FALSE),"Special Order")</f>
        <v>KP000634</v>
      </c>
      <c r="E268" s="18" t="str">
        <f>[2]Trucks!J265</f>
        <v>BOOKED : 2017-08-17</v>
      </c>
      <c r="F268" s="12" t="str">
        <f>[2]Trucks!E265</f>
        <v>2017-11-15</v>
      </c>
      <c r="G268" s="56">
        <f>[2]Trucks!K265</f>
        <v>14.7</v>
      </c>
      <c r="H268" s="46">
        <f>[2]Trucks!I265</f>
        <v>42937</v>
      </c>
      <c r="I268" s="83" t="str">
        <f t="shared" si="20"/>
        <v>2017Q3</v>
      </c>
      <c r="J268" s="272">
        <f>IFERROR(VLOOKUP((D268&amp;C268)&amp;"",'[2]Retail Price List'!$C$4:$F$102,3,FALSE),"")</f>
        <v>1700000</v>
      </c>
      <c r="K268" s="272">
        <f>IFERROR(IF(BA268="WIP - 30 Days",VLOOKUP(D268,[3]Standard!$B$9:$E$101,4,FALSE),IF(BA268="31-120 Days",VLOOKUP(D268,[3]Standard!$B$9:$F$101,5,FALSE),IF(BA268="121-365 Days",VLOOKUP(D268,[3]Standard!$B$9:$G$101,6,FALSE),VLOOKUP(D268,[3]Standard!$B$9:$H$101,7,FALSE)))),0)</f>
        <v>1202020.2020202021</v>
      </c>
      <c r="L268" s="272">
        <f>IFERROR(IF(BA268="WIP - 30 Days",VLOOKUP(D268,[3]Standard!$B$9:$J$101,9,FALSE),IF(BA268="31-120 Days",VLOOKUP(D268,[3]Standard!$B$9:$K$100,10,FALSE),IF(BA268="121-365 Days",VLOOKUP(D268,[3]Standard!$B$9:$L$101,11,FALSE),VLOOKUP(D268,[3]Standard!$B$9:$M$101,12,FALSE)))),0)</f>
        <v>1190000</v>
      </c>
      <c r="M268" s="269">
        <f>IFERROR(VLOOKUP((D268&amp;C268)&amp;"",'[2]Retail Price List'!$C$4:$F$102,4,FALSE),"")</f>
        <v>1735000</v>
      </c>
      <c r="N268" s="269">
        <f>IFERROR(IF(BA268="WIP - 30 Days",VLOOKUP(D268,[3]Extended!$B$9:$E$101,4,FALSE),IF(BA268="31-120 Days",VLOOKUP(D268,[3]Extended!$B$9:$F$101,5,FALSE),IF(BA268="121-365 Days",VLOOKUP(D268,[3]Extended!$B$9:$G$101,6,FALSE),VLOOKUP(D268,[3]Extended!$B$9:$H$101,7,FALSE)))),0)</f>
        <v>1226767.6767676768</v>
      </c>
      <c r="O268" s="269">
        <f>IFERROR(IF(BA268="WIP - 30 Days",VLOOKUP(D268,[3]Extended!$B$9:$J$101,9,FALSE),IF(BA268="31-120 Days",VLOOKUP(D268,[3]Extended!$B$9:$K$101,10,FALSE),IF(BA268="121-365 Days",VLOOKUP(D268,[3]Extended!$B$9:$L$101,11,FALSE),VLOOKUP(D268,[3]Extended!$B$9:$M$101,12,FALSE)))),0)</f>
        <v>1214500</v>
      </c>
      <c r="P268" s="116">
        <f t="shared" si="21"/>
        <v>0.3</v>
      </c>
      <c r="Q268" s="110" t="e">
        <f>O268-#REF!</f>
        <v>#REF!</v>
      </c>
      <c r="W268" s="311"/>
      <c r="X268" s="311"/>
      <c r="Y268" s="311"/>
      <c r="Z268" s="311"/>
      <c r="AA268" s="311"/>
      <c r="AB268" s="311"/>
      <c r="AC268" s="311"/>
      <c r="AT268" s="88" t="str">
        <f t="shared" si="22"/>
        <v>KP0006342017Q314,7</v>
      </c>
      <c r="AU268" s="89" t="str">
        <f t="shared" si="23"/>
        <v>07-2017</v>
      </c>
      <c r="BA268" s="92" t="str">
        <f t="shared" si="24"/>
        <v>&gt;365 Days</v>
      </c>
    </row>
    <row r="269" spans="2:53">
      <c r="B269" s="60">
        <f>[2]Trucks!A266</f>
        <v>47382</v>
      </c>
      <c r="C269" s="11" t="str">
        <f>[2]Trucks!B266</f>
        <v>TGS-26-4406X4BLS-LX</v>
      </c>
      <c r="D269" s="19" t="str">
        <f>IFERROR(VLOOKUP(C269&amp;"",'[2]Retail Price List'!$A$3:$B$103,2,FALSE),"Special Order")</f>
        <v>KP000634</v>
      </c>
      <c r="E269" s="18" t="str">
        <f>[2]Trucks!J266</f>
        <v>BOOKED : 2017-08-17</v>
      </c>
      <c r="F269" s="12" t="str">
        <f>[2]Trucks!E266</f>
        <v>2017-11-15</v>
      </c>
      <c r="G269" s="56">
        <f>[2]Trucks!K266</f>
        <v>14.7</v>
      </c>
      <c r="H269" s="46">
        <f>[2]Trucks!I266</f>
        <v>42937</v>
      </c>
      <c r="I269" s="83" t="str">
        <f t="shared" si="20"/>
        <v>2017Q3</v>
      </c>
      <c r="J269" s="272">
        <f>IFERROR(VLOOKUP((D269&amp;C269)&amp;"",'[2]Retail Price List'!$C$4:$F$102,3,FALSE),"")</f>
        <v>1700000</v>
      </c>
      <c r="K269" s="272">
        <f>IFERROR(IF(BA269="WIP - 30 Days",VLOOKUP(D269,[3]Standard!$B$9:$E$101,4,FALSE),IF(BA269="31-120 Days",VLOOKUP(D269,[3]Standard!$B$9:$F$101,5,FALSE),IF(BA269="121-365 Days",VLOOKUP(D269,[3]Standard!$B$9:$G$101,6,FALSE),VLOOKUP(D269,[3]Standard!$B$9:$H$101,7,FALSE)))),0)</f>
        <v>1202020.2020202021</v>
      </c>
      <c r="L269" s="272">
        <f>IFERROR(IF(BA269="WIP - 30 Days",VLOOKUP(D269,[3]Standard!$B$9:$J$101,9,FALSE),IF(BA269="31-120 Days",VLOOKUP(D269,[3]Standard!$B$9:$K$100,10,FALSE),IF(BA269="121-365 Days",VLOOKUP(D269,[3]Standard!$B$9:$L$101,11,FALSE),VLOOKUP(D269,[3]Standard!$B$9:$M$101,12,FALSE)))),0)</f>
        <v>1190000</v>
      </c>
      <c r="M269" s="269">
        <f>IFERROR(VLOOKUP((D269&amp;C269)&amp;"",'[2]Retail Price List'!$C$4:$F$102,4,FALSE),"")</f>
        <v>1735000</v>
      </c>
      <c r="N269" s="269">
        <f>IFERROR(IF(BA269="WIP - 30 Days",VLOOKUP(D269,[3]Extended!$B$9:$E$101,4,FALSE),IF(BA269="31-120 Days",VLOOKUP(D269,[3]Extended!$B$9:$F$101,5,FALSE),IF(BA269="121-365 Days",VLOOKUP(D269,[3]Extended!$B$9:$G$101,6,FALSE),VLOOKUP(D269,[3]Extended!$B$9:$H$101,7,FALSE)))),0)</f>
        <v>1226767.6767676768</v>
      </c>
      <c r="O269" s="269">
        <f>IFERROR(IF(BA269="WIP - 30 Days",VLOOKUP(D269,[3]Extended!$B$9:$J$101,9,FALSE),IF(BA269="31-120 Days",VLOOKUP(D269,[3]Extended!$B$9:$K$101,10,FALSE),IF(BA269="121-365 Days",VLOOKUP(D269,[3]Extended!$B$9:$L$101,11,FALSE),VLOOKUP(D269,[3]Extended!$B$9:$M$101,12,FALSE)))),0)</f>
        <v>1214500</v>
      </c>
      <c r="P269" s="116">
        <f t="shared" si="21"/>
        <v>0.3</v>
      </c>
      <c r="Q269" s="110" t="e">
        <f>O269-#REF!</f>
        <v>#REF!</v>
      </c>
      <c r="W269" s="311"/>
      <c r="X269" s="311"/>
      <c r="Y269" s="311"/>
      <c r="Z269" s="311"/>
      <c r="AA269" s="311"/>
      <c r="AB269" s="311"/>
      <c r="AC269" s="311"/>
      <c r="AT269" s="88" t="str">
        <f t="shared" si="22"/>
        <v>KP0006342017Q314,7</v>
      </c>
      <c r="AU269" s="89" t="str">
        <f t="shared" si="23"/>
        <v>07-2017</v>
      </c>
      <c r="BA269" s="92" t="str">
        <f t="shared" si="24"/>
        <v>&gt;365 Days</v>
      </c>
    </row>
    <row r="270" spans="2:53">
      <c r="B270" s="60">
        <f>[2]Trucks!A267</f>
        <v>47383</v>
      </c>
      <c r="C270" s="11" t="str">
        <f>[2]Trucks!B267</f>
        <v>TGS-26-4406X4BLS-LX</v>
      </c>
      <c r="D270" s="19" t="str">
        <f>IFERROR(VLOOKUP(C270&amp;"",'[2]Retail Price List'!$A$3:$B$103,2,FALSE),"Special Order")</f>
        <v>KP000634</v>
      </c>
      <c r="E270" s="18" t="str">
        <f>[2]Trucks!J267</f>
        <v>BOOKED : 2017-08-17</v>
      </c>
      <c r="F270" s="12" t="str">
        <f>[2]Trucks!E267</f>
        <v>2017-11-15</v>
      </c>
      <c r="G270" s="56">
        <f>[2]Trucks!K267</f>
        <v>14.7</v>
      </c>
      <c r="H270" s="46">
        <f>[2]Trucks!I267</f>
        <v>42937</v>
      </c>
      <c r="I270" s="83" t="str">
        <f t="shared" si="20"/>
        <v>2017Q3</v>
      </c>
      <c r="J270" s="272">
        <f>IFERROR(VLOOKUP((D270&amp;C270)&amp;"",'[2]Retail Price List'!$C$4:$F$102,3,FALSE),"")</f>
        <v>1700000</v>
      </c>
      <c r="K270" s="272">
        <f>IFERROR(IF(BA270="WIP - 30 Days",VLOOKUP(D270,[3]Standard!$B$9:$E$101,4,FALSE),IF(BA270="31-120 Days",VLOOKUP(D270,[3]Standard!$B$9:$F$101,5,FALSE),IF(BA270="121-365 Days",VLOOKUP(D270,[3]Standard!$B$9:$G$101,6,FALSE),VLOOKUP(D270,[3]Standard!$B$9:$H$101,7,FALSE)))),0)</f>
        <v>1202020.2020202021</v>
      </c>
      <c r="L270" s="272">
        <f>IFERROR(IF(BA270="WIP - 30 Days",VLOOKUP(D270,[3]Standard!$B$9:$J$101,9,FALSE),IF(BA270="31-120 Days",VLOOKUP(D270,[3]Standard!$B$9:$K$100,10,FALSE),IF(BA270="121-365 Days",VLOOKUP(D270,[3]Standard!$B$9:$L$101,11,FALSE),VLOOKUP(D270,[3]Standard!$B$9:$M$101,12,FALSE)))),0)</f>
        <v>1190000</v>
      </c>
      <c r="M270" s="269">
        <f>IFERROR(VLOOKUP((D270&amp;C270)&amp;"",'[2]Retail Price List'!$C$4:$F$102,4,FALSE),"")</f>
        <v>1735000</v>
      </c>
      <c r="N270" s="269">
        <f>IFERROR(IF(BA270="WIP - 30 Days",VLOOKUP(D270,[3]Extended!$B$9:$E$101,4,FALSE),IF(BA270="31-120 Days",VLOOKUP(D270,[3]Extended!$B$9:$F$101,5,FALSE),IF(BA270="121-365 Days",VLOOKUP(D270,[3]Extended!$B$9:$G$101,6,FALSE),VLOOKUP(D270,[3]Extended!$B$9:$H$101,7,FALSE)))),0)</f>
        <v>1226767.6767676768</v>
      </c>
      <c r="O270" s="269">
        <f>IFERROR(IF(BA270="WIP - 30 Days",VLOOKUP(D270,[3]Extended!$B$9:$J$101,9,FALSE),IF(BA270="31-120 Days",VLOOKUP(D270,[3]Extended!$B$9:$K$101,10,FALSE),IF(BA270="121-365 Days",VLOOKUP(D270,[3]Extended!$B$9:$L$101,11,FALSE),VLOOKUP(D270,[3]Extended!$B$9:$M$101,12,FALSE)))),0)</f>
        <v>1214500</v>
      </c>
      <c r="P270" s="116">
        <f t="shared" si="21"/>
        <v>0.3</v>
      </c>
      <c r="Q270" s="110" t="e">
        <f>O270-#REF!</f>
        <v>#REF!</v>
      </c>
      <c r="W270" s="311"/>
      <c r="X270" s="311"/>
      <c r="Y270" s="311"/>
      <c r="Z270" s="311"/>
      <c r="AA270" s="311"/>
      <c r="AB270" s="311"/>
      <c r="AC270" s="311"/>
      <c r="AT270" s="88" t="str">
        <f t="shared" si="22"/>
        <v>KP0006342017Q314,7</v>
      </c>
      <c r="AU270" s="89" t="str">
        <f t="shared" si="23"/>
        <v>07-2017</v>
      </c>
      <c r="BA270" s="92" t="str">
        <f t="shared" si="24"/>
        <v>&gt;365 Days</v>
      </c>
    </row>
    <row r="271" spans="2:53">
      <c r="B271" s="60">
        <f>[2]Trucks!A268</f>
        <v>47384</v>
      </c>
      <c r="C271" s="11" t="str">
        <f>[2]Trucks!B268</f>
        <v>TGS-26-4406X4BLS-LX</v>
      </c>
      <c r="D271" s="19" t="str">
        <f>IFERROR(VLOOKUP(C271&amp;"",'[2]Retail Price List'!$A$3:$B$103,2,FALSE),"Special Order")</f>
        <v>KP000634</v>
      </c>
      <c r="E271" s="18" t="str">
        <f>[2]Trucks!J268</f>
        <v>BOOKED : 2017-08-17</v>
      </c>
      <c r="F271" s="12" t="str">
        <f>[2]Trucks!E268</f>
        <v>2017-11-20</v>
      </c>
      <c r="G271" s="56">
        <f>[2]Trucks!K268</f>
        <v>14.7</v>
      </c>
      <c r="H271" s="46">
        <f>[2]Trucks!I268</f>
        <v>42937</v>
      </c>
      <c r="I271" s="83" t="str">
        <f t="shared" si="20"/>
        <v>2017Q3</v>
      </c>
      <c r="J271" s="272">
        <f>IFERROR(VLOOKUP((D271&amp;C271)&amp;"",'[2]Retail Price List'!$C$4:$F$102,3,FALSE),"")</f>
        <v>1700000</v>
      </c>
      <c r="K271" s="272">
        <f>IFERROR(IF(BA271="WIP - 30 Days",VLOOKUP(D271,[3]Standard!$B$9:$E$101,4,FALSE),IF(BA271="31-120 Days",VLOOKUP(D271,[3]Standard!$B$9:$F$101,5,FALSE),IF(BA271="121-365 Days",VLOOKUP(D271,[3]Standard!$B$9:$G$101,6,FALSE),VLOOKUP(D271,[3]Standard!$B$9:$H$101,7,FALSE)))),0)</f>
        <v>1202020.2020202021</v>
      </c>
      <c r="L271" s="272">
        <f>IFERROR(IF(BA271="WIP - 30 Days",VLOOKUP(D271,[3]Standard!$B$9:$J$101,9,FALSE),IF(BA271="31-120 Days",VLOOKUP(D271,[3]Standard!$B$9:$K$100,10,FALSE),IF(BA271="121-365 Days",VLOOKUP(D271,[3]Standard!$B$9:$L$101,11,FALSE),VLOOKUP(D271,[3]Standard!$B$9:$M$101,12,FALSE)))),0)</f>
        <v>1190000</v>
      </c>
      <c r="M271" s="269">
        <f>IFERROR(VLOOKUP((D271&amp;C271)&amp;"",'[2]Retail Price List'!$C$4:$F$102,4,FALSE),"")</f>
        <v>1735000</v>
      </c>
      <c r="N271" s="269">
        <f>IFERROR(IF(BA271="WIP - 30 Days",VLOOKUP(D271,[3]Extended!$B$9:$E$101,4,FALSE),IF(BA271="31-120 Days",VLOOKUP(D271,[3]Extended!$B$9:$F$101,5,FALSE),IF(BA271="121-365 Days",VLOOKUP(D271,[3]Extended!$B$9:$G$101,6,FALSE),VLOOKUP(D271,[3]Extended!$B$9:$H$101,7,FALSE)))),0)</f>
        <v>1226767.6767676768</v>
      </c>
      <c r="O271" s="269">
        <f>IFERROR(IF(BA271="WIP - 30 Days",VLOOKUP(D271,[3]Extended!$B$9:$J$101,9,FALSE),IF(BA271="31-120 Days",VLOOKUP(D271,[3]Extended!$B$9:$K$101,10,FALSE),IF(BA271="121-365 Days",VLOOKUP(D271,[3]Extended!$B$9:$L$101,11,FALSE),VLOOKUP(D271,[3]Extended!$B$9:$M$101,12,FALSE)))),0)</f>
        <v>1214500</v>
      </c>
      <c r="P271" s="116">
        <f t="shared" si="21"/>
        <v>0.3</v>
      </c>
      <c r="Q271" s="110" t="e">
        <f>O271-#REF!</f>
        <v>#REF!</v>
      </c>
      <c r="W271" s="311"/>
      <c r="X271" s="311"/>
      <c r="Y271" s="311"/>
      <c r="Z271" s="311"/>
      <c r="AA271" s="311"/>
      <c r="AB271" s="311"/>
      <c r="AC271" s="311"/>
      <c r="AT271" s="88" t="str">
        <f t="shared" si="22"/>
        <v>KP0006342017Q314,7</v>
      </c>
      <c r="AU271" s="89" t="str">
        <f t="shared" si="23"/>
        <v>07-2017</v>
      </c>
      <c r="BA271" s="92" t="str">
        <f t="shared" si="24"/>
        <v>&gt;365 Days</v>
      </c>
    </row>
    <row r="272" spans="2:53">
      <c r="B272" s="60">
        <f>[2]Trucks!A269</f>
        <v>47385</v>
      </c>
      <c r="C272" s="11" t="str">
        <f>[2]Trucks!B269</f>
        <v>TGS-26-4406X4BLS-LX</v>
      </c>
      <c r="D272" s="19" t="str">
        <f>IFERROR(VLOOKUP(C272&amp;"",'[2]Retail Price List'!$A$3:$B$103,2,FALSE),"Special Order")</f>
        <v>KP000634</v>
      </c>
      <c r="E272" s="18" t="str">
        <f>[2]Trucks!J269</f>
        <v>BOOKED : 2017-08-17</v>
      </c>
      <c r="F272" s="12" t="str">
        <f>[2]Trucks!E269</f>
        <v>2017-11-20</v>
      </c>
      <c r="G272" s="56">
        <f>[2]Trucks!K269</f>
        <v>14.7</v>
      </c>
      <c r="H272" s="46">
        <f>[2]Trucks!I269</f>
        <v>42937</v>
      </c>
      <c r="I272" s="83" t="str">
        <f t="shared" si="20"/>
        <v>2017Q3</v>
      </c>
      <c r="J272" s="272">
        <f>IFERROR(VLOOKUP((D272&amp;C272)&amp;"",'[2]Retail Price List'!$C$4:$F$102,3,FALSE),"")</f>
        <v>1700000</v>
      </c>
      <c r="K272" s="272">
        <f>IFERROR(IF(BA272="WIP - 30 Days",VLOOKUP(D272,[3]Standard!$B$9:$E$101,4,FALSE),IF(BA272="31-120 Days",VLOOKUP(D272,[3]Standard!$B$9:$F$101,5,FALSE),IF(BA272="121-365 Days",VLOOKUP(D272,[3]Standard!$B$9:$G$101,6,FALSE),VLOOKUP(D272,[3]Standard!$B$9:$H$101,7,FALSE)))),0)</f>
        <v>1202020.2020202021</v>
      </c>
      <c r="L272" s="272">
        <f>IFERROR(IF(BA272="WIP - 30 Days",VLOOKUP(D272,[3]Standard!$B$9:$J$101,9,FALSE),IF(BA272="31-120 Days",VLOOKUP(D272,[3]Standard!$B$9:$K$100,10,FALSE),IF(BA272="121-365 Days",VLOOKUP(D272,[3]Standard!$B$9:$L$101,11,FALSE),VLOOKUP(D272,[3]Standard!$B$9:$M$101,12,FALSE)))),0)</f>
        <v>1190000</v>
      </c>
      <c r="M272" s="269">
        <f>IFERROR(VLOOKUP((D272&amp;C272)&amp;"",'[2]Retail Price List'!$C$4:$F$102,4,FALSE),"")</f>
        <v>1735000</v>
      </c>
      <c r="N272" s="269">
        <f>IFERROR(IF(BA272="WIP - 30 Days",VLOOKUP(D272,[3]Extended!$B$9:$E$101,4,FALSE),IF(BA272="31-120 Days",VLOOKUP(D272,[3]Extended!$B$9:$F$101,5,FALSE),IF(BA272="121-365 Days",VLOOKUP(D272,[3]Extended!$B$9:$G$101,6,FALSE),VLOOKUP(D272,[3]Extended!$B$9:$H$101,7,FALSE)))),0)</f>
        <v>1226767.6767676768</v>
      </c>
      <c r="O272" s="269">
        <f>IFERROR(IF(BA272="WIP - 30 Days",VLOOKUP(D272,[3]Extended!$B$9:$J$101,9,FALSE),IF(BA272="31-120 Days",VLOOKUP(D272,[3]Extended!$B$9:$K$101,10,FALSE),IF(BA272="121-365 Days",VLOOKUP(D272,[3]Extended!$B$9:$L$101,11,FALSE),VLOOKUP(D272,[3]Extended!$B$9:$M$101,12,FALSE)))),0)</f>
        <v>1214500</v>
      </c>
      <c r="P272" s="116">
        <f t="shared" si="21"/>
        <v>0.3</v>
      </c>
      <c r="Q272" s="110" t="e">
        <f>O272-#REF!</f>
        <v>#REF!</v>
      </c>
      <c r="W272" s="311"/>
      <c r="X272" s="311"/>
      <c r="Y272" s="311"/>
      <c r="Z272" s="311"/>
      <c r="AA272" s="311"/>
      <c r="AB272" s="311"/>
      <c r="AC272" s="311"/>
      <c r="AT272" s="88" t="str">
        <f t="shared" si="22"/>
        <v>KP0006342017Q314,7</v>
      </c>
      <c r="AU272" s="89" t="str">
        <f t="shared" si="23"/>
        <v>07-2017</v>
      </c>
      <c r="BA272" s="92" t="str">
        <f t="shared" si="24"/>
        <v>&gt;365 Days</v>
      </c>
    </row>
    <row r="273" spans="1:56">
      <c r="B273" s="60">
        <f>[2]Trucks!A270</f>
        <v>47386</v>
      </c>
      <c r="C273" s="11" t="str">
        <f>[2]Trucks!B270</f>
        <v>TGS-26-4406X4BLS-LX</v>
      </c>
      <c r="D273" s="19" t="str">
        <f>IFERROR(VLOOKUP(C273&amp;"",'[2]Retail Price List'!$A$3:$B$103,2,FALSE),"Special Order")</f>
        <v>KP000634</v>
      </c>
      <c r="E273" s="18" t="str">
        <f>[2]Trucks!J270</f>
        <v>BOOKED : 2017-08-17</v>
      </c>
      <c r="F273" s="12" t="str">
        <f>[2]Trucks!E270</f>
        <v>2017-11-20</v>
      </c>
      <c r="G273" s="56">
        <f>[2]Trucks!K270</f>
        <v>14.7</v>
      </c>
      <c r="H273" s="46">
        <f>[2]Trucks!I270</f>
        <v>42937</v>
      </c>
      <c r="I273" s="83" t="str">
        <f t="shared" si="20"/>
        <v>2017Q3</v>
      </c>
      <c r="J273" s="272">
        <f>IFERROR(VLOOKUP((D273&amp;C273)&amp;"",'[2]Retail Price List'!$C$4:$F$102,3,FALSE),"")</f>
        <v>1700000</v>
      </c>
      <c r="K273" s="272">
        <f>IFERROR(IF(BA273="WIP - 30 Days",VLOOKUP(D273,[3]Standard!$B$9:$E$101,4,FALSE),IF(BA273="31-120 Days",VLOOKUP(D273,[3]Standard!$B$9:$F$101,5,FALSE),IF(BA273="121-365 Days",VLOOKUP(D273,[3]Standard!$B$9:$G$101,6,FALSE),VLOOKUP(D273,[3]Standard!$B$9:$H$101,7,FALSE)))),0)</f>
        <v>1202020.2020202021</v>
      </c>
      <c r="L273" s="272">
        <f>IFERROR(IF(BA273="WIP - 30 Days",VLOOKUP(D273,[3]Standard!$B$9:$J$101,9,FALSE),IF(BA273="31-120 Days",VLOOKUP(D273,[3]Standard!$B$9:$K$100,10,FALSE),IF(BA273="121-365 Days",VLOOKUP(D273,[3]Standard!$B$9:$L$101,11,FALSE),VLOOKUP(D273,[3]Standard!$B$9:$M$101,12,FALSE)))),0)</f>
        <v>1190000</v>
      </c>
      <c r="M273" s="269">
        <f>IFERROR(VLOOKUP((D273&amp;C273)&amp;"",'[2]Retail Price List'!$C$4:$F$102,4,FALSE),"")</f>
        <v>1735000</v>
      </c>
      <c r="N273" s="269">
        <f>IFERROR(IF(BA273="WIP - 30 Days",VLOOKUP(D273,[3]Extended!$B$9:$E$101,4,FALSE),IF(BA273="31-120 Days",VLOOKUP(D273,[3]Extended!$B$9:$F$101,5,FALSE),IF(BA273="121-365 Days",VLOOKUP(D273,[3]Extended!$B$9:$G$101,6,FALSE),VLOOKUP(D273,[3]Extended!$B$9:$H$101,7,FALSE)))),0)</f>
        <v>1226767.6767676768</v>
      </c>
      <c r="O273" s="269">
        <f>IFERROR(IF(BA273="WIP - 30 Days",VLOOKUP(D273,[3]Extended!$B$9:$J$101,9,FALSE),IF(BA273="31-120 Days",VLOOKUP(D273,[3]Extended!$B$9:$K$101,10,FALSE),IF(BA273="121-365 Days",VLOOKUP(D273,[3]Extended!$B$9:$L$101,11,FALSE),VLOOKUP(D273,[3]Extended!$B$9:$M$101,12,FALSE)))),0)</f>
        <v>1214500</v>
      </c>
      <c r="P273" s="116">
        <f t="shared" si="21"/>
        <v>0.3</v>
      </c>
      <c r="Q273" s="110" t="e">
        <f>O273-#REF!</f>
        <v>#REF!</v>
      </c>
      <c r="W273" s="311"/>
      <c r="X273" s="311"/>
      <c r="Y273" s="311"/>
      <c r="Z273" s="311"/>
      <c r="AA273" s="311"/>
      <c r="AB273" s="311"/>
      <c r="AC273" s="311"/>
      <c r="AT273" s="88" t="str">
        <f t="shared" si="22"/>
        <v>KP0006342017Q314,7</v>
      </c>
      <c r="AU273" s="89" t="str">
        <f t="shared" si="23"/>
        <v>07-2017</v>
      </c>
      <c r="BA273" s="92" t="str">
        <f t="shared" si="24"/>
        <v>&gt;365 Days</v>
      </c>
    </row>
    <row r="274" spans="1:56">
      <c r="B274" s="60">
        <f>[2]Trucks!A271</f>
        <v>47387</v>
      </c>
      <c r="C274" s="11" t="str">
        <f>[2]Trucks!B271</f>
        <v>TGS-26-4406X4BLS-LX</v>
      </c>
      <c r="D274" s="19" t="str">
        <f>IFERROR(VLOOKUP(C274&amp;"",'[2]Retail Price List'!$A$3:$B$103,2,FALSE),"Special Order")</f>
        <v>KP000634</v>
      </c>
      <c r="E274" s="18" t="str">
        <f>[2]Trucks!J271</f>
        <v>BOOKED : 2017-08-17</v>
      </c>
      <c r="F274" s="12" t="str">
        <f>[2]Trucks!E271</f>
        <v>2017-11-20</v>
      </c>
      <c r="G274" s="56">
        <f>[2]Trucks!K271</f>
        <v>14.7</v>
      </c>
      <c r="H274" s="46">
        <f>[2]Trucks!I271</f>
        <v>42937</v>
      </c>
      <c r="I274" s="83" t="str">
        <f t="shared" si="20"/>
        <v>2017Q3</v>
      </c>
      <c r="J274" s="272">
        <f>IFERROR(VLOOKUP((D274&amp;C274)&amp;"",'[2]Retail Price List'!$C$4:$F$102,3,FALSE),"")</f>
        <v>1700000</v>
      </c>
      <c r="K274" s="272">
        <f>IFERROR(IF(BA274="WIP - 30 Days",VLOOKUP(D274,[3]Standard!$B$9:$E$101,4,FALSE),IF(BA274="31-120 Days",VLOOKUP(D274,[3]Standard!$B$9:$F$101,5,FALSE),IF(BA274="121-365 Days",VLOOKUP(D274,[3]Standard!$B$9:$G$101,6,FALSE),VLOOKUP(D274,[3]Standard!$B$9:$H$101,7,FALSE)))),0)</f>
        <v>1202020.2020202021</v>
      </c>
      <c r="L274" s="272">
        <f>IFERROR(IF(BA274="WIP - 30 Days",VLOOKUP(D274,[3]Standard!$B$9:$J$101,9,FALSE),IF(BA274="31-120 Days",VLOOKUP(D274,[3]Standard!$B$9:$K$100,10,FALSE),IF(BA274="121-365 Days",VLOOKUP(D274,[3]Standard!$B$9:$L$101,11,FALSE),VLOOKUP(D274,[3]Standard!$B$9:$M$101,12,FALSE)))),0)</f>
        <v>1190000</v>
      </c>
      <c r="M274" s="269">
        <f>IFERROR(VLOOKUP((D274&amp;C274)&amp;"",'[2]Retail Price List'!$C$4:$F$102,4,FALSE),"")</f>
        <v>1735000</v>
      </c>
      <c r="N274" s="269">
        <f>IFERROR(IF(BA274="WIP - 30 Days",VLOOKUP(D274,[3]Extended!$B$9:$E$101,4,FALSE),IF(BA274="31-120 Days",VLOOKUP(D274,[3]Extended!$B$9:$F$101,5,FALSE),IF(BA274="121-365 Days",VLOOKUP(D274,[3]Extended!$B$9:$G$101,6,FALSE),VLOOKUP(D274,[3]Extended!$B$9:$H$101,7,FALSE)))),0)</f>
        <v>1226767.6767676768</v>
      </c>
      <c r="O274" s="269">
        <f>IFERROR(IF(BA274="WIP - 30 Days",VLOOKUP(D274,[3]Extended!$B$9:$J$101,9,FALSE),IF(BA274="31-120 Days",VLOOKUP(D274,[3]Extended!$B$9:$K$101,10,FALSE),IF(BA274="121-365 Days",VLOOKUP(D274,[3]Extended!$B$9:$L$101,11,FALSE),VLOOKUP(D274,[3]Extended!$B$9:$M$101,12,FALSE)))),0)</f>
        <v>1214500</v>
      </c>
      <c r="P274" s="116">
        <f t="shared" si="21"/>
        <v>0.3</v>
      </c>
      <c r="Q274" s="110" t="e">
        <f>O274-#REF!</f>
        <v>#REF!</v>
      </c>
      <c r="W274" s="311"/>
      <c r="X274" s="311"/>
      <c r="Y274" s="311"/>
      <c r="Z274" s="311"/>
      <c r="AA274" s="311"/>
      <c r="AB274" s="311"/>
      <c r="AC274" s="311"/>
      <c r="AT274" s="88" t="str">
        <f t="shared" si="22"/>
        <v>KP0006342017Q314,7</v>
      </c>
      <c r="AU274" s="89" t="str">
        <f t="shared" si="23"/>
        <v>07-2017</v>
      </c>
      <c r="BA274" s="92" t="str">
        <f t="shared" si="24"/>
        <v>&gt;365 Days</v>
      </c>
    </row>
    <row r="275" spans="1:56">
      <c r="B275" s="60">
        <f>[2]Trucks!A272</f>
        <v>47388</v>
      </c>
      <c r="C275" s="11" t="str">
        <f>[2]Trucks!B272</f>
        <v>TGS-26-4406X4BLS-LX</v>
      </c>
      <c r="D275" s="19" t="str">
        <f>IFERROR(VLOOKUP(C275&amp;"",'[2]Retail Price List'!$A$3:$B$103,2,FALSE),"Special Order")</f>
        <v>KP000634</v>
      </c>
      <c r="E275" s="18" t="str">
        <f>[2]Trucks!J272</f>
        <v>BOOKED : 2017-08-17</v>
      </c>
      <c r="F275" s="12" t="str">
        <f>[2]Trucks!E272</f>
        <v>2017-11-20</v>
      </c>
      <c r="G275" s="56">
        <f>[2]Trucks!K272</f>
        <v>14.7</v>
      </c>
      <c r="H275" s="46">
        <f>[2]Trucks!I272</f>
        <v>42937</v>
      </c>
      <c r="I275" s="83" t="str">
        <f t="shared" si="20"/>
        <v>2017Q3</v>
      </c>
      <c r="J275" s="272">
        <f>IFERROR(VLOOKUP((D275&amp;C275)&amp;"",'[2]Retail Price List'!$C$4:$F$102,3,FALSE),"")</f>
        <v>1700000</v>
      </c>
      <c r="K275" s="272">
        <f>IFERROR(IF(BA275="WIP - 30 Days",VLOOKUP(D275,[3]Standard!$B$9:$E$101,4,FALSE),IF(BA275="31-120 Days",VLOOKUP(D275,[3]Standard!$B$9:$F$101,5,FALSE),IF(BA275="121-365 Days",VLOOKUP(D275,[3]Standard!$B$9:$G$101,6,FALSE),VLOOKUP(D275,[3]Standard!$B$9:$H$101,7,FALSE)))),0)</f>
        <v>1202020.2020202021</v>
      </c>
      <c r="L275" s="272">
        <f>IFERROR(IF(BA275="WIP - 30 Days",VLOOKUP(D275,[3]Standard!$B$9:$J$101,9,FALSE),IF(BA275="31-120 Days",VLOOKUP(D275,[3]Standard!$B$9:$K$100,10,FALSE),IF(BA275="121-365 Days",VLOOKUP(D275,[3]Standard!$B$9:$L$101,11,FALSE),VLOOKUP(D275,[3]Standard!$B$9:$M$101,12,FALSE)))),0)</f>
        <v>1190000</v>
      </c>
      <c r="M275" s="269">
        <f>IFERROR(VLOOKUP((D275&amp;C275)&amp;"",'[2]Retail Price List'!$C$4:$F$102,4,FALSE),"")</f>
        <v>1735000</v>
      </c>
      <c r="N275" s="269">
        <f>IFERROR(IF(BA275="WIP - 30 Days",VLOOKUP(D275,[3]Extended!$B$9:$E$101,4,FALSE),IF(BA275="31-120 Days",VLOOKUP(D275,[3]Extended!$B$9:$F$101,5,FALSE),IF(BA275="121-365 Days",VLOOKUP(D275,[3]Extended!$B$9:$G$101,6,FALSE),VLOOKUP(D275,[3]Extended!$B$9:$H$101,7,FALSE)))),0)</f>
        <v>1226767.6767676768</v>
      </c>
      <c r="O275" s="269">
        <f>IFERROR(IF(BA275="WIP - 30 Days",VLOOKUP(D275,[3]Extended!$B$9:$J$101,9,FALSE),IF(BA275="31-120 Days",VLOOKUP(D275,[3]Extended!$B$9:$K$101,10,FALSE),IF(BA275="121-365 Days",VLOOKUP(D275,[3]Extended!$B$9:$L$101,11,FALSE),VLOOKUP(D275,[3]Extended!$B$9:$M$101,12,FALSE)))),0)</f>
        <v>1214500</v>
      </c>
      <c r="P275" s="116">
        <f t="shared" si="21"/>
        <v>0.3</v>
      </c>
      <c r="Q275" s="110" t="e">
        <f>O275-#REF!</f>
        <v>#REF!</v>
      </c>
      <c r="W275" s="311"/>
      <c r="X275" s="311"/>
      <c r="Y275" s="311"/>
      <c r="Z275" s="311"/>
      <c r="AA275" s="311"/>
      <c r="AB275" s="311"/>
      <c r="AC275" s="311"/>
      <c r="AT275" s="88" t="str">
        <f t="shared" si="22"/>
        <v>KP0006342017Q314,7</v>
      </c>
      <c r="AU275" s="89" t="str">
        <f t="shared" si="23"/>
        <v>07-2017</v>
      </c>
      <c r="BA275" s="92" t="str">
        <f t="shared" si="24"/>
        <v>&gt;365 Days</v>
      </c>
    </row>
    <row r="276" spans="1:56">
      <c r="B276" s="60">
        <f>[2]Trucks!A273</f>
        <v>47389</v>
      </c>
      <c r="C276" s="11" t="str">
        <f>[2]Trucks!B273</f>
        <v>TGS-26-4406X4BLS-LX</v>
      </c>
      <c r="D276" s="19" t="str">
        <f>IFERROR(VLOOKUP(C276&amp;"",'[2]Retail Price List'!$A$3:$B$103,2,FALSE),"Special Order")</f>
        <v>KP000634</v>
      </c>
      <c r="E276" s="18" t="str">
        <f>[2]Trucks!J273</f>
        <v>BOOKED : 2017-08-17</v>
      </c>
      <c r="F276" s="12" t="str">
        <f>[2]Trucks!E273</f>
        <v>2017-11-20</v>
      </c>
      <c r="G276" s="56">
        <f>[2]Trucks!K273</f>
        <v>14.7</v>
      </c>
      <c r="H276" s="46">
        <f>[2]Trucks!I273</f>
        <v>42937</v>
      </c>
      <c r="I276" s="83" t="str">
        <f t="shared" si="20"/>
        <v>2017Q3</v>
      </c>
      <c r="J276" s="272">
        <f>IFERROR(VLOOKUP((D276&amp;C276)&amp;"",'[2]Retail Price List'!$C$4:$F$102,3,FALSE),"")</f>
        <v>1700000</v>
      </c>
      <c r="K276" s="272">
        <f>IFERROR(IF(BA276="WIP - 30 Days",VLOOKUP(D276,[3]Standard!$B$9:$E$101,4,FALSE),IF(BA276="31-120 Days",VLOOKUP(D276,[3]Standard!$B$9:$F$101,5,FALSE),IF(BA276="121-365 Days",VLOOKUP(D276,[3]Standard!$B$9:$G$101,6,FALSE),VLOOKUP(D276,[3]Standard!$B$9:$H$101,7,FALSE)))),0)</f>
        <v>1202020.2020202021</v>
      </c>
      <c r="L276" s="272">
        <f>IFERROR(IF(BA276="WIP - 30 Days",VLOOKUP(D276,[3]Standard!$B$9:$J$101,9,FALSE),IF(BA276="31-120 Days",VLOOKUP(D276,[3]Standard!$B$9:$K$100,10,FALSE),IF(BA276="121-365 Days",VLOOKUP(D276,[3]Standard!$B$9:$L$101,11,FALSE),VLOOKUP(D276,[3]Standard!$B$9:$M$101,12,FALSE)))),0)</f>
        <v>1190000</v>
      </c>
      <c r="M276" s="269">
        <f>IFERROR(VLOOKUP((D276&amp;C276)&amp;"",'[2]Retail Price List'!$C$4:$F$102,4,FALSE),"")</f>
        <v>1735000</v>
      </c>
      <c r="N276" s="269">
        <f>IFERROR(IF(BA276="WIP - 30 Days",VLOOKUP(D276,[3]Extended!$B$9:$E$101,4,FALSE),IF(BA276="31-120 Days",VLOOKUP(D276,[3]Extended!$B$9:$F$101,5,FALSE),IF(BA276="121-365 Days",VLOOKUP(D276,[3]Extended!$B$9:$G$101,6,FALSE),VLOOKUP(D276,[3]Extended!$B$9:$H$101,7,FALSE)))),0)</f>
        <v>1226767.6767676768</v>
      </c>
      <c r="O276" s="269">
        <f>IFERROR(IF(BA276="WIP - 30 Days",VLOOKUP(D276,[3]Extended!$B$9:$J$101,9,FALSE),IF(BA276="31-120 Days",VLOOKUP(D276,[3]Extended!$B$9:$K$101,10,FALSE),IF(BA276="121-365 Days",VLOOKUP(D276,[3]Extended!$B$9:$L$101,11,FALSE),VLOOKUP(D276,[3]Extended!$B$9:$M$101,12,FALSE)))),0)</f>
        <v>1214500</v>
      </c>
      <c r="P276" s="116">
        <f t="shared" si="21"/>
        <v>0.3</v>
      </c>
      <c r="Q276" s="110" t="e">
        <f>O276-#REF!</f>
        <v>#REF!</v>
      </c>
      <c r="W276" s="311"/>
      <c r="X276" s="311"/>
      <c r="Y276" s="311"/>
      <c r="Z276" s="311"/>
      <c r="AA276" s="311"/>
      <c r="AB276" s="311"/>
      <c r="AC276" s="311"/>
      <c r="AT276" s="88" t="str">
        <f t="shared" si="22"/>
        <v>KP0006342017Q314,7</v>
      </c>
      <c r="AU276" s="89" t="str">
        <f t="shared" si="23"/>
        <v>07-2017</v>
      </c>
      <c r="BA276" s="92" t="str">
        <f t="shared" si="24"/>
        <v>&gt;365 Days</v>
      </c>
    </row>
    <row r="277" spans="1:56">
      <c r="B277" s="60">
        <f>[2]Trucks!A274</f>
        <v>47390</v>
      </c>
      <c r="C277" s="11" t="str">
        <f>[2]Trucks!B274</f>
        <v>TGS-26-4406X4BLS-LX</v>
      </c>
      <c r="D277" s="19" t="str">
        <f>IFERROR(VLOOKUP(C277&amp;"",'[2]Retail Price List'!$A$3:$B$103,2,FALSE),"Special Order")</f>
        <v>KP000634</v>
      </c>
      <c r="E277" s="18" t="str">
        <f>[2]Trucks!J274</f>
        <v>CKD</v>
      </c>
      <c r="F277" s="12" t="str">
        <f>[2]Trucks!E274</f>
        <v>2017-11-20</v>
      </c>
      <c r="G277" s="56">
        <f>[2]Trucks!K274</f>
        <v>14.7</v>
      </c>
      <c r="H277" s="46">
        <f>[2]Trucks!I274</f>
        <v>42937</v>
      </c>
      <c r="I277" s="83" t="str">
        <f t="shared" si="20"/>
        <v>2017Q3</v>
      </c>
      <c r="J277" s="272">
        <f>IFERROR(VLOOKUP((D277&amp;C277)&amp;"",'[2]Retail Price List'!$C$4:$F$102,3,FALSE),"")</f>
        <v>1700000</v>
      </c>
      <c r="K277" s="272">
        <f>IFERROR(IF(BA277="WIP - 30 Days",VLOOKUP(D277,[3]Standard!$B$9:$E$101,4,FALSE),IF(BA277="31-120 Days",VLOOKUP(D277,[3]Standard!$B$9:$F$101,5,FALSE),IF(BA277="121-365 Days",VLOOKUP(D277,[3]Standard!$B$9:$G$101,6,FALSE),VLOOKUP(D277,[3]Standard!$B$9:$H$101,7,FALSE)))),0)</f>
        <v>1313250</v>
      </c>
      <c r="L277" s="272">
        <f>IFERROR(IF(BA277="WIP - 30 Days",VLOOKUP(D277,[3]Standard!$B$9:$J$101,9,FALSE),IF(BA277="31-120 Days",VLOOKUP(D277,[3]Standard!$B$9:$K$100,10,FALSE),IF(BA277="121-365 Days",VLOOKUP(D277,[3]Standard!$B$9:$L$101,11,FALSE),VLOOKUP(D277,[3]Standard!$B$9:$M$101,12,FALSE)))),0)</f>
        <v>1275000</v>
      </c>
      <c r="M277" s="269">
        <f>IFERROR(VLOOKUP((D277&amp;C277)&amp;"",'[2]Retail Price List'!$C$4:$F$102,4,FALSE),"")</f>
        <v>1735000</v>
      </c>
      <c r="N277" s="269">
        <f>IFERROR(IF(BA277="WIP - 30 Days",VLOOKUP(D277,[3]Extended!$B$9:$E$101,4,FALSE),IF(BA277="31-120 Days",VLOOKUP(D277,[3]Extended!$B$9:$F$101,5,FALSE),IF(BA277="121-365 Days",VLOOKUP(D277,[3]Extended!$B$9:$G$101,6,FALSE),VLOOKUP(D277,[3]Extended!$B$9:$H$101,7,FALSE)))),0)</f>
        <v>1322417</v>
      </c>
      <c r="O277" s="269">
        <f>IFERROR(IF(BA277="WIP - 30 Days",VLOOKUP(D277,[3]Extended!$B$9:$J$101,9,FALSE),IF(BA277="31-120 Days",VLOOKUP(D277,[3]Extended!$B$9:$K$101,10,FALSE),IF(BA277="121-365 Days",VLOOKUP(D277,[3]Extended!$B$9:$L$101,11,FALSE),VLOOKUP(D277,[3]Extended!$B$9:$M$101,12,FALSE)))),0)</f>
        <v>1283900</v>
      </c>
      <c r="P277" s="116">
        <f t="shared" si="21"/>
        <v>0.26</v>
      </c>
      <c r="Q277" s="110" t="e">
        <f>O277-#REF!</f>
        <v>#REF!</v>
      </c>
      <c r="W277" s="311"/>
      <c r="X277" s="311"/>
      <c r="Y277" s="311"/>
      <c r="Z277" s="311"/>
      <c r="AA277" s="311"/>
      <c r="AB277" s="311"/>
      <c r="AC277" s="311"/>
      <c r="AT277" s="88" t="str">
        <f t="shared" si="22"/>
        <v>KP0006342017Q314,7</v>
      </c>
      <c r="AU277" s="89" t="str">
        <f t="shared" si="23"/>
        <v>07-2017</v>
      </c>
      <c r="BA277" s="92" t="str">
        <f t="shared" si="24"/>
        <v>WIP - 30 Days</v>
      </c>
    </row>
    <row r="278" spans="1:56">
      <c r="B278" s="60">
        <f>[2]Trucks!A275</f>
        <v>47391</v>
      </c>
      <c r="C278" s="11" t="str">
        <f>[2]Trucks!B275</f>
        <v>TGS-26-4406X4BLS-LX</v>
      </c>
      <c r="D278" s="19" t="str">
        <f>IFERROR(VLOOKUP(C278&amp;"",'[2]Retail Price List'!$A$3:$B$103,2,FALSE),"Special Order")</f>
        <v>KP000634</v>
      </c>
      <c r="E278" s="18" t="str">
        <f>[2]Trucks!J275</f>
        <v>CKD</v>
      </c>
      <c r="F278" s="12" t="str">
        <f>[2]Trucks!E275</f>
        <v>2017-11-20</v>
      </c>
      <c r="G278" s="56">
        <f>[2]Trucks!K275</f>
        <v>14.7</v>
      </c>
      <c r="H278" s="46">
        <f>[2]Trucks!I275</f>
        <v>42937</v>
      </c>
      <c r="I278" s="83" t="str">
        <f t="shared" si="20"/>
        <v>2017Q3</v>
      </c>
      <c r="J278" s="272">
        <f>IFERROR(VLOOKUP((D278&amp;C278)&amp;"",'[2]Retail Price List'!$C$4:$F$102,3,FALSE),"")</f>
        <v>1700000</v>
      </c>
      <c r="K278" s="272">
        <f>IFERROR(IF(BA278="WIP - 30 Days",VLOOKUP(D278,[3]Standard!$B$9:$E$101,4,FALSE),IF(BA278="31-120 Days",VLOOKUP(D278,[3]Standard!$B$9:$F$101,5,FALSE),IF(BA278="121-365 Days",VLOOKUP(D278,[3]Standard!$B$9:$G$101,6,FALSE),VLOOKUP(D278,[3]Standard!$B$9:$H$101,7,FALSE)))),0)</f>
        <v>1313250</v>
      </c>
      <c r="L278" s="272">
        <f>IFERROR(IF(BA278="WIP - 30 Days",VLOOKUP(D278,[3]Standard!$B$9:$J$101,9,FALSE),IF(BA278="31-120 Days",VLOOKUP(D278,[3]Standard!$B$9:$K$100,10,FALSE),IF(BA278="121-365 Days",VLOOKUP(D278,[3]Standard!$B$9:$L$101,11,FALSE),VLOOKUP(D278,[3]Standard!$B$9:$M$101,12,FALSE)))),0)</f>
        <v>1275000</v>
      </c>
      <c r="M278" s="269">
        <f>IFERROR(VLOOKUP((D278&amp;C278)&amp;"",'[2]Retail Price List'!$C$4:$F$102,4,FALSE),"")</f>
        <v>1735000</v>
      </c>
      <c r="N278" s="269">
        <f>IFERROR(IF(BA278="WIP - 30 Days",VLOOKUP(D278,[3]Extended!$B$9:$E$101,4,FALSE),IF(BA278="31-120 Days",VLOOKUP(D278,[3]Extended!$B$9:$F$101,5,FALSE),IF(BA278="121-365 Days",VLOOKUP(D278,[3]Extended!$B$9:$G$101,6,FALSE),VLOOKUP(D278,[3]Extended!$B$9:$H$101,7,FALSE)))),0)</f>
        <v>1322417</v>
      </c>
      <c r="O278" s="269">
        <f>IFERROR(IF(BA278="WIP - 30 Days",VLOOKUP(D278,[3]Extended!$B$9:$J$101,9,FALSE),IF(BA278="31-120 Days",VLOOKUP(D278,[3]Extended!$B$9:$K$101,10,FALSE),IF(BA278="121-365 Days",VLOOKUP(D278,[3]Extended!$B$9:$L$101,11,FALSE),VLOOKUP(D278,[3]Extended!$B$9:$M$101,12,FALSE)))),0)</f>
        <v>1283900</v>
      </c>
      <c r="P278" s="116">
        <f t="shared" si="21"/>
        <v>0.26</v>
      </c>
      <c r="Q278" s="110" t="e">
        <f>O278-#REF!</f>
        <v>#REF!</v>
      </c>
      <c r="W278" s="311"/>
      <c r="X278" s="311"/>
      <c r="Y278" s="311"/>
      <c r="Z278" s="311"/>
      <c r="AA278" s="311"/>
      <c r="AB278" s="311"/>
      <c r="AC278" s="311"/>
      <c r="AT278" s="88" t="str">
        <f t="shared" si="22"/>
        <v>KP0006342017Q314,7</v>
      </c>
      <c r="AU278" s="89" t="str">
        <f t="shared" si="23"/>
        <v>07-2017</v>
      </c>
      <c r="BA278" s="92" t="str">
        <f t="shared" si="24"/>
        <v>WIP - 30 Days</v>
      </c>
    </row>
    <row r="279" spans="1:56" s="4" customFormat="1">
      <c r="A279" s="69"/>
      <c r="B279" s="60">
        <f>[2]Trucks!A276</f>
        <v>47392</v>
      </c>
      <c r="C279" s="11" t="str">
        <f>[2]Trucks!B276</f>
        <v>TGS-26-4406X4BLS-LX</v>
      </c>
      <c r="D279" s="19" t="str">
        <f>IFERROR(VLOOKUP(C279&amp;"",'[2]Retail Price List'!$A$3:$B$103,2,FALSE),"Special Order")</f>
        <v>KP000634</v>
      </c>
      <c r="E279" s="18" t="str">
        <f>[2]Trucks!J276</f>
        <v>CKD</v>
      </c>
      <c r="F279" s="12" t="str">
        <f>[2]Trucks!E276</f>
        <v>2017-12-5</v>
      </c>
      <c r="G279" s="56">
        <f>[2]Trucks!K276</f>
        <v>14.7</v>
      </c>
      <c r="H279" s="46">
        <f>[2]Trucks!I276</f>
        <v>42937</v>
      </c>
      <c r="I279" s="83" t="str">
        <f t="shared" si="20"/>
        <v>2017Q3</v>
      </c>
      <c r="J279" s="272">
        <f>IFERROR(VLOOKUP((D279&amp;C279)&amp;"",'[2]Retail Price List'!$C$4:$F$102,3,FALSE),"")</f>
        <v>1700000</v>
      </c>
      <c r="K279" s="272">
        <f>IFERROR(IF(BA279="WIP - 30 Days",VLOOKUP(D279,[3]Standard!$B$9:$E$101,4,FALSE),IF(BA279="31-120 Days",VLOOKUP(D279,[3]Standard!$B$9:$F$101,5,FALSE),IF(BA279="121-365 Days",VLOOKUP(D279,[3]Standard!$B$9:$G$101,6,FALSE),VLOOKUP(D279,[3]Standard!$B$9:$H$101,7,FALSE)))),0)</f>
        <v>1313250</v>
      </c>
      <c r="L279" s="272">
        <f>IFERROR(IF(BA279="WIP - 30 Days",VLOOKUP(D279,[3]Standard!$B$9:$J$101,9,FALSE),IF(BA279="31-120 Days",VLOOKUP(D279,[3]Standard!$B$9:$K$100,10,FALSE),IF(BA279="121-365 Days",VLOOKUP(D279,[3]Standard!$B$9:$L$101,11,FALSE),VLOOKUP(D279,[3]Standard!$B$9:$M$101,12,FALSE)))),0)</f>
        <v>1275000</v>
      </c>
      <c r="M279" s="269">
        <f>IFERROR(VLOOKUP((D279&amp;C279)&amp;"",'[2]Retail Price List'!$C$4:$F$102,4,FALSE),"")</f>
        <v>1735000</v>
      </c>
      <c r="N279" s="269">
        <f>IFERROR(IF(BA279="WIP - 30 Days",VLOOKUP(D279,[3]Extended!$B$9:$E$101,4,FALSE),IF(BA279="31-120 Days",VLOOKUP(D279,[3]Extended!$B$9:$F$101,5,FALSE),IF(BA279="121-365 Days",VLOOKUP(D279,[3]Extended!$B$9:$G$101,6,FALSE),VLOOKUP(D279,[3]Extended!$B$9:$H$101,7,FALSE)))),0)</f>
        <v>1322417</v>
      </c>
      <c r="O279" s="269">
        <f>IFERROR(IF(BA279="WIP - 30 Days",VLOOKUP(D279,[3]Extended!$B$9:$J$101,9,FALSE),IF(BA279="31-120 Days",VLOOKUP(D279,[3]Extended!$B$9:$K$101,10,FALSE),IF(BA279="121-365 Days",VLOOKUP(D279,[3]Extended!$B$9:$L$101,11,FALSE),VLOOKUP(D279,[3]Extended!$B$9:$M$101,12,FALSE)))),0)</f>
        <v>1283900</v>
      </c>
      <c r="P279" s="116">
        <f t="shared" si="21"/>
        <v>0.26</v>
      </c>
      <c r="Q279" s="110" t="e">
        <f>O279-#REF!</f>
        <v>#REF!</v>
      </c>
      <c r="R279" s="111" t="e">
        <f>SUM(Q256:Q278)/SUM(O256:O278)</f>
        <v>#REF!</v>
      </c>
      <c r="S279" s="112"/>
      <c r="T279" s="112"/>
      <c r="U279" s="112"/>
      <c r="V279" s="112"/>
      <c r="W279" s="311"/>
      <c r="X279" s="311"/>
      <c r="Y279" s="311"/>
      <c r="Z279" s="311"/>
      <c r="AA279" s="311"/>
      <c r="AB279" s="311"/>
      <c r="AC279" s="311"/>
      <c r="AD279" s="89"/>
      <c r="AE279" s="89"/>
      <c r="AF279" s="89"/>
      <c r="AG279" s="5"/>
      <c r="AH279" s="5"/>
      <c r="AI279" s="5"/>
      <c r="AJ279" s="5"/>
      <c r="AK279" s="5"/>
      <c r="AL279" s="5"/>
      <c r="AM279" s="5"/>
      <c r="AN279" s="5"/>
      <c r="AO279" s="5"/>
      <c r="AP279" s="5"/>
      <c r="AQ279" s="5"/>
      <c r="AR279" s="5"/>
      <c r="AS279" s="5"/>
      <c r="AT279" s="88" t="str">
        <f t="shared" si="22"/>
        <v>KP0006342017Q314,7</v>
      </c>
      <c r="AU279" s="89" t="str">
        <f t="shared" si="23"/>
        <v>07-2017</v>
      </c>
      <c r="AV279" s="89"/>
      <c r="AW279" s="89"/>
      <c r="AX279" s="89"/>
      <c r="AY279" s="89"/>
      <c r="AZ279" s="89"/>
      <c r="BA279" s="92" t="str">
        <f t="shared" si="24"/>
        <v>WIP - 30 Days</v>
      </c>
      <c r="BB279" s="89"/>
      <c r="BC279" s="97"/>
      <c r="BD279" s="97"/>
    </row>
    <row r="280" spans="1:56">
      <c r="B280" s="60">
        <f>[2]Trucks!A277</f>
        <v>47393</v>
      </c>
      <c r="C280" s="11" t="str">
        <f>[2]Trucks!B277</f>
        <v>TGS-26-4406X4BLS-LX</v>
      </c>
      <c r="D280" s="19" t="str">
        <f>IFERROR(VLOOKUP(C280&amp;"",'[2]Retail Price List'!$A$3:$B$103,2,FALSE),"Special Order")</f>
        <v>KP000634</v>
      </c>
      <c r="E280" s="18" t="str">
        <f>[2]Trucks!J277</f>
        <v>CKD</v>
      </c>
      <c r="F280" s="12" t="str">
        <f>[2]Trucks!E277</f>
        <v>2017-12-5</v>
      </c>
      <c r="G280" s="56">
        <f>[2]Trucks!K277</f>
        <v>14.7</v>
      </c>
      <c r="H280" s="46">
        <f>[2]Trucks!I277</f>
        <v>42937</v>
      </c>
      <c r="I280" s="83" t="str">
        <f t="shared" si="20"/>
        <v>2017Q3</v>
      </c>
      <c r="J280" s="272">
        <f>IFERROR(VLOOKUP((D280&amp;C280)&amp;"",'[2]Retail Price List'!$C$4:$F$102,3,FALSE),"")</f>
        <v>1700000</v>
      </c>
      <c r="K280" s="272">
        <f>IFERROR(IF(BA280="WIP - 30 Days",VLOOKUP(D280,[3]Standard!$B$9:$E$101,4,FALSE),IF(BA280="31-120 Days",VLOOKUP(D280,[3]Standard!$B$9:$F$101,5,FALSE),IF(BA280="121-365 Days",VLOOKUP(D280,[3]Standard!$B$9:$G$101,6,FALSE),VLOOKUP(D280,[3]Standard!$B$9:$H$101,7,FALSE)))),0)</f>
        <v>1313250</v>
      </c>
      <c r="L280" s="272">
        <f>IFERROR(IF(BA280="WIP - 30 Days",VLOOKUP(D280,[3]Standard!$B$9:$J$101,9,FALSE),IF(BA280="31-120 Days",VLOOKUP(D280,[3]Standard!$B$9:$K$100,10,FALSE),IF(BA280="121-365 Days",VLOOKUP(D280,[3]Standard!$B$9:$L$101,11,FALSE),VLOOKUP(D280,[3]Standard!$B$9:$M$101,12,FALSE)))),0)</f>
        <v>1275000</v>
      </c>
      <c r="M280" s="269">
        <f>IFERROR(VLOOKUP((D280&amp;C280)&amp;"",'[2]Retail Price List'!$C$4:$F$102,4,FALSE),"")</f>
        <v>1735000</v>
      </c>
      <c r="N280" s="269">
        <f>IFERROR(IF(BA280="WIP - 30 Days",VLOOKUP(D280,[3]Extended!$B$9:$E$101,4,FALSE),IF(BA280="31-120 Days",VLOOKUP(D280,[3]Extended!$B$9:$F$101,5,FALSE),IF(BA280="121-365 Days",VLOOKUP(D280,[3]Extended!$B$9:$G$101,6,FALSE),VLOOKUP(D280,[3]Extended!$B$9:$H$101,7,FALSE)))),0)</f>
        <v>1322417</v>
      </c>
      <c r="O280" s="269">
        <f>IFERROR(IF(BA280="WIP - 30 Days",VLOOKUP(D280,[3]Extended!$B$9:$J$101,9,FALSE),IF(BA280="31-120 Days",VLOOKUP(D280,[3]Extended!$B$9:$K$101,10,FALSE),IF(BA280="121-365 Days",VLOOKUP(D280,[3]Extended!$B$9:$L$101,11,FALSE),VLOOKUP(D280,[3]Extended!$B$9:$M$101,12,FALSE)))),0)</f>
        <v>1283900</v>
      </c>
      <c r="P280" s="116">
        <f t="shared" si="21"/>
        <v>0.26</v>
      </c>
      <c r="Q280" s="110" t="e">
        <f>O280-#REF!</f>
        <v>#REF!</v>
      </c>
      <c r="W280" s="311"/>
      <c r="X280" s="311"/>
      <c r="Y280" s="311"/>
      <c r="Z280" s="311"/>
      <c r="AA280" s="311"/>
      <c r="AB280" s="311"/>
      <c r="AC280" s="311"/>
      <c r="AT280" s="88" t="str">
        <f t="shared" si="22"/>
        <v>KP0006342017Q314,7</v>
      </c>
      <c r="AU280" s="89" t="str">
        <f t="shared" si="23"/>
        <v>07-2017</v>
      </c>
      <c r="BA280" s="92" t="str">
        <f t="shared" si="24"/>
        <v>WIP - 30 Days</v>
      </c>
    </row>
    <row r="281" spans="1:56">
      <c r="B281" s="60">
        <f>[2]Trucks!A278</f>
        <v>47394</v>
      </c>
      <c r="C281" s="11" t="str">
        <f>[2]Trucks!B278</f>
        <v>TGS-26-4406X4BLS-LX</v>
      </c>
      <c r="D281" s="19" t="str">
        <f>IFERROR(VLOOKUP(C281&amp;"",'[2]Retail Price List'!$A$3:$B$103,2,FALSE),"Special Order")</f>
        <v>KP000634</v>
      </c>
      <c r="E281" s="18" t="str">
        <f>[2]Trucks!J278</f>
        <v>CKD</v>
      </c>
      <c r="F281" s="12" t="str">
        <f>[2]Trucks!E278</f>
        <v>2017-12-5</v>
      </c>
      <c r="G281" s="56">
        <f>[2]Trucks!K278</f>
        <v>14.7</v>
      </c>
      <c r="H281" s="46">
        <f>[2]Trucks!I278</f>
        <v>42937</v>
      </c>
      <c r="I281" s="83" t="str">
        <f t="shared" si="20"/>
        <v>2017Q3</v>
      </c>
      <c r="J281" s="272">
        <f>IFERROR(VLOOKUP((D281&amp;C281)&amp;"",'[2]Retail Price List'!$C$4:$F$102,3,FALSE),"")</f>
        <v>1700000</v>
      </c>
      <c r="K281" s="272">
        <f>IFERROR(IF(BA281="WIP - 30 Days",VLOOKUP(D281,[3]Standard!$B$9:$E$101,4,FALSE),IF(BA281="31-120 Days",VLOOKUP(D281,[3]Standard!$B$9:$F$101,5,FALSE),IF(BA281="121-365 Days",VLOOKUP(D281,[3]Standard!$B$9:$G$101,6,FALSE),VLOOKUP(D281,[3]Standard!$B$9:$H$101,7,FALSE)))),0)</f>
        <v>1313250</v>
      </c>
      <c r="L281" s="272">
        <f>IFERROR(IF(BA281="WIP - 30 Days",VLOOKUP(D281,[3]Standard!$B$9:$J$101,9,FALSE),IF(BA281="31-120 Days",VLOOKUP(D281,[3]Standard!$B$9:$K$100,10,FALSE),IF(BA281="121-365 Days",VLOOKUP(D281,[3]Standard!$B$9:$L$101,11,FALSE),VLOOKUP(D281,[3]Standard!$B$9:$M$101,12,FALSE)))),0)</f>
        <v>1275000</v>
      </c>
      <c r="M281" s="269">
        <f>IFERROR(VLOOKUP((D281&amp;C281)&amp;"",'[2]Retail Price List'!$C$4:$F$102,4,FALSE),"")</f>
        <v>1735000</v>
      </c>
      <c r="N281" s="269">
        <f>IFERROR(IF(BA281="WIP - 30 Days",VLOOKUP(D281,[3]Extended!$B$9:$E$101,4,FALSE),IF(BA281="31-120 Days",VLOOKUP(D281,[3]Extended!$B$9:$F$101,5,FALSE),IF(BA281="121-365 Days",VLOOKUP(D281,[3]Extended!$B$9:$G$101,6,FALSE),VLOOKUP(D281,[3]Extended!$B$9:$H$101,7,FALSE)))),0)</f>
        <v>1322417</v>
      </c>
      <c r="O281" s="269">
        <f>IFERROR(IF(BA281="WIP - 30 Days",VLOOKUP(D281,[3]Extended!$B$9:$J$101,9,FALSE),IF(BA281="31-120 Days",VLOOKUP(D281,[3]Extended!$B$9:$K$101,10,FALSE),IF(BA281="121-365 Days",VLOOKUP(D281,[3]Extended!$B$9:$L$101,11,FALSE),VLOOKUP(D281,[3]Extended!$B$9:$M$101,12,FALSE)))),0)</f>
        <v>1283900</v>
      </c>
      <c r="P281" s="116">
        <f t="shared" si="21"/>
        <v>0.26</v>
      </c>
      <c r="Q281" s="110" t="e">
        <f>O281-#REF!</f>
        <v>#REF!</v>
      </c>
      <c r="W281" s="311"/>
      <c r="X281" s="311"/>
      <c r="Y281" s="311"/>
      <c r="Z281" s="311"/>
      <c r="AA281" s="311"/>
      <c r="AB281" s="311"/>
      <c r="AC281" s="311"/>
      <c r="AT281" s="88" t="str">
        <f t="shared" si="22"/>
        <v>KP0006342017Q314,7</v>
      </c>
      <c r="AU281" s="89" t="str">
        <f t="shared" si="23"/>
        <v>07-2017</v>
      </c>
      <c r="BA281" s="92" t="str">
        <f t="shared" si="24"/>
        <v>WIP - 30 Days</v>
      </c>
    </row>
    <row r="282" spans="1:56">
      <c r="B282" s="60">
        <f>[2]Trucks!A279</f>
        <v>47395</v>
      </c>
      <c r="C282" s="11" t="str">
        <f>[2]Trucks!B279</f>
        <v>TGS-26-4406X4BLS-LX</v>
      </c>
      <c r="D282" s="19" t="str">
        <f>IFERROR(VLOOKUP(C282&amp;"",'[2]Retail Price List'!$A$3:$B$103,2,FALSE),"Special Order")</f>
        <v>KP000634</v>
      </c>
      <c r="E282" s="18" t="str">
        <f>[2]Trucks!J279</f>
        <v>CKD</v>
      </c>
      <c r="F282" s="12" t="str">
        <f>[2]Trucks!E279</f>
        <v>2017-12-5</v>
      </c>
      <c r="G282" s="56">
        <f>[2]Trucks!K279</f>
        <v>14.7</v>
      </c>
      <c r="H282" s="46">
        <f>[2]Trucks!I279</f>
        <v>42937</v>
      </c>
      <c r="I282" s="83" t="str">
        <f t="shared" si="20"/>
        <v>2017Q3</v>
      </c>
      <c r="J282" s="272">
        <f>IFERROR(VLOOKUP((D282&amp;C282)&amp;"",'[2]Retail Price List'!$C$4:$F$102,3,FALSE),"")</f>
        <v>1700000</v>
      </c>
      <c r="K282" s="272">
        <f>IFERROR(IF(BA282="WIP - 30 Days",VLOOKUP(D282,[3]Standard!$B$9:$E$101,4,FALSE),IF(BA282="31-120 Days",VLOOKUP(D282,[3]Standard!$B$9:$F$101,5,FALSE),IF(BA282="121-365 Days",VLOOKUP(D282,[3]Standard!$B$9:$G$101,6,FALSE),VLOOKUP(D282,[3]Standard!$B$9:$H$101,7,FALSE)))),0)</f>
        <v>1313250</v>
      </c>
      <c r="L282" s="272">
        <f>IFERROR(IF(BA282="WIP - 30 Days",VLOOKUP(D282,[3]Standard!$B$9:$J$101,9,FALSE),IF(BA282="31-120 Days",VLOOKUP(D282,[3]Standard!$B$9:$K$100,10,FALSE),IF(BA282="121-365 Days",VLOOKUP(D282,[3]Standard!$B$9:$L$101,11,FALSE),VLOOKUP(D282,[3]Standard!$B$9:$M$101,12,FALSE)))),0)</f>
        <v>1275000</v>
      </c>
      <c r="M282" s="269">
        <f>IFERROR(VLOOKUP((D282&amp;C282)&amp;"",'[2]Retail Price List'!$C$4:$F$102,4,FALSE),"")</f>
        <v>1735000</v>
      </c>
      <c r="N282" s="269">
        <f>IFERROR(IF(BA282="WIP - 30 Days",VLOOKUP(D282,[3]Extended!$B$9:$E$101,4,FALSE),IF(BA282="31-120 Days",VLOOKUP(D282,[3]Extended!$B$9:$F$101,5,FALSE),IF(BA282="121-365 Days",VLOOKUP(D282,[3]Extended!$B$9:$G$101,6,FALSE),VLOOKUP(D282,[3]Extended!$B$9:$H$101,7,FALSE)))),0)</f>
        <v>1322417</v>
      </c>
      <c r="O282" s="269">
        <f>IFERROR(IF(BA282="WIP - 30 Days",VLOOKUP(D282,[3]Extended!$B$9:$J$101,9,FALSE),IF(BA282="31-120 Days",VLOOKUP(D282,[3]Extended!$B$9:$K$101,10,FALSE),IF(BA282="121-365 Days",VLOOKUP(D282,[3]Extended!$B$9:$L$101,11,FALSE),VLOOKUP(D282,[3]Extended!$B$9:$M$101,12,FALSE)))),0)</f>
        <v>1283900</v>
      </c>
      <c r="P282" s="116">
        <f t="shared" si="21"/>
        <v>0.26</v>
      </c>
      <c r="Q282" s="110" t="e">
        <f>O282-#REF!</f>
        <v>#REF!</v>
      </c>
      <c r="W282" s="311"/>
      <c r="X282" s="311"/>
      <c r="Y282" s="311"/>
      <c r="Z282" s="311"/>
      <c r="AA282" s="311"/>
      <c r="AB282" s="311"/>
      <c r="AC282" s="311"/>
      <c r="AT282" s="88" t="str">
        <f t="shared" si="22"/>
        <v>KP0006342017Q314,7</v>
      </c>
      <c r="AU282" s="89" t="str">
        <f t="shared" si="23"/>
        <v>07-2017</v>
      </c>
      <c r="BA282" s="92" t="str">
        <f t="shared" si="24"/>
        <v>WIP - 30 Days</v>
      </c>
    </row>
    <row r="283" spans="1:56">
      <c r="B283" s="60">
        <f>[2]Trucks!A280</f>
        <v>47396</v>
      </c>
      <c r="C283" s="11" t="str">
        <f>[2]Trucks!B280</f>
        <v>TGS-26-4406X4BLS-LX</v>
      </c>
      <c r="D283" s="19" t="str">
        <f>IFERROR(VLOOKUP(C283&amp;"",'[2]Retail Price List'!$A$3:$B$103,2,FALSE),"Special Order")</f>
        <v>KP000634</v>
      </c>
      <c r="E283" s="18" t="str">
        <f>[2]Trucks!J280</f>
        <v>CKD</v>
      </c>
      <c r="F283" s="12" t="str">
        <f>[2]Trucks!E280</f>
        <v>2017-12-5</v>
      </c>
      <c r="G283" s="56">
        <f>[2]Trucks!K280</f>
        <v>14.7</v>
      </c>
      <c r="H283" s="46">
        <f>[2]Trucks!I280</f>
        <v>42937</v>
      </c>
      <c r="I283" s="83" t="str">
        <f t="shared" si="20"/>
        <v>2017Q3</v>
      </c>
      <c r="J283" s="272">
        <f>IFERROR(VLOOKUP((D283&amp;C283)&amp;"",'[2]Retail Price List'!$C$4:$F$102,3,FALSE),"")</f>
        <v>1700000</v>
      </c>
      <c r="K283" s="272">
        <f>IFERROR(IF(BA283="WIP - 30 Days",VLOOKUP(D283,[3]Standard!$B$9:$E$101,4,FALSE),IF(BA283="31-120 Days",VLOOKUP(D283,[3]Standard!$B$9:$F$101,5,FALSE),IF(BA283="121-365 Days",VLOOKUP(D283,[3]Standard!$B$9:$G$101,6,FALSE),VLOOKUP(D283,[3]Standard!$B$9:$H$101,7,FALSE)))),0)</f>
        <v>1313250</v>
      </c>
      <c r="L283" s="272">
        <f>IFERROR(IF(BA283="WIP - 30 Days",VLOOKUP(D283,[3]Standard!$B$9:$J$101,9,FALSE),IF(BA283="31-120 Days",VLOOKUP(D283,[3]Standard!$B$9:$K$100,10,FALSE),IF(BA283="121-365 Days",VLOOKUP(D283,[3]Standard!$B$9:$L$101,11,FALSE),VLOOKUP(D283,[3]Standard!$B$9:$M$101,12,FALSE)))),0)</f>
        <v>1275000</v>
      </c>
      <c r="M283" s="269">
        <f>IFERROR(VLOOKUP((D283&amp;C283)&amp;"",'[2]Retail Price List'!$C$4:$F$102,4,FALSE),"")</f>
        <v>1735000</v>
      </c>
      <c r="N283" s="269">
        <f>IFERROR(IF(BA283="WIP - 30 Days",VLOOKUP(D283,[3]Extended!$B$9:$E$101,4,FALSE),IF(BA283="31-120 Days",VLOOKUP(D283,[3]Extended!$B$9:$F$101,5,FALSE),IF(BA283="121-365 Days",VLOOKUP(D283,[3]Extended!$B$9:$G$101,6,FALSE),VLOOKUP(D283,[3]Extended!$B$9:$H$101,7,FALSE)))),0)</f>
        <v>1322417</v>
      </c>
      <c r="O283" s="269">
        <f>IFERROR(IF(BA283="WIP - 30 Days",VLOOKUP(D283,[3]Extended!$B$9:$J$101,9,FALSE),IF(BA283="31-120 Days",VLOOKUP(D283,[3]Extended!$B$9:$K$101,10,FALSE),IF(BA283="121-365 Days",VLOOKUP(D283,[3]Extended!$B$9:$L$101,11,FALSE),VLOOKUP(D283,[3]Extended!$B$9:$M$101,12,FALSE)))),0)</f>
        <v>1283900</v>
      </c>
      <c r="P283" s="116">
        <f t="shared" si="21"/>
        <v>0.26</v>
      </c>
      <c r="Q283" s="110" t="e">
        <f>O283-#REF!</f>
        <v>#REF!</v>
      </c>
      <c r="W283" s="311"/>
      <c r="X283" s="311"/>
      <c r="Y283" s="311"/>
      <c r="Z283" s="311"/>
      <c r="AA283" s="311"/>
      <c r="AB283" s="311"/>
      <c r="AC283" s="311"/>
      <c r="AT283" s="88" t="str">
        <f t="shared" si="22"/>
        <v>KP0006342017Q314,7</v>
      </c>
      <c r="AU283" s="89" t="str">
        <f t="shared" si="23"/>
        <v>07-2017</v>
      </c>
      <c r="BA283" s="92" t="str">
        <f t="shared" si="24"/>
        <v>WIP - 30 Days</v>
      </c>
    </row>
    <row r="284" spans="1:56">
      <c r="B284" s="60">
        <f>[2]Trucks!A281</f>
        <v>47397</v>
      </c>
      <c r="C284" s="11" t="str">
        <f>[2]Trucks!B281</f>
        <v>TGS-26-4406X4BLS-LX</v>
      </c>
      <c r="D284" s="19" t="str">
        <f>IFERROR(VLOOKUP(C284&amp;"",'[2]Retail Price List'!$A$3:$B$103,2,FALSE),"Special Order")</f>
        <v>KP000634</v>
      </c>
      <c r="E284" s="18" t="str">
        <f>[2]Trucks!J281</f>
        <v>CKD</v>
      </c>
      <c r="F284" s="12" t="str">
        <f>[2]Trucks!E281</f>
        <v>2017-12-5</v>
      </c>
      <c r="G284" s="56">
        <f>[2]Trucks!K281</f>
        <v>14.7</v>
      </c>
      <c r="H284" s="46">
        <f>[2]Trucks!I281</f>
        <v>42937</v>
      </c>
      <c r="I284" s="83" t="str">
        <f t="shared" si="20"/>
        <v>2017Q3</v>
      </c>
      <c r="J284" s="272">
        <f>IFERROR(VLOOKUP((D284&amp;C284)&amp;"",'[2]Retail Price List'!$C$4:$F$102,3,FALSE),"")</f>
        <v>1700000</v>
      </c>
      <c r="K284" s="272">
        <f>IFERROR(IF(BA284="WIP - 30 Days",VLOOKUP(D284,[3]Standard!$B$9:$E$101,4,FALSE),IF(BA284="31-120 Days",VLOOKUP(D284,[3]Standard!$B$9:$F$101,5,FALSE),IF(BA284="121-365 Days",VLOOKUP(D284,[3]Standard!$B$9:$G$101,6,FALSE),VLOOKUP(D284,[3]Standard!$B$9:$H$101,7,FALSE)))),0)</f>
        <v>1313250</v>
      </c>
      <c r="L284" s="272">
        <f>IFERROR(IF(BA284="WIP - 30 Days",VLOOKUP(D284,[3]Standard!$B$9:$J$101,9,FALSE),IF(BA284="31-120 Days",VLOOKUP(D284,[3]Standard!$B$9:$K$100,10,FALSE),IF(BA284="121-365 Days",VLOOKUP(D284,[3]Standard!$B$9:$L$101,11,FALSE),VLOOKUP(D284,[3]Standard!$B$9:$M$101,12,FALSE)))),0)</f>
        <v>1275000</v>
      </c>
      <c r="M284" s="269">
        <f>IFERROR(VLOOKUP((D284&amp;C284)&amp;"",'[2]Retail Price List'!$C$4:$F$102,4,FALSE),"")</f>
        <v>1735000</v>
      </c>
      <c r="N284" s="269">
        <f>IFERROR(IF(BA284="WIP - 30 Days",VLOOKUP(D284,[3]Extended!$B$9:$E$101,4,FALSE),IF(BA284="31-120 Days",VLOOKUP(D284,[3]Extended!$B$9:$F$101,5,FALSE),IF(BA284="121-365 Days",VLOOKUP(D284,[3]Extended!$B$9:$G$101,6,FALSE),VLOOKUP(D284,[3]Extended!$B$9:$H$101,7,FALSE)))),0)</f>
        <v>1322417</v>
      </c>
      <c r="O284" s="269">
        <f>IFERROR(IF(BA284="WIP - 30 Days",VLOOKUP(D284,[3]Extended!$B$9:$J$101,9,FALSE),IF(BA284="31-120 Days",VLOOKUP(D284,[3]Extended!$B$9:$K$101,10,FALSE),IF(BA284="121-365 Days",VLOOKUP(D284,[3]Extended!$B$9:$L$101,11,FALSE),VLOOKUP(D284,[3]Extended!$B$9:$M$101,12,FALSE)))),0)</f>
        <v>1283900</v>
      </c>
      <c r="P284" s="116">
        <f t="shared" si="21"/>
        <v>0.26</v>
      </c>
      <c r="Q284" s="110" t="e">
        <f>O284-#REF!</f>
        <v>#REF!</v>
      </c>
      <c r="S284" s="110"/>
      <c r="W284" s="311"/>
      <c r="X284" s="311"/>
      <c r="Y284" s="311"/>
      <c r="Z284" s="311"/>
      <c r="AA284" s="311"/>
      <c r="AB284" s="311"/>
      <c r="AC284" s="311"/>
      <c r="AT284" s="88" t="str">
        <f t="shared" si="22"/>
        <v>KP0006342017Q314,7</v>
      </c>
      <c r="AU284" s="89" t="str">
        <f t="shared" si="23"/>
        <v>07-2017</v>
      </c>
      <c r="BA284" s="92" t="str">
        <f t="shared" si="24"/>
        <v>WIP - 30 Days</v>
      </c>
    </row>
    <row r="285" spans="1:56">
      <c r="B285" s="60">
        <f>[2]Trucks!A282</f>
        <v>47398</v>
      </c>
      <c r="C285" s="11" t="str">
        <f>[2]Trucks!B282</f>
        <v>TGS-26-4406X4BLS-LX</v>
      </c>
      <c r="D285" s="19" t="str">
        <f>IFERROR(VLOOKUP(C285&amp;"",'[2]Retail Price List'!$A$3:$B$103,2,FALSE),"Special Order")</f>
        <v>KP000634</v>
      </c>
      <c r="E285" s="18" t="str">
        <f>[2]Trucks!J282</f>
        <v>CKD</v>
      </c>
      <c r="F285" s="12" t="str">
        <f>[2]Trucks!E282</f>
        <v>2017-12-5</v>
      </c>
      <c r="G285" s="56">
        <f>[2]Trucks!K282</f>
        <v>14.7</v>
      </c>
      <c r="H285" s="46">
        <f>[2]Trucks!I282</f>
        <v>42937</v>
      </c>
      <c r="I285" s="83" t="str">
        <f t="shared" si="20"/>
        <v>2017Q3</v>
      </c>
      <c r="J285" s="272">
        <f>IFERROR(VLOOKUP((D285&amp;C285)&amp;"",'[2]Retail Price List'!$C$4:$F$102,3,FALSE),"")</f>
        <v>1700000</v>
      </c>
      <c r="K285" s="272">
        <f>IFERROR(IF(BA285="WIP - 30 Days",VLOOKUP(D285,[3]Standard!$B$9:$E$101,4,FALSE),IF(BA285="31-120 Days",VLOOKUP(D285,[3]Standard!$B$9:$F$101,5,FALSE),IF(BA285="121-365 Days",VLOOKUP(D285,[3]Standard!$B$9:$G$101,6,FALSE),VLOOKUP(D285,[3]Standard!$B$9:$H$101,7,FALSE)))),0)</f>
        <v>1313250</v>
      </c>
      <c r="L285" s="272">
        <f>IFERROR(IF(BA285="WIP - 30 Days",VLOOKUP(D285,[3]Standard!$B$9:$J$101,9,FALSE),IF(BA285="31-120 Days",VLOOKUP(D285,[3]Standard!$B$9:$K$100,10,FALSE),IF(BA285="121-365 Days",VLOOKUP(D285,[3]Standard!$B$9:$L$101,11,FALSE),VLOOKUP(D285,[3]Standard!$B$9:$M$101,12,FALSE)))),0)</f>
        <v>1275000</v>
      </c>
      <c r="M285" s="269">
        <f>IFERROR(VLOOKUP((D285&amp;C285)&amp;"",'[2]Retail Price List'!$C$4:$F$102,4,FALSE),"")</f>
        <v>1735000</v>
      </c>
      <c r="N285" s="269">
        <f>IFERROR(IF(BA285="WIP - 30 Days",VLOOKUP(D285,[3]Extended!$B$9:$E$101,4,FALSE),IF(BA285="31-120 Days",VLOOKUP(D285,[3]Extended!$B$9:$F$101,5,FALSE),IF(BA285="121-365 Days",VLOOKUP(D285,[3]Extended!$B$9:$G$101,6,FALSE),VLOOKUP(D285,[3]Extended!$B$9:$H$101,7,FALSE)))),0)</f>
        <v>1322417</v>
      </c>
      <c r="O285" s="269">
        <f>IFERROR(IF(BA285="WIP - 30 Days",VLOOKUP(D285,[3]Extended!$B$9:$J$101,9,FALSE),IF(BA285="31-120 Days",VLOOKUP(D285,[3]Extended!$B$9:$K$101,10,FALSE),IF(BA285="121-365 Days",VLOOKUP(D285,[3]Extended!$B$9:$L$101,11,FALSE),VLOOKUP(D285,[3]Extended!$B$9:$M$101,12,FALSE)))),0)</f>
        <v>1283900</v>
      </c>
      <c r="P285" s="116">
        <f t="shared" si="21"/>
        <v>0.26</v>
      </c>
      <c r="Q285" s="110" t="e">
        <f>O285-#REF!</f>
        <v>#REF!</v>
      </c>
      <c r="W285" s="311"/>
      <c r="X285" s="311"/>
      <c r="Y285" s="311"/>
      <c r="Z285" s="311"/>
      <c r="AA285" s="311"/>
      <c r="AB285" s="311"/>
      <c r="AC285" s="311"/>
      <c r="AT285" s="88" t="str">
        <f t="shared" si="22"/>
        <v>KP0006342017Q314,7</v>
      </c>
      <c r="AU285" s="89" t="str">
        <f t="shared" si="23"/>
        <v>07-2017</v>
      </c>
      <c r="BA285" s="92" t="str">
        <f t="shared" si="24"/>
        <v>WIP - 30 Days</v>
      </c>
    </row>
    <row r="286" spans="1:56">
      <c r="B286" s="60">
        <f>[2]Trucks!A283</f>
        <v>47399</v>
      </c>
      <c r="C286" s="11" t="str">
        <f>[2]Trucks!B283</f>
        <v>TGS-26-4406X4BLS-LX</v>
      </c>
      <c r="D286" s="19" t="str">
        <f>IFERROR(VLOOKUP(C286&amp;"",'[2]Retail Price List'!$A$3:$B$103,2,FALSE),"Special Order")</f>
        <v>KP000634</v>
      </c>
      <c r="E286" s="18" t="str">
        <f>[2]Trucks!J283</f>
        <v>CKD</v>
      </c>
      <c r="F286" s="12" t="str">
        <f>[2]Trucks!E283</f>
        <v>2017-12-5</v>
      </c>
      <c r="G286" s="56">
        <f>[2]Trucks!K283</f>
        <v>14.7</v>
      </c>
      <c r="H286" s="46">
        <f>[2]Trucks!I283</f>
        <v>42937</v>
      </c>
      <c r="I286" s="83" t="str">
        <f t="shared" si="20"/>
        <v>2017Q3</v>
      </c>
      <c r="J286" s="272">
        <f>IFERROR(VLOOKUP((D286&amp;C286)&amp;"",'[2]Retail Price List'!$C$4:$F$102,3,FALSE),"")</f>
        <v>1700000</v>
      </c>
      <c r="K286" s="272">
        <f>IFERROR(IF(BA286="WIP - 30 Days",VLOOKUP(D286,[3]Standard!$B$9:$E$101,4,FALSE),IF(BA286="31-120 Days",VLOOKUP(D286,[3]Standard!$B$9:$F$101,5,FALSE),IF(BA286="121-365 Days",VLOOKUP(D286,[3]Standard!$B$9:$G$101,6,FALSE),VLOOKUP(D286,[3]Standard!$B$9:$H$101,7,FALSE)))),0)</f>
        <v>1313250</v>
      </c>
      <c r="L286" s="272">
        <f>IFERROR(IF(BA286="WIP - 30 Days",VLOOKUP(D286,[3]Standard!$B$9:$J$101,9,FALSE),IF(BA286="31-120 Days",VLOOKUP(D286,[3]Standard!$B$9:$K$100,10,FALSE),IF(BA286="121-365 Days",VLOOKUP(D286,[3]Standard!$B$9:$L$101,11,FALSE),VLOOKUP(D286,[3]Standard!$B$9:$M$101,12,FALSE)))),0)</f>
        <v>1275000</v>
      </c>
      <c r="M286" s="269">
        <f>IFERROR(VLOOKUP((D286&amp;C286)&amp;"",'[2]Retail Price List'!$C$4:$F$102,4,FALSE),"")</f>
        <v>1735000</v>
      </c>
      <c r="N286" s="269">
        <f>IFERROR(IF(BA286="WIP - 30 Days",VLOOKUP(D286,[3]Extended!$B$9:$E$101,4,FALSE),IF(BA286="31-120 Days",VLOOKUP(D286,[3]Extended!$B$9:$F$101,5,FALSE),IF(BA286="121-365 Days",VLOOKUP(D286,[3]Extended!$B$9:$G$101,6,FALSE),VLOOKUP(D286,[3]Extended!$B$9:$H$101,7,FALSE)))),0)</f>
        <v>1322417</v>
      </c>
      <c r="O286" s="269">
        <f>IFERROR(IF(BA286="WIP - 30 Days",VLOOKUP(D286,[3]Extended!$B$9:$J$101,9,FALSE),IF(BA286="31-120 Days",VLOOKUP(D286,[3]Extended!$B$9:$K$101,10,FALSE),IF(BA286="121-365 Days",VLOOKUP(D286,[3]Extended!$B$9:$L$101,11,FALSE),VLOOKUP(D286,[3]Extended!$B$9:$M$101,12,FALSE)))),0)</f>
        <v>1283900</v>
      </c>
      <c r="P286" s="116">
        <f t="shared" si="21"/>
        <v>0.26</v>
      </c>
      <c r="Q286" s="110" t="e">
        <f>O286-#REF!</f>
        <v>#REF!</v>
      </c>
      <c r="W286" s="311"/>
      <c r="X286" s="311"/>
      <c r="Y286" s="311"/>
      <c r="Z286" s="311"/>
      <c r="AA286" s="311"/>
      <c r="AB286" s="311"/>
      <c r="AC286" s="311"/>
      <c r="AT286" s="88" t="str">
        <f t="shared" si="22"/>
        <v>KP0006342017Q314,7</v>
      </c>
      <c r="AU286" s="89" t="str">
        <f t="shared" si="23"/>
        <v>07-2017</v>
      </c>
      <c r="BA286" s="92" t="str">
        <f t="shared" si="24"/>
        <v>WIP - 30 Days</v>
      </c>
    </row>
    <row r="287" spans="1:56">
      <c r="B287" s="60">
        <f>[2]Trucks!A284</f>
        <v>47400</v>
      </c>
      <c r="C287" s="11" t="str">
        <f>[2]Trucks!B284</f>
        <v>TGS-26-4406X4BLS-LX</v>
      </c>
      <c r="D287" s="19" t="str">
        <f>IFERROR(VLOOKUP(C287&amp;"",'[2]Retail Price List'!$A$3:$B$103,2,FALSE),"Special Order")</f>
        <v>KP000634</v>
      </c>
      <c r="E287" s="18" t="str">
        <f>[2]Trucks!J284</f>
        <v>CKD</v>
      </c>
      <c r="F287" s="12" t="str">
        <f>[2]Trucks!E284</f>
        <v>2017-12-10</v>
      </c>
      <c r="G287" s="56">
        <f>[2]Trucks!K284</f>
        <v>14.7</v>
      </c>
      <c r="H287" s="46">
        <f>[2]Trucks!I284</f>
        <v>42937</v>
      </c>
      <c r="I287" s="83" t="str">
        <f t="shared" si="20"/>
        <v>2017Q3</v>
      </c>
      <c r="J287" s="272">
        <f>IFERROR(VLOOKUP((D287&amp;C287)&amp;"",'[2]Retail Price List'!$C$4:$F$102,3,FALSE),"")</f>
        <v>1700000</v>
      </c>
      <c r="K287" s="272">
        <f>IFERROR(IF(BA287="WIP - 30 Days",VLOOKUP(D287,[3]Standard!$B$9:$E$101,4,FALSE),IF(BA287="31-120 Days",VLOOKUP(D287,[3]Standard!$B$9:$F$101,5,FALSE),IF(BA287="121-365 Days",VLOOKUP(D287,[3]Standard!$B$9:$G$101,6,FALSE),VLOOKUP(D287,[3]Standard!$B$9:$H$101,7,FALSE)))),0)</f>
        <v>1313250</v>
      </c>
      <c r="L287" s="272">
        <f>IFERROR(IF(BA287="WIP - 30 Days",VLOOKUP(D287,[3]Standard!$B$9:$J$101,9,FALSE),IF(BA287="31-120 Days",VLOOKUP(D287,[3]Standard!$B$9:$K$100,10,FALSE),IF(BA287="121-365 Days",VLOOKUP(D287,[3]Standard!$B$9:$L$101,11,FALSE),VLOOKUP(D287,[3]Standard!$B$9:$M$101,12,FALSE)))),0)</f>
        <v>1275000</v>
      </c>
      <c r="M287" s="269">
        <f>IFERROR(VLOOKUP((D287&amp;C287)&amp;"",'[2]Retail Price List'!$C$4:$F$102,4,FALSE),"")</f>
        <v>1735000</v>
      </c>
      <c r="N287" s="269">
        <f>IFERROR(IF(BA287="WIP - 30 Days",VLOOKUP(D287,[3]Extended!$B$9:$E$101,4,FALSE),IF(BA287="31-120 Days",VLOOKUP(D287,[3]Extended!$B$9:$F$101,5,FALSE),IF(BA287="121-365 Days",VLOOKUP(D287,[3]Extended!$B$9:$G$101,6,FALSE),VLOOKUP(D287,[3]Extended!$B$9:$H$101,7,FALSE)))),0)</f>
        <v>1322417</v>
      </c>
      <c r="O287" s="269">
        <f>IFERROR(IF(BA287="WIP - 30 Days",VLOOKUP(D287,[3]Extended!$B$9:$J$101,9,FALSE),IF(BA287="31-120 Days",VLOOKUP(D287,[3]Extended!$B$9:$K$101,10,FALSE),IF(BA287="121-365 Days",VLOOKUP(D287,[3]Extended!$B$9:$L$101,11,FALSE),VLOOKUP(D287,[3]Extended!$B$9:$M$101,12,FALSE)))),0)</f>
        <v>1283900</v>
      </c>
      <c r="P287" s="116">
        <f t="shared" si="21"/>
        <v>0.26</v>
      </c>
      <c r="Q287" s="110" t="e">
        <f>O287-#REF!</f>
        <v>#REF!</v>
      </c>
      <c r="W287" s="311"/>
      <c r="X287" s="311"/>
      <c r="Y287" s="311"/>
      <c r="Z287" s="311"/>
      <c r="AA287" s="311"/>
      <c r="AB287" s="311"/>
      <c r="AC287" s="311"/>
      <c r="AT287" s="88" t="str">
        <f t="shared" si="22"/>
        <v>KP0006342017Q314,7</v>
      </c>
      <c r="AU287" s="89" t="str">
        <f t="shared" si="23"/>
        <v>07-2017</v>
      </c>
      <c r="BA287" s="92" t="str">
        <f t="shared" si="24"/>
        <v>WIP - 30 Days</v>
      </c>
    </row>
    <row r="288" spans="1:56">
      <c r="B288" s="60">
        <f>[2]Trucks!A285</f>
        <v>47401</v>
      </c>
      <c r="C288" s="11" t="str">
        <f>[2]Trucks!B285</f>
        <v>TGS-26-4406X4BLS-LX</v>
      </c>
      <c r="D288" s="19" t="str">
        <f>IFERROR(VLOOKUP(C288&amp;"",'[2]Retail Price List'!$A$3:$B$103,2,FALSE),"Special Order")</f>
        <v>KP000634</v>
      </c>
      <c r="E288" s="18" t="str">
        <f>[2]Trucks!J285</f>
        <v>CKD</v>
      </c>
      <c r="F288" s="12" t="str">
        <f>[2]Trucks!E285</f>
        <v>2017-12-10</v>
      </c>
      <c r="G288" s="56">
        <f>[2]Trucks!K285</f>
        <v>14.7</v>
      </c>
      <c r="H288" s="46">
        <f>[2]Trucks!I285</f>
        <v>42937</v>
      </c>
      <c r="I288" s="83" t="str">
        <f t="shared" si="20"/>
        <v>2017Q3</v>
      </c>
      <c r="J288" s="272">
        <f>IFERROR(VLOOKUP((D288&amp;C288)&amp;"",'[2]Retail Price List'!$C$4:$F$102,3,FALSE),"")</f>
        <v>1700000</v>
      </c>
      <c r="K288" s="272">
        <f>IFERROR(IF(BA288="WIP - 30 Days",VLOOKUP(D288,[3]Standard!$B$9:$E$101,4,FALSE),IF(BA288="31-120 Days",VLOOKUP(D288,[3]Standard!$B$9:$F$101,5,FALSE),IF(BA288="121-365 Days",VLOOKUP(D288,[3]Standard!$B$9:$G$101,6,FALSE),VLOOKUP(D288,[3]Standard!$B$9:$H$101,7,FALSE)))),0)</f>
        <v>1313250</v>
      </c>
      <c r="L288" s="272">
        <f>IFERROR(IF(BA288="WIP - 30 Days",VLOOKUP(D288,[3]Standard!$B$9:$J$101,9,FALSE),IF(BA288="31-120 Days",VLOOKUP(D288,[3]Standard!$B$9:$K$100,10,FALSE),IF(BA288="121-365 Days",VLOOKUP(D288,[3]Standard!$B$9:$L$101,11,FALSE),VLOOKUP(D288,[3]Standard!$B$9:$M$101,12,FALSE)))),0)</f>
        <v>1275000</v>
      </c>
      <c r="M288" s="269">
        <f>IFERROR(VLOOKUP((D288&amp;C288)&amp;"",'[2]Retail Price List'!$C$4:$F$102,4,FALSE),"")</f>
        <v>1735000</v>
      </c>
      <c r="N288" s="269">
        <f>IFERROR(IF(BA288="WIP - 30 Days",VLOOKUP(D288,[3]Extended!$B$9:$E$101,4,FALSE),IF(BA288="31-120 Days",VLOOKUP(D288,[3]Extended!$B$9:$F$101,5,FALSE),IF(BA288="121-365 Days",VLOOKUP(D288,[3]Extended!$B$9:$G$101,6,FALSE),VLOOKUP(D288,[3]Extended!$B$9:$H$101,7,FALSE)))),0)</f>
        <v>1322417</v>
      </c>
      <c r="O288" s="269">
        <f>IFERROR(IF(BA288="WIP - 30 Days",VLOOKUP(D288,[3]Extended!$B$9:$J$101,9,FALSE),IF(BA288="31-120 Days",VLOOKUP(D288,[3]Extended!$B$9:$K$101,10,FALSE),IF(BA288="121-365 Days",VLOOKUP(D288,[3]Extended!$B$9:$L$101,11,FALSE),VLOOKUP(D288,[3]Extended!$B$9:$M$101,12,FALSE)))),0)</f>
        <v>1283900</v>
      </c>
      <c r="P288" s="116">
        <f t="shared" si="21"/>
        <v>0.26</v>
      </c>
      <c r="Q288" s="110" t="e">
        <f>O288-#REF!</f>
        <v>#REF!</v>
      </c>
      <c r="W288" s="311"/>
      <c r="X288" s="311"/>
      <c r="Y288" s="311"/>
      <c r="Z288" s="311"/>
      <c r="AA288" s="311"/>
      <c r="AB288" s="311"/>
      <c r="AC288" s="311"/>
      <c r="AT288" s="88" t="str">
        <f t="shared" si="22"/>
        <v>KP0006342017Q314,7</v>
      </c>
      <c r="AU288" s="89" t="str">
        <f t="shared" si="23"/>
        <v>07-2017</v>
      </c>
      <c r="BA288" s="92" t="str">
        <f t="shared" si="24"/>
        <v>WIP - 30 Days</v>
      </c>
    </row>
    <row r="289" spans="1:56" s="4" customFormat="1">
      <c r="A289" s="69"/>
      <c r="B289" s="60">
        <f>[2]Trucks!A286</f>
        <v>47402</v>
      </c>
      <c r="C289" s="11" t="str">
        <f>[2]Trucks!B286</f>
        <v>TGS-26-4406X4BLS-LX</v>
      </c>
      <c r="D289" s="19" t="str">
        <f>IFERROR(VLOOKUP(C289&amp;"",'[2]Retail Price List'!$A$3:$B$103,2,FALSE),"Special Order")</f>
        <v>KP000634</v>
      </c>
      <c r="E289" s="18" t="str">
        <f>[2]Trucks!J286</f>
        <v>CKD</v>
      </c>
      <c r="F289" s="12" t="str">
        <f>[2]Trucks!E286</f>
        <v>2017-12-10</v>
      </c>
      <c r="G289" s="56">
        <f>[2]Trucks!K286</f>
        <v>14.7</v>
      </c>
      <c r="H289" s="46">
        <f>[2]Trucks!I286</f>
        <v>42937</v>
      </c>
      <c r="I289" s="83" t="str">
        <f t="shared" si="20"/>
        <v>2017Q3</v>
      </c>
      <c r="J289" s="272">
        <f>IFERROR(VLOOKUP((D289&amp;C289)&amp;"",'[2]Retail Price List'!$C$4:$F$102,3,FALSE),"")</f>
        <v>1700000</v>
      </c>
      <c r="K289" s="272">
        <f>IFERROR(IF(BA289="WIP - 30 Days",VLOOKUP(D289,[3]Standard!$B$9:$E$101,4,FALSE),IF(BA289="31-120 Days",VLOOKUP(D289,[3]Standard!$B$9:$F$101,5,FALSE),IF(BA289="121-365 Days",VLOOKUP(D289,[3]Standard!$B$9:$G$101,6,FALSE),VLOOKUP(D289,[3]Standard!$B$9:$H$101,7,FALSE)))),0)</f>
        <v>1313250</v>
      </c>
      <c r="L289" s="272">
        <f>IFERROR(IF(BA289="WIP - 30 Days",VLOOKUP(D289,[3]Standard!$B$9:$J$101,9,FALSE),IF(BA289="31-120 Days",VLOOKUP(D289,[3]Standard!$B$9:$K$100,10,FALSE),IF(BA289="121-365 Days",VLOOKUP(D289,[3]Standard!$B$9:$L$101,11,FALSE),VLOOKUP(D289,[3]Standard!$B$9:$M$101,12,FALSE)))),0)</f>
        <v>1275000</v>
      </c>
      <c r="M289" s="269">
        <f>IFERROR(VLOOKUP((D289&amp;C289)&amp;"",'[2]Retail Price List'!$C$4:$F$102,4,FALSE),"")</f>
        <v>1735000</v>
      </c>
      <c r="N289" s="269">
        <f>IFERROR(IF(BA289="WIP - 30 Days",VLOOKUP(D289,[3]Extended!$B$9:$E$101,4,FALSE),IF(BA289="31-120 Days",VLOOKUP(D289,[3]Extended!$B$9:$F$101,5,FALSE),IF(BA289="121-365 Days",VLOOKUP(D289,[3]Extended!$B$9:$G$101,6,FALSE),VLOOKUP(D289,[3]Extended!$B$9:$H$101,7,FALSE)))),0)</f>
        <v>1322417</v>
      </c>
      <c r="O289" s="269">
        <f>IFERROR(IF(BA289="WIP - 30 Days",VLOOKUP(D289,[3]Extended!$B$9:$J$101,9,FALSE),IF(BA289="31-120 Days",VLOOKUP(D289,[3]Extended!$B$9:$K$101,10,FALSE),IF(BA289="121-365 Days",VLOOKUP(D289,[3]Extended!$B$9:$L$101,11,FALSE),VLOOKUP(D289,[3]Extended!$B$9:$M$101,12,FALSE)))),0)</f>
        <v>1283900</v>
      </c>
      <c r="P289" s="116">
        <f t="shared" si="21"/>
        <v>0.26</v>
      </c>
      <c r="Q289" s="110" t="e">
        <f>O289-#REF!</f>
        <v>#REF!</v>
      </c>
      <c r="R289" s="111" t="e">
        <f>SUM(Q280:Q288)/SUM(O280:O288)</f>
        <v>#REF!</v>
      </c>
      <c r="S289" s="112"/>
      <c r="T289" s="112"/>
      <c r="U289" s="112"/>
      <c r="V289" s="112"/>
      <c r="W289" s="311"/>
      <c r="X289" s="311"/>
      <c r="Y289" s="311"/>
      <c r="Z289" s="311"/>
      <c r="AA289" s="311"/>
      <c r="AB289" s="311"/>
      <c r="AC289" s="311"/>
      <c r="AD289" s="89"/>
      <c r="AE289" s="89"/>
      <c r="AF289" s="89"/>
      <c r="AG289" s="5"/>
      <c r="AH289" s="5"/>
      <c r="AI289" s="5"/>
      <c r="AJ289" s="5"/>
      <c r="AK289" s="5"/>
      <c r="AL289" s="5"/>
      <c r="AM289" s="5"/>
      <c r="AN289" s="5"/>
      <c r="AO289" s="5"/>
      <c r="AP289" s="5"/>
      <c r="AQ289" s="5"/>
      <c r="AR289" s="5"/>
      <c r="AS289" s="5"/>
      <c r="AT289" s="88" t="str">
        <f t="shared" si="22"/>
        <v>KP0006342017Q314,7</v>
      </c>
      <c r="AU289" s="89" t="str">
        <f t="shared" si="23"/>
        <v>07-2017</v>
      </c>
      <c r="AV289" s="89"/>
      <c r="AW289" s="89"/>
      <c r="AX289" s="89"/>
      <c r="AY289" s="89"/>
      <c r="AZ289" s="89"/>
      <c r="BA289" s="92" t="str">
        <f t="shared" si="24"/>
        <v>WIP - 30 Days</v>
      </c>
      <c r="BB289" s="89"/>
      <c r="BC289" s="97"/>
      <c r="BD289" s="97"/>
    </row>
    <row r="290" spans="1:56">
      <c r="B290" s="60">
        <f>[2]Trucks!A287</f>
        <v>47403</v>
      </c>
      <c r="C290" s="11" t="str">
        <f>[2]Trucks!B287</f>
        <v>TGS-26-4406X4BLS-LX</v>
      </c>
      <c r="D290" s="19" t="str">
        <f>IFERROR(VLOOKUP(C290&amp;"",'[2]Retail Price List'!$A$3:$B$103,2,FALSE),"Special Order")</f>
        <v>KP000634</v>
      </c>
      <c r="E290" s="18" t="str">
        <f>[2]Trucks!J287</f>
        <v>CKD</v>
      </c>
      <c r="F290" s="12" t="str">
        <f>[2]Trucks!E287</f>
        <v>2017-12-10</v>
      </c>
      <c r="G290" s="56">
        <f>[2]Trucks!K287</f>
        <v>14.7</v>
      </c>
      <c r="H290" s="46">
        <f>[2]Trucks!I287</f>
        <v>42937</v>
      </c>
      <c r="I290" s="83" t="str">
        <f t="shared" si="20"/>
        <v>2017Q3</v>
      </c>
      <c r="J290" s="272">
        <f>IFERROR(VLOOKUP((D290&amp;C290)&amp;"",'[2]Retail Price List'!$C$4:$F$102,3,FALSE),"")</f>
        <v>1700000</v>
      </c>
      <c r="K290" s="272">
        <f>IFERROR(IF(BA290="WIP - 30 Days",VLOOKUP(D290,[3]Standard!$B$9:$E$101,4,FALSE),IF(BA290="31-120 Days",VLOOKUP(D290,[3]Standard!$B$9:$F$101,5,FALSE),IF(BA290="121-365 Days",VLOOKUP(D290,[3]Standard!$B$9:$G$101,6,FALSE),VLOOKUP(D290,[3]Standard!$B$9:$H$101,7,FALSE)))),0)</f>
        <v>1313250</v>
      </c>
      <c r="L290" s="272">
        <f>IFERROR(IF(BA290="WIP - 30 Days",VLOOKUP(D290,[3]Standard!$B$9:$J$101,9,FALSE),IF(BA290="31-120 Days",VLOOKUP(D290,[3]Standard!$B$9:$K$100,10,FALSE),IF(BA290="121-365 Days",VLOOKUP(D290,[3]Standard!$B$9:$L$101,11,FALSE),VLOOKUP(D290,[3]Standard!$B$9:$M$101,12,FALSE)))),0)</f>
        <v>1275000</v>
      </c>
      <c r="M290" s="269">
        <f>IFERROR(VLOOKUP((D290&amp;C290)&amp;"",'[2]Retail Price List'!$C$4:$F$102,4,FALSE),"")</f>
        <v>1735000</v>
      </c>
      <c r="N290" s="269">
        <f>IFERROR(IF(BA290="WIP - 30 Days",VLOOKUP(D290,[3]Extended!$B$9:$E$101,4,FALSE),IF(BA290="31-120 Days",VLOOKUP(D290,[3]Extended!$B$9:$F$101,5,FALSE),IF(BA290="121-365 Days",VLOOKUP(D290,[3]Extended!$B$9:$G$101,6,FALSE),VLOOKUP(D290,[3]Extended!$B$9:$H$101,7,FALSE)))),0)</f>
        <v>1322417</v>
      </c>
      <c r="O290" s="269">
        <f>IFERROR(IF(BA290="WIP - 30 Days",VLOOKUP(D290,[3]Extended!$B$9:$J$101,9,FALSE),IF(BA290="31-120 Days",VLOOKUP(D290,[3]Extended!$B$9:$K$101,10,FALSE),IF(BA290="121-365 Days",VLOOKUP(D290,[3]Extended!$B$9:$L$101,11,FALSE),VLOOKUP(D290,[3]Extended!$B$9:$M$101,12,FALSE)))),0)</f>
        <v>1283900</v>
      </c>
      <c r="P290" s="116">
        <f t="shared" si="21"/>
        <v>0.26</v>
      </c>
      <c r="Q290" s="110" t="e">
        <f>O290-#REF!</f>
        <v>#REF!</v>
      </c>
      <c r="S290" s="112" t="s">
        <v>9</v>
      </c>
      <c r="T290" s="112" t="s">
        <v>10</v>
      </c>
      <c r="U290" s="112" t="s">
        <v>11</v>
      </c>
      <c r="W290" s="311"/>
      <c r="X290" s="311"/>
      <c r="Y290" s="311"/>
      <c r="Z290" s="311"/>
      <c r="AA290" s="311"/>
      <c r="AB290" s="311"/>
      <c r="AC290" s="311"/>
      <c r="AT290" s="88" t="str">
        <f t="shared" si="22"/>
        <v>KP0006342017Q314,7</v>
      </c>
      <c r="AU290" s="89" t="str">
        <f t="shared" si="23"/>
        <v>07-2017</v>
      </c>
      <c r="BA290" s="92" t="str">
        <f t="shared" si="24"/>
        <v>WIP - 30 Days</v>
      </c>
    </row>
    <row r="291" spans="1:56">
      <c r="B291" s="60">
        <f>[2]Trucks!A288</f>
        <v>47404</v>
      </c>
      <c r="C291" s="11" t="str">
        <f>[2]Trucks!B288</f>
        <v>TGS-26-4406X4BLS-LX</v>
      </c>
      <c r="D291" s="19" t="str">
        <f>IFERROR(VLOOKUP(C291&amp;"",'[2]Retail Price List'!$A$3:$B$103,2,FALSE),"Special Order")</f>
        <v>KP000634</v>
      </c>
      <c r="E291" s="18" t="str">
        <f>[2]Trucks!J288</f>
        <v>CKD</v>
      </c>
      <c r="F291" s="12" t="str">
        <f>[2]Trucks!E288</f>
        <v>2017-12-10</v>
      </c>
      <c r="G291" s="56">
        <f>[2]Trucks!K288</f>
        <v>14.7</v>
      </c>
      <c r="H291" s="46">
        <f>[2]Trucks!I288</f>
        <v>42937</v>
      </c>
      <c r="I291" s="83" t="str">
        <f t="shared" si="20"/>
        <v>2017Q3</v>
      </c>
      <c r="J291" s="272">
        <f>IFERROR(VLOOKUP((D291&amp;C291)&amp;"",'[2]Retail Price List'!$C$4:$F$102,3,FALSE),"")</f>
        <v>1700000</v>
      </c>
      <c r="K291" s="272">
        <f>IFERROR(IF(BA291="WIP - 30 Days",VLOOKUP(D291,[3]Standard!$B$9:$E$101,4,FALSE),IF(BA291="31-120 Days",VLOOKUP(D291,[3]Standard!$B$9:$F$101,5,FALSE),IF(BA291="121-365 Days",VLOOKUP(D291,[3]Standard!$B$9:$G$101,6,FALSE),VLOOKUP(D291,[3]Standard!$B$9:$H$101,7,FALSE)))),0)</f>
        <v>1313250</v>
      </c>
      <c r="L291" s="272">
        <f>IFERROR(IF(BA291="WIP - 30 Days",VLOOKUP(D291,[3]Standard!$B$9:$J$101,9,FALSE),IF(BA291="31-120 Days",VLOOKUP(D291,[3]Standard!$B$9:$K$100,10,FALSE),IF(BA291="121-365 Days",VLOOKUP(D291,[3]Standard!$B$9:$L$101,11,FALSE),VLOOKUP(D291,[3]Standard!$B$9:$M$101,12,FALSE)))),0)</f>
        <v>1275000</v>
      </c>
      <c r="M291" s="269">
        <f>IFERROR(VLOOKUP((D291&amp;C291)&amp;"",'[2]Retail Price List'!$C$4:$F$102,4,FALSE),"")</f>
        <v>1735000</v>
      </c>
      <c r="N291" s="269">
        <f>IFERROR(IF(BA291="WIP - 30 Days",VLOOKUP(D291,[3]Extended!$B$9:$E$101,4,FALSE),IF(BA291="31-120 Days",VLOOKUP(D291,[3]Extended!$B$9:$F$101,5,FALSE),IF(BA291="121-365 Days",VLOOKUP(D291,[3]Extended!$B$9:$G$101,6,FALSE),VLOOKUP(D291,[3]Extended!$B$9:$H$101,7,FALSE)))),0)</f>
        <v>1322417</v>
      </c>
      <c r="O291" s="269">
        <f>IFERROR(IF(BA291="WIP - 30 Days",VLOOKUP(D291,[3]Extended!$B$9:$J$101,9,FALSE),IF(BA291="31-120 Days",VLOOKUP(D291,[3]Extended!$B$9:$K$101,10,FALSE),IF(BA291="121-365 Days",VLOOKUP(D291,[3]Extended!$B$9:$L$101,11,FALSE),VLOOKUP(D291,[3]Extended!$B$9:$M$101,12,FALSE)))),0)</f>
        <v>1283900</v>
      </c>
      <c r="P291" s="116">
        <f t="shared" si="21"/>
        <v>0.26</v>
      </c>
      <c r="Q291" s="110" t="e">
        <f>O291-#REF!</f>
        <v>#REF!</v>
      </c>
      <c r="S291" s="112">
        <v>10.5</v>
      </c>
      <c r="T291" s="112">
        <v>-6.2</v>
      </c>
      <c r="U291" s="112">
        <v>2.9</v>
      </c>
      <c r="W291" s="311"/>
      <c r="X291" s="311"/>
      <c r="Y291" s="311"/>
      <c r="Z291" s="311"/>
      <c r="AA291" s="311"/>
      <c r="AB291" s="311"/>
      <c r="AC291" s="311"/>
      <c r="AT291" s="88" t="str">
        <f t="shared" si="22"/>
        <v>KP0006342017Q314,7</v>
      </c>
      <c r="AU291" s="89" t="str">
        <f t="shared" si="23"/>
        <v>07-2017</v>
      </c>
      <c r="BA291" s="92" t="str">
        <f t="shared" si="24"/>
        <v>WIP - 30 Days</v>
      </c>
    </row>
    <row r="292" spans="1:56">
      <c r="B292" s="60">
        <f>[2]Trucks!A289</f>
        <v>47405</v>
      </c>
      <c r="C292" s="11" t="str">
        <f>[2]Trucks!B289</f>
        <v>TGS-26-4406X4BLS-LX</v>
      </c>
      <c r="D292" s="19" t="str">
        <f>IFERROR(VLOOKUP(C292&amp;"",'[2]Retail Price List'!$A$3:$B$103,2,FALSE),"Special Order")</f>
        <v>KP000634</v>
      </c>
      <c r="E292" s="18" t="str">
        <f>[2]Trucks!J289</f>
        <v>CKD</v>
      </c>
      <c r="F292" s="12" t="str">
        <f>[2]Trucks!E289</f>
        <v>2017-12-10</v>
      </c>
      <c r="G292" s="56">
        <f>[2]Trucks!K289</f>
        <v>14.7</v>
      </c>
      <c r="H292" s="46">
        <f>[2]Trucks!I289</f>
        <v>42937</v>
      </c>
      <c r="I292" s="83" t="str">
        <f t="shared" si="20"/>
        <v>2017Q3</v>
      </c>
      <c r="J292" s="272">
        <f>IFERROR(VLOOKUP((D292&amp;C292)&amp;"",'[2]Retail Price List'!$C$4:$F$102,3,FALSE),"")</f>
        <v>1700000</v>
      </c>
      <c r="K292" s="272">
        <f>IFERROR(IF(BA292="WIP - 30 Days",VLOOKUP(D292,[3]Standard!$B$9:$E$101,4,FALSE),IF(BA292="31-120 Days",VLOOKUP(D292,[3]Standard!$B$9:$F$101,5,FALSE),IF(BA292="121-365 Days",VLOOKUP(D292,[3]Standard!$B$9:$G$101,6,FALSE),VLOOKUP(D292,[3]Standard!$B$9:$H$101,7,FALSE)))),0)</f>
        <v>1313250</v>
      </c>
      <c r="L292" s="272">
        <f>IFERROR(IF(BA292="WIP - 30 Days",VLOOKUP(D292,[3]Standard!$B$9:$J$101,9,FALSE),IF(BA292="31-120 Days",VLOOKUP(D292,[3]Standard!$B$9:$K$100,10,FALSE),IF(BA292="121-365 Days",VLOOKUP(D292,[3]Standard!$B$9:$L$101,11,FALSE),VLOOKUP(D292,[3]Standard!$B$9:$M$101,12,FALSE)))),0)</f>
        <v>1275000</v>
      </c>
      <c r="M292" s="269">
        <f>IFERROR(VLOOKUP((D292&amp;C292)&amp;"",'[2]Retail Price List'!$C$4:$F$102,4,FALSE),"")</f>
        <v>1735000</v>
      </c>
      <c r="N292" s="269">
        <f>IFERROR(IF(BA292="WIP - 30 Days",VLOOKUP(D292,[3]Extended!$B$9:$E$101,4,FALSE),IF(BA292="31-120 Days",VLOOKUP(D292,[3]Extended!$B$9:$F$101,5,FALSE),IF(BA292="121-365 Days",VLOOKUP(D292,[3]Extended!$B$9:$G$101,6,FALSE),VLOOKUP(D292,[3]Extended!$B$9:$H$101,7,FALSE)))),0)</f>
        <v>1322417</v>
      </c>
      <c r="O292" s="269">
        <f>IFERROR(IF(BA292="WIP - 30 Days",VLOOKUP(D292,[3]Extended!$B$9:$J$101,9,FALSE),IF(BA292="31-120 Days",VLOOKUP(D292,[3]Extended!$B$9:$K$101,10,FALSE),IF(BA292="121-365 Days",VLOOKUP(D292,[3]Extended!$B$9:$L$101,11,FALSE),VLOOKUP(D292,[3]Extended!$B$9:$M$101,12,FALSE)))),0)</f>
        <v>1283900</v>
      </c>
      <c r="P292" s="116">
        <f t="shared" si="21"/>
        <v>0.26</v>
      </c>
      <c r="Q292" s="110" t="e">
        <f>O292-#REF!</f>
        <v>#REF!</v>
      </c>
      <c r="S292" s="112">
        <v>-1.6</v>
      </c>
      <c r="T292" s="112">
        <v>-1.6</v>
      </c>
      <c r="U292" s="112">
        <v>-1.6</v>
      </c>
      <c r="W292" s="311"/>
      <c r="X292" s="311"/>
      <c r="Y292" s="311"/>
      <c r="Z292" s="311"/>
      <c r="AA292" s="311"/>
      <c r="AB292" s="311"/>
      <c r="AC292" s="311"/>
      <c r="AT292" s="88" t="str">
        <f t="shared" si="22"/>
        <v>KP0006342017Q314,7</v>
      </c>
      <c r="AU292" s="89" t="str">
        <f t="shared" si="23"/>
        <v>07-2017</v>
      </c>
      <c r="BA292" s="92" t="str">
        <f t="shared" si="24"/>
        <v>WIP - 30 Days</v>
      </c>
    </row>
    <row r="293" spans="1:56">
      <c r="B293" s="60">
        <f>[2]Trucks!A290</f>
        <v>47406</v>
      </c>
      <c r="C293" s="11" t="str">
        <f>[2]Trucks!B290</f>
        <v>TGS-26-4406X4BLS-LX</v>
      </c>
      <c r="D293" s="19" t="str">
        <f>IFERROR(VLOOKUP(C293&amp;"",'[2]Retail Price List'!$A$3:$B$103,2,FALSE),"Special Order")</f>
        <v>KP000634</v>
      </c>
      <c r="E293" s="18" t="str">
        <f>[2]Trucks!J290</f>
        <v>CKD</v>
      </c>
      <c r="F293" s="12" t="str">
        <f>[2]Trucks!E290</f>
        <v>2017-12-10</v>
      </c>
      <c r="G293" s="56">
        <f>[2]Trucks!K290</f>
        <v>14.7</v>
      </c>
      <c r="H293" s="46">
        <f>[2]Trucks!I290</f>
        <v>42937</v>
      </c>
      <c r="I293" s="83" t="str">
        <f t="shared" si="20"/>
        <v>2017Q3</v>
      </c>
      <c r="J293" s="272">
        <f>IFERROR(VLOOKUP((D293&amp;C293)&amp;"",'[2]Retail Price List'!$C$4:$F$102,3,FALSE),"")</f>
        <v>1700000</v>
      </c>
      <c r="K293" s="272">
        <f>IFERROR(IF(BA293="WIP - 30 Days",VLOOKUP(D293,[3]Standard!$B$9:$E$101,4,FALSE),IF(BA293="31-120 Days",VLOOKUP(D293,[3]Standard!$B$9:$F$101,5,FALSE),IF(BA293="121-365 Days",VLOOKUP(D293,[3]Standard!$B$9:$G$101,6,FALSE),VLOOKUP(D293,[3]Standard!$B$9:$H$101,7,FALSE)))),0)</f>
        <v>1313250</v>
      </c>
      <c r="L293" s="272">
        <f>IFERROR(IF(BA293="WIP - 30 Days",VLOOKUP(D293,[3]Standard!$B$9:$J$101,9,FALSE),IF(BA293="31-120 Days",VLOOKUP(D293,[3]Standard!$B$9:$K$100,10,FALSE),IF(BA293="121-365 Days",VLOOKUP(D293,[3]Standard!$B$9:$L$101,11,FALSE),VLOOKUP(D293,[3]Standard!$B$9:$M$101,12,FALSE)))),0)</f>
        <v>1275000</v>
      </c>
      <c r="M293" s="269">
        <f>IFERROR(VLOOKUP((D293&amp;C293)&amp;"",'[2]Retail Price List'!$C$4:$F$102,4,FALSE),"")</f>
        <v>1735000</v>
      </c>
      <c r="N293" s="269">
        <f>IFERROR(IF(BA293="WIP - 30 Days",VLOOKUP(D293,[3]Extended!$B$9:$E$101,4,FALSE),IF(BA293="31-120 Days",VLOOKUP(D293,[3]Extended!$B$9:$F$101,5,FALSE),IF(BA293="121-365 Days",VLOOKUP(D293,[3]Extended!$B$9:$G$101,6,FALSE),VLOOKUP(D293,[3]Extended!$B$9:$H$101,7,FALSE)))),0)</f>
        <v>1322417</v>
      </c>
      <c r="O293" s="269">
        <f>IFERROR(IF(BA293="WIP - 30 Days",VLOOKUP(D293,[3]Extended!$B$9:$J$101,9,FALSE),IF(BA293="31-120 Days",VLOOKUP(D293,[3]Extended!$B$9:$K$101,10,FALSE),IF(BA293="121-365 Days",VLOOKUP(D293,[3]Extended!$B$9:$L$101,11,FALSE),VLOOKUP(D293,[3]Extended!$B$9:$M$101,12,FALSE)))),0)</f>
        <v>1283900</v>
      </c>
      <c r="P293" s="116">
        <f t="shared" si="21"/>
        <v>0.26</v>
      </c>
      <c r="Q293" s="110" t="e">
        <f>O293-#REF!</f>
        <v>#REF!</v>
      </c>
      <c r="S293" s="112">
        <f>COUNT(#REF!)</f>
        <v>0</v>
      </c>
      <c r="W293" s="311"/>
      <c r="X293" s="311"/>
      <c r="Y293" s="311"/>
      <c r="Z293" s="311"/>
      <c r="AA293" s="311"/>
      <c r="AB293" s="311"/>
      <c r="AC293" s="311"/>
      <c r="AT293" s="88" t="str">
        <f t="shared" si="22"/>
        <v>KP0006342017Q314,7</v>
      </c>
      <c r="AU293" s="89" t="str">
        <f t="shared" si="23"/>
        <v>07-2017</v>
      </c>
      <c r="BA293" s="92" t="str">
        <f t="shared" si="24"/>
        <v>WIP - 30 Days</v>
      </c>
    </row>
    <row r="294" spans="1:56">
      <c r="B294" s="60">
        <f>[2]Trucks!A291</f>
        <v>47407</v>
      </c>
      <c r="C294" s="11" t="str">
        <f>[2]Trucks!B291</f>
        <v>TGS-26-4406X4BLS-LX</v>
      </c>
      <c r="D294" s="19" t="str">
        <f>IFERROR(VLOOKUP(C294&amp;"",'[2]Retail Price List'!$A$3:$B$103,2,FALSE),"Special Order")</f>
        <v>KP000634</v>
      </c>
      <c r="E294" s="18" t="str">
        <f>[2]Trucks!J291</f>
        <v>CKD</v>
      </c>
      <c r="F294" s="12" t="str">
        <f>[2]Trucks!E291</f>
        <v>2017-12-10</v>
      </c>
      <c r="G294" s="56">
        <f>[2]Trucks!K291</f>
        <v>14.7</v>
      </c>
      <c r="H294" s="46">
        <f>[2]Trucks!I291</f>
        <v>42937</v>
      </c>
      <c r="I294" s="83" t="str">
        <f t="shared" si="20"/>
        <v>2017Q3</v>
      </c>
      <c r="J294" s="272">
        <f>IFERROR(VLOOKUP((D294&amp;C294)&amp;"",'[2]Retail Price List'!$C$4:$F$102,3,FALSE),"")</f>
        <v>1700000</v>
      </c>
      <c r="K294" s="272">
        <f>IFERROR(IF(BA294="WIP - 30 Days",VLOOKUP(D294,[3]Standard!$B$9:$E$101,4,FALSE),IF(BA294="31-120 Days",VLOOKUP(D294,[3]Standard!$B$9:$F$101,5,FALSE),IF(BA294="121-365 Days",VLOOKUP(D294,[3]Standard!$B$9:$G$101,6,FALSE),VLOOKUP(D294,[3]Standard!$B$9:$H$101,7,FALSE)))),0)</f>
        <v>1313250</v>
      </c>
      <c r="L294" s="272">
        <f>IFERROR(IF(BA294="WIP - 30 Days",VLOOKUP(D294,[3]Standard!$B$9:$J$101,9,FALSE),IF(BA294="31-120 Days",VLOOKUP(D294,[3]Standard!$B$9:$K$100,10,FALSE),IF(BA294="121-365 Days",VLOOKUP(D294,[3]Standard!$B$9:$L$101,11,FALSE),VLOOKUP(D294,[3]Standard!$B$9:$M$101,12,FALSE)))),0)</f>
        <v>1275000</v>
      </c>
      <c r="M294" s="269">
        <f>IFERROR(VLOOKUP((D294&amp;C294)&amp;"",'[2]Retail Price List'!$C$4:$F$102,4,FALSE),"")</f>
        <v>1735000</v>
      </c>
      <c r="N294" s="269">
        <f>IFERROR(IF(BA294="WIP - 30 Days",VLOOKUP(D294,[3]Extended!$B$9:$E$101,4,FALSE),IF(BA294="31-120 Days",VLOOKUP(D294,[3]Extended!$B$9:$F$101,5,FALSE),IF(BA294="121-365 Days",VLOOKUP(D294,[3]Extended!$B$9:$G$101,6,FALSE),VLOOKUP(D294,[3]Extended!$B$9:$H$101,7,FALSE)))),0)</f>
        <v>1322417</v>
      </c>
      <c r="O294" s="269">
        <f>IFERROR(IF(BA294="WIP - 30 Days",VLOOKUP(D294,[3]Extended!$B$9:$J$101,9,FALSE),IF(BA294="31-120 Days",VLOOKUP(D294,[3]Extended!$B$9:$K$101,10,FALSE),IF(BA294="121-365 Days",VLOOKUP(D294,[3]Extended!$B$9:$L$101,11,FALSE),VLOOKUP(D294,[3]Extended!$B$9:$M$101,12,FALSE)))),0)</f>
        <v>1283900</v>
      </c>
      <c r="P294" s="116">
        <f t="shared" si="21"/>
        <v>0.26</v>
      </c>
      <c r="Q294" s="110" t="e">
        <f>O294-#REF!</f>
        <v>#REF!</v>
      </c>
      <c r="S294" s="110" t="e">
        <f>+AVERAGE(#REF!)</f>
        <v>#REF!</v>
      </c>
      <c r="W294" s="311"/>
      <c r="X294" s="311"/>
      <c r="Y294" s="311"/>
      <c r="Z294" s="311"/>
      <c r="AA294" s="311"/>
      <c r="AB294" s="311"/>
      <c r="AC294" s="311"/>
      <c r="AT294" s="88" t="str">
        <f t="shared" si="22"/>
        <v>KP0006342017Q314,7</v>
      </c>
      <c r="AU294" s="89" t="str">
        <f t="shared" si="23"/>
        <v>07-2017</v>
      </c>
      <c r="BA294" s="92" t="str">
        <f t="shared" si="24"/>
        <v>WIP - 30 Days</v>
      </c>
    </row>
    <row r="295" spans="1:56">
      <c r="B295" s="60">
        <f>[2]Trucks!A292</f>
        <v>47408</v>
      </c>
      <c r="C295" s="11" t="str">
        <f>[2]Trucks!B292</f>
        <v>TGS-26-4406X4BLS-LX</v>
      </c>
      <c r="D295" s="19" t="str">
        <f>IFERROR(VLOOKUP(C295&amp;"",'[2]Retail Price List'!$A$3:$B$103,2,FALSE),"Special Order")</f>
        <v>KP000634</v>
      </c>
      <c r="E295" s="18" t="str">
        <f>[2]Trucks!J292</f>
        <v>CKD</v>
      </c>
      <c r="F295" s="12" t="str">
        <f>[2]Trucks!E292</f>
        <v>2017-12-15</v>
      </c>
      <c r="G295" s="56">
        <f>[2]Trucks!K292</f>
        <v>14.7</v>
      </c>
      <c r="H295" s="46">
        <f>[2]Trucks!I292</f>
        <v>42937</v>
      </c>
      <c r="I295" s="83" t="str">
        <f t="shared" si="20"/>
        <v>2017Q3</v>
      </c>
      <c r="J295" s="272">
        <f>IFERROR(VLOOKUP((D295&amp;C295)&amp;"",'[2]Retail Price List'!$C$4:$F$102,3,FALSE),"")</f>
        <v>1700000</v>
      </c>
      <c r="K295" s="272">
        <f>IFERROR(IF(BA295="WIP - 30 Days",VLOOKUP(D295,[3]Standard!$B$9:$E$101,4,FALSE),IF(BA295="31-120 Days",VLOOKUP(D295,[3]Standard!$B$9:$F$101,5,FALSE),IF(BA295="121-365 Days",VLOOKUP(D295,[3]Standard!$B$9:$G$101,6,FALSE),VLOOKUP(D295,[3]Standard!$B$9:$H$101,7,FALSE)))),0)</f>
        <v>1313250</v>
      </c>
      <c r="L295" s="272">
        <f>IFERROR(IF(BA295="WIP - 30 Days",VLOOKUP(D295,[3]Standard!$B$9:$J$101,9,FALSE),IF(BA295="31-120 Days",VLOOKUP(D295,[3]Standard!$B$9:$K$100,10,FALSE),IF(BA295="121-365 Days",VLOOKUP(D295,[3]Standard!$B$9:$L$101,11,FALSE),VLOOKUP(D295,[3]Standard!$B$9:$M$101,12,FALSE)))),0)</f>
        <v>1275000</v>
      </c>
      <c r="M295" s="269">
        <f>IFERROR(VLOOKUP((D295&amp;C295)&amp;"",'[2]Retail Price List'!$C$4:$F$102,4,FALSE),"")</f>
        <v>1735000</v>
      </c>
      <c r="N295" s="269">
        <f>IFERROR(IF(BA295="WIP - 30 Days",VLOOKUP(D295,[3]Extended!$B$9:$E$101,4,FALSE),IF(BA295="31-120 Days",VLOOKUP(D295,[3]Extended!$B$9:$F$101,5,FALSE),IF(BA295="121-365 Days",VLOOKUP(D295,[3]Extended!$B$9:$G$101,6,FALSE),VLOOKUP(D295,[3]Extended!$B$9:$H$101,7,FALSE)))),0)</f>
        <v>1322417</v>
      </c>
      <c r="O295" s="269">
        <f>IFERROR(IF(BA295="WIP - 30 Days",VLOOKUP(D295,[3]Extended!$B$9:$J$101,9,FALSE),IF(BA295="31-120 Days",VLOOKUP(D295,[3]Extended!$B$9:$K$101,10,FALSE),IF(BA295="121-365 Days",VLOOKUP(D295,[3]Extended!$B$9:$L$101,11,FALSE),VLOOKUP(D295,[3]Extended!$B$9:$M$101,12,FALSE)))),0)</f>
        <v>1283900</v>
      </c>
      <c r="P295" s="116">
        <f t="shared" si="21"/>
        <v>0.26</v>
      </c>
      <c r="Q295" s="110" t="e">
        <f>O295-#REF!</f>
        <v>#REF!</v>
      </c>
      <c r="W295" s="311"/>
      <c r="X295" s="311"/>
      <c r="Y295" s="311"/>
      <c r="Z295" s="311"/>
      <c r="AA295" s="311"/>
      <c r="AB295" s="311"/>
      <c r="AC295" s="311"/>
      <c r="AT295" s="88" t="str">
        <f t="shared" si="22"/>
        <v>KP0006342017Q314,7</v>
      </c>
      <c r="AU295" s="89" t="str">
        <f t="shared" si="23"/>
        <v>07-2017</v>
      </c>
      <c r="BA295" s="92" t="str">
        <f t="shared" si="24"/>
        <v>WIP - 30 Days</v>
      </c>
    </row>
    <row r="296" spans="1:56">
      <c r="B296" s="60">
        <f>[2]Trucks!A293</f>
        <v>47409</v>
      </c>
      <c r="C296" s="11" t="str">
        <f>[2]Trucks!B293</f>
        <v>TGS-26-4406X4BLS-LX</v>
      </c>
      <c r="D296" s="19" t="str">
        <f>IFERROR(VLOOKUP(C296&amp;"",'[2]Retail Price List'!$A$3:$B$103,2,FALSE),"Special Order")</f>
        <v>KP000634</v>
      </c>
      <c r="E296" s="18" t="str">
        <f>[2]Trucks!J293</f>
        <v>CKD</v>
      </c>
      <c r="F296" s="12" t="str">
        <f>[2]Trucks!E293</f>
        <v>2017-12-15</v>
      </c>
      <c r="G296" s="56">
        <f>[2]Trucks!K293</f>
        <v>14.7</v>
      </c>
      <c r="H296" s="46">
        <f>[2]Trucks!I293</f>
        <v>42937</v>
      </c>
      <c r="I296" s="83" t="str">
        <f t="shared" si="20"/>
        <v>2017Q3</v>
      </c>
      <c r="J296" s="272">
        <f>IFERROR(VLOOKUP((D296&amp;C296)&amp;"",'[2]Retail Price List'!$C$4:$F$102,3,FALSE),"")</f>
        <v>1700000</v>
      </c>
      <c r="K296" s="272">
        <f>IFERROR(IF(BA296="WIP - 30 Days",VLOOKUP(D296,[3]Standard!$B$9:$E$101,4,FALSE),IF(BA296="31-120 Days",VLOOKUP(D296,[3]Standard!$B$9:$F$101,5,FALSE),IF(BA296="121-365 Days",VLOOKUP(D296,[3]Standard!$B$9:$G$101,6,FALSE),VLOOKUP(D296,[3]Standard!$B$9:$H$101,7,FALSE)))),0)</f>
        <v>1313250</v>
      </c>
      <c r="L296" s="272">
        <f>IFERROR(IF(BA296="WIP - 30 Days",VLOOKUP(D296,[3]Standard!$B$9:$J$101,9,FALSE),IF(BA296="31-120 Days",VLOOKUP(D296,[3]Standard!$B$9:$K$100,10,FALSE),IF(BA296="121-365 Days",VLOOKUP(D296,[3]Standard!$B$9:$L$101,11,FALSE),VLOOKUP(D296,[3]Standard!$B$9:$M$101,12,FALSE)))),0)</f>
        <v>1275000</v>
      </c>
      <c r="M296" s="269">
        <f>IFERROR(VLOOKUP((D296&amp;C296)&amp;"",'[2]Retail Price List'!$C$4:$F$102,4,FALSE),"")</f>
        <v>1735000</v>
      </c>
      <c r="N296" s="269">
        <f>IFERROR(IF(BA296="WIP - 30 Days",VLOOKUP(D296,[3]Extended!$B$9:$E$101,4,FALSE),IF(BA296="31-120 Days",VLOOKUP(D296,[3]Extended!$B$9:$F$101,5,FALSE),IF(BA296="121-365 Days",VLOOKUP(D296,[3]Extended!$B$9:$G$101,6,FALSE),VLOOKUP(D296,[3]Extended!$B$9:$H$101,7,FALSE)))),0)</f>
        <v>1322417</v>
      </c>
      <c r="O296" s="269">
        <f>IFERROR(IF(BA296="WIP - 30 Days",VLOOKUP(D296,[3]Extended!$B$9:$J$101,9,FALSE),IF(BA296="31-120 Days",VLOOKUP(D296,[3]Extended!$B$9:$K$101,10,FALSE),IF(BA296="121-365 Days",VLOOKUP(D296,[3]Extended!$B$9:$L$101,11,FALSE),VLOOKUP(D296,[3]Extended!$B$9:$M$101,12,FALSE)))),0)</f>
        <v>1283900</v>
      </c>
      <c r="P296" s="116">
        <f t="shared" si="21"/>
        <v>0.26</v>
      </c>
      <c r="Q296" s="110" t="e">
        <f>O296-#REF!</f>
        <v>#REF!</v>
      </c>
      <c r="W296" s="311"/>
      <c r="X296" s="311"/>
      <c r="Y296" s="311"/>
      <c r="Z296" s="311"/>
      <c r="AA296" s="311"/>
      <c r="AB296" s="311"/>
      <c r="AC296" s="311"/>
      <c r="AT296" s="88" t="str">
        <f t="shared" si="22"/>
        <v>KP0006342017Q314,7</v>
      </c>
      <c r="AU296" s="89" t="str">
        <f t="shared" si="23"/>
        <v>07-2017</v>
      </c>
      <c r="BA296" s="92" t="str">
        <f t="shared" si="24"/>
        <v>WIP - 30 Days</v>
      </c>
    </row>
    <row r="297" spans="1:56">
      <c r="B297" s="60">
        <f>[2]Trucks!A294</f>
        <v>47410</v>
      </c>
      <c r="C297" s="11" t="str">
        <f>[2]Trucks!B294</f>
        <v>TGS-26-4406X4BLS-LX</v>
      </c>
      <c r="D297" s="19" t="str">
        <f>IFERROR(VLOOKUP(C297&amp;"",'[2]Retail Price List'!$A$3:$B$103,2,FALSE),"Special Order")</f>
        <v>KP000634</v>
      </c>
      <c r="E297" s="18" t="str">
        <f>[2]Trucks!J294</f>
        <v>CKD</v>
      </c>
      <c r="F297" s="12" t="str">
        <f>[2]Trucks!E294</f>
        <v>2017-12-15</v>
      </c>
      <c r="G297" s="56">
        <f>[2]Trucks!K294</f>
        <v>14.7</v>
      </c>
      <c r="H297" s="46">
        <f>[2]Trucks!I294</f>
        <v>42937</v>
      </c>
      <c r="I297" s="83" t="str">
        <f t="shared" si="20"/>
        <v>2017Q3</v>
      </c>
      <c r="J297" s="272">
        <f>IFERROR(VLOOKUP((D297&amp;C297)&amp;"",'[2]Retail Price List'!$C$4:$F$102,3,FALSE),"")</f>
        <v>1700000</v>
      </c>
      <c r="K297" s="272">
        <f>IFERROR(IF(BA297="WIP - 30 Days",VLOOKUP(D297,[3]Standard!$B$9:$E$101,4,FALSE),IF(BA297="31-120 Days",VLOOKUP(D297,[3]Standard!$B$9:$F$101,5,FALSE),IF(BA297="121-365 Days",VLOOKUP(D297,[3]Standard!$B$9:$G$101,6,FALSE),VLOOKUP(D297,[3]Standard!$B$9:$H$101,7,FALSE)))),0)</f>
        <v>1313250</v>
      </c>
      <c r="L297" s="272">
        <f>IFERROR(IF(BA297="WIP - 30 Days",VLOOKUP(D297,[3]Standard!$B$9:$J$101,9,FALSE),IF(BA297="31-120 Days",VLOOKUP(D297,[3]Standard!$B$9:$K$100,10,FALSE),IF(BA297="121-365 Days",VLOOKUP(D297,[3]Standard!$B$9:$L$101,11,FALSE),VLOOKUP(D297,[3]Standard!$B$9:$M$101,12,FALSE)))),0)</f>
        <v>1275000</v>
      </c>
      <c r="M297" s="269">
        <f>IFERROR(VLOOKUP((D297&amp;C297)&amp;"",'[2]Retail Price List'!$C$4:$F$102,4,FALSE),"")</f>
        <v>1735000</v>
      </c>
      <c r="N297" s="269">
        <f>IFERROR(IF(BA297="WIP - 30 Days",VLOOKUP(D297,[3]Extended!$B$9:$E$101,4,FALSE),IF(BA297="31-120 Days",VLOOKUP(D297,[3]Extended!$B$9:$F$101,5,FALSE),IF(BA297="121-365 Days",VLOOKUP(D297,[3]Extended!$B$9:$G$101,6,FALSE),VLOOKUP(D297,[3]Extended!$B$9:$H$101,7,FALSE)))),0)</f>
        <v>1322417</v>
      </c>
      <c r="O297" s="269">
        <f>IFERROR(IF(BA297="WIP - 30 Days",VLOOKUP(D297,[3]Extended!$B$9:$J$101,9,FALSE),IF(BA297="31-120 Days",VLOOKUP(D297,[3]Extended!$B$9:$K$101,10,FALSE),IF(BA297="121-365 Days",VLOOKUP(D297,[3]Extended!$B$9:$L$101,11,FALSE),VLOOKUP(D297,[3]Extended!$B$9:$M$101,12,FALSE)))),0)</f>
        <v>1283900</v>
      </c>
      <c r="P297" s="116">
        <f t="shared" si="21"/>
        <v>0.26</v>
      </c>
      <c r="Q297" s="110" t="e">
        <f>O297-#REF!</f>
        <v>#REF!</v>
      </c>
      <c r="W297" s="311"/>
      <c r="X297" s="311"/>
      <c r="Y297" s="311"/>
      <c r="Z297" s="311"/>
      <c r="AA297" s="311"/>
      <c r="AB297" s="311"/>
      <c r="AC297" s="311"/>
      <c r="AT297" s="88" t="str">
        <f t="shared" si="22"/>
        <v>KP0006342017Q314,7</v>
      </c>
      <c r="AU297" s="89" t="str">
        <f t="shared" si="23"/>
        <v>07-2017</v>
      </c>
      <c r="BA297" s="92" t="str">
        <f t="shared" si="24"/>
        <v>WIP - 30 Days</v>
      </c>
    </row>
    <row r="298" spans="1:56" s="4" customFormat="1">
      <c r="A298" s="69"/>
      <c r="B298" s="60">
        <f>[2]Trucks!A295</f>
        <v>47411</v>
      </c>
      <c r="C298" s="11" t="str">
        <f>[2]Trucks!B295</f>
        <v>TGS-26-4406X4BLS-LX</v>
      </c>
      <c r="D298" s="19" t="str">
        <f>IFERROR(VLOOKUP(C298&amp;"",'[2]Retail Price List'!$A$3:$B$103,2,FALSE),"Special Order")</f>
        <v>KP000634</v>
      </c>
      <c r="E298" s="18" t="str">
        <f>[2]Trucks!J295</f>
        <v>CKD</v>
      </c>
      <c r="F298" s="12" t="str">
        <f>[2]Trucks!E295</f>
        <v>2017-12-15</v>
      </c>
      <c r="G298" s="56">
        <f>[2]Trucks!K295</f>
        <v>14.7</v>
      </c>
      <c r="H298" s="46">
        <f>[2]Trucks!I295</f>
        <v>42937</v>
      </c>
      <c r="I298" s="83" t="str">
        <f t="shared" si="20"/>
        <v>2017Q3</v>
      </c>
      <c r="J298" s="272">
        <f>IFERROR(VLOOKUP((D298&amp;C298)&amp;"",'[2]Retail Price List'!$C$4:$F$102,3,FALSE),"")</f>
        <v>1700000</v>
      </c>
      <c r="K298" s="272">
        <f>IFERROR(IF(BA298="WIP - 30 Days",VLOOKUP(D298,[3]Standard!$B$9:$E$101,4,FALSE),IF(BA298="31-120 Days",VLOOKUP(D298,[3]Standard!$B$9:$F$101,5,FALSE),IF(BA298="121-365 Days",VLOOKUP(D298,[3]Standard!$B$9:$G$101,6,FALSE),VLOOKUP(D298,[3]Standard!$B$9:$H$101,7,FALSE)))),0)</f>
        <v>1313250</v>
      </c>
      <c r="L298" s="272">
        <f>IFERROR(IF(BA298="WIP - 30 Days",VLOOKUP(D298,[3]Standard!$B$9:$J$101,9,FALSE),IF(BA298="31-120 Days",VLOOKUP(D298,[3]Standard!$B$9:$K$100,10,FALSE),IF(BA298="121-365 Days",VLOOKUP(D298,[3]Standard!$B$9:$L$101,11,FALSE),VLOOKUP(D298,[3]Standard!$B$9:$M$101,12,FALSE)))),0)</f>
        <v>1275000</v>
      </c>
      <c r="M298" s="269">
        <f>IFERROR(VLOOKUP((D298&amp;C298)&amp;"",'[2]Retail Price List'!$C$4:$F$102,4,FALSE),"")</f>
        <v>1735000</v>
      </c>
      <c r="N298" s="269">
        <f>IFERROR(IF(BA298="WIP - 30 Days",VLOOKUP(D298,[3]Extended!$B$9:$E$101,4,FALSE),IF(BA298="31-120 Days",VLOOKUP(D298,[3]Extended!$B$9:$F$101,5,FALSE),IF(BA298="121-365 Days",VLOOKUP(D298,[3]Extended!$B$9:$G$101,6,FALSE),VLOOKUP(D298,[3]Extended!$B$9:$H$101,7,FALSE)))),0)</f>
        <v>1322417</v>
      </c>
      <c r="O298" s="269">
        <f>IFERROR(IF(BA298="WIP - 30 Days",VLOOKUP(D298,[3]Extended!$B$9:$J$101,9,FALSE),IF(BA298="31-120 Days",VLOOKUP(D298,[3]Extended!$B$9:$K$101,10,FALSE),IF(BA298="121-365 Days",VLOOKUP(D298,[3]Extended!$B$9:$L$101,11,FALSE),VLOOKUP(D298,[3]Extended!$B$9:$M$101,12,FALSE)))),0)</f>
        <v>1283900</v>
      </c>
      <c r="P298" s="116">
        <f t="shared" si="21"/>
        <v>0.26</v>
      </c>
      <c r="Q298" s="110" t="e">
        <f>O298-#REF!</f>
        <v>#REF!</v>
      </c>
      <c r="R298" s="111" t="e">
        <f>SUM(Q290:Q297)/SUM(O290:O297)</f>
        <v>#REF!</v>
      </c>
      <c r="S298" s="112"/>
      <c r="T298" s="112"/>
      <c r="U298" s="112"/>
      <c r="V298" s="112"/>
      <c r="W298" s="311"/>
      <c r="X298" s="311"/>
      <c r="Y298" s="311"/>
      <c r="Z298" s="311"/>
      <c r="AA298" s="311"/>
      <c r="AB298" s="311"/>
      <c r="AC298" s="311"/>
      <c r="AD298" s="89"/>
      <c r="AE298" s="89"/>
      <c r="AF298" s="89"/>
      <c r="AG298" s="5"/>
      <c r="AH298" s="5"/>
      <c r="AI298" s="5"/>
      <c r="AJ298" s="5"/>
      <c r="AK298" s="5"/>
      <c r="AL298" s="5"/>
      <c r="AM298" s="5"/>
      <c r="AN298" s="5"/>
      <c r="AO298" s="5"/>
      <c r="AP298" s="5"/>
      <c r="AQ298" s="5"/>
      <c r="AR298" s="5"/>
      <c r="AS298" s="5"/>
      <c r="AT298" s="88" t="str">
        <f t="shared" si="22"/>
        <v>KP0006342017Q314,7</v>
      </c>
      <c r="AU298" s="89" t="str">
        <f t="shared" si="23"/>
        <v>07-2017</v>
      </c>
      <c r="AV298" s="89"/>
      <c r="AW298" s="89"/>
      <c r="AX298" s="89"/>
      <c r="AY298" s="89"/>
      <c r="AZ298" s="89"/>
      <c r="BA298" s="92" t="str">
        <f t="shared" si="24"/>
        <v>WIP - 30 Days</v>
      </c>
      <c r="BB298" s="89"/>
      <c r="BC298" s="97"/>
      <c r="BD298" s="97"/>
    </row>
    <row r="299" spans="1:56">
      <c r="B299" s="60">
        <f>[2]Trucks!A296</f>
        <v>47453</v>
      </c>
      <c r="C299" s="11" t="str">
        <f>[2]Trucks!B296</f>
        <v>TGS-26-4406X4BLS-LX</v>
      </c>
      <c r="D299" s="19" t="str">
        <f>IFERROR(VLOOKUP(C299&amp;"",'[2]Retail Price List'!$A$3:$B$103,2,FALSE),"Special Order")</f>
        <v>KP000634</v>
      </c>
      <c r="E299" s="18" t="str">
        <f>[2]Trucks!J296</f>
        <v>BOOKED : 2017-08-17</v>
      </c>
      <c r="F299" s="12" t="str">
        <f>[2]Trucks!E296</f>
        <v>2017-11-10</v>
      </c>
      <c r="G299" s="56">
        <f>[2]Trucks!K296</f>
        <v>14.7</v>
      </c>
      <c r="H299" s="46">
        <f>[2]Trucks!I296</f>
        <v>42937</v>
      </c>
      <c r="I299" s="83" t="str">
        <f t="shared" si="20"/>
        <v>2017Q3</v>
      </c>
      <c r="J299" s="272">
        <f>IFERROR(VLOOKUP((D299&amp;C299)&amp;"",'[2]Retail Price List'!$C$4:$F$102,3,FALSE),"")</f>
        <v>1700000</v>
      </c>
      <c r="K299" s="272">
        <f>IFERROR(IF(BA299="WIP - 30 Days",VLOOKUP(D299,[3]Standard!$B$9:$E$101,4,FALSE),IF(BA299="31-120 Days",VLOOKUP(D299,[3]Standard!$B$9:$F$101,5,FALSE),IF(BA299="121-365 Days",VLOOKUP(D299,[3]Standard!$B$9:$G$101,6,FALSE),VLOOKUP(D299,[3]Standard!$B$9:$H$101,7,FALSE)))),0)</f>
        <v>1202020.2020202021</v>
      </c>
      <c r="L299" s="272">
        <f>IFERROR(IF(BA299="WIP - 30 Days",VLOOKUP(D299,[3]Standard!$B$9:$J$101,9,FALSE),IF(BA299="31-120 Days",VLOOKUP(D299,[3]Standard!$B$9:$K$100,10,FALSE),IF(BA299="121-365 Days",VLOOKUP(D299,[3]Standard!$B$9:$L$101,11,FALSE),VLOOKUP(D299,[3]Standard!$B$9:$M$101,12,FALSE)))),0)</f>
        <v>1190000</v>
      </c>
      <c r="M299" s="269">
        <f>IFERROR(VLOOKUP((D299&amp;C299)&amp;"",'[2]Retail Price List'!$C$4:$F$102,4,FALSE),"")</f>
        <v>1735000</v>
      </c>
      <c r="N299" s="269">
        <f>IFERROR(IF(BA299="WIP - 30 Days",VLOOKUP(D299,[3]Extended!$B$9:$E$101,4,FALSE),IF(BA299="31-120 Days",VLOOKUP(D299,[3]Extended!$B$9:$F$101,5,FALSE),IF(BA299="121-365 Days",VLOOKUP(D299,[3]Extended!$B$9:$G$101,6,FALSE),VLOOKUP(D299,[3]Extended!$B$9:$H$101,7,FALSE)))),0)</f>
        <v>1226767.6767676768</v>
      </c>
      <c r="O299" s="269">
        <f>IFERROR(IF(BA299="WIP - 30 Days",VLOOKUP(D299,[3]Extended!$B$9:$J$101,9,FALSE),IF(BA299="31-120 Days",VLOOKUP(D299,[3]Extended!$B$9:$K$101,10,FALSE),IF(BA299="121-365 Days",VLOOKUP(D299,[3]Extended!$B$9:$L$101,11,FALSE),VLOOKUP(D299,[3]Extended!$B$9:$M$101,12,FALSE)))),0)</f>
        <v>1214500</v>
      </c>
      <c r="P299" s="116">
        <f t="shared" si="21"/>
        <v>0.3</v>
      </c>
      <c r="Q299" s="110" t="e">
        <f>O299-#REF!</f>
        <v>#REF!</v>
      </c>
      <c r="W299" s="311"/>
      <c r="X299" s="311"/>
      <c r="Y299" s="311"/>
      <c r="Z299" s="311"/>
      <c r="AA299" s="311"/>
      <c r="AB299" s="311"/>
      <c r="AC299" s="311"/>
      <c r="AT299" s="88" t="str">
        <f t="shared" si="22"/>
        <v>KP0006342017Q314,7</v>
      </c>
      <c r="AU299" s="89" t="str">
        <f t="shared" si="23"/>
        <v>07-2017</v>
      </c>
      <c r="BA299" s="92" t="str">
        <f t="shared" si="24"/>
        <v>&gt;365 Days</v>
      </c>
    </row>
    <row r="300" spans="1:56">
      <c r="B300" s="60">
        <f>[2]Trucks!A297</f>
        <v>47454</v>
      </c>
      <c r="C300" s="11" t="str">
        <f>[2]Trucks!B297</f>
        <v>TGS-26-4406X4BLS-LX</v>
      </c>
      <c r="D300" s="19" t="str">
        <f>IFERROR(VLOOKUP(C300&amp;"",'[2]Retail Price List'!$A$3:$B$103,2,FALSE),"Special Order")</f>
        <v>KP000634</v>
      </c>
      <c r="E300" s="18" t="str">
        <f>[2]Trucks!J297</f>
        <v>BOOKED : 2017-08-17</v>
      </c>
      <c r="F300" s="12" t="str">
        <f>[2]Trucks!E297</f>
        <v>2017-11-10</v>
      </c>
      <c r="G300" s="56">
        <f>[2]Trucks!K297</f>
        <v>14.7</v>
      </c>
      <c r="H300" s="46">
        <f>[2]Trucks!I297</f>
        <v>42937</v>
      </c>
      <c r="I300" s="83" t="str">
        <f t="shared" si="20"/>
        <v>2017Q3</v>
      </c>
      <c r="J300" s="272">
        <f>IFERROR(VLOOKUP((D300&amp;C300)&amp;"",'[2]Retail Price List'!$C$4:$F$102,3,FALSE),"")</f>
        <v>1700000</v>
      </c>
      <c r="K300" s="272">
        <f>IFERROR(IF(BA300="WIP - 30 Days",VLOOKUP(D300,[3]Standard!$B$9:$E$101,4,FALSE),IF(BA300="31-120 Days",VLOOKUP(D300,[3]Standard!$B$9:$F$101,5,FALSE),IF(BA300="121-365 Days",VLOOKUP(D300,[3]Standard!$B$9:$G$101,6,FALSE),VLOOKUP(D300,[3]Standard!$B$9:$H$101,7,FALSE)))),0)</f>
        <v>1202020.2020202021</v>
      </c>
      <c r="L300" s="272">
        <f>IFERROR(IF(BA300="WIP - 30 Days",VLOOKUP(D300,[3]Standard!$B$9:$J$101,9,FALSE),IF(BA300="31-120 Days",VLOOKUP(D300,[3]Standard!$B$9:$K$100,10,FALSE),IF(BA300="121-365 Days",VLOOKUP(D300,[3]Standard!$B$9:$L$101,11,FALSE),VLOOKUP(D300,[3]Standard!$B$9:$M$101,12,FALSE)))),0)</f>
        <v>1190000</v>
      </c>
      <c r="M300" s="269">
        <f>IFERROR(VLOOKUP((D300&amp;C300)&amp;"",'[2]Retail Price List'!$C$4:$F$102,4,FALSE),"")</f>
        <v>1735000</v>
      </c>
      <c r="N300" s="269">
        <f>IFERROR(IF(BA300="WIP - 30 Days",VLOOKUP(D300,[3]Extended!$B$9:$E$101,4,FALSE),IF(BA300="31-120 Days",VLOOKUP(D300,[3]Extended!$B$9:$F$101,5,FALSE),IF(BA300="121-365 Days",VLOOKUP(D300,[3]Extended!$B$9:$G$101,6,FALSE),VLOOKUP(D300,[3]Extended!$B$9:$H$101,7,FALSE)))),0)</f>
        <v>1226767.6767676768</v>
      </c>
      <c r="O300" s="269">
        <f>IFERROR(IF(BA300="WIP - 30 Days",VLOOKUP(D300,[3]Extended!$B$9:$J$101,9,FALSE),IF(BA300="31-120 Days",VLOOKUP(D300,[3]Extended!$B$9:$K$101,10,FALSE),IF(BA300="121-365 Days",VLOOKUP(D300,[3]Extended!$B$9:$L$101,11,FALSE),VLOOKUP(D300,[3]Extended!$B$9:$M$101,12,FALSE)))),0)</f>
        <v>1214500</v>
      </c>
      <c r="P300" s="116">
        <f t="shared" si="21"/>
        <v>0.3</v>
      </c>
      <c r="Q300" s="110" t="e">
        <f>O300-#REF!</f>
        <v>#REF!</v>
      </c>
      <c r="W300" s="311"/>
      <c r="X300" s="311"/>
      <c r="Y300" s="311"/>
      <c r="Z300" s="311"/>
      <c r="AA300" s="311"/>
      <c r="AB300" s="311"/>
      <c r="AC300" s="311"/>
      <c r="AT300" s="88" t="str">
        <f t="shared" si="22"/>
        <v>KP0006342017Q314,7</v>
      </c>
      <c r="AU300" s="89" t="str">
        <f t="shared" si="23"/>
        <v>07-2017</v>
      </c>
      <c r="BA300" s="92" t="str">
        <f t="shared" si="24"/>
        <v>&gt;365 Days</v>
      </c>
    </row>
    <row r="301" spans="1:56" s="4" customFormat="1" ht="15.75" customHeight="1">
      <c r="A301" s="69"/>
      <c r="B301" s="60">
        <f>[2]Trucks!A298</f>
        <v>47455</v>
      </c>
      <c r="C301" s="11" t="str">
        <f>[2]Trucks!B298</f>
        <v>TGS-26-4406X4BLS-LX</v>
      </c>
      <c r="D301" s="19" t="str">
        <f>IFERROR(VLOOKUP(C301&amp;"",'[2]Retail Price List'!$A$3:$B$103,2,FALSE),"Special Order")</f>
        <v>KP000634</v>
      </c>
      <c r="E301" s="18" t="str">
        <f>[2]Trucks!J298</f>
        <v>BOOKED : 2017-08-17</v>
      </c>
      <c r="F301" s="12" t="str">
        <f>[2]Trucks!E298</f>
        <v>2017-11-10</v>
      </c>
      <c r="G301" s="56">
        <f>[2]Trucks!K298</f>
        <v>14.7</v>
      </c>
      <c r="H301" s="46">
        <f>[2]Trucks!I298</f>
        <v>42937</v>
      </c>
      <c r="I301" s="83" t="str">
        <f t="shared" si="20"/>
        <v>2017Q3</v>
      </c>
      <c r="J301" s="272">
        <f>IFERROR(VLOOKUP((D301&amp;C301)&amp;"",'[2]Retail Price List'!$C$4:$F$102,3,FALSE),"")</f>
        <v>1700000</v>
      </c>
      <c r="K301" s="272">
        <f>IFERROR(IF(BA301="WIP - 30 Days",VLOOKUP(D301,[3]Standard!$B$9:$E$101,4,FALSE),IF(BA301="31-120 Days",VLOOKUP(D301,[3]Standard!$B$9:$F$101,5,FALSE),IF(BA301="121-365 Days",VLOOKUP(D301,[3]Standard!$B$9:$G$101,6,FALSE),VLOOKUP(D301,[3]Standard!$B$9:$H$101,7,FALSE)))),0)</f>
        <v>1202020.2020202021</v>
      </c>
      <c r="L301" s="272">
        <f>IFERROR(IF(BA301="WIP - 30 Days",VLOOKUP(D301,[3]Standard!$B$9:$J$101,9,FALSE),IF(BA301="31-120 Days",VLOOKUP(D301,[3]Standard!$B$9:$K$100,10,FALSE),IF(BA301="121-365 Days",VLOOKUP(D301,[3]Standard!$B$9:$L$101,11,FALSE),VLOOKUP(D301,[3]Standard!$B$9:$M$101,12,FALSE)))),0)</f>
        <v>1190000</v>
      </c>
      <c r="M301" s="269">
        <f>IFERROR(VLOOKUP((D301&amp;C301)&amp;"",'[2]Retail Price List'!$C$4:$F$102,4,FALSE),"")</f>
        <v>1735000</v>
      </c>
      <c r="N301" s="269">
        <f>IFERROR(IF(BA301="WIP - 30 Days",VLOOKUP(D301,[3]Extended!$B$9:$E$101,4,FALSE),IF(BA301="31-120 Days",VLOOKUP(D301,[3]Extended!$B$9:$F$101,5,FALSE),IF(BA301="121-365 Days",VLOOKUP(D301,[3]Extended!$B$9:$G$101,6,FALSE),VLOOKUP(D301,[3]Extended!$B$9:$H$101,7,FALSE)))),0)</f>
        <v>1226767.6767676768</v>
      </c>
      <c r="O301" s="269">
        <f>IFERROR(IF(BA301="WIP - 30 Days",VLOOKUP(D301,[3]Extended!$B$9:$J$101,9,FALSE),IF(BA301="31-120 Days",VLOOKUP(D301,[3]Extended!$B$9:$K$101,10,FALSE),IF(BA301="121-365 Days",VLOOKUP(D301,[3]Extended!$B$9:$L$101,11,FALSE),VLOOKUP(D301,[3]Extended!$B$9:$M$101,12,FALSE)))),0)</f>
        <v>1214500</v>
      </c>
      <c r="P301" s="116">
        <f t="shared" si="21"/>
        <v>0.3</v>
      </c>
      <c r="Q301" s="110" t="e">
        <f>O301-#REF!</f>
        <v>#REF!</v>
      </c>
      <c r="R301" s="111" t="e">
        <f>SUM(Q299:Q300)/SUM(O299:O300)</f>
        <v>#REF!</v>
      </c>
      <c r="S301" s="112"/>
      <c r="T301" s="112"/>
      <c r="U301" s="112"/>
      <c r="V301" s="112"/>
      <c r="W301" s="311"/>
      <c r="X301" s="311"/>
      <c r="Y301" s="311"/>
      <c r="Z301" s="311"/>
      <c r="AA301" s="311"/>
      <c r="AB301" s="311"/>
      <c r="AC301" s="311"/>
      <c r="AD301" s="89"/>
      <c r="AE301" s="89"/>
      <c r="AF301" s="89"/>
      <c r="AG301" s="5"/>
      <c r="AH301" s="5"/>
      <c r="AI301" s="5"/>
      <c r="AJ301" s="5"/>
      <c r="AK301" s="5"/>
      <c r="AL301" s="5"/>
      <c r="AM301" s="5"/>
      <c r="AN301" s="5"/>
      <c r="AO301" s="5"/>
      <c r="AP301" s="5"/>
      <c r="AQ301" s="5"/>
      <c r="AR301" s="5"/>
      <c r="AS301" s="5"/>
      <c r="AT301" s="88" t="str">
        <f t="shared" si="22"/>
        <v>KP0006342017Q314,7</v>
      </c>
      <c r="AU301" s="89" t="str">
        <f t="shared" si="23"/>
        <v>07-2017</v>
      </c>
      <c r="AV301" s="89"/>
      <c r="AW301" s="89"/>
      <c r="AX301" s="89"/>
      <c r="AY301" s="89"/>
      <c r="AZ301" s="89"/>
      <c r="BA301" s="92" t="str">
        <f t="shared" si="24"/>
        <v>&gt;365 Days</v>
      </c>
      <c r="BB301" s="89"/>
      <c r="BC301" s="97"/>
      <c r="BD301" s="97"/>
    </row>
    <row r="302" spans="1:56">
      <c r="B302" s="60">
        <f>[2]Trucks!A299</f>
        <v>47456</v>
      </c>
      <c r="C302" s="11" t="str">
        <f>[2]Trucks!B299</f>
        <v>TGS-26-4406X4BLS-LX</v>
      </c>
      <c r="D302" s="19" t="str">
        <f>IFERROR(VLOOKUP(C302&amp;"",'[2]Retail Price List'!$A$3:$B$103,2,FALSE),"Special Order")</f>
        <v>KP000634</v>
      </c>
      <c r="E302" s="18" t="str">
        <f>[2]Trucks!J299</f>
        <v>BOOKED : 2017-08-17</v>
      </c>
      <c r="F302" s="12" t="str">
        <f>[2]Trucks!E299</f>
        <v>2017-11-10</v>
      </c>
      <c r="G302" s="56">
        <f>[2]Trucks!K299</f>
        <v>14.7</v>
      </c>
      <c r="H302" s="46">
        <f>[2]Trucks!I299</f>
        <v>42937</v>
      </c>
      <c r="I302" s="83" t="str">
        <f t="shared" si="20"/>
        <v>2017Q3</v>
      </c>
      <c r="J302" s="272">
        <f>IFERROR(VLOOKUP((D302&amp;C302)&amp;"",'[2]Retail Price List'!$C$4:$F$102,3,FALSE),"")</f>
        <v>1700000</v>
      </c>
      <c r="K302" s="272">
        <f>IFERROR(IF(BA302="WIP - 30 Days",VLOOKUP(D302,[3]Standard!$B$9:$E$101,4,FALSE),IF(BA302="31-120 Days",VLOOKUP(D302,[3]Standard!$B$9:$F$101,5,FALSE),IF(BA302="121-365 Days",VLOOKUP(D302,[3]Standard!$B$9:$G$101,6,FALSE),VLOOKUP(D302,[3]Standard!$B$9:$H$101,7,FALSE)))),0)</f>
        <v>1202020.2020202021</v>
      </c>
      <c r="L302" s="272">
        <f>IFERROR(IF(BA302="WIP - 30 Days",VLOOKUP(D302,[3]Standard!$B$9:$J$101,9,FALSE),IF(BA302="31-120 Days",VLOOKUP(D302,[3]Standard!$B$9:$K$100,10,FALSE),IF(BA302="121-365 Days",VLOOKUP(D302,[3]Standard!$B$9:$L$101,11,FALSE),VLOOKUP(D302,[3]Standard!$B$9:$M$101,12,FALSE)))),0)</f>
        <v>1190000</v>
      </c>
      <c r="M302" s="269">
        <f>IFERROR(VLOOKUP((D302&amp;C302)&amp;"",'[2]Retail Price List'!$C$4:$F$102,4,FALSE),"")</f>
        <v>1735000</v>
      </c>
      <c r="N302" s="269">
        <f>IFERROR(IF(BA302="WIP - 30 Days",VLOOKUP(D302,[3]Extended!$B$9:$E$101,4,FALSE),IF(BA302="31-120 Days",VLOOKUP(D302,[3]Extended!$B$9:$F$101,5,FALSE),IF(BA302="121-365 Days",VLOOKUP(D302,[3]Extended!$B$9:$G$101,6,FALSE),VLOOKUP(D302,[3]Extended!$B$9:$H$101,7,FALSE)))),0)</f>
        <v>1226767.6767676768</v>
      </c>
      <c r="O302" s="269">
        <f>IFERROR(IF(BA302="WIP - 30 Days",VLOOKUP(D302,[3]Extended!$B$9:$J$101,9,FALSE),IF(BA302="31-120 Days",VLOOKUP(D302,[3]Extended!$B$9:$K$101,10,FALSE),IF(BA302="121-365 Days",VLOOKUP(D302,[3]Extended!$B$9:$L$101,11,FALSE),VLOOKUP(D302,[3]Extended!$B$9:$M$101,12,FALSE)))),0)</f>
        <v>1214500</v>
      </c>
      <c r="P302" s="116">
        <f t="shared" si="21"/>
        <v>0.3</v>
      </c>
      <c r="Q302" s="110" t="e">
        <f>O302-#REF!</f>
        <v>#REF!</v>
      </c>
      <c r="W302" s="311"/>
      <c r="X302" s="311"/>
      <c r="Y302" s="311"/>
      <c r="Z302" s="311"/>
      <c r="AA302" s="311"/>
      <c r="AB302" s="311"/>
      <c r="AC302" s="311"/>
      <c r="AT302" s="88" t="str">
        <f t="shared" si="22"/>
        <v>KP0006342017Q314,7</v>
      </c>
      <c r="AU302" s="89" t="str">
        <f t="shared" si="23"/>
        <v>07-2017</v>
      </c>
      <c r="BA302" s="92" t="str">
        <f t="shared" si="24"/>
        <v>&gt;365 Days</v>
      </c>
    </row>
    <row r="303" spans="1:56">
      <c r="B303" s="60">
        <f>[2]Trucks!A300</f>
        <v>47457</v>
      </c>
      <c r="C303" s="11" t="str">
        <f>[2]Trucks!B300</f>
        <v>TGS-26-4406X4BLS-LX</v>
      </c>
      <c r="D303" s="19" t="str">
        <f>IFERROR(VLOOKUP(C303&amp;"",'[2]Retail Price List'!$A$3:$B$103,2,FALSE),"Special Order")</f>
        <v>KP000634</v>
      </c>
      <c r="E303" s="18" t="str">
        <f>[2]Trucks!J300</f>
        <v>BOOKED : 2017-08-17</v>
      </c>
      <c r="F303" s="12" t="str">
        <f>[2]Trucks!E300</f>
        <v>2017-11-10</v>
      </c>
      <c r="G303" s="56">
        <f>[2]Trucks!K300</f>
        <v>14.7</v>
      </c>
      <c r="H303" s="46">
        <f>[2]Trucks!I300</f>
        <v>42937</v>
      </c>
      <c r="I303" s="83" t="str">
        <f t="shared" si="20"/>
        <v>2017Q3</v>
      </c>
      <c r="J303" s="272">
        <f>IFERROR(VLOOKUP((D303&amp;C303)&amp;"",'[2]Retail Price List'!$C$4:$F$102,3,FALSE),"")</f>
        <v>1700000</v>
      </c>
      <c r="K303" s="272">
        <f>IFERROR(IF(BA303="WIP - 30 Days",VLOOKUP(D303,[3]Standard!$B$9:$E$101,4,FALSE),IF(BA303="31-120 Days",VLOOKUP(D303,[3]Standard!$B$9:$F$101,5,FALSE),IF(BA303="121-365 Days",VLOOKUP(D303,[3]Standard!$B$9:$G$101,6,FALSE),VLOOKUP(D303,[3]Standard!$B$9:$H$101,7,FALSE)))),0)</f>
        <v>1202020.2020202021</v>
      </c>
      <c r="L303" s="272">
        <f>IFERROR(IF(BA303="WIP - 30 Days",VLOOKUP(D303,[3]Standard!$B$9:$J$101,9,FALSE),IF(BA303="31-120 Days",VLOOKUP(D303,[3]Standard!$B$9:$K$100,10,FALSE),IF(BA303="121-365 Days",VLOOKUP(D303,[3]Standard!$B$9:$L$101,11,FALSE),VLOOKUP(D303,[3]Standard!$B$9:$M$101,12,FALSE)))),0)</f>
        <v>1190000</v>
      </c>
      <c r="M303" s="269">
        <f>IFERROR(VLOOKUP((D303&amp;C303)&amp;"",'[2]Retail Price List'!$C$4:$F$102,4,FALSE),"")</f>
        <v>1735000</v>
      </c>
      <c r="N303" s="269">
        <f>IFERROR(IF(BA303="WIP - 30 Days",VLOOKUP(D303,[3]Extended!$B$9:$E$101,4,FALSE),IF(BA303="31-120 Days",VLOOKUP(D303,[3]Extended!$B$9:$F$101,5,FALSE),IF(BA303="121-365 Days",VLOOKUP(D303,[3]Extended!$B$9:$G$101,6,FALSE),VLOOKUP(D303,[3]Extended!$B$9:$H$101,7,FALSE)))),0)</f>
        <v>1226767.6767676768</v>
      </c>
      <c r="O303" s="269">
        <f>IFERROR(IF(BA303="WIP - 30 Days",VLOOKUP(D303,[3]Extended!$B$9:$J$101,9,FALSE),IF(BA303="31-120 Days",VLOOKUP(D303,[3]Extended!$B$9:$K$101,10,FALSE),IF(BA303="121-365 Days",VLOOKUP(D303,[3]Extended!$B$9:$L$101,11,FALSE),VLOOKUP(D303,[3]Extended!$B$9:$M$101,12,FALSE)))),0)</f>
        <v>1214500</v>
      </c>
      <c r="P303" s="116">
        <f t="shared" si="21"/>
        <v>0.3</v>
      </c>
      <c r="Q303" s="110" t="e">
        <f>O303-#REF!</f>
        <v>#REF!</v>
      </c>
      <c r="W303" s="311"/>
      <c r="X303" s="311"/>
      <c r="Y303" s="311"/>
      <c r="Z303" s="311"/>
      <c r="AA303" s="311"/>
      <c r="AB303" s="311"/>
      <c r="AC303" s="311"/>
      <c r="AT303" s="88" t="str">
        <f t="shared" si="22"/>
        <v>KP0006342017Q314,7</v>
      </c>
      <c r="AU303" s="89" t="str">
        <f t="shared" si="23"/>
        <v>07-2017</v>
      </c>
      <c r="BA303" s="92" t="str">
        <f t="shared" si="24"/>
        <v>&gt;365 Days</v>
      </c>
    </row>
    <row r="304" spans="1:56">
      <c r="B304" s="60">
        <f>[2]Trucks!A301</f>
        <v>47458</v>
      </c>
      <c r="C304" s="11" t="str">
        <f>[2]Trucks!B301</f>
        <v>TGS-26-4406X4BLS-LX</v>
      </c>
      <c r="D304" s="19" t="str">
        <f>IFERROR(VLOOKUP(C304&amp;"",'[2]Retail Price List'!$A$3:$B$103,2,FALSE),"Special Order")</f>
        <v>KP000634</v>
      </c>
      <c r="E304" s="18" t="str">
        <f>[2]Trucks!J301</f>
        <v>BOOKED : 2017-08-17</v>
      </c>
      <c r="F304" s="12" t="str">
        <f>[2]Trucks!E301</f>
        <v>2017-11-10</v>
      </c>
      <c r="G304" s="56">
        <f>[2]Trucks!K301</f>
        <v>14.7</v>
      </c>
      <c r="H304" s="46">
        <f>[2]Trucks!I301</f>
        <v>42937</v>
      </c>
      <c r="I304" s="83" t="str">
        <f t="shared" si="20"/>
        <v>2017Q3</v>
      </c>
      <c r="J304" s="272">
        <f>IFERROR(VLOOKUP((D304&amp;C304)&amp;"",'[2]Retail Price List'!$C$4:$F$102,3,FALSE),"")</f>
        <v>1700000</v>
      </c>
      <c r="K304" s="272">
        <f>IFERROR(IF(BA304="WIP - 30 Days",VLOOKUP(D304,[3]Standard!$B$9:$E$101,4,FALSE),IF(BA304="31-120 Days",VLOOKUP(D304,[3]Standard!$B$9:$F$101,5,FALSE),IF(BA304="121-365 Days",VLOOKUP(D304,[3]Standard!$B$9:$G$101,6,FALSE),VLOOKUP(D304,[3]Standard!$B$9:$H$101,7,FALSE)))),0)</f>
        <v>1202020.2020202021</v>
      </c>
      <c r="L304" s="272">
        <f>IFERROR(IF(BA304="WIP - 30 Days",VLOOKUP(D304,[3]Standard!$B$9:$J$101,9,FALSE),IF(BA304="31-120 Days",VLOOKUP(D304,[3]Standard!$B$9:$K$100,10,FALSE),IF(BA304="121-365 Days",VLOOKUP(D304,[3]Standard!$B$9:$L$101,11,FALSE),VLOOKUP(D304,[3]Standard!$B$9:$M$101,12,FALSE)))),0)</f>
        <v>1190000</v>
      </c>
      <c r="M304" s="269">
        <f>IFERROR(VLOOKUP((D304&amp;C304)&amp;"",'[2]Retail Price List'!$C$4:$F$102,4,FALSE),"")</f>
        <v>1735000</v>
      </c>
      <c r="N304" s="269">
        <f>IFERROR(IF(BA304="WIP - 30 Days",VLOOKUP(D304,[3]Extended!$B$9:$E$101,4,FALSE),IF(BA304="31-120 Days",VLOOKUP(D304,[3]Extended!$B$9:$F$101,5,FALSE),IF(BA304="121-365 Days",VLOOKUP(D304,[3]Extended!$B$9:$G$101,6,FALSE),VLOOKUP(D304,[3]Extended!$B$9:$H$101,7,FALSE)))),0)</f>
        <v>1226767.6767676768</v>
      </c>
      <c r="O304" s="269">
        <f>IFERROR(IF(BA304="WIP - 30 Days",VLOOKUP(D304,[3]Extended!$B$9:$J$101,9,FALSE),IF(BA304="31-120 Days",VLOOKUP(D304,[3]Extended!$B$9:$K$101,10,FALSE),IF(BA304="121-365 Days",VLOOKUP(D304,[3]Extended!$B$9:$L$101,11,FALSE),VLOOKUP(D304,[3]Extended!$B$9:$M$101,12,FALSE)))),0)</f>
        <v>1214500</v>
      </c>
      <c r="P304" s="116">
        <f t="shared" si="21"/>
        <v>0.3</v>
      </c>
      <c r="Q304" s="110" t="e">
        <f>O304-#REF!</f>
        <v>#REF!</v>
      </c>
      <c r="W304" s="311"/>
      <c r="X304" s="311"/>
      <c r="Y304" s="311"/>
      <c r="Z304" s="311"/>
      <c r="AA304" s="311"/>
      <c r="AB304" s="311"/>
      <c r="AC304" s="311"/>
      <c r="AT304" s="88" t="str">
        <f t="shared" si="22"/>
        <v>KP0006342017Q314,7</v>
      </c>
      <c r="AU304" s="89" t="str">
        <f t="shared" si="23"/>
        <v>07-2017</v>
      </c>
      <c r="BA304" s="92" t="str">
        <f t="shared" si="24"/>
        <v>&gt;365 Days</v>
      </c>
    </row>
    <row r="305" spans="1:56">
      <c r="B305" s="60">
        <f>[2]Trucks!A302</f>
        <v>47459</v>
      </c>
      <c r="C305" s="11" t="str">
        <f>[2]Trucks!B302</f>
        <v>TGS-26-4406X4BLS-LX</v>
      </c>
      <c r="D305" s="19" t="str">
        <f>IFERROR(VLOOKUP(C305&amp;"",'[2]Retail Price List'!$A$3:$B$103,2,FALSE),"Special Order")</f>
        <v>KP000634</v>
      </c>
      <c r="E305" s="18" t="str">
        <f>[2]Trucks!J302</f>
        <v>BOOKED : 2017-08-17</v>
      </c>
      <c r="F305" s="12" t="str">
        <f>[2]Trucks!E302</f>
        <v>2017-11-10</v>
      </c>
      <c r="G305" s="56">
        <f>[2]Trucks!K302</f>
        <v>14.7</v>
      </c>
      <c r="H305" s="46">
        <f>[2]Trucks!I302</f>
        <v>42937</v>
      </c>
      <c r="I305" s="83" t="str">
        <f t="shared" si="20"/>
        <v>2017Q3</v>
      </c>
      <c r="J305" s="272">
        <f>IFERROR(VLOOKUP((D305&amp;C305)&amp;"",'[2]Retail Price List'!$C$4:$F$102,3,FALSE),"")</f>
        <v>1700000</v>
      </c>
      <c r="K305" s="272">
        <f>IFERROR(IF(BA305="WIP - 30 Days",VLOOKUP(D305,[3]Standard!$B$9:$E$101,4,FALSE),IF(BA305="31-120 Days",VLOOKUP(D305,[3]Standard!$B$9:$F$101,5,FALSE),IF(BA305="121-365 Days",VLOOKUP(D305,[3]Standard!$B$9:$G$101,6,FALSE),VLOOKUP(D305,[3]Standard!$B$9:$H$101,7,FALSE)))),0)</f>
        <v>1202020.2020202021</v>
      </c>
      <c r="L305" s="272">
        <f>IFERROR(IF(BA305="WIP - 30 Days",VLOOKUP(D305,[3]Standard!$B$9:$J$101,9,FALSE),IF(BA305="31-120 Days",VLOOKUP(D305,[3]Standard!$B$9:$K$100,10,FALSE),IF(BA305="121-365 Days",VLOOKUP(D305,[3]Standard!$B$9:$L$101,11,FALSE),VLOOKUP(D305,[3]Standard!$B$9:$M$101,12,FALSE)))),0)</f>
        <v>1190000</v>
      </c>
      <c r="M305" s="269">
        <f>IFERROR(VLOOKUP((D305&amp;C305)&amp;"",'[2]Retail Price List'!$C$4:$F$102,4,FALSE),"")</f>
        <v>1735000</v>
      </c>
      <c r="N305" s="269">
        <f>IFERROR(IF(BA305="WIP - 30 Days",VLOOKUP(D305,[3]Extended!$B$9:$E$101,4,FALSE),IF(BA305="31-120 Days",VLOOKUP(D305,[3]Extended!$B$9:$F$101,5,FALSE),IF(BA305="121-365 Days",VLOOKUP(D305,[3]Extended!$B$9:$G$101,6,FALSE),VLOOKUP(D305,[3]Extended!$B$9:$H$101,7,FALSE)))),0)</f>
        <v>1226767.6767676768</v>
      </c>
      <c r="O305" s="269">
        <f>IFERROR(IF(BA305="WIP - 30 Days",VLOOKUP(D305,[3]Extended!$B$9:$J$101,9,FALSE),IF(BA305="31-120 Days",VLOOKUP(D305,[3]Extended!$B$9:$K$101,10,FALSE),IF(BA305="121-365 Days",VLOOKUP(D305,[3]Extended!$B$9:$L$101,11,FALSE),VLOOKUP(D305,[3]Extended!$B$9:$M$101,12,FALSE)))),0)</f>
        <v>1214500</v>
      </c>
      <c r="P305" s="116">
        <f t="shared" si="21"/>
        <v>0.3</v>
      </c>
      <c r="Q305" s="110" t="e">
        <f>O305-#REF!</f>
        <v>#REF!</v>
      </c>
      <c r="S305" s="112">
        <f>COUNT(#REF!)</f>
        <v>0</v>
      </c>
      <c r="W305" s="311"/>
      <c r="X305" s="311"/>
      <c r="Y305" s="311"/>
      <c r="Z305" s="311"/>
      <c r="AA305" s="311"/>
      <c r="AB305" s="311"/>
      <c r="AC305" s="311"/>
      <c r="AT305" s="88" t="str">
        <f t="shared" si="22"/>
        <v>KP0006342017Q314,7</v>
      </c>
      <c r="AU305" s="89" t="str">
        <f t="shared" si="23"/>
        <v>07-2017</v>
      </c>
      <c r="BA305" s="92" t="str">
        <f t="shared" si="24"/>
        <v>&gt;365 Days</v>
      </c>
    </row>
    <row r="306" spans="1:56">
      <c r="B306" s="60">
        <f>[2]Trucks!A303</f>
        <v>47460</v>
      </c>
      <c r="C306" s="11" t="str">
        <f>[2]Trucks!B303</f>
        <v>TGS-26-4406X4BLS-LX</v>
      </c>
      <c r="D306" s="19" t="str">
        <f>IFERROR(VLOOKUP(C306&amp;"",'[2]Retail Price List'!$A$3:$B$103,2,FALSE),"Special Order")</f>
        <v>KP000634</v>
      </c>
      <c r="E306" s="18" t="str">
        <f>[2]Trucks!J303</f>
        <v>BOOKED : 2017-08-17</v>
      </c>
      <c r="F306" s="12" t="str">
        <f>[2]Trucks!E303</f>
        <v>2017-11-10</v>
      </c>
      <c r="G306" s="56">
        <f>[2]Trucks!K303</f>
        <v>14.7</v>
      </c>
      <c r="H306" s="46">
        <f>[2]Trucks!I303</f>
        <v>42937</v>
      </c>
      <c r="I306" s="83" t="str">
        <f t="shared" si="20"/>
        <v>2017Q3</v>
      </c>
      <c r="J306" s="272">
        <f>IFERROR(VLOOKUP((D306&amp;C306)&amp;"",'[2]Retail Price List'!$C$4:$F$102,3,FALSE),"")</f>
        <v>1700000</v>
      </c>
      <c r="K306" s="272">
        <f>IFERROR(IF(BA306="WIP - 30 Days",VLOOKUP(D306,[3]Standard!$B$9:$E$101,4,FALSE),IF(BA306="31-120 Days",VLOOKUP(D306,[3]Standard!$B$9:$F$101,5,FALSE),IF(BA306="121-365 Days",VLOOKUP(D306,[3]Standard!$B$9:$G$101,6,FALSE),VLOOKUP(D306,[3]Standard!$B$9:$H$101,7,FALSE)))),0)</f>
        <v>1202020.2020202021</v>
      </c>
      <c r="L306" s="272">
        <f>IFERROR(IF(BA306="WIP - 30 Days",VLOOKUP(D306,[3]Standard!$B$9:$J$101,9,FALSE),IF(BA306="31-120 Days",VLOOKUP(D306,[3]Standard!$B$9:$K$100,10,FALSE),IF(BA306="121-365 Days",VLOOKUP(D306,[3]Standard!$B$9:$L$101,11,FALSE),VLOOKUP(D306,[3]Standard!$B$9:$M$101,12,FALSE)))),0)</f>
        <v>1190000</v>
      </c>
      <c r="M306" s="269">
        <f>IFERROR(VLOOKUP((D306&amp;C306)&amp;"",'[2]Retail Price List'!$C$4:$F$102,4,FALSE),"")</f>
        <v>1735000</v>
      </c>
      <c r="N306" s="269">
        <f>IFERROR(IF(BA306="WIP - 30 Days",VLOOKUP(D306,[3]Extended!$B$9:$E$101,4,FALSE),IF(BA306="31-120 Days",VLOOKUP(D306,[3]Extended!$B$9:$F$101,5,FALSE),IF(BA306="121-365 Days",VLOOKUP(D306,[3]Extended!$B$9:$G$101,6,FALSE),VLOOKUP(D306,[3]Extended!$B$9:$H$101,7,FALSE)))),0)</f>
        <v>1226767.6767676768</v>
      </c>
      <c r="O306" s="269">
        <f>IFERROR(IF(BA306="WIP - 30 Days",VLOOKUP(D306,[3]Extended!$B$9:$J$101,9,FALSE),IF(BA306="31-120 Days",VLOOKUP(D306,[3]Extended!$B$9:$K$101,10,FALSE),IF(BA306="121-365 Days",VLOOKUP(D306,[3]Extended!$B$9:$L$101,11,FALSE),VLOOKUP(D306,[3]Extended!$B$9:$M$101,12,FALSE)))),0)</f>
        <v>1214500</v>
      </c>
      <c r="P306" s="116">
        <f t="shared" si="21"/>
        <v>0.3</v>
      </c>
      <c r="Q306" s="110" t="e">
        <f>O306-#REF!</f>
        <v>#REF!</v>
      </c>
      <c r="S306" s="110" t="e">
        <f>+AVERAGE(#REF!)</f>
        <v>#REF!</v>
      </c>
      <c r="W306" s="311"/>
      <c r="X306" s="311"/>
      <c r="Y306" s="311"/>
      <c r="Z306" s="311"/>
      <c r="AA306" s="311"/>
      <c r="AB306" s="311"/>
      <c r="AC306" s="311"/>
      <c r="AT306" s="88" t="str">
        <f t="shared" si="22"/>
        <v>KP0006342017Q314,7</v>
      </c>
      <c r="AU306" s="89" t="str">
        <f t="shared" si="23"/>
        <v>07-2017</v>
      </c>
      <c r="BA306" s="92" t="str">
        <f t="shared" si="24"/>
        <v>&gt;365 Days</v>
      </c>
    </row>
    <row r="307" spans="1:56">
      <c r="B307" s="60">
        <f>[2]Trucks!A304</f>
        <v>47461</v>
      </c>
      <c r="C307" s="11" t="str">
        <f>[2]Trucks!B304</f>
        <v>TGS-26-4406X4BLS-LX</v>
      </c>
      <c r="D307" s="19" t="str">
        <f>IFERROR(VLOOKUP(C307&amp;"",'[2]Retail Price List'!$A$3:$B$103,2,FALSE),"Special Order")</f>
        <v>KP000634</v>
      </c>
      <c r="E307" s="18" t="str">
        <f>[2]Trucks!J304</f>
        <v>BOOKED : 2017-08-17</v>
      </c>
      <c r="F307" s="12" t="str">
        <f>[2]Trucks!E304</f>
        <v>2017-11-30</v>
      </c>
      <c r="G307" s="56">
        <f>[2]Trucks!K304</f>
        <v>14.7</v>
      </c>
      <c r="H307" s="46">
        <f>[2]Trucks!I304</f>
        <v>42937</v>
      </c>
      <c r="I307" s="83" t="str">
        <f t="shared" si="20"/>
        <v>2017Q3</v>
      </c>
      <c r="J307" s="272">
        <f>IFERROR(VLOOKUP((D307&amp;C307)&amp;"",'[2]Retail Price List'!$C$4:$F$102,3,FALSE),"")</f>
        <v>1700000</v>
      </c>
      <c r="K307" s="272">
        <f>IFERROR(IF(BA307="WIP - 30 Days",VLOOKUP(D307,[3]Standard!$B$9:$E$101,4,FALSE),IF(BA307="31-120 Days",VLOOKUP(D307,[3]Standard!$B$9:$F$101,5,FALSE),IF(BA307="121-365 Days",VLOOKUP(D307,[3]Standard!$B$9:$G$101,6,FALSE),VLOOKUP(D307,[3]Standard!$B$9:$H$101,7,FALSE)))),0)</f>
        <v>1202020.2020202021</v>
      </c>
      <c r="L307" s="272">
        <f>IFERROR(IF(BA307="WIP - 30 Days",VLOOKUP(D307,[3]Standard!$B$9:$J$101,9,FALSE),IF(BA307="31-120 Days",VLOOKUP(D307,[3]Standard!$B$9:$K$100,10,FALSE),IF(BA307="121-365 Days",VLOOKUP(D307,[3]Standard!$B$9:$L$101,11,FALSE),VLOOKUP(D307,[3]Standard!$B$9:$M$101,12,FALSE)))),0)</f>
        <v>1190000</v>
      </c>
      <c r="M307" s="269">
        <f>IFERROR(VLOOKUP((D307&amp;C307)&amp;"",'[2]Retail Price List'!$C$4:$F$102,4,FALSE),"")</f>
        <v>1735000</v>
      </c>
      <c r="N307" s="269">
        <f>IFERROR(IF(BA307="WIP - 30 Days",VLOOKUP(D307,[3]Extended!$B$9:$E$101,4,FALSE),IF(BA307="31-120 Days",VLOOKUP(D307,[3]Extended!$B$9:$F$101,5,FALSE),IF(BA307="121-365 Days",VLOOKUP(D307,[3]Extended!$B$9:$G$101,6,FALSE),VLOOKUP(D307,[3]Extended!$B$9:$H$101,7,FALSE)))),0)</f>
        <v>1226767.6767676768</v>
      </c>
      <c r="O307" s="269">
        <f>IFERROR(IF(BA307="WIP - 30 Days",VLOOKUP(D307,[3]Extended!$B$9:$J$101,9,FALSE),IF(BA307="31-120 Days",VLOOKUP(D307,[3]Extended!$B$9:$K$101,10,FALSE),IF(BA307="121-365 Days",VLOOKUP(D307,[3]Extended!$B$9:$L$101,11,FALSE),VLOOKUP(D307,[3]Extended!$B$9:$M$101,12,FALSE)))),0)</f>
        <v>1214500</v>
      </c>
      <c r="P307" s="116">
        <f t="shared" si="21"/>
        <v>0.3</v>
      </c>
      <c r="Q307" s="110" t="e">
        <f>O307-#REF!</f>
        <v>#REF!</v>
      </c>
      <c r="W307" s="311"/>
      <c r="X307" s="311"/>
      <c r="Y307" s="311"/>
      <c r="Z307" s="311"/>
      <c r="AA307" s="311"/>
      <c r="AB307" s="311"/>
      <c r="AC307" s="311"/>
      <c r="AT307" s="88" t="str">
        <f t="shared" si="22"/>
        <v>KP0006342017Q314,7</v>
      </c>
      <c r="AU307" s="89" t="str">
        <f t="shared" si="23"/>
        <v>07-2017</v>
      </c>
      <c r="BA307" s="92" t="str">
        <f t="shared" si="24"/>
        <v>&gt;365 Days</v>
      </c>
    </row>
    <row r="308" spans="1:56">
      <c r="B308" s="60">
        <f>[2]Trucks!A305</f>
        <v>47462</v>
      </c>
      <c r="C308" s="11" t="str">
        <f>[2]Trucks!B305</f>
        <v>TGS-26-4406X4BLS-LX</v>
      </c>
      <c r="D308" s="19" t="str">
        <f>IFERROR(VLOOKUP(C308&amp;"",'[2]Retail Price List'!$A$3:$B$103,2,FALSE),"Special Order")</f>
        <v>KP000634</v>
      </c>
      <c r="E308" s="18" t="str">
        <f>[2]Trucks!J305</f>
        <v>BOOKED : 2017-08-17</v>
      </c>
      <c r="F308" s="12" t="str">
        <f>[2]Trucks!E305</f>
        <v>2017-11-30</v>
      </c>
      <c r="G308" s="56">
        <f>[2]Trucks!K305</f>
        <v>14.7</v>
      </c>
      <c r="H308" s="46">
        <f>[2]Trucks!I305</f>
        <v>42937</v>
      </c>
      <c r="I308" s="83" t="str">
        <f t="shared" si="20"/>
        <v>2017Q3</v>
      </c>
      <c r="J308" s="272">
        <f>IFERROR(VLOOKUP((D308&amp;C308)&amp;"",'[2]Retail Price List'!$C$4:$F$102,3,FALSE),"")</f>
        <v>1700000</v>
      </c>
      <c r="K308" s="272">
        <f>IFERROR(IF(BA308="WIP - 30 Days",VLOOKUP(D308,[3]Standard!$B$9:$E$101,4,FALSE),IF(BA308="31-120 Days",VLOOKUP(D308,[3]Standard!$B$9:$F$101,5,FALSE),IF(BA308="121-365 Days",VLOOKUP(D308,[3]Standard!$B$9:$G$101,6,FALSE),VLOOKUP(D308,[3]Standard!$B$9:$H$101,7,FALSE)))),0)</f>
        <v>1202020.2020202021</v>
      </c>
      <c r="L308" s="272">
        <f>IFERROR(IF(BA308="WIP - 30 Days",VLOOKUP(D308,[3]Standard!$B$9:$J$101,9,FALSE),IF(BA308="31-120 Days",VLOOKUP(D308,[3]Standard!$B$9:$K$100,10,FALSE),IF(BA308="121-365 Days",VLOOKUP(D308,[3]Standard!$B$9:$L$101,11,FALSE),VLOOKUP(D308,[3]Standard!$B$9:$M$101,12,FALSE)))),0)</f>
        <v>1190000</v>
      </c>
      <c r="M308" s="269">
        <f>IFERROR(VLOOKUP((D308&amp;C308)&amp;"",'[2]Retail Price List'!$C$4:$F$102,4,FALSE),"")</f>
        <v>1735000</v>
      </c>
      <c r="N308" s="269">
        <f>IFERROR(IF(BA308="WIP - 30 Days",VLOOKUP(D308,[3]Extended!$B$9:$E$101,4,FALSE),IF(BA308="31-120 Days",VLOOKUP(D308,[3]Extended!$B$9:$F$101,5,FALSE),IF(BA308="121-365 Days",VLOOKUP(D308,[3]Extended!$B$9:$G$101,6,FALSE),VLOOKUP(D308,[3]Extended!$B$9:$H$101,7,FALSE)))),0)</f>
        <v>1226767.6767676768</v>
      </c>
      <c r="O308" s="269">
        <f>IFERROR(IF(BA308="WIP - 30 Days",VLOOKUP(D308,[3]Extended!$B$9:$J$101,9,FALSE),IF(BA308="31-120 Days",VLOOKUP(D308,[3]Extended!$B$9:$K$101,10,FALSE),IF(BA308="121-365 Days",VLOOKUP(D308,[3]Extended!$B$9:$L$101,11,FALSE),VLOOKUP(D308,[3]Extended!$B$9:$M$101,12,FALSE)))),0)</f>
        <v>1214500</v>
      </c>
      <c r="P308" s="116">
        <f t="shared" si="21"/>
        <v>0.3</v>
      </c>
      <c r="Q308" s="110" t="e">
        <f>O308-#REF!</f>
        <v>#REF!</v>
      </c>
      <c r="W308" s="311"/>
      <c r="X308" s="311"/>
      <c r="Y308" s="311"/>
      <c r="Z308" s="311"/>
      <c r="AA308" s="311"/>
      <c r="AB308" s="311"/>
      <c r="AC308" s="311"/>
      <c r="AT308" s="88" t="str">
        <f t="shared" si="22"/>
        <v>KP0006342017Q314,7</v>
      </c>
      <c r="AU308" s="89" t="str">
        <f t="shared" si="23"/>
        <v>07-2017</v>
      </c>
      <c r="BA308" s="92" t="str">
        <f t="shared" si="24"/>
        <v>&gt;365 Days</v>
      </c>
    </row>
    <row r="309" spans="1:56">
      <c r="B309" s="60">
        <f>[2]Trucks!A306</f>
        <v>47463</v>
      </c>
      <c r="C309" s="11" t="str">
        <f>[2]Trucks!B306</f>
        <v>TGS-26-4406X4BLS-LX</v>
      </c>
      <c r="D309" s="19" t="str">
        <f>IFERROR(VLOOKUP(C309&amp;"",'[2]Retail Price List'!$A$3:$B$103,2,FALSE),"Special Order")</f>
        <v>KP000634</v>
      </c>
      <c r="E309" s="18" t="str">
        <f>[2]Trucks!J306</f>
        <v>BOOKED : 2017-08-17</v>
      </c>
      <c r="F309" s="12" t="str">
        <f>[2]Trucks!E306</f>
        <v>2017-11-30</v>
      </c>
      <c r="G309" s="56">
        <f>[2]Trucks!K306</f>
        <v>14.7</v>
      </c>
      <c r="H309" s="46">
        <f>[2]Trucks!I306</f>
        <v>42937</v>
      </c>
      <c r="I309" s="83" t="str">
        <f t="shared" si="20"/>
        <v>2017Q3</v>
      </c>
      <c r="J309" s="272">
        <f>IFERROR(VLOOKUP((D309&amp;C309)&amp;"",'[2]Retail Price List'!$C$4:$F$102,3,FALSE),"")</f>
        <v>1700000</v>
      </c>
      <c r="K309" s="272">
        <f>IFERROR(IF(BA309="WIP - 30 Days",VLOOKUP(D309,[3]Standard!$B$9:$E$101,4,FALSE),IF(BA309="31-120 Days",VLOOKUP(D309,[3]Standard!$B$9:$F$101,5,FALSE),IF(BA309="121-365 Days",VLOOKUP(D309,[3]Standard!$B$9:$G$101,6,FALSE),VLOOKUP(D309,[3]Standard!$B$9:$H$101,7,FALSE)))),0)</f>
        <v>1202020.2020202021</v>
      </c>
      <c r="L309" s="272">
        <f>IFERROR(IF(BA309="WIP - 30 Days",VLOOKUP(D309,[3]Standard!$B$9:$J$101,9,FALSE),IF(BA309="31-120 Days",VLOOKUP(D309,[3]Standard!$B$9:$K$100,10,FALSE),IF(BA309="121-365 Days",VLOOKUP(D309,[3]Standard!$B$9:$L$101,11,FALSE),VLOOKUP(D309,[3]Standard!$B$9:$M$101,12,FALSE)))),0)</f>
        <v>1190000</v>
      </c>
      <c r="M309" s="269">
        <f>IFERROR(VLOOKUP((D309&amp;C309)&amp;"",'[2]Retail Price List'!$C$4:$F$102,4,FALSE),"")</f>
        <v>1735000</v>
      </c>
      <c r="N309" s="269">
        <f>IFERROR(IF(BA309="WIP - 30 Days",VLOOKUP(D309,[3]Extended!$B$9:$E$101,4,FALSE),IF(BA309="31-120 Days",VLOOKUP(D309,[3]Extended!$B$9:$F$101,5,FALSE),IF(BA309="121-365 Days",VLOOKUP(D309,[3]Extended!$B$9:$G$101,6,FALSE),VLOOKUP(D309,[3]Extended!$B$9:$H$101,7,FALSE)))),0)</f>
        <v>1226767.6767676768</v>
      </c>
      <c r="O309" s="269">
        <f>IFERROR(IF(BA309="WIP - 30 Days",VLOOKUP(D309,[3]Extended!$B$9:$J$101,9,FALSE),IF(BA309="31-120 Days",VLOOKUP(D309,[3]Extended!$B$9:$K$101,10,FALSE),IF(BA309="121-365 Days",VLOOKUP(D309,[3]Extended!$B$9:$L$101,11,FALSE),VLOOKUP(D309,[3]Extended!$B$9:$M$101,12,FALSE)))),0)</f>
        <v>1214500</v>
      </c>
      <c r="P309" s="116">
        <f t="shared" si="21"/>
        <v>0.3</v>
      </c>
      <c r="Q309" s="110" t="e">
        <f>O309-#REF!</f>
        <v>#REF!</v>
      </c>
      <c r="W309" s="311"/>
      <c r="X309" s="311"/>
      <c r="Y309" s="311"/>
      <c r="Z309" s="311"/>
      <c r="AA309" s="311"/>
      <c r="AB309" s="311"/>
      <c r="AC309" s="311"/>
      <c r="AT309" s="88" t="str">
        <f t="shared" si="22"/>
        <v>KP0006342017Q314,7</v>
      </c>
      <c r="AU309" s="89" t="str">
        <f t="shared" si="23"/>
        <v>07-2017</v>
      </c>
      <c r="BA309" s="92" t="str">
        <f t="shared" si="24"/>
        <v>&gt;365 Days</v>
      </c>
    </row>
    <row r="310" spans="1:56">
      <c r="B310" s="60">
        <f>[2]Trucks!A307</f>
        <v>47464</v>
      </c>
      <c r="C310" s="11" t="str">
        <f>[2]Trucks!B307</f>
        <v>TGS-26-4406X4BLS-LX</v>
      </c>
      <c r="D310" s="19" t="str">
        <f>IFERROR(VLOOKUP(C310&amp;"",'[2]Retail Price List'!$A$3:$B$103,2,FALSE),"Special Order")</f>
        <v>KP000634</v>
      </c>
      <c r="E310" s="18" t="str">
        <f>[2]Trucks!J307</f>
        <v>BOOKED : 2017-08-17</v>
      </c>
      <c r="F310" s="12" t="str">
        <f>[2]Trucks!E307</f>
        <v>2017-11-30</v>
      </c>
      <c r="G310" s="56">
        <f>[2]Trucks!K307</f>
        <v>14.7</v>
      </c>
      <c r="H310" s="46">
        <f>[2]Trucks!I307</f>
        <v>42937</v>
      </c>
      <c r="I310" s="83" t="str">
        <f t="shared" si="20"/>
        <v>2017Q3</v>
      </c>
      <c r="J310" s="272">
        <f>IFERROR(VLOOKUP((D310&amp;C310)&amp;"",'[2]Retail Price List'!$C$4:$F$102,3,FALSE),"")</f>
        <v>1700000</v>
      </c>
      <c r="K310" s="272">
        <f>IFERROR(IF(BA310="WIP - 30 Days",VLOOKUP(D310,[3]Standard!$B$9:$E$101,4,FALSE),IF(BA310="31-120 Days",VLOOKUP(D310,[3]Standard!$B$9:$F$101,5,FALSE),IF(BA310="121-365 Days",VLOOKUP(D310,[3]Standard!$B$9:$G$101,6,FALSE),VLOOKUP(D310,[3]Standard!$B$9:$H$101,7,FALSE)))),0)</f>
        <v>1202020.2020202021</v>
      </c>
      <c r="L310" s="272">
        <f>IFERROR(IF(BA310="WIP - 30 Days",VLOOKUP(D310,[3]Standard!$B$9:$J$101,9,FALSE),IF(BA310="31-120 Days",VLOOKUP(D310,[3]Standard!$B$9:$K$100,10,FALSE),IF(BA310="121-365 Days",VLOOKUP(D310,[3]Standard!$B$9:$L$101,11,FALSE),VLOOKUP(D310,[3]Standard!$B$9:$M$101,12,FALSE)))),0)</f>
        <v>1190000</v>
      </c>
      <c r="M310" s="269">
        <f>IFERROR(VLOOKUP((D310&amp;C310)&amp;"",'[2]Retail Price List'!$C$4:$F$102,4,FALSE),"")</f>
        <v>1735000</v>
      </c>
      <c r="N310" s="269">
        <f>IFERROR(IF(BA310="WIP - 30 Days",VLOOKUP(D310,[3]Extended!$B$9:$E$101,4,FALSE),IF(BA310="31-120 Days",VLOOKUP(D310,[3]Extended!$B$9:$F$101,5,FALSE),IF(BA310="121-365 Days",VLOOKUP(D310,[3]Extended!$B$9:$G$101,6,FALSE),VLOOKUP(D310,[3]Extended!$B$9:$H$101,7,FALSE)))),0)</f>
        <v>1226767.6767676768</v>
      </c>
      <c r="O310" s="269">
        <f>IFERROR(IF(BA310="WIP - 30 Days",VLOOKUP(D310,[3]Extended!$B$9:$J$101,9,FALSE),IF(BA310="31-120 Days",VLOOKUP(D310,[3]Extended!$B$9:$K$101,10,FALSE),IF(BA310="121-365 Days",VLOOKUP(D310,[3]Extended!$B$9:$L$101,11,FALSE),VLOOKUP(D310,[3]Extended!$B$9:$M$101,12,FALSE)))),0)</f>
        <v>1214500</v>
      </c>
      <c r="P310" s="116">
        <f t="shared" si="21"/>
        <v>0.3</v>
      </c>
      <c r="Q310" s="110" t="e">
        <f>O310-#REF!</f>
        <v>#REF!</v>
      </c>
      <c r="W310" s="311"/>
      <c r="X310" s="311"/>
      <c r="Y310" s="311"/>
      <c r="Z310" s="311"/>
      <c r="AA310" s="311"/>
      <c r="AB310" s="311"/>
      <c r="AC310" s="311"/>
      <c r="AT310" s="88" t="str">
        <f t="shared" si="22"/>
        <v>KP0006342017Q314,7</v>
      </c>
      <c r="AU310" s="89" t="str">
        <f t="shared" si="23"/>
        <v>07-2017</v>
      </c>
      <c r="BA310" s="92" t="str">
        <f t="shared" si="24"/>
        <v>&gt;365 Days</v>
      </c>
    </row>
    <row r="311" spans="1:56">
      <c r="B311" s="60">
        <f>[2]Trucks!A308</f>
        <v>47803</v>
      </c>
      <c r="C311" s="11" t="str">
        <f>[2]Trucks!B308</f>
        <v>TGS-26-4406X4BLS-LX</v>
      </c>
      <c r="D311" s="19" t="str">
        <f>IFERROR(VLOOKUP(C311&amp;"",'[2]Retail Price List'!$A$3:$B$103,2,FALSE),"Special Order")</f>
        <v>KP000634</v>
      </c>
      <c r="E311" s="18" t="str">
        <f>[2]Trucks!J308</f>
        <v>CKD</v>
      </c>
      <c r="F311" s="12" t="str">
        <f>[2]Trucks!E308</f>
        <v>2018-02-15</v>
      </c>
      <c r="G311" s="56">
        <f>[2]Trucks!K308</f>
        <v>14.7</v>
      </c>
      <c r="H311" s="46">
        <f>[2]Trucks!I308</f>
        <v>42947</v>
      </c>
      <c r="I311" s="83" t="str">
        <f t="shared" si="20"/>
        <v>2017Q3</v>
      </c>
      <c r="J311" s="272">
        <f>IFERROR(VLOOKUP((D311&amp;C311)&amp;"",'[2]Retail Price List'!$C$4:$F$102,3,FALSE),"")</f>
        <v>1700000</v>
      </c>
      <c r="K311" s="272">
        <f>IFERROR(IF(BA311="WIP - 30 Days",VLOOKUP(D311,[3]Standard!$B$9:$E$101,4,FALSE),IF(BA311="31-120 Days",VLOOKUP(D311,[3]Standard!$B$9:$F$101,5,FALSE),IF(BA311="121-365 Days",VLOOKUP(D311,[3]Standard!$B$9:$G$101,6,FALSE),VLOOKUP(D311,[3]Standard!$B$9:$H$101,7,FALSE)))),0)</f>
        <v>1313250</v>
      </c>
      <c r="L311" s="272">
        <f>IFERROR(IF(BA311="WIP - 30 Days",VLOOKUP(D311,[3]Standard!$B$9:$J$101,9,FALSE),IF(BA311="31-120 Days",VLOOKUP(D311,[3]Standard!$B$9:$K$100,10,FALSE),IF(BA311="121-365 Days",VLOOKUP(D311,[3]Standard!$B$9:$L$101,11,FALSE),VLOOKUP(D311,[3]Standard!$B$9:$M$101,12,FALSE)))),0)</f>
        <v>1275000</v>
      </c>
      <c r="M311" s="269">
        <f>IFERROR(VLOOKUP((D311&amp;C311)&amp;"",'[2]Retail Price List'!$C$4:$F$102,4,FALSE),"")</f>
        <v>1735000</v>
      </c>
      <c r="N311" s="269">
        <f>IFERROR(IF(BA311="WIP - 30 Days",VLOOKUP(D311,[3]Extended!$B$9:$E$101,4,FALSE),IF(BA311="31-120 Days",VLOOKUP(D311,[3]Extended!$B$9:$F$101,5,FALSE),IF(BA311="121-365 Days",VLOOKUP(D311,[3]Extended!$B$9:$G$101,6,FALSE),VLOOKUP(D311,[3]Extended!$B$9:$H$101,7,FALSE)))),0)</f>
        <v>1322417</v>
      </c>
      <c r="O311" s="269">
        <f>IFERROR(IF(BA311="WIP - 30 Days",VLOOKUP(D311,[3]Extended!$B$9:$J$101,9,FALSE),IF(BA311="31-120 Days",VLOOKUP(D311,[3]Extended!$B$9:$K$101,10,FALSE),IF(BA311="121-365 Days",VLOOKUP(D311,[3]Extended!$B$9:$L$101,11,FALSE),VLOOKUP(D311,[3]Extended!$B$9:$M$101,12,FALSE)))),0)</f>
        <v>1283900</v>
      </c>
      <c r="P311" s="116">
        <f t="shared" si="21"/>
        <v>0.26</v>
      </c>
      <c r="Q311" s="110" t="e">
        <f>O311-#REF!</f>
        <v>#REF!</v>
      </c>
      <c r="W311" s="311"/>
      <c r="X311" s="311"/>
      <c r="Y311" s="311"/>
      <c r="Z311" s="311"/>
      <c r="AA311" s="311"/>
      <c r="AB311" s="311"/>
      <c r="AC311" s="311"/>
      <c r="AT311" s="88" t="str">
        <f t="shared" si="22"/>
        <v>KP0006342017Q314,7</v>
      </c>
      <c r="AU311" s="89" t="str">
        <f t="shared" si="23"/>
        <v>07-2017</v>
      </c>
      <c r="BA311" s="92" t="str">
        <f t="shared" si="24"/>
        <v>WIP - 30 Days</v>
      </c>
    </row>
    <row r="312" spans="1:56">
      <c r="B312" s="60">
        <f>[2]Trucks!A309</f>
        <v>47804</v>
      </c>
      <c r="C312" s="11" t="str">
        <f>[2]Trucks!B309</f>
        <v>TGS-26-4406X4BLS-LX</v>
      </c>
      <c r="D312" s="19" t="str">
        <f>IFERROR(VLOOKUP(C312&amp;"",'[2]Retail Price List'!$A$3:$B$103,2,FALSE),"Special Order")</f>
        <v>KP000634</v>
      </c>
      <c r="E312" s="18" t="str">
        <f>[2]Trucks!J309</f>
        <v>CKD</v>
      </c>
      <c r="F312" s="12" t="str">
        <f>[2]Trucks!E309</f>
        <v>2018-02-15</v>
      </c>
      <c r="G312" s="56">
        <f>[2]Trucks!K309</f>
        <v>14.7</v>
      </c>
      <c r="H312" s="46">
        <f>[2]Trucks!I309</f>
        <v>42947</v>
      </c>
      <c r="I312" s="83" t="str">
        <f t="shared" si="20"/>
        <v>2017Q3</v>
      </c>
      <c r="J312" s="272">
        <f>IFERROR(VLOOKUP((D312&amp;C312)&amp;"",'[2]Retail Price List'!$C$4:$F$102,3,FALSE),"")</f>
        <v>1700000</v>
      </c>
      <c r="K312" s="272">
        <f>IFERROR(IF(BA312="WIP - 30 Days",VLOOKUP(D312,[3]Standard!$B$9:$E$101,4,FALSE),IF(BA312="31-120 Days",VLOOKUP(D312,[3]Standard!$B$9:$F$101,5,FALSE),IF(BA312="121-365 Days",VLOOKUP(D312,[3]Standard!$B$9:$G$101,6,FALSE),VLOOKUP(D312,[3]Standard!$B$9:$H$101,7,FALSE)))),0)</f>
        <v>1313250</v>
      </c>
      <c r="L312" s="272">
        <f>IFERROR(IF(BA312="WIP - 30 Days",VLOOKUP(D312,[3]Standard!$B$9:$J$101,9,FALSE),IF(BA312="31-120 Days",VLOOKUP(D312,[3]Standard!$B$9:$K$100,10,FALSE),IF(BA312="121-365 Days",VLOOKUP(D312,[3]Standard!$B$9:$L$101,11,FALSE),VLOOKUP(D312,[3]Standard!$B$9:$M$101,12,FALSE)))),0)</f>
        <v>1275000</v>
      </c>
      <c r="M312" s="269">
        <f>IFERROR(VLOOKUP((D312&amp;C312)&amp;"",'[2]Retail Price List'!$C$4:$F$102,4,FALSE),"")</f>
        <v>1735000</v>
      </c>
      <c r="N312" s="269">
        <f>IFERROR(IF(BA312="WIP - 30 Days",VLOOKUP(D312,[3]Extended!$B$9:$E$101,4,FALSE),IF(BA312="31-120 Days",VLOOKUP(D312,[3]Extended!$B$9:$F$101,5,FALSE),IF(BA312="121-365 Days",VLOOKUP(D312,[3]Extended!$B$9:$G$101,6,FALSE),VLOOKUP(D312,[3]Extended!$B$9:$H$101,7,FALSE)))),0)</f>
        <v>1322417</v>
      </c>
      <c r="O312" s="269">
        <f>IFERROR(IF(BA312="WIP - 30 Days",VLOOKUP(D312,[3]Extended!$B$9:$J$101,9,FALSE),IF(BA312="31-120 Days",VLOOKUP(D312,[3]Extended!$B$9:$K$101,10,FALSE),IF(BA312="121-365 Days",VLOOKUP(D312,[3]Extended!$B$9:$L$101,11,FALSE),VLOOKUP(D312,[3]Extended!$B$9:$M$101,12,FALSE)))),0)</f>
        <v>1283900</v>
      </c>
      <c r="P312" s="116">
        <f t="shared" si="21"/>
        <v>0.26</v>
      </c>
      <c r="Q312" s="110" t="e">
        <f>O312-#REF!</f>
        <v>#REF!</v>
      </c>
      <c r="W312" s="311"/>
      <c r="X312" s="311"/>
      <c r="Y312" s="311"/>
      <c r="Z312" s="311"/>
      <c r="AA312" s="311"/>
      <c r="AB312" s="311"/>
      <c r="AC312" s="311"/>
      <c r="AT312" s="88" t="str">
        <f t="shared" si="22"/>
        <v>KP0006342017Q314,7</v>
      </c>
      <c r="AU312" s="89" t="str">
        <f t="shared" si="23"/>
        <v>07-2017</v>
      </c>
      <c r="BA312" s="92" t="str">
        <f t="shared" si="24"/>
        <v>WIP - 30 Days</v>
      </c>
    </row>
    <row r="313" spans="1:56">
      <c r="B313" s="60">
        <f>[2]Trucks!A310</f>
        <v>47805</v>
      </c>
      <c r="C313" s="11" t="str">
        <f>[2]Trucks!B310</f>
        <v>TGS-26-4406X4BLS-LX</v>
      </c>
      <c r="D313" s="19" t="str">
        <f>IFERROR(VLOOKUP(C313&amp;"",'[2]Retail Price List'!$A$3:$B$103,2,FALSE),"Special Order")</f>
        <v>KP000634</v>
      </c>
      <c r="E313" s="18" t="str">
        <f>[2]Trucks!J310</f>
        <v>CKD</v>
      </c>
      <c r="F313" s="12" t="str">
        <f>[2]Trucks!E310</f>
        <v>2018-02-15</v>
      </c>
      <c r="G313" s="56">
        <f>[2]Trucks!K310</f>
        <v>14.7</v>
      </c>
      <c r="H313" s="46">
        <f>[2]Trucks!I310</f>
        <v>42947</v>
      </c>
      <c r="I313" s="83" t="str">
        <f t="shared" si="20"/>
        <v>2017Q3</v>
      </c>
      <c r="J313" s="272">
        <f>IFERROR(VLOOKUP((D313&amp;C313)&amp;"",'[2]Retail Price List'!$C$4:$F$102,3,FALSE),"")</f>
        <v>1700000</v>
      </c>
      <c r="K313" s="272">
        <f>IFERROR(IF(BA313="WIP - 30 Days",VLOOKUP(D313,[3]Standard!$B$9:$E$101,4,FALSE),IF(BA313="31-120 Days",VLOOKUP(D313,[3]Standard!$B$9:$F$101,5,FALSE),IF(BA313="121-365 Days",VLOOKUP(D313,[3]Standard!$B$9:$G$101,6,FALSE),VLOOKUP(D313,[3]Standard!$B$9:$H$101,7,FALSE)))),0)</f>
        <v>1313250</v>
      </c>
      <c r="L313" s="272">
        <f>IFERROR(IF(BA313="WIP - 30 Days",VLOOKUP(D313,[3]Standard!$B$9:$J$101,9,FALSE),IF(BA313="31-120 Days",VLOOKUP(D313,[3]Standard!$B$9:$K$100,10,FALSE),IF(BA313="121-365 Days",VLOOKUP(D313,[3]Standard!$B$9:$L$101,11,FALSE),VLOOKUP(D313,[3]Standard!$B$9:$M$101,12,FALSE)))),0)</f>
        <v>1275000</v>
      </c>
      <c r="M313" s="269">
        <f>IFERROR(VLOOKUP((D313&amp;C313)&amp;"",'[2]Retail Price List'!$C$4:$F$102,4,FALSE),"")</f>
        <v>1735000</v>
      </c>
      <c r="N313" s="269">
        <f>IFERROR(IF(BA313="WIP - 30 Days",VLOOKUP(D313,[3]Extended!$B$9:$E$101,4,FALSE),IF(BA313="31-120 Days",VLOOKUP(D313,[3]Extended!$B$9:$F$101,5,FALSE),IF(BA313="121-365 Days",VLOOKUP(D313,[3]Extended!$B$9:$G$101,6,FALSE),VLOOKUP(D313,[3]Extended!$B$9:$H$101,7,FALSE)))),0)</f>
        <v>1322417</v>
      </c>
      <c r="O313" s="269">
        <f>IFERROR(IF(BA313="WIP - 30 Days",VLOOKUP(D313,[3]Extended!$B$9:$J$101,9,FALSE),IF(BA313="31-120 Days",VLOOKUP(D313,[3]Extended!$B$9:$K$101,10,FALSE),IF(BA313="121-365 Days",VLOOKUP(D313,[3]Extended!$B$9:$L$101,11,FALSE),VLOOKUP(D313,[3]Extended!$B$9:$M$101,12,FALSE)))),0)</f>
        <v>1283900</v>
      </c>
      <c r="P313" s="116">
        <f t="shared" si="21"/>
        <v>0.26</v>
      </c>
      <c r="Q313" s="110" t="e">
        <f>O313-#REF!</f>
        <v>#REF!</v>
      </c>
      <c r="W313" s="311"/>
      <c r="X313" s="311"/>
      <c r="Y313" s="311"/>
      <c r="Z313" s="311"/>
      <c r="AA313" s="311"/>
      <c r="AB313" s="311"/>
      <c r="AC313" s="311"/>
      <c r="AT313" s="88" t="str">
        <f t="shared" si="22"/>
        <v>KP0006342017Q314,7</v>
      </c>
      <c r="AU313" s="89" t="str">
        <f t="shared" si="23"/>
        <v>07-2017</v>
      </c>
      <c r="BA313" s="92" t="str">
        <f t="shared" si="24"/>
        <v>WIP - 30 Days</v>
      </c>
    </row>
    <row r="314" spans="1:56">
      <c r="B314" s="60">
        <f>[2]Trucks!A311</f>
        <v>47806</v>
      </c>
      <c r="C314" s="11" t="str">
        <f>[2]Trucks!B311</f>
        <v>TGS-26-4406X4BLS-LX</v>
      </c>
      <c r="D314" s="19" t="str">
        <f>IFERROR(VLOOKUP(C314&amp;"",'[2]Retail Price List'!$A$3:$B$103,2,FALSE),"Special Order")</f>
        <v>KP000634</v>
      </c>
      <c r="E314" s="18" t="str">
        <f>[2]Trucks!J311</f>
        <v>CKD</v>
      </c>
      <c r="F314" s="12" t="str">
        <f>[2]Trucks!E311</f>
        <v>2018-02-15</v>
      </c>
      <c r="G314" s="56">
        <f>[2]Trucks!K311</f>
        <v>14.7</v>
      </c>
      <c r="H314" s="46">
        <f>[2]Trucks!I311</f>
        <v>42947</v>
      </c>
      <c r="I314" s="83" t="str">
        <f t="shared" si="20"/>
        <v>2017Q3</v>
      </c>
      <c r="J314" s="272">
        <f>IFERROR(VLOOKUP((D314&amp;C314)&amp;"",'[2]Retail Price List'!$C$4:$F$102,3,FALSE),"")</f>
        <v>1700000</v>
      </c>
      <c r="K314" s="272">
        <f>IFERROR(IF(BA314="WIP - 30 Days",VLOOKUP(D314,[3]Standard!$B$9:$E$101,4,FALSE),IF(BA314="31-120 Days",VLOOKUP(D314,[3]Standard!$B$9:$F$101,5,FALSE),IF(BA314="121-365 Days",VLOOKUP(D314,[3]Standard!$B$9:$G$101,6,FALSE),VLOOKUP(D314,[3]Standard!$B$9:$H$101,7,FALSE)))),0)</f>
        <v>1313250</v>
      </c>
      <c r="L314" s="272">
        <f>IFERROR(IF(BA314="WIP - 30 Days",VLOOKUP(D314,[3]Standard!$B$9:$J$101,9,FALSE),IF(BA314="31-120 Days",VLOOKUP(D314,[3]Standard!$B$9:$K$100,10,FALSE),IF(BA314="121-365 Days",VLOOKUP(D314,[3]Standard!$B$9:$L$101,11,FALSE),VLOOKUP(D314,[3]Standard!$B$9:$M$101,12,FALSE)))),0)</f>
        <v>1275000</v>
      </c>
      <c r="M314" s="269">
        <f>IFERROR(VLOOKUP((D314&amp;C314)&amp;"",'[2]Retail Price List'!$C$4:$F$102,4,FALSE),"")</f>
        <v>1735000</v>
      </c>
      <c r="N314" s="269">
        <f>IFERROR(IF(BA314="WIP - 30 Days",VLOOKUP(D314,[3]Extended!$B$9:$E$101,4,FALSE),IF(BA314="31-120 Days",VLOOKUP(D314,[3]Extended!$B$9:$F$101,5,FALSE),IF(BA314="121-365 Days",VLOOKUP(D314,[3]Extended!$B$9:$G$101,6,FALSE),VLOOKUP(D314,[3]Extended!$B$9:$H$101,7,FALSE)))),0)</f>
        <v>1322417</v>
      </c>
      <c r="O314" s="269">
        <f>IFERROR(IF(BA314="WIP - 30 Days",VLOOKUP(D314,[3]Extended!$B$9:$J$101,9,FALSE),IF(BA314="31-120 Days",VLOOKUP(D314,[3]Extended!$B$9:$K$101,10,FALSE),IF(BA314="121-365 Days",VLOOKUP(D314,[3]Extended!$B$9:$L$101,11,FALSE),VLOOKUP(D314,[3]Extended!$B$9:$M$101,12,FALSE)))),0)</f>
        <v>1283900</v>
      </c>
      <c r="P314" s="116">
        <f t="shared" si="21"/>
        <v>0.26</v>
      </c>
      <c r="Q314" s="110" t="e">
        <f>O314-#REF!</f>
        <v>#REF!</v>
      </c>
      <c r="W314" s="311"/>
      <c r="X314" s="311"/>
      <c r="Y314" s="311"/>
      <c r="Z314" s="311"/>
      <c r="AA314" s="311"/>
      <c r="AB314" s="311"/>
      <c r="AC314" s="311"/>
      <c r="AT314" s="88" t="str">
        <f t="shared" si="22"/>
        <v>KP0006342017Q314,7</v>
      </c>
      <c r="AU314" s="89" t="str">
        <f t="shared" si="23"/>
        <v>07-2017</v>
      </c>
      <c r="BA314" s="92" t="str">
        <f t="shared" si="24"/>
        <v>WIP - 30 Days</v>
      </c>
    </row>
    <row r="315" spans="1:56">
      <c r="B315" s="60">
        <f>[2]Trucks!A312</f>
        <v>47807</v>
      </c>
      <c r="C315" s="11" t="str">
        <f>[2]Trucks!B312</f>
        <v>TGS-26-4406X4BLS-LX</v>
      </c>
      <c r="D315" s="19" t="str">
        <f>IFERROR(VLOOKUP(C315&amp;"",'[2]Retail Price List'!$A$3:$B$103,2,FALSE),"Special Order")</f>
        <v>KP000634</v>
      </c>
      <c r="E315" s="18" t="str">
        <f>[2]Trucks!J312</f>
        <v>CKD</v>
      </c>
      <c r="F315" s="12" t="str">
        <f>[2]Trucks!E312</f>
        <v>2018-02-15</v>
      </c>
      <c r="G315" s="56">
        <f>[2]Trucks!K312</f>
        <v>14.7</v>
      </c>
      <c r="H315" s="46">
        <f>[2]Trucks!I312</f>
        <v>42947</v>
      </c>
      <c r="I315" s="83" t="str">
        <f t="shared" si="20"/>
        <v>2017Q3</v>
      </c>
      <c r="J315" s="272">
        <f>IFERROR(VLOOKUP((D315&amp;C315)&amp;"",'[2]Retail Price List'!$C$4:$F$102,3,FALSE),"")</f>
        <v>1700000</v>
      </c>
      <c r="K315" s="272">
        <f>IFERROR(IF(BA315="WIP - 30 Days",VLOOKUP(D315,[3]Standard!$B$9:$E$101,4,FALSE),IF(BA315="31-120 Days",VLOOKUP(D315,[3]Standard!$B$9:$F$101,5,FALSE),IF(BA315="121-365 Days",VLOOKUP(D315,[3]Standard!$B$9:$G$101,6,FALSE),VLOOKUP(D315,[3]Standard!$B$9:$H$101,7,FALSE)))),0)</f>
        <v>1313250</v>
      </c>
      <c r="L315" s="272">
        <f>IFERROR(IF(BA315="WIP - 30 Days",VLOOKUP(D315,[3]Standard!$B$9:$J$101,9,FALSE),IF(BA315="31-120 Days",VLOOKUP(D315,[3]Standard!$B$9:$K$100,10,FALSE),IF(BA315="121-365 Days",VLOOKUP(D315,[3]Standard!$B$9:$L$101,11,FALSE),VLOOKUP(D315,[3]Standard!$B$9:$M$101,12,FALSE)))),0)</f>
        <v>1275000</v>
      </c>
      <c r="M315" s="269">
        <f>IFERROR(VLOOKUP((D315&amp;C315)&amp;"",'[2]Retail Price List'!$C$4:$F$102,4,FALSE),"")</f>
        <v>1735000</v>
      </c>
      <c r="N315" s="269">
        <f>IFERROR(IF(BA315="WIP - 30 Days",VLOOKUP(D315,[3]Extended!$B$9:$E$101,4,FALSE),IF(BA315="31-120 Days",VLOOKUP(D315,[3]Extended!$B$9:$F$101,5,FALSE),IF(BA315="121-365 Days",VLOOKUP(D315,[3]Extended!$B$9:$G$101,6,FALSE),VLOOKUP(D315,[3]Extended!$B$9:$H$101,7,FALSE)))),0)</f>
        <v>1322417</v>
      </c>
      <c r="O315" s="269">
        <f>IFERROR(IF(BA315="WIP - 30 Days",VLOOKUP(D315,[3]Extended!$B$9:$J$101,9,FALSE),IF(BA315="31-120 Days",VLOOKUP(D315,[3]Extended!$B$9:$K$101,10,FALSE),IF(BA315="121-365 Days",VLOOKUP(D315,[3]Extended!$B$9:$L$101,11,FALSE),VLOOKUP(D315,[3]Extended!$B$9:$M$101,12,FALSE)))),0)</f>
        <v>1283900</v>
      </c>
      <c r="P315" s="116">
        <f t="shared" si="21"/>
        <v>0.26</v>
      </c>
      <c r="Q315" s="110" t="e">
        <f>O315-#REF!</f>
        <v>#REF!</v>
      </c>
      <c r="W315" s="311"/>
      <c r="X315" s="311"/>
      <c r="Y315" s="311"/>
      <c r="Z315" s="311"/>
      <c r="AA315" s="311"/>
      <c r="AB315" s="311"/>
      <c r="AC315" s="311"/>
      <c r="AT315" s="88" t="str">
        <f t="shared" si="22"/>
        <v>KP0006342017Q314,7</v>
      </c>
      <c r="AU315" s="89" t="str">
        <f t="shared" si="23"/>
        <v>07-2017</v>
      </c>
      <c r="BA315" s="92" t="str">
        <f t="shared" si="24"/>
        <v>WIP - 30 Days</v>
      </c>
    </row>
    <row r="316" spans="1:56" s="4" customFormat="1">
      <c r="A316" s="69"/>
      <c r="B316" s="60">
        <f>[2]Trucks!A313</f>
        <v>47808</v>
      </c>
      <c r="C316" s="11" t="str">
        <f>[2]Trucks!B313</f>
        <v>TGS-26-4406X4BLS-LX</v>
      </c>
      <c r="D316" s="19" t="str">
        <f>IFERROR(VLOOKUP(C316&amp;"",'[2]Retail Price List'!$A$3:$B$103,2,FALSE),"Special Order")</f>
        <v>KP000634</v>
      </c>
      <c r="E316" s="18" t="str">
        <f>[2]Trucks!J313</f>
        <v>CKD</v>
      </c>
      <c r="F316" s="12" t="str">
        <f>[2]Trucks!E313</f>
        <v>2018-02-15</v>
      </c>
      <c r="G316" s="56">
        <f>[2]Trucks!K313</f>
        <v>14.7</v>
      </c>
      <c r="H316" s="46">
        <f>[2]Trucks!I313</f>
        <v>42947</v>
      </c>
      <c r="I316" s="83" t="str">
        <f t="shared" si="20"/>
        <v>2017Q3</v>
      </c>
      <c r="J316" s="272">
        <f>IFERROR(VLOOKUP((D316&amp;C316)&amp;"",'[2]Retail Price List'!$C$4:$F$102,3,FALSE),"")</f>
        <v>1700000</v>
      </c>
      <c r="K316" s="272">
        <f>IFERROR(IF(BA316="WIP - 30 Days",VLOOKUP(D316,[3]Standard!$B$9:$E$101,4,FALSE),IF(BA316="31-120 Days",VLOOKUP(D316,[3]Standard!$B$9:$F$101,5,FALSE),IF(BA316="121-365 Days",VLOOKUP(D316,[3]Standard!$B$9:$G$101,6,FALSE),VLOOKUP(D316,[3]Standard!$B$9:$H$101,7,FALSE)))),0)</f>
        <v>1313250</v>
      </c>
      <c r="L316" s="272">
        <f>IFERROR(IF(BA316="WIP - 30 Days",VLOOKUP(D316,[3]Standard!$B$9:$J$101,9,FALSE),IF(BA316="31-120 Days",VLOOKUP(D316,[3]Standard!$B$9:$K$100,10,FALSE),IF(BA316="121-365 Days",VLOOKUP(D316,[3]Standard!$B$9:$L$101,11,FALSE),VLOOKUP(D316,[3]Standard!$B$9:$M$101,12,FALSE)))),0)</f>
        <v>1275000</v>
      </c>
      <c r="M316" s="269">
        <f>IFERROR(VLOOKUP((D316&amp;C316)&amp;"",'[2]Retail Price List'!$C$4:$F$102,4,FALSE),"")</f>
        <v>1735000</v>
      </c>
      <c r="N316" s="269">
        <f>IFERROR(IF(BA316="WIP - 30 Days",VLOOKUP(D316,[3]Extended!$B$9:$E$101,4,FALSE),IF(BA316="31-120 Days",VLOOKUP(D316,[3]Extended!$B$9:$F$101,5,FALSE),IF(BA316="121-365 Days",VLOOKUP(D316,[3]Extended!$B$9:$G$101,6,FALSE),VLOOKUP(D316,[3]Extended!$B$9:$H$101,7,FALSE)))),0)</f>
        <v>1322417</v>
      </c>
      <c r="O316" s="269">
        <f>IFERROR(IF(BA316="WIP - 30 Days",VLOOKUP(D316,[3]Extended!$B$9:$J$101,9,FALSE),IF(BA316="31-120 Days",VLOOKUP(D316,[3]Extended!$B$9:$K$101,10,FALSE),IF(BA316="121-365 Days",VLOOKUP(D316,[3]Extended!$B$9:$L$101,11,FALSE),VLOOKUP(D316,[3]Extended!$B$9:$M$101,12,FALSE)))),0)</f>
        <v>1283900</v>
      </c>
      <c r="P316" s="116">
        <f t="shared" si="21"/>
        <v>0.26</v>
      </c>
      <c r="Q316" s="110" t="e">
        <f>O316-#REF!</f>
        <v>#REF!</v>
      </c>
      <c r="R316" s="111" t="e">
        <f>SUM(Q302:Q315)/SUM(O302:O315)</f>
        <v>#REF!</v>
      </c>
      <c r="S316" s="112"/>
      <c r="T316" s="112"/>
      <c r="U316" s="112"/>
      <c r="V316" s="112"/>
      <c r="W316" s="311"/>
      <c r="X316" s="311"/>
      <c r="Y316" s="311"/>
      <c r="Z316" s="311"/>
      <c r="AA316" s="311"/>
      <c r="AB316" s="311"/>
      <c r="AC316" s="311"/>
      <c r="AD316" s="89"/>
      <c r="AE316" s="89"/>
      <c r="AF316" s="89"/>
      <c r="AG316" s="5"/>
      <c r="AH316" s="5"/>
      <c r="AI316" s="5"/>
      <c r="AJ316" s="5"/>
      <c r="AK316" s="5"/>
      <c r="AL316" s="5"/>
      <c r="AM316" s="5"/>
      <c r="AN316" s="5"/>
      <c r="AO316" s="5"/>
      <c r="AP316" s="5"/>
      <c r="AQ316" s="5"/>
      <c r="AR316" s="5"/>
      <c r="AS316" s="5"/>
      <c r="AT316" s="88" t="str">
        <f t="shared" si="22"/>
        <v>KP0006342017Q314,7</v>
      </c>
      <c r="AU316" s="89" t="str">
        <f t="shared" si="23"/>
        <v>07-2017</v>
      </c>
      <c r="AV316" s="89"/>
      <c r="AW316" s="89"/>
      <c r="AX316" s="89"/>
      <c r="AY316" s="89"/>
      <c r="AZ316" s="89"/>
      <c r="BA316" s="92" t="str">
        <f t="shared" si="24"/>
        <v>WIP - 30 Days</v>
      </c>
      <c r="BB316" s="89"/>
      <c r="BC316" s="97"/>
      <c r="BD316" s="97"/>
    </row>
    <row r="317" spans="1:56">
      <c r="B317" s="60">
        <f>[2]Trucks!A314</f>
        <v>47809</v>
      </c>
      <c r="C317" s="11" t="str">
        <f>[2]Trucks!B314</f>
        <v>TGS-26-4406X4BLS-LX</v>
      </c>
      <c r="D317" s="19" t="str">
        <f>IFERROR(VLOOKUP(C317&amp;"",'[2]Retail Price List'!$A$3:$B$103,2,FALSE),"Special Order")</f>
        <v>KP000634</v>
      </c>
      <c r="E317" s="18" t="str">
        <f>[2]Trucks!J314</f>
        <v>CKD</v>
      </c>
      <c r="F317" s="12" t="str">
        <f>[2]Trucks!E314</f>
        <v>2018-02-15</v>
      </c>
      <c r="G317" s="56">
        <f>[2]Trucks!K314</f>
        <v>14.7</v>
      </c>
      <c r="H317" s="46">
        <f>[2]Trucks!I314</f>
        <v>42947</v>
      </c>
      <c r="I317" s="83" t="str">
        <f t="shared" si="20"/>
        <v>2017Q3</v>
      </c>
      <c r="J317" s="272">
        <f>IFERROR(VLOOKUP((D317&amp;C317)&amp;"",'[2]Retail Price List'!$C$4:$F$102,3,FALSE),"")</f>
        <v>1700000</v>
      </c>
      <c r="K317" s="272">
        <f>IFERROR(IF(BA317="WIP - 30 Days",VLOOKUP(D317,[3]Standard!$B$9:$E$101,4,FALSE),IF(BA317="31-120 Days",VLOOKUP(D317,[3]Standard!$B$9:$F$101,5,FALSE),IF(BA317="121-365 Days",VLOOKUP(D317,[3]Standard!$B$9:$G$101,6,FALSE),VLOOKUP(D317,[3]Standard!$B$9:$H$101,7,FALSE)))),0)</f>
        <v>1313250</v>
      </c>
      <c r="L317" s="272">
        <f>IFERROR(IF(BA317="WIP - 30 Days",VLOOKUP(D317,[3]Standard!$B$9:$J$101,9,FALSE),IF(BA317="31-120 Days",VLOOKUP(D317,[3]Standard!$B$9:$K$100,10,FALSE),IF(BA317="121-365 Days",VLOOKUP(D317,[3]Standard!$B$9:$L$101,11,FALSE),VLOOKUP(D317,[3]Standard!$B$9:$M$101,12,FALSE)))),0)</f>
        <v>1275000</v>
      </c>
      <c r="M317" s="269">
        <f>IFERROR(VLOOKUP((D317&amp;C317)&amp;"",'[2]Retail Price List'!$C$4:$F$102,4,FALSE),"")</f>
        <v>1735000</v>
      </c>
      <c r="N317" s="269">
        <f>IFERROR(IF(BA317="WIP - 30 Days",VLOOKUP(D317,[3]Extended!$B$9:$E$101,4,FALSE),IF(BA317="31-120 Days",VLOOKUP(D317,[3]Extended!$B$9:$F$101,5,FALSE),IF(BA317="121-365 Days",VLOOKUP(D317,[3]Extended!$B$9:$G$101,6,FALSE),VLOOKUP(D317,[3]Extended!$B$9:$H$101,7,FALSE)))),0)</f>
        <v>1322417</v>
      </c>
      <c r="O317" s="269">
        <f>IFERROR(IF(BA317="WIP - 30 Days",VLOOKUP(D317,[3]Extended!$B$9:$J$101,9,FALSE),IF(BA317="31-120 Days",VLOOKUP(D317,[3]Extended!$B$9:$K$101,10,FALSE),IF(BA317="121-365 Days",VLOOKUP(D317,[3]Extended!$B$9:$L$101,11,FALSE),VLOOKUP(D317,[3]Extended!$B$9:$M$101,12,FALSE)))),0)</f>
        <v>1283900</v>
      </c>
      <c r="P317" s="116">
        <f t="shared" si="21"/>
        <v>0.26</v>
      </c>
      <c r="Q317" s="110" t="e">
        <f>O317-#REF!</f>
        <v>#REF!</v>
      </c>
      <c r="W317" s="311"/>
      <c r="X317" s="311"/>
      <c r="Y317" s="311"/>
      <c r="Z317" s="311"/>
      <c r="AA317" s="311"/>
      <c r="AB317" s="311"/>
      <c r="AC317" s="311"/>
      <c r="AT317" s="88" t="str">
        <f t="shared" si="22"/>
        <v>KP0006342017Q314,7</v>
      </c>
      <c r="AU317" s="89" t="str">
        <f t="shared" si="23"/>
        <v>07-2017</v>
      </c>
      <c r="BA317" s="92" t="str">
        <f t="shared" si="24"/>
        <v>WIP - 30 Days</v>
      </c>
    </row>
    <row r="318" spans="1:56">
      <c r="B318" s="60">
        <f>[2]Trucks!A315</f>
        <v>47810</v>
      </c>
      <c r="C318" s="11" t="str">
        <f>[2]Trucks!B315</f>
        <v>TGS-26-4406X4BLS-LX</v>
      </c>
      <c r="D318" s="19" t="str">
        <f>IFERROR(VLOOKUP(C318&amp;"",'[2]Retail Price List'!$A$3:$B$103,2,FALSE),"Special Order")</f>
        <v>KP000634</v>
      </c>
      <c r="E318" s="18" t="str">
        <f>[2]Trucks!J315</f>
        <v>CKD</v>
      </c>
      <c r="F318" s="12" t="str">
        <f>[2]Trucks!E315</f>
        <v>2018-02-15</v>
      </c>
      <c r="G318" s="56">
        <f>[2]Trucks!K315</f>
        <v>14.7</v>
      </c>
      <c r="H318" s="46">
        <f>[2]Trucks!I315</f>
        <v>42947</v>
      </c>
      <c r="I318" s="83" t="str">
        <f t="shared" si="20"/>
        <v>2017Q3</v>
      </c>
      <c r="J318" s="272">
        <f>IFERROR(VLOOKUP((D318&amp;C318)&amp;"",'[2]Retail Price List'!$C$4:$F$102,3,FALSE),"")</f>
        <v>1700000</v>
      </c>
      <c r="K318" s="272">
        <f>IFERROR(IF(BA318="WIP - 30 Days",VLOOKUP(D318,[3]Standard!$B$9:$E$101,4,FALSE),IF(BA318="31-120 Days",VLOOKUP(D318,[3]Standard!$B$9:$F$101,5,FALSE),IF(BA318="121-365 Days",VLOOKUP(D318,[3]Standard!$B$9:$G$101,6,FALSE),VLOOKUP(D318,[3]Standard!$B$9:$H$101,7,FALSE)))),0)</f>
        <v>1313250</v>
      </c>
      <c r="L318" s="272">
        <f>IFERROR(IF(BA318="WIP - 30 Days",VLOOKUP(D318,[3]Standard!$B$9:$J$101,9,FALSE),IF(BA318="31-120 Days",VLOOKUP(D318,[3]Standard!$B$9:$K$100,10,FALSE),IF(BA318="121-365 Days",VLOOKUP(D318,[3]Standard!$B$9:$L$101,11,FALSE),VLOOKUP(D318,[3]Standard!$B$9:$M$101,12,FALSE)))),0)</f>
        <v>1275000</v>
      </c>
      <c r="M318" s="269">
        <f>IFERROR(VLOOKUP((D318&amp;C318)&amp;"",'[2]Retail Price List'!$C$4:$F$102,4,FALSE),"")</f>
        <v>1735000</v>
      </c>
      <c r="N318" s="269">
        <f>IFERROR(IF(BA318="WIP - 30 Days",VLOOKUP(D318,[3]Extended!$B$9:$E$101,4,FALSE),IF(BA318="31-120 Days",VLOOKUP(D318,[3]Extended!$B$9:$F$101,5,FALSE),IF(BA318="121-365 Days",VLOOKUP(D318,[3]Extended!$B$9:$G$101,6,FALSE),VLOOKUP(D318,[3]Extended!$B$9:$H$101,7,FALSE)))),0)</f>
        <v>1322417</v>
      </c>
      <c r="O318" s="269">
        <f>IFERROR(IF(BA318="WIP - 30 Days",VLOOKUP(D318,[3]Extended!$B$9:$J$101,9,FALSE),IF(BA318="31-120 Days",VLOOKUP(D318,[3]Extended!$B$9:$K$101,10,FALSE),IF(BA318="121-365 Days",VLOOKUP(D318,[3]Extended!$B$9:$L$101,11,FALSE),VLOOKUP(D318,[3]Extended!$B$9:$M$101,12,FALSE)))),0)</f>
        <v>1283900</v>
      </c>
      <c r="P318" s="116">
        <f t="shared" si="21"/>
        <v>0.26</v>
      </c>
      <c r="Q318" s="110" t="e">
        <f>O318-#REF!</f>
        <v>#REF!</v>
      </c>
      <c r="W318" s="311"/>
      <c r="X318" s="311"/>
      <c r="Y318" s="311"/>
      <c r="Z318" s="311"/>
      <c r="AA318" s="311"/>
      <c r="AB318" s="311"/>
      <c r="AC318" s="311"/>
      <c r="AT318" s="88" t="str">
        <f t="shared" si="22"/>
        <v>KP0006342017Q314,7</v>
      </c>
      <c r="AU318" s="89" t="str">
        <f t="shared" si="23"/>
        <v>07-2017</v>
      </c>
      <c r="BA318" s="92" t="str">
        <f t="shared" si="24"/>
        <v>WIP - 30 Days</v>
      </c>
    </row>
    <row r="319" spans="1:56">
      <c r="B319" s="60">
        <f>[2]Trucks!A316</f>
        <v>47811</v>
      </c>
      <c r="C319" s="11" t="str">
        <f>[2]Trucks!B316</f>
        <v>TGS-26-4406X4BLS-LX</v>
      </c>
      <c r="D319" s="19" t="str">
        <f>IFERROR(VLOOKUP(C319&amp;"",'[2]Retail Price List'!$A$3:$B$103,2,FALSE),"Special Order")</f>
        <v>KP000634</v>
      </c>
      <c r="E319" s="18" t="str">
        <f>[2]Trucks!J316</f>
        <v>CKD</v>
      </c>
      <c r="F319" s="12" t="str">
        <f>[2]Trucks!E316</f>
        <v>2018-02-15</v>
      </c>
      <c r="G319" s="56">
        <f>[2]Trucks!K316</f>
        <v>14.7</v>
      </c>
      <c r="H319" s="46">
        <f>[2]Trucks!I316</f>
        <v>42947</v>
      </c>
      <c r="I319" s="83" t="str">
        <f t="shared" si="20"/>
        <v>2017Q3</v>
      </c>
      <c r="J319" s="272">
        <f>IFERROR(VLOOKUP((D319&amp;C319)&amp;"",'[2]Retail Price List'!$C$4:$F$102,3,FALSE),"")</f>
        <v>1700000</v>
      </c>
      <c r="K319" s="272">
        <f>IFERROR(IF(BA319="WIP - 30 Days",VLOOKUP(D319,[3]Standard!$B$9:$E$101,4,FALSE),IF(BA319="31-120 Days",VLOOKUP(D319,[3]Standard!$B$9:$F$101,5,FALSE),IF(BA319="121-365 Days",VLOOKUP(D319,[3]Standard!$B$9:$G$101,6,FALSE),VLOOKUP(D319,[3]Standard!$B$9:$H$101,7,FALSE)))),0)</f>
        <v>1313250</v>
      </c>
      <c r="L319" s="272">
        <f>IFERROR(IF(BA319="WIP - 30 Days",VLOOKUP(D319,[3]Standard!$B$9:$J$101,9,FALSE),IF(BA319="31-120 Days",VLOOKUP(D319,[3]Standard!$B$9:$K$100,10,FALSE),IF(BA319="121-365 Days",VLOOKUP(D319,[3]Standard!$B$9:$L$101,11,FALSE),VLOOKUP(D319,[3]Standard!$B$9:$M$101,12,FALSE)))),0)</f>
        <v>1275000</v>
      </c>
      <c r="M319" s="269">
        <f>IFERROR(VLOOKUP((D319&amp;C319)&amp;"",'[2]Retail Price List'!$C$4:$F$102,4,FALSE),"")</f>
        <v>1735000</v>
      </c>
      <c r="N319" s="269">
        <f>IFERROR(IF(BA319="WIP - 30 Days",VLOOKUP(D319,[3]Extended!$B$9:$E$101,4,FALSE),IF(BA319="31-120 Days",VLOOKUP(D319,[3]Extended!$B$9:$F$101,5,FALSE),IF(BA319="121-365 Days",VLOOKUP(D319,[3]Extended!$B$9:$G$101,6,FALSE),VLOOKUP(D319,[3]Extended!$B$9:$H$101,7,FALSE)))),0)</f>
        <v>1322417</v>
      </c>
      <c r="O319" s="269">
        <f>IFERROR(IF(BA319="WIP - 30 Days",VLOOKUP(D319,[3]Extended!$B$9:$J$101,9,FALSE),IF(BA319="31-120 Days",VLOOKUP(D319,[3]Extended!$B$9:$K$101,10,FALSE),IF(BA319="121-365 Days",VLOOKUP(D319,[3]Extended!$B$9:$L$101,11,FALSE),VLOOKUP(D319,[3]Extended!$B$9:$M$101,12,FALSE)))),0)</f>
        <v>1283900</v>
      </c>
      <c r="P319" s="116">
        <f t="shared" si="21"/>
        <v>0.26</v>
      </c>
      <c r="Q319" s="110" t="e">
        <f>O319-#REF!</f>
        <v>#REF!</v>
      </c>
      <c r="W319" s="311"/>
      <c r="X319" s="311"/>
      <c r="Y319" s="311"/>
      <c r="Z319" s="311"/>
      <c r="AA319" s="311"/>
      <c r="AB319" s="311"/>
      <c r="AC319" s="311"/>
      <c r="AT319" s="88" t="str">
        <f t="shared" si="22"/>
        <v>KP0006342017Q314,7</v>
      </c>
      <c r="AU319" s="89" t="str">
        <f t="shared" si="23"/>
        <v>07-2017</v>
      </c>
      <c r="BA319" s="92" t="str">
        <f t="shared" si="24"/>
        <v>WIP - 30 Days</v>
      </c>
    </row>
    <row r="320" spans="1:56">
      <c r="B320" s="60">
        <f>[2]Trucks!A317</f>
        <v>47812</v>
      </c>
      <c r="C320" s="11" t="str">
        <f>[2]Trucks!B317</f>
        <v>TGS-26-4406X4BLS-LX</v>
      </c>
      <c r="D320" s="19" t="str">
        <f>IFERROR(VLOOKUP(C320&amp;"",'[2]Retail Price List'!$A$3:$B$103,2,FALSE),"Special Order")</f>
        <v>KP000634</v>
      </c>
      <c r="E320" s="18" t="str">
        <f>[2]Trucks!J317</f>
        <v>CKD</v>
      </c>
      <c r="F320" s="12" t="str">
        <f>[2]Trucks!E317</f>
        <v>2018-02-15</v>
      </c>
      <c r="G320" s="56">
        <f>[2]Trucks!K317</f>
        <v>14.7</v>
      </c>
      <c r="H320" s="46">
        <f>[2]Trucks!I317</f>
        <v>42947</v>
      </c>
      <c r="I320" s="83" t="str">
        <f t="shared" si="20"/>
        <v>2017Q3</v>
      </c>
      <c r="J320" s="272">
        <f>IFERROR(VLOOKUP((D320&amp;C320)&amp;"",'[2]Retail Price List'!$C$4:$F$102,3,FALSE),"")</f>
        <v>1700000</v>
      </c>
      <c r="K320" s="272">
        <f>IFERROR(IF(BA320="WIP - 30 Days",VLOOKUP(D320,[3]Standard!$B$9:$E$101,4,FALSE),IF(BA320="31-120 Days",VLOOKUP(D320,[3]Standard!$B$9:$F$101,5,FALSE),IF(BA320="121-365 Days",VLOOKUP(D320,[3]Standard!$B$9:$G$101,6,FALSE),VLOOKUP(D320,[3]Standard!$B$9:$H$101,7,FALSE)))),0)</f>
        <v>1313250</v>
      </c>
      <c r="L320" s="272">
        <f>IFERROR(IF(BA320="WIP - 30 Days",VLOOKUP(D320,[3]Standard!$B$9:$J$101,9,FALSE),IF(BA320="31-120 Days",VLOOKUP(D320,[3]Standard!$B$9:$K$100,10,FALSE),IF(BA320="121-365 Days",VLOOKUP(D320,[3]Standard!$B$9:$L$101,11,FALSE),VLOOKUP(D320,[3]Standard!$B$9:$M$101,12,FALSE)))),0)</f>
        <v>1275000</v>
      </c>
      <c r="M320" s="269">
        <f>IFERROR(VLOOKUP((D320&amp;C320)&amp;"",'[2]Retail Price List'!$C$4:$F$102,4,FALSE),"")</f>
        <v>1735000</v>
      </c>
      <c r="N320" s="269">
        <f>IFERROR(IF(BA320="WIP - 30 Days",VLOOKUP(D320,[3]Extended!$B$9:$E$101,4,FALSE),IF(BA320="31-120 Days",VLOOKUP(D320,[3]Extended!$B$9:$F$101,5,FALSE),IF(BA320="121-365 Days",VLOOKUP(D320,[3]Extended!$B$9:$G$101,6,FALSE),VLOOKUP(D320,[3]Extended!$B$9:$H$101,7,FALSE)))),0)</f>
        <v>1322417</v>
      </c>
      <c r="O320" s="269">
        <f>IFERROR(IF(BA320="WIP - 30 Days",VLOOKUP(D320,[3]Extended!$B$9:$J$101,9,FALSE),IF(BA320="31-120 Days",VLOOKUP(D320,[3]Extended!$B$9:$K$101,10,FALSE),IF(BA320="121-365 Days",VLOOKUP(D320,[3]Extended!$B$9:$L$101,11,FALSE),VLOOKUP(D320,[3]Extended!$B$9:$M$101,12,FALSE)))),0)</f>
        <v>1283900</v>
      </c>
      <c r="P320" s="116">
        <f t="shared" si="21"/>
        <v>0.26</v>
      </c>
      <c r="Q320" s="110" t="e">
        <f>O320-#REF!</f>
        <v>#REF!</v>
      </c>
      <c r="S320" s="112">
        <f>COUNT(#REF!)</f>
        <v>0</v>
      </c>
      <c r="W320" s="311"/>
      <c r="X320" s="311"/>
      <c r="Y320" s="311"/>
      <c r="Z320" s="311"/>
      <c r="AA320" s="311"/>
      <c r="AB320" s="311"/>
      <c r="AC320" s="311"/>
      <c r="AT320" s="88" t="str">
        <f t="shared" si="22"/>
        <v>KP0006342017Q314,7</v>
      </c>
      <c r="AU320" s="89" t="str">
        <f t="shared" si="23"/>
        <v>07-2017</v>
      </c>
      <c r="BA320" s="92" t="str">
        <f t="shared" si="24"/>
        <v>WIP - 30 Days</v>
      </c>
    </row>
    <row r="321" spans="2:53">
      <c r="B321" s="60">
        <f>[2]Trucks!A318</f>
        <v>47813</v>
      </c>
      <c r="C321" s="11" t="str">
        <f>[2]Trucks!B318</f>
        <v>TGS-26-4406X4BLS-LX</v>
      </c>
      <c r="D321" s="19" t="str">
        <f>IFERROR(VLOOKUP(C321&amp;"",'[2]Retail Price List'!$A$3:$B$103,2,FALSE),"Special Order")</f>
        <v>KP000634</v>
      </c>
      <c r="E321" s="18" t="str">
        <f>[2]Trucks!J318</f>
        <v>CKD</v>
      </c>
      <c r="F321" s="12" t="str">
        <f>[2]Trucks!E318</f>
        <v>2018-02-15</v>
      </c>
      <c r="G321" s="56">
        <f>[2]Trucks!K318</f>
        <v>14.7</v>
      </c>
      <c r="H321" s="46">
        <f>[2]Trucks!I318</f>
        <v>42947</v>
      </c>
      <c r="I321" s="83" t="str">
        <f t="shared" si="20"/>
        <v>2017Q3</v>
      </c>
      <c r="J321" s="272">
        <f>IFERROR(VLOOKUP((D321&amp;C321)&amp;"",'[2]Retail Price List'!$C$4:$F$102,3,FALSE),"")</f>
        <v>1700000</v>
      </c>
      <c r="K321" s="272">
        <f>IFERROR(IF(BA321="WIP - 30 Days",VLOOKUP(D321,[3]Standard!$B$9:$E$101,4,FALSE),IF(BA321="31-120 Days",VLOOKUP(D321,[3]Standard!$B$9:$F$101,5,FALSE),IF(BA321="121-365 Days",VLOOKUP(D321,[3]Standard!$B$9:$G$101,6,FALSE),VLOOKUP(D321,[3]Standard!$B$9:$H$101,7,FALSE)))),0)</f>
        <v>1313250</v>
      </c>
      <c r="L321" s="272">
        <f>IFERROR(IF(BA321="WIP - 30 Days",VLOOKUP(D321,[3]Standard!$B$9:$J$101,9,FALSE),IF(BA321="31-120 Days",VLOOKUP(D321,[3]Standard!$B$9:$K$100,10,FALSE),IF(BA321="121-365 Days",VLOOKUP(D321,[3]Standard!$B$9:$L$101,11,FALSE),VLOOKUP(D321,[3]Standard!$B$9:$M$101,12,FALSE)))),0)</f>
        <v>1275000</v>
      </c>
      <c r="M321" s="269">
        <f>IFERROR(VLOOKUP((D321&amp;C321)&amp;"",'[2]Retail Price List'!$C$4:$F$102,4,FALSE),"")</f>
        <v>1735000</v>
      </c>
      <c r="N321" s="269">
        <f>IFERROR(IF(BA321="WIP - 30 Days",VLOOKUP(D321,[3]Extended!$B$9:$E$101,4,FALSE),IF(BA321="31-120 Days",VLOOKUP(D321,[3]Extended!$B$9:$F$101,5,FALSE),IF(BA321="121-365 Days",VLOOKUP(D321,[3]Extended!$B$9:$G$101,6,FALSE),VLOOKUP(D321,[3]Extended!$B$9:$H$101,7,FALSE)))),0)</f>
        <v>1322417</v>
      </c>
      <c r="O321" s="269">
        <f>IFERROR(IF(BA321="WIP - 30 Days",VLOOKUP(D321,[3]Extended!$B$9:$J$101,9,FALSE),IF(BA321="31-120 Days",VLOOKUP(D321,[3]Extended!$B$9:$K$101,10,FALSE),IF(BA321="121-365 Days",VLOOKUP(D321,[3]Extended!$B$9:$L$101,11,FALSE),VLOOKUP(D321,[3]Extended!$B$9:$M$101,12,FALSE)))),0)</f>
        <v>1283900</v>
      </c>
      <c r="P321" s="116">
        <f t="shared" si="21"/>
        <v>0.26</v>
      </c>
      <c r="Q321" s="110" t="e">
        <f>O321-#REF!</f>
        <v>#REF!</v>
      </c>
      <c r="S321" s="110" t="e">
        <f>+AVERAGE(#REF!)</f>
        <v>#REF!</v>
      </c>
      <c r="W321" s="311"/>
      <c r="X321" s="311"/>
      <c r="Y321" s="311"/>
      <c r="Z321" s="311"/>
      <c r="AA321" s="311"/>
      <c r="AB321" s="311"/>
      <c r="AC321" s="311"/>
      <c r="AT321" s="88" t="str">
        <f t="shared" si="22"/>
        <v>KP0006342017Q314,7</v>
      </c>
      <c r="AU321" s="89" t="str">
        <f t="shared" si="23"/>
        <v>07-2017</v>
      </c>
      <c r="BA321" s="92" t="str">
        <f t="shared" si="24"/>
        <v>WIP - 30 Days</v>
      </c>
    </row>
    <row r="322" spans="2:53">
      <c r="B322" s="60">
        <f>[2]Trucks!A319</f>
        <v>47814</v>
      </c>
      <c r="C322" s="11" t="str">
        <f>[2]Trucks!B319</f>
        <v>TGS-26-4406X4BLS-LX</v>
      </c>
      <c r="D322" s="19" t="str">
        <f>IFERROR(VLOOKUP(C322&amp;"",'[2]Retail Price List'!$A$3:$B$103,2,FALSE),"Special Order")</f>
        <v>KP000634</v>
      </c>
      <c r="E322" s="18" t="str">
        <f>[2]Trucks!J319</f>
        <v>CKD</v>
      </c>
      <c r="F322" s="12" t="str">
        <f>[2]Trucks!E319</f>
        <v>2018-02-15</v>
      </c>
      <c r="G322" s="56">
        <f>[2]Trucks!K319</f>
        <v>14.7</v>
      </c>
      <c r="H322" s="46">
        <f>[2]Trucks!I319</f>
        <v>42947</v>
      </c>
      <c r="I322" s="83" t="str">
        <f t="shared" si="20"/>
        <v>2017Q3</v>
      </c>
      <c r="J322" s="272">
        <f>IFERROR(VLOOKUP((D322&amp;C322)&amp;"",'[2]Retail Price List'!$C$4:$F$102,3,FALSE),"")</f>
        <v>1700000</v>
      </c>
      <c r="K322" s="272">
        <f>IFERROR(IF(BA322="WIP - 30 Days",VLOOKUP(D322,[3]Standard!$B$9:$E$101,4,FALSE),IF(BA322="31-120 Days",VLOOKUP(D322,[3]Standard!$B$9:$F$101,5,FALSE),IF(BA322="121-365 Days",VLOOKUP(D322,[3]Standard!$B$9:$G$101,6,FALSE),VLOOKUP(D322,[3]Standard!$B$9:$H$101,7,FALSE)))),0)</f>
        <v>1313250</v>
      </c>
      <c r="L322" s="272">
        <f>IFERROR(IF(BA322="WIP - 30 Days",VLOOKUP(D322,[3]Standard!$B$9:$J$101,9,FALSE),IF(BA322="31-120 Days",VLOOKUP(D322,[3]Standard!$B$9:$K$100,10,FALSE),IF(BA322="121-365 Days",VLOOKUP(D322,[3]Standard!$B$9:$L$101,11,FALSE),VLOOKUP(D322,[3]Standard!$B$9:$M$101,12,FALSE)))),0)</f>
        <v>1275000</v>
      </c>
      <c r="M322" s="269">
        <f>IFERROR(VLOOKUP((D322&amp;C322)&amp;"",'[2]Retail Price List'!$C$4:$F$102,4,FALSE),"")</f>
        <v>1735000</v>
      </c>
      <c r="N322" s="269">
        <f>IFERROR(IF(BA322="WIP - 30 Days",VLOOKUP(D322,[3]Extended!$B$9:$E$101,4,FALSE),IF(BA322="31-120 Days",VLOOKUP(D322,[3]Extended!$B$9:$F$101,5,FALSE),IF(BA322="121-365 Days",VLOOKUP(D322,[3]Extended!$B$9:$G$101,6,FALSE),VLOOKUP(D322,[3]Extended!$B$9:$H$101,7,FALSE)))),0)</f>
        <v>1322417</v>
      </c>
      <c r="O322" s="269">
        <f>IFERROR(IF(BA322="WIP - 30 Days",VLOOKUP(D322,[3]Extended!$B$9:$J$101,9,FALSE),IF(BA322="31-120 Days",VLOOKUP(D322,[3]Extended!$B$9:$K$101,10,FALSE),IF(BA322="121-365 Days",VLOOKUP(D322,[3]Extended!$B$9:$L$101,11,FALSE),VLOOKUP(D322,[3]Extended!$B$9:$M$101,12,FALSE)))),0)</f>
        <v>1283900</v>
      </c>
      <c r="P322" s="116">
        <f t="shared" si="21"/>
        <v>0.26</v>
      </c>
      <c r="Q322" s="110" t="e">
        <f>O322-#REF!</f>
        <v>#REF!</v>
      </c>
      <c r="W322" s="311"/>
      <c r="X322" s="311"/>
      <c r="Y322" s="311"/>
      <c r="Z322" s="311"/>
      <c r="AA322" s="311"/>
      <c r="AB322" s="311"/>
      <c r="AC322" s="311"/>
      <c r="AT322" s="88" t="str">
        <f t="shared" si="22"/>
        <v>KP0006342017Q314,7</v>
      </c>
      <c r="AU322" s="89" t="str">
        <f t="shared" si="23"/>
        <v>07-2017</v>
      </c>
      <c r="BA322" s="92" t="str">
        <f t="shared" si="24"/>
        <v>WIP - 30 Days</v>
      </c>
    </row>
    <row r="323" spans="2:53">
      <c r="B323" s="60">
        <f>[2]Trucks!A320</f>
        <v>47815</v>
      </c>
      <c r="C323" s="11" t="str">
        <f>[2]Trucks!B320</f>
        <v>TGS-26-4406X4BLS-LX</v>
      </c>
      <c r="D323" s="19" t="str">
        <f>IFERROR(VLOOKUP(C323&amp;"",'[2]Retail Price List'!$A$3:$B$103,2,FALSE),"Special Order")</f>
        <v>KP000634</v>
      </c>
      <c r="E323" s="18" t="str">
        <f>[2]Trucks!J320</f>
        <v>CKD</v>
      </c>
      <c r="F323" s="12" t="str">
        <f>[2]Trucks!E320</f>
        <v>2018-02-20</v>
      </c>
      <c r="G323" s="56">
        <f>[2]Trucks!K320</f>
        <v>14.7</v>
      </c>
      <c r="H323" s="46">
        <f>[2]Trucks!I320</f>
        <v>42947</v>
      </c>
      <c r="I323" s="83" t="str">
        <f t="shared" si="20"/>
        <v>2017Q3</v>
      </c>
      <c r="J323" s="272">
        <f>IFERROR(VLOOKUP((D323&amp;C323)&amp;"",'[2]Retail Price List'!$C$4:$F$102,3,FALSE),"")</f>
        <v>1700000</v>
      </c>
      <c r="K323" s="272">
        <f>IFERROR(IF(BA323="WIP - 30 Days",VLOOKUP(D323,[3]Standard!$B$9:$E$101,4,FALSE),IF(BA323="31-120 Days",VLOOKUP(D323,[3]Standard!$B$9:$F$101,5,FALSE),IF(BA323="121-365 Days",VLOOKUP(D323,[3]Standard!$B$9:$G$101,6,FALSE),VLOOKUP(D323,[3]Standard!$B$9:$H$101,7,FALSE)))),0)</f>
        <v>1313250</v>
      </c>
      <c r="L323" s="272">
        <f>IFERROR(IF(BA323="WIP - 30 Days",VLOOKUP(D323,[3]Standard!$B$9:$J$101,9,FALSE),IF(BA323="31-120 Days",VLOOKUP(D323,[3]Standard!$B$9:$K$100,10,FALSE),IF(BA323="121-365 Days",VLOOKUP(D323,[3]Standard!$B$9:$L$101,11,FALSE),VLOOKUP(D323,[3]Standard!$B$9:$M$101,12,FALSE)))),0)</f>
        <v>1275000</v>
      </c>
      <c r="M323" s="269">
        <f>IFERROR(VLOOKUP((D323&amp;C323)&amp;"",'[2]Retail Price List'!$C$4:$F$102,4,FALSE),"")</f>
        <v>1735000</v>
      </c>
      <c r="N323" s="269">
        <f>IFERROR(IF(BA323="WIP - 30 Days",VLOOKUP(D323,[3]Extended!$B$9:$E$101,4,FALSE),IF(BA323="31-120 Days",VLOOKUP(D323,[3]Extended!$B$9:$F$101,5,FALSE),IF(BA323="121-365 Days",VLOOKUP(D323,[3]Extended!$B$9:$G$101,6,FALSE),VLOOKUP(D323,[3]Extended!$B$9:$H$101,7,FALSE)))),0)</f>
        <v>1322417</v>
      </c>
      <c r="O323" s="269">
        <f>IFERROR(IF(BA323="WIP - 30 Days",VLOOKUP(D323,[3]Extended!$B$9:$J$101,9,FALSE),IF(BA323="31-120 Days",VLOOKUP(D323,[3]Extended!$B$9:$K$101,10,FALSE),IF(BA323="121-365 Days",VLOOKUP(D323,[3]Extended!$B$9:$L$101,11,FALSE),VLOOKUP(D323,[3]Extended!$B$9:$M$101,12,FALSE)))),0)</f>
        <v>1283900</v>
      </c>
      <c r="P323" s="116">
        <f t="shared" si="21"/>
        <v>0.26</v>
      </c>
      <c r="Q323" s="110" t="e">
        <f>O323-#REF!</f>
        <v>#REF!</v>
      </c>
      <c r="W323" s="311"/>
      <c r="X323" s="311"/>
      <c r="Y323" s="311"/>
      <c r="Z323" s="311"/>
      <c r="AA323" s="311"/>
      <c r="AB323" s="311"/>
      <c r="AC323" s="311"/>
      <c r="AT323" s="88" t="str">
        <f t="shared" si="22"/>
        <v>KP0006342017Q314,7</v>
      </c>
      <c r="AU323" s="89" t="str">
        <f t="shared" si="23"/>
        <v>07-2017</v>
      </c>
      <c r="BA323" s="92" t="str">
        <f t="shared" si="24"/>
        <v>WIP - 30 Days</v>
      </c>
    </row>
    <row r="324" spans="2:53">
      <c r="B324" s="60">
        <f>[2]Trucks!A321</f>
        <v>47816</v>
      </c>
      <c r="C324" s="11" t="str">
        <f>[2]Trucks!B321</f>
        <v>TGS-26-4406X4BLS-LX</v>
      </c>
      <c r="D324" s="19" t="str">
        <f>IFERROR(VLOOKUP(C324&amp;"",'[2]Retail Price List'!$A$3:$B$103,2,FALSE),"Special Order")</f>
        <v>KP000634</v>
      </c>
      <c r="E324" s="18" t="str">
        <f>[2]Trucks!J321</f>
        <v>CKD</v>
      </c>
      <c r="F324" s="12" t="str">
        <f>[2]Trucks!E321</f>
        <v>2018-02-20</v>
      </c>
      <c r="G324" s="56">
        <f>[2]Trucks!K321</f>
        <v>14.7</v>
      </c>
      <c r="H324" s="46">
        <f>[2]Trucks!I321</f>
        <v>42947</v>
      </c>
      <c r="I324" s="83" t="str">
        <f t="shared" si="20"/>
        <v>2017Q3</v>
      </c>
      <c r="J324" s="272">
        <f>IFERROR(VLOOKUP((D324&amp;C324)&amp;"",'[2]Retail Price List'!$C$4:$F$102,3,FALSE),"")</f>
        <v>1700000</v>
      </c>
      <c r="K324" s="272">
        <f>IFERROR(IF(BA324="WIP - 30 Days",VLOOKUP(D324,[3]Standard!$B$9:$E$101,4,FALSE),IF(BA324="31-120 Days",VLOOKUP(D324,[3]Standard!$B$9:$F$101,5,FALSE),IF(BA324="121-365 Days",VLOOKUP(D324,[3]Standard!$B$9:$G$101,6,FALSE),VLOOKUP(D324,[3]Standard!$B$9:$H$101,7,FALSE)))),0)</f>
        <v>1313250</v>
      </c>
      <c r="L324" s="272">
        <f>IFERROR(IF(BA324="WIP - 30 Days",VLOOKUP(D324,[3]Standard!$B$9:$J$101,9,FALSE),IF(BA324="31-120 Days",VLOOKUP(D324,[3]Standard!$B$9:$K$100,10,FALSE),IF(BA324="121-365 Days",VLOOKUP(D324,[3]Standard!$B$9:$L$101,11,FALSE),VLOOKUP(D324,[3]Standard!$B$9:$M$101,12,FALSE)))),0)</f>
        <v>1275000</v>
      </c>
      <c r="M324" s="269">
        <f>IFERROR(VLOOKUP((D324&amp;C324)&amp;"",'[2]Retail Price List'!$C$4:$F$102,4,FALSE),"")</f>
        <v>1735000</v>
      </c>
      <c r="N324" s="269">
        <f>IFERROR(IF(BA324="WIP - 30 Days",VLOOKUP(D324,[3]Extended!$B$9:$E$101,4,FALSE),IF(BA324="31-120 Days",VLOOKUP(D324,[3]Extended!$B$9:$F$101,5,FALSE),IF(BA324="121-365 Days",VLOOKUP(D324,[3]Extended!$B$9:$G$101,6,FALSE),VLOOKUP(D324,[3]Extended!$B$9:$H$101,7,FALSE)))),0)</f>
        <v>1322417</v>
      </c>
      <c r="O324" s="269">
        <f>IFERROR(IF(BA324="WIP - 30 Days",VLOOKUP(D324,[3]Extended!$B$9:$J$101,9,FALSE),IF(BA324="31-120 Days",VLOOKUP(D324,[3]Extended!$B$9:$K$101,10,FALSE),IF(BA324="121-365 Days",VLOOKUP(D324,[3]Extended!$B$9:$L$101,11,FALSE),VLOOKUP(D324,[3]Extended!$B$9:$M$101,12,FALSE)))),0)</f>
        <v>1283900</v>
      </c>
      <c r="P324" s="116">
        <f t="shared" si="21"/>
        <v>0.26</v>
      </c>
      <c r="Q324" s="110" t="e">
        <f>O324-#REF!</f>
        <v>#REF!</v>
      </c>
      <c r="W324" s="311"/>
      <c r="X324" s="311"/>
      <c r="Y324" s="311"/>
      <c r="Z324" s="311"/>
      <c r="AA324" s="311"/>
      <c r="AB324" s="311"/>
      <c r="AC324" s="311"/>
      <c r="AT324" s="88" t="str">
        <f t="shared" si="22"/>
        <v>KP0006342017Q314,7</v>
      </c>
      <c r="AU324" s="89" t="str">
        <f t="shared" si="23"/>
        <v>07-2017</v>
      </c>
      <c r="BA324" s="92" t="str">
        <f t="shared" si="24"/>
        <v>WIP - 30 Days</v>
      </c>
    </row>
    <row r="325" spans="2:53">
      <c r="B325" s="60">
        <f>[2]Trucks!A322</f>
        <v>47817</v>
      </c>
      <c r="C325" s="11" t="str">
        <f>[2]Trucks!B322</f>
        <v>TGS-26-4406X4BLS-LX</v>
      </c>
      <c r="D325" s="19" t="str">
        <f>IFERROR(VLOOKUP(C325&amp;"",'[2]Retail Price List'!$A$3:$B$103,2,FALSE),"Special Order")</f>
        <v>KP000634</v>
      </c>
      <c r="E325" s="18" t="str">
        <f>[2]Trucks!J322</f>
        <v>CKD</v>
      </c>
      <c r="F325" s="12" t="str">
        <f>[2]Trucks!E322</f>
        <v>2018-02-20</v>
      </c>
      <c r="G325" s="56">
        <f>[2]Trucks!K322</f>
        <v>14.7</v>
      </c>
      <c r="H325" s="46">
        <f>[2]Trucks!I322</f>
        <v>42947</v>
      </c>
      <c r="I325" s="83" t="str">
        <f t="shared" ref="I325:I388" si="25">IFERROR(VLOOKUP(AU325,$AW$5:$AY$40,3,FALSE),"")</f>
        <v>2017Q3</v>
      </c>
      <c r="J325" s="272">
        <f>IFERROR(VLOOKUP((D325&amp;C325)&amp;"",'[2]Retail Price List'!$C$4:$F$102,3,FALSE),"")</f>
        <v>1700000</v>
      </c>
      <c r="K325" s="272">
        <f>IFERROR(IF(BA325="WIP - 30 Days",VLOOKUP(D325,[3]Standard!$B$9:$E$101,4,FALSE),IF(BA325="31-120 Days",VLOOKUP(D325,[3]Standard!$B$9:$F$101,5,FALSE),IF(BA325="121-365 Days",VLOOKUP(D325,[3]Standard!$B$9:$G$101,6,FALSE),VLOOKUP(D325,[3]Standard!$B$9:$H$101,7,FALSE)))),0)</f>
        <v>1313250</v>
      </c>
      <c r="L325" s="272">
        <f>IFERROR(IF(BA325="WIP - 30 Days",VLOOKUP(D325,[3]Standard!$B$9:$J$101,9,FALSE),IF(BA325="31-120 Days",VLOOKUP(D325,[3]Standard!$B$9:$K$100,10,FALSE),IF(BA325="121-365 Days",VLOOKUP(D325,[3]Standard!$B$9:$L$101,11,FALSE),VLOOKUP(D325,[3]Standard!$B$9:$M$101,12,FALSE)))),0)</f>
        <v>1275000</v>
      </c>
      <c r="M325" s="269">
        <f>IFERROR(VLOOKUP((D325&amp;C325)&amp;"",'[2]Retail Price List'!$C$4:$F$102,4,FALSE),"")</f>
        <v>1735000</v>
      </c>
      <c r="N325" s="269">
        <f>IFERROR(IF(BA325="WIP - 30 Days",VLOOKUP(D325,[3]Extended!$B$9:$E$101,4,FALSE),IF(BA325="31-120 Days",VLOOKUP(D325,[3]Extended!$B$9:$F$101,5,FALSE),IF(BA325="121-365 Days",VLOOKUP(D325,[3]Extended!$B$9:$G$101,6,FALSE),VLOOKUP(D325,[3]Extended!$B$9:$H$101,7,FALSE)))),0)</f>
        <v>1322417</v>
      </c>
      <c r="O325" s="269">
        <f>IFERROR(IF(BA325="WIP - 30 Days",VLOOKUP(D325,[3]Extended!$B$9:$J$101,9,FALSE),IF(BA325="31-120 Days",VLOOKUP(D325,[3]Extended!$B$9:$K$101,10,FALSE),IF(BA325="121-365 Days",VLOOKUP(D325,[3]Extended!$B$9:$L$101,11,FALSE),VLOOKUP(D325,[3]Extended!$B$9:$M$101,12,FALSE)))),0)</f>
        <v>1283900</v>
      </c>
      <c r="P325" s="116">
        <f t="shared" ref="P325:P388" si="26">(M325-O325)/M325</f>
        <v>0.26</v>
      </c>
      <c r="Q325" s="110" t="e">
        <f>O325-#REF!</f>
        <v>#REF!</v>
      </c>
      <c r="W325" s="311"/>
      <c r="X325" s="311"/>
      <c r="Y325" s="311"/>
      <c r="Z325" s="311"/>
      <c r="AA325" s="311"/>
      <c r="AB325" s="311"/>
      <c r="AC325" s="311"/>
      <c r="AT325" s="88" t="str">
        <f t="shared" ref="AT325:AT388" si="27">D325&amp;I325&amp;G325</f>
        <v>KP0006342017Q314,7</v>
      </c>
      <c r="AU325" s="89" t="str">
        <f t="shared" ref="AU325:AU388" si="28">IF(MONTH(H325)&lt;10,0&amp;MONTH(H325)&amp;"-"&amp;YEAR(H325),MONTH(H325)&amp;"-"&amp;YEAR(H325))</f>
        <v>07-2017</v>
      </c>
      <c r="BA325" s="92" t="str">
        <f t="shared" ref="BA325:BA388" si="29">IF(B325=0,"",IF(AND(F325&gt;=31,F325&lt;=120),"31-120 Days",IF(AND(F325&gt;=121,F325&lt;=365),"121-365 Days",IF(OR(E325="CKD",F325&lt;=30),"WIP - 30 Days","&gt;365 Days"))))</f>
        <v>WIP - 30 Days</v>
      </c>
    </row>
    <row r="326" spans="2:53">
      <c r="B326" s="60">
        <f>[2]Trucks!A323</f>
        <v>47818</v>
      </c>
      <c r="C326" s="11" t="str">
        <f>[2]Trucks!B323</f>
        <v>TGS-26-4406X4BLS-LX</v>
      </c>
      <c r="D326" s="19" t="str">
        <f>IFERROR(VLOOKUP(C326&amp;"",'[2]Retail Price List'!$A$3:$B$103,2,FALSE),"Special Order")</f>
        <v>KP000634</v>
      </c>
      <c r="E326" s="18" t="str">
        <f>[2]Trucks!J323</f>
        <v>CKD</v>
      </c>
      <c r="F326" s="12" t="str">
        <f>[2]Trucks!E323</f>
        <v>2018-02-20</v>
      </c>
      <c r="G326" s="56">
        <f>[2]Trucks!K323</f>
        <v>14.7</v>
      </c>
      <c r="H326" s="46">
        <f>[2]Trucks!I323</f>
        <v>42947</v>
      </c>
      <c r="I326" s="83" t="str">
        <f t="shared" si="25"/>
        <v>2017Q3</v>
      </c>
      <c r="J326" s="272">
        <f>IFERROR(VLOOKUP((D326&amp;C326)&amp;"",'[2]Retail Price List'!$C$4:$F$102,3,FALSE),"")</f>
        <v>1700000</v>
      </c>
      <c r="K326" s="272">
        <f>IFERROR(IF(BA326="WIP - 30 Days",VLOOKUP(D326,[3]Standard!$B$9:$E$101,4,FALSE),IF(BA326="31-120 Days",VLOOKUP(D326,[3]Standard!$B$9:$F$101,5,FALSE),IF(BA326="121-365 Days",VLOOKUP(D326,[3]Standard!$B$9:$G$101,6,FALSE),VLOOKUP(D326,[3]Standard!$B$9:$H$101,7,FALSE)))),0)</f>
        <v>1313250</v>
      </c>
      <c r="L326" s="272">
        <f>IFERROR(IF(BA326="WIP - 30 Days",VLOOKUP(D326,[3]Standard!$B$9:$J$101,9,FALSE),IF(BA326="31-120 Days",VLOOKUP(D326,[3]Standard!$B$9:$K$100,10,FALSE),IF(BA326="121-365 Days",VLOOKUP(D326,[3]Standard!$B$9:$L$101,11,FALSE),VLOOKUP(D326,[3]Standard!$B$9:$M$101,12,FALSE)))),0)</f>
        <v>1275000</v>
      </c>
      <c r="M326" s="269">
        <f>IFERROR(VLOOKUP((D326&amp;C326)&amp;"",'[2]Retail Price List'!$C$4:$F$102,4,FALSE),"")</f>
        <v>1735000</v>
      </c>
      <c r="N326" s="269">
        <f>IFERROR(IF(BA326="WIP - 30 Days",VLOOKUP(D326,[3]Extended!$B$9:$E$101,4,FALSE),IF(BA326="31-120 Days",VLOOKUP(D326,[3]Extended!$B$9:$F$101,5,FALSE),IF(BA326="121-365 Days",VLOOKUP(D326,[3]Extended!$B$9:$G$101,6,FALSE),VLOOKUP(D326,[3]Extended!$B$9:$H$101,7,FALSE)))),0)</f>
        <v>1322417</v>
      </c>
      <c r="O326" s="269">
        <f>IFERROR(IF(BA326="WIP - 30 Days",VLOOKUP(D326,[3]Extended!$B$9:$J$101,9,FALSE),IF(BA326="31-120 Days",VLOOKUP(D326,[3]Extended!$B$9:$K$101,10,FALSE),IF(BA326="121-365 Days",VLOOKUP(D326,[3]Extended!$B$9:$L$101,11,FALSE),VLOOKUP(D326,[3]Extended!$B$9:$M$101,12,FALSE)))),0)</f>
        <v>1283900</v>
      </c>
      <c r="P326" s="116">
        <f t="shared" si="26"/>
        <v>0.26</v>
      </c>
      <c r="Q326" s="110" t="e">
        <f>O326-#REF!</f>
        <v>#REF!</v>
      </c>
      <c r="W326" s="311"/>
      <c r="X326" s="311"/>
      <c r="Y326" s="311"/>
      <c r="Z326" s="311"/>
      <c r="AA326" s="311"/>
      <c r="AB326" s="311"/>
      <c r="AC326" s="311"/>
      <c r="AT326" s="88" t="str">
        <f t="shared" si="27"/>
        <v>KP0006342017Q314,7</v>
      </c>
      <c r="AU326" s="89" t="str">
        <f t="shared" si="28"/>
        <v>07-2017</v>
      </c>
      <c r="BA326" s="92" t="str">
        <f t="shared" si="29"/>
        <v>WIP - 30 Days</v>
      </c>
    </row>
    <row r="327" spans="2:53">
      <c r="B327" s="60">
        <f>[2]Trucks!A324</f>
        <v>47819</v>
      </c>
      <c r="C327" s="11" t="str">
        <f>[2]Trucks!B324</f>
        <v>TGS-26-4406X4BLS-LX</v>
      </c>
      <c r="D327" s="19" t="str">
        <f>IFERROR(VLOOKUP(C327&amp;"",'[2]Retail Price List'!$A$3:$B$103,2,FALSE),"Special Order")</f>
        <v>KP000634</v>
      </c>
      <c r="E327" s="18" t="str">
        <f>[2]Trucks!J324</f>
        <v>CKD</v>
      </c>
      <c r="F327" s="12" t="str">
        <f>[2]Trucks!E324</f>
        <v>2018-02-20</v>
      </c>
      <c r="G327" s="56">
        <f>[2]Trucks!K324</f>
        <v>14.7</v>
      </c>
      <c r="H327" s="46">
        <f>[2]Trucks!I324</f>
        <v>42947</v>
      </c>
      <c r="I327" s="83" t="str">
        <f t="shared" si="25"/>
        <v>2017Q3</v>
      </c>
      <c r="J327" s="272">
        <f>IFERROR(VLOOKUP((D327&amp;C327)&amp;"",'[2]Retail Price List'!$C$4:$F$102,3,FALSE),"")</f>
        <v>1700000</v>
      </c>
      <c r="K327" s="272">
        <f>IFERROR(IF(BA327="WIP - 30 Days",VLOOKUP(D327,[3]Standard!$B$9:$E$101,4,FALSE),IF(BA327="31-120 Days",VLOOKUP(D327,[3]Standard!$B$9:$F$101,5,FALSE),IF(BA327="121-365 Days",VLOOKUP(D327,[3]Standard!$B$9:$G$101,6,FALSE),VLOOKUP(D327,[3]Standard!$B$9:$H$101,7,FALSE)))),0)</f>
        <v>1313250</v>
      </c>
      <c r="L327" s="272">
        <f>IFERROR(IF(BA327="WIP - 30 Days",VLOOKUP(D327,[3]Standard!$B$9:$J$101,9,FALSE),IF(BA327="31-120 Days",VLOOKUP(D327,[3]Standard!$B$9:$K$100,10,FALSE),IF(BA327="121-365 Days",VLOOKUP(D327,[3]Standard!$B$9:$L$101,11,FALSE),VLOOKUP(D327,[3]Standard!$B$9:$M$101,12,FALSE)))),0)</f>
        <v>1275000</v>
      </c>
      <c r="M327" s="269">
        <f>IFERROR(VLOOKUP((D327&amp;C327)&amp;"",'[2]Retail Price List'!$C$4:$F$102,4,FALSE),"")</f>
        <v>1735000</v>
      </c>
      <c r="N327" s="269">
        <f>IFERROR(IF(BA327="WIP - 30 Days",VLOOKUP(D327,[3]Extended!$B$9:$E$101,4,FALSE),IF(BA327="31-120 Days",VLOOKUP(D327,[3]Extended!$B$9:$F$101,5,FALSE),IF(BA327="121-365 Days",VLOOKUP(D327,[3]Extended!$B$9:$G$101,6,FALSE),VLOOKUP(D327,[3]Extended!$B$9:$H$101,7,FALSE)))),0)</f>
        <v>1322417</v>
      </c>
      <c r="O327" s="269">
        <f>IFERROR(IF(BA327="WIP - 30 Days",VLOOKUP(D327,[3]Extended!$B$9:$J$101,9,FALSE),IF(BA327="31-120 Days",VLOOKUP(D327,[3]Extended!$B$9:$K$101,10,FALSE),IF(BA327="121-365 Days",VLOOKUP(D327,[3]Extended!$B$9:$L$101,11,FALSE),VLOOKUP(D327,[3]Extended!$B$9:$M$101,12,FALSE)))),0)</f>
        <v>1283900</v>
      </c>
      <c r="P327" s="116">
        <f t="shared" si="26"/>
        <v>0.26</v>
      </c>
      <c r="Q327" s="110" t="e">
        <f>O327-#REF!</f>
        <v>#REF!</v>
      </c>
      <c r="W327" s="311"/>
      <c r="X327" s="311"/>
      <c r="Y327" s="311"/>
      <c r="Z327" s="311"/>
      <c r="AA327" s="311"/>
      <c r="AB327" s="311"/>
      <c r="AC327" s="311"/>
      <c r="AT327" s="88" t="str">
        <f t="shared" si="27"/>
        <v>KP0006342017Q314,7</v>
      </c>
      <c r="AU327" s="89" t="str">
        <f t="shared" si="28"/>
        <v>07-2017</v>
      </c>
      <c r="BA327" s="92" t="str">
        <f t="shared" si="29"/>
        <v>WIP - 30 Days</v>
      </c>
    </row>
    <row r="328" spans="2:53">
      <c r="B328" s="60">
        <f>[2]Trucks!A325</f>
        <v>47820</v>
      </c>
      <c r="C328" s="11" t="str">
        <f>[2]Trucks!B325</f>
        <v>TGS-26-4406X4BLS-LX</v>
      </c>
      <c r="D328" s="19" t="str">
        <f>IFERROR(VLOOKUP(C328&amp;"",'[2]Retail Price List'!$A$3:$B$103,2,FALSE),"Special Order")</f>
        <v>KP000634</v>
      </c>
      <c r="E328" s="18" t="str">
        <f>[2]Trucks!J325</f>
        <v>CKD</v>
      </c>
      <c r="F328" s="12" t="str">
        <f>[2]Trucks!E325</f>
        <v>2018-02-20</v>
      </c>
      <c r="G328" s="56">
        <f>[2]Trucks!K325</f>
        <v>14.7</v>
      </c>
      <c r="H328" s="46">
        <f>[2]Trucks!I325</f>
        <v>42947</v>
      </c>
      <c r="I328" s="83" t="str">
        <f t="shared" si="25"/>
        <v>2017Q3</v>
      </c>
      <c r="J328" s="272">
        <f>IFERROR(VLOOKUP((D328&amp;C328)&amp;"",'[2]Retail Price List'!$C$4:$F$102,3,FALSE),"")</f>
        <v>1700000</v>
      </c>
      <c r="K328" s="272">
        <f>IFERROR(IF(BA328="WIP - 30 Days",VLOOKUP(D328,[3]Standard!$B$9:$E$101,4,FALSE),IF(BA328="31-120 Days",VLOOKUP(D328,[3]Standard!$B$9:$F$101,5,FALSE),IF(BA328="121-365 Days",VLOOKUP(D328,[3]Standard!$B$9:$G$101,6,FALSE),VLOOKUP(D328,[3]Standard!$B$9:$H$101,7,FALSE)))),0)</f>
        <v>1313250</v>
      </c>
      <c r="L328" s="272">
        <f>IFERROR(IF(BA328="WIP - 30 Days",VLOOKUP(D328,[3]Standard!$B$9:$J$101,9,FALSE),IF(BA328="31-120 Days",VLOOKUP(D328,[3]Standard!$B$9:$K$100,10,FALSE),IF(BA328="121-365 Days",VLOOKUP(D328,[3]Standard!$B$9:$L$101,11,FALSE),VLOOKUP(D328,[3]Standard!$B$9:$M$101,12,FALSE)))),0)</f>
        <v>1275000</v>
      </c>
      <c r="M328" s="269">
        <f>IFERROR(VLOOKUP((D328&amp;C328)&amp;"",'[2]Retail Price List'!$C$4:$F$102,4,FALSE),"")</f>
        <v>1735000</v>
      </c>
      <c r="N328" s="269">
        <f>IFERROR(IF(BA328="WIP - 30 Days",VLOOKUP(D328,[3]Extended!$B$9:$E$101,4,FALSE),IF(BA328="31-120 Days",VLOOKUP(D328,[3]Extended!$B$9:$F$101,5,FALSE),IF(BA328="121-365 Days",VLOOKUP(D328,[3]Extended!$B$9:$G$101,6,FALSE),VLOOKUP(D328,[3]Extended!$B$9:$H$101,7,FALSE)))),0)</f>
        <v>1322417</v>
      </c>
      <c r="O328" s="269">
        <f>IFERROR(IF(BA328="WIP - 30 Days",VLOOKUP(D328,[3]Extended!$B$9:$J$101,9,FALSE),IF(BA328="31-120 Days",VLOOKUP(D328,[3]Extended!$B$9:$K$101,10,FALSE),IF(BA328="121-365 Days",VLOOKUP(D328,[3]Extended!$B$9:$L$101,11,FALSE),VLOOKUP(D328,[3]Extended!$B$9:$M$101,12,FALSE)))),0)</f>
        <v>1283900</v>
      </c>
      <c r="P328" s="116">
        <f t="shared" si="26"/>
        <v>0.26</v>
      </c>
      <c r="Q328" s="110" t="e">
        <f>O328-#REF!</f>
        <v>#REF!</v>
      </c>
      <c r="W328" s="311"/>
      <c r="X328" s="311"/>
      <c r="Y328" s="311"/>
      <c r="Z328" s="311"/>
      <c r="AA328" s="311"/>
      <c r="AB328" s="311"/>
      <c r="AC328" s="311"/>
      <c r="AT328" s="88" t="str">
        <f t="shared" si="27"/>
        <v>KP0006342017Q314,7</v>
      </c>
      <c r="AU328" s="89" t="str">
        <f t="shared" si="28"/>
        <v>07-2017</v>
      </c>
      <c r="BA328" s="92" t="str">
        <f t="shared" si="29"/>
        <v>WIP - 30 Days</v>
      </c>
    </row>
    <row r="329" spans="2:53">
      <c r="B329" s="60">
        <f>[2]Trucks!A326</f>
        <v>47821</v>
      </c>
      <c r="C329" s="11" t="str">
        <f>[2]Trucks!B326</f>
        <v>TGS-26-4406X4BLS-LX</v>
      </c>
      <c r="D329" s="19" t="str">
        <f>IFERROR(VLOOKUP(C329&amp;"",'[2]Retail Price List'!$A$3:$B$103,2,FALSE),"Special Order")</f>
        <v>KP000634</v>
      </c>
      <c r="E329" s="18" t="str">
        <f>[2]Trucks!J326</f>
        <v>CKD</v>
      </c>
      <c r="F329" s="12" t="str">
        <f>[2]Trucks!E326</f>
        <v>2018-02-20</v>
      </c>
      <c r="G329" s="56">
        <f>[2]Trucks!K326</f>
        <v>14.7</v>
      </c>
      <c r="H329" s="46">
        <f>[2]Trucks!I326</f>
        <v>42947</v>
      </c>
      <c r="I329" s="83" t="str">
        <f t="shared" si="25"/>
        <v>2017Q3</v>
      </c>
      <c r="J329" s="272">
        <f>IFERROR(VLOOKUP((D329&amp;C329)&amp;"",'[2]Retail Price List'!$C$4:$F$102,3,FALSE),"")</f>
        <v>1700000</v>
      </c>
      <c r="K329" s="272">
        <f>IFERROR(IF(BA329="WIP - 30 Days",VLOOKUP(D329,[3]Standard!$B$9:$E$101,4,FALSE),IF(BA329="31-120 Days",VLOOKUP(D329,[3]Standard!$B$9:$F$101,5,FALSE),IF(BA329="121-365 Days",VLOOKUP(D329,[3]Standard!$B$9:$G$101,6,FALSE),VLOOKUP(D329,[3]Standard!$B$9:$H$101,7,FALSE)))),0)</f>
        <v>1313250</v>
      </c>
      <c r="L329" s="272">
        <f>IFERROR(IF(BA329="WIP - 30 Days",VLOOKUP(D329,[3]Standard!$B$9:$J$101,9,FALSE),IF(BA329="31-120 Days",VLOOKUP(D329,[3]Standard!$B$9:$K$100,10,FALSE),IF(BA329="121-365 Days",VLOOKUP(D329,[3]Standard!$B$9:$L$101,11,FALSE),VLOOKUP(D329,[3]Standard!$B$9:$M$101,12,FALSE)))),0)</f>
        <v>1275000</v>
      </c>
      <c r="M329" s="269">
        <f>IFERROR(VLOOKUP((D329&amp;C329)&amp;"",'[2]Retail Price List'!$C$4:$F$102,4,FALSE),"")</f>
        <v>1735000</v>
      </c>
      <c r="N329" s="269">
        <f>IFERROR(IF(BA329="WIP - 30 Days",VLOOKUP(D329,[3]Extended!$B$9:$E$101,4,FALSE),IF(BA329="31-120 Days",VLOOKUP(D329,[3]Extended!$B$9:$F$101,5,FALSE),IF(BA329="121-365 Days",VLOOKUP(D329,[3]Extended!$B$9:$G$101,6,FALSE),VLOOKUP(D329,[3]Extended!$B$9:$H$101,7,FALSE)))),0)</f>
        <v>1322417</v>
      </c>
      <c r="O329" s="269">
        <f>IFERROR(IF(BA329="WIP - 30 Days",VLOOKUP(D329,[3]Extended!$B$9:$J$101,9,FALSE),IF(BA329="31-120 Days",VLOOKUP(D329,[3]Extended!$B$9:$K$101,10,FALSE),IF(BA329="121-365 Days",VLOOKUP(D329,[3]Extended!$B$9:$L$101,11,FALSE),VLOOKUP(D329,[3]Extended!$B$9:$M$101,12,FALSE)))),0)</f>
        <v>1283900</v>
      </c>
      <c r="P329" s="116">
        <f t="shared" si="26"/>
        <v>0.26</v>
      </c>
      <c r="Q329" s="110" t="e">
        <f>O329-#REF!</f>
        <v>#REF!</v>
      </c>
      <c r="W329" s="311"/>
      <c r="X329" s="311"/>
      <c r="Y329" s="311"/>
      <c r="Z329" s="311"/>
      <c r="AA329" s="311"/>
      <c r="AB329" s="311"/>
      <c r="AC329" s="311"/>
      <c r="AT329" s="88" t="str">
        <f t="shared" si="27"/>
        <v>KP0006342017Q314,7</v>
      </c>
      <c r="AU329" s="89" t="str">
        <f t="shared" si="28"/>
        <v>07-2017</v>
      </c>
      <c r="BA329" s="92" t="str">
        <f t="shared" si="29"/>
        <v>WIP - 30 Days</v>
      </c>
    </row>
    <row r="330" spans="2:53">
      <c r="B330" s="60">
        <f>[2]Trucks!A327</f>
        <v>47822</v>
      </c>
      <c r="C330" s="11" t="str">
        <f>[2]Trucks!B327</f>
        <v>TGS-26-4406X4BLS-LX</v>
      </c>
      <c r="D330" s="19" t="str">
        <f>IFERROR(VLOOKUP(C330&amp;"",'[2]Retail Price List'!$A$3:$B$103,2,FALSE),"Special Order")</f>
        <v>KP000634</v>
      </c>
      <c r="E330" s="18" t="str">
        <f>[2]Trucks!J327</f>
        <v>CKD</v>
      </c>
      <c r="F330" s="12" t="str">
        <f>[2]Trucks!E327</f>
        <v>2018-02-20</v>
      </c>
      <c r="G330" s="56">
        <f>[2]Trucks!K327</f>
        <v>14.7</v>
      </c>
      <c r="H330" s="46">
        <f>[2]Trucks!I327</f>
        <v>42947</v>
      </c>
      <c r="I330" s="83" t="str">
        <f t="shared" si="25"/>
        <v>2017Q3</v>
      </c>
      <c r="J330" s="272">
        <f>IFERROR(VLOOKUP((D330&amp;C330)&amp;"",'[2]Retail Price List'!$C$4:$F$102,3,FALSE),"")</f>
        <v>1700000</v>
      </c>
      <c r="K330" s="272">
        <f>IFERROR(IF(BA330="WIP - 30 Days",VLOOKUP(D330,[3]Standard!$B$9:$E$101,4,FALSE),IF(BA330="31-120 Days",VLOOKUP(D330,[3]Standard!$B$9:$F$101,5,FALSE),IF(BA330="121-365 Days",VLOOKUP(D330,[3]Standard!$B$9:$G$101,6,FALSE),VLOOKUP(D330,[3]Standard!$B$9:$H$101,7,FALSE)))),0)</f>
        <v>1313250</v>
      </c>
      <c r="L330" s="272">
        <f>IFERROR(IF(BA330="WIP - 30 Days",VLOOKUP(D330,[3]Standard!$B$9:$J$101,9,FALSE),IF(BA330="31-120 Days",VLOOKUP(D330,[3]Standard!$B$9:$K$100,10,FALSE),IF(BA330="121-365 Days",VLOOKUP(D330,[3]Standard!$B$9:$L$101,11,FALSE),VLOOKUP(D330,[3]Standard!$B$9:$M$101,12,FALSE)))),0)</f>
        <v>1275000</v>
      </c>
      <c r="M330" s="269">
        <f>IFERROR(VLOOKUP((D330&amp;C330)&amp;"",'[2]Retail Price List'!$C$4:$F$102,4,FALSE),"")</f>
        <v>1735000</v>
      </c>
      <c r="N330" s="269">
        <f>IFERROR(IF(BA330="WIP - 30 Days",VLOOKUP(D330,[3]Extended!$B$9:$E$101,4,FALSE),IF(BA330="31-120 Days",VLOOKUP(D330,[3]Extended!$B$9:$F$101,5,FALSE),IF(BA330="121-365 Days",VLOOKUP(D330,[3]Extended!$B$9:$G$101,6,FALSE),VLOOKUP(D330,[3]Extended!$B$9:$H$101,7,FALSE)))),0)</f>
        <v>1322417</v>
      </c>
      <c r="O330" s="269">
        <f>IFERROR(IF(BA330="WIP - 30 Days",VLOOKUP(D330,[3]Extended!$B$9:$J$101,9,FALSE),IF(BA330="31-120 Days",VLOOKUP(D330,[3]Extended!$B$9:$K$101,10,FALSE),IF(BA330="121-365 Days",VLOOKUP(D330,[3]Extended!$B$9:$L$101,11,FALSE),VLOOKUP(D330,[3]Extended!$B$9:$M$101,12,FALSE)))),0)</f>
        <v>1283900</v>
      </c>
      <c r="P330" s="116">
        <f t="shared" si="26"/>
        <v>0.26</v>
      </c>
      <c r="Q330" s="110" t="e">
        <f>O330-#REF!</f>
        <v>#REF!</v>
      </c>
      <c r="W330" s="311"/>
      <c r="X330" s="311"/>
      <c r="Y330" s="311"/>
      <c r="Z330" s="311"/>
      <c r="AA330" s="311"/>
      <c r="AB330" s="311"/>
      <c r="AC330" s="311"/>
      <c r="AT330" s="88" t="str">
        <f t="shared" si="27"/>
        <v>KP0006342017Q314,7</v>
      </c>
      <c r="AU330" s="89" t="str">
        <f t="shared" si="28"/>
        <v>07-2017</v>
      </c>
      <c r="BA330" s="92" t="str">
        <f t="shared" si="29"/>
        <v>WIP - 30 Days</v>
      </c>
    </row>
    <row r="331" spans="2:53">
      <c r="B331" s="60">
        <f>[2]Trucks!A328</f>
        <v>47823</v>
      </c>
      <c r="C331" s="11" t="str">
        <f>[2]Trucks!B328</f>
        <v>TGS-26-4406X4BLS-LX</v>
      </c>
      <c r="D331" s="19" t="str">
        <f>IFERROR(VLOOKUP(C331&amp;"",'[2]Retail Price List'!$A$3:$B$103,2,FALSE),"Special Order")</f>
        <v>KP000634</v>
      </c>
      <c r="E331" s="18" t="str">
        <f>[2]Trucks!J328</f>
        <v>CKD</v>
      </c>
      <c r="F331" s="12" t="str">
        <f>[2]Trucks!E328</f>
        <v>2018-02-20</v>
      </c>
      <c r="G331" s="56">
        <f>[2]Trucks!K328</f>
        <v>14.7</v>
      </c>
      <c r="H331" s="46">
        <f>[2]Trucks!I328</f>
        <v>42947</v>
      </c>
      <c r="I331" s="83" t="str">
        <f t="shared" si="25"/>
        <v>2017Q3</v>
      </c>
      <c r="J331" s="272">
        <f>IFERROR(VLOOKUP((D331&amp;C331)&amp;"",'[2]Retail Price List'!$C$4:$F$102,3,FALSE),"")</f>
        <v>1700000</v>
      </c>
      <c r="K331" s="272">
        <f>IFERROR(IF(BA331="WIP - 30 Days",VLOOKUP(D331,[3]Standard!$B$9:$E$101,4,FALSE),IF(BA331="31-120 Days",VLOOKUP(D331,[3]Standard!$B$9:$F$101,5,FALSE),IF(BA331="121-365 Days",VLOOKUP(D331,[3]Standard!$B$9:$G$101,6,FALSE),VLOOKUP(D331,[3]Standard!$B$9:$H$101,7,FALSE)))),0)</f>
        <v>1313250</v>
      </c>
      <c r="L331" s="272">
        <f>IFERROR(IF(BA331="WIP - 30 Days",VLOOKUP(D331,[3]Standard!$B$9:$J$101,9,FALSE),IF(BA331="31-120 Days",VLOOKUP(D331,[3]Standard!$B$9:$K$100,10,FALSE),IF(BA331="121-365 Days",VLOOKUP(D331,[3]Standard!$B$9:$L$101,11,FALSE),VLOOKUP(D331,[3]Standard!$B$9:$M$101,12,FALSE)))),0)</f>
        <v>1275000</v>
      </c>
      <c r="M331" s="269">
        <f>IFERROR(VLOOKUP((D331&amp;C331)&amp;"",'[2]Retail Price List'!$C$4:$F$102,4,FALSE),"")</f>
        <v>1735000</v>
      </c>
      <c r="N331" s="269">
        <f>IFERROR(IF(BA331="WIP - 30 Days",VLOOKUP(D331,[3]Extended!$B$9:$E$101,4,FALSE),IF(BA331="31-120 Days",VLOOKUP(D331,[3]Extended!$B$9:$F$101,5,FALSE),IF(BA331="121-365 Days",VLOOKUP(D331,[3]Extended!$B$9:$G$101,6,FALSE),VLOOKUP(D331,[3]Extended!$B$9:$H$101,7,FALSE)))),0)</f>
        <v>1322417</v>
      </c>
      <c r="O331" s="269">
        <f>IFERROR(IF(BA331="WIP - 30 Days",VLOOKUP(D331,[3]Extended!$B$9:$J$101,9,FALSE),IF(BA331="31-120 Days",VLOOKUP(D331,[3]Extended!$B$9:$K$101,10,FALSE),IF(BA331="121-365 Days",VLOOKUP(D331,[3]Extended!$B$9:$L$101,11,FALSE),VLOOKUP(D331,[3]Extended!$B$9:$M$101,12,FALSE)))),0)</f>
        <v>1283900</v>
      </c>
      <c r="P331" s="116">
        <f t="shared" si="26"/>
        <v>0.26</v>
      </c>
      <c r="Q331" s="110" t="e">
        <f>O331-#REF!</f>
        <v>#REF!</v>
      </c>
      <c r="W331" s="311"/>
      <c r="X331" s="311"/>
      <c r="Y331" s="311"/>
      <c r="Z331" s="311"/>
      <c r="AA331" s="311"/>
      <c r="AB331" s="311"/>
      <c r="AC331" s="311"/>
      <c r="AT331" s="88" t="str">
        <f t="shared" si="27"/>
        <v>KP0006342017Q314,7</v>
      </c>
      <c r="AU331" s="89" t="str">
        <f t="shared" si="28"/>
        <v>07-2017</v>
      </c>
      <c r="BA331" s="92" t="str">
        <f t="shared" si="29"/>
        <v>WIP - 30 Days</v>
      </c>
    </row>
    <row r="332" spans="2:53">
      <c r="B332" s="60">
        <f>[2]Trucks!A329</f>
        <v>47824</v>
      </c>
      <c r="C332" s="11" t="str">
        <f>[2]Trucks!B329</f>
        <v>TGS-26-4406X4BLS-LX</v>
      </c>
      <c r="D332" s="19" t="str">
        <f>IFERROR(VLOOKUP(C332&amp;"",'[2]Retail Price List'!$A$3:$B$103,2,FALSE),"Special Order")</f>
        <v>KP000634</v>
      </c>
      <c r="E332" s="18" t="str">
        <f>[2]Trucks!J329</f>
        <v>CKD</v>
      </c>
      <c r="F332" s="12" t="str">
        <f>[2]Trucks!E329</f>
        <v>2018-02-20</v>
      </c>
      <c r="G332" s="56">
        <f>[2]Trucks!K329</f>
        <v>14.7</v>
      </c>
      <c r="H332" s="46">
        <f>[2]Trucks!I329</f>
        <v>42947</v>
      </c>
      <c r="I332" s="83" t="str">
        <f t="shared" si="25"/>
        <v>2017Q3</v>
      </c>
      <c r="J332" s="272">
        <f>IFERROR(VLOOKUP((D332&amp;C332)&amp;"",'[2]Retail Price List'!$C$4:$F$102,3,FALSE),"")</f>
        <v>1700000</v>
      </c>
      <c r="K332" s="272">
        <f>IFERROR(IF(BA332="WIP - 30 Days",VLOOKUP(D332,[3]Standard!$B$9:$E$101,4,FALSE),IF(BA332="31-120 Days",VLOOKUP(D332,[3]Standard!$B$9:$F$101,5,FALSE),IF(BA332="121-365 Days",VLOOKUP(D332,[3]Standard!$B$9:$G$101,6,FALSE),VLOOKUP(D332,[3]Standard!$B$9:$H$101,7,FALSE)))),0)</f>
        <v>1313250</v>
      </c>
      <c r="L332" s="272">
        <f>IFERROR(IF(BA332="WIP - 30 Days",VLOOKUP(D332,[3]Standard!$B$9:$J$101,9,FALSE),IF(BA332="31-120 Days",VLOOKUP(D332,[3]Standard!$B$9:$K$100,10,FALSE),IF(BA332="121-365 Days",VLOOKUP(D332,[3]Standard!$B$9:$L$101,11,FALSE),VLOOKUP(D332,[3]Standard!$B$9:$M$101,12,FALSE)))),0)</f>
        <v>1275000</v>
      </c>
      <c r="M332" s="269">
        <f>IFERROR(VLOOKUP((D332&amp;C332)&amp;"",'[2]Retail Price List'!$C$4:$F$102,4,FALSE),"")</f>
        <v>1735000</v>
      </c>
      <c r="N332" s="269">
        <f>IFERROR(IF(BA332="WIP - 30 Days",VLOOKUP(D332,[3]Extended!$B$9:$E$101,4,FALSE),IF(BA332="31-120 Days",VLOOKUP(D332,[3]Extended!$B$9:$F$101,5,FALSE),IF(BA332="121-365 Days",VLOOKUP(D332,[3]Extended!$B$9:$G$101,6,FALSE),VLOOKUP(D332,[3]Extended!$B$9:$H$101,7,FALSE)))),0)</f>
        <v>1322417</v>
      </c>
      <c r="O332" s="269">
        <f>IFERROR(IF(BA332="WIP - 30 Days",VLOOKUP(D332,[3]Extended!$B$9:$J$101,9,FALSE),IF(BA332="31-120 Days",VLOOKUP(D332,[3]Extended!$B$9:$K$101,10,FALSE),IF(BA332="121-365 Days",VLOOKUP(D332,[3]Extended!$B$9:$L$101,11,FALSE),VLOOKUP(D332,[3]Extended!$B$9:$M$101,12,FALSE)))),0)</f>
        <v>1283900</v>
      </c>
      <c r="P332" s="116">
        <f t="shared" si="26"/>
        <v>0.26</v>
      </c>
      <c r="Q332" s="110" t="e">
        <f>O332-#REF!</f>
        <v>#REF!</v>
      </c>
      <c r="W332" s="311"/>
      <c r="X332" s="311"/>
      <c r="Y332" s="311"/>
      <c r="Z332" s="311"/>
      <c r="AA332" s="311"/>
      <c r="AB332" s="311"/>
      <c r="AC332" s="311"/>
      <c r="AT332" s="88" t="str">
        <f t="shared" si="27"/>
        <v>KP0006342017Q314,7</v>
      </c>
      <c r="AU332" s="89" t="str">
        <f t="shared" si="28"/>
        <v>07-2017</v>
      </c>
      <c r="BA332" s="92" t="str">
        <f t="shared" si="29"/>
        <v>WIP - 30 Days</v>
      </c>
    </row>
    <row r="333" spans="2:53">
      <c r="B333" s="60">
        <f>[2]Trucks!A330</f>
        <v>47825</v>
      </c>
      <c r="C333" s="11" t="str">
        <f>[2]Trucks!B330</f>
        <v>TGS-26-4406X4BLS-LX</v>
      </c>
      <c r="D333" s="19" t="str">
        <f>IFERROR(VLOOKUP(C333&amp;"",'[2]Retail Price List'!$A$3:$B$103,2,FALSE),"Special Order")</f>
        <v>KP000634</v>
      </c>
      <c r="E333" s="18" t="str">
        <f>[2]Trucks!J330</f>
        <v>CKD</v>
      </c>
      <c r="F333" s="12" t="str">
        <f>[2]Trucks!E330</f>
        <v>2018-02-20</v>
      </c>
      <c r="G333" s="56">
        <f>[2]Trucks!K330</f>
        <v>14.7</v>
      </c>
      <c r="H333" s="46">
        <f>[2]Trucks!I330</f>
        <v>42947</v>
      </c>
      <c r="I333" s="83" t="str">
        <f t="shared" si="25"/>
        <v>2017Q3</v>
      </c>
      <c r="J333" s="272">
        <f>IFERROR(VLOOKUP((D333&amp;C333)&amp;"",'[2]Retail Price List'!$C$4:$F$102,3,FALSE),"")</f>
        <v>1700000</v>
      </c>
      <c r="K333" s="272">
        <f>IFERROR(IF(BA333="WIP - 30 Days",VLOOKUP(D333,[3]Standard!$B$9:$E$101,4,FALSE),IF(BA333="31-120 Days",VLOOKUP(D333,[3]Standard!$B$9:$F$101,5,FALSE),IF(BA333="121-365 Days",VLOOKUP(D333,[3]Standard!$B$9:$G$101,6,FALSE),VLOOKUP(D333,[3]Standard!$B$9:$H$101,7,FALSE)))),0)</f>
        <v>1313250</v>
      </c>
      <c r="L333" s="272">
        <f>IFERROR(IF(BA333="WIP - 30 Days",VLOOKUP(D333,[3]Standard!$B$9:$J$101,9,FALSE),IF(BA333="31-120 Days",VLOOKUP(D333,[3]Standard!$B$9:$K$100,10,FALSE),IF(BA333="121-365 Days",VLOOKUP(D333,[3]Standard!$B$9:$L$101,11,FALSE),VLOOKUP(D333,[3]Standard!$B$9:$M$101,12,FALSE)))),0)</f>
        <v>1275000</v>
      </c>
      <c r="M333" s="269">
        <f>IFERROR(VLOOKUP((D333&amp;C333)&amp;"",'[2]Retail Price List'!$C$4:$F$102,4,FALSE),"")</f>
        <v>1735000</v>
      </c>
      <c r="N333" s="269">
        <f>IFERROR(IF(BA333="WIP - 30 Days",VLOOKUP(D333,[3]Extended!$B$9:$E$101,4,FALSE),IF(BA333="31-120 Days",VLOOKUP(D333,[3]Extended!$B$9:$F$101,5,FALSE),IF(BA333="121-365 Days",VLOOKUP(D333,[3]Extended!$B$9:$G$101,6,FALSE),VLOOKUP(D333,[3]Extended!$B$9:$H$101,7,FALSE)))),0)</f>
        <v>1322417</v>
      </c>
      <c r="O333" s="269">
        <f>IFERROR(IF(BA333="WIP - 30 Days",VLOOKUP(D333,[3]Extended!$B$9:$J$101,9,FALSE),IF(BA333="31-120 Days",VLOOKUP(D333,[3]Extended!$B$9:$K$101,10,FALSE),IF(BA333="121-365 Days",VLOOKUP(D333,[3]Extended!$B$9:$L$101,11,FALSE),VLOOKUP(D333,[3]Extended!$B$9:$M$101,12,FALSE)))),0)</f>
        <v>1283900</v>
      </c>
      <c r="P333" s="116">
        <f t="shared" si="26"/>
        <v>0.26</v>
      </c>
      <c r="Q333" s="110" t="e">
        <f>O333-#REF!</f>
        <v>#REF!</v>
      </c>
      <c r="W333" s="311"/>
      <c r="X333" s="311"/>
      <c r="Y333" s="311"/>
      <c r="Z333" s="311"/>
      <c r="AA333" s="311"/>
      <c r="AB333" s="311"/>
      <c r="AC333" s="311"/>
      <c r="AT333" s="88" t="str">
        <f t="shared" si="27"/>
        <v>KP0006342017Q314,7</v>
      </c>
      <c r="AU333" s="89" t="str">
        <f t="shared" si="28"/>
        <v>07-2017</v>
      </c>
      <c r="BA333" s="92" t="str">
        <f t="shared" si="29"/>
        <v>WIP - 30 Days</v>
      </c>
    </row>
    <row r="334" spans="2:53">
      <c r="B334" s="60">
        <f>[2]Trucks!A331</f>
        <v>47826</v>
      </c>
      <c r="C334" s="11" t="str">
        <f>[2]Trucks!B331</f>
        <v>TGS-26-4406X4BLS-LX</v>
      </c>
      <c r="D334" s="19" t="str">
        <f>IFERROR(VLOOKUP(C334&amp;"",'[2]Retail Price List'!$A$3:$B$103,2,FALSE),"Special Order")</f>
        <v>KP000634</v>
      </c>
      <c r="E334" s="18" t="str">
        <f>[2]Trucks!J331</f>
        <v>CKD</v>
      </c>
      <c r="F334" s="12" t="str">
        <f>[2]Trucks!E331</f>
        <v>2018-02-20</v>
      </c>
      <c r="G334" s="56">
        <f>[2]Trucks!K331</f>
        <v>14.7</v>
      </c>
      <c r="H334" s="46">
        <f>[2]Trucks!I331</f>
        <v>42947</v>
      </c>
      <c r="I334" s="83" t="str">
        <f t="shared" si="25"/>
        <v>2017Q3</v>
      </c>
      <c r="J334" s="272">
        <f>IFERROR(VLOOKUP((D334&amp;C334)&amp;"",'[2]Retail Price List'!$C$4:$F$102,3,FALSE),"")</f>
        <v>1700000</v>
      </c>
      <c r="K334" s="272">
        <f>IFERROR(IF(BA334="WIP - 30 Days",VLOOKUP(D334,[3]Standard!$B$9:$E$101,4,FALSE),IF(BA334="31-120 Days",VLOOKUP(D334,[3]Standard!$B$9:$F$101,5,FALSE),IF(BA334="121-365 Days",VLOOKUP(D334,[3]Standard!$B$9:$G$101,6,FALSE),VLOOKUP(D334,[3]Standard!$B$9:$H$101,7,FALSE)))),0)</f>
        <v>1313250</v>
      </c>
      <c r="L334" s="272">
        <f>IFERROR(IF(BA334="WIP - 30 Days",VLOOKUP(D334,[3]Standard!$B$9:$J$101,9,FALSE),IF(BA334="31-120 Days",VLOOKUP(D334,[3]Standard!$B$9:$K$100,10,FALSE),IF(BA334="121-365 Days",VLOOKUP(D334,[3]Standard!$B$9:$L$101,11,FALSE),VLOOKUP(D334,[3]Standard!$B$9:$M$101,12,FALSE)))),0)</f>
        <v>1275000</v>
      </c>
      <c r="M334" s="269">
        <f>IFERROR(VLOOKUP((D334&amp;C334)&amp;"",'[2]Retail Price List'!$C$4:$F$102,4,FALSE),"")</f>
        <v>1735000</v>
      </c>
      <c r="N334" s="269">
        <f>IFERROR(IF(BA334="WIP - 30 Days",VLOOKUP(D334,[3]Extended!$B$9:$E$101,4,FALSE),IF(BA334="31-120 Days",VLOOKUP(D334,[3]Extended!$B$9:$F$101,5,FALSE),IF(BA334="121-365 Days",VLOOKUP(D334,[3]Extended!$B$9:$G$101,6,FALSE),VLOOKUP(D334,[3]Extended!$B$9:$H$101,7,FALSE)))),0)</f>
        <v>1322417</v>
      </c>
      <c r="O334" s="269">
        <f>IFERROR(IF(BA334="WIP - 30 Days",VLOOKUP(D334,[3]Extended!$B$9:$J$101,9,FALSE),IF(BA334="31-120 Days",VLOOKUP(D334,[3]Extended!$B$9:$K$101,10,FALSE),IF(BA334="121-365 Days",VLOOKUP(D334,[3]Extended!$B$9:$L$101,11,FALSE),VLOOKUP(D334,[3]Extended!$B$9:$M$101,12,FALSE)))),0)</f>
        <v>1283900</v>
      </c>
      <c r="P334" s="116">
        <f t="shared" si="26"/>
        <v>0.26</v>
      </c>
      <c r="Q334" s="110" t="e">
        <f>O334-#REF!</f>
        <v>#REF!</v>
      </c>
      <c r="W334" s="311"/>
      <c r="X334" s="311"/>
      <c r="Y334" s="311"/>
      <c r="Z334" s="311"/>
      <c r="AA334" s="311"/>
      <c r="AB334" s="311"/>
      <c r="AC334" s="311"/>
      <c r="AT334" s="88" t="str">
        <f t="shared" si="27"/>
        <v>KP0006342017Q314,7</v>
      </c>
      <c r="AU334" s="89" t="str">
        <f t="shared" si="28"/>
        <v>07-2017</v>
      </c>
      <c r="BA334" s="92" t="str">
        <f t="shared" si="29"/>
        <v>WIP - 30 Days</v>
      </c>
    </row>
    <row r="335" spans="2:53">
      <c r="B335" s="60">
        <f>[2]Trucks!A332</f>
        <v>47827</v>
      </c>
      <c r="C335" s="11" t="str">
        <f>[2]Trucks!B332</f>
        <v>TGS-26-4406X4BLS-LX</v>
      </c>
      <c r="D335" s="19" t="str">
        <f>IFERROR(VLOOKUP(C335&amp;"",'[2]Retail Price List'!$A$3:$B$103,2,FALSE),"Special Order")</f>
        <v>KP000634</v>
      </c>
      <c r="E335" s="18" t="str">
        <f>[2]Trucks!J332</f>
        <v>CKD</v>
      </c>
      <c r="F335" s="12" t="str">
        <f>[2]Trucks!E332</f>
        <v>2018-02-25</v>
      </c>
      <c r="G335" s="56">
        <f>[2]Trucks!K332</f>
        <v>14.7</v>
      </c>
      <c r="H335" s="46">
        <f>[2]Trucks!I332</f>
        <v>42947</v>
      </c>
      <c r="I335" s="83" t="str">
        <f t="shared" si="25"/>
        <v>2017Q3</v>
      </c>
      <c r="J335" s="272">
        <f>IFERROR(VLOOKUP((D335&amp;C335)&amp;"",'[2]Retail Price List'!$C$4:$F$102,3,FALSE),"")</f>
        <v>1700000</v>
      </c>
      <c r="K335" s="272">
        <f>IFERROR(IF(BA335="WIP - 30 Days",VLOOKUP(D335,[3]Standard!$B$9:$E$101,4,FALSE),IF(BA335="31-120 Days",VLOOKUP(D335,[3]Standard!$B$9:$F$101,5,FALSE),IF(BA335="121-365 Days",VLOOKUP(D335,[3]Standard!$B$9:$G$101,6,FALSE),VLOOKUP(D335,[3]Standard!$B$9:$H$101,7,FALSE)))),0)</f>
        <v>1313250</v>
      </c>
      <c r="L335" s="272">
        <f>IFERROR(IF(BA335="WIP - 30 Days",VLOOKUP(D335,[3]Standard!$B$9:$J$101,9,FALSE),IF(BA335="31-120 Days",VLOOKUP(D335,[3]Standard!$B$9:$K$100,10,FALSE),IF(BA335="121-365 Days",VLOOKUP(D335,[3]Standard!$B$9:$L$101,11,FALSE),VLOOKUP(D335,[3]Standard!$B$9:$M$101,12,FALSE)))),0)</f>
        <v>1275000</v>
      </c>
      <c r="M335" s="269">
        <f>IFERROR(VLOOKUP((D335&amp;C335)&amp;"",'[2]Retail Price List'!$C$4:$F$102,4,FALSE),"")</f>
        <v>1735000</v>
      </c>
      <c r="N335" s="269">
        <f>IFERROR(IF(BA335="WIP - 30 Days",VLOOKUP(D335,[3]Extended!$B$9:$E$101,4,FALSE),IF(BA335="31-120 Days",VLOOKUP(D335,[3]Extended!$B$9:$F$101,5,FALSE),IF(BA335="121-365 Days",VLOOKUP(D335,[3]Extended!$B$9:$G$101,6,FALSE),VLOOKUP(D335,[3]Extended!$B$9:$H$101,7,FALSE)))),0)</f>
        <v>1322417</v>
      </c>
      <c r="O335" s="269">
        <f>IFERROR(IF(BA335="WIP - 30 Days",VLOOKUP(D335,[3]Extended!$B$9:$J$101,9,FALSE),IF(BA335="31-120 Days",VLOOKUP(D335,[3]Extended!$B$9:$K$101,10,FALSE),IF(BA335="121-365 Days",VLOOKUP(D335,[3]Extended!$B$9:$L$101,11,FALSE),VLOOKUP(D335,[3]Extended!$B$9:$M$101,12,FALSE)))),0)</f>
        <v>1283900</v>
      </c>
      <c r="P335" s="116">
        <f t="shared" si="26"/>
        <v>0.26</v>
      </c>
      <c r="Q335" s="110" t="e">
        <f>O335-#REF!</f>
        <v>#REF!</v>
      </c>
      <c r="W335" s="311"/>
      <c r="X335" s="311"/>
      <c r="Y335" s="311"/>
      <c r="Z335" s="311"/>
      <c r="AA335" s="311"/>
      <c r="AB335" s="311"/>
      <c r="AC335" s="311"/>
      <c r="AT335" s="88" t="str">
        <f t="shared" si="27"/>
        <v>KP0006342017Q314,7</v>
      </c>
      <c r="AU335" s="89" t="str">
        <f t="shared" si="28"/>
        <v>07-2017</v>
      </c>
      <c r="BA335" s="92" t="str">
        <f t="shared" si="29"/>
        <v>WIP - 30 Days</v>
      </c>
    </row>
    <row r="336" spans="2:53">
      <c r="B336" s="60">
        <f>[2]Trucks!A333</f>
        <v>47828</v>
      </c>
      <c r="C336" s="11" t="str">
        <f>[2]Trucks!B333</f>
        <v>TGS-26-4406X4BLS-LX</v>
      </c>
      <c r="D336" s="19" t="str">
        <f>IFERROR(VLOOKUP(C336&amp;"",'[2]Retail Price List'!$A$3:$B$103,2,FALSE),"Special Order")</f>
        <v>KP000634</v>
      </c>
      <c r="E336" s="18" t="str">
        <f>[2]Trucks!J333</f>
        <v>CKD</v>
      </c>
      <c r="F336" s="12" t="str">
        <f>[2]Trucks!E333</f>
        <v>2018-02-25</v>
      </c>
      <c r="G336" s="56">
        <f>[2]Trucks!K333</f>
        <v>14.7</v>
      </c>
      <c r="H336" s="46">
        <f>[2]Trucks!I333</f>
        <v>42947</v>
      </c>
      <c r="I336" s="83" t="str">
        <f t="shared" si="25"/>
        <v>2017Q3</v>
      </c>
      <c r="J336" s="272">
        <f>IFERROR(VLOOKUP((D336&amp;C336)&amp;"",'[2]Retail Price List'!$C$4:$F$102,3,FALSE),"")</f>
        <v>1700000</v>
      </c>
      <c r="K336" s="272">
        <f>IFERROR(IF(BA336="WIP - 30 Days",VLOOKUP(D336,[3]Standard!$B$9:$E$101,4,FALSE),IF(BA336="31-120 Days",VLOOKUP(D336,[3]Standard!$B$9:$F$101,5,FALSE),IF(BA336="121-365 Days",VLOOKUP(D336,[3]Standard!$B$9:$G$101,6,FALSE),VLOOKUP(D336,[3]Standard!$B$9:$H$101,7,FALSE)))),0)</f>
        <v>1313250</v>
      </c>
      <c r="L336" s="272">
        <f>IFERROR(IF(BA336="WIP - 30 Days",VLOOKUP(D336,[3]Standard!$B$9:$J$101,9,FALSE),IF(BA336="31-120 Days",VLOOKUP(D336,[3]Standard!$B$9:$K$100,10,FALSE),IF(BA336="121-365 Days",VLOOKUP(D336,[3]Standard!$B$9:$L$101,11,FALSE),VLOOKUP(D336,[3]Standard!$B$9:$M$101,12,FALSE)))),0)</f>
        <v>1275000</v>
      </c>
      <c r="M336" s="269">
        <f>IFERROR(VLOOKUP((D336&amp;C336)&amp;"",'[2]Retail Price List'!$C$4:$F$102,4,FALSE),"")</f>
        <v>1735000</v>
      </c>
      <c r="N336" s="269">
        <f>IFERROR(IF(BA336="WIP - 30 Days",VLOOKUP(D336,[3]Extended!$B$9:$E$101,4,FALSE),IF(BA336="31-120 Days",VLOOKUP(D336,[3]Extended!$B$9:$F$101,5,FALSE),IF(BA336="121-365 Days",VLOOKUP(D336,[3]Extended!$B$9:$G$101,6,FALSE),VLOOKUP(D336,[3]Extended!$B$9:$H$101,7,FALSE)))),0)</f>
        <v>1322417</v>
      </c>
      <c r="O336" s="269">
        <f>IFERROR(IF(BA336="WIP - 30 Days",VLOOKUP(D336,[3]Extended!$B$9:$J$101,9,FALSE),IF(BA336="31-120 Days",VLOOKUP(D336,[3]Extended!$B$9:$K$101,10,FALSE),IF(BA336="121-365 Days",VLOOKUP(D336,[3]Extended!$B$9:$L$101,11,FALSE),VLOOKUP(D336,[3]Extended!$B$9:$M$101,12,FALSE)))),0)</f>
        <v>1283900</v>
      </c>
      <c r="P336" s="116">
        <f t="shared" si="26"/>
        <v>0.26</v>
      </c>
      <c r="Q336" s="110" t="e">
        <f>O336-#REF!</f>
        <v>#REF!</v>
      </c>
      <c r="W336" s="311"/>
      <c r="X336" s="311"/>
      <c r="Y336" s="311"/>
      <c r="Z336" s="311"/>
      <c r="AA336" s="311"/>
      <c r="AB336" s="311"/>
      <c r="AC336" s="311"/>
      <c r="AT336" s="88" t="str">
        <f t="shared" si="27"/>
        <v>KP0006342017Q314,7</v>
      </c>
      <c r="AU336" s="89" t="str">
        <f t="shared" si="28"/>
        <v>07-2017</v>
      </c>
      <c r="BA336" s="92" t="str">
        <f t="shared" si="29"/>
        <v>WIP - 30 Days</v>
      </c>
    </row>
    <row r="337" spans="1:56">
      <c r="B337" s="60">
        <f>[2]Trucks!A334</f>
        <v>47829</v>
      </c>
      <c r="C337" s="11" t="str">
        <f>[2]Trucks!B334</f>
        <v>TGS-26-4406X4BLS-LX</v>
      </c>
      <c r="D337" s="19" t="str">
        <f>IFERROR(VLOOKUP(C337&amp;"",'[2]Retail Price List'!$A$3:$B$103,2,FALSE),"Special Order")</f>
        <v>KP000634</v>
      </c>
      <c r="E337" s="18" t="str">
        <f>[2]Trucks!J334</f>
        <v>CKD</v>
      </c>
      <c r="F337" s="12" t="str">
        <f>[2]Trucks!E334</f>
        <v>2018-02-25</v>
      </c>
      <c r="G337" s="56">
        <f>[2]Trucks!K334</f>
        <v>14.7</v>
      </c>
      <c r="H337" s="46">
        <f>[2]Trucks!I334</f>
        <v>42947</v>
      </c>
      <c r="I337" s="83" t="str">
        <f t="shared" si="25"/>
        <v>2017Q3</v>
      </c>
      <c r="J337" s="272">
        <f>IFERROR(VLOOKUP((D337&amp;C337)&amp;"",'[2]Retail Price List'!$C$4:$F$102,3,FALSE),"")</f>
        <v>1700000</v>
      </c>
      <c r="K337" s="272">
        <f>IFERROR(IF(BA337="WIP - 30 Days",VLOOKUP(D337,[3]Standard!$B$9:$E$101,4,FALSE),IF(BA337="31-120 Days",VLOOKUP(D337,[3]Standard!$B$9:$F$101,5,FALSE),IF(BA337="121-365 Days",VLOOKUP(D337,[3]Standard!$B$9:$G$101,6,FALSE),VLOOKUP(D337,[3]Standard!$B$9:$H$101,7,FALSE)))),0)</f>
        <v>1313250</v>
      </c>
      <c r="L337" s="272">
        <f>IFERROR(IF(BA337="WIP - 30 Days",VLOOKUP(D337,[3]Standard!$B$9:$J$101,9,FALSE),IF(BA337="31-120 Days",VLOOKUP(D337,[3]Standard!$B$9:$K$100,10,FALSE),IF(BA337="121-365 Days",VLOOKUP(D337,[3]Standard!$B$9:$L$101,11,FALSE),VLOOKUP(D337,[3]Standard!$B$9:$M$101,12,FALSE)))),0)</f>
        <v>1275000</v>
      </c>
      <c r="M337" s="269">
        <f>IFERROR(VLOOKUP((D337&amp;C337)&amp;"",'[2]Retail Price List'!$C$4:$F$102,4,FALSE),"")</f>
        <v>1735000</v>
      </c>
      <c r="N337" s="269">
        <f>IFERROR(IF(BA337="WIP - 30 Days",VLOOKUP(D337,[3]Extended!$B$9:$E$101,4,FALSE),IF(BA337="31-120 Days",VLOOKUP(D337,[3]Extended!$B$9:$F$101,5,FALSE),IF(BA337="121-365 Days",VLOOKUP(D337,[3]Extended!$B$9:$G$101,6,FALSE),VLOOKUP(D337,[3]Extended!$B$9:$H$101,7,FALSE)))),0)</f>
        <v>1322417</v>
      </c>
      <c r="O337" s="269">
        <f>IFERROR(IF(BA337="WIP - 30 Days",VLOOKUP(D337,[3]Extended!$B$9:$J$101,9,FALSE),IF(BA337="31-120 Days",VLOOKUP(D337,[3]Extended!$B$9:$K$101,10,FALSE),IF(BA337="121-365 Days",VLOOKUP(D337,[3]Extended!$B$9:$L$101,11,FALSE),VLOOKUP(D337,[3]Extended!$B$9:$M$101,12,FALSE)))),0)</f>
        <v>1283900</v>
      </c>
      <c r="P337" s="116">
        <f t="shared" si="26"/>
        <v>0.26</v>
      </c>
      <c r="Q337" s="110" t="e">
        <f>O337-#REF!</f>
        <v>#REF!</v>
      </c>
      <c r="W337" s="311"/>
      <c r="X337" s="311"/>
      <c r="Y337" s="311"/>
      <c r="Z337" s="311"/>
      <c r="AA337" s="311"/>
      <c r="AB337" s="311"/>
      <c r="AC337" s="311"/>
      <c r="AT337" s="88" t="str">
        <f t="shared" si="27"/>
        <v>KP0006342017Q314,7</v>
      </c>
      <c r="AU337" s="89" t="str">
        <f t="shared" si="28"/>
        <v>07-2017</v>
      </c>
      <c r="BA337" s="92" t="str">
        <f t="shared" si="29"/>
        <v>WIP - 30 Days</v>
      </c>
    </row>
    <row r="338" spans="1:56">
      <c r="B338" s="60">
        <f>[2]Trucks!A335</f>
        <v>47830</v>
      </c>
      <c r="C338" s="11" t="str">
        <f>[2]Trucks!B335</f>
        <v>TGS-26-4406X4BLS-LX</v>
      </c>
      <c r="D338" s="19" t="str">
        <f>IFERROR(VLOOKUP(C338&amp;"",'[2]Retail Price List'!$A$3:$B$103,2,FALSE),"Special Order")</f>
        <v>KP000634</v>
      </c>
      <c r="E338" s="18" t="str">
        <f>[2]Trucks!J335</f>
        <v>CKD</v>
      </c>
      <c r="F338" s="12" t="str">
        <f>[2]Trucks!E335</f>
        <v>2018-02-25</v>
      </c>
      <c r="G338" s="56">
        <f>[2]Trucks!K335</f>
        <v>14.7</v>
      </c>
      <c r="H338" s="46">
        <f>[2]Trucks!I335</f>
        <v>42947</v>
      </c>
      <c r="I338" s="83" t="str">
        <f t="shared" si="25"/>
        <v>2017Q3</v>
      </c>
      <c r="J338" s="272">
        <f>IFERROR(VLOOKUP((D338&amp;C338)&amp;"",'[2]Retail Price List'!$C$4:$F$102,3,FALSE),"")</f>
        <v>1700000</v>
      </c>
      <c r="K338" s="272">
        <f>IFERROR(IF(BA338="WIP - 30 Days",VLOOKUP(D338,[3]Standard!$B$9:$E$101,4,FALSE),IF(BA338="31-120 Days",VLOOKUP(D338,[3]Standard!$B$9:$F$101,5,FALSE),IF(BA338="121-365 Days",VLOOKUP(D338,[3]Standard!$B$9:$G$101,6,FALSE),VLOOKUP(D338,[3]Standard!$B$9:$H$101,7,FALSE)))),0)</f>
        <v>1313250</v>
      </c>
      <c r="L338" s="272">
        <f>IFERROR(IF(BA338="WIP - 30 Days",VLOOKUP(D338,[3]Standard!$B$9:$J$101,9,FALSE),IF(BA338="31-120 Days",VLOOKUP(D338,[3]Standard!$B$9:$K$100,10,FALSE),IF(BA338="121-365 Days",VLOOKUP(D338,[3]Standard!$B$9:$L$101,11,FALSE),VLOOKUP(D338,[3]Standard!$B$9:$M$101,12,FALSE)))),0)</f>
        <v>1275000</v>
      </c>
      <c r="M338" s="269">
        <f>IFERROR(VLOOKUP((D338&amp;C338)&amp;"",'[2]Retail Price List'!$C$4:$F$102,4,FALSE),"")</f>
        <v>1735000</v>
      </c>
      <c r="N338" s="269">
        <f>IFERROR(IF(BA338="WIP - 30 Days",VLOOKUP(D338,[3]Extended!$B$9:$E$101,4,FALSE),IF(BA338="31-120 Days",VLOOKUP(D338,[3]Extended!$B$9:$F$101,5,FALSE),IF(BA338="121-365 Days",VLOOKUP(D338,[3]Extended!$B$9:$G$101,6,FALSE),VLOOKUP(D338,[3]Extended!$B$9:$H$101,7,FALSE)))),0)</f>
        <v>1322417</v>
      </c>
      <c r="O338" s="269">
        <f>IFERROR(IF(BA338="WIP - 30 Days",VLOOKUP(D338,[3]Extended!$B$9:$J$101,9,FALSE),IF(BA338="31-120 Days",VLOOKUP(D338,[3]Extended!$B$9:$K$101,10,FALSE),IF(BA338="121-365 Days",VLOOKUP(D338,[3]Extended!$B$9:$L$101,11,FALSE),VLOOKUP(D338,[3]Extended!$B$9:$M$101,12,FALSE)))),0)</f>
        <v>1283900</v>
      </c>
      <c r="P338" s="116">
        <f t="shared" si="26"/>
        <v>0.26</v>
      </c>
      <c r="Q338" s="110" t="e">
        <f>O338-#REF!</f>
        <v>#REF!</v>
      </c>
      <c r="W338" s="311"/>
      <c r="X338" s="311"/>
      <c r="Y338" s="311"/>
      <c r="Z338" s="311"/>
      <c r="AA338" s="311"/>
      <c r="AB338" s="311"/>
      <c r="AC338" s="311"/>
      <c r="AT338" s="88" t="str">
        <f t="shared" si="27"/>
        <v>KP0006342017Q314,7</v>
      </c>
      <c r="AU338" s="89" t="str">
        <f t="shared" si="28"/>
        <v>07-2017</v>
      </c>
      <c r="BA338" s="92" t="str">
        <f t="shared" si="29"/>
        <v>WIP - 30 Days</v>
      </c>
    </row>
    <row r="339" spans="1:56">
      <c r="B339" s="60">
        <f>[2]Trucks!A336</f>
        <v>47831</v>
      </c>
      <c r="C339" s="11" t="str">
        <f>[2]Trucks!B336</f>
        <v>TGS-26-4406X4BLS-LX</v>
      </c>
      <c r="D339" s="19" t="str">
        <f>IFERROR(VLOOKUP(C339&amp;"",'[2]Retail Price List'!$A$3:$B$103,2,FALSE),"Special Order")</f>
        <v>KP000634</v>
      </c>
      <c r="E339" s="18" t="str">
        <f>[2]Trucks!J336</f>
        <v>CKD</v>
      </c>
      <c r="F339" s="12" t="str">
        <f>[2]Trucks!E336</f>
        <v>2018-02-25</v>
      </c>
      <c r="G339" s="56">
        <f>[2]Trucks!K336</f>
        <v>14.7</v>
      </c>
      <c r="H339" s="46">
        <f>[2]Trucks!I336</f>
        <v>42947</v>
      </c>
      <c r="I339" s="83" t="str">
        <f t="shared" si="25"/>
        <v>2017Q3</v>
      </c>
      <c r="J339" s="272">
        <f>IFERROR(VLOOKUP((D339&amp;C339)&amp;"",'[2]Retail Price List'!$C$4:$F$102,3,FALSE),"")</f>
        <v>1700000</v>
      </c>
      <c r="K339" s="272">
        <f>IFERROR(IF(BA339="WIP - 30 Days",VLOOKUP(D339,[3]Standard!$B$9:$E$101,4,FALSE),IF(BA339="31-120 Days",VLOOKUP(D339,[3]Standard!$B$9:$F$101,5,FALSE),IF(BA339="121-365 Days",VLOOKUP(D339,[3]Standard!$B$9:$G$101,6,FALSE),VLOOKUP(D339,[3]Standard!$B$9:$H$101,7,FALSE)))),0)</f>
        <v>1313250</v>
      </c>
      <c r="L339" s="272">
        <f>IFERROR(IF(BA339="WIP - 30 Days",VLOOKUP(D339,[3]Standard!$B$9:$J$101,9,FALSE),IF(BA339="31-120 Days",VLOOKUP(D339,[3]Standard!$B$9:$K$100,10,FALSE),IF(BA339="121-365 Days",VLOOKUP(D339,[3]Standard!$B$9:$L$101,11,FALSE),VLOOKUP(D339,[3]Standard!$B$9:$M$101,12,FALSE)))),0)</f>
        <v>1275000</v>
      </c>
      <c r="M339" s="269">
        <f>IFERROR(VLOOKUP((D339&amp;C339)&amp;"",'[2]Retail Price List'!$C$4:$F$102,4,FALSE),"")</f>
        <v>1735000</v>
      </c>
      <c r="N339" s="269">
        <f>IFERROR(IF(BA339="WIP - 30 Days",VLOOKUP(D339,[3]Extended!$B$9:$E$101,4,FALSE),IF(BA339="31-120 Days",VLOOKUP(D339,[3]Extended!$B$9:$F$101,5,FALSE),IF(BA339="121-365 Days",VLOOKUP(D339,[3]Extended!$B$9:$G$101,6,FALSE),VLOOKUP(D339,[3]Extended!$B$9:$H$101,7,FALSE)))),0)</f>
        <v>1322417</v>
      </c>
      <c r="O339" s="269">
        <f>IFERROR(IF(BA339="WIP - 30 Days",VLOOKUP(D339,[3]Extended!$B$9:$J$101,9,FALSE),IF(BA339="31-120 Days",VLOOKUP(D339,[3]Extended!$B$9:$K$101,10,FALSE),IF(BA339="121-365 Days",VLOOKUP(D339,[3]Extended!$B$9:$L$101,11,FALSE),VLOOKUP(D339,[3]Extended!$B$9:$M$101,12,FALSE)))),0)</f>
        <v>1283900</v>
      </c>
      <c r="P339" s="116">
        <f t="shared" si="26"/>
        <v>0.26</v>
      </c>
      <c r="Q339" s="110" t="e">
        <f>O339-#REF!</f>
        <v>#REF!</v>
      </c>
      <c r="W339" s="311"/>
      <c r="X339" s="311"/>
      <c r="Y339" s="311"/>
      <c r="Z339" s="311"/>
      <c r="AA339" s="311"/>
      <c r="AB339" s="311"/>
      <c r="AC339" s="311"/>
      <c r="AT339" s="88" t="str">
        <f t="shared" si="27"/>
        <v>KP0006342017Q314,7</v>
      </c>
      <c r="AU339" s="89" t="str">
        <f t="shared" si="28"/>
        <v>07-2017</v>
      </c>
      <c r="BA339" s="92" t="str">
        <f t="shared" si="29"/>
        <v>WIP - 30 Days</v>
      </c>
    </row>
    <row r="340" spans="1:56">
      <c r="B340" s="60">
        <f>[2]Trucks!A337</f>
        <v>47832</v>
      </c>
      <c r="C340" s="11" t="str">
        <f>[2]Trucks!B337</f>
        <v>TGS-26-4406X4BLS-LX</v>
      </c>
      <c r="D340" s="19" t="str">
        <f>IFERROR(VLOOKUP(C340&amp;"",'[2]Retail Price List'!$A$3:$B$103,2,FALSE),"Special Order")</f>
        <v>KP000634</v>
      </c>
      <c r="E340" s="18" t="str">
        <f>[2]Trucks!J337</f>
        <v>CKD</v>
      </c>
      <c r="F340" s="12" t="str">
        <f>[2]Trucks!E337</f>
        <v>2018-02-25</v>
      </c>
      <c r="G340" s="56">
        <f>[2]Trucks!K337</f>
        <v>14.7</v>
      </c>
      <c r="H340" s="46">
        <f>[2]Trucks!I337</f>
        <v>42947</v>
      </c>
      <c r="I340" s="83" t="str">
        <f t="shared" si="25"/>
        <v>2017Q3</v>
      </c>
      <c r="J340" s="272">
        <f>IFERROR(VLOOKUP((D340&amp;C340)&amp;"",'[2]Retail Price List'!$C$4:$F$102,3,FALSE),"")</f>
        <v>1700000</v>
      </c>
      <c r="K340" s="272">
        <f>IFERROR(IF(BA340="WIP - 30 Days",VLOOKUP(D340,[3]Standard!$B$9:$E$101,4,FALSE),IF(BA340="31-120 Days",VLOOKUP(D340,[3]Standard!$B$9:$F$101,5,FALSE),IF(BA340="121-365 Days",VLOOKUP(D340,[3]Standard!$B$9:$G$101,6,FALSE),VLOOKUP(D340,[3]Standard!$B$9:$H$101,7,FALSE)))),0)</f>
        <v>1313250</v>
      </c>
      <c r="L340" s="272">
        <f>IFERROR(IF(BA340="WIP - 30 Days",VLOOKUP(D340,[3]Standard!$B$9:$J$101,9,FALSE),IF(BA340="31-120 Days",VLOOKUP(D340,[3]Standard!$B$9:$K$100,10,FALSE),IF(BA340="121-365 Days",VLOOKUP(D340,[3]Standard!$B$9:$L$101,11,FALSE),VLOOKUP(D340,[3]Standard!$B$9:$M$101,12,FALSE)))),0)</f>
        <v>1275000</v>
      </c>
      <c r="M340" s="269">
        <f>IFERROR(VLOOKUP((D340&amp;C340)&amp;"",'[2]Retail Price List'!$C$4:$F$102,4,FALSE),"")</f>
        <v>1735000</v>
      </c>
      <c r="N340" s="269">
        <f>IFERROR(IF(BA340="WIP - 30 Days",VLOOKUP(D340,[3]Extended!$B$9:$E$101,4,FALSE),IF(BA340="31-120 Days",VLOOKUP(D340,[3]Extended!$B$9:$F$101,5,FALSE),IF(BA340="121-365 Days",VLOOKUP(D340,[3]Extended!$B$9:$G$101,6,FALSE),VLOOKUP(D340,[3]Extended!$B$9:$H$101,7,FALSE)))),0)</f>
        <v>1322417</v>
      </c>
      <c r="O340" s="269">
        <f>IFERROR(IF(BA340="WIP - 30 Days",VLOOKUP(D340,[3]Extended!$B$9:$J$101,9,FALSE),IF(BA340="31-120 Days",VLOOKUP(D340,[3]Extended!$B$9:$K$101,10,FALSE),IF(BA340="121-365 Days",VLOOKUP(D340,[3]Extended!$B$9:$L$101,11,FALSE),VLOOKUP(D340,[3]Extended!$B$9:$M$101,12,FALSE)))),0)</f>
        <v>1283900</v>
      </c>
      <c r="P340" s="116">
        <f t="shared" si="26"/>
        <v>0.26</v>
      </c>
      <c r="Q340" s="110" t="e">
        <f>O340-#REF!</f>
        <v>#REF!</v>
      </c>
      <c r="W340" s="311"/>
      <c r="X340" s="311"/>
      <c r="Y340" s="311"/>
      <c r="Z340" s="311"/>
      <c r="AA340" s="311"/>
      <c r="AB340" s="311"/>
      <c r="AC340" s="311"/>
      <c r="AT340" s="88" t="str">
        <f t="shared" si="27"/>
        <v>KP0006342017Q314,7</v>
      </c>
      <c r="AU340" s="89" t="str">
        <f t="shared" si="28"/>
        <v>07-2017</v>
      </c>
      <c r="BA340" s="92" t="str">
        <f t="shared" si="29"/>
        <v>WIP - 30 Days</v>
      </c>
    </row>
    <row r="341" spans="1:56">
      <c r="B341" s="60">
        <f>[2]Trucks!A338</f>
        <v>47833</v>
      </c>
      <c r="C341" s="11" t="str">
        <f>[2]Trucks!B338</f>
        <v>TGS-26-4406X4BLS-LX</v>
      </c>
      <c r="D341" s="19" t="str">
        <f>IFERROR(VLOOKUP(C341&amp;"",'[2]Retail Price List'!$A$3:$B$103,2,FALSE),"Special Order")</f>
        <v>KP000634</v>
      </c>
      <c r="E341" s="18" t="str">
        <f>[2]Trucks!J338</f>
        <v>CKD</v>
      </c>
      <c r="F341" s="12" t="str">
        <f>[2]Trucks!E338</f>
        <v>2018-02-25</v>
      </c>
      <c r="G341" s="56">
        <f>[2]Trucks!K338</f>
        <v>14.7</v>
      </c>
      <c r="H341" s="46">
        <f>[2]Trucks!I338</f>
        <v>42947</v>
      </c>
      <c r="I341" s="83" t="str">
        <f t="shared" si="25"/>
        <v>2017Q3</v>
      </c>
      <c r="J341" s="272">
        <f>IFERROR(VLOOKUP((D341&amp;C341)&amp;"",'[2]Retail Price List'!$C$4:$F$102,3,FALSE),"")</f>
        <v>1700000</v>
      </c>
      <c r="K341" s="272">
        <f>IFERROR(IF(BA341="WIP - 30 Days",VLOOKUP(D341,[3]Standard!$B$9:$E$101,4,FALSE),IF(BA341="31-120 Days",VLOOKUP(D341,[3]Standard!$B$9:$F$101,5,FALSE),IF(BA341="121-365 Days",VLOOKUP(D341,[3]Standard!$B$9:$G$101,6,FALSE),VLOOKUP(D341,[3]Standard!$B$9:$H$101,7,FALSE)))),0)</f>
        <v>1313250</v>
      </c>
      <c r="L341" s="272">
        <f>IFERROR(IF(BA341="WIP - 30 Days",VLOOKUP(D341,[3]Standard!$B$9:$J$101,9,FALSE),IF(BA341="31-120 Days",VLOOKUP(D341,[3]Standard!$B$9:$K$100,10,FALSE),IF(BA341="121-365 Days",VLOOKUP(D341,[3]Standard!$B$9:$L$101,11,FALSE),VLOOKUP(D341,[3]Standard!$B$9:$M$101,12,FALSE)))),0)</f>
        <v>1275000</v>
      </c>
      <c r="M341" s="269">
        <f>IFERROR(VLOOKUP((D341&amp;C341)&amp;"",'[2]Retail Price List'!$C$4:$F$102,4,FALSE),"")</f>
        <v>1735000</v>
      </c>
      <c r="N341" s="269">
        <f>IFERROR(IF(BA341="WIP - 30 Days",VLOOKUP(D341,[3]Extended!$B$9:$E$101,4,FALSE),IF(BA341="31-120 Days",VLOOKUP(D341,[3]Extended!$B$9:$F$101,5,FALSE),IF(BA341="121-365 Days",VLOOKUP(D341,[3]Extended!$B$9:$G$101,6,FALSE),VLOOKUP(D341,[3]Extended!$B$9:$H$101,7,FALSE)))),0)</f>
        <v>1322417</v>
      </c>
      <c r="O341" s="269">
        <f>IFERROR(IF(BA341="WIP - 30 Days",VLOOKUP(D341,[3]Extended!$B$9:$J$101,9,FALSE),IF(BA341="31-120 Days",VLOOKUP(D341,[3]Extended!$B$9:$K$101,10,FALSE),IF(BA341="121-365 Days",VLOOKUP(D341,[3]Extended!$B$9:$L$101,11,FALSE),VLOOKUP(D341,[3]Extended!$B$9:$M$101,12,FALSE)))),0)</f>
        <v>1283900</v>
      </c>
      <c r="P341" s="116">
        <f t="shared" si="26"/>
        <v>0.26</v>
      </c>
      <c r="Q341" s="110" t="e">
        <f>O341-#REF!</f>
        <v>#REF!</v>
      </c>
      <c r="W341" s="311"/>
      <c r="X341" s="311"/>
      <c r="Y341" s="311"/>
      <c r="Z341" s="311"/>
      <c r="AA341" s="311"/>
      <c r="AB341" s="311"/>
      <c r="AC341" s="311"/>
      <c r="AT341" s="88" t="str">
        <f t="shared" si="27"/>
        <v>KP0006342017Q314,7</v>
      </c>
      <c r="AU341" s="89" t="str">
        <f t="shared" si="28"/>
        <v>07-2017</v>
      </c>
      <c r="BA341" s="92" t="str">
        <f t="shared" si="29"/>
        <v>WIP - 30 Days</v>
      </c>
    </row>
    <row r="342" spans="1:56">
      <c r="B342" s="60">
        <f>[2]Trucks!A339</f>
        <v>47834</v>
      </c>
      <c r="C342" s="11" t="str">
        <f>[2]Trucks!B339</f>
        <v>TGS-26-4406X4BLS-LX</v>
      </c>
      <c r="D342" s="19" t="str">
        <f>IFERROR(VLOOKUP(C342&amp;"",'[2]Retail Price List'!$A$3:$B$103,2,FALSE),"Special Order")</f>
        <v>KP000634</v>
      </c>
      <c r="E342" s="18" t="str">
        <f>[2]Trucks!J339</f>
        <v>CKD</v>
      </c>
      <c r="F342" s="12" t="str">
        <f>[2]Trucks!E339</f>
        <v>2018-02-25</v>
      </c>
      <c r="G342" s="56">
        <f>[2]Trucks!K339</f>
        <v>14.7</v>
      </c>
      <c r="H342" s="46">
        <f>[2]Trucks!I339</f>
        <v>42947</v>
      </c>
      <c r="I342" s="83" t="str">
        <f t="shared" si="25"/>
        <v>2017Q3</v>
      </c>
      <c r="J342" s="272">
        <f>IFERROR(VLOOKUP((D342&amp;C342)&amp;"",'[2]Retail Price List'!$C$4:$F$102,3,FALSE),"")</f>
        <v>1700000</v>
      </c>
      <c r="K342" s="272">
        <f>IFERROR(IF(BA342="WIP - 30 Days",VLOOKUP(D342,[3]Standard!$B$9:$E$101,4,FALSE),IF(BA342="31-120 Days",VLOOKUP(D342,[3]Standard!$B$9:$F$101,5,FALSE),IF(BA342="121-365 Days",VLOOKUP(D342,[3]Standard!$B$9:$G$101,6,FALSE),VLOOKUP(D342,[3]Standard!$B$9:$H$101,7,FALSE)))),0)</f>
        <v>1313250</v>
      </c>
      <c r="L342" s="272">
        <f>IFERROR(IF(BA342="WIP - 30 Days",VLOOKUP(D342,[3]Standard!$B$9:$J$101,9,FALSE),IF(BA342="31-120 Days",VLOOKUP(D342,[3]Standard!$B$9:$K$100,10,FALSE),IF(BA342="121-365 Days",VLOOKUP(D342,[3]Standard!$B$9:$L$101,11,FALSE),VLOOKUP(D342,[3]Standard!$B$9:$M$101,12,FALSE)))),0)</f>
        <v>1275000</v>
      </c>
      <c r="M342" s="269">
        <f>IFERROR(VLOOKUP((D342&amp;C342)&amp;"",'[2]Retail Price List'!$C$4:$F$102,4,FALSE),"")</f>
        <v>1735000</v>
      </c>
      <c r="N342" s="269">
        <f>IFERROR(IF(BA342="WIP - 30 Days",VLOOKUP(D342,[3]Extended!$B$9:$E$101,4,FALSE),IF(BA342="31-120 Days",VLOOKUP(D342,[3]Extended!$B$9:$F$101,5,FALSE),IF(BA342="121-365 Days",VLOOKUP(D342,[3]Extended!$B$9:$G$101,6,FALSE),VLOOKUP(D342,[3]Extended!$B$9:$H$101,7,FALSE)))),0)</f>
        <v>1322417</v>
      </c>
      <c r="O342" s="269">
        <f>IFERROR(IF(BA342="WIP - 30 Days",VLOOKUP(D342,[3]Extended!$B$9:$J$101,9,FALSE),IF(BA342="31-120 Days",VLOOKUP(D342,[3]Extended!$B$9:$K$101,10,FALSE),IF(BA342="121-365 Days",VLOOKUP(D342,[3]Extended!$B$9:$L$101,11,FALSE),VLOOKUP(D342,[3]Extended!$B$9:$M$101,12,FALSE)))),0)</f>
        <v>1283900</v>
      </c>
      <c r="P342" s="116">
        <f t="shared" si="26"/>
        <v>0.26</v>
      </c>
      <c r="Q342" s="110" t="e">
        <f>O342-#REF!</f>
        <v>#REF!</v>
      </c>
      <c r="W342" s="311"/>
      <c r="X342" s="311"/>
      <c r="Y342" s="311"/>
      <c r="Z342" s="311"/>
      <c r="AA342" s="311"/>
      <c r="AB342" s="311"/>
      <c r="AC342" s="311"/>
      <c r="AT342" s="88" t="str">
        <f t="shared" si="27"/>
        <v>KP0006342017Q314,7</v>
      </c>
      <c r="AU342" s="89" t="str">
        <f t="shared" si="28"/>
        <v>07-2017</v>
      </c>
      <c r="BA342" s="92" t="str">
        <f t="shared" si="29"/>
        <v>WIP - 30 Days</v>
      </c>
    </row>
    <row r="343" spans="1:56">
      <c r="B343" s="60">
        <f>[2]Trucks!A340</f>
        <v>47835</v>
      </c>
      <c r="C343" s="11" t="str">
        <f>[2]Trucks!B340</f>
        <v>TGS-26-4406X4BLS-LX</v>
      </c>
      <c r="D343" s="19" t="str">
        <f>IFERROR(VLOOKUP(C343&amp;"",'[2]Retail Price List'!$A$3:$B$103,2,FALSE),"Special Order")</f>
        <v>KP000634</v>
      </c>
      <c r="E343" s="18" t="str">
        <f>[2]Trucks!J340</f>
        <v>CKD</v>
      </c>
      <c r="F343" s="12" t="str">
        <f>[2]Trucks!E340</f>
        <v>2018-02-25</v>
      </c>
      <c r="G343" s="56">
        <f>[2]Trucks!K340</f>
        <v>14.7</v>
      </c>
      <c r="H343" s="46">
        <f>[2]Trucks!I340</f>
        <v>42947</v>
      </c>
      <c r="I343" s="83" t="str">
        <f t="shared" si="25"/>
        <v>2017Q3</v>
      </c>
      <c r="J343" s="272">
        <f>IFERROR(VLOOKUP((D343&amp;C343)&amp;"",'[2]Retail Price List'!$C$4:$F$102,3,FALSE),"")</f>
        <v>1700000</v>
      </c>
      <c r="K343" s="272">
        <f>IFERROR(IF(BA343="WIP - 30 Days",VLOOKUP(D343,[3]Standard!$B$9:$E$101,4,FALSE),IF(BA343="31-120 Days",VLOOKUP(D343,[3]Standard!$B$9:$F$101,5,FALSE),IF(BA343="121-365 Days",VLOOKUP(D343,[3]Standard!$B$9:$G$101,6,FALSE),VLOOKUP(D343,[3]Standard!$B$9:$H$101,7,FALSE)))),0)</f>
        <v>1313250</v>
      </c>
      <c r="L343" s="272">
        <f>IFERROR(IF(BA343="WIP - 30 Days",VLOOKUP(D343,[3]Standard!$B$9:$J$101,9,FALSE),IF(BA343="31-120 Days",VLOOKUP(D343,[3]Standard!$B$9:$K$100,10,FALSE),IF(BA343="121-365 Days",VLOOKUP(D343,[3]Standard!$B$9:$L$101,11,FALSE),VLOOKUP(D343,[3]Standard!$B$9:$M$101,12,FALSE)))),0)</f>
        <v>1275000</v>
      </c>
      <c r="M343" s="269">
        <f>IFERROR(VLOOKUP((D343&amp;C343)&amp;"",'[2]Retail Price List'!$C$4:$F$102,4,FALSE),"")</f>
        <v>1735000</v>
      </c>
      <c r="N343" s="269">
        <f>IFERROR(IF(BA343="WIP - 30 Days",VLOOKUP(D343,[3]Extended!$B$9:$E$101,4,FALSE),IF(BA343="31-120 Days",VLOOKUP(D343,[3]Extended!$B$9:$F$101,5,FALSE),IF(BA343="121-365 Days",VLOOKUP(D343,[3]Extended!$B$9:$G$101,6,FALSE),VLOOKUP(D343,[3]Extended!$B$9:$H$101,7,FALSE)))),0)</f>
        <v>1322417</v>
      </c>
      <c r="O343" s="269">
        <f>IFERROR(IF(BA343="WIP - 30 Days",VLOOKUP(D343,[3]Extended!$B$9:$J$101,9,FALSE),IF(BA343="31-120 Days",VLOOKUP(D343,[3]Extended!$B$9:$K$101,10,FALSE),IF(BA343="121-365 Days",VLOOKUP(D343,[3]Extended!$B$9:$L$101,11,FALSE),VLOOKUP(D343,[3]Extended!$B$9:$M$101,12,FALSE)))),0)</f>
        <v>1283900</v>
      </c>
      <c r="P343" s="116">
        <f t="shared" si="26"/>
        <v>0.26</v>
      </c>
      <c r="Q343" s="110" t="e">
        <f>O343-#REF!</f>
        <v>#REF!</v>
      </c>
      <c r="W343" s="311"/>
      <c r="X343" s="311"/>
      <c r="Y343" s="311"/>
      <c r="Z343" s="311"/>
      <c r="AA343" s="311"/>
      <c r="AB343" s="311"/>
      <c r="AC343" s="311"/>
      <c r="AT343" s="88" t="str">
        <f t="shared" si="27"/>
        <v>KP0006342017Q314,7</v>
      </c>
      <c r="AU343" s="89" t="str">
        <f t="shared" si="28"/>
        <v>07-2017</v>
      </c>
      <c r="BA343" s="92" t="str">
        <f t="shared" si="29"/>
        <v>WIP - 30 Days</v>
      </c>
    </row>
    <row r="344" spans="1:56">
      <c r="B344" s="60">
        <f>[2]Trucks!A341</f>
        <v>47836</v>
      </c>
      <c r="C344" s="11" t="str">
        <f>[2]Trucks!B341</f>
        <v>TGS-26-4406X4BLS-LX</v>
      </c>
      <c r="D344" s="19" t="str">
        <f>IFERROR(VLOOKUP(C344&amp;"",'[2]Retail Price List'!$A$3:$B$103,2,FALSE),"Special Order")</f>
        <v>KP000634</v>
      </c>
      <c r="E344" s="18" t="str">
        <f>[2]Trucks!J341</f>
        <v>CKD</v>
      </c>
      <c r="F344" s="12" t="str">
        <f>[2]Trucks!E341</f>
        <v>2018-02-25</v>
      </c>
      <c r="G344" s="56">
        <f>[2]Trucks!K341</f>
        <v>14.7</v>
      </c>
      <c r="H344" s="46">
        <f>[2]Trucks!I341</f>
        <v>42947</v>
      </c>
      <c r="I344" s="83" t="str">
        <f t="shared" si="25"/>
        <v>2017Q3</v>
      </c>
      <c r="J344" s="272">
        <f>IFERROR(VLOOKUP((D344&amp;C344)&amp;"",'[2]Retail Price List'!$C$4:$F$102,3,FALSE),"")</f>
        <v>1700000</v>
      </c>
      <c r="K344" s="272">
        <f>IFERROR(IF(BA344="WIP - 30 Days",VLOOKUP(D344,[3]Standard!$B$9:$E$101,4,FALSE),IF(BA344="31-120 Days",VLOOKUP(D344,[3]Standard!$B$9:$F$101,5,FALSE),IF(BA344="121-365 Days",VLOOKUP(D344,[3]Standard!$B$9:$G$101,6,FALSE),VLOOKUP(D344,[3]Standard!$B$9:$H$101,7,FALSE)))),0)</f>
        <v>1313250</v>
      </c>
      <c r="L344" s="272">
        <f>IFERROR(IF(BA344="WIP - 30 Days",VLOOKUP(D344,[3]Standard!$B$9:$J$101,9,FALSE),IF(BA344="31-120 Days",VLOOKUP(D344,[3]Standard!$B$9:$K$100,10,FALSE),IF(BA344="121-365 Days",VLOOKUP(D344,[3]Standard!$B$9:$L$101,11,FALSE),VLOOKUP(D344,[3]Standard!$B$9:$M$101,12,FALSE)))),0)</f>
        <v>1275000</v>
      </c>
      <c r="M344" s="269">
        <f>IFERROR(VLOOKUP((D344&amp;C344)&amp;"",'[2]Retail Price List'!$C$4:$F$102,4,FALSE),"")</f>
        <v>1735000</v>
      </c>
      <c r="N344" s="269">
        <f>IFERROR(IF(BA344="WIP - 30 Days",VLOOKUP(D344,[3]Extended!$B$9:$E$101,4,FALSE),IF(BA344="31-120 Days",VLOOKUP(D344,[3]Extended!$B$9:$F$101,5,FALSE),IF(BA344="121-365 Days",VLOOKUP(D344,[3]Extended!$B$9:$G$101,6,FALSE),VLOOKUP(D344,[3]Extended!$B$9:$H$101,7,FALSE)))),0)</f>
        <v>1322417</v>
      </c>
      <c r="O344" s="269">
        <f>IFERROR(IF(BA344="WIP - 30 Days",VLOOKUP(D344,[3]Extended!$B$9:$J$101,9,FALSE),IF(BA344="31-120 Days",VLOOKUP(D344,[3]Extended!$B$9:$K$101,10,FALSE),IF(BA344="121-365 Days",VLOOKUP(D344,[3]Extended!$B$9:$L$101,11,FALSE),VLOOKUP(D344,[3]Extended!$B$9:$M$101,12,FALSE)))),0)</f>
        <v>1283900</v>
      </c>
      <c r="P344" s="116">
        <f t="shared" si="26"/>
        <v>0.26</v>
      </c>
      <c r="Q344" s="110" t="e">
        <f>O344-#REF!</f>
        <v>#REF!</v>
      </c>
      <c r="W344" s="311"/>
      <c r="X344" s="311"/>
      <c r="Y344" s="311"/>
      <c r="Z344" s="311"/>
      <c r="AA344" s="311"/>
      <c r="AB344" s="311"/>
      <c r="AC344" s="311"/>
      <c r="AT344" s="88" t="str">
        <f t="shared" si="27"/>
        <v>KP0006342017Q314,7</v>
      </c>
      <c r="AU344" s="89" t="str">
        <f t="shared" si="28"/>
        <v>07-2017</v>
      </c>
      <c r="BA344" s="92" t="str">
        <f t="shared" si="29"/>
        <v>WIP - 30 Days</v>
      </c>
    </row>
    <row r="345" spans="1:56">
      <c r="B345" s="60">
        <f>[2]Trucks!A342</f>
        <v>47837</v>
      </c>
      <c r="C345" s="11" t="str">
        <f>[2]Trucks!B342</f>
        <v>TGS-26-4406X4BLS-LX</v>
      </c>
      <c r="D345" s="19" t="str">
        <f>IFERROR(VLOOKUP(C345&amp;"",'[2]Retail Price List'!$A$3:$B$103,2,FALSE),"Special Order")</f>
        <v>KP000634</v>
      </c>
      <c r="E345" s="18" t="str">
        <f>[2]Trucks!J342</f>
        <v>CKD</v>
      </c>
      <c r="F345" s="12" t="str">
        <f>[2]Trucks!E342</f>
        <v>2018-02-25</v>
      </c>
      <c r="G345" s="56">
        <f>[2]Trucks!K342</f>
        <v>14.7</v>
      </c>
      <c r="H345" s="46">
        <f>[2]Trucks!I342</f>
        <v>42947</v>
      </c>
      <c r="I345" s="83" t="str">
        <f t="shared" si="25"/>
        <v>2017Q3</v>
      </c>
      <c r="J345" s="272">
        <f>IFERROR(VLOOKUP((D345&amp;C345)&amp;"",'[2]Retail Price List'!$C$4:$F$102,3,FALSE),"")</f>
        <v>1700000</v>
      </c>
      <c r="K345" s="272">
        <f>IFERROR(IF(BA345="WIP - 30 Days",VLOOKUP(D345,[3]Standard!$B$9:$E$101,4,FALSE),IF(BA345="31-120 Days",VLOOKUP(D345,[3]Standard!$B$9:$F$101,5,FALSE),IF(BA345="121-365 Days",VLOOKUP(D345,[3]Standard!$B$9:$G$101,6,FALSE),VLOOKUP(D345,[3]Standard!$B$9:$H$101,7,FALSE)))),0)</f>
        <v>1313250</v>
      </c>
      <c r="L345" s="272">
        <f>IFERROR(IF(BA345="WIP - 30 Days",VLOOKUP(D345,[3]Standard!$B$9:$J$101,9,FALSE),IF(BA345="31-120 Days",VLOOKUP(D345,[3]Standard!$B$9:$K$100,10,FALSE),IF(BA345="121-365 Days",VLOOKUP(D345,[3]Standard!$B$9:$L$101,11,FALSE),VLOOKUP(D345,[3]Standard!$B$9:$M$101,12,FALSE)))),0)</f>
        <v>1275000</v>
      </c>
      <c r="M345" s="269">
        <f>IFERROR(VLOOKUP((D345&amp;C345)&amp;"",'[2]Retail Price List'!$C$4:$F$102,4,FALSE),"")</f>
        <v>1735000</v>
      </c>
      <c r="N345" s="269">
        <f>IFERROR(IF(BA345="WIP - 30 Days",VLOOKUP(D345,[3]Extended!$B$9:$E$101,4,FALSE),IF(BA345="31-120 Days",VLOOKUP(D345,[3]Extended!$B$9:$F$101,5,FALSE),IF(BA345="121-365 Days",VLOOKUP(D345,[3]Extended!$B$9:$G$101,6,FALSE),VLOOKUP(D345,[3]Extended!$B$9:$H$101,7,FALSE)))),0)</f>
        <v>1322417</v>
      </c>
      <c r="O345" s="269">
        <f>IFERROR(IF(BA345="WIP - 30 Days",VLOOKUP(D345,[3]Extended!$B$9:$J$101,9,FALSE),IF(BA345="31-120 Days",VLOOKUP(D345,[3]Extended!$B$9:$K$101,10,FALSE),IF(BA345="121-365 Days",VLOOKUP(D345,[3]Extended!$B$9:$L$101,11,FALSE),VLOOKUP(D345,[3]Extended!$B$9:$M$101,12,FALSE)))),0)</f>
        <v>1283900</v>
      </c>
      <c r="P345" s="116">
        <f t="shared" si="26"/>
        <v>0.26</v>
      </c>
      <c r="Q345" s="110" t="e">
        <f>O345-#REF!</f>
        <v>#REF!</v>
      </c>
      <c r="W345" s="311"/>
      <c r="X345" s="311"/>
      <c r="Y345" s="311"/>
      <c r="Z345" s="311"/>
      <c r="AA345" s="311"/>
      <c r="AB345" s="311"/>
      <c r="AC345" s="311"/>
      <c r="AT345" s="88" t="str">
        <f t="shared" si="27"/>
        <v>KP0006342017Q314,7</v>
      </c>
      <c r="AU345" s="89" t="str">
        <f t="shared" si="28"/>
        <v>07-2017</v>
      </c>
      <c r="BA345" s="92" t="str">
        <f t="shared" si="29"/>
        <v>WIP - 30 Days</v>
      </c>
    </row>
    <row r="346" spans="1:56">
      <c r="B346" s="60">
        <f>[2]Trucks!A343</f>
        <v>47838</v>
      </c>
      <c r="C346" s="11" t="str">
        <f>[2]Trucks!B343</f>
        <v>TGS-26-4406X4BLS-LX</v>
      </c>
      <c r="D346" s="19" t="str">
        <f>IFERROR(VLOOKUP(C346&amp;"",'[2]Retail Price List'!$A$3:$B$103,2,FALSE),"Special Order")</f>
        <v>KP000634</v>
      </c>
      <c r="E346" s="18" t="str">
        <f>[2]Trucks!J343</f>
        <v>CKD</v>
      </c>
      <c r="F346" s="12" t="str">
        <f>[2]Trucks!E343</f>
        <v>2018-02-25</v>
      </c>
      <c r="G346" s="56">
        <f>[2]Trucks!K343</f>
        <v>14.7</v>
      </c>
      <c r="H346" s="46">
        <f>[2]Trucks!I343</f>
        <v>42947</v>
      </c>
      <c r="I346" s="83" t="str">
        <f t="shared" si="25"/>
        <v>2017Q3</v>
      </c>
      <c r="J346" s="272">
        <f>IFERROR(VLOOKUP((D346&amp;C346)&amp;"",'[2]Retail Price List'!$C$4:$F$102,3,FALSE),"")</f>
        <v>1700000</v>
      </c>
      <c r="K346" s="272">
        <f>IFERROR(IF(BA346="WIP - 30 Days",VLOOKUP(D346,[3]Standard!$B$9:$E$101,4,FALSE),IF(BA346="31-120 Days",VLOOKUP(D346,[3]Standard!$B$9:$F$101,5,FALSE),IF(BA346="121-365 Days",VLOOKUP(D346,[3]Standard!$B$9:$G$101,6,FALSE),VLOOKUP(D346,[3]Standard!$B$9:$H$101,7,FALSE)))),0)</f>
        <v>1313250</v>
      </c>
      <c r="L346" s="272">
        <f>IFERROR(IF(BA346="WIP - 30 Days",VLOOKUP(D346,[3]Standard!$B$9:$J$101,9,FALSE),IF(BA346="31-120 Days",VLOOKUP(D346,[3]Standard!$B$9:$K$100,10,FALSE),IF(BA346="121-365 Days",VLOOKUP(D346,[3]Standard!$B$9:$L$101,11,FALSE),VLOOKUP(D346,[3]Standard!$B$9:$M$101,12,FALSE)))),0)</f>
        <v>1275000</v>
      </c>
      <c r="M346" s="269">
        <f>IFERROR(VLOOKUP((D346&amp;C346)&amp;"",'[2]Retail Price List'!$C$4:$F$102,4,FALSE),"")</f>
        <v>1735000</v>
      </c>
      <c r="N346" s="269">
        <f>IFERROR(IF(BA346="WIP - 30 Days",VLOOKUP(D346,[3]Extended!$B$9:$E$101,4,FALSE),IF(BA346="31-120 Days",VLOOKUP(D346,[3]Extended!$B$9:$F$101,5,FALSE),IF(BA346="121-365 Days",VLOOKUP(D346,[3]Extended!$B$9:$G$101,6,FALSE),VLOOKUP(D346,[3]Extended!$B$9:$H$101,7,FALSE)))),0)</f>
        <v>1322417</v>
      </c>
      <c r="O346" s="269">
        <f>IFERROR(IF(BA346="WIP - 30 Days",VLOOKUP(D346,[3]Extended!$B$9:$J$101,9,FALSE),IF(BA346="31-120 Days",VLOOKUP(D346,[3]Extended!$B$9:$K$101,10,FALSE),IF(BA346="121-365 Days",VLOOKUP(D346,[3]Extended!$B$9:$L$101,11,FALSE),VLOOKUP(D346,[3]Extended!$B$9:$M$101,12,FALSE)))),0)</f>
        <v>1283900</v>
      </c>
      <c r="P346" s="116">
        <f t="shared" si="26"/>
        <v>0.26</v>
      </c>
      <c r="Q346" s="110" t="e">
        <f>O346-#REF!</f>
        <v>#REF!</v>
      </c>
      <c r="W346" s="311"/>
      <c r="X346" s="311"/>
      <c r="Y346" s="311"/>
      <c r="Z346" s="311"/>
      <c r="AA346" s="311"/>
      <c r="AB346" s="311"/>
      <c r="AC346" s="311"/>
      <c r="AT346" s="88" t="str">
        <f t="shared" si="27"/>
        <v>KP0006342017Q314,7</v>
      </c>
      <c r="AU346" s="89" t="str">
        <f t="shared" si="28"/>
        <v>07-2017</v>
      </c>
      <c r="BA346" s="92" t="str">
        <f t="shared" si="29"/>
        <v>WIP - 30 Days</v>
      </c>
    </row>
    <row r="347" spans="1:56">
      <c r="B347" s="60">
        <f>[2]Trucks!A344</f>
        <v>47839</v>
      </c>
      <c r="C347" s="11" t="str">
        <f>[2]Trucks!B344</f>
        <v>TGS-26-4406X4BLS-LX</v>
      </c>
      <c r="D347" s="19" t="str">
        <f>IFERROR(VLOOKUP(C347&amp;"",'[2]Retail Price List'!$A$3:$B$103,2,FALSE),"Special Order")</f>
        <v>KP000634</v>
      </c>
      <c r="E347" s="18" t="str">
        <f>[2]Trucks!J344</f>
        <v>CKD</v>
      </c>
      <c r="F347" s="12" t="str">
        <f>[2]Trucks!E344</f>
        <v>2018-02-28</v>
      </c>
      <c r="G347" s="56">
        <f>[2]Trucks!K344</f>
        <v>14.7</v>
      </c>
      <c r="H347" s="46">
        <f>[2]Trucks!I344</f>
        <v>42947</v>
      </c>
      <c r="I347" s="83" t="str">
        <f t="shared" si="25"/>
        <v>2017Q3</v>
      </c>
      <c r="J347" s="272">
        <f>IFERROR(VLOOKUP((D347&amp;C347)&amp;"",'[2]Retail Price List'!$C$4:$F$102,3,FALSE),"")</f>
        <v>1700000</v>
      </c>
      <c r="K347" s="272">
        <f>IFERROR(IF(BA347="WIP - 30 Days",VLOOKUP(D347,[3]Standard!$B$9:$E$101,4,FALSE),IF(BA347="31-120 Days",VLOOKUP(D347,[3]Standard!$B$9:$F$101,5,FALSE),IF(BA347="121-365 Days",VLOOKUP(D347,[3]Standard!$B$9:$G$101,6,FALSE),VLOOKUP(D347,[3]Standard!$B$9:$H$101,7,FALSE)))),0)</f>
        <v>1313250</v>
      </c>
      <c r="L347" s="272">
        <f>IFERROR(IF(BA347="WIP - 30 Days",VLOOKUP(D347,[3]Standard!$B$9:$J$101,9,FALSE),IF(BA347="31-120 Days",VLOOKUP(D347,[3]Standard!$B$9:$K$100,10,FALSE),IF(BA347="121-365 Days",VLOOKUP(D347,[3]Standard!$B$9:$L$101,11,FALSE),VLOOKUP(D347,[3]Standard!$B$9:$M$101,12,FALSE)))),0)</f>
        <v>1275000</v>
      </c>
      <c r="M347" s="269">
        <f>IFERROR(VLOOKUP((D347&amp;C347)&amp;"",'[2]Retail Price List'!$C$4:$F$102,4,FALSE),"")</f>
        <v>1735000</v>
      </c>
      <c r="N347" s="269">
        <f>IFERROR(IF(BA347="WIP - 30 Days",VLOOKUP(D347,[3]Extended!$B$9:$E$101,4,FALSE),IF(BA347="31-120 Days",VLOOKUP(D347,[3]Extended!$B$9:$F$101,5,FALSE),IF(BA347="121-365 Days",VLOOKUP(D347,[3]Extended!$B$9:$G$101,6,FALSE),VLOOKUP(D347,[3]Extended!$B$9:$H$101,7,FALSE)))),0)</f>
        <v>1322417</v>
      </c>
      <c r="O347" s="269">
        <f>IFERROR(IF(BA347="WIP - 30 Days",VLOOKUP(D347,[3]Extended!$B$9:$J$101,9,FALSE),IF(BA347="31-120 Days",VLOOKUP(D347,[3]Extended!$B$9:$K$101,10,FALSE),IF(BA347="121-365 Days",VLOOKUP(D347,[3]Extended!$B$9:$L$101,11,FALSE),VLOOKUP(D347,[3]Extended!$B$9:$M$101,12,FALSE)))),0)</f>
        <v>1283900</v>
      </c>
      <c r="P347" s="116">
        <f t="shared" si="26"/>
        <v>0.26</v>
      </c>
      <c r="Q347" s="110" t="e">
        <f>O347-#REF!</f>
        <v>#REF!</v>
      </c>
      <c r="W347" s="311"/>
      <c r="X347" s="311"/>
      <c r="Y347" s="311"/>
      <c r="Z347" s="311"/>
      <c r="AA347" s="311"/>
      <c r="AB347" s="311"/>
      <c r="AC347" s="311"/>
      <c r="AT347" s="88" t="str">
        <f t="shared" si="27"/>
        <v>KP0006342017Q314,7</v>
      </c>
      <c r="AU347" s="89" t="str">
        <f t="shared" si="28"/>
        <v>07-2017</v>
      </c>
      <c r="BA347" s="92" t="str">
        <f t="shared" si="29"/>
        <v>WIP - 30 Days</v>
      </c>
    </row>
    <row r="348" spans="1:56">
      <c r="B348" s="60">
        <f>[2]Trucks!A345</f>
        <v>47840</v>
      </c>
      <c r="C348" s="11" t="str">
        <f>[2]Trucks!B345</f>
        <v>TGS-26-4406X4BLS-LX</v>
      </c>
      <c r="D348" s="19" t="str">
        <f>IFERROR(VLOOKUP(C348&amp;"",'[2]Retail Price List'!$A$3:$B$103,2,FALSE),"Special Order")</f>
        <v>KP000634</v>
      </c>
      <c r="E348" s="18" t="str">
        <f>[2]Trucks!J345</f>
        <v>CKD</v>
      </c>
      <c r="F348" s="12" t="str">
        <f>[2]Trucks!E345</f>
        <v>2018-02-28</v>
      </c>
      <c r="G348" s="56">
        <f>[2]Trucks!K345</f>
        <v>14.7</v>
      </c>
      <c r="H348" s="46">
        <f>[2]Trucks!I345</f>
        <v>42947</v>
      </c>
      <c r="I348" s="83" t="str">
        <f t="shared" si="25"/>
        <v>2017Q3</v>
      </c>
      <c r="J348" s="272">
        <f>IFERROR(VLOOKUP((D348&amp;C348)&amp;"",'[2]Retail Price List'!$C$4:$F$102,3,FALSE),"")</f>
        <v>1700000</v>
      </c>
      <c r="K348" s="272">
        <f>IFERROR(IF(BA348="WIP - 30 Days",VLOOKUP(D348,[3]Standard!$B$9:$E$101,4,FALSE),IF(BA348="31-120 Days",VLOOKUP(D348,[3]Standard!$B$9:$F$101,5,FALSE),IF(BA348="121-365 Days",VLOOKUP(D348,[3]Standard!$B$9:$G$101,6,FALSE),VLOOKUP(D348,[3]Standard!$B$9:$H$101,7,FALSE)))),0)</f>
        <v>1313250</v>
      </c>
      <c r="L348" s="272">
        <f>IFERROR(IF(BA348="WIP - 30 Days",VLOOKUP(D348,[3]Standard!$B$9:$J$101,9,FALSE),IF(BA348="31-120 Days",VLOOKUP(D348,[3]Standard!$B$9:$K$100,10,FALSE),IF(BA348="121-365 Days",VLOOKUP(D348,[3]Standard!$B$9:$L$101,11,FALSE),VLOOKUP(D348,[3]Standard!$B$9:$M$101,12,FALSE)))),0)</f>
        <v>1275000</v>
      </c>
      <c r="M348" s="269">
        <f>IFERROR(VLOOKUP((D348&amp;C348)&amp;"",'[2]Retail Price List'!$C$4:$F$102,4,FALSE),"")</f>
        <v>1735000</v>
      </c>
      <c r="N348" s="269">
        <f>IFERROR(IF(BA348="WIP - 30 Days",VLOOKUP(D348,[3]Extended!$B$9:$E$101,4,FALSE),IF(BA348="31-120 Days",VLOOKUP(D348,[3]Extended!$B$9:$F$101,5,FALSE),IF(BA348="121-365 Days",VLOOKUP(D348,[3]Extended!$B$9:$G$101,6,FALSE),VLOOKUP(D348,[3]Extended!$B$9:$H$101,7,FALSE)))),0)</f>
        <v>1322417</v>
      </c>
      <c r="O348" s="269">
        <f>IFERROR(IF(BA348="WIP - 30 Days",VLOOKUP(D348,[3]Extended!$B$9:$J$101,9,FALSE),IF(BA348="31-120 Days",VLOOKUP(D348,[3]Extended!$B$9:$K$101,10,FALSE),IF(BA348="121-365 Days",VLOOKUP(D348,[3]Extended!$B$9:$L$101,11,FALSE),VLOOKUP(D348,[3]Extended!$B$9:$M$101,12,FALSE)))),0)</f>
        <v>1283900</v>
      </c>
      <c r="P348" s="116">
        <f t="shared" si="26"/>
        <v>0.26</v>
      </c>
      <c r="Q348" s="110" t="e">
        <f>O348-#REF!</f>
        <v>#REF!</v>
      </c>
      <c r="W348" s="311"/>
      <c r="X348" s="311"/>
      <c r="Y348" s="311"/>
      <c r="Z348" s="311"/>
      <c r="AA348" s="311"/>
      <c r="AB348" s="311"/>
      <c r="AC348" s="311"/>
      <c r="AT348" s="88" t="str">
        <f t="shared" si="27"/>
        <v>KP0006342017Q314,7</v>
      </c>
      <c r="AU348" s="89" t="str">
        <f t="shared" si="28"/>
        <v>07-2017</v>
      </c>
      <c r="BA348" s="92" t="str">
        <f t="shared" si="29"/>
        <v>WIP - 30 Days</v>
      </c>
    </row>
    <row r="349" spans="1:56">
      <c r="B349" s="60">
        <f>[2]Trucks!A346</f>
        <v>47841</v>
      </c>
      <c r="C349" s="11" t="str">
        <f>[2]Trucks!B346</f>
        <v>TGS-26-4406X4BLS-LX</v>
      </c>
      <c r="D349" s="19" t="str">
        <f>IFERROR(VLOOKUP(C349&amp;"",'[2]Retail Price List'!$A$3:$B$103,2,FALSE),"Special Order")</f>
        <v>KP000634</v>
      </c>
      <c r="E349" s="18" t="str">
        <f>[2]Trucks!J346</f>
        <v>CKD</v>
      </c>
      <c r="F349" s="12" t="str">
        <f>[2]Trucks!E346</f>
        <v>2018-02-28</v>
      </c>
      <c r="G349" s="56">
        <f>[2]Trucks!K346</f>
        <v>14.7</v>
      </c>
      <c r="H349" s="46">
        <f>[2]Trucks!I346</f>
        <v>42947</v>
      </c>
      <c r="I349" s="83" t="str">
        <f t="shared" si="25"/>
        <v>2017Q3</v>
      </c>
      <c r="J349" s="272">
        <f>IFERROR(VLOOKUP((D349&amp;C349)&amp;"",'[2]Retail Price List'!$C$4:$F$102,3,FALSE),"")</f>
        <v>1700000</v>
      </c>
      <c r="K349" s="272">
        <f>IFERROR(IF(BA349="WIP - 30 Days",VLOOKUP(D349,[3]Standard!$B$9:$E$101,4,FALSE),IF(BA349="31-120 Days",VLOOKUP(D349,[3]Standard!$B$9:$F$101,5,FALSE),IF(BA349="121-365 Days",VLOOKUP(D349,[3]Standard!$B$9:$G$101,6,FALSE),VLOOKUP(D349,[3]Standard!$B$9:$H$101,7,FALSE)))),0)</f>
        <v>1313250</v>
      </c>
      <c r="L349" s="272">
        <f>IFERROR(IF(BA349="WIP - 30 Days",VLOOKUP(D349,[3]Standard!$B$9:$J$101,9,FALSE),IF(BA349="31-120 Days",VLOOKUP(D349,[3]Standard!$B$9:$K$100,10,FALSE),IF(BA349="121-365 Days",VLOOKUP(D349,[3]Standard!$B$9:$L$101,11,FALSE),VLOOKUP(D349,[3]Standard!$B$9:$M$101,12,FALSE)))),0)</f>
        <v>1275000</v>
      </c>
      <c r="M349" s="269">
        <f>IFERROR(VLOOKUP((D349&amp;C349)&amp;"",'[2]Retail Price List'!$C$4:$F$102,4,FALSE),"")</f>
        <v>1735000</v>
      </c>
      <c r="N349" s="269">
        <f>IFERROR(IF(BA349="WIP - 30 Days",VLOOKUP(D349,[3]Extended!$B$9:$E$101,4,FALSE),IF(BA349="31-120 Days",VLOOKUP(D349,[3]Extended!$B$9:$F$101,5,FALSE),IF(BA349="121-365 Days",VLOOKUP(D349,[3]Extended!$B$9:$G$101,6,FALSE),VLOOKUP(D349,[3]Extended!$B$9:$H$101,7,FALSE)))),0)</f>
        <v>1322417</v>
      </c>
      <c r="O349" s="269">
        <f>IFERROR(IF(BA349="WIP - 30 Days",VLOOKUP(D349,[3]Extended!$B$9:$J$101,9,FALSE),IF(BA349="31-120 Days",VLOOKUP(D349,[3]Extended!$B$9:$K$101,10,FALSE),IF(BA349="121-365 Days",VLOOKUP(D349,[3]Extended!$B$9:$L$101,11,FALSE),VLOOKUP(D349,[3]Extended!$B$9:$M$101,12,FALSE)))),0)</f>
        <v>1283900</v>
      </c>
      <c r="P349" s="116">
        <f t="shared" si="26"/>
        <v>0.26</v>
      </c>
      <c r="Q349" s="110" t="e">
        <f>O349-#REF!</f>
        <v>#REF!</v>
      </c>
      <c r="W349" s="311"/>
      <c r="X349" s="311"/>
      <c r="Y349" s="311"/>
      <c r="Z349" s="311"/>
      <c r="AA349" s="311"/>
      <c r="AB349" s="311"/>
      <c r="AC349" s="311"/>
      <c r="AT349" s="88" t="str">
        <f t="shared" si="27"/>
        <v>KP0006342017Q314,7</v>
      </c>
      <c r="AU349" s="89" t="str">
        <f t="shared" si="28"/>
        <v>07-2017</v>
      </c>
      <c r="BA349" s="92" t="str">
        <f t="shared" si="29"/>
        <v>WIP - 30 Days</v>
      </c>
    </row>
    <row r="350" spans="1:56">
      <c r="B350" s="60">
        <f>[2]Trucks!A347</f>
        <v>47842</v>
      </c>
      <c r="C350" s="11" t="str">
        <f>[2]Trucks!B347</f>
        <v>TGS-26-4406X4BLS-LX</v>
      </c>
      <c r="D350" s="19" t="str">
        <f>IFERROR(VLOOKUP(C350&amp;"",'[2]Retail Price List'!$A$3:$B$103,2,FALSE),"Special Order")</f>
        <v>KP000634</v>
      </c>
      <c r="E350" s="18" t="str">
        <f>[2]Trucks!J347</f>
        <v>CKD</v>
      </c>
      <c r="F350" s="12" t="str">
        <f>[2]Trucks!E347</f>
        <v>2018-02-28</v>
      </c>
      <c r="G350" s="56">
        <f>[2]Trucks!K347</f>
        <v>14.7</v>
      </c>
      <c r="H350" s="46">
        <f>[2]Trucks!I347</f>
        <v>42947</v>
      </c>
      <c r="I350" s="83" t="str">
        <f t="shared" si="25"/>
        <v>2017Q3</v>
      </c>
      <c r="J350" s="272">
        <f>IFERROR(VLOOKUP((D350&amp;C350)&amp;"",'[2]Retail Price List'!$C$4:$F$102,3,FALSE),"")</f>
        <v>1700000</v>
      </c>
      <c r="K350" s="272">
        <f>IFERROR(IF(BA350="WIP - 30 Days",VLOOKUP(D350,[3]Standard!$B$9:$E$101,4,FALSE),IF(BA350="31-120 Days",VLOOKUP(D350,[3]Standard!$B$9:$F$101,5,FALSE),IF(BA350="121-365 Days",VLOOKUP(D350,[3]Standard!$B$9:$G$101,6,FALSE),VLOOKUP(D350,[3]Standard!$B$9:$H$101,7,FALSE)))),0)</f>
        <v>1313250</v>
      </c>
      <c r="L350" s="272">
        <f>IFERROR(IF(BA350="WIP - 30 Days",VLOOKUP(D350,[3]Standard!$B$9:$J$101,9,FALSE),IF(BA350="31-120 Days",VLOOKUP(D350,[3]Standard!$B$9:$K$100,10,FALSE),IF(BA350="121-365 Days",VLOOKUP(D350,[3]Standard!$B$9:$L$101,11,FALSE),VLOOKUP(D350,[3]Standard!$B$9:$M$101,12,FALSE)))),0)</f>
        <v>1275000</v>
      </c>
      <c r="M350" s="269">
        <f>IFERROR(VLOOKUP((D350&amp;C350)&amp;"",'[2]Retail Price List'!$C$4:$F$102,4,FALSE),"")</f>
        <v>1735000</v>
      </c>
      <c r="N350" s="269">
        <f>IFERROR(IF(BA350="WIP - 30 Days",VLOOKUP(D350,[3]Extended!$B$9:$E$101,4,FALSE),IF(BA350="31-120 Days",VLOOKUP(D350,[3]Extended!$B$9:$F$101,5,FALSE),IF(BA350="121-365 Days",VLOOKUP(D350,[3]Extended!$B$9:$G$101,6,FALSE),VLOOKUP(D350,[3]Extended!$B$9:$H$101,7,FALSE)))),0)</f>
        <v>1322417</v>
      </c>
      <c r="O350" s="269">
        <f>IFERROR(IF(BA350="WIP - 30 Days",VLOOKUP(D350,[3]Extended!$B$9:$J$101,9,FALSE),IF(BA350="31-120 Days",VLOOKUP(D350,[3]Extended!$B$9:$K$101,10,FALSE),IF(BA350="121-365 Days",VLOOKUP(D350,[3]Extended!$B$9:$L$101,11,FALSE),VLOOKUP(D350,[3]Extended!$B$9:$M$101,12,FALSE)))),0)</f>
        <v>1283900</v>
      </c>
      <c r="P350" s="116">
        <f t="shared" si="26"/>
        <v>0.26</v>
      </c>
      <c r="Q350" s="110" t="e">
        <f>O350-#REF!</f>
        <v>#REF!</v>
      </c>
      <c r="W350" s="311"/>
      <c r="X350" s="311"/>
      <c r="Y350" s="311"/>
      <c r="Z350" s="311"/>
      <c r="AA350" s="311"/>
      <c r="AB350" s="311"/>
      <c r="AC350" s="311"/>
      <c r="AT350" s="88" t="str">
        <f t="shared" si="27"/>
        <v>KP0006342017Q314,7</v>
      </c>
      <c r="AU350" s="89" t="str">
        <f t="shared" si="28"/>
        <v>07-2017</v>
      </c>
      <c r="BA350" s="92" t="str">
        <f t="shared" si="29"/>
        <v>WIP - 30 Days</v>
      </c>
    </row>
    <row r="351" spans="1:56">
      <c r="B351" s="60" t="str">
        <f>[2]Trucks!A348</f>
        <v>78W-5552</v>
      </c>
      <c r="C351" s="11" t="str">
        <f>[2]Trucks!B348</f>
        <v>TGS-26-4406X4BLS-LX</v>
      </c>
      <c r="D351" s="19" t="str">
        <f>IFERROR(VLOOKUP(C351&amp;"",'[2]Retail Price List'!$A$3:$B$103,2,FALSE),"Special Order")</f>
        <v>KP000634</v>
      </c>
      <c r="E351" s="18" t="str">
        <f>[2]Trucks!J348</f>
        <v>DEMO</v>
      </c>
      <c r="F351" s="12">
        <f>[2]Trucks!E348</f>
        <v>249</v>
      </c>
      <c r="G351" s="56">
        <f>[2]Trucks!K348</f>
        <v>17.3</v>
      </c>
      <c r="H351" s="46">
        <f>[2]Trucks!I348</f>
        <v>42499</v>
      </c>
      <c r="I351" s="83" t="str">
        <f t="shared" si="25"/>
        <v>2016Q2</v>
      </c>
      <c r="J351" s="272">
        <f>IFERROR(VLOOKUP((D351&amp;C351)&amp;"",'[2]Retail Price List'!$C$4:$F$102,3,FALSE),"")</f>
        <v>1700000</v>
      </c>
      <c r="K351" s="272">
        <f>IFERROR(IF(BA351="WIP - 30 Days",VLOOKUP(D351,[3]Standard!$B$9:$E$101,4,FALSE),IF(BA351="31-120 Days",VLOOKUP(D351,[3]Standard!$B$9:$F$101,5,FALSE),IF(BA351="121-365 Days",VLOOKUP(D351,[3]Standard!$B$9:$G$101,6,FALSE),VLOOKUP(D351,[3]Standard!$B$9:$H$101,7,FALSE)))),0)</f>
        <v>1260720</v>
      </c>
      <c r="L351" s="272">
        <f>IFERROR(IF(BA351="WIP - 30 Days",VLOOKUP(D351,[3]Standard!$B$9:$J$101,9,FALSE),IF(BA351="31-120 Days",VLOOKUP(D351,[3]Standard!$B$9:$K$100,10,FALSE),IF(BA351="121-365 Days",VLOOKUP(D351,[3]Standard!$B$9:$L$101,11,FALSE),VLOOKUP(D351,[3]Standard!$B$9:$M$101,12,FALSE)))),0)</f>
        <v>1224000</v>
      </c>
      <c r="M351" s="269">
        <f>IFERROR(VLOOKUP((D351&amp;C351)&amp;"",'[2]Retail Price List'!$C$4:$F$102,4,FALSE),"")</f>
        <v>1735000</v>
      </c>
      <c r="N351" s="269">
        <f>IFERROR(IF(BA351="WIP - 30 Days",VLOOKUP(D351,[3]Extended!$B$9:$E$101,4,FALSE),IF(BA351="31-120 Days",VLOOKUP(D351,[3]Extended!$B$9:$F$101,5,FALSE),IF(BA351="121-365 Days",VLOOKUP(D351,[3]Extended!$B$9:$G$101,6,FALSE),VLOOKUP(D351,[3]Extended!$B$9:$H$101,7,FALSE)))),0)</f>
        <v>1286676</v>
      </c>
      <c r="O351" s="269">
        <f>IFERROR(IF(BA351="WIP - 30 Days",VLOOKUP(D351,[3]Extended!$B$9:$J$101,9,FALSE),IF(BA351="31-120 Days",VLOOKUP(D351,[3]Extended!$B$9:$K$101,10,FALSE),IF(BA351="121-365 Days",VLOOKUP(D351,[3]Extended!$B$9:$L$101,11,FALSE),VLOOKUP(D351,[3]Extended!$B$9:$M$101,12,FALSE)))),0)</f>
        <v>1249200</v>
      </c>
      <c r="P351" s="116">
        <f t="shared" si="26"/>
        <v>0.28000000000000003</v>
      </c>
      <c r="Q351" s="110" t="e">
        <f>O351-#REF!</f>
        <v>#REF!</v>
      </c>
      <c r="W351" s="311"/>
      <c r="X351" s="311"/>
      <c r="Y351" s="311"/>
      <c r="Z351" s="311"/>
      <c r="AA351" s="311"/>
      <c r="AB351" s="311"/>
      <c r="AC351" s="311"/>
      <c r="AT351" s="88" t="str">
        <f t="shared" si="27"/>
        <v>KP0006342016Q217,3</v>
      </c>
      <c r="AU351" s="89" t="str">
        <f t="shared" si="28"/>
        <v>05-2016</v>
      </c>
      <c r="BA351" s="92" t="str">
        <f t="shared" si="29"/>
        <v>121-365 Days</v>
      </c>
    </row>
    <row r="352" spans="1:56" s="4" customFormat="1">
      <c r="A352" s="69"/>
      <c r="B352" s="60" t="str">
        <f>[2]Trucks!A349</f>
        <v>78W-5558</v>
      </c>
      <c r="C352" s="11" t="str">
        <f>[2]Trucks!B349</f>
        <v>TGS-26-4406X4BLS-LX</v>
      </c>
      <c r="D352" s="19" t="str">
        <f>IFERROR(VLOOKUP(C352&amp;"",'[2]Retail Price List'!$A$3:$B$103,2,FALSE),"Special Order")</f>
        <v>KP000634</v>
      </c>
      <c r="E352" s="18" t="str">
        <f>[2]Trucks!J349</f>
        <v>DEMO</v>
      </c>
      <c r="F352" s="12">
        <f>[2]Trucks!E349</f>
        <v>247</v>
      </c>
      <c r="G352" s="56">
        <f>[2]Trucks!K349</f>
        <v>17.3</v>
      </c>
      <c r="H352" s="46">
        <f>[2]Trucks!I349</f>
        <v>42499</v>
      </c>
      <c r="I352" s="83" t="str">
        <f t="shared" si="25"/>
        <v>2016Q2</v>
      </c>
      <c r="J352" s="272">
        <f>IFERROR(VLOOKUP((D352&amp;C352)&amp;"",'[2]Retail Price List'!$C$4:$F$102,3,FALSE),"")</f>
        <v>1700000</v>
      </c>
      <c r="K352" s="272">
        <f>IFERROR(IF(BA352="WIP - 30 Days",VLOOKUP(D352,[3]Standard!$B$9:$E$101,4,FALSE),IF(BA352="31-120 Days",VLOOKUP(D352,[3]Standard!$B$9:$F$101,5,FALSE),IF(BA352="121-365 Days",VLOOKUP(D352,[3]Standard!$B$9:$G$101,6,FALSE),VLOOKUP(D352,[3]Standard!$B$9:$H$101,7,FALSE)))),0)</f>
        <v>1260720</v>
      </c>
      <c r="L352" s="272">
        <f>IFERROR(IF(BA352="WIP - 30 Days",VLOOKUP(D352,[3]Standard!$B$9:$J$101,9,FALSE),IF(BA352="31-120 Days",VLOOKUP(D352,[3]Standard!$B$9:$K$100,10,FALSE),IF(BA352="121-365 Days",VLOOKUP(D352,[3]Standard!$B$9:$L$101,11,FALSE),VLOOKUP(D352,[3]Standard!$B$9:$M$101,12,FALSE)))),0)</f>
        <v>1224000</v>
      </c>
      <c r="M352" s="269">
        <f>IFERROR(VLOOKUP((D352&amp;C352)&amp;"",'[2]Retail Price List'!$C$4:$F$102,4,FALSE),"")</f>
        <v>1735000</v>
      </c>
      <c r="N352" s="269">
        <f>IFERROR(IF(BA352="WIP - 30 Days",VLOOKUP(D352,[3]Extended!$B$9:$E$101,4,FALSE),IF(BA352="31-120 Days",VLOOKUP(D352,[3]Extended!$B$9:$F$101,5,FALSE),IF(BA352="121-365 Days",VLOOKUP(D352,[3]Extended!$B$9:$G$101,6,FALSE),VLOOKUP(D352,[3]Extended!$B$9:$H$101,7,FALSE)))),0)</f>
        <v>1286676</v>
      </c>
      <c r="O352" s="269">
        <f>IFERROR(IF(BA352="WIP - 30 Days",VLOOKUP(D352,[3]Extended!$B$9:$J$101,9,FALSE),IF(BA352="31-120 Days",VLOOKUP(D352,[3]Extended!$B$9:$K$101,10,FALSE),IF(BA352="121-365 Days",VLOOKUP(D352,[3]Extended!$B$9:$L$101,11,FALSE),VLOOKUP(D352,[3]Extended!$B$9:$M$101,12,FALSE)))),0)</f>
        <v>1249200</v>
      </c>
      <c r="P352" s="116">
        <f t="shared" si="26"/>
        <v>0.28000000000000003</v>
      </c>
      <c r="Q352" s="110" t="e">
        <f>O352-#REF!</f>
        <v>#REF!</v>
      </c>
      <c r="R352" s="111" t="e">
        <f>SUM(Q317:Q351)/SUM(O317:O351)</f>
        <v>#REF!</v>
      </c>
      <c r="S352" s="112"/>
      <c r="T352" s="112"/>
      <c r="U352" s="112"/>
      <c r="V352" s="112"/>
      <c r="W352" s="311"/>
      <c r="X352" s="311"/>
      <c r="Y352" s="311"/>
      <c r="Z352" s="311"/>
      <c r="AA352" s="311"/>
      <c r="AB352" s="311"/>
      <c r="AC352" s="311"/>
      <c r="AD352" s="89"/>
      <c r="AE352" s="89"/>
      <c r="AF352" s="89"/>
      <c r="AG352" s="5"/>
      <c r="AH352" s="5"/>
      <c r="AI352" s="5"/>
      <c r="AJ352" s="5"/>
      <c r="AK352" s="5"/>
      <c r="AL352" s="5"/>
      <c r="AM352" s="5"/>
      <c r="AN352" s="5"/>
      <c r="AO352" s="5"/>
      <c r="AP352" s="5"/>
      <c r="AQ352" s="5"/>
      <c r="AR352" s="5"/>
      <c r="AS352" s="5"/>
      <c r="AT352" s="88" t="str">
        <f t="shared" si="27"/>
        <v>KP0006342016Q217,3</v>
      </c>
      <c r="AU352" s="89" t="str">
        <f t="shared" si="28"/>
        <v>05-2016</v>
      </c>
      <c r="AV352" s="89"/>
      <c r="AW352" s="89"/>
      <c r="AX352" s="89"/>
      <c r="AY352" s="89"/>
      <c r="AZ352" s="89"/>
      <c r="BA352" s="92" t="str">
        <f t="shared" si="29"/>
        <v>121-365 Days</v>
      </c>
      <c r="BB352" s="89"/>
      <c r="BC352" s="97"/>
      <c r="BD352" s="97"/>
    </row>
    <row r="353" spans="1:56">
      <c r="B353" s="60" t="str">
        <f>[2]Trucks!A350</f>
        <v>TBAKP634</v>
      </c>
      <c r="C353" s="11" t="str">
        <f>[2]Trucks!B350</f>
        <v>TGS-26-4406X4BLS-LX</v>
      </c>
      <c r="D353" s="19" t="str">
        <f>IFERROR(VLOOKUP(C353&amp;"",'[2]Retail Price List'!$A$3:$B$103,2,FALSE),"Special Order")</f>
        <v>KP000634</v>
      </c>
      <c r="E353" s="18" t="str">
        <f>[2]Trucks!J350</f>
        <v>CKD</v>
      </c>
      <c r="F353" s="12" t="str">
        <f>[2]Trucks!E350</f>
        <v>2018-02-15</v>
      </c>
      <c r="G353" s="56">
        <f>[2]Trucks!K350</f>
        <v>14.7</v>
      </c>
      <c r="H353" s="46">
        <f>[2]Trucks!I350</f>
        <v>42921</v>
      </c>
      <c r="I353" s="83" t="str">
        <f t="shared" si="25"/>
        <v>2017Q3</v>
      </c>
      <c r="J353" s="272">
        <f>IFERROR(VLOOKUP((D353&amp;C353)&amp;"",'[2]Retail Price List'!$C$4:$F$102,3,FALSE),"")</f>
        <v>1700000</v>
      </c>
      <c r="K353" s="272">
        <f>IFERROR(IF(BA353="WIP - 30 Days",VLOOKUP(D353,[3]Standard!$B$9:$E$101,4,FALSE),IF(BA353="31-120 Days",VLOOKUP(D353,[3]Standard!$B$9:$F$101,5,FALSE),IF(BA353="121-365 Days",VLOOKUP(D353,[3]Standard!$B$9:$G$101,6,FALSE),VLOOKUP(D353,[3]Standard!$B$9:$H$101,7,FALSE)))),0)</f>
        <v>1313250</v>
      </c>
      <c r="L353" s="272">
        <f>IFERROR(IF(BA353="WIP - 30 Days",VLOOKUP(D353,[3]Standard!$B$9:$J$101,9,FALSE),IF(BA353="31-120 Days",VLOOKUP(D353,[3]Standard!$B$9:$K$100,10,FALSE),IF(BA353="121-365 Days",VLOOKUP(D353,[3]Standard!$B$9:$L$101,11,FALSE),VLOOKUP(D353,[3]Standard!$B$9:$M$101,12,FALSE)))),0)</f>
        <v>1275000</v>
      </c>
      <c r="M353" s="269">
        <f>IFERROR(VLOOKUP((D353&amp;C353)&amp;"",'[2]Retail Price List'!$C$4:$F$102,4,FALSE),"")</f>
        <v>1735000</v>
      </c>
      <c r="N353" s="269">
        <f>IFERROR(IF(BA353="WIP - 30 Days",VLOOKUP(D353,[3]Extended!$B$9:$E$101,4,FALSE),IF(BA353="31-120 Days",VLOOKUP(D353,[3]Extended!$B$9:$F$101,5,FALSE),IF(BA353="121-365 Days",VLOOKUP(D353,[3]Extended!$B$9:$G$101,6,FALSE),VLOOKUP(D353,[3]Extended!$B$9:$H$101,7,FALSE)))),0)</f>
        <v>1322417</v>
      </c>
      <c r="O353" s="269">
        <f>IFERROR(IF(BA353="WIP - 30 Days",VLOOKUP(D353,[3]Extended!$B$9:$J$101,9,FALSE),IF(BA353="31-120 Days",VLOOKUP(D353,[3]Extended!$B$9:$K$101,10,FALSE),IF(BA353="121-365 Days",VLOOKUP(D353,[3]Extended!$B$9:$L$101,11,FALSE),VLOOKUP(D353,[3]Extended!$B$9:$M$101,12,FALSE)))),0)</f>
        <v>1283900</v>
      </c>
      <c r="P353" s="116">
        <f t="shared" si="26"/>
        <v>0.26</v>
      </c>
      <c r="Q353" s="110" t="e">
        <f>O353-#REF!</f>
        <v>#REF!</v>
      </c>
      <c r="S353" s="112">
        <f>COUNT(#REF!)</f>
        <v>0</v>
      </c>
      <c r="W353" s="311"/>
      <c r="X353" s="311"/>
      <c r="Y353" s="311"/>
      <c r="Z353" s="311"/>
      <c r="AA353" s="311"/>
      <c r="AB353" s="311"/>
      <c r="AC353" s="311"/>
      <c r="AT353" s="88" t="str">
        <f t="shared" si="27"/>
        <v>KP0006342017Q314,7</v>
      </c>
      <c r="AU353" s="89" t="str">
        <f t="shared" si="28"/>
        <v>07-2017</v>
      </c>
      <c r="BA353" s="92" t="str">
        <f t="shared" si="29"/>
        <v>WIP - 30 Days</v>
      </c>
    </row>
    <row r="354" spans="1:56">
      <c r="B354" s="60" t="str">
        <f>[2]Trucks!A351</f>
        <v>78W-5815</v>
      </c>
      <c r="C354" s="11" t="str">
        <f>[2]Trucks!B351</f>
        <v>TGS-26-4406X4BLS-LX-ADR</v>
      </c>
      <c r="D354" s="19" t="str">
        <f>IFERROR(VLOOKUP(C354&amp;"",'[2]Retail Price List'!$A$3:$B$103,2,FALSE),"Special Order")</f>
        <v>TGS00001</v>
      </c>
      <c r="E354" s="18" t="str">
        <f>[2]Trucks!J351</f>
        <v>CKD</v>
      </c>
      <c r="F354" s="12" t="str">
        <f>[2]Trucks!E351</f>
        <v>2017-06-29</v>
      </c>
      <c r="G354" s="56">
        <f>[2]Trucks!K351</f>
        <v>15.4</v>
      </c>
      <c r="H354" s="46">
        <f>[2]Trucks!I351</f>
        <v>42784</v>
      </c>
      <c r="I354" s="83" t="str">
        <f t="shared" si="25"/>
        <v>2017Q1</v>
      </c>
      <c r="J354" s="272">
        <f>IFERROR(VLOOKUP((D354&amp;C354)&amp;"",'[2]Retail Price List'!$C$4:$F$102,3,FALSE),"")</f>
        <v>1750000</v>
      </c>
      <c r="K354" s="272">
        <f>IFERROR(IF(BA354="WIP - 30 Days",VLOOKUP(D354,[3]Standard!$B$9:$E$101,4,FALSE),IF(BA354="31-120 Days",VLOOKUP(D354,[3]Standard!$B$9:$F$101,5,FALSE),IF(BA354="121-365 Days",VLOOKUP(D354,[3]Standard!$B$9:$G$101,6,FALSE),VLOOKUP(D354,[3]Standard!$B$9:$H$101,7,FALSE)))),0)</f>
        <v>1324837.5</v>
      </c>
      <c r="L354" s="272">
        <f>IFERROR(IF(BA354="WIP - 30 Days",VLOOKUP(D354,[3]Standard!$B$9:$J$101,9,FALSE),IF(BA354="31-120 Days",VLOOKUP(D354,[3]Standard!$B$9:$K$100,10,FALSE),IF(BA354="121-365 Days",VLOOKUP(D354,[3]Standard!$B$9:$L$101,11,FALSE),VLOOKUP(D354,[3]Standard!$B$9:$M$101,12,FALSE)))),0)</f>
        <v>1286250</v>
      </c>
      <c r="M354" s="269">
        <f>IFERROR(VLOOKUP((D354&amp;C354)&amp;"",'[2]Retail Price List'!$C$4:$F$102,4,FALSE),"")</f>
        <v>1785000</v>
      </c>
      <c r="N354" s="269">
        <f>IFERROR(IF(BA354="WIP - 30 Days",VLOOKUP(D354,[3]Extended!$B$9:$E$101,4,FALSE),IF(BA354="31-120 Days",VLOOKUP(D354,[3]Extended!$B$9:$F$101,5,FALSE),IF(BA354="121-365 Days",VLOOKUP(D354,[3]Extended!$B$9:$G$101,6,FALSE),VLOOKUP(D354,[3]Extended!$B$9:$H$101,7,FALSE)))),0)</f>
        <v>1360527</v>
      </c>
      <c r="O354" s="269">
        <f>IFERROR(IF(BA354="WIP - 30 Days",VLOOKUP(D354,[3]Extended!$B$9:$J$101,9,FALSE),IF(BA354="31-120 Days",VLOOKUP(D354,[3]Extended!$B$9:$K$101,10,FALSE),IF(BA354="121-365 Days",VLOOKUP(D354,[3]Extended!$B$9:$L$101,11,FALSE),VLOOKUP(D354,[3]Extended!$B$9:$M$101,12,FALSE)))),0)</f>
        <v>1320900</v>
      </c>
      <c r="P354" s="116">
        <f t="shared" si="26"/>
        <v>0.26</v>
      </c>
      <c r="Q354" s="110" t="e">
        <f>O354-#REF!</f>
        <v>#REF!</v>
      </c>
      <c r="S354" s="110" t="e">
        <f>AVERAGE(#REF!)</f>
        <v>#REF!</v>
      </c>
      <c r="W354" s="311"/>
      <c r="X354" s="311"/>
      <c r="Y354" s="311"/>
      <c r="Z354" s="311"/>
      <c r="AA354" s="311"/>
      <c r="AB354" s="311"/>
      <c r="AC354" s="311"/>
      <c r="AT354" s="88" t="str">
        <f t="shared" si="27"/>
        <v>TGS000012017Q115,4</v>
      </c>
      <c r="AU354" s="89" t="str">
        <f t="shared" si="28"/>
        <v>02-2017</v>
      </c>
      <c r="BA354" s="92" t="str">
        <f t="shared" si="29"/>
        <v>WIP - 30 Days</v>
      </c>
    </row>
    <row r="355" spans="1:56">
      <c r="B355" s="60" t="str">
        <f>[2]Trucks!A352</f>
        <v>78W-5816</v>
      </c>
      <c r="C355" s="11" t="str">
        <f>[2]Trucks!B352</f>
        <v>TGS-26-4406X4BLS-LX-ADR</v>
      </c>
      <c r="D355" s="19" t="str">
        <f>IFERROR(VLOOKUP(C355&amp;"",'[2]Retail Price List'!$A$3:$B$103,2,FALSE),"Special Order")</f>
        <v>TGS00001</v>
      </c>
      <c r="E355" s="18" t="str">
        <f>[2]Trucks!J352</f>
        <v>UNSOLD</v>
      </c>
      <c r="F355" s="12">
        <f>[2]Trucks!E352</f>
        <v>42</v>
      </c>
      <c r="G355" s="56">
        <f>[2]Trucks!K352</f>
        <v>15.4</v>
      </c>
      <c r="H355" s="46">
        <f>[2]Trucks!I352</f>
        <v>42784</v>
      </c>
      <c r="I355" s="83" t="str">
        <f t="shared" si="25"/>
        <v>2017Q1</v>
      </c>
      <c r="J355" s="272">
        <f>IFERROR(VLOOKUP((D355&amp;C355)&amp;"",'[2]Retail Price List'!$C$4:$F$102,3,FALSE),"")</f>
        <v>1750000</v>
      </c>
      <c r="K355" s="272">
        <f>IFERROR(IF(BA355="WIP - 30 Days",VLOOKUP(D355,[3]Standard!$B$9:$E$101,4,FALSE),IF(BA355="31-120 Days",VLOOKUP(D355,[3]Standard!$B$9:$F$101,5,FALSE),IF(BA355="121-365 Days",VLOOKUP(D355,[3]Standard!$B$9:$G$101,6,FALSE),VLOOKUP(D355,[3]Standard!$B$9:$H$101,7,FALSE)))),0)</f>
        <v>1315825</v>
      </c>
      <c r="L355" s="272">
        <f>IFERROR(IF(BA355="WIP - 30 Days",VLOOKUP(D355,[3]Standard!$B$9:$J$101,9,FALSE),IF(BA355="31-120 Days",VLOOKUP(D355,[3]Standard!$B$9:$K$100,10,FALSE),IF(BA355="121-365 Days",VLOOKUP(D355,[3]Standard!$B$9:$L$101,11,FALSE),VLOOKUP(D355,[3]Standard!$B$9:$M$101,12,FALSE)))),0)</f>
        <v>1277500</v>
      </c>
      <c r="M355" s="269">
        <f>IFERROR(VLOOKUP((D355&amp;C355)&amp;"",'[2]Retail Price List'!$C$4:$F$102,4,FALSE),"")</f>
        <v>1785000</v>
      </c>
      <c r="N355" s="269">
        <f>IFERROR(IF(BA355="WIP - 30 Days",VLOOKUP(D355,[3]Extended!$B$9:$E$101,4,FALSE),IF(BA355="31-120 Days",VLOOKUP(D355,[3]Extended!$B$9:$F$101,5,FALSE),IF(BA355="121-365 Days",VLOOKUP(D355,[3]Extended!$B$9:$G$101,6,FALSE),VLOOKUP(D355,[3]Extended!$B$9:$H$101,7,FALSE)))),0)</f>
        <v>1342141.5</v>
      </c>
      <c r="O355" s="269">
        <f>IFERROR(IF(BA355="WIP - 30 Days",VLOOKUP(D355,[3]Extended!$B$9:$J$101,9,FALSE),IF(BA355="31-120 Days",VLOOKUP(D355,[3]Extended!$B$9:$K$101,10,FALSE),IF(BA355="121-365 Days",VLOOKUP(D355,[3]Extended!$B$9:$L$101,11,FALSE),VLOOKUP(D355,[3]Extended!$B$9:$M$101,12,FALSE)))),0)</f>
        <v>1303050</v>
      </c>
      <c r="P355" s="116">
        <f t="shared" si="26"/>
        <v>0.27</v>
      </c>
      <c r="Q355" s="110" t="e">
        <f>O355-#REF!</f>
        <v>#REF!</v>
      </c>
      <c r="W355" s="311"/>
      <c r="X355" s="311"/>
      <c r="Y355" s="311"/>
      <c r="Z355" s="311"/>
      <c r="AA355" s="311"/>
      <c r="AB355" s="311"/>
      <c r="AC355" s="311"/>
      <c r="AT355" s="88" t="str">
        <f t="shared" si="27"/>
        <v>TGS000012017Q115,4</v>
      </c>
      <c r="AU355" s="89" t="str">
        <f t="shared" si="28"/>
        <v>02-2017</v>
      </c>
      <c r="BA355" s="92" t="str">
        <f t="shared" si="29"/>
        <v>31-120 Days</v>
      </c>
    </row>
    <row r="356" spans="1:56" s="4" customFormat="1">
      <c r="A356" s="69"/>
      <c r="B356" s="60" t="str">
        <f>[2]Trucks!A353</f>
        <v>78W-5817</v>
      </c>
      <c r="C356" s="11" t="str">
        <f>[2]Trucks!B353</f>
        <v>TGS-26-4406X4BLS-LX-ADR</v>
      </c>
      <c r="D356" s="19" t="str">
        <f>IFERROR(VLOOKUP(C356&amp;"",'[2]Retail Price List'!$A$3:$B$103,2,FALSE),"Special Order")</f>
        <v>TGS00001</v>
      </c>
      <c r="E356" s="18" t="str">
        <f>[2]Trucks!J353</f>
        <v>UNSOLD</v>
      </c>
      <c r="F356" s="12">
        <f>[2]Trucks!E353</f>
        <v>42</v>
      </c>
      <c r="G356" s="56">
        <f>[2]Trucks!K353</f>
        <v>15.4</v>
      </c>
      <c r="H356" s="46">
        <f>[2]Trucks!I353</f>
        <v>42784</v>
      </c>
      <c r="I356" s="83" t="str">
        <f t="shared" si="25"/>
        <v>2017Q1</v>
      </c>
      <c r="J356" s="272">
        <f>IFERROR(VLOOKUP((D356&amp;C356)&amp;"",'[2]Retail Price List'!$C$4:$F$102,3,FALSE),"")</f>
        <v>1750000</v>
      </c>
      <c r="K356" s="272">
        <f>IFERROR(IF(BA356="WIP - 30 Days",VLOOKUP(D356,[3]Standard!$B$9:$E$101,4,FALSE),IF(BA356="31-120 Days",VLOOKUP(D356,[3]Standard!$B$9:$F$101,5,FALSE),IF(BA356="121-365 Days",VLOOKUP(D356,[3]Standard!$B$9:$G$101,6,FALSE),VLOOKUP(D356,[3]Standard!$B$9:$H$101,7,FALSE)))),0)</f>
        <v>1315825</v>
      </c>
      <c r="L356" s="272">
        <f>IFERROR(IF(BA356="WIP - 30 Days",VLOOKUP(D356,[3]Standard!$B$9:$J$101,9,FALSE),IF(BA356="31-120 Days",VLOOKUP(D356,[3]Standard!$B$9:$K$100,10,FALSE),IF(BA356="121-365 Days",VLOOKUP(D356,[3]Standard!$B$9:$L$101,11,FALSE),VLOOKUP(D356,[3]Standard!$B$9:$M$101,12,FALSE)))),0)</f>
        <v>1277500</v>
      </c>
      <c r="M356" s="269">
        <f>IFERROR(VLOOKUP((D356&amp;C356)&amp;"",'[2]Retail Price List'!$C$4:$F$102,4,FALSE),"")</f>
        <v>1785000</v>
      </c>
      <c r="N356" s="269">
        <f>IFERROR(IF(BA356="WIP - 30 Days",VLOOKUP(D356,[3]Extended!$B$9:$E$101,4,FALSE),IF(BA356="31-120 Days",VLOOKUP(D356,[3]Extended!$B$9:$F$101,5,FALSE),IF(BA356="121-365 Days",VLOOKUP(D356,[3]Extended!$B$9:$G$101,6,FALSE),VLOOKUP(D356,[3]Extended!$B$9:$H$101,7,FALSE)))),0)</f>
        <v>1342141.5</v>
      </c>
      <c r="O356" s="269">
        <f>IFERROR(IF(BA356="WIP - 30 Days",VLOOKUP(D356,[3]Extended!$B$9:$J$101,9,FALSE),IF(BA356="31-120 Days",VLOOKUP(D356,[3]Extended!$B$9:$K$101,10,FALSE),IF(BA356="121-365 Days",VLOOKUP(D356,[3]Extended!$B$9:$L$101,11,FALSE),VLOOKUP(D356,[3]Extended!$B$9:$M$101,12,FALSE)))),0)</f>
        <v>1303050</v>
      </c>
      <c r="P356" s="116">
        <f t="shared" si="26"/>
        <v>0.27</v>
      </c>
      <c r="Q356" s="110" t="e">
        <f>O356-#REF!</f>
        <v>#REF!</v>
      </c>
      <c r="R356" s="111" t="e">
        <f>Q353/O353</f>
        <v>#REF!</v>
      </c>
      <c r="S356" s="112"/>
      <c r="T356" s="112"/>
      <c r="U356" s="112"/>
      <c r="V356" s="112"/>
      <c r="W356" s="311"/>
      <c r="X356" s="311"/>
      <c r="Y356" s="311"/>
      <c r="Z356" s="311"/>
      <c r="AA356" s="311"/>
      <c r="AB356" s="311"/>
      <c r="AC356" s="311"/>
      <c r="AD356" s="89"/>
      <c r="AE356" s="89"/>
      <c r="AF356" s="89"/>
      <c r="AG356" s="5"/>
      <c r="AH356" s="5"/>
      <c r="AI356" s="5"/>
      <c r="AJ356" s="5"/>
      <c r="AK356" s="5"/>
      <c r="AL356" s="5"/>
      <c r="AM356" s="5"/>
      <c r="AN356" s="5"/>
      <c r="AO356" s="5"/>
      <c r="AP356" s="5"/>
      <c r="AQ356" s="5"/>
      <c r="AR356" s="5"/>
      <c r="AS356" s="5"/>
      <c r="AT356" s="88" t="str">
        <f t="shared" si="27"/>
        <v>TGS000012017Q115,4</v>
      </c>
      <c r="AU356" s="89" t="str">
        <f t="shared" si="28"/>
        <v>02-2017</v>
      </c>
      <c r="AV356" s="89"/>
      <c r="AW356" s="89"/>
      <c r="AX356" s="89"/>
      <c r="AY356" s="89"/>
      <c r="AZ356" s="89"/>
      <c r="BA356" s="92" t="str">
        <f t="shared" si="29"/>
        <v>31-120 Days</v>
      </c>
      <c r="BB356" s="89"/>
      <c r="BC356" s="97"/>
      <c r="BD356" s="97"/>
    </row>
    <row r="357" spans="1:56">
      <c r="B357" s="60" t="str">
        <f>[2]Trucks!A354</f>
        <v>78W-5818</v>
      </c>
      <c r="C357" s="11" t="str">
        <f>[2]Trucks!B354</f>
        <v>TGS-26-4406X4BLS-LX-ADR</v>
      </c>
      <c r="D357" s="19" t="str">
        <f>IFERROR(VLOOKUP(C357&amp;"",'[2]Retail Price List'!$A$3:$B$103,2,FALSE),"Special Order")</f>
        <v>TGS00001</v>
      </c>
      <c r="E357" s="18" t="str">
        <f>[2]Trucks!J354</f>
        <v>UNSOLD</v>
      </c>
      <c r="F357" s="12">
        <f>[2]Trucks!E354</f>
        <v>38</v>
      </c>
      <c r="G357" s="56">
        <f>[2]Trucks!K354</f>
        <v>15.4</v>
      </c>
      <c r="H357" s="46">
        <f>[2]Trucks!I354</f>
        <v>42784</v>
      </c>
      <c r="I357" s="83" t="str">
        <f t="shared" si="25"/>
        <v>2017Q1</v>
      </c>
      <c r="J357" s="272">
        <f>IFERROR(VLOOKUP((D357&amp;C357)&amp;"",'[2]Retail Price List'!$C$4:$F$102,3,FALSE),"")</f>
        <v>1750000</v>
      </c>
      <c r="K357" s="272">
        <f>IFERROR(IF(BA357="WIP - 30 Days",VLOOKUP(D357,[3]Standard!$B$9:$E$101,4,FALSE),IF(BA357="31-120 Days",VLOOKUP(D357,[3]Standard!$B$9:$F$101,5,FALSE),IF(BA357="121-365 Days",VLOOKUP(D357,[3]Standard!$B$9:$G$101,6,FALSE),VLOOKUP(D357,[3]Standard!$B$9:$H$101,7,FALSE)))),0)</f>
        <v>1315825</v>
      </c>
      <c r="L357" s="272">
        <f>IFERROR(IF(BA357="WIP - 30 Days",VLOOKUP(D357,[3]Standard!$B$9:$J$101,9,FALSE),IF(BA357="31-120 Days",VLOOKUP(D357,[3]Standard!$B$9:$K$100,10,FALSE),IF(BA357="121-365 Days",VLOOKUP(D357,[3]Standard!$B$9:$L$101,11,FALSE),VLOOKUP(D357,[3]Standard!$B$9:$M$101,12,FALSE)))),0)</f>
        <v>1277500</v>
      </c>
      <c r="M357" s="269">
        <f>IFERROR(VLOOKUP((D357&amp;C357)&amp;"",'[2]Retail Price List'!$C$4:$F$102,4,FALSE),"")</f>
        <v>1785000</v>
      </c>
      <c r="N357" s="269">
        <f>IFERROR(IF(BA357="WIP - 30 Days",VLOOKUP(D357,[3]Extended!$B$9:$E$101,4,FALSE),IF(BA357="31-120 Days",VLOOKUP(D357,[3]Extended!$B$9:$F$101,5,FALSE),IF(BA357="121-365 Days",VLOOKUP(D357,[3]Extended!$B$9:$G$101,6,FALSE),VLOOKUP(D357,[3]Extended!$B$9:$H$101,7,FALSE)))),0)</f>
        <v>1342141.5</v>
      </c>
      <c r="O357" s="269">
        <f>IFERROR(IF(BA357="WIP - 30 Days",VLOOKUP(D357,[3]Extended!$B$9:$J$101,9,FALSE),IF(BA357="31-120 Days",VLOOKUP(D357,[3]Extended!$B$9:$K$101,10,FALSE),IF(BA357="121-365 Days",VLOOKUP(D357,[3]Extended!$B$9:$L$101,11,FALSE),VLOOKUP(D357,[3]Extended!$B$9:$M$101,12,FALSE)))),0)</f>
        <v>1303050</v>
      </c>
      <c r="P357" s="116">
        <f t="shared" si="26"/>
        <v>0.27</v>
      </c>
      <c r="Q357" s="110" t="e">
        <f>O357-#REF!</f>
        <v>#REF!</v>
      </c>
      <c r="S357" s="112" t="s">
        <v>9</v>
      </c>
      <c r="T357" s="112" t="s">
        <v>10</v>
      </c>
      <c r="U357" s="112" t="s">
        <v>11</v>
      </c>
      <c r="W357" s="311"/>
      <c r="X357" s="311"/>
      <c r="Y357" s="311"/>
      <c r="Z357" s="311"/>
      <c r="AA357" s="311"/>
      <c r="AB357" s="311"/>
      <c r="AC357" s="311"/>
      <c r="AT357" s="88" t="str">
        <f t="shared" si="27"/>
        <v>TGS000012017Q115,4</v>
      </c>
      <c r="AU357" s="89" t="str">
        <f t="shared" si="28"/>
        <v>02-2017</v>
      </c>
      <c r="AX357" s="98"/>
      <c r="BA357" s="92" t="str">
        <f t="shared" si="29"/>
        <v>31-120 Days</v>
      </c>
    </row>
    <row r="358" spans="1:56">
      <c r="B358" s="60" t="str">
        <f>[2]Trucks!A355</f>
        <v>78W-5819</v>
      </c>
      <c r="C358" s="11" t="str">
        <f>[2]Trucks!B355</f>
        <v>TGS-26-4406X4BLS-LX-ADR</v>
      </c>
      <c r="D358" s="19" t="str">
        <f>IFERROR(VLOOKUP(C358&amp;"",'[2]Retail Price List'!$A$3:$B$103,2,FALSE),"Special Order")</f>
        <v>TGS00001</v>
      </c>
      <c r="E358" s="18" t="str">
        <f>[2]Trucks!J355</f>
        <v>UNSOLD</v>
      </c>
      <c r="F358" s="12">
        <f>[2]Trucks!E355</f>
        <v>35</v>
      </c>
      <c r="G358" s="56">
        <f>[2]Trucks!K355</f>
        <v>15.4</v>
      </c>
      <c r="H358" s="46">
        <f>[2]Trucks!I355</f>
        <v>42784</v>
      </c>
      <c r="I358" s="83" t="str">
        <f t="shared" si="25"/>
        <v>2017Q1</v>
      </c>
      <c r="J358" s="272">
        <f>IFERROR(VLOOKUP((D358&amp;C358)&amp;"",'[2]Retail Price List'!$C$4:$F$102,3,FALSE),"")</f>
        <v>1750000</v>
      </c>
      <c r="K358" s="272">
        <f>IFERROR(IF(BA358="WIP - 30 Days",VLOOKUP(D358,[3]Standard!$B$9:$E$101,4,FALSE),IF(BA358="31-120 Days",VLOOKUP(D358,[3]Standard!$B$9:$F$101,5,FALSE),IF(BA358="121-365 Days",VLOOKUP(D358,[3]Standard!$B$9:$G$101,6,FALSE),VLOOKUP(D358,[3]Standard!$B$9:$H$101,7,FALSE)))),0)</f>
        <v>1315825</v>
      </c>
      <c r="L358" s="272">
        <f>IFERROR(IF(BA358="WIP - 30 Days",VLOOKUP(D358,[3]Standard!$B$9:$J$101,9,FALSE),IF(BA358="31-120 Days",VLOOKUP(D358,[3]Standard!$B$9:$K$100,10,FALSE),IF(BA358="121-365 Days",VLOOKUP(D358,[3]Standard!$B$9:$L$101,11,FALSE),VLOOKUP(D358,[3]Standard!$B$9:$M$101,12,FALSE)))),0)</f>
        <v>1277500</v>
      </c>
      <c r="M358" s="269">
        <f>IFERROR(VLOOKUP((D358&amp;C358)&amp;"",'[2]Retail Price List'!$C$4:$F$102,4,FALSE),"")</f>
        <v>1785000</v>
      </c>
      <c r="N358" s="269">
        <f>IFERROR(IF(BA358="WIP - 30 Days",VLOOKUP(D358,[3]Extended!$B$9:$E$101,4,FALSE),IF(BA358="31-120 Days",VLOOKUP(D358,[3]Extended!$B$9:$F$101,5,FALSE),IF(BA358="121-365 Days",VLOOKUP(D358,[3]Extended!$B$9:$G$101,6,FALSE),VLOOKUP(D358,[3]Extended!$B$9:$H$101,7,FALSE)))),0)</f>
        <v>1342141.5</v>
      </c>
      <c r="O358" s="269">
        <f>IFERROR(IF(BA358="WIP - 30 Days",VLOOKUP(D358,[3]Extended!$B$9:$J$101,9,FALSE),IF(BA358="31-120 Days",VLOOKUP(D358,[3]Extended!$B$9:$K$101,10,FALSE),IF(BA358="121-365 Days",VLOOKUP(D358,[3]Extended!$B$9:$L$101,11,FALSE),VLOOKUP(D358,[3]Extended!$B$9:$M$101,12,FALSE)))),0)</f>
        <v>1303050</v>
      </c>
      <c r="P358" s="116">
        <f t="shared" si="26"/>
        <v>0.27</v>
      </c>
      <c r="Q358" s="110" t="e">
        <f>O358-#REF!</f>
        <v>#REF!</v>
      </c>
      <c r="S358" s="112">
        <v>14</v>
      </c>
      <c r="T358" s="112">
        <v>-1.5</v>
      </c>
      <c r="U358" s="112">
        <v>3.5</v>
      </c>
      <c r="W358" s="311"/>
      <c r="X358" s="311"/>
      <c r="Y358" s="311"/>
      <c r="Z358" s="311"/>
      <c r="AA358" s="311"/>
      <c r="AB358" s="311"/>
      <c r="AC358" s="311"/>
      <c r="AT358" s="88" t="str">
        <f t="shared" si="27"/>
        <v>TGS000012017Q115,4</v>
      </c>
      <c r="AU358" s="89" t="str">
        <f t="shared" si="28"/>
        <v>02-2017</v>
      </c>
      <c r="AV358" s="92"/>
      <c r="AX358" s="98"/>
      <c r="BA358" s="92" t="str">
        <f t="shared" si="29"/>
        <v>31-120 Days</v>
      </c>
    </row>
    <row r="359" spans="1:56">
      <c r="B359" s="60" t="str">
        <f>[2]Trucks!A356</f>
        <v>78W-5820</v>
      </c>
      <c r="C359" s="11" t="str">
        <f>[2]Trucks!B356</f>
        <v>TGS-26-4406X4BLS-LX-ADR</v>
      </c>
      <c r="D359" s="19" t="str">
        <f>IFERROR(VLOOKUP(C359&amp;"",'[2]Retail Price List'!$A$3:$B$103,2,FALSE),"Special Order")</f>
        <v>TGS00001</v>
      </c>
      <c r="E359" s="18" t="str">
        <f>[2]Trucks!J356</f>
        <v>UNSOLD</v>
      </c>
      <c r="F359" s="12">
        <f>[2]Trucks!E356</f>
        <v>21</v>
      </c>
      <c r="G359" s="56">
        <f>[2]Trucks!K356</f>
        <v>15.4</v>
      </c>
      <c r="H359" s="46">
        <f>[2]Trucks!I356</f>
        <v>42784</v>
      </c>
      <c r="I359" s="83" t="str">
        <f t="shared" si="25"/>
        <v>2017Q1</v>
      </c>
      <c r="J359" s="272">
        <f>IFERROR(VLOOKUP((D359&amp;C359)&amp;"",'[2]Retail Price List'!$C$4:$F$102,3,FALSE),"")</f>
        <v>1750000</v>
      </c>
      <c r="K359" s="272">
        <f>IFERROR(IF(BA359="WIP - 30 Days",VLOOKUP(D359,[3]Standard!$B$9:$E$101,4,FALSE),IF(BA359="31-120 Days",VLOOKUP(D359,[3]Standard!$B$9:$F$101,5,FALSE),IF(BA359="121-365 Days",VLOOKUP(D359,[3]Standard!$B$9:$G$101,6,FALSE),VLOOKUP(D359,[3]Standard!$B$9:$H$101,7,FALSE)))),0)</f>
        <v>1324837.5</v>
      </c>
      <c r="L359" s="272">
        <f>IFERROR(IF(BA359="WIP - 30 Days",VLOOKUP(D359,[3]Standard!$B$9:$J$101,9,FALSE),IF(BA359="31-120 Days",VLOOKUP(D359,[3]Standard!$B$9:$K$100,10,FALSE),IF(BA359="121-365 Days",VLOOKUP(D359,[3]Standard!$B$9:$L$101,11,FALSE),VLOOKUP(D359,[3]Standard!$B$9:$M$101,12,FALSE)))),0)</f>
        <v>1286250</v>
      </c>
      <c r="M359" s="269">
        <f>IFERROR(VLOOKUP((D359&amp;C359)&amp;"",'[2]Retail Price List'!$C$4:$F$102,4,FALSE),"")</f>
        <v>1785000</v>
      </c>
      <c r="N359" s="269">
        <f>IFERROR(IF(BA359="WIP - 30 Days",VLOOKUP(D359,[3]Extended!$B$9:$E$101,4,FALSE),IF(BA359="31-120 Days",VLOOKUP(D359,[3]Extended!$B$9:$F$101,5,FALSE),IF(BA359="121-365 Days",VLOOKUP(D359,[3]Extended!$B$9:$G$101,6,FALSE),VLOOKUP(D359,[3]Extended!$B$9:$H$101,7,FALSE)))),0)</f>
        <v>1360527</v>
      </c>
      <c r="O359" s="269">
        <f>IFERROR(IF(BA359="WIP - 30 Days",VLOOKUP(D359,[3]Extended!$B$9:$J$101,9,FALSE),IF(BA359="31-120 Days",VLOOKUP(D359,[3]Extended!$B$9:$K$101,10,FALSE),IF(BA359="121-365 Days",VLOOKUP(D359,[3]Extended!$B$9:$L$101,11,FALSE),VLOOKUP(D359,[3]Extended!$B$9:$M$101,12,FALSE)))),0)</f>
        <v>1320900</v>
      </c>
      <c r="P359" s="116">
        <f t="shared" si="26"/>
        <v>0.26</v>
      </c>
      <c r="Q359" s="110" t="e">
        <f>O359-#REF!</f>
        <v>#REF!</v>
      </c>
      <c r="W359" s="311"/>
      <c r="X359" s="311"/>
      <c r="Y359" s="311"/>
      <c r="Z359" s="311"/>
      <c r="AA359" s="311"/>
      <c r="AB359" s="311"/>
      <c r="AC359" s="311"/>
      <c r="AT359" s="88" t="str">
        <f t="shared" si="27"/>
        <v>TGS000012017Q115,4</v>
      </c>
      <c r="AU359" s="89" t="str">
        <f t="shared" si="28"/>
        <v>02-2017</v>
      </c>
      <c r="AV359" s="92"/>
      <c r="AX359" s="98"/>
      <c r="BA359" s="92" t="str">
        <f t="shared" si="29"/>
        <v>WIP - 30 Days</v>
      </c>
    </row>
    <row r="360" spans="1:56">
      <c r="B360" s="60" t="str">
        <f>[2]Trucks!A357</f>
        <v>78W-5821</v>
      </c>
      <c r="C360" s="11" t="str">
        <f>[2]Trucks!B357</f>
        <v>TGS-26-4406X4BLS-LX-ADR</v>
      </c>
      <c r="D360" s="19" t="str">
        <f>IFERROR(VLOOKUP(C360&amp;"",'[2]Retail Price List'!$A$3:$B$103,2,FALSE),"Special Order")</f>
        <v>TGS00001</v>
      </c>
      <c r="E360" s="18" t="str">
        <f>[2]Trucks!J357</f>
        <v>UNSOLD</v>
      </c>
      <c r="F360" s="12">
        <f>[2]Trucks!E357</f>
        <v>32</v>
      </c>
      <c r="G360" s="56">
        <f>[2]Trucks!K357</f>
        <v>15.4</v>
      </c>
      <c r="H360" s="46">
        <f>[2]Trucks!I357</f>
        <v>42784</v>
      </c>
      <c r="I360" s="83" t="str">
        <f t="shared" si="25"/>
        <v>2017Q1</v>
      </c>
      <c r="J360" s="272">
        <f>IFERROR(VLOOKUP((D360&amp;C360)&amp;"",'[2]Retail Price List'!$C$4:$F$102,3,FALSE),"")</f>
        <v>1750000</v>
      </c>
      <c r="K360" s="272">
        <f>IFERROR(IF(BA360="WIP - 30 Days",VLOOKUP(D360,[3]Standard!$B$9:$E$101,4,FALSE),IF(BA360="31-120 Days",VLOOKUP(D360,[3]Standard!$B$9:$F$101,5,FALSE),IF(BA360="121-365 Days",VLOOKUP(D360,[3]Standard!$B$9:$G$101,6,FALSE),VLOOKUP(D360,[3]Standard!$B$9:$H$101,7,FALSE)))),0)</f>
        <v>1315825</v>
      </c>
      <c r="L360" s="272">
        <f>IFERROR(IF(BA360="WIP - 30 Days",VLOOKUP(D360,[3]Standard!$B$9:$J$101,9,FALSE),IF(BA360="31-120 Days",VLOOKUP(D360,[3]Standard!$B$9:$K$100,10,FALSE),IF(BA360="121-365 Days",VLOOKUP(D360,[3]Standard!$B$9:$L$101,11,FALSE),VLOOKUP(D360,[3]Standard!$B$9:$M$101,12,FALSE)))),0)</f>
        <v>1277500</v>
      </c>
      <c r="M360" s="269">
        <f>IFERROR(VLOOKUP((D360&amp;C360)&amp;"",'[2]Retail Price List'!$C$4:$F$102,4,FALSE),"")</f>
        <v>1785000</v>
      </c>
      <c r="N360" s="269">
        <f>IFERROR(IF(BA360="WIP - 30 Days",VLOOKUP(D360,[3]Extended!$B$9:$E$101,4,FALSE),IF(BA360="31-120 Days",VLOOKUP(D360,[3]Extended!$B$9:$F$101,5,FALSE),IF(BA360="121-365 Days",VLOOKUP(D360,[3]Extended!$B$9:$G$101,6,FALSE),VLOOKUP(D360,[3]Extended!$B$9:$H$101,7,FALSE)))),0)</f>
        <v>1342141.5</v>
      </c>
      <c r="O360" s="269">
        <f>IFERROR(IF(BA360="WIP - 30 Days",VLOOKUP(D360,[3]Extended!$B$9:$J$101,9,FALSE),IF(BA360="31-120 Days",VLOOKUP(D360,[3]Extended!$B$9:$K$101,10,FALSE),IF(BA360="121-365 Days",VLOOKUP(D360,[3]Extended!$B$9:$L$101,11,FALSE),VLOOKUP(D360,[3]Extended!$B$9:$M$101,12,FALSE)))),0)</f>
        <v>1303050</v>
      </c>
      <c r="P360" s="116">
        <f t="shared" si="26"/>
        <v>0.27</v>
      </c>
      <c r="Q360" s="110" t="e">
        <f>O360-#REF!</f>
        <v>#REF!</v>
      </c>
      <c r="S360" s="112">
        <f>COUNT(#REF!)</f>
        <v>0</v>
      </c>
      <c r="W360" s="311"/>
      <c r="X360" s="311"/>
      <c r="Y360" s="311"/>
      <c r="Z360" s="311"/>
      <c r="AA360" s="311"/>
      <c r="AB360" s="311"/>
      <c r="AC360" s="311"/>
      <c r="AT360" s="88" t="str">
        <f t="shared" si="27"/>
        <v>TGS000012017Q115,4</v>
      </c>
      <c r="AU360" s="89" t="str">
        <f t="shared" si="28"/>
        <v>02-2017</v>
      </c>
      <c r="AV360" s="92"/>
      <c r="AX360" s="98"/>
      <c r="BA360" s="92" t="str">
        <f t="shared" si="29"/>
        <v>31-120 Days</v>
      </c>
    </row>
    <row r="361" spans="1:56">
      <c r="B361" s="60" t="str">
        <f>[2]Trucks!A358</f>
        <v>78W-5822</v>
      </c>
      <c r="C361" s="11" t="str">
        <f>[2]Trucks!B358</f>
        <v>TGS-26-4406X4BLS-LX-ADR</v>
      </c>
      <c r="D361" s="19" t="str">
        <f>IFERROR(VLOOKUP(C361&amp;"",'[2]Retail Price List'!$A$3:$B$103,2,FALSE),"Special Order")</f>
        <v>TGS00001</v>
      </c>
      <c r="E361" s="18" t="str">
        <f>[2]Trucks!J358</f>
        <v>UNSOLD</v>
      </c>
      <c r="F361" s="12">
        <f>[2]Trucks!E358</f>
        <v>21</v>
      </c>
      <c r="G361" s="56">
        <f>[2]Trucks!K358</f>
        <v>15.4</v>
      </c>
      <c r="H361" s="46">
        <f>[2]Trucks!I358</f>
        <v>42784</v>
      </c>
      <c r="I361" s="83" t="str">
        <f t="shared" si="25"/>
        <v>2017Q1</v>
      </c>
      <c r="J361" s="272">
        <f>IFERROR(VLOOKUP((D361&amp;C361)&amp;"",'[2]Retail Price List'!$C$4:$F$102,3,FALSE),"")</f>
        <v>1750000</v>
      </c>
      <c r="K361" s="272">
        <f>IFERROR(IF(BA361="WIP - 30 Days",VLOOKUP(D361,[3]Standard!$B$9:$E$101,4,FALSE),IF(BA361="31-120 Days",VLOOKUP(D361,[3]Standard!$B$9:$F$101,5,FALSE),IF(BA361="121-365 Days",VLOOKUP(D361,[3]Standard!$B$9:$G$101,6,FALSE),VLOOKUP(D361,[3]Standard!$B$9:$H$101,7,FALSE)))),0)</f>
        <v>1324837.5</v>
      </c>
      <c r="L361" s="272">
        <f>IFERROR(IF(BA361="WIP - 30 Days",VLOOKUP(D361,[3]Standard!$B$9:$J$101,9,FALSE),IF(BA361="31-120 Days",VLOOKUP(D361,[3]Standard!$B$9:$K$100,10,FALSE),IF(BA361="121-365 Days",VLOOKUP(D361,[3]Standard!$B$9:$L$101,11,FALSE),VLOOKUP(D361,[3]Standard!$B$9:$M$101,12,FALSE)))),0)</f>
        <v>1286250</v>
      </c>
      <c r="M361" s="269">
        <f>IFERROR(VLOOKUP((D361&amp;C361)&amp;"",'[2]Retail Price List'!$C$4:$F$102,4,FALSE),"")</f>
        <v>1785000</v>
      </c>
      <c r="N361" s="269">
        <f>IFERROR(IF(BA361="WIP - 30 Days",VLOOKUP(D361,[3]Extended!$B$9:$E$101,4,FALSE),IF(BA361="31-120 Days",VLOOKUP(D361,[3]Extended!$B$9:$F$101,5,FALSE),IF(BA361="121-365 Days",VLOOKUP(D361,[3]Extended!$B$9:$G$101,6,FALSE),VLOOKUP(D361,[3]Extended!$B$9:$H$101,7,FALSE)))),0)</f>
        <v>1360527</v>
      </c>
      <c r="O361" s="269">
        <f>IFERROR(IF(BA361="WIP - 30 Days",VLOOKUP(D361,[3]Extended!$B$9:$J$101,9,FALSE),IF(BA361="31-120 Days",VLOOKUP(D361,[3]Extended!$B$9:$K$101,10,FALSE),IF(BA361="121-365 Days",VLOOKUP(D361,[3]Extended!$B$9:$L$101,11,FALSE),VLOOKUP(D361,[3]Extended!$B$9:$M$101,12,FALSE)))),0)</f>
        <v>1320900</v>
      </c>
      <c r="P361" s="116">
        <f t="shared" si="26"/>
        <v>0.26</v>
      </c>
      <c r="Q361" s="110" t="e">
        <f>O361-#REF!</f>
        <v>#REF!</v>
      </c>
      <c r="S361" s="110" t="e">
        <f>+AVERAGE(#REF!)</f>
        <v>#REF!</v>
      </c>
      <c r="W361" s="311"/>
      <c r="X361" s="311"/>
      <c r="Y361" s="311"/>
      <c r="Z361" s="311"/>
      <c r="AA361" s="311"/>
      <c r="AB361" s="311"/>
      <c r="AC361" s="311"/>
      <c r="AT361" s="88" t="str">
        <f t="shared" si="27"/>
        <v>TGS000012017Q115,4</v>
      </c>
      <c r="AU361" s="89" t="str">
        <f t="shared" si="28"/>
        <v>02-2017</v>
      </c>
      <c r="BA361" s="92" t="str">
        <f t="shared" si="29"/>
        <v>WIP - 30 Days</v>
      </c>
    </row>
    <row r="362" spans="1:56">
      <c r="B362" s="60">
        <f>[2]Trucks!A359</f>
        <v>47542</v>
      </c>
      <c r="C362" s="11" t="str">
        <f>[2]Trucks!B359</f>
        <v>TGS-26-4406X4BLS-LX-ALU</v>
      </c>
      <c r="D362" s="19" t="str">
        <f>IFERROR(VLOOKUP(C362&amp;"",'[2]Retail Price List'!$A$3:$B$103,2,FALSE),"Special Order")</f>
        <v>KP000666</v>
      </c>
      <c r="E362" s="18" t="str">
        <f>[2]Trucks!J359</f>
        <v>CKD</v>
      </c>
      <c r="F362" s="12" t="str">
        <f>[2]Trucks!E359</f>
        <v>2017-11-10</v>
      </c>
      <c r="G362" s="56">
        <f>[2]Trucks!K359</f>
        <v>14.7</v>
      </c>
      <c r="H362" s="46">
        <f>[2]Trucks!I359</f>
        <v>42937</v>
      </c>
      <c r="I362" s="83" t="str">
        <f t="shared" si="25"/>
        <v>2017Q3</v>
      </c>
      <c r="J362" s="272">
        <f>IFERROR(VLOOKUP((D362&amp;C362)&amp;"",'[2]Retail Price List'!$C$4:$F$102,3,FALSE),"")</f>
        <v>1765000</v>
      </c>
      <c r="K362" s="272">
        <f>IFERROR(IF(BA362="WIP - 30 Days",VLOOKUP(D362,[3]Standard!$B$9:$E$101,4,FALSE),IF(BA362="31-120 Days",VLOOKUP(D362,[3]Standard!$B$9:$F$101,5,FALSE),IF(BA362="121-365 Days",VLOOKUP(D362,[3]Standard!$B$9:$G$101,6,FALSE),VLOOKUP(D362,[3]Standard!$B$9:$H$101,7,FALSE)))),0)</f>
        <v>1363462.5</v>
      </c>
      <c r="L362" s="272">
        <f>IFERROR(IF(BA362="WIP - 30 Days",VLOOKUP(D362,[3]Standard!$B$9:$J$101,9,FALSE),IF(BA362="31-120 Days",VLOOKUP(D362,[3]Standard!$B$9:$K$100,10,FALSE),IF(BA362="121-365 Days",VLOOKUP(D362,[3]Standard!$B$9:$L$101,11,FALSE),VLOOKUP(D362,[3]Standard!$B$9:$M$101,12,FALSE)))),0)</f>
        <v>1323750</v>
      </c>
      <c r="M362" s="269">
        <f>IFERROR(VLOOKUP((D362&amp;C362)&amp;"",'[2]Retail Price List'!$C$4:$F$102,4,FALSE),"")</f>
        <v>1815000</v>
      </c>
      <c r="N362" s="269">
        <f>IFERROR(IF(BA362="WIP - 30 Days",VLOOKUP(D362,[3]Extended!$B$9:$E$101,4,FALSE),IF(BA362="31-120 Days",VLOOKUP(D362,[3]Extended!$B$9:$F$101,5,FALSE),IF(BA362="121-365 Days",VLOOKUP(D362,[3]Extended!$B$9:$G$101,6,FALSE),VLOOKUP(D362,[3]Extended!$B$9:$H$101,7,FALSE)))),0)</f>
        <v>1383393</v>
      </c>
      <c r="O362" s="269">
        <f>IFERROR(IF(BA362="WIP - 30 Days",VLOOKUP(D362,[3]Extended!$B$9:$J$101,9,FALSE),IF(BA362="31-120 Days",VLOOKUP(D362,[3]Extended!$B$9:$K$101,10,FALSE),IF(BA362="121-365 Days",VLOOKUP(D362,[3]Extended!$B$9:$L$101,11,FALSE),VLOOKUP(D362,[3]Extended!$B$9:$M$101,12,FALSE)))),0)</f>
        <v>1343100</v>
      </c>
      <c r="P362" s="116">
        <f t="shared" si="26"/>
        <v>0.26</v>
      </c>
      <c r="Q362" s="110" t="e">
        <f>O362-#REF!</f>
        <v>#REF!</v>
      </c>
      <c r="W362" s="311"/>
      <c r="X362" s="311"/>
      <c r="Y362" s="311"/>
      <c r="Z362" s="311"/>
      <c r="AA362" s="311"/>
      <c r="AB362" s="311"/>
      <c r="AC362" s="311"/>
      <c r="AT362" s="88" t="str">
        <f t="shared" si="27"/>
        <v>KP0006662017Q314,7</v>
      </c>
      <c r="AU362" s="89" t="str">
        <f t="shared" si="28"/>
        <v>07-2017</v>
      </c>
      <c r="BA362" s="92" t="str">
        <f t="shared" si="29"/>
        <v>WIP - 30 Days</v>
      </c>
    </row>
    <row r="363" spans="1:56">
      <c r="B363" s="60">
        <f>[2]Trucks!A360</f>
        <v>47543</v>
      </c>
      <c r="C363" s="11" t="str">
        <f>[2]Trucks!B360</f>
        <v>TGS-26-4406X4BLS-LX-ALU</v>
      </c>
      <c r="D363" s="19" t="str">
        <f>IFERROR(VLOOKUP(C363&amp;"",'[2]Retail Price List'!$A$3:$B$103,2,FALSE),"Special Order")</f>
        <v>KP000666</v>
      </c>
      <c r="E363" s="18" t="str">
        <f>[2]Trucks!J360</f>
        <v>CKD</v>
      </c>
      <c r="F363" s="12" t="str">
        <f>[2]Trucks!E360</f>
        <v>2017-11-10</v>
      </c>
      <c r="G363" s="56">
        <f>[2]Trucks!K360</f>
        <v>14.7</v>
      </c>
      <c r="H363" s="46">
        <f>[2]Trucks!I360</f>
        <v>42937</v>
      </c>
      <c r="I363" s="83" t="str">
        <f t="shared" si="25"/>
        <v>2017Q3</v>
      </c>
      <c r="J363" s="272">
        <f>IFERROR(VLOOKUP((D363&amp;C363)&amp;"",'[2]Retail Price List'!$C$4:$F$102,3,FALSE),"")</f>
        <v>1765000</v>
      </c>
      <c r="K363" s="272">
        <f>IFERROR(IF(BA363="WIP - 30 Days",VLOOKUP(D363,[3]Standard!$B$9:$E$101,4,FALSE),IF(BA363="31-120 Days",VLOOKUP(D363,[3]Standard!$B$9:$F$101,5,FALSE),IF(BA363="121-365 Days",VLOOKUP(D363,[3]Standard!$B$9:$G$101,6,FALSE),VLOOKUP(D363,[3]Standard!$B$9:$H$101,7,FALSE)))),0)</f>
        <v>1363462.5</v>
      </c>
      <c r="L363" s="272">
        <f>IFERROR(IF(BA363="WIP - 30 Days",VLOOKUP(D363,[3]Standard!$B$9:$J$101,9,FALSE),IF(BA363="31-120 Days",VLOOKUP(D363,[3]Standard!$B$9:$K$100,10,FALSE),IF(BA363="121-365 Days",VLOOKUP(D363,[3]Standard!$B$9:$L$101,11,FALSE),VLOOKUP(D363,[3]Standard!$B$9:$M$101,12,FALSE)))),0)</f>
        <v>1323750</v>
      </c>
      <c r="M363" s="269">
        <f>IFERROR(VLOOKUP((D363&amp;C363)&amp;"",'[2]Retail Price List'!$C$4:$F$102,4,FALSE),"")</f>
        <v>1815000</v>
      </c>
      <c r="N363" s="269">
        <f>IFERROR(IF(BA363="WIP - 30 Days",VLOOKUP(D363,[3]Extended!$B$9:$E$101,4,FALSE),IF(BA363="31-120 Days",VLOOKUP(D363,[3]Extended!$B$9:$F$101,5,FALSE),IF(BA363="121-365 Days",VLOOKUP(D363,[3]Extended!$B$9:$G$101,6,FALSE),VLOOKUP(D363,[3]Extended!$B$9:$H$101,7,FALSE)))),0)</f>
        <v>1383393</v>
      </c>
      <c r="O363" s="269">
        <f>IFERROR(IF(BA363="WIP - 30 Days",VLOOKUP(D363,[3]Extended!$B$9:$J$101,9,FALSE),IF(BA363="31-120 Days",VLOOKUP(D363,[3]Extended!$B$9:$K$101,10,FALSE),IF(BA363="121-365 Days",VLOOKUP(D363,[3]Extended!$B$9:$L$101,11,FALSE),VLOOKUP(D363,[3]Extended!$B$9:$M$101,12,FALSE)))),0)</f>
        <v>1343100</v>
      </c>
      <c r="P363" s="116">
        <f t="shared" si="26"/>
        <v>0.26</v>
      </c>
      <c r="Q363" s="110" t="e">
        <f>O363-#REF!</f>
        <v>#REF!</v>
      </c>
      <c r="W363" s="311"/>
      <c r="X363" s="311"/>
      <c r="Y363" s="311"/>
      <c r="Z363" s="311"/>
      <c r="AA363" s="311"/>
      <c r="AB363" s="311"/>
      <c r="AC363" s="311"/>
      <c r="AT363" s="88" t="str">
        <f t="shared" si="27"/>
        <v>KP0006662017Q314,7</v>
      </c>
      <c r="AU363" s="89" t="str">
        <f t="shared" si="28"/>
        <v>07-2017</v>
      </c>
      <c r="BA363" s="92" t="str">
        <f t="shared" si="29"/>
        <v>WIP - 30 Days</v>
      </c>
    </row>
    <row r="364" spans="1:56">
      <c r="B364" s="60">
        <f>[2]Trucks!A361</f>
        <v>47544</v>
      </c>
      <c r="C364" s="11" t="str">
        <f>[2]Trucks!B361</f>
        <v>TGS-26-4406X4BLS-LX-ALU</v>
      </c>
      <c r="D364" s="19" t="str">
        <f>IFERROR(VLOOKUP(C364&amp;"",'[2]Retail Price List'!$A$3:$B$103,2,FALSE),"Special Order")</f>
        <v>KP000666</v>
      </c>
      <c r="E364" s="18" t="str">
        <f>[2]Trucks!J361</f>
        <v>CKD</v>
      </c>
      <c r="F364" s="12" t="str">
        <f>[2]Trucks!E361</f>
        <v>2017-11-10</v>
      </c>
      <c r="G364" s="56">
        <f>[2]Trucks!K361</f>
        <v>14.7</v>
      </c>
      <c r="H364" s="46">
        <f>[2]Trucks!I361</f>
        <v>42937</v>
      </c>
      <c r="I364" s="83" t="str">
        <f t="shared" si="25"/>
        <v>2017Q3</v>
      </c>
      <c r="J364" s="272">
        <f>IFERROR(VLOOKUP((D364&amp;C364)&amp;"",'[2]Retail Price List'!$C$4:$F$102,3,FALSE),"")</f>
        <v>1765000</v>
      </c>
      <c r="K364" s="272">
        <f>IFERROR(IF(BA364="WIP - 30 Days",VLOOKUP(D364,[3]Standard!$B$9:$E$101,4,FALSE),IF(BA364="31-120 Days",VLOOKUP(D364,[3]Standard!$B$9:$F$101,5,FALSE),IF(BA364="121-365 Days",VLOOKUP(D364,[3]Standard!$B$9:$G$101,6,FALSE),VLOOKUP(D364,[3]Standard!$B$9:$H$101,7,FALSE)))),0)</f>
        <v>1363462.5</v>
      </c>
      <c r="L364" s="272">
        <f>IFERROR(IF(BA364="WIP - 30 Days",VLOOKUP(D364,[3]Standard!$B$9:$J$101,9,FALSE),IF(BA364="31-120 Days",VLOOKUP(D364,[3]Standard!$B$9:$K$100,10,FALSE),IF(BA364="121-365 Days",VLOOKUP(D364,[3]Standard!$B$9:$L$101,11,FALSE),VLOOKUP(D364,[3]Standard!$B$9:$M$101,12,FALSE)))),0)</f>
        <v>1323750</v>
      </c>
      <c r="M364" s="269">
        <f>IFERROR(VLOOKUP((D364&amp;C364)&amp;"",'[2]Retail Price List'!$C$4:$F$102,4,FALSE),"")</f>
        <v>1815000</v>
      </c>
      <c r="N364" s="269">
        <f>IFERROR(IF(BA364="WIP - 30 Days",VLOOKUP(D364,[3]Extended!$B$9:$E$101,4,FALSE),IF(BA364="31-120 Days",VLOOKUP(D364,[3]Extended!$B$9:$F$101,5,FALSE),IF(BA364="121-365 Days",VLOOKUP(D364,[3]Extended!$B$9:$G$101,6,FALSE),VLOOKUP(D364,[3]Extended!$B$9:$H$101,7,FALSE)))),0)</f>
        <v>1383393</v>
      </c>
      <c r="O364" s="269">
        <f>IFERROR(IF(BA364="WIP - 30 Days",VLOOKUP(D364,[3]Extended!$B$9:$J$101,9,FALSE),IF(BA364="31-120 Days",VLOOKUP(D364,[3]Extended!$B$9:$K$101,10,FALSE),IF(BA364="121-365 Days",VLOOKUP(D364,[3]Extended!$B$9:$L$101,11,FALSE),VLOOKUP(D364,[3]Extended!$B$9:$M$101,12,FALSE)))),0)</f>
        <v>1343100</v>
      </c>
      <c r="P364" s="116">
        <f t="shared" si="26"/>
        <v>0.26</v>
      </c>
      <c r="Q364" s="110" t="e">
        <f>O364-#REF!</f>
        <v>#REF!</v>
      </c>
      <c r="W364" s="311"/>
      <c r="X364" s="311"/>
      <c r="Y364" s="311"/>
      <c r="Z364" s="311"/>
      <c r="AA364" s="311"/>
      <c r="AB364" s="311"/>
      <c r="AC364" s="311"/>
      <c r="AT364" s="88" t="str">
        <f t="shared" si="27"/>
        <v>KP0006662017Q314,7</v>
      </c>
      <c r="AU364" s="89" t="str">
        <f t="shared" si="28"/>
        <v>07-2017</v>
      </c>
      <c r="BA364" s="92" t="str">
        <f t="shared" si="29"/>
        <v>WIP - 30 Days</v>
      </c>
    </row>
    <row r="365" spans="1:56">
      <c r="B365" s="60">
        <f>[2]Trucks!A362</f>
        <v>47545</v>
      </c>
      <c r="C365" s="11" t="str">
        <f>[2]Trucks!B362</f>
        <v>TGS-26-4406X4BLS-LX-ALU</v>
      </c>
      <c r="D365" s="19" t="str">
        <f>IFERROR(VLOOKUP(C365&amp;"",'[2]Retail Price List'!$A$3:$B$103,2,FALSE),"Special Order")</f>
        <v>KP000666</v>
      </c>
      <c r="E365" s="18" t="str">
        <f>[2]Trucks!J362</f>
        <v>CKD</v>
      </c>
      <c r="F365" s="12" t="str">
        <f>[2]Trucks!E362</f>
        <v>2017-11-10</v>
      </c>
      <c r="G365" s="56">
        <f>[2]Trucks!K362</f>
        <v>14.7</v>
      </c>
      <c r="H365" s="46">
        <f>[2]Trucks!I362</f>
        <v>42937</v>
      </c>
      <c r="I365" s="83" t="str">
        <f t="shared" si="25"/>
        <v>2017Q3</v>
      </c>
      <c r="J365" s="272">
        <f>IFERROR(VLOOKUP((D365&amp;C365)&amp;"",'[2]Retail Price List'!$C$4:$F$102,3,FALSE),"")</f>
        <v>1765000</v>
      </c>
      <c r="K365" s="272">
        <f>IFERROR(IF(BA365="WIP - 30 Days",VLOOKUP(D365,[3]Standard!$B$9:$E$101,4,FALSE),IF(BA365="31-120 Days",VLOOKUP(D365,[3]Standard!$B$9:$F$101,5,FALSE),IF(BA365="121-365 Days",VLOOKUP(D365,[3]Standard!$B$9:$G$101,6,FALSE),VLOOKUP(D365,[3]Standard!$B$9:$H$101,7,FALSE)))),0)</f>
        <v>1363462.5</v>
      </c>
      <c r="L365" s="272">
        <f>IFERROR(IF(BA365="WIP - 30 Days",VLOOKUP(D365,[3]Standard!$B$9:$J$101,9,FALSE),IF(BA365="31-120 Days",VLOOKUP(D365,[3]Standard!$B$9:$K$100,10,FALSE),IF(BA365="121-365 Days",VLOOKUP(D365,[3]Standard!$B$9:$L$101,11,FALSE),VLOOKUP(D365,[3]Standard!$B$9:$M$101,12,FALSE)))),0)</f>
        <v>1323750</v>
      </c>
      <c r="M365" s="269">
        <f>IFERROR(VLOOKUP((D365&amp;C365)&amp;"",'[2]Retail Price List'!$C$4:$F$102,4,FALSE),"")</f>
        <v>1815000</v>
      </c>
      <c r="N365" s="269">
        <f>IFERROR(IF(BA365="WIP - 30 Days",VLOOKUP(D365,[3]Extended!$B$9:$E$101,4,FALSE),IF(BA365="31-120 Days",VLOOKUP(D365,[3]Extended!$B$9:$F$101,5,FALSE),IF(BA365="121-365 Days",VLOOKUP(D365,[3]Extended!$B$9:$G$101,6,FALSE),VLOOKUP(D365,[3]Extended!$B$9:$H$101,7,FALSE)))),0)</f>
        <v>1383393</v>
      </c>
      <c r="O365" s="269">
        <f>IFERROR(IF(BA365="WIP - 30 Days",VLOOKUP(D365,[3]Extended!$B$9:$J$101,9,FALSE),IF(BA365="31-120 Days",VLOOKUP(D365,[3]Extended!$B$9:$K$101,10,FALSE),IF(BA365="121-365 Days",VLOOKUP(D365,[3]Extended!$B$9:$L$101,11,FALSE),VLOOKUP(D365,[3]Extended!$B$9:$M$101,12,FALSE)))),0)</f>
        <v>1343100</v>
      </c>
      <c r="P365" s="116">
        <f t="shared" si="26"/>
        <v>0.26</v>
      </c>
      <c r="Q365" s="110" t="e">
        <f>O365-#REF!</f>
        <v>#REF!</v>
      </c>
      <c r="W365" s="311"/>
      <c r="X365" s="311"/>
      <c r="Y365" s="311"/>
      <c r="Z365" s="311"/>
      <c r="AA365" s="311"/>
      <c r="AB365" s="311"/>
      <c r="AC365" s="311"/>
      <c r="AT365" s="88" t="str">
        <f t="shared" si="27"/>
        <v>KP0006662017Q314,7</v>
      </c>
      <c r="AU365" s="89" t="str">
        <f t="shared" si="28"/>
        <v>07-2017</v>
      </c>
      <c r="BA365" s="92" t="str">
        <f t="shared" si="29"/>
        <v>WIP - 30 Days</v>
      </c>
    </row>
    <row r="366" spans="1:56">
      <c r="B366" s="60">
        <f>[2]Trucks!A363</f>
        <v>47546</v>
      </c>
      <c r="C366" s="11" t="str">
        <f>[2]Trucks!B363</f>
        <v>TGS-26-4406X4BLS-LX-ALU</v>
      </c>
      <c r="D366" s="19" t="str">
        <f>IFERROR(VLOOKUP(C366&amp;"",'[2]Retail Price List'!$A$3:$B$103,2,FALSE),"Special Order")</f>
        <v>KP000666</v>
      </c>
      <c r="E366" s="18" t="str">
        <f>[2]Trucks!J363</f>
        <v>CKD</v>
      </c>
      <c r="F366" s="12" t="str">
        <f>[2]Trucks!E363</f>
        <v>2017-11-15</v>
      </c>
      <c r="G366" s="56">
        <f>[2]Trucks!K363</f>
        <v>14.7</v>
      </c>
      <c r="H366" s="46">
        <f>[2]Trucks!I363</f>
        <v>42937</v>
      </c>
      <c r="I366" s="83" t="str">
        <f t="shared" si="25"/>
        <v>2017Q3</v>
      </c>
      <c r="J366" s="272">
        <f>IFERROR(VLOOKUP((D366&amp;C366)&amp;"",'[2]Retail Price List'!$C$4:$F$102,3,FALSE),"")</f>
        <v>1765000</v>
      </c>
      <c r="K366" s="272">
        <f>IFERROR(IF(BA366="WIP - 30 Days",VLOOKUP(D366,[3]Standard!$B$9:$E$101,4,FALSE),IF(BA366="31-120 Days",VLOOKUP(D366,[3]Standard!$B$9:$F$101,5,FALSE),IF(BA366="121-365 Days",VLOOKUP(D366,[3]Standard!$B$9:$G$101,6,FALSE),VLOOKUP(D366,[3]Standard!$B$9:$H$101,7,FALSE)))),0)</f>
        <v>1363462.5</v>
      </c>
      <c r="L366" s="272">
        <f>IFERROR(IF(BA366="WIP - 30 Days",VLOOKUP(D366,[3]Standard!$B$9:$J$101,9,FALSE),IF(BA366="31-120 Days",VLOOKUP(D366,[3]Standard!$B$9:$K$100,10,FALSE),IF(BA366="121-365 Days",VLOOKUP(D366,[3]Standard!$B$9:$L$101,11,FALSE),VLOOKUP(D366,[3]Standard!$B$9:$M$101,12,FALSE)))),0)</f>
        <v>1323750</v>
      </c>
      <c r="M366" s="269">
        <f>IFERROR(VLOOKUP((D366&amp;C366)&amp;"",'[2]Retail Price List'!$C$4:$F$102,4,FALSE),"")</f>
        <v>1815000</v>
      </c>
      <c r="N366" s="269">
        <f>IFERROR(IF(BA366="WIP - 30 Days",VLOOKUP(D366,[3]Extended!$B$9:$E$101,4,FALSE),IF(BA366="31-120 Days",VLOOKUP(D366,[3]Extended!$B$9:$F$101,5,FALSE),IF(BA366="121-365 Days",VLOOKUP(D366,[3]Extended!$B$9:$G$101,6,FALSE),VLOOKUP(D366,[3]Extended!$B$9:$H$101,7,FALSE)))),0)</f>
        <v>1383393</v>
      </c>
      <c r="O366" s="269">
        <f>IFERROR(IF(BA366="WIP - 30 Days",VLOOKUP(D366,[3]Extended!$B$9:$J$101,9,FALSE),IF(BA366="31-120 Days",VLOOKUP(D366,[3]Extended!$B$9:$K$101,10,FALSE),IF(BA366="121-365 Days",VLOOKUP(D366,[3]Extended!$B$9:$L$101,11,FALSE),VLOOKUP(D366,[3]Extended!$B$9:$M$101,12,FALSE)))),0)</f>
        <v>1343100</v>
      </c>
      <c r="P366" s="116">
        <f t="shared" si="26"/>
        <v>0.26</v>
      </c>
      <c r="Q366" s="110" t="e">
        <f>O366-#REF!</f>
        <v>#REF!</v>
      </c>
      <c r="W366" s="311"/>
      <c r="X366" s="311"/>
      <c r="Y366" s="311"/>
      <c r="Z366" s="311"/>
      <c r="AA366" s="311"/>
      <c r="AB366" s="311"/>
      <c r="AC366" s="311"/>
      <c r="AT366" s="88" t="str">
        <f t="shared" si="27"/>
        <v>KP0006662017Q314,7</v>
      </c>
      <c r="AU366" s="89" t="str">
        <f t="shared" si="28"/>
        <v>07-2017</v>
      </c>
      <c r="BA366" s="92" t="str">
        <f t="shared" si="29"/>
        <v>WIP - 30 Days</v>
      </c>
    </row>
    <row r="367" spans="1:56">
      <c r="B367" s="60">
        <f>[2]Trucks!A364</f>
        <v>47547</v>
      </c>
      <c r="C367" s="11" t="str">
        <f>[2]Trucks!B364</f>
        <v>TGS-26-4406X4BLS-LX-ALU</v>
      </c>
      <c r="D367" s="19" t="str">
        <f>IFERROR(VLOOKUP(C367&amp;"",'[2]Retail Price List'!$A$3:$B$103,2,FALSE),"Special Order")</f>
        <v>KP000666</v>
      </c>
      <c r="E367" s="18" t="str">
        <f>[2]Trucks!J364</f>
        <v>CKD</v>
      </c>
      <c r="F367" s="12" t="str">
        <f>[2]Trucks!E364</f>
        <v>2017-11-15</v>
      </c>
      <c r="G367" s="56">
        <f>[2]Trucks!K364</f>
        <v>14.7</v>
      </c>
      <c r="H367" s="46">
        <f>[2]Trucks!I364</f>
        <v>42937</v>
      </c>
      <c r="I367" s="83" t="str">
        <f t="shared" si="25"/>
        <v>2017Q3</v>
      </c>
      <c r="J367" s="272">
        <f>IFERROR(VLOOKUP((D367&amp;C367)&amp;"",'[2]Retail Price List'!$C$4:$F$102,3,FALSE),"")</f>
        <v>1765000</v>
      </c>
      <c r="K367" s="272">
        <f>IFERROR(IF(BA367="WIP - 30 Days",VLOOKUP(D367,[3]Standard!$B$9:$E$101,4,FALSE),IF(BA367="31-120 Days",VLOOKUP(D367,[3]Standard!$B$9:$F$101,5,FALSE),IF(BA367="121-365 Days",VLOOKUP(D367,[3]Standard!$B$9:$G$101,6,FALSE),VLOOKUP(D367,[3]Standard!$B$9:$H$101,7,FALSE)))),0)</f>
        <v>1363462.5</v>
      </c>
      <c r="L367" s="272">
        <f>IFERROR(IF(BA367="WIP - 30 Days",VLOOKUP(D367,[3]Standard!$B$9:$J$101,9,FALSE),IF(BA367="31-120 Days",VLOOKUP(D367,[3]Standard!$B$9:$K$100,10,FALSE),IF(BA367="121-365 Days",VLOOKUP(D367,[3]Standard!$B$9:$L$101,11,FALSE),VLOOKUP(D367,[3]Standard!$B$9:$M$101,12,FALSE)))),0)</f>
        <v>1323750</v>
      </c>
      <c r="M367" s="269">
        <f>IFERROR(VLOOKUP((D367&amp;C367)&amp;"",'[2]Retail Price List'!$C$4:$F$102,4,FALSE),"")</f>
        <v>1815000</v>
      </c>
      <c r="N367" s="269">
        <f>IFERROR(IF(BA367="WIP - 30 Days",VLOOKUP(D367,[3]Extended!$B$9:$E$101,4,FALSE),IF(BA367="31-120 Days",VLOOKUP(D367,[3]Extended!$B$9:$F$101,5,FALSE),IF(BA367="121-365 Days",VLOOKUP(D367,[3]Extended!$B$9:$G$101,6,FALSE),VLOOKUP(D367,[3]Extended!$B$9:$H$101,7,FALSE)))),0)</f>
        <v>1383393</v>
      </c>
      <c r="O367" s="269">
        <f>IFERROR(IF(BA367="WIP - 30 Days",VLOOKUP(D367,[3]Extended!$B$9:$J$101,9,FALSE),IF(BA367="31-120 Days",VLOOKUP(D367,[3]Extended!$B$9:$K$101,10,FALSE),IF(BA367="121-365 Days",VLOOKUP(D367,[3]Extended!$B$9:$L$101,11,FALSE),VLOOKUP(D367,[3]Extended!$B$9:$M$101,12,FALSE)))),0)</f>
        <v>1343100</v>
      </c>
      <c r="P367" s="116">
        <f t="shared" si="26"/>
        <v>0.26</v>
      </c>
      <c r="Q367" s="110" t="e">
        <f>O367-#REF!</f>
        <v>#REF!</v>
      </c>
      <c r="W367" s="311"/>
      <c r="X367" s="311"/>
      <c r="Y367" s="311"/>
      <c r="Z367" s="311"/>
      <c r="AA367" s="311"/>
      <c r="AB367" s="311"/>
      <c r="AC367" s="311"/>
      <c r="AT367" s="88" t="str">
        <f t="shared" si="27"/>
        <v>KP0006662017Q314,7</v>
      </c>
      <c r="AU367" s="89" t="str">
        <f t="shared" si="28"/>
        <v>07-2017</v>
      </c>
      <c r="BA367" s="92" t="str">
        <f t="shared" si="29"/>
        <v>WIP - 30 Days</v>
      </c>
    </row>
    <row r="368" spans="1:56">
      <c r="B368" s="60">
        <f>[2]Trucks!A365</f>
        <v>47548</v>
      </c>
      <c r="C368" s="11" t="str">
        <f>[2]Trucks!B365</f>
        <v>TGS-26-4406X4BLS-LX-ALU</v>
      </c>
      <c r="D368" s="19" t="str">
        <f>IFERROR(VLOOKUP(C368&amp;"",'[2]Retail Price List'!$A$3:$B$103,2,FALSE),"Special Order")</f>
        <v>KP000666</v>
      </c>
      <c r="E368" s="18" t="str">
        <f>[2]Trucks!J365</f>
        <v>CKD</v>
      </c>
      <c r="F368" s="12" t="str">
        <f>[2]Trucks!E365</f>
        <v>2017-11-15</v>
      </c>
      <c r="G368" s="56">
        <f>[2]Trucks!K365</f>
        <v>14.7</v>
      </c>
      <c r="H368" s="46">
        <f>[2]Trucks!I365</f>
        <v>42937</v>
      </c>
      <c r="I368" s="83" t="str">
        <f t="shared" si="25"/>
        <v>2017Q3</v>
      </c>
      <c r="J368" s="272">
        <f>IFERROR(VLOOKUP((D368&amp;C368)&amp;"",'[2]Retail Price List'!$C$4:$F$102,3,FALSE),"")</f>
        <v>1765000</v>
      </c>
      <c r="K368" s="272">
        <f>IFERROR(IF(BA368="WIP - 30 Days",VLOOKUP(D368,[3]Standard!$B$9:$E$101,4,FALSE),IF(BA368="31-120 Days",VLOOKUP(D368,[3]Standard!$B$9:$F$101,5,FALSE),IF(BA368="121-365 Days",VLOOKUP(D368,[3]Standard!$B$9:$G$101,6,FALSE),VLOOKUP(D368,[3]Standard!$B$9:$H$101,7,FALSE)))),0)</f>
        <v>1363462.5</v>
      </c>
      <c r="L368" s="272">
        <f>IFERROR(IF(BA368="WIP - 30 Days",VLOOKUP(D368,[3]Standard!$B$9:$J$101,9,FALSE),IF(BA368="31-120 Days",VLOOKUP(D368,[3]Standard!$B$9:$K$100,10,FALSE),IF(BA368="121-365 Days",VLOOKUP(D368,[3]Standard!$B$9:$L$101,11,FALSE),VLOOKUP(D368,[3]Standard!$B$9:$M$101,12,FALSE)))),0)</f>
        <v>1323750</v>
      </c>
      <c r="M368" s="269">
        <f>IFERROR(VLOOKUP((D368&amp;C368)&amp;"",'[2]Retail Price List'!$C$4:$F$102,4,FALSE),"")</f>
        <v>1815000</v>
      </c>
      <c r="N368" s="269">
        <f>IFERROR(IF(BA368="WIP - 30 Days",VLOOKUP(D368,[3]Extended!$B$9:$E$101,4,FALSE),IF(BA368="31-120 Days",VLOOKUP(D368,[3]Extended!$B$9:$F$101,5,FALSE),IF(BA368="121-365 Days",VLOOKUP(D368,[3]Extended!$B$9:$G$101,6,FALSE),VLOOKUP(D368,[3]Extended!$B$9:$H$101,7,FALSE)))),0)</f>
        <v>1383393</v>
      </c>
      <c r="O368" s="269">
        <f>IFERROR(IF(BA368="WIP - 30 Days",VLOOKUP(D368,[3]Extended!$B$9:$J$101,9,FALSE),IF(BA368="31-120 Days",VLOOKUP(D368,[3]Extended!$B$9:$K$101,10,FALSE),IF(BA368="121-365 Days",VLOOKUP(D368,[3]Extended!$B$9:$L$101,11,FALSE),VLOOKUP(D368,[3]Extended!$B$9:$M$101,12,FALSE)))),0)</f>
        <v>1343100</v>
      </c>
      <c r="P368" s="116">
        <f t="shared" si="26"/>
        <v>0.26</v>
      </c>
      <c r="Q368" s="110" t="e">
        <f>O368-#REF!</f>
        <v>#REF!</v>
      </c>
      <c r="W368" s="311"/>
      <c r="X368" s="311"/>
      <c r="Y368" s="311"/>
      <c r="Z368" s="311"/>
      <c r="AA368" s="311"/>
      <c r="AB368" s="311"/>
      <c r="AC368" s="311"/>
      <c r="AT368" s="88" t="str">
        <f t="shared" si="27"/>
        <v>KP0006662017Q314,7</v>
      </c>
      <c r="AU368" s="89" t="str">
        <f t="shared" si="28"/>
        <v>07-2017</v>
      </c>
      <c r="BA368" s="92" t="str">
        <f t="shared" si="29"/>
        <v>WIP - 30 Days</v>
      </c>
    </row>
    <row r="369" spans="1:56">
      <c r="B369" s="60">
        <f>[2]Trucks!A366</f>
        <v>47549</v>
      </c>
      <c r="C369" s="11" t="str">
        <f>[2]Trucks!B366</f>
        <v>TGS-26-4406X4BLS-LX-ALU</v>
      </c>
      <c r="D369" s="19" t="str">
        <f>IFERROR(VLOOKUP(C369&amp;"",'[2]Retail Price List'!$A$3:$B$103,2,FALSE),"Special Order")</f>
        <v>KP000666</v>
      </c>
      <c r="E369" s="18" t="str">
        <f>[2]Trucks!J366</f>
        <v>CKD</v>
      </c>
      <c r="F369" s="12" t="str">
        <f>[2]Trucks!E366</f>
        <v>2017-11-15</v>
      </c>
      <c r="G369" s="56">
        <f>[2]Trucks!K366</f>
        <v>14.7</v>
      </c>
      <c r="H369" s="46">
        <f>[2]Trucks!I366</f>
        <v>42937</v>
      </c>
      <c r="I369" s="83" t="str">
        <f t="shared" si="25"/>
        <v>2017Q3</v>
      </c>
      <c r="J369" s="272">
        <f>IFERROR(VLOOKUP((D369&amp;C369)&amp;"",'[2]Retail Price List'!$C$4:$F$102,3,FALSE),"")</f>
        <v>1765000</v>
      </c>
      <c r="K369" s="272">
        <f>IFERROR(IF(BA369="WIP - 30 Days",VLOOKUP(D369,[3]Standard!$B$9:$E$101,4,FALSE),IF(BA369="31-120 Days",VLOOKUP(D369,[3]Standard!$B$9:$F$101,5,FALSE),IF(BA369="121-365 Days",VLOOKUP(D369,[3]Standard!$B$9:$G$101,6,FALSE),VLOOKUP(D369,[3]Standard!$B$9:$H$101,7,FALSE)))),0)</f>
        <v>1363462.5</v>
      </c>
      <c r="L369" s="272">
        <f>IFERROR(IF(BA369="WIP - 30 Days",VLOOKUP(D369,[3]Standard!$B$9:$J$101,9,FALSE),IF(BA369="31-120 Days",VLOOKUP(D369,[3]Standard!$B$9:$K$100,10,FALSE),IF(BA369="121-365 Days",VLOOKUP(D369,[3]Standard!$B$9:$L$101,11,FALSE),VLOOKUP(D369,[3]Standard!$B$9:$M$101,12,FALSE)))),0)</f>
        <v>1323750</v>
      </c>
      <c r="M369" s="269">
        <f>IFERROR(VLOOKUP((D369&amp;C369)&amp;"",'[2]Retail Price List'!$C$4:$F$102,4,FALSE),"")</f>
        <v>1815000</v>
      </c>
      <c r="N369" s="269">
        <f>IFERROR(IF(BA369="WIP - 30 Days",VLOOKUP(D369,[3]Extended!$B$9:$E$101,4,FALSE),IF(BA369="31-120 Days",VLOOKUP(D369,[3]Extended!$B$9:$F$101,5,FALSE),IF(BA369="121-365 Days",VLOOKUP(D369,[3]Extended!$B$9:$G$101,6,FALSE),VLOOKUP(D369,[3]Extended!$B$9:$H$101,7,FALSE)))),0)</f>
        <v>1383393</v>
      </c>
      <c r="O369" s="269">
        <f>IFERROR(IF(BA369="WIP - 30 Days",VLOOKUP(D369,[3]Extended!$B$9:$J$101,9,FALSE),IF(BA369="31-120 Days",VLOOKUP(D369,[3]Extended!$B$9:$K$101,10,FALSE),IF(BA369="121-365 Days",VLOOKUP(D369,[3]Extended!$B$9:$L$101,11,FALSE),VLOOKUP(D369,[3]Extended!$B$9:$M$101,12,FALSE)))),0)</f>
        <v>1343100</v>
      </c>
      <c r="P369" s="116">
        <f t="shared" si="26"/>
        <v>0.26</v>
      </c>
      <c r="Q369" s="110" t="e">
        <f>O369-#REF!</f>
        <v>#REF!</v>
      </c>
      <c r="W369" s="311"/>
      <c r="X369" s="311"/>
      <c r="Y369" s="311"/>
      <c r="Z369" s="311"/>
      <c r="AA369" s="311"/>
      <c r="AB369" s="311"/>
      <c r="AC369" s="311"/>
      <c r="AT369" s="88" t="str">
        <f t="shared" si="27"/>
        <v>KP0006662017Q314,7</v>
      </c>
      <c r="AU369" s="89" t="str">
        <f t="shared" si="28"/>
        <v>07-2017</v>
      </c>
      <c r="BA369" s="92" t="str">
        <f t="shared" si="29"/>
        <v>WIP - 30 Days</v>
      </c>
    </row>
    <row r="370" spans="1:56">
      <c r="B370" s="60">
        <f>[2]Trucks!A367</f>
        <v>47550</v>
      </c>
      <c r="C370" s="11" t="str">
        <f>[2]Trucks!B367</f>
        <v>TGS-26-4406X4BLS-LX-ALU</v>
      </c>
      <c r="D370" s="19" t="str">
        <f>IFERROR(VLOOKUP(C370&amp;"",'[2]Retail Price List'!$A$3:$B$103,2,FALSE),"Special Order")</f>
        <v>KP000666</v>
      </c>
      <c r="E370" s="18" t="str">
        <f>[2]Trucks!J367</f>
        <v>CKD</v>
      </c>
      <c r="F370" s="12" t="str">
        <f>[2]Trucks!E367</f>
        <v>2017-11-28</v>
      </c>
      <c r="G370" s="56">
        <f>[2]Trucks!K367</f>
        <v>14.7</v>
      </c>
      <c r="H370" s="46">
        <f>[2]Trucks!I367</f>
        <v>42937</v>
      </c>
      <c r="I370" s="83" t="str">
        <f t="shared" si="25"/>
        <v>2017Q3</v>
      </c>
      <c r="J370" s="272">
        <f>IFERROR(VLOOKUP((D370&amp;C370)&amp;"",'[2]Retail Price List'!$C$4:$F$102,3,FALSE),"")</f>
        <v>1765000</v>
      </c>
      <c r="K370" s="272">
        <f>IFERROR(IF(BA370="WIP - 30 Days",VLOOKUP(D370,[3]Standard!$B$9:$E$101,4,FALSE),IF(BA370="31-120 Days",VLOOKUP(D370,[3]Standard!$B$9:$F$101,5,FALSE),IF(BA370="121-365 Days",VLOOKUP(D370,[3]Standard!$B$9:$G$101,6,FALSE),VLOOKUP(D370,[3]Standard!$B$9:$H$101,7,FALSE)))),0)</f>
        <v>1363462.5</v>
      </c>
      <c r="L370" s="272">
        <f>IFERROR(IF(BA370="WIP - 30 Days",VLOOKUP(D370,[3]Standard!$B$9:$J$101,9,FALSE),IF(BA370="31-120 Days",VLOOKUP(D370,[3]Standard!$B$9:$K$100,10,FALSE),IF(BA370="121-365 Days",VLOOKUP(D370,[3]Standard!$B$9:$L$101,11,FALSE),VLOOKUP(D370,[3]Standard!$B$9:$M$101,12,FALSE)))),0)</f>
        <v>1323750</v>
      </c>
      <c r="M370" s="269">
        <f>IFERROR(VLOOKUP((D370&amp;C370)&amp;"",'[2]Retail Price List'!$C$4:$F$102,4,FALSE),"")</f>
        <v>1815000</v>
      </c>
      <c r="N370" s="269">
        <f>IFERROR(IF(BA370="WIP - 30 Days",VLOOKUP(D370,[3]Extended!$B$9:$E$101,4,FALSE),IF(BA370="31-120 Days",VLOOKUP(D370,[3]Extended!$B$9:$F$101,5,FALSE),IF(BA370="121-365 Days",VLOOKUP(D370,[3]Extended!$B$9:$G$101,6,FALSE),VLOOKUP(D370,[3]Extended!$B$9:$H$101,7,FALSE)))),0)</f>
        <v>1383393</v>
      </c>
      <c r="O370" s="269">
        <f>IFERROR(IF(BA370="WIP - 30 Days",VLOOKUP(D370,[3]Extended!$B$9:$J$101,9,FALSE),IF(BA370="31-120 Days",VLOOKUP(D370,[3]Extended!$B$9:$K$101,10,FALSE),IF(BA370="121-365 Days",VLOOKUP(D370,[3]Extended!$B$9:$L$101,11,FALSE),VLOOKUP(D370,[3]Extended!$B$9:$M$101,12,FALSE)))),0)</f>
        <v>1343100</v>
      </c>
      <c r="P370" s="116">
        <f t="shared" si="26"/>
        <v>0.26</v>
      </c>
      <c r="Q370" s="110" t="e">
        <f>O370-#REF!</f>
        <v>#REF!</v>
      </c>
      <c r="W370" s="311"/>
      <c r="X370" s="311"/>
      <c r="Y370" s="311"/>
      <c r="Z370" s="311"/>
      <c r="AA370" s="311"/>
      <c r="AB370" s="311"/>
      <c r="AC370" s="311"/>
      <c r="AT370" s="88" t="str">
        <f t="shared" si="27"/>
        <v>KP0006662017Q314,7</v>
      </c>
      <c r="AU370" s="89" t="str">
        <f t="shared" si="28"/>
        <v>07-2017</v>
      </c>
      <c r="AX370" s="99"/>
      <c r="BA370" s="92" t="str">
        <f t="shared" si="29"/>
        <v>WIP - 30 Days</v>
      </c>
    </row>
    <row r="371" spans="1:56">
      <c r="B371" s="60">
        <f>[2]Trucks!A368</f>
        <v>47551</v>
      </c>
      <c r="C371" s="11" t="str">
        <f>[2]Trucks!B368</f>
        <v>TGS-26-4406X4BLS-LX-ALU</v>
      </c>
      <c r="D371" s="19" t="str">
        <f>IFERROR(VLOOKUP(C371&amp;"",'[2]Retail Price List'!$A$3:$B$103,2,FALSE),"Special Order")</f>
        <v>KP000666</v>
      </c>
      <c r="E371" s="18" t="str">
        <f>[2]Trucks!J368</f>
        <v>CKD</v>
      </c>
      <c r="F371" s="12" t="str">
        <f>[2]Trucks!E368</f>
        <v>2017-11-28</v>
      </c>
      <c r="G371" s="56">
        <f>[2]Trucks!K368</f>
        <v>14.7</v>
      </c>
      <c r="H371" s="46">
        <f>[2]Trucks!I368</f>
        <v>42937</v>
      </c>
      <c r="I371" s="83" t="str">
        <f t="shared" si="25"/>
        <v>2017Q3</v>
      </c>
      <c r="J371" s="272">
        <f>IFERROR(VLOOKUP((D371&amp;C371)&amp;"",'[2]Retail Price List'!$C$4:$F$102,3,FALSE),"")</f>
        <v>1765000</v>
      </c>
      <c r="K371" s="272">
        <f>IFERROR(IF(BA371="WIP - 30 Days",VLOOKUP(D371,[3]Standard!$B$9:$E$101,4,FALSE),IF(BA371="31-120 Days",VLOOKUP(D371,[3]Standard!$B$9:$F$101,5,FALSE),IF(BA371="121-365 Days",VLOOKUP(D371,[3]Standard!$B$9:$G$101,6,FALSE),VLOOKUP(D371,[3]Standard!$B$9:$H$101,7,FALSE)))),0)</f>
        <v>1363462.5</v>
      </c>
      <c r="L371" s="272">
        <f>IFERROR(IF(BA371="WIP - 30 Days",VLOOKUP(D371,[3]Standard!$B$9:$J$101,9,FALSE),IF(BA371="31-120 Days",VLOOKUP(D371,[3]Standard!$B$9:$K$100,10,FALSE),IF(BA371="121-365 Days",VLOOKUP(D371,[3]Standard!$B$9:$L$101,11,FALSE),VLOOKUP(D371,[3]Standard!$B$9:$M$101,12,FALSE)))),0)</f>
        <v>1323750</v>
      </c>
      <c r="M371" s="269">
        <f>IFERROR(VLOOKUP((D371&amp;C371)&amp;"",'[2]Retail Price List'!$C$4:$F$102,4,FALSE),"")</f>
        <v>1815000</v>
      </c>
      <c r="N371" s="269">
        <f>IFERROR(IF(BA371="WIP - 30 Days",VLOOKUP(D371,[3]Extended!$B$9:$E$101,4,FALSE),IF(BA371="31-120 Days",VLOOKUP(D371,[3]Extended!$B$9:$F$101,5,FALSE),IF(BA371="121-365 Days",VLOOKUP(D371,[3]Extended!$B$9:$G$101,6,FALSE),VLOOKUP(D371,[3]Extended!$B$9:$H$101,7,FALSE)))),0)</f>
        <v>1383393</v>
      </c>
      <c r="O371" s="269">
        <f>IFERROR(IF(BA371="WIP - 30 Days",VLOOKUP(D371,[3]Extended!$B$9:$J$101,9,FALSE),IF(BA371="31-120 Days",VLOOKUP(D371,[3]Extended!$B$9:$K$101,10,FALSE),IF(BA371="121-365 Days",VLOOKUP(D371,[3]Extended!$B$9:$L$101,11,FALSE),VLOOKUP(D371,[3]Extended!$B$9:$M$101,12,FALSE)))),0)</f>
        <v>1343100</v>
      </c>
      <c r="P371" s="116">
        <f t="shared" si="26"/>
        <v>0.26</v>
      </c>
      <c r="Q371" s="110" t="e">
        <f>O371-#REF!</f>
        <v>#REF!</v>
      </c>
      <c r="W371" s="311"/>
      <c r="X371" s="311"/>
      <c r="Y371" s="311"/>
      <c r="Z371" s="311"/>
      <c r="AA371" s="311"/>
      <c r="AB371" s="311"/>
      <c r="AC371" s="311"/>
      <c r="AT371" s="88" t="str">
        <f t="shared" si="27"/>
        <v>KP0006662017Q314,7</v>
      </c>
      <c r="AU371" s="89" t="str">
        <f t="shared" si="28"/>
        <v>07-2017</v>
      </c>
      <c r="BA371" s="92" t="str">
        <f t="shared" si="29"/>
        <v>WIP - 30 Days</v>
      </c>
    </row>
    <row r="372" spans="1:56">
      <c r="B372" s="60">
        <f>[2]Trucks!A369</f>
        <v>47552</v>
      </c>
      <c r="C372" s="11" t="str">
        <f>[2]Trucks!B369</f>
        <v>TGS-26-4406X4BLS-LX-ALU</v>
      </c>
      <c r="D372" s="19" t="str">
        <f>IFERROR(VLOOKUP(C372&amp;"",'[2]Retail Price List'!$A$3:$B$103,2,FALSE),"Special Order")</f>
        <v>KP000666</v>
      </c>
      <c r="E372" s="18" t="str">
        <f>[2]Trucks!J369</f>
        <v>CKD</v>
      </c>
      <c r="F372" s="12" t="str">
        <f>[2]Trucks!E369</f>
        <v>2017-11-28</v>
      </c>
      <c r="G372" s="56">
        <f>[2]Trucks!K369</f>
        <v>14.7</v>
      </c>
      <c r="H372" s="46">
        <f>[2]Trucks!I369</f>
        <v>42937</v>
      </c>
      <c r="I372" s="83" t="str">
        <f t="shared" si="25"/>
        <v>2017Q3</v>
      </c>
      <c r="J372" s="272">
        <f>IFERROR(VLOOKUP((D372&amp;C372)&amp;"",'[2]Retail Price List'!$C$4:$F$102,3,FALSE),"")</f>
        <v>1765000</v>
      </c>
      <c r="K372" s="272">
        <f>IFERROR(IF(BA372="WIP - 30 Days",VLOOKUP(D372,[3]Standard!$B$9:$E$101,4,FALSE),IF(BA372="31-120 Days",VLOOKUP(D372,[3]Standard!$B$9:$F$101,5,FALSE),IF(BA372="121-365 Days",VLOOKUP(D372,[3]Standard!$B$9:$G$101,6,FALSE),VLOOKUP(D372,[3]Standard!$B$9:$H$101,7,FALSE)))),0)</f>
        <v>1363462.5</v>
      </c>
      <c r="L372" s="272">
        <f>IFERROR(IF(BA372="WIP - 30 Days",VLOOKUP(D372,[3]Standard!$B$9:$J$101,9,FALSE),IF(BA372="31-120 Days",VLOOKUP(D372,[3]Standard!$B$9:$K$100,10,FALSE),IF(BA372="121-365 Days",VLOOKUP(D372,[3]Standard!$B$9:$L$101,11,FALSE),VLOOKUP(D372,[3]Standard!$B$9:$M$101,12,FALSE)))),0)</f>
        <v>1323750</v>
      </c>
      <c r="M372" s="269">
        <f>IFERROR(VLOOKUP((D372&amp;C372)&amp;"",'[2]Retail Price List'!$C$4:$F$102,4,FALSE),"")</f>
        <v>1815000</v>
      </c>
      <c r="N372" s="269">
        <f>IFERROR(IF(BA372="WIP - 30 Days",VLOOKUP(D372,[3]Extended!$B$9:$E$101,4,FALSE),IF(BA372="31-120 Days",VLOOKUP(D372,[3]Extended!$B$9:$F$101,5,FALSE),IF(BA372="121-365 Days",VLOOKUP(D372,[3]Extended!$B$9:$G$101,6,FALSE),VLOOKUP(D372,[3]Extended!$B$9:$H$101,7,FALSE)))),0)</f>
        <v>1383393</v>
      </c>
      <c r="O372" s="269">
        <f>IFERROR(IF(BA372="WIP - 30 Days",VLOOKUP(D372,[3]Extended!$B$9:$J$101,9,FALSE),IF(BA372="31-120 Days",VLOOKUP(D372,[3]Extended!$B$9:$K$101,10,FALSE),IF(BA372="121-365 Days",VLOOKUP(D372,[3]Extended!$B$9:$L$101,11,FALSE),VLOOKUP(D372,[3]Extended!$B$9:$M$101,12,FALSE)))),0)</f>
        <v>1343100</v>
      </c>
      <c r="P372" s="116">
        <f t="shared" si="26"/>
        <v>0.26</v>
      </c>
      <c r="Q372" s="110" t="e">
        <f>O372-#REF!</f>
        <v>#REF!</v>
      </c>
      <c r="W372" s="311"/>
      <c r="X372" s="311"/>
      <c r="Y372" s="311"/>
      <c r="Z372" s="311"/>
      <c r="AA372" s="311"/>
      <c r="AB372" s="311"/>
      <c r="AC372" s="311"/>
      <c r="AT372" s="88" t="str">
        <f t="shared" si="27"/>
        <v>KP0006662017Q314,7</v>
      </c>
      <c r="AU372" s="89" t="str">
        <f t="shared" si="28"/>
        <v>07-2017</v>
      </c>
      <c r="BA372" s="92" t="str">
        <f t="shared" si="29"/>
        <v>WIP - 30 Days</v>
      </c>
    </row>
    <row r="373" spans="1:56">
      <c r="B373" s="60">
        <f>[2]Trucks!A370</f>
        <v>47553</v>
      </c>
      <c r="C373" s="11" t="str">
        <f>[2]Trucks!B370</f>
        <v>TGS-26-4406X4BLS-LX-ALU</v>
      </c>
      <c r="D373" s="19" t="str">
        <f>IFERROR(VLOOKUP(C373&amp;"",'[2]Retail Price List'!$A$3:$B$103,2,FALSE),"Special Order")</f>
        <v>KP000666</v>
      </c>
      <c r="E373" s="18" t="str">
        <f>[2]Trucks!J370</f>
        <v>CKD</v>
      </c>
      <c r="F373" s="12" t="str">
        <f>[2]Trucks!E370</f>
        <v>2017-11-28</v>
      </c>
      <c r="G373" s="56">
        <f>[2]Trucks!K370</f>
        <v>14.7</v>
      </c>
      <c r="H373" s="46">
        <f>[2]Trucks!I370</f>
        <v>42937</v>
      </c>
      <c r="I373" s="83" t="str">
        <f t="shared" si="25"/>
        <v>2017Q3</v>
      </c>
      <c r="J373" s="272">
        <f>IFERROR(VLOOKUP((D373&amp;C373)&amp;"",'[2]Retail Price List'!$C$4:$F$102,3,FALSE),"")</f>
        <v>1765000</v>
      </c>
      <c r="K373" s="272">
        <f>IFERROR(IF(BA373="WIP - 30 Days",VLOOKUP(D373,[3]Standard!$B$9:$E$101,4,FALSE),IF(BA373="31-120 Days",VLOOKUP(D373,[3]Standard!$B$9:$F$101,5,FALSE),IF(BA373="121-365 Days",VLOOKUP(D373,[3]Standard!$B$9:$G$101,6,FALSE),VLOOKUP(D373,[3]Standard!$B$9:$H$101,7,FALSE)))),0)</f>
        <v>1363462.5</v>
      </c>
      <c r="L373" s="272">
        <f>IFERROR(IF(BA373="WIP - 30 Days",VLOOKUP(D373,[3]Standard!$B$9:$J$101,9,FALSE),IF(BA373="31-120 Days",VLOOKUP(D373,[3]Standard!$B$9:$K$100,10,FALSE),IF(BA373="121-365 Days",VLOOKUP(D373,[3]Standard!$B$9:$L$101,11,FALSE),VLOOKUP(D373,[3]Standard!$B$9:$M$101,12,FALSE)))),0)</f>
        <v>1323750</v>
      </c>
      <c r="M373" s="269">
        <f>IFERROR(VLOOKUP((D373&amp;C373)&amp;"",'[2]Retail Price List'!$C$4:$F$102,4,FALSE),"")</f>
        <v>1815000</v>
      </c>
      <c r="N373" s="269">
        <f>IFERROR(IF(BA373="WIP - 30 Days",VLOOKUP(D373,[3]Extended!$B$9:$E$101,4,FALSE),IF(BA373="31-120 Days",VLOOKUP(D373,[3]Extended!$B$9:$F$101,5,FALSE),IF(BA373="121-365 Days",VLOOKUP(D373,[3]Extended!$B$9:$G$101,6,FALSE),VLOOKUP(D373,[3]Extended!$B$9:$H$101,7,FALSE)))),0)</f>
        <v>1383393</v>
      </c>
      <c r="O373" s="269">
        <f>IFERROR(IF(BA373="WIP - 30 Days",VLOOKUP(D373,[3]Extended!$B$9:$J$101,9,FALSE),IF(BA373="31-120 Days",VLOOKUP(D373,[3]Extended!$B$9:$K$101,10,FALSE),IF(BA373="121-365 Days",VLOOKUP(D373,[3]Extended!$B$9:$L$101,11,FALSE),VLOOKUP(D373,[3]Extended!$B$9:$M$101,12,FALSE)))),0)</f>
        <v>1343100</v>
      </c>
      <c r="P373" s="116">
        <f t="shared" si="26"/>
        <v>0.26</v>
      </c>
      <c r="Q373" s="110" t="e">
        <f>O373-#REF!</f>
        <v>#REF!</v>
      </c>
      <c r="W373" s="311"/>
      <c r="X373" s="311"/>
      <c r="Y373" s="311"/>
      <c r="Z373" s="311"/>
      <c r="AA373" s="311"/>
      <c r="AB373" s="311"/>
      <c r="AC373" s="311"/>
      <c r="AT373" s="88" t="str">
        <f t="shared" si="27"/>
        <v>KP0006662017Q314,7</v>
      </c>
      <c r="AU373" s="89" t="str">
        <f t="shared" si="28"/>
        <v>07-2017</v>
      </c>
      <c r="BA373" s="92" t="str">
        <f t="shared" si="29"/>
        <v>WIP - 30 Days</v>
      </c>
    </row>
    <row r="374" spans="1:56">
      <c r="B374" s="60">
        <f>[2]Trucks!A371</f>
        <v>47554</v>
      </c>
      <c r="C374" s="11" t="str">
        <f>[2]Trucks!B371</f>
        <v>TGS-26-4406X4BLS-LX-ALU</v>
      </c>
      <c r="D374" s="19" t="str">
        <f>IFERROR(VLOOKUP(C374&amp;"",'[2]Retail Price List'!$A$3:$B$103,2,FALSE),"Special Order")</f>
        <v>KP000666</v>
      </c>
      <c r="E374" s="18" t="str">
        <f>[2]Trucks!J371</f>
        <v>CKD</v>
      </c>
      <c r="F374" s="12" t="str">
        <f>[2]Trucks!E371</f>
        <v>2017-12-5</v>
      </c>
      <c r="G374" s="56">
        <f>[2]Trucks!K371</f>
        <v>14.7</v>
      </c>
      <c r="H374" s="46">
        <f>[2]Trucks!I371</f>
        <v>42937</v>
      </c>
      <c r="I374" s="83" t="str">
        <f t="shared" si="25"/>
        <v>2017Q3</v>
      </c>
      <c r="J374" s="272">
        <f>IFERROR(VLOOKUP((D374&amp;C374)&amp;"",'[2]Retail Price List'!$C$4:$F$102,3,FALSE),"")</f>
        <v>1765000</v>
      </c>
      <c r="K374" s="272">
        <f>IFERROR(IF(BA374="WIP - 30 Days",VLOOKUP(D374,[3]Standard!$B$9:$E$101,4,FALSE),IF(BA374="31-120 Days",VLOOKUP(D374,[3]Standard!$B$9:$F$101,5,FALSE),IF(BA374="121-365 Days",VLOOKUP(D374,[3]Standard!$B$9:$G$101,6,FALSE),VLOOKUP(D374,[3]Standard!$B$9:$H$101,7,FALSE)))),0)</f>
        <v>1363462.5</v>
      </c>
      <c r="L374" s="272">
        <f>IFERROR(IF(BA374="WIP - 30 Days",VLOOKUP(D374,[3]Standard!$B$9:$J$101,9,FALSE),IF(BA374="31-120 Days",VLOOKUP(D374,[3]Standard!$B$9:$K$100,10,FALSE),IF(BA374="121-365 Days",VLOOKUP(D374,[3]Standard!$B$9:$L$101,11,FALSE),VLOOKUP(D374,[3]Standard!$B$9:$M$101,12,FALSE)))),0)</f>
        <v>1323750</v>
      </c>
      <c r="M374" s="269">
        <f>IFERROR(VLOOKUP((D374&amp;C374)&amp;"",'[2]Retail Price List'!$C$4:$F$102,4,FALSE),"")</f>
        <v>1815000</v>
      </c>
      <c r="N374" s="269">
        <f>IFERROR(IF(BA374="WIP - 30 Days",VLOOKUP(D374,[3]Extended!$B$9:$E$101,4,FALSE),IF(BA374="31-120 Days",VLOOKUP(D374,[3]Extended!$B$9:$F$101,5,FALSE),IF(BA374="121-365 Days",VLOOKUP(D374,[3]Extended!$B$9:$G$101,6,FALSE),VLOOKUP(D374,[3]Extended!$B$9:$H$101,7,FALSE)))),0)</f>
        <v>1383393</v>
      </c>
      <c r="O374" s="269">
        <f>IFERROR(IF(BA374="WIP - 30 Days",VLOOKUP(D374,[3]Extended!$B$9:$J$101,9,FALSE),IF(BA374="31-120 Days",VLOOKUP(D374,[3]Extended!$B$9:$K$101,10,FALSE),IF(BA374="121-365 Days",VLOOKUP(D374,[3]Extended!$B$9:$L$101,11,FALSE),VLOOKUP(D374,[3]Extended!$B$9:$M$101,12,FALSE)))),0)</f>
        <v>1343100</v>
      </c>
      <c r="P374" s="116">
        <f t="shared" si="26"/>
        <v>0.26</v>
      </c>
      <c r="Q374" s="110" t="e">
        <f>O374-#REF!</f>
        <v>#REF!</v>
      </c>
      <c r="W374" s="311"/>
      <c r="X374" s="311"/>
      <c r="Y374" s="311"/>
      <c r="Z374" s="311"/>
      <c r="AA374" s="311"/>
      <c r="AB374" s="311"/>
      <c r="AC374" s="311"/>
      <c r="AT374" s="88" t="str">
        <f t="shared" si="27"/>
        <v>KP0006662017Q314,7</v>
      </c>
      <c r="AU374" s="89" t="str">
        <f t="shared" si="28"/>
        <v>07-2017</v>
      </c>
      <c r="BA374" s="92" t="str">
        <f t="shared" si="29"/>
        <v>WIP - 30 Days</v>
      </c>
    </row>
    <row r="375" spans="1:56">
      <c r="B375" s="60">
        <f>[2]Trucks!A372</f>
        <v>47555</v>
      </c>
      <c r="C375" s="11" t="str">
        <f>[2]Trucks!B372</f>
        <v>TGS-26-4406X4BLS-LX-ALU</v>
      </c>
      <c r="D375" s="19" t="str">
        <f>IFERROR(VLOOKUP(C375&amp;"",'[2]Retail Price List'!$A$3:$B$103,2,FALSE),"Special Order")</f>
        <v>KP000666</v>
      </c>
      <c r="E375" s="18" t="str">
        <f>[2]Trucks!J372</f>
        <v>CKD</v>
      </c>
      <c r="F375" s="12" t="str">
        <f>[2]Trucks!E372</f>
        <v>2017-12-5</v>
      </c>
      <c r="G375" s="56">
        <f>[2]Trucks!K372</f>
        <v>14.7</v>
      </c>
      <c r="H375" s="46">
        <f>[2]Trucks!I372</f>
        <v>42937</v>
      </c>
      <c r="I375" s="83" t="str">
        <f t="shared" si="25"/>
        <v>2017Q3</v>
      </c>
      <c r="J375" s="272">
        <f>IFERROR(VLOOKUP((D375&amp;C375)&amp;"",'[2]Retail Price List'!$C$4:$F$102,3,FALSE),"")</f>
        <v>1765000</v>
      </c>
      <c r="K375" s="272">
        <f>IFERROR(IF(BA375="WIP - 30 Days",VLOOKUP(D375,[3]Standard!$B$9:$E$101,4,FALSE),IF(BA375="31-120 Days",VLOOKUP(D375,[3]Standard!$B$9:$F$101,5,FALSE),IF(BA375="121-365 Days",VLOOKUP(D375,[3]Standard!$B$9:$G$101,6,FALSE),VLOOKUP(D375,[3]Standard!$B$9:$H$101,7,FALSE)))),0)</f>
        <v>1363462.5</v>
      </c>
      <c r="L375" s="272">
        <f>IFERROR(IF(BA375="WIP - 30 Days",VLOOKUP(D375,[3]Standard!$B$9:$J$101,9,FALSE),IF(BA375="31-120 Days",VLOOKUP(D375,[3]Standard!$B$9:$K$100,10,FALSE),IF(BA375="121-365 Days",VLOOKUP(D375,[3]Standard!$B$9:$L$101,11,FALSE),VLOOKUP(D375,[3]Standard!$B$9:$M$101,12,FALSE)))),0)</f>
        <v>1323750</v>
      </c>
      <c r="M375" s="269">
        <f>IFERROR(VLOOKUP((D375&amp;C375)&amp;"",'[2]Retail Price List'!$C$4:$F$102,4,FALSE),"")</f>
        <v>1815000</v>
      </c>
      <c r="N375" s="269">
        <f>IFERROR(IF(BA375="WIP - 30 Days",VLOOKUP(D375,[3]Extended!$B$9:$E$101,4,FALSE),IF(BA375="31-120 Days",VLOOKUP(D375,[3]Extended!$B$9:$F$101,5,FALSE),IF(BA375="121-365 Days",VLOOKUP(D375,[3]Extended!$B$9:$G$101,6,FALSE),VLOOKUP(D375,[3]Extended!$B$9:$H$101,7,FALSE)))),0)</f>
        <v>1383393</v>
      </c>
      <c r="O375" s="269">
        <f>IFERROR(IF(BA375="WIP - 30 Days",VLOOKUP(D375,[3]Extended!$B$9:$J$101,9,FALSE),IF(BA375="31-120 Days",VLOOKUP(D375,[3]Extended!$B$9:$K$101,10,FALSE),IF(BA375="121-365 Days",VLOOKUP(D375,[3]Extended!$B$9:$L$101,11,FALSE),VLOOKUP(D375,[3]Extended!$B$9:$M$101,12,FALSE)))),0)</f>
        <v>1343100</v>
      </c>
      <c r="P375" s="116">
        <f t="shared" si="26"/>
        <v>0.26</v>
      </c>
      <c r="Q375" s="110" t="e">
        <f>O375-#REF!</f>
        <v>#REF!</v>
      </c>
      <c r="W375" s="311"/>
      <c r="X375" s="311"/>
      <c r="Y375" s="311"/>
      <c r="Z375" s="311"/>
      <c r="AA375" s="311"/>
      <c r="AB375" s="311"/>
      <c r="AC375" s="311"/>
      <c r="AT375" s="88" t="str">
        <f t="shared" si="27"/>
        <v>KP0006662017Q314,7</v>
      </c>
      <c r="AU375" s="89" t="str">
        <f t="shared" si="28"/>
        <v>07-2017</v>
      </c>
      <c r="BA375" s="92" t="str">
        <f t="shared" si="29"/>
        <v>WIP - 30 Days</v>
      </c>
    </row>
    <row r="376" spans="1:56">
      <c r="B376" s="60">
        <f>[2]Trucks!A373</f>
        <v>47556</v>
      </c>
      <c r="C376" s="11" t="str">
        <f>[2]Trucks!B373</f>
        <v>TGS-26-4406X4BLS-LX-ALU</v>
      </c>
      <c r="D376" s="19" t="str">
        <f>IFERROR(VLOOKUP(C376&amp;"",'[2]Retail Price List'!$A$3:$B$103,2,FALSE),"Special Order")</f>
        <v>KP000666</v>
      </c>
      <c r="E376" s="18" t="str">
        <f>[2]Trucks!J373</f>
        <v>CKD</v>
      </c>
      <c r="F376" s="12" t="str">
        <f>[2]Trucks!E373</f>
        <v>2017-12-5</v>
      </c>
      <c r="G376" s="56">
        <f>[2]Trucks!K373</f>
        <v>14.7</v>
      </c>
      <c r="H376" s="46">
        <f>[2]Trucks!I373</f>
        <v>42937</v>
      </c>
      <c r="I376" s="83" t="str">
        <f t="shared" si="25"/>
        <v>2017Q3</v>
      </c>
      <c r="J376" s="272">
        <f>IFERROR(VLOOKUP((D376&amp;C376)&amp;"",'[2]Retail Price List'!$C$4:$F$102,3,FALSE),"")</f>
        <v>1765000</v>
      </c>
      <c r="K376" s="272">
        <f>IFERROR(IF(BA376="WIP - 30 Days",VLOOKUP(D376,[3]Standard!$B$9:$E$101,4,FALSE),IF(BA376="31-120 Days",VLOOKUP(D376,[3]Standard!$B$9:$F$101,5,FALSE),IF(BA376="121-365 Days",VLOOKUP(D376,[3]Standard!$B$9:$G$101,6,FALSE),VLOOKUP(D376,[3]Standard!$B$9:$H$101,7,FALSE)))),0)</f>
        <v>1363462.5</v>
      </c>
      <c r="L376" s="272">
        <f>IFERROR(IF(BA376="WIP - 30 Days",VLOOKUP(D376,[3]Standard!$B$9:$J$101,9,FALSE),IF(BA376="31-120 Days",VLOOKUP(D376,[3]Standard!$B$9:$K$100,10,FALSE),IF(BA376="121-365 Days",VLOOKUP(D376,[3]Standard!$B$9:$L$101,11,FALSE),VLOOKUP(D376,[3]Standard!$B$9:$M$101,12,FALSE)))),0)</f>
        <v>1323750</v>
      </c>
      <c r="M376" s="269">
        <f>IFERROR(VLOOKUP((D376&amp;C376)&amp;"",'[2]Retail Price List'!$C$4:$F$102,4,FALSE),"")</f>
        <v>1815000</v>
      </c>
      <c r="N376" s="269">
        <f>IFERROR(IF(BA376="WIP - 30 Days",VLOOKUP(D376,[3]Extended!$B$9:$E$101,4,FALSE),IF(BA376="31-120 Days",VLOOKUP(D376,[3]Extended!$B$9:$F$101,5,FALSE),IF(BA376="121-365 Days",VLOOKUP(D376,[3]Extended!$B$9:$G$101,6,FALSE),VLOOKUP(D376,[3]Extended!$B$9:$H$101,7,FALSE)))),0)</f>
        <v>1383393</v>
      </c>
      <c r="O376" s="269">
        <f>IFERROR(IF(BA376="WIP - 30 Days",VLOOKUP(D376,[3]Extended!$B$9:$J$101,9,FALSE),IF(BA376="31-120 Days",VLOOKUP(D376,[3]Extended!$B$9:$K$101,10,FALSE),IF(BA376="121-365 Days",VLOOKUP(D376,[3]Extended!$B$9:$L$101,11,FALSE),VLOOKUP(D376,[3]Extended!$B$9:$M$101,12,FALSE)))),0)</f>
        <v>1343100</v>
      </c>
      <c r="P376" s="116">
        <f t="shared" si="26"/>
        <v>0.26</v>
      </c>
      <c r="Q376" s="110" t="e">
        <f>O376-#REF!</f>
        <v>#REF!</v>
      </c>
      <c r="W376" s="311"/>
      <c r="X376" s="311"/>
      <c r="Y376" s="311"/>
      <c r="Z376" s="311"/>
      <c r="AA376" s="311"/>
      <c r="AB376" s="311"/>
      <c r="AC376" s="311"/>
      <c r="AT376" s="88" t="str">
        <f t="shared" si="27"/>
        <v>KP0006662017Q314,7</v>
      </c>
      <c r="AU376" s="89" t="str">
        <f t="shared" si="28"/>
        <v>07-2017</v>
      </c>
      <c r="BA376" s="92" t="str">
        <f t="shared" si="29"/>
        <v>WIP - 30 Days</v>
      </c>
    </row>
    <row r="377" spans="1:56">
      <c r="B377" s="60">
        <f>[2]Trucks!A374</f>
        <v>47557</v>
      </c>
      <c r="C377" s="11" t="str">
        <f>[2]Trucks!B374</f>
        <v>TGS-26-4406X4BLS-LX-ALU</v>
      </c>
      <c r="D377" s="19" t="str">
        <f>IFERROR(VLOOKUP(C377&amp;"",'[2]Retail Price List'!$A$3:$B$103,2,FALSE),"Special Order")</f>
        <v>KP000666</v>
      </c>
      <c r="E377" s="18" t="str">
        <f>[2]Trucks!J374</f>
        <v>CKD</v>
      </c>
      <c r="F377" s="12" t="str">
        <f>[2]Trucks!E374</f>
        <v>2017-12-5</v>
      </c>
      <c r="G377" s="56">
        <f>[2]Trucks!K374</f>
        <v>14.7</v>
      </c>
      <c r="H377" s="46">
        <f>[2]Trucks!I374</f>
        <v>42937</v>
      </c>
      <c r="I377" s="83" t="str">
        <f t="shared" si="25"/>
        <v>2017Q3</v>
      </c>
      <c r="J377" s="272">
        <f>IFERROR(VLOOKUP((D377&amp;C377)&amp;"",'[2]Retail Price List'!$C$4:$F$102,3,FALSE),"")</f>
        <v>1765000</v>
      </c>
      <c r="K377" s="272">
        <f>IFERROR(IF(BA377="WIP - 30 Days",VLOOKUP(D377,[3]Standard!$B$9:$E$101,4,FALSE),IF(BA377="31-120 Days",VLOOKUP(D377,[3]Standard!$B$9:$F$101,5,FALSE),IF(BA377="121-365 Days",VLOOKUP(D377,[3]Standard!$B$9:$G$101,6,FALSE),VLOOKUP(D377,[3]Standard!$B$9:$H$101,7,FALSE)))),0)</f>
        <v>1363462.5</v>
      </c>
      <c r="L377" s="272">
        <f>IFERROR(IF(BA377="WIP - 30 Days",VLOOKUP(D377,[3]Standard!$B$9:$J$101,9,FALSE),IF(BA377="31-120 Days",VLOOKUP(D377,[3]Standard!$B$9:$K$100,10,FALSE),IF(BA377="121-365 Days",VLOOKUP(D377,[3]Standard!$B$9:$L$101,11,FALSE),VLOOKUP(D377,[3]Standard!$B$9:$M$101,12,FALSE)))),0)</f>
        <v>1323750</v>
      </c>
      <c r="M377" s="269">
        <f>IFERROR(VLOOKUP((D377&amp;C377)&amp;"",'[2]Retail Price List'!$C$4:$F$102,4,FALSE),"")</f>
        <v>1815000</v>
      </c>
      <c r="N377" s="269">
        <f>IFERROR(IF(BA377="WIP - 30 Days",VLOOKUP(D377,[3]Extended!$B$9:$E$101,4,FALSE),IF(BA377="31-120 Days",VLOOKUP(D377,[3]Extended!$B$9:$F$101,5,FALSE),IF(BA377="121-365 Days",VLOOKUP(D377,[3]Extended!$B$9:$G$101,6,FALSE),VLOOKUP(D377,[3]Extended!$B$9:$H$101,7,FALSE)))),0)</f>
        <v>1383393</v>
      </c>
      <c r="O377" s="269">
        <f>IFERROR(IF(BA377="WIP - 30 Days",VLOOKUP(D377,[3]Extended!$B$9:$J$101,9,FALSE),IF(BA377="31-120 Days",VLOOKUP(D377,[3]Extended!$B$9:$K$101,10,FALSE),IF(BA377="121-365 Days",VLOOKUP(D377,[3]Extended!$B$9:$L$101,11,FALSE),VLOOKUP(D377,[3]Extended!$B$9:$M$101,12,FALSE)))),0)</f>
        <v>1343100</v>
      </c>
      <c r="P377" s="116">
        <f t="shared" si="26"/>
        <v>0.26</v>
      </c>
      <c r="Q377" s="110" t="e">
        <f>O377-#REF!</f>
        <v>#REF!</v>
      </c>
      <c r="W377" s="311"/>
      <c r="X377" s="311"/>
      <c r="Y377" s="311"/>
      <c r="Z377" s="311"/>
      <c r="AA377" s="311"/>
      <c r="AB377" s="311"/>
      <c r="AC377" s="311"/>
      <c r="AT377" s="88" t="str">
        <f t="shared" si="27"/>
        <v>KP0006662017Q314,7</v>
      </c>
      <c r="AU377" s="89" t="str">
        <f t="shared" si="28"/>
        <v>07-2017</v>
      </c>
      <c r="BA377" s="92" t="str">
        <f t="shared" si="29"/>
        <v>WIP - 30 Days</v>
      </c>
    </row>
    <row r="378" spans="1:56" s="4" customFormat="1">
      <c r="A378" s="69"/>
      <c r="B378" s="60">
        <f>[2]Trucks!A375</f>
        <v>47759</v>
      </c>
      <c r="C378" s="11" t="str">
        <f>[2]Trucks!B375</f>
        <v>TGS-26-4406X4BLS-LX-ALU</v>
      </c>
      <c r="D378" s="19" t="str">
        <f>IFERROR(VLOOKUP(C378&amp;"",'[2]Retail Price List'!$A$3:$B$103,2,FALSE),"Special Order")</f>
        <v>KP000666</v>
      </c>
      <c r="E378" s="18" t="str">
        <f>[2]Trucks!J375</f>
        <v>CKD</v>
      </c>
      <c r="F378" s="12" t="str">
        <f>[2]Trucks!E375</f>
        <v>2018-03-5</v>
      </c>
      <c r="G378" s="56">
        <f>[2]Trucks!K375</f>
        <v>14.7</v>
      </c>
      <c r="H378" s="46">
        <f>[2]Trucks!I375</f>
        <v>42947</v>
      </c>
      <c r="I378" s="83" t="str">
        <f t="shared" si="25"/>
        <v>2017Q3</v>
      </c>
      <c r="J378" s="272">
        <f>IFERROR(VLOOKUP((D378&amp;C378)&amp;"",'[2]Retail Price List'!$C$4:$F$102,3,FALSE),"")</f>
        <v>1765000</v>
      </c>
      <c r="K378" s="272">
        <f>IFERROR(IF(BA378="WIP - 30 Days",VLOOKUP(D378,[3]Standard!$B$9:$E$101,4,FALSE),IF(BA378="31-120 Days",VLOOKUP(D378,[3]Standard!$B$9:$F$101,5,FALSE),IF(BA378="121-365 Days",VLOOKUP(D378,[3]Standard!$B$9:$G$101,6,FALSE),VLOOKUP(D378,[3]Standard!$B$9:$H$101,7,FALSE)))),0)</f>
        <v>1363462.5</v>
      </c>
      <c r="L378" s="272">
        <f>IFERROR(IF(BA378="WIP - 30 Days",VLOOKUP(D378,[3]Standard!$B$9:$J$101,9,FALSE),IF(BA378="31-120 Days",VLOOKUP(D378,[3]Standard!$B$9:$K$100,10,FALSE),IF(BA378="121-365 Days",VLOOKUP(D378,[3]Standard!$B$9:$L$101,11,FALSE),VLOOKUP(D378,[3]Standard!$B$9:$M$101,12,FALSE)))),0)</f>
        <v>1323750</v>
      </c>
      <c r="M378" s="269">
        <f>IFERROR(VLOOKUP((D378&amp;C378)&amp;"",'[2]Retail Price List'!$C$4:$F$102,4,FALSE),"")</f>
        <v>1815000</v>
      </c>
      <c r="N378" s="269">
        <f>IFERROR(IF(BA378="WIP - 30 Days",VLOOKUP(D378,[3]Extended!$B$9:$E$101,4,FALSE),IF(BA378="31-120 Days",VLOOKUP(D378,[3]Extended!$B$9:$F$101,5,FALSE),IF(BA378="121-365 Days",VLOOKUP(D378,[3]Extended!$B$9:$G$101,6,FALSE),VLOOKUP(D378,[3]Extended!$B$9:$H$101,7,FALSE)))),0)</f>
        <v>1383393</v>
      </c>
      <c r="O378" s="269">
        <f>IFERROR(IF(BA378="WIP - 30 Days",VLOOKUP(D378,[3]Extended!$B$9:$J$101,9,FALSE),IF(BA378="31-120 Days",VLOOKUP(D378,[3]Extended!$B$9:$K$101,10,FALSE),IF(BA378="121-365 Days",VLOOKUP(D378,[3]Extended!$B$9:$L$101,11,FALSE),VLOOKUP(D378,[3]Extended!$B$9:$M$101,12,FALSE)))),0)</f>
        <v>1343100</v>
      </c>
      <c r="P378" s="116">
        <f t="shared" si="26"/>
        <v>0.26</v>
      </c>
      <c r="Q378" s="110" t="e">
        <f>O378-#REF!</f>
        <v>#REF!</v>
      </c>
      <c r="R378" s="111" t="e">
        <f>SUM(Q357:Q377)/SUM(O357:O377)</f>
        <v>#REF!</v>
      </c>
      <c r="S378" s="112"/>
      <c r="T378" s="112"/>
      <c r="U378" s="112"/>
      <c r="V378" s="112"/>
      <c r="W378" s="311"/>
      <c r="X378" s="311"/>
      <c r="Y378" s="311"/>
      <c r="Z378" s="311"/>
      <c r="AA378" s="311"/>
      <c r="AB378" s="311"/>
      <c r="AC378" s="311"/>
      <c r="AD378" s="89"/>
      <c r="AE378" s="89"/>
      <c r="AF378" s="89"/>
      <c r="AG378" s="5"/>
      <c r="AH378" s="5"/>
      <c r="AI378" s="5"/>
      <c r="AJ378" s="5"/>
      <c r="AK378" s="5"/>
      <c r="AL378" s="5"/>
      <c r="AM378" s="5"/>
      <c r="AN378" s="5"/>
      <c r="AO378" s="5"/>
      <c r="AP378" s="5"/>
      <c r="AQ378" s="5"/>
      <c r="AR378" s="5"/>
      <c r="AS378" s="5"/>
      <c r="AT378" s="88" t="str">
        <f t="shared" si="27"/>
        <v>KP0006662017Q314,7</v>
      </c>
      <c r="AU378" s="89" t="str">
        <f t="shared" si="28"/>
        <v>07-2017</v>
      </c>
      <c r="AV378" s="89"/>
      <c r="AW378" s="89"/>
      <c r="AX378" s="89"/>
      <c r="AY378" s="89"/>
      <c r="AZ378" s="89"/>
      <c r="BA378" s="92" t="str">
        <f t="shared" si="29"/>
        <v>WIP - 30 Days</v>
      </c>
      <c r="BB378" s="89"/>
      <c r="BC378" s="97"/>
      <c r="BD378" s="97"/>
    </row>
    <row r="379" spans="1:56">
      <c r="B379" s="60">
        <f>[2]Trucks!A376</f>
        <v>47760</v>
      </c>
      <c r="C379" s="11" t="str">
        <f>[2]Trucks!B376</f>
        <v>TGS-26-4406X4BLS-LX-ALU</v>
      </c>
      <c r="D379" s="19" t="str">
        <f>IFERROR(VLOOKUP(C379&amp;"",'[2]Retail Price List'!$A$3:$B$103,2,FALSE),"Special Order")</f>
        <v>KP000666</v>
      </c>
      <c r="E379" s="18" t="str">
        <f>[2]Trucks!J376</f>
        <v>CKD</v>
      </c>
      <c r="F379" s="12" t="str">
        <f>[2]Trucks!E376</f>
        <v>2018-03-5</v>
      </c>
      <c r="G379" s="56">
        <f>[2]Trucks!K376</f>
        <v>14.7</v>
      </c>
      <c r="H379" s="46">
        <f>[2]Trucks!I376</f>
        <v>42947</v>
      </c>
      <c r="I379" s="83" t="str">
        <f t="shared" si="25"/>
        <v>2017Q3</v>
      </c>
      <c r="J379" s="272">
        <f>IFERROR(VLOOKUP((D379&amp;C379)&amp;"",'[2]Retail Price List'!$C$4:$F$102,3,FALSE),"")</f>
        <v>1765000</v>
      </c>
      <c r="K379" s="272">
        <f>IFERROR(IF(BA379="WIP - 30 Days",VLOOKUP(D379,[3]Standard!$B$9:$E$101,4,FALSE),IF(BA379="31-120 Days",VLOOKUP(D379,[3]Standard!$B$9:$F$101,5,FALSE),IF(BA379="121-365 Days",VLOOKUP(D379,[3]Standard!$B$9:$G$101,6,FALSE),VLOOKUP(D379,[3]Standard!$B$9:$H$101,7,FALSE)))),0)</f>
        <v>1363462.5</v>
      </c>
      <c r="L379" s="272">
        <f>IFERROR(IF(BA379="WIP - 30 Days",VLOOKUP(D379,[3]Standard!$B$9:$J$101,9,FALSE),IF(BA379="31-120 Days",VLOOKUP(D379,[3]Standard!$B$9:$K$100,10,FALSE),IF(BA379="121-365 Days",VLOOKUP(D379,[3]Standard!$B$9:$L$101,11,FALSE),VLOOKUP(D379,[3]Standard!$B$9:$M$101,12,FALSE)))),0)</f>
        <v>1323750</v>
      </c>
      <c r="M379" s="269">
        <f>IFERROR(VLOOKUP((D379&amp;C379)&amp;"",'[2]Retail Price List'!$C$4:$F$102,4,FALSE),"")</f>
        <v>1815000</v>
      </c>
      <c r="N379" s="269">
        <f>IFERROR(IF(BA379="WIP - 30 Days",VLOOKUP(D379,[3]Extended!$B$9:$E$101,4,FALSE),IF(BA379="31-120 Days",VLOOKUP(D379,[3]Extended!$B$9:$F$101,5,FALSE),IF(BA379="121-365 Days",VLOOKUP(D379,[3]Extended!$B$9:$G$101,6,FALSE),VLOOKUP(D379,[3]Extended!$B$9:$H$101,7,FALSE)))),0)</f>
        <v>1383393</v>
      </c>
      <c r="O379" s="269">
        <f>IFERROR(IF(BA379="WIP - 30 Days",VLOOKUP(D379,[3]Extended!$B$9:$J$101,9,FALSE),IF(BA379="31-120 Days",VLOOKUP(D379,[3]Extended!$B$9:$K$101,10,FALSE),IF(BA379="121-365 Days",VLOOKUP(D379,[3]Extended!$B$9:$L$101,11,FALSE),VLOOKUP(D379,[3]Extended!$B$9:$M$101,12,FALSE)))),0)</f>
        <v>1343100</v>
      </c>
      <c r="P379" s="116">
        <f t="shared" si="26"/>
        <v>0.26</v>
      </c>
      <c r="Q379" s="110" t="e">
        <f>O379-#REF!</f>
        <v>#REF!</v>
      </c>
      <c r="S379" s="112" t="s">
        <v>9</v>
      </c>
      <c r="T379" s="112" t="s">
        <v>10</v>
      </c>
      <c r="U379" s="112" t="s">
        <v>11</v>
      </c>
      <c r="W379" s="311"/>
      <c r="X379" s="311"/>
      <c r="Y379" s="311"/>
      <c r="Z379" s="311"/>
      <c r="AA379" s="311"/>
      <c r="AB379" s="311"/>
      <c r="AC379" s="311"/>
      <c r="AT379" s="88" t="str">
        <f t="shared" si="27"/>
        <v>KP0006662017Q314,7</v>
      </c>
      <c r="AU379" s="89" t="str">
        <f t="shared" si="28"/>
        <v>07-2017</v>
      </c>
      <c r="BA379" s="92" t="str">
        <f t="shared" si="29"/>
        <v>WIP - 30 Days</v>
      </c>
    </row>
    <row r="380" spans="1:56">
      <c r="B380" s="60">
        <f>[2]Trucks!A377</f>
        <v>47761</v>
      </c>
      <c r="C380" s="11" t="str">
        <f>[2]Trucks!B377</f>
        <v>TGS-26-4406X4BLS-LX-ALU</v>
      </c>
      <c r="D380" s="19" t="str">
        <f>IFERROR(VLOOKUP(C380&amp;"",'[2]Retail Price List'!$A$3:$B$103,2,FALSE),"Special Order")</f>
        <v>KP000666</v>
      </c>
      <c r="E380" s="18" t="str">
        <f>[2]Trucks!J377</f>
        <v>CKD</v>
      </c>
      <c r="F380" s="12" t="str">
        <f>[2]Trucks!E377</f>
        <v>2018-03-5</v>
      </c>
      <c r="G380" s="56">
        <f>[2]Trucks!K377</f>
        <v>14.7</v>
      </c>
      <c r="H380" s="46">
        <f>[2]Trucks!I377</f>
        <v>42947</v>
      </c>
      <c r="I380" s="83" t="str">
        <f t="shared" si="25"/>
        <v>2017Q3</v>
      </c>
      <c r="J380" s="272">
        <f>IFERROR(VLOOKUP((D380&amp;C380)&amp;"",'[2]Retail Price List'!$C$4:$F$102,3,FALSE),"")</f>
        <v>1765000</v>
      </c>
      <c r="K380" s="272">
        <f>IFERROR(IF(BA380="WIP - 30 Days",VLOOKUP(D380,[3]Standard!$B$9:$E$101,4,FALSE),IF(BA380="31-120 Days",VLOOKUP(D380,[3]Standard!$B$9:$F$101,5,FALSE),IF(BA380="121-365 Days",VLOOKUP(D380,[3]Standard!$B$9:$G$101,6,FALSE),VLOOKUP(D380,[3]Standard!$B$9:$H$101,7,FALSE)))),0)</f>
        <v>1363462.5</v>
      </c>
      <c r="L380" s="272">
        <f>IFERROR(IF(BA380="WIP - 30 Days",VLOOKUP(D380,[3]Standard!$B$9:$J$101,9,FALSE),IF(BA380="31-120 Days",VLOOKUP(D380,[3]Standard!$B$9:$K$100,10,FALSE),IF(BA380="121-365 Days",VLOOKUP(D380,[3]Standard!$B$9:$L$101,11,FALSE),VLOOKUP(D380,[3]Standard!$B$9:$M$101,12,FALSE)))),0)</f>
        <v>1323750</v>
      </c>
      <c r="M380" s="269">
        <f>IFERROR(VLOOKUP((D380&amp;C380)&amp;"",'[2]Retail Price List'!$C$4:$F$102,4,FALSE),"")</f>
        <v>1815000</v>
      </c>
      <c r="N380" s="269">
        <f>IFERROR(IF(BA380="WIP - 30 Days",VLOOKUP(D380,[3]Extended!$B$9:$E$101,4,FALSE),IF(BA380="31-120 Days",VLOOKUP(D380,[3]Extended!$B$9:$F$101,5,FALSE),IF(BA380="121-365 Days",VLOOKUP(D380,[3]Extended!$B$9:$G$101,6,FALSE),VLOOKUP(D380,[3]Extended!$B$9:$H$101,7,FALSE)))),0)</f>
        <v>1383393</v>
      </c>
      <c r="O380" s="269">
        <f>IFERROR(IF(BA380="WIP - 30 Days",VLOOKUP(D380,[3]Extended!$B$9:$J$101,9,FALSE),IF(BA380="31-120 Days",VLOOKUP(D380,[3]Extended!$B$9:$K$101,10,FALSE),IF(BA380="121-365 Days",VLOOKUP(D380,[3]Extended!$B$9:$L$101,11,FALSE),VLOOKUP(D380,[3]Extended!$B$9:$M$101,12,FALSE)))),0)</f>
        <v>1343100</v>
      </c>
      <c r="P380" s="116">
        <f t="shared" si="26"/>
        <v>0.26</v>
      </c>
      <c r="Q380" s="110" t="e">
        <f>O380-#REF!</f>
        <v>#REF!</v>
      </c>
      <c r="S380" s="112">
        <v>-0.1</v>
      </c>
      <c r="T380" s="112">
        <v>-11.3</v>
      </c>
      <c r="U380" s="112">
        <v>-2.8</v>
      </c>
      <c r="W380" s="311"/>
      <c r="X380" s="311"/>
      <c r="Y380" s="311"/>
      <c r="Z380" s="311"/>
      <c r="AA380" s="311"/>
      <c r="AB380" s="311"/>
      <c r="AC380" s="311"/>
      <c r="AT380" s="88" t="str">
        <f t="shared" si="27"/>
        <v>KP0006662017Q314,7</v>
      </c>
      <c r="AU380" s="89" t="str">
        <f t="shared" si="28"/>
        <v>07-2017</v>
      </c>
      <c r="BA380" s="92" t="str">
        <f t="shared" si="29"/>
        <v>WIP - 30 Days</v>
      </c>
    </row>
    <row r="381" spans="1:56">
      <c r="B381" s="60">
        <f>[2]Trucks!A378</f>
        <v>47762</v>
      </c>
      <c r="C381" s="11" t="str">
        <f>[2]Trucks!B378</f>
        <v>TGS-26-4406X4BLS-LX-ALU</v>
      </c>
      <c r="D381" s="19" t="str">
        <f>IFERROR(VLOOKUP(C381&amp;"",'[2]Retail Price List'!$A$3:$B$103,2,FALSE),"Special Order")</f>
        <v>KP000666</v>
      </c>
      <c r="E381" s="18" t="str">
        <f>[2]Trucks!J378</f>
        <v>CKD</v>
      </c>
      <c r="F381" s="12" t="str">
        <f>[2]Trucks!E378</f>
        <v>2018-03-5</v>
      </c>
      <c r="G381" s="56">
        <f>[2]Trucks!K378</f>
        <v>14.7</v>
      </c>
      <c r="H381" s="46">
        <f>[2]Trucks!I378</f>
        <v>42947</v>
      </c>
      <c r="I381" s="83" t="str">
        <f t="shared" si="25"/>
        <v>2017Q3</v>
      </c>
      <c r="J381" s="272">
        <f>IFERROR(VLOOKUP((D381&amp;C381)&amp;"",'[2]Retail Price List'!$C$4:$F$102,3,FALSE),"")</f>
        <v>1765000</v>
      </c>
      <c r="K381" s="272">
        <f>IFERROR(IF(BA381="WIP - 30 Days",VLOOKUP(D381,[3]Standard!$B$9:$E$101,4,FALSE),IF(BA381="31-120 Days",VLOOKUP(D381,[3]Standard!$B$9:$F$101,5,FALSE),IF(BA381="121-365 Days",VLOOKUP(D381,[3]Standard!$B$9:$G$101,6,FALSE),VLOOKUP(D381,[3]Standard!$B$9:$H$101,7,FALSE)))),0)</f>
        <v>1363462.5</v>
      </c>
      <c r="L381" s="272">
        <f>IFERROR(IF(BA381="WIP - 30 Days",VLOOKUP(D381,[3]Standard!$B$9:$J$101,9,FALSE),IF(BA381="31-120 Days",VLOOKUP(D381,[3]Standard!$B$9:$K$100,10,FALSE),IF(BA381="121-365 Days",VLOOKUP(D381,[3]Standard!$B$9:$L$101,11,FALSE),VLOOKUP(D381,[3]Standard!$B$9:$M$101,12,FALSE)))),0)</f>
        <v>1323750</v>
      </c>
      <c r="M381" s="269">
        <f>IFERROR(VLOOKUP((D381&amp;C381)&amp;"",'[2]Retail Price List'!$C$4:$F$102,4,FALSE),"")</f>
        <v>1815000</v>
      </c>
      <c r="N381" s="269">
        <f>IFERROR(IF(BA381="WIP - 30 Days",VLOOKUP(D381,[3]Extended!$B$9:$E$101,4,FALSE),IF(BA381="31-120 Days",VLOOKUP(D381,[3]Extended!$B$9:$F$101,5,FALSE),IF(BA381="121-365 Days",VLOOKUP(D381,[3]Extended!$B$9:$G$101,6,FALSE),VLOOKUP(D381,[3]Extended!$B$9:$H$101,7,FALSE)))),0)</f>
        <v>1383393</v>
      </c>
      <c r="O381" s="269">
        <f>IFERROR(IF(BA381="WIP - 30 Days",VLOOKUP(D381,[3]Extended!$B$9:$J$101,9,FALSE),IF(BA381="31-120 Days",VLOOKUP(D381,[3]Extended!$B$9:$K$101,10,FALSE),IF(BA381="121-365 Days",VLOOKUP(D381,[3]Extended!$B$9:$L$101,11,FALSE),VLOOKUP(D381,[3]Extended!$B$9:$M$101,12,FALSE)))),0)</f>
        <v>1343100</v>
      </c>
      <c r="P381" s="116">
        <f t="shared" si="26"/>
        <v>0.26</v>
      </c>
      <c r="Q381" s="110" t="e">
        <f>O381-#REF!</f>
        <v>#REF!</v>
      </c>
      <c r="S381" s="112">
        <v>-4.7</v>
      </c>
      <c r="T381" s="112">
        <v>-7.1</v>
      </c>
      <c r="U381" s="112">
        <v>-5.8</v>
      </c>
      <c r="W381" s="311"/>
      <c r="X381" s="311"/>
      <c r="Y381" s="311"/>
      <c r="Z381" s="311"/>
      <c r="AA381" s="311"/>
      <c r="AB381" s="311"/>
      <c r="AC381" s="311"/>
      <c r="AT381" s="88" t="str">
        <f t="shared" si="27"/>
        <v>KP0006662017Q314,7</v>
      </c>
      <c r="AU381" s="89" t="str">
        <f t="shared" si="28"/>
        <v>07-2017</v>
      </c>
      <c r="BA381" s="92" t="str">
        <f t="shared" si="29"/>
        <v>WIP - 30 Days</v>
      </c>
    </row>
    <row r="382" spans="1:56">
      <c r="B382" s="60">
        <f>[2]Trucks!A379</f>
        <v>47763</v>
      </c>
      <c r="C382" s="11" t="str">
        <f>[2]Trucks!B379</f>
        <v>TGS-26-4406X4BLS-LX-ALU</v>
      </c>
      <c r="D382" s="19" t="str">
        <f>IFERROR(VLOOKUP(C382&amp;"",'[2]Retail Price List'!$A$3:$B$103,2,FALSE),"Special Order")</f>
        <v>KP000666</v>
      </c>
      <c r="E382" s="18" t="str">
        <f>[2]Trucks!J379</f>
        <v>CKD</v>
      </c>
      <c r="F382" s="12" t="str">
        <f>[2]Trucks!E379</f>
        <v>2018-03-5</v>
      </c>
      <c r="G382" s="56">
        <f>[2]Trucks!K379</f>
        <v>14.7</v>
      </c>
      <c r="H382" s="46">
        <f>[2]Trucks!I379</f>
        <v>42947</v>
      </c>
      <c r="I382" s="83" t="str">
        <f t="shared" si="25"/>
        <v>2017Q3</v>
      </c>
      <c r="J382" s="272">
        <f>IFERROR(VLOOKUP((D382&amp;C382)&amp;"",'[2]Retail Price List'!$C$4:$F$102,3,FALSE),"")</f>
        <v>1765000</v>
      </c>
      <c r="K382" s="272">
        <f>IFERROR(IF(BA382="WIP - 30 Days",VLOOKUP(D382,[3]Standard!$B$9:$E$101,4,FALSE),IF(BA382="31-120 Days",VLOOKUP(D382,[3]Standard!$B$9:$F$101,5,FALSE),IF(BA382="121-365 Days",VLOOKUP(D382,[3]Standard!$B$9:$G$101,6,FALSE),VLOOKUP(D382,[3]Standard!$B$9:$H$101,7,FALSE)))),0)</f>
        <v>1363462.5</v>
      </c>
      <c r="L382" s="272">
        <f>IFERROR(IF(BA382="WIP - 30 Days",VLOOKUP(D382,[3]Standard!$B$9:$J$101,9,FALSE),IF(BA382="31-120 Days",VLOOKUP(D382,[3]Standard!$B$9:$K$100,10,FALSE),IF(BA382="121-365 Days",VLOOKUP(D382,[3]Standard!$B$9:$L$101,11,FALSE),VLOOKUP(D382,[3]Standard!$B$9:$M$101,12,FALSE)))),0)</f>
        <v>1323750</v>
      </c>
      <c r="M382" s="269">
        <f>IFERROR(VLOOKUP((D382&amp;C382)&amp;"",'[2]Retail Price List'!$C$4:$F$102,4,FALSE),"")</f>
        <v>1815000</v>
      </c>
      <c r="N382" s="269">
        <f>IFERROR(IF(BA382="WIP - 30 Days",VLOOKUP(D382,[3]Extended!$B$9:$E$101,4,FALSE),IF(BA382="31-120 Days",VLOOKUP(D382,[3]Extended!$B$9:$F$101,5,FALSE),IF(BA382="121-365 Days",VLOOKUP(D382,[3]Extended!$B$9:$G$101,6,FALSE),VLOOKUP(D382,[3]Extended!$B$9:$H$101,7,FALSE)))),0)</f>
        <v>1383393</v>
      </c>
      <c r="O382" s="269">
        <f>IFERROR(IF(BA382="WIP - 30 Days",VLOOKUP(D382,[3]Extended!$B$9:$J$101,9,FALSE),IF(BA382="31-120 Days",VLOOKUP(D382,[3]Extended!$B$9:$K$101,10,FALSE),IF(BA382="121-365 Days",VLOOKUP(D382,[3]Extended!$B$9:$L$101,11,FALSE),VLOOKUP(D382,[3]Extended!$B$9:$M$101,12,FALSE)))),0)</f>
        <v>1343100</v>
      </c>
      <c r="P382" s="116">
        <f t="shared" si="26"/>
        <v>0.26</v>
      </c>
      <c r="Q382" s="110" t="e">
        <f>O382-#REF!</f>
        <v>#REF!</v>
      </c>
      <c r="S382" s="112">
        <f>COUNT(#REF!)</f>
        <v>0</v>
      </c>
      <c r="W382" s="311"/>
      <c r="X382" s="311"/>
      <c r="Y382" s="311"/>
      <c r="Z382" s="311"/>
      <c r="AA382" s="311"/>
      <c r="AB382" s="311"/>
      <c r="AC382" s="311"/>
      <c r="AT382" s="88" t="str">
        <f t="shared" si="27"/>
        <v>KP0006662017Q314,7</v>
      </c>
      <c r="AU382" s="89" t="str">
        <f t="shared" si="28"/>
        <v>07-2017</v>
      </c>
      <c r="BA382" s="92" t="str">
        <f t="shared" si="29"/>
        <v>WIP - 30 Days</v>
      </c>
    </row>
    <row r="383" spans="1:56">
      <c r="B383" s="60">
        <f>[2]Trucks!A380</f>
        <v>47764</v>
      </c>
      <c r="C383" s="11" t="str">
        <f>[2]Trucks!B380</f>
        <v>TGS-26-4406X4BLS-LX-ALU</v>
      </c>
      <c r="D383" s="19" t="str">
        <f>IFERROR(VLOOKUP(C383&amp;"",'[2]Retail Price List'!$A$3:$B$103,2,FALSE),"Special Order")</f>
        <v>KP000666</v>
      </c>
      <c r="E383" s="18" t="str">
        <f>[2]Trucks!J380</f>
        <v>CKD</v>
      </c>
      <c r="F383" s="12" t="str">
        <f>[2]Trucks!E380</f>
        <v>2018-03-5</v>
      </c>
      <c r="G383" s="56">
        <f>[2]Trucks!K380</f>
        <v>14.7</v>
      </c>
      <c r="H383" s="46">
        <f>[2]Trucks!I380</f>
        <v>42947</v>
      </c>
      <c r="I383" s="83" t="str">
        <f t="shared" si="25"/>
        <v>2017Q3</v>
      </c>
      <c r="J383" s="272">
        <f>IFERROR(VLOOKUP((D383&amp;C383)&amp;"",'[2]Retail Price List'!$C$4:$F$102,3,FALSE),"")</f>
        <v>1765000</v>
      </c>
      <c r="K383" s="272">
        <f>IFERROR(IF(BA383="WIP - 30 Days",VLOOKUP(D383,[3]Standard!$B$9:$E$101,4,FALSE),IF(BA383="31-120 Days",VLOOKUP(D383,[3]Standard!$B$9:$F$101,5,FALSE),IF(BA383="121-365 Days",VLOOKUP(D383,[3]Standard!$B$9:$G$101,6,FALSE),VLOOKUP(D383,[3]Standard!$B$9:$H$101,7,FALSE)))),0)</f>
        <v>1363462.5</v>
      </c>
      <c r="L383" s="272">
        <f>IFERROR(IF(BA383="WIP - 30 Days",VLOOKUP(D383,[3]Standard!$B$9:$J$101,9,FALSE),IF(BA383="31-120 Days",VLOOKUP(D383,[3]Standard!$B$9:$K$100,10,FALSE),IF(BA383="121-365 Days",VLOOKUP(D383,[3]Standard!$B$9:$L$101,11,FALSE),VLOOKUP(D383,[3]Standard!$B$9:$M$101,12,FALSE)))),0)</f>
        <v>1323750</v>
      </c>
      <c r="M383" s="269">
        <f>IFERROR(VLOOKUP((D383&amp;C383)&amp;"",'[2]Retail Price List'!$C$4:$F$102,4,FALSE),"")</f>
        <v>1815000</v>
      </c>
      <c r="N383" s="269">
        <f>IFERROR(IF(BA383="WIP - 30 Days",VLOOKUP(D383,[3]Extended!$B$9:$E$101,4,FALSE),IF(BA383="31-120 Days",VLOOKUP(D383,[3]Extended!$B$9:$F$101,5,FALSE),IF(BA383="121-365 Days",VLOOKUP(D383,[3]Extended!$B$9:$G$101,6,FALSE),VLOOKUP(D383,[3]Extended!$B$9:$H$101,7,FALSE)))),0)</f>
        <v>1383393</v>
      </c>
      <c r="O383" s="269">
        <f>IFERROR(IF(BA383="WIP - 30 Days",VLOOKUP(D383,[3]Extended!$B$9:$J$101,9,FALSE),IF(BA383="31-120 Days",VLOOKUP(D383,[3]Extended!$B$9:$K$101,10,FALSE),IF(BA383="121-365 Days",VLOOKUP(D383,[3]Extended!$B$9:$L$101,11,FALSE),VLOOKUP(D383,[3]Extended!$B$9:$M$101,12,FALSE)))),0)</f>
        <v>1343100</v>
      </c>
      <c r="P383" s="116">
        <f t="shared" si="26"/>
        <v>0.26</v>
      </c>
      <c r="Q383" s="110" t="e">
        <f>O383-#REF!</f>
        <v>#REF!</v>
      </c>
      <c r="S383" s="110" t="e">
        <f>+AVERAGE(#REF!)</f>
        <v>#REF!</v>
      </c>
      <c r="W383" s="311"/>
      <c r="X383" s="311"/>
      <c r="Y383" s="311"/>
      <c r="Z383" s="311"/>
      <c r="AA383" s="311"/>
      <c r="AB383" s="311"/>
      <c r="AC383" s="311"/>
      <c r="AT383" s="88" t="str">
        <f t="shared" si="27"/>
        <v>KP0006662017Q314,7</v>
      </c>
      <c r="AU383" s="89" t="str">
        <f t="shared" si="28"/>
        <v>07-2017</v>
      </c>
      <c r="BA383" s="92" t="str">
        <f t="shared" si="29"/>
        <v>WIP - 30 Days</v>
      </c>
    </row>
    <row r="384" spans="1:56">
      <c r="B384" s="60">
        <f>[2]Trucks!A381</f>
        <v>47765</v>
      </c>
      <c r="C384" s="11" t="str">
        <f>[2]Trucks!B381</f>
        <v>TGS-26-4406X4BLS-LX-ALU</v>
      </c>
      <c r="D384" s="19" t="str">
        <f>IFERROR(VLOOKUP(C384&amp;"",'[2]Retail Price List'!$A$3:$B$103,2,FALSE),"Special Order")</f>
        <v>KP000666</v>
      </c>
      <c r="E384" s="18" t="str">
        <f>[2]Trucks!J381</f>
        <v>CKD</v>
      </c>
      <c r="F384" s="12" t="str">
        <f>[2]Trucks!E381</f>
        <v>2018-03-5</v>
      </c>
      <c r="G384" s="56">
        <f>[2]Trucks!K381</f>
        <v>14.7</v>
      </c>
      <c r="H384" s="46">
        <f>[2]Trucks!I381</f>
        <v>42947</v>
      </c>
      <c r="I384" s="83" t="str">
        <f t="shared" si="25"/>
        <v>2017Q3</v>
      </c>
      <c r="J384" s="272">
        <f>IFERROR(VLOOKUP((D384&amp;C384)&amp;"",'[2]Retail Price List'!$C$4:$F$102,3,FALSE),"")</f>
        <v>1765000</v>
      </c>
      <c r="K384" s="272">
        <f>IFERROR(IF(BA384="WIP - 30 Days",VLOOKUP(D384,[3]Standard!$B$9:$E$101,4,FALSE),IF(BA384="31-120 Days",VLOOKUP(D384,[3]Standard!$B$9:$F$101,5,FALSE),IF(BA384="121-365 Days",VLOOKUP(D384,[3]Standard!$B$9:$G$101,6,FALSE),VLOOKUP(D384,[3]Standard!$B$9:$H$101,7,FALSE)))),0)</f>
        <v>1363462.5</v>
      </c>
      <c r="L384" s="272">
        <f>IFERROR(IF(BA384="WIP - 30 Days",VLOOKUP(D384,[3]Standard!$B$9:$J$101,9,FALSE),IF(BA384="31-120 Days",VLOOKUP(D384,[3]Standard!$B$9:$K$100,10,FALSE),IF(BA384="121-365 Days",VLOOKUP(D384,[3]Standard!$B$9:$L$101,11,FALSE),VLOOKUP(D384,[3]Standard!$B$9:$M$101,12,FALSE)))),0)</f>
        <v>1323750</v>
      </c>
      <c r="M384" s="269">
        <f>IFERROR(VLOOKUP((D384&amp;C384)&amp;"",'[2]Retail Price List'!$C$4:$F$102,4,FALSE),"")</f>
        <v>1815000</v>
      </c>
      <c r="N384" s="269">
        <f>IFERROR(IF(BA384="WIP - 30 Days",VLOOKUP(D384,[3]Extended!$B$9:$E$101,4,FALSE),IF(BA384="31-120 Days",VLOOKUP(D384,[3]Extended!$B$9:$F$101,5,FALSE),IF(BA384="121-365 Days",VLOOKUP(D384,[3]Extended!$B$9:$G$101,6,FALSE),VLOOKUP(D384,[3]Extended!$B$9:$H$101,7,FALSE)))),0)</f>
        <v>1383393</v>
      </c>
      <c r="O384" s="269">
        <f>IFERROR(IF(BA384="WIP - 30 Days",VLOOKUP(D384,[3]Extended!$B$9:$J$101,9,FALSE),IF(BA384="31-120 Days",VLOOKUP(D384,[3]Extended!$B$9:$K$101,10,FALSE),IF(BA384="121-365 Days",VLOOKUP(D384,[3]Extended!$B$9:$L$101,11,FALSE),VLOOKUP(D384,[3]Extended!$B$9:$M$101,12,FALSE)))),0)</f>
        <v>1343100</v>
      </c>
      <c r="P384" s="116">
        <f t="shared" si="26"/>
        <v>0.26</v>
      </c>
      <c r="Q384" s="110" t="e">
        <f>O384-#REF!</f>
        <v>#REF!</v>
      </c>
      <c r="W384" s="311"/>
      <c r="X384" s="311"/>
      <c r="Y384" s="311"/>
      <c r="Z384" s="311"/>
      <c r="AA384" s="311"/>
      <c r="AB384" s="311"/>
      <c r="AC384" s="311"/>
      <c r="AT384" s="88" t="str">
        <f t="shared" si="27"/>
        <v>KP0006662017Q314,7</v>
      </c>
      <c r="AU384" s="89" t="str">
        <f t="shared" si="28"/>
        <v>07-2017</v>
      </c>
      <c r="BA384" s="92" t="str">
        <f t="shared" si="29"/>
        <v>WIP - 30 Days</v>
      </c>
    </row>
    <row r="385" spans="1:56">
      <c r="B385" s="60">
        <f>[2]Trucks!A382</f>
        <v>47766</v>
      </c>
      <c r="C385" s="11" t="str">
        <f>[2]Trucks!B382</f>
        <v>TGS-26-4406X4BLS-LX-ALU</v>
      </c>
      <c r="D385" s="19" t="str">
        <f>IFERROR(VLOOKUP(C385&amp;"",'[2]Retail Price List'!$A$3:$B$103,2,FALSE),"Special Order")</f>
        <v>KP000666</v>
      </c>
      <c r="E385" s="18" t="str">
        <f>[2]Trucks!J382</f>
        <v>CKD</v>
      </c>
      <c r="F385" s="12" t="str">
        <f>[2]Trucks!E382</f>
        <v>2018-03-5</v>
      </c>
      <c r="G385" s="56">
        <f>[2]Trucks!K382</f>
        <v>14.7</v>
      </c>
      <c r="H385" s="46">
        <f>[2]Trucks!I382</f>
        <v>42947</v>
      </c>
      <c r="I385" s="83" t="str">
        <f t="shared" si="25"/>
        <v>2017Q3</v>
      </c>
      <c r="J385" s="272">
        <f>IFERROR(VLOOKUP((D385&amp;C385)&amp;"",'[2]Retail Price List'!$C$4:$F$102,3,FALSE),"")</f>
        <v>1765000</v>
      </c>
      <c r="K385" s="272">
        <f>IFERROR(IF(BA385="WIP - 30 Days",VLOOKUP(D385,[3]Standard!$B$9:$E$101,4,FALSE),IF(BA385="31-120 Days",VLOOKUP(D385,[3]Standard!$B$9:$F$101,5,FALSE),IF(BA385="121-365 Days",VLOOKUP(D385,[3]Standard!$B$9:$G$101,6,FALSE),VLOOKUP(D385,[3]Standard!$B$9:$H$101,7,FALSE)))),0)</f>
        <v>1363462.5</v>
      </c>
      <c r="L385" s="272">
        <f>IFERROR(IF(BA385="WIP - 30 Days",VLOOKUP(D385,[3]Standard!$B$9:$J$101,9,FALSE),IF(BA385="31-120 Days",VLOOKUP(D385,[3]Standard!$B$9:$K$100,10,FALSE),IF(BA385="121-365 Days",VLOOKUP(D385,[3]Standard!$B$9:$L$101,11,FALSE),VLOOKUP(D385,[3]Standard!$B$9:$M$101,12,FALSE)))),0)</f>
        <v>1323750</v>
      </c>
      <c r="M385" s="269">
        <f>IFERROR(VLOOKUP((D385&amp;C385)&amp;"",'[2]Retail Price List'!$C$4:$F$102,4,FALSE),"")</f>
        <v>1815000</v>
      </c>
      <c r="N385" s="269">
        <f>IFERROR(IF(BA385="WIP - 30 Days",VLOOKUP(D385,[3]Extended!$B$9:$E$101,4,FALSE),IF(BA385="31-120 Days",VLOOKUP(D385,[3]Extended!$B$9:$F$101,5,FALSE),IF(BA385="121-365 Days",VLOOKUP(D385,[3]Extended!$B$9:$G$101,6,FALSE),VLOOKUP(D385,[3]Extended!$B$9:$H$101,7,FALSE)))),0)</f>
        <v>1383393</v>
      </c>
      <c r="O385" s="269">
        <f>IFERROR(IF(BA385="WIP - 30 Days",VLOOKUP(D385,[3]Extended!$B$9:$J$101,9,FALSE),IF(BA385="31-120 Days",VLOOKUP(D385,[3]Extended!$B$9:$K$101,10,FALSE),IF(BA385="121-365 Days",VLOOKUP(D385,[3]Extended!$B$9:$L$101,11,FALSE),VLOOKUP(D385,[3]Extended!$B$9:$M$101,12,FALSE)))),0)</f>
        <v>1343100</v>
      </c>
      <c r="P385" s="116">
        <f t="shared" si="26"/>
        <v>0.26</v>
      </c>
      <c r="Q385" s="110" t="e">
        <f>O385-#REF!</f>
        <v>#REF!</v>
      </c>
      <c r="W385" s="311"/>
      <c r="X385" s="311"/>
      <c r="Y385" s="311"/>
      <c r="Z385" s="311"/>
      <c r="AA385" s="311"/>
      <c r="AB385" s="311"/>
      <c r="AC385" s="311"/>
      <c r="AT385" s="88" t="str">
        <f t="shared" si="27"/>
        <v>KP0006662017Q314,7</v>
      </c>
      <c r="AU385" s="89" t="str">
        <f t="shared" si="28"/>
        <v>07-2017</v>
      </c>
      <c r="BA385" s="92" t="str">
        <f t="shared" si="29"/>
        <v>WIP - 30 Days</v>
      </c>
    </row>
    <row r="386" spans="1:56">
      <c r="B386" s="60">
        <f>[2]Trucks!A383</f>
        <v>47767</v>
      </c>
      <c r="C386" s="11" t="str">
        <f>[2]Trucks!B383</f>
        <v>TGS-26-4406X4BLS-LX-ALU</v>
      </c>
      <c r="D386" s="19" t="str">
        <f>IFERROR(VLOOKUP(C386&amp;"",'[2]Retail Price List'!$A$3:$B$103,2,FALSE),"Special Order")</f>
        <v>KP000666</v>
      </c>
      <c r="E386" s="18" t="str">
        <f>[2]Trucks!J383</f>
        <v>CKD</v>
      </c>
      <c r="F386" s="12" t="str">
        <f>[2]Trucks!E383</f>
        <v>2018-03-15</v>
      </c>
      <c r="G386" s="56">
        <f>[2]Trucks!K383</f>
        <v>14.7</v>
      </c>
      <c r="H386" s="46">
        <f>[2]Trucks!I383</f>
        <v>42947</v>
      </c>
      <c r="I386" s="83" t="str">
        <f t="shared" si="25"/>
        <v>2017Q3</v>
      </c>
      <c r="J386" s="272">
        <f>IFERROR(VLOOKUP((D386&amp;C386)&amp;"",'[2]Retail Price List'!$C$4:$F$102,3,FALSE),"")</f>
        <v>1765000</v>
      </c>
      <c r="K386" s="272">
        <f>IFERROR(IF(BA386="WIP - 30 Days",VLOOKUP(D386,[3]Standard!$B$9:$E$101,4,FALSE),IF(BA386="31-120 Days",VLOOKUP(D386,[3]Standard!$B$9:$F$101,5,FALSE),IF(BA386="121-365 Days",VLOOKUP(D386,[3]Standard!$B$9:$G$101,6,FALSE),VLOOKUP(D386,[3]Standard!$B$9:$H$101,7,FALSE)))),0)</f>
        <v>1363462.5</v>
      </c>
      <c r="L386" s="272">
        <f>IFERROR(IF(BA386="WIP - 30 Days",VLOOKUP(D386,[3]Standard!$B$9:$J$101,9,FALSE),IF(BA386="31-120 Days",VLOOKUP(D386,[3]Standard!$B$9:$K$100,10,FALSE),IF(BA386="121-365 Days",VLOOKUP(D386,[3]Standard!$B$9:$L$101,11,FALSE),VLOOKUP(D386,[3]Standard!$B$9:$M$101,12,FALSE)))),0)</f>
        <v>1323750</v>
      </c>
      <c r="M386" s="269">
        <f>IFERROR(VLOOKUP((D386&amp;C386)&amp;"",'[2]Retail Price List'!$C$4:$F$102,4,FALSE),"")</f>
        <v>1815000</v>
      </c>
      <c r="N386" s="269">
        <f>IFERROR(IF(BA386="WIP - 30 Days",VLOOKUP(D386,[3]Extended!$B$9:$E$101,4,FALSE),IF(BA386="31-120 Days",VLOOKUP(D386,[3]Extended!$B$9:$F$101,5,FALSE),IF(BA386="121-365 Days",VLOOKUP(D386,[3]Extended!$B$9:$G$101,6,FALSE),VLOOKUP(D386,[3]Extended!$B$9:$H$101,7,FALSE)))),0)</f>
        <v>1383393</v>
      </c>
      <c r="O386" s="269">
        <f>IFERROR(IF(BA386="WIP - 30 Days",VLOOKUP(D386,[3]Extended!$B$9:$J$101,9,FALSE),IF(BA386="31-120 Days",VLOOKUP(D386,[3]Extended!$B$9:$K$101,10,FALSE),IF(BA386="121-365 Days",VLOOKUP(D386,[3]Extended!$B$9:$L$101,11,FALSE),VLOOKUP(D386,[3]Extended!$B$9:$M$101,12,FALSE)))),0)</f>
        <v>1343100</v>
      </c>
      <c r="P386" s="116">
        <f t="shared" si="26"/>
        <v>0.26</v>
      </c>
      <c r="Q386" s="110" t="e">
        <f>O386-#REF!</f>
        <v>#REF!</v>
      </c>
      <c r="W386" s="311"/>
      <c r="X386" s="311"/>
      <c r="Y386" s="311"/>
      <c r="Z386" s="311"/>
      <c r="AA386" s="311"/>
      <c r="AB386" s="311"/>
      <c r="AC386" s="311"/>
      <c r="AT386" s="88" t="str">
        <f t="shared" si="27"/>
        <v>KP0006662017Q314,7</v>
      </c>
      <c r="AU386" s="89" t="str">
        <f t="shared" si="28"/>
        <v>07-2017</v>
      </c>
      <c r="BA386" s="92" t="str">
        <f t="shared" si="29"/>
        <v>WIP - 30 Days</v>
      </c>
    </row>
    <row r="387" spans="1:56" s="4" customFormat="1">
      <c r="A387" s="69"/>
      <c r="B387" s="60">
        <f>[2]Trucks!A384</f>
        <v>47768</v>
      </c>
      <c r="C387" s="11" t="str">
        <f>[2]Trucks!B384</f>
        <v>TGS-26-4406X4BLS-LX-ALU</v>
      </c>
      <c r="D387" s="19" t="str">
        <f>IFERROR(VLOOKUP(C387&amp;"",'[2]Retail Price List'!$A$3:$B$103,2,FALSE),"Special Order")</f>
        <v>KP000666</v>
      </c>
      <c r="E387" s="18" t="str">
        <f>[2]Trucks!J384</f>
        <v>CKD</v>
      </c>
      <c r="F387" s="12" t="str">
        <f>[2]Trucks!E384</f>
        <v>2018-03-15</v>
      </c>
      <c r="G387" s="56">
        <f>[2]Trucks!K384</f>
        <v>14.7</v>
      </c>
      <c r="H387" s="46">
        <f>[2]Trucks!I384</f>
        <v>42947</v>
      </c>
      <c r="I387" s="83" t="str">
        <f t="shared" si="25"/>
        <v>2017Q3</v>
      </c>
      <c r="J387" s="272">
        <f>IFERROR(VLOOKUP((D387&amp;C387)&amp;"",'[2]Retail Price List'!$C$4:$F$102,3,FALSE),"")</f>
        <v>1765000</v>
      </c>
      <c r="K387" s="272">
        <f>IFERROR(IF(BA387="WIP - 30 Days",VLOOKUP(D387,[3]Standard!$B$9:$E$101,4,FALSE),IF(BA387="31-120 Days",VLOOKUP(D387,[3]Standard!$B$9:$F$101,5,FALSE),IF(BA387="121-365 Days",VLOOKUP(D387,[3]Standard!$B$9:$G$101,6,FALSE),VLOOKUP(D387,[3]Standard!$B$9:$H$101,7,FALSE)))),0)</f>
        <v>1363462.5</v>
      </c>
      <c r="L387" s="272">
        <f>IFERROR(IF(BA387="WIP - 30 Days",VLOOKUP(D387,[3]Standard!$B$9:$J$101,9,FALSE),IF(BA387="31-120 Days",VLOOKUP(D387,[3]Standard!$B$9:$K$100,10,FALSE),IF(BA387="121-365 Days",VLOOKUP(D387,[3]Standard!$B$9:$L$101,11,FALSE),VLOOKUP(D387,[3]Standard!$B$9:$M$101,12,FALSE)))),0)</f>
        <v>1323750</v>
      </c>
      <c r="M387" s="269">
        <f>IFERROR(VLOOKUP((D387&amp;C387)&amp;"",'[2]Retail Price List'!$C$4:$F$102,4,FALSE),"")</f>
        <v>1815000</v>
      </c>
      <c r="N387" s="269">
        <f>IFERROR(IF(BA387="WIP - 30 Days",VLOOKUP(D387,[3]Extended!$B$9:$E$101,4,FALSE),IF(BA387="31-120 Days",VLOOKUP(D387,[3]Extended!$B$9:$F$101,5,FALSE),IF(BA387="121-365 Days",VLOOKUP(D387,[3]Extended!$B$9:$G$101,6,FALSE),VLOOKUP(D387,[3]Extended!$B$9:$H$101,7,FALSE)))),0)</f>
        <v>1383393</v>
      </c>
      <c r="O387" s="269">
        <f>IFERROR(IF(BA387="WIP - 30 Days",VLOOKUP(D387,[3]Extended!$B$9:$J$101,9,FALSE),IF(BA387="31-120 Days",VLOOKUP(D387,[3]Extended!$B$9:$K$101,10,FALSE),IF(BA387="121-365 Days",VLOOKUP(D387,[3]Extended!$B$9:$L$101,11,FALSE),VLOOKUP(D387,[3]Extended!$B$9:$M$101,12,FALSE)))),0)</f>
        <v>1343100</v>
      </c>
      <c r="P387" s="116">
        <f t="shared" si="26"/>
        <v>0.26</v>
      </c>
      <c r="Q387" s="110" t="e">
        <f>O387-#REF!</f>
        <v>#REF!</v>
      </c>
      <c r="R387" s="111" t="e">
        <f>SUM(Q379:Q385)/SUM(O379:O385)</f>
        <v>#REF!</v>
      </c>
      <c r="S387" s="112"/>
      <c r="T387" s="112"/>
      <c r="U387" s="112"/>
      <c r="V387" s="112"/>
      <c r="W387" s="311"/>
      <c r="X387" s="311"/>
      <c r="Y387" s="311"/>
      <c r="Z387" s="311"/>
      <c r="AA387" s="311"/>
      <c r="AB387" s="311"/>
      <c r="AC387" s="311"/>
      <c r="AD387" s="89"/>
      <c r="AE387" s="89"/>
      <c r="AF387" s="89"/>
      <c r="AG387" s="5"/>
      <c r="AH387" s="5"/>
      <c r="AI387" s="5"/>
      <c r="AJ387" s="5"/>
      <c r="AK387" s="5"/>
      <c r="AL387" s="5"/>
      <c r="AM387" s="5"/>
      <c r="AN387" s="5"/>
      <c r="AO387" s="5"/>
      <c r="AP387" s="5"/>
      <c r="AQ387" s="5"/>
      <c r="AR387" s="5"/>
      <c r="AS387" s="5"/>
      <c r="AT387" s="88" t="str">
        <f t="shared" si="27"/>
        <v>KP0006662017Q314,7</v>
      </c>
      <c r="AU387" s="89" t="str">
        <f t="shared" si="28"/>
        <v>07-2017</v>
      </c>
      <c r="AV387" s="89"/>
      <c r="AW387" s="89"/>
      <c r="AX387" s="89"/>
      <c r="AY387" s="89"/>
      <c r="AZ387" s="89"/>
      <c r="BA387" s="92" t="str">
        <f t="shared" si="29"/>
        <v>WIP - 30 Days</v>
      </c>
      <c r="BB387" s="89"/>
      <c r="BC387" s="97"/>
      <c r="BD387" s="97"/>
    </row>
    <row r="388" spans="1:56">
      <c r="B388" s="60">
        <f>[2]Trucks!A385</f>
        <v>47769</v>
      </c>
      <c r="C388" s="11" t="str">
        <f>[2]Trucks!B385</f>
        <v>TGS-26-4406X4BLS-LX-ALU</v>
      </c>
      <c r="D388" s="19" t="str">
        <f>IFERROR(VLOOKUP(C388&amp;"",'[2]Retail Price List'!$A$3:$B$103,2,FALSE),"Special Order")</f>
        <v>KP000666</v>
      </c>
      <c r="E388" s="18" t="str">
        <f>[2]Trucks!J385</f>
        <v>CKD</v>
      </c>
      <c r="F388" s="12" t="str">
        <f>[2]Trucks!E385</f>
        <v>2018-03-15</v>
      </c>
      <c r="G388" s="56">
        <f>[2]Trucks!K385</f>
        <v>14.7</v>
      </c>
      <c r="H388" s="46">
        <f>[2]Trucks!I385</f>
        <v>42947</v>
      </c>
      <c r="I388" s="83" t="str">
        <f t="shared" si="25"/>
        <v>2017Q3</v>
      </c>
      <c r="J388" s="272">
        <f>IFERROR(VLOOKUP((D388&amp;C388)&amp;"",'[2]Retail Price List'!$C$4:$F$102,3,FALSE),"")</f>
        <v>1765000</v>
      </c>
      <c r="K388" s="272">
        <f>IFERROR(IF(BA388="WIP - 30 Days",VLOOKUP(D388,[3]Standard!$B$9:$E$101,4,FALSE),IF(BA388="31-120 Days",VLOOKUP(D388,[3]Standard!$B$9:$F$101,5,FALSE),IF(BA388="121-365 Days",VLOOKUP(D388,[3]Standard!$B$9:$G$101,6,FALSE),VLOOKUP(D388,[3]Standard!$B$9:$H$101,7,FALSE)))),0)</f>
        <v>1363462.5</v>
      </c>
      <c r="L388" s="272">
        <f>IFERROR(IF(BA388="WIP - 30 Days",VLOOKUP(D388,[3]Standard!$B$9:$J$101,9,FALSE),IF(BA388="31-120 Days",VLOOKUP(D388,[3]Standard!$B$9:$K$100,10,FALSE),IF(BA388="121-365 Days",VLOOKUP(D388,[3]Standard!$B$9:$L$101,11,FALSE),VLOOKUP(D388,[3]Standard!$B$9:$M$101,12,FALSE)))),0)</f>
        <v>1323750</v>
      </c>
      <c r="M388" s="269">
        <f>IFERROR(VLOOKUP((D388&amp;C388)&amp;"",'[2]Retail Price List'!$C$4:$F$102,4,FALSE),"")</f>
        <v>1815000</v>
      </c>
      <c r="N388" s="269">
        <f>IFERROR(IF(BA388="WIP - 30 Days",VLOOKUP(D388,[3]Extended!$B$9:$E$101,4,FALSE),IF(BA388="31-120 Days",VLOOKUP(D388,[3]Extended!$B$9:$F$101,5,FALSE),IF(BA388="121-365 Days",VLOOKUP(D388,[3]Extended!$B$9:$G$101,6,FALSE),VLOOKUP(D388,[3]Extended!$B$9:$H$101,7,FALSE)))),0)</f>
        <v>1383393</v>
      </c>
      <c r="O388" s="269">
        <f>IFERROR(IF(BA388="WIP - 30 Days",VLOOKUP(D388,[3]Extended!$B$9:$J$101,9,FALSE),IF(BA388="31-120 Days",VLOOKUP(D388,[3]Extended!$B$9:$K$101,10,FALSE),IF(BA388="121-365 Days",VLOOKUP(D388,[3]Extended!$B$9:$L$101,11,FALSE),VLOOKUP(D388,[3]Extended!$B$9:$M$101,12,FALSE)))),0)</f>
        <v>1343100</v>
      </c>
      <c r="P388" s="116">
        <f t="shared" si="26"/>
        <v>0.26</v>
      </c>
      <c r="Q388" s="110" t="e">
        <f>O388-#REF!</f>
        <v>#REF!</v>
      </c>
      <c r="S388" s="112" t="s">
        <v>9</v>
      </c>
      <c r="T388" s="112" t="s">
        <v>10</v>
      </c>
      <c r="U388" s="112" t="s">
        <v>11</v>
      </c>
      <c r="W388" s="311"/>
      <c r="X388" s="311"/>
      <c r="Y388" s="311"/>
      <c r="Z388" s="311"/>
      <c r="AA388" s="311"/>
      <c r="AB388" s="311"/>
      <c r="AC388" s="311"/>
      <c r="AT388" s="88" t="str">
        <f t="shared" si="27"/>
        <v>KP0006662017Q314,7</v>
      </c>
      <c r="AU388" s="89" t="str">
        <f t="shared" si="28"/>
        <v>07-2017</v>
      </c>
      <c r="BA388" s="92" t="str">
        <f t="shared" si="29"/>
        <v>WIP - 30 Days</v>
      </c>
    </row>
    <row r="389" spans="1:56">
      <c r="B389" s="60">
        <f>[2]Trucks!A386</f>
        <v>47770</v>
      </c>
      <c r="C389" s="11" t="str">
        <f>[2]Trucks!B386</f>
        <v>TGS-26-4406X4BLS-LX-ALU</v>
      </c>
      <c r="D389" s="19" t="str">
        <f>IFERROR(VLOOKUP(C389&amp;"",'[2]Retail Price List'!$A$3:$B$103,2,FALSE),"Special Order")</f>
        <v>KP000666</v>
      </c>
      <c r="E389" s="18" t="str">
        <f>[2]Trucks!J386</f>
        <v>CKD</v>
      </c>
      <c r="F389" s="12" t="str">
        <f>[2]Trucks!E386</f>
        <v>2018-03-15</v>
      </c>
      <c r="G389" s="56">
        <f>[2]Trucks!K386</f>
        <v>14.7</v>
      </c>
      <c r="H389" s="46">
        <f>[2]Trucks!I386</f>
        <v>42947</v>
      </c>
      <c r="I389" s="83" t="str">
        <f t="shared" ref="I389:I452" si="30">IFERROR(VLOOKUP(AU389,$AW$5:$AY$40,3,FALSE),"")</f>
        <v>2017Q3</v>
      </c>
      <c r="J389" s="272">
        <f>IFERROR(VLOOKUP((D389&amp;C389)&amp;"",'[2]Retail Price List'!$C$4:$F$102,3,FALSE),"")</f>
        <v>1765000</v>
      </c>
      <c r="K389" s="272">
        <f>IFERROR(IF(BA389="WIP - 30 Days",VLOOKUP(D389,[3]Standard!$B$9:$E$101,4,FALSE),IF(BA389="31-120 Days",VLOOKUP(D389,[3]Standard!$B$9:$F$101,5,FALSE),IF(BA389="121-365 Days",VLOOKUP(D389,[3]Standard!$B$9:$G$101,6,FALSE),VLOOKUP(D389,[3]Standard!$B$9:$H$101,7,FALSE)))),0)</f>
        <v>1363462.5</v>
      </c>
      <c r="L389" s="272">
        <f>IFERROR(IF(BA389="WIP - 30 Days",VLOOKUP(D389,[3]Standard!$B$9:$J$101,9,FALSE),IF(BA389="31-120 Days",VLOOKUP(D389,[3]Standard!$B$9:$K$100,10,FALSE),IF(BA389="121-365 Days",VLOOKUP(D389,[3]Standard!$B$9:$L$101,11,FALSE),VLOOKUP(D389,[3]Standard!$B$9:$M$101,12,FALSE)))),0)</f>
        <v>1323750</v>
      </c>
      <c r="M389" s="269">
        <f>IFERROR(VLOOKUP((D389&amp;C389)&amp;"",'[2]Retail Price List'!$C$4:$F$102,4,FALSE),"")</f>
        <v>1815000</v>
      </c>
      <c r="N389" s="269">
        <f>IFERROR(IF(BA389="WIP - 30 Days",VLOOKUP(D389,[3]Extended!$B$9:$E$101,4,FALSE),IF(BA389="31-120 Days",VLOOKUP(D389,[3]Extended!$B$9:$F$101,5,FALSE),IF(BA389="121-365 Days",VLOOKUP(D389,[3]Extended!$B$9:$G$101,6,FALSE),VLOOKUP(D389,[3]Extended!$B$9:$H$101,7,FALSE)))),0)</f>
        <v>1383393</v>
      </c>
      <c r="O389" s="269">
        <f>IFERROR(IF(BA389="WIP - 30 Days",VLOOKUP(D389,[3]Extended!$B$9:$J$101,9,FALSE),IF(BA389="31-120 Days",VLOOKUP(D389,[3]Extended!$B$9:$K$101,10,FALSE),IF(BA389="121-365 Days",VLOOKUP(D389,[3]Extended!$B$9:$L$101,11,FALSE),VLOOKUP(D389,[3]Extended!$B$9:$M$101,12,FALSE)))),0)</f>
        <v>1343100</v>
      </c>
      <c r="P389" s="116">
        <f t="shared" ref="P389:P452" si="31">(M389-O389)/M389</f>
        <v>0.26</v>
      </c>
      <c r="Q389" s="110" t="e">
        <f>O389-#REF!</f>
        <v>#REF!</v>
      </c>
      <c r="S389" s="112">
        <v>0.6</v>
      </c>
      <c r="T389" s="112">
        <v>-4.7</v>
      </c>
      <c r="U389" s="112">
        <v>-1.6</v>
      </c>
      <c r="W389" s="311"/>
      <c r="X389" s="311"/>
      <c r="Y389" s="311"/>
      <c r="Z389" s="311"/>
      <c r="AA389" s="311"/>
      <c r="AB389" s="311"/>
      <c r="AC389" s="311"/>
      <c r="AT389" s="88" t="str">
        <f t="shared" ref="AT389:AT452" si="32">D389&amp;I389&amp;G389</f>
        <v>KP0006662017Q314,7</v>
      </c>
      <c r="AU389" s="89" t="str">
        <f t="shared" ref="AU389:AU452" si="33">IF(MONTH(H389)&lt;10,0&amp;MONTH(H389)&amp;"-"&amp;YEAR(H389),MONTH(H389)&amp;"-"&amp;YEAR(H389))</f>
        <v>07-2017</v>
      </c>
      <c r="BA389" s="92" t="str">
        <f t="shared" ref="BA389:BA452" si="34">IF(B389=0,"",IF(AND(F389&gt;=31,F389&lt;=120),"31-120 Days",IF(AND(F389&gt;=121,F389&lt;=365),"121-365 Days",IF(OR(E389="CKD",F389&lt;=30),"WIP - 30 Days","&gt;365 Days"))))</f>
        <v>WIP - 30 Days</v>
      </c>
    </row>
    <row r="390" spans="1:56">
      <c r="B390" s="60">
        <f>[2]Trucks!A387</f>
        <v>47771</v>
      </c>
      <c r="C390" s="11" t="str">
        <f>[2]Trucks!B387</f>
        <v>TGS-26-4406X4BLS-LX-ALU</v>
      </c>
      <c r="D390" s="19" t="str">
        <f>IFERROR(VLOOKUP(C390&amp;"",'[2]Retail Price List'!$A$3:$B$103,2,FALSE),"Special Order")</f>
        <v>KP000666</v>
      </c>
      <c r="E390" s="18" t="str">
        <f>[2]Trucks!J387</f>
        <v>CKD</v>
      </c>
      <c r="F390" s="12" t="str">
        <f>[2]Trucks!E387</f>
        <v>2018-03-15</v>
      </c>
      <c r="G390" s="56">
        <f>[2]Trucks!K387</f>
        <v>14.7</v>
      </c>
      <c r="H390" s="46">
        <f>[2]Trucks!I387</f>
        <v>42947</v>
      </c>
      <c r="I390" s="83" t="str">
        <f t="shared" si="30"/>
        <v>2017Q3</v>
      </c>
      <c r="J390" s="272">
        <f>IFERROR(VLOOKUP((D390&amp;C390)&amp;"",'[2]Retail Price List'!$C$4:$F$102,3,FALSE),"")</f>
        <v>1765000</v>
      </c>
      <c r="K390" s="272">
        <f>IFERROR(IF(BA390="WIP - 30 Days",VLOOKUP(D390,[3]Standard!$B$9:$E$101,4,FALSE),IF(BA390="31-120 Days",VLOOKUP(D390,[3]Standard!$B$9:$F$101,5,FALSE),IF(BA390="121-365 Days",VLOOKUP(D390,[3]Standard!$B$9:$G$101,6,FALSE),VLOOKUP(D390,[3]Standard!$B$9:$H$101,7,FALSE)))),0)</f>
        <v>1363462.5</v>
      </c>
      <c r="L390" s="272">
        <f>IFERROR(IF(BA390="WIP - 30 Days",VLOOKUP(D390,[3]Standard!$B$9:$J$101,9,FALSE),IF(BA390="31-120 Days",VLOOKUP(D390,[3]Standard!$B$9:$K$100,10,FALSE),IF(BA390="121-365 Days",VLOOKUP(D390,[3]Standard!$B$9:$L$101,11,FALSE),VLOOKUP(D390,[3]Standard!$B$9:$M$101,12,FALSE)))),0)</f>
        <v>1323750</v>
      </c>
      <c r="M390" s="269">
        <f>IFERROR(VLOOKUP((D390&amp;C390)&amp;"",'[2]Retail Price List'!$C$4:$F$102,4,FALSE),"")</f>
        <v>1815000</v>
      </c>
      <c r="N390" s="269">
        <f>IFERROR(IF(BA390="WIP - 30 Days",VLOOKUP(D390,[3]Extended!$B$9:$E$101,4,FALSE),IF(BA390="31-120 Days",VLOOKUP(D390,[3]Extended!$B$9:$F$101,5,FALSE),IF(BA390="121-365 Days",VLOOKUP(D390,[3]Extended!$B$9:$G$101,6,FALSE),VLOOKUP(D390,[3]Extended!$B$9:$H$101,7,FALSE)))),0)</f>
        <v>1383393</v>
      </c>
      <c r="O390" s="269">
        <f>IFERROR(IF(BA390="WIP - 30 Days",VLOOKUP(D390,[3]Extended!$B$9:$J$101,9,FALSE),IF(BA390="31-120 Days",VLOOKUP(D390,[3]Extended!$B$9:$K$101,10,FALSE),IF(BA390="121-365 Days",VLOOKUP(D390,[3]Extended!$B$9:$L$101,11,FALSE),VLOOKUP(D390,[3]Extended!$B$9:$M$101,12,FALSE)))),0)</f>
        <v>1343100</v>
      </c>
      <c r="P390" s="116">
        <f t="shared" si="31"/>
        <v>0.26</v>
      </c>
      <c r="Q390" s="110" t="e">
        <f>O390-#REF!</f>
        <v>#REF!</v>
      </c>
      <c r="W390" s="311"/>
      <c r="X390" s="311"/>
      <c r="Y390" s="311"/>
      <c r="Z390" s="311"/>
      <c r="AA390" s="311"/>
      <c r="AB390" s="311"/>
      <c r="AC390" s="311"/>
      <c r="AT390" s="88" t="str">
        <f t="shared" si="32"/>
        <v>KP0006662017Q314,7</v>
      </c>
      <c r="AU390" s="89" t="str">
        <f t="shared" si="33"/>
        <v>07-2017</v>
      </c>
      <c r="BA390" s="92" t="str">
        <f t="shared" si="34"/>
        <v>WIP - 30 Days</v>
      </c>
    </row>
    <row r="391" spans="1:56">
      <c r="B391" s="60">
        <f>[2]Trucks!A388</f>
        <v>47772</v>
      </c>
      <c r="C391" s="11" t="str">
        <f>[2]Trucks!B388</f>
        <v>TGS-26-4406X4BLS-LX-ALU</v>
      </c>
      <c r="D391" s="19" t="str">
        <f>IFERROR(VLOOKUP(C391&amp;"",'[2]Retail Price List'!$A$3:$B$103,2,FALSE),"Special Order")</f>
        <v>KP000666</v>
      </c>
      <c r="E391" s="18" t="str">
        <f>[2]Trucks!J388</f>
        <v>CKD</v>
      </c>
      <c r="F391" s="12" t="str">
        <f>[2]Trucks!E388</f>
        <v>2018-03-15</v>
      </c>
      <c r="G391" s="56">
        <f>[2]Trucks!K388</f>
        <v>14.7</v>
      </c>
      <c r="H391" s="46">
        <f>[2]Trucks!I388</f>
        <v>42947</v>
      </c>
      <c r="I391" s="83" t="str">
        <f t="shared" si="30"/>
        <v>2017Q3</v>
      </c>
      <c r="J391" s="272">
        <f>IFERROR(VLOOKUP((D391&amp;C391)&amp;"",'[2]Retail Price List'!$C$4:$F$102,3,FALSE),"")</f>
        <v>1765000</v>
      </c>
      <c r="K391" s="272">
        <f>IFERROR(IF(BA391="WIP - 30 Days",VLOOKUP(D391,[3]Standard!$B$9:$E$101,4,FALSE),IF(BA391="31-120 Days",VLOOKUP(D391,[3]Standard!$B$9:$F$101,5,FALSE),IF(BA391="121-365 Days",VLOOKUP(D391,[3]Standard!$B$9:$G$101,6,FALSE),VLOOKUP(D391,[3]Standard!$B$9:$H$101,7,FALSE)))),0)</f>
        <v>1363462.5</v>
      </c>
      <c r="L391" s="272">
        <f>IFERROR(IF(BA391="WIP - 30 Days",VLOOKUP(D391,[3]Standard!$B$9:$J$101,9,FALSE),IF(BA391="31-120 Days",VLOOKUP(D391,[3]Standard!$B$9:$K$100,10,FALSE),IF(BA391="121-365 Days",VLOOKUP(D391,[3]Standard!$B$9:$L$101,11,FALSE),VLOOKUP(D391,[3]Standard!$B$9:$M$101,12,FALSE)))),0)</f>
        <v>1323750</v>
      </c>
      <c r="M391" s="269">
        <f>IFERROR(VLOOKUP((D391&amp;C391)&amp;"",'[2]Retail Price List'!$C$4:$F$102,4,FALSE),"")</f>
        <v>1815000</v>
      </c>
      <c r="N391" s="269">
        <f>IFERROR(IF(BA391="WIP - 30 Days",VLOOKUP(D391,[3]Extended!$B$9:$E$101,4,FALSE),IF(BA391="31-120 Days",VLOOKUP(D391,[3]Extended!$B$9:$F$101,5,FALSE),IF(BA391="121-365 Days",VLOOKUP(D391,[3]Extended!$B$9:$G$101,6,FALSE),VLOOKUP(D391,[3]Extended!$B$9:$H$101,7,FALSE)))),0)</f>
        <v>1383393</v>
      </c>
      <c r="O391" s="269">
        <f>IFERROR(IF(BA391="WIP - 30 Days",VLOOKUP(D391,[3]Extended!$B$9:$J$101,9,FALSE),IF(BA391="31-120 Days",VLOOKUP(D391,[3]Extended!$B$9:$K$101,10,FALSE),IF(BA391="121-365 Days",VLOOKUP(D391,[3]Extended!$B$9:$L$101,11,FALSE),VLOOKUP(D391,[3]Extended!$B$9:$M$101,12,FALSE)))),0)</f>
        <v>1343100</v>
      </c>
      <c r="P391" s="116">
        <f t="shared" si="31"/>
        <v>0.26</v>
      </c>
      <c r="Q391" s="110" t="e">
        <f>O391-#REF!</f>
        <v>#REF!</v>
      </c>
      <c r="S391" s="112">
        <f>COUNT(#REF!)</f>
        <v>0</v>
      </c>
      <c r="W391" s="311"/>
      <c r="X391" s="311"/>
      <c r="Y391" s="311"/>
      <c r="Z391" s="311"/>
      <c r="AA391" s="311"/>
      <c r="AB391" s="311"/>
      <c r="AC391" s="311"/>
      <c r="AT391" s="88" t="str">
        <f t="shared" si="32"/>
        <v>KP0006662017Q314,7</v>
      </c>
      <c r="AU391" s="89" t="str">
        <f t="shared" si="33"/>
        <v>07-2017</v>
      </c>
      <c r="BA391" s="92" t="str">
        <f t="shared" si="34"/>
        <v>WIP - 30 Days</v>
      </c>
    </row>
    <row r="392" spans="1:56">
      <c r="B392" s="60">
        <f>[2]Trucks!A389</f>
        <v>47773</v>
      </c>
      <c r="C392" s="11" t="str">
        <f>[2]Trucks!B389</f>
        <v>TGS-26-4406X4BLS-LX-ALU</v>
      </c>
      <c r="D392" s="19" t="str">
        <f>IFERROR(VLOOKUP(C392&amp;"",'[2]Retail Price List'!$A$3:$B$103,2,FALSE),"Special Order")</f>
        <v>KP000666</v>
      </c>
      <c r="E392" s="18" t="str">
        <f>[2]Trucks!J389</f>
        <v>CKD</v>
      </c>
      <c r="F392" s="12" t="str">
        <f>[2]Trucks!E389</f>
        <v>2018-03-15</v>
      </c>
      <c r="G392" s="56">
        <f>[2]Trucks!K389</f>
        <v>14.7</v>
      </c>
      <c r="H392" s="46">
        <f>[2]Trucks!I389</f>
        <v>42947</v>
      </c>
      <c r="I392" s="83" t="str">
        <f t="shared" si="30"/>
        <v>2017Q3</v>
      </c>
      <c r="J392" s="272">
        <f>IFERROR(VLOOKUP((D392&amp;C392)&amp;"",'[2]Retail Price List'!$C$4:$F$102,3,FALSE),"")</f>
        <v>1765000</v>
      </c>
      <c r="K392" s="272">
        <f>IFERROR(IF(BA392="WIP - 30 Days",VLOOKUP(D392,[3]Standard!$B$9:$E$101,4,FALSE),IF(BA392="31-120 Days",VLOOKUP(D392,[3]Standard!$B$9:$F$101,5,FALSE),IF(BA392="121-365 Days",VLOOKUP(D392,[3]Standard!$B$9:$G$101,6,FALSE),VLOOKUP(D392,[3]Standard!$B$9:$H$101,7,FALSE)))),0)</f>
        <v>1363462.5</v>
      </c>
      <c r="L392" s="272">
        <f>IFERROR(IF(BA392="WIP - 30 Days",VLOOKUP(D392,[3]Standard!$B$9:$J$101,9,FALSE),IF(BA392="31-120 Days",VLOOKUP(D392,[3]Standard!$B$9:$K$100,10,FALSE),IF(BA392="121-365 Days",VLOOKUP(D392,[3]Standard!$B$9:$L$101,11,FALSE),VLOOKUP(D392,[3]Standard!$B$9:$M$101,12,FALSE)))),0)</f>
        <v>1323750</v>
      </c>
      <c r="M392" s="269">
        <f>IFERROR(VLOOKUP((D392&amp;C392)&amp;"",'[2]Retail Price List'!$C$4:$F$102,4,FALSE),"")</f>
        <v>1815000</v>
      </c>
      <c r="N392" s="269">
        <f>IFERROR(IF(BA392="WIP - 30 Days",VLOOKUP(D392,[3]Extended!$B$9:$E$101,4,FALSE),IF(BA392="31-120 Days",VLOOKUP(D392,[3]Extended!$B$9:$F$101,5,FALSE),IF(BA392="121-365 Days",VLOOKUP(D392,[3]Extended!$B$9:$G$101,6,FALSE),VLOOKUP(D392,[3]Extended!$B$9:$H$101,7,FALSE)))),0)</f>
        <v>1383393</v>
      </c>
      <c r="O392" s="269">
        <f>IFERROR(IF(BA392="WIP - 30 Days",VLOOKUP(D392,[3]Extended!$B$9:$J$101,9,FALSE),IF(BA392="31-120 Days",VLOOKUP(D392,[3]Extended!$B$9:$K$101,10,FALSE),IF(BA392="121-365 Days",VLOOKUP(D392,[3]Extended!$B$9:$L$101,11,FALSE),VLOOKUP(D392,[3]Extended!$B$9:$M$101,12,FALSE)))),0)</f>
        <v>1343100</v>
      </c>
      <c r="P392" s="116">
        <f t="shared" si="31"/>
        <v>0.26</v>
      </c>
      <c r="Q392" s="110" t="e">
        <f>O392-#REF!</f>
        <v>#REF!</v>
      </c>
      <c r="S392" s="110" t="e">
        <f>+AVERAGE(#REF!)</f>
        <v>#REF!</v>
      </c>
      <c r="W392" s="311"/>
      <c r="X392" s="311"/>
      <c r="Y392" s="311"/>
      <c r="Z392" s="311"/>
      <c r="AA392" s="311"/>
      <c r="AB392" s="311"/>
      <c r="AC392" s="311"/>
      <c r="AT392" s="88" t="str">
        <f t="shared" si="32"/>
        <v>KP0006662017Q314,7</v>
      </c>
      <c r="AU392" s="89" t="str">
        <f t="shared" si="33"/>
        <v>07-2017</v>
      </c>
      <c r="BA392" s="92" t="str">
        <f t="shared" si="34"/>
        <v>WIP - 30 Days</v>
      </c>
    </row>
    <row r="393" spans="1:56">
      <c r="B393" s="60">
        <f>[2]Trucks!A390</f>
        <v>47774</v>
      </c>
      <c r="C393" s="11" t="str">
        <f>[2]Trucks!B390</f>
        <v>TGS-26-4406X4BLS-LX-ALU</v>
      </c>
      <c r="D393" s="19" t="str">
        <f>IFERROR(VLOOKUP(C393&amp;"",'[2]Retail Price List'!$A$3:$B$103,2,FALSE),"Special Order")</f>
        <v>KP000666</v>
      </c>
      <c r="E393" s="18" t="str">
        <f>[2]Trucks!J390</f>
        <v>CKD</v>
      </c>
      <c r="F393" s="12" t="str">
        <f>[2]Trucks!E390</f>
        <v>2018-03-15</v>
      </c>
      <c r="G393" s="56">
        <f>[2]Trucks!K390</f>
        <v>14.7</v>
      </c>
      <c r="H393" s="46">
        <f>[2]Trucks!I390</f>
        <v>42947</v>
      </c>
      <c r="I393" s="83" t="str">
        <f t="shared" si="30"/>
        <v>2017Q3</v>
      </c>
      <c r="J393" s="272">
        <f>IFERROR(VLOOKUP((D393&amp;C393)&amp;"",'[2]Retail Price List'!$C$4:$F$102,3,FALSE),"")</f>
        <v>1765000</v>
      </c>
      <c r="K393" s="272">
        <f>IFERROR(IF(BA393="WIP - 30 Days",VLOOKUP(D393,[3]Standard!$B$9:$E$101,4,FALSE),IF(BA393="31-120 Days",VLOOKUP(D393,[3]Standard!$B$9:$F$101,5,FALSE),IF(BA393="121-365 Days",VLOOKUP(D393,[3]Standard!$B$9:$G$101,6,FALSE),VLOOKUP(D393,[3]Standard!$B$9:$H$101,7,FALSE)))),0)</f>
        <v>1363462.5</v>
      </c>
      <c r="L393" s="272">
        <f>IFERROR(IF(BA393="WIP - 30 Days",VLOOKUP(D393,[3]Standard!$B$9:$J$101,9,FALSE),IF(BA393="31-120 Days",VLOOKUP(D393,[3]Standard!$B$9:$K$100,10,FALSE),IF(BA393="121-365 Days",VLOOKUP(D393,[3]Standard!$B$9:$L$101,11,FALSE),VLOOKUP(D393,[3]Standard!$B$9:$M$101,12,FALSE)))),0)</f>
        <v>1323750</v>
      </c>
      <c r="M393" s="269">
        <f>IFERROR(VLOOKUP((D393&amp;C393)&amp;"",'[2]Retail Price List'!$C$4:$F$102,4,FALSE),"")</f>
        <v>1815000</v>
      </c>
      <c r="N393" s="269">
        <f>IFERROR(IF(BA393="WIP - 30 Days",VLOOKUP(D393,[3]Extended!$B$9:$E$101,4,FALSE),IF(BA393="31-120 Days",VLOOKUP(D393,[3]Extended!$B$9:$F$101,5,FALSE),IF(BA393="121-365 Days",VLOOKUP(D393,[3]Extended!$B$9:$G$101,6,FALSE),VLOOKUP(D393,[3]Extended!$B$9:$H$101,7,FALSE)))),0)</f>
        <v>1383393</v>
      </c>
      <c r="O393" s="269">
        <f>IFERROR(IF(BA393="WIP - 30 Days",VLOOKUP(D393,[3]Extended!$B$9:$J$101,9,FALSE),IF(BA393="31-120 Days",VLOOKUP(D393,[3]Extended!$B$9:$K$101,10,FALSE),IF(BA393="121-365 Days",VLOOKUP(D393,[3]Extended!$B$9:$L$101,11,FALSE),VLOOKUP(D393,[3]Extended!$B$9:$M$101,12,FALSE)))),0)</f>
        <v>1343100</v>
      </c>
      <c r="P393" s="116">
        <f t="shared" si="31"/>
        <v>0.26</v>
      </c>
      <c r="Q393" s="110" t="e">
        <f>O393-#REF!</f>
        <v>#REF!</v>
      </c>
      <c r="W393" s="311"/>
      <c r="X393" s="311"/>
      <c r="Y393" s="311"/>
      <c r="Z393" s="311"/>
      <c r="AA393" s="311"/>
      <c r="AB393" s="311"/>
      <c r="AC393" s="311"/>
      <c r="AT393" s="88" t="str">
        <f t="shared" si="32"/>
        <v>KP0006662017Q314,7</v>
      </c>
      <c r="AU393" s="89" t="str">
        <f t="shared" si="33"/>
        <v>07-2017</v>
      </c>
      <c r="BA393" s="92" t="str">
        <f t="shared" si="34"/>
        <v>WIP - 30 Days</v>
      </c>
    </row>
    <row r="394" spans="1:56">
      <c r="B394" s="60">
        <f>[2]Trucks!A391</f>
        <v>47775</v>
      </c>
      <c r="C394" s="11" t="str">
        <f>[2]Trucks!B391</f>
        <v>TGS-26-4406X4BLS-LX-ALU</v>
      </c>
      <c r="D394" s="19" t="str">
        <f>IFERROR(VLOOKUP(C394&amp;"",'[2]Retail Price List'!$A$3:$B$103,2,FALSE),"Special Order")</f>
        <v>KP000666</v>
      </c>
      <c r="E394" s="18" t="str">
        <f>[2]Trucks!J391</f>
        <v>CKD</v>
      </c>
      <c r="F394" s="12" t="str">
        <f>[2]Trucks!E391</f>
        <v>2018-03-20</v>
      </c>
      <c r="G394" s="56">
        <f>[2]Trucks!K391</f>
        <v>14.7</v>
      </c>
      <c r="H394" s="46">
        <f>[2]Trucks!I391</f>
        <v>42947</v>
      </c>
      <c r="I394" s="83" t="str">
        <f t="shared" si="30"/>
        <v>2017Q3</v>
      </c>
      <c r="J394" s="272">
        <f>IFERROR(VLOOKUP((D394&amp;C394)&amp;"",'[2]Retail Price List'!$C$4:$F$102,3,FALSE),"")</f>
        <v>1765000</v>
      </c>
      <c r="K394" s="272">
        <f>IFERROR(IF(BA394="WIP - 30 Days",VLOOKUP(D394,[3]Standard!$B$9:$E$101,4,FALSE),IF(BA394="31-120 Days",VLOOKUP(D394,[3]Standard!$B$9:$F$101,5,FALSE),IF(BA394="121-365 Days",VLOOKUP(D394,[3]Standard!$B$9:$G$101,6,FALSE),VLOOKUP(D394,[3]Standard!$B$9:$H$101,7,FALSE)))),0)</f>
        <v>1363462.5</v>
      </c>
      <c r="L394" s="272">
        <f>IFERROR(IF(BA394="WIP - 30 Days",VLOOKUP(D394,[3]Standard!$B$9:$J$101,9,FALSE),IF(BA394="31-120 Days",VLOOKUP(D394,[3]Standard!$B$9:$K$100,10,FALSE),IF(BA394="121-365 Days",VLOOKUP(D394,[3]Standard!$B$9:$L$101,11,FALSE),VLOOKUP(D394,[3]Standard!$B$9:$M$101,12,FALSE)))),0)</f>
        <v>1323750</v>
      </c>
      <c r="M394" s="269">
        <f>IFERROR(VLOOKUP((D394&amp;C394)&amp;"",'[2]Retail Price List'!$C$4:$F$102,4,FALSE),"")</f>
        <v>1815000</v>
      </c>
      <c r="N394" s="269">
        <f>IFERROR(IF(BA394="WIP - 30 Days",VLOOKUP(D394,[3]Extended!$B$9:$E$101,4,FALSE),IF(BA394="31-120 Days",VLOOKUP(D394,[3]Extended!$B$9:$F$101,5,FALSE),IF(BA394="121-365 Days",VLOOKUP(D394,[3]Extended!$B$9:$G$101,6,FALSE),VLOOKUP(D394,[3]Extended!$B$9:$H$101,7,FALSE)))),0)</f>
        <v>1383393</v>
      </c>
      <c r="O394" s="269">
        <f>IFERROR(IF(BA394="WIP - 30 Days",VLOOKUP(D394,[3]Extended!$B$9:$J$101,9,FALSE),IF(BA394="31-120 Days",VLOOKUP(D394,[3]Extended!$B$9:$K$101,10,FALSE),IF(BA394="121-365 Days",VLOOKUP(D394,[3]Extended!$B$9:$L$101,11,FALSE),VLOOKUP(D394,[3]Extended!$B$9:$M$101,12,FALSE)))),0)</f>
        <v>1343100</v>
      </c>
      <c r="P394" s="116">
        <f t="shared" si="31"/>
        <v>0.26</v>
      </c>
      <c r="Q394" s="110" t="e">
        <f>O394-#REF!</f>
        <v>#REF!</v>
      </c>
      <c r="W394" s="311"/>
      <c r="X394" s="311"/>
      <c r="Y394" s="311"/>
      <c r="Z394" s="311"/>
      <c r="AA394" s="311"/>
      <c r="AB394" s="311"/>
      <c r="AC394" s="311"/>
      <c r="AT394" s="88" t="str">
        <f t="shared" si="32"/>
        <v>KP0006662017Q314,7</v>
      </c>
      <c r="AU394" s="89" t="str">
        <f t="shared" si="33"/>
        <v>07-2017</v>
      </c>
      <c r="BA394" s="92" t="str">
        <f t="shared" si="34"/>
        <v>WIP - 30 Days</v>
      </c>
    </row>
    <row r="395" spans="1:56">
      <c r="B395" s="60">
        <f>[2]Trucks!A392</f>
        <v>47776</v>
      </c>
      <c r="C395" s="11" t="str">
        <f>[2]Trucks!B392</f>
        <v>TGS-26-4406X4BLS-LX-ALU</v>
      </c>
      <c r="D395" s="19" t="str">
        <f>IFERROR(VLOOKUP(C395&amp;"",'[2]Retail Price List'!$A$3:$B$103,2,FALSE),"Special Order")</f>
        <v>KP000666</v>
      </c>
      <c r="E395" s="18" t="str">
        <f>[2]Trucks!J392</f>
        <v>CKD</v>
      </c>
      <c r="F395" s="12" t="str">
        <f>[2]Trucks!E392</f>
        <v>2018-03-20</v>
      </c>
      <c r="G395" s="56">
        <f>[2]Trucks!K392</f>
        <v>14.7</v>
      </c>
      <c r="H395" s="46">
        <f>[2]Trucks!I392</f>
        <v>42947</v>
      </c>
      <c r="I395" s="83" t="str">
        <f t="shared" si="30"/>
        <v>2017Q3</v>
      </c>
      <c r="J395" s="272">
        <f>IFERROR(VLOOKUP((D395&amp;C395)&amp;"",'[2]Retail Price List'!$C$4:$F$102,3,FALSE),"")</f>
        <v>1765000</v>
      </c>
      <c r="K395" s="272">
        <f>IFERROR(IF(BA395="WIP - 30 Days",VLOOKUP(D395,[3]Standard!$B$9:$E$101,4,FALSE),IF(BA395="31-120 Days",VLOOKUP(D395,[3]Standard!$B$9:$F$101,5,FALSE),IF(BA395="121-365 Days",VLOOKUP(D395,[3]Standard!$B$9:$G$101,6,FALSE),VLOOKUP(D395,[3]Standard!$B$9:$H$101,7,FALSE)))),0)</f>
        <v>1363462.5</v>
      </c>
      <c r="L395" s="272">
        <f>IFERROR(IF(BA395="WIP - 30 Days",VLOOKUP(D395,[3]Standard!$B$9:$J$101,9,FALSE),IF(BA395="31-120 Days",VLOOKUP(D395,[3]Standard!$B$9:$K$100,10,FALSE),IF(BA395="121-365 Days",VLOOKUP(D395,[3]Standard!$B$9:$L$101,11,FALSE),VLOOKUP(D395,[3]Standard!$B$9:$M$101,12,FALSE)))),0)</f>
        <v>1323750</v>
      </c>
      <c r="M395" s="269">
        <f>IFERROR(VLOOKUP((D395&amp;C395)&amp;"",'[2]Retail Price List'!$C$4:$F$102,4,FALSE),"")</f>
        <v>1815000</v>
      </c>
      <c r="N395" s="269">
        <f>IFERROR(IF(BA395="WIP - 30 Days",VLOOKUP(D395,[3]Extended!$B$9:$E$101,4,FALSE),IF(BA395="31-120 Days",VLOOKUP(D395,[3]Extended!$B$9:$F$101,5,FALSE),IF(BA395="121-365 Days",VLOOKUP(D395,[3]Extended!$B$9:$G$101,6,FALSE),VLOOKUP(D395,[3]Extended!$B$9:$H$101,7,FALSE)))),0)</f>
        <v>1383393</v>
      </c>
      <c r="O395" s="269">
        <f>IFERROR(IF(BA395="WIP - 30 Days",VLOOKUP(D395,[3]Extended!$B$9:$J$101,9,FALSE),IF(BA395="31-120 Days",VLOOKUP(D395,[3]Extended!$B$9:$K$101,10,FALSE),IF(BA395="121-365 Days",VLOOKUP(D395,[3]Extended!$B$9:$L$101,11,FALSE),VLOOKUP(D395,[3]Extended!$B$9:$M$101,12,FALSE)))),0)</f>
        <v>1343100</v>
      </c>
      <c r="P395" s="116">
        <f t="shared" si="31"/>
        <v>0.26</v>
      </c>
      <c r="Q395" s="110" t="e">
        <f>O395-#REF!</f>
        <v>#REF!</v>
      </c>
      <c r="W395" s="311"/>
      <c r="X395" s="311"/>
      <c r="Y395" s="311"/>
      <c r="Z395" s="311"/>
      <c r="AA395" s="311"/>
      <c r="AB395" s="311"/>
      <c r="AC395" s="311"/>
      <c r="AT395" s="88" t="str">
        <f t="shared" si="32"/>
        <v>KP0006662017Q314,7</v>
      </c>
      <c r="AU395" s="89" t="str">
        <f t="shared" si="33"/>
        <v>07-2017</v>
      </c>
      <c r="BA395" s="92" t="str">
        <f t="shared" si="34"/>
        <v>WIP - 30 Days</v>
      </c>
    </row>
    <row r="396" spans="1:56">
      <c r="B396" s="60">
        <f>[2]Trucks!A393</f>
        <v>47777</v>
      </c>
      <c r="C396" s="11" t="str">
        <f>[2]Trucks!B393</f>
        <v>TGS-26-4406X4BLS-LX-ALU</v>
      </c>
      <c r="D396" s="19" t="str">
        <f>IFERROR(VLOOKUP(C396&amp;"",'[2]Retail Price List'!$A$3:$B$103,2,FALSE),"Special Order")</f>
        <v>KP000666</v>
      </c>
      <c r="E396" s="18" t="str">
        <f>[2]Trucks!J393</f>
        <v>CKD</v>
      </c>
      <c r="F396" s="12" t="str">
        <f>[2]Trucks!E393</f>
        <v>2018-03-20</v>
      </c>
      <c r="G396" s="56">
        <f>[2]Trucks!K393</f>
        <v>14.7</v>
      </c>
      <c r="H396" s="46">
        <f>[2]Trucks!I393</f>
        <v>42947</v>
      </c>
      <c r="I396" s="83" t="str">
        <f t="shared" si="30"/>
        <v>2017Q3</v>
      </c>
      <c r="J396" s="272">
        <f>IFERROR(VLOOKUP((D396&amp;C396)&amp;"",'[2]Retail Price List'!$C$4:$F$102,3,FALSE),"")</f>
        <v>1765000</v>
      </c>
      <c r="K396" s="272">
        <f>IFERROR(IF(BA396="WIP - 30 Days",VLOOKUP(D396,[3]Standard!$B$9:$E$101,4,FALSE),IF(BA396="31-120 Days",VLOOKUP(D396,[3]Standard!$B$9:$F$101,5,FALSE),IF(BA396="121-365 Days",VLOOKUP(D396,[3]Standard!$B$9:$G$101,6,FALSE),VLOOKUP(D396,[3]Standard!$B$9:$H$101,7,FALSE)))),0)</f>
        <v>1363462.5</v>
      </c>
      <c r="L396" s="272">
        <f>IFERROR(IF(BA396="WIP - 30 Days",VLOOKUP(D396,[3]Standard!$B$9:$J$101,9,FALSE),IF(BA396="31-120 Days",VLOOKUP(D396,[3]Standard!$B$9:$K$100,10,FALSE),IF(BA396="121-365 Days",VLOOKUP(D396,[3]Standard!$B$9:$L$101,11,FALSE),VLOOKUP(D396,[3]Standard!$B$9:$M$101,12,FALSE)))),0)</f>
        <v>1323750</v>
      </c>
      <c r="M396" s="269">
        <f>IFERROR(VLOOKUP((D396&amp;C396)&amp;"",'[2]Retail Price List'!$C$4:$F$102,4,FALSE),"")</f>
        <v>1815000</v>
      </c>
      <c r="N396" s="269">
        <f>IFERROR(IF(BA396="WIP - 30 Days",VLOOKUP(D396,[3]Extended!$B$9:$E$101,4,FALSE),IF(BA396="31-120 Days",VLOOKUP(D396,[3]Extended!$B$9:$F$101,5,FALSE),IF(BA396="121-365 Days",VLOOKUP(D396,[3]Extended!$B$9:$G$101,6,FALSE),VLOOKUP(D396,[3]Extended!$B$9:$H$101,7,FALSE)))),0)</f>
        <v>1383393</v>
      </c>
      <c r="O396" s="269">
        <f>IFERROR(IF(BA396="WIP - 30 Days",VLOOKUP(D396,[3]Extended!$B$9:$J$101,9,FALSE),IF(BA396="31-120 Days",VLOOKUP(D396,[3]Extended!$B$9:$K$101,10,FALSE),IF(BA396="121-365 Days",VLOOKUP(D396,[3]Extended!$B$9:$L$101,11,FALSE),VLOOKUP(D396,[3]Extended!$B$9:$M$101,12,FALSE)))),0)</f>
        <v>1343100</v>
      </c>
      <c r="P396" s="116">
        <f t="shared" si="31"/>
        <v>0.26</v>
      </c>
      <c r="Q396" s="110" t="e">
        <f>O396-#REF!</f>
        <v>#REF!</v>
      </c>
      <c r="W396" s="311"/>
      <c r="X396" s="311"/>
      <c r="Y396" s="311"/>
      <c r="Z396" s="311"/>
      <c r="AA396" s="311"/>
      <c r="AB396" s="311"/>
      <c r="AC396" s="311"/>
      <c r="AT396" s="88" t="str">
        <f t="shared" si="32"/>
        <v>KP0006662017Q314,7</v>
      </c>
      <c r="AU396" s="89" t="str">
        <f t="shared" si="33"/>
        <v>07-2017</v>
      </c>
      <c r="BA396" s="92" t="str">
        <f t="shared" si="34"/>
        <v>WIP - 30 Days</v>
      </c>
    </row>
    <row r="397" spans="1:56">
      <c r="B397" s="60">
        <f>[2]Trucks!A394</f>
        <v>47778</v>
      </c>
      <c r="C397" s="11" t="str">
        <f>[2]Trucks!B394</f>
        <v>TGS-26-4406X4BLS-LX-ALU</v>
      </c>
      <c r="D397" s="19" t="str">
        <f>IFERROR(VLOOKUP(C397&amp;"",'[2]Retail Price List'!$A$3:$B$103,2,FALSE),"Special Order")</f>
        <v>KP000666</v>
      </c>
      <c r="E397" s="18" t="str">
        <f>[2]Trucks!J394</f>
        <v>CKD</v>
      </c>
      <c r="F397" s="12" t="str">
        <f>[2]Trucks!E394</f>
        <v>2018-03-20</v>
      </c>
      <c r="G397" s="56">
        <f>[2]Trucks!K394</f>
        <v>14.7</v>
      </c>
      <c r="H397" s="46">
        <f>[2]Trucks!I394</f>
        <v>42947</v>
      </c>
      <c r="I397" s="83" t="str">
        <f t="shared" si="30"/>
        <v>2017Q3</v>
      </c>
      <c r="J397" s="272">
        <f>IFERROR(VLOOKUP((D397&amp;C397)&amp;"",'[2]Retail Price List'!$C$4:$F$102,3,FALSE),"")</f>
        <v>1765000</v>
      </c>
      <c r="K397" s="272">
        <f>IFERROR(IF(BA397="WIP - 30 Days",VLOOKUP(D397,[3]Standard!$B$9:$E$101,4,FALSE),IF(BA397="31-120 Days",VLOOKUP(D397,[3]Standard!$B$9:$F$101,5,FALSE),IF(BA397="121-365 Days",VLOOKUP(D397,[3]Standard!$B$9:$G$101,6,FALSE),VLOOKUP(D397,[3]Standard!$B$9:$H$101,7,FALSE)))),0)</f>
        <v>1363462.5</v>
      </c>
      <c r="L397" s="272">
        <f>IFERROR(IF(BA397="WIP - 30 Days",VLOOKUP(D397,[3]Standard!$B$9:$J$101,9,FALSE),IF(BA397="31-120 Days",VLOOKUP(D397,[3]Standard!$B$9:$K$100,10,FALSE),IF(BA397="121-365 Days",VLOOKUP(D397,[3]Standard!$B$9:$L$101,11,FALSE),VLOOKUP(D397,[3]Standard!$B$9:$M$101,12,FALSE)))),0)</f>
        <v>1323750</v>
      </c>
      <c r="M397" s="269">
        <f>IFERROR(VLOOKUP((D397&amp;C397)&amp;"",'[2]Retail Price List'!$C$4:$F$102,4,FALSE),"")</f>
        <v>1815000</v>
      </c>
      <c r="N397" s="269">
        <f>IFERROR(IF(BA397="WIP - 30 Days",VLOOKUP(D397,[3]Extended!$B$9:$E$101,4,FALSE),IF(BA397="31-120 Days",VLOOKUP(D397,[3]Extended!$B$9:$F$101,5,FALSE),IF(BA397="121-365 Days",VLOOKUP(D397,[3]Extended!$B$9:$G$101,6,FALSE),VLOOKUP(D397,[3]Extended!$B$9:$H$101,7,FALSE)))),0)</f>
        <v>1383393</v>
      </c>
      <c r="O397" s="269">
        <f>IFERROR(IF(BA397="WIP - 30 Days",VLOOKUP(D397,[3]Extended!$B$9:$J$101,9,FALSE),IF(BA397="31-120 Days",VLOOKUP(D397,[3]Extended!$B$9:$K$101,10,FALSE),IF(BA397="121-365 Days",VLOOKUP(D397,[3]Extended!$B$9:$L$101,11,FALSE),VLOOKUP(D397,[3]Extended!$B$9:$M$101,12,FALSE)))),0)</f>
        <v>1343100</v>
      </c>
      <c r="P397" s="116">
        <f t="shared" si="31"/>
        <v>0.26</v>
      </c>
      <c r="Q397" s="110" t="e">
        <f>O397-#REF!</f>
        <v>#REF!</v>
      </c>
      <c r="W397" s="311"/>
      <c r="X397" s="311"/>
      <c r="Y397" s="311"/>
      <c r="Z397" s="311"/>
      <c r="AA397" s="311"/>
      <c r="AB397" s="311"/>
      <c r="AC397" s="311"/>
      <c r="AT397" s="88" t="str">
        <f t="shared" si="32"/>
        <v>KP0006662017Q314,7</v>
      </c>
      <c r="AU397" s="89" t="str">
        <f t="shared" si="33"/>
        <v>07-2017</v>
      </c>
      <c r="BA397" s="92" t="str">
        <f t="shared" si="34"/>
        <v>WIP - 30 Days</v>
      </c>
    </row>
    <row r="398" spans="1:56">
      <c r="B398" s="60" t="str">
        <f>[2]Trucks!A395</f>
        <v>78W-5268</v>
      </c>
      <c r="C398" s="11" t="str">
        <f>[2]Trucks!B395</f>
        <v>TGS-26-4406X4BLS-LX-ALU</v>
      </c>
      <c r="D398" s="19" t="str">
        <f>IFERROR(VLOOKUP(C398&amp;"",'[2]Retail Price List'!$A$3:$B$103,2,FALSE),"Special Order")</f>
        <v>KP000666</v>
      </c>
      <c r="E398" s="18" t="str">
        <f>[2]Trucks!J395</f>
        <v>DEMO</v>
      </c>
      <c r="F398" s="12">
        <f>[2]Trucks!E395</f>
        <v>466</v>
      </c>
      <c r="G398" s="56">
        <f>[2]Trucks!K395</f>
        <v>14.6</v>
      </c>
      <c r="H398" s="46">
        <f>[2]Trucks!I395</f>
        <v>42338</v>
      </c>
      <c r="I398" s="83" t="str">
        <f t="shared" si="30"/>
        <v/>
      </c>
      <c r="J398" s="272">
        <f>IFERROR(VLOOKUP((D398&amp;C398)&amp;"",'[2]Retail Price List'!$C$4:$F$102,3,FALSE),"")</f>
        <v>1765000</v>
      </c>
      <c r="K398" s="272">
        <f>IFERROR(IF(BA398="WIP - 30 Days",VLOOKUP(D398,[3]Standard!$B$9:$E$101,4,FALSE),IF(BA398="31-120 Days",VLOOKUP(D398,[3]Standard!$B$9:$F$101,5,FALSE),IF(BA398="121-365 Days",VLOOKUP(D398,[3]Standard!$B$9:$G$101,6,FALSE),VLOOKUP(D398,[3]Standard!$B$9:$H$101,7,FALSE)))),0)</f>
        <v>1247979.7979797979</v>
      </c>
      <c r="L398" s="272">
        <f>IFERROR(IF(BA398="WIP - 30 Days",VLOOKUP(D398,[3]Standard!$B$9:$J$101,9,FALSE),IF(BA398="31-120 Days",VLOOKUP(D398,[3]Standard!$B$9:$K$100,10,FALSE),IF(BA398="121-365 Days",VLOOKUP(D398,[3]Standard!$B$9:$L$101,11,FALSE),VLOOKUP(D398,[3]Standard!$B$9:$M$101,12,FALSE)))),0)</f>
        <v>1235500</v>
      </c>
      <c r="M398" s="269">
        <f>IFERROR(VLOOKUP((D398&amp;C398)&amp;"",'[2]Retail Price List'!$C$4:$F$102,4,FALSE),"")</f>
        <v>1815000</v>
      </c>
      <c r="N398" s="269">
        <f>IFERROR(IF(BA398="WIP - 30 Days",VLOOKUP(D398,[3]Extended!$B$9:$E$101,4,FALSE),IF(BA398="31-120 Days",VLOOKUP(D398,[3]Extended!$B$9:$F$101,5,FALSE),IF(BA398="121-365 Days",VLOOKUP(D398,[3]Extended!$B$9:$G$101,6,FALSE),VLOOKUP(D398,[3]Extended!$B$9:$H$101,7,FALSE)))),0)</f>
        <v>1283333.3333333333</v>
      </c>
      <c r="O398" s="269">
        <f>IFERROR(IF(BA398="WIP - 30 Days",VLOOKUP(D398,[3]Extended!$B$9:$J$101,9,FALSE),IF(BA398="31-120 Days",VLOOKUP(D398,[3]Extended!$B$9:$K$101,10,FALSE),IF(BA398="121-365 Days",VLOOKUP(D398,[3]Extended!$B$9:$L$101,11,FALSE),VLOOKUP(D398,[3]Extended!$B$9:$M$101,12,FALSE)))),0)</f>
        <v>1270500</v>
      </c>
      <c r="P398" s="116">
        <f t="shared" si="31"/>
        <v>0.3</v>
      </c>
      <c r="Q398" s="110" t="e">
        <f>O398-#REF!</f>
        <v>#REF!</v>
      </c>
      <c r="W398" s="311"/>
      <c r="X398" s="311"/>
      <c r="Y398" s="311"/>
      <c r="Z398" s="311"/>
      <c r="AA398" s="311"/>
      <c r="AB398" s="311"/>
      <c r="AC398" s="311"/>
      <c r="AT398" s="88" t="str">
        <f t="shared" si="32"/>
        <v>KP00066614,6</v>
      </c>
      <c r="AU398" s="89" t="str">
        <f t="shared" si="33"/>
        <v>11-2015</v>
      </c>
      <c r="BA398" s="92" t="str">
        <f t="shared" si="34"/>
        <v>&gt;365 Days</v>
      </c>
    </row>
    <row r="399" spans="1:56">
      <c r="B399" s="60" t="str">
        <f>[2]Trucks!A396</f>
        <v>78W-5430</v>
      </c>
      <c r="C399" s="11" t="str">
        <f>[2]Trucks!B396</f>
        <v>TGS-26-4406X4BLS-LX-ALU</v>
      </c>
      <c r="D399" s="19" t="str">
        <f>IFERROR(VLOOKUP(C399&amp;"",'[2]Retail Price List'!$A$3:$B$103,2,FALSE),"Special Order")</f>
        <v>KP000666</v>
      </c>
      <c r="E399" s="18" t="str">
        <f>[2]Trucks!J396</f>
        <v>DEMO</v>
      </c>
      <c r="F399" s="12">
        <f>[2]Trucks!E396</f>
        <v>298</v>
      </c>
      <c r="G399" s="56">
        <f>[2]Trucks!K396</f>
        <v>15.2</v>
      </c>
      <c r="H399" s="46">
        <f>[2]Trucks!I396</f>
        <v>42384</v>
      </c>
      <c r="I399" s="83" t="str">
        <f t="shared" si="30"/>
        <v>2016Q1</v>
      </c>
      <c r="J399" s="272">
        <f>IFERROR(VLOOKUP((D399&amp;C399)&amp;"",'[2]Retail Price List'!$C$4:$F$102,3,FALSE),"")</f>
        <v>1765000</v>
      </c>
      <c r="K399" s="272">
        <f>IFERROR(IF(BA399="WIP - 30 Days",VLOOKUP(D399,[3]Standard!$B$9:$E$101,4,FALSE),IF(BA399="31-120 Days",VLOOKUP(D399,[3]Standard!$B$9:$F$101,5,FALSE),IF(BA399="121-365 Days",VLOOKUP(D399,[3]Standard!$B$9:$G$101,6,FALSE),VLOOKUP(D399,[3]Standard!$B$9:$H$101,7,FALSE)))),0)</f>
        <v>1308924</v>
      </c>
      <c r="L399" s="272">
        <f>IFERROR(IF(BA399="WIP - 30 Days",VLOOKUP(D399,[3]Standard!$B$9:$J$101,9,FALSE),IF(BA399="31-120 Days",VLOOKUP(D399,[3]Standard!$B$9:$K$100,10,FALSE),IF(BA399="121-365 Days",VLOOKUP(D399,[3]Standard!$B$9:$L$101,11,FALSE),VLOOKUP(D399,[3]Standard!$B$9:$M$101,12,FALSE)))),0)</f>
        <v>1270800</v>
      </c>
      <c r="M399" s="269">
        <f>IFERROR(VLOOKUP((D399&amp;C399)&amp;"",'[2]Retail Price List'!$C$4:$F$102,4,FALSE),"")</f>
        <v>1815000</v>
      </c>
      <c r="N399" s="269">
        <f>IFERROR(IF(BA399="WIP - 30 Days",VLOOKUP(D399,[3]Extended!$B$9:$E$101,4,FALSE),IF(BA399="31-120 Days",VLOOKUP(D399,[3]Extended!$B$9:$F$101,5,FALSE),IF(BA399="121-365 Days",VLOOKUP(D399,[3]Extended!$B$9:$G$101,6,FALSE),VLOOKUP(D399,[3]Extended!$B$9:$H$101,7,FALSE)))),0)</f>
        <v>1346004</v>
      </c>
      <c r="O399" s="269">
        <f>IFERROR(IF(BA399="WIP - 30 Days",VLOOKUP(D399,[3]Extended!$B$9:$J$101,9,FALSE),IF(BA399="31-120 Days",VLOOKUP(D399,[3]Extended!$B$9:$K$101,10,FALSE),IF(BA399="121-365 Days",VLOOKUP(D399,[3]Extended!$B$9:$L$101,11,FALSE),VLOOKUP(D399,[3]Extended!$B$9:$M$101,12,FALSE)))),0)</f>
        <v>1306800</v>
      </c>
      <c r="P399" s="116">
        <f t="shared" si="31"/>
        <v>0.28000000000000003</v>
      </c>
      <c r="Q399" s="110" t="e">
        <f>O399-#REF!</f>
        <v>#REF!</v>
      </c>
      <c r="W399" s="311"/>
      <c r="X399" s="311"/>
      <c r="Y399" s="311"/>
      <c r="Z399" s="311"/>
      <c r="AA399" s="311"/>
      <c r="AB399" s="311"/>
      <c r="AC399" s="311"/>
      <c r="AT399" s="88" t="str">
        <f t="shared" si="32"/>
        <v>KP0006662016Q115,2</v>
      </c>
      <c r="AU399" s="89" t="str">
        <f t="shared" si="33"/>
        <v>01-2016</v>
      </c>
      <c r="BA399" s="92" t="str">
        <f t="shared" si="34"/>
        <v>121-365 Days</v>
      </c>
    </row>
    <row r="400" spans="1:56">
      <c r="B400" s="60" t="str">
        <f>[2]Trucks!A397</f>
        <v>78W-5736</v>
      </c>
      <c r="C400" s="11" t="str">
        <f>[2]Trucks!B397</f>
        <v>TGS-26-4406X4BLS-LX-ALU</v>
      </c>
      <c r="D400" s="19" t="str">
        <f>IFERROR(VLOOKUP(C400&amp;"",'[2]Retail Price List'!$A$3:$B$103,2,FALSE),"Special Order")</f>
        <v>KP000666</v>
      </c>
      <c r="E400" s="18" t="str">
        <f>[2]Trucks!J397</f>
        <v>UNSOLD</v>
      </c>
      <c r="F400" s="12">
        <f>[2]Trucks!E397</f>
        <v>66</v>
      </c>
      <c r="G400" s="56">
        <f>[2]Trucks!K397</f>
        <v>16</v>
      </c>
      <c r="H400" s="46">
        <f>[2]Trucks!I397</f>
        <v>42712</v>
      </c>
      <c r="I400" s="83" t="str">
        <f t="shared" si="30"/>
        <v>2016Q4</v>
      </c>
      <c r="J400" s="272">
        <f>IFERROR(VLOOKUP((D400&amp;C400)&amp;"",'[2]Retail Price List'!$C$4:$F$102,3,FALSE),"")</f>
        <v>1765000</v>
      </c>
      <c r="K400" s="272">
        <f>IFERROR(IF(BA400="WIP - 30 Days",VLOOKUP(D400,[3]Standard!$B$9:$E$101,4,FALSE),IF(BA400="31-120 Days",VLOOKUP(D400,[3]Standard!$B$9:$F$101,5,FALSE),IF(BA400="121-365 Days",VLOOKUP(D400,[3]Standard!$B$9:$G$101,6,FALSE),VLOOKUP(D400,[3]Standard!$B$9:$H$101,7,FALSE)))),0)</f>
        <v>1327103.5</v>
      </c>
      <c r="L400" s="272">
        <f>IFERROR(IF(BA400="WIP - 30 Days",VLOOKUP(D400,[3]Standard!$B$9:$J$101,9,FALSE),IF(BA400="31-120 Days",VLOOKUP(D400,[3]Standard!$B$9:$K$100,10,FALSE),IF(BA400="121-365 Days",VLOOKUP(D400,[3]Standard!$B$9:$L$101,11,FALSE),VLOOKUP(D400,[3]Standard!$B$9:$M$101,12,FALSE)))),0)</f>
        <v>1288450</v>
      </c>
      <c r="M400" s="269">
        <f>IFERROR(VLOOKUP((D400&amp;C400)&amp;"",'[2]Retail Price List'!$C$4:$F$102,4,FALSE),"")</f>
        <v>1815000</v>
      </c>
      <c r="N400" s="269">
        <f>IFERROR(IF(BA400="WIP - 30 Days",VLOOKUP(D400,[3]Extended!$B$9:$E$101,4,FALSE),IF(BA400="31-120 Days",VLOOKUP(D400,[3]Extended!$B$9:$F$101,5,FALSE),IF(BA400="121-365 Days",VLOOKUP(D400,[3]Extended!$B$9:$G$101,6,FALSE),VLOOKUP(D400,[3]Extended!$B$9:$H$101,7,FALSE)))),0)</f>
        <v>1364698.5</v>
      </c>
      <c r="O400" s="269">
        <f>IFERROR(IF(BA400="WIP - 30 Days",VLOOKUP(D400,[3]Extended!$B$9:$J$101,9,FALSE),IF(BA400="31-120 Days",VLOOKUP(D400,[3]Extended!$B$9:$K$101,10,FALSE),IF(BA400="121-365 Days",VLOOKUP(D400,[3]Extended!$B$9:$L$101,11,FALSE),VLOOKUP(D400,[3]Extended!$B$9:$M$101,12,FALSE)))),0)</f>
        <v>1324950</v>
      </c>
      <c r="P400" s="116">
        <f t="shared" si="31"/>
        <v>0.27</v>
      </c>
      <c r="Q400" s="110" t="e">
        <f>O400-#REF!</f>
        <v>#REF!</v>
      </c>
      <c r="W400" s="311"/>
      <c r="X400" s="311"/>
      <c r="Y400" s="311"/>
      <c r="Z400" s="311"/>
      <c r="AA400" s="311"/>
      <c r="AB400" s="311"/>
      <c r="AC400" s="311"/>
      <c r="AT400" s="88" t="str">
        <f t="shared" si="32"/>
        <v>KP0006662016Q416</v>
      </c>
      <c r="AU400" s="89" t="str">
        <f t="shared" si="33"/>
        <v>12-2016</v>
      </c>
      <c r="BA400" s="92" t="str">
        <f t="shared" si="34"/>
        <v>31-120 Days</v>
      </c>
    </row>
    <row r="401" spans="2:53">
      <c r="B401" s="60" t="str">
        <f>[2]Trucks!A398</f>
        <v>78W-5737</v>
      </c>
      <c r="C401" s="11" t="str">
        <f>[2]Trucks!B398</f>
        <v>TGS-26-4406X4BLS-LX-ALU</v>
      </c>
      <c r="D401" s="19" t="str">
        <f>IFERROR(VLOOKUP(C401&amp;"",'[2]Retail Price List'!$A$3:$B$103,2,FALSE),"Special Order")</f>
        <v>KP000666</v>
      </c>
      <c r="E401" s="18" t="str">
        <f>[2]Trucks!J398</f>
        <v>UNSOLD</v>
      </c>
      <c r="F401" s="12">
        <f>[2]Trucks!E398</f>
        <v>66</v>
      </c>
      <c r="G401" s="56">
        <f>[2]Trucks!K398</f>
        <v>16</v>
      </c>
      <c r="H401" s="46">
        <f>[2]Trucks!I398</f>
        <v>42712</v>
      </c>
      <c r="I401" s="83" t="str">
        <f t="shared" si="30"/>
        <v>2016Q4</v>
      </c>
      <c r="J401" s="272">
        <f>IFERROR(VLOOKUP((D401&amp;C401)&amp;"",'[2]Retail Price List'!$C$4:$F$102,3,FALSE),"")</f>
        <v>1765000</v>
      </c>
      <c r="K401" s="272">
        <f>IFERROR(IF(BA401="WIP - 30 Days",VLOOKUP(D401,[3]Standard!$B$9:$E$101,4,FALSE),IF(BA401="31-120 Days",VLOOKUP(D401,[3]Standard!$B$9:$F$101,5,FALSE),IF(BA401="121-365 Days",VLOOKUP(D401,[3]Standard!$B$9:$G$101,6,FALSE),VLOOKUP(D401,[3]Standard!$B$9:$H$101,7,FALSE)))),0)</f>
        <v>1327103.5</v>
      </c>
      <c r="L401" s="272">
        <f>IFERROR(IF(BA401="WIP - 30 Days",VLOOKUP(D401,[3]Standard!$B$9:$J$101,9,FALSE),IF(BA401="31-120 Days",VLOOKUP(D401,[3]Standard!$B$9:$K$100,10,FALSE),IF(BA401="121-365 Days",VLOOKUP(D401,[3]Standard!$B$9:$L$101,11,FALSE),VLOOKUP(D401,[3]Standard!$B$9:$M$101,12,FALSE)))),0)</f>
        <v>1288450</v>
      </c>
      <c r="M401" s="269">
        <f>IFERROR(VLOOKUP((D401&amp;C401)&amp;"",'[2]Retail Price List'!$C$4:$F$102,4,FALSE),"")</f>
        <v>1815000</v>
      </c>
      <c r="N401" s="269">
        <f>IFERROR(IF(BA401="WIP - 30 Days",VLOOKUP(D401,[3]Extended!$B$9:$E$101,4,FALSE),IF(BA401="31-120 Days",VLOOKUP(D401,[3]Extended!$B$9:$F$101,5,FALSE),IF(BA401="121-365 Days",VLOOKUP(D401,[3]Extended!$B$9:$G$101,6,FALSE),VLOOKUP(D401,[3]Extended!$B$9:$H$101,7,FALSE)))),0)</f>
        <v>1364698.5</v>
      </c>
      <c r="O401" s="269">
        <f>IFERROR(IF(BA401="WIP - 30 Days",VLOOKUP(D401,[3]Extended!$B$9:$J$101,9,FALSE),IF(BA401="31-120 Days",VLOOKUP(D401,[3]Extended!$B$9:$K$101,10,FALSE),IF(BA401="121-365 Days",VLOOKUP(D401,[3]Extended!$B$9:$L$101,11,FALSE),VLOOKUP(D401,[3]Extended!$B$9:$M$101,12,FALSE)))),0)</f>
        <v>1324950</v>
      </c>
      <c r="P401" s="116">
        <f t="shared" si="31"/>
        <v>0.27</v>
      </c>
      <c r="Q401" s="110" t="e">
        <f>O401-#REF!</f>
        <v>#REF!</v>
      </c>
      <c r="W401" s="311"/>
      <c r="X401" s="311"/>
      <c r="Y401" s="311"/>
      <c r="Z401" s="311"/>
      <c r="AA401" s="311"/>
      <c r="AB401" s="311"/>
      <c r="AC401" s="311"/>
      <c r="AT401" s="88" t="str">
        <f t="shared" si="32"/>
        <v>KP0006662016Q416</v>
      </c>
      <c r="AU401" s="89" t="str">
        <f t="shared" si="33"/>
        <v>12-2016</v>
      </c>
      <c r="BA401" s="92" t="str">
        <f t="shared" si="34"/>
        <v>31-120 Days</v>
      </c>
    </row>
    <row r="402" spans="2:53">
      <c r="B402" s="60" t="str">
        <f>[2]Trucks!A399</f>
        <v>TBAKP666</v>
      </c>
      <c r="C402" s="11" t="str">
        <f>[2]Trucks!B399</f>
        <v>TGS-26-4406X4BLS-LX-ALU</v>
      </c>
      <c r="D402" s="19" t="str">
        <f>IFERROR(VLOOKUP(C402&amp;"",'[2]Retail Price List'!$A$3:$B$103,2,FALSE),"Special Order")</f>
        <v>KP000666</v>
      </c>
      <c r="E402" s="18" t="str">
        <f>[2]Trucks!J399</f>
        <v>CKD</v>
      </c>
      <c r="F402" s="12" t="str">
        <f>[2]Trucks!E399</f>
        <v>2018-02-15</v>
      </c>
      <c r="G402" s="56">
        <f>[2]Trucks!K399</f>
        <v>14.7</v>
      </c>
      <c r="H402" s="46">
        <f>[2]Trucks!I399</f>
        <v>42921</v>
      </c>
      <c r="I402" s="83" t="str">
        <f t="shared" si="30"/>
        <v>2017Q3</v>
      </c>
      <c r="J402" s="272">
        <f>IFERROR(VLOOKUP((D402&amp;C402)&amp;"",'[2]Retail Price List'!$C$4:$F$102,3,FALSE),"")</f>
        <v>1765000</v>
      </c>
      <c r="K402" s="272">
        <f>IFERROR(IF(BA402="WIP - 30 Days",VLOOKUP(D402,[3]Standard!$B$9:$E$101,4,FALSE),IF(BA402="31-120 Days",VLOOKUP(D402,[3]Standard!$B$9:$F$101,5,FALSE),IF(BA402="121-365 Days",VLOOKUP(D402,[3]Standard!$B$9:$G$101,6,FALSE),VLOOKUP(D402,[3]Standard!$B$9:$H$101,7,FALSE)))),0)</f>
        <v>1363462.5</v>
      </c>
      <c r="L402" s="272">
        <f>IFERROR(IF(BA402="WIP - 30 Days",VLOOKUP(D402,[3]Standard!$B$9:$J$101,9,FALSE),IF(BA402="31-120 Days",VLOOKUP(D402,[3]Standard!$B$9:$K$100,10,FALSE),IF(BA402="121-365 Days",VLOOKUP(D402,[3]Standard!$B$9:$L$101,11,FALSE),VLOOKUP(D402,[3]Standard!$B$9:$M$101,12,FALSE)))),0)</f>
        <v>1323750</v>
      </c>
      <c r="M402" s="269">
        <f>IFERROR(VLOOKUP((D402&amp;C402)&amp;"",'[2]Retail Price List'!$C$4:$F$102,4,FALSE),"")</f>
        <v>1815000</v>
      </c>
      <c r="N402" s="269">
        <f>IFERROR(IF(BA402="WIP - 30 Days",VLOOKUP(D402,[3]Extended!$B$9:$E$101,4,FALSE),IF(BA402="31-120 Days",VLOOKUP(D402,[3]Extended!$B$9:$F$101,5,FALSE),IF(BA402="121-365 Days",VLOOKUP(D402,[3]Extended!$B$9:$G$101,6,FALSE),VLOOKUP(D402,[3]Extended!$B$9:$H$101,7,FALSE)))),0)</f>
        <v>1383393</v>
      </c>
      <c r="O402" s="269">
        <f>IFERROR(IF(BA402="WIP - 30 Days",VLOOKUP(D402,[3]Extended!$B$9:$J$101,9,FALSE),IF(BA402="31-120 Days",VLOOKUP(D402,[3]Extended!$B$9:$K$101,10,FALSE),IF(BA402="121-365 Days",VLOOKUP(D402,[3]Extended!$B$9:$L$101,11,FALSE),VLOOKUP(D402,[3]Extended!$B$9:$M$101,12,FALSE)))),0)</f>
        <v>1343100</v>
      </c>
      <c r="P402" s="116">
        <f t="shared" si="31"/>
        <v>0.26</v>
      </c>
      <c r="Q402" s="110" t="e">
        <f>O402-#REF!</f>
        <v>#REF!</v>
      </c>
      <c r="W402" s="311"/>
      <c r="X402" s="311"/>
      <c r="Y402" s="311"/>
      <c r="Z402" s="311"/>
      <c r="AA402" s="311"/>
      <c r="AB402" s="311"/>
      <c r="AC402" s="311"/>
      <c r="AT402" s="88" t="str">
        <f t="shared" si="32"/>
        <v>KP0006662017Q314,7</v>
      </c>
      <c r="AU402" s="89" t="str">
        <f t="shared" si="33"/>
        <v>07-2017</v>
      </c>
      <c r="BA402" s="92" t="str">
        <f t="shared" si="34"/>
        <v>WIP - 30 Days</v>
      </c>
    </row>
    <row r="403" spans="2:53">
      <c r="B403" s="60">
        <f>[2]Trucks!A400</f>
        <v>46464</v>
      </c>
      <c r="C403" s="11" t="str">
        <f>[2]Trucks!B400</f>
        <v>TGS-26-4406X4BLS-LX-ALU-EL</v>
      </c>
      <c r="D403" s="19" t="str">
        <f>IFERROR(VLOOKUP(C403&amp;"",'[2]Retail Price List'!$A$3:$B$103,2,FALSE),"Special Order")</f>
        <v>KP000707</v>
      </c>
      <c r="E403" s="18" t="str">
        <f>[2]Trucks!J400</f>
        <v>CKD</v>
      </c>
      <c r="F403" s="12" t="str">
        <f>[2]Trucks!E400</f>
        <v>2017-09-15</v>
      </c>
      <c r="G403" s="56">
        <f>[2]Trucks!K400</f>
        <v>15.4</v>
      </c>
      <c r="H403" s="46">
        <f>[2]Trucks!I400</f>
        <v>42804</v>
      </c>
      <c r="I403" s="83" t="str">
        <f t="shared" si="30"/>
        <v>2017Q1</v>
      </c>
      <c r="J403" s="272">
        <f>IFERROR(VLOOKUP((D403&amp;C403)&amp;"",'[2]Retail Price List'!$C$4:$F$102,3,FALSE),"")</f>
        <v>1785000</v>
      </c>
      <c r="K403" s="272">
        <f>IFERROR(IF(BA403="WIP - 30 Days",VLOOKUP(D403,[3]Standard!$B$9:$E$101,4,FALSE),IF(BA403="31-120 Days",VLOOKUP(D403,[3]Standard!$B$9:$F$101,5,FALSE),IF(BA403="121-365 Days",VLOOKUP(D403,[3]Standard!$B$9:$G$101,6,FALSE),VLOOKUP(D403,[3]Standard!$B$9:$H$101,7,FALSE)))),0)</f>
        <v>1397298</v>
      </c>
      <c r="L403" s="272">
        <f>IFERROR(IF(BA403="WIP - 30 Days",VLOOKUP(D403,[3]Standard!$B$9:$J$101,9,FALSE),IF(BA403="31-120 Days",VLOOKUP(D403,[3]Standard!$B$9:$K$100,10,FALSE),IF(BA403="121-365 Days",VLOOKUP(D403,[3]Standard!$B$9:$L$101,11,FALSE),VLOOKUP(D403,[3]Standard!$B$9:$M$101,12,FALSE)))),0)</f>
        <v>1356600</v>
      </c>
      <c r="M403" s="269">
        <f>IFERROR(VLOOKUP((D403&amp;C403)&amp;"",'[2]Retail Price List'!$C$4:$F$102,4,FALSE),"")</f>
        <v>1835000</v>
      </c>
      <c r="N403" s="269">
        <f>IFERROR(IF(BA403="WIP - 30 Days",VLOOKUP(D403,[3]Extended!$B$9:$E$101,4,FALSE),IF(BA403="31-120 Days",VLOOKUP(D403,[3]Extended!$B$9:$F$101,5,FALSE),IF(BA403="121-365 Days",VLOOKUP(D403,[3]Extended!$B$9:$G$101,6,FALSE),VLOOKUP(D403,[3]Extended!$B$9:$H$101,7,FALSE)))),0)</f>
        <v>1474239</v>
      </c>
      <c r="O403" s="269">
        <f>IFERROR(IF(BA403="WIP - 30 Days",VLOOKUP(D403,[3]Extended!$B$9:$J$101,9,FALSE),IF(BA403="31-120 Days",VLOOKUP(D403,[3]Extended!$B$9:$K$101,10,FALSE),IF(BA403="121-365 Days",VLOOKUP(D403,[3]Extended!$B$9:$L$101,11,FALSE),VLOOKUP(D403,[3]Extended!$B$9:$M$101,12,FALSE)))),0)</f>
        <v>1431300</v>
      </c>
      <c r="P403" s="116">
        <f t="shared" si="31"/>
        <v>0.22</v>
      </c>
      <c r="Q403" s="110" t="e">
        <f>O403-#REF!</f>
        <v>#REF!</v>
      </c>
      <c r="W403" s="311"/>
      <c r="X403" s="311"/>
      <c r="Y403" s="311"/>
      <c r="Z403" s="311"/>
      <c r="AA403" s="311"/>
      <c r="AB403" s="311"/>
      <c r="AC403" s="311"/>
      <c r="AT403" s="88" t="str">
        <f t="shared" si="32"/>
        <v>KP0007072017Q115,4</v>
      </c>
      <c r="AU403" s="89" t="str">
        <f t="shared" si="33"/>
        <v>03-2017</v>
      </c>
      <c r="BA403" s="92" t="str">
        <f t="shared" si="34"/>
        <v>WIP - 30 Days</v>
      </c>
    </row>
    <row r="404" spans="2:53">
      <c r="B404" s="60">
        <f>[2]Trucks!A401</f>
        <v>46465</v>
      </c>
      <c r="C404" s="11" t="str">
        <f>[2]Trucks!B401</f>
        <v>TGS-26-4406X4BLS-LX-ALU-EL</v>
      </c>
      <c r="D404" s="19" t="str">
        <f>IFERROR(VLOOKUP(C404&amp;"",'[2]Retail Price List'!$A$3:$B$103,2,FALSE),"Special Order")</f>
        <v>KP000707</v>
      </c>
      <c r="E404" s="18" t="str">
        <f>[2]Trucks!J401</f>
        <v>CKD</v>
      </c>
      <c r="F404" s="12" t="str">
        <f>[2]Trucks!E401</f>
        <v>2017-09-18</v>
      </c>
      <c r="G404" s="56">
        <f>[2]Trucks!K401</f>
        <v>15.4</v>
      </c>
      <c r="H404" s="46">
        <f>[2]Trucks!I401</f>
        <v>42804</v>
      </c>
      <c r="I404" s="83" t="str">
        <f t="shared" si="30"/>
        <v>2017Q1</v>
      </c>
      <c r="J404" s="272">
        <f>IFERROR(VLOOKUP((D404&amp;C404)&amp;"",'[2]Retail Price List'!$C$4:$F$102,3,FALSE),"")</f>
        <v>1785000</v>
      </c>
      <c r="K404" s="272">
        <f>IFERROR(IF(BA404="WIP - 30 Days",VLOOKUP(D404,[3]Standard!$B$9:$E$101,4,FALSE),IF(BA404="31-120 Days",VLOOKUP(D404,[3]Standard!$B$9:$F$101,5,FALSE),IF(BA404="121-365 Days",VLOOKUP(D404,[3]Standard!$B$9:$G$101,6,FALSE),VLOOKUP(D404,[3]Standard!$B$9:$H$101,7,FALSE)))),0)</f>
        <v>1397298</v>
      </c>
      <c r="L404" s="272">
        <f>IFERROR(IF(BA404="WIP - 30 Days",VLOOKUP(D404,[3]Standard!$B$9:$J$101,9,FALSE),IF(BA404="31-120 Days",VLOOKUP(D404,[3]Standard!$B$9:$K$100,10,FALSE),IF(BA404="121-365 Days",VLOOKUP(D404,[3]Standard!$B$9:$L$101,11,FALSE),VLOOKUP(D404,[3]Standard!$B$9:$M$101,12,FALSE)))),0)</f>
        <v>1356600</v>
      </c>
      <c r="M404" s="269">
        <f>IFERROR(VLOOKUP((D404&amp;C404)&amp;"",'[2]Retail Price List'!$C$4:$F$102,4,FALSE),"")</f>
        <v>1835000</v>
      </c>
      <c r="N404" s="269">
        <f>IFERROR(IF(BA404="WIP - 30 Days",VLOOKUP(D404,[3]Extended!$B$9:$E$101,4,FALSE),IF(BA404="31-120 Days",VLOOKUP(D404,[3]Extended!$B$9:$F$101,5,FALSE),IF(BA404="121-365 Days",VLOOKUP(D404,[3]Extended!$B$9:$G$101,6,FALSE),VLOOKUP(D404,[3]Extended!$B$9:$H$101,7,FALSE)))),0)</f>
        <v>1474239</v>
      </c>
      <c r="O404" s="269">
        <f>IFERROR(IF(BA404="WIP - 30 Days",VLOOKUP(D404,[3]Extended!$B$9:$J$101,9,FALSE),IF(BA404="31-120 Days",VLOOKUP(D404,[3]Extended!$B$9:$K$101,10,FALSE),IF(BA404="121-365 Days",VLOOKUP(D404,[3]Extended!$B$9:$L$101,11,FALSE),VLOOKUP(D404,[3]Extended!$B$9:$M$101,12,FALSE)))),0)</f>
        <v>1431300</v>
      </c>
      <c r="P404" s="116">
        <f t="shared" si="31"/>
        <v>0.22</v>
      </c>
      <c r="Q404" s="110" t="e">
        <f>O404-#REF!</f>
        <v>#REF!</v>
      </c>
      <c r="W404" s="311"/>
      <c r="X404" s="311"/>
      <c r="Y404" s="311"/>
      <c r="Z404" s="311"/>
      <c r="AA404" s="311"/>
      <c r="AB404" s="311"/>
      <c r="AC404" s="311"/>
      <c r="AT404" s="88" t="str">
        <f t="shared" si="32"/>
        <v>KP0007072017Q115,4</v>
      </c>
      <c r="AU404" s="89" t="str">
        <f t="shared" si="33"/>
        <v>03-2017</v>
      </c>
      <c r="BA404" s="92" t="str">
        <f t="shared" si="34"/>
        <v>WIP - 30 Days</v>
      </c>
    </row>
    <row r="405" spans="2:53">
      <c r="B405" s="60">
        <f>[2]Trucks!A402</f>
        <v>46466</v>
      </c>
      <c r="C405" s="11" t="str">
        <f>[2]Trucks!B402</f>
        <v>TGS-26-4406X4BLS-LX-ALU-EL</v>
      </c>
      <c r="D405" s="19" t="str">
        <f>IFERROR(VLOOKUP(C405&amp;"",'[2]Retail Price List'!$A$3:$B$103,2,FALSE),"Special Order")</f>
        <v>KP000707</v>
      </c>
      <c r="E405" s="18" t="str">
        <f>[2]Trucks!J402</f>
        <v>CKD</v>
      </c>
      <c r="F405" s="12" t="str">
        <f>[2]Trucks!E402</f>
        <v>2017-09-18</v>
      </c>
      <c r="G405" s="56">
        <f>[2]Trucks!K402</f>
        <v>15.4</v>
      </c>
      <c r="H405" s="46">
        <f>[2]Trucks!I402</f>
        <v>42804</v>
      </c>
      <c r="I405" s="83" t="str">
        <f t="shared" si="30"/>
        <v>2017Q1</v>
      </c>
      <c r="J405" s="272">
        <f>IFERROR(VLOOKUP((D405&amp;C405)&amp;"",'[2]Retail Price List'!$C$4:$F$102,3,FALSE),"")</f>
        <v>1785000</v>
      </c>
      <c r="K405" s="272">
        <f>IFERROR(IF(BA405="WIP - 30 Days",VLOOKUP(D405,[3]Standard!$B$9:$E$101,4,FALSE),IF(BA405="31-120 Days",VLOOKUP(D405,[3]Standard!$B$9:$F$101,5,FALSE),IF(BA405="121-365 Days",VLOOKUP(D405,[3]Standard!$B$9:$G$101,6,FALSE),VLOOKUP(D405,[3]Standard!$B$9:$H$101,7,FALSE)))),0)</f>
        <v>1397298</v>
      </c>
      <c r="L405" s="272">
        <f>IFERROR(IF(BA405="WIP - 30 Days",VLOOKUP(D405,[3]Standard!$B$9:$J$101,9,FALSE),IF(BA405="31-120 Days",VLOOKUP(D405,[3]Standard!$B$9:$K$100,10,FALSE),IF(BA405="121-365 Days",VLOOKUP(D405,[3]Standard!$B$9:$L$101,11,FALSE),VLOOKUP(D405,[3]Standard!$B$9:$M$101,12,FALSE)))),0)</f>
        <v>1356600</v>
      </c>
      <c r="M405" s="269">
        <f>IFERROR(VLOOKUP((D405&amp;C405)&amp;"",'[2]Retail Price List'!$C$4:$F$102,4,FALSE),"")</f>
        <v>1835000</v>
      </c>
      <c r="N405" s="269">
        <f>IFERROR(IF(BA405="WIP - 30 Days",VLOOKUP(D405,[3]Extended!$B$9:$E$101,4,FALSE),IF(BA405="31-120 Days",VLOOKUP(D405,[3]Extended!$B$9:$F$101,5,FALSE),IF(BA405="121-365 Days",VLOOKUP(D405,[3]Extended!$B$9:$G$101,6,FALSE),VLOOKUP(D405,[3]Extended!$B$9:$H$101,7,FALSE)))),0)</f>
        <v>1474239</v>
      </c>
      <c r="O405" s="269">
        <f>IFERROR(IF(BA405="WIP - 30 Days",VLOOKUP(D405,[3]Extended!$B$9:$J$101,9,FALSE),IF(BA405="31-120 Days",VLOOKUP(D405,[3]Extended!$B$9:$K$101,10,FALSE),IF(BA405="121-365 Days",VLOOKUP(D405,[3]Extended!$B$9:$L$101,11,FALSE),VLOOKUP(D405,[3]Extended!$B$9:$M$101,12,FALSE)))),0)</f>
        <v>1431300</v>
      </c>
      <c r="P405" s="116">
        <f t="shared" si="31"/>
        <v>0.22</v>
      </c>
      <c r="Q405" s="110" t="e">
        <f>O405-#REF!</f>
        <v>#REF!</v>
      </c>
      <c r="W405" s="311"/>
      <c r="X405" s="311"/>
      <c r="Y405" s="311"/>
      <c r="Z405" s="311"/>
      <c r="AA405" s="311"/>
      <c r="AB405" s="311"/>
      <c r="AC405" s="311"/>
      <c r="AT405" s="88" t="str">
        <f t="shared" si="32"/>
        <v>KP0007072017Q115,4</v>
      </c>
      <c r="AU405" s="89" t="str">
        <f t="shared" si="33"/>
        <v>03-2017</v>
      </c>
      <c r="BA405" s="92" t="str">
        <f t="shared" si="34"/>
        <v>WIP - 30 Days</v>
      </c>
    </row>
    <row r="406" spans="2:53">
      <c r="B406" s="60">
        <f>[2]Trucks!A403</f>
        <v>46467</v>
      </c>
      <c r="C406" s="11" t="str">
        <f>[2]Trucks!B403</f>
        <v>TGS-26-4406X4BLS-LX-ALU-EL</v>
      </c>
      <c r="D406" s="19" t="str">
        <f>IFERROR(VLOOKUP(C406&amp;"",'[2]Retail Price List'!$A$3:$B$103,2,FALSE),"Special Order")</f>
        <v>KP000707</v>
      </c>
      <c r="E406" s="18" t="str">
        <f>[2]Trucks!J403</f>
        <v>CKD</v>
      </c>
      <c r="F406" s="12" t="str">
        <f>[2]Trucks!E403</f>
        <v>2017-09-18</v>
      </c>
      <c r="G406" s="56">
        <f>[2]Trucks!K403</f>
        <v>15.4</v>
      </c>
      <c r="H406" s="46">
        <f>[2]Trucks!I403</f>
        <v>42804</v>
      </c>
      <c r="I406" s="83" t="str">
        <f t="shared" si="30"/>
        <v>2017Q1</v>
      </c>
      <c r="J406" s="272">
        <f>IFERROR(VLOOKUP((D406&amp;C406)&amp;"",'[2]Retail Price List'!$C$4:$F$102,3,FALSE),"")</f>
        <v>1785000</v>
      </c>
      <c r="K406" s="272">
        <f>IFERROR(IF(BA406="WIP - 30 Days",VLOOKUP(D406,[3]Standard!$B$9:$E$101,4,FALSE),IF(BA406="31-120 Days",VLOOKUP(D406,[3]Standard!$B$9:$F$101,5,FALSE),IF(BA406="121-365 Days",VLOOKUP(D406,[3]Standard!$B$9:$G$101,6,FALSE),VLOOKUP(D406,[3]Standard!$B$9:$H$101,7,FALSE)))),0)</f>
        <v>1397298</v>
      </c>
      <c r="L406" s="272">
        <f>IFERROR(IF(BA406="WIP - 30 Days",VLOOKUP(D406,[3]Standard!$B$9:$J$101,9,FALSE),IF(BA406="31-120 Days",VLOOKUP(D406,[3]Standard!$B$9:$K$100,10,FALSE),IF(BA406="121-365 Days",VLOOKUP(D406,[3]Standard!$B$9:$L$101,11,FALSE),VLOOKUP(D406,[3]Standard!$B$9:$M$101,12,FALSE)))),0)</f>
        <v>1356600</v>
      </c>
      <c r="M406" s="269">
        <f>IFERROR(VLOOKUP((D406&amp;C406)&amp;"",'[2]Retail Price List'!$C$4:$F$102,4,FALSE),"")</f>
        <v>1835000</v>
      </c>
      <c r="N406" s="269">
        <f>IFERROR(IF(BA406="WIP - 30 Days",VLOOKUP(D406,[3]Extended!$B$9:$E$101,4,FALSE),IF(BA406="31-120 Days",VLOOKUP(D406,[3]Extended!$B$9:$F$101,5,FALSE),IF(BA406="121-365 Days",VLOOKUP(D406,[3]Extended!$B$9:$G$101,6,FALSE),VLOOKUP(D406,[3]Extended!$B$9:$H$101,7,FALSE)))),0)</f>
        <v>1474239</v>
      </c>
      <c r="O406" s="269">
        <f>IFERROR(IF(BA406="WIP - 30 Days",VLOOKUP(D406,[3]Extended!$B$9:$J$101,9,FALSE),IF(BA406="31-120 Days",VLOOKUP(D406,[3]Extended!$B$9:$K$101,10,FALSE),IF(BA406="121-365 Days",VLOOKUP(D406,[3]Extended!$B$9:$L$101,11,FALSE),VLOOKUP(D406,[3]Extended!$B$9:$M$101,12,FALSE)))),0)</f>
        <v>1431300</v>
      </c>
      <c r="P406" s="116">
        <f t="shared" si="31"/>
        <v>0.22</v>
      </c>
      <c r="Q406" s="110" t="e">
        <f>O406-#REF!</f>
        <v>#REF!</v>
      </c>
      <c r="W406" s="311"/>
      <c r="X406" s="311"/>
      <c r="Y406" s="311"/>
      <c r="Z406" s="311"/>
      <c r="AA406" s="311"/>
      <c r="AB406" s="311"/>
      <c r="AC406" s="311"/>
      <c r="AT406" s="88" t="str">
        <f t="shared" si="32"/>
        <v>KP0007072017Q115,4</v>
      </c>
      <c r="AU406" s="89" t="str">
        <f t="shared" si="33"/>
        <v>03-2017</v>
      </c>
      <c r="BA406" s="92" t="str">
        <f t="shared" si="34"/>
        <v>WIP - 30 Days</v>
      </c>
    </row>
    <row r="407" spans="2:53">
      <c r="B407" s="60">
        <f>[2]Trucks!A404</f>
        <v>46468</v>
      </c>
      <c r="C407" s="11" t="str">
        <f>[2]Trucks!B404</f>
        <v>TGS-26-4406X4BLS-LX-ALU-EL</v>
      </c>
      <c r="D407" s="19" t="str">
        <f>IFERROR(VLOOKUP(C407&amp;"",'[2]Retail Price List'!$A$3:$B$103,2,FALSE),"Special Order")</f>
        <v>KP000707</v>
      </c>
      <c r="E407" s="18" t="str">
        <f>[2]Trucks!J404</f>
        <v>CKD</v>
      </c>
      <c r="F407" s="12" t="str">
        <f>[2]Trucks!E404</f>
        <v>2017-09-18</v>
      </c>
      <c r="G407" s="56">
        <f>[2]Trucks!K404</f>
        <v>15.4</v>
      </c>
      <c r="H407" s="46">
        <f>[2]Trucks!I404</f>
        <v>42804</v>
      </c>
      <c r="I407" s="83" t="str">
        <f t="shared" si="30"/>
        <v>2017Q1</v>
      </c>
      <c r="J407" s="272">
        <f>IFERROR(VLOOKUP((D407&amp;C407)&amp;"",'[2]Retail Price List'!$C$4:$F$102,3,FALSE),"")</f>
        <v>1785000</v>
      </c>
      <c r="K407" s="272">
        <f>IFERROR(IF(BA407="WIP - 30 Days",VLOOKUP(D407,[3]Standard!$B$9:$E$101,4,FALSE),IF(BA407="31-120 Days",VLOOKUP(D407,[3]Standard!$B$9:$F$101,5,FALSE),IF(BA407="121-365 Days",VLOOKUP(D407,[3]Standard!$B$9:$G$101,6,FALSE),VLOOKUP(D407,[3]Standard!$B$9:$H$101,7,FALSE)))),0)</f>
        <v>1397298</v>
      </c>
      <c r="L407" s="272">
        <f>IFERROR(IF(BA407="WIP - 30 Days",VLOOKUP(D407,[3]Standard!$B$9:$J$101,9,FALSE),IF(BA407="31-120 Days",VLOOKUP(D407,[3]Standard!$B$9:$K$100,10,FALSE),IF(BA407="121-365 Days",VLOOKUP(D407,[3]Standard!$B$9:$L$101,11,FALSE),VLOOKUP(D407,[3]Standard!$B$9:$M$101,12,FALSE)))),0)</f>
        <v>1356600</v>
      </c>
      <c r="M407" s="269">
        <f>IFERROR(VLOOKUP((D407&amp;C407)&amp;"",'[2]Retail Price List'!$C$4:$F$102,4,FALSE),"")</f>
        <v>1835000</v>
      </c>
      <c r="N407" s="269">
        <f>IFERROR(IF(BA407="WIP - 30 Days",VLOOKUP(D407,[3]Extended!$B$9:$E$101,4,FALSE),IF(BA407="31-120 Days",VLOOKUP(D407,[3]Extended!$B$9:$F$101,5,FALSE),IF(BA407="121-365 Days",VLOOKUP(D407,[3]Extended!$B$9:$G$101,6,FALSE),VLOOKUP(D407,[3]Extended!$B$9:$H$101,7,FALSE)))),0)</f>
        <v>1474239</v>
      </c>
      <c r="O407" s="269">
        <f>IFERROR(IF(BA407="WIP - 30 Days",VLOOKUP(D407,[3]Extended!$B$9:$J$101,9,FALSE),IF(BA407="31-120 Days",VLOOKUP(D407,[3]Extended!$B$9:$K$101,10,FALSE),IF(BA407="121-365 Days",VLOOKUP(D407,[3]Extended!$B$9:$L$101,11,FALSE),VLOOKUP(D407,[3]Extended!$B$9:$M$101,12,FALSE)))),0)</f>
        <v>1431300</v>
      </c>
      <c r="P407" s="116">
        <f t="shared" si="31"/>
        <v>0.22</v>
      </c>
      <c r="Q407" s="110" t="e">
        <f>O407-#REF!</f>
        <v>#REF!</v>
      </c>
      <c r="W407" s="311"/>
      <c r="X407" s="311"/>
      <c r="Y407" s="311"/>
      <c r="Z407" s="311"/>
      <c r="AA407" s="311"/>
      <c r="AB407" s="311"/>
      <c r="AC407" s="311"/>
      <c r="AT407" s="88" t="str">
        <f t="shared" si="32"/>
        <v>KP0007072017Q115,4</v>
      </c>
      <c r="AU407" s="89" t="str">
        <f t="shared" si="33"/>
        <v>03-2017</v>
      </c>
      <c r="BA407" s="92" t="str">
        <f t="shared" si="34"/>
        <v>WIP - 30 Days</v>
      </c>
    </row>
    <row r="408" spans="2:53">
      <c r="B408" s="60">
        <f>[2]Trucks!A405</f>
        <v>46469</v>
      </c>
      <c r="C408" s="11" t="str">
        <f>[2]Trucks!B405</f>
        <v>TGS-26-4406X4BLS-LX-ALU-EL</v>
      </c>
      <c r="D408" s="19" t="str">
        <f>IFERROR(VLOOKUP(C408&amp;"",'[2]Retail Price List'!$A$3:$B$103,2,FALSE),"Special Order")</f>
        <v>KP000707</v>
      </c>
      <c r="E408" s="18" t="str">
        <f>[2]Trucks!J405</f>
        <v>CKD</v>
      </c>
      <c r="F408" s="12" t="str">
        <f>[2]Trucks!E405</f>
        <v>2017-09-18</v>
      </c>
      <c r="G408" s="56">
        <f>[2]Trucks!K405</f>
        <v>15.4</v>
      </c>
      <c r="H408" s="46">
        <f>[2]Trucks!I405</f>
        <v>42804</v>
      </c>
      <c r="I408" s="83" t="str">
        <f t="shared" si="30"/>
        <v>2017Q1</v>
      </c>
      <c r="J408" s="272">
        <f>IFERROR(VLOOKUP((D408&amp;C408)&amp;"",'[2]Retail Price List'!$C$4:$F$102,3,FALSE),"")</f>
        <v>1785000</v>
      </c>
      <c r="K408" s="272">
        <f>IFERROR(IF(BA408="WIP - 30 Days",VLOOKUP(D408,[3]Standard!$B$9:$E$101,4,FALSE),IF(BA408="31-120 Days",VLOOKUP(D408,[3]Standard!$B$9:$F$101,5,FALSE),IF(BA408="121-365 Days",VLOOKUP(D408,[3]Standard!$B$9:$G$101,6,FALSE),VLOOKUP(D408,[3]Standard!$B$9:$H$101,7,FALSE)))),0)</f>
        <v>1397298</v>
      </c>
      <c r="L408" s="272">
        <f>IFERROR(IF(BA408="WIP - 30 Days",VLOOKUP(D408,[3]Standard!$B$9:$J$101,9,FALSE),IF(BA408="31-120 Days",VLOOKUP(D408,[3]Standard!$B$9:$K$100,10,FALSE),IF(BA408="121-365 Days",VLOOKUP(D408,[3]Standard!$B$9:$L$101,11,FALSE),VLOOKUP(D408,[3]Standard!$B$9:$M$101,12,FALSE)))),0)</f>
        <v>1356600</v>
      </c>
      <c r="M408" s="269">
        <f>IFERROR(VLOOKUP((D408&amp;C408)&amp;"",'[2]Retail Price List'!$C$4:$F$102,4,FALSE),"")</f>
        <v>1835000</v>
      </c>
      <c r="N408" s="269">
        <f>IFERROR(IF(BA408="WIP - 30 Days",VLOOKUP(D408,[3]Extended!$B$9:$E$101,4,FALSE),IF(BA408="31-120 Days",VLOOKUP(D408,[3]Extended!$B$9:$F$101,5,FALSE),IF(BA408="121-365 Days",VLOOKUP(D408,[3]Extended!$B$9:$G$101,6,FALSE),VLOOKUP(D408,[3]Extended!$B$9:$H$101,7,FALSE)))),0)</f>
        <v>1474239</v>
      </c>
      <c r="O408" s="269">
        <f>IFERROR(IF(BA408="WIP - 30 Days",VLOOKUP(D408,[3]Extended!$B$9:$J$101,9,FALSE),IF(BA408="31-120 Days",VLOOKUP(D408,[3]Extended!$B$9:$K$101,10,FALSE),IF(BA408="121-365 Days",VLOOKUP(D408,[3]Extended!$B$9:$L$101,11,FALSE),VLOOKUP(D408,[3]Extended!$B$9:$M$101,12,FALSE)))),0)</f>
        <v>1431300</v>
      </c>
      <c r="P408" s="116">
        <f t="shared" si="31"/>
        <v>0.22</v>
      </c>
      <c r="Q408" s="110" t="e">
        <f>O408-#REF!</f>
        <v>#REF!</v>
      </c>
      <c r="W408" s="311"/>
      <c r="X408" s="311"/>
      <c r="Y408" s="311"/>
      <c r="Z408" s="311"/>
      <c r="AA408" s="311"/>
      <c r="AB408" s="311"/>
      <c r="AC408" s="311"/>
      <c r="AT408" s="88" t="str">
        <f t="shared" si="32"/>
        <v>KP0007072017Q115,4</v>
      </c>
      <c r="AU408" s="89" t="str">
        <f t="shared" si="33"/>
        <v>03-2017</v>
      </c>
      <c r="BA408" s="92" t="str">
        <f t="shared" si="34"/>
        <v>WIP - 30 Days</v>
      </c>
    </row>
    <row r="409" spans="2:53">
      <c r="B409" s="60">
        <f>[2]Trucks!A406</f>
        <v>46470</v>
      </c>
      <c r="C409" s="11" t="str">
        <f>[2]Trucks!B406</f>
        <v>TGS-26-4406X4BLS-LX-ALU-EL</v>
      </c>
      <c r="D409" s="19" t="str">
        <f>IFERROR(VLOOKUP(C409&amp;"",'[2]Retail Price List'!$A$3:$B$103,2,FALSE),"Special Order")</f>
        <v>KP000707</v>
      </c>
      <c r="E409" s="18" t="str">
        <f>[2]Trucks!J406</f>
        <v>BOOKED : 2017-08-8</v>
      </c>
      <c r="F409" s="12" t="str">
        <f>[2]Trucks!E406</f>
        <v>2017-09-18</v>
      </c>
      <c r="G409" s="56">
        <f>[2]Trucks!K406</f>
        <v>15.4</v>
      </c>
      <c r="H409" s="46">
        <f>[2]Trucks!I406</f>
        <v>42804</v>
      </c>
      <c r="I409" s="83" t="str">
        <f t="shared" si="30"/>
        <v>2017Q1</v>
      </c>
      <c r="J409" s="272">
        <f>IFERROR(VLOOKUP((D409&amp;C409)&amp;"",'[2]Retail Price List'!$C$4:$F$102,3,FALSE),"")</f>
        <v>1785000</v>
      </c>
      <c r="K409" s="272">
        <f>IFERROR(IF(BA409="WIP - 30 Days",VLOOKUP(D409,[3]Standard!$B$9:$E$101,4,FALSE),IF(BA409="31-120 Days",VLOOKUP(D409,[3]Standard!$B$9:$F$101,5,FALSE),IF(BA409="121-365 Days",VLOOKUP(D409,[3]Standard!$B$9:$G$101,6,FALSE),VLOOKUP(D409,[3]Standard!$B$9:$H$101,7,FALSE)))),0)</f>
        <v>1280151.5151515151</v>
      </c>
      <c r="L409" s="272">
        <f>IFERROR(IF(BA409="WIP - 30 Days",VLOOKUP(D409,[3]Standard!$B$9:$J$101,9,FALSE),IF(BA409="31-120 Days",VLOOKUP(D409,[3]Standard!$B$9:$K$100,10,FALSE),IF(BA409="121-365 Days",VLOOKUP(D409,[3]Standard!$B$9:$L$101,11,FALSE),VLOOKUP(D409,[3]Standard!$B$9:$M$101,12,FALSE)))),0)</f>
        <v>1267350</v>
      </c>
      <c r="M409" s="269">
        <f>IFERROR(VLOOKUP((D409&amp;C409)&amp;"",'[2]Retail Price List'!$C$4:$F$102,4,FALSE),"")</f>
        <v>1835000</v>
      </c>
      <c r="N409" s="269">
        <f>IFERROR(IF(BA409="WIP - 30 Days",VLOOKUP(D409,[3]Extended!$B$9:$E$101,4,FALSE),IF(BA409="31-120 Days",VLOOKUP(D409,[3]Extended!$B$9:$F$101,5,FALSE),IF(BA409="121-365 Days",VLOOKUP(D409,[3]Extended!$B$9:$G$101,6,FALSE),VLOOKUP(D409,[3]Extended!$B$9:$H$101,7,FALSE)))),0)</f>
        <v>1353080.808080808</v>
      </c>
      <c r="O409" s="269">
        <f>IFERROR(IF(BA409="WIP - 30 Days",VLOOKUP(D409,[3]Extended!$B$9:$J$101,9,FALSE),IF(BA409="31-120 Days",VLOOKUP(D409,[3]Extended!$B$9:$K$101,10,FALSE),IF(BA409="121-365 Days",VLOOKUP(D409,[3]Extended!$B$9:$L$101,11,FALSE),VLOOKUP(D409,[3]Extended!$B$9:$M$101,12,FALSE)))),0)</f>
        <v>1339550</v>
      </c>
      <c r="P409" s="116">
        <f t="shared" si="31"/>
        <v>0.27</v>
      </c>
      <c r="Q409" s="110" t="e">
        <f>O409-#REF!</f>
        <v>#REF!</v>
      </c>
      <c r="W409" s="311"/>
      <c r="X409" s="311"/>
      <c r="Y409" s="311"/>
      <c r="Z409" s="311"/>
      <c r="AA409" s="311"/>
      <c r="AB409" s="311"/>
      <c r="AC409" s="311"/>
      <c r="AT409" s="88" t="str">
        <f t="shared" si="32"/>
        <v>KP0007072017Q115,4</v>
      </c>
      <c r="AU409" s="89" t="str">
        <f t="shared" si="33"/>
        <v>03-2017</v>
      </c>
      <c r="BA409" s="92" t="str">
        <f t="shared" si="34"/>
        <v>&gt;365 Days</v>
      </c>
    </row>
    <row r="410" spans="2:53">
      <c r="B410" s="60">
        <f>[2]Trucks!A407</f>
        <v>46471</v>
      </c>
      <c r="C410" s="11" t="str">
        <f>[2]Trucks!B407</f>
        <v>TGS-26-4406X4BLS-LX-ALU-EL</v>
      </c>
      <c r="D410" s="19" t="str">
        <f>IFERROR(VLOOKUP(C410&amp;"",'[2]Retail Price List'!$A$3:$B$103,2,FALSE),"Special Order")</f>
        <v>KP000707</v>
      </c>
      <c r="E410" s="18" t="str">
        <f>[2]Trucks!J407</f>
        <v>BOOKED : 2017-08-8</v>
      </c>
      <c r="F410" s="12" t="str">
        <f>[2]Trucks!E407</f>
        <v>2017-09-18</v>
      </c>
      <c r="G410" s="56">
        <f>[2]Trucks!K407</f>
        <v>15.4</v>
      </c>
      <c r="H410" s="46">
        <f>[2]Trucks!I407</f>
        <v>42804</v>
      </c>
      <c r="I410" s="83" t="str">
        <f t="shared" si="30"/>
        <v>2017Q1</v>
      </c>
      <c r="J410" s="272">
        <f>IFERROR(VLOOKUP((D410&amp;C410)&amp;"",'[2]Retail Price List'!$C$4:$F$102,3,FALSE),"")</f>
        <v>1785000</v>
      </c>
      <c r="K410" s="272">
        <f>IFERROR(IF(BA410="WIP - 30 Days",VLOOKUP(D410,[3]Standard!$B$9:$E$101,4,FALSE),IF(BA410="31-120 Days",VLOOKUP(D410,[3]Standard!$B$9:$F$101,5,FALSE),IF(BA410="121-365 Days",VLOOKUP(D410,[3]Standard!$B$9:$G$101,6,FALSE),VLOOKUP(D410,[3]Standard!$B$9:$H$101,7,FALSE)))),0)</f>
        <v>1280151.5151515151</v>
      </c>
      <c r="L410" s="272">
        <f>IFERROR(IF(BA410="WIP - 30 Days",VLOOKUP(D410,[3]Standard!$B$9:$J$101,9,FALSE),IF(BA410="31-120 Days",VLOOKUP(D410,[3]Standard!$B$9:$K$100,10,FALSE),IF(BA410="121-365 Days",VLOOKUP(D410,[3]Standard!$B$9:$L$101,11,FALSE),VLOOKUP(D410,[3]Standard!$B$9:$M$101,12,FALSE)))),0)</f>
        <v>1267350</v>
      </c>
      <c r="M410" s="269">
        <f>IFERROR(VLOOKUP((D410&amp;C410)&amp;"",'[2]Retail Price List'!$C$4:$F$102,4,FALSE),"")</f>
        <v>1835000</v>
      </c>
      <c r="N410" s="269">
        <f>IFERROR(IF(BA410="WIP - 30 Days",VLOOKUP(D410,[3]Extended!$B$9:$E$101,4,FALSE),IF(BA410="31-120 Days",VLOOKUP(D410,[3]Extended!$B$9:$F$101,5,FALSE),IF(BA410="121-365 Days",VLOOKUP(D410,[3]Extended!$B$9:$G$101,6,FALSE),VLOOKUP(D410,[3]Extended!$B$9:$H$101,7,FALSE)))),0)</f>
        <v>1353080.808080808</v>
      </c>
      <c r="O410" s="269">
        <f>IFERROR(IF(BA410="WIP - 30 Days",VLOOKUP(D410,[3]Extended!$B$9:$J$101,9,FALSE),IF(BA410="31-120 Days",VLOOKUP(D410,[3]Extended!$B$9:$K$101,10,FALSE),IF(BA410="121-365 Days",VLOOKUP(D410,[3]Extended!$B$9:$L$101,11,FALSE),VLOOKUP(D410,[3]Extended!$B$9:$M$101,12,FALSE)))),0)</f>
        <v>1339550</v>
      </c>
      <c r="P410" s="116">
        <f t="shared" si="31"/>
        <v>0.27</v>
      </c>
      <c r="Q410" s="110" t="e">
        <f>O410-#REF!</f>
        <v>#REF!</v>
      </c>
      <c r="W410" s="311"/>
      <c r="X410" s="311"/>
      <c r="Y410" s="311"/>
      <c r="Z410" s="311"/>
      <c r="AA410" s="311"/>
      <c r="AB410" s="311"/>
      <c r="AC410" s="311"/>
      <c r="AT410" s="88" t="str">
        <f t="shared" si="32"/>
        <v>KP0007072017Q115,4</v>
      </c>
      <c r="AU410" s="89" t="str">
        <f t="shared" si="33"/>
        <v>03-2017</v>
      </c>
      <c r="BA410" s="92" t="str">
        <f t="shared" si="34"/>
        <v>&gt;365 Days</v>
      </c>
    </row>
    <row r="411" spans="2:53">
      <c r="B411" s="60">
        <f>[2]Trucks!A408</f>
        <v>46472</v>
      </c>
      <c r="C411" s="11" t="str">
        <f>[2]Trucks!B408</f>
        <v>TGS-26-4406X4BLS-LX-ALU-EL</v>
      </c>
      <c r="D411" s="19" t="str">
        <f>IFERROR(VLOOKUP(C411&amp;"",'[2]Retail Price List'!$A$3:$B$103,2,FALSE),"Special Order")</f>
        <v>KP000707</v>
      </c>
      <c r="E411" s="18" t="str">
        <f>[2]Trucks!J408</f>
        <v>BOOKED : 2017-08-8</v>
      </c>
      <c r="F411" s="12" t="str">
        <f>[2]Trucks!E408</f>
        <v>2017-09-18</v>
      </c>
      <c r="G411" s="56">
        <f>[2]Trucks!K408</f>
        <v>15.4</v>
      </c>
      <c r="H411" s="46">
        <f>[2]Trucks!I408</f>
        <v>42804</v>
      </c>
      <c r="I411" s="83" t="str">
        <f t="shared" si="30"/>
        <v>2017Q1</v>
      </c>
      <c r="J411" s="272">
        <f>IFERROR(VLOOKUP((D411&amp;C411)&amp;"",'[2]Retail Price List'!$C$4:$F$102,3,FALSE),"")</f>
        <v>1785000</v>
      </c>
      <c r="K411" s="272">
        <f>IFERROR(IF(BA411="WIP - 30 Days",VLOOKUP(D411,[3]Standard!$B$9:$E$101,4,FALSE),IF(BA411="31-120 Days",VLOOKUP(D411,[3]Standard!$B$9:$F$101,5,FALSE),IF(BA411="121-365 Days",VLOOKUP(D411,[3]Standard!$B$9:$G$101,6,FALSE),VLOOKUP(D411,[3]Standard!$B$9:$H$101,7,FALSE)))),0)</f>
        <v>1280151.5151515151</v>
      </c>
      <c r="L411" s="272">
        <f>IFERROR(IF(BA411="WIP - 30 Days",VLOOKUP(D411,[3]Standard!$B$9:$J$101,9,FALSE),IF(BA411="31-120 Days",VLOOKUP(D411,[3]Standard!$B$9:$K$100,10,FALSE),IF(BA411="121-365 Days",VLOOKUP(D411,[3]Standard!$B$9:$L$101,11,FALSE),VLOOKUP(D411,[3]Standard!$B$9:$M$101,12,FALSE)))),0)</f>
        <v>1267350</v>
      </c>
      <c r="M411" s="269">
        <f>IFERROR(VLOOKUP((D411&amp;C411)&amp;"",'[2]Retail Price List'!$C$4:$F$102,4,FALSE),"")</f>
        <v>1835000</v>
      </c>
      <c r="N411" s="269">
        <f>IFERROR(IF(BA411="WIP - 30 Days",VLOOKUP(D411,[3]Extended!$B$9:$E$101,4,FALSE),IF(BA411="31-120 Days",VLOOKUP(D411,[3]Extended!$B$9:$F$101,5,FALSE),IF(BA411="121-365 Days",VLOOKUP(D411,[3]Extended!$B$9:$G$101,6,FALSE),VLOOKUP(D411,[3]Extended!$B$9:$H$101,7,FALSE)))),0)</f>
        <v>1353080.808080808</v>
      </c>
      <c r="O411" s="269">
        <f>IFERROR(IF(BA411="WIP - 30 Days",VLOOKUP(D411,[3]Extended!$B$9:$J$101,9,FALSE),IF(BA411="31-120 Days",VLOOKUP(D411,[3]Extended!$B$9:$K$101,10,FALSE),IF(BA411="121-365 Days",VLOOKUP(D411,[3]Extended!$B$9:$L$101,11,FALSE),VLOOKUP(D411,[3]Extended!$B$9:$M$101,12,FALSE)))),0)</f>
        <v>1339550</v>
      </c>
      <c r="P411" s="116">
        <f t="shared" si="31"/>
        <v>0.27</v>
      </c>
      <c r="Q411" s="110" t="e">
        <f>O411-#REF!</f>
        <v>#REF!</v>
      </c>
      <c r="W411" s="311"/>
      <c r="X411" s="311"/>
      <c r="Y411" s="311"/>
      <c r="Z411" s="311"/>
      <c r="AA411" s="311"/>
      <c r="AB411" s="311"/>
      <c r="AC411" s="311"/>
      <c r="AT411" s="88" t="str">
        <f t="shared" si="32"/>
        <v>KP0007072017Q115,4</v>
      </c>
      <c r="AU411" s="89" t="str">
        <f t="shared" si="33"/>
        <v>03-2017</v>
      </c>
      <c r="BA411" s="92" t="str">
        <f t="shared" si="34"/>
        <v>&gt;365 Days</v>
      </c>
    </row>
    <row r="412" spans="2:53">
      <c r="B412" s="60">
        <f>[2]Trucks!A409</f>
        <v>46473</v>
      </c>
      <c r="C412" s="11" t="str">
        <f>[2]Trucks!B409</f>
        <v>TGS-26-4406X4BLS-LX-ALU-EL</v>
      </c>
      <c r="D412" s="19" t="str">
        <f>IFERROR(VLOOKUP(C412&amp;"",'[2]Retail Price List'!$A$3:$B$103,2,FALSE),"Special Order")</f>
        <v>KP000707</v>
      </c>
      <c r="E412" s="18" t="str">
        <f>[2]Trucks!J409</f>
        <v>BOOKED : 2017-08-8</v>
      </c>
      <c r="F412" s="12" t="str">
        <f>[2]Trucks!E409</f>
        <v>2017-09-19</v>
      </c>
      <c r="G412" s="56">
        <f>[2]Trucks!K409</f>
        <v>15.4</v>
      </c>
      <c r="H412" s="46">
        <f>[2]Trucks!I409</f>
        <v>42804</v>
      </c>
      <c r="I412" s="83" t="str">
        <f t="shared" si="30"/>
        <v>2017Q1</v>
      </c>
      <c r="J412" s="272">
        <f>IFERROR(VLOOKUP((D412&amp;C412)&amp;"",'[2]Retail Price List'!$C$4:$F$102,3,FALSE),"")</f>
        <v>1785000</v>
      </c>
      <c r="K412" s="272">
        <f>IFERROR(IF(BA412="WIP - 30 Days",VLOOKUP(D412,[3]Standard!$B$9:$E$101,4,FALSE),IF(BA412="31-120 Days",VLOOKUP(D412,[3]Standard!$B$9:$F$101,5,FALSE),IF(BA412="121-365 Days",VLOOKUP(D412,[3]Standard!$B$9:$G$101,6,FALSE),VLOOKUP(D412,[3]Standard!$B$9:$H$101,7,FALSE)))),0)</f>
        <v>1280151.5151515151</v>
      </c>
      <c r="L412" s="272">
        <f>IFERROR(IF(BA412="WIP - 30 Days",VLOOKUP(D412,[3]Standard!$B$9:$J$101,9,FALSE),IF(BA412="31-120 Days",VLOOKUP(D412,[3]Standard!$B$9:$K$100,10,FALSE),IF(BA412="121-365 Days",VLOOKUP(D412,[3]Standard!$B$9:$L$101,11,FALSE),VLOOKUP(D412,[3]Standard!$B$9:$M$101,12,FALSE)))),0)</f>
        <v>1267350</v>
      </c>
      <c r="M412" s="269">
        <f>IFERROR(VLOOKUP((D412&amp;C412)&amp;"",'[2]Retail Price List'!$C$4:$F$102,4,FALSE),"")</f>
        <v>1835000</v>
      </c>
      <c r="N412" s="269">
        <f>IFERROR(IF(BA412="WIP - 30 Days",VLOOKUP(D412,[3]Extended!$B$9:$E$101,4,FALSE),IF(BA412="31-120 Days",VLOOKUP(D412,[3]Extended!$B$9:$F$101,5,FALSE),IF(BA412="121-365 Days",VLOOKUP(D412,[3]Extended!$B$9:$G$101,6,FALSE),VLOOKUP(D412,[3]Extended!$B$9:$H$101,7,FALSE)))),0)</f>
        <v>1353080.808080808</v>
      </c>
      <c r="O412" s="269">
        <f>IFERROR(IF(BA412="WIP - 30 Days",VLOOKUP(D412,[3]Extended!$B$9:$J$101,9,FALSE),IF(BA412="31-120 Days",VLOOKUP(D412,[3]Extended!$B$9:$K$101,10,FALSE),IF(BA412="121-365 Days",VLOOKUP(D412,[3]Extended!$B$9:$L$101,11,FALSE),VLOOKUP(D412,[3]Extended!$B$9:$M$101,12,FALSE)))),0)</f>
        <v>1339550</v>
      </c>
      <c r="P412" s="116">
        <f t="shared" si="31"/>
        <v>0.27</v>
      </c>
      <c r="Q412" s="110" t="e">
        <f>O412-#REF!</f>
        <v>#REF!</v>
      </c>
      <c r="W412" s="311"/>
      <c r="X412" s="311"/>
      <c r="Y412" s="311"/>
      <c r="Z412" s="311"/>
      <c r="AA412" s="311"/>
      <c r="AB412" s="311"/>
      <c r="AC412" s="311"/>
      <c r="AT412" s="88" t="str">
        <f t="shared" si="32"/>
        <v>KP0007072017Q115,4</v>
      </c>
      <c r="AU412" s="89" t="str">
        <f t="shared" si="33"/>
        <v>03-2017</v>
      </c>
      <c r="BA412" s="92" t="str">
        <f t="shared" si="34"/>
        <v>&gt;365 Days</v>
      </c>
    </row>
    <row r="413" spans="2:53">
      <c r="B413" s="60">
        <f>[2]Trucks!A410</f>
        <v>46474</v>
      </c>
      <c r="C413" s="11" t="str">
        <f>[2]Trucks!B410</f>
        <v>TGS-26-4406X4BLS-LX-ALU-EL</v>
      </c>
      <c r="D413" s="19" t="str">
        <f>IFERROR(VLOOKUP(C413&amp;"",'[2]Retail Price List'!$A$3:$B$103,2,FALSE),"Special Order")</f>
        <v>KP000707</v>
      </c>
      <c r="E413" s="18" t="str">
        <f>[2]Trucks!J410</f>
        <v>BOOKED : 2017-08-8</v>
      </c>
      <c r="F413" s="12" t="str">
        <f>[2]Trucks!E410</f>
        <v>2017-09-19</v>
      </c>
      <c r="G413" s="56">
        <f>[2]Trucks!K410</f>
        <v>15.4</v>
      </c>
      <c r="H413" s="46">
        <f>[2]Trucks!I410</f>
        <v>42804</v>
      </c>
      <c r="I413" s="83" t="str">
        <f t="shared" si="30"/>
        <v>2017Q1</v>
      </c>
      <c r="J413" s="272">
        <f>IFERROR(VLOOKUP((D413&amp;C413)&amp;"",'[2]Retail Price List'!$C$4:$F$102,3,FALSE),"")</f>
        <v>1785000</v>
      </c>
      <c r="K413" s="272">
        <f>IFERROR(IF(BA413="WIP - 30 Days",VLOOKUP(D413,[3]Standard!$B$9:$E$101,4,FALSE),IF(BA413="31-120 Days",VLOOKUP(D413,[3]Standard!$B$9:$F$101,5,FALSE),IF(BA413="121-365 Days",VLOOKUP(D413,[3]Standard!$B$9:$G$101,6,FALSE),VLOOKUP(D413,[3]Standard!$B$9:$H$101,7,FALSE)))),0)</f>
        <v>1280151.5151515151</v>
      </c>
      <c r="L413" s="272">
        <f>IFERROR(IF(BA413="WIP - 30 Days",VLOOKUP(D413,[3]Standard!$B$9:$J$101,9,FALSE),IF(BA413="31-120 Days",VLOOKUP(D413,[3]Standard!$B$9:$K$100,10,FALSE),IF(BA413="121-365 Days",VLOOKUP(D413,[3]Standard!$B$9:$L$101,11,FALSE),VLOOKUP(D413,[3]Standard!$B$9:$M$101,12,FALSE)))),0)</f>
        <v>1267350</v>
      </c>
      <c r="M413" s="269">
        <f>IFERROR(VLOOKUP((D413&amp;C413)&amp;"",'[2]Retail Price List'!$C$4:$F$102,4,FALSE),"")</f>
        <v>1835000</v>
      </c>
      <c r="N413" s="269">
        <f>IFERROR(IF(BA413="WIP - 30 Days",VLOOKUP(D413,[3]Extended!$B$9:$E$101,4,FALSE),IF(BA413="31-120 Days",VLOOKUP(D413,[3]Extended!$B$9:$F$101,5,FALSE),IF(BA413="121-365 Days",VLOOKUP(D413,[3]Extended!$B$9:$G$101,6,FALSE),VLOOKUP(D413,[3]Extended!$B$9:$H$101,7,FALSE)))),0)</f>
        <v>1353080.808080808</v>
      </c>
      <c r="O413" s="269">
        <f>IFERROR(IF(BA413="WIP - 30 Days",VLOOKUP(D413,[3]Extended!$B$9:$J$101,9,FALSE),IF(BA413="31-120 Days",VLOOKUP(D413,[3]Extended!$B$9:$K$101,10,FALSE),IF(BA413="121-365 Days",VLOOKUP(D413,[3]Extended!$B$9:$L$101,11,FALSE),VLOOKUP(D413,[3]Extended!$B$9:$M$101,12,FALSE)))),0)</f>
        <v>1339550</v>
      </c>
      <c r="P413" s="116">
        <f t="shared" si="31"/>
        <v>0.27</v>
      </c>
      <c r="Q413" s="110" t="e">
        <f>O413-#REF!</f>
        <v>#REF!</v>
      </c>
      <c r="W413" s="311"/>
      <c r="X413" s="311"/>
      <c r="Y413" s="311"/>
      <c r="Z413" s="311"/>
      <c r="AA413" s="311"/>
      <c r="AB413" s="311"/>
      <c r="AC413" s="311"/>
      <c r="AT413" s="88" t="str">
        <f t="shared" si="32"/>
        <v>KP0007072017Q115,4</v>
      </c>
      <c r="AU413" s="89" t="str">
        <f t="shared" si="33"/>
        <v>03-2017</v>
      </c>
      <c r="BA413" s="92" t="str">
        <f t="shared" si="34"/>
        <v>&gt;365 Days</v>
      </c>
    </row>
    <row r="414" spans="2:53">
      <c r="B414" s="60">
        <f>[2]Trucks!A411</f>
        <v>46475</v>
      </c>
      <c r="C414" s="11" t="str">
        <f>[2]Trucks!B411</f>
        <v>TGS-26-4406X4BLS-LX-ALU-EL</v>
      </c>
      <c r="D414" s="19" t="str">
        <f>IFERROR(VLOOKUP(C414&amp;"",'[2]Retail Price List'!$A$3:$B$103,2,FALSE),"Special Order")</f>
        <v>KP000707</v>
      </c>
      <c r="E414" s="18" t="str">
        <f>[2]Trucks!J411</f>
        <v>BOOKED : 2017-08-8</v>
      </c>
      <c r="F414" s="12" t="str">
        <f>[2]Trucks!E411</f>
        <v>2017-09-19</v>
      </c>
      <c r="G414" s="56">
        <f>[2]Trucks!K411</f>
        <v>15.4</v>
      </c>
      <c r="H414" s="46">
        <f>[2]Trucks!I411</f>
        <v>42804</v>
      </c>
      <c r="I414" s="83" t="str">
        <f t="shared" si="30"/>
        <v>2017Q1</v>
      </c>
      <c r="J414" s="272">
        <f>IFERROR(VLOOKUP((D414&amp;C414)&amp;"",'[2]Retail Price List'!$C$4:$F$102,3,FALSE),"")</f>
        <v>1785000</v>
      </c>
      <c r="K414" s="272">
        <f>IFERROR(IF(BA414="WIP - 30 Days",VLOOKUP(D414,[3]Standard!$B$9:$E$101,4,FALSE),IF(BA414="31-120 Days",VLOOKUP(D414,[3]Standard!$B$9:$F$101,5,FALSE),IF(BA414="121-365 Days",VLOOKUP(D414,[3]Standard!$B$9:$G$101,6,FALSE),VLOOKUP(D414,[3]Standard!$B$9:$H$101,7,FALSE)))),0)</f>
        <v>1280151.5151515151</v>
      </c>
      <c r="L414" s="272">
        <f>IFERROR(IF(BA414="WIP - 30 Days",VLOOKUP(D414,[3]Standard!$B$9:$J$101,9,FALSE),IF(BA414="31-120 Days",VLOOKUP(D414,[3]Standard!$B$9:$K$100,10,FALSE),IF(BA414="121-365 Days",VLOOKUP(D414,[3]Standard!$B$9:$L$101,11,FALSE),VLOOKUP(D414,[3]Standard!$B$9:$M$101,12,FALSE)))),0)</f>
        <v>1267350</v>
      </c>
      <c r="M414" s="269">
        <f>IFERROR(VLOOKUP((D414&amp;C414)&amp;"",'[2]Retail Price List'!$C$4:$F$102,4,FALSE),"")</f>
        <v>1835000</v>
      </c>
      <c r="N414" s="269">
        <f>IFERROR(IF(BA414="WIP - 30 Days",VLOOKUP(D414,[3]Extended!$B$9:$E$101,4,FALSE),IF(BA414="31-120 Days",VLOOKUP(D414,[3]Extended!$B$9:$F$101,5,FALSE),IF(BA414="121-365 Days",VLOOKUP(D414,[3]Extended!$B$9:$G$101,6,FALSE),VLOOKUP(D414,[3]Extended!$B$9:$H$101,7,FALSE)))),0)</f>
        <v>1353080.808080808</v>
      </c>
      <c r="O414" s="269">
        <f>IFERROR(IF(BA414="WIP - 30 Days",VLOOKUP(D414,[3]Extended!$B$9:$J$101,9,FALSE),IF(BA414="31-120 Days",VLOOKUP(D414,[3]Extended!$B$9:$K$101,10,FALSE),IF(BA414="121-365 Days",VLOOKUP(D414,[3]Extended!$B$9:$L$101,11,FALSE),VLOOKUP(D414,[3]Extended!$B$9:$M$101,12,FALSE)))),0)</f>
        <v>1339550</v>
      </c>
      <c r="P414" s="116">
        <f t="shared" si="31"/>
        <v>0.27</v>
      </c>
      <c r="Q414" s="110" t="e">
        <f>O414-#REF!</f>
        <v>#REF!</v>
      </c>
      <c r="W414" s="311"/>
      <c r="X414" s="311"/>
      <c r="Y414" s="311"/>
      <c r="Z414" s="311"/>
      <c r="AA414" s="311"/>
      <c r="AB414" s="311"/>
      <c r="AC414" s="311"/>
      <c r="AT414" s="88" t="str">
        <f t="shared" si="32"/>
        <v>KP0007072017Q115,4</v>
      </c>
      <c r="AU414" s="89" t="str">
        <f t="shared" si="33"/>
        <v>03-2017</v>
      </c>
      <c r="BA414" s="92" t="str">
        <f t="shared" si="34"/>
        <v>&gt;365 Days</v>
      </c>
    </row>
    <row r="415" spans="2:53">
      <c r="B415" s="60">
        <f>[2]Trucks!A412</f>
        <v>46476</v>
      </c>
      <c r="C415" s="11" t="str">
        <f>[2]Trucks!B412</f>
        <v>TGS-26-4406X4BLS-LX-ALU-EL</v>
      </c>
      <c r="D415" s="19" t="str">
        <f>IFERROR(VLOOKUP(C415&amp;"",'[2]Retail Price List'!$A$3:$B$103,2,FALSE),"Special Order")</f>
        <v>KP000707</v>
      </c>
      <c r="E415" s="18" t="str">
        <f>[2]Trucks!J412</f>
        <v>BOOKED : 2017-08-8</v>
      </c>
      <c r="F415" s="12" t="str">
        <f>[2]Trucks!E412</f>
        <v>2017-09-19</v>
      </c>
      <c r="G415" s="56">
        <f>[2]Trucks!K412</f>
        <v>15.4</v>
      </c>
      <c r="H415" s="46">
        <f>[2]Trucks!I412</f>
        <v>42804</v>
      </c>
      <c r="I415" s="83" t="str">
        <f t="shared" si="30"/>
        <v>2017Q1</v>
      </c>
      <c r="J415" s="272">
        <f>IFERROR(VLOOKUP((D415&amp;C415)&amp;"",'[2]Retail Price List'!$C$4:$F$102,3,FALSE),"")</f>
        <v>1785000</v>
      </c>
      <c r="K415" s="272">
        <f>IFERROR(IF(BA415="WIP - 30 Days",VLOOKUP(D415,[3]Standard!$B$9:$E$101,4,FALSE),IF(BA415="31-120 Days",VLOOKUP(D415,[3]Standard!$B$9:$F$101,5,FALSE),IF(BA415="121-365 Days",VLOOKUP(D415,[3]Standard!$B$9:$G$101,6,FALSE),VLOOKUP(D415,[3]Standard!$B$9:$H$101,7,FALSE)))),0)</f>
        <v>1280151.5151515151</v>
      </c>
      <c r="L415" s="272">
        <f>IFERROR(IF(BA415="WIP - 30 Days",VLOOKUP(D415,[3]Standard!$B$9:$J$101,9,FALSE),IF(BA415="31-120 Days",VLOOKUP(D415,[3]Standard!$B$9:$K$100,10,FALSE),IF(BA415="121-365 Days",VLOOKUP(D415,[3]Standard!$B$9:$L$101,11,FALSE),VLOOKUP(D415,[3]Standard!$B$9:$M$101,12,FALSE)))),0)</f>
        <v>1267350</v>
      </c>
      <c r="M415" s="269">
        <f>IFERROR(VLOOKUP((D415&amp;C415)&amp;"",'[2]Retail Price List'!$C$4:$F$102,4,FALSE),"")</f>
        <v>1835000</v>
      </c>
      <c r="N415" s="269">
        <f>IFERROR(IF(BA415="WIP - 30 Days",VLOOKUP(D415,[3]Extended!$B$9:$E$101,4,FALSE),IF(BA415="31-120 Days",VLOOKUP(D415,[3]Extended!$B$9:$F$101,5,FALSE),IF(BA415="121-365 Days",VLOOKUP(D415,[3]Extended!$B$9:$G$101,6,FALSE),VLOOKUP(D415,[3]Extended!$B$9:$H$101,7,FALSE)))),0)</f>
        <v>1353080.808080808</v>
      </c>
      <c r="O415" s="269">
        <f>IFERROR(IF(BA415="WIP - 30 Days",VLOOKUP(D415,[3]Extended!$B$9:$J$101,9,FALSE),IF(BA415="31-120 Days",VLOOKUP(D415,[3]Extended!$B$9:$K$101,10,FALSE),IF(BA415="121-365 Days",VLOOKUP(D415,[3]Extended!$B$9:$L$101,11,FALSE),VLOOKUP(D415,[3]Extended!$B$9:$M$101,12,FALSE)))),0)</f>
        <v>1339550</v>
      </c>
      <c r="P415" s="116">
        <f t="shared" si="31"/>
        <v>0.27</v>
      </c>
      <c r="Q415" s="110" t="e">
        <f>O415-#REF!</f>
        <v>#REF!</v>
      </c>
      <c r="W415" s="311"/>
      <c r="X415" s="311"/>
      <c r="Y415" s="311"/>
      <c r="Z415" s="311"/>
      <c r="AA415" s="311"/>
      <c r="AB415" s="311"/>
      <c r="AC415" s="311"/>
      <c r="AT415" s="88" t="str">
        <f t="shared" si="32"/>
        <v>KP0007072017Q115,4</v>
      </c>
      <c r="AU415" s="89" t="str">
        <f t="shared" si="33"/>
        <v>03-2017</v>
      </c>
      <c r="BA415" s="92" t="str">
        <f t="shared" si="34"/>
        <v>&gt;365 Days</v>
      </c>
    </row>
    <row r="416" spans="2:53">
      <c r="B416" s="60">
        <f>[2]Trucks!A413</f>
        <v>46477</v>
      </c>
      <c r="C416" s="11" t="str">
        <f>[2]Trucks!B413</f>
        <v>TGS-26-4406X4BLS-LX-ALU-EL</v>
      </c>
      <c r="D416" s="19" t="str">
        <f>IFERROR(VLOOKUP(C416&amp;"",'[2]Retail Price List'!$A$3:$B$103,2,FALSE),"Special Order")</f>
        <v>KP000707</v>
      </c>
      <c r="E416" s="18" t="str">
        <f>[2]Trucks!J413</f>
        <v>BOOKED : 2017-08-8</v>
      </c>
      <c r="F416" s="12" t="str">
        <f>[2]Trucks!E413</f>
        <v>2017-09-19</v>
      </c>
      <c r="G416" s="56">
        <f>[2]Trucks!K413</f>
        <v>15.4</v>
      </c>
      <c r="H416" s="46">
        <f>[2]Trucks!I413</f>
        <v>42804</v>
      </c>
      <c r="I416" s="83" t="str">
        <f t="shared" si="30"/>
        <v>2017Q1</v>
      </c>
      <c r="J416" s="272">
        <f>IFERROR(VLOOKUP((D416&amp;C416)&amp;"",'[2]Retail Price List'!$C$4:$F$102,3,FALSE),"")</f>
        <v>1785000</v>
      </c>
      <c r="K416" s="272">
        <f>IFERROR(IF(BA416="WIP - 30 Days",VLOOKUP(D416,[3]Standard!$B$9:$E$101,4,FALSE),IF(BA416="31-120 Days",VLOOKUP(D416,[3]Standard!$B$9:$F$101,5,FALSE),IF(BA416="121-365 Days",VLOOKUP(D416,[3]Standard!$B$9:$G$101,6,FALSE),VLOOKUP(D416,[3]Standard!$B$9:$H$101,7,FALSE)))),0)</f>
        <v>1280151.5151515151</v>
      </c>
      <c r="L416" s="272">
        <f>IFERROR(IF(BA416="WIP - 30 Days",VLOOKUP(D416,[3]Standard!$B$9:$J$101,9,FALSE),IF(BA416="31-120 Days",VLOOKUP(D416,[3]Standard!$B$9:$K$100,10,FALSE),IF(BA416="121-365 Days",VLOOKUP(D416,[3]Standard!$B$9:$L$101,11,FALSE),VLOOKUP(D416,[3]Standard!$B$9:$M$101,12,FALSE)))),0)</f>
        <v>1267350</v>
      </c>
      <c r="M416" s="269">
        <f>IFERROR(VLOOKUP((D416&amp;C416)&amp;"",'[2]Retail Price List'!$C$4:$F$102,4,FALSE),"")</f>
        <v>1835000</v>
      </c>
      <c r="N416" s="269">
        <f>IFERROR(IF(BA416="WIP - 30 Days",VLOOKUP(D416,[3]Extended!$B$9:$E$101,4,FALSE),IF(BA416="31-120 Days",VLOOKUP(D416,[3]Extended!$B$9:$F$101,5,FALSE),IF(BA416="121-365 Days",VLOOKUP(D416,[3]Extended!$B$9:$G$101,6,FALSE),VLOOKUP(D416,[3]Extended!$B$9:$H$101,7,FALSE)))),0)</f>
        <v>1353080.808080808</v>
      </c>
      <c r="O416" s="269">
        <f>IFERROR(IF(BA416="WIP - 30 Days",VLOOKUP(D416,[3]Extended!$B$9:$J$101,9,FALSE),IF(BA416="31-120 Days",VLOOKUP(D416,[3]Extended!$B$9:$K$101,10,FALSE),IF(BA416="121-365 Days",VLOOKUP(D416,[3]Extended!$B$9:$L$101,11,FALSE),VLOOKUP(D416,[3]Extended!$B$9:$M$101,12,FALSE)))),0)</f>
        <v>1339550</v>
      </c>
      <c r="P416" s="116">
        <f t="shared" si="31"/>
        <v>0.27</v>
      </c>
      <c r="Q416" s="110" t="e">
        <f>O416-#REF!</f>
        <v>#REF!</v>
      </c>
      <c r="W416" s="311"/>
      <c r="X416" s="311"/>
      <c r="Y416" s="311"/>
      <c r="Z416" s="311"/>
      <c r="AA416" s="311"/>
      <c r="AB416" s="311"/>
      <c r="AC416" s="311"/>
      <c r="AT416" s="88" t="str">
        <f t="shared" si="32"/>
        <v>KP0007072017Q115,4</v>
      </c>
      <c r="AU416" s="89" t="str">
        <f t="shared" si="33"/>
        <v>03-2017</v>
      </c>
      <c r="BA416" s="92" t="str">
        <f t="shared" si="34"/>
        <v>&gt;365 Days</v>
      </c>
    </row>
    <row r="417" spans="1:90">
      <c r="B417" s="60">
        <f>[2]Trucks!A414</f>
        <v>46478</v>
      </c>
      <c r="C417" s="11" t="str">
        <f>[2]Trucks!B414</f>
        <v>TGS-26-4406X4BLS-LX-ALU-EL</v>
      </c>
      <c r="D417" s="19" t="str">
        <f>IFERROR(VLOOKUP(C417&amp;"",'[2]Retail Price List'!$A$3:$B$103,2,FALSE),"Special Order")</f>
        <v>KP000707</v>
      </c>
      <c r="E417" s="18" t="str">
        <f>[2]Trucks!J414</f>
        <v>BOOKED : 2017-08-8</v>
      </c>
      <c r="F417" s="12" t="str">
        <f>[2]Trucks!E414</f>
        <v>2017-09-19</v>
      </c>
      <c r="G417" s="56">
        <f>[2]Trucks!K414</f>
        <v>15.4</v>
      </c>
      <c r="H417" s="46">
        <f>[2]Trucks!I414</f>
        <v>42804</v>
      </c>
      <c r="I417" s="83" t="str">
        <f t="shared" si="30"/>
        <v>2017Q1</v>
      </c>
      <c r="J417" s="272">
        <f>IFERROR(VLOOKUP((D417&amp;C417)&amp;"",'[2]Retail Price List'!$C$4:$F$102,3,FALSE),"")</f>
        <v>1785000</v>
      </c>
      <c r="K417" s="272">
        <f>IFERROR(IF(BA417="WIP - 30 Days",VLOOKUP(D417,[3]Standard!$B$9:$E$101,4,FALSE),IF(BA417="31-120 Days",VLOOKUP(D417,[3]Standard!$B$9:$F$101,5,FALSE),IF(BA417="121-365 Days",VLOOKUP(D417,[3]Standard!$B$9:$G$101,6,FALSE),VLOOKUP(D417,[3]Standard!$B$9:$H$101,7,FALSE)))),0)</f>
        <v>1280151.5151515151</v>
      </c>
      <c r="L417" s="272">
        <f>IFERROR(IF(BA417="WIP - 30 Days",VLOOKUP(D417,[3]Standard!$B$9:$J$101,9,FALSE),IF(BA417="31-120 Days",VLOOKUP(D417,[3]Standard!$B$9:$K$100,10,FALSE),IF(BA417="121-365 Days",VLOOKUP(D417,[3]Standard!$B$9:$L$101,11,FALSE),VLOOKUP(D417,[3]Standard!$B$9:$M$101,12,FALSE)))),0)</f>
        <v>1267350</v>
      </c>
      <c r="M417" s="269">
        <f>IFERROR(VLOOKUP((D417&amp;C417)&amp;"",'[2]Retail Price List'!$C$4:$F$102,4,FALSE),"")</f>
        <v>1835000</v>
      </c>
      <c r="N417" s="269">
        <f>IFERROR(IF(BA417="WIP - 30 Days",VLOOKUP(D417,[3]Extended!$B$9:$E$101,4,FALSE),IF(BA417="31-120 Days",VLOOKUP(D417,[3]Extended!$B$9:$F$101,5,FALSE),IF(BA417="121-365 Days",VLOOKUP(D417,[3]Extended!$B$9:$G$101,6,FALSE),VLOOKUP(D417,[3]Extended!$B$9:$H$101,7,FALSE)))),0)</f>
        <v>1353080.808080808</v>
      </c>
      <c r="O417" s="269">
        <f>IFERROR(IF(BA417="WIP - 30 Days",VLOOKUP(D417,[3]Extended!$B$9:$J$101,9,FALSE),IF(BA417="31-120 Days",VLOOKUP(D417,[3]Extended!$B$9:$K$101,10,FALSE),IF(BA417="121-365 Days",VLOOKUP(D417,[3]Extended!$B$9:$L$101,11,FALSE),VLOOKUP(D417,[3]Extended!$B$9:$M$101,12,FALSE)))),0)</f>
        <v>1339550</v>
      </c>
      <c r="P417" s="116">
        <f t="shared" si="31"/>
        <v>0.27</v>
      </c>
      <c r="Q417" s="110" t="e">
        <f>O417-#REF!</f>
        <v>#REF!</v>
      </c>
      <c r="W417" s="311"/>
      <c r="X417" s="311"/>
      <c r="Y417" s="311"/>
      <c r="Z417" s="311"/>
      <c r="AA417" s="311"/>
      <c r="AB417" s="311"/>
      <c r="AC417" s="311"/>
      <c r="AT417" s="88" t="str">
        <f t="shared" si="32"/>
        <v>KP0007072017Q115,4</v>
      </c>
      <c r="AU417" s="89" t="str">
        <f t="shared" si="33"/>
        <v>03-2017</v>
      </c>
      <c r="BA417" s="92" t="str">
        <f t="shared" si="34"/>
        <v>&gt;365 Days</v>
      </c>
    </row>
    <row r="418" spans="1:90">
      <c r="B418" s="60">
        <f>[2]Trucks!A415</f>
        <v>46479</v>
      </c>
      <c r="C418" s="11" t="str">
        <f>[2]Trucks!B415</f>
        <v>TGS-26-4406X4BLS-LX-ALU-EL</v>
      </c>
      <c r="D418" s="19" t="str">
        <f>IFERROR(VLOOKUP(C418&amp;"",'[2]Retail Price List'!$A$3:$B$103,2,FALSE),"Special Order")</f>
        <v>KP000707</v>
      </c>
      <c r="E418" s="18" t="str">
        <f>[2]Trucks!J415</f>
        <v>BOOKED : 2017-08-8</v>
      </c>
      <c r="F418" s="12" t="str">
        <f>[2]Trucks!E415</f>
        <v>2017-09-19</v>
      </c>
      <c r="G418" s="56">
        <f>[2]Trucks!K415</f>
        <v>15.4</v>
      </c>
      <c r="H418" s="46">
        <f>[2]Trucks!I415</f>
        <v>42804</v>
      </c>
      <c r="I418" s="83" t="str">
        <f t="shared" si="30"/>
        <v>2017Q1</v>
      </c>
      <c r="J418" s="272">
        <f>IFERROR(VLOOKUP((D418&amp;C418)&amp;"",'[2]Retail Price List'!$C$4:$F$102,3,FALSE),"")</f>
        <v>1785000</v>
      </c>
      <c r="K418" s="272">
        <f>IFERROR(IF(BA418="WIP - 30 Days",VLOOKUP(D418,[3]Standard!$B$9:$E$101,4,FALSE),IF(BA418="31-120 Days",VLOOKUP(D418,[3]Standard!$B$9:$F$101,5,FALSE),IF(BA418="121-365 Days",VLOOKUP(D418,[3]Standard!$B$9:$G$101,6,FALSE),VLOOKUP(D418,[3]Standard!$B$9:$H$101,7,FALSE)))),0)</f>
        <v>1280151.5151515151</v>
      </c>
      <c r="L418" s="272">
        <f>IFERROR(IF(BA418="WIP - 30 Days",VLOOKUP(D418,[3]Standard!$B$9:$J$101,9,FALSE),IF(BA418="31-120 Days",VLOOKUP(D418,[3]Standard!$B$9:$K$100,10,FALSE),IF(BA418="121-365 Days",VLOOKUP(D418,[3]Standard!$B$9:$L$101,11,FALSE),VLOOKUP(D418,[3]Standard!$B$9:$M$101,12,FALSE)))),0)</f>
        <v>1267350</v>
      </c>
      <c r="M418" s="269">
        <f>IFERROR(VLOOKUP((D418&amp;C418)&amp;"",'[2]Retail Price List'!$C$4:$F$102,4,FALSE),"")</f>
        <v>1835000</v>
      </c>
      <c r="N418" s="269">
        <f>IFERROR(IF(BA418="WIP - 30 Days",VLOOKUP(D418,[3]Extended!$B$9:$E$101,4,FALSE),IF(BA418="31-120 Days",VLOOKUP(D418,[3]Extended!$B$9:$F$101,5,FALSE),IF(BA418="121-365 Days",VLOOKUP(D418,[3]Extended!$B$9:$G$101,6,FALSE),VLOOKUP(D418,[3]Extended!$B$9:$H$101,7,FALSE)))),0)</f>
        <v>1353080.808080808</v>
      </c>
      <c r="O418" s="269">
        <f>IFERROR(IF(BA418="WIP - 30 Days",VLOOKUP(D418,[3]Extended!$B$9:$J$101,9,FALSE),IF(BA418="31-120 Days",VLOOKUP(D418,[3]Extended!$B$9:$K$101,10,FALSE),IF(BA418="121-365 Days",VLOOKUP(D418,[3]Extended!$B$9:$L$101,11,FALSE),VLOOKUP(D418,[3]Extended!$B$9:$M$101,12,FALSE)))),0)</f>
        <v>1339550</v>
      </c>
      <c r="P418" s="116">
        <f t="shared" si="31"/>
        <v>0.27</v>
      </c>
      <c r="Q418" s="110" t="e">
        <f>O418-#REF!</f>
        <v>#REF!</v>
      </c>
      <c r="W418" s="311"/>
      <c r="X418" s="311"/>
      <c r="Y418" s="311"/>
      <c r="Z418" s="311"/>
      <c r="AA418" s="311"/>
      <c r="AB418" s="311"/>
      <c r="AC418" s="311"/>
      <c r="AT418" s="88" t="str">
        <f t="shared" si="32"/>
        <v>KP0007072017Q115,4</v>
      </c>
      <c r="AU418" s="89" t="str">
        <f t="shared" si="33"/>
        <v>03-2017</v>
      </c>
      <c r="BA418" s="92" t="str">
        <f t="shared" si="34"/>
        <v>&gt;365 Days</v>
      </c>
    </row>
    <row r="419" spans="1:90" s="4" customFormat="1">
      <c r="A419" s="69"/>
      <c r="B419" s="60">
        <f>[2]Trucks!A416</f>
        <v>46718</v>
      </c>
      <c r="C419" s="11" t="str">
        <f>[2]Trucks!B416</f>
        <v>TGS-26-4406X4BLS-LX-ALU-EL</v>
      </c>
      <c r="D419" s="19" t="str">
        <f>IFERROR(VLOOKUP(C419&amp;"",'[2]Retail Price List'!$A$3:$B$103,2,FALSE),"Special Order")</f>
        <v>KP000707</v>
      </c>
      <c r="E419" s="18" t="str">
        <f>[2]Trucks!J416</f>
        <v>BOOKED : 2017-08-8</v>
      </c>
      <c r="F419" s="12" t="str">
        <f>[2]Trucks!E416</f>
        <v>2017-10-12</v>
      </c>
      <c r="G419" s="56">
        <f>[2]Trucks!K416</f>
        <v>14.7</v>
      </c>
      <c r="H419" s="46">
        <f>[2]Trucks!I416</f>
        <v>42838</v>
      </c>
      <c r="I419" s="83" t="str">
        <f t="shared" si="30"/>
        <v>2017Q2</v>
      </c>
      <c r="J419" s="272">
        <f>IFERROR(VLOOKUP((D419&amp;C419)&amp;"",'[2]Retail Price List'!$C$4:$F$102,3,FALSE),"")</f>
        <v>1785000</v>
      </c>
      <c r="K419" s="272">
        <f>IFERROR(IF(BA419="WIP - 30 Days",VLOOKUP(D419,[3]Standard!$B$9:$E$101,4,FALSE),IF(BA419="31-120 Days",VLOOKUP(D419,[3]Standard!$B$9:$F$101,5,FALSE),IF(BA419="121-365 Days",VLOOKUP(D419,[3]Standard!$B$9:$G$101,6,FALSE),VLOOKUP(D419,[3]Standard!$B$9:$H$101,7,FALSE)))),0)</f>
        <v>1280151.5151515151</v>
      </c>
      <c r="L419" s="272">
        <f>IFERROR(IF(BA419="WIP - 30 Days",VLOOKUP(D419,[3]Standard!$B$9:$J$101,9,FALSE),IF(BA419="31-120 Days",VLOOKUP(D419,[3]Standard!$B$9:$K$100,10,FALSE),IF(BA419="121-365 Days",VLOOKUP(D419,[3]Standard!$B$9:$L$101,11,FALSE),VLOOKUP(D419,[3]Standard!$B$9:$M$101,12,FALSE)))),0)</f>
        <v>1267350</v>
      </c>
      <c r="M419" s="269">
        <f>IFERROR(VLOOKUP((D419&amp;C419)&amp;"",'[2]Retail Price List'!$C$4:$F$102,4,FALSE),"")</f>
        <v>1835000</v>
      </c>
      <c r="N419" s="269">
        <f>IFERROR(IF(BA419="WIP - 30 Days",VLOOKUP(D419,[3]Extended!$B$9:$E$101,4,FALSE),IF(BA419="31-120 Days",VLOOKUP(D419,[3]Extended!$B$9:$F$101,5,FALSE),IF(BA419="121-365 Days",VLOOKUP(D419,[3]Extended!$B$9:$G$101,6,FALSE),VLOOKUP(D419,[3]Extended!$B$9:$H$101,7,FALSE)))),0)</f>
        <v>1353080.808080808</v>
      </c>
      <c r="O419" s="269">
        <f>IFERROR(IF(BA419="WIP - 30 Days",VLOOKUP(D419,[3]Extended!$B$9:$J$101,9,FALSE),IF(BA419="31-120 Days",VLOOKUP(D419,[3]Extended!$B$9:$K$101,10,FALSE),IF(BA419="121-365 Days",VLOOKUP(D419,[3]Extended!$B$9:$L$101,11,FALSE),VLOOKUP(D419,[3]Extended!$B$9:$M$101,12,FALSE)))),0)</f>
        <v>1339550</v>
      </c>
      <c r="P419" s="116">
        <f t="shared" si="31"/>
        <v>0.27</v>
      </c>
      <c r="Q419" s="110" t="e">
        <f>O419-#REF!</f>
        <v>#REF!</v>
      </c>
      <c r="R419" s="111" t="e">
        <f>SUM(Q388:Q418)/SUM(O388:O418)</f>
        <v>#REF!</v>
      </c>
      <c r="S419" s="112"/>
      <c r="T419" s="112"/>
      <c r="U419" s="112"/>
      <c r="V419" s="112"/>
      <c r="W419" s="311"/>
      <c r="X419" s="311"/>
      <c r="Y419" s="311"/>
      <c r="Z419" s="311"/>
      <c r="AA419" s="311"/>
      <c r="AB419" s="311"/>
      <c r="AC419" s="311"/>
      <c r="AD419" s="89"/>
      <c r="AE419" s="89"/>
      <c r="AF419" s="89"/>
      <c r="AG419" s="5"/>
      <c r="AH419" s="5"/>
      <c r="AI419" s="5"/>
      <c r="AJ419" s="5"/>
      <c r="AK419" s="5"/>
      <c r="AL419" s="5"/>
      <c r="AM419" s="5"/>
      <c r="AN419" s="5"/>
      <c r="AO419" s="5"/>
      <c r="AP419" s="5"/>
      <c r="AQ419" s="5"/>
      <c r="AR419" s="5"/>
      <c r="AS419" s="5"/>
      <c r="AT419" s="88" t="str">
        <f t="shared" si="32"/>
        <v>KP0007072017Q214,7</v>
      </c>
      <c r="AU419" s="89" t="str">
        <f t="shared" si="33"/>
        <v>04-2017</v>
      </c>
      <c r="AV419" s="89"/>
      <c r="AW419" s="89"/>
      <c r="AX419" s="89"/>
      <c r="AY419" s="89"/>
      <c r="AZ419" s="89"/>
      <c r="BA419" s="92" t="str">
        <f t="shared" si="34"/>
        <v>&gt;365 Days</v>
      </c>
      <c r="BB419" s="89"/>
      <c r="BC419" s="97"/>
      <c r="BD419" s="97"/>
    </row>
    <row r="420" spans="1:90">
      <c r="B420" s="60">
        <f>[2]Trucks!A417</f>
        <v>46719</v>
      </c>
      <c r="C420" s="11" t="str">
        <f>[2]Trucks!B417</f>
        <v>TGS-26-4406X4BLS-LX-ALU-EL</v>
      </c>
      <c r="D420" s="19" t="str">
        <f>IFERROR(VLOOKUP(C420&amp;"",'[2]Retail Price List'!$A$3:$B$103,2,FALSE),"Special Order")</f>
        <v>KP000707</v>
      </c>
      <c r="E420" s="18" t="str">
        <f>[2]Trucks!J417</f>
        <v>BOOKED : 2017-08-8</v>
      </c>
      <c r="F420" s="12" t="str">
        <f>[2]Trucks!E417</f>
        <v>2017-10-12</v>
      </c>
      <c r="G420" s="56">
        <f>[2]Trucks!K417</f>
        <v>14.7</v>
      </c>
      <c r="H420" s="46">
        <f>[2]Trucks!I417</f>
        <v>42838</v>
      </c>
      <c r="I420" s="83" t="str">
        <f t="shared" si="30"/>
        <v>2017Q2</v>
      </c>
      <c r="J420" s="272">
        <f>IFERROR(VLOOKUP((D420&amp;C420)&amp;"",'[2]Retail Price List'!$C$4:$F$102,3,FALSE),"")</f>
        <v>1785000</v>
      </c>
      <c r="K420" s="272">
        <f>IFERROR(IF(BA420="WIP - 30 Days",VLOOKUP(D420,[3]Standard!$B$9:$E$101,4,FALSE),IF(BA420="31-120 Days",VLOOKUP(D420,[3]Standard!$B$9:$F$101,5,FALSE),IF(BA420="121-365 Days",VLOOKUP(D420,[3]Standard!$B$9:$G$101,6,FALSE),VLOOKUP(D420,[3]Standard!$B$9:$H$101,7,FALSE)))),0)</f>
        <v>1280151.5151515151</v>
      </c>
      <c r="L420" s="272">
        <f>IFERROR(IF(BA420="WIP - 30 Days",VLOOKUP(D420,[3]Standard!$B$9:$J$101,9,FALSE),IF(BA420="31-120 Days",VLOOKUP(D420,[3]Standard!$B$9:$K$100,10,FALSE),IF(BA420="121-365 Days",VLOOKUP(D420,[3]Standard!$B$9:$L$101,11,FALSE),VLOOKUP(D420,[3]Standard!$B$9:$M$101,12,FALSE)))),0)</f>
        <v>1267350</v>
      </c>
      <c r="M420" s="269">
        <f>IFERROR(VLOOKUP((D420&amp;C420)&amp;"",'[2]Retail Price List'!$C$4:$F$102,4,FALSE),"")</f>
        <v>1835000</v>
      </c>
      <c r="N420" s="269">
        <f>IFERROR(IF(BA420="WIP - 30 Days",VLOOKUP(D420,[3]Extended!$B$9:$E$101,4,FALSE),IF(BA420="31-120 Days",VLOOKUP(D420,[3]Extended!$B$9:$F$101,5,FALSE),IF(BA420="121-365 Days",VLOOKUP(D420,[3]Extended!$B$9:$G$101,6,FALSE),VLOOKUP(D420,[3]Extended!$B$9:$H$101,7,FALSE)))),0)</f>
        <v>1353080.808080808</v>
      </c>
      <c r="O420" s="269">
        <f>IFERROR(IF(BA420="WIP - 30 Days",VLOOKUP(D420,[3]Extended!$B$9:$J$101,9,FALSE),IF(BA420="31-120 Days",VLOOKUP(D420,[3]Extended!$B$9:$K$101,10,FALSE),IF(BA420="121-365 Days",VLOOKUP(D420,[3]Extended!$B$9:$L$101,11,FALSE),VLOOKUP(D420,[3]Extended!$B$9:$M$101,12,FALSE)))),0)</f>
        <v>1339550</v>
      </c>
      <c r="P420" s="116">
        <f t="shared" si="31"/>
        <v>0.27</v>
      </c>
      <c r="Q420" s="110" t="e">
        <f>O420-#REF!</f>
        <v>#REF!</v>
      </c>
      <c r="W420" s="311"/>
      <c r="X420" s="311"/>
      <c r="Y420" s="311"/>
      <c r="Z420" s="311"/>
      <c r="AA420" s="311"/>
      <c r="AB420" s="311"/>
      <c r="AC420" s="311"/>
      <c r="AT420" s="88" t="str">
        <f t="shared" si="32"/>
        <v>KP0007072017Q214,7</v>
      </c>
      <c r="AU420" s="89" t="str">
        <f t="shared" si="33"/>
        <v>04-2017</v>
      </c>
      <c r="BA420" s="92" t="str">
        <f t="shared" si="34"/>
        <v>&gt;365 Days</v>
      </c>
    </row>
    <row r="421" spans="1:90">
      <c r="B421" s="60">
        <f>[2]Trucks!A418</f>
        <v>46720</v>
      </c>
      <c r="C421" s="11" t="str">
        <f>[2]Trucks!B418</f>
        <v>TGS-26-4406X4BLS-LX-ALU-EL</v>
      </c>
      <c r="D421" s="19" t="str">
        <f>IFERROR(VLOOKUP(C421&amp;"",'[2]Retail Price List'!$A$3:$B$103,2,FALSE),"Special Order")</f>
        <v>KP000707</v>
      </c>
      <c r="E421" s="18" t="str">
        <f>[2]Trucks!J418</f>
        <v>BOOKED : 2017-08-8</v>
      </c>
      <c r="F421" s="12" t="str">
        <f>[2]Trucks!E418</f>
        <v>2017-10-12</v>
      </c>
      <c r="G421" s="56">
        <f>[2]Trucks!K418</f>
        <v>14.7</v>
      </c>
      <c r="H421" s="46">
        <f>[2]Trucks!I418</f>
        <v>42838</v>
      </c>
      <c r="I421" s="83" t="str">
        <f t="shared" si="30"/>
        <v>2017Q2</v>
      </c>
      <c r="J421" s="272">
        <f>IFERROR(VLOOKUP((D421&amp;C421)&amp;"",'[2]Retail Price List'!$C$4:$F$102,3,FALSE),"")</f>
        <v>1785000</v>
      </c>
      <c r="K421" s="272">
        <f>IFERROR(IF(BA421="WIP - 30 Days",VLOOKUP(D421,[3]Standard!$B$9:$E$101,4,FALSE),IF(BA421="31-120 Days",VLOOKUP(D421,[3]Standard!$B$9:$F$101,5,FALSE),IF(BA421="121-365 Days",VLOOKUP(D421,[3]Standard!$B$9:$G$101,6,FALSE),VLOOKUP(D421,[3]Standard!$B$9:$H$101,7,FALSE)))),0)</f>
        <v>1280151.5151515151</v>
      </c>
      <c r="L421" s="272">
        <f>IFERROR(IF(BA421="WIP - 30 Days",VLOOKUP(D421,[3]Standard!$B$9:$J$101,9,FALSE),IF(BA421="31-120 Days",VLOOKUP(D421,[3]Standard!$B$9:$K$100,10,FALSE),IF(BA421="121-365 Days",VLOOKUP(D421,[3]Standard!$B$9:$L$101,11,FALSE),VLOOKUP(D421,[3]Standard!$B$9:$M$101,12,FALSE)))),0)</f>
        <v>1267350</v>
      </c>
      <c r="M421" s="269">
        <f>IFERROR(VLOOKUP((D421&amp;C421)&amp;"",'[2]Retail Price List'!$C$4:$F$102,4,FALSE),"")</f>
        <v>1835000</v>
      </c>
      <c r="N421" s="269">
        <f>IFERROR(IF(BA421="WIP - 30 Days",VLOOKUP(D421,[3]Extended!$B$9:$E$101,4,FALSE),IF(BA421="31-120 Days",VLOOKUP(D421,[3]Extended!$B$9:$F$101,5,FALSE),IF(BA421="121-365 Days",VLOOKUP(D421,[3]Extended!$B$9:$G$101,6,FALSE),VLOOKUP(D421,[3]Extended!$B$9:$H$101,7,FALSE)))),0)</f>
        <v>1353080.808080808</v>
      </c>
      <c r="O421" s="269">
        <f>IFERROR(IF(BA421="WIP - 30 Days",VLOOKUP(D421,[3]Extended!$B$9:$J$101,9,FALSE),IF(BA421="31-120 Days",VLOOKUP(D421,[3]Extended!$B$9:$K$101,10,FALSE),IF(BA421="121-365 Days",VLOOKUP(D421,[3]Extended!$B$9:$L$101,11,FALSE),VLOOKUP(D421,[3]Extended!$B$9:$M$101,12,FALSE)))),0)</f>
        <v>1339550</v>
      </c>
      <c r="P421" s="116">
        <f t="shared" si="31"/>
        <v>0.27</v>
      </c>
      <c r="Q421" s="110" t="e">
        <f>O421-#REF!</f>
        <v>#REF!</v>
      </c>
      <c r="W421" s="311"/>
      <c r="X421" s="311"/>
      <c r="Y421" s="311"/>
      <c r="Z421" s="311"/>
      <c r="AA421" s="311"/>
      <c r="AB421" s="311"/>
      <c r="AC421" s="311"/>
      <c r="AT421" s="88" t="str">
        <f t="shared" si="32"/>
        <v>KP0007072017Q214,7</v>
      </c>
      <c r="AU421" s="89" t="str">
        <f t="shared" si="33"/>
        <v>04-2017</v>
      </c>
      <c r="BA421" s="92" t="str">
        <f t="shared" si="34"/>
        <v>&gt;365 Days</v>
      </c>
    </row>
    <row r="422" spans="1:90">
      <c r="B422" s="60">
        <f>[2]Trucks!A419</f>
        <v>46721</v>
      </c>
      <c r="C422" s="11" t="str">
        <f>[2]Trucks!B419</f>
        <v>TGS-26-4406X4BLS-LX-ALU-EL</v>
      </c>
      <c r="D422" s="19" t="str">
        <f>IFERROR(VLOOKUP(C422&amp;"",'[2]Retail Price List'!$A$3:$B$103,2,FALSE),"Special Order")</f>
        <v>KP000707</v>
      </c>
      <c r="E422" s="18" t="str">
        <f>[2]Trucks!J419</f>
        <v>BOOKED : 2017-08-8</v>
      </c>
      <c r="F422" s="12" t="str">
        <f>[2]Trucks!E419</f>
        <v>2017-10-13</v>
      </c>
      <c r="G422" s="56">
        <f>[2]Trucks!K419</f>
        <v>14.7</v>
      </c>
      <c r="H422" s="46">
        <f>[2]Trucks!I419</f>
        <v>42838</v>
      </c>
      <c r="I422" s="83" t="str">
        <f t="shared" si="30"/>
        <v>2017Q2</v>
      </c>
      <c r="J422" s="272">
        <f>IFERROR(VLOOKUP((D422&amp;C422)&amp;"",'[2]Retail Price List'!$C$4:$F$102,3,FALSE),"")</f>
        <v>1785000</v>
      </c>
      <c r="K422" s="272">
        <f>IFERROR(IF(BA422="WIP - 30 Days",VLOOKUP(D422,[3]Standard!$B$9:$E$101,4,FALSE),IF(BA422="31-120 Days",VLOOKUP(D422,[3]Standard!$B$9:$F$101,5,FALSE),IF(BA422="121-365 Days",VLOOKUP(D422,[3]Standard!$B$9:$G$101,6,FALSE),VLOOKUP(D422,[3]Standard!$B$9:$H$101,7,FALSE)))),0)</f>
        <v>1280151.5151515151</v>
      </c>
      <c r="L422" s="272">
        <f>IFERROR(IF(BA422="WIP - 30 Days",VLOOKUP(D422,[3]Standard!$B$9:$J$101,9,FALSE),IF(BA422="31-120 Days",VLOOKUP(D422,[3]Standard!$B$9:$K$100,10,FALSE),IF(BA422="121-365 Days",VLOOKUP(D422,[3]Standard!$B$9:$L$101,11,FALSE),VLOOKUP(D422,[3]Standard!$B$9:$M$101,12,FALSE)))),0)</f>
        <v>1267350</v>
      </c>
      <c r="M422" s="269">
        <f>IFERROR(VLOOKUP((D422&amp;C422)&amp;"",'[2]Retail Price List'!$C$4:$F$102,4,FALSE),"")</f>
        <v>1835000</v>
      </c>
      <c r="N422" s="269">
        <f>IFERROR(IF(BA422="WIP - 30 Days",VLOOKUP(D422,[3]Extended!$B$9:$E$101,4,FALSE),IF(BA422="31-120 Days",VLOOKUP(D422,[3]Extended!$B$9:$F$101,5,FALSE),IF(BA422="121-365 Days",VLOOKUP(D422,[3]Extended!$B$9:$G$101,6,FALSE),VLOOKUP(D422,[3]Extended!$B$9:$H$101,7,FALSE)))),0)</f>
        <v>1353080.808080808</v>
      </c>
      <c r="O422" s="269">
        <f>IFERROR(IF(BA422="WIP - 30 Days",VLOOKUP(D422,[3]Extended!$B$9:$J$101,9,FALSE),IF(BA422="31-120 Days",VLOOKUP(D422,[3]Extended!$B$9:$K$101,10,FALSE),IF(BA422="121-365 Days",VLOOKUP(D422,[3]Extended!$B$9:$L$101,11,FALSE),VLOOKUP(D422,[3]Extended!$B$9:$M$101,12,FALSE)))),0)</f>
        <v>1339550</v>
      </c>
      <c r="P422" s="116">
        <f t="shared" si="31"/>
        <v>0.27</v>
      </c>
      <c r="Q422" s="110" t="e">
        <f>O422-#REF!</f>
        <v>#REF!</v>
      </c>
      <c r="W422" s="311"/>
      <c r="X422" s="311"/>
      <c r="Y422" s="311"/>
      <c r="Z422" s="311"/>
      <c r="AA422" s="311"/>
      <c r="AB422" s="311"/>
      <c r="AC422" s="311"/>
      <c r="AT422" s="88" t="str">
        <f t="shared" si="32"/>
        <v>KP0007072017Q214,7</v>
      </c>
      <c r="AU422" s="89" t="str">
        <f t="shared" si="33"/>
        <v>04-2017</v>
      </c>
      <c r="BA422" s="92" t="str">
        <f t="shared" si="34"/>
        <v>&gt;365 Days</v>
      </c>
    </row>
    <row r="423" spans="1:90" s="4" customFormat="1">
      <c r="A423" s="69"/>
      <c r="B423" s="60">
        <f>[2]Trucks!A420</f>
        <v>46722</v>
      </c>
      <c r="C423" s="11" t="str">
        <f>[2]Trucks!B420</f>
        <v>TGS-26-4406X4BLS-LX-ALU-EL</v>
      </c>
      <c r="D423" s="19" t="str">
        <f>IFERROR(VLOOKUP(C423&amp;"",'[2]Retail Price List'!$A$3:$B$103,2,FALSE),"Special Order")</f>
        <v>KP000707</v>
      </c>
      <c r="E423" s="18" t="str">
        <f>[2]Trucks!J420</f>
        <v>BOOKED : 2017-08-8</v>
      </c>
      <c r="F423" s="12" t="str">
        <f>[2]Trucks!E420</f>
        <v>2017-10-13</v>
      </c>
      <c r="G423" s="56">
        <f>[2]Trucks!K420</f>
        <v>14.7</v>
      </c>
      <c r="H423" s="46">
        <f>[2]Trucks!I420</f>
        <v>42838</v>
      </c>
      <c r="I423" s="83" t="str">
        <f t="shared" si="30"/>
        <v>2017Q2</v>
      </c>
      <c r="J423" s="272">
        <f>IFERROR(VLOOKUP((D423&amp;C423)&amp;"",'[2]Retail Price List'!$C$4:$F$102,3,FALSE),"")</f>
        <v>1785000</v>
      </c>
      <c r="K423" s="272">
        <f>IFERROR(IF(BA423="WIP - 30 Days",VLOOKUP(D423,[3]Standard!$B$9:$E$101,4,FALSE),IF(BA423="31-120 Days",VLOOKUP(D423,[3]Standard!$B$9:$F$101,5,FALSE),IF(BA423="121-365 Days",VLOOKUP(D423,[3]Standard!$B$9:$G$101,6,FALSE),VLOOKUP(D423,[3]Standard!$B$9:$H$101,7,FALSE)))),0)</f>
        <v>1280151.5151515151</v>
      </c>
      <c r="L423" s="272">
        <f>IFERROR(IF(BA423="WIP - 30 Days",VLOOKUP(D423,[3]Standard!$B$9:$J$101,9,FALSE),IF(BA423="31-120 Days",VLOOKUP(D423,[3]Standard!$B$9:$K$100,10,FALSE),IF(BA423="121-365 Days",VLOOKUP(D423,[3]Standard!$B$9:$L$101,11,FALSE),VLOOKUP(D423,[3]Standard!$B$9:$M$101,12,FALSE)))),0)</f>
        <v>1267350</v>
      </c>
      <c r="M423" s="269">
        <f>IFERROR(VLOOKUP((D423&amp;C423)&amp;"",'[2]Retail Price List'!$C$4:$F$102,4,FALSE),"")</f>
        <v>1835000</v>
      </c>
      <c r="N423" s="269">
        <f>IFERROR(IF(BA423="WIP - 30 Days",VLOOKUP(D423,[3]Extended!$B$9:$E$101,4,FALSE),IF(BA423="31-120 Days",VLOOKUP(D423,[3]Extended!$B$9:$F$101,5,FALSE),IF(BA423="121-365 Days",VLOOKUP(D423,[3]Extended!$B$9:$G$101,6,FALSE),VLOOKUP(D423,[3]Extended!$B$9:$H$101,7,FALSE)))),0)</f>
        <v>1353080.808080808</v>
      </c>
      <c r="O423" s="269">
        <f>IFERROR(IF(BA423="WIP - 30 Days",VLOOKUP(D423,[3]Extended!$B$9:$J$101,9,FALSE),IF(BA423="31-120 Days",VLOOKUP(D423,[3]Extended!$B$9:$K$101,10,FALSE),IF(BA423="121-365 Days",VLOOKUP(D423,[3]Extended!$B$9:$L$101,11,FALSE),VLOOKUP(D423,[3]Extended!$B$9:$M$101,12,FALSE)))),0)</f>
        <v>1339550</v>
      </c>
      <c r="P423" s="116">
        <f t="shared" si="31"/>
        <v>0.27</v>
      </c>
      <c r="Q423" s="110" t="e">
        <f>O423-#REF!</f>
        <v>#REF!</v>
      </c>
      <c r="R423" s="111" t="e">
        <f>SUM(Q420:Q422)/SUM(O420:O422)</f>
        <v>#REF!</v>
      </c>
      <c r="S423" s="112"/>
      <c r="T423" s="112"/>
      <c r="U423" s="112"/>
      <c r="V423" s="112"/>
      <c r="W423" s="311"/>
      <c r="X423" s="311"/>
      <c r="Y423" s="311"/>
      <c r="Z423" s="311"/>
      <c r="AA423" s="311"/>
      <c r="AB423" s="311"/>
      <c r="AC423" s="311"/>
      <c r="AD423" s="89"/>
      <c r="AE423" s="89"/>
      <c r="AF423" s="89"/>
      <c r="AG423" s="5"/>
      <c r="AH423" s="5"/>
      <c r="AI423" s="5"/>
      <c r="AJ423" s="5"/>
      <c r="AK423" s="5"/>
      <c r="AL423" s="5"/>
      <c r="AM423" s="5"/>
      <c r="AN423" s="5"/>
      <c r="AO423" s="5"/>
      <c r="AP423" s="5"/>
      <c r="AQ423" s="5"/>
      <c r="AR423" s="5"/>
      <c r="AS423" s="5"/>
      <c r="AT423" s="88" t="str">
        <f t="shared" si="32"/>
        <v>KP0007072017Q214,7</v>
      </c>
      <c r="AU423" s="89" t="str">
        <f t="shared" si="33"/>
        <v>04-2017</v>
      </c>
      <c r="AV423" s="89"/>
      <c r="AW423" s="89"/>
      <c r="AX423" s="89"/>
      <c r="AY423" s="89"/>
      <c r="AZ423" s="89"/>
      <c r="BA423" s="92" t="str">
        <f t="shared" si="34"/>
        <v>&gt;365 Days</v>
      </c>
      <c r="BB423" s="89"/>
      <c r="BC423" s="97"/>
      <c r="BD423" s="97"/>
    </row>
    <row r="424" spans="1:90">
      <c r="B424" s="60">
        <f>[2]Trucks!A421</f>
        <v>46723</v>
      </c>
      <c r="C424" s="11" t="str">
        <f>[2]Trucks!B421</f>
        <v>TGS-26-4406X4BLS-LX-ALU-EL</v>
      </c>
      <c r="D424" s="19" t="str">
        <f>IFERROR(VLOOKUP(C424&amp;"",'[2]Retail Price List'!$A$3:$B$103,2,FALSE),"Special Order")</f>
        <v>KP000707</v>
      </c>
      <c r="E424" s="18" t="str">
        <f>[2]Trucks!J421</f>
        <v>BOOKED : 2017-08-8</v>
      </c>
      <c r="F424" s="12" t="str">
        <f>[2]Trucks!E421</f>
        <v>2017-10-13</v>
      </c>
      <c r="G424" s="56">
        <f>[2]Trucks!K421</f>
        <v>14.7</v>
      </c>
      <c r="H424" s="46">
        <f>[2]Trucks!I421</f>
        <v>42838</v>
      </c>
      <c r="I424" s="83" t="str">
        <f t="shared" si="30"/>
        <v>2017Q2</v>
      </c>
      <c r="J424" s="272">
        <f>IFERROR(VLOOKUP((D424&amp;C424)&amp;"",'[2]Retail Price List'!$C$4:$F$102,3,FALSE),"")</f>
        <v>1785000</v>
      </c>
      <c r="K424" s="272">
        <f>IFERROR(IF(BA424="WIP - 30 Days",VLOOKUP(D424,[3]Standard!$B$9:$E$101,4,FALSE),IF(BA424="31-120 Days",VLOOKUP(D424,[3]Standard!$B$9:$F$101,5,FALSE),IF(BA424="121-365 Days",VLOOKUP(D424,[3]Standard!$B$9:$G$101,6,FALSE),VLOOKUP(D424,[3]Standard!$B$9:$H$101,7,FALSE)))),0)</f>
        <v>1280151.5151515151</v>
      </c>
      <c r="L424" s="272">
        <f>IFERROR(IF(BA424="WIP - 30 Days",VLOOKUP(D424,[3]Standard!$B$9:$J$101,9,FALSE),IF(BA424="31-120 Days",VLOOKUP(D424,[3]Standard!$B$9:$K$100,10,FALSE),IF(BA424="121-365 Days",VLOOKUP(D424,[3]Standard!$B$9:$L$101,11,FALSE),VLOOKUP(D424,[3]Standard!$B$9:$M$101,12,FALSE)))),0)</f>
        <v>1267350</v>
      </c>
      <c r="M424" s="269">
        <f>IFERROR(VLOOKUP((D424&amp;C424)&amp;"",'[2]Retail Price List'!$C$4:$F$102,4,FALSE),"")</f>
        <v>1835000</v>
      </c>
      <c r="N424" s="269">
        <f>IFERROR(IF(BA424="WIP - 30 Days",VLOOKUP(D424,[3]Extended!$B$9:$E$101,4,FALSE),IF(BA424="31-120 Days",VLOOKUP(D424,[3]Extended!$B$9:$F$101,5,FALSE),IF(BA424="121-365 Days",VLOOKUP(D424,[3]Extended!$B$9:$G$101,6,FALSE),VLOOKUP(D424,[3]Extended!$B$9:$H$101,7,FALSE)))),0)</f>
        <v>1353080.808080808</v>
      </c>
      <c r="O424" s="269">
        <f>IFERROR(IF(BA424="WIP - 30 Days",VLOOKUP(D424,[3]Extended!$B$9:$J$101,9,FALSE),IF(BA424="31-120 Days",VLOOKUP(D424,[3]Extended!$B$9:$K$101,10,FALSE),IF(BA424="121-365 Days",VLOOKUP(D424,[3]Extended!$B$9:$L$101,11,FALSE),VLOOKUP(D424,[3]Extended!$B$9:$M$101,12,FALSE)))),0)</f>
        <v>1339550</v>
      </c>
      <c r="P424" s="116">
        <f t="shared" si="31"/>
        <v>0.27</v>
      </c>
      <c r="Q424" s="110" t="e">
        <f>O424-#REF!</f>
        <v>#REF!</v>
      </c>
      <c r="S424" s="112" t="s">
        <v>9</v>
      </c>
      <c r="T424" s="112" t="s">
        <v>10</v>
      </c>
      <c r="U424" s="112" t="s">
        <v>11</v>
      </c>
      <c r="W424" s="311"/>
      <c r="X424" s="311"/>
      <c r="Y424" s="311"/>
      <c r="Z424" s="311"/>
      <c r="AA424" s="311"/>
      <c r="AB424" s="311"/>
      <c r="AC424" s="311"/>
      <c r="AT424" s="88" t="str">
        <f t="shared" si="32"/>
        <v>KP0007072017Q214,7</v>
      </c>
      <c r="AU424" s="89" t="str">
        <f t="shared" si="33"/>
        <v>04-2017</v>
      </c>
      <c r="AW424" s="84"/>
      <c r="AX424" s="84"/>
      <c r="AY424" s="84"/>
      <c r="BA424" s="92" t="str">
        <f t="shared" si="34"/>
        <v>&gt;365 Days</v>
      </c>
    </row>
    <row r="425" spans="1:90" s="66" customFormat="1">
      <c r="A425" s="69"/>
      <c r="B425" s="60">
        <f>[2]Trucks!A422</f>
        <v>46724</v>
      </c>
      <c r="C425" s="11" t="str">
        <f>[2]Trucks!B422</f>
        <v>TGS-26-4406X4BLS-LX-ALU-EL</v>
      </c>
      <c r="D425" s="19" t="str">
        <f>IFERROR(VLOOKUP(C425&amp;"",'[2]Retail Price List'!$A$3:$B$103,2,FALSE),"Special Order")</f>
        <v>KP000707</v>
      </c>
      <c r="E425" s="18" t="str">
        <f>[2]Trucks!J422</f>
        <v>BOOKED : 2017-08-8</v>
      </c>
      <c r="F425" s="12" t="str">
        <f>[2]Trucks!E422</f>
        <v>2017-10-13</v>
      </c>
      <c r="G425" s="56">
        <f>[2]Trucks!K422</f>
        <v>14.7</v>
      </c>
      <c r="H425" s="46">
        <f>[2]Trucks!I422</f>
        <v>42838</v>
      </c>
      <c r="I425" s="83" t="str">
        <f t="shared" si="30"/>
        <v>2017Q2</v>
      </c>
      <c r="J425" s="272">
        <f>IFERROR(VLOOKUP((D425&amp;C425)&amp;"",'[2]Retail Price List'!$C$4:$F$102,3,FALSE),"")</f>
        <v>1785000</v>
      </c>
      <c r="K425" s="272">
        <f>IFERROR(IF(BA425="WIP - 30 Days",VLOOKUP(D425,[3]Standard!$B$9:$E$101,4,FALSE),IF(BA425="31-120 Days",VLOOKUP(D425,[3]Standard!$B$9:$F$101,5,FALSE),IF(BA425="121-365 Days",VLOOKUP(D425,[3]Standard!$B$9:$G$101,6,FALSE),VLOOKUP(D425,[3]Standard!$B$9:$H$101,7,FALSE)))),0)</f>
        <v>1280151.5151515151</v>
      </c>
      <c r="L425" s="272">
        <f>IFERROR(IF(BA425="WIP - 30 Days",VLOOKUP(D425,[3]Standard!$B$9:$J$101,9,FALSE),IF(BA425="31-120 Days",VLOOKUP(D425,[3]Standard!$B$9:$K$100,10,FALSE),IF(BA425="121-365 Days",VLOOKUP(D425,[3]Standard!$B$9:$L$101,11,FALSE),VLOOKUP(D425,[3]Standard!$B$9:$M$101,12,FALSE)))),0)</f>
        <v>1267350</v>
      </c>
      <c r="M425" s="269">
        <f>IFERROR(VLOOKUP((D425&amp;C425)&amp;"",'[2]Retail Price List'!$C$4:$F$102,4,FALSE),"")</f>
        <v>1835000</v>
      </c>
      <c r="N425" s="269">
        <f>IFERROR(IF(BA425="WIP - 30 Days",VLOOKUP(D425,[3]Extended!$B$9:$E$101,4,FALSE),IF(BA425="31-120 Days",VLOOKUP(D425,[3]Extended!$B$9:$F$101,5,FALSE),IF(BA425="121-365 Days",VLOOKUP(D425,[3]Extended!$B$9:$G$101,6,FALSE),VLOOKUP(D425,[3]Extended!$B$9:$H$101,7,FALSE)))),0)</f>
        <v>1353080.808080808</v>
      </c>
      <c r="O425" s="269">
        <f>IFERROR(IF(BA425="WIP - 30 Days",VLOOKUP(D425,[3]Extended!$B$9:$J$101,9,FALSE),IF(BA425="31-120 Days",VLOOKUP(D425,[3]Extended!$B$9:$K$101,10,FALSE),IF(BA425="121-365 Days",VLOOKUP(D425,[3]Extended!$B$9:$L$101,11,FALSE),VLOOKUP(D425,[3]Extended!$B$9:$M$101,12,FALSE)))),0)</f>
        <v>1339550</v>
      </c>
      <c r="P425" s="261">
        <f t="shared" si="31"/>
        <v>0.27</v>
      </c>
      <c r="Q425" s="262" t="e">
        <f>O425-#REF!</f>
        <v>#REF!</v>
      </c>
      <c r="R425" s="263"/>
      <c r="S425" s="264">
        <v>7.2</v>
      </c>
      <c r="T425" s="264">
        <v>-6.8</v>
      </c>
      <c r="U425" s="264">
        <v>-2.2999999999999998</v>
      </c>
      <c r="V425" s="264"/>
      <c r="W425" s="311"/>
      <c r="X425" s="311"/>
      <c r="Y425" s="311"/>
      <c r="Z425" s="311"/>
      <c r="AA425" s="311"/>
      <c r="AB425" s="311"/>
      <c r="AC425" s="311"/>
      <c r="AD425" s="84"/>
      <c r="AE425" s="84"/>
      <c r="AF425" s="84"/>
      <c r="AG425" s="69"/>
      <c r="AH425" s="69"/>
      <c r="AI425" s="69"/>
      <c r="AJ425" s="69"/>
      <c r="AK425" s="69"/>
      <c r="AL425" s="69"/>
      <c r="AM425" s="69"/>
      <c r="AN425" s="69"/>
      <c r="AO425" s="69"/>
      <c r="AP425" s="69"/>
      <c r="AQ425" s="69"/>
      <c r="AR425" s="69"/>
      <c r="AS425" s="69"/>
      <c r="AT425" s="88" t="str">
        <f t="shared" si="32"/>
        <v>KP0007072017Q214,7</v>
      </c>
      <c r="AU425" s="89" t="str">
        <f t="shared" si="33"/>
        <v>04-2017</v>
      </c>
      <c r="AV425" s="84"/>
      <c r="AW425" s="89"/>
      <c r="AX425" s="89"/>
      <c r="AY425" s="89"/>
      <c r="AZ425" s="84"/>
      <c r="BA425" s="92" t="str">
        <f t="shared" si="34"/>
        <v>&gt;365 Days</v>
      </c>
      <c r="BB425" s="84"/>
      <c r="BC425" s="84"/>
      <c r="BD425" s="84"/>
      <c r="BE425" s="69"/>
      <c r="BF425" s="69"/>
      <c r="BG425" s="69"/>
      <c r="BH425" s="69"/>
      <c r="BI425" s="69"/>
      <c r="BJ425" s="69"/>
      <c r="BK425" s="69"/>
      <c r="BL425" s="69"/>
      <c r="BM425" s="69"/>
      <c r="BN425" s="69"/>
      <c r="BO425" s="69"/>
      <c r="BP425" s="69"/>
      <c r="BQ425" s="69"/>
      <c r="BR425" s="69"/>
      <c r="BS425" s="69"/>
      <c r="BT425" s="69"/>
      <c r="BU425" s="69"/>
      <c r="BV425" s="69"/>
      <c r="BW425" s="69"/>
      <c r="BX425" s="69"/>
      <c r="BY425" s="69"/>
      <c r="BZ425" s="69"/>
      <c r="CA425" s="69"/>
      <c r="CB425" s="69"/>
      <c r="CC425" s="69"/>
      <c r="CD425" s="69"/>
      <c r="CE425" s="69"/>
      <c r="CF425" s="69"/>
      <c r="CG425" s="69"/>
      <c r="CH425" s="69"/>
      <c r="CI425" s="69"/>
      <c r="CJ425" s="69"/>
      <c r="CK425" s="69"/>
      <c r="CL425" s="69"/>
    </row>
    <row r="426" spans="1:90">
      <c r="B426" s="60">
        <f>[2]Trucks!A423</f>
        <v>46725</v>
      </c>
      <c r="C426" s="11" t="str">
        <f>[2]Trucks!B423</f>
        <v>TGS-26-4406X4BLS-LX-ALU-EL</v>
      </c>
      <c r="D426" s="19" t="str">
        <f>IFERROR(VLOOKUP(C426&amp;"",'[2]Retail Price List'!$A$3:$B$103,2,FALSE),"Special Order")</f>
        <v>KP000707</v>
      </c>
      <c r="E426" s="18" t="str">
        <f>[2]Trucks!J423</f>
        <v>BOOKED : 2017-08-8</v>
      </c>
      <c r="F426" s="12" t="str">
        <f>[2]Trucks!E423</f>
        <v>2017-10-13</v>
      </c>
      <c r="G426" s="56">
        <f>[2]Trucks!K423</f>
        <v>14.7</v>
      </c>
      <c r="H426" s="46">
        <f>[2]Trucks!I423</f>
        <v>42838</v>
      </c>
      <c r="I426" s="83" t="str">
        <f t="shared" si="30"/>
        <v>2017Q2</v>
      </c>
      <c r="J426" s="272">
        <f>IFERROR(VLOOKUP((D426&amp;C426)&amp;"",'[2]Retail Price List'!$C$4:$F$102,3,FALSE),"")</f>
        <v>1785000</v>
      </c>
      <c r="K426" s="272">
        <f>IFERROR(IF(BA426="WIP - 30 Days",VLOOKUP(D426,[3]Standard!$B$9:$E$101,4,FALSE),IF(BA426="31-120 Days",VLOOKUP(D426,[3]Standard!$B$9:$F$101,5,FALSE),IF(BA426="121-365 Days",VLOOKUP(D426,[3]Standard!$B$9:$G$101,6,FALSE),VLOOKUP(D426,[3]Standard!$B$9:$H$101,7,FALSE)))),0)</f>
        <v>1280151.5151515151</v>
      </c>
      <c r="L426" s="272">
        <f>IFERROR(IF(BA426="WIP - 30 Days",VLOOKUP(D426,[3]Standard!$B$9:$J$101,9,FALSE),IF(BA426="31-120 Days",VLOOKUP(D426,[3]Standard!$B$9:$K$100,10,FALSE),IF(BA426="121-365 Days",VLOOKUP(D426,[3]Standard!$B$9:$L$101,11,FALSE),VLOOKUP(D426,[3]Standard!$B$9:$M$101,12,FALSE)))),0)</f>
        <v>1267350</v>
      </c>
      <c r="M426" s="269">
        <f>IFERROR(VLOOKUP((D426&amp;C426)&amp;"",'[2]Retail Price List'!$C$4:$F$102,4,FALSE),"")</f>
        <v>1835000</v>
      </c>
      <c r="N426" s="269">
        <f>IFERROR(IF(BA426="WIP - 30 Days",VLOOKUP(D426,[3]Extended!$B$9:$E$101,4,FALSE),IF(BA426="31-120 Days",VLOOKUP(D426,[3]Extended!$B$9:$F$101,5,FALSE),IF(BA426="121-365 Days",VLOOKUP(D426,[3]Extended!$B$9:$G$101,6,FALSE),VLOOKUP(D426,[3]Extended!$B$9:$H$101,7,FALSE)))),0)</f>
        <v>1353080.808080808</v>
      </c>
      <c r="O426" s="269">
        <f>IFERROR(IF(BA426="WIP - 30 Days",VLOOKUP(D426,[3]Extended!$B$9:$J$101,9,FALSE),IF(BA426="31-120 Days",VLOOKUP(D426,[3]Extended!$B$9:$K$101,10,FALSE),IF(BA426="121-365 Days",VLOOKUP(D426,[3]Extended!$B$9:$L$101,11,FALSE),VLOOKUP(D426,[3]Extended!$B$9:$M$101,12,FALSE)))),0)</f>
        <v>1339550</v>
      </c>
      <c r="P426" s="116">
        <f t="shared" si="31"/>
        <v>0.27</v>
      </c>
      <c r="Q426" s="110" t="e">
        <f>O426-#REF!</f>
        <v>#REF!</v>
      </c>
      <c r="S426" s="112">
        <v>-3.7</v>
      </c>
      <c r="W426" s="311"/>
      <c r="X426" s="311"/>
      <c r="Y426" s="311"/>
      <c r="Z426" s="311"/>
      <c r="AA426" s="311"/>
      <c r="AB426" s="311"/>
      <c r="AC426" s="311"/>
      <c r="AT426" s="88" t="str">
        <f t="shared" si="32"/>
        <v>KP0007072017Q214,7</v>
      </c>
      <c r="AU426" s="89" t="str">
        <f t="shared" si="33"/>
        <v>04-2017</v>
      </c>
      <c r="BA426" s="92" t="str">
        <f t="shared" si="34"/>
        <v>&gt;365 Days</v>
      </c>
    </row>
    <row r="427" spans="1:90">
      <c r="B427" s="60">
        <f>[2]Trucks!A424</f>
        <v>46960</v>
      </c>
      <c r="C427" s="11" t="str">
        <f>[2]Trucks!B424</f>
        <v>TGS-26-4406X4BLS-LX-ALU-EL</v>
      </c>
      <c r="D427" s="19" t="str">
        <f>IFERROR(VLOOKUP(C427&amp;"",'[2]Retail Price List'!$A$3:$B$103,2,FALSE),"Special Order")</f>
        <v>KP000707</v>
      </c>
      <c r="E427" s="18" t="str">
        <f>[2]Trucks!J424</f>
        <v>CKD</v>
      </c>
      <c r="F427" s="12" t="str">
        <f>[2]Trucks!E424</f>
        <v>2017-11-1</v>
      </c>
      <c r="G427" s="56">
        <f>[2]Trucks!K424</f>
        <v>14.7</v>
      </c>
      <c r="H427" s="46">
        <f>[2]Trucks!I424</f>
        <v>42859</v>
      </c>
      <c r="I427" s="83" t="str">
        <f t="shared" si="30"/>
        <v>2017Q2</v>
      </c>
      <c r="J427" s="272">
        <f>IFERROR(VLOOKUP((D427&amp;C427)&amp;"",'[2]Retail Price List'!$C$4:$F$102,3,FALSE),"")</f>
        <v>1785000</v>
      </c>
      <c r="K427" s="272">
        <f>IFERROR(IF(BA427="WIP - 30 Days",VLOOKUP(D427,[3]Standard!$B$9:$E$101,4,FALSE),IF(BA427="31-120 Days",VLOOKUP(D427,[3]Standard!$B$9:$F$101,5,FALSE),IF(BA427="121-365 Days",VLOOKUP(D427,[3]Standard!$B$9:$G$101,6,FALSE),VLOOKUP(D427,[3]Standard!$B$9:$H$101,7,FALSE)))),0)</f>
        <v>1397298</v>
      </c>
      <c r="L427" s="272">
        <f>IFERROR(IF(BA427="WIP - 30 Days",VLOOKUP(D427,[3]Standard!$B$9:$J$101,9,FALSE),IF(BA427="31-120 Days",VLOOKUP(D427,[3]Standard!$B$9:$K$100,10,FALSE),IF(BA427="121-365 Days",VLOOKUP(D427,[3]Standard!$B$9:$L$101,11,FALSE),VLOOKUP(D427,[3]Standard!$B$9:$M$101,12,FALSE)))),0)</f>
        <v>1356600</v>
      </c>
      <c r="M427" s="269">
        <f>IFERROR(VLOOKUP((D427&amp;C427)&amp;"",'[2]Retail Price List'!$C$4:$F$102,4,FALSE),"")</f>
        <v>1835000</v>
      </c>
      <c r="N427" s="269">
        <f>IFERROR(IF(BA427="WIP - 30 Days",VLOOKUP(D427,[3]Extended!$B$9:$E$101,4,FALSE),IF(BA427="31-120 Days",VLOOKUP(D427,[3]Extended!$B$9:$F$101,5,FALSE),IF(BA427="121-365 Days",VLOOKUP(D427,[3]Extended!$B$9:$G$101,6,FALSE),VLOOKUP(D427,[3]Extended!$B$9:$H$101,7,FALSE)))),0)</f>
        <v>1474239</v>
      </c>
      <c r="O427" s="269">
        <f>IFERROR(IF(BA427="WIP - 30 Days",VLOOKUP(D427,[3]Extended!$B$9:$J$101,9,FALSE),IF(BA427="31-120 Days",VLOOKUP(D427,[3]Extended!$B$9:$K$101,10,FALSE),IF(BA427="121-365 Days",VLOOKUP(D427,[3]Extended!$B$9:$L$101,11,FALSE),VLOOKUP(D427,[3]Extended!$B$9:$M$101,12,FALSE)))),0)</f>
        <v>1431300</v>
      </c>
      <c r="P427" s="116">
        <f t="shared" si="31"/>
        <v>0.22</v>
      </c>
      <c r="Q427" s="110" t="e">
        <f>O427-#REF!</f>
        <v>#REF!</v>
      </c>
      <c r="S427" s="112">
        <f>COUNT(#REF!)</f>
        <v>0</v>
      </c>
      <c r="W427" s="311"/>
      <c r="X427" s="311"/>
      <c r="Y427" s="311"/>
      <c r="Z427" s="311"/>
      <c r="AA427" s="311"/>
      <c r="AB427" s="311"/>
      <c r="AC427" s="311"/>
      <c r="AT427" s="88" t="str">
        <f t="shared" si="32"/>
        <v>KP0007072017Q214,7</v>
      </c>
      <c r="AU427" s="89" t="str">
        <f t="shared" si="33"/>
        <v>05-2017</v>
      </c>
      <c r="BA427" s="92" t="str">
        <f t="shared" si="34"/>
        <v>WIP - 30 Days</v>
      </c>
    </row>
    <row r="428" spans="1:90">
      <c r="B428" s="60">
        <f>[2]Trucks!A425</f>
        <v>46961</v>
      </c>
      <c r="C428" s="11" t="str">
        <f>[2]Trucks!B425</f>
        <v>TGS-26-4406X4BLS-LX-ALU-EL</v>
      </c>
      <c r="D428" s="19" t="str">
        <f>IFERROR(VLOOKUP(C428&amp;"",'[2]Retail Price List'!$A$3:$B$103,2,FALSE),"Special Order")</f>
        <v>KP000707</v>
      </c>
      <c r="E428" s="18" t="str">
        <f>[2]Trucks!J425</f>
        <v>CKD</v>
      </c>
      <c r="F428" s="12" t="str">
        <f>[2]Trucks!E425</f>
        <v>2017-11-1</v>
      </c>
      <c r="G428" s="56">
        <f>[2]Trucks!K425</f>
        <v>14.7</v>
      </c>
      <c r="H428" s="46">
        <f>[2]Trucks!I425</f>
        <v>42859</v>
      </c>
      <c r="I428" s="83" t="str">
        <f t="shared" si="30"/>
        <v>2017Q2</v>
      </c>
      <c r="J428" s="272">
        <f>IFERROR(VLOOKUP((D428&amp;C428)&amp;"",'[2]Retail Price List'!$C$4:$F$102,3,FALSE),"")</f>
        <v>1785000</v>
      </c>
      <c r="K428" s="272">
        <f>IFERROR(IF(BA428="WIP - 30 Days",VLOOKUP(D428,[3]Standard!$B$9:$E$101,4,FALSE),IF(BA428="31-120 Days",VLOOKUP(D428,[3]Standard!$B$9:$F$101,5,FALSE),IF(BA428="121-365 Days",VLOOKUP(D428,[3]Standard!$B$9:$G$101,6,FALSE),VLOOKUP(D428,[3]Standard!$B$9:$H$101,7,FALSE)))),0)</f>
        <v>1397298</v>
      </c>
      <c r="L428" s="272">
        <f>IFERROR(IF(BA428="WIP - 30 Days",VLOOKUP(D428,[3]Standard!$B$9:$J$101,9,FALSE),IF(BA428="31-120 Days",VLOOKUP(D428,[3]Standard!$B$9:$K$100,10,FALSE),IF(BA428="121-365 Days",VLOOKUP(D428,[3]Standard!$B$9:$L$101,11,FALSE),VLOOKUP(D428,[3]Standard!$B$9:$M$101,12,FALSE)))),0)</f>
        <v>1356600</v>
      </c>
      <c r="M428" s="269">
        <f>IFERROR(VLOOKUP((D428&amp;C428)&amp;"",'[2]Retail Price List'!$C$4:$F$102,4,FALSE),"")</f>
        <v>1835000</v>
      </c>
      <c r="N428" s="269">
        <f>IFERROR(IF(BA428="WIP - 30 Days",VLOOKUP(D428,[3]Extended!$B$9:$E$101,4,FALSE),IF(BA428="31-120 Days",VLOOKUP(D428,[3]Extended!$B$9:$F$101,5,FALSE),IF(BA428="121-365 Days",VLOOKUP(D428,[3]Extended!$B$9:$G$101,6,FALSE),VLOOKUP(D428,[3]Extended!$B$9:$H$101,7,FALSE)))),0)</f>
        <v>1474239</v>
      </c>
      <c r="O428" s="269">
        <f>IFERROR(IF(BA428="WIP - 30 Days",VLOOKUP(D428,[3]Extended!$B$9:$J$101,9,FALSE),IF(BA428="31-120 Days",VLOOKUP(D428,[3]Extended!$B$9:$K$101,10,FALSE),IF(BA428="121-365 Days",VLOOKUP(D428,[3]Extended!$B$9:$L$101,11,FALSE),VLOOKUP(D428,[3]Extended!$B$9:$M$101,12,FALSE)))),0)</f>
        <v>1431300</v>
      </c>
      <c r="P428" s="116">
        <f t="shared" si="31"/>
        <v>0.22</v>
      </c>
      <c r="Q428" s="110" t="e">
        <f>O428-#REF!</f>
        <v>#REF!</v>
      </c>
      <c r="S428" s="110" t="e">
        <f>+AVERAGE(#REF!)</f>
        <v>#REF!</v>
      </c>
      <c r="W428" s="311"/>
      <c r="X428" s="311"/>
      <c r="Y428" s="311"/>
      <c r="Z428" s="311"/>
      <c r="AA428" s="311"/>
      <c r="AB428" s="311"/>
      <c r="AC428" s="311"/>
      <c r="AT428" s="88" t="str">
        <f t="shared" si="32"/>
        <v>KP0007072017Q214,7</v>
      </c>
      <c r="AU428" s="89" t="str">
        <f t="shared" si="33"/>
        <v>05-2017</v>
      </c>
      <c r="BA428" s="92" t="str">
        <f t="shared" si="34"/>
        <v>WIP - 30 Days</v>
      </c>
    </row>
    <row r="429" spans="1:90">
      <c r="B429" s="60">
        <f>[2]Trucks!A426</f>
        <v>46962</v>
      </c>
      <c r="C429" s="11" t="str">
        <f>[2]Trucks!B426</f>
        <v>TGS-26-4406X4BLS-LX-ALU-EL</v>
      </c>
      <c r="D429" s="19" t="str">
        <f>IFERROR(VLOOKUP(C429&amp;"",'[2]Retail Price List'!$A$3:$B$103,2,FALSE),"Special Order")</f>
        <v>KP000707</v>
      </c>
      <c r="E429" s="18" t="str">
        <f>[2]Trucks!J426</f>
        <v>CKD</v>
      </c>
      <c r="F429" s="12" t="str">
        <f>[2]Trucks!E426</f>
        <v>2017-11-1</v>
      </c>
      <c r="G429" s="56">
        <f>[2]Trucks!K426</f>
        <v>14.7</v>
      </c>
      <c r="H429" s="46">
        <f>[2]Trucks!I426</f>
        <v>42859</v>
      </c>
      <c r="I429" s="83" t="str">
        <f t="shared" si="30"/>
        <v>2017Q2</v>
      </c>
      <c r="J429" s="272">
        <f>IFERROR(VLOOKUP((D429&amp;C429)&amp;"",'[2]Retail Price List'!$C$4:$F$102,3,FALSE),"")</f>
        <v>1785000</v>
      </c>
      <c r="K429" s="272">
        <f>IFERROR(IF(BA429="WIP - 30 Days",VLOOKUP(D429,[3]Standard!$B$9:$E$101,4,FALSE),IF(BA429="31-120 Days",VLOOKUP(D429,[3]Standard!$B$9:$F$101,5,FALSE),IF(BA429="121-365 Days",VLOOKUP(D429,[3]Standard!$B$9:$G$101,6,FALSE),VLOOKUP(D429,[3]Standard!$B$9:$H$101,7,FALSE)))),0)</f>
        <v>1397298</v>
      </c>
      <c r="L429" s="272">
        <f>IFERROR(IF(BA429="WIP - 30 Days",VLOOKUP(D429,[3]Standard!$B$9:$J$101,9,FALSE),IF(BA429="31-120 Days",VLOOKUP(D429,[3]Standard!$B$9:$K$100,10,FALSE),IF(BA429="121-365 Days",VLOOKUP(D429,[3]Standard!$B$9:$L$101,11,FALSE),VLOOKUP(D429,[3]Standard!$B$9:$M$101,12,FALSE)))),0)</f>
        <v>1356600</v>
      </c>
      <c r="M429" s="269">
        <f>IFERROR(VLOOKUP((D429&amp;C429)&amp;"",'[2]Retail Price List'!$C$4:$F$102,4,FALSE),"")</f>
        <v>1835000</v>
      </c>
      <c r="N429" s="269">
        <f>IFERROR(IF(BA429="WIP - 30 Days",VLOOKUP(D429,[3]Extended!$B$9:$E$101,4,FALSE),IF(BA429="31-120 Days",VLOOKUP(D429,[3]Extended!$B$9:$F$101,5,FALSE),IF(BA429="121-365 Days",VLOOKUP(D429,[3]Extended!$B$9:$G$101,6,FALSE),VLOOKUP(D429,[3]Extended!$B$9:$H$101,7,FALSE)))),0)</f>
        <v>1474239</v>
      </c>
      <c r="O429" s="269">
        <f>IFERROR(IF(BA429="WIP - 30 Days",VLOOKUP(D429,[3]Extended!$B$9:$J$101,9,FALSE),IF(BA429="31-120 Days",VLOOKUP(D429,[3]Extended!$B$9:$K$101,10,FALSE),IF(BA429="121-365 Days",VLOOKUP(D429,[3]Extended!$B$9:$L$101,11,FALSE),VLOOKUP(D429,[3]Extended!$B$9:$M$101,12,FALSE)))),0)</f>
        <v>1431300</v>
      </c>
      <c r="P429" s="116">
        <f t="shared" si="31"/>
        <v>0.22</v>
      </c>
      <c r="Q429" s="110" t="e">
        <f>O429-#REF!</f>
        <v>#REF!</v>
      </c>
      <c r="W429" s="311"/>
      <c r="X429" s="311"/>
      <c r="Y429" s="311"/>
      <c r="Z429" s="311"/>
      <c r="AA429" s="311"/>
      <c r="AB429" s="311"/>
      <c r="AC429" s="311"/>
      <c r="AT429" s="88" t="str">
        <f t="shared" si="32"/>
        <v>KP0007072017Q214,7</v>
      </c>
      <c r="AU429" s="89" t="str">
        <f t="shared" si="33"/>
        <v>05-2017</v>
      </c>
      <c r="BA429" s="92" t="str">
        <f t="shared" si="34"/>
        <v>WIP - 30 Days</v>
      </c>
    </row>
    <row r="430" spans="1:90">
      <c r="B430" s="60">
        <f>[2]Trucks!A427</f>
        <v>46963</v>
      </c>
      <c r="C430" s="11" t="str">
        <f>[2]Trucks!B427</f>
        <v>TGS-26-4406X4BLS-LX-ALU-EL</v>
      </c>
      <c r="D430" s="19" t="str">
        <f>IFERROR(VLOOKUP(C430&amp;"",'[2]Retail Price List'!$A$3:$B$103,2,FALSE),"Special Order")</f>
        <v>KP000707</v>
      </c>
      <c r="E430" s="18" t="str">
        <f>[2]Trucks!J427</f>
        <v>CKD</v>
      </c>
      <c r="F430" s="12" t="str">
        <f>[2]Trucks!E427</f>
        <v>2017-11-2</v>
      </c>
      <c r="G430" s="56">
        <f>[2]Trucks!K427</f>
        <v>14.7</v>
      </c>
      <c r="H430" s="46">
        <f>[2]Trucks!I427</f>
        <v>42859</v>
      </c>
      <c r="I430" s="83" t="str">
        <f t="shared" si="30"/>
        <v>2017Q2</v>
      </c>
      <c r="J430" s="272">
        <f>IFERROR(VLOOKUP((D430&amp;C430)&amp;"",'[2]Retail Price List'!$C$4:$F$102,3,FALSE),"")</f>
        <v>1785000</v>
      </c>
      <c r="K430" s="272">
        <f>IFERROR(IF(BA430="WIP - 30 Days",VLOOKUP(D430,[3]Standard!$B$9:$E$101,4,FALSE),IF(BA430="31-120 Days",VLOOKUP(D430,[3]Standard!$B$9:$F$101,5,FALSE),IF(BA430="121-365 Days",VLOOKUP(D430,[3]Standard!$B$9:$G$101,6,FALSE),VLOOKUP(D430,[3]Standard!$B$9:$H$101,7,FALSE)))),0)</f>
        <v>1397298</v>
      </c>
      <c r="L430" s="272">
        <f>IFERROR(IF(BA430="WIP - 30 Days",VLOOKUP(D430,[3]Standard!$B$9:$J$101,9,FALSE),IF(BA430="31-120 Days",VLOOKUP(D430,[3]Standard!$B$9:$K$100,10,FALSE),IF(BA430="121-365 Days",VLOOKUP(D430,[3]Standard!$B$9:$L$101,11,FALSE),VLOOKUP(D430,[3]Standard!$B$9:$M$101,12,FALSE)))),0)</f>
        <v>1356600</v>
      </c>
      <c r="M430" s="269">
        <f>IFERROR(VLOOKUP((D430&amp;C430)&amp;"",'[2]Retail Price List'!$C$4:$F$102,4,FALSE),"")</f>
        <v>1835000</v>
      </c>
      <c r="N430" s="269">
        <f>IFERROR(IF(BA430="WIP - 30 Days",VLOOKUP(D430,[3]Extended!$B$9:$E$101,4,FALSE),IF(BA430="31-120 Days",VLOOKUP(D430,[3]Extended!$B$9:$F$101,5,FALSE),IF(BA430="121-365 Days",VLOOKUP(D430,[3]Extended!$B$9:$G$101,6,FALSE),VLOOKUP(D430,[3]Extended!$B$9:$H$101,7,FALSE)))),0)</f>
        <v>1474239</v>
      </c>
      <c r="O430" s="269">
        <f>IFERROR(IF(BA430="WIP - 30 Days",VLOOKUP(D430,[3]Extended!$B$9:$J$101,9,FALSE),IF(BA430="31-120 Days",VLOOKUP(D430,[3]Extended!$B$9:$K$101,10,FALSE),IF(BA430="121-365 Days",VLOOKUP(D430,[3]Extended!$B$9:$L$101,11,FALSE),VLOOKUP(D430,[3]Extended!$B$9:$M$101,12,FALSE)))),0)</f>
        <v>1431300</v>
      </c>
      <c r="P430" s="116">
        <f t="shared" si="31"/>
        <v>0.22</v>
      </c>
      <c r="Q430" s="110" t="e">
        <f>O430-#REF!</f>
        <v>#REF!</v>
      </c>
      <c r="W430" s="311"/>
      <c r="X430" s="311"/>
      <c r="Y430" s="311"/>
      <c r="Z430" s="311"/>
      <c r="AA430" s="311"/>
      <c r="AB430" s="311"/>
      <c r="AC430" s="311"/>
      <c r="AT430" s="88" t="str">
        <f t="shared" si="32"/>
        <v>KP0007072017Q214,7</v>
      </c>
      <c r="AU430" s="89" t="str">
        <f t="shared" si="33"/>
        <v>05-2017</v>
      </c>
      <c r="BA430" s="92" t="str">
        <f t="shared" si="34"/>
        <v>WIP - 30 Days</v>
      </c>
    </row>
    <row r="431" spans="1:90">
      <c r="B431" s="60">
        <f>[2]Trucks!A428</f>
        <v>46964</v>
      </c>
      <c r="C431" s="11" t="str">
        <f>[2]Trucks!B428</f>
        <v>TGS-26-4406X4BLS-LX-ALU-EL</v>
      </c>
      <c r="D431" s="19" t="str">
        <f>IFERROR(VLOOKUP(C431&amp;"",'[2]Retail Price List'!$A$3:$B$103,2,FALSE),"Special Order")</f>
        <v>KP000707</v>
      </c>
      <c r="E431" s="18" t="str">
        <f>[2]Trucks!J428</f>
        <v>CKD</v>
      </c>
      <c r="F431" s="12" t="str">
        <f>[2]Trucks!E428</f>
        <v>2017-11-2</v>
      </c>
      <c r="G431" s="56">
        <f>[2]Trucks!K428</f>
        <v>14.7</v>
      </c>
      <c r="H431" s="46">
        <f>[2]Trucks!I428</f>
        <v>42859</v>
      </c>
      <c r="I431" s="83" t="str">
        <f t="shared" si="30"/>
        <v>2017Q2</v>
      </c>
      <c r="J431" s="272">
        <f>IFERROR(VLOOKUP((D431&amp;C431)&amp;"",'[2]Retail Price List'!$C$4:$F$102,3,FALSE),"")</f>
        <v>1785000</v>
      </c>
      <c r="K431" s="272">
        <f>IFERROR(IF(BA431="WIP - 30 Days",VLOOKUP(D431,[3]Standard!$B$9:$E$101,4,FALSE),IF(BA431="31-120 Days",VLOOKUP(D431,[3]Standard!$B$9:$F$101,5,FALSE),IF(BA431="121-365 Days",VLOOKUP(D431,[3]Standard!$B$9:$G$101,6,FALSE),VLOOKUP(D431,[3]Standard!$B$9:$H$101,7,FALSE)))),0)</f>
        <v>1397298</v>
      </c>
      <c r="L431" s="272">
        <f>IFERROR(IF(BA431="WIP - 30 Days",VLOOKUP(D431,[3]Standard!$B$9:$J$101,9,FALSE),IF(BA431="31-120 Days",VLOOKUP(D431,[3]Standard!$B$9:$K$100,10,FALSE),IF(BA431="121-365 Days",VLOOKUP(D431,[3]Standard!$B$9:$L$101,11,FALSE),VLOOKUP(D431,[3]Standard!$B$9:$M$101,12,FALSE)))),0)</f>
        <v>1356600</v>
      </c>
      <c r="M431" s="269">
        <f>IFERROR(VLOOKUP((D431&amp;C431)&amp;"",'[2]Retail Price List'!$C$4:$F$102,4,FALSE),"")</f>
        <v>1835000</v>
      </c>
      <c r="N431" s="269">
        <f>IFERROR(IF(BA431="WIP - 30 Days",VLOOKUP(D431,[3]Extended!$B$9:$E$101,4,FALSE),IF(BA431="31-120 Days",VLOOKUP(D431,[3]Extended!$B$9:$F$101,5,FALSE),IF(BA431="121-365 Days",VLOOKUP(D431,[3]Extended!$B$9:$G$101,6,FALSE),VLOOKUP(D431,[3]Extended!$B$9:$H$101,7,FALSE)))),0)</f>
        <v>1474239</v>
      </c>
      <c r="O431" s="269">
        <f>IFERROR(IF(BA431="WIP - 30 Days",VLOOKUP(D431,[3]Extended!$B$9:$J$101,9,FALSE),IF(BA431="31-120 Days",VLOOKUP(D431,[3]Extended!$B$9:$K$101,10,FALSE),IF(BA431="121-365 Days",VLOOKUP(D431,[3]Extended!$B$9:$L$101,11,FALSE),VLOOKUP(D431,[3]Extended!$B$9:$M$101,12,FALSE)))),0)</f>
        <v>1431300</v>
      </c>
      <c r="P431" s="116">
        <f t="shared" si="31"/>
        <v>0.22</v>
      </c>
      <c r="Q431" s="110" t="e">
        <f>O431-#REF!</f>
        <v>#REF!</v>
      </c>
      <c r="W431" s="311"/>
      <c r="X431" s="311"/>
      <c r="Y431" s="311"/>
      <c r="Z431" s="311"/>
      <c r="AA431" s="311"/>
      <c r="AB431" s="311"/>
      <c r="AC431" s="311"/>
      <c r="AT431" s="88" t="str">
        <f t="shared" si="32"/>
        <v>KP0007072017Q214,7</v>
      </c>
      <c r="AU431" s="89" t="str">
        <f t="shared" si="33"/>
        <v>05-2017</v>
      </c>
      <c r="BA431" s="92" t="str">
        <f t="shared" si="34"/>
        <v>WIP - 30 Days</v>
      </c>
    </row>
    <row r="432" spans="1:90">
      <c r="B432" s="60">
        <f>[2]Trucks!A429</f>
        <v>46965</v>
      </c>
      <c r="C432" s="11" t="str">
        <f>[2]Trucks!B429</f>
        <v>TGS-26-4406X4BLS-LX-ALU-EL</v>
      </c>
      <c r="D432" s="19" t="str">
        <f>IFERROR(VLOOKUP(C432&amp;"",'[2]Retail Price List'!$A$3:$B$103,2,FALSE),"Special Order")</f>
        <v>KP000707</v>
      </c>
      <c r="E432" s="18" t="str">
        <f>[2]Trucks!J429</f>
        <v>CKD</v>
      </c>
      <c r="F432" s="12" t="str">
        <f>[2]Trucks!E429</f>
        <v>2017-11-2</v>
      </c>
      <c r="G432" s="56">
        <f>[2]Trucks!K429</f>
        <v>14.7</v>
      </c>
      <c r="H432" s="46">
        <f>[2]Trucks!I429</f>
        <v>42859</v>
      </c>
      <c r="I432" s="83" t="str">
        <f t="shared" si="30"/>
        <v>2017Q2</v>
      </c>
      <c r="J432" s="272">
        <f>IFERROR(VLOOKUP((D432&amp;C432)&amp;"",'[2]Retail Price List'!$C$4:$F$102,3,FALSE),"")</f>
        <v>1785000</v>
      </c>
      <c r="K432" s="272">
        <f>IFERROR(IF(BA432="WIP - 30 Days",VLOOKUP(D432,[3]Standard!$B$9:$E$101,4,FALSE),IF(BA432="31-120 Days",VLOOKUP(D432,[3]Standard!$B$9:$F$101,5,FALSE),IF(BA432="121-365 Days",VLOOKUP(D432,[3]Standard!$B$9:$G$101,6,FALSE),VLOOKUP(D432,[3]Standard!$B$9:$H$101,7,FALSE)))),0)</f>
        <v>1397298</v>
      </c>
      <c r="L432" s="272">
        <f>IFERROR(IF(BA432="WIP - 30 Days",VLOOKUP(D432,[3]Standard!$B$9:$J$101,9,FALSE),IF(BA432="31-120 Days",VLOOKUP(D432,[3]Standard!$B$9:$K$100,10,FALSE),IF(BA432="121-365 Days",VLOOKUP(D432,[3]Standard!$B$9:$L$101,11,FALSE),VLOOKUP(D432,[3]Standard!$B$9:$M$101,12,FALSE)))),0)</f>
        <v>1356600</v>
      </c>
      <c r="M432" s="269">
        <f>IFERROR(VLOOKUP((D432&amp;C432)&amp;"",'[2]Retail Price List'!$C$4:$F$102,4,FALSE),"")</f>
        <v>1835000</v>
      </c>
      <c r="N432" s="269">
        <f>IFERROR(IF(BA432="WIP - 30 Days",VLOOKUP(D432,[3]Extended!$B$9:$E$101,4,FALSE),IF(BA432="31-120 Days",VLOOKUP(D432,[3]Extended!$B$9:$F$101,5,FALSE),IF(BA432="121-365 Days",VLOOKUP(D432,[3]Extended!$B$9:$G$101,6,FALSE),VLOOKUP(D432,[3]Extended!$B$9:$H$101,7,FALSE)))),0)</f>
        <v>1474239</v>
      </c>
      <c r="O432" s="269">
        <f>IFERROR(IF(BA432="WIP - 30 Days",VLOOKUP(D432,[3]Extended!$B$9:$J$101,9,FALSE),IF(BA432="31-120 Days",VLOOKUP(D432,[3]Extended!$B$9:$K$101,10,FALSE),IF(BA432="121-365 Days",VLOOKUP(D432,[3]Extended!$B$9:$L$101,11,FALSE),VLOOKUP(D432,[3]Extended!$B$9:$M$101,12,FALSE)))),0)</f>
        <v>1431300</v>
      </c>
      <c r="P432" s="116">
        <f t="shared" si="31"/>
        <v>0.22</v>
      </c>
      <c r="Q432" s="110" t="e">
        <f>O432-#REF!</f>
        <v>#REF!</v>
      </c>
      <c r="W432" s="311"/>
      <c r="X432" s="311"/>
      <c r="Y432" s="311"/>
      <c r="Z432" s="311"/>
      <c r="AA432" s="311"/>
      <c r="AB432" s="311"/>
      <c r="AC432" s="311"/>
      <c r="AT432" s="88" t="str">
        <f t="shared" si="32"/>
        <v>KP0007072017Q214,7</v>
      </c>
      <c r="AU432" s="89" t="str">
        <f t="shared" si="33"/>
        <v>05-2017</v>
      </c>
      <c r="BA432" s="92" t="str">
        <f t="shared" si="34"/>
        <v>WIP - 30 Days</v>
      </c>
    </row>
    <row r="433" spans="1:56">
      <c r="B433" s="60">
        <f>[2]Trucks!A430</f>
        <v>46966</v>
      </c>
      <c r="C433" s="11" t="str">
        <f>[2]Trucks!B430</f>
        <v>TGS-26-4406X4BLS-LX-ALU-EL</v>
      </c>
      <c r="D433" s="19" t="str">
        <f>IFERROR(VLOOKUP(C433&amp;"",'[2]Retail Price List'!$A$3:$B$103,2,FALSE),"Special Order")</f>
        <v>KP000707</v>
      </c>
      <c r="E433" s="18" t="str">
        <f>[2]Trucks!J430</f>
        <v>CKD</v>
      </c>
      <c r="F433" s="12" t="str">
        <f>[2]Trucks!E430</f>
        <v>2017-11-2</v>
      </c>
      <c r="G433" s="56">
        <f>[2]Trucks!K430</f>
        <v>14.7</v>
      </c>
      <c r="H433" s="46">
        <f>[2]Trucks!I430</f>
        <v>42859</v>
      </c>
      <c r="I433" s="83" t="str">
        <f t="shared" si="30"/>
        <v>2017Q2</v>
      </c>
      <c r="J433" s="272">
        <f>IFERROR(VLOOKUP((D433&amp;C433)&amp;"",'[2]Retail Price List'!$C$4:$F$102,3,FALSE),"")</f>
        <v>1785000</v>
      </c>
      <c r="K433" s="272">
        <f>IFERROR(IF(BA433="WIP - 30 Days",VLOOKUP(D433,[3]Standard!$B$9:$E$101,4,FALSE),IF(BA433="31-120 Days",VLOOKUP(D433,[3]Standard!$B$9:$F$101,5,FALSE),IF(BA433="121-365 Days",VLOOKUP(D433,[3]Standard!$B$9:$G$101,6,FALSE),VLOOKUP(D433,[3]Standard!$B$9:$H$101,7,FALSE)))),0)</f>
        <v>1397298</v>
      </c>
      <c r="L433" s="272">
        <f>IFERROR(IF(BA433="WIP - 30 Days",VLOOKUP(D433,[3]Standard!$B$9:$J$101,9,FALSE),IF(BA433="31-120 Days",VLOOKUP(D433,[3]Standard!$B$9:$K$100,10,FALSE),IF(BA433="121-365 Days",VLOOKUP(D433,[3]Standard!$B$9:$L$101,11,FALSE),VLOOKUP(D433,[3]Standard!$B$9:$M$101,12,FALSE)))),0)</f>
        <v>1356600</v>
      </c>
      <c r="M433" s="269">
        <f>IFERROR(VLOOKUP((D433&amp;C433)&amp;"",'[2]Retail Price List'!$C$4:$F$102,4,FALSE),"")</f>
        <v>1835000</v>
      </c>
      <c r="N433" s="269">
        <f>IFERROR(IF(BA433="WIP - 30 Days",VLOOKUP(D433,[3]Extended!$B$9:$E$101,4,FALSE),IF(BA433="31-120 Days",VLOOKUP(D433,[3]Extended!$B$9:$F$101,5,FALSE),IF(BA433="121-365 Days",VLOOKUP(D433,[3]Extended!$B$9:$G$101,6,FALSE),VLOOKUP(D433,[3]Extended!$B$9:$H$101,7,FALSE)))),0)</f>
        <v>1474239</v>
      </c>
      <c r="O433" s="269">
        <f>IFERROR(IF(BA433="WIP - 30 Days",VLOOKUP(D433,[3]Extended!$B$9:$J$101,9,FALSE),IF(BA433="31-120 Days",VLOOKUP(D433,[3]Extended!$B$9:$K$101,10,FALSE),IF(BA433="121-365 Days",VLOOKUP(D433,[3]Extended!$B$9:$L$101,11,FALSE),VLOOKUP(D433,[3]Extended!$B$9:$M$101,12,FALSE)))),0)</f>
        <v>1431300</v>
      </c>
      <c r="P433" s="116">
        <f t="shared" si="31"/>
        <v>0.22</v>
      </c>
      <c r="Q433" s="110" t="e">
        <f>O433-#REF!</f>
        <v>#REF!</v>
      </c>
      <c r="W433" s="311"/>
      <c r="X433" s="311"/>
      <c r="Y433" s="311"/>
      <c r="Z433" s="311"/>
      <c r="AA433" s="311"/>
      <c r="AB433" s="311"/>
      <c r="AC433" s="311"/>
      <c r="AT433" s="88" t="str">
        <f t="shared" si="32"/>
        <v>KP0007072017Q214,7</v>
      </c>
      <c r="AU433" s="89" t="str">
        <f t="shared" si="33"/>
        <v>05-2017</v>
      </c>
      <c r="BA433" s="92" t="str">
        <f t="shared" si="34"/>
        <v>WIP - 30 Days</v>
      </c>
    </row>
    <row r="434" spans="1:56">
      <c r="B434" s="60">
        <f>[2]Trucks!A431</f>
        <v>46967</v>
      </c>
      <c r="C434" s="11" t="str">
        <f>[2]Trucks!B431</f>
        <v>TGS-26-4406X4BLS-LX-ALU-EL</v>
      </c>
      <c r="D434" s="19" t="str">
        <f>IFERROR(VLOOKUP(C434&amp;"",'[2]Retail Price List'!$A$3:$B$103,2,FALSE),"Special Order")</f>
        <v>KP000707</v>
      </c>
      <c r="E434" s="18" t="str">
        <f>[2]Trucks!J431</f>
        <v>CKD</v>
      </c>
      <c r="F434" s="12" t="str">
        <f>[2]Trucks!E431</f>
        <v>2017-11-2</v>
      </c>
      <c r="G434" s="56">
        <f>[2]Trucks!K431</f>
        <v>14.7</v>
      </c>
      <c r="H434" s="46">
        <f>[2]Trucks!I431</f>
        <v>42859</v>
      </c>
      <c r="I434" s="83" t="str">
        <f t="shared" si="30"/>
        <v>2017Q2</v>
      </c>
      <c r="J434" s="272">
        <f>IFERROR(VLOOKUP((D434&amp;C434)&amp;"",'[2]Retail Price List'!$C$4:$F$102,3,FALSE),"")</f>
        <v>1785000</v>
      </c>
      <c r="K434" s="272">
        <f>IFERROR(IF(BA434="WIP - 30 Days",VLOOKUP(D434,[3]Standard!$B$9:$E$101,4,FALSE),IF(BA434="31-120 Days",VLOOKUP(D434,[3]Standard!$B$9:$F$101,5,FALSE),IF(BA434="121-365 Days",VLOOKUP(D434,[3]Standard!$B$9:$G$101,6,FALSE),VLOOKUP(D434,[3]Standard!$B$9:$H$101,7,FALSE)))),0)</f>
        <v>1397298</v>
      </c>
      <c r="L434" s="272">
        <f>IFERROR(IF(BA434="WIP - 30 Days",VLOOKUP(D434,[3]Standard!$B$9:$J$101,9,FALSE),IF(BA434="31-120 Days",VLOOKUP(D434,[3]Standard!$B$9:$K$100,10,FALSE),IF(BA434="121-365 Days",VLOOKUP(D434,[3]Standard!$B$9:$L$101,11,FALSE),VLOOKUP(D434,[3]Standard!$B$9:$M$101,12,FALSE)))),0)</f>
        <v>1356600</v>
      </c>
      <c r="M434" s="269">
        <f>IFERROR(VLOOKUP((D434&amp;C434)&amp;"",'[2]Retail Price List'!$C$4:$F$102,4,FALSE),"")</f>
        <v>1835000</v>
      </c>
      <c r="N434" s="269">
        <f>IFERROR(IF(BA434="WIP - 30 Days",VLOOKUP(D434,[3]Extended!$B$9:$E$101,4,FALSE),IF(BA434="31-120 Days",VLOOKUP(D434,[3]Extended!$B$9:$F$101,5,FALSE),IF(BA434="121-365 Days",VLOOKUP(D434,[3]Extended!$B$9:$G$101,6,FALSE),VLOOKUP(D434,[3]Extended!$B$9:$H$101,7,FALSE)))),0)</f>
        <v>1474239</v>
      </c>
      <c r="O434" s="269">
        <f>IFERROR(IF(BA434="WIP - 30 Days",VLOOKUP(D434,[3]Extended!$B$9:$J$101,9,FALSE),IF(BA434="31-120 Days",VLOOKUP(D434,[3]Extended!$B$9:$K$101,10,FALSE),IF(BA434="121-365 Days",VLOOKUP(D434,[3]Extended!$B$9:$L$101,11,FALSE),VLOOKUP(D434,[3]Extended!$B$9:$M$101,12,FALSE)))),0)</f>
        <v>1431300</v>
      </c>
      <c r="P434" s="116">
        <f t="shared" si="31"/>
        <v>0.22</v>
      </c>
      <c r="Q434" s="110" t="e">
        <f>O434-#REF!</f>
        <v>#REF!</v>
      </c>
      <c r="W434" s="311"/>
      <c r="X434" s="311"/>
      <c r="Y434" s="311"/>
      <c r="Z434" s="311"/>
      <c r="AA434" s="311"/>
      <c r="AB434" s="311"/>
      <c r="AC434" s="311"/>
      <c r="AT434" s="88" t="str">
        <f t="shared" si="32"/>
        <v>KP0007072017Q214,7</v>
      </c>
      <c r="AU434" s="89" t="str">
        <f t="shared" si="33"/>
        <v>05-2017</v>
      </c>
      <c r="BA434" s="92" t="str">
        <f t="shared" si="34"/>
        <v>WIP - 30 Days</v>
      </c>
    </row>
    <row r="435" spans="1:56">
      <c r="B435" s="60">
        <f>[2]Trucks!A432</f>
        <v>46968</v>
      </c>
      <c r="C435" s="11" t="str">
        <f>[2]Trucks!B432</f>
        <v>TGS-26-4406X4BLS-LX-ALU-EL</v>
      </c>
      <c r="D435" s="19" t="str">
        <f>IFERROR(VLOOKUP(C435&amp;"",'[2]Retail Price List'!$A$3:$B$103,2,FALSE),"Special Order")</f>
        <v>KP000707</v>
      </c>
      <c r="E435" s="18" t="str">
        <f>[2]Trucks!J432</f>
        <v>CKD</v>
      </c>
      <c r="F435" s="12" t="str">
        <f>[2]Trucks!E432</f>
        <v>2017-12-4</v>
      </c>
      <c r="G435" s="56">
        <f>[2]Trucks!K432</f>
        <v>14.7</v>
      </c>
      <c r="H435" s="46">
        <f>[2]Trucks!I432</f>
        <v>42859</v>
      </c>
      <c r="I435" s="83" t="str">
        <f t="shared" si="30"/>
        <v>2017Q2</v>
      </c>
      <c r="J435" s="272">
        <f>IFERROR(VLOOKUP((D435&amp;C435)&amp;"",'[2]Retail Price List'!$C$4:$F$102,3,FALSE),"")</f>
        <v>1785000</v>
      </c>
      <c r="K435" s="272">
        <f>IFERROR(IF(BA435="WIP - 30 Days",VLOOKUP(D435,[3]Standard!$B$9:$E$101,4,FALSE),IF(BA435="31-120 Days",VLOOKUP(D435,[3]Standard!$B$9:$F$101,5,FALSE),IF(BA435="121-365 Days",VLOOKUP(D435,[3]Standard!$B$9:$G$101,6,FALSE),VLOOKUP(D435,[3]Standard!$B$9:$H$101,7,FALSE)))),0)</f>
        <v>1397298</v>
      </c>
      <c r="L435" s="272">
        <f>IFERROR(IF(BA435="WIP - 30 Days",VLOOKUP(D435,[3]Standard!$B$9:$J$101,9,FALSE),IF(BA435="31-120 Days",VLOOKUP(D435,[3]Standard!$B$9:$K$100,10,FALSE),IF(BA435="121-365 Days",VLOOKUP(D435,[3]Standard!$B$9:$L$101,11,FALSE),VLOOKUP(D435,[3]Standard!$B$9:$M$101,12,FALSE)))),0)</f>
        <v>1356600</v>
      </c>
      <c r="M435" s="269">
        <f>IFERROR(VLOOKUP((D435&amp;C435)&amp;"",'[2]Retail Price List'!$C$4:$F$102,4,FALSE),"")</f>
        <v>1835000</v>
      </c>
      <c r="N435" s="269">
        <f>IFERROR(IF(BA435="WIP - 30 Days",VLOOKUP(D435,[3]Extended!$B$9:$E$101,4,FALSE),IF(BA435="31-120 Days",VLOOKUP(D435,[3]Extended!$B$9:$F$101,5,FALSE),IF(BA435="121-365 Days",VLOOKUP(D435,[3]Extended!$B$9:$G$101,6,FALSE),VLOOKUP(D435,[3]Extended!$B$9:$H$101,7,FALSE)))),0)</f>
        <v>1474239</v>
      </c>
      <c r="O435" s="269">
        <f>IFERROR(IF(BA435="WIP - 30 Days",VLOOKUP(D435,[3]Extended!$B$9:$J$101,9,FALSE),IF(BA435="31-120 Days",VLOOKUP(D435,[3]Extended!$B$9:$K$101,10,FALSE),IF(BA435="121-365 Days",VLOOKUP(D435,[3]Extended!$B$9:$L$101,11,FALSE),VLOOKUP(D435,[3]Extended!$B$9:$M$101,12,FALSE)))),0)</f>
        <v>1431300</v>
      </c>
      <c r="P435" s="116">
        <f t="shared" si="31"/>
        <v>0.22</v>
      </c>
      <c r="Q435" s="110" t="e">
        <f>O435-#REF!</f>
        <v>#REF!</v>
      </c>
      <c r="W435" s="311"/>
      <c r="X435" s="311"/>
      <c r="Y435" s="311"/>
      <c r="Z435" s="311"/>
      <c r="AA435" s="311"/>
      <c r="AB435" s="311"/>
      <c r="AC435" s="311"/>
      <c r="AT435" s="88" t="str">
        <f t="shared" si="32"/>
        <v>KP0007072017Q214,7</v>
      </c>
      <c r="AU435" s="89" t="str">
        <f t="shared" si="33"/>
        <v>05-2017</v>
      </c>
      <c r="BA435" s="92" t="str">
        <f t="shared" si="34"/>
        <v>WIP - 30 Days</v>
      </c>
    </row>
    <row r="436" spans="1:56">
      <c r="B436" s="60">
        <f>[2]Trucks!A433</f>
        <v>46969</v>
      </c>
      <c r="C436" s="11" t="str">
        <f>[2]Trucks!B433</f>
        <v>TGS-26-4406X4BLS-LX-ALU-EL</v>
      </c>
      <c r="D436" s="19" t="str">
        <f>IFERROR(VLOOKUP(C436&amp;"",'[2]Retail Price List'!$A$3:$B$103,2,FALSE),"Special Order")</f>
        <v>KP000707</v>
      </c>
      <c r="E436" s="18" t="str">
        <f>[2]Trucks!J433</f>
        <v>CKD</v>
      </c>
      <c r="F436" s="12" t="str">
        <f>[2]Trucks!E433</f>
        <v>2017-12-4</v>
      </c>
      <c r="G436" s="56">
        <f>[2]Trucks!K433</f>
        <v>14.7</v>
      </c>
      <c r="H436" s="46">
        <f>[2]Trucks!I433</f>
        <v>42859</v>
      </c>
      <c r="I436" s="83" t="str">
        <f t="shared" si="30"/>
        <v>2017Q2</v>
      </c>
      <c r="J436" s="272">
        <f>IFERROR(VLOOKUP((D436&amp;C436)&amp;"",'[2]Retail Price List'!$C$4:$F$102,3,FALSE),"")</f>
        <v>1785000</v>
      </c>
      <c r="K436" s="272">
        <f>IFERROR(IF(BA436="WIP - 30 Days",VLOOKUP(D436,[3]Standard!$B$9:$E$101,4,FALSE),IF(BA436="31-120 Days",VLOOKUP(D436,[3]Standard!$B$9:$F$101,5,FALSE),IF(BA436="121-365 Days",VLOOKUP(D436,[3]Standard!$B$9:$G$101,6,FALSE),VLOOKUP(D436,[3]Standard!$B$9:$H$101,7,FALSE)))),0)</f>
        <v>1397298</v>
      </c>
      <c r="L436" s="272">
        <f>IFERROR(IF(BA436="WIP - 30 Days",VLOOKUP(D436,[3]Standard!$B$9:$J$101,9,FALSE),IF(BA436="31-120 Days",VLOOKUP(D436,[3]Standard!$B$9:$K$100,10,FALSE),IF(BA436="121-365 Days",VLOOKUP(D436,[3]Standard!$B$9:$L$101,11,FALSE),VLOOKUP(D436,[3]Standard!$B$9:$M$101,12,FALSE)))),0)</f>
        <v>1356600</v>
      </c>
      <c r="M436" s="269">
        <f>IFERROR(VLOOKUP((D436&amp;C436)&amp;"",'[2]Retail Price List'!$C$4:$F$102,4,FALSE),"")</f>
        <v>1835000</v>
      </c>
      <c r="N436" s="269">
        <f>IFERROR(IF(BA436="WIP - 30 Days",VLOOKUP(D436,[3]Extended!$B$9:$E$101,4,FALSE),IF(BA436="31-120 Days",VLOOKUP(D436,[3]Extended!$B$9:$F$101,5,FALSE),IF(BA436="121-365 Days",VLOOKUP(D436,[3]Extended!$B$9:$G$101,6,FALSE),VLOOKUP(D436,[3]Extended!$B$9:$H$101,7,FALSE)))),0)</f>
        <v>1474239</v>
      </c>
      <c r="O436" s="269">
        <f>IFERROR(IF(BA436="WIP - 30 Days",VLOOKUP(D436,[3]Extended!$B$9:$J$101,9,FALSE),IF(BA436="31-120 Days",VLOOKUP(D436,[3]Extended!$B$9:$K$101,10,FALSE),IF(BA436="121-365 Days",VLOOKUP(D436,[3]Extended!$B$9:$L$101,11,FALSE),VLOOKUP(D436,[3]Extended!$B$9:$M$101,12,FALSE)))),0)</f>
        <v>1431300</v>
      </c>
      <c r="P436" s="116">
        <f t="shared" si="31"/>
        <v>0.22</v>
      </c>
      <c r="Q436" s="110" t="e">
        <f>O436-#REF!</f>
        <v>#REF!</v>
      </c>
      <c r="W436" s="311"/>
      <c r="X436" s="311"/>
      <c r="Y436" s="311"/>
      <c r="Z436" s="311"/>
      <c r="AA436" s="311"/>
      <c r="AB436" s="311"/>
      <c r="AC436" s="311"/>
      <c r="AT436" s="88" t="str">
        <f t="shared" si="32"/>
        <v>KP0007072017Q214,7</v>
      </c>
      <c r="AU436" s="89" t="str">
        <f t="shared" si="33"/>
        <v>05-2017</v>
      </c>
      <c r="BA436" s="92" t="str">
        <f t="shared" si="34"/>
        <v>WIP - 30 Days</v>
      </c>
    </row>
    <row r="437" spans="1:56">
      <c r="B437" s="60">
        <f>[2]Trucks!A434</f>
        <v>46970</v>
      </c>
      <c r="C437" s="11" t="str">
        <f>[2]Trucks!B434</f>
        <v>TGS-26-4406X4BLS-LX-ALU-EL</v>
      </c>
      <c r="D437" s="19" t="str">
        <f>IFERROR(VLOOKUP(C437&amp;"",'[2]Retail Price List'!$A$3:$B$103,2,FALSE),"Special Order")</f>
        <v>KP000707</v>
      </c>
      <c r="E437" s="18" t="str">
        <f>[2]Trucks!J434</f>
        <v>CKD</v>
      </c>
      <c r="F437" s="12" t="str">
        <f>[2]Trucks!E434</f>
        <v>2017-12-4</v>
      </c>
      <c r="G437" s="56">
        <f>[2]Trucks!K434</f>
        <v>14.7</v>
      </c>
      <c r="H437" s="46">
        <f>[2]Trucks!I434</f>
        <v>42859</v>
      </c>
      <c r="I437" s="83" t="str">
        <f t="shared" si="30"/>
        <v>2017Q2</v>
      </c>
      <c r="J437" s="272">
        <f>IFERROR(VLOOKUP((D437&amp;C437)&amp;"",'[2]Retail Price List'!$C$4:$F$102,3,FALSE),"")</f>
        <v>1785000</v>
      </c>
      <c r="K437" s="272">
        <f>IFERROR(IF(BA437="WIP - 30 Days",VLOOKUP(D437,[3]Standard!$B$9:$E$101,4,FALSE),IF(BA437="31-120 Days",VLOOKUP(D437,[3]Standard!$B$9:$F$101,5,FALSE),IF(BA437="121-365 Days",VLOOKUP(D437,[3]Standard!$B$9:$G$101,6,FALSE),VLOOKUP(D437,[3]Standard!$B$9:$H$101,7,FALSE)))),0)</f>
        <v>1397298</v>
      </c>
      <c r="L437" s="272">
        <f>IFERROR(IF(BA437="WIP - 30 Days",VLOOKUP(D437,[3]Standard!$B$9:$J$101,9,FALSE),IF(BA437="31-120 Days",VLOOKUP(D437,[3]Standard!$B$9:$K$100,10,FALSE),IF(BA437="121-365 Days",VLOOKUP(D437,[3]Standard!$B$9:$L$101,11,FALSE),VLOOKUP(D437,[3]Standard!$B$9:$M$101,12,FALSE)))),0)</f>
        <v>1356600</v>
      </c>
      <c r="M437" s="269">
        <f>IFERROR(VLOOKUP((D437&amp;C437)&amp;"",'[2]Retail Price List'!$C$4:$F$102,4,FALSE),"")</f>
        <v>1835000</v>
      </c>
      <c r="N437" s="269">
        <f>IFERROR(IF(BA437="WIP - 30 Days",VLOOKUP(D437,[3]Extended!$B$9:$E$101,4,FALSE),IF(BA437="31-120 Days",VLOOKUP(D437,[3]Extended!$B$9:$F$101,5,FALSE),IF(BA437="121-365 Days",VLOOKUP(D437,[3]Extended!$B$9:$G$101,6,FALSE),VLOOKUP(D437,[3]Extended!$B$9:$H$101,7,FALSE)))),0)</f>
        <v>1474239</v>
      </c>
      <c r="O437" s="269">
        <f>IFERROR(IF(BA437="WIP - 30 Days",VLOOKUP(D437,[3]Extended!$B$9:$J$101,9,FALSE),IF(BA437="31-120 Days",VLOOKUP(D437,[3]Extended!$B$9:$K$101,10,FALSE),IF(BA437="121-365 Days",VLOOKUP(D437,[3]Extended!$B$9:$L$101,11,FALSE),VLOOKUP(D437,[3]Extended!$B$9:$M$101,12,FALSE)))),0)</f>
        <v>1431300</v>
      </c>
      <c r="P437" s="116">
        <f t="shared" si="31"/>
        <v>0.22</v>
      </c>
      <c r="Q437" s="110" t="e">
        <f>O437-#REF!</f>
        <v>#REF!</v>
      </c>
      <c r="W437" s="311"/>
      <c r="X437" s="311"/>
      <c r="Y437" s="311"/>
      <c r="Z437" s="311"/>
      <c r="AA437" s="311"/>
      <c r="AB437" s="311"/>
      <c r="AC437" s="311"/>
      <c r="AT437" s="88" t="str">
        <f t="shared" si="32"/>
        <v>KP0007072017Q214,7</v>
      </c>
      <c r="AU437" s="89" t="str">
        <f t="shared" si="33"/>
        <v>05-2017</v>
      </c>
      <c r="BA437" s="92" t="str">
        <f t="shared" si="34"/>
        <v>WIP - 30 Days</v>
      </c>
    </row>
    <row r="438" spans="1:56">
      <c r="B438" s="60">
        <f>[2]Trucks!A435</f>
        <v>46971</v>
      </c>
      <c r="C438" s="11" t="str">
        <f>[2]Trucks!B435</f>
        <v>TGS-26-4406X4BLS-LX-ALU-EL</v>
      </c>
      <c r="D438" s="19" t="str">
        <f>IFERROR(VLOOKUP(C438&amp;"",'[2]Retail Price List'!$A$3:$B$103,2,FALSE),"Special Order")</f>
        <v>KP000707</v>
      </c>
      <c r="E438" s="18" t="str">
        <f>[2]Trucks!J435</f>
        <v>CKD</v>
      </c>
      <c r="F438" s="12" t="str">
        <f>[2]Trucks!E435</f>
        <v>2017-12-4</v>
      </c>
      <c r="G438" s="56">
        <f>[2]Trucks!K435</f>
        <v>14.7</v>
      </c>
      <c r="H438" s="46">
        <f>[2]Trucks!I435</f>
        <v>42859</v>
      </c>
      <c r="I438" s="83" t="str">
        <f t="shared" si="30"/>
        <v>2017Q2</v>
      </c>
      <c r="J438" s="272">
        <f>IFERROR(VLOOKUP((D438&amp;C438)&amp;"",'[2]Retail Price List'!$C$4:$F$102,3,FALSE),"")</f>
        <v>1785000</v>
      </c>
      <c r="K438" s="272">
        <f>IFERROR(IF(BA438="WIP - 30 Days",VLOOKUP(D438,[3]Standard!$B$9:$E$101,4,FALSE),IF(BA438="31-120 Days",VLOOKUP(D438,[3]Standard!$B$9:$F$101,5,FALSE),IF(BA438="121-365 Days",VLOOKUP(D438,[3]Standard!$B$9:$G$101,6,FALSE),VLOOKUP(D438,[3]Standard!$B$9:$H$101,7,FALSE)))),0)</f>
        <v>1397298</v>
      </c>
      <c r="L438" s="272">
        <f>IFERROR(IF(BA438="WIP - 30 Days",VLOOKUP(D438,[3]Standard!$B$9:$J$101,9,FALSE),IF(BA438="31-120 Days",VLOOKUP(D438,[3]Standard!$B$9:$K$100,10,FALSE),IF(BA438="121-365 Days",VLOOKUP(D438,[3]Standard!$B$9:$L$101,11,FALSE),VLOOKUP(D438,[3]Standard!$B$9:$M$101,12,FALSE)))),0)</f>
        <v>1356600</v>
      </c>
      <c r="M438" s="269">
        <f>IFERROR(VLOOKUP((D438&amp;C438)&amp;"",'[2]Retail Price List'!$C$4:$F$102,4,FALSE),"")</f>
        <v>1835000</v>
      </c>
      <c r="N438" s="269">
        <f>IFERROR(IF(BA438="WIP - 30 Days",VLOOKUP(D438,[3]Extended!$B$9:$E$101,4,FALSE),IF(BA438="31-120 Days",VLOOKUP(D438,[3]Extended!$B$9:$F$101,5,FALSE),IF(BA438="121-365 Days",VLOOKUP(D438,[3]Extended!$B$9:$G$101,6,FALSE),VLOOKUP(D438,[3]Extended!$B$9:$H$101,7,FALSE)))),0)</f>
        <v>1474239</v>
      </c>
      <c r="O438" s="269">
        <f>IFERROR(IF(BA438="WIP - 30 Days",VLOOKUP(D438,[3]Extended!$B$9:$J$101,9,FALSE),IF(BA438="31-120 Days",VLOOKUP(D438,[3]Extended!$B$9:$K$101,10,FALSE),IF(BA438="121-365 Days",VLOOKUP(D438,[3]Extended!$B$9:$L$101,11,FALSE),VLOOKUP(D438,[3]Extended!$B$9:$M$101,12,FALSE)))),0)</f>
        <v>1431300</v>
      </c>
      <c r="P438" s="116">
        <f t="shared" si="31"/>
        <v>0.22</v>
      </c>
      <c r="Q438" s="110" t="e">
        <f>O438-#REF!</f>
        <v>#REF!</v>
      </c>
      <c r="W438" s="311"/>
      <c r="X438" s="311"/>
      <c r="Y438" s="311"/>
      <c r="Z438" s="311"/>
      <c r="AA438" s="311"/>
      <c r="AB438" s="311"/>
      <c r="AC438" s="311"/>
      <c r="AT438" s="88" t="str">
        <f t="shared" si="32"/>
        <v>KP0007072017Q214,7</v>
      </c>
      <c r="AU438" s="89" t="str">
        <f t="shared" si="33"/>
        <v>05-2017</v>
      </c>
      <c r="BA438" s="92" t="str">
        <f t="shared" si="34"/>
        <v>WIP - 30 Days</v>
      </c>
    </row>
    <row r="439" spans="1:56">
      <c r="B439" s="60">
        <f>[2]Trucks!A436</f>
        <v>46972</v>
      </c>
      <c r="C439" s="11" t="str">
        <f>[2]Trucks!B436</f>
        <v>TGS-26-4406X4BLS-LX-ALU-EL</v>
      </c>
      <c r="D439" s="19" t="str">
        <f>IFERROR(VLOOKUP(C439&amp;"",'[2]Retail Price List'!$A$3:$B$103,2,FALSE),"Special Order")</f>
        <v>KP000707</v>
      </c>
      <c r="E439" s="18" t="str">
        <f>[2]Trucks!J436</f>
        <v>CKD</v>
      </c>
      <c r="F439" s="12" t="str">
        <f>[2]Trucks!E436</f>
        <v>2017-12-5</v>
      </c>
      <c r="G439" s="56">
        <f>[2]Trucks!K436</f>
        <v>14.7</v>
      </c>
      <c r="H439" s="46">
        <f>[2]Trucks!I436</f>
        <v>42859</v>
      </c>
      <c r="I439" s="83" t="str">
        <f t="shared" si="30"/>
        <v>2017Q2</v>
      </c>
      <c r="J439" s="272">
        <f>IFERROR(VLOOKUP((D439&amp;C439)&amp;"",'[2]Retail Price List'!$C$4:$F$102,3,FALSE),"")</f>
        <v>1785000</v>
      </c>
      <c r="K439" s="272">
        <f>IFERROR(IF(BA439="WIP - 30 Days",VLOOKUP(D439,[3]Standard!$B$9:$E$101,4,FALSE),IF(BA439="31-120 Days",VLOOKUP(D439,[3]Standard!$B$9:$F$101,5,FALSE),IF(BA439="121-365 Days",VLOOKUP(D439,[3]Standard!$B$9:$G$101,6,FALSE),VLOOKUP(D439,[3]Standard!$B$9:$H$101,7,FALSE)))),0)</f>
        <v>1397298</v>
      </c>
      <c r="L439" s="272">
        <f>IFERROR(IF(BA439="WIP - 30 Days",VLOOKUP(D439,[3]Standard!$B$9:$J$101,9,FALSE),IF(BA439="31-120 Days",VLOOKUP(D439,[3]Standard!$B$9:$K$100,10,FALSE),IF(BA439="121-365 Days",VLOOKUP(D439,[3]Standard!$B$9:$L$101,11,FALSE),VLOOKUP(D439,[3]Standard!$B$9:$M$101,12,FALSE)))),0)</f>
        <v>1356600</v>
      </c>
      <c r="M439" s="269">
        <f>IFERROR(VLOOKUP((D439&amp;C439)&amp;"",'[2]Retail Price List'!$C$4:$F$102,4,FALSE),"")</f>
        <v>1835000</v>
      </c>
      <c r="N439" s="269">
        <f>IFERROR(IF(BA439="WIP - 30 Days",VLOOKUP(D439,[3]Extended!$B$9:$E$101,4,FALSE),IF(BA439="31-120 Days",VLOOKUP(D439,[3]Extended!$B$9:$F$101,5,FALSE),IF(BA439="121-365 Days",VLOOKUP(D439,[3]Extended!$B$9:$G$101,6,FALSE),VLOOKUP(D439,[3]Extended!$B$9:$H$101,7,FALSE)))),0)</f>
        <v>1474239</v>
      </c>
      <c r="O439" s="269">
        <f>IFERROR(IF(BA439="WIP - 30 Days",VLOOKUP(D439,[3]Extended!$B$9:$J$101,9,FALSE),IF(BA439="31-120 Days",VLOOKUP(D439,[3]Extended!$B$9:$K$101,10,FALSE),IF(BA439="121-365 Days",VLOOKUP(D439,[3]Extended!$B$9:$L$101,11,FALSE),VLOOKUP(D439,[3]Extended!$B$9:$M$101,12,FALSE)))),0)</f>
        <v>1431300</v>
      </c>
      <c r="P439" s="116">
        <f t="shared" si="31"/>
        <v>0.22</v>
      </c>
      <c r="Q439" s="110" t="e">
        <f>O439-#REF!</f>
        <v>#REF!</v>
      </c>
      <c r="W439" s="311"/>
      <c r="X439" s="311"/>
      <c r="Y439" s="311"/>
      <c r="Z439" s="311"/>
      <c r="AA439" s="311"/>
      <c r="AB439" s="311"/>
      <c r="AC439" s="311"/>
      <c r="AT439" s="88" t="str">
        <f t="shared" si="32"/>
        <v>KP0007072017Q214,7</v>
      </c>
      <c r="AU439" s="89" t="str">
        <f t="shared" si="33"/>
        <v>05-2017</v>
      </c>
      <c r="BA439" s="92" t="str">
        <f t="shared" si="34"/>
        <v>WIP - 30 Days</v>
      </c>
    </row>
    <row r="440" spans="1:56">
      <c r="B440" s="60">
        <f>[2]Trucks!A437</f>
        <v>46973</v>
      </c>
      <c r="C440" s="11" t="str">
        <f>[2]Trucks!B437</f>
        <v>TGS-26-4406X4BLS-LX-ALU-EL</v>
      </c>
      <c r="D440" s="19" t="str">
        <f>IFERROR(VLOOKUP(C440&amp;"",'[2]Retail Price List'!$A$3:$B$103,2,FALSE),"Special Order")</f>
        <v>KP000707</v>
      </c>
      <c r="E440" s="18" t="str">
        <f>[2]Trucks!J437</f>
        <v>CKD</v>
      </c>
      <c r="F440" s="12" t="str">
        <f>[2]Trucks!E437</f>
        <v>2017-12-5</v>
      </c>
      <c r="G440" s="56">
        <f>[2]Trucks!K437</f>
        <v>14.7</v>
      </c>
      <c r="H440" s="46">
        <f>[2]Trucks!I437</f>
        <v>42859</v>
      </c>
      <c r="I440" s="83" t="str">
        <f t="shared" si="30"/>
        <v>2017Q2</v>
      </c>
      <c r="J440" s="272">
        <f>IFERROR(VLOOKUP((D440&amp;C440)&amp;"",'[2]Retail Price List'!$C$4:$F$102,3,FALSE),"")</f>
        <v>1785000</v>
      </c>
      <c r="K440" s="272">
        <f>IFERROR(IF(BA440="WIP - 30 Days",VLOOKUP(D440,[3]Standard!$B$9:$E$101,4,FALSE),IF(BA440="31-120 Days",VLOOKUP(D440,[3]Standard!$B$9:$F$101,5,FALSE),IF(BA440="121-365 Days",VLOOKUP(D440,[3]Standard!$B$9:$G$101,6,FALSE),VLOOKUP(D440,[3]Standard!$B$9:$H$101,7,FALSE)))),0)</f>
        <v>1397298</v>
      </c>
      <c r="L440" s="272">
        <f>IFERROR(IF(BA440="WIP - 30 Days",VLOOKUP(D440,[3]Standard!$B$9:$J$101,9,FALSE),IF(BA440="31-120 Days",VLOOKUP(D440,[3]Standard!$B$9:$K$100,10,FALSE),IF(BA440="121-365 Days",VLOOKUP(D440,[3]Standard!$B$9:$L$101,11,FALSE),VLOOKUP(D440,[3]Standard!$B$9:$M$101,12,FALSE)))),0)</f>
        <v>1356600</v>
      </c>
      <c r="M440" s="269">
        <f>IFERROR(VLOOKUP((D440&amp;C440)&amp;"",'[2]Retail Price List'!$C$4:$F$102,4,FALSE),"")</f>
        <v>1835000</v>
      </c>
      <c r="N440" s="269">
        <f>IFERROR(IF(BA440="WIP - 30 Days",VLOOKUP(D440,[3]Extended!$B$9:$E$101,4,FALSE),IF(BA440="31-120 Days",VLOOKUP(D440,[3]Extended!$B$9:$F$101,5,FALSE),IF(BA440="121-365 Days",VLOOKUP(D440,[3]Extended!$B$9:$G$101,6,FALSE),VLOOKUP(D440,[3]Extended!$B$9:$H$101,7,FALSE)))),0)</f>
        <v>1474239</v>
      </c>
      <c r="O440" s="269">
        <f>IFERROR(IF(BA440="WIP - 30 Days",VLOOKUP(D440,[3]Extended!$B$9:$J$101,9,FALSE),IF(BA440="31-120 Days",VLOOKUP(D440,[3]Extended!$B$9:$K$101,10,FALSE),IF(BA440="121-365 Days",VLOOKUP(D440,[3]Extended!$B$9:$L$101,11,FALSE),VLOOKUP(D440,[3]Extended!$B$9:$M$101,12,FALSE)))),0)</f>
        <v>1431300</v>
      </c>
      <c r="P440" s="116">
        <f t="shared" si="31"/>
        <v>0.22</v>
      </c>
      <c r="Q440" s="110" t="e">
        <f>O440-#REF!</f>
        <v>#REF!</v>
      </c>
      <c r="W440" s="311"/>
      <c r="X440" s="311"/>
      <c r="Y440" s="311"/>
      <c r="Z440" s="311"/>
      <c r="AA440" s="311"/>
      <c r="AB440" s="311"/>
      <c r="AC440" s="311"/>
      <c r="AT440" s="88" t="str">
        <f t="shared" si="32"/>
        <v>KP0007072017Q214,7</v>
      </c>
      <c r="AU440" s="89" t="str">
        <f t="shared" si="33"/>
        <v>05-2017</v>
      </c>
      <c r="BA440" s="92" t="str">
        <f t="shared" si="34"/>
        <v>WIP - 30 Days</v>
      </c>
    </row>
    <row r="441" spans="1:56">
      <c r="B441" s="60">
        <f>[2]Trucks!A438</f>
        <v>46974</v>
      </c>
      <c r="C441" s="11" t="str">
        <f>[2]Trucks!B438</f>
        <v>TGS-26-4406X4BLS-LX-ALU-EL</v>
      </c>
      <c r="D441" s="19" t="str">
        <f>IFERROR(VLOOKUP(C441&amp;"",'[2]Retail Price List'!$A$3:$B$103,2,FALSE),"Special Order")</f>
        <v>KP000707</v>
      </c>
      <c r="E441" s="18" t="str">
        <f>[2]Trucks!J438</f>
        <v>CKD</v>
      </c>
      <c r="F441" s="12" t="str">
        <f>[2]Trucks!E438</f>
        <v>2017-12-5</v>
      </c>
      <c r="G441" s="56">
        <f>[2]Trucks!K438</f>
        <v>14.7</v>
      </c>
      <c r="H441" s="46">
        <f>[2]Trucks!I438</f>
        <v>42859</v>
      </c>
      <c r="I441" s="83" t="str">
        <f t="shared" si="30"/>
        <v>2017Q2</v>
      </c>
      <c r="J441" s="272">
        <f>IFERROR(VLOOKUP((D441&amp;C441)&amp;"",'[2]Retail Price List'!$C$4:$F$102,3,FALSE),"")</f>
        <v>1785000</v>
      </c>
      <c r="K441" s="272">
        <f>IFERROR(IF(BA441="WIP - 30 Days",VLOOKUP(D441,[3]Standard!$B$9:$E$101,4,FALSE),IF(BA441="31-120 Days",VLOOKUP(D441,[3]Standard!$B$9:$F$101,5,FALSE),IF(BA441="121-365 Days",VLOOKUP(D441,[3]Standard!$B$9:$G$101,6,FALSE),VLOOKUP(D441,[3]Standard!$B$9:$H$101,7,FALSE)))),0)</f>
        <v>1397298</v>
      </c>
      <c r="L441" s="272">
        <f>IFERROR(IF(BA441="WIP - 30 Days",VLOOKUP(D441,[3]Standard!$B$9:$J$101,9,FALSE),IF(BA441="31-120 Days",VLOOKUP(D441,[3]Standard!$B$9:$K$100,10,FALSE),IF(BA441="121-365 Days",VLOOKUP(D441,[3]Standard!$B$9:$L$101,11,FALSE),VLOOKUP(D441,[3]Standard!$B$9:$M$101,12,FALSE)))),0)</f>
        <v>1356600</v>
      </c>
      <c r="M441" s="269">
        <f>IFERROR(VLOOKUP((D441&amp;C441)&amp;"",'[2]Retail Price List'!$C$4:$F$102,4,FALSE),"")</f>
        <v>1835000</v>
      </c>
      <c r="N441" s="269">
        <f>IFERROR(IF(BA441="WIP - 30 Days",VLOOKUP(D441,[3]Extended!$B$9:$E$101,4,FALSE),IF(BA441="31-120 Days",VLOOKUP(D441,[3]Extended!$B$9:$F$101,5,FALSE),IF(BA441="121-365 Days",VLOOKUP(D441,[3]Extended!$B$9:$G$101,6,FALSE),VLOOKUP(D441,[3]Extended!$B$9:$H$101,7,FALSE)))),0)</f>
        <v>1474239</v>
      </c>
      <c r="O441" s="269">
        <f>IFERROR(IF(BA441="WIP - 30 Days",VLOOKUP(D441,[3]Extended!$B$9:$J$101,9,FALSE),IF(BA441="31-120 Days",VLOOKUP(D441,[3]Extended!$B$9:$K$101,10,FALSE),IF(BA441="121-365 Days",VLOOKUP(D441,[3]Extended!$B$9:$L$101,11,FALSE),VLOOKUP(D441,[3]Extended!$B$9:$M$101,12,FALSE)))),0)</f>
        <v>1431300</v>
      </c>
      <c r="P441" s="116">
        <f t="shared" si="31"/>
        <v>0.22</v>
      </c>
      <c r="Q441" s="110" t="e">
        <f>O441-#REF!</f>
        <v>#REF!</v>
      </c>
      <c r="W441" s="311"/>
      <c r="X441" s="311"/>
      <c r="Y441" s="311"/>
      <c r="Z441" s="311"/>
      <c r="AA441" s="311"/>
      <c r="AB441" s="311"/>
      <c r="AC441" s="311"/>
      <c r="AT441" s="88" t="str">
        <f t="shared" si="32"/>
        <v>KP0007072017Q214,7</v>
      </c>
      <c r="AU441" s="89" t="str">
        <f t="shared" si="33"/>
        <v>05-2017</v>
      </c>
      <c r="BA441" s="92" t="str">
        <f t="shared" si="34"/>
        <v>WIP - 30 Days</v>
      </c>
    </row>
    <row r="442" spans="1:56">
      <c r="B442" s="60">
        <f>[2]Trucks!A439</f>
        <v>46975</v>
      </c>
      <c r="C442" s="11" t="str">
        <f>[2]Trucks!B439</f>
        <v>TGS-26-4406X4BLS-LX-ALU-EL</v>
      </c>
      <c r="D442" s="19" t="str">
        <f>IFERROR(VLOOKUP(C442&amp;"",'[2]Retail Price List'!$A$3:$B$103,2,FALSE),"Special Order")</f>
        <v>KP000707</v>
      </c>
      <c r="E442" s="18" t="str">
        <f>[2]Trucks!J439</f>
        <v>CKD</v>
      </c>
      <c r="F442" s="12" t="str">
        <f>[2]Trucks!E439</f>
        <v>2017-12-5</v>
      </c>
      <c r="G442" s="56">
        <f>[2]Trucks!K439</f>
        <v>14.7</v>
      </c>
      <c r="H442" s="46">
        <f>[2]Trucks!I439</f>
        <v>42859</v>
      </c>
      <c r="I442" s="83" t="str">
        <f t="shared" si="30"/>
        <v>2017Q2</v>
      </c>
      <c r="J442" s="272">
        <f>IFERROR(VLOOKUP((D442&amp;C442)&amp;"",'[2]Retail Price List'!$C$4:$F$102,3,FALSE),"")</f>
        <v>1785000</v>
      </c>
      <c r="K442" s="272">
        <f>IFERROR(IF(BA442="WIP - 30 Days",VLOOKUP(D442,[3]Standard!$B$9:$E$101,4,FALSE),IF(BA442="31-120 Days",VLOOKUP(D442,[3]Standard!$B$9:$F$101,5,FALSE),IF(BA442="121-365 Days",VLOOKUP(D442,[3]Standard!$B$9:$G$101,6,FALSE),VLOOKUP(D442,[3]Standard!$B$9:$H$101,7,FALSE)))),0)</f>
        <v>1397298</v>
      </c>
      <c r="L442" s="272">
        <f>IFERROR(IF(BA442="WIP - 30 Days",VLOOKUP(D442,[3]Standard!$B$9:$J$101,9,FALSE),IF(BA442="31-120 Days",VLOOKUP(D442,[3]Standard!$B$9:$K$100,10,FALSE),IF(BA442="121-365 Days",VLOOKUP(D442,[3]Standard!$B$9:$L$101,11,FALSE),VLOOKUP(D442,[3]Standard!$B$9:$M$101,12,FALSE)))),0)</f>
        <v>1356600</v>
      </c>
      <c r="M442" s="269">
        <f>IFERROR(VLOOKUP((D442&amp;C442)&amp;"",'[2]Retail Price List'!$C$4:$F$102,4,FALSE),"")</f>
        <v>1835000</v>
      </c>
      <c r="N442" s="269">
        <f>IFERROR(IF(BA442="WIP - 30 Days",VLOOKUP(D442,[3]Extended!$B$9:$E$101,4,FALSE),IF(BA442="31-120 Days",VLOOKUP(D442,[3]Extended!$B$9:$F$101,5,FALSE),IF(BA442="121-365 Days",VLOOKUP(D442,[3]Extended!$B$9:$G$101,6,FALSE),VLOOKUP(D442,[3]Extended!$B$9:$H$101,7,FALSE)))),0)</f>
        <v>1474239</v>
      </c>
      <c r="O442" s="269">
        <f>IFERROR(IF(BA442="WIP - 30 Days",VLOOKUP(D442,[3]Extended!$B$9:$J$101,9,FALSE),IF(BA442="31-120 Days",VLOOKUP(D442,[3]Extended!$B$9:$K$101,10,FALSE),IF(BA442="121-365 Days",VLOOKUP(D442,[3]Extended!$B$9:$L$101,11,FALSE),VLOOKUP(D442,[3]Extended!$B$9:$M$101,12,FALSE)))),0)</f>
        <v>1431300</v>
      </c>
      <c r="P442" s="116">
        <f t="shared" si="31"/>
        <v>0.22</v>
      </c>
      <c r="Q442" s="110" t="e">
        <f>O442-#REF!</f>
        <v>#REF!</v>
      </c>
      <c r="W442" s="311"/>
      <c r="X442" s="311"/>
      <c r="Y442" s="311"/>
      <c r="Z442" s="311"/>
      <c r="AA442" s="311"/>
      <c r="AB442" s="311"/>
      <c r="AC442" s="311"/>
      <c r="AT442" s="88" t="str">
        <f t="shared" si="32"/>
        <v>KP0007072017Q214,7</v>
      </c>
      <c r="AU442" s="89" t="str">
        <f t="shared" si="33"/>
        <v>05-2017</v>
      </c>
      <c r="BA442" s="92" t="str">
        <f t="shared" si="34"/>
        <v>WIP - 30 Days</v>
      </c>
    </row>
    <row r="443" spans="1:56">
      <c r="B443" s="60">
        <f>[2]Trucks!A440</f>
        <v>46976</v>
      </c>
      <c r="C443" s="11" t="str">
        <f>[2]Trucks!B440</f>
        <v>TGS-26-4406X4BLS-LX-ALU-EL</v>
      </c>
      <c r="D443" s="19" t="str">
        <f>IFERROR(VLOOKUP(C443&amp;"",'[2]Retail Price List'!$A$3:$B$103,2,FALSE),"Special Order")</f>
        <v>KP000707</v>
      </c>
      <c r="E443" s="18" t="str">
        <f>[2]Trucks!J440</f>
        <v>CKD</v>
      </c>
      <c r="F443" s="12" t="str">
        <f>[2]Trucks!E440</f>
        <v>2017-12-8</v>
      </c>
      <c r="G443" s="56">
        <f>[2]Trucks!K440</f>
        <v>14.7</v>
      </c>
      <c r="H443" s="46">
        <f>[2]Trucks!I440</f>
        <v>42859</v>
      </c>
      <c r="I443" s="83" t="str">
        <f t="shared" si="30"/>
        <v>2017Q2</v>
      </c>
      <c r="J443" s="272">
        <f>IFERROR(VLOOKUP((D443&amp;C443)&amp;"",'[2]Retail Price List'!$C$4:$F$102,3,FALSE),"")</f>
        <v>1785000</v>
      </c>
      <c r="K443" s="272">
        <f>IFERROR(IF(BA443="WIP - 30 Days",VLOOKUP(D443,[3]Standard!$B$9:$E$101,4,FALSE),IF(BA443="31-120 Days",VLOOKUP(D443,[3]Standard!$B$9:$F$101,5,FALSE),IF(BA443="121-365 Days",VLOOKUP(D443,[3]Standard!$B$9:$G$101,6,FALSE),VLOOKUP(D443,[3]Standard!$B$9:$H$101,7,FALSE)))),0)</f>
        <v>1397298</v>
      </c>
      <c r="L443" s="272">
        <f>IFERROR(IF(BA443="WIP - 30 Days",VLOOKUP(D443,[3]Standard!$B$9:$J$101,9,FALSE),IF(BA443="31-120 Days",VLOOKUP(D443,[3]Standard!$B$9:$K$100,10,FALSE),IF(BA443="121-365 Days",VLOOKUP(D443,[3]Standard!$B$9:$L$101,11,FALSE),VLOOKUP(D443,[3]Standard!$B$9:$M$101,12,FALSE)))),0)</f>
        <v>1356600</v>
      </c>
      <c r="M443" s="269">
        <f>IFERROR(VLOOKUP((D443&amp;C443)&amp;"",'[2]Retail Price List'!$C$4:$F$102,4,FALSE),"")</f>
        <v>1835000</v>
      </c>
      <c r="N443" s="269">
        <f>IFERROR(IF(BA443="WIP - 30 Days",VLOOKUP(D443,[3]Extended!$B$9:$E$101,4,FALSE),IF(BA443="31-120 Days",VLOOKUP(D443,[3]Extended!$B$9:$F$101,5,FALSE),IF(BA443="121-365 Days",VLOOKUP(D443,[3]Extended!$B$9:$G$101,6,FALSE),VLOOKUP(D443,[3]Extended!$B$9:$H$101,7,FALSE)))),0)</f>
        <v>1474239</v>
      </c>
      <c r="O443" s="269">
        <f>IFERROR(IF(BA443="WIP - 30 Days",VLOOKUP(D443,[3]Extended!$B$9:$J$101,9,FALSE),IF(BA443="31-120 Days",VLOOKUP(D443,[3]Extended!$B$9:$K$101,10,FALSE),IF(BA443="121-365 Days",VLOOKUP(D443,[3]Extended!$B$9:$L$101,11,FALSE),VLOOKUP(D443,[3]Extended!$B$9:$M$101,12,FALSE)))),0)</f>
        <v>1431300</v>
      </c>
      <c r="P443" s="116">
        <f t="shared" si="31"/>
        <v>0.22</v>
      </c>
      <c r="Q443" s="110" t="e">
        <f>O443-#REF!</f>
        <v>#REF!</v>
      </c>
      <c r="W443" s="311"/>
      <c r="X443" s="311"/>
      <c r="Y443" s="311"/>
      <c r="Z443" s="311"/>
      <c r="AA443" s="311"/>
      <c r="AB443" s="311"/>
      <c r="AC443" s="311"/>
      <c r="AT443" s="88" t="str">
        <f t="shared" si="32"/>
        <v>KP0007072017Q214,7</v>
      </c>
      <c r="AU443" s="89" t="str">
        <f t="shared" si="33"/>
        <v>05-2017</v>
      </c>
      <c r="BA443" s="92" t="str">
        <f t="shared" si="34"/>
        <v>WIP - 30 Days</v>
      </c>
    </row>
    <row r="444" spans="1:56" s="4" customFormat="1">
      <c r="A444" s="69"/>
      <c r="B444" s="60">
        <f>[2]Trucks!A441</f>
        <v>46977</v>
      </c>
      <c r="C444" s="11" t="str">
        <f>[2]Trucks!B441</f>
        <v>TGS-26-4406X4BLS-LX-ALU-EL</v>
      </c>
      <c r="D444" s="19" t="str">
        <f>IFERROR(VLOOKUP(C444&amp;"",'[2]Retail Price List'!$A$3:$B$103,2,FALSE),"Special Order")</f>
        <v>KP000707</v>
      </c>
      <c r="E444" s="18" t="str">
        <f>[2]Trucks!J441</f>
        <v>CKD</v>
      </c>
      <c r="F444" s="12" t="str">
        <f>[2]Trucks!E441</f>
        <v>2017-12-8</v>
      </c>
      <c r="G444" s="56">
        <f>[2]Trucks!K441</f>
        <v>14.7</v>
      </c>
      <c r="H444" s="46">
        <f>[2]Trucks!I441</f>
        <v>42859</v>
      </c>
      <c r="I444" s="83" t="str">
        <f t="shared" si="30"/>
        <v>2017Q2</v>
      </c>
      <c r="J444" s="272">
        <f>IFERROR(VLOOKUP((D444&amp;C444)&amp;"",'[2]Retail Price List'!$C$4:$F$102,3,FALSE),"")</f>
        <v>1785000</v>
      </c>
      <c r="K444" s="272">
        <f>IFERROR(IF(BA444="WIP - 30 Days",VLOOKUP(D444,[3]Standard!$B$9:$E$101,4,FALSE),IF(BA444="31-120 Days",VLOOKUP(D444,[3]Standard!$B$9:$F$101,5,FALSE),IF(BA444="121-365 Days",VLOOKUP(D444,[3]Standard!$B$9:$G$101,6,FALSE),VLOOKUP(D444,[3]Standard!$B$9:$H$101,7,FALSE)))),0)</f>
        <v>1397298</v>
      </c>
      <c r="L444" s="272">
        <f>IFERROR(IF(BA444="WIP - 30 Days",VLOOKUP(D444,[3]Standard!$B$9:$J$101,9,FALSE),IF(BA444="31-120 Days",VLOOKUP(D444,[3]Standard!$B$9:$K$100,10,FALSE),IF(BA444="121-365 Days",VLOOKUP(D444,[3]Standard!$B$9:$L$101,11,FALSE),VLOOKUP(D444,[3]Standard!$B$9:$M$101,12,FALSE)))),0)</f>
        <v>1356600</v>
      </c>
      <c r="M444" s="269">
        <f>IFERROR(VLOOKUP((D444&amp;C444)&amp;"",'[2]Retail Price List'!$C$4:$F$102,4,FALSE),"")</f>
        <v>1835000</v>
      </c>
      <c r="N444" s="269">
        <f>IFERROR(IF(BA444="WIP - 30 Days",VLOOKUP(D444,[3]Extended!$B$9:$E$101,4,FALSE),IF(BA444="31-120 Days",VLOOKUP(D444,[3]Extended!$B$9:$F$101,5,FALSE),IF(BA444="121-365 Days",VLOOKUP(D444,[3]Extended!$B$9:$G$101,6,FALSE),VLOOKUP(D444,[3]Extended!$B$9:$H$101,7,FALSE)))),0)</f>
        <v>1474239</v>
      </c>
      <c r="O444" s="269">
        <f>IFERROR(IF(BA444="WIP - 30 Days",VLOOKUP(D444,[3]Extended!$B$9:$J$101,9,FALSE),IF(BA444="31-120 Days",VLOOKUP(D444,[3]Extended!$B$9:$K$101,10,FALSE),IF(BA444="121-365 Days",VLOOKUP(D444,[3]Extended!$B$9:$L$101,11,FALSE),VLOOKUP(D444,[3]Extended!$B$9:$M$101,12,FALSE)))),0)</f>
        <v>1431300</v>
      </c>
      <c r="P444" s="116">
        <f t="shared" si="31"/>
        <v>0.22</v>
      </c>
      <c r="Q444" s="110" t="e">
        <f>O444-#REF!</f>
        <v>#REF!</v>
      </c>
      <c r="R444" s="111" t="e">
        <f>SUM(Q424:Q443)/SUM(O424:O443)</f>
        <v>#REF!</v>
      </c>
      <c r="S444" s="112"/>
      <c r="T444" s="112"/>
      <c r="U444" s="112"/>
      <c r="V444" s="112"/>
      <c r="W444" s="311"/>
      <c r="X444" s="311"/>
      <c r="Y444" s="311"/>
      <c r="Z444" s="311"/>
      <c r="AA444" s="311"/>
      <c r="AB444" s="311"/>
      <c r="AC444" s="311"/>
      <c r="AD444" s="89"/>
      <c r="AE444" s="89"/>
      <c r="AF444" s="89"/>
      <c r="AG444" s="5"/>
      <c r="AH444" s="5"/>
      <c r="AI444" s="5"/>
      <c r="AJ444" s="5"/>
      <c r="AK444" s="5"/>
      <c r="AL444" s="5"/>
      <c r="AM444" s="5"/>
      <c r="AN444" s="5"/>
      <c r="AO444" s="5"/>
      <c r="AP444" s="5"/>
      <c r="AQ444" s="5"/>
      <c r="AR444" s="5"/>
      <c r="AS444" s="5"/>
      <c r="AT444" s="88" t="str">
        <f t="shared" si="32"/>
        <v>KP0007072017Q214,7</v>
      </c>
      <c r="AU444" s="89" t="str">
        <f t="shared" si="33"/>
        <v>05-2017</v>
      </c>
      <c r="AV444" s="89"/>
      <c r="AW444" s="89"/>
      <c r="AX444" s="89"/>
      <c r="AY444" s="89"/>
      <c r="AZ444" s="89"/>
      <c r="BA444" s="92" t="str">
        <f t="shared" si="34"/>
        <v>WIP - 30 Days</v>
      </c>
      <c r="BB444" s="89"/>
      <c r="BC444" s="97"/>
      <c r="BD444" s="97"/>
    </row>
    <row r="445" spans="1:56">
      <c r="B445" s="60">
        <f>[2]Trucks!A442</f>
        <v>46978</v>
      </c>
      <c r="C445" s="11" t="str">
        <f>[2]Trucks!B442</f>
        <v>TGS-26-4406X4BLS-LX-ALU-EL</v>
      </c>
      <c r="D445" s="19" t="str">
        <f>IFERROR(VLOOKUP(C445&amp;"",'[2]Retail Price List'!$A$3:$B$103,2,FALSE),"Special Order")</f>
        <v>KP000707</v>
      </c>
      <c r="E445" s="18" t="str">
        <f>[2]Trucks!J442</f>
        <v>CKD</v>
      </c>
      <c r="F445" s="12" t="str">
        <f>[2]Trucks!E442</f>
        <v>2017-12-8</v>
      </c>
      <c r="G445" s="56">
        <f>[2]Trucks!K442</f>
        <v>14.7</v>
      </c>
      <c r="H445" s="46">
        <f>[2]Trucks!I442</f>
        <v>42859</v>
      </c>
      <c r="I445" s="83" t="str">
        <f t="shared" si="30"/>
        <v>2017Q2</v>
      </c>
      <c r="J445" s="272">
        <f>IFERROR(VLOOKUP((D445&amp;C445)&amp;"",'[2]Retail Price List'!$C$4:$F$102,3,FALSE),"")</f>
        <v>1785000</v>
      </c>
      <c r="K445" s="272">
        <f>IFERROR(IF(BA445="WIP - 30 Days",VLOOKUP(D445,[3]Standard!$B$9:$E$101,4,FALSE),IF(BA445="31-120 Days",VLOOKUP(D445,[3]Standard!$B$9:$F$101,5,FALSE),IF(BA445="121-365 Days",VLOOKUP(D445,[3]Standard!$B$9:$G$101,6,FALSE),VLOOKUP(D445,[3]Standard!$B$9:$H$101,7,FALSE)))),0)</f>
        <v>1397298</v>
      </c>
      <c r="L445" s="272">
        <f>IFERROR(IF(BA445="WIP - 30 Days",VLOOKUP(D445,[3]Standard!$B$9:$J$101,9,FALSE),IF(BA445="31-120 Days",VLOOKUP(D445,[3]Standard!$B$9:$K$100,10,FALSE),IF(BA445="121-365 Days",VLOOKUP(D445,[3]Standard!$B$9:$L$101,11,FALSE),VLOOKUP(D445,[3]Standard!$B$9:$M$101,12,FALSE)))),0)</f>
        <v>1356600</v>
      </c>
      <c r="M445" s="269">
        <f>IFERROR(VLOOKUP((D445&amp;C445)&amp;"",'[2]Retail Price List'!$C$4:$F$102,4,FALSE),"")</f>
        <v>1835000</v>
      </c>
      <c r="N445" s="269">
        <f>IFERROR(IF(BA445="WIP - 30 Days",VLOOKUP(D445,[3]Extended!$B$9:$E$101,4,FALSE),IF(BA445="31-120 Days",VLOOKUP(D445,[3]Extended!$B$9:$F$101,5,FALSE),IF(BA445="121-365 Days",VLOOKUP(D445,[3]Extended!$B$9:$G$101,6,FALSE),VLOOKUP(D445,[3]Extended!$B$9:$H$101,7,FALSE)))),0)</f>
        <v>1474239</v>
      </c>
      <c r="O445" s="269">
        <f>IFERROR(IF(BA445="WIP - 30 Days",VLOOKUP(D445,[3]Extended!$B$9:$J$101,9,FALSE),IF(BA445="31-120 Days",VLOOKUP(D445,[3]Extended!$B$9:$K$101,10,FALSE),IF(BA445="121-365 Days",VLOOKUP(D445,[3]Extended!$B$9:$L$101,11,FALSE),VLOOKUP(D445,[3]Extended!$B$9:$M$101,12,FALSE)))),0)</f>
        <v>1431300</v>
      </c>
      <c r="P445" s="116">
        <f t="shared" si="31"/>
        <v>0.22</v>
      </c>
      <c r="Q445" s="110" t="e">
        <f>O445-#REF!</f>
        <v>#REF!</v>
      </c>
      <c r="S445" s="112" t="s">
        <v>9</v>
      </c>
      <c r="T445" s="112" t="s">
        <v>10</v>
      </c>
      <c r="U445" s="112" t="s">
        <v>11</v>
      </c>
      <c r="W445" s="311"/>
      <c r="X445" s="311"/>
      <c r="Y445" s="311"/>
      <c r="Z445" s="311"/>
      <c r="AA445" s="311"/>
      <c r="AB445" s="311"/>
      <c r="AC445" s="311"/>
      <c r="AT445" s="88" t="str">
        <f t="shared" si="32"/>
        <v>KP0007072017Q214,7</v>
      </c>
      <c r="AU445" s="89" t="str">
        <f t="shared" si="33"/>
        <v>05-2017</v>
      </c>
      <c r="BA445" s="92" t="str">
        <f t="shared" si="34"/>
        <v>WIP - 30 Days</v>
      </c>
    </row>
    <row r="446" spans="1:56">
      <c r="B446" s="60">
        <f>[2]Trucks!A443</f>
        <v>46979</v>
      </c>
      <c r="C446" s="11" t="str">
        <f>[2]Trucks!B443</f>
        <v>TGS-26-4406X4BLS-LX-ALU-EL</v>
      </c>
      <c r="D446" s="19" t="str">
        <f>IFERROR(VLOOKUP(C446&amp;"",'[2]Retail Price List'!$A$3:$B$103,2,FALSE),"Special Order")</f>
        <v>KP000707</v>
      </c>
      <c r="E446" s="18" t="str">
        <f>[2]Trucks!J443</f>
        <v>CKD</v>
      </c>
      <c r="F446" s="12" t="str">
        <f>[2]Trucks!E443</f>
        <v>2017-12-8</v>
      </c>
      <c r="G446" s="56">
        <f>[2]Trucks!K443</f>
        <v>14.7</v>
      </c>
      <c r="H446" s="46">
        <f>[2]Trucks!I443</f>
        <v>42859</v>
      </c>
      <c r="I446" s="83" t="str">
        <f t="shared" si="30"/>
        <v>2017Q2</v>
      </c>
      <c r="J446" s="272">
        <f>IFERROR(VLOOKUP((D446&amp;C446)&amp;"",'[2]Retail Price List'!$C$4:$F$102,3,FALSE),"")</f>
        <v>1785000</v>
      </c>
      <c r="K446" s="272">
        <f>IFERROR(IF(BA446="WIP - 30 Days",VLOOKUP(D446,[3]Standard!$B$9:$E$101,4,FALSE),IF(BA446="31-120 Days",VLOOKUP(D446,[3]Standard!$B$9:$F$101,5,FALSE),IF(BA446="121-365 Days",VLOOKUP(D446,[3]Standard!$B$9:$G$101,6,FALSE),VLOOKUP(D446,[3]Standard!$B$9:$H$101,7,FALSE)))),0)</f>
        <v>1397298</v>
      </c>
      <c r="L446" s="272">
        <f>IFERROR(IF(BA446="WIP - 30 Days",VLOOKUP(D446,[3]Standard!$B$9:$J$101,9,FALSE),IF(BA446="31-120 Days",VLOOKUP(D446,[3]Standard!$B$9:$K$100,10,FALSE),IF(BA446="121-365 Days",VLOOKUP(D446,[3]Standard!$B$9:$L$101,11,FALSE),VLOOKUP(D446,[3]Standard!$B$9:$M$101,12,FALSE)))),0)</f>
        <v>1356600</v>
      </c>
      <c r="M446" s="269">
        <f>IFERROR(VLOOKUP((D446&amp;C446)&amp;"",'[2]Retail Price List'!$C$4:$F$102,4,FALSE),"")</f>
        <v>1835000</v>
      </c>
      <c r="N446" s="269">
        <f>IFERROR(IF(BA446="WIP - 30 Days",VLOOKUP(D446,[3]Extended!$B$9:$E$101,4,FALSE),IF(BA446="31-120 Days",VLOOKUP(D446,[3]Extended!$B$9:$F$101,5,FALSE),IF(BA446="121-365 Days",VLOOKUP(D446,[3]Extended!$B$9:$G$101,6,FALSE),VLOOKUP(D446,[3]Extended!$B$9:$H$101,7,FALSE)))),0)</f>
        <v>1474239</v>
      </c>
      <c r="O446" s="269">
        <f>IFERROR(IF(BA446="WIP - 30 Days",VLOOKUP(D446,[3]Extended!$B$9:$J$101,9,FALSE),IF(BA446="31-120 Days",VLOOKUP(D446,[3]Extended!$B$9:$K$101,10,FALSE),IF(BA446="121-365 Days",VLOOKUP(D446,[3]Extended!$B$9:$L$101,11,FALSE),VLOOKUP(D446,[3]Extended!$B$9:$M$101,12,FALSE)))),0)</f>
        <v>1431300</v>
      </c>
      <c r="P446" s="116">
        <f t="shared" si="31"/>
        <v>0.22</v>
      </c>
      <c r="Q446" s="110" t="e">
        <f>O446-#REF!</f>
        <v>#REF!</v>
      </c>
      <c r="S446" s="112">
        <v>8.1999999999999993</v>
      </c>
      <c r="T446" s="112">
        <v>1</v>
      </c>
      <c r="U446" s="112">
        <v>4.3</v>
      </c>
      <c r="W446" s="311"/>
      <c r="X446" s="311"/>
      <c r="Y446" s="311"/>
      <c r="Z446" s="311"/>
      <c r="AA446" s="311"/>
      <c r="AB446" s="311"/>
      <c r="AC446" s="311"/>
      <c r="AT446" s="88" t="str">
        <f t="shared" si="32"/>
        <v>KP0007072017Q214,7</v>
      </c>
      <c r="AU446" s="89" t="str">
        <f t="shared" si="33"/>
        <v>05-2017</v>
      </c>
      <c r="BA446" s="92" t="str">
        <f t="shared" si="34"/>
        <v>WIP - 30 Days</v>
      </c>
    </row>
    <row r="447" spans="1:56">
      <c r="B447" s="60">
        <f>[2]Trucks!A444</f>
        <v>46980</v>
      </c>
      <c r="C447" s="11" t="str">
        <f>[2]Trucks!B444</f>
        <v>TGS-26-4406X4BLS-LX-ALU-EL</v>
      </c>
      <c r="D447" s="19" t="str">
        <f>IFERROR(VLOOKUP(C447&amp;"",'[2]Retail Price List'!$A$3:$B$103,2,FALSE),"Special Order")</f>
        <v>KP000707</v>
      </c>
      <c r="E447" s="18" t="str">
        <f>[2]Trucks!J444</f>
        <v>CKD</v>
      </c>
      <c r="F447" s="12" t="str">
        <f>[2]Trucks!E444</f>
        <v>2017-12-8</v>
      </c>
      <c r="G447" s="56">
        <f>[2]Trucks!K444</f>
        <v>14.7</v>
      </c>
      <c r="H447" s="46">
        <f>[2]Trucks!I444</f>
        <v>42859</v>
      </c>
      <c r="I447" s="83" t="str">
        <f t="shared" si="30"/>
        <v>2017Q2</v>
      </c>
      <c r="J447" s="272">
        <f>IFERROR(VLOOKUP((D447&amp;C447)&amp;"",'[2]Retail Price List'!$C$4:$F$102,3,FALSE),"")</f>
        <v>1785000</v>
      </c>
      <c r="K447" s="272">
        <f>IFERROR(IF(BA447="WIP - 30 Days",VLOOKUP(D447,[3]Standard!$B$9:$E$101,4,FALSE),IF(BA447="31-120 Days",VLOOKUP(D447,[3]Standard!$B$9:$F$101,5,FALSE),IF(BA447="121-365 Days",VLOOKUP(D447,[3]Standard!$B$9:$G$101,6,FALSE),VLOOKUP(D447,[3]Standard!$B$9:$H$101,7,FALSE)))),0)</f>
        <v>1397298</v>
      </c>
      <c r="L447" s="272">
        <f>IFERROR(IF(BA447="WIP - 30 Days",VLOOKUP(D447,[3]Standard!$B$9:$J$101,9,FALSE),IF(BA447="31-120 Days",VLOOKUP(D447,[3]Standard!$B$9:$K$100,10,FALSE),IF(BA447="121-365 Days",VLOOKUP(D447,[3]Standard!$B$9:$L$101,11,FALSE),VLOOKUP(D447,[3]Standard!$B$9:$M$101,12,FALSE)))),0)</f>
        <v>1356600</v>
      </c>
      <c r="M447" s="269">
        <f>IFERROR(VLOOKUP((D447&amp;C447)&amp;"",'[2]Retail Price List'!$C$4:$F$102,4,FALSE),"")</f>
        <v>1835000</v>
      </c>
      <c r="N447" s="269">
        <f>IFERROR(IF(BA447="WIP - 30 Days",VLOOKUP(D447,[3]Extended!$B$9:$E$101,4,FALSE),IF(BA447="31-120 Days",VLOOKUP(D447,[3]Extended!$B$9:$F$101,5,FALSE),IF(BA447="121-365 Days",VLOOKUP(D447,[3]Extended!$B$9:$G$101,6,FALSE),VLOOKUP(D447,[3]Extended!$B$9:$H$101,7,FALSE)))),0)</f>
        <v>1474239</v>
      </c>
      <c r="O447" s="269">
        <f>IFERROR(IF(BA447="WIP - 30 Days",VLOOKUP(D447,[3]Extended!$B$9:$J$101,9,FALSE),IF(BA447="31-120 Days",VLOOKUP(D447,[3]Extended!$B$9:$K$101,10,FALSE),IF(BA447="121-365 Days",VLOOKUP(D447,[3]Extended!$B$9:$L$101,11,FALSE),VLOOKUP(D447,[3]Extended!$B$9:$M$101,12,FALSE)))),0)</f>
        <v>1431300</v>
      </c>
      <c r="P447" s="116">
        <f t="shared" si="31"/>
        <v>0.22</v>
      </c>
      <c r="Q447" s="110" t="e">
        <f>O447-#REF!</f>
        <v>#REF!</v>
      </c>
      <c r="W447" s="311"/>
      <c r="X447" s="311"/>
      <c r="Y447" s="311"/>
      <c r="Z447" s="311"/>
      <c r="AA447" s="311"/>
      <c r="AB447" s="311"/>
      <c r="AC447" s="311"/>
      <c r="AT447" s="88" t="str">
        <f t="shared" si="32"/>
        <v>KP0007072017Q214,7</v>
      </c>
      <c r="AU447" s="89" t="str">
        <f t="shared" si="33"/>
        <v>05-2017</v>
      </c>
      <c r="BA447" s="92" t="str">
        <f t="shared" si="34"/>
        <v>WIP - 30 Days</v>
      </c>
    </row>
    <row r="448" spans="1:56">
      <c r="B448" s="60">
        <f>[2]Trucks!A445</f>
        <v>46981</v>
      </c>
      <c r="C448" s="11" t="str">
        <f>[2]Trucks!B445</f>
        <v>TGS-26-4406X4BLS-LX-ALU-EL</v>
      </c>
      <c r="D448" s="19" t="str">
        <f>IFERROR(VLOOKUP(C448&amp;"",'[2]Retail Price List'!$A$3:$B$103,2,FALSE),"Special Order")</f>
        <v>KP000707</v>
      </c>
      <c r="E448" s="18" t="str">
        <f>[2]Trucks!J445</f>
        <v>CKD</v>
      </c>
      <c r="F448" s="12" t="str">
        <f>[2]Trucks!E445</f>
        <v>2017-12-11</v>
      </c>
      <c r="G448" s="56">
        <f>[2]Trucks!K445</f>
        <v>14.7</v>
      </c>
      <c r="H448" s="46">
        <f>[2]Trucks!I445</f>
        <v>42859</v>
      </c>
      <c r="I448" s="83" t="str">
        <f t="shared" si="30"/>
        <v>2017Q2</v>
      </c>
      <c r="J448" s="272">
        <f>IFERROR(VLOOKUP((D448&amp;C448)&amp;"",'[2]Retail Price List'!$C$4:$F$102,3,FALSE),"")</f>
        <v>1785000</v>
      </c>
      <c r="K448" s="272">
        <f>IFERROR(IF(BA448="WIP - 30 Days",VLOOKUP(D448,[3]Standard!$B$9:$E$101,4,FALSE),IF(BA448="31-120 Days",VLOOKUP(D448,[3]Standard!$B$9:$F$101,5,FALSE),IF(BA448="121-365 Days",VLOOKUP(D448,[3]Standard!$B$9:$G$101,6,FALSE),VLOOKUP(D448,[3]Standard!$B$9:$H$101,7,FALSE)))),0)</f>
        <v>1397298</v>
      </c>
      <c r="L448" s="272">
        <f>IFERROR(IF(BA448="WIP - 30 Days",VLOOKUP(D448,[3]Standard!$B$9:$J$101,9,FALSE),IF(BA448="31-120 Days",VLOOKUP(D448,[3]Standard!$B$9:$K$100,10,FALSE),IF(BA448="121-365 Days",VLOOKUP(D448,[3]Standard!$B$9:$L$101,11,FALSE),VLOOKUP(D448,[3]Standard!$B$9:$M$101,12,FALSE)))),0)</f>
        <v>1356600</v>
      </c>
      <c r="M448" s="269">
        <f>IFERROR(VLOOKUP((D448&amp;C448)&amp;"",'[2]Retail Price List'!$C$4:$F$102,4,FALSE),"")</f>
        <v>1835000</v>
      </c>
      <c r="N448" s="269">
        <f>IFERROR(IF(BA448="WIP - 30 Days",VLOOKUP(D448,[3]Extended!$B$9:$E$101,4,FALSE),IF(BA448="31-120 Days",VLOOKUP(D448,[3]Extended!$B$9:$F$101,5,FALSE),IF(BA448="121-365 Days",VLOOKUP(D448,[3]Extended!$B$9:$G$101,6,FALSE),VLOOKUP(D448,[3]Extended!$B$9:$H$101,7,FALSE)))),0)</f>
        <v>1474239</v>
      </c>
      <c r="O448" s="269">
        <f>IFERROR(IF(BA448="WIP - 30 Days",VLOOKUP(D448,[3]Extended!$B$9:$J$101,9,FALSE),IF(BA448="31-120 Days",VLOOKUP(D448,[3]Extended!$B$9:$K$101,10,FALSE),IF(BA448="121-365 Days",VLOOKUP(D448,[3]Extended!$B$9:$L$101,11,FALSE),VLOOKUP(D448,[3]Extended!$B$9:$M$101,12,FALSE)))),0)</f>
        <v>1431300</v>
      </c>
      <c r="P448" s="116">
        <f t="shared" si="31"/>
        <v>0.22</v>
      </c>
      <c r="Q448" s="110" t="e">
        <f>O448-#REF!</f>
        <v>#REF!</v>
      </c>
      <c r="S448" s="112">
        <f>COUNT(#REF!)</f>
        <v>0</v>
      </c>
      <c r="W448" s="311"/>
      <c r="X448" s="311"/>
      <c r="Y448" s="311"/>
      <c r="Z448" s="311"/>
      <c r="AA448" s="311"/>
      <c r="AB448" s="311"/>
      <c r="AC448" s="311"/>
      <c r="AT448" s="88" t="str">
        <f t="shared" si="32"/>
        <v>KP0007072017Q214,7</v>
      </c>
      <c r="AU448" s="89" t="str">
        <f t="shared" si="33"/>
        <v>05-2017</v>
      </c>
      <c r="BA448" s="92" t="str">
        <f t="shared" si="34"/>
        <v>WIP - 30 Days</v>
      </c>
    </row>
    <row r="449" spans="1:56">
      <c r="B449" s="60">
        <f>[2]Trucks!A446</f>
        <v>46982</v>
      </c>
      <c r="C449" s="11" t="str">
        <f>[2]Trucks!B446</f>
        <v>TGS-26-4406X4BLS-LX-ALU-EL</v>
      </c>
      <c r="D449" s="19" t="str">
        <f>IFERROR(VLOOKUP(C449&amp;"",'[2]Retail Price List'!$A$3:$B$103,2,FALSE),"Special Order")</f>
        <v>KP000707</v>
      </c>
      <c r="E449" s="18" t="str">
        <f>[2]Trucks!J446</f>
        <v>CKD</v>
      </c>
      <c r="F449" s="12" t="str">
        <f>[2]Trucks!E446</f>
        <v>2017-12-11</v>
      </c>
      <c r="G449" s="56">
        <f>[2]Trucks!K446</f>
        <v>14.7</v>
      </c>
      <c r="H449" s="46">
        <f>[2]Trucks!I446</f>
        <v>42859</v>
      </c>
      <c r="I449" s="83" t="str">
        <f t="shared" si="30"/>
        <v>2017Q2</v>
      </c>
      <c r="J449" s="272">
        <f>IFERROR(VLOOKUP((D449&amp;C449)&amp;"",'[2]Retail Price List'!$C$4:$F$102,3,FALSE),"")</f>
        <v>1785000</v>
      </c>
      <c r="K449" s="272">
        <f>IFERROR(IF(BA449="WIP - 30 Days",VLOOKUP(D449,[3]Standard!$B$9:$E$101,4,FALSE),IF(BA449="31-120 Days",VLOOKUP(D449,[3]Standard!$B$9:$F$101,5,FALSE),IF(BA449="121-365 Days",VLOOKUP(D449,[3]Standard!$B$9:$G$101,6,FALSE),VLOOKUP(D449,[3]Standard!$B$9:$H$101,7,FALSE)))),0)</f>
        <v>1397298</v>
      </c>
      <c r="L449" s="272">
        <f>IFERROR(IF(BA449="WIP - 30 Days",VLOOKUP(D449,[3]Standard!$B$9:$J$101,9,FALSE),IF(BA449="31-120 Days",VLOOKUP(D449,[3]Standard!$B$9:$K$100,10,FALSE),IF(BA449="121-365 Days",VLOOKUP(D449,[3]Standard!$B$9:$L$101,11,FALSE),VLOOKUP(D449,[3]Standard!$B$9:$M$101,12,FALSE)))),0)</f>
        <v>1356600</v>
      </c>
      <c r="M449" s="269">
        <f>IFERROR(VLOOKUP((D449&amp;C449)&amp;"",'[2]Retail Price List'!$C$4:$F$102,4,FALSE),"")</f>
        <v>1835000</v>
      </c>
      <c r="N449" s="269">
        <f>IFERROR(IF(BA449="WIP - 30 Days",VLOOKUP(D449,[3]Extended!$B$9:$E$101,4,FALSE),IF(BA449="31-120 Days",VLOOKUP(D449,[3]Extended!$B$9:$F$101,5,FALSE),IF(BA449="121-365 Days",VLOOKUP(D449,[3]Extended!$B$9:$G$101,6,FALSE),VLOOKUP(D449,[3]Extended!$B$9:$H$101,7,FALSE)))),0)</f>
        <v>1474239</v>
      </c>
      <c r="O449" s="269">
        <f>IFERROR(IF(BA449="WIP - 30 Days",VLOOKUP(D449,[3]Extended!$B$9:$J$101,9,FALSE),IF(BA449="31-120 Days",VLOOKUP(D449,[3]Extended!$B$9:$K$101,10,FALSE),IF(BA449="121-365 Days",VLOOKUP(D449,[3]Extended!$B$9:$L$101,11,FALSE),VLOOKUP(D449,[3]Extended!$B$9:$M$101,12,FALSE)))),0)</f>
        <v>1431300</v>
      </c>
      <c r="P449" s="116">
        <f t="shared" si="31"/>
        <v>0.22</v>
      </c>
      <c r="Q449" s="110" t="e">
        <f>O449-#REF!</f>
        <v>#REF!</v>
      </c>
      <c r="S449" s="110" t="e">
        <f>+AVERAGE(#REF!)</f>
        <v>#REF!</v>
      </c>
      <c r="W449" s="311"/>
      <c r="X449" s="311"/>
      <c r="Y449" s="311"/>
      <c r="Z449" s="311"/>
      <c r="AA449" s="311"/>
      <c r="AB449" s="311"/>
      <c r="AC449" s="311"/>
      <c r="AT449" s="88" t="str">
        <f t="shared" si="32"/>
        <v>KP0007072017Q214,7</v>
      </c>
      <c r="AU449" s="89" t="str">
        <f t="shared" si="33"/>
        <v>05-2017</v>
      </c>
      <c r="BA449" s="92" t="str">
        <f t="shared" si="34"/>
        <v>WIP - 30 Days</v>
      </c>
    </row>
    <row r="450" spans="1:56">
      <c r="B450" s="60">
        <f>[2]Trucks!A447</f>
        <v>46983</v>
      </c>
      <c r="C450" s="11" t="str">
        <f>[2]Trucks!B447</f>
        <v>TGS-26-4406X4BLS-LX-ALU-EL</v>
      </c>
      <c r="D450" s="19" t="str">
        <f>IFERROR(VLOOKUP(C450&amp;"",'[2]Retail Price List'!$A$3:$B$103,2,FALSE),"Special Order")</f>
        <v>KP000707</v>
      </c>
      <c r="E450" s="18" t="str">
        <f>[2]Trucks!J447</f>
        <v>CKD</v>
      </c>
      <c r="F450" s="12" t="str">
        <f>[2]Trucks!E447</f>
        <v>2017-12-11</v>
      </c>
      <c r="G450" s="56">
        <f>[2]Trucks!K447</f>
        <v>14.7</v>
      </c>
      <c r="H450" s="46">
        <f>[2]Trucks!I447</f>
        <v>42859</v>
      </c>
      <c r="I450" s="83" t="str">
        <f t="shared" si="30"/>
        <v>2017Q2</v>
      </c>
      <c r="J450" s="272">
        <f>IFERROR(VLOOKUP((D450&amp;C450)&amp;"",'[2]Retail Price List'!$C$4:$F$102,3,FALSE),"")</f>
        <v>1785000</v>
      </c>
      <c r="K450" s="272">
        <f>IFERROR(IF(BA450="WIP - 30 Days",VLOOKUP(D450,[3]Standard!$B$9:$E$101,4,FALSE),IF(BA450="31-120 Days",VLOOKUP(D450,[3]Standard!$B$9:$F$101,5,FALSE),IF(BA450="121-365 Days",VLOOKUP(D450,[3]Standard!$B$9:$G$101,6,FALSE),VLOOKUP(D450,[3]Standard!$B$9:$H$101,7,FALSE)))),0)</f>
        <v>1397298</v>
      </c>
      <c r="L450" s="272">
        <f>IFERROR(IF(BA450="WIP - 30 Days",VLOOKUP(D450,[3]Standard!$B$9:$J$101,9,FALSE),IF(BA450="31-120 Days",VLOOKUP(D450,[3]Standard!$B$9:$K$100,10,FALSE),IF(BA450="121-365 Days",VLOOKUP(D450,[3]Standard!$B$9:$L$101,11,FALSE),VLOOKUP(D450,[3]Standard!$B$9:$M$101,12,FALSE)))),0)</f>
        <v>1356600</v>
      </c>
      <c r="M450" s="269">
        <f>IFERROR(VLOOKUP((D450&amp;C450)&amp;"",'[2]Retail Price List'!$C$4:$F$102,4,FALSE),"")</f>
        <v>1835000</v>
      </c>
      <c r="N450" s="269">
        <f>IFERROR(IF(BA450="WIP - 30 Days",VLOOKUP(D450,[3]Extended!$B$9:$E$101,4,FALSE),IF(BA450="31-120 Days",VLOOKUP(D450,[3]Extended!$B$9:$F$101,5,FALSE),IF(BA450="121-365 Days",VLOOKUP(D450,[3]Extended!$B$9:$G$101,6,FALSE),VLOOKUP(D450,[3]Extended!$B$9:$H$101,7,FALSE)))),0)</f>
        <v>1474239</v>
      </c>
      <c r="O450" s="269">
        <f>IFERROR(IF(BA450="WIP - 30 Days",VLOOKUP(D450,[3]Extended!$B$9:$J$101,9,FALSE),IF(BA450="31-120 Days",VLOOKUP(D450,[3]Extended!$B$9:$K$101,10,FALSE),IF(BA450="121-365 Days",VLOOKUP(D450,[3]Extended!$B$9:$L$101,11,FALSE),VLOOKUP(D450,[3]Extended!$B$9:$M$101,12,FALSE)))),0)</f>
        <v>1431300</v>
      </c>
      <c r="P450" s="116">
        <f t="shared" si="31"/>
        <v>0.22</v>
      </c>
      <c r="Q450" s="110" t="e">
        <f>O450-#REF!</f>
        <v>#REF!</v>
      </c>
      <c r="W450" s="311"/>
      <c r="X450" s="311"/>
      <c r="Y450" s="311"/>
      <c r="Z450" s="311"/>
      <c r="AA450" s="311"/>
      <c r="AB450" s="311"/>
      <c r="AC450" s="311"/>
      <c r="AT450" s="88" t="str">
        <f t="shared" si="32"/>
        <v>KP0007072017Q214,7</v>
      </c>
      <c r="AU450" s="89" t="str">
        <f t="shared" si="33"/>
        <v>05-2017</v>
      </c>
      <c r="BA450" s="92" t="str">
        <f t="shared" si="34"/>
        <v>WIP - 30 Days</v>
      </c>
    </row>
    <row r="451" spans="1:56">
      <c r="B451" s="60">
        <f>[2]Trucks!A448</f>
        <v>47779</v>
      </c>
      <c r="C451" s="11" t="str">
        <f>[2]Trucks!B448</f>
        <v>TGS-26-4406X4BLS-LX-ALU-EL</v>
      </c>
      <c r="D451" s="19" t="str">
        <f>IFERROR(VLOOKUP(C451&amp;"",'[2]Retail Price List'!$A$3:$B$103,2,FALSE),"Special Order")</f>
        <v>KP000707</v>
      </c>
      <c r="E451" s="18" t="str">
        <f>[2]Trucks!J448</f>
        <v>CKD</v>
      </c>
      <c r="F451" s="12" t="str">
        <f>[2]Trucks!E448</f>
        <v>2018-03-10</v>
      </c>
      <c r="G451" s="56">
        <f>[2]Trucks!K448</f>
        <v>14.7</v>
      </c>
      <c r="H451" s="46">
        <f>[2]Trucks!I448</f>
        <v>42947</v>
      </c>
      <c r="I451" s="83" t="str">
        <f t="shared" si="30"/>
        <v>2017Q3</v>
      </c>
      <c r="J451" s="272">
        <f>IFERROR(VLOOKUP((D451&amp;C451)&amp;"",'[2]Retail Price List'!$C$4:$F$102,3,FALSE),"")</f>
        <v>1785000</v>
      </c>
      <c r="K451" s="272">
        <f>IFERROR(IF(BA451="WIP - 30 Days",VLOOKUP(D451,[3]Standard!$B$9:$E$101,4,FALSE),IF(BA451="31-120 Days",VLOOKUP(D451,[3]Standard!$B$9:$F$101,5,FALSE),IF(BA451="121-365 Days",VLOOKUP(D451,[3]Standard!$B$9:$G$101,6,FALSE),VLOOKUP(D451,[3]Standard!$B$9:$H$101,7,FALSE)))),0)</f>
        <v>1397298</v>
      </c>
      <c r="L451" s="272">
        <f>IFERROR(IF(BA451="WIP - 30 Days",VLOOKUP(D451,[3]Standard!$B$9:$J$101,9,FALSE),IF(BA451="31-120 Days",VLOOKUP(D451,[3]Standard!$B$9:$K$100,10,FALSE),IF(BA451="121-365 Days",VLOOKUP(D451,[3]Standard!$B$9:$L$101,11,FALSE),VLOOKUP(D451,[3]Standard!$B$9:$M$101,12,FALSE)))),0)</f>
        <v>1356600</v>
      </c>
      <c r="M451" s="269">
        <f>IFERROR(VLOOKUP((D451&amp;C451)&amp;"",'[2]Retail Price List'!$C$4:$F$102,4,FALSE),"")</f>
        <v>1835000</v>
      </c>
      <c r="N451" s="269">
        <f>IFERROR(IF(BA451="WIP - 30 Days",VLOOKUP(D451,[3]Extended!$B$9:$E$101,4,FALSE),IF(BA451="31-120 Days",VLOOKUP(D451,[3]Extended!$B$9:$F$101,5,FALSE),IF(BA451="121-365 Days",VLOOKUP(D451,[3]Extended!$B$9:$G$101,6,FALSE),VLOOKUP(D451,[3]Extended!$B$9:$H$101,7,FALSE)))),0)</f>
        <v>1474239</v>
      </c>
      <c r="O451" s="269">
        <f>IFERROR(IF(BA451="WIP - 30 Days",VLOOKUP(D451,[3]Extended!$B$9:$J$101,9,FALSE),IF(BA451="31-120 Days",VLOOKUP(D451,[3]Extended!$B$9:$K$101,10,FALSE),IF(BA451="121-365 Days",VLOOKUP(D451,[3]Extended!$B$9:$L$101,11,FALSE),VLOOKUP(D451,[3]Extended!$B$9:$M$101,12,FALSE)))),0)</f>
        <v>1431300</v>
      </c>
      <c r="P451" s="116">
        <f t="shared" si="31"/>
        <v>0.22</v>
      </c>
      <c r="Q451" s="110" t="e">
        <f>O451-#REF!</f>
        <v>#REF!</v>
      </c>
      <c r="W451" s="311"/>
      <c r="X451" s="311"/>
      <c r="Y451" s="311"/>
      <c r="Z451" s="311"/>
      <c r="AA451" s="311"/>
      <c r="AB451" s="311"/>
      <c r="AC451" s="311"/>
      <c r="AT451" s="88" t="str">
        <f t="shared" si="32"/>
        <v>KP0007072017Q314,7</v>
      </c>
      <c r="AU451" s="89" t="str">
        <f t="shared" si="33"/>
        <v>07-2017</v>
      </c>
      <c r="BA451" s="92" t="str">
        <f t="shared" si="34"/>
        <v>WIP - 30 Days</v>
      </c>
    </row>
    <row r="452" spans="1:56">
      <c r="B452" s="60">
        <f>[2]Trucks!A449</f>
        <v>47780</v>
      </c>
      <c r="C452" s="11" t="str">
        <f>[2]Trucks!B449</f>
        <v>TGS-26-4406X4BLS-LX-ALU-EL</v>
      </c>
      <c r="D452" s="19" t="str">
        <f>IFERROR(VLOOKUP(C452&amp;"",'[2]Retail Price List'!$A$3:$B$103,2,FALSE),"Special Order")</f>
        <v>KP000707</v>
      </c>
      <c r="E452" s="18" t="str">
        <f>[2]Trucks!J449</f>
        <v>CKD</v>
      </c>
      <c r="F452" s="12" t="str">
        <f>[2]Trucks!E449</f>
        <v>2018-03-10</v>
      </c>
      <c r="G452" s="56">
        <f>[2]Trucks!K449</f>
        <v>14.7</v>
      </c>
      <c r="H452" s="46">
        <f>[2]Trucks!I449</f>
        <v>42947</v>
      </c>
      <c r="I452" s="83" t="str">
        <f t="shared" si="30"/>
        <v>2017Q3</v>
      </c>
      <c r="J452" s="272">
        <f>IFERROR(VLOOKUP((D452&amp;C452)&amp;"",'[2]Retail Price List'!$C$4:$F$102,3,FALSE),"")</f>
        <v>1785000</v>
      </c>
      <c r="K452" s="272">
        <f>IFERROR(IF(BA452="WIP - 30 Days",VLOOKUP(D452,[3]Standard!$B$9:$E$101,4,FALSE),IF(BA452="31-120 Days",VLOOKUP(D452,[3]Standard!$B$9:$F$101,5,FALSE),IF(BA452="121-365 Days",VLOOKUP(D452,[3]Standard!$B$9:$G$101,6,FALSE),VLOOKUP(D452,[3]Standard!$B$9:$H$101,7,FALSE)))),0)</f>
        <v>1397298</v>
      </c>
      <c r="L452" s="272">
        <f>IFERROR(IF(BA452="WIP - 30 Days",VLOOKUP(D452,[3]Standard!$B$9:$J$101,9,FALSE),IF(BA452="31-120 Days",VLOOKUP(D452,[3]Standard!$B$9:$K$100,10,FALSE),IF(BA452="121-365 Days",VLOOKUP(D452,[3]Standard!$B$9:$L$101,11,FALSE),VLOOKUP(D452,[3]Standard!$B$9:$M$101,12,FALSE)))),0)</f>
        <v>1356600</v>
      </c>
      <c r="M452" s="269">
        <f>IFERROR(VLOOKUP((D452&amp;C452)&amp;"",'[2]Retail Price List'!$C$4:$F$102,4,FALSE),"")</f>
        <v>1835000</v>
      </c>
      <c r="N452" s="269">
        <f>IFERROR(IF(BA452="WIP - 30 Days",VLOOKUP(D452,[3]Extended!$B$9:$E$101,4,FALSE),IF(BA452="31-120 Days",VLOOKUP(D452,[3]Extended!$B$9:$F$101,5,FALSE),IF(BA452="121-365 Days",VLOOKUP(D452,[3]Extended!$B$9:$G$101,6,FALSE),VLOOKUP(D452,[3]Extended!$B$9:$H$101,7,FALSE)))),0)</f>
        <v>1474239</v>
      </c>
      <c r="O452" s="269">
        <f>IFERROR(IF(BA452="WIP - 30 Days",VLOOKUP(D452,[3]Extended!$B$9:$J$101,9,FALSE),IF(BA452="31-120 Days",VLOOKUP(D452,[3]Extended!$B$9:$K$101,10,FALSE),IF(BA452="121-365 Days",VLOOKUP(D452,[3]Extended!$B$9:$L$101,11,FALSE),VLOOKUP(D452,[3]Extended!$B$9:$M$101,12,FALSE)))),0)</f>
        <v>1431300</v>
      </c>
      <c r="P452" s="116">
        <f t="shared" si="31"/>
        <v>0.22</v>
      </c>
      <c r="Q452" s="110" t="e">
        <f>O452-#REF!</f>
        <v>#REF!</v>
      </c>
      <c r="W452" s="311"/>
      <c r="X452" s="311"/>
      <c r="Y452" s="311"/>
      <c r="Z452" s="311"/>
      <c r="AA452" s="311"/>
      <c r="AB452" s="311"/>
      <c r="AC452" s="311"/>
      <c r="AT452" s="88" t="str">
        <f t="shared" si="32"/>
        <v>KP0007072017Q314,7</v>
      </c>
      <c r="AU452" s="89" t="str">
        <f t="shared" si="33"/>
        <v>07-2017</v>
      </c>
      <c r="AW452" s="84"/>
      <c r="AX452" s="84"/>
      <c r="AY452" s="84"/>
      <c r="BA452" s="92" t="str">
        <f t="shared" si="34"/>
        <v>WIP - 30 Days</v>
      </c>
    </row>
    <row r="453" spans="1:56" s="69" customFormat="1">
      <c r="B453" s="60">
        <f>[2]Trucks!A450</f>
        <v>47781</v>
      </c>
      <c r="C453" s="11" t="str">
        <f>[2]Trucks!B450</f>
        <v>TGS-26-4406X4BLS-LX-ALU-EL</v>
      </c>
      <c r="D453" s="19" t="str">
        <f>IFERROR(VLOOKUP(C453&amp;"",'[2]Retail Price List'!$A$3:$B$103,2,FALSE),"Special Order")</f>
        <v>KP000707</v>
      </c>
      <c r="E453" s="18" t="str">
        <f>[2]Trucks!J450</f>
        <v>CKD</v>
      </c>
      <c r="F453" s="12" t="str">
        <f>[2]Trucks!E450</f>
        <v>2018-03-10</v>
      </c>
      <c r="G453" s="56">
        <f>[2]Trucks!K450</f>
        <v>14.7</v>
      </c>
      <c r="H453" s="46">
        <f>[2]Trucks!I450</f>
        <v>42947</v>
      </c>
      <c r="I453" s="83" t="str">
        <f t="shared" ref="I453:I516" si="35">IFERROR(VLOOKUP(AU453,$AW$5:$AY$40,3,FALSE),"")</f>
        <v>2017Q3</v>
      </c>
      <c r="J453" s="272">
        <f>IFERROR(VLOOKUP((D453&amp;C453)&amp;"",'[2]Retail Price List'!$C$4:$F$102,3,FALSE),"")</f>
        <v>1785000</v>
      </c>
      <c r="K453" s="272">
        <f>IFERROR(IF(BA453="WIP - 30 Days",VLOOKUP(D453,[3]Standard!$B$9:$E$101,4,FALSE),IF(BA453="31-120 Days",VLOOKUP(D453,[3]Standard!$B$9:$F$101,5,FALSE),IF(BA453="121-365 Days",VLOOKUP(D453,[3]Standard!$B$9:$G$101,6,FALSE),VLOOKUP(D453,[3]Standard!$B$9:$H$101,7,FALSE)))),0)</f>
        <v>1397298</v>
      </c>
      <c r="L453" s="272">
        <f>IFERROR(IF(BA453="WIP - 30 Days",VLOOKUP(D453,[3]Standard!$B$9:$J$101,9,FALSE),IF(BA453="31-120 Days",VLOOKUP(D453,[3]Standard!$B$9:$K$100,10,FALSE),IF(BA453="121-365 Days",VLOOKUP(D453,[3]Standard!$B$9:$L$101,11,FALSE),VLOOKUP(D453,[3]Standard!$B$9:$M$101,12,FALSE)))),0)</f>
        <v>1356600</v>
      </c>
      <c r="M453" s="269">
        <f>IFERROR(VLOOKUP((D453&amp;C453)&amp;"",'[2]Retail Price List'!$C$4:$F$102,4,FALSE),"")</f>
        <v>1835000</v>
      </c>
      <c r="N453" s="269">
        <f>IFERROR(IF(BA453="WIP - 30 Days",VLOOKUP(D453,[3]Extended!$B$9:$E$101,4,FALSE),IF(BA453="31-120 Days",VLOOKUP(D453,[3]Extended!$B$9:$F$101,5,FALSE),IF(BA453="121-365 Days",VLOOKUP(D453,[3]Extended!$B$9:$G$101,6,FALSE),VLOOKUP(D453,[3]Extended!$B$9:$H$101,7,FALSE)))),0)</f>
        <v>1474239</v>
      </c>
      <c r="O453" s="269">
        <f>IFERROR(IF(BA453="WIP - 30 Days",VLOOKUP(D453,[3]Extended!$B$9:$J$101,9,FALSE),IF(BA453="31-120 Days",VLOOKUP(D453,[3]Extended!$B$9:$K$101,10,FALSE),IF(BA453="121-365 Days",VLOOKUP(D453,[3]Extended!$B$9:$L$101,11,FALSE),VLOOKUP(D453,[3]Extended!$B$9:$M$101,12,FALSE)))),0)</f>
        <v>1431300</v>
      </c>
      <c r="P453" s="261">
        <f t="shared" ref="P453:P516" si="36">(M453-O453)/M453</f>
        <v>0.22</v>
      </c>
      <c r="Q453" s="262" t="e">
        <f>O453-#REF!</f>
        <v>#REF!</v>
      </c>
      <c r="R453" s="263"/>
      <c r="S453" s="264"/>
      <c r="T453" s="264"/>
      <c r="U453" s="264"/>
      <c r="V453" s="264"/>
      <c r="W453" s="311"/>
      <c r="X453" s="311"/>
      <c r="Y453" s="311"/>
      <c r="Z453" s="311"/>
      <c r="AA453" s="311"/>
      <c r="AB453" s="311"/>
      <c r="AC453" s="311"/>
      <c r="AD453" s="84"/>
      <c r="AE453" s="84"/>
      <c r="AF453" s="84"/>
      <c r="AT453" s="88" t="str">
        <f t="shared" ref="AT453:AT516" si="37">D453&amp;I453&amp;G453</f>
        <v>KP0007072017Q314,7</v>
      </c>
      <c r="AU453" s="89" t="str">
        <f t="shared" ref="AU453:AU516" si="38">IF(MONTH(H453)&lt;10,0&amp;MONTH(H453)&amp;"-"&amp;YEAR(H453),MONTH(H453)&amp;"-"&amp;YEAR(H453))</f>
        <v>07-2017</v>
      </c>
      <c r="AV453" s="84"/>
      <c r="AW453" s="84"/>
      <c r="AX453" s="84"/>
      <c r="AY453" s="84"/>
      <c r="AZ453" s="84"/>
      <c r="BA453" s="92" t="str">
        <f t="shared" ref="BA453:BA516" si="39">IF(B453=0,"",IF(AND(F453&gt;=31,F453&lt;=120),"31-120 Days",IF(AND(F453&gt;=121,F453&lt;=365),"121-365 Days",IF(OR(E453="CKD",F453&lt;=30),"WIP - 30 Days","&gt;365 Days"))))</f>
        <v>WIP - 30 Days</v>
      </c>
      <c r="BB453" s="84"/>
      <c r="BC453" s="84"/>
      <c r="BD453" s="84"/>
    </row>
    <row r="454" spans="1:56" s="69" customFormat="1">
      <c r="B454" s="60">
        <f>[2]Trucks!A451</f>
        <v>47782</v>
      </c>
      <c r="C454" s="11" t="str">
        <f>[2]Trucks!B451</f>
        <v>TGS-26-4406X4BLS-LX-ALU-EL</v>
      </c>
      <c r="D454" s="19" t="str">
        <f>IFERROR(VLOOKUP(C454&amp;"",'[2]Retail Price List'!$A$3:$B$103,2,FALSE),"Special Order")</f>
        <v>KP000707</v>
      </c>
      <c r="E454" s="18" t="str">
        <f>[2]Trucks!J451</f>
        <v>CKD</v>
      </c>
      <c r="F454" s="12" t="str">
        <f>[2]Trucks!E451</f>
        <v>2018-03-10</v>
      </c>
      <c r="G454" s="56">
        <f>[2]Trucks!K451</f>
        <v>14.7</v>
      </c>
      <c r="H454" s="46">
        <f>[2]Trucks!I451</f>
        <v>42947</v>
      </c>
      <c r="I454" s="83" t="str">
        <f t="shared" si="35"/>
        <v>2017Q3</v>
      </c>
      <c r="J454" s="272">
        <f>IFERROR(VLOOKUP((D454&amp;C454)&amp;"",'[2]Retail Price List'!$C$4:$F$102,3,FALSE),"")</f>
        <v>1785000</v>
      </c>
      <c r="K454" s="272">
        <f>IFERROR(IF(BA454="WIP - 30 Days",VLOOKUP(D454,[3]Standard!$B$9:$E$101,4,FALSE),IF(BA454="31-120 Days",VLOOKUP(D454,[3]Standard!$B$9:$F$101,5,FALSE),IF(BA454="121-365 Days",VLOOKUP(D454,[3]Standard!$B$9:$G$101,6,FALSE),VLOOKUP(D454,[3]Standard!$B$9:$H$101,7,FALSE)))),0)</f>
        <v>1397298</v>
      </c>
      <c r="L454" s="272">
        <f>IFERROR(IF(BA454="WIP - 30 Days",VLOOKUP(D454,[3]Standard!$B$9:$J$101,9,FALSE),IF(BA454="31-120 Days",VLOOKUP(D454,[3]Standard!$B$9:$K$100,10,FALSE),IF(BA454="121-365 Days",VLOOKUP(D454,[3]Standard!$B$9:$L$101,11,FALSE),VLOOKUP(D454,[3]Standard!$B$9:$M$101,12,FALSE)))),0)</f>
        <v>1356600</v>
      </c>
      <c r="M454" s="269">
        <f>IFERROR(VLOOKUP((D454&amp;C454)&amp;"",'[2]Retail Price List'!$C$4:$F$102,4,FALSE),"")</f>
        <v>1835000</v>
      </c>
      <c r="N454" s="269">
        <f>IFERROR(IF(BA454="WIP - 30 Days",VLOOKUP(D454,[3]Extended!$B$9:$E$101,4,FALSE),IF(BA454="31-120 Days",VLOOKUP(D454,[3]Extended!$B$9:$F$101,5,FALSE),IF(BA454="121-365 Days",VLOOKUP(D454,[3]Extended!$B$9:$G$101,6,FALSE),VLOOKUP(D454,[3]Extended!$B$9:$H$101,7,FALSE)))),0)</f>
        <v>1474239</v>
      </c>
      <c r="O454" s="269">
        <f>IFERROR(IF(BA454="WIP - 30 Days",VLOOKUP(D454,[3]Extended!$B$9:$J$101,9,FALSE),IF(BA454="31-120 Days",VLOOKUP(D454,[3]Extended!$B$9:$K$101,10,FALSE),IF(BA454="121-365 Days",VLOOKUP(D454,[3]Extended!$B$9:$L$101,11,FALSE),VLOOKUP(D454,[3]Extended!$B$9:$M$101,12,FALSE)))),0)</f>
        <v>1431300</v>
      </c>
      <c r="P454" s="261">
        <f t="shared" si="36"/>
        <v>0.22</v>
      </c>
      <c r="Q454" s="262" t="e">
        <f>O454-#REF!</f>
        <v>#REF!</v>
      </c>
      <c r="R454" s="263"/>
      <c r="S454" s="264"/>
      <c r="T454" s="264"/>
      <c r="U454" s="264"/>
      <c r="V454" s="264"/>
      <c r="W454" s="311"/>
      <c r="X454" s="311"/>
      <c r="Y454" s="311"/>
      <c r="Z454" s="311"/>
      <c r="AA454" s="311"/>
      <c r="AB454" s="311"/>
      <c r="AC454" s="311"/>
      <c r="AD454" s="84"/>
      <c r="AE454" s="84"/>
      <c r="AF454" s="84"/>
      <c r="AT454" s="88" t="str">
        <f t="shared" si="37"/>
        <v>KP0007072017Q314,7</v>
      </c>
      <c r="AU454" s="89" t="str">
        <f t="shared" si="38"/>
        <v>07-2017</v>
      </c>
      <c r="AV454" s="84"/>
      <c r="AW454" s="84"/>
      <c r="AX454" s="84"/>
      <c r="AY454" s="84"/>
      <c r="AZ454" s="84"/>
      <c r="BA454" s="92" t="str">
        <f t="shared" si="39"/>
        <v>WIP - 30 Days</v>
      </c>
      <c r="BB454" s="84"/>
      <c r="BC454" s="84"/>
      <c r="BD454" s="84"/>
    </row>
    <row r="455" spans="1:56" s="69" customFormat="1">
      <c r="B455" s="60">
        <f>[2]Trucks!A452</f>
        <v>47783</v>
      </c>
      <c r="C455" s="11" t="str">
        <f>[2]Trucks!B452</f>
        <v>TGS-26-4406X4BLS-LX-ALU-EL</v>
      </c>
      <c r="D455" s="19" t="str">
        <f>IFERROR(VLOOKUP(C455&amp;"",'[2]Retail Price List'!$A$3:$B$103,2,FALSE),"Special Order")</f>
        <v>KP000707</v>
      </c>
      <c r="E455" s="18" t="str">
        <f>[2]Trucks!J452</f>
        <v>CKD</v>
      </c>
      <c r="F455" s="12" t="str">
        <f>[2]Trucks!E452</f>
        <v>2018-03-15</v>
      </c>
      <c r="G455" s="56">
        <f>[2]Trucks!K452</f>
        <v>14.7</v>
      </c>
      <c r="H455" s="46">
        <f>[2]Trucks!I452</f>
        <v>42947</v>
      </c>
      <c r="I455" s="83" t="str">
        <f t="shared" si="35"/>
        <v>2017Q3</v>
      </c>
      <c r="J455" s="272">
        <f>IFERROR(VLOOKUP((D455&amp;C455)&amp;"",'[2]Retail Price List'!$C$4:$F$102,3,FALSE),"")</f>
        <v>1785000</v>
      </c>
      <c r="K455" s="272">
        <f>IFERROR(IF(BA455="WIP - 30 Days",VLOOKUP(D455,[3]Standard!$B$9:$E$101,4,FALSE),IF(BA455="31-120 Days",VLOOKUP(D455,[3]Standard!$B$9:$F$101,5,FALSE),IF(BA455="121-365 Days",VLOOKUP(D455,[3]Standard!$B$9:$G$101,6,FALSE),VLOOKUP(D455,[3]Standard!$B$9:$H$101,7,FALSE)))),0)</f>
        <v>1397298</v>
      </c>
      <c r="L455" s="272">
        <f>IFERROR(IF(BA455="WIP - 30 Days",VLOOKUP(D455,[3]Standard!$B$9:$J$101,9,FALSE),IF(BA455="31-120 Days",VLOOKUP(D455,[3]Standard!$B$9:$K$100,10,FALSE),IF(BA455="121-365 Days",VLOOKUP(D455,[3]Standard!$B$9:$L$101,11,FALSE),VLOOKUP(D455,[3]Standard!$B$9:$M$101,12,FALSE)))),0)</f>
        <v>1356600</v>
      </c>
      <c r="M455" s="269">
        <f>IFERROR(VLOOKUP((D455&amp;C455)&amp;"",'[2]Retail Price List'!$C$4:$F$102,4,FALSE),"")</f>
        <v>1835000</v>
      </c>
      <c r="N455" s="269">
        <f>IFERROR(IF(BA455="WIP - 30 Days",VLOOKUP(D455,[3]Extended!$B$9:$E$101,4,FALSE),IF(BA455="31-120 Days",VLOOKUP(D455,[3]Extended!$B$9:$F$101,5,FALSE),IF(BA455="121-365 Days",VLOOKUP(D455,[3]Extended!$B$9:$G$101,6,FALSE),VLOOKUP(D455,[3]Extended!$B$9:$H$101,7,FALSE)))),0)</f>
        <v>1474239</v>
      </c>
      <c r="O455" s="269">
        <f>IFERROR(IF(BA455="WIP - 30 Days",VLOOKUP(D455,[3]Extended!$B$9:$J$101,9,FALSE),IF(BA455="31-120 Days",VLOOKUP(D455,[3]Extended!$B$9:$K$101,10,FALSE),IF(BA455="121-365 Days",VLOOKUP(D455,[3]Extended!$B$9:$L$101,11,FALSE),VLOOKUP(D455,[3]Extended!$B$9:$M$101,12,FALSE)))),0)</f>
        <v>1431300</v>
      </c>
      <c r="P455" s="261">
        <f t="shared" si="36"/>
        <v>0.22</v>
      </c>
      <c r="Q455" s="262" t="e">
        <f>O455-#REF!</f>
        <v>#REF!</v>
      </c>
      <c r="R455" s="263"/>
      <c r="S455" s="264"/>
      <c r="T455" s="264"/>
      <c r="U455" s="264"/>
      <c r="V455" s="264"/>
      <c r="W455" s="311"/>
      <c r="X455" s="311"/>
      <c r="Y455" s="311"/>
      <c r="Z455" s="311"/>
      <c r="AA455" s="311"/>
      <c r="AB455" s="311"/>
      <c r="AC455" s="311"/>
      <c r="AD455" s="84"/>
      <c r="AE455" s="84"/>
      <c r="AF455" s="84"/>
      <c r="AT455" s="88" t="str">
        <f t="shared" si="37"/>
        <v>KP0007072017Q314,7</v>
      </c>
      <c r="AU455" s="89" t="str">
        <f t="shared" si="38"/>
        <v>07-2017</v>
      </c>
      <c r="AV455" s="84"/>
      <c r="AW455" s="89"/>
      <c r="AX455" s="89"/>
      <c r="AY455" s="89"/>
      <c r="AZ455" s="84"/>
      <c r="BA455" s="92" t="str">
        <f t="shared" si="39"/>
        <v>WIP - 30 Days</v>
      </c>
      <c r="BB455" s="84"/>
      <c r="BC455" s="84"/>
      <c r="BD455" s="84"/>
    </row>
    <row r="456" spans="1:56">
      <c r="B456" s="60">
        <f>[2]Trucks!A453</f>
        <v>47784</v>
      </c>
      <c r="C456" s="11" t="str">
        <f>[2]Trucks!B453</f>
        <v>TGS-26-4406X4BLS-LX-ALU-EL</v>
      </c>
      <c r="D456" s="19" t="str">
        <f>IFERROR(VLOOKUP(C456&amp;"",'[2]Retail Price List'!$A$3:$B$103,2,FALSE),"Special Order")</f>
        <v>KP000707</v>
      </c>
      <c r="E456" s="18" t="str">
        <f>[2]Trucks!J453</f>
        <v>CKD</v>
      </c>
      <c r="F456" s="12" t="str">
        <f>[2]Trucks!E453</f>
        <v>2018-03-15</v>
      </c>
      <c r="G456" s="56">
        <f>[2]Trucks!K453</f>
        <v>14.7</v>
      </c>
      <c r="H456" s="46">
        <f>[2]Trucks!I453</f>
        <v>42947</v>
      </c>
      <c r="I456" s="83" t="str">
        <f t="shared" si="35"/>
        <v>2017Q3</v>
      </c>
      <c r="J456" s="272">
        <f>IFERROR(VLOOKUP((D456&amp;C456)&amp;"",'[2]Retail Price List'!$C$4:$F$102,3,FALSE),"")</f>
        <v>1785000</v>
      </c>
      <c r="K456" s="272">
        <f>IFERROR(IF(BA456="WIP - 30 Days",VLOOKUP(D456,[3]Standard!$B$9:$E$101,4,FALSE),IF(BA456="31-120 Days",VLOOKUP(D456,[3]Standard!$B$9:$F$101,5,FALSE),IF(BA456="121-365 Days",VLOOKUP(D456,[3]Standard!$B$9:$G$101,6,FALSE),VLOOKUP(D456,[3]Standard!$B$9:$H$101,7,FALSE)))),0)</f>
        <v>1397298</v>
      </c>
      <c r="L456" s="272">
        <f>IFERROR(IF(BA456="WIP - 30 Days",VLOOKUP(D456,[3]Standard!$B$9:$J$101,9,FALSE),IF(BA456="31-120 Days",VLOOKUP(D456,[3]Standard!$B$9:$K$100,10,FALSE),IF(BA456="121-365 Days",VLOOKUP(D456,[3]Standard!$B$9:$L$101,11,FALSE),VLOOKUP(D456,[3]Standard!$B$9:$M$101,12,FALSE)))),0)</f>
        <v>1356600</v>
      </c>
      <c r="M456" s="269">
        <f>IFERROR(VLOOKUP((D456&amp;C456)&amp;"",'[2]Retail Price List'!$C$4:$F$102,4,FALSE),"")</f>
        <v>1835000</v>
      </c>
      <c r="N456" s="269">
        <f>IFERROR(IF(BA456="WIP - 30 Days",VLOOKUP(D456,[3]Extended!$B$9:$E$101,4,FALSE),IF(BA456="31-120 Days",VLOOKUP(D456,[3]Extended!$B$9:$F$101,5,FALSE),IF(BA456="121-365 Days",VLOOKUP(D456,[3]Extended!$B$9:$G$101,6,FALSE),VLOOKUP(D456,[3]Extended!$B$9:$H$101,7,FALSE)))),0)</f>
        <v>1474239</v>
      </c>
      <c r="O456" s="269">
        <f>IFERROR(IF(BA456="WIP - 30 Days",VLOOKUP(D456,[3]Extended!$B$9:$J$101,9,FALSE),IF(BA456="31-120 Days",VLOOKUP(D456,[3]Extended!$B$9:$K$101,10,FALSE),IF(BA456="121-365 Days",VLOOKUP(D456,[3]Extended!$B$9:$L$101,11,FALSE),VLOOKUP(D456,[3]Extended!$B$9:$M$101,12,FALSE)))),0)</f>
        <v>1431300</v>
      </c>
      <c r="P456" s="116">
        <f t="shared" si="36"/>
        <v>0.22</v>
      </c>
      <c r="Q456" s="110" t="e">
        <f>O456-#REF!</f>
        <v>#REF!</v>
      </c>
      <c r="W456" s="311"/>
      <c r="X456" s="311"/>
      <c r="Y456" s="311"/>
      <c r="Z456" s="311"/>
      <c r="AA456" s="311"/>
      <c r="AB456" s="311"/>
      <c r="AC456" s="311"/>
      <c r="AT456" s="88" t="str">
        <f t="shared" si="37"/>
        <v>KP0007072017Q314,7</v>
      </c>
      <c r="AU456" s="89" t="str">
        <f t="shared" si="38"/>
        <v>07-2017</v>
      </c>
      <c r="BA456" s="92" t="str">
        <f t="shared" si="39"/>
        <v>WIP - 30 Days</v>
      </c>
    </row>
    <row r="457" spans="1:56">
      <c r="B457" s="60">
        <f>[2]Trucks!A454</f>
        <v>47785</v>
      </c>
      <c r="C457" s="11" t="str">
        <f>[2]Trucks!B454</f>
        <v>TGS-26-4406X4BLS-LX-ALU-EL</v>
      </c>
      <c r="D457" s="19" t="str">
        <f>IFERROR(VLOOKUP(C457&amp;"",'[2]Retail Price List'!$A$3:$B$103,2,FALSE),"Special Order")</f>
        <v>KP000707</v>
      </c>
      <c r="E457" s="18" t="str">
        <f>[2]Trucks!J454</f>
        <v>CKD</v>
      </c>
      <c r="F457" s="12" t="str">
        <f>[2]Trucks!E454</f>
        <v>2018-03-15</v>
      </c>
      <c r="G457" s="56">
        <f>[2]Trucks!K454</f>
        <v>14.7</v>
      </c>
      <c r="H457" s="46">
        <f>[2]Trucks!I454</f>
        <v>42947</v>
      </c>
      <c r="I457" s="83" t="str">
        <f t="shared" si="35"/>
        <v>2017Q3</v>
      </c>
      <c r="J457" s="272">
        <f>IFERROR(VLOOKUP((D457&amp;C457)&amp;"",'[2]Retail Price List'!$C$4:$F$102,3,FALSE),"")</f>
        <v>1785000</v>
      </c>
      <c r="K457" s="272">
        <f>IFERROR(IF(BA457="WIP - 30 Days",VLOOKUP(D457,[3]Standard!$B$9:$E$101,4,FALSE),IF(BA457="31-120 Days",VLOOKUP(D457,[3]Standard!$B$9:$F$101,5,FALSE),IF(BA457="121-365 Days",VLOOKUP(D457,[3]Standard!$B$9:$G$101,6,FALSE),VLOOKUP(D457,[3]Standard!$B$9:$H$101,7,FALSE)))),0)</f>
        <v>1397298</v>
      </c>
      <c r="L457" s="272">
        <f>IFERROR(IF(BA457="WIP - 30 Days",VLOOKUP(D457,[3]Standard!$B$9:$J$101,9,FALSE),IF(BA457="31-120 Days",VLOOKUP(D457,[3]Standard!$B$9:$K$100,10,FALSE),IF(BA457="121-365 Days",VLOOKUP(D457,[3]Standard!$B$9:$L$101,11,FALSE),VLOOKUP(D457,[3]Standard!$B$9:$M$101,12,FALSE)))),0)</f>
        <v>1356600</v>
      </c>
      <c r="M457" s="269">
        <f>IFERROR(VLOOKUP((D457&amp;C457)&amp;"",'[2]Retail Price List'!$C$4:$F$102,4,FALSE),"")</f>
        <v>1835000</v>
      </c>
      <c r="N457" s="269">
        <f>IFERROR(IF(BA457="WIP - 30 Days",VLOOKUP(D457,[3]Extended!$B$9:$E$101,4,FALSE),IF(BA457="31-120 Days",VLOOKUP(D457,[3]Extended!$B$9:$F$101,5,FALSE),IF(BA457="121-365 Days",VLOOKUP(D457,[3]Extended!$B$9:$G$101,6,FALSE),VLOOKUP(D457,[3]Extended!$B$9:$H$101,7,FALSE)))),0)</f>
        <v>1474239</v>
      </c>
      <c r="O457" s="269">
        <f>IFERROR(IF(BA457="WIP - 30 Days",VLOOKUP(D457,[3]Extended!$B$9:$J$101,9,FALSE),IF(BA457="31-120 Days",VLOOKUP(D457,[3]Extended!$B$9:$K$101,10,FALSE),IF(BA457="121-365 Days",VLOOKUP(D457,[3]Extended!$B$9:$L$101,11,FALSE),VLOOKUP(D457,[3]Extended!$B$9:$M$101,12,FALSE)))),0)</f>
        <v>1431300</v>
      </c>
      <c r="P457" s="116">
        <f t="shared" si="36"/>
        <v>0.22</v>
      </c>
      <c r="Q457" s="110" t="e">
        <f>O457-#REF!</f>
        <v>#REF!</v>
      </c>
      <c r="W457" s="311"/>
      <c r="X457" s="311"/>
      <c r="Y457" s="311"/>
      <c r="Z457" s="311"/>
      <c r="AA457" s="311"/>
      <c r="AB457" s="311"/>
      <c r="AC457" s="311"/>
      <c r="AT457" s="88" t="str">
        <f t="shared" si="37"/>
        <v>KP0007072017Q314,7</v>
      </c>
      <c r="AU457" s="89" t="str">
        <f t="shared" si="38"/>
        <v>07-2017</v>
      </c>
      <c r="BA457" s="92" t="str">
        <f t="shared" si="39"/>
        <v>WIP - 30 Days</v>
      </c>
    </row>
    <row r="458" spans="1:56">
      <c r="B458" s="60">
        <f>[2]Trucks!A455</f>
        <v>47786</v>
      </c>
      <c r="C458" s="11" t="str">
        <f>[2]Trucks!B455</f>
        <v>TGS-26-4406X4BLS-LX-ALU-EL</v>
      </c>
      <c r="D458" s="19" t="str">
        <f>IFERROR(VLOOKUP(C458&amp;"",'[2]Retail Price List'!$A$3:$B$103,2,FALSE),"Special Order")</f>
        <v>KP000707</v>
      </c>
      <c r="E458" s="18" t="str">
        <f>[2]Trucks!J455</f>
        <v>CKD</v>
      </c>
      <c r="F458" s="12" t="str">
        <f>[2]Trucks!E455</f>
        <v>2018-03-15</v>
      </c>
      <c r="G458" s="56">
        <f>[2]Trucks!K455</f>
        <v>14.7</v>
      </c>
      <c r="H458" s="46">
        <f>[2]Trucks!I455</f>
        <v>42947</v>
      </c>
      <c r="I458" s="83" t="str">
        <f t="shared" si="35"/>
        <v>2017Q3</v>
      </c>
      <c r="J458" s="272">
        <f>IFERROR(VLOOKUP((D458&amp;C458)&amp;"",'[2]Retail Price List'!$C$4:$F$102,3,FALSE),"")</f>
        <v>1785000</v>
      </c>
      <c r="K458" s="272">
        <f>IFERROR(IF(BA458="WIP - 30 Days",VLOOKUP(D458,[3]Standard!$B$9:$E$101,4,FALSE),IF(BA458="31-120 Days",VLOOKUP(D458,[3]Standard!$B$9:$F$101,5,FALSE),IF(BA458="121-365 Days",VLOOKUP(D458,[3]Standard!$B$9:$G$101,6,FALSE),VLOOKUP(D458,[3]Standard!$B$9:$H$101,7,FALSE)))),0)</f>
        <v>1397298</v>
      </c>
      <c r="L458" s="272">
        <f>IFERROR(IF(BA458="WIP - 30 Days",VLOOKUP(D458,[3]Standard!$B$9:$J$101,9,FALSE),IF(BA458="31-120 Days",VLOOKUP(D458,[3]Standard!$B$9:$K$100,10,FALSE),IF(BA458="121-365 Days",VLOOKUP(D458,[3]Standard!$B$9:$L$101,11,FALSE),VLOOKUP(D458,[3]Standard!$B$9:$M$101,12,FALSE)))),0)</f>
        <v>1356600</v>
      </c>
      <c r="M458" s="269">
        <f>IFERROR(VLOOKUP((D458&amp;C458)&amp;"",'[2]Retail Price List'!$C$4:$F$102,4,FALSE),"")</f>
        <v>1835000</v>
      </c>
      <c r="N458" s="269">
        <f>IFERROR(IF(BA458="WIP - 30 Days",VLOOKUP(D458,[3]Extended!$B$9:$E$101,4,FALSE),IF(BA458="31-120 Days",VLOOKUP(D458,[3]Extended!$B$9:$F$101,5,FALSE),IF(BA458="121-365 Days",VLOOKUP(D458,[3]Extended!$B$9:$G$101,6,FALSE),VLOOKUP(D458,[3]Extended!$B$9:$H$101,7,FALSE)))),0)</f>
        <v>1474239</v>
      </c>
      <c r="O458" s="269">
        <f>IFERROR(IF(BA458="WIP - 30 Days",VLOOKUP(D458,[3]Extended!$B$9:$J$101,9,FALSE),IF(BA458="31-120 Days",VLOOKUP(D458,[3]Extended!$B$9:$K$101,10,FALSE),IF(BA458="121-365 Days",VLOOKUP(D458,[3]Extended!$B$9:$L$101,11,FALSE),VLOOKUP(D458,[3]Extended!$B$9:$M$101,12,FALSE)))),0)</f>
        <v>1431300</v>
      </c>
      <c r="P458" s="116">
        <f t="shared" si="36"/>
        <v>0.22</v>
      </c>
      <c r="Q458" s="110" t="e">
        <f>O458-#REF!</f>
        <v>#REF!</v>
      </c>
      <c r="W458" s="311"/>
      <c r="X458" s="311"/>
      <c r="Y458" s="311"/>
      <c r="Z458" s="311"/>
      <c r="AA458" s="311"/>
      <c r="AB458" s="311"/>
      <c r="AC458" s="311"/>
      <c r="AT458" s="88" t="str">
        <f t="shared" si="37"/>
        <v>KP0007072017Q314,7</v>
      </c>
      <c r="AU458" s="89" t="str">
        <f t="shared" si="38"/>
        <v>07-2017</v>
      </c>
      <c r="BA458" s="92" t="str">
        <f t="shared" si="39"/>
        <v>WIP - 30 Days</v>
      </c>
    </row>
    <row r="459" spans="1:56">
      <c r="B459" s="60">
        <f>[2]Trucks!A456</f>
        <v>47787</v>
      </c>
      <c r="C459" s="11" t="str">
        <f>[2]Trucks!B456</f>
        <v>TGS-26-4406X4BLS-LX-ALU-EL</v>
      </c>
      <c r="D459" s="19" t="str">
        <f>IFERROR(VLOOKUP(C459&amp;"",'[2]Retail Price List'!$A$3:$B$103,2,FALSE),"Special Order")</f>
        <v>KP000707</v>
      </c>
      <c r="E459" s="18" t="str">
        <f>[2]Trucks!J456</f>
        <v>CKD</v>
      </c>
      <c r="F459" s="12" t="str">
        <f>[2]Trucks!E456</f>
        <v>2018-03-20</v>
      </c>
      <c r="G459" s="56">
        <f>[2]Trucks!K456</f>
        <v>14.7</v>
      </c>
      <c r="H459" s="46">
        <f>[2]Trucks!I456</f>
        <v>42947</v>
      </c>
      <c r="I459" s="83" t="str">
        <f t="shared" si="35"/>
        <v>2017Q3</v>
      </c>
      <c r="J459" s="272">
        <f>IFERROR(VLOOKUP((D459&amp;C459)&amp;"",'[2]Retail Price List'!$C$4:$F$102,3,FALSE),"")</f>
        <v>1785000</v>
      </c>
      <c r="K459" s="272">
        <f>IFERROR(IF(BA459="WIP - 30 Days",VLOOKUP(D459,[3]Standard!$B$9:$E$101,4,FALSE),IF(BA459="31-120 Days",VLOOKUP(D459,[3]Standard!$B$9:$F$101,5,FALSE),IF(BA459="121-365 Days",VLOOKUP(D459,[3]Standard!$B$9:$G$101,6,FALSE),VLOOKUP(D459,[3]Standard!$B$9:$H$101,7,FALSE)))),0)</f>
        <v>1397298</v>
      </c>
      <c r="L459" s="272">
        <f>IFERROR(IF(BA459="WIP - 30 Days",VLOOKUP(D459,[3]Standard!$B$9:$J$101,9,FALSE),IF(BA459="31-120 Days",VLOOKUP(D459,[3]Standard!$B$9:$K$100,10,FALSE),IF(BA459="121-365 Days",VLOOKUP(D459,[3]Standard!$B$9:$L$101,11,FALSE),VLOOKUP(D459,[3]Standard!$B$9:$M$101,12,FALSE)))),0)</f>
        <v>1356600</v>
      </c>
      <c r="M459" s="269">
        <f>IFERROR(VLOOKUP((D459&amp;C459)&amp;"",'[2]Retail Price List'!$C$4:$F$102,4,FALSE),"")</f>
        <v>1835000</v>
      </c>
      <c r="N459" s="269">
        <f>IFERROR(IF(BA459="WIP - 30 Days",VLOOKUP(D459,[3]Extended!$B$9:$E$101,4,FALSE),IF(BA459="31-120 Days",VLOOKUP(D459,[3]Extended!$B$9:$F$101,5,FALSE),IF(BA459="121-365 Days",VLOOKUP(D459,[3]Extended!$B$9:$G$101,6,FALSE),VLOOKUP(D459,[3]Extended!$B$9:$H$101,7,FALSE)))),0)</f>
        <v>1474239</v>
      </c>
      <c r="O459" s="269">
        <f>IFERROR(IF(BA459="WIP - 30 Days",VLOOKUP(D459,[3]Extended!$B$9:$J$101,9,FALSE),IF(BA459="31-120 Days",VLOOKUP(D459,[3]Extended!$B$9:$K$101,10,FALSE),IF(BA459="121-365 Days",VLOOKUP(D459,[3]Extended!$B$9:$L$101,11,FALSE),VLOOKUP(D459,[3]Extended!$B$9:$M$101,12,FALSE)))),0)</f>
        <v>1431300</v>
      </c>
      <c r="P459" s="116">
        <f t="shared" si="36"/>
        <v>0.22</v>
      </c>
      <c r="Q459" s="110" t="e">
        <f>O459-#REF!</f>
        <v>#REF!</v>
      </c>
      <c r="W459" s="311"/>
      <c r="X459" s="311"/>
      <c r="Y459" s="311"/>
      <c r="Z459" s="311"/>
      <c r="AA459" s="311"/>
      <c r="AB459" s="311"/>
      <c r="AC459" s="311"/>
      <c r="AT459" s="88" t="str">
        <f t="shared" si="37"/>
        <v>KP0007072017Q314,7</v>
      </c>
      <c r="AU459" s="89" t="str">
        <f t="shared" si="38"/>
        <v>07-2017</v>
      </c>
      <c r="BA459" s="92" t="str">
        <f t="shared" si="39"/>
        <v>WIP - 30 Days</v>
      </c>
    </row>
    <row r="460" spans="1:56" s="4" customFormat="1">
      <c r="A460" s="69"/>
      <c r="B460" s="60">
        <f>[2]Trucks!A457</f>
        <v>47788</v>
      </c>
      <c r="C460" s="11" t="str">
        <f>[2]Trucks!B457</f>
        <v>TGS-26-4406X4BLS-LX-ALU-EL</v>
      </c>
      <c r="D460" s="19" t="str">
        <f>IFERROR(VLOOKUP(C460&amp;"",'[2]Retail Price List'!$A$3:$B$103,2,FALSE),"Special Order")</f>
        <v>KP000707</v>
      </c>
      <c r="E460" s="18" t="str">
        <f>[2]Trucks!J457</f>
        <v>CKD</v>
      </c>
      <c r="F460" s="12" t="str">
        <f>[2]Trucks!E457</f>
        <v>2018-03-20</v>
      </c>
      <c r="G460" s="56">
        <f>[2]Trucks!K457</f>
        <v>14.7</v>
      </c>
      <c r="H460" s="46">
        <f>[2]Trucks!I457</f>
        <v>42947</v>
      </c>
      <c r="I460" s="83" t="str">
        <f t="shared" si="35"/>
        <v>2017Q3</v>
      </c>
      <c r="J460" s="272">
        <f>IFERROR(VLOOKUP((D460&amp;C460)&amp;"",'[2]Retail Price List'!$C$4:$F$102,3,FALSE),"")</f>
        <v>1785000</v>
      </c>
      <c r="K460" s="272">
        <f>IFERROR(IF(BA460="WIP - 30 Days",VLOOKUP(D460,[3]Standard!$B$9:$E$101,4,FALSE),IF(BA460="31-120 Days",VLOOKUP(D460,[3]Standard!$B$9:$F$101,5,FALSE),IF(BA460="121-365 Days",VLOOKUP(D460,[3]Standard!$B$9:$G$101,6,FALSE),VLOOKUP(D460,[3]Standard!$B$9:$H$101,7,FALSE)))),0)</f>
        <v>1397298</v>
      </c>
      <c r="L460" s="272">
        <f>IFERROR(IF(BA460="WIP - 30 Days",VLOOKUP(D460,[3]Standard!$B$9:$J$101,9,FALSE),IF(BA460="31-120 Days",VLOOKUP(D460,[3]Standard!$B$9:$K$100,10,FALSE),IF(BA460="121-365 Days",VLOOKUP(D460,[3]Standard!$B$9:$L$101,11,FALSE),VLOOKUP(D460,[3]Standard!$B$9:$M$101,12,FALSE)))),0)</f>
        <v>1356600</v>
      </c>
      <c r="M460" s="269">
        <f>IFERROR(VLOOKUP((D460&amp;C460)&amp;"",'[2]Retail Price List'!$C$4:$F$102,4,FALSE),"")</f>
        <v>1835000</v>
      </c>
      <c r="N460" s="269">
        <f>IFERROR(IF(BA460="WIP - 30 Days",VLOOKUP(D460,[3]Extended!$B$9:$E$101,4,FALSE),IF(BA460="31-120 Days",VLOOKUP(D460,[3]Extended!$B$9:$F$101,5,FALSE),IF(BA460="121-365 Days",VLOOKUP(D460,[3]Extended!$B$9:$G$101,6,FALSE),VLOOKUP(D460,[3]Extended!$B$9:$H$101,7,FALSE)))),0)</f>
        <v>1474239</v>
      </c>
      <c r="O460" s="269">
        <f>IFERROR(IF(BA460="WIP - 30 Days",VLOOKUP(D460,[3]Extended!$B$9:$J$101,9,FALSE),IF(BA460="31-120 Days",VLOOKUP(D460,[3]Extended!$B$9:$K$101,10,FALSE),IF(BA460="121-365 Days",VLOOKUP(D460,[3]Extended!$B$9:$L$101,11,FALSE),VLOOKUP(D460,[3]Extended!$B$9:$M$101,12,FALSE)))),0)</f>
        <v>1431300</v>
      </c>
      <c r="P460" s="116">
        <f t="shared" si="36"/>
        <v>0.22</v>
      </c>
      <c r="Q460" s="110" t="e">
        <f>O460-#REF!</f>
        <v>#REF!</v>
      </c>
      <c r="R460" s="111" t="e">
        <f>SUM(Q445:Q459)/SUM(O445:O459)</f>
        <v>#REF!</v>
      </c>
      <c r="S460" s="112"/>
      <c r="T460" s="112"/>
      <c r="U460" s="112"/>
      <c r="V460" s="112"/>
      <c r="W460" s="311"/>
      <c r="X460" s="311"/>
      <c r="Y460" s="311"/>
      <c r="Z460" s="311"/>
      <c r="AA460" s="311"/>
      <c r="AB460" s="311"/>
      <c r="AC460" s="311"/>
      <c r="AD460" s="89"/>
      <c r="AE460" s="89"/>
      <c r="AF460" s="89"/>
      <c r="AG460" s="5"/>
      <c r="AH460" s="5"/>
      <c r="AI460" s="5"/>
      <c r="AJ460" s="5"/>
      <c r="AK460" s="5"/>
      <c r="AL460" s="5"/>
      <c r="AM460" s="5"/>
      <c r="AN460" s="5"/>
      <c r="AO460" s="5"/>
      <c r="AP460" s="5"/>
      <c r="AQ460" s="5"/>
      <c r="AR460" s="5"/>
      <c r="AS460" s="5"/>
      <c r="AT460" s="88" t="str">
        <f t="shared" si="37"/>
        <v>KP0007072017Q314,7</v>
      </c>
      <c r="AU460" s="89" t="str">
        <f t="shared" si="38"/>
        <v>07-2017</v>
      </c>
      <c r="AV460" s="89"/>
      <c r="AW460" s="89"/>
      <c r="AX460" s="89"/>
      <c r="AY460" s="89"/>
      <c r="AZ460" s="89"/>
      <c r="BA460" s="92" t="str">
        <f t="shared" si="39"/>
        <v>WIP - 30 Days</v>
      </c>
      <c r="BB460" s="89"/>
      <c r="BC460" s="97"/>
      <c r="BD460" s="97"/>
    </row>
    <row r="461" spans="1:56">
      <c r="B461" s="60">
        <f>[2]Trucks!A458</f>
        <v>47789</v>
      </c>
      <c r="C461" s="11" t="str">
        <f>[2]Trucks!B458</f>
        <v>TGS-26-4406X4BLS-LX-ALU-EL</v>
      </c>
      <c r="D461" s="19" t="str">
        <f>IFERROR(VLOOKUP(C461&amp;"",'[2]Retail Price List'!$A$3:$B$103,2,FALSE),"Special Order")</f>
        <v>KP000707</v>
      </c>
      <c r="E461" s="18" t="str">
        <f>[2]Trucks!J458</f>
        <v>CKD</v>
      </c>
      <c r="F461" s="12" t="str">
        <f>[2]Trucks!E458</f>
        <v>2018-03-20</v>
      </c>
      <c r="G461" s="56">
        <f>[2]Trucks!K458</f>
        <v>14.7</v>
      </c>
      <c r="H461" s="46">
        <f>[2]Trucks!I458</f>
        <v>42947</v>
      </c>
      <c r="I461" s="83" t="str">
        <f t="shared" si="35"/>
        <v>2017Q3</v>
      </c>
      <c r="J461" s="272">
        <f>IFERROR(VLOOKUP((D461&amp;C461)&amp;"",'[2]Retail Price List'!$C$4:$F$102,3,FALSE),"")</f>
        <v>1785000</v>
      </c>
      <c r="K461" s="272">
        <f>IFERROR(IF(BA461="WIP - 30 Days",VLOOKUP(D461,[3]Standard!$B$9:$E$101,4,FALSE),IF(BA461="31-120 Days",VLOOKUP(D461,[3]Standard!$B$9:$F$101,5,FALSE),IF(BA461="121-365 Days",VLOOKUP(D461,[3]Standard!$B$9:$G$101,6,FALSE),VLOOKUP(D461,[3]Standard!$B$9:$H$101,7,FALSE)))),0)</f>
        <v>1397298</v>
      </c>
      <c r="L461" s="272">
        <f>IFERROR(IF(BA461="WIP - 30 Days",VLOOKUP(D461,[3]Standard!$B$9:$J$101,9,FALSE),IF(BA461="31-120 Days",VLOOKUP(D461,[3]Standard!$B$9:$K$100,10,FALSE),IF(BA461="121-365 Days",VLOOKUP(D461,[3]Standard!$B$9:$L$101,11,FALSE),VLOOKUP(D461,[3]Standard!$B$9:$M$101,12,FALSE)))),0)</f>
        <v>1356600</v>
      </c>
      <c r="M461" s="269">
        <f>IFERROR(VLOOKUP((D461&amp;C461)&amp;"",'[2]Retail Price List'!$C$4:$F$102,4,FALSE),"")</f>
        <v>1835000</v>
      </c>
      <c r="N461" s="269">
        <f>IFERROR(IF(BA461="WIP - 30 Days",VLOOKUP(D461,[3]Extended!$B$9:$E$101,4,FALSE),IF(BA461="31-120 Days",VLOOKUP(D461,[3]Extended!$B$9:$F$101,5,FALSE),IF(BA461="121-365 Days",VLOOKUP(D461,[3]Extended!$B$9:$G$101,6,FALSE),VLOOKUP(D461,[3]Extended!$B$9:$H$101,7,FALSE)))),0)</f>
        <v>1474239</v>
      </c>
      <c r="O461" s="269">
        <f>IFERROR(IF(BA461="WIP - 30 Days",VLOOKUP(D461,[3]Extended!$B$9:$J$101,9,FALSE),IF(BA461="31-120 Days",VLOOKUP(D461,[3]Extended!$B$9:$K$101,10,FALSE),IF(BA461="121-365 Days",VLOOKUP(D461,[3]Extended!$B$9:$L$101,11,FALSE),VLOOKUP(D461,[3]Extended!$B$9:$M$101,12,FALSE)))),0)</f>
        <v>1431300</v>
      </c>
      <c r="P461" s="116">
        <f t="shared" si="36"/>
        <v>0.22</v>
      </c>
      <c r="Q461" s="110" t="e">
        <f>O461-#REF!</f>
        <v>#REF!</v>
      </c>
      <c r="W461" s="311"/>
      <c r="X461" s="311"/>
      <c r="Y461" s="311"/>
      <c r="Z461" s="311"/>
      <c r="AA461" s="311"/>
      <c r="AB461" s="311"/>
      <c r="AC461" s="311"/>
      <c r="AT461" s="88" t="str">
        <f t="shared" si="37"/>
        <v>KP0007072017Q314,7</v>
      </c>
      <c r="AU461" s="89" t="str">
        <f t="shared" si="38"/>
        <v>07-2017</v>
      </c>
      <c r="BA461" s="92" t="str">
        <f t="shared" si="39"/>
        <v>WIP - 30 Days</v>
      </c>
    </row>
    <row r="462" spans="1:56">
      <c r="B462" s="60">
        <f>[2]Trucks!A459</f>
        <v>47790</v>
      </c>
      <c r="C462" s="11" t="str">
        <f>[2]Trucks!B459</f>
        <v>TGS-26-4406X4BLS-LX-ALU-EL</v>
      </c>
      <c r="D462" s="19" t="str">
        <f>IFERROR(VLOOKUP(C462&amp;"",'[2]Retail Price List'!$A$3:$B$103,2,FALSE),"Special Order")</f>
        <v>KP000707</v>
      </c>
      <c r="E462" s="18" t="str">
        <f>[2]Trucks!J459</f>
        <v>CKD</v>
      </c>
      <c r="F462" s="12" t="str">
        <f>[2]Trucks!E459</f>
        <v>2018-03-20</v>
      </c>
      <c r="G462" s="56">
        <f>[2]Trucks!K459</f>
        <v>14.7</v>
      </c>
      <c r="H462" s="46">
        <f>[2]Trucks!I459</f>
        <v>42947</v>
      </c>
      <c r="I462" s="83" t="str">
        <f t="shared" si="35"/>
        <v>2017Q3</v>
      </c>
      <c r="J462" s="272">
        <f>IFERROR(VLOOKUP((D462&amp;C462)&amp;"",'[2]Retail Price List'!$C$4:$F$102,3,FALSE),"")</f>
        <v>1785000</v>
      </c>
      <c r="K462" s="272">
        <f>IFERROR(IF(BA462="WIP - 30 Days",VLOOKUP(D462,[3]Standard!$B$9:$E$101,4,FALSE),IF(BA462="31-120 Days",VLOOKUP(D462,[3]Standard!$B$9:$F$101,5,FALSE),IF(BA462="121-365 Days",VLOOKUP(D462,[3]Standard!$B$9:$G$101,6,FALSE),VLOOKUP(D462,[3]Standard!$B$9:$H$101,7,FALSE)))),0)</f>
        <v>1397298</v>
      </c>
      <c r="L462" s="272">
        <f>IFERROR(IF(BA462="WIP - 30 Days",VLOOKUP(D462,[3]Standard!$B$9:$J$101,9,FALSE),IF(BA462="31-120 Days",VLOOKUP(D462,[3]Standard!$B$9:$K$100,10,FALSE),IF(BA462="121-365 Days",VLOOKUP(D462,[3]Standard!$B$9:$L$101,11,FALSE),VLOOKUP(D462,[3]Standard!$B$9:$M$101,12,FALSE)))),0)</f>
        <v>1356600</v>
      </c>
      <c r="M462" s="269">
        <f>IFERROR(VLOOKUP((D462&amp;C462)&amp;"",'[2]Retail Price List'!$C$4:$F$102,4,FALSE),"")</f>
        <v>1835000</v>
      </c>
      <c r="N462" s="269">
        <f>IFERROR(IF(BA462="WIP - 30 Days",VLOOKUP(D462,[3]Extended!$B$9:$E$101,4,FALSE),IF(BA462="31-120 Days",VLOOKUP(D462,[3]Extended!$B$9:$F$101,5,FALSE),IF(BA462="121-365 Days",VLOOKUP(D462,[3]Extended!$B$9:$G$101,6,FALSE),VLOOKUP(D462,[3]Extended!$B$9:$H$101,7,FALSE)))),0)</f>
        <v>1474239</v>
      </c>
      <c r="O462" s="269">
        <f>IFERROR(IF(BA462="WIP - 30 Days",VLOOKUP(D462,[3]Extended!$B$9:$J$101,9,FALSE),IF(BA462="31-120 Days",VLOOKUP(D462,[3]Extended!$B$9:$K$101,10,FALSE),IF(BA462="121-365 Days",VLOOKUP(D462,[3]Extended!$B$9:$L$101,11,FALSE),VLOOKUP(D462,[3]Extended!$B$9:$M$101,12,FALSE)))),0)</f>
        <v>1431300</v>
      </c>
      <c r="P462" s="116">
        <f t="shared" si="36"/>
        <v>0.22</v>
      </c>
      <c r="Q462" s="110" t="e">
        <f>O462-#REF!</f>
        <v>#REF!</v>
      </c>
      <c r="W462" s="311"/>
      <c r="X462" s="311"/>
      <c r="Y462" s="311"/>
      <c r="Z462" s="311"/>
      <c r="AA462" s="311"/>
      <c r="AB462" s="311"/>
      <c r="AC462" s="311"/>
      <c r="AT462" s="88" t="str">
        <f t="shared" si="37"/>
        <v>KP0007072017Q314,7</v>
      </c>
      <c r="AU462" s="89" t="str">
        <f t="shared" si="38"/>
        <v>07-2017</v>
      </c>
      <c r="BA462" s="92" t="str">
        <f t="shared" si="39"/>
        <v>WIP - 30 Days</v>
      </c>
    </row>
    <row r="463" spans="1:56">
      <c r="B463" s="60" t="str">
        <f>[2]Trucks!A460</f>
        <v>78W-5247</v>
      </c>
      <c r="C463" s="11" t="str">
        <f>[2]Trucks!B460</f>
        <v>TGS-26-4406X4BLS-LX-ALU-EL</v>
      </c>
      <c r="D463" s="19" t="str">
        <f>IFERROR(VLOOKUP(C463&amp;"",'[2]Retail Price List'!$A$3:$B$103,2,FALSE),"Special Order")</f>
        <v>KP000707</v>
      </c>
      <c r="E463" s="18" t="str">
        <f>[2]Trucks!J460</f>
        <v>DEMO</v>
      </c>
      <c r="F463" s="12">
        <f>[2]Trucks!E460</f>
        <v>486</v>
      </c>
      <c r="G463" s="56">
        <f>[2]Trucks!K460</f>
        <v>14.6</v>
      </c>
      <c r="H463" s="46">
        <f>[2]Trucks!I460</f>
        <v>42338</v>
      </c>
      <c r="I463" s="83" t="str">
        <f t="shared" si="35"/>
        <v/>
      </c>
      <c r="J463" s="272">
        <f>IFERROR(VLOOKUP((D463&amp;C463)&amp;"",'[2]Retail Price List'!$C$4:$F$102,3,FALSE),"")</f>
        <v>1785000</v>
      </c>
      <c r="K463" s="272">
        <f>IFERROR(IF(BA463="WIP - 30 Days",VLOOKUP(D463,[3]Standard!$B$9:$E$101,4,FALSE),IF(BA463="31-120 Days",VLOOKUP(D463,[3]Standard!$B$9:$F$101,5,FALSE),IF(BA463="121-365 Days",VLOOKUP(D463,[3]Standard!$B$9:$G$101,6,FALSE),VLOOKUP(D463,[3]Standard!$B$9:$H$101,7,FALSE)))),0)</f>
        <v>1280151.5151515151</v>
      </c>
      <c r="L463" s="272">
        <f>IFERROR(IF(BA463="WIP - 30 Days",VLOOKUP(D463,[3]Standard!$B$9:$J$101,9,FALSE),IF(BA463="31-120 Days",VLOOKUP(D463,[3]Standard!$B$9:$K$100,10,FALSE),IF(BA463="121-365 Days",VLOOKUP(D463,[3]Standard!$B$9:$L$101,11,FALSE),VLOOKUP(D463,[3]Standard!$B$9:$M$101,12,FALSE)))),0)</f>
        <v>1267350</v>
      </c>
      <c r="M463" s="269">
        <f>IFERROR(VLOOKUP((D463&amp;C463)&amp;"",'[2]Retail Price List'!$C$4:$F$102,4,FALSE),"")</f>
        <v>1835000</v>
      </c>
      <c r="N463" s="269">
        <f>IFERROR(IF(BA463="WIP - 30 Days",VLOOKUP(D463,[3]Extended!$B$9:$E$101,4,FALSE),IF(BA463="31-120 Days",VLOOKUP(D463,[3]Extended!$B$9:$F$101,5,FALSE),IF(BA463="121-365 Days",VLOOKUP(D463,[3]Extended!$B$9:$G$101,6,FALSE),VLOOKUP(D463,[3]Extended!$B$9:$H$101,7,FALSE)))),0)</f>
        <v>1353080.808080808</v>
      </c>
      <c r="O463" s="269">
        <f>IFERROR(IF(BA463="WIP - 30 Days",VLOOKUP(D463,[3]Extended!$B$9:$J$101,9,FALSE),IF(BA463="31-120 Days",VLOOKUP(D463,[3]Extended!$B$9:$K$101,10,FALSE),IF(BA463="121-365 Days",VLOOKUP(D463,[3]Extended!$B$9:$L$101,11,FALSE),VLOOKUP(D463,[3]Extended!$B$9:$M$101,12,FALSE)))),0)</f>
        <v>1339550</v>
      </c>
      <c r="P463" s="116">
        <f t="shared" si="36"/>
        <v>0.27</v>
      </c>
      <c r="Q463" s="110" t="e">
        <f>O463-#REF!</f>
        <v>#REF!</v>
      </c>
      <c r="W463" s="311"/>
      <c r="X463" s="311"/>
      <c r="Y463" s="311"/>
      <c r="Z463" s="311"/>
      <c r="AA463" s="311"/>
      <c r="AB463" s="311"/>
      <c r="AC463" s="311"/>
      <c r="AT463" s="88" t="str">
        <f t="shared" si="37"/>
        <v>KP00070714,6</v>
      </c>
      <c r="AU463" s="89" t="str">
        <f t="shared" si="38"/>
        <v>11-2015</v>
      </c>
      <c r="BA463" s="92" t="str">
        <f t="shared" si="39"/>
        <v>&gt;365 Days</v>
      </c>
    </row>
    <row r="464" spans="1:56">
      <c r="B464" s="60" t="str">
        <f>[2]Trucks!A461</f>
        <v>78W-5255</v>
      </c>
      <c r="C464" s="11" t="str">
        <f>[2]Trucks!B461</f>
        <v>TGS-26-4406X4BLS-LX-ALU-EL</v>
      </c>
      <c r="D464" s="19" t="str">
        <f>IFERROR(VLOOKUP(C464&amp;"",'[2]Retail Price List'!$A$3:$B$103,2,FALSE),"Special Order")</f>
        <v>KP000707</v>
      </c>
      <c r="E464" s="18" t="str">
        <f>[2]Trucks!J461</f>
        <v>DEMO</v>
      </c>
      <c r="F464" s="12">
        <f>[2]Trucks!E461</f>
        <v>430</v>
      </c>
      <c r="G464" s="56">
        <f>[2]Trucks!K461</f>
        <v>14.6</v>
      </c>
      <c r="H464" s="46">
        <f>[2]Trucks!I461</f>
        <v>42338</v>
      </c>
      <c r="I464" s="83" t="str">
        <f t="shared" si="35"/>
        <v/>
      </c>
      <c r="J464" s="272">
        <f>IFERROR(VLOOKUP((D464&amp;C464)&amp;"",'[2]Retail Price List'!$C$4:$F$102,3,FALSE),"")</f>
        <v>1785000</v>
      </c>
      <c r="K464" s="272">
        <f>IFERROR(IF(BA464="WIP - 30 Days",VLOOKUP(D464,[3]Standard!$B$9:$E$101,4,FALSE),IF(BA464="31-120 Days",VLOOKUP(D464,[3]Standard!$B$9:$F$101,5,FALSE),IF(BA464="121-365 Days",VLOOKUP(D464,[3]Standard!$B$9:$G$101,6,FALSE),VLOOKUP(D464,[3]Standard!$B$9:$H$101,7,FALSE)))),0)</f>
        <v>1280151.5151515151</v>
      </c>
      <c r="L464" s="272">
        <f>IFERROR(IF(BA464="WIP - 30 Days",VLOOKUP(D464,[3]Standard!$B$9:$J$101,9,FALSE),IF(BA464="31-120 Days",VLOOKUP(D464,[3]Standard!$B$9:$K$100,10,FALSE),IF(BA464="121-365 Days",VLOOKUP(D464,[3]Standard!$B$9:$L$101,11,FALSE),VLOOKUP(D464,[3]Standard!$B$9:$M$101,12,FALSE)))),0)</f>
        <v>1267350</v>
      </c>
      <c r="M464" s="269">
        <f>IFERROR(VLOOKUP((D464&amp;C464)&amp;"",'[2]Retail Price List'!$C$4:$F$102,4,FALSE),"")</f>
        <v>1835000</v>
      </c>
      <c r="N464" s="269">
        <f>IFERROR(IF(BA464="WIP - 30 Days",VLOOKUP(D464,[3]Extended!$B$9:$E$101,4,FALSE),IF(BA464="31-120 Days",VLOOKUP(D464,[3]Extended!$B$9:$F$101,5,FALSE),IF(BA464="121-365 Days",VLOOKUP(D464,[3]Extended!$B$9:$G$101,6,FALSE),VLOOKUP(D464,[3]Extended!$B$9:$H$101,7,FALSE)))),0)</f>
        <v>1353080.808080808</v>
      </c>
      <c r="O464" s="269">
        <f>IFERROR(IF(BA464="WIP - 30 Days",VLOOKUP(D464,[3]Extended!$B$9:$J$101,9,FALSE),IF(BA464="31-120 Days",VLOOKUP(D464,[3]Extended!$B$9:$K$101,10,FALSE),IF(BA464="121-365 Days",VLOOKUP(D464,[3]Extended!$B$9:$L$101,11,FALSE),VLOOKUP(D464,[3]Extended!$B$9:$M$101,12,FALSE)))),0)</f>
        <v>1339550</v>
      </c>
      <c r="P464" s="116">
        <f t="shared" si="36"/>
        <v>0.27</v>
      </c>
      <c r="Q464" s="110" t="e">
        <f>O464-#REF!</f>
        <v>#REF!</v>
      </c>
      <c r="W464" s="311"/>
      <c r="X464" s="311"/>
      <c r="Y464" s="311"/>
      <c r="Z464" s="311"/>
      <c r="AA464" s="311"/>
      <c r="AB464" s="311"/>
      <c r="AC464" s="311"/>
      <c r="AT464" s="88" t="str">
        <f t="shared" si="37"/>
        <v>KP00070714,6</v>
      </c>
      <c r="AU464" s="89" t="str">
        <f t="shared" si="38"/>
        <v>11-2015</v>
      </c>
      <c r="BA464" s="92" t="str">
        <f t="shared" si="39"/>
        <v>&gt;365 Days</v>
      </c>
    </row>
    <row r="465" spans="2:53">
      <c r="B465" s="60" t="str">
        <f>[2]Trucks!A462</f>
        <v>78W-5351</v>
      </c>
      <c r="C465" s="11" t="str">
        <f>[2]Trucks!B462</f>
        <v>TGS-26-4406X4BLS-LX-ALU-EL</v>
      </c>
      <c r="D465" s="19" t="str">
        <f>IFERROR(VLOOKUP(C465&amp;"",'[2]Retail Price List'!$A$3:$B$103,2,FALSE),"Special Order")</f>
        <v>KP000707</v>
      </c>
      <c r="E465" s="18" t="str">
        <f>[2]Trucks!J462</f>
        <v>DEMO</v>
      </c>
      <c r="F465" s="12">
        <f>[2]Trucks!E462</f>
        <v>415</v>
      </c>
      <c r="G465" s="56">
        <f>[2]Trucks!K462</f>
        <v>15.2</v>
      </c>
      <c r="H465" s="46">
        <f>[2]Trucks!I462</f>
        <v>42355</v>
      </c>
      <c r="I465" s="83" t="str">
        <f t="shared" si="35"/>
        <v/>
      </c>
      <c r="J465" s="272">
        <f>IFERROR(VLOOKUP((D465&amp;C465)&amp;"",'[2]Retail Price List'!$C$4:$F$102,3,FALSE),"")</f>
        <v>1785000</v>
      </c>
      <c r="K465" s="272">
        <f>IFERROR(IF(BA465="WIP - 30 Days",VLOOKUP(D465,[3]Standard!$B$9:$E$101,4,FALSE),IF(BA465="31-120 Days",VLOOKUP(D465,[3]Standard!$B$9:$F$101,5,FALSE),IF(BA465="121-365 Days",VLOOKUP(D465,[3]Standard!$B$9:$G$101,6,FALSE),VLOOKUP(D465,[3]Standard!$B$9:$H$101,7,FALSE)))),0)</f>
        <v>1280151.5151515151</v>
      </c>
      <c r="L465" s="272">
        <f>IFERROR(IF(BA465="WIP - 30 Days",VLOOKUP(D465,[3]Standard!$B$9:$J$101,9,FALSE),IF(BA465="31-120 Days",VLOOKUP(D465,[3]Standard!$B$9:$K$100,10,FALSE),IF(BA465="121-365 Days",VLOOKUP(D465,[3]Standard!$B$9:$L$101,11,FALSE),VLOOKUP(D465,[3]Standard!$B$9:$M$101,12,FALSE)))),0)</f>
        <v>1267350</v>
      </c>
      <c r="M465" s="269">
        <f>IFERROR(VLOOKUP((D465&amp;C465)&amp;"",'[2]Retail Price List'!$C$4:$F$102,4,FALSE),"")</f>
        <v>1835000</v>
      </c>
      <c r="N465" s="269">
        <f>IFERROR(IF(BA465="WIP - 30 Days",VLOOKUP(D465,[3]Extended!$B$9:$E$101,4,FALSE),IF(BA465="31-120 Days",VLOOKUP(D465,[3]Extended!$B$9:$F$101,5,FALSE),IF(BA465="121-365 Days",VLOOKUP(D465,[3]Extended!$B$9:$G$101,6,FALSE),VLOOKUP(D465,[3]Extended!$B$9:$H$101,7,FALSE)))),0)</f>
        <v>1353080.808080808</v>
      </c>
      <c r="O465" s="269">
        <f>IFERROR(IF(BA465="WIP - 30 Days",VLOOKUP(D465,[3]Extended!$B$9:$J$101,9,FALSE),IF(BA465="31-120 Days",VLOOKUP(D465,[3]Extended!$B$9:$K$101,10,FALSE),IF(BA465="121-365 Days",VLOOKUP(D465,[3]Extended!$B$9:$L$101,11,FALSE),VLOOKUP(D465,[3]Extended!$B$9:$M$101,12,FALSE)))),0)</f>
        <v>1339550</v>
      </c>
      <c r="P465" s="116">
        <f t="shared" si="36"/>
        <v>0.27</v>
      </c>
      <c r="Q465" s="110" t="e">
        <f>O465-#REF!</f>
        <v>#REF!</v>
      </c>
      <c r="W465" s="311"/>
      <c r="X465" s="311"/>
      <c r="Y465" s="311"/>
      <c r="Z465" s="311"/>
      <c r="AA465" s="311"/>
      <c r="AB465" s="311"/>
      <c r="AC465" s="311"/>
      <c r="AT465" s="88" t="str">
        <f t="shared" si="37"/>
        <v>KP00070715,2</v>
      </c>
      <c r="AU465" s="89" t="str">
        <f t="shared" si="38"/>
        <v>12-2015</v>
      </c>
      <c r="BA465" s="92" t="str">
        <f t="shared" si="39"/>
        <v>&gt;365 Days</v>
      </c>
    </row>
    <row r="466" spans="2:53">
      <c r="B466" s="60" t="str">
        <f>[2]Trucks!A463</f>
        <v>78W-5669</v>
      </c>
      <c r="C466" s="11" t="str">
        <f>[2]Trucks!B463</f>
        <v>TGS-26-4406X4BLS-LX-ALU-EL</v>
      </c>
      <c r="D466" s="19" t="str">
        <f>IFERROR(VLOOKUP(C466&amp;"",'[2]Retail Price List'!$A$3:$B$103,2,FALSE),"Special Order")</f>
        <v>KP000707</v>
      </c>
      <c r="E466" s="18" t="str">
        <f>[2]Trucks!J463</f>
        <v>DEMO</v>
      </c>
      <c r="F466" s="12">
        <f>[2]Trucks!E463</f>
        <v>150</v>
      </c>
      <c r="G466" s="56">
        <f>[2]Trucks!K463</f>
        <v>16</v>
      </c>
      <c r="H466" s="46">
        <f>[2]Trucks!I463</f>
        <v>42667</v>
      </c>
      <c r="I466" s="83" t="str">
        <f t="shared" si="35"/>
        <v>201610Q4</v>
      </c>
      <c r="J466" s="272">
        <f>IFERROR(VLOOKUP((D466&amp;C466)&amp;"",'[2]Retail Price List'!$C$4:$F$102,3,FALSE),"")</f>
        <v>1785000</v>
      </c>
      <c r="K466" s="272">
        <f>IFERROR(IF(BA466="WIP - 30 Days",VLOOKUP(D466,[3]Standard!$B$9:$E$101,4,FALSE),IF(BA466="31-120 Days",VLOOKUP(D466,[3]Standard!$B$9:$F$101,5,FALSE),IF(BA466="121-365 Days",VLOOKUP(D466,[3]Standard!$B$9:$G$101,6,FALSE),VLOOKUP(D466,[3]Standard!$B$9:$H$101,7,FALSE)))),0)</f>
        <v>1342141.5</v>
      </c>
      <c r="L466" s="272">
        <f>IFERROR(IF(BA466="WIP - 30 Days",VLOOKUP(D466,[3]Standard!$B$9:$J$101,9,FALSE),IF(BA466="31-120 Days",VLOOKUP(D466,[3]Standard!$B$9:$K$100,10,FALSE),IF(BA466="121-365 Days",VLOOKUP(D466,[3]Standard!$B$9:$L$101,11,FALSE),VLOOKUP(D466,[3]Standard!$B$9:$M$101,12,FALSE)))),0)</f>
        <v>1303050</v>
      </c>
      <c r="M466" s="269">
        <f>IFERROR(VLOOKUP((D466&amp;C466)&amp;"",'[2]Retail Price List'!$C$4:$F$102,4,FALSE),"")</f>
        <v>1835000</v>
      </c>
      <c r="N466" s="269">
        <f>IFERROR(IF(BA466="WIP - 30 Days",VLOOKUP(D466,[3]Extended!$B$9:$E$101,4,FALSE),IF(BA466="31-120 Days",VLOOKUP(D466,[3]Extended!$B$9:$F$101,5,FALSE),IF(BA466="121-365 Days",VLOOKUP(D466,[3]Extended!$B$9:$G$101,6,FALSE),VLOOKUP(D466,[3]Extended!$B$9:$H$101,7,FALSE)))),0)</f>
        <v>1417537.5</v>
      </c>
      <c r="O466" s="269">
        <f>IFERROR(IF(BA466="WIP - 30 Days",VLOOKUP(D466,[3]Extended!$B$9:$J$101,9,FALSE),IF(BA466="31-120 Days",VLOOKUP(D466,[3]Extended!$B$9:$K$101,10,FALSE),IF(BA466="121-365 Days",VLOOKUP(D466,[3]Extended!$B$9:$L$101,11,FALSE),VLOOKUP(D466,[3]Extended!$B$9:$M$101,12,FALSE)))),0)</f>
        <v>1376250</v>
      </c>
      <c r="P466" s="116">
        <f t="shared" si="36"/>
        <v>0.25</v>
      </c>
      <c r="Q466" s="110" t="e">
        <f>O466-#REF!</f>
        <v>#REF!</v>
      </c>
      <c r="W466" s="311"/>
      <c r="X466" s="311"/>
      <c r="Y466" s="311"/>
      <c r="Z466" s="311"/>
      <c r="AA466" s="311"/>
      <c r="AB466" s="311"/>
      <c r="AC466" s="311"/>
      <c r="AT466" s="88" t="str">
        <f t="shared" si="37"/>
        <v>KP000707201610Q416</v>
      </c>
      <c r="AU466" s="89" t="str">
        <f t="shared" si="38"/>
        <v>10-2016</v>
      </c>
      <c r="BA466" s="92" t="str">
        <f t="shared" si="39"/>
        <v>121-365 Days</v>
      </c>
    </row>
    <row r="467" spans="2:53">
      <c r="B467" s="60" t="str">
        <f>[2]Trucks!A464</f>
        <v>78W-5741</v>
      </c>
      <c r="C467" s="11" t="str">
        <f>[2]Trucks!B464</f>
        <v>TGS-26-4406X4BLS-LX-ALU-EL</v>
      </c>
      <c r="D467" s="19" t="str">
        <f>IFERROR(VLOOKUP(C467&amp;"",'[2]Retail Price List'!$A$3:$B$103,2,FALSE),"Special Order")</f>
        <v>KP000707</v>
      </c>
      <c r="E467" s="18" t="str">
        <f>[2]Trucks!J464</f>
        <v>BOOKED : 2017-08-8</v>
      </c>
      <c r="F467" s="12">
        <f>[2]Trucks!E464</f>
        <v>31</v>
      </c>
      <c r="G467" s="56">
        <f>[2]Trucks!K464</f>
        <v>16</v>
      </c>
      <c r="H467" s="46">
        <f>[2]Trucks!I464</f>
        <v>42712</v>
      </c>
      <c r="I467" s="83" t="str">
        <f t="shared" si="35"/>
        <v>2016Q4</v>
      </c>
      <c r="J467" s="272">
        <f>IFERROR(VLOOKUP((D467&amp;C467)&amp;"",'[2]Retail Price List'!$C$4:$F$102,3,FALSE),"")</f>
        <v>1785000</v>
      </c>
      <c r="K467" s="272">
        <f>IFERROR(IF(BA467="WIP - 30 Days",VLOOKUP(D467,[3]Standard!$B$9:$E$101,4,FALSE),IF(BA467="31-120 Days",VLOOKUP(D467,[3]Standard!$B$9:$F$101,5,FALSE),IF(BA467="121-365 Days",VLOOKUP(D467,[3]Standard!$B$9:$G$101,6,FALSE),VLOOKUP(D467,[3]Standard!$B$9:$H$101,7,FALSE)))),0)</f>
        <v>1351334.25</v>
      </c>
      <c r="L467" s="272">
        <f>IFERROR(IF(BA467="WIP - 30 Days",VLOOKUP(D467,[3]Standard!$B$9:$J$101,9,FALSE),IF(BA467="31-120 Days",VLOOKUP(D467,[3]Standard!$B$9:$K$100,10,FALSE),IF(BA467="121-365 Days",VLOOKUP(D467,[3]Standard!$B$9:$L$101,11,FALSE),VLOOKUP(D467,[3]Standard!$B$9:$M$101,12,FALSE)))),0)</f>
        <v>1311975</v>
      </c>
      <c r="M467" s="269">
        <f>IFERROR(VLOOKUP((D467&amp;C467)&amp;"",'[2]Retail Price List'!$C$4:$F$102,4,FALSE),"")</f>
        <v>1835000</v>
      </c>
      <c r="N467" s="269">
        <f>IFERROR(IF(BA467="WIP - 30 Days",VLOOKUP(D467,[3]Extended!$B$9:$E$101,4,FALSE),IF(BA467="31-120 Days",VLOOKUP(D467,[3]Extended!$B$9:$F$101,5,FALSE),IF(BA467="121-365 Days",VLOOKUP(D467,[3]Extended!$B$9:$G$101,6,FALSE),VLOOKUP(D467,[3]Extended!$B$9:$H$101,7,FALSE)))),0)</f>
        <v>1436438</v>
      </c>
      <c r="O467" s="269">
        <f>IFERROR(IF(BA467="WIP - 30 Days",VLOOKUP(D467,[3]Extended!$B$9:$J$101,9,FALSE),IF(BA467="31-120 Days",VLOOKUP(D467,[3]Extended!$B$9:$K$101,10,FALSE),IF(BA467="121-365 Days",VLOOKUP(D467,[3]Extended!$B$9:$L$101,11,FALSE),VLOOKUP(D467,[3]Extended!$B$9:$M$101,12,FALSE)))),0)</f>
        <v>1394600</v>
      </c>
      <c r="P467" s="116">
        <f t="shared" si="36"/>
        <v>0.24</v>
      </c>
      <c r="Q467" s="110" t="e">
        <f>O467-#REF!</f>
        <v>#REF!</v>
      </c>
      <c r="W467" s="311"/>
      <c r="X467" s="311"/>
      <c r="Y467" s="311"/>
      <c r="Z467" s="311"/>
      <c r="AA467" s="311"/>
      <c r="AB467" s="311"/>
      <c r="AC467" s="311"/>
      <c r="AT467" s="88" t="str">
        <f t="shared" si="37"/>
        <v>KP0007072016Q416</v>
      </c>
      <c r="AU467" s="89" t="str">
        <f t="shared" si="38"/>
        <v>12-2016</v>
      </c>
      <c r="BA467" s="92" t="str">
        <f t="shared" si="39"/>
        <v>31-120 Days</v>
      </c>
    </row>
    <row r="468" spans="2:53">
      <c r="B468" s="60" t="str">
        <f>[2]Trucks!A465</f>
        <v>78W-5743</v>
      </c>
      <c r="C468" s="11" t="str">
        <f>[2]Trucks!B465</f>
        <v>TGS-26-4406X4BLS-LX-ALU-EL</v>
      </c>
      <c r="D468" s="19" t="str">
        <f>IFERROR(VLOOKUP(C468&amp;"",'[2]Retail Price List'!$A$3:$B$103,2,FALSE),"Special Order")</f>
        <v>KP000707</v>
      </c>
      <c r="E468" s="18" t="str">
        <f>[2]Trucks!J465</f>
        <v>BOOKED : 2017-08-8</v>
      </c>
      <c r="F468" s="12">
        <f>[2]Trucks!E465</f>
        <v>17</v>
      </c>
      <c r="G468" s="56">
        <f>[2]Trucks!K465</f>
        <v>16</v>
      </c>
      <c r="H468" s="46">
        <f>[2]Trucks!I465</f>
        <v>42712</v>
      </c>
      <c r="I468" s="83" t="str">
        <f t="shared" si="35"/>
        <v>2016Q4</v>
      </c>
      <c r="J468" s="272">
        <f>IFERROR(VLOOKUP((D468&amp;C468)&amp;"",'[2]Retail Price List'!$C$4:$F$102,3,FALSE),"")</f>
        <v>1785000</v>
      </c>
      <c r="K468" s="272">
        <f>IFERROR(IF(BA468="WIP - 30 Days",VLOOKUP(D468,[3]Standard!$B$9:$E$101,4,FALSE),IF(BA468="31-120 Days",VLOOKUP(D468,[3]Standard!$B$9:$F$101,5,FALSE),IF(BA468="121-365 Days",VLOOKUP(D468,[3]Standard!$B$9:$G$101,6,FALSE),VLOOKUP(D468,[3]Standard!$B$9:$H$101,7,FALSE)))),0)</f>
        <v>1397298</v>
      </c>
      <c r="L468" s="272">
        <f>IFERROR(IF(BA468="WIP - 30 Days",VLOOKUP(D468,[3]Standard!$B$9:$J$101,9,FALSE),IF(BA468="31-120 Days",VLOOKUP(D468,[3]Standard!$B$9:$K$100,10,FALSE),IF(BA468="121-365 Days",VLOOKUP(D468,[3]Standard!$B$9:$L$101,11,FALSE),VLOOKUP(D468,[3]Standard!$B$9:$M$101,12,FALSE)))),0)</f>
        <v>1356600</v>
      </c>
      <c r="M468" s="269">
        <f>IFERROR(VLOOKUP((D468&amp;C468)&amp;"",'[2]Retail Price List'!$C$4:$F$102,4,FALSE),"")</f>
        <v>1835000</v>
      </c>
      <c r="N468" s="269">
        <f>IFERROR(IF(BA468="WIP - 30 Days",VLOOKUP(D468,[3]Extended!$B$9:$E$101,4,FALSE),IF(BA468="31-120 Days",VLOOKUP(D468,[3]Extended!$B$9:$F$101,5,FALSE),IF(BA468="121-365 Days",VLOOKUP(D468,[3]Extended!$B$9:$G$101,6,FALSE),VLOOKUP(D468,[3]Extended!$B$9:$H$101,7,FALSE)))),0)</f>
        <v>1474239</v>
      </c>
      <c r="O468" s="269">
        <f>IFERROR(IF(BA468="WIP - 30 Days",VLOOKUP(D468,[3]Extended!$B$9:$J$101,9,FALSE),IF(BA468="31-120 Days",VLOOKUP(D468,[3]Extended!$B$9:$K$101,10,FALSE),IF(BA468="121-365 Days",VLOOKUP(D468,[3]Extended!$B$9:$L$101,11,FALSE),VLOOKUP(D468,[3]Extended!$B$9:$M$101,12,FALSE)))),0)</f>
        <v>1431300</v>
      </c>
      <c r="P468" s="116">
        <f t="shared" si="36"/>
        <v>0.22</v>
      </c>
      <c r="Q468" s="110" t="e">
        <f>O468-#REF!</f>
        <v>#REF!</v>
      </c>
      <c r="W468" s="311"/>
      <c r="X468" s="311"/>
      <c r="Y468" s="311"/>
      <c r="Z468" s="311"/>
      <c r="AA468" s="311"/>
      <c r="AB468" s="311"/>
      <c r="AC468" s="311"/>
      <c r="AT468" s="88" t="str">
        <f t="shared" si="37"/>
        <v>KP0007072016Q416</v>
      </c>
      <c r="AU468" s="89" t="str">
        <f t="shared" si="38"/>
        <v>12-2016</v>
      </c>
      <c r="BA468" s="92" t="str">
        <f t="shared" si="39"/>
        <v>WIP - 30 Days</v>
      </c>
    </row>
    <row r="469" spans="2:53">
      <c r="B469" s="60" t="str">
        <f>[2]Trucks!A466</f>
        <v>78W-5792</v>
      </c>
      <c r="C469" s="11" t="str">
        <f>[2]Trucks!B466</f>
        <v>TGS-26-4406X4BLS-LX-ALU-EL</v>
      </c>
      <c r="D469" s="19" t="str">
        <f>IFERROR(VLOOKUP(C469&amp;"",'[2]Retail Price List'!$A$3:$B$103,2,FALSE),"Special Order")</f>
        <v>KP000707</v>
      </c>
      <c r="E469" s="18" t="str">
        <f>[2]Trucks!J466</f>
        <v>BOOKED : 2017-08-8</v>
      </c>
      <c r="F469" s="12">
        <f>[2]Trucks!E466</f>
        <v>37</v>
      </c>
      <c r="G469" s="56">
        <f>[2]Trucks!K466</f>
        <v>15.4</v>
      </c>
      <c r="H469" s="46">
        <f>[2]Trucks!I466</f>
        <v>42784</v>
      </c>
      <c r="I469" s="83" t="str">
        <f t="shared" si="35"/>
        <v>2017Q1</v>
      </c>
      <c r="J469" s="272">
        <f>IFERROR(VLOOKUP((D469&amp;C469)&amp;"",'[2]Retail Price List'!$C$4:$F$102,3,FALSE),"")</f>
        <v>1785000</v>
      </c>
      <c r="K469" s="272">
        <f>IFERROR(IF(BA469="WIP - 30 Days",VLOOKUP(D469,[3]Standard!$B$9:$E$101,4,FALSE),IF(BA469="31-120 Days",VLOOKUP(D469,[3]Standard!$B$9:$F$101,5,FALSE),IF(BA469="121-365 Days",VLOOKUP(D469,[3]Standard!$B$9:$G$101,6,FALSE),VLOOKUP(D469,[3]Standard!$B$9:$H$101,7,FALSE)))),0)</f>
        <v>1351334.25</v>
      </c>
      <c r="L469" s="272">
        <f>IFERROR(IF(BA469="WIP - 30 Days",VLOOKUP(D469,[3]Standard!$B$9:$J$101,9,FALSE),IF(BA469="31-120 Days",VLOOKUP(D469,[3]Standard!$B$9:$K$100,10,FALSE),IF(BA469="121-365 Days",VLOOKUP(D469,[3]Standard!$B$9:$L$101,11,FALSE),VLOOKUP(D469,[3]Standard!$B$9:$M$101,12,FALSE)))),0)</f>
        <v>1311975</v>
      </c>
      <c r="M469" s="269">
        <f>IFERROR(VLOOKUP((D469&amp;C469)&amp;"",'[2]Retail Price List'!$C$4:$F$102,4,FALSE),"")</f>
        <v>1835000</v>
      </c>
      <c r="N469" s="269">
        <f>IFERROR(IF(BA469="WIP - 30 Days",VLOOKUP(D469,[3]Extended!$B$9:$E$101,4,FALSE),IF(BA469="31-120 Days",VLOOKUP(D469,[3]Extended!$B$9:$F$101,5,FALSE),IF(BA469="121-365 Days",VLOOKUP(D469,[3]Extended!$B$9:$G$101,6,FALSE),VLOOKUP(D469,[3]Extended!$B$9:$H$101,7,FALSE)))),0)</f>
        <v>1436438</v>
      </c>
      <c r="O469" s="269">
        <f>IFERROR(IF(BA469="WIP - 30 Days",VLOOKUP(D469,[3]Extended!$B$9:$J$101,9,FALSE),IF(BA469="31-120 Days",VLOOKUP(D469,[3]Extended!$B$9:$K$101,10,FALSE),IF(BA469="121-365 Days",VLOOKUP(D469,[3]Extended!$B$9:$L$101,11,FALSE),VLOOKUP(D469,[3]Extended!$B$9:$M$101,12,FALSE)))),0)</f>
        <v>1394600</v>
      </c>
      <c r="P469" s="116">
        <f t="shared" si="36"/>
        <v>0.24</v>
      </c>
      <c r="Q469" s="110" t="e">
        <f>O469-#REF!</f>
        <v>#REF!</v>
      </c>
      <c r="W469" s="311"/>
      <c r="X469" s="311"/>
      <c r="Y469" s="311"/>
      <c r="Z469" s="311"/>
      <c r="AA469" s="311"/>
      <c r="AB469" s="311"/>
      <c r="AC469" s="311"/>
      <c r="AT469" s="88" t="str">
        <f t="shared" si="37"/>
        <v>KP0007072017Q115,4</v>
      </c>
      <c r="AU469" s="89" t="str">
        <f t="shared" si="38"/>
        <v>02-2017</v>
      </c>
      <c r="BA469" s="92" t="str">
        <f t="shared" si="39"/>
        <v>31-120 Days</v>
      </c>
    </row>
    <row r="470" spans="2:53">
      <c r="B470" s="60" t="str">
        <f>[2]Trucks!A467</f>
        <v>78W-5797</v>
      </c>
      <c r="C470" s="11" t="str">
        <f>[2]Trucks!B467</f>
        <v>TGS-26-4406X4BLS-LX-ALU-EL</v>
      </c>
      <c r="D470" s="19" t="str">
        <f>IFERROR(VLOOKUP(C470&amp;"",'[2]Retail Price List'!$A$3:$B$103,2,FALSE),"Special Order")</f>
        <v>KP000707</v>
      </c>
      <c r="E470" s="18" t="str">
        <f>[2]Trucks!J467</f>
        <v>BOOKED : 2017-08-8</v>
      </c>
      <c r="F470" s="12">
        <f>[2]Trucks!E467</f>
        <v>37</v>
      </c>
      <c r="G470" s="56">
        <f>[2]Trucks!K467</f>
        <v>15.4</v>
      </c>
      <c r="H470" s="46">
        <f>[2]Trucks!I467</f>
        <v>42784</v>
      </c>
      <c r="I470" s="83" t="str">
        <f t="shared" si="35"/>
        <v>2017Q1</v>
      </c>
      <c r="J470" s="272">
        <f>IFERROR(VLOOKUP((D470&amp;C470)&amp;"",'[2]Retail Price List'!$C$4:$F$102,3,FALSE),"")</f>
        <v>1785000</v>
      </c>
      <c r="K470" s="272">
        <f>IFERROR(IF(BA470="WIP - 30 Days",VLOOKUP(D470,[3]Standard!$B$9:$E$101,4,FALSE),IF(BA470="31-120 Days",VLOOKUP(D470,[3]Standard!$B$9:$F$101,5,FALSE),IF(BA470="121-365 Days",VLOOKUP(D470,[3]Standard!$B$9:$G$101,6,FALSE),VLOOKUP(D470,[3]Standard!$B$9:$H$101,7,FALSE)))),0)</f>
        <v>1351334.25</v>
      </c>
      <c r="L470" s="272">
        <f>IFERROR(IF(BA470="WIP - 30 Days",VLOOKUP(D470,[3]Standard!$B$9:$J$101,9,FALSE),IF(BA470="31-120 Days",VLOOKUP(D470,[3]Standard!$B$9:$K$100,10,FALSE),IF(BA470="121-365 Days",VLOOKUP(D470,[3]Standard!$B$9:$L$101,11,FALSE),VLOOKUP(D470,[3]Standard!$B$9:$M$101,12,FALSE)))),0)</f>
        <v>1311975</v>
      </c>
      <c r="M470" s="269">
        <f>IFERROR(VLOOKUP((D470&amp;C470)&amp;"",'[2]Retail Price List'!$C$4:$F$102,4,FALSE),"")</f>
        <v>1835000</v>
      </c>
      <c r="N470" s="269">
        <f>IFERROR(IF(BA470="WIP - 30 Days",VLOOKUP(D470,[3]Extended!$B$9:$E$101,4,FALSE),IF(BA470="31-120 Days",VLOOKUP(D470,[3]Extended!$B$9:$F$101,5,FALSE),IF(BA470="121-365 Days",VLOOKUP(D470,[3]Extended!$B$9:$G$101,6,FALSE),VLOOKUP(D470,[3]Extended!$B$9:$H$101,7,FALSE)))),0)</f>
        <v>1436438</v>
      </c>
      <c r="O470" s="269">
        <f>IFERROR(IF(BA470="WIP - 30 Days",VLOOKUP(D470,[3]Extended!$B$9:$J$101,9,FALSE),IF(BA470="31-120 Days",VLOOKUP(D470,[3]Extended!$B$9:$K$101,10,FALSE),IF(BA470="121-365 Days",VLOOKUP(D470,[3]Extended!$B$9:$L$101,11,FALSE),VLOOKUP(D470,[3]Extended!$B$9:$M$101,12,FALSE)))),0)</f>
        <v>1394600</v>
      </c>
      <c r="P470" s="116">
        <f t="shared" si="36"/>
        <v>0.24</v>
      </c>
      <c r="Q470" s="110" t="e">
        <f>O470-#REF!</f>
        <v>#REF!</v>
      </c>
      <c r="W470" s="311"/>
      <c r="X470" s="311"/>
      <c r="Y470" s="311"/>
      <c r="Z470" s="311"/>
      <c r="AA470" s="311"/>
      <c r="AB470" s="311"/>
      <c r="AC470" s="311"/>
      <c r="AT470" s="88" t="str">
        <f t="shared" si="37"/>
        <v>KP0007072017Q115,4</v>
      </c>
      <c r="AU470" s="89" t="str">
        <f t="shared" si="38"/>
        <v>02-2017</v>
      </c>
      <c r="BA470" s="92" t="str">
        <f t="shared" si="39"/>
        <v>31-120 Days</v>
      </c>
    </row>
    <row r="471" spans="2:53">
      <c r="B471" s="60" t="str">
        <f>[2]Trucks!A468</f>
        <v>78W-5914</v>
      </c>
      <c r="C471" s="11" t="str">
        <f>[2]Trucks!B468</f>
        <v>TGS-26-4406X4BLS-LX-ALU-EL</v>
      </c>
      <c r="D471" s="19" t="str">
        <f>IFERROR(VLOOKUP(C471&amp;"",'[2]Retail Price List'!$A$3:$B$103,2,FALSE),"Special Order")</f>
        <v>KP000707</v>
      </c>
      <c r="E471" s="18" t="str">
        <f>[2]Trucks!J468</f>
        <v>BOOKED : 2017-08-8</v>
      </c>
      <c r="F471" s="12" t="str">
        <f>[2]Trucks!E468</f>
        <v>2017-09-7</v>
      </c>
      <c r="G471" s="56">
        <f>[2]Trucks!K468</f>
        <v>14.7</v>
      </c>
      <c r="H471" s="46">
        <f>[2]Trucks!I468</f>
        <v>42838</v>
      </c>
      <c r="I471" s="83" t="str">
        <f t="shared" si="35"/>
        <v>2017Q2</v>
      </c>
      <c r="J471" s="272">
        <f>IFERROR(VLOOKUP((D471&amp;C471)&amp;"",'[2]Retail Price List'!$C$4:$F$102,3,FALSE),"")</f>
        <v>1785000</v>
      </c>
      <c r="K471" s="272">
        <f>IFERROR(IF(BA471="WIP - 30 Days",VLOOKUP(D471,[3]Standard!$B$9:$E$101,4,FALSE),IF(BA471="31-120 Days",VLOOKUP(D471,[3]Standard!$B$9:$F$101,5,FALSE),IF(BA471="121-365 Days",VLOOKUP(D471,[3]Standard!$B$9:$G$101,6,FALSE),VLOOKUP(D471,[3]Standard!$B$9:$H$101,7,FALSE)))),0)</f>
        <v>1280151.5151515151</v>
      </c>
      <c r="L471" s="272">
        <f>IFERROR(IF(BA471="WIP - 30 Days",VLOOKUP(D471,[3]Standard!$B$9:$J$101,9,FALSE),IF(BA471="31-120 Days",VLOOKUP(D471,[3]Standard!$B$9:$K$100,10,FALSE),IF(BA471="121-365 Days",VLOOKUP(D471,[3]Standard!$B$9:$L$101,11,FALSE),VLOOKUP(D471,[3]Standard!$B$9:$M$101,12,FALSE)))),0)</f>
        <v>1267350</v>
      </c>
      <c r="M471" s="269">
        <f>IFERROR(VLOOKUP((D471&amp;C471)&amp;"",'[2]Retail Price List'!$C$4:$F$102,4,FALSE),"")</f>
        <v>1835000</v>
      </c>
      <c r="N471" s="269">
        <f>IFERROR(IF(BA471="WIP - 30 Days",VLOOKUP(D471,[3]Extended!$B$9:$E$101,4,FALSE),IF(BA471="31-120 Days",VLOOKUP(D471,[3]Extended!$B$9:$F$101,5,FALSE),IF(BA471="121-365 Days",VLOOKUP(D471,[3]Extended!$B$9:$G$101,6,FALSE),VLOOKUP(D471,[3]Extended!$B$9:$H$101,7,FALSE)))),0)</f>
        <v>1353080.808080808</v>
      </c>
      <c r="O471" s="269">
        <f>IFERROR(IF(BA471="WIP - 30 Days",VLOOKUP(D471,[3]Extended!$B$9:$J$101,9,FALSE),IF(BA471="31-120 Days",VLOOKUP(D471,[3]Extended!$B$9:$K$101,10,FALSE),IF(BA471="121-365 Days",VLOOKUP(D471,[3]Extended!$B$9:$L$101,11,FALSE),VLOOKUP(D471,[3]Extended!$B$9:$M$101,12,FALSE)))),0)</f>
        <v>1339550</v>
      </c>
      <c r="P471" s="116">
        <f t="shared" si="36"/>
        <v>0.27</v>
      </c>
      <c r="Q471" s="110" t="e">
        <f>O471-#REF!</f>
        <v>#REF!</v>
      </c>
      <c r="W471" s="311"/>
      <c r="X471" s="311"/>
      <c r="Y471" s="311"/>
      <c r="Z471" s="311"/>
      <c r="AA471" s="311"/>
      <c r="AB471" s="311"/>
      <c r="AC471" s="311"/>
      <c r="AT471" s="88" t="str">
        <f t="shared" si="37"/>
        <v>KP0007072017Q214,7</v>
      </c>
      <c r="AU471" s="89" t="str">
        <f t="shared" si="38"/>
        <v>04-2017</v>
      </c>
      <c r="BA471" s="92" t="str">
        <f t="shared" si="39"/>
        <v>&gt;365 Days</v>
      </c>
    </row>
    <row r="472" spans="2:53">
      <c r="B472" s="60" t="str">
        <f>[2]Trucks!A469</f>
        <v>78W-5915</v>
      </c>
      <c r="C472" s="11" t="str">
        <f>[2]Trucks!B469</f>
        <v>TGS-26-4406X4BLS-LX-ALU-EL</v>
      </c>
      <c r="D472" s="19" t="str">
        <f>IFERROR(VLOOKUP(C472&amp;"",'[2]Retail Price List'!$A$3:$B$103,2,FALSE),"Special Order")</f>
        <v>KP000707</v>
      </c>
      <c r="E472" s="18" t="str">
        <f>[2]Trucks!J469</f>
        <v>BOOKED : 2017-08-8</v>
      </c>
      <c r="F472" s="12" t="str">
        <f>[2]Trucks!E469</f>
        <v>2017-09-7</v>
      </c>
      <c r="G472" s="56">
        <f>[2]Trucks!K469</f>
        <v>14.7</v>
      </c>
      <c r="H472" s="46">
        <f>[2]Trucks!I469</f>
        <v>42838</v>
      </c>
      <c r="I472" s="83" t="str">
        <f t="shared" si="35"/>
        <v>2017Q2</v>
      </c>
      <c r="J472" s="272">
        <f>IFERROR(VLOOKUP((D472&amp;C472)&amp;"",'[2]Retail Price List'!$C$4:$F$102,3,FALSE),"")</f>
        <v>1785000</v>
      </c>
      <c r="K472" s="272">
        <f>IFERROR(IF(BA472="WIP - 30 Days",VLOOKUP(D472,[3]Standard!$B$9:$E$101,4,FALSE),IF(BA472="31-120 Days",VLOOKUP(D472,[3]Standard!$B$9:$F$101,5,FALSE),IF(BA472="121-365 Days",VLOOKUP(D472,[3]Standard!$B$9:$G$101,6,FALSE),VLOOKUP(D472,[3]Standard!$B$9:$H$101,7,FALSE)))),0)</f>
        <v>1280151.5151515151</v>
      </c>
      <c r="L472" s="272">
        <f>IFERROR(IF(BA472="WIP - 30 Days",VLOOKUP(D472,[3]Standard!$B$9:$J$101,9,FALSE),IF(BA472="31-120 Days",VLOOKUP(D472,[3]Standard!$B$9:$K$100,10,FALSE),IF(BA472="121-365 Days",VLOOKUP(D472,[3]Standard!$B$9:$L$101,11,FALSE),VLOOKUP(D472,[3]Standard!$B$9:$M$101,12,FALSE)))),0)</f>
        <v>1267350</v>
      </c>
      <c r="M472" s="269">
        <f>IFERROR(VLOOKUP((D472&amp;C472)&amp;"",'[2]Retail Price List'!$C$4:$F$102,4,FALSE),"")</f>
        <v>1835000</v>
      </c>
      <c r="N472" s="269">
        <f>IFERROR(IF(BA472="WIP - 30 Days",VLOOKUP(D472,[3]Extended!$B$9:$E$101,4,FALSE),IF(BA472="31-120 Days",VLOOKUP(D472,[3]Extended!$B$9:$F$101,5,FALSE),IF(BA472="121-365 Days",VLOOKUP(D472,[3]Extended!$B$9:$G$101,6,FALSE),VLOOKUP(D472,[3]Extended!$B$9:$H$101,7,FALSE)))),0)</f>
        <v>1353080.808080808</v>
      </c>
      <c r="O472" s="269">
        <f>IFERROR(IF(BA472="WIP - 30 Days",VLOOKUP(D472,[3]Extended!$B$9:$J$101,9,FALSE),IF(BA472="31-120 Days",VLOOKUP(D472,[3]Extended!$B$9:$K$101,10,FALSE),IF(BA472="121-365 Days",VLOOKUP(D472,[3]Extended!$B$9:$L$101,11,FALSE),VLOOKUP(D472,[3]Extended!$B$9:$M$101,12,FALSE)))),0)</f>
        <v>1339550</v>
      </c>
      <c r="P472" s="116">
        <f t="shared" si="36"/>
        <v>0.27</v>
      </c>
      <c r="Q472" s="110" t="e">
        <f>O472-#REF!</f>
        <v>#REF!</v>
      </c>
      <c r="W472" s="311"/>
      <c r="X472" s="311"/>
      <c r="Y472" s="311"/>
      <c r="Z472" s="311"/>
      <c r="AA472" s="311"/>
      <c r="AB472" s="311"/>
      <c r="AC472" s="311"/>
      <c r="AT472" s="88" t="str">
        <f t="shared" si="37"/>
        <v>KP0007072017Q214,7</v>
      </c>
      <c r="AU472" s="89" t="str">
        <f t="shared" si="38"/>
        <v>04-2017</v>
      </c>
      <c r="BA472" s="92" t="str">
        <f t="shared" si="39"/>
        <v>&gt;365 Days</v>
      </c>
    </row>
    <row r="473" spans="2:53">
      <c r="B473" s="60" t="str">
        <f>[2]Trucks!A470</f>
        <v>78W-5916</v>
      </c>
      <c r="C473" s="11" t="str">
        <f>[2]Trucks!B470</f>
        <v>TGS-26-4406X4BLS-LX-ALU-EL</v>
      </c>
      <c r="D473" s="19" t="str">
        <f>IFERROR(VLOOKUP(C473&amp;"",'[2]Retail Price List'!$A$3:$B$103,2,FALSE),"Special Order")</f>
        <v>KP000707</v>
      </c>
      <c r="E473" s="18" t="str">
        <f>[2]Trucks!J470</f>
        <v>CKD</v>
      </c>
      <c r="F473" s="12" t="str">
        <f>[2]Trucks!E470</f>
        <v>2017-09-7</v>
      </c>
      <c r="G473" s="56">
        <f>[2]Trucks!K470</f>
        <v>14.7</v>
      </c>
      <c r="H473" s="46">
        <f>[2]Trucks!I470</f>
        <v>42838</v>
      </c>
      <c r="I473" s="83" t="str">
        <f t="shared" si="35"/>
        <v>2017Q2</v>
      </c>
      <c r="J473" s="272">
        <f>IFERROR(VLOOKUP((D473&amp;C473)&amp;"",'[2]Retail Price List'!$C$4:$F$102,3,FALSE),"")</f>
        <v>1785000</v>
      </c>
      <c r="K473" s="272">
        <f>IFERROR(IF(BA473="WIP - 30 Days",VLOOKUP(D473,[3]Standard!$B$9:$E$101,4,FALSE),IF(BA473="31-120 Days",VLOOKUP(D473,[3]Standard!$B$9:$F$101,5,FALSE),IF(BA473="121-365 Days",VLOOKUP(D473,[3]Standard!$B$9:$G$101,6,FALSE),VLOOKUP(D473,[3]Standard!$B$9:$H$101,7,FALSE)))),0)</f>
        <v>1397298</v>
      </c>
      <c r="L473" s="272">
        <f>IFERROR(IF(BA473="WIP - 30 Days",VLOOKUP(D473,[3]Standard!$B$9:$J$101,9,FALSE),IF(BA473="31-120 Days",VLOOKUP(D473,[3]Standard!$B$9:$K$100,10,FALSE),IF(BA473="121-365 Days",VLOOKUP(D473,[3]Standard!$B$9:$L$101,11,FALSE),VLOOKUP(D473,[3]Standard!$B$9:$M$101,12,FALSE)))),0)</f>
        <v>1356600</v>
      </c>
      <c r="M473" s="269">
        <f>IFERROR(VLOOKUP((D473&amp;C473)&amp;"",'[2]Retail Price List'!$C$4:$F$102,4,FALSE),"")</f>
        <v>1835000</v>
      </c>
      <c r="N473" s="269">
        <f>IFERROR(IF(BA473="WIP - 30 Days",VLOOKUP(D473,[3]Extended!$B$9:$E$101,4,FALSE),IF(BA473="31-120 Days",VLOOKUP(D473,[3]Extended!$B$9:$F$101,5,FALSE),IF(BA473="121-365 Days",VLOOKUP(D473,[3]Extended!$B$9:$G$101,6,FALSE),VLOOKUP(D473,[3]Extended!$B$9:$H$101,7,FALSE)))),0)</f>
        <v>1474239</v>
      </c>
      <c r="O473" s="269">
        <f>IFERROR(IF(BA473="WIP - 30 Days",VLOOKUP(D473,[3]Extended!$B$9:$J$101,9,FALSE),IF(BA473="31-120 Days",VLOOKUP(D473,[3]Extended!$B$9:$K$101,10,FALSE),IF(BA473="121-365 Days",VLOOKUP(D473,[3]Extended!$B$9:$L$101,11,FALSE),VLOOKUP(D473,[3]Extended!$B$9:$M$101,12,FALSE)))),0)</f>
        <v>1431300</v>
      </c>
      <c r="P473" s="116">
        <f t="shared" si="36"/>
        <v>0.22</v>
      </c>
      <c r="Q473" s="110" t="e">
        <f>O473-#REF!</f>
        <v>#REF!</v>
      </c>
      <c r="W473" s="311"/>
      <c r="X473" s="311"/>
      <c r="Y473" s="311"/>
      <c r="Z473" s="311"/>
      <c r="AA473" s="311"/>
      <c r="AB473" s="311"/>
      <c r="AC473" s="311"/>
      <c r="AT473" s="88" t="str">
        <f t="shared" si="37"/>
        <v>KP0007072017Q214,7</v>
      </c>
      <c r="AU473" s="89" t="str">
        <f t="shared" si="38"/>
        <v>04-2017</v>
      </c>
      <c r="BA473" s="92" t="str">
        <f t="shared" si="39"/>
        <v>WIP - 30 Days</v>
      </c>
    </row>
    <row r="474" spans="2:53">
      <c r="B474" s="60" t="str">
        <f>[2]Trucks!A471</f>
        <v>78W-5917</v>
      </c>
      <c r="C474" s="11" t="str">
        <f>[2]Trucks!B471</f>
        <v>TGS-26-4406X4BLS-LX-ALU-EL</v>
      </c>
      <c r="D474" s="19" t="str">
        <f>IFERROR(VLOOKUP(C474&amp;"",'[2]Retail Price List'!$A$3:$B$103,2,FALSE),"Special Order")</f>
        <v>KP000707</v>
      </c>
      <c r="E474" s="18" t="str">
        <f>[2]Trucks!J471</f>
        <v>CKD</v>
      </c>
      <c r="F474" s="12" t="str">
        <f>[2]Trucks!E471</f>
        <v>2017-09-7</v>
      </c>
      <c r="G474" s="56">
        <f>[2]Trucks!K471</f>
        <v>14.7</v>
      </c>
      <c r="H474" s="46">
        <f>[2]Trucks!I471</f>
        <v>42838</v>
      </c>
      <c r="I474" s="83" t="str">
        <f t="shared" si="35"/>
        <v>2017Q2</v>
      </c>
      <c r="J474" s="272">
        <f>IFERROR(VLOOKUP((D474&amp;C474)&amp;"",'[2]Retail Price List'!$C$4:$F$102,3,FALSE),"")</f>
        <v>1785000</v>
      </c>
      <c r="K474" s="272">
        <f>IFERROR(IF(BA474="WIP - 30 Days",VLOOKUP(D474,[3]Standard!$B$9:$E$101,4,FALSE),IF(BA474="31-120 Days",VLOOKUP(D474,[3]Standard!$B$9:$F$101,5,FALSE),IF(BA474="121-365 Days",VLOOKUP(D474,[3]Standard!$B$9:$G$101,6,FALSE),VLOOKUP(D474,[3]Standard!$B$9:$H$101,7,FALSE)))),0)</f>
        <v>1397298</v>
      </c>
      <c r="L474" s="272">
        <f>IFERROR(IF(BA474="WIP - 30 Days",VLOOKUP(D474,[3]Standard!$B$9:$J$101,9,FALSE),IF(BA474="31-120 Days",VLOOKUP(D474,[3]Standard!$B$9:$K$100,10,FALSE),IF(BA474="121-365 Days",VLOOKUP(D474,[3]Standard!$B$9:$L$101,11,FALSE),VLOOKUP(D474,[3]Standard!$B$9:$M$101,12,FALSE)))),0)</f>
        <v>1356600</v>
      </c>
      <c r="M474" s="269">
        <f>IFERROR(VLOOKUP((D474&amp;C474)&amp;"",'[2]Retail Price List'!$C$4:$F$102,4,FALSE),"")</f>
        <v>1835000</v>
      </c>
      <c r="N474" s="269">
        <f>IFERROR(IF(BA474="WIP - 30 Days",VLOOKUP(D474,[3]Extended!$B$9:$E$101,4,FALSE),IF(BA474="31-120 Days",VLOOKUP(D474,[3]Extended!$B$9:$F$101,5,FALSE),IF(BA474="121-365 Days",VLOOKUP(D474,[3]Extended!$B$9:$G$101,6,FALSE),VLOOKUP(D474,[3]Extended!$B$9:$H$101,7,FALSE)))),0)</f>
        <v>1474239</v>
      </c>
      <c r="O474" s="269">
        <f>IFERROR(IF(BA474="WIP - 30 Days",VLOOKUP(D474,[3]Extended!$B$9:$J$101,9,FALSE),IF(BA474="31-120 Days",VLOOKUP(D474,[3]Extended!$B$9:$K$101,10,FALSE),IF(BA474="121-365 Days",VLOOKUP(D474,[3]Extended!$B$9:$L$101,11,FALSE),VLOOKUP(D474,[3]Extended!$B$9:$M$101,12,FALSE)))),0)</f>
        <v>1431300</v>
      </c>
      <c r="P474" s="116">
        <f t="shared" si="36"/>
        <v>0.22</v>
      </c>
      <c r="Q474" s="110" t="e">
        <f>O474-#REF!</f>
        <v>#REF!</v>
      </c>
      <c r="W474" s="311"/>
      <c r="X474" s="311"/>
      <c r="Y474" s="311"/>
      <c r="Z474" s="311"/>
      <c r="AA474" s="311"/>
      <c r="AB474" s="311"/>
      <c r="AC474" s="311"/>
      <c r="AT474" s="88" t="str">
        <f t="shared" si="37"/>
        <v>KP0007072017Q214,7</v>
      </c>
      <c r="AU474" s="89" t="str">
        <f t="shared" si="38"/>
        <v>04-2017</v>
      </c>
      <c r="BA474" s="92" t="str">
        <f t="shared" si="39"/>
        <v>WIP - 30 Days</v>
      </c>
    </row>
    <row r="475" spans="2:53">
      <c r="B475" s="60" t="str">
        <f>[2]Trucks!A472</f>
        <v>78W-5922</v>
      </c>
      <c r="C475" s="11" t="str">
        <f>[2]Trucks!B472</f>
        <v>TGS-26-4406X4BLS-LX-ALU-EL</v>
      </c>
      <c r="D475" s="19" t="str">
        <f>IFERROR(VLOOKUP(C475&amp;"",'[2]Retail Price List'!$A$3:$B$103,2,FALSE),"Special Order")</f>
        <v>KP000707</v>
      </c>
      <c r="E475" s="18" t="str">
        <f>[2]Trucks!J472</f>
        <v>CKD</v>
      </c>
      <c r="F475" s="12" t="str">
        <f>[2]Trucks!E472</f>
        <v>2017-10-24</v>
      </c>
      <c r="G475" s="56">
        <f>[2]Trucks!K472</f>
        <v>14.7</v>
      </c>
      <c r="H475" s="46">
        <f>[2]Trucks!I472</f>
        <v>42838</v>
      </c>
      <c r="I475" s="83" t="str">
        <f t="shared" si="35"/>
        <v>2017Q2</v>
      </c>
      <c r="J475" s="272">
        <f>IFERROR(VLOOKUP((D475&amp;C475)&amp;"",'[2]Retail Price List'!$C$4:$F$102,3,FALSE),"")</f>
        <v>1785000</v>
      </c>
      <c r="K475" s="272">
        <f>IFERROR(IF(BA475="WIP - 30 Days",VLOOKUP(D475,[3]Standard!$B$9:$E$101,4,FALSE),IF(BA475="31-120 Days",VLOOKUP(D475,[3]Standard!$B$9:$F$101,5,FALSE),IF(BA475="121-365 Days",VLOOKUP(D475,[3]Standard!$B$9:$G$101,6,FALSE),VLOOKUP(D475,[3]Standard!$B$9:$H$101,7,FALSE)))),0)</f>
        <v>1397298</v>
      </c>
      <c r="L475" s="272">
        <f>IFERROR(IF(BA475="WIP - 30 Days",VLOOKUP(D475,[3]Standard!$B$9:$J$101,9,FALSE),IF(BA475="31-120 Days",VLOOKUP(D475,[3]Standard!$B$9:$K$100,10,FALSE),IF(BA475="121-365 Days",VLOOKUP(D475,[3]Standard!$B$9:$L$101,11,FALSE),VLOOKUP(D475,[3]Standard!$B$9:$M$101,12,FALSE)))),0)</f>
        <v>1356600</v>
      </c>
      <c r="M475" s="269">
        <f>IFERROR(VLOOKUP((D475&amp;C475)&amp;"",'[2]Retail Price List'!$C$4:$F$102,4,FALSE),"")</f>
        <v>1835000</v>
      </c>
      <c r="N475" s="269">
        <f>IFERROR(IF(BA475="WIP - 30 Days",VLOOKUP(D475,[3]Extended!$B$9:$E$101,4,FALSE),IF(BA475="31-120 Days",VLOOKUP(D475,[3]Extended!$B$9:$F$101,5,FALSE),IF(BA475="121-365 Days",VLOOKUP(D475,[3]Extended!$B$9:$G$101,6,FALSE),VLOOKUP(D475,[3]Extended!$B$9:$H$101,7,FALSE)))),0)</f>
        <v>1474239</v>
      </c>
      <c r="O475" s="269">
        <f>IFERROR(IF(BA475="WIP - 30 Days",VLOOKUP(D475,[3]Extended!$B$9:$J$101,9,FALSE),IF(BA475="31-120 Days",VLOOKUP(D475,[3]Extended!$B$9:$K$101,10,FALSE),IF(BA475="121-365 Days",VLOOKUP(D475,[3]Extended!$B$9:$L$101,11,FALSE),VLOOKUP(D475,[3]Extended!$B$9:$M$101,12,FALSE)))),0)</f>
        <v>1431300</v>
      </c>
      <c r="P475" s="116">
        <f t="shared" si="36"/>
        <v>0.22</v>
      </c>
      <c r="Q475" s="110" t="e">
        <f>O475-#REF!</f>
        <v>#REF!</v>
      </c>
      <c r="W475" s="311"/>
      <c r="X475" s="311"/>
      <c r="Y475" s="311"/>
      <c r="Z475" s="311"/>
      <c r="AA475" s="311"/>
      <c r="AB475" s="311"/>
      <c r="AC475" s="311"/>
      <c r="AT475" s="88" t="str">
        <f t="shared" si="37"/>
        <v>KP0007072017Q214,7</v>
      </c>
      <c r="AU475" s="89" t="str">
        <f t="shared" si="38"/>
        <v>04-2017</v>
      </c>
      <c r="BA475" s="92" t="str">
        <f t="shared" si="39"/>
        <v>WIP - 30 Days</v>
      </c>
    </row>
    <row r="476" spans="2:53">
      <c r="B476" s="60" t="str">
        <f>[2]Trucks!A473</f>
        <v>78W-5923</v>
      </c>
      <c r="C476" s="11" t="str">
        <f>[2]Trucks!B473</f>
        <v>TGS-26-4406X4BLS-LX-ALU-EL</v>
      </c>
      <c r="D476" s="19" t="str">
        <f>IFERROR(VLOOKUP(C476&amp;"",'[2]Retail Price List'!$A$3:$B$103,2,FALSE),"Special Order")</f>
        <v>KP000707</v>
      </c>
      <c r="E476" s="18" t="str">
        <f>[2]Trucks!J473</f>
        <v>CKD</v>
      </c>
      <c r="F476" s="12" t="str">
        <f>[2]Trucks!E473</f>
        <v>2017-10-24</v>
      </c>
      <c r="G476" s="56">
        <f>[2]Trucks!K473</f>
        <v>14.7</v>
      </c>
      <c r="H476" s="46">
        <f>[2]Trucks!I473</f>
        <v>42838</v>
      </c>
      <c r="I476" s="83" t="str">
        <f t="shared" si="35"/>
        <v>2017Q2</v>
      </c>
      <c r="J476" s="272">
        <f>IFERROR(VLOOKUP((D476&amp;C476)&amp;"",'[2]Retail Price List'!$C$4:$F$102,3,FALSE),"")</f>
        <v>1785000</v>
      </c>
      <c r="K476" s="272">
        <f>IFERROR(IF(BA476="WIP - 30 Days",VLOOKUP(D476,[3]Standard!$B$9:$E$101,4,FALSE),IF(BA476="31-120 Days",VLOOKUP(D476,[3]Standard!$B$9:$F$101,5,FALSE),IF(BA476="121-365 Days",VLOOKUP(D476,[3]Standard!$B$9:$G$101,6,FALSE),VLOOKUP(D476,[3]Standard!$B$9:$H$101,7,FALSE)))),0)</f>
        <v>1397298</v>
      </c>
      <c r="L476" s="272">
        <f>IFERROR(IF(BA476="WIP - 30 Days",VLOOKUP(D476,[3]Standard!$B$9:$J$101,9,FALSE),IF(BA476="31-120 Days",VLOOKUP(D476,[3]Standard!$B$9:$K$100,10,FALSE),IF(BA476="121-365 Days",VLOOKUP(D476,[3]Standard!$B$9:$L$101,11,FALSE),VLOOKUP(D476,[3]Standard!$B$9:$M$101,12,FALSE)))),0)</f>
        <v>1356600</v>
      </c>
      <c r="M476" s="269">
        <f>IFERROR(VLOOKUP((D476&amp;C476)&amp;"",'[2]Retail Price List'!$C$4:$F$102,4,FALSE),"")</f>
        <v>1835000</v>
      </c>
      <c r="N476" s="269">
        <f>IFERROR(IF(BA476="WIP - 30 Days",VLOOKUP(D476,[3]Extended!$B$9:$E$101,4,FALSE),IF(BA476="31-120 Days",VLOOKUP(D476,[3]Extended!$B$9:$F$101,5,FALSE),IF(BA476="121-365 Days",VLOOKUP(D476,[3]Extended!$B$9:$G$101,6,FALSE),VLOOKUP(D476,[3]Extended!$B$9:$H$101,7,FALSE)))),0)</f>
        <v>1474239</v>
      </c>
      <c r="O476" s="269">
        <f>IFERROR(IF(BA476="WIP - 30 Days",VLOOKUP(D476,[3]Extended!$B$9:$J$101,9,FALSE),IF(BA476="31-120 Days",VLOOKUP(D476,[3]Extended!$B$9:$K$101,10,FALSE),IF(BA476="121-365 Days",VLOOKUP(D476,[3]Extended!$B$9:$L$101,11,FALSE),VLOOKUP(D476,[3]Extended!$B$9:$M$101,12,FALSE)))),0)</f>
        <v>1431300</v>
      </c>
      <c r="P476" s="116">
        <f t="shared" si="36"/>
        <v>0.22</v>
      </c>
      <c r="Q476" s="110" t="e">
        <f>O476-#REF!</f>
        <v>#REF!</v>
      </c>
      <c r="W476" s="311"/>
      <c r="X476" s="311"/>
      <c r="Y476" s="311"/>
      <c r="Z476" s="311"/>
      <c r="AA476" s="311"/>
      <c r="AB476" s="311"/>
      <c r="AC476" s="311"/>
      <c r="AT476" s="88" t="str">
        <f t="shared" si="37"/>
        <v>KP0007072017Q214,7</v>
      </c>
      <c r="AU476" s="89" t="str">
        <f t="shared" si="38"/>
        <v>04-2017</v>
      </c>
      <c r="BA476" s="92" t="str">
        <f t="shared" si="39"/>
        <v>WIP - 30 Days</v>
      </c>
    </row>
    <row r="477" spans="2:53">
      <c r="B477" s="60" t="str">
        <f>[2]Trucks!A474</f>
        <v>78W-5924</v>
      </c>
      <c r="C477" s="11" t="str">
        <f>[2]Trucks!B474</f>
        <v>TGS-26-4406X4BLS-LX-ALU-EL</v>
      </c>
      <c r="D477" s="19" t="str">
        <f>IFERROR(VLOOKUP(C477&amp;"",'[2]Retail Price List'!$A$3:$B$103,2,FALSE),"Special Order")</f>
        <v>KP000707</v>
      </c>
      <c r="E477" s="18" t="str">
        <f>[2]Trucks!J474</f>
        <v>CKD</v>
      </c>
      <c r="F477" s="12" t="str">
        <f>[2]Trucks!E474</f>
        <v>2017-10-24</v>
      </c>
      <c r="G477" s="56">
        <f>[2]Trucks!K474</f>
        <v>14.7</v>
      </c>
      <c r="H477" s="46">
        <f>[2]Trucks!I474</f>
        <v>42838</v>
      </c>
      <c r="I477" s="83" t="str">
        <f t="shared" si="35"/>
        <v>2017Q2</v>
      </c>
      <c r="J477" s="272">
        <f>IFERROR(VLOOKUP((D477&amp;C477)&amp;"",'[2]Retail Price List'!$C$4:$F$102,3,FALSE),"")</f>
        <v>1785000</v>
      </c>
      <c r="K477" s="272">
        <f>IFERROR(IF(BA477="WIP - 30 Days",VLOOKUP(D477,[3]Standard!$B$9:$E$101,4,FALSE),IF(BA477="31-120 Days",VLOOKUP(D477,[3]Standard!$B$9:$F$101,5,FALSE),IF(BA477="121-365 Days",VLOOKUP(D477,[3]Standard!$B$9:$G$101,6,FALSE),VLOOKUP(D477,[3]Standard!$B$9:$H$101,7,FALSE)))),0)</f>
        <v>1397298</v>
      </c>
      <c r="L477" s="272">
        <f>IFERROR(IF(BA477="WIP - 30 Days",VLOOKUP(D477,[3]Standard!$B$9:$J$101,9,FALSE),IF(BA477="31-120 Days",VLOOKUP(D477,[3]Standard!$B$9:$K$100,10,FALSE),IF(BA477="121-365 Days",VLOOKUP(D477,[3]Standard!$B$9:$L$101,11,FALSE),VLOOKUP(D477,[3]Standard!$B$9:$M$101,12,FALSE)))),0)</f>
        <v>1356600</v>
      </c>
      <c r="M477" s="269">
        <f>IFERROR(VLOOKUP((D477&amp;C477)&amp;"",'[2]Retail Price List'!$C$4:$F$102,4,FALSE),"")</f>
        <v>1835000</v>
      </c>
      <c r="N477" s="269">
        <f>IFERROR(IF(BA477="WIP - 30 Days",VLOOKUP(D477,[3]Extended!$B$9:$E$101,4,FALSE),IF(BA477="31-120 Days",VLOOKUP(D477,[3]Extended!$B$9:$F$101,5,FALSE),IF(BA477="121-365 Days",VLOOKUP(D477,[3]Extended!$B$9:$G$101,6,FALSE),VLOOKUP(D477,[3]Extended!$B$9:$H$101,7,FALSE)))),0)</f>
        <v>1474239</v>
      </c>
      <c r="O477" s="269">
        <f>IFERROR(IF(BA477="WIP - 30 Days",VLOOKUP(D477,[3]Extended!$B$9:$J$101,9,FALSE),IF(BA477="31-120 Days",VLOOKUP(D477,[3]Extended!$B$9:$K$101,10,FALSE),IF(BA477="121-365 Days",VLOOKUP(D477,[3]Extended!$B$9:$L$101,11,FALSE),VLOOKUP(D477,[3]Extended!$B$9:$M$101,12,FALSE)))),0)</f>
        <v>1431300</v>
      </c>
      <c r="P477" s="116">
        <f t="shared" si="36"/>
        <v>0.22</v>
      </c>
      <c r="Q477" s="110" t="e">
        <f>O477-#REF!</f>
        <v>#REF!</v>
      </c>
      <c r="W477" s="311"/>
      <c r="X477" s="311"/>
      <c r="Y477" s="311"/>
      <c r="Z477" s="311"/>
      <c r="AA477" s="311"/>
      <c r="AB477" s="311"/>
      <c r="AC477" s="311"/>
      <c r="AT477" s="88" t="str">
        <f t="shared" si="37"/>
        <v>KP0007072017Q214,7</v>
      </c>
      <c r="AU477" s="89" t="str">
        <f t="shared" si="38"/>
        <v>04-2017</v>
      </c>
      <c r="BA477" s="92" t="str">
        <f t="shared" si="39"/>
        <v>WIP - 30 Days</v>
      </c>
    </row>
    <row r="478" spans="2:53">
      <c r="B478" s="60" t="str">
        <f>[2]Trucks!A475</f>
        <v>78W-5925</v>
      </c>
      <c r="C478" s="11" t="str">
        <f>[2]Trucks!B475</f>
        <v>TGS-26-4406X4BLS-LX-ALU-EL</v>
      </c>
      <c r="D478" s="19" t="str">
        <f>IFERROR(VLOOKUP(C478&amp;"",'[2]Retail Price List'!$A$3:$B$103,2,FALSE),"Special Order")</f>
        <v>KP000707</v>
      </c>
      <c r="E478" s="18" t="str">
        <f>[2]Trucks!J475</f>
        <v>CKD</v>
      </c>
      <c r="F478" s="12" t="str">
        <f>[2]Trucks!E475</f>
        <v>2017-10-25</v>
      </c>
      <c r="G478" s="56">
        <f>[2]Trucks!K475</f>
        <v>14.7</v>
      </c>
      <c r="H478" s="46">
        <f>[2]Trucks!I475</f>
        <v>42838</v>
      </c>
      <c r="I478" s="83" t="str">
        <f t="shared" si="35"/>
        <v>2017Q2</v>
      </c>
      <c r="J478" s="272">
        <f>IFERROR(VLOOKUP((D478&amp;C478)&amp;"",'[2]Retail Price List'!$C$4:$F$102,3,FALSE),"")</f>
        <v>1785000</v>
      </c>
      <c r="K478" s="272">
        <f>IFERROR(IF(BA478="WIP - 30 Days",VLOOKUP(D478,[3]Standard!$B$9:$E$101,4,FALSE),IF(BA478="31-120 Days",VLOOKUP(D478,[3]Standard!$B$9:$F$101,5,FALSE),IF(BA478="121-365 Days",VLOOKUP(D478,[3]Standard!$B$9:$G$101,6,FALSE),VLOOKUP(D478,[3]Standard!$B$9:$H$101,7,FALSE)))),0)</f>
        <v>1397298</v>
      </c>
      <c r="L478" s="272">
        <f>IFERROR(IF(BA478="WIP - 30 Days",VLOOKUP(D478,[3]Standard!$B$9:$J$101,9,FALSE),IF(BA478="31-120 Days",VLOOKUP(D478,[3]Standard!$B$9:$K$100,10,FALSE),IF(BA478="121-365 Days",VLOOKUP(D478,[3]Standard!$B$9:$L$101,11,FALSE),VLOOKUP(D478,[3]Standard!$B$9:$M$101,12,FALSE)))),0)</f>
        <v>1356600</v>
      </c>
      <c r="M478" s="269">
        <f>IFERROR(VLOOKUP((D478&amp;C478)&amp;"",'[2]Retail Price List'!$C$4:$F$102,4,FALSE),"")</f>
        <v>1835000</v>
      </c>
      <c r="N478" s="269">
        <f>IFERROR(IF(BA478="WIP - 30 Days",VLOOKUP(D478,[3]Extended!$B$9:$E$101,4,FALSE),IF(BA478="31-120 Days",VLOOKUP(D478,[3]Extended!$B$9:$F$101,5,FALSE),IF(BA478="121-365 Days",VLOOKUP(D478,[3]Extended!$B$9:$G$101,6,FALSE),VLOOKUP(D478,[3]Extended!$B$9:$H$101,7,FALSE)))),0)</f>
        <v>1474239</v>
      </c>
      <c r="O478" s="269">
        <f>IFERROR(IF(BA478="WIP - 30 Days",VLOOKUP(D478,[3]Extended!$B$9:$J$101,9,FALSE),IF(BA478="31-120 Days",VLOOKUP(D478,[3]Extended!$B$9:$K$101,10,FALSE),IF(BA478="121-365 Days",VLOOKUP(D478,[3]Extended!$B$9:$L$101,11,FALSE),VLOOKUP(D478,[3]Extended!$B$9:$M$101,12,FALSE)))),0)</f>
        <v>1431300</v>
      </c>
      <c r="P478" s="116">
        <f t="shared" si="36"/>
        <v>0.22</v>
      </c>
      <c r="Q478" s="110" t="e">
        <f>O478-#REF!</f>
        <v>#REF!</v>
      </c>
      <c r="W478" s="311"/>
      <c r="X478" s="311"/>
      <c r="Y478" s="311"/>
      <c r="Z478" s="311"/>
      <c r="AA478" s="311"/>
      <c r="AB478" s="311"/>
      <c r="AC478" s="311"/>
      <c r="AT478" s="88" t="str">
        <f t="shared" si="37"/>
        <v>KP0007072017Q214,7</v>
      </c>
      <c r="AU478" s="89" t="str">
        <f t="shared" si="38"/>
        <v>04-2017</v>
      </c>
      <c r="BA478" s="92" t="str">
        <f t="shared" si="39"/>
        <v>WIP - 30 Days</v>
      </c>
    </row>
    <row r="479" spans="2:53">
      <c r="B479" s="60" t="str">
        <f>[2]Trucks!A476</f>
        <v>TBAKP707</v>
      </c>
      <c r="C479" s="11" t="str">
        <f>[2]Trucks!B476</f>
        <v>TGS-26-4406X4BLS-LX-ALU-EL</v>
      </c>
      <c r="D479" s="19" t="str">
        <f>IFERROR(VLOOKUP(C479&amp;"",'[2]Retail Price List'!$A$3:$B$103,2,FALSE),"Special Order")</f>
        <v>KP000707</v>
      </c>
      <c r="E479" s="18" t="str">
        <f>[2]Trucks!J476</f>
        <v>CKD</v>
      </c>
      <c r="F479" s="12" t="str">
        <f>[2]Trucks!E476</f>
        <v>2018-02-15</v>
      </c>
      <c r="G479" s="56">
        <f>[2]Trucks!K476</f>
        <v>14.7</v>
      </c>
      <c r="H479" s="46">
        <f>[2]Trucks!I476</f>
        <v>42921</v>
      </c>
      <c r="I479" s="83" t="str">
        <f t="shared" si="35"/>
        <v>2017Q3</v>
      </c>
      <c r="J479" s="272">
        <f>IFERROR(VLOOKUP((D479&amp;C479)&amp;"",'[2]Retail Price List'!$C$4:$F$102,3,FALSE),"")</f>
        <v>1785000</v>
      </c>
      <c r="K479" s="272">
        <f>IFERROR(IF(BA479="WIP - 30 Days",VLOOKUP(D479,[3]Standard!$B$9:$E$101,4,FALSE),IF(BA479="31-120 Days",VLOOKUP(D479,[3]Standard!$B$9:$F$101,5,FALSE),IF(BA479="121-365 Days",VLOOKUP(D479,[3]Standard!$B$9:$G$101,6,FALSE),VLOOKUP(D479,[3]Standard!$B$9:$H$101,7,FALSE)))),0)</f>
        <v>1397298</v>
      </c>
      <c r="L479" s="272">
        <f>IFERROR(IF(BA479="WIP - 30 Days",VLOOKUP(D479,[3]Standard!$B$9:$J$101,9,FALSE),IF(BA479="31-120 Days",VLOOKUP(D479,[3]Standard!$B$9:$K$100,10,FALSE),IF(BA479="121-365 Days",VLOOKUP(D479,[3]Standard!$B$9:$L$101,11,FALSE),VLOOKUP(D479,[3]Standard!$B$9:$M$101,12,FALSE)))),0)</f>
        <v>1356600</v>
      </c>
      <c r="M479" s="269">
        <f>IFERROR(VLOOKUP((D479&amp;C479)&amp;"",'[2]Retail Price List'!$C$4:$F$102,4,FALSE),"")</f>
        <v>1835000</v>
      </c>
      <c r="N479" s="269">
        <f>IFERROR(IF(BA479="WIP - 30 Days",VLOOKUP(D479,[3]Extended!$B$9:$E$101,4,FALSE),IF(BA479="31-120 Days",VLOOKUP(D479,[3]Extended!$B$9:$F$101,5,FALSE),IF(BA479="121-365 Days",VLOOKUP(D479,[3]Extended!$B$9:$G$101,6,FALSE),VLOOKUP(D479,[3]Extended!$B$9:$H$101,7,FALSE)))),0)</f>
        <v>1474239</v>
      </c>
      <c r="O479" s="269">
        <f>IFERROR(IF(BA479="WIP - 30 Days",VLOOKUP(D479,[3]Extended!$B$9:$J$101,9,FALSE),IF(BA479="31-120 Days",VLOOKUP(D479,[3]Extended!$B$9:$K$101,10,FALSE),IF(BA479="121-365 Days",VLOOKUP(D479,[3]Extended!$B$9:$L$101,11,FALSE),VLOOKUP(D479,[3]Extended!$B$9:$M$101,12,FALSE)))),0)</f>
        <v>1431300</v>
      </c>
      <c r="P479" s="116">
        <f t="shared" si="36"/>
        <v>0.22</v>
      </c>
      <c r="Q479" s="110" t="e">
        <f>O479-#REF!</f>
        <v>#REF!</v>
      </c>
      <c r="W479" s="311"/>
      <c r="X479" s="311"/>
      <c r="Y479" s="311"/>
      <c r="Z479" s="311"/>
      <c r="AA479" s="311"/>
      <c r="AB479" s="311"/>
      <c r="AC479" s="311"/>
      <c r="AT479" s="88" t="str">
        <f t="shared" si="37"/>
        <v>KP0007072017Q314,7</v>
      </c>
      <c r="AU479" s="89" t="str">
        <f t="shared" si="38"/>
        <v>07-2017</v>
      </c>
      <c r="BA479" s="92" t="str">
        <f t="shared" si="39"/>
        <v>WIP - 30 Days</v>
      </c>
    </row>
    <row r="480" spans="2:53">
      <c r="B480" s="60" t="str">
        <f>[2]Trucks!A477</f>
        <v>78W-5236</v>
      </c>
      <c r="C480" s="11" t="str">
        <f>[2]Trucks!B477</f>
        <v>TGS-26-4406X4BLS-M</v>
      </c>
      <c r="D480" s="19" t="str">
        <f>IFERROR(VLOOKUP(C480&amp;"",'[2]Retail Price List'!$A$3:$B$103,2,FALSE),"Special Order")</f>
        <v>TGS00009</v>
      </c>
      <c r="E480" s="18" t="str">
        <f>[2]Trucks!J477</f>
        <v>DEMO</v>
      </c>
      <c r="F480" s="12">
        <f>[2]Trucks!E477</f>
        <v>492</v>
      </c>
      <c r="G480" s="56">
        <f>[2]Trucks!K477</f>
        <v>14.6</v>
      </c>
      <c r="H480" s="46">
        <f>[2]Trucks!I477</f>
        <v>42306</v>
      </c>
      <c r="I480" s="83" t="str">
        <f t="shared" si="35"/>
        <v/>
      </c>
      <c r="J480" s="272">
        <f>IFERROR(VLOOKUP((D480&amp;C480)&amp;"",'[2]Retail Price List'!$C$4:$F$102,3,FALSE),"")</f>
        <v>1650000</v>
      </c>
      <c r="K480" s="272">
        <f>IFERROR(IF(BA480="WIP - 30 Days",VLOOKUP(D480,[3]Standard!$B$9:$E$101,4,FALSE),IF(BA480="31-120 Days",VLOOKUP(D480,[3]Standard!$B$9:$F$101,5,FALSE),IF(BA480="121-365 Days",VLOOKUP(D480,[3]Standard!$B$9:$G$101,6,FALSE),VLOOKUP(D480,[3]Standard!$B$9:$H$101,7,FALSE)))),0)</f>
        <v>1081666.6666666667</v>
      </c>
      <c r="L480" s="272">
        <f>IFERROR(IF(BA480="WIP - 30 Days",VLOOKUP(D480,[3]Standard!$B$9:$J$101,9,FALSE),IF(BA480="31-120 Days",VLOOKUP(D480,[3]Standard!$B$9:$K$100,10,FALSE),IF(BA480="121-365 Days",VLOOKUP(D480,[3]Standard!$B$9:$L$101,11,FALSE),VLOOKUP(D480,[3]Standard!$B$9:$M$101,12,FALSE)))),0)</f>
        <v>1070850</v>
      </c>
      <c r="M480" s="269">
        <f>IFERROR(VLOOKUP((D480&amp;C480)&amp;"",'[2]Retail Price List'!$C$4:$F$102,4,FALSE),"")</f>
        <v>1680000</v>
      </c>
      <c r="N480" s="269">
        <f>IFERROR(IF(BA480="WIP - 30 Days",VLOOKUP(D480,[3]Extended!$B$9:$E$101,4,FALSE),IF(BA480="31-120 Days",VLOOKUP(D480,[3]Extended!$B$9:$F$101,5,FALSE),IF(BA480="121-365 Days",VLOOKUP(D480,[3]Extended!$B$9:$G$101,6,FALSE),VLOOKUP(D480,[3]Extended!$B$9:$H$101,7,FALSE)))),0)</f>
        <v>1136969.696969697</v>
      </c>
      <c r="O480" s="269">
        <f>IFERROR(IF(BA480="WIP - 30 Days",VLOOKUP(D480,[3]Extended!$B$9:$J$101,9,FALSE),IF(BA480="31-120 Days",VLOOKUP(D480,[3]Extended!$B$9:$K$101,10,FALSE),IF(BA480="121-365 Days",VLOOKUP(D480,[3]Extended!$B$9:$L$101,11,FALSE),VLOOKUP(D480,[3]Extended!$B$9:$M$101,12,FALSE)))),0)</f>
        <v>1125600</v>
      </c>
      <c r="P480" s="116">
        <f t="shared" si="36"/>
        <v>0.33</v>
      </c>
      <c r="Q480" s="110" t="e">
        <f>O480-#REF!</f>
        <v>#REF!</v>
      </c>
      <c r="W480" s="311"/>
      <c r="X480" s="311"/>
      <c r="Y480" s="311"/>
      <c r="Z480" s="311"/>
      <c r="AA480" s="311"/>
      <c r="AB480" s="311"/>
      <c r="AC480" s="311"/>
      <c r="AT480" s="88" t="str">
        <f t="shared" si="37"/>
        <v>TGS0000914,6</v>
      </c>
      <c r="AU480" s="89" t="str">
        <f t="shared" si="38"/>
        <v>10-2015</v>
      </c>
      <c r="BA480" s="92" t="str">
        <f t="shared" si="39"/>
        <v>&gt;365 Days</v>
      </c>
    </row>
    <row r="481" spans="2:53">
      <c r="B481" s="60">
        <f>[2]Trucks!A478</f>
        <v>47052</v>
      </c>
      <c r="C481" s="11" t="str">
        <f>[2]Trucks!B478</f>
        <v>TGS-26-4806X4BLS-LX</v>
      </c>
      <c r="D481" s="19" t="str">
        <f>IFERROR(VLOOKUP(C481&amp;"",'[2]Retail Price List'!$A$3:$B$103,2,FALSE),"Special Order")</f>
        <v>KP000635</v>
      </c>
      <c r="E481" s="18" t="str">
        <f>[2]Trucks!J478</f>
        <v>CKD</v>
      </c>
      <c r="F481" s="12" t="str">
        <f>[2]Trucks!E478</f>
        <v>2017-11-2</v>
      </c>
      <c r="G481" s="56">
        <f>[2]Trucks!K478</f>
        <v>14.7</v>
      </c>
      <c r="H481" s="46">
        <f>[2]Trucks!I478</f>
        <v>42859</v>
      </c>
      <c r="I481" s="83" t="str">
        <f t="shared" si="35"/>
        <v>2017Q2</v>
      </c>
      <c r="J481" s="272">
        <f>IFERROR(VLOOKUP((D481&amp;C481)&amp;"",'[2]Retail Price List'!$C$4:$F$102,3,FALSE),"")</f>
        <v>1800000</v>
      </c>
      <c r="K481" s="272">
        <f>IFERROR(IF(BA481="WIP - 30 Days",VLOOKUP(D481,[3]Standard!$B$9:$E$101,4,FALSE),IF(BA481="31-120 Days",VLOOKUP(D481,[3]Standard!$B$9:$F$101,5,FALSE),IF(BA481="121-365 Days",VLOOKUP(D481,[3]Standard!$B$9:$G$101,6,FALSE),VLOOKUP(D481,[3]Standard!$B$9:$H$101,7,FALSE)))),0)</f>
        <v>1334880</v>
      </c>
      <c r="L481" s="272">
        <f>IFERROR(IF(BA481="WIP - 30 Days",VLOOKUP(D481,[3]Standard!$B$9:$J$101,9,FALSE),IF(BA481="31-120 Days",VLOOKUP(D481,[3]Standard!$B$9:$K$100,10,FALSE),IF(BA481="121-365 Days",VLOOKUP(D481,[3]Standard!$B$9:$L$101,11,FALSE),VLOOKUP(D481,[3]Standard!$B$9:$M$101,12,FALSE)))),0)</f>
        <v>1296000</v>
      </c>
      <c r="M481" s="269">
        <f>IFERROR(VLOOKUP((D481&amp;C481)&amp;"",'[2]Retail Price List'!$C$4:$F$102,4,FALSE),"")</f>
        <v>1835000</v>
      </c>
      <c r="N481" s="269">
        <f>IFERROR(IF(BA481="WIP - 30 Days",VLOOKUP(D481,[3]Extended!$B$9:$E$101,4,FALSE),IF(BA481="31-120 Days",VLOOKUP(D481,[3]Extended!$B$9:$F$101,5,FALSE),IF(BA481="121-365 Days",VLOOKUP(D481,[3]Extended!$B$9:$G$101,6,FALSE),VLOOKUP(D481,[3]Extended!$B$9:$H$101,7,FALSE)))),0)</f>
        <v>1379736.5</v>
      </c>
      <c r="O481" s="269">
        <f>IFERROR(IF(BA481="WIP - 30 Days",VLOOKUP(D481,[3]Extended!$B$9:$J$101,9,FALSE),IF(BA481="31-120 Days",VLOOKUP(D481,[3]Extended!$B$9:$K$101,10,FALSE),IF(BA481="121-365 Days",VLOOKUP(D481,[3]Extended!$B$9:$L$101,11,FALSE),VLOOKUP(D481,[3]Extended!$B$9:$M$101,12,FALSE)))),0)</f>
        <v>1339550</v>
      </c>
      <c r="P481" s="116">
        <f t="shared" si="36"/>
        <v>0.27</v>
      </c>
      <c r="Q481" s="110" t="e">
        <f>O481-#REF!</f>
        <v>#REF!</v>
      </c>
      <c r="W481" s="311"/>
      <c r="X481" s="311"/>
      <c r="Y481" s="311"/>
      <c r="Z481" s="311"/>
      <c r="AA481" s="311"/>
      <c r="AB481" s="311"/>
      <c r="AC481" s="311"/>
      <c r="AT481" s="88" t="str">
        <f t="shared" si="37"/>
        <v>KP0006352017Q214,7</v>
      </c>
      <c r="AU481" s="89" t="str">
        <f t="shared" si="38"/>
        <v>05-2017</v>
      </c>
      <c r="BA481" s="92" t="str">
        <f t="shared" si="39"/>
        <v>WIP - 30 Days</v>
      </c>
    </row>
    <row r="482" spans="2:53">
      <c r="B482" s="60">
        <f>[2]Trucks!A479</f>
        <v>47053</v>
      </c>
      <c r="C482" s="11" t="str">
        <f>[2]Trucks!B479</f>
        <v>TGS-26-4806X4BLS-LX</v>
      </c>
      <c r="D482" s="19" t="str">
        <f>IFERROR(VLOOKUP(C482&amp;"",'[2]Retail Price List'!$A$3:$B$103,2,FALSE),"Special Order")</f>
        <v>KP000635</v>
      </c>
      <c r="E482" s="18" t="str">
        <f>[2]Trucks!J479</f>
        <v>CKD</v>
      </c>
      <c r="F482" s="12" t="str">
        <f>[2]Trucks!E479</f>
        <v>2017-11-2</v>
      </c>
      <c r="G482" s="56">
        <f>[2]Trucks!K479</f>
        <v>14.7</v>
      </c>
      <c r="H482" s="46">
        <f>[2]Trucks!I479</f>
        <v>42859</v>
      </c>
      <c r="I482" s="83" t="str">
        <f t="shared" si="35"/>
        <v>2017Q2</v>
      </c>
      <c r="J482" s="272">
        <f>IFERROR(VLOOKUP((D482&amp;C482)&amp;"",'[2]Retail Price List'!$C$4:$F$102,3,FALSE),"")</f>
        <v>1800000</v>
      </c>
      <c r="K482" s="272">
        <f>IFERROR(IF(BA482="WIP - 30 Days",VLOOKUP(D482,[3]Standard!$B$9:$E$101,4,FALSE),IF(BA482="31-120 Days",VLOOKUP(D482,[3]Standard!$B$9:$F$101,5,FALSE),IF(BA482="121-365 Days",VLOOKUP(D482,[3]Standard!$B$9:$G$101,6,FALSE),VLOOKUP(D482,[3]Standard!$B$9:$H$101,7,FALSE)))),0)</f>
        <v>1334880</v>
      </c>
      <c r="L482" s="272">
        <f>IFERROR(IF(BA482="WIP - 30 Days",VLOOKUP(D482,[3]Standard!$B$9:$J$101,9,FALSE),IF(BA482="31-120 Days",VLOOKUP(D482,[3]Standard!$B$9:$K$100,10,FALSE),IF(BA482="121-365 Days",VLOOKUP(D482,[3]Standard!$B$9:$L$101,11,FALSE),VLOOKUP(D482,[3]Standard!$B$9:$M$101,12,FALSE)))),0)</f>
        <v>1296000</v>
      </c>
      <c r="M482" s="269">
        <f>IFERROR(VLOOKUP((D482&amp;C482)&amp;"",'[2]Retail Price List'!$C$4:$F$102,4,FALSE),"")</f>
        <v>1835000</v>
      </c>
      <c r="N482" s="269">
        <f>IFERROR(IF(BA482="WIP - 30 Days",VLOOKUP(D482,[3]Extended!$B$9:$E$101,4,FALSE),IF(BA482="31-120 Days",VLOOKUP(D482,[3]Extended!$B$9:$F$101,5,FALSE),IF(BA482="121-365 Days",VLOOKUP(D482,[3]Extended!$B$9:$G$101,6,FALSE),VLOOKUP(D482,[3]Extended!$B$9:$H$101,7,FALSE)))),0)</f>
        <v>1379736.5</v>
      </c>
      <c r="O482" s="269">
        <f>IFERROR(IF(BA482="WIP - 30 Days",VLOOKUP(D482,[3]Extended!$B$9:$J$101,9,FALSE),IF(BA482="31-120 Days",VLOOKUP(D482,[3]Extended!$B$9:$K$101,10,FALSE),IF(BA482="121-365 Days",VLOOKUP(D482,[3]Extended!$B$9:$L$101,11,FALSE),VLOOKUP(D482,[3]Extended!$B$9:$M$101,12,FALSE)))),0)</f>
        <v>1339550</v>
      </c>
      <c r="P482" s="116">
        <f t="shared" si="36"/>
        <v>0.27</v>
      </c>
      <c r="Q482" s="110" t="e">
        <f>O482-#REF!</f>
        <v>#REF!</v>
      </c>
      <c r="W482" s="311"/>
      <c r="X482" s="311"/>
      <c r="Y482" s="311"/>
      <c r="Z482" s="311"/>
      <c r="AA482" s="311"/>
      <c r="AB482" s="311"/>
      <c r="AC482" s="311"/>
      <c r="AT482" s="88" t="str">
        <f t="shared" si="37"/>
        <v>KP0006352017Q214,7</v>
      </c>
      <c r="AU482" s="89" t="str">
        <f t="shared" si="38"/>
        <v>05-2017</v>
      </c>
      <c r="BA482" s="92" t="str">
        <f t="shared" si="39"/>
        <v>WIP - 30 Days</v>
      </c>
    </row>
    <row r="483" spans="2:53">
      <c r="B483" s="60">
        <f>[2]Trucks!A480</f>
        <v>47054</v>
      </c>
      <c r="C483" s="11" t="str">
        <f>[2]Trucks!B480</f>
        <v>TGS-26-4806X4BLS-LX</v>
      </c>
      <c r="D483" s="19" t="str">
        <f>IFERROR(VLOOKUP(C483&amp;"",'[2]Retail Price List'!$A$3:$B$103,2,FALSE),"Special Order")</f>
        <v>KP000635</v>
      </c>
      <c r="E483" s="18" t="str">
        <f>[2]Trucks!J480</f>
        <v>CKD</v>
      </c>
      <c r="F483" s="12" t="str">
        <f>[2]Trucks!E480</f>
        <v>2017-11-2</v>
      </c>
      <c r="G483" s="56">
        <f>[2]Trucks!K480</f>
        <v>14.7</v>
      </c>
      <c r="H483" s="46">
        <f>[2]Trucks!I480</f>
        <v>42859</v>
      </c>
      <c r="I483" s="83" t="str">
        <f t="shared" si="35"/>
        <v>2017Q2</v>
      </c>
      <c r="J483" s="272">
        <f>IFERROR(VLOOKUP((D483&amp;C483)&amp;"",'[2]Retail Price List'!$C$4:$F$102,3,FALSE),"")</f>
        <v>1800000</v>
      </c>
      <c r="K483" s="272">
        <f>IFERROR(IF(BA483="WIP - 30 Days",VLOOKUP(D483,[3]Standard!$B$9:$E$101,4,FALSE),IF(BA483="31-120 Days",VLOOKUP(D483,[3]Standard!$B$9:$F$101,5,FALSE),IF(BA483="121-365 Days",VLOOKUP(D483,[3]Standard!$B$9:$G$101,6,FALSE),VLOOKUP(D483,[3]Standard!$B$9:$H$101,7,FALSE)))),0)</f>
        <v>1334880</v>
      </c>
      <c r="L483" s="272">
        <f>IFERROR(IF(BA483="WIP - 30 Days",VLOOKUP(D483,[3]Standard!$B$9:$J$101,9,FALSE),IF(BA483="31-120 Days",VLOOKUP(D483,[3]Standard!$B$9:$K$100,10,FALSE),IF(BA483="121-365 Days",VLOOKUP(D483,[3]Standard!$B$9:$L$101,11,FALSE),VLOOKUP(D483,[3]Standard!$B$9:$M$101,12,FALSE)))),0)</f>
        <v>1296000</v>
      </c>
      <c r="M483" s="269">
        <f>IFERROR(VLOOKUP((D483&amp;C483)&amp;"",'[2]Retail Price List'!$C$4:$F$102,4,FALSE),"")</f>
        <v>1835000</v>
      </c>
      <c r="N483" s="269">
        <f>IFERROR(IF(BA483="WIP - 30 Days",VLOOKUP(D483,[3]Extended!$B$9:$E$101,4,FALSE),IF(BA483="31-120 Days",VLOOKUP(D483,[3]Extended!$B$9:$F$101,5,FALSE),IF(BA483="121-365 Days",VLOOKUP(D483,[3]Extended!$B$9:$G$101,6,FALSE),VLOOKUP(D483,[3]Extended!$B$9:$H$101,7,FALSE)))),0)</f>
        <v>1379736.5</v>
      </c>
      <c r="O483" s="269">
        <f>IFERROR(IF(BA483="WIP - 30 Days",VLOOKUP(D483,[3]Extended!$B$9:$J$101,9,FALSE),IF(BA483="31-120 Days",VLOOKUP(D483,[3]Extended!$B$9:$K$101,10,FALSE),IF(BA483="121-365 Days",VLOOKUP(D483,[3]Extended!$B$9:$L$101,11,FALSE),VLOOKUP(D483,[3]Extended!$B$9:$M$101,12,FALSE)))),0)</f>
        <v>1339550</v>
      </c>
      <c r="P483" s="116">
        <f t="shared" si="36"/>
        <v>0.27</v>
      </c>
      <c r="Q483" s="110" t="e">
        <f>O483-#REF!</f>
        <v>#REF!</v>
      </c>
      <c r="W483" s="311"/>
      <c r="X483" s="311"/>
      <c r="Y483" s="311"/>
      <c r="Z483" s="311"/>
      <c r="AA483" s="311"/>
      <c r="AB483" s="311"/>
      <c r="AC483" s="311"/>
      <c r="AT483" s="88" t="str">
        <f t="shared" si="37"/>
        <v>KP0006352017Q214,7</v>
      </c>
      <c r="AU483" s="89" t="str">
        <f t="shared" si="38"/>
        <v>05-2017</v>
      </c>
      <c r="BA483" s="92" t="str">
        <f t="shared" si="39"/>
        <v>WIP - 30 Days</v>
      </c>
    </row>
    <row r="484" spans="2:53">
      <c r="B484" s="60">
        <f>[2]Trucks!A481</f>
        <v>47055</v>
      </c>
      <c r="C484" s="11" t="str">
        <f>[2]Trucks!B481</f>
        <v>TGS-26-4806X4BLS-LX</v>
      </c>
      <c r="D484" s="19" t="str">
        <f>IFERROR(VLOOKUP(C484&amp;"",'[2]Retail Price List'!$A$3:$B$103,2,FALSE),"Special Order")</f>
        <v>KP000635</v>
      </c>
      <c r="E484" s="18" t="str">
        <f>[2]Trucks!J481</f>
        <v>CKD</v>
      </c>
      <c r="F484" s="12" t="str">
        <f>[2]Trucks!E481</f>
        <v>2017-11-3</v>
      </c>
      <c r="G484" s="56">
        <f>[2]Trucks!K481</f>
        <v>14.7</v>
      </c>
      <c r="H484" s="46">
        <f>[2]Trucks!I481</f>
        <v>42859</v>
      </c>
      <c r="I484" s="83" t="str">
        <f t="shared" si="35"/>
        <v>2017Q2</v>
      </c>
      <c r="J484" s="272">
        <f>IFERROR(VLOOKUP((D484&amp;C484)&amp;"",'[2]Retail Price List'!$C$4:$F$102,3,FALSE),"")</f>
        <v>1800000</v>
      </c>
      <c r="K484" s="272">
        <f>IFERROR(IF(BA484="WIP - 30 Days",VLOOKUP(D484,[3]Standard!$B$9:$E$101,4,FALSE),IF(BA484="31-120 Days",VLOOKUP(D484,[3]Standard!$B$9:$F$101,5,FALSE),IF(BA484="121-365 Days",VLOOKUP(D484,[3]Standard!$B$9:$G$101,6,FALSE),VLOOKUP(D484,[3]Standard!$B$9:$H$101,7,FALSE)))),0)</f>
        <v>1334880</v>
      </c>
      <c r="L484" s="272">
        <f>IFERROR(IF(BA484="WIP - 30 Days",VLOOKUP(D484,[3]Standard!$B$9:$J$101,9,FALSE),IF(BA484="31-120 Days",VLOOKUP(D484,[3]Standard!$B$9:$K$100,10,FALSE),IF(BA484="121-365 Days",VLOOKUP(D484,[3]Standard!$B$9:$L$101,11,FALSE),VLOOKUP(D484,[3]Standard!$B$9:$M$101,12,FALSE)))),0)</f>
        <v>1296000</v>
      </c>
      <c r="M484" s="269">
        <f>IFERROR(VLOOKUP((D484&amp;C484)&amp;"",'[2]Retail Price List'!$C$4:$F$102,4,FALSE),"")</f>
        <v>1835000</v>
      </c>
      <c r="N484" s="269">
        <f>IFERROR(IF(BA484="WIP - 30 Days",VLOOKUP(D484,[3]Extended!$B$9:$E$101,4,FALSE),IF(BA484="31-120 Days",VLOOKUP(D484,[3]Extended!$B$9:$F$101,5,FALSE),IF(BA484="121-365 Days",VLOOKUP(D484,[3]Extended!$B$9:$G$101,6,FALSE),VLOOKUP(D484,[3]Extended!$B$9:$H$101,7,FALSE)))),0)</f>
        <v>1379736.5</v>
      </c>
      <c r="O484" s="269">
        <f>IFERROR(IF(BA484="WIP - 30 Days",VLOOKUP(D484,[3]Extended!$B$9:$J$101,9,FALSE),IF(BA484="31-120 Days",VLOOKUP(D484,[3]Extended!$B$9:$K$101,10,FALSE),IF(BA484="121-365 Days",VLOOKUP(D484,[3]Extended!$B$9:$L$101,11,FALSE),VLOOKUP(D484,[3]Extended!$B$9:$M$101,12,FALSE)))),0)</f>
        <v>1339550</v>
      </c>
      <c r="P484" s="116">
        <f t="shared" si="36"/>
        <v>0.27</v>
      </c>
      <c r="Q484" s="110" t="e">
        <f>O484-#REF!</f>
        <v>#REF!</v>
      </c>
      <c r="W484" s="311"/>
      <c r="X484" s="311"/>
      <c r="Y484" s="311"/>
      <c r="Z484" s="311"/>
      <c r="AA484" s="311"/>
      <c r="AB484" s="311"/>
      <c r="AC484" s="311"/>
      <c r="AT484" s="88" t="str">
        <f t="shared" si="37"/>
        <v>KP0006352017Q214,7</v>
      </c>
      <c r="AU484" s="89" t="str">
        <f t="shared" si="38"/>
        <v>05-2017</v>
      </c>
      <c r="BA484" s="92" t="str">
        <f t="shared" si="39"/>
        <v>WIP - 30 Days</v>
      </c>
    </row>
    <row r="485" spans="2:53">
      <c r="B485" s="60" t="str">
        <f>[2]Trucks!A482</f>
        <v>TBAKP635</v>
      </c>
      <c r="C485" s="11" t="str">
        <f>[2]Trucks!B482</f>
        <v>TGS-26-4806X4BLS-LX</v>
      </c>
      <c r="D485" s="19" t="str">
        <f>IFERROR(VLOOKUP(C485&amp;"",'[2]Retail Price List'!$A$3:$B$103,2,FALSE),"Special Order")</f>
        <v>KP000635</v>
      </c>
      <c r="E485" s="18" t="str">
        <f>[2]Trucks!J482</f>
        <v>CKD</v>
      </c>
      <c r="F485" s="12" t="str">
        <f>[2]Trucks!E482</f>
        <v>2018-02-15</v>
      </c>
      <c r="G485" s="56">
        <f>[2]Trucks!K482</f>
        <v>14.7</v>
      </c>
      <c r="H485" s="46">
        <f>[2]Trucks!I482</f>
        <v>42921</v>
      </c>
      <c r="I485" s="83" t="str">
        <f t="shared" si="35"/>
        <v>2017Q3</v>
      </c>
      <c r="J485" s="272">
        <f>IFERROR(VLOOKUP((D485&amp;C485)&amp;"",'[2]Retail Price List'!$C$4:$F$102,3,FALSE),"")</f>
        <v>1800000</v>
      </c>
      <c r="K485" s="272">
        <f>IFERROR(IF(BA485="WIP - 30 Days",VLOOKUP(D485,[3]Standard!$B$9:$E$101,4,FALSE),IF(BA485="31-120 Days",VLOOKUP(D485,[3]Standard!$B$9:$F$101,5,FALSE),IF(BA485="121-365 Days",VLOOKUP(D485,[3]Standard!$B$9:$G$101,6,FALSE),VLOOKUP(D485,[3]Standard!$B$9:$H$101,7,FALSE)))),0)</f>
        <v>1334880</v>
      </c>
      <c r="L485" s="272">
        <f>IFERROR(IF(BA485="WIP - 30 Days",VLOOKUP(D485,[3]Standard!$B$9:$J$101,9,FALSE),IF(BA485="31-120 Days",VLOOKUP(D485,[3]Standard!$B$9:$K$100,10,FALSE),IF(BA485="121-365 Days",VLOOKUP(D485,[3]Standard!$B$9:$L$101,11,FALSE),VLOOKUP(D485,[3]Standard!$B$9:$M$101,12,FALSE)))),0)</f>
        <v>1296000</v>
      </c>
      <c r="M485" s="269">
        <f>IFERROR(VLOOKUP((D485&amp;C485)&amp;"",'[2]Retail Price List'!$C$4:$F$102,4,FALSE),"")</f>
        <v>1835000</v>
      </c>
      <c r="N485" s="269">
        <f>IFERROR(IF(BA485="WIP - 30 Days",VLOOKUP(D485,[3]Extended!$B$9:$E$101,4,FALSE),IF(BA485="31-120 Days",VLOOKUP(D485,[3]Extended!$B$9:$F$101,5,FALSE),IF(BA485="121-365 Days",VLOOKUP(D485,[3]Extended!$B$9:$G$101,6,FALSE),VLOOKUP(D485,[3]Extended!$B$9:$H$101,7,FALSE)))),0)</f>
        <v>1379736.5</v>
      </c>
      <c r="O485" s="269">
        <f>IFERROR(IF(BA485="WIP - 30 Days",VLOOKUP(D485,[3]Extended!$B$9:$J$101,9,FALSE),IF(BA485="31-120 Days",VLOOKUP(D485,[3]Extended!$B$9:$K$101,10,FALSE),IF(BA485="121-365 Days",VLOOKUP(D485,[3]Extended!$B$9:$L$101,11,FALSE),VLOOKUP(D485,[3]Extended!$B$9:$M$101,12,FALSE)))),0)</f>
        <v>1339550</v>
      </c>
      <c r="P485" s="116">
        <f t="shared" si="36"/>
        <v>0.27</v>
      </c>
      <c r="Q485" s="110" t="e">
        <f>O485-#REF!</f>
        <v>#REF!</v>
      </c>
      <c r="W485" s="311"/>
      <c r="X485" s="311"/>
      <c r="Y485" s="311"/>
      <c r="Z485" s="311"/>
      <c r="AA485" s="311"/>
      <c r="AB485" s="311"/>
      <c r="AC485" s="311"/>
      <c r="AT485" s="88" t="str">
        <f t="shared" si="37"/>
        <v>KP0006352017Q314,7</v>
      </c>
      <c r="AU485" s="89" t="str">
        <f t="shared" si="38"/>
        <v>07-2017</v>
      </c>
      <c r="BA485" s="92" t="str">
        <f t="shared" si="39"/>
        <v>WIP - 30 Days</v>
      </c>
    </row>
    <row r="486" spans="2:53">
      <c r="B486" s="60">
        <f>[2]Trucks!A483</f>
        <v>47412</v>
      </c>
      <c r="C486" s="11" t="str">
        <f>[2]Trucks!B483</f>
        <v>TGS-26-4806X4BLS-LX-EL</v>
      </c>
      <c r="D486" s="19" t="str">
        <f>IFERROR(VLOOKUP(C486&amp;"",'[2]Retail Price List'!$A$3:$B$103,2,FALSE),"Special Order")</f>
        <v>KP000709</v>
      </c>
      <c r="E486" s="18" t="str">
        <f>[2]Trucks!J483</f>
        <v>CKD</v>
      </c>
      <c r="F486" s="12" t="str">
        <f>[2]Trucks!E483</f>
        <v>2017-11-10</v>
      </c>
      <c r="G486" s="56">
        <f>[2]Trucks!K483</f>
        <v>14.7</v>
      </c>
      <c r="H486" s="46">
        <f>[2]Trucks!I483</f>
        <v>42937</v>
      </c>
      <c r="I486" s="83" t="str">
        <f t="shared" si="35"/>
        <v>2017Q3</v>
      </c>
      <c r="J486" s="272">
        <f>IFERROR(VLOOKUP((D486&amp;C486)&amp;"",'[2]Retail Price List'!$C$4:$F$102,3,FALSE),"")</f>
        <v>1860000</v>
      </c>
      <c r="K486" s="272">
        <f>IFERROR(IF(BA486="WIP - 30 Days",VLOOKUP(D486,[3]Standard!$B$9:$E$101,4,FALSE),IF(BA486="31-120 Days",VLOOKUP(D486,[3]Standard!$B$9:$F$101,5,FALSE),IF(BA486="121-365 Days",VLOOKUP(D486,[3]Standard!$B$9:$G$101,6,FALSE),VLOOKUP(D486,[3]Standard!$B$9:$H$101,7,FALSE)))),0)</f>
        <v>1341060</v>
      </c>
      <c r="L486" s="272">
        <f>IFERROR(IF(BA486="WIP - 30 Days",VLOOKUP(D486,[3]Standard!$B$9:$J$101,9,FALSE),IF(BA486="31-120 Days",VLOOKUP(D486,[3]Standard!$B$9:$K$100,10,FALSE),IF(BA486="121-365 Days",VLOOKUP(D486,[3]Standard!$B$9:$L$101,11,FALSE),VLOOKUP(D486,[3]Standard!$B$9:$M$101,12,FALSE)))),0)</f>
        <v>1302000</v>
      </c>
      <c r="M486" s="269">
        <f>IFERROR(VLOOKUP((D486&amp;C486)&amp;"",'[2]Retail Price List'!$C$4:$F$102,4,FALSE),"")</f>
        <v>1895000</v>
      </c>
      <c r="N486" s="269">
        <f>IFERROR(IF(BA486="WIP - 30 Days",VLOOKUP(D486,[3]Extended!$B$9:$E$101,4,FALSE),IF(BA486="31-120 Days",VLOOKUP(D486,[3]Extended!$B$9:$F$101,5,FALSE),IF(BA486="121-365 Days",VLOOKUP(D486,[3]Extended!$B$9:$G$101,6,FALSE),VLOOKUP(D486,[3]Extended!$B$9:$H$101,7,FALSE)))),0)</f>
        <v>1444369</v>
      </c>
      <c r="O486" s="269">
        <f>IFERROR(IF(BA486="WIP - 30 Days",VLOOKUP(D486,[3]Extended!$B$9:$J$101,9,FALSE),IF(BA486="31-120 Days",VLOOKUP(D486,[3]Extended!$B$9:$K$101,10,FALSE),IF(BA486="121-365 Days",VLOOKUP(D486,[3]Extended!$B$9:$L$101,11,FALSE),VLOOKUP(D486,[3]Extended!$B$9:$M$101,12,FALSE)))),0)</f>
        <v>1402300</v>
      </c>
      <c r="P486" s="116">
        <f t="shared" si="36"/>
        <v>0.26</v>
      </c>
      <c r="Q486" s="110" t="e">
        <f>O486-#REF!</f>
        <v>#REF!</v>
      </c>
      <c r="W486" s="311"/>
      <c r="X486" s="311"/>
      <c r="Y486" s="311"/>
      <c r="Z486" s="311"/>
      <c r="AA486" s="311"/>
      <c r="AB486" s="311"/>
      <c r="AC486" s="311"/>
      <c r="AT486" s="88" t="str">
        <f t="shared" si="37"/>
        <v>KP0007092017Q314,7</v>
      </c>
      <c r="AU486" s="89" t="str">
        <f t="shared" si="38"/>
        <v>07-2017</v>
      </c>
      <c r="BA486" s="92" t="str">
        <f t="shared" si="39"/>
        <v>WIP - 30 Days</v>
      </c>
    </row>
    <row r="487" spans="2:53">
      <c r="B487" s="60">
        <f>[2]Trucks!A484</f>
        <v>47413</v>
      </c>
      <c r="C487" s="11" t="str">
        <f>[2]Trucks!B484</f>
        <v>TGS-26-4806X4BLS-LX-EL</v>
      </c>
      <c r="D487" s="19" t="str">
        <f>IFERROR(VLOOKUP(C487&amp;"",'[2]Retail Price List'!$A$3:$B$103,2,FALSE),"Special Order")</f>
        <v>KP000709</v>
      </c>
      <c r="E487" s="18" t="str">
        <f>[2]Trucks!J484</f>
        <v>CKD</v>
      </c>
      <c r="F487" s="12" t="str">
        <f>[2]Trucks!E484</f>
        <v>2017-11-10</v>
      </c>
      <c r="G487" s="56">
        <f>[2]Trucks!K484</f>
        <v>14.7</v>
      </c>
      <c r="H487" s="46">
        <f>[2]Trucks!I484</f>
        <v>42937</v>
      </c>
      <c r="I487" s="83" t="str">
        <f t="shared" si="35"/>
        <v>2017Q3</v>
      </c>
      <c r="J487" s="272">
        <f>IFERROR(VLOOKUP((D487&amp;C487)&amp;"",'[2]Retail Price List'!$C$4:$F$102,3,FALSE),"")</f>
        <v>1860000</v>
      </c>
      <c r="K487" s="272">
        <f>IFERROR(IF(BA487="WIP - 30 Days",VLOOKUP(D487,[3]Standard!$B$9:$E$101,4,FALSE),IF(BA487="31-120 Days",VLOOKUP(D487,[3]Standard!$B$9:$F$101,5,FALSE),IF(BA487="121-365 Days",VLOOKUP(D487,[3]Standard!$B$9:$G$101,6,FALSE),VLOOKUP(D487,[3]Standard!$B$9:$H$101,7,FALSE)))),0)</f>
        <v>1341060</v>
      </c>
      <c r="L487" s="272">
        <f>IFERROR(IF(BA487="WIP - 30 Days",VLOOKUP(D487,[3]Standard!$B$9:$J$101,9,FALSE),IF(BA487="31-120 Days",VLOOKUP(D487,[3]Standard!$B$9:$K$100,10,FALSE),IF(BA487="121-365 Days",VLOOKUP(D487,[3]Standard!$B$9:$L$101,11,FALSE),VLOOKUP(D487,[3]Standard!$B$9:$M$101,12,FALSE)))),0)</f>
        <v>1302000</v>
      </c>
      <c r="M487" s="269">
        <f>IFERROR(VLOOKUP((D487&amp;C487)&amp;"",'[2]Retail Price List'!$C$4:$F$102,4,FALSE),"")</f>
        <v>1895000</v>
      </c>
      <c r="N487" s="269">
        <f>IFERROR(IF(BA487="WIP - 30 Days",VLOOKUP(D487,[3]Extended!$B$9:$E$101,4,FALSE),IF(BA487="31-120 Days",VLOOKUP(D487,[3]Extended!$B$9:$F$101,5,FALSE),IF(BA487="121-365 Days",VLOOKUP(D487,[3]Extended!$B$9:$G$101,6,FALSE),VLOOKUP(D487,[3]Extended!$B$9:$H$101,7,FALSE)))),0)</f>
        <v>1444369</v>
      </c>
      <c r="O487" s="269">
        <f>IFERROR(IF(BA487="WIP - 30 Days",VLOOKUP(D487,[3]Extended!$B$9:$J$101,9,FALSE),IF(BA487="31-120 Days",VLOOKUP(D487,[3]Extended!$B$9:$K$101,10,FALSE),IF(BA487="121-365 Days",VLOOKUP(D487,[3]Extended!$B$9:$L$101,11,FALSE),VLOOKUP(D487,[3]Extended!$B$9:$M$101,12,FALSE)))),0)</f>
        <v>1402300</v>
      </c>
      <c r="P487" s="116">
        <f t="shared" si="36"/>
        <v>0.26</v>
      </c>
      <c r="Q487" s="110" t="e">
        <f>O487-#REF!</f>
        <v>#REF!</v>
      </c>
      <c r="W487" s="311"/>
      <c r="X487" s="311"/>
      <c r="Y487" s="311"/>
      <c r="Z487" s="311"/>
      <c r="AA487" s="311"/>
      <c r="AB487" s="311"/>
      <c r="AC487" s="311"/>
      <c r="AT487" s="88" t="str">
        <f t="shared" si="37"/>
        <v>KP0007092017Q314,7</v>
      </c>
      <c r="AU487" s="89" t="str">
        <f t="shared" si="38"/>
        <v>07-2017</v>
      </c>
      <c r="BA487" s="92" t="str">
        <f t="shared" si="39"/>
        <v>WIP - 30 Days</v>
      </c>
    </row>
    <row r="488" spans="2:53">
      <c r="B488" s="60">
        <f>[2]Trucks!A485</f>
        <v>47414</v>
      </c>
      <c r="C488" s="11" t="str">
        <f>[2]Trucks!B485</f>
        <v>TGS-26-4806X4BLS-LX-EL</v>
      </c>
      <c r="D488" s="19" t="str">
        <f>IFERROR(VLOOKUP(C488&amp;"",'[2]Retail Price List'!$A$3:$B$103,2,FALSE),"Special Order")</f>
        <v>KP000709</v>
      </c>
      <c r="E488" s="18" t="str">
        <f>[2]Trucks!J485</f>
        <v>CKD</v>
      </c>
      <c r="F488" s="12" t="str">
        <f>[2]Trucks!E485</f>
        <v>2017-11-10</v>
      </c>
      <c r="G488" s="56">
        <f>[2]Trucks!K485</f>
        <v>14.7</v>
      </c>
      <c r="H488" s="46">
        <f>[2]Trucks!I485</f>
        <v>42937</v>
      </c>
      <c r="I488" s="83" t="str">
        <f t="shared" si="35"/>
        <v>2017Q3</v>
      </c>
      <c r="J488" s="272">
        <f>IFERROR(VLOOKUP((D488&amp;C488)&amp;"",'[2]Retail Price List'!$C$4:$F$102,3,FALSE),"")</f>
        <v>1860000</v>
      </c>
      <c r="K488" s="272">
        <f>IFERROR(IF(BA488="WIP - 30 Days",VLOOKUP(D488,[3]Standard!$B$9:$E$101,4,FALSE),IF(BA488="31-120 Days",VLOOKUP(D488,[3]Standard!$B$9:$F$101,5,FALSE),IF(BA488="121-365 Days",VLOOKUP(D488,[3]Standard!$B$9:$G$101,6,FALSE),VLOOKUP(D488,[3]Standard!$B$9:$H$101,7,FALSE)))),0)</f>
        <v>1341060</v>
      </c>
      <c r="L488" s="272">
        <f>IFERROR(IF(BA488="WIP - 30 Days",VLOOKUP(D488,[3]Standard!$B$9:$J$101,9,FALSE),IF(BA488="31-120 Days",VLOOKUP(D488,[3]Standard!$B$9:$K$100,10,FALSE),IF(BA488="121-365 Days",VLOOKUP(D488,[3]Standard!$B$9:$L$101,11,FALSE),VLOOKUP(D488,[3]Standard!$B$9:$M$101,12,FALSE)))),0)</f>
        <v>1302000</v>
      </c>
      <c r="M488" s="269">
        <f>IFERROR(VLOOKUP((D488&amp;C488)&amp;"",'[2]Retail Price List'!$C$4:$F$102,4,FALSE),"")</f>
        <v>1895000</v>
      </c>
      <c r="N488" s="269">
        <f>IFERROR(IF(BA488="WIP - 30 Days",VLOOKUP(D488,[3]Extended!$B$9:$E$101,4,FALSE),IF(BA488="31-120 Days",VLOOKUP(D488,[3]Extended!$B$9:$F$101,5,FALSE),IF(BA488="121-365 Days",VLOOKUP(D488,[3]Extended!$B$9:$G$101,6,FALSE),VLOOKUP(D488,[3]Extended!$B$9:$H$101,7,FALSE)))),0)</f>
        <v>1444369</v>
      </c>
      <c r="O488" s="269">
        <f>IFERROR(IF(BA488="WIP - 30 Days",VLOOKUP(D488,[3]Extended!$B$9:$J$101,9,FALSE),IF(BA488="31-120 Days",VLOOKUP(D488,[3]Extended!$B$9:$K$101,10,FALSE),IF(BA488="121-365 Days",VLOOKUP(D488,[3]Extended!$B$9:$L$101,11,FALSE),VLOOKUP(D488,[3]Extended!$B$9:$M$101,12,FALSE)))),0)</f>
        <v>1402300</v>
      </c>
      <c r="P488" s="116">
        <f t="shared" si="36"/>
        <v>0.26</v>
      </c>
      <c r="Q488" s="110" t="e">
        <f>O488-#REF!</f>
        <v>#REF!</v>
      </c>
      <c r="W488" s="311"/>
      <c r="X488" s="311"/>
      <c r="Y488" s="311"/>
      <c r="Z488" s="311"/>
      <c r="AA488" s="311"/>
      <c r="AB488" s="311"/>
      <c r="AC488" s="311"/>
      <c r="AT488" s="88" t="str">
        <f t="shared" si="37"/>
        <v>KP0007092017Q314,7</v>
      </c>
      <c r="AU488" s="89" t="str">
        <f t="shared" si="38"/>
        <v>07-2017</v>
      </c>
      <c r="BA488" s="92" t="str">
        <f t="shared" si="39"/>
        <v>WIP - 30 Days</v>
      </c>
    </row>
    <row r="489" spans="2:53">
      <c r="B489" s="60">
        <f>[2]Trucks!A486</f>
        <v>47415</v>
      </c>
      <c r="C489" s="11" t="str">
        <f>[2]Trucks!B486</f>
        <v>TGS-26-4806X4BLS-LX-EL</v>
      </c>
      <c r="D489" s="19" t="str">
        <f>IFERROR(VLOOKUP(C489&amp;"",'[2]Retail Price List'!$A$3:$B$103,2,FALSE),"Special Order")</f>
        <v>KP000709</v>
      </c>
      <c r="E489" s="18" t="str">
        <f>[2]Trucks!J486</f>
        <v>CKD</v>
      </c>
      <c r="F489" s="12" t="str">
        <f>[2]Trucks!E486</f>
        <v>2017-11-10</v>
      </c>
      <c r="G489" s="56">
        <f>[2]Trucks!K486</f>
        <v>14.7</v>
      </c>
      <c r="H489" s="46">
        <f>[2]Trucks!I486</f>
        <v>42937</v>
      </c>
      <c r="I489" s="83" t="str">
        <f t="shared" si="35"/>
        <v>2017Q3</v>
      </c>
      <c r="J489" s="272">
        <f>IFERROR(VLOOKUP((D489&amp;C489)&amp;"",'[2]Retail Price List'!$C$4:$F$102,3,FALSE),"")</f>
        <v>1860000</v>
      </c>
      <c r="K489" s="272">
        <f>IFERROR(IF(BA489="WIP - 30 Days",VLOOKUP(D489,[3]Standard!$B$9:$E$101,4,FALSE),IF(BA489="31-120 Days",VLOOKUP(D489,[3]Standard!$B$9:$F$101,5,FALSE),IF(BA489="121-365 Days",VLOOKUP(D489,[3]Standard!$B$9:$G$101,6,FALSE),VLOOKUP(D489,[3]Standard!$B$9:$H$101,7,FALSE)))),0)</f>
        <v>1341060</v>
      </c>
      <c r="L489" s="272">
        <f>IFERROR(IF(BA489="WIP - 30 Days",VLOOKUP(D489,[3]Standard!$B$9:$J$101,9,FALSE),IF(BA489="31-120 Days",VLOOKUP(D489,[3]Standard!$B$9:$K$100,10,FALSE),IF(BA489="121-365 Days",VLOOKUP(D489,[3]Standard!$B$9:$L$101,11,FALSE),VLOOKUP(D489,[3]Standard!$B$9:$M$101,12,FALSE)))),0)</f>
        <v>1302000</v>
      </c>
      <c r="M489" s="269">
        <f>IFERROR(VLOOKUP((D489&amp;C489)&amp;"",'[2]Retail Price List'!$C$4:$F$102,4,FALSE),"")</f>
        <v>1895000</v>
      </c>
      <c r="N489" s="269">
        <f>IFERROR(IF(BA489="WIP - 30 Days",VLOOKUP(D489,[3]Extended!$B$9:$E$101,4,FALSE),IF(BA489="31-120 Days",VLOOKUP(D489,[3]Extended!$B$9:$F$101,5,FALSE),IF(BA489="121-365 Days",VLOOKUP(D489,[3]Extended!$B$9:$G$101,6,FALSE),VLOOKUP(D489,[3]Extended!$B$9:$H$101,7,FALSE)))),0)</f>
        <v>1444369</v>
      </c>
      <c r="O489" s="269">
        <f>IFERROR(IF(BA489="WIP - 30 Days",VLOOKUP(D489,[3]Extended!$B$9:$J$101,9,FALSE),IF(BA489="31-120 Days",VLOOKUP(D489,[3]Extended!$B$9:$K$101,10,FALSE),IF(BA489="121-365 Days",VLOOKUP(D489,[3]Extended!$B$9:$L$101,11,FALSE),VLOOKUP(D489,[3]Extended!$B$9:$M$101,12,FALSE)))),0)</f>
        <v>1402300</v>
      </c>
      <c r="P489" s="116">
        <f t="shared" si="36"/>
        <v>0.26</v>
      </c>
      <c r="Q489" s="110" t="e">
        <f>O489-#REF!</f>
        <v>#REF!</v>
      </c>
      <c r="W489" s="311"/>
      <c r="X489" s="311"/>
      <c r="Y489" s="311"/>
      <c r="Z489" s="311"/>
      <c r="AA489" s="311"/>
      <c r="AB489" s="311"/>
      <c r="AC489" s="311"/>
      <c r="AT489" s="88" t="str">
        <f t="shared" si="37"/>
        <v>KP0007092017Q314,7</v>
      </c>
      <c r="AU489" s="89" t="str">
        <f t="shared" si="38"/>
        <v>07-2017</v>
      </c>
      <c r="BA489" s="92" t="str">
        <f t="shared" si="39"/>
        <v>WIP - 30 Days</v>
      </c>
    </row>
    <row r="490" spans="2:53">
      <c r="B490" s="60">
        <f>[2]Trucks!A487</f>
        <v>47416</v>
      </c>
      <c r="C490" s="11" t="str">
        <f>[2]Trucks!B487</f>
        <v>TGS-26-4806X4BLS-LX-EL</v>
      </c>
      <c r="D490" s="19" t="str">
        <f>IFERROR(VLOOKUP(C490&amp;"",'[2]Retail Price List'!$A$3:$B$103,2,FALSE),"Special Order")</f>
        <v>KP000709</v>
      </c>
      <c r="E490" s="18" t="str">
        <f>[2]Trucks!J487</f>
        <v>CKD</v>
      </c>
      <c r="F490" s="12" t="str">
        <f>[2]Trucks!E487</f>
        <v>2017-11-10</v>
      </c>
      <c r="G490" s="56">
        <f>[2]Trucks!K487</f>
        <v>14.7</v>
      </c>
      <c r="H490" s="46">
        <f>[2]Trucks!I487</f>
        <v>42937</v>
      </c>
      <c r="I490" s="83" t="str">
        <f t="shared" si="35"/>
        <v>2017Q3</v>
      </c>
      <c r="J490" s="272">
        <f>IFERROR(VLOOKUP((D490&amp;C490)&amp;"",'[2]Retail Price List'!$C$4:$F$102,3,FALSE),"")</f>
        <v>1860000</v>
      </c>
      <c r="K490" s="272">
        <f>IFERROR(IF(BA490="WIP - 30 Days",VLOOKUP(D490,[3]Standard!$B$9:$E$101,4,FALSE),IF(BA490="31-120 Days",VLOOKUP(D490,[3]Standard!$B$9:$F$101,5,FALSE),IF(BA490="121-365 Days",VLOOKUP(D490,[3]Standard!$B$9:$G$101,6,FALSE),VLOOKUP(D490,[3]Standard!$B$9:$H$101,7,FALSE)))),0)</f>
        <v>1341060</v>
      </c>
      <c r="L490" s="272">
        <f>IFERROR(IF(BA490="WIP - 30 Days",VLOOKUP(D490,[3]Standard!$B$9:$J$101,9,FALSE),IF(BA490="31-120 Days",VLOOKUP(D490,[3]Standard!$B$9:$K$100,10,FALSE),IF(BA490="121-365 Days",VLOOKUP(D490,[3]Standard!$B$9:$L$101,11,FALSE),VLOOKUP(D490,[3]Standard!$B$9:$M$101,12,FALSE)))),0)</f>
        <v>1302000</v>
      </c>
      <c r="M490" s="269">
        <f>IFERROR(VLOOKUP((D490&amp;C490)&amp;"",'[2]Retail Price List'!$C$4:$F$102,4,FALSE),"")</f>
        <v>1895000</v>
      </c>
      <c r="N490" s="269">
        <f>IFERROR(IF(BA490="WIP - 30 Days",VLOOKUP(D490,[3]Extended!$B$9:$E$101,4,FALSE),IF(BA490="31-120 Days",VLOOKUP(D490,[3]Extended!$B$9:$F$101,5,FALSE),IF(BA490="121-365 Days",VLOOKUP(D490,[3]Extended!$B$9:$G$101,6,FALSE),VLOOKUP(D490,[3]Extended!$B$9:$H$101,7,FALSE)))),0)</f>
        <v>1444369</v>
      </c>
      <c r="O490" s="269">
        <f>IFERROR(IF(BA490="WIP - 30 Days",VLOOKUP(D490,[3]Extended!$B$9:$J$101,9,FALSE),IF(BA490="31-120 Days",VLOOKUP(D490,[3]Extended!$B$9:$K$101,10,FALSE),IF(BA490="121-365 Days",VLOOKUP(D490,[3]Extended!$B$9:$L$101,11,FALSE),VLOOKUP(D490,[3]Extended!$B$9:$M$101,12,FALSE)))),0)</f>
        <v>1402300</v>
      </c>
      <c r="P490" s="116">
        <f t="shared" si="36"/>
        <v>0.26</v>
      </c>
      <c r="Q490" s="110" t="e">
        <f>O490-#REF!</f>
        <v>#REF!</v>
      </c>
      <c r="W490" s="311"/>
      <c r="X490" s="311"/>
      <c r="Y490" s="311"/>
      <c r="Z490" s="311"/>
      <c r="AA490" s="311"/>
      <c r="AB490" s="311"/>
      <c r="AC490" s="311"/>
      <c r="AT490" s="88" t="str">
        <f t="shared" si="37"/>
        <v>KP0007092017Q314,7</v>
      </c>
      <c r="AU490" s="89" t="str">
        <f t="shared" si="38"/>
        <v>07-2017</v>
      </c>
      <c r="BA490" s="92" t="str">
        <f t="shared" si="39"/>
        <v>WIP - 30 Days</v>
      </c>
    </row>
    <row r="491" spans="2:53">
      <c r="B491" s="60">
        <f>[2]Trucks!A488</f>
        <v>47417</v>
      </c>
      <c r="C491" s="11" t="str">
        <f>[2]Trucks!B488</f>
        <v>TGS-26-4806X4BLS-LX-EL</v>
      </c>
      <c r="D491" s="19" t="str">
        <f>IFERROR(VLOOKUP(C491&amp;"",'[2]Retail Price List'!$A$3:$B$103,2,FALSE),"Special Order")</f>
        <v>KP000709</v>
      </c>
      <c r="E491" s="18" t="str">
        <f>[2]Trucks!J488</f>
        <v>CKD</v>
      </c>
      <c r="F491" s="12" t="str">
        <f>[2]Trucks!E488</f>
        <v>2017-11-10</v>
      </c>
      <c r="G491" s="56">
        <f>[2]Trucks!K488</f>
        <v>14.7</v>
      </c>
      <c r="H491" s="46">
        <f>[2]Trucks!I488</f>
        <v>42937</v>
      </c>
      <c r="I491" s="83" t="str">
        <f t="shared" si="35"/>
        <v>2017Q3</v>
      </c>
      <c r="J491" s="272">
        <f>IFERROR(VLOOKUP((D491&amp;C491)&amp;"",'[2]Retail Price List'!$C$4:$F$102,3,FALSE),"")</f>
        <v>1860000</v>
      </c>
      <c r="K491" s="272">
        <f>IFERROR(IF(BA491="WIP - 30 Days",VLOOKUP(D491,[3]Standard!$B$9:$E$101,4,FALSE),IF(BA491="31-120 Days",VLOOKUP(D491,[3]Standard!$B$9:$F$101,5,FALSE),IF(BA491="121-365 Days",VLOOKUP(D491,[3]Standard!$B$9:$G$101,6,FALSE),VLOOKUP(D491,[3]Standard!$B$9:$H$101,7,FALSE)))),0)</f>
        <v>1341060</v>
      </c>
      <c r="L491" s="272">
        <f>IFERROR(IF(BA491="WIP - 30 Days",VLOOKUP(D491,[3]Standard!$B$9:$J$101,9,FALSE),IF(BA491="31-120 Days",VLOOKUP(D491,[3]Standard!$B$9:$K$100,10,FALSE),IF(BA491="121-365 Days",VLOOKUP(D491,[3]Standard!$B$9:$L$101,11,FALSE),VLOOKUP(D491,[3]Standard!$B$9:$M$101,12,FALSE)))),0)</f>
        <v>1302000</v>
      </c>
      <c r="M491" s="269">
        <f>IFERROR(VLOOKUP((D491&amp;C491)&amp;"",'[2]Retail Price List'!$C$4:$F$102,4,FALSE),"")</f>
        <v>1895000</v>
      </c>
      <c r="N491" s="269">
        <f>IFERROR(IF(BA491="WIP - 30 Days",VLOOKUP(D491,[3]Extended!$B$9:$E$101,4,FALSE),IF(BA491="31-120 Days",VLOOKUP(D491,[3]Extended!$B$9:$F$101,5,FALSE),IF(BA491="121-365 Days",VLOOKUP(D491,[3]Extended!$B$9:$G$101,6,FALSE),VLOOKUP(D491,[3]Extended!$B$9:$H$101,7,FALSE)))),0)</f>
        <v>1444369</v>
      </c>
      <c r="O491" s="269">
        <f>IFERROR(IF(BA491="WIP - 30 Days",VLOOKUP(D491,[3]Extended!$B$9:$J$101,9,FALSE),IF(BA491="31-120 Days",VLOOKUP(D491,[3]Extended!$B$9:$K$101,10,FALSE),IF(BA491="121-365 Days",VLOOKUP(D491,[3]Extended!$B$9:$L$101,11,FALSE),VLOOKUP(D491,[3]Extended!$B$9:$M$101,12,FALSE)))),0)</f>
        <v>1402300</v>
      </c>
      <c r="P491" s="116">
        <f t="shared" si="36"/>
        <v>0.26</v>
      </c>
      <c r="Q491" s="110" t="e">
        <f>O491-#REF!</f>
        <v>#REF!</v>
      </c>
      <c r="W491" s="311"/>
      <c r="X491" s="311"/>
      <c r="Y491" s="311"/>
      <c r="Z491" s="311"/>
      <c r="AA491" s="311"/>
      <c r="AB491" s="311"/>
      <c r="AC491" s="311"/>
      <c r="AT491" s="88" t="str">
        <f t="shared" si="37"/>
        <v>KP0007092017Q314,7</v>
      </c>
      <c r="AU491" s="89" t="str">
        <f t="shared" si="38"/>
        <v>07-2017</v>
      </c>
      <c r="BA491" s="92" t="str">
        <f t="shared" si="39"/>
        <v>WIP - 30 Days</v>
      </c>
    </row>
    <row r="492" spans="2:53">
      <c r="B492" s="60">
        <f>[2]Trucks!A489</f>
        <v>47418</v>
      </c>
      <c r="C492" s="11" t="str">
        <f>[2]Trucks!B489</f>
        <v>TGS-26-4806X4BLS-LX-EL</v>
      </c>
      <c r="D492" s="19" t="str">
        <f>IFERROR(VLOOKUP(C492&amp;"",'[2]Retail Price List'!$A$3:$B$103,2,FALSE),"Special Order")</f>
        <v>KP000709</v>
      </c>
      <c r="E492" s="18" t="str">
        <f>[2]Trucks!J489</f>
        <v>CKD</v>
      </c>
      <c r="F492" s="12" t="str">
        <f>[2]Trucks!E489</f>
        <v>2017-11-10</v>
      </c>
      <c r="G492" s="56">
        <f>[2]Trucks!K489</f>
        <v>14.7</v>
      </c>
      <c r="H492" s="46">
        <f>[2]Trucks!I489</f>
        <v>42937</v>
      </c>
      <c r="I492" s="83" t="str">
        <f t="shared" si="35"/>
        <v>2017Q3</v>
      </c>
      <c r="J492" s="272">
        <f>IFERROR(VLOOKUP((D492&amp;C492)&amp;"",'[2]Retail Price List'!$C$4:$F$102,3,FALSE),"")</f>
        <v>1860000</v>
      </c>
      <c r="K492" s="272">
        <f>IFERROR(IF(BA492="WIP - 30 Days",VLOOKUP(D492,[3]Standard!$B$9:$E$101,4,FALSE),IF(BA492="31-120 Days",VLOOKUP(D492,[3]Standard!$B$9:$F$101,5,FALSE),IF(BA492="121-365 Days",VLOOKUP(D492,[3]Standard!$B$9:$G$101,6,FALSE),VLOOKUP(D492,[3]Standard!$B$9:$H$101,7,FALSE)))),0)</f>
        <v>1341060</v>
      </c>
      <c r="L492" s="272">
        <f>IFERROR(IF(BA492="WIP - 30 Days",VLOOKUP(D492,[3]Standard!$B$9:$J$101,9,FALSE),IF(BA492="31-120 Days",VLOOKUP(D492,[3]Standard!$B$9:$K$100,10,FALSE),IF(BA492="121-365 Days",VLOOKUP(D492,[3]Standard!$B$9:$L$101,11,FALSE),VLOOKUP(D492,[3]Standard!$B$9:$M$101,12,FALSE)))),0)</f>
        <v>1302000</v>
      </c>
      <c r="M492" s="269">
        <f>IFERROR(VLOOKUP((D492&amp;C492)&amp;"",'[2]Retail Price List'!$C$4:$F$102,4,FALSE),"")</f>
        <v>1895000</v>
      </c>
      <c r="N492" s="269">
        <f>IFERROR(IF(BA492="WIP - 30 Days",VLOOKUP(D492,[3]Extended!$B$9:$E$101,4,FALSE),IF(BA492="31-120 Days",VLOOKUP(D492,[3]Extended!$B$9:$F$101,5,FALSE),IF(BA492="121-365 Days",VLOOKUP(D492,[3]Extended!$B$9:$G$101,6,FALSE),VLOOKUP(D492,[3]Extended!$B$9:$H$101,7,FALSE)))),0)</f>
        <v>1444369</v>
      </c>
      <c r="O492" s="269">
        <f>IFERROR(IF(BA492="WIP - 30 Days",VLOOKUP(D492,[3]Extended!$B$9:$J$101,9,FALSE),IF(BA492="31-120 Days",VLOOKUP(D492,[3]Extended!$B$9:$K$101,10,FALSE),IF(BA492="121-365 Days",VLOOKUP(D492,[3]Extended!$B$9:$L$101,11,FALSE),VLOOKUP(D492,[3]Extended!$B$9:$M$101,12,FALSE)))),0)</f>
        <v>1402300</v>
      </c>
      <c r="P492" s="116">
        <f t="shared" si="36"/>
        <v>0.26</v>
      </c>
      <c r="Q492" s="110" t="e">
        <f>O492-#REF!</f>
        <v>#REF!</v>
      </c>
      <c r="W492" s="311"/>
      <c r="X492" s="311"/>
      <c r="Y492" s="311"/>
      <c r="Z492" s="311"/>
      <c r="AA492" s="311"/>
      <c r="AB492" s="311"/>
      <c r="AC492" s="311"/>
      <c r="AT492" s="88" t="str">
        <f t="shared" si="37"/>
        <v>KP0007092017Q314,7</v>
      </c>
      <c r="AU492" s="89" t="str">
        <f t="shared" si="38"/>
        <v>07-2017</v>
      </c>
      <c r="BA492" s="92" t="str">
        <f t="shared" si="39"/>
        <v>WIP - 30 Days</v>
      </c>
    </row>
    <row r="493" spans="2:53">
      <c r="B493" s="60">
        <f>[2]Trucks!A490</f>
        <v>47419</v>
      </c>
      <c r="C493" s="11" t="str">
        <f>[2]Trucks!B490</f>
        <v>TGS-26-4806X4BLS-LX-EL</v>
      </c>
      <c r="D493" s="19" t="str">
        <f>IFERROR(VLOOKUP(C493&amp;"",'[2]Retail Price List'!$A$3:$B$103,2,FALSE),"Special Order")</f>
        <v>KP000709</v>
      </c>
      <c r="E493" s="18" t="str">
        <f>[2]Trucks!J490</f>
        <v>CKD</v>
      </c>
      <c r="F493" s="12" t="str">
        <f>[2]Trucks!E490</f>
        <v>2017-11-10</v>
      </c>
      <c r="G493" s="56">
        <f>[2]Trucks!K490</f>
        <v>14.7</v>
      </c>
      <c r="H493" s="46">
        <f>[2]Trucks!I490</f>
        <v>42937</v>
      </c>
      <c r="I493" s="83" t="str">
        <f t="shared" si="35"/>
        <v>2017Q3</v>
      </c>
      <c r="J493" s="272">
        <f>IFERROR(VLOOKUP((D493&amp;C493)&amp;"",'[2]Retail Price List'!$C$4:$F$102,3,FALSE),"")</f>
        <v>1860000</v>
      </c>
      <c r="K493" s="272">
        <f>IFERROR(IF(BA493="WIP - 30 Days",VLOOKUP(D493,[3]Standard!$B$9:$E$101,4,FALSE),IF(BA493="31-120 Days",VLOOKUP(D493,[3]Standard!$B$9:$F$101,5,FALSE),IF(BA493="121-365 Days",VLOOKUP(D493,[3]Standard!$B$9:$G$101,6,FALSE),VLOOKUP(D493,[3]Standard!$B$9:$H$101,7,FALSE)))),0)</f>
        <v>1341060</v>
      </c>
      <c r="L493" s="272">
        <f>IFERROR(IF(BA493="WIP - 30 Days",VLOOKUP(D493,[3]Standard!$B$9:$J$101,9,FALSE),IF(BA493="31-120 Days",VLOOKUP(D493,[3]Standard!$B$9:$K$100,10,FALSE),IF(BA493="121-365 Days",VLOOKUP(D493,[3]Standard!$B$9:$L$101,11,FALSE),VLOOKUP(D493,[3]Standard!$B$9:$M$101,12,FALSE)))),0)</f>
        <v>1302000</v>
      </c>
      <c r="M493" s="269">
        <f>IFERROR(VLOOKUP((D493&amp;C493)&amp;"",'[2]Retail Price List'!$C$4:$F$102,4,FALSE),"")</f>
        <v>1895000</v>
      </c>
      <c r="N493" s="269">
        <f>IFERROR(IF(BA493="WIP - 30 Days",VLOOKUP(D493,[3]Extended!$B$9:$E$101,4,FALSE),IF(BA493="31-120 Days",VLOOKUP(D493,[3]Extended!$B$9:$F$101,5,FALSE),IF(BA493="121-365 Days",VLOOKUP(D493,[3]Extended!$B$9:$G$101,6,FALSE),VLOOKUP(D493,[3]Extended!$B$9:$H$101,7,FALSE)))),0)</f>
        <v>1444369</v>
      </c>
      <c r="O493" s="269">
        <f>IFERROR(IF(BA493="WIP - 30 Days",VLOOKUP(D493,[3]Extended!$B$9:$J$101,9,FALSE),IF(BA493="31-120 Days",VLOOKUP(D493,[3]Extended!$B$9:$K$101,10,FALSE),IF(BA493="121-365 Days",VLOOKUP(D493,[3]Extended!$B$9:$L$101,11,FALSE),VLOOKUP(D493,[3]Extended!$B$9:$M$101,12,FALSE)))),0)</f>
        <v>1402300</v>
      </c>
      <c r="P493" s="116">
        <f t="shared" si="36"/>
        <v>0.26</v>
      </c>
      <c r="Q493" s="110" t="e">
        <f>O493-#REF!</f>
        <v>#REF!</v>
      </c>
      <c r="W493" s="311"/>
      <c r="X493" s="311"/>
      <c r="Y493" s="311"/>
      <c r="Z493" s="311"/>
      <c r="AA493" s="311"/>
      <c r="AB493" s="311"/>
      <c r="AC493" s="311"/>
      <c r="AT493" s="88" t="str">
        <f t="shared" si="37"/>
        <v>KP0007092017Q314,7</v>
      </c>
      <c r="AU493" s="89" t="str">
        <f t="shared" si="38"/>
        <v>07-2017</v>
      </c>
      <c r="BA493" s="92" t="str">
        <f t="shared" si="39"/>
        <v>WIP - 30 Days</v>
      </c>
    </row>
    <row r="494" spans="2:53">
      <c r="B494" s="60">
        <f>[2]Trucks!A491</f>
        <v>47420</v>
      </c>
      <c r="C494" s="11" t="str">
        <f>[2]Trucks!B491</f>
        <v>TGS-26-4806X4BLS-LX-EL</v>
      </c>
      <c r="D494" s="19" t="str">
        <f>IFERROR(VLOOKUP(C494&amp;"",'[2]Retail Price List'!$A$3:$B$103,2,FALSE),"Special Order")</f>
        <v>KP000709</v>
      </c>
      <c r="E494" s="18" t="str">
        <f>[2]Trucks!J491</f>
        <v>CKD</v>
      </c>
      <c r="F494" s="12" t="str">
        <f>[2]Trucks!E491</f>
        <v>2017-11-15</v>
      </c>
      <c r="G494" s="56">
        <f>[2]Trucks!K491</f>
        <v>14.7</v>
      </c>
      <c r="H494" s="46">
        <f>[2]Trucks!I491</f>
        <v>42937</v>
      </c>
      <c r="I494" s="83" t="str">
        <f t="shared" si="35"/>
        <v>2017Q3</v>
      </c>
      <c r="J494" s="272">
        <f>IFERROR(VLOOKUP((D494&amp;C494)&amp;"",'[2]Retail Price List'!$C$4:$F$102,3,FALSE),"")</f>
        <v>1860000</v>
      </c>
      <c r="K494" s="272">
        <f>IFERROR(IF(BA494="WIP - 30 Days",VLOOKUP(D494,[3]Standard!$B$9:$E$101,4,FALSE),IF(BA494="31-120 Days",VLOOKUP(D494,[3]Standard!$B$9:$F$101,5,FALSE),IF(BA494="121-365 Days",VLOOKUP(D494,[3]Standard!$B$9:$G$101,6,FALSE),VLOOKUP(D494,[3]Standard!$B$9:$H$101,7,FALSE)))),0)</f>
        <v>1341060</v>
      </c>
      <c r="L494" s="272">
        <f>IFERROR(IF(BA494="WIP - 30 Days",VLOOKUP(D494,[3]Standard!$B$9:$J$101,9,FALSE),IF(BA494="31-120 Days",VLOOKUP(D494,[3]Standard!$B$9:$K$100,10,FALSE),IF(BA494="121-365 Days",VLOOKUP(D494,[3]Standard!$B$9:$L$101,11,FALSE),VLOOKUP(D494,[3]Standard!$B$9:$M$101,12,FALSE)))),0)</f>
        <v>1302000</v>
      </c>
      <c r="M494" s="269">
        <f>IFERROR(VLOOKUP((D494&amp;C494)&amp;"",'[2]Retail Price List'!$C$4:$F$102,4,FALSE),"")</f>
        <v>1895000</v>
      </c>
      <c r="N494" s="269">
        <f>IFERROR(IF(BA494="WIP - 30 Days",VLOOKUP(D494,[3]Extended!$B$9:$E$101,4,FALSE),IF(BA494="31-120 Days",VLOOKUP(D494,[3]Extended!$B$9:$F$101,5,FALSE),IF(BA494="121-365 Days",VLOOKUP(D494,[3]Extended!$B$9:$G$101,6,FALSE),VLOOKUP(D494,[3]Extended!$B$9:$H$101,7,FALSE)))),0)</f>
        <v>1444369</v>
      </c>
      <c r="O494" s="269">
        <f>IFERROR(IF(BA494="WIP - 30 Days",VLOOKUP(D494,[3]Extended!$B$9:$J$101,9,FALSE),IF(BA494="31-120 Days",VLOOKUP(D494,[3]Extended!$B$9:$K$101,10,FALSE),IF(BA494="121-365 Days",VLOOKUP(D494,[3]Extended!$B$9:$L$101,11,FALSE),VLOOKUP(D494,[3]Extended!$B$9:$M$101,12,FALSE)))),0)</f>
        <v>1402300</v>
      </c>
      <c r="P494" s="116">
        <f t="shared" si="36"/>
        <v>0.26</v>
      </c>
      <c r="Q494" s="110" t="e">
        <f>O494-#REF!</f>
        <v>#REF!</v>
      </c>
      <c r="W494" s="311"/>
      <c r="X494" s="311"/>
      <c r="Y494" s="311"/>
      <c r="Z494" s="311"/>
      <c r="AA494" s="311"/>
      <c r="AB494" s="311"/>
      <c r="AC494" s="311"/>
      <c r="AT494" s="88" t="str">
        <f t="shared" si="37"/>
        <v>KP0007092017Q314,7</v>
      </c>
      <c r="AU494" s="89" t="str">
        <f t="shared" si="38"/>
        <v>07-2017</v>
      </c>
      <c r="BA494" s="92" t="str">
        <f t="shared" si="39"/>
        <v>WIP - 30 Days</v>
      </c>
    </row>
    <row r="495" spans="2:53">
      <c r="B495" s="60">
        <f>[2]Trucks!A492</f>
        <v>47421</v>
      </c>
      <c r="C495" s="11" t="str">
        <f>[2]Trucks!B492</f>
        <v>TGS-26-4806X4BLS-LX-EL</v>
      </c>
      <c r="D495" s="19" t="str">
        <f>IFERROR(VLOOKUP(C495&amp;"",'[2]Retail Price List'!$A$3:$B$103,2,FALSE),"Special Order")</f>
        <v>KP000709</v>
      </c>
      <c r="E495" s="18" t="str">
        <f>[2]Trucks!J492</f>
        <v>CKD</v>
      </c>
      <c r="F495" s="12" t="str">
        <f>[2]Trucks!E492</f>
        <v>2017-11-15</v>
      </c>
      <c r="G495" s="56">
        <f>[2]Trucks!K492</f>
        <v>14.7</v>
      </c>
      <c r="H495" s="46">
        <f>[2]Trucks!I492</f>
        <v>42937</v>
      </c>
      <c r="I495" s="83" t="str">
        <f t="shared" si="35"/>
        <v>2017Q3</v>
      </c>
      <c r="J495" s="272">
        <f>IFERROR(VLOOKUP((D495&amp;C495)&amp;"",'[2]Retail Price List'!$C$4:$F$102,3,FALSE),"")</f>
        <v>1860000</v>
      </c>
      <c r="K495" s="272">
        <f>IFERROR(IF(BA495="WIP - 30 Days",VLOOKUP(D495,[3]Standard!$B$9:$E$101,4,FALSE),IF(BA495="31-120 Days",VLOOKUP(D495,[3]Standard!$B$9:$F$101,5,FALSE),IF(BA495="121-365 Days",VLOOKUP(D495,[3]Standard!$B$9:$G$101,6,FALSE),VLOOKUP(D495,[3]Standard!$B$9:$H$101,7,FALSE)))),0)</f>
        <v>1341060</v>
      </c>
      <c r="L495" s="272">
        <f>IFERROR(IF(BA495="WIP - 30 Days",VLOOKUP(D495,[3]Standard!$B$9:$J$101,9,FALSE),IF(BA495="31-120 Days",VLOOKUP(D495,[3]Standard!$B$9:$K$100,10,FALSE),IF(BA495="121-365 Days",VLOOKUP(D495,[3]Standard!$B$9:$L$101,11,FALSE),VLOOKUP(D495,[3]Standard!$B$9:$M$101,12,FALSE)))),0)</f>
        <v>1302000</v>
      </c>
      <c r="M495" s="269">
        <f>IFERROR(VLOOKUP((D495&amp;C495)&amp;"",'[2]Retail Price List'!$C$4:$F$102,4,FALSE),"")</f>
        <v>1895000</v>
      </c>
      <c r="N495" s="269">
        <f>IFERROR(IF(BA495="WIP - 30 Days",VLOOKUP(D495,[3]Extended!$B$9:$E$101,4,FALSE),IF(BA495="31-120 Days",VLOOKUP(D495,[3]Extended!$B$9:$F$101,5,FALSE),IF(BA495="121-365 Days",VLOOKUP(D495,[3]Extended!$B$9:$G$101,6,FALSE),VLOOKUP(D495,[3]Extended!$B$9:$H$101,7,FALSE)))),0)</f>
        <v>1444369</v>
      </c>
      <c r="O495" s="269">
        <f>IFERROR(IF(BA495="WIP - 30 Days",VLOOKUP(D495,[3]Extended!$B$9:$J$101,9,FALSE),IF(BA495="31-120 Days",VLOOKUP(D495,[3]Extended!$B$9:$K$101,10,FALSE),IF(BA495="121-365 Days",VLOOKUP(D495,[3]Extended!$B$9:$L$101,11,FALSE),VLOOKUP(D495,[3]Extended!$B$9:$M$101,12,FALSE)))),0)</f>
        <v>1402300</v>
      </c>
      <c r="P495" s="116">
        <f t="shared" si="36"/>
        <v>0.26</v>
      </c>
      <c r="Q495" s="110" t="e">
        <f>O495-#REF!</f>
        <v>#REF!</v>
      </c>
      <c r="W495" s="311"/>
      <c r="X495" s="311"/>
      <c r="Y495" s="311"/>
      <c r="Z495" s="311"/>
      <c r="AA495" s="311"/>
      <c r="AB495" s="311"/>
      <c r="AC495" s="311"/>
      <c r="AT495" s="88" t="str">
        <f t="shared" si="37"/>
        <v>KP0007092017Q314,7</v>
      </c>
      <c r="AU495" s="89" t="str">
        <f t="shared" si="38"/>
        <v>07-2017</v>
      </c>
      <c r="BA495" s="92" t="str">
        <f t="shared" si="39"/>
        <v>WIP - 30 Days</v>
      </c>
    </row>
    <row r="496" spans="2:53">
      <c r="B496" s="60">
        <f>[2]Trucks!A493</f>
        <v>47422</v>
      </c>
      <c r="C496" s="11" t="str">
        <f>[2]Trucks!B493</f>
        <v>TGS-26-4806X4BLS-LX-EL</v>
      </c>
      <c r="D496" s="19" t="str">
        <f>IFERROR(VLOOKUP(C496&amp;"",'[2]Retail Price List'!$A$3:$B$103,2,FALSE),"Special Order")</f>
        <v>KP000709</v>
      </c>
      <c r="E496" s="18" t="str">
        <f>[2]Trucks!J493</f>
        <v>CKD</v>
      </c>
      <c r="F496" s="12" t="str">
        <f>[2]Trucks!E493</f>
        <v>2017-11-15</v>
      </c>
      <c r="G496" s="56">
        <f>[2]Trucks!K493</f>
        <v>14.7</v>
      </c>
      <c r="H496" s="46">
        <f>[2]Trucks!I493</f>
        <v>42937</v>
      </c>
      <c r="I496" s="83" t="str">
        <f t="shared" si="35"/>
        <v>2017Q3</v>
      </c>
      <c r="J496" s="272">
        <f>IFERROR(VLOOKUP((D496&amp;C496)&amp;"",'[2]Retail Price List'!$C$4:$F$102,3,FALSE),"")</f>
        <v>1860000</v>
      </c>
      <c r="K496" s="272">
        <f>IFERROR(IF(BA496="WIP - 30 Days",VLOOKUP(D496,[3]Standard!$B$9:$E$101,4,FALSE),IF(BA496="31-120 Days",VLOOKUP(D496,[3]Standard!$B$9:$F$101,5,FALSE),IF(BA496="121-365 Days",VLOOKUP(D496,[3]Standard!$B$9:$G$101,6,FALSE),VLOOKUP(D496,[3]Standard!$B$9:$H$101,7,FALSE)))),0)</f>
        <v>1341060</v>
      </c>
      <c r="L496" s="272">
        <f>IFERROR(IF(BA496="WIP - 30 Days",VLOOKUP(D496,[3]Standard!$B$9:$J$101,9,FALSE),IF(BA496="31-120 Days",VLOOKUP(D496,[3]Standard!$B$9:$K$100,10,FALSE),IF(BA496="121-365 Days",VLOOKUP(D496,[3]Standard!$B$9:$L$101,11,FALSE),VLOOKUP(D496,[3]Standard!$B$9:$M$101,12,FALSE)))),0)</f>
        <v>1302000</v>
      </c>
      <c r="M496" s="269">
        <f>IFERROR(VLOOKUP((D496&amp;C496)&amp;"",'[2]Retail Price List'!$C$4:$F$102,4,FALSE),"")</f>
        <v>1895000</v>
      </c>
      <c r="N496" s="269">
        <f>IFERROR(IF(BA496="WIP - 30 Days",VLOOKUP(D496,[3]Extended!$B$9:$E$101,4,FALSE),IF(BA496="31-120 Days",VLOOKUP(D496,[3]Extended!$B$9:$F$101,5,FALSE),IF(BA496="121-365 Days",VLOOKUP(D496,[3]Extended!$B$9:$G$101,6,FALSE),VLOOKUP(D496,[3]Extended!$B$9:$H$101,7,FALSE)))),0)</f>
        <v>1444369</v>
      </c>
      <c r="O496" s="269">
        <f>IFERROR(IF(BA496="WIP - 30 Days",VLOOKUP(D496,[3]Extended!$B$9:$J$101,9,FALSE),IF(BA496="31-120 Days",VLOOKUP(D496,[3]Extended!$B$9:$K$101,10,FALSE),IF(BA496="121-365 Days",VLOOKUP(D496,[3]Extended!$B$9:$L$101,11,FALSE),VLOOKUP(D496,[3]Extended!$B$9:$M$101,12,FALSE)))),0)</f>
        <v>1402300</v>
      </c>
      <c r="P496" s="116">
        <f t="shared" si="36"/>
        <v>0.26</v>
      </c>
      <c r="Q496" s="110" t="e">
        <f>O496-#REF!</f>
        <v>#REF!</v>
      </c>
      <c r="W496" s="311"/>
      <c r="X496" s="311"/>
      <c r="Y496" s="311"/>
      <c r="Z496" s="311"/>
      <c r="AA496" s="311"/>
      <c r="AB496" s="311"/>
      <c r="AC496" s="311"/>
      <c r="AT496" s="88" t="str">
        <f t="shared" si="37"/>
        <v>KP0007092017Q314,7</v>
      </c>
      <c r="AU496" s="89" t="str">
        <f t="shared" si="38"/>
        <v>07-2017</v>
      </c>
      <c r="BA496" s="92" t="str">
        <f t="shared" si="39"/>
        <v>WIP - 30 Days</v>
      </c>
    </row>
    <row r="497" spans="2:53">
      <c r="B497" s="60">
        <f>[2]Trucks!A494</f>
        <v>47423</v>
      </c>
      <c r="C497" s="11" t="str">
        <f>[2]Trucks!B494</f>
        <v>TGS-26-4806X4BLS-LX-EL</v>
      </c>
      <c r="D497" s="19" t="str">
        <f>IFERROR(VLOOKUP(C497&amp;"",'[2]Retail Price List'!$A$3:$B$103,2,FALSE),"Special Order")</f>
        <v>KP000709</v>
      </c>
      <c r="E497" s="18" t="str">
        <f>[2]Trucks!J494</f>
        <v>CKD</v>
      </c>
      <c r="F497" s="12" t="str">
        <f>[2]Trucks!E494</f>
        <v>2017-11-15</v>
      </c>
      <c r="G497" s="56">
        <f>[2]Trucks!K494</f>
        <v>14.7</v>
      </c>
      <c r="H497" s="46">
        <f>[2]Trucks!I494</f>
        <v>42937</v>
      </c>
      <c r="I497" s="83" t="str">
        <f t="shared" si="35"/>
        <v>2017Q3</v>
      </c>
      <c r="J497" s="272">
        <f>IFERROR(VLOOKUP((D497&amp;C497)&amp;"",'[2]Retail Price List'!$C$4:$F$102,3,FALSE),"")</f>
        <v>1860000</v>
      </c>
      <c r="K497" s="272">
        <f>IFERROR(IF(BA497="WIP - 30 Days",VLOOKUP(D497,[3]Standard!$B$9:$E$101,4,FALSE),IF(BA497="31-120 Days",VLOOKUP(D497,[3]Standard!$B$9:$F$101,5,FALSE),IF(BA497="121-365 Days",VLOOKUP(D497,[3]Standard!$B$9:$G$101,6,FALSE),VLOOKUP(D497,[3]Standard!$B$9:$H$101,7,FALSE)))),0)</f>
        <v>1341060</v>
      </c>
      <c r="L497" s="272">
        <f>IFERROR(IF(BA497="WIP - 30 Days",VLOOKUP(D497,[3]Standard!$B$9:$J$101,9,FALSE),IF(BA497="31-120 Days",VLOOKUP(D497,[3]Standard!$B$9:$K$100,10,FALSE),IF(BA497="121-365 Days",VLOOKUP(D497,[3]Standard!$B$9:$L$101,11,FALSE),VLOOKUP(D497,[3]Standard!$B$9:$M$101,12,FALSE)))),0)</f>
        <v>1302000</v>
      </c>
      <c r="M497" s="269">
        <f>IFERROR(VLOOKUP((D497&amp;C497)&amp;"",'[2]Retail Price List'!$C$4:$F$102,4,FALSE),"")</f>
        <v>1895000</v>
      </c>
      <c r="N497" s="269">
        <f>IFERROR(IF(BA497="WIP - 30 Days",VLOOKUP(D497,[3]Extended!$B$9:$E$101,4,FALSE),IF(BA497="31-120 Days",VLOOKUP(D497,[3]Extended!$B$9:$F$101,5,FALSE),IF(BA497="121-365 Days",VLOOKUP(D497,[3]Extended!$B$9:$G$101,6,FALSE),VLOOKUP(D497,[3]Extended!$B$9:$H$101,7,FALSE)))),0)</f>
        <v>1444369</v>
      </c>
      <c r="O497" s="269">
        <f>IFERROR(IF(BA497="WIP - 30 Days",VLOOKUP(D497,[3]Extended!$B$9:$J$101,9,FALSE),IF(BA497="31-120 Days",VLOOKUP(D497,[3]Extended!$B$9:$K$101,10,FALSE),IF(BA497="121-365 Days",VLOOKUP(D497,[3]Extended!$B$9:$L$101,11,FALSE),VLOOKUP(D497,[3]Extended!$B$9:$M$101,12,FALSE)))),0)</f>
        <v>1402300</v>
      </c>
      <c r="P497" s="116">
        <f t="shared" si="36"/>
        <v>0.26</v>
      </c>
      <c r="Q497" s="110" t="e">
        <f>O497-#REF!</f>
        <v>#REF!</v>
      </c>
      <c r="W497" s="311"/>
      <c r="X497" s="311"/>
      <c r="Y497" s="311"/>
      <c r="Z497" s="311"/>
      <c r="AA497" s="311"/>
      <c r="AB497" s="311"/>
      <c r="AC497" s="311"/>
      <c r="AT497" s="88" t="str">
        <f t="shared" si="37"/>
        <v>KP0007092017Q314,7</v>
      </c>
      <c r="AU497" s="89" t="str">
        <f t="shared" si="38"/>
        <v>07-2017</v>
      </c>
      <c r="BA497" s="92" t="str">
        <f t="shared" si="39"/>
        <v>WIP - 30 Days</v>
      </c>
    </row>
    <row r="498" spans="2:53">
      <c r="B498" s="60">
        <f>[2]Trucks!A495</f>
        <v>47424</v>
      </c>
      <c r="C498" s="11" t="str">
        <f>[2]Trucks!B495</f>
        <v>TGS-26-4806X4BLS-LX-EL</v>
      </c>
      <c r="D498" s="19" t="str">
        <f>IFERROR(VLOOKUP(C498&amp;"",'[2]Retail Price List'!$A$3:$B$103,2,FALSE),"Special Order")</f>
        <v>KP000709</v>
      </c>
      <c r="E498" s="18" t="str">
        <f>[2]Trucks!J495</f>
        <v>CKD</v>
      </c>
      <c r="F498" s="12" t="str">
        <f>[2]Trucks!E495</f>
        <v>2017-11-15</v>
      </c>
      <c r="G498" s="56">
        <f>[2]Trucks!K495</f>
        <v>14.7</v>
      </c>
      <c r="H498" s="46">
        <f>[2]Trucks!I495</f>
        <v>42937</v>
      </c>
      <c r="I498" s="83" t="str">
        <f t="shared" si="35"/>
        <v>2017Q3</v>
      </c>
      <c r="J498" s="272">
        <f>IFERROR(VLOOKUP((D498&amp;C498)&amp;"",'[2]Retail Price List'!$C$4:$F$102,3,FALSE),"")</f>
        <v>1860000</v>
      </c>
      <c r="K498" s="272">
        <f>IFERROR(IF(BA498="WIP - 30 Days",VLOOKUP(D498,[3]Standard!$B$9:$E$101,4,FALSE),IF(BA498="31-120 Days",VLOOKUP(D498,[3]Standard!$B$9:$F$101,5,FALSE),IF(BA498="121-365 Days",VLOOKUP(D498,[3]Standard!$B$9:$G$101,6,FALSE),VLOOKUP(D498,[3]Standard!$B$9:$H$101,7,FALSE)))),0)</f>
        <v>1341060</v>
      </c>
      <c r="L498" s="272">
        <f>IFERROR(IF(BA498="WIP - 30 Days",VLOOKUP(D498,[3]Standard!$B$9:$J$101,9,FALSE),IF(BA498="31-120 Days",VLOOKUP(D498,[3]Standard!$B$9:$K$100,10,FALSE),IF(BA498="121-365 Days",VLOOKUP(D498,[3]Standard!$B$9:$L$101,11,FALSE),VLOOKUP(D498,[3]Standard!$B$9:$M$101,12,FALSE)))),0)</f>
        <v>1302000</v>
      </c>
      <c r="M498" s="269">
        <f>IFERROR(VLOOKUP((D498&amp;C498)&amp;"",'[2]Retail Price List'!$C$4:$F$102,4,FALSE),"")</f>
        <v>1895000</v>
      </c>
      <c r="N498" s="269">
        <f>IFERROR(IF(BA498="WIP - 30 Days",VLOOKUP(D498,[3]Extended!$B$9:$E$101,4,FALSE),IF(BA498="31-120 Days",VLOOKUP(D498,[3]Extended!$B$9:$F$101,5,FALSE),IF(BA498="121-365 Days",VLOOKUP(D498,[3]Extended!$B$9:$G$101,6,FALSE),VLOOKUP(D498,[3]Extended!$B$9:$H$101,7,FALSE)))),0)</f>
        <v>1444369</v>
      </c>
      <c r="O498" s="269">
        <f>IFERROR(IF(BA498="WIP - 30 Days",VLOOKUP(D498,[3]Extended!$B$9:$J$101,9,FALSE),IF(BA498="31-120 Days",VLOOKUP(D498,[3]Extended!$B$9:$K$101,10,FALSE),IF(BA498="121-365 Days",VLOOKUP(D498,[3]Extended!$B$9:$L$101,11,FALSE),VLOOKUP(D498,[3]Extended!$B$9:$M$101,12,FALSE)))),0)</f>
        <v>1402300</v>
      </c>
      <c r="P498" s="116">
        <f t="shared" si="36"/>
        <v>0.26</v>
      </c>
      <c r="Q498" s="110" t="e">
        <f>O498-#REF!</f>
        <v>#REF!</v>
      </c>
      <c r="W498" s="311"/>
      <c r="X498" s="311"/>
      <c r="Y498" s="311"/>
      <c r="Z498" s="311"/>
      <c r="AA498" s="311"/>
      <c r="AB498" s="311"/>
      <c r="AC498" s="311"/>
      <c r="AT498" s="88" t="str">
        <f t="shared" si="37"/>
        <v>KP0007092017Q314,7</v>
      </c>
      <c r="AU498" s="89" t="str">
        <f t="shared" si="38"/>
        <v>07-2017</v>
      </c>
      <c r="BA498" s="92" t="str">
        <f t="shared" si="39"/>
        <v>WIP - 30 Days</v>
      </c>
    </row>
    <row r="499" spans="2:53">
      <c r="B499" s="60">
        <f>[2]Trucks!A496</f>
        <v>47425</v>
      </c>
      <c r="C499" s="11" t="str">
        <f>[2]Trucks!B496</f>
        <v>TGS-26-4806X4BLS-LX-EL</v>
      </c>
      <c r="D499" s="19" t="str">
        <f>IFERROR(VLOOKUP(C499&amp;"",'[2]Retail Price List'!$A$3:$B$103,2,FALSE),"Special Order")</f>
        <v>KP000709</v>
      </c>
      <c r="E499" s="18" t="str">
        <f>[2]Trucks!J496</f>
        <v>CKD</v>
      </c>
      <c r="F499" s="12" t="str">
        <f>[2]Trucks!E496</f>
        <v>2017-11-15</v>
      </c>
      <c r="G499" s="56">
        <f>[2]Trucks!K496</f>
        <v>14.7</v>
      </c>
      <c r="H499" s="46">
        <f>[2]Trucks!I496</f>
        <v>42937</v>
      </c>
      <c r="I499" s="83" t="str">
        <f t="shared" si="35"/>
        <v>2017Q3</v>
      </c>
      <c r="J499" s="272">
        <f>IFERROR(VLOOKUP((D499&amp;C499)&amp;"",'[2]Retail Price List'!$C$4:$F$102,3,FALSE),"")</f>
        <v>1860000</v>
      </c>
      <c r="K499" s="272">
        <f>IFERROR(IF(BA499="WIP - 30 Days",VLOOKUP(D499,[3]Standard!$B$9:$E$101,4,FALSE),IF(BA499="31-120 Days",VLOOKUP(D499,[3]Standard!$B$9:$F$101,5,FALSE),IF(BA499="121-365 Days",VLOOKUP(D499,[3]Standard!$B$9:$G$101,6,FALSE),VLOOKUP(D499,[3]Standard!$B$9:$H$101,7,FALSE)))),0)</f>
        <v>1341060</v>
      </c>
      <c r="L499" s="272">
        <f>IFERROR(IF(BA499="WIP - 30 Days",VLOOKUP(D499,[3]Standard!$B$9:$J$101,9,FALSE),IF(BA499="31-120 Days",VLOOKUP(D499,[3]Standard!$B$9:$K$100,10,FALSE),IF(BA499="121-365 Days",VLOOKUP(D499,[3]Standard!$B$9:$L$101,11,FALSE),VLOOKUP(D499,[3]Standard!$B$9:$M$101,12,FALSE)))),0)</f>
        <v>1302000</v>
      </c>
      <c r="M499" s="269">
        <f>IFERROR(VLOOKUP((D499&amp;C499)&amp;"",'[2]Retail Price List'!$C$4:$F$102,4,FALSE),"")</f>
        <v>1895000</v>
      </c>
      <c r="N499" s="269">
        <f>IFERROR(IF(BA499="WIP - 30 Days",VLOOKUP(D499,[3]Extended!$B$9:$E$101,4,FALSE),IF(BA499="31-120 Days",VLOOKUP(D499,[3]Extended!$B$9:$F$101,5,FALSE),IF(BA499="121-365 Days",VLOOKUP(D499,[3]Extended!$B$9:$G$101,6,FALSE),VLOOKUP(D499,[3]Extended!$B$9:$H$101,7,FALSE)))),0)</f>
        <v>1444369</v>
      </c>
      <c r="O499" s="269">
        <f>IFERROR(IF(BA499="WIP - 30 Days",VLOOKUP(D499,[3]Extended!$B$9:$J$101,9,FALSE),IF(BA499="31-120 Days",VLOOKUP(D499,[3]Extended!$B$9:$K$101,10,FALSE),IF(BA499="121-365 Days",VLOOKUP(D499,[3]Extended!$B$9:$L$101,11,FALSE),VLOOKUP(D499,[3]Extended!$B$9:$M$101,12,FALSE)))),0)</f>
        <v>1402300</v>
      </c>
      <c r="P499" s="116">
        <f t="shared" si="36"/>
        <v>0.26</v>
      </c>
      <c r="Q499" s="110" t="e">
        <f>O499-#REF!</f>
        <v>#REF!</v>
      </c>
      <c r="W499" s="311"/>
      <c r="X499" s="311"/>
      <c r="Y499" s="311"/>
      <c r="Z499" s="311"/>
      <c r="AA499" s="311"/>
      <c r="AB499" s="311"/>
      <c r="AC499" s="311"/>
      <c r="AT499" s="88" t="str">
        <f t="shared" si="37"/>
        <v>KP0007092017Q314,7</v>
      </c>
      <c r="AU499" s="89" t="str">
        <f t="shared" si="38"/>
        <v>07-2017</v>
      </c>
      <c r="BA499" s="92" t="str">
        <f t="shared" si="39"/>
        <v>WIP - 30 Days</v>
      </c>
    </row>
    <row r="500" spans="2:53">
      <c r="B500" s="60">
        <f>[2]Trucks!A497</f>
        <v>47426</v>
      </c>
      <c r="C500" s="11" t="str">
        <f>[2]Trucks!B497</f>
        <v>TGS-26-4806X4BLS-LX-EL</v>
      </c>
      <c r="D500" s="19" t="str">
        <f>IFERROR(VLOOKUP(C500&amp;"",'[2]Retail Price List'!$A$3:$B$103,2,FALSE),"Special Order")</f>
        <v>KP000709</v>
      </c>
      <c r="E500" s="18" t="str">
        <f>[2]Trucks!J497</f>
        <v>CKD</v>
      </c>
      <c r="F500" s="12" t="str">
        <f>[2]Trucks!E497</f>
        <v>2017-11-15</v>
      </c>
      <c r="G500" s="56">
        <f>[2]Trucks!K497</f>
        <v>14.7</v>
      </c>
      <c r="H500" s="46">
        <f>[2]Trucks!I497</f>
        <v>42937</v>
      </c>
      <c r="I500" s="83" t="str">
        <f t="shared" si="35"/>
        <v>2017Q3</v>
      </c>
      <c r="J500" s="272">
        <f>IFERROR(VLOOKUP((D500&amp;C500)&amp;"",'[2]Retail Price List'!$C$4:$F$102,3,FALSE),"")</f>
        <v>1860000</v>
      </c>
      <c r="K500" s="272">
        <f>IFERROR(IF(BA500="WIP - 30 Days",VLOOKUP(D500,[3]Standard!$B$9:$E$101,4,FALSE),IF(BA500="31-120 Days",VLOOKUP(D500,[3]Standard!$B$9:$F$101,5,FALSE),IF(BA500="121-365 Days",VLOOKUP(D500,[3]Standard!$B$9:$G$101,6,FALSE),VLOOKUP(D500,[3]Standard!$B$9:$H$101,7,FALSE)))),0)</f>
        <v>1341060</v>
      </c>
      <c r="L500" s="272">
        <f>IFERROR(IF(BA500="WIP - 30 Days",VLOOKUP(D500,[3]Standard!$B$9:$J$101,9,FALSE),IF(BA500="31-120 Days",VLOOKUP(D500,[3]Standard!$B$9:$K$100,10,FALSE),IF(BA500="121-365 Days",VLOOKUP(D500,[3]Standard!$B$9:$L$101,11,FALSE),VLOOKUP(D500,[3]Standard!$B$9:$M$101,12,FALSE)))),0)</f>
        <v>1302000</v>
      </c>
      <c r="M500" s="269">
        <f>IFERROR(VLOOKUP((D500&amp;C500)&amp;"",'[2]Retail Price List'!$C$4:$F$102,4,FALSE),"")</f>
        <v>1895000</v>
      </c>
      <c r="N500" s="269">
        <f>IFERROR(IF(BA500="WIP - 30 Days",VLOOKUP(D500,[3]Extended!$B$9:$E$101,4,FALSE),IF(BA500="31-120 Days",VLOOKUP(D500,[3]Extended!$B$9:$F$101,5,FALSE),IF(BA500="121-365 Days",VLOOKUP(D500,[3]Extended!$B$9:$G$101,6,FALSE),VLOOKUP(D500,[3]Extended!$B$9:$H$101,7,FALSE)))),0)</f>
        <v>1444369</v>
      </c>
      <c r="O500" s="269">
        <f>IFERROR(IF(BA500="WIP - 30 Days",VLOOKUP(D500,[3]Extended!$B$9:$J$101,9,FALSE),IF(BA500="31-120 Days",VLOOKUP(D500,[3]Extended!$B$9:$K$101,10,FALSE),IF(BA500="121-365 Days",VLOOKUP(D500,[3]Extended!$B$9:$L$101,11,FALSE),VLOOKUP(D500,[3]Extended!$B$9:$M$101,12,FALSE)))),0)</f>
        <v>1402300</v>
      </c>
      <c r="P500" s="116">
        <f t="shared" si="36"/>
        <v>0.26</v>
      </c>
      <c r="Q500" s="110" t="e">
        <f>O500-#REF!</f>
        <v>#REF!</v>
      </c>
      <c r="W500" s="311"/>
      <c r="X500" s="311"/>
      <c r="Y500" s="311"/>
      <c r="Z500" s="311"/>
      <c r="AA500" s="311"/>
      <c r="AB500" s="311"/>
      <c r="AC500" s="311"/>
      <c r="AT500" s="88" t="str">
        <f t="shared" si="37"/>
        <v>KP0007092017Q314,7</v>
      </c>
      <c r="AU500" s="89" t="str">
        <f t="shared" si="38"/>
        <v>07-2017</v>
      </c>
      <c r="BA500" s="92" t="str">
        <f t="shared" si="39"/>
        <v>WIP - 30 Days</v>
      </c>
    </row>
    <row r="501" spans="2:53">
      <c r="B501" s="60">
        <f>[2]Trucks!A498</f>
        <v>47427</v>
      </c>
      <c r="C501" s="11" t="str">
        <f>[2]Trucks!B498</f>
        <v>TGS-26-4806X4BLS-LX-EL</v>
      </c>
      <c r="D501" s="19" t="str">
        <f>IFERROR(VLOOKUP(C501&amp;"",'[2]Retail Price List'!$A$3:$B$103,2,FALSE),"Special Order")</f>
        <v>KP000709</v>
      </c>
      <c r="E501" s="18" t="str">
        <f>[2]Trucks!J498</f>
        <v>CKD</v>
      </c>
      <c r="F501" s="12" t="str">
        <f>[2]Trucks!E498</f>
        <v>2017-11-15</v>
      </c>
      <c r="G501" s="56">
        <f>[2]Trucks!K498</f>
        <v>14.7</v>
      </c>
      <c r="H501" s="46">
        <f>[2]Trucks!I498</f>
        <v>42937</v>
      </c>
      <c r="I501" s="83" t="str">
        <f t="shared" si="35"/>
        <v>2017Q3</v>
      </c>
      <c r="J501" s="272">
        <f>IFERROR(VLOOKUP((D501&amp;C501)&amp;"",'[2]Retail Price List'!$C$4:$F$102,3,FALSE),"")</f>
        <v>1860000</v>
      </c>
      <c r="K501" s="272">
        <f>IFERROR(IF(BA501="WIP - 30 Days",VLOOKUP(D501,[3]Standard!$B$9:$E$101,4,FALSE),IF(BA501="31-120 Days",VLOOKUP(D501,[3]Standard!$B$9:$F$101,5,FALSE),IF(BA501="121-365 Days",VLOOKUP(D501,[3]Standard!$B$9:$G$101,6,FALSE),VLOOKUP(D501,[3]Standard!$B$9:$H$101,7,FALSE)))),0)</f>
        <v>1341060</v>
      </c>
      <c r="L501" s="272">
        <f>IFERROR(IF(BA501="WIP - 30 Days",VLOOKUP(D501,[3]Standard!$B$9:$J$101,9,FALSE),IF(BA501="31-120 Days",VLOOKUP(D501,[3]Standard!$B$9:$K$100,10,FALSE),IF(BA501="121-365 Days",VLOOKUP(D501,[3]Standard!$B$9:$L$101,11,FALSE),VLOOKUP(D501,[3]Standard!$B$9:$M$101,12,FALSE)))),0)</f>
        <v>1302000</v>
      </c>
      <c r="M501" s="269">
        <f>IFERROR(VLOOKUP((D501&amp;C501)&amp;"",'[2]Retail Price List'!$C$4:$F$102,4,FALSE),"")</f>
        <v>1895000</v>
      </c>
      <c r="N501" s="269">
        <f>IFERROR(IF(BA501="WIP - 30 Days",VLOOKUP(D501,[3]Extended!$B$9:$E$101,4,FALSE),IF(BA501="31-120 Days",VLOOKUP(D501,[3]Extended!$B$9:$F$101,5,FALSE),IF(BA501="121-365 Days",VLOOKUP(D501,[3]Extended!$B$9:$G$101,6,FALSE),VLOOKUP(D501,[3]Extended!$B$9:$H$101,7,FALSE)))),0)</f>
        <v>1444369</v>
      </c>
      <c r="O501" s="269">
        <f>IFERROR(IF(BA501="WIP - 30 Days",VLOOKUP(D501,[3]Extended!$B$9:$J$101,9,FALSE),IF(BA501="31-120 Days",VLOOKUP(D501,[3]Extended!$B$9:$K$101,10,FALSE),IF(BA501="121-365 Days",VLOOKUP(D501,[3]Extended!$B$9:$L$101,11,FALSE),VLOOKUP(D501,[3]Extended!$B$9:$M$101,12,FALSE)))),0)</f>
        <v>1402300</v>
      </c>
      <c r="P501" s="116">
        <f t="shared" si="36"/>
        <v>0.26</v>
      </c>
      <c r="Q501" s="110" t="e">
        <f>O501-#REF!</f>
        <v>#REF!</v>
      </c>
      <c r="W501" s="311"/>
      <c r="X501" s="311"/>
      <c r="Y501" s="311"/>
      <c r="Z501" s="311"/>
      <c r="AA501" s="311"/>
      <c r="AB501" s="311"/>
      <c r="AC501" s="311"/>
      <c r="AT501" s="88" t="str">
        <f t="shared" si="37"/>
        <v>KP0007092017Q314,7</v>
      </c>
      <c r="AU501" s="89" t="str">
        <f t="shared" si="38"/>
        <v>07-2017</v>
      </c>
      <c r="BA501" s="92" t="str">
        <f t="shared" si="39"/>
        <v>WIP - 30 Days</v>
      </c>
    </row>
    <row r="502" spans="2:53">
      <c r="B502" s="60">
        <f>[2]Trucks!A499</f>
        <v>47791</v>
      </c>
      <c r="C502" s="11" t="str">
        <f>[2]Trucks!B499</f>
        <v>TGS-26-4806X4BLS-LX-EL</v>
      </c>
      <c r="D502" s="19" t="str">
        <f>IFERROR(VLOOKUP(C502&amp;"",'[2]Retail Price List'!$A$3:$B$103,2,FALSE),"Special Order")</f>
        <v>KP000709</v>
      </c>
      <c r="E502" s="18" t="str">
        <f>[2]Trucks!J499</f>
        <v>CKD</v>
      </c>
      <c r="F502" s="12" t="str">
        <f>[2]Trucks!E499</f>
        <v>2018-03-10</v>
      </c>
      <c r="G502" s="56">
        <f>[2]Trucks!K499</f>
        <v>14.7</v>
      </c>
      <c r="H502" s="46">
        <f>[2]Trucks!I499</f>
        <v>42947</v>
      </c>
      <c r="I502" s="83" t="str">
        <f t="shared" si="35"/>
        <v>2017Q3</v>
      </c>
      <c r="J502" s="272">
        <f>IFERROR(VLOOKUP((D502&amp;C502)&amp;"",'[2]Retail Price List'!$C$4:$F$102,3,FALSE),"")</f>
        <v>1860000</v>
      </c>
      <c r="K502" s="272">
        <f>IFERROR(IF(BA502="WIP - 30 Days",VLOOKUP(D502,[3]Standard!$B$9:$E$101,4,FALSE),IF(BA502="31-120 Days",VLOOKUP(D502,[3]Standard!$B$9:$F$101,5,FALSE),IF(BA502="121-365 Days",VLOOKUP(D502,[3]Standard!$B$9:$G$101,6,FALSE),VLOOKUP(D502,[3]Standard!$B$9:$H$101,7,FALSE)))),0)</f>
        <v>1341060</v>
      </c>
      <c r="L502" s="272">
        <f>IFERROR(IF(BA502="WIP - 30 Days",VLOOKUP(D502,[3]Standard!$B$9:$J$101,9,FALSE),IF(BA502="31-120 Days",VLOOKUP(D502,[3]Standard!$B$9:$K$100,10,FALSE),IF(BA502="121-365 Days",VLOOKUP(D502,[3]Standard!$B$9:$L$101,11,FALSE),VLOOKUP(D502,[3]Standard!$B$9:$M$101,12,FALSE)))),0)</f>
        <v>1302000</v>
      </c>
      <c r="M502" s="269">
        <f>IFERROR(VLOOKUP((D502&amp;C502)&amp;"",'[2]Retail Price List'!$C$4:$F$102,4,FALSE),"")</f>
        <v>1895000</v>
      </c>
      <c r="N502" s="269">
        <f>IFERROR(IF(BA502="WIP - 30 Days",VLOOKUP(D502,[3]Extended!$B$9:$E$101,4,FALSE),IF(BA502="31-120 Days",VLOOKUP(D502,[3]Extended!$B$9:$F$101,5,FALSE),IF(BA502="121-365 Days",VLOOKUP(D502,[3]Extended!$B$9:$G$101,6,FALSE),VLOOKUP(D502,[3]Extended!$B$9:$H$101,7,FALSE)))),0)</f>
        <v>1444369</v>
      </c>
      <c r="O502" s="269">
        <f>IFERROR(IF(BA502="WIP - 30 Days",VLOOKUP(D502,[3]Extended!$B$9:$J$101,9,FALSE),IF(BA502="31-120 Days",VLOOKUP(D502,[3]Extended!$B$9:$K$101,10,FALSE),IF(BA502="121-365 Days",VLOOKUP(D502,[3]Extended!$B$9:$L$101,11,FALSE),VLOOKUP(D502,[3]Extended!$B$9:$M$101,12,FALSE)))),0)</f>
        <v>1402300</v>
      </c>
      <c r="P502" s="116">
        <f t="shared" si="36"/>
        <v>0.26</v>
      </c>
      <c r="Q502" s="110" t="e">
        <f>O502-#REF!</f>
        <v>#REF!</v>
      </c>
      <c r="W502" s="311"/>
      <c r="X502" s="311"/>
      <c r="Y502" s="311"/>
      <c r="Z502" s="311"/>
      <c r="AA502" s="311"/>
      <c r="AB502" s="311"/>
      <c r="AC502" s="311"/>
      <c r="AT502" s="88" t="str">
        <f t="shared" si="37"/>
        <v>KP0007092017Q314,7</v>
      </c>
      <c r="AU502" s="89" t="str">
        <f t="shared" si="38"/>
        <v>07-2017</v>
      </c>
      <c r="BA502" s="92" t="str">
        <f t="shared" si="39"/>
        <v>WIP - 30 Days</v>
      </c>
    </row>
    <row r="503" spans="2:53">
      <c r="B503" s="60">
        <f>[2]Trucks!A500</f>
        <v>47792</v>
      </c>
      <c r="C503" s="11" t="str">
        <f>[2]Trucks!B500</f>
        <v>TGS-26-4806X4BLS-LX-EL</v>
      </c>
      <c r="D503" s="19" t="str">
        <f>IFERROR(VLOOKUP(C503&amp;"",'[2]Retail Price List'!$A$3:$B$103,2,FALSE),"Special Order")</f>
        <v>KP000709</v>
      </c>
      <c r="E503" s="18" t="str">
        <f>[2]Trucks!J500</f>
        <v>CKD</v>
      </c>
      <c r="F503" s="12" t="str">
        <f>[2]Trucks!E500</f>
        <v>2018-03-10</v>
      </c>
      <c r="G503" s="56">
        <f>[2]Trucks!K500</f>
        <v>14.7</v>
      </c>
      <c r="H503" s="46">
        <f>[2]Trucks!I500</f>
        <v>42947</v>
      </c>
      <c r="I503" s="83" t="str">
        <f t="shared" si="35"/>
        <v>2017Q3</v>
      </c>
      <c r="J503" s="272">
        <f>IFERROR(VLOOKUP((D503&amp;C503)&amp;"",'[2]Retail Price List'!$C$4:$F$102,3,FALSE),"")</f>
        <v>1860000</v>
      </c>
      <c r="K503" s="272">
        <f>IFERROR(IF(BA503="WIP - 30 Days",VLOOKUP(D503,[3]Standard!$B$9:$E$101,4,FALSE),IF(BA503="31-120 Days",VLOOKUP(D503,[3]Standard!$B$9:$F$101,5,FALSE),IF(BA503="121-365 Days",VLOOKUP(D503,[3]Standard!$B$9:$G$101,6,FALSE),VLOOKUP(D503,[3]Standard!$B$9:$H$101,7,FALSE)))),0)</f>
        <v>1341060</v>
      </c>
      <c r="L503" s="272">
        <f>IFERROR(IF(BA503="WIP - 30 Days",VLOOKUP(D503,[3]Standard!$B$9:$J$101,9,FALSE),IF(BA503="31-120 Days",VLOOKUP(D503,[3]Standard!$B$9:$K$100,10,FALSE),IF(BA503="121-365 Days",VLOOKUP(D503,[3]Standard!$B$9:$L$101,11,FALSE),VLOOKUP(D503,[3]Standard!$B$9:$M$101,12,FALSE)))),0)</f>
        <v>1302000</v>
      </c>
      <c r="M503" s="269">
        <f>IFERROR(VLOOKUP((D503&amp;C503)&amp;"",'[2]Retail Price List'!$C$4:$F$102,4,FALSE),"")</f>
        <v>1895000</v>
      </c>
      <c r="N503" s="269">
        <f>IFERROR(IF(BA503="WIP - 30 Days",VLOOKUP(D503,[3]Extended!$B$9:$E$101,4,FALSE),IF(BA503="31-120 Days",VLOOKUP(D503,[3]Extended!$B$9:$F$101,5,FALSE),IF(BA503="121-365 Days",VLOOKUP(D503,[3]Extended!$B$9:$G$101,6,FALSE),VLOOKUP(D503,[3]Extended!$B$9:$H$101,7,FALSE)))),0)</f>
        <v>1444369</v>
      </c>
      <c r="O503" s="269">
        <f>IFERROR(IF(BA503="WIP - 30 Days",VLOOKUP(D503,[3]Extended!$B$9:$J$101,9,FALSE),IF(BA503="31-120 Days",VLOOKUP(D503,[3]Extended!$B$9:$K$101,10,FALSE),IF(BA503="121-365 Days",VLOOKUP(D503,[3]Extended!$B$9:$L$101,11,FALSE),VLOOKUP(D503,[3]Extended!$B$9:$M$101,12,FALSE)))),0)</f>
        <v>1402300</v>
      </c>
      <c r="P503" s="116">
        <f t="shared" si="36"/>
        <v>0.26</v>
      </c>
      <c r="Q503" s="110" t="e">
        <f>O503-#REF!</f>
        <v>#REF!</v>
      </c>
      <c r="W503" s="311"/>
      <c r="X503" s="311"/>
      <c r="Y503" s="311"/>
      <c r="Z503" s="311"/>
      <c r="AA503" s="311"/>
      <c r="AB503" s="311"/>
      <c r="AC503" s="311"/>
      <c r="AT503" s="88" t="str">
        <f t="shared" si="37"/>
        <v>KP0007092017Q314,7</v>
      </c>
      <c r="AU503" s="89" t="str">
        <f t="shared" si="38"/>
        <v>07-2017</v>
      </c>
      <c r="BA503" s="92" t="str">
        <f t="shared" si="39"/>
        <v>WIP - 30 Days</v>
      </c>
    </row>
    <row r="504" spans="2:53">
      <c r="B504" s="60">
        <f>[2]Trucks!A501</f>
        <v>47793</v>
      </c>
      <c r="C504" s="11" t="str">
        <f>[2]Trucks!B501</f>
        <v>TGS-26-4806X4BLS-LX-EL</v>
      </c>
      <c r="D504" s="19" t="str">
        <f>IFERROR(VLOOKUP(C504&amp;"",'[2]Retail Price List'!$A$3:$B$103,2,FALSE),"Special Order")</f>
        <v>KP000709</v>
      </c>
      <c r="E504" s="18" t="str">
        <f>[2]Trucks!J501</f>
        <v>CKD</v>
      </c>
      <c r="F504" s="12" t="str">
        <f>[2]Trucks!E501</f>
        <v>2018-03-10</v>
      </c>
      <c r="G504" s="56">
        <f>[2]Trucks!K501</f>
        <v>14.7</v>
      </c>
      <c r="H504" s="46">
        <f>[2]Trucks!I501</f>
        <v>42947</v>
      </c>
      <c r="I504" s="83" t="str">
        <f t="shared" si="35"/>
        <v>2017Q3</v>
      </c>
      <c r="J504" s="272">
        <f>IFERROR(VLOOKUP((D504&amp;C504)&amp;"",'[2]Retail Price List'!$C$4:$F$102,3,FALSE),"")</f>
        <v>1860000</v>
      </c>
      <c r="K504" s="272">
        <f>IFERROR(IF(BA504="WIP - 30 Days",VLOOKUP(D504,[3]Standard!$B$9:$E$101,4,FALSE),IF(BA504="31-120 Days",VLOOKUP(D504,[3]Standard!$B$9:$F$101,5,FALSE),IF(BA504="121-365 Days",VLOOKUP(D504,[3]Standard!$B$9:$G$101,6,FALSE),VLOOKUP(D504,[3]Standard!$B$9:$H$101,7,FALSE)))),0)</f>
        <v>1341060</v>
      </c>
      <c r="L504" s="272">
        <f>IFERROR(IF(BA504="WIP - 30 Days",VLOOKUP(D504,[3]Standard!$B$9:$J$101,9,FALSE),IF(BA504="31-120 Days",VLOOKUP(D504,[3]Standard!$B$9:$K$100,10,FALSE),IF(BA504="121-365 Days",VLOOKUP(D504,[3]Standard!$B$9:$L$101,11,FALSE),VLOOKUP(D504,[3]Standard!$B$9:$M$101,12,FALSE)))),0)</f>
        <v>1302000</v>
      </c>
      <c r="M504" s="269">
        <f>IFERROR(VLOOKUP((D504&amp;C504)&amp;"",'[2]Retail Price List'!$C$4:$F$102,4,FALSE),"")</f>
        <v>1895000</v>
      </c>
      <c r="N504" s="269">
        <f>IFERROR(IF(BA504="WIP - 30 Days",VLOOKUP(D504,[3]Extended!$B$9:$E$101,4,FALSE),IF(BA504="31-120 Days",VLOOKUP(D504,[3]Extended!$B$9:$F$101,5,FALSE),IF(BA504="121-365 Days",VLOOKUP(D504,[3]Extended!$B$9:$G$101,6,FALSE),VLOOKUP(D504,[3]Extended!$B$9:$H$101,7,FALSE)))),0)</f>
        <v>1444369</v>
      </c>
      <c r="O504" s="269">
        <f>IFERROR(IF(BA504="WIP - 30 Days",VLOOKUP(D504,[3]Extended!$B$9:$J$101,9,FALSE),IF(BA504="31-120 Days",VLOOKUP(D504,[3]Extended!$B$9:$K$101,10,FALSE),IF(BA504="121-365 Days",VLOOKUP(D504,[3]Extended!$B$9:$L$101,11,FALSE),VLOOKUP(D504,[3]Extended!$B$9:$M$101,12,FALSE)))),0)</f>
        <v>1402300</v>
      </c>
      <c r="P504" s="116">
        <f t="shared" si="36"/>
        <v>0.26</v>
      </c>
      <c r="Q504" s="110" t="e">
        <f>O504-#REF!</f>
        <v>#REF!</v>
      </c>
      <c r="W504" s="311"/>
      <c r="X504" s="311"/>
      <c r="Y504" s="311"/>
      <c r="Z504" s="311"/>
      <c r="AA504" s="311"/>
      <c r="AB504" s="311"/>
      <c r="AC504" s="311"/>
      <c r="AT504" s="88" t="str">
        <f t="shared" si="37"/>
        <v>KP0007092017Q314,7</v>
      </c>
      <c r="AU504" s="89" t="str">
        <f t="shared" si="38"/>
        <v>07-2017</v>
      </c>
      <c r="BA504" s="92" t="str">
        <f t="shared" si="39"/>
        <v>WIP - 30 Days</v>
      </c>
    </row>
    <row r="505" spans="2:53">
      <c r="B505" s="60">
        <f>[2]Trucks!A502</f>
        <v>47794</v>
      </c>
      <c r="C505" s="11" t="str">
        <f>[2]Trucks!B502</f>
        <v>TGS-26-4806X4BLS-LX-EL</v>
      </c>
      <c r="D505" s="19" t="str">
        <f>IFERROR(VLOOKUP(C505&amp;"",'[2]Retail Price List'!$A$3:$B$103,2,FALSE),"Special Order")</f>
        <v>KP000709</v>
      </c>
      <c r="E505" s="18" t="str">
        <f>[2]Trucks!J502</f>
        <v>CKD</v>
      </c>
      <c r="F505" s="12" t="str">
        <f>[2]Trucks!E502</f>
        <v>2018-03-10</v>
      </c>
      <c r="G505" s="56">
        <f>[2]Trucks!K502</f>
        <v>14.7</v>
      </c>
      <c r="H505" s="46">
        <f>[2]Trucks!I502</f>
        <v>42947</v>
      </c>
      <c r="I505" s="83" t="str">
        <f t="shared" si="35"/>
        <v>2017Q3</v>
      </c>
      <c r="J505" s="272">
        <f>IFERROR(VLOOKUP((D505&amp;C505)&amp;"",'[2]Retail Price List'!$C$4:$F$102,3,FALSE),"")</f>
        <v>1860000</v>
      </c>
      <c r="K505" s="272">
        <f>IFERROR(IF(BA505="WIP - 30 Days",VLOOKUP(D505,[3]Standard!$B$9:$E$101,4,FALSE),IF(BA505="31-120 Days",VLOOKUP(D505,[3]Standard!$B$9:$F$101,5,FALSE),IF(BA505="121-365 Days",VLOOKUP(D505,[3]Standard!$B$9:$G$101,6,FALSE),VLOOKUP(D505,[3]Standard!$B$9:$H$101,7,FALSE)))),0)</f>
        <v>1341060</v>
      </c>
      <c r="L505" s="272">
        <f>IFERROR(IF(BA505="WIP - 30 Days",VLOOKUP(D505,[3]Standard!$B$9:$J$101,9,FALSE),IF(BA505="31-120 Days",VLOOKUP(D505,[3]Standard!$B$9:$K$100,10,FALSE),IF(BA505="121-365 Days",VLOOKUP(D505,[3]Standard!$B$9:$L$101,11,FALSE),VLOOKUP(D505,[3]Standard!$B$9:$M$101,12,FALSE)))),0)</f>
        <v>1302000</v>
      </c>
      <c r="M505" s="269">
        <f>IFERROR(VLOOKUP((D505&amp;C505)&amp;"",'[2]Retail Price List'!$C$4:$F$102,4,FALSE),"")</f>
        <v>1895000</v>
      </c>
      <c r="N505" s="269">
        <f>IFERROR(IF(BA505="WIP - 30 Days",VLOOKUP(D505,[3]Extended!$B$9:$E$101,4,FALSE),IF(BA505="31-120 Days",VLOOKUP(D505,[3]Extended!$B$9:$F$101,5,FALSE),IF(BA505="121-365 Days",VLOOKUP(D505,[3]Extended!$B$9:$G$101,6,FALSE),VLOOKUP(D505,[3]Extended!$B$9:$H$101,7,FALSE)))),0)</f>
        <v>1444369</v>
      </c>
      <c r="O505" s="269">
        <f>IFERROR(IF(BA505="WIP - 30 Days",VLOOKUP(D505,[3]Extended!$B$9:$J$101,9,FALSE),IF(BA505="31-120 Days",VLOOKUP(D505,[3]Extended!$B$9:$K$101,10,FALSE),IF(BA505="121-365 Days",VLOOKUP(D505,[3]Extended!$B$9:$L$101,11,FALSE),VLOOKUP(D505,[3]Extended!$B$9:$M$101,12,FALSE)))),0)</f>
        <v>1402300</v>
      </c>
      <c r="P505" s="116">
        <f t="shared" si="36"/>
        <v>0.26</v>
      </c>
      <c r="Q505" s="110" t="e">
        <f>O505-#REF!</f>
        <v>#REF!</v>
      </c>
      <c r="W505" s="311"/>
      <c r="X505" s="311"/>
      <c r="Y505" s="311"/>
      <c r="Z505" s="311"/>
      <c r="AA505" s="311"/>
      <c r="AB505" s="311"/>
      <c r="AC505" s="311"/>
      <c r="AT505" s="88" t="str">
        <f t="shared" si="37"/>
        <v>KP0007092017Q314,7</v>
      </c>
      <c r="AU505" s="89" t="str">
        <f t="shared" si="38"/>
        <v>07-2017</v>
      </c>
      <c r="BA505" s="92" t="str">
        <f t="shared" si="39"/>
        <v>WIP - 30 Days</v>
      </c>
    </row>
    <row r="506" spans="2:53">
      <c r="B506" s="60">
        <f>[2]Trucks!A503</f>
        <v>47795</v>
      </c>
      <c r="C506" s="11" t="str">
        <f>[2]Trucks!B503</f>
        <v>TGS-26-4806X4BLS-LX-EL</v>
      </c>
      <c r="D506" s="19" t="str">
        <f>IFERROR(VLOOKUP(C506&amp;"",'[2]Retail Price List'!$A$3:$B$103,2,FALSE),"Special Order")</f>
        <v>KP000709</v>
      </c>
      <c r="E506" s="18" t="str">
        <f>[2]Trucks!J503</f>
        <v>CKD</v>
      </c>
      <c r="F506" s="12" t="str">
        <f>[2]Trucks!E503</f>
        <v>2018-03-20</v>
      </c>
      <c r="G506" s="56">
        <f>[2]Trucks!K503</f>
        <v>14.7</v>
      </c>
      <c r="H506" s="46">
        <f>[2]Trucks!I503</f>
        <v>42947</v>
      </c>
      <c r="I506" s="83" t="str">
        <f t="shared" si="35"/>
        <v>2017Q3</v>
      </c>
      <c r="J506" s="272">
        <f>IFERROR(VLOOKUP((D506&amp;C506)&amp;"",'[2]Retail Price List'!$C$4:$F$102,3,FALSE),"")</f>
        <v>1860000</v>
      </c>
      <c r="K506" s="272">
        <f>IFERROR(IF(BA506="WIP - 30 Days",VLOOKUP(D506,[3]Standard!$B$9:$E$101,4,FALSE),IF(BA506="31-120 Days",VLOOKUP(D506,[3]Standard!$B$9:$F$101,5,FALSE),IF(BA506="121-365 Days",VLOOKUP(D506,[3]Standard!$B$9:$G$101,6,FALSE),VLOOKUP(D506,[3]Standard!$B$9:$H$101,7,FALSE)))),0)</f>
        <v>1341060</v>
      </c>
      <c r="L506" s="272">
        <f>IFERROR(IF(BA506="WIP - 30 Days",VLOOKUP(D506,[3]Standard!$B$9:$J$101,9,FALSE),IF(BA506="31-120 Days",VLOOKUP(D506,[3]Standard!$B$9:$K$100,10,FALSE),IF(BA506="121-365 Days",VLOOKUP(D506,[3]Standard!$B$9:$L$101,11,FALSE),VLOOKUP(D506,[3]Standard!$B$9:$M$101,12,FALSE)))),0)</f>
        <v>1302000</v>
      </c>
      <c r="M506" s="269">
        <f>IFERROR(VLOOKUP((D506&amp;C506)&amp;"",'[2]Retail Price List'!$C$4:$F$102,4,FALSE),"")</f>
        <v>1895000</v>
      </c>
      <c r="N506" s="269">
        <f>IFERROR(IF(BA506="WIP - 30 Days",VLOOKUP(D506,[3]Extended!$B$9:$E$101,4,FALSE),IF(BA506="31-120 Days",VLOOKUP(D506,[3]Extended!$B$9:$F$101,5,FALSE),IF(BA506="121-365 Days",VLOOKUP(D506,[3]Extended!$B$9:$G$101,6,FALSE),VLOOKUP(D506,[3]Extended!$B$9:$H$101,7,FALSE)))),0)</f>
        <v>1444369</v>
      </c>
      <c r="O506" s="269">
        <f>IFERROR(IF(BA506="WIP - 30 Days",VLOOKUP(D506,[3]Extended!$B$9:$J$101,9,FALSE),IF(BA506="31-120 Days",VLOOKUP(D506,[3]Extended!$B$9:$K$101,10,FALSE),IF(BA506="121-365 Days",VLOOKUP(D506,[3]Extended!$B$9:$L$101,11,FALSE),VLOOKUP(D506,[3]Extended!$B$9:$M$101,12,FALSE)))),0)</f>
        <v>1402300</v>
      </c>
      <c r="P506" s="116">
        <f t="shared" si="36"/>
        <v>0.26</v>
      </c>
      <c r="Q506" s="110" t="e">
        <f>O506-#REF!</f>
        <v>#REF!</v>
      </c>
      <c r="W506" s="311"/>
      <c r="X506" s="311"/>
      <c r="Y506" s="311"/>
      <c r="Z506" s="311"/>
      <c r="AA506" s="311"/>
      <c r="AB506" s="311"/>
      <c r="AC506" s="311"/>
      <c r="AT506" s="88" t="str">
        <f t="shared" si="37"/>
        <v>KP0007092017Q314,7</v>
      </c>
      <c r="AU506" s="89" t="str">
        <f t="shared" si="38"/>
        <v>07-2017</v>
      </c>
      <c r="BA506" s="92" t="str">
        <f t="shared" si="39"/>
        <v>WIP - 30 Days</v>
      </c>
    </row>
    <row r="507" spans="2:53">
      <c r="B507" s="60">
        <f>[2]Trucks!A504</f>
        <v>47796</v>
      </c>
      <c r="C507" s="11" t="str">
        <f>[2]Trucks!B504</f>
        <v>TGS-26-4806X4BLS-LX-EL</v>
      </c>
      <c r="D507" s="19" t="str">
        <f>IFERROR(VLOOKUP(C507&amp;"",'[2]Retail Price List'!$A$3:$B$103,2,FALSE),"Special Order")</f>
        <v>KP000709</v>
      </c>
      <c r="E507" s="18" t="str">
        <f>[2]Trucks!J504</f>
        <v>CKD</v>
      </c>
      <c r="F507" s="12" t="str">
        <f>[2]Trucks!E504</f>
        <v>2018-03-20</v>
      </c>
      <c r="G507" s="56">
        <f>[2]Trucks!K504</f>
        <v>14.7</v>
      </c>
      <c r="H507" s="46">
        <f>[2]Trucks!I504</f>
        <v>42947</v>
      </c>
      <c r="I507" s="83" t="str">
        <f t="shared" si="35"/>
        <v>2017Q3</v>
      </c>
      <c r="J507" s="272">
        <f>IFERROR(VLOOKUP((D507&amp;C507)&amp;"",'[2]Retail Price List'!$C$4:$F$102,3,FALSE),"")</f>
        <v>1860000</v>
      </c>
      <c r="K507" s="272">
        <f>IFERROR(IF(BA507="WIP - 30 Days",VLOOKUP(D507,[3]Standard!$B$9:$E$101,4,FALSE),IF(BA507="31-120 Days",VLOOKUP(D507,[3]Standard!$B$9:$F$101,5,FALSE),IF(BA507="121-365 Days",VLOOKUP(D507,[3]Standard!$B$9:$G$101,6,FALSE),VLOOKUP(D507,[3]Standard!$B$9:$H$101,7,FALSE)))),0)</f>
        <v>1341060</v>
      </c>
      <c r="L507" s="272">
        <f>IFERROR(IF(BA507="WIP - 30 Days",VLOOKUP(D507,[3]Standard!$B$9:$J$101,9,FALSE),IF(BA507="31-120 Days",VLOOKUP(D507,[3]Standard!$B$9:$K$100,10,FALSE),IF(BA507="121-365 Days",VLOOKUP(D507,[3]Standard!$B$9:$L$101,11,FALSE),VLOOKUP(D507,[3]Standard!$B$9:$M$101,12,FALSE)))),0)</f>
        <v>1302000</v>
      </c>
      <c r="M507" s="269">
        <f>IFERROR(VLOOKUP((D507&amp;C507)&amp;"",'[2]Retail Price List'!$C$4:$F$102,4,FALSE),"")</f>
        <v>1895000</v>
      </c>
      <c r="N507" s="269">
        <f>IFERROR(IF(BA507="WIP - 30 Days",VLOOKUP(D507,[3]Extended!$B$9:$E$101,4,FALSE),IF(BA507="31-120 Days",VLOOKUP(D507,[3]Extended!$B$9:$F$101,5,FALSE),IF(BA507="121-365 Days",VLOOKUP(D507,[3]Extended!$B$9:$G$101,6,FALSE),VLOOKUP(D507,[3]Extended!$B$9:$H$101,7,FALSE)))),0)</f>
        <v>1444369</v>
      </c>
      <c r="O507" s="269">
        <f>IFERROR(IF(BA507="WIP - 30 Days",VLOOKUP(D507,[3]Extended!$B$9:$J$101,9,FALSE),IF(BA507="31-120 Days",VLOOKUP(D507,[3]Extended!$B$9:$K$101,10,FALSE),IF(BA507="121-365 Days",VLOOKUP(D507,[3]Extended!$B$9:$L$101,11,FALSE),VLOOKUP(D507,[3]Extended!$B$9:$M$101,12,FALSE)))),0)</f>
        <v>1402300</v>
      </c>
      <c r="P507" s="116">
        <f t="shared" si="36"/>
        <v>0.26</v>
      </c>
      <c r="Q507" s="110" t="e">
        <f>O507-#REF!</f>
        <v>#REF!</v>
      </c>
      <c r="W507" s="311"/>
      <c r="X507" s="311"/>
      <c r="Y507" s="311"/>
      <c r="Z507" s="311"/>
      <c r="AA507" s="311"/>
      <c r="AB507" s="311"/>
      <c r="AC507" s="311"/>
      <c r="AT507" s="88" t="str">
        <f t="shared" si="37"/>
        <v>KP0007092017Q314,7</v>
      </c>
      <c r="AU507" s="89" t="str">
        <f t="shared" si="38"/>
        <v>07-2017</v>
      </c>
      <c r="BA507" s="92" t="str">
        <f t="shared" si="39"/>
        <v>WIP - 30 Days</v>
      </c>
    </row>
    <row r="508" spans="2:53">
      <c r="B508" s="60">
        <f>[2]Trucks!A505</f>
        <v>47797</v>
      </c>
      <c r="C508" s="11" t="str">
        <f>[2]Trucks!B505</f>
        <v>TGS-26-4806X4BLS-LX-EL</v>
      </c>
      <c r="D508" s="19" t="str">
        <f>IFERROR(VLOOKUP(C508&amp;"",'[2]Retail Price List'!$A$3:$B$103,2,FALSE),"Special Order")</f>
        <v>KP000709</v>
      </c>
      <c r="E508" s="18" t="str">
        <f>[2]Trucks!J505</f>
        <v>CKD</v>
      </c>
      <c r="F508" s="12" t="str">
        <f>[2]Trucks!E505</f>
        <v>2018-03-20</v>
      </c>
      <c r="G508" s="56">
        <f>[2]Trucks!K505</f>
        <v>14.7</v>
      </c>
      <c r="H508" s="46">
        <f>[2]Trucks!I505</f>
        <v>42947</v>
      </c>
      <c r="I508" s="83" t="str">
        <f t="shared" si="35"/>
        <v>2017Q3</v>
      </c>
      <c r="J508" s="272">
        <f>IFERROR(VLOOKUP((D508&amp;C508)&amp;"",'[2]Retail Price List'!$C$4:$F$102,3,FALSE),"")</f>
        <v>1860000</v>
      </c>
      <c r="K508" s="272">
        <f>IFERROR(IF(BA508="WIP - 30 Days",VLOOKUP(D508,[3]Standard!$B$9:$E$101,4,FALSE),IF(BA508="31-120 Days",VLOOKUP(D508,[3]Standard!$B$9:$F$101,5,FALSE),IF(BA508="121-365 Days",VLOOKUP(D508,[3]Standard!$B$9:$G$101,6,FALSE),VLOOKUP(D508,[3]Standard!$B$9:$H$101,7,FALSE)))),0)</f>
        <v>1341060</v>
      </c>
      <c r="L508" s="272">
        <f>IFERROR(IF(BA508="WIP - 30 Days",VLOOKUP(D508,[3]Standard!$B$9:$J$101,9,FALSE),IF(BA508="31-120 Days",VLOOKUP(D508,[3]Standard!$B$9:$K$100,10,FALSE),IF(BA508="121-365 Days",VLOOKUP(D508,[3]Standard!$B$9:$L$101,11,FALSE),VLOOKUP(D508,[3]Standard!$B$9:$M$101,12,FALSE)))),0)</f>
        <v>1302000</v>
      </c>
      <c r="M508" s="269">
        <f>IFERROR(VLOOKUP((D508&amp;C508)&amp;"",'[2]Retail Price List'!$C$4:$F$102,4,FALSE),"")</f>
        <v>1895000</v>
      </c>
      <c r="N508" s="269">
        <f>IFERROR(IF(BA508="WIP - 30 Days",VLOOKUP(D508,[3]Extended!$B$9:$E$101,4,FALSE),IF(BA508="31-120 Days",VLOOKUP(D508,[3]Extended!$B$9:$F$101,5,FALSE),IF(BA508="121-365 Days",VLOOKUP(D508,[3]Extended!$B$9:$G$101,6,FALSE),VLOOKUP(D508,[3]Extended!$B$9:$H$101,7,FALSE)))),0)</f>
        <v>1444369</v>
      </c>
      <c r="O508" s="269">
        <f>IFERROR(IF(BA508="WIP - 30 Days",VLOOKUP(D508,[3]Extended!$B$9:$J$101,9,FALSE),IF(BA508="31-120 Days",VLOOKUP(D508,[3]Extended!$B$9:$K$101,10,FALSE),IF(BA508="121-365 Days",VLOOKUP(D508,[3]Extended!$B$9:$L$101,11,FALSE),VLOOKUP(D508,[3]Extended!$B$9:$M$101,12,FALSE)))),0)</f>
        <v>1402300</v>
      </c>
      <c r="P508" s="116">
        <f t="shared" si="36"/>
        <v>0.26</v>
      </c>
      <c r="Q508" s="110" t="e">
        <f>O508-#REF!</f>
        <v>#REF!</v>
      </c>
      <c r="W508" s="311"/>
      <c r="X508" s="311"/>
      <c r="Y508" s="311"/>
      <c r="Z508" s="311"/>
      <c r="AA508" s="311"/>
      <c r="AB508" s="311"/>
      <c r="AC508" s="311"/>
      <c r="AT508" s="88" t="str">
        <f t="shared" si="37"/>
        <v>KP0007092017Q314,7</v>
      </c>
      <c r="AU508" s="89" t="str">
        <f t="shared" si="38"/>
        <v>07-2017</v>
      </c>
      <c r="BA508" s="92" t="str">
        <f t="shared" si="39"/>
        <v>WIP - 30 Days</v>
      </c>
    </row>
    <row r="509" spans="2:53">
      <c r="B509" s="60">
        <f>[2]Trucks!A506</f>
        <v>47798</v>
      </c>
      <c r="C509" s="11" t="str">
        <f>[2]Trucks!B506</f>
        <v>TGS-26-4806X4BLS-LX-EL</v>
      </c>
      <c r="D509" s="19" t="str">
        <f>IFERROR(VLOOKUP(C509&amp;"",'[2]Retail Price List'!$A$3:$B$103,2,FALSE),"Special Order")</f>
        <v>KP000709</v>
      </c>
      <c r="E509" s="18" t="str">
        <f>[2]Trucks!J506</f>
        <v>CKD</v>
      </c>
      <c r="F509" s="12" t="str">
        <f>[2]Trucks!E506</f>
        <v>2018-03-20</v>
      </c>
      <c r="G509" s="56">
        <f>[2]Trucks!K506</f>
        <v>14.7</v>
      </c>
      <c r="H509" s="46">
        <f>[2]Trucks!I506</f>
        <v>42947</v>
      </c>
      <c r="I509" s="83" t="str">
        <f t="shared" si="35"/>
        <v>2017Q3</v>
      </c>
      <c r="J509" s="272">
        <f>IFERROR(VLOOKUP((D509&amp;C509)&amp;"",'[2]Retail Price List'!$C$4:$F$102,3,FALSE),"")</f>
        <v>1860000</v>
      </c>
      <c r="K509" s="272">
        <f>IFERROR(IF(BA509="WIP - 30 Days",VLOOKUP(D509,[3]Standard!$B$9:$E$101,4,FALSE),IF(BA509="31-120 Days",VLOOKUP(D509,[3]Standard!$B$9:$F$101,5,FALSE),IF(BA509="121-365 Days",VLOOKUP(D509,[3]Standard!$B$9:$G$101,6,FALSE),VLOOKUP(D509,[3]Standard!$B$9:$H$101,7,FALSE)))),0)</f>
        <v>1341060</v>
      </c>
      <c r="L509" s="272">
        <f>IFERROR(IF(BA509="WIP - 30 Days",VLOOKUP(D509,[3]Standard!$B$9:$J$101,9,FALSE),IF(BA509="31-120 Days",VLOOKUP(D509,[3]Standard!$B$9:$K$100,10,FALSE),IF(BA509="121-365 Days",VLOOKUP(D509,[3]Standard!$B$9:$L$101,11,FALSE),VLOOKUP(D509,[3]Standard!$B$9:$M$101,12,FALSE)))),0)</f>
        <v>1302000</v>
      </c>
      <c r="M509" s="269">
        <f>IFERROR(VLOOKUP((D509&amp;C509)&amp;"",'[2]Retail Price List'!$C$4:$F$102,4,FALSE),"")</f>
        <v>1895000</v>
      </c>
      <c r="N509" s="269">
        <f>IFERROR(IF(BA509="WIP - 30 Days",VLOOKUP(D509,[3]Extended!$B$9:$E$101,4,FALSE),IF(BA509="31-120 Days",VLOOKUP(D509,[3]Extended!$B$9:$F$101,5,FALSE),IF(BA509="121-365 Days",VLOOKUP(D509,[3]Extended!$B$9:$G$101,6,FALSE),VLOOKUP(D509,[3]Extended!$B$9:$H$101,7,FALSE)))),0)</f>
        <v>1444369</v>
      </c>
      <c r="O509" s="269">
        <f>IFERROR(IF(BA509="WIP - 30 Days",VLOOKUP(D509,[3]Extended!$B$9:$J$101,9,FALSE),IF(BA509="31-120 Days",VLOOKUP(D509,[3]Extended!$B$9:$K$101,10,FALSE),IF(BA509="121-365 Days",VLOOKUP(D509,[3]Extended!$B$9:$L$101,11,FALSE),VLOOKUP(D509,[3]Extended!$B$9:$M$101,12,FALSE)))),0)</f>
        <v>1402300</v>
      </c>
      <c r="P509" s="116">
        <f t="shared" si="36"/>
        <v>0.26</v>
      </c>
      <c r="Q509" s="110" t="e">
        <f>O509-#REF!</f>
        <v>#REF!</v>
      </c>
      <c r="W509" s="311"/>
      <c r="X509" s="311"/>
      <c r="Y509" s="311"/>
      <c r="Z509" s="311"/>
      <c r="AA509" s="311"/>
      <c r="AB509" s="311"/>
      <c r="AC509" s="311"/>
      <c r="AT509" s="88" t="str">
        <f t="shared" si="37"/>
        <v>KP0007092017Q314,7</v>
      </c>
      <c r="AU509" s="89" t="str">
        <f t="shared" si="38"/>
        <v>07-2017</v>
      </c>
      <c r="BA509" s="92" t="str">
        <f t="shared" si="39"/>
        <v>WIP - 30 Days</v>
      </c>
    </row>
    <row r="510" spans="2:53">
      <c r="B510" s="60">
        <f>[2]Trucks!A507</f>
        <v>47799</v>
      </c>
      <c r="C510" s="11" t="str">
        <f>[2]Trucks!B507</f>
        <v>TGS-26-4806X4BLS-LX-EL</v>
      </c>
      <c r="D510" s="19" t="str">
        <f>IFERROR(VLOOKUP(C510&amp;"",'[2]Retail Price List'!$A$3:$B$103,2,FALSE),"Special Order")</f>
        <v>KP000709</v>
      </c>
      <c r="E510" s="18" t="str">
        <f>[2]Trucks!J507</f>
        <v>CKD</v>
      </c>
      <c r="F510" s="12" t="str">
        <f>[2]Trucks!E507</f>
        <v>2018-03-25</v>
      </c>
      <c r="G510" s="56">
        <f>[2]Trucks!K507</f>
        <v>14.7</v>
      </c>
      <c r="H510" s="46">
        <f>[2]Trucks!I507</f>
        <v>42947</v>
      </c>
      <c r="I510" s="83" t="str">
        <f t="shared" si="35"/>
        <v>2017Q3</v>
      </c>
      <c r="J510" s="272">
        <f>IFERROR(VLOOKUP((D510&amp;C510)&amp;"",'[2]Retail Price List'!$C$4:$F$102,3,FALSE),"")</f>
        <v>1860000</v>
      </c>
      <c r="K510" s="272">
        <f>IFERROR(IF(BA510="WIP - 30 Days",VLOOKUP(D510,[3]Standard!$B$9:$E$101,4,FALSE),IF(BA510="31-120 Days",VLOOKUP(D510,[3]Standard!$B$9:$F$101,5,FALSE),IF(BA510="121-365 Days",VLOOKUP(D510,[3]Standard!$B$9:$G$101,6,FALSE),VLOOKUP(D510,[3]Standard!$B$9:$H$101,7,FALSE)))),0)</f>
        <v>1341060</v>
      </c>
      <c r="L510" s="272">
        <f>IFERROR(IF(BA510="WIP - 30 Days",VLOOKUP(D510,[3]Standard!$B$9:$J$101,9,FALSE),IF(BA510="31-120 Days",VLOOKUP(D510,[3]Standard!$B$9:$K$100,10,FALSE),IF(BA510="121-365 Days",VLOOKUP(D510,[3]Standard!$B$9:$L$101,11,FALSE),VLOOKUP(D510,[3]Standard!$B$9:$M$101,12,FALSE)))),0)</f>
        <v>1302000</v>
      </c>
      <c r="M510" s="269">
        <f>IFERROR(VLOOKUP((D510&amp;C510)&amp;"",'[2]Retail Price List'!$C$4:$F$102,4,FALSE),"")</f>
        <v>1895000</v>
      </c>
      <c r="N510" s="269">
        <f>IFERROR(IF(BA510="WIP - 30 Days",VLOOKUP(D510,[3]Extended!$B$9:$E$101,4,FALSE),IF(BA510="31-120 Days",VLOOKUP(D510,[3]Extended!$B$9:$F$101,5,FALSE),IF(BA510="121-365 Days",VLOOKUP(D510,[3]Extended!$B$9:$G$101,6,FALSE),VLOOKUP(D510,[3]Extended!$B$9:$H$101,7,FALSE)))),0)</f>
        <v>1444369</v>
      </c>
      <c r="O510" s="269">
        <f>IFERROR(IF(BA510="WIP - 30 Days",VLOOKUP(D510,[3]Extended!$B$9:$J$101,9,FALSE),IF(BA510="31-120 Days",VLOOKUP(D510,[3]Extended!$B$9:$K$101,10,FALSE),IF(BA510="121-365 Days",VLOOKUP(D510,[3]Extended!$B$9:$L$101,11,FALSE),VLOOKUP(D510,[3]Extended!$B$9:$M$101,12,FALSE)))),0)</f>
        <v>1402300</v>
      </c>
      <c r="P510" s="116">
        <f t="shared" si="36"/>
        <v>0.26</v>
      </c>
      <c r="Q510" s="110" t="e">
        <f>O510-#REF!</f>
        <v>#REF!</v>
      </c>
      <c r="W510" s="311"/>
      <c r="X510" s="311"/>
      <c r="Y510" s="311"/>
      <c r="Z510" s="311"/>
      <c r="AA510" s="311"/>
      <c r="AB510" s="311"/>
      <c r="AC510" s="311"/>
      <c r="AT510" s="88" t="str">
        <f t="shared" si="37"/>
        <v>KP0007092017Q314,7</v>
      </c>
      <c r="AU510" s="89" t="str">
        <f t="shared" si="38"/>
        <v>07-2017</v>
      </c>
      <c r="BA510" s="92" t="str">
        <f t="shared" si="39"/>
        <v>WIP - 30 Days</v>
      </c>
    </row>
    <row r="511" spans="2:53">
      <c r="B511" s="60">
        <f>[2]Trucks!A508</f>
        <v>47800</v>
      </c>
      <c r="C511" s="11" t="str">
        <f>[2]Trucks!B508</f>
        <v>TGS-26-4806X4BLS-LX-EL</v>
      </c>
      <c r="D511" s="19" t="str">
        <f>IFERROR(VLOOKUP(C511&amp;"",'[2]Retail Price List'!$A$3:$B$103,2,FALSE),"Special Order")</f>
        <v>KP000709</v>
      </c>
      <c r="E511" s="18" t="str">
        <f>[2]Trucks!J508</f>
        <v>CKD</v>
      </c>
      <c r="F511" s="12" t="str">
        <f>[2]Trucks!E508</f>
        <v>2018-03-25</v>
      </c>
      <c r="G511" s="56">
        <f>[2]Trucks!K508</f>
        <v>14.7</v>
      </c>
      <c r="H511" s="46">
        <f>[2]Trucks!I508</f>
        <v>42947</v>
      </c>
      <c r="I511" s="83" t="str">
        <f t="shared" si="35"/>
        <v>2017Q3</v>
      </c>
      <c r="J511" s="272">
        <f>IFERROR(VLOOKUP((D511&amp;C511)&amp;"",'[2]Retail Price List'!$C$4:$F$102,3,FALSE),"")</f>
        <v>1860000</v>
      </c>
      <c r="K511" s="272">
        <f>IFERROR(IF(BA511="WIP - 30 Days",VLOOKUP(D511,[3]Standard!$B$9:$E$101,4,FALSE),IF(BA511="31-120 Days",VLOOKUP(D511,[3]Standard!$B$9:$F$101,5,FALSE),IF(BA511="121-365 Days",VLOOKUP(D511,[3]Standard!$B$9:$G$101,6,FALSE),VLOOKUP(D511,[3]Standard!$B$9:$H$101,7,FALSE)))),0)</f>
        <v>1341060</v>
      </c>
      <c r="L511" s="272">
        <f>IFERROR(IF(BA511="WIP - 30 Days",VLOOKUP(D511,[3]Standard!$B$9:$J$101,9,FALSE),IF(BA511="31-120 Days",VLOOKUP(D511,[3]Standard!$B$9:$K$100,10,FALSE),IF(BA511="121-365 Days",VLOOKUP(D511,[3]Standard!$B$9:$L$101,11,FALSE),VLOOKUP(D511,[3]Standard!$B$9:$M$101,12,FALSE)))),0)</f>
        <v>1302000</v>
      </c>
      <c r="M511" s="269">
        <f>IFERROR(VLOOKUP((D511&amp;C511)&amp;"",'[2]Retail Price List'!$C$4:$F$102,4,FALSE),"")</f>
        <v>1895000</v>
      </c>
      <c r="N511" s="269">
        <f>IFERROR(IF(BA511="WIP - 30 Days",VLOOKUP(D511,[3]Extended!$B$9:$E$101,4,FALSE),IF(BA511="31-120 Days",VLOOKUP(D511,[3]Extended!$B$9:$F$101,5,FALSE),IF(BA511="121-365 Days",VLOOKUP(D511,[3]Extended!$B$9:$G$101,6,FALSE),VLOOKUP(D511,[3]Extended!$B$9:$H$101,7,FALSE)))),0)</f>
        <v>1444369</v>
      </c>
      <c r="O511" s="269">
        <f>IFERROR(IF(BA511="WIP - 30 Days",VLOOKUP(D511,[3]Extended!$B$9:$J$101,9,FALSE),IF(BA511="31-120 Days",VLOOKUP(D511,[3]Extended!$B$9:$K$101,10,FALSE),IF(BA511="121-365 Days",VLOOKUP(D511,[3]Extended!$B$9:$L$101,11,FALSE),VLOOKUP(D511,[3]Extended!$B$9:$M$101,12,FALSE)))),0)</f>
        <v>1402300</v>
      </c>
      <c r="P511" s="116">
        <f t="shared" si="36"/>
        <v>0.26</v>
      </c>
      <c r="Q511" s="110" t="e">
        <f>O511-#REF!</f>
        <v>#REF!</v>
      </c>
      <c r="W511" s="311"/>
      <c r="X511" s="311"/>
      <c r="Y511" s="311"/>
      <c r="Z511" s="311"/>
      <c r="AA511" s="311"/>
      <c r="AB511" s="311"/>
      <c r="AC511" s="311"/>
      <c r="AT511" s="88" t="str">
        <f t="shared" si="37"/>
        <v>KP0007092017Q314,7</v>
      </c>
      <c r="AU511" s="89" t="str">
        <f t="shared" si="38"/>
        <v>07-2017</v>
      </c>
      <c r="BA511" s="92" t="str">
        <f t="shared" si="39"/>
        <v>WIP - 30 Days</v>
      </c>
    </row>
    <row r="512" spans="2:53">
      <c r="B512" s="60">
        <f>[2]Trucks!A509</f>
        <v>47801</v>
      </c>
      <c r="C512" s="11" t="str">
        <f>[2]Trucks!B509</f>
        <v>TGS-26-4806X4BLS-LX-EL</v>
      </c>
      <c r="D512" s="19" t="str">
        <f>IFERROR(VLOOKUP(C512&amp;"",'[2]Retail Price List'!$A$3:$B$103,2,FALSE),"Special Order")</f>
        <v>KP000709</v>
      </c>
      <c r="E512" s="18" t="str">
        <f>[2]Trucks!J509</f>
        <v>CKD</v>
      </c>
      <c r="F512" s="12" t="str">
        <f>[2]Trucks!E509</f>
        <v>2018-03-25</v>
      </c>
      <c r="G512" s="56">
        <f>[2]Trucks!K509</f>
        <v>14.7</v>
      </c>
      <c r="H512" s="46">
        <f>[2]Trucks!I509</f>
        <v>42947</v>
      </c>
      <c r="I512" s="83" t="str">
        <f t="shared" si="35"/>
        <v>2017Q3</v>
      </c>
      <c r="J512" s="272">
        <f>IFERROR(VLOOKUP((D512&amp;C512)&amp;"",'[2]Retail Price List'!$C$4:$F$102,3,FALSE),"")</f>
        <v>1860000</v>
      </c>
      <c r="K512" s="272">
        <f>IFERROR(IF(BA512="WIP - 30 Days",VLOOKUP(D512,[3]Standard!$B$9:$E$101,4,FALSE),IF(BA512="31-120 Days",VLOOKUP(D512,[3]Standard!$B$9:$F$101,5,FALSE),IF(BA512="121-365 Days",VLOOKUP(D512,[3]Standard!$B$9:$G$101,6,FALSE),VLOOKUP(D512,[3]Standard!$B$9:$H$101,7,FALSE)))),0)</f>
        <v>1341060</v>
      </c>
      <c r="L512" s="272">
        <f>IFERROR(IF(BA512="WIP - 30 Days",VLOOKUP(D512,[3]Standard!$B$9:$J$101,9,FALSE),IF(BA512="31-120 Days",VLOOKUP(D512,[3]Standard!$B$9:$K$100,10,FALSE),IF(BA512="121-365 Days",VLOOKUP(D512,[3]Standard!$B$9:$L$101,11,FALSE),VLOOKUP(D512,[3]Standard!$B$9:$M$101,12,FALSE)))),0)</f>
        <v>1302000</v>
      </c>
      <c r="M512" s="269">
        <f>IFERROR(VLOOKUP((D512&amp;C512)&amp;"",'[2]Retail Price List'!$C$4:$F$102,4,FALSE),"")</f>
        <v>1895000</v>
      </c>
      <c r="N512" s="269">
        <f>IFERROR(IF(BA512="WIP - 30 Days",VLOOKUP(D512,[3]Extended!$B$9:$E$101,4,FALSE),IF(BA512="31-120 Days",VLOOKUP(D512,[3]Extended!$B$9:$F$101,5,FALSE),IF(BA512="121-365 Days",VLOOKUP(D512,[3]Extended!$B$9:$G$101,6,FALSE),VLOOKUP(D512,[3]Extended!$B$9:$H$101,7,FALSE)))),0)</f>
        <v>1444369</v>
      </c>
      <c r="O512" s="269">
        <f>IFERROR(IF(BA512="WIP - 30 Days",VLOOKUP(D512,[3]Extended!$B$9:$J$101,9,FALSE),IF(BA512="31-120 Days",VLOOKUP(D512,[3]Extended!$B$9:$K$101,10,FALSE),IF(BA512="121-365 Days",VLOOKUP(D512,[3]Extended!$B$9:$L$101,11,FALSE),VLOOKUP(D512,[3]Extended!$B$9:$M$101,12,FALSE)))),0)</f>
        <v>1402300</v>
      </c>
      <c r="P512" s="116">
        <f t="shared" si="36"/>
        <v>0.26</v>
      </c>
      <c r="Q512" s="110" t="e">
        <f>O512-#REF!</f>
        <v>#REF!</v>
      </c>
      <c r="W512" s="311"/>
      <c r="X512" s="311"/>
      <c r="Y512" s="311"/>
      <c r="Z512" s="311"/>
      <c r="AA512" s="311"/>
      <c r="AB512" s="311"/>
      <c r="AC512" s="311"/>
      <c r="AT512" s="88" t="str">
        <f t="shared" si="37"/>
        <v>KP0007092017Q314,7</v>
      </c>
      <c r="AU512" s="89" t="str">
        <f t="shared" si="38"/>
        <v>07-2017</v>
      </c>
      <c r="BA512" s="92" t="str">
        <f t="shared" si="39"/>
        <v>WIP - 30 Days</v>
      </c>
    </row>
    <row r="513" spans="2:53">
      <c r="B513" s="60">
        <f>[2]Trucks!A510</f>
        <v>47802</v>
      </c>
      <c r="C513" s="11" t="str">
        <f>[2]Trucks!B510</f>
        <v>TGS-26-4806X4BLS-LX-EL</v>
      </c>
      <c r="D513" s="19" t="str">
        <f>IFERROR(VLOOKUP(C513&amp;"",'[2]Retail Price List'!$A$3:$B$103,2,FALSE),"Special Order")</f>
        <v>KP000709</v>
      </c>
      <c r="E513" s="18" t="str">
        <f>[2]Trucks!J510</f>
        <v>CKD</v>
      </c>
      <c r="F513" s="12" t="str">
        <f>[2]Trucks!E510</f>
        <v>2018-03-25</v>
      </c>
      <c r="G513" s="56">
        <f>[2]Trucks!K510</f>
        <v>14.7</v>
      </c>
      <c r="H513" s="46">
        <f>[2]Trucks!I510</f>
        <v>42947</v>
      </c>
      <c r="I513" s="83" t="str">
        <f t="shared" si="35"/>
        <v>2017Q3</v>
      </c>
      <c r="J513" s="272">
        <f>IFERROR(VLOOKUP((D513&amp;C513)&amp;"",'[2]Retail Price List'!$C$4:$F$102,3,FALSE),"")</f>
        <v>1860000</v>
      </c>
      <c r="K513" s="272">
        <f>IFERROR(IF(BA513="WIP - 30 Days",VLOOKUP(D513,[3]Standard!$B$9:$E$101,4,FALSE),IF(BA513="31-120 Days",VLOOKUP(D513,[3]Standard!$B$9:$F$101,5,FALSE),IF(BA513="121-365 Days",VLOOKUP(D513,[3]Standard!$B$9:$G$101,6,FALSE),VLOOKUP(D513,[3]Standard!$B$9:$H$101,7,FALSE)))),0)</f>
        <v>1341060</v>
      </c>
      <c r="L513" s="272">
        <f>IFERROR(IF(BA513="WIP - 30 Days",VLOOKUP(D513,[3]Standard!$B$9:$J$101,9,FALSE),IF(BA513="31-120 Days",VLOOKUP(D513,[3]Standard!$B$9:$K$100,10,FALSE),IF(BA513="121-365 Days",VLOOKUP(D513,[3]Standard!$B$9:$L$101,11,FALSE),VLOOKUP(D513,[3]Standard!$B$9:$M$101,12,FALSE)))),0)</f>
        <v>1302000</v>
      </c>
      <c r="M513" s="269">
        <f>IFERROR(VLOOKUP((D513&amp;C513)&amp;"",'[2]Retail Price List'!$C$4:$F$102,4,FALSE),"")</f>
        <v>1895000</v>
      </c>
      <c r="N513" s="269">
        <f>IFERROR(IF(BA513="WIP - 30 Days",VLOOKUP(D513,[3]Extended!$B$9:$E$101,4,FALSE),IF(BA513="31-120 Days",VLOOKUP(D513,[3]Extended!$B$9:$F$101,5,FALSE),IF(BA513="121-365 Days",VLOOKUP(D513,[3]Extended!$B$9:$G$101,6,FALSE),VLOOKUP(D513,[3]Extended!$B$9:$H$101,7,FALSE)))),0)</f>
        <v>1444369</v>
      </c>
      <c r="O513" s="269">
        <f>IFERROR(IF(BA513="WIP - 30 Days",VLOOKUP(D513,[3]Extended!$B$9:$J$101,9,FALSE),IF(BA513="31-120 Days",VLOOKUP(D513,[3]Extended!$B$9:$K$101,10,FALSE),IF(BA513="121-365 Days",VLOOKUP(D513,[3]Extended!$B$9:$L$101,11,FALSE),VLOOKUP(D513,[3]Extended!$B$9:$M$101,12,FALSE)))),0)</f>
        <v>1402300</v>
      </c>
      <c r="P513" s="116">
        <f t="shared" si="36"/>
        <v>0.26</v>
      </c>
      <c r="Q513" s="110" t="e">
        <f>O513-#REF!</f>
        <v>#REF!</v>
      </c>
      <c r="W513" s="311"/>
      <c r="X513" s="311"/>
      <c r="Y513" s="311"/>
      <c r="Z513" s="311"/>
      <c r="AA513" s="311"/>
      <c r="AB513" s="311"/>
      <c r="AC513" s="311"/>
      <c r="AT513" s="88" t="str">
        <f t="shared" si="37"/>
        <v>KP0007092017Q314,7</v>
      </c>
      <c r="AU513" s="89" t="str">
        <f t="shared" si="38"/>
        <v>07-2017</v>
      </c>
      <c r="BA513" s="92" t="str">
        <f t="shared" si="39"/>
        <v>WIP - 30 Days</v>
      </c>
    </row>
    <row r="514" spans="2:53">
      <c r="B514" s="60" t="str">
        <f>[2]Trucks!A511</f>
        <v>78W-5349</v>
      </c>
      <c r="C514" s="11" t="str">
        <f>[2]Trucks!B511</f>
        <v>TGS-26-4806X4BLS-LX-EL</v>
      </c>
      <c r="D514" s="19" t="str">
        <f>IFERROR(VLOOKUP(C514&amp;"",'[2]Retail Price List'!$A$3:$B$103,2,FALSE),"Special Order")</f>
        <v>KP000709</v>
      </c>
      <c r="E514" s="18" t="str">
        <f>[2]Trucks!J511</f>
        <v>DEMO</v>
      </c>
      <c r="F514" s="12">
        <f>[2]Trucks!E511</f>
        <v>407</v>
      </c>
      <c r="G514" s="56">
        <f>[2]Trucks!K511</f>
        <v>15.2</v>
      </c>
      <c r="H514" s="46">
        <f>[2]Trucks!I511</f>
        <v>42355</v>
      </c>
      <c r="I514" s="83" t="str">
        <f t="shared" si="35"/>
        <v/>
      </c>
      <c r="J514" s="272">
        <f>IFERROR(VLOOKUP((D514&amp;C514)&amp;"",'[2]Retail Price List'!$C$4:$F$102,3,FALSE),"")</f>
        <v>1860000</v>
      </c>
      <c r="K514" s="272">
        <f>IFERROR(IF(BA514="WIP - 30 Days",VLOOKUP(D514,[3]Standard!$B$9:$E$101,4,FALSE),IF(BA514="31-120 Days",VLOOKUP(D514,[3]Standard!$B$9:$F$101,5,FALSE),IF(BA514="121-365 Days",VLOOKUP(D514,[3]Standard!$B$9:$G$101,6,FALSE),VLOOKUP(D514,[3]Standard!$B$9:$H$101,7,FALSE)))),0)</f>
        <v>1202424.2424242424</v>
      </c>
      <c r="L514" s="272">
        <f>IFERROR(IF(BA514="WIP - 30 Days",VLOOKUP(D514,[3]Standard!$B$9:$J$101,9,FALSE),IF(BA514="31-120 Days",VLOOKUP(D514,[3]Standard!$B$9:$K$100,10,FALSE),IF(BA514="121-365 Days",VLOOKUP(D514,[3]Standard!$B$9:$L$101,11,FALSE),VLOOKUP(D514,[3]Standard!$B$9:$M$101,12,FALSE)))),0)</f>
        <v>1190400</v>
      </c>
      <c r="M514" s="269">
        <f>IFERROR(VLOOKUP((D514&amp;C514)&amp;"",'[2]Retail Price List'!$C$4:$F$102,4,FALSE),"")</f>
        <v>1895000</v>
      </c>
      <c r="N514" s="269">
        <f>IFERROR(IF(BA514="WIP - 30 Days",VLOOKUP(D514,[3]Extended!$B$9:$E$101,4,FALSE),IF(BA514="31-120 Days",VLOOKUP(D514,[3]Extended!$B$9:$F$101,5,FALSE),IF(BA514="121-365 Days",VLOOKUP(D514,[3]Extended!$B$9:$G$101,6,FALSE),VLOOKUP(D514,[3]Extended!$B$9:$H$101,7,FALSE)))),0)</f>
        <v>1339898.9898989899</v>
      </c>
      <c r="O514" s="269">
        <f>IFERROR(IF(BA514="WIP - 30 Days",VLOOKUP(D514,[3]Extended!$B$9:$J$101,9,FALSE),IF(BA514="31-120 Days",VLOOKUP(D514,[3]Extended!$B$9:$K$101,10,FALSE),IF(BA514="121-365 Days",VLOOKUP(D514,[3]Extended!$B$9:$L$101,11,FALSE),VLOOKUP(D514,[3]Extended!$B$9:$M$101,12,FALSE)))),0)</f>
        <v>1326500</v>
      </c>
      <c r="P514" s="116">
        <f t="shared" si="36"/>
        <v>0.3</v>
      </c>
      <c r="Q514" s="110" t="e">
        <f>O514-#REF!</f>
        <v>#REF!</v>
      </c>
      <c r="W514" s="311"/>
      <c r="X514" s="311"/>
      <c r="Y514" s="311"/>
      <c r="Z514" s="311"/>
      <c r="AA514" s="311"/>
      <c r="AB514" s="311"/>
      <c r="AC514" s="311"/>
      <c r="AT514" s="88" t="str">
        <f t="shared" si="37"/>
        <v>KP00070915,2</v>
      </c>
      <c r="AU514" s="89" t="str">
        <f t="shared" si="38"/>
        <v>12-2015</v>
      </c>
      <c r="BA514" s="92" t="str">
        <f t="shared" si="39"/>
        <v>&gt;365 Days</v>
      </c>
    </row>
    <row r="515" spans="2:53">
      <c r="B515" s="60" t="str">
        <f>[2]Trucks!A512</f>
        <v>78W-5423</v>
      </c>
      <c r="C515" s="11" t="str">
        <f>[2]Trucks!B512</f>
        <v>TGS-26-4806X4BLS-LX-EL</v>
      </c>
      <c r="D515" s="19" t="str">
        <f>IFERROR(VLOOKUP(C515&amp;"",'[2]Retail Price List'!$A$3:$B$103,2,FALSE),"Special Order")</f>
        <v>KP000709</v>
      </c>
      <c r="E515" s="18" t="str">
        <f>[2]Trucks!J512</f>
        <v>DEMO</v>
      </c>
      <c r="F515" s="12">
        <f>[2]Trucks!E512</f>
        <v>294</v>
      </c>
      <c r="G515" s="56">
        <f>[2]Trucks!K512</f>
        <v>15.2</v>
      </c>
      <c r="H515" s="46">
        <f>[2]Trucks!I512</f>
        <v>42384</v>
      </c>
      <c r="I515" s="83" t="str">
        <f t="shared" si="35"/>
        <v>2016Q1</v>
      </c>
      <c r="J515" s="272">
        <f>IFERROR(VLOOKUP((D515&amp;C515)&amp;"",'[2]Retail Price List'!$C$4:$F$102,3,FALSE),"")</f>
        <v>1860000</v>
      </c>
      <c r="K515" s="272">
        <f>IFERROR(IF(BA515="WIP - 30 Days",VLOOKUP(D515,[3]Standard!$B$9:$E$101,4,FALSE),IF(BA515="31-120 Days",VLOOKUP(D515,[3]Standard!$B$9:$F$101,5,FALSE),IF(BA515="121-365 Days",VLOOKUP(D515,[3]Standard!$B$9:$G$101,6,FALSE),VLOOKUP(D515,[3]Standard!$B$9:$H$101,7,FALSE)))),0)</f>
        <v>1264428</v>
      </c>
      <c r="L515" s="272">
        <f>IFERROR(IF(BA515="WIP - 30 Days",VLOOKUP(D515,[3]Standard!$B$9:$J$101,9,FALSE),IF(BA515="31-120 Days",VLOOKUP(D515,[3]Standard!$B$9:$K$100,10,FALSE),IF(BA515="121-365 Days",VLOOKUP(D515,[3]Standard!$B$9:$L$101,11,FALSE),VLOOKUP(D515,[3]Standard!$B$9:$M$101,12,FALSE)))),0)</f>
        <v>1227600</v>
      </c>
      <c r="M515" s="269">
        <f>IFERROR(VLOOKUP((D515&amp;C515)&amp;"",'[2]Retail Price List'!$C$4:$F$102,4,FALSE),"")</f>
        <v>1895000</v>
      </c>
      <c r="N515" s="269">
        <f>IFERROR(IF(BA515="WIP - 30 Days",VLOOKUP(D515,[3]Extended!$B$9:$E$101,4,FALSE),IF(BA515="31-120 Days",VLOOKUP(D515,[3]Extended!$B$9:$F$101,5,FALSE),IF(BA515="121-365 Days",VLOOKUP(D515,[3]Extended!$B$9:$G$101,6,FALSE),VLOOKUP(D515,[3]Extended!$B$9:$H$101,7,FALSE)))),0)</f>
        <v>1405332</v>
      </c>
      <c r="O515" s="269">
        <f>IFERROR(IF(BA515="WIP - 30 Days",VLOOKUP(D515,[3]Extended!$B$9:$J$101,9,FALSE),IF(BA515="31-120 Days",VLOOKUP(D515,[3]Extended!$B$9:$K$101,10,FALSE),IF(BA515="121-365 Days",VLOOKUP(D515,[3]Extended!$B$9:$L$101,11,FALSE),VLOOKUP(D515,[3]Extended!$B$9:$M$101,12,FALSE)))),0)</f>
        <v>1364400</v>
      </c>
      <c r="P515" s="116">
        <f t="shared" si="36"/>
        <v>0.28000000000000003</v>
      </c>
      <c r="Q515" s="110" t="e">
        <f>O515-#REF!</f>
        <v>#REF!</v>
      </c>
      <c r="W515" s="311"/>
      <c r="X515" s="311"/>
      <c r="Y515" s="311"/>
      <c r="Z515" s="311"/>
      <c r="AA515" s="311"/>
      <c r="AB515" s="311"/>
      <c r="AC515" s="311"/>
      <c r="AT515" s="88" t="str">
        <f t="shared" si="37"/>
        <v>KP0007092016Q115,2</v>
      </c>
      <c r="AU515" s="89" t="str">
        <f t="shared" si="38"/>
        <v>01-2016</v>
      </c>
      <c r="BA515" s="92" t="str">
        <f t="shared" si="39"/>
        <v>121-365 Days</v>
      </c>
    </row>
    <row r="516" spans="2:53">
      <c r="B516" s="60" t="str">
        <f>[2]Trucks!A513</f>
        <v>78W-5857</v>
      </c>
      <c r="C516" s="11" t="str">
        <f>[2]Trucks!B513</f>
        <v>TGS-26-4806X4BLS-LX-EL</v>
      </c>
      <c r="D516" s="19" t="str">
        <f>IFERROR(VLOOKUP(C516&amp;"",'[2]Retail Price List'!$A$3:$B$103,2,FALSE),"Special Order")</f>
        <v>KP000709</v>
      </c>
      <c r="E516" s="18" t="str">
        <f>[2]Trucks!J513</f>
        <v>BOOKED : 2017-08-8</v>
      </c>
      <c r="F516" s="12">
        <f>[2]Trucks!E513</f>
        <v>4</v>
      </c>
      <c r="G516" s="56">
        <f>[2]Trucks!K513</f>
        <v>15.4</v>
      </c>
      <c r="H516" s="46">
        <f>[2]Trucks!I513</f>
        <v>42804</v>
      </c>
      <c r="I516" s="83" t="str">
        <f t="shared" si="35"/>
        <v>2017Q1</v>
      </c>
      <c r="J516" s="272">
        <f>IFERROR(VLOOKUP((D516&amp;C516)&amp;"",'[2]Retail Price List'!$C$4:$F$102,3,FALSE),"")</f>
        <v>1860000</v>
      </c>
      <c r="K516" s="272">
        <f>IFERROR(IF(BA516="WIP - 30 Days",VLOOKUP(D516,[3]Standard!$B$9:$E$101,4,FALSE),IF(BA516="31-120 Days",VLOOKUP(D516,[3]Standard!$B$9:$F$101,5,FALSE),IF(BA516="121-365 Days",VLOOKUP(D516,[3]Standard!$B$9:$G$101,6,FALSE),VLOOKUP(D516,[3]Standard!$B$9:$H$101,7,FALSE)))),0)</f>
        <v>1341060</v>
      </c>
      <c r="L516" s="272">
        <f>IFERROR(IF(BA516="WIP - 30 Days",VLOOKUP(D516,[3]Standard!$B$9:$J$101,9,FALSE),IF(BA516="31-120 Days",VLOOKUP(D516,[3]Standard!$B$9:$K$100,10,FALSE),IF(BA516="121-365 Days",VLOOKUP(D516,[3]Standard!$B$9:$L$101,11,FALSE),VLOOKUP(D516,[3]Standard!$B$9:$M$101,12,FALSE)))),0)</f>
        <v>1302000</v>
      </c>
      <c r="M516" s="269">
        <f>IFERROR(VLOOKUP((D516&amp;C516)&amp;"",'[2]Retail Price List'!$C$4:$F$102,4,FALSE),"")</f>
        <v>1895000</v>
      </c>
      <c r="N516" s="269">
        <f>IFERROR(IF(BA516="WIP - 30 Days",VLOOKUP(D516,[3]Extended!$B$9:$E$101,4,FALSE),IF(BA516="31-120 Days",VLOOKUP(D516,[3]Extended!$B$9:$F$101,5,FALSE),IF(BA516="121-365 Days",VLOOKUP(D516,[3]Extended!$B$9:$G$101,6,FALSE),VLOOKUP(D516,[3]Extended!$B$9:$H$101,7,FALSE)))),0)</f>
        <v>1444369</v>
      </c>
      <c r="O516" s="269">
        <f>IFERROR(IF(BA516="WIP - 30 Days",VLOOKUP(D516,[3]Extended!$B$9:$J$101,9,FALSE),IF(BA516="31-120 Days",VLOOKUP(D516,[3]Extended!$B$9:$K$101,10,FALSE),IF(BA516="121-365 Days",VLOOKUP(D516,[3]Extended!$B$9:$L$101,11,FALSE),VLOOKUP(D516,[3]Extended!$B$9:$M$101,12,FALSE)))),0)</f>
        <v>1402300</v>
      </c>
      <c r="P516" s="116">
        <f t="shared" si="36"/>
        <v>0.26</v>
      </c>
      <c r="Q516" s="110" t="e">
        <f>O516-#REF!</f>
        <v>#REF!</v>
      </c>
      <c r="W516" s="311"/>
      <c r="X516" s="311"/>
      <c r="Y516" s="311"/>
      <c r="Z516" s="311"/>
      <c r="AA516" s="311"/>
      <c r="AB516" s="311"/>
      <c r="AC516" s="311"/>
      <c r="AT516" s="88" t="str">
        <f t="shared" si="37"/>
        <v>KP0007092017Q115,4</v>
      </c>
      <c r="AU516" s="89" t="str">
        <f t="shared" si="38"/>
        <v>03-2017</v>
      </c>
      <c r="BA516" s="92" t="str">
        <f t="shared" si="39"/>
        <v>WIP - 30 Days</v>
      </c>
    </row>
    <row r="517" spans="2:53">
      <c r="B517" s="60" t="str">
        <f>[2]Trucks!A514</f>
        <v>78W-5858</v>
      </c>
      <c r="C517" s="11" t="str">
        <f>[2]Trucks!B514</f>
        <v>TGS-26-4806X4BLS-LX-EL</v>
      </c>
      <c r="D517" s="19" t="str">
        <f>IFERROR(VLOOKUP(C517&amp;"",'[2]Retail Price List'!$A$3:$B$103,2,FALSE),"Special Order")</f>
        <v>KP000709</v>
      </c>
      <c r="E517" s="18" t="str">
        <f>[2]Trucks!J514</f>
        <v>BOOKED : 2017-08-8</v>
      </c>
      <c r="F517" s="12" t="str">
        <f>[2]Trucks!E514</f>
        <v>2017-08-22</v>
      </c>
      <c r="G517" s="56">
        <f>[2]Trucks!K514</f>
        <v>15.4</v>
      </c>
      <c r="H517" s="46">
        <f>[2]Trucks!I514</f>
        <v>42804</v>
      </c>
      <c r="I517" s="83" t="str">
        <f t="shared" ref="I517:I580" si="40">IFERROR(VLOOKUP(AU517,$AW$5:$AY$40,3,FALSE),"")</f>
        <v>2017Q1</v>
      </c>
      <c r="J517" s="272">
        <f>IFERROR(VLOOKUP((D517&amp;C517)&amp;"",'[2]Retail Price List'!$C$4:$F$102,3,FALSE),"")</f>
        <v>1860000</v>
      </c>
      <c r="K517" s="272">
        <f>IFERROR(IF(BA517="WIP - 30 Days",VLOOKUP(D517,[3]Standard!$B$9:$E$101,4,FALSE),IF(BA517="31-120 Days",VLOOKUP(D517,[3]Standard!$B$9:$F$101,5,FALSE),IF(BA517="121-365 Days",VLOOKUP(D517,[3]Standard!$B$9:$G$101,6,FALSE),VLOOKUP(D517,[3]Standard!$B$9:$H$101,7,FALSE)))),0)</f>
        <v>1202424.2424242424</v>
      </c>
      <c r="L517" s="272">
        <f>IFERROR(IF(BA517="WIP - 30 Days",VLOOKUP(D517,[3]Standard!$B$9:$J$101,9,FALSE),IF(BA517="31-120 Days",VLOOKUP(D517,[3]Standard!$B$9:$K$100,10,FALSE),IF(BA517="121-365 Days",VLOOKUP(D517,[3]Standard!$B$9:$L$101,11,FALSE),VLOOKUP(D517,[3]Standard!$B$9:$M$101,12,FALSE)))),0)</f>
        <v>1190400</v>
      </c>
      <c r="M517" s="269">
        <f>IFERROR(VLOOKUP((D517&amp;C517)&amp;"",'[2]Retail Price List'!$C$4:$F$102,4,FALSE),"")</f>
        <v>1895000</v>
      </c>
      <c r="N517" s="269">
        <f>IFERROR(IF(BA517="WIP - 30 Days",VLOOKUP(D517,[3]Extended!$B$9:$E$101,4,FALSE),IF(BA517="31-120 Days",VLOOKUP(D517,[3]Extended!$B$9:$F$101,5,FALSE),IF(BA517="121-365 Days",VLOOKUP(D517,[3]Extended!$B$9:$G$101,6,FALSE),VLOOKUP(D517,[3]Extended!$B$9:$H$101,7,FALSE)))),0)</f>
        <v>1339898.9898989899</v>
      </c>
      <c r="O517" s="269">
        <f>IFERROR(IF(BA517="WIP - 30 Days",VLOOKUP(D517,[3]Extended!$B$9:$J$101,9,FALSE),IF(BA517="31-120 Days",VLOOKUP(D517,[3]Extended!$B$9:$K$101,10,FALSE),IF(BA517="121-365 Days",VLOOKUP(D517,[3]Extended!$B$9:$L$101,11,FALSE),VLOOKUP(D517,[3]Extended!$B$9:$M$101,12,FALSE)))),0)</f>
        <v>1326500</v>
      </c>
      <c r="P517" s="116">
        <f t="shared" ref="P517:P580" si="41">(M517-O517)/M517</f>
        <v>0.3</v>
      </c>
      <c r="Q517" s="110" t="e">
        <f>O517-#REF!</f>
        <v>#REF!</v>
      </c>
      <c r="W517" s="311"/>
      <c r="X517" s="311"/>
      <c r="Y517" s="311"/>
      <c r="Z517" s="311"/>
      <c r="AA517" s="311"/>
      <c r="AB517" s="311"/>
      <c r="AC517" s="311"/>
      <c r="AT517" s="88" t="str">
        <f t="shared" ref="AT517:AT580" si="42">D517&amp;I517&amp;G517</f>
        <v>KP0007092017Q115,4</v>
      </c>
      <c r="AU517" s="89" t="str">
        <f t="shared" ref="AU517:AU580" si="43">IF(MONTH(H517)&lt;10,0&amp;MONTH(H517)&amp;"-"&amp;YEAR(H517),MONTH(H517)&amp;"-"&amp;YEAR(H517))</f>
        <v>03-2017</v>
      </c>
      <c r="BA517" s="92" t="str">
        <f t="shared" ref="BA517:BA580" si="44">IF(B517=0,"",IF(AND(F517&gt;=31,F517&lt;=120),"31-120 Days",IF(AND(F517&gt;=121,F517&lt;=365),"121-365 Days",IF(OR(E517="CKD",F517&lt;=30),"WIP - 30 Days","&gt;365 Days"))))</f>
        <v>&gt;365 Days</v>
      </c>
    </row>
    <row r="518" spans="2:53">
      <c r="B518" s="60" t="str">
        <f>[2]Trucks!A515</f>
        <v>78W-5859</v>
      </c>
      <c r="C518" s="11" t="str">
        <f>[2]Trucks!B515</f>
        <v>TGS-26-4806X4BLS-LX-EL</v>
      </c>
      <c r="D518" s="19" t="str">
        <f>IFERROR(VLOOKUP(C518&amp;"",'[2]Retail Price List'!$A$3:$B$103,2,FALSE),"Special Order")</f>
        <v>KP000709</v>
      </c>
      <c r="E518" s="18" t="str">
        <f>[2]Trucks!J515</f>
        <v>BOOKED : 2017-08-8</v>
      </c>
      <c r="F518" s="12" t="str">
        <f>[2]Trucks!E515</f>
        <v>2017-08-22</v>
      </c>
      <c r="G518" s="56">
        <f>[2]Trucks!K515</f>
        <v>15.4</v>
      </c>
      <c r="H518" s="46">
        <f>[2]Trucks!I515</f>
        <v>42804</v>
      </c>
      <c r="I518" s="83" t="str">
        <f t="shared" si="40"/>
        <v>2017Q1</v>
      </c>
      <c r="J518" s="272">
        <f>IFERROR(VLOOKUP((D518&amp;C518)&amp;"",'[2]Retail Price List'!$C$4:$F$102,3,FALSE),"")</f>
        <v>1860000</v>
      </c>
      <c r="K518" s="272">
        <f>IFERROR(IF(BA518="WIP - 30 Days",VLOOKUP(D518,[3]Standard!$B$9:$E$101,4,FALSE),IF(BA518="31-120 Days",VLOOKUP(D518,[3]Standard!$B$9:$F$101,5,FALSE),IF(BA518="121-365 Days",VLOOKUP(D518,[3]Standard!$B$9:$G$101,6,FALSE),VLOOKUP(D518,[3]Standard!$B$9:$H$101,7,FALSE)))),0)</f>
        <v>1202424.2424242424</v>
      </c>
      <c r="L518" s="272">
        <f>IFERROR(IF(BA518="WIP - 30 Days",VLOOKUP(D518,[3]Standard!$B$9:$J$101,9,FALSE),IF(BA518="31-120 Days",VLOOKUP(D518,[3]Standard!$B$9:$K$100,10,FALSE),IF(BA518="121-365 Days",VLOOKUP(D518,[3]Standard!$B$9:$L$101,11,FALSE),VLOOKUP(D518,[3]Standard!$B$9:$M$101,12,FALSE)))),0)</f>
        <v>1190400</v>
      </c>
      <c r="M518" s="269">
        <f>IFERROR(VLOOKUP((D518&amp;C518)&amp;"",'[2]Retail Price List'!$C$4:$F$102,4,FALSE),"")</f>
        <v>1895000</v>
      </c>
      <c r="N518" s="269">
        <f>IFERROR(IF(BA518="WIP - 30 Days",VLOOKUP(D518,[3]Extended!$B$9:$E$101,4,FALSE),IF(BA518="31-120 Days",VLOOKUP(D518,[3]Extended!$B$9:$F$101,5,FALSE),IF(BA518="121-365 Days",VLOOKUP(D518,[3]Extended!$B$9:$G$101,6,FALSE),VLOOKUP(D518,[3]Extended!$B$9:$H$101,7,FALSE)))),0)</f>
        <v>1339898.9898989899</v>
      </c>
      <c r="O518" s="269">
        <f>IFERROR(IF(BA518="WIP - 30 Days",VLOOKUP(D518,[3]Extended!$B$9:$J$101,9,FALSE),IF(BA518="31-120 Days",VLOOKUP(D518,[3]Extended!$B$9:$K$101,10,FALSE),IF(BA518="121-365 Days",VLOOKUP(D518,[3]Extended!$B$9:$L$101,11,FALSE),VLOOKUP(D518,[3]Extended!$B$9:$M$101,12,FALSE)))),0)</f>
        <v>1326500</v>
      </c>
      <c r="P518" s="116">
        <f t="shared" si="41"/>
        <v>0.3</v>
      </c>
      <c r="Q518" s="110" t="e">
        <f>O518-#REF!</f>
        <v>#REF!</v>
      </c>
      <c r="W518" s="311"/>
      <c r="X518" s="311"/>
      <c r="Y518" s="311"/>
      <c r="Z518" s="311"/>
      <c r="AA518" s="311"/>
      <c r="AB518" s="311"/>
      <c r="AC518" s="311"/>
      <c r="AT518" s="88" t="str">
        <f t="shared" si="42"/>
        <v>KP0007092017Q115,4</v>
      </c>
      <c r="AU518" s="89" t="str">
        <f t="shared" si="43"/>
        <v>03-2017</v>
      </c>
      <c r="BA518" s="92" t="str">
        <f t="shared" si="44"/>
        <v>&gt;365 Days</v>
      </c>
    </row>
    <row r="519" spans="2:53">
      <c r="B519" s="60" t="str">
        <f>[2]Trucks!A516</f>
        <v>78W-5860</v>
      </c>
      <c r="C519" s="11" t="str">
        <f>[2]Trucks!B516</f>
        <v>TGS-26-4806X4BLS-LX-EL</v>
      </c>
      <c r="D519" s="19" t="str">
        <f>IFERROR(VLOOKUP(C519&amp;"",'[2]Retail Price List'!$A$3:$B$103,2,FALSE),"Special Order")</f>
        <v>KP000709</v>
      </c>
      <c r="E519" s="18" t="str">
        <f>[2]Trucks!J516</f>
        <v>BOOKED : 2017-08-8</v>
      </c>
      <c r="F519" s="12" t="str">
        <f>[2]Trucks!E516</f>
        <v>2017-08-22</v>
      </c>
      <c r="G519" s="56">
        <f>[2]Trucks!K516</f>
        <v>15.4</v>
      </c>
      <c r="H519" s="46">
        <f>[2]Trucks!I516</f>
        <v>42804</v>
      </c>
      <c r="I519" s="83" t="str">
        <f t="shared" si="40"/>
        <v>2017Q1</v>
      </c>
      <c r="J519" s="272">
        <f>IFERROR(VLOOKUP((D519&amp;C519)&amp;"",'[2]Retail Price List'!$C$4:$F$102,3,FALSE),"")</f>
        <v>1860000</v>
      </c>
      <c r="K519" s="272">
        <f>IFERROR(IF(BA519="WIP - 30 Days",VLOOKUP(D519,[3]Standard!$B$9:$E$101,4,FALSE),IF(BA519="31-120 Days",VLOOKUP(D519,[3]Standard!$B$9:$F$101,5,FALSE),IF(BA519="121-365 Days",VLOOKUP(D519,[3]Standard!$B$9:$G$101,6,FALSE),VLOOKUP(D519,[3]Standard!$B$9:$H$101,7,FALSE)))),0)</f>
        <v>1202424.2424242424</v>
      </c>
      <c r="L519" s="272">
        <f>IFERROR(IF(BA519="WIP - 30 Days",VLOOKUP(D519,[3]Standard!$B$9:$J$101,9,FALSE),IF(BA519="31-120 Days",VLOOKUP(D519,[3]Standard!$B$9:$K$100,10,FALSE),IF(BA519="121-365 Days",VLOOKUP(D519,[3]Standard!$B$9:$L$101,11,FALSE),VLOOKUP(D519,[3]Standard!$B$9:$M$101,12,FALSE)))),0)</f>
        <v>1190400</v>
      </c>
      <c r="M519" s="269">
        <f>IFERROR(VLOOKUP((D519&amp;C519)&amp;"",'[2]Retail Price List'!$C$4:$F$102,4,FALSE),"")</f>
        <v>1895000</v>
      </c>
      <c r="N519" s="269">
        <f>IFERROR(IF(BA519="WIP - 30 Days",VLOOKUP(D519,[3]Extended!$B$9:$E$101,4,FALSE),IF(BA519="31-120 Days",VLOOKUP(D519,[3]Extended!$B$9:$F$101,5,FALSE),IF(BA519="121-365 Days",VLOOKUP(D519,[3]Extended!$B$9:$G$101,6,FALSE),VLOOKUP(D519,[3]Extended!$B$9:$H$101,7,FALSE)))),0)</f>
        <v>1339898.9898989899</v>
      </c>
      <c r="O519" s="269">
        <f>IFERROR(IF(BA519="WIP - 30 Days",VLOOKUP(D519,[3]Extended!$B$9:$J$101,9,FALSE),IF(BA519="31-120 Days",VLOOKUP(D519,[3]Extended!$B$9:$K$101,10,FALSE),IF(BA519="121-365 Days",VLOOKUP(D519,[3]Extended!$B$9:$L$101,11,FALSE),VLOOKUP(D519,[3]Extended!$B$9:$M$101,12,FALSE)))),0)</f>
        <v>1326500</v>
      </c>
      <c r="P519" s="116">
        <f t="shared" si="41"/>
        <v>0.3</v>
      </c>
      <c r="Q519" s="110" t="e">
        <f>O519-#REF!</f>
        <v>#REF!</v>
      </c>
      <c r="W519" s="311"/>
      <c r="X519" s="311"/>
      <c r="Y519" s="311"/>
      <c r="Z519" s="311"/>
      <c r="AA519" s="311"/>
      <c r="AB519" s="311"/>
      <c r="AC519" s="311"/>
      <c r="AT519" s="88" t="str">
        <f t="shared" si="42"/>
        <v>KP0007092017Q115,4</v>
      </c>
      <c r="AU519" s="89" t="str">
        <f t="shared" si="43"/>
        <v>03-2017</v>
      </c>
      <c r="BA519" s="92" t="str">
        <f t="shared" si="44"/>
        <v>&gt;365 Days</v>
      </c>
    </row>
    <row r="520" spans="2:53">
      <c r="B520" s="60" t="str">
        <f>[2]Trucks!A517</f>
        <v>78W-5861</v>
      </c>
      <c r="C520" s="11" t="str">
        <f>[2]Trucks!B517</f>
        <v>TGS-26-4806X4BLS-LX-EL</v>
      </c>
      <c r="D520" s="19" t="str">
        <f>IFERROR(VLOOKUP(C520&amp;"",'[2]Retail Price List'!$A$3:$B$103,2,FALSE),"Special Order")</f>
        <v>KP000709</v>
      </c>
      <c r="E520" s="18" t="str">
        <f>[2]Trucks!J517</f>
        <v>BOOKED : 2017-08-8</v>
      </c>
      <c r="F520" s="12" t="str">
        <f>[2]Trucks!E517</f>
        <v>2017-08-23</v>
      </c>
      <c r="G520" s="56">
        <f>[2]Trucks!K517</f>
        <v>15.4</v>
      </c>
      <c r="H520" s="46">
        <f>[2]Trucks!I517</f>
        <v>42804</v>
      </c>
      <c r="I520" s="83" t="str">
        <f t="shared" si="40"/>
        <v>2017Q1</v>
      </c>
      <c r="J520" s="272">
        <f>IFERROR(VLOOKUP((D520&amp;C520)&amp;"",'[2]Retail Price List'!$C$4:$F$102,3,FALSE),"")</f>
        <v>1860000</v>
      </c>
      <c r="K520" s="272">
        <f>IFERROR(IF(BA520="WIP - 30 Days",VLOOKUP(D520,[3]Standard!$B$9:$E$101,4,FALSE),IF(BA520="31-120 Days",VLOOKUP(D520,[3]Standard!$B$9:$F$101,5,FALSE),IF(BA520="121-365 Days",VLOOKUP(D520,[3]Standard!$B$9:$G$101,6,FALSE),VLOOKUP(D520,[3]Standard!$B$9:$H$101,7,FALSE)))),0)</f>
        <v>1202424.2424242424</v>
      </c>
      <c r="L520" s="272">
        <f>IFERROR(IF(BA520="WIP - 30 Days",VLOOKUP(D520,[3]Standard!$B$9:$J$101,9,FALSE),IF(BA520="31-120 Days",VLOOKUP(D520,[3]Standard!$B$9:$K$100,10,FALSE),IF(BA520="121-365 Days",VLOOKUP(D520,[3]Standard!$B$9:$L$101,11,FALSE),VLOOKUP(D520,[3]Standard!$B$9:$M$101,12,FALSE)))),0)</f>
        <v>1190400</v>
      </c>
      <c r="M520" s="269">
        <f>IFERROR(VLOOKUP((D520&amp;C520)&amp;"",'[2]Retail Price List'!$C$4:$F$102,4,FALSE),"")</f>
        <v>1895000</v>
      </c>
      <c r="N520" s="269">
        <f>IFERROR(IF(BA520="WIP - 30 Days",VLOOKUP(D520,[3]Extended!$B$9:$E$101,4,FALSE),IF(BA520="31-120 Days",VLOOKUP(D520,[3]Extended!$B$9:$F$101,5,FALSE),IF(BA520="121-365 Days",VLOOKUP(D520,[3]Extended!$B$9:$G$101,6,FALSE),VLOOKUP(D520,[3]Extended!$B$9:$H$101,7,FALSE)))),0)</f>
        <v>1339898.9898989899</v>
      </c>
      <c r="O520" s="269">
        <f>IFERROR(IF(BA520="WIP - 30 Days",VLOOKUP(D520,[3]Extended!$B$9:$J$101,9,FALSE),IF(BA520="31-120 Days",VLOOKUP(D520,[3]Extended!$B$9:$K$101,10,FALSE),IF(BA520="121-365 Days",VLOOKUP(D520,[3]Extended!$B$9:$L$101,11,FALSE),VLOOKUP(D520,[3]Extended!$B$9:$M$101,12,FALSE)))),0)</f>
        <v>1326500</v>
      </c>
      <c r="P520" s="116">
        <f t="shared" si="41"/>
        <v>0.3</v>
      </c>
      <c r="Q520" s="110" t="e">
        <f>O520-#REF!</f>
        <v>#REF!</v>
      </c>
      <c r="W520" s="311"/>
      <c r="X520" s="311"/>
      <c r="Y520" s="311"/>
      <c r="Z520" s="311"/>
      <c r="AA520" s="311"/>
      <c r="AB520" s="311"/>
      <c r="AC520" s="311"/>
      <c r="AT520" s="88" t="str">
        <f t="shared" si="42"/>
        <v>KP0007092017Q115,4</v>
      </c>
      <c r="AU520" s="89" t="str">
        <f t="shared" si="43"/>
        <v>03-2017</v>
      </c>
      <c r="BA520" s="92" t="str">
        <f t="shared" si="44"/>
        <v>&gt;365 Days</v>
      </c>
    </row>
    <row r="521" spans="2:53">
      <c r="B521" s="60" t="str">
        <f>[2]Trucks!A518</f>
        <v>78W-5862</v>
      </c>
      <c r="C521" s="11" t="str">
        <f>[2]Trucks!B518</f>
        <v>TGS-26-4806X4BLS-LX-EL</v>
      </c>
      <c r="D521" s="19" t="str">
        <f>IFERROR(VLOOKUP(C521&amp;"",'[2]Retail Price List'!$A$3:$B$103,2,FALSE),"Special Order")</f>
        <v>KP000709</v>
      </c>
      <c r="E521" s="18" t="str">
        <f>[2]Trucks!J518</f>
        <v>BOOKED : 2017-08-8</v>
      </c>
      <c r="F521" s="12" t="str">
        <f>[2]Trucks!E518</f>
        <v>2017-08-23</v>
      </c>
      <c r="G521" s="56">
        <f>[2]Trucks!K518</f>
        <v>15.4</v>
      </c>
      <c r="H521" s="46">
        <f>[2]Trucks!I518</f>
        <v>42804</v>
      </c>
      <c r="I521" s="83" t="str">
        <f t="shared" si="40"/>
        <v>2017Q1</v>
      </c>
      <c r="J521" s="272">
        <f>IFERROR(VLOOKUP((D521&amp;C521)&amp;"",'[2]Retail Price List'!$C$4:$F$102,3,FALSE),"")</f>
        <v>1860000</v>
      </c>
      <c r="K521" s="272">
        <f>IFERROR(IF(BA521="WIP - 30 Days",VLOOKUP(D521,[3]Standard!$B$9:$E$101,4,FALSE),IF(BA521="31-120 Days",VLOOKUP(D521,[3]Standard!$B$9:$F$101,5,FALSE),IF(BA521="121-365 Days",VLOOKUP(D521,[3]Standard!$B$9:$G$101,6,FALSE),VLOOKUP(D521,[3]Standard!$B$9:$H$101,7,FALSE)))),0)</f>
        <v>1202424.2424242424</v>
      </c>
      <c r="L521" s="272">
        <f>IFERROR(IF(BA521="WIP - 30 Days",VLOOKUP(D521,[3]Standard!$B$9:$J$101,9,FALSE),IF(BA521="31-120 Days",VLOOKUP(D521,[3]Standard!$B$9:$K$100,10,FALSE),IF(BA521="121-365 Days",VLOOKUP(D521,[3]Standard!$B$9:$L$101,11,FALSE),VLOOKUP(D521,[3]Standard!$B$9:$M$101,12,FALSE)))),0)</f>
        <v>1190400</v>
      </c>
      <c r="M521" s="269">
        <f>IFERROR(VLOOKUP((D521&amp;C521)&amp;"",'[2]Retail Price List'!$C$4:$F$102,4,FALSE),"")</f>
        <v>1895000</v>
      </c>
      <c r="N521" s="269">
        <f>IFERROR(IF(BA521="WIP - 30 Days",VLOOKUP(D521,[3]Extended!$B$9:$E$101,4,FALSE),IF(BA521="31-120 Days",VLOOKUP(D521,[3]Extended!$B$9:$F$101,5,FALSE),IF(BA521="121-365 Days",VLOOKUP(D521,[3]Extended!$B$9:$G$101,6,FALSE),VLOOKUP(D521,[3]Extended!$B$9:$H$101,7,FALSE)))),0)</f>
        <v>1339898.9898989899</v>
      </c>
      <c r="O521" s="269">
        <f>IFERROR(IF(BA521="WIP - 30 Days",VLOOKUP(D521,[3]Extended!$B$9:$J$101,9,FALSE),IF(BA521="31-120 Days",VLOOKUP(D521,[3]Extended!$B$9:$K$101,10,FALSE),IF(BA521="121-365 Days",VLOOKUP(D521,[3]Extended!$B$9:$L$101,11,FALSE),VLOOKUP(D521,[3]Extended!$B$9:$M$101,12,FALSE)))),0)</f>
        <v>1326500</v>
      </c>
      <c r="P521" s="116">
        <f t="shared" si="41"/>
        <v>0.3</v>
      </c>
      <c r="Q521" s="110" t="e">
        <f>O521-#REF!</f>
        <v>#REF!</v>
      </c>
      <c r="W521" s="311"/>
      <c r="X521" s="311"/>
      <c r="Y521" s="311"/>
      <c r="Z521" s="311"/>
      <c r="AA521" s="311"/>
      <c r="AB521" s="311"/>
      <c r="AC521" s="311"/>
      <c r="AT521" s="88" t="str">
        <f t="shared" si="42"/>
        <v>KP0007092017Q115,4</v>
      </c>
      <c r="AU521" s="89" t="str">
        <f t="shared" si="43"/>
        <v>03-2017</v>
      </c>
      <c r="BA521" s="92" t="str">
        <f t="shared" si="44"/>
        <v>&gt;365 Days</v>
      </c>
    </row>
    <row r="522" spans="2:53">
      <c r="B522" s="60" t="str">
        <f>[2]Trucks!A519</f>
        <v>78W-5863</v>
      </c>
      <c r="C522" s="11" t="str">
        <f>[2]Trucks!B519</f>
        <v>TGS-26-4806X4BLS-LX-EL</v>
      </c>
      <c r="D522" s="19" t="str">
        <f>IFERROR(VLOOKUP(C522&amp;"",'[2]Retail Price List'!$A$3:$B$103,2,FALSE),"Special Order")</f>
        <v>KP000709</v>
      </c>
      <c r="E522" s="18" t="str">
        <f>[2]Trucks!J519</f>
        <v>BOOKED : 2017-08-8</v>
      </c>
      <c r="F522" s="12" t="str">
        <f>[2]Trucks!E519</f>
        <v>2017-08-23</v>
      </c>
      <c r="G522" s="56">
        <f>[2]Trucks!K519</f>
        <v>15.4</v>
      </c>
      <c r="H522" s="46">
        <f>[2]Trucks!I519</f>
        <v>42804</v>
      </c>
      <c r="I522" s="83" t="str">
        <f t="shared" si="40"/>
        <v>2017Q1</v>
      </c>
      <c r="J522" s="272">
        <f>IFERROR(VLOOKUP((D522&amp;C522)&amp;"",'[2]Retail Price List'!$C$4:$F$102,3,FALSE),"")</f>
        <v>1860000</v>
      </c>
      <c r="K522" s="272">
        <f>IFERROR(IF(BA522="WIP - 30 Days",VLOOKUP(D522,[3]Standard!$B$9:$E$101,4,FALSE),IF(BA522="31-120 Days",VLOOKUP(D522,[3]Standard!$B$9:$F$101,5,FALSE),IF(BA522="121-365 Days",VLOOKUP(D522,[3]Standard!$B$9:$G$101,6,FALSE),VLOOKUP(D522,[3]Standard!$B$9:$H$101,7,FALSE)))),0)</f>
        <v>1202424.2424242424</v>
      </c>
      <c r="L522" s="272">
        <f>IFERROR(IF(BA522="WIP - 30 Days",VLOOKUP(D522,[3]Standard!$B$9:$J$101,9,FALSE),IF(BA522="31-120 Days",VLOOKUP(D522,[3]Standard!$B$9:$K$100,10,FALSE),IF(BA522="121-365 Days",VLOOKUP(D522,[3]Standard!$B$9:$L$101,11,FALSE),VLOOKUP(D522,[3]Standard!$B$9:$M$101,12,FALSE)))),0)</f>
        <v>1190400</v>
      </c>
      <c r="M522" s="269">
        <f>IFERROR(VLOOKUP((D522&amp;C522)&amp;"",'[2]Retail Price List'!$C$4:$F$102,4,FALSE),"")</f>
        <v>1895000</v>
      </c>
      <c r="N522" s="269">
        <f>IFERROR(IF(BA522="WIP - 30 Days",VLOOKUP(D522,[3]Extended!$B$9:$E$101,4,FALSE),IF(BA522="31-120 Days",VLOOKUP(D522,[3]Extended!$B$9:$F$101,5,FALSE),IF(BA522="121-365 Days",VLOOKUP(D522,[3]Extended!$B$9:$G$101,6,FALSE),VLOOKUP(D522,[3]Extended!$B$9:$H$101,7,FALSE)))),0)</f>
        <v>1339898.9898989899</v>
      </c>
      <c r="O522" s="269">
        <f>IFERROR(IF(BA522="WIP - 30 Days",VLOOKUP(D522,[3]Extended!$B$9:$J$101,9,FALSE),IF(BA522="31-120 Days",VLOOKUP(D522,[3]Extended!$B$9:$K$101,10,FALSE),IF(BA522="121-365 Days",VLOOKUP(D522,[3]Extended!$B$9:$L$101,11,FALSE),VLOOKUP(D522,[3]Extended!$B$9:$M$101,12,FALSE)))),0)</f>
        <v>1326500</v>
      </c>
      <c r="P522" s="116">
        <f t="shared" si="41"/>
        <v>0.3</v>
      </c>
      <c r="Q522" s="110" t="e">
        <f>O522-#REF!</f>
        <v>#REF!</v>
      </c>
      <c r="W522" s="311"/>
      <c r="X522" s="311"/>
      <c r="Y522" s="311"/>
      <c r="Z522" s="311"/>
      <c r="AA522" s="311"/>
      <c r="AB522" s="311"/>
      <c r="AC522" s="311"/>
      <c r="AT522" s="88" t="str">
        <f t="shared" si="42"/>
        <v>KP0007092017Q115,4</v>
      </c>
      <c r="AU522" s="89" t="str">
        <f t="shared" si="43"/>
        <v>03-2017</v>
      </c>
      <c r="BA522" s="92" t="str">
        <f t="shared" si="44"/>
        <v>&gt;365 Days</v>
      </c>
    </row>
    <row r="523" spans="2:53">
      <c r="B523" s="60" t="str">
        <f>[2]Trucks!A520</f>
        <v>78W-5864</v>
      </c>
      <c r="C523" s="11" t="str">
        <f>[2]Trucks!B520</f>
        <v>TGS-26-4806X4BLS-LX-EL</v>
      </c>
      <c r="D523" s="19" t="str">
        <f>IFERROR(VLOOKUP(C523&amp;"",'[2]Retail Price List'!$A$3:$B$103,2,FALSE),"Special Order")</f>
        <v>KP000709</v>
      </c>
      <c r="E523" s="18" t="str">
        <f>[2]Trucks!J520</f>
        <v>CKD</v>
      </c>
      <c r="F523" s="12" t="str">
        <f>[2]Trucks!E520</f>
        <v>2017-08-23</v>
      </c>
      <c r="G523" s="56">
        <f>[2]Trucks!K520</f>
        <v>15.4</v>
      </c>
      <c r="H523" s="46">
        <f>[2]Trucks!I520</f>
        <v>42804</v>
      </c>
      <c r="I523" s="83" t="str">
        <f t="shared" si="40"/>
        <v>2017Q1</v>
      </c>
      <c r="J523" s="272">
        <f>IFERROR(VLOOKUP((D523&amp;C523)&amp;"",'[2]Retail Price List'!$C$4:$F$102,3,FALSE),"")</f>
        <v>1860000</v>
      </c>
      <c r="K523" s="272">
        <f>IFERROR(IF(BA523="WIP - 30 Days",VLOOKUP(D523,[3]Standard!$B$9:$E$101,4,FALSE),IF(BA523="31-120 Days",VLOOKUP(D523,[3]Standard!$B$9:$F$101,5,FALSE),IF(BA523="121-365 Days",VLOOKUP(D523,[3]Standard!$B$9:$G$101,6,FALSE),VLOOKUP(D523,[3]Standard!$B$9:$H$101,7,FALSE)))),0)</f>
        <v>1341060</v>
      </c>
      <c r="L523" s="272">
        <f>IFERROR(IF(BA523="WIP - 30 Days",VLOOKUP(D523,[3]Standard!$B$9:$J$101,9,FALSE),IF(BA523="31-120 Days",VLOOKUP(D523,[3]Standard!$B$9:$K$100,10,FALSE),IF(BA523="121-365 Days",VLOOKUP(D523,[3]Standard!$B$9:$L$101,11,FALSE),VLOOKUP(D523,[3]Standard!$B$9:$M$101,12,FALSE)))),0)</f>
        <v>1302000</v>
      </c>
      <c r="M523" s="269">
        <f>IFERROR(VLOOKUP((D523&amp;C523)&amp;"",'[2]Retail Price List'!$C$4:$F$102,4,FALSE),"")</f>
        <v>1895000</v>
      </c>
      <c r="N523" s="269">
        <f>IFERROR(IF(BA523="WIP - 30 Days",VLOOKUP(D523,[3]Extended!$B$9:$E$101,4,FALSE),IF(BA523="31-120 Days",VLOOKUP(D523,[3]Extended!$B$9:$F$101,5,FALSE),IF(BA523="121-365 Days",VLOOKUP(D523,[3]Extended!$B$9:$G$101,6,FALSE),VLOOKUP(D523,[3]Extended!$B$9:$H$101,7,FALSE)))),0)</f>
        <v>1444369</v>
      </c>
      <c r="O523" s="269">
        <f>IFERROR(IF(BA523="WIP - 30 Days",VLOOKUP(D523,[3]Extended!$B$9:$J$101,9,FALSE),IF(BA523="31-120 Days",VLOOKUP(D523,[3]Extended!$B$9:$K$101,10,FALSE),IF(BA523="121-365 Days",VLOOKUP(D523,[3]Extended!$B$9:$L$101,11,FALSE),VLOOKUP(D523,[3]Extended!$B$9:$M$101,12,FALSE)))),0)</f>
        <v>1402300</v>
      </c>
      <c r="P523" s="116">
        <f t="shared" si="41"/>
        <v>0.26</v>
      </c>
      <c r="Q523" s="110" t="e">
        <f>O523-#REF!</f>
        <v>#REF!</v>
      </c>
      <c r="W523" s="311"/>
      <c r="X523" s="311"/>
      <c r="Y523" s="311"/>
      <c r="Z523" s="311"/>
      <c r="AA523" s="311"/>
      <c r="AB523" s="311"/>
      <c r="AC523" s="311"/>
      <c r="AT523" s="88" t="str">
        <f t="shared" si="42"/>
        <v>KP0007092017Q115,4</v>
      </c>
      <c r="AU523" s="89" t="str">
        <f t="shared" si="43"/>
        <v>03-2017</v>
      </c>
      <c r="BA523" s="92" t="str">
        <f t="shared" si="44"/>
        <v>WIP - 30 Days</v>
      </c>
    </row>
    <row r="524" spans="2:53">
      <c r="B524" s="60" t="str">
        <f>[2]Trucks!A521</f>
        <v>78W-5865</v>
      </c>
      <c r="C524" s="11" t="str">
        <f>[2]Trucks!B521</f>
        <v>TGS-26-4806X4BLS-LX-EL</v>
      </c>
      <c r="D524" s="19" t="str">
        <f>IFERROR(VLOOKUP(C524&amp;"",'[2]Retail Price List'!$A$3:$B$103,2,FALSE),"Special Order")</f>
        <v>KP000709</v>
      </c>
      <c r="E524" s="18" t="str">
        <f>[2]Trucks!J521</f>
        <v>CKD</v>
      </c>
      <c r="F524" s="12" t="str">
        <f>[2]Trucks!E521</f>
        <v>2017-08-23</v>
      </c>
      <c r="G524" s="56">
        <f>[2]Trucks!K521</f>
        <v>15.4</v>
      </c>
      <c r="H524" s="46">
        <f>[2]Trucks!I521</f>
        <v>42804</v>
      </c>
      <c r="I524" s="83" t="str">
        <f t="shared" si="40"/>
        <v>2017Q1</v>
      </c>
      <c r="J524" s="272">
        <f>IFERROR(VLOOKUP((D524&amp;C524)&amp;"",'[2]Retail Price List'!$C$4:$F$102,3,FALSE),"")</f>
        <v>1860000</v>
      </c>
      <c r="K524" s="272">
        <f>IFERROR(IF(BA524="WIP - 30 Days",VLOOKUP(D524,[3]Standard!$B$9:$E$101,4,FALSE),IF(BA524="31-120 Days",VLOOKUP(D524,[3]Standard!$B$9:$F$101,5,FALSE),IF(BA524="121-365 Days",VLOOKUP(D524,[3]Standard!$B$9:$G$101,6,FALSE),VLOOKUP(D524,[3]Standard!$B$9:$H$101,7,FALSE)))),0)</f>
        <v>1341060</v>
      </c>
      <c r="L524" s="272">
        <f>IFERROR(IF(BA524="WIP - 30 Days",VLOOKUP(D524,[3]Standard!$B$9:$J$101,9,FALSE),IF(BA524="31-120 Days",VLOOKUP(D524,[3]Standard!$B$9:$K$100,10,FALSE),IF(BA524="121-365 Days",VLOOKUP(D524,[3]Standard!$B$9:$L$101,11,FALSE),VLOOKUP(D524,[3]Standard!$B$9:$M$101,12,FALSE)))),0)</f>
        <v>1302000</v>
      </c>
      <c r="M524" s="269">
        <f>IFERROR(VLOOKUP((D524&amp;C524)&amp;"",'[2]Retail Price List'!$C$4:$F$102,4,FALSE),"")</f>
        <v>1895000</v>
      </c>
      <c r="N524" s="269">
        <f>IFERROR(IF(BA524="WIP - 30 Days",VLOOKUP(D524,[3]Extended!$B$9:$E$101,4,FALSE),IF(BA524="31-120 Days",VLOOKUP(D524,[3]Extended!$B$9:$F$101,5,FALSE),IF(BA524="121-365 Days",VLOOKUP(D524,[3]Extended!$B$9:$G$101,6,FALSE),VLOOKUP(D524,[3]Extended!$B$9:$H$101,7,FALSE)))),0)</f>
        <v>1444369</v>
      </c>
      <c r="O524" s="269">
        <f>IFERROR(IF(BA524="WIP - 30 Days",VLOOKUP(D524,[3]Extended!$B$9:$J$101,9,FALSE),IF(BA524="31-120 Days",VLOOKUP(D524,[3]Extended!$B$9:$K$101,10,FALSE),IF(BA524="121-365 Days",VLOOKUP(D524,[3]Extended!$B$9:$L$101,11,FALSE),VLOOKUP(D524,[3]Extended!$B$9:$M$101,12,FALSE)))),0)</f>
        <v>1402300</v>
      </c>
      <c r="P524" s="116">
        <f t="shared" si="41"/>
        <v>0.26</v>
      </c>
      <c r="Q524" s="110" t="e">
        <f>O524-#REF!</f>
        <v>#REF!</v>
      </c>
      <c r="W524" s="311"/>
      <c r="X524" s="311"/>
      <c r="Y524" s="311"/>
      <c r="Z524" s="311"/>
      <c r="AA524" s="311"/>
      <c r="AB524" s="311"/>
      <c r="AC524" s="311"/>
      <c r="AT524" s="88" t="str">
        <f t="shared" si="42"/>
        <v>KP0007092017Q115,4</v>
      </c>
      <c r="AU524" s="89" t="str">
        <f t="shared" si="43"/>
        <v>03-2017</v>
      </c>
      <c r="BA524" s="92" t="str">
        <f t="shared" si="44"/>
        <v>WIP - 30 Days</v>
      </c>
    </row>
    <row r="525" spans="2:53">
      <c r="B525" s="60" t="str">
        <f>[2]Trucks!A522</f>
        <v>78W-5866</v>
      </c>
      <c r="C525" s="11" t="str">
        <f>[2]Trucks!B522</f>
        <v>TGS-26-4806X4BLS-LX-EL</v>
      </c>
      <c r="D525" s="19" t="str">
        <f>IFERROR(VLOOKUP(C525&amp;"",'[2]Retail Price List'!$A$3:$B$103,2,FALSE),"Special Order")</f>
        <v>KP000709</v>
      </c>
      <c r="E525" s="18" t="str">
        <f>[2]Trucks!J522</f>
        <v>CKD</v>
      </c>
      <c r="F525" s="12" t="str">
        <f>[2]Trucks!E522</f>
        <v>2017-08-25</v>
      </c>
      <c r="G525" s="56">
        <f>[2]Trucks!K522</f>
        <v>15.4</v>
      </c>
      <c r="H525" s="46">
        <f>[2]Trucks!I522</f>
        <v>42804</v>
      </c>
      <c r="I525" s="83" t="str">
        <f t="shared" si="40"/>
        <v>2017Q1</v>
      </c>
      <c r="J525" s="272">
        <f>IFERROR(VLOOKUP((D525&amp;C525)&amp;"",'[2]Retail Price List'!$C$4:$F$102,3,FALSE),"")</f>
        <v>1860000</v>
      </c>
      <c r="K525" s="272">
        <f>IFERROR(IF(BA525="WIP - 30 Days",VLOOKUP(D525,[3]Standard!$B$9:$E$101,4,FALSE),IF(BA525="31-120 Days",VLOOKUP(D525,[3]Standard!$B$9:$F$101,5,FALSE),IF(BA525="121-365 Days",VLOOKUP(D525,[3]Standard!$B$9:$G$101,6,FALSE),VLOOKUP(D525,[3]Standard!$B$9:$H$101,7,FALSE)))),0)</f>
        <v>1341060</v>
      </c>
      <c r="L525" s="272">
        <f>IFERROR(IF(BA525="WIP - 30 Days",VLOOKUP(D525,[3]Standard!$B$9:$J$101,9,FALSE),IF(BA525="31-120 Days",VLOOKUP(D525,[3]Standard!$B$9:$K$100,10,FALSE),IF(BA525="121-365 Days",VLOOKUP(D525,[3]Standard!$B$9:$L$101,11,FALSE),VLOOKUP(D525,[3]Standard!$B$9:$M$101,12,FALSE)))),0)</f>
        <v>1302000</v>
      </c>
      <c r="M525" s="269">
        <f>IFERROR(VLOOKUP((D525&amp;C525)&amp;"",'[2]Retail Price List'!$C$4:$F$102,4,FALSE),"")</f>
        <v>1895000</v>
      </c>
      <c r="N525" s="269">
        <f>IFERROR(IF(BA525="WIP - 30 Days",VLOOKUP(D525,[3]Extended!$B$9:$E$101,4,FALSE),IF(BA525="31-120 Days",VLOOKUP(D525,[3]Extended!$B$9:$F$101,5,FALSE),IF(BA525="121-365 Days",VLOOKUP(D525,[3]Extended!$B$9:$G$101,6,FALSE),VLOOKUP(D525,[3]Extended!$B$9:$H$101,7,FALSE)))),0)</f>
        <v>1444369</v>
      </c>
      <c r="O525" s="269">
        <f>IFERROR(IF(BA525="WIP - 30 Days",VLOOKUP(D525,[3]Extended!$B$9:$J$101,9,FALSE),IF(BA525="31-120 Days",VLOOKUP(D525,[3]Extended!$B$9:$K$101,10,FALSE),IF(BA525="121-365 Days",VLOOKUP(D525,[3]Extended!$B$9:$L$101,11,FALSE),VLOOKUP(D525,[3]Extended!$B$9:$M$101,12,FALSE)))),0)</f>
        <v>1402300</v>
      </c>
      <c r="P525" s="116">
        <f t="shared" si="41"/>
        <v>0.26</v>
      </c>
      <c r="Q525" s="110" t="e">
        <f>O525-#REF!</f>
        <v>#REF!</v>
      </c>
      <c r="W525" s="311"/>
      <c r="X525" s="311"/>
      <c r="Y525" s="311"/>
      <c r="Z525" s="311"/>
      <c r="AA525" s="311"/>
      <c r="AB525" s="311"/>
      <c r="AC525" s="311"/>
      <c r="AT525" s="88" t="str">
        <f t="shared" si="42"/>
        <v>KP0007092017Q115,4</v>
      </c>
      <c r="AU525" s="89" t="str">
        <f t="shared" si="43"/>
        <v>03-2017</v>
      </c>
      <c r="BA525" s="92" t="str">
        <f t="shared" si="44"/>
        <v>WIP - 30 Days</v>
      </c>
    </row>
    <row r="526" spans="2:53">
      <c r="B526" s="60" t="str">
        <f>[2]Trucks!A523</f>
        <v>78W-5867</v>
      </c>
      <c r="C526" s="11" t="str">
        <f>[2]Trucks!B523</f>
        <v>TGS-26-4806X4BLS-LX-EL</v>
      </c>
      <c r="D526" s="19" t="str">
        <f>IFERROR(VLOOKUP(C526&amp;"",'[2]Retail Price List'!$A$3:$B$103,2,FALSE),"Special Order")</f>
        <v>KP000709</v>
      </c>
      <c r="E526" s="18" t="str">
        <f>[2]Trucks!J523</f>
        <v>CKD</v>
      </c>
      <c r="F526" s="12" t="str">
        <f>[2]Trucks!E523</f>
        <v>2017-08-25</v>
      </c>
      <c r="G526" s="56">
        <f>[2]Trucks!K523</f>
        <v>15.4</v>
      </c>
      <c r="H526" s="46">
        <f>[2]Trucks!I523</f>
        <v>42804</v>
      </c>
      <c r="I526" s="83" t="str">
        <f t="shared" si="40"/>
        <v>2017Q1</v>
      </c>
      <c r="J526" s="272">
        <f>IFERROR(VLOOKUP((D526&amp;C526)&amp;"",'[2]Retail Price List'!$C$4:$F$102,3,FALSE),"")</f>
        <v>1860000</v>
      </c>
      <c r="K526" s="272">
        <f>IFERROR(IF(BA526="WIP - 30 Days",VLOOKUP(D526,[3]Standard!$B$9:$E$101,4,FALSE),IF(BA526="31-120 Days",VLOOKUP(D526,[3]Standard!$B$9:$F$101,5,FALSE),IF(BA526="121-365 Days",VLOOKUP(D526,[3]Standard!$B$9:$G$101,6,FALSE),VLOOKUP(D526,[3]Standard!$B$9:$H$101,7,FALSE)))),0)</f>
        <v>1341060</v>
      </c>
      <c r="L526" s="272">
        <f>IFERROR(IF(BA526="WIP - 30 Days",VLOOKUP(D526,[3]Standard!$B$9:$J$101,9,FALSE),IF(BA526="31-120 Days",VLOOKUP(D526,[3]Standard!$B$9:$K$100,10,FALSE),IF(BA526="121-365 Days",VLOOKUP(D526,[3]Standard!$B$9:$L$101,11,FALSE),VLOOKUP(D526,[3]Standard!$B$9:$M$101,12,FALSE)))),0)</f>
        <v>1302000</v>
      </c>
      <c r="M526" s="269">
        <f>IFERROR(VLOOKUP((D526&amp;C526)&amp;"",'[2]Retail Price List'!$C$4:$F$102,4,FALSE),"")</f>
        <v>1895000</v>
      </c>
      <c r="N526" s="269">
        <f>IFERROR(IF(BA526="WIP - 30 Days",VLOOKUP(D526,[3]Extended!$B$9:$E$101,4,FALSE),IF(BA526="31-120 Days",VLOOKUP(D526,[3]Extended!$B$9:$F$101,5,FALSE),IF(BA526="121-365 Days",VLOOKUP(D526,[3]Extended!$B$9:$G$101,6,FALSE),VLOOKUP(D526,[3]Extended!$B$9:$H$101,7,FALSE)))),0)</f>
        <v>1444369</v>
      </c>
      <c r="O526" s="269">
        <f>IFERROR(IF(BA526="WIP - 30 Days",VLOOKUP(D526,[3]Extended!$B$9:$J$101,9,FALSE),IF(BA526="31-120 Days",VLOOKUP(D526,[3]Extended!$B$9:$K$101,10,FALSE),IF(BA526="121-365 Days",VLOOKUP(D526,[3]Extended!$B$9:$L$101,11,FALSE),VLOOKUP(D526,[3]Extended!$B$9:$M$101,12,FALSE)))),0)</f>
        <v>1402300</v>
      </c>
      <c r="P526" s="116">
        <f t="shared" si="41"/>
        <v>0.26</v>
      </c>
      <c r="Q526" s="110" t="e">
        <f>O526-#REF!</f>
        <v>#REF!</v>
      </c>
      <c r="W526" s="311"/>
      <c r="X526" s="311"/>
      <c r="Y526" s="311"/>
      <c r="Z526" s="311"/>
      <c r="AA526" s="311"/>
      <c r="AB526" s="311"/>
      <c r="AC526" s="311"/>
      <c r="AT526" s="88" t="str">
        <f t="shared" si="42"/>
        <v>KP0007092017Q115,4</v>
      </c>
      <c r="AU526" s="89" t="str">
        <f t="shared" si="43"/>
        <v>03-2017</v>
      </c>
      <c r="BA526" s="92" t="str">
        <f t="shared" si="44"/>
        <v>WIP - 30 Days</v>
      </c>
    </row>
    <row r="527" spans="2:53">
      <c r="B527" s="60" t="str">
        <f>[2]Trucks!A524</f>
        <v>78W-5868</v>
      </c>
      <c r="C527" s="11" t="str">
        <f>[2]Trucks!B524</f>
        <v>TGS-26-4806X4BLS-LX-EL</v>
      </c>
      <c r="D527" s="19" t="str">
        <f>IFERROR(VLOOKUP(C527&amp;"",'[2]Retail Price List'!$A$3:$B$103,2,FALSE),"Special Order")</f>
        <v>KP000709</v>
      </c>
      <c r="E527" s="18" t="str">
        <f>[2]Trucks!J524</f>
        <v>CKD</v>
      </c>
      <c r="F527" s="12" t="str">
        <f>[2]Trucks!E524</f>
        <v>2017-08-28</v>
      </c>
      <c r="G527" s="56">
        <f>[2]Trucks!K524</f>
        <v>15.4</v>
      </c>
      <c r="H527" s="46">
        <f>[2]Trucks!I524</f>
        <v>42804</v>
      </c>
      <c r="I527" s="83" t="str">
        <f t="shared" si="40"/>
        <v>2017Q1</v>
      </c>
      <c r="J527" s="272">
        <f>IFERROR(VLOOKUP((D527&amp;C527)&amp;"",'[2]Retail Price List'!$C$4:$F$102,3,FALSE),"")</f>
        <v>1860000</v>
      </c>
      <c r="K527" s="272">
        <f>IFERROR(IF(BA527="WIP - 30 Days",VLOOKUP(D527,[3]Standard!$B$9:$E$101,4,FALSE),IF(BA527="31-120 Days",VLOOKUP(D527,[3]Standard!$B$9:$F$101,5,FALSE),IF(BA527="121-365 Days",VLOOKUP(D527,[3]Standard!$B$9:$G$101,6,FALSE),VLOOKUP(D527,[3]Standard!$B$9:$H$101,7,FALSE)))),0)</f>
        <v>1341060</v>
      </c>
      <c r="L527" s="272">
        <f>IFERROR(IF(BA527="WIP - 30 Days",VLOOKUP(D527,[3]Standard!$B$9:$J$101,9,FALSE),IF(BA527="31-120 Days",VLOOKUP(D527,[3]Standard!$B$9:$K$100,10,FALSE),IF(BA527="121-365 Days",VLOOKUP(D527,[3]Standard!$B$9:$L$101,11,FALSE),VLOOKUP(D527,[3]Standard!$B$9:$M$101,12,FALSE)))),0)</f>
        <v>1302000</v>
      </c>
      <c r="M527" s="269">
        <f>IFERROR(VLOOKUP((D527&amp;C527)&amp;"",'[2]Retail Price List'!$C$4:$F$102,4,FALSE),"")</f>
        <v>1895000</v>
      </c>
      <c r="N527" s="269">
        <f>IFERROR(IF(BA527="WIP - 30 Days",VLOOKUP(D527,[3]Extended!$B$9:$E$101,4,FALSE),IF(BA527="31-120 Days",VLOOKUP(D527,[3]Extended!$B$9:$F$101,5,FALSE),IF(BA527="121-365 Days",VLOOKUP(D527,[3]Extended!$B$9:$G$101,6,FALSE),VLOOKUP(D527,[3]Extended!$B$9:$H$101,7,FALSE)))),0)</f>
        <v>1444369</v>
      </c>
      <c r="O527" s="269">
        <f>IFERROR(IF(BA527="WIP - 30 Days",VLOOKUP(D527,[3]Extended!$B$9:$J$101,9,FALSE),IF(BA527="31-120 Days",VLOOKUP(D527,[3]Extended!$B$9:$K$101,10,FALSE),IF(BA527="121-365 Days",VLOOKUP(D527,[3]Extended!$B$9:$L$101,11,FALSE),VLOOKUP(D527,[3]Extended!$B$9:$M$101,12,FALSE)))),0)</f>
        <v>1402300</v>
      </c>
      <c r="P527" s="116">
        <f t="shared" si="41"/>
        <v>0.26</v>
      </c>
      <c r="Q527" s="110" t="e">
        <f>O527-#REF!</f>
        <v>#REF!</v>
      </c>
      <c r="W527" s="311"/>
      <c r="X527" s="311"/>
      <c r="Y527" s="311"/>
      <c r="Z527" s="311"/>
      <c r="AA527" s="311"/>
      <c r="AB527" s="311"/>
      <c r="AC527" s="311"/>
      <c r="AT527" s="88" t="str">
        <f t="shared" si="42"/>
        <v>KP0007092017Q115,4</v>
      </c>
      <c r="AU527" s="89" t="str">
        <f t="shared" si="43"/>
        <v>03-2017</v>
      </c>
      <c r="BA527" s="92" t="str">
        <f t="shared" si="44"/>
        <v>WIP - 30 Days</v>
      </c>
    </row>
    <row r="528" spans="2:53">
      <c r="B528" s="60" t="str">
        <f>[2]Trucks!A525</f>
        <v>78W-5869</v>
      </c>
      <c r="C528" s="11" t="str">
        <f>[2]Trucks!B525</f>
        <v>TGS-26-4806X4BLS-LX-EL</v>
      </c>
      <c r="D528" s="19" t="str">
        <f>IFERROR(VLOOKUP(C528&amp;"",'[2]Retail Price List'!$A$3:$B$103,2,FALSE),"Special Order")</f>
        <v>KP000709</v>
      </c>
      <c r="E528" s="18" t="str">
        <f>[2]Trucks!J525</f>
        <v>CKD</v>
      </c>
      <c r="F528" s="12" t="str">
        <f>[2]Trucks!E525</f>
        <v>2017-08-28</v>
      </c>
      <c r="G528" s="56">
        <f>[2]Trucks!K525</f>
        <v>15.4</v>
      </c>
      <c r="H528" s="46">
        <f>[2]Trucks!I525</f>
        <v>42804</v>
      </c>
      <c r="I528" s="83" t="str">
        <f t="shared" si="40"/>
        <v>2017Q1</v>
      </c>
      <c r="J528" s="272">
        <f>IFERROR(VLOOKUP((D528&amp;C528)&amp;"",'[2]Retail Price List'!$C$4:$F$102,3,FALSE),"")</f>
        <v>1860000</v>
      </c>
      <c r="K528" s="272">
        <f>IFERROR(IF(BA528="WIP - 30 Days",VLOOKUP(D528,[3]Standard!$B$9:$E$101,4,FALSE),IF(BA528="31-120 Days",VLOOKUP(D528,[3]Standard!$B$9:$F$101,5,FALSE),IF(BA528="121-365 Days",VLOOKUP(D528,[3]Standard!$B$9:$G$101,6,FALSE),VLOOKUP(D528,[3]Standard!$B$9:$H$101,7,FALSE)))),0)</f>
        <v>1341060</v>
      </c>
      <c r="L528" s="272">
        <f>IFERROR(IF(BA528="WIP - 30 Days",VLOOKUP(D528,[3]Standard!$B$9:$J$101,9,FALSE),IF(BA528="31-120 Days",VLOOKUP(D528,[3]Standard!$B$9:$K$100,10,FALSE),IF(BA528="121-365 Days",VLOOKUP(D528,[3]Standard!$B$9:$L$101,11,FALSE),VLOOKUP(D528,[3]Standard!$B$9:$M$101,12,FALSE)))),0)</f>
        <v>1302000</v>
      </c>
      <c r="M528" s="269">
        <f>IFERROR(VLOOKUP((D528&amp;C528)&amp;"",'[2]Retail Price List'!$C$4:$F$102,4,FALSE),"")</f>
        <v>1895000</v>
      </c>
      <c r="N528" s="269">
        <f>IFERROR(IF(BA528="WIP - 30 Days",VLOOKUP(D528,[3]Extended!$B$9:$E$101,4,FALSE),IF(BA528="31-120 Days",VLOOKUP(D528,[3]Extended!$B$9:$F$101,5,FALSE),IF(BA528="121-365 Days",VLOOKUP(D528,[3]Extended!$B$9:$G$101,6,FALSE),VLOOKUP(D528,[3]Extended!$B$9:$H$101,7,FALSE)))),0)</f>
        <v>1444369</v>
      </c>
      <c r="O528" s="269">
        <f>IFERROR(IF(BA528="WIP - 30 Days",VLOOKUP(D528,[3]Extended!$B$9:$J$101,9,FALSE),IF(BA528="31-120 Days",VLOOKUP(D528,[3]Extended!$B$9:$K$101,10,FALSE),IF(BA528="121-365 Days",VLOOKUP(D528,[3]Extended!$B$9:$L$101,11,FALSE),VLOOKUP(D528,[3]Extended!$B$9:$M$101,12,FALSE)))),0)</f>
        <v>1402300</v>
      </c>
      <c r="P528" s="116">
        <f t="shared" si="41"/>
        <v>0.26</v>
      </c>
      <c r="Q528" s="110" t="e">
        <f>O528-#REF!</f>
        <v>#REF!</v>
      </c>
      <c r="W528" s="311"/>
      <c r="X528" s="311"/>
      <c r="Y528" s="311"/>
      <c r="Z528" s="311"/>
      <c r="AA528" s="311"/>
      <c r="AB528" s="311"/>
      <c r="AC528" s="311"/>
      <c r="AT528" s="88" t="str">
        <f t="shared" si="42"/>
        <v>KP0007092017Q115,4</v>
      </c>
      <c r="AU528" s="89" t="str">
        <f t="shared" si="43"/>
        <v>03-2017</v>
      </c>
      <c r="BA528" s="92" t="str">
        <f t="shared" si="44"/>
        <v>WIP - 30 Days</v>
      </c>
    </row>
    <row r="529" spans="2:53">
      <c r="B529" s="60" t="str">
        <f>[2]Trucks!A526</f>
        <v>78W-5870</v>
      </c>
      <c r="C529" s="11" t="str">
        <f>[2]Trucks!B526</f>
        <v>TGS-26-4806X4BLS-LX-EL</v>
      </c>
      <c r="D529" s="19" t="str">
        <f>IFERROR(VLOOKUP(C529&amp;"",'[2]Retail Price List'!$A$3:$B$103,2,FALSE),"Special Order")</f>
        <v>KP000709</v>
      </c>
      <c r="E529" s="18" t="str">
        <f>[2]Trucks!J526</f>
        <v>CKD</v>
      </c>
      <c r="F529" s="12" t="str">
        <f>[2]Trucks!E526</f>
        <v>2017-08-29</v>
      </c>
      <c r="G529" s="56">
        <f>[2]Trucks!K526</f>
        <v>15.4</v>
      </c>
      <c r="H529" s="46">
        <f>[2]Trucks!I526</f>
        <v>42804</v>
      </c>
      <c r="I529" s="83" t="str">
        <f t="shared" si="40"/>
        <v>2017Q1</v>
      </c>
      <c r="J529" s="272">
        <f>IFERROR(VLOOKUP((D529&amp;C529)&amp;"",'[2]Retail Price List'!$C$4:$F$102,3,FALSE),"")</f>
        <v>1860000</v>
      </c>
      <c r="K529" s="272">
        <f>IFERROR(IF(BA529="WIP - 30 Days",VLOOKUP(D529,[3]Standard!$B$9:$E$101,4,FALSE),IF(BA529="31-120 Days",VLOOKUP(D529,[3]Standard!$B$9:$F$101,5,FALSE),IF(BA529="121-365 Days",VLOOKUP(D529,[3]Standard!$B$9:$G$101,6,FALSE),VLOOKUP(D529,[3]Standard!$B$9:$H$101,7,FALSE)))),0)</f>
        <v>1341060</v>
      </c>
      <c r="L529" s="272">
        <f>IFERROR(IF(BA529="WIP - 30 Days",VLOOKUP(D529,[3]Standard!$B$9:$J$101,9,FALSE),IF(BA529="31-120 Days",VLOOKUP(D529,[3]Standard!$B$9:$K$100,10,FALSE),IF(BA529="121-365 Days",VLOOKUP(D529,[3]Standard!$B$9:$L$101,11,FALSE),VLOOKUP(D529,[3]Standard!$B$9:$M$101,12,FALSE)))),0)</f>
        <v>1302000</v>
      </c>
      <c r="M529" s="269">
        <f>IFERROR(VLOOKUP((D529&amp;C529)&amp;"",'[2]Retail Price List'!$C$4:$F$102,4,FALSE),"")</f>
        <v>1895000</v>
      </c>
      <c r="N529" s="269">
        <f>IFERROR(IF(BA529="WIP - 30 Days",VLOOKUP(D529,[3]Extended!$B$9:$E$101,4,FALSE),IF(BA529="31-120 Days",VLOOKUP(D529,[3]Extended!$B$9:$F$101,5,FALSE),IF(BA529="121-365 Days",VLOOKUP(D529,[3]Extended!$B$9:$G$101,6,FALSE),VLOOKUP(D529,[3]Extended!$B$9:$H$101,7,FALSE)))),0)</f>
        <v>1444369</v>
      </c>
      <c r="O529" s="269">
        <f>IFERROR(IF(BA529="WIP - 30 Days",VLOOKUP(D529,[3]Extended!$B$9:$J$101,9,FALSE),IF(BA529="31-120 Days",VLOOKUP(D529,[3]Extended!$B$9:$K$101,10,FALSE),IF(BA529="121-365 Days",VLOOKUP(D529,[3]Extended!$B$9:$L$101,11,FALSE),VLOOKUP(D529,[3]Extended!$B$9:$M$101,12,FALSE)))),0)</f>
        <v>1402300</v>
      </c>
      <c r="P529" s="116">
        <f t="shared" si="41"/>
        <v>0.26</v>
      </c>
      <c r="Q529" s="110" t="e">
        <f>O529-#REF!</f>
        <v>#REF!</v>
      </c>
      <c r="W529" s="311"/>
      <c r="X529" s="311"/>
      <c r="Y529" s="311"/>
      <c r="Z529" s="311"/>
      <c r="AA529" s="311"/>
      <c r="AB529" s="311"/>
      <c r="AC529" s="311"/>
      <c r="AT529" s="88" t="str">
        <f t="shared" si="42"/>
        <v>KP0007092017Q115,4</v>
      </c>
      <c r="AU529" s="89" t="str">
        <f t="shared" si="43"/>
        <v>03-2017</v>
      </c>
      <c r="BA529" s="92" t="str">
        <f t="shared" si="44"/>
        <v>WIP - 30 Days</v>
      </c>
    </row>
    <row r="530" spans="2:53">
      <c r="B530" s="60" t="str">
        <f>[2]Trucks!A527</f>
        <v>78W-5871</v>
      </c>
      <c r="C530" s="11" t="str">
        <f>[2]Trucks!B527</f>
        <v>TGS-26-4806X4BLS-LX-EL</v>
      </c>
      <c r="D530" s="19" t="str">
        <f>IFERROR(VLOOKUP(C530&amp;"",'[2]Retail Price List'!$A$3:$B$103,2,FALSE),"Special Order")</f>
        <v>KP000709</v>
      </c>
      <c r="E530" s="18" t="str">
        <f>[2]Trucks!J527</f>
        <v>CKD</v>
      </c>
      <c r="F530" s="12" t="str">
        <f>[2]Trucks!E527</f>
        <v>2017-08-29</v>
      </c>
      <c r="G530" s="56">
        <f>[2]Trucks!K527</f>
        <v>15.4</v>
      </c>
      <c r="H530" s="46">
        <f>[2]Trucks!I527</f>
        <v>42804</v>
      </c>
      <c r="I530" s="83" t="str">
        <f t="shared" si="40"/>
        <v>2017Q1</v>
      </c>
      <c r="J530" s="272">
        <f>IFERROR(VLOOKUP((D530&amp;C530)&amp;"",'[2]Retail Price List'!$C$4:$F$102,3,FALSE),"")</f>
        <v>1860000</v>
      </c>
      <c r="K530" s="272">
        <f>IFERROR(IF(BA530="WIP - 30 Days",VLOOKUP(D530,[3]Standard!$B$9:$E$101,4,FALSE),IF(BA530="31-120 Days",VLOOKUP(D530,[3]Standard!$B$9:$F$101,5,FALSE),IF(BA530="121-365 Days",VLOOKUP(D530,[3]Standard!$B$9:$G$101,6,FALSE),VLOOKUP(D530,[3]Standard!$B$9:$H$101,7,FALSE)))),0)</f>
        <v>1341060</v>
      </c>
      <c r="L530" s="272">
        <f>IFERROR(IF(BA530="WIP - 30 Days",VLOOKUP(D530,[3]Standard!$B$9:$J$101,9,FALSE),IF(BA530="31-120 Days",VLOOKUP(D530,[3]Standard!$B$9:$K$100,10,FALSE),IF(BA530="121-365 Days",VLOOKUP(D530,[3]Standard!$B$9:$L$101,11,FALSE),VLOOKUP(D530,[3]Standard!$B$9:$M$101,12,FALSE)))),0)</f>
        <v>1302000</v>
      </c>
      <c r="M530" s="269">
        <f>IFERROR(VLOOKUP((D530&amp;C530)&amp;"",'[2]Retail Price List'!$C$4:$F$102,4,FALSE),"")</f>
        <v>1895000</v>
      </c>
      <c r="N530" s="269">
        <f>IFERROR(IF(BA530="WIP - 30 Days",VLOOKUP(D530,[3]Extended!$B$9:$E$101,4,FALSE),IF(BA530="31-120 Days",VLOOKUP(D530,[3]Extended!$B$9:$F$101,5,FALSE),IF(BA530="121-365 Days",VLOOKUP(D530,[3]Extended!$B$9:$G$101,6,FALSE),VLOOKUP(D530,[3]Extended!$B$9:$H$101,7,FALSE)))),0)</f>
        <v>1444369</v>
      </c>
      <c r="O530" s="269">
        <f>IFERROR(IF(BA530="WIP - 30 Days",VLOOKUP(D530,[3]Extended!$B$9:$J$101,9,FALSE),IF(BA530="31-120 Days",VLOOKUP(D530,[3]Extended!$B$9:$K$101,10,FALSE),IF(BA530="121-365 Days",VLOOKUP(D530,[3]Extended!$B$9:$L$101,11,FALSE),VLOOKUP(D530,[3]Extended!$B$9:$M$101,12,FALSE)))),0)</f>
        <v>1402300</v>
      </c>
      <c r="P530" s="116">
        <f t="shared" si="41"/>
        <v>0.26</v>
      </c>
      <c r="Q530" s="110" t="e">
        <f>O530-#REF!</f>
        <v>#REF!</v>
      </c>
      <c r="W530" s="311"/>
      <c r="X530" s="311"/>
      <c r="Y530" s="311"/>
      <c r="Z530" s="311"/>
      <c r="AA530" s="311"/>
      <c r="AB530" s="311"/>
      <c r="AC530" s="311"/>
      <c r="AT530" s="88" t="str">
        <f t="shared" si="42"/>
        <v>KP0007092017Q115,4</v>
      </c>
      <c r="AU530" s="89" t="str">
        <f t="shared" si="43"/>
        <v>03-2017</v>
      </c>
      <c r="BA530" s="92" t="str">
        <f t="shared" si="44"/>
        <v>WIP - 30 Days</v>
      </c>
    </row>
    <row r="531" spans="2:53">
      <c r="B531" s="60" t="str">
        <f>[2]Trucks!A528</f>
        <v>TBAKP709</v>
      </c>
      <c r="C531" s="11" t="str">
        <f>[2]Trucks!B528</f>
        <v>TGS-26-4806X4BLS-LX-EL</v>
      </c>
      <c r="D531" s="19" t="str">
        <f>IFERROR(VLOOKUP(C531&amp;"",'[2]Retail Price List'!$A$3:$B$103,2,FALSE),"Special Order")</f>
        <v>KP000709</v>
      </c>
      <c r="E531" s="18" t="str">
        <f>[2]Trucks!J528</f>
        <v>CKD</v>
      </c>
      <c r="F531" s="12" t="str">
        <f>[2]Trucks!E528</f>
        <v>2018-02-15</v>
      </c>
      <c r="G531" s="56">
        <f>[2]Trucks!K528</f>
        <v>14.7</v>
      </c>
      <c r="H531" s="46">
        <f>[2]Trucks!I528</f>
        <v>42921</v>
      </c>
      <c r="I531" s="83" t="str">
        <f t="shared" si="40"/>
        <v>2017Q3</v>
      </c>
      <c r="J531" s="272">
        <f>IFERROR(VLOOKUP((D531&amp;C531)&amp;"",'[2]Retail Price List'!$C$4:$F$102,3,FALSE),"")</f>
        <v>1860000</v>
      </c>
      <c r="K531" s="272">
        <f>IFERROR(IF(BA531="WIP - 30 Days",VLOOKUP(D531,[3]Standard!$B$9:$E$101,4,FALSE),IF(BA531="31-120 Days",VLOOKUP(D531,[3]Standard!$B$9:$F$101,5,FALSE),IF(BA531="121-365 Days",VLOOKUP(D531,[3]Standard!$B$9:$G$101,6,FALSE),VLOOKUP(D531,[3]Standard!$B$9:$H$101,7,FALSE)))),0)</f>
        <v>1341060</v>
      </c>
      <c r="L531" s="272">
        <f>IFERROR(IF(BA531="WIP - 30 Days",VLOOKUP(D531,[3]Standard!$B$9:$J$101,9,FALSE),IF(BA531="31-120 Days",VLOOKUP(D531,[3]Standard!$B$9:$K$100,10,FALSE),IF(BA531="121-365 Days",VLOOKUP(D531,[3]Standard!$B$9:$L$101,11,FALSE),VLOOKUP(D531,[3]Standard!$B$9:$M$101,12,FALSE)))),0)</f>
        <v>1302000</v>
      </c>
      <c r="M531" s="269">
        <f>IFERROR(VLOOKUP((D531&amp;C531)&amp;"",'[2]Retail Price List'!$C$4:$F$102,4,FALSE),"")</f>
        <v>1895000</v>
      </c>
      <c r="N531" s="269">
        <f>IFERROR(IF(BA531="WIP - 30 Days",VLOOKUP(D531,[3]Extended!$B$9:$E$101,4,FALSE),IF(BA531="31-120 Days",VLOOKUP(D531,[3]Extended!$B$9:$F$101,5,FALSE),IF(BA531="121-365 Days",VLOOKUP(D531,[3]Extended!$B$9:$G$101,6,FALSE),VLOOKUP(D531,[3]Extended!$B$9:$H$101,7,FALSE)))),0)</f>
        <v>1444369</v>
      </c>
      <c r="O531" s="269">
        <f>IFERROR(IF(BA531="WIP - 30 Days",VLOOKUP(D531,[3]Extended!$B$9:$J$101,9,FALSE),IF(BA531="31-120 Days",VLOOKUP(D531,[3]Extended!$B$9:$K$101,10,FALSE),IF(BA531="121-365 Days",VLOOKUP(D531,[3]Extended!$B$9:$L$101,11,FALSE),VLOOKUP(D531,[3]Extended!$B$9:$M$101,12,FALSE)))),0)</f>
        <v>1402300</v>
      </c>
      <c r="P531" s="116">
        <f t="shared" si="41"/>
        <v>0.26</v>
      </c>
      <c r="Q531" s="110" t="e">
        <f>O531-#REF!</f>
        <v>#REF!</v>
      </c>
      <c r="W531" s="311"/>
      <c r="X531" s="311"/>
      <c r="Y531" s="311"/>
      <c r="Z531" s="311"/>
      <c r="AA531" s="311"/>
      <c r="AB531" s="311"/>
      <c r="AC531" s="311"/>
      <c r="AT531" s="88" t="str">
        <f t="shared" si="42"/>
        <v>KP0007092017Q314,7</v>
      </c>
      <c r="AU531" s="89" t="str">
        <f t="shared" si="43"/>
        <v>07-2017</v>
      </c>
      <c r="BA531" s="92" t="str">
        <f t="shared" si="44"/>
        <v>WIP - 30 Days</v>
      </c>
    </row>
    <row r="532" spans="2:53">
      <c r="B532" s="60" t="str">
        <f>[2]Trucks!A529</f>
        <v>78W-5778</v>
      </c>
      <c r="C532" s="11" t="str">
        <f>[2]Trucks!B529</f>
        <v>TGS-26-4806X4BLS-LX-EL-ACC</v>
      </c>
      <c r="D532" s="19" t="str">
        <f>IFERROR(VLOOKUP(C532&amp;"",'[2]Retail Price List'!$A$3:$B$103,2,FALSE),"Special Order")</f>
        <v>TGS00002</v>
      </c>
      <c r="E532" s="18" t="str">
        <f>[2]Trucks!J529</f>
        <v>CKD</v>
      </c>
      <c r="F532" s="12" t="str">
        <f>[2]Trucks!E529</f>
        <v>2017-06-30</v>
      </c>
      <c r="G532" s="56">
        <f>[2]Trucks!K529</f>
        <v>15.4</v>
      </c>
      <c r="H532" s="46">
        <f>[2]Trucks!I529</f>
        <v>42784</v>
      </c>
      <c r="I532" s="83" t="str">
        <f t="shared" si="40"/>
        <v>2017Q1</v>
      </c>
      <c r="J532" s="272">
        <f>IFERROR(VLOOKUP((D532&amp;C532)&amp;"",'[2]Retail Price List'!$C$4:$F$102,3,FALSE),"")</f>
        <v>1960000</v>
      </c>
      <c r="K532" s="272">
        <f>IFERROR(IF(BA532="WIP - 30 Days",VLOOKUP(D532,[3]Standard!$B$9:$E$101,4,FALSE),IF(BA532="31-120 Days",VLOOKUP(D532,[3]Standard!$B$9:$F$101,5,FALSE),IF(BA532="121-365 Days",VLOOKUP(D532,[3]Standard!$B$9:$G$101,6,FALSE),VLOOKUP(D532,[3]Standard!$B$9:$H$101,7,FALSE)))),0)</f>
        <v>1413160</v>
      </c>
      <c r="L532" s="272">
        <f>IFERROR(IF(BA532="WIP - 30 Days",VLOOKUP(D532,[3]Standard!$B$9:$J$101,9,FALSE),IF(BA532="31-120 Days",VLOOKUP(D532,[3]Standard!$B$9:$K$100,10,FALSE),IF(BA532="121-365 Days",VLOOKUP(D532,[3]Standard!$B$9:$L$101,11,FALSE),VLOOKUP(D532,[3]Standard!$B$9:$M$101,12,FALSE)))),0)</f>
        <v>1372000</v>
      </c>
      <c r="M532" s="269">
        <f>IFERROR(VLOOKUP((D532&amp;C532)&amp;"",'[2]Retail Price List'!$C$4:$F$102,4,FALSE),"")</f>
        <v>1960000</v>
      </c>
      <c r="N532" s="269">
        <f>IFERROR(IF(BA532="WIP - 30 Days",VLOOKUP(D532,[3]Extended!$B$9:$E$101,4,FALSE),IF(BA532="31-120 Days",VLOOKUP(D532,[3]Extended!$B$9:$F$101,5,FALSE),IF(BA532="121-365 Days",VLOOKUP(D532,[3]Extended!$B$9:$G$101,6,FALSE),VLOOKUP(D532,[3]Extended!$B$9:$H$101,7,FALSE)))),0)</f>
        <v>1493912</v>
      </c>
      <c r="O532" s="269">
        <f>IFERROR(IF(BA532="WIP - 30 Days",VLOOKUP(D532,[3]Extended!$B$9:$J$101,9,FALSE),IF(BA532="31-120 Days",VLOOKUP(D532,[3]Extended!$B$9:$K$101,10,FALSE),IF(BA532="121-365 Days",VLOOKUP(D532,[3]Extended!$B$9:$L$101,11,FALSE),VLOOKUP(D532,[3]Extended!$B$9:$M$101,12,FALSE)))),0)</f>
        <v>1450400</v>
      </c>
      <c r="P532" s="116">
        <f t="shared" si="41"/>
        <v>0.26</v>
      </c>
      <c r="Q532" s="110" t="e">
        <f>O532-#REF!</f>
        <v>#REF!</v>
      </c>
      <c r="W532" s="311"/>
      <c r="X532" s="311"/>
      <c r="Y532" s="311"/>
      <c r="Z532" s="311"/>
      <c r="AA532" s="311"/>
      <c r="AB532" s="311"/>
      <c r="AC532" s="311"/>
      <c r="AT532" s="88" t="str">
        <f t="shared" si="42"/>
        <v>TGS000022017Q115,4</v>
      </c>
      <c r="AU532" s="89" t="str">
        <f t="shared" si="43"/>
        <v>02-2017</v>
      </c>
      <c r="BA532" s="92" t="str">
        <f t="shared" si="44"/>
        <v>WIP - 30 Days</v>
      </c>
    </row>
    <row r="533" spans="2:53">
      <c r="B533" s="60" t="str">
        <f>[2]Trucks!A530</f>
        <v>78W-5874</v>
      </c>
      <c r="C533" s="11" t="str">
        <f>[2]Trucks!B530</f>
        <v>TGS-26-4806X4BLS-LX-EL-ACC</v>
      </c>
      <c r="D533" s="19" t="str">
        <f>IFERROR(VLOOKUP(C533&amp;"",'[2]Retail Price List'!$A$3:$B$103,2,FALSE),"Special Order")</f>
        <v>TGS00002</v>
      </c>
      <c r="E533" s="18" t="str">
        <f>[2]Trucks!J530</f>
        <v>UNSOLD</v>
      </c>
      <c r="F533" s="12">
        <f>[2]Trucks!E530</f>
        <v>4</v>
      </c>
      <c r="G533" s="56">
        <f>[2]Trucks!K530</f>
        <v>15.4</v>
      </c>
      <c r="H533" s="46">
        <f>[2]Trucks!I530</f>
        <v>42804</v>
      </c>
      <c r="I533" s="83" t="str">
        <f t="shared" si="40"/>
        <v>2017Q1</v>
      </c>
      <c r="J533" s="272">
        <f>IFERROR(VLOOKUP((D533&amp;C533)&amp;"",'[2]Retail Price List'!$C$4:$F$102,3,FALSE),"")</f>
        <v>1960000</v>
      </c>
      <c r="K533" s="272">
        <f>IFERROR(IF(BA533="WIP - 30 Days",VLOOKUP(D533,[3]Standard!$B$9:$E$101,4,FALSE),IF(BA533="31-120 Days",VLOOKUP(D533,[3]Standard!$B$9:$F$101,5,FALSE),IF(BA533="121-365 Days",VLOOKUP(D533,[3]Standard!$B$9:$G$101,6,FALSE),VLOOKUP(D533,[3]Standard!$B$9:$H$101,7,FALSE)))),0)</f>
        <v>1413160</v>
      </c>
      <c r="L533" s="272">
        <f>IFERROR(IF(BA533="WIP - 30 Days",VLOOKUP(D533,[3]Standard!$B$9:$J$101,9,FALSE),IF(BA533="31-120 Days",VLOOKUP(D533,[3]Standard!$B$9:$K$100,10,FALSE),IF(BA533="121-365 Days",VLOOKUP(D533,[3]Standard!$B$9:$L$101,11,FALSE),VLOOKUP(D533,[3]Standard!$B$9:$M$101,12,FALSE)))),0)</f>
        <v>1372000</v>
      </c>
      <c r="M533" s="269">
        <f>IFERROR(VLOOKUP((D533&amp;C533)&amp;"",'[2]Retail Price List'!$C$4:$F$102,4,FALSE),"")</f>
        <v>1960000</v>
      </c>
      <c r="N533" s="269">
        <f>IFERROR(IF(BA533="WIP - 30 Days",VLOOKUP(D533,[3]Extended!$B$9:$E$101,4,FALSE),IF(BA533="31-120 Days",VLOOKUP(D533,[3]Extended!$B$9:$F$101,5,FALSE),IF(BA533="121-365 Days",VLOOKUP(D533,[3]Extended!$B$9:$G$101,6,FALSE),VLOOKUP(D533,[3]Extended!$B$9:$H$101,7,FALSE)))),0)</f>
        <v>1493912</v>
      </c>
      <c r="O533" s="269">
        <f>IFERROR(IF(BA533="WIP - 30 Days",VLOOKUP(D533,[3]Extended!$B$9:$J$101,9,FALSE),IF(BA533="31-120 Days",VLOOKUP(D533,[3]Extended!$B$9:$K$101,10,FALSE),IF(BA533="121-365 Days",VLOOKUP(D533,[3]Extended!$B$9:$L$101,11,FALSE),VLOOKUP(D533,[3]Extended!$B$9:$M$101,12,FALSE)))),0)</f>
        <v>1450400</v>
      </c>
      <c r="P533" s="116">
        <f t="shared" si="41"/>
        <v>0.26</v>
      </c>
      <c r="Q533" s="110" t="e">
        <f>O533-#REF!</f>
        <v>#REF!</v>
      </c>
      <c r="W533" s="311"/>
      <c r="X533" s="311"/>
      <c r="Y533" s="311"/>
      <c r="Z533" s="311"/>
      <c r="AA533" s="311"/>
      <c r="AB533" s="311"/>
      <c r="AC533" s="311"/>
      <c r="AT533" s="88" t="str">
        <f t="shared" si="42"/>
        <v>TGS000022017Q115,4</v>
      </c>
      <c r="AU533" s="89" t="str">
        <f t="shared" si="43"/>
        <v>03-2017</v>
      </c>
      <c r="BA533" s="92" t="str">
        <f t="shared" si="44"/>
        <v>WIP - 30 Days</v>
      </c>
    </row>
    <row r="534" spans="2:53">
      <c r="B534" s="60" t="str">
        <f>[2]Trucks!A531</f>
        <v>78W-5875</v>
      </c>
      <c r="C534" s="11" t="str">
        <f>[2]Trucks!B531</f>
        <v>TGS-26-4806X4BLS-LX-EL-ACC</v>
      </c>
      <c r="D534" s="19" t="str">
        <f>IFERROR(VLOOKUP(C534&amp;"",'[2]Retail Price List'!$A$3:$B$103,2,FALSE),"Special Order")</f>
        <v>TGS00002</v>
      </c>
      <c r="E534" s="18" t="str">
        <f>[2]Trucks!J531</f>
        <v>UNSOLD</v>
      </c>
      <c r="F534" s="12">
        <f>[2]Trucks!E531</f>
        <v>4</v>
      </c>
      <c r="G534" s="56">
        <f>[2]Trucks!K531</f>
        <v>15.4</v>
      </c>
      <c r="H534" s="46">
        <f>[2]Trucks!I531</f>
        <v>42804</v>
      </c>
      <c r="I534" s="83" t="str">
        <f t="shared" si="40"/>
        <v>2017Q1</v>
      </c>
      <c r="J534" s="272">
        <f>IFERROR(VLOOKUP((D534&amp;C534)&amp;"",'[2]Retail Price List'!$C$4:$F$102,3,FALSE),"")</f>
        <v>1960000</v>
      </c>
      <c r="K534" s="272">
        <f>IFERROR(IF(BA534="WIP - 30 Days",VLOOKUP(D534,[3]Standard!$B$9:$E$101,4,FALSE),IF(BA534="31-120 Days",VLOOKUP(D534,[3]Standard!$B$9:$F$101,5,FALSE),IF(BA534="121-365 Days",VLOOKUP(D534,[3]Standard!$B$9:$G$101,6,FALSE),VLOOKUP(D534,[3]Standard!$B$9:$H$101,7,FALSE)))),0)</f>
        <v>1413160</v>
      </c>
      <c r="L534" s="272">
        <f>IFERROR(IF(BA534="WIP - 30 Days",VLOOKUP(D534,[3]Standard!$B$9:$J$101,9,FALSE),IF(BA534="31-120 Days",VLOOKUP(D534,[3]Standard!$B$9:$K$100,10,FALSE),IF(BA534="121-365 Days",VLOOKUP(D534,[3]Standard!$B$9:$L$101,11,FALSE),VLOOKUP(D534,[3]Standard!$B$9:$M$101,12,FALSE)))),0)</f>
        <v>1372000</v>
      </c>
      <c r="M534" s="269">
        <f>IFERROR(VLOOKUP((D534&amp;C534)&amp;"",'[2]Retail Price List'!$C$4:$F$102,4,FALSE),"")</f>
        <v>1960000</v>
      </c>
      <c r="N534" s="269">
        <f>IFERROR(IF(BA534="WIP - 30 Days",VLOOKUP(D534,[3]Extended!$B$9:$E$101,4,FALSE),IF(BA534="31-120 Days",VLOOKUP(D534,[3]Extended!$B$9:$F$101,5,FALSE),IF(BA534="121-365 Days",VLOOKUP(D534,[3]Extended!$B$9:$G$101,6,FALSE),VLOOKUP(D534,[3]Extended!$B$9:$H$101,7,FALSE)))),0)</f>
        <v>1493912</v>
      </c>
      <c r="O534" s="269">
        <f>IFERROR(IF(BA534="WIP - 30 Days",VLOOKUP(D534,[3]Extended!$B$9:$J$101,9,FALSE),IF(BA534="31-120 Days",VLOOKUP(D534,[3]Extended!$B$9:$K$101,10,FALSE),IF(BA534="121-365 Days",VLOOKUP(D534,[3]Extended!$B$9:$L$101,11,FALSE),VLOOKUP(D534,[3]Extended!$B$9:$M$101,12,FALSE)))),0)</f>
        <v>1450400</v>
      </c>
      <c r="P534" s="116">
        <f t="shared" si="41"/>
        <v>0.26</v>
      </c>
      <c r="Q534" s="110" t="e">
        <f>O534-#REF!</f>
        <v>#REF!</v>
      </c>
      <c r="W534" s="311"/>
      <c r="X534" s="311"/>
      <c r="Y534" s="311"/>
      <c r="Z534" s="311"/>
      <c r="AA534" s="311"/>
      <c r="AB534" s="311"/>
      <c r="AC534" s="311"/>
      <c r="AT534" s="88" t="str">
        <f t="shared" si="42"/>
        <v>TGS000022017Q115,4</v>
      </c>
      <c r="AU534" s="89" t="str">
        <f t="shared" si="43"/>
        <v>03-2017</v>
      </c>
      <c r="BA534" s="92" t="str">
        <f t="shared" si="44"/>
        <v>WIP - 30 Days</v>
      </c>
    </row>
    <row r="535" spans="2:53">
      <c r="B535" s="60" t="str">
        <f>[2]Trucks!A532</f>
        <v>78W-5877</v>
      </c>
      <c r="C535" s="11" t="str">
        <f>[2]Trucks!B532</f>
        <v>TGS-26-4806X4BLS-LX-EL-ACC</v>
      </c>
      <c r="D535" s="19" t="str">
        <f>IFERROR(VLOOKUP(C535&amp;"",'[2]Retail Price List'!$A$3:$B$103,2,FALSE),"Special Order")</f>
        <v>TGS00002</v>
      </c>
      <c r="E535" s="18" t="str">
        <f>[2]Trucks!J532</f>
        <v>UNSOLD</v>
      </c>
      <c r="F535" s="12">
        <f>[2]Trucks!E532</f>
        <v>7</v>
      </c>
      <c r="G535" s="56">
        <f>[2]Trucks!K532</f>
        <v>15.4</v>
      </c>
      <c r="H535" s="46">
        <f>[2]Trucks!I532</f>
        <v>42804</v>
      </c>
      <c r="I535" s="83" t="str">
        <f t="shared" si="40"/>
        <v>2017Q1</v>
      </c>
      <c r="J535" s="272">
        <f>IFERROR(VLOOKUP((D535&amp;C535)&amp;"",'[2]Retail Price List'!$C$4:$F$102,3,FALSE),"")</f>
        <v>1960000</v>
      </c>
      <c r="K535" s="272">
        <f>IFERROR(IF(BA535="WIP - 30 Days",VLOOKUP(D535,[3]Standard!$B$9:$E$101,4,FALSE),IF(BA535="31-120 Days",VLOOKUP(D535,[3]Standard!$B$9:$F$101,5,FALSE),IF(BA535="121-365 Days",VLOOKUP(D535,[3]Standard!$B$9:$G$101,6,FALSE),VLOOKUP(D535,[3]Standard!$B$9:$H$101,7,FALSE)))),0)</f>
        <v>1413160</v>
      </c>
      <c r="L535" s="272">
        <f>IFERROR(IF(BA535="WIP - 30 Days",VLOOKUP(D535,[3]Standard!$B$9:$J$101,9,FALSE),IF(BA535="31-120 Days",VLOOKUP(D535,[3]Standard!$B$9:$K$100,10,FALSE),IF(BA535="121-365 Days",VLOOKUP(D535,[3]Standard!$B$9:$L$101,11,FALSE),VLOOKUP(D535,[3]Standard!$B$9:$M$101,12,FALSE)))),0)</f>
        <v>1372000</v>
      </c>
      <c r="M535" s="269">
        <f>IFERROR(VLOOKUP((D535&amp;C535)&amp;"",'[2]Retail Price List'!$C$4:$F$102,4,FALSE),"")</f>
        <v>1960000</v>
      </c>
      <c r="N535" s="269">
        <f>IFERROR(IF(BA535="WIP - 30 Days",VLOOKUP(D535,[3]Extended!$B$9:$E$101,4,FALSE),IF(BA535="31-120 Days",VLOOKUP(D535,[3]Extended!$B$9:$F$101,5,FALSE),IF(BA535="121-365 Days",VLOOKUP(D535,[3]Extended!$B$9:$G$101,6,FALSE),VLOOKUP(D535,[3]Extended!$B$9:$H$101,7,FALSE)))),0)</f>
        <v>1493912</v>
      </c>
      <c r="O535" s="269">
        <f>IFERROR(IF(BA535="WIP - 30 Days",VLOOKUP(D535,[3]Extended!$B$9:$J$101,9,FALSE),IF(BA535="31-120 Days",VLOOKUP(D535,[3]Extended!$B$9:$K$101,10,FALSE),IF(BA535="121-365 Days",VLOOKUP(D535,[3]Extended!$B$9:$L$101,11,FALSE),VLOOKUP(D535,[3]Extended!$B$9:$M$101,12,FALSE)))),0)</f>
        <v>1450400</v>
      </c>
      <c r="P535" s="116">
        <f t="shared" si="41"/>
        <v>0.26</v>
      </c>
      <c r="Q535" s="110" t="e">
        <f>O535-#REF!</f>
        <v>#REF!</v>
      </c>
      <c r="W535" s="311"/>
      <c r="X535" s="311"/>
      <c r="Y535" s="311"/>
      <c r="Z535" s="311"/>
      <c r="AA535" s="311"/>
      <c r="AB535" s="311"/>
      <c r="AC535" s="311"/>
      <c r="AT535" s="88" t="str">
        <f t="shared" si="42"/>
        <v>TGS000022017Q115,4</v>
      </c>
      <c r="AU535" s="89" t="str">
        <f t="shared" si="43"/>
        <v>03-2017</v>
      </c>
      <c r="BA535" s="92" t="str">
        <f t="shared" si="44"/>
        <v>WIP - 30 Days</v>
      </c>
    </row>
    <row r="536" spans="2:53">
      <c r="B536" s="60" t="str">
        <f>[2]Trucks!A533</f>
        <v>78W-5878</v>
      </c>
      <c r="C536" s="11" t="str">
        <f>[2]Trucks!B533</f>
        <v>TGS-26-4806X4BLS-LX-EL-ACC</v>
      </c>
      <c r="D536" s="19" t="str">
        <f>IFERROR(VLOOKUP(C536&amp;"",'[2]Retail Price List'!$A$3:$B$103,2,FALSE),"Special Order")</f>
        <v>TGS00002</v>
      </c>
      <c r="E536" s="18" t="str">
        <f>[2]Trucks!J533</f>
        <v>UNSOLD</v>
      </c>
      <c r="F536" s="12">
        <f>[2]Trucks!E533</f>
        <v>7</v>
      </c>
      <c r="G536" s="56">
        <f>[2]Trucks!K533</f>
        <v>15.4</v>
      </c>
      <c r="H536" s="46">
        <f>[2]Trucks!I533</f>
        <v>42804</v>
      </c>
      <c r="I536" s="83" t="str">
        <f t="shared" si="40"/>
        <v>2017Q1</v>
      </c>
      <c r="J536" s="272">
        <f>IFERROR(VLOOKUP((D536&amp;C536)&amp;"",'[2]Retail Price List'!$C$4:$F$102,3,FALSE),"")</f>
        <v>1960000</v>
      </c>
      <c r="K536" s="272">
        <f>IFERROR(IF(BA536="WIP - 30 Days",VLOOKUP(D536,[3]Standard!$B$9:$E$101,4,FALSE),IF(BA536="31-120 Days",VLOOKUP(D536,[3]Standard!$B$9:$F$101,5,FALSE),IF(BA536="121-365 Days",VLOOKUP(D536,[3]Standard!$B$9:$G$101,6,FALSE),VLOOKUP(D536,[3]Standard!$B$9:$H$101,7,FALSE)))),0)</f>
        <v>1413160</v>
      </c>
      <c r="L536" s="272">
        <f>IFERROR(IF(BA536="WIP - 30 Days",VLOOKUP(D536,[3]Standard!$B$9:$J$101,9,FALSE),IF(BA536="31-120 Days",VLOOKUP(D536,[3]Standard!$B$9:$K$100,10,FALSE),IF(BA536="121-365 Days",VLOOKUP(D536,[3]Standard!$B$9:$L$101,11,FALSE),VLOOKUP(D536,[3]Standard!$B$9:$M$101,12,FALSE)))),0)</f>
        <v>1372000</v>
      </c>
      <c r="M536" s="269">
        <f>IFERROR(VLOOKUP((D536&amp;C536)&amp;"",'[2]Retail Price List'!$C$4:$F$102,4,FALSE),"")</f>
        <v>1960000</v>
      </c>
      <c r="N536" s="269">
        <f>IFERROR(IF(BA536="WIP - 30 Days",VLOOKUP(D536,[3]Extended!$B$9:$E$101,4,FALSE),IF(BA536="31-120 Days",VLOOKUP(D536,[3]Extended!$B$9:$F$101,5,FALSE),IF(BA536="121-365 Days",VLOOKUP(D536,[3]Extended!$B$9:$G$101,6,FALSE),VLOOKUP(D536,[3]Extended!$B$9:$H$101,7,FALSE)))),0)</f>
        <v>1493912</v>
      </c>
      <c r="O536" s="269">
        <f>IFERROR(IF(BA536="WIP - 30 Days",VLOOKUP(D536,[3]Extended!$B$9:$J$101,9,FALSE),IF(BA536="31-120 Days",VLOOKUP(D536,[3]Extended!$B$9:$K$101,10,FALSE),IF(BA536="121-365 Days",VLOOKUP(D536,[3]Extended!$B$9:$L$101,11,FALSE),VLOOKUP(D536,[3]Extended!$B$9:$M$101,12,FALSE)))),0)</f>
        <v>1450400</v>
      </c>
      <c r="P536" s="116">
        <f t="shared" si="41"/>
        <v>0.26</v>
      </c>
      <c r="Q536" s="110" t="e">
        <f>O536-#REF!</f>
        <v>#REF!</v>
      </c>
      <c r="W536" s="311"/>
      <c r="X536" s="311"/>
      <c r="Y536" s="311"/>
      <c r="Z536" s="311"/>
      <c r="AA536" s="311"/>
      <c r="AB536" s="311"/>
      <c r="AC536" s="311"/>
      <c r="AT536" s="88" t="str">
        <f t="shared" si="42"/>
        <v>TGS000022017Q115,4</v>
      </c>
      <c r="AU536" s="89" t="str">
        <f t="shared" si="43"/>
        <v>03-2017</v>
      </c>
      <c r="BA536" s="92" t="str">
        <f t="shared" si="44"/>
        <v>WIP - 30 Days</v>
      </c>
    </row>
    <row r="537" spans="2:53">
      <c r="B537" s="60" t="str">
        <f>[2]Trucks!A534</f>
        <v>78W-5879</v>
      </c>
      <c r="C537" s="11" t="str">
        <f>[2]Trucks!B534</f>
        <v>TGS-26-4806X4BLS-LX-EL-ACC</v>
      </c>
      <c r="D537" s="19" t="str">
        <f>IFERROR(VLOOKUP(C537&amp;"",'[2]Retail Price List'!$A$3:$B$103,2,FALSE),"Special Order")</f>
        <v>TGS00002</v>
      </c>
      <c r="E537" s="18" t="str">
        <f>[2]Trucks!J534</f>
        <v>UNSOLD</v>
      </c>
      <c r="F537" s="12">
        <f>[2]Trucks!E534</f>
        <v>8</v>
      </c>
      <c r="G537" s="56">
        <f>[2]Trucks!K534</f>
        <v>15.4</v>
      </c>
      <c r="H537" s="46">
        <f>[2]Trucks!I534</f>
        <v>42804</v>
      </c>
      <c r="I537" s="83" t="str">
        <f t="shared" si="40"/>
        <v>2017Q1</v>
      </c>
      <c r="J537" s="272">
        <f>IFERROR(VLOOKUP((D537&amp;C537)&amp;"",'[2]Retail Price List'!$C$4:$F$102,3,FALSE),"")</f>
        <v>1960000</v>
      </c>
      <c r="K537" s="272">
        <f>IFERROR(IF(BA537="WIP - 30 Days",VLOOKUP(D537,[3]Standard!$B$9:$E$101,4,FALSE),IF(BA537="31-120 Days",VLOOKUP(D537,[3]Standard!$B$9:$F$101,5,FALSE),IF(BA537="121-365 Days",VLOOKUP(D537,[3]Standard!$B$9:$G$101,6,FALSE),VLOOKUP(D537,[3]Standard!$B$9:$H$101,7,FALSE)))),0)</f>
        <v>1413160</v>
      </c>
      <c r="L537" s="272">
        <f>IFERROR(IF(BA537="WIP - 30 Days",VLOOKUP(D537,[3]Standard!$B$9:$J$101,9,FALSE),IF(BA537="31-120 Days",VLOOKUP(D537,[3]Standard!$B$9:$K$100,10,FALSE),IF(BA537="121-365 Days",VLOOKUP(D537,[3]Standard!$B$9:$L$101,11,FALSE),VLOOKUP(D537,[3]Standard!$B$9:$M$101,12,FALSE)))),0)</f>
        <v>1372000</v>
      </c>
      <c r="M537" s="269">
        <f>IFERROR(VLOOKUP((D537&amp;C537)&amp;"",'[2]Retail Price List'!$C$4:$F$102,4,FALSE),"")</f>
        <v>1960000</v>
      </c>
      <c r="N537" s="269">
        <f>IFERROR(IF(BA537="WIP - 30 Days",VLOOKUP(D537,[3]Extended!$B$9:$E$101,4,FALSE),IF(BA537="31-120 Days",VLOOKUP(D537,[3]Extended!$B$9:$F$101,5,FALSE),IF(BA537="121-365 Days",VLOOKUP(D537,[3]Extended!$B$9:$G$101,6,FALSE),VLOOKUP(D537,[3]Extended!$B$9:$H$101,7,FALSE)))),0)</f>
        <v>1493912</v>
      </c>
      <c r="O537" s="269">
        <f>IFERROR(IF(BA537="WIP - 30 Days",VLOOKUP(D537,[3]Extended!$B$9:$J$101,9,FALSE),IF(BA537="31-120 Days",VLOOKUP(D537,[3]Extended!$B$9:$K$101,10,FALSE),IF(BA537="121-365 Days",VLOOKUP(D537,[3]Extended!$B$9:$L$101,11,FALSE),VLOOKUP(D537,[3]Extended!$B$9:$M$101,12,FALSE)))),0)</f>
        <v>1450400</v>
      </c>
      <c r="P537" s="116">
        <f t="shared" si="41"/>
        <v>0.26</v>
      </c>
      <c r="Q537" s="110" t="e">
        <f>O537-#REF!</f>
        <v>#REF!</v>
      </c>
      <c r="W537" s="311"/>
      <c r="X537" s="311"/>
      <c r="Y537" s="311"/>
      <c r="Z537" s="311"/>
      <c r="AA537" s="311"/>
      <c r="AB537" s="311"/>
      <c r="AC537" s="311"/>
      <c r="AT537" s="88" t="str">
        <f t="shared" si="42"/>
        <v>TGS000022017Q115,4</v>
      </c>
      <c r="AU537" s="89" t="str">
        <f t="shared" si="43"/>
        <v>03-2017</v>
      </c>
      <c r="BA537" s="92" t="str">
        <f t="shared" si="44"/>
        <v>WIP - 30 Days</v>
      </c>
    </row>
    <row r="538" spans="2:53">
      <c r="B538" s="60" t="str">
        <f>[2]Trucks!A535</f>
        <v>78W-5880</v>
      </c>
      <c r="C538" s="11" t="str">
        <f>[2]Trucks!B535</f>
        <v>TGS-26-4806X4BLS-LX-EL-ACC</v>
      </c>
      <c r="D538" s="19" t="str">
        <f>IFERROR(VLOOKUP(C538&amp;"",'[2]Retail Price List'!$A$3:$B$103,2,FALSE),"Special Order")</f>
        <v>TGS00002</v>
      </c>
      <c r="E538" s="18" t="str">
        <f>[2]Trucks!J535</f>
        <v>CKD</v>
      </c>
      <c r="F538" s="12" t="str">
        <f>[2]Trucks!E535</f>
        <v>2017-08-11</v>
      </c>
      <c r="G538" s="56">
        <f>[2]Trucks!K535</f>
        <v>15.4</v>
      </c>
      <c r="H538" s="46">
        <f>[2]Trucks!I535</f>
        <v>42804</v>
      </c>
      <c r="I538" s="83" t="str">
        <f t="shared" si="40"/>
        <v>2017Q1</v>
      </c>
      <c r="J538" s="272">
        <f>IFERROR(VLOOKUP((D538&amp;C538)&amp;"",'[2]Retail Price List'!$C$4:$F$102,3,FALSE),"")</f>
        <v>1960000</v>
      </c>
      <c r="K538" s="272">
        <f>IFERROR(IF(BA538="WIP - 30 Days",VLOOKUP(D538,[3]Standard!$B$9:$E$101,4,FALSE),IF(BA538="31-120 Days",VLOOKUP(D538,[3]Standard!$B$9:$F$101,5,FALSE),IF(BA538="121-365 Days",VLOOKUP(D538,[3]Standard!$B$9:$G$101,6,FALSE),VLOOKUP(D538,[3]Standard!$B$9:$H$101,7,FALSE)))),0)</f>
        <v>1413160</v>
      </c>
      <c r="L538" s="272">
        <f>IFERROR(IF(BA538="WIP - 30 Days",VLOOKUP(D538,[3]Standard!$B$9:$J$101,9,FALSE),IF(BA538="31-120 Days",VLOOKUP(D538,[3]Standard!$B$9:$K$100,10,FALSE),IF(BA538="121-365 Days",VLOOKUP(D538,[3]Standard!$B$9:$L$101,11,FALSE),VLOOKUP(D538,[3]Standard!$B$9:$M$101,12,FALSE)))),0)</f>
        <v>1372000</v>
      </c>
      <c r="M538" s="269">
        <f>IFERROR(VLOOKUP((D538&amp;C538)&amp;"",'[2]Retail Price List'!$C$4:$F$102,4,FALSE),"")</f>
        <v>1960000</v>
      </c>
      <c r="N538" s="269">
        <f>IFERROR(IF(BA538="WIP - 30 Days",VLOOKUP(D538,[3]Extended!$B$9:$E$101,4,FALSE),IF(BA538="31-120 Days",VLOOKUP(D538,[3]Extended!$B$9:$F$101,5,FALSE),IF(BA538="121-365 Days",VLOOKUP(D538,[3]Extended!$B$9:$G$101,6,FALSE),VLOOKUP(D538,[3]Extended!$B$9:$H$101,7,FALSE)))),0)</f>
        <v>1493912</v>
      </c>
      <c r="O538" s="269">
        <f>IFERROR(IF(BA538="WIP - 30 Days",VLOOKUP(D538,[3]Extended!$B$9:$J$101,9,FALSE),IF(BA538="31-120 Days",VLOOKUP(D538,[3]Extended!$B$9:$K$101,10,FALSE),IF(BA538="121-365 Days",VLOOKUP(D538,[3]Extended!$B$9:$L$101,11,FALSE),VLOOKUP(D538,[3]Extended!$B$9:$M$101,12,FALSE)))),0)</f>
        <v>1450400</v>
      </c>
      <c r="P538" s="116">
        <f t="shared" si="41"/>
        <v>0.26</v>
      </c>
      <c r="Q538" s="110" t="e">
        <f>O538-#REF!</f>
        <v>#REF!</v>
      </c>
      <c r="W538" s="311"/>
      <c r="X538" s="311"/>
      <c r="Y538" s="311"/>
      <c r="Z538" s="311"/>
      <c r="AA538" s="311"/>
      <c r="AB538" s="311"/>
      <c r="AC538" s="311"/>
      <c r="AT538" s="88" t="str">
        <f t="shared" si="42"/>
        <v>TGS000022017Q115,4</v>
      </c>
      <c r="AU538" s="89" t="str">
        <f t="shared" si="43"/>
        <v>03-2017</v>
      </c>
      <c r="BA538" s="92" t="str">
        <f t="shared" si="44"/>
        <v>WIP - 30 Days</v>
      </c>
    </row>
    <row r="539" spans="2:53">
      <c r="B539" s="60" t="str">
        <f>[2]Trucks!A536</f>
        <v>78W-5881</v>
      </c>
      <c r="C539" s="11" t="str">
        <f>[2]Trucks!B536</f>
        <v>TGS-26-4806X4BLS-LX-EL-ACC</v>
      </c>
      <c r="D539" s="19" t="str">
        <f>IFERROR(VLOOKUP(C539&amp;"",'[2]Retail Price List'!$A$3:$B$103,2,FALSE),"Special Order")</f>
        <v>TGS00002</v>
      </c>
      <c r="E539" s="18" t="str">
        <f>[2]Trucks!J536</f>
        <v>CKD</v>
      </c>
      <c r="F539" s="12" t="str">
        <f>[2]Trucks!E536</f>
        <v>2017-08-11</v>
      </c>
      <c r="G539" s="56">
        <f>[2]Trucks!K536</f>
        <v>15.4</v>
      </c>
      <c r="H539" s="46">
        <f>[2]Trucks!I536</f>
        <v>42804</v>
      </c>
      <c r="I539" s="83" t="str">
        <f t="shared" si="40"/>
        <v>2017Q1</v>
      </c>
      <c r="J539" s="272">
        <f>IFERROR(VLOOKUP((D539&amp;C539)&amp;"",'[2]Retail Price List'!$C$4:$F$102,3,FALSE),"")</f>
        <v>1960000</v>
      </c>
      <c r="K539" s="272">
        <f>IFERROR(IF(BA539="WIP - 30 Days",VLOOKUP(D539,[3]Standard!$B$9:$E$101,4,FALSE),IF(BA539="31-120 Days",VLOOKUP(D539,[3]Standard!$B$9:$F$101,5,FALSE),IF(BA539="121-365 Days",VLOOKUP(D539,[3]Standard!$B$9:$G$101,6,FALSE),VLOOKUP(D539,[3]Standard!$B$9:$H$101,7,FALSE)))),0)</f>
        <v>1413160</v>
      </c>
      <c r="L539" s="272">
        <f>IFERROR(IF(BA539="WIP - 30 Days",VLOOKUP(D539,[3]Standard!$B$9:$J$101,9,FALSE),IF(BA539="31-120 Days",VLOOKUP(D539,[3]Standard!$B$9:$K$100,10,FALSE),IF(BA539="121-365 Days",VLOOKUP(D539,[3]Standard!$B$9:$L$101,11,FALSE),VLOOKUP(D539,[3]Standard!$B$9:$M$101,12,FALSE)))),0)</f>
        <v>1372000</v>
      </c>
      <c r="M539" s="269">
        <f>IFERROR(VLOOKUP((D539&amp;C539)&amp;"",'[2]Retail Price List'!$C$4:$F$102,4,FALSE),"")</f>
        <v>1960000</v>
      </c>
      <c r="N539" s="269">
        <f>IFERROR(IF(BA539="WIP - 30 Days",VLOOKUP(D539,[3]Extended!$B$9:$E$101,4,FALSE),IF(BA539="31-120 Days",VLOOKUP(D539,[3]Extended!$B$9:$F$101,5,FALSE),IF(BA539="121-365 Days",VLOOKUP(D539,[3]Extended!$B$9:$G$101,6,FALSE),VLOOKUP(D539,[3]Extended!$B$9:$H$101,7,FALSE)))),0)</f>
        <v>1493912</v>
      </c>
      <c r="O539" s="269">
        <f>IFERROR(IF(BA539="WIP - 30 Days",VLOOKUP(D539,[3]Extended!$B$9:$J$101,9,FALSE),IF(BA539="31-120 Days",VLOOKUP(D539,[3]Extended!$B$9:$K$101,10,FALSE),IF(BA539="121-365 Days",VLOOKUP(D539,[3]Extended!$B$9:$L$101,11,FALSE),VLOOKUP(D539,[3]Extended!$B$9:$M$101,12,FALSE)))),0)</f>
        <v>1450400</v>
      </c>
      <c r="P539" s="116">
        <f t="shared" si="41"/>
        <v>0.26</v>
      </c>
      <c r="Q539" s="110" t="e">
        <f>O539-#REF!</f>
        <v>#REF!</v>
      </c>
      <c r="W539" s="311"/>
      <c r="X539" s="311"/>
      <c r="Y539" s="311"/>
      <c r="Z539" s="311"/>
      <c r="AA539" s="311"/>
      <c r="AB539" s="311"/>
      <c r="AC539" s="311"/>
      <c r="AT539" s="88" t="str">
        <f t="shared" si="42"/>
        <v>TGS000022017Q115,4</v>
      </c>
      <c r="AU539" s="89" t="str">
        <f t="shared" si="43"/>
        <v>03-2017</v>
      </c>
      <c r="BA539" s="92" t="str">
        <f t="shared" si="44"/>
        <v>WIP - 30 Days</v>
      </c>
    </row>
    <row r="540" spans="2:53">
      <c r="B540" s="60" t="str">
        <f>[2]Trucks!A537</f>
        <v>78W-5882</v>
      </c>
      <c r="C540" s="11" t="str">
        <f>[2]Trucks!B537</f>
        <v>TGS-26-4806X4BLS-LX-EL-ACC</v>
      </c>
      <c r="D540" s="19" t="str">
        <f>IFERROR(VLOOKUP(C540&amp;"",'[2]Retail Price List'!$A$3:$B$103,2,FALSE),"Special Order")</f>
        <v>TGS00002</v>
      </c>
      <c r="E540" s="18" t="str">
        <f>[2]Trucks!J537</f>
        <v>CKD</v>
      </c>
      <c r="F540" s="12" t="str">
        <f>[2]Trucks!E537</f>
        <v>2017-08-14</v>
      </c>
      <c r="G540" s="56">
        <f>[2]Trucks!K537</f>
        <v>15.4</v>
      </c>
      <c r="H540" s="46">
        <f>[2]Trucks!I537</f>
        <v>42804</v>
      </c>
      <c r="I540" s="83" t="str">
        <f t="shared" si="40"/>
        <v>2017Q1</v>
      </c>
      <c r="J540" s="272">
        <f>IFERROR(VLOOKUP((D540&amp;C540)&amp;"",'[2]Retail Price List'!$C$4:$F$102,3,FALSE),"")</f>
        <v>1960000</v>
      </c>
      <c r="K540" s="272">
        <f>IFERROR(IF(BA540="WIP - 30 Days",VLOOKUP(D540,[3]Standard!$B$9:$E$101,4,FALSE),IF(BA540="31-120 Days",VLOOKUP(D540,[3]Standard!$B$9:$F$101,5,FALSE),IF(BA540="121-365 Days",VLOOKUP(D540,[3]Standard!$B$9:$G$101,6,FALSE),VLOOKUP(D540,[3]Standard!$B$9:$H$101,7,FALSE)))),0)</f>
        <v>1413160</v>
      </c>
      <c r="L540" s="272">
        <f>IFERROR(IF(BA540="WIP - 30 Days",VLOOKUP(D540,[3]Standard!$B$9:$J$101,9,FALSE),IF(BA540="31-120 Days",VLOOKUP(D540,[3]Standard!$B$9:$K$100,10,FALSE),IF(BA540="121-365 Days",VLOOKUP(D540,[3]Standard!$B$9:$L$101,11,FALSE),VLOOKUP(D540,[3]Standard!$B$9:$M$101,12,FALSE)))),0)</f>
        <v>1372000</v>
      </c>
      <c r="M540" s="269">
        <f>IFERROR(VLOOKUP((D540&amp;C540)&amp;"",'[2]Retail Price List'!$C$4:$F$102,4,FALSE),"")</f>
        <v>1960000</v>
      </c>
      <c r="N540" s="269">
        <f>IFERROR(IF(BA540="WIP - 30 Days",VLOOKUP(D540,[3]Extended!$B$9:$E$101,4,FALSE),IF(BA540="31-120 Days",VLOOKUP(D540,[3]Extended!$B$9:$F$101,5,FALSE),IF(BA540="121-365 Days",VLOOKUP(D540,[3]Extended!$B$9:$G$101,6,FALSE),VLOOKUP(D540,[3]Extended!$B$9:$H$101,7,FALSE)))),0)</f>
        <v>1493912</v>
      </c>
      <c r="O540" s="269">
        <f>IFERROR(IF(BA540="WIP - 30 Days",VLOOKUP(D540,[3]Extended!$B$9:$J$101,9,FALSE),IF(BA540="31-120 Days",VLOOKUP(D540,[3]Extended!$B$9:$K$101,10,FALSE),IF(BA540="121-365 Days",VLOOKUP(D540,[3]Extended!$B$9:$L$101,11,FALSE),VLOOKUP(D540,[3]Extended!$B$9:$M$101,12,FALSE)))),0)</f>
        <v>1450400</v>
      </c>
      <c r="P540" s="116">
        <f t="shared" si="41"/>
        <v>0.26</v>
      </c>
      <c r="Q540" s="110" t="e">
        <f>O540-#REF!</f>
        <v>#REF!</v>
      </c>
      <c r="W540" s="311"/>
      <c r="X540" s="311"/>
      <c r="Y540" s="311"/>
      <c r="Z540" s="311"/>
      <c r="AA540" s="311"/>
      <c r="AB540" s="311"/>
      <c r="AC540" s="311"/>
      <c r="AT540" s="88" t="str">
        <f t="shared" si="42"/>
        <v>TGS000022017Q115,4</v>
      </c>
      <c r="AU540" s="89" t="str">
        <f t="shared" si="43"/>
        <v>03-2017</v>
      </c>
      <c r="BA540" s="92" t="str">
        <f t="shared" si="44"/>
        <v>WIP - 30 Days</v>
      </c>
    </row>
    <row r="541" spans="2:53">
      <c r="B541" s="60" t="str">
        <f>[2]Trucks!A538</f>
        <v>78W-5883</v>
      </c>
      <c r="C541" s="11" t="str">
        <f>[2]Trucks!B538</f>
        <v>TGS-26-4806X4BLS-LX-EL-ACC</v>
      </c>
      <c r="D541" s="19" t="str">
        <f>IFERROR(VLOOKUP(C541&amp;"",'[2]Retail Price List'!$A$3:$B$103,2,FALSE),"Special Order")</f>
        <v>TGS00002</v>
      </c>
      <c r="E541" s="18" t="str">
        <f>[2]Trucks!J538</f>
        <v>CKD</v>
      </c>
      <c r="F541" s="12" t="str">
        <f>[2]Trucks!E538</f>
        <v>2017-08-14</v>
      </c>
      <c r="G541" s="56">
        <f>[2]Trucks!K538</f>
        <v>15.4</v>
      </c>
      <c r="H541" s="46">
        <f>[2]Trucks!I538</f>
        <v>42804</v>
      </c>
      <c r="I541" s="83" t="str">
        <f t="shared" si="40"/>
        <v>2017Q1</v>
      </c>
      <c r="J541" s="272">
        <f>IFERROR(VLOOKUP((D541&amp;C541)&amp;"",'[2]Retail Price List'!$C$4:$F$102,3,FALSE),"")</f>
        <v>1960000</v>
      </c>
      <c r="K541" s="272">
        <f>IFERROR(IF(BA541="WIP - 30 Days",VLOOKUP(D541,[3]Standard!$B$9:$E$101,4,FALSE),IF(BA541="31-120 Days",VLOOKUP(D541,[3]Standard!$B$9:$F$101,5,FALSE),IF(BA541="121-365 Days",VLOOKUP(D541,[3]Standard!$B$9:$G$101,6,FALSE),VLOOKUP(D541,[3]Standard!$B$9:$H$101,7,FALSE)))),0)</f>
        <v>1413160</v>
      </c>
      <c r="L541" s="272">
        <f>IFERROR(IF(BA541="WIP - 30 Days",VLOOKUP(D541,[3]Standard!$B$9:$J$101,9,FALSE),IF(BA541="31-120 Days",VLOOKUP(D541,[3]Standard!$B$9:$K$100,10,FALSE),IF(BA541="121-365 Days",VLOOKUP(D541,[3]Standard!$B$9:$L$101,11,FALSE),VLOOKUP(D541,[3]Standard!$B$9:$M$101,12,FALSE)))),0)</f>
        <v>1372000</v>
      </c>
      <c r="M541" s="269">
        <f>IFERROR(VLOOKUP((D541&amp;C541)&amp;"",'[2]Retail Price List'!$C$4:$F$102,4,FALSE),"")</f>
        <v>1960000</v>
      </c>
      <c r="N541" s="269">
        <f>IFERROR(IF(BA541="WIP - 30 Days",VLOOKUP(D541,[3]Extended!$B$9:$E$101,4,FALSE),IF(BA541="31-120 Days",VLOOKUP(D541,[3]Extended!$B$9:$F$101,5,FALSE),IF(BA541="121-365 Days",VLOOKUP(D541,[3]Extended!$B$9:$G$101,6,FALSE),VLOOKUP(D541,[3]Extended!$B$9:$H$101,7,FALSE)))),0)</f>
        <v>1493912</v>
      </c>
      <c r="O541" s="269">
        <f>IFERROR(IF(BA541="WIP - 30 Days",VLOOKUP(D541,[3]Extended!$B$9:$J$101,9,FALSE),IF(BA541="31-120 Days",VLOOKUP(D541,[3]Extended!$B$9:$K$101,10,FALSE),IF(BA541="121-365 Days",VLOOKUP(D541,[3]Extended!$B$9:$L$101,11,FALSE),VLOOKUP(D541,[3]Extended!$B$9:$M$101,12,FALSE)))),0)</f>
        <v>1450400</v>
      </c>
      <c r="P541" s="116">
        <f t="shared" si="41"/>
        <v>0.26</v>
      </c>
      <c r="Q541" s="110" t="e">
        <f>O541-#REF!</f>
        <v>#REF!</v>
      </c>
      <c r="W541" s="311"/>
      <c r="X541" s="311"/>
      <c r="Y541" s="311"/>
      <c r="Z541" s="311"/>
      <c r="AA541" s="311"/>
      <c r="AB541" s="311"/>
      <c r="AC541" s="311"/>
      <c r="AT541" s="88" t="str">
        <f t="shared" si="42"/>
        <v>TGS000022017Q115,4</v>
      </c>
      <c r="AU541" s="89" t="str">
        <f t="shared" si="43"/>
        <v>03-2017</v>
      </c>
      <c r="BA541" s="92" t="str">
        <f t="shared" si="44"/>
        <v>WIP - 30 Days</v>
      </c>
    </row>
    <row r="542" spans="2:53">
      <c r="B542" s="60" t="str">
        <f>[2]Trucks!A539</f>
        <v>78W-5884</v>
      </c>
      <c r="C542" s="11" t="str">
        <f>[2]Trucks!B539</f>
        <v>TGS-26-4806X4BLS-LX-EL-ACC</v>
      </c>
      <c r="D542" s="19" t="str">
        <f>IFERROR(VLOOKUP(C542&amp;"",'[2]Retail Price List'!$A$3:$B$103,2,FALSE),"Special Order")</f>
        <v>TGS00002</v>
      </c>
      <c r="E542" s="18" t="str">
        <f>[2]Trucks!J539</f>
        <v>CKD</v>
      </c>
      <c r="F542" s="12" t="str">
        <f>[2]Trucks!E539</f>
        <v>2017-08-14</v>
      </c>
      <c r="G542" s="56">
        <f>[2]Trucks!K539</f>
        <v>15.4</v>
      </c>
      <c r="H542" s="46">
        <f>[2]Trucks!I539</f>
        <v>42804</v>
      </c>
      <c r="I542" s="83" t="str">
        <f t="shared" si="40"/>
        <v>2017Q1</v>
      </c>
      <c r="J542" s="272">
        <f>IFERROR(VLOOKUP((D542&amp;C542)&amp;"",'[2]Retail Price List'!$C$4:$F$102,3,FALSE),"")</f>
        <v>1960000</v>
      </c>
      <c r="K542" s="272">
        <f>IFERROR(IF(BA542="WIP - 30 Days",VLOOKUP(D542,[3]Standard!$B$9:$E$101,4,FALSE),IF(BA542="31-120 Days",VLOOKUP(D542,[3]Standard!$B$9:$F$101,5,FALSE),IF(BA542="121-365 Days",VLOOKUP(D542,[3]Standard!$B$9:$G$101,6,FALSE),VLOOKUP(D542,[3]Standard!$B$9:$H$101,7,FALSE)))),0)</f>
        <v>1413160</v>
      </c>
      <c r="L542" s="272">
        <f>IFERROR(IF(BA542="WIP - 30 Days",VLOOKUP(D542,[3]Standard!$B$9:$J$101,9,FALSE),IF(BA542="31-120 Days",VLOOKUP(D542,[3]Standard!$B$9:$K$100,10,FALSE),IF(BA542="121-365 Days",VLOOKUP(D542,[3]Standard!$B$9:$L$101,11,FALSE),VLOOKUP(D542,[3]Standard!$B$9:$M$101,12,FALSE)))),0)</f>
        <v>1372000</v>
      </c>
      <c r="M542" s="269">
        <f>IFERROR(VLOOKUP((D542&amp;C542)&amp;"",'[2]Retail Price List'!$C$4:$F$102,4,FALSE),"")</f>
        <v>1960000</v>
      </c>
      <c r="N542" s="269">
        <f>IFERROR(IF(BA542="WIP - 30 Days",VLOOKUP(D542,[3]Extended!$B$9:$E$101,4,FALSE),IF(BA542="31-120 Days",VLOOKUP(D542,[3]Extended!$B$9:$F$101,5,FALSE),IF(BA542="121-365 Days",VLOOKUP(D542,[3]Extended!$B$9:$G$101,6,FALSE),VLOOKUP(D542,[3]Extended!$B$9:$H$101,7,FALSE)))),0)</f>
        <v>1493912</v>
      </c>
      <c r="O542" s="269">
        <f>IFERROR(IF(BA542="WIP - 30 Days",VLOOKUP(D542,[3]Extended!$B$9:$J$101,9,FALSE),IF(BA542="31-120 Days",VLOOKUP(D542,[3]Extended!$B$9:$K$101,10,FALSE),IF(BA542="121-365 Days",VLOOKUP(D542,[3]Extended!$B$9:$L$101,11,FALSE),VLOOKUP(D542,[3]Extended!$B$9:$M$101,12,FALSE)))),0)</f>
        <v>1450400</v>
      </c>
      <c r="P542" s="116">
        <f t="shared" si="41"/>
        <v>0.26</v>
      </c>
      <c r="Q542" s="110" t="e">
        <f>O542-#REF!</f>
        <v>#REF!</v>
      </c>
      <c r="W542" s="311"/>
      <c r="X542" s="311"/>
      <c r="Y542" s="311"/>
      <c r="Z542" s="311"/>
      <c r="AA542" s="311"/>
      <c r="AB542" s="311"/>
      <c r="AC542" s="311"/>
      <c r="AT542" s="88" t="str">
        <f t="shared" si="42"/>
        <v>TGS000022017Q115,4</v>
      </c>
      <c r="AU542" s="89" t="str">
        <f t="shared" si="43"/>
        <v>03-2017</v>
      </c>
      <c r="BA542" s="92" t="str">
        <f t="shared" si="44"/>
        <v>WIP - 30 Days</v>
      </c>
    </row>
    <row r="543" spans="2:53">
      <c r="B543" s="60" t="str">
        <f>[2]Trucks!A540</f>
        <v>78W-5885</v>
      </c>
      <c r="C543" s="11" t="str">
        <f>[2]Trucks!B540</f>
        <v>TGS-26-4806X4BLS-LX-EL-ACC</v>
      </c>
      <c r="D543" s="19" t="str">
        <f>IFERROR(VLOOKUP(C543&amp;"",'[2]Retail Price List'!$A$3:$B$103,2,FALSE),"Special Order")</f>
        <v>TGS00002</v>
      </c>
      <c r="E543" s="18" t="str">
        <f>[2]Trucks!J540</f>
        <v>UNSOLD</v>
      </c>
      <c r="F543" s="12">
        <f>[2]Trucks!E540</f>
        <v>1</v>
      </c>
      <c r="G543" s="56">
        <f>[2]Trucks!K540</f>
        <v>15.4</v>
      </c>
      <c r="H543" s="46">
        <f>[2]Trucks!I540</f>
        <v>42804</v>
      </c>
      <c r="I543" s="83" t="str">
        <f t="shared" si="40"/>
        <v>2017Q1</v>
      </c>
      <c r="J543" s="272">
        <f>IFERROR(VLOOKUP((D543&amp;C543)&amp;"",'[2]Retail Price List'!$C$4:$F$102,3,FALSE),"")</f>
        <v>1960000</v>
      </c>
      <c r="K543" s="272">
        <f>IFERROR(IF(BA543="WIP - 30 Days",VLOOKUP(D543,[3]Standard!$B$9:$E$101,4,FALSE),IF(BA543="31-120 Days",VLOOKUP(D543,[3]Standard!$B$9:$F$101,5,FALSE),IF(BA543="121-365 Days",VLOOKUP(D543,[3]Standard!$B$9:$G$101,6,FALSE),VLOOKUP(D543,[3]Standard!$B$9:$H$101,7,FALSE)))),0)</f>
        <v>1413160</v>
      </c>
      <c r="L543" s="272">
        <f>IFERROR(IF(BA543="WIP - 30 Days",VLOOKUP(D543,[3]Standard!$B$9:$J$101,9,FALSE),IF(BA543="31-120 Days",VLOOKUP(D543,[3]Standard!$B$9:$K$100,10,FALSE),IF(BA543="121-365 Days",VLOOKUP(D543,[3]Standard!$B$9:$L$101,11,FALSE),VLOOKUP(D543,[3]Standard!$B$9:$M$101,12,FALSE)))),0)</f>
        <v>1372000</v>
      </c>
      <c r="M543" s="269">
        <f>IFERROR(VLOOKUP((D543&amp;C543)&amp;"",'[2]Retail Price List'!$C$4:$F$102,4,FALSE),"")</f>
        <v>1960000</v>
      </c>
      <c r="N543" s="269">
        <f>IFERROR(IF(BA543="WIP - 30 Days",VLOOKUP(D543,[3]Extended!$B$9:$E$101,4,FALSE),IF(BA543="31-120 Days",VLOOKUP(D543,[3]Extended!$B$9:$F$101,5,FALSE),IF(BA543="121-365 Days",VLOOKUP(D543,[3]Extended!$B$9:$G$101,6,FALSE),VLOOKUP(D543,[3]Extended!$B$9:$H$101,7,FALSE)))),0)</f>
        <v>1493912</v>
      </c>
      <c r="O543" s="269">
        <f>IFERROR(IF(BA543="WIP - 30 Days",VLOOKUP(D543,[3]Extended!$B$9:$J$101,9,FALSE),IF(BA543="31-120 Days",VLOOKUP(D543,[3]Extended!$B$9:$K$101,10,FALSE),IF(BA543="121-365 Days",VLOOKUP(D543,[3]Extended!$B$9:$L$101,11,FALSE),VLOOKUP(D543,[3]Extended!$B$9:$M$101,12,FALSE)))),0)</f>
        <v>1450400</v>
      </c>
      <c r="P543" s="116">
        <f t="shared" si="41"/>
        <v>0.26</v>
      </c>
      <c r="Q543" s="110" t="e">
        <f>O543-#REF!</f>
        <v>#REF!</v>
      </c>
      <c r="W543" s="311"/>
      <c r="X543" s="311"/>
      <c r="Y543" s="311"/>
      <c r="Z543" s="311"/>
      <c r="AA543" s="311"/>
      <c r="AB543" s="311"/>
      <c r="AC543" s="311"/>
      <c r="AT543" s="88" t="str">
        <f t="shared" si="42"/>
        <v>TGS000022017Q115,4</v>
      </c>
      <c r="AU543" s="89" t="str">
        <f t="shared" si="43"/>
        <v>03-2017</v>
      </c>
      <c r="BA543" s="92" t="str">
        <f t="shared" si="44"/>
        <v>WIP - 30 Days</v>
      </c>
    </row>
    <row r="544" spans="2:53">
      <c r="B544" s="60" t="str">
        <f>[2]Trucks!A541</f>
        <v>TBATG002</v>
      </c>
      <c r="C544" s="11" t="str">
        <f>[2]Trucks!B541</f>
        <v>TGS-26-4806X4BLS-LX-EL-ACC</v>
      </c>
      <c r="D544" s="19" t="str">
        <f>IFERROR(VLOOKUP(C544&amp;"",'[2]Retail Price List'!$A$3:$B$103,2,FALSE),"Special Order")</f>
        <v>TGS00002</v>
      </c>
      <c r="E544" s="18" t="str">
        <f>[2]Trucks!J541</f>
        <v>CKD</v>
      </c>
      <c r="F544" s="12" t="str">
        <f>[2]Trucks!E541</f>
        <v>2018-02-15</v>
      </c>
      <c r="G544" s="56">
        <f>[2]Trucks!K541</f>
        <v>14.7</v>
      </c>
      <c r="H544" s="46">
        <f>[2]Trucks!I541</f>
        <v>42921</v>
      </c>
      <c r="I544" s="83" t="str">
        <f t="shared" si="40"/>
        <v>2017Q3</v>
      </c>
      <c r="J544" s="272">
        <f>IFERROR(VLOOKUP((D544&amp;C544)&amp;"",'[2]Retail Price List'!$C$4:$F$102,3,FALSE),"")</f>
        <v>1960000</v>
      </c>
      <c r="K544" s="272">
        <f>IFERROR(IF(BA544="WIP - 30 Days",VLOOKUP(D544,[3]Standard!$B$9:$E$101,4,FALSE),IF(BA544="31-120 Days",VLOOKUP(D544,[3]Standard!$B$9:$F$101,5,FALSE),IF(BA544="121-365 Days",VLOOKUP(D544,[3]Standard!$B$9:$G$101,6,FALSE),VLOOKUP(D544,[3]Standard!$B$9:$H$101,7,FALSE)))),0)</f>
        <v>1413160</v>
      </c>
      <c r="L544" s="272">
        <f>IFERROR(IF(BA544="WIP - 30 Days",VLOOKUP(D544,[3]Standard!$B$9:$J$101,9,FALSE),IF(BA544="31-120 Days",VLOOKUP(D544,[3]Standard!$B$9:$K$100,10,FALSE),IF(BA544="121-365 Days",VLOOKUP(D544,[3]Standard!$B$9:$L$101,11,FALSE),VLOOKUP(D544,[3]Standard!$B$9:$M$101,12,FALSE)))),0)</f>
        <v>1372000</v>
      </c>
      <c r="M544" s="269">
        <f>IFERROR(VLOOKUP((D544&amp;C544)&amp;"",'[2]Retail Price List'!$C$4:$F$102,4,FALSE),"")</f>
        <v>1960000</v>
      </c>
      <c r="N544" s="269">
        <f>IFERROR(IF(BA544="WIP - 30 Days",VLOOKUP(D544,[3]Extended!$B$9:$E$101,4,FALSE),IF(BA544="31-120 Days",VLOOKUP(D544,[3]Extended!$B$9:$F$101,5,FALSE),IF(BA544="121-365 Days",VLOOKUP(D544,[3]Extended!$B$9:$G$101,6,FALSE),VLOOKUP(D544,[3]Extended!$B$9:$H$101,7,FALSE)))),0)</f>
        <v>1493912</v>
      </c>
      <c r="O544" s="269">
        <f>IFERROR(IF(BA544="WIP - 30 Days",VLOOKUP(D544,[3]Extended!$B$9:$J$101,9,FALSE),IF(BA544="31-120 Days",VLOOKUP(D544,[3]Extended!$B$9:$K$101,10,FALSE),IF(BA544="121-365 Days",VLOOKUP(D544,[3]Extended!$B$9:$L$101,11,FALSE),VLOOKUP(D544,[3]Extended!$B$9:$M$101,12,FALSE)))),0)</f>
        <v>1450400</v>
      </c>
      <c r="P544" s="116">
        <f t="shared" si="41"/>
        <v>0.26</v>
      </c>
      <c r="Q544" s="110" t="e">
        <f>O544-#REF!</f>
        <v>#REF!</v>
      </c>
      <c r="W544" s="311"/>
      <c r="X544" s="311"/>
      <c r="Y544" s="311"/>
      <c r="Z544" s="311"/>
      <c r="AA544" s="311"/>
      <c r="AB544" s="311"/>
      <c r="AC544" s="311"/>
      <c r="AT544" s="88" t="str">
        <f t="shared" si="42"/>
        <v>TGS000022017Q314,7</v>
      </c>
      <c r="AU544" s="89" t="str">
        <f t="shared" si="43"/>
        <v>07-2017</v>
      </c>
      <c r="BA544" s="92" t="str">
        <f t="shared" si="44"/>
        <v>WIP - 30 Days</v>
      </c>
    </row>
    <row r="545" spans="2:53">
      <c r="B545" s="60">
        <f>[2]Trucks!A542</f>
        <v>46674</v>
      </c>
      <c r="C545" s="11" t="str">
        <f>[2]Trucks!B542</f>
        <v>TGS-27-4406X4BBS-L</v>
      </c>
      <c r="D545" s="19" t="str">
        <f>IFERROR(VLOOKUP(C545&amp;"",'[2]Retail Price List'!$A$3:$B$103,2,FALSE),"Special Order")</f>
        <v>KP000637</v>
      </c>
      <c r="E545" s="18" t="str">
        <f>[2]Trucks!J542</f>
        <v>CKD</v>
      </c>
      <c r="F545" s="12" t="str">
        <f>[2]Trucks!E542</f>
        <v>2017-10-20</v>
      </c>
      <c r="G545" s="56">
        <f>[2]Trucks!K542</f>
        <v>14.7</v>
      </c>
      <c r="H545" s="46">
        <f>[2]Trucks!I542</f>
        <v>42838</v>
      </c>
      <c r="I545" s="83" t="str">
        <f t="shared" si="40"/>
        <v>2017Q2</v>
      </c>
      <c r="J545" s="272">
        <f>IFERROR(VLOOKUP((D545&amp;C545)&amp;"",'[2]Retail Price List'!$C$4:$F$102,3,FALSE),"")</f>
        <v>1595000</v>
      </c>
      <c r="K545" s="272">
        <f>IFERROR(IF(BA545="WIP - 30 Days",VLOOKUP(D545,[3]Standard!$B$9:$E$101,4,FALSE),IF(BA545="31-120 Days",VLOOKUP(D545,[3]Standard!$B$9:$F$101,5,FALSE),IF(BA545="121-365 Days",VLOOKUP(D545,[3]Standard!$B$9:$G$101,6,FALSE),VLOOKUP(D545,[3]Standard!$B$9:$H$101,7,FALSE)))),0)</f>
        <v>1264994.5</v>
      </c>
      <c r="L545" s="272">
        <f>IFERROR(IF(BA545="WIP - 30 Days",VLOOKUP(D545,[3]Standard!$B$9:$J$101,9,FALSE),IF(BA545="31-120 Days",VLOOKUP(D545,[3]Standard!$B$9:$K$100,10,FALSE),IF(BA545="121-365 Days",VLOOKUP(D545,[3]Standard!$B$9:$L$101,11,FALSE),VLOOKUP(D545,[3]Standard!$B$9:$M$101,12,FALSE)))),0)</f>
        <v>1228150</v>
      </c>
      <c r="M545" s="269">
        <f>IFERROR(VLOOKUP((D545&amp;C545)&amp;"",'[2]Retail Price List'!$C$4:$F$102,4,FALSE),"")</f>
        <v>1625000</v>
      </c>
      <c r="N545" s="269">
        <f>IFERROR(IF(BA545="WIP - 30 Days",VLOOKUP(D545,[3]Extended!$B$9:$E$101,4,FALSE),IF(BA545="31-120 Days",VLOOKUP(D545,[3]Extended!$B$9:$F$101,5,FALSE),IF(BA545="121-365 Days",VLOOKUP(D545,[3]Extended!$B$9:$G$101,6,FALSE),VLOOKUP(D545,[3]Extended!$B$9:$H$101,7,FALSE)))),0)</f>
        <v>1339000</v>
      </c>
      <c r="O545" s="269">
        <f>IFERROR(IF(BA545="WIP - 30 Days",VLOOKUP(D545,[3]Extended!$B$9:$J$101,9,FALSE),IF(BA545="31-120 Days",VLOOKUP(D545,[3]Extended!$B$9:$K$101,10,FALSE),IF(BA545="121-365 Days",VLOOKUP(D545,[3]Extended!$B$9:$L$101,11,FALSE),VLOOKUP(D545,[3]Extended!$B$9:$M$101,12,FALSE)))),0)</f>
        <v>1300000</v>
      </c>
      <c r="P545" s="116">
        <f t="shared" si="41"/>
        <v>0.2</v>
      </c>
      <c r="Q545" s="110" t="e">
        <f>O545-#REF!</f>
        <v>#REF!</v>
      </c>
      <c r="W545" s="311"/>
      <c r="X545" s="311"/>
      <c r="Y545" s="311"/>
      <c r="Z545" s="311"/>
      <c r="AA545" s="311"/>
      <c r="AB545" s="311"/>
      <c r="AC545" s="311"/>
      <c r="AT545" s="88" t="str">
        <f t="shared" si="42"/>
        <v>KP0006372017Q214,7</v>
      </c>
      <c r="AU545" s="89" t="str">
        <f t="shared" si="43"/>
        <v>04-2017</v>
      </c>
      <c r="BA545" s="92" t="str">
        <f t="shared" si="44"/>
        <v>WIP - 30 Days</v>
      </c>
    </row>
    <row r="546" spans="2:53">
      <c r="B546" s="60">
        <f>[2]Trucks!A543</f>
        <v>46675</v>
      </c>
      <c r="C546" s="11" t="str">
        <f>[2]Trucks!B543</f>
        <v>TGS-27-4406X4BBS-L</v>
      </c>
      <c r="D546" s="19" t="str">
        <f>IFERROR(VLOOKUP(C546&amp;"",'[2]Retail Price List'!$A$3:$B$103,2,FALSE),"Special Order")</f>
        <v>KP000637</v>
      </c>
      <c r="E546" s="18" t="str">
        <f>[2]Trucks!J543</f>
        <v>CKD</v>
      </c>
      <c r="F546" s="12" t="str">
        <f>[2]Trucks!E543</f>
        <v>2017-10-20</v>
      </c>
      <c r="G546" s="56">
        <f>[2]Trucks!K543</f>
        <v>14.7</v>
      </c>
      <c r="H546" s="46">
        <f>[2]Trucks!I543</f>
        <v>42838</v>
      </c>
      <c r="I546" s="83" t="str">
        <f t="shared" si="40"/>
        <v>2017Q2</v>
      </c>
      <c r="J546" s="272">
        <f>IFERROR(VLOOKUP((D546&amp;C546)&amp;"",'[2]Retail Price List'!$C$4:$F$102,3,FALSE),"")</f>
        <v>1595000</v>
      </c>
      <c r="K546" s="272">
        <f>IFERROR(IF(BA546="WIP - 30 Days",VLOOKUP(D546,[3]Standard!$B$9:$E$101,4,FALSE),IF(BA546="31-120 Days",VLOOKUP(D546,[3]Standard!$B$9:$F$101,5,FALSE),IF(BA546="121-365 Days",VLOOKUP(D546,[3]Standard!$B$9:$G$101,6,FALSE),VLOOKUP(D546,[3]Standard!$B$9:$H$101,7,FALSE)))),0)</f>
        <v>1264994.5</v>
      </c>
      <c r="L546" s="272">
        <f>IFERROR(IF(BA546="WIP - 30 Days",VLOOKUP(D546,[3]Standard!$B$9:$J$101,9,FALSE),IF(BA546="31-120 Days",VLOOKUP(D546,[3]Standard!$B$9:$K$100,10,FALSE),IF(BA546="121-365 Days",VLOOKUP(D546,[3]Standard!$B$9:$L$101,11,FALSE),VLOOKUP(D546,[3]Standard!$B$9:$M$101,12,FALSE)))),0)</f>
        <v>1228150</v>
      </c>
      <c r="M546" s="269">
        <f>IFERROR(VLOOKUP((D546&amp;C546)&amp;"",'[2]Retail Price List'!$C$4:$F$102,4,FALSE),"")</f>
        <v>1625000</v>
      </c>
      <c r="N546" s="269">
        <f>IFERROR(IF(BA546="WIP - 30 Days",VLOOKUP(D546,[3]Extended!$B$9:$E$101,4,FALSE),IF(BA546="31-120 Days",VLOOKUP(D546,[3]Extended!$B$9:$F$101,5,FALSE),IF(BA546="121-365 Days",VLOOKUP(D546,[3]Extended!$B$9:$G$101,6,FALSE),VLOOKUP(D546,[3]Extended!$B$9:$H$101,7,FALSE)))),0)</f>
        <v>1339000</v>
      </c>
      <c r="O546" s="269">
        <f>IFERROR(IF(BA546="WIP - 30 Days",VLOOKUP(D546,[3]Extended!$B$9:$J$101,9,FALSE),IF(BA546="31-120 Days",VLOOKUP(D546,[3]Extended!$B$9:$K$101,10,FALSE),IF(BA546="121-365 Days",VLOOKUP(D546,[3]Extended!$B$9:$L$101,11,FALSE),VLOOKUP(D546,[3]Extended!$B$9:$M$101,12,FALSE)))),0)</f>
        <v>1300000</v>
      </c>
      <c r="P546" s="116">
        <f t="shared" si="41"/>
        <v>0.2</v>
      </c>
      <c r="Q546" s="110" t="e">
        <f>O546-#REF!</f>
        <v>#REF!</v>
      </c>
      <c r="W546" s="311"/>
      <c r="X546" s="311"/>
      <c r="Y546" s="311"/>
      <c r="Z546" s="311"/>
      <c r="AA546" s="311"/>
      <c r="AB546" s="311"/>
      <c r="AC546" s="311"/>
      <c r="AT546" s="88" t="str">
        <f t="shared" si="42"/>
        <v>KP0006372017Q214,7</v>
      </c>
      <c r="AU546" s="89" t="str">
        <f t="shared" si="43"/>
        <v>04-2017</v>
      </c>
      <c r="BA546" s="92" t="str">
        <f t="shared" si="44"/>
        <v>WIP - 30 Days</v>
      </c>
    </row>
    <row r="547" spans="2:53">
      <c r="B547" s="60">
        <f>[2]Trucks!A544</f>
        <v>46676</v>
      </c>
      <c r="C547" s="11" t="str">
        <f>[2]Trucks!B544</f>
        <v>TGS-27-4406X4BBS-L</v>
      </c>
      <c r="D547" s="19" t="str">
        <f>IFERROR(VLOOKUP(C547&amp;"",'[2]Retail Price List'!$A$3:$B$103,2,FALSE),"Special Order")</f>
        <v>KP000637</v>
      </c>
      <c r="E547" s="18" t="str">
        <f>[2]Trucks!J544</f>
        <v>CKD</v>
      </c>
      <c r="F547" s="12" t="str">
        <f>[2]Trucks!E544</f>
        <v>2017-10-20</v>
      </c>
      <c r="G547" s="56">
        <f>[2]Trucks!K544</f>
        <v>14.7</v>
      </c>
      <c r="H547" s="46">
        <f>[2]Trucks!I544</f>
        <v>42838</v>
      </c>
      <c r="I547" s="83" t="str">
        <f t="shared" si="40"/>
        <v>2017Q2</v>
      </c>
      <c r="J547" s="272">
        <f>IFERROR(VLOOKUP((D547&amp;C547)&amp;"",'[2]Retail Price List'!$C$4:$F$102,3,FALSE),"")</f>
        <v>1595000</v>
      </c>
      <c r="K547" s="272">
        <f>IFERROR(IF(BA547="WIP - 30 Days",VLOOKUP(D547,[3]Standard!$B$9:$E$101,4,FALSE),IF(BA547="31-120 Days",VLOOKUP(D547,[3]Standard!$B$9:$F$101,5,FALSE),IF(BA547="121-365 Days",VLOOKUP(D547,[3]Standard!$B$9:$G$101,6,FALSE),VLOOKUP(D547,[3]Standard!$B$9:$H$101,7,FALSE)))),0)</f>
        <v>1264994.5</v>
      </c>
      <c r="L547" s="272">
        <f>IFERROR(IF(BA547="WIP - 30 Days",VLOOKUP(D547,[3]Standard!$B$9:$J$101,9,FALSE),IF(BA547="31-120 Days",VLOOKUP(D547,[3]Standard!$B$9:$K$100,10,FALSE),IF(BA547="121-365 Days",VLOOKUP(D547,[3]Standard!$B$9:$L$101,11,FALSE),VLOOKUP(D547,[3]Standard!$B$9:$M$101,12,FALSE)))),0)</f>
        <v>1228150</v>
      </c>
      <c r="M547" s="269">
        <f>IFERROR(VLOOKUP((D547&amp;C547)&amp;"",'[2]Retail Price List'!$C$4:$F$102,4,FALSE),"")</f>
        <v>1625000</v>
      </c>
      <c r="N547" s="269">
        <f>IFERROR(IF(BA547="WIP - 30 Days",VLOOKUP(D547,[3]Extended!$B$9:$E$101,4,FALSE),IF(BA547="31-120 Days",VLOOKUP(D547,[3]Extended!$B$9:$F$101,5,FALSE),IF(BA547="121-365 Days",VLOOKUP(D547,[3]Extended!$B$9:$G$101,6,FALSE),VLOOKUP(D547,[3]Extended!$B$9:$H$101,7,FALSE)))),0)</f>
        <v>1339000</v>
      </c>
      <c r="O547" s="269">
        <f>IFERROR(IF(BA547="WIP - 30 Days",VLOOKUP(D547,[3]Extended!$B$9:$J$101,9,FALSE),IF(BA547="31-120 Days",VLOOKUP(D547,[3]Extended!$B$9:$K$101,10,FALSE),IF(BA547="121-365 Days",VLOOKUP(D547,[3]Extended!$B$9:$L$101,11,FALSE),VLOOKUP(D547,[3]Extended!$B$9:$M$101,12,FALSE)))),0)</f>
        <v>1300000</v>
      </c>
      <c r="P547" s="116">
        <f t="shared" si="41"/>
        <v>0.2</v>
      </c>
      <c r="Q547" s="110" t="e">
        <f>O547-#REF!</f>
        <v>#REF!</v>
      </c>
      <c r="W547" s="311"/>
      <c r="X547" s="311"/>
      <c r="Y547" s="311"/>
      <c r="Z547" s="311"/>
      <c r="AA547" s="311"/>
      <c r="AB547" s="311"/>
      <c r="AC547" s="311"/>
      <c r="AT547" s="88" t="str">
        <f t="shared" si="42"/>
        <v>KP0006372017Q214,7</v>
      </c>
      <c r="AU547" s="89" t="str">
        <f t="shared" si="43"/>
        <v>04-2017</v>
      </c>
      <c r="BA547" s="92" t="str">
        <f t="shared" si="44"/>
        <v>WIP - 30 Days</v>
      </c>
    </row>
    <row r="548" spans="2:53">
      <c r="B548" s="60">
        <f>[2]Trucks!A545</f>
        <v>46677</v>
      </c>
      <c r="C548" s="11" t="str">
        <f>[2]Trucks!B545</f>
        <v>TGS-27-4406X4BBS-L</v>
      </c>
      <c r="D548" s="19" t="str">
        <f>IFERROR(VLOOKUP(C548&amp;"",'[2]Retail Price List'!$A$3:$B$103,2,FALSE),"Special Order")</f>
        <v>KP000637</v>
      </c>
      <c r="E548" s="18" t="str">
        <f>[2]Trucks!J545</f>
        <v>CKD</v>
      </c>
      <c r="F548" s="12" t="str">
        <f>[2]Trucks!E545</f>
        <v>2017-10-20</v>
      </c>
      <c r="G548" s="56">
        <f>[2]Trucks!K545</f>
        <v>14.7</v>
      </c>
      <c r="H548" s="46">
        <f>[2]Trucks!I545</f>
        <v>42838</v>
      </c>
      <c r="I548" s="83" t="str">
        <f t="shared" si="40"/>
        <v>2017Q2</v>
      </c>
      <c r="J548" s="272">
        <f>IFERROR(VLOOKUP((D548&amp;C548)&amp;"",'[2]Retail Price List'!$C$4:$F$102,3,FALSE),"")</f>
        <v>1595000</v>
      </c>
      <c r="K548" s="272">
        <f>IFERROR(IF(BA548="WIP - 30 Days",VLOOKUP(D548,[3]Standard!$B$9:$E$101,4,FALSE),IF(BA548="31-120 Days",VLOOKUP(D548,[3]Standard!$B$9:$F$101,5,FALSE),IF(BA548="121-365 Days",VLOOKUP(D548,[3]Standard!$B$9:$G$101,6,FALSE),VLOOKUP(D548,[3]Standard!$B$9:$H$101,7,FALSE)))),0)</f>
        <v>1264994.5</v>
      </c>
      <c r="L548" s="272">
        <f>IFERROR(IF(BA548="WIP - 30 Days",VLOOKUP(D548,[3]Standard!$B$9:$J$101,9,FALSE),IF(BA548="31-120 Days",VLOOKUP(D548,[3]Standard!$B$9:$K$100,10,FALSE),IF(BA548="121-365 Days",VLOOKUP(D548,[3]Standard!$B$9:$L$101,11,FALSE),VLOOKUP(D548,[3]Standard!$B$9:$M$101,12,FALSE)))),0)</f>
        <v>1228150</v>
      </c>
      <c r="M548" s="269">
        <f>IFERROR(VLOOKUP((D548&amp;C548)&amp;"",'[2]Retail Price List'!$C$4:$F$102,4,FALSE),"")</f>
        <v>1625000</v>
      </c>
      <c r="N548" s="269">
        <f>IFERROR(IF(BA548="WIP - 30 Days",VLOOKUP(D548,[3]Extended!$B$9:$E$101,4,FALSE),IF(BA548="31-120 Days",VLOOKUP(D548,[3]Extended!$B$9:$F$101,5,FALSE),IF(BA548="121-365 Days",VLOOKUP(D548,[3]Extended!$B$9:$G$101,6,FALSE),VLOOKUP(D548,[3]Extended!$B$9:$H$101,7,FALSE)))),0)</f>
        <v>1339000</v>
      </c>
      <c r="O548" s="269">
        <f>IFERROR(IF(BA548="WIP - 30 Days",VLOOKUP(D548,[3]Extended!$B$9:$J$101,9,FALSE),IF(BA548="31-120 Days",VLOOKUP(D548,[3]Extended!$B$9:$K$101,10,FALSE),IF(BA548="121-365 Days",VLOOKUP(D548,[3]Extended!$B$9:$L$101,11,FALSE),VLOOKUP(D548,[3]Extended!$B$9:$M$101,12,FALSE)))),0)</f>
        <v>1300000</v>
      </c>
      <c r="P548" s="116">
        <f t="shared" si="41"/>
        <v>0.2</v>
      </c>
      <c r="Q548" s="110" t="e">
        <f>O548-#REF!</f>
        <v>#REF!</v>
      </c>
      <c r="W548" s="311"/>
      <c r="X548" s="311"/>
      <c r="Y548" s="311"/>
      <c r="Z548" s="311"/>
      <c r="AA548" s="311"/>
      <c r="AB548" s="311"/>
      <c r="AC548" s="311"/>
      <c r="AT548" s="88" t="str">
        <f t="shared" si="42"/>
        <v>KP0006372017Q214,7</v>
      </c>
      <c r="AU548" s="89" t="str">
        <f t="shared" si="43"/>
        <v>04-2017</v>
      </c>
      <c r="BA548" s="92" t="str">
        <f t="shared" si="44"/>
        <v>WIP - 30 Days</v>
      </c>
    </row>
    <row r="549" spans="2:53">
      <c r="B549" s="60">
        <f>[2]Trucks!A546</f>
        <v>46868</v>
      </c>
      <c r="C549" s="11" t="str">
        <f>[2]Trucks!B546</f>
        <v>TGS-27-4406X4BBS-L</v>
      </c>
      <c r="D549" s="19" t="str">
        <f>IFERROR(VLOOKUP(C549&amp;"",'[2]Retail Price List'!$A$3:$B$103,2,FALSE),"Special Order")</f>
        <v>KP000637</v>
      </c>
      <c r="E549" s="18" t="str">
        <f>[2]Trucks!J546</f>
        <v>CKD</v>
      </c>
      <c r="F549" s="12" t="str">
        <f>[2]Trucks!E546</f>
        <v>2017-10-27</v>
      </c>
      <c r="G549" s="56">
        <f>[2]Trucks!K546</f>
        <v>14.7</v>
      </c>
      <c r="H549" s="46">
        <f>[2]Trucks!I546</f>
        <v>42859</v>
      </c>
      <c r="I549" s="83" t="str">
        <f t="shared" si="40"/>
        <v>2017Q2</v>
      </c>
      <c r="J549" s="272">
        <f>IFERROR(VLOOKUP((D549&amp;C549)&amp;"",'[2]Retail Price List'!$C$4:$F$102,3,FALSE),"")</f>
        <v>1595000</v>
      </c>
      <c r="K549" s="272">
        <f>IFERROR(IF(BA549="WIP - 30 Days",VLOOKUP(D549,[3]Standard!$B$9:$E$101,4,FALSE),IF(BA549="31-120 Days",VLOOKUP(D549,[3]Standard!$B$9:$F$101,5,FALSE),IF(BA549="121-365 Days",VLOOKUP(D549,[3]Standard!$B$9:$G$101,6,FALSE),VLOOKUP(D549,[3]Standard!$B$9:$H$101,7,FALSE)))),0)</f>
        <v>1264994.5</v>
      </c>
      <c r="L549" s="272">
        <f>IFERROR(IF(BA549="WIP - 30 Days",VLOOKUP(D549,[3]Standard!$B$9:$J$101,9,FALSE),IF(BA549="31-120 Days",VLOOKUP(D549,[3]Standard!$B$9:$K$100,10,FALSE),IF(BA549="121-365 Days",VLOOKUP(D549,[3]Standard!$B$9:$L$101,11,FALSE),VLOOKUP(D549,[3]Standard!$B$9:$M$101,12,FALSE)))),0)</f>
        <v>1228150</v>
      </c>
      <c r="M549" s="269">
        <f>IFERROR(VLOOKUP((D549&amp;C549)&amp;"",'[2]Retail Price List'!$C$4:$F$102,4,FALSE),"")</f>
        <v>1625000</v>
      </c>
      <c r="N549" s="269">
        <f>IFERROR(IF(BA549="WIP - 30 Days",VLOOKUP(D549,[3]Extended!$B$9:$E$101,4,FALSE),IF(BA549="31-120 Days",VLOOKUP(D549,[3]Extended!$B$9:$F$101,5,FALSE),IF(BA549="121-365 Days",VLOOKUP(D549,[3]Extended!$B$9:$G$101,6,FALSE),VLOOKUP(D549,[3]Extended!$B$9:$H$101,7,FALSE)))),0)</f>
        <v>1339000</v>
      </c>
      <c r="O549" s="269">
        <f>IFERROR(IF(BA549="WIP - 30 Days",VLOOKUP(D549,[3]Extended!$B$9:$J$101,9,FALSE),IF(BA549="31-120 Days",VLOOKUP(D549,[3]Extended!$B$9:$K$101,10,FALSE),IF(BA549="121-365 Days",VLOOKUP(D549,[3]Extended!$B$9:$L$101,11,FALSE),VLOOKUP(D549,[3]Extended!$B$9:$M$101,12,FALSE)))),0)</f>
        <v>1300000</v>
      </c>
      <c r="P549" s="116">
        <f t="shared" si="41"/>
        <v>0.2</v>
      </c>
      <c r="Q549" s="110" t="e">
        <f>O549-#REF!</f>
        <v>#REF!</v>
      </c>
      <c r="W549" s="311"/>
      <c r="X549" s="311"/>
      <c r="Y549" s="311"/>
      <c r="Z549" s="311"/>
      <c r="AA549" s="311"/>
      <c r="AB549" s="311"/>
      <c r="AC549" s="311"/>
      <c r="AT549" s="88" t="str">
        <f t="shared" si="42"/>
        <v>KP0006372017Q214,7</v>
      </c>
      <c r="AU549" s="89" t="str">
        <f t="shared" si="43"/>
        <v>05-2017</v>
      </c>
      <c r="BA549" s="92" t="str">
        <f t="shared" si="44"/>
        <v>WIP - 30 Days</v>
      </c>
    </row>
    <row r="550" spans="2:53">
      <c r="B550" s="60">
        <f>[2]Trucks!A547</f>
        <v>46869</v>
      </c>
      <c r="C550" s="11" t="str">
        <f>[2]Trucks!B547</f>
        <v>TGS-27-4406X4BBS-L</v>
      </c>
      <c r="D550" s="19" t="str">
        <f>IFERROR(VLOOKUP(C550&amp;"",'[2]Retail Price List'!$A$3:$B$103,2,FALSE),"Special Order")</f>
        <v>KP000637</v>
      </c>
      <c r="E550" s="18" t="str">
        <f>[2]Trucks!J547</f>
        <v>CKD</v>
      </c>
      <c r="F550" s="12" t="str">
        <f>[2]Trucks!E547</f>
        <v>2017-10-27</v>
      </c>
      <c r="G550" s="56">
        <f>[2]Trucks!K547</f>
        <v>14.7</v>
      </c>
      <c r="H550" s="46">
        <f>[2]Trucks!I547</f>
        <v>42859</v>
      </c>
      <c r="I550" s="83" t="str">
        <f t="shared" si="40"/>
        <v>2017Q2</v>
      </c>
      <c r="J550" s="272">
        <f>IFERROR(VLOOKUP((D550&amp;C550)&amp;"",'[2]Retail Price List'!$C$4:$F$102,3,FALSE),"")</f>
        <v>1595000</v>
      </c>
      <c r="K550" s="272">
        <f>IFERROR(IF(BA550="WIP - 30 Days",VLOOKUP(D550,[3]Standard!$B$9:$E$101,4,FALSE),IF(BA550="31-120 Days",VLOOKUP(D550,[3]Standard!$B$9:$F$101,5,FALSE),IF(BA550="121-365 Days",VLOOKUP(D550,[3]Standard!$B$9:$G$101,6,FALSE),VLOOKUP(D550,[3]Standard!$B$9:$H$101,7,FALSE)))),0)</f>
        <v>1264994.5</v>
      </c>
      <c r="L550" s="272">
        <f>IFERROR(IF(BA550="WIP - 30 Days",VLOOKUP(D550,[3]Standard!$B$9:$J$101,9,FALSE),IF(BA550="31-120 Days",VLOOKUP(D550,[3]Standard!$B$9:$K$100,10,FALSE),IF(BA550="121-365 Days",VLOOKUP(D550,[3]Standard!$B$9:$L$101,11,FALSE),VLOOKUP(D550,[3]Standard!$B$9:$M$101,12,FALSE)))),0)</f>
        <v>1228150</v>
      </c>
      <c r="M550" s="269">
        <f>IFERROR(VLOOKUP((D550&amp;C550)&amp;"",'[2]Retail Price List'!$C$4:$F$102,4,FALSE),"")</f>
        <v>1625000</v>
      </c>
      <c r="N550" s="269">
        <f>IFERROR(IF(BA550="WIP - 30 Days",VLOOKUP(D550,[3]Extended!$B$9:$E$101,4,FALSE),IF(BA550="31-120 Days",VLOOKUP(D550,[3]Extended!$B$9:$F$101,5,FALSE),IF(BA550="121-365 Days",VLOOKUP(D550,[3]Extended!$B$9:$G$101,6,FALSE),VLOOKUP(D550,[3]Extended!$B$9:$H$101,7,FALSE)))),0)</f>
        <v>1339000</v>
      </c>
      <c r="O550" s="269">
        <f>IFERROR(IF(BA550="WIP - 30 Days",VLOOKUP(D550,[3]Extended!$B$9:$J$101,9,FALSE),IF(BA550="31-120 Days",VLOOKUP(D550,[3]Extended!$B$9:$K$101,10,FALSE),IF(BA550="121-365 Days",VLOOKUP(D550,[3]Extended!$B$9:$L$101,11,FALSE),VLOOKUP(D550,[3]Extended!$B$9:$M$101,12,FALSE)))),0)</f>
        <v>1300000</v>
      </c>
      <c r="P550" s="116">
        <f t="shared" si="41"/>
        <v>0.2</v>
      </c>
      <c r="Q550" s="110" t="e">
        <f>O550-#REF!</f>
        <v>#REF!</v>
      </c>
      <c r="W550" s="311"/>
      <c r="X550" s="311"/>
      <c r="Y550" s="311"/>
      <c r="Z550" s="311"/>
      <c r="AA550" s="311"/>
      <c r="AB550" s="311"/>
      <c r="AC550" s="311"/>
      <c r="AT550" s="88" t="str">
        <f t="shared" si="42"/>
        <v>KP0006372017Q214,7</v>
      </c>
      <c r="AU550" s="89" t="str">
        <f t="shared" si="43"/>
        <v>05-2017</v>
      </c>
      <c r="BA550" s="92" t="str">
        <f t="shared" si="44"/>
        <v>WIP - 30 Days</v>
      </c>
    </row>
    <row r="551" spans="2:53">
      <c r="B551" s="60">
        <f>[2]Trucks!A548</f>
        <v>46870</v>
      </c>
      <c r="C551" s="11" t="str">
        <f>[2]Trucks!B548</f>
        <v>TGS-27-4406X4BBS-L</v>
      </c>
      <c r="D551" s="19" t="str">
        <f>IFERROR(VLOOKUP(C551&amp;"",'[2]Retail Price List'!$A$3:$B$103,2,FALSE),"Special Order")</f>
        <v>KP000637</v>
      </c>
      <c r="E551" s="18" t="str">
        <f>[2]Trucks!J548</f>
        <v>CKD</v>
      </c>
      <c r="F551" s="12" t="str">
        <f>[2]Trucks!E548</f>
        <v>2017-10-27</v>
      </c>
      <c r="G551" s="56">
        <f>[2]Trucks!K548</f>
        <v>14.7</v>
      </c>
      <c r="H551" s="46">
        <f>[2]Trucks!I548</f>
        <v>42859</v>
      </c>
      <c r="I551" s="83" t="str">
        <f t="shared" si="40"/>
        <v>2017Q2</v>
      </c>
      <c r="J551" s="272">
        <f>IFERROR(VLOOKUP((D551&amp;C551)&amp;"",'[2]Retail Price List'!$C$4:$F$102,3,FALSE),"")</f>
        <v>1595000</v>
      </c>
      <c r="K551" s="272">
        <f>IFERROR(IF(BA551="WIP - 30 Days",VLOOKUP(D551,[3]Standard!$B$9:$E$101,4,FALSE),IF(BA551="31-120 Days",VLOOKUP(D551,[3]Standard!$B$9:$F$101,5,FALSE),IF(BA551="121-365 Days",VLOOKUP(D551,[3]Standard!$B$9:$G$101,6,FALSE),VLOOKUP(D551,[3]Standard!$B$9:$H$101,7,FALSE)))),0)</f>
        <v>1264994.5</v>
      </c>
      <c r="L551" s="272">
        <f>IFERROR(IF(BA551="WIP - 30 Days",VLOOKUP(D551,[3]Standard!$B$9:$J$101,9,FALSE),IF(BA551="31-120 Days",VLOOKUP(D551,[3]Standard!$B$9:$K$100,10,FALSE),IF(BA551="121-365 Days",VLOOKUP(D551,[3]Standard!$B$9:$L$101,11,FALSE),VLOOKUP(D551,[3]Standard!$B$9:$M$101,12,FALSE)))),0)</f>
        <v>1228150</v>
      </c>
      <c r="M551" s="269">
        <f>IFERROR(VLOOKUP((D551&amp;C551)&amp;"",'[2]Retail Price List'!$C$4:$F$102,4,FALSE),"")</f>
        <v>1625000</v>
      </c>
      <c r="N551" s="269">
        <f>IFERROR(IF(BA551="WIP - 30 Days",VLOOKUP(D551,[3]Extended!$B$9:$E$101,4,FALSE),IF(BA551="31-120 Days",VLOOKUP(D551,[3]Extended!$B$9:$F$101,5,FALSE),IF(BA551="121-365 Days",VLOOKUP(D551,[3]Extended!$B$9:$G$101,6,FALSE),VLOOKUP(D551,[3]Extended!$B$9:$H$101,7,FALSE)))),0)</f>
        <v>1339000</v>
      </c>
      <c r="O551" s="269">
        <f>IFERROR(IF(BA551="WIP - 30 Days",VLOOKUP(D551,[3]Extended!$B$9:$J$101,9,FALSE),IF(BA551="31-120 Days",VLOOKUP(D551,[3]Extended!$B$9:$K$101,10,FALSE),IF(BA551="121-365 Days",VLOOKUP(D551,[3]Extended!$B$9:$L$101,11,FALSE),VLOOKUP(D551,[3]Extended!$B$9:$M$101,12,FALSE)))),0)</f>
        <v>1300000</v>
      </c>
      <c r="P551" s="116">
        <f t="shared" si="41"/>
        <v>0.2</v>
      </c>
      <c r="Q551" s="110" t="e">
        <f>O551-#REF!</f>
        <v>#REF!</v>
      </c>
      <c r="W551" s="311"/>
      <c r="X551" s="311"/>
      <c r="Y551" s="311"/>
      <c r="Z551" s="311"/>
      <c r="AA551" s="311"/>
      <c r="AB551" s="311"/>
      <c r="AC551" s="311"/>
      <c r="AT551" s="88" t="str">
        <f t="shared" si="42"/>
        <v>KP0006372017Q214,7</v>
      </c>
      <c r="AU551" s="89" t="str">
        <f t="shared" si="43"/>
        <v>05-2017</v>
      </c>
      <c r="BA551" s="92" t="str">
        <f t="shared" si="44"/>
        <v>WIP - 30 Days</v>
      </c>
    </row>
    <row r="552" spans="2:53">
      <c r="B552" s="60">
        <f>[2]Trucks!A549</f>
        <v>46871</v>
      </c>
      <c r="C552" s="11" t="str">
        <f>[2]Trucks!B549</f>
        <v>TGS-27-4406X4BBS-L</v>
      </c>
      <c r="D552" s="19" t="str">
        <f>IFERROR(VLOOKUP(C552&amp;"",'[2]Retail Price List'!$A$3:$B$103,2,FALSE),"Special Order")</f>
        <v>KP000637</v>
      </c>
      <c r="E552" s="18" t="str">
        <f>[2]Trucks!J549</f>
        <v>CKD</v>
      </c>
      <c r="F552" s="12" t="str">
        <f>[2]Trucks!E549</f>
        <v>2017-10-27</v>
      </c>
      <c r="G552" s="56">
        <f>[2]Trucks!K549</f>
        <v>14.7</v>
      </c>
      <c r="H552" s="46">
        <f>[2]Trucks!I549</f>
        <v>42859</v>
      </c>
      <c r="I552" s="83" t="str">
        <f t="shared" si="40"/>
        <v>2017Q2</v>
      </c>
      <c r="J552" s="272">
        <f>IFERROR(VLOOKUP((D552&amp;C552)&amp;"",'[2]Retail Price List'!$C$4:$F$102,3,FALSE),"")</f>
        <v>1595000</v>
      </c>
      <c r="K552" s="272">
        <f>IFERROR(IF(BA552="WIP - 30 Days",VLOOKUP(D552,[3]Standard!$B$9:$E$101,4,FALSE),IF(BA552="31-120 Days",VLOOKUP(D552,[3]Standard!$B$9:$F$101,5,FALSE),IF(BA552="121-365 Days",VLOOKUP(D552,[3]Standard!$B$9:$G$101,6,FALSE),VLOOKUP(D552,[3]Standard!$B$9:$H$101,7,FALSE)))),0)</f>
        <v>1264994.5</v>
      </c>
      <c r="L552" s="272">
        <f>IFERROR(IF(BA552="WIP - 30 Days",VLOOKUP(D552,[3]Standard!$B$9:$J$101,9,FALSE),IF(BA552="31-120 Days",VLOOKUP(D552,[3]Standard!$B$9:$K$100,10,FALSE),IF(BA552="121-365 Days",VLOOKUP(D552,[3]Standard!$B$9:$L$101,11,FALSE),VLOOKUP(D552,[3]Standard!$B$9:$M$101,12,FALSE)))),0)</f>
        <v>1228150</v>
      </c>
      <c r="M552" s="269">
        <f>IFERROR(VLOOKUP((D552&amp;C552)&amp;"",'[2]Retail Price List'!$C$4:$F$102,4,FALSE),"")</f>
        <v>1625000</v>
      </c>
      <c r="N552" s="269">
        <f>IFERROR(IF(BA552="WIP - 30 Days",VLOOKUP(D552,[3]Extended!$B$9:$E$101,4,FALSE),IF(BA552="31-120 Days",VLOOKUP(D552,[3]Extended!$B$9:$F$101,5,FALSE),IF(BA552="121-365 Days",VLOOKUP(D552,[3]Extended!$B$9:$G$101,6,FALSE),VLOOKUP(D552,[3]Extended!$B$9:$H$101,7,FALSE)))),0)</f>
        <v>1339000</v>
      </c>
      <c r="O552" s="269">
        <f>IFERROR(IF(BA552="WIP - 30 Days",VLOOKUP(D552,[3]Extended!$B$9:$J$101,9,FALSE),IF(BA552="31-120 Days",VLOOKUP(D552,[3]Extended!$B$9:$K$101,10,FALSE),IF(BA552="121-365 Days",VLOOKUP(D552,[3]Extended!$B$9:$L$101,11,FALSE),VLOOKUP(D552,[3]Extended!$B$9:$M$101,12,FALSE)))),0)</f>
        <v>1300000</v>
      </c>
      <c r="P552" s="116">
        <f t="shared" si="41"/>
        <v>0.2</v>
      </c>
      <c r="Q552" s="110" t="e">
        <f>O552-#REF!</f>
        <v>#REF!</v>
      </c>
      <c r="W552" s="311"/>
      <c r="X552" s="311"/>
      <c r="Y552" s="311"/>
      <c r="Z552" s="311"/>
      <c r="AA552" s="311"/>
      <c r="AB552" s="311"/>
      <c r="AC552" s="311"/>
      <c r="AT552" s="88" t="str">
        <f t="shared" si="42"/>
        <v>KP0006372017Q214,7</v>
      </c>
      <c r="AU552" s="89" t="str">
        <f t="shared" si="43"/>
        <v>05-2017</v>
      </c>
      <c r="BA552" s="92" t="str">
        <f t="shared" si="44"/>
        <v>WIP - 30 Days</v>
      </c>
    </row>
    <row r="553" spans="2:53">
      <c r="B553" s="60">
        <f>[2]Trucks!A550</f>
        <v>46872</v>
      </c>
      <c r="C553" s="11" t="str">
        <f>[2]Trucks!B550</f>
        <v>TGS-27-4406X4BBS-L</v>
      </c>
      <c r="D553" s="19" t="str">
        <f>IFERROR(VLOOKUP(C553&amp;"",'[2]Retail Price List'!$A$3:$B$103,2,FALSE),"Special Order")</f>
        <v>KP000637</v>
      </c>
      <c r="E553" s="18" t="str">
        <f>[2]Trucks!J550</f>
        <v>CKD</v>
      </c>
      <c r="F553" s="12" t="str">
        <f>[2]Trucks!E550</f>
        <v>2017-10-27</v>
      </c>
      <c r="G553" s="56">
        <f>[2]Trucks!K550</f>
        <v>14.7</v>
      </c>
      <c r="H553" s="46">
        <f>[2]Trucks!I550</f>
        <v>42859</v>
      </c>
      <c r="I553" s="83" t="str">
        <f t="shared" si="40"/>
        <v>2017Q2</v>
      </c>
      <c r="J553" s="272">
        <f>IFERROR(VLOOKUP((D553&amp;C553)&amp;"",'[2]Retail Price List'!$C$4:$F$102,3,FALSE),"")</f>
        <v>1595000</v>
      </c>
      <c r="K553" s="272">
        <f>IFERROR(IF(BA553="WIP - 30 Days",VLOOKUP(D553,[3]Standard!$B$9:$E$101,4,FALSE),IF(BA553="31-120 Days",VLOOKUP(D553,[3]Standard!$B$9:$F$101,5,FALSE),IF(BA553="121-365 Days",VLOOKUP(D553,[3]Standard!$B$9:$G$101,6,FALSE),VLOOKUP(D553,[3]Standard!$B$9:$H$101,7,FALSE)))),0)</f>
        <v>1264994.5</v>
      </c>
      <c r="L553" s="272">
        <f>IFERROR(IF(BA553="WIP - 30 Days",VLOOKUP(D553,[3]Standard!$B$9:$J$101,9,FALSE),IF(BA553="31-120 Days",VLOOKUP(D553,[3]Standard!$B$9:$K$100,10,FALSE),IF(BA553="121-365 Days",VLOOKUP(D553,[3]Standard!$B$9:$L$101,11,FALSE),VLOOKUP(D553,[3]Standard!$B$9:$M$101,12,FALSE)))),0)</f>
        <v>1228150</v>
      </c>
      <c r="M553" s="269">
        <f>IFERROR(VLOOKUP((D553&amp;C553)&amp;"",'[2]Retail Price List'!$C$4:$F$102,4,FALSE),"")</f>
        <v>1625000</v>
      </c>
      <c r="N553" s="269">
        <f>IFERROR(IF(BA553="WIP - 30 Days",VLOOKUP(D553,[3]Extended!$B$9:$E$101,4,FALSE),IF(BA553="31-120 Days",VLOOKUP(D553,[3]Extended!$B$9:$F$101,5,FALSE),IF(BA553="121-365 Days",VLOOKUP(D553,[3]Extended!$B$9:$G$101,6,FALSE),VLOOKUP(D553,[3]Extended!$B$9:$H$101,7,FALSE)))),0)</f>
        <v>1339000</v>
      </c>
      <c r="O553" s="269">
        <f>IFERROR(IF(BA553="WIP - 30 Days",VLOOKUP(D553,[3]Extended!$B$9:$J$101,9,FALSE),IF(BA553="31-120 Days",VLOOKUP(D553,[3]Extended!$B$9:$K$101,10,FALSE),IF(BA553="121-365 Days",VLOOKUP(D553,[3]Extended!$B$9:$L$101,11,FALSE),VLOOKUP(D553,[3]Extended!$B$9:$M$101,12,FALSE)))),0)</f>
        <v>1300000</v>
      </c>
      <c r="P553" s="116">
        <f t="shared" si="41"/>
        <v>0.2</v>
      </c>
      <c r="Q553" s="110" t="e">
        <f>O553-#REF!</f>
        <v>#REF!</v>
      </c>
      <c r="W553" s="311"/>
      <c r="X553" s="311"/>
      <c r="Y553" s="311"/>
      <c r="Z553" s="311"/>
      <c r="AA553" s="311"/>
      <c r="AB553" s="311"/>
      <c r="AC553" s="311"/>
      <c r="AT553" s="88" t="str">
        <f t="shared" si="42"/>
        <v>KP0006372017Q214,7</v>
      </c>
      <c r="AU553" s="89" t="str">
        <f t="shared" si="43"/>
        <v>05-2017</v>
      </c>
      <c r="BA553" s="92" t="str">
        <f t="shared" si="44"/>
        <v>WIP - 30 Days</v>
      </c>
    </row>
    <row r="554" spans="2:53">
      <c r="B554" s="60">
        <f>[2]Trucks!A551</f>
        <v>46873</v>
      </c>
      <c r="C554" s="11" t="str">
        <f>[2]Trucks!B551</f>
        <v>TGS-27-4406X4BBS-L</v>
      </c>
      <c r="D554" s="19" t="str">
        <f>IFERROR(VLOOKUP(C554&amp;"",'[2]Retail Price List'!$A$3:$B$103,2,FALSE),"Special Order")</f>
        <v>KP000637</v>
      </c>
      <c r="E554" s="18" t="str">
        <f>[2]Trucks!J551</f>
        <v>CKD</v>
      </c>
      <c r="F554" s="12" t="str">
        <f>[2]Trucks!E551</f>
        <v>2017-10-27</v>
      </c>
      <c r="G554" s="56">
        <f>[2]Trucks!K551</f>
        <v>14.7</v>
      </c>
      <c r="H554" s="46">
        <f>[2]Trucks!I551</f>
        <v>42859</v>
      </c>
      <c r="I554" s="83" t="str">
        <f t="shared" si="40"/>
        <v>2017Q2</v>
      </c>
      <c r="J554" s="272">
        <f>IFERROR(VLOOKUP((D554&amp;C554)&amp;"",'[2]Retail Price List'!$C$4:$F$102,3,FALSE),"")</f>
        <v>1595000</v>
      </c>
      <c r="K554" s="272">
        <f>IFERROR(IF(BA554="WIP - 30 Days",VLOOKUP(D554,[3]Standard!$B$9:$E$101,4,FALSE),IF(BA554="31-120 Days",VLOOKUP(D554,[3]Standard!$B$9:$F$101,5,FALSE),IF(BA554="121-365 Days",VLOOKUP(D554,[3]Standard!$B$9:$G$101,6,FALSE),VLOOKUP(D554,[3]Standard!$B$9:$H$101,7,FALSE)))),0)</f>
        <v>1264994.5</v>
      </c>
      <c r="L554" s="272">
        <f>IFERROR(IF(BA554="WIP - 30 Days",VLOOKUP(D554,[3]Standard!$B$9:$J$101,9,FALSE),IF(BA554="31-120 Days",VLOOKUP(D554,[3]Standard!$B$9:$K$100,10,FALSE),IF(BA554="121-365 Days",VLOOKUP(D554,[3]Standard!$B$9:$L$101,11,FALSE),VLOOKUP(D554,[3]Standard!$B$9:$M$101,12,FALSE)))),0)</f>
        <v>1228150</v>
      </c>
      <c r="M554" s="269">
        <f>IFERROR(VLOOKUP((D554&amp;C554)&amp;"",'[2]Retail Price List'!$C$4:$F$102,4,FALSE),"")</f>
        <v>1625000</v>
      </c>
      <c r="N554" s="269">
        <f>IFERROR(IF(BA554="WIP - 30 Days",VLOOKUP(D554,[3]Extended!$B$9:$E$101,4,FALSE),IF(BA554="31-120 Days",VLOOKUP(D554,[3]Extended!$B$9:$F$101,5,FALSE),IF(BA554="121-365 Days",VLOOKUP(D554,[3]Extended!$B$9:$G$101,6,FALSE),VLOOKUP(D554,[3]Extended!$B$9:$H$101,7,FALSE)))),0)</f>
        <v>1339000</v>
      </c>
      <c r="O554" s="269">
        <f>IFERROR(IF(BA554="WIP - 30 Days",VLOOKUP(D554,[3]Extended!$B$9:$J$101,9,FALSE),IF(BA554="31-120 Days",VLOOKUP(D554,[3]Extended!$B$9:$K$101,10,FALSE),IF(BA554="121-365 Days",VLOOKUP(D554,[3]Extended!$B$9:$L$101,11,FALSE),VLOOKUP(D554,[3]Extended!$B$9:$M$101,12,FALSE)))),0)</f>
        <v>1300000</v>
      </c>
      <c r="P554" s="116">
        <f t="shared" si="41"/>
        <v>0.2</v>
      </c>
      <c r="Q554" s="110" t="e">
        <f>O554-#REF!</f>
        <v>#REF!</v>
      </c>
      <c r="W554" s="311"/>
      <c r="X554" s="311"/>
      <c r="Y554" s="311"/>
      <c r="Z554" s="311"/>
      <c r="AA554" s="311"/>
      <c r="AB554" s="311"/>
      <c r="AC554" s="311"/>
      <c r="AT554" s="88" t="str">
        <f t="shared" si="42"/>
        <v>KP0006372017Q214,7</v>
      </c>
      <c r="AU554" s="89" t="str">
        <f t="shared" si="43"/>
        <v>05-2017</v>
      </c>
      <c r="BA554" s="92" t="str">
        <f t="shared" si="44"/>
        <v>WIP - 30 Days</v>
      </c>
    </row>
    <row r="555" spans="2:53">
      <c r="B555" s="60">
        <f>[2]Trucks!A552</f>
        <v>46874</v>
      </c>
      <c r="C555" s="11" t="str">
        <f>[2]Trucks!B552</f>
        <v>TGS-27-4406X4BBS-L</v>
      </c>
      <c r="D555" s="19" t="str">
        <f>IFERROR(VLOOKUP(C555&amp;"",'[2]Retail Price List'!$A$3:$B$103,2,FALSE),"Special Order")</f>
        <v>KP000637</v>
      </c>
      <c r="E555" s="18" t="str">
        <f>[2]Trucks!J552</f>
        <v>CKD</v>
      </c>
      <c r="F555" s="12" t="str">
        <f>[2]Trucks!E552</f>
        <v>2017-10-30</v>
      </c>
      <c r="G555" s="56">
        <f>[2]Trucks!K552</f>
        <v>14.7</v>
      </c>
      <c r="H555" s="46">
        <f>[2]Trucks!I552</f>
        <v>42859</v>
      </c>
      <c r="I555" s="83" t="str">
        <f t="shared" si="40"/>
        <v>2017Q2</v>
      </c>
      <c r="J555" s="272">
        <f>IFERROR(VLOOKUP((D555&amp;C555)&amp;"",'[2]Retail Price List'!$C$4:$F$102,3,FALSE),"")</f>
        <v>1595000</v>
      </c>
      <c r="K555" s="272">
        <f>IFERROR(IF(BA555="WIP - 30 Days",VLOOKUP(D555,[3]Standard!$B$9:$E$101,4,FALSE),IF(BA555="31-120 Days",VLOOKUP(D555,[3]Standard!$B$9:$F$101,5,FALSE),IF(BA555="121-365 Days",VLOOKUP(D555,[3]Standard!$B$9:$G$101,6,FALSE),VLOOKUP(D555,[3]Standard!$B$9:$H$101,7,FALSE)))),0)</f>
        <v>1264994.5</v>
      </c>
      <c r="L555" s="272">
        <f>IFERROR(IF(BA555="WIP - 30 Days",VLOOKUP(D555,[3]Standard!$B$9:$J$101,9,FALSE),IF(BA555="31-120 Days",VLOOKUP(D555,[3]Standard!$B$9:$K$100,10,FALSE),IF(BA555="121-365 Days",VLOOKUP(D555,[3]Standard!$B$9:$L$101,11,FALSE),VLOOKUP(D555,[3]Standard!$B$9:$M$101,12,FALSE)))),0)</f>
        <v>1228150</v>
      </c>
      <c r="M555" s="269">
        <f>IFERROR(VLOOKUP((D555&amp;C555)&amp;"",'[2]Retail Price List'!$C$4:$F$102,4,FALSE),"")</f>
        <v>1625000</v>
      </c>
      <c r="N555" s="269">
        <f>IFERROR(IF(BA555="WIP - 30 Days",VLOOKUP(D555,[3]Extended!$B$9:$E$101,4,FALSE),IF(BA555="31-120 Days",VLOOKUP(D555,[3]Extended!$B$9:$F$101,5,FALSE),IF(BA555="121-365 Days",VLOOKUP(D555,[3]Extended!$B$9:$G$101,6,FALSE),VLOOKUP(D555,[3]Extended!$B$9:$H$101,7,FALSE)))),0)</f>
        <v>1339000</v>
      </c>
      <c r="O555" s="269">
        <f>IFERROR(IF(BA555="WIP - 30 Days",VLOOKUP(D555,[3]Extended!$B$9:$J$101,9,FALSE),IF(BA555="31-120 Days",VLOOKUP(D555,[3]Extended!$B$9:$K$101,10,FALSE),IF(BA555="121-365 Days",VLOOKUP(D555,[3]Extended!$B$9:$L$101,11,FALSE),VLOOKUP(D555,[3]Extended!$B$9:$M$101,12,FALSE)))),0)</f>
        <v>1300000</v>
      </c>
      <c r="P555" s="116">
        <f t="shared" si="41"/>
        <v>0.2</v>
      </c>
      <c r="Q555" s="110" t="e">
        <f>O555-#REF!</f>
        <v>#REF!</v>
      </c>
      <c r="W555" s="311"/>
      <c r="X555" s="311"/>
      <c r="Y555" s="311"/>
      <c r="Z555" s="311"/>
      <c r="AA555" s="311"/>
      <c r="AB555" s="311"/>
      <c r="AC555" s="311"/>
      <c r="AT555" s="88" t="str">
        <f t="shared" si="42"/>
        <v>KP0006372017Q214,7</v>
      </c>
      <c r="AU555" s="89" t="str">
        <f t="shared" si="43"/>
        <v>05-2017</v>
      </c>
      <c r="BA555" s="92" t="str">
        <f t="shared" si="44"/>
        <v>WIP - 30 Days</v>
      </c>
    </row>
    <row r="556" spans="2:53">
      <c r="B556" s="60">
        <f>[2]Trucks!A553</f>
        <v>46875</v>
      </c>
      <c r="C556" s="11" t="str">
        <f>[2]Trucks!B553</f>
        <v>TGS-27-4406X4BBS-L</v>
      </c>
      <c r="D556" s="19" t="str">
        <f>IFERROR(VLOOKUP(C556&amp;"",'[2]Retail Price List'!$A$3:$B$103,2,FALSE),"Special Order")</f>
        <v>KP000637</v>
      </c>
      <c r="E556" s="18" t="str">
        <f>[2]Trucks!J553</f>
        <v>CKD</v>
      </c>
      <c r="F556" s="12" t="str">
        <f>[2]Trucks!E553</f>
        <v>2017-10-30</v>
      </c>
      <c r="G556" s="56">
        <f>[2]Trucks!K553</f>
        <v>14.7</v>
      </c>
      <c r="H556" s="46">
        <f>[2]Trucks!I553</f>
        <v>42859</v>
      </c>
      <c r="I556" s="83" t="str">
        <f t="shared" si="40"/>
        <v>2017Q2</v>
      </c>
      <c r="J556" s="272">
        <f>IFERROR(VLOOKUP((D556&amp;C556)&amp;"",'[2]Retail Price List'!$C$4:$F$102,3,FALSE),"")</f>
        <v>1595000</v>
      </c>
      <c r="K556" s="272">
        <f>IFERROR(IF(BA556="WIP - 30 Days",VLOOKUP(D556,[3]Standard!$B$9:$E$101,4,FALSE),IF(BA556="31-120 Days",VLOOKUP(D556,[3]Standard!$B$9:$F$101,5,FALSE),IF(BA556="121-365 Days",VLOOKUP(D556,[3]Standard!$B$9:$G$101,6,FALSE),VLOOKUP(D556,[3]Standard!$B$9:$H$101,7,FALSE)))),0)</f>
        <v>1264994.5</v>
      </c>
      <c r="L556" s="272">
        <f>IFERROR(IF(BA556="WIP - 30 Days",VLOOKUP(D556,[3]Standard!$B$9:$J$101,9,FALSE),IF(BA556="31-120 Days",VLOOKUP(D556,[3]Standard!$B$9:$K$100,10,FALSE),IF(BA556="121-365 Days",VLOOKUP(D556,[3]Standard!$B$9:$L$101,11,FALSE),VLOOKUP(D556,[3]Standard!$B$9:$M$101,12,FALSE)))),0)</f>
        <v>1228150</v>
      </c>
      <c r="M556" s="269">
        <f>IFERROR(VLOOKUP((D556&amp;C556)&amp;"",'[2]Retail Price List'!$C$4:$F$102,4,FALSE),"")</f>
        <v>1625000</v>
      </c>
      <c r="N556" s="269">
        <f>IFERROR(IF(BA556="WIP - 30 Days",VLOOKUP(D556,[3]Extended!$B$9:$E$101,4,FALSE),IF(BA556="31-120 Days",VLOOKUP(D556,[3]Extended!$B$9:$F$101,5,FALSE),IF(BA556="121-365 Days",VLOOKUP(D556,[3]Extended!$B$9:$G$101,6,FALSE),VLOOKUP(D556,[3]Extended!$B$9:$H$101,7,FALSE)))),0)</f>
        <v>1339000</v>
      </c>
      <c r="O556" s="269">
        <f>IFERROR(IF(BA556="WIP - 30 Days",VLOOKUP(D556,[3]Extended!$B$9:$J$101,9,FALSE),IF(BA556="31-120 Days",VLOOKUP(D556,[3]Extended!$B$9:$K$101,10,FALSE),IF(BA556="121-365 Days",VLOOKUP(D556,[3]Extended!$B$9:$L$101,11,FALSE),VLOOKUP(D556,[3]Extended!$B$9:$M$101,12,FALSE)))),0)</f>
        <v>1300000</v>
      </c>
      <c r="P556" s="116">
        <f t="shared" si="41"/>
        <v>0.2</v>
      </c>
      <c r="Q556" s="110" t="e">
        <f>O556-#REF!</f>
        <v>#REF!</v>
      </c>
      <c r="W556" s="311"/>
      <c r="X556" s="311"/>
      <c r="Y556" s="311"/>
      <c r="Z556" s="311"/>
      <c r="AA556" s="311"/>
      <c r="AB556" s="311"/>
      <c r="AC556" s="311"/>
      <c r="AT556" s="88" t="str">
        <f t="shared" si="42"/>
        <v>KP0006372017Q214,7</v>
      </c>
      <c r="AU556" s="89" t="str">
        <f t="shared" si="43"/>
        <v>05-2017</v>
      </c>
      <c r="BA556" s="92" t="str">
        <f t="shared" si="44"/>
        <v>WIP - 30 Days</v>
      </c>
    </row>
    <row r="557" spans="2:53">
      <c r="B557" s="60">
        <f>[2]Trucks!A554</f>
        <v>46876</v>
      </c>
      <c r="C557" s="11" t="str">
        <f>[2]Trucks!B554</f>
        <v>TGS-27-4406X4BBS-L</v>
      </c>
      <c r="D557" s="19" t="str">
        <f>IFERROR(VLOOKUP(C557&amp;"",'[2]Retail Price List'!$A$3:$B$103,2,FALSE),"Special Order")</f>
        <v>KP000637</v>
      </c>
      <c r="E557" s="18" t="str">
        <f>[2]Trucks!J554</f>
        <v>CKD</v>
      </c>
      <c r="F557" s="12" t="str">
        <f>[2]Trucks!E554</f>
        <v>2017-11-6</v>
      </c>
      <c r="G557" s="56">
        <f>[2]Trucks!K554</f>
        <v>14.7</v>
      </c>
      <c r="H557" s="46">
        <f>[2]Trucks!I554</f>
        <v>42859</v>
      </c>
      <c r="I557" s="83" t="str">
        <f t="shared" si="40"/>
        <v>2017Q2</v>
      </c>
      <c r="J557" s="272">
        <f>IFERROR(VLOOKUP((D557&amp;C557)&amp;"",'[2]Retail Price List'!$C$4:$F$102,3,FALSE),"")</f>
        <v>1595000</v>
      </c>
      <c r="K557" s="272">
        <f>IFERROR(IF(BA557="WIP - 30 Days",VLOOKUP(D557,[3]Standard!$B$9:$E$101,4,FALSE),IF(BA557="31-120 Days",VLOOKUP(D557,[3]Standard!$B$9:$F$101,5,FALSE),IF(BA557="121-365 Days",VLOOKUP(D557,[3]Standard!$B$9:$G$101,6,FALSE),VLOOKUP(D557,[3]Standard!$B$9:$H$101,7,FALSE)))),0)</f>
        <v>1264994.5</v>
      </c>
      <c r="L557" s="272">
        <f>IFERROR(IF(BA557="WIP - 30 Days",VLOOKUP(D557,[3]Standard!$B$9:$J$101,9,FALSE),IF(BA557="31-120 Days",VLOOKUP(D557,[3]Standard!$B$9:$K$100,10,FALSE),IF(BA557="121-365 Days",VLOOKUP(D557,[3]Standard!$B$9:$L$101,11,FALSE),VLOOKUP(D557,[3]Standard!$B$9:$M$101,12,FALSE)))),0)</f>
        <v>1228150</v>
      </c>
      <c r="M557" s="269">
        <f>IFERROR(VLOOKUP((D557&amp;C557)&amp;"",'[2]Retail Price List'!$C$4:$F$102,4,FALSE),"")</f>
        <v>1625000</v>
      </c>
      <c r="N557" s="269">
        <f>IFERROR(IF(BA557="WIP - 30 Days",VLOOKUP(D557,[3]Extended!$B$9:$E$101,4,FALSE),IF(BA557="31-120 Days",VLOOKUP(D557,[3]Extended!$B$9:$F$101,5,FALSE),IF(BA557="121-365 Days",VLOOKUP(D557,[3]Extended!$B$9:$G$101,6,FALSE),VLOOKUP(D557,[3]Extended!$B$9:$H$101,7,FALSE)))),0)</f>
        <v>1339000</v>
      </c>
      <c r="O557" s="269">
        <f>IFERROR(IF(BA557="WIP - 30 Days",VLOOKUP(D557,[3]Extended!$B$9:$J$101,9,FALSE),IF(BA557="31-120 Days",VLOOKUP(D557,[3]Extended!$B$9:$K$101,10,FALSE),IF(BA557="121-365 Days",VLOOKUP(D557,[3]Extended!$B$9:$L$101,11,FALSE),VLOOKUP(D557,[3]Extended!$B$9:$M$101,12,FALSE)))),0)</f>
        <v>1300000</v>
      </c>
      <c r="P557" s="116">
        <f t="shared" si="41"/>
        <v>0.2</v>
      </c>
      <c r="Q557" s="110" t="e">
        <f>O557-#REF!</f>
        <v>#REF!</v>
      </c>
      <c r="W557" s="311"/>
      <c r="X557" s="311"/>
      <c r="Y557" s="311"/>
      <c r="Z557" s="311"/>
      <c r="AA557" s="311"/>
      <c r="AB557" s="311"/>
      <c r="AC557" s="311"/>
      <c r="AT557" s="88" t="str">
        <f t="shared" si="42"/>
        <v>KP0006372017Q214,7</v>
      </c>
      <c r="AU557" s="89" t="str">
        <f t="shared" si="43"/>
        <v>05-2017</v>
      </c>
      <c r="BA557" s="92" t="str">
        <f t="shared" si="44"/>
        <v>WIP - 30 Days</v>
      </c>
    </row>
    <row r="558" spans="2:53">
      <c r="B558" s="60">
        <f>[2]Trucks!A555</f>
        <v>46877</v>
      </c>
      <c r="C558" s="11" t="str">
        <f>[2]Trucks!B555</f>
        <v>TGS-27-4406X4BBS-L</v>
      </c>
      <c r="D558" s="19" t="str">
        <f>IFERROR(VLOOKUP(C558&amp;"",'[2]Retail Price List'!$A$3:$B$103,2,FALSE),"Special Order")</f>
        <v>KP000637</v>
      </c>
      <c r="E558" s="18" t="str">
        <f>[2]Trucks!J555</f>
        <v>CKD</v>
      </c>
      <c r="F558" s="12" t="str">
        <f>[2]Trucks!E555</f>
        <v>2017-11-6</v>
      </c>
      <c r="G558" s="56">
        <f>[2]Trucks!K555</f>
        <v>14.7</v>
      </c>
      <c r="H558" s="46">
        <f>[2]Trucks!I555</f>
        <v>42859</v>
      </c>
      <c r="I558" s="83" t="str">
        <f t="shared" si="40"/>
        <v>2017Q2</v>
      </c>
      <c r="J558" s="272">
        <f>IFERROR(VLOOKUP((D558&amp;C558)&amp;"",'[2]Retail Price List'!$C$4:$F$102,3,FALSE),"")</f>
        <v>1595000</v>
      </c>
      <c r="K558" s="272">
        <f>IFERROR(IF(BA558="WIP - 30 Days",VLOOKUP(D558,[3]Standard!$B$9:$E$101,4,FALSE),IF(BA558="31-120 Days",VLOOKUP(D558,[3]Standard!$B$9:$F$101,5,FALSE),IF(BA558="121-365 Days",VLOOKUP(D558,[3]Standard!$B$9:$G$101,6,FALSE),VLOOKUP(D558,[3]Standard!$B$9:$H$101,7,FALSE)))),0)</f>
        <v>1264994.5</v>
      </c>
      <c r="L558" s="272">
        <f>IFERROR(IF(BA558="WIP - 30 Days",VLOOKUP(D558,[3]Standard!$B$9:$J$101,9,FALSE),IF(BA558="31-120 Days",VLOOKUP(D558,[3]Standard!$B$9:$K$100,10,FALSE),IF(BA558="121-365 Days",VLOOKUP(D558,[3]Standard!$B$9:$L$101,11,FALSE),VLOOKUP(D558,[3]Standard!$B$9:$M$101,12,FALSE)))),0)</f>
        <v>1228150</v>
      </c>
      <c r="M558" s="269">
        <f>IFERROR(VLOOKUP((D558&amp;C558)&amp;"",'[2]Retail Price List'!$C$4:$F$102,4,FALSE),"")</f>
        <v>1625000</v>
      </c>
      <c r="N558" s="269">
        <f>IFERROR(IF(BA558="WIP - 30 Days",VLOOKUP(D558,[3]Extended!$B$9:$E$101,4,FALSE),IF(BA558="31-120 Days",VLOOKUP(D558,[3]Extended!$B$9:$F$101,5,FALSE),IF(BA558="121-365 Days",VLOOKUP(D558,[3]Extended!$B$9:$G$101,6,FALSE),VLOOKUP(D558,[3]Extended!$B$9:$H$101,7,FALSE)))),0)</f>
        <v>1339000</v>
      </c>
      <c r="O558" s="269">
        <f>IFERROR(IF(BA558="WIP - 30 Days",VLOOKUP(D558,[3]Extended!$B$9:$J$101,9,FALSE),IF(BA558="31-120 Days",VLOOKUP(D558,[3]Extended!$B$9:$K$101,10,FALSE),IF(BA558="121-365 Days",VLOOKUP(D558,[3]Extended!$B$9:$L$101,11,FALSE),VLOOKUP(D558,[3]Extended!$B$9:$M$101,12,FALSE)))),0)</f>
        <v>1300000</v>
      </c>
      <c r="P558" s="116">
        <f t="shared" si="41"/>
        <v>0.2</v>
      </c>
      <c r="Q558" s="110" t="e">
        <f>O558-#REF!</f>
        <v>#REF!</v>
      </c>
      <c r="W558" s="311"/>
      <c r="X558" s="311"/>
      <c r="Y558" s="311"/>
      <c r="Z558" s="311"/>
      <c r="AA558" s="311"/>
      <c r="AB558" s="311"/>
      <c r="AC558" s="311"/>
      <c r="AT558" s="88" t="str">
        <f t="shared" si="42"/>
        <v>KP0006372017Q214,7</v>
      </c>
      <c r="AU558" s="89" t="str">
        <f t="shared" si="43"/>
        <v>05-2017</v>
      </c>
      <c r="BA558" s="92" t="str">
        <f t="shared" si="44"/>
        <v>WIP - 30 Days</v>
      </c>
    </row>
    <row r="559" spans="2:53">
      <c r="B559" s="60">
        <f>[2]Trucks!A556</f>
        <v>46878</v>
      </c>
      <c r="C559" s="11" t="str">
        <f>[2]Trucks!B556</f>
        <v>TGS-27-4406X4BBS-L</v>
      </c>
      <c r="D559" s="19" t="str">
        <f>IFERROR(VLOOKUP(C559&amp;"",'[2]Retail Price List'!$A$3:$B$103,2,FALSE),"Special Order")</f>
        <v>KP000637</v>
      </c>
      <c r="E559" s="18" t="str">
        <f>[2]Trucks!J556</f>
        <v>CKD</v>
      </c>
      <c r="F559" s="12" t="str">
        <f>[2]Trucks!E556</f>
        <v>2017-11-6</v>
      </c>
      <c r="G559" s="56">
        <f>[2]Trucks!K556</f>
        <v>14.7</v>
      </c>
      <c r="H559" s="46">
        <f>[2]Trucks!I556</f>
        <v>42859</v>
      </c>
      <c r="I559" s="83" t="str">
        <f t="shared" si="40"/>
        <v>2017Q2</v>
      </c>
      <c r="J559" s="272">
        <f>IFERROR(VLOOKUP((D559&amp;C559)&amp;"",'[2]Retail Price List'!$C$4:$F$102,3,FALSE),"")</f>
        <v>1595000</v>
      </c>
      <c r="K559" s="272">
        <f>IFERROR(IF(BA559="WIP - 30 Days",VLOOKUP(D559,[3]Standard!$B$9:$E$101,4,FALSE),IF(BA559="31-120 Days",VLOOKUP(D559,[3]Standard!$B$9:$F$101,5,FALSE),IF(BA559="121-365 Days",VLOOKUP(D559,[3]Standard!$B$9:$G$101,6,FALSE),VLOOKUP(D559,[3]Standard!$B$9:$H$101,7,FALSE)))),0)</f>
        <v>1264994.5</v>
      </c>
      <c r="L559" s="272">
        <f>IFERROR(IF(BA559="WIP - 30 Days",VLOOKUP(D559,[3]Standard!$B$9:$J$101,9,FALSE),IF(BA559="31-120 Days",VLOOKUP(D559,[3]Standard!$B$9:$K$100,10,FALSE),IF(BA559="121-365 Days",VLOOKUP(D559,[3]Standard!$B$9:$L$101,11,FALSE),VLOOKUP(D559,[3]Standard!$B$9:$M$101,12,FALSE)))),0)</f>
        <v>1228150</v>
      </c>
      <c r="M559" s="269">
        <f>IFERROR(VLOOKUP((D559&amp;C559)&amp;"",'[2]Retail Price List'!$C$4:$F$102,4,FALSE),"")</f>
        <v>1625000</v>
      </c>
      <c r="N559" s="269">
        <f>IFERROR(IF(BA559="WIP - 30 Days",VLOOKUP(D559,[3]Extended!$B$9:$E$101,4,FALSE),IF(BA559="31-120 Days",VLOOKUP(D559,[3]Extended!$B$9:$F$101,5,FALSE),IF(BA559="121-365 Days",VLOOKUP(D559,[3]Extended!$B$9:$G$101,6,FALSE),VLOOKUP(D559,[3]Extended!$B$9:$H$101,7,FALSE)))),0)</f>
        <v>1339000</v>
      </c>
      <c r="O559" s="269">
        <f>IFERROR(IF(BA559="WIP - 30 Days",VLOOKUP(D559,[3]Extended!$B$9:$J$101,9,FALSE),IF(BA559="31-120 Days",VLOOKUP(D559,[3]Extended!$B$9:$K$101,10,FALSE),IF(BA559="121-365 Days",VLOOKUP(D559,[3]Extended!$B$9:$L$101,11,FALSE),VLOOKUP(D559,[3]Extended!$B$9:$M$101,12,FALSE)))),0)</f>
        <v>1300000</v>
      </c>
      <c r="P559" s="116">
        <f t="shared" si="41"/>
        <v>0.2</v>
      </c>
      <c r="Q559" s="110" t="e">
        <f>O559-#REF!</f>
        <v>#REF!</v>
      </c>
      <c r="W559" s="311"/>
      <c r="X559" s="311"/>
      <c r="Y559" s="311"/>
      <c r="Z559" s="311"/>
      <c r="AA559" s="311"/>
      <c r="AB559" s="311"/>
      <c r="AC559" s="311"/>
      <c r="AT559" s="88" t="str">
        <f t="shared" si="42"/>
        <v>KP0006372017Q214,7</v>
      </c>
      <c r="AU559" s="89" t="str">
        <f t="shared" si="43"/>
        <v>05-2017</v>
      </c>
      <c r="BA559" s="92" t="str">
        <f t="shared" si="44"/>
        <v>WIP - 30 Days</v>
      </c>
    </row>
    <row r="560" spans="2:53">
      <c r="B560" s="60">
        <f>[2]Trucks!A557</f>
        <v>46879</v>
      </c>
      <c r="C560" s="11" t="str">
        <f>[2]Trucks!B557</f>
        <v>TGS-27-4406X4BBS-L</v>
      </c>
      <c r="D560" s="19" t="str">
        <f>IFERROR(VLOOKUP(C560&amp;"",'[2]Retail Price List'!$A$3:$B$103,2,FALSE),"Special Order")</f>
        <v>KP000637</v>
      </c>
      <c r="E560" s="18" t="str">
        <f>[2]Trucks!J557</f>
        <v>CKD</v>
      </c>
      <c r="F560" s="12" t="str">
        <f>[2]Trucks!E557</f>
        <v>2017-11-6</v>
      </c>
      <c r="G560" s="56">
        <f>[2]Trucks!K557</f>
        <v>14.7</v>
      </c>
      <c r="H560" s="46">
        <f>[2]Trucks!I557</f>
        <v>42859</v>
      </c>
      <c r="I560" s="83" t="str">
        <f t="shared" si="40"/>
        <v>2017Q2</v>
      </c>
      <c r="J560" s="272">
        <f>IFERROR(VLOOKUP((D560&amp;C560)&amp;"",'[2]Retail Price List'!$C$4:$F$102,3,FALSE),"")</f>
        <v>1595000</v>
      </c>
      <c r="K560" s="272">
        <f>IFERROR(IF(BA560="WIP - 30 Days",VLOOKUP(D560,[3]Standard!$B$9:$E$101,4,FALSE),IF(BA560="31-120 Days",VLOOKUP(D560,[3]Standard!$B$9:$F$101,5,FALSE),IF(BA560="121-365 Days",VLOOKUP(D560,[3]Standard!$B$9:$G$101,6,FALSE),VLOOKUP(D560,[3]Standard!$B$9:$H$101,7,FALSE)))),0)</f>
        <v>1264994.5</v>
      </c>
      <c r="L560" s="272">
        <f>IFERROR(IF(BA560="WIP - 30 Days",VLOOKUP(D560,[3]Standard!$B$9:$J$101,9,FALSE),IF(BA560="31-120 Days",VLOOKUP(D560,[3]Standard!$B$9:$K$100,10,FALSE),IF(BA560="121-365 Days",VLOOKUP(D560,[3]Standard!$B$9:$L$101,11,FALSE),VLOOKUP(D560,[3]Standard!$B$9:$M$101,12,FALSE)))),0)</f>
        <v>1228150</v>
      </c>
      <c r="M560" s="269">
        <f>IFERROR(VLOOKUP((D560&amp;C560)&amp;"",'[2]Retail Price List'!$C$4:$F$102,4,FALSE),"")</f>
        <v>1625000</v>
      </c>
      <c r="N560" s="269">
        <f>IFERROR(IF(BA560="WIP - 30 Days",VLOOKUP(D560,[3]Extended!$B$9:$E$101,4,FALSE),IF(BA560="31-120 Days",VLOOKUP(D560,[3]Extended!$B$9:$F$101,5,FALSE),IF(BA560="121-365 Days",VLOOKUP(D560,[3]Extended!$B$9:$G$101,6,FALSE),VLOOKUP(D560,[3]Extended!$B$9:$H$101,7,FALSE)))),0)</f>
        <v>1339000</v>
      </c>
      <c r="O560" s="269">
        <f>IFERROR(IF(BA560="WIP - 30 Days",VLOOKUP(D560,[3]Extended!$B$9:$J$101,9,FALSE),IF(BA560="31-120 Days",VLOOKUP(D560,[3]Extended!$B$9:$K$101,10,FALSE),IF(BA560="121-365 Days",VLOOKUP(D560,[3]Extended!$B$9:$L$101,11,FALSE),VLOOKUP(D560,[3]Extended!$B$9:$M$101,12,FALSE)))),0)</f>
        <v>1300000</v>
      </c>
      <c r="P560" s="116">
        <f t="shared" si="41"/>
        <v>0.2</v>
      </c>
      <c r="Q560" s="110" t="e">
        <f>O560-#REF!</f>
        <v>#REF!</v>
      </c>
      <c r="W560" s="311"/>
      <c r="X560" s="311"/>
      <c r="Y560" s="311"/>
      <c r="Z560" s="311"/>
      <c r="AA560" s="311"/>
      <c r="AB560" s="311"/>
      <c r="AC560" s="311"/>
      <c r="AT560" s="88" t="str">
        <f t="shared" si="42"/>
        <v>KP0006372017Q214,7</v>
      </c>
      <c r="AU560" s="89" t="str">
        <f t="shared" si="43"/>
        <v>05-2017</v>
      </c>
      <c r="BA560" s="92" t="str">
        <f t="shared" si="44"/>
        <v>WIP - 30 Days</v>
      </c>
    </row>
    <row r="561" spans="2:53">
      <c r="B561" s="60">
        <f>[2]Trucks!A558</f>
        <v>46880</v>
      </c>
      <c r="C561" s="11" t="str">
        <f>[2]Trucks!B558</f>
        <v>TGS-27-4406X4BBS-L</v>
      </c>
      <c r="D561" s="19" t="str">
        <f>IFERROR(VLOOKUP(C561&amp;"",'[2]Retail Price List'!$A$3:$B$103,2,FALSE),"Special Order")</f>
        <v>KP000637</v>
      </c>
      <c r="E561" s="18" t="str">
        <f>[2]Trucks!J558</f>
        <v>CKD</v>
      </c>
      <c r="F561" s="12" t="str">
        <f>[2]Trucks!E558</f>
        <v>2017-11-6</v>
      </c>
      <c r="G561" s="56">
        <f>[2]Trucks!K558</f>
        <v>14.7</v>
      </c>
      <c r="H561" s="46">
        <f>[2]Trucks!I558</f>
        <v>42859</v>
      </c>
      <c r="I561" s="83" t="str">
        <f t="shared" si="40"/>
        <v>2017Q2</v>
      </c>
      <c r="J561" s="272">
        <f>IFERROR(VLOOKUP((D561&amp;C561)&amp;"",'[2]Retail Price List'!$C$4:$F$102,3,FALSE),"")</f>
        <v>1595000</v>
      </c>
      <c r="K561" s="272">
        <f>IFERROR(IF(BA561="WIP - 30 Days",VLOOKUP(D561,[3]Standard!$B$9:$E$101,4,FALSE),IF(BA561="31-120 Days",VLOOKUP(D561,[3]Standard!$B$9:$F$101,5,FALSE),IF(BA561="121-365 Days",VLOOKUP(D561,[3]Standard!$B$9:$G$101,6,FALSE),VLOOKUP(D561,[3]Standard!$B$9:$H$101,7,FALSE)))),0)</f>
        <v>1264994.5</v>
      </c>
      <c r="L561" s="272">
        <f>IFERROR(IF(BA561="WIP - 30 Days",VLOOKUP(D561,[3]Standard!$B$9:$J$101,9,FALSE),IF(BA561="31-120 Days",VLOOKUP(D561,[3]Standard!$B$9:$K$100,10,FALSE),IF(BA561="121-365 Days",VLOOKUP(D561,[3]Standard!$B$9:$L$101,11,FALSE),VLOOKUP(D561,[3]Standard!$B$9:$M$101,12,FALSE)))),0)</f>
        <v>1228150</v>
      </c>
      <c r="M561" s="269">
        <f>IFERROR(VLOOKUP((D561&amp;C561)&amp;"",'[2]Retail Price List'!$C$4:$F$102,4,FALSE),"")</f>
        <v>1625000</v>
      </c>
      <c r="N561" s="269">
        <f>IFERROR(IF(BA561="WIP - 30 Days",VLOOKUP(D561,[3]Extended!$B$9:$E$101,4,FALSE),IF(BA561="31-120 Days",VLOOKUP(D561,[3]Extended!$B$9:$F$101,5,FALSE),IF(BA561="121-365 Days",VLOOKUP(D561,[3]Extended!$B$9:$G$101,6,FALSE),VLOOKUP(D561,[3]Extended!$B$9:$H$101,7,FALSE)))),0)</f>
        <v>1339000</v>
      </c>
      <c r="O561" s="269">
        <f>IFERROR(IF(BA561="WIP - 30 Days",VLOOKUP(D561,[3]Extended!$B$9:$J$101,9,FALSE),IF(BA561="31-120 Days",VLOOKUP(D561,[3]Extended!$B$9:$K$101,10,FALSE),IF(BA561="121-365 Days",VLOOKUP(D561,[3]Extended!$B$9:$L$101,11,FALSE),VLOOKUP(D561,[3]Extended!$B$9:$M$101,12,FALSE)))),0)</f>
        <v>1300000</v>
      </c>
      <c r="P561" s="116">
        <f t="shared" si="41"/>
        <v>0.2</v>
      </c>
      <c r="Q561" s="110" t="e">
        <f>O561-#REF!</f>
        <v>#REF!</v>
      </c>
      <c r="W561" s="311"/>
      <c r="X561" s="311"/>
      <c r="Y561" s="311"/>
      <c r="Z561" s="311"/>
      <c r="AA561" s="311"/>
      <c r="AB561" s="311"/>
      <c r="AC561" s="311"/>
      <c r="AT561" s="88" t="str">
        <f t="shared" si="42"/>
        <v>KP0006372017Q214,7</v>
      </c>
      <c r="AU561" s="89" t="str">
        <f t="shared" si="43"/>
        <v>05-2017</v>
      </c>
      <c r="BA561" s="92" t="str">
        <f t="shared" si="44"/>
        <v>WIP - 30 Days</v>
      </c>
    </row>
    <row r="562" spans="2:53">
      <c r="B562" s="60">
        <f>[2]Trucks!A559</f>
        <v>46881</v>
      </c>
      <c r="C562" s="11" t="str">
        <f>[2]Trucks!B559</f>
        <v>TGS-27-4406X4BBS-L</v>
      </c>
      <c r="D562" s="19" t="str">
        <f>IFERROR(VLOOKUP(C562&amp;"",'[2]Retail Price List'!$A$3:$B$103,2,FALSE),"Special Order")</f>
        <v>KP000637</v>
      </c>
      <c r="E562" s="18" t="str">
        <f>[2]Trucks!J559</f>
        <v>CKD</v>
      </c>
      <c r="F562" s="12" t="str">
        <f>[2]Trucks!E559</f>
        <v>2017-11-7</v>
      </c>
      <c r="G562" s="56">
        <f>[2]Trucks!K559</f>
        <v>14.7</v>
      </c>
      <c r="H562" s="46">
        <f>[2]Trucks!I559</f>
        <v>42859</v>
      </c>
      <c r="I562" s="83" t="str">
        <f t="shared" si="40"/>
        <v>2017Q2</v>
      </c>
      <c r="J562" s="272">
        <f>IFERROR(VLOOKUP((D562&amp;C562)&amp;"",'[2]Retail Price List'!$C$4:$F$102,3,FALSE),"")</f>
        <v>1595000</v>
      </c>
      <c r="K562" s="272">
        <f>IFERROR(IF(BA562="WIP - 30 Days",VLOOKUP(D562,[3]Standard!$B$9:$E$101,4,FALSE),IF(BA562="31-120 Days",VLOOKUP(D562,[3]Standard!$B$9:$F$101,5,FALSE),IF(BA562="121-365 Days",VLOOKUP(D562,[3]Standard!$B$9:$G$101,6,FALSE),VLOOKUP(D562,[3]Standard!$B$9:$H$101,7,FALSE)))),0)</f>
        <v>1264994.5</v>
      </c>
      <c r="L562" s="272">
        <f>IFERROR(IF(BA562="WIP - 30 Days",VLOOKUP(D562,[3]Standard!$B$9:$J$101,9,FALSE),IF(BA562="31-120 Days",VLOOKUP(D562,[3]Standard!$B$9:$K$100,10,FALSE),IF(BA562="121-365 Days",VLOOKUP(D562,[3]Standard!$B$9:$L$101,11,FALSE),VLOOKUP(D562,[3]Standard!$B$9:$M$101,12,FALSE)))),0)</f>
        <v>1228150</v>
      </c>
      <c r="M562" s="269">
        <f>IFERROR(VLOOKUP((D562&amp;C562)&amp;"",'[2]Retail Price List'!$C$4:$F$102,4,FALSE),"")</f>
        <v>1625000</v>
      </c>
      <c r="N562" s="269">
        <f>IFERROR(IF(BA562="WIP - 30 Days",VLOOKUP(D562,[3]Extended!$B$9:$E$101,4,FALSE),IF(BA562="31-120 Days",VLOOKUP(D562,[3]Extended!$B$9:$F$101,5,FALSE),IF(BA562="121-365 Days",VLOOKUP(D562,[3]Extended!$B$9:$G$101,6,FALSE),VLOOKUP(D562,[3]Extended!$B$9:$H$101,7,FALSE)))),0)</f>
        <v>1339000</v>
      </c>
      <c r="O562" s="269">
        <f>IFERROR(IF(BA562="WIP - 30 Days",VLOOKUP(D562,[3]Extended!$B$9:$J$101,9,FALSE),IF(BA562="31-120 Days",VLOOKUP(D562,[3]Extended!$B$9:$K$101,10,FALSE),IF(BA562="121-365 Days",VLOOKUP(D562,[3]Extended!$B$9:$L$101,11,FALSE),VLOOKUP(D562,[3]Extended!$B$9:$M$101,12,FALSE)))),0)</f>
        <v>1300000</v>
      </c>
      <c r="P562" s="116">
        <f t="shared" si="41"/>
        <v>0.2</v>
      </c>
      <c r="Q562" s="110" t="e">
        <f>O562-#REF!</f>
        <v>#REF!</v>
      </c>
      <c r="W562" s="311"/>
      <c r="X562" s="311"/>
      <c r="Y562" s="311"/>
      <c r="Z562" s="311"/>
      <c r="AA562" s="311"/>
      <c r="AB562" s="311"/>
      <c r="AC562" s="311"/>
      <c r="AT562" s="88" t="str">
        <f t="shared" si="42"/>
        <v>KP0006372017Q214,7</v>
      </c>
      <c r="AU562" s="89" t="str">
        <f t="shared" si="43"/>
        <v>05-2017</v>
      </c>
      <c r="BA562" s="92" t="str">
        <f t="shared" si="44"/>
        <v>WIP - 30 Days</v>
      </c>
    </row>
    <row r="563" spans="2:53">
      <c r="B563" s="60">
        <f>[2]Trucks!A560</f>
        <v>46882</v>
      </c>
      <c r="C563" s="11" t="str">
        <f>[2]Trucks!B560</f>
        <v>TGS-27-4406X4BBS-L</v>
      </c>
      <c r="D563" s="19" t="str">
        <f>IFERROR(VLOOKUP(C563&amp;"",'[2]Retail Price List'!$A$3:$B$103,2,FALSE),"Special Order")</f>
        <v>KP000637</v>
      </c>
      <c r="E563" s="18" t="str">
        <f>[2]Trucks!J560</f>
        <v>CKD</v>
      </c>
      <c r="F563" s="12" t="str">
        <f>[2]Trucks!E560</f>
        <v>2017-11-7</v>
      </c>
      <c r="G563" s="56">
        <f>[2]Trucks!K560</f>
        <v>14.7</v>
      </c>
      <c r="H563" s="46">
        <f>[2]Trucks!I560</f>
        <v>42859</v>
      </c>
      <c r="I563" s="83" t="str">
        <f t="shared" si="40"/>
        <v>2017Q2</v>
      </c>
      <c r="J563" s="272">
        <f>IFERROR(VLOOKUP((D563&amp;C563)&amp;"",'[2]Retail Price List'!$C$4:$F$102,3,FALSE),"")</f>
        <v>1595000</v>
      </c>
      <c r="K563" s="272">
        <f>IFERROR(IF(BA563="WIP - 30 Days",VLOOKUP(D563,[3]Standard!$B$9:$E$101,4,FALSE),IF(BA563="31-120 Days",VLOOKUP(D563,[3]Standard!$B$9:$F$101,5,FALSE),IF(BA563="121-365 Days",VLOOKUP(D563,[3]Standard!$B$9:$G$101,6,FALSE),VLOOKUP(D563,[3]Standard!$B$9:$H$101,7,FALSE)))),0)</f>
        <v>1264994.5</v>
      </c>
      <c r="L563" s="272">
        <f>IFERROR(IF(BA563="WIP - 30 Days",VLOOKUP(D563,[3]Standard!$B$9:$J$101,9,FALSE),IF(BA563="31-120 Days",VLOOKUP(D563,[3]Standard!$B$9:$K$100,10,FALSE),IF(BA563="121-365 Days",VLOOKUP(D563,[3]Standard!$B$9:$L$101,11,FALSE),VLOOKUP(D563,[3]Standard!$B$9:$M$101,12,FALSE)))),0)</f>
        <v>1228150</v>
      </c>
      <c r="M563" s="269">
        <f>IFERROR(VLOOKUP((D563&amp;C563)&amp;"",'[2]Retail Price List'!$C$4:$F$102,4,FALSE),"")</f>
        <v>1625000</v>
      </c>
      <c r="N563" s="269">
        <f>IFERROR(IF(BA563="WIP - 30 Days",VLOOKUP(D563,[3]Extended!$B$9:$E$101,4,FALSE),IF(BA563="31-120 Days",VLOOKUP(D563,[3]Extended!$B$9:$F$101,5,FALSE),IF(BA563="121-365 Days",VLOOKUP(D563,[3]Extended!$B$9:$G$101,6,FALSE),VLOOKUP(D563,[3]Extended!$B$9:$H$101,7,FALSE)))),0)</f>
        <v>1339000</v>
      </c>
      <c r="O563" s="269">
        <f>IFERROR(IF(BA563="WIP - 30 Days",VLOOKUP(D563,[3]Extended!$B$9:$J$101,9,FALSE),IF(BA563="31-120 Days",VLOOKUP(D563,[3]Extended!$B$9:$K$101,10,FALSE),IF(BA563="121-365 Days",VLOOKUP(D563,[3]Extended!$B$9:$L$101,11,FALSE),VLOOKUP(D563,[3]Extended!$B$9:$M$101,12,FALSE)))),0)</f>
        <v>1300000</v>
      </c>
      <c r="P563" s="116">
        <f t="shared" si="41"/>
        <v>0.2</v>
      </c>
      <c r="Q563" s="110" t="e">
        <f>O563-#REF!</f>
        <v>#REF!</v>
      </c>
      <c r="W563" s="311"/>
      <c r="X563" s="311"/>
      <c r="Y563" s="311"/>
      <c r="Z563" s="311"/>
      <c r="AA563" s="311"/>
      <c r="AB563" s="311"/>
      <c r="AC563" s="311"/>
      <c r="AT563" s="88" t="str">
        <f t="shared" si="42"/>
        <v>KP0006372017Q214,7</v>
      </c>
      <c r="AU563" s="89" t="str">
        <f t="shared" si="43"/>
        <v>05-2017</v>
      </c>
      <c r="BA563" s="92" t="str">
        <f t="shared" si="44"/>
        <v>WIP - 30 Days</v>
      </c>
    </row>
    <row r="564" spans="2:53">
      <c r="B564" s="60">
        <f>[2]Trucks!A561</f>
        <v>46883</v>
      </c>
      <c r="C564" s="11" t="str">
        <f>[2]Trucks!B561</f>
        <v>TGS-27-4406X4BBS-L</v>
      </c>
      <c r="D564" s="19" t="str">
        <f>IFERROR(VLOOKUP(C564&amp;"",'[2]Retail Price List'!$A$3:$B$103,2,FALSE),"Special Order")</f>
        <v>KP000637</v>
      </c>
      <c r="E564" s="18" t="str">
        <f>[2]Trucks!J561</f>
        <v>CKD</v>
      </c>
      <c r="F564" s="12" t="str">
        <f>[2]Trucks!E561</f>
        <v>2017-11-7</v>
      </c>
      <c r="G564" s="56">
        <f>[2]Trucks!K561</f>
        <v>14.7</v>
      </c>
      <c r="H564" s="46">
        <f>[2]Trucks!I561</f>
        <v>42859</v>
      </c>
      <c r="I564" s="83" t="str">
        <f t="shared" si="40"/>
        <v>2017Q2</v>
      </c>
      <c r="J564" s="272">
        <f>IFERROR(VLOOKUP((D564&amp;C564)&amp;"",'[2]Retail Price List'!$C$4:$F$102,3,FALSE),"")</f>
        <v>1595000</v>
      </c>
      <c r="K564" s="272">
        <f>IFERROR(IF(BA564="WIP - 30 Days",VLOOKUP(D564,[3]Standard!$B$9:$E$101,4,FALSE),IF(BA564="31-120 Days",VLOOKUP(D564,[3]Standard!$B$9:$F$101,5,FALSE),IF(BA564="121-365 Days",VLOOKUP(D564,[3]Standard!$B$9:$G$101,6,FALSE),VLOOKUP(D564,[3]Standard!$B$9:$H$101,7,FALSE)))),0)</f>
        <v>1264994.5</v>
      </c>
      <c r="L564" s="272">
        <f>IFERROR(IF(BA564="WIP - 30 Days",VLOOKUP(D564,[3]Standard!$B$9:$J$101,9,FALSE),IF(BA564="31-120 Days",VLOOKUP(D564,[3]Standard!$B$9:$K$100,10,FALSE),IF(BA564="121-365 Days",VLOOKUP(D564,[3]Standard!$B$9:$L$101,11,FALSE),VLOOKUP(D564,[3]Standard!$B$9:$M$101,12,FALSE)))),0)</f>
        <v>1228150</v>
      </c>
      <c r="M564" s="269">
        <f>IFERROR(VLOOKUP((D564&amp;C564)&amp;"",'[2]Retail Price List'!$C$4:$F$102,4,FALSE),"")</f>
        <v>1625000</v>
      </c>
      <c r="N564" s="269">
        <f>IFERROR(IF(BA564="WIP - 30 Days",VLOOKUP(D564,[3]Extended!$B$9:$E$101,4,FALSE),IF(BA564="31-120 Days",VLOOKUP(D564,[3]Extended!$B$9:$F$101,5,FALSE),IF(BA564="121-365 Days",VLOOKUP(D564,[3]Extended!$B$9:$G$101,6,FALSE),VLOOKUP(D564,[3]Extended!$B$9:$H$101,7,FALSE)))),0)</f>
        <v>1339000</v>
      </c>
      <c r="O564" s="269">
        <f>IFERROR(IF(BA564="WIP - 30 Days",VLOOKUP(D564,[3]Extended!$B$9:$J$101,9,FALSE),IF(BA564="31-120 Days",VLOOKUP(D564,[3]Extended!$B$9:$K$101,10,FALSE),IF(BA564="121-365 Days",VLOOKUP(D564,[3]Extended!$B$9:$L$101,11,FALSE),VLOOKUP(D564,[3]Extended!$B$9:$M$101,12,FALSE)))),0)</f>
        <v>1300000</v>
      </c>
      <c r="P564" s="116">
        <f t="shared" si="41"/>
        <v>0.2</v>
      </c>
      <c r="Q564" s="110" t="e">
        <f>O564-#REF!</f>
        <v>#REF!</v>
      </c>
      <c r="W564" s="311"/>
      <c r="X564" s="311"/>
      <c r="Y564" s="311"/>
      <c r="Z564" s="311"/>
      <c r="AA564" s="311"/>
      <c r="AB564" s="311"/>
      <c r="AC564" s="311"/>
      <c r="AT564" s="88" t="str">
        <f t="shared" si="42"/>
        <v>KP0006372017Q214,7</v>
      </c>
      <c r="AU564" s="89" t="str">
        <f t="shared" si="43"/>
        <v>05-2017</v>
      </c>
      <c r="BA564" s="92" t="str">
        <f t="shared" si="44"/>
        <v>WIP - 30 Days</v>
      </c>
    </row>
    <row r="565" spans="2:53">
      <c r="B565" s="60">
        <f>[2]Trucks!A562</f>
        <v>46884</v>
      </c>
      <c r="C565" s="11" t="str">
        <f>[2]Trucks!B562</f>
        <v>TGS-27-4406X4BBS-L</v>
      </c>
      <c r="D565" s="19" t="str">
        <f>IFERROR(VLOOKUP(C565&amp;"",'[2]Retail Price List'!$A$3:$B$103,2,FALSE),"Special Order")</f>
        <v>KP000637</v>
      </c>
      <c r="E565" s="18" t="str">
        <f>[2]Trucks!J562</f>
        <v>CKD</v>
      </c>
      <c r="F565" s="12" t="str">
        <f>[2]Trucks!E562</f>
        <v>2017-11-13</v>
      </c>
      <c r="G565" s="56">
        <f>[2]Trucks!K562</f>
        <v>14.7</v>
      </c>
      <c r="H565" s="46">
        <f>[2]Trucks!I562</f>
        <v>42859</v>
      </c>
      <c r="I565" s="83" t="str">
        <f t="shared" si="40"/>
        <v>2017Q2</v>
      </c>
      <c r="J565" s="272">
        <f>IFERROR(VLOOKUP((D565&amp;C565)&amp;"",'[2]Retail Price List'!$C$4:$F$102,3,FALSE),"")</f>
        <v>1595000</v>
      </c>
      <c r="K565" s="272">
        <f>IFERROR(IF(BA565="WIP - 30 Days",VLOOKUP(D565,[3]Standard!$B$9:$E$101,4,FALSE),IF(BA565="31-120 Days",VLOOKUP(D565,[3]Standard!$B$9:$F$101,5,FALSE),IF(BA565="121-365 Days",VLOOKUP(D565,[3]Standard!$B$9:$G$101,6,FALSE),VLOOKUP(D565,[3]Standard!$B$9:$H$101,7,FALSE)))),0)</f>
        <v>1264994.5</v>
      </c>
      <c r="L565" s="272">
        <f>IFERROR(IF(BA565="WIP - 30 Days",VLOOKUP(D565,[3]Standard!$B$9:$J$101,9,FALSE),IF(BA565="31-120 Days",VLOOKUP(D565,[3]Standard!$B$9:$K$100,10,FALSE),IF(BA565="121-365 Days",VLOOKUP(D565,[3]Standard!$B$9:$L$101,11,FALSE),VLOOKUP(D565,[3]Standard!$B$9:$M$101,12,FALSE)))),0)</f>
        <v>1228150</v>
      </c>
      <c r="M565" s="269">
        <f>IFERROR(VLOOKUP((D565&amp;C565)&amp;"",'[2]Retail Price List'!$C$4:$F$102,4,FALSE),"")</f>
        <v>1625000</v>
      </c>
      <c r="N565" s="269">
        <f>IFERROR(IF(BA565="WIP - 30 Days",VLOOKUP(D565,[3]Extended!$B$9:$E$101,4,FALSE),IF(BA565="31-120 Days",VLOOKUP(D565,[3]Extended!$B$9:$F$101,5,FALSE),IF(BA565="121-365 Days",VLOOKUP(D565,[3]Extended!$B$9:$G$101,6,FALSE),VLOOKUP(D565,[3]Extended!$B$9:$H$101,7,FALSE)))),0)</f>
        <v>1339000</v>
      </c>
      <c r="O565" s="269">
        <f>IFERROR(IF(BA565="WIP - 30 Days",VLOOKUP(D565,[3]Extended!$B$9:$J$101,9,FALSE),IF(BA565="31-120 Days",VLOOKUP(D565,[3]Extended!$B$9:$K$101,10,FALSE),IF(BA565="121-365 Days",VLOOKUP(D565,[3]Extended!$B$9:$L$101,11,FALSE),VLOOKUP(D565,[3]Extended!$B$9:$M$101,12,FALSE)))),0)</f>
        <v>1300000</v>
      </c>
      <c r="P565" s="116">
        <f t="shared" si="41"/>
        <v>0.2</v>
      </c>
      <c r="Q565" s="110" t="e">
        <f>O565-#REF!</f>
        <v>#REF!</v>
      </c>
      <c r="W565" s="311"/>
      <c r="X565" s="311"/>
      <c r="Y565" s="311"/>
      <c r="Z565" s="311"/>
      <c r="AA565" s="311"/>
      <c r="AB565" s="311"/>
      <c r="AC565" s="311"/>
      <c r="AT565" s="88" t="str">
        <f t="shared" si="42"/>
        <v>KP0006372017Q214,7</v>
      </c>
      <c r="AU565" s="89" t="str">
        <f t="shared" si="43"/>
        <v>05-2017</v>
      </c>
      <c r="BA565" s="92" t="str">
        <f t="shared" si="44"/>
        <v>WIP - 30 Days</v>
      </c>
    </row>
    <row r="566" spans="2:53">
      <c r="B566" s="60">
        <f>[2]Trucks!A563</f>
        <v>46885</v>
      </c>
      <c r="C566" s="11" t="str">
        <f>[2]Trucks!B563</f>
        <v>TGS-27-4406X4BBS-L</v>
      </c>
      <c r="D566" s="19" t="str">
        <f>IFERROR(VLOOKUP(C566&amp;"",'[2]Retail Price List'!$A$3:$B$103,2,FALSE),"Special Order")</f>
        <v>KP000637</v>
      </c>
      <c r="E566" s="18" t="str">
        <f>[2]Trucks!J563</f>
        <v>CKD</v>
      </c>
      <c r="F566" s="12" t="str">
        <f>[2]Trucks!E563</f>
        <v>2017-11-13</v>
      </c>
      <c r="G566" s="56">
        <f>[2]Trucks!K563</f>
        <v>14.7</v>
      </c>
      <c r="H566" s="46">
        <f>[2]Trucks!I563</f>
        <v>42859</v>
      </c>
      <c r="I566" s="83" t="str">
        <f t="shared" si="40"/>
        <v>2017Q2</v>
      </c>
      <c r="J566" s="272">
        <f>IFERROR(VLOOKUP((D566&amp;C566)&amp;"",'[2]Retail Price List'!$C$4:$F$102,3,FALSE),"")</f>
        <v>1595000</v>
      </c>
      <c r="K566" s="272">
        <f>IFERROR(IF(BA566="WIP - 30 Days",VLOOKUP(D566,[3]Standard!$B$9:$E$101,4,FALSE),IF(BA566="31-120 Days",VLOOKUP(D566,[3]Standard!$B$9:$F$101,5,FALSE),IF(BA566="121-365 Days",VLOOKUP(D566,[3]Standard!$B$9:$G$101,6,FALSE),VLOOKUP(D566,[3]Standard!$B$9:$H$101,7,FALSE)))),0)</f>
        <v>1264994.5</v>
      </c>
      <c r="L566" s="272">
        <f>IFERROR(IF(BA566="WIP - 30 Days",VLOOKUP(D566,[3]Standard!$B$9:$J$101,9,FALSE),IF(BA566="31-120 Days",VLOOKUP(D566,[3]Standard!$B$9:$K$100,10,FALSE),IF(BA566="121-365 Days",VLOOKUP(D566,[3]Standard!$B$9:$L$101,11,FALSE),VLOOKUP(D566,[3]Standard!$B$9:$M$101,12,FALSE)))),0)</f>
        <v>1228150</v>
      </c>
      <c r="M566" s="269">
        <f>IFERROR(VLOOKUP((D566&amp;C566)&amp;"",'[2]Retail Price List'!$C$4:$F$102,4,FALSE),"")</f>
        <v>1625000</v>
      </c>
      <c r="N566" s="269">
        <f>IFERROR(IF(BA566="WIP - 30 Days",VLOOKUP(D566,[3]Extended!$B$9:$E$101,4,FALSE),IF(BA566="31-120 Days",VLOOKUP(D566,[3]Extended!$B$9:$F$101,5,FALSE),IF(BA566="121-365 Days",VLOOKUP(D566,[3]Extended!$B$9:$G$101,6,FALSE),VLOOKUP(D566,[3]Extended!$B$9:$H$101,7,FALSE)))),0)</f>
        <v>1339000</v>
      </c>
      <c r="O566" s="269">
        <f>IFERROR(IF(BA566="WIP - 30 Days",VLOOKUP(D566,[3]Extended!$B$9:$J$101,9,FALSE),IF(BA566="31-120 Days",VLOOKUP(D566,[3]Extended!$B$9:$K$101,10,FALSE),IF(BA566="121-365 Days",VLOOKUP(D566,[3]Extended!$B$9:$L$101,11,FALSE),VLOOKUP(D566,[3]Extended!$B$9:$M$101,12,FALSE)))),0)</f>
        <v>1300000</v>
      </c>
      <c r="P566" s="116">
        <f t="shared" si="41"/>
        <v>0.2</v>
      </c>
      <c r="Q566" s="110" t="e">
        <f>O566-#REF!</f>
        <v>#REF!</v>
      </c>
      <c r="W566" s="311"/>
      <c r="X566" s="311"/>
      <c r="Y566" s="311"/>
      <c r="Z566" s="311"/>
      <c r="AA566" s="311"/>
      <c r="AB566" s="311"/>
      <c r="AC566" s="311"/>
      <c r="AT566" s="88" t="str">
        <f t="shared" si="42"/>
        <v>KP0006372017Q214,7</v>
      </c>
      <c r="AU566" s="89" t="str">
        <f t="shared" si="43"/>
        <v>05-2017</v>
      </c>
      <c r="BA566" s="92" t="str">
        <f t="shared" si="44"/>
        <v>WIP - 30 Days</v>
      </c>
    </row>
    <row r="567" spans="2:53">
      <c r="B567" s="60">
        <f>[2]Trucks!A564</f>
        <v>46886</v>
      </c>
      <c r="C567" s="11" t="str">
        <f>[2]Trucks!B564</f>
        <v>TGS-27-4406X4BBS-L</v>
      </c>
      <c r="D567" s="19" t="str">
        <f>IFERROR(VLOOKUP(C567&amp;"",'[2]Retail Price List'!$A$3:$B$103,2,FALSE),"Special Order")</f>
        <v>KP000637</v>
      </c>
      <c r="E567" s="18" t="str">
        <f>[2]Trucks!J564</f>
        <v>CKD</v>
      </c>
      <c r="F567" s="12" t="str">
        <f>[2]Trucks!E564</f>
        <v>2017-11-14</v>
      </c>
      <c r="G567" s="56">
        <f>[2]Trucks!K564</f>
        <v>14.7</v>
      </c>
      <c r="H567" s="46">
        <f>[2]Trucks!I564</f>
        <v>42859</v>
      </c>
      <c r="I567" s="83" t="str">
        <f t="shared" si="40"/>
        <v>2017Q2</v>
      </c>
      <c r="J567" s="272">
        <f>IFERROR(VLOOKUP((D567&amp;C567)&amp;"",'[2]Retail Price List'!$C$4:$F$102,3,FALSE),"")</f>
        <v>1595000</v>
      </c>
      <c r="K567" s="272">
        <f>IFERROR(IF(BA567="WIP - 30 Days",VLOOKUP(D567,[3]Standard!$B$9:$E$101,4,FALSE),IF(BA567="31-120 Days",VLOOKUP(D567,[3]Standard!$B$9:$F$101,5,FALSE),IF(BA567="121-365 Days",VLOOKUP(D567,[3]Standard!$B$9:$G$101,6,FALSE),VLOOKUP(D567,[3]Standard!$B$9:$H$101,7,FALSE)))),0)</f>
        <v>1264994.5</v>
      </c>
      <c r="L567" s="272">
        <f>IFERROR(IF(BA567="WIP - 30 Days",VLOOKUP(D567,[3]Standard!$B$9:$J$101,9,FALSE),IF(BA567="31-120 Days",VLOOKUP(D567,[3]Standard!$B$9:$K$100,10,FALSE),IF(BA567="121-365 Days",VLOOKUP(D567,[3]Standard!$B$9:$L$101,11,FALSE),VLOOKUP(D567,[3]Standard!$B$9:$M$101,12,FALSE)))),0)</f>
        <v>1228150</v>
      </c>
      <c r="M567" s="269">
        <f>IFERROR(VLOOKUP((D567&amp;C567)&amp;"",'[2]Retail Price List'!$C$4:$F$102,4,FALSE),"")</f>
        <v>1625000</v>
      </c>
      <c r="N567" s="269">
        <f>IFERROR(IF(BA567="WIP - 30 Days",VLOOKUP(D567,[3]Extended!$B$9:$E$101,4,FALSE),IF(BA567="31-120 Days",VLOOKUP(D567,[3]Extended!$B$9:$F$101,5,FALSE),IF(BA567="121-365 Days",VLOOKUP(D567,[3]Extended!$B$9:$G$101,6,FALSE),VLOOKUP(D567,[3]Extended!$B$9:$H$101,7,FALSE)))),0)</f>
        <v>1339000</v>
      </c>
      <c r="O567" s="269">
        <f>IFERROR(IF(BA567="WIP - 30 Days",VLOOKUP(D567,[3]Extended!$B$9:$J$101,9,FALSE),IF(BA567="31-120 Days",VLOOKUP(D567,[3]Extended!$B$9:$K$101,10,FALSE),IF(BA567="121-365 Days",VLOOKUP(D567,[3]Extended!$B$9:$L$101,11,FALSE),VLOOKUP(D567,[3]Extended!$B$9:$M$101,12,FALSE)))),0)</f>
        <v>1300000</v>
      </c>
      <c r="P567" s="116">
        <f t="shared" si="41"/>
        <v>0.2</v>
      </c>
      <c r="Q567" s="110" t="e">
        <f>O567-#REF!</f>
        <v>#REF!</v>
      </c>
      <c r="W567" s="311"/>
      <c r="X567" s="311"/>
      <c r="Y567" s="311"/>
      <c r="Z567" s="311"/>
      <c r="AA567" s="311"/>
      <c r="AB567" s="311"/>
      <c r="AC567" s="311"/>
      <c r="AT567" s="88" t="str">
        <f t="shared" si="42"/>
        <v>KP0006372017Q214,7</v>
      </c>
      <c r="AU567" s="89" t="str">
        <f t="shared" si="43"/>
        <v>05-2017</v>
      </c>
      <c r="BA567" s="92" t="str">
        <f t="shared" si="44"/>
        <v>WIP - 30 Days</v>
      </c>
    </row>
    <row r="568" spans="2:53">
      <c r="B568" s="60">
        <f>[2]Trucks!A565</f>
        <v>46887</v>
      </c>
      <c r="C568" s="11" t="str">
        <f>[2]Trucks!B565</f>
        <v>TGS-27-4406X4BBS-L</v>
      </c>
      <c r="D568" s="19" t="str">
        <f>IFERROR(VLOOKUP(C568&amp;"",'[2]Retail Price List'!$A$3:$B$103,2,FALSE),"Special Order")</f>
        <v>KP000637</v>
      </c>
      <c r="E568" s="18" t="str">
        <f>[2]Trucks!J565</f>
        <v>CKD</v>
      </c>
      <c r="F568" s="12" t="str">
        <f>[2]Trucks!E565</f>
        <v>2017-11-14</v>
      </c>
      <c r="G568" s="56">
        <f>[2]Trucks!K565</f>
        <v>14.7</v>
      </c>
      <c r="H568" s="46">
        <f>[2]Trucks!I565</f>
        <v>42859</v>
      </c>
      <c r="I568" s="83" t="str">
        <f t="shared" si="40"/>
        <v>2017Q2</v>
      </c>
      <c r="J568" s="272">
        <f>IFERROR(VLOOKUP((D568&amp;C568)&amp;"",'[2]Retail Price List'!$C$4:$F$102,3,FALSE),"")</f>
        <v>1595000</v>
      </c>
      <c r="K568" s="272">
        <f>IFERROR(IF(BA568="WIP - 30 Days",VLOOKUP(D568,[3]Standard!$B$9:$E$101,4,FALSE),IF(BA568="31-120 Days",VLOOKUP(D568,[3]Standard!$B$9:$F$101,5,FALSE),IF(BA568="121-365 Days",VLOOKUP(D568,[3]Standard!$B$9:$G$101,6,FALSE),VLOOKUP(D568,[3]Standard!$B$9:$H$101,7,FALSE)))),0)</f>
        <v>1264994.5</v>
      </c>
      <c r="L568" s="272">
        <f>IFERROR(IF(BA568="WIP - 30 Days",VLOOKUP(D568,[3]Standard!$B$9:$J$101,9,FALSE),IF(BA568="31-120 Days",VLOOKUP(D568,[3]Standard!$B$9:$K$100,10,FALSE),IF(BA568="121-365 Days",VLOOKUP(D568,[3]Standard!$B$9:$L$101,11,FALSE),VLOOKUP(D568,[3]Standard!$B$9:$M$101,12,FALSE)))),0)</f>
        <v>1228150</v>
      </c>
      <c r="M568" s="269">
        <f>IFERROR(VLOOKUP((D568&amp;C568)&amp;"",'[2]Retail Price List'!$C$4:$F$102,4,FALSE),"")</f>
        <v>1625000</v>
      </c>
      <c r="N568" s="269">
        <f>IFERROR(IF(BA568="WIP - 30 Days",VLOOKUP(D568,[3]Extended!$B$9:$E$101,4,FALSE),IF(BA568="31-120 Days",VLOOKUP(D568,[3]Extended!$B$9:$F$101,5,FALSE),IF(BA568="121-365 Days",VLOOKUP(D568,[3]Extended!$B$9:$G$101,6,FALSE),VLOOKUP(D568,[3]Extended!$B$9:$H$101,7,FALSE)))),0)</f>
        <v>1339000</v>
      </c>
      <c r="O568" s="269">
        <f>IFERROR(IF(BA568="WIP - 30 Days",VLOOKUP(D568,[3]Extended!$B$9:$J$101,9,FALSE),IF(BA568="31-120 Days",VLOOKUP(D568,[3]Extended!$B$9:$K$101,10,FALSE),IF(BA568="121-365 Days",VLOOKUP(D568,[3]Extended!$B$9:$L$101,11,FALSE),VLOOKUP(D568,[3]Extended!$B$9:$M$101,12,FALSE)))),0)</f>
        <v>1300000</v>
      </c>
      <c r="P568" s="116">
        <f t="shared" si="41"/>
        <v>0.2</v>
      </c>
      <c r="Q568" s="110" t="e">
        <f>O568-#REF!</f>
        <v>#REF!</v>
      </c>
      <c r="W568" s="311"/>
      <c r="X568" s="311"/>
      <c r="Y568" s="311"/>
      <c r="Z568" s="311"/>
      <c r="AA568" s="311"/>
      <c r="AB568" s="311"/>
      <c r="AC568" s="311"/>
      <c r="AT568" s="88" t="str">
        <f t="shared" si="42"/>
        <v>KP0006372017Q214,7</v>
      </c>
      <c r="AU568" s="89" t="str">
        <f t="shared" si="43"/>
        <v>05-2017</v>
      </c>
      <c r="BA568" s="92" t="str">
        <f t="shared" si="44"/>
        <v>WIP - 30 Days</v>
      </c>
    </row>
    <row r="569" spans="2:53">
      <c r="B569" s="60">
        <f>[2]Trucks!A566</f>
        <v>47510</v>
      </c>
      <c r="C569" s="11" t="str">
        <f>[2]Trucks!B566</f>
        <v>TGS-27-4406X4BBS-L</v>
      </c>
      <c r="D569" s="19" t="str">
        <f>IFERROR(VLOOKUP(C569&amp;"",'[2]Retail Price List'!$A$3:$B$103,2,FALSE),"Special Order")</f>
        <v>KP000637</v>
      </c>
      <c r="E569" s="18" t="str">
        <f>[2]Trucks!J566</f>
        <v>CKD</v>
      </c>
      <c r="F569" s="12" t="str">
        <f>[2]Trucks!E566</f>
        <v>2017-11-15</v>
      </c>
      <c r="G569" s="56">
        <f>[2]Trucks!K566</f>
        <v>14.7</v>
      </c>
      <c r="H569" s="46">
        <f>[2]Trucks!I566</f>
        <v>42937</v>
      </c>
      <c r="I569" s="83" t="str">
        <f t="shared" si="40"/>
        <v>2017Q3</v>
      </c>
      <c r="J569" s="272">
        <f>IFERROR(VLOOKUP((D569&amp;C569)&amp;"",'[2]Retail Price List'!$C$4:$F$102,3,FALSE),"")</f>
        <v>1595000</v>
      </c>
      <c r="K569" s="272">
        <f>IFERROR(IF(BA569="WIP - 30 Days",VLOOKUP(D569,[3]Standard!$B$9:$E$101,4,FALSE),IF(BA569="31-120 Days",VLOOKUP(D569,[3]Standard!$B$9:$F$101,5,FALSE),IF(BA569="121-365 Days",VLOOKUP(D569,[3]Standard!$B$9:$G$101,6,FALSE),VLOOKUP(D569,[3]Standard!$B$9:$H$101,7,FALSE)))),0)</f>
        <v>1264994.5</v>
      </c>
      <c r="L569" s="272">
        <f>IFERROR(IF(BA569="WIP - 30 Days",VLOOKUP(D569,[3]Standard!$B$9:$J$101,9,FALSE),IF(BA569="31-120 Days",VLOOKUP(D569,[3]Standard!$B$9:$K$100,10,FALSE),IF(BA569="121-365 Days",VLOOKUP(D569,[3]Standard!$B$9:$L$101,11,FALSE),VLOOKUP(D569,[3]Standard!$B$9:$M$101,12,FALSE)))),0)</f>
        <v>1228150</v>
      </c>
      <c r="M569" s="269">
        <f>IFERROR(VLOOKUP((D569&amp;C569)&amp;"",'[2]Retail Price List'!$C$4:$F$102,4,FALSE),"")</f>
        <v>1625000</v>
      </c>
      <c r="N569" s="269">
        <f>IFERROR(IF(BA569="WIP - 30 Days",VLOOKUP(D569,[3]Extended!$B$9:$E$101,4,FALSE),IF(BA569="31-120 Days",VLOOKUP(D569,[3]Extended!$B$9:$F$101,5,FALSE),IF(BA569="121-365 Days",VLOOKUP(D569,[3]Extended!$B$9:$G$101,6,FALSE),VLOOKUP(D569,[3]Extended!$B$9:$H$101,7,FALSE)))),0)</f>
        <v>1339000</v>
      </c>
      <c r="O569" s="269">
        <f>IFERROR(IF(BA569="WIP - 30 Days",VLOOKUP(D569,[3]Extended!$B$9:$J$101,9,FALSE),IF(BA569="31-120 Days",VLOOKUP(D569,[3]Extended!$B$9:$K$101,10,FALSE),IF(BA569="121-365 Days",VLOOKUP(D569,[3]Extended!$B$9:$L$101,11,FALSE),VLOOKUP(D569,[3]Extended!$B$9:$M$101,12,FALSE)))),0)</f>
        <v>1300000</v>
      </c>
      <c r="P569" s="116">
        <f t="shared" si="41"/>
        <v>0.2</v>
      </c>
      <c r="Q569" s="110" t="e">
        <f>O569-#REF!</f>
        <v>#REF!</v>
      </c>
      <c r="W569" s="311"/>
      <c r="X569" s="311"/>
      <c r="Y569" s="311"/>
      <c r="Z569" s="311"/>
      <c r="AA569" s="311"/>
      <c r="AB569" s="311"/>
      <c r="AC569" s="311"/>
      <c r="AT569" s="88" t="str">
        <f t="shared" si="42"/>
        <v>KP0006372017Q314,7</v>
      </c>
      <c r="AU569" s="89" t="str">
        <f t="shared" si="43"/>
        <v>07-2017</v>
      </c>
      <c r="BA569" s="92" t="str">
        <f t="shared" si="44"/>
        <v>WIP - 30 Days</v>
      </c>
    </row>
    <row r="570" spans="2:53">
      <c r="B570" s="60">
        <f>[2]Trucks!A567</f>
        <v>47511</v>
      </c>
      <c r="C570" s="11" t="str">
        <f>[2]Trucks!B567</f>
        <v>TGS-27-4406X4BBS-L</v>
      </c>
      <c r="D570" s="19" t="str">
        <f>IFERROR(VLOOKUP(C570&amp;"",'[2]Retail Price List'!$A$3:$B$103,2,FALSE),"Special Order")</f>
        <v>KP000637</v>
      </c>
      <c r="E570" s="18" t="str">
        <f>[2]Trucks!J567</f>
        <v>CKD</v>
      </c>
      <c r="F570" s="12" t="str">
        <f>[2]Trucks!E567</f>
        <v>2017-11-15</v>
      </c>
      <c r="G570" s="56">
        <f>[2]Trucks!K567</f>
        <v>14.7</v>
      </c>
      <c r="H570" s="46">
        <f>[2]Trucks!I567</f>
        <v>42937</v>
      </c>
      <c r="I570" s="83" t="str">
        <f t="shared" si="40"/>
        <v>2017Q3</v>
      </c>
      <c r="J570" s="272">
        <f>IFERROR(VLOOKUP((D570&amp;C570)&amp;"",'[2]Retail Price List'!$C$4:$F$102,3,FALSE),"")</f>
        <v>1595000</v>
      </c>
      <c r="K570" s="272">
        <f>IFERROR(IF(BA570="WIP - 30 Days",VLOOKUP(D570,[3]Standard!$B$9:$E$101,4,FALSE),IF(BA570="31-120 Days",VLOOKUP(D570,[3]Standard!$B$9:$F$101,5,FALSE),IF(BA570="121-365 Days",VLOOKUP(D570,[3]Standard!$B$9:$G$101,6,FALSE),VLOOKUP(D570,[3]Standard!$B$9:$H$101,7,FALSE)))),0)</f>
        <v>1264994.5</v>
      </c>
      <c r="L570" s="272">
        <f>IFERROR(IF(BA570="WIP - 30 Days",VLOOKUP(D570,[3]Standard!$B$9:$J$101,9,FALSE),IF(BA570="31-120 Days",VLOOKUP(D570,[3]Standard!$B$9:$K$100,10,FALSE),IF(BA570="121-365 Days",VLOOKUP(D570,[3]Standard!$B$9:$L$101,11,FALSE),VLOOKUP(D570,[3]Standard!$B$9:$M$101,12,FALSE)))),0)</f>
        <v>1228150</v>
      </c>
      <c r="M570" s="269">
        <f>IFERROR(VLOOKUP((D570&amp;C570)&amp;"",'[2]Retail Price List'!$C$4:$F$102,4,FALSE),"")</f>
        <v>1625000</v>
      </c>
      <c r="N570" s="269">
        <f>IFERROR(IF(BA570="WIP - 30 Days",VLOOKUP(D570,[3]Extended!$B$9:$E$101,4,FALSE),IF(BA570="31-120 Days",VLOOKUP(D570,[3]Extended!$B$9:$F$101,5,FALSE),IF(BA570="121-365 Days",VLOOKUP(D570,[3]Extended!$B$9:$G$101,6,FALSE),VLOOKUP(D570,[3]Extended!$B$9:$H$101,7,FALSE)))),0)</f>
        <v>1339000</v>
      </c>
      <c r="O570" s="269">
        <f>IFERROR(IF(BA570="WIP - 30 Days",VLOOKUP(D570,[3]Extended!$B$9:$J$101,9,FALSE),IF(BA570="31-120 Days",VLOOKUP(D570,[3]Extended!$B$9:$K$101,10,FALSE),IF(BA570="121-365 Days",VLOOKUP(D570,[3]Extended!$B$9:$L$101,11,FALSE),VLOOKUP(D570,[3]Extended!$B$9:$M$101,12,FALSE)))),0)</f>
        <v>1300000</v>
      </c>
      <c r="P570" s="116">
        <f t="shared" si="41"/>
        <v>0.2</v>
      </c>
      <c r="Q570" s="110" t="e">
        <f>O570-#REF!</f>
        <v>#REF!</v>
      </c>
      <c r="W570" s="311"/>
      <c r="X570" s="311"/>
      <c r="Y570" s="311"/>
      <c r="Z570" s="311"/>
      <c r="AA570" s="311"/>
      <c r="AB570" s="311"/>
      <c r="AC570" s="311"/>
      <c r="AT570" s="88" t="str">
        <f t="shared" si="42"/>
        <v>KP0006372017Q314,7</v>
      </c>
      <c r="AU570" s="89" t="str">
        <f t="shared" si="43"/>
        <v>07-2017</v>
      </c>
      <c r="BA570" s="92" t="str">
        <f t="shared" si="44"/>
        <v>WIP - 30 Days</v>
      </c>
    </row>
    <row r="571" spans="2:53">
      <c r="B571" s="60">
        <f>[2]Trucks!A568</f>
        <v>47512</v>
      </c>
      <c r="C571" s="11" t="str">
        <f>[2]Trucks!B568</f>
        <v>TGS-27-4406X4BBS-L</v>
      </c>
      <c r="D571" s="19" t="str">
        <f>IFERROR(VLOOKUP(C571&amp;"",'[2]Retail Price List'!$A$3:$B$103,2,FALSE),"Special Order")</f>
        <v>KP000637</v>
      </c>
      <c r="E571" s="18" t="str">
        <f>[2]Trucks!J568</f>
        <v>CKD</v>
      </c>
      <c r="F571" s="12" t="str">
        <f>[2]Trucks!E568</f>
        <v>2017-11-15</v>
      </c>
      <c r="G571" s="56">
        <f>[2]Trucks!K568</f>
        <v>14.7</v>
      </c>
      <c r="H571" s="46">
        <f>[2]Trucks!I568</f>
        <v>42937</v>
      </c>
      <c r="I571" s="83" t="str">
        <f t="shared" si="40"/>
        <v>2017Q3</v>
      </c>
      <c r="J571" s="272">
        <f>IFERROR(VLOOKUP((D571&amp;C571)&amp;"",'[2]Retail Price List'!$C$4:$F$102,3,FALSE),"")</f>
        <v>1595000</v>
      </c>
      <c r="K571" s="272">
        <f>IFERROR(IF(BA571="WIP - 30 Days",VLOOKUP(D571,[3]Standard!$B$9:$E$101,4,FALSE),IF(BA571="31-120 Days",VLOOKUP(D571,[3]Standard!$B$9:$F$101,5,FALSE),IF(BA571="121-365 Days",VLOOKUP(D571,[3]Standard!$B$9:$G$101,6,FALSE),VLOOKUP(D571,[3]Standard!$B$9:$H$101,7,FALSE)))),0)</f>
        <v>1264994.5</v>
      </c>
      <c r="L571" s="272">
        <f>IFERROR(IF(BA571="WIP - 30 Days",VLOOKUP(D571,[3]Standard!$B$9:$J$101,9,FALSE),IF(BA571="31-120 Days",VLOOKUP(D571,[3]Standard!$B$9:$K$100,10,FALSE),IF(BA571="121-365 Days",VLOOKUP(D571,[3]Standard!$B$9:$L$101,11,FALSE),VLOOKUP(D571,[3]Standard!$B$9:$M$101,12,FALSE)))),0)</f>
        <v>1228150</v>
      </c>
      <c r="M571" s="269">
        <f>IFERROR(VLOOKUP((D571&amp;C571)&amp;"",'[2]Retail Price List'!$C$4:$F$102,4,FALSE),"")</f>
        <v>1625000</v>
      </c>
      <c r="N571" s="269">
        <f>IFERROR(IF(BA571="WIP - 30 Days",VLOOKUP(D571,[3]Extended!$B$9:$E$101,4,FALSE),IF(BA571="31-120 Days",VLOOKUP(D571,[3]Extended!$B$9:$F$101,5,FALSE),IF(BA571="121-365 Days",VLOOKUP(D571,[3]Extended!$B$9:$G$101,6,FALSE),VLOOKUP(D571,[3]Extended!$B$9:$H$101,7,FALSE)))),0)</f>
        <v>1339000</v>
      </c>
      <c r="O571" s="269">
        <f>IFERROR(IF(BA571="WIP - 30 Days",VLOOKUP(D571,[3]Extended!$B$9:$J$101,9,FALSE),IF(BA571="31-120 Days",VLOOKUP(D571,[3]Extended!$B$9:$K$101,10,FALSE),IF(BA571="121-365 Days",VLOOKUP(D571,[3]Extended!$B$9:$L$101,11,FALSE),VLOOKUP(D571,[3]Extended!$B$9:$M$101,12,FALSE)))),0)</f>
        <v>1300000</v>
      </c>
      <c r="P571" s="116">
        <f t="shared" si="41"/>
        <v>0.2</v>
      </c>
      <c r="Q571" s="110" t="e">
        <f>O571-#REF!</f>
        <v>#REF!</v>
      </c>
      <c r="W571" s="311"/>
      <c r="X571" s="311"/>
      <c r="Y571" s="311"/>
      <c r="Z571" s="311"/>
      <c r="AA571" s="311"/>
      <c r="AB571" s="311"/>
      <c r="AC571" s="311"/>
      <c r="AT571" s="88" t="str">
        <f t="shared" si="42"/>
        <v>KP0006372017Q314,7</v>
      </c>
      <c r="AU571" s="89" t="str">
        <f t="shared" si="43"/>
        <v>07-2017</v>
      </c>
      <c r="BA571" s="92" t="str">
        <f t="shared" si="44"/>
        <v>WIP - 30 Days</v>
      </c>
    </row>
    <row r="572" spans="2:53">
      <c r="B572" s="60">
        <f>[2]Trucks!A569</f>
        <v>47513</v>
      </c>
      <c r="C572" s="11" t="str">
        <f>[2]Trucks!B569</f>
        <v>TGS-27-4406X4BBS-L</v>
      </c>
      <c r="D572" s="19" t="str">
        <f>IFERROR(VLOOKUP(C572&amp;"",'[2]Retail Price List'!$A$3:$B$103,2,FALSE),"Special Order")</f>
        <v>KP000637</v>
      </c>
      <c r="E572" s="18" t="str">
        <f>[2]Trucks!J569</f>
        <v>CKD</v>
      </c>
      <c r="F572" s="12" t="str">
        <f>[2]Trucks!E569</f>
        <v>2017-11-15</v>
      </c>
      <c r="G572" s="56">
        <f>[2]Trucks!K569</f>
        <v>14.7</v>
      </c>
      <c r="H572" s="46">
        <f>[2]Trucks!I569</f>
        <v>42937</v>
      </c>
      <c r="I572" s="83" t="str">
        <f t="shared" si="40"/>
        <v>2017Q3</v>
      </c>
      <c r="J572" s="272">
        <f>IFERROR(VLOOKUP((D572&amp;C572)&amp;"",'[2]Retail Price List'!$C$4:$F$102,3,FALSE),"")</f>
        <v>1595000</v>
      </c>
      <c r="K572" s="272">
        <f>IFERROR(IF(BA572="WIP - 30 Days",VLOOKUP(D572,[3]Standard!$B$9:$E$101,4,FALSE),IF(BA572="31-120 Days",VLOOKUP(D572,[3]Standard!$B$9:$F$101,5,FALSE),IF(BA572="121-365 Days",VLOOKUP(D572,[3]Standard!$B$9:$G$101,6,FALSE),VLOOKUP(D572,[3]Standard!$B$9:$H$101,7,FALSE)))),0)</f>
        <v>1264994.5</v>
      </c>
      <c r="L572" s="272">
        <f>IFERROR(IF(BA572="WIP - 30 Days",VLOOKUP(D572,[3]Standard!$B$9:$J$101,9,FALSE),IF(BA572="31-120 Days",VLOOKUP(D572,[3]Standard!$B$9:$K$100,10,FALSE),IF(BA572="121-365 Days",VLOOKUP(D572,[3]Standard!$B$9:$L$101,11,FALSE),VLOOKUP(D572,[3]Standard!$B$9:$M$101,12,FALSE)))),0)</f>
        <v>1228150</v>
      </c>
      <c r="M572" s="269">
        <f>IFERROR(VLOOKUP((D572&amp;C572)&amp;"",'[2]Retail Price List'!$C$4:$F$102,4,FALSE),"")</f>
        <v>1625000</v>
      </c>
      <c r="N572" s="269">
        <f>IFERROR(IF(BA572="WIP - 30 Days",VLOOKUP(D572,[3]Extended!$B$9:$E$101,4,FALSE),IF(BA572="31-120 Days",VLOOKUP(D572,[3]Extended!$B$9:$F$101,5,FALSE),IF(BA572="121-365 Days",VLOOKUP(D572,[3]Extended!$B$9:$G$101,6,FALSE),VLOOKUP(D572,[3]Extended!$B$9:$H$101,7,FALSE)))),0)</f>
        <v>1339000</v>
      </c>
      <c r="O572" s="269">
        <f>IFERROR(IF(BA572="WIP - 30 Days",VLOOKUP(D572,[3]Extended!$B$9:$J$101,9,FALSE),IF(BA572="31-120 Days",VLOOKUP(D572,[3]Extended!$B$9:$K$101,10,FALSE),IF(BA572="121-365 Days",VLOOKUP(D572,[3]Extended!$B$9:$L$101,11,FALSE),VLOOKUP(D572,[3]Extended!$B$9:$M$101,12,FALSE)))),0)</f>
        <v>1300000</v>
      </c>
      <c r="P572" s="116">
        <f t="shared" si="41"/>
        <v>0.2</v>
      </c>
      <c r="Q572" s="110" t="e">
        <f>O572-#REF!</f>
        <v>#REF!</v>
      </c>
      <c r="W572" s="311"/>
      <c r="X572" s="311"/>
      <c r="Y572" s="311"/>
      <c r="Z572" s="311"/>
      <c r="AA572" s="311"/>
      <c r="AB572" s="311"/>
      <c r="AC572" s="311"/>
      <c r="AT572" s="88" t="str">
        <f t="shared" si="42"/>
        <v>KP0006372017Q314,7</v>
      </c>
      <c r="AU572" s="89" t="str">
        <f t="shared" si="43"/>
        <v>07-2017</v>
      </c>
      <c r="BA572" s="92" t="str">
        <f t="shared" si="44"/>
        <v>WIP - 30 Days</v>
      </c>
    </row>
    <row r="573" spans="2:53">
      <c r="B573" s="60">
        <f>[2]Trucks!A570</f>
        <v>47514</v>
      </c>
      <c r="C573" s="11" t="str">
        <f>[2]Trucks!B570</f>
        <v>TGS-27-4406X4BBS-L</v>
      </c>
      <c r="D573" s="19" t="str">
        <f>IFERROR(VLOOKUP(C573&amp;"",'[2]Retail Price List'!$A$3:$B$103,2,FALSE),"Special Order")</f>
        <v>KP000637</v>
      </c>
      <c r="E573" s="18" t="str">
        <f>[2]Trucks!J570</f>
        <v>CKD</v>
      </c>
      <c r="F573" s="12" t="str">
        <f>[2]Trucks!E570</f>
        <v>2017-11-15</v>
      </c>
      <c r="G573" s="56">
        <f>[2]Trucks!K570</f>
        <v>14.7</v>
      </c>
      <c r="H573" s="46">
        <f>[2]Trucks!I570</f>
        <v>42937</v>
      </c>
      <c r="I573" s="83" t="str">
        <f t="shared" si="40"/>
        <v>2017Q3</v>
      </c>
      <c r="J573" s="272">
        <f>IFERROR(VLOOKUP((D573&amp;C573)&amp;"",'[2]Retail Price List'!$C$4:$F$102,3,FALSE),"")</f>
        <v>1595000</v>
      </c>
      <c r="K573" s="272">
        <f>IFERROR(IF(BA573="WIP - 30 Days",VLOOKUP(D573,[3]Standard!$B$9:$E$101,4,FALSE),IF(BA573="31-120 Days",VLOOKUP(D573,[3]Standard!$B$9:$F$101,5,FALSE),IF(BA573="121-365 Days",VLOOKUP(D573,[3]Standard!$B$9:$G$101,6,FALSE),VLOOKUP(D573,[3]Standard!$B$9:$H$101,7,FALSE)))),0)</f>
        <v>1264994.5</v>
      </c>
      <c r="L573" s="272">
        <f>IFERROR(IF(BA573="WIP - 30 Days",VLOOKUP(D573,[3]Standard!$B$9:$J$101,9,FALSE),IF(BA573="31-120 Days",VLOOKUP(D573,[3]Standard!$B$9:$K$100,10,FALSE),IF(BA573="121-365 Days",VLOOKUP(D573,[3]Standard!$B$9:$L$101,11,FALSE),VLOOKUP(D573,[3]Standard!$B$9:$M$101,12,FALSE)))),0)</f>
        <v>1228150</v>
      </c>
      <c r="M573" s="269">
        <f>IFERROR(VLOOKUP((D573&amp;C573)&amp;"",'[2]Retail Price List'!$C$4:$F$102,4,FALSE),"")</f>
        <v>1625000</v>
      </c>
      <c r="N573" s="269">
        <f>IFERROR(IF(BA573="WIP - 30 Days",VLOOKUP(D573,[3]Extended!$B$9:$E$101,4,FALSE),IF(BA573="31-120 Days",VLOOKUP(D573,[3]Extended!$B$9:$F$101,5,FALSE),IF(BA573="121-365 Days",VLOOKUP(D573,[3]Extended!$B$9:$G$101,6,FALSE),VLOOKUP(D573,[3]Extended!$B$9:$H$101,7,FALSE)))),0)</f>
        <v>1339000</v>
      </c>
      <c r="O573" s="269">
        <f>IFERROR(IF(BA573="WIP - 30 Days",VLOOKUP(D573,[3]Extended!$B$9:$J$101,9,FALSE),IF(BA573="31-120 Days",VLOOKUP(D573,[3]Extended!$B$9:$K$101,10,FALSE),IF(BA573="121-365 Days",VLOOKUP(D573,[3]Extended!$B$9:$L$101,11,FALSE),VLOOKUP(D573,[3]Extended!$B$9:$M$101,12,FALSE)))),0)</f>
        <v>1300000</v>
      </c>
      <c r="P573" s="116">
        <f t="shared" si="41"/>
        <v>0.2</v>
      </c>
      <c r="Q573" s="110" t="e">
        <f>O573-#REF!</f>
        <v>#REF!</v>
      </c>
      <c r="W573" s="311"/>
      <c r="X573" s="311"/>
      <c r="Y573" s="311"/>
      <c r="Z573" s="311"/>
      <c r="AA573" s="311"/>
      <c r="AB573" s="311"/>
      <c r="AC573" s="311"/>
      <c r="AT573" s="88" t="str">
        <f t="shared" si="42"/>
        <v>KP0006372017Q314,7</v>
      </c>
      <c r="AU573" s="89" t="str">
        <f t="shared" si="43"/>
        <v>07-2017</v>
      </c>
      <c r="BA573" s="92" t="str">
        <f t="shared" si="44"/>
        <v>WIP - 30 Days</v>
      </c>
    </row>
    <row r="574" spans="2:53">
      <c r="B574" s="60">
        <f>[2]Trucks!A571</f>
        <v>47515</v>
      </c>
      <c r="C574" s="11" t="str">
        <f>[2]Trucks!B571</f>
        <v>TGS-27-4406X4BBS-L</v>
      </c>
      <c r="D574" s="19" t="str">
        <f>IFERROR(VLOOKUP(C574&amp;"",'[2]Retail Price List'!$A$3:$B$103,2,FALSE),"Special Order")</f>
        <v>KP000637</v>
      </c>
      <c r="E574" s="18" t="str">
        <f>[2]Trucks!J571</f>
        <v>CKD</v>
      </c>
      <c r="F574" s="12" t="str">
        <f>[2]Trucks!E571</f>
        <v>2017-11-15</v>
      </c>
      <c r="G574" s="56">
        <f>[2]Trucks!K571</f>
        <v>14.7</v>
      </c>
      <c r="H574" s="46">
        <f>[2]Trucks!I571</f>
        <v>42937</v>
      </c>
      <c r="I574" s="83" t="str">
        <f t="shared" si="40"/>
        <v>2017Q3</v>
      </c>
      <c r="J574" s="272">
        <f>IFERROR(VLOOKUP((D574&amp;C574)&amp;"",'[2]Retail Price List'!$C$4:$F$102,3,FALSE),"")</f>
        <v>1595000</v>
      </c>
      <c r="K574" s="272">
        <f>IFERROR(IF(BA574="WIP - 30 Days",VLOOKUP(D574,[3]Standard!$B$9:$E$101,4,FALSE),IF(BA574="31-120 Days",VLOOKUP(D574,[3]Standard!$B$9:$F$101,5,FALSE),IF(BA574="121-365 Days",VLOOKUP(D574,[3]Standard!$B$9:$G$101,6,FALSE),VLOOKUP(D574,[3]Standard!$B$9:$H$101,7,FALSE)))),0)</f>
        <v>1264994.5</v>
      </c>
      <c r="L574" s="272">
        <f>IFERROR(IF(BA574="WIP - 30 Days",VLOOKUP(D574,[3]Standard!$B$9:$J$101,9,FALSE),IF(BA574="31-120 Days",VLOOKUP(D574,[3]Standard!$B$9:$K$100,10,FALSE),IF(BA574="121-365 Days",VLOOKUP(D574,[3]Standard!$B$9:$L$101,11,FALSE),VLOOKUP(D574,[3]Standard!$B$9:$M$101,12,FALSE)))),0)</f>
        <v>1228150</v>
      </c>
      <c r="M574" s="269">
        <f>IFERROR(VLOOKUP((D574&amp;C574)&amp;"",'[2]Retail Price List'!$C$4:$F$102,4,FALSE),"")</f>
        <v>1625000</v>
      </c>
      <c r="N574" s="269">
        <f>IFERROR(IF(BA574="WIP - 30 Days",VLOOKUP(D574,[3]Extended!$B$9:$E$101,4,FALSE),IF(BA574="31-120 Days",VLOOKUP(D574,[3]Extended!$B$9:$F$101,5,FALSE),IF(BA574="121-365 Days",VLOOKUP(D574,[3]Extended!$B$9:$G$101,6,FALSE),VLOOKUP(D574,[3]Extended!$B$9:$H$101,7,FALSE)))),0)</f>
        <v>1339000</v>
      </c>
      <c r="O574" s="269">
        <f>IFERROR(IF(BA574="WIP - 30 Days",VLOOKUP(D574,[3]Extended!$B$9:$J$101,9,FALSE),IF(BA574="31-120 Days",VLOOKUP(D574,[3]Extended!$B$9:$K$101,10,FALSE),IF(BA574="121-365 Days",VLOOKUP(D574,[3]Extended!$B$9:$L$101,11,FALSE),VLOOKUP(D574,[3]Extended!$B$9:$M$101,12,FALSE)))),0)</f>
        <v>1300000</v>
      </c>
      <c r="P574" s="116">
        <f t="shared" si="41"/>
        <v>0.2</v>
      </c>
      <c r="Q574" s="110" t="e">
        <f>O574-#REF!</f>
        <v>#REF!</v>
      </c>
      <c r="W574" s="311"/>
      <c r="X574" s="311"/>
      <c r="Y574" s="311"/>
      <c r="Z574" s="311"/>
      <c r="AA574" s="311"/>
      <c r="AB574" s="311"/>
      <c r="AC574" s="311"/>
      <c r="AT574" s="88" t="str">
        <f t="shared" si="42"/>
        <v>KP0006372017Q314,7</v>
      </c>
      <c r="AU574" s="89" t="str">
        <f t="shared" si="43"/>
        <v>07-2017</v>
      </c>
      <c r="BA574" s="92" t="str">
        <f t="shared" si="44"/>
        <v>WIP - 30 Days</v>
      </c>
    </row>
    <row r="575" spans="2:53">
      <c r="B575" s="60">
        <f>[2]Trucks!A572</f>
        <v>47516</v>
      </c>
      <c r="C575" s="11" t="str">
        <f>[2]Trucks!B572</f>
        <v>TGS-27-4406X4BBS-L</v>
      </c>
      <c r="D575" s="19" t="str">
        <f>IFERROR(VLOOKUP(C575&amp;"",'[2]Retail Price List'!$A$3:$B$103,2,FALSE),"Special Order")</f>
        <v>KP000637</v>
      </c>
      <c r="E575" s="18" t="str">
        <f>[2]Trucks!J572</f>
        <v>CKD</v>
      </c>
      <c r="F575" s="12" t="str">
        <f>[2]Trucks!E572</f>
        <v>2017-11-15</v>
      </c>
      <c r="G575" s="56">
        <f>[2]Trucks!K572</f>
        <v>14.7</v>
      </c>
      <c r="H575" s="46">
        <f>[2]Trucks!I572</f>
        <v>42937</v>
      </c>
      <c r="I575" s="83" t="str">
        <f t="shared" si="40"/>
        <v>2017Q3</v>
      </c>
      <c r="J575" s="272">
        <f>IFERROR(VLOOKUP((D575&amp;C575)&amp;"",'[2]Retail Price List'!$C$4:$F$102,3,FALSE),"")</f>
        <v>1595000</v>
      </c>
      <c r="K575" s="272">
        <f>IFERROR(IF(BA575="WIP - 30 Days",VLOOKUP(D575,[3]Standard!$B$9:$E$101,4,FALSE),IF(BA575="31-120 Days",VLOOKUP(D575,[3]Standard!$B$9:$F$101,5,FALSE),IF(BA575="121-365 Days",VLOOKUP(D575,[3]Standard!$B$9:$G$101,6,FALSE),VLOOKUP(D575,[3]Standard!$B$9:$H$101,7,FALSE)))),0)</f>
        <v>1264994.5</v>
      </c>
      <c r="L575" s="272">
        <f>IFERROR(IF(BA575="WIP - 30 Days",VLOOKUP(D575,[3]Standard!$B$9:$J$101,9,FALSE),IF(BA575="31-120 Days",VLOOKUP(D575,[3]Standard!$B$9:$K$100,10,FALSE),IF(BA575="121-365 Days",VLOOKUP(D575,[3]Standard!$B$9:$L$101,11,FALSE),VLOOKUP(D575,[3]Standard!$B$9:$M$101,12,FALSE)))),0)</f>
        <v>1228150</v>
      </c>
      <c r="M575" s="269">
        <f>IFERROR(VLOOKUP((D575&amp;C575)&amp;"",'[2]Retail Price List'!$C$4:$F$102,4,FALSE),"")</f>
        <v>1625000</v>
      </c>
      <c r="N575" s="269">
        <f>IFERROR(IF(BA575="WIP - 30 Days",VLOOKUP(D575,[3]Extended!$B$9:$E$101,4,FALSE),IF(BA575="31-120 Days",VLOOKUP(D575,[3]Extended!$B$9:$F$101,5,FALSE),IF(BA575="121-365 Days",VLOOKUP(D575,[3]Extended!$B$9:$G$101,6,FALSE),VLOOKUP(D575,[3]Extended!$B$9:$H$101,7,FALSE)))),0)</f>
        <v>1339000</v>
      </c>
      <c r="O575" s="269">
        <f>IFERROR(IF(BA575="WIP - 30 Days",VLOOKUP(D575,[3]Extended!$B$9:$J$101,9,FALSE),IF(BA575="31-120 Days",VLOOKUP(D575,[3]Extended!$B$9:$K$101,10,FALSE),IF(BA575="121-365 Days",VLOOKUP(D575,[3]Extended!$B$9:$L$101,11,FALSE),VLOOKUP(D575,[3]Extended!$B$9:$M$101,12,FALSE)))),0)</f>
        <v>1300000</v>
      </c>
      <c r="P575" s="116">
        <f t="shared" si="41"/>
        <v>0.2</v>
      </c>
      <c r="Q575" s="110" t="e">
        <f>O575-#REF!</f>
        <v>#REF!</v>
      </c>
      <c r="W575" s="311"/>
      <c r="X575" s="311"/>
      <c r="Y575" s="311"/>
      <c r="Z575" s="311"/>
      <c r="AA575" s="311"/>
      <c r="AB575" s="311"/>
      <c r="AC575" s="311"/>
      <c r="AT575" s="88" t="str">
        <f t="shared" si="42"/>
        <v>KP0006372017Q314,7</v>
      </c>
      <c r="AU575" s="89" t="str">
        <f t="shared" si="43"/>
        <v>07-2017</v>
      </c>
      <c r="BA575" s="92" t="str">
        <f t="shared" si="44"/>
        <v>WIP - 30 Days</v>
      </c>
    </row>
    <row r="576" spans="2:53">
      <c r="B576" s="60">
        <f>[2]Trucks!A573</f>
        <v>47517</v>
      </c>
      <c r="C576" s="11" t="str">
        <f>[2]Trucks!B573</f>
        <v>TGS-27-4406X4BBS-L</v>
      </c>
      <c r="D576" s="19" t="str">
        <f>IFERROR(VLOOKUP(C576&amp;"",'[2]Retail Price List'!$A$3:$B$103,2,FALSE),"Special Order")</f>
        <v>KP000637</v>
      </c>
      <c r="E576" s="18" t="str">
        <f>[2]Trucks!J573</f>
        <v>CKD</v>
      </c>
      <c r="F576" s="12" t="str">
        <f>[2]Trucks!E573</f>
        <v>2017-11-15</v>
      </c>
      <c r="G576" s="56">
        <f>[2]Trucks!K573</f>
        <v>14.7</v>
      </c>
      <c r="H576" s="46">
        <f>[2]Trucks!I573</f>
        <v>42937</v>
      </c>
      <c r="I576" s="83" t="str">
        <f t="shared" si="40"/>
        <v>2017Q3</v>
      </c>
      <c r="J576" s="272">
        <f>IFERROR(VLOOKUP((D576&amp;C576)&amp;"",'[2]Retail Price List'!$C$4:$F$102,3,FALSE),"")</f>
        <v>1595000</v>
      </c>
      <c r="K576" s="272">
        <f>IFERROR(IF(BA576="WIP - 30 Days",VLOOKUP(D576,[3]Standard!$B$9:$E$101,4,FALSE),IF(BA576="31-120 Days",VLOOKUP(D576,[3]Standard!$B$9:$F$101,5,FALSE),IF(BA576="121-365 Days",VLOOKUP(D576,[3]Standard!$B$9:$G$101,6,FALSE),VLOOKUP(D576,[3]Standard!$B$9:$H$101,7,FALSE)))),0)</f>
        <v>1264994.5</v>
      </c>
      <c r="L576" s="272">
        <f>IFERROR(IF(BA576="WIP - 30 Days",VLOOKUP(D576,[3]Standard!$B$9:$J$101,9,FALSE),IF(BA576="31-120 Days",VLOOKUP(D576,[3]Standard!$B$9:$K$100,10,FALSE),IF(BA576="121-365 Days",VLOOKUP(D576,[3]Standard!$B$9:$L$101,11,FALSE),VLOOKUP(D576,[3]Standard!$B$9:$M$101,12,FALSE)))),0)</f>
        <v>1228150</v>
      </c>
      <c r="M576" s="269">
        <f>IFERROR(VLOOKUP((D576&amp;C576)&amp;"",'[2]Retail Price List'!$C$4:$F$102,4,FALSE),"")</f>
        <v>1625000</v>
      </c>
      <c r="N576" s="269">
        <f>IFERROR(IF(BA576="WIP - 30 Days",VLOOKUP(D576,[3]Extended!$B$9:$E$101,4,FALSE),IF(BA576="31-120 Days",VLOOKUP(D576,[3]Extended!$B$9:$F$101,5,FALSE),IF(BA576="121-365 Days",VLOOKUP(D576,[3]Extended!$B$9:$G$101,6,FALSE),VLOOKUP(D576,[3]Extended!$B$9:$H$101,7,FALSE)))),0)</f>
        <v>1339000</v>
      </c>
      <c r="O576" s="269">
        <f>IFERROR(IF(BA576="WIP - 30 Days",VLOOKUP(D576,[3]Extended!$B$9:$J$101,9,FALSE),IF(BA576="31-120 Days",VLOOKUP(D576,[3]Extended!$B$9:$K$101,10,FALSE),IF(BA576="121-365 Days",VLOOKUP(D576,[3]Extended!$B$9:$L$101,11,FALSE),VLOOKUP(D576,[3]Extended!$B$9:$M$101,12,FALSE)))),0)</f>
        <v>1300000</v>
      </c>
      <c r="P576" s="116">
        <f t="shared" si="41"/>
        <v>0.2</v>
      </c>
      <c r="Q576" s="110" t="e">
        <f>O576-#REF!</f>
        <v>#REF!</v>
      </c>
      <c r="W576" s="311"/>
      <c r="X576" s="311"/>
      <c r="Y576" s="311"/>
      <c r="Z576" s="311"/>
      <c r="AA576" s="311"/>
      <c r="AB576" s="311"/>
      <c r="AC576" s="311"/>
      <c r="AT576" s="88" t="str">
        <f t="shared" si="42"/>
        <v>KP0006372017Q314,7</v>
      </c>
      <c r="AU576" s="89" t="str">
        <f t="shared" si="43"/>
        <v>07-2017</v>
      </c>
      <c r="BA576" s="92" t="str">
        <f t="shared" si="44"/>
        <v>WIP - 30 Days</v>
      </c>
    </row>
    <row r="577" spans="2:53">
      <c r="B577" s="60">
        <f>[2]Trucks!A574</f>
        <v>47711</v>
      </c>
      <c r="C577" s="11" t="str">
        <f>[2]Trucks!B574</f>
        <v>TGS-27-4406X4BBS-L</v>
      </c>
      <c r="D577" s="19" t="str">
        <f>IFERROR(VLOOKUP(C577&amp;"",'[2]Retail Price List'!$A$3:$B$103,2,FALSE),"Special Order")</f>
        <v>KP000637</v>
      </c>
      <c r="E577" s="18" t="str">
        <f>[2]Trucks!J574</f>
        <v>CKD</v>
      </c>
      <c r="F577" s="12" t="str">
        <f>[2]Trucks!E574</f>
        <v>2018-02-15</v>
      </c>
      <c r="G577" s="56">
        <f>[2]Trucks!K574</f>
        <v>14.7</v>
      </c>
      <c r="H577" s="46">
        <f>[2]Trucks!I574</f>
        <v>42947</v>
      </c>
      <c r="I577" s="83" t="str">
        <f t="shared" si="40"/>
        <v>2017Q3</v>
      </c>
      <c r="J577" s="272">
        <f>IFERROR(VLOOKUP((D577&amp;C577)&amp;"",'[2]Retail Price List'!$C$4:$F$102,3,FALSE),"")</f>
        <v>1595000</v>
      </c>
      <c r="K577" s="272">
        <f>IFERROR(IF(BA577="WIP - 30 Days",VLOOKUP(D577,[3]Standard!$B$9:$E$101,4,FALSE),IF(BA577="31-120 Days",VLOOKUP(D577,[3]Standard!$B$9:$F$101,5,FALSE),IF(BA577="121-365 Days",VLOOKUP(D577,[3]Standard!$B$9:$G$101,6,FALSE),VLOOKUP(D577,[3]Standard!$B$9:$H$101,7,FALSE)))),0)</f>
        <v>1264994.5</v>
      </c>
      <c r="L577" s="272">
        <f>IFERROR(IF(BA577="WIP - 30 Days",VLOOKUP(D577,[3]Standard!$B$9:$J$101,9,FALSE),IF(BA577="31-120 Days",VLOOKUP(D577,[3]Standard!$B$9:$K$100,10,FALSE),IF(BA577="121-365 Days",VLOOKUP(D577,[3]Standard!$B$9:$L$101,11,FALSE),VLOOKUP(D577,[3]Standard!$B$9:$M$101,12,FALSE)))),0)</f>
        <v>1228150</v>
      </c>
      <c r="M577" s="269">
        <f>IFERROR(VLOOKUP((D577&amp;C577)&amp;"",'[2]Retail Price List'!$C$4:$F$102,4,FALSE),"")</f>
        <v>1625000</v>
      </c>
      <c r="N577" s="269">
        <f>IFERROR(IF(BA577="WIP - 30 Days",VLOOKUP(D577,[3]Extended!$B$9:$E$101,4,FALSE),IF(BA577="31-120 Days",VLOOKUP(D577,[3]Extended!$B$9:$F$101,5,FALSE),IF(BA577="121-365 Days",VLOOKUP(D577,[3]Extended!$B$9:$G$101,6,FALSE),VLOOKUP(D577,[3]Extended!$B$9:$H$101,7,FALSE)))),0)</f>
        <v>1339000</v>
      </c>
      <c r="O577" s="269">
        <f>IFERROR(IF(BA577="WIP - 30 Days",VLOOKUP(D577,[3]Extended!$B$9:$J$101,9,FALSE),IF(BA577="31-120 Days",VLOOKUP(D577,[3]Extended!$B$9:$K$101,10,FALSE),IF(BA577="121-365 Days",VLOOKUP(D577,[3]Extended!$B$9:$L$101,11,FALSE),VLOOKUP(D577,[3]Extended!$B$9:$M$101,12,FALSE)))),0)</f>
        <v>1300000</v>
      </c>
      <c r="P577" s="116">
        <f t="shared" si="41"/>
        <v>0.2</v>
      </c>
      <c r="Q577" s="110" t="e">
        <f>O577-#REF!</f>
        <v>#REF!</v>
      </c>
      <c r="W577" s="311"/>
      <c r="X577" s="311"/>
      <c r="Y577" s="311"/>
      <c r="Z577" s="311"/>
      <c r="AA577" s="311"/>
      <c r="AB577" s="311"/>
      <c r="AC577" s="311"/>
      <c r="AT577" s="88" t="str">
        <f t="shared" si="42"/>
        <v>KP0006372017Q314,7</v>
      </c>
      <c r="AU577" s="89" t="str">
        <f t="shared" si="43"/>
        <v>07-2017</v>
      </c>
      <c r="BA577" s="92" t="str">
        <f t="shared" si="44"/>
        <v>WIP - 30 Days</v>
      </c>
    </row>
    <row r="578" spans="2:53">
      <c r="B578" s="60">
        <f>[2]Trucks!A575</f>
        <v>47712</v>
      </c>
      <c r="C578" s="11" t="str">
        <f>[2]Trucks!B575</f>
        <v>TGS-27-4406X4BBS-L</v>
      </c>
      <c r="D578" s="19" t="str">
        <f>IFERROR(VLOOKUP(C578&amp;"",'[2]Retail Price List'!$A$3:$B$103,2,FALSE),"Special Order")</f>
        <v>KP000637</v>
      </c>
      <c r="E578" s="18" t="str">
        <f>[2]Trucks!J575</f>
        <v>CKD</v>
      </c>
      <c r="F578" s="12" t="str">
        <f>[2]Trucks!E575</f>
        <v>2018-02-15</v>
      </c>
      <c r="G578" s="56">
        <f>[2]Trucks!K575</f>
        <v>14.7</v>
      </c>
      <c r="H578" s="46">
        <f>[2]Trucks!I575</f>
        <v>42947</v>
      </c>
      <c r="I578" s="83" t="str">
        <f t="shared" si="40"/>
        <v>2017Q3</v>
      </c>
      <c r="J578" s="272">
        <f>IFERROR(VLOOKUP((D578&amp;C578)&amp;"",'[2]Retail Price List'!$C$4:$F$102,3,FALSE),"")</f>
        <v>1595000</v>
      </c>
      <c r="K578" s="272">
        <f>IFERROR(IF(BA578="WIP - 30 Days",VLOOKUP(D578,[3]Standard!$B$9:$E$101,4,FALSE),IF(BA578="31-120 Days",VLOOKUP(D578,[3]Standard!$B$9:$F$101,5,FALSE),IF(BA578="121-365 Days",VLOOKUP(D578,[3]Standard!$B$9:$G$101,6,FALSE),VLOOKUP(D578,[3]Standard!$B$9:$H$101,7,FALSE)))),0)</f>
        <v>1264994.5</v>
      </c>
      <c r="L578" s="272">
        <f>IFERROR(IF(BA578="WIP - 30 Days",VLOOKUP(D578,[3]Standard!$B$9:$J$101,9,FALSE),IF(BA578="31-120 Days",VLOOKUP(D578,[3]Standard!$B$9:$K$100,10,FALSE),IF(BA578="121-365 Days",VLOOKUP(D578,[3]Standard!$B$9:$L$101,11,FALSE),VLOOKUP(D578,[3]Standard!$B$9:$M$101,12,FALSE)))),0)</f>
        <v>1228150</v>
      </c>
      <c r="M578" s="269">
        <f>IFERROR(VLOOKUP((D578&amp;C578)&amp;"",'[2]Retail Price List'!$C$4:$F$102,4,FALSE),"")</f>
        <v>1625000</v>
      </c>
      <c r="N578" s="269">
        <f>IFERROR(IF(BA578="WIP - 30 Days",VLOOKUP(D578,[3]Extended!$B$9:$E$101,4,FALSE),IF(BA578="31-120 Days",VLOOKUP(D578,[3]Extended!$B$9:$F$101,5,FALSE),IF(BA578="121-365 Days",VLOOKUP(D578,[3]Extended!$B$9:$G$101,6,FALSE),VLOOKUP(D578,[3]Extended!$B$9:$H$101,7,FALSE)))),0)</f>
        <v>1339000</v>
      </c>
      <c r="O578" s="269">
        <f>IFERROR(IF(BA578="WIP - 30 Days",VLOOKUP(D578,[3]Extended!$B$9:$J$101,9,FALSE),IF(BA578="31-120 Days",VLOOKUP(D578,[3]Extended!$B$9:$K$101,10,FALSE),IF(BA578="121-365 Days",VLOOKUP(D578,[3]Extended!$B$9:$L$101,11,FALSE),VLOOKUP(D578,[3]Extended!$B$9:$M$101,12,FALSE)))),0)</f>
        <v>1300000</v>
      </c>
      <c r="P578" s="116">
        <f t="shared" si="41"/>
        <v>0.2</v>
      </c>
      <c r="Q578" s="110" t="e">
        <f>O578-#REF!</f>
        <v>#REF!</v>
      </c>
      <c r="W578" s="311"/>
      <c r="X578" s="311"/>
      <c r="Y578" s="311"/>
      <c r="Z578" s="311"/>
      <c r="AA578" s="311"/>
      <c r="AB578" s="311"/>
      <c r="AC578" s="311"/>
      <c r="AT578" s="88" t="str">
        <f t="shared" si="42"/>
        <v>KP0006372017Q314,7</v>
      </c>
      <c r="AU578" s="89" t="str">
        <f t="shared" si="43"/>
        <v>07-2017</v>
      </c>
      <c r="BA578" s="92" t="str">
        <f t="shared" si="44"/>
        <v>WIP - 30 Days</v>
      </c>
    </row>
    <row r="579" spans="2:53">
      <c r="B579" s="60">
        <f>[2]Trucks!A576</f>
        <v>47713</v>
      </c>
      <c r="C579" s="11" t="str">
        <f>[2]Trucks!B576</f>
        <v>TGS-27-4406X4BBS-L</v>
      </c>
      <c r="D579" s="19" t="str">
        <f>IFERROR(VLOOKUP(C579&amp;"",'[2]Retail Price List'!$A$3:$B$103,2,FALSE),"Special Order")</f>
        <v>KP000637</v>
      </c>
      <c r="E579" s="18" t="str">
        <f>[2]Trucks!J576</f>
        <v>CKD</v>
      </c>
      <c r="F579" s="12" t="str">
        <f>[2]Trucks!E576</f>
        <v>2018-02-15</v>
      </c>
      <c r="G579" s="56">
        <f>[2]Trucks!K576</f>
        <v>14.7</v>
      </c>
      <c r="H579" s="46">
        <f>[2]Trucks!I576</f>
        <v>42947</v>
      </c>
      <c r="I579" s="83" t="str">
        <f t="shared" si="40"/>
        <v>2017Q3</v>
      </c>
      <c r="J579" s="272">
        <f>IFERROR(VLOOKUP((D579&amp;C579)&amp;"",'[2]Retail Price List'!$C$4:$F$102,3,FALSE),"")</f>
        <v>1595000</v>
      </c>
      <c r="K579" s="272">
        <f>IFERROR(IF(BA579="WIP - 30 Days",VLOOKUP(D579,[3]Standard!$B$9:$E$101,4,FALSE),IF(BA579="31-120 Days",VLOOKUP(D579,[3]Standard!$B$9:$F$101,5,FALSE),IF(BA579="121-365 Days",VLOOKUP(D579,[3]Standard!$B$9:$G$101,6,FALSE),VLOOKUP(D579,[3]Standard!$B$9:$H$101,7,FALSE)))),0)</f>
        <v>1264994.5</v>
      </c>
      <c r="L579" s="272">
        <f>IFERROR(IF(BA579="WIP - 30 Days",VLOOKUP(D579,[3]Standard!$B$9:$J$101,9,FALSE),IF(BA579="31-120 Days",VLOOKUP(D579,[3]Standard!$B$9:$K$100,10,FALSE),IF(BA579="121-365 Days",VLOOKUP(D579,[3]Standard!$B$9:$L$101,11,FALSE),VLOOKUP(D579,[3]Standard!$B$9:$M$101,12,FALSE)))),0)</f>
        <v>1228150</v>
      </c>
      <c r="M579" s="269">
        <f>IFERROR(VLOOKUP((D579&amp;C579)&amp;"",'[2]Retail Price List'!$C$4:$F$102,4,FALSE),"")</f>
        <v>1625000</v>
      </c>
      <c r="N579" s="269">
        <f>IFERROR(IF(BA579="WIP - 30 Days",VLOOKUP(D579,[3]Extended!$B$9:$E$101,4,FALSE),IF(BA579="31-120 Days",VLOOKUP(D579,[3]Extended!$B$9:$F$101,5,FALSE),IF(BA579="121-365 Days",VLOOKUP(D579,[3]Extended!$B$9:$G$101,6,FALSE),VLOOKUP(D579,[3]Extended!$B$9:$H$101,7,FALSE)))),0)</f>
        <v>1339000</v>
      </c>
      <c r="O579" s="269">
        <f>IFERROR(IF(BA579="WIP - 30 Days",VLOOKUP(D579,[3]Extended!$B$9:$J$101,9,FALSE),IF(BA579="31-120 Days",VLOOKUP(D579,[3]Extended!$B$9:$K$101,10,FALSE),IF(BA579="121-365 Days",VLOOKUP(D579,[3]Extended!$B$9:$L$101,11,FALSE),VLOOKUP(D579,[3]Extended!$B$9:$M$101,12,FALSE)))),0)</f>
        <v>1300000</v>
      </c>
      <c r="P579" s="116">
        <f t="shared" si="41"/>
        <v>0.2</v>
      </c>
      <c r="Q579" s="110" t="e">
        <f>O579-#REF!</f>
        <v>#REF!</v>
      </c>
      <c r="W579" s="311"/>
      <c r="X579" s="311"/>
      <c r="Y579" s="311"/>
      <c r="Z579" s="311"/>
      <c r="AA579" s="311"/>
      <c r="AB579" s="311"/>
      <c r="AC579" s="311"/>
      <c r="AT579" s="88" t="str">
        <f t="shared" si="42"/>
        <v>KP0006372017Q314,7</v>
      </c>
      <c r="AU579" s="89" t="str">
        <f t="shared" si="43"/>
        <v>07-2017</v>
      </c>
      <c r="BA579" s="92" t="str">
        <f t="shared" si="44"/>
        <v>WIP - 30 Days</v>
      </c>
    </row>
    <row r="580" spans="2:53">
      <c r="B580" s="60">
        <f>[2]Trucks!A577</f>
        <v>47714</v>
      </c>
      <c r="C580" s="11" t="str">
        <f>[2]Trucks!B577</f>
        <v>TGS-27-4406X4BBS-L</v>
      </c>
      <c r="D580" s="19" t="str">
        <f>IFERROR(VLOOKUP(C580&amp;"",'[2]Retail Price List'!$A$3:$B$103,2,FALSE),"Special Order")</f>
        <v>KP000637</v>
      </c>
      <c r="E580" s="18" t="str">
        <f>[2]Trucks!J577</f>
        <v>CKD</v>
      </c>
      <c r="F580" s="12" t="str">
        <f>[2]Trucks!E577</f>
        <v>2018-02-15</v>
      </c>
      <c r="G580" s="56">
        <f>[2]Trucks!K577</f>
        <v>14.7</v>
      </c>
      <c r="H580" s="46">
        <f>[2]Trucks!I577</f>
        <v>42947</v>
      </c>
      <c r="I580" s="83" t="str">
        <f t="shared" si="40"/>
        <v>2017Q3</v>
      </c>
      <c r="J580" s="272">
        <f>IFERROR(VLOOKUP((D580&amp;C580)&amp;"",'[2]Retail Price List'!$C$4:$F$102,3,FALSE),"")</f>
        <v>1595000</v>
      </c>
      <c r="K580" s="272">
        <f>IFERROR(IF(BA580="WIP - 30 Days",VLOOKUP(D580,[3]Standard!$B$9:$E$101,4,FALSE),IF(BA580="31-120 Days",VLOOKUP(D580,[3]Standard!$B$9:$F$101,5,FALSE),IF(BA580="121-365 Days",VLOOKUP(D580,[3]Standard!$B$9:$G$101,6,FALSE),VLOOKUP(D580,[3]Standard!$B$9:$H$101,7,FALSE)))),0)</f>
        <v>1264994.5</v>
      </c>
      <c r="L580" s="272">
        <f>IFERROR(IF(BA580="WIP - 30 Days",VLOOKUP(D580,[3]Standard!$B$9:$J$101,9,FALSE),IF(BA580="31-120 Days",VLOOKUP(D580,[3]Standard!$B$9:$K$100,10,FALSE),IF(BA580="121-365 Days",VLOOKUP(D580,[3]Standard!$B$9:$L$101,11,FALSE),VLOOKUP(D580,[3]Standard!$B$9:$M$101,12,FALSE)))),0)</f>
        <v>1228150</v>
      </c>
      <c r="M580" s="269">
        <f>IFERROR(VLOOKUP((D580&amp;C580)&amp;"",'[2]Retail Price List'!$C$4:$F$102,4,FALSE),"")</f>
        <v>1625000</v>
      </c>
      <c r="N580" s="269">
        <f>IFERROR(IF(BA580="WIP - 30 Days",VLOOKUP(D580,[3]Extended!$B$9:$E$101,4,FALSE),IF(BA580="31-120 Days",VLOOKUP(D580,[3]Extended!$B$9:$F$101,5,FALSE),IF(BA580="121-365 Days",VLOOKUP(D580,[3]Extended!$B$9:$G$101,6,FALSE),VLOOKUP(D580,[3]Extended!$B$9:$H$101,7,FALSE)))),0)</f>
        <v>1339000</v>
      </c>
      <c r="O580" s="269">
        <f>IFERROR(IF(BA580="WIP - 30 Days",VLOOKUP(D580,[3]Extended!$B$9:$J$101,9,FALSE),IF(BA580="31-120 Days",VLOOKUP(D580,[3]Extended!$B$9:$K$101,10,FALSE),IF(BA580="121-365 Days",VLOOKUP(D580,[3]Extended!$B$9:$L$101,11,FALSE),VLOOKUP(D580,[3]Extended!$B$9:$M$101,12,FALSE)))),0)</f>
        <v>1300000</v>
      </c>
      <c r="P580" s="116">
        <f t="shared" si="41"/>
        <v>0.2</v>
      </c>
      <c r="Q580" s="110" t="e">
        <f>O580-#REF!</f>
        <v>#REF!</v>
      </c>
      <c r="W580" s="311"/>
      <c r="X580" s="311"/>
      <c r="Y580" s="311"/>
      <c r="Z580" s="311"/>
      <c r="AA580" s="311"/>
      <c r="AB580" s="311"/>
      <c r="AC580" s="311"/>
      <c r="AT580" s="88" t="str">
        <f t="shared" si="42"/>
        <v>KP0006372017Q314,7</v>
      </c>
      <c r="AU580" s="89" t="str">
        <f t="shared" si="43"/>
        <v>07-2017</v>
      </c>
      <c r="BA580" s="92" t="str">
        <f t="shared" si="44"/>
        <v>WIP - 30 Days</v>
      </c>
    </row>
    <row r="581" spans="2:53">
      <c r="B581" s="60">
        <f>[2]Trucks!A578</f>
        <v>47715</v>
      </c>
      <c r="C581" s="11" t="str">
        <f>[2]Trucks!B578</f>
        <v>TGS-27-4406X4BBS-L</v>
      </c>
      <c r="D581" s="19" t="str">
        <f>IFERROR(VLOOKUP(C581&amp;"",'[2]Retail Price List'!$A$3:$B$103,2,FALSE),"Special Order")</f>
        <v>KP000637</v>
      </c>
      <c r="E581" s="18" t="str">
        <f>[2]Trucks!J578</f>
        <v>CKD</v>
      </c>
      <c r="F581" s="12" t="str">
        <f>[2]Trucks!E578</f>
        <v>2018-02-28</v>
      </c>
      <c r="G581" s="56">
        <f>[2]Trucks!K578</f>
        <v>14.7</v>
      </c>
      <c r="H581" s="46">
        <f>[2]Trucks!I578</f>
        <v>42947</v>
      </c>
      <c r="I581" s="83" t="str">
        <f t="shared" ref="I581:I644" si="45">IFERROR(VLOOKUP(AU581,$AW$5:$AY$40,3,FALSE),"")</f>
        <v>2017Q3</v>
      </c>
      <c r="J581" s="272">
        <f>IFERROR(VLOOKUP((D581&amp;C581)&amp;"",'[2]Retail Price List'!$C$4:$F$102,3,FALSE),"")</f>
        <v>1595000</v>
      </c>
      <c r="K581" s="272">
        <f>IFERROR(IF(BA581="WIP - 30 Days",VLOOKUP(D581,[3]Standard!$B$9:$E$101,4,FALSE),IF(BA581="31-120 Days",VLOOKUP(D581,[3]Standard!$B$9:$F$101,5,FALSE),IF(BA581="121-365 Days",VLOOKUP(D581,[3]Standard!$B$9:$G$101,6,FALSE),VLOOKUP(D581,[3]Standard!$B$9:$H$101,7,FALSE)))),0)</f>
        <v>1264994.5</v>
      </c>
      <c r="L581" s="272">
        <f>IFERROR(IF(BA581="WIP - 30 Days",VLOOKUP(D581,[3]Standard!$B$9:$J$101,9,FALSE),IF(BA581="31-120 Days",VLOOKUP(D581,[3]Standard!$B$9:$K$100,10,FALSE),IF(BA581="121-365 Days",VLOOKUP(D581,[3]Standard!$B$9:$L$101,11,FALSE),VLOOKUP(D581,[3]Standard!$B$9:$M$101,12,FALSE)))),0)</f>
        <v>1228150</v>
      </c>
      <c r="M581" s="269">
        <f>IFERROR(VLOOKUP((D581&amp;C581)&amp;"",'[2]Retail Price List'!$C$4:$F$102,4,FALSE),"")</f>
        <v>1625000</v>
      </c>
      <c r="N581" s="269">
        <f>IFERROR(IF(BA581="WIP - 30 Days",VLOOKUP(D581,[3]Extended!$B$9:$E$101,4,FALSE),IF(BA581="31-120 Days",VLOOKUP(D581,[3]Extended!$B$9:$F$101,5,FALSE),IF(BA581="121-365 Days",VLOOKUP(D581,[3]Extended!$B$9:$G$101,6,FALSE),VLOOKUP(D581,[3]Extended!$B$9:$H$101,7,FALSE)))),0)</f>
        <v>1339000</v>
      </c>
      <c r="O581" s="269">
        <f>IFERROR(IF(BA581="WIP - 30 Days",VLOOKUP(D581,[3]Extended!$B$9:$J$101,9,FALSE),IF(BA581="31-120 Days",VLOOKUP(D581,[3]Extended!$B$9:$K$101,10,FALSE),IF(BA581="121-365 Days",VLOOKUP(D581,[3]Extended!$B$9:$L$101,11,FALSE),VLOOKUP(D581,[3]Extended!$B$9:$M$101,12,FALSE)))),0)</f>
        <v>1300000</v>
      </c>
      <c r="P581" s="116">
        <f t="shared" ref="P581:P644" si="46">(M581-O581)/M581</f>
        <v>0.2</v>
      </c>
      <c r="Q581" s="110" t="e">
        <f>O581-#REF!</f>
        <v>#REF!</v>
      </c>
      <c r="W581" s="311"/>
      <c r="X581" s="311"/>
      <c r="Y581" s="311"/>
      <c r="Z581" s="311"/>
      <c r="AA581" s="311"/>
      <c r="AB581" s="311"/>
      <c r="AC581" s="311"/>
      <c r="AT581" s="88" t="str">
        <f t="shared" ref="AT581:AT644" si="47">D581&amp;I581&amp;G581</f>
        <v>KP0006372017Q314,7</v>
      </c>
      <c r="AU581" s="89" t="str">
        <f t="shared" ref="AU581:AU644" si="48">IF(MONTH(H581)&lt;10,0&amp;MONTH(H581)&amp;"-"&amp;YEAR(H581),MONTH(H581)&amp;"-"&amp;YEAR(H581))</f>
        <v>07-2017</v>
      </c>
      <c r="BA581" s="92" t="str">
        <f t="shared" ref="BA581:BA644" si="49">IF(B581=0,"",IF(AND(F581&gt;=31,F581&lt;=120),"31-120 Days",IF(AND(F581&gt;=121,F581&lt;=365),"121-365 Days",IF(OR(E581="CKD",F581&lt;=30),"WIP - 30 Days","&gt;365 Days"))))</f>
        <v>WIP - 30 Days</v>
      </c>
    </row>
    <row r="582" spans="2:53">
      <c r="B582" s="60">
        <f>[2]Trucks!A579</f>
        <v>47716</v>
      </c>
      <c r="C582" s="11" t="str">
        <f>[2]Trucks!B579</f>
        <v>TGS-27-4406X4BBS-L</v>
      </c>
      <c r="D582" s="19" t="str">
        <f>IFERROR(VLOOKUP(C582&amp;"",'[2]Retail Price List'!$A$3:$B$103,2,FALSE),"Special Order")</f>
        <v>KP000637</v>
      </c>
      <c r="E582" s="18" t="str">
        <f>[2]Trucks!J579</f>
        <v>CKD</v>
      </c>
      <c r="F582" s="12" t="str">
        <f>[2]Trucks!E579</f>
        <v>2018-02-28</v>
      </c>
      <c r="G582" s="56">
        <f>[2]Trucks!K579</f>
        <v>14.7</v>
      </c>
      <c r="H582" s="46">
        <f>[2]Trucks!I579</f>
        <v>42947</v>
      </c>
      <c r="I582" s="83" t="str">
        <f t="shared" si="45"/>
        <v>2017Q3</v>
      </c>
      <c r="J582" s="272">
        <f>IFERROR(VLOOKUP((D582&amp;C582)&amp;"",'[2]Retail Price List'!$C$4:$F$102,3,FALSE),"")</f>
        <v>1595000</v>
      </c>
      <c r="K582" s="272">
        <f>IFERROR(IF(BA582="WIP - 30 Days",VLOOKUP(D582,[3]Standard!$B$9:$E$101,4,FALSE),IF(BA582="31-120 Days",VLOOKUP(D582,[3]Standard!$B$9:$F$101,5,FALSE),IF(BA582="121-365 Days",VLOOKUP(D582,[3]Standard!$B$9:$G$101,6,FALSE),VLOOKUP(D582,[3]Standard!$B$9:$H$101,7,FALSE)))),0)</f>
        <v>1264994.5</v>
      </c>
      <c r="L582" s="272">
        <f>IFERROR(IF(BA582="WIP - 30 Days",VLOOKUP(D582,[3]Standard!$B$9:$J$101,9,FALSE),IF(BA582="31-120 Days",VLOOKUP(D582,[3]Standard!$B$9:$K$100,10,FALSE),IF(BA582="121-365 Days",VLOOKUP(D582,[3]Standard!$B$9:$L$101,11,FALSE),VLOOKUP(D582,[3]Standard!$B$9:$M$101,12,FALSE)))),0)</f>
        <v>1228150</v>
      </c>
      <c r="M582" s="269">
        <f>IFERROR(VLOOKUP((D582&amp;C582)&amp;"",'[2]Retail Price List'!$C$4:$F$102,4,FALSE),"")</f>
        <v>1625000</v>
      </c>
      <c r="N582" s="269">
        <f>IFERROR(IF(BA582="WIP - 30 Days",VLOOKUP(D582,[3]Extended!$B$9:$E$101,4,FALSE),IF(BA582="31-120 Days",VLOOKUP(D582,[3]Extended!$B$9:$F$101,5,FALSE),IF(BA582="121-365 Days",VLOOKUP(D582,[3]Extended!$B$9:$G$101,6,FALSE),VLOOKUP(D582,[3]Extended!$B$9:$H$101,7,FALSE)))),0)</f>
        <v>1339000</v>
      </c>
      <c r="O582" s="269">
        <f>IFERROR(IF(BA582="WIP - 30 Days",VLOOKUP(D582,[3]Extended!$B$9:$J$101,9,FALSE),IF(BA582="31-120 Days",VLOOKUP(D582,[3]Extended!$B$9:$K$101,10,FALSE),IF(BA582="121-365 Days",VLOOKUP(D582,[3]Extended!$B$9:$L$101,11,FALSE),VLOOKUP(D582,[3]Extended!$B$9:$M$101,12,FALSE)))),0)</f>
        <v>1300000</v>
      </c>
      <c r="P582" s="116">
        <f t="shared" si="46"/>
        <v>0.2</v>
      </c>
      <c r="Q582" s="110" t="e">
        <f>O582-#REF!</f>
        <v>#REF!</v>
      </c>
      <c r="W582" s="311"/>
      <c r="X582" s="311"/>
      <c r="Y582" s="311"/>
      <c r="Z582" s="311"/>
      <c r="AA582" s="311"/>
      <c r="AB582" s="311"/>
      <c r="AC582" s="311"/>
      <c r="AT582" s="88" t="str">
        <f t="shared" si="47"/>
        <v>KP0006372017Q314,7</v>
      </c>
      <c r="AU582" s="89" t="str">
        <f t="shared" si="48"/>
        <v>07-2017</v>
      </c>
      <c r="BA582" s="92" t="str">
        <f t="shared" si="49"/>
        <v>WIP - 30 Days</v>
      </c>
    </row>
    <row r="583" spans="2:53">
      <c r="B583" s="60">
        <f>[2]Trucks!A580</f>
        <v>47717</v>
      </c>
      <c r="C583" s="11" t="str">
        <f>[2]Trucks!B580</f>
        <v>TGS-27-4406X4BBS-L</v>
      </c>
      <c r="D583" s="19" t="str">
        <f>IFERROR(VLOOKUP(C583&amp;"",'[2]Retail Price List'!$A$3:$B$103,2,FALSE),"Special Order")</f>
        <v>KP000637</v>
      </c>
      <c r="E583" s="18" t="str">
        <f>[2]Trucks!J580</f>
        <v>CKD</v>
      </c>
      <c r="F583" s="12" t="str">
        <f>[2]Trucks!E580</f>
        <v>2018-02-28</v>
      </c>
      <c r="G583" s="56">
        <f>[2]Trucks!K580</f>
        <v>14.7</v>
      </c>
      <c r="H583" s="46">
        <f>[2]Trucks!I580</f>
        <v>42947</v>
      </c>
      <c r="I583" s="83" t="str">
        <f t="shared" si="45"/>
        <v>2017Q3</v>
      </c>
      <c r="J583" s="272">
        <f>IFERROR(VLOOKUP((D583&amp;C583)&amp;"",'[2]Retail Price List'!$C$4:$F$102,3,FALSE),"")</f>
        <v>1595000</v>
      </c>
      <c r="K583" s="272">
        <f>IFERROR(IF(BA583="WIP - 30 Days",VLOOKUP(D583,[3]Standard!$B$9:$E$101,4,FALSE),IF(BA583="31-120 Days",VLOOKUP(D583,[3]Standard!$B$9:$F$101,5,FALSE),IF(BA583="121-365 Days",VLOOKUP(D583,[3]Standard!$B$9:$G$101,6,FALSE),VLOOKUP(D583,[3]Standard!$B$9:$H$101,7,FALSE)))),0)</f>
        <v>1264994.5</v>
      </c>
      <c r="L583" s="272">
        <f>IFERROR(IF(BA583="WIP - 30 Days",VLOOKUP(D583,[3]Standard!$B$9:$J$101,9,FALSE),IF(BA583="31-120 Days",VLOOKUP(D583,[3]Standard!$B$9:$K$100,10,FALSE),IF(BA583="121-365 Days",VLOOKUP(D583,[3]Standard!$B$9:$L$101,11,FALSE),VLOOKUP(D583,[3]Standard!$B$9:$M$101,12,FALSE)))),0)</f>
        <v>1228150</v>
      </c>
      <c r="M583" s="269">
        <f>IFERROR(VLOOKUP((D583&amp;C583)&amp;"",'[2]Retail Price List'!$C$4:$F$102,4,FALSE),"")</f>
        <v>1625000</v>
      </c>
      <c r="N583" s="269">
        <f>IFERROR(IF(BA583="WIP - 30 Days",VLOOKUP(D583,[3]Extended!$B$9:$E$101,4,FALSE),IF(BA583="31-120 Days",VLOOKUP(D583,[3]Extended!$B$9:$F$101,5,FALSE),IF(BA583="121-365 Days",VLOOKUP(D583,[3]Extended!$B$9:$G$101,6,FALSE),VLOOKUP(D583,[3]Extended!$B$9:$H$101,7,FALSE)))),0)</f>
        <v>1339000</v>
      </c>
      <c r="O583" s="269">
        <f>IFERROR(IF(BA583="WIP - 30 Days",VLOOKUP(D583,[3]Extended!$B$9:$J$101,9,FALSE),IF(BA583="31-120 Days",VLOOKUP(D583,[3]Extended!$B$9:$K$101,10,FALSE),IF(BA583="121-365 Days",VLOOKUP(D583,[3]Extended!$B$9:$L$101,11,FALSE),VLOOKUP(D583,[3]Extended!$B$9:$M$101,12,FALSE)))),0)</f>
        <v>1300000</v>
      </c>
      <c r="P583" s="116">
        <f t="shared" si="46"/>
        <v>0.2</v>
      </c>
      <c r="Q583" s="110" t="e">
        <f>O583-#REF!</f>
        <v>#REF!</v>
      </c>
      <c r="W583" s="311"/>
      <c r="X583" s="311"/>
      <c r="Y583" s="311"/>
      <c r="Z583" s="311"/>
      <c r="AA583" s="311"/>
      <c r="AB583" s="311"/>
      <c r="AC583" s="311"/>
      <c r="AT583" s="88" t="str">
        <f t="shared" si="47"/>
        <v>KP0006372017Q314,7</v>
      </c>
      <c r="AU583" s="89" t="str">
        <f t="shared" si="48"/>
        <v>07-2017</v>
      </c>
      <c r="BA583" s="92" t="str">
        <f t="shared" si="49"/>
        <v>WIP - 30 Days</v>
      </c>
    </row>
    <row r="584" spans="2:53">
      <c r="B584" s="60">
        <f>[2]Trucks!A581</f>
        <v>47718</v>
      </c>
      <c r="C584" s="11" t="str">
        <f>[2]Trucks!B581</f>
        <v>TGS-27-4406X4BBS-L</v>
      </c>
      <c r="D584" s="19" t="str">
        <f>IFERROR(VLOOKUP(C584&amp;"",'[2]Retail Price List'!$A$3:$B$103,2,FALSE),"Special Order")</f>
        <v>KP000637</v>
      </c>
      <c r="E584" s="18" t="str">
        <f>[2]Trucks!J581</f>
        <v>CKD</v>
      </c>
      <c r="F584" s="12" t="str">
        <f>[2]Trucks!E581</f>
        <v>2018-02-28</v>
      </c>
      <c r="G584" s="56">
        <f>[2]Trucks!K581</f>
        <v>14.7</v>
      </c>
      <c r="H584" s="46">
        <f>[2]Trucks!I581</f>
        <v>42947</v>
      </c>
      <c r="I584" s="83" t="str">
        <f t="shared" si="45"/>
        <v>2017Q3</v>
      </c>
      <c r="J584" s="272">
        <f>IFERROR(VLOOKUP((D584&amp;C584)&amp;"",'[2]Retail Price List'!$C$4:$F$102,3,FALSE),"")</f>
        <v>1595000</v>
      </c>
      <c r="K584" s="272">
        <f>IFERROR(IF(BA584="WIP - 30 Days",VLOOKUP(D584,[3]Standard!$B$9:$E$101,4,FALSE),IF(BA584="31-120 Days",VLOOKUP(D584,[3]Standard!$B$9:$F$101,5,FALSE),IF(BA584="121-365 Days",VLOOKUP(D584,[3]Standard!$B$9:$G$101,6,FALSE),VLOOKUP(D584,[3]Standard!$B$9:$H$101,7,FALSE)))),0)</f>
        <v>1264994.5</v>
      </c>
      <c r="L584" s="272">
        <f>IFERROR(IF(BA584="WIP - 30 Days",VLOOKUP(D584,[3]Standard!$B$9:$J$101,9,FALSE),IF(BA584="31-120 Days",VLOOKUP(D584,[3]Standard!$B$9:$K$100,10,FALSE),IF(BA584="121-365 Days",VLOOKUP(D584,[3]Standard!$B$9:$L$101,11,FALSE),VLOOKUP(D584,[3]Standard!$B$9:$M$101,12,FALSE)))),0)</f>
        <v>1228150</v>
      </c>
      <c r="M584" s="269">
        <f>IFERROR(VLOOKUP((D584&amp;C584)&amp;"",'[2]Retail Price List'!$C$4:$F$102,4,FALSE),"")</f>
        <v>1625000</v>
      </c>
      <c r="N584" s="269">
        <f>IFERROR(IF(BA584="WIP - 30 Days",VLOOKUP(D584,[3]Extended!$B$9:$E$101,4,FALSE),IF(BA584="31-120 Days",VLOOKUP(D584,[3]Extended!$B$9:$F$101,5,FALSE),IF(BA584="121-365 Days",VLOOKUP(D584,[3]Extended!$B$9:$G$101,6,FALSE),VLOOKUP(D584,[3]Extended!$B$9:$H$101,7,FALSE)))),0)</f>
        <v>1339000</v>
      </c>
      <c r="O584" s="269">
        <f>IFERROR(IF(BA584="WIP - 30 Days",VLOOKUP(D584,[3]Extended!$B$9:$J$101,9,FALSE),IF(BA584="31-120 Days",VLOOKUP(D584,[3]Extended!$B$9:$K$101,10,FALSE),IF(BA584="121-365 Days",VLOOKUP(D584,[3]Extended!$B$9:$L$101,11,FALSE),VLOOKUP(D584,[3]Extended!$B$9:$M$101,12,FALSE)))),0)</f>
        <v>1300000</v>
      </c>
      <c r="P584" s="116">
        <f t="shared" si="46"/>
        <v>0.2</v>
      </c>
      <c r="Q584" s="110" t="e">
        <f>O584-#REF!</f>
        <v>#REF!</v>
      </c>
      <c r="W584" s="311"/>
      <c r="X584" s="311"/>
      <c r="Y584" s="311"/>
      <c r="Z584" s="311"/>
      <c r="AA584" s="311"/>
      <c r="AB584" s="311"/>
      <c r="AC584" s="311"/>
      <c r="AT584" s="88" t="str">
        <f t="shared" si="47"/>
        <v>KP0006372017Q314,7</v>
      </c>
      <c r="AU584" s="89" t="str">
        <f t="shared" si="48"/>
        <v>07-2017</v>
      </c>
      <c r="BA584" s="92" t="str">
        <f t="shared" si="49"/>
        <v>WIP - 30 Days</v>
      </c>
    </row>
    <row r="585" spans="2:53">
      <c r="B585" s="60">
        <f>[2]Trucks!A582</f>
        <v>47719</v>
      </c>
      <c r="C585" s="11" t="str">
        <f>[2]Trucks!B582</f>
        <v>TGS-27-4406X4BBS-L</v>
      </c>
      <c r="D585" s="19" t="str">
        <f>IFERROR(VLOOKUP(C585&amp;"",'[2]Retail Price List'!$A$3:$B$103,2,FALSE),"Special Order")</f>
        <v>KP000637</v>
      </c>
      <c r="E585" s="18" t="str">
        <f>[2]Trucks!J582</f>
        <v>CKD</v>
      </c>
      <c r="F585" s="12" t="str">
        <f>[2]Trucks!E582</f>
        <v>2018-03-5</v>
      </c>
      <c r="G585" s="56">
        <f>[2]Trucks!K582</f>
        <v>14.7</v>
      </c>
      <c r="H585" s="46">
        <f>[2]Trucks!I582</f>
        <v>42947</v>
      </c>
      <c r="I585" s="83" t="str">
        <f t="shared" si="45"/>
        <v>2017Q3</v>
      </c>
      <c r="J585" s="272">
        <f>IFERROR(VLOOKUP((D585&amp;C585)&amp;"",'[2]Retail Price List'!$C$4:$F$102,3,FALSE),"")</f>
        <v>1595000</v>
      </c>
      <c r="K585" s="272">
        <f>IFERROR(IF(BA585="WIP - 30 Days",VLOOKUP(D585,[3]Standard!$B$9:$E$101,4,FALSE),IF(BA585="31-120 Days",VLOOKUP(D585,[3]Standard!$B$9:$F$101,5,FALSE),IF(BA585="121-365 Days",VLOOKUP(D585,[3]Standard!$B$9:$G$101,6,FALSE),VLOOKUP(D585,[3]Standard!$B$9:$H$101,7,FALSE)))),0)</f>
        <v>1264994.5</v>
      </c>
      <c r="L585" s="272">
        <f>IFERROR(IF(BA585="WIP - 30 Days",VLOOKUP(D585,[3]Standard!$B$9:$J$101,9,FALSE),IF(BA585="31-120 Days",VLOOKUP(D585,[3]Standard!$B$9:$K$100,10,FALSE),IF(BA585="121-365 Days",VLOOKUP(D585,[3]Standard!$B$9:$L$101,11,FALSE),VLOOKUP(D585,[3]Standard!$B$9:$M$101,12,FALSE)))),0)</f>
        <v>1228150</v>
      </c>
      <c r="M585" s="269">
        <f>IFERROR(VLOOKUP((D585&amp;C585)&amp;"",'[2]Retail Price List'!$C$4:$F$102,4,FALSE),"")</f>
        <v>1625000</v>
      </c>
      <c r="N585" s="269">
        <f>IFERROR(IF(BA585="WIP - 30 Days",VLOOKUP(D585,[3]Extended!$B$9:$E$101,4,FALSE),IF(BA585="31-120 Days",VLOOKUP(D585,[3]Extended!$B$9:$F$101,5,FALSE),IF(BA585="121-365 Days",VLOOKUP(D585,[3]Extended!$B$9:$G$101,6,FALSE),VLOOKUP(D585,[3]Extended!$B$9:$H$101,7,FALSE)))),0)</f>
        <v>1339000</v>
      </c>
      <c r="O585" s="269">
        <f>IFERROR(IF(BA585="WIP - 30 Days",VLOOKUP(D585,[3]Extended!$B$9:$J$101,9,FALSE),IF(BA585="31-120 Days",VLOOKUP(D585,[3]Extended!$B$9:$K$101,10,FALSE),IF(BA585="121-365 Days",VLOOKUP(D585,[3]Extended!$B$9:$L$101,11,FALSE),VLOOKUP(D585,[3]Extended!$B$9:$M$101,12,FALSE)))),0)</f>
        <v>1300000</v>
      </c>
      <c r="P585" s="116">
        <f t="shared" si="46"/>
        <v>0.2</v>
      </c>
      <c r="Q585" s="110" t="e">
        <f>O585-#REF!</f>
        <v>#REF!</v>
      </c>
      <c r="W585" s="311"/>
      <c r="X585" s="311"/>
      <c r="Y585" s="311"/>
      <c r="Z585" s="311"/>
      <c r="AA585" s="311"/>
      <c r="AB585" s="311"/>
      <c r="AC585" s="311"/>
      <c r="AT585" s="88" t="str">
        <f t="shared" si="47"/>
        <v>KP0006372017Q314,7</v>
      </c>
      <c r="AU585" s="89" t="str">
        <f t="shared" si="48"/>
        <v>07-2017</v>
      </c>
      <c r="BA585" s="92" t="str">
        <f t="shared" si="49"/>
        <v>WIP - 30 Days</v>
      </c>
    </row>
    <row r="586" spans="2:53">
      <c r="B586" s="60">
        <f>[2]Trucks!A583</f>
        <v>47720</v>
      </c>
      <c r="C586" s="11" t="str">
        <f>[2]Trucks!B583</f>
        <v>TGS-27-4406X4BBS-L</v>
      </c>
      <c r="D586" s="19" t="str">
        <f>IFERROR(VLOOKUP(C586&amp;"",'[2]Retail Price List'!$A$3:$B$103,2,FALSE),"Special Order")</f>
        <v>KP000637</v>
      </c>
      <c r="E586" s="18" t="str">
        <f>[2]Trucks!J583</f>
        <v>CKD</v>
      </c>
      <c r="F586" s="12" t="str">
        <f>[2]Trucks!E583</f>
        <v>2018-03-5</v>
      </c>
      <c r="G586" s="56">
        <f>[2]Trucks!K583</f>
        <v>14.7</v>
      </c>
      <c r="H586" s="46">
        <f>[2]Trucks!I583</f>
        <v>42947</v>
      </c>
      <c r="I586" s="83" t="str">
        <f t="shared" si="45"/>
        <v>2017Q3</v>
      </c>
      <c r="J586" s="272">
        <f>IFERROR(VLOOKUP((D586&amp;C586)&amp;"",'[2]Retail Price List'!$C$4:$F$102,3,FALSE),"")</f>
        <v>1595000</v>
      </c>
      <c r="K586" s="272">
        <f>IFERROR(IF(BA586="WIP - 30 Days",VLOOKUP(D586,[3]Standard!$B$9:$E$101,4,FALSE),IF(BA586="31-120 Days",VLOOKUP(D586,[3]Standard!$B$9:$F$101,5,FALSE),IF(BA586="121-365 Days",VLOOKUP(D586,[3]Standard!$B$9:$G$101,6,FALSE),VLOOKUP(D586,[3]Standard!$B$9:$H$101,7,FALSE)))),0)</f>
        <v>1264994.5</v>
      </c>
      <c r="L586" s="272">
        <f>IFERROR(IF(BA586="WIP - 30 Days",VLOOKUP(D586,[3]Standard!$B$9:$J$101,9,FALSE),IF(BA586="31-120 Days",VLOOKUP(D586,[3]Standard!$B$9:$K$100,10,FALSE),IF(BA586="121-365 Days",VLOOKUP(D586,[3]Standard!$B$9:$L$101,11,FALSE),VLOOKUP(D586,[3]Standard!$B$9:$M$101,12,FALSE)))),0)</f>
        <v>1228150</v>
      </c>
      <c r="M586" s="269">
        <f>IFERROR(VLOOKUP((D586&amp;C586)&amp;"",'[2]Retail Price List'!$C$4:$F$102,4,FALSE),"")</f>
        <v>1625000</v>
      </c>
      <c r="N586" s="269">
        <f>IFERROR(IF(BA586="WIP - 30 Days",VLOOKUP(D586,[3]Extended!$B$9:$E$101,4,FALSE),IF(BA586="31-120 Days",VLOOKUP(D586,[3]Extended!$B$9:$F$101,5,FALSE),IF(BA586="121-365 Days",VLOOKUP(D586,[3]Extended!$B$9:$G$101,6,FALSE),VLOOKUP(D586,[3]Extended!$B$9:$H$101,7,FALSE)))),0)</f>
        <v>1339000</v>
      </c>
      <c r="O586" s="269">
        <f>IFERROR(IF(BA586="WIP - 30 Days",VLOOKUP(D586,[3]Extended!$B$9:$J$101,9,FALSE),IF(BA586="31-120 Days",VLOOKUP(D586,[3]Extended!$B$9:$K$101,10,FALSE),IF(BA586="121-365 Days",VLOOKUP(D586,[3]Extended!$B$9:$L$101,11,FALSE),VLOOKUP(D586,[3]Extended!$B$9:$M$101,12,FALSE)))),0)</f>
        <v>1300000</v>
      </c>
      <c r="P586" s="116">
        <f t="shared" si="46"/>
        <v>0.2</v>
      </c>
      <c r="Q586" s="110" t="e">
        <f>O586-#REF!</f>
        <v>#REF!</v>
      </c>
      <c r="W586" s="311"/>
      <c r="X586" s="311"/>
      <c r="Y586" s="311"/>
      <c r="Z586" s="311"/>
      <c r="AA586" s="311"/>
      <c r="AB586" s="311"/>
      <c r="AC586" s="311"/>
      <c r="AT586" s="88" t="str">
        <f t="shared" si="47"/>
        <v>KP0006372017Q314,7</v>
      </c>
      <c r="AU586" s="89" t="str">
        <f t="shared" si="48"/>
        <v>07-2017</v>
      </c>
      <c r="BA586" s="92" t="str">
        <f t="shared" si="49"/>
        <v>WIP - 30 Days</v>
      </c>
    </row>
    <row r="587" spans="2:53">
      <c r="B587" s="60">
        <f>[2]Trucks!A584</f>
        <v>47721</v>
      </c>
      <c r="C587" s="11" t="str">
        <f>[2]Trucks!B584</f>
        <v>TGS-27-4406X4BBS-L</v>
      </c>
      <c r="D587" s="19" t="str">
        <f>IFERROR(VLOOKUP(C587&amp;"",'[2]Retail Price List'!$A$3:$B$103,2,FALSE),"Special Order")</f>
        <v>KP000637</v>
      </c>
      <c r="E587" s="18" t="str">
        <f>[2]Trucks!J584</f>
        <v>CKD</v>
      </c>
      <c r="F587" s="12" t="str">
        <f>[2]Trucks!E584</f>
        <v>2018-03-5</v>
      </c>
      <c r="G587" s="56">
        <f>[2]Trucks!K584</f>
        <v>14.7</v>
      </c>
      <c r="H587" s="46">
        <f>[2]Trucks!I584</f>
        <v>42947</v>
      </c>
      <c r="I587" s="83" t="str">
        <f t="shared" si="45"/>
        <v>2017Q3</v>
      </c>
      <c r="J587" s="272">
        <f>IFERROR(VLOOKUP((D587&amp;C587)&amp;"",'[2]Retail Price List'!$C$4:$F$102,3,FALSE),"")</f>
        <v>1595000</v>
      </c>
      <c r="K587" s="272">
        <f>IFERROR(IF(BA587="WIP - 30 Days",VLOOKUP(D587,[3]Standard!$B$9:$E$101,4,FALSE),IF(BA587="31-120 Days",VLOOKUP(D587,[3]Standard!$B$9:$F$101,5,FALSE),IF(BA587="121-365 Days",VLOOKUP(D587,[3]Standard!$B$9:$G$101,6,FALSE),VLOOKUP(D587,[3]Standard!$B$9:$H$101,7,FALSE)))),0)</f>
        <v>1264994.5</v>
      </c>
      <c r="L587" s="272">
        <f>IFERROR(IF(BA587="WIP - 30 Days",VLOOKUP(D587,[3]Standard!$B$9:$J$101,9,FALSE),IF(BA587="31-120 Days",VLOOKUP(D587,[3]Standard!$B$9:$K$100,10,FALSE),IF(BA587="121-365 Days",VLOOKUP(D587,[3]Standard!$B$9:$L$101,11,FALSE),VLOOKUP(D587,[3]Standard!$B$9:$M$101,12,FALSE)))),0)</f>
        <v>1228150</v>
      </c>
      <c r="M587" s="269">
        <f>IFERROR(VLOOKUP((D587&amp;C587)&amp;"",'[2]Retail Price List'!$C$4:$F$102,4,FALSE),"")</f>
        <v>1625000</v>
      </c>
      <c r="N587" s="269">
        <f>IFERROR(IF(BA587="WIP - 30 Days",VLOOKUP(D587,[3]Extended!$B$9:$E$101,4,FALSE),IF(BA587="31-120 Days",VLOOKUP(D587,[3]Extended!$B$9:$F$101,5,FALSE),IF(BA587="121-365 Days",VLOOKUP(D587,[3]Extended!$B$9:$G$101,6,FALSE),VLOOKUP(D587,[3]Extended!$B$9:$H$101,7,FALSE)))),0)</f>
        <v>1339000</v>
      </c>
      <c r="O587" s="269">
        <f>IFERROR(IF(BA587="WIP - 30 Days",VLOOKUP(D587,[3]Extended!$B$9:$J$101,9,FALSE),IF(BA587="31-120 Days",VLOOKUP(D587,[3]Extended!$B$9:$K$101,10,FALSE),IF(BA587="121-365 Days",VLOOKUP(D587,[3]Extended!$B$9:$L$101,11,FALSE),VLOOKUP(D587,[3]Extended!$B$9:$M$101,12,FALSE)))),0)</f>
        <v>1300000</v>
      </c>
      <c r="P587" s="116">
        <f t="shared" si="46"/>
        <v>0.2</v>
      </c>
      <c r="Q587" s="110" t="e">
        <f>O587-#REF!</f>
        <v>#REF!</v>
      </c>
      <c r="W587" s="311"/>
      <c r="X587" s="311"/>
      <c r="Y587" s="311"/>
      <c r="Z587" s="311"/>
      <c r="AA587" s="311"/>
      <c r="AB587" s="311"/>
      <c r="AC587" s="311"/>
      <c r="AT587" s="88" t="str">
        <f t="shared" si="47"/>
        <v>KP0006372017Q314,7</v>
      </c>
      <c r="AU587" s="89" t="str">
        <f t="shared" si="48"/>
        <v>07-2017</v>
      </c>
      <c r="BA587" s="92" t="str">
        <f t="shared" si="49"/>
        <v>WIP - 30 Days</v>
      </c>
    </row>
    <row r="588" spans="2:53">
      <c r="B588" s="60">
        <f>[2]Trucks!A585</f>
        <v>47722</v>
      </c>
      <c r="C588" s="11" t="str">
        <f>[2]Trucks!B585</f>
        <v>TGS-27-4406X4BBS-L</v>
      </c>
      <c r="D588" s="19" t="str">
        <f>IFERROR(VLOOKUP(C588&amp;"",'[2]Retail Price List'!$A$3:$B$103,2,FALSE),"Special Order")</f>
        <v>KP000637</v>
      </c>
      <c r="E588" s="18" t="str">
        <f>[2]Trucks!J585</f>
        <v>CKD</v>
      </c>
      <c r="F588" s="12" t="str">
        <f>[2]Trucks!E585</f>
        <v>2018-03-5</v>
      </c>
      <c r="G588" s="56">
        <f>[2]Trucks!K585</f>
        <v>14.7</v>
      </c>
      <c r="H588" s="46">
        <f>[2]Trucks!I585</f>
        <v>42947</v>
      </c>
      <c r="I588" s="83" t="str">
        <f t="shared" si="45"/>
        <v>2017Q3</v>
      </c>
      <c r="J588" s="272">
        <f>IFERROR(VLOOKUP((D588&amp;C588)&amp;"",'[2]Retail Price List'!$C$4:$F$102,3,FALSE),"")</f>
        <v>1595000</v>
      </c>
      <c r="K588" s="272">
        <f>IFERROR(IF(BA588="WIP - 30 Days",VLOOKUP(D588,[3]Standard!$B$9:$E$101,4,FALSE),IF(BA588="31-120 Days",VLOOKUP(D588,[3]Standard!$B$9:$F$101,5,FALSE),IF(BA588="121-365 Days",VLOOKUP(D588,[3]Standard!$B$9:$G$101,6,FALSE),VLOOKUP(D588,[3]Standard!$B$9:$H$101,7,FALSE)))),0)</f>
        <v>1264994.5</v>
      </c>
      <c r="L588" s="272">
        <f>IFERROR(IF(BA588="WIP - 30 Days",VLOOKUP(D588,[3]Standard!$B$9:$J$101,9,FALSE),IF(BA588="31-120 Days",VLOOKUP(D588,[3]Standard!$B$9:$K$100,10,FALSE),IF(BA588="121-365 Days",VLOOKUP(D588,[3]Standard!$B$9:$L$101,11,FALSE),VLOOKUP(D588,[3]Standard!$B$9:$M$101,12,FALSE)))),0)</f>
        <v>1228150</v>
      </c>
      <c r="M588" s="269">
        <f>IFERROR(VLOOKUP((D588&amp;C588)&amp;"",'[2]Retail Price List'!$C$4:$F$102,4,FALSE),"")</f>
        <v>1625000</v>
      </c>
      <c r="N588" s="269">
        <f>IFERROR(IF(BA588="WIP - 30 Days",VLOOKUP(D588,[3]Extended!$B$9:$E$101,4,FALSE),IF(BA588="31-120 Days",VLOOKUP(D588,[3]Extended!$B$9:$F$101,5,FALSE),IF(BA588="121-365 Days",VLOOKUP(D588,[3]Extended!$B$9:$G$101,6,FALSE),VLOOKUP(D588,[3]Extended!$B$9:$H$101,7,FALSE)))),0)</f>
        <v>1339000</v>
      </c>
      <c r="O588" s="269">
        <f>IFERROR(IF(BA588="WIP - 30 Days",VLOOKUP(D588,[3]Extended!$B$9:$J$101,9,FALSE),IF(BA588="31-120 Days",VLOOKUP(D588,[3]Extended!$B$9:$K$101,10,FALSE),IF(BA588="121-365 Days",VLOOKUP(D588,[3]Extended!$B$9:$L$101,11,FALSE),VLOOKUP(D588,[3]Extended!$B$9:$M$101,12,FALSE)))),0)</f>
        <v>1300000</v>
      </c>
      <c r="P588" s="116">
        <f t="shared" si="46"/>
        <v>0.2</v>
      </c>
      <c r="Q588" s="110" t="e">
        <f>O588-#REF!</f>
        <v>#REF!</v>
      </c>
      <c r="W588" s="311"/>
      <c r="X588" s="311"/>
      <c r="Y588" s="311"/>
      <c r="Z588" s="311"/>
      <c r="AA588" s="311"/>
      <c r="AB588" s="311"/>
      <c r="AC588" s="311"/>
      <c r="AT588" s="88" t="str">
        <f t="shared" si="47"/>
        <v>KP0006372017Q314,7</v>
      </c>
      <c r="AU588" s="89" t="str">
        <f t="shared" si="48"/>
        <v>07-2017</v>
      </c>
      <c r="BA588" s="92" t="str">
        <f t="shared" si="49"/>
        <v>WIP - 30 Days</v>
      </c>
    </row>
    <row r="589" spans="2:53">
      <c r="B589" s="60" t="str">
        <f>[2]Trucks!A586</f>
        <v>76W-8123</v>
      </c>
      <c r="C589" s="11" t="str">
        <f>[2]Trucks!B586</f>
        <v>TGS-27-4406X4BBS-L</v>
      </c>
      <c r="D589" s="19" t="str">
        <f>IFERROR(VLOOKUP(C589&amp;"",'[2]Retail Price List'!$A$3:$B$103,2,FALSE),"Special Order")</f>
        <v>KP000637</v>
      </c>
      <c r="E589" s="18" t="str">
        <f>[2]Trucks!J586</f>
        <v>DEMO</v>
      </c>
      <c r="F589" s="12">
        <f>[2]Trucks!E586</f>
        <v>318</v>
      </c>
      <c r="G589" s="56">
        <f>[2]Trucks!K586</f>
        <v>15.2</v>
      </c>
      <c r="H589" s="46">
        <f>[2]Trucks!I586</f>
        <v>42384</v>
      </c>
      <c r="I589" s="83" t="str">
        <f t="shared" si="45"/>
        <v>2016Q1</v>
      </c>
      <c r="J589" s="272">
        <f>IFERROR(VLOOKUP((D589&amp;C589)&amp;"",'[2]Retail Price List'!$C$4:$F$102,3,FALSE),"")</f>
        <v>1595000</v>
      </c>
      <c r="K589" s="272">
        <f>IFERROR(IF(BA589="WIP - 30 Days",VLOOKUP(D589,[3]Standard!$B$9:$E$101,4,FALSE),IF(BA589="31-120 Days",VLOOKUP(D589,[3]Standard!$B$9:$F$101,5,FALSE),IF(BA589="121-365 Days",VLOOKUP(D589,[3]Standard!$B$9:$G$101,6,FALSE),VLOOKUP(D589,[3]Standard!$B$9:$H$101,7,FALSE)))),0)</f>
        <v>1215709</v>
      </c>
      <c r="L589" s="272">
        <f>IFERROR(IF(BA589="WIP - 30 Days",VLOOKUP(D589,[3]Standard!$B$9:$J$101,9,FALSE),IF(BA589="31-120 Days",VLOOKUP(D589,[3]Standard!$B$9:$K$100,10,FALSE),IF(BA589="121-365 Days",VLOOKUP(D589,[3]Standard!$B$9:$L$101,11,FALSE),VLOOKUP(D589,[3]Standard!$B$9:$M$101,12,FALSE)))),0)</f>
        <v>1180300</v>
      </c>
      <c r="M589" s="269">
        <f>IFERROR(VLOOKUP((D589&amp;C589)&amp;"",'[2]Retail Price List'!$C$4:$F$102,4,FALSE),"")</f>
        <v>1625000</v>
      </c>
      <c r="N589" s="269">
        <f>IFERROR(IF(BA589="WIP - 30 Days",VLOOKUP(D589,[3]Extended!$B$9:$E$101,4,FALSE),IF(BA589="31-120 Days",VLOOKUP(D589,[3]Extended!$B$9:$F$101,5,FALSE),IF(BA589="121-365 Days",VLOOKUP(D589,[3]Extended!$B$9:$G$101,6,FALSE),VLOOKUP(D589,[3]Extended!$B$9:$H$101,7,FALSE)))),0)</f>
        <v>1288787.5</v>
      </c>
      <c r="O589" s="269">
        <f>IFERROR(IF(BA589="WIP - 30 Days",VLOOKUP(D589,[3]Extended!$B$9:$J$101,9,FALSE),IF(BA589="31-120 Days",VLOOKUP(D589,[3]Extended!$B$9:$K$101,10,FALSE),IF(BA589="121-365 Days",VLOOKUP(D589,[3]Extended!$B$9:$L$101,11,FALSE),VLOOKUP(D589,[3]Extended!$B$9:$M$101,12,FALSE)))),0)</f>
        <v>1251250</v>
      </c>
      <c r="P589" s="116">
        <f t="shared" si="46"/>
        <v>0.23</v>
      </c>
      <c r="Q589" s="110" t="e">
        <f>O589-#REF!</f>
        <v>#REF!</v>
      </c>
      <c r="W589" s="311"/>
      <c r="X589" s="311"/>
      <c r="Y589" s="311"/>
      <c r="Z589" s="311"/>
      <c r="AA589" s="311"/>
      <c r="AB589" s="311"/>
      <c r="AC589" s="311"/>
      <c r="AT589" s="88" t="str">
        <f t="shared" si="47"/>
        <v>KP0006372016Q115,2</v>
      </c>
      <c r="AU589" s="89" t="str">
        <f t="shared" si="48"/>
        <v>01-2016</v>
      </c>
      <c r="BA589" s="92" t="str">
        <f t="shared" si="49"/>
        <v>121-365 Days</v>
      </c>
    </row>
    <row r="590" spans="2:53">
      <c r="B590" s="60" t="str">
        <f>[2]Trucks!A587</f>
        <v>76W-9146</v>
      </c>
      <c r="C590" s="11" t="str">
        <f>[2]Trucks!B587</f>
        <v>TGS-27-4406X4BBS-L</v>
      </c>
      <c r="D590" s="19" t="str">
        <f>IFERROR(VLOOKUP(C590&amp;"",'[2]Retail Price List'!$A$3:$B$103,2,FALSE),"Special Order")</f>
        <v>KP000637</v>
      </c>
      <c r="E590" s="18" t="str">
        <f>[2]Trucks!J587</f>
        <v>CKD</v>
      </c>
      <c r="F590" s="12" t="str">
        <f>[2]Trucks!E587</f>
        <v>2017-08-16</v>
      </c>
      <c r="G590" s="56">
        <f>[2]Trucks!K587</f>
        <v>15.4</v>
      </c>
      <c r="H590" s="46">
        <f>[2]Trucks!I587</f>
        <v>42804</v>
      </c>
      <c r="I590" s="83" t="str">
        <f t="shared" si="45"/>
        <v>2017Q1</v>
      </c>
      <c r="J590" s="272">
        <f>IFERROR(VLOOKUP((D590&amp;C590)&amp;"",'[2]Retail Price List'!$C$4:$F$102,3,FALSE),"")</f>
        <v>1595000</v>
      </c>
      <c r="K590" s="272">
        <f>IFERROR(IF(BA590="WIP - 30 Days",VLOOKUP(D590,[3]Standard!$B$9:$E$101,4,FALSE),IF(BA590="31-120 Days",VLOOKUP(D590,[3]Standard!$B$9:$F$101,5,FALSE),IF(BA590="121-365 Days",VLOOKUP(D590,[3]Standard!$B$9:$G$101,6,FALSE),VLOOKUP(D590,[3]Standard!$B$9:$H$101,7,FALSE)))),0)</f>
        <v>1264994.5</v>
      </c>
      <c r="L590" s="272">
        <f>IFERROR(IF(BA590="WIP - 30 Days",VLOOKUP(D590,[3]Standard!$B$9:$J$101,9,FALSE),IF(BA590="31-120 Days",VLOOKUP(D590,[3]Standard!$B$9:$K$100,10,FALSE),IF(BA590="121-365 Days",VLOOKUP(D590,[3]Standard!$B$9:$L$101,11,FALSE),VLOOKUP(D590,[3]Standard!$B$9:$M$101,12,FALSE)))),0)</f>
        <v>1228150</v>
      </c>
      <c r="M590" s="269">
        <f>IFERROR(VLOOKUP((D590&amp;C590)&amp;"",'[2]Retail Price List'!$C$4:$F$102,4,FALSE),"")</f>
        <v>1625000</v>
      </c>
      <c r="N590" s="269">
        <f>IFERROR(IF(BA590="WIP - 30 Days",VLOOKUP(D590,[3]Extended!$B$9:$E$101,4,FALSE),IF(BA590="31-120 Days",VLOOKUP(D590,[3]Extended!$B$9:$F$101,5,FALSE),IF(BA590="121-365 Days",VLOOKUP(D590,[3]Extended!$B$9:$G$101,6,FALSE),VLOOKUP(D590,[3]Extended!$B$9:$H$101,7,FALSE)))),0)</f>
        <v>1339000</v>
      </c>
      <c r="O590" s="269">
        <f>IFERROR(IF(BA590="WIP - 30 Days",VLOOKUP(D590,[3]Extended!$B$9:$J$101,9,FALSE),IF(BA590="31-120 Days",VLOOKUP(D590,[3]Extended!$B$9:$K$101,10,FALSE),IF(BA590="121-365 Days",VLOOKUP(D590,[3]Extended!$B$9:$L$101,11,FALSE),VLOOKUP(D590,[3]Extended!$B$9:$M$101,12,FALSE)))),0)</f>
        <v>1300000</v>
      </c>
      <c r="P590" s="116">
        <f t="shared" si="46"/>
        <v>0.2</v>
      </c>
      <c r="Q590" s="110" t="e">
        <f>O590-#REF!</f>
        <v>#REF!</v>
      </c>
      <c r="W590" s="311"/>
      <c r="X590" s="311"/>
      <c r="Y590" s="311"/>
      <c r="Z590" s="311"/>
      <c r="AA590" s="311"/>
      <c r="AB590" s="311"/>
      <c r="AC590" s="311"/>
      <c r="AT590" s="88" t="str">
        <f t="shared" si="47"/>
        <v>KP0006372017Q115,4</v>
      </c>
      <c r="AU590" s="89" t="str">
        <f t="shared" si="48"/>
        <v>03-2017</v>
      </c>
      <c r="BA590" s="92" t="str">
        <f t="shared" si="49"/>
        <v>WIP - 30 Days</v>
      </c>
    </row>
    <row r="591" spans="2:53">
      <c r="B591" s="60" t="str">
        <f>[2]Trucks!A588</f>
        <v>TBAKP637</v>
      </c>
      <c r="C591" s="11" t="str">
        <f>[2]Trucks!B588</f>
        <v>TGS-27-4406X4BBS-L</v>
      </c>
      <c r="D591" s="19" t="str">
        <f>IFERROR(VLOOKUP(C591&amp;"",'[2]Retail Price List'!$A$3:$B$103,2,FALSE),"Special Order")</f>
        <v>KP000637</v>
      </c>
      <c r="E591" s="18" t="str">
        <f>[2]Trucks!J588</f>
        <v>CKD</v>
      </c>
      <c r="F591" s="12" t="str">
        <f>[2]Trucks!E588</f>
        <v>2018-02-15</v>
      </c>
      <c r="G591" s="56">
        <f>[2]Trucks!K588</f>
        <v>14.7</v>
      </c>
      <c r="H591" s="46">
        <f>[2]Trucks!I588</f>
        <v>42921</v>
      </c>
      <c r="I591" s="83" t="str">
        <f t="shared" si="45"/>
        <v>2017Q3</v>
      </c>
      <c r="J591" s="272">
        <f>IFERROR(VLOOKUP((D591&amp;C591)&amp;"",'[2]Retail Price List'!$C$4:$F$102,3,FALSE),"")</f>
        <v>1595000</v>
      </c>
      <c r="K591" s="272">
        <f>IFERROR(IF(BA591="WIP - 30 Days",VLOOKUP(D591,[3]Standard!$B$9:$E$101,4,FALSE),IF(BA591="31-120 Days",VLOOKUP(D591,[3]Standard!$B$9:$F$101,5,FALSE),IF(BA591="121-365 Days",VLOOKUP(D591,[3]Standard!$B$9:$G$101,6,FALSE),VLOOKUP(D591,[3]Standard!$B$9:$H$101,7,FALSE)))),0)</f>
        <v>1264994.5</v>
      </c>
      <c r="L591" s="272">
        <f>IFERROR(IF(BA591="WIP - 30 Days",VLOOKUP(D591,[3]Standard!$B$9:$J$101,9,FALSE),IF(BA591="31-120 Days",VLOOKUP(D591,[3]Standard!$B$9:$K$100,10,FALSE),IF(BA591="121-365 Days",VLOOKUP(D591,[3]Standard!$B$9:$L$101,11,FALSE),VLOOKUP(D591,[3]Standard!$B$9:$M$101,12,FALSE)))),0)</f>
        <v>1228150</v>
      </c>
      <c r="M591" s="269">
        <f>IFERROR(VLOOKUP((D591&amp;C591)&amp;"",'[2]Retail Price List'!$C$4:$F$102,4,FALSE),"")</f>
        <v>1625000</v>
      </c>
      <c r="N591" s="269">
        <f>IFERROR(IF(BA591="WIP - 30 Days",VLOOKUP(D591,[3]Extended!$B$9:$E$101,4,FALSE),IF(BA591="31-120 Days",VLOOKUP(D591,[3]Extended!$B$9:$F$101,5,FALSE),IF(BA591="121-365 Days",VLOOKUP(D591,[3]Extended!$B$9:$G$101,6,FALSE),VLOOKUP(D591,[3]Extended!$B$9:$H$101,7,FALSE)))),0)</f>
        <v>1339000</v>
      </c>
      <c r="O591" s="269">
        <f>IFERROR(IF(BA591="WIP - 30 Days",VLOOKUP(D591,[3]Extended!$B$9:$J$101,9,FALSE),IF(BA591="31-120 Days",VLOOKUP(D591,[3]Extended!$B$9:$K$101,10,FALSE),IF(BA591="121-365 Days",VLOOKUP(D591,[3]Extended!$B$9:$L$101,11,FALSE),VLOOKUP(D591,[3]Extended!$B$9:$M$101,12,FALSE)))),0)</f>
        <v>1300000</v>
      </c>
      <c r="P591" s="116">
        <f t="shared" si="46"/>
        <v>0.2</v>
      </c>
      <c r="Q591" s="110" t="e">
        <f>O591-#REF!</f>
        <v>#REF!</v>
      </c>
      <c r="W591" s="311"/>
      <c r="X591" s="311"/>
      <c r="Y591" s="311"/>
      <c r="Z591" s="311"/>
      <c r="AA591" s="311"/>
      <c r="AB591" s="311"/>
      <c r="AC591" s="311"/>
      <c r="AT591" s="88" t="str">
        <f t="shared" si="47"/>
        <v>KP0006372017Q314,7</v>
      </c>
      <c r="AU591" s="89" t="str">
        <f t="shared" si="48"/>
        <v>07-2017</v>
      </c>
      <c r="BA591" s="92" t="str">
        <f t="shared" si="49"/>
        <v>WIP - 30 Days</v>
      </c>
    </row>
    <row r="592" spans="2:53">
      <c r="B592" s="60">
        <f>[2]Trucks!A589</f>
        <v>46678</v>
      </c>
      <c r="C592" s="11" t="str">
        <f>[2]Trucks!B589</f>
        <v>TGS-27-4406X4BBS-L-STEEL</v>
      </c>
      <c r="D592" s="19" t="str">
        <f>IFERROR(VLOOKUP(C592&amp;"",'[2]Retail Price List'!$A$3:$B$103,2,FALSE),"Special Order")</f>
        <v>KP000718</v>
      </c>
      <c r="E592" s="18" t="str">
        <f>[2]Trucks!J589</f>
        <v>CKD</v>
      </c>
      <c r="F592" s="12" t="str">
        <f>[2]Trucks!E589</f>
        <v>2017-10-17</v>
      </c>
      <c r="G592" s="56">
        <f>[2]Trucks!K589</f>
        <v>14.7</v>
      </c>
      <c r="H592" s="46">
        <f>[2]Trucks!I589</f>
        <v>42838</v>
      </c>
      <c r="I592" s="83" t="str">
        <f t="shared" si="45"/>
        <v>2017Q2</v>
      </c>
      <c r="J592" s="272">
        <f>IFERROR(VLOOKUP((D592&amp;C592)&amp;"",'[2]Retail Price List'!$C$4:$F$102,3,FALSE),"")</f>
        <v>1680000</v>
      </c>
      <c r="K592" s="272">
        <f>IFERROR(IF(BA592="WIP - 30 Days",VLOOKUP(D592,[3]Standard!$B$9:$E$101,4,FALSE),IF(BA592="31-120 Days",VLOOKUP(D592,[3]Standard!$B$9:$F$101,5,FALSE),IF(BA592="121-365 Days",VLOOKUP(D592,[3]Standard!$B$9:$G$101,6,FALSE),VLOOKUP(D592,[3]Standard!$B$9:$H$101,7,FALSE)))),0)</f>
        <v>1280496</v>
      </c>
      <c r="L592" s="272">
        <f>IFERROR(IF(BA592="WIP - 30 Days",VLOOKUP(D592,[3]Standard!$B$9:$J$101,9,FALSE),IF(BA592="31-120 Days",VLOOKUP(D592,[3]Standard!$B$9:$K$100,10,FALSE),IF(BA592="121-365 Days",VLOOKUP(D592,[3]Standard!$B$9:$L$101,11,FALSE),VLOOKUP(D592,[3]Standard!$B$9:$M$101,12,FALSE)))),0)</f>
        <v>1243200</v>
      </c>
      <c r="M592" s="269">
        <f>IFERROR(VLOOKUP((D592&amp;C592)&amp;"",'[2]Retail Price List'!$C$4:$F$102,4,FALSE),"")</f>
        <v>1715000</v>
      </c>
      <c r="N592" s="269">
        <f>IFERROR(IF(BA592="WIP - 30 Days",VLOOKUP(D592,[3]Extended!$B$9:$E$101,4,FALSE),IF(BA592="31-120 Days",VLOOKUP(D592,[3]Extended!$B$9:$F$101,5,FALSE),IF(BA592="121-365 Days",VLOOKUP(D592,[3]Extended!$B$9:$G$101,6,FALSE),VLOOKUP(D592,[3]Extended!$B$9:$H$101,7,FALSE)))),0)</f>
        <v>1324837.5</v>
      </c>
      <c r="O592" s="269">
        <f>IFERROR(IF(BA592="WIP - 30 Days",VLOOKUP(D592,[3]Extended!$B$9:$J$101,9,FALSE),IF(BA592="31-120 Days",VLOOKUP(D592,[3]Extended!$B$9:$K$101,10,FALSE),IF(BA592="121-365 Days",VLOOKUP(D592,[3]Extended!$B$9:$L$101,11,FALSE),VLOOKUP(D592,[3]Extended!$B$9:$M$101,12,FALSE)))),0)</f>
        <v>1286250</v>
      </c>
      <c r="P592" s="116">
        <f t="shared" si="46"/>
        <v>0.25</v>
      </c>
      <c r="Q592" s="110" t="e">
        <f>O592-#REF!</f>
        <v>#REF!</v>
      </c>
      <c r="W592" s="311"/>
      <c r="X592" s="311"/>
      <c r="Y592" s="311"/>
      <c r="Z592" s="311"/>
      <c r="AA592" s="311"/>
      <c r="AB592" s="311"/>
      <c r="AC592" s="311"/>
      <c r="AT592" s="88" t="str">
        <f t="shared" si="47"/>
        <v>KP0007182017Q214,7</v>
      </c>
      <c r="AU592" s="89" t="str">
        <f t="shared" si="48"/>
        <v>04-2017</v>
      </c>
      <c r="BA592" s="92" t="str">
        <f t="shared" si="49"/>
        <v>WIP - 30 Days</v>
      </c>
    </row>
    <row r="593" spans="2:53">
      <c r="B593" s="60">
        <f>[2]Trucks!A590</f>
        <v>46679</v>
      </c>
      <c r="C593" s="11" t="str">
        <f>[2]Trucks!B590</f>
        <v>TGS-27-4406X4BBS-L-STEEL</v>
      </c>
      <c r="D593" s="19" t="str">
        <f>IFERROR(VLOOKUP(C593&amp;"",'[2]Retail Price List'!$A$3:$B$103,2,FALSE),"Special Order")</f>
        <v>KP000718</v>
      </c>
      <c r="E593" s="18" t="str">
        <f>[2]Trucks!J590</f>
        <v>CKD</v>
      </c>
      <c r="F593" s="12" t="str">
        <f>[2]Trucks!E590</f>
        <v>2017-10-17</v>
      </c>
      <c r="G593" s="56">
        <f>[2]Trucks!K590</f>
        <v>14.7</v>
      </c>
      <c r="H593" s="46">
        <f>[2]Trucks!I590</f>
        <v>42838</v>
      </c>
      <c r="I593" s="83" t="str">
        <f t="shared" si="45"/>
        <v>2017Q2</v>
      </c>
      <c r="J593" s="272">
        <f>IFERROR(VLOOKUP((D593&amp;C593)&amp;"",'[2]Retail Price List'!$C$4:$F$102,3,FALSE),"")</f>
        <v>1680000</v>
      </c>
      <c r="K593" s="272">
        <f>IFERROR(IF(BA593="WIP - 30 Days",VLOOKUP(D593,[3]Standard!$B$9:$E$101,4,FALSE),IF(BA593="31-120 Days",VLOOKUP(D593,[3]Standard!$B$9:$F$101,5,FALSE),IF(BA593="121-365 Days",VLOOKUP(D593,[3]Standard!$B$9:$G$101,6,FALSE),VLOOKUP(D593,[3]Standard!$B$9:$H$101,7,FALSE)))),0)</f>
        <v>1280496</v>
      </c>
      <c r="L593" s="272">
        <f>IFERROR(IF(BA593="WIP - 30 Days",VLOOKUP(D593,[3]Standard!$B$9:$J$101,9,FALSE),IF(BA593="31-120 Days",VLOOKUP(D593,[3]Standard!$B$9:$K$100,10,FALSE),IF(BA593="121-365 Days",VLOOKUP(D593,[3]Standard!$B$9:$L$101,11,FALSE),VLOOKUP(D593,[3]Standard!$B$9:$M$101,12,FALSE)))),0)</f>
        <v>1243200</v>
      </c>
      <c r="M593" s="269">
        <f>IFERROR(VLOOKUP((D593&amp;C593)&amp;"",'[2]Retail Price List'!$C$4:$F$102,4,FALSE),"")</f>
        <v>1715000</v>
      </c>
      <c r="N593" s="269">
        <f>IFERROR(IF(BA593="WIP - 30 Days",VLOOKUP(D593,[3]Extended!$B$9:$E$101,4,FALSE),IF(BA593="31-120 Days",VLOOKUP(D593,[3]Extended!$B$9:$F$101,5,FALSE),IF(BA593="121-365 Days",VLOOKUP(D593,[3]Extended!$B$9:$G$101,6,FALSE),VLOOKUP(D593,[3]Extended!$B$9:$H$101,7,FALSE)))),0)</f>
        <v>1324837.5</v>
      </c>
      <c r="O593" s="269">
        <f>IFERROR(IF(BA593="WIP - 30 Days",VLOOKUP(D593,[3]Extended!$B$9:$J$101,9,FALSE),IF(BA593="31-120 Days",VLOOKUP(D593,[3]Extended!$B$9:$K$101,10,FALSE),IF(BA593="121-365 Days",VLOOKUP(D593,[3]Extended!$B$9:$L$101,11,FALSE),VLOOKUP(D593,[3]Extended!$B$9:$M$101,12,FALSE)))),0)</f>
        <v>1286250</v>
      </c>
      <c r="P593" s="116">
        <f t="shared" si="46"/>
        <v>0.25</v>
      </c>
      <c r="Q593" s="110" t="e">
        <f>O593-#REF!</f>
        <v>#REF!</v>
      </c>
      <c r="W593" s="311"/>
      <c r="X593" s="311"/>
      <c r="Y593" s="311"/>
      <c r="Z593" s="311"/>
      <c r="AA593" s="311"/>
      <c r="AB593" s="311"/>
      <c r="AC593" s="311"/>
      <c r="AT593" s="88" t="str">
        <f t="shared" si="47"/>
        <v>KP0007182017Q214,7</v>
      </c>
      <c r="AU593" s="89" t="str">
        <f t="shared" si="48"/>
        <v>04-2017</v>
      </c>
      <c r="BA593" s="92" t="str">
        <f t="shared" si="49"/>
        <v>WIP - 30 Days</v>
      </c>
    </row>
    <row r="594" spans="2:53">
      <c r="B594" s="60">
        <f>[2]Trucks!A591</f>
        <v>46680</v>
      </c>
      <c r="C594" s="11" t="str">
        <f>[2]Trucks!B591</f>
        <v>TGS-27-4406X4BBS-L-STEEL</v>
      </c>
      <c r="D594" s="19" t="str">
        <f>IFERROR(VLOOKUP(C594&amp;"",'[2]Retail Price List'!$A$3:$B$103,2,FALSE),"Special Order")</f>
        <v>KP000718</v>
      </c>
      <c r="E594" s="18" t="str">
        <f>[2]Trucks!J591</f>
        <v>CKD</v>
      </c>
      <c r="F594" s="12" t="str">
        <f>[2]Trucks!E591</f>
        <v>2017-10-17</v>
      </c>
      <c r="G594" s="56">
        <f>[2]Trucks!K591</f>
        <v>14.7</v>
      </c>
      <c r="H594" s="46">
        <f>[2]Trucks!I591</f>
        <v>42838</v>
      </c>
      <c r="I594" s="83" t="str">
        <f t="shared" si="45"/>
        <v>2017Q2</v>
      </c>
      <c r="J594" s="272">
        <f>IFERROR(VLOOKUP((D594&amp;C594)&amp;"",'[2]Retail Price List'!$C$4:$F$102,3,FALSE),"")</f>
        <v>1680000</v>
      </c>
      <c r="K594" s="272">
        <f>IFERROR(IF(BA594="WIP - 30 Days",VLOOKUP(D594,[3]Standard!$B$9:$E$101,4,FALSE),IF(BA594="31-120 Days",VLOOKUP(D594,[3]Standard!$B$9:$F$101,5,FALSE),IF(BA594="121-365 Days",VLOOKUP(D594,[3]Standard!$B$9:$G$101,6,FALSE),VLOOKUP(D594,[3]Standard!$B$9:$H$101,7,FALSE)))),0)</f>
        <v>1280496</v>
      </c>
      <c r="L594" s="272">
        <f>IFERROR(IF(BA594="WIP - 30 Days",VLOOKUP(D594,[3]Standard!$B$9:$J$101,9,FALSE),IF(BA594="31-120 Days",VLOOKUP(D594,[3]Standard!$B$9:$K$100,10,FALSE),IF(BA594="121-365 Days",VLOOKUP(D594,[3]Standard!$B$9:$L$101,11,FALSE),VLOOKUP(D594,[3]Standard!$B$9:$M$101,12,FALSE)))),0)</f>
        <v>1243200</v>
      </c>
      <c r="M594" s="269">
        <f>IFERROR(VLOOKUP((D594&amp;C594)&amp;"",'[2]Retail Price List'!$C$4:$F$102,4,FALSE),"")</f>
        <v>1715000</v>
      </c>
      <c r="N594" s="269">
        <f>IFERROR(IF(BA594="WIP - 30 Days",VLOOKUP(D594,[3]Extended!$B$9:$E$101,4,FALSE),IF(BA594="31-120 Days",VLOOKUP(D594,[3]Extended!$B$9:$F$101,5,FALSE),IF(BA594="121-365 Days",VLOOKUP(D594,[3]Extended!$B$9:$G$101,6,FALSE),VLOOKUP(D594,[3]Extended!$B$9:$H$101,7,FALSE)))),0)</f>
        <v>1324837.5</v>
      </c>
      <c r="O594" s="269">
        <f>IFERROR(IF(BA594="WIP - 30 Days",VLOOKUP(D594,[3]Extended!$B$9:$J$101,9,FALSE),IF(BA594="31-120 Days",VLOOKUP(D594,[3]Extended!$B$9:$K$101,10,FALSE),IF(BA594="121-365 Days",VLOOKUP(D594,[3]Extended!$B$9:$L$101,11,FALSE),VLOOKUP(D594,[3]Extended!$B$9:$M$101,12,FALSE)))),0)</f>
        <v>1286250</v>
      </c>
      <c r="P594" s="116">
        <f t="shared" si="46"/>
        <v>0.25</v>
      </c>
      <c r="Q594" s="110" t="e">
        <f>O594-#REF!</f>
        <v>#REF!</v>
      </c>
      <c r="W594" s="311"/>
      <c r="X594" s="311"/>
      <c r="Y594" s="311"/>
      <c r="Z594" s="311"/>
      <c r="AA594" s="311"/>
      <c r="AB594" s="311"/>
      <c r="AC594" s="311"/>
      <c r="AT594" s="88" t="str">
        <f t="shared" si="47"/>
        <v>KP0007182017Q214,7</v>
      </c>
      <c r="AU594" s="89" t="str">
        <f t="shared" si="48"/>
        <v>04-2017</v>
      </c>
      <c r="BA594" s="92" t="str">
        <f t="shared" si="49"/>
        <v>WIP - 30 Days</v>
      </c>
    </row>
    <row r="595" spans="2:53">
      <c r="B595" s="60">
        <f>[2]Trucks!A592</f>
        <v>46681</v>
      </c>
      <c r="C595" s="11" t="str">
        <f>[2]Trucks!B592</f>
        <v>TGS-27-4406X4BBS-L-STEEL</v>
      </c>
      <c r="D595" s="19" t="str">
        <f>IFERROR(VLOOKUP(C595&amp;"",'[2]Retail Price List'!$A$3:$B$103,2,FALSE),"Special Order")</f>
        <v>KP000718</v>
      </c>
      <c r="E595" s="18" t="str">
        <f>[2]Trucks!J592</f>
        <v>CKD</v>
      </c>
      <c r="F595" s="12" t="str">
        <f>[2]Trucks!E592</f>
        <v>2017-10-17</v>
      </c>
      <c r="G595" s="56">
        <f>[2]Trucks!K592</f>
        <v>14.7</v>
      </c>
      <c r="H595" s="46">
        <f>[2]Trucks!I592</f>
        <v>42838</v>
      </c>
      <c r="I595" s="83" t="str">
        <f t="shared" si="45"/>
        <v>2017Q2</v>
      </c>
      <c r="J595" s="272">
        <f>IFERROR(VLOOKUP((D595&amp;C595)&amp;"",'[2]Retail Price List'!$C$4:$F$102,3,FALSE),"")</f>
        <v>1680000</v>
      </c>
      <c r="K595" s="272">
        <f>IFERROR(IF(BA595="WIP - 30 Days",VLOOKUP(D595,[3]Standard!$B$9:$E$101,4,FALSE),IF(BA595="31-120 Days",VLOOKUP(D595,[3]Standard!$B$9:$F$101,5,FALSE),IF(BA595="121-365 Days",VLOOKUP(D595,[3]Standard!$B$9:$G$101,6,FALSE),VLOOKUP(D595,[3]Standard!$B$9:$H$101,7,FALSE)))),0)</f>
        <v>1280496</v>
      </c>
      <c r="L595" s="272">
        <f>IFERROR(IF(BA595="WIP - 30 Days",VLOOKUP(D595,[3]Standard!$B$9:$J$101,9,FALSE),IF(BA595="31-120 Days",VLOOKUP(D595,[3]Standard!$B$9:$K$100,10,FALSE),IF(BA595="121-365 Days",VLOOKUP(D595,[3]Standard!$B$9:$L$101,11,FALSE),VLOOKUP(D595,[3]Standard!$B$9:$M$101,12,FALSE)))),0)</f>
        <v>1243200</v>
      </c>
      <c r="M595" s="269">
        <f>IFERROR(VLOOKUP((D595&amp;C595)&amp;"",'[2]Retail Price List'!$C$4:$F$102,4,FALSE),"")</f>
        <v>1715000</v>
      </c>
      <c r="N595" s="269">
        <f>IFERROR(IF(BA595="WIP - 30 Days",VLOOKUP(D595,[3]Extended!$B$9:$E$101,4,FALSE),IF(BA595="31-120 Days",VLOOKUP(D595,[3]Extended!$B$9:$F$101,5,FALSE),IF(BA595="121-365 Days",VLOOKUP(D595,[3]Extended!$B$9:$G$101,6,FALSE),VLOOKUP(D595,[3]Extended!$B$9:$H$101,7,FALSE)))),0)</f>
        <v>1324837.5</v>
      </c>
      <c r="O595" s="269">
        <f>IFERROR(IF(BA595="WIP - 30 Days",VLOOKUP(D595,[3]Extended!$B$9:$J$101,9,FALSE),IF(BA595="31-120 Days",VLOOKUP(D595,[3]Extended!$B$9:$K$101,10,FALSE),IF(BA595="121-365 Days",VLOOKUP(D595,[3]Extended!$B$9:$L$101,11,FALSE),VLOOKUP(D595,[3]Extended!$B$9:$M$101,12,FALSE)))),0)</f>
        <v>1286250</v>
      </c>
      <c r="P595" s="116">
        <f t="shared" si="46"/>
        <v>0.25</v>
      </c>
      <c r="Q595" s="110" t="e">
        <f>O595-#REF!</f>
        <v>#REF!</v>
      </c>
      <c r="W595" s="311"/>
      <c r="X595" s="311"/>
      <c r="Y595" s="311"/>
      <c r="Z595" s="311"/>
      <c r="AA595" s="311"/>
      <c r="AB595" s="311"/>
      <c r="AC595" s="311"/>
      <c r="AT595" s="88" t="str">
        <f t="shared" si="47"/>
        <v>KP0007182017Q214,7</v>
      </c>
      <c r="AU595" s="89" t="str">
        <f t="shared" si="48"/>
        <v>04-2017</v>
      </c>
      <c r="BA595" s="92" t="str">
        <f t="shared" si="49"/>
        <v>WIP - 30 Days</v>
      </c>
    </row>
    <row r="596" spans="2:53">
      <c r="B596" s="60">
        <f>[2]Trucks!A593</f>
        <v>46682</v>
      </c>
      <c r="C596" s="11" t="str">
        <f>[2]Trucks!B593</f>
        <v>TGS-27-4406X4BBS-L-STEEL</v>
      </c>
      <c r="D596" s="19" t="str">
        <f>IFERROR(VLOOKUP(C596&amp;"",'[2]Retail Price List'!$A$3:$B$103,2,FALSE),"Special Order")</f>
        <v>KP000718</v>
      </c>
      <c r="E596" s="18" t="str">
        <f>[2]Trucks!J593</f>
        <v>CKD</v>
      </c>
      <c r="F596" s="12" t="str">
        <f>[2]Trucks!E593</f>
        <v>2017-10-17</v>
      </c>
      <c r="G596" s="56">
        <f>[2]Trucks!K593</f>
        <v>14.7</v>
      </c>
      <c r="H596" s="46">
        <f>[2]Trucks!I593</f>
        <v>42838</v>
      </c>
      <c r="I596" s="83" t="str">
        <f t="shared" si="45"/>
        <v>2017Q2</v>
      </c>
      <c r="J596" s="272">
        <f>IFERROR(VLOOKUP((D596&amp;C596)&amp;"",'[2]Retail Price List'!$C$4:$F$102,3,FALSE),"")</f>
        <v>1680000</v>
      </c>
      <c r="K596" s="272">
        <f>IFERROR(IF(BA596="WIP - 30 Days",VLOOKUP(D596,[3]Standard!$B$9:$E$101,4,FALSE),IF(BA596="31-120 Days",VLOOKUP(D596,[3]Standard!$B$9:$F$101,5,FALSE),IF(BA596="121-365 Days",VLOOKUP(D596,[3]Standard!$B$9:$G$101,6,FALSE),VLOOKUP(D596,[3]Standard!$B$9:$H$101,7,FALSE)))),0)</f>
        <v>1280496</v>
      </c>
      <c r="L596" s="272">
        <f>IFERROR(IF(BA596="WIP - 30 Days",VLOOKUP(D596,[3]Standard!$B$9:$J$101,9,FALSE),IF(BA596="31-120 Days",VLOOKUP(D596,[3]Standard!$B$9:$K$100,10,FALSE),IF(BA596="121-365 Days",VLOOKUP(D596,[3]Standard!$B$9:$L$101,11,FALSE),VLOOKUP(D596,[3]Standard!$B$9:$M$101,12,FALSE)))),0)</f>
        <v>1243200</v>
      </c>
      <c r="M596" s="269">
        <f>IFERROR(VLOOKUP((D596&amp;C596)&amp;"",'[2]Retail Price List'!$C$4:$F$102,4,FALSE),"")</f>
        <v>1715000</v>
      </c>
      <c r="N596" s="269">
        <f>IFERROR(IF(BA596="WIP - 30 Days",VLOOKUP(D596,[3]Extended!$B$9:$E$101,4,FALSE),IF(BA596="31-120 Days",VLOOKUP(D596,[3]Extended!$B$9:$F$101,5,FALSE),IF(BA596="121-365 Days",VLOOKUP(D596,[3]Extended!$B$9:$G$101,6,FALSE),VLOOKUP(D596,[3]Extended!$B$9:$H$101,7,FALSE)))),0)</f>
        <v>1324837.5</v>
      </c>
      <c r="O596" s="269">
        <f>IFERROR(IF(BA596="WIP - 30 Days",VLOOKUP(D596,[3]Extended!$B$9:$J$101,9,FALSE),IF(BA596="31-120 Days",VLOOKUP(D596,[3]Extended!$B$9:$K$101,10,FALSE),IF(BA596="121-365 Days",VLOOKUP(D596,[3]Extended!$B$9:$L$101,11,FALSE),VLOOKUP(D596,[3]Extended!$B$9:$M$101,12,FALSE)))),0)</f>
        <v>1286250</v>
      </c>
      <c r="P596" s="116">
        <f t="shared" si="46"/>
        <v>0.25</v>
      </c>
      <c r="Q596" s="110" t="e">
        <f>O596-#REF!</f>
        <v>#REF!</v>
      </c>
      <c r="W596" s="311"/>
      <c r="X596" s="311"/>
      <c r="Y596" s="311"/>
      <c r="Z596" s="311"/>
      <c r="AA596" s="311"/>
      <c r="AB596" s="311"/>
      <c r="AC596" s="311"/>
      <c r="AT596" s="88" t="str">
        <f t="shared" si="47"/>
        <v>KP0007182017Q214,7</v>
      </c>
      <c r="AU596" s="89" t="str">
        <f t="shared" si="48"/>
        <v>04-2017</v>
      </c>
      <c r="BA596" s="92" t="str">
        <f t="shared" si="49"/>
        <v>WIP - 30 Days</v>
      </c>
    </row>
    <row r="597" spans="2:53">
      <c r="B597" s="60">
        <f>[2]Trucks!A594</f>
        <v>46683</v>
      </c>
      <c r="C597" s="11" t="str">
        <f>[2]Trucks!B594</f>
        <v>TGS-27-4406X4BBS-L-STEEL</v>
      </c>
      <c r="D597" s="19" t="str">
        <f>IFERROR(VLOOKUP(C597&amp;"",'[2]Retail Price List'!$A$3:$B$103,2,FALSE),"Special Order")</f>
        <v>KP000718</v>
      </c>
      <c r="E597" s="18" t="str">
        <f>[2]Trucks!J594</f>
        <v>CKD</v>
      </c>
      <c r="F597" s="12" t="str">
        <f>[2]Trucks!E594</f>
        <v>2017-10-17</v>
      </c>
      <c r="G597" s="56">
        <f>[2]Trucks!K594</f>
        <v>14.7</v>
      </c>
      <c r="H597" s="46">
        <f>[2]Trucks!I594</f>
        <v>42838</v>
      </c>
      <c r="I597" s="83" t="str">
        <f t="shared" si="45"/>
        <v>2017Q2</v>
      </c>
      <c r="J597" s="272">
        <f>IFERROR(VLOOKUP((D597&amp;C597)&amp;"",'[2]Retail Price List'!$C$4:$F$102,3,FALSE),"")</f>
        <v>1680000</v>
      </c>
      <c r="K597" s="272">
        <f>IFERROR(IF(BA597="WIP - 30 Days",VLOOKUP(D597,[3]Standard!$B$9:$E$101,4,FALSE),IF(BA597="31-120 Days",VLOOKUP(D597,[3]Standard!$B$9:$F$101,5,FALSE),IF(BA597="121-365 Days",VLOOKUP(D597,[3]Standard!$B$9:$G$101,6,FALSE),VLOOKUP(D597,[3]Standard!$B$9:$H$101,7,FALSE)))),0)</f>
        <v>1280496</v>
      </c>
      <c r="L597" s="272">
        <f>IFERROR(IF(BA597="WIP - 30 Days",VLOOKUP(D597,[3]Standard!$B$9:$J$101,9,FALSE),IF(BA597="31-120 Days",VLOOKUP(D597,[3]Standard!$B$9:$K$100,10,FALSE),IF(BA597="121-365 Days",VLOOKUP(D597,[3]Standard!$B$9:$L$101,11,FALSE),VLOOKUP(D597,[3]Standard!$B$9:$M$101,12,FALSE)))),0)</f>
        <v>1243200</v>
      </c>
      <c r="M597" s="269">
        <f>IFERROR(VLOOKUP((D597&amp;C597)&amp;"",'[2]Retail Price List'!$C$4:$F$102,4,FALSE),"")</f>
        <v>1715000</v>
      </c>
      <c r="N597" s="269">
        <f>IFERROR(IF(BA597="WIP - 30 Days",VLOOKUP(D597,[3]Extended!$B$9:$E$101,4,FALSE),IF(BA597="31-120 Days",VLOOKUP(D597,[3]Extended!$B$9:$F$101,5,FALSE),IF(BA597="121-365 Days",VLOOKUP(D597,[3]Extended!$B$9:$G$101,6,FALSE),VLOOKUP(D597,[3]Extended!$B$9:$H$101,7,FALSE)))),0)</f>
        <v>1324837.5</v>
      </c>
      <c r="O597" s="269">
        <f>IFERROR(IF(BA597="WIP - 30 Days",VLOOKUP(D597,[3]Extended!$B$9:$J$101,9,FALSE),IF(BA597="31-120 Days",VLOOKUP(D597,[3]Extended!$B$9:$K$101,10,FALSE),IF(BA597="121-365 Days",VLOOKUP(D597,[3]Extended!$B$9:$L$101,11,FALSE),VLOOKUP(D597,[3]Extended!$B$9:$M$101,12,FALSE)))),0)</f>
        <v>1286250</v>
      </c>
      <c r="P597" s="116">
        <f t="shared" si="46"/>
        <v>0.25</v>
      </c>
      <c r="Q597" s="110" t="e">
        <f>O597-#REF!</f>
        <v>#REF!</v>
      </c>
      <c r="W597" s="311"/>
      <c r="X597" s="311"/>
      <c r="Y597" s="311"/>
      <c r="Z597" s="311"/>
      <c r="AA597" s="311"/>
      <c r="AB597" s="311"/>
      <c r="AC597" s="311"/>
      <c r="AT597" s="88" t="str">
        <f t="shared" si="47"/>
        <v>KP0007182017Q214,7</v>
      </c>
      <c r="AU597" s="89" t="str">
        <f t="shared" si="48"/>
        <v>04-2017</v>
      </c>
      <c r="BA597" s="92" t="str">
        <f t="shared" si="49"/>
        <v>WIP - 30 Days</v>
      </c>
    </row>
    <row r="598" spans="2:53">
      <c r="B598" s="60">
        <f>[2]Trucks!A595</f>
        <v>46684</v>
      </c>
      <c r="C598" s="11" t="str">
        <f>[2]Trucks!B595</f>
        <v>TGS-27-4406X4BBS-L-STEEL</v>
      </c>
      <c r="D598" s="19" t="str">
        <f>IFERROR(VLOOKUP(C598&amp;"",'[2]Retail Price List'!$A$3:$B$103,2,FALSE),"Special Order")</f>
        <v>KP000718</v>
      </c>
      <c r="E598" s="18" t="str">
        <f>[2]Trucks!J595</f>
        <v>CKD</v>
      </c>
      <c r="F598" s="12" t="str">
        <f>[2]Trucks!E595</f>
        <v>2017-10-17</v>
      </c>
      <c r="G598" s="56">
        <f>[2]Trucks!K595</f>
        <v>14.7</v>
      </c>
      <c r="H598" s="46">
        <f>[2]Trucks!I595</f>
        <v>42838</v>
      </c>
      <c r="I598" s="83" t="str">
        <f t="shared" si="45"/>
        <v>2017Q2</v>
      </c>
      <c r="J598" s="272">
        <f>IFERROR(VLOOKUP((D598&amp;C598)&amp;"",'[2]Retail Price List'!$C$4:$F$102,3,FALSE),"")</f>
        <v>1680000</v>
      </c>
      <c r="K598" s="272">
        <f>IFERROR(IF(BA598="WIP - 30 Days",VLOOKUP(D598,[3]Standard!$B$9:$E$101,4,FALSE),IF(BA598="31-120 Days",VLOOKUP(D598,[3]Standard!$B$9:$F$101,5,FALSE),IF(BA598="121-365 Days",VLOOKUP(D598,[3]Standard!$B$9:$G$101,6,FALSE),VLOOKUP(D598,[3]Standard!$B$9:$H$101,7,FALSE)))),0)</f>
        <v>1280496</v>
      </c>
      <c r="L598" s="272">
        <f>IFERROR(IF(BA598="WIP - 30 Days",VLOOKUP(D598,[3]Standard!$B$9:$J$101,9,FALSE),IF(BA598="31-120 Days",VLOOKUP(D598,[3]Standard!$B$9:$K$100,10,FALSE),IF(BA598="121-365 Days",VLOOKUP(D598,[3]Standard!$B$9:$L$101,11,FALSE),VLOOKUP(D598,[3]Standard!$B$9:$M$101,12,FALSE)))),0)</f>
        <v>1243200</v>
      </c>
      <c r="M598" s="269">
        <f>IFERROR(VLOOKUP((D598&amp;C598)&amp;"",'[2]Retail Price List'!$C$4:$F$102,4,FALSE),"")</f>
        <v>1715000</v>
      </c>
      <c r="N598" s="269">
        <f>IFERROR(IF(BA598="WIP - 30 Days",VLOOKUP(D598,[3]Extended!$B$9:$E$101,4,FALSE),IF(BA598="31-120 Days",VLOOKUP(D598,[3]Extended!$B$9:$F$101,5,FALSE),IF(BA598="121-365 Days",VLOOKUP(D598,[3]Extended!$B$9:$G$101,6,FALSE),VLOOKUP(D598,[3]Extended!$B$9:$H$101,7,FALSE)))),0)</f>
        <v>1324837.5</v>
      </c>
      <c r="O598" s="269">
        <f>IFERROR(IF(BA598="WIP - 30 Days",VLOOKUP(D598,[3]Extended!$B$9:$J$101,9,FALSE),IF(BA598="31-120 Days",VLOOKUP(D598,[3]Extended!$B$9:$K$101,10,FALSE),IF(BA598="121-365 Days",VLOOKUP(D598,[3]Extended!$B$9:$L$101,11,FALSE),VLOOKUP(D598,[3]Extended!$B$9:$M$101,12,FALSE)))),0)</f>
        <v>1286250</v>
      </c>
      <c r="P598" s="116">
        <f t="shared" si="46"/>
        <v>0.25</v>
      </c>
      <c r="Q598" s="110" t="e">
        <f>O598-#REF!</f>
        <v>#REF!</v>
      </c>
      <c r="W598" s="311"/>
      <c r="X598" s="311"/>
      <c r="Y598" s="311"/>
      <c r="Z598" s="311"/>
      <c r="AA598" s="311"/>
      <c r="AB598" s="311"/>
      <c r="AC598" s="311"/>
      <c r="AT598" s="88" t="str">
        <f t="shared" si="47"/>
        <v>KP0007182017Q214,7</v>
      </c>
      <c r="AU598" s="89" t="str">
        <f t="shared" si="48"/>
        <v>04-2017</v>
      </c>
      <c r="BA598" s="92" t="str">
        <f t="shared" si="49"/>
        <v>WIP - 30 Days</v>
      </c>
    </row>
    <row r="599" spans="2:53">
      <c r="B599" s="60">
        <f>[2]Trucks!A596</f>
        <v>46685</v>
      </c>
      <c r="C599" s="11" t="str">
        <f>[2]Trucks!B596</f>
        <v>TGS-27-4406X4BBS-L-STEEL</v>
      </c>
      <c r="D599" s="19" t="str">
        <f>IFERROR(VLOOKUP(C599&amp;"",'[2]Retail Price List'!$A$3:$B$103,2,FALSE),"Special Order")</f>
        <v>KP000718</v>
      </c>
      <c r="E599" s="18" t="str">
        <f>[2]Trucks!J596</f>
        <v>CKD</v>
      </c>
      <c r="F599" s="12" t="str">
        <f>[2]Trucks!E596</f>
        <v>2017-10-18</v>
      </c>
      <c r="G599" s="56">
        <f>[2]Trucks!K596</f>
        <v>14.7</v>
      </c>
      <c r="H599" s="46">
        <f>[2]Trucks!I596</f>
        <v>42838</v>
      </c>
      <c r="I599" s="83" t="str">
        <f t="shared" si="45"/>
        <v>2017Q2</v>
      </c>
      <c r="J599" s="272">
        <f>IFERROR(VLOOKUP((D599&amp;C599)&amp;"",'[2]Retail Price List'!$C$4:$F$102,3,FALSE),"")</f>
        <v>1680000</v>
      </c>
      <c r="K599" s="272">
        <f>IFERROR(IF(BA599="WIP - 30 Days",VLOOKUP(D599,[3]Standard!$B$9:$E$101,4,FALSE),IF(BA599="31-120 Days",VLOOKUP(D599,[3]Standard!$B$9:$F$101,5,FALSE),IF(BA599="121-365 Days",VLOOKUP(D599,[3]Standard!$B$9:$G$101,6,FALSE),VLOOKUP(D599,[3]Standard!$B$9:$H$101,7,FALSE)))),0)</f>
        <v>1280496</v>
      </c>
      <c r="L599" s="272">
        <f>IFERROR(IF(BA599="WIP - 30 Days",VLOOKUP(D599,[3]Standard!$B$9:$J$101,9,FALSE),IF(BA599="31-120 Days",VLOOKUP(D599,[3]Standard!$B$9:$K$100,10,FALSE),IF(BA599="121-365 Days",VLOOKUP(D599,[3]Standard!$B$9:$L$101,11,FALSE),VLOOKUP(D599,[3]Standard!$B$9:$M$101,12,FALSE)))),0)</f>
        <v>1243200</v>
      </c>
      <c r="M599" s="269">
        <f>IFERROR(VLOOKUP((D599&amp;C599)&amp;"",'[2]Retail Price List'!$C$4:$F$102,4,FALSE),"")</f>
        <v>1715000</v>
      </c>
      <c r="N599" s="269">
        <f>IFERROR(IF(BA599="WIP - 30 Days",VLOOKUP(D599,[3]Extended!$B$9:$E$101,4,FALSE),IF(BA599="31-120 Days",VLOOKUP(D599,[3]Extended!$B$9:$F$101,5,FALSE),IF(BA599="121-365 Days",VLOOKUP(D599,[3]Extended!$B$9:$G$101,6,FALSE),VLOOKUP(D599,[3]Extended!$B$9:$H$101,7,FALSE)))),0)</f>
        <v>1324837.5</v>
      </c>
      <c r="O599" s="269">
        <f>IFERROR(IF(BA599="WIP - 30 Days",VLOOKUP(D599,[3]Extended!$B$9:$J$101,9,FALSE),IF(BA599="31-120 Days",VLOOKUP(D599,[3]Extended!$B$9:$K$101,10,FALSE),IF(BA599="121-365 Days",VLOOKUP(D599,[3]Extended!$B$9:$L$101,11,FALSE),VLOOKUP(D599,[3]Extended!$B$9:$M$101,12,FALSE)))),0)</f>
        <v>1286250</v>
      </c>
      <c r="P599" s="116">
        <f t="shared" si="46"/>
        <v>0.25</v>
      </c>
      <c r="Q599" s="110" t="e">
        <f>O599-#REF!</f>
        <v>#REF!</v>
      </c>
      <c r="W599" s="311"/>
      <c r="X599" s="311"/>
      <c r="Y599" s="311"/>
      <c r="Z599" s="311"/>
      <c r="AA599" s="311"/>
      <c r="AB599" s="311"/>
      <c r="AC599" s="311"/>
      <c r="AT599" s="88" t="str">
        <f t="shared" si="47"/>
        <v>KP0007182017Q214,7</v>
      </c>
      <c r="AU599" s="89" t="str">
        <f t="shared" si="48"/>
        <v>04-2017</v>
      </c>
      <c r="BA599" s="92" t="str">
        <f t="shared" si="49"/>
        <v>WIP - 30 Days</v>
      </c>
    </row>
    <row r="600" spans="2:53">
      <c r="B600" s="60">
        <f>[2]Trucks!A597</f>
        <v>46686</v>
      </c>
      <c r="C600" s="11" t="str">
        <f>[2]Trucks!B597</f>
        <v>TGS-27-4406X4BBS-L-STEEL</v>
      </c>
      <c r="D600" s="19" t="str">
        <f>IFERROR(VLOOKUP(C600&amp;"",'[2]Retail Price List'!$A$3:$B$103,2,FALSE),"Special Order")</f>
        <v>KP000718</v>
      </c>
      <c r="E600" s="18" t="str">
        <f>[2]Trucks!J597</f>
        <v>CKD</v>
      </c>
      <c r="F600" s="12" t="str">
        <f>[2]Trucks!E597</f>
        <v>2017-10-20</v>
      </c>
      <c r="G600" s="56">
        <f>[2]Trucks!K597</f>
        <v>14.7</v>
      </c>
      <c r="H600" s="46">
        <f>[2]Trucks!I597</f>
        <v>42838</v>
      </c>
      <c r="I600" s="83" t="str">
        <f t="shared" si="45"/>
        <v>2017Q2</v>
      </c>
      <c r="J600" s="272">
        <f>IFERROR(VLOOKUP((D600&amp;C600)&amp;"",'[2]Retail Price List'!$C$4:$F$102,3,FALSE),"")</f>
        <v>1680000</v>
      </c>
      <c r="K600" s="272">
        <f>IFERROR(IF(BA600="WIP - 30 Days",VLOOKUP(D600,[3]Standard!$B$9:$E$101,4,FALSE),IF(BA600="31-120 Days",VLOOKUP(D600,[3]Standard!$B$9:$F$101,5,FALSE),IF(BA600="121-365 Days",VLOOKUP(D600,[3]Standard!$B$9:$G$101,6,FALSE),VLOOKUP(D600,[3]Standard!$B$9:$H$101,7,FALSE)))),0)</f>
        <v>1280496</v>
      </c>
      <c r="L600" s="272">
        <f>IFERROR(IF(BA600="WIP - 30 Days",VLOOKUP(D600,[3]Standard!$B$9:$J$101,9,FALSE),IF(BA600="31-120 Days",VLOOKUP(D600,[3]Standard!$B$9:$K$100,10,FALSE),IF(BA600="121-365 Days",VLOOKUP(D600,[3]Standard!$B$9:$L$101,11,FALSE),VLOOKUP(D600,[3]Standard!$B$9:$M$101,12,FALSE)))),0)</f>
        <v>1243200</v>
      </c>
      <c r="M600" s="269">
        <f>IFERROR(VLOOKUP((D600&amp;C600)&amp;"",'[2]Retail Price List'!$C$4:$F$102,4,FALSE),"")</f>
        <v>1715000</v>
      </c>
      <c r="N600" s="269">
        <f>IFERROR(IF(BA600="WIP - 30 Days",VLOOKUP(D600,[3]Extended!$B$9:$E$101,4,FALSE),IF(BA600="31-120 Days",VLOOKUP(D600,[3]Extended!$B$9:$F$101,5,FALSE),IF(BA600="121-365 Days",VLOOKUP(D600,[3]Extended!$B$9:$G$101,6,FALSE),VLOOKUP(D600,[3]Extended!$B$9:$H$101,7,FALSE)))),0)</f>
        <v>1324837.5</v>
      </c>
      <c r="O600" s="269">
        <f>IFERROR(IF(BA600="WIP - 30 Days",VLOOKUP(D600,[3]Extended!$B$9:$J$101,9,FALSE),IF(BA600="31-120 Days",VLOOKUP(D600,[3]Extended!$B$9:$K$101,10,FALSE),IF(BA600="121-365 Days",VLOOKUP(D600,[3]Extended!$B$9:$L$101,11,FALSE),VLOOKUP(D600,[3]Extended!$B$9:$M$101,12,FALSE)))),0)</f>
        <v>1286250</v>
      </c>
      <c r="P600" s="116">
        <f t="shared" si="46"/>
        <v>0.25</v>
      </c>
      <c r="Q600" s="110" t="e">
        <f>O600-#REF!</f>
        <v>#REF!</v>
      </c>
      <c r="W600" s="311"/>
      <c r="X600" s="311"/>
      <c r="Y600" s="311"/>
      <c r="Z600" s="311"/>
      <c r="AA600" s="311"/>
      <c r="AB600" s="311"/>
      <c r="AC600" s="311"/>
      <c r="AT600" s="88" t="str">
        <f t="shared" si="47"/>
        <v>KP0007182017Q214,7</v>
      </c>
      <c r="AU600" s="89" t="str">
        <f t="shared" si="48"/>
        <v>04-2017</v>
      </c>
      <c r="BA600" s="92" t="str">
        <f t="shared" si="49"/>
        <v>WIP - 30 Days</v>
      </c>
    </row>
    <row r="601" spans="2:53">
      <c r="B601" s="60">
        <f>[2]Trucks!A598</f>
        <v>46687</v>
      </c>
      <c r="C601" s="11" t="str">
        <f>[2]Trucks!B598</f>
        <v>TGS-27-4406X4BBS-L-STEEL</v>
      </c>
      <c r="D601" s="19" t="str">
        <f>IFERROR(VLOOKUP(C601&amp;"",'[2]Retail Price List'!$A$3:$B$103,2,FALSE),"Special Order")</f>
        <v>KP000718</v>
      </c>
      <c r="E601" s="18" t="str">
        <f>[2]Trucks!J598</f>
        <v>CKD</v>
      </c>
      <c r="F601" s="12" t="str">
        <f>[2]Trucks!E598</f>
        <v>2017-10-20</v>
      </c>
      <c r="G601" s="56">
        <f>[2]Trucks!K598</f>
        <v>14.7</v>
      </c>
      <c r="H601" s="46">
        <f>[2]Trucks!I598</f>
        <v>42838</v>
      </c>
      <c r="I601" s="83" t="str">
        <f t="shared" si="45"/>
        <v>2017Q2</v>
      </c>
      <c r="J601" s="272">
        <f>IFERROR(VLOOKUP((D601&amp;C601)&amp;"",'[2]Retail Price List'!$C$4:$F$102,3,FALSE),"")</f>
        <v>1680000</v>
      </c>
      <c r="K601" s="272">
        <f>IFERROR(IF(BA601="WIP - 30 Days",VLOOKUP(D601,[3]Standard!$B$9:$E$101,4,FALSE),IF(BA601="31-120 Days",VLOOKUP(D601,[3]Standard!$B$9:$F$101,5,FALSE),IF(BA601="121-365 Days",VLOOKUP(D601,[3]Standard!$B$9:$G$101,6,FALSE),VLOOKUP(D601,[3]Standard!$B$9:$H$101,7,FALSE)))),0)</f>
        <v>1280496</v>
      </c>
      <c r="L601" s="272">
        <f>IFERROR(IF(BA601="WIP - 30 Days",VLOOKUP(D601,[3]Standard!$B$9:$J$101,9,FALSE),IF(BA601="31-120 Days",VLOOKUP(D601,[3]Standard!$B$9:$K$100,10,FALSE),IF(BA601="121-365 Days",VLOOKUP(D601,[3]Standard!$B$9:$L$101,11,FALSE),VLOOKUP(D601,[3]Standard!$B$9:$M$101,12,FALSE)))),0)</f>
        <v>1243200</v>
      </c>
      <c r="M601" s="269">
        <f>IFERROR(VLOOKUP((D601&amp;C601)&amp;"",'[2]Retail Price List'!$C$4:$F$102,4,FALSE),"")</f>
        <v>1715000</v>
      </c>
      <c r="N601" s="269">
        <f>IFERROR(IF(BA601="WIP - 30 Days",VLOOKUP(D601,[3]Extended!$B$9:$E$101,4,FALSE),IF(BA601="31-120 Days",VLOOKUP(D601,[3]Extended!$B$9:$F$101,5,FALSE),IF(BA601="121-365 Days",VLOOKUP(D601,[3]Extended!$B$9:$G$101,6,FALSE),VLOOKUP(D601,[3]Extended!$B$9:$H$101,7,FALSE)))),0)</f>
        <v>1324837.5</v>
      </c>
      <c r="O601" s="269">
        <f>IFERROR(IF(BA601="WIP - 30 Days",VLOOKUP(D601,[3]Extended!$B$9:$J$101,9,FALSE),IF(BA601="31-120 Days",VLOOKUP(D601,[3]Extended!$B$9:$K$101,10,FALSE),IF(BA601="121-365 Days",VLOOKUP(D601,[3]Extended!$B$9:$L$101,11,FALSE),VLOOKUP(D601,[3]Extended!$B$9:$M$101,12,FALSE)))),0)</f>
        <v>1286250</v>
      </c>
      <c r="P601" s="116">
        <f t="shared" si="46"/>
        <v>0.25</v>
      </c>
      <c r="Q601" s="110" t="e">
        <f>O601-#REF!</f>
        <v>#REF!</v>
      </c>
      <c r="W601" s="311"/>
      <c r="X601" s="311"/>
      <c r="Y601" s="311"/>
      <c r="Z601" s="311"/>
      <c r="AA601" s="311"/>
      <c r="AB601" s="311"/>
      <c r="AC601" s="311"/>
      <c r="AT601" s="88" t="str">
        <f t="shared" si="47"/>
        <v>KP0007182017Q214,7</v>
      </c>
      <c r="AU601" s="89" t="str">
        <f t="shared" si="48"/>
        <v>04-2017</v>
      </c>
      <c r="BA601" s="92" t="str">
        <f t="shared" si="49"/>
        <v>WIP - 30 Days</v>
      </c>
    </row>
    <row r="602" spans="2:53">
      <c r="B602" s="60">
        <f>[2]Trucks!A599</f>
        <v>46688</v>
      </c>
      <c r="C602" s="11" t="str">
        <f>[2]Trucks!B599</f>
        <v>TGS-27-4406X4BBS-L-STEEL</v>
      </c>
      <c r="D602" s="19" t="str">
        <f>IFERROR(VLOOKUP(C602&amp;"",'[2]Retail Price List'!$A$3:$B$103,2,FALSE),"Special Order")</f>
        <v>KP000718</v>
      </c>
      <c r="E602" s="18" t="str">
        <f>[2]Trucks!J599</f>
        <v>CKD</v>
      </c>
      <c r="F602" s="12" t="str">
        <f>[2]Trucks!E599</f>
        <v>2017-10-20</v>
      </c>
      <c r="G602" s="56">
        <f>[2]Trucks!K599</f>
        <v>14.7</v>
      </c>
      <c r="H602" s="46">
        <f>[2]Trucks!I599</f>
        <v>42838</v>
      </c>
      <c r="I602" s="83" t="str">
        <f t="shared" si="45"/>
        <v>2017Q2</v>
      </c>
      <c r="J602" s="272">
        <f>IFERROR(VLOOKUP((D602&amp;C602)&amp;"",'[2]Retail Price List'!$C$4:$F$102,3,FALSE),"")</f>
        <v>1680000</v>
      </c>
      <c r="K602" s="272">
        <f>IFERROR(IF(BA602="WIP - 30 Days",VLOOKUP(D602,[3]Standard!$B$9:$E$101,4,FALSE),IF(BA602="31-120 Days",VLOOKUP(D602,[3]Standard!$B$9:$F$101,5,FALSE),IF(BA602="121-365 Days",VLOOKUP(D602,[3]Standard!$B$9:$G$101,6,FALSE),VLOOKUP(D602,[3]Standard!$B$9:$H$101,7,FALSE)))),0)</f>
        <v>1280496</v>
      </c>
      <c r="L602" s="272">
        <f>IFERROR(IF(BA602="WIP - 30 Days",VLOOKUP(D602,[3]Standard!$B$9:$J$101,9,FALSE),IF(BA602="31-120 Days",VLOOKUP(D602,[3]Standard!$B$9:$K$100,10,FALSE),IF(BA602="121-365 Days",VLOOKUP(D602,[3]Standard!$B$9:$L$101,11,FALSE),VLOOKUP(D602,[3]Standard!$B$9:$M$101,12,FALSE)))),0)</f>
        <v>1243200</v>
      </c>
      <c r="M602" s="269">
        <f>IFERROR(VLOOKUP((D602&amp;C602)&amp;"",'[2]Retail Price List'!$C$4:$F$102,4,FALSE),"")</f>
        <v>1715000</v>
      </c>
      <c r="N602" s="269">
        <f>IFERROR(IF(BA602="WIP - 30 Days",VLOOKUP(D602,[3]Extended!$B$9:$E$101,4,FALSE),IF(BA602="31-120 Days",VLOOKUP(D602,[3]Extended!$B$9:$F$101,5,FALSE),IF(BA602="121-365 Days",VLOOKUP(D602,[3]Extended!$B$9:$G$101,6,FALSE),VLOOKUP(D602,[3]Extended!$B$9:$H$101,7,FALSE)))),0)</f>
        <v>1324837.5</v>
      </c>
      <c r="O602" s="269">
        <f>IFERROR(IF(BA602="WIP - 30 Days",VLOOKUP(D602,[3]Extended!$B$9:$J$101,9,FALSE),IF(BA602="31-120 Days",VLOOKUP(D602,[3]Extended!$B$9:$K$101,10,FALSE),IF(BA602="121-365 Days",VLOOKUP(D602,[3]Extended!$B$9:$L$101,11,FALSE),VLOOKUP(D602,[3]Extended!$B$9:$M$101,12,FALSE)))),0)</f>
        <v>1286250</v>
      </c>
      <c r="P602" s="116">
        <f t="shared" si="46"/>
        <v>0.25</v>
      </c>
      <c r="Q602" s="110" t="e">
        <f>O602-#REF!</f>
        <v>#REF!</v>
      </c>
      <c r="W602" s="311"/>
      <c r="X602" s="311"/>
      <c r="Y602" s="311"/>
      <c r="Z602" s="311"/>
      <c r="AA602" s="311"/>
      <c r="AB602" s="311"/>
      <c r="AC602" s="311"/>
      <c r="AT602" s="88" t="str">
        <f t="shared" si="47"/>
        <v>KP0007182017Q214,7</v>
      </c>
      <c r="AU602" s="89" t="str">
        <f t="shared" si="48"/>
        <v>04-2017</v>
      </c>
      <c r="BA602" s="92" t="str">
        <f t="shared" si="49"/>
        <v>WIP - 30 Days</v>
      </c>
    </row>
    <row r="603" spans="2:53">
      <c r="B603" s="60">
        <f>[2]Trucks!A600</f>
        <v>46689</v>
      </c>
      <c r="C603" s="11" t="str">
        <f>[2]Trucks!B600</f>
        <v>TGS-27-4406X4BBS-L-STEEL</v>
      </c>
      <c r="D603" s="19" t="str">
        <f>IFERROR(VLOOKUP(C603&amp;"",'[2]Retail Price List'!$A$3:$B$103,2,FALSE),"Special Order")</f>
        <v>KP000718</v>
      </c>
      <c r="E603" s="18" t="str">
        <f>[2]Trucks!J600</f>
        <v>CKD</v>
      </c>
      <c r="F603" s="12" t="str">
        <f>[2]Trucks!E600</f>
        <v>2017-10-23</v>
      </c>
      <c r="G603" s="56">
        <f>[2]Trucks!K600</f>
        <v>14.7</v>
      </c>
      <c r="H603" s="46">
        <f>[2]Trucks!I600</f>
        <v>42838</v>
      </c>
      <c r="I603" s="83" t="str">
        <f t="shared" si="45"/>
        <v>2017Q2</v>
      </c>
      <c r="J603" s="272">
        <f>IFERROR(VLOOKUP((D603&amp;C603)&amp;"",'[2]Retail Price List'!$C$4:$F$102,3,FALSE),"")</f>
        <v>1680000</v>
      </c>
      <c r="K603" s="272">
        <f>IFERROR(IF(BA603="WIP - 30 Days",VLOOKUP(D603,[3]Standard!$B$9:$E$101,4,FALSE),IF(BA603="31-120 Days",VLOOKUP(D603,[3]Standard!$B$9:$F$101,5,FALSE),IF(BA603="121-365 Days",VLOOKUP(D603,[3]Standard!$B$9:$G$101,6,FALSE),VLOOKUP(D603,[3]Standard!$B$9:$H$101,7,FALSE)))),0)</f>
        <v>1280496</v>
      </c>
      <c r="L603" s="272">
        <f>IFERROR(IF(BA603="WIP - 30 Days",VLOOKUP(D603,[3]Standard!$B$9:$J$101,9,FALSE),IF(BA603="31-120 Days",VLOOKUP(D603,[3]Standard!$B$9:$K$100,10,FALSE),IF(BA603="121-365 Days",VLOOKUP(D603,[3]Standard!$B$9:$L$101,11,FALSE),VLOOKUP(D603,[3]Standard!$B$9:$M$101,12,FALSE)))),0)</f>
        <v>1243200</v>
      </c>
      <c r="M603" s="269">
        <f>IFERROR(VLOOKUP((D603&amp;C603)&amp;"",'[2]Retail Price List'!$C$4:$F$102,4,FALSE),"")</f>
        <v>1715000</v>
      </c>
      <c r="N603" s="269">
        <f>IFERROR(IF(BA603="WIP - 30 Days",VLOOKUP(D603,[3]Extended!$B$9:$E$101,4,FALSE),IF(BA603="31-120 Days",VLOOKUP(D603,[3]Extended!$B$9:$F$101,5,FALSE),IF(BA603="121-365 Days",VLOOKUP(D603,[3]Extended!$B$9:$G$101,6,FALSE),VLOOKUP(D603,[3]Extended!$B$9:$H$101,7,FALSE)))),0)</f>
        <v>1324837.5</v>
      </c>
      <c r="O603" s="269">
        <f>IFERROR(IF(BA603="WIP - 30 Days",VLOOKUP(D603,[3]Extended!$B$9:$J$101,9,FALSE),IF(BA603="31-120 Days",VLOOKUP(D603,[3]Extended!$B$9:$K$101,10,FALSE),IF(BA603="121-365 Days",VLOOKUP(D603,[3]Extended!$B$9:$L$101,11,FALSE),VLOOKUP(D603,[3]Extended!$B$9:$M$101,12,FALSE)))),0)</f>
        <v>1286250</v>
      </c>
      <c r="P603" s="116">
        <f t="shared" si="46"/>
        <v>0.25</v>
      </c>
      <c r="Q603" s="110" t="e">
        <f>O603-#REF!</f>
        <v>#REF!</v>
      </c>
      <c r="W603" s="311"/>
      <c r="X603" s="311"/>
      <c r="Y603" s="311"/>
      <c r="Z603" s="311"/>
      <c r="AA603" s="311"/>
      <c r="AB603" s="311"/>
      <c r="AC603" s="311"/>
      <c r="AT603" s="88" t="str">
        <f t="shared" si="47"/>
        <v>KP0007182017Q214,7</v>
      </c>
      <c r="AU603" s="89" t="str">
        <f t="shared" si="48"/>
        <v>04-2017</v>
      </c>
      <c r="BA603" s="92" t="str">
        <f t="shared" si="49"/>
        <v>WIP - 30 Days</v>
      </c>
    </row>
    <row r="604" spans="2:53">
      <c r="B604" s="60">
        <f>[2]Trucks!A601</f>
        <v>46690</v>
      </c>
      <c r="C604" s="11" t="str">
        <f>[2]Trucks!B601</f>
        <v>TGS-27-4406X4BBS-L-STEEL</v>
      </c>
      <c r="D604" s="19" t="str">
        <f>IFERROR(VLOOKUP(C604&amp;"",'[2]Retail Price List'!$A$3:$B$103,2,FALSE),"Special Order")</f>
        <v>KP000718</v>
      </c>
      <c r="E604" s="18" t="str">
        <f>[2]Trucks!J601</f>
        <v>CKD</v>
      </c>
      <c r="F604" s="12" t="str">
        <f>[2]Trucks!E601</f>
        <v>2017-10-23</v>
      </c>
      <c r="G604" s="56">
        <f>[2]Trucks!K601</f>
        <v>14.7</v>
      </c>
      <c r="H604" s="46">
        <f>[2]Trucks!I601</f>
        <v>42838</v>
      </c>
      <c r="I604" s="83" t="str">
        <f t="shared" si="45"/>
        <v>2017Q2</v>
      </c>
      <c r="J604" s="272">
        <f>IFERROR(VLOOKUP((D604&amp;C604)&amp;"",'[2]Retail Price List'!$C$4:$F$102,3,FALSE),"")</f>
        <v>1680000</v>
      </c>
      <c r="K604" s="272">
        <f>IFERROR(IF(BA604="WIP - 30 Days",VLOOKUP(D604,[3]Standard!$B$9:$E$101,4,FALSE),IF(BA604="31-120 Days",VLOOKUP(D604,[3]Standard!$B$9:$F$101,5,FALSE),IF(BA604="121-365 Days",VLOOKUP(D604,[3]Standard!$B$9:$G$101,6,FALSE),VLOOKUP(D604,[3]Standard!$B$9:$H$101,7,FALSE)))),0)</f>
        <v>1280496</v>
      </c>
      <c r="L604" s="272">
        <f>IFERROR(IF(BA604="WIP - 30 Days",VLOOKUP(D604,[3]Standard!$B$9:$J$101,9,FALSE),IF(BA604="31-120 Days",VLOOKUP(D604,[3]Standard!$B$9:$K$100,10,FALSE),IF(BA604="121-365 Days",VLOOKUP(D604,[3]Standard!$B$9:$L$101,11,FALSE),VLOOKUP(D604,[3]Standard!$B$9:$M$101,12,FALSE)))),0)</f>
        <v>1243200</v>
      </c>
      <c r="M604" s="269">
        <f>IFERROR(VLOOKUP((D604&amp;C604)&amp;"",'[2]Retail Price List'!$C$4:$F$102,4,FALSE),"")</f>
        <v>1715000</v>
      </c>
      <c r="N604" s="269">
        <f>IFERROR(IF(BA604="WIP - 30 Days",VLOOKUP(D604,[3]Extended!$B$9:$E$101,4,FALSE),IF(BA604="31-120 Days",VLOOKUP(D604,[3]Extended!$B$9:$F$101,5,FALSE),IF(BA604="121-365 Days",VLOOKUP(D604,[3]Extended!$B$9:$G$101,6,FALSE),VLOOKUP(D604,[3]Extended!$B$9:$H$101,7,FALSE)))),0)</f>
        <v>1324837.5</v>
      </c>
      <c r="O604" s="269">
        <f>IFERROR(IF(BA604="WIP - 30 Days",VLOOKUP(D604,[3]Extended!$B$9:$J$101,9,FALSE),IF(BA604="31-120 Days",VLOOKUP(D604,[3]Extended!$B$9:$K$101,10,FALSE),IF(BA604="121-365 Days",VLOOKUP(D604,[3]Extended!$B$9:$L$101,11,FALSE),VLOOKUP(D604,[3]Extended!$B$9:$M$101,12,FALSE)))),0)</f>
        <v>1286250</v>
      </c>
      <c r="P604" s="116">
        <f t="shared" si="46"/>
        <v>0.25</v>
      </c>
      <c r="Q604" s="110" t="e">
        <f>O604-#REF!</f>
        <v>#REF!</v>
      </c>
      <c r="W604" s="311"/>
      <c r="X604" s="311"/>
      <c r="Y604" s="311"/>
      <c r="Z604" s="311"/>
      <c r="AA604" s="311"/>
      <c r="AB604" s="311"/>
      <c r="AC604" s="311"/>
      <c r="AT604" s="88" t="str">
        <f t="shared" si="47"/>
        <v>KP0007182017Q214,7</v>
      </c>
      <c r="AU604" s="89" t="str">
        <f t="shared" si="48"/>
        <v>04-2017</v>
      </c>
      <c r="BA604" s="92" t="str">
        <f t="shared" si="49"/>
        <v>WIP - 30 Days</v>
      </c>
    </row>
    <row r="605" spans="2:53">
      <c r="B605" s="60">
        <f>[2]Trucks!A602</f>
        <v>46691</v>
      </c>
      <c r="C605" s="11" t="str">
        <f>[2]Trucks!B602</f>
        <v>TGS-27-4406X4BBS-L-STEEL</v>
      </c>
      <c r="D605" s="19" t="str">
        <f>IFERROR(VLOOKUP(C605&amp;"",'[2]Retail Price List'!$A$3:$B$103,2,FALSE),"Special Order")</f>
        <v>KP000718</v>
      </c>
      <c r="E605" s="18" t="str">
        <f>[2]Trucks!J602</f>
        <v>CKD</v>
      </c>
      <c r="F605" s="12" t="str">
        <f>[2]Trucks!E602</f>
        <v>2017-10-23</v>
      </c>
      <c r="G605" s="56">
        <f>[2]Trucks!K602</f>
        <v>14.7</v>
      </c>
      <c r="H605" s="46">
        <f>[2]Trucks!I602</f>
        <v>42838</v>
      </c>
      <c r="I605" s="83" t="str">
        <f t="shared" si="45"/>
        <v>2017Q2</v>
      </c>
      <c r="J605" s="272">
        <f>IFERROR(VLOOKUP((D605&amp;C605)&amp;"",'[2]Retail Price List'!$C$4:$F$102,3,FALSE),"")</f>
        <v>1680000</v>
      </c>
      <c r="K605" s="272">
        <f>IFERROR(IF(BA605="WIP - 30 Days",VLOOKUP(D605,[3]Standard!$B$9:$E$101,4,FALSE),IF(BA605="31-120 Days",VLOOKUP(D605,[3]Standard!$B$9:$F$101,5,FALSE),IF(BA605="121-365 Days",VLOOKUP(D605,[3]Standard!$B$9:$G$101,6,FALSE),VLOOKUP(D605,[3]Standard!$B$9:$H$101,7,FALSE)))),0)</f>
        <v>1280496</v>
      </c>
      <c r="L605" s="272">
        <f>IFERROR(IF(BA605="WIP - 30 Days",VLOOKUP(D605,[3]Standard!$B$9:$J$101,9,FALSE),IF(BA605="31-120 Days",VLOOKUP(D605,[3]Standard!$B$9:$K$100,10,FALSE),IF(BA605="121-365 Days",VLOOKUP(D605,[3]Standard!$B$9:$L$101,11,FALSE),VLOOKUP(D605,[3]Standard!$B$9:$M$101,12,FALSE)))),0)</f>
        <v>1243200</v>
      </c>
      <c r="M605" s="269">
        <f>IFERROR(VLOOKUP((D605&amp;C605)&amp;"",'[2]Retail Price List'!$C$4:$F$102,4,FALSE),"")</f>
        <v>1715000</v>
      </c>
      <c r="N605" s="269">
        <f>IFERROR(IF(BA605="WIP - 30 Days",VLOOKUP(D605,[3]Extended!$B$9:$E$101,4,FALSE),IF(BA605="31-120 Days",VLOOKUP(D605,[3]Extended!$B$9:$F$101,5,FALSE),IF(BA605="121-365 Days",VLOOKUP(D605,[3]Extended!$B$9:$G$101,6,FALSE),VLOOKUP(D605,[3]Extended!$B$9:$H$101,7,FALSE)))),0)</f>
        <v>1324837.5</v>
      </c>
      <c r="O605" s="269">
        <f>IFERROR(IF(BA605="WIP - 30 Days",VLOOKUP(D605,[3]Extended!$B$9:$J$101,9,FALSE),IF(BA605="31-120 Days",VLOOKUP(D605,[3]Extended!$B$9:$K$101,10,FALSE),IF(BA605="121-365 Days",VLOOKUP(D605,[3]Extended!$B$9:$L$101,11,FALSE),VLOOKUP(D605,[3]Extended!$B$9:$M$101,12,FALSE)))),0)</f>
        <v>1286250</v>
      </c>
      <c r="P605" s="116">
        <f t="shared" si="46"/>
        <v>0.25</v>
      </c>
      <c r="Q605" s="110" t="e">
        <f>O605-#REF!</f>
        <v>#REF!</v>
      </c>
      <c r="W605" s="311"/>
      <c r="X605" s="311"/>
      <c r="Y605" s="311"/>
      <c r="Z605" s="311"/>
      <c r="AA605" s="311"/>
      <c r="AB605" s="311"/>
      <c r="AC605" s="311"/>
      <c r="AT605" s="88" t="str">
        <f t="shared" si="47"/>
        <v>KP0007182017Q214,7</v>
      </c>
      <c r="AU605" s="89" t="str">
        <f t="shared" si="48"/>
        <v>04-2017</v>
      </c>
      <c r="BA605" s="92" t="str">
        <f t="shared" si="49"/>
        <v>WIP - 30 Days</v>
      </c>
    </row>
    <row r="606" spans="2:53">
      <c r="B606" s="60">
        <f>[2]Trucks!A603</f>
        <v>46692</v>
      </c>
      <c r="C606" s="11" t="str">
        <f>[2]Trucks!B603</f>
        <v>TGS-27-4406X4BBS-L-STEEL</v>
      </c>
      <c r="D606" s="19" t="str">
        <f>IFERROR(VLOOKUP(C606&amp;"",'[2]Retail Price List'!$A$3:$B$103,2,FALSE),"Special Order")</f>
        <v>KP000718</v>
      </c>
      <c r="E606" s="18" t="str">
        <f>[2]Trucks!J603</f>
        <v>CKD</v>
      </c>
      <c r="F606" s="12" t="str">
        <f>[2]Trucks!E603</f>
        <v>2017-10-23</v>
      </c>
      <c r="G606" s="56">
        <f>[2]Trucks!K603</f>
        <v>14.7</v>
      </c>
      <c r="H606" s="46">
        <f>[2]Trucks!I603</f>
        <v>42838</v>
      </c>
      <c r="I606" s="83" t="str">
        <f t="shared" si="45"/>
        <v>2017Q2</v>
      </c>
      <c r="J606" s="272">
        <f>IFERROR(VLOOKUP((D606&amp;C606)&amp;"",'[2]Retail Price List'!$C$4:$F$102,3,FALSE),"")</f>
        <v>1680000</v>
      </c>
      <c r="K606" s="272">
        <f>IFERROR(IF(BA606="WIP - 30 Days",VLOOKUP(D606,[3]Standard!$B$9:$E$101,4,FALSE),IF(BA606="31-120 Days",VLOOKUP(D606,[3]Standard!$B$9:$F$101,5,FALSE),IF(BA606="121-365 Days",VLOOKUP(D606,[3]Standard!$B$9:$G$101,6,FALSE),VLOOKUP(D606,[3]Standard!$B$9:$H$101,7,FALSE)))),0)</f>
        <v>1280496</v>
      </c>
      <c r="L606" s="272">
        <f>IFERROR(IF(BA606="WIP - 30 Days",VLOOKUP(D606,[3]Standard!$B$9:$J$101,9,FALSE),IF(BA606="31-120 Days",VLOOKUP(D606,[3]Standard!$B$9:$K$100,10,FALSE),IF(BA606="121-365 Days",VLOOKUP(D606,[3]Standard!$B$9:$L$101,11,FALSE),VLOOKUP(D606,[3]Standard!$B$9:$M$101,12,FALSE)))),0)</f>
        <v>1243200</v>
      </c>
      <c r="M606" s="269">
        <f>IFERROR(VLOOKUP((D606&amp;C606)&amp;"",'[2]Retail Price List'!$C$4:$F$102,4,FALSE),"")</f>
        <v>1715000</v>
      </c>
      <c r="N606" s="269">
        <f>IFERROR(IF(BA606="WIP - 30 Days",VLOOKUP(D606,[3]Extended!$B$9:$E$101,4,FALSE),IF(BA606="31-120 Days",VLOOKUP(D606,[3]Extended!$B$9:$F$101,5,FALSE),IF(BA606="121-365 Days",VLOOKUP(D606,[3]Extended!$B$9:$G$101,6,FALSE),VLOOKUP(D606,[3]Extended!$B$9:$H$101,7,FALSE)))),0)</f>
        <v>1324837.5</v>
      </c>
      <c r="O606" s="269">
        <f>IFERROR(IF(BA606="WIP - 30 Days",VLOOKUP(D606,[3]Extended!$B$9:$J$101,9,FALSE),IF(BA606="31-120 Days",VLOOKUP(D606,[3]Extended!$B$9:$K$101,10,FALSE),IF(BA606="121-365 Days",VLOOKUP(D606,[3]Extended!$B$9:$L$101,11,FALSE),VLOOKUP(D606,[3]Extended!$B$9:$M$101,12,FALSE)))),0)</f>
        <v>1286250</v>
      </c>
      <c r="P606" s="116">
        <f t="shared" si="46"/>
        <v>0.25</v>
      </c>
      <c r="Q606" s="110" t="e">
        <f>O606-#REF!</f>
        <v>#REF!</v>
      </c>
      <c r="W606" s="311"/>
      <c r="X606" s="311"/>
      <c r="Y606" s="311"/>
      <c r="Z606" s="311"/>
      <c r="AA606" s="311"/>
      <c r="AB606" s="311"/>
      <c r="AC606" s="311"/>
      <c r="AT606" s="88" t="str">
        <f t="shared" si="47"/>
        <v>KP0007182017Q214,7</v>
      </c>
      <c r="AU606" s="89" t="str">
        <f t="shared" si="48"/>
        <v>04-2017</v>
      </c>
      <c r="BA606" s="92" t="str">
        <f t="shared" si="49"/>
        <v>WIP - 30 Days</v>
      </c>
    </row>
    <row r="607" spans="2:53">
      <c r="B607" s="60">
        <f>[2]Trucks!A604</f>
        <v>46693</v>
      </c>
      <c r="C607" s="11" t="str">
        <f>[2]Trucks!B604</f>
        <v>TGS-27-4406X4BBS-L-STEEL</v>
      </c>
      <c r="D607" s="19" t="str">
        <f>IFERROR(VLOOKUP(C607&amp;"",'[2]Retail Price List'!$A$3:$B$103,2,FALSE),"Special Order")</f>
        <v>KP000718</v>
      </c>
      <c r="E607" s="18" t="str">
        <f>[2]Trucks!J604</f>
        <v>CKD</v>
      </c>
      <c r="F607" s="12" t="str">
        <f>[2]Trucks!E604</f>
        <v>2017-10-23</v>
      </c>
      <c r="G607" s="56">
        <f>[2]Trucks!K604</f>
        <v>14.7</v>
      </c>
      <c r="H607" s="46">
        <f>[2]Trucks!I604</f>
        <v>42838</v>
      </c>
      <c r="I607" s="83" t="str">
        <f t="shared" si="45"/>
        <v>2017Q2</v>
      </c>
      <c r="J607" s="272">
        <f>IFERROR(VLOOKUP((D607&amp;C607)&amp;"",'[2]Retail Price List'!$C$4:$F$102,3,FALSE),"")</f>
        <v>1680000</v>
      </c>
      <c r="K607" s="272">
        <f>IFERROR(IF(BA607="WIP - 30 Days",VLOOKUP(D607,[3]Standard!$B$9:$E$101,4,FALSE),IF(BA607="31-120 Days",VLOOKUP(D607,[3]Standard!$B$9:$F$101,5,FALSE),IF(BA607="121-365 Days",VLOOKUP(D607,[3]Standard!$B$9:$G$101,6,FALSE),VLOOKUP(D607,[3]Standard!$B$9:$H$101,7,FALSE)))),0)</f>
        <v>1280496</v>
      </c>
      <c r="L607" s="272">
        <f>IFERROR(IF(BA607="WIP - 30 Days",VLOOKUP(D607,[3]Standard!$B$9:$J$101,9,FALSE),IF(BA607="31-120 Days",VLOOKUP(D607,[3]Standard!$B$9:$K$100,10,FALSE),IF(BA607="121-365 Days",VLOOKUP(D607,[3]Standard!$B$9:$L$101,11,FALSE),VLOOKUP(D607,[3]Standard!$B$9:$M$101,12,FALSE)))),0)</f>
        <v>1243200</v>
      </c>
      <c r="M607" s="269">
        <f>IFERROR(VLOOKUP((D607&amp;C607)&amp;"",'[2]Retail Price List'!$C$4:$F$102,4,FALSE),"")</f>
        <v>1715000</v>
      </c>
      <c r="N607" s="269">
        <f>IFERROR(IF(BA607="WIP - 30 Days",VLOOKUP(D607,[3]Extended!$B$9:$E$101,4,FALSE),IF(BA607="31-120 Days",VLOOKUP(D607,[3]Extended!$B$9:$F$101,5,FALSE),IF(BA607="121-365 Days",VLOOKUP(D607,[3]Extended!$B$9:$G$101,6,FALSE),VLOOKUP(D607,[3]Extended!$B$9:$H$101,7,FALSE)))),0)</f>
        <v>1324837.5</v>
      </c>
      <c r="O607" s="269">
        <f>IFERROR(IF(BA607="WIP - 30 Days",VLOOKUP(D607,[3]Extended!$B$9:$J$101,9,FALSE),IF(BA607="31-120 Days",VLOOKUP(D607,[3]Extended!$B$9:$K$101,10,FALSE),IF(BA607="121-365 Days",VLOOKUP(D607,[3]Extended!$B$9:$L$101,11,FALSE),VLOOKUP(D607,[3]Extended!$B$9:$M$101,12,FALSE)))),0)</f>
        <v>1286250</v>
      </c>
      <c r="P607" s="116">
        <f t="shared" si="46"/>
        <v>0.25</v>
      </c>
      <c r="Q607" s="110" t="e">
        <f>O607-#REF!</f>
        <v>#REF!</v>
      </c>
      <c r="W607" s="311"/>
      <c r="X607" s="311"/>
      <c r="Y607" s="311"/>
      <c r="Z607" s="311"/>
      <c r="AA607" s="311"/>
      <c r="AB607" s="311"/>
      <c r="AC607" s="311"/>
      <c r="AT607" s="88" t="str">
        <f t="shared" si="47"/>
        <v>KP0007182017Q214,7</v>
      </c>
      <c r="AU607" s="89" t="str">
        <f t="shared" si="48"/>
        <v>04-2017</v>
      </c>
      <c r="BA607" s="92" t="str">
        <f t="shared" si="49"/>
        <v>WIP - 30 Days</v>
      </c>
    </row>
    <row r="608" spans="2:53">
      <c r="B608" s="60">
        <f>[2]Trucks!A605</f>
        <v>46888</v>
      </c>
      <c r="C608" s="11" t="str">
        <f>[2]Trucks!B605</f>
        <v>TGS-27-4406X4BBS-L-STEEL</v>
      </c>
      <c r="D608" s="19" t="str">
        <f>IFERROR(VLOOKUP(C608&amp;"",'[2]Retail Price List'!$A$3:$B$103,2,FALSE),"Special Order")</f>
        <v>KP000718</v>
      </c>
      <c r="E608" s="18" t="str">
        <f>[2]Trucks!J605</f>
        <v>CKD</v>
      </c>
      <c r="F608" s="12" t="str">
        <f>[2]Trucks!E605</f>
        <v>2017-11-7</v>
      </c>
      <c r="G608" s="56">
        <f>[2]Trucks!K605</f>
        <v>14.7</v>
      </c>
      <c r="H608" s="46">
        <f>[2]Trucks!I605</f>
        <v>42859</v>
      </c>
      <c r="I608" s="83" t="str">
        <f t="shared" si="45"/>
        <v>2017Q2</v>
      </c>
      <c r="J608" s="272">
        <f>IFERROR(VLOOKUP((D608&amp;C608)&amp;"",'[2]Retail Price List'!$C$4:$F$102,3,FALSE),"")</f>
        <v>1680000</v>
      </c>
      <c r="K608" s="272">
        <f>IFERROR(IF(BA608="WIP - 30 Days",VLOOKUP(D608,[3]Standard!$B$9:$E$101,4,FALSE),IF(BA608="31-120 Days",VLOOKUP(D608,[3]Standard!$B$9:$F$101,5,FALSE),IF(BA608="121-365 Days",VLOOKUP(D608,[3]Standard!$B$9:$G$101,6,FALSE),VLOOKUP(D608,[3]Standard!$B$9:$H$101,7,FALSE)))),0)</f>
        <v>1280496</v>
      </c>
      <c r="L608" s="272">
        <f>IFERROR(IF(BA608="WIP - 30 Days",VLOOKUP(D608,[3]Standard!$B$9:$J$101,9,FALSE),IF(BA608="31-120 Days",VLOOKUP(D608,[3]Standard!$B$9:$K$100,10,FALSE),IF(BA608="121-365 Days",VLOOKUP(D608,[3]Standard!$B$9:$L$101,11,FALSE),VLOOKUP(D608,[3]Standard!$B$9:$M$101,12,FALSE)))),0)</f>
        <v>1243200</v>
      </c>
      <c r="M608" s="269">
        <f>IFERROR(VLOOKUP((D608&amp;C608)&amp;"",'[2]Retail Price List'!$C$4:$F$102,4,FALSE),"")</f>
        <v>1715000</v>
      </c>
      <c r="N608" s="269">
        <f>IFERROR(IF(BA608="WIP - 30 Days",VLOOKUP(D608,[3]Extended!$B$9:$E$101,4,FALSE),IF(BA608="31-120 Days",VLOOKUP(D608,[3]Extended!$B$9:$F$101,5,FALSE),IF(BA608="121-365 Days",VLOOKUP(D608,[3]Extended!$B$9:$G$101,6,FALSE),VLOOKUP(D608,[3]Extended!$B$9:$H$101,7,FALSE)))),0)</f>
        <v>1324837.5</v>
      </c>
      <c r="O608" s="269">
        <f>IFERROR(IF(BA608="WIP - 30 Days",VLOOKUP(D608,[3]Extended!$B$9:$J$101,9,FALSE),IF(BA608="31-120 Days",VLOOKUP(D608,[3]Extended!$B$9:$K$101,10,FALSE),IF(BA608="121-365 Days",VLOOKUP(D608,[3]Extended!$B$9:$L$101,11,FALSE),VLOOKUP(D608,[3]Extended!$B$9:$M$101,12,FALSE)))),0)</f>
        <v>1286250</v>
      </c>
      <c r="P608" s="116">
        <f t="shared" si="46"/>
        <v>0.25</v>
      </c>
      <c r="Q608" s="110" t="e">
        <f>O608-#REF!</f>
        <v>#REF!</v>
      </c>
      <c r="W608" s="311"/>
      <c r="X608" s="311"/>
      <c r="Y608" s="311"/>
      <c r="Z608" s="311"/>
      <c r="AA608" s="311"/>
      <c r="AB608" s="311"/>
      <c r="AC608" s="311"/>
      <c r="AT608" s="88" t="str">
        <f t="shared" si="47"/>
        <v>KP0007182017Q214,7</v>
      </c>
      <c r="AU608" s="89" t="str">
        <f t="shared" si="48"/>
        <v>05-2017</v>
      </c>
      <c r="BA608" s="92" t="str">
        <f t="shared" si="49"/>
        <v>WIP - 30 Days</v>
      </c>
    </row>
    <row r="609" spans="2:53">
      <c r="B609" s="60">
        <f>[2]Trucks!A606</f>
        <v>46889</v>
      </c>
      <c r="C609" s="11" t="str">
        <f>[2]Trucks!B606</f>
        <v>TGS-27-4406X4BBS-L-STEEL</v>
      </c>
      <c r="D609" s="19" t="str">
        <f>IFERROR(VLOOKUP(C609&amp;"",'[2]Retail Price List'!$A$3:$B$103,2,FALSE),"Special Order")</f>
        <v>KP000718</v>
      </c>
      <c r="E609" s="18" t="str">
        <f>[2]Trucks!J606</f>
        <v>CKD</v>
      </c>
      <c r="F609" s="12" t="str">
        <f>[2]Trucks!E606</f>
        <v>2017-11-7</v>
      </c>
      <c r="G609" s="56">
        <f>[2]Trucks!K606</f>
        <v>14.7</v>
      </c>
      <c r="H609" s="46">
        <f>[2]Trucks!I606</f>
        <v>42859</v>
      </c>
      <c r="I609" s="83" t="str">
        <f t="shared" si="45"/>
        <v>2017Q2</v>
      </c>
      <c r="J609" s="272">
        <f>IFERROR(VLOOKUP((D609&amp;C609)&amp;"",'[2]Retail Price List'!$C$4:$F$102,3,FALSE),"")</f>
        <v>1680000</v>
      </c>
      <c r="K609" s="272">
        <f>IFERROR(IF(BA609="WIP - 30 Days",VLOOKUP(D609,[3]Standard!$B$9:$E$101,4,FALSE),IF(BA609="31-120 Days",VLOOKUP(D609,[3]Standard!$B$9:$F$101,5,FALSE),IF(BA609="121-365 Days",VLOOKUP(D609,[3]Standard!$B$9:$G$101,6,FALSE),VLOOKUP(D609,[3]Standard!$B$9:$H$101,7,FALSE)))),0)</f>
        <v>1280496</v>
      </c>
      <c r="L609" s="272">
        <f>IFERROR(IF(BA609="WIP - 30 Days",VLOOKUP(D609,[3]Standard!$B$9:$J$101,9,FALSE),IF(BA609="31-120 Days",VLOOKUP(D609,[3]Standard!$B$9:$K$100,10,FALSE),IF(BA609="121-365 Days",VLOOKUP(D609,[3]Standard!$B$9:$L$101,11,FALSE),VLOOKUP(D609,[3]Standard!$B$9:$M$101,12,FALSE)))),0)</f>
        <v>1243200</v>
      </c>
      <c r="M609" s="269">
        <f>IFERROR(VLOOKUP((D609&amp;C609)&amp;"",'[2]Retail Price List'!$C$4:$F$102,4,FALSE),"")</f>
        <v>1715000</v>
      </c>
      <c r="N609" s="269">
        <f>IFERROR(IF(BA609="WIP - 30 Days",VLOOKUP(D609,[3]Extended!$B$9:$E$101,4,FALSE),IF(BA609="31-120 Days",VLOOKUP(D609,[3]Extended!$B$9:$F$101,5,FALSE),IF(BA609="121-365 Days",VLOOKUP(D609,[3]Extended!$B$9:$G$101,6,FALSE),VLOOKUP(D609,[3]Extended!$B$9:$H$101,7,FALSE)))),0)</f>
        <v>1324837.5</v>
      </c>
      <c r="O609" s="269">
        <f>IFERROR(IF(BA609="WIP - 30 Days",VLOOKUP(D609,[3]Extended!$B$9:$J$101,9,FALSE),IF(BA609="31-120 Days",VLOOKUP(D609,[3]Extended!$B$9:$K$101,10,FALSE),IF(BA609="121-365 Days",VLOOKUP(D609,[3]Extended!$B$9:$L$101,11,FALSE),VLOOKUP(D609,[3]Extended!$B$9:$M$101,12,FALSE)))),0)</f>
        <v>1286250</v>
      </c>
      <c r="P609" s="116">
        <f t="shared" si="46"/>
        <v>0.25</v>
      </c>
      <c r="Q609" s="110" t="e">
        <f>O609-#REF!</f>
        <v>#REF!</v>
      </c>
      <c r="W609" s="311"/>
      <c r="X609" s="311"/>
      <c r="Y609" s="311"/>
      <c r="Z609" s="311"/>
      <c r="AA609" s="311"/>
      <c r="AB609" s="311"/>
      <c r="AC609" s="311"/>
      <c r="AT609" s="88" t="str">
        <f t="shared" si="47"/>
        <v>KP0007182017Q214,7</v>
      </c>
      <c r="AU609" s="89" t="str">
        <f t="shared" si="48"/>
        <v>05-2017</v>
      </c>
      <c r="BA609" s="92" t="str">
        <f t="shared" si="49"/>
        <v>WIP - 30 Days</v>
      </c>
    </row>
    <row r="610" spans="2:53">
      <c r="B610" s="60">
        <f>[2]Trucks!A607</f>
        <v>46890</v>
      </c>
      <c r="C610" s="11" t="str">
        <f>[2]Trucks!B607</f>
        <v>TGS-27-4406X4BBS-L-STEEL</v>
      </c>
      <c r="D610" s="19" t="str">
        <f>IFERROR(VLOOKUP(C610&amp;"",'[2]Retail Price List'!$A$3:$B$103,2,FALSE),"Special Order")</f>
        <v>KP000718</v>
      </c>
      <c r="E610" s="18" t="str">
        <f>[2]Trucks!J607</f>
        <v>CKD</v>
      </c>
      <c r="F610" s="12" t="str">
        <f>[2]Trucks!E607</f>
        <v>2017-11-7</v>
      </c>
      <c r="G610" s="56">
        <f>[2]Trucks!K607</f>
        <v>14.7</v>
      </c>
      <c r="H610" s="46">
        <f>[2]Trucks!I607</f>
        <v>42859</v>
      </c>
      <c r="I610" s="83" t="str">
        <f t="shared" si="45"/>
        <v>2017Q2</v>
      </c>
      <c r="J610" s="272">
        <f>IFERROR(VLOOKUP((D610&amp;C610)&amp;"",'[2]Retail Price List'!$C$4:$F$102,3,FALSE),"")</f>
        <v>1680000</v>
      </c>
      <c r="K610" s="272">
        <f>IFERROR(IF(BA610="WIP - 30 Days",VLOOKUP(D610,[3]Standard!$B$9:$E$101,4,FALSE),IF(BA610="31-120 Days",VLOOKUP(D610,[3]Standard!$B$9:$F$101,5,FALSE),IF(BA610="121-365 Days",VLOOKUP(D610,[3]Standard!$B$9:$G$101,6,FALSE),VLOOKUP(D610,[3]Standard!$B$9:$H$101,7,FALSE)))),0)</f>
        <v>1280496</v>
      </c>
      <c r="L610" s="272">
        <f>IFERROR(IF(BA610="WIP - 30 Days",VLOOKUP(D610,[3]Standard!$B$9:$J$101,9,FALSE),IF(BA610="31-120 Days",VLOOKUP(D610,[3]Standard!$B$9:$K$100,10,FALSE),IF(BA610="121-365 Days",VLOOKUP(D610,[3]Standard!$B$9:$L$101,11,FALSE),VLOOKUP(D610,[3]Standard!$B$9:$M$101,12,FALSE)))),0)</f>
        <v>1243200</v>
      </c>
      <c r="M610" s="269">
        <f>IFERROR(VLOOKUP((D610&amp;C610)&amp;"",'[2]Retail Price List'!$C$4:$F$102,4,FALSE),"")</f>
        <v>1715000</v>
      </c>
      <c r="N610" s="269">
        <f>IFERROR(IF(BA610="WIP - 30 Days",VLOOKUP(D610,[3]Extended!$B$9:$E$101,4,FALSE),IF(BA610="31-120 Days",VLOOKUP(D610,[3]Extended!$B$9:$F$101,5,FALSE),IF(BA610="121-365 Days",VLOOKUP(D610,[3]Extended!$B$9:$G$101,6,FALSE),VLOOKUP(D610,[3]Extended!$B$9:$H$101,7,FALSE)))),0)</f>
        <v>1324837.5</v>
      </c>
      <c r="O610" s="269">
        <f>IFERROR(IF(BA610="WIP - 30 Days",VLOOKUP(D610,[3]Extended!$B$9:$J$101,9,FALSE),IF(BA610="31-120 Days",VLOOKUP(D610,[3]Extended!$B$9:$K$101,10,FALSE),IF(BA610="121-365 Days",VLOOKUP(D610,[3]Extended!$B$9:$L$101,11,FALSE),VLOOKUP(D610,[3]Extended!$B$9:$M$101,12,FALSE)))),0)</f>
        <v>1286250</v>
      </c>
      <c r="P610" s="116">
        <f t="shared" si="46"/>
        <v>0.25</v>
      </c>
      <c r="Q610" s="110" t="e">
        <f>O610-#REF!</f>
        <v>#REF!</v>
      </c>
      <c r="W610" s="311"/>
      <c r="X610" s="311"/>
      <c r="Y610" s="311"/>
      <c r="Z610" s="311"/>
      <c r="AA610" s="311"/>
      <c r="AB610" s="311"/>
      <c r="AC610" s="311"/>
      <c r="AT610" s="88" t="str">
        <f t="shared" si="47"/>
        <v>KP0007182017Q214,7</v>
      </c>
      <c r="AU610" s="89" t="str">
        <f t="shared" si="48"/>
        <v>05-2017</v>
      </c>
      <c r="BA610" s="92" t="str">
        <f t="shared" si="49"/>
        <v>WIP - 30 Days</v>
      </c>
    </row>
    <row r="611" spans="2:53">
      <c r="B611" s="60">
        <f>[2]Trucks!A608</f>
        <v>46891</v>
      </c>
      <c r="C611" s="11" t="str">
        <f>[2]Trucks!B608</f>
        <v>TGS-27-4406X4BBS-L-STEEL</v>
      </c>
      <c r="D611" s="19" t="str">
        <f>IFERROR(VLOOKUP(C611&amp;"",'[2]Retail Price List'!$A$3:$B$103,2,FALSE),"Special Order")</f>
        <v>KP000718</v>
      </c>
      <c r="E611" s="18" t="str">
        <f>[2]Trucks!J608</f>
        <v>CKD</v>
      </c>
      <c r="F611" s="12" t="str">
        <f>[2]Trucks!E608</f>
        <v>2017-11-7</v>
      </c>
      <c r="G611" s="56">
        <f>[2]Trucks!K608</f>
        <v>14.7</v>
      </c>
      <c r="H611" s="46">
        <f>[2]Trucks!I608</f>
        <v>42859</v>
      </c>
      <c r="I611" s="83" t="str">
        <f t="shared" si="45"/>
        <v>2017Q2</v>
      </c>
      <c r="J611" s="272">
        <f>IFERROR(VLOOKUP((D611&amp;C611)&amp;"",'[2]Retail Price List'!$C$4:$F$102,3,FALSE),"")</f>
        <v>1680000</v>
      </c>
      <c r="K611" s="272">
        <f>IFERROR(IF(BA611="WIP - 30 Days",VLOOKUP(D611,[3]Standard!$B$9:$E$101,4,FALSE),IF(BA611="31-120 Days",VLOOKUP(D611,[3]Standard!$B$9:$F$101,5,FALSE),IF(BA611="121-365 Days",VLOOKUP(D611,[3]Standard!$B$9:$G$101,6,FALSE),VLOOKUP(D611,[3]Standard!$B$9:$H$101,7,FALSE)))),0)</f>
        <v>1280496</v>
      </c>
      <c r="L611" s="272">
        <f>IFERROR(IF(BA611="WIP - 30 Days",VLOOKUP(D611,[3]Standard!$B$9:$J$101,9,FALSE),IF(BA611="31-120 Days",VLOOKUP(D611,[3]Standard!$B$9:$K$100,10,FALSE),IF(BA611="121-365 Days",VLOOKUP(D611,[3]Standard!$B$9:$L$101,11,FALSE),VLOOKUP(D611,[3]Standard!$B$9:$M$101,12,FALSE)))),0)</f>
        <v>1243200</v>
      </c>
      <c r="M611" s="269">
        <f>IFERROR(VLOOKUP((D611&amp;C611)&amp;"",'[2]Retail Price List'!$C$4:$F$102,4,FALSE),"")</f>
        <v>1715000</v>
      </c>
      <c r="N611" s="269">
        <f>IFERROR(IF(BA611="WIP - 30 Days",VLOOKUP(D611,[3]Extended!$B$9:$E$101,4,FALSE),IF(BA611="31-120 Days",VLOOKUP(D611,[3]Extended!$B$9:$F$101,5,FALSE),IF(BA611="121-365 Days",VLOOKUP(D611,[3]Extended!$B$9:$G$101,6,FALSE),VLOOKUP(D611,[3]Extended!$B$9:$H$101,7,FALSE)))),0)</f>
        <v>1324837.5</v>
      </c>
      <c r="O611" s="269">
        <f>IFERROR(IF(BA611="WIP - 30 Days",VLOOKUP(D611,[3]Extended!$B$9:$J$101,9,FALSE),IF(BA611="31-120 Days",VLOOKUP(D611,[3]Extended!$B$9:$K$101,10,FALSE),IF(BA611="121-365 Days",VLOOKUP(D611,[3]Extended!$B$9:$L$101,11,FALSE),VLOOKUP(D611,[3]Extended!$B$9:$M$101,12,FALSE)))),0)</f>
        <v>1286250</v>
      </c>
      <c r="P611" s="116">
        <f t="shared" si="46"/>
        <v>0.25</v>
      </c>
      <c r="Q611" s="110" t="e">
        <f>O611-#REF!</f>
        <v>#REF!</v>
      </c>
      <c r="W611" s="311"/>
      <c r="X611" s="311"/>
      <c r="Y611" s="311"/>
      <c r="Z611" s="311"/>
      <c r="AA611" s="311"/>
      <c r="AB611" s="311"/>
      <c r="AC611" s="311"/>
      <c r="AT611" s="88" t="str">
        <f t="shared" si="47"/>
        <v>KP0007182017Q214,7</v>
      </c>
      <c r="AU611" s="89" t="str">
        <f t="shared" si="48"/>
        <v>05-2017</v>
      </c>
      <c r="BA611" s="92" t="str">
        <f t="shared" si="49"/>
        <v>WIP - 30 Days</v>
      </c>
    </row>
    <row r="612" spans="2:53">
      <c r="B612" s="60">
        <f>[2]Trucks!A609</f>
        <v>46892</v>
      </c>
      <c r="C612" s="11" t="str">
        <f>[2]Trucks!B609</f>
        <v>TGS-27-4406X4BBS-L-STEEL</v>
      </c>
      <c r="D612" s="19" t="str">
        <f>IFERROR(VLOOKUP(C612&amp;"",'[2]Retail Price List'!$A$3:$B$103,2,FALSE),"Special Order")</f>
        <v>KP000718</v>
      </c>
      <c r="E612" s="18" t="str">
        <f>[2]Trucks!J609</f>
        <v>CKD</v>
      </c>
      <c r="F612" s="12" t="str">
        <f>[2]Trucks!E609</f>
        <v>2017-11-7</v>
      </c>
      <c r="G612" s="56">
        <f>[2]Trucks!K609</f>
        <v>14.7</v>
      </c>
      <c r="H612" s="46">
        <f>[2]Trucks!I609</f>
        <v>42859</v>
      </c>
      <c r="I612" s="83" t="str">
        <f t="shared" si="45"/>
        <v>2017Q2</v>
      </c>
      <c r="J612" s="272">
        <f>IFERROR(VLOOKUP((D612&amp;C612)&amp;"",'[2]Retail Price List'!$C$4:$F$102,3,FALSE),"")</f>
        <v>1680000</v>
      </c>
      <c r="K612" s="272">
        <f>IFERROR(IF(BA612="WIP - 30 Days",VLOOKUP(D612,[3]Standard!$B$9:$E$101,4,FALSE),IF(BA612="31-120 Days",VLOOKUP(D612,[3]Standard!$B$9:$F$101,5,FALSE),IF(BA612="121-365 Days",VLOOKUP(D612,[3]Standard!$B$9:$G$101,6,FALSE),VLOOKUP(D612,[3]Standard!$B$9:$H$101,7,FALSE)))),0)</f>
        <v>1280496</v>
      </c>
      <c r="L612" s="272">
        <f>IFERROR(IF(BA612="WIP - 30 Days",VLOOKUP(D612,[3]Standard!$B$9:$J$101,9,FALSE),IF(BA612="31-120 Days",VLOOKUP(D612,[3]Standard!$B$9:$K$100,10,FALSE),IF(BA612="121-365 Days",VLOOKUP(D612,[3]Standard!$B$9:$L$101,11,FALSE),VLOOKUP(D612,[3]Standard!$B$9:$M$101,12,FALSE)))),0)</f>
        <v>1243200</v>
      </c>
      <c r="M612" s="269">
        <f>IFERROR(VLOOKUP((D612&amp;C612)&amp;"",'[2]Retail Price List'!$C$4:$F$102,4,FALSE),"")</f>
        <v>1715000</v>
      </c>
      <c r="N612" s="269">
        <f>IFERROR(IF(BA612="WIP - 30 Days",VLOOKUP(D612,[3]Extended!$B$9:$E$101,4,FALSE),IF(BA612="31-120 Days",VLOOKUP(D612,[3]Extended!$B$9:$F$101,5,FALSE),IF(BA612="121-365 Days",VLOOKUP(D612,[3]Extended!$B$9:$G$101,6,FALSE),VLOOKUP(D612,[3]Extended!$B$9:$H$101,7,FALSE)))),0)</f>
        <v>1324837.5</v>
      </c>
      <c r="O612" s="269">
        <f>IFERROR(IF(BA612="WIP - 30 Days",VLOOKUP(D612,[3]Extended!$B$9:$J$101,9,FALSE),IF(BA612="31-120 Days",VLOOKUP(D612,[3]Extended!$B$9:$K$101,10,FALSE),IF(BA612="121-365 Days",VLOOKUP(D612,[3]Extended!$B$9:$L$101,11,FALSE),VLOOKUP(D612,[3]Extended!$B$9:$M$101,12,FALSE)))),0)</f>
        <v>1286250</v>
      </c>
      <c r="P612" s="116">
        <f t="shared" si="46"/>
        <v>0.25</v>
      </c>
      <c r="Q612" s="110" t="e">
        <f>O612-#REF!</f>
        <v>#REF!</v>
      </c>
      <c r="W612" s="311"/>
      <c r="X612" s="311"/>
      <c r="Y612" s="311"/>
      <c r="Z612" s="311"/>
      <c r="AA612" s="311"/>
      <c r="AB612" s="311"/>
      <c r="AC612" s="311"/>
      <c r="AT612" s="88" t="str">
        <f t="shared" si="47"/>
        <v>KP0007182017Q214,7</v>
      </c>
      <c r="AU612" s="89" t="str">
        <f t="shared" si="48"/>
        <v>05-2017</v>
      </c>
      <c r="BA612" s="92" t="str">
        <f t="shared" si="49"/>
        <v>WIP - 30 Days</v>
      </c>
    </row>
    <row r="613" spans="2:53">
      <c r="B613" s="60">
        <f>[2]Trucks!A610</f>
        <v>46893</v>
      </c>
      <c r="C613" s="11" t="str">
        <f>[2]Trucks!B610</f>
        <v>TGS-27-4406X4BBS-L-STEEL</v>
      </c>
      <c r="D613" s="19" t="str">
        <f>IFERROR(VLOOKUP(C613&amp;"",'[2]Retail Price List'!$A$3:$B$103,2,FALSE),"Special Order")</f>
        <v>KP000718</v>
      </c>
      <c r="E613" s="18" t="str">
        <f>[2]Trucks!J610</f>
        <v>CKD</v>
      </c>
      <c r="F613" s="12" t="str">
        <f>[2]Trucks!E610</f>
        <v>2017-11-8</v>
      </c>
      <c r="G613" s="56">
        <f>[2]Trucks!K610</f>
        <v>14.7</v>
      </c>
      <c r="H613" s="46">
        <f>[2]Trucks!I610</f>
        <v>42859</v>
      </c>
      <c r="I613" s="83" t="str">
        <f t="shared" si="45"/>
        <v>2017Q2</v>
      </c>
      <c r="J613" s="272">
        <f>IFERROR(VLOOKUP((D613&amp;C613)&amp;"",'[2]Retail Price List'!$C$4:$F$102,3,FALSE),"")</f>
        <v>1680000</v>
      </c>
      <c r="K613" s="272">
        <f>IFERROR(IF(BA613="WIP - 30 Days",VLOOKUP(D613,[3]Standard!$B$9:$E$101,4,FALSE),IF(BA613="31-120 Days",VLOOKUP(D613,[3]Standard!$B$9:$F$101,5,FALSE),IF(BA613="121-365 Days",VLOOKUP(D613,[3]Standard!$B$9:$G$101,6,FALSE),VLOOKUP(D613,[3]Standard!$B$9:$H$101,7,FALSE)))),0)</f>
        <v>1280496</v>
      </c>
      <c r="L613" s="272">
        <f>IFERROR(IF(BA613="WIP - 30 Days",VLOOKUP(D613,[3]Standard!$B$9:$J$101,9,FALSE),IF(BA613="31-120 Days",VLOOKUP(D613,[3]Standard!$B$9:$K$100,10,FALSE),IF(BA613="121-365 Days",VLOOKUP(D613,[3]Standard!$B$9:$L$101,11,FALSE),VLOOKUP(D613,[3]Standard!$B$9:$M$101,12,FALSE)))),0)</f>
        <v>1243200</v>
      </c>
      <c r="M613" s="269">
        <f>IFERROR(VLOOKUP((D613&amp;C613)&amp;"",'[2]Retail Price List'!$C$4:$F$102,4,FALSE),"")</f>
        <v>1715000</v>
      </c>
      <c r="N613" s="269">
        <f>IFERROR(IF(BA613="WIP - 30 Days",VLOOKUP(D613,[3]Extended!$B$9:$E$101,4,FALSE),IF(BA613="31-120 Days",VLOOKUP(D613,[3]Extended!$B$9:$F$101,5,FALSE),IF(BA613="121-365 Days",VLOOKUP(D613,[3]Extended!$B$9:$G$101,6,FALSE),VLOOKUP(D613,[3]Extended!$B$9:$H$101,7,FALSE)))),0)</f>
        <v>1324837.5</v>
      </c>
      <c r="O613" s="269">
        <f>IFERROR(IF(BA613="WIP - 30 Days",VLOOKUP(D613,[3]Extended!$B$9:$J$101,9,FALSE),IF(BA613="31-120 Days",VLOOKUP(D613,[3]Extended!$B$9:$K$101,10,FALSE),IF(BA613="121-365 Days",VLOOKUP(D613,[3]Extended!$B$9:$L$101,11,FALSE),VLOOKUP(D613,[3]Extended!$B$9:$M$101,12,FALSE)))),0)</f>
        <v>1286250</v>
      </c>
      <c r="P613" s="116">
        <f t="shared" si="46"/>
        <v>0.25</v>
      </c>
      <c r="Q613" s="110" t="e">
        <f>O613-#REF!</f>
        <v>#REF!</v>
      </c>
      <c r="W613" s="311"/>
      <c r="X613" s="311"/>
      <c r="Y613" s="311"/>
      <c r="Z613" s="311"/>
      <c r="AA613" s="311"/>
      <c r="AB613" s="311"/>
      <c r="AC613" s="311"/>
      <c r="AT613" s="88" t="str">
        <f t="shared" si="47"/>
        <v>KP0007182017Q214,7</v>
      </c>
      <c r="AU613" s="89" t="str">
        <f t="shared" si="48"/>
        <v>05-2017</v>
      </c>
      <c r="BA613" s="92" t="str">
        <f t="shared" si="49"/>
        <v>WIP - 30 Days</v>
      </c>
    </row>
    <row r="614" spans="2:53">
      <c r="B614" s="60">
        <f>[2]Trucks!A611</f>
        <v>46894</v>
      </c>
      <c r="C614" s="11" t="str">
        <f>[2]Trucks!B611</f>
        <v>TGS-27-4406X4BBS-L-STEEL</v>
      </c>
      <c r="D614" s="19" t="str">
        <f>IFERROR(VLOOKUP(C614&amp;"",'[2]Retail Price List'!$A$3:$B$103,2,FALSE),"Special Order")</f>
        <v>KP000718</v>
      </c>
      <c r="E614" s="18" t="str">
        <f>[2]Trucks!J611</f>
        <v>CKD</v>
      </c>
      <c r="F614" s="12" t="str">
        <f>[2]Trucks!E611</f>
        <v>2017-11-8</v>
      </c>
      <c r="G614" s="56">
        <f>[2]Trucks!K611</f>
        <v>14.7</v>
      </c>
      <c r="H614" s="46">
        <f>[2]Trucks!I611</f>
        <v>42859</v>
      </c>
      <c r="I614" s="83" t="str">
        <f t="shared" si="45"/>
        <v>2017Q2</v>
      </c>
      <c r="J614" s="272">
        <f>IFERROR(VLOOKUP((D614&amp;C614)&amp;"",'[2]Retail Price List'!$C$4:$F$102,3,FALSE),"")</f>
        <v>1680000</v>
      </c>
      <c r="K614" s="272">
        <f>IFERROR(IF(BA614="WIP - 30 Days",VLOOKUP(D614,[3]Standard!$B$9:$E$101,4,FALSE),IF(BA614="31-120 Days",VLOOKUP(D614,[3]Standard!$B$9:$F$101,5,FALSE),IF(BA614="121-365 Days",VLOOKUP(D614,[3]Standard!$B$9:$G$101,6,FALSE),VLOOKUP(D614,[3]Standard!$B$9:$H$101,7,FALSE)))),0)</f>
        <v>1280496</v>
      </c>
      <c r="L614" s="272">
        <f>IFERROR(IF(BA614="WIP - 30 Days",VLOOKUP(D614,[3]Standard!$B$9:$J$101,9,FALSE),IF(BA614="31-120 Days",VLOOKUP(D614,[3]Standard!$B$9:$K$100,10,FALSE),IF(BA614="121-365 Days",VLOOKUP(D614,[3]Standard!$B$9:$L$101,11,FALSE),VLOOKUP(D614,[3]Standard!$B$9:$M$101,12,FALSE)))),0)</f>
        <v>1243200</v>
      </c>
      <c r="M614" s="269">
        <f>IFERROR(VLOOKUP((D614&amp;C614)&amp;"",'[2]Retail Price List'!$C$4:$F$102,4,FALSE),"")</f>
        <v>1715000</v>
      </c>
      <c r="N614" s="269">
        <f>IFERROR(IF(BA614="WIP - 30 Days",VLOOKUP(D614,[3]Extended!$B$9:$E$101,4,FALSE),IF(BA614="31-120 Days",VLOOKUP(D614,[3]Extended!$B$9:$F$101,5,FALSE),IF(BA614="121-365 Days",VLOOKUP(D614,[3]Extended!$B$9:$G$101,6,FALSE),VLOOKUP(D614,[3]Extended!$B$9:$H$101,7,FALSE)))),0)</f>
        <v>1324837.5</v>
      </c>
      <c r="O614" s="269">
        <f>IFERROR(IF(BA614="WIP - 30 Days",VLOOKUP(D614,[3]Extended!$B$9:$J$101,9,FALSE),IF(BA614="31-120 Days",VLOOKUP(D614,[3]Extended!$B$9:$K$101,10,FALSE),IF(BA614="121-365 Days",VLOOKUP(D614,[3]Extended!$B$9:$L$101,11,FALSE),VLOOKUP(D614,[3]Extended!$B$9:$M$101,12,FALSE)))),0)</f>
        <v>1286250</v>
      </c>
      <c r="P614" s="116">
        <f t="shared" si="46"/>
        <v>0.25</v>
      </c>
      <c r="Q614" s="110" t="e">
        <f>O614-#REF!</f>
        <v>#REF!</v>
      </c>
      <c r="W614" s="311"/>
      <c r="X614" s="311"/>
      <c r="Y614" s="311"/>
      <c r="Z614" s="311"/>
      <c r="AA614" s="311"/>
      <c r="AB614" s="311"/>
      <c r="AC614" s="311"/>
      <c r="AT614" s="88" t="str">
        <f t="shared" si="47"/>
        <v>KP0007182017Q214,7</v>
      </c>
      <c r="AU614" s="89" t="str">
        <f t="shared" si="48"/>
        <v>05-2017</v>
      </c>
      <c r="BA614" s="92" t="str">
        <f t="shared" si="49"/>
        <v>WIP - 30 Days</v>
      </c>
    </row>
    <row r="615" spans="2:53">
      <c r="B615" s="60">
        <f>[2]Trucks!A612</f>
        <v>46895</v>
      </c>
      <c r="C615" s="11" t="str">
        <f>[2]Trucks!B612</f>
        <v>TGS-27-4406X4BBS-L-STEEL</v>
      </c>
      <c r="D615" s="19" t="str">
        <f>IFERROR(VLOOKUP(C615&amp;"",'[2]Retail Price List'!$A$3:$B$103,2,FALSE),"Special Order")</f>
        <v>KP000718</v>
      </c>
      <c r="E615" s="18" t="str">
        <f>[2]Trucks!J612</f>
        <v>CKD</v>
      </c>
      <c r="F615" s="12" t="str">
        <f>[2]Trucks!E612</f>
        <v>2017-11-8</v>
      </c>
      <c r="G615" s="56">
        <f>[2]Trucks!K612</f>
        <v>14.7</v>
      </c>
      <c r="H615" s="46">
        <f>[2]Trucks!I612</f>
        <v>42859</v>
      </c>
      <c r="I615" s="83" t="str">
        <f t="shared" si="45"/>
        <v>2017Q2</v>
      </c>
      <c r="J615" s="272">
        <f>IFERROR(VLOOKUP((D615&amp;C615)&amp;"",'[2]Retail Price List'!$C$4:$F$102,3,FALSE),"")</f>
        <v>1680000</v>
      </c>
      <c r="K615" s="272">
        <f>IFERROR(IF(BA615="WIP - 30 Days",VLOOKUP(D615,[3]Standard!$B$9:$E$101,4,FALSE),IF(BA615="31-120 Days",VLOOKUP(D615,[3]Standard!$B$9:$F$101,5,FALSE),IF(BA615="121-365 Days",VLOOKUP(D615,[3]Standard!$B$9:$G$101,6,FALSE),VLOOKUP(D615,[3]Standard!$B$9:$H$101,7,FALSE)))),0)</f>
        <v>1280496</v>
      </c>
      <c r="L615" s="272">
        <f>IFERROR(IF(BA615="WIP - 30 Days",VLOOKUP(D615,[3]Standard!$B$9:$J$101,9,FALSE),IF(BA615="31-120 Days",VLOOKUP(D615,[3]Standard!$B$9:$K$100,10,FALSE),IF(BA615="121-365 Days",VLOOKUP(D615,[3]Standard!$B$9:$L$101,11,FALSE),VLOOKUP(D615,[3]Standard!$B$9:$M$101,12,FALSE)))),0)</f>
        <v>1243200</v>
      </c>
      <c r="M615" s="269">
        <f>IFERROR(VLOOKUP((D615&amp;C615)&amp;"",'[2]Retail Price List'!$C$4:$F$102,4,FALSE),"")</f>
        <v>1715000</v>
      </c>
      <c r="N615" s="269">
        <f>IFERROR(IF(BA615="WIP - 30 Days",VLOOKUP(D615,[3]Extended!$B$9:$E$101,4,FALSE),IF(BA615="31-120 Days",VLOOKUP(D615,[3]Extended!$B$9:$F$101,5,FALSE),IF(BA615="121-365 Days",VLOOKUP(D615,[3]Extended!$B$9:$G$101,6,FALSE),VLOOKUP(D615,[3]Extended!$B$9:$H$101,7,FALSE)))),0)</f>
        <v>1324837.5</v>
      </c>
      <c r="O615" s="269">
        <f>IFERROR(IF(BA615="WIP - 30 Days",VLOOKUP(D615,[3]Extended!$B$9:$J$101,9,FALSE),IF(BA615="31-120 Days",VLOOKUP(D615,[3]Extended!$B$9:$K$101,10,FALSE),IF(BA615="121-365 Days",VLOOKUP(D615,[3]Extended!$B$9:$L$101,11,FALSE),VLOOKUP(D615,[3]Extended!$B$9:$M$101,12,FALSE)))),0)</f>
        <v>1286250</v>
      </c>
      <c r="P615" s="116">
        <f t="shared" si="46"/>
        <v>0.25</v>
      </c>
      <c r="Q615" s="110" t="e">
        <f>O615-#REF!</f>
        <v>#REF!</v>
      </c>
      <c r="W615" s="311"/>
      <c r="X615" s="311"/>
      <c r="Y615" s="311"/>
      <c r="Z615" s="311"/>
      <c r="AA615" s="311"/>
      <c r="AB615" s="311"/>
      <c r="AC615" s="311"/>
      <c r="AT615" s="88" t="str">
        <f t="shared" si="47"/>
        <v>KP0007182017Q214,7</v>
      </c>
      <c r="AU615" s="89" t="str">
        <f t="shared" si="48"/>
        <v>05-2017</v>
      </c>
      <c r="BA615" s="92" t="str">
        <f t="shared" si="49"/>
        <v>WIP - 30 Days</v>
      </c>
    </row>
    <row r="616" spans="2:53">
      <c r="B616" s="60">
        <f>[2]Trucks!A613</f>
        <v>46896</v>
      </c>
      <c r="C616" s="11" t="str">
        <f>[2]Trucks!B613</f>
        <v>TGS-27-4406X4BBS-L-STEEL</v>
      </c>
      <c r="D616" s="19" t="str">
        <f>IFERROR(VLOOKUP(C616&amp;"",'[2]Retail Price List'!$A$3:$B$103,2,FALSE),"Special Order")</f>
        <v>KP000718</v>
      </c>
      <c r="E616" s="18" t="str">
        <f>[2]Trucks!J613</f>
        <v>CKD</v>
      </c>
      <c r="F616" s="12" t="str">
        <f>[2]Trucks!E613</f>
        <v>2017-11-14</v>
      </c>
      <c r="G616" s="56">
        <f>[2]Trucks!K613</f>
        <v>14.7</v>
      </c>
      <c r="H616" s="46">
        <f>[2]Trucks!I613</f>
        <v>42859</v>
      </c>
      <c r="I616" s="83" t="str">
        <f t="shared" si="45"/>
        <v>2017Q2</v>
      </c>
      <c r="J616" s="272">
        <f>IFERROR(VLOOKUP((D616&amp;C616)&amp;"",'[2]Retail Price List'!$C$4:$F$102,3,FALSE),"")</f>
        <v>1680000</v>
      </c>
      <c r="K616" s="272">
        <f>IFERROR(IF(BA616="WIP - 30 Days",VLOOKUP(D616,[3]Standard!$B$9:$E$101,4,FALSE),IF(BA616="31-120 Days",VLOOKUP(D616,[3]Standard!$B$9:$F$101,5,FALSE),IF(BA616="121-365 Days",VLOOKUP(D616,[3]Standard!$B$9:$G$101,6,FALSE),VLOOKUP(D616,[3]Standard!$B$9:$H$101,7,FALSE)))),0)</f>
        <v>1280496</v>
      </c>
      <c r="L616" s="272">
        <f>IFERROR(IF(BA616="WIP - 30 Days",VLOOKUP(D616,[3]Standard!$B$9:$J$101,9,FALSE),IF(BA616="31-120 Days",VLOOKUP(D616,[3]Standard!$B$9:$K$100,10,FALSE),IF(BA616="121-365 Days",VLOOKUP(D616,[3]Standard!$B$9:$L$101,11,FALSE),VLOOKUP(D616,[3]Standard!$B$9:$M$101,12,FALSE)))),0)</f>
        <v>1243200</v>
      </c>
      <c r="M616" s="269">
        <f>IFERROR(VLOOKUP((D616&amp;C616)&amp;"",'[2]Retail Price List'!$C$4:$F$102,4,FALSE),"")</f>
        <v>1715000</v>
      </c>
      <c r="N616" s="269">
        <f>IFERROR(IF(BA616="WIP - 30 Days",VLOOKUP(D616,[3]Extended!$B$9:$E$101,4,FALSE),IF(BA616="31-120 Days",VLOOKUP(D616,[3]Extended!$B$9:$F$101,5,FALSE),IF(BA616="121-365 Days",VLOOKUP(D616,[3]Extended!$B$9:$G$101,6,FALSE),VLOOKUP(D616,[3]Extended!$B$9:$H$101,7,FALSE)))),0)</f>
        <v>1324837.5</v>
      </c>
      <c r="O616" s="269">
        <f>IFERROR(IF(BA616="WIP - 30 Days",VLOOKUP(D616,[3]Extended!$B$9:$J$101,9,FALSE),IF(BA616="31-120 Days",VLOOKUP(D616,[3]Extended!$B$9:$K$101,10,FALSE),IF(BA616="121-365 Days",VLOOKUP(D616,[3]Extended!$B$9:$L$101,11,FALSE),VLOOKUP(D616,[3]Extended!$B$9:$M$101,12,FALSE)))),0)</f>
        <v>1286250</v>
      </c>
      <c r="P616" s="116">
        <f t="shared" si="46"/>
        <v>0.25</v>
      </c>
      <c r="Q616" s="110" t="e">
        <f>O616-#REF!</f>
        <v>#REF!</v>
      </c>
      <c r="W616" s="311"/>
      <c r="X616" s="311"/>
      <c r="Y616" s="311"/>
      <c r="Z616" s="311"/>
      <c r="AA616" s="311"/>
      <c r="AB616" s="311"/>
      <c r="AC616" s="311"/>
      <c r="AT616" s="88" t="str">
        <f t="shared" si="47"/>
        <v>KP0007182017Q214,7</v>
      </c>
      <c r="AU616" s="89" t="str">
        <f t="shared" si="48"/>
        <v>05-2017</v>
      </c>
      <c r="BA616" s="92" t="str">
        <f t="shared" si="49"/>
        <v>WIP - 30 Days</v>
      </c>
    </row>
    <row r="617" spans="2:53">
      <c r="B617" s="60">
        <f>[2]Trucks!A614</f>
        <v>46897</v>
      </c>
      <c r="C617" s="11" t="str">
        <f>[2]Trucks!B614</f>
        <v>TGS-27-4406X4BBS-L-STEEL</v>
      </c>
      <c r="D617" s="19" t="str">
        <f>IFERROR(VLOOKUP(C617&amp;"",'[2]Retail Price List'!$A$3:$B$103,2,FALSE),"Special Order")</f>
        <v>KP000718</v>
      </c>
      <c r="E617" s="18" t="str">
        <f>[2]Trucks!J614</f>
        <v>CKD</v>
      </c>
      <c r="F617" s="12" t="str">
        <f>[2]Trucks!E614</f>
        <v>2017-11-14</v>
      </c>
      <c r="G617" s="56">
        <f>[2]Trucks!K614</f>
        <v>14.7</v>
      </c>
      <c r="H617" s="46">
        <f>[2]Trucks!I614</f>
        <v>42859</v>
      </c>
      <c r="I617" s="83" t="str">
        <f t="shared" si="45"/>
        <v>2017Q2</v>
      </c>
      <c r="J617" s="272">
        <f>IFERROR(VLOOKUP((D617&amp;C617)&amp;"",'[2]Retail Price List'!$C$4:$F$102,3,FALSE),"")</f>
        <v>1680000</v>
      </c>
      <c r="K617" s="272">
        <f>IFERROR(IF(BA617="WIP - 30 Days",VLOOKUP(D617,[3]Standard!$B$9:$E$101,4,FALSE),IF(BA617="31-120 Days",VLOOKUP(D617,[3]Standard!$B$9:$F$101,5,FALSE),IF(BA617="121-365 Days",VLOOKUP(D617,[3]Standard!$B$9:$G$101,6,FALSE),VLOOKUP(D617,[3]Standard!$B$9:$H$101,7,FALSE)))),0)</f>
        <v>1280496</v>
      </c>
      <c r="L617" s="272">
        <f>IFERROR(IF(BA617="WIP - 30 Days",VLOOKUP(D617,[3]Standard!$B$9:$J$101,9,FALSE),IF(BA617="31-120 Days",VLOOKUP(D617,[3]Standard!$B$9:$K$100,10,FALSE),IF(BA617="121-365 Days",VLOOKUP(D617,[3]Standard!$B$9:$L$101,11,FALSE),VLOOKUP(D617,[3]Standard!$B$9:$M$101,12,FALSE)))),0)</f>
        <v>1243200</v>
      </c>
      <c r="M617" s="269">
        <f>IFERROR(VLOOKUP((D617&amp;C617)&amp;"",'[2]Retail Price List'!$C$4:$F$102,4,FALSE),"")</f>
        <v>1715000</v>
      </c>
      <c r="N617" s="269">
        <f>IFERROR(IF(BA617="WIP - 30 Days",VLOOKUP(D617,[3]Extended!$B$9:$E$101,4,FALSE),IF(BA617="31-120 Days",VLOOKUP(D617,[3]Extended!$B$9:$F$101,5,FALSE),IF(BA617="121-365 Days",VLOOKUP(D617,[3]Extended!$B$9:$G$101,6,FALSE),VLOOKUP(D617,[3]Extended!$B$9:$H$101,7,FALSE)))),0)</f>
        <v>1324837.5</v>
      </c>
      <c r="O617" s="269">
        <f>IFERROR(IF(BA617="WIP - 30 Days",VLOOKUP(D617,[3]Extended!$B$9:$J$101,9,FALSE),IF(BA617="31-120 Days",VLOOKUP(D617,[3]Extended!$B$9:$K$101,10,FALSE),IF(BA617="121-365 Days",VLOOKUP(D617,[3]Extended!$B$9:$L$101,11,FALSE),VLOOKUP(D617,[3]Extended!$B$9:$M$101,12,FALSE)))),0)</f>
        <v>1286250</v>
      </c>
      <c r="P617" s="116">
        <f t="shared" si="46"/>
        <v>0.25</v>
      </c>
      <c r="Q617" s="110" t="e">
        <f>O617-#REF!</f>
        <v>#REF!</v>
      </c>
      <c r="W617" s="311"/>
      <c r="X617" s="311"/>
      <c r="Y617" s="311"/>
      <c r="Z617" s="311"/>
      <c r="AA617" s="311"/>
      <c r="AB617" s="311"/>
      <c r="AC617" s="311"/>
      <c r="AT617" s="88" t="str">
        <f t="shared" si="47"/>
        <v>KP0007182017Q214,7</v>
      </c>
      <c r="AU617" s="89" t="str">
        <f t="shared" si="48"/>
        <v>05-2017</v>
      </c>
      <c r="BA617" s="92" t="str">
        <f t="shared" si="49"/>
        <v>WIP - 30 Days</v>
      </c>
    </row>
    <row r="618" spans="2:53">
      <c r="B618" s="60">
        <f>[2]Trucks!A615</f>
        <v>46898</v>
      </c>
      <c r="C618" s="11" t="str">
        <f>[2]Trucks!B615</f>
        <v>TGS-27-4406X4BBS-L-STEEL</v>
      </c>
      <c r="D618" s="19" t="str">
        <f>IFERROR(VLOOKUP(C618&amp;"",'[2]Retail Price List'!$A$3:$B$103,2,FALSE),"Special Order")</f>
        <v>KP000718</v>
      </c>
      <c r="E618" s="18" t="str">
        <f>[2]Trucks!J615</f>
        <v>CKD</v>
      </c>
      <c r="F618" s="12" t="str">
        <f>[2]Trucks!E615</f>
        <v>2017-11-14</v>
      </c>
      <c r="G618" s="56">
        <f>[2]Trucks!K615</f>
        <v>14.7</v>
      </c>
      <c r="H618" s="46">
        <f>[2]Trucks!I615</f>
        <v>42859</v>
      </c>
      <c r="I618" s="83" t="str">
        <f t="shared" si="45"/>
        <v>2017Q2</v>
      </c>
      <c r="J618" s="272">
        <f>IFERROR(VLOOKUP((D618&amp;C618)&amp;"",'[2]Retail Price List'!$C$4:$F$102,3,FALSE),"")</f>
        <v>1680000</v>
      </c>
      <c r="K618" s="272">
        <f>IFERROR(IF(BA618="WIP - 30 Days",VLOOKUP(D618,[3]Standard!$B$9:$E$101,4,FALSE),IF(BA618="31-120 Days",VLOOKUP(D618,[3]Standard!$B$9:$F$101,5,FALSE),IF(BA618="121-365 Days",VLOOKUP(D618,[3]Standard!$B$9:$G$101,6,FALSE),VLOOKUP(D618,[3]Standard!$B$9:$H$101,7,FALSE)))),0)</f>
        <v>1280496</v>
      </c>
      <c r="L618" s="272">
        <f>IFERROR(IF(BA618="WIP - 30 Days",VLOOKUP(D618,[3]Standard!$B$9:$J$101,9,FALSE),IF(BA618="31-120 Days",VLOOKUP(D618,[3]Standard!$B$9:$K$100,10,FALSE),IF(BA618="121-365 Days",VLOOKUP(D618,[3]Standard!$B$9:$L$101,11,FALSE),VLOOKUP(D618,[3]Standard!$B$9:$M$101,12,FALSE)))),0)</f>
        <v>1243200</v>
      </c>
      <c r="M618" s="269">
        <f>IFERROR(VLOOKUP((D618&amp;C618)&amp;"",'[2]Retail Price List'!$C$4:$F$102,4,FALSE),"")</f>
        <v>1715000</v>
      </c>
      <c r="N618" s="269">
        <f>IFERROR(IF(BA618="WIP - 30 Days",VLOOKUP(D618,[3]Extended!$B$9:$E$101,4,FALSE),IF(BA618="31-120 Days",VLOOKUP(D618,[3]Extended!$B$9:$F$101,5,FALSE),IF(BA618="121-365 Days",VLOOKUP(D618,[3]Extended!$B$9:$G$101,6,FALSE),VLOOKUP(D618,[3]Extended!$B$9:$H$101,7,FALSE)))),0)</f>
        <v>1324837.5</v>
      </c>
      <c r="O618" s="269">
        <f>IFERROR(IF(BA618="WIP - 30 Days",VLOOKUP(D618,[3]Extended!$B$9:$J$101,9,FALSE),IF(BA618="31-120 Days",VLOOKUP(D618,[3]Extended!$B$9:$K$101,10,FALSE),IF(BA618="121-365 Days",VLOOKUP(D618,[3]Extended!$B$9:$L$101,11,FALSE),VLOOKUP(D618,[3]Extended!$B$9:$M$101,12,FALSE)))),0)</f>
        <v>1286250</v>
      </c>
      <c r="P618" s="116">
        <f t="shared" si="46"/>
        <v>0.25</v>
      </c>
      <c r="Q618" s="110" t="e">
        <f>O618-#REF!</f>
        <v>#REF!</v>
      </c>
      <c r="W618" s="311"/>
      <c r="X618" s="311"/>
      <c r="Y618" s="311"/>
      <c r="Z618" s="311"/>
      <c r="AA618" s="311"/>
      <c r="AB618" s="311"/>
      <c r="AC618" s="311"/>
      <c r="AT618" s="88" t="str">
        <f t="shared" si="47"/>
        <v>KP0007182017Q214,7</v>
      </c>
      <c r="AU618" s="89" t="str">
        <f t="shared" si="48"/>
        <v>05-2017</v>
      </c>
      <c r="BA618" s="92" t="str">
        <f t="shared" si="49"/>
        <v>WIP - 30 Days</v>
      </c>
    </row>
    <row r="619" spans="2:53">
      <c r="B619" s="60">
        <f>[2]Trucks!A616</f>
        <v>46899</v>
      </c>
      <c r="C619" s="11" t="str">
        <f>[2]Trucks!B616</f>
        <v>TGS-27-4406X4BBS-L-STEEL</v>
      </c>
      <c r="D619" s="19" t="str">
        <f>IFERROR(VLOOKUP(C619&amp;"",'[2]Retail Price List'!$A$3:$B$103,2,FALSE),"Special Order")</f>
        <v>KP000718</v>
      </c>
      <c r="E619" s="18" t="str">
        <f>[2]Trucks!J616</f>
        <v>CKD</v>
      </c>
      <c r="F619" s="12" t="str">
        <f>[2]Trucks!E616</f>
        <v>2017-11-14</v>
      </c>
      <c r="G619" s="56">
        <f>[2]Trucks!K616</f>
        <v>14.7</v>
      </c>
      <c r="H619" s="46">
        <f>[2]Trucks!I616</f>
        <v>42859</v>
      </c>
      <c r="I619" s="83" t="str">
        <f t="shared" si="45"/>
        <v>2017Q2</v>
      </c>
      <c r="J619" s="272">
        <f>IFERROR(VLOOKUP((D619&amp;C619)&amp;"",'[2]Retail Price List'!$C$4:$F$102,3,FALSE),"")</f>
        <v>1680000</v>
      </c>
      <c r="K619" s="272">
        <f>IFERROR(IF(BA619="WIP - 30 Days",VLOOKUP(D619,[3]Standard!$B$9:$E$101,4,FALSE),IF(BA619="31-120 Days",VLOOKUP(D619,[3]Standard!$B$9:$F$101,5,FALSE),IF(BA619="121-365 Days",VLOOKUP(D619,[3]Standard!$B$9:$G$101,6,FALSE),VLOOKUP(D619,[3]Standard!$B$9:$H$101,7,FALSE)))),0)</f>
        <v>1280496</v>
      </c>
      <c r="L619" s="272">
        <f>IFERROR(IF(BA619="WIP - 30 Days",VLOOKUP(D619,[3]Standard!$B$9:$J$101,9,FALSE),IF(BA619="31-120 Days",VLOOKUP(D619,[3]Standard!$B$9:$K$100,10,FALSE),IF(BA619="121-365 Days",VLOOKUP(D619,[3]Standard!$B$9:$L$101,11,FALSE),VLOOKUP(D619,[3]Standard!$B$9:$M$101,12,FALSE)))),0)</f>
        <v>1243200</v>
      </c>
      <c r="M619" s="269">
        <f>IFERROR(VLOOKUP((D619&amp;C619)&amp;"",'[2]Retail Price List'!$C$4:$F$102,4,FALSE),"")</f>
        <v>1715000</v>
      </c>
      <c r="N619" s="269">
        <f>IFERROR(IF(BA619="WIP - 30 Days",VLOOKUP(D619,[3]Extended!$B$9:$E$101,4,FALSE),IF(BA619="31-120 Days",VLOOKUP(D619,[3]Extended!$B$9:$F$101,5,FALSE),IF(BA619="121-365 Days",VLOOKUP(D619,[3]Extended!$B$9:$G$101,6,FALSE),VLOOKUP(D619,[3]Extended!$B$9:$H$101,7,FALSE)))),0)</f>
        <v>1324837.5</v>
      </c>
      <c r="O619" s="269">
        <f>IFERROR(IF(BA619="WIP - 30 Days",VLOOKUP(D619,[3]Extended!$B$9:$J$101,9,FALSE),IF(BA619="31-120 Days",VLOOKUP(D619,[3]Extended!$B$9:$K$101,10,FALSE),IF(BA619="121-365 Days",VLOOKUP(D619,[3]Extended!$B$9:$L$101,11,FALSE),VLOOKUP(D619,[3]Extended!$B$9:$M$101,12,FALSE)))),0)</f>
        <v>1286250</v>
      </c>
      <c r="P619" s="116">
        <f t="shared" si="46"/>
        <v>0.25</v>
      </c>
      <c r="Q619" s="110" t="e">
        <f>O619-#REF!</f>
        <v>#REF!</v>
      </c>
      <c r="W619" s="311"/>
      <c r="X619" s="311"/>
      <c r="Y619" s="311"/>
      <c r="Z619" s="311"/>
      <c r="AA619" s="311"/>
      <c r="AB619" s="311"/>
      <c r="AC619" s="311"/>
      <c r="AT619" s="88" t="str">
        <f t="shared" si="47"/>
        <v>KP0007182017Q214,7</v>
      </c>
      <c r="AU619" s="89" t="str">
        <f t="shared" si="48"/>
        <v>05-2017</v>
      </c>
      <c r="BA619" s="92" t="str">
        <f t="shared" si="49"/>
        <v>WIP - 30 Days</v>
      </c>
    </row>
    <row r="620" spans="2:53">
      <c r="B620" s="60">
        <f>[2]Trucks!A617</f>
        <v>46900</v>
      </c>
      <c r="C620" s="11" t="str">
        <f>[2]Trucks!B617</f>
        <v>TGS-27-4406X4BBS-L-STEEL</v>
      </c>
      <c r="D620" s="19" t="str">
        <f>IFERROR(VLOOKUP(C620&amp;"",'[2]Retail Price List'!$A$3:$B$103,2,FALSE),"Special Order")</f>
        <v>KP000718</v>
      </c>
      <c r="E620" s="18" t="str">
        <f>[2]Trucks!J617</f>
        <v>CKD</v>
      </c>
      <c r="F620" s="12" t="str">
        <f>[2]Trucks!E617</f>
        <v>2017-11-14</v>
      </c>
      <c r="G620" s="56">
        <f>[2]Trucks!K617</f>
        <v>14.7</v>
      </c>
      <c r="H620" s="46">
        <f>[2]Trucks!I617</f>
        <v>42859</v>
      </c>
      <c r="I620" s="83" t="str">
        <f t="shared" si="45"/>
        <v>2017Q2</v>
      </c>
      <c r="J620" s="272">
        <f>IFERROR(VLOOKUP((D620&amp;C620)&amp;"",'[2]Retail Price List'!$C$4:$F$102,3,FALSE),"")</f>
        <v>1680000</v>
      </c>
      <c r="K620" s="272">
        <f>IFERROR(IF(BA620="WIP - 30 Days",VLOOKUP(D620,[3]Standard!$B$9:$E$101,4,FALSE),IF(BA620="31-120 Days",VLOOKUP(D620,[3]Standard!$B$9:$F$101,5,FALSE),IF(BA620="121-365 Days",VLOOKUP(D620,[3]Standard!$B$9:$G$101,6,FALSE),VLOOKUP(D620,[3]Standard!$B$9:$H$101,7,FALSE)))),0)</f>
        <v>1280496</v>
      </c>
      <c r="L620" s="272">
        <f>IFERROR(IF(BA620="WIP - 30 Days",VLOOKUP(D620,[3]Standard!$B$9:$J$101,9,FALSE),IF(BA620="31-120 Days",VLOOKUP(D620,[3]Standard!$B$9:$K$100,10,FALSE),IF(BA620="121-365 Days",VLOOKUP(D620,[3]Standard!$B$9:$L$101,11,FALSE),VLOOKUP(D620,[3]Standard!$B$9:$M$101,12,FALSE)))),0)</f>
        <v>1243200</v>
      </c>
      <c r="M620" s="269">
        <f>IFERROR(VLOOKUP((D620&amp;C620)&amp;"",'[2]Retail Price List'!$C$4:$F$102,4,FALSE),"")</f>
        <v>1715000</v>
      </c>
      <c r="N620" s="269">
        <f>IFERROR(IF(BA620="WIP - 30 Days",VLOOKUP(D620,[3]Extended!$B$9:$E$101,4,FALSE),IF(BA620="31-120 Days",VLOOKUP(D620,[3]Extended!$B$9:$F$101,5,FALSE),IF(BA620="121-365 Days",VLOOKUP(D620,[3]Extended!$B$9:$G$101,6,FALSE),VLOOKUP(D620,[3]Extended!$B$9:$H$101,7,FALSE)))),0)</f>
        <v>1324837.5</v>
      </c>
      <c r="O620" s="269">
        <f>IFERROR(IF(BA620="WIP - 30 Days",VLOOKUP(D620,[3]Extended!$B$9:$J$101,9,FALSE),IF(BA620="31-120 Days",VLOOKUP(D620,[3]Extended!$B$9:$K$101,10,FALSE),IF(BA620="121-365 Days",VLOOKUP(D620,[3]Extended!$B$9:$L$101,11,FALSE),VLOOKUP(D620,[3]Extended!$B$9:$M$101,12,FALSE)))),0)</f>
        <v>1286250</v>
      </c>
      <c r="P620" s="116">
        <f t="shared" si="46"/>
        <v>0.25</v>
      </c>
      <c r="Q620" s="110" t="e">
        <f>O620-#REF!</f>
        <v>#REF!</v>
      </c>
      <c r="W620" s="311"/>
      <c r="X620" s="311"/>
      <c r="Y620" s="311"/>
      <c r="Z620" s="311"/>
      <c r="AA620" s="311"/>
      <c r="AB620" s="311"/>
      <c r="AC620" s="311"/>
      <c r="AT620" s="88" t="str">
        <f t="shared" si="47"/>
        <v>KP0007182017Q214,7</v>
      </c>
      <c r="AU620" s="89" t="str">
        <f t="shared" si="48"/>
        <v>05-2017</v>
      </c>
      <c r="BA620" s="92" t="str">
        <f t="shared" si="49"/>
        <v>WIP - 30 Days</v>
      </c>
    </row>
    <row r="621" spans="2:53">
      <c r="B621" s="60">
        <f>[2]Trucks!A618</f>
        <v>46901</v>
      </c>
      <c r="C621" s="11" t="str">
        <f>[2]Trucks!B618</f>
        <v>TGS-27-4406X4BBS-L-STEEL</v>
      </c>
      <c r="D621" s="19" t="str">
        <f>IFERROR(VLOOKUP(C621&amp;"",'[2]Retail Price List'!$A$3:$B$103,2,FALSE),"Special Order")</f>
        <v>KP000718</v>
      </c>
      <c r="E621" s="18" t="str">
        <f>[2]Trucks!J618</f>
        <v>CKD</v>
      </c>
      <c r="F621" s="12" t="str">
        <f>[2]Trucks!E618</f>
        <v>2017-11-14</v>
      </c>
      <c r="G621" s="56">
        <f>[2]Trucks!K618</f>
        <v>14.7</v>
      </c>
      <c r="H621" s="46">
        <f>[2]Trucks!I618</f>
        <v>42859</v>
      </c>
      <c r="I621" s="83" t="str">
        <f t="shared" si="45"/>
        <v>2017Q2</v>
      </c>
      <c r="J621" s="272">
        <f>IFERROR(VLOOKUP((D621&amp;C621)&amp;"",'[2]Retail Price List'!$C$4:$F$102,3,FALSE),"")</f>
        <v>1680000</v>
      </c>
      <c r="K621" s="272">
        <f>IFERROR(IF(BA621="WIP - 30 Days",VLOOKUP(D621,[3]Standard!$B$9:$E$101,4,FALSE),IF(BA621="31-120 Days",VLOOKUP(D621,[3]Standard!$B$9:$F$101,5,FALSE),IF(BA621="121-365 Days",VLOOKUP(D621,[3]Standard!$B$9:$G$101,6,FALSE),VLOOKUP(D621,[3]Standard!$B$9:$H$101,7,FALSE)))),0)</f>
        <v>1280496</v>
      </c>
      <c r="L621" s="272">
        <f>IFERROR(IF(BA621="WIP - 30 Days",VLOOKUP(D621,[3]Standard!$B$9:$J$101,9,FALSE),IF(BA621="31-120 Days",VLOOKUP(D621,[3]Standard!$B$9:$K$100,10,FALSE),IF(BA621="121-365 Days",VLOOKUP(D621,[3]Standard!$B$9:$L$101,11,FALSE),VLOOKUP(D621,[3]Standard!$B$9:$M$101,12,FALSE)))),0)</f>
        <v>1243200</v>
      </c>
      <c r="M621" s="269">
        <f>IFERROR(VLOOKUP((D621&amp;C621)&amp;"",'[2]Retail Price List'!$C$4:$F$102,4,FALSE),"")</f>
        <v>1715000</v>
      </c>
      <c r="N621" s="269">
        <f>IFERROR(IF(BA621="WIP - 30 Days",VLOOKUP(D621,[3]Extended!$B$9:$E$101,4,FALSE),IF(BA621="31-120 Days",VLOOKUP(D621,[3]Extended!$B$9:$F$101,5,FALSE),IF(BA621="121-365 Days",VLOOKUP(D621,[3]Extended!$B$9:$G$101,6,FALSE),VLOOKUP(D621,[3]Extended!$B$9:$H$101,7,FALSE)))),0)</f>
        <v>1324837.5</v>
      </c>
      <c r="O621" s="269">
        <f>IFERROR(IF(BA621="WIP - 30 Days",VLOOKUP(D621,[3]Extended!$B$9:$J$101,9,FALSE),IF(BA621="31-120 Days",VLOOKUP(D621,[3]Extended!$B$9:$K$101,10,FALSE),IF(BA621="121-365 Days",VLOOKUP(D621,[3]Extended!$B$9:$L$101,11,FALSE),VLOOKUP(D621,[3]Extended!$B$9:$M$101,12,FALSE)))),0)</f>
        <v>1286250</v>
      </c>
      <c r="P621" s="116">
        <f t="shared" si="46"/>
        <v>0.25</v>
      </c>
      <c r="Q621" s="110" t="e">
        <f>O621-#REF!</f>
        <v>#REF!</v>
      </c>
      <c r="W621" s="311"/>
      <c r="X621" s="311"/>
      <c r="Y621" s="311"/>
      <c r="Z621" s="311"/>
      <c r="AA621" s="311"/>
      <c r="AB621" s="311"/>
      <c r="AC621" s="311"/>
      <c r="AT621" s="88" t="str">
        <f t="shared" si="47"/>
        <v>KP0007182017Q214,7</v>
      </c>
      <c r="AU621" s="89" t="str">
        <f t="shared" si="48"/>
        <v>05-2017</v>
      </c>
      <c r="BA621" s="92" t="str">
        <f t="shared" si="49"/>
        <v>WIP - 30 Days</v>
      </c>
    </row>
    <row r="622" spans="2:53">
      <c r="B622" s="60">
        <f>[2]Trucks!A619</f>
        <v>46902</v>
      </c>
      <c r="C622" s="11" t="str">
        <f>[2]Trucks!B619</f>
        <v>TGS-27-4406X4BBS-L-STEEL</v>
      </c>
      <c r="D622" s="19" t="str">
        <f>IFERROR(VLOOKUP(C622&amp;"",'[2]Retail Price List'!$A$3:$B$103,2,FALSE),"Special Order")</f>
        <v>KP000718</v>
      </c>
      <c r="E622" s="18" t="str">
        <f>[2]Trucks!J619</f>
        <v>CKD</v>
      </c>
      <c r="F622" s="12" t="str">
        <f>[2]Trucks!E619</f>
        <v>2017-11-15</v>
      </c>
      <c r="G622" s="56">
        <f>[2]Trucks!K619</f>
        <v>14.7</v>
      </c>
      <c r="H622" s="46">
        <f>[2]Trucks!I619</f>
        <v>42859</v>
      </c>
      <c r="I622" s="83" t="str">
        <f t="shared" si="45"/>
        <v>2017Q2</v>
      </c>
      <c r="J622" s="272">
        <f>IFERROR(VLOOKUP((D622&amp;C622)&amp;"",'[2]Retail Price List'!$C$4:$F$102,3,FALSE),"")</f>
        <v>1680000</v>
      </c>
      <c r="K622" s="272">
        <f>IFERROR(IF(BA622="WIP - 30 Days",VLOOKUP(D622,[3]Standard!$B$9:$E$101,4,FALSE),IF(BA622="31-120 Days",VLOOKUP(D622,[3]Standard!$B$9:$F$101,5,FALSE),IF(BA622="121-365 Days",VLOOKUP(D622,[3]Standard!$B$9:$G$101,6,FALSE),VLOOKUP(D622,[3]Standard!$B$9:$H$101,7,FALSE)))),0)</f>
        <v>1280496</v>
      </c>
      <c r="L622" s="272">
        <f>IFERROR(IF(BA622="WIP - 30 Days",VLOOKUP(D622,[3]Standard!$B$9:$J$101,9,FALSE),IF(BA622="31-120 Days",VLOOKUP(D622,[3]Standard!$B$9:$K$100,10,FALSE),IF(BA622="121-365 Days",VLOOKUP(D622,[3]Standard!$B$9:$L$101,11,FALSE),VLOOKUP(D622,[3]Standard!$B$9:$M$101,12,FALSE)))),0)</f>
        <v>1243200</v>
      </c>
      <c r="M622" s="269">
        <f>IFERROR(VLOOKUP((D622&amp;C622)&amp;"",'[2]Retail Price List'!$C$4:$F$102,4,FALSE),"")</f>
        <v>1715000</v>
      </c>
      <c r="N622" s="269">
        <f>IFERROR(IF(BA622="WIP - 30 Days",VLOOKUP(D622,[3]Extended!$B$9:$E$101,4,FALSE),IF(BA622="31-120 Days",VLOOKUP(D622,[3]Extended!$B$9:$F$101,5,FALSE),IF(BA622="121-365 Days",VLOOKUP(D622,[3]Extended!$B$9:$G$101,6,FALSE),VLOOKUP(D622,[3]Extended!$B$9:$H$101,7,FALSE)))),0)</f>
        <v>1324837.5</v>
      </c>
      <c r="O622" s="269">
        <f>IFERROR(IF(BA622="WIP - 30 Days",VLOOKUP(D622,[3]Extended!$B$9:$J$101,9,FALSE),IF(BA622="31-120 Days",VLOOKUP(D622,[3]Extended!$B$9:$K$101,10,FALSE),IF(BA622="121-365 Days",VLOOKUP(D622,[3]Extended!$B$9:$L$101,11,FALSE),VLOOKUP(D622,[3]Extended!$B$9:$M$101,12,FALSE)))),0)</f>
        <v>1286250</v>
      </c>
      <c r="P622" s="116">
        <f t="shared" si="46"/>
        <v>0.25</v>
      </c>
      <c r="Q622" s="110" t="e">
        <f>O622-#REF!</f>
        <v>#REF!</v>
      </c>
      <c r="W622" s="311"/>
      <c r="X622" s="311"/>
      <c r="Y622" s="311"/>
      <c r="Z622" s="311"/>
      <c r="AA622" s="311"/>
      <c r="AB622" s="311"/>
      <c r="AC622" s="311"/>
      <c r="AT622" s="88" t="str">
        <f t="shared" si="47"/>
        <v>KP0007182017Q214,7</v>
      </c>
      <c r="AU622" s="89" t="str">
        <f t="shared" si="48"/>
        <v>05-2017</v>
      </c>
      <c r="BA622" s="92" t="str">
        <f t="shared" si="49"/>
        <v>WIP - 30 Days</v>
      </c>
    </row>
    <row r="623" spans="2:53">
      <c r="B623" s="60">
        <f>[2]Trucks!A620</f>
        <v>46903</v>
      </c>
      <c r="C623" s="11" t="str">
        <f>[2]Trucks!B620</f>
        <v>TGS-27-4406X4BBS-L-STEEL</v>
      </c>
      <c r="D623" s="19" t="str">
        <f>IFERROR(VLOOKUP(C623&amp;"",'[2]Retail Price List'!$A$3:$B$103,2,FALSE),"Special Order")</f>
        <v>KP000718</v>
      </c>
      <c r="E623" s="18" t="str">
        <f>[2]Trucks!J620</f>
        <v>CKD</v>
      </c>
      <c r="F623" s="12" t="str">
        <f>[2]Trucks!E620</f>
        <v>2017-11-15</v>
      </c>
      <c r="G623" s="56">
        <f>[2]Trucks!K620</f>
        <v>14.7</v>
      </c>
      <c r="H623" s="46">
        <f>[2]Trucks!I620</f>
        <v>42859</v>
      </c>
      <c r="I623" s="83" t="str">
        <f t="shared" si="45"/>
        <v>2017Q2</v>
      </c>
      <c r="J623" s="272">
        <f>IFERROR(VLOOKUP((D623&amp;C623)&amp;"",'[2]Retail Price List'!$C$4:$F$102,3,FALSE),"")</f>
        <v>1680000</v>
      </c>
      <c r="K623" s="272">
        <f>IFERROR(IF(BA623="WIP - 30 Days",VLOOKUP(D623,[3]Standard!$B$9:$E$101,4,FALSE),IF(BA623="31-120 Days",VLOOKUP(D623,[3]Standard!$B$9:$F$101,5,FALSE),IF(BA623="121-365 Days",VLOOKUP(D623,[3]Standard!$B$9:$G$101,6,FALSE),VLOOKUP(D623,[3]Standard!$B$9:$H$101,7,FALSE)))),0)</f>
        <v>1280496</v>
      </c>
      <c r="L623" s="272">
        <f>IFERROR(IF(BA623="WIP - 30 Days",VLOOKUP(D623,[3]Standard!$B$9:$J$101,9,FALSE),IF(BA623="31-120 Days",VLOOKUP(D623,[3]Standard!$B$9:$K$100,10,FALSE),IF(BA623="121-365 Days",VLOOKUP(D623,[3]Standard!$B$9:$L$101,11,FALSE),VLOOKUP(D623,[3]Standard!$B$9:$M$101,12,FALSE)))),0)</f>
        <v>1243200</v>
      </c>
      <c r="M623" s="269">
        <f>IFERROR(VLOOKUP((D623&amp;C623)&amp;"",'[2]Retail Price List'!$C$4:$F$102,4,FALSE),"")</f>
        <v>1715000</v>
      </c>
      <c r="N623" s="269">
        <f>IFERROR(IF(BA623="WIP - 30 Days",VLOOKUP(D623,[3]Extended!$B$9:$E$101,4,FALSE),IF(BA623="31-120 Days",VLOOKUP(D623,[3]Extended!$B$9:$F$101,5,FALSE),IF(BA623="121-365 Days",VLOOKUP(D623,[3]Extended!$B$9:$G$101,6,FALSE),VLOOKUP(D623,[3]Extended!$B$9:$H$101,7,FALSE)))),0)</f>
        <v>1324837.5</v>
      </c>
      <c r="O623" s="269">
        <f>IFERROR(IF(BA623="WIP - 30 Days",VLOOKUP(D623,[3]Extended!$B$9:$J$101,9,FALSE),IF(BA623="31-120 Days",VLOOKUP(D623,[3]Extended!$B$9:$K$101,10,FALSE),IF(BA623="121-365 Days",VLOOKUP(D623,[3]Extended!$B$9:$L$101,11,FALSE),VLOOKUP(D623,[3]Extended!$B$9:$M$101,12,FALSE)))),0)</f>
        <v>1286250</v>
      </c>
      <c r="P623" s="116">
        <f t="shared" si="46"/>
        <v>0.25</v>
      </c>
      <c r="Q623" s="110" t="e">
        <f>O623-#REF!</f>
        <v>#REF!</v>
      </c>
      <c r="W623" s="311"/>
      <c r="X623" s="311"/>
      <c r="Y623" s="311"/>
      <c r="Z623" s="311"/>
      <c r="AA623" s="311"/>
      <c r="AB623" s="311"/>
      <c r="AC623" s="311"/>
      <c r="AT623" s="88" t="str">
        <f t="shared" si="47"/>
        <v>KP0007182017Q214,7</v>
      </c>
      <c r="AU623" s="89" t="str">
        <f t="shared" si="48"/>
        <v>05-2017</v>
      </c>
      <c r="BA623" s="92" t="str">
        <f t="shared" si="49"/>
        <v>WIP - 30 Days</v>
      </c>
    </row>
    <row r="624" spans="2:53">
      <c r="B624" s="60">
        <f>[2]Trucks!A621</f>
        <v>46904</v>
      </c>
      <c r="C624" s="11" t="str">
        <f>[2]Trucks!B621</f>
        <v>TGS-27-4406X4BBS-L-STEEL</v>
      </c>
      <c r="D624" s="19" t="str">
        <f>IFERROR(VLOOKUP(C624&amp;"",'[2]Retail Price List'!$A$3:$B$103,2,FALSE),"Special Order")</f>
        <v>KP000718</v>
      </c>
      <c r="E624" s="18" t="str">
        <f>[2]Trucks!J621</f>
        <v>CKD</v>
      </c>
      <c r="F624" s="12" t="str">
        <f>[2]Trucks!E621</f>
        <v>2017-11-23</v>
      </c>
      <c r="G624" s="56">
        <f>[2]Trucks!K621</f>
        <v>14.7</v>
      </c>
      <c r="H624" s="46">
        <f>[2]Trucks!I621</f>
        <v>42859</v>
      </c>
      <c r="I624" s="83" t="str">
        <f t="shared" si="45"/>
        <v>2017Q2</v>
      </c>
      <c r="J624" s="272">
        <f>IFERROR(VLOOKUP((D624&amp;C624)&amp;"",'[2]Retail Price List'!$C$4:$F$102,3,FALSE),"")</f>
        <v>1680000</v>
      </c>
      <c r="K624" s="272">
        <f>IFERROR(IF(BA624="WIP - 30 Days",VLOOKUP(D624,[3]Standard!$B$9:$E$101,4,FALSE),IF(BA624="31-120 Days",VLOOKUP(D624,[3]Standard!$B$9:$F$101,5,FALSE),IF(BA624="121-365 Days",VLOOKUP(D624,[3]Standard!$B$9:$G$101,6,FALSE),VLOOKUP(D624,[3]Standard!$B$9:$H$101,7,FALSE)))),0)</f>
        <v>1280496</v>
      </c>
      <c r="L624" s="272">
        <f>IFERROR(IF(BA624="WIP - 30 Days",VLOOKUP(D624,[3]Standard!$B$9:$J$101,9,FALSE),IF(BA624="31-120 Days",VLOOKUP(D624,[3]Standard!$B$9:$K$100,10,FALSE),IF(BA624="121-365 Days",VLOOKUP(D624,[3]Standard!$B$9:$L$101,11,FALSE),VLOOKUP(D624,[3]Standard!$B$9:$M$101,12,FALSE)))),0)</f>
        <v>1243200</v>
      </c>
      <c r="M624" s="269">
        <f>IFERROR(VLOOKUP((D624&amp;C624)&amp;"",'[2]Retail Price List'!$C$4:$F$102,4,FALSE),"")</f>
        <v>1715000</v>
      </c>
      <c r="N624" s="269">
        <f>IFERROR(IF(BA624="WIP - 30 Days",VLOOKUP(D624,[3]Extended!$B$9:$E$101,4,FALSE),IF(BA624="31-120 Days",VLOOKUP(D624,[3]Extended!$B$9:$F$101,5,FALSE),IF(BA624="121-365 Days",VLOOKUP(D624,[3]Extended!$B$9:$G$101,6,FALSE),VLOOKUP(D624,[3]Extended!$B$9:$H$101,7,FALSE)))),0)</f>
        <v>1324837.5</v>
      </c>
      <c r="O624" s="269">
        <f>IFERROR(IF(BA624="WIP - 30 Days",VLOOKUP(D624,[3]Extended!$B$9:$J$101,9,FALSE),IF(BA624="31-120 Days",VLOOKUP(D624,[3]Extended!$B$9:$K$101,10,FALSE),IF(BA624="121-365 Days",VLOOKUP(D624,[3]Extended!$B$9:$L$101,11,FALSE),VLOOKUP(D624,[3]Extended!$B$9:$M$101,12,FALSE)))),0)</f>
        <v>1286250</v>
      </c>
      <c r="P624" s="116">
        <f t="shared" si="46"/>
        <v>0.25</v>
      </c>
      <c r="Q624" s="110" t="e">
        <f>O624-#REF!</f>
        <v>#REF!</v>
      </c>
      <c r="W624" s="311"/>
      <c r="X624" s="311"/>
      <c r="Y624" s="311"/>
      <c r="Z624" s="311"/>
      <c r="AA624" s="311"/>
      <c r="AB624" s="311"/>
      <c r="AC624" s="311"/>
      <c r="AT624" s="88" t="str">
        <f t="shared" si="47"/>
        <v>KP0007182017Q214,7</v>
      </c>
      <c r="AU624" s="89" t="str">
        <f t="shared" si="48"/>
        <v>05-2017</v>
      </c>
      <c r="BA624" s="92" t="str">
        <f t="shared" si="49"/>
        <v>WIP - 30 Days</v>
      </c>
    </row>
    <row r="625" spans="2:53">
      <c r="B625" s="60">
        <f>[2]Trucks!A622</f>
        <v>46905</v>
      </c>
      <c r="C625" s="11" t="str">
        <f>[2]Trucks!B622</f>
        <v>TGS-27-4406X4BBS-L-STEEL</v>
      </c>
      <c r="D625" s="19" t="str">
        <f>IFERROR(VLOOKUP(C625&amp;"",'[2]Retail Price List'!$A$3:$B$103,2,FALSE),"Special Order")</f>
        <v>KP000718</v>
      </c>
      <c r="E625" s="18" t="str">
        <f>[2]Trucks!J622</f>
        <v>CKD</v>
      </c>
      <c r="F625" s="12" t="str">
        <f>[2]Trucks!E622</f>
        <v>2017-11-23</v>
      </c>
      <c r="G625" s="56">
        <f>[2]Trucks!K622</f>
        <v>14.7</v>
      </c>
      <c r="H625" s="46">
        <f>[2]Trucks!I622</f>
        <v>42859</v>
      </c>
      <c r="I625" s="83" t="str">
        <f t="shared" si="45"/>
        <v>2017Q2</v>
      </c>
      <c r="J625" s="272">
        <f>IFERROR(VLOOKUP((D625&amp;C625)&amp;"",'[2]Retail Price List'!$C$4:$F$102,3,FALSE),"")</f>
        <v>1680000</v>
      </c>
      <c r="K625" s="272">
        <f>IFERROR(IF(BA625="WIP - 30 Days",VLOOKUP(D625,[3]Standard!$B$9:$E$101,4,FALSE),IF(BA625="31-120 Days",VLOOKUP(D625,[3]Standard!$B$9:$F$101,5,FALSE),IF(BA625="121-365 Days",VLOOKUP(D625,[3]Standard!$B$9:$G$101,6,FALSE),VLOOKUP(D625,[3]Standard!$B$9:$H$101,7,FALSE)))),0)</f>
        <v>1280496</v>
      </c>
      <c r="L625" s="272">
        <f>IFERROR(IF(BA625="WIP - 30 Days",VLOOKUP(D625,[3]Standard!$B$9:$J$101,9,FALSE),IF(BA625="31-120 Days",VLOOKUP(D625,[3]Standard!$B$9:$K$100,10,FALSE),IF(BA625="121-365 Days",VLOOKUP(D625,[3]Standard!$B$9:$L$101,11,FALSE),VLOOKUP(D625,[3]Standard!$B$9:$M$101,12,FALSE)))),0)</f>
        <v>1243200</v>
      </c>
      <c r="M625" s="269">
        <f>IFERROR(VLOOKUP((D625&amp;C625)&amp;"",'[2]Retail Price List'!$C$4:$F$102,4,FALSE),"")</f>
        <v>1715000</v>
      </c>
      <c r="N625" s="269">
        <f>IFERROR(IF(BA625="WIP - 30 Days",VLOOKUP(D625,[3]Extended!$B$9:$E$101,4,FALSE),IF(BA625="31-120 Days",VLOOKUP(D625,[3]Extended!$B$9:$F$101,5,FALSE),IF(BA625="121-365 Days",VLOOKUP(D625,[3]Extended!$B$9:$G$101,6,FALSE),VLOOKUP(D625,[3]Extended!$B$9:$H$101,7,FALSE)))),0)</f>
        <v>1324837.5</v>
      </c>
      <c r="O625" s="269">
        <f>IFERROR(IF(BA625="WIP - 30 Days",VLOOKUP(D625,[3]Extended!$B$9:$J$101,9,FALSE),IF(BA625="31-120 Days",VLOOKUP(D625,[3]Extended!$B$9:$K$101,10,FALSE),IF(BA625="121-365 Days",VLOOKUP(D625,[3]Extended!$B$9:$L$101,11,FALSE),VLOOKUP(D625,[3]Extended!$B$9:$M$101,12,FALSE)))),0)</f>
        <v>1286250</v>
      </c>
      <c r="P625" s="116">
        <f t="shared" si="46"/>
        <v>0.25</v>
      </c>
      <c r="Q625" s="110" t="e">
        <f>O625-#REF!</f>
        <v>#REF!</v>
      </c>
      <c r="W625" s="311"/>
      <c r="X625" s="311"/>
      <c r="Y625" s="311"/>
      <c r="Z625" s="311"/>
      <c r="AA625" s="311"/>
      <c r="AB625" s="311"/>
      <c r="AC625" s="311"/>
      <c r="AT625" s="88" t="str">
        <f t="shared" si="47"/>
        <v>KP0007182017Q214,7</v>
      </c>
      <c r="AU625" s="89" t="str">
        <f t="shared" si="48"/>
        <v>05-2017</v>
      </c>
      <c r="BA625" s="92" t="str">
        <f t="shared" si="49"/>
        <v>WIP - 30 Days</v>
      </c>
    </row>
    <row r="626" spans="2:53">
      <c r="B626" s="60">
        <f>[2]Trucks!A623</f>
        <v>46906</v>
      </c>
      <c r="C626" s="11" t="str">
        <f>[2]Trucks!B623</f>
        <v>TGS-27-4406X4BBS-L-STEEL</v>
      </c>
      <c r="D626" s="19" t="str">
        <f>IFERROR(VLOOKUP(C626&amp;"",'[2]Retail Price List'!$A$3:$B$103,2,FALSE),"Special Order")</f>
        <v>KP000718</v>
      </c>
      <c r="E626" s="18" t="str">
        <f>[2]Trucks!J623</f>
        <v>CKD</v>
      </c>
      <c r="F626" s="12" t="str">
        <f>[2]Trucks!E623</f>
        <v>2017-11-23</v>
      </c>
      <c r="G626" s="56">
        <f>[2]Trucks!K623</f>
        <v>14.7</v>
      </c>
      <c r="H626" s="46">
        <f>[2]Trucks!I623</f>
        <v>42859</v>
      </c>
      <c r="I626" s="83" t="str">
        <f t="shared" si="45"/>
        <v>2017Q2</v>
      </c>
      <c r="J626" s="272">
        <f>IFERROR(VLOOKUP((D626&amp;C626)&amp;"",'[2]Retail Price List'!$C$4:$F$102,3,FALSE),"")</f>
        <v>1680000</v>
      </c>
      <c r="K626" s="272">
        <f>IFERROR(IF(BA626="WIP - 30 Days",VLOOKUP(D626,[3]Standard!$B$9:$E$101,4,FALSE),IF(BA626="31-120 Days",VLOOKUP(D626,[3]Standard!$B$9:$F$101,5,FALSE),IF(BA626="121-365 Days",VLOOKUP(D626,[3]Standard!$B$9:$G$101,6,FALSE),VLOOKUP(D626,[3]Standard!$B$9:$H$101,7,FALSE)))),0)</f>
        <v>1280496</v>
      </c>
      <c r="L626" s="272">
        <f>IFERROR(IF(BA626="WIP - 30 Days",VLOOKUP(D626,[3]Standard!$B$9:$J$101,9,FALSE),IF(BA626="31-120 Days",VLOOKUP(D626,[3]Standard!$B$9:$K$100,10,FALSE),IF(BA626="121-365 Days",VLOOKUP(D626,[3]Standard!$B$9:$L$101,11,FALSE),VLOOKUP(D626,[3]Standard!$B$9:$M$101,12,FALSE)))),0)</f>
        <v>1243200</v>
      </c>
      <c r="M626" s="269">
        <f>IFERROR(VLOOKUP((D626&amp;C626)&amp;"",'[2]Retail Price List'!$C$4:$F$102,4,FALSE),"")</f>
        <v>1715000</v>
      </c>
      <c r="N626" s="269">
        <f>IFERROR(IF(BA626="WIP - 30 Days",VLOOKUP(D626,[3]Extended!$B$9:$E$101,4,FALSE),IF(BA626="31-120 Days",VLOOKUP(D626,[3]Extended!$B$9:$F$101,5,FALSE),IF(BA626="121-365 Days",VLOOKUP(D626,[3]Extended!$B$9:$G$101,6,FALSE),VLOOKUP(D626,[3]Extended!$B$9:$H$101,7,FALSE)))),0)</f>
        <v>1324837.5</v>
      </c>
      <c r="O626" s="269">
        <f>IFERROR(IF(BA626="WIP - 30 Days",VLOOKUP(D626,[3]Extended!$B$9:$J$101,9,FALSE),IF(BA626="31-120 Days",VLOOKUP(D626,[3]Extended!$B$9:$K$101,10,FALSE),IF(BA626="121-365 Days",VLOOKUP(D626,[3]Extended!$B$9:$L$101,11,FALSE),VLOOKUP(D626,[3]Extended!$B$9:$M$101,12,FALSE)))),0)</f>
        <v>1286250</v>
      </c>
      <c r="P626" s="116">
        <f t="shared" si="46"/>
        <v>0.25</v>
      </c>
      <c r="Q626" s="110" t="e">
        <f>O626-#REF!</f>
        <v>#REF!</v>
      </c>
      <c r="W626" s="311"/>
      <c r="X626" s="311"/>
      <c r="Y626" s="311"/>
      <c r="Z626" s="311"/>
      <c r="AA626" s="311"/>
      <c r="AB626" s="311"/>
      <c r="AC626" s="311"/>
      <c r="AT626" s="88" t="str">
        <f t="shared" si="47"/>
        <v>KP0007182017Q214,7</v>
      </c>
      <c r="AU626" s="89" t="str">
        <f t="shared" si="48"/>
        <v>05-2017</v>
      </c>
      <c r="BA626" s="92" t="str">
        <f t="shared" si="49"/>
        <v>WIP - 30 Days</v>
      </c>
    </row>
    <row r="627" spans="2:53">
      <c r="B627" s="60">
        <f>[2]Trucks!A624</f>
        <v>46907</v>
      </c>
      <c r="C627" s="11" t="str">
        <f>[2]Trucks!B624</f>
        <v>TGS-27-4406X4BBS-L-STEEL</v>
      </c>
      <c r="D627" s="19" t="str">
        <f>IFERROR(VLOOKUP(C627&amp;"",'[2]Retail Price List'!$A$3:$B$103,2,FALSE),"Special Order")</f>
        <v>KP000718</v>
      </c>
      <c r="E627" s="18" t="str">
        <f>[2]Trucks!J624</f>
        <v>CKD</v>
      </c>
      <c r="F627" s="12" t="str">
        <f>[2]Trucks!E624</f>
        <v>2017-11-23</v>
      </c>
      <c r="G627" s="56">
        <f>[2]Trucks!K624</f>
        <v>14.7</v>
      </c>
      <c r="H627" s="46">
        <f>[2]Trucks!I624</f>
        <v>42859</v>
      </c>
      <c r="I627" s="83" t="str">
        <f t="shared" si="45"/>
        <v>2017Q2</v>
      </c>
      <c r="J627" s="272">
        <f>IFERROR(VLOOKUP((D627&amp;C627)&amp;"",'[2]Retail Price List'!$C$4:$F$102,3,FALSE),"")</f>
        <v>1680000</v>
      </c>
      <c r="K627" s="272">
        <f>IFERROR(IF(BA627="WIP - 30 Days",VLOOKUP(D627,[3]Standard!$B$9:$E$101,4,FALSE),IF(BA627="31-120 Days",VLOOKUP(D627,[3]Standard!$B$9:$F$101,5,FALSE),IF(BA627="121-365 Days",VLOOKUP(D627,[3]Standard!$B$9:$G$101,6,FALSE),VLOOKUP(D627,[3]Standard!$B$9:$H$101,7,FALSE)))),0)</f>
        <v>1280496</v>
      </c>
      <c r="L627" s="272">
        <f>IFERROR(IF(BA627="WIP - 30 Days",VLOOKUP(D627,[3]Standard!$B$9:$J$101,9,FALSE),IF(BA627="31-120 Days",VLOOKUP(D627,[3]Standard!$B$9:$K$100,10,FALSE),IF(BA627="121-365 Days",VLOOKUP(D627,[3]Standard!$B$9:$L$101,11,FALSE),VLOOKUP(D627,[3]Standard!$B$9:$M$101,12,FALSE)))),0)</f>
        <v>1243200</v>
      </c>
      <c r="M627" s="269">
        <f>IFERROR(VLOOKUP((D627&amp;C627)&amp;"",'[2]Retail Price List'!$C$4:$F$102,4,FALSE),"")</f>
        <v>1715000</v>
      </c>
      <c r="N627" s="269">
        <f>IFERROR(IF(BA627="WIP - 30 Days",VLOOKUP(D627,[3]Extended!$B$9:$E$101,4,FALSE),IF(BA627="31-120 Days",VLOOKUP(D627,[3]Extended!$B$9:$F$101,5,FALSE),IF(BA627="121-365 Days",VLOOKUP(D627,[3]Extended!$B$9:$G$101,6,FALSE),VLOOKUP(D627,[3]Extended!$B$9:$H$101,7,FALSE)))),0)</f>
        <v>1324837.5</v>
      </c>
      <c r="O627" s="269">
        <f>IFERROR(IF(BA627="WIP - 30 Days",VLOOKUP(D627,[3]Extended!$B$9:$J$101,9,FALSE),IF(BA627="31-120 Days",VLOOKUP(D627,[3]Extended!$B$9:$K$101,10,FALSE),IF(BA627="121-365 Days",VLOOKUP(D627,[3]Extended!$B$9:$L$101,11,FALSE),VLOOKUP(D627,[3]Extended!$B$9:$M$101,12,FALSE)))),0)</f>
        <v>1286250</v>
      </c>
      <c r="P627" s="116">
        <f t="shared" si="46"/>
        <v>0.25</v>
      </c>
      <c r="Q627" s="110" t="e">
        <f>O627-#REF!</f>
        <v>#REF!</v>
      </c>
      <c r="W627" s="311"/>
      <c r="X627" s="311"/>
      <c r="Y627" s="311"/>
      <c r="Z627" s="311"/>
      <c r="AA627" s="311"/>
      <c r="AB627" s="311"/>
      <c r="AC627" s="311"/>
      <c r="AT627" s="88" t="str">
        <f t="shared" si="47"/>
        <v>KP0007182017Q214,7</v>
      </c>
      <c r="AU627" s="89" t="str">
        <f t="shared" si="48"/>
        <v>05-2017</v>
      </c>
      <c r="BA627" s="92" t="str">
        <f t="shared" si="49"/>
        <v>WIP - 30 Days</v>
      </c>
    </row>
    <row r="628" spans="2:53">
      <c r="B628" s="60">
        <f>[2]Trucks!A625</f>
        <v>47518</v>
      </c>
      <c r="C628" s="11" t="str">
        <f>[2]Trucks!B625</f>
        <v>TGS-27-4406X4BBS-L-STEEL</v>
      </c>
      <c r="D628" s="19" t="str">
        <f>IFERROR(VLOOKUP(C628&amp;"",'[2]Retail Price List'!$A$3:$B$103,2,FALSE),"Special Order")</f>
        <v>KP000718</v>
      </c>
      <c r="E628" s="18" t="str">
        <f>[2]Trucks!J625</f>
        <v>CKD</v>
      </c>
      <c r="F628" s="12" t="str">
        <f>[2]Trucks!E625</f>
        <v>2017-11-15</v>
      </c>
      <c r="G628" s="56">
        <f>[2]Trucks!K625</f>
        <v>14.7</v>
      </c>
      <c r="H628" s="46">
        <f>[2]Trucks!I625</f>
        <v>42937</v>
      </c>
      <c r="I628" s="83" t="str">
        <f t="shared" si="45"/>
        <v>2017Q3</v>
      </c>
      <c r="J628" s="272">
        <f>IFERROR(VLOOKUP((D628&amp;C628)&amp;"",'[2]Retail Price List'!$C$4:$F$102,3,FALSE),"")</f>
        <v>1680000</v>
      </c>
      <c r="K628" s="272">
        <f>IFERROR(IF(BA628="WIP - 30 Days",VLOOKUP(D628,[3]Standard!$B$9:$E$101,4,FALSE),IF(BA628="31-120 Days",VLOOKUP(D628,[3]Standard!$B$9:$F$101,5,FALSE),IF(BA628="121-365 Days",VLOOKUP(D628,[3]Standard!$B$9:$G$101,6,FALSE),VLOOKUP(D628,[3]Standard!$B$9:$H$101,7,FALSE)))),0)</f>
        <v>1280496</v>
      </c>
      <c r="L628" s="272">
        <f>IFERROR(IF(BA628="WIP - 30 Days",VLOOKUP(D628,[3]Standard!$B$9:$J$101,9,FALSE),IF(BA628="31-120 Days",VLOOKUP(D628,[3]Standard!$B$9:$K$100,10,FALSE),IF(BA628="121-365 Days",VLOOKUP(D628,[3]Standard!$B$9:$L$101,11,FALSE),VLOOKUP(D628,[3]Standard!$B$9:$M$101,12,FALSE)))),0)</f>
        <v>1243200</v>
      </c>
      <c r="M628" s="269">
        <f>IFERROR(VLOOKUP((D628&amp;C628)&amp;"",'[2]Retail Price List'!$C$4:$F$102,4,FALSE),"")</f>
        <v>1715000</v>
      </c>
      <c r="N628" s="269">
        <f>IFERROR(IF(BA628="WIP - 30 Days",VLOOKUP(D628,[3]Extended!$B$9:$E$101,4,FALSE),IF(BA628="31-120 Days",VLOOKUP(D628,[3]Extended!$B$9:$F$101,5,FALSE),IF(BA628="121-365 Days",VLOOKUP(D628,[3]Extended!$B$9:$G$101,6,FALSE),VLOOKUP(D628,[3]Extended!$B$9:$H$101,7,FALSE)))),0)</f>
        <v>1324837.5</v>
      </c>
      <c r="O628" s="269">
        <f>IFERROR(IF(BA628="WIP - 30 Days",VLOOKUP(D628,[3]Extended!$B$9:$J$101,9,FALSE),IF(BA628="31-120 Days",VLOOKUP(D628,[3]Extended!$B$9:$K$101,10,FALSE),IF(BA628="121-365 Days",VLOOKUP(D628,[3]Extended!$B$9:$L$101,11,FALSE),VLOOKUP(D628,[3]Extended!$B$9:$M$101,12,FALSE)))),0)</f>
        <v>1286250</v>
      </c>
      <c r="P628" s="116">
        <f t="shared" si="46"/>
        <v>0.25</v>
      </c>
      <c r="Q628" s="110" t="e">
        <f>O628-#REF!</f>
        <v>#REF!</v>
      </c>
      <c r="W628" s="311"/>
      <c r="X628" s="311"/>
      <c r="Y628" s="311"/>
      <c r="Z628" s="311"/>
      <c r="AA628" s="311"/>
      <c r="AB628" s="311"/>
      <c r="AC628" s="311"/>
      <c r="AT628" s="88" t="str">
        <f t="shared" si="47"/>
        <v>KP0007182017Q314,7</v>
      </c>
      <c r="AU628" s="89" t="str">
        <f t="shared" si="48"/>
        <v>07-2017</v>
      </c>
      <c r="BA628" s="92" t="str">
        <f t="shared" si="49"/>
        <v>WIP - 30 Days</v>
      </c>
    </row>
    <row r="629" spans="2:53">
      <c r="B629" s="60">
        <f>[2]Trucks!A626</f>
        <v>47519</v>
      </c>
      <c r="C629" s="11" t="str">
        <f>[2]Trucks!B626</f>
        <v>TGS-27-4406X4BBS-L-STEEL</v>
      </c>
      <c r="D629" s="19" t="str">
        <f>IFERROR(VLOOKUP(C629&amp;"",'[2]Retail Price List'!$A$3:$B$103,2,FALSE),"Special Order")</f>
        <v>KP000718</v>
      </c>
      <c r="E629" s="18" t="str">
        <f>[2]Trucks!J626</f>
        <v>CKD</v>
      </c>
      <c r="F629" s="12" t="str">
        <f>[2]Trucks!E626</f>
        <v>2017-11-15</v>
      </c>
      <c r="G629" s="56">
        <f>[2]Trucks!K626</f>
        <v>14.7</v>
      </c>
      <c r="H629" s="46">
        <f>[2]Trucks!I626</f>
        <v>42937</v>
      </c>
      <c r="I629" s="83" t="str">
        <f t="shared" si="45"/>
        <v>2017Q3</v>
      </c>
      <c r="J629" s="272">
        <f>IFERROR(VLOOKUP((D629&amp;C629)&amp;"",'[2]Retail Price List'!$C$4:$F$102,3,FALSE),"")</f>
        <v>1680000</v>
      </c>
      <c r="K629" s="272">
        <f>IFERROR(IF(BA629="WIP - 30 Days",VLOOKUP(D629,[3]Standard!$B$9:$E$101,4,FALSE),IF(BA629="31-120 Days",VLOOKUP(D629,[3]Standard!$B$9:$F$101,5,FALSE),IF(BA629="121-365 Days",VLOOKUP(D629,[3]Standard!$B$9:$G$101,6,FALSE),VLOOKUP(D629,[3]Standard!$B$9:$H$101,7,FALSE)))),0)</f>
        <v>1280496</v>
      </c>
      <c r="L629" s="272">
        <f>IFERROR(IF(BA629="WIP - 30 Days",VLOOKUP(D629,[3]Standard!$B$9:$J$101,9,FALSE),IF(BA629="31-120 Days",VLOOKUP(D629,[3]Standard!$B$9:$K$100,10,FALSE),IF(BA629="121-365 Days",VLOOKUP(D629,[3]Standard!$B$9:$L$101,11,FALSE),VLOOKUP(D629,[3]Standard!$B$9:$M$101,12,FALSE)))),0)</f>
        <v>1243200</v>
      </c>
      <c r="M629" s="269">
        <f>IFERROR(VLOOKUP((D629&amp;C629)&amp;"",'[2]Retail Price List'!$C$4:$F$102,4,FALSE),"")</f>
        <v>1715000</v>
      </c>
      <c r="N629" s="269">
        <f>IFERROR(IF(BA629="WIP - 30 Days",VLOOKUP(D629,[3]Extended!$B$9:$E$101,4,FALSE),IF(BA629="31-120 Days",VLOOKUP(D629,[3]Extended!$B$9:$F$101,5,FALSE),IF(BA629="121-365 Days",VLOOKUP(D629,[3]Extended!$B$9:$G$101,6,FALSE),VLOOKUP(D629,[3]Extended!$B$9:$H$101,7,FALSE)))),0)</f>
        <v>1324837.5</v>
      </c>
      <c r="O629" s="269">
        <f>IFERROR(IF(BA629="WIP - 30 Days",VLOOKUP(D629,[3]Extended!$B$9:$J$101,9,FALSE),IF(BA629="31-120 Days",VLOOKUP(D629,[3]Extended!$B$9:$K$101,10,FALSE),IF(BA629="121-365 Days",VLOOKUP(D629,[3]Extended!$B$9:$L$101,11,FALSE),VLOOKUP(D629,[3]Extended!$B$9:$M$101,12,FALSE)))),0)</f>
        <v>1286250</v>
      </c>
      <c r="P629" s="116">
        <f t="shared" si="46"/>
        <v>0.25</v>
      </c>
      <c r="Q629" s="110" t="e">
        <f>O629-#REF!</f>
        <v>#REF!</v>
      </c>
      <c r="W629" s="311"/>
      <c r="X629" s="311"/>
      <c r="Y629" s="311"/>
      <c r="Z629" s="311"/>
      <c r="AA629" s="311"/>
      <c r="AB629" s="311"/>
      <c r="AC629" s="311"/>
      <c r="AT629" s="88" t="str">
        <f t="shared" si="47"/>
        <v>KP0007182017Q314,7</v>
      </c>
      <c r="AU629" s="89" t="str">
        <f t="shared" si="48"/>
        <v>07-2017</v>
      </c>
      <c r="BA629" s="92" t="str">
        <f t="shared" si="49"/>
        <v>WIP - 30 Days</v>
      </c>
    </row>
    <row r="630" spans="2:53">
      <c r="B630" s="60">
        <f>[2]Trucks!A627</f>
        <v>47520</v>
      </c>
      <c r="C630" s="11" t="str">
        <f>[2]Trucks!B627</f>
        <v>TGS-27-4406X4BBS-L-STEEL</v>
      </c>
      <c r="D630" s="19" t="str">
        <f>IFERROR(VLOOKUP(C630&amp;"",'[2]Retail Price List'!$A$3:$B$103,2,FALSE),"Special Order")</f>
        <v>KP000718</v>
      </c>
      <c r="E630" s="18" t="str">
        <f>[2]Trucks!J627</f>
        <v>CKD</v>
      </c>
      <c r="F630" s="12" t="str">
        <f>[2]Trucks!E627</f>
        <v>2017-11-15</v>
      </c>
      <c r="G630" s="56">
        <f>[2]Trucks!K627</f>
        <v>14.7</v>
      </c>
      <c r="H630" s="46">
        <f>[2]Trucks!I627</f>
        <v>42937</v>
      </c>
      <c r="I630" s="83" t="str">
        <f t="shared" si="45"/>
        <v>2017Q3</v>
      </c>
      <c r="J630" s="272">
        <f>IFERROR(VLOOKUP((D630&amp;C630)&amp;"",'[2]Retail Price List'!$C$4:$F$102,3,FALSE),"")</f>
        <v>1680000</v>
      </c>
      <c r="K630" s="272">
        <f>IFERROR(IF(BA630="WIP - 30 Days",VLOOKUP(D630,[3]Standard!$B$9:$E$101,4,FALSE),IF(BA630="31-120 Days",VLOOKUP(D630,[3]Standard!$B$9:$F$101,5,FALSE),IF(BA630="121-365 Days",VLOOKUP(D630,[3]Standard!$B$9:$G$101,6,FALSE),VLOOKUP(D630,[3]Standard!$B$9:$H$101,7,FALSE)))),0)</f>
        <v>1280496</v>
      </c>
      <c r="L630" s="272">
        <f>IFERROR(IF(BA630="WIP - 30 Days",VLOOKUP(D630,[3]Standard!$B$9:$J$101,9,FALSE),IF(BA630="31-120 Days",VLOOKUP(D630,[3]Standard!$B$9:$K$100,10,FALSE),IF(BA630="121-365 Days",VLOOKUP(D630,[3]Standard!$B$9:$L$101,11,FALSE),VLOOKUP(D630,[3]Standard!$B$9:$M$101,12,FALSE)))),0)</f>
        <v>1243200</v>
      </c>
      <c r="M630" s="269">
        <f>IFERROR(VLOOKUP((D630&amp;C630)&amp;"",'[2]Retail Price List'!$C$4:$F$102,4,FALSE),"")</f>
        <v>1715000</v>
      </c>
      <c r="N630" s="269">
        <f>IFERROR(IF(BA630="WIP - 30 Days",VLOOKUP(D630,[3]Extended!$B$9:$E$101,4,FALSE),IF(BA630="31-120 Days",VLOOKUP(D630,[3]Extended!$B$9:$F$101,5,FALSE),IF(BA630="121-365 Days",VLOOKUP(D630,[3]Extended!$B$9:$G$101,6,FALSE),VLOOKUP(D630,[3]Extended!$B$9:$H$101,7,FALSE)))),0)</f>
        <v>1324837.5</v>
      </c>
      <c r="O630" s="269">
        <f>IFERROR(IF(BA630="WIP - 30 Days",VLOOKUP(D630,[3]Extended!$B$9:$J$101,9,FALSE),IF(BA630="31-120 Days",VLOOKUP(D630,[3]Extended!$B$9:$K$101,10,FALSE),IF(BA630="121-365 Days",VLOOKUP(D630,[3]Extended!$B$9:$L$101,11,FALSE),VLOOKUP(D630,[3]Extended!$B$9:$M$101,12,FALSE)))),0)</f>
        <v>1286250</v>
      </c>
      <c r="P630" s="116">
        <f t="shared" si="46"/>
        <v>0.25</v>
      </c>
      <c r="Q630" s="110" t="e">
        <f>O630-#REF!</f>
        <v>#REF!</v>
      </c>
      <c r="W630" s="311"/>
      <c r="X630" s="311"/>
      <c r="Y630" s="311"/>
      <c r="Z630" s="311"/>
      <c r="AA630" s="311"/>
      <c r="AB630" s="311"/>
      <c r="AC630" s="311"/>
      <c r="AT630" s="88" t="str">
        <f t="shared" si="47"/>
        <v>KP0007182017Q314,7</v>
      </c>
      <c r="AU630" s="89" t="str">
        <f t="shared" si="48"/>
        <v>07-2017</v>
      </c>
      <c r="BA630" s="92" t="str">
        <f t="shared" si="49"/>
        <v>WIP - 30 Days</v>
      </c>
    </row>
    <row r="631" spans="2:53">
      <c r="B631" s="60">
        <f>[2]Trucks!A628</f>
        <v>47521</v>
      </c>
      <c r="C631" s="11" t="str">
        <f>[2]Trucks!B628</f>
        <v>TGS-27-4406X4BBS-L-STEEL</v>
      </c>
      <c r="D631" s="19" t="str">
        <f>IFERROR(VLOOKUP(C631&amp;"",'[2]Retail Price List'!$A$3:$B$103,2,FALSE),"Special Order")</f>
        <v>KP000718</v>
      </c>
      <c r="E631" s="18" t="str">
        <f>[2]Trucks!J628</f>
        <v>CKD</v>
      </c>
      <c r="F631" s="12" t="str">
        <f>[2]Trucks!E628</f>
        <v>2017-11-15</v>
      </c>
      <c r="G631" s="56">
        <f>[2]Trucks!K628</f>
        <v>14.7</v>
      </c>
      <c r="H631" s="46">
        <f>[2]Trucks!I628</f>
        <v>42937</v>
      </c>
      <c r="I631" s="83" t="str">
        <f t="shared" si="45"/>
        <v>2017Q3</v>
      </c>
      <c r="J631" s="272">
        <f>IFERROR(VLOOKUP((D631&amp;C631)&amp;"",'[2]Retail Price List'!$C$4:$F$102,3,FALSE),"")</f>
        <v>1680000</v>
      </c>
      <c r="K631" s="272">
        <f>IFERROR(IF(BA631="WIP - 30 Days",VLOOKUP(D631,[3]Standard!$B$9:$E$101,4,FALSE),IF(BA631="31-120 Days",VLOOKUP(D631,[3]Standard!$B$9:$F$101,5,FALSE),IF(BA631="121-365 Days",VLOOKUP(D631,[3]Standard!$B$9:$G$101,6,FALSE),VLOOKUP(D631,[3]Standard!$B$9:$H$101,7,FALSE)))),0)</f>
        <v>1280496</v>
      </c>
      <c r="L631" s="272">
        <f>IFERROR(IF(BA631="WIP - 30 Days",VLOOKUP(D631,[3]Standard!$B$9:$J$101,9,FALSE),IF(BA631="31-120 Days",VLOOKUP(D631,[3]Standard!$B$9:$K$100,10,FALSE),IF(BA631="121-365 Days",VLOOKUP(D631,[3]Standard!$B$9:$L$101,11,FALSE),VLOOKUP(D631,[3]Standard!$B$9:$M$101,12,FALSE)))),0)</f>
        <v>1243200</v>
      </c>
      <c r="M631" s="269">
        <f>IFERROR(VLOOKUP((D631&amp;C631)&amp;"",'[2]Retail Price List'!$C$4:$F$102,4,FALSE),"")</f>
        <v>1715000</v>
      </c>
      <c r="N631" s="269">
        <f>IFERROR(IF(BA631="WIP - 30 Days",VLOOKUP(D631,[3]Extended!$B$9:$E$101,4,FALSE),IF(BA631="31-120 Days",VLOOKUP(D631,[3]Extended!$B$9:$F$101,5,FALSE),IF(BA631="121-365 Days",VLOOKUP(D631,[3]Extended!$B$9:$G$101,6,FALSE),VLOOKUP(D631,[3]Extended!$B$9:$H$101,7,FALSE)))),0)</f>
        <v>1324837.5</v>
      </c>
      <c r="O631" s="269">
        <f>IFERROR(IF(BA631="WIP - 30 Days",VLOOKUP(D631,[3]Extended!$B$9:$J$101,9,FALSE),IF(BA631="31-120 Days",VLOOKUP(D631,[3]Extended!$B$9:$K$101,10,FALSE),IF(BA631="121-365 Days",VLOOKUP(D631,[3]Extended!$B$9:$L$101,11,FALSE),VLOOKUP(D631,[3]Extended!$B$9:$M$101,12,FALSE)))),0)</f>
        <v>1286250</v>
      </c>
      <c r="P631" s="116">
        <f t="shared" si="46"/>
        <v>0.25</v>
      </c>
      <c r="Q631" s="110" t="e">
        <f>O631-#REF!</f>
        <v>#REF!</v>
      </c>
      <c r="W631" s="311"/>
      <c r="X631" s="311"/>
      <c r="Y631" s="311"/>
      <c r="Z631" s="311"/>
      <c r="AA631" s="311"/>
      <c r="AB631" s="311"/>
      <c r="AC631" s="311"/>
      <c r="AT631" s="88" t="str">
        <f t="shared" si="47"/>
        <v>KP0007182017Q314,7</v>
      </c>
      <c r="AU631" s="89" t="str">
        <f t="shared" si="48"/>
        <v>07-2017</v>
      </c>
      <c r="BA631" s="92" t="str">
        <f t="shared" si="49"/>
        <v>WIP - 30 Days</v>
      </c>
    </row>
    <row r="632" spans="2:53">
      <c r="B632" s="60">
        <f>[2]Trucks!A629</f>
        <v>47723</v>
      </c>
      <c r="C632" s="11" t="str">
        <f>[2]Trucks!B629</f>
        <v>TGS-27-4406X4BBS-L-STEEL</v>
      </c>
      <c r="D632" s="19" t="str">
        <f>IFERROR(VLOOKUP(C632&amp;"",'[2]Retail Price List'!$A$3:$B$103,2,FALSE),"Special Order")</f>
        <v>KP000718</v>
      </c>
      <c r="E632" s="18" t="str">
        <f>[2]Trucks!J629</f>
        <v>CKD</v>
      </c>
      <c r="F632" s="12" t="str">
        <f>[2]Trucks!E629</f>
        <v>2018-02-20</v>
      </c>
      <c r="G632" s="56">
        <f>[2]Trucks!K629</f>
        <v>14.7</v>
      </c>
      <c r="H632" s="46">
        <f>[2]Trucks!I629</f>
        <v>42947</v>
      </c>
      <c r="I632" s="83" t="str">
        <f t="shared" si="45"/>
        <v>2017Q3</v>
      </c>
      <c r="J632" s="272">
        <f>IFERROR(VLOOKUP((D632&amp;C632)&amp;"",'[2]Retail Price List'!$C$4:$F$102,3,FALSE),"")</f>
        <v>1680000</v>
      </c>
      <c r="K632" s="272">
        <f>IFERROR(IF(BA632="WIP - 30 Days",VLOOKUP(D632,[3]Standard!$B$9:$E$101,4,FALSE),IF(BA632="31-120 Days",VLOOKUP(D632,[3]Standard!$B$9:$F$101,5,FALSE),IF(BA632="121-365 Days",VLOOKUP(D632,[3]Standard!$B$9:$G$101,6,FALSE),VLOOKUP(D632,[3]Standard!$B$9:$H$101,7,FALSE)))),0)</f>
        <v>1280496</v>
      </c>
      <c r="L632" s="272">
        <f>IFERROR(IF(BA632="WIP - 30 Days",VLOOKUP(D632,[3]Standard!$B$9:$J$101,9,FALSE),IF(BA632="31-120 Days",VLOOKUP(D632,[3]Standard!$B$9:$K$100,10,FALSE),IF(BA632="121-365 Days",VLOOKUP(D632,[3]Standard!$B$9:$L$101,11,FALSE),VLOOKUP(D632,[3]Standard!$B$9:$M$101,12,FALSE)))),0)</f>
        <v>1243200</v>
      </c>
      <c r="M632" s="269">
        <f>IFERROR(VLOOKUP((D632&amp;C632)&amp;"",'[2]Retail Price List'!$C$4:$F$102,4,FALSE),"")</f>
        <v>1715000</v>
      </c>
      <c r="N632" s="269">
        <f>IFERROR(IF(BA632="WIP - 30 Days",VLOOKUP(D632,[3]Extended!$B$9:$E$101,4,FALSE),IF(BA632="31-120 Days",VLOOKUP(D632,[3]Extended!$B$9:$F$101,5,FALSE),IF(BA632="121-365 Days",VLOOKUP(D632,[3]Extended!$B$9:$G$101,6,FALSE),VLOOKUP(D632,[3]Extended!$B$9:$H$101,7,FALSE)))),0)</f>
        <v>1324837.5</v>
      </c>
      <c r="O632" s="269">
        <f>IFERROR(IF(BA632="WIP - 30 Days",VLOOKUP(D632,[3]Extended!$B$9:$J$101,9,FALSE),IF(BA632="31-120 Days",VLOOKUP(D632,[3]Extended!$B$9:$K$101,10,FALSE),IF(BA632="121-365 Days",VLOOKUP(D632,[3]Extended!$B$9:$L$101,11,FALSE),VLOOKUP(D632,[3]Extended!$B$9:$M$101,12,FALSE)))),0)</f>
        <v>1286250</v>
      </c>
      <c r="P632" s="116">
        <f t="shared" si="46"/>
        <v>0.25</v>
      </c>
      <c r="Q632" s="110" t="e">
        <f>O632-#REF!</f>
        <v>#REF!</v>
      </c>
      <c r="W632" s="311"/>
      <c r="X632" s="311"/>
      <c r="Y632" s="311"/>
      <c r="Z632" s="311"/>
      <c r="AA632" s="311"/>
      <c r="AB632" s="311"/>
      <c r="AC632" s="311"/>
      <c r="AT632" s="88" t="str">
        <f t="shared" si="47"/>
        <v>KP0007182017Q314,7</v>
      </c>
      <c r="AU632" s="89" t="str">
        <f t="shared" si="48"/>
        <v>07-2017</v>
      </c>
      <c r="BA632" s="92" t="str">
        <f t="shared" si="49"/>
        <v>WIP - 30 Days</v>
      </c>
    </row>
    <row r="633" spans="2:53">
      <c r="B633" s="60">
        <f>[2]Trucks!A630</f>
        <v>47724</v>
      </c>
      <c r="C633" s="11" t="str">
        <f>[2]Trucks!B630</f>
        <v>TGS-27-4406X4BBS-L-STEEL</v>
      </c>
      <c r="D633" s="19" t="str">
        <f>IFERROR(VLOOKUP(C633&amp;"",'[2]Retail Price List'!$A$3:$B$103,2,FALSE),"Special Order")</f>
        <v>KP000718</v>
      </c>
      <c r="E633" s="18" t="str">
        <f>[2]Trucks!J630</f>
        <v>CKD</v>
      </c>
      <c r="F633" s="12" t="str">
        <f>[2]Trucks!E630</f>
        <v>2018-02-20</v>
      </c>
      <c r="G633" s="56">
        <f>[2]Trucks!K630</f>
        <v>14.7</v>
      </c>
      <c r="H633" s="46">
        <f>[2]Trucks!I630</f>
        <v>42947</v>
      </c>
      <c r="I633" s="83" t="str">
        <f t="shared" si="45"/>
        <v>2017Q3</v>
      </c>
      <c r="J633" s="272">
        <f>IFERROR(VLOOKUP((D633&amp;C633)&amp;"",'[2]Retail Price List'!$C$4:$F$102,3,FALSE),"")</f>
        <v>1680000</v>
      </c>
      <c r="K633" s="272">
        <f>IFERROR(IF(BA633="WIP - 30 Days",VLOOKUP(D633,[3]Standard!$B$9:$E$101,4,FALSE),IF(BA633="31-120 Days",VLOOKUP(D633,[3]Standard!$B$9:$F$101,5,FALSE),IF(BA633="121-365 Days",VLOOKUP(D633,[3]Standard!$B$9:$G$101,6,FALSE),VLOOKUP(D633,[3]Standard!$B$9:$H$101,7,FALSE)))),0)</f>
        <v>1280496</v>
      </c>
      <c r="L633" s="272">
        <f>IFERROR(IF(BA633="WIP - 30 Days",VLOOKUP(D633,[3]Standard!$B$9:$J$101,9,FALSE),IF(BA633="31-120 Days",VLOOKUP(D633,[3]Standard!$B$9:$K$100,10,FALSE),IF(BA633="121-365 Days",VLOOKUP(D633,[3]Standard!$B$9:$L$101,11,FALSE),VLOOKUP(D633,[3]Standard!$B$9:$M$101,12,FALSE)))),0)</f>
        <v>1243200</v>
      </c>
      <c r="M633" s="269">
        <f>IFERROR(VLOOKUP((D633&amp;C633)&amp;"",'[2]Retail Price List'!$C$4:$F$102,4,FALSE),"")</f>
        <v>1715000</v>
      </c>
      <c r="N633" s="269">
        <f>IFERROR(IF(BA633="WIP - 30 Days",VLOOKUP(D633,[3]Extended!$B$9:$E$101,4,FALSE),IF(BA633="31-120 Days",VLOOKUP(D633,[3]Extended!$B$9:$F$101,5,FALSE),IF(BA633="121-365 Days",VLOOKUP(D633,[3]Extended!$B$9:$G$101,6,FALSE),VLOOKUP(D633,[3]Extended!$B$9:$H$101,7,FALSE)))),0)</f>
        <v>1324837.5</v>
      </c>
      <c r="O633" s="269">
        <f>IFERROR(IF(BA633="WIP - 30 Days",VLOOKUP(D633,[3]Extended!$B$9:$J$101,9,FALSE),IF(BA633="31-120 Days",VLOOKUP(D633,[3]Extended!$B$9:$K$101,10,FALSE),IF(BA633="121-365 Days",VLOOKUP(D633,[3]Extended!$B$9:$L$101,11,FALSE),VLOOKUP(D633,[3]Extended!$B$9:$M$101,12,FALSE)))),0)</f>
        <v>1286250</v>
      </c>
      <c r="P633" s="116">
        <f t="shared" si="46"/>
        <v>0.25</v>
      </c>
      <c r="Q633" s="110" t="e">
        <f>O633-#REF!</f>
        <v>#REF!</v>
      </c>
      <c r="W633" s="311"/>
      <c r="X633" s="311"/>
      <c r="Y633" s="311"/>
      <c r="Z633" s="311"/>
      <c r="AA633" s="311"/>
      <c r="AB633" s="311"/>
      <c r="AC633" s="311"/>
      <c r="AT633" s="88" t="str">
        <f t="shared" si="47"/>
        <v>KP0007182017Q314,7</v>
      </c>
      <c r="AU633" s="89" t="str">
        <f t="shared" si="48"/>
        <v>07-2017</v>
      </c>
      <c r="BA633" s="92" t="str">
        <f t="shared" si="49"/>
        <v>WIP - 30 Days</v>
      </c>
    </row>
    <row r="634" spans="2:53">
      <c r="B634" s="60">
        <f>[2]Trucks!A631</f>
        <v>47725</v>
      </c>
      <c r="C634" s="11" t="str">
        <f>[2]Trucks!B631</f>
        <v>TGS-27-4406X4BBS-L-STEEL</v>
      </c>
      <c r="D634" s="19" t="str">
        <f>IFERROR(VLOOKUP(C634&amp;"",'[2]Retail Price List'!$A$3:$B$103,2,FALSE),"Special Order")</f>
        <v>KP000718</v>
      </c>
      <c r="E634" s="18" t="str">
        <f>[2]Trucks!J631</f>
        <v>CKD</v>
      </c>
      <c r="F634" s="12" t="str">
        <f>[2]Trucks!E631</f>
        <v>2018-02-20</v>
      </c>
      <c r="G634" s="56">
        <f>[2]Trucks!K631</f>
        <v>14.7</v>
      </c>
      <c r="H634" s="46">
        <f>[2]Trucks!I631</f>
        <v>42947</v>
      </c>
      <c r="I634" s="83" t="str">
        <f t="shared" si="45"/>
        <v>2017Q3</v>
      </c>
      <c r="J634" s="272">
        <f>IFERROR(VLOOKUP((D634&amp;C634)&amp;"",'[2]Retail Price List'!$C$4:$F$102,3,FALSE),"")</f>
        <v>1680000</v>
      </c>
      <c r="K634" s="272">
        <f>IFERROR(IF(BA634="WIP - 30 Days",VLOOKUP(D634,[3]Standard!$B$9:$E$101,4,FALSE),IF(BA634="31-120 Days",VLOOKUP(D634,[3]Standard!$B$9:$F$101,5,FALSE),IF(BA634="121-365 Days",VLOOKUP(D634,[3]Standard!$B$9:$G$101,6,FALSE),VLOOKUP(D634,[3]Standard!$B$9:$H$101,7,FALSE)))),0)</f>
        <v>1280496</v>
      </c>
      <c r="L634" s="272">
        <f>IFERROR(IF(BA634="WIP - 30 Days",VLOOKUP(D634,[3]Standard!$B$9:$J$101,9,FALSE),IF(BA634="31-120 Days",VLOOKUP(D634,[3]Standard!$B$9:$K$100,10,FALSE),IF(BA634="121-365 Days",VLOOKUP(D634,[3]Standard!$B$9:$L$101,11,FALSE),VLOOKUP(D634,[3]Standard!$B$9:$M$101,12,FALSE)))),0)</f>
        <v>1243200</v>
      </c>
      <c r="M634" s="269">
        <f>IFERROR(VLOOKUP((D634&amp;C634)&amp;"",'[2]Retail Price List'!$C$4:$F$102,4,FALSE),"")</f>
        <v>1715000</v>
      </c>
      <c r="N634" s="269">
        <f>IFERROR(IF(BA634="WIP - 30 Days",VLOOKUP(D634,[3]Extended!$B$9:$E$101,4,FALSE),IF(BA634="31-120 Days",VLOOKUP(D634,[3]Extended!$B$9:$F$101,5,FALSE),IF(BA634="121-365 Days",VLOOKUP(D634,[3]Extended!$B$9:$G$101,6,FALSE),VLOOKUP(D634,[3]Extended!$B$9:$H$101,7,FALSE)))),0)</f>
        <v>1324837.5</v>
      </c>
      <c r="O634" s="269">
        <f>IFERROR(IF(BA634="WIP - 30 Days",VLOOKUP(D634,[3]Extended!$B$9:$J$101,9,FALSE),IF(BA634="31-120 Days",VLOOKUP(D634,[3]Extended!$B$9:$K$101,10,FALSE),IF(BA634="121-365 Days",VLOOKUP(D634,[3]Extended!$B$9:$L$101,11,FALSE),VLOOKUP(D634,[3]Extended!$B$9:$M$101,12,FALSE)))),0)</f>
        <v>1286250</v>
      </c>
      <c r="P634" s="116">
        <f t="shared" si="46"/>
        <v>0.25</v>
      </c>
      <c r="Q634" s="110" t="e">
        <f>O634-#REF!</f>
        <v>#REF!</v>
      </c>
      <c r="W634" s="311"/>
      <c r="X634" s="311"/>
      <c r="Y634" s="311"/>
      <c r="Z634" s="311"/>
      <c r="AA634" s="311"/>
      <c r="AB634" s="311"/>
      <c r="AC634" s="311"/>
      <c r="AT634" s="88" t="str">
        <f t="shared" si="47"/>
        <v>KP0007182017Q314,7</v>
      </c>
      <c r="AU634" s="89" t="str">
        <f t="shared" si="48"/>
        <v>07-2017</v>
      </c>
      <c r="BA634" s="92" t="str">
        <f t="shared" si="49"/>
        <v>WIP - 30 Days</v>
      </c>
    </row>
    <row r="635" spans="2:53">
      <c r="B635" s="60">
        <f>[2]Trucks!A632</f>
        <v>47726</v>
      </c>
      <c r="C635" s="11" t="str">
        <f>[2]Trucks!B632</f>
        <v>TGS-27-4406X4BBS-L-STEEL</v>
      </c>
      <c r="D635" s="19" t="str">
        <f>IFERROR(VLOOKUP(C635&amp;"",'[2]Retail Price List'!$A$3:$B$103,2,FALSE),"Special Order")</f>
        <v>KP000718</v>
      </c>
      <c r="E635" s="18" t="str">
        <f>[2]Trucks!J632</f>
        <v>CKD</v>
      </c>
      <c r="F635" s="12" t="str">
        <f>[2]Trucks!E632</f>
        <v>2018-02-20</v>
      </c>
      <c r="G635" s="56">
        <f>[2]Trucks!K632</f>
        <v>14.7</v>
      </c>
      <c r="H635" s="46">
        <f>[2]Trucks!I632</f>
        <v>42947</v>
      </c>
      <c r="I635" s="83" t="str">
        <f t="shared" si="45"/>
        <v>2017Q3</v>
      </c>
      <c r="J635" s="272">
        <f>IFERROR(VLOOKUP((D635&amp;C635)&amp;"",'[2]Retail Price List'!$C$4:$F$102,3,FALSE),"")</f>
        <v>1680000</v>
      </c>
      <c r="K635" s="272">
        <f>IFERROR(IF(BA635="WIP - 30 Days",VLOOKUP(D635,[3]Standard!$B$9:$E$101,4,FALSE),IF(BA635="31-120 Days",VLOOKUP(D635,[3]Standard!$B$9:$F$101,5,FALSE),IF(BA635="121-365 Days",VLOOKUP(D635,[3]Standard!$B$9:$G$101,6,FALSE),VLOOKUP(D635,[3]Standard!$B$9:$H$101,7,FALSE)))),0)</f>
        <v>1280496</v>
      </c>
      <c r="L635" s="272">
        <f>IFERROR(IF(BA635="WIP - 30 Days",VLOOKUP(D635,[3]Standard!$B$9:$J$101,9,FALSE),IF(BA635="31-120 Days",VLOOKUP(D635,[3]Standard!$B$9:$K$100,10,FALSE),IF(BA635="121-365 Days",VLOOKUP(D635,[3]Standard!$B$9:$L$101,11,FALSE),VLOOKUP(D635,[3]Standard!$B$9:$M$101,12,FALSE)))),0)</f>
        <v>1243200</v>
      </c>
      <c r="M635" s="269">
        <f>IFERROR(VLOOKUP((D635&amp;C635)&amp;"",'[2]Retail Price List'!$C$4:$F$102,4,FALSE),"")</f>
        <v>1715000</v>
      </c>
      <c r="N635" s="269">
        <f>IFERROR(IF(BA635="WIP - 30 Days",VLOOKUP(D635,[3]Extended!$B$9:$E$101,4,FALSE),IF(BA635="31-120 Days",VLOOKUP(D635,[3]Extended!$B$9:$F$101,5,FALSE),IF(BA635="121-365 Days",VLOOKUP(D635,[3]Extended!$B$9:$G$101,6,FALSE),VLOOKUP(D635,[3]Extended!$B$9:$H$101,7,FALSE)))),0)</f>
        <v>1324837.5</v>
      </c>
      <c r="O635" s="269">
        <f>IFERROR(IF(BA635="WIP - 30 Days",VLOOKUP(D635,[3]Extended!$B$9:$J$101,9,FALSE),IF(BA635="31-120 Days",VLOOKUP(D635,[3]Extended!$B$9:$K$101,10,FALSE),IF(BA635="121-365 Days",VLOOKUP(D635,[3]Extended!$B$9:$L$101,11,FALSE),VLOOKUP(D635,[3]Extended!$B$9:$M$101,12,FALSE)))),0)</f>
        <v>1286250</v>
      </c>
      <c r="P635" s="116">
        <f t="shared" si="46"/>
        <v>0.25</v>
      </c>
      <c r="Q635" s="110" t="e">
        <f>O635-#REF!</f>
        <v>#REF!</v>
      </c>
      <c r="W635" s="311"/>
      <c r="X635" s="311"/>
      <c r="Y635" s="311"/>
      <c r="Z635" s="311"/>
      <c r="AA635" s="311"/>
      <c r="AB635" s="311"/>
      <c r="AC635" s="311"/>
      <c r="AT635" s="88" t="str">
        <f t="shared" si="47"/>
        <v>KP0007182017Q314,7</v>
      </c>
      <c r="AU635" s="89" t="str">
        <f t="shared" si="48"/>
        <v>07-2017</v>
      </c>
      <c r="BA635" s="92" t="str">
        <f t="shared" si="49"/>
        <v>WIP - 30 Days</v>
      </c>
    </row>
    <row r="636" spans="2:53">
      <c r="B636" s="60">
        <f>[2]Trucks!A633</f>
        <v>47727</v>
      </c>
      <c r="C636" s="11" t="str">
        <f>[2]Trucks!B633</f>
        <v>TGS-27-4406X4BBS-L-STEEL</v>
      </c>
      <c r="D636" s="19" t="str">
        <f>IFERROR(VLOOKUP(C636&amp;"",'[2]Retail Price List'!$A$3:$B$103,2,FALSE),"Special Order")</f>
        <v>KP000718</v>
      </c>
      <c r="E636" s="18" t="str">
        <f>[2]Trucks!J633</f>
        <v>CKD</v>
      </c>
      <c r="F636" s="12" t="str">
        <f>[2]Trucks!E633</f>
        <v>2018-02-28</v>
      </c>
      <c r="G636" s="56">
        <f>[2]Trucks!K633</f>
        <v>14.7</v>
      </c>
      <c r="H636" s="46">
        <f>[2]Trucks!I633</f>
        <v>42947</v>
      </c>
      <c r="I636" s="83" t="str">
        <f t="shared" si="45"/>
        <v>2017Q3</v>
      </c>
      <c r="J636" s="272">
        <f>IFERROR(VLOOKUP((D636&amp;C636)&amp;"",'[2]Retail Price List'!$C$4:$F$102,3,FALSE),"")</f>
        <v>1680000</v>
      </c>
      <c r="K636" s="272">
        <f>IFERROR(IF(BA636="WIP - 30 Days",VLOOKUP(D636,[3]Standard!$B$9:$E$101,4,FALSE),IF(BA636="31-120 Days",VLOOKUP(D636,[3]Standard!$B$9:$F$101,5,FALSE),IF(BA636="121-365 Days",VLOOKUP(D636,[3]Standard!$B$9:$G$101,6,FALSE),VLOOKUP(D636,[3]Standard!$B$9:$H$101,7,FALSE)))),0)</f>
        <v>1280496</v>
      </c>
      <c r="L636" s="272">
        <f>IFERROR(IF(BA636="WIP - 30 Days",VLOOKUP(D636,[3]Standard!$B$9:$J$101,9,FALSE),IF(BA636="31-120 Days",VLOOKUP(D636,[3]Standard!$B$9:$K$100,10,FALSE),IF(BA636="121-365 Days",VLOOKUP(D636,[3]Standard!$B$9:$L$101,11,FALSE),VLOOKUP(D636,[3]Standard!$B$9:$M$101,12,FALSE)))),0)</f>
        <v>1243200</v>
      </c>
      <c r="M636" s="269">
        <f>IFERROR(VLOOKUP((D636&amp;C636)&amp;"",'[2]Retail Price List'!$C$4:$F$102,4,FALSE),"")</f>
        <v>1715000</v>
      </c>
      <c r="N636" s="269">
        <f>IFERROR(IF(BA636="WIP - 30 Days",VLOOKUP(D636,[3]Extended!$B$9:$E$101,4,FALSE),IF(BA636="31-120 Days",VLOOKUP(D636,[3]Extended!$B$9:$F$101,5,FALSE),IF(BA636="121-365 Days",VLOOKUP(D636,[3]Extended!$B$9:$G$101,6,FALSE),VLOOKUP(D636,[3]Extended!$B$9:$H$101,7,FALSE)))),0)</f>
        <v>1324837.5</v>
      </c>
      <c r="O636" s="269">
        <f>IFERROR(IF(BA636="WIP - 30 Days",VLOOKUP(D636,[3]Extended!$B$9:$J$101,9,FALSE),IF(BA636="31-120 Days",VLOOKUP(D636,[3]Extended!$B$9:$K$101,10,FALSE),IF(BA636="121-365 Days",VLOOKUP(D636,[3]Extended!$B$9:$L$101,11,FALSE),VLOOKUP(D636,[3]Extended!$B$9:$M$101,12,FALSE)))),0)</f>
        <v>1286250</v>
      </c>
      <c r="P636" s="116">
        <f t="shared" si="46"/>
        <v>0.25</v>
      </c>
      <c r="Q636" s="110" t="e">
        <f>O636-#REF!</f>
        <v>#REF!</v>
      </c>
      <c r="W636" s="311"/>
      <c r="X636" s="311"/>
      <c r="Y636" s="311"/>
      <c r="Z636" s="311"/>
      <c r="AA636" s="311"/>
      <c r="AB636" s="311"/>
      <c r="AC636" s="311"/>
      <c r="AT636" s="88" t="str">
        <f t="shared" si="47"/>
        <v>KP0007182017Q314,7</v>
      </c>
      <c r="AU636" s="89" t="str">
        <f t="shared" si="48"/>
        <v>07-2017</v>
      </c>
      <c r="BA636" s="92" t="str">
        <f t="shared" si="49"/>
        <v>WIP - 30 Days</v>
      </c>
    </row>
    <row r="637" spans="2:53">
      <c r="B637" s="60">
        <f>[2]Trucks!A634</f>
        <v>47728</v>
      </c>
      <c r="C637" s="11" t="str">
        <f>[2]Trucks!B634</f>
        <v>TGS-27-4406X4BBS-L-STEEL</v>
      </c>
      <c r="D637" s="19" t="str">
        <f>IFERROR(VLOOKUP(C637&amp;"",'[2]Retail Price List'!$A$3:$B$103,2,FALSE),"Special Order")</f>
        <v>KP000718</v>
      </c>
      <c r="E637" s="18" t="str">
        <f>[2]Trucks!J634</f>
        <v>CKD</v>
      </c>
      <c r="F637" s="12" t="str">
        <f>[2]Trucks!E634</f>
        <v>2018-02-28</v>
      </c>
      <c r="G637" s="56">
        <f>[2]Trucks!K634</f>
        <v>14.7</v>
      </c>
      <c r="H637" s="46">
        <f>[2]Trucks!I634</f>
        <v>42947</v>
      </c>
      <c r="I637" s="83" t="str">
        <f t="shared" si="45"/>
        <v>2017Q3</v>
      </c>
      <c r="J637" s="272">
        <f>IFERROR(VLOOKUP((D637&amp;C637)&amp;"",'[2]Retail Price List'!$C$4:$F$102,3,FALSE),"")</f>
        <v>1680000</v>
      </c>
      <c r="K637" s="272">
        <f>IFERROR(IF(BA637="WIP - 30 Days",VLOOKUP(D637,[3]Standard!$B$9:$E$101,4,FALSE),IF(BA637="31-120 Days",VLOOKUP(D637,[3]Standard!$B$9:$F$101,5,FALSE),IF(BA637="121-365 Days",VLOOKUP(D637,[3]Standard!$B$9:$G$101,6,FALSE),VLOOKUP(D637,[3]Standard!$B$9:$H$101,7,FALSE)))),0)</f>
        <v>1280496</v>
      </c>
      <c r="L637" s="272">
        <f>IFERROR(IF(BA637="WIP - 30 Days",VLOOKUP(D637,[3]Standard!$B$9:$J$101,9,FALSE),IF(BA637="31-120 Days",VLOOKUP(D637,[3]Standard!$B$9:$K$100,10,FALSE),IF(BA637="121-365 Days",VLOOKUP(D637,[3]Standard!$B$9:$L$101,11,FALSE),VLOOKUP(D637,[3]Standard!$B$9:$M$101,12,FALSE)))),0)</f>
        <v>1243200</v>
      </c>
      <c r="M637" s="269">
        <f>IFERROR(VLOOKUP((D637&amp;C637)&amp;"",'[2]Retail Price List'!$C$4:$F$102,4,FALSE),"")</f>
        <v>1715000</v>
      </c>
      <c r="N637" s="269">
        <f>IFERROR(IF(BA637="WIP - 30 Days",VLOOKUP(D637,[3]Extended!$B$9:$E$101,4,FALSE),IF(BA637="31-120 Days",VLOOKUP(D637,[3]Extended!$B$9:$F$101,5,FALSE),IF(BA637="121-365 Days",VLOOKUP(D637,[3]Extended!$B$9:$G$101,6,FALSE),VLOOKUP(D637,[3]Extended!$B$9:$H$101,7,FALSE)))),0)</f>
        <v>1324837.5</v>
      </c>
      <c r="O637" s="269">
        <f>IFERROR(IF(BA637="WIP - 30 Days",VLOOKUP(D637,[3]Extended!$B$9:$J$101,9,FALSE),IF(BA637="31-120 Days",VLOOKUP(D637,[3]Extended!$B$9:$K$101,10,FALSE),IF(BA637="121-365 Days",VLOOKUP(D637,[3]Extended!$B$9:$L$101,11,FALSE),VLOOKUP(D637,[3]Extended!$B$9:$M$101,12,FALSE)))),0)</f>
        <v>1286250</v>
      </c>
      <c r="P637" s="116">
        <f t="shared" si="46"/>
        <v>0.25</v>
      </c>
      <c r="Q637" s="110" t="e">
        <f>O637-#REF!</f>
        <v>#REF!</v>
      </c>
      <c r="W637" s="311"/>
      <c r="X637" s="311"/>
      <c r="Y637" s="311"/>
      <c r="Z637" s="311"/>
      <c r="AA637" s="311"/>
      <c r="AB637" s="311"/>
      <c r="AC637" s="311"/>
      <c r="AT637" s="88" t="str">
        <f t="shared" si="47"/>
        <v>KP0007182017Q314,7</v>
      </c>
      <c r="AU637" s="89" t="str">
        <f t="shared" si="48"/>
        <v>07-2017</v>
      </c>
      <c r="BA637" s="92" t="str">
        <f t="shared" si="49"/>
        <v>WIP - 30 Days</v>
      </c>
    </row>
    <row r="638" spans="2:53">
      <c r="B638" s="60">
        <f>[2]Trucks!A635</f>
        <v>47729</v>
      </c>
      <c r="C638" s="11" t="str">
        <f>[2]Trucks!B635</f>
        <v>TGS-27-4406X4BBS-L-STEEL</v>
      </c>
      <c r="D638" s="19" t="str">
        <f>IFERROR(VLOOKUP(C638&amp;"",'[2]Retail Price List'!$A$3:$B$103,2,FALSE),"Special Order")</f>
        <v>KP000718</v>
      </c>
      <c r="E638" s="18" t="str">
        <f>[2]Trucks!J635</f>
        <v>CKD</v>
      </c>
      <c r="F638" s="12" t="str">
        <f>[2]Trucks!E635</f>
        <v>2018-02-28</v>
      </c>
      <c r="G638" s="56">
        <f>[2]Trucks!K635</f>
        <v>14.7</v>
      </c>
      <c r="H638" s="46">
        <f>[2]Trucks!I635</f>
        <v>42947</v>
      </c>
      <c r="I638" s="83" t="str">
        <f t="shared" si="45"/>
        <v>2017Q3</v>
      </c>
      <c r="J638" s="272">
        <f>IFERROR(VLOOKUP((D638&amp;C638)&amp;"",'[2]Retail Price List'!$C$4:$F$102,3,FALSE),"")</f>
        <v>1680000</v>
      </c>
      <c r="K638" s="272">
        <f>IFERROR(IF(BA638="WIP - 30 Days",VLOOKUP(D638,[3]Standard!$B$9:$E$101,4,FALSE),IF(BA638="31-120 Days",VLOOKUP(D638,[3]Standard!$B$9:$F$101,5,FALSE),IF(BA638="121-365 Days",VLOOKUP(D638,[3]Standard!$B$9:$G$101,6,FALSE),VLOOKUP(D638,[3]Standard!$B$9:$H$101,7,FALSE)))),0)</f>
        <v>1280496</v>
      </c>
      <c r="L638" s="272">
        <f>IFERROR(IF(BA638="WIP - 30 Days",VLOOKUP(D638,[3]Standard!$B$9:$J$101,9,FALSE),IF(BA638="31-120 Days",VLOOKUP(D638,[3]Standard!$B$9:$K$100,10,FALSE),IF(BA638="121-365 Days",VLOOKUP(D638,[3]Standard!$B$9:$L$101,11,FALSE),VLOOKUP(D638,[3]Standard!$B$9:$M$101,12,FALSE)))),0)</f>
        <v>1243200</v>
      </c>
      <c r="M638" s="269">
        <f>IFERROR(VLOOKUP((D638&amp;C638)&amp;"",'[2]Retail Price List'!$C$4:$F$102,4,FALSE),"")</f>
        <v>1715000</v>
      </c>
      <c r="N638" s="269">
        <f>IFERROR(IF(BA638="WIP - 30 Days",VLOOKUP(D638,[3]Extended!$B$9:$E$101,4,FALSE),IF(BA638="31-120 Days",VLOOKUP(D638,[3]Extended!$B$9:$F$101,5,FALSE),IF(BA638="121-365 Days",VLOOKUP(D638,[3]Extended!$B$9:$G$101,6,FALSE),VLOOKUP(D638,[3]Extended!$B$9:$H$101,7,FALSE)))),0)</f>
        <v>1324837.5</v>
      </c>
      <c r="O638" s="269">
        <f>IFERROR(IF(BA638="WIP - 30 Days",VLOOKUP(D638,[3]Extended!$B$9:$J$101,9,FALSE),IF(BA638="31-120 Days",VLOOKUP(D638,[3]Extended!$B$9:$K$101,10,FALSE),IF(BA638="121-365 Days",VLOOKUP(D638,[3]Extended!$B$9:$L$101,11,FALSE),VLOOKUP(D638,[3]Extended!$B$9:$M$101,12,FALSE)))),0)</f>
        <v>1286250</v>
      </c>
      <c r="P638" s="116">
        <f t="shared" si="46"/>
        <v>0.25</v>
      </c>
      <c r="Q638" s="110" t="e">
        <f>O638-#REF!</f>
        <v>#REF!</v>
      </c>
      <c r="W638" s="311"/>
      <c r="X638" s="311"/>
      <c r="Y638" s="311"/>
      <c r="Z638" s="311"/>
      <c r="AA638" s="311"/>
      <c r="AB638" s="311"/>
      <c r="AC638" s="311"/>
      <c r="AT638" s="88" t="str">
        <f t="shared" si="47"/>
        <v>KP0007182017Q314,7</v>
      </c>
      <c r="AU638" s="89" t="str">
        <f t="shared" si="48"/>
        <v>07-2017</v>
      </c>
      <c r="BA638" s="92" t="str">
        <f t="shared" si="49"/>
        <v>WIP - 30 Days</v>
      </c>
    </row>
    <row r="639" spans="2:53">
      <c r="B639" s="60">
        <f>[2]Trucks!A636</f>
        <v>47730</v>
      </c>
      <c r="C639" s="11" t="str">
        <f>[2]Trucks!B636</f>
        <v>TGS-27-4406X4BBS-L-STEEL</v>
      </c>
      <c r="D639" s="19" t="str">
        <f>IFERROR(VLOOKUP(C639&amp;"",'[2]Retail Price List'!$A$3:$B$103,2,FALSE),"Special Order")</f>
        <v>KP000718</v>
      </c>
      <c r="E639" s="18" t="str">
        <f>[2]Trucks!J636</f>
        <v>CKD</v>
      </c>
      <c r="F639" s="12" t="str">
        <f>[2]Trucks!E636</f>
        <v>2018-02-28</v>
      </c>
      <c r="G639" s="56">
        <f>[2]Trucks!K636</f>
        <v>14.7</v>
      </c>
      <c r="H639" s="46">
        <f>[2]Trucks!I636</f>
        <v>42947</v>
      </c>
      <c r="I639" s="83" t="str">
        <f t="shared" si="45"/>
        <v>2017Q3</v>
      </c>
      <c r="J639" s="272">
        <f>IFERROR(VLOOKUP((D639&amp;C639)&amp;"",'[2]Retail Price List'!$C$4:$F$102,3,FALSE),"")</f>
        <v>1680000</v>
      </c>
      <c r="K639" s="272">
        <f>IFERROR(IF(BA639="WIP - 30 Days",VLOOKUP(D639,[3]Standard!$B$9:$E$101,4,FALSE),IF(BA639="31-120 Days",VLOOKUP(D639,[3]Standard!$B$9:$F$101,5,FALSE),IF(BA639="121-365 Days",VLOOKUP(D639,[3]Standard!$B$9:$G$101,6,FALSE),VLOOKUP(D639,[3]Standard!$B$9:$H$101,7,FALSE)))),0)</f>
        <v>1280496</v>
      </c>
      <c r="L639" s="272">
        <f>IFERROR(IF(BA639="WIP - 30 Days",VLOOKUP(D639,[3]Standard!$B$9:$J$101,9,FALSE),IF(BA639="31-120 Days",VLOOKUP(D639,[3]Standard!$B$9:$K$100,10,FALSE),IF(BA639="121-365 Days",VLOOKUP(D639,[3]Standard!$B$9:$L$101,11,FALSE),VLOOKUP(D639,[3]Standard!$B$9:$M$101,12,FALSE)))),0)</f>
        <v>1243200</v>
      </c>
      <c r="M639" s="269">
        <f>IFERROR(VLOOKUP((D639&amp;C639)&amp;"",'[2]Retail Price List'!$C$4:$F$102,4,FALSE),"")</f>
        <v>1715000</v>
      </c>
      <c r="N639" s="269">
        <f>IFERROR(IF(BA639="WIP - 30 Days",VLOOKUP(D639,[3]Extended!$B$9:$E$101,4,FALSE),IF(BA639="31-120 Days",VLOOKUP(D639,[3]Extended!$B$9:$F$101,5,FALSE),IF(BA639="121-365 Days",VLOOKUP(D639,[3]Extended!$B$9:$G$101,6,FALSE),VLOOKUP(D639,[3]Extended!$B$9:$H$101,7,FALSE)))),0)</f>
        <v>1324837.5</v>
      </c>
      <c r="O639" s="269">
        <f>IFERROR(IF(BA639="WIP - 30 Days",VLOOKUP(D639,[3]Extended!$B$9:$J$101,9,FALSE),IF(BA639="31-120 Days",VLOOKUP(D639,[3]Extended!$B$9:$K$101,10,FALSE),IF(BA639="121-365 Days",VLOOKUP(D639,[3]Extended!$B$9:$L$101,11,FALSE),VLOOKUP(D639,[3]Extended!$B$9:$M$101,12,FALSE)))),0)</f>
        <v>1286250</v>
      </c>
      <c r="P639" s="116">
        <f t="shared" si="46"/>
        <v>0.25</v>
      </c>
      <c r="Q639" s="110" t="e">
        <f>O639-#REF!</f>
        <v>#REF!</v>
      </c>
      <c r="W639" s="311"/>
      <c r="X639" s="311"/>
      <c r="Y639" s="311"/>
      <c r="Z639" s="311"/>
      <c r="AA639" s="311"/>
      <c r="AB639" s="311"/>
      <c r="AC639" s="311"/>
      <c r="AT639" s="88" t="str">
        <f t="shared" si="47"/>
        <v>KP0007182017Q314,7</v>
      </c>
      <c r="AU639" s="89" t="str">
        <f t="shared" si="48"/>
        <v>07-2017</v>
      </c>
      <c r="BA639" s="92" t="str">
        <f t="shared" si="49"/>
        <v>WIP - 30 Days</v>
      </c>
    </row>
    <row r="640" spans="2:53">
      <c r="B640" s="60">
        <f>[2]Trucks!A637</f>
        <v>47731</v>
      </c>
      <c r="C640" s="11" t="str">
        <f>[2]Trucks!B637</f>
        <v>TGS-27-4406X4BBS-L-STEEL</v>
      </c>
      <c r="D640" s="19" t="str">
        <f>IFERROR(VLOOKUP(C640&amp;"",'[2]Retail Price List'!$A$3:$B$103,2,FALSE),"Special Order")</f>
        <v>KP000718</v>
      </c>
      <c r="E640" s="18" t="str">
        <f>[2]Trucks!J637</f>
        <v>CKD</v>
      </c>
      <c r="F640" s="12" t="str">
        <f>[2]Trucks!E637</f>
        <v>2018-03-5</v>
      </c>
      <c r="G640" s="56">
        <f>[2]Trucks!K637</f>
        <v>14.7</v>
      </c>
      <c r="H640" s="46">
        <f>[2]Trucks!I637</f>
        <v>42947</v>
      </c>
      <c r="I640" s="83" t="str">
        <f t="shared" si="45"/>
        <v>2017Q3</v>
      </c>
      <c r="J640" s="272">
        <f>IFERROR(VLOOKUP((D640&amp;C640)&amp;"",'[2]Retail Price List'!$C$4:$F$102,3,FALSE),"")</f>
        <v>1680000</v>
      </c>
      <c r="K640" s="272">
        <f>IFERROR(IF(BA640="WIP - 30 Days",VLOOKUP(D640,[3]Standard!$B$9:$E$101,4,FALSE),IF(BA640="31-120 Days",VLOOKUP(D640,[3]Standard!$B$9:$F$101,5,FALSE),IF(BA640="121-365 Days",VLOOKUP(D640,[3]Standard!$B$9:$G$101,6,FALSE),VLOOKUP(D640,[3]Standard!$B$9:$H$101,7,FALSE)))),0)</f>
        <v>1280496</v>
      </c>
      <c r="L640" s="272">
        <f>IFERROR(IF(BA640="WIP - 30 Days",VLOOKUP(D640,[3]Standard!$B$9:$J$101,9,FALSE),IF(BA640="31-120 Days",VLOOKUP(D640,[3]Standard!$B$9:$K$100,10,FALSE),IF(BA640="121-365 Days",VLOOKUP(D640,[3]Standard!$B$9:$L$101,11,FALSE),VLOOKUP(D640,[3]Standard!$B$9:$M$101,12,FALSE)))),0)</f>
        <v>1243200</v>
      </c>
      <c r="M640" s="269">
        <f>IFERROR(VLOOKUP((D640&amp;C640)&amp;"",'[2]Retail Price List'!$C$4:$F$102,4,FALSE),"")</f>
        <v>1715000</v>
      </c>
      <c r="N640" s="269">
        <f>IFERROR(IF(BA640="WIP - 30 Days",VLOOKUP(D640,[3]Extended!$B$9:$E$101,4,FALSE),IF(BA640="31-120 Days",VLOOKUP(D640,[3]Extended!$B$9:$F$101,5,FALSE),IF(BA640="121-365 Days",VLOOKUP(D640,[3]Extended!$B$9:$G$101,6,FALSE),VLOOKUP(D640,[3]Extended!$B$9:$H$101,7,FALSE)))),0)</f>
        <v>1324837.5</v>
      </c>
      <c r="O640" s="269">
        <f>IFERROR(IF(BA640="WIP - 30 Days",VLOOKUP(D640,[3]Extended!$B$9:$J$101,9,FALSE),IF(BA640="31-120 Days",VLOOKUP(D640,[3]Extended!$B$9:$K$101,10,FALSE),IF(BA640="121-365 Days",VLOOKUP(D640,[3]Extended!$B$9:$L$101,11,FALSE),VLOOKUP(D640,[3]Extended!$B$9:$M$101,12,FALSE)))),0)</f>
        <v>1286250</v>
      </c>
      <c r="P640" s="116">
        <f t="shared" si="46"/>
        <v>0.25</v>
      </c>
      <c r="Q640" s="110" t="e">
        <f>O640-#REF!</f>
        <v>#REF!</v>
      </c>
      <c r="W640" s="311"/>
      <c r="X640" s="311"/>
      <c r="Y640" s="311"/>
      <c r="Z640" s="311"/>
      <c r="AA640" s="311"/>
      <c r="AB640" s="311"/>
      <c r="AC640" s="311"/>
      <c r="AT640" s="88" t="str">
        <f t="shared" si="47"/>
        <v>KP0007182017Q314,7</v>
      </c>
      <c r="AU640" s="89" t="str">
        <f t="shared" si="48"/>
        <v>07-2017</v>
      </c>
      <c r="BA640" s="92" t="str">
        <f t="shared" si="49"/>
        <v>WIP - 30 Days</v>
      </c>
    </row>
    <row r="641" spans="2:53">
      <c r="B641" s="60">
        <f>[2]Trucks!A638</f>
        <v>47732</v>
      </c>
      <c r="C641" s="11" t="str">
        <f>[2]Trucks!B638</f>
        <v>TGS-27-4406X4BBS-L-STEEL</v>
      </c>
      <c r="D641" s="19" t="str">
        <f>IFERROR(VLOOKUP(C641&amp;"",'[2]Retail Price List'!$A$3:$B$103,2,FALSE),"Special Order")</f>
        <v>KP000718</v>
      </c>
      <c r="E641" s="18" t="str">
        <f>[2]Trucks!J638</f>
        <v>CKD</v>
      </c>
      <c r="F641" s="12" t="str">
        <f>[2]Trucks!E638</f>
        <v>2018-03-5</v>
      </c>
      <c r="G641" s="56">
        <f>[2]Trucks!K638</f>
        <v>14.7</v>
      </c>
      <c r="H641" s="46">
        <f>[2]Trucks!I638</f>
        <v>42947</v>
      </c>
      <c r="I641" s="83" t="str">
        <f t="shared" si="45"/>
        <v>2017Q3</v>
      </c>
      <c r="J641" s="272">
        <f>IFERROR(VLOOKUP((D641&amp;C641)&amp;"",'[2]Retail Price List'!$C$4:$F$102,3,FALSE),"")</f>
        <v>1680000</v>
      </c>
      <c r="K641" s="272">
        <f>IFERROR(IF(BA641="WIP - 30 Days",VLOOKUP(D641,[3]Standard!$B$9:$E$101,4,FALSE),IF(BA641="31-120 Days",VLOOKUP(D641,[3]Standard!$B$9:$F$101,5,FALSE),IF(BA641="121-365 Days",VLOOKUP(D641,[3]Standard!$B$9:$G$101,6,FALSE),VLOOKUP(D641,[3]Standard!$B$9:$H$101,7,FALSE)))),0)</f>
        <v>1280496</v>
      </c>
      <c r="L641" s="272">
        <f>IFERROR(IF(BA641="WIP - 30 Days",VLOOKUP(D641,[3]Standard!$B$9:$J$101,9,FALSE),IF(BA641="31-120 Days",VLOOKUP(D641,[3]Standard!$B$9:$K$100,10,FALSE),IF(BA641="121-365 Days",VLOOKUP(D641,[3]Standard!$B$9:$L$101,11,FALSE),VLOOKUP(D641,[3]Standard!$B$9:$M$101,12,FALSE)))),0)</f>
        <v>1243200</v>
      </c>
      <c r="M641" s="269">
        <f>IFERROR(VLOOKUP((D641&amp;C641)&amp;"",'[2]Retail Price List'!$C$4:$F$102,4,FALSE),"")</f>
        <v>1715000</v>
      </c>
      <c r="N641" s="269">
        <f>IFERROR(IF(BA641="WIP - 30 Days",VLOOKUP(D641,[3]Extended!$B$9:$E$101,4,FALSE),IF(BA641="31-120 Days",VLOOKUP(D641,[3]Extended!$B$9:$F$101,5,FALSE),IF(BA641="121-365 Days",VLOOKUP(D641,[3]Extended!$B$9:$G$101,6,FALSE),VLOOKUP(D641,[3]Extended!$B$9:$H$101,7,FALSE)))),0)</f>
        <v>1324837.5</v>
      </c>
      <c r="O641" s="269">
        <f>IFERROR(IF(BA641="WIP - 30 Days",VLOOKUP(D641,[3]Extended!$B$9:$J$101,9,FALSE),IF(BA641="31-120 Days",VLOOKUP(D641,[3]Extended!$B$9:$K$101,10,FALSE),IF(BA641="121-365 Days",VLOOKUP(D641,[3]Extended!$B$9:$L$101,11,FALSE),VLOOKUP(D641,[3]Extended!$B$9:$M$101,12,FALSE)))),0)</f>
        <v>1286250</v>
      </c>
      <c r="P641" s="116">
        <f t="shared" si="46"/>
        <v>0.25</v>
      </c>
      <c r="Q641" s="110" t="e">
        <f>O641-#REF!</f>
        <v>#REF!</v>
      </c>
      <c r="W641" s="311"/>
      <c r="X641" s="311"/>
      <c r="Y641" s="311"/>
      <c r="Z641" s="311"/>
      <c r="AA641" s="311"/>
      <c r="AB641" s="311"/>
      <c r="AC641" s="311"/>
      <c r="AT641" s="88" t="str">
        <f t="shared" si="47"/>
        <v>KP0007182017Q314,7</v>
      </c>
      <c r="AU641" s="89" t="str">
        <f t="shared" si="48"/>
        <v>07-2017</v>
      </c>
      <c r="BA641" s="92" t="str">
        <f t="shared" si="49"/>
        <v>WIP - 30 Days</v>
      </c>
    </row>
    <row r="642" spans="2:53">
      <c r="B642" s="60">
        <f>[2]Trucks!A639</f>
        <v>47733</v>
      </c>
      <c r="C642" s="11" t="str">
        <f>[2]Trucks!B639</f>
        <v>TGS-27-4406X4BBS-L-STEEL</v>
      </c>
      <c r="D642" s="19" t="str">
        <f>IFERROR(VLOOKUP(C642&amp;"",'[2]Retail Price List'!$A$3:$B$103,2,FALSE),"Special Order")</f>
        <v>KP000718</v>
      </c>
      <c r="E642" s="18" t="str">
        <f>[2]Trucks!J639</f>
        <v>CKD</v>
      </c>
      <c r="F642" s="12" t="str">
        <f>[2]Trucks!E639</f>
        <v>2018-03-5</v>
      </c>
      <c r="G642" s="56">
        <f>[2]Trucks!K639</f>
        <v>14.7</v>
      </c>
      <c r="H642" s="46">
        <f>[2]Trucks!I639</f>
        <v>42947</v>
      </c>
      <c r="I642" s="83" t="str">
        <f t="shared" si="45"/>
        <v>2017Q3</v>
      </c>
      <c r="J642" s="272">
        <f>IFERROR(VLOOKUP((D642&amp;C642)&amp;"",'[2]Retail Price List'!$C$4:$F$102,3,FALSE),"")</f>
        <v>1680000</v>
      </c>
      <c r="K642" s="272">
        <f>IFERROR(IF(BA642="WIP - 30 Days",VLOOKUP(D642,[3]Standard!$B$9:$E$101,4,FALSE),IF(BA642="31-120 Days",VLOOKUP(D642,[3]Standard!$B$9:$F$101,5,FALSE),IF(BA642="121-365 Days",VLOOKUP(D642,[3]Standard!$B$9:$G$101,6,FALSE),VLOOKUP(D642,[3]Standard!$B$9:$H$101,7,FALSE)))),0)</f>
        <v>1280496</v>
      </c>
      <c r="L642" s="272">
        <f>IFERROR(IF(BA642="WIP - 30 Days",VLOOKUP(D642,[3]Standard!$B$9:$J$101,9,FALSE),IF(BA642="31-120 Days",VLOOKUP(D642,[3]Standard!$B$9:$K$100,10,FALSE),IF(BA642="121-365 Days",VLOOKUP(D642,[3]Standard!$B$9:$L$101,11,FALSE),VLOOKUP(D642,[3]Standard!$B$9:$M$101,12,FALSE)))),0)</f>
        <v>1243200</v>
      </c>
      <c r="M642" s="269">
        <f>IFERROR(VLOOKUP((D642&amp;C642)&amp;"",'[2]Retail Price List'!$C$4:$F$102,4,FALSE),"")</f>
        <v>1715000</v>
      </c>
      <c r="N642" s="269">
        <f>IFERROR(IF(BA642="WIP - 30 Days",VLOOKUP(D642,[3]Extended!$B$9:$E$101,4,FALSE),IF(BA642="31-120 Days",VLOOKUP(D642,[3]Extended!$B$9:$F$101,5,FALSE),IF(BA642="121-365 Days",VLOOKUP(D642,[3]Extended!$B$9:$G$101,6,FALSE),VLOOKUP(D642,[3]Extended!$B$9:$H$101,7,FALSE)))),0)</f>
        <v>1324837.5</v>
      </c>
      <c r="O642" s="269">
        <f>IFERROR(IF(BA642="WIP - 30 Days",VLOOKUP(D642,[3]Extended!$B$9:$J$101,9,FALSE),IF(BA642="31-120 Days",VLOOKUP(D642,[3]Extended!$B$9:$K$101,10,FALSE),IF(BA642="121-365 Days",VLOOKUP(D642,[3]Extended!$B$9:$L$101,11,FALSE),VLOOKUP(D642,[3]Extended!$B$9:$M$101,12,FALSE)))),0)</f>
        <v>1286250</v>
      </c>
      <c r="P642" s="116">
        <f t="shared" si="46"/>
        <v>0.25</v>
      </c>
      <c r="Q642" s="110" t="e">
        <f>O642-#REF!</f>
        <v>#REF!</v>
      </c>
      <c r="W642" s="311"/>
      <c r="X642" s="311"/>
      <c r="Y642" s="311"/>
      <c r="Z642" s="311"/>
      <c r="AA642" s="311"/>
      <c r="AB642" s="311"/>
      <c r="AC642" s="311"/>
      <c r="AT642" s="88" t="str">
        <f t="shared" si="47"/>
        <v>KP0007182017Q314,7</v>
      </c>
      <c r="AU642" s="89" t="str">
        <f t="shared" si="48"/>
        <v>07-2017</v>
      </c>
      <c r="BA642" s="92" t="str">
        <f t="shared" si="49"/>
        <v>WIP - 30 Days</v>
      </c>
    </row>
    <row r="643" spans="2:53">
      <c r="B643" s="60">
        <f>[2]Trucks!A640</f>
        <v>47734</v>
      </c>
      <c r="C643" s="11" t="str">
        <f>[2]Trucks!B640</f>
        <v>TGS-27-4406X4BBS-L-STEEL</v>
      </c>
      <c r="D643" s="19" t="str">
        <f>IFERROR(VLOOKUP(C643&amp;"",'[2]Retail Price List'!$A$3:$B$103,2,FALSE),"Special Order")</f>
        <v>KP000718</v>
      </c>
      <c r="E643" s="18" t="str">
        <f>[2]Trucks!J640</f>
        <v>CKD</v>
      </c>
      <c r="F643" s="12" t="str">
        <f>[2]Trucks!E640</f>
        <v>2018-03-5</v>
      </c>
      <c r="G643" s="56">
        <f>[2]Trucks!K640</f>
        <v>14.7</v>
      </c>
      <c r="H643" s="46">
        <f>[2]Trucks!I640</f>
        <v>42947</v>
      </c>
      <c r="I643" s="83" t="str">
        <f t="shared" si="45"/>
        <v>2017Q3</v>
      </c>
      <c r="J643" s="272">
        <f>IFERROR(VLOOKUP((D643&amp;C643)&amp;"",'[2]Retail Price List'!$C$4:$F$102,3,FALSE),"")</f>
        <v>1680000</v>
      </c>
      <c r="K643" s="272">
        <f>IFERROR(IF(BA643="WIP - 30 Days",VLOOKUP(D643,[3]Standard!$B$9:$E$101,4,FALSE),IF(BA643="31-120 Days",VLOOKUP(D643,[3]Standard!$B$9:$F$101,5,FALSE),IF(BA643="121-365 Days",VLOOKUP(D643,[3]Standard!$B$9:$G$101,6,FALSE),VLOOKUP(D643,[3]Standard!$B$9:$H$101,7,FALSE)))),0)</f>
        <v>1280496</v>
      </c>
      <c r="L643" s="272">
        <f>IFERROR(IF(BA643="WIP - 30 Days",VLOOKUP(D643,[3]Standard!$B$9:$J$101,9,FALSE),IF(BA643="31-120 Days",VLOOKUP(D643,[3]Standard!$B$9:$K$100,10,FALSE),IF(BA643="121-365 Days",VLOOKUP(D643,[3]Standard!$B$9:$L$101,11,FALSE),VLOOKUP(D643,[3]Standard!$B$9:$M$101,12,FALSE)))),0)</f>
        <v>1243200</v>
      </c>
      <c r="M643" s="269">
        <f>IFERROR(VLOOKUP((D643&amp;C643)&amp;"",'[2]Retail Price List'!$C$4:$F$102,4,FALSE),"")</f>
        <v>1715000</v>
      </c>
      <c r="N643" s="269">
        <f>IFERROR(IF(BA643="WIP - 30 Days",VLOOKUP(D643,[3]Extended!$B$9:$E$101,4,FALSE),IF(BA643="31-120 Days",VLOOKUP(D643,[3]Extended!$B$9:$F$101,5,FALSE),IF(BA643="121-365 Days",VLOOKUP(D643,[3]Extended!$B$9:$G$101,6,FALSE),VLOOKUP(D643,[3]Extended!$B$9:$H$101,7,FALSE)))),0)</f>
        <v>1324837.5</v>
      </c>
      <c r="O643" s="269">
        <f>IFERROR(IF(BA643="WIP - 30 Days",VLOOKUP(D643,[3]Extended!$B$9:$J$101,9,FALSE),IF(BA643="31-120 Days",VLOOKUP(D643,[3]Extended!$B$9:$K$101,10,FALSE),IF(BA643="121-365 Days",VLOOKUP(D643,[3]Extended!$B$9:$L$101,11,FALSE),VLOOKUP(D643,[3]Extended!$B$9:$M$101,12,FALSE)))),0)</f>
        <v>1286250</v>
      </c>
      <c r="P643" s="116">
        <f t="shared" si="46"/>
        <v>0.25</v>
      </c>
      <c r="Q643" s="110" t="e">
        <f>O643-#REF!</f>
        <v>#REF!</v>
      </c>
      <c r="W643" s="311"/>
      <c r="X643" s="311"/>
      <c r="Y643" s="311"/>
      <c r="Z643" s="311"/>
      <c r="AA643" s="311"/>
      <c r="AB643" s="311"/>
      <c r="AC643" s="311"/>
      <c r="AT643" s="88" t="str">
        <f t="shared" si="47"/>
        <v>KP0007182017Q314,7</v>
      </c>
      <c r="AU643" s="89" t="str">
        <f t="shared" si="48"/>
        <v>07-2017</v>
      </c>
      <c r="BA643" s="92" t="str">
        <f t="shared" si="49"/>
        <v>WIP - 30 Days</v>
      </c>
    </row>
    <row r="644" spans="2:53">
      <c r="B644" s="60" t="str">
        <f>[2]Trucks!A641</f>
        <v>76W-8726</v>
      </c>
      <c r="C644" s="11" t="str">
        <f>[2]Trucks!B641</f>
        <v>TGS-27-4406X4BBS-L-STEEL</v>
      </c>
      <c r="D644" s="19" t="str">
        <f>IFERROR(VLOOKUP(C644&amp;"",'[2]Retail Price List'!$A$3:$B$103,2,FALSE),"Special Order")</f>
        <v>KP000718</v>
      </c>
      <c r="E644" s="18" t="str">
        <f>[2]Trucks!J641</f>
        <v>DEMO</v>
      </c>
      <c r="F644" s="12">
        <f>[2]Trucks!E641</f>
        <v>135</v>
      </c>
      <c r="G644" s="56">
        <f>[2]Trucks!K641</f>
        <v>16</v>
      </c>
      <c r="H644" s="46">
        <f>[2]Trucks!I641</f>
        <v>42656</v>
      </c>
      <c r="I644" s="83" t="str">
        <f t="shared" si="45"/>
        <v>201610Q4</v>
      </c>
      <c r="J644" s="272">
        <f>IFERROR(VLOOKUP((D644&amp;C644)&amp;"",'[2]Retail Price List'!$C$4:$F$102,3,FALSE),"")</f>
        <v>1680000</v>
      </c>
      <c r="K644" s="272">
        <f>IFERROR(IF(BA644="WIP - 30 Days",VLOOKUP(D644,[3]Standard!$B$9:$E$101,4,FALSE),IF(BA644="31-120 Days",VLOOKUP(D644,[3]Standard!$B$9:$F$101,5,FALSE),IF(BA644="121-365 Days",VLOOKUP(D644,[3]Standard!$B$9:$G$101,6,FALSE),VLOOKUP(D644,[3]Standard!$B$9:$H$101,7,FALSE)))),0)</f>
        <v>1228584</v>
      </c>
      <c r="L644" s="272">
        <f>IFERROR(IF(BA644="WIP - 30 Days",VLOOKUP(D644,[3]Standard!$B$9:$J$101,9,FALSE),IF(BA644="31-120 Days",VLOOKUP(D644,[3]Standard!$B$9:$K$100,10,FALSE),IF(BA644="121-365 Days",VLOOKUP(D644,[3]Standard!$B$9:$L$101,11,FALSE),VLOOKUP(D644,[3]Standard!$B$9:$M$101,12,FALSE)))),0)</f>
        <v>1192800</v>
      </c>
      <c r="M644" s="269">
        <f>IFERROR(VLOOKUP((D644&amp;C644)&amp;"",'[2]Retail Price List'!$C$4:$F$102,4,FALSE),"")</f>
        <v>1715000</v>
      </c>
      <c r="N644" s="269">
        <f>IFERROR(IF(BA644="WIP - 30 Days",VLOOKUP(D644,[3]Extended!$B$9:$E$101,4,FALSE),IF(BA644="31-120 Days",VLOOKUP(D644,[3]Extended!$B$9:$F$101,5,FALSE),IF(BA644="121-365 Days",VLOOKUP(D644,[3]Extended!$B$9:$G$101,6,FALSE),VLOOKUP(D644,[3]Extended!$B$9:$H$101,7,FALSE)))),0)</f>
        <v>1271844</v>
      </c>
      <c r="O644" s="269">
        <f>IFERROR(IF(BA644="WIP - 30 Days",VLOOKUP(D644,[3]Extended!$B$9:$J$101,9,FALSE),IF(BA644="31-120 Days",VLOOKUP(D644,[3]Extended!$B$9:$K$101,10,FALSE),IF(BA644="121-365 Days",VLOOKUP(D644,[3]Extended!$B$9:$L$101,11,FALSE),VLOOKUP(D644,[3]Extended!$B$9:$M$101,12,FALSE)))),0)</f>
        <v>1234800</v>
      </c>
      <c r="P644" s="116">
        <f t="shared" si="46"/>
        <v>0.28000000000000003</v>
      </c>
      <c r="Q644" s="110" t="e">
        <f>O644-#REF!</f>
        <v>#REF!</v>
      </c>
      <c r="W644" s="311"/>
      <c r="X644" s="311"/>
      <c r="Y644" s="311"/>
      <c r="Z644" s="311"/>
      <c r="AA644" s="311"/>
      <c r="AB644" s="311"/>
      <c r="AC644" s="311"/>
      <c r="AT644" s="88" t="str">
        <f t="shared" si="47"/>
        <v>KP000718201610Q416</v>
      </c>
      <c r="AU644" s="89" t="str">
        <f t="shared" si="48"/>
        <v>10-2016</v>
      </c>
      <c r="BA644" s="92" t="str">
        <f t="shared" si="49"/>
        <v>121-365 Days</v>
      </c>
    </row>
    <row r="645" spans="2:53">
      <c r="B645" s="60" t="str">
        <f>[2]Trucks!A642</f>
        <v>76W-9197</v>
      </c>
      <c r="C645" s="11" t="str">
        <f>[2]Trucks!B642</f>
        <v>TGS-27-4406X4BBS-L-STEEL</v>
      </c>
      <c r="D645" s="19" t="str">
        <f>IFERROR(VLOOKUP(C645&amp;"",'[2]Retail Price List'!$A$3:$B$103,2,FALSE),"Special Order")</f>
        <v>KP000718</v>
      </c>
      <c r="E645" s="18" t="str">
        <f>[2]Trucks!J642</f>
        <v>BOOKED : 2017-08-10</v>
      </c>
      <c r="F645" s="12" t="str">
        <f>[2]Trucks!E642</f>
        <v>2017-08-21</v>
      </c>
      <c r="G645" s="56">
        <f>[2]Trucks!K642</f>
        <v>15.4</v>
      </c>
      <c r="H645" s="46">
        <f>[2]Trucks!I642</f>
        <v>42823</v>
      </c>
      <c r="I645" s="83" t="str">
        <f t="shared" ref="I645:I708" si="50">IFERROR(VLOOKUP(AU645,$AW$5:$AY$40,3,FALSE),"")</f>
        <v>2017Q1</v>
      </c>
      <c r="J645" s="272">
        <f>IFERROR(VLOOKUP((D645&amp;C645)&amp;"",'[2]Retail Price List'!$C$4:$F$102,3,FALSE),"")</f>
        <v>1680000</v>
      </c>
      <c r="K645" s="272">
        <f>IFERROR(IF(BA645="WIP - 30 Days",VLOOKUP(D645,[3]Standard!$B$9:$E$101,4,FALSE),IF(BA645="31-120 Days",VLOOKUP(D645,[3]Standard!$B$9:$F$101,5,FALSE),IF(BA645="121-365 Days",VLOOKUP(D645,[3]Standard!$B$9:$G$101,6,FALSE),VLOOKUP(D645,[3]Standard!$B$9:$H$101,7,FALSE)))),0)</f>
        <v>1170909.0909090908</v>
      </c>
      <c r="L645" s="272">
        <f>IFERROR(IF(BA645="WIP - 30 Days",VLOOKUP(D645,[3]Standard!$B$9:$J$101,9,FALSE),IF(BA645="31-120 Days",VLOOKUP(D645,[3]Standard!$B$9:$K$100,10,FALSE),IF(BA645="121-365 Days",VLOOKUP(D645,[3]Standard!$B$9:$L$101,11,FALSE),VLOOKUP(D645,[3]Standard!$B$9:$M$101,12,FALSE)))),0)</f>
        <v>1159200</v>
      </c>
      <c r="M645" s="269">
        <f>IFERROR(VLOOKUP((D645&amp;C645)&amp;"",'[2]Retail Price List'!$C$4:$F$102,4,FALSE),"")</f>
        <v>1715000</v>
      </c>
      <c r="N645" s="269">
        <f>IFERROR(IF(BA645="WIP - 30 Days",VLOOKUP(D645,[3]Extended!$B$9:$E$101,4,FALSE),IF(BA645="31-120 Days",VLOOKUP(D645,[3]Extended!$B$9:$F$101,5,FALSE),IF(BA645="121-365 Days",VLOOKUP(D645,[3]Extended!$B$9:$G$101,6,FALSE),VLOOKUP(D645,[3]Extended!$B$9:$H$101,7,FALSE)))),0)</f>
        <v>1212626.2626262626</v>
      </c>
      <c r="O645" s="269">
        <f>IFERROR(IF(BA645="WIP - 30 Days",VLOOKUP(D645,[3]Extended!$B$9:$J$101,9,FALSE),IF(BA645="31-120 Days",VLOOKUP(D645,[3]Extended!$B$9:$K$101,10,FALSE),IF(BA645="121-365 Days",VLOOKUP(D645,[3]Extended!$B$9:$L$101,11,FALSE),VLOOKUP(D645,[3]Extended!$B$9:$M$101,12,FALSE)))),0)</f>
        <v>1200500</v>
      </c>
      <c r="P645" s="116">
        <f t="shared" ref="P645:P708" si="51">(M645-O645)/M645</f>
        <v>0.3</v>
      </c>
      <c r="Q645" s="110" t="e">
        <f>O645-#REF!</f>
        <v>#REF!</v>
      </c>
      <c r="W645" s="311"/>
      <c r="X645" s="311"/>
      <c r="Y645" s="311"/>
      <c r="Z645" s="311"/>
      <c r="AA645" s="311"/>
      <c r="AB645" s="311"/>
      <c r="AC645" s="311"/>
      <c r="AT645" s="88" t="str">
        <f t="shared" ref="AT645:AT708" si="52">D645&amp;I645&amp;G645</f>
        <v>KP0007182017Q115,4</v>
      </c>
      <c r="AU645" s="89" t="str">
        <f t="shared" ref="AU645:AU708" si="53">IF(MONTH(H645)&lt;10,0&amp;MONTH(H645)&amp;"-"&amp;YEAR(H645),MONTH(H645)&amp;"-"&amp;YEAR(H645))</f>
        <v>03-2017</v>
      </c>
      <c r="BA645" s="92" t="str">
        <f t="shared" ref="BA645:BA708" si="54">IF(B645=0,"",IF(AND(F645&gt;=31,F645&lt;=120),"31-120 Days",IF(AND(F645&gt;=121,F645&lt;=365),"121-365 Days",IF(OR(E645="CKD",F645&lt;=30),"WIP - 30 Days","&gt;365 Days"))))</f>
        <v>&gt;365 Days</v>
      </c>
    </row>
    <row r="646" spans="2:53">
      <c r="B646" s="60" t="str">
        <f>[2]Trucks!A643</f>
        <v>76W-9198</v>
      </c>
      <c r="C646" s="11" t="str">
        <f>[2]Trucks!B643</f>
        <v>TGS-27-4406X4BBS-L-STEEL</v>
      </c>
      <c r="D646" s="19" t="str">
        <f>IFERROR(VLOOKUP(C646&amp;"",'[2]Retail Price List'!$A$3:$B$103,2,FALSE),"Special Order")</f>
        <v>KP000718</v>
      </c>
      <c r="E646" s="18" t="str">
        <f>[2]Trucks!J643</f>
        <v>BOOKED : 2017-08-10</v>
      </c>
      <c r="F646" s="12" t="str">
        <f>[2]Trucks!E643</f>
        <v>2017-08-21</v>
      </c>
      <c r="G646" s="56">
        <f>[2]Trucks!K643</f>
        <v>15.4</v>
      </c>
      <c r="H646" s="46">
        <f>[2]Trucks!I643</f>
        <v>42823</v>
      </c>
      <c r="I646" s="83" t="str">
        <f t="shared" si="50"/>
        <v>2017Q1</v>
      </c>
      <c r="J646" s="272">
        <f>IFERROR(VLOOKUP((D646&amp;C646)&amp;"",'[2]Retail Price List'!$C$4:$F$102,3,FALSE),"")</f>
        <v>1680000</v>
      </c>
      <c r="K646" s="272">
        <f>IFERROR(IF(BA646="WIP - 30 Days",VLOOKUP(D646,[3]Standard!$B$9:$E$101,4,FALSE),IF(BA646="31-120 Days",VLOOKUP(D646,[3]Standard!$B$9:$F$101,5,FALSE),IF(BA646="121-365 Days",VLOOKUP(D646,[3]Standard!$B$9:$G$101,6,FALSE),VLOOKUP(D646,[3]Standard!$B$9:$H$101,7,FALSE)))),0)</f>
        <v>1170909.0909090908</v>
      </c>
      <c r="L646" s="272">
        <f>IFERROR(IF(BA646="WIP - 30 Days",VLOOKUP(D646,[3]Standard!$B$9:$J$101,9,FALSE),IF(BA646="31-120 Days",VLOOKUP(D646,[3]Standard!$B$9:$K$100,10,FALSE),IF(BA646="121-365 Days",VLOOKUP(D646,[3]Standard!$B$9:$L$101,11,FALSE),VLOOKUP(D646,[3]Standard!$B$9:$M$101,12,FALSE)))),0)</f>
        <v>1159200</v>
      </c>
      <c r="M646" s="269">
        <f>IFERROR(VLOOKUP((D646&amp;C646)&amp;"",'[2]Retail Price List'!$C$4:$F$102,4,FALSE),"")</f>
        <v>1715000</v>
      </c>
      <c r="N646" s="269">
        <f>IFERROR(IF(BA646="WIP - 30 Days",VLOOKUP(D646,[3]Extended!$B$9:$E$101,4,FALSE),IF(BA646="31-120 Days",VLOOKUP(D646,[3]Extended!$B$9:$F$101,5,FALSE),IF(BA646="121-365 Days",VLOOKUP(D646,[3]Extended!$B$9:$G$101,6,FALSE),VLOOKUP(D646,[3]Extended!$B$9:$H$101,7,FALSE)))),0)</f>
        <v>1212626.2626262626</v>
      </c>
      <c r="O646" s="269">
        <f>IFERROR(IF(BA646="WIP - 30 Days",VLOOKUP(D646,[3]Extended!$B$9:$J$101,9,FALSE),IF(BA646="31-120 Days",VLOOKUP(D646,[3]Extended!$B$9:$K$101,10,FALSE),IF(BA646="121-365 Days",VLOOKUP(D646,[3]Extended!$B$9:$L$101,11,FALSE),VLOOKUP(D646,[3]Extended!$B$9:$M$101,12,FALSE)))),0)</f>
        <v>1200500</v>
      </c>
      <c r="P646" s="116">
        <f t="shared" si="51"/>
        <v>0.3</v>
      </c>
      <c r="Q646" s="110" t="e">
        <f>O646-#REF!</f>
        <v>#REF!</v>
      </c>
      <c r="W646" s="311"/>
      <c r="X646" s="311"/>
      <c r="Y646" s="311"/>
      <c r="Z646" s="311"/>
      <c r="AA646" s="311"/>
      <c r="AB646" s="311"/>
      <c r="AC646" s="311"/>
      <c r="AT646" s="88" t="str">
        <f t="shared" si="52"/>
        <v>KP0007182017Q115,4</v>
      </c>
      <c r="AU646" s="89" t="str">
        <f t="shared" si="53"/>
        <v>03-2017</v>
      </c>
      <c r="BA646" s="92" t="str">
        <f t="shared" si="54"/>
        <v>&gt;365 Days</v>
      </c>
    </row>
    <row r="647" spans="2:53">
      <c r="B647" s="60" t="str">
        <f>[2]Trucks!A644</f>
        <v>76W-9199</v>
      </c>
      <c r="C647" s="11" t="str">
        <f>[2]Trucks!B644</f>
        <v>TGS-27-4406X4BBS-L-STEEL</v>
      </c>
      <c r="D647" s="19" t="str">
        <f>IFERROR(VLOOKUP(C647&amp;"",'[2]Retail Price List'!$A$3:$B$103,2,FALSE),"Special Order")</f>
        <v>KP000718</v>
      </c>
      <c r="E647" s="18" t="str">
        <f>[2]Trucks!J644</f>
        <v>BOOKED : 2017-08-10</v>
      </c>
      <c r="F647" s="12" t="str">
        <f>[2]Trucks!E644</f>
        <v>2017-08-21</v>
      </c>
      <c r="G647" s="56">
        <f>[2]Trucks!K644</f>
        <v>15.4</v>
      </c>
      <c r="H647" s="46">
        <f>[2]Trucks!I644</f>
        <v>42823</v>
      </c>
      <c r="I647" s="83" t="str">
        <f t="shared" si="50"/>
        <v>2017Q1</v>
      </c>
      <c r="J647" s="272">
        <f>IFERROR(VLOOKUP((D647&amp;C647)&amp;"",'[2]Retail Price List'!$C$4:$F$102,3,FALSE),"")</f>
        <v>1680000</v>
      </c>
      <c r="K647" s="272">
        <f>IFERROR(IF(BA647="WIP - 30 Days",VLOOKUP(D647,[3]Standard!$B$9:$E$101,4,FALSE),IF(BA647="31-120 Days",VLOOKUP(D647,[3]Standard!$B$9:$F$101,5,FALSE),IF(BA647="121-365 Days",VLOOKUP(D647,[3]Standard!$B$9:$G$101,6,FALSE),VLOOKUP(D647,[3]Standard!$B$9:$H$101,7,FALSE)))),0)</f>
        <v>1170909.0909090908</v>
      </c>
      <c r="L647" s="272">
        <f>IFERROR(IF(BA647="WIP - 30 Days",VLOOKUP(D647,[3]Standard!$B$9:$J$101,9,FALSE),IF(BA647="31-120 Days",VLOOKUP(D647,[3]Standard!$B$9:$K$100,10,FALSE),IF(BA647="121-365 Days",VLOOKUP(D647,[3]Standard!$B$9:$L$101,11,FALSE),VLOOKUP(D647,[3]Standard!$B$9:$M$101,12,FALSE)))),0)</f>
        <v>1159200</v>
      </c>
      <c r="M647" s="269">
        <f>IFERROR(VLOOKUP((D647&amp;C647)&amp;"",'[2]Retail Price List'!$C$4:$F$102,4,FALSE),"")</f>
        <v>1715000</v>
      </c>
      <c r="N647" s="269">
        <f>IFERROR(IF(BA647="WIP - 30 Days",VLOOKUP(D647,[3]Extended!$B$9:$E$101,4,FALSE),IF(BA647="31-120 Days",VLOOKUP(D647,[3]Extended!$B$9:$F$101,5,FALSE),IF(BA647="121-365 Days",VLOOKUP(D647,[3]Extended!$B$9:$G$101,6,FALSE),VLOOKUP(D647,[3]Extended!$B$9:$H$101,7,FALSE)))),0)</f>
        <v>1212626.2626262626</v>
      </c>
      <c r="O647" s="269">
        <f>IFERROR(IF(BA647="WIP - 30 Days",VLOOKUP(D647,[3]Extended!$B$9:$J$101,9,FALSE),IF(BA647="31-120 Days",VLOOKUP(D647,[3]Extended!$B$9:$K$101,10,FALSE),IF(BA647="121-365 Days",VLOOKUP(D647,[3]Extended!$B$9:$L$101,11,FALSE),VLOOKUP(D647,[3]Extended!$B$9:$M$101,12,FALSE)))),0)</f>
        <v>1200500</v>
      </c>
      <c r="P647" s="116">
        <f t="shared" si="51"/>
        <v>0.3</v>
      </c>
      <c r="Q647" s="110" t="e">
        <f>O647-#REF!</f>
        <v>#REF!</v>
      </c>
      <c r="W647" s="311"/>
      <c r="X647" s="311"/>
      <c r="Y647" s="311"/>
      <c r="Z647" s="311"/>
      <c r="AA647" s="311"/>
      <c r="AB647" s="311"/>
      <c r="AC647" s="311"/>
      <c r="AT647" s="88" t="str">
        <f t="shared" si="52"/>
        <v>KP0007182017Q115,4</v>
      </c>
      <c r="AU647" s="89" t="str">
        <f t="shared" si="53"/>
        <v>03-2017</v>
      </c>
      <c r="BA647" s="92" t="str">
        <f t="shared" si="54"/>
        <v>&gt;365 Days</v>
      </c>
    </row>
    <row r="648" spans="2:53">
      <c r="B648" s="60" t="str">
        <f>[2]Trucks!A645</f>
        <v>76W-9200</v>
      </c>
      <c r="C648" s="11" t="str">
        <f>[2]Trucks!B645</f>
        <v>TGS-27-4406X4BBS-L-STEEL</v>
      </c>
      <c r="D648" s="19" t="str">
        <f>IFERROR(VLOOKUP(C648&amp;"",'[2]Retail Price List'!$A$3:$B$103,2,FALSE),"Special Order")</f>
        <v>KP000718</v>
      </c>
      <c r="E648" s="18" t="str">
        <f>[2]Trucks!J645</f>
        <v>BOOKED : 2017-08-10</v>
      </c>
      <c r="F648" s="12" t="str">
        <f>[2]Trucks!E645</f>
        <v>2017-08-22</v>
      </c>
      <c r="G648" s="56">
        <f>[2]Trucks!K645</f>
        <v>15.4</v>
      </c>
      <c r="H648" s="46">
        <f>[2]Trucks!I645</f>
        <v>42823</v>
      </c>
      <c r="I648" s="83" t="str">
        <f t="shared" si="50"/>
        <v>2017Q1</v>
      </c>
      <c r="J648" s="272">
        <f>IFERROR(VLOOKUP((D648&amp;C648)&amp;"",'[2]Retail Price List'!$C$4:$F$102,3,FALSE),"")</f>
        <v>1680000</v>
      </c>
      <c r="K648" s="272">
        <f>IFERROR(IF(BA648="WIP - 30 Days",VLOOKUP(D648,[3]Standard!$B$9:$E$101,4,FALSE),IF(BA648="31-120 Days",VLOOKUP(D648,[3]Standard!$B$9:$F$101,5,FALSE),IF(BA648="121-365 Days",VLOOKUP(D648,[3]Standard!$B$9:$G$101,6,FALSE),VLOOKUP(D648,[3]Standard!$B$9:$H$101,7,FALSE)))),0)</f>
        <v>1170909.0909090908</v>
      </c>
      <c r="L648" s="272">
        <f>IFERROR(IF(BA648="WIP - 30 Days",VLOOKUP(D648,[3]Standard!$B$9:$J$101,9,FALSE),IF(BA648="31-120 Days",VLOOKUP(D648,[3]Standard!$B$9:$K$100,10,FALSE),IF(BA648="121-365 Days",VLOOKUP(D648,[3]Standard!$B$9:$L$101,11,FALSE),VLOOKUP(D648,[3]Standard!$B$9:$M$101,12,FALSE)))),0)</f>
        <v>1159200</v>
      </c>
      <c r="M648" s="269">
        <f>IFERROR(VLOOKUP((D648&amp;C648)&amp;"",'[2]Retail Price List'!$C$4:$F$102,4,FALSE),"")</f>
        <v>1715000</v>
      </c>
      <c r="N648" s="269">
        <f>IFERROR(IF(BA648="WIP - 30 Days",VLOOKUP(D648,[3]Extended!$B$9:$E$101,4,FALSE),IF(BA648="31-120 Days",VLOOKUP(D648,[3]Extended!$B$9:$F$101,5,FALSE),IF(BA648="121-365 Days",VLOOKUP(D648,[3]Extended!$B$9:$G$101,6,FALSE),VLOOKUP(D648,[3]Extended!$B$9:$H$101,7,FALSE)))),0)</f>
        <v>1212626.2626262626</v>
      </c>
      <c r="O648" s="269">
        <f>IFERROR(IF(BA648="WIP - 30 Days",VLOOKUP(D648,[3]Extended!$B$9:$J$101,9,FALSE),IF(BA648="31-120 Days",VLOOKUP(D648,[3]Extended!$B$9:$K$101,10,FALSE),IF(BA648="121-365 Days",VLOOKUP(D648,[3]Extended!$B$9:$L$101,11,FALSE),VLOOKUP(D648,[3]Extended!$B$9:$M$101,12,FALSE)))),0)</f>
        <v>1200500</v>
      </c>
      <c r="P648" s="116">
        <f t="shared" si="51"/>
        <v>0.3</v>
      </c>
      <c r="Q648" s="110" t="e">
        <f>O648-#REF!</f>
        <v>#REF!</v>
      </c>
      <c r="W648" s="311"/>
      <c r="X648" s="311"/>
      <c r="Y648" s="311"/>
      <c r="Z648" s="311"/>
      <c r="AA648" s="311"/>
      <c r="AB648" s="311"/>
      <c r="AC648" s="311"/>
      <c r="AT648" s="88" t="str">
        <f t="shared" si="52"/>
        <v>KP0007182017Q115,4</v>
      </c>
      <c r="AU648" s="89" t="str">
        <f t="shared" si="53"/>
        <v>03-2017</v>
      </c>
      <c r="BA648" s="92" t="str">
        <f t="shared" si="54"/>
        <v>&gt;365 Days</v>
      </c>
    </row>
    <row r="649" spans="2:53">
      <c r="B649" s="60" t="str">
        <f>[2]Trucks!A646</f>
        <v>76W-9201</v>
      </c>
      <c r="C649" s="11" t="str">
        <f>[2]Trucks!B646</f>
        <v>TGS-27-4406X4BBS-L-STEEL</v>
      </c>
      <c r="D649" s="19" t="str">
        <f>IFERROR(VLOOKUP(C649&amp;"",'[2]Retail Price List'!$A$3:$B$103,2,FALSE),"Special Order")</f>
        <v>KP000718</v>
      </c>
      <c r="E649" s="18" t="str">
        <f>[2]Trucks!J646</f>
        <v>CKD</v>
      </c>
      <c r="F649" s="12" t="str">
        <f>[2]Trucks!E646</f>
        <v>2017-08-22</v>
      </c>
      <c r="G649" s="56">
        <f>[2]Trucks!K646</f>
        <v>15.4</v>
      </c>
      <c r="H649" s="46">
        <f>[2]Trucks!I646</f>
        <v>42823</v>
      </c>
      <c r="I649" s="83" t="str">
        <f t="shared" si="50"/>
        <v>2017Q1</v>
      </c>
      <c r="J649" s="272">
        <f>IFERROR(VLOOKUP((D649&amp;C649)&amp;"",'[2]Retail Price List'!$C$4:$F$102,3,FALSE),"")</f>
        <v>1680000</v>
      </c>
      <c r="K649" s="272">
        <f>IFERROR(IF(BA649="WIP - 30 Days",VLOOKUP(D649,[3]Standard!$B$9:$E$101,4,FALSE),IF(BA649="31-120 Days",VLOOKUP(D649,[3]Standard!$B$9:$F$101,5,FALSE),IF(BA649="121-365 Days",VLOOKUP(D649,[3]Standard!$B$9:$G$101,6,FALSE),VLOOKUP(D649,[3]Standard!$B$9:$H$101,7,FALSE)))),0)</f>
        <v>1280496</v>
      </c>
      <c r="L649" s="272">
        <f>IFERROR(IF(BA649="WIP - 30 Days",VLOOKUP(D649,[3]Standard!$B$9:$J$101,9,FALSE),IF(BA649="31-120 Days",VLOOKUP(D649,[3]Standard!$B$9:$K$100,10,FALSE),IF(BA649="121-365 Days",VLOOKUP(D649,[3]Standard!$B$9:$L$101,11,FALSE),VLOOKUP(D649,[3]Standard!$B$9:$M$101,12,FALSE)))),0)</f>
        <v>1243200</v>
      </c>
      <c r="M649" s="269">
        <f>IFERROR(VLOOKUP((D649&amp;C649)&amp;"",'[2]Retail Price List'!$C$4:$F$102,4,FALSE),"")</f>
        <v>1715000</v>
      </c>
      <c r="N649" s="269">
        <f>IFERROR(IF(BA649="WIP - 30 Days",VLOOKUP(D649,[3]Extended!$B$9:$E$101,4,FALSE),IF(BA649="31-120 Days",VLOOKUP(D649,[3]Extended!$B$9:$F$101,5,FALSE),IF(BA649="121-365 Days",VLOOKUP(D649,[3]Extended!$B$9:$G$101,6,FALSE),VLOOKUP(D649,[3]Extended!$B$9:$H$101,7,FALSE)))),0)</f>
        <v>1324837.5</v>
      </c>
      <c r="O649" s="269">
        <f>IFERROR(IF(BA649="WIP - 30 Days",VLOOKUP(D649,[3]Extended!$B$9:$J$101,9,FALSE),IF(BA649="31-120 Days",VLOOKUP(D649,[3]Extended!$B$9:$K$101,10,FALSE),IF(BA649="121-365 Days",VLOOKUP(D649,[3]Extended!$B$9:$L$101,11,FALSE),VLOOKUP(D649,[3]Extended!$B$9:$M$101,12,FALSE)))),0)</f>
        <v>1286250</v>
      </c>
      <c r="P649" s="116">
        <f t="shared" si="51"/>
        <v>0.25</v>
      </c>
      <c r="Q649" s="110" t="e">
        <f>O649-#REF!</f>
        <v>#REF!</v>
      </c>
      <c r="W649" s="311"/>
      <c r="X649" s="311"/>
      <c r="Y649" s="311"/>
      <c r="Z649" s="311"/>
      <c r="AA649" s="311"/>
      <c r="AB649" s="311"/>
      <c r="AC649" s="311"/>
      <c r="AT649" s="88" t="str">
        <f t="shared" si="52"/>
        <v>KP0007182017Q115,4</v>
      </c>
      <c r="AU649" s="89" t="str">
        <f t="shared" si="53"/>
        <v>03-2017</v>
      </c>
      <c r="BA649" s="92" t="str">
        <f t="shared" si="54"/>
        <v>WIP - 30 Days</v>
      </c>
    </row>
    <row r="650" spans="2:53">
      <c r="B650" s="60" t="str">
        <f>[2]Trucks!A647</f>
        <v>76W-9202</v>
      </c>
      <c r="C650" s="11" t="str">
        <f>[2]Trucks!B647</f>
        <v>TGS-27-4406X4BBS-L-STEEL</v>
      </c>
      <c r="D650" s="19" t="str">
        <f>IFERROR(VLOOKUP(C650&amp;"",'[2]Retail Price List'!$A$3:$B$103,2,FALSE),"Special Order")</f>
        <v>KP000718</v>
      </c>
      <c r="E650" s="18" t="str">
        <f>[2]Trucks!J647</f>
        <v>CKD</v>
      </c>
      <c r="F650" s="12" t="str">
        <f>[2]Trucks!E647</f>
        <v>2017-08-22</v>
      </c>
      <c r="G650" s="56">
        <f>[2]Trucks!K647</f>
        <v>15.4</v>
      </c>
      <c r="H650" s="46">
        <f>[2]Trucks!I647</f>
        <v>42823</v>
      </c>
      <c r="I650" s="83" t="str">
        <f t="shared" si="50"/>
        <v>2017Q1</v>
      </c>
      <c r="J650" s="272">
        <f>IFERROR(VLOOKUP((D650&amp;C650)&amp;"",'[2]Retail Price List'!$C$4:$F$102,3,FALSE),"")</f>
        <v>1680000</v>
      </c>
      <c r="K650" s="272">
        <f>IFERROR(IF(BA650="WIP - 30 Days",VLOOKUP(D650,[3]Standard!$B$9:$E$101,4,FALSE),IF(BA650="31-120 Days",VLOOKUP(D650,[3]Standard!$B$9:$F$101,5,FALSE),IF(BA650="121-365 Days",VLOOKUP(D650,[3]Standard!$B$9:$G$101,6,FALSE),VLOOKUP(D650,[3]Standard!$B$9:$H$101,7,FALSE)))),0)</f>
        <v>1280496</v>
      </c>
      <c r="L650" s="272">
        <f>IFERROR(IF(BA650="WIP - 30 Days",VLOOKUP(D650,[3]Standard!$B$9:$J$101,9,FALSE),IF(BA650="31-120 Days",VLOOKUP(D650,[3]Standard!$B$9:$K$100,10,FALSE),IF(BA650="121-365 Days",VLOOKUP(D650,[3]Standard!$B$9:$L$101,11,FALSE),VLOOKUP(D650,[3]Standard!$B$9:$M$101,12,FALSE)))),0)</f>
        <v>1243200</v>
      </c>
      <c r="M650" s="269">
        <f>IFERROR(VLOOKUP((D650&amp;C650)&amp;"",'[2]Retail Price List'!$C$4:$F$102,4,FALSE),"")</f>
        <v>1715000</v>
      </c>
      <c r="N650" s="269">
        <f>IFERROR(IF(BA650="WIP - 30 Days",VLOOKUP(D650,[3]Extended!$B$9:$E$101,4,FALSE),IF(BA650="31-120 Days",VLOOKUP(D650,[3]Extended!$B$9:$F$101,5,FALSE),IF(BA650="121-365 Days",VLOOKUP(D650,[3]Extended!$B$9:$G$101,6,FALSE),VLOOKUP(D650,[3]Extended!$B$9:$H$101,7,FALSE)))),0)</f>
        <v>1324837.5</v>
      </c>
      <c r="O650" s="269">
        <f>IFERROR(IF(BA650="WIP - 30 Days",VLOOKUP(D650,[3]Extended!$B$9:$J$101,9,FALSE),IF(BA650="31-120 Days",VLOOKUP(D650,[3]Extended!$B$9:$K$101,10,FALSE),IF(BA650="121-365 Days",VLOOKUP(D650,[3]Extended!$B$9:$L$101,11,FALSE),VLOOKUP(D650,[3]Extended!$B$9:$M$101,12,FALSE)))),0)</f>
        <v>1286250</v>
      </c>
      <c r="P650" s="116">
        <f t="shared" si="51"/>
        <v>0.25</v>
      </c>
      <c r="Q650" s="110" t="e">
        <f>O650-#REF!</f>
        <v>#REF!</v>
      </c>
      <c r="W650" s="311"/>
      <c r="X650" s="311"/>
      <c r="Y650" s="311"/>
      <c r="Z650" s="311"/>
      <c r="AA650" s="311"/>
      <c r="AB650" s="311"/>
      <c r="AC650" s="311"/>
      <c r="AT650" s="88" t="str">
        <f t="shared" si="52"/>
        <v>KP0007182017Q115,4</v>
      </c>
      <c r="AU650" s="89" t="str">
        <f t="shared" si="53"/>
        <v>03-2017</v>
      </c>
      <c r="BA650" s="92" t="str">
        <f t="shared" si="54"/>
        <v>WIP - 30 Days</v>
      </c>
    </row>
    <row r="651" spans="2:53">
      <c r="B651" s="60" t="str">
        <f>[2]Trucks!A648</f>
        <v>76W-9203</v>
      </c>
      <c r="C651" s="11" t="str">
        <f>[2]Trucks!B648</f>
        <v>TGS-27-4406X4BBS-L-STEEL</v>
      </c>
      <c r="D651" s="19" t="str">
        <f>IFERROR(VLOOKUP(C651&amp;"",'[2]Retail Price List'!$A$3:$B$103,2,FALSE),"Special Order")</f>
        <v>KP000718</v>
      </c>
      <c r="E651" s="18" t="str">
        <f>[2]Trucks!J648</f>
        <v>CKD</v>
      </c>
      <c r="F651" s="12" t="str">
        <f>[2]Trucks!E648</f>
        <v>2017-08-31</v>
      </c>
      <c r="G651" s="56">
        <f>[2]Trucks!K648</f>
        <v>15.4</v>
      </c>
      <c r="H651" s="46">
        <f>[2]Trucks!I648</f>
        <v>42823</v>
      </c>
      <c r="I651" s="83" t="str">
        <f t="shared" si="50"/>
        <v>2017Q1</v>
      </c>
      <c r="J651" s="272">
        <f>IFERROR(VLOOKUP((D651&amp;C651)&amp;"",'[2]Retail Price List'!$C$4:$F$102,3,FALSE),"")</f>
        <v>1680000</v>
      </c>
      <c r="K651" s="272">
        <f>IFERROR(IF(BA651="WIP - 30 Days",VLOOKUP(D651,[3]Standard!$B$9:$E$101,4,FALSE),IF(BA651="31-120 Days",VLOOKUP(D651,[3]Standard!$B$9:$F$101,5,FALSE),IF(BA651="121-365 Days",VLOOKUP(D651,[3]Standard!$B$9:$G$101,6,FALSE),VLOOKUP(D651,[3]Standard!$B$9:$H$101,7,FALSE)))),0)</f>
        <v>1280496</v>
      </c>
      <c r="L651" s="272">
        <f>IFERROR(IF(BA651="WIP - 30 Days",VLOOKUP(D651,[3]Standard!$B$9:$J$101,9,FALSE),IF(BA651="31-120 Days",VLOOKUP(D651,[3]Standard!$B$9:$K$100,10,FALSE),IF(BA651="121-365 Days",VLOOKUP(D651,[3]Standard!$B$9:$L$101,11,FALSE),VLOOKUP(D651,[3]Standard!$B$9:$M$101,12,FALSE)))),0)</f>
        <v>1243200</v>
      </c>
      <c r="M651" s="269">
        <f>IFERROR(VLOOKUP((D651&amp;C651)&amp;"",'[2]Retail Price List'!$C$4:$F$102,4,FALSE),"")</f>
        <v>1715000</v>
      </c>
      <c r="N651" s="269">
        <f>IFERROR(IF(BA651="WIP - 30 Days",VLOOKUP(D651,[3]Extended!$B$9:$E$101,4,FALSE),IF(BA651="31-120 Days",VLOOKUP(D651,[3]Extended!$B$9:$F$101,5,FALSE),IF(BA651="121-365 Days",VLOOKUP(D651,[3]Extended!$B$9:$G$101,6,FALSE),VLOOKUP(D651,[3]Extended!$B$9:$H$101,7,FALSE)))),0)</f>
        <v>1324837.5</v>
      </c>
      <c r="O651" s="269">
        <f>IFERROR(IF(BA651="WIP - 30 Days",VLOOKUP(D651,[3]Extended!$B$9:$J$101,9,FALSE),IF(BA651="31-120 Days",VLOOKUP(D651,[3]Extended!$B$9:$K$101,10,FALSE),IF(BA651="121-365 Days",VLOOKUP(D651,[3]Extended!$B$9:$L$101,11,FALSE),VLOOKUP(D651,[3]Extended!$B$9:$M$101,12,FALSE)))),0)</f>
        <v>1286250</v>
      </c>
      <c r="P651" s="116">
        <f t="shared" si="51"/>
        <v>0.25</v>
      </c>
      <c r="Q651" s="110" t="e">
        <f>O651-#REF!</f>
        <v>#REF!</v>
      </c>
      <c r="W651" s="311"/>
      <c r="X651" s="311"/>
      <c r="Y651" s="311"/>
      <c r="Z651" s="311"/>
      <c r="AA651" s="311"/>
      <c r="AB651" s="311"/>
      <c r="AC651" s="311"/>
      <c r="AT651" s="88" t="str">
        <f t="shared" si="52"/>
        <v>KP0007182017Q115,4</v>
      </c>
      <c r="AU651" s="89" t="str">
        <f t="shared" si="53"/>
        <v>03-2017</v>
      </c>
      <c r="BA651" s="92" t="str">
        <f t="shared" si="54"/>
        <v>WIP - 30 Days</v>
      </c>
    </row>
    <row r="652" spans="2:53">
      <c r="B652" s="60" t="str">
        <f>[2]Trucks!A649</f>
        <v>76W-9204</v>
      </c>
      <c r="C652" s="11" t="str">
        <f>[2]Trucks!B649</f>
        <v>TGS-27-4406X4BBS-L-STEEL</v>
      </c>
      <c r="D652" s="19" t="str">
        <f>IFERROR(VLOOKUP(C652&amp;"",'[2]Retail Price List'!$A$3:$B$103,2,FALSE),"Special Order")</f>
        <v>KP000718</v>
      </c>
      <c r="E652" s="18" t="str">
        <f>[2]Trucks!J649</f>
        <v>CKD</v>
      </c>
      <c r="F652" s="12" t="str">
        <f>[2]Trucks!E649</f>
        <v>2017-08-31</v>
      </c>
      <c r="G652" s="56">
        <f>[2]Trucks!K649</f>
        <v>15.4</v>
      </c>
      <c r="H652" s="46">
        <f>[2]Trucks!I649</f>
        <v>42823</v>
      </c>
      <c r="I652" s="83" t="str">
        <f t="shared" si="50"/>
        <v>2017Q1</v>
      </c>
      <c r="J652" s="272">
        <f>IFERROR(VLOOKUP((D652&amp;C652)&amp;"",'[2]Retail Price List'!$C$4:$F$102,3,FALSE),"")</f>
        <v>1680000</v>
      </c>
      <c r="K652" s="272">
        <f>IFERROR(IF(BA652="WIP - 30 Days",VLOOKUP(D652,[3]Standard!$B$9:$E$101,4,FALSE),IF(BA652="31-120 Days",VLOOKUP(D652,[3]Standard!$B$9:$F$101,5,FALSE),IF(BA652="121-365 Days",VLOOKUP(D652,[3]Standard!$B$9:$G$101,6,FALSE),VLOOKUP(D652,[3]Standard!$B$9:$H$101,7,FALSE)))),0)</f>
        <v>1280496</v>
      </c>
      <c r="L652" s="272">
        <f>IFERROR(IF(BA652="WIP - 30 Days",VLOOKUP(D652,[3]Standard!$B$9:$J$101,9,FALSE),IF(BA652="31-120 Days",VLOOKUP(D652,[3]Standard!$B$9:$K$100,10,FALSE),IF(BA652="121-365 Days",VLOOKUP(D652,[3]Standard!$B$9:$L$101,11,FALSE),VLOOKUP(D652,[3]Standard!$B$9:$M$101,12,FALSE)))),0)</f>
        <v>1243200</v>
      </c>
      <c r="M652" s="269">
        <f>IFERROR(VLOOKUP((D652&amp;C652)&amp;"",'[2]Retail Price List'!$C$4:$F$102,4,FALSE),"")</f>
        <v>1715000</v>
      </c>
      <c r="N652" s="269">
        <f>IFERROR(IF(BA652="WIP - 30 Days",VLOOKUP(D652,[3]Extended!$B$9:$E$101,4,FALSE),IF(BA652="31-120 Days",VLOOKUP(D652,[3]Extended!$B$9:$F$101,5,FALSE),IF(BA652="121-365 Days",VLOOKUP(D652,[3]Extended!$B$9:$G$101,6,FALSE),VLOOKUP(D652,[3]Extended!$B$9:$H$101,7,FALSE)))),0)</f>
        <v>1324837.5</v>
      </c>
      <c r="O652" s="269">
        <f>IFERROR(IF(BA652="WIP - 30 Days",VLOOKUP(D652,[3]Extended!$B$9:$J$101,9,FALSE),IF(BA652="31-120 Days",VLOOKUP(D652,[3]Extended!$B$9:$K$101,10,FALSE),IF(BA652="121-365 Days",VLOOKUP(D652,[3]Extended!$B$9:$L$101,11,FALSE),VLOOKUP(D652,[3]Extended!$B$9:$M$101,12,FALSE)))),0)</f>
        <v>1286250</v>
      </c>
      <c r="P652" s="116">
        <f t="shared" si="51"/>
        <v>0.25</v>
      </c>
      <c r="Q652" s="110" t="e">
        <f>O652-#REF!</f>
        <v>#REF!</v>
      </c>
      <c r="W652" s="311"/>
      <c r="X652" s="311"/>
      <c r="Y652" s="311"/>
      <c r="Z652" s="311"/>
      <c r="AA652" s="311"/>
      <c r="AB652" s="311"/>
      <c r="AC652" s="311"/>
      <c r="AT652" s="88" t="str">
        <f t="shared" si="52"/>
        <v>KP0007182017Q115,4</v>
      </c>
      <c r="AU652" s="89" t="str">
        <f t="shared" si="53"/>
        <v>03-2017</v>
      </c>
      <c r="BA652" s="92" t="str">
        <f t="shared" si="54"/>
        <v>WIP - 30 Days</v>
      </c>
    </row>
    <row r="653" spans="2:53">
      <c r="B653" s="60" t="str">
        <f>[2]Trucks!A650</f>
        <v>76W-9205</v>
      </c>
      <c r="C653" s="11" t="str">
        <f>[2]Trucks!B650</f>
        <v>TGS-27-4406X4BBS-L-STEEL</v>
      </c>
      <c r="D653" s="19" t="str">
        <f>IFERROR(VLOOKUP(C653&amp;"",'[2]Retail Price List'!$A$3:$B$103,2,FALSE),"Special Order")</f>
        <v>KP000718</v>
      </c>
      <c r="E653" s="18" t="str">
        <f>[2]Trucks!J650</f>
        <v>CKD</v>
      </c>
      <c r="F653" s="12" t="str">
        <f>[2]Trucks!E650</f>
        <v>2017-09-1</v>
      </c>
      <c r="G653" s="56">
        <f>[2]Trucks!K650</f>
        <v>15.4</v>
      </c>
      <c r="H653" s="46">
        <f>[2]Trucks!I650</f>
        <v>42823</v>
      </c>
      <c r="I653" s="83" t="str">
        <f t="shared" si="50"/>
        <v>2017Q1</v>
      </c>
      <c r="J653" s="272">
        <f>IFERROR(VLOOKUP((D653&amp;C653)&amp;"",'[2]Retail Price List'!$C$4:$F$102,3,FALSE),"")</f>
        <v>1680000</v>
      </c>
      <c r="K653" s="272">
        <f>IFERROR(IF(BA653="WIP - 30 Days",VLOOKUP(D653,[3]Standard!$B$9:$E$101,4,FALSE),IF(BA653="31-120 Days",VLOOKUP(D653,[3]Standard!$B$9:$F$101,5,FALSE),IF(BA653="121-365 Days",VLOOKUP(D653,[3]Standard!$B$9:$G$101,6,FALSE),VLOOKUP(D653,[3]Standard!$B$9:$H$101,7,FALSE)))),0)</f>
        <v>1280496</v>
      </c>
      <c r="L653" s="272">
        <f>IFERROR(IF(BA653="WIP - 30 Days",VLOOKUP(D653,[3]Standard!$B$9:$J$101,9,FALSE),IF(BA653="31-120 Days",VLOOKUP(D653,[3]Standard!$B$9:$K$100,10,FALSE),IF(BA653="121-365 Days",VLOOKUP(D653,[3]Standard!$B$9:$L$101,11,FALSE),VLOOKUP(D653,[3]Standard!$B$9:$M$101,12,FALSE)))),0)</f>
        <v>1243200</v>
      </c>
      <c r="M653" s="269">
        <f>IFERROR(VLOOKUP((D653&amp;C653)&amp;"",'[2]Retail Price List'!$C$4:$F$102,4,FALSE),"")</f>
        <v>1715000</v>
      </c>
      <c r="N653" s="269">
        <f>IFERROR(IF(BA653="WIP - 30 Days",VLOOKUP(D653,[3]Extended!$B$9:$E$101,4,FALSE),IF(BA653="31-120 Days",VLOOKUP(D653,[3]Extended!$B$9:$F$101,5,FALSE),IF(BA653="121-365 Days",VLOOKUP(D653,[3]Extended!$B$9:$G$101,6,FALSE),VLOOKUP(D653,[3]Extended!$B$9:$H$101,7,FALSE)))),0)</f>
        <v>1324837.5</v>
      </c>
      <c r="O653" s="269">
        <f>IFERROR(IF(BA653="WIP - 30 Days",VLOOKUP(D653,[3]Extended!$B$9:$J$101,9,FALSE),IF(BA653="31-120 Days",VLOOKUP(D653,[3]Extended!$B$9:$K$101,10,FALSE),IF(BA653="121-365 Days",VLOOKUP(D653,[3]Extended!$B$9:$L$101,11,FALSE),VLOOKUP(D653,[3]Extended!$B$9:$M$101,12,FALSE)))),0)</f>
        <v>1286250</v>
      </c>
      <c r="P653" s="116">
        <f t="shared" si="51"/>
        <v>0.25</v>
      </c>
      <c r="Q653" s="110" t="e">
        <f>O653-#REF!</f>
        <v>#REF!</v>
      </c>
      <c r="W653" s="311"/>
      <c r="X653" s="311"/>
      <c r="Y653" s="311"/>
      <c r="Z653" s="311"/>
      <c r="AA653" s="311"/>
      <c r="AB653" s="311"/>
      <c r="AC653" s="311"/>
      <c r="AT653" s="88" t="str">
        <f t="shared" si="52"/>
        <v>KP0007182017Q115,4</v>
      </c>
      <c r="AU653" s="89" t="str">
        <f t="shared" si="53"/>
        <v>03-2017</v>
      </c>
      <c r="BA653" s="92" t="str">
        <f t="shared" si="54"/>
        <v>WIP - 30 Days</v>
      </c>
    </row>
    <row r="654" spans="2:53">
      <c r="B654" s="60" t="str">
        <f>[2]Trucks!A651</f>
        <v>76W-9206</v>
      </c>
      <c r="C654" s="11" t="str">
        <f>[2]Trucks!B651</f>
        <v>TGS-27-4406X4BBS-L-STEEL</v>
      </c>
      <c r="D654" s="19" t="str">
        <f>IFERROR(VLOOKUP(C654&amp;"",'[2]Retail Price List'!$A$3:$B$103,2,FALSE),"Special Order")</f>
        <v>KP000718</v>
      </c>
      <c r="E654" s="18" t="str">
        <f>[2]Trucks!J651</f>
        <v>CKD</v>
      </c>
      <c r="F654" s="12" t="str">
        <f>[2]Trucks!E651</f>
        <v>2017-09-1</v>
      </c>
      <c r="G654" s="56">
        <f>[2]Trucks!K651</f>
        <v>15.4</v>
      </c>
      <c r="H654" s="46">
        <f>[2]Trucks!I651</f>
        <v>42823</v>
      </c>
      <c r="I654" s="83" t="str">
        <f t="shared" si="50"/>
        <v>2017Q1</v>
      </c>
      <c r="J654" s="272">
        <f>IFERROR(VLOOKUP((D654&amp;C654)&amp;"",'[2]Retail Price List'!$C$4:$F$102,3,FALSE),"")</f>
        <v>1680000</v>
      </c>
      <c r="K654" s="272">
        <f>IFERROR(IF(BA654="WIP - 30 Days",VLOOKUP(D654,[3]Standard!$B$9:$E$101,4,FALSE),IF(BA654="31-120 Days",VLOOKUP(D654,[3]Standard!$B$9:$F$101,5,FALSE),IF(BA654="121-365 Days",VLOOKUP(D654,[3]Standard!$B$9:$G$101,6,FALSE),VLOOKUP(D654,[3]Standard!$B$9:$H$101,7,FALSE)))),0)</f>
        <v>1280496</v>
      </c>
      <c r="L654" s="272">
        <f>IFERROR(IF(BA654="WIP - 30 Days",VLOOKUP(D654,[3]Standard!$B$9:$J$101,9,FALSE),IF(BA654="31-120 Days",VLOOKUP(D654,[3]Standard!$B$9:$K$100,10,FALSE),IF(BA654="121-365 Days",VLOOKUP(D654,[3]Standard!$B$9:$L$101,11,FALSE),VLOOKUP(D654,[3]Standard!$B$9:$M$101,12,FALSE)))),0)</f>
        <v>1243200</v>
      </c>
      <c r="M654" s="269">
        <f>IFERROR(VLOOKUP((D654&amp;C654)&amp;"",'[2]Retail Price List'!$C$4:$F$102,4,FALSE),"")</f>
        <v>1715000</v>
      </c>
      <c r="N654" s="269">
        <f>IFERROR(IF(BA654="WIP - 30 Days",VLOOKUP(D654,[3]Extended!$B$9:$E$101,4,FALSE),IF(BA654="31-120 Days",VLOOKUP(D654,[3]Extended!$B$9:$F$101,5,FALSE),IF(BA654="121-365 Days",VLOOKUP(D654,[3]Extended!$B$9:$G$101,6,FALSE),VLOOKUP(D654,[3]Extended!$B$9:$H$101,7,FALSE)))),0)</f>
        <v>1324837.5</v>
      </c>
      <c r="O654" s="269">
        <f>IFERROR(IF(BA654="WIP - 30 Days",VLOOKUP(D654,[3]Extended!$B$9:$J$101,9,FALSE),IF(BA654="31-120 Days",VLOOKUP(D654,[3]Extended!$B$9:$K$101,10,FALSE),IF(BA654="121-365 Days",VLOOKUP(D654,[3]Extended!$B$9:$L$101,11,FALSE),VLOOKUP(D654,[3]Extended!$B$9:$M$101,12,FALSE)))),0)</f>
        <v>1286250</v>
      </c>
      <c r="P654" s="116">
        <f t="shared" si="51"/>
        <v>0.25</v>
      </c>
      <c r="Q654" s="110" t="e">
        <f>O654-#REF!</f>
        <v>#REF!</v>
      </c>
      <c r="W654" s="311"/>
      <c r="X654" s="311"/>
      <c r="Y654" s="311"/>
      <c r="Z654" s="311"/>
      <c r="AA654" s="311"/>
      <c r="AB654" s="311"/>
      <c r="AC654" s="311"/>
      <c r="AT654" s="88" t="str">
        <f t="shared" si="52"/>
        <v>KP0007182017Q115,4</v>
      </c>
      <c r="AU654" s="89" t="str">
        <f t="shared" si="53"/>
        <v>03-2017</v>
      </c>
      <c r="BA654" s="92" t="str">
        <f t="shared" si="54"/>
        <v>WIP - 30 Days</v>
      </c>
    </row>
    <row r="655" spans="2:53">
      <c r="B655" s="60" t="str">
        <f>[2]Trucks!A652</f>
        <v>TBAKP718</v>
      </c>
      <c r="C655" s="11" t="str">
        <f>[2]Trucks!B652</f>
        <v>TGS-27-4406X4BBS-L-STEEL</v>
      </c>
      <c r="D655" s="19" t="str">
        <f>IFERROR(VLOOKUP(C655&amp;"",'[2]Retail Price List'!$A$3:$B$103,2,FALSE),"Special Order")</f>
        <v>KP000718</v>
      </c>
      <c r="E655" s="18" t="str">
        <f>[2]Trucks!J652</f>
        <v>CKD</v>
      </c>
      <c r="F655" s="12" t="str">
        <f>[2]Trucks!E652</f>
        <v>2018-02-15</v>
      </c>
      <c r="G655" s="56">
        <f>[2]Trucks!K652</f>
        <v>14.7</v>
      </c>
      <c r="H655" s="46">
        <f>[2]Trucks!I652</f>
        <v>42921</v>
      </c>
      <c r="I655" s="83" t="str">
        <f t="shared" si="50"/>
        <v>2017Q3</v>
      </c>
      <c r="J655" s="272">
        <f>IFERROR(VLOOKUP((D655&amp;C655)&amp;"",'[2]Retail Price List'!$C$4:$F$102,3,FALSE),"")</f>
        <v>1680000</v>
      </c>
      <c r="K655" s="272">
        <f>IFERROR(IF(BA655="WIP - 30 Days",VLOOKUP(D655,[3]Standard!$B$9:$E$101,4,FALSE),IF(BA655="31-120 Days",VLOOKUP(D655,[3]Standard!$B$9:$F$101,5,FALSE),IF(BA655="121-365 Days",VLOOKUP(D655,[3]Standard!$B$9:$G$101,6,FALSE),VLOOKUP(D655,[3]Standard!$B$9:$H$101,7,FALSE)))),0)</f>
        <v>1280496</v>
      </c>
      <c r="L655" s="272">
        <f>IFERROR(IF(BA655="WIP - 30 Days",VLOOKUP(D655,[3]Standard!$B$9:$J$101,9,FALSE),IF(BA655="31-120 Days",VLOOKUP(D655,[3]Standard!$B$9:$K$100,10,FALSE),IF(BA655="121-365 Days",VLOOKUP(D655,[3]Standard!$B$9:$L$101,11,FALSE),VLOOKUP(D655,[3]Standard!$B$9:$M$101,12,FALSE)))),0)</f>
        <v>1243200</v>
      </c>
      <c r="M655" s="269">
        <f>IFERROR(VLOOKUP((D655&amp;C655)&amp;"",'[2]Retail Price List'!$C$4:$F$102,4,FALSE),"")</f>
        <v>1715000</v>
      </c>
      <c r="N655" s="269">
        <f>IFERROR(IF(BA655="WIP - 30 Days",VLOOKUP(D655,[3]Extended!$B$9:$E$101,4,FALSE),IF(BA655="31-120 Days",VLOOKUP(D655,[3]Extended!$B$9:$F$101,5,FALSE),IF(BA655="121-365 Days",VLOOKUP(D655,[3]Extended!$B$9:$G$101,6,FALSE),VLOOKUP(D655,[3]Extended!$B$9:$H$101,7,FALSE)))),0)</f>
        <v>1324837.5</v>
      </c>
      <c r="O655" s="269">
        <f>IFERROR(IF(BA655="WIP - 30 Days",VLOOKUP(D655,[3]Extended!$B$9:$J$101,9,FALSE),IF(BA655="31-120 Days",VLOOKUP(D655,[3]Extended!$B$9:$K$101,10,FALSE),IF(BA655="121-365 Days",VLOOKUP(D655,[3]Extended!$B$9:$L$101,11,FALSE),VLOOKUP(D655,[3]Extended!$B$9:$M$101,12,FALSE)))),0)</f>
        <v>1286250</v>
      </c>
      <c r="P655" s="116">
        <f t="shared" si="51"/>
        <v>0.25</v>
      </c>
      <c r="Q655" s="110" t="e">
        <f>O655-#REF!</f>
        <v>#REF!</v>
      </c>
      <c r="W655" s="311"/>
      <c r="X655" s="311"/>
      <c r="Y655" s="311"/>
      <c r="Z655" s="311"/>
      <c r="AA655" s="311"/>
      <c r="AB655" s="311"/>
      <c r="AC655" s="311"/>
      <c r="AT655" s="88" t="str">
        <f t="shared" si="52"/>
        <v>KP0007182017Q314,7</v>
      </c>
      <c r="AU655" s="89" t="str">
        <f t="shared" si="53"/>
        <v>07-2017</v>
      </c>
      <c r="BA655" s="92" t="str">
        <f t="shared" si="54"/>
        <v>WIP - 30 Days</v>
      </c>
    </row>
    <row r="656" spans="2:53">
      <c r="B656" s="60">
        <f>[2]Trucks!A653</f>
        <v>46694</v>
      </c>
      <c r="C656" s="11" t="str">
        <f>[2]Trucks!B653</f>
        <v>TGS-27-4406X4BBS-LX</v>
      </c>
      <c r="D656" s="19" t="str">
        <f>IFERROR(VLOOKUP(C656&amp;"",'[2]Retail Price List'!$A$3:$B$103,2,FALSE),"Special Order")</f>
        <v>KP000753</v>
      </c>
      <c r="E656" s="18" t="str">
        <f>[2]Trucks!J653</f>
        <v>BOOKED : 2017-08-10</v>
      </c>
      <c r="F656" s="12" t="str">
        <f>[2]Trucks!E653</f>
        <v>2017-10-23</v>
      </c>
      <c r="G656" s="56">
        <f>[2]Trucks!K653</f>
        <v>14.7</v>
      </c>
      <c r="H656" s="46">
        <f>[2]Trucks!I653</f>
        <v>42838</v>
      </c>
      <c r="I656" s="83" t="str">
        <f t="shared" si="50"/>
        <v>2017Q2</v>
      </c>
      <c r="J656" s="272">
        <f>IFERROR(VLOOKUP((D656&amp;C656)&amp;"",'[2]Retail Price List'!$C$4:$F$102,3,FALSE),"")</f>
        <v>1640000</v>
      </c>
      <c r="K656" s="272">
        <f>IFERROR(IF(BA656="WIP - 30 Days",VLOOKUP(D656,[3]Standard!$B$9:$E$101,4,FALSE),IF(BA656="31-120 Days",VLOOKUP(D656,[3]Standard!$B$9:$F$101,5,FALSE),IF(BA656="121-365 Days",VLOOKUP(D656,[3]Standard!$B$9:$G$101,6,FALSE),VLOOKUP(D656,[3]Standard!$B$9:$H$101,7,FALSE)))),0)</f>
        <v>1143030.303030303</v>
      </c>
      <c r="L656" s="272">
        <f>IFERROR(IF(BA656="WIP - 30 Days",VLOOKUP(D656,[3]Standard!$B$9:$J$101,9,FALSE),IF(BA656="31-120 Days",VLOOKUP(D656,[3]Standard!$B$9:$K$100,10,FALSE),IF(BA656="121-365 Days",VLOOKUP(D656,[3]Standard!$B$9:$L$101,11,FALSE),VLOOKUP(D656,[3]Standard!$B$9:$M$101,12,FALSE)))),0)</f>
        <v>1131600</v>
      </c>
      <c r="M656" s="269">
        <f>IFERROR(VLOOKUP((D656&amp;C656)&amp;"",'[2]Retail Price List'!$C$4:$F$102,4,FALSE),"")</f>
        <v>1675000</v>
      </c>
      <c r="N656" s="269">
        <f>IFERROR(IF(BA656="WIP - 30 Days",VLOOKUP(D656,[3]Extended!$B$9:$E$101,4,FALSE),IF(BA656="31-120 Days",VLOOKUP(D656,[3]Extended!$B$9:$F$101,5,FALSE),IF(BA656="121-365 Days",VLOOKUP(D656,[3]Extended!$B$9:$G$101,6,FALSE),VLOOKUP(D656,[3]Extended!$B$9:$H$101,7,FALSE)))),0)</f>
        <v>1201262.6262626264</v>
      </c>
      <c r="O656" s="269">
        <f>IFERROR(IF(BA656="WIP - 30 Days",VLOOKUP(D656,[3]Extended!$B$9:$J$101,9,FALSE),IF(BA656="31-120 Days",VLOOKUP(D656,[3]Extended!$B$9:$K$101,10,FALSE),IF(BA656="121-365 Days",VLOOKUP(D656,[3]Extended!$B$9:$L$101,11,FALSE),VLOOKUP(D656,[3]Extended!$B$9:$M$101,12,FALSE)))),0)</f>
        <v>1189250</v>
      </c>
      <c r="P656" s="116">
        <f t="shared" si="51"/>
        <v>0.28999999999999998</v>
      </c>
      <c r="Q656" s="110" t="e">
        <f>O656-#REF!</f>
        <v>#REF!</v>
      </c>
      <c r="W656" s="311"/>
      <c r="X656" s="311"/>
      <c r="Y656" s="311"/>
      <c r="Z656" s="311"/>
      <c r="AA656" s="311"/>
      <c r="AB656" s="311"/>
      <c r="AC656" s="311"/>
      <c r="AT656" s="88" t="str">
        <f t="shared" si="52"/>
        <v>KP0007532017Q214,7</v>
      </c>
      <c r="AU656" s="89" t="str">
        <f t="shared" si="53"/>
        <v>04-2017</v>
      </c>
      <c r="BA656" s="92" t="str">
        <f t="shared" si="54"/>
        <v>&gt;365 Days</v>
      </c>
    </row>
    <row r="657" spans="2:53">
      <c r="B657" s="60">
        <f>[2]Trucks!A654</f>
        <v>46910</v>
      </c>
      <c r="C657" s="11" t="str">
        <f>[2]Trucks!B654</f>
        <v>TGS-27-4406X4BBS-LX</v>
      </c>
      <c r="D657" s="19" t="str">
        <f>IFERROR(VLOOKUP(C657&amp;"",'[2]Retail Price List'!$A$3:$B$103,2,FALSE),"Special Order")</f>
        <v>KP000753</v>
      </c>
      <c r="E657" s="18" t="str">
        <f>[2]Trucks!J654</f>
        <v>BOOKED : 2017-08-10</v>
      </c>
      <c r="F657" s="12" t="str">
        <f>[2]Trucks!E654</f>
        <v>2017-10-30</v>
      </c>
      <c r="G657" s="56">
        <f>[2]Trucks!K654</f>
        <v>14.7</v>
      </c>
      <c r="H657" s="46">
        <f>[2]Trucks!I654</f>
        <v>42859</v>
      </c>
      <c r="I657" s="83" t="str">
        <f t="shared" si="50"/>
        <v>2017Q2</v>
      </c>
      <c r="J657" s="272">
        <f>IFERROR(VLOOKUP((D657&amp;C657)&amp;"",'[2]Retail Price List'!$C$4:$F$102,3,FALSE),"")</f>
        <v>1640000</v>
      </c>
      <c r="K657" s="272">
        <f>IFERROR(IF(BA657="WIP - 30 Days",VLOOKUP(D657,[3]Standard!$B$9:$E$101,4,FALSE),IF(BA657="31-120 Days",VLOOKUP(D657,[3]Standard!$B$9:$F$101,5,FALSE),IF(BA657="121-365 Days",VLOOKUP(D657,[3]Standard!$B$9:$G$101,6,FALSE),VLOOKUP(D657,[3]Standard!$B$9:$H$101,7,FALSE)))),0)</f>
        <v>1143030.303030303</v>
      </c>
      <c r="L657" s="272">
        <f>IFERROR(IF(BA657="WIP - 30 Days",VLOOKUP(D657,[3]Standard!$B$9:$J$101,9,FALSE),IF(BA657="31-120 Days",VLOOKUP(D657,[3]Standard!$B$9:$K$100,10,FALSE),IF(BA657="121-365 Days",VLOOKUP(D657,[3]Standard!$B$9:$L$101,11,FALSE),VLOOKUP(D657,[3]Standard!$B$9:$M$101,12,FALSE)))),0)</f>
        <v>1131600</v>
      </c>
      <c r="M657" s="269">
        <f>IFERROR(VLOOKUP((D657&amp;C657)&amp;"",'[2]Retail Price List'!$C$4:$F$102,4,FALSE),"")</f>
        <v>1675000</v>
      </c>
      <c r="N657" s="269">
        <f>IFERROR(IF(BA657="WIP - 30 Days",VLOOKUP(D657,[3]Extended!$B$9:$E$101,4,FALSE),IF(BA657="31-120 Days",VLOOKUP(D657,[3]Extended!$B$9:$F$101,5,FALSE),IF(BA657="121-365 Days",VLOOKUP(D657,[3]Extended!$B$9:$G$101,6,FALSE),VLOOKUP(D657,[3]Extended!$B$9:$H$101,7,FALSE)))),0)</f>
        <v>1201262.6262626264</v>
      </c>
      <c r="O657" s="269">
        <f>IFERROR(IF(BA657="WIP - 30 Days",VLOOKUP(D657,[3]Extended!$B$9:$J$101,9,FALSE),IF(BA657="31-120 Days",VLOOKUP(D657,[3]Extended!$B$9:$K$101,10,FALSE),IF(BA657="121-365 Days",VLOOKUP(D657,[3]Extended!$B$9:$L$101,11,FALSE),VLOOKUP(D657,[3]Extended!$B$9:$M$101,12,FALSE)))),0)</f>
        <v>1189250</v>
      </c>
      <c r="P657" s="116">
        <f t="shared" si="51"/>
        <v>0.28999999999999998</v>
      </c>
      <c r="Q657" s="110" t="e">
        <f>O657-#REF!</f>
        <v>#REF!</v>
      </c>
      <c r="W657" s="311"/>
      <c r="X657" s="311"/>
      <c r="Y657" s="311"/>
      <c r="Z657" s="311"/>
      <c r="AA657" s="311"/>
      <c r="AB657" s="311"/>
      <c r="AC657" s="311"/>
      <c r="AT657" s="88" t="str">
        <f t="shared" si="52"/>
        <v>KP0007532017Q214,7</v>
      </c>
      <c r="AU657" s="89" t="str">
        <f t="shared" si="53"/>
        <v>05-2017</v>
      </c>
      <c r="BA657" s="92" t="str">
        <f t="shared" si="54"/>
        <v>&gt;365 Days</v>
      </c>
    </row>
    <row r="658" spans="2:53">
      <c r="B658" s="60">
        <f>[2]Trucks!A655</f>
        <v>46911</v>
      </c>
      <c r="C658" s="11" t="str">
        <f>[2]Trucks!B655</f>
        <v>TGS-27-4406X4BBS-LX</v>
      </c>
      <c r="D658" s="19" t="str">
        <f>IFERROR(VLOOKUP(C658&amp;"",'[2]Retail Price List'!$A$3:$B$103,2,FALSE),"Special Order")</f>
        <v>KP000753</v>
      </c>
      <c r="E658" s="18" t="str">
        <f>[2]Trucks!J655</f>
        <v>BOOKED : 2017-08-10</v>
      </c>
      <c r="F658" s="12" t="str">
        <f>[2]Trucks!E655</f>
        <v>2017-10-30</v>
      </c>
      <c r="G658" s="56">
        <f>[2]Trucks!K655</f>
        <v>14.7</v>
      </c>
      <c r="H658" s="46">
        <f>[2]Trucks!I655</f>
        <v>42859</v>
      </c>
      <c r="I658" s="83" t="str">
        <f t="shared" si="50"/>
        <v>2017Q2</v>
      </c>
      <c r="J658" s="272">
        <f>IFERROR(VLOOKUP((D658&amp;C658)&amp;"",'[2]Retail Price List'!$C$4:$F$102,3,FALSE),"")</f>
        <v>1640000</v>
      </c>
      <c r="K658" s="272">
        <f>IFERROR(IF(BA658="WIP - 30 Days",VLOOKUP(D658,[3]Standard!$B$9:$E$101,4,FALSE),IF(BA658="31-120 Days",VLOOKUP(D658,[3]Standard!$B$9:$F$101,5,FALSE),IF(BA658="121-365 Days",VLOOKUP(D658,[3]Standard!$B$9:$G$101,6,FALSE),VLOOKUP(D658,[3]Standard!$B$9:$H$101,7,FALSE)))),0)</f>
        <v>1143030.303030303</v>
      </c>
      <c r="L658" s="272">
        <f>IFERROR(IF(BA658="WIP - 30 Days",VLOOKUP(D658,[3]Standard!$B$9:$J$101,9,FALSE),IF(BA658="31-120 Days",VLOOKUP(D658,[3]Standard!$B$9:$K$100,10,FALSE),IF(BA658="121-365 Days",VLOOKUP(D658,[3]Standard!$B$9:$L$101,11,FALSE),VLOOKUP(D658,[3]Standard!$B$9:$M$101,12,FALSE)))),0)</f>
        <v>1131600</v>
      </c>
      <c r="M658" s="269">
        <f>IFERROR(VLOOKUP((D658&amp;C658)&amp;"",'[2]Retail Price List'!$C$4:$F$102,4,FALSE),"")</f>
        <v>1675000</v>
      </c>
      <c r="N658" s="269">
        <f>IFERROR(IF(BA658="WIP - 30 Days",VLOOKUP(D658,[3]Extended!$B$9:$E$101,4,FALSE),IF(BA658="31-120 Days",VLOOKUP(D658,[3]Extended!$B$9:$F$101,5,FALSE),IF(BA658="121-365 Days",VLOOKUP(D658,[3]Extended!$B$9:$G$101,6,FALSE),VLOOKUP(D658,[3]Extended!$B$9:$H$101,7,FALSE)))),0)</f>
        <v>1201262.6262626264</v>
      </c>
      <c r="O658" s="269">
        <f>IFERROR(IF(BA658="WIP - 30 Days",VLOOKUP(D658,[3]Extended!$B$9:$J$101,9,FALSE),IF(BA658="31-120 Days",VLOOKUP(D658,[3]Extended!$B$9:$K$101,10,FALSE),IF(BA658="121-365 Days",VLOOKUP(D658,[3]Extended!$B$9:$L$101,11,FALSE),VLOOKUP(D658,[3]Extended!$B$9:$M$101,12,FALSE)))),0)</f>
        <v>1189250</v>
      </c>
      <c r="P658" s="116">
        <f t="shared" si="51"/>
        <v>0.28999999999999998</v>
      </c>
      <c r="Q658" s="110" t="e">
        <f>O658-#REF!</f>
        <v>#REF!</v>
      </c>
      <c r="W658" s="311"/>
      <c r="X658" s="311"/>
      <c r="Y658" s="311"/>
      <c r="Z658" s="311"/>
      <c r="AA658" s="311"/>
      <c r="AB658" s="311"/>
      <c r="AC658" s="311"/>
      <c r="AT658" s="88" t="str">
        <f t="shared" si="52"/>
        <v>KP0007532017Q214,7</v>
      </c>
      <c r="AU658" s="89" t="str">
        <f t="shared" si="53"/>
        <v>05-2017</v>
      </c>
      <c r="BA658" s="92" t="str">
        <f t="shared" si="54"/>
        <v>&gt;365 Days</v>
      </c>
    </row>
    <row r="659" spans="2:53">
      <c r="B659" s="60">
        <f>[2]Trucks!A656</f>
        <v>46912</v>
      </c>
      <c r="C659" s="11" t="str">
        <f>[2]Trucks!B656</f>
        <v>TGS-27-4406X4BBS-LX</v>
      </c>
      <c r="D659" s="19" t="str">
        <f>IFERROR(VLOOKUP(C659&amp;"",'[2]Retail Price List'!$A$3:$B$103,2,FALSE),"Special Order")</f>
        <v>KP000753</v>
      </c>
      <c r="E659" s="18" t="str">
        <f>[2]Trucks!J656</f>
        <v>BOOKED : 2017-08-10</v>
      </c>
      <c r="F659" s="12" t="str">
        <f>[2]Trucks!E656</f>
        <v>2017-10-30</v>
      </c>
      <c r="G659" s="56">
        <f>[2]Trucks!K656</f>
        <v>14.7</v>
      </c>
      <c r="H659" s="46">
        <f>[2]Trucks!I656</f>
        <v>42859</v>
      </c>
      <c r="I659" s="83" t="str">
        <f t="shared" si="50"/>
        <v>2017Q2</v>
      </c>
      <c r="J659" s="272">
        <f>IFERROR(VLOOKUP((D659&amp;C659)&amp;"",'[2]Retail Price List'!$C$4:$F$102,3,FALSE),"")</f>
        <v>1640000</v>
      </c>
      <c r="K659" s="272">
        <f>IFERROR(IF(BA659="WIP - 30 Days",VLOOKUP(D659,[3]Standard!$B$9:$E$101,4,FALSE),IF(BA659="31-120 Days",VLOOKUP(D659,[3]Standard!$B$9:$F$101,5,FALSE),IF(BA659="121-365 Days",VLOOKUP(D659,[3]Standard!$B$9:$G$101,6,FALSE),VLOOKUP(D659,[3]Standard!$B$9:$H$101,7,FALSE)))),0)</f>
        <v>1143030.303030303</v>
      </c>
      <c r="L659" s="272">
        <f>IFERROR(IF(BA659="WIP - 30 Days",VLOOKUP(D659,[3]Standard!$B$9:$J$101,9,FALSE),IF(BA659="31-120 Days",VLOOKUP(D659,[3]Standard!$B$9:$K$100,10,FALSE),IF(BA659="121-365 Days",VLOOKUP(D659,[3]Standard!$B$9:$L$101,11,FALSE),VLOOKUP(D659,[3]Standard!$B$9:$M$101,12,FALSE)))),0)</f>
        <v>1131600</v>
      </c>
      <c r="M659" s="269">
        <f>IFERROR(VLOOKUP((D659&amp;C659)&amp;"",'[2]Retail Price List'!$C$4:$F$102,4,FALSE),"")</f>
        <v>1675000</v>
      </c>
      <c r="N659" s="269">
        <f>IFERROR(IF(BA659="WIP - 30 Days",VLOOKUP(D659,[3]Extended!$B$9:$E$101,4,FALSE),IF(BA659="31-120 Days",VLOOKUP(D659,[3]Extended!$B$9:$F$101,5,FALSE),IF(BA659="121-365 Days",VLOOKUP(D659,[3]Extended!$B$9:$G$101,6,FALSE),VLOOKUP(D659,[3]Extended!$B$9:$H$101,7,FALSE)))),0)</f>
        <v>1201262.6262626264</v>
      </c>
      <c r="O659" s="269">
        <f>IFERROR(IF(BA659="WIP - 30 Days",VLOOKUP(D659,[3]Extended!$B$9:$J$101,9,FALSE),IF(BA659="31-120 Days",VLOOKUP(D659,[3]Extended!$B$9:$K$101,10,FALSE),IF(BA659="121-365 Days",VLOOKUP(D659,[3]Extended!$B$9:$L$101,11,FALSE),VLOOKUP(D659,[3]Extended!$B$9:$M$101,12,FALSE)))),0)</f>
        <v>1189250</v>
      </c>
      <c r="P659" s="116">
        <f t="shared" si="51"/>
        <v>0.28999999999999998</v>
      </c>
      <c r="Q659" s="110" t="e">
        <f>O659-#REF!</f>
        <v>#REF!</v>
      </c>
      <c r="W659" s="311"/>
      <c r="X659" s="311"/>
      <c r="Y659" s="311"/>
      <c r="Z659" s="311"/>
      <c r="AA659" s="311"/>
      <c r="AB659" s="311"/>
      <c r="AC659" s="311"/>
      <c r="AT659" s="88" t="str">
        <f t="shared" si="52"/>
        <v>KP0007532017Q214,7</v>
      </c>
      <c r="AU659" s="89" t="str">
        <f t="shared" si="53"/>
        <v>05-2017</v>
      </c>
      <c r="BA659" s="92" t="str">
        <f t="shared" si="54"/>
        <v>&gt;365 Days</v>
      </c>
    </row>
    <row r="660" spans="2:53">
      <c r="B660" s="60">
        <f>[2]Trucks!A657</f>
        <v>46913</v>
      </c>
      <c r="C660" s="11" t="str">
        <f>[2]Trucks!B657</f>
        <v>TGS-27-4406X4BBS-LX</v>
      </c>
      <c r="D660" s="19" t="str">
        <f>IFERROR(VLOOKUP(C660&amp;"",'[2]Retail Price List'!$A$3:$B$103,2,FALSE),"Special Order")</f>
        <v>KP000753</v>
      </c>
      <c r="E660" s="18" t="str">
        <f>[2]Trucks!J657</f>
        <v>BOOKED : 2017-08-10</v>
      </c>
      <c r="F660" s="12" t="str">
        <f>[2]Trucks!E657</f>
        <v>2017-10-30</v>
      </c>
      <c r="G660" s="56">
        <f>[2]Trucks!K657</f>
        <v>14.7</v>
      </c>
      <c r="H660" s="46">
        <f>[2]Trucks!I657</f>
        <v>42859</v>
      </c>
      <c r="I660" s="83" t="str">
        <f t="shared" si="50"/>
        <v>2017Q2</v>
      </c>
      <c r="J660" s="272">
        <f>IFERROR(VLOOKUP((D660&amp;C660)&amp;"",'[2]Retail Price List'!$C$4:$F$102,3,FALSE),"")</f>
        <v>1640000</v>
      </c>
      <c r="K660" s="272">
        <f>IFERROR(IF(BA660="WIP - 30 Days",VLOOKUP(D660,[3]Standard!$B$9:$E$101,4,FALSE),IF(BA660="31-120 Days",VLOOKUP(D660,[3]Standard!$B$9:$F$101,5,FALSE),IF(BA660="121-365 Days",VLOOKUP(D660,[3]Standard!$B$9:$G$101,6,FALSE),VLOOKUP(D660,[3]Standard!$B$9:$H$101,7,FALSE)))),0)</f>
        <v>1143030.303030303</v>
      </c>
      <c r="L660" s="272">
        <f>IFERROR(IF(BA660="WIP - 30 Days",VLOOKUP(D660,[3]Standard!$B$9:$J$101,9,FALSE),IF(BA660="31-120 Days",VLOOKUP(D660,[3]Standard!$B$9:$K$100,10,FALSE),IF(BA660="121-365 Days",VLOOKUP(D660,[3]Standard!$B$9:$L$101,11,FALSE),VLOOKUP(D660,[3]Standard!$B$9:$M$101,12,FALSE)))),0)</f>
        <v>1131600</v>
      </c>
      <c r="M660" s="269">
        <f>IFERROR(VLOOKUP((D660&amp;C660)&amp;"",'[2]Retail Price List'!$C$4:$F$102,4,FALSE),"")</f>
        <v>1675000</v>
      </c>
      <c r="N660" s="269">
        <f>IFERROR(IF(BA660="WIP - 30 Days",VLOOKUP(D660,[3]Extended!$B$9:$E$101,4,FALSE),IF(BA660="31-120 Days",VLOOKUP(D660,[3]Extended!$B$9:$F$101,5,FALSE),IF(BA660="121-365 Days",VLOOKUP(D660,[3]Extended!$B$9:$G$101,6,FALSE),VLOOKUP(D660,[3]Extended!$B$9:$H$101,7,FALSE)))),0)</f>
        <v>1201262.6262626264</v>
      </c>
      <c r="O660" s="269">
        <f>IFERROR(IF(BA660="WIP - 30 Days",VLOOKUP(D660,[3]Extended!$B$9:$J$101,9,FALSE),IF(BA660="31-120 Days",VLOOKUP(D660,[3]Extended!$B$9:$K$101,10,FALSE),IF(BA660="121-365 Days",VLOOKUP(D660,[3]Extended!$B$9:$L$101,11,FALSE),VLOOKUP(D660,[3]Extended!$B$9:$M$101,12,FALSE)))),0)</f>
        <v>1189250</v>
      </c>
      <c r="P660" s="116">
        <f t="shared" si="51"/>
        <v>0.28999999999999998</v>
      </c>
      <c r="Q660" s="110" t="e">
        <f>O660-#REF!</f>
        <v>#REF!</v>
      </c>
      <c r="W660" s="311"/>
      <c r="X660" s="311"/>
      <c r="Y660" s="311"/>
      <c r="Z660" s="311"/>
      <c r="AA660" s="311"/>
      <c r="AB660" s="311"/>
      <c r="AC660" s="311"/>
      <c r="AT660" s="88" t="str">
        <f t="shared" si="52"/>
        <v>KP0007532017Q214,7</v>
      </c>
      <c r="AU660" s="89" t="str">
        <f t="shared" si="53"/>
        <v>05-2017</v>
      </c>
      <c r="BA660" s="92" t="str">
        <f t="shared" si="54"/>
        <v>&gt;365 Days</v>
      </c>
    </row>
    <row r="661" spans="2:53">
      <c r="B661" s="60">
        <f>[2]Trucks!A658</f>
        <v>46914</v>
      </c>
      <c r="C661" s="11" t="str">
        <f>[2]Trucks!B658</f>
        <v>TGS-27-4406X4BBS-LX</v>
      </c>
      <c r="D661" s="19" t="str">
        <f>IFERROR(VLOOKUP(C661&amp;"",'[2]Retail Price List'!$A$3:$B$103,2,FALSE),"Special Order")</f>
        <v>KP000753</v>
      </c>
      <c r="E661" s="18" t="str">
        <f>[2]Trucks!J658</f>
        <v>BOOKED : 2017-08-10</v>
      </c>
      <c r="F661" s="12" t="str">
        <f>[2]Trucks!E658</f>
        <v>2017-10-31</v>
      </c>
      <c r="G661" s="56">
        <f>[2]Trucks!K658</f>
        <v>14.7</v>
      </c>
      <c r="H661" s="46">
        <f>[2]Trucks!I658</f>
        <v>42859</v>
      </c>
      <c r="I661" s="83" t="str">
        <f t="shared" si="50"/>
        <v>2017Q2</v>
      </c>
      <c r="J661" s="272">
        <f>IFERROR(VLOOKUP((D661&amp;C661)&amp;"",'[2]Retail Price List'!$C$4:$F$102,3,FALSE),"")</f>
        <v>1640000</v>
      </c>
      <c r="K661" s="272">
        <f>IFERROR(IF(BA661="WIP - 30 Days",VLOOKUP(D661,[3]Standard!$B$9:$E$101,4,FALSE),IF(BA661="31-120 Days",VLOOKUP(D661,[3]Standard!$B$9:$F$101,5,FALSE),IF(BA661="121-365 Days",VLOOKUP(D661,[3]Standard!$B$9:$G$101,6,FALSE),VLOOKUP(D661,[3]Standard!$B$9:$H$101,7,FALSE)))),0)</f>
        <v>1143030.303030303</v>
      </c>
      <c r="L661" s="272">
        <f>IFERROR(IF(BA661="WIP - 30 Days",VLOOKUP(D661,[3]Standard!$B$9:$J$101,9,FALSE),IF(BA661="31-120 Days",VLOOKUP(D661,[3]Standard!$B$9:$K$100,10,FALSE),IF(BA661="121-365 Days",VLOOKUP(D661,[3]Standard!$B$9:$L$101,11,FALSE),VLOOKUP(D661,[3]Standard!$B$9:$M$101,12,FALSE)))),0)</f>
        <v>1131600</v>
      </c>
      <c r="M661" s="269">
        <f>IFERROR(VLOOKUP((D661&amp;C661)&amp;"",'[2]Retail Price List'!$C$4:$F$102,4,FALSE),"")</f>
        <v>1675000</v>
      </c>
      <c r="N661" s="269">
        <f>IFERROR(IF(BA661="WIP - 30 Days",VLOOKUP(D661,[3]Extended!$B$9:$E$101,4,FALSE),IF(BA661="31-120 Days",VLOOKUP(D661,[3]Extended!$B$9:$F$101,5,FALSE),IF(BA661="121-365 Days",VLOOKUP(D661,[3]Extended!$B$9:$G$101,6,FALSE),VLOOKUP(D661,[3]Extended!$B$9:$H$101,7,FALSE)))),0)</f>
        <v>1201262.6262626264</v>
      </c>
      <c r="O661" s="269">
        <f>IFERROR(IF(BA661="WIP - 30 Days",VLOOKUP(D661,[3]Extended!$B$9:$J$101,9,FALSE),IF(BA661="31-120 Days",VLOOKUP(D661,[3]Extended!$B$9:$K$101,10,FALSE),IF(BA661="121-365 Days",VLOOKUP(D661,[3]Extended!$B$9:$L$101,11,FALSE),VLOOKUP(D661,[3]Extended!$B$9:$M$101,12,FALSE)))),0)</f>
        <v>1189250</v>
      </c>
      <c r="P661" s="116">
        <f t="shared" si="51"/>
        <v>0.28999999999999998</v>
      </c>
      <c r="Q661" s="110" t="e">
        <f>O661-#REF!</f>
        <v>#REF!</v>
      </c>
      <c r="W661" s="311"/>
      <c r="X661" s="311"/>
      <c r="Y661" s="311"/>
      <c r="Z661" s="311"/>
      <c r="AA661" s="311"/>
      <c r="AB661" s="311"/>
      <c r="AC661" s="311"/>
      <c r="AT661" s="88" t="str">
        <f t="shared" si="52"/>
        <v>KP0007532017Q214,7</v>
      </c>
      <c r="AU661" s="89" t="str">
        <f t="shared" si="53"/>
        <v>05-2017</v>
      </c>
      <c r="BA661" s="92" t="str">
        <f t="shared" si="54"/>
        <v>&gt;365 Days</v>
      </c>
    </row>
    <row r="662" spans="2:53">
      <c r="B662" s="60">
        <f>[2]Trucks!A659</f>
        <v>46915</v>
      </c>
      <c r="C662" s="11" t="str">
        <f>[2]Trucks!B659</f>
        <v>TGS-27-4406X4BBS-LX</v>
      </c>
      <c r="D662" s="19" t="str">
        <f>IFERROR(VLOOKUP(C662&amp;"",'[2]Retail Price List'!$A$3:$B$103,2,FALSE),"Special Order")</f>
        <v>KP000753</v>
      </c>
      <c r="E662" s="18" t="str">
        <f>[2]Trucks!J659</f>
        <v>BOOKED : 2017-08-10</v>
      </c>
      <c r="F662" s="12" t="str">
        <f>[2]Trucks!E659</f>
        <v>2017-10-31</v>
      </c>
      <c r="G662" s="56">
        <f>[2]Trucks!K659</f>
        <v>14.7</v>
      </c>
      <c r="H662" s="46">
        <f>[2]Trucks!I659</f>
        <v>42859</v>
      </c>
      <c r="I662" s="83" t="str">
        <f t="shared" si="50"/>
        <v>2017Q2</v>
      </c>
      <c r="J662" s="272">
        <f>IFERROR(VLOOKUP((D662&amp;C662)&amp;"",'[2]Retail Price List'!$C$4:$F$102,3,FALSE),"")</f>
        <v>1640000</v>
      </c>
      <c r="K662" s="272">
        <f>IFERROR(IF(BA662="WIP - 30 Days",VLOOKUP(D662,[3]Standard!$B$9:$E$101,4,FALSE),IF(BA662="31-120 Days",VLOOKUP(D662,[3]Standard!$B$9:$F$101,5,FALSE),IF(BA662="121-365 Days",VLOOKUP(D662,[3]Standard!$B$9:$G$101,6,FALSE),VLOOKUP(D662,[3]Standard!$B$9:$H$101,7,FALSE)))),0)</f>
        <v>1143030.303030303</v>
      </c>
      <c r="L662" s="272">
        <f>IFERROR(IF(BA662="WIP - 30 Days",VLOOKUP(D662,[3]Standard!$B$9:$J$101,9,FALSE),IF(BA662="31-120 Days",VLOOKUP(D662,[3]Standard!$B$9:$K$100,10,FALSE),IF(BA662="121-365 Days",VLOOKUP(D662,[3]Standard!$B$9:$L$101,11,FALSE),VLOOKUP(D662,[3]Standard!$B$9:$M$101,12,FALSE)))),0)</f>
        <v>1131600</v>
      </c>
      <c r="M662" s="269">
        <f>IFERROR(VLOOKUP((D662&amp;C662)&amp;"",'[2]Retail Price List'!$C$4:$F$102,4,FALSE),"")</f>
        <v>1675000</v>
      </c>
      <c r="N662" s="269">
        <f>IFERROR(IF(BA662="WIP - 30 Days",VLOOKUP(D662,[3]Extended!$B$9:$E$101,4,FALSE),IF(BA662="31-120 Days",VLOOKUP(D662,[3]Extended!$B$9:$F$101,5,FALSE),IF(BA662="121-365 Days",VLOOKUP(D662,[3]Extended!$B$9:$G$101,6,FALSE),VLOOKUP(D662,[3]Extended!$B$9:$H$101,7,FALSE)))),0)</f>
        <v>1201262.6262626264</v>
      </c>
      <c r="O662" s="269">
        <f>IFERROR(IF(BA662="WIP - 30 Days",VLOOKUP(D662,[3]Extended!$B$9:$J$101,9,FALSE),IF(BA662="31-120 Days",VLOOKUP(D662,[3]Extended!$B$9:$K$101,10,FALSE),IF(BA662="121-365 Days",VLOOKUP(D662,[3]Extended!$B$9:$L$101,11,FALSE),VLOOKUP(D662,[3]Extended!$B$9:$M$101,12,FALSE)))),0)</f>
        <v>1189250</v>
      </c>
      <c r="P662" s="116">
        <f t="shared" si="51"/>
        <v>0.28999999999999998</v>
      </c>
      <c r="Q662" s="110" t="e">
        <f>O662-#REF!</f>
        <v>#REF!</v>
      </c>
      <c r="W662" s="311"/>
      <c r="X662" s="311"/>
      <c r="Y662" s="311"/>
      <c r="Z662" s="311"/>
      <c r="AA662" s="311"/>
      <c r="AB662" s="311"/>
      <c r="AC662" s="311"/>
      <c r="AT662" s="88" t="str">
        <f t="shared" si="52"/>
        <v>KP0007532017Q214,7</v>
      </c>
      <c r="AU662" s="89" t="str">
        <f t="shared" si="53"/>
        <v>05-2017</v>
      </c>
      <c r="BA662" s="92" t="str">
        <f t="shared" si="54"/>
        <v>&gt;365 Days</v>
      </c>
    </row>
    <row r="663" spans="2:53">
      <c r="B663" s="60">
        <f>[2]Trucks!A660</f>
        <v>46916</v>
      </c>
      <c r="C663" s="11" t="str">
        <f>[2]Trucks!B660</f>
        <v>TGS-27-4406X4BBS-LX</v>
      </c>
      <c r="D663" s="19" t="str">
        <f>IFERROR(VLOOKUP(C663&amp;"",'[2]Retail Price List'!$A$3:$B$103,2,FALSE),"Special Order")</f>
        <v>KP000753</v>
      </c>
      <c r="E663" s="18" t="str">
        <f>[2]Trucks!J660</f>
        <v>BOOKED : 2017-08-10</v>
      </c>
      <c r="F663" s="12" t="str">
        <f>[2]Trucks!E660</f>
        <v>2017-11-8</v>
      </c>
      <c r="G663" s="56">
        <f>[2]Trucks!K660</f>
        <v>14.7</v>
      </c>
      <c r="H663" s="46">
        <f>[2]Trucks!I660</f>
        <v>42859</v>
      </c>
      <c r="I663" s="83" t="str">
        <f t="shared" si="50"/>
        <v>2017Q2</v>
      </c>
      <c r="J663" s="272">
        <f>IFERROR(VLOOKUP((D663&amp;C663)&amp;"",'[2]Retail Price List'!$C$4:$F$102,3,FALSE),"")</f>
        <v>1640000</v>
      </c>
      <c r="K663" s="272">
        <f>IFERROR(IF(BA663="WIP - 30 Days",VLOOKUP(D663,[3]Standard!$B$9:$E$101,4,FALSE),IF(BA663="31-120 Days",VLOOKUP(D663,[3]Standard!$B$9:$F$101,5,FALSE),IF(BA663="121-365 Days",VLOOKUP(D663,[3]Standard!$B$9:$G$101,6,FALSE),VLOOKUP(D663,[3]Standard!$B$9:$H$101,7,FALSE)))),0)</f>
        <v>1143030.303030303</v>
      </c>
      <c r="L663" s="272">
        <f>IFERROR(IF(BA663="WIP - 30 Days",VLOOKUP(D663,[3]Standard!$B$9:$J$101,9,FALSE),IF(BA663="31-120 Days",VLOOKUP(D663,[3]Standard!$B$9:$K$100,10,FALSE),IF(BA663="121-365 Days",VLOOKUP(D663,[3]Standard!$B$9:$L$101,11,FALSE),VLOOKUP(D663,[3]Standard!$B$9:$M$101,12,FALSE)))),0)</f>
        <v>1131600</v>
      </c>
      <c r="M663" s="269">
        <f>IFERROR(VLOOKUP((D663&amp;C663)&amp;"",'[2]Retail Price List'!$C$4:$F$102,4,FALSE),"")</f>
        <v>1675000</v>
      </c>
      <c r="N663" s="269">
        <f>IFERROR(IF(BA663="WIP - 30 Days",VLOOKUP(D663,[3]Extended!$B$9:$E$101,4,FALSE),IF(BA663="31-120 Days",VLOOKUP(D663,[3]Extended!$B$9:$F$101,5,FALSE),IF(BA663="121-365 Days",VLOOKUP(D663,[3]Extended!$B$9:$G$101,6,FALSE),VLOOKUP(D663,[3]Extended!$B$9:$H$101,7,FALSE)))),0)</f>
        <v>1201262.6262626264</v>
      </c>
      <c r="O663" s="269">
        <f>IFERROR(IF(BA663="WIP - 30 Days",VLOOKUP(D663,[3]Extended!$B$9:$J$101,9,FALSE),IF(BA663="31-120 Days",VLOOKUP(D663,[3]Extended!$B$9:$K$101,10,FALSE),IF(BA663="121-365 Days",VLOOKUP(D663,[3]Extended!$B$9:$L$101,11,FALSE),VLOOKUP(D663,[3]Extended!$B$9:$M$101,12,FALSE)))),0)</f>
        <v>1189250</v>
      </c>
      <c r="P663" s="116">
        <f t="shared" si="51"/>
        <v>0.28999999999999998</v>
      </c>
      <c r="Q663" s="110" t="e">
        <f>O663-#REF!</f>
        <v>#REF!</v>
      </c>
      <c r="W663" s="311"/>
      <c r="X663" s="311"/>
      <c r="Y663" s="311"/>
      <c r="Z663" s="311"/>
      <c r="AA663" s="311"/>
      <c r="AB663" s="311"/>
      <c r="AC663" s="311"/>
      <c r="AT663" s="88" t="str">
        <f t="shared" si="52"/>
        <v>KP0007532017Q214,7</v>
      </c>
      <c r="AU663" s="89" t="str">
        <f t="shared" si="53"/>
        <v>05-2017</v>
      </c>
      <c r="BA663" s="92" t="str">
        <f t="shared" si="54"/>
        <v>&gt;365 Days</v>
      </c>
    </row>
    <row r="664" spans="2:53">
      <c r="B664" s="60">
        <f>[2]Trucks!A661</f>
        <v>46917</v>
      </c>
      <c r="C664" s="11" t="str">
        <f>[2]Trucks!B661</f>
        <v>TGS-27-4406X4BBS-LX</v>
      </c>
      <c r="D664" s="19" t="str">
        <f>IFERROR(VLOOKUP(C664&amp;"",'[2]Retail Price List'!$A$3:$B$103,2,FALSE),"Special Order")</f>
        <v>KP000753</v>
      </c>
      <c r="E664" s="18" t="str">
        <f>[2]Trucks!J661</f>
        <v>BOOKED : 2017-08-10</v>
      </c>
      <c r="F664" s="12" t="str">
        <f>[2]Trucks!E661</f>
        <v>2017-11-8</v>
      </c>
      <c r="G664" s="56">
        <f>[2]Trucks!K661</f>
        <v>14.7</v>
      </c>
      <c r="H664" s="46">
        <f>[2]Trucks!I661</f>
        <v>42859</v>
      </c>
      <c r="I664" s="83" t="str">
        <f t="shared" si="50"/>
        <v>2017Q2</v>
      </c>
      <c r="J664" s="272">
        <f>IFERROR(VLOOKUP((D664&amp;C664)&amp;"",'[2]Retail Price List'!$C$4:$F$102,3,FALSE),"")</f>
        <v>1640000</v>
      </c>
      <c r="K664" s="272">
        <f>IFERROR(IF(BA664="WIP - 30 Days",VLOOKUP(D664,[3]Standard!$B$9:$E$101,4,FALSE),IF(BA664="31-120 Days",VLOOKUP(D664,[3]Standard!$B$9:$F$101,5,FALSE),IF(BA664="121-365 Days",VLOOKUP(D664,[3]Standard!$B$9:$G$101,6,FALSE),VLOOKUP(D664,[3]Standard!$B$9:$H$101,7,FALSE)))),0)</f>
        <v>1143030.303030303</v>
      </c>
      <c r="L664" s="272">
        <f>IFERROR(IF(BA664="WIP - 30 Days",VLOOKUP(D664,[3]Standard!$B$9:$J$101,9,FALSE),IF(BA664="31-120 Days",VLOOKUP(D664,[3]Standard!$B$9:$K$100,10,FALSE),IF(BA664="121-365 Days",VLOOKUP(D664,[3]Standard!$B$9:$L$101,11,FALSE),VLOOKUP(D664,[3]Standard!$B$9:$M$101,12,FALSE)))),0)</f>
        <v>1131600</v>
      </c>
      <c r="M664" s="269">
        <f>IFERROR(VLOOKUP((D664&amp;C664)&amp;"",'[2]Retail Price List'!$C$4:$F$102,4,FALSE),"")</f>
        <v>1675000</v>
      </c>
      <c r="N664" s="269">
        <f>IFERROR(IF(BA664="WIP - 30 Days",VLOOKUP(D664,[3]Extended!$B$9:$E$101,4,FALSE),IF(BA664="31-120 Days",VLOOKUP(D664,[3]Extended!$B$9:$F$101,5,FALSE),IF(BA664="121-365 Days",VLOOKUP(D664,[3]Extended!$B$9:$G$101,6,FALSE),VLOOKUP(D664,[3]Extended!$B$9:$H$101,7,FALSE)))),0)</f>
        <v>1201262.6262626264</v>
      </c>
      <c r="O664" s="269">
        <f>IFERROR(IF(BA664="WIP - 30 Days",VLOOKUP(D664,[3]Extended!$B$9:$J$101,9,FALSE),IF(BA664="31-120 Days",VLOOKUP(D664,[3]Extended!$B$9:$K$101,10,FALSE),IF(BA664="121-365 Days",VLOOKUP(D664,[3]Extended!$B$9:$L$101,11,FALSE),VLOOKUP(D664,[3]Extended!$B$9:$M$101,12,FALSE)))),0)</f>
        <v>1189250</v>
      </c>
      <c r="P664" s="116">
        <f t="shared" si="51"/>
        <v>0.28999999999999998</v>
      </c>
      <c r="Q664" s="110" t="e">
        <f>O664-#REF!</f>
        <v>#REF!</v>
      </c>
      <c r="W664" s="311"/>
      <c r="X664" s="311"/>
      <c r="Y664" s="311"/>
      <c r="Z664" s="311"/>
      <c r="AA664" s="311"/>
      <c r="AB664" s="311"/>
      <c r="AC664" s="311"/>
      <c r="AT664" s="88" t="str">
        <f t="shared" si="52"/>
        <v>KP0007532017Q214,7</v>
      </c>
      <c r="AU664" s="89" t="str">
        <f t="shared" si="53"/>
        <v>05-2017</v>
      </c>
      <c r="BA664" s="92" t="str">
        <f t="shared" si="54"/>
        <v>&gt;365 Days</v>
      </c>
    </row>
    <row r="665" spans="2:53">
      <c r="B665" s="60">
        <f>[2]Trucks!A662</f>
        <v>46918</v>
      </c>
      <c r="C665" s="11" t="str">
        <f>[2]Trucks!B662</f>
        <v>TGS-27-4406X4BBS-LX</v>
      </c>
      <c r="D665" s="19" t="str">
        <f>IFERROR(VLOOKUP(C665&amp;"",'[2]Retail Price List'!$A$3:$B$103,2,FALSE),"Special Order")</f>
        <v>KP000753</v>
      </c>
      <c r="E665" s="18" t="str">
        <f>[2]Trucks!J662</f>
        <v>BOOKED : 2017-08-10</v>
      </c>
      <c r="F665" s="12" t="str">
        <f>[2]Trucks!E662</f>
        <v>2017-11-9</v>
      </c>
      <c r="G665" s="56">
        <f>[2]Trucks!K662</f>
        <v>14.7</v>
      </c>
      <c r="H665" s="46">
        <f>[2]Trucks!I662</f>
        <v>42859</v>
      </c>
      <c r="I665" s="83" t="str">
        <f t="shared" si="50"/>
        <v>2017Q2</v>
      </c>
      <c r="J665" s="272">
        <f>IFERROR(VLOOKUP((D665&amp;C665)&amp;"",'[2]Retail Price List'!$C$4:$F$102,3,FALSE),"")</f>
        <v>1640000</v>
      </c>
      <c r="K665" s="272">
        <f>IFERROR(IF(BA665="WIP - 30 Days",VLOOKUP(D665,[3]Standard!$B$9:$E$101,4,FALSE),IF(BA665="31-120 Days",VLOOKUP(D665,[3]Standard!$B$9:$F$101,5,FALSE),IF(BA665="121-365 Days",VLOOKUP(D665,[3]Standard!$B$9:$G$101,6,FALSE),VLOOKUP(D665,[3]Standard!$B$9:$H$101,7,FALSE)))),0)</f>
        <v>1143030.303030303</v>
      </c>
      <c r="L665" s="272">
        <f>IFERROR(IF(BA665="WIP - 30 Days",VLOOKUP(D665,[3]Standard!$B$9:$J$101,9,FALSE),IF(BA665="31-120 Days",VLOOKUP(D665,[3]Standard!$B$9:$K$100,10,FALSE),IF(BA665="121-365 Days",VLOOKUP(D665,[3]Standard!$B$9:$L$101,11,FALSE),VLOOKUP(D665,[3]Standard!$B$9:$M$101,12,FALSE)))),0)</f>
        <v>1131600</v>
      </c>
      <c r="M665" s="269">
        <f>IFERROR(VLOOKUP((D665&amp;C665)&amp;"",'[2]Retail Price List'!$C$4:$F$102,4,FALSE),"")</f>
        <v>1675000</v>
      </c>
      <c r="N665" s="269">
        <f>IFERROR(IF(BA665="WIP - 30 Days",VLOOKUP(D665,[3]Extended!$B$9:$E$101,4,FALSE),IF(BA665="31-120 Days",VLOOKUP(D665,[3]Extended!$B$9:$F$101,5,FALSE),IF(BA665="121-365 Days",VLOOKUP(D665,[3]Extended!$B$9:$G$101,6,FALSE),VLOOKUP(D665,[3]Extended!$B$9:$H$101,7,FALSE)))),0)</f>
        <v>1201262.6262626264</v>
      </c>
      <c r="O665" s="269">
        <f>IFERROR(IF(BA665="WIP - 30 Days",VLOOKUP(D665,[3]Extended!$B$9:$J$101,9,FALSE),IF(BA665="31-120 Days",VLOOKUP(D665,[3]Extended!$B$9:$K$101,10,FALSE),IF(BA665="121-365 Days",VLOOKUP(D665,[3]Extended!$B$9:$L$101,11,FALSE),VLOOKUP(D665,[3]Extended!$B$9:$M$101,12,FALSE)))),0)</f>
        <v>1189250</v>
      </c>
      <c r="P665" s="116">
        <f t="shared" si="51"/>
        <v>0.28999999999999998</v>
      </c>
      <c r="Q665" s="110" t="e">
        <f>O665-#REF!</f>
        <v>#REF!</v>
      </c>
      <c r="W665" s="311"/>
      <c r="X665" s="311"/>
      <c r="Y665" s="311"/>
      <c r="Z665" s="311"/>
      <c r="AA665" s="311"/>
      <c r="AB665" s="311"/>
      <c r="AC665" s="311"/>
      <c r="AT665" s="88" t="str">
        <f t="shared" si="52"/>
        <v>KP0007532017Q214,7</v>
      </c>
      <c r="AU665" s="89" t="str">
        <f t="shared" si="53"/>
        <v>05-2017</v>
      </c>
      <c r="BA665" s="92" t="str">
        <f t="shared" si="54"/>
        <v>&gt;365 Days</v>
      </c>
    </row>
    <row r="666" spans="2:53">
      <c r="B666" s="60">
        <f>[2]Trucks!A663</f>
        <v>46919</v>
      </c>
      <c r="C666" s="11" t="str">
        <f>[2]Trucks!B663</f>
        <v>TGS-27-4406X4BBS-LX</v>
      </c>
      <c r="D666" s="19" t="str">
        <f>IFERROR(VLOOKUP(C666&amp;"",'[2]Retail Price List'!$A$3:$B$103,2,FALSE),"Special Order")</f>
        <v>KP000753</v>
      </c>
      <c r="E666" s="18" t="str">
        <f>[2]Trucks!J663</f>
        <v>BOOKED : 2017-08-10</v>
      </c>
      <c r="F666" s="12" t="str">
        <f>[2]Trucks!E663</f>
        <v>2017-11-9</v>
      </c>
      <c r="G666" s="56">
        <f>[2]Trucks!K663</f>
        <v>14.7</v>
      </c>
      <c r="H666" s="46">
        <f>[2]Trucks!I663</f>
        <v>42859</v>
      </c>
      <c r="I666" s="83" t="str">
        <f t="shared" si="50"/>
        <v>2017Q2</v>
      </c>
      <c r="J666" s="272">
        <f>IFERROR(VLOOKUP((D666&amp;C666)&amp;"",'[2]Retail Price List'!$C$4:$F$102,3,FALSE),"")</f>
        <v>1640000</v>
      </c>
      <c r="K666" s="272">
        <f>IFERROR(IF(BA666="WIP - 30 Days",VLOOKUP(D666,[3]Standard!$B$9:$E$101,4,FALSE),IF(BA666="31-120 Days",VLOOKUP(D666,[3]Standard!$B$9:$F$101,5,FALSE),IF(BA666="121-365 Days",VLOOKUP(D666,[3]Standard!$B$9:$G$101,6,FALSE),VLOOKUP(D666,[3]Standard!$B$9:$H$101,7,FALSE)))),0)</f>
        <v>1143030.303030303</v>
      </c>
      <c r="L666" s="272">
        <f>IFERROR(IF(BA666="WIP - 30 Days",VLOOKUP(D666,[3]Standard!$B$9:$J$101,9,FALSE),IF(BA666="31-120 Days",VLOOKUP(D666,[3]Standard!$B$9:$K$100,10,FALSE),IF(BA666="121-365 Days",VLOOKUP(D666,[3]Standard!$B$9:$L$101,11,FALSE),VLOOKUP(D666,[3]Standard!$B$9:$M$101,12,FALSE)))),0)</f>
        <v>1131600</v>
      </c>
      <c r="M666" s="269">
        <f>IFERROR(VLOOKUP((D666&amp;C666)&amp;"",'[2]Retail Price List'!$C$4:$F$102,4,FALSE),"")</f>
        <v>1675000</v>
      </c>
      <c r="N666" s="269">
        <f>IFERROR(IF(BA666="WIP - 30 Days",VLOOKUP(D666,[3]Extended!$B$9:$E$101,4,FALSE),IF(BA666="31-120 Days",VLOOKUP(D666,[3]Extended!$B$9:$F$101,5,FALSE),IF(BA666="121-365 Days",VLOOKUP(D666,[3]Extended!$B$9:$G$101,6,FALSE),VLOOKUP(D666,[3]Extended!$B$9:$H$101,7,FALSE)))),0)</f>
        <v>1201262.6262626264</v>
      </c>
      <c r="O666" s="269">
        <f>IFERROR(IF(BA666="WIP - 30 Days",VLOOKUP(D666,[3]Extended!$B$9:$J$101,9,FALSE),IF(BA666="31-120 Days",VLOOKUP(D666,[3]Extended!$B$9:$K$101,10,FALSE),IF(BA666="121-365 Days",VLOOKUP(D666,[3]Extended!$B$9:$L$101,11,FALSE),VLOOKUP(D666,[3]Extended!$B$9:$M$101,12,FALSE)))),0)</f>
        <v>1189250</v>
      </c>
      <c r="P666" s="116">
        <f t="shared" si="51"/>
        <v>0.28999999999999998</v>
      </c>
      <c r="Q666" s="110" t="e">
        <f>O666-#REF!</f>
        <v>#REF!</v>
      </c>
      <c r="W666" s="311"/>
      <c r="X666" s="311"/>
      <c r="Y666" s="311"/>
      <c r="Z666" s="311"/>
      <c r="AA666" s="311"/>
      <c r="AB666" s="311"/>
      <c r="AC666" s="311"/>
      <c r="AT666" s="88" t="str">
        <f t="shared" si="52"/>
        <v>KP0007532017Q214,7</v>
      </c>
      <c r="AU666" s="89" t="str">
        <f t="shared" si="53"/>
        <v>05-2017</v>
      </c>
      <c r="BA666" s="92" t="str">
        <f t="shared" si="54"/>
        <v>&gt;365 Days</v>
      </c>
    </row>
    <row r="667" spans="2:53">
      <c r="B667" s="60">
        <f>[2]Trucks!A664</f>
        <v>46920</v>
      </c>
      <c r="C667" s="11" t="str">
        <f>[2]Trucks!B664</f>
        <v>TGS-27-4406X4BBS-LX</v>
      </c>
      <c r="D667" s="19" t="str">
        <f>IFERROR(VLOOKUP(C667&amp;"",'[2]Retail Price List'!$A$3:$B$103,2,FALSE),"Special Order")</f>
        <v>KP000753</v>
      </c>
      <c r="E667" s="18" t="str">
        <f>[2]Trucks!J664</f>
        <v>BOOKED : 2017-08-10</v>
      </c>
      <c r="F667" s="12" t="str">
        <f>[2]Trucks!E664</f>
        <v>2017-11-15</v>
      </c>
      <c r="G667" s="56">
        <f>[2]Trucks!K664</f>
        <v>14.7</v>
      </c>
      <c r="H667" s="46">
        <f>[2]Trucks!I664</f>
        <v>42859</v>
      </c>
      <c r="I667" s="83" t="str">
        <f t="shared" si="50"/>
        <v>2017Q2</v>
      </c>
      <c r="J667" s="272">
        <f>IFERROR(VLOOKUP((D667&amp;C667)&amp;"",'[2]Retail Price List'!$C$4:$F$102,3,FALSE),"")</f>
        <v>1640000</v>
      </c>
      <c r="K667" s="272">
        <f>IFERROR(IF(BA667="WIP - 30 Days",VLOOKUP(D667,[3]Standard!$B$9:$E$101,4,FALSE),IF(BA667="31-120 Days",VLOOKUP(D667,[3]Standard!$B$9:$F$101,5,FALSE),IF(BA667="121-365 Days",VLOOKUP(D667,[3]Standard!$B$9:$G$101,6,FALSE),VLOOKUP(D667,[3]Standard!$B$9:$H$101,7,FALSE)))),0)</f>
        <v>1143030.303030303</v>
      </c>
      <c r="L667" s="272">
        <f>IFERROR(IF(BA667="WIP - 30 Days",VLOOKUP(D667,[3]Standard!$B$9:$J$101,9,FALSE),IF(BA667="31-120 Days",VLOOKUP(D667,[3]Standard!$B$9:$K$100,10,FALSE),IF(BA667="121-365 Days",VLOOKUP(D667,[3]Standard!$B$9:$L$101,11,FALSE),VLOOKUP(D667,[3]Standard!$B$9:$M$101,12,FALSE)))),0)</f>
        <v>1131600</v>
      </c>
      <c r="M667" s="269">
        <f>IFERROR(VLOOKUP((D667&amp;C667)&amp;"",'[2]Retail Price List'!$C$4:$F$102,4,FALSE),"")</f>
        <v>1675000</v>
      </c>
      <c r="N667" s="269">
        <f>IFERROR(IF(BA667="WIP - 30 Days",VLOOKUP(D667,[3]Extended!$B$9:$E$101,4,FALSE),IF(BA667="31-120 Days",VLOOKUP(D667,[3]Extended!$B$9:$F$101,5,FALSE),IF(BA667="121-365 Days",VLOOKUP(D667,[3]Extended!$B$9:$G$101,6,FALSE),VLOOKUP(D667,[3]Extended!$B$9:$H$101,7,FALSE)))),0)</f>
        <v>1201262.6262626264</v>
      </c>
      <c r="O667" s="269">
        <f>IFERROR(IF(BA667="WIP - 30 Days",VLOOKUP(D667,[3]Extended!$B$9:$J$101,9,FALSE),IF(BA667="31-120 Days",VLOOKUP(D667,[3]Extended!$B$9:$K$101,10,FALSE),IF(BA667="121-365 Days",VLOOKUP(D667,[3]Extended!$B$9:$L$101,11,FALSE),VLOOKUP(D667,[3]Extended!$B$9:$M$101,12,FALSE)))),0)</f>
        <v>1189250</v>
      </c>
      <c r="P667" s="116">
        <f t="shared" si="51"/>
        <v>0.28999999999999998</v>
      </c>
      <c r="Q667" s="110" t="e">
        <f>O667-#REF!</f>
        <v>#REF!</v>
      </c>
      <c r="W667" s="311"/>
      <c r="X667" s="311"/>
      <c r="Y667" s="311"/>
      <c r="Z667" s="311"/>
      <c r="AA667" s="311"/>
      <c r="AB667" s="311"/>
      <c r="AC667" s="311"/>
      <c r="AT667" s="88" t="str">
        <f t="shared" si="52"/>
        <v>KP0007532017Q214,7</v>
      </c>
      <c r="AU667" s="89" t="str">
        <f t="shared" si="53"/>
        <v>05-2017</v>
      </c>
      <c r="BA667" s="92" t="str">
        <f t="shared" si="54"/>
        <v>&gt;365 Days</v>
      </c>
    </row>
    <row r="668" spans="2:53">
      <c r="B668" s="60">
        <f>[2]Trucks!A665</f>
        <v>46921</v>
      </c>
      <c r="C668" s="11" t="str">
        <f>[2]Trucks!B665</f>
        <v>TGS-27-4406X4BBS-LX</v>
      </c>
      <c r="D668" s="19" t="str">
        <f>IFERROR(VLOOKUP(C668&amp;"",'[2]Retail Price List'!$A$3:$B$103,2,FALSE),"Special Order")</f>
        <v>KP000753</v>
      </c>
      <c r="E668" s="18" t="str">
        <f>[2]Trucks!J665</f>
        <v>BOOKED : 2017-08-10</v>
      </c>
      <c r="F668" s="12" t="str">
        <f>[2]Trucks!E665</f>
        <v>2017-11-15</v>
      </c>
      <c r="G668" s="56">
        <f>[2]Trucks!K665</f>
        <v>14.7</v>
      </c>
      <c r="H668" s="46">
        <f>[2]Trucks!I665</f>
        <v>42859</v>
      </c>
      <c r="I668" s="83" t="str">
        <f t="shared" si="50"/>
        <v>2017Q2</v>
      </c>
      <c r="J668" s="272">
        <f>IFERROR(VLOOKUP((D668&amp;C668)&amp;"",'[2]Retail Price List'!$C$4:$F$102,3,FALSE),"")</f>
        <v>1640000</v>
      </c>
      <c r="K668" s="272">
        <f>IFERROR(IF(BA668="WIP - 30 Days",VLOOKUP(D668,[3]Standard!$B$9:$E$101,4,FALSE),IF(BA668="31-120 Days",VLOOKUP(D668,[3]Standard!$B$9:$F$101,5,FALSE),IF(BA668="121-365 Days",VLOOKUP(D668,[3]Standard!$B$9:$G$101,6,FALSE),VLOOKUP(D668,[3]Standard!$B$9:$H$101,7,FALSE)))),0)</f>
        <v>1143030.303030303</v>
      </c>
      <c r="L668" s="272">
        <f>IFERROR(IF(BA668="WIP - 30 Days",VLOOKUP(D668,[3]Standard!$B$9:$J$101,9,FALSE),IF(BA668="31-120 Days",VLOOKUP(D668,[3]Standard!$B$9:$K$100,10,FALSE),IF(BA668="121-365 Days",VLOOKUP(D668,[3]Standard!$B$9:$L$101,11,FALSE),VLOOKUP(D668,[3]Standard!$B$9:$M$101,12,FALSE)))),0)</f>
        <v>1131600</v>
      </c>
      <c r="M668" s="269">
        <f>IFERROR(VLOOKUP((D668&amp;C668)&amp;"",'[2]Retail Price List'!$C$4:$F$102,4,FALSE),"")</f>
        <v>1675000</v>
      </c>
      <c r="N668" s="269">
        <f>IFERROR(IF(BA668="WIP - 30 Days",VLOOKUP(D668,[3]Extended!$B$9:$E$101,4,FALSE),IF(BA668="31-120 Days",VLOOKUP(D668,[3]Extended!$B$9:$F$101,5,FALSE),IF(BA668="121-365 Days",VLOOKUP(D668,[3]Extended!$B$9:$G$101,6,FALSE),VLOOKUP(D668,[3]Extended!$B$9:$H$101,7,FALSE)))),0)</f>
        <v>1201262.6262626264</v>
      </c>
      <c r="O668" s="269">
        <f>IFERROR(IF(BA668="WIP - 30 Days",VLOOKUP(D668,[3]Extended!$B$9:$J$101,9,FALSE),IF(BA668="31-120 Days",VLOOKUP(D668,[3]Extended!$B$9:$K$101,10,FALSE),IF(BA668="121-365 Days",VLOOKUP(D668,[3]Extended!$B$9:$L$101,11,FALSE),VLOOKUP(D668,[3]Extended!$B$9:$M$101,12,FALSE)))),0)</f>
        <v>1189250</v>
      </c>
      <c r="P668" s="116">
        <f t="shared" si="51"/>
        <v>0.28999999999999998</v>
      </c>
      <c r="Q668" s="110" t="e">
        <f>O668-#REF!</f>
        <v>#REF!</v>
      </c>
      <c r="W668" s="311"/>
      <c r="X668" s="311"/>
      <c r="Y668" s="311"/>
      <c r="Z668" s="311"/>
      <c r="AA668" s="311"/>
      <c r="AB668" s="311"/>
      <c r="AC668" s="311"/>
      <c r="AT668" s="88" t="str">
        <f t="shared" si="52"/>
        <v>KP0007532017Q214,7</v>
      </c>
      <c r="AU668" s="89" t="str">
        <f t="shared" si="53"/>
        <v>05-2017</v>
      </c>
      <c r="BA668" s="92" t="str">
        <f t="shared" si="54"/>
        <v>&gt;365 Days</v>
      </c>
    </row>
    <row r="669" spans="2:53">
      <c r="B669" s="60">
        <f>[2]Trucks!A666</f>
        <v>46922</v>
      </c>
      <c r="C669" s="11" t="str">
        <f>[2]Trucks!B666</f>
        <v>TGS-27-4406X4BBS-LX</v>
      </c>
      <c r="D669" s="19" t="str">
        <f>IFERROR(VLOOKUP(C669&amp;"",'[2]Retail Price List'!$A$3:$B$103,2,FALSE),"Special Order")</f>
        <v>KP000753</v>
      </c>
      <c r="E669" s="18" t="str">
        <f>[2]Trucks!J666</f>
        <v>BOOKED : 2017-08-10</v>
      </c>
      <c r="F669" s="12" t="str">
        <f>[2]Trucks!E666</f>
        <v>2017-11-16</v>
      </c>
      <c r="G669" s="56">
        <f>[2]Trucks!K666</f>
        <v>14.7</v>
      </c>
      <c r="H669" s="46">
        <f>[2]Trucks!I666</f>
        <v>42859</v>
      </c>
      <c r="I669" s="83" t="str">
        <f t="shared" si="50"/>
        <v>2017Q2</v>
      </c>
      <c r="J669" s="272">
        <f>IFERROR(VLOOKUP((D669&amp;C669)&amp;"",'[2]Retail Price List'!$C$4:$F$102,3,FALSE),"")</f>
        <v>1640000</v>
      </c>
      <c r="K669" s="272">
        <f>IFERROR(IF(BA669="WIP - 30 Days",VLOOKUP(D669,[3]Standard!$B$9:$E$101,4,FALSE),IF(BA669="31-120 Days",VLOOKUP(D669,[3]Standard!$B$9:$F$101,5,FALSE),IF(BA669="121-365 Days",VLOOKUP(D669,[3]Standard!$B$9:$G$101,6,FALSE),VLOOKUP(D669,[3]Standard!$B$9:$H$101,7,FALSE)))),0)</f>
        <v>1143030.303030303</v>
      </c>
      <c r="L669" s="272">
        <f>IFERROR(IF(BA669="WIP - 30 Days",VLOOKUP(D669,[3]Standard!$B$9:$J$101,9,FALSE),IF(BA669="31-120 Days",VLOOKUP(D669,[3]Standard!$B$9:$K$100,10,FALSE),IF(BA669="121-365 Days",VLOOKUP(D669,[3]Standard!$B$9:$L$101,11,FALSE),VLOOKUP(D669,[3]Standard!$B$9:$M$101,12,FALSE)))),0)</f>
        <v>1131600</v>
      </c>
      <c r="M669" s="269">
        <f>IFERROR(VLOOKUP((D669&amp;C669)&amp;"",'[2]Retail Price List'!$C$4:$F$102,4,FALSE),"")</f>
        <v>1675000</v>
      </c>
      <c r="N669" s="269">
        <f>IFERROR(IF(BA669="WIP - 30 Days",VLOOKUP(D669,[3]Extended!$B$9:$E$101,4,FALSE),IF(BA669="31-120 Days",VLOOKUP(D669,[3]Extended!$B$9:$F$101,5,FALSE),IF(BA669="121-365 Days",VLOOKUP(D669,[3]Extended!$B$9:$G$101,6,FALSE),VLOOKUP(D669,[3]Extended!$B$9:$H$101,7,FALSE)))),0)</f>
        <v>1201262.6262626264</v>
      </c>
      <c r="O669" s="269">
        <f>IFERROR(IF(BA669="WIP - 30 Days",VLOOKUP(D669,[3]Extended!$B$9:$J$101,9,FALSE),IF(BA669="31-120 Days",VLOOKUP(D669,[3]Extended!$B$9:$K$101,10,FALSE),IF(BA669="121-365 Days",VLOOKUP(D669,[3]Extended!$B$9:$L$101,11,FALSE),VLOOKUP(D669,[3]Extended!$B$9:$M$101,12,FALSE)))),0)</f>
        <v>1189250</v>
      </c>
      <c r="P669" s="116">
        <f t="shared" si="51"/>
        <v>0.28999999999999998</v>
      </c>
      <c r="Q669" s="110" t="e">
        <f>O669-#REF!</f>
        <v>#REF!</v>
      </c>
      <c r="W669" s="311"/>
      <c r="X669" s="311"/>
      <c r="Y669" s="311"/>
      <c r="Z669" s="311"/>
      <c r="AA669" s="311"/>
      <c r="AB669" s="311"/>
      <c r="AC669" s="311"/>
      <c r="AT669" s="88" t="str">
        <f t="shared" si="52"/>
        <v>KP0007532017Q214,7</v>
      </c>
      <c r="AU669" s="89" t="str">
        <f t="shared" si="53"/>
        <v>05-2017</v>
      </c>
      <c r="BA669" s="92" t="str">
        <f t="shared" si="54"/>
        <v>&gt;365 Days</v>
      </c>
    </row>
    <row r="670" spans="2:53">
      <c r="B670" s="60">
        <f>[2]Trucks!A667</f>
        <v>46927</v>
      </c>
      <c r="C670" s="11" t="str">
        <f>[2]Trucks!B667</f>
        <v>TGS-27-4406X4BBS-LX</v>
      </c>
      <c r="D670" s="19" t="str">
        <f>IFERROR(VLOOKUP(C670&amp;"",'[2]Retail Price List'!$A$3:$B$103,2,FALSE),"Special Order")</f>
        <v>KP000753</v>
      </c>
      <c r="E670" s="18" t="str">
        <f>[2]Trucks!J667</f>
        <v>BOOKED : 2017-08-10</v>
      </c>
      <c r="F670" s="12" t="str">
        <f>[2]Trucks!E667</f>
        <v>2017-11-16</v>
      </c>
      <c r="G670" s="56">
        <f>[2]Trucks!K667</f>
        <v>14.7</v>
      </c>
      <c r="H670" s="46">
        <f>[2]Trucks!I667</f>
        <v>42859</v>
      </c>
      <c r="I670" s="83" t="str">
        <f t="shared" si="50"/>
        <v>2017Q2</v>
      </c>
      <c r="J670" s="272">
        <f>IFERROR(VLOOKUP((D670&amp;C670)&amp;"",'[2]Retail Price List'!$C$4:$F$102,3,FALSE),"")</f>
        <v>1640000</v>
      </c>
      <c r="K670" s="272">
        <f>IFERROR(IF(BA670="WIP - 30 Days",VLOOKUP(D670,[3]Standard!$B$9:$E$101,4,FALSE),IF(BA670="31-120 Days",VLOOKUP(D670,[3]Standard!$B$9:$F$101,5,FALSE),IF(BA670="121-365 Days",VLOOKUP(D670,[3]Standard!$B$9:$G$101,6,FALSE),VLOOKUP(D670,[3]Standard!$B$9:$H$101,7,FALSE)))),0)</f>
        <v>1143030.303030303</v>
      </c>
      <c r="L670" s="272">
        <f>IFERROR(IF(BA670="WIP - 30 Days",VLOOKUP(D670,[3]Standard!$B$9:$J$101,9,FALSE),IF(BA670="31-120 Days",VLOOKUP(D670,[3]Standard!$B$9:$K$100,10,FALSE),IF(BA670="121-365 Days",VLOOKUP(D670,[3]Standard!$B$9:$L$101,11,FALSE),VLOOKUP(D670,[3]Standard!$B$9:$M$101,12,FALSE)))),0)</f>
        <v>1131600</v>
      </c>
      <c r="M670" s="269">
        <f>IFERROR(VLOOKUP((D670&amp;C670)&amp;"",'[2]Retail Price List'!$C$4:$F$102,4,FALSE),"")</f>
        <v>1675000</v>
      </c>
      <c r="N670" s="269">
        <f>IFERROR(IF(BA670="WIP - 30 Days",VLOOKUP(D670,[3]Extended!$B$9:$E$101,4,FALSE),IF(BA670="31-120 Days",VLOOKUP(D670,[3]Extended!$B$9:$F$101,5,FALSE),IF(BA670="121-365 Days",VLOOKUP(D670,[3]Extended!$B$9:$G$101,6,FALSE),VLOOKUP(D670,[3]Extended!$B$9:$H$101,7,FALSE)))),0)</f>
        <v>1201262.6262626264</v>
      </c>
      <c r="O670" s="269">
        <f>IFERROR(IF(BA670="WIP - 30 Days",VLOOKUP(D670,[3]Extended!$B$9:$J$101,9,FALSE),IF(BA670="31-120 Days",VLOOKUP(D670,[3]Extended!$B$9:$K$101,10,FALSE),IF(BA670="121-365 Days",VLOOKUP(D670,[3]Extended!$B$9:$L$101,11,FALSE),VLOOKUP(D670,[3]Extended!$B$9:$M$101,12,FALSE)))),0)</f>
        <v>1189250</v>
      </c>
      <c r="P670" s="116">
        <f t="shared" si="51"/>
        <v>0.28999999999999998</v>
      </c>
      <c r="Q670" s="110" t="e">
        <f>O670-#REF!</f>
        <v>#REF!</v>
      </c>
      <c r="W670" s="311"/>
      <c r="X670" s="311"/>
      <c r="Y670" s="311"/>
      <c r="Z670" s="311"/>
      <c r="AA670" s="311"/>
      <c r="AB670" s="311"/>
      <c r="AC670" s="311"/>
      <c r="AT670" s="88" t="str">
        <f t="shared" si="52"/>
        <v>KP0007532017Q214,7</v>
      </c>
      <c r="AU670" s="89" t="str">
        <f t="shared" si="53"/>
        <v>05-2017</v>
      </c>
      <c r="BA670" s="92" t="str">
        <f t="shared" si="54"/>
        <v>&gt;365 Days</v>
      </c>
    </row>
    <row r="671" spans="2:53">
      <c r="B671" s="60">
        <f>[2]Trucks!A668</f>
        <v>47735</v>
      </c>
      <c r="C671" s="11" t="str">
        <f>[2]Trucks!B668</f>
        <v>TGS-27-4406X4BBS-LX</v>
      </c>
      <c r="D671" s="19" t="str">
        <f>IFERROR(VLOOKUP(C671&amp;"",'[2]Retail Price List'!$A$3:$B$103,2,FALSE),"Special Order")</f>
        <v>KP000753</v>
      </c>
      <c r="E671" s="18" t="str">
        <f>[2]Trucks!J668</f>
        <v>CKD</v>
      </c>
      <c r="F671" s="12" t="str">
        <f>[2]Trucks!E668</f>
        <v>2018-02-15</v>
      </c>
      <c r="G671" s="56">
        <f>[2]Trucks!K668</f>
        <v>14.7</v>
      </c>
      <c r="H671" s="46">
        <f>[2]Trucks!I668</f>
        <v>42947</v>
      </c>
      <c r="I671" s="83" t="str">
        <f t="shared" si="50"/>
        <v>2017Q3</v>
      </c>
      <c r="J671" s="272">
        <f>IFERROR(VLOOKUP((D671&amp;C671)&amp;"",'[2]Retail Price List'!$C$4:$F$102,3,FALSE),"")</f>
        <v>1640000</v>
      </c>
      <c r="K671" s="272">
        <f>IFERROR(IF(BA671="WIP - 30 Days",VLOOKUP(D671,[3]Standard!$B$9:$E$101,4,FALSE),IF(BA671="31-120 Days",VLOOKUP(D671,[3]Standard!$B$9:$F$101,5,FALSE),IF(BA671="121-365 Days",VLOOKUP(D671,[3]Standard!$B$9:$G$101,6,FALSE),VLOOKUP(D671,[3]Standard!$B$9:$H$101,7,FALSE)))),0)</f>
        <v>1250008</v>
      </c>
      <c r="L671" s="272">
        <f>IFERROR(IF(BA671="WIP - 30 Days",VLOOKUP(D671,[3]Standard!$B$9:$J$101,9,FALSE),IF(BA671="31-120 Days",VLOOKUP(D671,[3]Standard!$B$9:$K$100,10,FALSE),IF(BA671="121-365 Days",VLOOKUP(D671,[3]Standard!$B$9:$L$101,11,FALSE),VLOOKUP(D671,[3]Standard!$B$9:$M$101,12,FALSE)))),0)</f>
        <v>1213600</v>
      </c>
      <c r="M671" s="269">
        <f>IFERROR(VLOOKUP((D671&amp;C671)&amp;"",'[2]Retail Price List'!$C$4:$F$102,4,FALSE),"")</f>
        <v>1675000</v>
      </c>
      <c r="N671" s="269">
        <f>IFERROR(IF(BA671="WIP - 30 Days",VLOOKUP(D671,[3]Extended!$B$9:$E$101,4,FALSE),IF(BA671="31-120 Days",VLOOKUP(D671,[3]Extended!$B$9:$F$101,5,FALSE),IF(BA671="121-365 Days",VLOOKUP(D671,[3]Extended!$B$9:$G$101,6,FALSE),VLOOKUP(D671,[3]Extended!$B$9:$H$101,7,FALSE)))),0)</f>
        <v>1311190</v>
      </c>
      <c r="O671" s="269">
        <f>IFERROR(IF(BA671="WIP - 30 Days",VLOOKUP(D671,[3]Extended!$B$9:$J$101,9,FALSE),IF(BA671="31-120 Days",VLOOKUP(D671,[3]Extended!$B$9:$K$101,10,FALSE),IF(BA671="121-365 Days",VLOOKUP(D671,[3]Extended!$B$9:$L$101,11,FALSE),VLOOKUP(D671,[3]Extended!$B$9:$M$101,12,FALSE)))),0)</f>
        <v>1273000</v>
      </c>
      <c r="P671" s="116">
        <f t="shared" si="51"/>
        <v>0.24</v>
      </c>
      <c r="Q671" s="110" t="e">
        <f>O671-#REF!</f>
        <v>#REF!</v>
      </c>
      <c r="W671" s="311"/>
      <c r="X671" s="311"/>
      <c r="Y671" s="311"/>
      <c r="Z671" s="311"/>
      <c r="AA671" s="311"/>
      <c r="AB671" s="311"/>
      <c r="AC671" s="311"/>
      <c r="AT671" s="88" t="str">
        <f t="shared" si="52"/>
        <v>KP0007532017Q314,7</v>
      </c>
      <c r="AU671" s="89" t="str">
        <f t="shared" si="53"/>
        <v>07-2017</v>
      </c>
      <c r="BA671" s="92" t="str">
        <f t="shared" si="54"/>
        <v>WIP - 30 Days</v>
      </c>
    </row>
    <row r="672" spans="2:53">
      <c r="B672" s="60">
        <f>[2]Trucks!A669</f>
        <v>47736</v>
      </c>
      <c r="C672" s="11" t="str">
        <f>[2]Trucks!B669</f>
        <v>TGS-27-4406X4BBS-LX</v>
      </c>
      <c r="D672" s="19" t="str">
        <f>IFERROR(VLOOKUP(C672&amp;"",'[2]Retail Price List'!$A$3:$B$103,2,FALSE),"Special Order")</f>
        <v>KP000753</v>
      </c>
      <c r="E672" s="18" t="str">
        <f>[2]Trucks!J669</f>
        <v>CKD</v>
      </c>
      <c r="F672" s="12" t="str">
        <f>[2]Trucks!E669</f>
        <v>2018-02-15</v>
      </c>
      <c r="G672" s="56">
        <f>[2]Trucks!K669</f>
        <v>14.7</v>
      </c>
      <c r="H672" s="46">
        <f>[2]Trucks!I669</f>
        <v>42947</v>
      </c>
      <c r="I672" s="83" t="str">
        <f t="shared" si="50"/>
        <v>2017Q3</v>
      </c>
      <c r="J672" s="272">
        <f>IFERROR(VLOOKUP((D672&amp;C672)&amp;"",'[2]Retail Price List'!$C$4:$F$102,3,FALSE),"")</f>
        <v>1640000</v>
      </c>
      <c r="K672" s="272">
        <f>IFERROR(IF(BA672="WIP - 30 Days",VLOOKUP(D672,[3]Standard!$B$9:$E$101,4,FALSE),IF(BA672="31-120 Days",VLOOKUP(D672,[3]Standard!$B$9:$F$101,5,FALSE),IF(BA672="121-365 Days",VLOOKUP(D672,[3]Standard!$B$9:$G$101,6,FALSE),VLOOKUP(D672,[3]Standard!$B$9:$H$101,7,FALSE)))),0)</f>
        <v>1250008</v>
      </c>
      <c r="L672" s="272">
        <f>IFERROR(IF(BA672="WIP - 30 Days",VLOOKUP(D672,[3]Standard!$B$9:$J$101,9,FALSE),IF(BA672="31-120 Days",VLOOKUP(D672,[3]Standard!$B$9:$K$100,10,FALSE),IF(BA672="121-365 Days",VLOOKUP(D672,[3]Standard!$B$9:$L$101,11,FALSE),VLOOKUP(D672,[3]Standard!$B$9:$M$101,12,FALSE)))),0)</f>
        <v>1213600</v>
      </c>
      <c r="M672" s="269">
        <f>IFERROR(VLOOKUP((D672&amp;C672)&amp;"",'[2]Retail Price List'!$C$4:$F$102,4,FALSE),"")</f>
        <v>1675000</v>
      </c>
      <c r="N672" s="269">
        <f>IFERROR(IF(BA672="WIP - 30 Days",VLOOKUP(D672,[3]Extended!$B$9:$E$101,4,FALSE),IF(BA672="31-120 Days",VLOOKUP(D672,[3]Extended!$B$9:$F$101,5,FALSE),IF(BA672="121-365 Days",VLOOKUP(D672,[3]Extended!$B$9:$G$101,6,FALSE),VLOOKUP(D672,[3]Extended!$B$9:$H$101,7,FALSE)))),0)</f>
        <v>1311190</v>
      </c>
      <c r="O672" s="269">
        <f>IFERROR(IF(BA672="WIP - 30 Days",VLOOKUP(D672,[3]Extended!$B$9:$J$101,9,FALSE),IF(BA672="31-120 Days",VLOOKUP(D672,[3]Extended!$B$9:$K$101,10,FALSE),IF(BA672="121-365 Days",VLOOKUP(D672,[3]Extended!$B$9:$L$101,11,FALSE),VLOOKUP(D672,[3]Extended!$B$9:$M$101,12,FALSE)))),0)</f>
        <v>1273000</v>
      </c>
      <c r="P672" s="116">
        <f t="shared" si="51"/>
        <v>0.24</v>
      </c>
      <c r="Q672" s="110" t="e">
        <f>O672-#REF!</f>
        <v>#REF!</v>
      </c>
      <c r="W672" s="311"/>
      <c r="X672" s="311"/>
      <c r="Y672" s="311"/>
      <c r="Z672" s="311"/>
      <c r="AA672" s="311"/>
      <c r="AB672" s="311"/>
      <c r="AC672" s="311"/>
      <c r="AT672" s="88" t="str">
        <f t="shared" si="52"/>
        <v>KP0007532017Q314,7</v>
      </c>
      <c r="AU672" s="89" t="str">
        <f t="shared" si="53"/>
        <v>07-2017</v>
      </c>
      <c r="BA672" s="92" t="str">
        <f t="shared" si="54"/>
        <v>WIP - 30 Days</v>
      </c>
    </row>
    <row r="673" spans="2:53">
      <c r="B673" s="60">
        <f>[2]Trucks!A670</f>
        <v>47737</v>
      </c>
      <c r="C673" s="11" t="str">
        <f>[2]Trucks!B670</f>
        <v>TGS-27-4406X4BBS-LX</v>
      </c>
      <c r="D673" s="19" t="str">
        <f>IFERROR(VLOOKUP(C673&amp;"",'[2]Retail Price List'!$A$3:$B$103,2,FALSE),"Special Order")</f>
        <v>KP000753</v>
      </c>
      <c r="E673" s="18" t="str">
        <f>[2]Trucks!J670</f>
        <v>CKD</v>
      </c>
      <c r="F673" s="12" t="str">
        <f>[2]Trucks!E670</f>
        <v>2018-02-15</v>
      </c>
      <c r="G673" s="56">
        <f>[2]Trucks!K670</f>
        <v>14.7</v>
      </c>
      <c r="H673" s="46">
        <f>[2]Trucks!I670</f>
        <v>42947</v>
      </c>
      <c r="I673" s="83" t="str">
        <f t="shared" si="50"/>
        <v>2017Q3</v>
      </c>
      <c r="J673" s="272">
        <f>IFERROR(VLOOKUP((D673&amp;C673)&amp;"",'[2]Retail Price List'!$C$4:$F$102,3,FALSE),"")</f>
        <v>1640000</v>
      </c>
      <c r="K673" s="272">
        <f>IFERROR(IF(BA673="WIP - 30 Days",VLOOKUP(D673,[3]Standard!$B$9:$E$101,4,FALSE),IF(BA673="31-120 Days",VLOOKUP(D673,[3]Standard!$B$9:$F$101,5,FALSE),IF(BA673="121-365 Days",VLOOKUP(D673,[3]Standard!$B$9:$G$101,6,FALSE),VLOOKUP(D673,[3]Standard!$B$9:$H$101,7,FALSE)))),0)</f>
        <v>1250008</v>
      </c>
      <c r="L673" s="272">
        <f>IFERROR(IF(BA673="WIP - 30 Days",VLOOKUP(D673,[3]Standard!$B$9:$J$101,9,FALSE),IF(BA673="31-120 Days",VLOOKUP(D673,[3]Standard!$B$9:$K$100,10,FALSE),IF(BA673="121-365 Days",VLOOKUP(D673,[3]Standard!$B$9:$L$101,11,FALSE),VLOOKUP(D673,[3]Standard!$B$9:$M$101,12,FALSE)))),0)</f>
        <v>1213600</v>
      </c>
      <c r="M673" s="269">
        <f>IFERROR(VLOOKUP((D673&amp;C673)&amp;"",'[2]Retail Price List'!$C$4:$F$102,4,FALSE),"")</f>
        <v>1675000</v>
      </c>
      <c r="N673" s="269">
        <f>IFERROR(IF(BA673="WIP - 30 Days",VLOOKUP(D673,[3]Extended!$B$9:$E$101,4,FALSE),IF(BA673="31-120 Days",VLOOKUP(D673,[3]Extended!$B$9:$F$101,5,FALSE),IF(BA673="121-365 Days",VLOOKUP(D673,[3]Extended!$B$9:$G$101,6,FALSE),VLOOKUP(D673,[3]Extended!$B$9:$H$101,7,FALSE)))),0)</f>
        <v>1311190</v>
      </c>
      <c r="O673" s="269">
        <f>IFERROR(IF(BA673="WIP - 30 Days",VLOOKUP(D673,[3]Extended!$B$9:$J$101,9,FALSE),IF(BA673="31-120 Days",VLOOKUP(D673,[3]Extended!$B$9:$K$101,10,FALSE),IF(BA673="121-365 Days",VLOOKUP(D673,[3]Extended!$B$9:$L$101,11,FALSE),VLOOKUP(D673,[3]Extended!$B$9:$M$101,12,FALSE)))),0)</f>
        <v>1273000</v>
      </c>
      <c r="P673" s="116">
        <f t="shared" si="51"/>
        <v>0.24</v>
      </c>
      <c r="Q673" s="110" t="e">
        <f>O673-#REF!</f>
        <v>#REF!</v>
      </c>
      <c r="W673" s="311"/>
      <c r="X673" s="311"/>
      <c r="Y673" s="311"/>
      <c r="Z673" s="311"/>
      <c r="AA673" s="311"/>
      <c r="AB673" s="311"/>
      <c r="AC673" s="311"/>
      <c r="AT673" s="88" t="str">
        <f t="shared" si="52"/>
        <v>KP0007532017Q314,7</v>
      </c>
      <c r="AU673" s="89" t="str">
        <f t="shared" si="53"/>
        <v>07-2017</v>
      </c>
      <c r="BA673" s="92" t="str">
        <f t="shared" si="54"/>
        <v>WIP - 30 Days</v>
      </c>
    </row>
    <row r="674" spans="2:53">
      <c r="B674" s="60">
        <f>[2]Trucks!A671</f>
        <v>47738</v>
      </c>
      <c r="C674" s="11" t="str">
        <f>[2]Trucks!B671</f>
        <v>TGS-27-4406X4BBS-LX</v>
      </c>
      <c r="D674" s="19" t="str">
        <f>IFERROR(VLOOKUP(C674&amp;"",'[2]Retail Price List'!$A$3:$B$103,2,FALSE),"Special Order")</f>
        <v>KP000753</v>
      </c>
      <c r="E674" s="18" t="str">
        <f>[2]Trucks!J671</f>
        <v>CKD</v>
      </c>
      <c r="F674" s="12" t="str">
        <f>[2]Trucks!E671</f>
        <v>2018-02-15</v>
      </c>
      <c r="G674" s="56">
        <f>[2]Trucks!K671</f>
        <v>14.7</v>
      </c>
      <c r="H674" s="46">
        <f>[2]Trucks!I671</f>
        <v>42947</v>
      </c>
      <c r="I674" s="83" t="str">
        <f t="shared" si="50"/>
        <v>2017Q3</v>
      </c>
      <c r="J674" s="272">
        <f>IFERROR(VLOOKUP((D674&amp;C674)&amp;"",'[2]Retail Price List'!$C$4:$F$102,3,FALSE),"")</f>
        <v>1640000</v>
      </c>
      <c r="K674" s="272">
        <f>IFERROR(IF(BA674="WIP - 30 Days",VLOOKUP(D674,[3]Standard!$B$9:$E$101,4,FALSE),IF(BA674="31-120 Days",VLOOKUP(D674,[3]Standard!$B$9:$F$101,5,FALSE),IF(BA674="121-365 Days",VLOOKUP(D674,[3]Standard!$B$9:$G$101,6,FALSE),VLOOKUP(D674,[3]Standard!$B$9:$H$101,7,FALSE)))),0)</f>
        <v>1250008</v>
      </c>
      <c r="L674" s="272">
        <f>IFERROR(IF(BA674="WIP - 30 Days",VLOOKUP(D674,[3]Standard!$B$9:$J$101,9,FALSE),IF(BA674="31-120 Days",VLOOKUP(D674,[3]Standard!$B$9:$K$100,10,FALSE),IF(BA674="121-365 Days",VLOOKUP(D674,[3]Standard!$B$9:$L$101,11,FALSE),VLOOKUP(D674,[3]Standard!$B$9:$M$101,12,FALSE)))),0)</f>
        <v>1213600</v>
      </c>
      <c r="M674" s="269">
        <f>IFERROR(VLOOKUP((D674&amp;C674)&amp;"",'[2]Retail Price List'!$C$4:$F$102,4,FALSE),"")</f>
        <v>1675000</v>
      </c>
      <c r="N674" s="269">
        <f>IFERROR(IF(BA674="WIP - 30 Days",VLOOKUP(D674,[3]Extended!$B$9:$E$101,4,FALSE),IF(BA674="31-120 Days",VLOOKUP(D674,[3]Extended!$B$9:$F$101,5,FALSE),IF(BA674="121-365 Days",VLOOKUP(D674,[3]Extended!$B$9:$G$101,6,FALSE),VLOOKUP(D674,[3]Extended!$B$9:$H$101,7,FALSE)))),0)</f>
        <v>1311190</v>
      </c>
      <c r="O674" s="269">
        <f>IFERROR(IF(BA674="WIP - 30 Days",VLOOKUP(D674,[3]Extended!$B$9:$J$101,9,FALSE),IF(BA674="31-120 Days",VLOOKUP(D674,[3]Extended!$B$9:$K$101,10,FALSE),IF(BA674="121-365 Days",VLOOKUP(D674,[3]Extended!$B$9:$L$101,11,FALSE),VLOOKUP(D674,[3]Extended!$B$9:$M$101,12,FALSE)))),0)</f>
        <v>1273000</v>
      </c>
      <c r="P674" s="116">
        <f t="shared" si="51"/>
        <v>0.24</v>
      </c>
      <c r="Q674" s="110" t="e">
        <f>O674-#REF!</f>
        <v>#REF!</v>
      </c>
      <c r="W674" s="311"/>
      <c r="X674" s="311"/>
      <c r="Y674" s="311"/>
      <c r="Z674" s="311"/>
      <c r="AA674" s="311"/>
      <c r="AB674" s="311"/>
      <c r="AC674" s="311"/>
      <c r="AT674" s="88" t="str">
        <f t="shared" si="52"/>
        <v>KP0007532017Q314,7</v>
      </c>
      <c r="AU674" s="89" t="str">
        <f t="shared" si="53"/>
        <v>07-2017</v>
      </c>
      <c r="BA674" s="92" t="str">
        <f t="shared" si="54"/>
        <v>WIP - 30 Days</v>
      </c>
    </row>
    <row r="675" spans="2:53">
      <c r="B675" s="60">
        <f>[2]Trucks!A672</f>
        <v>47739</v>
      </c>
      <c r="C675" s="11" t="str">
        <f>[2]Trucks!B672</f>
        <v>TGS-27-4406X4BBS-LX</v>
      </c>
      <c r="D675" s="19" t="str">
        <f>IFERROR(VLOOKUP(C675&amp;"",'[2]Retail Price List'!$A$3:$B$103,2,FALSE),"Special Order")</f>
        <v>KP000753</v>
      </c>
      <c r="E675" s="18" t="str">
        <f>[2]Trucks!J672</f>
        <v>CKD</v>
      </c>
      <c r="F675" s="12" t="str">
        <f>[2]Trucks!E672</f>
        <v>2018-03-5</v>
      </c>
      <c r="G675" s="56">
        <f>[2]Trucks!K672</f>
        <v>14.7</v>
      </c>
      <c r="H675" s="46">
        <f>[2]Trucks!I672</f>
        <v>42947</v>
      </c>
      <c r="I675" s="83" t="str">
        <f t="shared" si="50"/>
        <v>2017Q3</v>
      </c>
      <c r="J675" s="272">
        <f>IFERROR(VLOOKUP((D675&amp;C675)&amp;"",'[2]Retail Price List'!$C$4:$F$102,3,FALSE),"")</f>
        <v>1640000</v>
      </c>
      <c r="K675" s="272">
        <f>IFERROR(IF(BA675="WIP - 30 Days",VLOOKUP(D675,[3]Standard!$B$9:$E$101,4,FALSE),IF(BA675="31-120 Days",VLOOKUP(D675,[3]Standard!$B$9:$F$101,5,FALSE),IF(BA675="121-365 Days",VLOOKUP(D675,[3]Standard!$B$9:$G$101,6,FALSE),VLOOKUP(D675,[3]Standard!$B$9:$H$101,7,FALSE)))),0)</f>
        <v>1250008</v>
      </c>
      <c r="L675" s="272">
        <f>IFERROR(IF(BA675="WIP - 30 Days",VLOOKUP(D675,[3]Standard!$B$9:$J$101,9,FALSE),IF(BA675="31-120 Days",VLOOKUP(D675,[3]Standard!$B$9:$K$100,10,FALSE),IF(BA675="121-365 Days",VLOOKUP(D675,[3]Standard!$B$9:$L$101,11,FALSE),VLOOKUP(D675,[3]Standard!$B$9:$M$101,12,FALSE)))),0)</f>
        <v>1213600</v>
      </c>
      <c r="M675" s="269">
        <f>IFERROR(VLOOKUP((D675&amp;C675)&amp;"",'[2]Retail Price List'!$C$4:$F$102,4,FALSE),"")</f>
        <v>1675000</v>
      </c>
      <c r="N675" s="269">
        <f>IFERROR(IF(BA675="WIP - 30 Days",VLOOKUP(D675,[3]Extended!$B$9:$E$101,4,FALSE),IF(BA675="31-120 Days",VLOOKUP(D675,[3]Extended!$B$9:$F$101,5,FALSE),IF(BA675="121-365 Days",VLOOKUP(D675,[3]Extended!$B$9:$G$101,6,FALSE),VLOOKUP(D675,[3]Extended!$B$9:$H$101,7,FALSE)))),0)</f>
        <v>1311190</v>
      </c>
      <c r="O675" s="269">
        <f>IFERROR(IF(BA675="WIP - 30 Days",VLOOKUP(D675,[3]Extended!$B$9:$J$101,9,FALSE),IF(BA675="31-120 Days",VLOOKUP(D675,[3]Extended!$B$9:$K$101,10,FALSE),IF(BA675="121-365 Days",VLOOKUP(D675,[3]Extended!$B$9:$L$101,11,FALSE),VLOOKUP(D675,[3]Extended!$B$9:$M$101,12,FALSE)))),0)</f>
        <v>1273000</v>
      </c>
      <c r="P675" s="116">
        <f t="shared" si="51"/>
        <v>0.24</v>
      </c>
      <c r="Q675" s="110" t="e">
        <f>O675-#REF!</f>
        <v>#REF!</v>
      </c>
      <c r="W675" s="311"/>
      <c r="X675" s="311"/>
      <c r="Y675" s="311"/>
      <c r="Z675" s="311"/>
      <c r="AA675" s="311"/>
      <c r="AB675" s="311"/>
      <c r="AC675" s="311"/>
      <c r="AT675" s="88" t="str">
        <f t="shared" si="52"/>
        <v>KP0007532017Q314,7</v>
      </c>
      <c r="AU675" s="89" t="str">
        <f t="shared" si="53"/>
        <v>07-2017</v>
      </c>
      <c r="BA675" s="92" t="str">
        <f t="shared" si="54"/>
        <v>WIP - 30 Days</v>
      </c>
    </row>
    <row r="676" spans="2:53">
      <c r="B676" s="60">
        <f>[2]Trucks!A673</f>
        <v>47740</v>
      </c>
      <c r="C676" s="11" t="str">
        <f>[2]Trucks!B673</f>
        <v>TGS-27-4406X4BBS-LX</v>
      </c>
      <c r="D676" s="19" t="str">
        <f>IFERROR(VLOOKUP(C676&amp;"",'[2]Retail Price List'!$A$3:$B$103,2,FALSE),"Special Order")</f>
        <v>KP000753</v>
      </c>
      <c r="E676" s="18" t="str">
        <f>[2]Trucks!J673</f>
        <v>CKD</v>
      </c>
      <c r="F676" s="12" t="str">
        <f>[2]Trucks!E673</f>
        <v>2018-03-5</v>
      </c>
      <c r="G676" s="56">
        <f>[2]Trucks!K673</f>
        <v>14.7</v>
      </c>
      <c r="H676" s="46">
        <f>[2]Trucks!I673</f>
        <v>42947</v>
      </c>
      <c r="I676" s="83" t="str">
        <f t="shared" si="50"/>
        <v>2017Q3</v>
      </c>
      <c r="J676" s="272">
        <f>IFERROR(VLOOKUP((D676&amp;C676)&amp;"",'[2]Retail Price List'!$C$4:$F$102,3,FALSE),"")</f>
        <v>1640000</v>
      </c>
      <c r="K676" s="272">
        <f>IFERROR(IF(BA676="WIP - 30 Days",VLOOKUP(D676,[3]Standard!$B$9:$E$101,4,FALSE),IF(BA676="31-120 Days",VLOOKUP(D676,[3]Standard!$B$9:$F$101,5,FALSE),IF(BA676="121-365 Days",VLOOKUP(D676,[3]Standard!$B$9:$G$101,6,FALSE),VLOOKUP(D676,[3]Standard!$B$9:$H$101,7,FALSE)))),0)</f>
        <v>1250008</v>
      </c>
      <c r="L676" s="272">
        <f>IFERROR(IF(BA676="WIP - 30 Days",VLOOKUP(D676,[3]Standard!$B$9:$J$101,9,FALSE),IF(BA676="31-120 Days",VLOOKUP(D676,[3]Standard!$B$9:$K$100,10,FALSE),IF(BA676="121-365 Days",VLOOKUP(D676,[3]Standard!$B$9:$L$101,11,FALSE),VLOOKUP(D676,[3]Standard!$B$9:$M$101,12,FALSE)))),0)</f>
        <v>1213600</v>
      </c>
      <c r="M676" s="269">
        <f>IFERROR(VLOOKUP((D676&amp;C676)&amp;"",'[2]Retail Price List'!$C$4:$F$102,4,FALSE),"")</f>
        <v>1675000</v>
      </c>
      <c r="N676" s="269">
        <f>IFERROR(IF(BA676="WIP - 30 Days",VLOOKUP(D676,[3]Extended!$B$9:$E$101,4,FALSE),IF(BA676="31-120 Days",VLOOKUP(D676,[3]Extended!$B$9:$F$101,5,FALSE),IF(BA676="121-365 Days",VLOOKUP(D676,[3]Extended!$B$9:$G$101,6,FALSE),VLOOKUP(D676,[3]Extended!$B$9:$H$101,7,FALSE)))),0)</f>
        <v>1311190</v>
      </c>
      <c r="O676" s="269">
        <f>IFERROR(IF(BA676="WIP - 30 Days",VLOOKUP(D676,[3]Extended!$B$9:$J$101,9,FALSE),IF(BA676="31-120 Days",VLOOKUP(D676,[3]Extended!$B$9:$K$101,10,FALSE),IF(BA676="121-365 Days",VLOOKUP(D676,[3]Extended!$B$9:$L$101,11,FALSE),VLOOKUP(D676,[3]Extended!$B$9:$M$101,12,FALSE)))),0)</f>
        <v>1273000</v>
      </c>
      <c r="P676" s="116">
        <f t="shared" si="51"/>
        <v>0.24</v>
      </c>
      <c r="Q676" s="110" t="e">
        <f>O676-#REF!</f>
        <v>#REF!</v>
      </c>
      <c r="W676" s="311"/>
      <c r="X676" s="311"/>
      <c r="Y676" s="311"/>
      <c r="Z676" s="311"/>
      <c r="AA676" s="311"/>
      <c r="AB676" s="311"/>
      <c r="AC676" s="311"/>
      <c r="AT676" s="88" t="str">
        <f t="shared" si="52"/>
        <v>KP0007532017Q314,7</v>
      </c>
      <c r="AU676" s="89" t="str">
        <f t="shared" si="53"/>
        <v>07-2017</v>
      </c>
      <c r="BA676" s="92" t="str">
        <f t="shared" si="54"/>
        <v>WIP - 30 Days</v>
      </c>
    </row>
    <row r="677" spans="2:53">
      <c r="B677" s="60">
        <f>[2]Trucks!A674</f>
        <v>47741</v>
      </c>
      <c r="C677" s="11" t="str">
        <f>[2]Trucks!B674</f>
        <v>TGS-27-4406X4BBS-LX</v>
      </c>
      <c r="D677" s="19" t="str">
        <f>IFERROR(VLOOKUP(C677&amp;"",'[2]Retail Price List'!$A$3:$B$103,2,FALSE),"Special Order")</f>
        <v>KP000753</v>
      </c>
      <c r="E677" s="18" t="str">
        <f>[2]Trucks!J674</f>
        <v>CKD</v>
      </c>
      <c r="F677" s="12" t="str">
        <f>[2]Trucks!E674</f>
        <v>2018-03-5</v>
      </c>
      <c r="G677" s="56">
        <f>[2]Trucks!K674</f>
        <v>14.7</v>
      </c>
      <c r="H677" s="46">
        <f>[2]Trucks!I674</f>
        <v>42947</v>
      </c>
      <c r="I677" s="83" t="str">
        <f t="shared" si="50"/>
        <v>2017Q3</v>
      </c>
      <c r="J677" s="272">
        <f>IFERROR(VLOOKUP((D677&amp;C677)&amp;"",'[2]Retail Price List'!$C$4:$F$102,3,FALSE),"")</f>
        <v>1640000</v>
      </c>
      <c r="K677" s="272">
        <f>IFERROR(IF(BA677="WIP - 30 Days",VLOOKUP(D677,[3]Standard!$B$9:$E$101,4,FALSE),IF(BA677="31-120 Days",VLOOKUP(D677,[3]Standard!$B$9:$F$101,5,FALSE),IF(BA677="121-365 Days",VLOOKUP(D677,[3]Standard!$B$9:$G$101,6,FALSE),VLOOKUP(D677,[3]Standard!$B$9:$H$101,7,FALSE)))),0)</f>
        <v>1250008</v>
      </c>
      <c r="L677" s="272">
        <f>IFERROR(IF(BA677="WIP - 30 Days",VLOOKUP(D677,[3]Standard!$B$9:$J$101,9,FALSE),IF(BA677="31-120 Days",VLOOKUP(D677,[3]Standard!$B$9:$K$100,10,FALSE),IF(BA677="121-365 Days",VLOOKUP(D677,[3]Standard!$B$9:$L$101,11,FALSE),VLOOKUP(D677,[3]Standard!$B$9:$M$101,12,FALSE)))),0)</f>
        <v>1213600</v>
      </c>
      <c r="M677" s="269">
        <f>IFERROR(VLOOKUP((D677&amp;C677)&amp;"",'[2]Retail Price List'!$C$4:$F$102,4,FALSE),"")</f>
        <v>1675000</v>
      </c>
      <c r="N677" s="269">
        <f>IFERROR(IF(BA677="WIP - 30 Days",VLOOKUP(D677,[3]Extended!$B$9:$E$101,4,FALSE),IF(BA677="31-120 Days",VLOOKUP(D677,[3]Extended!$B$9:$F$101,5,FALSE),IF(BA677="121-365 Days",VLOOKUP(D677,[3]Extended!$B$9:$G$101,6,FALSE),VLOOKUP(D677,[3]Extended!$B$9:$H$101,7,FALSE)))),0)</f>
        <v>1311190</v>
      </c>
      <c r="O677" s="269">
        <f>IFERROR(IF(BA677="WIP - 30 Days",VLOOKUP(D677,[3]Extended!$B$9:$J$101,9,FALSE),IF(BA677="31-120 Days",VLOOKUP(D677,[3]Extended!$B$9:$K$101,10,FALSE),IF(BA677="121-365 Days",VLOOKUP(D677,[3]Extended!$B$9:$L$101,11,FALSE),VLOOKUP(D677,[3]Extended!$B$9:$M$101,12,FALSE)))),0)</f>
        <v>1273000</v>
      </c>
      <c r="P677" s="116">
        <f t="shared" si="51"/>
        <v>0.24</v>
      </c>
      <c r="Q677" s="110" t="e">
        <f>O677-#REF!</f>
        <v>#REF!</v>
      </c>
      <c r="W677" s="311"/>
      <c r="X677" s="311"/>
      <c r="Y677" s="311"/>
      <c r="Z677" s="311"/>
      <c r="AA677" s="311"/>
      <c r="AB677" s="311"/>
      <c r="AC677" s="311"/>
      <c r="AT677" s="88" t="str">
        <f t="shared" si="52"/>
        <v>KP0007532017Q314,7</v>
      </c>
      <c r="AU677" s="89" t="str">
        <f t="shared" si="53"/>
        <v>07-2017</v>
      </c>
      <c r="BA677" s="92" t="str">
        <f t="shared" si="54"/>
        <v>WIP - 30 Days</v>
      </c>
    </row>
    <row r="678" spans="2:53">
      <c r="B678" s="60">
        <f>[2]Trucks!A675</f>
        <v>47742</v>
      </c>
      <c r="C678" s="11" t="str">
        <f>[2]Trucks!B675</f>
        <v>TGS-27-4406X4BBS-LX</v>
      </c>
      <c r="D678" s="19" t="str">
        <f>IFERROR(VLOOKUP(C678&amp;"",'[2]Retail Price List'!$A$3:$B$103,2,FALSE),"Special Order")</f>
        <v>KP000753</v>
      </c>
      <c r="E678" s="18" t="str">
        <f>[2]Trucks!J675</f>
        <v>CKD</v>
      </c>
      <c r="F678" s="12" t="str">
        <f>[2]Trucks!E675</f>
        <v>2018-03-5</v>
      </c>
      <c r="G678" s="56">
        <f>[2]Trucks!K675</f>
        <v>14.7</v>
      </c>
      <c r="H678" s="46">
        <f>[2]Trucks!I675</f>
        <v>42947</v>
      </c>
      <c r="I678" s="83" t="str">
        <f t="shared" si="50"/>
        <v>2017Q3</v>
      </c>
      <c r="J678" s="272">
        <f>IFERROR(VLOOKUP((D678&amp;C678)&amp;"",'[2]Retail Price List'!$C$4:$F$102,3,FALSE),"")</f>
        <v>1640000</v>
      </c>
      <c r="K678" s="272">
        <f>IFERROR(IF(BA678="WIP - 30 Days",VLOOKUP(D678,[3]Standard!$B$9:$E$101,4,FALSE),IF(BA678="31-120 Days",VLOOKUP(D678,[3]Standard!$B$9:$F$101,5,FALSE),IF(BA678="121-365 Days",VLOOKUP(D678,[3]Standard!$B$9:$G$101,6,FALSE),VLOOKUP(D678,[3]Standard!$B$9:$H$101,7,FALSE)))),0)</f>
        <v>1250008</v>
      </c>
      <c r="L678" s="272">
        <f>IFERROR(IF(BA678="WIP - 30 Days",VLOOKUP(D678,[3]Standard!$B$9:$J$101,9,FALSE),IF(BA678="31-120 Days",VLOOKUP(D678,[3]Standard!$B$9:$K$100,10,FALSE),IF(BA678="121-365 Days",VLOOKUP(D678,[3]Standard!$B$9:$L$101,11,FALSE),VLOOKUP(D678,[3]Standard!$B$9:$M$101,12,FALSE)))),0)</f>
        <v>1213600</v>
      </c>
      <c r="M678" s="269">
        <f>IFERROR(VLOOKUP((D678&amp;C678)&amp;"",'[2]Retail Price List'!$C$4:$F$102,4,FALSE),"")</f>
        <v>1675000</v>
      </c>
      <c r="N678" s="269">
        <f>IFERROR(IF(BA678="WIP - 30 Days",VLOOKUP(D678,[3]Extended!$B$9:$E$101,4,FALSE),IF(BA678="31-120 Days",VLOOKUP(D678,[3]Extended!$B$9:$F$101,5,FALSE),IF(BA678="121-365 Days",VLOOKUP(D678,[3]Extended!$B$9:$G$101,6,FALSE),VLOOKUP(D678,[3]Extended!$B$9:$H$101,7,FALSE)))),0)</f>
        <v>1311190</v>
      </c>
      <c r="O678" s="269">
        <f>IFERROR(IF(BA678="WIP - 30 Days",VLOOKUP(D678,[3]Extended!$B$9:$J$101,9,FALSE),IF(BA678="31-120 Days",VLOOKUP(D678,[3]Extended!$B$9:$K$101,10,FALSE),IF(BA678="121-365 Days",VLOOKUP(D678,[3]Extended!$B$9:$L$101,11,FALSE),VLOOKUP(D678,[3]Extended!$B$9:$M$101,12,FALSE)))),0)</f>
        <v>1273000</v>
      </c>
      <c r="P678" s="116">
        <f t="shared" si="51"/>
        <v>0.24</v>
      </c>
      <c r="Q678" s="110" t="e">
        <f>O678-#REF!</f>
        <v>#REF!</v>
      </c>
      <c r="W678" s="311"/>
      <c r="X678" s="311"/>
      <c r="Y678" s="311"/>
      <c r="Z678" s="311"/>
      <c r="AA678" s="311"/>
      <c r="AB678" s="311"/>
      <c r="AC678" s="311"/>
      <c r="AT678" s="88" t="str">
        <f t="shared" si="52"/>
        <v>KP0007532017Q314,7</v>
      </c>
      <c r="AU678" s="89" t="str">
        <f t="shared" si="53"/>
        <v>07-2017</v>
      </c>
      <c r="BA678" s="92" t="str">
        <f t="shared" si="54"/>
        <v>WIP - 30 Days</v>
      </c>
    </row>
    <row r="679" spans="2:53">
      <c r="B679" s="60">
        <f>[2]Trucks!A676</f>
        <v>47743</v>
      </c>
      <c r="C679" s="11" t="str">
        <f>[2]Trucks!B676</f>
        <v>TGS-27-4406X4BBS-LX</v>
      </c>
      <c r="D679" s="19" t="str">
        <f>IFERROR(VLOOKUP(C679&amp;"",'[2]Retail Price List'!$A$3:$B$103,2,FALSE),"Special Order")</f>
        <v>KP000753</v>
      </c>
      <c r="E679" s="18" t="str">
        <f>[2]Trucks!J676</f>
        <v>CKD</v>
      </c>
      <c r="F679" s="12" t="str">
        <f>[2]Trucks!E676</f>
        <v>2018-03-10</v>
      </c>
      <c r="G679" s="56">
        <f>[2]Trucks!K676</f>
        <v>14.7</v>
      </c>
      <c r="H679" s="46">
        <f>[2]Trucks!I676</f>
        <v>42947</v>
      </c>
      <c r="I679" s="83" t="str">
        <f t="shared" si="50"/>
        <v>2017Q3</v>
      </c>
      <c r="J679" s="272">
        <f>IFERROR(VLOOKUP((D679&amp;C679)&amp;"",'[2]Retail Price List'!$C$4:$F$102,3,FALSE),"")</f>
        <v>1640000</v>
      </c>
      <c r="K679" s="272">
        <f>IFERROR(IF(BA679="WIP - 30 Days",VLOOKUP(D679,[3]Standard!$B$9:$E$101,4,FALSE),IF(BA679="31-120 Days",VLOOKUP(D679,[3]Standard!$B$9:$F$101,5,FALSE),IF(BA679="121-365 Days",VLOOKUP(D679,[3]Standard!$B$9:$G$101,6,FALSE),VLOOKUP(D679,[3]Standard!$B$9:$H$101,7,FALSE)))),0)</f>
        <v>1250008</v>
      </c>
      <c r="L679" s="272">
        <f>IFERROR(IF(BA679="WIP - 30 Days",VLOOKUP(D679,[3]Standard!$B$9:$J$101,9,FALSE),IF(BA679="31-120 Days",VLOOKUP(D679,[3]Standard!$B$9:$K$100,10,FALSE),IF(BA679="121-365 Days",VLOOKUP(D679,[3]Standard!$B$9:$L$101,11,FALSE),VLOOKUP(D679,[3]Standard!$B$9:$M$101,12,FALSE)))),0)</f>
        <v>1213600</v>
      </c>
      <c r="M679" s="269">
        <f>IFERROR(VLOOKUP((D679&amp;C679)&amp;"",'[2]Retail Price List'!$C$4:$F$102,4,FALSE),"")</f>
        <v>1675000</v>
      </c>
      <c r="N679" s="269">
        <f>IFERROR(IF(BA679="WIP - 30 Days",VLOOKUP(D679,[3]Extended!$B$9:$E$101,4,FALSE),IF(BA679="31-120 Days",VLOOKUP(D679,[3]Extended!$B$9:$F$101,5,FALSE),IF(BA679="121-365 Days",VLOOKUP(D679,[3]Extended!$B$9:$G$101,6,FALSE),VLOOKUP(D679,[3]Extended!$B$9:$H$101,7,FALSE)))),0)</f>
        <v>1311190</v>
      </c>
      <c r="O679" s="269">
        <f>IFERROR(IF(BA679="WIP - 30 Days",VLOOKUP(D679,[3]Extended!$B$9:$J$101,9,FALSE),IF(BA679="31-120 Days",VLOOKUP(D679,[3]Extended!$B$9:$K$101,10,FALSE),IF(BA679="121-365 Days",VLOOKUP(D679,[3]Extended!$B$9:$L$101,11,FALSE),VLOOKUP(D679,[3]Extended!$B$9:$M$101,12,FALSE)))),0)</f>
        <v>1273000</v>
      </c>
      <c r="P679" s="116">
        <f t="shared" si="51"/>
        <v>0.24</v>
      </c>
      <c r="Q679" s="110" t="e">
        <f>O679-#REF!</f>
        <v>#REF!</v>
      </c>
      <c r="W679" s="311"/>
      <c r="X679" s="311"/>
      <c r="Y679" s="311"/>
      <c r="Z679" s="311"/>
      <c r="AA679" s="311"/>
      <c r="AB679" s="311"/>
      <c r="AC679" s="311"/>
      <c r="AT679" s="88" t="str">
        <f t="shared" si="52"/>
        <v>KP0007532017Q314,7</v>
      </c>
      <c r="AU679" s="89" t="str">
        <f t="shared" si="53"/>
        <v>07-2017</v>
      </c>
      <c r="BA679" s="92" t="str">
        <f t="shared" si="54"/>
        <v>WIP - 30 Days</v>
      </c>
    </row>
    <row r="680" spans="2:53">
      <c r="B680" s="60">
        <f>[2]Trucks!A677</f>
        <v>47744</v>
      </c>
      <c r="C680" s="11" t="str">
        <f>[2]Trucks!B677</f>
        <v>TGS-27-4406X4BBS-LX</v>
      </c>
      <c r="D680" s="19" t="str">
        <f>IFERROR(VLOOKUP(C680&amp;"",'[2]Retail Price List'!$A$3:$B$103,2,FALSE),"Special Order")</f>
        <v>KP000753</v>
      </c>
      <c r="E680" s="18" t="str">
        <f>[2]Trucks!J677</f>
        <v>CKD</v>
      </c>
      <c r="F680" s="12" t="str">
        <f>[2]Trucks!E677</f>
        <v>2018-03-10</v>
      </c>
      <c r="G680" s="56">
        <f>[2]Trucks!K677</f>
        <v>14.7</v>
      </c>
      <c r="H680" s="46">
        <f>[2]Trucks!I677</f>
        <v>42947</v>
      </c>
      <c r="I680" s="83" t="str">
        <f t="shared" si="50"/>
        <v>2017Q3</v>
      </c>
      <c r="J680" s="272">
        <f>IFERROR(VLOOKUP((D680&amp;C680)&amp;"",'[2]Retail Price List'!$C$4:$F$102,3,FALSE),"")</f>
        <v>1640000</v>
      </c>
      <c r="K680" s="272">
        <f>IFERROR(IF(BA680="WIP - 30 Days",VLOOKUP(D680,[3]Standard!$B$9:$E$101,4,FALSE),IF(BA680="31-120 Days",VLOOKUP(D680,[3]Standard!$B$9:$F$101,5,FALSE),IF(BA680="121-365 Days",VLOOKUP(D680,[3]Standard!$B$9:$G$101,6,FALSE),VLOOKUP(D680,[3]Standard!$B$9:$H$101,7,FALSE)))),0)</f>
        <v>1250008</v>
      </c>
      <c r="L680" s="272">
        <f>IFERROR(IF(BA680="WIP - 30 Days",VLOOKUP(D680,[3]Standard!$B$9:$J$101,9,FALSE),IF(BA680="31-120 Days",VLOOKUP(D680,[3]Standard!$B$9:$K$100,10,FALSE),IF(BA680="121-365 Days",VLOOKUP(D680,[3]Standard!$B$9:$L$101,11,FALSE),VLOOKUP(D680,[3]Standard!$B$9:$M$101,12,FALSE)))),0)</f>
        <v>1213600</v>
      </c>
      <c r="M680" s="269">
        <f>IFERROR(VLOOKUP((D680&amp;C680)&amp;"",'[2]Retail Price List'!$C$4:$F$102,4,FALSE),"")</f>
        <v>1675000</v>
      </c>
      <c r="N680" s="269">
        <f>IFERROR(IF(BA680="WIP - 30 Days",VLOOKUP(D680,[3]Extended!$B$9:$E$101,4,FALSE),IF(BA680="31-120 Days",VLOOKUP(D680,[3]Extended!$B$9:$F$101,5,FALSE),IF(BA680="121-365 Days",VLOOKUP(D680,[3]Extended!$B$9:$G$101,6,FALSE),VLOOKUP(D680,[3]Extended!$B$9:$H$101,7,FALSE)))),0)</f>
        <v>1311190</v>
      </c>
      <c r="O680" s="269">
        <f>IFERROR(IF(BA680="WIP - 30 Days",VLOOKUP(D680,[3]Extended!$B$9:$J$101,9,FALSE),IF(BA680="31-120 Days",VLOOKUP(D680,[3]Extended!$B$9:$K$101,10,FALSE),IF(BA680="121-365 Days",VLOOKUP(D680,[3]Extended!$B$9:$L$101,11,FALSE),VLOOKUP(D680,[3]Extended!$B$9:$M$101,12,FALSE)))),0)</f>
        <v>1273000</v>
      </c>
      <c r="P680" s="116">
        <f t="shared" si="51"/>
        <v>0.24</v>
      </c>
      <c r="Q680" s="110" t="e">
        <f>O680-#REF!</f>
        <v>#REF!</v>
      </c>
      <c r="W680" s="311"/>
      <c r="X680" s="311"/>
      <c r="Y680" s="311"/>
      <c r="Z680" s="311"/>
      <c r="AA680" s="311"/>
      <c r="AB680" s="311"/>
      <c r="AC680" s="311"/>
      <c r="AT680" s="88" t="str">
        <f t="shared" si="52"/>
        <v>KP0007532017Q314,7</v>
      </c>
      <c r="AU680" s="89" t="str">
        <f t="shared" si="53"/>
        <v>07-2017</v>
      </c>
      <c r="BA680" s="92" t="str">
        <f t="shared" si="54"/>
        <v>WIP - 30 Days</v>
      </c>
    </row>
    <row r="681" spans="2:53">
      <c r="B681" s="60">
        <f>[2]Trucks!A678</f>
        <v>47745</v>
      </c>
      <c r="C681" s="11" t="str">
        <f>[2]Trucks!B678</f>
        <v>TGS-27-4406X4BBS-LX</v>
      </c>
      <c r="D681" s="19" t="str">
        <f>IFERROR(VLOOKUP(C681&amp;"",'[2]Retail Price List'!$A$3:$B$103,2,FALSE),"Special Order")</f>
        <v>KP000753</v>
      </c>
      <c r="E681" s="18" t="str">
        <f>[2]Trucks!J678</f>
        <v>CKD</v>
      </c>
      <c r="F681" s="12" t="str">
        <f>[2]Trucks!E678</f>
        <v>2018-03-10</v>
      </c>
      <c r="G681" s="56">
        <f>[2]Trucks!K678</f>
        <v>14.7</v>
      </c>
      <c r="H681" s="46">
        <f>[2]Trucks!I678</f>
        <v>42947</v>
      </c>
      <c r="I681" s="83" t="str">
        <f t="shared" si="50"/>
        <v>2017Q3</v>
      </c>
      <c r="J681" s="272">
        <f>IFERROR(VLOOKUP((D681&amp;C681)&amp;"",'[2]Retail Price List'!$C$4:$F$102,3,FALSE),"")</f>
        <v>1640000</v>
      </c>
      <c r="K681" s="272">
        <f>IFERROR(IF(BA681="WIP - 30 Days",VLOOKUP(D681,[3]Standard!$B$9:$E$101,4,FALSE),IF(BA681="31-120 Days",VLOOKUP(D681,[3]Standard!$B$9:$F$101,5,FALSE),IF(BA681="121-365 Days",VLOOKUP(D681,[3]Standard!$B$9:$G$101,6,FALSE),VLOOKUP(D681,[3]Standard!$B$9:$H$101,7,FALSE)))),0)</f>
        <v>1250008</v>
      </c>
      <c r="L681" s="272">
        <f>IFERROR(IF(BA681="WIP - 30 Days",VLOOKUP(D681,[3]Standard!$B$9:$J$101,9,FALSE),IF(BA681="31-120 Days",VLOOKUP(D681,[3]Standard!$B$9:$K$100,10,FALSE),IF(BA681="121-365 Days",VLOOKUP(D681,[3]Standard!$B$9:$L$101,11,FALSE),VLOOKUP(D681,[3]Standard!$B$9:$M$101,12,FALSE)))),0)</f>
        <v>1213600</v>
      </c>
      <c r="M681" s="269">
        <f>IFERROR(VLOOKUP((D681&amp;C681)&amp;"",'[2]Retail Price List'!$C$4:$F$102,4,FALSE),"")</f>
        <v>1675000</v>
      </c>
      <c r="N681" s="269">
        <f>IFERROR(IF(BA681="WIP - 30 Days",VLOOKUP(D681,[3]Extended!$B$9:$E$101,4,FALSE),IF(BA681="31-120 Days",VLOOKUP(D681,[3]Extended!$B$9:$F$101,5,FALSE),IF(BA681="121-365 Days",VLOOKUP(D681,[3]Extended!$B$9:$G$101,6,FALSE),VLOOKUP(D681,[3]Extended!$B$9:$H$101,7,FALSE)))),0)</f>
        <v>1311190</v>
      </c>
      <c r="O681" s="269">
        <f>IFERROR(IF(BA681="WIP - 30 Days",VLOOKUP(D681,[3]Extended!$B$9:$J$101,9,FALSE),IF(BA681="31-120 Days",VLOOKUP(D681,[3]Extended!$B$9:$K$101,10,FALSE),IF(BA681="121-365 Days",VLOOKUP(D681,[3]Extended!$B$9:$L$101,11,FALSE),VLOOKUP(D681,[3]Extended!$B$9:$M$101,12,FALSE)))),0)</f>
        <v>1273000</v>
      </c>
      <c r="P681" s="116">
        <f t="shared" si="51"/>
        <v>0.24</v>
      </c>
      <c r="Q681" s="110" t="e">
        <f>O681-#REF!</f>
        <v>#REF!</v>
      </c>
      <c r="W681" s="311"/>
      <c r="X681" s="311"/>
      <c r="Y681" s="311"/>
      <c r="Z681" s="311"/>
      <c r="AA681" s="311"/>
      <c r="AB681" s="311"/>
      <c r="AC681" s="311"/>
      <c r="AT681" s="88" t="str">
        <f t="shared" si="52"/>
        <v>KP0007532017Q314,7</v>
      </c>
      <c r="AU681" s="89" t="str">
        <f t="shared" si="53"/>
        <v>07-2017</v>
      </c>
      <c r="BA681" s="92" t="str">
        <f t="shared" si="54"/>
        <v>WIP - 30 Days</v>
      </c>
    </row>
    <row r="682" spans="2:53">
      <c r="B682" s="60">
        <f>[2]Trucks!A679</f>
        <v>47746</v>
      </c>
      <c r="C682" s="11" t="str">
        <f>[2]Trucks!B679</f>
        <v>TGS-27-4406X4BBS-LX</v>
      </c>
      <c r="D682" s="19" t="str">
        <f>IFERROR(VLOOKUP(C682&amp;"",'[2]Retail Price List'!$A$3:$B$103,2,FALSE),"Special Order")</f>
        <v>KP000753</v>
      </c>
      <c r="E682" s="18" t="str">
        <f>[2]Trucks!J679</f>
        <v>CKD</v>
      </c>
      <c r="F682" s="12" t="str">
        <f>[2]Trucks!E679</f>
        <v>2018-03-10</v>
      </c>
      <c r="G682" s="56">
        <f>[2]Trucks!K679</f>
        <v>14.7</v>
      </c>
      <c r="H682" s="46">
        <f>[2]Trucks!I679</f>
        <v>42947</v>
      </c>
      <c r="I682" s="83" t="str">
        <f t="shared" si="50"/>
        <v>2017Q3</v>
      </c>
      <c r="J682" s="272">
        <f>IFERROR(VLOOKUP((D682&amp;C682)&amp;"",'[2]Retail Price List'!$C$4:$F$102,3,FALSE),"")</f>
        <v>1640000</v>
      </c>
      <c r="K682" s="272">
        <f>IFERROR(IF(BA682="WIP - 30 Days",VLOOKUP(D682,[3]Standard!$B$9:$E$101,4,FALSE),IF(BA682="31-120 Days",VLOOKUP(D682,[3]Standard!$B$9:$F$101,5,FALSE),IF(BA682="121-365 Days",VLOOKUP(D682,[3]Standard!$B$9:$G$101,6,FALSE),VLOOKUP(D682,[3]Standard!$B$9:$H$101,7,FALSE)))),0)</f>
        <v>1250008</v>
      </c>
      <c r="L682" s="272">
        <f>IFERROR(IF(BA682="WIP - 30 Days",VLOOKUP(D682,[3]Standard!$B$9:$J$101,9,FALSE),IF(BA682="31-120 Days",VLOOKUP(D682,[3]Standard!$B$9:$K$100,10,FALSE),IF(BA682="121-365 Days",VLOOKUP(D682,[3]Standard!$B$9:$L$101,11,FALSE),VLOOKUP(D682,[3]Standard!$B$9:$M$101,12,FALSE)))),0)</f>
        <v>1213600</v>
      </c>
      <c r="M682" s="269">
        <f>IFERROR(VLOOKUP((D682&amp;C682)&amp;"",'[2]Retail Price List'!$C$4:$F$102,4,FALSE),"")</f>
        <v>1675000</v>
      </c>
      <c r="N682" s="269">
        <f>IFERROR(IF(BA682="WIP - 30 Days",VLOOKUP(D682,[3]Extended!$B$9:$E$101,4,FALSE),IF(BA682="31-120 Days",VLOOKUP(D682,[3]Extended!$B$9:$F$101,5,FALSE),IF(BA682="121-365 Days",VLOOKUP(D682,[3]Extended!$B$9:$G$101,6,FALSE),VLOOKUP(D682,[3]Extended!$B$9:$H$101,7,FALSE)))),0)</f>
        <v>1311190</v>
      </c>
      <c r="O682" s="269">
        <f>IFERROR(IF(BA682="WIP - 30 Days",VLOOKUP(D682,[3]Extended!$B$9:$J$101,9,FALSE),IF(BA682="31-120 Days",VLOOKUP(D682,[3]Extended!$B$9:$K$101,10,FALSE),IF(BA682="121-365 Days",VLOOKUP(D682,[3]Extended!$B$9:$L$101,11,FALSE),VLOOKUP(D682,[3]Extended!$B$9:$M$101,12,FALSE)))),0)</f>
        <v>1273000</v>
      </c>
      <c r="P682" s="116">
        <f t="shared" si="51"/>
        <v>0.24</v>
      </c>
      <c r="Q682" s="110" t="e">
        <f>O682-#REF!</f>
        <v>#REF!</v>
      </c>
      <c r="W682" s="311"/>
      <c r="X682" s="311"/>
      <c r="Y682" s="311"/>
      <c r="Z682" s="311"/>
      <c r="AA682" s="311"/>
      <c r="AB682" s="311"/>
      <c r="AC682" s="311"/>
      <c r="AT682" s="88" t="str">
        <f t="shared" si="52"/>
        <v>KP0007532017Q314,7</v>
      </c>
      <c r="AU682" s="89" t="str">
        <f t="shared" si="53"/>
        <v>07-2017</v>
      </c>
      <c r="BA682" s="92" t="str">
        <f t="shared" si="54"/>
        <v>WIP - 30 Days</v>
      </c>
    </row>
    <row r="683" spans="2:53">
      <c r="B683" s="60" t="str">
        <f>[2]Trucks!A680</f>
        <v>76W-9159</v>
      </c>
      <c r="C683" s="11" t="str">
        <f>[2]Trucks!B680</f>
        <v>TGS-27-4406X4BBS-LX</v>
      </c>
      <c r="D683" s="19" t="str">
        <f>IFERROR(VLOOKUP(C683&amp;"",'[2]Retail Price List'!$A$3:$B$103,2,FALSE),"Special Order")</f>
        <v>KP000753</v>
      </c>
      <c r="E683" s="18" t="str">
        <f>[2]Trucks!J680</f>
        <v>BOOKED : 2017-10-3</v>
      </c>
      <c r="F683" s="12">
        <f>[2]Trucks!E680</f>
        <v>9</v>
      </c>
      <c r="G683" s="56">
        <f>[2]Trucks!K680</f>
        <v>15.4</v>
      </c>
      <c r="H683" s="46">
        <f>[2]Trucks!I680</f>
        <v>42804</v>
      </c>
      <c r="I683" s="83" t="str">
        <f t="shared" si="50"/>
        <v>2017Q1</v>
      </c>
      <c r="J683" s="272">
        <f>IFERROR(VLOOKUP((D683&amp;C683)&amp;"",'[2]Retail Price List'!$C$4:$F$102,3,FALSE),"")</f>
        <v>1640000</v>
      </c>
      <c r="K683" s="272">
        <f>IFERROR(IF(BA683="WIP - 30 Days",VLOOKUP(D683,[3]Standard!$B$9:$E$101,4,FALSE),IF(BA683="31-120 Days",VLOOKUP(D683,[3]Standard!$B$9:$F$101,5,FALSE),IF(BA683="121-365 Days",VLOOKUP(D683,[3]Standard!$B$9:$G$101,6,FALSE),VLOOKUP(D683,[3]Standard!$B$9:$H$101,7,FALSE)))),0)</f>
        <v>1250008</v>
      </c>
      <c r="L683" s="272">
        <f>IFERROR(IF(BA683="WIP - 30 Days",VLOOKUP(D683,[3]Standard!$B$9:$J$101,9,FALSE),IF(BA683="31-120 Days",VLOOKUP(D683,[3]Standard!$B$9:$K$100,10,FALSE),IF(BA683="121-365 Days",VLOOKUP(D683,[3]Standard!$B$9:$L$101,11,FALSE),VLOOKUP(D683,[3]Standard!$B$9:$M$101,12,FALSE)))),0)</f>
        <v>1213600</v>
      </c>
      <c r="M683" s="269">
        <f>IFERROR(VLOOKUP((D683&amp;C683)&amp;"",'[2]Retail Price List'!$C$4:$F$102,4,FALSE),"")</f>
        <v>1675000</v>
      </c>
      <c r="N683" s="269">
        <f>IFERROR(IF(BA683="WIP - 30 Days",VLOOKUP(D683,[3]Extended!$B$9:$E$101,4,FALSE),IF(BA683="31-120 Days",VLOOKUP(D683,[3]Extended!$B$9:$F$101,5,FALSE),IF(BA683="121-365 Days",VLOOKUP(D683,[3]Extended!$B$9:$G$101,6,FALSE),VLOOKUP(D683,[3]Extended!$B$9:$H$101,7,FALSE)))),0)</f>
        <v>1311190</v>
      </c>
      <c r="O683" s="269">
        <f>IFERROR(IF(BA683="WIP - 30 Days",VLOOKUP(D683,[3]Extended!$B$9:$J$101,9,FALSE),IF(BA683="31-120 Days",VLOOKUP(D683,[3]Extended!$B$9:$K$101,10,FALSE),IF(BA683="121-365 Days",VLOOKUP(D683,[3]Extended!$B$9:$L$101,11,FALSE),VLOOKUP(D683,[3]Extended!$B$9:$M$101,12,FALSE)))),0)</f>
        <v>1273000</v>
      </c>
      <c r="P683" s="116">
        <f t="shared" si="51"/>
        <v>0.24</v>
      </c>
      <c r="Q683" s="110" t="e">
        <f>O683-#REF!</f>
        <v>#REF!</v>
      </c>
      <c r="W683" s="311"/>
      <c r="X683" s="311"/>
      <c r="Y683" s="311"/>
      <c r="Z683" s="311"/>
      <c r="AA683" s="311"/>
      <c r="AB683" s="311"/>
      <c r="AC683" s="311"/>
      <c r="AT683" s="88" t="str">
        <f t="shared" si="52"/>
        <v>KP0007532017Q115,4</v>
      </c>
      <c r="AU683" s="89" t="str">
        <f t="shared" si="53"/>
        <v>03-2017</v>
      </c>
      <c r="BA683" s="92" t="str">
        <f t="shared" si="54"/>
        <v>WIP - 30 Days</v>
      </c>
    </row>
    <row r="684" spans="2:53">
      <c r="B684" s="60" t="str">
        <f>[2]Trucks!A681</f>
        <v>76W-9160</v>
      </c>
      <c r="C684" s="11" t="str">
        <f>[2]Trucks!B681</f>
        <v>TGS-27-4406X4BBS-LX</v>
      </c>
      <c r="D684" s="19" t="str">
        <f>IFERROR(VLOOKUP(C684&amp;"",'[2]Retail Price List'!$A$3:$B$103,2,FALSE),"Special Order")</f>
        <v>KP000753</v>
      </c>
      <c r="E684" s="18" t="str">
        <f>[2]Trucks!J681</f>
        <v>BOOKED : 2017-08-3</v>
      </c>
      <c r="F684" s="12">
        <f>[2]Trucks!E681</f>
        <v>8</v>
      </c>
      <c r="G684" s="56">
        <f>[2]Trucks!K681</f>
        <v>15.4</v>
      </c>
      <c r="H684" s="46">
        <f>[2]Trucks!I681</f>
        <v>42804</v>
      </c>
      <c r="I684" s="83" t="str">
        <f t="shared" si="50"/>
        <v>2017Q1</v>
      </c>
      <c r="J684" s="272">
        <f>IFERROR(VLOOKUP((D684&amp;C684)&amp;"",'[2]Retail Price List'!$C$4:$F$102,3,FALSE),"")</f>
        <v>1640000</v>
      </c>
      <c r="K684" s="272">
        <f>IFERROR(IF(BA684="WIP - 30 Days",VLOOKUP(D684,[3]Standard!$B$9:$E$101,4,FALSE),IF(BA684="31-120 Days",VLOOKUP(D684,[3]Standard!$B$9:$F$101,5,FALSE),IF(BA684="121-365 Days",VLOOKUP(D684,[3]Standard!$B$9:$G$101,6,FALSE),VLOOKUP(D684,[3]Standard!$B$9:$H$101,7,FALSE)))),0)</f>
        <v>1250008</v>
      </c>
      <c r="L684" s="272">
        <f>IFERROR(IF(BA684="WIP - 30 Days",VLOOKUP(D684,[3]Standard!$B$9:$J$101,9,FALSE),IF(BA684="31-120 Days",VLOOKUP(D684,[3]Standard!$B$9:$K$100,10,FALSE),IF(BA684="121-365 Days",VLOOKUP(D684,[3]Standard!$B$9:$L$101,11,FALSE),VLOOKUP(D684,[3]Standard!$B$9:$M$101,12,FALSE)))),0)</f>
        <v>1213600</v>
      </c>
      <c r="M684" s="269">
        <f>IFERROR(VLOOKUP((D684&amp;C684)&amp;"",'[2]Retail Price List'!$C$4:$F$102,4,FALSE),"")</f>
        <v>1675000</v>
      </c>
      <c r="N684" s="269">
        <f>IFERROR(IF(BA684="WIP - 30 Days",VLOOKUP(D684,[3]Extended!$B$9:$E$101,4,FALSE),IF(BA684="31-120 Days",VLOOKUP(D684,[3]Extended!$B$9:$F$101,5,FALSE),IF(BA684="121-365 Days",VLOOKUP(D684,[3]Extended!$B$9:$G$101,6,FALSE),VLOOKUP(D684,[3]Extended!$B$9:$H$101,7,FALSE)))),0)</f>
        <v>1311190</v>
      </c>
      <c r="O684" s="269">
        <f>IFERROR(IF(BA684="WIP - 30 Days",VLOOKUP(D684,[3]Extended!$B$9:$J$101,9,FALSE),IF(BA684="31-120 Days",VLOOKUP(D684,[3]Extended!$B$9:$K$101,10,FALSE),IF(BA684="121-365 Days",VLOOKUP(D684,[3]Extended!$B$9:$L$101,11,FALSE),VLOOKUP(D684,[3]Extended!$B$9:$M$101,12,FALSE)))),0)</f>
        <v>1273000</v>
      </c>
      <c r="P684" s="116">
        <f t="shared" si="51"/>
        <v>0.24</v>
      </c>
      <c r="Q684" s="110" t="e">
        <f>O684-#REF!</f>
        <v>#REF!</v>
      </c>
      <c r="W684" s="311"/>
      <c r="X684" s="311"/>
      <c r="Y684" s="311"/>
      <c r="Z684" s="311"/>
      <c r="AA684" s="311"/>
      <c r="AB684" s="311"/>
      <c r="AC684" s="311"/>
      <c r="AT684" s="88" t="str">
        <f t="shared" si="52"/>
        <v>KP0007532017Q115,4</v>
      </c>
      <c r="AU684" s="89" t="str">
        <f t="shared" si="53"/>
        <v>03-2017</v>
      </c>
      <c r="BA684" s="92" t="str">
        <f t="shared" si="54"/>
        <v>WIP - 30 Days</v>
      </c>
    </row>
    <row r="685" spans="2:53">
      <c r="B685" s="60" t="str">
        <f>[2]Trucks!A682</f>
        <v>TBAKP753</v>
      </c>
      <c r="C685" s="11" t="str">
        <f>[2]Trucks!B682</f>
        <v>TGS-27-4406X4BBS-LX</v>
      </c>
      <c r="D685" s="19" t="str">
        <f>IFERROR(VLOOKUP(C685&amp;"",'[2]Retail Price List'!$A$3:$B$103,2,FALSE),"Special Order")</f>
        <v>KP000753</v>
      </c>
      <c r="E685" s="18" t="str">
        <f>[2]Trucks!J682</f>
        <v>CKD</v>
      </c>
      <c r="F685" s="12" t="str">
        <f>[2]Trucks!E682</f>
        <v>2018-02-15</v>
      </c>
      <c r="G685" s="56">
        <f>[2]Trucks!K682</f>
        <v>14.7</v>
      </c>
      <c r="H685" s="46">
        <f>[2]Trucks!I682</f>
        <v>42921</v>
      </c>
      <c r="I685" s="83" t="str">
        <f t="shared" si="50"/>
        <v>2017Q3</v>
      </c>
      <c r="J685" s="272">
        <f>IFERROR(VLOOKUP((D685&amp;C685)&amp;"",'[2]Retail Price List'!$C$4:$F$102,3,FALSE),"")</f>
        <v>1640000</v>
      </c>
      <c r="K685" s="272">
        <f>IFERROR(IF(BA685="WIP - 30 Days",VLOOKUP(D685,[3]Standard!$B$9:$E$101,4,FALSE),IF(BA685="31-120 Days",VLOOKUP(D685,[3]Standard!$B$9:$F$101,5,FALSE),IF(BA685="121-365 Days",VLOOKUP(D685,[3]Standard!$B$9:$G$101,6,FALSE),VLOOKUP(D685,[3]Standard!$B$9:$H$101,7,FALSE)))),0)</f>
        <v>1250008</v>
      </c>
      <c r="L685" s="272">
        <f>IFERROR(IF(BA685="WIP - 30 Days",VLOOKUP(D685,[3]Standard!$B$9:$J$101,9,FALSE),IF(BA685="31-120 Days",VLOOKUP(D685,[3]Standard!$B$9:$K$100,10,FALSE),IF(BA685="121-365 Days",VLOOKUP(D685,[3]Standard!$B$9:$L$101,11,FALSE),VLOOKUP(D685,[3]Standard!$B$9:$M$101,12,FALSE)))),0)</f>
        <v>1213600</v>
      </c>
      <c r="M685" s="269">
        <f>IFERROR(VLOOKUP((D685&amp;C685)&amp;"",'[2]Retail Price List'!$C$4:$F$102,4,FALSE),"")</f>
        <v>1675000</v>
      </c>
      <c r="N685" s="269">
        <f>IFERROR(IF(BA685="WIP - 30 Days",VLOOKUP(D685,[3]Extended!$B$9:$E$101,4,FALSE),IF(BA685="31-120 Days",VLOOKUP(D685,[3]Extended!$B$9:$F$101,5,FALSE),IF(BA685="121-365 Days",VLOOKUP(D685,[3]Extended!$B$9:$G$101,6,FALSE),VLOOKUP(D685,[3]Extended!$B$9:$H$101,7,FALSE)))),0)</f>
        <v>1311190</v>
      </c>
      <c r="O685" s="269">
        <f>IFERROR(IF(BA685="WIP - 30 Days",VLOOKUP(D685,[3]Extended!$B$9:$J$101,9,FALSE),IF(BA685="31-120 Days",VLOOKUP(D685,[3]Extended!$B$9:$K$101,10,FALSE),IF(BA685="121-365 Days",VLOOKUP(D685,[3]Extended!$B$9:$L$101,11,FALSE),VLOOKUP(D685,[3]Extended!$B$9:$M$101,12,FALSE)))),0)</f>
        <v>1273000</v>
      </c>
      <c r="P685" s="116">
        <f t="shared" si="51"/>
        <v>0.24</v>
      </c>
      <c r="Q685" s="110" t="e">
        <f>O685-#REF!</f>
        <v>#REF!</v>
      </c>
      <c r="W685" s="311"/>
      <c r="X685" s="311"/>
      <c r="Y685" s="311"/>
      <c r="Z685" s="311"/>
      <c r="AA685" s="311"/>
      <c r="AB685" s="311"/>
      <c r="AC685" s="311"/>
      <c r="AT685" s="88" t="str">
        <f t="shared" si="52"/>
        <v>KP0007532017Q314,7</v>
      </c>
      <c r="AU685" s="89" t="str">
        <f t="shared" si="53"/>
        <v>07-2017</v>
      </c>
      <c r="BA685" s="92" t="str">
        <f t="shared" si="54"/>
        <v>WIP - 30 Days</v>
      </c>
    </row>
    <row r="686" spans="2:53">
      <c r="B686" s="60">
        <f>[2]Trucks!A683</f>
        <v>46698</v>
      </c>
      <c r="C686" s="11" t="str">
        <f>[2]Trucks!B683</f>
        <v>TGS-27-4806X4BBS-LX</v>
      </c>
      <c r="D686" s="19" t="str">
        <f>IFERROR(VLOOKUP(C686&amp;"",'[2]Retail Price List'!$A$3:$B$103,2,FALSE),"Special Order")</f>
        <v>KP000659</v>
      </c>
      <c r="E686" s="18" t="str">
        <f>[2]Trucks!J683</f>
        <v>BOOKED : 2017-08-10</v>
      </c>
      <c r="F686" s="12" t="str">
        <f>[2]Trucks!E683</f>
        <v>2017-10-11</v>
      </c>
      <c r="G686" s="56">
        <f>[2]Trucks!K683</f>
        <v>14.7</v>
      </c>
      <c r="H686" s="46">
        <f>[2]Trucks!I683</f>
        <v>42838</v>
      </c>
      <c r="I686" s="83" t="str">
        <f t="shared" si="50"/>
        <v>2017Q2</v>
      </c>
      <c r="J686" s="272">
        <f>IFERROR(VLOOKUP((D686&amp;C686)&amp;"",'[2]Retail Price List'!$C$4:$F$102,3,FALSE),"")</f>
        <v>1715000</v>
      </c>
      <c r="K686" s="272">
        <f>IFERROR(IF(BA686="WIP - 30 Days",VLOOKUP(D686,[3]Standard!$B$9:$E$101,4,FALSE),IF(BA686="31-120 Days",VLOOKUP(D686,[3]Standard!$B$9:$F$101,5,FALSE),IF(BA686="121-365 Days",VLOOKUP(D686,[3]Standard!$B$9:$G$101,6,FALSE),VLOOKUP(D686,[3]Standard!$B$9:$H$101,7,FALSE)))),0)</f>
        <v>1177979.7979797979</v>
      </c>
      <c r="L686" s="272">
        <f>IFERROR(IF(BA686="WIP - 30 Days",VLOOKUP(D686,[3]Standard!$B$9:$J$101,9,FALSE),IF(BA686="31-120 Days",VLOOKUP(D686,[3]Standard!$B$9:$K$100,10,FALSE),IF(BA686="121-365 Days",VLOOKUP(D686,[3]Standard!$B$9:$L$101,11,FALSE),VLOOKUP(D686,[3]Standard!$B$9:$M$101,12,FALSE)))),0)</f>
        <v>1166200</v>
      </c>
      <c r="M686" s="269">
        <f>IFERROR(VLOOKUP((D686&amp;C686)&amp;"",'[2]Retail Price List'!$C$4:$F$102,4,FALSE),"")</f>
        <v>1750000</v>
      </c>
      <c r="N686" s="269">
        <f>IFERROR(IF(BA686="WIP - 30 Days",VLOOKUP(D686,[3]Extended!$B$9:$E$101,4,FALSE),IF(BA686="31-120 Days",VLOOKUP(D686,[3]Extended!$B$9:$F$101,5,FALSE),IF(BA686="121-365 Days",VLOOKUP(D686,[3]Extended!$B$9:$G$101,6,FALSE),VLOOKUP(D686,[3]Extended!$B$9:$H$101,7,FALSE)))),0)</f>
        <v>1219696.9696969697</v>
      </c>
      <c r="O686" s="269">
        <f>IFERROR(IF(BA686="WIP - 30 Days",VLOOKUP(D686,[3]Extended!$B$9:$J$101,9,FALSE),IF(BA686="31-120 Days",VLOOKUP(D686,[3]Extended!$B$9:$K$101,10,FALSE),IF(BA686="121-365 Days",VLOOKUP(D686,[3]Extended!$B$9:$L$101,11,FALSE),VLOOKUP(D686,[3]Extended!$B$9:$M$101,12,FALSE)))),0)</f>
        <v>1207500</v>
      </c>
      <c r="P686" s="116">
        <f t="shared" si="51"/>
        <v>0.31</v>
      </c>
      <c r="Q686" s="110" t="e">
        <f>O686-#REF!</f>
        <v>#REF!</v>
      </c>
      <c r="W686" s="311"/>
      <c r="X686" s="311"/>
      <c r="Y686" s="311"/>
      <c r="Z686" s="311"/>
      <c r="AA686" s="311"/>
      <c r="AB686" s="311"/>
      <c r="AC686" s="311"/>
      <c r="AT686" s="88" t="str">
        <f t="shared" si="52"/>
        <v>KP0006592017Q214,7</v>
      </c>
      <c r="AU686" s="89" t="str">
        <f t="shared" si="53"/>
        <v>04-2017</v>
      </c>
      <c r="BA686" s="92" t="str">
        <f t="shared" si="54"/>
        <v>&gt;365 Days</v>
      </c>
    </row>
    <row r="687" spans="2:53">
      <c r="B687" s="60">
        <f>[2]Trucks!A684</f>
        <v>46699</v>
      </c>
      <c r="C687" s="11" t="str">
        <f>[2]Trucks!B684</f>
        <v>TGS-27-4806X4BBS-LX</v>
      </c>
      <c r="D687" s="19" t="str">
        <f>IFERROR(VLOOKUP(C687&amp;"",'[2]Retail Price List'!$A$3:$B$103,2,FALSE),"Special Order")</f>
        <v>KP000659</v>
      </c>
      <c r="E687" s="18" t="str">
        <f>[2]Trucks!J684</f>
        <v>BOOKED : 2017-08-10</v>
      </c>
      <c r="F687" s="12" t="str">
        <f>[2]Trucks!E684</f>
        <v>2017-10-11</v>
      </c>
      <c r="G687" s="56">
        <f>[2]Trucks!K684</f>
        <v>14.7</v>
      </c>
      <c r="H687" s="46">
        <f>[2]Trucks!I684</f>
        <v>42838</v>
      </c>
      <c r="I687" s="83" t="str">
        <f t="shared" si="50"/>
        <v>2017Q2</v>
      </c>
      <c r="J687" s="272">
        <f>IFERROR(VLOOKUP((D687&amp;C687)&amp;"",'[2]Retail Price List'!$C$4:$F$102,3,FALSE),"")</f>
        <v>1715000</v>
      </c>
      <c r="K687" s="272">
        <f>IFERROR(IF(BA687="WIP - 30 Days",VLOOKUP(D687,[3]Standard!$B$9:$E$101,4,FALSE),IF(BA687="31-120 Days",VLOOKUP(D687,[3]Standard!$B$9:$F$101,5,FALSE),IF(BA687="121-365 Days",VLOOKUP(D687,[3]Standard!$B$9:$G$101,6,FALSE),VLOOKUP(D687,[3]Standard!$B$9:$H$101,7,FALSE)))),0)</f>
        <v>1177979.7979797979</v>
      </c>
      <c r="L687" s="272">
        <f>IFERROR(IF(BA687="WIP - 30 Days",VLOOKUP(D687,[3]Standard!$B$9:$J$101,9,FALSE),IF(BA687="31-120 Days",VLOOKUP(D687,[3]Standard!$B$9:$K$100,10,FALSE),IF(BA687="121-365 Days",VLOOKUP(D687,[3]Standard!$B$9:$L$101,11,FALSE),VLOOKUP(D687,[3]Standard!$B$9:$M$101,12,FALSE)))),0)</f>
        <v>1166200</v>
      </c>
      <c r="M687" s="269">
        <f>IFERROR(VLOOKUP((D687&amp;C687)&amp;"",'[2]Retail Price List'!$C$4:$F$102,4,FALSE),"")</f>
        <v>1750000</v>
      </c>
      <c r="N687" s="269">
        <f>IFERROR(IF(BA687="WIP - 30 Days",VLOOKUP(D687,[3]Extended!$B$9:$E$101,4,FALSE),IF(BA687="31-120 Days",VLOOKUP(D687,[3]Extended!$B$9:$F$101,5,FALSE),IF(BA687="121-365 Days",VLOOKUP(D687,[3]Extended!$B$9:$G$101,6,FALSE),VLOOKUP(D687,[3]Extended!$B$9:$H$101,7,FALSE)))),0)</f>
        <v>1219696.9696969697</v>
      </c>
      <c r="O687" s="269">
        <f>IFERROR(IF(BA687="WIP - 30 Days",VLOOKUP(D687,[3]Extended!$B$9:$J$101,9,FALSE),IF(BA687="31-120 Days",VLOOKUP(D687,[3]Extended!$B$9:$K$101,10,FALSE),IF(BA687="121-365 Days",VLOOKUP(D687,[3]Extended!$B$9:$L$101,11,FALSE),VLOOKUP(D687,[3]Extended!$B$9:$M$101,12,FALSE)))),0)</f>
        <v>1207500</v>
      </c>
      <c r="P687" s="116">
        <f t="shared" si="51"/>
        <v>0.31</v>
      </c>
      <c r="Q687" s="110" t="e">
        <f>O687-#REF!</f>
        <v>#REF!</v>
      </c>
      <c r="W687" s="311"/>
      <c r="X687" s="311"/>
      <c r="Y687" s="311"/>
      <c r="Z687" s="311"/>
      <c r="AA687" s="311"/>
      <c r="AB687" s="311"/>
      <c r="AC687" s="311"/>
      <c r="AT687" s="88" t="str">
        <f t="shared" si="52"/>
        <v>KP0006592017Q214,7</v>
      </c>
      <c r="AU687" s="89" t="str">
        <f t="shared" si="53"/>
        <v>04-2017</v>
      </c>
      <c r="BA687" s="92" t="str">
        <f t="shared" si="54"/>
        <v>&gt;365 Days</v>
      </c>
    </row>
    <row r="688" spans="2:53">
      <c r="B688" s="60">
        <f>[2]Trucks!A685</f>
        <v>46700</v>
      </c>
      <c r="C688" s="11" t="str">
        <f>[2]Trucks!B685</f>
        <v>TGS-27-4806X4BBS-LX</v>
      </c>
      <c r="D688" s="19" t="str">
        <f>IFERROR(VLOOKUP(C688&amp;"",'[2]Retail Price List'!$A$3:$B$103,2,FALSE),"Special Order")</f>
        <v>KP000659</v>
      </c>
      <c r="E688" s="18" t="str">
        <f>[2]Trucks!J685</f>
        <v>BOOKED : 2017-08-10</v>
      </c>
      <c r="F688" s="12" t="str">
        <f>[2]Trucks!E685</f>
        <v>2017-10-11</v>
      </c>
      <c r="G688" s="56">
        <f>[2]Trucks!K685</f>
        <v>14.7</v>
      </c>
      <c r="H688" s="46">
        <f>[2]Trucks!I685</f>
        <v>42838</v>
      </c>
      <c r="I688" s="83" t="str">
        <f t="shared" si="50"/>
        <v>2017Q2</v>
      </c>
      <c r="J688" s="272">
        <f>IFERROR(VLOOKUP((D688&amp;C688)&amp;"",'[2]Retail Price List'!$C$4:$F$102,3,FALSE),"")</f>
        <v>1715000</v>
      </c>
      <c r="K688" s="272">
        <f>IFERROR(IF(BA688="WIP - 30 Days",VLOOKUP(D688,[3]Standard!$B$9:$E$101,4,FALSE),IF(BA688="31-120 Days",VLOOKUP(D688,[3]Standard!$B$9:$F$101,5,FALSE),IF(BA688="121-365 Days",VLOOKUP(D688,[3]Standard!$B$9:$G$101,6,FALSE),VLOOKUP(D688,[3]Standard!$B$9:$H$101,7,FALSE)))),0)</f>
        <v>1177979.7979797979</v>
      </c>
      <c r="L688" s="272">
        <f>IFERROR(IF(BA688="WIP - 30 Days",VLOOKUP(D688,[3]Standard!$B$9:$J$101,9,FALSE),IF(BA688="31-120 Days",VLOOKUP(D688,[3]Standard!$B$9:$K$100,10,FALSE),IF(BA688="121-365 Days",VLOOKUP(D688,[3]Standard!$B$9:$L$101,11,FALSE),VLOOKUP(D688,[3]Standard!$B$9:$M$101,12,FALSE)))),0)</f>
        <v>1166200</v>
      </c>
      <c r="M688" s="269">
        <f>IFERROR(VLOOKUP((D688&amp;C688)&amp;"",'[2]Retail Price List'!$C$4:$F$102,4,FALSE),"")</f>
        <v>1750000</v>
      </c>
      <c r="N688" s="269">
        <f>IFERROR(IF(BA688="WIP - 30 Days",VLOOKUP(D688,[3]Extended!$B$9:$E$101,4,FALSE),IF(BA688="31-120 Days",VLOOKUP(D688,[3]Extended!$B$9:$F$101,5,FALSE),IF(BA688="121-365 Days",VLOOKUP(D688,[3]Extended!$B$9:$G$101,6,FALSE),VLOOKUP(D688,[3]Extended!$B$9:$H$101,7,FALSE)))),0)</f>
        <v>1219696.9696969697</v>
      </c>
      <c r="O688" s="269">
        <f>IFERROR(IF(BA688="WIP - 30 Days",VLOOKUP(D688,[3]Extended!$B$9:$J$101,9,FALSE),IF(BA688="31-120 Days",VLOOKUP(D688,[3]Extended!$B$9:$K$101,10,FALSE),IF(BA688="121-365 Days",VLOOKUP(D688,[3]Extended!$B$9:$L$101,11,FALSE),VLOOKUP(D688,[3]Extended!$B$9:$M$101,12,FALSE)))),0)</f>
        <v>1207500</v>
      </c>
      <c r="P688" s="116">
        <f t="shared" si="51"/>
        <v>0.31</v>
      </c>
      <c r="Q688" s="110" t="e">
        <f>O688-#REF!</f>
        <v>#REF!</v>
      </c>
      <c r="W688" s="311"/>
      <c r="X688" s="311"/>
      <c r="Y688" s="311"/>
      <c r="Z688" s="311"/>
      <c r="AA688" s="311"/>
      <c r="AB688" s="311"/>
      <c r="AC688" s="311"/>
      <c r="AT688" s="88" t="str">
        <f t="shared" si="52"/>
        <v>KP0006592017Q214,7</v>
      </c>
      <c r="AU688" s="89" t="str">
        <f t="shared" si="53"/>
        <v>04-2017</v>
      </c>
      <c r="BA688" s="92" t="str">
        <f t="shared" si="54"/>
        <v>&gt;365 Days</v>
      </c>
    </row>
    <row r="689" spans="2:53">
      <c r="B689" s="60">
        <f>[2]Trucks!A686</f>
        <v>46701</v>
      </c>
      <c r="C689" s="11" t="str">
        <f>[2]Trucks!B686</f>
        <v>TGS-27-4806X4BBS-LX</v>
      </c>
      <c r="D689" s="19" t="str">
        <f>IFERROR(VLOOKUP(C689&amp;"",'[2]Retail Price List'!$A$3:$B$103,2,FALSE),"Special Order")</f>
        <v>KP000659</v>
      </c>
      <c r="E689" s="18" t="str">
        <f>[2]Trucks!J686</f>
        <v>BOOKED : 2017-08-10</v>
      </c>
      <c r="F689" s="12" t="str">
        <f>[2]Trucks!E686</f>
        <v>2017-10-11</v>
      </c>
      <c r="G689" s="56">
        <f>[2]Trucks!K686</f>
        <v>14.7</v>
      </c>
      <c r="H689" s="46">
        <f>[2]Trucks!I686</f>
        <v>42838</v>
      </c>
      <c r="I689" s="83" t="str">
        <f t="shared" si="50"/>
        <v>2017Q2</v>
      </c>
      <c r="J689" s="272">
        <f>IFERROR(VLOOKUP((D689&amp;C689)&amp;"",'[2]Retail Price List'!$C$4:$F$102,3,FALSE),"")</f>
        <v>1715000</v>
      </c>
      <c r="K689" s="272">
        <f>IFERROR(IF(BA689="WIP - 30 Days",VLOOKUP(D689,[3]Standard!$B$9:$E$101,4,FALSE),IF(BA689="31-120 Days",VLOOKUP(D689,[3]Standard!$B$9:$F$101,5,FALSE),IF(BA689="121-365 Days",VLOOKUP(D689,[3]Standard!$B$9:$G$101,6,FALSE),VLOOKUP(D689,[3]Standard!$B$9:$H$101,7,FALSE)))),0)</f>
        <v>1177979.7979797979</v>
      </c>
      <c r="L689" s="272">
        <f>IFERROR(IF(BA689="WIP - 30 Days",VLOOKUP(D689,[3]Standard!$B$9:$J$101,9,FALSE),IF(BA689="31-120 Days",VLOOKUP(D689,[3]Standard!$B$9:$K$100,10,FALSE),IF(BA689="121-365 Days",VLOOKUP(D689,[3]Standard!$B$9:$L$101,11,FALSE),VLOOKUP(D689,[3]Standard!$B$9:$M$101,12,FALSE)))),0)</f>
        <v>1166200</v>
      </c>
      <c r="M689" s="269">
        <f>IFERROR(VLOOKUP((D689&amp;C689)&amp;"",'[2]Retail Price List'!$C$4:$F$102,4,FALSE),"")</f>
        <v>1750000</v>
      </c>
      <c r="N689" s="269">
        <f>IFERROR(IF(BA689="WIP - 30 Days",VLOOKUP(D689,[3]Extended!$B$9:$E$101,4,FALSE),IF(BA689="31-120 Days",VLOOKUP(D689,[3]Extended!$B$9:$F$101,5,FALSE),IF(BA689="121-365 Days",VLOOKUP(D689,[3]Extended!$B$9:$G$101,6,FALSE),VLOOKUP(D689,[3]Extended!$B$9:$H$101,7,FALSE)))),0)</f>
        <v>1219696.9696969697</v>
      </c>
      <c r="O689" s="269">
        <f>IFERROR(IF(BA689="WIP - 30 Days",VLOOKUP(D689,[3]Extended!$B$9:$J$101,9,FALSE),IF(BA689="31-120 Days",VLOOKUP(D689,[3]Extended!$B$9:$K$101,10,FALSE),IF(BA689="121-365 Days",VLOOKUP(D689,[3]Extended!$B$9:$L$101,11,FALSE),VLOOKUP(D689,[3]Extended!$B$9:$M$101,12,FALSE)))),0)</f>
        <v>1207500</v>
      </c>
      <c r="P689" s="116">
        <f t="shared" si="51"/>
        <v>0.31</v>
      </c>
      <c r="Q689" s="110" t="e">
        <f>O689-#REF!</f>
        <v>#REF!</v>
      </c>
      <c r="W689" s="311"/>
      <c r="X689" s="311"/>
      <c r="Y689" s="311"/>
      <c r="Z689" s="311"/>
      <c r="AA689" s="311"/>
      <c r="AB689" s="311"/>
      <c r="AC689" s="311"/>
      <c r="AT689" s="88" t="str">
        <f t="shared" si="52"/>
        <v>KP0006592017Q214,7</v>
      </c>
      <c r="AU689" s="89" t="str">
        <f t="shared" si="53"/>
        <v>04-2017</v>
      </c>
      <c r="BA689" s="92" t="str">
        <f t="shared" si="54"/>
        <v>&gt;365 Days</v>
      </c>
    </row>
    <row r="690" spans="2:53">
      <c r="B690" s="60">
        <f>[2]Trucks!A687</f>
        <v>46928</v>
      </c>
      <c r="C690" s="11" t="str">
        <f>[2]Trucks!B687</f>
        <v>TGS-27-4806X4BBS-LX</v>
      </c>
      <c r="D690" s="19" t="str">
        <f>IFERROR(VLOOKUP(C690&amp;"",'[2]Retail Price List'!$A$3:$B$103,2,FALSE),"Special Order")</f>
        <v>KP000659</v>
      </c>
      <c r="E690" s="18" t="str">
        <f>[2]Trucks!J687</f>
        <v>CKD</v>
      </c>
      <c r="F690" s="12" t="str">
        <f>[2]Trucks!E687</f>
        <v>2017-10-31</v>
      </c>
      <c r="G690" s="56">
        <f>[2]Trucks!K687</f>
        <v>14.7</v>
      </c>
      <c r="H690" s="46">
        <f>[2]Trucks!I687</f>
        <v>42859</v>
      </c>
      <c r="I690" s="83" t="str">
        <f t="shared" si="50"/>
        <v>2017Q2</v>
      </c>
      <c r="J690" s="272">
        <f>IFERROR(VLOOKUP((D690&amp;C690)&amp;"",'[2]Retail Price List'!$C$4:$F$102,3,FALSE),"")</f>
        <v>1715000</v>
      </c>
      <c r="K690" s="272">
        <f>IFERROR(IF(BA690="WIP - 30 Days",VLOOKUP(D690,[3]Standard!$B$9:$E$101,4,FALSE),IF(BA690="31-120 Days",VLOOKUP(D690,[3]Standard!$B$9:$F$101,5,FALSE),IF(BA690="121-365 Days",VLOOKUP(D690,[3]Standard!$B$9:$G$101,6,FALSE),VLOOKUP(D690,[3]Standard!$B$9:$H$101,7,FALSE)))),0)</f>
        <v>1280676.25</v>
      </c>
      <c r="L690" s="272">
        <f>IFERROR(IF(BA690="WIP - 30 Days",VLOOKUP(D690,[3]Standard!$B$9:$J$101,9,FALSE),IF(BA690="31-120 Days",VLOOKUP(D690,[3]Standard!$B$9:$K$100,10,FALSE),IF(BA690="121-365 Days",VLOOKUP(D690,[3]Standard!$B$9:$L$101,11,FALSE),VLOOKUP(D690,[3]Standard!$B$9:$M$101,12,FALSE)))),0)</f>
        <v>1243375</v>
      </c>
      <c r="M690" s="269">
        <f>IFERROR(VLOOKUP((D690&amp;C690)&amp;"",'[2]Retail Price List'!$C$4:$F$102,4,FALSE),"")</f>
        <v>1750000</v>
      </c>
      <c r="N690" s="269">
        <f>IFERROR(IF(BA690="WIP - 30 Days",VLOOKUP(D690,[3]Extended!$B$9:$E$101,4,FALSE),IF(BA690="31-120 Days",VLOOKUP(D690,[3]Extended!$B$9:$F$101,5,FALSE),IF(BA690="121-365 Days",VLOOKUP(D690,[3]Extended!$B$9:$G$101,6,FALSE),VLOOKUP(D690,[3]Extended!$B$9:$H$101,7,FALSE)))),0)</f>
        <v>1333850</v>
      </c>
      <c r="O690" s="269">
        <f>IFERROR(IF(BA690="WIP - 30 Days",VLOOKUP(D690,[3]Extended!$B$9:$J$101,9,FALSE),IF(BA690="31-120 Days",VLOOKUP(D690,[3]Extended!$B$9:$K$101,10,FALSE),IF(BA690="121-365 Days",VLOOKUP(D690,[3]Extended!$B$9:$L$101,11,FALSE),VLOOKUP(D690,[3]Extended!$B$9:$M$101,12,FALSE)))),0)</f>
        <v>1295000</v>
      </c>
      <c r="P690" s="116">
        <f t="shared" si="51"/>
        <v>0.26</v>
      </c>
      <c r="Q690" s="110" t="e">
        <f>O690-#REF!</f>
        <v>#REF!</v>
      </c>
      <c r="W690" s="311"/>
      <c r="X690" s="311"/>
      <c r="Y690" s="311"/>
      <c r="Z690" s="311"/>
      <c r="AA690" s="311"/>
      <c r="AB690" s="311"/>
      <c r="AC690" s="311"/>
      <c r="AT690" s="88" t="str">
        <f t="shared" si="52"/>
        <v>KP0006592017Q214,7</v>
      </c>
      <c r="AU690" s="89" t="str">
        <f t="shared" si="53"/>
        <v>05-2017</v>
      </c>
      <c r="BA690" s="92" t="str">
        <f t="shared" si="54"/>
        <v>WIP - 30 Days</v>
      </c>
    </row>
    <row r="691" spans="2:53">
      <c r="B691" s="60">
        <f>[2]Trucks!A688</f>
        <v>46931</v>
      </c>
      <c r="C691" s="11" t="str">
        <f>[2]Trucks!B688</f>
        <v>TGS-27-4806X4BBS-LX</v>
      </c>
      <c r="D691" s="19" t="str">
        <f>IFERROR(VLOOKUP(C691&amp;"",'[2]Retail Price List'!$A$3:$B$103,2,FALSE),"Special Order")</f>
        <v>KP000659</v>
      </c>
      <c r="E691" s="18" t="str">
        <f>[2]Trucks!J688</f>
        <v>BOOKED : 2017-08-10</v>
      </c>
      <c r="F691" s="12" t="str">
        <f>[2]Trucks!E688</f>
        <v>2017-10-31</v>
      </c>
      <c r="G691" s="56">
        <f>[2]Trucks!K688</f>
        <v>14.7</v>
      </c>
      <c r="H691" s="46">
        <f>[2]Trucks!I688</f>
        <v>42859</v>
      </c>
      <c r="I691" s="83" t="str">
        <f t="shared" si="50"/>
        <v>2017Q2</v>
      </c>
      <c r="J691" s="272">
        <f>IFERROR(VLOOKUP((D691&amp;C691)&amp;"",'[2]Retail Price List'!$C$4:$F$102,3,FALSE),"")</f>
        <v>1715000</v>
      </c>
      <c r="K691" s="272">
        <f>IFERROR(IF(BA691="WIP - 30 Days",VLOOKUP(D691,[3]Standard!$B$9:$E$101,4,FALSE),IF(BA691="31-120 Days",VLOOKUP(D691,[3]Standard!$B$9:$F$101,5,FALSE),IF(BA691="121-365 Days",VLOOKUP(D691,[3]Standard!$B$9:$G$101,6,FALSE),VLOOKUP(D691,[3]Standard!$B$9:$H$101,7,FALSE)))),0)</f>
        <v>1177979.7979797979</v>
      </c>
      <c r="L691" s="272">
        <f>IFERROR(IF(BA691="WIP - 30 Days",VLOOKUP(D691,[3]Standard!$B$9:$J$101,9,FALSE),IF(BA691="31-120 Days",VLOOKUP(D691,[3]Standard!$B$9:$K$100,10,FALSE),IF(BA691="121-365 Days",VLOOKUP(D691,[3]Standard!$B$9:$L$101,11,FALSE),VLOOKUP(D691,[3]Standard!$B$9:$M$101,12,FALSE)))),0)</f>
        <v>1166200</v>
      </c>
      <c r="M691" s="269">
        <f>IFERROR(VLOOKUP((D691&amp;C691)&amp;"",'[2]Retail Price List'!$C$4:$F$102,4,FALSE),"")</f>
        <v>1750000</v>
      </c>
      <c r="N691" s="269">
        <f>IFERROR(IF(BA691="WIP - 30 Days",VLOOKUP(D691,[3]Extended!$B$9:$E$101,4,FALSE),IF(BA691="31-120 Days",VLOOKUP(D691,[3]Extended!$B$9:$F$101,5,FALSE),IF(BA691="121-365 Days",VLOOKUP(D691,[3]Extended!$B$9:$G$101,6,FALSE),VLOOKUP(D691,[3]Extended!$B$9:$H$101,7,FALSE)))),0)</f>
        <v>1219696.9696969697</v>
      </c>
      <c r="O691" s="269">
        <f>IFERROR(IF(BA691="WIP - 30 Days",VLOOKUP(D691,[3]Extended!$B$9:$J$101,9,FALSE),IF(BA691="31-120 Days",VLOOKUP(D691,[3]Extended!$B$9:$K$101,10,FALSE),IF(BA691="121-365 Days",VLOOKUP(D691,[3]Extended!$B$9:$L$101,11,FALSE),VLOOKUP(D691,[3]Extended!$B$9:$M$101,12,FALSE)))),0)</f>
        <v>1207500</v>
      </c>
      <c r="P691" s="116">
        <f t="shared" si="51"/>
        <v>0.31</v>
      </c>
      <c r="Q691" s="110" t="e">
        <f>O691-#REF!</f>
        <v>#REF!</v>
      </c>
      <c r="W691" s="311"/>
      <c r="X691" s="311"/>
      <c r="Y691" s="311"/>
      <c r="Z691" s="311"/>
      <c r="AA691" s="311"/>
      <c r="AB691" s="311"/>
      <c r="AC691" s="311"/>
      <c r="AT691" s="88" t="str">
        <f t="shared" si="52"/>
        <v>KP0006592017Q214,7</v>
      </c>
      <c r="AU691" s="89" t="str">
        <f t="shared" si="53"/>
        <v>05-2017</v>
      </c>
      <c r="BA691" s="92" t="str">
        <f t="shared" si="54"/>
        <v>&gt;365 Days</v>
      </c>
    </row>
    <row r="692" spans="2:53">
      <c r="B692" s="60">
        <f>[2]Trucks!A689</f>
        <v>46932</v>
      </c>
      <c r="C692" s="11" t="str">
        <f>[2]Trucks!B689</f>
        <v>TGS-27-4806X4BBS-LX</v>
      </c>
      <c r="D692" s="19" t="str">
        <f>IFERROR(VLOOKUP(C692&amp;"",'[2]Retail Price List'!$A$3:$B$103,2,FALSE),"Special Order")</f>
        <v>KP000659</v>
      </c>
      <c r="E692" s="18" t="str">
        <f>[2]Trucks!J689</f>
        <v>BOOKED : 2017-08-10</v>
      </c>
      <c r="F692" s="12" t="str">
        <f>[2]Trucks!E689</f>
        <v>2017-10-31</v>
      </c>
      <c r="G692" s="56">
        <f>[2]Trucks!K689</f>
        <v>14.7</v>
      </c>
      <c r="H692" s="46">
        <f>[2]Trucks!I689</f>
        <v>42859</v>
      </c>
      <c r="I692" s="83" t="str">
        <f t="shared" si="50"/>
        <v>2017Q2</v>
      </c>
      <c r="J692" s="272">
        <f>IFERROR(VLOOKUP((D692&amp;C692)&amp;"",'[2]Retail Price List'!$C$4:$F$102,3,FALSE),"")</f>
        <v>1715000</v>
      </c>
      <c r="K692" s="272">
        <f>IFERROR(IF(BA692="WIP - 30 Days",VLOOKUP(D692,[3]Standard!$B$9:$E$101,4,FALSE),IF(BA692="31-120 Days",VLOOKUP(D692,[3]Standard!$B$9:$F$101,5,FALSE),IF(BA692="121-365 Days",VLOOKUP(D692,[3]Standard!$B$9:$G$101,6,FALSE),VLOOKUP(D692,[3]Standard!$B$9:$H$101,7,FALSE)))),0)</f>
        <v>1177979.7979797979</v>
      </c>
      <c r="L692" s="272">
        <f>IFERROR(IF(BA692="WIP - 30 Days",VLOOKUP(D692,[3]Standard!$B$9:$J$101,9,FALSE),IF(BA692="31-120 Days",VLOOKUP(D692,[3]Standard!$B$9:$K$100,10,FALSE),IF(BA692="121-365 Days",VLOOKUP(D692,[3]Standard!$B$9:$L$101,11,FALSE),VLOOKUP(D692,[3]Standard!$B$9:$M$101,12,FALSE)))),0)</f>
        <v>1166200</v>
      </c>
      <c r="M692" s="269">
        <f>IFERROR(VLOOKUP((D692&amp;C692)&amp;"",'[2]Retail Price List'!$C$4:$F$102,4,FALSE),"")</f>
        <v>1750000</v>
      </c>
      <c r="N692" s="269">
        <f>IFERROR(IF(BA692="WIP - 30 Days",VLOOKUP(D692,[3]Extended!$B$9:$E$101,4,FALSE),IF(BA692="31-120 Days",VLOOKUP(D692,[3]Extended!$B$9:$F$101,5,FALSE),IF(BA692="121-365 Days",VLOOKUP(D692,[3]Extended!$B$9:$G$101,6,FALSE),VLOOKUP(D692,[3]Extended!$B$9:$H$101,7,FALSE)))),0)</f>
        <v>1219696.9696969697</v>
      </c>
      <c r="O692" s="269">
        <f>IFERROR(IF(BA692="WIP - 30 Days",VLOOKUP(D692,[3]Extended!$B$9:$J$101,9,FALSE),IF(BA692="31-120 Days",VLOOKUP(D692,[3]Extended!$B$9:$K$101,10,FALSE),IF(BA692="121-365 Days",VLOOKUP(D692,[3]Extended!$B$9:$L$101,11,FALSE),VLOOKUP(D692,[3]Extended!$B$9:$M$101,12,FALSE)))),0)</f>
        <v>1207500</v>
      </c>
      <c r="P692" s="116">
        <f t="shared" si="51"/>
        <v>0.31</v>
      </c>
      <c r="Q692" s="110" t="e">
        <f>O692-#REF!</f>
        <v>#REF!</v>
      </c>
      <c r="W692" s="311"/>
      <c r="X692" s="311"/>
      <c r="Y692" s="311"/>
      <c r="Z692" s="311"/>
      <c r="AA692" s="311"/>
      <c r="AB692" s="311"/>
      <c r="AC692" s="311"/>
      <c r="AT692" s="88" t="str">
        <f t="shared" si="52"/>
        <v>KP0006592017Q214,7</v>
      </c>
      <c r="AU692" s="89" t="str">
        <f t="shared" si="53"/>
        <v>05-2017</v>
      </c>
      <c r="BA692" s="92" t="str">
        <f t="shared" si="54"/>
        <v>&gt;365 Days</v>
      </c>
    </row>
    <row r="693" spans="2:53">
      <c r="B693" s="60">
        <f>[2]Trucks!A690</f>
        <v>46933</v>
      </c>
      <c r="C693" s="11" t="str">
        <f>[2]Trucks!B690</f>
        <v>TGS-27-4806X4BBS-LX</v>
      </c>
      <c r="D693" s="19" t="str">
        <f>IFERROR(VLOOKUP(C693&amp;"",'[2]Retail Price List'!$A$3:$B$103,2,FALSE),"Special Order")</f>
        <v>KP000659</v>
      </c>
      <c r="E693" s="18" t="str">
        <f>[2]Trucks!J690</f>
        <v>BOOKED : 2017-08-10</v>
      </c>
      <c r="F693" s="12" t="str">
        <f>[2]Trucks!E690</f>
        <v>2017-10-31</v>
      </c>
      <c r="G693" s="56">
        <f>[2]Trucks!K690</f>
        <v>14.7</v>
      </c>
      <c r="H693" s="46">
        <f>[2]Trucks!I690</f>
        <v>42859</v>
      </c>
      <c r="I693" s="83" t="str">
        <f t="shared" si="50"/>
        <v>2017Q2</v>
      </c>
      <c r="J693" s="272">
        <f>IFERROR(VLOOKUP((D693&amp;C693)&amp;"",'[2]Retail Price List'!$C$4:$F$102,3,FALSE),"")</f>
        <v>1715000</v>
      </c>
      <c r="K693" s="272">
        <f>IFERROR(IF(BA693="WIP - 30 Days",VLOOKUP(D693,[3]Standard!$B$9:$E$101,4,FALSE),IF(BA693="31-120 Days",VLOOKUP(D693,[3]Standard!$B$9:$F$101,5,FALSE),IF(BA693="121-365 Days",VLOOKUP(D693,[3]Standard!$B$9:$G$101,6,FALSE),VLOOKUP(D693,[3]Standard!$B$9:$H$101,7,FALSE)))),0)</f>
        <v>1177979.7979797979</v>
      </c>
      <c r="L693" s="272">
        <f>IFERROR(IF(BA693="WIP - 30 Days",VLOOKUP(D693,[3]Standard!$B$9:$J$101,9,FALSE),IF(BA693="31-120 Days",VLOOKUP(D693,[3]Standard!$B$9:$K$100,10,FALSE),IF(BA693="121-365 Days",VLOOKUP(D693,[3]Standard!$B$9:$L$101,11,FALSE),VLOOKUP(D693,[3]Standard!$B$9:$M$101,12,FALSE)))),0)</f>
        <v>1166200</v>
      </c>
      <c r="M693" s="269">
        <f>IFERROR(VLOOKUP((D693&amp;C693)&amp;"",'[2]Retail Price List'!$C$4:$F$102,4,FALSE),"")</f>
        <v>1750000</v>
      </c>
      <c r="N693" s="269">
        <f>IFERROR(IF(BA693="WIP - 30 Days",VLOOKUP(D693,[3]Extended!$B$9:$E$101,4,FALSE),IF(BA693="31-120 Days",VLOOKUP(D693,[3]Extended!$B$9:$F$101,5,FALSE),IF(BA693="121-365 Days",VLOOKUP(D693,[3]Extended!$B$9:$G$101,6,FALSE),VLOOKUP(D693,[3]Extended!$B$9:$H$101,7,FALSE)))),0)</f>
        <v>1219696.9696969697</v>
      </c>
      <c r="O693" s="269">
        <f>IFERROR(IF(BA693="WIP - 30 Days",VLOOKUP(D693,[3]Extended!$B$9:$J$101,9,FALSE),IF(BA693="31-120 Days",VLOOKUP(D693,[3]Extended!$B$9:$K$101,10,FALSE),IF(BA693="121-365 Days",VLOOKUP(D693,[3]Extended!$B$9:$L$101,11,FALSE),VLOOKUP(D693,[3]Extended!$B$9:$M$101,12,FALSE)))),0)</f>
        <v>1207500</v>
      </c>
      <c r="P693" s="116">
        <f t="shared" si="51"/>
        <v>0.31</v>
      </c>
      <c r="Q693" s="110" t="e">
        <f>O693-#REF!</f>
        <v>#REF!</v>
      </c>
      <c r="W693" s="311"/>
      <c r="X693" s="311"/>
      <c r="Y693" s="311"/>
      <c r="Z693" s="311"/>
      <c r="AA693" s="311"/>
      <c r="AB693" s="311"/>
      <c r="AC693" s="311"/>
      <c r="AT693" s="88" t="str">
        <f t="shared" si="52"/>
        <v>KP0006592017Q214,7</v>
      </c>
      <c r="AU693" s="89" t="str">
        <f t="shared" si="53"/>
        <v>05-2017</v>
      </c>
      <c r="BA693" s="92" t="str">
        <f t="shared" si="54"/>
        <v>&gt;365 Days</v>
      </c>
    </row>
    <row r="694" spans="2:53">
      <c r="B694" s="60">
        <f>[2]Trucks!A691</f>
        <v>46934</v>
      </c>
      <c r="C694" s="11" t="str">
        <f>[2]Trucks!B691</f>
        <v>TGS-27-4806X4BBS-LX</v>
      </c>
      <c r="D694" s="19" t="str">
        <f>IFERROR(VLOOKUP(C694&amp;"",'[2]Retail Price List'!$A$3:$B$103,2,FALSE),"Special Order")</f>
        <v>KP000659</v>
      </c>
      <c r="E694" s="18" t="str">
        <f>[2]Trucks!J691</f>
        <v>BOOKED : 2017-08-10</v>
      </c>
      <c r="F694" s="12" t="str">
        <f>[2]Trucks!E691</f>
        <v>2017-11-1</v>
      </c>
      <c r="G694" s="56">
        <f>[2]Trucks!K691</f>
        <v>14.7</v>
      </c>
      <c r="H694" s="46">
        <f>[2]Trucks!I691</f>
        <v>42859</v>
      </c>
      <c r="I694" s="83" t="str">
        <f t="shared" si="50"/>
        <v>2017Q2</v>
      </c>
      <c r="J694" s="272">
        <f>IFERROR(VLOOKUP((D694&amp;C694)&amp;"",'[2]Retail Price List'!$C$4:$F$102,3,FALSE),"")</f>
        <v>1715000</v>
      </c>
      <c r="K694" s="272">
        <f>IFERROR(IF(BA694="WIP - 30 Days",VLOOKUP(D694,[3]Standard!$B$9:$E$101,4,FALSE),IF(BA694="31-120 Days",VLOOKUP(D694,[3]Standard!$B$9:$F$101,5,FALSE),IF(BA694="121-365 Days",VLOOKUP(D694,[3]Standard!$B$9:$G$101,6,FALSE),VLOOKUP(D694,[3]Standard!$B$9:$H$101,7,FALSE)))),0)</f>
        <v>1177979.7979797979</v>
      </c>
      <c r="L694" s="272">
        <f>IFERROR(IF(BA694="WIP - 30 Days",VLOOKUP(D694,[3]Standard!$B$9:$J$101,9,FALSE),IF(BA694="31-120 Days",VLOOKUP(D694,[3]Standard!$B$9:$K$100,10,FALSE),IF(BA694="121-365 Days",VLOOKUP(D694,[3]Standard!$B$9:$L$101,11,FALSE),VLOOKUP(D694,[3]Standard!$B$9:$M$101,12,FALSE)))),0)</f>
        <v>1166200</v>
      </c>
      <c r="M694" s="269">
        <f>IFERROR(VLOOKUP((D694&amp;C694)&amp;"",'[2]Retail Price List'!$C$4:$F$102,4,FALSE),"")</f>
        <v>1750000</v>
      </c>
      <c r="N694" s="269">
        <f>IFERROR(IF(BA694="WIP - 30 Days",VLOOKUP(D694,[3]Extended!$B$9:$E$101,4,FALSE),IF(BA694="31-120 Days",VLOOKUP(D694,[3]Extended!$B$9:$F$101,5,FALSE),IF(BA694="121-365 Days",VLOOKUP(D694,[3]Extended!$B$9:$G$101,6,FALSE),VLOOKUP(D694,[3]Extended!$B$9:$H$101,7,FALSE)))),0)</f>
        <v>1219696.9696969697</v>
      </c>
      <c r="O694" s="269">
        <f>IFERROR(IF(BA694="WIP - 30 Days",VLOOKUP(D694,[3]Extended!$B$9:$J$101,9,FALSE),IF(BA694="31-120 Days",VLOOKUP(D694,[3]Extended!$B$9:$K$101,10,FALSE),IF(BA694="121-365 Days",VLOOKUP(D694,[3]Extended!$B$9:$L$101,11,FALSE),VLOOKUP(D694,[3]Extended!$B$9:$M$101,12,FALSE)))),0)</f>
        <v>1207500</v>
      </c>
      <c r="P694" s="116">
        <f t="shared" si="51"/>
        <v>0.31</v>
      </c>
      <c r="Q694" s="110" t="e">
        <f>O694-#REF!</f>
        <v>#REF!</v>
      </c>
      <c r="W694" s="311"/>
      <c r="X694" s="311"/>
      <c r="Y694" s="311"/>
      <c r="Z694" s="311"/>
      <c r="AA694" s="311"/>
      <c r="AB694" s="311"/>
      <c r="AC694" s="311"/>
      <c r="AT694" s="88" t="str">
        <f t="shared" si="52"/>
        <v>KP0006592017Q214,7</v>
      </c>
      <c r="AU694" s="89" t="str">
        <f t="shared" si="53"/>
        <v>05-2017</v>
      </c>
      <c r="BA694" s="92" t="str">
        <f t="shared" si="54"/>
        <v>&gt;365 Days</v>
      </c>
    </row>
    <row r="695" spans="2:53">
      <c r="B695" s="60">
        <f>[2]Trucks!A692</f>
        <v>46935</v>
      </c>
      <c r="C695" s="11" t="str">
        <f>[2]Trucks!B692</f>
        <v>TGS-27-4806X4BBS-LX</v>
      </c>
      <c r="D695" s="19" t="str">
        <f>IFERROR(VLOOKUP(C695&amp;"",'[2]Retail Price List'!$A$3:$B$103,2,FALSE),"Special Order")</f>
        <v>KP000659</v>
      </c>
      <c r="E695" s="18" t="str">
        <f>[2]Trucks!J692</f>
        <v>BOOKED : 2017-08-10</v>
      </c>
      <c r="F695" s="12" t="str">
        <f>[2]Trucks!E692</f>
        <v>2017-11-1</v>
      </c>
      <c r="G695" s="56">
        <f>[2]Trucks!K692</f>
        <v>14.7</v>
      </c>
      <c r="H695" s="46">
        <f>[2]Trucks!I692</f>
        <v>42859</v>
      </c>
      <c r="I695" s="83" t="str">
        <f t="shared" si="50"/>
        <v>2017Q2</v>
      </c>
      <c r="J695" s="272">
        <f>IFERROR(VLOOKUP((D695&amp;C695)&amp;"",'[2]Retail Price List'!$C$4:$F$102,3,FALSE),"")</f>
        <v>1715000</v>
      </c>
      <c r="K695" s="272">
        <f>IFERROR(IF(BA695="WIP - 30 Days",VLOOKUP(D695,[3]Standard!$B$9:$E$101,4,FALSE),IF(BA695="31-120 Days",VLOOKUP(D695,[3]Standard!$B$9:$F$101,5,FALSE),IF(BA695="121-365 Days",VLOOKUP(D695,[3]Standard!$B$9:$G$101,6,FALSE),VLOOKUP(D695,[3]Standard!$B$9:$H$101,7,FALSE)))),0)</f>
        <v>1177979.7979797979</v>
      </c>
      <c r="L695" s="272">
        <f>IFERROR(IF(BA695="WIP - 30 Days",VLOOKUP(D695,[3]Standard!$B$9:$J$101,9,FALSE),IF(BA695="31-120 Days",VLOOKUP(D695,[3]Standard!$B$9:$K$100,10,FALSE),IF(BA695="121-365 Days",VLOOKUP(D695,[3]Standard!$B$9:$L$101,11,FALSE),VLOOKUP(D695,[3]Standard!$B$9:$M$101,12,FALSE)))),0)</f>
        <v>1166200</v>
      </c>
      <c r="M695" s="269">
        <f>IFERROR(VLOOKUP((D695&amp;C695)&amp;"",'[2]Retail Price List'!$C$4:$F$102,4,FALSE),"")</f>
        <v>1750000</v>
      </c>
      <c r="N695" s="269">
        <f>IFERROR(IF(BA695="WIP - 30 Days",VLOOKUP(D695,[3]Extended!$B$9:$E$101,4,FALSE),IF(BA695="31-120 Days",VLOOKUP(D695,[3]Extended!$B$9:$F$101,5,FALSE),IF(BA695="121-365 Days",VLOOKUP(D695,[3]Extended!$B$9:$G$101,6,FALSE),VLOOKUP(D695,[3]Extended!$B$9:$H$101,7,FALSE)))),0)</f>
        <v>1219696.9696969697</v>
      </c>
      <c r="O695" s="269">
        <f>IFERROR(IF(BA695="WIP - 30 Days",VLOOKUP(D695,[3]Extended!$B$9:$J$101,9,FALSE),IF(BA695="31-120 Days",VLOOKUP(D695,[3]Extended!$B$9:$K$101,10,FALSE),IF(BA695="121-365 Days",VLOOKUP(D695,[3]Extended!$B$9:$L$101,11,FALSE),VLOOKUP(D695,[3]Extended!$B$9:$M$101,12,FALSE)))),0)</f>
        <v>1207500</v>
      </c>
      <c r="P695" s="116">
        <f t="shared" si="51"/>
        <v>0.31</v>
      </c>
      <c r="Q695" s="110" t="e">
        <f>O695-#REF!</f>
        <v>#REF!</v>
      </c>
      <c r="W695" s="311"/>
      <c r="X695" s="311"/>
      <c r="Y695" s="311"/>
      <c r="Z695" s="311"/>
      <c r="AA695" s="311"/>
      <c r="AB695" s="311"/>
      <c r="AC695" s="311"/>
      <c r="AT695" s="88" t="str">
        <f t="shared" si="52"/>
        <v>KP0006592017Q214,7</v>
      </c>
      <c r="AU695" s="89" t="str">
        <f t="shared" si="53"/>
        <v>05-2017</v>
      </c>
      <c r="BA695" s="92" t="str">
        <f t="shared" si="54"/>
        <v>&gt;365 Days</v>
      </c>
    </row>
    <row r="696" spans="2:53">
      <c r="B696" s="60">
        <f>[2]Trucks!A693</f>
        <v>46936</v>
      </c>
      <c r="C696" s="11" t="str">
        <f>[2]Trucks!B693</f>
        <v>TGS-27-4806X4BBS-LX</v>
      </c>
      <c r="D696" s="19" t="str">
        <f>IFERROR(VLOOKUP(C696&amp;"",'[2]Retail Price List'!$A$3:$B$103,2,FALSE),"Special Order")</f>
        <v>KP000659</v>
      </c>
      <c r="E696" s="18" t="str">
        <f>[2]Trucks!J693</f>
        <v>CKD</v>
      </c>
      <c r="F696" s="12" t="str">
        <f>[2]Trucks!E693</f>
        <v>2017-11-9</v>
      </c>
      <c r="G696" s="56">
        <f>[2]Trucks!K693</f>
        <v>14.7</v>
      </c>
      <c r="H696" s="46">
        <f>[2]Trucks!I693</f>
        <v>42859</v>
      </c>
      <c r="I696" s="83" t="str">
        <f t="shared" si="50"/>
        <v>2017Q2</v>
      </c>
      <c r="J696" s="272">
        <f>IFERROR(VLOOKUP((D696&amp;C696)&amp;"",'[2]Retail Price List'!$C$4:$F$102,3,FALSE),"")</f>
        <v>1715000</v>
      </c>
      <c r="K696" s="272">
        <f>IFERROR(IF(BA696="WIP - 30 Days",VLOOKUP(D696,[3]Standard!$B$9:$E$101,4,FALSE),IF(BA696="31-120 Days",VLOOKUP(D696,[3]Standard!$B$9:$F$101,5,FALSE),IF(BA696="121-365 Days",VLOOKUP(D696,[3]Standard!$B$9:$G$101,6,FALSE),VLOOKUP(D696,[3]Standard!$B$9:$H$101,7,FALSE)))),0)</f>
        <v>1280676.25</v>
      </c>
      <c r="L696" s="272">
        <f>IFERROR(IF(BA696="WIP - 30 Days",VLOOKUP(D696,[3]Standard!$B$9:$J$101,9,FALSE),IF(BA696="31-120 Days",VLOOKUP(D696,[3]Standard!$B$9:$K$100,10,FALSE),IF(BA696="121-365 Days",VLOOKUP(D696,[3]Standard!$B$9:$L$101,11,FALSE),VLOOKUP(D696,[3]Standard!$B$9:$M$101,12,FALSE)))),0)</f>
        <v>1243375</v>
      </c>
      <c r="M696" s="269">
        <f>IFERROR(VLOOKUP((D696&amp;C696)&amp;"",'[2]Retail Price List'!$C$4:$F$102,4,FALSE),"")</f>
        <v>1750000</v>
      </c>
      <c r="N696" s="269">
        <f>IFERROR(IF(BA696="WIP - 30 Days",VLOOKUP(D696,[3]Extended!$B$9:$E$101,4,FALSE),IF(BA696="31-120 Days",VLOOKUP(D696,[3]Extended!$B$9:$F$101,5,FALSE),IF(BA696="121-365 Days",VLOOKUP(D696,[3]Extended!$B$9:$G$101,6,FALSE),VLOOKUP(D696,[3]Extended!$B$9:$H$101,7,FALSE)))),0)</f>
        <v>1333850</v>
      </c>
      <c r="O696" s="269">
        <f>IFERROR(IF(BA696="WIP - 30 Days",VLOOKUP(D696,[3]Extended!$B$9:$J$101,9,FALSE),IF(BA696="31-120 Days",VLOOKUP(D696,[3]Extended!$B$9:$K$101,10,FALSE),IF(BA696="121-365 Days",VLOOKUP(D696,[3]Extended!$B$9:$L$101,11,FALSE),VLOOKUP(D696,[3]Extended!$B$9:$M$101,12,FALSE)))),0)</f>
        <v>1295000</v>
      </c>
      <c r="P696" s="116">
        <f t="shared" si="51"/>
        <v>0.26</v>
      </c>
      <c r="Q696" s="110" t="e">
        <f>O696-#REF!</f>
        <v>#REF!</v>
      </c>
      <c r="W696" s="311"/>
      <c r="X696" s="311"/>
      <c r="Y696" s="311"/>
      <c r="Z696" s="311"/>
      <c r="AA696" s="311"/>
      <c r="AB696" s="311"/>
      <c r="AC696" s="311"/>
      <c r="AT696" s="88" t="str">
        <f t="shared" si="52"/>
        <v>KP0006592017Q214,7</v>
      </c>
      <c r="AU696" s="89" t="str">
        <f t="shared" si="53"/>
        <v>05-2017</v>
      </c>
      <c r="BA696" s="92" t="str">
        <f t="shared" si="54"/>
        <v>WIP - 30 Days</v>
      </c>
    </row>
    <row r="697" spans="2:53">
      <c r="B697" s="60">
        <f>[2]Trucks!A694</f>
        <v>46937</v>
      </c>
      <c r="C697" s="11" t="str">
        <f>[2]Trucks!B694</f>
        <v>TGS-27-4806X4BBS-LX</v>
      </c>
      <c r="D697" s="19" t="str">
        <f>IFERROR(VLOOKUP(C697&amp;"",'[2]Retail Price List'!$A$3:$B$103,2,FALSE),"Special Order")</f>
        <v>KP000659</v>
      </c>
      <c r="E697" s="18" t="str">
        <f>[2]Trucks!J694</f>
        <v>CKD</v>
      </c>
      <c r="F697" s="12" t="str">
        <f>[2]Trucks!E694</f>
        <v>2017-11-9</v>
      </c>
      <c r="G697" s="56">
        <f>[2]Trucks!K694</f>
        <v>14.7</v>
      </c>
      <c r="H697" s="46">
        <f>[2]Trucks!I694</f>
        <v>42859</v>
      </c>
      <c r="I697" s="83" t="str">
        <f t="shared" si="50"/>
        <v>2017Q2</v>
      </c>
      <c r="J697" s="272">
        <f>IFERROR(VLOOKUP((D697&amp;C697)&amp;"",'[2]Retail Price List'!$C$4:$F$102,3,FALSE),"")</f>
        <v>1715000</v>
      </c>
      <c r="K697" s="272">
        <f>IFERROR(IF(BA697="WIP - 30 Days",VLOOKUP(D697,[3]Standard!$B$9:$E$101,4,FALSE),IF(BA697="31-120 Days",VLOOKUP(D697,[3]Standard!$B$9:$F$101,5,FALSE),IF(BA697="121-365 Days",VLOOKUP(D697,[3]Standard!$B$9:$G$101,6,FALSE),VLOOKUP(D697,[3]Standard!$B$9:$H$101,7,FALSE)))),0)</f>
        <v>1280676.25</v>
      </c>
      <c r="L697" s="272">
        <f>IFERROR(IF(BA697="WIP - 30 Days",VLOOKUP(D697,[3]Standard!$B$9:$J$101,9,FALSE),IF(BA697="31-120 Days",VLOOKUP(D697,[3]Standard!$B$9:$K$100,10,FALSE),IF(BA697="121-365 Days",VLOOKUP(D697,[3]Standard!$B$9:$L$101,11,FALSE),VLOOKUP(D697,[3]Standard!$B$9:$M$101,12,FALSE)))),0)</f>
        <v>1243375</v>
      </c>
      <c r="M697" s="269">
        <f>IFERROR(VLOOKUP((D697&amp;C697)&amp;"",'[2]Retail Price List'!$C$4:$F$102,4,FALSE),"")</f>
        <v>1750000</v>
      </c>
      <c r="N697" s="269">
        <f>IFERROR(IF(BA697="WIP - 30 Days",VLOOKUP(D697,[3]Extended!$B$9:$E$101,4,FALSE),IF(BA697="31-120 Days",VLOOKUP(D697,[3]Extended!$B$9:$F$101,5,FALSE),IF(BA697="121-365 Days",VLOOKUP(D697,[3]Extended!$B$9:$G$101,6,FALSE),VLOOKUP(D697,[3]Extended!$B$9:$H$101,7,FALSE)))),0)</f>
        <v>1333850</v>
      </c>
      <c r="O697" s="269">
        <f>IFERROR(IF(BA697="WIP - 30 Days",VLOOKUP(D697,[3]Extended!$B$9:$J$101,9,FALSE),IF(BA697="31-120 Days",VLOOKUP(D697,[3]Extended!$B$9:$K$101,10,FALSE),IF(BA697="121-365 Days",VLOOKUP(D697,[3]Extended!$B$9:$L$101,11,FALSE),VLOOKUP(D697,[3]Extended!$B$9:$M$101,12,FALSE)))),0)</f>
        <v>1295000</v>
      </c>
      <c r="P697" s="116">
        <f t="shared" si="51"/>
        <v>0.26</v>
      </c>
      <c r="Q697" s="110" t="e">
        <f>O697-#REF!</f>
        <v>#REF!</v>
      </c>
      <c r="W697" s="311"/>
      <c r="X697" s="311"/>
      <c r="Y697" s="311"/>
      <c r="Z697" s="311"/>
      <c r="AA697" s="311"/>
      <c r="AB697" s="311"/>
      <c r="AC697" s="311"/>
      <c r="AT697" s="88" t="str">
        <f t="shared" si="52"/>
        <v>KP0006592017Q214,7</v>
      </c>
      <c r="AU697" s="89" t="str">
        <f t="shared" si="53"/>
        <v>05-2017</v>
      </c>
      <c r="BA697" s="92" t="str">
        <f t="shared" si="54"/>
        <v>WIP - 30 Days</v>
      </c>
    </row>
    <row r="698" spans="2:53">
      <c r="B698" s="60">
        <f>[2]Trucks!A695</f>
        <v>46938</v>
      </c>
      <c r="C698" s="11" t="str">
        <f>[2]Trucks!B695</f>
        <v>TGS-27-4806X4BBS-LX</v>
      </c>
      <c r="D698" s="19" t="str">
        <f>IFERROR(VLOOKUP(C698&amp;"",'[2]Retail Price List'!$A$3:$B$103,2,FALSE),"Special Order")</f>
        <v>KP000659</v>
      </c>
      <c r="E698" s="18" t="str">
        <f>[2]Trucks!J695</f>
        <v>CKD</v>
      </c>
      <c r="F698" s="12" t="str">
        <f>[2]Trucks!E695</f>
        <v>2017-11-9</v>
      </c>
      <c r="G698" s="56">
        <f>[2]Trucks!K695</f>
        <v>14.7</v>
      </c>
      <c r="H698" s="46">
        <f>[2]Trucks!I695</f>
        <v>42859</v>
      </c>
      <c r="I698" s="83" t="str">
        <f t="shared" si="50"/>
        <v>2017Q2</v>
      </c>
      <c r="J698" s="272">
        <f>IFERROR(VLOOKUP((D698&amp;C698)&amp;"",'[2]Retail Price List'!$C$4:$F$102,3,FALSE),"")</f>
        <v>1715000</v>
      </c>
      <c r="K698" s="272">
        <f>IFERROR(IF(BA698="WIP - 30 Days",VLOOKUP(D698,[3]Standard!$B$9:$E$101,4,FALSE),IF(BA698="31-120 Days",VLOOKUP(D698,[3]Standard!$B$9:$F$101,5,FALSE),IF(BA698="121-365 Days",VLOOKUP(D698,[3]Standard!$B$9:$G$101,6,FALSE),VLOOKUP(D698,[3]Standard!$B$9:$H$101,7,FALSE)))),0)</f>
        <v>1280676.25</v>
      </c>
      <c r="L698" s="272">
        <f>IFERROR(IF(BA698="WIP - 30 Days",VLOOKUP(D698,[3]Standard!$B$9:$J$101,9,FALSE),IF(BA698="31-120 Days",VLOOKUP(D698,[3]Standard!$B$9:$K$100,10,FALSE),IF(BA698="121-365 Days",VLOOKUP(D698,[3]Standard!$B$9:$L$101,11,FALSE),VLOOKUP(D698,[3]Standard!$B$9:$M$101,12,FALSE)))),0)</f>
        <v>1243375</v>
      </c>
      <c r="M698" s="269">
        <f>IFERROR(VLOOKUP((D698&amp;C698)&amp;"",'[2]Retail Price List'!$C$4:$F$102,4,FALSE),"")</f>
        <v>1750000</v>
      </c>
      <c r="N698" s="269">
        <f>IFERROR(IF(BA698="WIP - 30 Days",VLOOKUP(D698,[3]Extended!$B$9:$E$101,4,FALSE),IF(BA698="31-120 Days",VLOOKUP(D698,[3]Extended!$B$9:$F$101,5,FALSE),IF(BA698="121-365 Days",VLOOKUP(D698,[3]Extended!$B$9:$G$101,6,FALSE),VLOOKUP(D698,[3]Extended!$B$9:$H$101,7,FALSE)))),0)</f>
        <v>1333850</v>
      </c>
      <c r="O698" s="269">
        <f>IFERROR(IF(BA698="WIP - 30 Days",VLOOKUP(D698,[3]Extended!$B$9:$J$101,9,FALSE),IF(BA698="31-120 Days",VLOOKUP(D698,[3]Extended!$B$9:$K$101,10,FALSE),IF(BA698="121-365 Days",VLOOKUP(D698,[3]Extended!$B$9:$L$101,11,FALSE),VLOOKUP(D698,[3]Extended!$B$9:$M$101,12,FALSE)))),0)</f>
        <v>1295000</v>
      </c>
      <c r="P698" s="116">
        <f t="shared" si="51"/>
        <v>0.26</v>
      </c>
      <c r="Q698" s="110" t="e">
        <f>O698-#REF!</f>
        <v>#REF!</v>
      </c>
      <c r="W698" s="311"/>
      <c r="X698" s="311"/>
      <c r="Y698" s="311"/>
      <c r="Z698" s="311"/>
      <c r="AA698" s="311"/>
      <c r="AB698" s="311"/>
      <c r="AC698" s="311"/>
      <c r="AT698" s="88" t="str">
        <f t="shared" si="52"/>
        <v>KP0006592017Q214,7</v>
      </c>
      <c r="AU698" s="89" t="str">
        <f t="shared" si="53"/>
        <v>05-2017</v>
      </c>
      <c r="BA698" s="92" t="str">
        <f t="shared" si="54"/>
        <v>WIP - 30 Days</v>
      </c>
    </row>
    <row r="699" spans="2:53">
      <c r="B699" s="60">
        <f>[2]Trucks!A696</f>
        <v>46939</v>
      </c>
      <c r="C699" s="11" t="str">
        <f>[2]Trucks!B696</f>
        <v>TGS-27-4806X4BBS-LX</v>
      </c>
      <c r="D699" s="19" t="str">
        <f>IFERROR(VLOOKUP(C699&amp;"",'[2]Retail Price List'!$A$3:$B$103,2,FALSE),"Special Order")</f>
        <v>KP000659</v>
      </c>
      <c r="E699" s="18" t="str">
        <f>[2]Trucks!J696</f>
        <v>CKD</v>
      </c>
      <c r="F699" s="12" t="str">
        <f>[2]Trucks!E696</f>
        <v>2017-11-9</v>
      </c>
      <c r="G699" s="56">
        <f>[2]Trucks!K696</f>
        <v>14.7</v>
      </c>
      <c r="H699" s="46">
        <f>[2]Trucks!I696</f>
        <v>42859</v>
      </c>
      <c r="I699" s="83" t="str">
        <f t="shared" si="50"/>
        <v>2017Q2</v>
      </c>
      <c r="J699" s="272">
        <f>IFERROR(VLOOKUP((D699&amp;C699)&amp;"",'[2]Retail Price List'!$C$4:$F$102,3,FALSE),"")</f>
        <v>1715000</v>
      </c>
      <c r="K699" s="272">
        <f>IFERROR(IF(BA699="WIP - 30 Days",VLOOKUP(D699,[3]Standard!$B$9:$E$101,4,FALSE),IF(BA699="31-120 Days",VLOOKUP(D699,[3]Standard!$B$9:$F$101,5,FALSE),IF(BA699="121-365 Days",VLOOKUP(D699,[3]Standard!$B$9:$G$101,6,FALSE),VLOOKUP(D699,[3]Standard!$B$9:$H$101,7,FALSE)))),0)</f>
        <v>1280676.25</v>
      </c>
      <c r="L699" s="272">
        <f>IFERROR(IF(BA699="WIP - 30 Days",VLOOKUP(D699,[3]Standard!$B$9:$J$101,9,FALSE),IF(BA699="31-120 Days",VLOOKUP(D699,[3]Standard!$B$9:$K$100,10,FALSE),IF(BA699="121-365 Days",VLOOKUP(D699,[3]Standard!$B$9:$L$101,11,FALSE),VLOOKUP(D699,[3]Standard!$B$9:$M$101,12,FALSE)))),0)</f>
        <v>1243375</v>
      </c>
      <c r="M699" s="269">
        <f>IFERROR(VLOOKUP((D699&amp;C699)&amp;"",'[2]Retail Price List'!$C$4:$F$102,4,FALSE),"")</f>
        <v>1750000</v>
      </c>
      <c r="N699" s="269">
        <f>IFERROR(IF(BA699="WIP - 30 Days",VLOOKUP(D699,[3]Extended!$B$9:$E$101,4,FALSE),IF(BA699="31-120 Days",VLOOKUP(D699,[3]Extended!$B$9:$F$101,5,FALSE),IF(BA699="121-365 Days",VLOOKUP(D699,[3]Extended!$B$9:$G$101,6,FALSE),VLOOKUP(D699,[3]Extended!$B$9:$H$101,7,FALSE)))),0)</f>
        <v>1333850</v>
      </c>
      <c r="O699" s="269">
        <f>IFERROR(IF(BA699="WIP - 30 Days",VLOOKUP(D699,[3]Extended!$B$9:$J$101,9,FALSE),IF(BA699="31-120 Days",VLOOKUP(D699,[3]Extended!$B$9:$K$101,10,FALSE),IF(BA699="121-365 Days",VLOOKUP(D699,[3]Extended!$B$9:$L$101,11,FALSE),VLOOKUP(D699,[3]Extended!$B$9:$M$101,12,FALSE)))),0)</f>
        <v>1295000</v>
      </c>
      <c r="P699" s="116">
        <f t="shared" si="51"/>
        <v>0.26</v>
      </c>
      <c r="Q699" s="110" t="e">
        <f>O699-#REF!</f>
        <v>#REF!</v>
      </c>
      <c r="W699" s="311"/>
      <c r="X699" s="311"/>
      <c r="Y699" s="311"/>
      <c r="Z699" s="311"/>
      <c r="AA699" s="311"/>
      <c r="AB699" s="311"/>
      <c r="AC699" s="311"/>
      <c r="AT699" s="88" t="str">
        <f t="shared" si="52"/>
        <v>KP0006592017Q214,7</v>
      </c>
      <c r="AU699" s="89" t="str">
        <f t="shared" si="53"/>
        <v>05-2017</v>
      </c>
      <c r="BA699" s="92" t="str">
        <f t="shared" si="54"/>
        <v>WIP - 30 Days</v>
      </c>
    </row>
    <row r="700" spans="2:53">
      <c r="B700" s="60">
        <f>[2]Trucks!A697</f>
        <v>46940</v>
      </c>
      <c r="C700" s="11" t="str">
        <f>[2]Trucks!B697</f>
        <v>TGS-27-4806X4BBS-LX</v>
      </c>
      <c r="D700" s="19" t="str">
        <f>IFERROR(VLOOKUP(C700&amp;"",'[2]Retail Price List'!$A$3:$B$103,2,FALSE),"Special Order")</f>
        <v>KP000659</v>
      </c>
      <c r="E700" s="18" t="str">
        <f>[2]Trucks!J697</f>
        <v>CKD</v>
      </c>
      <c r="F700" s="12" t="str">
        <f>[2]Trucks!E697</f>
        <v>2017-11-9</v>
      </c>
      <c r="G700" s="56">
        <f>[2]Trucks!K697</f>
        <v>14.7</v>
      </c>
      <c r="H700" s="46">
        <f>[2]Trucks!I697</f>
        <v>42859</v>
      </c>
      <c r="I700" s="83" t="str">
        <f t="shared" si="50"/>
        <v>2017Q2</v>
      </c>
      <c r="J700" s="272">
        <f>IFERROR(VLOOKUP((D700&amp;C700)&amp;"",'[2]Retail Price List'!$C$4:$F$102,3,FALSE),"")</f>
        <v>1715000</v>
      </c>
      <c r="K700" s="272">
        <f>IFERROR(IF(BA700="WIP - 30 Days",VLOOKUP(D700,[3]Standard!$B$9:$E$101,4,FALSE),IF(BA700="31-120 Days",VLOOKUP(D700,[3]Standard!$B$9:$F$101,5,FALSE),IF(BA700="121-365 Days",VLOOKUP(D700,[3]Standard!$B$9:$G$101,6,FALSE),VLOOKUP(D700,[3]Standard!$B$9:$H$101,7,FALSE)))),0)</f>
        <v>1280676.25</v>
      </c>
      <c r="L700" s="272">
        <f>IFERROR(IF(BA700="WIP - 30 Days",VLOOKUP(D700,[3]Standard!$B$9:$J$101,9,FALSE),IF(BA700="31-120 Days",VLOOKUP(D700,[3]Standard!$B$9:$K$100,10,FALSE),IF(BA700="121-365 Days",VLOOKUP(D700,[3]Standard!$B$9:$L$101,11,FALSE),VLOOKUP(D700,[3]Standard!$B$9:$M$101,12,FALSE)))),0)</f>
        <v>1243375</v>
      </c>
      <c r="M700" s="269">
        <f>IFERROR(VLOOKUP((D700&amp;C700)&amp;"",'[2]Retail Price List'!$C$4:$F$102,4,FALSE),"")</f>
        <v>1750000</v>
      </c>
      <c r="N700" s="269">
        <f>IFERROR(IF(BA700="WIP - 30 Days",VLOOKUP(D700,[3]Extended!$B$9:$E$101,4,FALSE),IF(BA700="31-120 Days",VLOOKUP(D700,[3]Extended!$B$9:$F$101,5,FALSE),IF(BA700="121-365 Days",VLOOKUP(D700,[3]Extended!$B$9:$G$101,6,FALSE),VLOOKUP(D700,[3]Extended!$B$9:$H$101,7,FALSE)))),0)</f>
        <v>1333850</v>
      </c>
      <c r="O700" s="269">
        <f>IFERROR(IF(BA700="WIP - 30 Days",VLOOKUP(D700,[3]Extended!$B$9:$J$101,9,FALSE),IF(BA700="31-120 Days",VLOOKUP(D700,[3]Extended!$B$9:$K$101,10,FALSE),IF(BA700="121-365 Days",VLOOKUP(D700,[3]Extended!$B$9:$L$101,11,FALSE),VLOOKUP(D700,[3]Extended!$B$9:$M$101,12,FALSE)))),0)</f>
        <v>1295000</v>
      </c>
      <c r="P700" s="116">
        <f t="shared" si="51"/>
        <v>0.26</v>
      </c>
      <c r="Q700" s="110" t="e">
        <f>O700-#REF!</f>
        <v>#REF!</v>
      </c>
      <c r="W700" s="311"/>
      <c r="X700" s="311"/>
      <c r="Y700" s="311"/>
      <c r="Z700" s="311"/>
      <c r="AA700" s="311"/>
      <c r="AB700" s="311"/>
      <c r="AC700" s="311"/>
      <c r="AT700" s="88" t="str">
        <f t="shared" si="52"/>
        <v>KP0006592017Q214,7</v>
      </c>
      <c r="AU700" s="89" t="str">
        <f t="shared" si="53"/>
        <v>05-2017</v>
      </c>
      <c r="BA700" s="92" t="str">
        <f t="shared" si="54"/>
        <v>WIP - 30 Days</v>
      </c>
    </row>
    <row r="701" spans="2:53">
      <c r="B701" s="60">
        <f>[2]Trucks!A698</f>
        <v>46941</v>
      </c>
      <c r="C701" s="11" t="str">
        <f>[2]Trucks!B698</f>
        <v>TGS-27-4806X4BBS-LX</v>
      </c>
      <c r="D701" s="19" t="str">
        <f>IFERROR(VLOOKUP(C701&amp;"",'[2]Retail Price List'!$A$3:$B$103,2,FALSE),"Special Order")</f>
        <v>KP000659</v>
      </c>
      <c r="E701" s="18" t="str">
        <f>[2]Trucks!J698</f>
        <v>CKD</v>
      </c>
      <c r="F701" s="12" t="str">
        <f>[2]Trucks!E698</f>
        <v>2017-11-9</v>
      </c>
      <c r="G701" s="56">
        <f>[2]Trucks!K698</f>
        <v>14.7</v>
      </c>
      <c r="H701" s="46">
        <f>[2]Trucks!I698</f>
        <v>42859</v>
      </c>
      <c r="I701" s="83" t="str">
        <f t="shared" si="50"/>
        <v>2017Q2</v>
      </c>
      <c r="J701" s="272">
        <f>IFERROR(VLOOKUP((D701&amp;C701)&amp;"",'[2]Retail Price List'!$C$4:$F$102,3,FALSE),"")</f>
        <v>1715000</v>
      </c>
      <c r="K701" s="272">
        <f>IFERROR(IF(BA701="WIP - 30 Days",VLOOKUP(D701,[3]Standard!$B$9:$E$101,4,FALSE),IF(BA701="31-120 Days",VLOOKUP(D701,[3]Standard!$B$9:$F$101,5,FALSE),IF(BA701="121-365 Days",VLOOKUP(D701,[3]Standard!$B$9:$G$101,6,FALSE),VLOOKUP(D701,[3]Standard!$B$9:$H$101,7,FALSE)))),0)</f>
        <v>1280676.25</v>
      </c>
      <c r="L701" s="272">
        <f>IFERROR(IF(BA701="WIP - 30 Days",VLOOKUP(D701,[3]Standard!$B$9:$J$101,9,FALSE),IF(BA701="31-120 Days",VLOOKUP(D701,[3]Standard!$B$9:$K$100,10,FALSE),IF(BA701="121-365 Days",VLOOKUP(D701,[3]Standard!$B$9:$L$101,11,FALSE),VLOOKUP(D701,[3]Standard!$B$9:$M$101,12,FALSE)))),0)</f>
        <v>1243375</v>
      </c>
      <c r="M701" s="269">
        <f>IFERROR(VLOOKUP((D701&amp;C701)&amp;"",'[2]Retail Price List'!$C$4:$F$102,4,FALSE),"")</f>
        <v>1750000</v>
      </c>
      <c r="N701" s="269">
        <f>IFERROR(IF(BA701="WIP - 30 Days",VLOOKUP(D701,[3]Extended!$B$9:$E$101,4,FALSE),IF(BA701="31-120 Days",VLOOKUP(D701,[3]Extended!$B$9:$F$101,5,FALSE),IF(BA701="121-365 Days",VLOOKUP(D701,[3]Extended!$B$9:$G$101,6,FALSE),VLOOKUP(D701,[3]Extended!$B$9:$H$101,7,FALSE)))),0)</f>
        <v>1333850</v>
      </c>
      <c r="O701" s="269">
        <f>IFERROR(IF(BA701="WIP - 30 Days",VLOOKUP(D701,[3]Extended!$B$9:$J$101,9,FALSE),IF(BA701="31-120 Days",VLOOKUP(D701,[3]Extended!$B$9:$K$101,10,FALSE),IF(BA701="121-365 Days",VLOOKUP(D701,[3]Extended!$B$9:$L$101,11,FALSE),VLOOKUP(D701,[3]Extended!$B$9:$M$101,12,FALSE)))),0)</f>
        <v>1295000</v>
      </c>
      <c r="P701" s="116">
        <f t="shared" si="51"/>
        <v>0.26</v>
      </c>
      <c r="Q701" s="110" t="e">
        <f>O701-#REF!</f>
        <v>#REF!</v>
      </c>
      <c r="W701" s="311"/>
      <c r="X701" s="311"/>
      <c r="Y701" s="311"/>
      <c r="Z701" s="311"/>
      <c r="AA701" s="311"/>
      <c r="AB701" s="311"/>
      <c r="AC701" s="311"/>
      <c r="AT701" s="88" t="str">
        <f t="shared" si="52"/>
        <v>KP0006592017Q214,7</v>
      </c>
      <c r="AU701" s="89" t="str">
        <f t="shared" si="53"/>
        <v>05-2017</v>
      </c>
      <c r="BA701" s="92" t="str">
        <f t="shared" si="54"/>
        <v>WIP - 30 Days</v>
      </c>
    </row>
    <row r="702" spans="2:53">
      <c r="B702" s="60">
        <f>[2]Trucks!A699</f>
        <v>46942</v>
      </c>
      <c r="C702" s="11" t="str">
        <f>[2]Trucks!B699</f>
        <v>TGS-27-4806X4BBS-LX</v>
      </c>
      <c r="D702" s="19" t="str">
        <f>IFERROR(VLOOKUP(C702&amp;"",'[2]Retail Price List'!$A$3:$B$103,2,FALSE),"Special Order")</f>
        <v>KP000659</v>
      </c>
      <c r="E702" s="18" t="str">
        <f>[2]Trucks!J699</f>
        <v>CKD</v>
      </c>
      <c r="F702" s="12" t="str">
        <f>[2]Trucks!E699</f>
        <v>2017-11-10</v>
      </c>
      <c r="G702" s="56">
        <f>[2]Trucks!K699</f>
        <v>14.7</v>
      </c>
      <c r="H702" s="46">
        <f>[2]Trucks!I699</f>
        <v>42859</v>
      </c>
      <c r="I702" s="83" t="str">
        <f t="shared" si="50"/>
        <v>2017Q2</v>
      </c>
      <c r="J702" s="272">
        <f>IFERROR(VLOOKUP((D702&amp;C702)&amp;"",'[2]Retail Price List'!$C$4:$F$102,3,FALSE),"")</f>
        <v>1715000</v>
      </c>
      <c r="K702" s="272">
        <f>IFERROR(IF(BA702="WIP - 30 Days",VLOOKUP(D702,[3]Standard!$B$9:$E$101,4,FALSE),IF(BA702="31-120 Days",VLOOKUP(D702,[3]Standard!$B$9:$F$101,5,FALSE),IF(BA702="121-365 Days",VLOOKUP(D702,[3]Standard!$B$9:$G$101,6,FALSE),VLOOKUP(D702,[3]Standard!$B$9:$H$101,7,FALSE)))),0)</f>
        <v>1280676.25</v>
      </c>
      <c r="L702" s="272">
        <f>IFERROR(IF(BA702="WIP - 30 Days",VLOOKUP(D702,[3]Standard!$B$9:$J$101,9,FALSE),IF(BA702="31-120 Days",VLOOKUP(D702,[3]Standard!$B$9:$K$100,10,FALSE),IF(BA702="121-365 Days",VLOOKUP(D702,[3]Standard!$B$9:$L$101,11,FALSE),VLOOKUP(D702,[3]Standard!$B$9:$M$101,12,FALSE)))),0)</f>
        <v>1243375</v>
      </c>
      <c r="M702" s="269">
        <f>IFERROR(VLOOKUP((D702&amp;C702)&amp;"",'[2]Retail Price List'!$C$4:$F$102,4,FALSE),"")</f>
        <v>1750000</v>
      </c>
      <c r="N702" s="269">
        <f>IFERROR(IF(BA702="WIP - 30 Days",VLOOKUP(D702,[3]Extended!$B$9:$E$101,4,FALSE),IF(BA702="31-120 Days",VLOOKUP(D702,[3]Extended!$B$9:$F$101,5,FALSE),IF(BA702="121-365 Days",VLOOKUP(D702,[3]Extended!$B$9:$G$101,6,FALSE),VLOOKUP(D702,[3]Extended!$B$9:$H$101,7,FALSE)))),0)</f>
        <v>1333850</v>
      </c>
      <c r="O702" s="269">
        <f>IFERROR(IF(BA702="WIP - 30 Days",VLOOKUP(D702,[3]Extended!$B$9:$J$101,9,FALSE),IF(BA702="31-120 Days",VLOOKUP(D702,[3]Extended!$B$9:$K$101,10,FALSE),IF(BA702="121-365 Days",VLOOKUP(D702,[3]Extended!$B$9:$L$101,11,FALSE),VLOOKUP(D702,[3]Extended!$B$9:$M$101,12,FALSE)))),0)</f>
        <v>1295000</v>
      </c>
      <c r="P702" s="116">
        <f t="shared" si="51"/>
        <v>0.26</v>
      </c>
      <c r="Q702" s="110" t="e">
        <f>O702-#REF!</f>
        <v>#REF!</v>
      </c>
      <c r="W702" s="311"/>
      <c r="X702" s="311"/>
      <c r="Y702" s="311"/>
      <c r="Z702" s="311"/>
      <c r="AA702" s="311"/>
      <c r="AB702" s="311"/>
      <c r="AC702" s="311"/>
      <c r="AT702" s="88" t="str">
        <f t="shared" si="52"/>
        <v>KP0006592017Q214,7</v>
      </c>
      <c r="AU702" s="89" t="str">
        <f t="shared" si="53"/>
        <v>05-2017</v>
      </c>
      <c r="BA702" s="92" t="str">
        <f t="shared" si="54"/>
        <v>WIP - 30 Days</v>
      </c>
    </row>
    <row r="703" spans="2:53">
      <c r="B703" s="60">
        <f>[2]Trucks!A700</f>
        <v>46943</v>
      </c>
      <c r="C703" s="11" t="str">
        <f>[2]Trucks!B700</f>
        <v>TGS-27-4806X4BBS-LX</v>
      </c>
      <c r="D703" s="19" t="str">
        <f>IFERROR(VLOOKUP(C703&amp;"",'[2]Retail Price List'!$A$3:$B$103,2,FALSE),"Special Order")</f>
        <v>KP000659</v>
      </c>
      <c r="E703" s="18" t="str">
        <f>[2]Trucks!J700</f>
        <v>CKD</v>
      </c>
      <c r="F703" s="12" t="str">
        <f>[2]Trucks!E700</f>
        <v>2017-11-10</v>
      </c>
      <c r="G703" s="56">
        <f>[2]Trucks!K700</f>
        <v>14.7</v>
      </c>
      <c r="H703" s="46">
        <f>[2]Trucks!I700</f>
        <v>42859</v>
      </c>
      <c r="I703" s="83" t="str">
        <f t="shared" si="50"/>
        <v>2017Q2</v>
      </c>
      <c r="J703" s="272">
        <f>IFERROR(VLOOKUP((D703&amp;C703)&amp;"",'[2]Retail Price List'!$C$4:$F$102,3,FALSE),"")</f>
        <v>1715000</v>
      </c>
      <c r="K703" s="272">
        <f>IFERROR(IF(BA703="WIP - 30 Days",VLOOKUP(D703,[3]Standard!$B$9:$E$101,4,FALSE),IF(BA703="31-120 Days",VLOOKUP(D703,[3]Standard!$B$9:$F$101,5,FALSE),IF(BA703="121-365 Days",VLOOKUP(D703,[3]Standard!$B$9:$G$101,6,FALSE),VLOOKUP(D703,[3]Standard!$B$9:$H$101,7,FALSE)))),0)</f>
        <v>1280676.25</v>
      </c>
      <c r="L703" s="272">
        <f>IFERROR(IF(BA703="WIP - 30 Days",VLOOKUP(D703,[3]Standard!$B$9:$J$101,9,FALSE),IF(BA703="31-120 Days",VLOOKUP(D703,[3]Standard!$B$9:$K$100,10,FALSE),IF(BA703="121-365 Days",VLOOKUP(D703,[3]Standard!$B$9:$L$101,11,FALSE),VLOOKUP(D703,[3]Standard!$B$9:$M$101,12,FALSE)))),0)</f>
        <v>1243375</v>
      </c>
      <c r="M703" s="269">
        <f>IFERROR(VLOOKUP((D703&amp;C703)&amp;"",'[2]Retail Price List'!$C$4:$F$102,4,FALSE),"")</f>
        <v>1750000</v>
      </c>
      <c r="N703" s="269">
        <f>IFERROR(IF(BA703="WIP - 30 Days",VLOOKUP(D703,[3]Extended!$B$9:$E$101,4,FALSE),IF(BA703="31-120 Days",VLOOKUP(D703,[3]Extended!$B$9:$F$101,5,FALSE),IF(BA703="121-365 Days",VLOOKUP(D703,[3]Extended!$B$9:$G$101,6,FALSE),VLOOKUP(D703,[3]Extended!$B$9:$H$101,7,FALSE)))),0)</f>
        <v>1333850</v>
      </c>
      <c r="O703" s="269">
        <f>IFERROR(IF(BA703="WIP - 30 Days",VLOOKUP(D703,[3]Extended!$B$9:$J$101,9,FALSE),IF(BA703="31-120 Days",VLOOKUP(D703,[3]Extended!$B$9:$K$101,10,FALSE),IF(BA703="121-365 Days",VLOOKUP(D703,[3]Extended!$B$9:$L$101,11,FALSE),VLOOKUP(D703,[3]Extended!$B$9:$M$101,12,FALSE)))),0)</f>
        <v>1295000</v>
      </c>
      <c r="P703" s="116">
        <f t="shared" si="51"/>
        <v>0.26</v>
      </c>
      <c r="Q703" s="110" t="e">
        <f>O703-#REF!</f>
        <v>#REF!</v>
      </c>
      <c r="W703" s="311"/>
      <c r="X703" s="311"/>
      <c r="Y703" s="311"/>
      <c r="Z703" s="311"/>
      <c r="AA703" s="311"/>
      <c r="AB703" s="311"/>
      <c r="AC703" s="311"/>
      <c r="AT703" s="88" t="str">
        <f t="shared" si="52"/>
        <v>KP0006592017Q214,7</v>
      </c>
      <c r="AU703" s="89" t="str">
        <f t="shared" si="53"/>
        <v>05-2017</v>
      </c>
      <c r="BA703" s="92" t="str">
        <f t="shared" si="54"/>
        <v>WIP - 30 Days</v>
      </c>
    </row>
    <row r="704" spans="2:53">
      <c r="B704" s="60">
        <f>[2]Trucks!A701</f>
        <v>46944</v>
      </c>
      <c r="C704" s="11" t="str">
        <f>[2]Trucks!B701</f>
        <v>TGS-27-4806X4BBS-LX</v>
      </c>
      <c r="D704" s="19" t="str">
        <f>IFERROR(VLOOKUP(C704&amp;"",'[2]Retail Price List'!$A$3:$B$103,2,FALSE),"Special Order")</f>
        <v>KP000659</v>
      </c>
      <c r="E704" s="18" t="str">
        <f>[2]Trucks!J701</f>
        <v>CKD</v>
      </c>
      <c r="F704" s="12" t="str">
        <f>[2]Trucks!E701</f>
        <v>2017-11-16</v>
      </c>
      <c r="G704" s="56">
        <f>[2]Trucks!K701</f>
        <v>14.7</v>
      </c>
      <c r="H704" s="46">
        <f>[2]Trucks!I701</f>
        <v>42859</v>
      </c>
      <c r="I704" s="83" t="str">
        <f t="shared" si="50"/>
        <v>2017Q2</v>
      </c>
      <c r="J704" s="272">
        <f>IFERROR(VLOOKUP((D704&amp;C704)&amp;"",'[2]Retail Price List'!$C$4:$F$102,3,FALSE),"")</f>
        <v>1715000</v>
      </c>
      <c r="K704" s="272">
        <f>IFERROR(IF(BA704="WIP - 30 Days",VLOOKUP(D704,[3]Standard!$B$9:$E$101,4,FALSE),IF(BA704="31-120 Days",VLOOKUP(D704,[3]Standard!$B$9:$F$101,5,FALSE),IF(BA704="121-365 Days",VLOOKUP(D704,[3]Standard!$B$9:$G$101,6,FALSE),VLOOKUP(D704,[3]Standard!$B$9:$H$101,7,FALSE)))),0)</f>
        <v>1280676.25</v>
      </c>
      <c r="L704" s="272">
        <f>IFERROR(IF(BA704="WIP - 30 Days",VLOOKUP(D704,[3]Standard!$B$9:$J$101,9,FALSE),IF(BA704="31-120 Days",VLOOKUP(D704,[3]Standard!$B$9:$K$100,10,FALSE),IF(BA704="121-365 Days",VLOOKUP(D704,[3]Standard!$B$9:$L$101,11,FALSE),VLOOKUP(D704,[3]Standard!$B$9:$M$101,12,FALSE)))),0)</f>
        <v>1243375</v>
      </c>
      <c r="M704" s="269">
        <f>IFERROR(VLOOKUP((D704&amp;C704)&amp;"",'[2]Retail Price List'!$C$4:$F$102,4,FALSE),"")</f>
        <v>1750000</v>
      </c>
      <c r="N704" s="269">
        <f>IFERROR(IF(BA704="WIP - 30 Days",VLOOKUP(D704,[3]Extended!$B$9:$E$101,4,FALSE),IF(BA704="31-120 Days",VLOOKUP(D704,[3]Extended!$B$9:$F$101,5,FALSE),IF(BA704="121-365 Days",VLOOKUP(D704,[3]Extended!$B$9:$G$101,6,FALSE),VLOOKUP(D704,[3]Extended!$B$9:$H$101,7,FALSE)))),0)</f>
        <v>1333850</v>
      </c>
      <c r="O704" s="269">
        <f>IFERROR(IF(BA704="WIP - 30 Days",VLOOKUP(D704,[3]Extended!$B$9:$J$101,9,FALSE),IF(BA704="31-120 Days",VLOOKUP(D704,[3]Extended!$B$9:$K$101,10,FALSE),IF(BA704="121-365 Days",VLOOKUP(D704,[3]Extended!$B$9:$L$101,11,FALSE),VLOOKUP(D704,[3]Extended!$B$9:$M$101,12,FALSE)))),0)</f>
        <v>1295000</v>
      </c>
      <c r="P704" s="116">
        <f t="shared" si="51"/>
        <v>0.26</v>
      </c>
      <c r="Q704" s="110" t="e">
        <f>O704-#REF!</f>
        <v>#REF!</v>
      </c>
      <c r="W704" s="311"/>
      <c r="X704" s="311"/>
      <c r="Y704" s="311"/>
      <c r="Z704" s="311"/>
      <c r="AA704" s="311"/>
      <c r="AB704" s="311"/>
      <c r="AC704" s="311"/>
      <c r="AT704" s="88" t="str">
        <f t="shared" si="52"/>
        <v>KP0006592017Q214,7</v>
      </c>
      <c r="AU704" s="89" t="str">
        <f t="shared" si="53"/>
        <v>05-2017</v>
      </c>
      <c r="BA704" s="92" t="str">
        <f t="shared" si="54"/>
        <v>WIP - 30 Days</v>
      </c>
    </row>
    <row r="705" spans="2:53">
      <c r="B705" s="60">
        <f>[2]Trucks!A702</f>
        <v>46945</v>
      </c>
      <c r="C705" s="11" t="str">
        <f>[2]Trucks!B702</f>
        <v>TGS-27-4806X4BBS-LX</v>
      </c>
      <c r="D705" s="19" t="str">
        <f>IFERROR(VLOOKUP(C705&amp;"",'[2]Retail Price List'!$A$3:$B$103,2,FALSE),"Special Order")</f>
        <v>KP000659</v>
      </c>
      <c r="E705" s="18" t="str">
        <f>[2]Trucks!J702</f>
        <v>CKD</v>
      </c>
      <c r="F705" s="12" t="str">
        <f>[2]Trucks!E702</f>
        <v>2017-11-16</v>
      </c>
      <c r="G705" s="56">
        <f>[2]Trucks!K702</f>
        <v>14.7</v>
      </c>
      <c r="H705" s="46">
        <f>[2]Trucks!I702</f>
        <v>42859</v>
      </c>
      <c r="I705" s="83" t="str">
        <f t="shared" si="50"/>
        <v>2017Q2</v>
      </c>
      <c r="J705" s="272">
        <f>IFERROR(VLOOKUP((D705&amp;C705)&amp;"",'[2]Retail Price List'!$C$4:$F$102,3,FALSE),"")</f>
        <v>1715000</v>
      </c>
      <c r="K705" s="272">
        <f>IFERROR(IF(BA705="WIP - 30 Days",VLOOKUP(D705,[3]Standard!$B$9:$E$101,4,FALSE),IF(BA705="31-120 Days",VLOOKUP(D705,[3]Standard!$B$9:$F$101,5,FALSE),IF(BA705="121-365 Days",VLOOKUP(D705,[3]Standard!$B$9:$G$101,6,FALSE),VLOOKUP(D705,[3]Standard!$B$9:$H$101,7,FALSE)))),0)</f>
        <v>1280676.25</v>
      </c>
      <c r="L705" s="272">
        <f>IFERROR(IF(BA705="WIP - 30 Days",VLOOKUP(D705,[3]Standard!$B$9:$J$101,9,FALSE),IF(BA705="31-120 Days",VLOOKUP(D705,[3]Standard!$B$9:$K$100,10,FALSE),IF(BA705="121-365 Days",VLOOKUP(D705,[3]Standard!$B$9:$L$101,11,FALSE),VLOOKUP(D705,[3]Standard!$B$9:$M$101,12,FALSE)))),0)</f>
        <v>1243375</v>
      </c>
      <c r="M705" s="269">
        <f>IFERROR(VLOOKUP((D705&amp;C705)&amp;"",'[2]Retail Price List'!$C$4:$F$102,4,FALSE),"")</f>
        <v>1750000</v>
      </c>
      <c r="N705" s="269">
        <f>IFERROR(IF(BA705="WIP - 30 Days",VLOOKUP(D705,[3]Extended!$B$9:$E$101,4,FALSE),IF(BA705="31-120 Days",VLOOKUP(D705,[3]Extended!$B$9:$F$101,5,FALSE),IF(BA705="121-365 Days",VLOOKUP(D705,[3]Extended!$B$9:$G$101,6,FALSE),VLOOKUP(D705,[3]Extended!$B$9:$H$101,7,FALSE)))),0)</f>
        <v>1333850</v>
      </c>
      <c r="O705" s="269">
        <f>IFERROR(IF(BA705="WIP - 30 Days",VLOOKUP(D705,[3]Extended!$B$9:$J$101,9,FALSE),IF(BA705="31-120 Days",VLOOKUP(D705,[3]Extended!$B$9:$K$101,10,FALSE),IF(BA705="121-365 Days",VLOOKUP(D705,[3]Extended!$B$9:$L$101,11,FALSE),VLOOKUP(D705,[3]Extended!$B$9:$M$101,12,FALSE)))),0)</f>
        <v>1295000</v>
      </c>
      <c r="P705" s="116">
        <f t="shared" si="51"/>
        <v>0.26</v>
      </c>
      <c r="Q705" s="110" t="e">
        <f>O705-#REF!</f>
        <v>#REF!</v>
      </c>
      <c r="W705" s="311"/>
      <c r="X705" s="311"/>
      <c r="Y705" s="311"/>
      <c r="Z705" s="311"/>
      <c r="AA705" s="311"/>
      <c r="AB705" s="311"/>
      <c r="AC705" s="311"/>
      <c r="AT705" s="88" t="str">
        <f t="shared" si="52"/>
        <v>KP0006592017Q214,7</v>
      </c>
      <c r="AU705" s="89" t="str">
        <f t="shared" si="53"/>
        <v>05-2017</v>
      </c>
      <c r="BA705" s="92" t="str">
        <f t="shared" si="54"/>
        <v>WIP - 30 Days</v>
      </c>
    </row>
    <row r="706" spans="2:53">
      <c r="B706" s="60">
        <f>[2]Trucks!A703</f>
        <v>46946</v>
      </c>
      <c r="C706" s="11" t="str">
        <f>[2]Trucks!B703</f>
        <v>TGS-27-4806X4BBS-LX</v>
      </c>
      <c r="D706" s="19" t="str">
        <f>IFERROR(VLOOKUP(C706&amp;"",'[2]Retail Price List'!$A$3:$B$103,2,FALSE),"Special Order")</f>
        <v>KP000659</v>
      </c>
      <c r="E706" s="18" t="str">
        <f>[2]Trucks!J703</f>
        <v>CKD</v>
      </c>
      <c r="F706" s="12" t="str">
        <f>[2]Trucks!E703</f>
        <v>2017-11-17</v>
      </c>
      <c r="G706" s="56">
        <f>[2]Trucks!K703</f>
        <v>14.7</v>
      </c>
      <c r="H706" s="46">
        <f>[2]Trucks!I703</f>
        <v>42859</v>
      </c>
      <c r="I706" s="83" t="str">
        <f t="shared" si="50"/>
        <v>2017Q2</v>
      </c>
      <c r="J706" s="272">
        <f>IFERROR(VLOOKUP((D706&amp;C706)&amp;"",'[2]Retail Price List'!$C$4:$F$102,3,FALSE),"")</f>
        <v>1715000</v>
      </c>
      <c r="K706" s="272">
        <f>IFERROR(IF(BA706="WIP - 30 Days",VLOOKUP(D706,[3]Standard!$B$9:$E$101,4,FALSE),IF(BA706="31-120 Days",VLOOKUP(D706,[3]Standard!$B$9:$F$101,5,FALSE),IF(BA706="121-365 Days",VLOOKUP(D706,[3]Standard!$B$9:$G$101,6,FALSE),VLOOKUP(D706,[3]Standard!$B$9:$H$101,7,FALSE)))),0)</f>
        <v>1280676.25</v>
      </c>
      <c r="L706" s="272">
        <f>IFERROR(IF(BA706="WIP - 30 Days",VLOOKUP(D706,[3]Standard!$B$9:$J$101,9,FALSE),IF(BA706="31-120 Days",VLOOKUP(D706,[3]Standard!$B$9:$K$100,10,FALSE),IF(BA706="121-365 Days",VLOOKUP(D706,[3]Standard!$B$9:$L$101,11,FALSE),VLOOKUP(D706,[3]Standard!$B$9:$M$101,12,FALSE)))),0)</f>
        <v>1243375</v>
      </c>
      <c r="M706" s="269">
        <f>IFERROR(VLOOKUP((D706&amp;C706)&amp;"",'[2]Retail Price List'!$C$4:$F$102,4,FALSE),"")</f>
        <v>1750000</v>
      </c>
      <c r="N706" s="269">
        <f>IFERROR(IF(BA706="WIP - 30 Days",VLOOKUP(D706,[3]Extended!$B$9:$E$101,4,FALSE),IF(BA706="31-120 Days",VLOOKUP(D706,[3]Extended!$B$9:$F$101,5,FALSE),IF(BA706="121-365 Days",VLOOKUP(D706,[3]Extended!$B$9:$G$101,6,FALSE),VLOOKUP(D706,[3]Extended!$B$9:$H$101,7,FALSE)))),0)</f>
        <v>1333850</v>
      </c>
      <c r="O706" s="269">
        <f>IFERROR(IF(BA706="WIP - 30 Days",VLOOKUP(D706,[3]Extended!$B$9:$J$101,9,FALSE),IF(BA706="31-120 Days",VLOOKUP(D706,[3]Extended!$B$9:$K$101,10,FALSE),IF(BA706="121-365 Days",VLOOKUP(D706,[3]Extended!$B$9:$L$101,11,FALSE),VLOOKUP(D706,[3]Extended!$B$9:$M$101,12,FALSE)))),0)</f>
        <v>1295000</v>
      </c>
      <c r="P706" s="116">
        <f t="shared" si="51"/>
        <v>0.26</v>
      </c>
      <c r="Q706" s="110" t="e">
        <f>O706-#REF!</f>
        <v>#REF!</v>
      </c>
      <c r="W706" s="311"/>
      <c r="X706" s="311"/>
      <c r="Y706" s="311"/>
      <c r="Z706" s="311"/>
      <c r="AA706" s="311"/>
      <c r="AB706" s="311"/>
      <c r="AC706" s="311"/>
      <c r="AT706" s="88" t="str">
        <f t="shared" si="52"/>
        <v>KP0006592017Q214,7</v>
      </c>
      <c r="AU706" s="89" t="str">
        <f t="shared" si="53"/>
        <v>05-2017</v>
      </c>
      <c r="BA706" s="92" t="str">
        <f t="shared" si="54"/>
        <v>WIP - 30 Days</v>
      </c>
    </row>
    <row r="707" spans="2:53">
      <c r="B707" s="60">
        <f>[2]Trucks!A704</f>
        <v>46947</v>
      </c>
      <c r="C707" s="11" t="str">
        <f>[2]Trucks!B704</f>
        <v>TGS-27-4806X4BBS-LX</v>
      </c>
      <c r="D707" s="19" t="str">
        <f>IFERROR(VLOOKUP(C707&amp;"",'[2]Retail Price List'!$A$3:$B$103,2,FALSE),"Special Order")</f>
        <v>KP000659</v>
      </c>
      <c r="E707" s="18" t="str">
        <f>[2]Trucks!J704</f>
        <v>CKD</v>
      </c>
      <c r="F707" s="12" t="str">
        <f>[2]Trucks!E704</f>
        <v>2017-11-17</v>
      </c>
      <c r="G707" s="56">
        <f>[2]Trucks!K704</f>
        <v>14.7</v>
      </c>
      <c r="H707" s="46">
        <f>[2]Trucks!I704</f>
        <v>42859</v>
      </c>
      <c r="I707" s="83" t="str">
        <f t="shared" si="50"/>
        <v>2017Q2</v>
      </c>
      <c r="J707" s="272">
        <f>IFERROR(VLOOKUP((D707&amp;C707)&amp;"",'[2]Retail Price List'!$C$4:$F$102,3,FALSE),"")</f>
        <v>1715000</v>
      </c>
      <c r="K707" s="272">
        <f>IFERROR(IF(BA707="WIP - 30 Days",VLOOKUP(D707,[3]Standard!$B$9:$E$101,4,FALSE),IF(BA707="31-120 Days",VLOOKUP(D707,[3]Standard!$B$9:$F$101,5,FALSE),IF(BA707="121-365 Days",VLOOKUP(D707,[3]Standard!$B$9:$G$101,6,FALSE),VLOOKUP(D707,[3]Standard!$B$9:$H$101,7,FALSE)))),0)</f>
        <v>1280676.25</v>
      </c>
      <c r="L707" s="272">
        <f>IFERROR(IF(BA707="WIP - 30 Days",VLOOKUP(D707,[3]Standard!$B$9:$J$101,9,FALSE),IF(BA707="31-120 Days",VLOOKUP(D707,[3]Standard!$B$9:$K$100,10,FALSE),IF(BA707="121-365 Days",VLOOKUP(D707,[3]Standard!$B$9:$L$101,11,FALSE),VLOOKUP(D707,[3]Standard!$B$9:$M$101,12,FALSE)))),0)</f>
        <v>1243375</v>
      </c>
      <c r="M707" s="269">
        <f>IFERROR(VLOOKUP((D707&amp;C707)&amp;"",'[2]Retail Price List'!$C$4:$F$102,4,FALSE),"")</f>
        <v>1750000</v>
      </c>
      <c r="N707" s="269">
        <f>IFERROR(IF(BA707="WIP - 30 Days",VLOOKUP(D707,[3]Extended!$B$9:$E$101,4,FALSE),IF(BA707="31-120 Days",VLOOKUP(D707,[3]Extended!$B$9:$F$101,5,FALSE),IF(BA707="121-365 Days",VLOOKUP(D707,[3]Extended!$B$9:$G$101,6,FALSE),VLOOKUP(D707,[3]Extended!$B$9:$H$101,7,FALSE)))),0)</f>
        <v>1333850</v>
      </c>
      <c r="O707" s="269">
        <f>IFERROR(IF(BA707="WIP - 30 Days",VLOOKUP(D707,[3]Extended!$B$9:$J$101,9,FALSE),IF(BA707="31-120 Days",VLOOKUP(D707,[3]Extended!$B$9:$K$101,10,FALSE),IF(BA707="121-365 Days",VLOOKUP(D707,[3]Extended!$B$9:$L$101,11,FALSE),VLOOKUP(D707,[3]Extended!$B$9:$M$101,12,FALSE)))),0)</f>
        <v>1295000</v>
      </c>
      <c r="P707" s="116">
        <f t="shared" si="51"/>
        <v>0.26</v>
      </c>
      <c r="Q707" s="110" t="e">
        <f>O707-#REF!</f>
        <v>#REF!</v>
      </c>
      <c r="W707" s="311"/>
      <c r="X707" s="311"/>
      <c r="Y707" s="311"/>
      <c r="Z707" s="311"/>
      <c r="AA707" s="311"/>
      <c r="AB707" s="311"/>
      <c r="AC707" s="311"/>
      <c r="AT707" s="88" t="str">
        <f t="shared" si="52"/>
        <v>KP0006592017Q214,7</v>
      </c>
      <c r="AU707" s="89" t="str">
        <f t="shared" si="53"/>
        <v>05-2017</v>
      </c>
      <c r="BA707" s="92" t="str">
        <f t="shared" si="54"/>
        <v>WIP - 30 Days</v>
      </c>
    </row>
    <row r="708" spans="2:53">
      <c r="B708" s="60">
        <f>[2]Trucks!A705</f>
        <v>46948</v>
      </c>
      <c r="C708" s="11" t="str">
        <f>[2]Trucks!B705</f>
        <v>TGS-27-4806X4BBS-LX</v>
      </c>
      <c r="D708" s="19" t="str">
        <f>IFERROR(VLOOKUP(C708&amp;"",'[2]Retail Price List'!$A$3:$B$103,2,FALSE),"Special Order")</f>
        <v>KP000659</v>
      </c>
      <c r="E708" s="18" t="str">
        <f>[2]Trucks!J705</f>
        <v>CKD</v>
      </c>
      <c r="F708" s="12" t="str">
        <f>[2]Trucks!E705</f>
        <v>2017-11-17</v>
      </c>
      <c r="G708" s="56">
        <f>[2]Trucks!K705</f>
        <v>14.7</v>
      </c>
      <c r="H708" s="46">
        <f>[2]Trucks!I705</f>
        <v>42859</v>
      </c>
      <c r="I708" s="83" t="str">
        <f t="shared" si="50"/>
        <v>2017Q2</v>
      </c>
      <c r="J708" s="272">
        <f>IFERROR(VLOOKUP((D708&amp;C708)&amp;"",'[2]Retail Price List'!$C$4:$F$102,3,FALSE),"")</f>
        <v>1715000</v>
      </c>
      <c r="K708" s="272">
        <f>IFERROR(IF(BA708="WIP - 30 Days",VLOOKUP(D708,[3]Standard!$B$9:$E$101,4,FALSE),IF(BA708="31-120 Days",VLOOKUP(D708,[3]Standard!$B$9:$F$101,5,FALSE),IF(BA708="121-365 Days",VLOOKUP(D708,[3]Standard!$B$9:$G$101,6,FALSE),VLOOKUP(D708,[3]Standard!$B$9:$H$101,7,FALSE)))),0)</f>
        <v>1280676.25</v>
      </c>
      <c r="L708" s="272">
        <f>IFERROR(IF(BA708="WIP - 30 Days",VLOOKUP(D708,[3]Standard!$B$9:$J$101,9,FALSE),IF(BA708="31-120 Days",VLOOKUP(D708,[3]Standard!$B$9:$K$100,10,FALSE),IF(BA708="121-365 Days",VLOOKUP(D708,[3]Standard!$B$9:$L$101,11,FALSE),VLOOKUP(D708,[3]Standard!$B$9:$M$101,12,FALSE)))),0)</f>
        <v>1243375</v>
      </c>
      <c r="M708" s="269">
        <f>IFERROR(VLOOKUP((D708&amp;C708)&amp;"",'[2]Retail Price List'!$C$4:$F$102,4,FALSE),"")</f>
        <v>1750000</v>
      </c>
      <c r="N708" s="269">
        <f>IFERROR(IF(BA708="WIP - 30 Days",VLOOKUP(D708,[3]Extended!$B$9:$E$101,4,FALSE),IF(BA708="31-120 Days",VLOOKUP(D708,[3]Extended!$B$9:$F$101,5,FALSE),IF(BA708="121-365 Days",VLOOKUP(D708,[3]Extended!$B$9:$G$101,6,FALSE),VLOOKUP(D708,[3]Extended!$B$9:$H$101,7,FALSE)))),0)</f>
        <v>1333850</v>
      </c>
      <c r="O708" s="269">
        <f>IFERROR(IF(BA708="WIP - 30 Days",VLOOKUP(D708,[3]Extended!$B$9:$J$101,9,FALSE),IF(BA708="31-120 Days",VLOOKUP(D708,[3]Extended!$B$9:$K$101,10,FALSE),IF(BA708="121-365 Days",VLOOKUP(D708,[3]Extended!$B$9:$L$101,11,FALSE),VLOOKUP(D708,[3]Extended!$B$9:$M$101,12,FALSE)))),0)</f>
        <v>1295000</v>
      </c>
      <c r="P708" s="116">
        <f t="shared" si="51"/>
        <v>0.26</v>
      </c>
      <c r="Q708" s="110" t="e">
        <f>O708-#REF!</f>
        <v>#REF!</v>
      </c>
      <c r="W708" s="311"/>
      <c r="X708" s="311"/>
      <c r="Y708" s="311"/>
      <c r="Z708" s="311"/>
      <c r="AA708" s="311"/>
      <c r="AB708" s="311"/>
      <c r="AC708" s="311"/>
      <c r="AT708" s="88" t="str">
        <f t="shared" si="52"/>
        <v>KP0006592017Q214,7</v>
      </c>
      <c r="AU708" s="89" t="str">
        <f t="shared" si="53"/>
        <v>05-2017</v>
      </c>
      <c r="BA708" s="92" t="str">
        <f t="shared" si="54"/>
        <v>WIP - 30 Days</v>
      </c>
    </row>
    <row r="709" spans="2:53">
      <c r="B709" s="60">
        <f>[2]Trucks!A706</f>
        <v>46949</v>
      </c>
      <c r="C709" s="11" t="str">
        <f>[2]Trucks!B706</f>
        <v>TGS-27-4806X4BBS-LX</v>
      </c>
      <c r="D709" s="19" t="str">
        <f>IFERROR(VLOOKUP(C709&amp;"",'[2]Retail Price List'!$A$3:$B$103,2,FALSE),"Special Order")</f>
        <v>KP000659</v>
      </c>
      <c r="E709" s="18" t="str">
        <f>[2]Trucks!J706</f>
        <v>CKD</v>
      </c>
      <c r="F709" s="12" t="str">
        <f>[2]Trucks!E706</f>
        <v>2017-11-17</v>
      </c>
      <c r="G709" s="56">
        <f>[2]Trucks!K706</f>
        <v>14.7</v>
      </c>
      <c r="H709" s="46">
        <f>[2]Trucks!I706</f>
        <v>42859</v>
      </c>
      <c r="I709" s="83" t="str">
        <f t="shared" ref="I709:I772" si="55">IFERROR(VLOOKUP(AU709,$AW$5:$AY$40,3,FALSE),"")</f>
        <v>2017Q2</v>
      </c>
      <c r="J709" s="272">
        <f>IFERROR(VLOOKUP((D709&amp;C709)&amp;"",'[2]Retail Price List'!$C$4:$F$102,3,FALSE),"")</f>
        <v>1715000</v>
      </c>
      <c r="K709" s="272">
        <f>IFERROR(IF(BA709="WIP - 30 Days",VLOOKUP(D709,[3]Standard!$B$9:$E$101,4,FALSE),IF(BA709="31-120 Days",VLOOKUP(D709,[3]Standard!$B$9:$F$101,5,FALSE),IF(BA709="121-365 Days",VLOOKUP(D709,[3]Standard!$B$9:$G$101,6,FALSE),VLOOKUP(D709,[3]Standard!$B$9:$H$101,7,FALSE)))),0)</f>
        <v>1280676.25</v>
      </c>
      <c r="L709" s="272">
        <f>IFERROR(IF(BA709="WIP - 30 Days",VLOOKUP(D709,[3]Standard!$B$9:$J$101,9,FALSE),IF(BA709="31-120 Days",VLOOKUP(D709,[3]Standard!$B$9:$K$100,10,FALSE),IF(BA709="121-365 Days",VLOOKUP(D709,[3]Standard!$B$9:$L$101,11,FALSE),VLOOKUP(D709,[3]Standard!$B$9:$M$101,12,FALSE)))),0)</f>
        <v>1243375</v>
      </c>
      <c r="M709" s="269">
        <f>IFERROR(VLOOKUP((D709&amp;C709)&amp;"",'[2]Retail Price List'!$C$4:$F$102,4,FALSE),"")</f>
        <v>1750000</v>
      </c>
      <c r="N709" s="269">
        <f>IFERROR(IF(BA709="WIP - 30 Days",VLOOKUP(D709,[3]Extended!$B$9:$E$101,4,FALSE),IF(BA709="31-120 Days",VLOOKUP(D709,[3]Extended!$B$9:$F$101,5,FALSE),IF(BA709="121-365 Days",VLOOKUP(D709,[3]Extended!$B$9:$G$101,6,FALSE),VLOOKUP(D709,[3]Extended!$B$9:$H$101,7,FALSE)))),0)</f>
        <v>1333850</v>
      </c>
      <c r="O709" s="269">
        <f>IFERROR(IF(BA709="WIP - 30 Days",VLOOKUP(D709,[3]Extended!$B$9:$J$101,9,FALSE),IF(BA709="31-120 Days",VLOOKUP(D709,[3]Extended!$B$9:$K$101,10,FALSE),IF(BA709="121-365 Days",VLOOKUP(D709,[3]Extended!$B$9:$L$101,11,FALSE),VLOOKUP(D709,[3]Extended!$B$9:$M$101,12,FALSE)))),0)</f>
        <v>1295000</v>
      </c>
      <c r="P709" s="116">
        <f t="shared" ref="P709:P772" si="56">(M709-O709)/M709</f>
        <v>0.26</v>
      </c>
      <c r="Q709" s="110" t="e">
        <f>O709-#REF!</f>
        <v>#REF!</v>
      </c>
      <c r="W709" s="311"/>
      <c r="X709" s="311"/>
      <c r="Y709" s="311"/>
      <c r="Z709" s="311"/>
      <c r="AA709" s="311"/>
      <c r="AB709" s="311"/>
      <c r="AC709" s="311"/>
      <c r="AT709" s="88" t="str">
        <f t="shared" ref="AT709:AT772" si="57">D709&amp;I709&amp;G709</f>
        <v>KP0006592017Q214,7</v>
      </c>
      <c r="AU709" s="89" t="str">
        <f t="shared" ref="AU709:AU772" si="58">IF(MONTH(H709)&lt;10,0&amp;MONTH(H709)&amp;"-"&amp;YEAR(H709),MONTH(H709)&amp;"-"&amp;YEAR(H709))</f>
        <v>05-2017</v>
      </c>
      <c r="BA709" s="92" t="str">
        <f t="shared" ref="BA709:BA772" si="59">IF(B709=0,"",IF(AND(F709&gt;=31,F709&lt;=120),"31-120 Days",IF(AND(F709&gt;=121,F709&lt;=365),"121-365 Days",IF(OR(E709="CKD",F709&lt;=30),"WIP - 30 Days","&gt;365 Days"))))</f>
        <v>WIP - 30 Days</v>
      </c>
    </row>
    <row r="710" spans="2:53">
      <c r="B710" s="60">
        <f>[2]Trucks!A707</f>
        <v>46950</v>
      </c>
      <c r="C710" s="11" t="str">
        <f>[2]Trucks!B707</f>
        <v>TGS-27-4806X4BBS-LX</v>
      </c>
      <c r="D710" s="19" t="str">
        <f>IFERROR(VLOOKUP(C710&amp;"",'[2]Retail Price List'!$A$3:$B$103,2,FALSE),"Special Order")</f>
        <v>KP000659</v>
      </c>
      <c r="E710" s="18" t="str">
        <f>[2]Trucks!J707</f>
        <v>CKD</v>
      </c>
      <c r="F710" s="12" t="str">
        <f>[2]Trucks!E707</f>
        <v>2017-11-17</v>
      </c>
      <c r="G710" s="56">
        <f>[2]Trucks!K707</f>
        <v>14.7</v>
      </c>
      <c r="H710" s="46">
        <f>[2]Trucks!I707</f>
        <v>42859</v>
      </c>
      <c r="I710" s="83" t="str">
        <f t="shared" si="55"/>
        <v>2017Q2</v>
      </c>
      <c r="J710" s="272">
        <f>IFERROR(VLOOKUP((D710&amp;C710)&amp;"",'[2]Retail Price List'!$C$4:$F$102,3,FALSE),"")</f>
        <v>1715000</v>
      </c>
      <c r="K710" s="272">
        <f>IFERROR(IF(BA710="WIP - 30 Days",VLOOKUP(D710,[3]Standard!$B$9:$E$101,4,FALSE),IF(BA710="31-120 Days",VLOOKUP(D710,[3]Standard!$B$9:$F$101,5,FALSE),IF(BA710="121-365 Days",VLOOKUP(D710,[3]Standard!$B$9:$G$101,6,FALSE),VLOOKUP(D710,[3]Standard!$B$9:$H$101,7,FALSE)))),0)</f>
        <v>1280676.25</v>
      </c>
      <c r="L710" s="272">
        <f>IFERROR(IF(BA710="WIP - 30 Days",VLOOKUP(D710,[3]Standard!$B$9:$J$101,9,FALSE),IF(BA710="31-120 Days",VLOOKUP(D710,[3]Standard!$B$9:$K$100,10,FALSE),IF(BA710="121-365 Days",VLOOKUP(D710,[3]Standard!$B$9:$L$101,11,FALSE),VLOOKUP(D710,[3]Standard!$B$9:$M$101,12,FALSE)))),0)</f>
        <v>1243375</v>
      </c>
      <c r="M710" s="269">
        <f>IFERROR(VLOOKUP((D710&amp;C710)&amp;"",'[2]Retail Price List'!$C$4:$F$102,4,FALSE),"")</f>
        <v>1750000</v>
      </c>
      <c r="N710" s="269">
        <f>IFERROR(IF(BA710="WIP - 30 Days",VLOOKUP(D710,[3]Extended!$B$9:$E$101,4,FALSE),IF(BA710="31-120 Days",VLOOKUP(D710,[3]Extended!$B$9:$F$101,5,FALSE),IF(BA710="121-365 Days",VLOOKUP(D710,[3]Extended!$B$9:$G$101,6,FALSE),VLOOKUP(D710,[3]Extended!$B$9:$H$101,7,FALSE)))),0)</f>
        <v>1333850</v>
      </c>
      <c r="O710" s="269">
        <f>IFERROR(IF(BA710="WIP - 30 Days",VLOOKUP(D710,[3]Extended!$B$9:$J$101,9,FALSE),IF(BA710="31-120 Days",VLOOKUP(D710,[3]Extended!$B$9:$K$101,10,FALSE),IF(BA710="121-365 Days",VLOOKUP(D710,[3]Extended!$B$9:$L$101,11,FALSE),VLOOKUP(D710,[3]Extended!$B$9:$M$101,12,FALSE)))),0)</f>
        <v>1295000</v>
      </c>
      <c r="P710" s="116">
        <f t="shared" si="56"/>
        <v>0.26</v>
      </c>
      <c r="Q710" s="110" t="e">
        <f>O710-#REF!</f>
        <v>#REF!</v>
      </c>
      <c r="W710" s="311"/>
      <c r="X710" s="311"/>
      <c r="Y710" s="311"/>
      <c r="Z710" s="311"/>
      <c r="AA710" s="311"/>
      <c r="AB710" s="311"/>
      <c r="AC710" s="311"/>
      <c r="AT710" s="88" t="str">
        <f t="shared" si="57"/>
        <v>KP0006592017Q214,7</v>
      </c>
      <c r="AU710" s="89" t="str">
        <f t="shared" si="58"/>
        <v>05-2017</v>
      </c>
      <c r="BA710" s="92" t="str">
        <f t="shared" si="59"/>
        <v>WIP - 30 Days</v>
      </c>
    </row>
    <row r="711" spans="2:53">
      <c r="B711" s="60">
        <f>[2]Trucks!A708</f>
        <v>46951</v>
      </c>
      <c r="C711" s="11" t="str">
        <f>[2]Trucks!B708</f>
        <v>TGS-27-4806X4BBS-LX</v>
      </c>
      <c r="D711" s="19" t="str">
        <f>IFERROR(VLOOKUP(C711&amp;"",'[2]Retail Price List'!$A$3:$B$103,2,FALSE),"Special Order")</f>
        <v>KP000659</v>
      </c>
      <c r="E711" s="18" t="str">
        <f>[2]Trucks!J708</f>
        <v>CKD</v>
      </c>
      <c r="F711" s="12" t="str">
        <f>[2]Trucks!E708</f>
        <v>2017-11-17</v>
      </c>
      <c r="G711" s="56">
        <f>[2]Trucks!K708</f>
        <v>14.7</v>
      </c>
      <c r="H711" s="46">
        <f>[2]Trucks!I708</f>
        <v>42859</v>
      </c>
      <c r="I711" s="83" t="str">
        <f t="shared" si="55"/>
        <v>2017Q2</v>
      </c>
      <c r="J711" s="272">
        <f>IFERROR(VLOOKUP((D711&amp;C711)&amp;"",'[2]Retail Price List'!$C$4:$F$102,3,FALSE),"")</f>
        <v>1715000</v>
      </c>
      <c r="K711" s="272">
        <f>IFERROR(IF(BA711="WIP - 30 Days",VLOOKUP(D711,[3]Standard!$B$9:$E$101,4,FALSE),IF(BA711="31-120 Days",VLOOKUP(D711,[3]Standard!$B$9:$F$101,5,FALSE),IF(BA711="121-365 Days",VLOOKUP(D711,[3]Standard!$B$9:$G$101,6,FALSE),VLOOKUP(D711,[3]Standard!$B$9:$H$101,7,FALSE)))),0)</f>
        <v>1280676.25</v>
      </c>
      <c r="L711" s="272">
        <f>IFERROR(IF(BA711="WIP - 30 Days",VLOOKUP(D711,[3]Standard!$B$9:$J$101,9,FALSE),IF(BA711="31-120 Days",VLOOKUP(D711,[3]Standard!$B$9:$K$100,10,FALSE),IF(BA711="121-365 Days",VLOOKUP(D711,[3]Standard!$B$9:$L$101,11,FALSE),VLOOKUP(D711,[3]Standard!$B$9:$M$101,12,FALSE)))),0)</f>
        <v>1243375</v>
      </c>
      <c r="M711" s="269">
        <f>IFERROR(VLOOKUP((D711&amp;C711)&amp;"",'[2]Retail Price List'!$C$4:$F$102,4,FALSE),"")</f>
        <v>1750000</v>
      </c>
      <c r="N711" s="269">
        <f>IFERROR(IF(BA711="WIP - 30 Days",VLOOKUP(D711,[3]Extended!$B$9:$E$101,4,FALSE),IF(BA711="31-120 Days",VLOOKUP(D711,[3]Extended!$B$9:$F$101,5,FALSE),IF(BA711="121-365 Days",VLOOKUP(D711,[3]Extended!$B$9:$G$101,6,FALSE),VLOOKUP(D711,[3]Extended!$B$9:$H$101,7,FALSE)))),0)</f>
        <v>1333850</v>
      </c>
      <c r="O711" s="269">
        <f>IFERROR(IF(BA711="WIP - 30 Days",VLOOKUP(D711,[3]Extended!$B$9:$J$101,9,FALSE),IF(BA711="31-120 Days",VLOOKUP(D711,[3]Extended!$B$9:$K$101,10,FALSE),IF(BA711="121-365 Days",VLOOKUP(D711,[3]Extended!$B$9:$L$101,11,FALSE),VLOOKUP(D711,[3]Extended!$B$9:$M$101,12,FALSE)))),0)</f>
        <v>1295000</v>
      </c>
      <c r="P711" s="116">
        <f t="shared" si="56"/>
        <v>0.26</v>
      </c>
      <c r="Q711" s="110" t="e">
        <f>O711-#REF!</f>
        <v>#REF!</v>
      </c>
      <c r="W711" s="311"/>
      <c r="X711" s="311"/>
      <c r="Y711" s="311"/>
      <c r="Z711" s="311"/>
      <c r="AA711" s="311"/>
      <c r="AB711" s="311"/>
      <c r="AC711" s="311"/>
      <c r="AT711" s="88" t="str">
        <f t="shared" si="57"/>
        <v>KP0006592017Q214,7</v>
      </c>
      <c r="AU711" s="89" t="str">
        <f t="shared" si="58"/>
        <v>05-2017</v>
      </c>
      <c r="BA711" s="92" t="str">
        <f t="shared" si="59"/>
        <v>WIP - 30 Days</v>
      </c>
    </row>
    <row r="712" spans="2:53">
      <c r="B712" s="60">
        <f>[2]Trucks!A709</f>
        <v>47522</v>
      </c>
      <c r="C712" s="11" t="str">
        <f>[2]Trucks!B709</f>
        <v>TGS-27-4806X4BBS-LX</v>
      </c>
      <c r="D712" s="19" t="str">
        <f>IFERROR(VLOOKUP(C712&amp;"",'[2]Retail Price List'!$A$3:$B$103,2,FALSE),"Special Order")</f>
        <v>KP000659</v>
      </c>
      <c r="E712" s="18" t="str">
        <f>[2]Trucks!J709</f>
        <v>BOOKED : 2017-08-10</v>
      </c>
      <c r="F712" s="12" t="str">
        <f>[2]Trucks!E709</f>
        <v>2017-11-5</v>
      </c>
      <c r="G712" s="56">
        <f>[2]Trucks!K709</f>
        <v>14.7</v>
      </c>
      <c r="H712" s="46">
        <f>[2]Trucks!I709</f>
        <v>42937</v>
      </c>
      <c r="I712" s="83" t="str">
        <f t="shared" si="55"/>
        <v>2017Q3</v>
      </c>
      <c r="J712" s="272">
        <f>IFERROR(VLOOKUP((D712&amp;C712)&amp;"",'[2]Retail Price List'!$C$4:$F$102,3,FALSE),"")</f>
        <v>1715000</v>
      </c>
      <c r="K712" s="272">
        <f>IFERROR(IF(BA712="WIP - 30 Days",VLOOKUP(D712,[3]Standard!$B$9:$E$101,4,FALSE),IF(BA712="31-120 Days",VLOOKUP(D712,[3]Standard!$B$9:$F$101,5,FALSE),IF(BA712="121-365 Days",VLOOKUP(D712,[3]Standard!$B$9:$G$101,6,FALSE),VLOOKUP(D712,[3]Standard!$B$9:$H$101,7,FALSE)))),0)</f>
        <v>1177979.7979797979</v>
      </c>
      <c r="L712" s="272">
        <f>IFERROR(IF(BA712="WIP - 30 Days",VLOOKUP(D712,[3]Standard!$B$9:$J$101,9,FALSE),IF(BA712="31-120 Days",VLOOKUP(D712,[3]Standard!$B$9:$K$100,10,FALSE),IF(BA712="121-365 Days",VLOOKUP(D712,[3]Standard!$B$9:$L$101,11,FALSE),VLOOKUP(D712,[3]Standard!$B$9:$M$101,12,FALSE)))),0)</f>
        <v>1166200</v>
      </c>
      <c r="M712" s="269">
        <f>IFERROR(VLOOKUP((D712&amp;C712)&amp;"",'[2]Retail Price List'!$C$4:$F$102,4,FALSE),"")</f>
        <v>1750000</v>
      </c>
      <c r="N712" s="269">
        <f>IFERROR(IF(BA712="WIP - 30 Days",VLOOKUP(D712,[3]Extended!$B$9:$E$101,4,FALSE),IF(BA712="31-120 Days",VLOOKUP(D712,[3]Extended!$B$9:$F$101,5,FALSE),IF(BA712="121-365 Days",VLOOKUP(D712,[3]Extended!$B$9:$G$101,6,FALSE),VLOOKUP(D712,[3]Extended!$B$9:$H$101,7,FALSE)))),0)</f>
        <v>1219696.9696969697</v>
      </c>
      <c r="O712" s="269">
        <f>IFERROR(IF(BA712="WIP - 30 Days",VLOOKUP(D712,[3]Extended!$B$9:$J$101,9,FALSE),IF(BA712="31-120 Days",VLOOKUP(D712,[3]Extended!$B$9:$K$101,10,FALSE),IF(BA712="121-365 Days",VLOOKUP(D712,[3]Extended!$B$9:$L$101,11,FALSE),VLOOKUP(D712,[3]Extended!$B$9:$M$101,12,FALSE)))),0)</f>
        <v>1207500</v>
      </c>
      <c r="P712" s="116">
        <f t="shared" si="56"/>
        <v>0.31</v>
      </c>
      <c r="Q712" s="110" t="e">
        <f>O712-#REF!</f>
        <v>#REF!</v>
      </c>
      <c r="W712" s="311"/>
      <c r="X712" s="311"/>
      <c r="Y712" s="311"/>
      <c r="Z712" s="311"/>
      <c r="AA712" s="311"/>
      <c r="AB712" s="311"/>
      <c r="AC712" s="311"/>
      <c r="AT712" s="88" t="str">
        <f t="shared" si="57"/>
        <v>KP0006592017Q314,7</v>
      </c>
      <c r="AU712" s="89" t="str">
        <f t="shared" si="58"/>
        <v>07-2017</v>
      </c>
      <c r="BA712" s="92" t="str">
        <f t="shared" si="59"/>
        <v>&gt;365 Days</v>
      </c>
    </row>
    <row r="713" spans="2:53">
      <c r="B713" s="60">
        <f>[2]Trucks!A710</f>
        <v>47523</v>
      </c>
      <c r="C713" s="11" t="str">
        <f>[2]Trucks!B710</f>
        <v>TGS-27-4806X4BBS-LX</v>
      </c>
      <c r="D713" s="19" t="str">
        <f>IFERROR(VLOOKUP(C713&amp;"",'[2]Retail Price List'!$A$3:$B$103,2,FALSE),"Special Order")</f>
        <v>KP000659</v>
      </c>
      <c r="E713" s="18" t="str">
        <f>[2]Trucks!J710</f>
        <v>BOOKED : 2017-08-10</v>
      </c>
      <c r="F713" s="12" t="str">
        <f>[2]Trucks!E710</f>
        <v>2017-11-5</v>
      </c>
      <c r="G713" s="56">
        <f>[2]Trucks!K710</f>
        <v>14.7</v>
      </c>
      <c r="H713" s="46">
        <f>[2]Trucks!I710</f>
        <v>42937</v>
      </c>
      <c r="I713" s="83" t="str">
        <f t="shared" si="55"/>
        <v>2017Q3</v>
      </c>
      <c r="J713" s="272">
        <f>IFERROR(VLOOKUP((D713&amp;C713)&amp;"",'[2]Retail Price List'!$C$4:$F$102,3,FALSE),"")</f>
        <v>1715000</v>
      </c>
      <c r="K713" s="272">
        <f>IFERROR(IF(BA713="WIP - 30 Days",VLOOKUP(D713,[3]Standard!$B$9:$E$101,4,FALSE),IF(BA713="31-120 Days",VLOOKUP(D713,[3]Standard!$B$9:$F$101,5,FALSE),IF(BA713="121-365 Days",VLOOKUP(D713,[3]Standard!$B$9:$G$101,6,FALSE),VLOOKUP(D713,[3]Standard!$B$9:$H$101,7,FALSE)))),0)</f>
        <v>1177979.7979797979</v>
      </c>
      <c r="L713" s="272">
        <f>IFERROR(IF(BA713="WIP - 30 Days",VLOOKUP(D713,[3]Standard!$B$9:$J$101,9,FALSE),IF(BA713="31-120 Days",VLOOKUP(D713,[3]Standard!$B$9:$K$100,10,FALSE),IF(BA713="121-365 Days",VLOOKUP(D713,[3]Standard!$B$9:$L$101,11,FALSE),VLOOKUP(D713,[3]Standard!$B$9:$M$101,12,FALSE)))),0)</f>
        <v>1166200</v>
      </c>
      <c r="M713" s="269">
        <f>IFERROR(VLOOKUP((D713&amp;C713)&amp;"",'[2]Retail Price List'!$C$4:$F$102,4,FALSE),"")</f>
        <v>1750000</v>
      </c>
      <c r="N713" s="269">
        <f>IFERROR(IF(BA713="WIP - 30 Days",VLOOKUP(D713,[3]Extended!$B$9:$E$101,4,FALSE),IF(BA713="31-120 Days",VLOOKUP(D713,[3]Extended!$B$9:$F$101,5,FALSE),IF(BA713="121-365 Days",VLOOKUP(D713,[3]Extended!$B$9:$G$101,6,FALSE),VLOOKUP(D713,[3]Extended!$B$9:$H$101,7,FALSE)))),0)</f>
        <v>1219696.9696969697</v>
      </c>
      <c r="O713" s="269">
        <f>IFERROR(IF(BA713="WIP - 30 Days",VLOOKUP(D713,[3]Extended!$B$9:$J$101,9,FALSE),IF(BA713="31-120 Days",VLOOKUP(D713,[3]Extended!$B$9:$K$101,10,FALSE),IF(BA713="121-365 Days",VLOOKUP(D713,[3]Extended!$B$9:$L$101,11,FALSE),VLOOKUP(D713,[3]Extended!$B$9:$M$101,12,FALSE)))),0)</f>
        <v>1207500</v>
      </c>
      <c r="P713" s="116">
        <f t="shared" si="56"/>
        <v>0.31</v>
      </c>
      <c r="Q713" s="110" t="e">
        <f>O713-#REF!</f>
        <v>#REF!</v>
      </c>
      <c r="W713" s="311"/>
      <c r="X713" s="311"/>
      <c r="Y713" s="311"/>
      <c r="Z713" s="311"/>
      <c r="AA713" s="311"/>
      <c r="AB713" s="311"/>
      <c r="AC713" s="311"/>
      <c r="AT713" s="88" t="str">
        <f t="shared" si="57"/>
        <v>KP0006592017Q314,7</v>
      </c>
      <c r="AU713" s="89" t="str">
        <f t="shared" si="58"/>
        <v>07-2017</v>
      </c>
      <c r="BA713" s="92" t="str">
        <f t="shared" si="59"/>
        <v>&gt;365 Days</v>
      </c>
    </row>
    <row r="714" spans="2:53">
      <c r="B714" s="60">
        <f>[2]Trucks!A711</f>
        <v>47524</v>
      </c>
      <c r="C714" s="11" t="str">
        <f>[2]Trucks!B711</f>
        <v>TGS-27-4806X4BBS-LX</v>
      </c>
      <c r="D714" s="19" t="str">
        <f>IFERROR(VLOOKUP(C714&amp;"",'[2]Retail Price List'!$A$3:$B$103,2,FALSE),"Special Order")</f>
        <v>KP000659</v>
      </c>
      <c r="E714" s="18" t="str">
        <f>[2]Trucks!J711</f>
        <v>BOOKED : 2017-08-10</v>
      </c>
      <c r="F714" s="12" t="str">
        <f>[2]Trucks!E711</f>
        <v>2017-11-5</v>
      </c>
      <c r="G714" s="56">
        <f>[2]Trucks!K711</f>
        <v>14.7</v>
      </c>
      <c r="H714" s="46">
        <f>[2]Trucks!I711</f>
        <v>42937</v>
      </c>
      <c r="I714" s="83" t="str">
        <f t="shared" si="55"/>
        <v>2017Q3</v>
      </c>
      <c r="J714" s="272">
        <f>IFERROR(VLOOKUP((D714&amp;C714)&amp;"",'[2]Retail Price List'!$C$4:$F$102,3,FALSE),"")</f>
        <v>1715000</v>
      </c>
      <c r="K714" s="272">
        <f>IFERROR(IF(BA714="WIP - 30 Days",VLOOKUP(D714,[3]Standard!$B$9:$E$101,4,FALSE),IF(BA714="31-120 Days",VLOOKUP(D714,[3]Standard!$B$9:$F$101,5,FALSE),IF(BA714="121-365 Days",VLOOKUP(D714,[3]Standard!$B$9:$G$101,6,FALSE),VLOOKUP(D714,[3]Standard!$B$9:$H$101,7,FALSE)))),0)</f>
        <v>1177979.7979797979</v>
      </c>
      <c r="L714" s="272">
        <f>IFERROR(IF(BA714="WIP - 30 Days",VLOOKUP(D714,[3]Standard!$B$9:$J$101,9,FALSE),IF(BA714="31-120 Days",VLOOKUP(D714,[3]Standard!$B$9:$K$100,10,FALSE),IF(BA714="121-365 Days",VLOOKUP(D714,[3]Standard!$B$9:$L$101,11,FALSE),VLOOKUP(D714,[3]Standard!$B$9:$M$101,12,FALSE)))),0)</f>
        <v>1166200</v>
      </c>
      <c r="M714" s="269">
        <f>IFERROR(VLOOKUP((D714&amp;C714)&amp;"",'[2]Retail Price List'!$C$4:$F$102,4,FALSE),"")</f>
        <v>1750000</v>
      </c>
      <c r="N714" s="269">
        <f>IFERROR(IF(BA714="WIP - 30 Days",VLOOKUP(D714,[3]Extended!$B$9:$E$101,4,FALSE),IF(BA714="31-120 Days",VLOOKUP(D714,[3]Extended!$B$9:$F$101,5,FALSE),IF(BA714="121-365 Days",VLOOKUP(D714,[3]Extended!$B$9:$G$101,6,FALSE),VLOOKUP(D714,[3]Extended!$B$9:$H$101,7,FALSE)))),0)</f>
        <v>1219696.9696969697</v>
      </c>
      <c r="O714" s="269">
        <f>IFERROR(IF(BA714="WIP - 30 Days",VLOOKUP(D714,[3]Extended!$B$9:$J$101,9,FALSE),IF(BA714="31-120 Days",VLOOKUP(D714,[3]Extended!$B$9:$K$101,10,FALSE),IF(BA714="121-365 Days",VLOOKUP(D714,[3]Extended!$B$9:$L$101,11,FALSE),VLOOKUP(D714,[3]Extended!$B$9:$M$101,12,FALSE)))),0)</f>
        <v>1207500</v>
      </c>
      <c r="P714" s="116">
        <f t="shared" si="56"/>
        <v>0.31</v>
      </c>
      <c r="Q714" s="110" t="e">
        <f>O714-#REF!</f>
        <v>#REF!</v>
      </c>
      <c r="W714" s="311"/>
      <c r="X714" s="311"/>
      <c r="Y714" s="311"/>
      <c r="Z714" s="311"/>
      <c r="AA714" s="311"/>
      <c r="AB714" s="311"/>
      <c r="AC714" s="311"/>
      <c r="AT714" s="88" t="str">
        <f t="shared" si="57"/>
        <v>KP0006592017Q314,7</v>
      </c>
      <c r="AU714" s="89" t="str">
        <f t="shared" si="58"/>
        <v>07-2017</v>
      </c>
      <c r="BA714" s="92" t="str">
        <f t="shared" si="59"/>
        <v>&gt;365 Days</v>
      </c>
    </row>
    <row r="715" spans="2:53">
      <c r="B715" s="60">
        <f>[2]Trucks!A712</f>
        <v>47525</v>
      </c>
      <c r="C715" s="11" t="str">
        <f>[2]Trucks!B712</f>
        <v>TGS-27-4806X4BBS-LX</v>
      </c>
      <c r="D715" s="19" t="str">
        <f>IFERROR(VLOOKUP(C715&amp;"",'[2]Retail Price List'!$A$3:$B$103,2,FALSE),"Special Order")</f>
        <v>KP000659</v>
      </c>
      <c r="E715" s="18" t="str">
        <f>[2]Trucks!J712</f>
        <v>BOOKED : 2017-08-10</v>
      </c>
      <c r="F715" s="12" t="str">
        <f>[2]Trucks!E712</f>
        <v>2017-11-5</v>
      </c>
      <c r="G715" s="56">
        <f>[2]Trucks!K712</f>
        <v>14.7</v>
      </c>
      <c r="H715" s="46">
        <f>[2]Trucks!I712</f>
        <v>42937</v>
      </c>
      <c r="I715" s="83" t="str">
        <f t="shared" si="55"/>
        <v>2017Q3</v>
      </c>
      <c r="J715" s="272">
        <f>IFERROR(VLOOKUP((D715&amp;C715)&amp;"",'[2]Retail Price List'!$C$4:$F$102,3,FALSE),"")</f>
        <v>1715000</v>
      </c>
      <c r="K715" s="272">
        <f>IFERROR(IF(BA715="WIP - 30 Days",VLOOKUP(D715,[3]Standard!$B$9:$E$101,4,FALSE),IF(BA715="31-120 Days",VLOOKUP(D715,[3]Standard!$B$9:$F$101,5,FALSE),IF(BA715="121-365 Days",VLOOKUP(D715,[3]Standard!$B$9:$G$101,6,FALSE),VLOOKUP(D715,[3]Standard!$B$9:$H$101,7,FALSE)))),0)</f>
        <v>1177979.7979797979</v>
      </c>
      <c r="L715" s="272">
        <f>IFERROR(IF(BA715="WIP - 30 Days",VLOOKUP(D715,[3]Standard!$B$9:$J$101,9,FALSE),IF(BA715="31-120 Days",VLOOKUP(D715,[3]Standard!$B$9:$K$100,10,FALSE),IF(BA715="121-365 Days",VLOOKUP(D715,[3]Standard!$B$9:$L$101,11,FALSE),VLOOKUP(D715,[3]Standard!$B$9:$M$101,12,FALSE)))),0)</f>
        <v>1166200</v>
      </c>
      <c r="M715" s="269">
        <f>IFERROR(VLOOKUP((D715&amp;C715)&amp;"",'[2]Retail Price List'!$C$4:$F$102,4,FALSE),"")</f>
        <v>1750000</v>
      </c>
      <c r="N715" s="269">
        <f>IFERROR(IF(BA715="WIP - 30 Days",VLOOKUP(D715,[3]Extended!$B$9:$E$101,4,FALSE),IF(BA715="31-120 Days",VLOOKUP(D715,[3]Extended!$B$9:$F$101,5,FALSE),IF(BA715="121-365 Days",VLOOKUP(D715,[3]Extended!$B$9:$G$101,6,FALSE),VLOOKUP(D715,[3]Extended!$B$9:$H$101,7,FALSE)))),0)</f>
        <v>1219696.9696969697</v>
      </c>
      <c r="O715" s="269">
        <f>IFERROR(IF(BA715="WIP - 30 Days",VLOOKUP(D715,[3]Extended!$B$9:$J$101,9,FALSE),IF(BA715="31-120 Days",VLOOKUP(D715,[3]Extended!$B$9:$K$101,10,FALSE),IF(BA715="121-365 Days",VLOOKUP(D715,[3]Extended!$B$9:$L$101,11,FALSE),VLOOKUP(D715,[3]Extended!$B$9:$M$101,12,FALSE)))),0)</f>
        <v>1207500</v>
      </c>
      <c r="P715" s="116">
        <f t="shared" si="56"/>
        <v>0.31</v>
      </c>
      <c r="Q715" s="110" t="e">
        <f>O715-#REF!</f>
        <v>#REF!</v>
      </c>
      <c r="W715" s="311"/>
      <c r="X715" s="311"/>
      <c r="Y715" s="311"/>
      <c r="Z715" s="311"/>
      <c r="AA715" s="311"/>
      <c r="AB715" s="311"/>
      <c r="AC715" s="311"/>
      <c r="AT715" s="88" t="str">
        <f t="shared" si="57"/>
        <v>KP0006592017Q314,7</v>
      </c>
      <c r="AU715" s="89" t="str">
        <f t="shared" si="58"/>
        <v>07-2017</v>
      </c>
      <c r="BA715" s="92" t="str">
        <f t="shared" si="59"/>
        <v>&gt;365 Days</v>
      </c>
    </row>
    <row r="716" spans="2:53">
      <c r="B716" s="60">
        <f>[2]Trucks!A713</f>
        <v>47526</v>
      </c>
      <c r="C716" s="11" t="str">
        <f>[2]Trucks!B713</f>
        <v>TGS-27-4806X4BBS-LX</v>
      </c>
      <c r="D716" s="19" t="str">
        <f>IFERROR(VLOOKUP(C716&amp;"",'[2]Retail Price List'!$A$3:$B$103,2,FALSE),"Special Order")</f>
        <v>KP000659</v>
      </c>
      <c r="E716" s="18" t="str">
        <f>[2]Trucks!J713</f>
        <v>BOOKED : 2017-08-10</v>
      </c>
      <c r="F716" s="12" t="str">
        <f>[2]Trucks!E713</f>
        <v>2017-11-5</v>
      </c>
      <c r="G716" s="56">
        <f>[2]Trucks!K713</f>
        <v>14.7</v>
      </c>
      <c r="H716" s="46">
        <f>[2]Trucks!I713</f>
        <v>42937</v>
      </c>
      <c r="I716" s="83" t="str">
        <f t="shared" si="55"/>
        <v>2017Q3</v>
      </c>
      <c r="J716" s="272">
        <f>IFERROR(VLOOKUP((D716&amp;C716)&amp;"",'[2]Retail Price List'!$C$4:$F$102,3,FALSE),"")</f>
        <v>1715000</v>
      </c>
      <c r="K716" s="272">
        <f>IFERROR(IF(BA716="WIP - 30 Days",VLOOKUP(D716,[3]Standard!$B$9:$E$101,4,FALSE),IF(BA716="31-120 Days",VLOOKUP(D716,[3]Standard!$B$9:$F$101,5,FALSE),IF(BA716="121-365 Days",VLOOKUP(D716,[3]Standard!$B$9:$G$101,6,FALSE),VLOOKUP(D716,[3]Standard!$B$9:$H$101,7,FALSE)))),0)</f>
        <v>1177979.7979797979</v>
      </c>
      <c r="L716" s="272">
        <f>IFERROR(IF(BA716="WIP - 30 Days",VLOOKUP(D716,[3]Standard!$B$9:$J$101,9,FALSE),IF(BA716="31-120 Days",VLOOKUP(D716,[3]Standard!$B$9:$K$100,10,FALSE),IF(BA716="121-365 Days",VLOOKUP(D716,[3]Standard!$B$9:$L$101,11,FALSE),VLOOKUP(D716,[3]Standard!$B$9:$M$101,12,FALSE)))),0)</f>
        <v>1166200</v>
      </c>
      <c r="M716" s="269">
        <f>IFERROR(VLOOKUP((D716&amp;C716)&amp;"",'[2]Retail Price List'!$C$4:$F$102,4,FALSE),"")</f>
        <v>1750000</v>
      </c>
      <c r="N716" s="269">
        <f>IFERROR(IF(BA716="WIP - 30 Days",VLOOKUP(D716,[3]Extended!$B$9:$E$101,4,FALSE),IF(BA716="31-120 Days",VLOOKUP(D716,[3]Extended!$B$9:$F$101,5,FALSE),IF(BA716="121-365 Days",VLOOKUP(D716,[3]Extended!$B$9:$G$101,6,FALSE),VLOOKUP(D716,[3]Extended!$B$9:$H$101,7,FALSE)))),0)</f>
        <v>1219696.9696969697</v>
      </c>
      <c r="O716" s="269">
        <f>IFERROR(IF(BA716="WIP - 30 Days",VLOOKUP(D716,[3]Extended!$B$9:$J$101,9,FALSE),IF(BA716="31-120 Days",VLOOKUP(D716,[3]Extended!$B$9:$K$101,10,FALSE),IF(BA716="121-365 Days",VLOOKUP(D716,[3]Extended!$B$9:$L$101,11,FALSE),VLOOKUP(D716,[3]Extended!$B$9:$M$101,12,FALSE)))),0)</f>
        <v>1207500</v>
      </c>
      <c r="P716" s="116">
        <f t="shared" si="56"/>
        <v>0.31</v>
      </c>
      <c r="Q716" s="110" t="e">
        <f>O716-#REF!</f>
        <v>#REF!</v>
      </c>
      <c r="W716" s="311"/>
      <c r="X716" s="311"/>
      <c r="Y716" s="311"/>
      <c r="Z716" s="311"/>
      <c r="AA716" s="311"/>
      <c r="AB716" s="311"/>
      <c r="AC716" s="311"/>
      <c r="AT716" s="88" t="str">
        <f t="shared" si="57"/>
        <v>KP0006592017Q314,7</v>
      </c>
      <c r="AU716" s="89" t="str">
        <f t="shared" si="58"/>
        <v>07-2017</v>
      </c>
      <c r="BA716" s="92" t="str">
        <f t="shared" si="59"/>
        <v>&gt;365 Days</v>
      </c>
    </row>
    <row r="717" spans="2:53">
      <c r="B717" s="60">
        <f>[2]Trucks!A714</f>
        <v>47527</v>
      </c>
      <c r="C717" s="11" t="str">
        <f>[2]Trucks!B714</f>
        <v>TGS-27-4806X4BBS-LX</v>
      </c>
      <c r="D717" s="19" t="str">
        <f>IFERROR(VLOOKUP(C717&amp;"",'[2]Retail Price List'!$A$3:$B$103,2,FALSE),"Special Order")</f>
        <v>KP000659</v>
      </c>
      <c r="E717" s="18" t="str">
        <f>[2]Trucks!J714</f>
        <v>BOOKED : 2017-08-10</v>
      </c>
      <c r="F717" s="12" t="str">
        <f>[2]Trucks!E714</f>
        <v>2017-11-5</v>
      </c>
      <c r="G717" s="56">
        <f>[2]Trucks!K714</f>
        <v>14.7</v>
      </c>
      <c r="H717" s="46">
        <f>[2]Trucks!I714</f>
        <v>42937</v>
      </c>
      <c r="I717" s="83" t="str">
        <f t="shared" si="55"/>
        <v>2017Q3</v>
      </c>
      <c r="J717" s="272">
        <f>IFERROR(VLOOKUP((D717&amp;C717)&amp;"",'[2]Retail Price List'!$C$4:$F$102,3,FALSE),"")</f>
        <v>1715000</v>
      </c>
      <c r="K717" s="272">
        <f>IFERROR(IF(BA717="WIP - 30 Days",VLOOKUP(D717,[3]Standard!$B$9:$E$101,4,FALSE),IF(BA717="31-120 Days",VLOOKUP(D717,[3]Standard!$B$9:$F$101,5,FALSE),IF(BA717="121-365 Days",VLOOKUP(D717,[3]Standard!$B$9:$G$101,6,FALSE),VLOOKUP(D717,[3]Standard!$B$9:$H$101,7,FALSE)))),0)</f>
        <v>1177979.7979797979</v>
      </c>
      <c r="L717" s="272">
        <f>IFERROR(IF(BA717="WIP - 30 Days",VLOOKUP(D717,[3]Standard!$B$9:$J$101,9,FALSE),IF(BA717="31-120 Days",VLOOKUP(D717,[3]Standard!$B$9:$K$100,10,FALSE),IF(BA717="121-365 Days",VLOOKUP(D717,[3]Standard!$B$9:$L$101,11,FALSE),VLOOKUP(D717,[3]Standard!$B$9:$M$101,12,FALSE)))),0)</f>
        <v>1166200</v>
      </c>
      <c r="M717" s="269">
        <f>IFERROR(VLOOKUP((D717&amp;C717)&amp;"",'[2]Retail Price List'!$C$4:$F$102,4,FALSE),"")</f>
        <v>1750000</v>
      </c>
      <c r="N717" s="269">
        <f>IFERROR(IF(BA717="WIP - 30 Days",VLOOKUP(D717,[3]Extended!$B$9:$E$101,4,FALSE),IF(BA717="31-120 Days",VLOOKUP(D717,[3]Extended!$B$9:$F$101,5,FALSE),IF(BA717="121-365 Days",VLOOKUP(D717,[3]Extended!$B$9:$G$101,6,FALSE),VLOOKUP(D717,[3]Extended!$B$9:$H$101,7,FALSE)))),0)</f>
        <v>1219696.9696969697</v>
      </c>
      <c r="O717" s="269">
        <f>IFERROR(IF(BA717="WIP - 30 Days",VLOOKUP(D717,[3]Extended!$B$9:$J$101,9,FALSE),IF(BA717="31-120 Days",VLOOKUP(D717,[3]Extended!$B$9:$K$101,10,FALSE),IF(BA717="121-365 Days",VLOOKUP(D717,[3]Extended!$B$9:$L$101,11,FALSE),VLOOKUP(D717,[3]Extended!$B$9:$M$101,12,FALSE)))),0)</f>
        <v>1207500</v>
      </c>
      <c r="P717" s="116">
        <f t="shared" si="56"/>
        <v>0.31</v>
      </c>
      <c r="Q717" s="110" t="e">
        <f>O717-#REF!</f>
        <v>#REF!</v>
      </c>
      <c r="W717" s="311"/>
      <c r="X717" s="311"/>
      <c r="Y717" s="311"/>
      <c r="Z717" s="311"/>
      <c r="AA717" s="311"/>
      <c r="AB717" s="311"/>
      <c r="AC717" s="311"/>
      <c r="AT717" s="88" t="str">
        <f t="shared" si="57"/>
        <v>KP0006592017Q314,7</v>
      </c>
      <c r="AU717" s="89" t="str">
        <f t="shared" si="58"/>
        <v>07-2017</v>
      </c>
      <c r="BA717" s="92" t="str">
        <f t="shared" si="59"/>
        <v>&gt;365 Days</v>
      </c>
    </row>
    <row r="718" spans="2:53">
      <c r="B718" s="60">
        <f>[2]Trucks!A715</f>
        <v>47528</v>
      </c>
      <c r="C718" s="11" t="str">
        <f>[2]Trucks!B715</f>
        <v>TGS-27-4806X4BBS-LX</v>
      </c>
      <c r="D718" s="19" t="str">
        <f>IFERROR(VLOOKUP(C718&amp;"",'[2]Retail Price List'!$A$3:$B$103,2,FALSE),"Special Order")</f>
        <v>KP000659</v>
      </c>
      <c r="E718" s="18" t="str">
        <f>[2]Trucks!J715</f>
        <v>BOOKED : 2017-08-10</v>
      </c>
      <c r="F718" s="12" t="str">
        <f>[2]Trucks!E715</f>
        <v>2017-11-5</v>
      </c>
      <c r="G718" s="56">
        <f>[2]Trucks!K715</f>
        <v>14.7</v>
      </c>
      <c r="H718" s="46">
        <f>[2]Trucks!I715</f>
        <v>42937</v>
      </c>
      <c r="I718" s="83" t="str">
        <f t="shared" si="55"/>
        <v>2017Q3</v>
      </c>
      <c r="J718" s="272">
        <f>IFERROR(VLOOKUP((D718&amp;C718)&amp;"",'[2]Retail Price List'!$C$4:$F$102,3,FALSE),"")</f>
        <v>1715000</v>
      </c>
      <c r="K718" s="272">
        <f>IFERROR(IF(BA718="WIP - 30 Days",VLOOKUP(D718,[3]Standard!$B$9:$E$101,4,FALSE),IF(BA718="31-120 Days",VLOOKUP(D718,[3]Standard!$B$9:$F$101,5,FALSE),IF(BA718="121-365 Days",VLOOKUP(D718,[3]Standard!$B$9:$G$101,6,FALSE),VLOOKUP(D718,[3]Standard!$B$9:$H$101,7,FALSE)))),0)</f>
        <v>1177979.7979797979</v>
      </c>
      <c r="L718" s="272">
        <f>IFERROR(IF(BA718="WIP - 30 Days",VLOOKUP(D718,[3]Standard!$B$9:$J$101,9,FALSE),IF(BA718="31-120 Days",VLOOKUP(D718,[3]Standard!$B$9:$K$100,10,FALSE),IF(BA718="121-365 Days",VLOOKUP(D718,[3]Standard!$B$9:$L$101,11,FALSE),VLOOKUP(D718,[3]Standard!$B$9:$M$101,12,FALSE)))),0)</f>
        <v>1166200</v>
      </c>
      <c r="M718" s="269">
        <f>IFERROR(VLOOKUP((D718&amp;C718)&amp;"",'[2]Retail Price List'!$C$4:$F$102,4,FALSE),"")</f>
        <v>1750000</v>
      </c>
      <c r="N718" s="269">
        <f>IFERROR(IF(BA718="WIP - 30 Days",VLOOKUP(D718,[3]Extended!$B$9:$E$101,4,FALSE),IF(BA718="31-120 Days",VLOOKUP(D718,[3]Extended!$B$9:$F$101,5,FALSE),IF(BA718="121-365 Days",VLOOKUP(D718,[3]Extended!$B$9:$G$101,6,FALSE),VLOOKUP(D718,[3]Extended!$B$9:$H$101,7,FALSE)))),0)</f>
        <v>1219696.9696969697</v>
      </c>
      <c r="O718" s="269">
        <f>IFERROR(IF(BA718="WIP - 30 Days",VLOOKUP(D718,[3]Extended!$B$9:$J$101,9,FALSE),IF(BA718="31-120 Days",VLOOKUP(D718,[3]Extended!$B$9:$K$101,10,FALSE),IF(BA718="121-365 Days",VLOOKUP(D718,[3]Extended!$B$9:$L$101,11,FALSE),VLOOKUP(D718,[3]Extended!$B$9:$M$101,12,FALSE)))),0)</f>
        <v>1207500</v>
      </c>
      <c r="P718" s="116">
        <f t="shared" si="56"/>
        <v>0.31</v>
      </c>
      <c r="Q718" s="110" t="e">
        <f>O718-#REF!</f>
        <v>#REF!</v>
      </c>
      <c r="W718" s="311"/>
      <c r="X718" s="311"/>
      <c r="Y718" s="311"/>
      <c r="Z718" s="311"/>
      <c r="AA718" s="311"/>
      <c r="AB718" s="311"/>
      <c r="AC718" s="311"/>
      <c r="AT718" s="88" t="str">
        <f t="shared" si="57"/>
        <v>KP0006592017Q314,7</v>
      </c>
      <c r="AU718" s="89" t="str">
        <f t="shared" si="58"/>
        <v>07-2017</v>
      </c>
      <c r="BA718" s="92" t="str">
        <f t="shared" si="59"/>
        <v>&gt;365 Days</v>
      </c>
    </row>
    <row r="719" spans="2:53">
      <c r="B719" s="60">
        <f>[2]Trucks!A716</f>
        <v>47529</v>
      </c>
      <c r="C719" s="11" t="str">
        <f>[2]Trucks!B716</f>
        <v>TGS-27-4806X4BBS-LX</v>
      </c>
      <c r="D719" s="19" t="str">
        <f>IFERROR(VLOOKUP(C719&amp;"",'[2]Retail Price List'!$A$3:$B$103,2,FALSE),"Special Order")</f>
        <v>KP000659</v>
      </c>
      <c r="E719" s="18" t="str">
        <f>[2]Trucks!J716</f>
        <v>CKD</v>
      </c>
      <c r="F719" s="12" t="str">
        <f>[2]Trucks!E716</f>
        <v>2017-11-5</v>
      </c>
      <c r="G719" s="56">
        <f>[2]Trucks!K716</f>
        <v>14.7</v>
      </c>
      <c r="H719" s="46">
        <f>[2]Trucks!I716</f>
        <v>42937</v>
      </c>
      <c r="I719" s="83" t="str">
        <f t="shared" si="55"/>
        <v>2017Q3</v>
      </c>
      <c r="J719" s="272">
        <f>IFERROR(VLOOKUP((D719&amp;C719)&amp;"",'[2]Retail Price List'!$C$4:$F$102,3,FALSE),"")</f>
        <v>1715000</v>
      </c>
      <c r="K719" s="272">
        <f>IFERROR(IF(BA719="WIP - 30 Days",VLOOKUP(D719,[3]Standard!$B$9:$E$101,4,FALSE),IF(BA719="31-120 Days",VLOOKUP(D719,[3]Standard!$B$9:$F$101,5,FALSE),IF(BA719="121-365 Days",VLOOKUP(D719,[3]Standard!$B$9:$G$101,6,FALSE),VLOOKUP(D719,[3]Standard!$B$9:$H$101,7,FALSE)))),0)</f>
        <v>1280676.25</v>
      </c>
      <c r="L719" s="272">
        <f>IFERROR(IF(BA719="WIP - 30 Days",VLOOKUP(D719,[3]Standard!$B$9:$J$101,9,FALSE),IF(BA719="31-120 Days",VLOOKUP(D719,[3]Standard!$B$9:$K$100,10,FALSE),IF(BA719="121-365 Days",VLOOKUP(D719,[3]Standard!$B$9:$L$101,11,FALSE),VLOOKUP(D719,[3]Standard!$B$9:$M$101,12,FALSE)))),0)</f>
        <v>1243375</v>
      </c>
      <c r="M719" s="269">
        <f>IFERROR(VLOOKUP((D719&amp;C719)&amp;"",'[2]Retail Price List'!$C$4:$F$102,4,FALSE),"")</f>
        <v>1750000</v>
      </c>
      <c r="N719" s="269">
        <f>IFERROR(IF(BA719="WIP - 30 Days",VLOOKUP(D719,[3]Extended!$B$9:$E$101,4,FALSE),IF(BA719="31-120 Days",VLOOKUP(D719,[3]Extended!$B$9:$F$101,5,FALSE),IF(BA719="121-365 Days",VLOOKUP(D719,[3]Extended!$B$9:$G$101,6,FALSE),VLOOKUP(D719,[3]Extended!$B$9:$H$101,7,FALSE)))),0)</f>
        <v>1333850</v>
      </c>
      <c r="O719" s="269">
        <f>IFERROR(IF(BA719="WIP - 30 Days",VLOOKUP(D719,[3]Extended!$B$9:$J$101,9,FALSE),IF(BA719="31-120 Days",VLOOKUP(D719,[3]Extended!$B$9:$K$101,10,FALSE),IF(BA719="121-365 Days",VLOOKUP(D719,[3]Extended!$B$9:$L$101,11,FALSE),VLOOKUP(D719,[3]Extended!$B$9:$M$101,12,FALSE)))),0)</f>
        <v>1295000</v>
      </c>
      <c r="P719" s="116">
        <f t="shared" si="56"/>
        <v>0.26</v>
      </c>
      <c r="Q719" s="110" t="e">
        <f>O719-#REF!</f>
        <v>#REF!</v>
      </c>
      <c r="W719" s="311"/>
      <c r="X719" s="311"/>
      <c r="Y719" s="311"/>
      <c r="Z719" s="311"/>
      <c r="AA719" s="311"/>
      <c r="AB719" s="311"/>
      <c r="AC719" s="311"/>
      <c r="AT719" s="88" t="str">
        <f t="shared" si="57"/>
        <v>KP0006592017Q314,7</v>
      </c>
      <c r="AU719" s="89" t="str">
        <f t="shared" si="58"/>
        <v>07-2017</v>
      </c>
      <c r="BA719" s="92" t="str">
        <f t="shared" si="59"/>
        <v>WIP - 30 Days</v>
      </c>
    </row>
    <row r="720" spans="2:53">
      <c r="B720" s="60">
        <f>[2]Trucks!A717</f>
        <v>47530</v>
      </c>
      <c r="C720" s="11" t="str">
        <f>[2]Trucks!B717</f>
        <v>TGS-27-4806X4BBS-LX</v>
      </c>
      <c r="D720" s="19" t="str">
        <f>IFERROR(VLOOKUP(C720&amp;"",'[2]Retail Price List'!$A$3:$B$103,2,FALSE),"Special Order")</f>
        <v>KP000659</v>
      </c>
      <c r="E720" s="18" t="str">
        <f>[2]Trucks!J717</f>
        <v>CKD</v>
      </c>
      <c r="F720" s="12" t="str">
        <f>[2]Trucks!E717</f>
        <v>2017-11-20</v>
      </c>
      <c r="G720" s="56">
        <f>[2]Trucks!K717</f>
        <v>14.7</v>
      </c>
      <c r="H720" s="46">
        <f>[2]Trucks!I717</f>
        <v>42937</v>
      </c>
      <c r="I720" s="83" t="str">
        <f t="shared" si="55"/>
        <v>2017Q3</v>
      </c>
      <c r="J720" s="272">
        <f>IFERROR(VLOOKUP((D720&amp;C720)&amp;"",'[2]Retail Price List'!$C$4:$F$102,3,FALSE),"")</f>
        <v>1715000</v>
      </c>
      <c r="K720" s="272">
        <f>IFERROR(IF(BA720="WIP - 30 Days",VLOOKUP(D720,[3]Standard!$B$9:$E$101,4,FALSE),IF(BA720="31-120 Days",VLOOKUP(D720,[3]Standard!$B$9:$F$101,5,FALSE),IF(BA720="121-365 Days",VLOOKUP(D720,[3]Standard!$B$9:$G$101,6,FALSE),VLOOKUP(D720,[3]Standard!$B$9:$H$101,7,FALSE)))),0)</f>
        <v>1280676.25</v>
      </c>
      <c r="L720" s="272">
        <f>IFERROR(IF(BA720="WIP - 30 Days",VLOOKUP(D720,[3]Standard!$B$9:$J$101,9,FALSE),IF(BA720="31-120 Days",VLOOKUP(D720,[3]Standard!$B$9:$K$100,10,FALSE),IF(BA720="121-365 Days",VLOOKUP(D720,[3]Standard!$B$9:$L$101,11,FALSE),VLOOKUP(D720,[3]Standard!$B$9:$M$101,12,FALSE)))),0)</f>
        <v>1243375</v>
      </c>
      <c r="M720" s="269">
        <f>IFERROR(VLOOKUP((D720&amp;C720)&amp;"",'[2]Retail Price List'!$C$4:$F$102,4,FALSE),"")</f>
        <v>1750000</v>
      </c>
      <c r="N720" s="269">
        <f>IFERROR(IF(BA720="WIP - 30 Days",VLOOKUP(D720,[3]Extended!$B$9:$E$101,4,FALSE),IF(BA720="31-120 Days",VLOOKUP(D720,[3]Extended!$B$9:$F$101,5,FALSE),IF(BA720="121-365 Days",VLOOKUP(D720,[3]Extended!$B$9:$G$101,6,FALSE),VLOOKUP(D720,[3]Extended!$B$9:$H$101,7,FALSE)))),0)</f>
        <v>1333850</v>
      </c>
      <c r="O720" s="269">
        <f>IFERROR(IF(BA720="WIP - 30 Days",VLOOKUP(D720,[3]Extended!$B$9:$J$101,9,FALSE),IF(BA720="31-120 Days",VLOOKUP(D720,[3]Extended!$B$9:$K$101,10,FALSE),IF(BA720="121-365 Days",VLOOKUP(D720,[3]Extended!$B$9:$L$101,11,FALSE),VLOOKUP(D720,[3]Extended!$B$9:$M$101,12,FALSE)))),0)</f>
        <v>1295000</v>
      </c>
      <c r="P720" s="116">
        <f t="shared" si="56"/>
        <v>0.26</v>
      </c>
      <c r="Q720" s="110" t="e">
        <f>O720-#REF!</f>
        <v>#REF!</v>
      </c>
      <c r="W720" s="311"/>
      <c r="X720" s="311"/>
      <c r="Y720" s="311"/>
      <c r="Z720" s="311"/>
      <c r="AA720" s="311"/>
      <c r="AB720" s="311"/>
      <c r="AC720" s="311"/>
      <c r="AT720" s="88" t="str">
        <f t="shared" si="57"/>
        <v>KP0006592017Q314,7</v>
      </c>
      <c r="AU720" s="89" t="str">
        <f t="shared" si="58"/>
        <v>07-2017</v>
      </c>
      <c r="BA720" s="92" t="str">
        <f t="shared" si="59"/>
        <v>WIP - 30 Days</v>
      </c>
    </row>
    <row r="721" spans="2:53">
      <c r="B721" s="60">
        <f>[2]Trucks!A718</f>
        <v>47531</v>
      </c>
      <c r="C721" s="11" t="str">
        <f>[2]Trucks!B718</f>
        <v>TGS-27-4806X4BBS-LX</v>
      </c>
      <c r="D721" s="19" t="str">
        <f>IFERROR(VLOOKUP(C721&amp;"",'[2]Retail Price List'!$A$3:$B$103,2,FALSE),"Special Order")</f>
        <v>KP000659</v>
      </c>
      <c r="E721" s="18" t="str">
        <f>[2]Trucks!J718</f>
        <v>CKD</v>
      </c>
      <c r="F721" s="12" t="str">
        <f>[2]Trucks!E718</f>
        <v>2017-11-20</v>
      </c>
      <c r="G721" s="56">
        <f>[2]Trucks!K718</f>
        <v>14.7</v>
      </c>
      <c r="H721" s="46">
        <f>[2]Trucks!I718</f>
        <v>42937</v>
      </c>
      <c r="I721" s="83" t="str">
        <f t="shared" si="55"/>
        <v>2017Q3</v>
      </c>
      <c r="J721" s="272">
        <f>IFERROR(VLOOKUP((D721&amp;C721)&amp;"",'[2]Retail Price List'!$C$4:$F$102,3,FALSE),"")</f>
        <v>1715000</v>
      </c>
      <c r="K721" s="272">
        <f>IFERROR(IF(BA721="WIP - 30 Days",VLOOKUP(D721,[3]Standard!$B$9:$E$101,4,FALSE),IF(BA721="31-120 Days",VLOOKUP(D721,[3]Standard!$B$9:$F$101,5,FALSE),IF(BA721="121-365 Days",VLOOKUP(D721,[3]Standard!$B$9:$G$101,6,FALSE),VLOOKUP(D721,[3]Standard!$B$9:$H$101,7,FALSE)))),0)</f>
        <v>1280676.25</v>
      </c>
      <c r="L721" s="272">
        <f>IFERROR(IF(BA721="WIP - 30 Days",VLOOKUP(D721,[3]Standard!$B$9:$J$101,9,FALSE),IF(BA721="31-120 Days",VLOOKUP(D721,[3]Standard!$B$9:$K$100,10,FALSE),IF(BA721="121-365 Days",VLOOKUP(D721,[3]Standard!$B$9:$L$101,11,FALSE),VLOOKUP(D721,[3]Standard!$B$9:$M$101,12,FALSE)))),0)</f>
        <v>1243375</v>
      </c>
      <c r="M721" s="269">
        <f>IFERROR(VLOOKUP((D721&amp;C721)&amp;"",'[2]Retail Price List'!$C$4:$F$102,4,FALSE),"")</f>
        <v>1750000</v>
      </c>
      <c r="N721" s="269">
        <f>IFERROR(IF(BA721="WIP - 30 Days",VLOOKUP(D721,[3]Extended!$B$9:$E$101,4,FALSE),IF(BA721="31-120 Days",VLOOKUP(D721,[3]Extended!$B$9:$F$101,5,FALSE),IF(BA721="121-365 Days",VLOOKUP(D721,[3]Extended!$B$9:$G$101,6,FALSE),VLOOKUP(D721,[3]Extended!$B$9:$H$101,7,FALSE)))),0)</f>
        <v>1333850</v>
      </c>
      <c r="O721" s="269">
        <f>IFERROR(IF(BA721="WIP - 30 Days",VLOOKUP(D721,[3]Extended!$B$9:$J$101,9,FALSE),IF(BA721="31-120 Days",VLOOKUP(D721,[3]Extended!$B$9:$K$101,10,FALSE),IF(BA721="121-365 Days",VLOOKUP(D721,[3]Extended!$B$9:$L$101,11,FALSE),VLOOKUP(D721,[3]Extended!$B$9:$M$101,12,FALSE)))),0)</f>
        <v>1295000</v>
      </c>
      <c r="P721" s="116">
        <f t="shared" si="56"/>
        <v>0.26</v>
      </c>
      <c r="Q721" s="110" t="e">
        <f>O721-#REF!</f>
        <v>#REF!</v>
      </c>
      <c r="W721" s="311"/>
      <c r="X721" s="311"/>
      <c r="Y721" s="311"/>
      <c r="Z721" s="311"/>
      <c r="AA721" s="311"/>
      <c r="AB721" s="311"/>
      <c r="AC721" s="311"/>
      <c r="AT721" s="88" t="str">
        <f t="shared" si="57"/>
        <v>KP0006592017Q314,7</v>
      </c>
      <c r="AU721" s="89" t="str">
        <f t="shared" si="58"/>
        <v>07-2017</v>
      </c>
      <c r="BA721" s="92" t="str">
        <f t="shared" si="59"/>
        <v>WIP - 30 Days</v>
      </c>
    </row>
    <row r="722" spans="2:53">
      <c r="B722" s="60">
        <f>[2]Trucks!A719</f>
        <v>47532</v>
      </c>
      <c r="C722" s="11" t="str">
        <f>[2]Trucks!B719</f>
        <v>TGS-27-4806X4BBS-LX</v>
      </c>
      <c r="D722" s="19" t="str">
        <f>IFERROR(VLOOKUP(C722&amp;"",'[2]Retail Price List'!$A$3:$B$103,2,FALSE),"Special Order")</f>
        <v>KP000659</v>
      </c>
      <c r="E722" s="18" t="str">
        <f>[2]Trucks!J719</f>
        <v>CKD</v>
      </c>
      <c r="F722" s="12" t="str">
        <f>[2]Trucks!E719</f>
        <v>2017-11-20</v>
      </c>
      <c r="G722" s="56">
        <f>[2]Trucks!K719</f>
        <v>14.7</v>
      </c>
      <c r="H722" s="46">
        <f>[2]Trucks!I719</f>
        <v>42937</v>
      </c>
      <c r="I722" s="83" t="str">
        <f t="shared" si="55"/>
        <v>2017Q3</v>
      </c>
      <c r="J722" s="272">
        <f>IFERROR(VLOOKUP((D722&amp;C722)&amp;"",'[2]Retail Price List'!$C$4:$F$102,3,FALSE),"")</f>
        <v>1715000</v>
      </c>
      <c r="K722" s="272">
        <f>IFERROR(IF(BA722="WIP - 30 Days",VLOOKUP(D722,[3]Standard!$B$9:$E$101,4,FALSE),IF(BA722="31-120 Days",VLOOKUP(D722,[3]Standard!$B$9:$F$101,5,FALSE),IF(BA722="121-365 Days",VLOOKUP(D722,[3]Standard!$B$9:$G$101,6,FALSE),VLOOKUP(D722,[3]Standard!$B$9:$H$101,7,FALSE)))),0)</f>
        <v>1280676.25</v>
      </c>
      <c r="L722" s="272">
        <f>IFERROR(IF(BA722="WIP - 30 Days",VLOOKUP(D722,[3]Standard!$B$9:$J$101,9,FALSE),IF(BA722="31-120 Days",VLOOKUP(D722,[3]Standard!$B$9:$K$100,10,FALSE),IF(BA722="121-365 Days",VLOOKUP(D722,[3]Standard!$B$9:$L$101,11,FALSE),VLOOKUP(D722,[3]Standard!$B$9:$M$101,12,FALSE)))),0)</f>
        <v>1243375</v>
      </c>
      <c r="M722" s="269">
        <f>IFERROR(VLOOKUP((D722&amp;C722)&amp;"",'[2]Retail Price List'!$C$4:$F$102,4,FALSE),"")</f>
        <v>1750000</v>
      </c>
      <c r="N722" s="269">
        <f>IFERROR(IF(BA722="WIP - 30 Days",VLOOKUP(D722,[3]Extended!$B$9:$E$101,4,FALSE),IF(BA722="31-120 Days",VLOOKUP(D722,[3]Extended!$B$9:$F$101,5,FALSE),IF(BA722="121-365 Days",VLOOKUP(D722,[3]Extended!$B$9:$G$101,6,FALSE),VLOOKUP(D722,[3]Extended!$B$9:$H$101,7,FALSE)))),0)</f>
        <v>1333850</v>
      </c>
      <c r="O722" s="269">
        <f>IFERROR(IF(BA722="WIP - 30 Days",VLOOKUP(D722,[3]Extended!$B$9:$J$101,9,FALSE),IF(BA722="31-120 Days",VLOOKUP(D722,[3]Extended!$B$9:$K$101,10,FALSE),IF(BA722="121-365 Days",VLOOKUP(D722,[3]Extended!$B$9:$L$101,11,FALSE),VLOOKUP(D722,[3]Extended!$B$9:$M$101,12,FALSE)))),0)</f>
        <v>1295000</v>
      </c>
      <c r="P722" s="116">
        <f t="shared" si="56"/>
        <v>0.26</v>
      </c>
      <c r="Q722" s="110" t="e">
        <f>O722-#REF!</f>
        <v>#REF!</v>
      </c>
      <c r="W722" s="311"/>
      <c r="X722" s="311"/>
      <c r="Y722" s="311"/>
      <c r="Z722" s="311"/>
      <c r="AA722" s="311"/>
      <c r="AB722" s="311"/>
      <c r="AC722" s="311"/>
      <c r="AT722" s="88" t="str">
        <f t="shared" si="57"/>
        <v>KP0006592017Q314,7</v>
      </c>
      <c r="AU722" s="89" t="str">
        <f t="shared" si="58"/>
        <v>07-2017</v>
      </c>
      <c r="BA722" s="92" t="str">
        <f t="shared" si="59"/>
        <v>WIP - 30 Days</v>
      </c>
    </row>
    <row r="723" spans="2:53">
      <c r="B723" s="60">
        <f>[2]Trucks!A720</f>
        <v>47533</v>
      </c>
      <c r="C723" s="11" t="str">
        <f>[2]Trucks!B720</f>
        <v>TGS-27-4806X4BBS-LX</v>
      </c>
      <c r="D723" s="19" t="str">
        <f>IFERROR(VLOOKUP(C723&amp;"",'[2]Retail Price List'!$A$3:$B$103,2,FALSE),"Special Order")</f>
        <v>KP000659</v>
      </c>
      <c r="E723" s="18" t="str">
        <f>[2]Trucks!J720</f>
        <v>CKD</v>
      </c>
      <c r="F723" s="12" t="str">
        <f>[2]Trucks!E720</f>
        <v>2017-11-20</v>
      </c>
      <c r="G723" s="56">
        <f>[2]Trucks!K720</f>
        <v>14.7</v>
      </c>
      <c r="H723" s="46">
        <f>[2]Trucks!I720</f>
        <v>42937</v>
      </c>
      <c r="I723" s="83" t="str">
        <f t="shared" si="55"/>
        <v>2017Q3</v>
      </c>
      <c r="J723" s="272">
        <f>IFERROR(VLOOKUP((D723&amp;C723)&amp;"",'[2]Retail Price List'!$C$4:$F$102,3,FALSE),"")</f>
        <v>1715000</v>
      </c>
      <c r="K723" s="272">
        <f>IFERROR(IF(BA723="WIP - 30 Days",VLOOKUP(D723,[3]Standard!$B$9:$E$101,4,FALSE),IF(BA723="31-120 Days",VLOOKUP(D723,[3]Standard!$B$9:$F$101,5,FALSE),IF(BA723="121-365 Days",VLOOKUP(D723,[3]Standard!$B$9:$G$101,6,FALSE),VLOOKUP(D723,[3]Standard!$B$9:$H$101,7,FALSE)))),0)</f>
        <v>1280676.25</v>
      </c>
      <c r="L723" s="272">
        <f>IFERROR(IF(BA723="WIP - 30 Days",VLOOKUP(D723,[3]Standard!$B$9:$J$101,9,FALSE),IF(BA723="31-120 Days",VLOOKUP(D723,[3]Standard!$B$9:$K$100,10,FALSE),IF(BA723="121-365 Days",VLOOKUP(D723,[3]Standard!$B$9:$L$101,11,FALSE),VLOOKUP(D723,[3]Standard!$B$9:$M$101,12,FALSE)))),0)</f>
        <v>1243375</v>
      </c>
      <c r="M723" s="269">
        <f>IFERROR(VLOOKUP((D723&amp;C723)&amp;"",'[2]Retail Price List'!$C$4:$F$102,4,FALSE),"")</f>
        <v>1750000</v>
      </c>
      <c r="N723" s="269">
        <f>IFERROR(IF(BA723="WIP - 30 Days",VLOOKUP(D723,[3]Extended!$B$9:$E$101,4,FALSE),IF(BA723="31-120 Days",VLOOKUP(D723,[3]Extended!$B$9:$F$101,5,FALSE),IF(BA723="121-365 Days",VLOOKUP(D723,[3]Extended!$B$9:$G$101,6,FALSE),VLOOKUP(D723,[3]Extended!$B$9:$H$101,7,FALSE)))),0)</f>
        <v>1333850</v>
      </c>
      <c r="O723" s="269">
        <f>IFERROR(IF(BA723="WIP - 30 Days",VLOOKUP(D723,[3]Extended!$B$9:$J$101,9,FALSE),IF(BA723="31-120 Days",VLOOKUP(D723,[3]Extended!$B$9:$K$101,10,FALSE),IF(BA723="121-365 Days",VLOOKUP(D723,[3]Extended!$B$9:$L$101,11,FALSE),VLOOKUP(D723,[3]Extended!$B$9:$M$101,12,FALSE)))),0)</f>
        <v>1295000</v>
      </c>
      <c r="P723" s="116">
        <f t="shared" si="56"/>
        <v>0.26</v>
      </c>
      <c r="Q723" s="110" t="e">
        <f>O723-#REF!</f>
        <v>#REF!</v>
      </c>
      <c r="W723" s="311"/>
      <c r="X723" s="311"/>
      <c r="Y723" s="311"/>
      <c r="Z723" s="311"/>
      <c r="AA723" s="311"/>
      <c r="AB723" s="311"/>
      <c r="AC723" s="311"/>
      <c r="AT723" s="88" t="str">
        <f t="shared" si="57"/>
        <v>KP0006592017Q314,7</v>
      </c>
      <c r="AU723" s="89" t="str">
        <f t="shared" si="58"/>
        <v>07-2017</v>
      </c>
      <c r="BA723" s="92" t="str">
        <f t="shared" si="59"/>
        <v>WIP - 30 Days</v>
      </c>
    </row>
    <row r="724" spans="2:53">
      <c r="B724" s="60">
        <f>[2]Trucks!A721</f>
        <v>47534</v>
      </c>
      <c r="C724" s="11" t="str">
        <f>[2]Trucks!B721</f>
        <v>TGS-27-4806X4BBS-LX</v>
      </c>
      <c r="D724" s="19" t="str">
        <f>IFERROR(VLOOKUP(C724&amp;"",'[2]Retail Price List'!$A$3:$B$103,2,FALSE),"Special Order")</f>
        <v>KP000659</v>
      </c>
      <c r="E724" s="18" t="str">
        <f>[2]Trucks!J721</f>
        <v>CKD</v>
      </c>
      <c r="F724" s="12" t="str">
        <f>[2]Trucks!E721</f>
        <v>2017-11-20</v>
      </c>
      <c r="G724" s="56">
        <f>[2]Trucks!K721</f>
        <v>14.7</v>
      </c>
      <c r="H724" s="46">
        <f>[2]Trucks!I721</f>
        <v>42937</v>
      </c>
      <c r="I724" s="83" t="str">
        <f t="shared" si="55"/>
        <v>2017Q3</v>
      </c>
      <c r="J724" s="272">
        <f>IFERROR(VLOOKUP((D724&amp;C724)&amp;"",'[2]Retail Price List'!$C$4:$F$102,3,FALSE),"")</f>
        <v>1715000</v>
      </c>
      <c r="K724" s="272">
        <f>IFERROR(IF(BA724="WIP - 30 Days",VLOOKUP(D724,[3]Standard!$B$9:$E$101,4,FALSE),IF(BA724="31-120 Days",VLOOKUP(D724,[3]Standard!$B$9:$F$101,5,FALSE),IF(BA724="121-365 Days",VLOOKUP(D724,[3]Standard!$B$9:$G$101,6,FALSE),VLOOKUP(D724,[3]Standard!$B$9:$H$101,7,FALSE)))),0)</f>
        <v>1280676.25</v>
      </c>
      <c r="L724" s="272">
        <f>IFERROR(IF(BA724="WIP - 30 Days",VLOOKUP(D724,[3]Standard!$B$9:$J$101,9,FALSE),IF(BA724="31-120 Days",VLOOKUP(D724,[3]Standard!$B$9:$K$100,10,FALSE),IF(BA724="121-365 Days",VLOOKUP(D724,[3]Standard!$B$9:$L$101,11,FALSE),VLOOKUP(D724,[3]Standard!$B$9:$M$101,12,FALSE)))),0)</f>
        <v>1243375</v>
      </c>
      <c r="M724" s="269">
        <f>IFERROR(VLOOKUP((D724&amp;C724)&amp;"",'[2]Retail Price List'!$C$4:$F$102,4,FALSE),"")</f>
        <v>1750000</v>
      </c>
      <c r="N724" s="269">
        <f>IFERROR(IF(BA724="WIP - 30 Days",VLOOKUP(D724,[3]Extended!$B$9:$E$101,4,FALSE),IF(BA724="31-120 Days",VLOOKUP(D724,[3]Extended!$B$9:$F$101,5,FALSE),IF(BA724="121-365 Days",VLOOKUP(D724,[3]Extended!$B$9:$G$101,6,FALSE),VLOOKUP(D724,[3]Extended!$B$9:$H$101,7,FALSE)))),0)</f>
        <v>1333850</v>
      </c>
      <c r="O724" s="269">
        <f>IFERROR(IF(BA724="WIP - 30 Days",VLOOKUP(D724,[3]Extended!$B$9:$J$101,9,FALSE),IF(BA724="31-120 Days",VLOOKUP(D724,[3]Extended!$B$9:$K$101,10,FALSE),IF(BA724="121-365 Days",VLOOKUP(D724,[3]Extended!$B$9:$L$101,11,FALSE),VLOOKUP(D724,[3]Extended!$B$9:$M$101,12,FALSE)))),0)</f>
        <v>1295000</v>
      </c>
      <c r="P724" s="116">
        <f t="shared" si="56"/>
        <v>0.26</v>
      </c>
      <c r="Q724" s="110" t="e">
        <f>O724-#REF!</f>
        <v>#REF!</v>
      </c>
      <c r="W724" s="311"/>
      <c r="X724" s="311"/>
      <c r="Y724" s="311"/>
      <c r="Z724" s="311"/>
      <c r="AA724" s="311"/>
      <c r="AB724" s="311"/>
      <c r="AC724" s="311"/>
      <c r="AT724" s="88" t="str">
        <f t="shared" si="57"/>
        <v>KP0006592017Q314,7</v>
      </c>
      <c r="AU724" s="89" t="str">
        <f t="shared" si="58"/>
        <v>07-2017</v>
      </c>
      <c r="BA724" s="92" t="str">
        <f t="shared" si="59"/>
        <v>WIP - 30 Days</v>
      </c>
    </row>
    <row r="725" spans="2:53">
      <c r="B725" s="60">
        <f>[2]Trucks!A722</f>
        <v>47535</v>
      </c>
      <c r="C725" s="11" t="str">
        <f>[2]Trucks!B722</f>
        <v>TGS-27-4806X4BBS-LX</v>
      </c>
      <c r="D725" s="19" t="str">
        <f>IFERROR(VLOOKUP(C725&amp;"",'[2]Retail Price List'!$A$3:$B$103,2,FALSE),"Special Order")</f>
        <v>KP000659</v>
      </c>
      <c r="E725" s="18" t="str">
        <f>[2]Trucks!J722</f>
        <v>CKD</v>
      </c>
      <c r="F725" s="12" t="str">
        <f>[2]Trucks!E722</f>
        <v>2017-11-20</v>
      </c>
      <c r="G725" s="56">
        <f>[2]Trucks!K722</f>
        <v>14.7</v>
      </c>
      <c r="H725" s="46">
        <f>[2]Trucks!I722</f>
        <v>42937</v>
      </c>
      <c r="I725" s="83" t="str">
        <f t="shared" si="55"/>
        <v>2017Q3</v>
      </c>
      <c r="J725" s="272">
        <f>IFERROR(VLOOKUP((D725&amp;C725)&amp;"",'[2]Retail Price List'!$C$4:$F$102,3,FALSE),"")</f>
        <v>1715000</v>
      </c>
      <c r="K725" s="272">
        <f>IFERROR(IF(BA725="WIP - 30 Days",VLOOKUP(D725,[3]Standard!$B$9:$E$101,4,FALSE),IF(BA725="31-120 Days",VLOOKUP(D725,[3]Standard!$B$9:$F$101,5,FALSE),IF(BA725="121-365 Days",VLOOKUP(D725,[3]Standard!$B$9:$G$101,6,FALSE),VLOOKUP(D725,[3]Standard!$B$9:$H$101,7,FALSE)))),0)</f>
        <v>1280676.25</v>
      </c>
      <c r="L725" s="272">
        <f>IFERROR(IF(BA725="WIP - 30 Days",VLOOKUP(D725,[3]Standard!$B$9:$J$101,9,FALSE),IF(BA725="31-120 Days",VLOOKUP(D725,[3]Standard!$B$9:$K$100,10,FALSE),IF(BA725="121-365 Days",VLOOKUP(D725,[3]Standard!$B$9:$L$101,11,FALSE),VLOOKUP(D725,[3]Standard!$B$9:$M$101,12,FALSE)))),0)</f>
        <v>1243375</v>
      </c>
      <c r="M725" s="269">
        <f>IFERROR(VLOOKUP((D725&amp;C725)&amp;"",'[2]Retail Price List'!$C$4:$F$102,4,FALSE),"")</f>
        <v>1750000</v>
      </c>
      <c r="N725" s="269">
        <f>IFERROR(IF(BA725="WIP - 30 Days",VLOOKUP(D725,[3]Extended!$B$9:$E$101,4,FALSE),IF(BA725="31-120 Days",VLOOKUP(D725,[3]Extended!$B$9:$F$101,5,FALSE),IF(BA725="121-365 Days",VLOOKUP(D725,[3]Extended!$B$9:$G$101,6,FALSE),VLOOKUP(D725,[3]Extended!$B$9:$H$101,7,FALSE)))),0)</f>
        <v>1333850</v>
      </c>
      <c r="O725" s="269">
        <f>IFERROR(IF(BA725="WIP - 30 Days",VLOOKUP(D725,[3]Extended!$B$9:$J$101,9,FALSE),IF(BA725="31-120 Days",VLOOKUP(D725,[3]Extended!$B$9:$K$101,10,FALSE),IF(BA725="121-365 Days",VLOOKUP(D725,[3]Extended!$B$9:$L$101,11,FALSE),VLOOKUP(D725,[3]Extended!$B$9:$M$101,12,FALSE)))),0)</f>
        <v>1295000</v>
      </c>
      <c r="P725" s="116">
        <f t="shared" si="56"/>
        <v>0.26</v>
      </c>
      <c r="Q725" s="110" t="e">
        <f>O725-#REF!</f>
        <v>#REF!</v>
      </c>
      <c r="W725" s="311"/>
      <c r="X725" s="311"/>
      <c r="Y725" s="311"/>
      <c r="Z725" s="311"/>
      <c r="AA725" s="311"/>
      <c r="AB725" s="311"/>
      <c r="AC725" s="311"/>
      <c r="AT725" s="88" t="str">
        <f t="shared" si="57"/>
        <v>KP0006592017Q314,7</v>
      </c>
      <c r="AU725" s="89" t="str">
        <f t="shared" si="58"/>
        <v>07-2017</v>
      </c>
      <c r="BA725" s="92" t="str">
        <f t="shared" si="59"/>
        <v>WIP - 30 Days</v>
      </c>
    </row>
    <row r="726" spans="2:53">
      <c r="B726" s="60">
        <f>[2]Trucks!A723</f>
        <v>47536</v>
      </c>
      <c r="C726" s="11" t="str">
        <f>[2]Trucks!B723</f>
        <v>TGS-27-4806X4BBS-LX</v>
      </c>
      <c r="D726" s="19" t="str">
        <f>IFERROR(VLOOKUP(C726&amp;"",'[2]Retail Price List'!$A$3:$B$103,2,FALSE),"Special Order")</f>
        <v>KP000659</v>
      </c>
      <c r="E726" s="18" t="str">
        <f>[2]Trucks!J723</f>
        <v>CKD</v>
      </c>
      <c r="F726" s="12" t="str">
        <f>[2]Trucks!E723</f>
        <v>2017-11-20</v>
      </c>
      <c r="G726" s="56">
        <f>[2]Trucks!K723</f>
        <v>14.7</v>
      </c>
      <c r="H726" s="46">
        <f>[2]Trucks!I723</f>
        <v>42937</v>
      </c>
      <c r="I726" s="83" t="str">
        <f t="shared" si="55"/>
        <v>2017Q3</v>
      </c>
      <c r="J726" s="272">
        <f>IFERROR(VLOOKUP((D726&amp;C726)&amp;"",'[2]Retail Price List'!$C$4:$F$102,3,FALSE),"")</f>
        <v>1715000</v>
      </c>
      <c r="K726" s="272">
        <f>IFERROR(IF(BA726="WIP - 30 Days",VLOOKUP(D726,[3]Standard!$B$9:$E$101,4,FALSE),IF(BA726="31-120 Days",VLOOKUP(D726,[3]Standard!$B$9:$F$101,5,FALSE),IF(BA726="121-365 Days",VLOOKUP(D726,[3]Standard!$B$9:$G$101,6,FALSE),VLOOKUP(D726,[3]Standard!$B$9:$H$101,7,FALSE)))),0)</f>
        <v>1280676.25</v>
      </c>
      <c r="L726" s="272">
        <f>IFERROR(IF(BA726="WIP - 30 Days",VLOOKUP(D726,[3]Standard!$B$9:$J$101,9,FALSE),IF(BA726="31-120 Days",VLOOKUP(D726,[3]Standard!$B$9:$K$100,10,FALSE),IF(BA726="121-365 Days",VLOOKUP(D726,[3]Standard!$B$9:$L$101,11,FALSE),VLOOKUP(D726,[3]Standard!$B$9:$M$101,12,FALSE)))),0)</f>
        <v>1243375</v>
      </c>
      <c r="M726" s="269">
        <f>IFERROR(VLOOKUP((D726&amp;C726)&amp;"",'[2]Retail Price List'!$C$4:$F$102,4,FALSE),"")</f>
        <v>1750000</v>
      </c>
      <c r="N726" s="269">
        <f>IFERROR(IF(BA726="WIP - 30 Days",VLOOKUP(D726,[3]Extended!$B$9:$E$101,4,FALSE),IF(BA726="31-120 Days",VLOOKUP(D726,[3]Extended!$B$9:$F$101,5,FALSE),IF(BA726="121-365 Days",VLOOKUP(D726,[3]Extended!$B$9:$G$101,6,FALSE),VLOOKUP(D726,[3]Extended!$B$9:$H$101,7,FALSE)))),0)</f>
        <v>1333850</v>
      </c>
      <c r="O726" s="269">
        <f>IFERROR(IF(BA726="WIP - 30 Days",VLOOKUP(D726,[3]Extended!$B$9:$J$101,9,FALSE),IF(BA726="31-120 Days",VLOOKUP(D726,[3]Extended!$B$9:$K$101,10,FALSE),IF(BA726="121-365 Days",VLOOKUP(D726,[3]Extended!$B$9:$L$101,11,FALSE),VLOOKUP(D726,[3]Extended!$B$9:$M$101,12,FALSE)))),0)</f>
        <v>1295000</v>
      </c>
      <c r="P726" s="116">
        <f t="shared" si="56"/>
        <v>0.26</v>
      </c>
      <c r="Q726" s="110" t="e">
        <f>O726-#REF!</f>
        <v>#REF!</v>
      </c>
      <c r="W726" s="311"/>
      <c r="X726" s="311"/>
      <c r="Y726" s="311"/>
      <c r="Z726" s="311"/>
      <c r="AA726" s="311"/>
      <c r="AB726" s="311"/>
      <c r="AC726" s="311"/>
      <c r="AT726" s="88" t="str">
        <f t="shared" si="57"/>
        <v>KP0006592017Q314,7</v>
      </c>
      <c r="AU726" s="89" t="str">
        <f t="shared" si="58"/>
        <v>07-2017</v>
      </c>
      <c r="BA726" s="92" t="str">
        <f t="shared" si="59"/>
        <v>WIP - 30 Days</v>
      </c>
    </row>
    <row r="727" spans="2:53">
      <c r="B727" s="60">
        <f>[2]Trucks!A724</f>
        <v>47537</v>
      </c>
      <c r="C727" s="11" t="str">
        <f>[2]Trucks!B724</f>
        <v>TGS-27-4806X4BBS-LX</v>
      </c>
      <c r="D727" s="19" t="str">
        <f>IFERROR(VLOOKUP(C727&amp;"",'[2]Retail Price List'!$A$3:$B$103,2,FALSE),"Special Order")</f>
        <v>KP000659</v>
      </c>
      <c r="E727" s="18" t="str">
        <f>[2]Trucks!J724</f>
        <v>CKD</v>
      </c>
      <c r="F727" s="12" t="str">
        <f>[2]Trucks!E724</f>
        <v>2017-11-20</v>
      </c>
      <c r="G727" s="56">
        <f>[2]Trucks!K724</f>
        <v>14.7</v>
      </c>
      <c r="H727" s="46">
        <f>[2]Trucks!I724</f>
        <v>42937</v>
      </c>
      <c r="I727" s="83" t="str">
        <f t="shared" si="55"/>
        <v>2017Q3</v>
      </c>
      <c r="J727" s="272">
        <f>IFERROR(VLOOKUP((D727&amp;C727)&amp;"",'[2]Retail Price List'!$C$4:$F$102,3,FALSE),"")</f>
        <v>1715000</v>
      </c>
      <c r="K727" s="272">
        <f>IFERROR(IF(BA727="WIP - 30 Days",VLOOKUP(D727,[3]Standard!$B$9:$E$101,4,FALSE),IF(BA727="31-120 Days",VLOOKUP(D727,[3]Standard!$B$9:$F$101,5,FALSE),IF(BA727="121-365 Days",VLOOKUP(D727,[3]Standard!$B$9:$G$101,6,FALSE),VLOOKUP(D727,[3]Standard!$B$9:$H$101,7,FALSE)))),0)</f>
        <v>1280676.25</v>
      </c>
      <c r="L727" s="272">
        <f>IFERROR(IF(BA727="WIP - 30 Days",VLOOKUP(D727,[3]Standard!$B$9:$J$101,9,FALSE),IF(BA727="31-120 Days",VLOOKUP(D727,[3]Standard!$B$9:$K$100,10,FALSE),IF(BA727="121-365 Days",VLOOKUP(D727,[3]Standard!$B$9:$L$101,11,FALSE),VLOOKUP(D727,[3]Standard!$B$9:$M$101,12,FALSE)))),0)</f>
        <v>1243375</v>
      </c>
      <c r="M727" s="269">
        <f>IFERROR(VLOOKUP((D727&amp;C727)&amp;"",'[2]Retail Price List'!$C$4:$F$102,4,FALSE),"")</f>
        <v>1750000</v>
      </c>
      <c r="N727" s="269">
        <f>IFERROR(IF(BA727="WIP - 30 Days",VLOOKUP(D727,[3]Extended!$B$9:$E$101,4,FALSE),IF(BA727="31-120 Days",VLOOKUP(D727,[3]Extended!$B$9:$F$101,5,FALSE),IF(BA727="121-365 Days",VLOOKUP(D727,[3]Extended!$B$9:$G$101,6,FALSE),VLOOKUP(D727,[3]Extended!$B$9:$H$101,7,FALSE)))),0)</f>
        <v>1333850</v>
      </c>
      <c r="O727" s="269">
        <f>IFERROR(IF(BA727="WIP - 30 Days",VLOOKUP(D727,[3]Extended!$B$9:$J$101,9,FALSE),IF(BA727="31-120 Days",VLOOKUP(D727,[3]Extended!$B$9:$K$101,10,FALSE),IF(BA727="121-365 Days",VLOOKUP(D727,[3]Extended!$B$9:$L$101,11,FALSE),VLOOKUP(D727,[3]Extended!$B$9:$M$101,12,FALSE)))),0)</f>
        <v>1295000</v>
      </c>
      <c r="P727" s="116">
        <f t="shared" si="56"/>
        <v>0.26</v>
      </c>
      <c r="Q727" s="110" t="e">
        <f>O727-#REF!</f>
        <v>#REF!</v>
      </c>
      <c r="W727" s="311"/>
      <c r="X727" s="311"/>
      <c r="Y727" s="311"/>
      <c r="Z727" s="311"/>
      <c r="AA727" s="311"/>
      <c r="AB727" s="311"/>
      <c r="AC727" s="311"/>
      <c r="AT727" s="88" t="str">
        <f t="shared" si="57"/>
        <v>KP0006592017Q314,7</v>
      </c>
      <c r="AU727" s="89" t="str">
        <f t="shared" si="58"/>
        <v>07-2017</v>
      </c>
      <c r="BA727" s="92" t="str">
        <f t="shared" si="59"/>
        <v>WIP - 30 Days</v>
      </c>
    </row>
    <row r="728" spans="2:53">
      <c r="B728" s="60">
        <f>[2]Trucks!A725</f>
        <v>47538</v>
      </c>
      <c r="C728" s="11" t="str">
        <f>[2]Trucks!B725</f>
        <v>TGS-27-4806X4BBS-LX</v>
      </c>
      <c r="D728" s="19" t="str">
        <f>IFERROR(VLOOKUP(C728&amp;"",'[2]Retail Price List'!$A$3:$B$103,2,FALSE),"Special Order")</f>
        <v>KP000659</v>
      </c>
      <c r="E728" s="18" t="str">
        <f>[2]Trucks!J725</f>
        <v>CKD</v>
      </c>
      <c r="F728" s="12" t="str">
        <f>[2]Trucks!E725</f>
        <v>2017-11-30</v>
      </c>
      <c r="G728" s="56">
        <f>[2]Trucks!K725</f>
        <v>14.7</v>
      </c>
      <c r="H728" s="46">
        <f>[2]Trucks!I725</f>
        <v>42937</v>
      </c>
      <c r="I728" s="83" t="str">
        <f t="shared" si="55"/>
        <v>2017Q3</v>
      </c>
      <c r="J728" s="272">
        <f>IFERROR(VLOOKUP((D728&amp;C728)&amp;"",'[2]Retail Price List'!$C$4:$F$102,3,FALSE),"")</f>
        <v>1715000</v>
      </c>
      <c r="K728" s="272">
        <f>IFERROR(IF(BA728="WIP - 30 Days",VLOOKUP(D728,[3]Standard!$B$9:$E$101,4,FALSE),IF(BA728="31-120 Days",VLOOKUP(D728,[3]Standard!$B$9:$F$101,5,FALSE),IF(BA728="121-365 Days",VLOOKUP(D728,[3]Standard!$B$9:$G$101,6,FALSE),VLOOKUP(D728,[3]Standard!$B$9:$H$101,7,FALSE)))),0)</f>
        <v>1280676.25</v>
      </c>
      <c r="L728" s="272">
        <f>IFERROR(IF(BA728="WIP - 30 Days",VLOOKUP(D728,[3]Standard!$B$9:$J$101,9,FALSE),IF(BA728="31-120 Days",VLOOKUP(D728,[3]Standard!$B$9:$K$100,10,FALSE),IF(BA728="121-365 Days",VLOOKUP(D728,[3]Standard!$B$9:$L$101,11,FALSE),VLOOKUP(D728,[3]Standard!$B$9:$M$101,12,FALSE)))),0)</f>
        <v>1243375</v>
      </c>
      <c r="M728" s="269">
        <f>IFERROR(VLOOKUP((D728&amp;C728)&amp;"",'[2]Retail Price List'!$C$4:$F$102,4,FALSE),"")</f>
        <v>1750000</v>
      </c>
      <c r="N728" s="269">
        <f>IFERROR(IF(BA728="WIP - 30 Days",VLOOKUP(D728,[3]Extended!$B$9:$E$101,4,FALSE),IF(BA728="31-120 Days",VLOOKUP(D728,[3]Extended!$B$9:$F$101,5,FALSE),IF(BA728="121-365 Days",VLOOKUP(D728,[3]Extended!$B$9:$G$101,6,FALSE),VLOOKUP(D728,[3]Extended!$B$9:$H$101,7,FALSE)))),0)</f>
        <v>1333850</v>
      </c>
      <c r="O728" s="269">
        <f>IFERROR(IF(BA728="WIP - 30 Days",VLOOKUP(D728,[3]Extended!$B$9:$J$101,9,FALSE),IF(BA728="31-120 Days",VLOOKUP(D728,[3]Extended!$B$9:$K$101,10,FALSE),IF(BA728="121-365 Days",VLOOKUP(D728,[3]Extended!$B$9:$L$101,11,FALSE),VLOOKUP(D728,[3]Extended!$B$9:$M$101,12,FALSE)))),0)</f>
        <v>1295000</v>
      </c>
      <c r="P728" s="116">
        <f t="shared" si="56"/>
        <v>0.26</v>
      </c>
      <c r="Q728" s="110" t="e">
        <f>O728-#REF!</f>
        <v>#REF!</v>
      </c>
      <c r="W728" s="311"/>
      <c r="X728" s="311"/>
      <c r="Y728" s="311"/>
      <c r="Z728" s="311"/>
      <c r="AA728" s="311"/>
      <c r="AB728" s="311"/>
      <c r="AC728" s="311"/>
      <c r="AT728" s="88" t="str">
        <f t="shared" si="57"/>
        <v>KP0006592017Q314,7</v>
      </c>
      <c r="AU728" s="89" t="str">
        <f t="shared" si="58"/>
        <v>07-2017</v>
      </c>
      <c r="BA728" s="92" t="str">
        <f t="shared" si="59"/>
        <v>WIP - 30 Days</v>
      </c>
    </row>
    <row r="729" spans="2:53">
      <c r="B729" s="60">
        <f>[2]Trucks!A726</f>
        <v>47539</v>
      </c>
      <c r="C729" s="11" t="str">
        <f>[2]Trucks!B726</f>
        <v>TGS-27-4806X4BBS-LX</v>
      </c>
      <c r="D729" s="19" t="str">
        <f>IFERROR(VLOOKUP(C729&amp;"",'[2]Retail Price List'!$A$3:$B$103,2,FALSE),"Special Order")</f>
        <v>KP000659</v>
      </c>
      <c r="E729" s="18" t="str">
        <f>[2]Trucks!J726</f>
        <v>CKD</v>
      </c>
      <c r="F729" s="12" t="str">
        <f>[2]Trucks!E726</f>
        <v>2017-11-30</v>
      </c>
      <c r="G729" s="56">
        <f>[2]Trucks!K726</f>
        <v>14.7</v>
      </c>
      <c r="H729" s="46">
        <f>[2]Trucks!I726</f>
        <v>42937</v>
      </c>
      <c r="I729" s="83" t="str">
        <f t="shared" si="55"/>
        <v>2017Q3</v>
      </c>
      <c r="J729" s="272">
        <f>IFERROR(VLOOKUP((D729&amp;C729)&amp;"",'[2]Retail Price List'!$C$4:$F$102,3,FALSE),"")</f>
        <v>1715000</v>
      </c>
      <c r="K729" s="272">
        <f>IFERROR(IF(BA729="WIP - 30 Days",VLOOKUP(D729,[3]Standard!$B$9:$E$101,4,FALSE),IF(BA729="31-120 Days",VLOOKUP(D729,[3]Standard!$B$9:$F$101,5,FALSE),IF(BA729="121-365 Days",VLOOKUP(D729,[3]Standard!$B$9:$G$101,6,FALSE),VLOOKUP(D729,[3]Standard!$B$9:$H$101,7,FALSE)))),0)</f>
        <v>1280676.25</v>
      </c>
      <c r="L729" s="272">
        <f>IFERROR(IF(BA729="WIP - 30 Days",VLOOKUP(D729,[3]Standard!$B$9:$J$101,9,FALSE),IF(BA729="31-120 Days",VLOOKUP(D729,[3]Standard!$B$9:$K$100,10,FALSE),IF(BA729="121-365 Days",VLOOKUP(D729,[3]Standard!$B$9:$L$101,11,FALSE),VLOOKUP(D729,[3]Standard!$B$9:$M$101,12,FALSE)))),0)</f>
        <v>1243375</v>
      </c>
      <c r="M729" s="269">
        <f>IFERROR(VLOOKUP((D729&amp;C729)&amp;"",'[2]Retail Price List'!$C$4:$F$102,4,FALSE),"")</f>
        <v>1750000</v>
      </c>
      <c r="N729" s="269">
        <f>IFERROR(IF(BA729="WIP - 30 Days",VLOOKUP(D729,[3]Extended!$B$9:$E$101,4,FALSE),IF(BA729="31-120 Days",VLOOKUP(D729,[3]Extended!$B$9:$F$101,5,FALSE),IF(BA729="121-365 Days",VLOOKUP(D729,[3]Extended!$B$9:$G$101,6,FALSE),VLOOKUP(D729,[3]Extended!$B$9:$H$101,7,FALSE)))),0)</f>
        <v>1333850</v>
      </c>
      <c r="O729" s="269">
        <f>IFERROR(IF(BA729="WIP - 30 Days",VLOOKUP(D729,[3]Extended!$B$9:$J$101,9,FALSE),IF(BA729="31-120 Days",VLOOKUP(D729,[3]Extended!$B$9:$K$101,10,FALSE),IF(BA729="121-365 Days",VLOOKUP(D729,[3]Extended!$B$9:$L$101,11,FALSE),VLOOKUP(D729,[3]Extended!$B$9:$M$101,12,FALSE)))),0)</f>
        <v>1295000</v>
      </c>
      <c r="P729" s="116">
        <f t="shared" si="56"/>
        <v>0.26</v>
      </c>
      <c r="Q729" s="110" t="e">
        <f>O729-#REF!</f>
        <v>#REF!</v>
      </c>
      <c r="W729" s="311"/>
      <c r="X729" s="311"/>
      <c r="Y729" s="311"/>
      <c r="Z729" s="311"/>
      <c r="AA729" s="311"/>
      <c r="AB729" s="311"/>
      <c r="AC729" s="311"/>
      <c r="AT729" s="88" t="str">
        <f t="shared" si="57"/>
        <v>KP0006592017Q314,7</v>
      </c>
      <c r="AU729" s="89" t="str">
        <f t="shared" si="58"/>
        <v>07-2017</v>
      </c>
      <c r="BA729" s="92" t="str">
        <f t="shared" si="59"/>
        <v>WIP - 30 Days</v>
      </c>
    </row>
    <row r="730" spans="2:53">
      <c r="B730" s="60">
        <f>[2]Trucks!A727</f>
        <v>47540</v>
      </c>
      <c r="C730" s="11" t="str">
        <f>[2]Trucks!B727</f>
        <v>TGS-27-4806X4BBS-LX</v>
      </c>
      <c r="D730" s="19" t="str">
        <f>IFERROR(VLOOKUP(C730&amp;"",'[2]Retail Price List'!$A$3:$B$103,2,FALSE),"Special Order")</f>
        <v>KP000659</v>
      </c>
      <c r="E730" s="18" t="str">
        <f>[2]Trucks!J727</f>
        <v>CKD</v>
      </c>
      <c r="F730" s="12" t="str">
        <f>[2]Trucks!E727</f>
        <v>2017-11-30</v>
      </c>
      <c r="G730" s="56">
        <f>[2]Trucks!K727</f>
        <v>14.7</v>
      </c>
      <c r="H730" s="46">
        <f>[2]Trucks!I727</f>
        <v>42937</v>
      </c>
      <c r="I730" s="83" t="str">
        <f t="shared" si="55"/>
        <v>2017Q3</v>
      </c>
      <c r="J730" s="272">
        <f>IFERROR(VLOOKUP((D730&amp;C730)&amp;"",'[2]Retail Price List'!$C$4:$F$102,3,FALSE),"")</f>
        <v>1715000</v>
      </c>
      <c r="K730" s="272">
        <f>IFERROR(IF(BA730="WIP - 30 Days",VLOOKUP(D730,[3]Standard!$B$9:$E$101,4,FALSE),IF(BA730="31-120 Days",VLOOKUP(D730,[3]Standard!$B$9:$F$101,5,FALSE),IF(BA730="121-365 Days",VLOOKUP(D730,[3]Standard!$B$9:$G$101,6,FALSE),VLOOKUP(D730,[3]Standard!$B$9:$H$101,7,FALSE)))),0)</f>
        <v>1280676.25</v>
      </c>
      <c r="L730" s="272">
        <f>IFERROR(IF(BA730="WIP - 30 Days",VLOOKUP(D730,[3]Standard!$B$9:$J$101,9,FALSE),IF(BA730="31-120 Days",VLOOKUP(D730,[3]Standard!$B$9:$K$100,10,FALSE),IF(BA730="121-365 Days",VLOOKUP(D730,[3]Standard!$B$9:$L$101,11,FALSE),VLOOKUP(D730,[3]Standard!$B$9:$M$101,12,FALSE)))),0)</f>
        <v>1243375</v>
      </c>
      <c r="M730" s="269">
        <f>IFERROR(VLOOKUP((D730&amp;C730)&amp;"",'[2]Retail Price List'!$C$4:$F$102,4,FALSE),"")</f>
        <v>1750000</v>
      </c>
      <c r="N730" s="269">
        <f>IFERROR(IF(BA730="WIP - 30 Days",VLOOKUP(D730,[3]Extended!$B$9:$E$101,4,FALSE),IF(BA730="31-120 Days",VLOOKUP(D730,[3]Extended!$B$9:$F$101,5,FALSE),IF(BA730="121-365 Days",VLOOKUP(D730,[3]Extended!$B$9:$G$101,6,FALSE),VLOOKUP(D730,[3]Extended!$B$9:$H$101,7,FALSE)))),0)</f>
        <v>1333850</v>
      </c>
      <c r="O730" s="269">
        <f>IFERROR(IF(BA730="WIP - 30 Days",VLOOKUP(D730,[3]Extended!$B$9:$J$101,9,FALSE),IF(BA730="31-120 Days",VLOOKUP(D730,[3]Extended!$B$9:$K$101,10,FALSE),IF(BA730="121-365 Days",VLOOKUP(D730,[3]Extended!$B$9:$L$101,11,FALSE),VLOOKUP(D730,[3]Extended!$B$9:$M$101,12,FALSE)))),0)</f>
        <v>1295000</v>
      </c>
      <c r="P730" s="116">
        <f t="shared" si="56"/>
        <v>0.26</v>
      </c>
      <c r="Q730" s="110" t="e">
        <f>O730-#REF!</f>
        <v>#REF!</v>
      </c>
      <c r="W730" s="311"/>
      <c r="X730" s="311"/>
      <c r="Y730" s="311"/>
      <c r="Z730" s="311"/>
      <c r="AA730" s="311"/>
      <c r="AB730" s="311"/>
      <c r="AC730" s="311"/>
      <c r="AT730" s="88" t="str">
        <f t="shared" si="57"/>
        <v>KP0006592017Q314,7</v>
      </c>
      <c r="AU730" s="89" t="str">
        <f t="shared" si="58"/>
        <v>07-2017</v>
      </c>
      <c r="BA730" s="92" t="str">
        <f t="shared" si="59"/>
        <v>WIP - 30 Days</v>
      </c>
    </row>
    <row r="731" spans="2:53">
      <c r="B731" s="60">
        <f>[2]Trucks!A728</f>
        <v>47541</v>
      </c>
      <c r="C731" s="11" t="str">
        <f>[2]Trucks!B728</f>
        <v>TGS-27-4806X4BBS-LX</v>
      </c>
      <c r="D731" s="19" t="str">
        <f>IFERROR(VLOOKUP(C731&amp;"",'[2]Retail Price List'!$A$3:$B$103,2,FALSE),"Special Order")</f>
        <v>KP000659</v>
      </c>
      <c r="E731" s="18" t="str">
        <f>[2]Trucks!J728</f>
        <v>CKD</v>
      </c>
      <c r="F731" s="12" t="str">
        <f>[2]Trucks!E728</f>
        <v>2017-11-30</v>
      </c>
      <c r="G731" s="56">
        <f>[2]Trucks!K728</f>
        <v>14.7</v>
      </c>
      <c r="H731" s="46">
        <f>[2]Trucks!I728</f>
        <v>42937</v>
      </c>
      <c r="I731" s="83" t="str">
        <f t="shared" si="55"/>
        <v>2017Q3</v>
      </c>
      <c r="J731" s="272">
        <f>IFERROR(VLOOKUP((D731&amp;C731)&amp;"",'[2]Retail Price List'!$C$4:$F$102,3,FALSE),"")</f>
        <v>1715000</v>
      </c>
      <c r="K731" s="272">
        <f>IFERROR(IF(BA731="WIP - 30 Days",VLOOKUP(D731,[3]Standard!$B$9:$E$101,4,FALSE),IF(BA731="31-120 Days",VLOOKUP(D731,[3]Standard!$B$9:$F$101,5,FALSE),IF(BA731="121-365 Days",VLOOKUP(D731,[3]Standard!$B$9:$G$101,6,FALSE),VLOOKUP(D731,[3]Standard!$B$9:$H$101,7,FALSE)))),0)</f>
        <v>1280676.25</v>
      </c>
      <c r="L731" s="272">
        <f>IFERROR(IF(BA731="WIP - 30 Days",VLOOKUP(D731,[3]Standard!$B$9:$J$101,9,FALSE),IF(BA731="31-120 Days",VLOOKUP(D731,[3]Standard!$B$9:$K$100,10,FALSE),IF(BA731="121-365 Days",VLOOKUP(D731,[3]Standard!$B$9:$L$101,11,FALSE),VLOOKUP(D731,[3]Standard!$B$9:$M$101,12,FALSE)))),0)</f>
        <v>1243375</v>
      </c>
      <c r="M731" s="269">
        <f>IFERROR(VLOOKUP((D731&amp;C731)&amp;"",'[2]Retail Price List'!$C$4:$F$102,4,FALSE),"")</f>
        <v>1750000</v>
      </c>
      <c r="N731" s="269">
        <f>IFERROR(IF(BA731="WIP - 30 Days",VLOOKUP(D731,[3]Extended!$B$9:$E$101,4,FALSE),IF(BA731="31-120 Days",VLOOKUP(D731,[3]Extended!$B$9:$F$101,5,FALSE),IF(BA731="121-365 Days",VLOOKUP(D731,[3]Extended!$B$9:$G$101,6,FALSE),VLOOKUP(D731,[3]Extended!$B$9:$H$101,7,FALSE)))),0)</f>
        <v>1333850</v>
      </c>
      <c r="O731" s="269">
        <f>IFERROR(IF(BA731="WIP - 30 Days",VLOOKUP(D731,[3]Extended!$B$9:$J$101,9,FALSE),IF(BA731="31-120 Days",VLOOKUP(D731,[3]Extended!$B$9:$K$101,10,FALSE),IF(BA731="121-365 Days",VLOOKUP(D731,[3]Extended!$B$9:$L$101,11,FALSE),VLOOKUP(D731,[3]Extended!$B$9:$M$101,12,FALSE)))),0)</f>
        <v>1295000</v>
      </c>
      <c r="P731" s="116">
        <f t="shared" si="56"/>
        <v>0.26</v>
      </c>
      <c r="Q731" s="110" t="e">
        <f>O731-#REF!</f>
        <v>#REF!</v>
      </c>
      <c r="W731" s="311"/>
      <c r="X731" s="311"/>
      <c r="Y731" s="311"/>
      <c r="Z731" s="311"/>
      <c r="AA731" s="311"/>
      <c r="AB731" s="311"/>
      <c r="AC731" s="311"/>
      <c r="AT731" s="88" t="str">
        <f t="shared" si="57"/>
        <v>KP0006592017Q314,7</v>
      </c>
      <c r="AU731" s="89" t="str">
        <f t="shared" si="58"/>
        <v>07-2017</v>
      </c>
      <c r="BA731" s="92" t="str">
        <f t="shared" si="59"/>
        <v>WIP - 30 Days</v>
      </c>
    </row>
    <row r="732" spans="2:53">
      <c r="B732" s="60">
        <f>[2]Trucks!A729</f>
        <v>47747</v>
      </c>
      <c r="C732" s="11" t="str">
        <f>[2]Trucks!B729</f>
        <v>TGS-27-4806X4BBS-LX</v>
      </c>
      <c r="D732" s="19" t="str">
        <f>IFERROR(VLOOKUP(C732&amp;"",'[2]Retail Price List'!$A$3:$B$103,2,FALSE),"Special Order")</f>
        <v>KP000659</v>
      </c>
      <c r="E732" s="18" t="str">
        <f>[2]Trucks!J729</f>
        <v>CKD</v>
      </c>
      <c r="F732" s="12" t="str">
        <f>[2]Trucks!E729</f>
        <v>2018-02-28</v>
      </c>
      <c r="G732" s="56">
        <f>[2]Trucks!K729</f>
        <v>14.7</v>
      </c>
      <c r="H732" s="46">
        <f>[2]Trucks!I729</f>
        <v>42947</v>
      </c>
      <c r="I732" s="83" t="str">
        <f t="shared" si="55"/>
        <v>2017Q3</v>
      </c>
      <c r="J732" s="272">
        <f>IFERROR(VLOOKUP((D732&amp;C732)&amp;"",'[2]Retail Price List'!$C$4:$F$102,3,FALSE),"")</f>
        <v>1715000</v>
      </c>
      <c r="K732" s="272">
        <f>IFERROR(IF(BA732="WIP - 30 Days",VLOOKUP(D732,[3]Standard!$B$9:$E$101,4,FALSE),IF(BA732="31-120 Days",VLOOKUP(D732,[3]Standard!$B$9:$F$101,5,FALSE),IF(BA732="121-365 Days",VLOOKUP(D732,[3]Standard!$B$9:$G$101,6,FALSE),VLOOKUP(D732,[3]Standard!$B$9:$H$101,7,FALSE)))),0)</f>
        <v>1280676.25</v>
      </c>
      <c r="L732" s="272">
        <f>IFERROR(IF(BA732="WIP - 30 Days",VLOOKUP(D732,[3]Standard!$B$9:$J$101,9,FALSE),IF(BA732="31-120 Days",VLOOKUP(D732,[3]Standard!$B$9:$K$100,10,FALSE),IF(BA732="121-365 Days",VLOOKUP(D732,[3]Standard!$B$9:$L$101,11,FALSE),VLOOKUP(D732,[3]Standard!$B$9:$M$101,12,FALSE)))),0)</f>
        <v>1243375</v>
      </c>
      <c r="M732" s="269">
        <f>IFERROR(VLOOKUP((D732&amp;C732)&amp;"",'[2]Retail Price List'!$C$4:$F$102,4,FALSE),"")</f>
        <v>1750000</v>
      </c>
      <c r="N732" s="269">
        <f>IFERROR(IF(BA732="WIP - 30 Days",VLOOKUP(D732,[3]Extended!$B$9:$E$101,4,FALSE),IF(BA732="31-120 Days",VLOOKUP(D732,[3]Extended!$B$9:$F$101,5,FALSE),IF(BA732="121-365 Days",VLOOKUP(D732,[3]Extended!$B$9:$G$101,6,FALSE),VLOOKUP(D732,[3]Extended!$B$9:$H$101,7,FALSE)))),0)</f>
        <v>1333850</v>
      </c>
      <c r="O732" s="269">
        <f>IFERROR(IF(BA732="WIP - 30 Days",VLOOKUP(D732,[3]Extended!$B$9:$J$101,9,FALSE),IF(BA732="31-120 Days",VLOOKUP(D732,[3]Extended!$B$9:$K$101,10,FALSE),IF(BA732="121-365 Days",VLOOKUP(D732,[3]Extended!$B$9:$L$101,11,FALSE),VLOOKUP(D732,[3]Extended!$B$9:$M$101,12,FALSE)))),0)</f>
        <v>1295000</v>
      </c>
      <c r="P732" s="116">
        <f t="shared" si="56"/>
        <v>0.26</v>
      </c>
      <c r="Q732" s="110" t="e">
        <f>O732-#REF!</f>
        <v>#REF!</v>
      </c>
      <c r="W732" s="311"/>
      <c r="X732" s="311"/>
      <c r="Y732" s="311"/>
      <c r="Z732" s="311"/>
      <c r="AA732" s="311"/>
      <c r="AB732" s="311"/>
      <c r="AC732" s="311"/>
      <c r="AT732" s="88" t="str">
        <f t="shared" si="57"/>
        <v>KP0006592017Q314,7</v>
      </c>
      <c r="AU732" s="89" t="str">
        <f t="shared" si="58"/>
        <v>07-2017</v>
      </c>
      <c r="BA732" s="92" t="str">
        <f t="shared" si="59"/>
        <v>WIP - 30 Days</v>
      </c>
    </row>
    <row r="733" spans="2:53">
      <c r="B733" s="60">
        <f>[2]Trucks!A730</f>
        <v>47748</v>
      </c>
      <c r="C733" s="11" t="str">
        <f>[2]Trucks!B730</f>
        <v>TGS-27-4806X4BBS-LX</v>
      </c>
      <c r="D733" s="19" t="str">
        <f>IFERROR(VLOOKUP(C733&amp;"",'[2]Retail Price List'!$A$3:$B$103,2,FALSE),"Special Order")</f>
        <v>KP000659</v>
      </c>
      <c r="E733" s="18" t="str">
        <f>[2]Trucks!J730</f>
        <v>CKD</v>
      </c>
      <c r="F733" s="12" t="str">
        <f>[2]Trucks!E730</f>
        <v>2018-02-28</v>
      </c>
      <c r="G733" s="56">
        <f>[2]Trucks!K730</f>
        <v>14.7</v>
      </c>
      <c r="H733" s="46">
        <f>[2]Trucks!I730</f>
        <v>42947</v>
      </c>
      <c r="I733" s="83" t="str">
        <f t="shared" si="55"/>
        <v>2017Q3</v>
      </c>
      <c r="J733" s="272">
        <f>IFERROR(VLOOKUP((D733&amp;C733)&amp;"",'[2]Retail Price List'!$C$4:$F$102,3,FALSE),"")</f>
        <v>1715000</v>
      </c>
      <c r="K733" s="272">
        <f>IFERROR(IF(BA733="WIP - 30 Days",VLOOKUP(D733,[3]Standard!$B$9:$E$101,4,FALSE),IF(BA733="31-120 Days",VLOOKUP(D733,[3]Standard!$B$9:$F$101,5,FALSE),IF(BA733="121-365 Days",VLOOKUP(D733,[3]Standard!$B$9:$G$101,6,FALSE),VLOOKUP(D733,[3]Standard!$B$9:$H$101,7,FALSE)))),0)</f>
        <v>1280676.25</v>
      </c>
      <c r="L733" s="272">
        <f>IFERROR(IF(BA733="WIP - 30 Days",VLOOKUP(D733,[3]Standard!$B$9:$J$101,9,FALSE),IF(BA733="31-120 Days",VLOOKUP(D733,[3]Standard!$B$9:$K$100,10,FALSE),IF(BA733="121-365 Days",VLOOKUP(D733,[3]Standard!$B$9:$L$101,11,FALSE),VLOOKUP(D733,[3]Standard!$B$9:$M$101,12,FALSE)))),0)</f>
        <v>1243375</v>
      </c>
      <c r="M733" s="269">
        <f>IFERROR(VLOOKUP((D733&amp;C733)&amp;"",'[2]Retail Price List'!$C$4:$F$102,4,FALSE),"")</f>
        <v>1750000</v>
      </c>
      <c r="N733" s="269">
        <f>IFERROR(IF(BA733="WIP - 30 Days",VLOOKUP(D733,[3]Extended!$B$9:$E$101,4,FALSE),IF(BA733="31-120 Days",VLOOKUP(D733,[3]Extended!$B$9:$F$101,5,FALSE),IF(BA733="121-365 Days",VLOOKUP(D733,[3]Extended!$B$9:$G$101,6,FALSE),VLOOKUP(D733,[3]Extended!$B$9:$H$101,7,FALSE)))),0)</f>
        <v>1333850</v>
      </c>
      <c r="O733" s="269">
        <f>IFERROR(IF(BA733="WIP - 30 Days",VLOOKUP(D733,[3]Extended!$B$9:$J$101,9,FALSE),IF(BA733="31-120 Days",VLOOKUP(D733,[3]Extended!$B$9:$K$101,10,FALSE),IF(BA733="121-365 Days",VLOOKUP(D733,[3]Extended!$B$9:$L$101,11,FALSE),VLOOKUP(D733,[3]Extended!$B$9:$M$101,12,FALSE)))),0)</f>
        <v>1295000</v>
      </c>
      <c r="P733" s="116">
        <f t="shared" si="56"/>
        <v>0.26</v>
      </c>
      <c r="Q733" s="110" t="e">
        <f>O733-#REF!</f>
        <v>#REF!</v>
      </c>
      <c r="W733" s="311"/>
      <c r="X733" s="311"/>
      <c r="Y733" s="311"/>
      <c r="Z733" s="311"/>
      <c r="AA733" s="311"/>
      <c r="AB733" s="311"/>
      <c r="AC733" s="311"/>
      <c r="AT733" s="88" t="str">
        <f t="shared" si="57"/>
        <v>KP0006592017Q314,7</v>
      </c>
      <c r="AU733" s="89" t="str">
        <f t="shared" si="58"/>
        <v>07-2017</v>
      </c>
      <c r="BA733" s="92" t="str">
        <f t="shared" si="59"/>
        <v>WIP - 30 Days</v>
      </c>
    </row>
    <row r="734" spans="2:53">
      <c r="B734" s="60">
        <f>[2]Trucks!A731</f>
        <v>47749</v>
      </c>
      <c r="C734" s="11" t="str">
        <f>[2]Trucks!B731</f>
        <v>TGS-27-4806X4BBS-LX</v>
      </c>
      <c r="D734" s="19" t="str">
        <f>IFERROR(VLOOKUP(C734&amp;"",'[2]Retail Price List'!$A$3:$B$103,2,FALSE),"Special Order")</f>
        <v>KP000659</v>
      </c>
      <c r="E734" s="18" t="str">
        <f>[2]Trucks!J731</f>
        <v>CKD</v>
      </c>
      <c r="F734" s="12" t="str">
        <f>[2]Trucks!E731</f>
        <v>2018-02-28</v>
      </c>
      <c r="G734" s="56">
        <f>[2]Trucks!K731</f>
        <v>14.7</v>
      </c>
      <c r="H734" s="46">
        <f>[2]Trucks!I731</f>
        <v>42947</v>
      </c>
      <c r="I734" s="83" t="str">
        <f t="shared" si="55"/>
        <v>2017Q3</v>
      </c>
      <c r="J734" s="272">
        <f>IFERROR(VLOOKUP((D734&amp;C734)&amp;"",'[2]Retail Price List'!$C$4:$F$102,3,FALSE),"")</f>
        <v>1715000</v>
      </c>
      <c r="K734" s="272">
        <f>IFERROR(IF(BA734="WIP - 30 Days",VLOOKUP(D734,[3]Standard!$B$9:$E$101,4,FALSE),IF(BA734="31-120 Days",VLOOKUP(D734,[3]Standard!$B$9:$F$101,5,FALSE),IF(BA734="121-365 Days",VLOOKUP(D734,[3]Standard!$B$9:$G$101,6,FALSE),VLOOKUP(D734,[3]Standard!$B$9:$H$101,7,FALSE)))),0)</f>
        <v>1280676.25</v>
      </c>
      <c r="L734" s="272">
        <f>IFERROR(IF(BA734="WIP - 30 Days",VLOOKUP(D734,[3]Standard!$B$9:$J$101,9,FALSE),IF(BA734="31-120 Days",VLOOKUP(D734,[3]Standard!$B$9:$K$100,10,FALSE),IF(BA734="121-365 Days",VLOOKUP(D734,[3]Standard!$B$9:$L$101,11,FALSE),VLOOKUP(D734,[3]Standard!$B$9:$M$101,12,FALSE)))),0)</f>
        <v>1243375</v>
      </c>
      <c r="M734" s="269">
        <f>IFERROR(VLOOKUP((D734&amp;C734)&amp;"",'[2]Retail Price List'!$C$4:$F$102,4,FALSE),"")</f>
        <v>1750000</v>
      </c>
      <c r="N734" s="269">
        <f>IFERROR(IF(BA734="WIP - 30 Days",VLOOKUP(D734,[3]Extended!$B$9:$E$101,4,FALSE),IF(BA734="31-120 Days",VLOOKUP(D734,[3]Extended!$B$9:$F$101,5,FALSE),IF(BA734="121-365 Days",VLOOKUP(D734,[3]Extended!$B$9:$G$101,6,FALSE),VLOOKUP(D734,[3]Extended!$B$9:$H$101,7,FALSE)))),0)</f>
        <v>1333850</v>
      </c>
      <c r="O734" s="269">
        <f>IFERROR(IF(BA734="WIP - 30 Days",VLOOKUP(D734,[3]Extended!$B$9:$J$101,9,FALSE),IF(BA734="31-120 Days",VLOOKUP(D734,[3]Extended!$B$9:$K$101,10,FALSE),IF(BA734="121-365 Days",VLOOKUP(D734,[3]Extended!$B$9:$L$101,11,FALSE),VLOOKUP(D734,[3]Extended!$B$9:$M$101,12,FALSE)))),0)</f>
        <v>1295000</v>
      </c>
      <c r="P734" s="116">
        <f t="shared" si="56"/>
        <v>0.26</v>
      </c>
      <c r="Q734" s="110" t="e">
        <f>O734-#REF!</f>
        <v>#REF!</v>
      </c>
      <c r="W734" s="311"/>
      <c r="X734" s="311"/>
      <c r="Y734" s="311"/>
      <c r="Z734" s="311"/>
      <c r="AA734" s="311"/>
      <c r="AB734" s="311"/>
      <c r="AC734" s="311"/>
      <c r="AT734" s="88" t="str">
        <f t="shared" si="57"/>
        <v>KP0006592017Q314,7</v>
      </c>
      <c r="AU734" s="89" t="str">
        <f t="shared" si="58"/>
        <v>07-2017</v>
      </c>
      <c r="BA734" s="92" t="str">
        <f t="shared" si="59"/>
        <v>WIP - 30 Days</v>
      </c>
    </row>
    <row r="735" spans="2:53">
      <c r="B735" s="60">
        <f>[2]Trucks!A732</f>
        <v>47750</v>
      </c>
      <c r="C735" s="11" t="str">
        <f>[2]Trucks!B732</f>
        <v>TGS-27-4806X4BBS-LX</v>
      </c>
      <c r="D735" s="19" t="str">
        <f>IFERROR(VLOOKUP(C735&amp;"",'[2]Retail Price List'!$A$3:$B$103,2,FALSE),"Special Order")</f>
        <v>KP000659</v>
      </c>
      <c r="E735" s="18" t="str">
        <f>[2]Trucks!J732</f>
        <v>CKD</v>
      </c>
      <c r="F735" s="12" t="str">
        <f>[2]Trucks!E732</f>
        <v>2018-02-28</v>
      </c>
      <c r="G735" s="56">
        <f>[2]Trucks!K732</f>
        <v>14.7</v>
      </c>
      <c r="H735" s="46">
        <f>[2]Trucks!I732</f>
        <v>42947</v>
      </c>
      <c r="I735" s="83" t="str">
        <f t="shared" si="55"/>
        <v>2017Q3</v>
      </c>
      <c r="J735" s="272">
        <f>IFERROR(VLOOKUP((D735&amp;C735)&amp;"",'[2]Retail Price List'!$C$4:$F$102,3,FALSE),"")</f>
        <v>1715000</v>
      </c>
      <c r="K735" s="272">
        <f>IFERROR(IF(BA735="WIP - 30 Days",VLOOKUP(D735,[3]Standard!$B$9:$E$101,4,FALSE),IF(BA735="31-120 Days",VLOOKUP(D735,[3]Standard!$B$9:$F$101,5,FALSE),IF(BA735="121-365 Days",VLOOKUP(D735,[3]Standard!$B$9:$G$101,6,FALSE),VLOOKUP(D735,[3]Standard!$B$9:$H$101,7,FALSE)))),0)</f>
        <v>1280676.25</v>
      </c>
      <c r="L735" s="272">
        <f>IFERROR(IF(BA735="WIP - 30 Days",VLOOKUP(D735,[3]Standard!$B$9:$J$101,9,FALSE),IF(BA735="31-120 Days",VLOOKUP(D735,[3]Standard!$B$9:$K$100,10,FALSE),IF(BA735="121-365 Days",VLOOKUP(D735,[3]Standard!$B$9:$L$101,11,FALSE),VLOOKUP(D735,[3]Standard!$B$9:$M$101,12,FALSE)))),0)</f>
        <v>1243375</v>
      </c>
      <c r="M735" s="269">
        <f>IFERROR(VLOOKUP((D735&amp;C735)&amp;"",'[2]Retail Price List'!$C$4:$F$102,4,FALSE),"")</f>
        <v>1750000</v>
      </c>
      <c r="N735" s="269">
        <f>IFERROR(IF(BA735="WIP - 30 Days",VLOOKUP(D735,[3]Extended!$B$9:$E$101,4,FALSE),IF(BA735="31-120 Days",VLOOKUP(D735,[3]Extended!$B$9:$F$101,5,FALSE),IF(BA735="121-365 Days",VLOOKUP(D735,[3]Extended!$B$9:$G$101,6,FALSE),VLOOKUP(D735,[3]Extended!$B$9:$H$101,7,FALSE)))),0)</f>
        <v>1333850</v>
      </c>
      <c r="O735" s="269">
        <f>IFERROR(IF(BA735="WIP - 30 Days",VLOOKUP(D735,[3]Extended!$B$9:$J$101,9,FALSE),IF(BA735="31-120 Days",VLOOKUP(D735,[3]Extended!$B$9:$K$101,10,FALSE),IF(BA735="121-365 Days",VLOOKUP(D735,[3]Extended!$B$9:$L$101,11,FALSE),VLOOKUP(D735,[3]Extended!$B$9:$M$101,12,FALSE)))),0)</f>
        <v>1295000</v>
      </c>
      <c r="P735" s="116">
        <f t="shared" si="56"/>
        <v>0.26</v>
      </c>
      <c r="Q735" s="110" t="e">
        <f>O735-#REF!</f>
        <v>#REF!</v>
      </c>
      <c r="W735" s="311"/>
      <c r="X735" s="311"/>
      <c r="Y735" s="311"/>
      <c r="Z735" s="311"/>
      <c r="AA735" s="311"/>
      <c r="AB735" s="311"/>
      <c r="AC735" s="311"/>
      <c r="AT735" s="88" t="str">
        <f t="shared" si="57"/>
        <v>KP0006592017Q314,7</v>
      </c>
      <c r="AU735" s="89" t="str">
        <f t="shared" si="58"/>
        <v>07-2017</v>
      </c>
      <c r="BA735" s="92" t="str">
        <f t="shared" si="59"/>
        <v>WIP - 30 Days</v>
      </c>
    </row>
    <row r="736" spans="2:53">
      <c r="B736" s="60">
        <f>[2]Trucks!A733</f>
        <v>47751</v>
      </c>
      <c r="C736" s="11" t="str">
        <f>[2]Trucks!B733</f>
        <v>TGS-27-4806X4BBS-LX</v>
      </c>
      <c r="D736" s="19" t="str">
        <f>IFERROR(VLOOKUP(C736&amp;"",'[2]Retail Price List'!$A$3:$B$103,2,FALSE),"Special Order")</f>
        <v>KP000659</v>
      </c>
      <c r="E736" s="18" t="str">
        <f>[2]Trucks!J733</f>
        <v>CKD</v>
      </c>
      <c r="F736" s="12" t="str">
        <f>[2]Trucks!E733</f>
        <v>2018-03-10</v>
      </c>
      <c r="G736" s="56">
        <f>[2]Trucks!K733</f>
        <v>14.7</v>
      </c>
      <c r="H736" s="46">
        <f>[2]Trucks!I733</f>
        <v>42947</v>
      </c>
      <c r="I736" s="83" t="str">
        <f t="shared" si="55"/>
        <v>2017Q3</v>
      </c>
      <c r="J736" s="272">
        <f>IFERROR(VLOOKUP((D736&amp;C736)&amp;"",'[2]Retail Price List'!$C$4:$F$102,3,FALSE),"")</f>
        <v>1715000</v>
      </c>
      <c r="K736" s="272">
        <f>IFERROR(IF(BA736="WIP - 30 Days",VLOOKUP(D736,[3]Standard!$B$9:$E$101,4,FALSE),IF(BA736="31-120 Days",VLOOKUP(D736,[3]Standard!$B$9:$F$101,5,FALSE),IF(BA736="121-365 Days",VLOOKUP(D736,[3]Standard!$B$9:$G$101,6,FALSE),VLOOKUP(D736,[3]Standard!$B$9:$H$101,7,FALSE)))),0)</f>
        <v>1280676.25</v>
      </c>
      <c r="L736" s="272">
        <f>IFERROR(IF(BA736="WIP - 30 Days",VLOOKUP(D736,[3]Standard!$B$9:$J$101,9,FALSE),IF(BA736="31-120 Days",VLOOKUP(D736,[3]Standard!$B$9:$K$100,10,FALSE),IF(BA736="121-365 Days",VLOOKUP(D736,[3]Standard!$B$9:$L$101,11,FALSE),VLOOKUP(D736,[3]Standard!$B$9:$M$101,12,FALSE)))),0)</f>
        <v>1243375</v>
      </c>
      <c r="M736" s="269">
        <f>IFERROR(VLOOKUP((D736&amp;C736)&amp;"",'[2]Retail Price List'!$C$4:$F$102,4,FALSE),"")</f>
        <v>1750000</v>
      </c>
      <c r="N736" s="269">
        <f>IFERROR(IF(BA736="WIP - 30 Days",VLOOKUP(D736,[3]Extended!$B$9:$E$101,4,FALSE),IF(BA736="31-120 Days",VLOOKUP(D736,[3]Extended!$B$9:$F$101,5,FALSE),IF(BA736="121-365 Days",VLOOKUP(D736,[3]Extended!$B$9:$G$101,6,FALSE),VLOOKUP(D736,[3]Extended!$B$9:$H$101,7,FALSE)))),0)</f>
        <v>1333850</v>
      </c>
      <c r="O736" s="269">
        <f>IFERROR(IF(BA736="WIP - 30 Days",VLOOKUP(D736,[3]Extended!$B$9:$J$101,9,FALSE),IF(BA736="31-120 Days",VLOOKUP(D736,[3]Extended!$B$9:$K$101,10,FALSE),IF(BA736="121-365 Days",VLOOKUP(D736,[3]Extended!$B$9:$L$101,11,FALSE),VLOOKUP(D736,[3]Extended!$B$9:$M$101,12,FALSE)))),0)</f>
        <v>1295000</v>
      </c>
      <c r="P736" s="116">
        <f t="shared" si="56"/>
        <v>0.26</v>
      </c>
      <c r="Q736" s="110" t="e">
        <f>O736-#REF!</f>
        <v>#REF!</v>
      </c>
      <c r="W736" s="311"/>
      <c r="X736" s="311"/>
      <c r="Y736" s="311"/>
      <c r="Z736" s="311"/>
      <c r="AA736" s="311"/>
      <c r="AB736" s="311"/>
      <c r="AC736" s="311"/>
      <c r="AT736" s="88" t="str">
        <f t="shared" si="57"/>
        <v>KP0006592017Q314,7</v>
      </c>
      <c r="AU736" s="89" t="str">
        <f t="shared" si="58"/>
        <v>07-2017</v>
      </c>
      <c r="BA736" s="92" t="str">
        <f t="shared" si="59"/>
        <v>WIP - 30 Days</v>
      </c>
    </row>
    <row r="737" spans="2:53">
      <c r="B737" s="60">
        <f>[2]Trucks!A734</f>
        <v>47752</v>
      </c>
      <c r="C737" s="11" t="str">
        <f>[2]Trucks!B734</f>
        <v>TGS-27-4806X4BBS-LX</v>
      </c>
      <c r="D737" s="19" t="str">
        <f>IFERROR(VLOOKUP(C737&amp;"",'[2]Retail Price List'!$A$3:$B$103,2,FALSE),"Special Order")</f>
        <v>KP000659</v>
      </c>
      <c r="E737" s="18" t="str">
        <f>[2]Trucks!J734</f>
        <v>CKD</v>
      </c>
      <c r="F737" s="12" t="str">
        <f>[2]Trucks!E734</f>
        <v>2018-03-10</v>
      </c>
      <c r="G737" s="56">
        <f>[2]Trucks!K734</f>
        <v>14.7</v>
      </c>
      <c r="H737" s="46">
        <f>[2]Trucks!I734</f>
        <v>42947</v>
      </c>
      <c r="I737" s="83" t="str">
        <f t="shared" si="55"/>
        <v>2017Q3</v>
      </c>
      <c r="J737" s="272">
        <f>IFERROR(VLOOKUP((D737&amp;C737)&amp;"",'[2]Retail Price List'!$C$4:$F$102,3,FALSE),"")</f>
        <v>1715000</v>
      </c>
      <c r="K737" s="272">
        <f>IFERROR(IF(BA737="WIP - 30 Days",VLOOKUP(D737,[3]Standard!$B$9:$E$101,4,FALSE),IF(BA737="31-120 Days",VLOOKUP(D737,[3]Standard!$B$9:$F$101,5,FALSE),IF(BA737="121-365 Days",VLOOKUP(D737,[3]Standard!$B$9:$G$101,6,FALSE),VLOOKUP(D737,[3]Standard!$B$9:$H$101,7,FALSE)))),0)</f>
        <v>1280676.25</v>
      </c>
      <c r="L737" s="272">
        <f>IFERROR(IF(BA737="WIP - 30 Days",VLOOKUP(D737,[3]Standard!$B$9:$J$101,9,FALSE),IF(BA737="31-120 Days",VLOOKUP(D737,[3]Standard!$B$9:$K$100,10,FALSE),IF(BA737="121-365 Days",VLOOKUP(D737,[3]Standard!$B$9:$L$101,11,FALSE),VLOOKUP(D737,[3]Standard!$B$9:$M$101,12,FALSE)))),0)</f>
        <v>1243375</v>
      </c>
      <c r="M737" s="269">
        <f>IFERROR(VLOOKUP((D737&amp;C737)&amp;"",'[2]Retail Price List'!$C$4:$F$102,4,FALSE),"")</f>
        <v>1750000</v>
      </c>
      <c r="N737" s="269">
        <f>IFERROR(IF(BA737="WIP - 30 Days",VLOOKUP(D737,[3]Extended!$B$9:$E$101,4,FALSE),IF(BA737="31-120 Days",VLOOKUP(D737,[3]Extended!$B$9:$F$101,5,FALSE),IF(BA737="121-365 Days",VLOOKUP(D737,[3]Extended!$B$9:$G$101,6,FALSE),VLOOKUP(D737,[3]Extended!$B$9:$H$101,7,FALSE)))),0)</f>
        <v>1333850</v>
      </c>
      <c r="O737" s="269">
        <f>IFERROR(IF(BA737="WIP - 30 Days",VLOOKUP(D737,[3]Extended!$B$9:$J$101,9,FALSE),IF(BA737="31-120 Days",VLOOKUP(D737,[3]Extended!$B$9:$K$101,10,FALSE),IF(BA737="121-365 Days",VLOOKUP(D737,[3]Extended!$B$9:$L$101,11,FALSE),VLOOKUP(D737,[3]Extended!$B$9:$M$101,12,FALSE)))),0)</f>
        <v>1295000</v>
      </c>
      <c r="P737" s="116">
        <f t="shared" si="56"/>
        <v>0.26</v>
      </c>
      <c r="Q737" s="110" t="e">
        <f>O737-#REF!</f>
        <v>#REF!</v>
      </c>
      <c r="W737" s="311"/>
      <c r="X737" s="311"/>
      <c r="Y737" s="311"/>
      <c r="Z737" s="311"/>
      <c r="AA737" s="311"/>
      <c r="AB737" s="311"/>
      <c r="AC737" s="311"/>
      <c r="AT737" s="88" t="str">
        <f t="shared" si="57"/>
        <v>KP0006592017Q314,7</v>
      </c>
      <c r="AU737" s="89" t="str">
        <f t="shared" si="58"/>
        <v>07-2017</v>
      </c>
      <c r="BA737" s="92" t="str">
        <f t="shared" si="59"/>
        <v>WIP - 30 Days</v>
      </c>
    </row>
    <row r="738" spans="2:53">
      <c r="B738" s="60">
        <f>[2]Trucks!A735</f>
        <v>47753</v>
      </c>
      <c r="C738" s="11" t="str">
        <f>[2]Trucks!B735</f>
        <v>TGS-27-4806X4BBS-LX</v>
      </c>
      <c r="D738" s="19" t="str">
        <f>IFERROR(VLOOKUP(C738&amp;"",'[2]Retail Price List'!$A$3:$B$103,2,FALSE),"Special Order")</f>
        <v>KP000659</v>
      </c>
      <c r="E738" s="18" t="str">
        <f>[2]Trucks!J735</f>
        <v>CKD</v>
      </c>
      <c r="F738" s="12" t="str">
        <f>[2]Trucks!E735</f>
        <v>2018-03-10</v>
      </c>
      <c r="G738" s="56">
        <f>[2]Trucks!K735</f>
        <v>14.7</v>
      </c>
      <c r="H738" s="46">
        <f>[2]Trucks!I735</f>
        <v>42947</v>
      </c>
      <c r="I738" s="83" t="str">
        <f t="shared" si="55"/>
        <v>2017Q3</v>
      </c>
      <c r="J738" s="272">
        <f>IFERROR(VLOOKUP((D738&amp;C738)&amp;"",'[2]Retail Price List'!$C$4:$F$102,3,FALSE),"")</f>
        <v>1715000</v>
      </c>
      <c r="K738" s="272">
        <f>IFERROR(IF(BA738="WIP - 30 Days",VLOOKUP(D738,[3]Standard!$B$9:$E$101,4,FALSE),IF(BA738="31-120 Days",VLOOKUP(D738,[3]Standard!$B$9:$F$101,5,FALSE),IF(BA738="121-365 Days",VLOOKUP(D738,[3]Standard!$B$9:$G$101,6,FALSE),VLOOKUP(D738,[3]Standard!$B$9:$H$101,7,FALSE)))),0)</f>
        <v>1280676.25</v>
      </c>
      <c r="L738" s="272">
        <f>IFERROR(IF(BA738="WIP - 30 Days",VLOOKUP(D738,[3]Standard!$B$9:$J$101,9,FALSE),IF(BA738="31-120 Days",VLOOKUP(D738,[3]Standard!$B$9:$K$100,10,FALSE),IF(BA738="121-365 Days",VLOOKUP(D738,[3]Standard!$B$9:$L$101,11,FALSE),VLOOKUP(D738,[3]Standard!$B$9:$M$101,12,FALSE)))),0)</f>
        <v>1243375</v>
      </c>
      <c r="M738" s="269">
        <f>IFERROR(VLOOKUP((D738&amp;C738)&amp;"",'[2]Retail Price List'!$C$4:$F$102,4,FALSE),"")</f>
        <v>1750000</v>
      </c>
      <c r="N738" s="269">
        <f>IFERROR(IF(BA738="WIP - 30 Days",VLOOKUP(D738,[3]Extended!$B$9:$E$101,4,FALSE),IF(BA738="31-120 Days",VLOOKUP(D738,[3]Extended!$B$9:$F$101,5,FALSE),IF(BA738="121-365 Days",VLOOKUP(D738,[3]Extended!$B$9:$G$101,6,FALSE),VLOOKUP(D738,[3]Extended!$B$9:$H$101,7,FALSE)))),0)</f>
        <v>1333850</v>
      </c>
      <c r="O738" s="269">
        <f>IFERROR(IF(BA738="WIP - 30 Days",VLOOKUP(D738,[3]Extended!$B$9:$J$101,9,FALSE),IF(BA738="31-120 Days",VLOOKUP(D738,[3]Extended!$B$9:$K$101,10,FALSE),IF(BA738="121-365 Days",VLOOKUP(D738,[3]Extended!$B$9:$L$101,11,FALSE),VLOOKUP(D738,[3]Extended!$B$9:$M$101,12,FALSE)))),0)</f>
        <v>1295000</v>
      </c>
      <c r="P738" s="116">
        <f t="shared" si="56"/>
        <v>0.26</v>
      </c>
      <c r="Q738" s="110" t="e">
        <f>O738-#REF!</f>
        <v>#REF!</v>
      </c>
      <c r="W738" s="311"/>
      <c r="X738" s="311"/>
      <c r="Y738" s="311"/>
      <c r="Z738" s="311"/>
      <c r="AA738" s="311"/>
      <c r="AB738" s="311"/>
      <c r="AC738" s="311"/>
      <c r="AT738" s="88" t="str">
        <f t="shared" si="57"/>
        <v>KP0006592017Q314,7</v>
      </c>
      <c r="AU738" s="89" t="str">
        <f t="shared" si="58"/>
        <v>07-2017</v>
      </c>
      <c r="BA738" s="92" t="str">
        <f t="shared" si="59"/>
        <v>WIP - 30 Days</v>
      </c>
    </row>
    <row r="739" spans="2:53">
      <c r="B739" s="60">
        <f>[2]Trucks!A736</f>
        <v>47754</v>
      </c>
      <c r="C739" s="11" t="str">
        <f>[2]Trucks!B736</f>
        <v>TGS-27-4806X4BBS-LX</v>
      </c>
      <c r="D739" s="19" t="str">
        <f>IFERROR(VLOOKUP(C739&amp;"",'[2]Retail Price List'!$A$3:$B$103,2,FALSE),"Special Order")</f>
        <v>KP000659</v>
      </c>
      <c r="E739" s="18" t="str">
        <f>[2]Trucks!J736</f>
        <v>CKD</v>
      </c>
      <c r="F739" s="12" t="str">
        <f>[2]Trucks!E736</f>
        <v>2018-03-10</v>
      </c>
      <c r="G739" s="56">
        <f>[2]Trucks!K736</f>
        <v>14.7</v>
      </c>
      <c r="H739" s="46">
        <f>[2]Trucks!I736</f>
        <v>42947</v>
      </c>
      <c r="I739" s="83" t="str">
        <f t="shared" si="55"/>
        <v>2017Q3</v>
      </c>
      <c r="J739" s="272">
        <f>IFERROR(VLOOKUP((D739&amp;C739)&amp;"",'[2]Retail Price List'!$C$4:$F$102,3,FALSE),"")</f>
        <v>1715000</v>
      </c>
      <c r="K739" s="272">
        <f>IFERROR(IF(BA739="WIP - 30 Days",VLOOKUP(D739,[3]Standard!$B$9:$E$101,4,FALSE),IF(BA739="31-120 Days",VLOOKUP(D739,[3]Standard!$B$9:$F$101,5,FALSE),IF(BA739="121-365 Days",VLOOKUP(D739,[3]Standard!$B$9:$G$101,6,FALSE),VLOOKUP(D739,[3]Standard!$B$9:$H$101,7,FALSE)))),0)</f>
        <v>1280676.25</v>
      </c>
      <c r="L739" s="272">
        <f>IFERROR(IF(BA739="WIP - 30 Days",VLOOKUP(D739,[3]Standard!$B$9:$J$101,9,FALSE),IF(BA739="31-120 Days",VLOOKUP(D739,[3]Standard!$B$9:$K$100,10,FALSE),IF(BA739="121-365 Days",VLOOKUP(D739,[3]Standard!$B$9:$L$101,11,FALSE),VLOOKUP(D739,[3]Standard!$B$9:$M$101,12,FALSE)))),0)</f>
        <v>1243375</v>
      </c>
      <c r="M739" s="269">
        <f>IFERROR(VLOOKUP((D739&amp;C739)&amp;"",'[2]Retail Price List'!$C$4:$F$102,4,FALSE),"")</f>
        <v>1750000</v>
      </c>
      <c r="N739" s="269">
        <f>IFERROR(IF(BA739="WIP - 30 Days",VLOOKUP(D739,[3]Extended!$B$9:$E$101,4,FALSE),IF(BA739="31-120 Days",VLOOKUP(D739,[3]Extended!$B$9:$F$101,5,FALSE),IF(BA739="121-365 Days",VLOOKUP(D739,[3]Extended!$B$9:$G$101,6,FALSE),VLOOKUP(D739,[3]Extended!$B$9:$H$101,7,FALSE)))),0)</f>
        <v>1333850</v>
      </c>
      <c r="O739" s="269">
        <f>IFERROR(IF(BA739="WIP - 30 Days",VLOOKUP(D739,[3]Extended!$B$9:$J$101,9,FALSE),IF(BA739="31-120 Days",VLOOKUP(D739,[3]Extended!$B$9:$K$101,10,FALSE),IF(BA739="121-365 Days",VLOOKUP(D739,[3]Extended!$B$9:$L$101,11,FALSE),VLOOKUP(D739,[3]Extended!$B$9:$M$101,12,FALSE)))),0)</f>
        <v>1295000</v>
      </c>
      <c r="P739" s="116">
        <f t="shared" si="56"/>
        <v>0.26</v>
      </c>
      <c r="Q739" s="110" t="e">
        <f>O739-#REF!</f>
        <v>#REF!</v>
      </c>
      <c r="W739" s="311"/>
      <c r="X739" s="311"/>
      <c r="Y739" s="311"/>
      <c r="Z739" s="311"/>
      <c r="AA739" s="311"/>
      <c r="AB739" s="311"/>
      <c r="AC739" s="311"/>
      <c r="AT739" s="88" t="str">
        <f t="shared" si="57"/>
        <v>KP0006592017Q314,7</v>
      </c>
      <c r="AU739" s="89" t="str">
        <f t="shared" si="58"/>
        <v>07-2017</v>
      </c>
      <c r="BA739" s="92" t="str">
        <f t="shared" si="59"/>
        <v>WIP - 30 Days</v>
      </c>
    </row>
    <row r="740" spans="2:53">
      <c r="B740" s="60" t="str">
        <f>[2]Trucks!A737</f>
        <v>76W-9049</v>
      </c>
      <c r="C740" s="11" t="str">
        <f>[2]Trucks!B737</f>
        <v>TGS-27-4806X4BBS-LX</v>
      </c>
      <c r="D740" s="19" t="str">
        <f>IFERROR(VLOOKUP(C740&amp;"",'[2]Retail Price List'!$A$3:$B$103,2,FALSE),"Special Order")</f>
        <v>KP000659</v>
      </c>
      <c r="E740" s="18" t="str">
        <f>[2]Trucks!J737</f>
        <v>UNSOLD</v>
      </c>
      <c r="F740" s="12">
        <f>[2]Trucks!E737</f>
        <v>11</v>
      </c>
      <c r="G740" s="56">
        <f>[2]Trucks!K737</f>
        <v>16</v>
      </c>
      <c r="H740" s="46">
        <f>[2]Trucks!I737</f>
        <v>42712</v>
      </c>
      <c r="I740" s="83" t="str">
        <f t="shared" si="55"/>
        <v>2016Q4</v>
      </c>
      <c r="J740" s="272">
        <f>IFERROR(VLOOKUP((D740&amp;C740)&amp;"",'[2]Retail Price List'!$C$4:$F$102,3,FALSE),"")</f>
        <v>1715000</v>
      </c>
      <c r="K740" s="272">
        <f>IFERROR(IF(BA740="WIP - 30 Days",VLOOKUP(D740,[3]Standard!$B$9:$E$101,4,FALSE),IF(BA740="31-120 Days",VLOOKUP(D740,[3]Standard!$B$9:$F$101,5,FALSE),IF(BA740="121-365 Days",VLOOKUP(D740,[3]Standard!$B$9:$G$101,6,FALSE),VLOOKUP(D740,[3]Standard!$B$9:$H$101,7,FALSE)))),0)</f>
        <v>1280676.25</v>
      </c>
      <c r="L740" s="272">
        <f>IFERROR(IF(BA740="WIP - 30 Days",VLOOKUP(D740,[3]Standard!$B$9:$J$101,9,FALSE),IF(BA740="31-120 Days",VLOOKUP(D740,[3]Standard!$B$9:$K$100,10,FALSE),IF(BA740="121-365 Days",VLOOKUP(D740,[3]Standard!$B$9:$L$101,11,FALSE),VLOOKUP(D740,[3]Standard!$B$9:$M$101,12,FALSE)))),0)</f>
        <v>1243375</v>
      </c>
      <c r="M740" s="269">
        <f>IFERROR(VLOOKUP((D740&amp;C740)&amp;"",'[2]Retail Price List'!$C$4:$F$102,4,FALSE),"")</f>
        <v>1750000</v>
      </c>
      <c r="N740" s="269">
        <f>IFERROR(IF(BA740="WIP - 30 Days",VLOOKUP(D740,[3]Extended!$B$9:$E$101,4,FALSE),IF(BA740="31-120 Days",VLOOKUP(D740,[3]Extended!$B$9:$F$101,5,FALSE),IF(BA740="121-365 Days",VLOOKUP(D740,[3]Extended!$B$9:$G$101,6,FALSE),VLOOKUP(D740,[3]Extended!$B$9:$H$101,7,FALSE)))),0)</f>
        <v>1333850</v>
      </c>
      <c r="O740" s="269">
        <f>IFERROR(IF(BA740="WIP - 30 Days",VLOOKUP(D740,[3]Extended!$B$9:$J$101,9,FALSE),IF(BA740="31-120 Days",VLOOKUP(D740,[3]Extended!$B$9:$K$101,10,FALSE),IF(BA740="121-365 Days",VLOOKUP(D740,[3]Extended!$B$9:$L$101,11,FALSE),VLOOKUP(D740,[3]Extended!$B$9:$M$101,12,FALSE)))),0)</f>
        <v>1295000</v>
      </c>
      <c r="P740" s="116">
        <f t="shared" si="56"/>
        <v>0.26</v>
      </c>
      <c r="Q740" s="110" t="e">
        <f>O740-#REF!</f>
        <v>#REF!</v>
      </c>
      <c r="W740" s="311"/>
      <c r="X740" s="311"/>
      <c r="Y740" s="311"/>
      <c r="Z740" s="311"/>
      <c r="AA740" s="311"/>
      <c r="AB740" s="311"/>
      <c r="AC740" s="311"/>
      <c r="AT740" s="88" t="str">
        <f t="shared" si="57"/>
        <v>KP0006592016Q416</v>
      </c>
      <c r="AU740" s="89" t="str">
        <f t="shared" si="58"/>
        <v>12-2016</v>
      </c>
      <c r="BA740" s="92" t="str">
        <f t="shared" si="59"/>
        <v>WIP - 30 Days</v>
      </c>
    </row>
    <row r="741" spans="2:53">
      <c r="B741" s="60" t="str">
        <f>[2]Trucks!A738</f>
        <v>TBAKP659</v>
      </c>
      <c r="C741" s="11" t="str">
        <f>[2]Trucks!B738</f>
        <v>TGS-27-4806X4BBS-LX</v>
      </c>
      <c r="D741" s="19" t="str">
        <f>IFERROR(VLOOKUP(C741&amp;"",'[2]Retail Price List'!$A$3:$B$103,2,FALSE),"Special Order")</f>
        <v>KP000659</v>
      </c>
      <c r="E741" s="18" t="str">
        <f>[2]Trucks!J738</f>
        <v>CKD</v>
      </c>
      <c r="F741" s="12" t="str">
        <f>[2]Trucks!E738</f>
        <v>2018-02-15</v>
      </c>
      <c r="G741" s="56">
        <f>[2]Trucks!K738</f>
        <v>14.7</v>
      </c>
      <c r="H741" s="46">
        <f>[2]Trucks!I738</f>
        <v>42921</v>
      </c>
      <c r="I741" s="83" t="str">
        <f t="shared" si="55"/>
        <v>2017Q3</v>
      </c>
      <c r="J741" s="272">
        <f>IFERROR(VLOOKUP((D741&amp;C741)&amp;"",'[2]Retail Price List'!$C$4:$F$102,3,FALSE),"")</f>
        <v>1715000</v>
      </c>
      <c r="K741" s="272">
        <f>IFERROR(IF(BA741="WIP - 30 Days",VLOOKUP(D741,[3]Standard!$B$9:$E$101,4,FALSE),IF(BA741="31-120 Days",VLOOKUP(D741,[3]Standard!$B$9:$F$101,5,FALSE),IF(BA741="121-365 Days",VLOOKUP(D741,[3]Standard!$B$9:$G$101,6,FALSE),VLOOKUP(D741,[3]Standard!$B$9:$H$101,7,FALSE)))),0)</f>
        <v>1280676.25</v>
      </c>
      <c r="L741" s="272">
        <f>IFERROR(IF(BA741="WIP - 30 Days",VLOOKUP(D741,[3]Standard!$B$9:$J$101,9,FALSE),IF(BA741="31-120 Days",VLOOKUP(D741,[3]Standard!$B$9:$K$100,10,FALSE),IF(BA741="121-365 Days",VLOOKUP(D741,[3]Standard!$B$9:$L$101,11,FALSE),VLOOKUP(D741,[3]Standard!$B$9:$M$101,12,FALSE)))),0)</f>
        <v>1243375</v>
      </c>
      <c r="M741" s="269">
        <f>IFERROR(VLOOKUP((D741&amp;C741)&amp;"",'[2]Retail Price List'!$C$4:$F$102,4,FALSE),"")</f>
        <v>1750000</v>
      </c>
      <c r="N741" s="269">
        <f>IFERROR(IF(BA741="WIP - 30 Days",VLOOKUP(D741,[3]Extended!$B$9:$E$101,4,FALSE),IF(BA741="31-120 Days",VLOOKUP(D741,[3]Extended!$B$9:$F$101,5,FALSE),IF(BA741="121-365 Days",VLOOKUP(D741,[3]Extended!$B$9:$G$101,6,FALSE),VLOOKUP(D741,[3]Extended!$B$9:$H$101,7,FALSE)))),0)</f>
        <v>1333850</v>
      </c>
      <c r="O741" s="269">
        <f>IFERROR(IF(BA741="WIP - 30 Days",VLOOKUP(D741,[3]Extended!$B$9:$J$101,9,FALSE),IF(BA741="31-120 Days",VLOOKUP(D741,[3]Extended!$B$9:$K$101,10,FALSE),IF(BA741="121-365 Days",VLOOKUP(D741,[3]Extended!$B$9:$L$101,11,FALSE),VLOOKUP(D741,[3]Extended!$B$9:$M$101,12,FALSE)))),0)</f>
        <v>1295000</v>
      </c>
      <c r="P741" s="116">
        <f t="shared" si="56"/>
        <v>0.26</v>
      </c>
      <c r="Q741" s="110" t="e">
        <f>O741-#REF!</f>
        <v>#REF!</v>
      </c>
      <c r="W741" s="311"/>
      <c r="X741" s="311"/>
      <c r="Y741" s="311"/>
      <c r="Z741" s="311"/>
      <c r="AA741" s="311"/>
      <c r="AB741" s="311"/>
      <c r="AC741" s="311"/>
      <c r="AT741" s="88" t="str">
        <f t="shared" si="57"/>
        <v>KP0006592017Q314,7</v>
      </c>
      <c r="AU741" s="89" t="str">
        <f t="shared" si="58"/>
        <v>07-2017</v>
      </c>
      <c r="BA741" s="92" t="str">
        <f t="shared" si="59"/>
        <v>WIP - 30 Days</v>
      </c>
    </row>
    <row r="742" spans="2:53">
      <c r="B742" s="60">
        <f>[2]Trucks!A739</f>
        <v>46952</v>
      </c>
      <c r="C742" s="11" t="str">
        <f>[2]Trucks!B739</f>
        <v>TGS-33-3606X4BB-M</v>
      </c>
      <c r="D742" s="19" t="str">
        <f>IFERROR(VLOOKUP(C742&amp;"",'[2]Retail Price List'!$A$3:$B$103,2,FALSE),"Special Order")</f>
        <v>KP000682</v>
      </c>
      <c r="E742" s="18" t="str">
        <f>[2]Trucks!J739</f>
        <v>CKD</v>
      </c>
      <c r="F742" s="12" t="str">
        <f>[2]Trucks!E739</f>
        <v>2017-11-10</v>
      </c>
      <c r="G742" s="56">
        <f>[2]Trucks!K739</f>
        <v>14.7</v>
      </c>
      <c r="H742" s="46">
        <f>[2]Trucks!I739</f>
        <v>42859</v>
      </c>
      <c r="I742" s="83" t="str">
        <f t="shared" si="55"/>
        <v>2017Q2</v>
      </c>
      <c r="J742" s="272">
        <f>IFERROR(VLOOKUP((D742&amp;C742)&amp;"",'[2]Retail Price List'!$C$4:$F$102,3,FALSE),"")</f>
        <v>1405000</v>
      </c>
      <c r="K742" s="272">
        <f>IFERROR(IF(BA742="WIP - 30 Days",VLOOKUP(D742,[3]Standard!$B$9:$E$101,4,FALSE),IF(BA742="31-120 Days",VLOOKUP(D742,[3]Standard!$B$9:$F$101,5,FALSE),IF(BA742="121-365 Days",VLOOKUP(D742,[3]Standard!$B$9:$G$101,6,FALSE),VLOOKUP(D742,[3]Standard!$B$9:$H$101,7,FALSE)))),0)</f>
        <v>1143248.5</v>
      </c>
      <c r="L742" s="272">
        <f>IFERROR(IF(BA742="WIP - 30 Days",VLOOKUP(D742,[3]Standard!$B$9:$J$101,9,FALSE),IF(BA742="31-120 Days",VLOOKUP(D742,[3]Standard!$B$9:$K$100,10,FALSE),IF(BA742="121-365 Days",VLOOKUP(D742,[3]Standard!$B$9:$L$101,11,FALSE),VLOOKUP(D742,[3]Standard!$B$9:$M$101,12,FALSE)))),0)</f>
        <v>1109950</v>
      </c>
      <c r="M742" s="269">
        <f>IFERROR(VLOOKUP((D742&amp;C742)&amp;"",'[2]Retail Price List'!$C$4:$F$102,4,FALSE),"")</f>
        <v>1445000</v>
      </c>
      <c r="N742" s="269">
        <f>IFERROR(IF(BA742="WIP - 30 Days",VLOOKUP(D742,[3]Extended!$B$9:$E$101,4,FALSE),IF(BA742="31-120 Days",VLOOKUP(D742,[3]Extended!$B$9:$F$101,5,FALSE),IF(BA742="121-365 Days",VLOOKUP(D742,[3]Extended!$B$9:$G$101,6,FALSE),VLOOKUP(D742,[3]Extended!$B$9:$H$101,7,FALSE)))),0)</f>
        <v>1175796.5</v>
      </c>
      <c r="O742" s="269">
        <f>IFERROR(IF(BA742="WIP - 30 Days",VLOOKUP(D742,[3]Extended!$B$9:$J$101,9,FALSE),IF(BA742="31-120 Days",VLOOKUP(D742,[3]Extended!$B$9:$K$101,10,FALSE),IF(BA742="121-365 Days",VLOOKUP(D742,[3]Extended!$B$9:$L$101,11,FALSE),VLOOKUP(D742,[3]Extended!$B$9:$M$101,12,FALSE)))),0)</f>
        <v>1141550</v>
      </c>
      <c r="P742" s="116">
        <f t="shared" si="56"/>
        <v>0.21</v>
      </c>
      <c r="Q742" s="110" t="e">
        <f>O742-#REF!</f>
        <v>#REF!</v>
      </c>
      <c r="W742" s="311"/>
      <c r="X742" s="311"/>
      <c r="Y742" s="311"/>
      <c r="Z742" s="311"/>
      <c r="AA742" s="311"/>
      <c r="AB742" s="311"/>
      <c r="AC742" s="311"/>
      <c r="AT742" s="88" t="str">
        <f t="shared" si="57"/>
        <v>KP0006822017Q214,7</v>
      </c>
      <c r="AU742" s="89" t="str">
        <f t="shared" si="58"/>
        <v>05-2017</v>
      </c>
      <c r="BA742" s="92" t="str">
        <f t="shared" si="59"/>
        <v>WIP - 30 Days</v>
      </c>
    </row>
    <row r="743" spans="2:53">
      <c r="B743" s="60">
        <f>[2]Trucks!A740</f>
        <v>46953</v>
      </c>
      <c r="C743" s="11" t="str">
        <f>[2]Trucks!B740</f>
        <v>TGS-33-3606X4BB-M</v>
      </c>
      <c r="D743" s="19" t="str">
        <f>IFERROR(VLOOKUP(C743&amp;"",'[2]Retail Price List'!$A$3:$B$103,2,FALSE),"Special Order")</f>
        <v>KP000682</v>
      </c>
      <c r="E743" s="18" t="str">
        <f>[2]Trucks!J740</f>
        <v>CKD</v>
      </c>
      <c r="F743" s="12" t="str">
        <f>[2]Trucks!E740</f>
        <v>2017-11-10</v>
      </c>
      <c r="G743" s="56">
        <f>[2]Trucks!K740</f>
        <v>14.7</v>
      </c>
      <c r="H743" s="46">
        <f>[2]Trucks!I740</f>
        <v>42859</v>
      </c>
      <c r="I743" s="83" t="str">
        <f t="shared" si="55"/>
        <v>2017Q2</v>
      </c>
      <c r="J743" s="272">
        <f>IFERROR(VLOOKUP((D743&amp;C743)&amp;"",'[2]Retail Price List'!$C$4:$F$102,3,FALSE),"")</f>
        <v>1405000</v>
      </c>
      <c r="K743" s="272">
        <f>IFERROR(IF(BA743="WIP - 30 Days",VLOOKUP(D743,[3]Standard!$B$9:$E$101,4,FALSE),IF(BA743="31-120 Days",VLOOKUP(D743,[3]Standard!$B$9:$F$101,5,FALSE),IF(BA743="121-365 Days",VLOOKUP(D743,[3]Standard!$B$9:$G$101,6,FALSE),VLOOKUP(D743,[3]Standard!$B$9:$H$101,7,FALSE)))),0)</f>
        <v>1143248.5</v>
      </c>
      <c r="L743" s="272">
        <f>IFERROR(IF(BA743="WIP - 30 Days",VLOOKUP(D743,[3]Standard!$B$9:$J$101,9,FALSE),IF(BA743="31-120 Days",VLOOKUP(D743,[3]Standard!$B$9:$K$100,10,FALSE),IF(BA743="121-365 Days",VLOOKUP(D743,[3]Standard!$B$9:$L$101,11,FALSE),VLOOKUP(D743,[3]Standard!$B$9:$M$101,12,FALSE)))),0)</f>
        <v>1109950</v>
      </c>
      <c r="M743" s="269">
        <f>IFERROR(VLOOKUP((D743&amp;C743)&amp;"",'[2]Retail Price List'!$C$4:$F$102,4,FALSE),"")</f>
        <v>1445000</v>
      </c>
      <c r="N743" s="269">
        <f>IFERROR(IF(BA743="WIP - 30 Days",VLOOKUP(D743,[3]Extended!$B$9:$E$101,4,FALSE),IF(BA743="31-120 Days",VLOOKUP(D743,[3]Extended!$B$9:$F$101,5,FALSE),IF(BA743="121-365 Days",VLOOKUP(D743,[3]Extended!$B$9:$G$101,6,FALSE),VLOOKUP(D743,[3]Extended!$B$9:$H$101,7,FALSE)))),0)</f>
        <v>1175796.5</v>
      </c>
      <c r="O743" s="269">
        <f>IFERROR(IF(BA743="WIP - 30 Days",VLOOKUP(D743,[3]Extended!$B$9:$J$101,9,FALSE),IF(BA743="31-120 Days",VLOOKUP(D743,[3]Extended!$B$9:$K$101,10,FALSE),IF(BA743="121-365 Days",VLOOKUP(D743,[3]Extended!$B$9:$L$101,11,FALSE),VLOOKUP(D743,[3]Extended!$B$9:$M$101,12,FALSE)))),0)</f>
        <v>1141550</v>
      </c>
      <c r="P743" s="116">
        <f t="shared" si="56"/>
        <v>0.21</v>
      </c>
      <c r="Q743" s="110" t="e">
        <f>O743-#REF!</f>
        <v>#REF!</v>
      </c>
      <c r="W743" s="311"/>
      <c r="X743" s="311"/>
      <c r="Y743" s="311"/>
      <c r="Z743" s="311"/>
      <c r="AA743" s="311"/>
      <c r="AB743" s="311"/>
      <c r="AC743" s="311"/>
      <c r="AT743" s="88" t="str">
        <f t="shared" si="57"/>
        <v>KP0006822017Q214,7</v>
      </c>
      <c r="AU743" s="89" t="str">
        <f t="shared" si="58"/>
        <v>05-2017</v>
      </c>
      <c r="BA743" s="92" t="str">
        <f t="shared" si="59"/>
        <v>WIP - 30 Days</v>
      </c>
    </row>
    <row r="744" spans="2:53">
      <c r="B744" s="60">
        <f>[2]Trucks!A741</f>
        <v>46954</v>
      </c>
      <c r="C744" s="11" t="str">
        <f>[2]Trucks!B741</f>
        <v>TGS-33-3606X4BB-M</v>
      </c>
      <c r="D744" s="19" t="str">
        <f>IFERROR(VLOOKUP(C744&amp;"",'[2]Retail Price List'!$A$3:$B$103,2,FALSE),"Special Order")</f>
        <v>KP000682</v>
      </c>
      <c r="E744" s="18" t="str">
        <f>[2]Trucks!J741</f>
        <v>CKD</v>
      </c>
      <c r="F744" s="12" t="str">
        <f>[2]Trucks!E741</f>
        <v>2017-11-10</v>
      </c>
      <c r="G744" s="56">
        <f>[2]Trucks!K741</f>
        <v>14.7</v>
      </c>
      <c r="H744" s="46">
        <f>[2]Trucks!I741</f>
        <v>42859</v>
      </c>
      <c r="I744" s="83" t="str">
        <f t="shared" si="55"/>
        <v>2017Q2</v>
      </c>
      <c r="J744" s="272">
        <f>IFERROR(VLOOKUP((D744&amp;C744)&amp;"",'[2]Retail Price List'!$C$4:$F$102,3,FALSE),"")</f>
        <v>1405000</v>
      </c>
      <c r="K744" s="272">
        <f>IFERROR(IF(BA744="WIP - 30 Days",VLOOKUP(D744,[3]Standard!$B$9:$E$101,4,FALSE),IF(BA744="31-120 Days",VLOOKUP(D744,[3]Standard!$B$9:$F$101,5,FALSE),IF(BA744="121-365 Days",VLOOKUP(D744,[3]Standard!$B$9:$G$101,6,FALSE),VLOOKUP(D744,[3]Standard!$B$9:$H$101,7,FALSE)))),0)</f>
        <v>1143248.5</v>
      </c>
      <c r="L744" s="272">
        <f>IFERROR(IF(BA744="WIP - 30 Days",VLOOKUP(D744,[3]Standard!$B$9:$J$101,9,FALSE),IF(BA744="31-120 Days",VLOOKUP(D744,[3]Standard!$B$9:$K$100,10,FALSE),IF(BA744="121-365 Days",VLOOKUP(D744,[3]Standard!$B$9:$L$101,11,FALSE),VLOOKUP(D744,[3]Standard!$B$9:$M$101,12,FALSE)))),0)</f>
        <v>1109950</v>
      </c>
      <c r="M744" s="269">
        <f>IFERROR(VLOOKUP((D744&amp;C744)&amp;"",'[2]Retail Price List'!$C$4:$F$102,4,FALSE),"")</f>
        <v>1445000</v>
      </c>
      <c r="N744" s="269">
        <f>IFERROR(IF(BA744="WIP - 30 Days",VLOOKUP(D744,[3]Extended!$B$9:$E$101,4,FALSE),IF(BA744="31-120 Days",VLOOKUP(D744,[3]Extended!$B$9:$F$101,5,FALSE),IF(BA744="121-365 Days",VLOOKUP(D744,[3]Extended!$B$9:$G$101,6,FALSE),VLOOKUP(D744,[3]Extended!$B$9:$H$101,7,FALSE)))),0)</f>
        <v>1175796.5</v>
      </c>
      <c r="O744" s="269">
        <f>IFERROR(IF(BA744="WIP - 30 Days",VLOOKUP(D744,[3]Extended!$B$9:$J$101,9,FALSE),IF(BA744="31-120 Days",VLOOKUP(D744,[3]Extended!$B$9:$K$101,10,FALSE),IF(BA744="121-365 Days",VLOOKUP(D744,[3]Extended!$B$9:$L$101,11,FALSE),VLOOKUP(D744,[3]Extended!$B$9:$M$101,12,FALSE)))),0)</f>
        <v>1141550</v>
      </c>
      <c r="P744" s="116">
        <f t="shared" si="56"/>
        <v>0.21</v>
      </c>
      <c r="Q744" s="110" t="e">
        <f>O744-#REF!</f>
        <v>#REF!</v>
      </c>
      <c r="W744" s="311"/>
      <c r="X744" s="311"/>
      <c r="Y744" s="311"/>
      <c r="Z744" s="311"/>
      <c r="AA744" s="311"/>
      <c r="AB744" s="311"/>
      <c r="AC744" s="311"/>
      <c r="AT744" s="88" t="str">
        <f t="shared" si="57"/>
        <v>KP0006822017Q214,7</v>
      </c>
      <c r="AU744" s="89" t="str">
        <f t="shared" si="58"/>
        <v>05-2017</v>
      </c>
      <c r="BA744" s="92" t="str">
        <f t="shared" si="59"/>
        <v>WIP - 30 Days</v>
      </c>
    </row>
    <row r="745" spans="2:53">
      <c r="B745" s="60">
        <f>[2]Trucks!A742</f>
        <v>46955</v>
      </c>
      <c r="C745" s="11" t="str">
        <f>[2]Trucks!B742</f>
        <v>TGS-33-3606X4BB-M</v>
      </c>
      <c r="D745" s="19" t="str">
        <f>IFERROR(VLOOKUP(C745&amp;"",'[2]Retail Price List'!$A$3:$B$103,2,FALSE),"Special Order")</f>
        <v>KP000682</v>
      </c>
      <c r="E745" s="18" t="str">
        <f>[2]Trucks!J742</f>
        <v>CKD</v>
      </c>
      <c r="F745" s="12" t="str">
        <f>[2]Trucks!E742</f>
        <v>2017-11-10</v>
      </c>
      <c r="G745" s="56">
        <f>[2]Trucks!K742</f>
        <v>14.7</v>
      </c>
      <c r="H745" s="46">
        <f>[2]Trucks!I742</f>
        <v>42859</v>
      </c>
      <c r="I745" s="83" t="str">
        <f t="shared" si="55"/>
        <v>2017Q2</v>
      </c>
      <c r="J745" s="272">
        <f>IFERROR(VLOOKUP((D745&amp;C745)&amp;"",'[2]Retail Price List'!$C$4:$F$102,3,FALSE),"")</f>
        <v>1405000</v>
      </c>
      <c r="K745" s="272">
        <f>IFERROR(IF(BA745="WIP - 30 Days",VLOOKUP(D745,[3]Standard!$B$9:$E$101,4,FALSE),IF(BA745="31-120 Days",VLOOKUP(D745,[3]Standard!$B$9:$F$101,5,FALSE),IF(BA745="121-365 Days",VLOOKUP(D745,[3]Standard!$B$9:$G$101,6,FALSE),VLOOKUP(D745,[3]Standard!$B$9:$H$101,7,FALSE)))),0)</f>
        <v>1143248.5</v>
      </c>
      <c r="L745" s="272">
        <f>IFERROR(IF(BA745="WIP - 30 Days",VLOOKUP(D745,[3]Standard!$B$9:$J$101,9,FALSE),IF(BA745="31-120 Days",VLOOKUP(D745,[3]Standard!$B$9:$K$100,10,FALSE),IF(BA745="121-365 Days",VLOOKUP(D745,[3]Standard!$B$9:$L$101,11,FALSE),VLOOKUP(D745,[3]Standard!$B$9:$M$101,12,FALSE)))),0)</f>
        <v>1109950</v>
      </c>
      <c r="M745" s="269">
        <f>IFERROR(VLOOKUP((D745&amp;C745)&amp;"",'[2]Retail Price List'!$C$4:$F$102,4,FALSE),"")</f>
        <v>1445000</v>
      </c>
      <c r="N745" s="269">
        <f>IFERROR(IF(BA745="WIP - 30 Days",VLOOKUP(D745,[3]Extended!$B$9:$E$101,4,FALSE),IF(BA745="31-120 Days",VLOOKUP(D745,[3]Extended!$B$9:$F$101,5,FALSE),IF(BA745="121-365 Days",VLOOKUP(D745,[3]Extended!$B$9:$G$101,6,FALSE),VLOOKUP(D745,[3]Extended!$B$9:$H$101,7,FALSE)))),0)</f>
        <v>1175796.5</v>
      </c>
      <c r="O745" s="269">
        <f>IFERROR(IF(BA745="WIP - 30 Days",VLOOKUP(D745,[3]Extended!$B$9:$J$101,9,FALSE),IF(BA745="31-120 Days",VLOOKUP(D745,[3]Extended!$B$9:$K$101,10,FALSE),IF(BA745="121-365 Days",VLOOKUP(D745,[3]Extended!$B$9:$L$101,11,FALSE),VLOOKUP(D745,[3]Extended!$B$9:$M$101,12,FALSE)))),0)</f>
        <v>1141550</v>
      </c>
      <c r="P745" s="116">
        <f t="shared" si="56"/>
        <v>0.21</v>
      </c>
      <c r="Q745" s="110" t="e">
        <f>O745-#REF!</f>
        <v>#REF!</v>
      </c>
      <c r="W745" s="311"/>
      <c r="X745" s="311"/>
      <c r="Y745" s="311"/>
      <c r="Z745" s="311"/>
      <c r="AA745" s="311"/>
      <c r="AB745" s="311"/>
      <c r="AC745" s="311"/>
      <c r="AT745" s="88" t="str">
        <f t="shared" si="57"/>
        <v>KP0006822017Q214,7</v>
      </c>
      <c r="AU745" s="89" t="str">
        <f t="shared" si="58"/>
        <v>05-2017</v>
      </c>
      <c r="BA745" s="92" t="str">
        <f t="shared" si="59"/>
        <v>WIP - 30 Days</v>
      </c>
    </row>
    <row r="746" spans="2:53">
      <c r="B746" s="60">
        <f>[2]Trucks!A743</f>
        <v>47558</v>
      </c>
      <c r="C746" s="11" t="str">
        <f>[2]Trucks!B743</f>
        <v>TGS-33-3606X4BB-M</v>
      </c>
      <c r="D746" s="19" t="str">
        <f>IFERROR(VLOOKUP(C746&amp;"",'[2]Retail Price List'!$A$3:$B$103,2,FALSE),"Special Order")</f>
        <v>KP000682</v>
      </c>
      <c r="E746" s="18" t="str">
        <f>[2]Trucks!J743</f>
        <v>CKD</v>
      </c>
      <c r="F746" s="12" t="str">
        <f>[2]Trucks!E743</f>
        <v>2017-11-30</v>
      </c>
      <c r="G746" s="56">
        <f>[2]Trucks!K743</f>
        <v>14.7</v>
      </c>
      <c r="H746" s="46">
        <f>[2]Trucks!I743</f>
        <v>42937</v>
      </c>
      <c r="I746" s="83" t="str">
        <f t="shared" si="55"/>
        <v>2017Q3</v>
      </c>
      <c r="J746" s="272">
        <f>IFERROR(VLOOKUP((D746&amp;C746)&amp;"",'[2]Retail Price List'!$C$4:$F$102,3,FALSE),"")</f>
        <v>1405000</v>
      </c>
      <c r="K746" s="272">
        <f>IFERROR(IF(BA746="WIP - 30 Days",VLOOKUP(D746,[3]Standard!$B$9:$E$101,4,FALSE),IF(BA746="31-120 Days",VLOOKUP(D746,[3]Standard!$B$9:$F$101,5,FALSE),IF(BA746="121-365 Days",VLOOKUP(D746,[3]Standard!$B$9:$G$101,6,FALSE),VLOOKUP(D746,[3]Standard!$B$9:$H$101,7,FALSE)))),0)</f>
        <v>1143248.5</v>
      </c>
      <c r="L746" s="272">
        <f>IFERROR(IF(BA746="WIP - 30 Days",VLOOKUP(D746,[3]Standard!$B$9:$J$101,9,FALSE),IF(BA746="31-120 Days",VLOOKUP(D746,[3]Standard!$B$9:$K$100,10,FALSE),IF(BA746="121-365 Days",VLOOKUP(D746,[3]Standard!$B$9:$L$101,11,FALSE),VLOOKUP(D746,[3]Standard!$B$9:$M$101,12,FALSE)))),0)</f>
        <v>1109950</v>
      </c>
      <c r="M746" s="269">
        <f>IFERROR(VLOOKUP((D746&amp;C746)&amp;"",'[2]Retail Price List'!$C$4:$F$102,4,FALSE),"")</f>
        <v>1445000</v>
      </c>
      <c r="N746" s="269">
        <f>IFERROR(IF(BA746="WIP - 30 Days",VLOOKUP(D746,[3]Extended!$B$9:$E$101,4,FALSE),IF(BA746="31-120 Days",VLOOKUP(D746,[3]Extended!$B$9:$F$101,5,FALSE),IF(BA746="121-365 Days",VLOOKUP(D746,[3]Extended!$B$9:$G$101,6,FALSE),VLOOKUP(D746,[3]Extended!$B$9:$H$101,7,FALSE)))),0)</f>
        <v>1175796.5</v>
      </c>
      <c r="O746" s="269">
        <f>IFERROR(IF(BA746="WIP - 30 Days",VLOOKUP(D746,[3]Extended!$B$9:$J$101,9,FALSE),IF(BA746="31-120 Days",VLOOKUP(D746,[3]Extended!$B$9:$K$101,10,FALSE),IF(BA746="121-365 Days",VLOOKUP(D746,[3]Extended!$B$9:$L$101,11,FALSE),VLOOKUP(D746,[3]Extended!$B$9:$M$101,12,FALSE)))),0)</f>
        <v>1141550</v>
      </c>
      <c r="P746" s="116">
        <f t="shared" si="56"/>
        <v>0.21</v>
      </c>
      <c r="Q746" s="110" t="e">
        <f>O746-#REF!</f>
        <v>#REF!</v>
      </c>
      <c r="W746" s="311"/>
      <c r="X746" s="311"/>
      <c r="Y746" s="311"/>
      <c r="Z746" s="311"/>
      <c r="AA746" s="311"/>
      <c r="AB746" s="311"/>
      <c r="AC746" s="311"/>
      <c r="AT746" s="88" t="str">
        <f t="shared" si="57"/>
        <v>KP0006822017Q314,7</v>
      </c>
      <c r="AU746" s="89" t="str">
        <f t="shared" si="58"/>
        <v>07-2017</v>
      </c>
      <c r="BA746" s="92" t="str">
        <f t="shared" si="59"/>
        <v>WIP - 30 Days</v>
      </c>
    </row>
    <row r="747" spans="2:53">
      <c r="B747" s="60">
        <f>[2]Trucks!A744</f>
        <v>47559</v>
      </c>
      <c r="C747" s="11" t="str">
        <f>[2]Trucks!B744</f>
        <v>TGS-33-3606X4BB-M</v>
      </c>
      <c r="D747" s="19" t="str">
        <f>IFERROR(VLOOKUP(C747&amp;"",'[2]Retail Price List'!$A$3:$B$103,2,FALSE),"Special Order")</f>
        <v>KP000682</v>
      </c>
      <c r="E747" s="18" t="str">
        <f>[2]Trucks!J744</f>
        <v>CKD</v>
      </c>
      <c r="F747" s="12" t="str">
        <f>[2]Trucks!E744</f>
        <v>2017-11-30</v>
      </c>
      <c r="G747" s="56">
        <f>[2]Trucks!K744</f>
        <v>14.7</v>
      </c>
      <c r="H747" s="46">
        <f>[2]Trucks!I744</f>
        <v>42937</v>
      </c>
      <c r="I747" s="83" t="str">
        <f t="shared" si="55"/>
        <v>2017Q3</v>
      </c>
      <c r="J747" s="272">
        <f>IFERROR(VLOOKUP((D747&amp;C747)&amp;"",'[2]Retail Price List'!$C$4:$F$102,3,FALSE),"")</f>
        <v>1405000</v>
      </c>
      <c r="K747" s="272">
        <f>IFERROR(IF(BA747="WIP - 30 Days",VLOOKUP(D747,[3]Standard!$B$9:$E$101,4,FALSE),IF(BA747="31-120 Days",VLOOKUP(D747,[3]Standard!$B$9:$F$101,5,FALSE),IF(BA747="121-365 Days",VLOOKUP(D747,[3]Standard!$B$9:$G$101,6,FALSE),VLOOKUP(D747,[3]Standard!$B$9:$H$101,7,FALSE)))),0)</f>
        <v>1143248.5</v>
      </c>
      <c r="L747" s="272">
        <f>IFERROR(IF(BA747="WIP - 30 Days",VLOOKUP(D747,[3]Standard!$B$9:$J$101,9,FALSE),IF(BA747="31-120 Days",VLOOKUP(D747,[3]Standard!$B$9:$K$100,10,FALSE),IF(BA747="121-365 Days",VLOOKUP(D747,[3]Standard!$B$9:$L$101,11,FALSE),VLOOKUP(D747,[3]Standard!$B$9:$M$101,12,FALSE)))),0)</f>
        <v>1109950</v>
      </c>
      <c r="M747" s="269">
        <f>IFERROR(VLOOKUP((D747&amp;C747)&amp;"",'[2]Retail Price List'!$C$4:$F$102,4,FALSE),"")</f>
        <v>1445000</v>
      </c>
      <c r="N747" s="269">
        <f>IFERROR(IF(BA747="WIP - 30 Days",VLOOKUP(D747,[3]Extended!$B$9:$E$101,4,FALSE),IF(BA747="31-120 Days",VLOOKUP(D747,[3]Extended!$B$9:$F$101,5,FALSE),IF(BA747="121-365 Days",VLOOKUP(D747,[3]Extended!$B$9:$G$101,6,FALSE),VLOOKUP(D747,[3]Extended!$B$9:$H$101,7,FALSE)))),0)</f>
        <v>1175796.5</v>
      </c>
      <c r="O747" s="269">
        <f>IFERROR(IF(BA747="WIP - 30 Days",VLOOKUP(D747,[3]Extended!$B$9:$J$101,9,FALSE),IF(BA747="31-120 Days",VLOOKUP(D747,[3]Extended!$B$9:$K$101,10,FALSE),IF(BA747="121-365 Days",VLOOKUP(D747,[3]Extended!$B$9:$L$101,11,FALSE),VLOOKUP(D747,[3]Extended!$B$9:$M$101,12,FALSE)))),0)</f>
        <v>1141550</v>
      </c>
      <c r="P747" s="116">
        <f t="shared" si="56"/>
        <v>0.21</v>
      </c>
      <c r="Q747" s="110" t="e">
        <f>O747-#REF!</f>
        <v>#REF!</v>
      </c>
      <c r="W747" s="311"/>
      <c r="X747" s="311"/>
      <c r="Y747" s="311"/>
      <c r="Z747" s="311"/>
      <c r="AA747" s="311"/>
      <c r="AB747" s="311"/>
      <c r="AC747" s="311"/>
      <c r="AT747" s="88" t="str">
        <f t="shared" si="57"/>
        <v>KP0006822017Q314,7</v>
      </c>
      <c r="AU747" s="89" t="str">
        <f t="shared" si="58"/>
        <v>07-2017</v>
      </c>
      <c r="BA747" s="92" t="str">
        <f t="shared" si="59"/>
        <v>WIP - 30 Days</v>
      </c>
    </row>
    <row r="748" spans="2:53">
      <c r="B748" s="60">
        <f>[2]Trucks!A745</f>
        <v>47560</v>
      </c>
      <c r="C748" s="11" t="str">
        <f>[2]Trucks!B745</f>
        <v>TGS-33-3606X4BB-M</v>
      </c>
      <c r="D748" s="19" t="str">
        <f>IFERROR(VLOOKUP(C748&amp;"",'[2]Retail Price List'!$A$3:$B$103,2,FALSE),"Special Order")</f>
        <v>KP000682</v>
      </c>
      <c r="E748" s="18" t="str">
        <f>[2]Trucks!J745</f>
        <v>CKD</v>
      </c>
      <c r="F748" s="12" t="str">
        <f>[2]Trucks!E745</f>
        <v>2017-11-30</v>
      </c>
      <c r="G748" s="56">
        <f>[2]Trucks!K745</f>
        <v>14.7</v>
      </c>
      <c r="H748" s="46">
        <f>[2]Trucks!I745</f>
        <v>42937</v>
      </c>
      <c r="I748" s="83" t="str">
        <f t="shared" si="55"/>
        <v>2017Q3</v>
      </c>
      <c r="J748" s="272">
        <f>IFERROR(VLOOKUP((D748&amp;C748)&amp;"",'[2]Retail Price List'!$C$4:$F$102,3,FALSE),"")</f>
        <v>1405000</v>
      </c>
      <c r="K748" s="272">
        <f>IFERROR(IF(BA748="WIP - 30 Days",VLOOKUP(D748,[3]Standard!$B$9:$E$101,4,FALSE),IF(BA748="31-120 Days",VLOOKUP(D748,[3]Standard!$B$9:$F$101,5,FALSE),IF(BA748="121-365 Days",VLOOKUP(D748,[3]Standard!$B$9:$G$101,6,FALSE),VLOOKUP(D748,[3]Standard!$B$9:$H$101,7,FALSE)))),0)</f>
        <v>1143248.5</v>
      </c>
      <c r="L748" s="272">
        <f>IFERROR(IF(BA748="WIP - 30 Days",VLOOKUP(D748,[3]Standard!$B$9:$J$101,9,FALSE),IF(BA748="31-120 Days",VLOOKUP(D748,[3]Standard!$B$9:$K$100,10,FALSE),IF(BA748="121-365 Days",VLOOKUP(D748,[3]Standard!$B$9:$L$101,11,FALSE),VLOOKUP(D748,[3]Standard!$B$9:$M$101,12,FALSE)))),0)</f>
        <v>1109950</v>
      </c>
      <c r="M748" s="269">
        <f>IFERROR(VLOOKUP((D748&amp;C748)&amp;"",'[2]Retail Price List'!$C$4:$F$102,4,FALSE),"")</f>
        <v>1445000</v>
      </c>
      <c r="N748" s="269">
        <f>IFERROR(IF(BA748="WIP - 30 Days",VLOOKUP(D748,[3]Extended!$B$9:$E$101,4,FALSE),IF(BA748="31-120 Days",VLOOKUP(D748,[3]Extended!$B$9:$F$101,5,FALSE),IF(BA748="121-365 Days",VLOOKUP(D748,[3]Extended!$B$9:$G$101,6,FALSE),VLOOKUP(D748,[3]Extended!$B$9:$H$101,7,FALSE)))),0)</f>
        <v>1175796.5</v>
      </c>
      <c r="O748" s="269">
        <f>IFERROR(IF(BA748="WIP - 30 Days",VLOOKUP(D748,[3]Extended!$B$9:$J$101,9,FALSE),IF(BA748="31-120 Days",VLOOKUP(D748,[3]Extended!$B$9:$K$101,10,FALSE),IF(BA748="121-365 Days",VLOOKUP(D748,[3]Extended!$B$9:$L$101,11,FALSE),VLOOKUP(D748,[3]Extended!$B$9:$M$101,12,FALSE)))),0)</f>
        <v>1141550</v>
      </c>
      <c r="P748" s="116">
        <f t="shared" si="56"/>
        <v>0.21</v>
      </c>
      <c r="Q748" s="110" t="e">
        <f>O748-#REF!</f>
        <v>#REF!</v>
      </c>
      <c r="W748" s="311"/>
      <c r="X748" s="311"/>
      <c r="Y748" s="311"/>
      <c r="Z748" s="311"/>
      <c r="AA748" s="311"/>
      <c r="AB748" s="311"/>
      <c r="AC748" s="311"/>
      <c r="AT748" s="88" t="str">
        <f t="shared" si="57"/>
        <v>KP0006822017Q314,7</v>
      </c>
      <c r="AU748" s="89" t="str">
        <f t="shared" si="58"/>
        <v>07-2017</v>
      </c>
      <c r="BA748" s="92" t="str">
        <f t="shared" si="59"/>
        <v>WIP - 30 Days</v>
      </c>
    </row>
    <row r="749" spans="2:53">
      <c r="B749" s="60">
        <f>[2]Trucks!A746</f>
        <v>47561</v>
      </c>
      <c r="C749" s="11" t="str">
        <f>[2]Trucks!B746</f>
        <v>TGS-33-3606X4BB-M</v>
      </c>
      <c r="D749" s="19" t="str">
        <f>IFERROR(VLOOKUP(C749&amp;"",'[2]Retail Price List'!$A$3:$B$103,2,FALSE),"Special Order")</f>
        <v>KP000682</v>
      </c>
      <c r="E749" s="18" t="str">
        <f>[2]Trucks!J746</f>
        <v>CKD</v>
      </c>
      <c r="F749" s="12" t="str">
        <f>[2]Trucks!E746</f>
        <v>2017-11-30</v>
      </c>
      <c r="G749" s="56">
        <f>[2]Trucks!K746</f>
        <v>14.7</v>
      </c>
      <c r="H749" s="46">
        <f>[2]Trucks!I746</f>
        <v>42937</v>
      </c>
      <c r="I749" s="83" t="str">
        <f t="shared" si="55"/>
        <v>2017Q3</v>
      </c>
      <c r="J749" s="272">
        <f>IFERROR(VLOOKUP((D749&amp;C749)&amp;"",'[2]Retail Price List'!$C$4:$F$102,3,FALSE),"")</f>
        <v>1405000</v>
      </c>
      <c r="K749" s="272">
        <f>IFERROR(IF(BA749="WIP - 30 Days",VLOOKUP(D749,[3]Standard!$B$9:$E$101,4,FALSE),IF(BA749="31-120 Days",VLOOKUP(D749,[3]Standard!$B$9:$F$101,5,FALSE),IF(BA749="121-365 Days",VLOOKUP(D749,[3]Standard!$B$9:$G$101,6,FALSE),VLOOKUP(D749,[3]Standard!$B$9:$H$101,7,FALSE)))),0)</f>
        <v>1143248.5</v>
      </c>
      <c r="L749" s="272">
        <f>IFERROR(IF(BA749="WIP - 30 Days",VLOOKUP(D749,[3]Standard!$B$9:$J$101,9,FALSE),IF(BA749="31-120 Days",VLOOKUP(D749,[3]Standard!$B$9:$K$100,10,FALSE),IF(BA749="121-365 Days",VLOOKUP(D749,[3]Standard!$B$9:$L$101,11,FALSE),VLOOKUP(D749,[3]Standard!$B$9:$M$101,12,FALSE)))),0)</f>
        <v>1109950</v>
      </c>
      <c r="M749" s="269">
        <f>IFERROR(VLOOKUP((D749&amp;C749)&amp;"",'[2]Retail Price List'!$C$4:$F$102,4,FALSE),"")</f>
        <v>1445000</v>
      </c>
      <c r="N749" s="269">
        <f>IFERROR(IF(BA749="WIP - 30 Days",VLOOKUP(D749,[3]Extended!$B$9:$E$101,4,FALSE),IF(BA749="31-120 Days",VLOOKUP(D749,[3]Extended!$B$9:$F$101,5,FALSE),IF(BA749="121-365 Days",VLOOKUP(D749,[3]Extended!$B$9:$G$101,6,FALSE),VLOOKUP(D749,[3]Extended!$B$9:$H$101,7,FALSE)))),0)</f>
        <v>1175796.5</v>
      </c>
      <c r="O749" s="269">
        <f>IFERROR(IF(BA749="WIP - 30 Days",VLOOKUP(D749,[3]Extended!$B$9:$J$101,9,FALSE),IF(BA749="31-120 Days",VLOOKUP(D749,[3]Extended!$B$9:$K$101,10,FALSE),IF(BA749="121-365 Days",VLOOKUP(D749,[3]Extended!$B$9:$L$101,11,FALSE),VLOOKUP(D749,[3]Extended!$B$9:$M$101,12,FALSE)))),0)</f>
        <v>1141550</v>
      </c>
      <c r="P749" s="116">
        <f t="shared" si="56"/>
        <v>0.21</v>
      </c>
      <c r="Q749" s="110" t="e">
        <f>O749-#REF!</f>
        <v>#REF!</v>
      </c>
      <c r="W749" s="311"/>
      <c r="X749" s="311"/>
      <c r="Y749" s="311"/>
      <c r="Z749" s="311"/>
      <c r="AA749" s="311"/>
      <c r="AB749" s="311"/>
      <c r="AC749" s="311"/>
      <c r="AT749" s="88" t="str">
        <f t="shared" si="57"/>
        <v>KP0006822017Q314,7</v>
      </c>
      <c r="AU749" s="89" t="str">
        <f t="shared" si="58"/>
        <v>07-2017</v>
      </c>
      <c r="BA749" s="92" t="str">
        <f t="shared" si="59"/>
        <v>WIP - 30 Days</v>
      </c>
    </row>
    <row r="750" spans="2:53">
      <c r="B750" s="60">
        <f>[2]Trucks!A747</f>
        <v>47755</v>
      </c>
      <c r="C750" s="11" t="str">
        <f>[2]Trucks!B747</f>
        <v>TGS-33-3606X4BB-M</v>
      </c>
      <c r="D750" s="19" t="str">
        <f>IFERROR(VLOOKUP(C750&amp;"",'[2]Retail Price List'!$A$3:$B$103,2,FALSE),"Special Order")</f>
        <v>KP000682</v>
      </c>
      <c r="E750" s="18" t="str">
        <f>[2]Trucks!J747</f>
        <v>CKD</v>
      </c>
      <c r="F750" s="12" t="str">
        <f>[2]Trucks!E747</f>
        <v>2018-03-5</v>
      </c>
      <c r="G750" s="56">
        <f>[2]Trucks!K747</f>
        <v>14.7</v>
      </c>
      <c r="H750" s="46">
        <f>[2]Trucks!I747</f>
        <v>42947</v>
      </c>
      <c r="I750" s="83" t="str">
        <f t="shared" si="55"/>
        <v>2017Q3</v>
      </c>
      <c r="J750" s="272">
        <f>IFERROR(VLOOKUP((D750&amp;C750)&amp;"",'[2]Retail Price List'!$C$4:$F$102,3,FALSE),"")</f>
        <v>1405000</v>
      </c>
      <c r="K750" s="272">
        <f>IFERROR(IF(BA750="WIP - 30 Days",VLOOKUP(D750,[3]Standard!$B$9:$E$101,4,FALSE),IF(BA750="31-120 Days",VLOOKUP(D750,[3]Standard!$B$9:$F$101,5,FALSE),IF(BA750="121-365 Days",VLOOKUP(D750,[3]Standard!$B$9:$G$101,6,FALSE),VLOOKUP(D750,[3]Standard!$B$9:$H$101,7,FALSE)))),0)</f>
        <v>1143248.5</v>
      </c>
      <c r="L750" s="272">
        <f>IFERROR(IF(BA750="WIP - 30 Days",VLOOKUP(D750,[3]Standard!$B$9:$J$101,9,FALSE),IF(BA750="31-120 Days",VLOOKUP(D750,[3]Standard!$B$9:$K$100,10,FALSE),IF(BA750="121-365 Days",VLOOKUP(D750,[3]Standard!$B$9:$L$101,11,FALSE),VLOOKUP(D750,[3]Standard!$B$9:$M$101,12,FALSE)))),0)</f>
        <v>1109950</v>
      </c>
      <c r="M750" s="269">
        <f>IFERROR(VLOOKUP((D750&amp;C750)&amp;"",'[2]Retail Price List'!$C$4:$F$102,4,FALSE),"")</f>
        <v>1445000</v>
      </c>
      <c r="N750" s="269">
        <f>IFERROR(IF(BA750="WIP - 30 Days",VLOOKUP(D750,[3]Extended!$B$9:$E$101,4,FALSE),IF(BA750="31-120 Days",VLOOKUP(D750,[3]Extended!$B$9:$F$101,5,FALSE),IF(BA750="121-365 Days",VLOOKUP(D750,[3]Extended!$B$9:$G$101,6,FALSE),VLOOKUP(D750,[3]Extended!$B$9:$H$101,7,FALSE)))),0)</f>
        <v>1175796.5</v>
      </c>
      <c r="O750" s="269">
        <f>IFERROR(IF(BA750="WIP - 30 Days",VLOOKUP(D750,[3]Extended!$B$9:$J$101,9,FALSE),IF(BA750="31-120 Days",VLOOKUP(D750,[3]Extended!$B$9:$K$101,10,FALSE),IF(BA750="121-365 Days",VLOOKUP(D750,[3]Extended!$B$9:$L$101,11,FALSE),VLOOKUP(D750,[3]Extended!$B$9:$M$101,12,FALSE)))),0)</f>
        <v>1141550</v>
      </c>
      <c r="P750" s="116">
        <f t="shared" si="56"/>
        <v>0.21</v>
      </c>
      <c r="Q750" s="110" t="e">
        <f>O750-#REF!</f>
        <v>#REF!</v>
      </c>
      <c r="W750" s="311"/>
      <c r="X750" s="311"/>
      <c r="Y750" s="311"/>
      <c r="Z750" s="311"/>
      <c r="AA750" s="311"/>
      <c r="AB750" s="311"/>
      <c r="AC750" s="311"/>
      <c r="AT750" s="88" t="str">
        <f t="shared" si="57"/>
        <v>KP0006822017Q314,7</v>
      </c>
      <c r="AU750" s="89" t="str">
        <f t="shared" si="58"/>
        <v>07-2017</v>
      </c>
      <c r="BA750" s="92" t="str">
        <f t="shared" si="59"/>
        <v>WIP - 30 Days</v>
      </c>
    </row>
    <row r="751" spans="2:53">
      <c r="B751" s="60">
        <f>[2]Trucks!A748</f>
        <v>47756</v>
      </c>
      <c r="C751" s="11" t="str">
        <f>[2]Trucks!B748</f>
        <v>TGS-33-3606X4BB-M</v>
      </c>
      <c r="D751" s="19" t="str">
        <f>IFERROR(VLOOKUP(C751&amp;"",'[2]Retail Price List'!$A$3:$B$103,2,FALSE),"Special Order")</f>
        <v>KP000682</v>
      </c>
      <c r="E751" s="18" t="str">
        <f>[2]Trucks!J748</f>
        <v>CKD</v>
      </c>
      <c r="F751" s="12" t="str">
        <f>[2]Trucks!E748</f>
        <v>2018-03-5</v>
      </c>
      <c r="G751" s="56">
        <f>[2]Trucks!K748</f>
        <v>14.7</v>
      </c>
      <c r="H751" s="46">
        <f>[2]Trucks!I748</f>
        <v>42947</v>
      </c>
      <c r="I751" s="83" t="str">
        <f t="shared" si="55"/>
        <v>2017Q3</v>
      </c>
      <c r="J751" s="272">
        <f>IFERROR(VLOOKUP((D751&amp;C751)&amp;"",'[2]Retail Price List'!$C$4:$F$102,3,FALSE),"")</f>
        <v>1405000</v>
      </c>
      <c r="K751" s="272">
        <f>IFERROR(IF(BA751="WIP - 30 Days",VLOOKUP(D751,[3]Standard!$B$9:$E$101,4,FALSE),IF(BA751="31-120 Days",VLOOKUP(D751,[3]Standard!$B$9:$F$101,5,FALSE),IF(BA751="121-365 Days",VLOOKUP(D751,[3]Standard!$B$9:$G$101,6,FALSE),VLOOKUP(D751,[3]Standard!$B$9:$H$101,7,FALSE)))),0)</f>
        <v>1143248.5</v>
      </c>
      <c r="L751" s="272">
        <f>IFERROR(IF(BA751="WIP - 30 Days",VLOOKUP(D751,[3]Standard!$B$9:$J$101,9,FALSE),IF(BA751="31-120 Days",VLOOKUP(D751,[3]Standard!$B$9:$K$100,10,FALSE),IF(BA751="121-365 Days",VLOOKUP(D751,[3]Standard!$B$9:$L$101,11,FALSE),VLOOKUP(D751,[3]Standard!$B$9:$M$101,12,FALSE)))),0)</f>
        <v>1109950</v>
      </c>
      <c r="M751" s="269">
        <f>IFERROR(VLOOKUP((D751&amp;C751)&amp;"",'[2]Retail Price List'!$C$4:$F$102,4,FALSE),"")</f>
        <v>1445000</v>
      </c>
      <c r="N751" s="269">
        <f>IFERROR(IF(BA751="WIP - 30 Days",VLOOKUP(D751,[3]Extended!$B$9:$E$101,4,FALSE),IF(BA751="31-120 Days",VLOOKUP(D751,[3]Extended!$B$9:$F$101,5,FALSE),IF(BA751="121-365 Days",VLOOKUP(D751,[3]Extended!$B$9:$G$101,6,FALSE),VLOOKUP(D751,[3]Extended!$B$9:$H$101,7,FALSE)))),0)</f>
        <v>1175796.5</v>
      </c>
      <c r="O751" s="269">
        <f>IFERROR(IF(BA751="WIP - 30 Days",VLOOKUP(D751,[3]Extended!$B$9:$J$101,9,FALSE),IF(BA751="31-120 Days",VLOOKUP(D751,[3]Extended!$B$9:$K$101,10,FALSE),IF(BA751="121-365 Days",VLOOKUP(D751,[3]Extended!$B$9:$L$101,11,FALSE),VLOOKUP(D751,[3]Extended!$B$9:$M$101,12,FALSE)))),0)</f>
        <v>1141550</v>
      </c>
      <c r="P751" s="116">
        <f t="shared" si="56"/>
        <v>0.21</v>
      </c>
      <c r="Q751" s="110" t="e">
        <f>O751-#REF!</f>
        <v>#REF!</v>
      </c>
      <c r="W751" s="311"/>
      <c r="X751" s="311"/>
      <c r="Y751" s="311"/>
      <c r="Z751" s="311"/>
      <c r="AA751" s="311"/>
      <c r="AB751" s="311"/>
      <c r="AC751" s="311"/>
      <c r="AT751" s="88" t="str">
        <f t="shared" si="57"/>
        <v>KP0006822017Q314,7</v>
      </c>
      <c r="AU751" s="89" t="str">
        <f t="shared" si="58"/>
        <v>07-2017</v>
      </c>
      <c r="BA751" s="92" t="str">
        <f t="shared" si="59"/>
        <v>WIP - 30 Days</v>
      </c>
    </row>
    <row r="752" spans="2:53">
      <c r="B752" s="60">
        <f>[2]Trucks!A749</f>
        <v>47757</v>
      </c>
      <c r="C752" s="11" t="str">
        <f>[2]Trucks!B749</f>
        <v>TGS-33-3606X4BB-M</v>
      </c>
      <c r="D752" s="19" t="str">
        <f>IFERROR(VLOOKUP(C752&amp;"",'[2]Retail Price List'!$A$3:$B$103,2,FALSE),"Special Order")</f>
        <v>KP000682</v>
      </c>
      <c r="E752" s="18" t="str">
        <f>[2]Trucks!J749</f>
        <v>CKD</v>
      </c>
      <c r="F752" s="12" t="str">
        <f>[2]Trucks!E749</f>
        <v>2018-03-5</v>
      </c>
      <c r="G752" s="56">
        <f>[2]Trucks!K749</f>
        <v>14.7</v>
      </c>
      <c r="H752" s="46">
        <f>[2]Trucks!I749</f>
        <v>42947</v>
      </c>
      <c r="I752" s="83" t="str">
        <f t="shared" si="55"/>
        <v>2017Q3</v>
      </c>
      <c r="J752" s="272">
        <f>IFERROR(VLOOKUP((D752&amp;C752)&amp;"",'[2]Retail Price List'!$C$4:$F$102,3,FALSE),"")</f>
        <v>1405000</v>
      </c>
      <c r="K752" s="272">
        <f>IFERROR(IF(BA752="WIP - 30 Days",VLOOKUP(D752,[3]Standard!$B$9:$E$101,4,FALSE),IF(BA752="31-120 Days",VLOOKUP(D752,[3]Standard!$B$9:$F$101,5,FALSE),IF(BA752="121-365 Days",VLOOKUP(D752,[3]Standard!$B$9:$G$101,6,FALSE),VLOOKUP(D752,[3]Standard!$B$9:$H$101,7,FALSE)))),0)</f>
        <v>1143248.5</v>
      </c>
      <c r="L752" s="272">
        <f>IFERROR(IF(BA752="WIP - 30 Days",VLOOKUP(D752,[3]Standard!$B$9:$J$101,9,FALSE),IF(BA752="31-120 Days",VLOOKUP(D752,[3]Standard!$B$9:$K$100,10,FALSE),IF(BA752="121-365 Days",VLOOKUP(D752,[3]Standard!$B$9:$L$101,11,FALSE),VLOOKUP(D752,[3]Standard!$B$9:$M$101,12,FALSE)))),0)</f>
        <v>1109950</v>
      </c>
      <c r="M752" s="269">
        <f>IFERROR(VLOOKUP((D752&amp;C752)&amp;"",'[2]Retail Price List'!$C$4:$F$102,4,FALSE),"")</f>
        <v>1445000</v>
      </c>
      <c r="N752" s="269">
        <f>IFERROR(IF(BA752="WIP - 30 Days",VLOOKUP(D752,[3]Extended!$B$9:$E$101,4,FALSE),IF(BA752="31-120 Days",VLOOKUP(D752,[3]Extended!$B$9:$F$101,5,FALSE),IF(BA752="121-365 Days",VLOOKUP(D752,[3]Extended!$B$9:$G$101,6,FALSE),VLOOKUP(D752,[3]Extended!$B$9:$H$101,7,FALSE)))),0)</f>
        <v>1175796.5</v>
      </c>
      <c r="O752" s="269">
        <f>IFERROR(IF(BA752="WIP - 30 Days",VLOOKUP(D752,[3]Extended!$B$9:$J$101,9,FALSE),IF(BA752="31-120 Days",VLOOKUP(D752,[3]Extended!$B$9:$K$101,10,FALSE),IF(BA752="121-365 Days",VLOOKUP(D752,[3]Extended!$B$9:$L$101,11,FALSE),VLOOKUP(D752,[3]Extended!$B$9:$M$101,12,FALSE)))),0)</f>
        <v>1141550</v>
      </c>
      <c r="P752" s="116">
        <f t="shared" si="56"/>
        <v>0.21</v>
      </c>
      <c r="Q752" s="110" t="e">
        <f>O752-#REF!</f>
        <v>#REF!</v>
      </c>
      <c r="W752" s="311"/>
      <c r="X752" s="311"/>
      <c r="Y752" s="311"/>
      <c r="Z752" s="311"/>
      <c r="AA752" s="311"/>
      <c r="AB752" s="311"/>
      <c r="AC752" s="311"/>
      <c r="AT752" s="88" t="str">
        <f t="shared" si="57"/>
        <v>KP0006822017Q314,7</v>
      </c>
      <c r="AU752" s="89" t="str">
        <f t="shared" si="58"/>
        <v>07-2017</v>
      </c>
      <c r="BA752" s="92" t="str">
        <f t="shared" si="59"/>
        <v>WIP - 30 Days</v>
      </c>
    </row>
    <row r="753" spans="2:53">
      <c r="B753" s="60">
        <f>[2]Trucks!A750</f>
        <v>47758</v>
      </c>
      <c r="C753" s="11" t="str">
        <f>[2]Trucks!B750</f>
        <v>TGS-33-3606X4BB-M</v>
      </c>
      <c r="D753" s="19" t="str">
        <f>IFERROR(VLOOKUP(C753&amp;"",'[2]Retail Price List'!$A$3:$B$103,2,FALSE),"Special Order")</f>
        <v>KP000682</v>
      </c>
      <c r="E753" s="18" t="str">
        <f>[2]Trucks!J750</f>
        <v>CKD</v>
      </c>
      <c r="F753" s="12" t="str">
        <f>[2]Trucks!E750</f>
        <v>2018-03-5</v>
      </c>
      <c r="G753" s="56">
        <f>[2]Trucks!K750</f>
        <v>14.7</v>
      </c>
      <c r="H753" s="46">
        <f>[2]Trucks!I750</f>
        <v>42947</v>
      </c>
      <c r="I753" s="83" t="str">
        <f t="shared" si="55"/>
        <v>2017Q3</v>
      </c>
      <c r="J753" s="272">
        <f>IFERROR(VLOOKUP((D753&amp;C753)&amp;"",'[2]Retail Price List'!$C$4:$F$102,3,FALSE),"")</f>
        <v>1405000</v>
      </c>
      <c r="K753" s="272">
        <f>IFERROR(IF(BA753="WIP - 30 Days",VLOOKUP(D753,[3]Standard!$B$9:$E$101,4,FALSE),IF(BA753="31-120 Days",VLOOKUP(D753,[3]Standard!$B$9:$F$101,5,FALSE),IF(BA753="121-365 Days",VLOOKUP(D753,[3]Standard!$B$9:$G$101,6,FALSE),VLOOKUP(D753,[3]Standard!$B$9:$H$101,7,FALSE)))),0)</f>
        <v>1143248.5</v>
      </c>
      <c r="L753" s="272">
        <f>IFERROR(IF(BA753="WIP - 30 Days",VLOOKUP(D753,[3]Standard!$B$9:$J$101,9,FALSE),IF(BA753="31-120 Days",VLOOKUP(D753,[3]Standard!$B$9:$K$100,10,FALSE),IF(BA753="121-365 Days",VLOOKUP(D753,[3]Standard!$B$9:$L$101,11,FALSE),VLOOKUP(D753,[3]Standard!$B$9:$M$101,12,FALSE)))),0)</f>
        <v>1109950</v>
      </c>
      <c r="M753" s="269">
        <f>IFERROR(VLOOKUP((D753&amp;C753)&amp;"",'[2]Retail Price List'!$C$4:$F$102,4,FALSE),"")</f>
        <v>1445000</v>
      </c>
      <c r="N753" s="269">
        <f>IFERROR(IF(BA753="WIP - 30 Days",VLOOKUP(D753,[3]Extended!$B$9:$E$101,4,FALSE),IF(BA753="31-120 Days",VLOOKUP(D753,[3]Extended!$B$9:$F$101,5,FALSE),IF(BA753="121-365 Days",VLOOKUP(D753,[3]Extended!$B$9:$G$101,6,FALSE),VLOOKUP(D753,[3]Extended!$B$9:$H$101,7,FALSE)))),0)</f>
        <v>1175796.5</v>
      </c>
      <c r="O753" s="269">
        <f>IFERROR(IF(BA753="WIP - 30 Days",VLOOKUP(D753,[3]Extended!$B$9:$J$101,9,FALSE),IF(BA753="31-120 Days",VLOOKUP(D753,[3]Extended!$B$9:$K$101,10,FALSE),IF(BA753="121-365 Days",VLOOKUP(D753,[3]Extended!$B$9:$L$101,11,FALSE),VLOOKUP(D753,[3]Extended!$B$9:$M$101,12,FALSE)))),0)</f>
        <v>1141550</v>
      </c>
      <c r="P753" s="116">
        <f t="shared" si="56"/>
        <v>0.21</v>
      </c>
      <c r="Q753" s="110" t="e">
        <f>O753-#REF!</f>
        <v>#REF!</v>
      </c>
      <c r="W753" s="311"/>
      <c r="X753" s="311"/>
      <c r="Y753" s="311"/>
      <c r="Z753" s="311"/>
      <c r="AA753" s="311"/>
      <c r="AB753" s="311"/>
      <c r="AC753" s="311"/>
      <c r="AT753" s="88" t="str">
        <f t="shared" si="57"/>
        <v>KP0006822017Q314,7</v>
      </c>
      <c r="AU753" s="89" t="str">
        <f t="shared" si="58"/>
        <v>07-2017</v>
      </c>
      <c r="BA753" s="92" t="str">
        <f t="shared" si="59"/>
        <v>WIP - 30 Days</v>
      </c>
    </row>
    <row r="754" spans="2:53">
      <c r="B754" s="60" t="str">
        <f>[2]Trucks!A751</f>
        <v>TBAKP682</v>
      </c>
      <c r="C754" s="11" t="str">
        <f>[2]Trucks!B751</f>
        <v>TGS-33-3606X4BB-M</v>
      </c>
      <c r="D754" s="19" t="str">
        <f>IFERROR(VLOOKUP(C754&amp;"",'[2]Retail Price List'!$A$3:$B$103,2,FALSE),"Special Order")</f>
        <v>KP000682</v>
      </c>
      <c r="E754" s="18" t="str">
        <f>[2]Trucks!J751</f>
        <v>CKD</v>
      </c>
      <c r="F754" s="12" t="str">
        <f>[2]Trucks!E751</f>
        <v>2018-02-15</v>
      </c>
      <c r="G754" s="56">
        <f>[2]Trucks!K751</f>
        <v>14.7</v>
      </c>
      <c r="H754" s="46">
        <f>[2]Trucks!I751</f>
        <v>42921</v>
      </c>
      <c r="I754" s="83" t="str">
        <f t="shared" si="55"/>
        <v>2017Q3</v>
      </c>
      <c r="J754" s="272">
        <f>IFERROR(VLOOKUP((D754&amp;C754)&amp;"",'[2]Retail Price List'!$C$4:$F$102,3,FALSE),"")</f>
        <v>1405000</v>
      </c>
      <c r="K754" s="272">
        <f>IFERROR(IF(BA754="WIP - 30 Days",VLOOKUP(D754,[3]Standard!$B$9:$E$101,4,FALSE),IF(BA754="31-120 Days",VLOOKUP(D754,[3]Standard!$B$9:$F$101,5,FALSE),IF(BA754="121-365 Days",VLOOKUP(D754,[3]Standard!$B$9:$G$101,6,FALSE),VLOOKUP(D754,[3]Standard!$B$9:$H$101,7,FALSE)))),0)</f>
        <v>1143248.5</v>
      </c>
      <c r="L754" s="272">
        <f>IFERROR(IF(BA754="WIP - 30 Days",VLOOKUP(D754,[3]Standard!$B$9:$J$101,9,FALSE),IF(BA754="31-120 Days",VLOOKUP(D754,[3]Standard!$B$9:$K$100,10,FALSE),IF(BA754="121-365 Days",VLOOKUP(D754,[3]Standard!$B$9:$L$101,11,FALSE),VLOOKUP(D754,[3]Standard!$B$9:$M$101,12,FALSE)))),0)</f>
        <v>1109950</v>
      </c>
      <c r="M754" s="269">
        <f>IFERROR(VLOOKUP((D754&amp;C754)&amp;"",'[2]Retail Price List'!$C$4:$F$102,4,FALSE),"")</f>
        <v>1445000</v>
      </c>
      <c r="N754" s="269">
        <f>IFERROR(IF(BA754="WIP - 30 Days",VLOOKUP(D754,[3]Extended!$B$9:$E$101,4,FALSE),IF(BA754="31-120 Days",VLOOKUP(D754,[3]Extended!$B$9:$F$101,5,FALSE),IF(BA754="121-365 Days",VLOOKUP(D754,[3]Extended!$B$9:$G$101,6,FALSE),VLOOKUP(D754,[3]Extended!$B$9:$H$101,7,FALSE)))),0)</f>
        <v>1175796.5</v>
      </c>
      <c r="O754" s="269">
        <f>IFERROR(IF(BA754="WIP - 30 Days",VLOOKUP(D754,[3]Extended!$B$9:$J$101,9,FALSE),IF(BA754="31-120 Days",VLOOKUP(D754,[3]Extended!$B$9:$K$101,10,FALSE),IF(BA754="121-365 Days",VLOOKUP(D754,[3]Extended!$B$9:$L$101,11,FALSE),VLOOKUP(D754,[3]Extended!$B$9:$M$101,12,FALSE)))),0)</f>
        <v>1141550</v>
      </c>
      <c r="P754" s="116">
        <f t="shared" si="56"/>
        <v>0.21</v>
      </c>
      <c r="Q754" s="110" t="e">
        <f>O754-#REF!</f>
        <v>#REF!</v>
      </c>
      <c r="W754" s="311"/>
      <c r="X754" s="311"/>
      <c r="Y754" s="311"/>
      <c r="Z754" s="311"/>
      <c r="AA754" s="311"/>
      <c r="AB754" s="311"/>
      <c r="AC754" s="311"/>
      <c r="AT754" s="88" t="str">
        <f t="shared" si="57"/>
        <v>KP0006822017Q314,7</v>
      </c>
      <c r="AU754" s="89" t="str">
        <f t="shared" si="58"/>
        <v>07-2017</v>
      </c>
      <c r="BA754" s="92" t="str">
        <f t="shared" si="59"/>
        <v>WIP - 30 Days</v>
      </c>
    </row>
    <row r="755" spans="2:53">
      <c r="B755" s="60" t="str">
        <f>[2]Trucks!A752</f>
        <v>76W-2488</v>
      </c>
      <c r="C755" s="11" t="str">
        <f>[2]Trucks!B752</f>
        <v>TGS-33-3606X4BB-M-K</v>
      </c>
      <c r="D755" s="19" t="str">
        <f>IFERROR(VLOOKUP(C755&amp;"",'[2]Retail Price List'!$A$3:$B$103,2,FALSE),"Special Order")</f>
        <v>KP000681</v>
      </c>
      <c r="E755" s="18" t="str">
        <f>[2]Trucks!J752</f>
        <v>BODY</v>
      </c>
      <c r="F755" s="12">
        <f>[2]Trucks!E752</f>
        <v>318</v>
      </c>
      <c r="G755" s="56">
        <f>[2]Trucks!K752</f>
        <v>18</v>
      </c>
      <c r="H755" s="46">
        <f>[2]Trucks!I752</f>
        <v>42446</v>
      </c>
      <c r="I755" s="83" t="str">
        <f t="shared" si="55"/>
        <v>2016Q1</v>
      </c>
      <c r="J755" s="272">
        <f>IFERROR(VLOOKUP((D755&amp;C755)&amp;"",'[2]Retail Price List'!$C$4:$F$102,3,FALSE),"")</f>
        <v>1375000</v>
      </c>
      <c r="K755" s="272">
        <f>IFERROR(IF(BA755="WIP - 30 Days",VLOOKUP(D755,[3]Standard!$B$9:$E$101,4,FALSE),IF(BA755="31-120 Days",VLOOKUP(D755,[3]Standard!$B$9:$F$101,5,FALSE),IF(BA755="121-365 Days",VLOOKUP(D755,[3]Standard!$B$9:$G$101,6,FALSE),VLOOKUP(D755,[3]Standard!$B$9:$H$101,7,FALSE)))),0)</f>
        <v>1118837.5</v>
      </c>
      <c r="L755" s="272">
        <f>IFERROR(IF(BA755="WIP - 30 Days",VLOOKUP(D755,[3]Standard!$B$9:$J$101,9,FALSE),IF(BA755="31-120 Days",VLOOKUP(D755,[3]Standard!$B$9:$K$100,10,FALSE),IF(BA755="121-365 Days",VLOOKUP(D755,[3]Standard!$B$9:$L$101,11,FALSE),VLOOKUP(D755,[3]Standard!$B$9:$M$101,12,FALSE)))),0)</f>
        <v>1086250</v>
      </c>
      <c r="M755" s="269">
        <f>IFERROR(VLOOKUP((D755&amp;C755)&amp;"",'[2]Retail Price List'!$C$4:$F$102,4,FALSE),"")</f>
        <v>1415000</v>
      </c>
      <c r="N755" s="269">
        <f>IFERROR(IF(BA755="WIP - 30 Days",VLOOKUP(D755,[3]Extended!$B$9:$E$101,4,FALSE),IF(BA755="31-120 Days",VLOOKUP(D755,[3]Extended!$B$9:$F$101,5,FALSE),IF(BA755="121-365 Days",VLOOKUP(D755,[3]Extended!$B$9:$G$101,6,FALSE),VLOOKUP(D755,[3]Extended!$B$9:$H$101,7,FALSE)))),0)</f>
        <v>1151385.5</v>
      </c>
      <c r="O755" s="269">
        <f>IFERROR(IF(BA755="WIP - 30 Days",VLOOKUP(D755,[3]Extended!$B$9:$J$101,9,FALSE),IF(BA755="31-120 Days",VLOOKUP(D755,[3]Extended!$B$9:$K$101,10,FALSE),IF(BA755="121-365 Days",VLOOKUP(D755,[3]Extended!$B$9:$L$101,11,FALSE),VLOOKUP(D755,[3]Extended!$B$9:$M$101,12,FALSE)))),0)</f>
        <v>1117850</v>
      </c>
      <c r="P755" s="116">
        <f t="shared" si="56"/>
        <v>0.21</v>
      </c>
      <c r="Q755" s="110" t="e">
        <f>O755-#REF!</f>
        <v>#REF!</v>
      </c>
      <c r="W755" s="311"/>
      <c r="X755" s="311"/>
      <c r="Y755" s="311"/>
      <c r="Z755" s="311"/>
      <c r="AA755" s="311"/>
      <c r="AB755" s="311"/>
      <c r="AC755" s="311"/>
      <c r="AT755" s="88" t="str">
        <f t="shared" si="57"/>
        <v>KP0006812016Q118</v>
      </c>
      <c r="AU755" s="89" t="str">
        <f t="shared" si="58"/>
        <v>03-2016</v>
      </c>
      <c r="BA755" s="92" t="str">
        <f t="shared" si="59"/>
        <v>121-365 Days</v>
      </c>
    </row>
    <row r="756" spans="2:53">
      <c r="B756" s="60" t="str">
        <f>[2]Trucks!A753</f>
        <v>76W-2512</v>
      </c>
      <c r="C756" s="11" t="str">
        <f>[2]Trucks!B753</f>
        <v>TGS-33-3606X4BB-M-K</v>
      </c>
      <c r="D756" s="19" t="str">
        <f>IFERROR(VLOOKUP(C756&amp;"",'[2]Retail Price List'!$A$3:$B$103,2,FALSE),"Special Order")</f>
        <v>KP000681</v>
      </c>
      <c r="E756" s="18" t="str">
        <f>[2]Trucks!J753</f>
        <v>BODY</v>
      </c>
      <c r="F756" s="12">
        <f>[2]Trucks!E753</f>
        <v>317</v>
      </c>
      <c r="G756" s="56">
        <f>[2]Trucks!K753</f>
        <v>18</v>
      </c>
      <c r="H756" s="46">
        <f>[2]Trucks!I753</f>
        <v>42446</v>
      </c>
      <c r="I756" s="83" t="str">
        <f t="shared" si="55"/>
        <v>2016Q1</v>
      </c>
      <c r="J756" s="272">
        <f>IFERROR(VLOOKUP((D756&amp;C756)&amp;"",'[2]Retail Price List'!$C$4:$F$102,3,FALSE),"")</f>
        <v>1375000</v>
      </c>
      <c r="K756" s="272">
        <f>IFERROR(IF(BA756="WIP - 30 Days",VLOOKUP(D756,[3]Standard!$B$9:$E$101,4,FALSE),IF(BA756="31-120 Days",VLOOKUP(D756,[3]Standard!$B$9:$F$101,5,FALSE),IF(BA756="121-365 Days",VLOOKUP(D756,[3]Standard!$B$9:$G$101,6,FALSE),VLOOKUP(D756,[3]Standard!$B$9:$H$101,7,FALSE)))),0)</f>
        <v>1118837.5</v>
      </c>
      <c r="L756" s="272">
        <f>IFERROR(IF(BA756="WIP - 30 Days",VLOOKUP(D756,[3]Standard!$B$9:$J$101,9,FALSE),IF(BA756="31-120 Days",VLOOKUP(D756,[3]Standard!$B$9:$K$100,10,FALSE),IF(BA756="121-365 Days",VLOOKUP(D756,[3]Standard!$B$9:$L$101,11,FALSE),VLOOKUP(D756,[3]Standard!$B$9:$M$101,12,FALSE)))),0)</f>
        <v>1086250</v>
      </c>
      <c r="M756" s="269">
        <f>IFERROR(VLOOKUP((D756&amp;C756)&amp;"",'[2]Retail Price List'!$C$4:$F$102,4,FALSE),"")</f>
        <v>1415000</v>
      </c>
      <c r="N756" s="269">
        <f>IFERROR(IF(BA756="WIP - 30 Days",VLOOKUP(D756,[3]Extended!$B$9:$E$101,4,FALSE),IF(BA756="31-120 Days",VLOOKUP(D756,[3]Extended!$B$9:$F$101,5,FALSE),IF(BA756="121-365 Days",VLOOKUP(D756,[3]Extended!$B$9:$G$101,6,FALSE),VLOOKUP(D756,[3]Extended!$B$9:$H$101,7,FALSE)))),0)</f>
        <v>1151385.5</v>
      </c>
      <c r="O756" s="269">
        <f>IFERROR(IF(BA756="WIP - 30 Days",VLOOKUP(D756,[3]Extended!$B$9:$J$101,9,FALSE),IF(BA756="31-120 Days",VLOOKUP(D756,[3]Extended!$B$9:$K$101,10,FALSE),IF(BA756="121-365 Days",VLOOKUP(D756,[3]Extended!$B$9:$L$101,11,FALSE),VLOOKUP(D756,[3]Extended!$B$9:$M$101,12,FALSE)))),0)</f>
        <v>1117850</v>
      </c>
      <c r="P756" s="116">
        <f t="shared" si="56"/>
        <v>0.21</v>
      </c>
      <c r="Q756" s="110" t="e">
        <f>O756-#REF!</f>
        <v>#REF!</v>
      </c>
      <c r="W756" s="311"/>
      <c r="X756" s="311"/>
      <c r="Y756" s="311"/>
      <c r="Z756" s="311"/>
      <c r="AA756" s="311"/>
      <c r="AB756" s="311"/>
      <c r="AC756" s="311"/>
      <c r="AT756" s="88" t="str">
        <f t="shared" si="57"/>
        <v>KP0006812016Q118</v>
      </c>
      <c r="AU756" s="89" t="str">
        <f t="shared" si="58"/>
        <v>03-2016</v>
      </c>
      <c r="BA756" s="92" t="str">
        <f t="shared" si="59"/>
        <v>121-365 Days</v>
      </c>
    </row>
    <row r="757" spans="2:53">
      <c r="B757" s="60" t="str">
        <f>[2]Trucks!A754</f>
        <v>76W-8687</v>
      </c>
      <c r="C757" s="11" t="str">
        <f>[2]Trucks!B754</f>
        <v>TGS-33-3606X4BB-M-K</v>
      </c>
      <c r="D757" s="19" t="str">
        <f>IFERROR(VLOOKUP(C757&amp;"",'[2]Retail Price List'!$A$3:$B$103,2,FALSE),"Special Order")</f>
        <v>KP000681</v>
      </c>
      <c r="E757" s="18" t="str">
        <f>[2]Trucks!J754</f>
        <v>BODY</v>
      </c>
      <c r="F757" s="12">
        <f>[2]Trucks!E754</f>
        <v>171</v>
      </c>
      <c r="G757" s="56">
        <f>[2]Trucks!K754</f>
        <v>16</v>
      </c>
      <c r="H757" s="46">
        <f>[2]Trucks!I754</f>
        <v>42628</v>
      </c>
      <c r="I757" s="83" t="str">
        <f t="shared" si="55"/>
        <v>2016Q3</v>
      </c>
      <c r="J757" s="272">
        <f>IFERROR(VLOOKUP((D757&amp;C757)&amp;"",'[2]Retail Price List'!$C$4:$F$102,3,FALSE),"")</f>
        <v>1375000</v>
      </c>
      <c r="K757" s="272">
        <f>IFERROR(IF(BA757="WIP - 30 Days",VLOOKUP(D757,[3]Standard!$B$9:$E$101,4,FALSE),IF(BA757="31-120 Days",VLOOKUP(D757,[3]Standard!$B$9:$F$101,5,FALSE),IF(BA757="121-365 Days",VLOOKUP(D757,[3]Standard!$B$9:$G$101,6,FALSE),VLOOKUP(D757,[3]Standard!$B$9:$H$101,7,FALSE)))),0)</f>
        <v>1118837.5</v>
      </c>
      <c r="L757" s="272">
        <f>IFERROR(IF(BA757="WIP - 30 Days",VLOOKUP(D757,[3]Standard!$B$9:$J$101,9,FALSE),IF(BA757="31-120 Days",VLOOKUP(D757,[3]Standard!$B$9:$K$100,10,FALSE),IF(BA757="121-365 Days",VLOOKUP(D757,[3]Standard!$B$9:$L$101,11,FALSE),VLOOKUP(D757,[3]Standard!$B$9:$M$101,12,FALSE)))),0)</f>
        <v>1086250</v>
      </c>
      <c r="M757" s="269">
        <f>IFERROR(VLOOKUP((D757&amp;C757)&amp;"",'[2]Retail Price List'!$C$4:$F$102,4,FALSE),"")</f>
        <v>1415000</v>
      </c>
      <c r="N757" s="269">
        <f>IFERROR(IF(BA757="WIP - 30 Days",VLOOKUP(D757,[3]Extended!$B$9:$E$101,4,FALSE),IF(BA757="31-120 Days",VLOOKUP(D757,[3]Extended!$B$9:$F$101,5,FALSE),IF(BA757="121-365 Days",VLOOKUP(D757,[3]Extended!$B$9:$G$101,6,FALSE),VLOOKUP(D757,[3]Extended!$B$9:$H$101,7,FALSE)))),0)</f>
        <v>1151385.5</v>
      </c>
      <c r="O757" s="269">
        <f>IFERROR(IF(BA757="WIP - 30 Days",VLOOKUP(D757,[3]Extended!$B$9:$J$101,9,FALSE),IF(BA757="31-120 Days",VLOOKUP(D757,[3]Extended!$B$9:$K$101,10,FALSE),IF(BA757="121-365 Days",VLOOKUP(D757,[3]Extended!$B$9:$L$101,11,FALSE),VLOOKUP(D757,[3]Extended!$B$9:$M$101,12,FALSE)))),0)</f>
        <v>1117850</v>
      </c>
      <c r="P757" s="116">
        <f t="shared" si="56"/>
        <v>0.21</v>
      </c>
      <c r="Q757" s="110" t="e">
        <f>O757-#REF!</f>
        <v>#REF!</v>
      </c>
      <c r="W757" s="311"/>
      <c r="X757" s="311"/>
      <c r="Y757" s="311"/>
      <c r="Z757" s="311"/>
      <c r="AA757" s="311"/>
      <c r="AB757" s="311"/>
      <c r="AC757" s="311"/>
      <c r="AT757" s="88" t="str">
        <f t="shared" si="57"/>
        <v>KP0006812016Q316</v>
      </c>
      <c r="AU757" s="89" t="str">
        <f t="shared" si="58"/>
        <v>09-2016</v>
      </c>
      <c r="BA757" s="92" t="str">
        <f t="shared" si="59"/>
        <v>121-365 Days</v>
      </c>
    </row>
    <row r="758" spans="2:53">
      <c r="B758" s="60" t="str">
        <f>[2]Trucks!A755</f>
        <v>76W-8688</v>
      </c>
      <c r="C758" s="11" t="str">
        <f>[2]Trucks!B755</f>
        <v>TGS-33-3606X4BB-M-K</v>
      </c>
      <c r="D758" s="19" t="str">
        <f>IFERROR(VLOOKUP(C758&amp;"",'[2]Retail Price List'!$A$3:$B$103,2,FALSE),"Special Order")</f>
        <v>KP000681</v>
      </c>
      <c r="E758" s="18" t="str">
        <f>[2]Trucks!J755</f>
        <v>BODY</v>
      </c>
      <c r="F758" s="12">
        <f>[2]Trucks!E755</f>
        <v>171</v>
      </c>
      <c r="G758" s="56">
        <f>[2]Trucks!K755</f>
        <v>16</v>
      </c>
      <c r="H758" s="46">
        <f>[2]Trucks!I755</f>
        <v>42628</v>
      </c>
      <c r="I758" s="83" t="str">
        <f t="shared" si="55"/>
        <v>2016Q3</v>
      </c>
      <c r="J758" s="272">
        <f>IFERROR(VLOOKUP((D758&amp;C758)&amp;"",'[2]Retail Price List'!$C$4:$F$102,3,FALSE),"")</f>
        <v>1375000</v>
      </c>
      <c r="K758" s="272">
        <f>IFERROR(IF(BA758="WIP - 30 Days",VLOOKUP(D758,[3]Standard!$B$9:$E$101,4,FALSE),IF(BA758="31-120 Days",VLOOKUP(D758,[3]Standard!$B$9:$F$101,5,FALSE),IF(BA758="121-365 Days",VLOOKUP(D758,[3]Standard!$B$9:$G$101,6,FALSE),VLOOKUP(D758,[3]Standard!$B$9:$H$101,7,FALSE)))),0)</f>
        <v>1118837.5</v>
      </c>
      <c r="L758" s="272">
        <f>IFERROR(IF(BA758="WIP - 30 Days",VLOOKUP(D758,[3]Standard!$B$9:$J$101,9,FALSE),IF(BA758="31-120 Days",VLOOKUP(D758,[3]Standard!$B$9:$K$100,10,FALSE),IF(BA758="121-365 Days",VLOOKUP(D758,[3]Standard!$B$9:$L$101,11,FALSE),VLOOKUP(D758,[3]Standard!$B$9:$M$101,12,FALSE)))),0)</f>
        <v>1086250</v>
      </c>
      <c r="M758" s="269">
        <f>IFERROR(VLOOKUP((D758&amp;C758)&amp;"",'[2]Retail Price List'!$C$4:$F$102,4,FALSE),"")</f>
        <v>1415000</v>
      </c>
      <c r="N758" s="269">
        <f>IFERROR(IF(BA758="WIP - 30 Days",VLOOKUP(D758,[3]Extended!$B$9:$E$101,4,FALSE),IF(BA758="31-120 Days",VLOOKUP(D758,[3]Extended!$B$9:$F$101,5,FALSE),IF(BA758="121-365 Days",VLOOKUP(D758,[3]Extended!$B$9:$G$101,6,FALSE),VLOOKUP(D758,[3]Extended!$B$9:$H$101,7,FALSE)))),0)</f>
        <v>1151385.5</v>
      </c>
      <c r="O758" s="269">
        <f>IFERROR(IF(BA758="WIP - 30 Days",VLOOKUP(D758,[3]Extended!$B$9:$J$101,9,FALSE),IF(BA758="31-120 Days",VLOOKUP(D758,[3]Extended!$B$9:$K$101,10,FALSE),IF(BA758="121-365 Days",VLOOKUP(D758,[3]Extended!$B$9:$L$101,11,FALSE),VLOOKUP(D758,[3]Extended!$B$9:$M$101,12,FALSE)))),0)</f>
        <v>1117850</v>
      </c>
      <c r="P758" s="116">
        <f t="shared" si="56"/>
        <v>0.21</v>
      </c>
      <c r="Q758" s="110" t="e">
        <f>O758-#REF!</f>
        <v>#REF!</v>
      </c>
      <c r="W758" s="311"/>
      <c r="X758" s="311"/>
      <c r="Y758" s="311"/>
      <c r="Z758" s="311"/>
      <c r="AA758" s="311"/>
      <c r="AB758" s="311"/>
      <c r="AC758" s="311"/>
      <c r="AT758" s="88" t="str">
        <f t="shared" si="57"/>
        <v>KP0006812016Q316</v>
      </c>
      <c r="AU758" s="89" t="str">
        <f t="shared" si="58"/>
        <v>09-2016</v>
      </c>
      <c r="BA758" s="92" t="str">
        <f t="shared" si="59"/>
        <v>121-365 Days</v>
      </c>
    </row>
    <row r="759" spans="2:53">
      <c r="B759" s="60" t="str">
        <f>[2]Trucks!A756</f>
        <v>76W-8693</v>
      </c>
      <c r="C759" s="11" t="str">
        <f>[2]Trucks!B756</f>
        <v>TGS-33-3606X4BB-M-K</v>
      </c>
      <c r="D759" s="19" t="str">
        <f>IFERROR(VLOOKUP(C759&amp;"",'[2]Retail Price List'!$A$3:$B$103,2,FALSE),"Special Order")</f>
        <v>KP000681</v>
      </c>
      <c r="E759" s="18" t="str">
        <f>[2]Trucks!J756</f>
        <v>BOOKED</v>
      </c>
      <c r="F759" s="12">
        <f>[2]Trucks!E756</f>
        <v>163</v>
      </c>
      <c r="G759" s="56">
        <f>[2]Trucks!K756</f>
        <v>16</v>
      </c>
      <c r="H759" s="46">
        <f>[2]Trucks!I756</f>
        <v>42628</v>
      </c>
      <c r="I759" s="83" t="str">
        <f t="shared" si="55"/>
        <v>2016Q3</v>
      </c>
      <c r="J759" s="272">
        <f>IFERROR(VLOOKUP((D759&amp;C759)&amp;"",'[2]Retail Price List'!$C$4:$F$102,3,FALSE),"")</f>
        <v>1375000</v>
      </c>
      <c r="K759" s="272">
        <f>IFERROR(IF(BA759="WIP - 30 Days",VLOOKUP(D759,[3]Standard!$B$9:$E$101,4,FALSE),IF(BA759="31-120 Days",VLOOKUP(D759,[3]Standard!$B$9:$F$101,5,FALSE),IF(BA759="121-365 Days",VLOOKUP(D759,[3]Standard!$B$9:$G$101,6,FALSE),VLOOKUP(D759,[3]Standard!$B$9:$H$101,7,FALSE)))),0)</f>
        <v>1118837.5</v>
      </c>
      <c r="L759" s="272">
        <f>IFERROR(IF(BA759="WIP - 30 Days",VLOOKUP(D759,[3]Standard!$B$9:$J$101,9,FALSE),IF(BA759="31-120 Days",VLOOKUP(D759,[3]Standard!$B$9:$K$100,10,FALSE),IF(BA759="121-365 Days",VLOOKUP(D759,[3]Standard!$B$9:$L$101,11,FALSE),VLOOKUP(D759,[3]Standard!$B$9:$M$101,12,FALSE)))),0)</f>
        <v>1086250</v>
      </c>
      <c r="M759" s="269">
        <f>IFERROR(VLOOKUP((D759&amp;C759)&amp;"",'[2]Retail Price List'!$C$4:$F$102,4,FALSE),"")</f>
        <v>1415000</v>
      </c>
      <c r="N759" s="269">
        <f>IFERROR(IF(BA759="WIP - 30 Days",VLOOKUP(D759,[3]Extended!$B$9:$E$101,4,FALSE),IF(BA759="31-120 Days",VLOOKUP(D759,[3]Extended!$B$9:$F$101,5,FALSE),IF(BA759="121-365 Days",VLOOKUP(D759,[3]Extended!$B$9:$G$101,6,FALSE),VLOOKUP(D759,[3]Extended!$B$9:$H$101,7,FALSE)))),0)</f>
        <v>1151385.5</v>
      </c>
      <c r="O759" s="269">
        <f>IFERROR(IF(BA759="WIP - 30 Days",VLOOKUP(D759,[3]Extended!$B$9:$J$101,9,FALSE),IF(BA759="31-120 Days",VLOOKUP(D759,[3]Extended!$B$9:$K$101,10,FALSE),IF(BA759="121-365 Days",VLOOKUP(D759,[3]Extended!$B$9:$L$101,11,FALSE),VLOOKUP(D759,[3]Extended!$B$9:$M$101,12,FALSE)))),0)</f>
        <v>1117850</v>
      </c>
      <c r="P759" s="116">
        <f t="shared" si="56"/>
        <v>0.21</v>
      </c>
      <c r="Q759" s="110" t="e">
        <f>O759-#REF!</f>
        <v>#REF!</v>
      </c>
      <c r="W759" s="311"/>
      <c r="X759" s="311"/>
      <c r="Y759" s="311"/>
      <c r="Z759" s="311"/>
      <c r="AA759" s="311"/>
      <c r="AB759" s="311"/>
      <c r="AC759" s="311"/>
      <c r="AT759" s="88" t="str">
        <f t="shared" si="57"/>
        <v>KP0006812016Q316</v>
      </c>
      <c r="AU759" s="89" t="str">
        <f t="shared" si="58"/>
        <v>09-2016</v>
      </c>
      <c r="BA759" s="92" t="str">
        <f t="shared" si="59"/>
        <v>121-365 Days</v>
      </c>
    </row>
    <row r="760" spans="2:53">
      <c r="B760" s="60" t="str">
        <f>[2]Trucks!A757</f>
        <v>76W-8754</v>
      </c>
      <c r="C760" s="11" t="str">
        <f>[2]Trucks!B757</f>
        <v>TGS-33-3606X4BB-M-K</v>
      </c>
      <c r="D760" s="19" t="str">
        <f>IFERROR(VLOOKUP(C760&amp;"",'[2]Retail Price List'!$A$3:$B$103,2,FALSE),"Special Order")</f>
        <v>KP000681</v>
      </c>
      <c r="E760" s="18" t="str">
        <f>[2]Trucks!J757</f>
        <v>BOOKED</v>
      </c>
      <c r="F760" s="12">
        <f>[2]Trucks!E757</f>
        <v>133</v>
      </c>
      <c r="G760" s="56">
        <f>[2]Trucks!K757</f>
        <v>16</v>
      </c>
      <c r="H760" s="46">
        <f>[2]Trucks!I757</f>
        <v>42656</v>
      </c>
      <c r="I760" s="83" t="str">
        <f t="shared" si="55"/>
        <v>201610Q4</v>
      </c>
      <c r="J760" s="272">
        <f>IFERROR(VLOOKUP((D760&amp;C760)&amp;"",'[2]Retail Price List'!$C$4:$F$102,3,FALSE),"")</f>
        <v>1375000</v>
      </c>
      <c r="K760" s="272">
        <f>IFERROR(IF(BA760="WIP - 30 Days",VLOOKUP(D760,[3]Standard!$B$9:$E$101,4,FALSE),IF(BA760="31-120 Days",VLOOKUP(D760,[3]Standard!$B$9:$F$101,5,FALSE),IF(BA760="121-365 Days",VLOOKUP(D760,[3]Standard!$B$9:$G$101,6,FALSE),VLOOKUP(D760,[3]Standard!$B$9:$H$101,7,FALSE)))),0)</f>
        <v>1118837.5</v>
      </c>
      <c r="L760" s="272">
        <f>IFERROR(IF(BA760="WIP - 30 Days",VLOOKUP(D760,[3]Standard!$B$9:$J$101,9,FALSE),IF(BA760="31-120 Days",VLOOKUP(D760,[3]Standard!$B$9:$K$100,10,FALSE),IF(BA760="121-365 Days",VLOOKUP(D760,[3]Standard!$B$9:$L$101,11,FALSE),VLOOKUP(D760,[3]Standard!$B$9:$M$101,12,FALSE)))),0)</f>
        <v>1086250</v>
      </c>
      <c r="M760" s="269">
        <f>IFERROR(VLOOKUP((D760&amp;C760)&amp;"",'[2]Retail Price List'!$C$4:$F$102,4,FALSE),"")</f>
        <v>1415000</v>
      </c>
      <c r="N760" s="269">
        <f>IFERROR(IF(BA760="WIP - 30 Days",VLOOKUP(D760,[3]Extended!$B$9:$E$101,4,FALSE),IF(BA760="31-120 Days",VLOOKUP(D760,[3]Extended!$B$9:$F$101,5,FALSE),IF(BA760="121-365 Days",VLOOKUP(D760,[3]Extended!$B$9:$G$101,6,FALSE),VLOOKUP(D760,[3]Extended!$B$9:$H$101,7,FALSE)))),0)</f>
        <v>1151385.5</v>
      </c>
      <c r="O760" s="269">
        <f>IFERROR(IF(BA760="WIP - 30 Days",VLOOKUP(D760,[3]Extended!$B$9:$J$101,9,FALSE),IF(BA760="31-120 Days",VLOOKUP(D760,[3]Extended!$B$9:$K$101,10,FALSE),IF(BA760="121-365 Days",VLOOKUP(D760,[3]Extended!$B$9:$L$101,11,FALSE),VLOOKUP(D760,[3]Extended!$B$9:$M$101,12,FALSE)))),0)</f>
        <v>1117850</v>
      </c>
      <c r="P760" s="116">
        <f t="shared" si="56"/>
        <v>0.21</v>
      </c>
      <c r="Q760" s="110" t="e">
        <f>O760-#REF!</f>
        <v>#REF!</v>
      </c>
      <c r="W760" s="311"/>
      <c r="X760" s="311"/>
      <c r="Y760" s="311"/>
      <c r="Z760" s="311"/>
      <c r="AA760" s="311"/>
      <c r="AB760" s="311"/>
      <c r="AC760" s="311"/>
      <c r="AT760" s="88" t="str">
        <f t="shared" si="57"/>
        <v>KP000681201610Q416</v>
      </c>
      <c r="AU760" s="89" t="str">
        <f t="shared" si="58"/>
        <v>10-2016</v>
      </c>
      <c r="BA760" s="92" t="str">
        <f t="shared" si="59"/>
        <v>121-365 Days</v>
      </c>
    </row>
    <row r="761" spans="2:53">
      <c r="B761" s="60" t="str">
        <f>[2]Trucks!A758</f>
        <v>76W-8755</v>
      </c>
      <c r="C761" s="11" t="str">
        <f>[2]Trucks!B758</f>
        <v>TGS-33-3606X4BB-M-K</v>
      </c>
      <c r="D761" s="19" t="str">
        <f>IFERROR(VLOOKUP(C761&amp;"",'[2]Retail Price List'!$A$3:$B$103,2,FALSE),"Special Order")</f>
        <v>KP000681</v>
      </c>
      <c r="E761" s="18" t="str">
        <f>[2]Trucks!J758</f>
        <v>BOOKED</v>
      </c>
      <c r="F761" s="12">
        <f>[2]Trucks!E758</f>
        <v>133</v>
      </c>
      <c r="G761" s="56">
        <f>[2]Trucks!K758</f>
        <v>16</v>
      </c>
      <c r="H761" s="46">
        <f>[2]Trucks!I758</f>
        <v>42656</v>
      </c>
      <c r="I761" s="83" t="str">
        <f t="shared" si="55"/>
        <v>201610Q4</v>
      </c>
      <c r="J761" s="272">
        <f>IFERROR(VLOOKUP((D761&amp;C761)&amp;"",'[2]Retail Price List'!$C$4:$F$102,3,FALSE),"")</f>
        <v>1375000</v>
      </c>
      <c r="K761" s="272">
        <f>IFERROR(IF(BA761="WIP - 30 Days",VLOOKUP(D761,[3]Standard!$B$9:$E$101,4,FALSE),IF(BA761="31-120 Days",VLOOKUP(D761,[3]Standard!$B$9:$F$101,5,FALSE),IF(BA761="121-365 Days",VLOOKUP(D761,[3]Standard!$B$9:$G$101,6,FALSE),VLOOKUP(D761,[3]Standard!$B$9:$H$101,7,FALSE)))),0)</f>
        <v>1118837.5</v>
      </c>
      <c r="L761" s="272">
        <f>IFERROR(IF(BA761="WIP - 30 Days",VLOOKUP(D761,[3]Standard!$B$9:$J$101,9,FALSE),IF(BA761="31-120 Days",VLOOKUP(D761,[3]Standard!$B$9:$K$100,10,FALSE),IF(BA761="121-365 Days",VLOOKUP(D761,[3]Standard!$B$9:$L$101,11,FALSE),VLOOKUP(D761,[3]Standard!$B$9:$M$101,12,FALSE)))),0)</f>
        <v>1086250</v>
      </c>
      <c r="M761" s="269">
        <f>IFERROR(VLOOKUP((D761&amp;C761)&amp;"",'[2]Retail Price List'!$C$4:$F$102,4,FALSE),"")</f>
        <v>1415000</v>
      </c>
      <c r="N761" s="269">
        <f>IFERROR(IF(BA761="WIP - 30 Days",VLOOKUP(D761,[3]Extended!$B$9:$E$101,4,FALSE),IF(BA761="31-120 Days",VLOOKUP(D761,[3]Extended!$B$9:$F$101,5,FALSE),IF(BA761="121-365 Days",VLOOKUP(D761,[3]Extended!$B$9:$G$101,6,FALSE),VLOOKUP(D761,[3]Extended!$B$9:$H$101,7,FALSE)))),0)</f>
        <v>1151385.5</v>
      </c>
      <c r="O761" s="269">
        <f>IFERROR(IF(BA761="WIP - 30 Days",VLOOKUP(D761,[3]Extended!$B$9:$J$101,9,FALSE),IF(BA761="31-120 Days",VLOOKUP(D761,[3]Extended!$B$9:$K$101,10,FALSE),IF(BA761="121-365 Days",VLOOKUP(D761,[3]Extended!$B$9:$L$101,11,FALSE),VLOOKUP(D761,[3]Extended!$B$9:$M$101,12,FALSE)))),0)</f>
        <v>1117850</v>
      </c>
      <c r="P761" s="116">
        <f t="shared" si="56"/>
        <v>0.21</v>
      </c>
      <c r="Q761" s="110" t="e">
        <f>O761-#REF!</f>
        <v>#REF!</v>
      </c>
      <c r="W761" s="311"/>
      <c r="X761" s="311"/>
      <c r="Y761" s="311"/>
      <c r="Z761" s="311"/>
      <c r="AA761" s="311"/>
      <c r="AB761" s="311"/>
      <c r="AC761" s="311"/>
      <c r="AT761" s="88" t="str">
        <f t="shared" si="57"/>
        <v>KP000681201610Q416</v>
      </c>
      <c r="AU761" s="89" t="str">
        <f t="shared" si="58"/>
        <v>10-2016</v>
      </c>
      <c r="BA761" s="92" t="str">
        <f t="shared" si="59"/>
        <v>121-365 Days</v>
      </c>
    </row>
    <row r="762" spans="2:53">
      <c r="B762" s="60" t="str">
        <f>[2]Trucks!A759</f>
        <v>76W-8756</v>
      </c>
      <c r="C762" s="11" t="str">
        <f>[2]Trucks!B759</f>
        <v>TGS-33-3606X4BB-M-K</v>
      </c>
      <c r="D762" s="19" t="str">
        <f>IFERROR(VLOOKUP(C762&amp;"",'[2]Retail Price List'!$A$3:$B$103,2,FALSE),"Special Order")</f>
        <v>KP000681</v>
      </c>
      <c r="E762" s="18" t="str">
        <f>[2]Trucks!J759</f>
        <v>UNSOLD</v>
      </c>
      <c r="F762" s="12">
        <f>[2]Trucks!E759</f>
        <v>129</v>
      </c>
      <c r="G762" s="56">
        <f>[2]Trucks!K759</f>
        <v>16</v>
      </c>
      <c r="H762" s="46">
        <f>[2]Trucks!I759</f>
        <v>42656</v>
      </c>
      <c r="I762" s="83" t="str">
        <f t="shared" si="55"/>
        <v>201610Q4</v>
      </c>
      <c r="J762" s="272">
        <f>IFERROR(VLOOKUP((D762&amp;C762)&amp;"",'[2]Retail Price List'!$C$4:$F$102,3,FALSE),"")</f>
        <v>1375000</v>
      </c>
      <c r="K762" s="272">
        <f>IFERROR(IF(BA762="WIP - 30 Days",VLOOKUP(D762,[3]Standard!$B$9:$E$101,4,FALSE),IF(BA762="31-120 Days",VLOOKUP(D762,[3]Standard!$B$9:$F$101,5,FALSE),IF(BA762="121-365 Days",VLOOKUP(D762,[3]Standard!$B$9:$G$101,6,FALSE),VLOOKUP(D762,[3]Standard!$B$9:$H$101,7,FALSE)))),0)</f>
        <v>1118837.5</v>
      </c>
      <c r="L762" s="272">
        <f>IFERROR(IF(BA762="WIP - 30 Days",VLOOKUP(D762,[3]Standard!$B$9:$J$101,9,FALSE),IF(BA762="31-120 Days",VLOOKUP(D762,[3]Standard!$B$9:$K$100,10,FALSE),IF(BA762="121-365 Days",VLOOKUP(D762,[3]Standard!$B$9:$L$101,11,FALSE),VLOOKUP(D762,[3]Standard!$B$9:$M$101,12,FALSE)))),0)</f>
        <v>1086250</v>
      </c>
      <c r="M762" s="269">
        <f>IFERROR(VLOOKUP((D762&amp;C762)&amp;"",'[2]Retail Price List'!$C$4:$F$102,4,FALSE),"")</f>
        <v>1415000</v>
      </c>
      <c r="N762" s="269">
        <f>IFERROR(IF(BA762="WIP - 30 Days",VLOOKUP(D762,[3]Extended!$B$9:$E$101,4,FALSE),IF(BA762="31-120 Days",VLOOKUP(D762,[3]Extended!$B$9:$F$101,5,FALSE),IF(BA762="121-365 Days",VLOOKUP(D762,[3]Extended!$B$9:$G$101,6,FALSE),VLOOKUP(D762,[3]Extended!$B$9:$H$101,7,FALSE)))),0)</f>
        <v>1151385.5</v>
      </c>
      <c r="O762" s="269">
        <f>IFERROR(IF(BA762="WIP - 30 Days",VLOOKUP(D762,[3]Extended!$B$9:$J$101,9,FALSE),IF(BA762="31-120 Days",VLOOKUP(D762,[3]Extended!$B$9:$K$101,10,FALSE),IF(BA762="121-365 Days",VLOOKUP(D762,[3]Extended!$B$9:$L$101,11,FALSE),VLOOKUP(D762,[3]Extended!$B$9:$M$101,12,FALSE)))),0)</f>
        <v>1117850</v>
      </c>
      <c r="P762" s="116">
        <f t="shared" si="56"/>
        <v>0.21</v>
      </c>
      <c r="Q762" s="110" t="e">
        <f>O762-#REF!</f>
        <v>#REF!</v>
      </c>
      <c r="W762" s="311"/>
      <c r="X762" s="311"/>
      <c r="Y762" s="311"/>
      <c r="Z762" s="311"/>
      <c r="AA762" s="311"/>
      <c r="AB762" s="311"/>
      <c r="AC762" s="311"/>
      <c r="AT762" s="88" t="str">
        <f t="shared" si="57"/>
        <v>KP000681201610Q416</v>
      </c>
      <c r="AU762" s="89" t="str">
        <f t="shared" si="58"/>
        <v>10-2016</v>
      </c>
      <c r="BA762" s="92" t="str">
        <f t="shared" si="59"/>
        <v>121-365 Days</v>
      </c>
    </row>
    <row r="763" spans="2:53">
      <c r="B763" s="60" t="str">
        <f>[2]Trucks!A760</f>
        <v>76W-8757</v>
      </c>
      <c r="C763" s="11" t="str">
        <f>[2]Trucks!B760</f>
        <v>TGS-33-3606X4BB-M-K</v>
      </c>
      <c r="D763" s="19" t="str">
        <f>IFERROR(VLOOKUP(C763&amp;"",'[2]Retail Price List'!$A$3:$B$103,2,FALSE),"Special Order")</f>
        <v>KP000681</v>
      </c>
      <c r="E763" s="18" t="str">
        <f>[2]Trucks!J760</f>
        <v>UNSOLD</v>
      </c>
      <c r="F763" s="12">
        <f>[2]Trucks!E760</f>
        <v>115</v>
      </c>
      <c r="G763" s="56">
        <f>[2]Trucks!K760</f>
        <v>16</v>
      </c>
      <c r="H763" s="46">
        <f>[2]Trucks!I760</f>
        <v>42656</v>
      </c>
      <c r="I763" s="83" t="str">
        <f t="shared" si="55"/>
        <v>201610Q4</v>
      </c>
      <c r="J763" s="272">
        <f>IFERROR(VLOOKUP((D763&amp;C763)&amp;"",'[2]Retail Price List'!$C$4:$F$102,3,FALSE),"")</f>
        <v>1375000</v>
      </c>
      <c r="K763" s="272">
        <f>IFERROR(IF(BA763="WIP - 30 Days",VLOOKUP(D763,[3]Standard!$B$9:$E$101,4,FALSE),IF(BA763="31-120 Days",VLOOKUP(D763,[3]Standard!$B$9:$F$101,5,FALSE),IF(BA763="121-365 Days",VLOOKUP(D763,[3]Standard!$B$9:$G$101,6,FALSE),VLOOKUP(D763,[3]Standard!$B$9:$H$101,7,FALSE)))),0)</f>
        <v>1147162.5</v>
      </c>
      <c r="L763" s="272">
        <f>IFERROR(IF(BA763="WIP - 30 Days",VLOOKUP(D763,[3]Standard!$B$9:$J$101,9,FALSE),IF(BA763="31-120 Days",VLOOKUP(D763,[3]Standard!$B$9:$K$100,10,FALSE),IF(BA763="121-365 Days",VLOOKUP(D763,[3]Standard!$B$9:$L$101,11,FALSE),VLOOKUP(D763,[3]Standard!$B$9:$M$101,12,FALSE)))),0)</f>
        <v>1113750</v>
      </c>
      <c r="M763" s="269">
        <f>IFERROR(VLOOKUP((D763&amp;C763)&amp;"",'[2]Retail Price List'!$C$4:$F$102,4,FALSE),"")</f>
        <v>1415000</v>
      </c>
      <c r="N763" s="269">
        <f>IFERROR(IF(BA763="WIP - 30 Days",VLOOKUP(D763,[3]Extended!$B$9:$E$101,4,FALSE),IF(BA763="31-120 Days",VLOOKUP(D763,[3]Extended!$B$9:$F$101,5,FALSE),IF(BA763="121-365 Days",VLOOKUP(D763,[3]Extended!$B$9:$G$101,6,FALSE),VLOOKUP(D763,[3]Extended!$B$9:$H$101,7,FALSE)))),0)</f>
        <v>1180534.5</v>
      </c>
      <c r="O763" s="269">
        <f>IFERROR(IF(BA763="WIP - 30 Days",VLOOKUP(D763,[3]Extended!$B$9:$J$101,9,FALSE),IF(BA763="31-120 Days",VLOOKUP(D763,[3]Extended!$B$9:$K$101,10,FALSE),IF(BA763="121-365 Days",VLOOKUP(D763,[3]Extended!$B$9:$L$101,11,FALSE),VLOOKUP(D763,[3]Extended!$B$9:$M$101,12,FALSE)))),0)</f>
        <v>1146150</v>
      </c>
      <c r="P763" s="116">
        <f t="shared" si="56"/>
        <v>0.19</v>
      </c>
      <c r="Q763" s="110" t="e">
        <f>O763-#REF!</f>
        <v>#REF!</v>
      </c>
      <c r="W763" s="311"/>
      <c r="X763" s="311"/>
      <c r="Y763" s="311"/>
      <c r="Z763" s="311"/>
      <c r="AA763" s="311"/>
      <c r="AB763" s="311"/>
      <c r="AC763" s="311"/>
      <c r="AT763" s="88" t="str">
        <f t="shared" si="57"/>
        <v>KP000681201610Q416</v>
      </c>
      <c r="AU763" s="89" t="str">
        <f t="shared" si="58"/>
        <v>10-2016</v>
      </c>
      <c r="BA763" s="92" t="str">
        <f t="shared" si="59"/>
        <v>31-120 Days</v>
      </c>
    </row>
    <row r="764" spans="2:53">
      <c r="B764" s="60" t="str">
        <f>[2]Trucks!A761</f>
        <v>76W-8758</v>
      </c>
      <c r="C764" s="11" t="str">
        <f>[2]Trucks!B761</f>
        <v>TGS-33-3606X4BB-M-K</v>
      </c>
      <c r="D764" s="19" t="str">
        <f>IFERROR(VLOOKUP(C764&amp;"",'[2]Retail Price List'!$A$3:$B$103,2,FALSE),"Special Order")</f>
        <v>KP000681</v>
      </c>
      <c r="E764" s="18" t="str">
        <f>[2]Trucks!J761</f>
        <v>UNSOLD</v>
      </c>
      <c r="F764" s="12">
        <f>[2]Trucks!E761</f>
        <v>127</v>
      </c>
      <c r="G764" s="56">
        <f>[2]Trucks!K761</f>
        <v>16</v>
      </c>
      <c r="H764" s="46">
        <f>[2]Trucks!I761</f>
        <v>42656</v>
      </c>
      <c r="I764" s="83" t="str">
        <f t="shared" si="55"/>
        <v>201610Q4</v>
      </c>
      <c r="J764" s="272">
        <f>IFERROR(VLOOKUP((D764&amp;C764)&amp;"",'[2]Retail Price List'!$C$4:$F$102,3,FALSE),"")</f>
        <v>1375000</v>
      </c>
      <c r="K764" s="272">
        <f>IFERROR(IF(BA764="WIP - 30 Days",VLOOKUP(D764,[3]Standard!$B$9:$E$101,4,FALSE),IF(BA764="31-120 Days",VLOOKUP(D764,[3]Standard!$B$9:$F$101,5,FALSE),IF(BA764="121-365 Days",VLOOKUP(D764,[3]Standard!$B$9:$G$101,6,FALSE),VLOOKUP(D764,[3]Standard!$B$9:$H$101,7,FALSE)))),0)</f>
        <v>1118837.5</v>
      </c>
      <c r="L764" s="272">
        <f>IFERROR(IF(BA764="WIP - 30 Days",VLOOKUP(D764,[3]Standard!$B$9:$J$101,9,FALSE),IF(BA764="31-120 Days",VLOOKUP(D764,[3]Standard!$B$9:$K$100,10,FALSE),IF(BA764="121-365 Days",VLOOKUP(D764,[3]Standard!$B$9:$L$101,11,FALSE),VLOOKUP(D764,[3]Standard!$B$9:$M$101,12,FALSE)))),0)</f>
        <v>1086250</v>
      </c>
      <c r="M764" s="269">
        <f>IFERROR(VLOOKUP((D764&amp;C764)&amp;"",'[2]Retail Price List'!$C$4:$F$102,4,FALSE),"")</f>
        <v>1415000</v>
      </c>
      <c r="N764" s="269">
        <f>IFERROR(IF(BA764="WIP - 30 Days",VLOOKUP(D764,[3]Extended!$B$9:$E$101,4,FALSE),IF(BA764="31-120 Days",VLOOKUP(D764,[3]Extended!$B$9:$F$101,5,FALSE),IF(BA764="121-365 Days",VLOOKUP(D764,[3]Extended!$B$9:$G$101,6,FALSE),VLOOKUP(D764,[3]Extended!$B$9:$H$101,7,FALSE)))),0)</f>
        <v>1151385.5</v>
      </c>
      <c r="O764" s="269">
        <f>IFERROR(IF(BA764="WIP - 30 Days",VLOOKUP(D764,[3]Extended!$B$9:$J$101,9,FALSE),IF(BA764="31-120 Days",VLOOKUP(D764,[3]Extended!$B$9:$K$101,10,FALSE),IF(BA764="121-365 Days",VLOOKUP(D764,[3]Extended!$B$9:$L$101,11,FALSE),VLOOKUP(D764,[3]Extended!$B$9:$M$101,12,FALSE)))),0)</f>
        <v>1117850</v>
      </c>
      <c r="P764" s="116">
        <f t="shared" si="56"/>
        <v>0.21</v>
      </c>
      <c r="Q764" s="110" t="e">
        <f>O764-#REF!</f>
        <v>#REF!</v>
      </c>
      <c r="W764" s="311"/>
      <c r="X764" s="311"/>
      <c r="Y764" s="311"/>
      <c r="Z764" s="311"/>
      <c r="AA764" s="311"/>
      <c r="AB764" s="311"/>
      <c r="AC764" s="311"/>
      <c r="AT764" s="88" t="str">
        <f t="shared" si="57"/>
        <v>KP000681201610Q416</v>
      </c>
      <c r="AU764" s="89" t="str">
        <f t="shared" si="58"/>
        <v>10-2016</v>
      </c>
      <c r="BA764" s="92" t="str">
        <f t="shared" si="59"/>
        <v>121-365 Days</v>
      </c>
    </row>
    <row r="765" spans="2:53">
      <c r="B765" s="60" t="str">
        <f>[2]Trucks!A762</f>
        <v>76W-8759</v>
      </c>
      <c r="C765" s="11" t="str">
        <f>[2]Trucks!B762</f>
        <v>TGS-33-3606X4BB-M-K</v>
      </c>
      <c r="D765" s="19" t="str">
        <f>IFERROR(VLOOKUP(C765&amp;"",'[2]Retail Price List'!$A$3:$B$103,2,FALSE),"Special Order")</f>
        <v>KP000681</v>
      </c>
      <c r="E765" s="18" t="str">
        <f>[2]Trucks!J762</f>
        <v>UNSOLD</v>
      </c>
      <c r="F765" s="12">
        <f>[2]Trucks!E762</f>
        <v>126</v>
      </c>
      <c r="G765" s="56">
        <f>[2]Trucks!K762</f>
        <v>16</v>
      </c>
      <c r="H765" s="46">
        <f>[2]Trucks!I762</f>
        <v>42656</v>
      </c>
      <c r="I765" s="83" t="str">
        <f t="shared" si="55"/>
        <v>201610Q4</v>
      </c>
      <c r="J765" s="272">
        <f>IFERROR(VLOOKUP((D765&amp;C765)&amp;"",'[2]Retail Price List'!$C$4:$F$102,3,FALSE),"")</f>
        <v>1375000</v>
      </c>
      <c r="K765" s="272">
        <f>IFERROR(IF(BA765="WIP - 30 Days",VLOOKUP(D765,[3]Standard!$B$9:$E$101,4,FALSE),IF(BA765="31-120 Days",VLOOKUP(D765,[3]Standard!$B$9:$F$101,5,FALSE),IF(BA765="121-365 Days",VLOOKUP(D765,[3]Standard!$B$9:$G$101,6,FALSE),VLOOKUP(D765,[3]Standard!$B$9:$H$101,7,FALSE)))),0)</f>
        <v>1118837.5</v>
      </c>
      <c r="L765" s="272">
        <f>IFERROR(IF(BA765="WIP - 30 Days",VLOOKUP(D765,[3]Standard!$B$9:$J$101,9,FALSE),IF(BA765="31-120 Days",VLOOKUP(D765,[3]Standard!$B$9:$K$100,10,FALSE),IF(BA765="121-365 Days",VLOOKUP(D765,[3]Standard!$B$9:$L$101,11,FALSE),VLOOKUP(D765,[3]Standard!$B$9:$M$101,12,FALSE)))),0)</f>
        <v>1086250</v>
      </c>
      <c r="M765" s="269">
        <f>IFERROR(VLOOKUP((D765&amp;C765)&amp;"",'[2]Retail Price List'!$C$4:$F$102,4,FALSE),"")</f>
        <v>1415000</v>
      </c>
      <c r="N765" s="269">
        <f>IFERROR(IF(BA765="WIP - 30 Days",VLOOKUP(D765,[3]Extended!$B$9:$E$101,4,FALSE),IF(BA765="31-120 Days",VLOOKUP(D765,[3]Extended!$B$9:$F$101,5,FALSE),IF(BA765="121-365 Days",VLOOKUP(D765,[3]Extended!$B$9:$G$101,6,FALSE),VLOOKUP(D765,[3]Extended!$B$9:$H$101,7,FALSE)))),0)</f>
        <v>1151385.5</v>
      </c>
      <c r="O765" s="269">
        <f>IFERROR(IF(BA765="WIP - 30 Days",VLOOKUP(D765,[3]Extended!$B$9:$J$101,9,FALSE),IF(BA765="31-120 Days",VLOOKUP(D765,[3]Extended!$B$9:$K$101,10,FALSE),IF(BA765="121-365 Days",VLOOKUP(D765,[3]Extended!$B$9:$L$101,11,FALSE),VLOOKUP(D765,[3]Extended!$B$9:$M$101,12,FALSE)))),0)</f>
        <v>1117850</v>
      </c>
      <c r="P765" s="116">
        <f t="shared" si="56"/>
        <v>0.21</v>
      </c>
      <c r="Q765" s="110" t="e">
        <f>O765-#REF!</f>
        <v>#REF!</v>
      </c>
      <c r="W765" s="311"/>
      <c r="X765" s="311"/>
      <c r="Y765" s="311"/>
      <c r="Z765" s="311"/>
      <c r="AA765" s="311"/>
      <c r="AB765" s="311"/>
      <c r="AC765" s="311"/>
      <c r="AT765" s="88" t="str">
        <f t="shared" si="57"/>
        <v>KP000681201610Q416</v>
      </c>
      <c r="AU765" s="89" t="str">
        <f t="shared" si="58"/>
        <v>10-2016</v>
      </c>
      <c r="BA765" s="92" t="str">
        <f t="shared" si="59"/>
        <v>121-365 Days</v>
      </c>
    </row>
    <row r="766" spans="2:53">
      <c r="B766" s="60" t="str">
        <f>[2]Trucks!A763</f>
        <v>76W-8760</v>
      </c>
      <c r="C766" s="11" t="str">
        <f>[2]Trucks!B763</f>
        <v>TGS-33-3606X4BB-M-K</v>
      </c>
      <c r="D766" s="19" t="str">
        <f>IFERROR(VLOOKUP(C766&amp;"",'[2]Retail Price List'!$A$3:$B$103,2,FALSE),"Special Order")</f>
        <v>KP000681</v>
      </c>
      <c r="E766" s="18" t="str">
        <f>[2]Trucks!J763</f>
        <v>UNSOLD</v>
      </c>
      <c r="F766" s="12">
        <f>[2]Trucks!E763</f>
        <v>127</v>
      </c>
      <c r="G766" s="56">
        <f>[2]Trucks!K763</f>
        <v>16</v>
      </c>
      <c r="H766" s="46">
        <f>[2]Trucks!I763</f>
        <v>42656</v>
      </c>
      <c r="I766" s="83" t="str">
        <f t="shared" si="55"/>
        <v>201610Q4</v>
      </c>
      <c r="J766" s="272">
        <f>IFERROR(VLOOKUP((D766&amp;C766)&amp;"",'[2]Retail Price List'!$C$4:$F$102,3,FALSE),"")</f>
        <v>1375000</v>
      </c>
      <c r="K766" s="272">
        <f>IFERROR(IF(BA766="WIP - 30 Days",VLOOKUP(D766,[3]Standard!$B$9:$E$101,4,FALSE),IF(BA766="31-120 Days",VLOOKUP(D766,[3]Standard!$B$9:$F$101,5,FALSE),IF(BA766="121-365 Days",VLOOKUP(D766,[3]Standard!$B$9:$G$101,6,FALSE),VLOOKUP(D766,[3]Standard!$B$9:$H$101,7,FALSE)))),0)</f>
        <v>1118837.5</v>
      </c>
      <c r="L766" s="272">
        <f>IFERROR(IF(BA766="WIP - 30 Days",VLOOKUP(D766,[3]Standard!$B$9:$J$101,9,FALSE),IF(BA766="31-120 Days",VLOOKUP(D766,[3]Standard!$B$9:$K$100,10,FALSE),IF(BA766="121-365 Days",VLOOKUP(D766,[3]Standard!$B$9:$L$101,11,FALSE),VLOOKUP(D766,[3]Standard!$B$9:$M$101,12,FALSE)))),0)</f>
        <v>1086250</v>
      </c>
      <c r="M766" s="269">
        <f>IFERROR(VLOOKUP((D766&amp;C766)&amp;"",'[2]Retail Price List'!$C$4:$F$102,4,FALSE),"")</f>
        <v>1415000</v>
      </c>
      <c r="N766" s="269">
        <f>IFERROR(IF(BA766="WIP - 30 Days",VLOOKUP(D766,[3]Extended!$B$9:$E$101,4,FALSE),IF(BA766="31-120 Days",VLOOKUP(D766,[3]Extended!$B$9:$F$101,5,FALSE),IF(BA766="121-365 Days",VLOOKUP(D766,[3]Extended!$B$9:$G$101,6,FALSE),VLOOKUP(D766,[3]Extended!$B$9:$H$101,7,FALSE)))),0)</f>
        <v>1151385.5</v>
      </c>
      <c r="O766" s="269">
        <f>IFERROR(IF(BA766="WIP - 30 Days",VLOOKUP(D766,[3]Extended!$B$9:$J$101,9,FALSE),IF(BA766="31-120 Days",VLOOKUP(D766,[3]Extended!$B$9:$K$101,10,FALSE),IF(BA766="121-365 Days",VLOOKUP(D766,[3]Extended!$B$9:$L$101,11,FALSE),VLOOKUP(D766,[3]Extended!$B$9:$M$101,12,FALSE)))),0)</f>
        <v>1117850</v>
      </c>
      <c r="P766" s="116">
        <f t="shared" si="56"/>
        <v>0.21</v>
      </c>
      <c r="Q766" s="110" t="e">
        <f>O766-#REF!</f>
        <v>#REF!</v>
      </c>
      <c r="W766" s="311"/>
      <c r="X766" s="311"/>
      <c r="Y766" s="311"/>
      <c r="Z766" s="311"/>
      <c r="AA766" s="311"/>
      <c r="AB766" s="311"/>
      <c r="AC766" s="311"/>
      <c r="AT766" s="88" t="str">
        <f t="shared" si="57"/>
        <v>KP000681201610Q416</v>
      </c>
      <c r="AU766" s="89" t="str">
        <f t="shared" si="58"/>
        <v>10-2016</v>
      </c>
      <c r="BA766" s="92" t="str">
        <f t="shared" si="59"/>
        <v>121-365 Days</v>
      </c>
    </row>
    <row r="767" spans="2:53">
      <c r="B767" s="60" t="str">
        <f>[2]Trucks!A764</f>
        <v>76W-8761</v>
      </c>
      <c r="C767" s="11" t="str">
        <f>[2]Trucks!B764</f>
        <v>TGS-33-3606X4BB-M-K</v>
      </c>
      <c r="D767" s="19" t="str">
        <f>IFERROR(VLOOKUP(C767&amp;"",'[2]Retail Price List'!$A$3:$B$103,2,FALSE),"Special Order")</f>
        <v>KP000681</v>
      </c>
      <c r="E767" s="18" t="str">
        <f>[2]Trucks!J764</f>
        <v>UNSOLD</v>
      </c>
      <c r="F767" s="12">
        <f>[2]Trucks!E764</f>
        <v>127</v>
      </c>
      <c r="G767" s="56">
        <f>[2]Trucks!K764</f>
        <v>16</v>
      </c>
      <c r="H767" s="46">
        <f>[2]Trucks!I764</f>
        <v>42656</v>
      </c>
      <c r="I767" s="83" t="str">
        <f t="shared" si="55"/>
        <v>201610Q4</v>
      </c>
      <c r="J767" s="272">
        <f>IFERROR(VLOOKUP((D767&amp;C767)&amp;"",'[2]Retail Price List'!$C$4:$F$102,3,FALSE),"")</f>
        <v>1375000</v>
      </c>
      <c r="K767" s="272">
        <f>IFERROR(IF(BA767="WIP - 30 Days",VLOOKUP(D767,[3]Standard!$B$9:$E$101,4,FALSE),IF(BA767="31-120 Days",VLOOKUP(D767,[3]Standard!$B$9:$F$101,5,FALSE),IF(BA767="121-365 Days",VLOOKUP(D767,[3]Standard!$B$9:$G$101,6,FALSE),VLOOKUP(D767,[3]Standard!$B$9:$H$101,7,FALSE)))),0)</f>
        <v>1118837.5</v>
      </c>
      <c r="L767" s="272">
        <f>IFERROR(IF(BA767="WIP - 30 Days",VLOOKUP(D767,[3]Standard!$B$9:$J$101,9,FALSE),IF(BA767="31-120 Days",VLOOKUP(D767,[3]Standard!$B$9:$K$100,10,FALSE),IF(BA767="121-365 Days",VLOOKUP(D767,[3]Standard!$B$9:$L$101,11,FALSE),VLOOKUP(D767,[3]Standard!$B$9:$M$101,12,FALSE)))),0)</f>
        <v>1086250</v>
      </c>
      <c r="M767" s="269">
        <f>IFERROR(VLOOKUP((D767&amp;C767)&amp;"",'[2]Retail Price List'!$C$4:$F$102,4,FALSE),"")</f>
        <v>1415000</v>
      </c>
      <c r="N767" s="269">
        <f>IFERROR(IF(BA767="WIP - 30 Days",VLOOKUP(D767,[3]Extended!$B$9:$E$101,4,FALSE),IF(BA767="31-120 Days",VLOOKUP(D767,[3]Extended!$B$9:$F$101,5,FALSE),IF(BA767="121-365 Days",VLOOKUP(D767,[3]Extended!$B$9:$G$101,6,FALSE),VLOOKUP(D767,[3]Extended!$B$9:$H$101,7,FALSE)))),0)</f>
        <v>1151385.5</v>
      </c>
      <c r="O767" s="269">
        <f>IFERROR(IF(BA767="WIP - 30 Days",VLOOKUP(D767,[3]Extended!$B$9:$J$101,9,FALSE),IF(BA767="31-120 Days",VLOOKUP(D767,[3]Extended!$B$9:$K$101,10,FALSE),IF(BA767="121-365 Days",VLOOKUP(D767,[3]Extended!$B$9:$L$101,11,FALSE),VLOOKUP(D767,[3]Extended!$B$9:$M$101,12,FALSE)))),0)</f>
        <v>1117850</v>
      </c>
      <c r="P767" s="116">
        <f t="shared" si="56"/>
        <v>0.21</v>
      </c>
      <c r="Q767" s="110" t="e">
        <f>O767-#REF!</f>
        <v>#REF!</v>
      </c>
      <c r="W767" s="311"/>
      <c r="X767" s="311"/>
      <c r="Y767" s="311"/>
      <c r="Z767" s="311"/>
      <c r="AA767" s="311"/>
      <c r="AB767" s="311"/>
      <c r="AC767" s="311"/>
      <c r="AT767" s="88" t="str">
        <f t="shared" si="57"/>
        <v>KP000681201610Q416</v>
      </c>
      <c r="AU767" s="89" t="str">
        <f t="shared" si="58"/>
        <v>10-2016</v>
      </c>
      <c r="BA767" s="92" t="str">
        <f t="shared" si="59"/>
        <v>121-365 Days</v>
      </c>
    </row>
    <row r="768" spans="2:53">
      <c r="B768" s="60" t="str">
        <f>[2]Trucks!A765</f>
        <v>76W-8764</v>
      </c>
      <c r="C768" s="11" t="str">
        <f>[2]Trucks!B765</f>
        <v>TGS-33-3606X4BB-M-K</v>
      </c>
      <c r="D768" s="19" t="str">
        <f>IFERROR(VLOOKUP(C768&amp;"",'[2]Retail Price List'!$A$3:$B$103,2,FALSE),"Special Order")</f>
        <v>KP000681</v>
      </c>
      <c r="E768" s="18" t="str">
        <f>[2]Trucks!J765</f>
        <v>UNSOLD</v>
      </c>
      <c r="F768" s="12">
        <f>[2]Trucks!E765</f>
        <v>106</v>
      </c>
      <c r="G768" s="56">
        <f>[2]Trucks!K765</f>
        <v>16</v>
      </c>
      <c r="H768" s="46">
        <f>[2]Trucks!I765</f>
        <v>42656</v>
      </c>
      <c r="I768" s="83" t="str">
        <f t="shared" si="55"/>
        <v>201610Q4</v>
      </c>
      <c r="J768" s="272">
        <f>IFERROR(VLOOKUP((D768&amp;C768)&amp;"",'[2]Retail Price List'!$C$4:$F$102,3,FALSE),"")</f>
        <v>1375000</v>
      </c>
      <c r="K768" s="272">
        <f>IFERROR(IF(BA768="WIP - 30 Days",VLOOKUP(D768,[3]Standard!$B$9:$E$101,4,FALSE),IF(BA768="31-120 Days",VLOOKUP(D768,[3]Standard!$B$9:$F$101,5,FALSE),IF(BA768="121-365 Days",VLOOKUP(D768,[3]Standard!$B$9:$G$101,6,FALSE),VLOOKUP(D768,[3]Standard!$B$9:$H$101,7,FALSE)))),0)</f>
        <v>1147162.5</v>
      </c>
      <c r="L768" s="272">
        <f>IFERROR(IF(BA768="WIP - 30 Days",VLOOKUP(D768,[3]Standard!$B$9:$J$101,9,FALSE),IF(BA768="31-120 Days",VLOOKUP(D768,[3]Standard!$B$9:$K$100,10,FALSE),IF(BA768="121-365 Days",VLOOKUP(D768,[3]Standard!$B$9:$L$101,11,FALSE),VLOOKUP(D768,[3]Standard!$B$9:$M$101,12,FALSE)))),0)</f>
        <v>1113750</v>
      </c>
      <c r="M768" s="269">
        <f>IFERROR(VLOOKUP((D768&amp;C768)&amp;"",'[2]Retail Price List'!$C$4:$F$102,4,FALSE),"")</f>
        <v>1415000</v>
      </c>
      <c r="N768" s="269">
        <f>IFERROR(IF(BA768="WIP - 30 Days",VLOOKUP(D768,[3]Extended!$B$9:$E$101,4,FALSE),IF(BA768="31-120 Days",VLOOKUP(D768,[3]Extended!$B$9:$F$101,5,FALSE),IF(BA768="121-365 Days",VLOOKUP(D768,[3]Extended!$B$9:$G$101,6,FALSE),VLOOKUP(D768,[3]Extended!$B$9:$H$101,7,FALSE)))),0)</f>
        <v>1180534.5</v>
      </c>
      <c r="O768" s="269">
        <f>IFERROR(IF(BA768="WIP - 30 Days",VLOOKUP(D768,[3]Extended!$B$9:$J$101,9,FALSE),IF(BA768="31-120 Days",VLOOKUP(D768,[3]Extended!$B$9:$K$101,10,FALSE),IF(BA768="121-365 Days",VLOOKUP(D768,[3]Extended!$B$9:$L$101,11,FALSE),VLOOKUP(D768,[3]Extended!$B$9:$M$101,12,FALSE)))),0)</f>
        <v>1146150</v>
      </c>
      <c r="P768" s="116">
        <f t="shared" si="56"/>
        <v>0.19</v>
      </c>
      <c r="Q768" s="110" t="e">
        <f>O768-#REF!</f>
        <v>#REF!</v>
      </c>
      <c r="W768" s="311"/>
      <c r="X768" s="311"/>
      <c r="Y768" s="311"/>
      <c r="Z768" s="311"/>
      <c r="AA768" s="311"/>
      <c r="AB768" s="311"/>
      <c r="AC768" s="311"/>
      <c r="AT768" s="88" t="str">
        <f t="shared" si="57"/>
        <v>KP000681201610Q416</v>
      </c>
      <c r="AU768" s="89" t="str">
        <f t="shared" si="58"/>
        <v>10-2016</v>
      </c>
      <c r="BA768" s="92" t="str">
        <f t="shared" si="59"/>
        <v>31-120 Days</v>
      </c>
    </row>
    <row r="769" spans="2:53">
      <c r="B769" s="60" t="str">
        <f>[2]Trucks!A766</f>
        <v>76W-8765</v>
      </c>
      <c r="C769" s="11" t="str">
        <f>[2]Trucks!B766</f>
        <v>TGS-33-3606X4BB-M-K</v>
      </c>
      <c r="D769" s="19" t="str">
        <f>IFERROR(VLOOKUP(C769&amp;"",'[2]Retail Price List'!$A$3:$B$103,2,FALSE),"Special Order")</f>
        <v>KP000681</v>
      </c>
      <c r="E769" s="18" t="str">
        <f>[2]Trucks!J766</f>
        <v>DEMO</v>
      </c>
      <c r="F769" s="12">
        <f>[2]Trucks!E766</f>
        <v>98</v>
      </c>
      <c r="G769" s="56">
        <f>[2]Trucks!K766</f>
        <v>16</v>
      </c>
      <c r="H769" s="46">
        <f>[2]Trucks!I766</f>
        <v>42656</v>
      </c>
      <c r="I769" s="83" t="str">
        <f t="shared" si="55"/>
        <v>201610Q4</v>
      </c>
      <c r="J769" s="272">
        <f>IFERROR(VLOOKUP((D769&amp;C769)&amp;"",'[2]Retail Price List'!$C$4:$F$102,3,FALSE),"")</f>
        <v>1375000</v>
      </c>
      <c r="K769" s="272">
        <f>IFERROR(IF(BA769="WIP - 30 Days",VLOOKUP(D769,[3]Standard!$B$9:$E$101,4,FALSE),IF(BA769="31-120 Days",VLOOKUP(D769,[3]Standard!$B$9:$F$101,5,FALSE),IF(BA769="121-365 Days",VLOOKUP(D769,[3]Standard!$B$9:$G$101,6,FALSE),VLOOKUP(D769,[3]Standard!$B$9:$H$101,7,FALSE)))),0)</f>
        <v>1147162.5</v>
      </c>
      <c r="L769" s="272">
        <f>IFERROR(IF(BA769="WIP - 30 Days",VLOOKUP(D769,[3]Standard!$B$9:$J$101,9,FALSE),IF(BA769="31-120 Days",VLOOKUP(D769,[3]Standard!$B$9:$K$100,10,FALSE),IF(BA769="121-365 Days",VLOOKUP(D769,[3]Standard!$B$9:$L$101,11,FALSE),VLOOKUP(D769,[3]Standard!$B$9:$M$101,12,FALSE)))),0)</f>
        <v>1113750</v>
      </c>
      <c r="M769" s="269">
        <f>IFERROR(VLOOKUP((D769&amp;C769)&amp;"",'[2]Retail Price List'!$C$4:$F$102,4,FALSE),"")</f>
        <v>1415000</v>
      </c>
      <c r="N769" s="269">
        <f>IFERROR(IF(BA769="WIP - 30 Days",VLOOKUP(D769,[3]Extended!$B$9:$E$101,4,FALSE),IF(BA769="31-120 Days",VLOOKUP(D769,[3]Extended!$B$9:$F$101,5,FALSE),IF(BA769="121-365 Days",VLOOKUP(D769,[3]Extended!$B$9:$G$101,6,FALSE),VLOOKUP(D769,[3]Extended!$B$9:$H$101,7,FALSE)))),0)</f>
        <v>1180534.5</v>
      </c>
      <c r="O769" s="269">
        <f>IFERROR(IF(BA769="WIP - 30 Days",VLOOKUP(D769,[3]Extended!$B$9:$J$101,9,FALSE),IF(BA769="31-120 Days",VLOOKUP(D769,[3]Extended!$B$9:$K$101,10,FALSE),IF(BA769="121-365 Days",VLOOKUP(D769,[3]Extended!$B$9:$L$101,11,FALSE),VLOOKUP(D769,[3]Extended!$B$9:$M$101,12,FALSE)))),0)</f>
        <v>1146150</v>
      </c>
      <c r="P769" s="116">
        <f t="shared" si="56"/>
        <v>0.19</v>
      </c>
      <c r="Q769" s="110" t="e">
        <f>O769-#REF!</f>
        <v>#REF!</v>
      </c>
      <c r="W769" s="311"/>
      <c r="X769" s="311"/>
      <c r="Y769" s="311"/>
      <c r="Z769" s="311"/>
      <c r="AA769" s="311"/>
      <c r="AB769" s="311"/>
      <c r="AC769" s="311"/>
      <c r="AT769" s="88" t="str">
        <f t="shared" si="57"/>
        <v>KP000681201610Q416</v>
      </c>
      <c r="AU769" s="89" t="str">
        <f t="shared" si="58"/>
        <v>10-2016</v>
      </c>
      <c r="BA769" s="92" t="str">
        <f t="shared" si="59"/>
        <v>31-120 Days</v>
      </c>
    </row>
    <row r="770" spans="2:53">
      <c r="B770" s="60" t="str">
        <f>[2]Trucks!A767</f>
        <v>TBAKP681</v>
      </c>
      <c r="C770" s="11" t="str">
        <f>[2]Trucks!B767</f>
        <v>TGS-33-3606X4BB-M-K</v>
      </c>
      <c r="D770" s="19" t="str">
        <f>IFERROR(VLOOKUP(C770&amp;"",'[2]Retail Price List'!$A$3:$B$103,2,FALSE),"Special Order")</f>
        <v>KP000681</v>
      </c>
      <c r="E770" s="18" t="str">
        <f>[2]Trucks!J767</f>
        <v>CKD</v>
      </c>
      <c r="F770" s="12" t="str">
        <f>[2]Trucks!E767</f>
        <v>2018-02-15</v>
      </c>
      <c r="G770" s="56">
        <f>[2]Trucks!K767</f>
        <v>14.7</v>
      </c>
      <c r="H770" s="46">
        <f>[2]Trucks!I767</f>
        <v>42921</v>
      </c>
      <c r="I770" s="83" t="str">
        <f t="shared" si="55"/>
        <v>2017Q3</v>
      </c>
      <c r="J770" s="272">
        <f>IFERROR(VLOOKUP((D770&amp;C770)&amp;"",'[2]Retail Price List'!$C$4:$F$102,3,FALSE),"")</f>
        <v>1375000</v>
      </c>
      <c r="K770" s="272">
        <f>IFERROR(IF(BA770="WIP - 30 Days",VLOOKUP(D770,[3]Standard!$B$9:$E$101,4,FALSE),IF(BA770="31-120 Days",VLOOKUP(D770,[3]Standard!$B$9:$F$101,5,FALSE),IF(BA770="121-365 Days",VLOOKUP(D770,[3]Standard!$B$9:$G$101,6,FALSE),VLOOKUP(D770,[3]Standard!$B$9:$H$101,7,FALSE)))),0)</f>
        <v>1161325</v>
      </c>
      <c r="L770" s="272">
        <f>IFERROR(IF(BA770="WIP - 30 Days",VLOOKUP(D770,[3]Standard!$B$9:$J$101,9,FALSE),IF(BA770="31-120 Days",VLOOKUP(D770,[3]Standard!$B$9:$K$100,10,FALSE),IF(BA770="121-365 Days",VLOOKUP(D770,[3]Standard!$B$9:$L$101,11,FALSE),VLOOKUP(D770,[3]Standard!$B$9:$M$101,12,FALSE)))),0)</f>
        <v>1127500</v>
      </c>
      <c r="M770" s="269">
        <f>IFERROR(VLOOKUP((D770&amp;C770)&amp;"",'[2]Retail Price List'!$C$4:$F$102,4,FALSE),"")</f>
        <v>1415000</v>
      </c>
      <c r="N770" s="269">
        <f>IFERROR(IF(BA770="WIP - 30 Days",VLOOKUP(D770,[3]Extended!$B$9:$E$101,4,FALSE),IF(BA770="31-120 Days",VLOOKUP(D770,[3]Extended!$B$9:$F$101,5,FALSE),IF(BA770="121-365 Days",VLOOKUP(D770,[3]Extended!$B$9:$G$101,6,FALSE),VLOOKUP(D770,[3]Extended!$B$9:$H$101,7,FALSE)))),0)</f>
        <v>1195109</v>
      </c>
      <c r="O770" s="269">
        <f>IFERROR(IF(BA770="WIP - 30 Days",VLOOKUP(D770,[3]Extended!$B$9:$J$101,9,FALSE),IF(BA770="31-120 Days",VLOOKUP(D770,[3]Extended!$B$9:$K$101,10,FALSE),IF(BA770="121-365 Days",VLOOKUP(D770,[3]Extended!$B$9:$L$101,11,FALSE),VLOOKUP(D770,[3]Extended!$B$9:$M$101,12,FALSE)))),0)</f>
        <v>1160300</v>
      </c>
      <c r="P770" s="116">
        <f t="shared" si="56"/>
        <v>0.18</v>
      </c>
      <c r="Q770" s="110" t="e">
        <f>O770-#REF!</f>
        <v>#REF!</v>
      </c>
      <c r="W770" s="311"/>
      <c r="X770" s="311"/>
      <c r="Y770" s="311"/>
      <c r="Z770" s="311"/>
      <c r="AA770" s="311"/>
      <c r="AB770" s="311"/>
      <c r="AC770" s="311"/>
      <c r="AT770" s="88" t="str">
        <f t="shared" si="57"/>
        <v>KP0006812017Q314,7</v>
      </c>
      <c r="AU770" s="89" t="str">
        <f t="shared" si="58"/>
        <v>07-2017</v>
      </c>
      <c r="BA770" s="92" t="str">
        <f t="shared" si="59"/>
        <v>WIP - 30 Days</v>
      </c>
    </row>
    <row r="771" spans="2:53">
      <c r="B771" s="60">
        <f>[2]Trucks!A768</f>
        <v>47428</v>
      </c>
      <c r="C771" s="11" t="str">
        <f>[2]Trucks!B768</f>
        <v>TGS-33-4406X4BBS-L</v>
      </c>
      <c r="D771" s="19" t="str">
        <f>IFERROR(VLOOKUP(C771&amp;"",'[2]Retail Price List'!$A$3:$B$103,2,FALSE),"Special Order")</f>
        <v>KP000673</v>
      </c>
      <c r="E771" s="18" t="str">
        <f>[2]Trucks!J768</f>
        <v>CKD</v>
      </c>
      <c r="F771" s="12" t="str">
        <f>[2]Trucks!E768</f>
        <v>2017-11-20</v>
      </c>
      <c r="G771" s="56">
        <f>[2]Trucks!K768</f>
        <v>14.7</v>
      </c>
      <c r="H771" s="46">
        <f>[2]Trucks!I768</f>
        <v>42937</v>
      </c>
      <c r="I771" s="83" t="str">
        <f t="shared" si="55"/>
        <v>2017Q3</v>
      </c>
      <c r="J771" s="272">
        <f>IFERROR(VLOOKUP((D771&amp;C771)&amp;"",'[2]Retail Price List'!$C$4:$F$102,3,FALSE),"")</f>
        <v>1675000</v>
      </c>
      <c r="K771" s="272">
        <f>IFERROR(IF(BA771="WIP - 30 Days",VLOOKUP(D771,[3]Standard!$B$9:$E$101,4,FALSE),IF(BA771="31-120 Days",VLOOKUP(D771,[3]Standard!$B$9:$F$101,5,FALSE),IF(BA771="121-365 Days",VLOOKUP(D771,[3]Standard!$B$9:$G$101,6,FALSE),VLOOKUP(D771,[3]Standard!$B$9:$H$101,7,FALSE)))),0)</f>
        <v>1311190</v>
      </c>
      <c r="L771" s="272">
        <f>IFERROR(IF(BA771="WIP - 30 Days",VLOOKUP(D771,[3]Standard!$B$9:$J$101,9,FALSE),IF(BA771="31-120 Days",VLOOKUP(D771,[3]Standard!$B$9:$K$100,10,FALSE),IF(BA771="121-365 Days",VLOOKUP(D771,[3]Standard!$B$9:$L$101,11,FALSE),VLOOKUP(D771,[3]Standard!$B$9:$M$101,12,FALSE)))),0)</f>
        <v>1273000</v>
      </c>
      <c r="M771" s="269">
        <f>IFERROR(VLOOKUP((D771&amp;C771)&amp;"",'[2]Retail Price List'!$C$4:$F$102,4,FALSE),"")</f>
        <v>1725000</v>
      </c>
      <c r="N771" s="269">
        <f>IFERROR(IF(BA771="WIP - 30 Days",VLOOKUP(D771,[3]Extended!$B$9:$E$101,4,FALSE),IF(BA771="31-120 Days",VLOOKUP(D771,[3]Extended!$B$9:$F$101,5,FALSE),IF(BA771="121-365 Days",VLOOKUP(D771,[3]Extended!$B$9:$G$101,6,FALSE),VLOOKUP(D771,[3]Extended!$B$9:$H$101,7,FALSE)))),0)</f>
        <v>1350330</v>
      </c>
      <c r="O771" s="269">
        <f>IFERROR(IF(BA771="WIP - 30 Days",VLOOKUP(D771,[3]Extended!$B$9:$J$101,9,FALSE),IF(BA771="31-120 Days",VLOOKUP(D771,[3]Extended!$B$9:$K$101,10,FALSE),IF(BA771="121-365 Days",VLOOKUP(D771,[3]Extended!$B$9:$L$101,11,FALSE),VLOOKUP(D771,[3]Extended!$B$9:$M$101,12,FALSE)))),0)</f>
        <v>1311000</v>
      </c>
      <c r="P771" s="116">
        <f t="shared" si="56"/>
        <v>0.24</v>
      </c>
      <c r="Q771" s="110" t="e">
        <f>O771-#REF!</f>
        <v>#REF!</v>
      </c>
      <c r="W771" s="311"/>
      <c r="X771" s="311"/>
      <c r="Y771" s="311"/>
      <c r="Z771" s="311"/>
      <c r="AA771" s="311"/>
      <c r="AB771" s="311"/>
      <c r="AC771" s="311"/>
      <c r="AT771" s="88" t="str">
        <f t="shared" si="57"/>
        <v>KP0006732017Q314,7</v>
      </c>
      <c r="AU771" s="89" t="str">
        <f t="shared" si="58"/>
        <v>07-2017</v>
      </c>
      <c r="BA771" s="92" t="str">
        <f t="shared" si="59"/>
        <v>WIP - 30 Days</v>
      </c>
    </row>
    <row r="772" spans="2:53">
      <c r="B772" s="60">
        <f>[2]Trucks!A769</f>
        <v>47429</v>
      </c>
      <c r="C772" s="11" t="str">
        <f>[2]Trucks!B769</f>
        <v>TGS-33-4406X4BBS-L</v>
      </c>
      <c r="D772" s="19" t="str">
        <f>IFERROR(VLOOKUP(C772&amp;"",'[2]Retail Price List'!$A$3:$B$103,2,FALSE),"Special Order")</f>
        <v>KP000673</v>
      </c>
      <c r="E772" s="18" t="str">
        <f>[2]Trucks!J769</f>
        <v>CKD</v>
      </c>
      <c r="F772" s="12" t="str">
        <f>[2]Trucks!E769</f>
        <v>2017-11-20</v>
      </c>
      <c r="G772" s="56">
        <f>[2]Trucks!K769</f>
        <v>14.7</v>
      </c>
      <c r="H772" s="46">
        <f>[2]Trucks!I769</f>
        <v>42937</v>
      </c>
      <c r="I772" s="83" t="str">
        <f t="shared" si="55"/>
        <v>2017Q3</v>
      </c>
      <c r="J772" s="272">
        <f>IFERROR(VLOOKUP((D772&amp;C772)&amp;"",'[2]Retail Price List'!$C$4:$F$102,3,FALSE),"")</f>
        <v>1675000</v>
      </c>
      <c r="K772" s="272">
        <f>IFERROR(IF(BA772="WIP - 30 Days",VLOOKUP(D772,[3]Standard!$B$9:$E$101,4,FALSE),IF(BA772="31-120 Days",VLOOKUP(D772,[3]Standard!$B$9:$F$101,5,FALSE),IF(BA772="121-365 Days",VLOOKUP(D772,[3]Standard!$B$9:$G$101,6,FALSE),VLOOKUP(D772,[3]Standard!$B$9:$H$101,7,FALSE)))),0)</f>
        <v>1311190</v>
      </c>
      <c r="L772" s="272">
        <f>IFERROR(IF(BA772="WIP - 30 Days",VLOOKUP(D772,[3]Standard!$B$9:$J$101,9,FALSE),IF(BA772="31-120 Days",VLOOKUP(D772,[3]Standard!$B$9:$K$100,10,FALSE),IF(BA772="121-365 Days",VLOOKUP(D772,[3]Standard!$B$9:$L$101,11,FALSE),VLOOKUP(D772,[3]Standard!$B$9:$M$101,12,FALSE)))),0)</f>
        <v>1273000</v>
      </c>
      <c r="M772" s="269">
        <f>IFERROR(VLOOKUP((D772&amp;C772)&amp;"",'[2]Retail Price List'!$C$4:$F$102,4,FALSE),"")</f>
        <v>1725000</v>
      </c>
      <c r="N772" s="269">
        <f>IFERROR(IF(BA772="WIP - 30 Days",VLOOKUP(D772,[3]Extended!$B$9:$E$101,4,FALSE),IF(BA772="31-120 Days",VLOOKUP(D772,[3]Extended!$B$9:$F$101,5,FALSE),IF(BA772="121-365 Days",VLOOKUP(D772,[3]Extended!$B$9:$G$101,6,FALSE),VLOOKUP(D772,[3]Extended!$B$9:$H$101,7,FALSE)))),0)</f>
        <v>1350330</v>
      </c>
      <c r="O772" s="269">
        <f>IFERROR(IF(BA772="WIP - 30 Days",VLOOKUP(D772,[3]Extended!$B$9:$J$101,9,FALSE),IF(BA772="31-120 Days",VLOOKUP(D772,[3]Extended!$B$9:$K$101,10,FALSE),IF(BA772="121-365 Days",VLOOKUP(D772,[3]Extended!$B$9:$L$101,11,FALSE),VLOOKUP(D772,[3]Extended!$B$9:$M$101,12,FALSE)))),0)</f>
        <v>1311000</v>
      </c>
      <c r="P772" s="116">
        <f t="shared" si="56"/>
        <v>0.24</v>
      </c>
      <c r="Q772" s="110" t="e">
        <f>O772-#REF!</f>
        <v>#REF!</v>
      </c>
      <c r="W772" s="311"/>
      <c r="X772" s="311"/>
      <c r="Y772" s="311"/>
      <c r="Z772" s="311"/>
      <c r="AA772" s="311"/>
      <c r="AB772" s="311"/>
      <c r="AC772" s="311"/>
      <c r="AT772" s="88" t="str">
        <f t="shared" si="57"/>
        <v>KP0006732017Q314,7</v>
      </c>
      <c r="AU772" s="89" t="str">
        <f t="shared" si="58"/>
        <v>07-2017</v>
      </c>
      <c r="BA772" s="92" t="str">
        <f t="shared" si="59"/>
        <v>WIP - 30 Days</v>
      </c>
    </row>
    <row r="773" spans="2:53">
      <c r="B773" s="60">
        <f>[2]Trucks!A770</f>
        <v>47430</v>
      </c>
      <c r="C773" s="11" t="str">
        <f>[2]Trucks!B770</f>
        <v>TGS-33-4406X4BBS-L</v>
      </c>
      <c r="D773" s="19" t="str">
        <f>IFERROR(VLOOKUP(C773&amp;"",'[2]Retail Price List'!$A$3:$B$103,2,FALSE),"Special Order")</f>
        <v>KP000673</v>
      </c>
      <c r="E773" s="18" t="str">
        <f>[2]Trucks!J770</f>
        <v>CKD</v>
      </c>
      <c r="F773" s="12" t="str">
        <f>[2]Trucks!E770</f>
        <v>2017-11-20</v>
      </c>
      <c r="G773" s="56">
        <f>[2]Trucks!K770</f>
        <v>14.7</v>
      </c>
      <c r="H773" s="46">
        <f>[2]Trucks!I770</f>
        <v>42937</v>
      </c>
      <c r="I773" s="83" t="str">
        <f t="shared" ref="I773:I836" si="60">IFERROR(VLOOKUP(AU773,$AW$5:$AY$40,3,FALSE),"")</f>
        <v>2017Q3</v>
      </c>
      <c r="J773" s="272">
        <f>IFERROR(VLOOKUP((D773&amp;C773)&amp;"",'[2]Retail Price List'!$C$4:$F$102,3,FALSE),"")</f>
        <v>1675000</v>
      </c>
      <c r="K773" s="272">
        <f>IFERROR(IF(BA773="WIP - 30 Days",VLOOKUP(D773,[3]Standard!$B$9:$E$101,4,FALSE),IF(BA773="31-120 Days",VLOOKUP(D773,[3]Standard!$B$9:$F$101,5,FALSE),IF(BA773="121-365 Days",VLOOKUP(D773,[3]Standard!$B$9:$G$101,6,FALSE),VLOOKUP(D773,[3]Standard!$B$9:$H$101,7,FALSE)))),0)</f>
        <v>1311190</v>
      </c>
      <c r="L773" s="272">
        <f>IFERROR(IF(BA773="WIP - 30 Days",VLOOKUP(D773,[3]Standard!$B$9:$J$101,9,FALSE),IF(BA773="31-120 Days",VLOOKUP(D773,[3]Standard!$B$9:$K$100,10,FALSE),IF(BA773="121-365 Days",VLOOKUP(D773,[3]Standard!$B$9:$L$101,11,FALSE),VLOOKUP(D773,[3]Standard!$B$9:$M$101,12,FALSE)))),0)</f>
        <v>1273000</v>
      </c>
      <c r="M773" s="269">
        <f>IFERROR(VLOOKUP((D773&amp;C773)&amp;"",'[2]Retail Price List'!$C$4:$F$102,4,FALSE),"")</f>
        <v>1725000</v>
      </c>
      <c r="N773" s="269">
        <f>IFERROR(IF(BA773="WIP - 30 Days",VLOOKUP(D773,[3]Extended!$B$9:$E$101,4,FALSE),IF(BA773="31-120 Days",VLOOKUP(D773,[3]Extended!$B$9:$F$101,5,FALSE),IF(BA773="121-365 Days",VLOOKUP(D773,[3]Extended!$B$9:$G$101,6,FALSE),VLOOKUP(D773,[3]Extended!$B$9:$H$101,7,FALSE)))),0)</f>
        <v>1350330</v>
      </c>
      <c r="O773" s="269">
        <f>IFERROR(IF(BA773="WIP - 30 Days",VLOOKUP(D773,[3]Extended!$B$9:$J$101,9,FALSE),IF(BA773="31-120 Days",VLOOKUP(D773,[3]Extended!$B$9:$K$101,10,FALSE),IF(BA773="121-365 Days",VLOOKUP(D773,[3]Extended!$B$9:$L$101,11,FALSE),VLOOKUP(D773,[3]Extended!$B$9:$M$101,12,FALSE)))),0)</f>
        <v>1311000</v>
      </c>
      <c r="P773" s="116">
        <f t="shared" ref="P773:P836" si="61">(M773-O773)/M773</f>
        <v>0.24</v>
      </c>
      <c r="Q773" s="110" t="e">
        <f>O773-#REF!</f>
        <v>#REF!</v>
      </c>
      <c r="W773" s="311"/>
      <c r="X773" s="311"/>
      <c r="Y773" s="311"/>
      <c r="Z773" s="311"/>
      <c r="AA773" s="311"/>
      <c r="AB773" s="311"/>
      <c r="AC773" s="311"/>
      <c r="AT773" s="88" t="str">
        <f t="shared" ref="AT773:AT836" si="62">D773&amp;I773&amp;G773</f>
        <v>KP0006732017Q314,7</v>
      </c>
      <c r="AU773" s="89" t="str">
        <f t="shared" ref="AU773:AU836" si="63">IF(MONTH(H773)&lt;10,0&amp;MONTH(H773)&amp;"-"&amp;YEAR(H773),MONTH(H773)&amp;"-"&amp;YEAR(H773))</f>
        <v>07-2017</v>
      </c>
      <c r="BA773" s="92" t="str">
        <f t="shared" ref="BA773:BA836" si="64">IF(B773=0,"",IF(AND(F773&gt;=31,F773&lt;=120),"31-120 Days",IF(AND(F773&gt;=121,F773&lt;=365),"121-365 Days",IF(OR(E773="CKD",F773&lt;=30),"WIP - 30 Days","&gt;365 Days"))))</f>
        <v>WIP - 30 Days</v>
      </c>
    </row>
    <row r="774" spans="2:53">
      <c r="B774" s="60">
        <f>[2]Trucks!A771</f>
        <v>47431</v>
      </c>
      <c r="C774" s="11" t="str">
        <f>[2]Trucks!B771</f>
        <v>TGS-33-4406X4BBS-L</v>
      </c>
      <c r="D774" s="19" t="str">
        <f>IFERROR(VLOOKUP(C774&amp;"",'[2]Retail Price List'!$A$3:$B$103,2,FALSE),"Special Order")</f>
        <v>KP000673</v>
      </c>
      <c r="E774" s="18" t="str">
        <f>[2]Trucks!J771</f>
        <v>CKD</v>
      </c>
      <c r="F774" s="12" t="str">
        <f>[2]Trucks!E771</f>
        <v>2017-11-20</v>
      </c>
      <c r="G774" s="56">
        <f>[2]Trucks!K771</f>
        <v>14.7</v>
      </c>
      <c r="H774" s="46">
        <f>[2]Trucks!I771</f>
        <v>42937</v>
      </c>
      <c r="I774" s="83" t="str">
        <f t="shared" si="60"/>
        <v>2017Q3</v>
      </c>
      <c r="J774" s="272">
        <f>IFERROR(VLOOKUP((D774&amp;C774)&amp;"",'[2]Retail Price List'!$C$4:$F$102,3,FALSE),"")</f>
        <v>1675000</v>
      </c>
      <c r="K774" s="272">
        <f>IFERROR(IF(BA774="WIP - 30 Days",VLOOKUP(D774,[3]Standard!$B$9:$E$101,4,FALSE),IF(BA774="31-120 Days",VLOOKUP(D774,[3]Standard!$B$9:$F$101,5,FALSE),IF(BA774="121-365 Days",VLOOKUP(D774,[3]Standard!$B$9:$G$101,6,FALSE),VLOOKUP(D774,[3]Standard!$B$9:$H$101,7,FALSE)))),0)</f>
        <v>1311190</v>
      </c>
      <c r="L774" s="272">
        <f>IFERROR(IF(BA774="WIP - 30 Days",VLOOKUP(D774,[3]Standard!$B$9:$J$101,9,FALSE),IF(BA774="31-120 Days",VLOOKUP(D774,[3]Standard!$B$9:$K$100,10,FALSE),IF(BA774="121-365 Days",VLOOKUP(D774,[3]Standard!$B$9:$L$101,11,FALSE),VLOOKUP(D774,[3]Standard!$B$9:$M$101,12,FALSE)))),0)</f>
        <v>1273000</v>
      </c>
      <c r="M774" s="269">
        <f>IFERROR(VLOOKUP((D774&amp;C774)&amp;"",'[2]Retail Price List'!$C$4:$F$102,4,FALSE),"")</f>
        <v>1725000</v>
      </c>
      <c r="N774" s="269">
        <f>IFERROR(IF(BA774="WIP - 30 Days",VLOOKUP(D774,[3]Extended!$B$9:$E$101,4,FALSE),IF(BA774="31-120 Days",VLOOKUP(D774,[3]Extended!$B$9:$F$101,5,FALSE),IF(BA774="121-365 Days",VLOOKUP(D774,[3]Extended!$B$9:$G$101,6,FALSE),VLOOKUP(D774,[3]Extended!$B$9:$H$101,7,FALSE)))),0)</f>
        <v>1350330</v>
      </c>
      <c r="O774" s="269">
        <f>IFERROR(IF(BA774="WIP - 30 Days",VLOOKUP(D774,[3]Extended!$B$9:$J$101,9,FALSE),IF(BA774="31-120 Days",VLOOKUP(D774,[3]Extended!$B$9:$K$101,10,FALSE),IF(BA774="121-365 Days",VLOOKUP(D774,[3]Extended!$B$9:$L$101,11,FALSE),VLOOKUP(D774,[3]Extended!$B$9:$M$101,12,FALSE)))),0)</f>
        <v>1311000</v>
      </c>
      <c r="P774" s="116">
        <f t="shared" si="61"/>
        <v>0.24</v>
      </c>
      <c r="Q774" s="110" t="e">
        <f>O774-#REF!</f>
        <v>#REF!</v>
      </c>
      <c r="W774" s="311"/>
      <c r="X774" s="311"/>
      <c r="Y774" s="311"/>
      <c r="Z774" s="311"/>
      <c r="AA774" s="311"/>
      <c r="AB774" s="311"/>
      <c r="AC774" s="311"/>
      <c r="AT774" s="88" t="str">
        <f t="shared" si="62"/>
        <v>KP0006732017Q314,7</v>
      </c>
      <c r="AU774" s="89" t="str">
        <f t="shared" si="63"/>
        <v>07-2017</v>
      </c>
      <c r="BA774" s="92" t="str">
        <f t="shared" si="64"/>
        <v>WIP - 30 Days</v>
      </c>
    </row>
    <row r="775" spans="2:53">
      <c r="B775" s="60">
        <f>[2]Trucks!A772</f>
        <v>47432</v>
      </c>
      <c r="C775" s="11" t="str">
        <f>[2]Trucks!B772</f>
        <v>TGS-33-4406X4BBS-L</v>
      </c>
      <c r="D775" s="19" t="str">
        <f>IFERROR(VLOOKUP(C775&amp;"",'[2]Retail Price List'!$A$3:$B$103,2,FALSE),"Special Order")</f>
        <v>KP000673</v>
      </c>
      <c r="E775" s="18" t="str">
        <f>[2]Trucks!J772</f>
        <v>CKD</v>
      </c>
      <c r="F775" s="12" t="str">
        <f>[2]Trucks!E772</f>
        <v>2017-11-20</v>
      </c>
      <c r="G775" s="56">
        <f>[2]Trucks!K772</f>
        <v>14.7</v>
      </c>
      <c r="H775" s="46">
        <f>[2]Trucks!I772</f>
        <v>42937</v>
      </c>
      <c r="I775" s="83" t="str">
        <f t="shared" si="60"/>
        <v>2017Q3</v>
      </c>
      <c r="J775" s="272">
        <f>IFERROR(VLOOKUP((D775&amp;C775)&amp;"",'[2]Retail Price List'!$C$4:$F$102,3,FALSE),"")</f>
        <v>1675000</v>
      </c>
      <c r="K775" s="272">
        <f>IFERROR(IF(BA775="WIP - 30 Days",VLOOKUP(D775,[3]Standard!$B$9:$E$101,4,FALSE),IF(BA775="31-120 Days",VLOOKUP(D775,[3]Standard!$B$9:$F$101,5,FALSE),IF(BA775="121-365 Days",VLOOKUP(D775,[3]Standard!$B$9:$G$101,6,FALSE),VLOOKUP(D775,[3]Standard!$B$9:$H$101,7,FALSE)))),0)</f>
        <v>1311190</v>
      </c>
      <c r="L775" s="272">
        <f>IFERROR(IF(BA775="WIP - 30 Days",VLOOKUP(D775,[3]Standard!$B$9:$J$101,9,FALSE),IF(BA775="31-120 Days",VLOOKUP(D775,[3]Standard!$B$9:$K$100,10,FALSE),IF(BA775="121-365 Days",VLOOKUP(D775,[3]Standard!$B$9:$L$101,11,FALSE),VLOOKUP(D775,[3]Standard!$B$9:$M$101,12,FALSE)))),0)</f>
        <v>1273000</v>
      </c>
      <c r="M775" s="269">
        <f>IFERROR(VLOOKUP((D775&amp;C775)&amp;"",'[2]Retail Price List'!$C$4:$F$102,4,FALSE),"")</f>
        <v>1725000</v>
      </c>
      <c r="N775" s="269">
        <f>IFERROR(IF(BA775="WIP - 30 Days",VLOOKUP(D775,[3]Extended!$B$9:$E$101,4,FALSE),IF(BA775="31-120 Days",VLOOKUP(D775,[3]Extended!$B$9:$F$101,5,FALSE),IF(BA775="121-365 Days",VLOOKUP(D775,[3]Extended!$B$9:$G$101,6,FALSE),VLOOKUP(D775,[3]Extended!$B$9:$H$101,7,FALSE)))),0)</f>
        <v>1350330</v>
      </c>
      <c r="O775" s="269">
        <f>IFERROR(IF(BA775="WIP - 30 Days",VLOOKUP(D775,[3]Extended!$B$9:$J$101,9,FALSE),IF(BA775="31-120 Days",VLOOKUP(D775,[3]Extended!$B$9:$K$101,10,FALSE),IF(BA775="121-365 Days",VLOOKUP(D775,[3]Extended!$B$9:$L$101,11,FALSE),VLOOKUP(D775,[3]Extended!$B$9:$M$101,12,FALSE)))),0)</f>
        <v>1311000</v>
      </c>
      <c r="P775" s="116">
        <f t="shared" si="61"/>
        <v>0.24</v>
      </c>
      <c r="Q775" s="110" t="e">
        <f>O775-#REF!</f>
        <v>#REF!</v>
      </c>
      <c r="W775" s="311"/>
      <c r="X775" s="311"/>
      <c r="Y775" s="311"/>
      <c r="Z775" s="311"/>
      <c r="AA775" s="311"/>
      <c r="AB775" s="311"/>
      <c r="AC775" s="311"/>
      <c r="AT775" s="88" t="str">
        <f t="shared" si="62"/>
        <v>KP0006732017Q314,7</v>
      </c>
      <c r="AU775" s="89" t="str">
        <f t="shared" si="63"/>
        <v>07-2017</v>
      </c>
      <c r="BA775" s="92" t="str">
        <f t="shared" si="64"/>
        <v>WIP - 30 Days</v>
      </c>
    </row>
    <row r="776" spans="2:53">
      <c r="B776" s="60">
        <f>[2]Trucks!A773</f>
        <v>47433</v>
      </c>
      <c r="C776" s="11" t="str">
        <f>[2]Trucks!B773</f>
        <v>TGS-33-4406X4BBS-L</v>
      </c>
      <c r="D776" s="19" t="str">
        <f>IFERROR(VLOOKUP(C776&amp;"",'[2]Retail Price List'!$A$3:$B$103,2,FALSE),"Special Order")</f>
        <v>KP000673</v>
      </c>
      <c r="E776" s="18" t="str">
        <f>[2]Trucks!J773</f>
        <v>CKD</v>
      </c>
      <c r="F776" s="12" t="str">
        <f>[2]Trucks!E773</f>
        <v>2017-11-20</v>
      </c>
      <c r="G776" s="56">
        <f>[2]Trucks!K773</f>
        <v>14.7</v>
      </c>
      <c r="H776" s="46">
        <f>[2]Trucks!I773</f>
        <v>42937</v>
      </c>
      <c r="I776" s="83" t="str">
        <f t="shared" si="60"/>
        <v>2017Q3</v>
      </c>
      <c r="J776" s="272">
        <f>IFERROR(VLOOKUP((D776&amp;C776)&amp;"",'[2]Retail Price List'!$C$4:$F$102,3,FALSE),"")</f>
        <v>1675000</v>
      </c>
      <c r="K776" s="272">
        <f>IFERROR(IF(BA776="WIP - 30 Days",VLOOKUP(D776,[3]Standard!$B$9:$E$101,4,FALSE),IF(BA776="31-120 Days",VLOOKUP(D776,[3]Standard!$B$9:$F$101,5,FALSE),IF(BA776="121-365 Days",VLOOKUP(D776,[3]Standard!$B$9:$G$101,6,FALSE),VLOOKUP(D776,[3]Standard!$B$9:$H$101,7,FALSE)))),0)</f>
        <v>1311190</v>
      </c>
      <c r="L776" s="272">
        <f>IFERROR(IF(BA776="WIP - 30 Days",VLOOKUP(D776,[3]Standard!$B$9:$J$101,9,FALSE),IF(BA776="31-120 Days",VLOOKUP(D776,[3]Standard!$B$9:$K$100,10,FALSE),IF(BA776="121-365 Days",VLOOKUP(D776,[3]Standard!$B$9:$L$101,11,FALSE),VLOOKUP(D776,[3]Standard!$B$9:$M$101,12,FALSE)))),0)</f>
        <v>1273000</v>
      </c>
      <c r="M776" s="269">
        <f>IFERROR(VLOOKUP((D776&amp;C776)&amp;"",'[2]Retail Price List'!$C$4:$F$102,4,FALSE),"")</f>
        <v>1725000</v>
      </c>
      <c r="N776" s="269">
        <f>IFERROR(IF(BA776="WIP - 30 Days",VLOOKUP(D776,[3]Extended!$B$9:$E$101,4,FALSE),IF(BA776="31-120 Days",VLOOKUP(D776,[3]Extended!$B$9:$F$101,5,FALSE),IF(BA776="121-365 Days",VLOOKUP(D776,[3]Extended!$B$9:$G$101,6,FALSE),VLOOKUP(D776,[3]Extended!$B$9:$H$101,7,FALSE)))),0)</f>
        <v>1350330</v>
      </c>
      <c r="O776" s="269">
        <f>IFERROR(IF(BA776="WIP - 30 Days",VLOOKUP(D776,[3]Extended!$B$9:$J$101,9,FALSE),IF(BA776="31-120 Days",VLOOKUP(D776,[3]Extended!$B$9:$K$101,10,FALSE),IF(BA776="121-365 Days",VLOOKUP(D776,[3]Extended!$B$9:$L$101,11,FALSE),VLOOKUP(D776,[3]Extended!$B$9:$M$101,12,FALSE)))),0)</f>
        <v>1311000</v>
      </c>
      <c r="P776" s="116">
        <f t="shared" si="61"/>
        <v>0.24</v>
      </c>
      <c r="Q776" s="110" t="e">
        <f>O776-#REF!</f>
        <v>#REF!</v>
      </c>
      <c r="W776" s="311"/>
      <c r="X776" s="311"/>
      <c r="Y776" s="311"/>
      <c r="Z776" s="311"/>
      <c r="AA776" s="311"/>
      <c r="AB776" s="311"/>
      <c r="AC776" s="311"/>
      <c r="AT776" s="88" t="str">
        <f t="shared" si="62"/>
        <v>KP0006732017Q314,7</v>
      </c>
      <c r="AU776" s="89" t="str">
        <f t="shared" si="63"/>
        <v>07-2017</v>
      </c>
      <c r="BA776" s="92" t="str">
        <f t="shared" si="64"/>
        <v>WIP - 30 Days</v>
      </c>
    </row>
    <row r="777" spans="2:53">
      <c r="B777" s="60">
        <f>[2]Trucks!A774</f>
        <v>47434</v>
      </c>
      <c r="C777" s="11" t="str">
        <f>[2]Trucks!B774</f>
        <v>TGS-33-4406X4BBS-L</v>
      </c>
      <c r="D777" s="19" t="str">
        <f>IFERROR(VLOOKUP(C777&amp;"",'[2]Retail Price List'!$A$3:$B$103,2,FALSE),"Special Order")</f>
        <v>KP000673</v>
      </c>
      <c r="E777" s="18" t="str">
        <f>[2]Trucks!J774</f>
        <v>CKD</v>
      </c>
      <c r="F777" s="12" t="str">
        <f>[2]Trucks!E774</f>
        <v>2017-11-20</v>
      </c>
      <c r="G777" s="56">
        <f>[2]Trucks!K774</f>
        <v>14.7</v>
      </c>
      <c r="H777" s="46">
        <f>[2]Trucks!I774</f>
        <v>42937</v>
      </c>
      <c r="I777" s="83" t="str">
        <f t="shared" si="60"/>
        <v>2017Q3</v>
      </c>
      <c r="J777" s="272">
        <f>IFERROR(VLOOKUP((D777&amp;C777)&amp;"",'[2]Retail Price List'!$C$4:$F$102,3,FALSE),"")</f>
        <v>1675000</v>
      </c>
      <c r="K777" s="272">
        <f>IFERROR(IF(BA777="WIP - 30 Days",VLOOKUP(D777,[3]Standard!$B$9:$E$101,4,FALSE),IF(BA777="31-120 Days",VLOOKUP(D777,[3]Standard!$B$9:$F$101,5,FALSE),IF(BA777="121-365 Days",VLOOKUP(D777,[3]Standard!$B$9:$G$101,6,FALSE),VLOOKUP(D777,[3]Standard!$B$9:$H$101,7,FALSE)))),0)</f>
        <v>1311190</v>
      </c>
      <c r="L777" s="272">
        <f>IFERROR(IF(BA777="WIP - 30 Days",VLOOKUP(D777,[3]Standard!$B$9:$J$101,9,FALSE),IF(BA777="31-120 Days",VLOOKUP(D777,[3]Standard!$B$9:$K$100,10,FALSE),IF(BA777="121-365 Days",VLOOKUP(D777,[3]Standard!$B$9:$L$101,11,FALSE),VLOOKUP(D777,[3]Standard!$B$9:$M$101,12,FALSE)))),0)</f>
        <v>1273000</v>
      </c>
      <c r="M777" s="269">
        <f>IFERROR(VLOOKUP((D777&amp;C777)&amp;"",'[2]Retail Price List'!$C$4:$F$102,4,FALSE),"")</f>
        <v>1725000</v>
      </c>
      <c r="N777" s="269">
        <f>IFERROR(IF(BA777="WIP - 30 Days",VLOOKUP(D777,[3]Extended!$B$9:$E$101,4,FALSE),IF(BA777="31-120 Days",VLOOKUP(D777,[3]Extended!$B$9:$F$101,5,FALSE),IF(BA777="121-365 Days",VLOOKUP(D777,[3]Extended!$B$9:$G$101,6,FALSE),VLOOKUP(D777,[3]Extended!$B$9:$H$101,7,FALSE)))),0)</f>
        <v>1350330</v>
      </c>
      <c r="O777" s="269">
        <f>IFERROR(IF(BA777="WIP - 30 Days",VLOOKUP(D777,[3]Extended!$B$9:$J$101,9,FALSE),IF(BA777="31-120 Days",VLOOKUP(D777,[3]Extended!$B$9:$K$101,10,FALSE),IF(BA777="121-365 Days",VLOOKUP(D777,[3]Extended!$B$9:$L$101,11,FALSE),VLOOKUP(D777,[3]Extended!$B$9:$M$101,12,FALSE)))),0)</f>
        <v>1311000</v>
      </c>
      <c r="P777" s="116">
        <f t="shared" si="61"/>
        <v>0.24</v>
      </c>
      <c r="Q777" s="110" t="e">
        <f>O777-#REF!</f>
        <v>#REF!</v>
      </c>
      <c r="W777" s="311"/>
      <c r="X777" s="311"/>
      <c r="Y777" s="311"/>
      <c r="Z777" s="311"/>
      <c r="AA777" s="311"/>
      <c r="AB777" s="311"/>
      <c r="AC777" s="311"/>
      <c r="AT777" s="88" t="str">
        <f t="shared" si="62"/>
        <v>KP0006732017Q314,7</v>
      </c>
      <c r="AU777" s="89" t="str">
        <f t="shared" si="63"/>
        <v>07-2017</v>
      </c>
      <c r="BA777" s="92" t="str">
        <f t="shared" si="64"/>
        <v>WIP - 30 Days</v>
      </c>
    </row>
    <row r="778" spans="2:53">
      <c r="B778" s="60">
        <f>[2]Trucks!A775</f>
        <v>47435</v>
      </c>
      <c r="C778" s="11" t="str">
        <f>[2]Trucks!B775</f>
        <v>TGS-33-4406X4BBS-L</v>
      </c>
      <c r="D778" s="19" t="str">
        <f>IFERROR(VLOOKUP(C778&amp;"",'[2]Retail Price List'!$A$3:$B$103,2,FALSE),"Special Order")</f>
        <v>KP000673</v>
      </c>
      <c r="E778" s="18" t="str">
        <f>[2]Trucks!J775</f>
        <v>CKD</v>
      </c>
      <c r="F778" s="12" t="str">
        <f>[2]Trucks!E775</f>
        <v>2017-11-20</v>
      </c>
      <c r="G778" s="56">
        <f>[2]Trucks!K775</f>
        <v>14.7</v>
      </c>
      <c r="H778" s="46">
        <f>[2]Trucks!I775</f>
        <v>42937</v>
      </c>
      <c r="I778" s="83" t="str">
        <f t="shared" si="60"/>
        <v>2017Q3</v>
      </c>
      <c r="J778" s="272">
        <f>IFERROR(VLOOKUP((D778&amp;C778)&amp;"",'[2]Retail Price List'!$C$4:$F$102,3,FALSE),"")</f>
        <v>1675000</v>
      </c>
      <c r="K778" s="272">
        <f>IFERROR(IF(BA778="WIP - 30 Days",VLOOKUP(D778,[3]Standard!$B$9:$E$101,4,FALSE),IF(BA778="31-120 Days",VLOOKUP(D778,[3]Standard!$B$9:$F$101,5,FALSE),IF(BA778="121-365 Days",VLOOKUP(D778,[3]Standard!$B$9:$G$101,6,FALSE),VLOOKUP(D778,[3]Standard!$B$9:$H$101,7,FALSE)))),0)</f>
        <v>1311190</v>
      </c>
      <c r="L778" s="272">
        <f>IFERROR(IF(BA778="WIP - 30 Days",VLOOKUP(D778,[3]Standard!$B$9:$J$101,9,FALSE),IF(BA778="31-120 Days",VLOOKUP(D778,[3]Standard!$B$9:$K$100,10,FALSE),IF(BA778="121-365 Days",VLOOKUP(D778,[3]Standard!$B$9:$L$101,11,FALSE),VLOOKUP(D778,[3]Standard!$B$9:$M$101,12,FALSE)))),0)</f>
        <v>1273000</v>
      </c>
      <c r="M778" s="269">
        <f>IFERROR(VLOOKUP((D778&amp;C778)&amp;"",'[2]Retail Price List'!$C$4:$F$102,4,FALSE),"")</f>
        <v>1725000</v>
      </c>
      <c r="N778" s="269">
        <f>IFERROR(IF(BA778="WIP - 30 Days",VLOOKUP(D778,[3]Extended!$B$9:$E$101,4,FALSE),IF(BA778="31-120 Days",VLOOKUP(D778,[3]Extended!$B$9:$F$101,5,FALSE),IF(BA778="121-365 Days",VLOOKUP(D778,[3]Extended!$B$9:$G$101,6,FALSE),VLOOKUP(D778,[3]Extended!$B$9:$H$101,7,FALSE)))),0)</f>
        <v>1350330</v>
      </c>
      <c r="O778" s="269">
        <f>IFERROR(IF(BA778="WIP - 30 Days",VLOOKUP(D778,[3]Extended!$B$9:$J$101,9,FALSE),IF(BA778="31-120 Days",VLOOKUP(D778,[3]Extended!$B$9:$K$101,10,FALSE),IF(BA778="121-365 Days",VLOOKUP(D778,[3]Extended!$B$9:$L$101,11,FALSE),VLOOKUP(D778,[3]Extended!$B$9:$M$101,12,FALSE)))),0)</f>
        <v>1311000</v>
      </c>
      <c r="P778" s="116">
        <f t="shared" si="61"/>
        <v>0.24</v>
      </c>
      <c r="Q778" s="110" t="e">
        <f>O778-#REF!</f>
        <v>#REF!</v>
      </c>
      <c r="W778" s="311"/>
      <c r="X778" s="311"/>
      <c r="Y778" s="311"/>
      <c r="Z778" s="311"/>
      <c r="AA778" s="311"/>
      <c r="AB778" s="311"/>
      <c r="AC778" s="311"/>
      <c r="AT778" s="88" t="str">
        <f t="shared" si="62"/>
        <v>KP0006732017Q314,7</v>
      </c>
      <c r="AU778" s="89" t="str">
        <f t="shared" si="63"/>
        <v>07-2017</v>
      </c>
      <c r="BA778" s="92" t="str">
        <f t="shared" si="64"/>
        <v>WIP - 30 Days</v>
      </c>
    </row>
    <row r="779" spans="2:53">
      <c r="B779" s="60">
        <f>[2]Trucks!A776</f>
        <v>47436</v>
      </c>
      <c r="C779" s="11" t="str">
        <f>[2]Trucks!B776</f>
        <v>TGS-33-4406X4BBS-L</v>
      </c>
      <c r="D779" s="19" t="str">
        <f>IFERROR(VLOOKUP(C779&amp;"",'[2]Retail Price List'!$A$3:$B$103,2,FALSE),"Special Order")</f>
        <v>KP000673</v>
      </c>
      <c r="E779" s="18" t="str">
        <f>[2]Trucks!J776</f>
        <v>CKD</v>
      </c>
      <c r="F779" s="12" t="str">
        <f>[2]Trucks!E776</f>
        <v>2017-11-30</v>
      </c>
      <c r="G779" s="56">
        <f>[2]Trucks!K776</f>
        <v>14.7</v>
      </c>
      <c r="H779" s="46">
        <f>[2]Trucks!I776</f>
        <v>42937</v>
      </c>
      <c r="I779" s="83" t="str">
        <f t="shared" si="60"/>
        <v>2017Q3</v>
      </c>
      <c r="J779" s="272">
        <f>IFERROR(VLOOKUP((D779&amp;C779)&amp;"",'[2]Retail Price List'!$C$4:$F$102,3,FALSE),"")</f>
        <v>1675000</v>
      </c>
      <c r="K779" s="272">
        <f>IFERROR(IF(BA779="WIP - 30 Days",VLOOKUP(D779,[3]Standard!$B$9:$E$101,4,FALSE),IF(BA779="31-120 Days",VLOOKUP(D779,[3]Standard!$B$9:$F$101,5,FALSE),IF(BA779="121-365 Days",VLOOKUP(D779,[3]Standard!$B$9:$G$101,6,FALSE),VLOOKUP(D779,[3]Standard!$B$9:$H$101,7,FALSE)))),0)</f>
        <v>1311190</v>
      </c>
      <c r="L779" s="272">
        <f>IFERROR(IF(BA779="WIP - 30 Days",VLOOKUP(D779,[3]Standard!$B$9:$J$101,9,FALSE),IF(BA779="31-120 Days",VLOOKUP(D779,[3]Standard!$B$9:$K$100,10,FALSE),IF(BA779="121-365 Days",VLOOKUP(D779,[3]Standard!$B$9:$L$101,11,FALSE),VLOOKUP(D779,[3]Standard!$B$9:$M$101,12,FALSE)))),0)</f>
        <v>1273000</v>
      </c>
      <c r="M779" s="269">
        <f>IFERROR(VLOOKUP((D779&amp;C779)&amp;"",'[2]Retail Price List'!$C$4:$F$102,4,FALSE),"")</f>
        <v>1725000</v>
      </c>
      <c r="N779" s="269">
        <f>IFERROR(IF(BA779="WIP - 30 Days",VLOOKUP(D779,[3]Extended!$B$9:$E$101,4,FALSE),IF(BA779="31-120 Days",VLOOKUP(D779,[3]Extended!$B$9:$F$101,5,FALSE),IF(BA779="121-365 Days",VLOOKUP(D779,[3]Extended!$B$9:$G$101,6,FALSE),VLOOKUP(D779,[3]Extended!$B$9:$H$101,7,FALSE)))),0)</f>
        <v>1350330</v>
      </c>
      <c r="O779" s="269">
        <f>IFERROR(IF(BA779="WIP - 30 Days",VLOOKUP(D779,[3]Extended!$B$9:$J$101,9,FALSE),IF(BA779="31-120 Days",VLOOKUP(D779,[3]Extended!$B$9:$K$101,10,FALSE),IF(BA779="121-365 Days",VLOOKUP(D779,[3]Extended!$B$9:$L$101,11,FALSE),VLOOKUP(D779,[3]Extended!$B$9:$M$101,12,FALSE)))),0)</f>
        <v>1311000</v>
      </c>
      <c r="P779" s="116">
        <f t="shared" si="61"/>
        <v>0.24</v>
      </c>
      <c r="Q779" s="110" t="e">
        <f>O779-#REF!</f>
        <v>#REF!</v>
      </c>
      <c r="W779" s="311"/>
      <c r="X779" s="311"/>
      <c r="Y779" s="311"/>
      <c r="Z779" s="311"/>
      <c r="AA779" s="311"/>
      <c r="AB779" s="311"/>
      <c r="AC779" s="311"/>
      <c r="AT779" s="88" t="str">
        <f t="shared" si="62"/>
        <v>KP0006732017Q314,7</v>
      </c>
      <c r="AU779" s="89" t="str">
        <f t="shared" si="63"/>
        <v>07-2017</v>
      </c>
      <c r="BA779" s="92" t="str">
        <f t="shared" si="64"/>
        <v>WIP - 30 Days</v>
      </c>
    </row>
    <row r="780" spans="2:53">
      <c r="B780" s="60">
        <f>[2]Trucks!A777</f>
        <v>47437</v>
      </c>
      <c r="C780" s="11" t="str">
        <f>[2]Trucks!B777</f>
        <v>TGS-33-4406X4BBS-L</v>
      </c>
      <c r="D780" s="19" t="str">
        <f>IFERROR(VLOOKUP(C780&amp;"",'[2]Retail Price List'!$A$3:$B$103,2,FALSE),"Special Order")</f>
        <v>KP000673</v>
      </c>
      <c r="E780" s="18" t="str">
        <f>[2]Trucks!J777</f>
        <v>CKD</v>
      </c>
      <c r="F780" s="12" t="str">
        <f>[2]Trucks!E777</f>
        <v>2017-11-30</v>
      </c>
      <c r="G780" s="56">
        <f>[2]Trucks!K777</f>
        <v>14.7</v>
      </c>
      <c r="H780" s="46">
        <f>[2]Trucks!I777</f>
        <v>42937</v>
      </c>
      <c r="I780" s="83" t="str">
        <f t="shared" si="60"/>
        <v>2017Q3</v>
      </c>
      <c r="J780" s="272">
        <f>IFERROR(VLOOKUP((D780&amp;C780)&amp;"",'[2]Retail Price List'!$C$4:$F$102,3,FALSE),"")</f>
        <v>1675000</v>
      </c>
      <c r="K780" s="272">
        <f>IFERROR(IF(BA780="WIP - 30 Days",VLOOKUP(D780,[3]Standard!$B$9:$E$101,4,FALSE),IF(BA780="31-120 Days",VLOOKUP(D780,[3]Standard!$B$9:$F$101,5,FALSE),IF(BA780="121-365 Days",VLOOKUP(D780,[3]Standard!$B$9:$G$101,6,FALSE),VLOOKUP(D780,[3]Standard!$B$9:$H$101,7,FALSE)))),0)</f>
        <v>1311190</v>
      </c>
      <c r="L780" s="272">
        <f>IFERROR(IF(BA780="WIP - 30 Days",VLOOKUP(D780,[3]Standard!$B$9:$J$101,9,FALSE),IF(BA780="31-120 Days",VLOOKUP(D780,[3]Standard!$B$9:$K$100,10,FALSE),IF(BA780="121-365 Days",VLOOKUP(D780,[3]Standard!$B$9:$L$101,11,FALSE),VLOOKUP(D780,[3]Standard!$B$9:$M$101,12,FALSE)))),0)</f>
        <v>1273000</v>
      </c>
      <c r="M780" s="269">
        <f>IFERROR(VLOOKUP((D780&amp;C780)&amp;"",'[2]Retail Price List'!$C$4:$F$102,4,FALSE),"")</f>
        <v>1725000</v>
      </c>
      <c r="N780" s="269">
        <f>IFERROR(IF(BA780="WIP - 30 Days",VLOOKUP(D780,[3]Extended!$B$9:$E$101,4,FALSE),IF(BA780="31-120 Days",VLOOKUP(D780,[3]Extended!$B$9:$F$101,5,FALSE),IF(BA780="121-365 Days",VLOOKUP(D780,[3]Extended!$B$9:$G$101,6,FALSE),VLOOKUP(D780,[3]Extended!$B$9:$H$101,7,FALSE)))),0)</f>
        <v>1350330</v>
      </c>
      <c r="O780" s="269">
        <f>IFERROR(IF(BA780="WIP - 30 Days",VLOOKUP(D780,[3]Extended!$B$9:$J$101,9,FALSE),IF(BA780="31-120 Days",VLOOKUP(D780,[3]Extended!$B$9:$K$101,10,FALSE),IF(BA780="121-365 Days",VLOOKUP(D780,[3]Extended!$B$9:$L$101,11,FALSE),VLOOKUP(D780,[3]Extended!$B$9:$M$101,12,FALSE)))),0)</f>
        <v>1311000</v>
      </c>
      <c r="P780" s="116">
        <f t="shared" si="61"/>
        <v>0.24</v>
      </c>
      <c r="Q780" s="110" t="e">
        <f>O780-#REF!</f>
        <v>#REF!</v>
      </c>
      <c r="W780" s="311"/>
      <c r="X780" s="311"/>
      <c r="Y780" s="311"/>
      <c r="Z780" s="311"/>
      <c r="AA780" s="311"/>
      <c r="AB780" s="311"/>
      <c r="AC780" s="311"/>
      <c r="AT780" s="88" t="str">
        <f t="shared" si="62"/>
        <v>KP0006732017Q314,7</v>
      </c>
      <c r="AU780" s="89" t="str">
        <f t="shared" si="63"/>
        <v>07-2017</v>
      </c>
      <c r="BA780" s="92" t="str">
        <f t="shared" si="64"/>
        <v>WIP - 30 Days</v>
      </c>
    </row>
    <row r="781" spans="2:53">
      <c r="B781" s="60">
        <f>[2]Trucks!A778</f>
        <v>47438</v>
      </c>
      <c r="C781" s="11" t="str">
        <f>[2]Trucks!B778</f>
        <v>TGS-33-4406X4BBS-L</v>
      </c>
      <c r="D781" s="19" t="str">
        <f>IFERROR(VLOOKUP(C781&amp;"",'[2]Retail Price List'!$A$3:$B$103,2,FALSE),"Special Order")</f>
        <v>KP000673</v>
      </c>
      <c r="E781" s="18" t="str">
        <f>[2]Trucks!J778</f>
        <v>CKD</v>
      </c>
      <c r="F781" s="12" t="str">
        <f>[2]Trucks!E778</f>
        <v>2017-11-30</v>
      </c>
      <c r="G781" s="56">
        <f>[2]Trucks!K778</f>
        <v>14.7</v>
      </c>
      <c r="H781" s="46">
        <f>[2]Trucks!I778</f>
        <v>42937</v>
      </c>
      <c r="I781" s="83" t="str">
        <f t="shared" si="60"/>
        <v>2017Q3</v>
      </c>
      <c r="J781" s="272">
        <f>IFERROR(VLOOKUP((D781&amp;C781)&amp;"",'[2]Retail Price List'!$C$4:$F$102,3,FALSE),"")</f>
        <v>1675000</v>
      </c>
      <c r="K781" s="272">
        <f>IFERROR(IF(BA781="WIP - 30 Days",VLOOKUP(D781,[3]Standard!$B$9:$E$101,4,FALSE),IF(BA781="31-120 Days",VLOOKUP(D781,[3]Standard!$B$9:$F$101,5,FALSE),IF(BA781="121-365 Days",VLOOKUP(D781,[3]Standard!$B$9:$G$101,6,FALSE),VLOOKUP(D781,[3]Standard!$B$9:$H$101,7,FALSE)))),0)</f>
        <v>1311190</v>
      </c>
      <c r="L781" s="272">
        <f>IFERROR(IF(BA781="WIP - 30 Days",VLOOKUP(D781,[3]Standard!$B$9:$J$101,9,FALSE),IF(BA781="31-120 Days",VLOOKUP(D781,[3]Standard!$B$9:$K$100,10,FALSE),IF(BA781="121-365 Days",VLOOKUP(D781,[3]Standard!$B$9:$L$101,11,FALSE),VLOOKUP(D781,[3]Standard!$B$9:$M$101,12,FALSE)))),0)</f>
        <v>1273000</v>
      </c>
      <c r="M781" s="269">
        <f>IFERROR(VLOOKUP((D781&amp;C781)&amp;"",'[2]Retail Price List'!$C$4:$F$102,4,FALSE),"")</f>
        <v>1725000</v>
      </c>
      <c r="N781" s="269">
        <f>IFERROR(IF(BA781="WIP - 30 Days",VLOOKUP(D781,[3]Extended!$B$9:$E$101,4,FALSE),IF(BA781="31-120 Days",VLOOKUP(D781,[3]Extended!$B$9:$F$101,5,FALSE),IF(BA781="121-365 Days",VLOOKUP(D781,[3]Extended!$B$9:$G$101,6,FALSE),VLOOKUP(D781,[3]Extended!$B$9:$H$101,7,FALSE)))),0)</f>
        <v>1350330</v>
      </c>
      <c r="O781" s="269">
        <f>IFERROR(IF(BA781="WIP - 30 Days",VLOOKUP(D781,[3]Extended!$B$9:$J$101,9,FALSE),IF(BA781="31-120 Days",VLOOKUP(D781,[3]Extended!$B$9:$K$101,10,FALSE),IF(BA781="121-365 Days",VLOOKUP(D781,[3]Extended!$B$9:$L$101,11,FALSE),VLOOKUP(D781,[3]Extended!$B$9:$M$101,12,FALSE)))),0)</f>
        <v>1311000</v>
      </c>
      <c r="P781" s="116">
        <f t="shared" si="61"/>
        <v>0.24</v>
      </c>
      <c r="Q781" s="110" t="e">
        <f>O781-#REF!</f>
        <v>#REF!</v>
      </c>
      <c r="W781" s="311"/>
      <c r="X781" s="311"/>
      <c r="Y781" s="311"/>
      <c r="Z781" s="311"/>
      <c r="AA781" s="311"/>
      <c r="AB781" s="311"/>
      <c r="AC781" s="311"/>
      <c r="AT781" s="88" t="str">
        <f t="shared" si="62"/>
        <v>KP0006732017Q314,7</v>
      </c>
      <c r="AU781" s="89" t="str">
        <f t="shared" si="63"/>
        <v>07-2017</v>
      </c>
      <c r="BA781" s="92" t="str">
        <f t="shared" si="64"/>
        <v>WIP - 30 Days</v>
      </c>
    </row>
    <row r="782" spans="2:53">
      <c r="B782" s="60">
        <f>[2]Trucks!A779</f>
        <v>47439</v>
      </c>
      <c r="C782" s="11" t="str">
        <f>[2]Trucks!B779</f>
        <v>TGS-33-4406X4BBS-L</v>
      </c>
      <c r="D782" s="19" t="str">
        <f>IFERROR(VLOOKUP(C782&amp;"",'[2]Retail Price List'!$A$3:$B$103,2,FALSE),"Special Order")</f>
        <v>KP000673</v>
      </c>
      <c r="E782" s="18" t="str">
        <f>[2]Trucks!J779</f>
        <v>CKD</v>
      </c>
      <c r="F782" s="12" t="str">
        <f>[2]Trucks!E779</f>
        <v>2017-11-30</v>
      </c>
      <c r="G782" s="56">
        <f>[2]Trucks!K779</f>
        <v>14.7</v>
      </c>
      <c r="H782" s="46">
        <f>[2]Trucks!I779</f>
        <v>42937</v>
      </c>
      <c r="I782" s="83" t="str">
        <f t="shared" si="60"/>
        <v>2017Q3</v>
      </c>
      <c r="J782" s="272">
        <f>IFERROR(VLOOKUP((D782&amp;C782)&amp;"",'[2]Retail Price List'!$C$4:$F$102,3,FALSE),"")</f>
        <v>1675000</v>
      </c>
      <c r="K782" s="272">
        <f>IFERROR(IF(BA782="WIP - 30 Days",VLOOKUP(D782,[3]Standard!$B$9:$E$101,4,FALSE),IF(BA782="31-120 Days",VLOOKUP(D782,[3]Standard!$B$9:$F$101,5,FALSE),IF(BA782="121-365 Days",VLOOKUP(D782,[3]Standard!$B$9:$G$101,6,FALSE),VLOOKUP(D782,[3]Standard!$B$9:$H$101,7,FALSE)))),0)</f>
        <v>1311190</v>
      </c>
      <c r="L782" s="272">
        <f>IFERROR(IF(BA782="WIP - 30 Days",VLOOKUP(D782,[3]Standard!$B$9:$J$101,9,FALSE),IF(BA782="31-120 Days",VLOOKUP(D782,[3]Standard!$B$9:$K$100,10,FALSE),IF(BA782="121-365 Days",VLOOKUP(D782,[3]Standard!$B$9:$L$101,11,FALSE),VLOOKUP(D782,[3]Standard!$B$9:$M$101,12,FALSE)))),0)</f>
        <v>1273000</v>
      </c>
      <c r="M782" s="269">
        <f>IFERROR(VLOOKUP((D782&amp;C782)&amp;"",'[2]Retail Price List'!$C$4:$F$102,4,FALSE),"")</f>
        <v>1725000</v>
      </c>
      <c r="N782" s="269">
        <f>IFERROR(IF(BA782="WIP - 30 Days",VLOOKUP(D782,[3]Extended!$B$9:$E$101,4,FALSE),IF(BA782="31-120 Days",VLOOKUP(D782,[3]Extended!$B$9:$F$101,5,FALSE),IF(BA782="121-365 Days",VLOOKUP(D782,[3]Extended!$B$9:$G$101,6,FALSE),VLOOKUP(D782,[3]Extended!$B$9:$H$101,7,FALSE)))),0)</f>
        <v>1350330</v>
      </c>
      <c r="O782" s="269">
        <f>IFERROR(IF(BA782="WIP - 30 Days",VLOOKUP(D782,[3]Extended!$B$9:$J$101,9,FALSE),IF(BA782="31-120 Days",VLOOKUP(D782,[3]Extended!$B$9:$K$101,10,FALSE),IF(BA782="121-365 Days",VLOOKUP(D782,[3]Extended!$B$9:$L$101,11,FALSE),VLOOKUP(D782,[3]Extended!$B$9:$M$101,12,FALSE)))),0)</f>
        <v>1311000</v>
      </c>
      <c r="P782" s="116">
        <f t="shared" si="61"/>
        <v>0.24</v>
      </c>
      <c r="Q782" s="110" t="e">
        <f>O782-#REF!</f>
        <v>#REF!</v>
      </c>
      <c r="W782" s="311"/>
      <c r="X782" s="311"/>
      <c r="Y782" s="311"/>
      <c r="Z782" s="311"/>
      <c r="AA782" s="311"/>
      <c r="AB782" s="311"/>
      <c r="AC782" s="311"/>
      <c r="AT782" s="88" t="str">
        <f t="shared" si="62"/>
        <v>KP0006732017Q314,7</v>
      </c>
      <c r="AU782" s="89" t="str">
        <f t="shared" si="63"/>
        <v>07-2017</v>
      </c>
      <c r="BA782" s="92" t="str">
        <f t="shared" si="64"/>
        <v>WIP - 30 Days</v>
      </c>
    </row>
    <row r="783" spans="2:53">
      <c r="B783" s="60">
        <f>[2]Trucks!A780</f>
        <v>47440</v>
      </c>
      <c r="C783" s="11" t="str">
        <f>[2]Trucks!B780</f>
        <v>TGS-33-4406X4BBS-L</v>
      </c>
      <c r="D783" s="19" t="str">
        <f>IFERROR(VLOOKUP(C783&amp;"",'[2]Retail Price List'!$A$3:$B$103,2,FALSE),"Special Order")</f>
        <v>KP000673</v>
      </c>
      <c r="E783" s="18" t="str">
        <f>[2]Trucks!J780</f>
        <v>CKD</v>
      </c>
      <c r="F783" s="12" t="str">
        <f>[2]Trucks!E780</f>
        <v>2017-12-5</v>
      </c>
      <c r="G783" s="56">
        <f>[2]Trucks!K780</f>
        <v>14.7</v>
      </c>
      <c r="H783" s="46">
        <f>[2]Trucks!I780</f>
        <v>42937</v>
      </c>
      <c r="I783" s="83" t="str">
        <f t="shared" si="60"/>
        <v>2017Q3</v>
      </c>
      <c r="J783" s="272">
        <f>IFERROR(VLOOKUP((D783&amp;C783)&amp;"",'[2]Retail Price List'!$C$4:$F$102,3,FALSE),"")</f>
        <v>1675000</v>
      </c>
      <c r="K783" s="272">
        <f>IFERROR(IF(BA783="WIP - 30 Days",VLOOKUP(D783,[3]Standard!$B$9:$E$101,4,FALSE),IF(BA783="31-120 Days",VLOOKUP(D783,[3]Standard!$B$9:$F$101,5,FALSE),IF(BA783="121-365 Days",VLOOKUP(D783,[3]Standard!$B$9:$G$101,6,FALSE),VLOOKUP(D783,[3]Standard!$B$9:$H$101,7,FALSE)))),0)</f>
        <v>1311190</v>
      </c>
      <c r="L783" s="272">
        <f>IFERROR(IF(BA783="WIP - 30 Days",VLOOKUP(D783,[3]Standard!$B$9:$J$101,9,FALSE),IF(BA783="31-120 Days",VLOOKUP(D783,[3]Standard!$B$9:$K$100,10,FALSE),IF(BA783="121-365 Days",VLOOKUP(D783,[3]Standard!$B$9:$L$101,11,FALSE),VLOOKUP(D783,[3]Standard!$B$9:$M$101,12,FALSE)))),0)</f>
        <v>1273000</v>
      </c>
      <c r="M783" s="269">
        <f>IFERROR(VLOOKUP((D783&amp;C783)&amp;"",'[2]Retail Price List'!$C$4:$F$102,4,FALSE),"")</f>
        <v>1725000</v>
      </c>
      <c r="N783" s="269">
        <f>IFERROR(IF(BA783="WIP - 30 Days",VLOOKUP(D783,[3]Extended!$B$9:$E$101,4,FALSE),IF(BA783="31-120 Days",VLOOKUP(D783,[3]Extended!$B$9:$F$101,5,FALSE),IF(BA783="121-365 Days",VLOOKUP(D783,[3]Extended!$B$9:$G$101,6,FALSE),VLOOKUP(D783,[3]Extended!$B$9:$H$101,7,FALSE)))),0)</f>
        <v>1350330</v>
      </c>
      <c r="O783" s="269">
        <f>IFERROR(IF(BA783="WIP - 30 Days",VLOOKUP(D783,[3]Extended!$B$9:$J$101,9,FALSE),IF(BA783="31-120 Days",VLOOKUP(D783,[3]Extended!$B$9:$K$101,10,FALSE),IF(BA783="121-365 Days",VLOOKUP(D783,[3]Extended!$B$9:$L$101,11,FALSE),VLOOKUP(D783,[3]Extended!$B$9:$M$101,12,FALSE)))),0)</f>
        <v>1311000</v>
      </c>
      <c r="P783" s="116">
        <f t="shared" si="61"/>
        <v>0.24</v>
      </c>
      <c r="Q783" s="110" t="e">
        <f>O783-#REF!</f>
        <v>#REF!</v>
      </c>
      <c r="W783" s="311"/>
      <c r="X783" s="311"/>
      <c r="Y783" s="311"/>
      <c r="Z783" s="311"/>
      <c r="AA783" s="311"/>
      <c r="AB783" s="311"/>
      <c r="AC783" s="311"/>
      <c r="AT783" s="88" t="str">
        <f t="shared" si="62"/>
        <v>KP0006732017Q314,7</v>
      </c>
      <c r="AU783" s="89" t="str">
        <f t="shared" si="63"/>
        <v>07-2017</v>
      </c>
      <c r="BA783" s="92" t="str">
        <f t="shared" si="64"/>
        <v>WIP - 30 Days</v>
      </c>
    </row>
    <row r="784" spans="2:53">
      <c r="B784" s="60">
        <f>[2]Trucks!A781</f>
        <v>47441</v>
      </c>
      <c r="C784" s="11" t="str">
        <f>[2]Trucks!B781</f>
        <v>TGS-33-4406X4BBS-L</v>
      </c>
      <c r="D784" s="19" t="str">
        <f>IFERROR(VLOOKUP(C784&amp;"",'[2]Retail Price List'!$A$3:$B$103,2,FALSE),"Special Order")</f>
        <v>KP000673</v>
      </c>
      <c r="E784" s="18" t="str">
        <f>[2]Trucks!J781</f>
        <v>CKD</v>
      </c>
      <c r="F784" s="12" t="str">
        <f>[2]Trucks!E781</f>
        <v>2017-12-5</v>
      </c>
      <c r="G784" s="56">
        <f>[2]Trucks!K781</f>
        <v>14.7</v>
      </c>
      <c r="H784" s="46">
        <f>[2]Trucks!I781</f>
        <v>42937</v>
      </c>
      <c r="I784" s="83" t="str">
        <f t="shared" si="60"/>
        <v>2017Q3</v>
      </c>
      <c r="J784" s="272">
        <f>IFERROR(VLOOKUP((D784&amp;C784)&amp;"",'[2]Retail Price List'!$C$4:$F$102,3,FALSE),"")</f>
        <v>1675000</v>
      </c>
      <c r="K784" s="272">
        <f>IFERROR(IF(BA784="WIP - 30 Days",VLOOKUP(D784,[3]Standard!$B$9:$E$101,4,FALSE),IF(BA784="31-120 Days",VLOOKUP(D784,[3]Standard!$B$9:$F$101,5,FALSE),IF(BA784="121-365 Days",VLOOKUP(D784,[3]Standard!$B$9:$G$101,6,FALSE),VLOOKUP(D784,[3]Standard!$B$9:$H$101,7,FALSE)))),0)</f>
        <v>1311190</v>
      </c>
      <c r="L784" s="272">
        <f>IFERROR(IF(BA784="WIP - 30 Days",VLOOKUP(D784,[3]Standard!$B$9:$J$101,9,FALSE),IF(BA784="31-120 Days",VLOOKUP(D784,[3]Standard!$B$9:$K$100,10,FALSE),IF(BA784="121-365 Days",VLOOKUP(D784,[3]Standard!$B$9:$L$101,11,FALSE),VLOOKUP(D784,[3]Standard!$B$9:$M$101,12,FALSE)))),0)</f>
        <v>1273000</v>
      </c>
      <c r="M784" s="269">
        <f>IFERROR(VLOOKUP((D784&amp;C784)&amp;"",'[2]Retail Price List'!$C$4:$F$102,4,FALSE),"")</f>
        <v>1725000</v>
      </c>
      <c r="N784" s="269">
        <f>IFERROR(IF(BA784="WIP - 30 Days",VLOOKUP(D784,[3]Extended!$B$9:$E$101,4,FALSE),IF(BA784="31-120 Days",VLOOKUP(D784,[3]Extended!$B$9:$F$101,5,FALSE),IF(BA784="121-365 Days",VLOOKUP(D784,[3]Extended!$B$9:$G$101,6,FALSE),VLOOKUP(D784,[3]Extended!$B$9:$H$101,7,FALSE)))),0)</f>
        <v>1350330</v>
      </c>
      <c r="O784" s="269">
        <f>IFERROR(IF(BA784="WIP - 30 Days",VLOOKUP(D784,[3]Extended!$B$9:$J$101,9,FALSE),IF(BA784="31-120 Days",VLOOKUP(D784,[3]Extended!$B$9:$K$101,10,FALSE),IF(BA784="121-365 Days",VLOOKUP(D784,[3]Extended!$B$9:$L$101,11,FALSE),VLOOKUP(D784,[3]Extended!$B$9:$M$101,12,FALSE)))),0)</f>
        <v>1311000</v>
      </c>
      <c r="P784" s="116">
        <f t="shared" si="61"/>
        <v>0.24</v>
      </c>
      <c r="Q784" s="110" t="e">
        <f>O784-#REF!</f>
        <v>#REF!</v>
      </c>
      <c r="W784" s="311"/>
      <c r="X784" s="311"/>
      <c r="Y784" s="311"/>
      <c r="Z784" s="311"/>
      <c r="AA784" s="311"/>
      <c r="AB784" s="311"/>
      <c r="AC784" s="311"/>
      <c r="AT784" s="88" t="str">
        <f t="shared" si="62"/>
        <v>KP0006732017Q314,7</v>
      </c>
      <c r="AU784" s="89" t="str">
        <f t="shared" si="63"/>
        <v>07-2017</v>
      </c>
      <c r="BA784" s="92" t="str">
        <f t="shared" si="64"/>
        <v>WIP - 30 Days</v>
      </c>
    </row>
    <row r="785" spans="2:53">
      <c r="B785" s="60">
        <f>[2]Trucks!A782</f>
        <v>47442</v>
      </c>
      <c r="C785" s="11" t="str">
        <f>[2]Trucks!B782</f>
        <v>TGS-33-4406X4BBS-L</v>
      </c>
      <c r="D785" s="19" t="str">
        <f>IFERROR(VLOOKUP(C785&amp;"",'[2]Retail Price List'!$A$3:$B$103,2,FALSE),"Special Order")</f>
        <v>KP000673</v>
      </c>
      <c r="E785" s="18" t="str">
        <f>[2]Trucks!J782</f>
        <v>CKD</v>
      </c>
      <c r="F785" s="12" t="str">
        <f>[2]Trucks!E782</f>
        <v>2017-12-5</v>
      </c>
      <c r="G785" s="56">
        <f>[2]Trucks!K782</f>
        <v>14.7</v>
      </c>
      <c r="H785" s="46">
        <f>[2]Trucks!I782</f>
        <v>42937</v>
      </c>
      <c r="I785" s="83" t="str">
        <f t="shared" si="60"/>
        <v>2017Q3</v>
      </c>
      <c r="J785" s="272">
        <f>IFERROR(VLOOKUP((D785&amp;C785)&amp;"",'[2]Retail Price List'!$C$4:$F$102,3,FALSE),"")</f>
        <v>1675000</v>
      </c>
      <c r="K785" s="272">
        <f>IFERROR(IF(BA785="WIP - 30 Days",VLOOKUP(D785,[3]Standard!$B$9:$E$101,4,FALSE),IF(BA785="31-120 Days",VLOOKUP(D785,[3]Standard!$B$9:$F$101,5,FALSE),IF(BA785="121-365 Days",VLOOKUP(D785,[3]Standard!$B$9:$G$101,6,FALSE),VLOOKUP(D785,[3]Standard!$B$9:$H$101,7,FALSE)))),0)</f>
        <v>1311190</v>
      </c>
      <c r="L785" s="272">
        <f>IFERROR(IF(BA785="WIP - 30 Days",VLOOKUP(D785,[3]Standard!$B$9:$J$101,9,FALSE),IF(BA785="31-120 Days",VLOOKUP(D785,[3]Standard!$B$9:$K$100,10,FALSE),IF(BA785="121-365 Days",VLOOKUP(D785,[3]Standard!$B$9:$L$101,11,FALSE),VLOOKUP(D785,[3]Standard!$B$9:$M$101,12,FALSE)))),0)</f>
        <v>1273000</v>
      </c>
      <c r="M785" s="269">
        <f>IFERROR(VLOOKUP((D785&amp;C785)&amp;"",'[2]Retail Price List'!$C$4:$F$102,4,FALSE),"")</f>
        <v>1725000</v>
      </c>
      <c r="N785" s="269">
        <f>IFERROR(IF(BA785="WIP - 30 Days",VLOOKUP(D785,[3]Extended!$B$9:$E$101,4,FALSE),IF(BA785="31-120 Days",VLOOKUP(D785,[3]Extended!$B$9:$F$101,5,FALSE),IF(BA785="121-365 Days",VLOOKUP(D785,[3]Extended!$B$9:$G$101,6,FALSE),VLOOKUP(D785,[3]Extended!$B$9:$H$101,7,FALSE)))),0)</f>
        <v>1350330</v>
      </c>
      <c r="O785" s="269">
        <f>IFERROR(IF(BA785="WIP - 30 Days",VLOOKUP(D785,[3]Extended!$B$9:$J$101,9,FALSE),IF(BA785="31-120 Days",VLOOKUP(D785,[3]Extended!$B$9:$K$101,10,FALSE),IF(BA785="121-365 Days",VLOOKUP(D785,[3]Extended!$B$9:$L$101,11,FALSE),VLOOKUP(D785,[3]Extended!$B$9:$M$101,12,FALSE)))),0)</f>
        <v>1311000</v>
      </c>
      <c r="P785" s="116">
        <f t="shared" si="61"/>
        <v>0.24</v>
      </c>
      <c r="Q785" s="110" t="e">
        <f>O785-#REF!</f>
        <v>#REF!</v>
      </c>
      <c r="W785" s="311"/>
      <c r="X785" s="311"/>
      <c r="Y785" s="311"/>
      <c r="Z785" s="311"/>
      <c r="AA785" s="311"/>
      <c r="AB785" s="311"/>
      <c r="AC785" s="311"/>
      <c r="AT785" s="88" t="str">
        <f t="shared" si="62"/>
        <v>KP0006732017Q314,7</v>
      </c>
      <c r="AU785" s="89" t="str">
        <f t="shared" si="63"/>
        <v>07-2017</v>
      </c>
      <c r="BA785" s="92" t="str">
        <f t="shared" si="64"/>
        <v>WIP - 30 Days</v>
      </c>
    </row>
    <row r="786" spans="2:53">
      <c r="B786" s="60">
        <f>[2]Trucks!A783</f>
        <v>47443</v>
      </c>
      <c r="C786" s="11" t="str">
        <f>[2]Trucks!B783</f>
        <v>TGS-33-4406X4BBS-L</v>
      </c>
      <c r="D786" s="19" t="str">
        <f>IFERROR(VLOOKUP(C786&amp;"",'[2]Retail Price List'!$A$3:$B$103,2,FALSE),"Special Order")</f>
        <v>KP000673</v>
      </c>
      <c r="E786" s="18" t="str">
        <f>[2]Trucks!J783</f>
        <v>CKD</v>
      </c>
      <c r="F786" s="12" t="str">
        <f>[2]Trucks!E783</f>
        <v>2017-12-5</v>
      </c>
      <c r="G786" s="56">
        <f>[2]Trucks!K783</f>
        <v>14.7</v>
      </c>
      <c r="H786" s="46">
        <f>[2]Trucks!I783</f>
        <v>42937</v>
      </c>
      <c r="I786" s="83" t="str">
        <f t="shared" si="60"/>
        <v>2017Q3</v>
      </c>
      <c r="J786" s="272">
        <f>IFERROR(VLOOKUP((D786&amp;C786)&amp;"",'[2]Retail Price List'!$C$4:$F$102,3,FALSE),"")</f>
        <v>1675000</v>
      </c>
      <c r="K786" s="272">
        <f>IFERROR(IF(BA786="WIP - 30 Days",VLOOKUP(D786,[3]Standard!$B$9:$E$101,4,FALSE),IF(BA786="31-120 Days",VLOOKUP(D786,[3]Standard!$B$9:$F$101,5,FALSE),IF(BA786="121-365 Days",VLOOKUP(D786,[3]Standard!$B$9:$G$101,6,FALSE),VLOOKUP(D786,[3]Standard!$B$9:$H$101,7,FALSE)))),0)</f>
        <v>1311190</v>
      </c>
      <c r="L786" s="272">
        <f>IFERROR(IF(BA786="WIP - 30 Days",VLOOKUP(D786,[3]Standard!$B$9:$J$101,9,FALSE),IF(BA786="31-120 Days",VLOOKUP(D786,[3]Standard!$B$9:$K$100,10,FALSE),IF(BA786="121-365 Days",VLOOKUP(D786,[3]Standard!$B$9:$L$101,11,FALSE),VLOOKUP(D786,[3]Standard!$B$9:$M$101,12,FALSE)))),0)</f>
        <v>1273000</v>
      </c>
      <c r="M786" s="269">
        <f>IFERROR(VLOOKUP((D786&amp;C786)&amp;"",'[2]Retail Price List'!$C$4:$F$102,4,FALSE),"")</f>
        <v>1725000</v>
      </c>
      <c r="N786" s="269">
        <f>IFERROR(IF(BA786="WIP - 30 Days",VLOOKUP(D786,[3]Extended!$B$9:$E$101,4,FALSE),IF(BA786="31-120 Days",VLOOKUP(D786,[3]Extended!$B$9:$F$101,5,FALSE),IF(BA786="121-365 Days",VLOOKUP(D786,[3]Extended!$B$9:$G$101,6,FALSE),VLOOKUP(D786,[3]Extended!$B$9:$H$101,7,FALSE)))),0)</f>
        <v>1350330</v>
      </c>
      <c r="O786" s="269">
        <f>IFERROR(IF(BA786="WIP - 30 Days",VLOOKUP(D786,[3]Extended!$B$9:$J$101,9,FALSE),IF(BA786="31-120 Days",VLOOKUP(D786,[3]Extended!$B$9:$K$101,10,FALSE),IF(BA786="121-365 Days",VLOOKUP(D786,[3]Extended!$B$9:$L$101,11,FALSE),VLOOKUP(D786,[3]Extended!$B$9:$M$101,12,FALSE)))),0)</f>
        <v>1311000</v>
      </c>
      <c r="P786" s="116">
        <f t="shared" si="61"/>
        <v>0.24</v>
      </c>
      <c r="Q786" s="110" t="e">
        <f>O786-#REF!</f>
        <v>#REF!</v>
      </c>
      <c r="W786" s="311"/>
      <c r="X786" s="311"/>
      <c r="Y786" s="311"/>
      <c r="Z786" s="311"/>
      <c r="AA786" s="311"/>
      <c r="AB786" s="311"/>
      <c r="AC786" s="311"/>
      <c r="AT786" s="88" t="str">
        <f t="shared" si="62"/>
        <v>KP0006732017Q314,7</v>
      </c>
      <c r="AU786" s="89" t="str">
        <f t="shared" si="63"/>
        <v>07-2017</v>
      </c>
      <c r="BA786" s="92" t="str">
        <f t="shared" si="64"/>
        <v>WIP - 30 Days</v>
      </c>
    </row>
    <row r="787" spans="2:53">
      <c r="B787" s="60">
        <f>[2]Trucks!A784</f>
        <v>47444</v>
      </c>
      <c r="C787" s="11" t="str">
        <f>[2]Trucks!B784</f>
        <v>TGS-33-4406X4BBS-L</v>
      </c>
      <c r="D787" s="19" t="str">
        <f>IFERROR(VLOOKUP(C787&amp;"",'[2]Retail Price List'!$A$3:$B$103,2,FALSE),"Special Order")</f>
        <v>KP000673</v>
      </c>
      <c r="E787" s="18" t="str">
        <f>[2]Trucks!J784</f>
        <v>CKD</v>
      </c>
      <c r="F787" s="12" t="str">
        <f>[2]Trucks!E784</f>
        <v>2017-12-5</v>
      </c>
      <c r="G787" s="56">
        <f>[2]Trucks!K784</f>
        <v>14.7</v>
      </c>
      <c r="H787" s="46">
        <f>[2]Trucks!I784</f>
        <v>42937</v>
      </c>
      <c r="I787" s="83" t="str">
        <f t="shared" si="60"/>
        <v>2017Q3</v>
      </c>
      <c r="J787" s="272">
        <f>IFERROR(VLOOKUP((D787&amp;C787)&amp;"",'[2]Retail Price List'!$C$4:$F$102,3,FALSE),"")</f>
        <v>1675000</v>
      </c>
      <c r="K787" s="272">
        <f>IFERROR(IF(BA787="WIP - 30 Days",VLOOKUP(D787,[3]Standard!$B$9:$E$101,4,FALSE),IF(BA787="31-120 Days",VLOOKUP(D787,[3]Standard!$B$9:$F$101,5,FALSE),IF(BA787="121-365 Days",VLOOKUP(D787,[3]Standard!$B$9:$G$101,6,FALSE),VLOOKUP(D787,[3]Standard!$B$9:$H$101,7,FALSE)))),0)</f>
        <v>1311190</v>
      </c>
      <c r="L787" s="272">
        <f>IFERROR(IF(BA787="WIP - 30 Days",VLOOKUP(D787,[3]Standard!$B$9:$J$101,9,FALSE),IF(BA787="31-120 Days",VLOOKUP(D787,[3]Standard!$B$9:$K$100,10,FALSE),IF(BA787="121-365 Days",VLOOKUP(D787,[3]Standard!$B$9:$L$101,11,FALSE),VLOOKUP(D787,[3]Standard!$B$9:$M$101,12,FALSE)))),0)</f>
        <v>1273000</v>
      </c>
      <c r="M787" s="269">
        <f>IFERROR(VLOOKUP((D787&amp;C787)&amp;"",'[2]Retail Price List'!$C$4:$F$102,4,FALSE),"")</f>
        <v>1725000</v>
      </c>
      <c r="N787" s="269">
        <f>IFERROR(IF(BA787="WIP - 30 Days",VLOOKUP(D787,[3]Extended!$B$9:$E$101,4,FALSE),IF(BA787="31-120 Days",VLOOKUP(D787,[3]Extended!$B$9:$F$101,5,FALSE),IF(BA787="121-365 Days",VLOOKUP(D787,[3]Extended!$B$9:$G$101,6,FALSE),VLOOKUP(D787,[3]Extended!$B$9:$H$101,7,FALSE)))),0)</f>
        <v>1350330</v>
      </c>
      <c r="O787" s="269">
        <f>IFERROR(IF(BA787="WIP - 30 Days",VLOOKUP(D787,[3]Extended!$B$9:$J$101,9,FALSE),IF(BA787="31-120 Days",VLOOKUP(D787,[3]Extended!$B$9:$K$101,10,FALSE),IF(BA787="121-365 Days",VLOOKUP(D787,[3]Extended!$B$9:$L$101,11,FALSE),VLOOKUP(D787,[3]Extended!$B$9:$M$101,12,FALSE)))),0)</f>
        <v>1311000</v>
      </c>
      <c r="P787" s="116">
        <f t="shared" si="61"/>
        <v>0.24</v>
      </c>
      <c r="Q787" s="110" t="e">
        <f>O787-#REF!</f>
        <v>#REF!</v>
      </c>
      <c r="W787" s="311"/>
      <c r="X787" s="311"/>
      <c r="Y787" s="311"/>
      <c r="Z787" s="311"/>
      <c r="AA787" s="311"/>
      <c r="AB787" s="311"/>
      <c r="AC787" s="311"/>
      <c r="AT787" s="88" t="str">
        <f t="shared" si="62"/>
        <v>KP0006732017Q314,7</v>
      </c>
      <c r="AU787" s="89" t="str">
        <f t="shared" si="63"/>
        <v>07-2017</v>
      </c>
      <c r="BA787" s="92" t="str">
        <f t="shared" si="64"/>
        <v>WIP - 30 Days</v>
      </c>
    </row>
    <row r="788" spans="2:53">
      <c r="B788" s="60">
        <f>[2]Trucks!A785</f>
        <v>47445</v>
      </c>
      <c r="C788" s="11" t="str">
        <f>[2]Trucks!B785</f>
        <v>TGS-33-4406X4BBS-L</v>
      </c>
      <c r="D788" s="19" t="str">
        <f>IFERROR(VLOOKUP(C788&amp;"",'[2]Retail Price List'!$A$3:$B$103,2,FALSE),"Special Order")</f>
        <v>KP000673</v>
      </c>
      <c r="E788" s="18" t="str">
        <f>[2]Trucks!J785</f>
        <v>CKD</v>
      </c>
      <c r="F788" s="12" t="str">
        <f>[2]Trucks!E785</f>
        <v>2017-12-5</v>
      </c>
      <c r="G788" s="56">
        <f>[2]Trucks!K785</f>
        <v>14.7</v>
      </c>
      <c r="H788" s="46">
        <f>[2]Trucks!I785</f>
        <v>42937</v>
      </c>
      <c r="I788" s="83" t="str">
        <f t="shared" si="60"/>
        <v>2017Q3</v>
      </c>
      <c r="J788" s="272">
        <f>IFERROR(VLOOKUP((D788&amp;C788)&amp;"",'[2]Retail Price List'!$C$4:$F$102,3,FALSE),"")</f>
        <v>1675000</v>
      </c>
      <c r="K788" s="272">
        <f>IFERROR(IF(BA788="WIP - 30 Days",VLOOKUP(D788,[3]Standard!$B$9:$E$101,4,FALSE),IF(BA788="31-120 Days",VLOOKUP(D788,[3]Standard!$B$9:$F$101,5,FALSE),IF(BA788="121-365 Days",VLOOKUP(D788,[3]Standard!$B$9:$G$101,6,FALSE),VLOOKUP(D788,[3]Standard!$B$9:$H$101,7,FALSE)))),0)</f>
        <v>1311190</v>
      </c>
      <c r="L788" s="272">
        <f>IFERROR(IF(BA788="WIP - 30 Days",VLOOKUP(D788,[3]Standard!$B$9:$J$101,9,FALSE),IF(BA788="31-120 Days",VLOOKUP(D788,[3]Standard!$B$9:$K$100,10,FALSE),IF(BA788="121-365 Days",VLOOKUP(D788,[3]Standard!$B$9:$L$101,11,FALSE),VLOOKUP(D788,[3]Standard!$B$9:$M$101,12,FALSE)))),0)</f>
        <v>1273000</v>
      </c>
      <c r="M788" s="269">
        <f>IFERROR(VLOOKUP((D788&amp;C788)&amp;"",'[2]Retail Price List'!$C$4:$F$102,4,FALSE),"")</f>
        <v>1725000</v>
      </c>
      <c r="N788" s="269">
        <f>IFERROR(IF(BA788="WIP - 30 Days",VLOOKUP(D788,[3]Extended!$B$9:$E$101,4,FALSE),IF(BA788="31-120 Days",VLOOKUP(D788,[3]Extended!$B$9:$F$101,5,FALSE),IF(BA788="121-365 Days",VLOOKUP(D788,[3]Extended!$B$9:$G$101,6,FALSE),VLOOKUP(D788,[3]Extended!$B$9:$H$101,7,FALSE)))),0)</f>
        <v>1350330</v>
      </c>
      <c r="O788" s="269">
        <f>IFERROR(IF(BA788="WIP - 30 Days",VLOOKUP(D788,[3]Extended!$B$9:$J$101,9,FALSE),IF(BA788="31-120 Days",VLOOKUP(D788,[3]Extended!$B$9:$K$101,10,FALSE),IF(BA788="121-365 Days",VLOOKUP(D788,[3]Extended!$B$9:$L$101,11,FALSE),VLOOKUP(D788,[3]Extended!$B$9:$M$101,12,FALSE)))),0)</f>
        <v>1311000</v>
      </c>
      <c r="P788" s="116">
        <f t="shared" si="61"/>
        <v>0.24</v>
      </c>
      <c r="Q788" s="110" t="e">
        <f>O788-#REF!</f>
        <v>#REF!</v>
      </c>
      <c r="W788" s="311"/>
      <c r="X788" s="311"/>
      <c r="Y788" s="311"/>
      <c r="Z788" s="311"/>
      <c r="AA788" s="311"/>
      <c r="AB788" s="311"/>
      <c r="AC788" s="311"/>
      <c r="AT788" s="88" t="str">
        <f t="shared" si="62"/>
        <v>KP0006732017Q314,7</v>
      </c>
      <c r="AU788" s="89" t="str">
        <f t="shared" si="63"/>
        <v>07-2017</v>
      </c>
      <c r="BA788" s="92" t="str">
        <f t="shared" si="64"/>
        <v>WIP - 30 Days</v>
      </c>
    </row>
    <row r="789" spans="2:53">
      <c r="B789" s="60">
        <f>[2]Trucks!A786</f>
        <v>47446</v>
      </c>
      <c r="C789" s="11" t="str">
        <f>[2]Trucks!B786</f>
        <v>TGS-33-4406X4BBS-L</v>
      </c>
      <c r="D789" s="19" t="str">
        <f>IFERROR(VLOOKUP(C789&amp;"",'[2]Retail Price List'!$A$3:$B$103,2,FALSE),"Special Order")</f>
        <v>KP000673</v>
      </c>
      <c r="E789" s="18" t="str">
        <f>[2]Trucks!J786</f>
        <v>CKD</v>
      </c>
      <c r="F789" s="12" t="str">
        <f>[2]Trucks!E786</f>
        <v>2017-12-5</v>
      </c>
      <c r="G789" s="56">
        <f>[2]Trucks!K786</f>
        <v>14.7</v>
      </c>
      <c r="H789" s="46">
        <f>[2]Trucks!I786</f>
        <v>42937</v>
      </c>
      <c r="I789" s="83" t="str">
        <f t="shared" si="60"/>
        <v>2017Q3</v>
      </c>
      <c r="J789" s="272">
        <f>IFERROR(VLOOKUP((D789&amp;C789)&amp;"",'[2]Retail Price List'!$C$4:$F$102,3,FALSE),"")</f>
        <v>1675000</v>
      </c>
      <c r="K789" s="272">
        <f>IFERROR(IF(BA789="WIP - 30 Days",VLOOKUP(D789,[3]Standard!$B$9:$E$101,4,FALSE),IF(BA789="31-120 Days",VLOOKUP(D789,[3]Standard!$B$9:$F$101,5,FALSE),IF(BA789="121-365 Days",VLOOKUP(D789,[3]Standard!$B$9:$G$101,6,FALSE),VLOOKUP(D789,[3]Standard!$B$9:$H$101,7,FALSE)))),0)</f>
        <v>1311190</v>
      </c>
      <c r="L789" s="272">
        <f>IFERROR(IF(BA789="WIP - 30 Days",VLOOKUP(D789,[3]Standard!$B$9:$J$101,9,FALSE),IF(BA789="31-120 Days",VLOOKUP(D789,[3]Standard!$B$9:$K$100,10,FALSE),IF(BA789="121-365 Days",VLOOKUP(D789,[3]Standard!$B$9:$L$101,11,FALSE),VLOOKUP(D789,[3]Standard!$B$9:$M$101,12,FALSE)))),0)</f>
        <v>1273000</v>
      </c>
      <c r="M789" s="269">
        <f>IFERROR(VLOOKUP((D789&amp;C789)&amp;"",'[2]Retail Price List'!$C$4:$F$102,4,FALSE),"")</f>
        <v>1725000</v>
      </c>
      <c r="N789" s="269">
        <f>IFERROR(IF(BA789="WIP - 30 Days",VLOOKUP(D789,[3]Extended!$B$9:$E$101,4,FALSE),IF(BA789="31-120 Days",VLOOKUP(D789,[3]Extended!$B$9:$F$101,5,FALSE),IF(BA789="121-365 Days",VLOOKUP(D789,[3]Extended!$B$9:$G$101,6,FALSE),VLOOKUP(D789,[3]Extended!$B$9:$H$101,7,FALSE)))),0)</f>
        <v>1350330</v>
      </c>
      <c r="O789" s="269">
        <f>IFERROR(IF(BA789="WIP - 30 Days",VLOOKUP(D789,[3]Extended!$B$9:$J$101,9,FALSE),IF(BA789="31-120 Days",VLOOKUP(D789,[3]Extended!$B$9:$K$101,10,FALSE),IF(BA789="121-365 Days",VLOOKUP(D789,[3]Extended!$B$9:$L$101,11,FALSE),VLOOKUP(D789,[3]Extended!$B$9:$M$101,12,FALSE)))),0)</f>
        <v>1311000</v>
      </c>
      <c r="P789" s="116">
        <f t="shared" si="61"/>
        <v>0.24</v>
      </c>
      <c r="Q789" s="110" t="e">
        <f>O789-#REF!</f>
        <v>#REF!</v>
      </c>
      <c r="W789" s="311"/>
      <c r="X789" s="311"/>
      <c r="Y789" s="311"/>
      <c r="Z789" s="311"/>
      <c r="AA789" s="311"/>
      <c r="AB789" s="311"/>
      <c r="AC789" s="311"/>
      <c r="AT789" s="88" t="str">
        <f t="shared" si="62"/>
        <v>KP0006732017Q314,7</v>
      </c>
      <c r="AU789" s="89" t="str">
        <f t="shared" si="63"/>
        <v>07-2017</v>
      </c>
      <c r="BA789" s="92" t="str">
        <f t="shared" si="64"/>
        <v>WIP - 30 Days</v>
      </c>
    </row>
    <row r="790" spans="2:53">
      <c r="B790" s="60">
        <f>[2]Trucks!A787</f>
        <v>47447</v>
      </c>
      <c r="C790" s="11" t="str">
        <f>[2]Trucks!B787</f>
        <v>TGS-33-4406X4BBS-L</v>
      </c>
      <c r="D790" s="19" t="str">
        <f>IFERROR(VLOOKUP(C790&amp;"",'[2]Retail Price List'!$A$3:$B$103,2,FALSE),"Special Order")</f>
        <v>KP000673</v>
      </c>
      <c r="E790" s="18" t="str">
        <f>[2]Trucks!J787</f>
        <v>CKD</v>
      </c>
      <c r="F790" s="12" t="str">
        <f>[2]Trucks!E787</f>
        <v>2017-12-5</v>
      </c>
      <c r="G790" s="56">
        <f>[2]Trucks!K787</f>
        <v>14.7</v>
      </c>
      <c r="H790" s="46">
        <f>[2]Trucks!I787</f>
        <v>42937</v>
      </c>
      <c r="I790" s="83" t="str">
        <f t="shared" si="60"/>
        <v>2017Q3</v>
      </c>
      <c r="J790" s="272">
        <f>IFERROR(VLOOKUP((D790&amp;C790)&amp;"",'[2]Retail Price List'!$C$4:$F$102,3,FALSE),"")</f>
        <v>1675000</v>
      </c>
      <c r="K790" s="272">
        <f>IFERROR(IF(BA790="WIP - 30 Days",VLOOKUP(D790,[3]Standard!$B$9:$E$101,4,FALSE),IF(BA790="31-120 Days",VLOOKUP(D790,[3]Standard!$B$9:$F$101,5,FALSE),IF(BA790="121-365 Days",VLOOKUP(D790,[3]Standard!$B$9:$G$101,6,FALSE),VLOOKUP(D790,[3]Standard!$B$9:$H$101,7,FALSE)))),0)</f>
        <v>1311190</v>
      </c>
      <c r="L790" s="272">
        <f>IFERROR(IF(BA790="WIP - 30 Days",VLOOKUP(D790,[3]Standard!$B$9:$J$101,9,FALSE),IF(BA790="31-120 Days",VLOOKUP(D790,[3]Standard!$B$9:$K$100,10,FALSE),IF(BA790="121-365 Days",VLOOKUP(D790,[3]Standard!$B$9:$L$101,11,FALSE),VLOOKUP(D790,[3]Standard!$B$9:$M$101,12,FALSE)))),0)</f>
        <v>1273000</v>
      </c>
      <c r="M790" s="269">
        <f>IFERROR(VLOOKUP((D790&amp;C790)&amp;"",'[2]Retail Price List'!$C$4:$F$102,4,FALSE),"")</f>
        <v>1725000</v>
      </c>
      <c r="N790" s="269">
        <f>IFERROR(IF(BA790="WIP - 30 Days",VLOOKUP(D790,[3]Extended!$B$9:$E$101,4,FALSE),IF(BA790="31-120 Days",VLOOKUP(D790,[3]Extended!$B$9:$F$101,5,FALSE),IF(BA790="121-365 Days",VLOOKUP(D790,[3]Extended!$B$9:$G$101,6,FALSE),VLOOKUP(D790,[3]Extended!$B$9:$H$101,7,FALSE)))),0)</f>
        <v>1350330</v>
      </c>
      <c r="O790" s="269">
        <f>IFERROR(IF(BA790="WIP - 30 Days",VLOOKUP(D790,[3]Extended!$B$9:$J$101,9,FALSE),IF(BA790="31-120 Days",VLOOKUP(D790,[3]Extended!$B$9:$K$101,10,FALSE),IF(BA790="121-365 Days",VLOOKUP(D790,[3]Extended!$B$9:$L$101,11,FALSE),VLOOKUP(D790,[3]Extended!$B$9:$M$101,12,FALSE)))),0)</f>
        <v>1311000</v>
      </c>
      <c r="P790" s="116">
        <f t="shared" si="61"/>
        <v>0.24</v>
      </c>
      <c r="Q790" s="110" t="e">
        <f>O790-#REF!</f>
        <v>#REF!</v>
      </c>
      <c r="W790" s="311"/>
      <c r="X790" s="311"/>
      <c r="Y790" s="311"/>
      <c r="Z790" s="311"/>
      <c r="AA790" s="311"/>
      <c r="AB790" s="311"/>
      <c r="AC790" s="311"/>
      <c r="AT790" s="88" t="str">
        <f t="shared" si="62"/>
        <v>KP0006732017Q314,7</v>
      </c>
      <c r="AU790" s="89" t="str">
        <f t="shared" si="63"/>
        <v>07-2017</v>
      </c>
      <c r="BA790" s="92" t="str">
        <f t="shared" si="64"/>
        <v>WIP - 30 Days</v>
      </c>
    </row>
    <row r="791" spans="2:53">
      <c r="B791" s="60">
        <f>[2]Trucks!A788</f>
        <v>47448</v>
      </c>
      <c r="C791" s="11" t="str">
        <f>[2]Trucks!B788</f>
        <v>TGS-33-4406X4BBS-L</v>
      </c>
      <c r="D791" s="19" t="str">
        <f>IFERROR(VLOOKUP(C791&amp;"",'[2]Retail Price List'!$A$3:$B$103,2,FALSE),"Special Order")</f>
        <v>KP000673</v>
      </c>
      <c r="E791" s="18" t="str">
        <f>[2]Trucks!J788</f>
        <v>CKD</v>
      </c>
      <c r="F791" s="12" t="str">
        <f>[2]Trucks!E788</f>
        <v>2017-12-10</v>
      </c>
      <c r="G791" s="56">
        <f>[2]Trucks!K788</f>
        <v>14.7</v>
      </c>
      <c r="H791" s="46">
        <f>[2]Trucks!I788</f>
        <v>42937</v>
      </c>
      <c r="I791" s="83" t="str">
        <f t="shared" si="60"/>
        <v>2017Q3</v>
      </c>
      <c r="J791" s="272">
        <f>IFERROR(VLOOKUP((D791&amp;C791)&amp;"",'[2]Retail Price List'!$C$4:$F$102,3,FALSE),"")</f>
        <v>1675000</v>
      </c>
      <c r="K791" s="272">
        <f>IFERROR(IF(BA791="WIP - 30 Days",VLOOKUP(D791,[3]Standard!$B$9:$E$101,4,FALSE),IF(BA791="31-120 Days",VLOOKUP(D791,[3]Standard!$B$9:$F$101,5,FALSE),IF(BA791="121-365 Days",VLOOKUP(D791,[3]Standard!$B$9:$G$101,6,FALSE),VLOOKUP(D791,[3]Standard!$B$9:$H$101,7,FALSE)))),0)</f>
        <v>1311190</v>
      </c>
      <c r="L791" s="272">
        <f>IFERROR(IF(BA791="WIP - 30 Days",VLOOKUP(D791,[3]Standard!$B$9:$J$101,9,FALSE),IF(BA791="31-120 Days",VLOOKUP(D791,[3]Standard!$B$9:$K$100,10,FALSE),IF(BA791="121-365 Days",VLOOKUP(D791,[3]Standard!$B$9:$L$101,11,FALSE),VLOOKUP(D791,[3]Standard!$B$9:$M$101,12,FALSE)))),0)</f>
        <v>1273000</v>
      </c>
      <c r="M791" s="269">
        <f>IFERROR(VLOOKUP((D791&amp;C791)&amp;"",'[2]Retail Price List'!$C$4:$F$102,4,FALSE),"")</f>
        <v>1725000</v>
      </c>
      <c r="N791" s="269">
        <f>IFERROR(IF(BA791="WIP - 30 Days",VLOOKUP(D791,[3]Extended!$B$9:$E$101,4,FALSE),IF(BA791="31-120 Days",VLOOKUP(D791,[3]Extended!$B$9:$F$101,5,FALSE),IF(BA791="121-365 Days",VLOOKUP(D791,[3]Extended!$B$9:$G$101,6,FALSE),VLOOKUP(D791,[3]Extended!$B$9:$H$101,7,FALSE)))),0)</f>
        <v>1350330</v>
      </c>
      <c r="O791" s="269">
        <f>IFERROR(IF(BA791="WIP - 30 Days",VLOOKUP(D791,[3]Extended!$B$9:$J$101,9,FALSE),IF(BA791="31-120 Days",VLOOKUP(D791,[3]Extended!$B$9:$K$101,10,FALSE),IF(BA791="121-365 Days",VLOOKUP(D791,[3]Extended!$B$9:$L$101,11,FALSE),VLOOKUP(D791,[3]Extended!$B$9:$M$101,12,FALSE)))),0)</f>
        <v>1311000</v>
      </c>
      <c r="P791" s="116">
        <f t="shared" si="61"/>
        <v>0.24</v>
      </c>
      <c r="Q791" s="110" t="e">
        <f>O791-#REF!</f>
        <v>#REF!</v>
      </c>
      <c r="W791" s="311"/>
      <c r="X791" s="311"/>
      <c r="Y791" s="311"/>
      <c r="Z791" s="311"/>
      <c r="AA791" s="311"/>
      <c r="AB791" s="311"/>
      <c r="AC791" s="311"/>
      <c r="AT791" s="88" t="str">
        <f t="shared" si="62"/>
        <v>KP0006732017Q314,7</v>
      </c>
      <c r="AU791" s="89" t="str">
        <f t="shared" si="63"/>
        <v>07-2017</v>
      </c>
      <c r="BA791" s="92" t="str">
        <f t="shared" si="64"/>
        <v>WIP - 30 Days</v>
      </c>
    </row>
    <row r="792" spans="2:53">
      <c r="B792" s="60">
        <f>[2]Trucks!A789</f>
        <v>47449</v>
      </c>
      <c r="C792" s="11" t="str">
        <f>[2]Trucks!B789</f>
        <v>TGS-33-4406X4BBS-L</v>
      </c>
      <c r="D792" s="19" t="str">
        <f>IFERROR(VLOOKUP(C792&amp;"",'[2]Retail Price List'!$A$3:$B$103,2,FALSE),"Special Order")</f>
        <v>KP000673</v>
      </c>
      <c r="E792" s="18" t="str">
        <f>[2]Trucks!J789</f>
        <v>CKD</v>
      </c>
      <c r="F792" s="12" t="str">
        <f>[2]Trucks!E789</f>
        <v>2017-12-10</v>
      </c>
      <c r="G792" s="56">
        <f>[2]Trucks!K789</f>
        <v>14.7</v>
      </c>
      <c r="H792" s="46">
        <f>[2]Trucks!I789</f>
        <v>42937</v>
      </c>
      <c r="I792" s="83" t="str">
        <f t="shared" si="60"/>
        <v>2017Q3</v>
      </c>
      <c r="J792" s="272">
        <f>IFERROR(VLOOKUP((D792&amp;C792)&amp;"",'[2]Retail Price List'!$C$4:$F$102,3,FALSE),"")</f>
        <v>1675000</v>
      </c>
      <c r="K792" s="272">
        <f>IFERROR(IF(BA792="WIP - 30 Days",VLOOKUP(D792,[3]Standard!$B$9:$E$101,4,FALSE),IF(BA792="31-120 Days",VLOOKUP(D792,[3]Standard!$B$9:$F$101,5,FALSE),IF(BA792="121-365 Days",VLOOKUP(D792,[3]Standard!$B$9:$G$101,6,FALSE),VLOOKUP(D792,[3]Standard!$B$9:$H$101,7,FALSE)))),0)</f>
        <v>1311190</v>
      </c>
      <c r="L792" s="272">
        <f>IFERROR(IF(BA792="WIP - 30 Days",VLOOKUP(D792,[3]Standard!$B$9:$J$101,9,FALSE),IF(BA792="31-120 Days",VLOOKUP(D792,[3]Standard!$B$9:$K$100,10,FALSE),IF(BA792="121-365 Days",VLOOKUP(D792,[3]Standard!$B$9:$L$101,11,FALSE),VLOOKUP(D792,[3]Standard!$B$9:$M$101,12,FALSE)))),0)</f>
        <v>1273000</v>
      </c>
      <c r="M792" s="269">
        <f>IFERROR(VLOOKUP((D792&amp;C792)&amp;"",'[2]Retail Price List'!$C$4:$F$102,4,FALSE),"")</f>
        <v>1725000</v>
      </c>
      <c r="N792" s="269">
        <f>IFERROR(IF(BA792="WIP - 30 Days",VLOOKUP(D792,[3]Extended!$B$9:$E$101,4,FALSE),IF(BA792="31-120 Days",VLOOKUP(D792,[3]Extended!$B$9:$F$101,5,FALSE),IF(BA792="121-365 Days",VLOOKUP(D792,[3]Extended!$B$9:$G$101,6,FALSE),VLOOKUP(D792,[3]Extended!$B$9:$H$101,7,FALSE)))),0)</f>
        <v>1350330</v>
      </c>
      <c r="O792" s="269">
        <f>IFERROR(IF(BA792="WIP - 30 Days",VLOOKUP(D792,[3]Extended!$B$9:$J$101,9,FALSE),IF(BA792="31-120 Days",VLOOKUP(D792,[3]Extended!$B$9:$K$101,10,FALSE),IF(BA792="121-365 Days",VLOOKUP(D792,[3]Extended!$B$9:$L$101,11,FALSE),VLOOKUP(D792,[3]Extended!$B$9:$M$101,12,FALSE)))),0)</f>
        <v>1311000</v>
      </c>
      <c r="P792" s="116">
        <f t="shared" si="61"/>
        <v>0.24</v>
      </c>
      <c r="Q792" s="110" t="e">
        <f>O792-#REF!</f>
        <v>#REF!</v>
      </c>
      <c r="W792" s="311"/>
      <c r="X792" s="311"/>
      <c r="Y792" s="311"/>
      <c r="Z792" s="311"/>
      <c r="AA792" s="311"/>
      <c r="AB792" s="311"/>
      <c r="AC792" s="311"/>
      <c r="AT792" s="88" t="str">
        <f t="shared" si="62"/>
        <v>KP0006732017Q314,7</v>
      </c>
      <c r="AU792" s="89" t="str">
        <f t="shared" si="63"/>
        <v>07-2017</v>
      </c>
      <c r="BA792" s="92" t="str">
        <f t="shared" si="64"/>
        <v>WIP - 30 Days</v>
      </c>
    </row>
    <row r="793" spans="2:53">
      <c r="B793" s="60">
        <f>[2]Trucks!A790</f>
        <v>47450</v>
      </c>
      <c r="C793" s="11" t="str">
        <f>[2]Trucks!B790</f>
        <v>TGS-33-4406X4BBS-L</v>
      </c>
      <c r="D793" s="19" t="str">
        <f>IFERROR(VLOOKUP(C793&amp;"",'[2]Retail Price List'!$A$3:$B$103,2,FALSE),"Special Order")</f>
        <v>KP000673</v>
      </c>
      <c r="E793" s="18" t="str">
        <f>[2]Trucks!J790</f>
        <v>CKD</v>
      </c>
      <c r="F793" s="12" t="str">
        <f>[2]Trucks!E790</f>
        <v>2017-12-10</v>
      </c>
      <c r="G793" s="56">
        <f>[2]Trucks!K790</f>
        <v>14.7</v>
      </c>
      <c r="H793" s="46">
        <f>[2]Trucks!I790</f>
        <v>42937</v>
      </c>
      <c r="I793" s="83" t="str">
        <f t="shared" si="60"/>
        <v>2017Q3</v>
      </c>
      <c r="J793" s="272">
        <f>IFERROR(VLOOKUP((D793&amp;C793)&amp;"",'[2]Retail Price List'!$C$4:$F$102,3,FALSE),"")</f>
        <v>1675000</v>
      </c>
      <c r="K793" s="272">
        <f>IFERROR(IF(BA793="WIP - 30 Days",VLOOKUP(D793,[3]Standard!$B$9:$E$101,4,FALSE),IF(BA793="31-120 Days",VLOOKUP(D793,[3]Standard!$B$9:$F$101,5,FALSE),IF(BA793="121-365 Days",VLOOKUP(D793,[3]Standard!$B$9:$G$101,6,FALSE),VLOOKUP(D793,[3]Standard!$B$9:$H$101,7,FALSE)))),0)</f>
        <v>1311190</v>
      </c>
      <c r="L793" s="272">
        <f>IFERROR(IF(BA793="WIP - 30 Days",VLOOKUP(D793,[3]Standard!$B$9:$J$101,9,FALSE),IF(BA793="31-120 Days",VLOOKUP(D793,[3]Standard!$B$9:$K$100,10,FALSE),IF(BA793="121-365 Days",VLOOKUP(D793,[3]Standard!$B$9:$L$101,11,FALSE),VLOOKUP(D793,[3]Standard!$B$9:$M$101,12,FALSE)))),0)</f>
        <v>1273000</v>
      </c>
      <c r="M793" s="269">
        <f>IFERROR(VLOOKUP((D793&amp;C793)&amp;"",'[2]Retail Price List'!$C$4:$F$102,4,FALSE),"")</f>
        <v>1725000</v>
      </c>
      <c r="N793" s="269">
        <f>IFERROR(IF(BA793="WIP - 30 Days",VLOOKUP(D793,[3]Extended!$B$9:$E$101,4,FALSE),IF(BA793="31-120 Days",VLOOKUP(D793,[3]Extended!$B$9:$F$101,5,FALSE),IF(BA793="121-365 Days",VLOOKUP(D793,[3]Extended!$B$9:$G$101,6,FALSE),VLOOKUP(D793,[3]Extended!$B$9:$H$101,7,FALSE)))),0)</f>
        <v>1350330</v>
      </c>
      <c r="O793" s="269">
        <f>IFERROR(IF(BA793="WIP - 30 Days",VLOOKUP(D793,[3]Extended!$B$9:$J$101,9,FALSE),IF(BA793="31-120 Days",VLOOKUP(D793,[3]Extended!$B$9:$K$101,10,FALSE),IF(BA793="121-365 Days",VLOOKUP(D793,[3]Extended!$B$9:$L$101,11,FALSE),VLOOKUP(D793,[3]Extended!$B$9:$M$101,12,FALSE)))),0)</f>
        <v>1311000</v>
      </c>
      <c r="P793" s="116">
        <f t="shared" si="61"/>
        <v>0.24</v>
      </c>
      <c r="Q793" s="110" t="e">
        <f>O793-#REF!</f>
        <v>#REF!</v>
      </c>
      <c r="W793" s="311"/>
      <c r="X793" s="311"/>
      <c r="Y793" s="311"/>
      <c r="Z793" s="311"/>
      <c r="AA793" s="311"/>
      <c r="AB793" s="311"/>
      <c r="AC793" s="311"/>
      <c r="AT793" s="88" t="str">
        <f t="shared" si="62"/>
        <v>KP0006732017Q314,7</v>
      </c>
      <c r="AU793" s="89" t="str">
        <f t="shared" si="63"/>
        <v>07-2017</v>
      </c>
      <c r="BA793" s="92" t="str">
        <f t="shared" si="64"/>
        <v>WIP - 30 Days</v>
      </c>
    </row>
    <row r="794" spans="2:53">
      <c r="B794" s="60">
        <f>[2]Trucks!A791</f>
        <v>47451</v>
      </c>
      <c r="C794" s="11" t="str">
        <f>[2]Trucks!B791</f>
        <v>TGS-33-4406X4BBS-L</v>
      </c>
      <c r="D794" s="19" t="str">
        <f>IFERROR(VLOOKUP(C794&amp;"",'[2]Retail Price List'!$A$3:$B$103,2,FALSE),"Special Order")</f>
        <v>KP000673</v>
      </c>
      <c r="E794" s="18" t="str">
        <f>[2]Trucks!J791</f>
        <v>CKD</v>
      </c>
      <c r="F794" s="12" t="str">
        <f>[2]Trucks!E791</f>
        <v>2017-12-10</v>
      </c>
      <c r="G794" s="56">
        <f>[2]Trucks!K791</f>
        <v>14.7</v>
      </c>
      <c r="H794" s="46">
        <f>[2]Trucks!I791</f>
        <v>42937</v>
      </c>
      <c r="I794" s="83" t="str">
        <f t="shared" si="60"/>
        <v>2017Q3</v>
      </c>
      <c r="J794" s="272">
        <f>IFERROR(VLOOKUP((D794&amp;C794)&amp;"",'[2]Retail Price List'!$C$4:$F$102,3,FALSE),"")</f>
        <v>1675000</v>
      </c>
      <c r="K794" s="272">
        <f>IFERROR(IF(BA794="WIP - 30 Days",VLOOKUP(D794,[3]Standard!$B$9:$E$101,4,FALSE),IF(BA794="31-120 Days",VLOOKUP(D794,[3]Standard!$B$9:$F$101,5,FALSE),IF(BA794="121-365 Days",VLOOKUP(D794,[3]Standard!$B$9:$G$101,6,FALSE),VLOOKUP(D794,[3]Standard!$B$9:$H$101,7,FALSE)))),0)</f>
        <v>1311190</v>
      </c>
      <c r="L794" s="272">
        <f>IFERROR(IF(BA794="WIP - 30 Days",VLOOKUP(D794,[3]Standard!$B$9:$J$101,9,FALSE),IF(BA794="31-120 Days",VLOOKUP(D794,[3]Standard!$B$9:$K$100,10,FALSE),IF(BA794="121-365 Days",VLOOKUP(D794,[3]Standard!$B$9:$L$101,11,FALSE),VLOOKUP(D794,[3]Standard!$B$9:$M$101,12,FALSE)))),0)</f>
        <v>1273000</v>
      </c>
      <c r="M794" s="269">
        <f>IFERROR(VLOOKUP((D794&amp;C794)&amp;"",'[2]Retail Price List'!$C$4:$F$102,4,FALSE),"")</f>
        <v>1725000</v>
      </c>
      <c r="N794" s="269">
        <f>IFERROR(IF(BA794="WIP - 30 Days",VLOOKUP(D794,[3]Extended!$B$9:$E$101,4,FALSE),IF(BA794="31-120 Days",VLOOKUP(D794,[3]Extended!$B$9:$F$101,5,FALSE),IF(BA794="121-365 Days",VLOOKUP(D794,[3]Extended!$B$9:$G$101,6,FALSE),VLOOKUP(D794,[3]Extended!$B$9:$H$101,7,FALSE)))),0)</f>
        <v>1350330</v>
      </c>
      <c r="O794" s="269">
        <f>IFERROR(IF(BA794="WIP - 30 Days",VLOOKUP(D794,[3]Extended!$B$9:$J$101,9,FALSE),IF(BA794="31-120 Days",VLOOKUP(D794,[3]Extended!$B$9:$K$101,10,FALSE),IF(BA794="121-365 Days",VLOOKUP(D794,[3]Extended!$B$9:$L$101,11,FALSE),VLOOKUP(D794,[3]Extended!$B$9:$M$101,12,FALSE)))),0)</f>
        <v>1311000</v>
      </c>
      <c r="P794" s="116">
        <f t="shared" si="61"/>
        <v>0.24</v>
      </c>
      <c r="Q794" s="110" t="e">
        <f>O794-#REF!</f>
        <v>#REF!</v>
      </c>
      <c r="W794" s="311"/>
      <c r="X794" s="311"/>
      <c r="Y794" s="311"/>
      <c r="Z794" s="311"/>
      <c r="AA794" s="311"/>
      <c r="AB794" s="311"/>
      <c r="AC794" s="311"/>
      <c r="AT794" s="88" t="str">
        <f t="shared" si="62"/>
        <v>KP0006732017Q314,7</v>
      </c>
      <c r="AU794" s="89" t="str">
        <f t="shared" si="63"/>
        <v>07-2017</v>
      </c>
      <c r="BA794" s="92" t="str">
        <f t="shared" si="64"/>
        <v>WIP - 30 Days</v>
      </c>
    </row>
    <row r="795" spans="2:53">
      <c r="B795" s="60">
        <f>[2]Trucks!A792</f>
        <v>47452</v>
      </c>
      <c r="C795" s="11" t="str">
        <f>[2]Trucks!B792</f>
        <v>TGS-33-4406X4BBS-L</v>
      </c>
      <c r="D795" s="19" t="str">
        <f>IFERROR(VLOOKUP(C795&amp;"",'[2]Retail Price List'!$A$3:$B$103,2,FALSE),"Special Order")</f>
        <v>KP000673</v>
      </c>
      <c r="E795" s="18" t="str">
        <f>[2]Trucks!J792</f>
        <v>CKD</v>
      </c>
      <c r="F795" s="12" t="str">
        <f>[2]Trucks!E792</f>
        <v>2017-12-10</v>
      </c>
      <c r="G795" s="56">
        <f>[2]Trucks!K792</f>
        <v>14.7</v>
      </c>
      <c r="H795" s="46">
        <f>[2]Trucks!I792</f>
        <v>42937</v>
      </c>
      <c r="I795" s="83" t="str">
        <f t="shared" si="60"/>
        <v>2017Q3</v>
      </c>
      <c r="J795" s="272">
        <f>IFERROR(VLOOKUP((D795&amp;C795)&amp;"",'[2]Retail Price List'!$C$4:$F$102,3,FALSE),"")</f>
        <v>1675000</v>
      </c>
      <c r="K795" s="272">
        <f>IFERROR(IF(BA795="WIP - 30 Days",VLOOKUP(D795,[3]Standard!$B$9:$E$101,4,FALSE),IF(BA795="31-120 Days",VLOOKUP(D795,[3]Standard!$B$9:$F$101,5,FALSE),IF(BA795="121-365 Days",VLOOKUP(D795,[3]Standard!$B$9:$G$101,6,FALSE),VLOOKUP(D795,[3]Standard!$B$9:$H$101,7,FALSE)))),0)</f>
        <v>1311190</v>
      </c>
      <c r="L795" s="272">
        <f>IFERROR(IF(BA795="WIP - 30 Days",VLOOKUP(D795,[3]Standard!$B$9:$J$101,9,FALSE),IF(BA795="31-120 Days",VLOOKUP(D795,[3]Standard!$B$9:$K$100,10,FALSE),IF(BA795="121-365 Days",VLOOKUP(D795,[3]Standard!$B$9:$L$101,11,FALSE),VLOOKUP(D795,[3]Standard!$B$9:$M$101,12,FALSE)))),0)</f>
        <v>1273000</v>
      </c>
      <c r="M795" s="269">
        <f>IFERROR(VLOOKUP((D795&amp;C795)&amp;"",'[2]Retail Price List'!$C$4:$F$102,4,FALSE),"")</f>
        <v>1725000</v>
      </c>
      <c r="N795" s="269">
        <f>IFERROR(IF(BA795="WIP - 30 Days",VLOOKUP(D795,[3]Extended!$B$9:$E$101,4,FALSE),IF(BA795="31-120 Days",VLOOKUP(D795,[3]Extended!$B$9:$F$101,5,FALSE),IF(BA795="121-365 Days",VLOOKUP(D795,[3]Extended!$B$9:$G$101,6,FALSE),VLOOKUP(D795,[3]Extended!$B$9:$H$101,7,FALSE)))),0)</f>
        <v>1350330</v>
      </c>
      <c r="O795" s="269">
        <f>IFERROR(IF(BA795="WIP - 30 Days",VLOOKUP(D795,[3]Extended!$B$9:$J$101,9,FALSE),IF(BA795="31-120 Days",VLOOKUP(D795,[3]Extended!$B$9:$K$101,10,FALSE),IF(BA795="121-365 Days",VLOOKUP(D795,[3]Extended!$B$9:$L$101,11,FALSE),VLOOKUP(D795,[3]Extended!$B$9:$M$101,12,FALSE)))),0)</f>
        <v>1311000</v>
      </c>
      <c r="P795" s="116">
        <f t="shared" si="61"/>
        <v>0.24</v>
      </c>
      <c r="Q795" s="110" t="e">
        <f>O795-#REF!</f>
        <v>#REF!</v>
      </c>
      <c r="W795" s="311"/>
      <c r="X795" s="311"/>
      <c r="Y795" s="311"/>
      <c r="Z795" s="311"/>
      <c r="AA795" s="311"/>
      <c r="AB795" s="311"/>
      <c r="AC795" s="311"/>
      <c r="AT795" s="88" t="str">
        <f t="shared" si="62"/>
        <v>KP0006732017Q314,7</v>
      </c>
      <c r="AU795" s="89" t="str">
        <f t="shared" si="63"/>
        <v>07-2017</v>
      </c>
      <c r="BA795" s="92" t="str">
        <f t="shared" si="64"/>
        <v>WIP - 30 Days</v>
      </c>
    </row>
    <row r="796" spans="2:53">
      <c r="B796" s="60" t="str">
        <f>[2]Trucks!A793</f>
        <v>76W-8113</v>
      </c>
      <c r="C796" s="11" t="str">
        <f>[2]Trucks!B793</f>
        <v>TGS-33-4406X4BBS-L</v>
      </c>
      <c r="D796" s="19" t="str">
        <f>IFERROR(VLOOKUP(C796&amp;"",'[2]Retail Price List'!$A$3:$B$103,2,FALSE),"Special Order")</f>
        <v>KP000673</v>
      </c>
      <c r="E796" s="18" t="str">
        <f>[2]Trucks!J793</f>
        <v>DEMO</v>
      </c>
      <c r="F796" s="12">
        <f>[2]Trucks!E793</f>
        <v>407</v>
      </c>
      <c r="G796" s="56">
        <f>[2]Trucks!K793</f>
        <v>15.2</v>
      </c>
      <c r="H796" s="46">
        <f>[2]Trucks!I793</f>
        <v>42355</v>
      </c>
      <c r="I796" s="83" t="str">
        <f t="shared" si="60"/>
        <v/>
      </c>
      <c r="J796" s="272">
        <f>IFERROR(VLOOKUP((D796&amp;C796)&amp;"",'[2]Retail Price List'!$C$4:$F$102,3,FALSE),"")</f>
        <v>1675000</v>
      </c>
      <c r="K796" s="272">
        <f>IFERROR(IF(BA796="WIP - 30 Days",VLOOKUP(D796,[3]Standard!$B$9:$E$101,4,FALSE),IF(BA796="31-120 Days",VLOOKUP(D796,[3]Standard!$B$9:$F$101,5,FALSE),IF(BA796="121-365 Days",VLOOKUP(D796,[3]Standard!$B$9:$G$101,6,FALSE),VLOOKUP(D796,[3]Standard!$B$9:$H$101,7,FALSE)))),0)</f>
        <v>1201262.6262626264</v>
      </c>
      <c r="L796" s="272">
        <f>IFERROR(IF(BA796="WIP - 30 Days",VLOOKUP(D796,[3]Standard!$B$9:$J$101,9,FALSE),IF(BA796="31-120 Days",VLOOKUP(D796,[3]Standard!$B$9:$K$100,10,FALSE),IF(BA796="121-365 Days",VLOOKUP(D796,[3]Standard!$B$9:$L$101,11,FALSE),VLOOKUP(D796,[3]Standard!$B$9:$M$101,12,FALSE)))),0)</f>
        <v>1189250</v>
      </c>
      <c r="M796" s="269">
        <f>IFERROR(VLOOKUP((D796&amp;C796)&amp;"",'[2]Retail Price List'!$C$4:$F$102,4,FALSE),"")</f>
        <v>1725000</v>
      </c>
      <c r="N796" s="269">
        <f>IFERROR(IF(BA796="WIP - 30 Days",VLOOKUP(D796,[3]Extended!$B$9:$E$101,4,FALSE),IF(BA796="31-120 Days",VLOOKUP(D796,[3]Extended!$B$9:$F$101,5,FALSE),IF(BA796="121-365 Days",VLOOKUP(D796,[3]Extended!$B$9:$G$101,6,FALSE),VLOOKUP(D796,[3]Extended!$B$9:$H$101,7,FALSE)))),0)</f>
        <v>1237121.2121212122</v>
      </c>
      <c r="O796" s="269">
        <f>IFERROR(IF(BA796="WIP - 30 Days",VLOOKUP(D796,[3]Extended!$B$9:$J$101,9,FALSE),IF(BA796="31-120 Days",VLOOKUP(D796,[3]Extended!$B$9:$K$101,10,FALSE),IF(BA796="121-365 Days",VLOOKUP(D796,[3]Extended!$B$9:$L$101,11,FALSE),VLOOKUP(D796,[3]Extended!$B$9:$M$101,12,FALSE)))),0)</f>
        <v>1224750</v>
      </c>
      <c r="P796" s="116">
        <f t="shared" si="61"/>
        <v>0.28999999999999998</v>
      </c>
      <c r="Q796" s="110" t="e">
        <f>O796-#REF!</f>
        <v>#REF!</v>
      </c>
      <c r="W796" s="311"/>
      <c r="X796" s="311"/>
      <c r="Y796" s="311"/>
      <c r="Z796" s="311"/>
      <c r="AA796" s="311"/>
      <c r="AB796" s="311"/>
      <c r="AC796" s="311"/>
      <c r="AT796" s="88" t="str">
        <f t="shared" si="62"/>
        <v>KP00067315,2</v>
      </c>
      <c r="AU796" s="89" t="str">
        <f t="shared" si="63"/>
        <v>12-2015</v>
      </c>
      <c r="BA796" s="92" t="str">
        <f t="shared" si="64"/>
        <v>&gt;365 Days</v>
      </c>
    </row>
    <row r="797" spans="2:53">
      <c r="B797" s="60" t="str">
        <f>[2]Trucks!A794</f>
        <v>TBAKP673</v>
      </c>
      <c r="C797" s="11" t="str">
        <f>[2]Trucks!B794</f>
        <v>TGS-33-4406X4BBS-L</v>
      </c>
      <c r="D797" s="19" t="str">
        <f>IFERROR(VLOOKUP(C797&amp;"",'[2]Retail Price List'!$A$3:$B$103,2,FALSE),"Special Order")</f>
        <v>KP000673</v>
      </c>
      <c r="E797" s="18" t="str">
        <f>[2]Trucks!J794</f>
        <v>CKD</v>
      </c>
      <c r="F797" s="12" t="str">
        <f>[2]Trucks!E794</f>
        <v>2018-02-15</v>
      </c>
      <c r="G797" s="56">
        <f>[2]Trucks!K794</f>
        <v>14.7</v>
      </c>
      <c r="H797" s="46">
        <f>[2]Trucks!I794</f>
        <v>42921</v>
      </c>
      <c r="I797" s="83" t="str">
        <f t="shared" si="60"/>
        <v>2017Q3</v>
      </c>
      <c r="J797" s="272">
        <f>IFERROR(VLOOKUP((D797&amp;C797)&amp;"",'[2]Retail Price List'!$C$4:$F$102,3,FALSE),"")</f>
        <v>1675000</v>
      </c>
      <c r="K797" s="272">
        <f>IFERROR(IF(BA797="WIP - 30 Days",VLOOKUP(D797,[3]Standard!$B$9:$E$101,4,FALSE),IF(BA797="31-120 Days",VLOOKUP(D797,[3]Standard!$B$9:$F$101,5,FALSE),IF(BA797="121-365 Days",VLOOKUP(D797,[3]Standard!$B$9:$G$101,6,FALSE),VLOOKUP(D797,[3]Standard!$B$9:$H$101,7,FALSE)))),0)</f>
        <v>1311190</v>
      </c>
      <c r="L797" s="272">
        <f>IFERROR(IF(BA797="WIP - 30 Days",VLOOKUP(D797,[3]Standard!$B$9:$J$101,9,FALSE),IF(BA797="31-120 Days",VLOOKUP(D797,[3]Standard!$B$9:$K$100,10,FALSE),IF(BA797="121-365 Days",VLOOKUP(D797,[3]Standard!$B$9:$L$101,11,FALSE),VLOOKUP(D797,[3]Standard!$B$9:$M$101,12,FALSE)))),0)</f>
        <v>1273000</v>
      </c>
      <c r="M797" s="269">
        <f>IFERROR(VLOOKUP((D797&amp;C797)&amp;"",'[2]Retail Price List'!$C$4:$F$102,4,FALSE),"")</f>
        <v>1725000</v>
      </c>
      <c r="N797" s="269">
        <f>IFERROR(IF(BA797="WIP - 30 Days",VLOOKUP(D797,[3]Extended!$B$9:$E$101,4,FALSE),IF(BA797="31-120 Days",VLOOKUP(D797,[3]Extended!$B$9:$F$101,5,FALSE),IF(BA797="121-365 Days",VLOOKUP(D797,[3]Extended!$B$9:$G$101,6,FALSE),VLOOKUP(D797,[3]Extended!$B$9:$H$101,7,FALSE)))),0)</f>
        <v>1350330</v>
      </c>
      <c r="O797" s="269">
        <f>IFERROR(IF(BA797="WIP - 30 Days",VLOOKUP(D797,[3]Extended!$B$9:$J$101,9,FALSE),IF(BA797="31-120 Days",VLOOKUP(D797,[3]Extended!$B$9:$K$101,10,FALSE),IF(BA797="121-365 Days",VLOOKUP(D797,[3]Extended!$B$9:$L$101,11,FALSE),VLOOKUP(D797,[3]Extended!$B$9:$M$101,12,FALSE)))),0)</f>
        <v>1311000</v>
      </c>
      <c r="P797" s="116">
        <f t="shared" si="61"/>
        <v>0.24</v>
      </c>
      <c r="Q797" s="110" t="e">
        <f>O797-#REF!</f>
        <v>#REF!</v>
      </c>
      <c r="W797" s="311"/>
      <c r="X797" s="311"/>
      <c r="Y797" s="311"/>
      <c r="Z797" s="311"/>
      <c r="AA797" s="311"/>
      <c r="AB797" s="311"/>
      <c r="AC797" s="311"/>
      <c r="AT797" s="88" t="str">
        <f t="shared" si="62"/>
        <v>KP0006732017Q314,7</v>
      </c>
      <c r="AU797" s="89" t="str">
        <f t="shared" si="63"/>
        <v>07-2017</v>
      </c>
      <c r="BA797" s="92" t="str">
        <f t="shared" si="64"/>
        <v>WIP - 30 Days</v>
      </c>
    </row>
    <row r="798" spans="2:53">
      <c r="B798" s="60">
        <f>[2]Trucks!A795</f>
        <v>46956</v>
      </c>
      <c r="C798" s="11" t="str">
        <f>[2]Trucks!B795</f>
        <v>TGS-33-4806X4BB-M</v>
      </c>
      <c r="D798" s="19" t="str">
        <f>IFERROR(VLOOKUP(C798&amp;"",'[2]Retail Price List'!$A$3:$B$103,2,FALSE),"Special Order")</f>
        <v>KP000678</v>
      </c>
      <c r="E798" s="18" t="str">
        <f>[2]Trucks!J795</f>
        <v>CKD</v>
      </c>
      <c r="F798" s="12" t="str">
        <f>[2]Trucks!E795</f>
        <v>2017-11-10</v>
      </c>
      <c r="G798" s="56">
        <f>[2]Trucks!K795</f>
        <v>14.7</v>
      </c>
      <c r="H798" s="46">
        <f>[2]Trucks!I795</f>
        <v>42859</v>
      </c>
      <c r="I798" s="83" t="str">
        <f t="shared" si="60"/>
        <v>2017Q2</v>
      </c>
      <c r="J798" s="272">
        <f>IFERROR(VLOOKUP((D798&amp;C798)&amp;"",'[2]Retail Price List'!$C$4:$F$102,3,FALSE),"")</f>
        <v>1710000</v>
      </c>
      <c r="K798" s="272">
        <f>IFERROR(IF(BA798="WIP - 30 Days",VLOOKUP(D798,[3]Standard!$B$9:$E$101,4,FALSE),IF(BA798="31-120 Days",VLOOKUP(D798,[3]Standard!$B$9:$F$101,5,FALSE),IF(BA798="121-365 Days",VLOOKUP(D798,[3]Standard!$B$9:$G$101,6,FALSE),VLOOKUP(D798,[3]Standard!$B$9:$H$101,7,FALSE)))),0)</f>
        <v>1276942.5</v>
      </c>
      <c r="L798" s="272">
        <f>IFERROR(IF(BA798="WIP - 30 Days",VLOOKUP(D798,[3]Standard!$B$9:$J$101,9,FALSE),IF(BA798="31-120 Days",VLOOKUP(D798,[3]Standard!$B$9:$K$100,10,FALSE),IF(BA798="121-365 Days",VLOOKUP(D798,[3]Standard!$B$9:$L$101,11,FALSE),VLOOKUP(D798,[3]Standard!$B$9:$M$101,12,FALSE)))),0)</f>
        <v>1239750</v>
      </c>
      <c r="M798" s="269">
        <f>IFERROR(VLOOKUP((D798&amp;C798)&amp;"",'[2]Retail Price List'!$C$4:$F$102,4,FALSE),"")</f>
        <v>1750000</v>
      </c>
      <c r="N798" s="269">
        <f>IFERROR(IF(BA798="WIP - 30 Days",VLOOKUP(D798,[3]Extended!$B$9:$E$101,4,FALSE),IF(BA798="31-120 Days",VLOOKUP(D798,[3]Extended!$B$9:$F$101,5,FALSE),IF(BA798="121-365 Days",VLOOKUP(D798,[3]Extended!$B$9:$G$101,6,FALSE),VLOOKUP(D798,[3]Extended!$B$9:$H$101,7,FALSE)))),0)</f>
        <v>1306812.5</v>
      </c>
      <c r="O798" s="269">
        <f>IFERROR(IF(BA798="WIP - 30 Days",VLOOKUP(D798,[3]Extended!$B$9:$J$101,9,FALSE),IF(BA798="31-120 Days",VLOOKUP(D798,[3]Extended!$B$9:$K$101,10,FALSE),IF(BA798="121-365 Days",VLOOKUP(D798,[3]Extended!$B$9:$L$101,11,FALSE),VLOOKUP(D798,[3]Extended!$B$9:$M$101,12,FALSE)))),0)</f>
        <v>1268750</v>
      </c>
      <c r="P798" s="116">
        <f t="shared" si="61"/>
        <v>0.27500000000000002</v>
      </c>
      <c r="Q798" s="110" t="e">
        <f>O798-#REF!</f>
        <v>#REF!</v>
      </c>
      <c r="W798" s="311"/>
      <c r="X798" s="311"/>
      <c r="Y798" s="311"/>
      <c r="Z798" s="311"/>
      <c r="AA798" s="311"/>
      <c r="AB798" s="311"/>
      <c r="AC798" s="311"/>
      <c r="AT798" s="88" t="str">
        <f t="shared" si="62"/>
        <v>KP0006782017Q214,7</v>
      </c>
      <c r="AU798" s="89" t="str">
        <f t="shared" si="63"/>
        <v>05-2017</v>
      </c>
      <c r="BA798" s="92" t="str">
        <f t="shared" si="64"/>
        <v>WIP - 30 Days</v>
      </c>
    </row>
    <row r="799" spans="2:53">
      <c r="B799" s="60">
        <f>[2]Trucks!A796</f>
        <v>46957</v>
      </c>
      <c r="C799" s="11" t="str">
        <f>[2]Trucks!B796</f>
        <v>TGS-33-4806X4BB-M</v>
      </c>
      <c r="D799" s="19" t="str">
        <f>IFERROR(VLOOKUP(C799&amp;"",'[2]Retail Price List'!$A$3:$B$103,2,FALSE),"Special Order")</f>
        <v>KP000678</v>
      </c>
      <c r="E799" s="18" t="str">
        <f>[2]Trucks!J796</f>
        <v>CKD</v>
      </c>
      <c r="F799" s="12" t="str">
        <f>[2]Trucks!E796</f>
        <v>2017-11-10</v>
      </c>
      <c r="G799" s="56">
        <f>[2]Trucks!K796</f>
        <v>14.7</v>
      </c>
      <c r="H799" s="46">
        <f>[2]Trucks!I796</f>
        <v>42859</v>
      </c>
      <c r="I799" s="83" t="str">
        <f t="shared" si="60"/>
        <v>2017Q2</v>
      </c>
      <c r="J799" s="272">
        <f>IFERROR(VLOOKUP((D799&amp;C799)&amp;"",'[2]Retail Price List'!$C$4:$F$102,3,FALSE),"")</f>
        <v>1710000</v>
      </c>
      <c r="K799" s="272">
        <f>IFERROR(IF(BA799="WIP - 30 Days",VLOOKUP(D799,[3]Standard!$B$9:$E$101,4,FALSE),IF(BA799="31-120 Days",VLOOKUP(D799,[3]Standard!$B$9:$F$101,5,FALSE),IF(BA799="121-365 Days",VLOOKUP(D799,[3]Standard!$B$9:$G$101,6,FALSE),VLOOKUP(D799,[3]Standard!$B$9:$H$101,7,FALSE)))),0)</f>
        <v>1276942.5</v>
      </c>
      <c r="L799" s="272">
        <f>IFERROR(IF(BA799="WIP - 30 Days",VLOOKUP(D799,[3]Standard!$B$9:$J$101,9,FALSE),IF(BA799="31-120 Days",VLOOKUP(D799,[3]Standard!$B$9:$K$100,10,FALSE),IF(BA799="121-365 Days",VLOOKUP(D799,[3]Standard!$B$9:$L$101,11,FALSE),VLOOKUP(D799,[3]Standard!$B$9:$M$101,12,FALSE)))),0)</f>
        <v>1239750</v>
      </c>
      <c r="M799" s="269">
        <f>IFERROR(VLOOKUP((D799&amp;C799)&amp;"",'[2]Retail Price List'!$C$4:$F$102,4,FALSE),"")</f>
        <v>1750000</v>
      </c>
      <c r="N799" s="269">
        <f>IFERROR(IF(BA799="WIP - 30 Days",VLOOKUP(D799,[3]Extended!$B$9:$E$101,4,FALSE),IF(BA799="31-120 Days",VLOOKUP(D799,[3]Extended!$B$9:$F$101,5,FALSE),IF(BA799="121-365 Days",VLOOKUP(D799,[3]Extended!$B$9:$G$101,6,FALSE),VLOOKUP(D799,[3]Extended!$B$9:$H$101,7,FALSE)))),0)</f>
        <v>1306812.5</v>
      </c>
      <c r="O799" s="269">
        <f>IFERROR(IF(BA799="WIP - 30 Days",VLOOKUP(D799,[3]Extended!$B$9:$J$101,9,FALSE),IF(BA799="31-120 Days",VLOOKUP(D799,[3]Extended!$B$9:$K$101,10,FALSE),IF(BA799="121-365 Days",VLOOKUP(D799,[3]Extended!$B$9:$L$101,11,FALSE),VLOOKUP(D799,[3]Extended!$B$9:$M$101,12,FALSE)))),0)</f>
        <v>1268750</v>
      </c>
      <c r="P799" s="116">
        <f t="shared" si="61"/>
        <v>0.27500000000000002</v>
      </c>
      <c r="Q799" s="110" t="e">
        <f>O799-#REF!</f>
        <v>#REF!</v>
      </c>
      <c r="W799" s="311"/>
      <c r="X799" s="311"/>
      <c r="Y799" s="311"/>
      <c r="Z799" s="311"/>
      <c r="AA799" s="311"/>
      <c r="AB799" s="311"/>
      <c r="AC799" s="311"/>
      <c r="AT799" s="88" t="str">
        <f t="shared" si="62"/>
        <v>KP0006782017Q214,7</v>
      </c>
      <c r="AU799" s="89" t="str">
        <f t="shared" si="63"/>
        <v>05-2017</v>
      </c>
      <c r="BA799" s="92" t="str">
        <f t="shared" si="64"/>
        <v>WIP - 30 Days</v>
      </c>
    </row>
    <row r="800" spans="2:53">
      <c r="B800" s="60">
        <f>[2]Trucks!A797</f>
        <v>47253</v>
      </c>
      <c r="C800" s="11" t="str">
        <f>[2]Trucks!B797</f>
        <v>TGS-33-4806X4BB-M</v>
      </c>
      <c r="D800" s="19" t="str">
        <f>IFERROR(VLOOKUP(C800&amp;"",'[2]Retail Price List'!$A$3:$B$103,2,FALSE),"Special Order")</f>
        <v>KP000678</v>
      </c>
      <c r="E800" s="18" t="str">
        <f>[2]Trucks!J797</f>
        <v>CKD</v>
      </c>
      <c r="F800" s="12" t="str">
        <f>[2]Trucks!E797</f>
        <v>2017-12-31</v>
      </c>
      <c r="G800" s="56">
        <f>[2]Trucks!K797</f>
        <v>14.7</v>
      </c>
      <c r="H800" s="46">
        <f>[2]Trucks!I797</f>
        <v>42909</v>
      </c>
      <c r="I800" s="83" t="str">
        <f t="shared" si="60"/>
        <v>2017Q2</v>
      </c>
      <c r="J800" s="272">
        <f>IFERROR(VLOOKUP((D800&amp;C800)&amp;"",'[2]Retail Price List'!$C$4:$F$102,3,FALSE),"")</f>
        <v>1710000</v>
      </c>
      <c r="K800" s="272">
        <f>IFERROR(IF(BA800="WIP - 30 Days",VLOOKUP(D800,[3]Standard!$B$9:$E$101,4,FALSE),IF(BA800="31-120 Days",VLOOKUP(D800,[3]Standard!$B$9:$F$101,5,FALSE),IF(BA800="121-365 Days",VLOOKUP(D800,[3]Standard!$B$9:$G$101,6,FALSE),VLOOKUP(D800,[3]Standard!$B$9:$H$101,7,FALSE)))),0)</f>
        <v>1276942.5</v>
      </c>
      <c r="L800" s="272">
        <f>IFERROR(IF(BA800="WIP - 30 Days",VLOOKUP(D800,[3]Standard!$B$9:$J$101,9,FALSE),IF(BA800="31-120 Days",VLOOKUP(D800,[3]Standard!$B$9:$K$100,10,FALSE),IF(BA800="121-365 Days",VLOOKUP(D800,[3]Standard!$B$9:$L$101,11,FALSE),VLOOKUP(D800,[3]Standard!$B$9:$M$101,12,FALSE)))),0)</f>
        <v>1239750</v>
      </c>
      <c r="M800" s="269">
        <f>IFERROR(VLOOKUP((D800&amp;C800)&amp;"",'[2]Retail Price List'!$C$4:$F$102,4,FALSE),"")</f>
        <v>1750000</v>
      </c>
      <c r="N800" s="269">
        <f>IFERROR(IF(BA800="WIP - 30 Days",VLOOKUP(D800,[3]Extended!$B$9:$E$101,4,FALSE),IF(BA800="31-120 Days",VLOOKUP(D800,[3]Extended!$B$9:$F$101,5,FALSE),IF(BA800="121-365 Days",VLOOKUP(D800,[3]Extended!$B$9:$G$101,6,FALSE),VLOOKUP(D800,[3]Extended!$B$9:$H$101,7,FALSE)))),0)</f>
        <v>1306812.5</v>
      </c>
      <c r="O800" s="269">
        <f>IFERROR(IF(BA800="WIP - 30 Days",VLOOKUP(D800,[3]Extended!$B$9:$J$101,9,FALSE),IF(BA800="31-120 Days",VLOOKUP(D800,[3]Extended!$B$9:$K$101,10,FALSE),IF(BA800="121-365 Days",VLOOKUP(D800,[3]Extended!$B$9:$L$101,11,FALSE),VLOOKUP(D800,[3]Extended!$B$9:$M$101,12,FALSE)))),0)</f>
        <v>1268750</v>
      </c>
      <c r="P800" s="116">
        <f t="shared" si="61"/>
        <v>0.27500000000000002</v>
      </c>
      <c r="Q800" s="110" t="e">
        <f>O800-#REF!</f>
        <v>#REF!</v>
      </c>
      <c r="W800" s="311"/>
      <c r="X800" s="311"/>
      <c r="Y800" s="311"/>
      <c r="Z800" s="311"/>
      <c r="AA800" s="311"/>
      <c r="AB800" s="311"/>
      <c r="AC800" s="311"/>
      <c r="AT800" s="88" t="str">
        <f t="shared" si="62"/>
        <v>KP0006782017Q214,7</v>
      </c>
      <c r="AU800" s="89" t="str">
        <f t="shared" si="63"/>
        <v>06-2017</v>
      </c>
      <c r="BA800" s="92" t="str">
        <f t="shared" si="64"/>
        <v>WIP - 30 Days</v>
      </c>
    </row>
    <row r="801" spans="2:53">
      <c r="B801" s="60">
        <f>[2]Trucks!A798</f>
        <v>47255</v>
      </c>
      <c r="C801" s="11" t="str">
        <f>[2]Trucks!B798</f>
        <v>TGS-33-4806X4BB-M</v>
      </c>
      <c r="D801" s="19" t="str">
        <f>IFERROR(VLOOKUP(C801&amp;"",'[2]Retail Price List'!$A$3:$B$103,2,FALSE),"Special Order")</f>
        <v>KP000678</v>
      </c>
      <c r="E801" s="18" t="str">
        <f>[2]Trucks!J798</f>
        <v>CKD</v>
      </c>
      <c r="F801" s="12" t="str">
        <f>[2]Trucks!E798</f>
        <v>2017-12-31</v>
      </c>
      <c r="G801" s="56">
        <f>[2]Trucks!K798</f>
        <v>14.7</v>
      </c>
      <c r="H801" s="46">
        <f>[2]Trucks!I798</f>
        <v>42909</v>
      </c>
      <c r="I801" s="83" t="str">
        <f t="shared" si="60"/>
        <v>2017Q2</v>
      </c>
      <c r="J801" s="272">
        <f>IFERROR(VLOOKUP((D801&amp;C801)&amp;"",'[2]Retail Price List'!$C$4:$F$102,3,FALSE),"")</f>
        <v>1710000</v>
      </c>
      <c r="K801" s="272">
        <f>IFERROR(IF(BA801="WIP - 30 Days",VLOOKUP(D801,[3]Standard!$B$9:$E$101,4,FALSE),IF(BA801="31-120 Days",VLOOKUP(D801,[3]Standard!$B$9:$F$101,5,FALSE),IF(BA801="121-365 Days",VLOOKUP(D801,[3]Standard!$B$9:$G$101,6,FALSE),VLOOKUP(D801,[3]Standard!$B$9:$H$101,7,FALSE)))),0)</f>
        <v>1276942.5</v>
      </c>
      <c r="L801" s="272">
        <f>IFERROR(IF(BA801="WIP - 30 Days",VLOOKUP(D801,[3]Standard!$B$9:$J$101,9,FALSE),IF(BA801="31-120 Days",VLOOKUP(D801,[3]Standard!$B$9:$K$100,10,FALSE),IF(BA801="121-365 Days",VLOOKUP(D801,[3]Standard!$B$9:$L$101,11,FALSE),VLOOKUP(D801,[3]Standard!$B$9:$M$101,12,FALSE)))),0)</f>
        <v>1239750</v>
      </c>
      <c r="M801" s="269">
        <f>IFERROR(VLOOKUP((D801&amp;C801)&amp;"",'[2]Retail Price List'!$C$4:$F$102,4,FALSE),"")</f>
        <v>1750000</v>
      </c>
      <c r="N801" s="269">
        <f>IFERROR(IF(BA801="WIP - 30 Days",VLOOKUP(D801,[3]Extended!$B$9:$E$101,4,FALSE),IF(BA801="31-120 Days",VLOOKUP(D801,[3]Extended!$B$9:$F$101,5,FALSE),IF(BA801="121-365 Days",VLOOKUP(D801,[3]Extended!$B$9:$G$101,6,FALSE),VLOOKUP(D801,[3]Extended!$B$9:$H$101,7,FALSE)))),0)</f>
        <v>1306812.5</v>
      </c>
      <c r="O801" s="269">
        <f>IFERROR(IF(BA801="WIP - 30 Days",VLOOKUP(D801,[3]Extended!$B$9:$J$101,9,FALSE),IF(BA801="31-120 Days",VLOOKUP(D801,[3]Extended!$B$9:$K$101,10,FALSE),IF(BA801="121-365 Days",VLOOKUP(D801,[3]Extended!$B$9:$L$101,11,FALSE),VLOOKUP(D801,[3]Extended!$B$9:$M$101,12,FALSE)))),0)</f>
        <v>1268750</v>
      </c>
      <c r="P801" s="116">
        <f t="shared" si="61"/>
        <v>0.27500000000000002</v>
      </c>
      <c r="Q801" s="110" t="e">
        <f>O801-#REF!</f>
        <v>#REF!</v>
      </c>
      <c r="W801" s="311"/>
      <c r="X801" s="311"/>
      <c r="Y801" s="311"/>
      <c r="Z801" s="311"/>
      <c r="AA801" s="311"/>
      <c r="AB801" s="311"/>
      <c r="AC801" s="311"/>
      <c r="AT801" s="88" t="str">
        <f t="shared" si="62"/>
        <v>KP0006782017Q214,7</v>
      </c>
      <c r="AU801" s="89" t="str">
        <f t="shared" si="63"/>
        <v>06-2017</v>
      </c>
      <c r="BA801" s="92" t="str">
        <f t="shared" si="64"/>
        <v>WIP - 30 Days</v>
      </c>
    </row>
    <row r="802" spans="2:53">
      <c r="B802" s="60">
        <f>[2]Trucks!A799</f>
        <v>47256</v>
      </c>
      <c r="C802" s="11" t="str">
        <f>[2]Trucks!B799</f>
        <v>TGS-33-4806X4BB-M</v>
      </c>
      <c r="D802" s="19" t="str">
        <f>IFERROR(VLOOKUP(C802&amp;"",'[2]Retail Price List'!$A$3:$B$103,2,FALSE),"Special Order")</f>
        <v>KP000678</v>
      </c>
      <c r="E802" s="18" t="str">
        <f>[2]Trucks!J799</f>
        <v>CKD</v>
      </c>
      <c r="F802" s="12" t="str">
        <f>[2]Trucks!E799</f>
        <v>2017-12-31</v>
      </c>
      <c r="G802" s="56">
        <f>[2]Trucks!K799</f>
        <v>14.7</v>
      </c>
      <c r="H802" s="46">
        <f>[2]Trucks!I799</f>
        <v>42909</v>
      </c>
      <c r="I802" s="83" t="str">
        <f t="shared" si="60"/>
        <v>2017Q2</v>
      </c>
      <c r="J802" s="272">
        <f>IFERROR(VLOOKUP((D802&amp;C802)&amp;"",'[2]Retail Price List'!$C$4:$F$102,3,FALSE),"")</f>
        <v>1710000</v>
      </c>
      <c r="K802" s="272">
        <f>IFERROR(IF(BA802="WIP - 30 Days",VLOOKUP(D802,[3]Standard!$B$9:$E$101,4,FALSE),IF(BA802="31-120 Days",VLOOKUP(D802,[3]Standard!$B$9:$F$101,5,FALSE),IF(BA802="121-365 Days",VLOOKUP(D802,[3]Standard!$B$9:$G$101,6,FALSE),VLOOKUP(D802,[3]Standard!$B$9:$H$101,7,FALSE)))),0)</f>
        <v>1276942.5</v>
      </c>
      <c r="L802" s="272">
        <f>IFERROR(IF(BA802="WIP - 30 Days",VLOOKUP(D802,[3]Standard!$B$9:$J$101,9,FALSE),IF(BA802="31-120 Days",VLOOKUP(D802,[3]Standard!$B$9:$K$100,10,FALSE),IF(BA802="121-365 Days",VLOOKUP(D802,[3]Standard!$B$9:$L$101,11,FALSE),VLOOKUP(D802,[3]Standard!$B$9:$M$101,12,FALSE)))),0)</f>
        <v>1239750</v>
      </c>
      <c r="M802" s="269">
        <f>IFERROR(VLOOKUP((D802&amp;C802)&amp;"",'[2]Retail Price List'!$C$4:$F$102,4,FALSE),"")</f>
        <v>1750000</v>
      </c>
      <c r="N802" s="269">
        <f>IFERROR(IF(BA802="WIP - 30 Days",VLOOKUP(D802,[3]Extended!$B$9:$E$101,4,FALSE),IF(BA802="31-120 Days",VLOOKUP(D802,[3]Extended!$B$9:$F$101,5,FALSE),IF(BA802="121-365 Days",VLOOKUP(D802,[3]Extended!$B$9:$G$101,6,FALSE),VLOOKUP(D802,[3]Extended!$B$9:$H$101,7,FALSE)))),0)</f>
        <v>1306812.5</v>
      </c>
      <c r="O802" s="269">
        <f>IFERROR(IF(BA802="WIP - 30 Days",VLOOKUP(D802,[3]Extended!$B$9:$J$101,9,FALSE),IF(BA802="31-120 Days",VLOOKUP(D802,[3]Extended!$B$9:$K$101,10,FALSE),IF(BA802="121-365 Days",VLOOKUP(D802,[3]Extended!$B$9:$L$101,11,FALSE),VLOOKUP(D802,[3]Extended!$B$9:$M$101,12,FALSE)))),0)</f>
        <v>1268750</v>
      </c>
      <c r="P802" s="116">
        <f t="shared" si="61"/>
        <v>0.27500000000000002</v>
      </c>
      <c r="Q802" s="110" t="e">
        <f>O802-#REF!</f>
        <v>#REF!</v>
      </c>
      <c r="W802" s="311"/>
      <c r="X802" s="311"/>
      <c r="Y802" s="311"/>
      <c r="Z802" s="311"/>
      <c r="AA802" s="311"/>
      <c r="AB802" s="311"/>
      <c r="AC802" s="311"/>
      <c r="AT802" s="88" t="str">
        <f t="shared" si="62"/>
        <v>KP0006782017Q214,7</v>
      </c>
      <c r="AU802" s="89" t="str">
        <f t="shared" si="63"/>
        <v>06-2017</v>
      </c>
      <c r="BA802" s="92" t="str">
        <f t="shared" si="64"/>
        <v>WIP - 30 Days</v>
      </c>
    </row>
    <row r="803" spans="2:53">
      <c r="B803" s="60">
        <f>[2]Trucks!A800</f>
        <v>47257</v>
      </c>
      <c r="C803" s="11" t="str">
        <f>[2]Trucks!B800</f>
        <v>TGS-33-4806X4BB-M</v>
      </c>
      <c r="D803" s="19" t="str">
        <f>IFERROR(VLOOKUP(C803&amp;"",'[2]Retail Price List'!$A$3:$B$103,2,FALSE),"Special Order")</f>
        <v>KP000678</v>
      </c>
      <c r="E803" s="18" t="str">
        <f>[2]Trucks!J800</f>
        <v>CKD</v>
      </c>
      <c r="F803" s="12" t="str">
        <f>[2]Trucks!E800</f>
        <v>2017-12-31</v>
      </c>
      <c r="G803" s="56">
        <f>[2]Trucks!K800</f>
        <v>14.7</v>
      </c>
      <c r="H803" s="46">
        <f>[2]Trucks!I800</f>
        <v>42909</v>
      </c>
      <c r="I803" s="83" t="str">
        <f t="shared" si="60"/>
        <v>2017Q2</v>
      </c>
      <c r="J803" s="272">
        <f>IFERROR(VLOOKUP((D803&amp;C803)&amp;"",'[2]Retail Price List'!$C$4:$F$102,3,FALSE),"")</f>
        <v>1710000</v>
      </c>
      <c r="K803" s="272">
        <f>IFERROR(IF(BA803="WIP - 30 Days",VLOOKUP(D803,[3]Standard!$B$9:$E$101,4,FALSE),IF(BA803="31-120 Days",VLOOKUP(D803,[3]Standard!$B$9:$F$101,5,FALSE),IF(BA803="121-365 Days",VLOOKUP(D803,[3]Standard!$B$9:$G$101,6,FALSE),VLOOKUP(D803,[3]Standard!$B$9:$H$101,7,FALSE)))),0)</f>
        <v>1276942.5</v>
      </c>
      <c r="L803" s="272">
        <f>IFERROR(IF(BA803="WIP - 30 Days",VLOOKUP(D803,[3]Standard!$B$9:$J$101,9,FALSE),IF(BA803="31-120 Days",VLOOKUP(D803,[3]Standard!$B$9:$K$100,10,FALSE),IF(BA803="121-365 Days",VLOOKUP(D803,[3]Standard!$B$9:$L$101,11,FALSE),VLOOKUP(D803,[3]Standard!$B$9:$M$101,12,FALSE)))),0)</f>
        <v>1239750</v>
      </c>
      <c r="M803" s="269">
        <f>IFERROR(VLOOKUP((D803&amp;C803)&amp;"",'[2]Retail Price List'!$C$4:$F$102,4,FALSE),"")</f>
        <v>1750000</v>
      </c>
      <c r="N803" s="269">
        <f>IFERROR(IF(BA803="WIP - 30 Days",VLOOKUP(D803,[3]Extended!$B$9:$E$101,4,FALSE),IF(BA803="31-120 Days",VLOOKUP(D803,[3]Extended!$B$9:$F$101,5,FALSE),IF(BA803="121-365 Days",VLOOKUP(D803,[3]Extended!$B$9:$G$101,6,FALSE),VLOOKUP(D803,[3]Extended!$B$9:$H$101,7,FALSE)))),0)</f>
        <v>1306812.5</v>
      </c>
      <c r="O803" s="269">
        <f>IFERROR(IF(BA803="WIP - 30 Days",VLOOKUP(D803,[3]Extended!$B$9:$J$101,9,FALSE),IF(BA803="31-120 Days",VLOOKUP(D803,[3]Extended!$B$9:$K$101,10,FALSE),IF(BA803="121-365 Days",VLOOKUP(D803,[3]Extended!$B$9:$L$101,11,FALSE),VLOOKUP(D803,[3]Extended!$B$9:$M$101,12,FALSE)))),0)</f>
        <v>1268750</v>
      </c>
      <c r="P803" s="116">
        <f t="shared" si="61"/>
        <v>0.27500000000000002</v>
      </c>
      <c r="Q803" s="110" t="e">
        <f>O803-#REF!</f>
        <v>#REF!</v>
      </c>
      <c r="W803" s="311"/>
      <c r="X803" s="311"/>
      <c r="Y803" s="311"/>
      <c r="Z803" s="311"/>
      <c r="AA803" s="311"/>
      <c r="AB803" s="311"/>
      <c r="AC803" s="311"/>
      <c r="AT803" s="88" t="str">
        <f t="shared" si="62"/>
        <v>KP0006782017Q214,7</v>
      </c>
      <c r="AU803" s="89" t="str">
        <f t="shared" si="63"/>
        <v>06-2017</v>
      </c>
      <c r="BA803" s="92" t="str">
        <f t="shared" si="64"/>
        <v>WIP - 30 Days</v>
      </c>
    </row>
    <row r="804" spans="2:53">
      <c r="B804" s="60">
        <f>[2]Trucks!A801</f>
        <v>47258</v>
      </c>
      <c r="C804" s="11" t="str">
        <f>[2]Trucks!B801</f>
        <v>TGS-33-4806X4BB-M</v>
      </c>
      <c r="D804" s="19" t="str">
        <f>IFERROR(VLOOKUP(C804&amp;"",'[2]Retail Price List'!$A$3:$B$103,2,FALSE),"Special Order")</f>
        <v>KP000678</v>
      </c>
      <c r="E804" s="18" t="str">
        <f>[2]Trucks!J801</f>
        <v>CKD</v>
      </c>
      <c r="F804" s="12" t="str">
        <f>[2]Trucks!E801</f>
        <v>2017-12-31</v>
      </c>
      <c r="G804" s="56">
        <f>[2]Trucks!K801</f>
        <v>14.7</v>
      </c>
      <c r="H804" s="46">
        <f>[2]Trucks!I801</f>
        <v>42909</v>
      </c>
      <c r="I804" s="83" t="str">
        <f t="shared" si="60"/>
        <v>2017Q2</v>
      </c>
      <c r="J804" s="272">
        <f>IFERROR(VLOOKUP((D804&amp;C804)&amp;"",'[2]Retail Price List'!$C$4:$F$102,3,FALSE),"")</f>
        <v>1710000</v>
      </c>
      <c r="K804" s="272">
        <f>IFERROR(IF(BA804="WIP - 30 Days",VLOOKUP(D804,[3]Standard!$B$9:$E$101,4,FALSE),IF(BA804="31-120 Days",VLOOKUP(D804,[3]Standard!$B$9:$F$101,5,FALSE),IF(BA804="121-365 Days",VLOOKUP(D804,[3]Standard!$B$9:$G$101,6,FALSE),VLOOKUP(D804,[3]Standard!$B$9:$H$101,7,FALSE)))),0)</f>
        <v>1276942.5</v>
      </c>
      <c r="L804" s="272">
        <f>IFERROR(IF(BA804="WIP - 30 Days",VLOOKUP(D804,[3]Standard!$B$9:$J$101,9,FALSE),IF(BA804="31-120 Days",VLOOKUP(D804,[3]Standard!$B$9:$K$100,10,FALSE),IF(BA804="121-365 Days",VLOOKUP(D804,[3]Standard!$B$9:$L$101,11,FALSE),VLOOKUP(D804,[3]Standard!$B$9:$M$101,12,FALSE)))),0)</f>
        <v>1239750</v>
      </c>
      <c r="M804" s="269">
        <f>IFERROR(VLOOKUP((D804&amp;C804)&amp;"",'[2]Retail Price List'!$C$4:$F$102,4,FALSE),"")</f>
        <v>1750000</v>
      </c>
      <c r="N804" s="269">
        <f>IFERROR(IF(BA804="WIP - 30 Days",VLOOKUP(D804,[3]Extended!$B$9:$E$101,4,FALSE),IF(BA804="31-120 Days",VLOOKUP(D804,[3]Extended!$B$9:$F$101,5,FALSE),IF(BA804="121-365 Days",VLOOKUP(D804,[3]Extended!$B$9:$G$101,6,FALSE),VLOOKUP(D804,[3]Extended!$B$9:$H$101,7,FALSE)))),0)</f>
        <v>1306812.5</v>
      </c>
      <c r="O804" s="269">
        <f>IFERROR(IF(BA804="WIP - 30 Days",VLOOKUP(D804,[3]Extended!$B$9:$J$101,9,FALSE),IF(BA804="31-120 Days",VLOOKUP(D804,[3]Extended!$B$9:$K$101,10,FALSE),IF(BA804="121-365 Days",VLOOKUP(D804,[3]Extended!$B$9:$L$101,11,FALSE),VLOOKUP(D804,[3]Extended!$B$9:$M$101,12,FALSE)))),0)</f>
        <v>1268750</v>
      </c>
      <c r="P804" s="116">
        <f t="shared" si="61"/>
        <v>0.27500000000000002</v>
      </c>
      <c r="Q804" s="110" t="e">
        <f>O804-#REF!</f>
        <v>#REF!</v>
      </c>
      <c r="W804" s="311"/>
      <c r="X804" s="311"/>
      <c r="Y804" s="311"/>
      <c r="Z804" s="311"/>
      <c r="AA804" s="311"/>
      <c r="AB804" s="311"/>
      <c r="AC804" s="311"/>
      <c r="AT804" s="88" t="str">
        <f t="shared" si="62"/>
        <v>KP0006782017Q214,7</v>
      </c>
      <c r="AU804" s="89" t="str">
        <f t="shared" si="63"/>
        <v>06-2017</v>
      </c>
      <c r="BA804" s="92" t="str">
        <f t="shared" si="64"/>
        <v>WIP - 30 Days</v>
      </c>
    </row>
    <row r="805" spans="2:53">
      <c r="B805" s="60">
        <f>[2]Trucks!A802</f>
        <v>47259</v>
      </c>
      <c r="C805" s="11" t="str">
        <f>[2]Trucks!B802</f>
        <v>TGS-33-4806X4BB-M</v>
      </c>
      <c r="D805" s="19" t="str">
        <f>IFERROR(VLOOKUP(C805&amp;"",'[2]Retail Price List'!$A$3:$B$103,2,FALSE),"Special Order")</f>
        <v>KP000678</v>
      </c>
      <c r="E805" s="18" t="str">
        <f>[2]Trucks!J802</f>
        <v>CKD</v>
      </c>
      <c r="F805" s="12" t="str">
        <f>[2]Trucks!E802</f>
        <v>2017-12-31</v>
      </c>
      <c r="G805" s="56">
        <f>[2]Trucks!K802</f>
        <v>14.7</v>
      </c>
      <c r="H805" s="46">
        <f>[2]Trucks!I802</f>
        <v>42909</v>
      </c>
      <c r="I805" s="83" t="str">
        <f t="shared" si="60"/>
        <v>2017Q2</v>
      </c>
      <c r="J805" s="272">
        <f>IFERROR(VLOOKUP((D805&amp;C805)&amp;"",'[2]Retail Price List'!$C$4:$F$102,3,FALSE),"")</f>
        <v>1710000</v>
      </c>
      <c r="K805" s="272">
        <f>IFERROR(IF(BA805="WIP - 30 Days",VLOOKUP(D805,[3]Standard!$B$9:$E$101,4,FALSE),IF(BA805="31-120 Days",VLOOKUP(D805,[3]Standard!$B$9:$F$101,5,FALSE),IF(BA805="121-365 Days",VLOOKUP(D805,[3]Standard!$B$9:$G$101,6,FALSE),VLOOKUP(D805,[3]Standard!$B$9:$H$101,7,FALSE)))),0)</f>
        <v>1276942.5</v>
      </c>
      <c r="L805" s="272">
        <f>IFERROR(IF(BA805="WIP - 30 Days",VLOOKUP(D805,[3]Standard!$B$9:$J$101,9,FALSE),IF(BA805="31-120 Days",VLOOKUP(D805,[3]Standard!$B$9:$K$100,10,FALSE),IF(BA805="121-365 Days",VLOOKUP(D805,[3]Standard!$B$9:$L$101,11,FALSE),VLOOKUP(D805,[3]Standard!$B$9:$M$101,12,FALSE)))),0)</f>
        <v>1239750</v>
      </c>
      <c r="M805" s="269">
        <f>IFERROR(VLOOKUP((D805&amp;C805)&amp;"",'[2]Retail Price List'!$C$4:$F$102,4,FALSE),"")</f>
        <v>1750000</v>
      </c>
      <c r="N805" s="269">
        <f>IFERROR(IF(BA805="WIP - 30 Days",VLOOKUP(D805,[3]Extended!$B$9:$E$101,4,FALSE),IF(BA805="31-120 Days",VLOOKUP(D805,[3]Extended!$B$9:$F$101,5,FALSE),IF(BA805="121-365 Days",VLOOKUP(D805,[3]Extended!$B$9:$G$101,6,FALSE),VLOOKUP(D805,[3]Extended!$B$9:$H$101,7,FALSE)))),0)</f>
        <v>1306812.5</v>
      </c>
      <c r="O805" s="269">
        <f>IFERROR(IF(BA805="WIP - 30 Days",VLOOKUP(D805,[3]Extended!$B$9:$J$101,9,FALSE),IF(BA805="31-120 Days",VLOOKUP(D805,[3]Extended!$B$9:$K$101,10,FALSE),IF(BA805="121-365 Days",VLOOKUP(D805,[3]Extended!$B$9:$L$101,11,FALSE),VLOOKUP(D805,[3]Extended!$B$9:$M$101,12,FALSE)))),0)</f>
        <v>1268750</v>
      </c>
      <c r="P805" s="116">
        <f t="shared" si="61"/>
        <v>0.27500000000000002</v>
      </c>
      <c r="Q805" s="110" t="e">
        <f>O805-#REF!</f>
        <v>#REF!</v>
      </c>
      <c r="W805" s="311"/>
      <c r="X805" s="311"/>
      <c r="Y805" s="311"/>
      <c r="Z805" s="311"/>
      <c r="AA805" s="311"/>
      <c r="AB805" s="311"/>
      <c r="AC805" s="311"/>
      <c r="AT805" s="88" t="str">
        <f t="shared" si="62"/>
        <v>KP0006782017Q214,7</v>
      </c>
      <c r="AU805" s="89" t="str">
        <f t="shared" si="63"/>
        <v>06-2017</v>
      </c>
      <c r="BA805" s="92" t="str">
        <f t="shared" si="64"/>
        <v>WIP - 30 Days</v>
      </c>
    </row>
    <row r="806" spans="2:53">
      <c r="B806" s="60">
        <f>[2]Trucks!A803</f>
        <v>47260</v>
      </c>
      <c r="C806" s="11" t="str">
        <f>[2]Trucks!B803</f>
        <v>TGS-33-4806X4BB-M</v>
      </c>
      <c r="D806" s="19" t="str">
        <f>IFERROR(VLOOKUP(C806&amp;"",'[2]Retail Price List'!$A$3:$B$103,2,FALSE),"Special Order")</f>
        <v>KP000678</v>
      </c>
      <c r="E806" s="18" t="str">
        <f>[2]Trucks!J803</f>
        <v>CKD</v>
      </c>
      <c r="F806" s="12" t="str">
        <f>[2]Trucks!E803</f>
        <v>2017-12-31</v>
      </c>
      <c r="G806" s="56">
        <f>[2]Trucks!K803</f>
        <v>14.7</v>
      </c>
      <c r="H806" s="46">
        <f>[2]Trucks!I803</f>
        <v>42909</v>
      </c>
      <c r="I806" s="83" t="str">
        <f t="shared" si="60"/>
        <v>2017Q2</v>
      </c>
      <c r="J806" s="272">
        <f>IFERROR(VLOOKUP((D806&amp;C806)&amp;"",'[2]Retail Price List'!$C$4:$F$102,3,FALSE),"")</f>
        <v>1710000</v>
      </c>
      <c r="K806" s="272">
        <f>IFERROR(IF(BA806="WIP - 30 Days",VLOOKUP(D806,[3]Standard!$B$9:$E$101,4,FALSE),IF(BA806="31-120 Days",VLOOKUP(D806,[3]Standard!$B$9:$F$101,5,FALSE),IF(BA806="121-365 Days",VLOOKUP(D806,[3]Standard!$B$9:$G$101,6,FALSE),VLOOKUP(D806,[3]Standard!$B$9:$H$101,7,FALSE)))),0)</f>
        <v>1276942.5</v>
      </c>
      <c r="L806" s="272">
        <f>IFERROR(IF(BA806="WIP - 30 Days",VLOOKUP(D806,[3]Standard!$B$9:$J$101,9,FALSE),IF(BA806="31-120 Days",VLOOKUP(D806,[3]Standard!$B$9:$K$100,10,FALSE),IF(BA806="121-365 Days",VLOOKUP(D806,[3]Standard!$B$9:$L$101,11,FALSE),VLOOKUP(D806,[3]Standard!$B$9:$M$101,12,FALSE)))),0)</f>
        <v>1239750</v>
      </c>
      <c r="M806" s="269">
        <f>IFERROR(VLOOKUP((D806&amp;C806)&amp;"",'[2]Retail Price List'!$C$4:$F$102,4,FALSE),"")</f>
        <v>1750000</v>
      </c>
      <c r="N806" s="269">
        <f>IFERROR(IF(BA806="WIP - 30 Days",VLOOKUP(D806,[3]Extended!$B$9:$E$101,4,FALSE),IF(BA806="31-120 Days",VLOOKUP(D806,[3]Extended!$B$9:$F$101,5,FALSE),IF(BA806="121-365 Days",VLOOKUP(D806,[3]Extended!$B$9:$G$101,6,FALSE),VLOOKUP(D806,[3]Extended!$B$9:$H$101,7,FALSE)))),0)</f>
        <v>1306812.5</v>
      </c>
      <c r="O806" s="269">
        <f>IFERROR(IF(BA806="WIP - 30 Days",VLOOKUP(D806,[3]Extended!$B$9:$J$101,9,FALSE),IF(BA806="31-120 Days",VLOOKUP(D806,[3]Extended!$B$9:$K$101,10,FALSE),IF(BA806="121-365 Days",VLOOKUP(D806,[3]Extended!$B$9:$L$101,11,FALSE),VLOOKUP(D806,[3]Extended!$B$9:$M$101,12,FALSE)))),0)</f>
        <v>1268750</v>
      </c>
      <c r="P806" s="116">
        <f t="shared" si="61"/>
        <v>0.27500000000000002</v>
      </c>
      <c r="Q806" s="110" t="e">
        <f>O806-#REF!</f>
        <v>#REF!</v>
      </c>
      <c r="W806" s="311"/>
      <c r="X806" s="311"/>
      <c r="Y806" s="311"/>
      <c r="Z806" s="311"/>
      <c r="AA806" s="311"/>
      <c r="AB806" s="311"/>
      <c r="AC806" s="311"/>
      <c r="AT806" s="88" t="str">
        <f t="shared" si="62"/>
        <v>KP0006782017Q214,7</v>
      </c>
      <c r="AU806" s="89" t="str">
        <f t="shared" si="63"/>
        <v>06-2017</v>
      </c>
      <c r="BA806" s="92" t="str">
        <f t="shared" si="64"/>
        <v>WIP - 30 Days</v>
      </c>
    </row>
    <row r="807" spans="2:53">
      <c r="B807" s="60">
        <f>[2]Trucks!A804</f>
        <v>47261</v>
      </c>
      <c r="C807" s="11" t="str">
        <f>[2]Trucks!B804</f>
        <v>TGS-33-4806X4BB-M</v>
      </c>
      <c r="D807" s="19" t="str">
        <f>IFERROR(VLOOKUP(C807&amp;"",'[2]Retail Price List'!$A$3:$B$103,2,FALSE),"Special Order")</f>
        <v>KP000678</v>
      </c>
      <c r="E807" s="18" t="str">
        <f>[2]Trucks!J804</f>
        <v>CKD</v>
      </c>
      <c r="F807" s="12" t="str">
        <f>[2]Trucks!E804</f>
        <v>2017-12-31</v>
      </c>
      <c r="G807" s="56">
        <f>[2]Trucks!K804</f>
        <v>14.7</v>
      </c>
      <c r="H807" s="46">
        <f>[2]Trucks!I804</f>
        <v>42909</v>
      </c>
      <c r="I807" s="83" t="str">
        <f t="shared" si="60"/>
        <v>2017Q2</v>
      </c>
      <c r="J807" s="272">
        <f>IFERROR(VLOOKUP((D807&amp;C807)&amp;"",'[2]Retail Price List'!$C$4:$F$102,3,FALSE),"")</f>
        <v>1710000</v>
      </c>
      <c r="K807" s="272">
        <f>IFERROR(IF(BA807="WIP - 30 Days",VLOOKUP(D807,[3]Standard!$B$9:$E$101,4,FALSE),IF(BA807="31-120 Days",VLOOKUP(D807,[3]Standard!$B$9:$F$101,5,FALSE),IF(BA807="121-365 Days",VLOOKUP(D807,[3]Standard!$B$9:$G$101,6,FALSE),VLOOKUP(D807,[3]Standard!$B$9:$H$101,7,FALSE)))),0)</f>
        <v>1276942.5</v>
      </c>
      <c r="L807" s="272">
        <f>IFERROR(IF(BA807="WIP - 30 Days",VLOOKUP(D807,[3]Standard!$B$9:$J$101,9,FALSE),IF(BA807="31-120 Days",VLOOKUP(D807,[3]Standard!$B$9:$K$100,10,FALSE),IF(BA807="121-365 Days",VLOOKUP(D807,[3]Standard!$B$9:$L$101,11,FALSE),VLOOKUP(D807,[3]Standard!$B$9:$M$101,12,FALSE)))),0)</f>
        <v>1239750</v>
      </c>
      <c r="M807" s="269">
        <f>IFERROR(VLOOKUP((D807&amp;C807)&amp;"",'[2]Retail Price List'!$C$4:$F$102,4,FALSE),"")</f>
        <v>1750000</v>
      </c>
      <c r="N807" s="269">
        <f>IFERROR(IF(BA807="WIP - 30 Days",VLOOKUP(D807,[3]Extended!$B$9:$E$101,4,FALSE),IF(BA807="31-120 Days",VLOOKUP(D807,[3]Extended!$B$9:$F$101,5,FALSE),IF(BA807="121-365 Days",VLOOKUP(D807,[3]Extended!$B$9:$G$101,6,FALSE),VLOOKUP(D807,[3]Extended!$B$9:$H$101,7,FALSE)))),0)</f>
        <v>1306812.5</v>
      </c>
      <c r="O807" s="269">
        <f>IFERROR(IF(BA807="WIP - 30 Days",VLOOKUP(D807,[3]Extended!$B$9:$J$101,9,FALSE),IF(BA807="31-120 Days",VLOOKUP(D807,[3]Extended!$B$9:$K$101,10,FALSE),IF(BA807="121-365 Days",VLOOKUP(D807,[3]Extended!$B$9:$L$101,11,FALSE),VLOOKUP(D807,[3]Extended!$B$9:$M$101,12,FALSE)))),0)</f>
        <v>1268750</v>
      </c>
      <c r="P807" s="116">
        <f t="shared" si="61"/>
        <v>0.27500000000000002</v>
      </c>
      <c r="Q807" s="110" t="e">
        <f>O807-#REF!</f>
        <v>#REF!</v>
      </c>
      <c r="W807" s="311"/>
      <c r="X807" s="311"/>
      <c r="Y807" s="311"/>
      <c r="Z807" s="311"/>
      <c r="AA807" s="311"/>
      <c r="AB807" s="311"/>
      <c r="AC807" s="311"/>
      <c r="AT807" s="88" t="str">
        <f t="shared" si="62"/>
        <v>KP0006782017Q214,7</v>
      </c>
      <c r="AU807" s="89" t="str">
        <f t="shared" si="63"/>
        <v>06-2017</v>
      </c>
      <c r="BA807" s="92" t="str">
        <f t="shared" si="64"/>
        <v>WIP - 30 Days</v>
      </c>
    </row>
    <row r="808" spans="2:53">
      <c r="B808" s="60">
        <f>[2]Trucks!A805</f>
        <v>47262</v>
      </c>
      <c r="C808" s="11" t="str">
        <f>[2]Trucks!B805</f>
        <v>TGS-33-4806X4BB-M</v>
      </c>
      <c r="D808" s="19" t="str">
        <f>IFERROR(VLOOKUP(C808&amp;"",'[2]Retail Price List'!$A$3:$B$103,2,FALSE),"Special Order")</f>
        <v>KP000678</v>
      </c>
      <c r="E808" s="18" t="str">
        <f>[2]Trucks!J805</f>
        <v>CKD</v>
      </c>
      <c r="F808" s="12" t="str">
        <f>[2]Trucks!E805</f>
        <v>2017-12-31</v>
      </c>
      <c r="G808" s="56">
        <f>[2]Trucks!K805</f>
        <v>14.7</v>
      </c>
      <c r="H808" s="46">
        <f>[2]Trucks!I805</f>
        <v>42909</v>
      </c>
      <c r="I808" s="83" t="str">
        <f t="shared" si="60"/>
        <v>2017Q2</v>
      </c>
      <c r="J808" s="272">
        <f>IFERROR(VLOOKUP((D808&amp;C808)&amp;"",'[2]Retail Price List'!$C$4:$F$102,3,FALSE),"")</f>
        <v>1710000</v>
      </c>
      <c r="K808" s="272">
        <f>IFERROR(IF(BA808="WIP - 30 Days",VLOOKUP(D808,[3]Standard!$B$9:$E$101,4,FALSE),IF(BA808="31-120 Days",VLOOKUP(D808,[3]Standard!$B$9:$F$101,5,FALSE),IF(BA808="121-365 Days",VLOOKUP(D808,[3]Standard!$B$9:$G$101,6,FALSE),VLOOKUP(D808,[3]Standard!$B$9:$H$101,7,FALSE)))),0)</f>
        <v>1276942.5</v>
      </c>
      <c r="L808" s="272">
        <f>IFERROR(IF(BA808="WIP - 30 Days",VLOOKUP(D808,[3]Standard!$B$9:$J$101,9,FALSE),IF(BA808="31-120 Days",VLOOKUP(D808,[3]Standard!$B$9:$K$100,10,FALSE),IF(BA808="121-365 Days",VLOOKUP(D808,[3]Standard!$B$9:$L$101,11,FALSE),VLOOKUP(D808,[3]Standard!$B$9:$M$101,12,FALSE)))),0)</f>
        <v>1239750</v>
      </c>
      <c r="M808" s="269">
        <f>IFERROR(VLOOKUP((D808&amp;C808)&amp;"",'[2]Retail Price List'!$C$4:$F$102,4,FALSE),"")</f>
        <v>1750000</v>
      </c>
      <c r="N808" s="269">
        <f>IFERROR(IF(BA808="WIP - 30 Days",VLOOKUP(D808,[3]Extended!$B$9:$E$101,4,FALSE),IF(BA808="31-120 Days",VLOOKUP(D808,[3]Extended!$B$9:$F$101,5,FALSE),IF(BA808="121-365 Days",VLOOKUP(D808,[3]Extended!$B$9:$G$101,6,FALSE),VLOOKUP(D808,[3]Extended!$B$9:$H$101,7,FALSE)))),0)</f>
        <v>1306812.5</v>
      </c>
      <c r="O808" s="269">
        <f>IFERROR(IF(BA808="WIP - 30 Days",VLOOKUP(D808,[3]Extended!$B$9:$J$101,9,FALSE),IF(BA808="31-120 Days",VLOOKUP(D808,[3]Extended!$B$9:$K$101,10,FALSE),IF(BA808="121-365 Days",VLOOKUP(D808,[3]Extended!$B$9:$L$101,11,FALSE),VLOOKUP(D808,[3]Extended!$B$9:$M$101,12,FALSE)))),0)</f>
        <v>1268750</v>
      </c>
      <c r="P808" s="116">
        <f t="shared" si="61"/>
        <v>0.27500000000000002</v>
      </c>
      <c r="Q808" s="110" t="e">
        <f>O808-#REF!</f>
        <v>#REF!</v>
      </c>
      <c r="W808" s="311"/>
      <c r="X808" s="311"/>
      <c r="Y808" s="311"/>
      <c r="Z808" s="311"/>
      <c r="AA808" s="311"/>
      <c r="AB808" s="311"/>
      <c r="AC808" s="311"/>
      <c r="AT808" s="88" t="str">
        <f t="shared" si="62"/>
        <v>KP0006782017Q214,7</v>
      </c>
      <c r="AU808" s="89" t="str">
        <f t="shared" si="63"/>
        <v>06-2017</v>
      </c>
      <c r="BA808" s="92" t="str">
        <f t="shared" si="64"/>
        <v>WIP - 30 Days</v>
      </c>
    </row>
    <row r="809" spans="2:53">
      <c r="B809" s="60">
        <f>[2]Trucks!A806</f>
        <v>47263</v>
      </c>
      <c r="C809" s="11" t="str">
        <f>[2]Trucks!B806</f>
        <v>TGS-33-4806X4BB-M</v>
      </c>
      <c r="D809" s="19" t="str">
        <f>IFERROR(VLOOKUP(C809&amp;"",'[2]Retail Price List'!$A$3:$B$103,2,FALSE),"Special Order")</f>
        <v>KP000678</v>
      </c>
      <c r="E809" s="18" t="str">
        <f>[2]Trucks!J806</f>
        <v>CKD</v>
      </c>
      <c r="F809" s="12" t="str">
        <f>[2]Trucks!E806</f>
        <v>2017-12-31</v>
      </c>
      <c r="G809" s="56">
        <f>[2]Trucks!K806</f>
        <v>14.7</v>
      </c>
      <c r="H809" s="46">
        <f>[2]Trucks!I806</f>
        <v>42909</v>
      </c>
      <c r="I809" s="83" t="str">
        <f t="shared" si="60"/>
        <v>2017Q2</v>
      </c>
      <c r="J809" s="272">
        <f>IFERROR(VLOOKUP((D809&amp;C809)&amp;"",'[2]Retail Price List'!$C$4:$F$102,3,FALSE),"")</f>
        <v>1710000</v>
      </c>
      <c r="K809" s="272">
        <f>IFERROR(IF(BA809="WIP - 30 Days",VLOOKUP(D809,[3]Standard!$B$9:$E$101,4,FALSE),IF(BA809="31-120 Days",VLOOKUP(D809,[3]Standard!$B$9:$F$101,5,FALSE),IF(BA809="121-365 Days",VLOOKUP(D809,[3]Standard!$B$9:$G$101,6,FALSE),VLOOKUP(D809,[3]Standard!$B$9:$H$101,7,FALSE)))),0)</f>
        <v>1276942.5</v>
      </c>
      <c r="L809" s="272">
        <f>IFERROR(IF(BA809="WIP - 30 Days",VLOOKUP(D809,[3]Standard!$B$9:$J$101,9,FALSE),IF(BA809="31-120 Days",VLOOKUP(D809,[3]Standard!$B$9:$K$100,10,FALSE),IF(BA809="121-365 Days",VLOOKUP(D809,[3]Standard!$B$9:$L$101,11,FALSE),VLOOKUP(D809,[3]Standard!$B$9:$M$101,12,FALSE)))),0)</f>
        <v>1239750</v>
      </c>
      <c r="M809" s="269">
        <f>IFERROR(VLOOKUP((D809&amp;C809)&amp;"",'[2]Retail Price List'!$C$4:$F$102,4,FALSE),"")</f>
        <v>1750000</v>
      </c>
      <c r="N809" s="269">
        <f>IFERROR(IF(BA809="WIP - 30 Days",VLOOKUP(D809,[3]Extended!$B$9:$E$101,4,FALSE),IF(BA809="31-120 Days",VLOOKUP(D809,[3]Extended!$B$9:$F$101,5,FALSE),IF(BA809="121-365 Days",VLOOKUP(D809,[3]Extended!$B$9:$G$101,6,FALSE),VLOOKUP(D809,[3]Extended!$B$9:$H$101,7,FALSE)))),0)</f>
        <v>1306812.5</v>
      </c>
      <c r="O809" s="269">
        <f>IFERROR(IF(BA809="WIP - 30 Days",VLOOKUP(D809,[3]Extended!$B$9:$J$101,9,FALSE),IF(BA809="31-120 Days",VLOOKUP(D809,[3]Extended!$B$9:$K$101,10,FALSE),IF(BA809="121-365 Days",VLOOKUP(D809,[3]Extended!$B$9:$L$101,11,FALSE),VLOOKUP(D809,[3]Extended!$B$9:$M$101,12,FALSE)))),0)</f>
        <v>1268750</v>
      </c>
      <c r="P809" s="116">
        <f t="shared" si="61"/>
        <v>0.27500000000000002</v>
      </c>
      <c r="Q809" s="110" t="e">
        <f>O809-#REF!</f>
        <v>#REF!</v>
      </c>
      <c r="W809" s="311"/>
      <c r="X809" s="311"/>
      <c r="Y809" s="311"/>
      <c r="Z809" s="311"/>
      <c r="AA809" s="311"/>
      <c r="AB809" s="311"/>
      <c r="AC809" s="311"/>
      <c r="AT809" s="88" t="str">
        <f t="shared" si="62"/>
        <v>KP0006782017Q214,7</v>
      </c>
      <c r="AU809" s="89" t="str">
        <f t="shared" si="63"/>
        <v>06-2017</v>
      </c>
      <c r="BA809" s="92" t="str">
        <f t="shared" si="64"/>
        <v>WIP - 30 Days</v>
      </c>
    </row>
    <row r="810" spans="2:53">
      <c r="B810" s="60">
        <f>[2]Trucks!A807</f>
        <v>47264</v>
      </c>
      <c r="C810" s="11" t="str">
        <f>[2]Trucks!B807</f>
        <v>TGS-33-4806X4BB-M</v>
      </c>
      <c r="D810" s="19" t="str">
        <f>IFERROR(VLOOKUP(C810&amp;"",'[2]Retail Price List'!$A$3:$B$103,2,FALSE),"Special Order")</f>
        <v>KP000678</v>
      </c>
      <c r="E810" s="18" t="str">
        <f>[2]Trucks!J807</f>
        <v>CKD</v>
      </c>
      <c r="F810" s="12" t="str">
        <f>[2]Trucks!E807</f>
        <v>2017-12-31</v>
      </c>
      <c r="G810" s="56">
        <f>[2]Trucks!K807</f>
        <v>14.7</v>
      </c>
      <c r="H810" s="46">
        <f>[2]Trucks!I807</f>
        <v>42909</v>
      </c>
      <c r="I810" s="83" t="str">
        <f t="shared" si="60"/>
        <v>2017Q2</v>
      </c>
      <c r="J810" s="272">
        <f>IFERROR(VLOOKUP((D810&amp;C810)&amp;"",'[2]Retail Price List'!$C$4:$F$102,3,FALSE),"")</f>
        <v>1710000</v>
      </c>
      <c r="K810" s="272">
        <f>IFERROR(IF(BA810="WIP - 30 Days",VLOOKUP(D810,[3]Standard!$B$9:$E$101,4,FALSE),IF(BA810="31-120 Days",VLOOKUP(D810,[3]Standard!$B$9:$F$101,5,FALSE),IF(BA810="121-365 Days",VLOOKUP(D810,[3]Standard!$B$9:$G$101,6,FALSE),VLOOKUP(D810,[3]Standard!$B$9:$H$101,7,FALSE)))),0)</f>
        <v>1276942.5</v>
      </c>
      <c r="L810" s="272">
        <f>IFERROR(IF(BA810="WIP - 30 Days",VLOOKUP(D810,[3]Standard!$B$9:$J$101,9,FALSE),IF(BA810="31-120 Days",VLOOKUP(D810,[3]Standard!$B$9:$K$100,10,FALSE),IF(BA810="121-365 Days",VLOOKUP(D810,[3]Standard!$B$9:$L$101,11,FALSE),VLOOKUP(D810,[3]Standard!$B$9:$M$101,12,FALSE)))),0)</f>
        <v>1239750</v>
      </c>
      <c r="M810" s="269">
        <f>IFERROR(VLOOKUP((D810&amp;C810)&amp;"",'[2]Retail Price List'!$C$4:$F$102,4,FALSE),"")</f>
        <v>1750000</v>
      </c>
      <c r="N810" s="269">
        <f>IFERROR(IF(BA810="WIP - 30 Days",VLOOKUP(D810,[3]Extended!$B$9:$E$101,4,FALSE),IF(BA810="31-120 Days",VLOOKUP(D810,[3]Extended!$B$9:$F$101,5,FALSE),IF(BA810="121-365 Days",VLOOKUP(D810,[3]Extended!$B$9:$G$101,6,FALSE),VLOOKUP(D810,[3]Extended!$B$9:$H$101,7,FALSE)))),0)</f>
        <v>1306812.5</v>
      </c>
      <c r="O810" s="269">
        <f>IFERROR(IF(BA810="WIP - 30 Days",VLOOKUP(D810,[3]Extended!$B$9:$J$101,9,FALSE),IF(BA810="31-120 Days",VLOOKUP(D810,[3]Extended!$B$9:$K$101,10,FALSE),IF(BA810="121-365 Days",VLOOKUP(D810,[3]Extended!$B$9:$L$101,11,FALSE),VLOOKUP(D810,[3]Extended!$B$9:$M$101,12,FALSE)))),0)</f>
        <v>1268750</v>
      </c>
      <c r="P810" s="116">
        <f t="shared" si="61"/>
        <v>0.27500000000000002</v>
      </c>
      <c r="Q810" s="110" t="e">
        <f>O810-#REF!</f>
        <v>#REF!</v>
      </c>
      <c r="W810" s="311"/>
      <c r="X810" s="311"/>
      <c r="Y810" s="311"/>
      <c r="Z810" s="311"/>
      <c r="AA810" s="311"/>
      <c r="AB810" s="311"/>
      <c r="AC810" s="311"/>
      <c r="AT810" s="88" t="str">
        <f t="shared" si="62"/>
        <v>KP0006782017Q214,7</v>
      </c>
      <c r="AU810" s="89" t="str">
        <f t="shared" si="63"/>
        <v>06-2017</v>
      </c>
      <c r="BA810" s="92" t="str">
        <f t="shared" si="64"/>
        <v>WIP - 30 Days</v>
      </c>
    </row>
    <row r="811" spans="2:53">
      <c r="B811" s="60">
        <f>[2]Trucks!A808</f>
        <v>47265</v>
      </c>
      <c r="C811" s="11" t="str">
        <f>[2]Trucks!B808</f>
        <v>TGS-33-4806X4BB-M</v>
      </c>
      <c r="D811" s="19" t="str">
        <f>IFERROR(VLOOKUP(C811&amp;"",'[2]Retail Price List'!$A$3:$B$103,2,FALSE),"Special Order")</f>
        <v>KP000678</v>
      </c>
      <c r="E811" s="18" t="str">
        <f>[2]Trucks!J808</f>
        <v>CKD</v>
      </c>
      <c r="F811" s="12" t="str">
        <f>[2]Trucks!E808</f>
        <v>2017-12-31</v>
      </c>
      <c r="G811" s="56">
        <f>[2]Trucks!K808</f>
        <v>14.7</v>
      </c>
      <c r="H811" s="46">
        <f>[2]Trucks!I808</f>
        <v>42909</v>
      </c>
      <c r="I811" s="83" t="str">
        <f t="shared" si="60"/>
        <v>2017Q2</v>
      </c>
      <c r="J811" s="272">
        <f>IFERROR(VLOOKUP((D811&amp;C811)&amp;"",'[2]Retail Price List'!$C$4:$F$102,3,FALSE),"")</f>
        <v>1710000</v>
      </c>
      <c r="K811" s="272">
        <f>IFERROR(IF(BA811="WIP - 30 Days",VLOOKUP(D811,[3]Standard!$B$9:$E$101,4,FALSE),IF(BA811="31-120 Days",VLOOKUP(D811,[3]Standard!$B$9:$F$101,5,FALSE),IF(BA811="121-365 Days",VLOOKUP(D811,[3]Standard!$B$9:$G$101,6,FALSE),VLOOKUP(D811,[3]Standard!$B$9:$H$101,7,FALSE)))),0)</f>
        <v>1276942.5</v>
      </c>
      <c r="L811" s="272">
        <f>IFERROR(IF(BA811="WIP - 30 Days",VLOOKUP(D811,[3]Standard!$B$9:$J$101,9,FALSE),IF(BA811="31-120 Days",VLOOKUP(D811,[3]Standard!$B$9:$K$100,10,FALSE),IF(BA811="121-365 Days",VLOOKUP(D811,[3]Standard!$B$9:$L$101,11,FALSE),VLOOKUP(D811,[3]Standard!$B$9:$M$101,12,FALSE)))),0)</f>
        <v>1239750</v>
      </c>
      <c r="M811" s="269">
        <f>IFERROR(VLOOKUP((D811&amp;C811)&amp;"",'[2]Retail Price List'!$C$4:$F$102,4,FALSE),"")</f>
        <v>1750000</v>
      </c>
      <c r="N811" s="269">
        <f>IFERROR(IF(BA811="WIP - 30 Days",VLOOKUP(D811,[3]Extended!$B$9:$E$101,4,FALSE),IF(BA811="31-120 Days",VLOOKUP(D811,[3]Extended!$B$9:$F$101,5,FALSE),IF(BA811="121-365 Days",VLOOKUP(D811,[3]Extended!$B$9:$G$101,6,FALSE),VLOOKUP(D811,[3]Extended!$B$9:$H$101,7,FALSE)))),0)</f>
        <v>1306812.5</v>
      </c>
      <c r="O811" s="269">
        <f>IFERROR(IF(BA811="WIP - 30 Days",VLOOKUP(D811,[3]Extended!$B$9:$J$101,9,FALSE),IF(BA811="31-120 Days",VLOOKUP(D811,[3]Extended!$B$9:$K$101,10,FALSE),IF(BA811="121-365 Days",VLOOKUP(D811,[3]Extended!$B$9:$L$101,11,FALSE),VLOOKUP(D811,[3]Extended!$B$9:$M$101,12,FALSE)))),0)</f>
        <v>1268750</v>
      </c>
      <c r="P811" s="116">
        <f t="shared" si="61"/>
        <v>0.27500000000000002</v>
      </c>
      <c r="Q811" s="110" t="e">
        <f>O811-#REF!</f>
        <v>#REF!</v>
      </c>
      <c r="W811" s="311"/>
      <c r="X811" s="311"/>
      <c r="Y811" s="311"/>
      <c r="Z811" s="311"/>
      <c r="AA811" s="311"/>
      <c r="AB811" s="311"/>
      <c r="AC811" s="311"/>
      <c r="AT811" s="88" t="str">
        <f t="shared" si="62"/>
        <v>KP0006782017Q214,7</v>
      </c>
      <c r="AU811" s="89" t="str">
        <f t="shared" si="63"/>
        <v>06-2017</v>
      </c>
      <c r="BA811" s="92" t="str">
        <f t="shared" si="64"/>
        <v>WIP - 30 Days</v>
      </c>
    </row>
    <row r="812" spans="2:53">
      <c r="B812" s="60">
        <f>[2]Trucks!A809</f>
        <v>47266</v>
      </c>
      <c r="C812" s="11" t="str">
        <f>[2]Trucks!B809</f>
        <v>TGS-33-4806X4BB-M</v>
      </c>
      <c r="D812" s="19" t="str">
        <f>IFERROR(VLOOKUP(C812&amp;"",'[2]Retail Price List'!$A$3:$B$103,2,FALSE),"Special Order")</f>
        <v>KP000678</v>
      </c>
      <c r="E812" s="18" t="str">
        <f>[2]Trucks!J809</f>
        <v>CKD</v>
      </c>
      <c r="F812" s="12" t="str">
        <f>[2]Trucks!E809</f>
        <v>2017-12-31</v>
      </c>
      <c r="G812" s="56">
        <f>[2]Trucks!K809</f>
        <v>14.7</v>
      </c>
      <c r="H812" s="46">
        <f>[2]Trucks!I809</f>
        <v>42909</v>
      </c>
      <c r="I812" s="83" t="str">
        <f t="shared" si="60"/>
        <v>2017Q2</v>
      </c>
      <c r="J812" s="272">
        <f>IFERROR(VLOOKUP((D812&amp;C812)&amp;"",'[2]Retail Price List'!$C$4:$F$102,3,FALSE),"")</f>
        <v>1710000</v>
      </c>
      <c r="K812" s="272">
        <f>IFERROR(IF(BA812="WIP - 30 Days",VLOOKUP(D812,[3]Standard!$B$9:$E$101,4,FALSE),IF(BA812="31-120 Days",VLOOKUP(D812,[3]Standard!$B$9:$F$101,5,FALSE),IF(BA812="121-365 Days",VLOOKUP(D812,[3]Standard!$B$9:$G$101,6,FALSE),VLOOKUP(D812,[3]Standard!$B$9:$H$101,7,FALSE)))),0)</f>
        <v>1276942.5</v>
      </c>
      <c r="L812" s="272">
        <f>IFERROR(IF(BA812="WIP - 30 Days",VLOOKUP(D812,[3]Standard!$B$9:$J$101,9,FALSE),IF(BA812="31-120 Days",VLOOKUP(D812,[3]Standard!$B$9:$K$100,10,FALSE),IF(BA812="121-365 Days",VLOOKUP(D812,[3]Standard!$B$9:$L$101,11,FALSE),VLOOKUP(D812,[3]Standard!$B$9:$M$101,12,FALSE)))),0)</f>
        <v>1239750</v>
      </c>
      <c r="M812" s="269">
        <f>IFERROR(VLOOKUP((D812&amp;C812)&amp;"",'[2]Retail Price List'!$C$4:$F$102,4,FALSE),"")</f>
        <v>1750000</v>
      </c>
      <c r="N812" s="269">
        <f>IFERROR(IF(BA812="WIP - 30 Days",VLOOKUP(D812,[3]Extended!$B$9:$E$101,4,FALSE),IF(BA812="31-120 Days",VLOOKUP(D812,[3]Extended!$B$9:$F$101,5,FALSE),IF(BA812="121-365 Days",VLOOKUP(D812,[3]Extended!$B$9:$G$101,6,FALSE),VLOOKUP(D812,[3]Extended!$B$9:$H$101,7,FALSE)))),0)</f>
        <v>1306812.5</v>
      </c>
      <c r="O812" s="269">
        <f>IFERROR(IF(BA812="WIP - 30 Days",VLOOKUP(D812,[3]Extended!$B$9:$J$101,9,FALSE),IF(BA812="31-120 Days",VLOOKUP(D812,[3]Extended!$B$9:$K$101,10,FALSE),IF(BA812="121-365 Days",VLOOKUP(D812,[3]Extended!$B$9:$L$101,11,FALSE),VLOOKUP(D812,[3]Extended!$B$9:$M$101,12,FALSE)))),0)</f>
        <v>1268750</v>
      </c>
      <c r="P812" s="116">
        <f t="shared" si="61"/>
        <v>0.27500000000000002</v>
      </c>
      <c r="Q812" s="110" t="e">
        <f>O812-#REF!</f>
        <v>#REF!</v>
      </c>
      <c r="W812" s="311"/>
      <c r="X812" s="311"/>
      <c r="Y812" s="311"/>
      <c r="Z812" s="311"/>
      <c r="AA812" s="311"/>
      <c r="AB812" s="311"/>
      <c r="AC812" s="311"/>
      <c r="AT812" s="88" t="str">
        <f t="shared" si="62"/>
        <v>KP0006782017Q214,7</v>
      </c>
      <c r="AU812" s="89" t="str">
        <f t="shared" si="63"/>
        <v>06-2017</v>
      </c>
      <c r="BA812" s="92" t="str">
        <f t="shared" si="64"/>
        <v>WIP - 30 Days</v>
      </c>
    </row>
    <row r="813" spans="2:53">
      <c r="B813" s="60">
        <f>[2]Trucks!A810</f>
        <v>47267</v>
      </c>
      <c r="C813" s="11" t="str">
        <f>[2]Trucks!B810</f>
        <v>TGS-33-4806X4BB-M</v>
      </c>
      <c r="D813" s="19" t="str">
        <f>IFERROR(VLOOKUP(C813&amp;"",'[2]Retail Price List'!$A$3:$B$103,2,FALSE),"Special Order")</f>
        <v>KP000678</v>
      </c>
      <c r="E813" s="18" t="str">
        <f>[2]Trucks!J810</f>
        <v>CKD</v>
      </c>
      <c r="F813" s="12" t="str">
        <f>[2]Trucks!E810</f>
        <v>2017-12-31</v>
      </c>
      <c r="G813" s="56">
        <f>[2]Trucks!K810</f>
        <v>14.7</v>
      </c>
      <c r="H813" s="46">
        <f>[2]Trucks!I810</f>
        <v>42909</v>
      </c>
      <c r="I813" s="83" t="str">
        <f t="shared" si="60"/>
        <v>2017Q2</v>
      </c>
      <c r="J813" s="272">
        <f>IFERROR(VLOOKUP((D813&amp;C813)&amp;"",'[2]Retail Price List'!$C$4:$F$102,3,FALSE),"")</f>
        <v>1710000</v>
      </c>
      <c r="K813" s="272">
        <f>IFERROR(IF(BA813="WIP - 30 Days",VLOOKUP(D813,[3]Standard!$B$9:$E$101,4,FALSE),IF(BA813="31-120 Days",VLOOKUP(D813,[3]Standard!$B$9:$F$101,5,FALSE),IF(BA813="121-365 Days",VLOOKUP(D813,[3]Standard!$B$9:$G$101,6,FALSE),VLOOKUP(D813,[3]Standard!$B$9:$H$101,7,FALSE)))),0)</f>
        <v>1276942.5</v>
      </c>
      <c r="L813" s="272">
        <f>IFERROR(IF(BA813="WIP - 30 Days",VLOOKUP(D813,[3]Standard!$B$9:$J$101,9,FALSE),IF(BA813="31-120 Days",VLOOKUP(D813,[3]Standard!$B$9:$K$100,10,FALSE),IF(BA813="121-365 Days",VLOOKUP(D813,[3]Standard!$B$9:$L$101,11,FALSE),VLOOKUP(D813,[3]Standard!$B$9:$M$101,12,FALSE)))),0)</f>
        <v>1239750</v>
      </c>
      <c r="M813" s="269">
        <f>IFERROR(VLOOKUP((D813&amp;C813)&amp;"",'[2]Retail Price List'!$C$4:$F$102,4,FALSE),"")</f>
        <v>1750000</v>
      </c>
      <c r="N813" s="269">
        <f>IFERROR(IF(BA813="WIP - 30 Days",VLOOKUP(D813,[3]Extended!$B$9:$E$101,4,FALSE),IF(BA813="31-120 Days",VLOOKUP(D813,[3]Extended!$B$9:$F$101,5,FALSE),IF(BA813="121-365 Days",VLOOKUP(D813,[3]Extended!$B$9:$G$101,6,FALSE),VLOOKUP(D813,[3]Extended!$B$9:$H$101,7,FALSE)))),0)</f>
        <v>1306812.5</v>
      </c>
      <c r="O813" s="269">
        <f>IFERROR(IF(BA813="WIP - 30 Days",VLOOKUP(D813,[3]Extended!$B$9:$J$101,9,FALSE),IF(BA813="31-120 Days",VLOOKUP(D813,[3]Extended!$B$9:$K$101,10,FALSE),IF(BA813="121-365 Days",VLOOKUP(D813,[3]Extended!$B$9:$L$101,11,FALSE),VLOOKUP(D813,[3]Extended!$B$9:$M$101,12,FALSE)))),0)</f>
        <v>1268750</v>
      </c>
      <c r="P813" s="116">
        <f t="shared" si="61"/>
        <v>0.27500000000000002</v>
      </c>
      <c r="Q813" s="110" t="e">
        <f>O813-#REF!</f>
        <v>#REF!</v>
      </c>
      <c r="W813" s="311"/>
      <c r="X813" s="311"/>
      <c r="Y813" s="311"/>
      <c r="Z813" s="311"/>
      <c r="AA813" s="311"/>
      <c r="AB813" s="311"/>
      <c r="AC813" s="311"/>
      <c r="AT813" s="88" t="str">
        <f t="shared" si="62"/>
        <v>KP0006782017Q214,7</v>
      </c>
      <c r="AU813" s="89" t="str">
        <f t="shared" si="63"/>
        <v>06-2017</v>
      </c>
      <c r="BA813" s="92" t="str">
        <f t="shared" si="64"/>
        <v>WIP - 30 Days</v>
      </c>
    </row>
    <row r="814" spans="2:53">
      <c r="B814" s="60">
        <f>[2]Trucks!A811</f>
        <v>47562</v>
      </c>
      <c r="C814" s="11" t="str">
        <f>[2]Trucks!B811</f>
        <v>TGS-33-4806X4BB-M</v>
      </c>
      <c r="D814" s="19" t="str">
        <f>IFERROR(VLOOKUP(C814&amp;"",'[2]Retail Price List'!$A$3:$B$103,2,FALSE),"Special Order")</f>
        <v>KP000678</v>
      </c>
      <c r="E814" s="18" t="str">
        <f>[2]Trucks!J811</f>
        <v>CKD</v>
      </c>
      <c r="F814" s="12" t="str">
        <f>[2]Trucks!E811</f>
        <v>2017-11-15</v>
      </c>
      <c r="G814" s="56">
        <f>[2]Trucks!K811</f>
        <v>14.7</v>
      </c>
      <c r="H814" s="46">
        <f>[2]Trucks!I811</f>
        <v>42937</v>
      </c>
      <c r="I814" s="83" t="str">
        <f t="shared" si="60"/>
        <v>2017Q3</v>
      </c>
      <c r="J814" s="272">
        <f>IFERROR(VLOOKUP((D814&amp;C814)&amp;"",'[2]Retail Price List'!$C$4:$F$102,3,FALSE),"")</f>
        <v>1710000</v>
      </c>
      <c r="K814" s="272">
        <f>IFERROR(IF(BA814="WIP - 30 Days",VLOOKUP(D814,[3]Standard!$B$9:$E$101,4,FALSE),IF(BA814="31-120 Days",VLOOKUP(D814,[3]Standard!$B$9:$F$101,5,FALSE),IF(BA814="121-365 Days",VLOOKUP(D814,[3]Standard!$B$9:$G$101,6,FALSE),VLOOKUP(D814,[3]Standard!$B$9:$H$101,7,FALSE)))),0)</f>
        <v>1276942.5</v>
      </c>
      <c r="L814" s="272">
        <f>IFERROR(IF(BA814="WIP - 30 Days",VLOOKUP(D814,[3]Standard!$B$9:$J$101,9,FALSE),IF(BA814="31-120 Days",VLOOKUP(D814,[3]Standard!$B$9:$K$100,10,FALSE),IF(BA814="121-365 Days",VLOOKUP(D814,[3]Standard!$B$9:$L$101,11,FALSE),VLOOKUP(D814,[3]Standard!$B$9:$M$101,12,FALSE)))),0)</f>
        <v>1239750</v>
      </c>
      <c r="M814" s="269">
        <f>IFERROR(VLOOKUP((D814&amp;C814)&amp;"",'[2]Retail Price List'!$C$4:$F$102,4,FALSE),"")</f>
        <v>1750000</v>
      </c>
      <c r="N814" s="269">
        <f>IFERROR(IF(BA814="WIP - 30 Days",VLOOKUP(D814,[3]Extended!$B$9:$E$101,4,FALSE),IF(BA814="31-120 Days",VLOOKUP(D814,[3]Extended!$B$9:$F$101,5,FALSE),IF(BA814="121-365 Days",VLOOKUP(D814,[3]Extended!$B$9:$G$101,6,FALSE),VLOOKUP(D814,[3]Extended!$B$9:$H$101,7,FALSE)))),0)</f>
        <v>1306812.5</v>
      </c>
      <c r="O814" s="269">
        <f>IFERROR(IF(BA814="WIP - 30 Days",VLOOKUP(D814,[3]Extended!$B$9:$J$101,9,FALSE),IF(BA814="31-120 Days",VLOOKUP(D814,[3]Extended!$B$9:$K$101,10,FALSE),IF(BA814="121-365 Days",VLOOKUP(D814,[3]Extended!$B$9:$L$101,11,FALSE),VLOOKUP(D814,[3]Extended!$B$9:$M$101,12,FALSE)))),0)</f>
        <v>1268750</v>
      </c>
      <c r="P814" s="116">
        <f t="shared" si="61"/>
        <v>0.27500000000000002</v>
      </c>
      <c r="Q814" s="110" t="e">
        <f>O814-#REF!</f>
        <v>#REF!</v>
      </c>
      <c r="W814" s="311"/>
      <c r="X814" s="311"/>
      <c r="Y814" s="311"/>
      <c r="Z814" s="311"/>
      <c r="AA814" s="311"/>
      <c r="AB814" s="311"/>
      <c r="AC814" s="311"/>
      <c r="AT814" s="88" t="str">
        <f t="shared" si="62"/>
        <v>KP0006782017Q314,7</v>
      </c>
      <c r="AU814" s="89" t="str">
        <f t="shared" si="63"/>
        <v>07-2017</v>
      </c>
      <c r="BA814" s="92" t="str">
        <f t="shared" si="64"/>
        <v>WIP - 30 Days</v>
      </c>
    </row>
    <row r="815" spans="2:53">
      <c r="B815" s="60">
        <f>[2]Trucks!A812</f>
        <v>47563</v>
      </c>
      <c r="C815" s="11" t="str">
        <f>[2]Trucks!B812</f>
        <v>TGS-33-4806X4BB-M</v>
      </c>
      <c r="D815" s="19" t="str">
        <f>IFERROR(VLOOKUP(C815&amp;"",'[2]Retail Price List'!$A$3:$B$103,2,FALSE),"Special Order")</f>
        <v>KP000678</v>
      </c>
      <c r="E815" s="18" t="str">
        <f>[2]Trucks!J812</f>
        <v>CKD</v>
      </c>
      <c r="F815" s="12" t="str">
        <f>[2]Trucks!E812</f>
        <v>2017-11-15</v>
      </c>
      <c r="G815" s="56">
        <f>[2]Trucks!K812</f>
        <v>14.7</v>
      </c>
      <c r="H815" s="46">
        <f>[2]Trucks!I812</f>
        <v>42937</v>
      </c>
      <c r="I815" s="83" t="str">
        <f t="shared" si="60"/>
        <v>2017Q3</v>
      </c>
      <c r="J815" s="272">
        <f>IFERROR(VLOOKUP((D815&amp;C815)&amp;"",'[2]Retail Price List'!$C$4:$F$102,3,FALSE),"")</f>
        <v>1710000</v>
      </c>
      <c r="K815" s="272">
        <f>IFERROR(IF(BA815="WIP - 30 Days",VLOOKUP(D815,[3]Standard!$B$9:$E$101,4,FALSE),IF(BA815="31-120 Days",VLOOKUP(D815,[3]Standard!$B$9:$F$101,5,FALSE),IF(BA815="121-365 Days",VLOOKUP(D815,[3]Standard!$B$9:$G$101,6,FALSE),VLOOKUP(D815,[3]Standard!$B$9:$H$101,7,FALSE)))),0)</f>
        <v>1276942.5</v>
      </c>
      <c r="L815" s="272">
        <f>IFERROR(IF(BA815="WIP - 30 Days",VLOOKUP(D815,[3]Standard!$B$9:$J$101,9,FALSE),IF(BA815="31-120 Days",VLOOKUP(D815,[3]Standard!$B$9:$K$100,10,FALSE),IF(BA815="121-365 Days",VLOOKUP(D815,[3]Standard!$B$9:$L$101,11,FALSE),VLOOKUP(D815,[3]Standard!$B$9:$M$101,12,FALSE)))),0)</f>
        <v>1239750</v>
      </c>
      <c r="M815" s="269">
        <f>IFERROR(VLOOKUP((D815&amp;C815)&amp;"",'[2]Retail Price List'!$C$4:$F$102,4,FALSE),"")</f>
        <v>1750000</v>
      </c>
      <c r="N815" s="269">
        <f>IFERROR(IF(BA815="WIP - 30 Days",VLOOKUP(D815,[3]Extended!$B$9:$E$101,4,FALSE),IF(BA815="31-120 Days",VLOOKUP(D815,[3]Extended!$B$9:$F$101,5,FALSE),IF(BA815="121-365 Days",VLOOKUP(D815,[3]Extended!$B$9:$G$101,6,FALSE),VLOOKUP(D815,[3]Extended!$B$9:$H$101,7,FALSE)))),0)</f>
        <v>1306812.5</v>
      </c>
      <c r="O815" s="269">
        <f>IFERROR(IF(BA815="WIP - 30 Days",VLOOKUP(D815,[3]Extended!$B$9:$J$101,9,FALSE),IF(BA815="31-120 Days",VLOOKUP(D815,[3]Extended!$B$9:$K$101,10,FALSE),IF(BA815="121-365 Days",VLOOKUP(D815,[3]Extended!$B$9:$L$101,11,FALSE),VLOOKUP(D815,[3]Extended!$B$9:$M$101,12,FALSE)))),0)</f>
        <v>1268750</v>
      </c>
      <c r="P815" s="116">
        <f t="shared" si="61"/>
        <v>0.27500000000000002</v>
      </c>
      <c r="Q815" s="110" t="e">
        <f>O815-#REF!</f>
        <v>#REF!</v>
      </c>
      <c r="W815" s="311"/>
      <c r="X815" s="311"/>
      <c r="Y815" s="311"/>
      <c r="Z815" s="311"/>
      <c r="AA815" s="311"/>
      <c r="AB815" s="311"/>
      <c r="AC815" s="311"/>
      <c r="AT815" s="88" t="str">
        <f t="shared" si="62"/>
        <v>KP0006782017Q314,7</v>
      </c>
      <c r="AU815" s="89" t="str">
        <f t="shared" si="63"/>
        <v>07-2017</v>
      </c>
      <c r="BA815" s="92" t="str">
        <f t="shared" si="64"/>
        <v>WIP - 30 Days</v>
      </c>
    </row>
    <row r="816" spans="2:53">
      <c r="B816" s="60">
        <f>[2]Trucks!A813</f>
        <v>47564</v>
      </c>
      <c r="C816" s="11" t="str">
        <f>[2]Trucks!B813</f>
        <v>TGS-33-4806X4BB-M</v>
      </c>
      <c r="D816" s="19" t="str">
        <f>IFERROR(VLOOKUP(C816&amp;"",'[2]Retail Price List'!$A$3:$B$103,2,FALSE),"Special Order")</f>
        <v>KP000678</v>
      </c>
      <c r="E816" s="18" t="str">
        <f>[2]Trucks!J813</f>
        <v>CKD</v>
      </c>
      <c r="F816" s="12" t="str">
        <f>[2]Trucks!E813</f>
        <v>2017-11-15</v>
      </c>
      <c r="G816" s="56">
        <f>[2]Trucks!K813</f>
        <v>14.7</v>
      </c>
      <c r="H816" s="46">
        <f>[2]Trucks!I813</f>
        <v>42937</v>
      </c>
      <c r="I816" s="83" t="str">
        <f t="shared" si="60"/>
        <v>2017Q3</v>
      </c>
      <c r="J816" s="272">
        <f>IFERROR(VLOOKUP((D816&amp;C816)&amp;"",'[2]Retail Price List'!$C$4:$F$102,3,FALSE),"")</f>
        <v>1710000</v>
      </c>
      <c r="K816" s="272">
        <f>IFERROR(IF(BA816="WIP - 30 Days",VLOOKUP(D816,[3]Standard!$B$9:$E$101,4,FALSE),IF(BA816="31-120 Days",VLOOKUP(D816,[3]Standard!$B$9:$F$101,5,FALSE),IF(BA816="121-365 Days",VLOOKUP(D816,[3]Standard!$B$9:$G$101,6,FALSE),VLOOKUP(D816,[3]Standard!$B$9:$H$101,7,FALSE)))),0)</f>
        <v>1276942.5</v>
      </c>
      <c r="L816" s="272">
        <f>IFERROR(IF(BA816="WIP - 30 Days",VLOOKUP(D816,[3]Standard!$B$9:$J$101,9,FALSE),IF(BA816="31-120 Days",VLOOKUP(D816,[3]Standard!$B$9:$K$100,10,FALSE),IF(BA816="121-365 Days",VLOOKUP(D816,[3]Standard!$B$9:$L$101,11,FALSE),VLOOKUP(D816,[3]Standard!$B$9:$M$101,12,FALSE)))),0)</f>
        <v>1239750</v>
      </c>
      <c r="M816" s="269">
        <f>IFERROR(VLOOKUP((D816&amp;C816)&amp;"",'[2]Retail Price List'!$C$4:$F$102,4,FALSE),"")</f>
        <v>1750000</v>
      </c>
      <c r="N816" s="269">
        <f>IFERROR(IF(BA816="WIP - 30 Days",VLOOKUP(D816,[3]Extended!$B$9:$E$101,4,FALSE),IF(BA816="31-120 Days",VLOOKUP(D816,[3]Extended!$B$9:$F$101,5,FALSE),IF(BA816="121-365 Days",VLOOKUP(D816,[3]Extended!$B$9:$G$101,6,FALSE),VLOOKUP(D816,[3]Extended!$B$9:$H$101,7,FALSE)))),0)</f>
        <v>1306812.5</v>
      </c>
      <c r="O816" s="269">
        <f>IFERROR(IF(BA816="WIP - 30 Days",VLOOKUP(D816,[3]Extended!$B$9:$J$101,9,FALSE),IF(BA816="31-120 Days",VLOOKUP(D816,[3]Extended!$B$9:$K$101,10,FALSE),IF(BA816="121-365 Days",VLOOKUP(D816,[3]Extended!$B$9:$L$101,11,FALSE),VLOOKUP(D816,[3]Extended!$B$9:$M$101,12,FALSE)))),0)</f>
        <v>1268750</v>
      </c>
      <c r="P816" s="116">
        <f t="shared" si="61"/>
        <v>0.27500000000000002</v>
      </c>
      <c r="Q816" s="110" t="e">
        <f>O816-#REF!</f>
        <v>#REF!</v>
      </c>
      <c r="W816" s="311"/>
      <c r="X816" s="311"/>
      <c r="Y816" s="311"/>
      <c r="Z816" s="311"/>
      <c r="AA816" s="311"/>
      <c r="AB816" s="311"/>
      <c r="AC816" s="311"/>
      <c r="AT816" s="88" t="str">
        <f t="shared" si="62"/>
        <v>KP0006782017Q314,7</v>
      </c>
      <c r="AU816" s="89" t="str">
        <f t="shared" si="63"/>
        <v>07-2017</v>
      </c>
      <c r="BA816" s="92" t="str">
        <f t="shared" si="64"/>
        <v>WIP - 30 Days</v>
      </c>
    </row>
    <row r="817" spans="2:53">
      <c r="B817" s="60">
        <f>[2]Trucks!A814</f>
        <v>47565</v>
      </c>
      <c r="C817" s="11" t="str">
        <f>[2]Trucks!B814</f>
        <v>TGS-33-4806X4BB-M</v>
      </c>
      <c r="D817" s="19" t="str">
        <f>IFERROR(VLOOKUP(C817&amp;"",'[2]Retail Price List'!$A$3:$B$103,2,FALSE),"Special Order")</f>
        <v>KP000678</v>
      </c>
      <c r="E817" s="18" t="str">
        <f>[2]Trucks!J814</f>
        <v>CKD</v>
      </c>
      <c r="F817" s="12" t="str">
        <f>[2]Trucks!E814</f>
        <v>2017-11-15</v>
      </c>
      <c r="G817" s="56">
        <f>[2]Trucks!K814</f>
        <v>14.7</v>
      </c>
      <c r="H817" s="46">
        <f>[2]Trucks!I814</f>
        <v>42937</v>
      </c>
      <c r="I817" s="83" t="str">
        <f t="shared" si="60"/>
        <v>2017Q3</v>
      </c>
      <c r="J817" s="272">
        <f>IFERROR(VLOOKUP((D817&amp;C817)&amp;"",'[2]Retail Price List'!$C$4:$F$102,3,FALSE),"")</f>
        <v>1710000</v>
      </c>
      <c r="K817" s="272">
        <f>IFERROR(IF(BA817="WIP - 30 Days",VLOOKUP(D817,[3]Standard!$B$9:$E$101,4,FALSE),IF(BA817="31-120 Days",VLOOKUP(D817,[3]Standard!$B$9:$F$101,5,FALSE),IF(BA817="121-365 Days",VLOOKUP(D817,[3]Standard!$B$9:$G$101,6,FALSE),VLOOKUP(D817,[3]Standard!$B$9:$H$101,7,FALSE)))),0)</f>
        <v>1276942.5</v>
      </c>
      <c r="L817" s="272">
        <f>IFERROR(IF(BA817="WIP - 30 Days",VLOOKUP(D817,[3]Standard!$B$9:$J$101,9,FALSE),IF(BA817="31-120 Days",VLOOKUP(D817,[3]Standard!$B$9:$K$100,10,FALSE),IF(BA817="121-365 Days",VLOOKUP(D817,[3]Standard!$B$9:$L$101,11,FALSE),VLOOKUP(D817,[3]Standard!$B$9:$M$101,12,FALSE)))),0)</f>
        <v>1239750</v>
      </c>
      <c r="M817" s="269">
        <f>IFERROR(VLOOKUP((D817&amp;C817)&amp;"",'[2]Retail Price List'!$C$4:$F$102,4,FALSE),"")</f>
        <v>1750000</v>
      </c>
      <c r="N817" s="269">
        <f>IFERROR(IF(BA817="WIP - 30 Days",VLOOKUP(D817,[3]Extended!$B$9:$E$101,4,FALSE),IF(BA817="31-120 Days",VLOOKUP(D817,[3]Extended!$B$9:$F$101,5,FALSE),IF(BA817="121-365 Days",VLOOKUP(D817,[3]Extended!$B$9:$G$101,6,FALSE),VLOOKUP(D817,[3]Extended!$B$9:$H$101,7,FALSE)))),0)</f>
        <v>1306812.5</v>
      </c>
      <c r="O817" s="269">
        <f>IFERROR(IF(BA817="WIP - 30 Days",VLOOKUP(D817,[3]Extended!$B$9:$J$101,9,FALSE),IF(BA817="31-120 Days",VLOOKUP(D817,[3]Extended!$B$9:$K$101,10,FALSE),IF(BA817="121-365 Days",VLOOKUP(D817,[3]Extended!$B$9:$L$101,11,FALSE),VLOOKUP(D817,[3]Extended!$B$9:$M$101,12,FALSE)))),0)</f>
        <v>1268750</v>
      </c>
      <c r="P817" s="116">
        <f t="shared" si="61"/>
        <v>0.27500000000000002</v>
      </c>
      <c r="Q817" s="110" t="e">
        <f>O817-#REF!</f>
        <v>#REF!</v>
      </c>
      <c r="W817" s="311"/>
      <c r="X817" s="311"/>
      <c r="Y817" s="311"/>
      <c r="Z817" s="311"/>
      <c r="AA817" s="311"/>
      <c r="AB817" s="311"/>
      <c r="AC817" s="311"/>
      <c r="AT817" s="88" t="str">
        <f t="shared" si="62"/>
        <v>KP0006782017Q314,7</v>
      </c>
      <c r="AU817" s="89" t="str">
        <f t="shared" si="63"/>
        <v>07-2017</v>
      </c>
      <c r="BA817" s="92" t="str">
        <f t="shared" si="64"/>
        <v>WIP - 30 Days</v>
      </c>
    </row>
    <row r="818" spans="2:53">
      <c r="B818" s="60">
        <f>[2]Trucks!A815</f>
        <v>47566</v>
      </c>
      <c r="C818" s="11" t="str">
        <f>[2]Trucks!B815</f>
        <v>TGS-33-4806X4BB-M</v>
      </c>
      <c r="D818" s="19" t="str">
        <f>IFERROR(VLOOKUP(C818&amp;"",'[2]Retail Price List'!$A$3:$B$103,2,FALSE),"Special Order")</f>
        <v>KP000678</v>
      </c>
      <c r="E818" s="18" t="str">
        <f>[2]Trucks!J815</f>
        <v>CKD</v>
      </c>
      <c r="F818" s="12" t="str">
        <f>[2]Trucks!E815</f>
        <v>2017-11-30</v>
      </c>
      <c r="G818" s="56">
        <f>[2]Trucks!K815</f>
        <v>14.7</v>
      </c>
      <c r="H818" s="46">
        <f>[2]Trucks!I815</f>
        <v>42937</v>
      </c>
      <c r="I818" s="83" t="str">
        <f t="shared" si="60"/>
        <v>2017Q3</v>
      </c>
      <c r="J818" s="272">
        <f>IFERROR(VLOOKUP((D818&amp;C818)&amp;"",'[2]Retail Price List'!$C$4:$F$102,3,FALSE),"")</f>
        <v>1710000</v>
      </c>
      <c r="K818" s="272">
        <f>IFERROR(IF(BA818="WIP - 30 Days",VLOOKUP(D818,[3]Standard!$B$9:$E$101,4,FALSE),IF(BA818="31-120 Days",VLOOKUP(D818,[3]Standard!$B$9:$F$101,5,FALSE),IF(BA818="121-365 Days",VLOOKUP(D818,[3]Standard!$B$9:$G$101,6,FALSE),VLOOKUP(D818,[3]Standard!$B$9:$H$101,7,FALSE)))),0)</f>
        <v>1276942.5</v>
      </c>
      <c r="L818" s="272">
        <f>IFERROR(IF(BA818="WIP - 30 Days",VLOOKUP(D818,[3]Standard!$B$9:$J$101,9,FALSE),IF(BA818="31-120 Days",VLOOKUP(D818,[3]Standard!$B$9:$K$100,10,FALSE),IF(BA818="121-365 Days",VLOOKUP(D818,[3]Standard!$B$9:$L$101,11,FALSE),VLOOKUP(D818,[3]Standard!$B$9:$M$101,12,FALSE)))),0)</f>
        <v>1239750</v>
      </c>
      <c r="M818" s="269">
        <f>IFERROR(VLOOKUP((D818&amp;C818)&amp;"",'[2]Retail Price List'!$C$4:$F$102,4,FALSE),"")</f>
        <v>1750000</v>
      </c>
      <c r="N818" s="269">
        <f>IFERROR(IF(BA818="WIP - 30 Days",VLOOKUP(D818,[3]Extended!$B$9:$E$101,4,FALSE),IF(BA818="31-120 Days",VLOOKUP(D818,[3]Extended!$B$9:$F$101,5,FALSE),IF(BA818="121-365 Days",VLOOKUP(D818,[3]Extended!$B$9:$G$101,6,FALSE),VLOOKUP(D818,[3]Extended!$B$9:$H$101,7,FALSE)))),0)</f>
        <v>1306812.5</v>
      </c>
      <c r="O818" s="269">
        <f>IFERROR(IF(BA818="WIP - 30 Days",VLOOKUP(D818,[3]Extended!$B$9:$J$101,9,FALSE),IF(BA818="31-120 Days",VLOOKUP(D818,[3]Extended!$B$9:$K$101,10,FALSE),IF(BA818="121-365 Days",VLOOKUP(D818,[3]Extended!$B$9:$L$101,11,FALSE),VLOOKUP(D818,[3]Extended!$B$9:$M$101,12,FALSE)))),0)</f>
        <v>1268750</v>
      </c>
      <c r="P818" s="116">
        <f t="shared" si="61"/>
        <v>0.27500000000000002</v>
      </c>
      <c r="Q818" s="110" t="e">
        <f>O818-#REF!</f>
        <v>#REF!</v>
      </c>
      <c r="W818" s="311"/>
      <c r="X818" s="311"/>
      <c r="Y818" s="311"/>
      <c r="Z818" s="311"/>
      <c r="AA818" s="311"/>
      <c r="AB818" s="311"/>
      <c r="AC818" s="311"/>
      <c r="AT818" s="88" t="str">
        <f t="shared" si="62"/>
        <v>KP0006782017Q314,7</v>
      </c>
      <c r="AU818" s="89" t="str">
        <f t="shared" si="63"/>
        <v>07-2017</v>
      </c>
      <c r="BA818" s="92" t="str">
        <f t="shared" si="64"/>
        <v>WIP - 30 Days</v>
      </c>
    </row>
    <row r="819" spans="2:53">
      <c r="B819" s="60">
        <f>[2]Trucks!A816</f>
        <v>47567</v>
      </c>
      <c r="C819" s="11" t="str">
        <f>[2]Trucks!B816</f>
        <v>TGS-33-4806X4BB-M</v>
      </c>
      <c r="D819" s="19" t="str">
        <f>IFERROR(VLOOKUP(C819&amp;"",'[2]Retail Price List'!$A$3:$B$103,2,FALSE),"Special Order")</f>
        <v>KP000678</v>
      </c>
      <c r="E819" s="18" t="str">
        <f>[2]Trucks!J816</f>
        <v>CKD</v>
      </c>
      <c r="F819" s="12" t="str">
        <f>[2]Trucks!E816</f>
        <v>2017-11-30</v>
      </c>
      <c r="G819" s="56">
        <f>[2]Trucks!K816</f>
        <v>14.7</v>
      </c>
      <c r="H819" s="46">
        <f>[2]Trucks!I816</f>
        <v>42937</v>
      </c>
      <c r="I819" s="83" t="str">
        <f t="shared" si="60"/>
        <v>2017Q3</v>
      </c>
      <c r="J819" s="272">
        <f>IFERROR(VLOOKUP((D819&amp;C819)&amp;"",'[2]Retail Price List'!$C$4:$F$102,3,FALSE),"")</f>
        <v>1710000</v>
      </c>
      <c r="K819" s="272">
        <f>IFERROR(IF(BA819="WIP - 30 Days",VLOOKUP(D819,[3]Standard!$B$9:$E$101,4,FALSE),IF(BA819="31-120 Days",VLOOKUP(D819,[3]Standard!$B$9:$F$101,5,FALSE),IF(BA819="121-365 Days",VLOOKUP(D819,[3]Standard!$B$9:$G$101,6,FALSE),VLOOKUP(D819,[3]Standard!$B$9:$H$101,7,FALSE)))),0)</f>
        <v>1276942.5</v>
      </c>
      <c r="L819" s="272">
        <f>IFERROR(IF(BA819="WIP - 30 Days",VLOOKUP(D819,[3]Standard!$B$9:$J$101,9,FALSE),IF(BA819="31-120 Days",VLOOKUP(D819,[3]Standard!$B$9:$K$100,10,FALSE),IF(BA819="121-365 Days",VLOOKUP(D819,[3]Standard!$B$9:$L$101,11,FALSE),VLOOKUP(D819,[3]Standard!$B$9:$M$101,12,FALSE)))),0)</f>
        <v>1239750</v>
      </c>
      <c r="M819" s="269">
        <f>IFERROR(VLOOKUP((D819&amp;C819)&amp;"",'[2]Retail Price List'!$C$4:$F$102,4,FALSE),"")</f>
        <v>1750000</v>
      </c>
      <c r="N819" s="269">
        <f>IFERROR(IF(BA819="WIP - 30 Days",VLOOKUP(D819,[3]Extended!$B$9:$E$101,4,FALSE),IF(BA819="31-120 Days",VLOOKUP(D819,[3]Extended!$B$9:$F$101,5,FALSE),IF(BA819="121-365 Days",VLOOKUP(D819,[3]Extended!$B$9:$G$101,6,FALSE),VLOOKUP(D819,[3]Extended!$B$9:$H$101,7,FALSE)))),0)</f>
        <v>1306812.5</v>
      </c>
      <c r="O819" s="269">
        <f>IFERROR(IF(BA819="WIP - 30 Days",VLOOKUP(D819,[3]Extended!$B$9:$J$101,9,FALSE),IF(BA819="31-120 Days",VLOOKUP(D819,[3]Extended!$B$9:$K$101,10,FALSE),IF(BA819="121-365 Days",VLOOKUP(D819,[3]Extended!$B$9:$L$101,11,FALSE),VLOOKUP(D819,[3]Extended!$B$9:$M$101,12,FALSE)))),0)</f>
        <v>1268750</v>
      </c>
      <c r="P819" s="116">
        <f t="shared" si="61"/>
        <v>0.27500000000000002</v>
      </c>
      <c r="Q819" s="110" t="e">
        <f>O819-#REF!</f>
        <v>#REF!</v>
      </c>
      <c r="W819" s="311"/>
      <c r="X819" s="311"/>
      <c r="Y819" s="311"/>
      <c r="Z819" s="311"/>
      <c r="AA819" s="311"/>
      <c r="AB819" s="311"/>
      <c r="AC819" s="311"/>
      <c r="AT819" s="88" t="str">
        <f t="shared" si="62"/>
        <v>KP0006782017Q314,7</v>
      </c>
      <c r="AU819" s="89" t="str">
        <f t="shared" si="63"/>
        <v>07-2017</v>
      </c>
      <c r="BA819" s="92" t="str">
        <f t="shared" si="64"/>
        <v>WIP - 30 Days</v>
      </c>
    </row>
    <row r="820" spans="2:53">
      <c r="B820" s="60">
        <f>[2]Trucks!A817</f>
        <v>47568</v>
      </c>
      <c r="C820" s="11" t="str">
        <f>[2]Trucks!B817</f>
        <v>TGS-33-4806X4BB-M</v>
      </c>
      <c r="D820" s="19" t="str">
        <f>IFERROR(VLOOKUP(C820&amp;"",'[2]Retail Price List'!$A$3:$B$103,2,FALSE),"Special Order")</f>
        <v>KP000678</v>
      </c>
      <c r="E820" s="18" t="str">
        <f>[2]Trucks!J817</f>
        <v>CKD</v>
      </c>
      <c r="F820" s="12" t="str">
        <f>[2]Trucks!E817</f>
        <v>2017-11-30</v>
      </c>
      <c r="G820" s="56">
        <f>[2]Trucks!K817</f>
        <v>14.7</v>
      </c>
      <c r="H820" s="46">
        <f>[2]Trucks!I817</f>
        <v>42937</v>
      </c>
      <c r="I820" s="83" t="str">
        <f t="shared" si="60"/>
        <v>2017Q3</v>
      </c>
      <c r="J820" s="272">
        <f>IFERROR(VLOOKUP((D820&amp;C820)&amp;"",'[2]Retail Price List'!$C$4:$F$102,3,FALSE),"")</f>
        <v>1710000</v>
      </c>
      <c r="K820" s="272">
        <f>IFERROR(IF(BA820="WIP - 30 Days",VLOOKUP(D820,[3]Standard!$B$9:$E$101,4,FALSE),IF(BA820="31-120 Days",VLOOKUP(D820,[3]Standard!$B$9:$F$101,5,FALSE),IF(BA820="121-365 Days",VLOOKUP(D820,[3]Standard!$B$9:$G$101,6,FALSE),VLOOKUP(D820,[3]Standard!$B$9:$H$101,7,FALSE)))),0)</f>
        <v>1276942.5</v>
      </c>
      <c r="L820" s="272">
        <f>IFERROR(IF(BA820="WIP - 30 Days",VLOOKUP(D820,[3]Standard!$B$9:$J$101,9,FALSE),IF(BA820="31-120 Days",VLOOKUP(D820,[3]Standard!$B$9:$K$100,10,FALSE),IF(BA820="121-365 Days",VLOOKUP(D820,[3]Standard!$B$9:$L$101,11,FALSE),VLOOKUP(D820,[3]Standard!$B$9:$M$101,12,FALSE)))),0)</f>
        <v>1239750</v>
      </c>
      <c r="M820" s="269">
        <f>IFERROR(VLOOKUP((D820&amp;C820)&amp;"",'[2]Retail Price List'!$C$4:$F$102,4,FALSE),"")</f>
        <v>1750000</v>
      </c>
      <c r="N820" s="269">
        <f>IFERROR(IF(BA820="WIP - 30 Days",VLOOKUP(D820,[3]Extended!$B$9:$E$101,4,FALSE),IF(BA820="31-120 Days",VLOOKUP(D820,[3]Extended!$B$9:$F$101,5,FALSE),IF(BA820="121-365 Days",VLOOKUP(D820,[3]Extended!$B$9:$G$101,6,FALSE),VLOOKUP(D820,[3]Extended!$B$9:$H$101,7,FALSE)))),0)</f>
        <v>1306812.5</v>
      </c>
      <c r="O820" s="269">
        <f>IFERROR(IF(BA820="WIP - 30 Days",VLOOKUP(D820,[3]Extended!$B$9:$J$101,9,FALSE),IF(BA820="31-120 Days",VLOOKUP(D820,[3]Extended!$B$9:$K$101,10,FALSE),IF(BA820="121-365 Days",VLOOKUP(D820,[3]Extended!$B$9:$L$101,11,FALSE),VLOOKUP(D820,[3]Extended!$B$9:$M$101,12,FALSE)))),0)</f>
        <v>1268750</v>
      </c>
      <c r="P820" s="116">
        <f t="shared" si="61"/>
        <v>0.27500000000000002</v>
      </c>
      <c r="Q820" s="110" t="e">
        <f>O820-#REF!</f>
        <v>#REF!</v>
      </c>
      <c r="W820" s="311"/>
      <c r="X820" s="311"/>
      <c r="Y820" s="311"/>
      <c r="Z820" s="311"/>
      <c r="AA820" s="311"/>
      <c r="AB820" s="311"/>
      <c r="AC820" s="311"/>
      <c r="AT820" s="88" t="str">
        <f t="shared" si="62"/>
        <v>KP0006782017Q314,7</v>
      </c>
      <c r="AU820" s="89" t="str">
        <f t="shared" si="63"/>
        <v>07-2017</v>
      </c>
      <c r="BA820" s="92" t="str">
        <f t="shared" si="64"/>
        <v>WIP - 30 Days</v>
      </c>
    </row>
    <row r="821" spans="2:53">
      <c r="B821" s="60">
        <f>[2]Trucks!A818</f>
        <v>47569</v>
      </c>
      <c r="C821" s="11" t="str">
        <f>[2]Trucks!B818</f>
        <v>TGS-33-4806X4BB-M</v>
      </c>
      <c r="D821" s="19" t="str">
        <f>IFERROR(VLOOKUP(C821&amp;"",'[2]Retail Price List'!$A$3:$B$103,2,FALSE),"Special Order")</f>
        <v>KP000678</v>
      </c>
      <c r="E821" s="18" t="str">
        <f>[2]Trucks!J818</f>
        <v>CKD</v>
      </c>
      <c r="F821" s="12" t="str">
        <f>[2]Trucks!E818</f>
        <v>2017-11-30</v>
      </c>
      <c r="G821" s="56">
        <f>[2]Trucks!K818</f>
        <v>14.7</v>
      </c>
      <c r="H821" s="46">
        <f>[2]Trucks!I818</f>
        <v>42937</v>
      </c>
      <c r="I821" s="83" t="str">
        <f t="shared" si="60"/>
        <v>2017Q3</v>
      </c>
      <c r="J821" s="272">
        <f>IFERROR(VLOOKUP((D821&amp;C821)&amp;"",'[2]Retail Price List'!$C$4:$F$102,3,FALSE),"")</f>
        <v>1710000</v>
      </c>
      <c r="K821" s="272">
        <f>IFERROR(IF(BA821="WIP - 30 Days",VLOOKUP(D821,[3]Standard!$B$9:$E$101,4,FALSE),IF(BA821="31-120 Days",VLOOKUP(D821,[3]Standard!$B$9:$F$101,5,FALSE),IF(BA821="121-365 Days",VLOOKUP(D821,[3]Standard!$B$9:$G$101,6,FALSE),VLOOKUP(D821,[3]Standard!$B$9:$H$101,7,FALSE)))),0)</f>
        <v>1276942.5</v>
      </c>
      <c r="L821" s="272">
        <f>IFERROR(IF(BA821="WIP - 30 Days",VLOOKUP(D821,[3]Standard!$B$9:$J$101,9,FALSE),IF(BA821="31-120 Days",VLOOKUP(D821,[3]Standard!$B$9:$K$100,10,FALSE),IF(BA821="121-365 Days",VLOOKUP(D821,[3]Standard!$B$9:$L$101,11,FALSE),VLOOKUP(D821,[3]Standard!$B$9:$M$101,12,FALSE)))),0)</f>
        <v>1239750</v>
      </c>
      <c r="M821" s="269">
        <f>IFERROR(VLOOKUP((D821&amp;C821)&amp;"",'[2]Retail Price List'!$C$4:$F$102,4,FALSE),"")</f>
        <v>1750000</v>
      </c>
      <c r="N821" s="269">
        <f>IFERROR(IF(BA821="WIP - 30 Days",VLOOKUP(D821,[3]Extended!$B$9:$E$101,4,FALSE),IF(BA821="31-120 Days",VLOOKUP(D821,[3]Extended!$B$9:$F$101,5,FALSE),IF(BA821="121-365 Days",VLOOKUP(D821,[3]Extended!$B$9:$G$101,6,FALSE),VLOOKUP(D821,[3]Extended!$B$9:$H$101,7,FALSE)))),0)</f>
        <v>1306812.5</v>
      </c>
      <c r="O821" s="269">
        <f>IFERROR(IF(BA821="WIP - 30 Days",VLOOKUP(D821,[3]Extended!$B$9:$J$101,9,FALSE),IF(BA821="31-120 Days",VLOOKUP(D821,[3]Extended!$B$9:$K$101,10,FALSE),IF(BA821="121-365 Days",VLOOKUP(D821,[3]Extended!$B$9:$L$101,11,FALSE),VLOOKUP(D821,[3]Extended!$B$9:$M$101,12,FALSE)))),0)</f>
        <v>1268750</v>
      </c>
      <c r="P821" s="116">
        <f t="shared" si="61"/>
        <v>0.27500000000000002</v>
      </c>
      <c r="Q821" s="110" t="e">
        <f>O821-#REF!</f>
        <v>#REF!</v>
      </c>
      <c r="W821" s="311"/>
      <c r="X821" s="311"/>
      <c r="Y821" s="311"/>
      <c r="Z821" s="311"/>
      <c r="AA821" s="311"/>
      <c r="AB821" s="311"/>
      <c r="AC821" s="311"/>
      <c r="AT821" s="88" t="str">
        <f t="shared" si="62"/>
        <v>KP0006782017Q314,7</v>
      </c>
      <c r="AU821" s="89" t="str">
        <f t="shared" si="63"/>
        <v>07-2017</v>
      </c>
      <c r="BA821" s="92" t="str">
        <f t="shared" si="64"/>
        <v>WIP - 30 Days</v>
      </c>
    </row>
    <row r="822" spans="2:53">
      <c r="B822" s="60" t="str">
        <f>[2]Trucks!A819</f>
        <v>76W-8611</v>
      </c>
      <c r="C822" s="11" t="str">
        <f>[2]Trucks!B819</f>
        <v>TGS-33-4806X4BB-M</v>
      </c>
      <c r="D822" s="19" t="str">
        <f>IFERROR(VLOOKUP(C822&amp;"",'[2]Retail Price List'!$A$3:$B$103,2,FALSE),"Special Order")</f>
        <v>KP000678</v>
      </c>
      <c r="E822" s="18" t="str">
        <f>[2]Trucks!J819</f>
        <v>UNSOLD</v>
      </c>
      <c r="F822" s="12">
        <f>[2]Trucks!E819</f>
        <v>233</v>
      </c>
      <c r="G822" s="56">
        <f>[2]Trucks!K819</f>
        <v>17.3</v>
      </c>
      <c r="H822" s="46">
        <f>[2]Trucks!I819</f>
        <v>42545</v>
      </c>
      <c r="I822" s="83" t="str">
        <f t="shared" si="60"/>
        <v>2016Q2</v>
      </c>
      <c r="J822" s="272">
        <f>IFERROR(VLOOKUP((D822&amp;C822)&amp;"",'[2]Retail Price List'!$C$4:$F$102,3,FALSE),"")</f>
        <v>1710000</v>
      </c>
      <c r="K822" s="272">
        <f>IFERROR(IF(BA822="WIP - 30 Days",VLOOKUP(D822,[3]Standard!$B$9:$E$101,4,FALSE),IF(BA822="31-120 Days",VLOOKUP(D822,[3]Standard!$B$9:$F$101,5,FALSE),IF(BA822="121-365 Days",VLOOKUP(D822,[3]Standard!$B$9:$G$101,6,FALSE),VLOOKUP(D822,[3]Standard!$B$9:$H$101,7,FALSE)))),0)</f>
        <v>1250523</v>
      </c>
      <c r="L822" s="272">
        <f>IFERROR(IF(BA822="WIP - 30 Days",VLOOKUP(D822,[3]Standard!$B$9:$J$101,9,FALSE),IF(BA822="31-120 Days",VLOOKUP(D822,[3]Standard!$B$9:$K$100,10,FALSE),IF(BA822="121-365 Days",VLOOKUP(D822,[3]Standard!$B$9:$L$101,11,FALSE),VLOOKUP(D822,[3]Standard!$B$9:$M$101,12,FALSE)))),0)</f>
        <v>1214100</v>
      </c>
      <c r="M822" s="269">
        <f>IFERROR(VLOOKUP((D822&amp;C822)&amp;"",'[2]Retail Price List'!$C$4:$F$102,4,FALSE),"")</f>
        <v>1750000</v>
      </c>
      <c r="N822" s="269">
        <f>IFERROR(IF(BA822="WIP - 30 Days",VLOOKUP(D822,[3]Extended!$B$9:$E$101,4,FALSE),IF(BA822="31-120 Days",VLOOKUP(D822,[3]Extended!$B$9:$F$101,5,FALSE),IF(BA822="121-365 Days",VLOOKUP(D822,[3]Extended!$B$9:$G$101,6,FALSE),VLOOKUP(D822,[3]Extended!$B$9:$H$101,7,FALSE)))),0)</f>
        <v>1279775</v>
      </c>
      <c r="O822" s="269">
        <f>IFERROR(IF(BA822="WIP - 30 Days",VLOOKUP(D822,[3]Extended!$B$9:$J$101,9,FALSE),IF(BA822="31-120 Days",VLOOKUP(D822,[3]Extended!$B$9:$K$101,10,FALSE),IF(BA822="121-365 Days",VLOOKUP(D822,[3]Extended!$B$9:$L$101,11,FALSE),VLOOKUP(D822,[3]Extended!$B$9:$M$101,12,FALSE)))),0)</f>
        <v>1242500</v>
      </c>
      <c r="P822" s="116">
        <f t="shared" si="61"/>
        <v>0.28999999999999998</v>
      </c>
      <c r="Q822" s="110" t="e">
        <f>O822-#REF!</f>
        <v>#REF!</v>
      </c>
      <c r="W822" s="311"/>
      <c r="X822" s="311"/>
      <c r="Y822" s="311"/>
      <c r="Z822" s="311"/>
      <c r="AA822" s="311"/>
      <c r="AB822" s="311"/>
      <c r="AC822" s="311"/>
      <c r="AT822" s="88" t="str">
        <f t="shared" si="62"/>
        <v>KP0006782016Q217,3</v>
      </c>
      <c r="AU822" s="89" t="str">
        <f t="shared" si="63"/>
        <v>06-2016</v>
      </c>
      <c r="BA822" s="92" t="str">
        <f t="shared" si="64"/>
        <v>121-365 Days</v>
      </c>
    </row>
    <row r="823" spans="2:53">
      <c r="B823" s="60" t="str">
        <f>[2]Trucks!A820</f>
        <v>TBAKP678</v>
      </c>
      <c r="C823" s="11" t="str">
        <f>[2]Trucks!B820</f>
        <v>TGS-33-4806X4BB-M</v>
      </c>
      <c r="D823" s="19" t="str">
        <f>IFERROR(VLOOKUP(C823&amp;"",'[2]Retail Price List'!$A$3:$B$103,2,FALSE),"Special Order")</f>
        <v>KP000678</v>
      </c>
      <c r="E823" s="18" t="str">
        <f>[2]Trucks!J820</f>
        <v>CKD</v>
      </c>
      <c r="F823" s="12" t="str">
        <f>[2]Trucks!E820</f>
        <v>2018-02-15</v>
      </c>
      <c r="G823" s="56">
        <f>[2]Trucks!K820</f>
        <v>14.7</v>
      </c>
      <c r="H823" s="46">
        <f>[2]Trucks!I820</f>
        <v>42921</v>
      </c>
      <c r="I823" s="83" t="str">
        <f t="shared" si="60"/>
        <v>2017Q3</v>
      </c>
      <c r="J823" s="272">
        <f>IFERROR(VLOOKUP((D823&amp;C823)&amp;"",'[2]Retail Price List'!$C$4:$F$102,3,FALSE),"")</f>
        <v>1710000</v>
      </c>
      <c r="K823" s="272">
        <f>IFERROR(IF(BA823="WIP - 30 Days",VLOOKUP(D823,[3]Standard!$B$9:$E$101,4,FALSE),IF(BA823="31-120 Days",VLOOKUP(D823,[3]Standard!$B$9:$F$101,5,FALSE),IF(BA823="121-365 Days",VLOOKUP(D823,[3]Standard!$B$9:$G$101,6,FALSE),VLOOKUP(D823,[3]Standard!$B$9:$H$101,7,FALSE)))),0)</f>
        <v>1276942.5</v>
      </c>
      <c r="L823" s="272">
        <f>IFERROR(IF(BA823="WIP - 30 Days",VLOOKUP(D823,[3]Standard!$B$9:$J$101,9,FALSE),IF(BA823="31-120 Days",VLOOKUP(D823,[3]Standard!$B$9:$K$100,10,FALSE),IF(BA823="121-365 Days",VLOOKUP(D823,[3]Standard!$B$9:$L$101,11,FALSE),VLOOKUP(D823,[3]Standard!$B$9:$M$101,12,FALSE)))),0)</f>
        <v>1239750</v>
      </c>
      <c r="M823" s="269">
        <f>IFERROR(VLOOKUP((D823&amp;C823)&amp;"",'[2]Retail Price List'!$C$4:$F$102,4,FALSE),"")</f>
        <v>1750000</v>
      </c>
      <c r="N823" s="269">
        <f>IFERROR(IF(BA823="WIP - 30 Days",VLOOKUP(D823,[3]Extended!$B$9:$E$101,4,FALSE),IF(BA823="31-120 Days",VLOOKUP(D823,[3]Extended!$B$9:$F$101,5,FALSE),IF(BA823="121-365 Days",VLOOKUP(D823,[3]Extended!$B$9:$G$101,6,FALSE),VLOOKUP(D823,[3]Extended!$B$9:$H$101,7,FALSE)))),0)</f>
        <v>1306812.5</v>
      </c>
      <c r="O823" s="269">
        <f>IFERROR(IF(BA823="WIP - 30 Days",VLOOKUP(D823,[3]Extended!$B$9:$J$101,9,FALSE),IF(BA823="31-120 Days",VLOOKUP(D823,[3]Extended!$B$9:$K$101,10,FALSE),IF(BA823="121-365 Days",VLOOKUP(D823,[3]Extended!$B$9:$L$101,11,FALSE),VLOOKUP(D823,[3]Extended!$B$9:$M$101,12,FALSE)))),0)</f>
        <v>1268750</v>
      </c>
      <c r="P823" s="116">
        <f t="shared" si="61"/>
        <v>0.27500000000000002</v>
      </c>
      <c r="Q823" s="110" t="e">
        <f>O823-#REF!</f>
        <v>#REF!</v>
      </c>
      <c r="W823" s="311"/>
      <c r="X823" s="311"/>
      <c r="Y823" s="311"/>
      <c r="Z823" s="311"/>
      <c r="AA823" s="311"/>
      <c r="AB823" s="311"/>
      <c r="AC823" s="311"/>
      <c r="AT823" s="88" t="str">
        <f t="shared" si="62"/>
        <v>KP0006782017Q314,7</v>
      </c>
      <c r="AU823" s="89" t="str">
        <f t="shared" si="63"/>
        <v>07-2017</v>
      </c>
      <c r="BA823" s="92" t="str">
        <f t="shared" si="64"/>
        <v>WIP - 30 Days</v>
      </c>
    </row>
    <row r="824" spans="2:53">
      <c r="B824" s="60">
        <f>[2]Trucks!A821</f>
        <v>46702</v>
      </c>
      <c r="C824" s="11" t="str">
        <f>[2]Trucks!B821</f>
        <v>TGS-33-4806X4BBS-L</v>
      </c>
      <c r="D824" s="19" t="str">
        <f>IFERROR(VLOOKUP(C824&amp;"",'[2]Retail Price List'!$A$3:$B$103,2,FALSE),"Special Order")</f>
        <v>KP000679</v>
      </c>
      <c r="E824" s="18" t="str">
        <f>[2]Trucks!J821</f>
        <v>CKD</v>
      </c>
      <c r="F824" s="12" t="str">
        <f>[2]Trucks!E821</f>
        <v>2017-10-11</v>
      </c>
      <c r="G824" s="56">
        <f>[2]Trucks!K821</f>
        <v>14.7</v>
      </c>
      <c r="H824" s="46">
        <f>[2]Trucks!I821</f>
        <v>42838</v>
      </c>
      <c r="I824" s="83" t="str">
        <f t="shared" si="60"/>
        <v>2017Q2</v>
      </c>
      <c r="J824" s="272">
        <f>IFERROR(VLOOKUP((D824&amp;C824)&amp;"",'[2]Retail Price List'!$C$4:$F$102,3,FALSE),"")</f>
        <v>1730000</v>
      </c>
      <c r="K824" s="272">
        <f>IFERROR(IF(BA824="WIP - 30 Days",VLOOKUP(D824,[3]Standard!$B$9:$E$101,4,FALSE),IF(BA824="31-120 Days",VLOOKUP(D824,[3]Standard!$B$9:$F$101,5,FALSE),IF(BA824="121-365 Days",VLOOKUP(D824,[3]Standard!$B$9:$G$101,6,FALSE),VLOOKUP(D824,[3]Standard!$B$9:$H$101,7,FALSE)))),0)</f>
        <v>1354244</v>
      </c>
      <c r="L824" s="272">
        <f>IFERROR(IF(BA824="WIP - 30 Days",VLOOKUP(D824,[3]Standard!$B$9:$J$101,9,FALSE),IF(BA824="31-120 Days",VLOOKUP(D824,[3]Standard!$B$9:$K$100,10,FALSE),IF(BA824="121-365 Days",VLOOKUP(D824,[3]Standard!$B$9:$L$101,11,FALSE),VLOOKUP(D824,[3]Standard!$B$9:$M$101,12,FALSE)))),0)</f>
        <v>1314800</v>
      </c>
      <c r="M824" s="269">
        <f>IFERROR(VLOOKUP((D824&amp;C824)&amp;"",'[2]Retail Price List'!$C$4:$F$102,4,FALSE),"")</f>
        <v>1775000</v>
      </c>
      <c r="N824" s="269">
        <f>IFERROR(IF(BA824="WIP - 30 Days",VLOOKUP(D824,[3]Extended!$B$9:$E$101,4,FALSE),IF(BA824="31-120 Days",VLOOKUP(D824,[3]Extended!$B$9:$F$101,5,FALSE),IF(BA824="121-365 Days",VLOOKUP(D824,[3]Extended!$B$9:$G$101,6,FALSE),VLOOKUP(D824,[3]Extended!$B$9:$H$101,7,FALSE)))),0)</f>
        <v>1389470</v>
      </c>
      <c r="O824" s="269">
        <f>IFERROR(IF(BA824="WIP - 30 Days",VLOOKUP(D824,[3]Extended!$B$9:$J$101,9,FALSE),IF(BA824="31-120 Days",VLOOKUP(D824,[3]Extended!$B$9:$K$101,10,FALSE),IF(BA824="121-365 Days",VLOOKUP(D824,[3]Extended!$B$9:$L$101,11,FALSE),VLOOKUP(D824,[3]Extended!$B$9:$M$101,12,FALSE)))),0)</f>
        <v>1349000</v>
      </c>
      <c r="P824" s="116">
        <f t="shared" si="61"/>
        <v>0.24</v>
      </c>
      <c r="Q824" s="110" t="e">
        <f>O824-#REF!</f>
        <v>#REF!</v>
      </c>
      <c r="W824" s="311"/>
      <c r="X824" s="311"/>
      <c r="Y824" s="311"/>
      <c r="Z824" s="311"/>
      <c r="AA824" s="311"/>
      <c r="AB824" s="311"/>
      <c r="AC824" s="311"/>
      <c r="AT824" s="88" t="str">
        <f t="shared" si="62"/>
        <v>KP0006792017Q214,7</v>
      </c>
      <c r="AU824" s="89" t="str">
        <f t="shared" si="63"/>
        <v>04-2017</v>
      </c>
      <c r="BA824" s="92" t="str">
        <f t="shared" si="64"/>
        <v>WIP - 30 Days</v>
      </c>
    </row>
    <row r="825" spans="2:53">
      <c r="B825" s="60">
        <f>[2]Trucks!A822</f>
        <v>46703</v>
      </c>
      <c r="C825" s="11" t="str">
        <f>[2]Trucks!B822</f>
        <v>TGS-33-4806X4BBS-L</v>
      </c>
      <c r="D825" s="19" t="str">
        <f>IFERROR(VLOOKUP(C825&amp;"",'[2]Retail Price List'!$A$3:$B$103,2,FALSE),"Special Order")</f>
        <v>KP000679</v>
      </c>
      <c r="E825" s="18" t="str">
        <f>[2]Trucks!J822</f>
        <v>CKD</v>
      </c>
      <c r="F825" s="12" t="str">
        <f>[2]Trucks!E822</f>
        <v>2017-10-11</v>
      </c>
      <c r="G825" s="56">
        <f>[2]Trucks!K822</f>
        <v>14.7</v>
      </c>
      <c r="H825" s="46">
        <f>[2]Trucks!I822</f>
        <v>42838</v>
      </c>
      <c r="I825" s="83" t="str">
        <f t="shared" si="60"/>
        <v>2017Q2</v>
      </c>
      <c r="J825" s="272">
        <f>IFERROR(VLOOKUP((D825&amp;C825)&amp;"",'[2]Retail Price List'!$C$4:$F$102,3,FALSE),"")</f>
        <v>1730000</v>
      </c>
      <c r="K825" s="272">
        <f>IFERROR(IF(BA825="WIP - 30 Days",VLOOKUP(D825,[3]Standard!$B$9:$E$101,4,FALSE),IF(BA825="31-120 Days",VLOOKUP(D825,[3]Standard!$B$9:$F$101,5,FALSE),IF(BA825="121-365 Days",VLOOKUP(D825,[3]Standard!$B$9:$G$101,6,FALSE),VLOOKUP(D825,[3]Standard!$B$9:$H$101,7,FALSE)))),0)</f>
        <v>1354244</v>
      </c>
      <c r="L825" s="272">
        <f>IFERROR(IF(BA825="WIP - 30 Days",VLOOKUP(D825,[3]Standard!$B$9:$J$101,9,FALSE),IF(BA825="31-120 Days",VLOOKUP(D825,[3]Standard!$B$9:$K$100,10,FALSE),IF(BA825="121-365 Days",VLOOKUP(D825,[3]Standard!$B$9:$L$101,11,FALSE),VLOOKUP(D825,[3]Standard!$B$9:$M$101,12,FALSE)))),0)</f>
        <v>1314800</v>
      </c>
      <c r="M825" s="269">
        <f>IFERROR(VLOOKUP((D825&amp;C825)&amp;"",'[2]Retail Price List'!$C$4:$F$102,4,FALSE),"")</f>
        <v>1775000</v>
      </c>
      <c r="N825" s="269">
        <f>IFERROR(IF(BA825="WIP - 30 Days",VLOOKUP(D825,[3]Extended!$B$9:$E$101,4,FALSE),IF(BA825="31-120 Days",VLOOKUP(D825,[3]Extended!$B$9:$F$101,5,FALSE),IF(BA825="121-365 Days",VLOOKUP(D825,[3]Extended!$B$9:$G$101,6,FALSE),VLOOKUP(D825,[3]Extended!$B$9:$H$101,7,FALSE)))),0)</f>
        <v>1389470</v>
      </c>
      <c r="O825" s="269">
        <f>IFERROR(IF(BA825="WIP - 30 Days",VLOOKUP(D825,[3]Extended!$B$9:$J$101,9,FALSE),IF(BA825="31-120 Days",VLOOKUP(D825,[3]Extended!$B$9:$K$101,10,FALSE),IF(BA825="121-365 Days",VLOOKUP(D825,[3]Extended!$B$9:$L$101,11,FALSE),VLOOKUP(D825,[3]Extended!$B$9:$M$101,12,FALSE)))),0)</f>
        <v>1349000</v>
      </c>
      <c r="P825" s="116">
        <f t="shared" si="61"/>
        <v>0.24</v>
      </c>
      <c r="Q825" s="110" t="e">
        <f>O825-#REF!</f>
        <v>#REF!</v>
      </c>
      <c r="W825" s="311"/>
      <c r="X825" s="311"/>
      <c r="Y825" s="311"/>
      <c r="Z825" s="311"/>
      <c r="AA825" s="311"/>
      <c r="AB825" s="311"/>
      <c r="AC825" s="311"/>
      <c r="AT825" s="88" t="str">
        <f t="shared" si="62"/>
        <v>KP0006792017Q214,7</v>
      </c>
      <c r="AU825" s="89" t="str">
        <f t="shared" si="63"/>
        <v>04-2017</v>
      </c>
      <c r="BA825" s="92" t="str">
        <f t="shared" si="64"/>
        <v>WIP - 30 Days</v>
      </c>
    </row>
    <row r="826" spans="2:53">
      <c r="B826" s="60">
        <f>[2]Trucks!A823</f>
        <v>46704</v>
      </c>
      <c r="C826" s="11" t="str">
        <f>[2]Trucks!B823</f>
        <v>TGS-33-4806X4BBS-L</v>
      </c>
      <c r="D826" s="19" t="str">
        <f>IFERROR(VLOOKUP(C826&amp;"",'[2]Retail Price List'!$A$3:$B$103,2,FALSE),"Special Order")</f>
        <v>KP000679</v>
      </c>
      <c r="E826" s="18" t="str">
        <f>[2]Trucks!J823</f>
        <v>CKD</v>
      </c>
      <c r="F826" s="12" t="str">
        <f>[2]Trucks!E823</f>
        <v>2017-10-12</v>
      </c>
      <c r="G826" s="56">
        <f>[2]Trucks!K823</f>
        <v>14.7</v>
      </c>
      <c r="H826" s="46">
        <f>[2]Trucks!I823</f>
        <v>42838</v>
      </c>
      <c r="I826" s="83" t="str">
        <f t="shared" si="60"/>
        <v>2017Q2</v>
      </c>
      <c r="J826" s="272">
        <f>IFERROR(VLOOKUP((D826&amp;C826)&amp;"",'[2]Retail Price List'!$C$4:$F$102,3,FALSE),"")</f>
        <v>1730000</v>
      </c>
      <c r="K826" s="272">
        <f>IFERROR(IF(BA826="WIP - 30 Days",VLOOKUP(D826,[3]Standard!$B$9:$E$101,4,FALSE),IF(BA826="31-120 Days",VLOOKUP(D826,[3]Standard!$B$9:$F$101,5,FALSE),IF(BA826="121-365 Days",VLOOKUP(D826,[3]Standard!$B$9:$G$101,6,FALSE),VLOOKUP(D826,[3]Standard!$B$9:$H$101,7,FALSE)))),0)</f>
        <v>1354244</v>
      </c>
      <c r="L826" s="272">
        <f>IFERROR(IF(BA826="WIP - 30 Days",VLOOKUP(D826,[3]Standard!$B$9:$J$101,9,FALSE),IF(BA826="31-120 Days",VLOOKUP(D826,[3]Standard!$B$9:$K$100,10,FALSE),IF(BA826="121-365 Days",VLOOKUP(D826,[3]Standard!$B$9:$L$101,11,FALSE),VLOOKUP(D826,[3]Standard!$B$9:$M$101,12,FALSE)))),0)</f>
        <v>1314800</v>
      </c>
      <c r="M826" s="269">
        <f>IFERROR(VLOOKUP((D826&amp;C826)&amp;"",'[2]Retail Price List'!$C$4:$F$102,4,FALSE),"")</f>
        <v>1775000</v>
      </c>
      <c r="N826" s="269">
        <f>IFERROR(IF(BA826="WIP - 30 Days",VLOOKUP(D826,[3]Extended!$B$9:$E$101,4,FALSE),IF(BA826="31-120 Days",VLOOKUP(D826,[3]Extended!$B$9:$F$101,5,FALSE),IF(BA826="121-365 Days",VLOOKUP(D826,[3]Extended!$B$9:$G$101,6,FALSE),VLOOKUP(D826,[3]Extended!$B$9:$H$101,7,FALSE)))),0)</f>
        <v>1389470</v>
      </c>
      <c r="O826" s="269">
        <f>IFERROR(IF(BA826="WIP - 30 Days",VLOOKUP(D826,[3]Extended!$B$9:$J$101,9,FALSE),IF(BA826="31-120 Days",VLOOKUP(D826,[3]Extended!$B$9:$K$101,10,FALSE),IF(BA826="121-365 Days",VLOOKUP(D826,[3]Extended!$B$9:$L$101,11,FALSE),VLOOKUP(D826,[3]Extended!$B$9:$M$101,12,FALSE)))),0)</f>
        <v>1349000</v>
      </c>
      <c r="P826" s="116">
        <f t="shared" si="61"/>
        <v>0.24</v>
      </c>
      <c r="Q826" s="110" t="e">
        <f>O826-#REF!</f>
        <v>#REF!</v>
      </c>
      <c r="W826" s="311"/>
      <c r="X826" s="311"/>
      <c r="Y826" s="311"/>
      <c r="Z826" s="311"/>
      <c r="AA826" s="311"/>
      <c r="AB826" s="311"/>
      <c r="AC826" s="311"/>
      <c r="AT826" s="88" t="str">
        <f t="shared" si="62"/>
        <v>KP0006792017Q214,7</v>
      </c>
      <c r="AU826" s="89" t="str">
        <f t="shared" si="63"/>
        <v>04-2017</v>
      </c>
      <c r="BA826" s="92" t="str">
        <f t="shared" si="64"/>
        <v>WIP - 30 Days</v>
      </c>
    </row>
    <row r="827" spans="2:53">
      <c r="B827" s="60">
        <f>[2]Trucks!A824</f>
        <v>46705</v>
      </c>
      <c r="C827" s="11" t="str">
        <f>[2]Trucks!B824</f>
        <v>TGS-33-4806X4BBS-L</v>
      </c>
      <c r="D827" s="19" t="str">
        <f>IFERROR(VLOOKUP(C827&amp;"",'[2]Retail Price List'!$A$3:$B$103,2,FALSE),"Special Order")</f>
        <v>KP000679</v>
      </c>
      <c r="E827" s="18" t="str">
        <f>[2]Trucks!J824</f>
        <v>CKD</v>
      </c>
      <c r="F827" s="12" t="str">
        <f>[2]Trucks!E824</f>
        <v>2017-10-12</v>
      </c>
      <c r="G827" s="56">
        <f>[2]Trucks!K824</f>
        <v>14.7</v>
      </c>
      <c r="H827" s="46">
        <f>[2]Trucks!I824</f>
        <v>42838</v>
      </c>
      <c r="I827" s="83" t="str">
        <f t="shared" si="60"/>
        <v>2017Q2</v>
      </c>
      <c r="J827" s="272">
        <f>IFERROR(VLOOKUP((D827&amp;C827)&amp;"",'[2]Retail Price List'!$C$4:$F$102,3,FALSE),"")</f>
        <v>1730000</v>
      </c>
      <c r="K827" s="272">
        <f>IFERROR(IF(BA827="WIP - 30 Days",VLOOKUP(D827,[3]Standard!$B$9:$E$101,4,FALSE),IF(BA827="31-120 Days",VLOOKUP(D827,[3]Standard!$B$9:$F$101,5,FALSE),IF(BA827="121-365 Days",VLOOKUP(D827,[3]Standard!$B$9:$G$101,6,FALSE),VLOOKUP(D827,[3]Standard!$B$9:$H$101,7,FALSE)))),0)</f>
        <v>1354244</v>
      </c>
      <c r="L827" s="272">
        <f>IFERROR(IF(BA827="WIP - 30 Days",VLOOKUP(D827,[3]Standard!$B$9:$J$101,9,FALSE),IF(BA827="31-120 Days",VLOOKUP(D827,[3]Standard!$B$9:$K$100,10,FALSE),IF(BA827="121-365 Days",VLOOKUP(D827,[3]Standard!$B$9:$L$101,11,FALSE),VLOOKUP(D827,[3]Standard!$B$9:$M$101,12,FALSE)))),0)</f>
        <v>1314800</v>
      </c>
      <c r="M827" s="269">
        <f>IFERROR(VLOOKUP((D827&amp;C827)&amp;"",'[2]Retail Price List'!$C$4:$F$102,4,FALSE),"")</f>
        <v>1775000</v>
      </c>
      <c r="N827" s="269">
        <f>IFERROR(IF(BA827="WIP - 30 Days",VLOOKUP(D827,[3]Extended!$B$9:$E$101,4,FALSE),IF(BA827="31-120 Days",VLOOKUP(D827,[3]Extended!$B$9:$F$101,5,FALSE),IF(BA827="121-365 Days",VLOOKUP(D827,[3]Extended!$B$9:$G$101,6,FALSE),VLOOKUP(D827,[3]Extended!$B$9:$H$101,7,FALSE)))),0)</f>
        <v>1389470</v>
      </c>
      <c r="O827" s="269">
        <f>IFERROR(IF(BA827="WIP - 30 Days",VLOOKUP(D827,[3]Extended!$B$9:$J$101,9,FALSE),IF(BA827="31-120 Days",VLOOKUP(D827,[3]Extended!$B$9:$K$101,10,FALSE),IF(BA827="121-365 Days",VLOOKUP(D827,[3]Extended!$B$9:$L$101,11,FALSE),VLOOKUP(D827,[3]Extended!$B$9:$M$101,12,FALSE)))),0)</f>
        <v>1349000</v>
      </c>
      <c r="P827" s="116">
        <f t="shared" si="61"/>
        <v>0.24</v>
      </c>
      <c r="Q827" s="110" t="e">
        <f>O827-#REF!</f>
        <v>#REF!</v>
      </c>
      <c r="W827" s="311"/>
      <c r="X827" s="311"/>
      <c r="Y827" s="311"/>
      <c r="Z827" s="311"/>
      <c r="AA827" s="311"/>
      <c r="AB827" s="311"/>
      <c r="AC827" s="311"/>
      <c r="AT827" s="88" t="str">
        <f t="shared" si="62"/>
        <v>KP0006792017Q214,7</v>
      </c>
      <c r="AU827" s="89" t="str">
        <f t="shared" si="63"/>
        <v>04-2017</v>
      </c>
      <c r="BA827" s="92" t="str">
        <f t="shared" si="64"/>
        <v>WIP - 30 Days</v>
      </c>
    </row>
    <row r="828" spans="2:53">
      <c r="B828" s="60">
        <f>[2]Trucks!A825</f>
        <v>46706</v>
      </c>
      <c r="C828" s="11" t="str">
        <f>[2]Trucks!B825</f>
        <v>TGS-33-4806X4BBS-L</v>
      </c>
      <c r="D828" s="19" t="str">
        <f>IFERROR(VLOOKUP(C828&amp;"",'[2]Retail Price List'!$A$3:$B$103,2,FALSE),"Special Order")</f>
        <v>KP000679</v>
      </c>
      <c r="E828" s="18" t="str">
        <f>[2]Trucks!J825</f>
        <v>CKD</v>
      </c>
      <c r="F828" s="12" t="str">
        <f>[2]Trucks!E825</f>
        <v>2017-10-18</v>
      </c>
      <c r="G828" s="56">
        <f>[2]Trucks!K825</f>
        <v>14.7</v>
      </c>
      <c r="H828" s="46">
        <f>[2]Trucks!I825</f>
        <v>42838</v>
      </c>
      <c r="I828" s="83" t="str">
        <f t="shared" si="60"/>
        <v>2017Q2</v>
      </c>
      <c r="J828" s="272">
        <f>IFERROR(VLOOKUP((D828&amp;C828)&amp;"",'[2]Retail Price List'!$C$4:$F$102,3,FALSE),"")</f>
        <v>1730000</v>
      </c>
      <c r="K828" s="272">
        <f>IFERROR(IF(BA828="WIP - 30 Days",VLOOKUP(D828,[3]Standard!$B$9:$E$101,4,FALSE),IF(BA828="31-120 Days",VLOOKUP(D828,[3]Standard!$B$9:$F$101,5,FALSE),IF(BA828="121-365 Days",VLOOKUP(D828,[3]Standard!$B$9:$G$101,6,FALSE),VLOOKUP(D828,[3]Standard!$B$9:$H$101,7,FALSE)))),0)</f>
        <v>1354244</v>
      </c>
      <c r="L828" s="272">
        <f>IFERROR(IF(BA828="WIP - 30 Days",VLOOKUP(D828,[3]Standard!$B$9:$J$101,9,FALSE),IF(BA828="31-120 Days",VLOOKUP(D828,[3]Standard!$B$9:$K$100,10,FALSE),IF(BA828="121-365 Days",VLOOKUP(D828,[3]Standard!$B$9:$L$101,11,FALSE),VLOOKUP(D828,[3]Standard!$B$9:$M$101,12,FALSE)))),0)</f>
        <v>1314800</v>
      </c>
      <c r="M828" s="269">
        <f>IFERROR(VLOOKUP((D828&amp;C828)&amp;"",'[2]Retail Price List'!$C$4:$F$102,4,FALSE),"")</f>
        <v>1775000</v>
      </c>
      <c r="N828" s="269">
        <f>IFERROR(IF(BA828="WIP - 30 Days",VLOOKUP(D828,[3]Extended!$B$9:$E$101,4,FALSE),IF(BA828="31-120 Days",VLOOKUP(D828,[3]Extended!$B$9:$F$101,5,FALSE),IF(BA828="121-365 Days",VLOOKUP(D828,[3]Extended!$B$9:$G$101,6,FALSE),VLOOKUP(D828,[3]Extended!$B$9:$H$101,7,FALSE)))),0)</f>
        <v>1389470</v>
      </c>
      <c r="O828" s="269">
        <f>IFERROR(IF(BA828="WIP - 30 Days",VLOOKUP(D828,[3]Extended!$B$9:$J$101,9,FALSE),IF(BA828="31-120 Days",VLOOKUP(D828,[3]Extended!$B$9:$K$101,10,FALSE),IF(BA828="121-365 Days",VLOOKUP(D828,[3]Extended!$B$9:$L$101,11,FALSE),VLOOKUP(D828,[3]Extended!$B$9:$M$101,12,FALSE)))),0)</f>
        <v>1349000</v>
      </c>
      <c r="P828" s="116">
        <f t="shared" si="61"/>
        <v>0.24</v>
      </c>
      <c r="Q828" s="110" t="e">
        <f>O828-#REF!</f>
        <v>#REF!</v>
      </c>
      <c r="W828" s="311"/>
      <c r="X828" s="311"/>
      <c r="Y828" s="311"/>
      <c r="Z828" s="311"/>
      <c r="AA828" s="311"/>
      <c r="AB828" s="311"/>
      <c r="AC828" s="311"/>
      <c r="AT828" s="88" t="str">
        <f t="shared" si="62"/>
        <v>KP0006792017Q214,7</v>
      </c>
      <c r="AU828" s="89" t="str">
        <f t="shared" si="63"/>
        <v>04-2017</v>
      </c>
      <c r="BA828" s="92" t="str">
        <f t="shared" si="64"/>
        <v>WIP - 30 Days</v>
      </c>
    </row>
    <row r="829" spans="2:53">
      <c r="B829" s="60">
        <f>[2]Trucks!A826</f>
        <v>46707</v>
      </c>
      <c r="C829" s="11" t="str">
        <f>[2]Trucks!B826</f>
        <v>TGS-33-4806X4BBS-L</v>
      </c>
      <c r="D829" s="19" t="str">
        <f>IFERROR(VLOOKUP(C829&amp;"",'[2]Retail Price List'!$A$3:$B$103,2,FALSE),"Special Order")</f>
        <v>KP000679</v>
      </c>
      <c r="E829" s="18" t="str">
        <f>[2]Trucks!J826</f>
        <v>CKD</v>
      </c>
      <c r="F829" s="12" t="str">
        <f>[2]Trucks!E826</f>
        <v>2017-10-18</v>
      </c>
      <c r="G829" s="56">
        <f>[2]Trucks!K826</f>
        <v>14.7</v>
      </c>
      <c r="H829" s="46">
        <f>[2]Trucks!I826</f>
        <v>42838</v>
      </c>
      <c r="I829" s="83" t="str">
        <f t="shared" si="60"/>
        <v>2017Q2</v>
      </c>
      <c r="J829" s="272">
        <f>IFERROR(VLOOKUP((D829&amp;C829)&amp;"",'[2]Retail Price List'!$C$4:$F$102,3,FALSE),"")</f>
        <v>1730000</v>
      </c>
      <c r="K829" s="272">
        <f>IFERROR(IF(BA829="WIP - 30 Days",VLOOKUP(D829,[3]Standard!$B$9:$E$101,4,FALSE),IF(BA829="31-120 Days",VLOOKUP(D829,[3]Standard!$B$9:$F$101,5,FALSE),IF(BA829="121-365 Days",VLOOKUP(D829,[3]Standard!$B$9:$G$101,6,FALSE),VLOOKUP(D829,[3]Standard!$B$9:$H$101,7,FALSE)))),0)</f>
        <v>1354244</v>
      </c>
      <c r="L829" s="272">
        <f>IFERROR(IF(BA829="WIP - 30 Days",VLOOKUP(D829,[3]Standard!$B$9:$J$101,9,FALSE),IF(BA829="31-120 Days",VLOOKUP(D829,[3]Standard!$B$9:$K$100,10,FALSE),IF(BA829="121-365 Days",VLOOKUP(D829,[3]Standard!$B$9:$L$101,11,FALSE),VLOOKUP(D829,[3]Standard!$B$9:$M$101,12,FALSE)))),0)</f>
        <v>1314800</v>
      </c>
      <c r="M829" s="269">
        <f>IFERROR(VLOOKUP((D829&amp;C829)&amp;"",'[2]Retail Price List'!$C$4:$F$102,4,FALSE),"")</f>
        <v>1775000</v>
      </c>
      <c r="N829" s="269">
        <f>IFERROR(IF(BA829="WIP - 30 Days",VLOOKUP(D829,[3]Extended!$B$9:$E$101,4,FALSE),IF(BA829="31-120 Days",VLOOKUP(D829,[3]Extended!$B$9:$F$101,5,FALSE),IF(BA829="121-365 Days",VLOOKUP(D829,[3]Extended!$B$9:$G$101,6,FALSE),VLOOKUP(D829,[3]Extended!$B$9:$H$101,7,FALSE)))),0)</f>
        <v>1389470</v>
      </c>
      <c r="O829" s="269">
        <f>IFERROR(IF(BA829="WIP - 30 Days",VLOOKUP(D829,[3]Extended!$B$9:$J$101,9,FALSE),IF(BA829="31-120 Days",VLOOKUP(D829,[3]Extended!$B$9:$K$101,10,FALSE),IF(BA829="121-365 Days",VLOOKUP(D829,[3]Extended!$B$9:$L$101,11,FALSE),VLOOKUP(D829,[3]Extended!$B$9:$M$101,12,FALSE)))),0)</f>
        <v>1349000</v>
      </c>
      <c r="P829" s="116">
        <f t="shared" si="61"/>
        <v>0.24</v>
      </c>
      <c r="Q829" s="110" t="e">
        <f>O829-#REF!</f>
        <v>#REF!</v>
      </c>
      <c r="W829" s="311"/>
      <c r="X829" s="311"/>
      <c r="Y829" s="311"/>
      <c r="Z829" s="311"/>
      <c r="AA829" s="311"/>
      <c r="AB829" s="311"/>
      <c r="AC829" s="311"/>
      <c r="AT829" s="88" t="str">
        <f t="shared" si="62"/>
        <v>KP0006792017Q214,7</v>
      </c>
      <c r="AU829" s="89" t="str">
        <f t="shared" si="63"/>
        <v>04-2017</v>
      </c>
      <c r="BA829" s="92" t="str">
        <f t="shared" si="64"/>
        <v>WIP - 30 Days</v>
      </c>
    </row>
    <row r="830" spans="2:53">
      <c r="B830" s="60">
        <f>[2]Trucks!A827</f>
        <v>46708</v>
      </c>
      <c r="C830" s="11" t="str">
        <f>[2]Trucks!B827</f>
        <v>TGS-33-4806X4BBS-L</v>
      </c>
      <c r="D830" s="19" t="str">
        <f>IFERROR(VLOOKUP(C830&amp;"",'[2]Retail Price List'!$A$3:$B$103,2,FALSE),"Special Order")</f>
        <v>KP000679</v>
      </c>
      <c r="E830" s="18" t="str">
        <f>[2]Trucks!J827</f>
        <v>CKD</v>
      </c>
      <c r="F830" s="12" t="str">
        <f>[2]Trucks!E827</f>
        <v>2017-10-18</v>
      </c>
      <c r="G830" s="56">
        <f>[2]Trucks!K827</f>
        <v>14.7</v>
      </c>
      <c r="H830" s="46">
        <f>[2]Trucks!I827</f>
        <v>42838</v>
      </c>
      <c r="I830" s="83" t="str">
        <f t="shared" si="60"/>
        <v>2017Q2</v>
      </c>
      <c r="J830" s="272">
        <f>IFERROR(VLOOKUP((D830&amp;C830)&amp;"",'[2]Retail Price List'!$C$4:$F$102,3,FALSE),"")</f>
        <v>1730000</v>
      </c>
      <c r="K830" s="272">
        <f>IFERROR(IF(BA830="WIP - 30 Days",VLOOKUP(D830,[3]Standard!$B$9:$E$101,4,FALSE),IF(BA830="31-120 Days",VLOOKUP(D830,[3]Standard!$B$9:$F$101,5,FALSE),IF(BA830="121-365 Days",VLOOKUP(D830,[3]Standard!$B$9:$G$101,6,FALSE),VLOOKUP(D830,[3]Standard!$B$9:$H$101,7,FALSE)))),0)</f>
        <v>1354244</v>
      </c>
      <c r="L830" s="272">
        <f>IFERROR(IF(BA830="WIP - 30 Days",VLOOKUP(D830,[3]Standard!$B$9:$J$101,9,FALSE),IF(BA830="31-120 Days",VLOOKUP(D830,[3]Standard!$B$9:$K$100,10,FALSE),IF(BA830="121-365 Days",VLOOKUP(D830,[3]Standard!$B$9:$L$101,11,FALSE),VLOOKUP(D830,[3]Standard!$B$9:$M$101,12,FALSE)))),0)</f>
        <v>1314800</v>
      </c>
      <c r="M830" s="269">
        <f>IFERROR(VLOOKUP((D830&amp;C830)&amp;"",'[2]Retail Price List'!$C$4:$F$102,4,FALSE),"")</f>
        <v>1775000</v>
      </c>
      <c r="N830" s="269">
        <f>IFERROR(IF(BA830="WIP - 30 Days",VLOOKUP(D830,[3]Extended!$B$9:$E$101,4,FALSE),IF(BA830="31-120 Days",VLOOKUP(D830,[3]Extended!$B$9:$F$101,5,FALSE),IF(BA830="121-365 Days",VLOOKUP(D830,[3]Extended!$B$9:$G$101,6,FALSE),VLOOKUP(D830,[3]Extended!$B$9:$H$101,7,FALSE)))),0)</f>
        <v>1389470</v>
      </c>
      <c r="O830" s="269">
        <f>IFERROR(IF(BA830="WIP - 30 Days",VLOOKUP(D830,[3]Extended!$B$9:$J$101,9,FALSE),IF(BA830="31-120 Days",VLOOKUP(D830,[3]Extended!$B$9:$K$101,10,FALSE),IF(BA830="121-365 Days",VLOOKUP(D830,[3]Extended!$B$9:$L$101,11,FALSE),VLOOKUP(D830,[3]Extended!$B$9:$M$101,12,FALSE)))),0)</f>
        <v>1349000</v>
      </c>
      <c r="P830" s="116">
        <f t="shared" si="61"/>
        <v>0.24</v>
      </c>
      <c r="Q830" s="110" t="e">
        <f>O830-#REF!</f>
        <v>#REF!</v>
      </c>
      <c r="W830" s="311"/>
      <c r="X830" s="311"/>
      <c r="Y830" s="311"/>
      <c r="Z830" s="311"/>
      <c r="AA830" s="311"/>
      <c r="AB830" s="311"/>
      <c r="AC830" s="311"/>
      <c r="AT830" s="88" t="str">
        <f t="shared" si="62"/>
        <v>KP0006792017Q214,7</v>
      </c>
      <c r="AU830" s="89" t="str">
        <f t="shared" si="63"/>
        <v>04-2017</v>
      </c>
      <c r="BA830" s="92" t="str">
        <f t="shared" si="64"/>
        <v>WIP - 30 Days</v>
      </c>
    </row>
    <row r="831" spans="2:53">
      <c r="B831" s="60">
        <f>[2]Trucks!A828</f>
        <v>46709</v>
      </c>
      <c r="C831" s="11" t="str">
        <f>[2]Trucks!B828</f>
        <v>TGS-33-4806X4BBS-L</v>
      </c>
      <c r="D831" s="19" t="str">
        <f>IFERROR(VLOOKUP(C831&amp;"",'[2]Retail Price List'!$A$3:$B$103,2,FALSE),"Special Order")</f>
        <v>KP000679</v>
      </c>
      <c r="E831" s="18" t="str">
        <f>[2]Trucks!J828</f>
        <v>CKD</v>
      </c>
      <c r="F831" s="12" t="str">
        <f>[2]Trucks!E828</f>
        <v>2017-10-19</v>
      </c>
      <c r="G831" s="56">
        <f>[2]Trucks!K828</f>
        <v>14.7</v>
      </c>
      <c r="H831" s="46">
        <f>[2]Trucks!I828</f>
        <v>42838</v>
      </c>
      <c r="I831" s="83" t="str">
        <f t="shared" si="60"/>
        <v>2017Q2</v>
      </c>
      <c r="J831" s="272">
        <f>IFERROR(VLOOKUP((D831&amp;C831)&amp;"",'[2]Retail Price List'!$C$4:$F$102,3,FALSE),"")</f>
        <v>1730000</v>
      </c>
      <c r="K831" s="272">
        <f>IFERROR(IF(BA831="WIP - 30 Days",VLOOKUP(D831,[3]Standard!$B$9:$E$101,4,FALSE),IF(BA831="31-120 Days",VLOOKUP(D831,[3]Standard!$B$9:$F$101,5,FALSE),IF(BA831="121-365 Days",VLOOKUP(D831,[3]Standard!$B$9:$G$101,6,FALSE),VLOOKUP(D831,[3]Standard!$B$9:$H$101,7,FALSE)))),0)</f>
        <v>1354244</v>
      </c>
      <c r="L831" s="272">
        <f>IFERROR(IF(BA831="WIP - 30 Days",VLOOKUP(D831,[3]Standard!$B$9:$J$101,9,FALSE),IF(BA831="31-120 Days",VLOOKUP(D831,[3]Standard!$B$9:$K$100,10,FALSE),IF(BA831="121-365 Days",VLOOKUP(D831,[3]Standard!$B$9:$L$101,11,FALSE),VLOOKUP(D831,[3]Standard!$B$9:$M$101,12,FALSE)))),0)</f>
        <v>1314800</v>
      </c>
      <c r="M831" s="269">
        <f>IFERROR(VLOOKUP((D831&amp;C831)&amp;"",'[2]Retail Price List'!$C$4:$F$102,4,FALSE),"")</f>
        <v>1775000</v>
      </c>
      <c r="N831" s="269">
        <f>IFERROR(IF(BA831="WIP - 30 Days",VLOOKUP(D831,[3]Extended!$B$9:$E$101,4,FALSE),IF(BA831="31-120 Days",VLOOKUP(D831,[3]Extended!$B$9:$F$101,5,FALSE),IF(BA831="121-365 Days",VLOOKUP(D831,[3]Extended!$B$9:$G$101,6,FALSE),VLOOKUP(D831,[3]Extended!$B$9:$H$101,7,FALSE)))),0)</f>
        <v>1389470</v>
      </c>
      <c r="O831" s="269">
        <f>IFERROR(IF(BA831="WIP - 30 Days",VLOOKUP(D831,[3]Extended!$B$9:$J$101,9,FALSE),IF(BA831="31-120 Days",VLOOKUP(D831,[3]Extended!$B$9:$K$101,10,FALSE),IF(BA831="121-365 Days",VLOOKUP(D831,[3]Extended!$B$9:$L$101,11,FALSE),VLOOKUP(D831,[3]Extended!$B$9:$M$101,12,FALSE)))),0)</f>
        <v>1349000</v>
      </c>
      <c r="P831" s="116">
        <f t="shared" si="61"/>
        <v>0.24</v>
      </c>
      <c r="Q831" s="110" t="e">
        <f>O831-#REF!</f>
        <v>#REF!</v>
      </c>
      <c r="W831" s="311"/>
      <c r="X831" s="311"/>
      <c r="Y831" s="311"/>
      <c r="Z831" s="311"/>
      <c r="AA831" s="311"/>
      <c r="AB831" s="311"/>
      <c r="AC831" s="311"/>
      <c r="AT831" s="88" t="str">
        <f t="shared" si="62"/>
        <v>KP0006792017Q214,7</v>
      </c>
      <c r="AU831" s="89" t="str">
        <f t="shared" si="63"/>
        <v>04-2017</v>
      </c>
      <c r="BA831" s="92" t="str">
        <f t="shared" si="64"/>
        <v>WIP - 30 Days</v>
      </c>
    </row>
    <row r="832" spans="2:53">
      <c r="B832" s="60">
        <f>[2]Trucks!A829</f>
        <v>46710</v>
      </c>
      <c r="C832" s="11" t="str">
        <f>[2]Trucks!B829</f>
        <v>TGS-33-4806X4BBS-L</v>
      </c>
      <c r="D832" s="19" t="str">
        <f>IFERROR(VLOOKUP(C832&amp;"",'[2]Retail Price List'!$A$3:$B$103,2,FALSE),"Special Order")</f>
        <v>KP000679</v>
      </c>
      <c r="E832" s="18" t="str">
        <f>[2]Trucks!J829</f>
        <v>CKD</v>
      </c>
      <c r="F832" s="12" t="str">
        <f>[2]Trucks!E829</f>
        <v>2017-10-19</v>
      </c>
      <c r="G832" s="56">
        <f>[2]Trucks!K829</f>
        <v>14.7</v>
      </c>
      <c r="H832" s="46">
        <f>[2]Trucks!I829</f>
        <v>42838</v>
      </c>
      <c r="I832" s="83" t="str">
        <f t="shared" si="60"/>
        <v>2017Q2</v>
      </c>
      <c r="J832" s="272">
        <f>IFERROR(VLOOKUP((D832&amp;C832)&amp;"",'[2]Retail Price List'!$C$4:$F$102,3,FALSE),"")</f>
        <v>1730000</v>
      </c>
      <c r="K832" s="272">
        <f>IFERROR(IF(BA832="WIP - 30 Days",VLOOKUP(D832,[3]Standard!$B$9:$E$101,4,FALSE),IF(BA832="31-120 Days",VLOOKUP(D832,[3]Standard!$B$9:$F$101,5,FALSE),IF(BA832="121-365 Days",VLOOKUP(D832,[3]Standard!$B$9:$G$101,6,FALSE),VLOOKUP(D832,[3]Standard!$B$9:$H$101,7,FALSE)))),0)</f>
        <v>1354244</v>
      </c>
      <c r="L832" s="272">
        <f>IFERROR(IF(BA832="WIP - 30 Days",VLOOKUP(D832,[3]Standard!$B$9:$J$101,9,FALSE),IF(BA832="31-120 Days",VLOOKUP(D832,[3]Standard!$B$9:$K$100,10,FALSE),IF(BA832="121-365 Days",VLOOKUP(D832,[3]Standard!$B$9:$L$101,11,FALSE),VLOOKUP(D832,[3]Standard!$B$9:$M$101,12,FALSE)))),0)</f>
        <v>1314800</v>
      </c>
      <c r="M832" s="269">
        <f>IFERROR(VLOOKUP((D832&amp;C832)&amp;"",'[2]Retail Price List'!$C$4:$F$102,4,FALSE),"")</f>
        <v>1775000</v>
      </c>
      <c r="N832" s="269">
        <f>IFERROR(IF(BA832="WIP - 30 Days",VLOOKUP(D832,[3]Extended!$B$9:$E$101,4,FALSE),IF(BA832="31-120 Days",VLOOKUP(D832,[3]Extended!$B$9:$F$101,5,FALSE),IF(BA832="121-365 Days",VLOOKUP(D832,[3]Extended!$B$9:$G$101,6,FALSE),VLOOKUP(D832,[3]Extended!$B$9:$H$101,7,FALSE)))),0)</f>
        <v>1389470</v>
      </c>
      <c r="O832" s="269">
        <f>IFERROR(IF(BA832="WIP - 30 Days",VLOOKUP(D832,[3]Extended!$B$9:$J$101,9,FALSE),IF(BA832="31-120 Days",VLOOKUP(D832,[3]Extended!$B$9:$K$101,10,FALSE),IF(BA832="121-365 Days",VLOOKUP(D832,[3]Extended!$B$9:$L$101,11,FALSE),VLOOKUP(D832,[3]Extended!$B$9:$M$101,12,FALSE)))),0)</f>
        <v>1349000</v>
      </c>
      <c r="P832" s="116">
        <f t="shared" si="61"/>
        <v>0.24</v>
      </c>
      <c r="Q832" s="110" t="e">
        <f>O832-#REF!</f>
        <v>#REF!</v>
      </c>
      <c r="W832" s="311"/>
      <c r="X832" s="311"/>
      <c r="Y832" s="311"/>
      <c r="Z832" s="311"/>
      <c r="AA832" s="311"/>
      <c r="AB832" s="311"/>
      <c r="AC832" s="311"/>
      <c r="AT832" s="88" t="str">
        <f t="shared" si="62"/>
        <v>KP0006792017Q214,7</v>
      </c>
      <c r="AU832" s="89" t="str">
        <f t="shared" si="63"/>
        <v>04-2017</v>
      </c>
      <c r="BA832" s="92" t="str">
        <f t="shared" si="64"/>
        <v>WIP - 30 Days</v>
      </c>
    </row>
    <row r="833" spans="2:53">
      <c r="B833" s="60">
        <f>[2]Trucks!A830</f>
        <v>46711</v>
      </c>
      <c r="C833" s="11" t="str">
        <f>[2]Trucks!B830</f>
        <v>TGS-33-4806X4BBS-L</v>
      </c>
      <c r="D833" s="19" t="str">
        <f>IFERROR(VLOOKUP(C833&amp;"",'[2]Retail Price List'!$A$3:$B$103,2,FALSE),"Special Order")</f>
        <v>KP000679</v>
      </c>
      <c r="E833" s="18" t="str">
        <f>[2]Trucks!J830</f>
        <v>CKD</v>
      </c>
      <c r="F833" s="12" t="str">
        <f>[2]Trucks!E830</f>
        <v>2017-10-19</v>
      </c>
      <c r="G833" s="56">
        <f>[2]Trucks!K830</f>
        <v>14.7</v>
      </c>
      <c r="H833" s="46">
        <f>[2]Trucks!I830</f>
        <v>42838</v>
      </c>
      <c r="I833" s="83" t="str">
        <f t="shared" si="60"/>
        <v>2017Q2</v>
      </c>
      <c r="J833" s="272">
        <f>IFERROR(VLOOKUP((D833&amp;C833)&amp;"",'[2]Retail Price List'!$C$4:$F$102,3,FALSE),"")</f>
        <v>1730000</v>
      </c>
      <c r="K833" s="272">
        <f>IFERROR(IF(BA833="WIP - 30 Days",VLOOKUP(D833,[3]Standard!$B$9:$E$101,4,FALSE),IF(BA833="31-120 Days",VLOOKUP(D833,[3]Standard!$B$9:$F$101,5,FALSE),IF(BA833="121-365 Days",VLOOKUP(D833,[3]Standard!$B$9:$G$101,6,FALSE),VLOOKUP(D833,[3]Standard!$B$9:$H$101,7,FALSE)))),0)</f>
        <v>1354244</v>
      </c>
      <c r="L833" s="272">
        <f>IFERROR(IF(BA833="WIP - 30 Days",VLOOKUP(D833,[3]Standard!$B$9:$J$101,9,FALSE),IF(BA833="31-120 Days",VLOOKUP(D833,[3]Standard!$B$9:$K$100,10,FALSE),IF(BA833="121-365 Days",VLOOKUP(D833,[3]Standard!$B$9:$L$101,11,FALSE),VLOOKUP(D833,[3]Standard!$B$9:$M$101,12,FALSE)))),0)</f>
        <v>1314800</v>
      </c>
      <c r="M833" s="269">
        <f>IFERROR(VLOOKUP((D833&amp;C833)&amp;"",'[2]Retail Price List'!$C$4:$F$102,4,FALSE),"")</f>
        <v>1775000</v>
      </c>
      <c r="N833" s="269">
        <f>IFERROR(IF(BA833="WIP - 30 Days",VLOOKUP(D833,[3]Extended!$B$9:$E$101,4,FALSE),IF(BA833="31-120 Days",VLOOKUP(D833,[3]Extended!$B$9:$F$101,5,FALSE),IF(BA833="121-365 Days",VLOOKUP(D833,[3]Extended!$B$9:$G$101,6,FALSE),VLOOKUP(D833,[3]Extended!$B$9:$H$101,7,FALSE)))),0)</f>
        <v>1389470</v>
      </c>
      <c r="O833" s="269">
        <f>IFERROR(IF(BA833="WIP - 30 Days",VLOOKUP(D833,[3]Extended!$B$9:$J$101,9,FALSE),IF(BA833="31-120 Days",VLOOKUP(D833,[3]Extended!$B$9:$K$101,10,FALSE),IF(BA833="121-365 Days",VLOOKUP(D833,[3]Extended!$B$9:$L$101,11,FALSE),VLOOKUP(D833,[3]Extended!$B$9:$M$101,12,FALSE)))),0)</f>
        <v>1349000</v>
      </c>
      <c r="P833" s="116">
        <f t="shared" si="61"/>
        <v>0.24</v>
      </c>
      <c r="Q833" s="110" t="e">
        <f>O833-#REF!</f>
        <v>#REF!</v>
      </c>
      <c r="W833" s="311"/>
      <c r="X833" s="311"/>
      <c r="Y833" s="311"/>
      <c r="Z833" s="311"/>
      <c r="AA833" s="311"/>
      <c r="AB833" s="311"/>
      <c r="AC833" s="311"/>
      <c r="AT833" s="88" t="str">
        <f t="shared" si="62"/>
        <v>KP0006792017Q214,7</v>
      </c>
      <c r="AU833" s="89" t="str">
        <f t="shared" si="63"/>
        <v>04-2017</v>
      </c>
      <c r="BA833" s="92" t="str">
        <f t="shared" si="64"/>
        <v>WIP - 30 Days</v>
      </c>
    </row>
    <row r="834" spans="2:53">
      <c r="B834" s="60">
        <f>[2]Trucks!A831</f>
        <v>46712</v>
      </c>
      <c r="C834" s="11" t="str">
        <f>[2]Trucks!B831</f>
        <v>TGS-33-4806X4BBS-L</v>
      </c>
      <c r="D834" s="19" t="str">
        <f>IFERROR(VLOOKUP(C834&amp;"",'[2]Retail Price List'!$A$3:$B$103,2,FALSE),"Special Order")</f>
        <v>KP000679</v>
      </c>
      <c r="E834" s="18" t="str">
        <f>[2]Trucks!J831</f>
        <v>CKD</v>
      </c>
      <c r="F834" s="12" t="str">
        <f>[2]Trucks!E831</f>
        <v>2017-10-19</v>
      </c>
      <c r="G834" s="56">
        <f>[2]Trucks!K831</f>
        <v>14.7</v>
      </c>
      <c r="H834" s="46">
        <f>[2]Trucks!I831</f>
        <v>42838</v>
      </c>
      <c r="I834" s="83" t="str">
        <f t="shared" si="60"/>
        <v>2017Q2</v>
      </c>
      <c r="J834" s="272">
        <f>IFERROR(VLOOKUP((D834&amp;C834)&amp;"",'[2]Retail Price List'!$C$4:$F$102,3,FALSE),"")</f>
        <v>1730000</v>
      </c>
      <c r="K834" s="272">
        <f>IFERROR(IF(BA834="WIP - 30 Days",VLOOKUP(D834,[3]Standard!$B$9:$E$101,4,FALSE),IF(BA834="31-120 Days",VLOOKUP(D834,[3]Standard!$B$9:$F$101,5,FALSE),IF(BA834="121-365 Days",VLOOKUP(D834,[3]Standard!$B$9:$G$101,6,FALSE),VLOOKUP(D834,[3]Standard!$B$9:$H$101,7,FALSE)))),0)</f>
        <v>1354244</v>
      </c>
      <c r="L834" s="272">
        <f>IFERROR(IF(BA834="WIP - 30 Days",VLOOKUP(D834,[3]Standard!$B$9:$J$101,9,FALSE),IF(BA834="31-120 Days",VLOOKUP(D834,[3]Standard!$B$9:$K$100,10,FALSE),IF(BA834="121-365 Days",VLOOKUP(D834,[3]Standard!$B$9:$L$101,11,FALSE),VLOOKUP(D834,[3]Standard!$B$9:$M$101,12,FALSE)))),0)</f>
        <v>1314800</v>
      </c>
      <c r="M834" s="269">
        <f>IFERROR(VLOOKUP((D834&amp;C834)&amp;"",'[2]Retail Price List'!$C$4:$F$102,4,FALSE),"")</f>
        <v>1775000</v>
      </c>
      <c r="N834" s="269">
        <f>IFERROR(IF(BA834="WIP - 30 Days",VLOOKUP(D834,[3]Extended!$B$9:$E$101,4,FALSE),IF(BA834="31-120 Days",VLOOKUP(D834,[3]Extended!$B$9:$F$101,5,FALSE),IF(BA834="121-365 Days",VLOOKUP(D834,[3]Extended!$B$9:$G$101,6,FALSE),VLOOKUP(D834,[3]Extended!$B$9:$H$101,7,FALSE)))),0)</f>
        <v>1389470</v>
      </c>
      <c r="O834" s="269">
        <f>IFERROR(IF(BA834="WIP - 30 Days",VLOOKUP(D834,[3]Extended!$B$9:$J$101,9,FALSE),IF(BA834="31-120 Days",VLOOKUP(D834,[3]Extended!$B$9:$K$101,10,FALSE),IF(BA834="121-365 Days",VLOOKUP(D834,[3]Extended!$B$9:$L$101,11,FALSE),VLOOKUP(D834,[3]Extended!$B$9:$M$101,12,FALSE)))),0)</f>
        <v>1349000</v>
      </c>
      <c r="P834" s="116">
        <f t="shared" si="61"/>
        <v>0.24</v>
      </c>
      <c r="Q834" s="110" t="e">
        <f>O834-#REF!</f>
        <v>#REF!</v>
      </c>
      <c r="W834" s="311"/>
      <c r="X834" s="311"/>
      <c r="Y834" s="311"/>
      <c r="Z834" s="311"/>
      <c r="AA834" s="311"/>
      <c r="AB834" s="311"/>
      <c r="AC834" s="311"/>
      <c r="AT834" s="88" t="str">
        <f t="shared" si="62"/>
        <v>KP0006792017Q214,7</v>
      </c>
      <c r="AU834" s="89" t="str">
        <f t="shared" si="63"/>
        <v>04-2017</v>
      </c>
      <c r="BA834" s="92" t="str">
        <f t="shared" si="64"/>
        <v>WIP - 30 Days</v>
      </c>
    </row>
    <row r="835" spans="2:53">
      <c r="B835" s="60">
        <f>[2]Trucks!A832</f>
        <v>46713</v>
      </c>
      <c r="C835" s="11" t="str">
        <f>[2]Trucks!B832</f>
        <v>TGS-33-4806X4BBS-L</v>
      </c>
      <c r="D835" s="19" t="str">
        <f>IFERROR(VLOOKUP(C835&amp;"",'[2]Retail Price List'!$A$3:$B$103,2,FALSE),"Special Order")</f>
        <v>KP000679</v>
      </c>
      <c r="E835" s="18" t="str">
        <f>[2]Trucks!J832</f>
        <v>CKD</v>
      </c>
      <c r="F835" s="12" t="str">
        <f>[2]Trucks!E832</f>
        <v>2017-10-19</v>
      </c>
      <c r="G835" s="56">
        <f>[2]Trucks!K832</f>
        <v>14.7</v>
      </c>
      <c r="H835" s="46">
        <f>[2]Trucks!I832</f>
        <v>42838</v>
      </c>
      <c r="I835" s="83" t="str">
        <f t="shared" si="60"/>
        <v>2017Q2</v>
      </c>
      <c r="J835" s="272">
        <f>IFERROR(VLOOKUP((D835&amp;C835)&amp;"",'[2]Retail Price List'!$C$4:$F$102,3,FALSE),"")</f>
        <v>1730000</v>
      </c>
      <c r="K835" s="272">
        <f>IFERROR(IF(BA835="WIP - 30 Days",VLOOKUP(D835,[3]Standard!$B$9:$E$101,4,FALSE),IF(BA835="31-120 Days",VLOOKUP(D835,[3]Standard!$B$9:$F$101,5,FALSE),IF(BA835="121-365 Days",VLOOKUP(D835,[3]Standard!$B$9:$G$101,6,FALSE),VLOOKUP(D835,[3]Standard!$B$9:$H$101,7,FALSE)))),0)</f>
        <v>1354244</v>
      </c>
      <c r="L835" s="272">
        <f>IFERROR(IF(BA835="WIP - 30 Days",VLOOKUP(D835,[3]Standard!$B$9:$J$101,9,FALSE),IF(BA835="31-120 Days",VLOOKUP(D835,[3]Standard!$B$9:$K$100,10,FALSE),IF(BA835="121-365 Days",VLOOKUP(D835,[3]Standard!$B$9:$L$101,11,FALSE),VLOOKUP(D835,[3]Standard!$B$9:$M$101,12,FALSE)))),0)</f>
        <v>1314800</v>
      </c>
      <c r="M835" s="269">
        <f>IFERROR(VLOOKUP((D835&amp;C835)&amp;"",'[2]Retail Price List'!$C$4:$F$102,4,FALSE),"")</f>
        <v>1775000</v>
      </c>
      <c r="N835" s="269">
        <f>IFERROR(IF(BA835="WIP - 30 Days",VLOOKUP(D835,[3]Extended!$B$9:$E$101,4,FALSE),IF(BA835="31-120 Days",VLOOKUP(D835,[3]Extended!$B$9:$F$101,5,FALSE),IF(BA835="121-365 Days",VLOOKUP(D835,[3]Extended!$B$9:$G$101,6,FALSE),VLOOKUP(D835,[3]Extended!$B$9:$H$101,7,FALSE)))),0)</f>
        <v>1389470</v>
      </c>
      <c r="O835" s="269">
        <f>IFERROR(IF(BA835="WIP - 30 Days",VLOOKUP(D835,[3]Extended!$B$9:$J$101,9,FALSE),IF(BA835="31-120 Days",VLOOKUP(D835,[3]Extended!$B$9:$K$101,10,FALSE),IF(BA835="121-365 Days",VLOOKUP(D835,[3]Extended!$B$9:$L$101,11,FALSE),VLOOKUP(D835,[3]Extended!$B$9:$M$101,12,FALSE)))),0)</f>
        <v>1349000</v>
      </c>
      <c r="P835" s="116">
        <f t="shared" si="61"/>
        <v>0.24</v>
      </c>
      <c r="Q835" s="110" t="e">
        <f>O835-#REF!</f>
        <v>#REF!</v>
      </c>
      <c r="W835" s="311"/>
      <c r="X835" s="311"/>
      <c r="Y835" s="311"/>
      <c r="Z835" s="311"/>
      <c r="AA835" s="311"/>
      <c r="AB835" s="311"/>
      <c r="AC835" s="311"/>
      <c r="AT835" s="88" t="str">
        <f t="shared" si="62"/>
        <v>KP0006792017Q214,7</v>
      </c>
      <c r="AU835" s="89" t="str">
        <f t="shared" si="63"/>
        <v>04-2017</v>
      </c>
      <c r="BA835" s="92" t="str">
        <f t="shared" si="64"/>
        <v>WIP - 30 Days</v>
      </c>
    </row>
    <row r="836" spans="2:53">
      <c r="B836" s="60" t="str">
        <f>[2]Trucks!A833</f>
        <v>76W-2692</v>
      </c>
      <c r="C836" s="11" t="str">
        <f>[2]Trucks!B833</f>
        <v>TGS-33-4806X4BBS-L</v>
      </c>
      <c r="D836" s="19" t="str">
        <f>IFERROR(VLOOKUP(C836&amp;"",'[2]Retail Price List'!$A$3:$B$103,2,FALSE),"Special Order")</f>
        <v>KP000679</v>
      </c>
      <c r="E836" s="18" t="str">
        <f>[2]Trucks!J833</f>
        <v>CKD</v>
      </c>
      <c r="F836" s="12" t="str">
        <f>[2]Trucks!E833</f>
        <v>2017-10-24</v>
      </c>
      <c r="G836" s="56">
        <f>[2]Trucks!K833</f>
        <v>14.7</v>
      </c>
      <c r="H836" s="46">
        <f>[2]Trucks!I833</f>
        <v>42838</v>
      </c>
      <c r="I836" s="83" t="str">
        <f t="shared" si="60"/>
        <v>2017Q2</v>
      </c>
      <c r="J836" s="272">
        <f>IFERROR(VLOOKUP((D836&amp;C836)&amp;"",'[2]Retail Price List'!$C$4:$F$102,3,FALSE),"")</f>
        <v>1730000</v>
      </c>
      <c r="K836" s="272">
        <f>IFERROR(IF(BA836="WIP - 30 Days",VLOOKUP(D836,[3]Standard!$B$9:$E$101,4,FALSE),IF(BA836="31-120 Days",VLOOKUP(D836,[3]Standard!$B$9:$F$101,5,FALSE),IF(BA836="121-365 Days",VLOOKUP(D836,[3]Standard!$B$9:$G$101,6,FALSE),VLOOKUP(D836,[3]Standard!$B$9:$H$101,7,FALSE)))),0)</f>
        <v>1354244</v>
      </c>
      <c r="L836" s="272">
        <f>IFERROR(IF(BA836="WIP - 30 Days",VLOOKUP(D836,[3]Standard!$B$9:$J$101,9,FALSE),IF(BA836="31-120 Days",VLOOKUP(D836,[3]Standard!$B$9:$K$100,10,FALSE),IF(BA836="121-365 Days",VLOOKUP(D836,[3]Standard!$B$9:$L$101,11,FALSE),VLOOKUP(D836,[3]Standard!$B$9:$M$101,12,FALSE)))),0)</f>
        <v>1314800</v>
      </c>
      <c r="M836" s="269">
        <f>IFERROR(VLOOKUP((D836&amp;C836)&amp;"",'[2]Retail Price List'!$C$4:$F$102,4,FALSE),"")</f>
        <v>1775000</v>
      </c>
      <c r="N836" s="269">
        <f>IFERROR(IF(BA836="WIP - 30 Days",VLOOKUP(D836,[3]Extended!$B$9:$E$101,4,FALSE),IF(BA836="31-120 Days",VLOOKUP(D836,[3]Extended!$B$9:$F$101,5,FALSE),IF(BA836="121-365 Days",VLOOKUP(D836,[3]Extended!$B$9:$G$101,6,FALSE),VLOOKUP(D836,[3]Extended!$B$9:$H$101,7,FALSE)))),0)</f>
        <v>1389470</v>
      </c>
      <c r="O836" s="269">
        <f>IFERROR(IF(BA836="WIP - 30 Days",VLOOKUP(D836,[3]Extended!$B$9:$J$101,9,FALSE),IF(BA836="31-120 Days",VLOOKUP(D836,[3]Extended!$B$9:$K$101,10,FALSE),IF(BA836="121-365 Days",VLOOKUP(D836,[3]Extended!$B$9:$L$101,11,FALSE),VLOOKUP(D836,[3]Extended!$B$9:$M$101,12,FALSE)))),0)</f>
        <v>1349000</v>
      </c>
      <c r="P836" s="116">
        <f t="shared" si="61"/>
        <v>0.24</v>
      </c>
      <c r="Q836" s="110" t="e">
        <f>O836-#REF!</f>
        <v>#REF!</v>
      </c>
      <c r="W836" s="311"/>
      <c r="X836" s="311"/>
      <c r="Y836" s="311"/>
      <c r="Z836" s="311"/>
      <c r="AA836" s="311"/>
      <c r="AB836" s="311"/>
      <c r="AC836" s="311"/>
      <c r="AT836" s="88" t="str">
        <f t="shared" si="62"/>
        <v>KP0006792017Q214,7</v>
      </c>
      <c r="AU836" s="89" t="str">
        <f t="shared" si="63"/>
        <v>04-2017</v>
      </c>
      <c r="BA836" s="92" t="str">
        <f t="shared" si="64"/>
        <v>WIP - 30 Days</v>
      </c>
    </row>
    <row r="837" spans="2:53">
      <c r="B837" s="60" t="str">
        <f>[2]Trucks!A834</f>
        <v>76W-2693</v>
      </c>
      <c r="C837" s="11" t="str">
        <f>[2]Trucks!B834</f>
        <v>TGS-33-4806X4BBS-L</v>
      </c>
      <c r="D837" s="19" t="str">
        <f>IFERROR(VLOOKUP(C837&amp;"",'[2]Retail Price List'!$A$3:$B$103,2,FALSE),"Special Order")</f>
        <v>KP000679</v>
      </c>
      <c r="E837" s="18" t="str">
        <f>[2]Trucks!J834</f>
        <v>CKD</v>
      </c>
      <c r="F837" s="12" t="str">
        <f>[2]Trucks!E834</f>
        <v>2017-10-24</v>
      </c>
      <c r="G837" s="56">
        <f>[2]Trucks!K834</f>
        <v>14.7</v>
      </c>
      <c r="H837" s="46">
        <f>[2]Trucks!I834</f>
        <v>42838</v>
      </c>
      <c r="I837" s="83" t="str">
        <f t="shared" ref="I837:I900" si="65">IFERROR(VLOOKUP(AU837,$AW$5:$AY$40,3,FALSE),"")</f>
        <v>2017Q2</v>
      </c>
      <c r="J837" s="272">
        <f>IFERROR(VLOOKUP((D837&amp;C837)&amp;"",'[2]Retail Price List'!$C$4:$F$102,3,FALSE),"")</f>
        <v>1730000</v>
      </c>
      <c r="K837" s="272">
        <f>IFERROR(IF(BA837="WIP - 30 Days",VLOOKUP(D837,[3]Standard!$B$9:$E$101,4,FALSE),IF(BA837="31-120 Days",VLOOKUP(D837,[3]Standard!$B$9:$F$101,5,FALSE),IF(BA837="121-365 Days",VLOOKUP(D837,[3]Standard!$B$9:$G$101,6,FALSE),VLOOKUP(D837,[3]Standard!$B$9:$H$101,7,FALSE)))),0)</f>
        <v>1354244</v>
      </c>
      <c r="L837" s="272">
        <f>IFERROR(IF(BA837="WIP - 30 Days",VLOOKUP(D837,[3]Standard!$B$9:$J$101,9,FALSE),IF(BA837="31-120 Days",VLOOKUP(D837,[3]Standard!$B$9:$K$100,10,FALSE),IF(BA837="121-365 Days",VLOOKUP(D837,[3]Standard!$B$9:$L$101,11,FALSE),VLOOKUP(D837,[3]Standard!$B$9:$M$101,12,FALSE)))),0)</f>
        <v>1314800</v>
      </c>
      <c r="M837" s="269">
        <f>IFERROR(VLOOKUP((D837&amp;C837)&amp;"",'[2]Retail Price List'!$C$4:$F$102,4,FALSE),"")</f>
        <v>1775000</v>
      </c>
      <c r="N837" s="269">
        <f>IFERROR(IF(BA837="WIP - 30 Days",VLOOKUP(D837,[3]Extended!$B$9:$E$101,4,FALSE),IF(BA837="31-120 Days",VLOOKUP(D837,[3]Extended!$B$9:$F$101,5,FALSE),IF(BA837="121-365 Days",VLOOKUP(D837,[3]Extended!$B$9:$G$101,6,FALSE),VLOOKUP(D837,[3]Extended!$B$9:$H$101,7,FALSE)))),0)</f>
        <v>1389470</v>
      </c>
      <c r="O837" s="269">
        <f>IFERROR(IF(BA837="WIP - 30 Days",VLOOKUP(D837,[3]Extended!$B$9:$J$101,9,FALSE),IF(BA837="31-120 Days",VLOOKUP(D837,[3]Extended!$B$9:$K$101,10,FALSE),IF(BA837="121-365 Days",VLOOKUP(D837,[3]Extended!$B$9:$L$101,11,FALSE),VLOOKUP(D837,[3]Extended!$B$9:$M$101,12,FALSE)))),0)</f>
        <v>1349000</v>
      </c>
      <c r="P837" s="116">
        <f t="shared" ref="P837:P900" si="66">(M837-O837)/M837</f>
        <v>0.24</v>
      </c>
      <c r="Q837" s="110" t="e">
        <f>O837-#REF!</f>
        <v>#REF!</v>
      </c>
      <c r="W837" s="311"/>
      <c r="X837" s="311"/>
      <c r="Y837" s="311"/>
      <c r="Z837" s="311"/>
      <c r="AA837" s="311"/>
      <c r="AB837" s="311"/>
      <c r="AC837" s="311"/>
      <c r="AT837" s="88" t="str">
        <f t="shared" ref="AT837:AT900" si="67">D837&amp;I837&amp;G837</f>
        <v>KP0006792017Q214,7</v>
      </c>
      <c r="AU837" s="89" t="str">
        <f t="shared" ref="AU837:AU900" si="68">IF(MONTH(H837)&lt;10,0&amp;MONTH(H837)&amp;"-"&amp;YEAR(H837),MONTH(H837)&amp;"-"&amp;YEAR(H837))</f>
        <v>04-2017</v>
      </c>
      <c r="BA837" s="92" t="str">
        <f t="shared" ref="BA837:BA900" si="69">IF(B837=0,"",IF(AND(F837&gt;=31,F837&lt;=120),"31-120 Days",IF(AND(F837&gt;=121,F837&lt;=365),"121-365 Days",IF(OR(E837="CKD",F837&lt;=30),"WIP - 30 Days","&gt;365 Days"))))</f>
        <v>WIP - 30 Days</v>
      </c>
    </row>
    <row r="838" spans="2:53">
      <c r="B838" s="60" t="str">
        <f>[2]Trucks!A835</f>
        <v>76W-2694</v>
      </c>
      <c r="C838" s="11" t="str">
        <f>[2]Trucks!B835</f>
        <v>TGS-33-4806X4BBS-L</v>
      </c>
      <c r="D838" s="19" t="str">
        <f>IFERROR(VLOOKUP(C838&amp;"",'[2]Retail Price List'!$A$3:$B$103,2,FALSE),"Special Order")</f>
        <v>KP000679</v>
      </c>
      <c r="E838" s="18" t="str">
        <f>[2]Trucks!J835</f>
        <v>CKD</v>
      </c>
      <c r="F838" s="12" t="str">
        <f>[2]Trucks!E835</f>
        <v>2017-10-24</v>
      </c>
      <c r="G838" s="56">
        <f>[2]Trucks!K835</f>
        <v>14.7</v>
      </c>
      <c r="H838" s="46">
        <f>[2]Trucks!I835</f>
        <v>42838</v>
      </c>
      <c r="I838" s="83" t="str">
        <f t="shared" si="65"/>
        <v>2017Q2</v>
      </c>
      <c r="J838" s="272">
        <f>IFERROR(VLOOKUP((D838&amp;C838)&amp;"",'[2]Retail Price List'!$C$4:$F$102,3,FALSE),"")</f>
        <v>1730000</v>
      </c>
      <c r="K838" s="272">
        <f>IFERROR(IF(BA838="WIP - 30 Days",VLOOKUP(D838,[3]Standard!$B$9:$E$101,4,FALSE),IF(BA838="31-120 Days",VLOOKUP(D838,[3]Standard!$B$9:$F$101,5,FALSE),IF(BA838="121-365 Days",VLOOKUP(D838,[3]Standard!$B$9:$G$101,6,FALSE),VLOOKUP(D838,[3]Standard!$B$9:$H$101,7,FALSE)))),0)</f>
        <v>1354244</v>
      </c>
      <c r="L838" s="272">
        <f>IFERROR(IF(BA838="WIP - 30 Days",VLOOKUP(D838,[3]Standard!$B$9:$J$101,9,FALSE),IF(BA838="31-120 Days",VLOOKUP(D838,[3]Standard!$B$9:$K$100,10,FALSE),IF(BA838="121-365 Days",VLOOKUP(D838,[3]Standard!$B$9:$L$101,11,FALSE),VLOOKUP(D838,[3]Standard!$B$9:$M$101,12,FALSE)))),0)</f>
        <v>1314800</v>
      </c>
      <c r="M838" s="269">
        <f>IFERROR(VLOOKUP((D838&amp;C838)&amp;"",'[2]Retail Price List'!$C$4:$F$102,4,FALSE),"")</f>
        <v>1775000</v>
      </c>
      <c r="N838" s="269">
        <f>IFERROR(IF(BA838="WIP - 30 Days",VLOOKUP(D838,[3]Extended!$B$9:$E$101,4,FALSE),IF(BA838="31-120 Days",VLOOKUP(D838,[3]Extended!$B$9:$F$101,5,FALSE),IF(BA838="121-365 Days",VLOOKUP(D838,[3]Extended!$B$9:$G$101,6,FALSE),VLOOKUP(D838,[3]Extended!$B$9:$H$101,7,FALSE)))),0)</f>
        <v>1389470</v>
      </c>
      <c r="O838" s="269">
        <f>IFERROR(IF(BA838="WIP - 30 Days",VLOOKUP(D838,[3]Extended!$B$9:$J$101,9,FALSE),IF(BA838="31-120 Days",VLOOKUP(D838,[3]Extended!$B$9:$K$101,10,FALSE),IF(BA838="121-365 Days",VLOOKUP(D838,[3]Extended!$B$9:$L$101,11,FALSE),VLOOKUP(D838,[3]Extended!$B$9:$M$101,12,FALSE)))),0)</f>
        <v>1349000</v>
      </c>
      <c r="P838" s="116">
        <f t="shared" si="66"/>
        <v>0.24</v>
      </c>
      <c r="Q838" s="110" t="e">
        <f>O838-#REF!</f>
        <v>#REF!</v>
      </c>
      <c r="W838" s="311"/>
      <c r="X838" s="311"/>
      <c r="Y838" s="311"/>
      <c r="Z838" s="311"/>
      <c r="AA838" s="311"/>
      <c r="AB838" s="311"/>
      <c r="AC838" s="311"/>
      <c r="AT838" s="88" t="str">
        <f t="shared" si="67"/>
        <v>KP0006792017Q214,7</v>
      </c>
      <c r="AU838" s="89" t="str">
        <f t="shared" si="68"/>
        <v>04-2017</v>
      </c>
      <c r="BA838" s="92" t="str">
        <f t="shared" si="69"/>
        <v>WIP - 30 Days</v>
      </c>
    </row>
    <row r="839" spans="2:53">
      <c r="B839" s="60" t="str">
        <f>[2]Trucks!A836</f>
        <v>76W-2695</v>
      </c>
      <c r="C839" s="11" t="str">
        <f>[2]Trucks!B836</f>
        <v>TGS-33-4806X4BBS-L</v>
      </c>
      <c r="D839" s="19" t="str">
        <f>IFERROR(VLOOKUP(C839&amp;"",'[2]Retail Price List'!$A$3:$B$103,2,FALSE),"Special Order")</f>
        <v>KP000679</v>
      </c>
      <c r="E839" s="18" t="str">
        <f>[2]Trucks!J836</f>
        <v>CKD</v>
      </c>
      <c r="F839" s="12" t="str">
        <f>[2]Trucks!E836</f>
        <v>2017-10-24</v>
      </c>
      <c r="G839" s="56">
        <f>[2]Trucks!K836</f>
        <v>14.7</v>
      </c>
      <c r="H839" s="46">
        <f>[2]Trucks!I836</f>
        <v>42838</v>
      </c>
      <c r="I839" s="83" t="str">
        <f t="shared" si="65"/>
        <v>2017Q2</v>
      </c>
      <c r="J839" s="272">
        <f>IFERROR(VLOOKUP((D839&amp;C839)&amp;"",'[2]Retail Price List'!$C$4:$F$102,3,FALSE),"")</f>
        <v>1730000</v>
      </c>
      <c r="K839" s="272">
        <f>IFERROR(IF(BA839="WIP - 30 Days",VLOOKUP(D839,[3]Standard!$B$9:$E$101,4,FALSE),IF(BA839="31-120 Days",VLOOKUP(D839,[3]Standard!$B$9:$F$101,5,FALSE),IF(BA839="121-365 Days",VLOOKUP(D839,[3]Standard!$B$9:$G$101,6,FALSE),VLOOKUP(D839,[3]Standard!$B$9:$H$101,7,FALSE)))),0)</f>
        <v>1354244</v>
      </c>
      <c r="L839" s="272">
        <f>IFERROR(IF(BA839="WIP - 30 Days",VLOOKUP(D839,[3]Standard!$B$9:$J$101,9,FALSE),IF(BA839="31-120 Days",VLOOKUP(D839,[3]Standard!$B$9:$K$100,10,FALSE),IF(BA839="121-365 Days",VLOOKUP(D839,[3]Standard!$B$9:$L$101,11,FALSE),VLOOKUP(D839,[3]Standard!$B$9:$M$101,12,FALSE)))),0)</f>
        <v>1314800</v>
      </c>
      <c r="M839" s="269">
        <f>IFERROR(VLOOKUP((D839&amp;C839)&amp;"",'[2]Retail Price List'!$C$4:$F$102,4,FALSE),"")</f>
        <v>1775000</v>
      </c>
      <c r="N839" s="269">
        <f>IFERROR(IF(BA839="WIP - 30 Days",VLOOKUP(D839,[3]Extended!$B$9:$E$101,4,FALSE),IF(BA839="31-120 Days",VLOOKUP(D839,[3]Extended!$B$9:$F$101,5,FALSE),IF(BA839="121-365 Days",VLOOKUP(D839,[3]Extended!$B$9:$G$101,6,FALSE),VLOOKUP(D839,[3]Extended!$B$9:$H$101,7,FALSE)))),0)</f>
        <v>1389470</v>
      </c>
      <c r="O839" s="269">
        <f>IFERROR(IF(BA839="WIP - 30 Days",VLOOKUP(D839,[3]Extended!$B$9:$J$101,9,FALSE),IF(BA839="31-120 Days",VLOOKUP(D839,[3]Extended!$B$9:$K$101,10,FALSE),IF(BA839="121-365 Days",VLOOKUP(D839,[3]Extended!$B$9:$L$101,11,FALSE),VLOOKUP(D839,[3]Extended!$B$9:$M$101,12,FALSE)))),0)</f>
        <v>1349000</v>
      </c>
      <c r="P839" s="116">
        <f t="shared" si="66"/>
        <v>0.24</v>
      </c>
      <c r="Q839" s="110" t="e">
        <f>O839-#REF!</f>
        <v>#REF!</v>
      </c>
      <c r="W839" s="311"/>
      <c r="X839" s="311"/>
      <c r="Y839" s="311"/>
      <c r="Z839" s="311"/>
      <c r="AA839" s="311"/>
      <c r="AB839" s="311"/>
      <c r="AC839" s="311"/>
      <c r="AT839" s="88" t="str">
        <f t="shared" si="67"/>
        <v>KP0006792017Q214,7</v>
      </c>
      <c r="AU839" s="89" t="str">
        <f t="shared" si="68"/>
        <v>04-2017</v>
      </c>
      <c r="BA839" s="92" t="str">
        <f t="shared" si="69"/>
        <v>WIP - 30 Days</v>
      </c>
    </row>
    <row r="840" spans="2:53">
      <c r="B840" s="60" t="str">
        <f>[2]Trucks!A837</f>
        <v>76W-8432</v>
      </c>
      <c r="C840" s="11" t="str">
        <f>[2]Trucks!B837</f>
        <v>TGS-33-4806X4BBS-L</v>
      </c>
      <c r="D840" s="19" t="str">
        <f>IFERROR(VLOOKUP(C840&amp;"",'[2]Retail Price List'!$A$3:$B$103,2,FALSE),"Special Order")</f>
        <v>KP000679</v>
      </c>
      <c r="E840" s="18" t="str">
        <f>[2]Trucks!J837</f>
        <v>DEMO</v>
      </c>
      <c r="F840" s="12">
        <f>[2]Trucks!E837</f>
        <v>195</v>
      </c>
      <c r="G840" s="56">
        <f>[2]Trucks!K837</f>
        <v>17.3</v>
      </c>
      <c r="H840" s="46">
        <f>[2]Trucks!I837</f>
        <v>42499</v>
      </c>
      <c r="I840" s="83" t="str">
        <f t="shared" si="65"/>
        <v>2016Q2</v>
      </c>
      <c r="J840" s="272">
        <f>IFERROR(VLOOKUP((D840&amp;C840)&amp;"",'[2]Retail Price List'!$C$4:$F$102,3,FALSE),"")</f>
        <v>1730000</v>
      </c>
      <c r="K840" s="272">
        <f>IFERROR(IF(BA840="WIP - 30 Days",VLOOKUP(D840,[3]Standard!$B$9:$E$101,4,FALSE),IF(BA840="31-120 Days",VLOOKUP(D840,[3]Standard!$B$9:$F$101,5,FALSE),IF(BA840="121-365 Days",VLOOKUP(D840,[3]Standard!$B$9:$G$101,6,FALSE),VLOOKUP(D840,[3]Standard!$B$9:$H$101,7,FALSE)))),0)</f>
        <v>1300787</v>
      </c>
      <c r="L840" s="272">
        <f>IFERROR(IF(BA840="WIP - 30 Days",VLOOKUP(D840,[3]Standard!$B$9:$J$101,9,FALSE),IF(BA840="31-120 Days",VLOOKUP(D840,[3]Standard!$B$9:$K$100,10,FALSE),IF(BA840="121-365 Days",VLOOKUP(D840,[3]Standard!$B$9:$L$101,11,FALSE),VLOOKUP(D840,[3]Standard!$B$9:$M$101,12,FALSE)))),0)</f>
        <v>1262900</v>
      </c>
      <c r="M840" s="269">
        <f>IFERROR(VLOOKUP((D840&amp;C840)&amp;"",'[2]Retail Price List'!$C$4:$F$102,4,FALSE),"")</f>
        <v>1775000</v>
      </c>
      <c r="N840" s="269">
        <f>IFERROR(IF(BA840="WIP - 30 Days",VLOOKUP(D840,[3]Extended!$B$9:$E$101,4,FALSE),IF(BA840="31-120 Days",VLOOKUP(D840,[3]Extended!$B$9:$F$101,5,FALSE),IF(BA840="121-365 Days",VLOOKUP(D840,[3]Extended!$B$9:$G$101,6,FALSE),VLOOKUP(D840,[3]Extended!$B$9:$H$101,7,FALSE)))),0)</f>
        <v>1334622.5</v>
      </c>
      <c r="O840" s="269">
        <f>IFERROR(IF(BA840="WIP - 30 Days",VLOOKUP(D840,[3]Extended!$B$9:$J$101,9,FALSE),IF(BA840="31-120 Days",VLOOKUP(D840,[3]Extended!$B$9:$K$101,10,FALSE),IF(BA840="121-365 Days",VLOOKUP(D840,[3]Extended!$B$9:$L$101,11,FALSE),VLOOKUP(D840,[3]Extended!$B$9:$M$101,12,FALSE)))),0)</f>
        <v>1295750</v>
      </c>
      <c r="P840" s="116">
        <f t="shared" si="66"/>
        <v>0.27</v>
      </c>
      <c r="Q840" s="110" t="e">
        <f>O840-#REF!</f>
        <v>#REF!</v>
      </c>
      <c r="W840" s="311"/>
      <c r="X840" s="311"/>
      <c r="Y840" s="311"/>
      <c r="Z840" s="311"/>
      <c r="AA840" s="311"/>
      <c r="AB840" s="311"/>
      <c r="AC840" s="311"/>
      <c r="AT840" s="88" t="str">
        <f t="shared" si="67"/>
        <v>KP0006792016Q217,3</v>
      </c>
      <c r="AU840" s="89" t="str">
        <f t="shared" si="68"/>
        <v>05-2016</v>
      </c>
      <c r="BA840" s="92" t="str">
        <f t="shared" si="69"/>
        <v>121-365 Days</v>
      </c>
    </row>
    <row r="841" spans="2:53">
      <c r="B841" s="60" t="str">
        <f>[2]Trucks!A838</f>
        <v>TBAKP679</v>
      </c>
      <c r="C841" s="11" t="str">
        <f>[2]Trucks!B838</f>
        <v>TGS-33-4806X4BBS-L</v>
      </c>
      <c r="D841" s="19" t="str">
        <f>IFERROR(VLOOKUP(C841&amp;"",'[2]Retail Price List'!$A$3:$B$103,2,FALSE),"Special Order")</f>
        <v>KP000679</v>
      </c>
      <c r="E841" s="18" t="str">
        <f>[2]Trucks!J838</f>
        <v>CKD</v>
      </c>
      <c r="F841" s="12" t="str">
        <f>[2]Trucks!E838</f>
        <v>2018-02-15</v>
      </c>
      <c r="G841" s="56">
        <f>[2]Trucks!K838</f>
        <v>14.7</v>
      </c>
      <c r="H841" s="46">
        <f>[2]Trucks!I838</f>
        <v>42921</v>
      </c>
      <c r="I841" s="83" t="str">
        <f t="shared" si="65"/>
        <v>2017Q3</v>
      </c>
      <c r="J841" s="272">
        <f>IFERROR(VLOOKUP((D841&amp;C841)&amp;"",'[2]Retail Price List'!$C$4:$F$102,3,FALSE),"")</f>
        <v>1730000</v>
      </c>
      <c r="K841" s="272">
        <f>IFERROR(IF(BA841="WIP - 30 Days",VLOOKUP(D841,[3]Standard!$B$9:$E$101,4,FALSE),IF(BA841="31-120 Days",VLOOKUP(D841,[3]Standard!$B$9:$F$101,5,FALSE),IF(BA841="121-365 Days",VLOOKUP(D841,[3]Standard!$B$9:$G$101,6,FALSE),VLOOKUP(D841,[3]Standard!$B$9:$H$101,7,FALSE)))),0)</f>
        <v>1354244</v>
      </c>
      <c r="L841" s="272">
        <f>IFERROR(IF(BA841="WIP - 30 Days",VLOOKUP(D841,[3]Standard!$B$9:$J$101,9,FALSE),IF(BA841="31-120 Days",VLOOKUP(D841,[3]Standard!$B$9:$K$100,10,FALSE),IF(BA841="121-365 Days",VLOOKUP(D841,[3]Standard!$B$9:$L$101,11,FALSE),VLOOKUP(D841,[3]Standard!$B$9:$M$101,12,FALSE)))),0)</f>
        <v>1314800</v>
      </c>
      <c r="M841" s="269">
        <f>IFERROR(VLOOKUP((D841&amp;C841)&amp;"",'[2]Retail Price List'!$C$4:$F$102,4,FALSE),"")</f>
        <v>1775000</v>
      </c>
      <c r="N841" s="269">
        <f>IFERROR(IF(BA841="WIP - 30 Days",VLOOKUP(D841,[3]Extended!$B$9:$E$101,4,FALSE),IF(BA841="31-120 Days",VLOOKUP(D841,[3]Extended!$B$9:$F$101,5,FALSE),IF(BA841="121-365 Days",VLOOKUP(D841,[3]Extended!$B$9:$G$101,6,FALSE),VLOOKUP(D841,[3]Extended!$B$9:$H$101,7,FALSE)))),0)</f>
        <v>1389470</v>
      </c>
      <c r="O841" s="269">
        <f>IFERROR(IF(BA841="WIP - 30 Days",VLOOKUP(D841,[3]Extended!$B$9:$J$101,9,FALSE),IF(BA841="31-120 Days",VLOOKUP(D841,[3]Extended!$B$9:$K$101,10,FALSE),IF(BA841="121-365 Days",VLOOKUP(D841,[3]Extended!$B$9:$L$101,11,FALSE),VLOOKUP(D841,[3]Extended!$B$9:$M$101,12,FALSE)))),0)</f>
        <v>1349000</v>
      </c>
      <c r="P841" s="116">
        <f t="shared" si="66"/>
        <v>0.24</v>
      </c>
      <c r="Q841" s="110" t="e">
        <f>O841-#REF!</f>
        <v>#REF!</v>
      </c>
      <c r="W841" s="311"/>
      <c r="X841" s="311"/>
      <c r="Y841" s="311"/>
      <c r="Z841" s="311"/>
      <c r="AA841" s="311"/>
      <c r="AB841" s="311"/>
      <c r="AC841" s="311"/>
      <c r="AT841" s="88" t="str">
        <f t="shared" si="67"/>
        <v>KP0006792017Q314,7</v>
      </c>
      <c r="AU841" s="89" t="str">
        <f t="shared" si="68"/>
        <v>07-2017</v>
      </c>
      <c r="BA841" s="92" t="str">
        <f t="shared" si="69"/>
        <v>WIP - 30 Days</v>
      </c>
    </row>
    <row r="842" spans="2:53">
      <c r="B842" s="60">
        <f>[2]Trucks!A839</f>
        <v>47059</v>
      </c>
      <c r="C842" s="11" t="str">
        <f>[2]Trucks!B839</f>
        <v>TGS-41-4408X4BB-M-DWA</v>
      </c>
      <c r="D842" s="19" t="str">
        <f>IFERROR(VLOOKUP(C842&amp;"",'[2]Retail Price List'!$A$3:$B$103,2,FALSE),"Special Order")</f>
        <v>KP000732</v>
      </c>
      <c r="E842" s="18" t="str">
        <f>[2]Trucks!J839</f>
        <v>CKD</v>
      </c>
      <c r="F842" s="12" t="str">
        <f>[2]Trucks!E839</f>
        <v>2017-11-13</v>
      </c>
      <c r="G842" s="56">
        <f>[2]Trucks!K839</f>
        <v>14.7</v>
      </c>
      <c r="H842" s="46">
        <f>[2]Trucks!I839</f>
        <v>42859</v>
      </c>
      <c r="I842" s="83" t="str">
        <f t="shared" si="65"/>
        <v>2017Q2</v>
      </c>
      <c r="J842" s="272">
        <f>IFERROR(VLOOKUP((D842&amp;C842)&amp;"",'[2]Retail Price List'!$C$4:$F$102,3,FALSE),"")</f>
        <v>1825000</v>
      </c>
      <c r="K842" s="272">
        <f>IFERROR(IF(BA842="WIP - 30 Days",VLOOKUP(D842,[3]Standard!$B$9:$E$101,4,FALSE),IF(BA842="31-120 Days",VLOOKUP(D842,[3]Standard!$B$9:$F$101,5,FALSE),IF(BA842="121-365 Days",VLOOKUP(D842,[3]Standard!$B$9:$G$101,6,FALSE),VLOOKUP(D842,[3]Standard!$B$9:$H$101,7,FALSE)))),0)</f>
        <v>1315825</v>
      </c>
      <c r="L842" s="272">
        <f>IFERROR(IF(BA842="WIP - 30 Days",VLOOKUP(D842,[3]Standard!$B$9:$J$101,9,FALSE),IF(BA842="31-120 Days",VLOOKUP(D842,[3]Standard!$B$9:$K$100,10,FALSE),IF(BA842="121-365 Days",VLOOKUP(D842,[3]Standard!$B$9:$L$101,11,FALSE),VLOOKUP(D842,[3]Standard!$B$9:$M$101,12,FALSE)))),0)</f>
        <v>1277500</v>
      </c>
      <c r="M842" s="269">
        <f>IFERROR(VLOOKUP((D842&amp;C842)&amp;"",'[2]Retail Price List'!$C$4:$F$102,4,FALSE),"")</f>
        <v>1875000</v>
      </c>
      <c r="N842" s="269">
        <f>IFERROR(IF(BA842="WIP - 30 Days",VLOOKUP(D842,[3]Extended!$B$9:$E$101,4,FALSE),IF(BA842="31-120 Days",VLOOKUP(D842,[3]Extended!$B$9:$F$101,5,FALSE),IF(BA842="121-365 Days",VLOOKUP(D842,[3]Extended!$B$9:$G$101,6,FALSE),VLOOKUP(D842,[3]Extended!$B$9:$H$101,7,FALSE)))),0)</f>
        <v>1351875</v>
      </c>
      <c r="O842" s="269">
        <f>IFERROR(IF(BA842="WIP - 30 Days",VLOOKUP(D842,[3]Extended!$B$9:$J$101,9,FALSE),IF(BA842="31-120 Days",VLOOKUP(D842,[3]Extended!$B$9:$K$101,10,FALSE),IF(BA842="121-365 Days",VLOOKUP(D842,[3]Extended!$B$9:$L$101,11,FALSE),VLOOKUP(D842,[3]Extended!$B$9:$M$101,12,FALSE)))),0)</f>
        <v>1312500</v>
      </c>
      <c r="P842" s="116">
        <f t="shared" si="66"/>
        <v>0.3</v>
      </c>
      <c r="Q842" s="110" t="e">
        <f>O842-#REF!</f>
        <v>#REF!</v>
      </c>
      <c r="W842" s="311"/>
      <c r="X842" s="311"/>
      <c r="Y842" s="311"/>
      <c r="Z842" s="311"/>
      <c r="AA842" s="311"/>
      <c r="AB842" s="311"/>
      <c r="AC842" s="311"/>
      <c r="AT842" s="88" t="str">
        <f t="shared" si="67"/>
        <v>KP0007322017Q214,7</v>
      </c>
      <c r="AU842" s="89" t="str">
        <f t="shared" si="68"/>
        <v>05-2017</v>
      </c>
      <c r="BA842" s="92" t="str">
        <f t="shared" si="69"/>
        <v>WIP - 30 Days</v>
      </c>
    </row>
    <row r="843" spans="2:53">
      <c r="B843" s="60">
        <f>[2]Trucks!A840</f>
        <v>47060</v>
      </c>
      <c r="C843" s="11" t="str">
        <f>[2]Trucks!B840</f>
        <v>TGS-41-4408X4BB-M-DWA</v>
      </c>
      <c r="D843" s="19" t="str">
        <f>IFERROR(VLOOKUP(C843&amp;"",'[2]Retail Price List'!$A$3:$B$103,2,FALSE),"Special Order")</f>
        <v>KP000732</v>
      </c>
      <c r="E843" s="18" t="str">
        <f>[2]Trucks!J840</f>
        <v>CKD</v>
      </c>
      <c r="F843" s="12" t="str">
        <f>[2]Trucks!E840</f>
        <v>2017-11-24</v>
      </c>
      <c r="G843" s="56">
        <f>[2]Trucks!K840</f>
        <v>14.7</v>
      </c>
      <c r="H843" s="46">
        <f>[2]Trucks!I840</f>
        <v>42859</v>
      </c>
      <c r="I843" s="83" t="str">
        <f t="shared" si="65"/>
        <v>2017Q2</v>
      </c>
      <c r="J843" s="272">
        <f>IFERROR(VLOOKUP((D843&amp;C843)&amp;"",'[2]Retail Price List'!$C$4:$F$102,3,FALSE),"")</f>
        <v>1825000</v>
      </c>
      <c r="K843" s="272">
        <f>IFERROR(IF(BA843="WIP - 30 Days",VLOOKUP(D843,[3]Standard!$B$9:$E$101,4,FALSE),IF(BA843="31-120 Days",VLOOKUP(D843,[3]Standard!$B$9:$F$101,5,FALSE),IF(BA843="121-365 Days",VLOOKUP(D843,[3]Standard!$B$9:$G$101,6,FALSE),VLOOKUP(D843,[3]Standard!$B$9:$H$101,7,FALSE)))),0)</f>
        <v>1315825</v>
      </c>
      <c r="L843" s="272">
        <f>IFERROR(IF(BA843="WIP - 30 Days",VLOOKUP(D843,[3]Standard!$B$9:$J$101,9,FALSE),IF(BA843="31-120 Days",VLOOKUP(D843,[3]Standard!$B$9:$K$100,10,FALSE),IF(BA843="121-365 Days",VLOOKUP(D843,[3]Standard!$B$9:$L$101,11,FALSE),VLOOKUP(D843,[3]Standard!$B$9:$M$101,12,FALSE)))),0)</f>
        <v>1277500</v>
      </c>
      <c r="M843" s="269">
        <f>IFERROR(VLOOKUP((D843&amp;C843)&amp;"",'[2]Retail Price List'!$C$4:$F$102,4,FALSE),"")</f>
        <v>1875000</v>
      </c>
      <c r="N843" s="269">
        <f>IFERROR(IF(BA843="WIP - 30 Days",VLOOKUP(D843,[3]Extended!$B$9:$E$101,4,FALSE),IF(BA843="31-120 Days",VLOOKUP(D843,[3]Extended!$B$9:$F$101,5,FALSE),IF(BA843="121-365 Days",VLOOKUP(D843,[3]Extended!$B$9:$G$101,6,FALSE),VLOOKUP(D843,[3]Extended!$B$9:$H$101,7,FALSE)))),0)</f>
        <v>1351875</v>
      </c>
      <c r="O843" s="269">
        <f>IFERROR(IF(BA843="WIP - 30 Days",VLOOKUP(D843,[3]Extended!$B$9:$J$101,9,FALSE),IF(BA843="31-120 Days",VLOOKUP(D843,[3]Extended!$B$9:$K$101,10,FALSE),IF(BA843="121-365 Days",VLOOKUP(D843,[3]Extended!$B$9:$L$101,11,FALSE),VLOOKUP(D843,[3]Extended!$B$9:$M$101,12,FALSE)))),0)</f>
        <v>1312500</v>
      </c>
      <c r="P843" s="116">
        <f t="shared" si="66"/>
        <v>0.3</v>
      </c>
      <c r="Q843" s="110" t="e">
        <f>O843-#REF!</f>
        <v>#REF!</v>
      </c>
      <c r="W843" s="311"/>
      <c r="X843" s="311"/>
      <c r="Y843" s="311"/>
      <c r="Z843" s="311"/>
      <c r="AA843" s="311"/>
      <c r="AB843" s="311"/>
      <c r="AC843" s="311"/>
      <c r="AT843" s="88" t="str">
        <f t="shared" si="67"/>
        <v>KP0007322017Q214,7</v>
      </c>
      <c r="AU843" s="89" t="str">
        <f t="shared" si="68"/>
        <v>05-2017</v>
      </c>
      <c r="BA843" s="92" t="str">
        <f t="shared" si="69"/>
        <v>WIP - 30 Days</v>
      </c>
    </row>
    <row r="844" spans="2:53">
      <c r="B844" s="60">
        <f>[2]Trucks!A841</f>
        <v>47061</v>
      </c>
      <c r="C844" s="11" t="str">
        <f>[2]Trucks!B841</f>
        <v>TGS-41-4408X4BB-M-DWA</v>
      </c>
      <c r="D844" s="19" t="str">
        <f>IFERROR(VLOOKUP(C844&amp;"",'[2]Retail Price List'!$A$3:$B$103,2,FALSE),"Special Order")</f>
        <v>KP000732</v>
      </c>
      <c r="E844" s="18" t="str">
        <f>[2]Trucks!J841</f>
        <v>CKD</v>
      </c>
      <c r="F844" s="12" t="str">
        <f>[2]Trucks!E841</f>
        <v>2017-11-24</v>
      </c>
      <c r="G844" s="56">
        <f>[2]Trucks!K841</f>
        <v>14.7</v>
      </c>
      <c r="H844" s="46">
        <f>[2]Trucks!I841</f>
        <v>42859</v>
      </c>
      <c r="I844" s="83" t="str">
        <f t="shared" si="65"/>
        <v>2017Q2</v>
      </c>
      <c r="J844" s="272">
        <f>IFERROR(VLOOKUP((D844&amp;C844)&amp;"",'[2]Retail Price List'!$C$4:$F$102,3,FALSE),"")</f>
        <v>1825000</v>
      </c>
      <c r="K844" s="272">
        <f>IFERROR(IF(BA844="WIP - 30 Days",VLOOKUP(D844,[3]Standard!$B$9:$E$101,4,FALSE),IF(BA844="31-120 Days",VLOOKUP(D844,[3]Standard!$B$9:$F$101,5,FALSE),IF(BA844="121-365 Days",VLOOKUP(D844,[3]Standard!$B$9:$G$101,6,FALSE),VLOOKUP(D844,[3]Standard!$B$9:$H$101,7,FALSE)))),0)</f>
        <v>1315825</v>
      </c>
      <c r="L844" s="272">
        <f>IFERROR(IF(BA844="WIP - 30 Days",VLOOKUP(D844,[3]Standard!$B$9:$J$101,9,FALSE),IF(BA844="31-120 Days",VLOOKUP(D844,[3]Standard!$B$9:$K$100,10,FALSE),IF(BA844="121-365 Days",VLOOKUP(D844,[3]Standard!$B$9:$L$101,11,FALSE),VLOOKUP(D844,[3]Standard!$B$9:$M$101,12,FALSE)))),0)</f>
        <v>1277500</v>
      </c>
      <c r="M844" s="269">
        <f>IFERROR(VLOOKUP((D844&amp;C844)&amp;"",'[2]Retail Price List'!$C$4:$F$102,4,FALSE),"")</f>
        <v>1875000</v>
      </c>
      <c r="N844" s="269">
        <f>IFERROR(IF(BA844="WIP - 30 Days",VLOOKUP(D844,[3]Extended!$B$9:$E$101,4,FALSE),IF(BA844="31-120 Days",VLOOKUP(D844,[3]Extended!$B$9:$F$101,5,FALSE),IF(BA844="121-365 Days",VLOOKUP(D844,[3]Extended!$B$9:$G$101,6,FALSE),VLOOKUP(D844,[3]Extended!$B$9:$H$101,7,FALSE)))),0)</f>
        <v>1351875</v>
      </c>
      <c r="O844" s="269">
        <f>IFERROR(IF(BA844="WIP - 30 Days",VLOOKUP(D844,[3]Extended!$B$9:$J$101,9,FALSE),IF(BA844="31-120 Days",VLOOKUP(D844,[3]Extended!$B$9:$K$101,10,FALSE),IF(BA844="121-365 Days",VLOOKUP(D844,[3]Extended!$B$9:$L$101,11,FALSE),VLOOKUP(D844,[3]Extended!$B$9:$M$101,12,FALSE)))),0)</f>
        <v>1312500</v>
      </c>
      <c r="P844" s="116">
        <f t="shared" si="66"/>
        <v>0.3</v>
      </c>
      <c r="Q844" s="110" t="e">
        <f>O844-#REF!</f>
        <v>#REF!</v>
      </c>
      <c r="W844" s="311"/>
      <c r="X844" s="311"/>
      <c r="Y844" s="311"/>
      <c r="Z844" s="311"/>
      <c r="AA844" s="311"/>
      <c r="AB844" s="311"/>
      <c r="AC844" s="311"/>
      <c r="AT844" s="88" t="str">
        <f t="shared" si="67"/>
        <v>KP0007322017Q214,7</v>
      </c>
      <c r="AU844" s="89" t="str">
        <f t="shared" si="68"/>
        <v>05-2017</v>
      </c>
      <c r="BA844" s="92" t="str">
        <f t="shared" si="69"/>
        <v>WIP - 30 Days</v>
      </c>
    </row>
    <row r="845" spans="2:53">
      <c r="B845" s="60">
        <f>[2]Trucks!A842</f>
        <v>47062</v>
      </c>
      <c r="C845" s="11" t="str">
        <f>[2]Trucks!B842</f>
        <v>TGS-41-4408X4BB-M-DWA</v>
      </c>
      <c r="D845" s="19" t="str">
        <f>IFERROR(VLOOKUP(C845&amp;"",'[2]Retail Price List'!$A$3:$B$103,2,FALSE),"Special Order")</f>
        <v>KP000732</v>
      </c>
      <c r="E845" s="18" t="str">
        <f>[2]Trucks!J842</f>
        <v>CKD</v>
      </c>
      <c r="F845" s="12" t="str">
        <f>[2]Trucks!E842</f>
        <v>2017-11-24</v>
      </c>
      <c r="G845" s="56">
        <f>[2]Trucks!K842</f>
        <v>14.7</v>
      </c>
      <c r="H845" s="46">
        <f>[2]Trucks!I842</f>
        <v>42859</v>
      </c>
      <c r="I845" s="83" t="str">
        <f t="shared" si="65"/>
        <v>2017Q2</v>
      </c>
      <c r="J845" s="272">
        <f>IFERROR(VLOOKUP((D845&amp;C845)&amp;"",'[2]Retail Price List'!$C$4:$F$102,3,FALSE),"")</f>
        <v>1825000</v>
      </c>
      <c r="K845" s="272">
        <f>IFERROR(IF(BA845="WIP - 30 Days",VLOOKUP(D845,[3]Standard!$B$9:$E$101,4,FALSE),IF(BA845="31-120 Days",VLOOKUP(D845,[3]Standard!$B$9:$F$101,5,FALSE),IF(BA845="121-365 Days",VLOOKUP(D845,[3]Standard!$B$9:$G$101,6,FALSE),VLOOKUP(D845,[3]Standard!$B$9:$H$101,7,FALSE)))),0)</f>
        <v>1315825</v>
      </c>
      <c r="L845" s="272">
        <f>IFERROR(IF(BA845="WIP - 30 Days",VLOOKUP(D845,[3]Standard!$B$9:$J$101,9,FALSE),IF(BA845="31-120 Days",VLOOKUP(D845,[3]Standard!$B$9:$K$100,10,FALSE),IF(BA845="121-365 Days",VLOOKUP(D845,[3]Standard!$B$9:$L$101,11,FALSE),VLOOKUP(D845,[3]Standard!$B$9:$M$101,12,FALSE)))),0)</f>
        <v>1277500</v>
      </c>
      <c r="M845" s="269">
        <f>IFERROR(VLOOKUP((D845&amp;C845)&amp;"",'[2]Retail Price List'!$C$4:$F$102,4,FALSE),"")</f>
        <v>1875000</v>
      </c>
      <c r="N845" s="269">
        <f>IFERROR(IF(BA845="WIP - 30 Days",VLOOKUP(D845,[3]Extended!$B$9:$E$101,4,FALSE),IF(BA845="31-120 Days",VLOOKUP(D845,[3]Extended!$B$9:$F$101,5,FALSE),IF(BA845="121-365 Days",VLOOKUP(D845,[3]Extended!$B$9:$G$101,6,FALSE),VLOOKUP(D845,[3]Extended!$B$9:$H$101,7,FALSE)))),0)</f>
        <v>1351875</v>
      </c>
      <c r="O845" s="269">
        <f>IFERROR(IF(BA845="WIP - 30 Days",VLOOKUP(D845,[3]Extended!$B$9:$J$101,9,FALSE),IF(BA845="31-120 Days",VLOOKUP(D845,[3]Extended!$B$9:$K$101,10,FALSE),IF(BA845="121-365 Days",VLOOKUP(D845,[3]Extended!$B$9:$L$101,11,FALSE),VLOOKUP(D845,[3]Extended!$B$9:$M$101,12,FALSE)))),0)</f>
        <v>1312500</v>
      </c>
      <c r="P845" s="116">
        <f t="shared" si="66"/>
        <v>0.3</v>
      </c>
      <c r="Q845" s="110" t="e">
        <f>O845-#REF!</f>
        <v>#REF!</v>
      </c>
      <c r="W845" s="311"/>
      <c r="X845" s="311"/>
      <c r="Y845" s="311"/>
      <c r="Z845" s="311"/>
      <c r="AA845" s="311"/>
      <c r="AB845" s="311"/>
      <c r="AC845" s="311"/>
      <c r="AT845" s="88" t="str">
        <f t="shared" si="67"/>
        <v>KP0007322017Q214,7</v>
      </c>
      <c r="AU845" s="89" t="str">
        <f t="shared" si="68"/>
        <v>05-2017</v>
      </c>
      <c r="BA845" s="92" t="str">
        <f t="shared" si="69"/>
        <v>WIP - 30 Days</v>
      </c>
    </row>
    <row r="846" spans="2:53">
      <c r="B846" s="60">
        <f>[2]Trucks!A843</f>
        <v>47063</v>
      </c>
      <c r="C846" s="11" t="str">
        <f>[2]Trucks!B843</f>
        <v>TGS-41-4408X4BB-M-DWA</v>
      </c>
      <c r="D846" s="19" t="str">
        <f>IFERROR(VLOOKUP(C846&amp;"",'[2]Retail Price List'!$A$3:$B$103,2,FALSE),"Special Order")</f>
        <v>KP000732</v>
      </c>
      <c r="E846" s="18" t="str">
        <f>[2]Trucks!J843</f>
        <v>CKD</v>
      </c>
      <c r="F846" s="12" t="str">
        <f>[2]Trucks!E843</f>
        <v>2017-11-24</v>
      </c>
      <c r="G846" s="56">
        <f>[2]Trucks!K843</f>
        <v>14.7</v>
      </c>
      <c r="H846" s="46">
        <f>[2]Trucks!I843</f>
        <v>42859</v>
      </c>
      <c r="I846" s="83" t="str">
        <f t="shared" si="65"/>
        <v>2017Q2</v>
      </c>
      <c r="J846" s="272">
        <f>IFERROR(VLOOKUP((D846&amp;C846)&amp;"",'[2]Retail Price List'!$C$4:$F$102,3,FALSE),"")</f>
        <v>1825000</v>
      </c>
      <c r="K846" s="272">
        <f>IFERROR(IF(BA846="WIP - 30 Days",VLOOKUP(D846,[3]Standard!$B$9:$E$101,4,FALSE),IF(BA846="31-120 Days",VLOOKUP(D846,[3]Standard!$B$9:$F$101,5,FALSE),IF(BA846="121-365 Days",VLOOKUP(D846,[3]Standard!$B$9:$G$101,6,FALSE),VLOOKUP(D846,[3]Standard!$B$9:$H$101,7,FALSE)))),0)</f>
        <v>1315825</v>
      </c>
      <c r="L846" s="272">
        <f>IFERROR(IF(BA846="WIP - 30 Days",VLOOKUP(D846,[3]Standard!$B$9:$J$101,9,FALSE),IF(BA846="31-120 Days",VLOOKUP(D846,[3]Standard!$B$9:$K$100,10,FALSE),IF(BA846="121-365 Days",VLOOKUP(D846,[3]Standard!$B$9:$L$101,11,FALSE),VLOOKUP(D846,[3]Standard!$B$9:$M$101,12,FALSE)))),0)</f>
        <v>1277500</v>
      </c>
      <c r="M846" s="269">
        <f>IFERROR(VLOOKUP((D846&amp;C846)&amp;"",'[2]Retail Price List'!$C$4:$F$102,4,FALSE),"")</f>
        <v>1875000</v>
      </c>
      <c r="N846" s="269">
        <f>IFERROR(IF(BA846="WIP - 30 Days",VLOOKUP(D846,[3]Extended!$B$9:$E$101,4,FALSE),IF(BA846="31-120 Days",VLOOKUP(D846,[3]Extended!$B$9:$F$101,5,FALSE),IF(BA846="121-365 Days",VLOOKUP(D846,[3]Extended!$B$9:$G$101,6,FALSE),VLOOKUP(D846,[3]Extended!$B$9:$H$101,7,FALSE)))),0)</f>
        <v>1351875</v>
      </c>
      <c r="O846" s="269">
        <f>IFERROR(IF(BA846="WIP - 30 Days",VLOOKUP(D846,[3]Extended!$B$9:$J$101,9,FALSE),IF(BA846="31-120 Days",VLOOKUP(D846,[3]Extended!$B$9:$K$101,10,FALSE),IF(BA846="121-365 Days",VLOOKUP(D846,[3]Extended!$B$9:$L$101,11,FALSE),VLOOKUP(D846,[3]Extended!$B$9:$M$101,12,FALSE)))),0)</f>
        <v>1312500</v>
      </c>
      <c r="P846" s="116">
        <f t="shared" si="66"/>
        <v>0.3</v>
      </c>
      <c r="Q846" s="110" t="e">
        <f>O846-#REF!</f>
        <v>#REF!</v>
      </c>
      <c r="W846" s="311"/>
      <c r="X846" s="311"/>
      <c r="Y846" s="311"/>
      <c r="Z846" s="311"/>
      <c r="AA846" s="311"/>
      <c r="AB846" s="311"/>
      <c r="AC846" s="311"/>
      <c r="AT846" s="88" t="str">
        <f t="shared" si="67"/>
        <v>KP0007322017Q214,7</v>
      </c>
      <c r="AU846" s="89" t="str">
        <f t="shared" si="68"/>
        <v>05-2017</v>
      </c>
      <c r="BA846" s="92" t="str">
        <f t="shared" si="69"/>
        <v>WIP - 30 Days</v>
      </c>
    </row>
    <row r="847" spans="2:53">
      <c r="B847" s="60" t="str">
        <f>[2]Trucks!A844</f>
        <v>TBAKP732</v>
      </c>
      <c r="C847" s="11" t="str">
        <f>[2]Trucks!B844</f>
        <v>TGS-41-4408X4BB-M-DWA</v>
      </c>
      <c r="D847" s="19" t="str">
        <f>IFERROR(VLOOKUP(C847&amp;"",'[2]Retail Price List'!$A$3:$B$103,2,FALSE),"Special Order")</f>
        <v>KP000732</v>
      </c>
      <c r="E847" s="18" t="str">
        <f>[2]Trucks!J844</f>
        <v>CKD</v>
      </c>
      <c r="F847" s="12" t="str">
        <f>[2]Trucks!E844</f>
        <v>2018-02-15</v>
      </c>
      <c r="G847" s="56">
        <f>[2]Trucks!K844</f>
        <v>14.7</v>
      </c>
      <c r="H847" s="46">
        <f>[2]Trucks!I844</f>
        <v>42921</v>
      </c>
      <c r="I847" s="83" t="str">
        <f t="shared" si="65"/>
        <v>2017Q3</v>
      </c>
      <c r="J847" s="272">
        <f>IFERROR(VLOOKUP((D847&amp;C847)&amp;"",'[2]Retail Price List'!$C$4:$F$102,3,FALSE),"")</f>
        <v>1825000</v>
      </c>
      <c r="K847" s="272">
        <f>IFERROR(IF(BA847="WIP - 30 Days",VLOOKUP(D847,[3]Standard!$B$9:$E$101,4,FALSE),IF(BA847="31-120 Days",VLOOKUP(D847,[3]Standard!$B$9:$F$101,5,FALSE),IF(BA847="121-365 Days",VLOOKUP(D847,[3]Standard!$B$9:$G$101,6,FALSE),VLOOKUP(D847,[3]Standard!$B$9:$H$101,7,FALSE)))),0)</f>
        <v>1315825</v>
      </c>
      <c r="L847" s="272">
        <f>IFERROR(IF(BA847="WIP - 30 Days",VLOOKUP(D847,[3]Standard!$B$9:$J$101,9,FALSE),IF(BA847="31-120 Days",VLOOKUP(D847,[3]Standard!$B$9:$K$100,10,FALSE),IF(BA847="121-365 Days",VLOOKUP(D847,[3]Standard!$B$9:$L$101,11,FALSE),VLOOKUP(D847,[3]Standard!$B$9:$M$101,12,FALSE)))),0)</f>
        <v>1277500</v>
      </c>
      <c r="M847" s="269">
        <f>IFERROR(VLOOKUP((D847&amp;C847)&amp;"",'[2]Retail Price List'!$C$4:$F$102,4,FALSE),"")</f>
        <v>1875000</v>
      </c>
      <c r="N847" s="269">
        <f>IFERROR(IF(BA847="WIP - 30 Days",VLOOKUP(D847,[3]Extended!$B$9:$E$101,4,FALSE),IF(BA847="31-120 Days",VLOOKUP(D847,[3]Extended!$B$9:$F$101,5,FALSE),IF(BA847="121-365 Days",VLOOKUP(D847,[3]Extended!$B$9:$G$101,6,FALSE),VLOOKUP(D847,[3]Extended!$B$9:$H$101,7,FALSE)))),0)</f>
        <v>1351875</v>
      </c>
      <c r="O847" s="269">
        <f>IFERROR(IF(BA847="WIP - 30 Days",VLOOKUP(D847,[3]Extended!$B$9:$J$101,9,FALSE),IF(BA847="31-120 Days",VLOOKUP(D847,[3]Extended!$B$9:$K$101,10,FALSE),IF(BA847="121-365 Days",VLOOKUP(D847,[3]Extended!$B$9:$L$101,11,FALSE),VLOOKUP(D847,[3]Extended!$B$9:$M$101,12,FALSE)))),0)</f>
        <v>1312500</v>
      </c>
      <c r="P847" s="116">
        <f t="shared" si="66"/>
        <v>0.3</v>
      </c>
      <c r="Q847" s="110" t="e">
        <f>O847-#REF!</f>
        <v>#REF!</v>
      </c>
      <c r="W847" s="311"/>
      <c r="X847" s="311"/>
      <c r="Y847" s="311"/>
      <c r="Z847" s="311"/>
      <c r="AA847" s="311"/>
      <c r="AB847" s="311"/>
      <c r="AC847" s="311"/>
      <c r="AT847" s="88" t="str">
        <f t="shared" si="67"/>
        <v>KP0007322017Q314,7</v>
      </c>
      <c r="AU847" s="89" t="str">
        <f t="shared" si="68"/>
        <v>07-2017</v>
      </c>
      <c r="BA847" s="92" t="str">
        <f t="shared" si="69"/>
        <v>WIP - 30 Days</v>
      </c>
    </row>
    <row r="848" spans="2:53">
      <c r="B848" s="60">
        <f>[2]Trucks!A845</f>
        <v>47467</v>
      </c>
      <c r="C848" s="11" t="str">
        <f>[2]Trucks!B845</f>
        <v>TGS-41-4808X4BB-M-DWA</v>
      </c>
      <c r="D848" s="19" t="str">
        <f>IFERROR(VLOOKUP(C848&amp;"",'[2]Retail Price List'!$A$3:$B$103,2,FALSE),"Special Order")</f>
        <v>KP000757</v>
      </c>
      <c r="E848" s="18" t="str">
        <f>[2]Trucks!J845</f>
        <v>CKD</v>
      </c>
      <c r="F848" s="12" t="str">
        <f>[2]Trucks!E845</f>
        <v>2017-11-20</v>
      </c>
      <c r="G848" s="56">
        <f>[2]Trucks!K845</f>
        <v>14.7</v>
      </c>
      <c r="H848" s="46">
        <f>[2]Trucks!I845</f>
        <v>42937</v>
      </c>
      <c r="I848" s="83" t="str">
        <f t="shared" si="65"/>
        <v>2017Q3</v>
      </c>
      <c r="J848" s="272">
        <f>IFERROR(VLOOKUP((D848&amp;C848)&amp;"",'[2]Retail Price List'!$C$4:$F$102,3,FALSE),"")</f>
        <v>1895000</v>
      </c>
      <c r="K848" s="272">
        <f>IFERROR(IF(BA848="WIP - 30 Days",VLOOKUP(D848,[3]Standard!$B$9:$E$101,4,FALSE),IF(BA848="31-120 Days",VLOOKUP(D848,[3]Standard!$B$9:$F$101,5,FALSE),IF(BA848="121-365 Days",VLOOKUP(D848,[3]Standard!$B$9:$G$101,6,FALSE),VLOOKUP(D848,[3]Standard!$B$9:$H$101,7,FALSE)))),0)</f>
        <v>1346776.5</v>
      </c>
      <c r="L848" s="272">
        <f>IFERROR(IF(BA848="WIP - 30 Days",VLOOKUP(D848,[3]Standard!$B$9:$J$101,9,FALSE),IF(BA848="31-120 Days",VLOOKUP(D848,[3]Standard!$B$9:$K$100,10,FALSE),IF(BA848="121-365 Days",VLOOKUP(D848,[3]Standard!$B$9:$L$101,11,FALSE),VLOOKUP(D848,[3]Standard!$B$9:$M$101,12,FALSE)))),0)</f>
        <v>1307550</v>
      </c>
      <c r="M848" s="269">
        <f>IFERROR(VLOOKUP((D848&amp;C848)&amp;"",'[2]Retail Price List'!$C$4:$F$102,4,FALSE),"")</f>
        <v>1895000</v>
      </c>
      <c r="N848" s="269">
        <f>IFERROR(IF(BA848="WIP - 30 Days",VLOOKUP(D848,[3]Extended!$B$9:$E$101,4,FALSE),IF(BA848="31-120 Days",VLOOKUP(D848,[3]Extended!$B$9:$F$101,5,FALSE),IF(BA848="121-365 Days",VLOOKUP(D848,[3]Extended!$B$9:$G$101,6,FALSE),VLOOKUP(D848,[3]Extended!$B$9:$H$101,7,FALSE)))),0)</f>
        <v>1346776.5</v>
      </c>
      <c r="O848" s="269">
        <f>IFERROR(IF(BA848="WIP - 30 Days",VLOOKUP(D848,[3]Extended!$B$9:$J$101,9,FALSE),IF(BA848="31-120 Days",VLOOKUP(D848,[3]Extended!$B$9:$K$101,10,FALSE),IF(BA848="121-365 Days",VLOOKUP(D848,[3]Extended!$B$9:$L$101,11,FALSE),VLOOKUP(D848,[3]Extended!$B$9:$M$101,12,FALSE)))),0)</f>
        <v>1307550</v>
      </c>
      <c r="P848" s="116">
        <f t="shared" si="66"/>
        <v>0.31</v>
      </c>
      <c r="Q848" s="110" t="e">
        <f>O848-#REF!</f>
        <v>#REF!</v>
      </c>
      <c r="W848" s="311"/>
      <c r="X848" s="311"/>
      <c r="Y848" s="311"/>
      <c r="Z848" s="311"/>
      <c r="AA848" s="311"/>
      <c r="AB848" s="311"/>
      <c r="AC848" s="311"/>
      <c r="AT848" s="88" t="str">
        <f t="shared" si="67"/>
        <v>KP0007572017Q314,7</v>
      </c>
      <c r="AU848" s="89" t="str">
        <f t="shared" si="68"/>
        <v>07-2017</v>
      </c>
      <c r="BA848" s="92" t="str">
        <f t="shared" si="69"/>
        <v>WIP - 30 Days</v>
      </c>
    </row>
    <row r="849" spans="2:53">
      <c r="B849" s="60">
        <f>[2]Trucks!A846</f>
        <v>47468</v>
      </c>
      <c r="C849" s="11" t="str">
        <f>[2]Trucks!B846</f>
        <v>TGS-41-4808X4BB-M-DWA</v>
      </c>
      <c r="D849" s="19" t="str">
        <f>IFERROR(VLOOKUP(C849&amp;"",'[2]Retail Price List'!$A$3:$B$103,2,FALSE),"Special Order")</f>
        <v>KP000757</v>
      </c>
      <c r="E849" s="18" t="str">
        <f>[2]Trucks!J846</f>
        <v>CKD</v>
      </c>
      <c r="F849" s="12" t="str">
        <f>[2]Trucks!E846</f>
        <v>2017-11-20</v>
      </c>
      <c r="G849" s="56">
        <f>[2]Trucks!K846</f>
        <v>14.7</v>
      </c>
      <c r="H849" s="46">
        <f>[2]Trucks!I846</f>
        <v>42937</v>
      </c>
      <c r="I849" s="83" t="str">
        <f t="shared" si="65"/>
        <v>2017Q3</v>
      </c>
      <c r="J849" s="272">
        <f>IFERROR(VLOOKUP((D849&amp;C849)&amp;"",'[2]Retail Price List'!$C$4:$F$102,3,FALSE),"")</f>
        <v>1895000</v>
      </c>
      <c r="K849" s="272">
        <f>IFERROR(IF(BA849="WIP - 30 Days",VLOOKUP(D849,[3]Standard!$B$9:$E$101,4,FALSE),IF(BA849="31-120 Days",VLOOKUP(D849,[3]Standard!$B$9:$F$101,5,FALSE),IF(BA849="121-365 Days",VLOOKUP(D849,[3]Standard!$B$9:$G$101,6,FALSE),VLOOKUP(D849,[3]Standard!$B$9:$H$101,7,FALSE)))),0)</f>
        <v>1346776.5</v>
      </c>
      <c r="L849" s="272">
        <f>IFERROR(IF(BA849="WIP - 30 Days",VLOOKUP(D849,[3]Standard!$B$9:$J$101,9,FALSE),IF(BA849="31-120 Days",VLOOKUP(D849,[3]Standard!$B$9:$K$100,10,FALSE),IF(BA849="121-365 Days",VLOOKUP(D849,[3]Standard!$B$9:$L$101,11,FALSE),VLOOKUP(D849,[3]Standard!$B$9:$M$101,12,FALSE)))),0)</f>
        <v>1307550</v>
      </c>
      <c r="M849" s="269">
        <f>IFERROR(VLOOKUP((D849&amp;C849)&amp;"",'[2]Retail Price List'!$C$4:$F$102,4,FALSE),"")</f>
        <v>1895000</v>
      </c>
      <c r="N849" s="269">
        <f>IFERROR(IF(BA849="WIP - 30 Days",VLOOKUP(D849,[3]Extended!$B$9:$E$101,4,FALSE),IF(BA849="31-120 Days",VLOOKUP(D849,[3]Extended!$B$9:$F$101,5,FALSE),IF(BA849="121-365 Days",VLOOKUP(D849,[3]Extended!$B$9:$G$101,6,FALSE),VLOOKUP(D849,[3]Extended!$B$9:$H$101,7,FALSE)))),0)</f>
        <v>1346776.5</v>
      </c>
      <c r="O849" s="269">
        <f>IFERROR(IF(BA849="WIP - 30 Days",VLOOKUP(D849,[3]Extended!$B$9:$J$101,9,FALSE),IF(BA849="31-120 Days",VLOOKUP(D849,[3]Extended!$B$9:$K$101,10,FALSE),IF(BA849="121-365 Days",VLOOKUP(D849,[3]Extended!$B$9:$L$101,11,FALSE),VLOOKUP(D849,[3]Extended!$B$9:$M$101,12,FALSE)))),0)</f>
        <v>1307550</v>
      </c>
      <c r="P849" s="116">
        <f t="shared" si="66"/>
        <v>0.31</v>
      </c>
      <c r="Q849" s="110" t="e">
        <f>O849-#REF!</f>
        <v>#REF!</v>
      </c>
      <c r="W849" s="311"/>
      <c r="X849" s="311"/>
      <c r="Y849" s="311"/>
      <c r="Z849" s="311"/>
      <c r="AA849" s="311"/>
      <c r="AB849" s="311"/>
      <c r="AC849" s="311"/>
      <c r="AT849" s="88" t="str">
        <f t="shared" si="67"/>
        <v>KP0007572017Q314,7</v>
      </c>
      <c r="AU849" s="89" t="str">
        <f t="shared" si="68"/>
        <v>07-2017</v>
      </c>
      <c r="BA849" s="92" t="str">
        <f t="shared" si="69"/>
        <v>WIP - 30 Days</v>
      </c>
    </row>
    <row r="850" spans="2:53">
      <c r="B850" s="60" t="str">
        <f>[2]Trucks!A847</f>
        <v>TBAKP757</v>
      </c>
      <c r="C850" s="11" t="str">
        <f>[2]Trucks!B847</f>
        <v>TGS-41-4808X4BB-M-DWA</v>
      </c>
      <c r="D850" s="19" t="str">
        <f>IFERROR(VLOOKUP(C850&amp;"",'[2]Retail Price List'!$A$3:$B$103,2,FALSE),"Special Order")</f>
        <v>KP000757</v>
      </c>
      <c r="E850" s="18" t="str">
        <f>[2]Trucks!J847</f>
        <v>CKD</v>
      </c>
      <c r="F850" s="12" t="str">
        <f>[2]Trucks!E847</f>
        <v>2018-02-15</v>
      </c>
      <c r="G850" s="56">
        <f>[2]Trucks!K847</f>
        <v>14.7</v>
      </c>
      <c r="H850" s="46">
        <f>[2]Trucks!I847</f>
        <v>42921</v>
      </c>
      <c r="I850" s="83" t="str">
        <f t="shared" si="65"/>
        <v>2017Q3</v>
      </c>
      <c r="J850" s="272">
        <f>IFERROR(VLOOKUP((D850&amp;C850)&amp;"",'[2]Retail Price List'!$C$4:$F$102,3,FALSE),"")</f>
        <v>1895000</v>
      </c>
      <c r="K850" s="272">
        <f>IFERROR(IF(BA850="WIP - 30 Days",VLOOKUP(D850,[3]Standard!$B$9:$E$101,4,FALSE),IF(BA850="31-120 Days",VLOOKUP(D850,[3]Standard!$B$9:$F$101,5,FALSE),IF(BA850="121-365 Days",VLOOKUP(D850,[3]Standard!$B$9:$G$101,6,FALSE),VLOOKUP(D850,[3]Standard!$B$9:$H$101,7,FALSE)))),0)</f>
        <v>1346776.5</v>
      </c>
      <c r="L850" s="272">
        <f>IFERROR(IF(BA850="WIP - 30 Days",VLOOKUP(D850,[3]Standard!$B$9:$J$101,9,FALSE),IF(BA850="31-120 Days",VLOOKUP(D850,[3]Standard!$B$9:$K$100,10,FALSE),IF(BA850="121-365 Days",VLOOKUP(D850,[3]Standard!$B$9:$L$101,11,FALSE),VLOOKUP(D850,[3]Standard!$B$9:$M$101,12,FALSE)))),0)</f>
        <v>1307550</v>
      </c>
      <c r="M850" s="269">
        <f>IFERROR(VLOOKUP((D850&amp;C850)&amp;"",'[2]Retail Price List'!$C$4:$F$102,4,FALSE),"")</f>
        <v>1895000</v>
      </c>
      <c r="N850" s="269">
        <f>IFERROR(IF(BA850="WIP - 30 Days",VLOOKUP(D850,[3]Extended!$B$9:$E$101,4,FALSE),IF(BA850="31-120 Days",VLOOKUP(D850,[3]Extended!$B$9:$F$101,5,FALSE),IF(BA850="121-365 Days",VLOOKUP(D850,[3]Extended!$B$9:$G$101,6,FALSE),VLOOKUP(D850,[3]Extended!$B$9:$H$101,7,FALSE)))),0)</f>
        <v>1346776.5</v>
      </c>
      <c r="O850" s="269">
        <f>IFERROR(IF(BA850="WIP - 30 Days",VLOOKUP(D850,[3]Extended!$B$9:$J$101,9,FALSE),IF(BA850="31-120 Days",VLOOKUP(D850,[3]Extended!$B$9:$K$101,10,FALSE),IF(BA850="121-365 Days",VLOOKUP(D850,[3]Extended!$B$9:$L$101,11,FALSE),VLOOKUP(D850,[3]Extended!$B$9:$M$101,12,FALSE)))),0)</f>
        <v>1307550</v>
      </c>
      <c r="P850" s="116">
        <f t="shared" si="66"/>
        <v>0.31</v>
      </c>
      <c r="Q850" s="110" t="e">
        <f>O850-#REF!</f>
        <v>#REF!</v>
      </c>
      <c r="W850" s="311"/>
      <c r="X850" s="311"/>
      <c r="Y850" s="311"/>
      <c r="Z850" s="311"/>
      <c r="AA850" s="311"/>
      <c r="AB850" s="311"/>
      <c r="AC850" s="311"/>
      <c r="AT850" s="88" t="str">
        <f t="shared" si="67"/>
        <v>KP0007572017Q314,7</v>
      </c>
      <c r="AU850" s="89" t="str">
        <f t="shared" si="68"/>
        <v>07-2017</v>
      </c>
      <c r="BA850" s="92" t="str">
        <f t="shared" si="69"/>
        <v>WIP - 30 Days</v>
      </c>
    </row>
    <row r="851" spans="2:53">
      <c r="B851" s="60" t="str">
        <f>[2]Trucks!A848</f>
        <v>30X-2966</v>
      </c>
      <c r="C851" s="11" t="str">
        <f>[2]Trucks!B848</f>
        <v>TGX-26-5406X4BLS-XLX</v>
      </c>
      <c r="D851" s="19" t="str">
        <f>IFERROR(VLOOKUP(C851&amp;"",'[2]Retail Price List'!$A$3:$B$103,2,FALSE),"Special Order")</f>
        <v>TGX00001</v>
      </c>
      <c r="E851" s="18" t="str">
        <f>[2]Trucks!J848</f>
        <v>UNSOLD</v>
      </c>
      <c r="F851" s="12">
        <f>[2]Trucks!E848</f>
        <v>44</v>
      </c>
      <c r="G851" s="56">
        <f>[2]Trucks!K848</f>
        <v>15.4</v>
      </c>
      <c r="H851" s="46">
        <f>[2]Trucks!I848</f>
        <v>42784</v>
      </c>
      <c r="I851" s="83" t="str">
        <f t="shared" si="65"/>
        <v>2017Q1</v>
      </c>
      <c r="J851" s="272">
        <f>IFERROR(VLOOKUP((D851&amp;C851)&amp;"",'[2]Retail Price List'!$C$4:$F$102,3,FALSE),"")</f>
        <v>2195000</v>
      </c>
      <c r="K851" s="272">
        <f>IFERROR(IF(BA851="WIP - 30 Days",VLOOKUP(D851,[3]Standard!$B$9:$E$101,4,FALSE),IF(BA851="31-120 Days",VLOOKUP(D851,[3]Standard!$B$9:$F$101,5,FALSE),IF(BA851="121-365 Days",VLOOKUP(D851,[3]Standard!$B$9:$G$101,6,FALSE),VLOOKUP(D851,[3]Standard!$B$9:$H$101,7,FALSE)))),0)</f>
        <v>1627812</v>
      </c>
      <c r="L851" s="272">
        <f>IFERROR(IF(BA851="WIP - 30 Days",VLOOKUP(D851,[3]Standard!$B$9:$J$101,9,FALSE),IF(BA851="31-120 Days",VLOOKUP(D851,[3]Standard!$B$9:$K$100,10,FALSE),IF(BA851="121-365 Days",VLOOKUP(D851,[3]Standard!$B$9:$L$101,11,FALSE),VLOOKUP(D851,[3]Standard!$B$9:$M$101,12,FALSE)))),0)</f>
        <v>1580400</v>
      </c>
      <c r="M851" s="269">
        <f>IFERROR(VLOOKUP((D851&amp;C851)&amp;"",'[2]Retail Price List'!$C$4:$F$102,4,FALSE),"")</f>
        <v>2240000</v>
      </c>
      <c r="N851" s="269">
        <f>IFERROR(IF(BA851="WIP - 30 Days",VLOOKUP(D851,[3]Extended!$B$9:$E$101,4,FALSE),IF(BA851="31-120 Days",VLOOKUP(D851,[3]Extended!$B$9:$F$101,5,FALSE),IF(BA851="121-365 Days",VLOOKUP(D851,[3]Extended!$B$9:$G$101,6,FALSE),VLOOKUP(D851,[3]Extended!$B$9:$H$101,7,FALSE)))),0)</f>
        <v>1730400</v>
      </c>
      <c r="O851" s="269">
        <f>IFERROR(IF(BA851="WIP - 30 Days",VLOOKUP(D851,[3]Extended!$B$9:$J$101,9,FALSE),IF(BA851="31-120 Days",VLOOKUP(D851,[3]Extended!$B$9:$K$101,10,FALSE),IF(BA851="121-365 Days",VLOOKUP(D851,[3]Extended!$B$9:$L$101,11,FALSE),VLOOKUP(D851,[3]Extended!$B$9:$M$101,12,FALSE)))),0)</f>
        <v>1680000</v>
      </c>
      <c r="P851" s="116">
        <f t="shared" si="66"/>
        <v>0.25</v>
      </c>
      <c r="Q851" s="110" t="e">
        <f>O851-#REF!</f>
        <v>#REF!</v>
      </c>
      <c r="W851" s="311"/>
      <c r="X851" s="311"/>
      <c r="Y851" s="311"/>
      <c r="Z851" s="311"/>
      <c r="AA851" s="311"/>
      <c r="AB851" s="311"/>
      <c r="AC851" s="311"/>
      <c r="AT851" s="88" t="str">
        <f t="shared" si="67"/>
        <v>TGX000012017Q115,4</v>
      </c>
      <c r="AU851" s="89" t="str">
        <f t="shared" si="68"/>
        <v>02-2017</v>
      </c>
      <c r="BA851" s="92" t="str">
        <f t="shared" si="69"/>
        <v>31-120 Days</v>
      </c>
    </row>
    <row r="852" spans="2:53">
      <c r="B852" s="60" t="str">
        <f>[2]Trucks!A849</f>
        <v>30X-5223</v>
      </c>
      <c r="C852" s="11" t="str">
        <f>[2]Trucks!B849</f>
        <v>TGX-26-5406X4BLS-XLX</v>
      </c>
      <c r="D852" s="19" t="str">
        <f>IFERROR(VLOOKUP(C852&amp;"",'[2]Retail Price List'!$A$3:$B$103,2,FALSE),"Special Order")</f>
        <v>TGX00001</v>
      </c>
      <c r="E852" s="18" t="str">
        <f>[2]Trucks!J849</f>
        <v>DEMO</v>
      </c>
      <c r="F852" s="12">
        <f>[2]Trucks!E849</f>
        <v>28</v>
      </c>
      <c r="G852" s="56">
        <f>[2]Trucks!K849</f>
        <v>15.4</v>
      </c>
      <c r="H852" s="46">
        <f>[2]Trucks!I849</f>
        <v>42794</v>
      </c>
      <c r="I852" s="83" t="str">
        <f t="shared" si="65"/>
        <v>2017Q1</v>
      </c>
      <c r="J852" s="272">
        <f>IFERROR(VLOOKUP((D852&amp;C852)&amp;"",'[2]Retail Price List'!$C$4:$F$102,3,FALSE),"")</f>
        <v>2195000</v>
      </c>
      <c r="K852" s="272">
        <f>IFERROR(IF(BA852="WIP - 30 Days",VLOOKUP(D852,[3]Standard!$B$9:$E$101,4,FALSE),IF(BA852="31-120 Days",VLOOKUP(D852,[3]Standard!$B$9:$F$101,5,FALSE),IF(BA852="121-365 Days",VLOOKUP(D852,[3]Standard!$B$9:$G$101,6,FALSE),VLOOKUP(D852,[3]Standard!$B$9:$H$101,7,FALSE)))),0)</f>
        <v>1673029</v>
      </c>
      <c r="L852" s="272">
        <f>IFERROR(IF(BA852="WIP - 30 Days",VLOOKUP(D852,[3]Standard!$B$9:$J$101,9,FALSE),IF(BA852="31-120 Days",VLOOKUP(D852,[3]Standard!$B$9:$K$100,10,FALSE),IF(BA852="121-365 Days",VLOOKUP(D852,[3]Standard!$B$9:$L$101,11,FALSE),VLOOKUP(D852,[3]Standard!$B$9:$M$101,12,FALSE)))),0)</f>
        <v>1624300</v>
      </c>
      <c r="M852" s="269">
        <f>IFERROR(VLOOKUP((D852&amp;C852)&amp;"",'[2]Retail Price List'!$C$4:$F$102,4,FALSE),"")</f>
        <v>2240000</v>
      </c>
      <c r="N852" s="269">
        <f>IFERROR(IF(BA852="WIP - 30 Days",VLOOKUP(D852,[3]Extended!$B$9:$E$101,4,FALSE),IF(BA852="31-120 Days",VLOOKUP(D852,[3]Extended!$B$9:$F$101,5,FALSE),IF(BA852="121-365 Days",VLOOKUP(D852,[3]Extended!$B$9:$G$101,6,FALSE),VLOOKUP(D852,[3]Extended!$B$9:$H$101,7,FALSE)))),0)</f>
        <v>1776544</v>
      </c>
      <c r="O852" s="269">
        <f>IFERROR(IF(BA852="WIP - 30 Days",VLOOKUP(D852,[3]Extended!$B$9:$J$101,9,FALSE),IF(BA852="31-120 Days",VLOOKUP(D852,[3]Extended!$B$9:$K$101,10,FALSE),IF(BA852="121-365 Days",VLOOKUP(D852,[3]Extended!$B$9:$L$101,11,FALSE),VLOOKUP(D852,[3]Extended!$B$9:$M$101,12,FALSE)))),0)</f>
        <v>1724800</v>
      </c>
      <c r="P852" s="116">
        <f t="shared" si="66"/>
        <v>0.23</v>
      </c>
      <c r="Q852" s="110" t="e">
        <f>O852-#REF!</f>
        <v>#REF!</v>
      </c>
      <c r="W852" s="311"/>
      <c r="X852" s="311"/>
      <c r="Y852" s="311"/>
      <c r="Z852" s="311"/>
      <c r="AA852" s="311"/>
      <c r="AB852" s="311"/>
      <c r="AC852" s="311"/>
      <c r="AT852" s="88" t="str">
        <f t="shared" si="67"/>
        <v>TGX000012017Q115,4</v>
      </c>
      <c r="AU852" s="89" t="str">
        <f t="shared" si="68"/>
        <v>02-2017</v>
      </c>
      <c r="BA852" s="92" t="str">
        <f t="shared" si="69"/>
        <v>WIP - 30 Days</v>
      </c>
    </row>
    <row r="853" spans="2:53">
      <c r="B853" s="60" t="str">
        <f>[2]Trucks!A850</f>
        <v>30X-5224</v>
      </c>
      <c r="C853" s="11" t="str">
        <f>[2]Trucks!B850</f>
        <v>TGX-26-5406X4BLS-XLX</v>
      </c>
      <c r="D853" s="19" t="str">
        <f>IFERROR(VLOOKUP(C853&amp;"",'[2]Retail Price List'!$A$3:$B$103,2,FALSE),"Special Order")</f>
        <v>TGX00001</v>
      </c>
      <c r="E853" s="18" t="str">
        <f>[2]Trucks!J850</f>
        <v>UNSOLD</v>
      </c>
      <c r="F853" s="12">
        <f>[2]Trucks!E850</f>
        <v>28</v>
      </c>
      <c r="G853" s="56">
        <f>[2]Trucks!K850</f>
        <v>15.4</v>
      </c>
      <c r="H853" s="46">
        <f>[2]Trucks!I850</f>
        <v>42794</v>
      </c>
      <c r="I853" s="83" t="str">
        <f t="shared" si="65"/>
        <v>2017Q1</v>
      </c>
      <c r="J853" s="272">
        <f>IFERROR(VLOOKUP((D853&amp;C853)&amp;"",'[2]Retail Price List'!$C$4:$F$102,3,FALSE),"")</f>
        <v>2195000</v>
      </c>
      <c r="K853" s="272">
        <f>IFERROR(IF(BA853="WIP - 30 Days",VLOOKUP(D853,[3]Standard!$B$9:$E$101,4,FALSE),IF(BA853="31-120 Days",VLOOKUP(D853,[3]Standard!$B$9:$F$101,5,FALSE),IF(BA853="121-365 Days",VLOOKUP(D853,[3]Standard!$B$9:$G$101,6,FALSE),VLOOKUP(D853,[3]Standard!$B$9:$H$101,7,FALSE)))),0)</f>
        <v>1673029</v>
      </c>
      <c r="L853" s="272">
        <f>IFERROR(IF(BA853="WIP - 30 Days",VLOOKUP(D853,[3]Standard!$B$9:$J$101,9,FALSE),IF(BA853="31-120 Days",VLOOKUP(D853,[3]Standard!$B$9:$K$100,10,FALSE),IF(BA853="121-365 Days",VLOOKUP(D853,[3]Standard!$B$9:$L$101,11,FALSE),VLOOKUP(D853,[3]Standard!$B$9:$M$101,12,FALSE)))),0)</f>
        <v>1624300</v>
      </c>
      <c r="M853" s="269">
        <f>IFERROR(VLOOKUP((D853&amp;C853)&amp;"",'[2]Retail Price List'!$C$4:$F$102,4,FALSE),"")</f>
        <v>2240000</v>
      </c>
      <c r="N853" s="269">
        <f>IFERROR(IF(BA853="WIP - 30 Days",VLOOKUP(D853,[3]Extended!$B$9:$E$101,4,FALSE),IF(BA853="31-120 Days",VLOOKUP(D853,[3]Extended!$B$9:$F$101,5,FALSE),IF(BA853="121-365 Days",VLOOKUP(D853,[3]Extended!$B$9:$G$101,6,FALSE),VLOOKUP(D853,[3]Extended!$B$9:$H$101,7,FALSE)))),0)</f>
        <v>1776544</v>
      </c>
      <c r="O853" s="269">
        <f>IFERROR(IF(BA853="WIP - 30 Days",VLOOKUP(D853,[3]Extended!$B$9:$J$101,9,FALSE),IF(BA853="31-120 Days",VLOOKUP(D853,[3]Extended!$B$9:$K$101,10,FALSE),IF(BA853="121-365 Days",VLOOKUP(D853,[3]Extended!$B$9:$L$101,11,FALSE),VLOOKUP(D853,[3]Extended!$B$9:$M$101,12,FALSE)))),0)</f>
        <v>1724800</v>
      </c>
      <c r="P853" s="116">
        <f t="shared" si="66"/>
        <v>0.23</v>
      </c>
      <c r="Q853" s="110" t="e">
        <f>O853-#REF!</f>
        <v>#REF!</v>
      </c>
      <c r="W853" s="311"/>
      <c r="X853" s="311"/>
      <c r="Y853" s="311"/>
      <c r="Z853" s="311"/>
      <c r="AA853" s="311"/>
      <c r="AB853" s="311"/>
      <c r="AC853" s="311"/>
      <c r="AT853" s="88" t="str">
        <f t="shared" si="67"/>
        <v>TGX000012017Q115,4</v>
      </c>
      <c r="AU853" s="89" t="str">
        <f t="shared" si="68"/>
        <v>02-2017</v>
      </c>
      <c r="BA853" s="92" t="str">
        <f t="shared" si="69"/>
        <v>WIP - 30 Days</v>
      </c>
    </row>
    <row r="854" spans="2:53">
      <c r="B854" s="60" t="str">
        <f>[2]Trucks!A851</f>
        <v>30X-5225</v>
      </c>
      <c r="C854" s="11" t="str">
        <f>[2]Trucks!B851</f>
        <v>TGX-26-5406X4BLS-XLX</v>
      </c>
      <c r="D854" s="19" t="str">
        <f>IFERROR(VLOOKUP(C854&amp;"",'[2]Retail Price List'!$A$3:$B$103,2,FALSE),"Special Order")</f>
        <v>TGX00001</v>
      </c>
      <c r="E854" s="18" t="str">
        <f>[2]Trucks!J851</f>
        <v>UNSOLD</v>
      </c>
      <c r="F854" s="12">
        <f>[2]Trucks!E851</f>
        <v>28</v>
      </c>
      <c r="G854" s="56">
        <f>[2]Trucks!K851</f>
        <v>15.4</v>
      </c>
      <c r="H854" s="46">
        <f>[2]Trucks!I851</f>
        <v>42794</v>
      </c>
      <c r="I854" s="83" t="str">
        <f t="shared" si="65"/>
        <v>2017Q1</v>
      </c>
      <c r="J854" s="272">
        <f>IFERROR(VLOOKUP((D854&amp;C854)&amp;"",'[2]Retail Price List'!$C$4:$F$102,3,FALSE),"")</f>
        <v>2195000</v>
      </c>
      <c r="K854" s="272">
        <f>IFERROR(IF(BA854="WIP - 30 Days",VLOOKUP(D854,[3]Standard!$B$9:$E$101,4,FALSE),IF(BA854="31-120 Days",VLOOKUP(D854,[3]Standard!$B$9:$F$101,5,FALSE),IF(BA854="121-365 Days",VLOOKUP(D854,[3]Standard!$B$9:$G$101,6,FALSE),VLOOKUP(D854,[3]Standard!$B$9:$H$101,7,FALSE)))),0)</f>
        <v>1673029</v>
      </c>
      <c r="L854" s="272">
        <f>IFERROR(IF(BA854="WIP - 30 Days",VLOOKUP(D854,[3]Standard!$B$9:$J$101,9,FALSE),IF(BA854="31-120 Days",VLOOKUP(D854,[3]Standard!$B$9:$K$100,10,FALSE),IF(BA854="121-365 Days",VLOOKUP(D854,[3]Standard!$B$9:$L$101,11,FALSE),VLOOKUP(D854,[3]Standard!$B$9:$M$101,12,FALSE)))),0)</f>
        <v>1624300</v>
      </c>
      <c r="M854" s="269">
        <f>IFERROR(VLOOKUP((D854&amp;C854)&amp;"",'[2]Retail Price List'!$C$4:$F$102,4,FALSE),"")</f>
        <v>2240000</v>
      </c>
      <c r="N854" s="269">
        <f>IFERROR(IF(BA854="WIP - 30 Days",VLOOKUP(D854,[3]Extended!$B$9:$E$101,4,FALSE),IF(BA854="31-120 Days",VLOOKUP(D854,[3]Extended!$B$9:$F$101,5,FALSE),IF(BA854="121-365 Days",VLOOKUP(D854,[3]Extended!$B$9:$G$101,6,FALSE),VLOOKUP(D854,[3]Extended!$B$9:$H$101,7,FALSE)))),0)</f>
        <v>1776544</v>
      </c>
      <c r="O854" s="269">
        <f>IFERROR(IF(BA854="WIP - 30 Days",VLOOKUP(D854,[3]Extended!$B$9:$J$101,9,FALSE),IF(BA854="31-120 Days",VLOOKUP(D854,[3]Extended!$B$9:$K$101,10,FALSE),IF(BA854="121-365 Days",VLOOKUP(D854,[3]Extended!$B$9:$L$101,11,FALSE),VLOOKUP(D854,[3]Extended!$B$9:$M$101,12,FALSE)))),0)</f>
        <v>1724800</v>
      </c>
      <c r="P854" s="116">
        <f t="shared" si="66"/>
        <v>0.23</v>
      </c>
      <c r="Q854" s="110" t="e">
        <f>O854-#REF!</f>
        <v>#REF!</v>
      </c>
      <c r="W854" s="311"/>
      <c r="X854" s="311"/>
      <c r="Y854" s="311"/>
      <c r="Z854" s="311"/>
      <c r="AA854" s="311"/>
      <c r="AB854" s="311"/>
      <c r="AC854" s="311"/>
      <c r="AT854" s="88" t="str">
        <f t="shared" si="67"/>
        <v>TGX000012017Q115,4</v>
      </c>
      <c r="AU854" s="89" t="str">
        <f t="shared" si="68"/>
        <v>02-2017</v>
      </c>
      <c r="BA854" s="92" t="str">
        <f t="shared" si="69"/>
        <v>WIP - 30 Days</v>
      </c>
    </row>
    <row r="855" spans="2:53">
      <c r="B855" s="60" t="str">
        <f>[2]Trucks!A852</f>
        <v>30X-5226</v>
      </c>
      <c r="C855" s="11" t="str">
        <f>[2]Trucks!B852</f>
        <v>TGX-26-5406X4BLS-XLX</v>
      </c>
      <c r="D855" s="19" t="str">
        <f>IFERROR(VLOOKUP(C855&amp;"",'[2]Retail Price List'!$A$3:$B$103,2,FALSE),"Special Order")</f>
        <v>TGX00001</v>
      </c>
      <c r="E855" s="18" t="str">
        <f>[2]Trucks!J852</f>
        <v>UNSOLD</v>
      </c>
      <c r="F855" s="12">
        <f>[2]Trucks!E852</f>
        <v>28</v>
      </c>
      <c r="G855" s="56">
        <f>[2]Trucks!K852</f>
        <v>15.4</v>
      </c>
      <c r="H855" s="46">
        <f>[2]Trucks!I852</f>
        <v>42794</v>
      </c>
      <c r="I855" s="83" t="str">
        <f t="shared" si="65"/>
        <v>2017Q1</v>
      </c>
      <c r="J855" s="272">
        <f>IFERROR(VLOOKUP((D855&amp;C855)&amp;"",'[2]Retail Price List'!$C$4:$F$102,3,FALSE),"")</f>
        <v>2195000</v>
      </c>
      <c r="K855" s="272">
        <f>IFERROR(IF(BA855="WIP - 30 Days",VLOOKUP(D855,[3]Standard!$B$9:$E$101,4,FALSE),IF(BA855="31-120 Days",VLOOKUP(D855,[3]Standard!$B$9:$F$101,5,FALSE),IF(BA855="121-365 Days",VLOOKUP(D855,[3]Standard!$B$9:$G$101,6,FALSE),VLOOKUP(D855,[3]Standard!$B$9:$H$101,7,FALSE)))),0)</f>
        <v>1673029</v>
      </c>
      <c r="L855" s="272">
        <f>IFERROR(IF(BA855="WIP - 30 Days",VLOOKUP(D855,[3]Standard!$B$9:$J$101,9,FALSE),IF(BA855="31-120 Days",VLOOKUP(D855,[3]Standard!$B$9:$K$100,10,FALSE),IF(BA855="121-365 Days",VLOOKUP(D855,[3]Standard!$B$9:$L$101,11,FALSE),VLOOKUP(D855,[3]Standard!$B$9:$M$101,12,FALSE)))),0)</f>
        <v>1624300</v>
      </c>
      <c r="M855" s="269">
        <f>IFERROR(VLOOKUP((D855&amp;C855)&amp;"",'[2]Retail Price List'!$C$4:$F$102,4,FALSE),"")</f>
        <v>2240000</v>
      </c>
      <c r="N855" s="269">
        <f>IFERROR(IF(BA855="WIP - 30 Days",VLOOKUP(D855,[3]Extended!$B$9:$E$101,4,FALSE),IF(BA855="31-120 Days",VLOOKUP(D855,[3]Extended!$B$9:$F$101,5,FALSE),IF(BA855="121-365 Days",VLOOKUP(D855,[3]Extended!$B$9:$G$101,6,FALSE),VLOOKUP(D855,[3]Extended!$B$9:$H$101,7,FALSE)))),0)</f>
        <v>1776544</v>
      </c>
      <c r="O855" s="269">
        <f>IFERROR(IF(BA855="WIP - 30 Days",VLOOKUP(D855,[3]Extended!$B$9:$J$101,9,FALSE),IF(BA855="31-120 Days",VLOOKUP(D855,[3]Extended!$B$9:$K$101,10,FALSE),IF(BA855="121-365 Days",VLOOKUP(D855,[3]Extended!$B$9:$L$101,11,FALSE),VLOOKUP(D855,[3]Extended!$B$9:$M$101,12,FALSE)))),0)</f>
        <v>1724800</v>
      </c>
      <c r="P855" s="116">
        <f t="shared" si="66"/>
        <v>0.23</v>
      </c>
      <c r="Q855" s="110" t="e">
        <f>O855-#REF!</f>
        <v>#REF!</v>
      </c>
      <c r="W855" s="311"/>
      <c r="X855" s="311"/>
      <c r="Y855" s="311"/>
      <c r="Z855" s="311"/>
      <c r="AA855" s="311"/>
      <c r="AB855" s="311"/>
      <c r="AC855" s="311"/>
      <c r="AT855" s="88" t="str">
        <f t="shared" si="67"/>
        <v>TGX000012017Q115,4</v>
      </c>
      <c r="AU855" s="89" t="str">
        <f t="shared" si="68"/>
        <v>02-2017</v>
      </c>
      <c r="BA855" s="92" t="str">
        <f t="shared" si="69"/>
        <v>WIP - 30 Days</v>
      </c>
    </row>
    <row r="856" spans="2:53">
      <c r="B856" s="60" t="str">
        <f>[2]Trucks!A853</f>
        <v>30X-5227</v>
      </c>
      <c r="C856" s="11" t="str">
        <f>[2]Trucks!B853</f>
        <v>TGX-26-5406X4BLS-XLX</v>
      </c>
      <c r="D856" s="19" t="str">
        <f>IFERROR(VLOOKUP(C856&amp;"",'[2]Retail Price List'!$A$3:$B$103,2,FALSE),"Special Order")</f>
        <v>TGX00001</v>
      </c>
      <c r="E856" s="18" t="str">
        <f>[2]Trucks!J853</f>
        <v>UNSOLD</v>
      </c>
      <c r="F856" s="12">
        <f>[2]Trucks!E853</f>
        <v>28</v>
      </c>
      <c r="G856" s="56">
        <f>[2]Trucks!K853</f>
        <v>15.4</v>
      </c>
      <c r="H856" s="46">
        <f>[2]Trucks!I853</f>
        <v>42794</v>
      </c>
      <c r="I856" s="83" t="str">
        <f t="shared" si="65"/>
        <v>2017Q1</v>
      </c>
      <c r="J856" s="272">
        <f>IFERROR(VLOOKUP((D856&amp;C856)&amp;"",'[2]Retail Price List'!$C$4:$F$102,3,FALSE),"")</f>
        <v>2195000</v>
      </c>
      <c r="K856" s="272">
        <f>IFERROR(IF(BA856="WIP - 30 Days",VLOOKUP(D856,[3]Standard!$B$9:$E$101,4,FALSE),IF(BA856="31-120 Days",VLOOKUP(D856,[3]Standard!$B$9:$F$101,5,FALSE),IF(BA856="121-365 Days",VLOOKUP(D856,[3]Standard!$B$9:$G$101,6,FALSE),VLOOKUP(D856,[3]Standard!$B$9:$H$101,7,FALSE)))),0)</f>
        <v>1673029</v>
      </c>
      <c r="L856" s="272">
        <f>IFERROR(IF(BA856="WIP - 30 Days",VLOOKUP(D856,[3]Standard!$B$9:$J$101,9,FALSE),IF(BA856="31-120 Days",VLOOKUP(D856,[3]Standard!$B$9:$K$100,10,FALSE),IF(BA856="121-365 Days",VLOOKUP(D856,[3]Standard!$B$9:$L$101,11,FALSE),VLOOKUP(D856,[3]Standard!$B$9:$M$101,12,FALSE)))),0)</f>
        <v>1624300</v>
      </c>
      <c r="M856" s="269">
        <f>IFERROR(VLOOKUP((D856&amp;C856)&amp;"",'[2]Retail Price List'!$C$4:$F$102,4,FALSE),"")</f>
        <v>2240000</v>
      </c>
      <c r="N856" s="269">
        <f>IFERROR(IF(BA856="WIP - 30 Days",VLOOKUP(D856,[3]Extended!$B$9:$E$101,4,FALSE),IF(BA856="31-120 Days",VLOOKUP(D856,[3]Extended!$B$9:$F$101,5,FALSE),IF(BA856="121-365 Days",VLOOKUP(D856,[3]Extended!$B$9:$G$101,6,FALSE),VLOOKUP(D856,[3]Extended!$B$9:$H$101,7,FALSE)))),0)</f>
        <v>1776544</v>
      </c>
      <c r="O856" s="269">
        <f>IFERROR(IF(BA856="WIP - 30 Days",VLOOKUP(D856,[3]Extended!$B$9:$J$101,9,FALSE),IF(BA856="31-120 Days",VLOOKUP(D856,[3]Extended!$B$9:$K$101,10,FALSE),IF(BA856="121-365 Days",VLOOKUP(D856,[3]Extended!$B$9:$L$101,11,FALSE),VLOOKUP(D856,[3]Extended!$B$9:$M$101,12,FALSE)))),0)</f>
        <v>1724800</v>
      </c>
      <c r="P856" s="116">
        <f t="shared" si="66"/>
        <v>0.23</v>
      </c>
      <c r="Q856" s="110" t="e">
        <f>O856-#REF!</f>
        <v>#REF!</v>
      </c>
      <c r="W856" s="311"/>
      <c r="X856" s="311"/>
      <c r="Y856" s="311"/>
      <c r="Z856" s="311"/>
      <c r="AA856" s="311"/>
      <c r="AB856" s="311"/>
      <c r="AC856" s="311"/>
      <c r="AT856" s="88" t="str">
        <f t="shared" si="67"/>
        <v>TGX000012017Q115,4</v>
      </c>
      <c r="AU856" s="89" t="str">
        <f t="shared" si="68"/>
        <v>02-2017</v>
      </c>
      <c r="BA856" s="92" t="str">
        <f t="shared" si="69"/>
        <v>WIP - 30 Days</v>
      </c>
    </row>
    <row r="857" spans="2:53">
      <c r="B857" s="60" t="str">
        <f>[2]Trucks!A854</f>
        <v>30X-5228</v>
      </c>
      <c r="C857" s="11" t="str">
        <f>[2]Trucks!B854</f>
        <v>TGX-26-5406X4BLS-XLX</v>
      </c>
      <c r="D857" s="19" t="str">
        <f>IFERROR(VLOOKUP(C857&amp;"",'[2]Retail Price List'!$A$3:$B$103,2,FALSE),"Special Order")</f>
        <v>TGX00001</v>
      </c>
      <c r="E857" s="18" t="str">
        <f>[2]Trucks!J854</f>
        <v>UNSOLD</v>
      </c>
      <c r="F857" s="12">
        <f>[2]Trucks!E854</f>
        <v>28</v>
      </c>
      <c r="G857" s="56">
        <f>[2]Trucks!K854</f>
        <v>15.4</v>
      </c>
      <c r="H857" s="46">
        <f>[2]Trucks!I854</f>
        <v>42794</v>
      </c>
      <c r="I857" s="83" t="str">
        <f t="shared" si="65"/>
        <v>2017Q1</v>
      </c>
      <c r="J857" s="272">
        <f>IFERROR(VLOOKUP((D857&amp;C857)&amp;"",'[2]Retail Price List'!$C$4:$F$102,3,FALSE),"")</f>
        <v>2195000</v>
      </c>
      <c r="K857" s="272">
        <f>IFERROR(IF(BA857="WIP - 30 Days",VLOOKUP(D857,[3]Standard!$B$9:$E$101,4,FALSE),IF(BA857="31-120 Days",VLOOKUP(D857,[3]Standard!$B$9:$F$101,5,FALSE),IF(BA857="121-365 Days",VLOOKUP(D857,[3]Standard!$B$9:$G$101,6,FALSE),VLOOKUP(D857,[3]Standard!$B$9:$H$101,7,FALSE)))),0)</f>
        <v>1673029</v>
      </c>
      <c r="L857" s="272">
        <f>IFERROR(IF(BA857="WIP - 30 Days",VLOOKUP(D857,[3]Standard!$B$9:$J$101,9,FALSE),IF(BA857="31-120 Days",VLOOKUP(D857,[3]Standard!$B$9:$K$100,10,FALSE),IF(BA857="121-365 Days",VLOOKUP(D857,[3]Standard!$B$9:$L$101,11,FALSE),VLOOKUP(D857,[3]Standard!$B$9:$M$101,12,FALSE)))),0)</f>
        <v>1624300</v>
      </c>
      <c r="M857" s="269">
        <f>IFERROR(VLOOKUP((D857&amp;C857)&amp;"",'[2]Retail Price List'!$C$4:$F$102,4,FALSE),"")</f>
        <v>2240000</v>
      </c>
      <c r="N857" s="269">
        <f>IFERROR(IF(BA857="WIP - 30 Days",VLOOKUP(D857,[3]Extended!$B$9:$E$101,4,FALSE),IF(BA857="31-120 Days",VLOOKUP(D857,[3]Extended!$B$9:$F$101,5,FALSE),IF(BA857="121-365 Days",VLOOKUP(D857,[3]Extended!$B$9:$G$101,6,FALSE),VLOOKUP(D857,[3]Extended!$B$9:$H$101,7,FALSE)))),0)</f>
        <v>1776544</v>
      </c>
      <c r="O857" s="269">
        <f>IFERROR(IF(BA857="WIP - 30 Days",VLOOKUP(D857,[3]Extended!$B$9:$J$101,9,FALSE),IF(BA857="31-120 Days",VLOOKUP(D857,[3]Extended!$B$9:$K$101,10,FALSE),IF(BA857="121-365 Days",VLOOKUP(D857,[3]Extended!$B$9:$L$101,11,FALSE),VLOOKUP(D857,[3]Extended!$B$9:$M$101,12,FALSE)))),0)</f>
        <v>1724800</v>
      </c>
      <c r="P857" s="116">
        <f t="shared" si="66"/>
        <v>0.23</v>
      </c>
      <c r="Q857" s="110" t="e">
        <f>O857-#REF!</f>
        <v>#REF!</v>
      </c>
      <c r="W857" s="311"/>
      <c r="X857" s="311"/>
      <c r="Y857" s="311"/>
      <c r="Z857" s="311"/>
      <c r="AA857" s="311"/>
      <c r="AB857" s="311"/>
      <c r="AC857" s="311"/>
      <c r="AT857" s="88" t="str">
        <f t="shared" si="67"/>
        <v>TGX000012017Q115,4</v>
      </c>
      <c r="AU857" s="89" t="str">
        <f t="shared" si="68"/>
        <v>02-2017</v>
      </c>
      <c r="BA857" s="92" t="str">
        <f t="shared" si="69"/>
        <v>WIP - 30 Days</v>
      </c>
    </row>
    <row r="858" spans="2:53">
      <c r="B858" s="60" t="str">
        <f>[2]Trucks!A855</f>
        <v>30X-5229</v>
      </c>
      <c r="C858" s="11" t="str">
        <f>[2]Trucks!B855</f>
        <v>TGX-26-5406X4BLS-XLX</v>
      </c>
      <c r="D858" s="19" t="str">
        <f>IFERROR(VLOOKUP(C858&amp;"",'[2]Retail Price List'!$A$3:$B$103,2,FALSE),"Special Order")</f>
        <v>TGX00001</v>
      </c>
      <c r="E858" s="18" t="str">
        <f>[2]Trucks!J855</f>
        <v>UNSOLD</v>
      </c>
      <c r="F858" s="12">
        <f>[2]Trucks!E855</f>
        <v>28</v>
      </c>
      <c r="G858" s="56">
        <f>[2]Trucks!K855</f>
        <v>15.4</v>
      </c>
      <c r="H858" s="46">
        <f>[2]Trucks!I855</f>
        <v>42794</v>
      </c>
      <c r="I858" s="83" t="str">
        <f t="shared" si="65"/>
        <v>2017Q1</v>
      </c>
      <c r="J858" s="272">
        <f>IFERROR(VLOOKUP((D858&amp;C858)&amp;"",'[2]Retail Price List'!$C$4:$F$102,3,FALSE),"")</f>
        <v>2195000</v>
      </c>
      <c r="K858" s="272">
        <f>IFERROR(IF(BA858="WIP - 30 Days",VLOOKUP(D858,[3]Standard!$B$9:$E$101,4,FALSE),IF(BA858="31-120 Days",VLOOKUP(D858,[3]Standard!$B$9:$F$101,5,FALSE),IF(BA858="121-365 Days",VLOOKUP(D858,[3]Standard!$B$9:$G$101,6,FALSE),VLOOKUP(D858,[3]Standard!$B$9:$H$101,7,FALSE)))),0)</f>
        <v>1673029</v>
      </c>
      <c r="L858" s="272">
        <f>IFERROR(IF(BA858="WIP - 30 Days",VLOOKUP(D858,[3]Standard!$B$9:$J$101,9,FALSE),IF(BA858="31-120 Days",VLOOKUP(D858,[3]Standard!$B$9:$K$100,10,FALSE),IF(BA858="121-365 Days",VLOOKUP(D858,[3]Standard!$B$9:$L$101,11,FALSE),VLOOKUP(D858,[3]Standard!$B$9:$M$101,12,FALSE)))),0)</f>
        <v>1624300</v>
      </c>
      <c r="M858" s="269">
        <f>IFERROR(VLOOKUP((D858&amp;C858)&amp;"",'[2]Retail Price List'!$C$4:$F$102,4,FALSE),"")</f>
        <v>2240000</v>
      </c>
      <c r="N858" s="269">
        <f>IFERROR(IF(BA858="WIP - 30 Days",VLOOKUP(D858,[3]Extended!$B$9:$E$101,4,FALSE),IF(BA858="31-120 Days",VLOOKUP(D858,[3]Extended!$B$9:$F$101,5,FALSE),IF(BA858="121-365 Days",VLOOKUP(D858,[3]Extended!$B$9:$G$101,6,FALSE),VLOOKUP(D858,[3]Extended!$B$9:$H$101,7,FALSE)))),0)</f>
        <v>1776544</v>
      </c>
      <c r="O858" s="269">
        <f>IFERROR(IF(BA858="WIP - 30 Days",VLOOKUP(D858,[3]Extended!$B$9:$J$101,9,FALSE),IF(BA858="31-120 Days",VLOOKUP(D858,[3]Extended!$B$9:$K$101,10,FALSE),IF(BA858="121-365 Days",VLOOKUP(D858,[3]Extended!$B$9:$L$101,11,FALSE),VLOOKUP(D858,[3]Extended!$B$9:$M$101,12,FALSE)))),0)</f>
        <v>1724800</v>
      </c>
      <c r="P858" s="116">
        <f t="shared" si="66"/>
        <v>0.23</v>
      </c>
      <c r="Q858" s="110" t="e">
        <f>O858-#REF!</f>
        <v>#REF!</v>
      </c>
      <c r="W858" s="311"/>
      <c r="X858" s="311"/>
      <c r="Y858" s="311"/>
      <c r="Z858" s="311"/>
      <c r="AA858" s="311"/>
      <c r="AB858" s="311"/>
      <c r="AC858" s="311"/>
      <c r="AT858" s="88" t="str">
        <f t="shared" si="67"/>
        <v>TGX000012017Q115,4</v>
      </c>
      <c r="AU858" s="89" t="str">
        <f t="shared" si="68"/>
        <v>02-2017</v>
      </c>
      <c r="BA858" s="92" t="str">
        <f t="shared" si="69"/>
        <v>WIP - 30 Days</v>
      </c>
    </row>
    <row r="859" spans="2:53">
      <c r="B859" s="60" t="str">
        <f>[2]Trucks!A856</f>
        <v>30X-5230</v>
      </c>
      <c r="C859" s="11" t="str">
        <f>[2]Trucks!B856</f>
        <v>TGX-26-5406X4BLS-XLX</v>
      </c>
      <c r="D859" s="19" t="str">
        <f>IFERROR(VLOOKUP(C859&amp;"",'[2]Retail Price List'!$A$3:$B$103,2,FALSE),"Special Order")</f>
        <v>TGX00001</v>
      </c>
      <c r="E859" s="18" t="str">
        <f>[2]Trucks!J856</f>
        <v>UNSOLD</v>
      </c>
      <c r="F859" s="12">
        <f>[2]Trucks!E856</f>
        <v>28</v>
      </c>
      <c r="G859" s="56">
        <f>[2]Trucks!K856</f>
        <v>15.4</v>
      </c>
      <c r="H859" s="46">
        <f>[2]Trucks!I856</f>
        <v>42794</v>
      </c>
      <c r="I859" s="83" t="str">
        <f t="shared" si="65"/>
        <v>2017Q1</v>
      </c>
      <c r="J859" s="272">
        <f>IFERROR(VLOOKUP((D859&amp;C859)&amp;"",'[2]Retail Price List'!$C$4:$F$102,3,FALSE),"")</f>
        <v>2195000</v>
      </c>
      <c r="K859" s="272">
        <f>IFERROR(IF(BA859="WIP - 30 Days",VLOOKUP(D859,[3]Standard!$B$9:$E$101,4,FALSE),IF(BA859="31-120 Days",VLOOKUP(D859,[3]Standard!$B$9:$F$101,5,FALSE),IF(BA859="121-365 Days",VLOOKUP(D859,[3]Standard!$B$9:$G$101,6,FALSE),VLOOKUP(D859,[3]Standard!$B$9:$H$101,7,FALSE)))),0)</f>
        <v>1673029</v>
      </c>
      <c r="L859" s="272">
        <f>IFERROR(IF(BA859="WIP - 30 Days",VLOOKUP(D859,[3]Standard!$B$9:$J$101,9,FALSE),IF(BA859="31-120 Days",VLOOKUP(D859,[3]Standard!$B$9:$K$100,10,FALSE),IF(BA859="121-365 Days",VLOOKUP(D859,[3]Standard!$B$9:$L$101,11,FALSE),VLOOKUP(D859,[3]Standard!$B$9:$M$101,12,FALSE)))),0)</f>
        <v>1624300</v>
      </c>
      <c r="M859" s="269">
        <f>IFERROR(VLOOKUP((D859&amp;C859)&amp;"",'[2]Retail Price List'!$C$4:$F$102,4,FALSE),"")</f>
        <v>2240000</v>
      </c>
      <c r="N859" s="269">
        <f>IFERROR(IF(BA859="WIP - 30 Days",VLOOKUP(D859,[3]Extended!$B$9:$E$101,4,FALSE),IF(BA859="31-120 Days",VLOOKUP(D859,[3]Extended!$B$9:$F$101,5,FALSE),IF(BA859="121-365 Days",VLOOKUP(D859,[3]Extended!$B$9:$G$101,6,FALSE),VLOOKUP(D859,[3]Extended!$B$9:$H$101,7,FALSE)))),0)</f>
        <v>1776544</v>
      </c>
      <c r="O859" s="269">
        <f>IFERROR(IF(BA859="WIP - 30 Days",VLOOKUP(D859,[3]Extended!$B$9:$J$101,9,FALSE),IF(BA859="31-120 Days",VLOOKUP(D859,[3]Extended!$B$9:$K$101,10,FALSE),IF(BA859="121-365 Days",VLOOKUP(D859,[3]Extended!$B$9:$L$101,11,FALSE),VLOOKUP(D859,[3]Extended!$B$9:$M$101,12,FALSE)))),0)</f>
        <v>1724800</v>
      </c>
      <c r="P859" s="116">
        <f t="shared" si="66"/>
        <v>0.23</v>
      </c>
      <c r="Q859" s="110" t="e">
        <f>O859-#REF!</f>
        <v>#REF!</v>
      </c>
      <c r="W859" s="311"/>
      <c r="X859" s="311"/>
      <c r="Y859" s="311"/>
      <c r="Z859" s="311"/>
      <c r="AA859" s="311"/>
      <c r="AB859" s="311"/>
      <c r="AC859" s="311"/>
      <c r="AT859" s="88" t="str">
        <f t="shared" si="67"/>
        <v>TGX000012017Q115,4</v>
      </c>
      <c r="AU859" s="89" t="str">
        <f t="shared" si="68"/>
        <v>02-2017</v>
      </c>
      <c r="BA859" s="92" t="str">
        <f t="shared" si="69"/>
        <v>WIP - 30 Days</v>
      </c>
    </row>
    <row r="860" spans="2:53">
      <c r="B860" s="60" t="str">
        <f>[2]Trucks!A857</f>
        <v>30X-5231</v>
      </c>
      <c r="C860" s="11" t="str">
        <f>[2]Trucks!B857</f>
        <v>TGX-26-5406X4BLS-XLX</v>
      </c>
      <c r="D860" s="19" t="str">
        <f>IFERROR(VLOOKUP(C860&amp;"",'[2]Retail Price List'!$A$3:$B$103,2,FALSE),"Special Order")</f>
        <v>TGX00001</v>
      </c>
      <c r="E860" s="18" t="str">
        <f>[2]Trucks!J857</f>
        <v>UNSOLD</v>
      </c>
      <c r="F860" s="12">
        <f>[2]Trucks!E857</f>
        <v>28</v>
      </c>
      <c r="G860" s="56">
        <f>[2]Trucks!K857</f>
        <v>15.4</v>
      </c>
      <c r="H860" s="46">
        <f>[2]Trucks!I857</f>
        <v>42794</v>
      </c>
      <c r="I860" s="83" t="str">
        <f t="shared" si="65"/>
        <v>2017Q1</v>
      </c>
      <c r="J860" s="272">
        <f>IFERROR(VLOOKUP((D860&amp;C860)&amp;"",'[2]Retail Price List'!$C$4:$F$102,3,FALSE),"")</f>
        <v>2195000</v>
      </c>
      <c r="K860" s="272">
        <f>IFERROR(IF(BA860="WIP - 30 Days",VLOOKUP(D860,[3]Standard!$B$9:$E$101,4,FALSE),IF(BA860="31-120 Days",VLOOKUP(D860,[3]Standard!$B$9:$F$101,5,FALSE),IF(BA860="121-365 Days",VLOOKUP(D860,[3]Standard!$B$9:$G$101,6,FALSE),VLOOKUP(D860,[3]Standard!$B$9:$H$101,7,FALSE)))),0)</f>
        <v>1673029</v>
      </c>
      <c r="L860" s="272">
        <f>IFERROR(IF(BA860="WIP - 30 Days",VLOOKUP(D860,[3]Standard!$B$9:$J$101,9,FALSE),IF(BA860="31-120 Days",VLOOKUP(D860,[3]Standard!$B$9:$K$100,10,FALSE),IF(BA860="121-365 Days",VLOOKUP(D860,[3]Standard!$B$9:$L$101,11,FALSE),VLOOKUP(D860,[3]Standard!$B$9:$M$101,12,FALSE)))),0)</f>
        <v>1624300</v>
      </c>
      <c r="M860" s="269">
        <f>IFERROR(VLOOKUP((D860&amp;C860)&amp;"",'[2]Retail Price List'!$C$4:$F$102,4,FALSE),"")</f>
        <v>2240000</v>
      </c>
      <c r="N860" s="269">
        <f>IFERROR(IF(BA860="WIP - 30 Days",VLOOKUP(D860,[3]Extended!$B$9:$E$101,4,FALSE),IF(BA860="31-120 Days",VLOOKUP(D860,[3]Extended!$B$9:$F$101,5,FALSE),IF(BA860="121-365 Days",VLOOKUP(D860,[3]Extended!$B$9:$G$101,6,FALSE),VLOOKUP(D860,[3]Extended!$B$9:$H$101,7,FALSE)))),0)</f>
        <v>1776544</v>
      </c>
      <c r="O860" s="269">
        <f>IFERROR(IF(BA860="WIP - 30 Days",VLOOKUP(D860,[3]Extended!$B$9:$J$101,9,FALSE),IF(BA860="31-120 Days",VLOOKUP(D860,[3]Extended!$B$9:$K$101,10,FALSE),IF(BA860="121-365 Days",VLOOKUP(D860,[3]Extended!$B$9:$L$101,11,FALSE),VLOOKUP(D860,[3]Extended!$B$9:$M$101,12,FALSE)))),0)</f>
        <v>1724800</v>
      </c>
      <c r="P860" s="116">
        <f t="shared" si="66"/>
        <v>0.23</v>
      </c>
      <c r="Q860" s="110" t="e">
        <f>O860-#REF!</f>
        <v>#REF!</v>
      </c>
      <c r="W860" s="311"/>
      <c r="X860" s="311"/>
      <c r="Y860" s="311"/>
      <c r="Z860" s="311"/>
      <c r="AA860" s="311"/>
      <c r="AB860" s="311"/>
      <c r="AC860" s="311"/>
      <c r="AT860" s="88" t="str">
        <f t="shared" si="67"/>
        <v>TGX000012017Q115,4</v>
      </c>
      <c r="AU860" s="89" t="str">
        <f t="shared" si="68"/>
        <v>02-2017</v>
      </c>
      <c r="BA860" s="92" t="str">
        <f t="shared" si="69"/>
        <v>WIP - 30 Days</v>
      </c>
    </row>
    <row r="861" spans="2:53">
      <c r="B861" s="60" t="str">
        <f>[2]Trucks!A858</f>
        <v>30X-5248</v>
      </c>
      <c r="C861" s="11" t="str">
        <f>[2]Trucks!B858</f>
        <v>TGX-26-5406X4BLS-XLX</v>
      </c>
      <c r="D861" s="19" t="str">
        <f>IFERROR(VLOOKUP(C861&amp;"",'[2]Retail Price List'!$A$3:$B$103,2,FALSE),"Special Order")</f>
        <v>TGX00001</v>
      </c>
      <c r="E861" s="18" t="str">
        <f>[2]Trucks!J858</f>
        <v>CKD</v>
      </c>
      <c r="F861" s="12" t="str">
        <f>[2]Trucks!E858</f>
        <v>2017-09-15</v>
      </c>
      <c r="G861" s="56">
        <f>[2]Trucks!K858</f>
        <v>14.7</v>
      </c>
      <c r="H861" s="46">
        <f>[2]Trucks!I858</f>
        <v>42849</v>
      </c>
      <c r="I861" s="83" t="str">
        <f t="shared" si="65"/>
        <v>2017Q2</v>
      </c>
      <c r="J861" s="272">
        <f>IFERROR(VLOOKUP((D861&amp;C861)&amp;"",'[2]Retail Price List'!$C$4:$F$102,3,FALSE),"")</f>
        <v>2195000</v>
      </c>
      <c r="K861" s="272">
        <f>IFERROR(IF(BA861="WIP - 30 Days",VLOOKUP(D861,[3]Standard!$B$9:$E$101,4,FALSE),IF(BA861="31-120 Days",VLOOKUP(D861,[3]Standard!$B$9:$F$101,5,FALSE),IF(BA861="121-365 Days",VLOOKUP(D861,[3]Standard!$B$9:$G$101,6,FALSE),VLOOKUP(D861,[3]Standard!$B$9:$H$101,7,FALSE)))),0)</f>
        <v>1673029</v>
      </c>
      <c r="L861" s="272">
        <f>IFERROR(IF(BA861="WIP - 30 Days",VLOOKUP(D861,[3]Standard!$B$9:$J$101,9,FALSE),IF(BA861="31-120 Days",VLOOKUP(D861,[3]Standard!$B$9:$K$100,10,FALSE),IF(BA861="121-365 Days",VLOOKUP(D861,[3]Standard!$B$9:$L$101,11,FALSE),VLOOKUP(D861,[3]Standard!$B$9:$M$101,12,FALSE)))),0)</f>
        <v>1624300</v>
      </c>
      <c r="M861" s="269">
        <f>IFERROR(VLOOKUP((D861&amp;C861)&amp;"",'[2]Retail Price List'!$C$4:$F$102,4,FALSE),"")</f>
        <v>2240000</v>
      </c>
      <c r="N861" s="269">
        <f>IFERROR(IF(BA861="WIP - 30 Days",VLOOKUP(D861,[3]Extended!$B$9:$E$101,4,FALSE),IF(BA861="31-120 Days",VLOOKUP(D861,[3]Extended!$B$9:$F$101,5,FALSE),IF(BA861="121-365 Days",VLOOKUP(D861,[3]Extended!$B$9:$G$101,6,FALSE),VLOOKUP(D861,[3]Extended!$B$9:$H$101,7,FALSE)))),0)</f>
        <v>1776544</v>
      </c>
      <c r="O861" s="269">
        <f>IFERROR(IF(BA861="WIP - 30 Days",VLOOKUP(D861,[3]Extended!$B$9:$J$101,9,FALSE),IF(BA861="31-120 Days",VLOOKUP(D861,[3]Extended!$B$9:$K$101,10,FALSE),IF(BA861="121-365 Days",VLOOKUP(D861,[3]Extended!$B$9:$L$101,11,FALSE),VLOOKUP(D861,[3]Extended!$B$9:$M$101,12,FALSE)))),0)</f>
        <v>1724800</v>
      </c>
      <c r="P861" s="116">
        <f t="shared" si="66"/>
        <v>0.23</v>
      </c>
      <c r="Q861" s="110" t="e">
        <f>O861-#REF!</f>
        <v>#REF!</v>
      </c>
      <c r="W861" s="311"/>
      <c r="X861" s="311"/>
      <c r="Y861" s="311"/>
      <c r="Z861" s="311"/>
      <c r="AA861" s="311"/>
      <c r="AB861" s="311"/>
      <c r="AC861" s="311"/>
      <c r="AT861" s="88" t="str">
        <f t="shared" si="67"/>
        <v>TGX000012017Q214,7</v>
      </c>
      <c r="AU861" s="89" t="str">
        <f t="shared" si="68"/>
        <v>04-2017</v>
      </c>
      <c r="BA861" s="92" t="str">
        <f t="shared" si="69"/>
        <v>WIP - 30 Days</v>
      </c>
    </row>
    <row r="862" spans="2:53">
      <c r="B862" s="60" t="str">
        <f>[2]Trucks!A859</f>
        <v>30X-5249</v>
      </c>
      <c r="C862" s="11" t="str">
        <f>[2]Trucks!B859</f>
        <v>TGX-26-5406X4BLS-XLX</v>
      </c>
      <c r="D862" s="19" t="str">
        <f>IFERROR(VLOOKUP(C862&amp;"",'[2]Retail Price List'!$A$3:$B$103,2,FALSE),"Special Order")</f>
        <v>TGX00001</v>
      </c>
      <c r="E862" s="18" t="str">
        <f>[2]Trucks!J859</f>
        <v>CKD</v>
      </c>
      <c r="F862" s="12" t="str">
        <f>[2]Trucks!E859</f>
        <v>2017-09-15</v>
      </c>
      <c r="G862" s="56">
        <f>[2]Trucks!K859</f>
        <v>14.7</v>
      </c>
      <c r="H862" s="46">
        <f>[2]Trucks!I859</f>
        <v>42849</v>
      </c>
      <c r="I862" s="83" t="str">
        <f t="shared" si="65"/>
        <v>2017Q2</v>
      </c>
      <c r="J862" s="272">
        <f>IFERROR(VLOOKUP((D862&amp;C862)&amp;"",'[2]Retail Price List'!$C$4:$F$102,3,FALSE),"")</f>
        <v>2195000</v>
      </c>
      <c r="K862" s="272">
        <f>IFERROR(IF(BA862="WIP - 30 Days",VLOOKUP(D862,[3]Standard!$B$9:$E$101,4,FALSE),IF(BA862="31-120 Days",VLOOKUP(D862,[3]Standard!$B$9:$F$101,5,FALSE),IF(BA862="121-365 Days",VLOOKUP(D862,[3]Standard!$B$9:$G$101,6,FALSE),VLOOKUP(D862,[3]Standard!$B$9:$H$101,7,FALSE)))),0)</f>
        <v>1673029</v>
      </c>
      <c r="L862" s="272">
        <f>IFERROR(IF(BA862="WIP - 30 Days",VLOOKUP(D862,[3]Standard!$B$9:$J$101,9,FALSE),IF(BA862="31-120 Days",VLOOKUP(D862,[3]Standard!$B$9:$K$100,10,FALSE),IF(BA862="121-365 Days",VLOOKUP(D862,[3]Standard!$B$9:$L$101,11,FALSE),VLOOKUP(D862,[3]Standard!$B$9:$M$101,12,FALSE)))),0)</f>
        <v>1624300</v>
      </c>
      <c r="M862" s="269">
        <f>IFERROR(VLOOKUP((D862&amp;C862)&amp;"",'[2]Retail Price List'!$C$4:$F$102,4,FALSE),"")</f>
        <v>2240000</v>
      </c>
      <c r="N862" s="269">
        <f>IFERROR(IF(BA862="WIP - 30 Days",VLOOKUP(D862,[3]Extended!$B$9:$E$101,4,FALSE),IF(BA862="31-120 Days",VLOOKUP(D862,[3]Extended!$B$9:$F$101,5,FALSE),IF(BA862="121-365 Days",VLOOKUP(D862,[3]Extended!$B$9:$G$101,6,FALSE),VLOOKUP(D862,[3]Extended!$B$9:$H$101,7,FALSE)))),0)</f>
        <v>1776544</v>
      </c>
      <c r="O862" s="269">
        <f>IFERROR(IF(BA862="WIP - 30 Days",VLOOKUP(D862,[3]Extended!$B$9:$J$101,9,FALSE),IF(BA862="31-120 Days",VLOOKUP(D862,[3]Extended!$B$9:$K$101,10,FALSE),IF(BA862="121-365 Days",VLOOKUP(D862,[3]Extended!$B$9:$L$101,11,FALSE),VLOOKUP(D862,[3]Extended!$B$9:$M$101,12,FALSE)))),0)</f>
        <v>1724800</v>
      </c>
      <c r="P862" s="116">
        <f t="shared" si="66"/>
        <v>0.23</v>
      </c>
      <c r="Q862" s="110" t="e">
        <f>O862-#REF!</f>
        <v>#REF!</v>
      </c>
      <c r="W862" s="311"/>
      <c r="X862" s="311"/>
      <c r="Y862" s="311"/>
      <c r="Z862" s="311"/>
      <c r="AA862" s="311"/>
      <c r="AB862" s="311"/>
      <c r="AC862" s="311"/>
      <c r="AT862" s="88" t="str">
        <f t="shared" si="67"/>
        <v>TGX000012017Q214,7</v>
      </c>
      <c r="AU862" s="89" t="str">
        <f t="shared" si="68"/>
        <v>04-2017</v>
      </c>
      <c r="BA862" s="92" t="str">
        <f t="shared" si="69"/>
        <v>WIP - 30 Days</v>
      </c>
    </row>
    <row r="863" spans="2:53">
      <c r="B863" s="60" t="str">
        <f>[2]Trucks!A860</f>
        <v>30X-5250</v>
      </c>
      <c r="C863" s="11" t="str">
        <f>[2]Trucks!B860</f>
        <v>TGX-26-5406X4BLS-XLX</v>
      </c>
      <c r="D863" s="19" t="str">
        <f>IFERROR(VLOOKUP(C863&amp;"",'[2]Retail Price List'!$A$3:$B$103,2,FALSE),"Special Order")</f>
        <v>TGX00001</v>
      </c>
      <c r="E863" s="18" t="str">
        <f>[2]Trucks!J860</f>
        <v>CKD</v>
      </c>
      <c r="F863" s="12" t="str">
        <f>[2]Trucks!E860</f>
        <v>2017-09-15</v>
      </c>
      <c r="G863" s="56">
        <f>[2]Trucks!K860</f>
        <v>14.7</v>
      </c>
      <c r="H863" s="46">
        <f>[2]Trucks!I860</f>
        <v>42849</v>
      </c>
      <c r="I863" s="83" t="str">
        <f t="shared" si="65"/>
        <v>2017Q2</v>
      </c>
      <c r="J863" s="272">
        <f>IFERROR(VLOOKUP((D863&amp;C863)&amp;"",'[2]Retail Price List'!$C$4:$F$102,3,FALSE),"")</f>
        <v>2195000</v>
      </c>
      <c r="K863" s="272">
        <f>IFERROR(IF(BA863="WIP - 30 Days",VLOOKUP(D863,[3]Standard!$B$9:$E$101,4,FALSE),IF(BA863="31-120 Days",VLOOKUP(D863,[3]Standard!$B$9:$F$101,5,FALSE),IF(BA863="121-365 Days",VLOOKUP(D863,[3]Standard!$B$9:$G$101,6,FALSE),VLOOKUP(D863,[3]Standard!$B$9:$H$101,7,FALSE)))),0)</f>
        <v>1673029</v>
      </c>
      <c r="L863" s="272">
        <f>IFERROR(IF(BA863="WIP - 30 Days",VLOOKUP(D863,[3]Standard!$B$9:$J$101,9,FALSE),IF(BA863="31-120 Days",VLOOKUP(D863,[3]Standard!$B$9:$K$100,10,FALSE),IF(BA863="121-365 Days",VLOOKUP(D863,[3]Standard!$B$9:$L$101,11,FALSE),VLOOKUP(D863,[3]Standard!$B$9:$M$101,12,FALSE)))),0)</f>
        <v>1624300</v>
      </c>
      <c r="M863" s="269">
        <f>IFERROR(VLOOKUP((D863&amp;C863)&amp;"",'[2]Retail Price List'!$C$4:$F$102,4,FALSE),"")</f>
        <v>2240000</v>
      </c>
      <c r="N863" s="269">
        <f>IFERROR(IF(BA863="WIP - 30 Days",VLOOKUP(D863,[3]Extended!$B$9:$E$101,4,FALSE),IF(BA863="31-120 Days",VLOOKUP(D863,[3]Extended!$B$9:$F$101,5,FALSE),IF(BA863="121-365 Days",VLOOKUP(D863,[3]Extended!$B$9:$G$101,6,FALSE),VLOOKUP(D863,[3]Extended!$B$9:$H$101,7,FALSE)))),0)</f>
        <v>1776544</v>
      </c>
      <c r="O863" s="269">
        <f>IFERROR(IF(BA863="WIP - 30 Days",VLOOKUP(D863,[3]Extended!$B$9:$J$101,9,FALSE),IF(BA863="31-120 Days",VLOOKUP(D863,[3]Extended!$B$9:$K$101,10,FALSE),IF(BA863="121-365 Days",VLOOKUP(D863,[3]Extended!$B$9:$L$101,11,FALSE),VLOOKUP(D863,[3]Extended!$B$9:$M$101,12,FALSE)))),0)</f>
        <v>1724800</v>
      </c>
      <c r="P863" s="116">
        <f t="shared" si="66"/>
        <v>0.23</v>
      </c>
      <c r="Q863" s="110" t="e">
        <f>O863-#REF!</f>
        <v>#REF!</v>
      </c>
      <c r="W863" s="311"/>
      <c r="X863" s="311"/>
      <c r="Y863" s="311"/>
      <c r="Z863" s="311"/>
      <c r="AA863" s="311"/>
      <c r="AB863" s="311"/>
      <c r="AC863" s="311"/>
      <c r="AT863" s="88" t="str">
        <f t="shared" si="67"/>
        <v>TGX000012017Q214,7</v>
      </c>
      <c r="AU863" s="89" t="str">
        <f t="shared" si="68"/>
        <v>04-2017</v>
      </c>
      <c r="BA863" s="92" t="str">
        <f t="shared" si="69"/>
        <v>WIP - 30 Days</v>
      </c>
    </row>
    <row r="864" spans="2:53">
      <c r="B864" s="60" t="str">
        <f>[2]Trucks!A861</f>
        <v>30X-5251</v>
      </c>
      <c r="C864" s="11" t="str">
        <f>[2]Trucks!B861</f>
        <v>TGX-26-5406X4BLS-XLX</v>
      </c>
      <c r="D864" s="19" t="str">
        <f>IFERROR(VLOOKUP(C864&amp;"",'[2]Retail Price List'!$A$3:$B$103,2,FALSE),"Special Order")</f>
        <v>TGX00001</v>
      </c>
      <c r="E864" s="18" t="str">
        <f>[2]Trucks!J861</f>
        <v>CKD</v>
      </c>
      <c r="F864" s="12" t="str">
        <f>[2]Trucks!E861</f>
        <v>2017-09-15</v>
      </c>
      <c r="G864" s="56">
        <f>[2]Trucks!K861</f>
        <v>14.7</v>
      </c>
      <c r="H864" s="46">
        <f>[2]Trucks!I861</f>
        <v>42849</v>
      </c>
      <c r="I864" s="83" t="str">
        <f t="shared" si="65"/>
        <v>2017Q2</v>
      </c>
      <c r="J864" s="272">
        <f>IFERROR(VLOOKUP((D864&amp;C864)&amp;"",'[2]Retail Price List'!$C$4:$F$102,3,FALSE),"")</f>
        <v>2195000</v>
      </c>
      <c r="K864" s="272">
        <f>IFERROR(IF(BA864="WIP - 30 Days",VLOOKUP(D864,[3]Standard!$B$9:$E$101,4,FALSE),IF(BA864="31-120 Days",VLOOKUP(D864,[3]Standard!$B$9:$F$101,5,FALSE),IF(BA864="121-365 Days",VLOOKUP(D864,[3]Standard!$B$9:$G$101,6,FALSE),VLOOKUP(D864,[3]Standard!$B$9:$H$101,7,FALSE)))),0)</f>
        <v>1673029</v>
      </c>
      <c r="L864" s="272">
        <f>IFERROR(IF(BA864="WIP - 30 Days",VLOOKUP(D864,[3]Standard!$B$9:$J$101,9,FALSE),IF(BA864="31-120 Days",VLOOKUP(D864,[3]Standard!$B$9:$K$100,10,FALSE),IF(BA864="121-365 Days",VLOOKUP(D864,[3]Standard!$B$9:$L$101,11,FALSE),VLOOKUP(D864,[3]Standard!$B$9:$M$101,12,FALSE)))),0)</f>
        <v>1624300</v>
      </c>
      <c r="M864" s="269">
        <f>IFERROR(VLOOKUP((D864&amp;C864)&amp;"",'[2]Retail Price List'!$C$4:$F$102,4,FALSE),"")</f>
        <v>2240000</v>
      </c>
      <c r="N864" s="269">
        <f>IFERROR(IF(BA864="WIP - 30 Days",VLOOKUP(D864,[3]Extended!$B$9:$E$101,4,FALSE),IF(BA864="31-120 Days",VLOOKUP(D864,[3]Extended!$B$9:$F$101,5,FALSE),IF(BA864="121-365 Days",VLOOKUP(D864,[3]Extended!$B$9:$G$101,6,FALSE),VLOOKUP(D864,[3]Extended!$B$9:$H$101,7,FALSE)))),0)</f>
        <v>1776544</v>
      </c>
      <c r="O864" s="269">
        <f>IFERROR(IF(BA864="WIP - 30 Days",VLOOKUP(D864,[3]Extended!$B$9:$J$101,9,FALSE),IF(BA864="31-120 Days",VLOOKUP(D864,[3]Extended!$B$9:$K$101,10,FALSE),IF(BA864="121-365 Days",VLOOKUP(D864,[3]Extended!$B$9:$L$101,11,FALSE),VLOOKUP(D864,[3]Extended!$B$9:$M$101,12,FALSE)))),0)</f>
        <v>1724800</v>
      </c>
      <c r="P864" s="116">
        <f t="shared" si="66"/>
        <v>0.23</v>
      </c>
      <c r="Q864" s="110" t="e">
        <f>O864-#REF!</f>
        <v>#REF!</v>
      </c>
      <c r="W864" s="311"/>
      <c r="X864" s="311"/>
      <c r="Y864" s="311"/>
      <c r="Z864" s="311"/>
      <c r="AA864" s="311"/>
      <c r="AB864" s="311"/>
      <c r="AC864" s="311"/>
      <c r="AT864" s="88" t="str">
        <f t="shared" si="67"/>
        <v>TGX000012017Q214,7</v>
      </c>
      <c r="AU864" s="89" t="str">
        <f t="shared" si="68"/>
        <v>04-2017</v>
      </c>
      <c r="BA864" s="92" t="str">
        <f t="shared" si="69"/>
        <v>WIP - 30 Days</v>
      </c>
    </row>
    <row r="865" spans="2:53">
      <c r="B865" s="60" t="str">
        <f>[2]Trucks!A862</f>
        <v>30X-5252</v>
      </c>
      <c r="C865" s="11" t="str">
        <f>[2]Trucks!B862</f>
        <v>TGX-26-5406X4BLS-XLX</v>
      </c>
      <c r="D865" s="19" t="str">
        <f>IFERROR(VLOOKUP(C865&amp;"",'[2]Retail Price List'!$A$3:$B$103,2,FALSE),"Special Order")</f>
        <v>TGX00001</v>
      </c>
      <c r="E865" s="18" t="str">
        <f>[2]Trucks!J862</f>
        <v>CKD</v>
      </c>
      <c r="F865" s="12" t="str">
        <f>[2]Trucks!E862</f>
        <v>2017-09-15</v>
      </c>
      <c r="G865" s="56">
        <f>[2]Trucks!K862</f>
        <v>14.7</v>
      </c>
      <c r="H865" s="46">
        <f>[2]Trucks!I862</f>
        <v>42849</v>
      </c>
      <c r="I865" s="83" t="str">
        <f t="shared" si="65"/>
        <v>2017Q2</v>
      </c>
      <c r="J865" s="272">
        <f>IFERROR(VLOOKUP((D865&amp;C865)&amp;"",'[2]Retail Price List'!$C$4:$F$102,3,FALSE),"")</f>
        <v>2195000</v>
      </c>
      <c r="K865" s="272">
        <f>IFERROR(IF(BA865="WIP - 30 Days",VLOOKUP(D865,[3]Standard!$B$9:$E$101,4,FALSE),IF(BA865="31-120 Days",VLOOKUP(D865,[3]Standard!$B$9:$F$101,5,FALSE),IF(BA865="121-365 Days",VLOOKUP(D865,[3]Standard!$B$9:$G$101,6,FALSE),VLOOKUP(D865,[3]Standard!$B$9:$H$101,7,FALSE)))),0)</f>
        <v>1673029</v>
      </c>
      <c r="L865" s="272">
        <f>IFERROR(IF(BA865="WIP - 30 Days",VLOOKUP(D865,[3]Standard!$B$9:$J$101,9,FALSE),IF(BA865="31-120 Days",VLOOKUP(D865,[3]Standard!$B$9:$K$100,10,FALSE),IF(BA865="121-365 Days",VLOOKUP(D865,[3]Standard!$B$9:$L$101,11,FALSE),VLOOKUP(D865,[3]Standard!$B$9:$M$101,12,FALSE)))),0)</f>
        <v>1624300</v>
      </c>
      <c r="M865" s="269">
        <f>IFERROR(VLOOKUP((D865&amp;C865)&amp;"",'[2]Retail Price List'!$C$4:$F$102,4,FALSE),"")</f>
        <v>2240000</v>
      </c>
      <c r="N865" s="269">
        <f>IFERROR(IF(BA865="WIP - 30 Days",VLOOKUP(D865,[3]Extended!$B$9:$E$101,4,FALSE),IF(BA865="31-120 Days",VLOOKUP(D865,[3]Extended!$B$9:$F$101,5,FALSE),IF(BA865="121-365 Days",VLOOKUP(D865,[3]Extended!$B$9:$G$101,6,FALSE),VLOOKUP(D865,[3]Extended!$B$9:$H$101,7,FALSE)))),0)</f>
        <v>1776544</v>
      </c>
      <c r="O865" s="269">
        <f>IFERROR(IF(BA865="WIP - 30 Days",VLOOKUP(D865,[3]Extended!$B$9:$J$101,9,FALSE),IF(BA865="31-120 Days",VLOOKUP(D865,[3]Extended!$B$9:$K$101,10,FALSE),IF(BA865="121-365 Days",VLOOKUP(D865,[3]Extended!$B$9:$L$101,11,FALSE),VLOOKUP(D865,[3]Extended!$B$9:$M$101,12,FALSE)))),0)</f>
        <v>1724800</v>
      </c>
      <c r="P865" s="116">
        <f t="shared" si="66"/>
        <v>0.23</v>
      </c>
      <c r="Q865" s="110" t="e">
        <f>O865-#REF!</f>
        <v>#REF!</v>
      </c>
      <c r="W865" s="311"/>
      <c r="X865" s="311"/>
      <c r="Y865" s="311"/>
      <c r="Z865" s="311"/>
      <c r="AA865" s="311"/>
      <c r="AB865" s="311"/>
      <c r="AC865" s="311"/>
      <c r="AT865" s="88" t="str">
        <f t="shared" si="67"/>
        <v>TGX000012017Q214,7</v>
      </c>
      <c r="AU865" s="89" t="str">
        <f t="shared" si="68"/>
        <v>04-2017</v>
      </c>
      <c r="BA865" s="92" t="str">
        <f t="shared" si="69"/>
        <v>WIP - 30 Days</v>
      </c>
    </row>
    <row r="866" spans="2:53">
      <c r="B866" s="60" t="str">
        <f>[2]Trucks!A863</f>
        <v>30X-5253</v>
      </c>
      <c r="C866" s="11" t="str">
        <f>[2]Trucks!B863</f>
        <v>TGX-26-5406X4BLS-XLX</v>
      </c>
      <c r="D866" s="19" t="str">
        <f>IFERROR(VLOOKUP(C866&amp;"",'[2]Retail Price List'!$A$3:$B$103,2,FALSE),"Special Order")</f>
        <v>TGX00001</v>
      </c>
      <c r="E866" s="18" t="str">
        <f>[2]Trucks!J863</f>
        <v>CKD</v>
      </c>
      <c r="F866" s="12" t="str">
        <f>[2]Trucks!E863</f>
        <v>2017-09-15</v>
      </c>
      <c r="G866" s="56">
        <f>[2]Trucks!K863</f>
        <v>14.7</v>
      </c>
      <c r="H866" s="46">
        <f>[2]Trucks!I863</f>
        <v>42849</v>
      </c>
      <c r="I866" s="83" t="str">
        <f t="shared" si="65"/>
        <v>2017Q2</v>
      </c>
      <c r="J866" s="272">
        <f>IFERROR(VLOOKUP((D866&amp;C866)&amp;"",'[2]Retail Price List'!$C$4:$F$102,3,FALSE),"")</f>
        <v>2195000</v>
      </c>
      <c r="K866" s="272">
        <f>IFERROR(IF(BA866="WIP - 30 Days",VLOOKUP(D866,[3]Standard!$B$9:$E$101,4,FALSE),IF(BA866="31-120 Days",VLOOKUP(D866,[3]Standard!$B$9:$F$101,5,FALSE),IF(BA866="121-365 Days",VLOOKUP(D866,[3]Standard!$B$9:$G$101,6,FALSE),VLOOKUP(D866,[3]Standard!$B$9:$H$101,7,FALSE)))),0)</f>
        <v>1673029</v>
      </c>
      <c r="L866" s="272">
        <f>IFERROR(IF(BA866="WIP - 30 Days",VLOOKUP(D866,[3]Standard!$B$9:$J$101,9,FALSE),IF(BA866="31-120 Days",VLOOKUP(D866,[3]Standard!$B$9:$K$100,10,FALSE),IF(BA866="121-365 Days",VLOOKUP(D866,[3]Standard!$B$9:$L$101,11,FALSE),VLOOKUP(D866,[3]Standard!$B$9:$M$101,12,FALSE)))),0)</f>
        <v>1624300</v>
      </c>
      <c r="M866" s="269">
        <f>IFERROR(VLOOKUP((D866&amp;C866)&amp;"",'[2]Retail Price List'!$C$4:$F$102,4,FALSE),"")</f>
        <v>2240000</v>
      </c>
      <c r="N866" s="269">
        <f>IFERROR(IF(BA866="WIP - 30 Days",VLOOKUP(D866,[3]Extended!$B$9:$E$101,4,FALSE),IF(BA866="31-120 Days",VLOOKUP(D866,[3]Extended!$B$9:$F$101,5,FALSE),IF(BA866="121-365 Days",VLOOKUP(D866,[3]Extended!$B$9:$G$101,6,FALSE),VLOOKUP(D866,[3]Extended!$B$9:$H$101,7,FALSE)))),0)</f>
        <v>1776544</v>
      </c>
      <c r="O866" s="269">
        <f>IFERROR(IF(BA866="WIP - 30 Days",VLOOKUP(D866,[3]Extended!$B$9:$J$101,9,FALSE),IF(BA866="31-120 Days",VLOOKUP(D866,[3]Extended!$B$9:$K$101,10,FALSE),IF(BA866="121-365 Days",VLOOKUP(D866,[3]Extended!$B$9:$L$101,11,FALSE),VLOOKUP(D866,[3]Extended!$B$9:$M$101,12,FALSE)))),0)</f>
        <v>1724800</v>
      </c>
      <c r="P866" s="116">
        <f t="shared" si="66"/>
        <v>0.23</v>
      </c>
      <c r="Q866" s="110" t="e">
        <f>O866-#REF!</f>
        <v>#REF!</v>
      </c>
      <c r="W866" s="311"/>
      <c r="X866" s="311"/>
      <c r="Y866" s="311"/>
      <c r="Z866" s="311"/>
      <c r="AA866" s="311"/>
      <c r="AB866" s="311"/>
      <c r="AC866" s="311"/>
      <c r="AT866" s="88" t="str">
        <f t="shared" si="67"/>
        <v>TGX000012017Q214,7</v>
      </c>
      <c r="AU866" s="89" t="str">
        <f t="shared" si="68"/>
        <v>04-2017</v>
      </c>
      <c r="BA866" s="92" t="str">
        <f t="shared" si="69"/>
        <v>WIP - 30 Days</v>
      </c>
    </row>
    <row r="867" spans="2:53">
      <c r="B867" s="60" t="str">
        <f>[2]Trucks!A864</f>
        <v>30X-5254</v>
      </c>
      <c r="C867" s="11" t="str">
        <f>[2]Trucks!B864</f>
        <v>TGX-26-5406X4BLS-XLX</v>
      </c>
      <c r="D867" s="19" t="str">
        <f>IFERROR(VLOOKUP(C867&amp;"",'[2]Retail Price List'!$A$3:$B$103,2,FALSE),"Special Order")</f>
        <v>TGX00001</v>
      </c>
      <c r="E867" s="18" t="str">
        <f>[2]Trucks!J864</f>
        <v>CKD</v>
      </c>
      <c r="F867" s="12" t="str">
        <f>[2]Trucks!E864</f>
        <v>2017-09-15</v>
      </c>
      <c r="G867" s="56">
        <f>[2]Trucks!K864</f>
        <v>14.7</v>
      </c>
      <c r="H867" s="46">
        <f>[2]Trucks!I864</f>
        <v>42849</v>
      </c>
      <c r="I867" s="83" t="str">
        <f t="shared" si="65"/>
        <v>2017Q2</v>
      </c>
      <c r="J867" s="272">
        <f>IFERROR(VLOOKUP((D867&amp;C867)&amp;"",'[2]Retail Price List'!$C$4:$F$102,3,FALSE),"")</f>
        <v>2195000</v>
      </c>
      <c r="K867" s="272">
        <f>IFERROR(IF(BA867="WIP - 30 Days",VLOOKUP(D867,[3]Standard!$B$9:$E$101,4,FALSE),IF(BA867="31-120 Days",VLOOKUP(D867,[3]Standard!$B$9:$F$101,5,FALSE),IF(BA867="121-365 Days",VLOOKUP(D867,[3]Standard!$B$9:$G$101,6,FALSE),VLOOKUP(D867,[3]Standard!$B$9:$H$101,7,FALSE)))),0)</f>
        <v>1673029</v>
      </c>
      <c r="L867" s="272">
        <f>IFERROR(IF(BA867="WIP - 30 Days",VLOOKUP(D867,[3]Standard!$B$9:$J$101,9,FALSE),IF(BA867="31-120 Days",VLOOKUP(D867,[3]Standard!$B$9:$K$100,10,FALSE),IF(BA867="121-365 Days",VLOOKUP(D867,[3]Standard!$B$9:$L$101,11,FALSE),VLOOKUP(D867,[3]Standard!$B$9:$M$101,12,FALSE)))),0)</f>
        <v>1624300</v>
      </c>
      <c r="M867" s="269">
        <f>IFERROR(VLOOKUP((D867&amp;C867)&amp;"",'[2]Retail Price List'!$C$4:$F$102,4,FALSE),"")</f>
        <v>2240000</v>
      </c>
      <c r="N867" s="269">
        <f>IFERROR(IF(BA867="WIP - 30 Days",VLOOKUP(D867,[3]Extended!$B$9:$E$101,4,FALSE),IF(BA867="31-120 Days",VLOOKUP(D867,[3]Extended!$B$9:$F$101,5,FALSE),IF(BA867="121-365 Days",VLOOKUP(D867,[3]Extended!$B$9:$G$101,6,FALSE),VLOOKUP(D867,[3]Extended!$B$9:$H$101,7,FALSE)))),0)</f>
        <v>1776544</v>
      </c>
      <c r="O867" s="269">
        <f>IFERROR(IF(BA867="WIP - 30 Days",VLOOKUP(D867,[3]Extended!$B$9:$J$101,9,FALSE),IF(BA867="31-120 Days",VLOOKUP(D867,[3]Extended!$B$9:$K$101,10,FALSE),IF(BA867="121-365 Days",VLOOKUP(D867,[3]Extended!$B$9:$L$101,11,FALSE),VLOOKUP(D867,[3]Extended!$B$9:$M$101,12,FALSE)))),0)</f>
        <v>1724800</v>
      </c>
      <c r="P867" s="116">
        <f t="shared" si="66"/>
        <v>0.23</v>
      </c>
      <c r="Q867" s="110" t="e">
        <f>O867-#REF!</f>
        <v>#REF!</v>
      </c>
      <c r="W867" s="311"/>
      <c r="X867" s="311"/>
      <c r="Y867" s="311"/>
      <c r="Z867" s="311"/>
      <c r="AA867" s="311"/>
      <c r="AB867" s="311"/>
      <c r="AC867" s="311"/>
      <c r="AT867" s="88" t="str">
        <f t="shared" si="67"/>
        <v>TGX000012017Q214,7</v>
      </c>
      <c r="AU867" s="89" t="str">
        <f t="shared" si="68"/>
        <v>04-2017</v>
      </c>
      <c r="BA867" s="92" t="str">
        <f t="shared" si="69"/>
        <v>WIP - 30 Days</v>
      </c>
    </row>
    <row r="868" spans="2:53">
      <c r="B868" s="60" t="str">
        <f>[2]Trucks!A865</f>
        <v>30X-5255</v>
      </c>
      <c r="C868" s="11" t="str">
        <f>[2]Trucks!B865</f>
        <v>TGX-26-5406X4BLS-XLX</v>
      </c>
      <c r="D868" s="19" t="str">
        <f>IFERROR(VLOOKUP(C868&amp;"",'[2]Retail Price List'!$A$3:$B$103,2,FALSE),"Special Order")</f>
        <v>TGX00001</v>
      </c>
      <c r="E868" s="18" t="str">
        <f>[2]Trucks!J865</f>
        <v>CKD</v>
      </c>
      <c r="F868" s="12" t="str">
        <f>[2]Trucks!E865</f>
        <v>2017-09-15</v>
      </c>
      <c r="G868" s="56">
        <f>[2]Trucks!K865</f>
        <v>14.7</v>
      </c>
      <c r="H868" s="46">
        <f>[2]Trucks!I865</f>
        <v>42849</v>
      </c>
      <c r="I868" s="83" t="str">
        <f t="shared" si="65"/>
        <v>2017Q2</v>
      </c>
      <c r="J868" s="272">
        <f>IFERROR(VLOOKUP((D868&amp;C868)&amp;"",'[2]Retail Price List'!$C$4:$F$102,3,FALSE),"")</f>
        <v>2195000</v>
      </c>
      <c r="K868" s="272">
        <f>IFERROR(IF(BA868="WIP - 30 Days",VLOOKUP(D868,[3]Standard!$B$9:$E$101,4,FALSE),IF(BA868="31-120 Days",VLOOKUP(D868,[3]Standard!$B$9:$F$101,5,FALSE),IF(BA868="121-365 Days",VLOOKUP(D868,[3]Standard!$B$9:$G$101,6,FALSE),VLOOKUP(D868,[3]Standard!$B$9:$H$101,7,FALSE)))),0)</f>
        <v>1673029</v>
      </c>
      <c r="L868" s="272">
        <f>IFERROR(IF(BA868="WIP - 30 Days",VLOOKUP(D868,[3]Standard!$B$9:$J$101,9,FALSE),IF(BA868="31-120 Days",VLOOKUP(D868,[3]Standard!$B$9:$K$100,10,FALSE),IF(BA868="121-365 Days",VLOOKUP(D868,[3]Standard!$B$9:$L$101,11,FALSE),VLOOKUP(D868,[3]Standard!$B$9:$M$101,12,FALSE)))),0)</f>
        <v>1624300</v>
      </c>
      <c r="M868" s="269">
        <f>IFERROR(VLOOKUP((D868&amp;C868)&amp;"",'[2]Retail Price List'!$C$4:$F$102,4,FALSE),"")</f>
        <v>2240000</v>
      </c>
      <c r="N868" s="269">
        <f>IFERROR(IF(BA868="WIP - 30 Days",VLOOKUP(D868,[3]Extended!$B$9:$E$101,4,FALSE),IF(BA868="31-120 Days",VLOOKUP(D868,[3]Extended!$B$9:$F$101,5,FALSE),IF(BA868="121-365 Days",VLOOKUP(D868,[3]Extended!$B$9:$G$101,6,FALSE),VLOOKUP(D868,[3]Extended!$B$9:$H$101,7,FALSE)))),0)</f>
        <v>1776544</v>
      </c>
      <c r="O868" s="269">
        <f>IFERROR(IF(BA868="WIP - 30 Days",VLOOKUP(D868,[3]Extended!$B$9:$J$101,9,FALSE),IF(BA868="31-120 Days",VLOOKUP(D868,[3]Extended!$B$9:$K$101,10,FALSE),IF(BA868="121-365 Days",VLOOKUP(D868,[3]Extended!$B$9:$L$101,11,FALSE),VLOOKUP(D868,[3]Extended!$B$9:$M$101,12,FALSE)))),0)</f>
        <v>1724800</v>
      </c>
      <c r="P868" s="116">
        <f t="shared" si="66"/>
        <v>0.23</v>
      </c>
      <c r="Q868" s="110" t="e">
        <f>O868-#REF!</f>
        <v>#REF!</v>
      </c>
      <c r="W868" s="311"/>
      <c r="X868" s="311"/>
      <c r="Y868" s="311"/>
      <c r="Z868" s="311"/>
      <c r="AA868" s="311"/>
      <c r="AB868" s="311"/>
      <c r="AC868" s="311"/>
      <c r="AT868" s="88" t="str">
        <f t="shared" si="67"/>
        <v>TGX000012017Q214,7</v>
      </c>
      <c r="AU868" s="89" t="str">
        <f t="shared" si="68"/>
        <v>04-2017</v>
      </c>
      <c r="BA868" s="92" t="str">
        <f t="shared" si="69"/>
        <v>WIP - 30 Days</v>
      </c>
    </row>
    <row r="869" spans="2:53">
      <c r="B869" s="60" t="str">
        <f>[2]Trucks!A866</f>
        <v>30X-5256</v>
      </c>
      <c r="C869" s="11" t="str">
        <f>[2]Trucks!B866</f>
        <v>TGX-26-5406X4BLS-XLX</v>
      </c>
      <c r="D869" s="19" t="str">
        <f>IFERROR(VLOOKUP(C869&amp;"",'[2]Retail Price List'!$A$3:$B$103,2,FALSE),"Special Order")</f>
        <v>TGX00001</v>
      </c>
      <c r="E869" s="18" t="str">
        <f>[2]Trucks!J866</f>
        <v>CKD</v>
      </c>
      <c r="F869" s="12" t="str">
        <f>[2]Trucks!E866</f>
        <v>2017-09-15</v>
      </c>
      <c r="G869" s="56">
        <f>[2]Trucks!K866</f>
        <v>14.7</v>
      </c>
      <c r="H869" s="46">
        <f>[2]Trucks!I866</f>
        <v>42849</v>
      </c>
      <c r="I869" s="83" t="str">
        <f t="shared" si="65"/>
        <v>2017Q2</v>
      </c>
      <c r="J869" s="272">
        <f>IFERROR(VLOOKUP((D869&amp;C869)&amp;"",'[2]Retail Price List'!$C$4:$F$102,3,FALSE),"")</f>
        <v>2195000</v>
      </c>
      <c r="K869" s="272">
        <f>IFERROR(IF(BA869="WIP - 30 Days",VLOOKUP(D869,[3]Standard!$B$9:$E$101,4,FALSE),IF(BA869="31-120 Days",VLOOKUP(D869,[3]Standard!$B$9:$F$101,5,FALSE),IF(BA869="121-365 Days",VLOOKUP(D869,[3]Standard!$B$9:$G$101,6,FALSE),VLOOKUP(D869,[3]Standard!$B$9:$H$101,7,FALSE)))),0)</f>
        <v>1673029</v>
      </c>
      <c r="L869" s="272">
        <f>IFERROR(IF(BA869="WIP - 30 Days",VLOOKUP(D869,[3]Standard!$B$9:$J$101,9,FALSE),IF(BA869="31-120 Days",VLOOKUP(D869,[3]Standard!$B$9:$K$100,10,FALSE),IF(BA869="121-365 Days",VLOOKUP(D869,[3]Standard!$B$9:$L$101,11,FALSE),VLOOKUP(D869,[3]Standard!$B$9:$M$101,12,FALSE)))),0)</f>
        <v>1624300</v>
      </c>
      <c r="M869" s="269">
        <f>IFERROR(VLOOKUP((D869&amp;C869)&amp;"",'[2]Retail Price List'!$C$4:$F$102,4,FALSE),"")</f>
        <v>2240000</v>
      </c>
      <c r="N869" s="269">
        <f>IFERROR(IF(BA869="WIP - 30 Days",VLOOKUP(D869,[3]Extended!$B$9:$E$101,4,FALSE),IF(BA869="31-120 Days",VLOOKUP(D869,[3]Extended!$B$9:$F$101,5,FALSE),IF(BA869="121-365 Days",VLOOKUP(D869,[3]Extended!$B$9:$G$101,6,FALSE),VLOOKUP(D869,[3]Extended!$B$9:$H$101,7,FALSE)))),0)</f>
        <v>1776544</v>
      </c>
      <c r="O869" s="269">
        <f>IFERROR(IF(BA869="WIP - 30 Days",VLOOKUP(D869,[3]Extended!$B$9:$J$101,9,FALSE),IF(BA869="31-120 Days",VLOOKUP(D869,[3]Extended!$B$9:$K$101,10,FALSE),IF(BA869="121-365 Days",VLOOKUP(D869,[3]Extended!$B$9:$L$101,11,FALSE),VLOOKUP(D869,[3]Extended!$B$9:$M$101,12,FALSE)))),0)</f>
        <v>1724800</v>
      </c>
      <c r="P869" s="116">
        <f t="shared" si="66"/>
        <v>0.23</v>
      </c>
      <c r="Q869" s="110" t="e">
        <f>O869-#REF!</f>
        <v>#REF!</v>
      </c>
      <c r="W869" s="311"/>
      <c r="X869" s="311"/>
      <c r="Y869" s="311"/>
      <c r="Z869" s="311"/>
      <c r="AA869" s="311"/>
      <c r="AB869" s="311"/>
      <c r="AC869" s="311"/>
      <c r="AT869" s="88" t="str">
        <f t="shared" si="67"/>
        <v>TGX000012017Q214,7</v>
      </c>
      <c r="AU869" s="89" t="str">
        <f t="shared" si="68"/>
        <v>04-2017</v>
      </c>
      <c r="BA869" s="92" t="str">
        <f t="shared" si="69"/>
        <v>WIP - 30 Days</v>
      </c>
    </row>
    <row r="870" spans="2:53">
      <c r="B870" s="60" t="str">
        <f>[2]Trucks!A867</f>
        <v>30X-5257</v>
      </c>
      <c r="C870" s="11" t="str">
        <f>[2]Trucks!B867</f>
        <v>TGX-26-5406X4BLS-XLX</v>
      </c>
      <c r="D870" s="19" t="str">
        <f>IFERROR(VLOOKUP(C870&amp;"",'[2]Retail Price List'!$A$3:$B$103,2,FALSE),"Special Order")</f>
        <v>TGX00001</v>
      </c>
      <c r="E870" s="18" t="str">
        <f>[2]Trucks!J867</f>
        <v>CKD</v>
      </c>
      <c r="F870" s="12" t="str">
        <f>[2]Trucks!E867</f>
        <v>2017-09-15</v>
      </c>
      <c r="G870" s="56">
        <f>[2]Trucks!K867</f>
        <v>14.7</v>
      </c>
      <c r="H870" s="46">
        <f>[2]Trucks!I867</f>
        <v>42849</v>
      </c>
      <c r="I870" s="83" t="str">
        <f t="shared" si="65"/>
        <v>2017Q2</v>
      </c>
      <c r="J870" s="272">
        <f>IFERROR(VLOOKUP((D870&amp;C870)&amp;"",'[2]Retail Price List'!$C$4:$F$102,3,FALSE),"")</f>
        <v>2195000</v>
      </c>
      <c r="K870" s="272">
        <f>IFERROR(IF(BA870="WIP - 30 Days",VLOOKUP(D870,[3]Standard!$B$9:$E$101,4,FALSE),IF(BA870="31-120 Days",VLOOKUP(D870,[3]Standard!$B$9:$F$101,5,FALSE),IF(BA870="121-365 Days",VLOOKUP(D870,[3]Standard!$B$9:$G$101,6,FALSE),VLOOKUP(D870,[3]Standard!$B$9:$H$101,7,FALSE)))),0)</f>
        <v>1673029</v>
      </c>
      <c r="L870" s="272">
        <f>IFERROR(IF(BA870="WIP - 30 Days",VLOOKUP(D870,[3]Standard!$B$9:$J$101,9,FALSE),IF(BA870="31-120 Days",VLOOKUP(D870,[3]Standard!$B$9:$K$100,10,FALSE),IF(BA870="121-365 Days",VLOOKUP(D870,[3]Standard!$B$9:$L$101,11,FALSE),VLOOKUP(D870,[3]Standard!$B$9:$M$101,12,FALSE)))),0)</f>
        <v>1624300</v>
      </c>
      <c r="M870" s="269">
        <f>IFERROR(VLOOKUP((D870&amp;C870)&amp;"",'[2]Retail Price List'!$C$4:$F$102,4,FALSE),"")</f>
        <v>2240000</v>
      </c>
      <c r="N870" s="269">
        <f>IFERROR(IF(BA870="WIP - 30 Days",VLOOKUP(D870,[3]Extended!$B$9:$E$101,4,FALSE),IF(BA870="31-120 Days",VLOOKUP(D870,[3]Extended!$B$9:$F$101,5,FALSE),IF(BA870="121-365 Days",VLOOKUP(D870,[3]Extended!$B$9:$G$101,6,FALSE),VLOOKUP(D870,[3]Extended!$B$9:$H$101,7,FALSE)))),0)</f>
        <v>1776544</v>
      </c>
      <c r="O870" s="269">
        <f>IFERROR(IF(BA870="WIP - 30 Days",VLOOKUP(D870,[3]Extended!$B$9:$J$101,9,FALSE),IF(BA870="31-120 Days",VLOOKUP(D870,[3]Extended!$B$9:$K$101,10,FALSE),IF(BA870="121-365 Days",VLOOKUP(D870,[3]Extended!$B$9:$L$101,11,FALSE),VLOOKUP(D870,[3]Extended!$B$9:$M$101,12,FALSE)))),0)</f>
        <v>1724800</v>
      </c>
      <c r="P870" s="116">
        <f t="shared" si="66"/>
        <v>0.23</v>
      </c>
      <c r="Q870" s="110" t="e">
        <f>O870-#REF!</f>
        <v>#REF!</v>
      </c>
      <c r="W870" s="311"/>
      <c r="X870" s="311"/>
      <c r="Y870" s="311"/>
      <c r="Z870" s="311"/>
      <c r="AA870" s="311"/>
      <c r="AB870" s="311"/>
      <c r="AC870" s="311"/>
      <c r="AT870" s="88" t="str">
        <f t="shared" si="67"/>
        <v>TGX000012017Q214,7</v>
      </c>
      <c r="AU870" s="89" t="str">
        <f t="shared" si="68"/>
        <v>04-2017</v>
      </c>
      <c r="BA870" s="92" t="str">
        <f t="shared" si="69"/>
        <v>WIP - 30 Days</v>
      </c>
    </row>
    <row r="871" spans="2:53">
      <c r="B871" s="60" t="str">
        <f>[2]Trucks!A868</f>
        <v>30X-5258</v>
      </c>
      <c r="C871" s="11" t="str">
        <f>[2]Trucks!B868</f>
        <v>TGX-26-5406X4BLS-XLX</v>
      </c>
      <c r="D871" s="19" t="str">
        <f>IFERROR(VLOOKUP(C871&amp;"",'[2]Retail Price List'!$A$3:$B$103,2,FALSE),"Special Order")</f>
        <v>TGX00001</v>
      </c>
      <c r="E871" s="18" t="str">
        <f>[2]Trucks!J868</f>
        <v>CKD</v>
      </c>
      <c r="F871" s="12" t="str">
        <f>[2]Trucks!E868</f>
        <v>2017-09-15</v>
      </c>
      <c r="G871" s="56">
        <f>[2]Trucks!K868</f>
        <v>14.7</v>
      </c>
      <c r="H871" s="46">
        <f>[2]Trucks!I868</f>
        <v>42849</v>
      </c>
      <c r="I871" s="83" t="str">
        <f t="shared" si="65"/>
        <v>2017Q2</v>
      </c>
      <c r="J871" s="272">
        <f>IFERROR(VLOOKUP((D871&amp;C871)&amp;"",'[2]Retail Price List'!$C$4:$F$102,3,FALSE),"")</f>
        <v>2195000</v>
      </c>
      <c r="K871" s="272">
        <f>IFERROR(IF(BA871="WIP - 30 Days",VLOOKUP(D871,[3]Standard!$B$9:$E$101,4,FALSE),IF(BA871="31-120 Days",VLOOKUP(D871,[3]Standard!$B$9:$F$101,5,FALSE),IF(BA871="121-365 Days",VLOOKUP(D871,[3]Standard!$B$9:$G$101,6,FALSE),VLOOKUP(D871,[3]Standard!$B$9:$H$101,7,FALSE)))),0)</f>
        <v>1673029</v>
      </c>
      <c r="L871" s="272">
        <f>IFERROR(IF(BA871="WIP - 30 Days",VLOOKUP(D871,[3]Standard!$B$9:$J$101,9,FALSE),IF(BA871="31-120 Days",VLOOKUP(D871,[3]Standard!$B$9:$K$100,10,FALSE),IF(BA871="121-365 Days",VLOOKUP(D871,[3]Standard!$B$9:$L$101,11,FALSE),VLOOKUP(D871,[3]Standard!$B$9:$M$101,12,FALSE)))),0)</f>
        <v>1624300</v>
      </c>
      <c r="M871" s="269">
        <f>IFERROR(VLOOKUP((D871&amp;C871)&amp;"",'[2]Retail Price List'!$C$4:$F$102,4,FALSE),"")</f>
        <v>2240000</v>
      </c>
      <c r="N871" s="269">
        <f>IFERROR(IF(BA871="WIP - 30 Days",VLOOKUP(D871,[3]Extended!$B$9:$E$101,4,FALSE),IF(BA871="31-120 Days",VLOOKUP(D871,[3]Extended!$B$9:$F$101,5,FALSE),IF(BA871="121-365 Days",VLOOKUP(D871,[3]Extended!$B$9:$G$101,6,FALSE),VLOOKUP(D871,[3]Extended!$B$9:$H$101,7,FALSE)))),0)</f>
        <v>1776544</v>
      </c>
      <c r="O871" s="269">
        <f>IFERROR(IF(BA871="WIP - 30 Days",VLOOKUP(D871,[3]Extended!$B$9:$J$101,9,FALSE),IF(BA871="31-120 Days",VLOOKUP(D871,[3]Extended!$B$9:$K$101,10,FALSE),IF(BA871="121-365 Days",VLOOKUP(D871,[3]Extended!$B$9:$L$101,11,FALSE),VLOOKUP(D871,[3]Extended!$B$9:$M$101,12,FALSE)))),0)</f>
        <v>1724800</v>
      </c>
      <c r="P871" s="116">
        <f t="shared" si="66"/>
        <v>0.23</v>
      </c>
      <c r="Q871" s="110" t="e">
        <f>O871-#REF!</f>
        <v>#REF!</v>
      </c>
      <c r="W871" s="311"/>
      <c r="X871" s="311"/>
      <c r="Y871" s="311"/>
      <c r="Z871" s="311"/>
      <c r="AA871" s="311"/>
      <c r="AB871" s="311"/>
      <c r="AC871" s="311"/>
      <c r="AT871" s="88" t="str">
        <f t="shared" si="67"/>
        <v>TGX000012017Q214,7</v>
      </c>
      <c r="AU871" s="89" t="str">
        <f t="shared" si="68"/>
        <v>04-2017</v>
      </c>
      <c r="BA871" s="92" t="str">
        <f t="shared" si="69"/>
        <v>WIP - 30 Days</v>
      </c>
    </row>
    <row r="872" spans="2:53">
      <c r="B872" s="60" t="str">
        <f>[2]Trucks!A869</f>
        <v>30X-5259</v>
      </c>
      <c r="C872" s="11" t="str">
        <f>[2]Trucks!B869</f>
        <v>TGX-26-5406X4BLS-XLX</v>
      </c>
      <c r="D872" s="19" t="str">
        <f>IFERROR(VLOOKUP(C872&amp;"",'[2]Retail Price List'!$A$3:$B$103,2,FALSE),"Special Order")</f>
        <v>TGX00001</v>
      </c>
      <c r="E872" s="18" t="str">
        <f>[2]Trucks!J869</f>
        <v>CKD</v>
      </c>
      <c r="F872" s="12" t="str">
        <f>[2]Trucks!E869</f>
        <v>2017-09-15</v>
      </c>
      <c r="G872" s="56">
        <f>[2]Trucks!K869</f>
        <v>14.7</v>
      </c>
      <c r="H872" s="46">
        <f>[2]Trucks!I869</f>
        <v>42849</v>
      </c>
      <c r="I872" s="83" t="str">
        <f t="shared" si="65"/>
        <v>2017Q2</v>
      </c>
      <c r="J872" s="272">
        <f>IFERROR(VLOOKUP((D872&amp;C872)&amp;"",'[2]Retail Price List'!$C$4:$F$102,3,FALSE),"")</f>
        <v>2195000</v>
      </c>
      <c r="K872" s="272">
        <f>IFERROR(IF(BA872="WIP - 30 Days",VLOOKUP(D872,[3]Standard!$B$9:$E$101,4,FALSE),IF(BA872="31-120 Days",VLOOKUP(D872,[3]Standard!$B$9:$F$101,5,FALSE),IF(BA872="121-365 Days",VLOOKUP(D872,[3]Standard!$B$9:$G$101,6,FALSE),VLOOKUP(D872,[3]Standard!$B$9:$H$101,7,FALSE)))),0)</f>
        <v>1673029</v>
      </c>
      <c r="L872" s="272">
        <f>IFERROR(IF(BA872="WIP - 30 Days",VLOOKUP(D872,[3]Standard!$B$9:$J$101,9,FALSE),IF(BA872="31-120 Days",VLOOKUP(D872,[3]Standard!$B$9:$K$100,10,FALSE),IF(BA872="121-365 Days",VLOOKUP(D872,[3]Standard!$B$9:$L$101,11,FALSE),VLOOKUP(D872,[3]Standard!$B$9:$M$101,12,FALSE)))),0)</f>
        <v>1624300</v>
      </c>
      <c r="M872" s="269">
        <f>IFERROR(VLOOKUP((D872&amp;C872)&amp;"",'[2]Retail Price List'!$C$4:$F$102,4,FALSE),"")</f>
        <v>2240000</v>
      </c>
      <c r="N872" s="269">
        <f>IFERROR(IF(BA872="WIP - 30 Days",VLOOKUP(D872,[3]Extended!$B$9:$E$101,4,FALSE),IF(BA872="31-120 Days",VLOOKUP(D872,[3]Extended!$B$9:$F$101,5,FALSE),IF(BA872="121-365 Days",VLOOKUP(D872,[3]Extended!$B$9:$G$101,6,FALSE),VLOOKUP(D872,[3]Extended!$B$9:$H$101,7,FALSE)))),0)</f>
        <v>1776544</v>
      </c>
      <c r="O872" s="269">
        <f>IFERROR(IF(BA872="WIP - 30 Days",VLOOKUP(D872,[3]Extended!$B$9:$J$101,9,FALSE),IF(BA872="31-120 Days",VLOOKUP(D872,[3]Extended!$B$9:$K$101,10,FALSE),IF(BA872="121-365 Days",VLOOKUP(D872,[3]Extended!$B$9:$L$101,11,FALSE),VLOOKUP(D872,[3]Extended!$B$9:$M$101,12,FALSE)))),0)</f>
        <v>1724800</v>
      </c>
      <c r="P872" s="116">
        <f t="shared" si="66"/>
        <v>0.23</v>
      </c>
      <c r="Q872" s="110" t="e">
        <f>O872-#REF!</f>
        <v>#REF!</v>
      </c>
      <c r="W872" s="311"/>
      <c r="X872" s="311"/>
      <c r="Y872" s="311"/>
      <c r="Z872" s="311"/>
      <c r="AA872" s="311"/>
      <c r="AB872" s="311"/>
      <c r="AC872" s="311"/>
      <c r="AT872" s="88" t="str">
        <f t="shared" si="67"/>
        <v>TGX000012017Q214,7</v>
      </c>
      <c r="AU872" s="89" t="str">
        <f t="shared" si="68"/>
        <v>04-2017</v>
      </c>
      <c r="BA872" s="92" t="str">
        <f t="shared" si="69"/>
        <v>WIP - 30 Days</v>
      </c>
    </row>
    <row r="873" spans="2:53">
      <c r="B873" s="60" t="str">
        <f>[2]Trucks!A870</f>
        <v>TBATG001</v>
      </c>
      <c r="C873" s="11" t="str">
        <f>[2]Trucks!B870</f>
        <v>TGX-26-5406X4BLS-XLX</v>
      </c>
      <c r="D873" s="19" t="str">
        <f>IFERROR(VLOOKUP(C873&amp;"",'[2]Retail Price List'!$A$3:$B$103,2,FALSE),"Special Order")</f>
        <v>TGX00001</v>
      </c>
      <c r="E873" s="18" t="str">
        <f>[2]Trucks!J870</f>
        <v>CKD</v>
      </c>
      <c r="F873" s="12" t="str">
        <f>[2]Trucks!E870</f>
        <v>2018-02-15</v>
      </c>
      <c r="G873" s="56">
        <f>[2]Trucks!K870</f>
        <v>14.7</v>
      </c>
      <c r="H873" s="46">
        <f>[2]Trucks!I870</f>
        <v>42921</v>
      </c>
      <c r="I873" s="83" t="str">
        <f t="shared" si="65"/>
        <v>2017Q3</v>
      </c>
      <c r="J873" s="272">
        <f>IFERROR(VLOOKUP((D873&amp;C873)&amp;"",'[2]Retail Price List'!$C$4:$F$102,3,FALSE),"")</f>
        <v>2195000</v>
      </c>
      <c r="K873" s="272">
        <f>IFERROR(IF(BA873="WIP - 30 Days",VLOOKUP(D873,[3]Standard!$B$9:$E$101,4,FALSE),IF(BA873="31-120 Days",VLOOKUP(D873,[3]Standard!$B$9:$F$101,5,FALSE),IF(BA873="121-365 Days",VLOOKUP(D873,[3]Standard!$B$9:$G$101,6,FALSE),VLOOKUP(D873,[3]Standard!$B$9:$H$101,7,FALSE)))),0)</f>
        <v>1673029</v>
      </c>
      <c r="L873" s="272">
        <f>IFERROR(IF(BA873="WIP - 30 Days",VLOOKUP(D873,[3]Standard!$B$9:$J$101,9,FALSE),IF(BA873="31-120 Days",VLOOKUP(D873,[3]Standard!$B$9:$K$100,10,FALSE),IF(BA873="121-365 Days",VLOOKUP(D873,[3]Standard!$B$9:$L$101,11,FALSE),VLOOKUP(D873,[3]Standard!$B$9:$M$101,12,FALSE)))),0)</f>
        <v>1624300</v>
      </c>
      <c r="M873" s="269">
        <f>IFERROR(VLOOKUP((D873&amp;C873)&amp;"",'[2]Retail Price List'!$C$4:$F$102,4,FALSE),"")</f>
        <v>2240000</v>
      </c>
      <c r="N873" s="269">
        <f>IFERROR(IF(BA873="WIP - 30 Days",VLOOKUP(D873,[3]Extended!$B$9:$E$101,4,FALSE),IF(BA873="31-120 Days",VLOOKUP(D873,[3]Extended!$B$9:$F$101,5,FALSE),IF(BA873="121-365 Days",VLOOKUP(D873,[3]Extended!$B$9:$G$101,6,FALSE),VLOOKUP(D873,[3]Extended!$B$9:$H$101,7,FALSE)))),0)</f>
        <v>1776544</v>
      </c>
      <c r="O873" s="269">
        <f>IFERROR(IF(BA873="WIP - 30 Days",VLOOKUP(D873,[3]Extended!$B$9:$J$101,9,FALSE),IF(BA873="31-120 Days",VLOOKUP(D873,[3]Extended!$B$9:$K$101,10,FALSE),IF(BA873="121-365 Days",VLOOKUP(D873,[3]Extended!$B$9:$L$101,11,FALSE),VLOOKUP(D873,[3]Extended!$B$9:$M$101,12,FALSE)))),0)</f>
        <v>1724800</v>
      </c>
      <c r="P873" s="116">
        <f t="shared" si="66"/>
        <v>0.23</v>
      </c>
      <c r="Q873" s="110" t="e">
        <f>O873-#REF!</f>
        <v>#REF!</v>
      </c>
      <c r="W873" s="311"/>
      <c r="X873" s="311"/>
      <c r="Y873" s="311"/>
      <c r="Z873" s="311"/>
      <c r="AA873" s="311"/>
      <c r="AB873" s="311"/>
      <c r="AC873" s="311"/>
      <c r="AT873" s="88" t="str">
        <f t="shared" si="67"/>
        <v>TGX000012017Q314,7</v>
      </c>
      <c r="AU873" s="89" t="str">
        <f t="shared" si="68"/>
        <v>07-2017</v>
      </c>
      <c r="BA873" s="92" t="str">
        <f t="shared" si="69"/>
        <v>WIP - 30 Days</v>
      </c>
    </row>
    <row r="874" spans="2:53">
      <c r="B874" s="60">
        <f>[2]Trucks!A871</f>
        <v>0</v>
      </c>
      <c r="C874" s="11">
        <f>[2]Trucks!B871</f>
        <v>0</v>
      </c>
      <c r="D874" s="19" t="str">
        <f>IFERROR(VLOOKUP(C874&amp;"",'[2]Retail Price List'!$A$3:$B$103,2,FALSE),"Special Order")</f>
        <v>Special Order</v>
      </c>
      <c r="E874" s="18">
        <f>[2]Trucks!J871</f>
        <v>0</v>
      </c>
      <c r="F874" s="12">
        <f>[2]Trucks!E871</f>
        <v>0</v>
      </c>
      <c r="G874" s="56">
        <f>[2]Trucks!K871</f>
        <v>0</v>
      </c>
      <c r="H874" s="46">
        <f>[2]Trucks!I871</f>
        <v>0</v>
      </c>
      <c r="I874" s="83" t="str">
        <f t="shared" si="65"/>
        <v/>
      </c>
      <c r="J874" s="272" t="str">
        <f>IFERROR(VLOOKUP((D874&amp;C874)&amp;"",'[2]Retail Price List'!$C$4:$F$102,3,FALSE),"")</f>
        <v/>
      </c>
      <c r="K874" s="272">
        <f>IFERROR(IF(BA874="WIP - 30 Days",VLOOKUP(D874,[3]Standard!$B$9:$E$101,4,FALSE),IF(BA874="31-120 Days",VLOOKUP(D874,[3]Standard!$B$9:$F$101,5,FALSE),IF(BA874="121-365 Days",VLOOKUP(D874,[3]Standard!$B$9:$G$101,6,FALSE),VLOOKUP(D874,[3]Standard!$B$9:$H$101,7,FALSE)))),0)</f>
        <v>0</v>
      </c>
      <c r="L874" s="272">
        <f>IFERROR(IF(BA874="WIP - 30 Days",VLOOKUP(D874,[3]Standard!$B$9:$J$101,9,FALSE),IF(BA874="31-120 Days",VLOOKUP(D874,[3]Standard!$B$9:$K$100,10,FALSE),IF(BA874="121-365 Days",VLOOKUP(D874,[3]Standard!$B$9:$L$101,11,FALSE),VLOOKUP(D874,[3]Standard!$B$9:$M$101,12,FALSE)))),0)</f>
        <v>0</v>
      </c>
      <c r="M874" s="269" t="str">
        <f>IFERROR(VLOOKUP((D874&amp;C874)&amp;"",'[2]Retail Price List'!$C$4:$F$102,4,FALSE),"")</f>
        <v/>
      </c>
      <c r="N874" s="269">
        <f>IFERROR(IF(BA874="WIP - 30 Days",VLOOKUP(D874,[3]Extended!$B$9:$E$101,4,FALSE),IF(BA874="31-120 Days",VLOOKUP(D874,[3]Extended!$B$9:$F$101,5,FALSE),IF(BA874="121-365 Days",VLOOKUP(D874,[3]Extended!$B$9:$G$101,6,FALSE),VLOOKUP(D874,[3]Extended!$B$9:$H$101,7,FALSE)))),0)</f>
        <v>0</v>
      </c>
      <c r="O874" s="269">
        <f>IFERROR(IF(BA874="WIP - 30 Days",VLOOKUP(D874,[3]Extended!$B$9:$J$101,9,FALSE),IF(BA874="31-120 Days",VLOOKUP(D874,[3]Extended!$B$9:$K$101,10,FALSE),IF(BA874="121-365 Days",VLOOKUP(D874,[3]Extended!$B$9:$L$101,11,FALSE),VLOOKUP(D874,[3]Extended!$B$9:$M$101,12,FALSE)))),0)</f>
        <v>0</v>
      </c>
      <c r="P874" s="116" t="e">
        <f t="shared" si="66"/>
        <v>#VALUE!</v>
      </c>
      <c r="Q874" s="110" t="e">
        <f>O874-#REF!</f>
        <v>#REF!</v>
      </c>
      <c r="W874" s="311"/>
      <c r="X874" s="311"/>
      <c r="Y874" s="311"/>
      <c r="Z874" s="311"/>
      <c r="AA874" s="311"/>
      <c r="AB874" s="311"/>
      <c r="AC874" s="311"/>
      <c r="AT874" s="88" t="str">
        <f t="shared" si="67"/>
        <v>Special Order0</v>
      </c>
      <c r="AU874" s="89" t="str">
        <f t="shared" si="68"/>
        <v>01-1900</v>
      </c>
      <c r="BA874" s="92" t="str">
        <f t="shared" si="69"/>
        <v/>
      </c>
    </row>
    <row r="875" spans="2:53">
      <c r="B875" s="60">
        <f>[2]Trucks!A872</f>
        <v>0</v>
      </c>
      <c r="C875" s="11">
        <f>[2]Trucks!B872</f>
        <v>0</v>
      </c>
      <c r="D875" s="19" t="str">
        <f>IFERROR(VLOOKUP(C875&amp;"",'[2]Retail Price List'!$A$3:$B$103,2,FALSE),"Special Order")</f>
        <v>Special Order</v>
      </c>
      <c r="E875" s="18">
        <f>[2]Trucks!J872</f>
        <v>0</v>
      </c>
      <c r="F875" s="12">
        <f>[2]Trucks!E872</f>
        <v>0</v>
      </c>
      <c r="G875" s="56">
        <f>[2]Trucks!K872</f>
        <v>0</v>
      </c>
      <c r="H875" s="46">
        <f>[2]Trucks!I872</f>
        <v>0</v>
      </c>
      <c r="I875" s="83" t="str">
        <f t="shared" si="65"/>
        <v/>
      </c>
      <c r="J875" s="272" t="str">
        <f>IFERROR(VLOOKUP((D875&amp;C875)&amp;"",'[2]Retail Price List'!$C$4:$F$102,3,FALSE),"")</f>
        <v/>
      </c>
      <c r="K875" s="272">
        <f>IFERROR(IF(BA875="WIP - 30 Days",VLOOKUP(D875,[3]Standard!$B$9:$E$101,4,FALSE),IF(BA875="31-120 Days",VLOOKUP(D875,[3]Standard!$B$9:$F$101,5,FALSE),IF(BA875="121-365 Days",VLOOKUP(D875,[3]Standard!$B$9:$G$101,6,FALSE),VLOOKUP(D875,[3]Standard!$B$9:$H$101,7,FALSE)))),0)</f>
        <v>0</v>
      </c>
      <c r="L875" s="272">
        <f>IFERROR(IF(BA875="WIP - 30 Days",VLOOKUP(D875,[3]Standard!$B$9:$J$101,9,FALSE),IF(BA875="31-120 Days",VLOOKUP(D875,[3]Standard!$B$9:$K$100,10,FALSE),IF(BA875="121-365 Days",VLOOKUP(D875,[3]Standard!$B$9:$L$101,11,FALSE),VLOOKUP(D875,[3]Standard!$B$9:$M$101,12,FALSE)))),0)</f>
        <v>0</v>
      </c>
      <c r="M875" s="269" t="str">
        <f>IFERROR(VLOOKUP((D875&amp;C875)&amp;"",'[2]Retail Price List'!$C$4:$F$102,4,FALSE),"")</f>
        <v/>
      </c>
      <c r="N875" s="269">
        <f>IFERROR(IF(BA875="WIP - 30 Days",VLOOKUP(D875,[3]Extended!$B$9:$E$101,4,FALSE),IF(BA875="31-120 Days",VLOOKUP(D875,[3]Extended!$B$9:$F$101,5,FALSE),IF(BA875="121-365 Days",VLOOKUP(D875,[3]Extended!$B$9:$G$101,6,FALSE),VLOOKUP(D875,[3]Extended!$B$9:$H$101,7,FALSE)))),0)</f>
        <v>0</v>
      </c>
      <c r="O875" s="269">
        <f>IFERROR(IF(BA875="WIP - 30 Days",VLOOKUP(D875,[3]Extended!$B$9:$J$101,9,FALSE),IF(BA875="31-120 Days",VLOOKUP(D875,[3]Extended!$B$9:$K$101,10,FALSE),IF(BA875="121-365 Days",VLOOKUP(D875,[3]Extended!$B$9:$L$101,11,FALSE),VLOOKUP(D875,[3]Extended!$B$9:$M$101,12,FALSE)))),0)</f>
        <v>0</v>
      </c>
      <c r="P875" s="116" t="e">
        <f t="shared" si="66"/>
        <v>#VALUE!</v>
      </c>
      <c r="Q875" s="110" t="e">
        <f>O875-#REF!</f>
        <v>#REF!</v>
      </c>
      <c r="W875" s="311"/>
      <c r="X875" s="311"/>
      <c r="Y875" s="311"/>
      <c r="Z875" s="311"/>
      <c r="AA875" s="311"/>
      <c r="AB875" s="311"/>
      <c r="AC875" s="311"/>
      <c r="AT875" s="88" t="str">
        <f t="shared" si="67"/>
        <v>Special Order0</v>
      </c>
      <c r="AU875" s="89" t="str">
        <f t="shared" si="68"/>
        <v>01-1900</v>
      </c>
      <c r="BA875" s="92" t="str">
        <f t="shared" si="69"/>
        <v/>
      </c>
    </row>
    <row r="876" spans="2:53">
      <c r="B876" s="60">
        <f>[2]Trucks!A873</f>
        <v>0</v>
      </c>
      <c r="C876" s="11">
        <f>[2]Trucks!B873</f>
        <v>0</v>
      </c>
      <c r="D876" s="19" t="str">
        <f>IFERROR(VLOOKUP(C876&amp;"",'[2]Retail Price List'!$A$3:$B$103,2,FALSE),"Special Order")</f>
        <v>Special Order</v>
      </c>
      <c r="E876" s="18">
        <f>[2]Trucks!J873</f>
        <v>0</v>
      </c>
      <c r="F876" s="12">
        <f>[2]Trucks!E873</f>
        <v>0</v>
      </c>
      <c r="G876" s="56">
        <f>[2]Trucks!K873</f>
        <v>0</v>
      </c>
      <c r="H876" s="46">
        <f>[2]Trucks!I873</f>
        <v>0</v>
      </c>
      <c r="I876" s="83" t="str">
        <f t="shared" si="65"/>
        <v/>
      </c>
      <c r="J876" s="272" t="str">
        <f>IFERROR(VLOOKUP((D876&amp;C876)&amp;"",'[2]Retail Price List'!$C$4:$F$102,3,FALSE),"")</f>
        <v/>
      </c>
      <c r="K876" s="272">
        <f>IFERROR(IF(BA876="WIP - 30 Days",VLOOKUP(D876,[3]Standard!$B$9:$E$101,4,FALSE),IF(BA876="31-120 Days",VLOOKUP(D876,[3]Standard!$B$9:$F$101,5,FALSE),IF(BA876="121-365 Days",VLOOKUP(D876,[3]Standard!$B$9:$G$101,6,FALSE),VLOOKUP(D876,[3]Standard!$B$9:$H$101,7,FALSE)))),0)</f>
        <v>0</v>
      </c>
      <c r="L876" s="272">
        <f>IFERROR(IF(BA876="WIP - 30 Days",VLOOKUP(D876,[3]Standard!$B$9:$J$101,9,FALSE),IF(BA876="31-120 Days",VLOOKUP(D876,[3]Standard!$B$9:$K$100,10,FALSE),IF(BA876="121-365 Days",VLOOKUP(D876,[3]Standard!$B$9:$L$101,11,FALSE),VLOOKUP(D876,[3]Standard!$B$9:$M$101,12,FALSE)))),0)</f>
        <v>0</v>
      </c>
      <c r="M876" s="269" t="str">
        <f>IFERROR(VLOOKUP((D876&amp;C876)&amp;"",'[2]Retail Price List'!$C$4:$F$102,4,FALSE),"")</f>
        <v/>
      </c>
      <c r="N876" s="269">
        <f>IFERROR(IF(BA876="WIP - 30 Days",VLOOKUP(D876,[3]Extended!$B$9:$E$101,4,FALSE),IF(BA876="31-120 Days",VLOOKUP(D876,[3]Extended!$B$9:$F$101,5,FALSE),IF(BA876="121-365 Days",VLOOKUP(D876,[3]Extended!$B$9:$G$101,6,FALSE),VLOOKUP(D876,[3]Extended!$B$9:$H$101,7,FALSE)))),0)</f>
        <v>0</v>
      </c>
      <c r="O876" s="269">
        <f>IFERROR(IF(BA876="WIP - 30 Days",VLOOKUP(D876,[3]Extended!$B$9:$J$101,9,FALSE),IF(BA876="31-120 Days",VLOOKUP(D876,[3]Extended!$B$9:$K$101,10,FALSE),IF(BA876="121-365 Days",VLOOKUP(D876,[3]Extended!$B$9:$L$101,11,FALSE),VLOOKUP(D876,[3]Extended!$B$9:$M$101,12,FALSE)))),0)</f>
        <v>0</v>
      </c>
      <c r="P876" s="116" t="e">
        <f t="shared" si="66"/>
        <v>#VALUE!</v>
      </c>
      <c r="Q876" s="110" t="e">
        <f>O876-#REF!</f>
        <v>#REF!</v>
      </c>
      <c r="W876" s="311"/>
      <c r="X876" s="311"/>
      <c r="Y876" s="311"/>
      <c r="Z876" s="311"/>
      <c r="AA876" s="311"/>
      <c r="AB876" s="311"/>
      <c r="AC876" s="311"/>
      <c r="AT876" s="88" t="str">
        <f t="shared" si="67"/>
        <v>Special Order0</v>
      </c>
      <c r="AU876" s="89" t="str">
        <f t="shared" si="68"/>
        <v>01-1900</v>
      </c>
      <c r="BA876" s="92" t="str">
        <f t="shared" si="69"/>
        <v/>
      </c>
    </row>
    <row r="877" spans="2:53">
      <c r="B877" s="60">
        <f>[2]Trucks!A874</f>
        <v>0</v>
      </c>
      <c r="C877" s="11">
        <f>[2]Trucks!B874</f>
        <v>0</v>
      </c>
      <c r="D877" s="19" t="str">
        <f>IFERROR(VLOOKUP(C877&amp;"",'[2]Retail Price List'!$A$3:$B$103,2,FALSE),"Special Order")</f>
        <v>Special Order</v>
      </c>
      <c r="E877" s="18">
        <f>[2]Trucks!J874</f>
        <v>0</v>
      </c>
      <c r="F877" s="12">
        <f>[2]Trucks!E874</f>
        <v>0</v>
      </c>
      <c r="G877" s="56">
        <f>[2]Trucks!K874</f>
        <v>0</v>
      </c>
      <c r="H877" s="46">
        <f>[2]Trucks!I874</f>
        <v>0</v>
      </c>
      <c r="I877" s="83" t="str">
        <f t="shared" si="65"/>
        <v/>
      </c>
      <c r="J877" s="272" t="str">
        <f>IFERROR(VLOOKUP((D877&amp;C877)&amp;"",'[2]Retail Price List'!$C$4:$F$102,3,FALSE),"")</f>
        <v/>
      </c>
      <c r="K877" s="272">
        <f>IFERROR(IF(BA877="WIP - 30 Days",VLOOKUP(D877,[3]Standard!$B$9:$E$101,4,FALSE),IF(BA877="31-120 Days",VLOOKUP(D877,[3]Standard!$B$9:$F$101,5,FALSE),IF(BA877="121-365 Days",VLOOKUP(D877,[3]Standard!$B$9:$G$101,6,FALSE),VLOOKUP(D877,[3]Standard!$B$9:$H$101,7,FALSE)))),0)</f>
        <v>0</v>
      </c>
      <c r="L877" s="272">
        <f>IFERROR(IF(BA877="WIP - 30 Days",VLOOKUP(D877,[3]Standard!$B$9:$J$101,9,FALSE),IF(BA877="31-120 Days",VLOOKUP(D877,[3]Standard!$B$9:$K$100,10,FALSE),IF(BA877="121-365 Days",VLOOKUP(D877,[3]Standard!$B$9:$L$101,11,FALSE),VLOOKUP(D877,[3]Standard!$B$9:$M$101,12,FALSE)))),0)</f>
        <v>0</v>
      </c>
      <c r="M877" s="269" t="str">
        <f>IFERROR(VLOOKUP((D877&amp;C877)&amp;"",'[2]Retail Price List'!$C$4:$F$102,4,FALSE),"")</f>
        <v/>
      </c>
      <c r="N877" s="269">
        <f>IFERROR(IF(BA877="WIP - 30 Days",VLOOKUP(D877,[3]Extended!$B$9:$E$101,4,FALSE),IF(BA877="31-120 Days",VLOOKUP(D877,[3]Extended!$B$9:$F$101,5,FALSE),IF(BA877="121-365 Days",VLOOKUP(D877,[3]Extended!$B$9:$G$101,6,FALSE),VLOOKUP(D877,[3]Extended!$B$9:$H$101,7,FALSE)))),0)</f>
        <v>0</v>
      </c>
      <c r="O877" s="269">
        <f>IFERROR(IF(BA877="WIP - 30 Days",VLOOKUP(D877,[3]Extended!$B$9:$J$101,9,FALSE),IF(BA877="31-120 Days",VLOOKUP(D877,[3]Extended!$B$9:$K$101,10,FALSE),IF(BA877="121-365 Days",VLOOKUP(D877,[3]Extended!$B$9:$L$101,11,FALSE),VLOOKUP(D877,[3]Extended!$B$9:$M$101,12,FALSE)))),0)</f>
        <v>0</v>
      </c>
      <c r="P877" s="116" t="e">
        <f t="shared" si="66"/>
        <v>#VALUE!</v>
      </c>
      <c r="Q877" s="110" t="e">
        <f>O877-#REF!</f>
        <v>#REF!</v>
      </c>
      <c r="W877" s="311"/>
      <c r="X877" s="311"/>
      <c r="Y877" s="311"/>
      <c r="Z877" s="311"/>
      <c r="AA877" s="311"/>
      <c r="AB877" s="311"/>
      <c r="AC877" s="311"/>
      <c r="AT877" s="88" t="str">
        <f t="shared" si="67"/>
        <v>Special Order0</v>
      </c>
      <c r="AU877" s="89" t="str">
        <f t="shared" si="68"/>
        <v>01-1900</v>
      </c>
      <c r="BA877" s="92" t="str">
        <f t="shared" si="69"/>
        <v/>
      </c>
    </row>
    <row r="878" spans="2:53">
      <c r="B878" s="60">
        <f>[2]Trucks!A875</f>
        <v>0</v>
      </c>
      <c r="C878" s="11">
        <f>[2]Trucks!B875</f>
        <v>0</v>
      </c>
      <c r="D878" s="19" t="str">
        <f>IFERROR(VLOOKUP(C878&amp;"",'[2]Retail Price List'!$A$3:$B$103,2,FALSE),"Special Order")</f>
        <v>Special Order</v>
      </c>
      <c r="E878" s="18">
        <f>[2]Trucks!J875</f>
        <v>0</v>
      </c>
      <c r="F878" s="12">
        <f>[2]Trucks!E875</f>
        <v>0</v>
      </c>
      <c r="G878" s="56">
        <f>[2]Trucks!K875</f>
        <v>0</v>
      </c>
      <c r="H878" s="46">
        <f>[2]Trucks!I875</f>
        <v>0</v>
      </c>
      <c r="I878" s="83" t="str">
        <f t="shared" si="65"/>
        <v/>
      </c>
      <c r="J878" s="272" t="str">
        <f>IFERROR(VLOOKUP((D878&amp;C878)&amp;"",'[2]Retail Price List'!$C$4:$F$102,3,FALSE),"")</f>
        <v/>
      </c>
      <c r="K878" s="272">
        <f>IFERROR(IF(BA878="WIP - 30 Days",VLOOKUP(D878,[3]Standard!$B$9:$E$101,4,FALSE),IF(BA878="31-120 Days",VLOOKUP(D878,[3]Standard!$B$9:$F$101,5,FALSE),IF(BA878="121-365 Days",VLOOKUP(D878,[3]Standard!$B$9:$G$101,6,FALSE),VLOOKUP(D878,[3]Standard!$B$9:$H$101,7,FALSE)))),0)</f>
        <v>0</v>
      </c>
      <c r="L878" s="272">
        <f>IFERROR(IF(BA878="WIP - 30 Days",VLOOKUP(D878,[3]Standard!$B$9:$J$101,9,FALSE),IF(BA878="31-120 Days",VLOOKUP(D878,[3]Standard!$B$9:$K$100,10,FALSE),IF(BA878="121-365 Days",VLOOKUP(D878,[3]Standard!$B$9:$L$101,11,FALSE),VLOOKUP(D878,[3]Standard!$B$9:$M$101,12,FALSE)))),0)</f>
        <v>0</v>
      </c>
      <c r="M878" s="269" t="str">
        <f>IFERROR(VLOOKUP((D878&amp;C878)&amp;"",'[2]Retail Price List'!$C$4:$F$102,4,FALSE),"")</f>
        <v/>
      </c>
      <c r="N878" s="269">
        <f>IFERROR(IF(BA878="WIP - 30 Days",VLOOKUP(D878,[3]Extended!$B$9:$E$101,4,FALSE),IF(BA878="31-120 Days",VLOOKUP(D878,[3]Extended!$B$9:$F$101,5,FALSE),IF(BA878="121-365 Days",VLOOKUP(D878,[3]Extended!$B$9:$G$101,6,FALSE),VLOOKUP(D878,[3]Extended!$B$9:$H$101,7,FALSE)))),0)</f>
        <v>0</v>
      </c>
      <c r="O878" s="269">
        <f>IFERROR(IF(BA878="WIP - 30 Days",VLOOKUP(D878,[3]Extended!$B$9:$J$101,9,FALSE),IF(BA878="31-120 Days",VLOOKUP(D878,[3]Extended!$B$9:$K$101,10,FALSE),IF(BA878="121-365 Days",VLOOKUP(D878,[3]Extended!$B$9:$L$101,11,FALSE),VLOOKUP(D878,[3]Extended!$B$9:$M$101,12,FALSE)))),0)</f>
        <v>0</v>
      </c>
      <c r="P878" s="116" t="e">
        <f t="shared" si="66"/>
        <v>#VALUE!</v>
      </c>
      <c r="Q878" s="110" t="e">
        <f>O878-#REF!</f>
        <v>#REF!</v>
      </c>
      <c r="W878" s="311"/>
      <c r="X878" s="311"/>
      <c r="Y878" s="311"/>
      <c r="Z878" s="311"/>
      <c r="AA878" s="311"/>
      <c r="AB878" s="311"/>
      <c r="AC878" s="311"/>
      <c r="AT878" s="88" t="str">
        <f t="shared" si="67"/>
        <v>Special Order0</v>
      </c>
      <c r="AU878" s="89" t="str">
        <f t="shared" si="68"/>
        <v>01-1900</v>
      </c>
      <c r="BA878" s="92" t="str">
        <f t="shared" si="69"/>
        <v/>
      </c>
    </row>
    <row r="879" spans="2:53">
      <c r="B879" s="60">
        <f>[2]Trucks!A876</f>
        <v>0</v>
      </c>
      <c r="C879" s="11">
        <f>[2]Trucks!B876</f>
        <v>0</v>
      </c>
      <c r="D879" s="19" t="str">
        <f>IFERROR(VLOOKUP(C879&amp;"",'[2]Retail Price List'!$A$3:$B$103,2,FALSE),"Special Order")</f>
        <v>Special Order</v>
      </c>
      <c r="E879" s="18">
        <f>[2]Trucks!J876</f>
        <v>0</v>
      </c>
      <c r="F879" s="12">
        <f>[2]Trucks!E876</f>
        <v>0</v>
      </c>
      <c r="G879" s="56">
        <f>[2]Trucks!K876</f>
        <v>0</v>
      </c>
      <c r="H879" s="46">
        <f>[2]Trucks!I876</f>
        <v>0</v>
      </c>
      <c r="I879" s="83" t="str">
        <f t="shared" si="65"/>
        <v/>
      </c>
      <c r="J879" s="272" t="str">
        <f>IFERROR(VLOOKUP((D879&amp;C879)&amp;"",'[2]Retail Price List'!$C$4:$F$102,3,FALSE),"")</f>
        <v/>
      </c>
      <c r="K879" s="272">
        <f>IFERROR(IF(BA879="WIP - 30 Days",VLOOKUP(D879,[3]Standard!$B$9:$E$101,4,FALSE),IF(BA879="31-120 Days",VLOOKUP(D879,[3]Standard!$B$9:$F$101,5,FALSE),IF(BA879="121-365 Days",VLOOKUP(D879,[3]Standard!$B$9:$G$101,6,FALSE),VLOOKUP(D879,[3]Standard!$B$9:$H$101,7,FALSE)))),0)</f>
        <v>0</v>
      </c>
      <c r="L879" s="272">
        <f>IFERROR(IF(BA879="WIP - 30 Days",VLOOKUP(D879,[3]Standard!$B$9:$J$101,9,FALSE),IF(BA879="31-120 Days",VLOOKUP(D879,[3]Standard!$B$9:$K$100,10,FALSE),IF(BA879="121-365 Days",VLOOKUP(D879,[3]Standard!$B$9:$L$101,11,FALSE),VLOOKUP(D879,[3]Standard!$B$9:$M$101,12,FALSE)))),0)</f>
        <v>0</v>
      </c>
      <c r="M879" s="269" t="str">
        <f>IFERROR(VLOOKUP((D879&amp;C879)&amp;"",'[2]Retail Price List'!$C$4:$F$102,4,FALSE),"")</f>
        <v/>
      </c>
      <c r="N879" s="269">
        <f>IFERROR(IF(BA879="WIP - 30 Days",VLOOKUP(D879,[3]Extended!$B$9:$E$101,4,FALSE),IF(BA879="31-120 Days",VLOOKUP(D879,[3]Extended!$B$9:$F$101,5,FALSE),IF(BA879="121-365 Days",VLOOKUP(D879,[3]Extended!$B$9:$G$101,6,FALSE),VLOOKUP(D879,[3]Extended!$B$9:$H$101,7,FALSE)))),0)</f>
        <v>0</v>
      </c>
      <c r="O879" s="269">
        <f>IFERROR(IF(BA879="WIP - 30 Days",VLOOKUP(D879,[3]Extended!$B$9:$J$101,9,FALSE),IF(BA879="31-120 Days",VLOOKUP(D879,[3]Extended!$B$9:$K$101,10,FALSE),IF(BA879="121-365 Days",VLOOKUP(D879,[3]Extended!$B$9:$L$101,11,FALSE),VLOOKUP(D879,[3]Extended!$B$9:$M$101,12,FALSE)))),0)</f>
        <v>0</v>
      </c>
      <c r="P879" s="116" t="e">
        <f t="shared" si="66"/>
        <v>#VALUE!</v>
      </c>
      <c r="Q879" s="110" t="e">
        <f>O879-#REF!</f>
        <v>#REF!</v>
      </c>
      <c r="W879" s="311"/>
      <c r="X879" s="311"/>
      <c r="Y879" s="311"/>
      <c r="Z879" s="311"/>
      <c r="AA879" s="311"/>
      <c r="AB879" s="311"/>
      <c r="AC879" s="311"/>
      <c r="AT879" s="88" t="str">
        <f t="shared" si="67"/>
        <v>Special Order0</v>
      </c>
      <c r="AU879" s="89" t="str">
        <f t="shared" si="68"/>
        <v>01-1900</v>
      </c>
      <c r="BA879" s="92" t="str">
        <f t="shared" si="69"/>
        <v/>
      </c>
    </row>
    <row r="880" spans="2:53">
      <c r="B880" s="60">
        <f>[2]Trucks!A877</f>
        <v>0</v>
      </c>
      <c r="C880" s="11">
        <f>[2]Trucks!B877</f>
        <v>0</v>
      </c>
      <c r="D880" s="19" t="str">
        <f>IFERROR(VLOOKUP(C880&amp;"",'[2]Retail Price List'!$A$3:$B$103,2,FALSE),"Special Order")</f>
        <v>Special Order</v>
      </c>
      <c r="E880" s="18">
        <f>[2]Trucks!J877</f>
        <v>0</v>
      </c>
      <c r="F880" s="12">
        <f>[2]Trucks!E877</f>
        <v>0</v>
      </c>
      <c r="G880" s="56">
        <f>[2]Trucks!K877</f>
        <v>0</v>
      </c>
      <c r="H880" s="46">
        <f>[2]Trucks!I877</f>
        <v>0</v>
      </c>
      <c r="I880" s="83" t="str">
        <f t="shared" si="65"/>
        <v/>
      </c>
      <c r="J880" s="272" t="str">
        <f>IFERROR(VLOOKUP((D880&amp;C880)&amp;"",'[2]Retail Price List'!$C$4:$F$102,3,FALSE),"")</f>
        <v/>
      </c>
      <c r="K880" s="272">
        <f>IFERROR(IF(BA880="WIP - 30 Days",VLOOKUP(D880,[3]Standard!$B$9:$E$101,4,FALSE),IF(BA880="31-120 Days",VLOOKUP(D880,[3]Standard!$B$9:$F$101,5,FALSE),IF(BA880="121-365 Days",VLOOKUP(D880,[3]Standard!$B$9:$G$101,6,FALSE),VLOOKUP(D880,[3]Standard!$B$9:$H$101,7,FALSE)))),0)</f>
        <v>0</v>
      </c>
      <c r="L880" s="272">
        <f>IFERROR(IF(BA880="WIP - 30 Days",VLOOKUP(D880,[3]Standard!$B$9:$J$101,9,FALSE),IF(BA880="31-120 Days",VLOOKUP(D880,[3]Standard!$B$9:$K$100,10,FALSE),IF(BA880="121-365 Days",VLOOKUP(D880,[3]Standard!$B$9:$L$101,11,FALSE),VLOOKUP(D880,[3]Standard!$B$9:$M$101,12,FALSE)))),0)</f>
        <v>0</v>
      </c>
      <c r="M880" s="269" t="str">
        <f>IFERROR(VLOOKUP((D880&amp;C880)&amp;"",'[2]Retail Price List'!$C$4:$F$102,4,FALSE),"")</f>
        <v/>
      </c>
      <c r="N880" s="269">
        <f>IFERROR(IF(BA880="WIP - 30 Days",VLOOKUP(D880,[3]Extended!$B$9:$E$101,4,FALSE),IF(BA880="31-120 Days",VLOOKUP(D880,[3]Extended!$B$9:$F$101,5,FALSE),IF(BA880="121-365 Days",VLOOKUP(D880,[3]Extended!$B$9:$G$101,6,FALSE),VLOOKUP(D880,[3]Extended!$B$9:$H$101,7,FALSE)))),0)</f>
        <v>0</v>
      </c>
      <c r="O880" s="269">
        <f>IFERROR(IF(BA880="WIP - 30 Days",VLOOKUP(D880,[3]Extended!$B$9:$J$101,9,FALSE),IF(BA880="31-120 Days",VLOOKUP(D880,[3]Extended!$B$9:$K$101,10,FALSE),IF(BA880="121-365 Days",VLOOKUP(D880,[3]Extended!$B$9:$L$101,11,FALSE),VLOOKUP(D880,[3]Extended!$B$9:$M$101,12,FALSE)))),0)</f>
        <v>0</v>
      </c>
      <c r="P880" s="116" t="e">
        <f t="shared" si="66"/>
        <v>#VALUE!</v>
      </c>
      <c r="Q880" s="110" t="e">
        <f>O880-#REF!</f>
        <v>#REF!</v>
      </c>
      <c r="W880" s="311"/>
      <c r="X880" s="311"/>
      <c r="Y880" s="311"/>
      <c r="Z880" s="311"/>
      <c r="AA880" s="311"/>
      <c r="AB880" s="311"/>
      <c r="AC880" s="311"/>
      <c r="AT880" s="88" t="str">
        <f t="shared" si="67"/>
        <v>Special Order0</v>
      </c>
      <c r="AU880" s="89" t="str">
        <f t="shared" si="68"/>
        <v>01-1900</v>
      </c>
      <c r="BA880" s="92" t="str">
        <f t="shared" si="69"/>
        <v/>
      </c>
    </row>
    <row r="881" spans="2:53">
      <c r="B881" s="60">
        <f>[2]Trucks!A878</f>
        <v>0</v>
      </c>
      <c r="C881" s="11">
        <f>[2]Trucks!B878</f>
        <v>0</v>
      </c>
      <c r="D881" s="19" t="str">
        <f>IFERROR(VLOOKUP(C881&amp;"",'[2]Retail Price List'!$A$3:$B$103,2,FALSE),"Special Order")</f>
        <v>Special Order</v>
      </c>
      <c r="E881" s="18">
        <f>[2]Trucks!J878</f>
        <v>0</v>
      </c>
      <c r="F881" s="12">
        <f>[2]Trucks!E878</f>
        <v>0</v>
      </c>
      <c r="G881" s="56">
        <f>[2]Trucks!K878</f>
        <v>0</v>
      </c>
      <c r="H881" s="46">
        <f>[2]Trucks!I878</f>
        <v>0</v>
      </c>
      <c r="I881" s="83" t="str">
        <f t="shared" si="65"/>
        <v/>
      </c>
      <c r="J881" s="272" t="str">
        <f>IFERROR(VLOOKUP((D881&amp;C881)&amp;"",'[2]Retail Price List'!$C$4:$F$102,3,FALSE),"")</f>
        <v/>
      </c>
      <c r="K881" s="272">
        <f>IFERROR(IF(BA881="WIP - 30 Days",VLOOKUP(D881,[3]Standard!$B$9:$E$101,4,FALSE),IF(BA881="31-120 Days",VLOOKUP(D881,[3]Standard!$B$9:$F$101,5,FALSE),IF(BA881="121-365 Days",VLOOKUP(D881,[3]Standard!$B$9:$G$101,6,FALSE),VLOOKUP(D881,[3]Standard!$B$9:$H$101,7,FALSE)))),0)</f>
        <v>0</v>
      </c>
      <c r="L881" s="272">
        <f>IFERROR(IF(BA881="WIP - 30 Days",VLOOKUP(D881,[3]Standard!$B$9:$J$101,9,FALSE),IF(BA881="31-120 Days",VLOOKUP(D881,[3]Standard!$B$9:$K$100,10,FALSE),IF(BA881="121-365 Days",VLOOKUP(D881,[3]Standard!$B$9:$L$101,11,FALSE),VLOOKUP(D881,[3]Standard!$B$9:$M$101,12,FALSE)))),0)</f>
        <v>0</v>
      </c>
      <c r="M881" s="269" t="str">
        <f>IFERROR(VLOOKUP((D881&amp;C881)&amp;"",'[2]Retail Price List'!$C$4:$F$102,4,FALSE),"")</f>
        <v/>
      </c>
      <c r="N881" s="269">
        <f>IFERROR(IF(BA881="WIP - 30 Days",VLOOKUP(D881,[3]Extended!$B$9:$E$101,4,FALSE),IF(BA881="31-120 Days",VLOOKUP(D881,[3]Extended!$B$9:$F$101,5,FALSE),IF(BA881="121-365 Days",VLOOKUP(D881,[3]Extended!$B$9:$G$101,6,FALSE),VLOOKUP(D881,[3]Extended!$B$9:$H$101,7,FALSE)))),0)</f>
        <v>0</v>
      </c>
      <c r="O881" s="269">
        <f>IFERROR(IF(BA881="WIP - 30 Days",VLOOKUP(D881,[3]Extended!$B$9:$J$101,9,FALSE),IF(BA881="31-120 Days",VLOOKUP(D881,[3]Extended!$B$9:$K$101,10,FALSE),IF(BA881="121-365 Days",VLOOKUP(D881,[3]Extended!$B$9:$L$101,11,FALSE),VLOOKUP(D881,[3]Extended!$B$9:$M$101,12,FALSE)))),0)</f>
        <v>0</v>
      </c>
      <c r="P881" s="116" t="e">
        <f t="shared" si="66"/>
        <v>#VALUE!</v>
      </c>
      <c r="Q881" s="110" t="e">
        <f>O881-#REF!</f>
        <v>#REF!</v>
      </c>
      <c r="W881" s="311"/>
      <c r="X881" s="311"/>
      <c r="Y881" s="311"/>
      <c r="Z881" s="311"/>
      <c r="AA881" s="311"/>
      <c r="AB881" s="311"/>
      <c r="AC881" s="311"/>
      <c r="AT881" s="88" t="str">
        <f t="shared" si="67"/>
        <v>Special Order0</v>
      </c>
      <c r="AU881" s="89" t="str">
        <f t="shared" si="68"/>
        <v>01-1900</v>
      </c>
      <c r="BA881" s="92" t="str">
        <f t="shared" si="69"/>
        <v/>
      </c>
    </row>
    <row r="882" spans="2:53">
      <c r="B882" s="60">
        <f>[2]Trucks!A879</f>
        <v>0</v>
      </c>
      <c r="C882" s="11">
        <f>[2]Trucks!B879</f>
        <v>0</v>
      </c>
      <c r="D882" s="19" t="str">
        <f>IFERROR(VLOOKUP(C882&amp;"",'[2]Retail Price List'!$A$3:$B$103,2,FALSE),"Special Order")</f>
        <v>Special Order</v>
      </c>
      <c r="E882" s="18">
        <f>[2]Trucks!J879</f>
        <v>0</v>
      </c>
      <c r="F882" s="12">
        <f>[2]Trucks!E879</f>
        <v>0</v>
      </c>
      <c r="G882" s="56">
        <f>[2]Trucks!K879</f>
        <v>0</v>
      </c>
      <c r="H882" s="46">
        <f>[2]Trucks!I879</f>
        <v>0</v>
      </c>
      <c r="I882" s="83" t="str">
        <f t="shared" si="65"/>
        <v/>
      </c>
      <c r="J882" s="272" t="str">
        <f>IFERROR(VLOOKUP((D882&amp;C882)&amp;"",'[2]Retail Price List'!$C$4:$F$102,3,FALSE),"")</f>
        <v/>
      </c>
      <c r="K882" s="272">
        <f>IFERROR(IF(BA882="WIP - 30 Days",VLOOKUP(D882,[3]Standard!$B$9:$E$101,4,FALSE),IF(BA882="31-120 Days",VLOOKUP(D882,[3]Standard!$B$9:$F$101,5,FALSE),IF(BA882="121-365 Days",VLOOKUP(D882,[3]Standard!$B$9:$G$101,6,FALSE),VLOOKUP(D882,[3]Standard!$B$9:$H$101,7,FALSE)))),0)</f>
        <v>0</v>
      </c>
      <c r="L882" s="272">
        <f>IFERROR(IF(BA882="WIP - 30 Days",VLOOKUP(D882,[3]Standard!$B$9:$J$101,9,FALSE),IF(BA882="31-120 Days",VLOOKUP(D882,[3]Standard!$B$9:$K$100,10,FALSE),IF(BA882="121-365 Days",VLOOKUP(D882,[3]Standard!$B$9:$L$101,11,FALSE),VLOOKUP(D882,[3]Standard!$B$9:$M$101,12,FALSE)))),0)</f>
        <v>0</v>
      </c>
      <c r="M882" s="269" t="str">
        <f>IFERROR(VLOOKUP((D882&amp;C882)&amp;"",'[2]Retail Price List'!$C$4:$F$102,4,FALSE),"")</f>
        <v/>
      </c>
      <c r="N882" s="269">
        <f>IFERROR(IF(BA882="WIP - 30 Days",VLOOKUP(D882,[3]Extended!$B$9:$E$101,4,FALSE),IF(BA882="31-120 Days",VLOOKUP(D882,[3]Extended!$B$9:$F$101,5,FALSE),IF(BA882="121-365 Days",VLOOKUP(D882,[3]Extended!$B$9:$G$101,6,FALSE),VLOOKUP(D882,[3]Extended!$B$9:$H$101,7,FALSE)))),0)</f>
        <v>0</v>
      </c>
      <c r="O882" s="269">
        <f>IFERROR(IF(BA882="WIP - 30 Days",VLOOKUP(D882,[3]Extended!$B$9:$J$101,9,FALSE),IF(BA882="31-120 Days",VLOOKUP(D882,[3]Extended!$B$9:$K$101,10,FALSE),IF(BA882="121-365 Days",VLOOKUP(D882,[3]Extended!$B$9:$L$101,11,FALSE),VLOOKUP(D882,[3]Extended!$B$9:$M$101,12,FALSE)))),0)</f>
        <v>0</v>
      </c>
      <c r="P882" s="116" t="e">
        <f t="shared" si="66"/>
        <v>#VALUE!</v>
      </c>
      <c r="Q882" s="110" t="e">
        <f>O882-#REF!</f>
        <v>#REF!</v>
      </c>
      <c r="W882" s="311"/>
      <c r="X882" s="311"/>
      <c r="Y882" s="311"/>
      <c r="Z882" s="311"/>
      <c r="AA882" s="311"/>
      <c r="AB882" s="311"/>
      <c r="AC882" s="311"/>
      <c r="AT882" s="88" t="str">
        <f t="shared" si="67"/>
        <v>Special Order0</v>
      </c>
      <c r="AU882" s="89" t="str">
        <f t="shared" si="68"/>
        <v>01-1900</v>
      </c>
      <c r="BA882" s="92" t="str">
        <f t="shared" si="69"/>
        <v/>
      </c>
    </row>
    <row r="883" spans="2:53">
      <c r="B883" s="60">
        <f>[2]Trucks!A880</f>
        <v>0</v>
      </c>
      <c r="C883" s="11">
        <f>[2]Trucks!B880</f>
        <v>0</v>
      </c>
      <c r="D883" s="19" t="str">
        <f>IFERROR(VLOOKUP(C883&amp;"",'[2]Retail Price List'!$A$3:$B$103,2,FALSE),"Special Order")</f>
        <v>Special Order</v>
      </c>
      <c r="E883" s="18">
        <f>[2]Trucks!J880</f>
        <v>0</v>
      </c>
      <c r="F883" s="12">
        <f>[2]Trucks!E880</f>
        <v>0</v>
      </c>
      <c r="G883" s="56">
        <f>[2]Trucks!K880</f>
        <v>0</v>
      </c>
      <c r="H883" s="46">
        <f>[2]Trucks!I880</f>
        <v>0</v>
      </c>
      <c r="I883" s="83" t="str">
        <f t="shared" si="65"/>
        <v/>
      </c>
      <c r="J883" s="272" t="str">
        <f>IFERROR(VLOOKUP((D883&amp;C883)&amp;"",'[2]Retail Price List'!$C$4:$F$102,3,FALSE),"")</f>
        <v/>
      </c>
      <c r="K883" s="272">
        <f>IFERROR(IF(BA883="WIP - 30 Days",VLOOKUP(D883,[3]Standard!$B$9:$E$101,4,FALSE),IF(BA883="31-120 Days",VLOOKUP(D883,[3]Standard!$B$9:$F$101,5,FALSE),IF(BA883="121-365 Days",VLOOKUP(D883,[3]Standard!$B$9:$G$101,6,FALSE),VLOOKUP(D883,[3]Standard!$B$9:$H$101,7,FALSE)))),0)</f>
        <v>0</v>
      </c>
      <c r="L883" s="272">
        <f>IFERROR(IF(BA883="WIP - 30 Days",VLOOKUP(D883,[3]Standard!$B$9:$J$101,9,FALSE),IF(BA883="31-120 Days",VLOOKUP(D883,[3]Standard!$B$9:$K$100,10,FALSE),IF(BA883="121-365 Days",VLOOKUP(D883,[3]Standard!$B$9:$L$101,11,FALSE),VLOOKUP(D883,[3]Standard!$B$9:$M$101,12,FALSE)))),0)</f>
        <v>0</v>
      </c>
      <c r="M883" s="269" t="str">
        <f>IFERROR(VLOOKUP((D883&amp;C883)&amp;"",'[2]Retail Price List'!$C$4:$F$102,4,FALSE),"")</f>
        <v/>
      </c>
      <c r="N883" s="269">
        <f>IFERROR(IF(BA883="WIP - 30 Days",VLOOKUP(D883,[3]Extended!$B$9:$E$101,4,FALSE),IF(BA883="31-120 Days",VLOOKUP(D883,[3]Extended!$B$9:$F$101,5,FALSE),IF(BA883="121-365 Days",VLOOKUP(D883,[3]Extended!$B$9:$G$101,6,FALSE),VLOOKUP(D883,[3]Extended!$B$9:$H$101,7,FALSE)))),0)</f>
        <v>0</v>
      </c>
      <c r="O883" s="269">
        <f>IFERROR(IF(BA883="WIP - 30 Days",VLOOKUP(D883,[3]Extended!$B$9:$J$101,9,FALSE),IF(BA883="31-120 Days",VLOOKUP(D883,[3]Extended!$B$9:$K$101,10,FALSE),IF(BA883="121-365 Days",VLOOKUP(D883,[3]Extended!$B$9:$L$101,11,FALSE),VLOOKUP(D883,[3]Extended!$B$9:$M$101,12,FALSE)))),0)</f>
        <v>0</v>
      </c>
      <c r="P883" s="116" t="e">
        <f t="shared" si="66"/>
        <v>#VALUE!</v>
      </c>
      <c r="Q883" s="110" t="e">
        <f>O883-#REF!</f>
        <v>#REF!</v>
      </c>
      <c r="W883" s="311"/>
      <c r="X883" s="311"/>
      <c r="Y883" s="311"/>
      <c r="Z883" s="311"/>
      <c r="AA883" s="311"/>
      <c r="AB883" s="311"/>
      <c r="AC883" s="311"/>
      <c r="AT883" s="88" t="str">
        <f t="shared" si="67"/>
        <v>Special Order0</v>
      </c>
      <c r="AU883" s="89" t="str">
        <f t="shared" si="68"/>
        <v>01-1900</v>
      </c>
      <c r="BA883" s="92" t="str">
        <f t="shared" si="69"/>
        <v/>
      </c>
    </row>
    <row r="884" spans="2:53">
      <c r="B884" s="60">
        <f>[2]Trucks!A881</f>
        <v>0</v>
      </c>
      <c r="C884" s="11">
        <f>[2]Trucks!B881</f>
        <v>0</v>
      </c>
      <c r="D884" s="19" t="str">
        <f>IFERROR(VLOOKUP(C884&amp;"",'[2]Retail Price List'!$A$3:$B$103,2,FALSE),"Special Order")</f>
        <v>Special Order</v>
      </c>
      <c r="E884" s="18">
        <f>[2]Trucks!J881</f>
        <v>0</v>
      </c>
      <c r="F884" s="12">
        <f>[2]Trucks!E881</f>
        <v>0</v>
      </c>
      <c r="G884" s="56">
        <f>[2]Trucks!K881</f>
        <v>0</v>
      </c>
      <c r="H884" s="46">
        <f>[2]Trucks!I881</f>
        <v>0</v>
      </c>
      <c r="I884" s="83" t="str">
        <f t="shared" si="65"/>
        <v/>
      </c>
      <c r="J884" s="272" t="str">
        <f>IFERROR(VLOOKUP((D884&amp;C884)&amp;"",'[2]Retail Price List'!$C$4:$F$102,3,FALSE),"")</f>
        <v/>
      </c>
      <c r="K884" s="272">
        <f>IFERROR(IF(BA884="WIP - 30 Days",VLOOKUP(D884,[3]Standard!$B$9:$E$101,4,FALSE),IF(BA884="31-120 Days",VLOOKUP(D884,[3]Standard!$B$9:$F$101,5,FALSE),IF(BA884="121-365 Days",VLOOKUP(D884,[3]Standard!$B$9:$G$101,6,FALSE),VLOOKUP(D884,[3]Standard!$B$9:$H$101,7,FALSE)))),0)</f>
        <v>0</v>
      </c>
      <c r="L884" s="272">
        <f>IFERROR(IF(BA884="WIP - 30 Days",VLOOKUP(D884,[3]Standard!$B$9:$J$101,9,FALSE),IF(BA884="31-120 Days",VLOOKUP(D884,[3]Standard!$B$9:$K$100,10,FALSE),IF(BA884="121-365 Days",VLOOKUP(D884,[3]Standard!$B$9:$L$101,11,FALSE),VLOOKUP(D884,[3]Standard!$B$9:$M$101,12,FALSE)))),0)</f>
        <v>0</v>
      </c>
      <c r="M884" s="269" t="str">
        <f>IFERROR(VLOOKUP((D884&amp;C884)&amp;"",'[2]Retail Price List'!$C$4:$F$102,4,FALSE),"")</f>
        <v/>
      </c>
      <c r="N884" s="269">
        <f>IFERROR(IF(BA884="WIP - 30 Days",VLOOKUP(D884,[3]Extended!$B$9:$E$101,4,FALSE),IF(BA884="31-120 Days",VLOOKUP(D884,[3]Extended!$B$9:$F$101,5,FALSE),IF(BA884="121-365 Days",VLOOKUP(D884,[3]Extended!$B$9:$G$101,6,FALSE),VLOOKUP(D884,[3]Extended!$B$9:$H$101,7,FALSE)))),0)</f>
        <v>0</v>
      </c>
      <c r="O884" s="269">
        <f>IFERROR(IF(BA884="WIP - 30 Days",VLOOKUP(D884,[3]Extended!$B$9:$J$101,9,FALSE),IF(BA884="31-120 Days",VLOOKUP(D884,[3]Extended!$B$9:$K$101,10,FALSE),IF(BA884="121-365 Days",VLOOKUP(D884,[3]Extended!$B$9:$L$101,11,FALSE),VLOOKUP(D884,[3]Extended!$B$9:$M$101,12,FALSE)))),0)</f>
        <v>0</v>
      </c>
      <c r="P884" s="116" t="e">
        <f t="shared" si="66"/>
        <v>#VALUE!</v>
      </c>
      <c r="Q884" s="110" t="e">
        <f>O884-#REF!</f>
        <v>#REF!</v>
      </c>
      <c r="W884" s="311"/>
      <c r="X884" s="311"/>
      <c r="Y884" s="311"/>
      <c r="Z884" s="311"/>
      <c r="AA884" s="311"/>
      <c r="AB884" s="311"/>
      <c r="AC884" s="311"/>
      <c r="AT884" s="88" t="str">
        <f t="shared" si="67"/>
        <v>Special Order0</v>
      </c>
      <c r="AU884" s="89" t="str">
        <f t="shared" si="68"/>
        <v>01-1900</v>
      </c>
      <c r="BA884" s="92" t="str">
        <f t="shared" si="69"/>
        <v/>
      </c>
    </row>
    <row r="885" spans="2:53">
      <c r="B885" s="60">
        <f>[2]Trucks!A882</f>
        <v>0</v>
      </c>
      <c r="C885" s="11">
        <f>[2]Trucks!B882</f>
        <v>0</v>
      </c>
      <c r="D885" s="19" t="str">
        <f>IFERROR(VLOOKUP(C885&amp;"",'[2]Retail Price List'!$A$3:$B$103,2,FALSE),"Special Order")</f>
        <v>Special Order</v>
      </c>
      <c r="E885" s="18">
        <f>[2]Trucks!J882</f>
        <v>0</v>
      </c>
      <c r="F885" s="12">
        <f>[2]Trucks!E882</f>
        <v>0</v>
      </c>
      <c r="G885" s="56">
        <f>[2]Trucks!K882</f>
        <v>0</v>
      </c>
      <c r="H885" s="46">
        <f>[2]Trucks!I882</f>
        <v>0</v>
      </c>
      <c r="I885" s="83" t="str">
        <f t="shared" si="65"/>
        <v/>
      </c>
      <c r="J885" s="272" t="str">
        <f>IFERROR(VLOOKUP((D885&amp;C885)&amp;"",'[2]Retail Price List'!$C$4:$F$102,3,FALSE),"")</f>
        <v/>
      </c>
      <c r="K885" s="272">
        <f>IFERROR(IF(BA885="WIP - 30 Days",VLOOKUP(D885,[3]Standard!$B$9:$E$101,4,FALSE),IF(BA885="31-120 Days",VLOOKUP(D885,[3]Standard!$B$9:$F$101,5,FALSE),IF(BA885="121-365 Days",VLOOKUP(D885,[3]Standard!$B$9:$G$101,6,FALSE),VLOOKUP(D885,[3]Standard!$B$9:$H$101,7,FALSE)))),0)</f>
        <v>0</v>
      </c>
      <c r="L885" s="272">
        <f>IFERROR(IF(BA885="WIP - 30 Days",VLOOKUP(D885,[3]Standard!$B$9:$J$101,9,FALSE),IF(BA885="31-120 Days",VLOOKUP(D885,[3]Standard!$B$9:$K$100,10,FALSE),IF(BA885="121-365 Days",VLOOKUP(D885,[3]Standard!$B$9:$L$101,11,FALSE),VLOOKUP(D885,[3]Standard!$B$9:$M$101,12,FALSE)))),0)</f>
        <v>0</v>
      </c>
      <c r="M885" s="269" t="str">
        <f>IFERROR(VLOOKUP((D885&amp;C885)&amp;"",'[2]Retail Price List'!$C$4:$F$102,4,FALSE),"")</f>
        <v/>
      </c>
      <c r="N885" s="269">
        <f>IFERROR(IF(BA885="WIP - 30 Days",VLOOKUP(D885,[3]Extended!$B$9:$E$101,4,FALSE),IF(BA885="31-120 Days",VLOOKUP(D885,[3]Extended!$B$9:$F$101,5,FALSE),IF(BA885="121-365 Days",VLOOKUP(D885,[3]Extended!$B$9:$G$101,6,FALSE),VLOOKUP(D885,[3]Extended!$B$9:$H$101,7,FALSE)))),0)</f>
        <v>0</v>
      </c>
      <c r="O885" s="269">
        <f>IFERROR(IF(BA885="WIP - 30 Days",VLOOKUP(D885,[3]Extended!$B$9:$J$101,9,FALSE),IF(BA885="31-120 Days",VLOOKUP(D885,[3]Extended!$B$9:$K$101,10,FALSE),IF(BA885="121-365 Days",VLOOKUP(D885,[3]Extended!$B$9:$L$101,11,FALSE),VLOOKUP(D885,[3]Extended!$B$9:$M$101,12,FALSE)))),0)</f>
        <v>0</v>
      </c>
      <c r="P885" s="116" t="e">
        <f t="shared" si="66"/>
        <v>#VALUE!</v>
      </c>
      <c r="Q885" s="110" t="e">
        <f>O885-#REF!</f>
        <v>#REF!</v>
      </c>
      <c r="W885" s="311"/>
      <c r="X885" s="311"/>
      <c r="Y885" s="311"/>
      <c r="Z885" s="311"/>
      <c r="AA885" s="311"/>
      <c r="AB885" s="311"/>
      <c r="AC885" s="311"/>
      <c r="AT885" s="88" t="str">
        <f t="shared" si="67"/>
        <v>Special Order0</v>
      </c>
      <c r="AU885" s="89" t="str">
        <f t="shared" si="68"/>
        <v>01-1900</v>
      </c>
      <c r="BA885" s="92" t="str">
        <f t="shared" si="69"/>
        <v/>
      </c>
    </row>
    <row r="886" spans="2:53">
      <c r="B886" s="60">
        <f>[2]Trucks!A883</f>
        <v>0</v>
      </c>
      <c r="C886" s="11">
        <f>[2]Trucks!B883</f>
        <v>0</v>
      </c>
      <c r="D886" s="19" t="str">
        <f>IFERROR(VLOOKUP(C886&amp;"",'[2]Retail Price List'!$A$3:$B$103,2,FALSE),"Special Order")</f>
        <v>Special Order</v>
      </c>
      <c r="E886" s="18">
        <f>[2]Trucks!J883</f>
        <v>0</v>
      </c>
      <c r="F886" s="12">
        <f>[2]Trucks!E883</f>
        <v>0</v>
      </c>
      <c r="G886" s="56">
        <f>[2]Trucks!K883</f>
        <v>0</v>
      </c>
      <c r="H886" s="46">
        <f>[2]Trucks!I883</f>
        <v>0</v>
      </c>
      <c r="I886" s="83" t="str">
        <f t="shared" si="65"/>
        <v/>
      </c>
      <c r="J886" s="272" t="str">
        <f>IFERROR(VLOOKUP((D886&amp;C886)&amp;"",'[2]Retail Price List'!$C$4:$F$102,3,FALSE),"")</f>
        <v/>
      </c>
      <c r="K886" s="272">
        <f>IFERROR(IF(BA886="WIP - 30 Days",VLOOKUP(D886,[3]Standard!$B$9:$E$101,4,FALSE),IF(BA886="31-120 Days",VLOOKUP(D886,[3]Standard!$B$9:$F$101,5,FALSE),IF(BA886="121-365 Days",VLOOKUP(D886,[3]Standard!$B$9:$G$101,6,FALSE),VLOOKUP(D886,[3]Standard!$B$9:$H$101,7,FALSE)))),0)</f>
        <v>0</v>
      </c>
      <c r="L886" s="272">
        <f>IFERROR(IF(BA886="WIP - 30 Days",VLOOKUP(D886,[3]Standard!$B$9:$J$101,9,FALSE),IF(BA886="31-120 Days",VLOOKUP(D886,[3]Standard!$B$9:$K$100,10,FALSE),IF(BA886="121-365 Days",VLOOKUP(D886,[3]Standard!$B$9:$L$101,11,FALSE),VLOOKUP(D886,[3]Standard!$B$9:$M$101,12,FALSE)))),0)</f>
        <v>0</v>
      </c>
      <c r="M886" s="269" t="str">
        <f>IFERROR(VLOOKUP((D886&amp;C886)&amp;"",'[2]Retail Price List'!$C$4:$F$102,4,FALSE),"")</f>
        <v/>
      </c>
      <c r="N886" s="269">
        <f>IFERROR(IF(BA886="WIP - 30 Days",VLOOKUP(D886,[3]Extended!$B$9:$E$101,4,FALSE),IF(BA886="31-120 Days",VLOOKUP(D886,[3]Extended!$B$9:$F$101,5,FALSE),IF(BA886="121-365 Days",VLOOKUP(D886,[3]Extended!$B$9:$G$101,6,FALSE),VLOOKUP(D886,[3]Extended!$B$9:$H$101,7,FALSE)))),0)</f>
        <v>0</v>
      </c>
      <c r="O886" s="269">
        <f>IFERROR(IF(BA886="WIP - 30 Days",VLOOKUP(D886,[3]Extended!$B$9:$J$101,9,FALSE),IF(BA886="31-120 Days",VLOOKUP(D886,[3]Extended!$B$9:$K$101,10,FALSE),IF(BA886="121-365 Days",VLOOKUP(D886,[3]Extended!$B$9:$L$101,11,FALSE),VLOOKUP(D886,[3]Extended!$B$9:$M$101,12,FALSE)))),0)</f>
        <v>0</v>
      </c>
      <c r="P886" s="116" t="e">
        <f t="shared" si="66"/>
        <v>#VALUE!</v>
      </c>
      <c r="Q886" s="110" t="e">
        <f>O886-#REF!</f>
        <v>#REF!</v>
      </c>
      <c r="W886" s="311"/>
      <c r="X886" s="311"/>
      <c r="Y886" s="311"/>
      <c r="Z886" s="311"/>
      <c r="AA886" s="311"/>
      <c r="AB886" s="311"/>
      <c r="AC886" s="311"/>
      <c r="AT886" s="88" t="str">
        <f t="shared" si="67"/>
        <v>Special Order0</v>
      </c>
      <c r="AU886" s="89" t="str">
        <f t="shared" si="68"/>
        <v>01-1900</v>
      </c>
      <c r="BA886" s="92" t="str">
        <f t="shared" si="69"/>
        <v/>
      </c>
    </row>
    <row r="887" spans="2:53">
      <c r="B887" s="60">
        <f>[2]Trucks!A884</f>
        <v>0</v>
      </c>
      <c r="C887" s="11">
        <f>[2]Trucks!B884</f>
        <v>0</v>
      </c>
      <c r="D887" s="19" t="str">
        <f>IFERROR(VLOOKUP(C887&amp;"",'[2]Retail Price List'!$A$3:$B$103,2,FALSE),"Special Order")</f>
        <v>Special Order</v>
      </c>
      <c r="E887" s="18">
        <f>[2]Trucks!J884</f>
        <v>0</v>
      </c>
      <c r="F887" s="12">
        <f>[2]Trucks!E884</f>
        <v>0</v>
      </c>
      <c r="G887" s="56">
        <f>[2]Trucks!K884</f>
        <v>0</v>
      </c>
      <c r="H887" s="46">
        <f>[2]Trucks!I884</f>
        <v>0</v>
      </c>
      <c r="I887" s="83" t="str">
        <f t="shared" si="65"/>
        <v/>
      </c>
      <c r="J887" s="272" t="str">
        <f>IFERROR(VLOOKUP((D887&amp;C887)&amp;"",'[2]Retail Price List'!$C$4:$F$102,3,FALSE),"")</f>
        <v/>
      </c>
      <c r="K887" s="272">
        <f>IFERROR(IF(BA887="WIP - 30 Days",VLOOKUP(D887,[3]Standard!$B$9:$E$101,4,FALSE),IF(BA887="31-120 Days",VLOOKUP(D887,[3]Standard!$B$9:$F$101,5,FALSE),IF(BA887="121-365 Days",VLOOKUP(D887,[3]Standard!$B$9:$G$101,6,FALSE),VLOOKUP(D887,[3]Standard!$B$9:$H$101,7,FALSE)))),0)</f>
        <v>0</v>
      </c>
      <c r="L887" s="272">
        <f>IFERROR(IF(BA887="WIP - 30 Days",VLOOKUP(D887,[3]Standard!$B$9:$J$101,9,FALSE),IF(BA887="31-120 Days",VLOOKUP(D887,[3]Standard!$B$9:$K$100,10,FALSE),IF(BA887="121-365 Days",VLOOKUP(D887,[3]Standard!$B$9:$L$101,11,FALSE),VLOOKUP(D887,[3]Standard!$B$9:$M$101,12,FALSE)))),0)</f>
        <v>0</v>
      </c>
      <c r="M887" s="269" t="str">
        <f>IFERROR(VLOOKUP((D887&amp;C887)&amp;"",'[2]Retail Price List'!$C$4:$F$102,4,FALSE),"")</f>
        <v/>
      </c>
      <c r="N887" s="269">
        <f>IFERROR(IF(BA887="WIP - 30 Days",VLOOKUP(D887,[3]Extended!$B$9:$E$101,4,FALSE),IF(BA887="31-120 Days",VLOOKUP(D887,[3]Extended!$B$9:$F$101,5,FALSE),IF(BA887="121-365 Days",VLOOKUP(D887,[3]Extended!$B$9:$G$101,6,FALSE),VLOOKUP(D887,[3]Extended!$B$9:$H$101,7,FALSE)))),0)</f>
        <v>0</v>
      </c>
      <c r="O887" s="269">
        <f>IFERROR(IF(BA887="WIP - 30 Days",VLOOKUP(D887,[3]Extended!$B$9:$J$101,9,FALSE),IF(BA887="31-120 Days",VLOOKUP(D887,[3]Extended!$B$9:$K$101,10,FALSE),IF(BA887="121-365 Days",VLOOKUP(D887,[3]Extended!$B$9:$L$101,11,FALSE),VLOOKUP(D887,[3]Extended!$B$9:$M$101,12,FALSE)))),0)</f>
        <v>0</v>
      </c>
      <c r="P887" s="116" t="e">
        <f t="shared" si="66"/>
        <v>#VALUE!</v>
      </c>
      <c r="Q887" s="110" t="e">
        <f>O887-#REF!</f>
        <v>#REF!</v>
      </c>
      <c r="W887" s="311"/>
      <c r="X887" s="311"/>
      <c r="Y887" s="311"/>
      <c r="Z887" s="311"/>
      <c r="AA887" s="311"/>
      <c r="AB887" s="311"/>
      <c r="AC887" s="311"/>
      <c r="AT887" s="88" t="str">
        <f t="shared" si="67"/>
        <v>Special Order0</v>
      </c>
      <c r="AU887" s="89" t="str">
        <f t="shared" si="68"/>
        <v>01-1900</v>
      </c>
      <c r="BA887" s="92" t="str">
        <f t="shared" si="69"/>
        <v/>
      </c>
    </row>
    <row r="888" spans="2:53">
      <c r="B888" s="60">
        <f>[2]Trucks!A885</f>
        <v>0</v>
      </c>
      <c r="C888" s="11">
        <f>[2]Trucks!B885</f>
        <v>0</v>
      </c>
      <c r="D888" s="19" t="str">
        <f>IFERROR(VLOOKUP(C888&amp;"",'[2]Retail Price List'!$A$3:$B$103,2,FALSE),"Special Order")</f>
        <v>Special Order</v>
      </c>
      <c r="E888" s="18">
        <f>[2]Trucks!J885</f>
        <v>0</v>
      </c>
      <c r="F888" s="12">
        <f>[2]Trucks!E885</f>
        <v>0</v>
      </c>
      <c r="G888" s="56">
        <f>[2]Trucks!K885</f>
        <v>0</v>
      </c>
      <c r="H888" s="46">
        <f>[2]Trucks!I885</f>
        <v>0</v>
      </c>
      <c r="I888" s="83" t="str">
        <f t="shared" si="65"/>
        <v/>
      </c>
      <c r="J888" s="272" t="str">
        <f>IFERROR(VLOOKUP((D888&amp;C888)&amp;"",'[2]Retail Price List'!$C$4:$F$102,3,FALSE),"")</f>
        <v/>
      </c>
      <c r="K888" s="272">
        <f>IFERROR(IF(BA888="WIP - 30 Days",VLOOKUP(D888,[3]Standard!$B$9:$E$101,4,FALSE),IF(BA888="31-120 Days",VLOOKUP(D888,[3]Standard!$B$9:$F$101,5,FALSE),IF(BA888="121-365 Days",VLOOKUP(D888,[3]Standard!$B$9:$G$101,6,FALSE),VLOOKUP(D888,[3]Standard!$B$9:$H$101,7,FALSE)))),0)</f>
        <v>0</v>
      </c>
      <c r="L888" s="272">
        <f>IFERROR(IF(BA888="WIP - 30 Days",VLOOKUP(D888,[3]Standard!$B$9:$J$101,9,FALSE),IF(BA888="31-120 Days",VLOOKUP(D888,[3]Standard!$B$9:$K$100,10,FALSE),IF(BA888="121-365 Days",VLOOKUP(D888,[3]Standard!$B$9:$L$101,11,FALSE),VLOOKUP(D888,[3]Standard!$B$9:$M$101,12,FALSE)))),0)</f>
        <v>0</v>
      </c>
      <c r="M888" s="269" t="str">
        <f>IFERROR(VLOOKUP((D888&amp;C888)&amp;"",'[2]Retail Price List'!$C$4:$F$102,4,FALSE),"")</f>
        <v/>
      </c>
      <c r="N888" s="269">
        <f>IFERROR(IF(BA888="WIP - 30 Days",VLOOKUP(D888,[3]Extended!$B$9:$E$101,4,FALSE),IF(BA888="31-120 Days",VLOOKUP(D888,[3]Extended!$B$9:$F$101,5,FALSE),IF(BA888="121-365 Days",VLOOKUP(D888,[3]Extended!$B$9:$G$101,6,FALSE),VLOOKUP(D888,[3]Extended!$B$9:$H$101,7,FALSE)))),0)</f>
        <v>0</v>
      </c>
      <c r="O888" s="269">
        <f>IFERROR(IF(BA888="WIP - 30 Days",VLOOKUP(D888,[3]Extended!$B$9:$J$101,9,FALSE),IF(BA888="31-120 Days",VLOOKUP(D888,[3]Extended!$B$9:$K$101,10,FALSE),IF(BA888="121-365 Days",VLOOKUP(D888,[3]Extended!$B$9:$L$101,11,FALSE),VLOOKUP(D888,[3]Extended!$B$9:$M$101,12,FALSE)))),0)</f>
        <v>0</v>
      </c>
      <c r="P888" s="116" t="e">
        <f t="shared" si="66"/>
        <v>#VALUE!</v>
      </c>
      <c r="Q888" s="110" t="e">
        <f>O888-#REF!</f>
        <v>#REF!</v>
      </c>
      <c r="W888" s="311"/>
      <c r="X888" s="311"/>
      <c r="Y888" s="311"/>
      <c r="Z888" s="311"/>
      <c r="AA888" s="311"/>
      <c r="AB888" s="311"/>
      <c r="AC888" s="311"/>
      <c r="AT888" s="88" t="str">
        <f t="shared" si="67"/>
        <v>Special Order0</v>
      </c>
      <c r="AU888" s="89" t="str">
        <f t="shared" si="68"/>
        <v>01-1900</v>
      </c>
      <c r="BA888" s="92" t="str">
        <f t="shared" si="69"/>
        <v/>
      </c>
    </row>
    <row r="889" spans="2:53">
      <c r="B889" s="60">
        <f>[2]Trucks!A886</f>
        <v>0</v>
      </c>
      <c r="C889" s="11">
        <f>[2]Trucks!B886</f>
        <v>0</v>
      </c>
      <c r="D889" s="19" t="str">
        <f>IFERROR(VLOOKUP(C889&amp;"",'[2]Retail Price List'!$A$3:$B$103,2,FALSE),"Special Order")</f>
        <v>Special Order</v>
      </c>
      <c r="E889" s="18">
        <f>[2]Trucks!J886</f>
        <v>0</v>
      </c>
      <c r="F889" s="12">
        <f>[2]Trucks!E886</f>
        <v>0</v>
      </c>
      <c r="G889" s="56">
        <f>[2]Trucks!K886</f>
        <v>0</v>
      </c>
      <c r="H889" s="46">
        <f>[2]Trucks!I886</f>
        <v>0</v>
      </c>
      <c r="I889" s="83" t="str">
        <f t="shared" si="65"/>
        <v/>
      </c>
      <c r="J889" s="272" t="str">
        <f>IFERROR(VLOOKUP((D889&amp;C889)&amp;"",'[2]Retail Price List'!$C$4:$F$102,3,FALSE),"")</f>
        <v/>
      </c>
      <c r="K889" s="272">
        <f>IFERROR(IF(BA889="WIP - 30 Days",VLOOKUP(D889,[3]Standard!$B$9:$E$101,4,FALSE),IF(BA889="31-120 Days",VLOOKUP(D889,[3]Standard!$B$9:$F$101,5,FALSE),IF(BA889="121-365 Days",VLOOKUP(D889,[3]Standard!$B$9:$G$101,6,FALSE),VLOOKUP(D889,[3]Standard!$B$9:$H$101,7,FALSE)))),0)</f>
        <v>0</v>
      </c>
      <c r="L889" s="272">
        <f>IFERROR(IF(BA889="WIP - 30 Days",VLOOKUP(D889,[3]Standard!$B$9:$J$101,9,FALSE),IF(BA889="31-120 Days",VLOOKUP(D889,[3]Standard!$B$9:$K$100,10,FALSE),IF(BA889="121-365 Days",VLOOKUP(D889,[3]Standard!$B$9:$L$101,11,FALSE),VLOOKUP(D889,[3]Standard!$B$9:$M$101,12,FALSE)))),0)</f>
        <v>0</v>
      </c>
      <c r="M889" s="269" t="str">
        <f>IFERROR(VLOOKUP((D889&amp;C889)&amp;"",'[2]Retail Price List'!$C$4:$F$102,4,FALSE),"")</f>
        <v/>
      </c>
      <c r="N889" s="269">
        <f>IFERROR(IF(BA889="WIP - 30 Days",VLOOKUP(D889,[3]Extended!$B$9:$E$101,4,FALSE),IF(BA889="31-120 Days",VLOOKUP(D889,[3]Extended!$B$9:$F$101,5,FALSE),IF(BA889="121-365 Days",VLOOKUP(D889,[3]Extended!$B$9:$G$101,6,FALSE),VLOOKUP(D889,[3]Extended!$B$9:$H$101,7,FALSE)))),0)</f>
        <v>0</v>
      </c>
      <c r="O889" s="269">
        <f>IFERROR(IF(BA889="WIP - 30 Days",VLOOKUP(D889,[3]Extended!$B$9:$J$101,9,FALSE),IF(BA889="31-120 Days",VLOOKUP(D889,[3]Extended!$B$9:$K$101,10,FALSE),IF(BA889="121-365 Days",VLOOKUP(D889,[3]Extended!$B$9:$L$101,11,FALSE),VLOOKUP(D889,[3]Extended!$B$9:$M$101,12,FALSE)))),0)</f>
        <v>0</v>
      </c>
      <c r="P889" s="116" t="e">
        <f t="shared" si="66"/>
        <v>#VALUE!</v>
      </c>
      <c r="Q889" s="110" t="e">
        <f>O889-#REF!</f>
        <v>#REF!</v>
      </c>
      <c r="W889" s="311"/>
      <c r="X889" s="311"/>
      <c r="Y889" s="311"/>
      <c r="Z889" s="311"/>
      <c r="AA889" s="311"/>
      <c r="AB889" s="311"/>
      <c r="AC889" s="311"/>
      <c r="AT889" s="88" t="str">
        <f t="shared" si="67"/>
        <v>Special Order0</v>
      </c>
      <c r="AU889" s="89" t="str">
        <f t="shared" si="68"/>
        <v>01-1900</v>
      </c>
      <c r="BA889" s="92" t="str">
        <f t="shared" si="69"/>
        <v/>
      </c>
    </row>
    <row r="890" spans="2:53">
      <c r="B890" s="60">
        <f>[2]Trucks!A887</f>
        <v>0</v>
      </c>
      <c r="C890" s="11">
        <f>[2]Trucks!B887</f>
        <v>0</v>
      </c>
      <c r="D890" s="19" t="str">
        <f>IFERROR(VLOOKUP(C890&amp;"",'[2]Retail Price List'!$A$3:$B$103,2,FALSE),"Special Order")</f>
        <v>Special Order</v>
      </c>
      <c r="E890" s="18">
        <f>[2]Trucks!J887</f>
        <v>0</v>
      </c>
      <c r="F890" s="12">
        <f>[2]Trucks!E887</f>
        <v>0</v>
      </c>
      <c r="G890" s="56">
        <f>[2]Trucks!K887</f>
        <v>0</v>
      </c>
      <c r="H890" s="46">
        <f>[2]Trucks!I887</f>
        <v>0</v>
      </c>
      <c r="I890" s="83" t="str">
        <f t="shared" si="65"/>
        <v/>
      </c>
      <c r="J890" s="272" t="str">
        <f>IFERROR(VLOOKUP((D890&amp;C890)&amp;"",'[2]Retail Price List'!$C$4:$F$102,3,FALSE),"")</f>
        <v/>
      </c>
      <c r="K890" s="272">
        <f>IFERROR(IF(BA890="WIP - 30 Days",VLOOKUP(D890,[3]Standard!$B$9:$E$101,4,FALSE),IF(BA890="31-120 Days",VLOOKUP(D890,[3]Standard!$B$9:$F$101,5,FALSE),IF(BA890="121-365 Days",VLOOKUP(D890,[3]Standard!$B$9:$G$101,6,FALSE),VLOOKUP(D890,[3]Standard!$B$9:$H$101,7,FALSE)))),0)</f>
        <v>0</v>
      </c>
      <c r="L890" s="272">
        <f>IFERROR(IF(BA890="WIP - 30 Days",VLOOKUP(D890,[3]Standard!$B$9:$J$101,9,FALSE),IF(BA890="31-120 Days",VLOOKUP(D890,[3]Standard!$B$9:$K$100,10,FALSE),IF(BA890="121-365 Days",VLOOKUP(D890,[3]Standard!$B$9:$L$101,11,FALSE),VLOOKUP(D890,[3]Standard!$B$9:$M$101,12,FALSE)))),0)</f>
        <v>0</v>
      </c>
      <c r="M890" s="269" t="str">
        <f>IFERROR(VLOOKUP((D890&amp;C890)&amp;"",'[2]Retail Price List'!$C$4:$F$102,4,FALSE),"")</f>
        <v/>
      </c>
      <c r="N890" s="269">
        <f>IFERROR(IF(BA890="WIP - 30 Days",VLOOKUP(D890,[3]Extended!$B$9:$E$101,4,FALSE),IF(BA890="31-120 Days",VLOOKUP(D890,[3]Extended!$B$9:$F$101,5,FALSE),IF(BA890="121-365 Days",VLOOKUP(D890,[3]Extended!$B$9:$G$101,6,FALSE),VLOOKUP(D890,[3]Extended!$B$9:$H$101,7,FALSE)))),0)</f>
        <v>0</v>
      </c>
      <c r="O890" s="269">
        <f>IFERROR(IF(BA890="WIP - 30 Days",VLOOKUP(D890,[3]Extended!$B$9:$J$101,9,FALSE),IF(BA890="31-120 Days",VLOOKUP(D890,[3]Extended!$B$9:$K$101,10,FALSE),IF(BA890="121-365 Days",VLOOKUP(D890,[3]Extended!$B$9:$L$101,11,FALSE),VLOOKUP(D890,[3]Extended!$B$9:$M$101,12,FALSE)))),0)</f>
        <v>0</v>
      </c>
      <c r="P890" s="116" t="e">
        <f t="shared" si="66"/>
        <v>#VALUE!</v>
      </c>
      <c r="Q890" s="110" t="e">
        <f>O890-#REF!</f>
        <v>#REF!</v>
      </c>
      <c r="W890" s="311"/>
      <c r="X890" s="311"/>
      <c r="Y890" s="311"/>
      <c r="Z890" s="311"/>
      <c r="AA890" s="311"/>
      <c r="AB890" s="311"/>
      <c r="AC890" s="311"/>
      <c r="AT890" s="88" t="str">
        <f t="shared" si="67"/>
        <v>Special Order0</v>
      </c>
      <c r="AU890" s="89" t="str">
        <f t="shared" si="68"/>
        <v>01-1900</v>
      </c>
      <c r="BA890" s="92" t="str">
        <f t="shared" si="69"/>
        <v/>
      </c>
    </row>
    <row r="891" spans="2:53">
      <c r="B891" s="60">
        <f>[2]Trucks!A888</f>
        <v>0</v>
      </c>
      <c r="C891" s="11">
        <f>[2]Trucks!B888</f>
        <v>0</v>
      </c>
      <c r="D891" s="19" t="str">
        <f>IFERROR(VLOOKUP(C891&amp;"",'[2]Retail Price List'!$A$3:$B$103,2,FALSE),"Special Order")</f>
        <v>Special Order</v>
      </c>
      <c r="E891" s="18">
        <f>[2]Trucks!J888</f>
        <v>0</v>
      </c>
      <c r="F891" s="12">
        <f>[2]Trucks!E888</f>
        <v>0</v>
      </c>
      <c r="G891" s="56">
        <f>[2]Trucks!K888</f>
        <v>0</v>
      </c>
      <c r="H891" s="46">
        <f>[2]Trucks!I888</f>
        <v>0</v>
      </c>
      <c r="I891" s="83" t="str">
        <f t="shared" si="65"/>
        <v/>
      </c>
      <c r="J891" s="272" t="str">
        <f>IFERROR(VLOOKUP((D891&amp;C891)&amp;"",'[2]Retail Price List'!$C$4:$F$102,3,FALSE),"")</f>
        <v/>
      </c>
      <c r="K891" s="272">
        <f>IFERROR(IF(BA891="WIP - 30 Days",VLOOKUP(D891,[3]Standard!$B$9:$E$101,4,FALSE),IF(BA891="31-120 Days",VLOOKUP(D891,[3]Standard!$B$9:$F$101,5,FALSE),IF(BA891="121-365 Days",VLOOKUP(D891,[3]Standard!$B$9:$G$101,6,FALSE),VLOOKUP(D891,[3]Standard!$B$9:$H$101,7,FALSE)))),0)</f>
        <v>0</v>
      </c>
      <c r="L891" s="272">
        <f>IFERROR(IF(BA891="WIP - 30 Days",VLOOKUP(D891,[3]Standard!$B$9:$J$101,9,FALSE),IF(BA891="31-120 Days",VLOOKUP(D891,[3]Standard!$B$9:$K$100,10,FALSE),IF(BA891="121-365 Days",VLOOKUP(D891,[3]Standard!$B$9:$L$101,11,FALSE),VLOOKUP(D891,[3]Standard!$B$9:$M$101,12,FALSE)))),0)</f>
        <v>0</v>
      </c>
      <c r="M891" s="269" t="str">
        <f>IFERROR(VLOOKUP((D891&amp;C891)&amp;"",'[2]Retail Price List'!$C$4:$F$102,4,FALSE),"")</f>
        <v/>
      </c>
      <c r="N891" s="269">
        <f>IFERROR(IF(BA891="WIP - 30 Days",VLOOKUP(D891,[3]Extended!$B$9:$E$101,4,FALSE),IF(BA891="31-120 Days",VLOOKUP(D891,[3]Extended!$B$9:$F$101,5,FALSE),IF(BA891="121-365 Days",VLOOKUP(D891,[3]Extended!$B$9:$G$101,6,FALSE),VLOOKUP(D891,[3]Extended!$B$9:$H$101,7,FALSE)))),0)</f>
        <v>0</v>
      </c>
      <c r="O891" s="269">
        <f>IFERROR(IF(BA891="WIP - 30 Days",VLOOKUP(D891,[3]Extended!$B$9:$J$101,9,FALSE),IF(BA891="31-120 Days",VLOOKUP(D891,[3]Extended!$B$9:$K$101,10,FALSE),IF(BA891="121-365 Days",VLOOKUP(D891,[3]Extended!$B$9:$L$101,11,FALSE),VLOOKUP(D891,[3]Extended!$B$9:$M$101,12,FALSE)))),0)</f>
        <v>0</v>
      </c>
      <c r="P891" s="116" t="e">
        <f t="shared" si="66"/>
        <v>#VALUE!</v>
      </c>
      <c r="Q891" s="110" t="e">
        <f>O891-#REF!</f>
        <v>#REF!</v>
      </c>
      <c r="W891" s="311"/>
      <c r="X891" s="311"/>
      <c r="Y891" s="311"/>
      <c r="Z891" s="311"/>
      <c r="AA891" s="311"/>
      <c r="AB891" s="311"/>
      <c r="AC891" s="311"/>
      <c r="AT891" s="88" t="str">
        <f t="shared" si="67"/>
        <v>Special Order0</v>
      </c>
      <c r="AU891" s="89" t="str">
        <f t="shared" si="68"/>
        <v>01-1900</v>
      </c>
      <c r="BA891" s="92" t="str">
        <f t="shared" si="69"/>
        <v/>
      </c>
    </row>
    <row r="892" spans="2:53">
      <c r="B892" s="60">
        <f>[2]Trucks!A889</f>
        <v>0</v>
      </c>
      <c r="C892" s="11">
        <f>[2]Trucks!B889</f>
        <v>0</v>
      </c>
      <c r="D892" s="19" t="str">
        <f>IFERROR(VLOOKUP(C892&amp;"",'[2]Retail Price List'!$A$3:$B$103,2,FALSE),"Special Order")</f>
        <v>Special Order</v>
      </c>
      <c r="E892" s="18">
        <f>[2]Trucks!J889</f>
        <v>0</v>
      </c>
      <c r="F892" s="12">
        <f>[2]Trucks!E889</f>
        <v>0</v>
      </c>
      <c r="G892" s="56">
        <f>[2]Trucks!K889</f>
        <v>0</v>
      </c>
      <c r="H892" s="46">
        <f>[2]Trucks!I889</f>
        <v>0</v>
      </c>
      <c r="I892" s="83" t="str">
        <f t="shared" si="65"/>
        <v/>
      </c>
      <c r="J892" s="272" t="str">
        <f>IFERROR(VLOOKUP((D892&amp;C892)&amp;"",'[2]Retail Price List'!$C$4:$F$102,3,FALSE),"")</f>
        <v/>
      </c>
      <c r="K892" s="272">
        <f>IFERROR(IF(BA892="WIP - 30 Days",VLOOKUP(D892,[3]Standard!$B$9:$E$101,4,FALSE),IF(BA892="31-120 Days",VLOOKUP(D892,[3]Standard!$B$9:$F$101,5,FALSE),IF(BA892="121-365 Days",VLOOKUP(D892,[3]Standard!$B$9:$G$101,6,FALSE),VLOOKUP(D892,[3]Standard!$B$9:$H$101,7,FALSE)))),0)</f>
        <v>0</v>
      </c>
      <c r="L892" s="272">
        <f>IFERROR(IF(BA892="WIP - 30 Days",VLOOKUP(D892,[3]Standard!$B$9:$J$101,9,FALSE),IF(BA892="31-120 Days",VLOOKUP(D892,[3]Standard!$B$9:$K$100,10,FALSE),IF(BA892="121-365 Days",VLOOKUP(D892,[3]Standard!$B$9:$L$101,11,FALSE),VLOOKUP(D892,[3]Standard!$B$9:$M$101,12,FALSE)))),0)</f>
        <v>0</v>
      </c>
      <c r="M892" s="269" t="str">
        <f>IFERROR(VLOOKUP((D892&amp;C892)&amp;"",'[2]Retail Price List'!$C$4:$F$102,4,FALSE),"")</f>
        <v/>
      </c>
      <c r="N892" s="269">
        <f>IFERROR(IF(BA892="WIP - 30 Days",VLOOKUP(D892,[3]Extended!$B$9:$E$101,4,FALSE),IF(BA892="31-120 Days",VLOOKUP(D892,[3]Extended!$B$9:$F$101,5,FALSE),IF(BA892="121-365 Days",VLOOKUP(D892,[3]Extended!$B$9:$G$101,6,FALSE),VLOOKUP(D892,[3]Extended!$B$9:$H$101,7,FALSE)))),0)</f>
        <v>0</v>
      </c>
      <c r="O892" s="269">
        <f>IFERROR(IF(BA892="WIP - 30 Days",VLOOKUP(D892,[3]Extended!$B$9:$J$101,9,FALSE),IF(BA892="31-120 Days",VLOOKUP(D892,[3]Extended!$B$9:$K$101,10,FALSE),IF(BA892="121-365 Days",VLOOKUP(D892,[3]Extended!$B$9:$L$101,11,FALSE),VLOOKUP(D892,[3]Extended!$B$9:$M$101,12,FALSE)))),0)</f>
        <v>0</v>
      </c>
      <c r="P892" s="116" t="e">
        <f t="shared" si="66"/>
        <v>#VALUE!</v>
      </c>
      <c r="Q892" s="110" t="e">
        <f>O892-#REF!</f>
        <v>#REF!</v>
      </c>
      <c r="W892" s="311"/>
      <c r="X892" s="311"/>
      <c r="Y892" s="311"/>
      <c r="Z892" s="311"/>
      <c r="AA892" s="311"/>
      <c r="AB892" s="311"/>
      <c r="AC892" s="311"/>
      <c r="AT892" s="88" t="str">
        <f t="shared" si="67"/>
        <v>Special Order0</v>
      </c>
      <c r="AU892" s="89" t="str">
        <f t="shared" si="68"/>
        <v>01-1900</v>
      </c>
      <c r="BA892" s="92" t="str">
        <f t="shared" si="69"/>
        <v/>
      </c>
    </row>
    <row r="893" spans="2:53">
      <c r="B893" s="60">
        <f>[2]Trucks!A890</f>
        <v>0</v>
      </c>
      <c r="C893" s="11">
        <f>[2]Trucks!B890</f>
        <v>0</v>
      </c>
      <c r="D893" s="19" t="str">
        <f>IFERROR(VLOOKUP(C893&amp;"",'[2]Retail Price List'!$A$3:$B$103,2,FALSE),"Special Order")</f>
        <v>Special Order</v>
      </c>
      <c r="E893" s="18">
        <f>[2]Trucks!J890</f>
        <v>0</v>
      </c>
      <c r="F893" s="12">
        <f>[2]Trucks!E890</f>
        <v>0</v>
      </c>
      <c r="G893" s="56">
        <f>[2]Trucks!K890</f>
        <v>0</v>
      </c>
      <c r="H893" s="46">
        <f>[2]Trucks!I890</f>
        <v>0</v>
      </c>
      <c r="I893" s="83" t="str">
        <f t="shared" si="65"/>
        <v/>
      </c>
      <c r="J893" s="272" t="str">
        <f>IFERROR(VLOOKUP((D893&amp;C893)&amp;"",'[2]Retail Price List'!$C$4:$F$102,3,FALSE),"")</f>
        <v/>
      </c>
      <c r="K893" s="272">
        <f>IFERROR(IF(BA893="WIP - 30 Days",VLOOKUP(D893,[3]Standard!$B$9:$E$101,4,FALSE),IF(BA893="31-120 Days",VLOOKUP(D893,[3]Standard!$B$9:$F$101,5,FALSE),IF(BA893="121-365 Days",VLOOKUP(D893,[3]Standard!$B$9:$G$101,6,FALSE),VLOOKUP(D893,[3]Standard!$B$9:$H$101,7,FALSE)))),0)</f>
        <v>0</v>
      </c>
      <c r="L893" s="272">
        <f>IFERROR(IF(BA893="WIP - 30 Days",VLOOKUP(D893,[3]Standard!$B$9:$J$101,9,FALSE),IF(BA893="31-120 Days",VLOOKUP(D893,[3]Standard!$B$9:$K$100,10,FALSE),IF(BA893="121-365 Days",VLOOKUP(D893,[3]Standard!$B$9:$L$101,11,FALSE),VLOOKUP(D893,[3]Standard!$B$9:$M$101,12,FALSE)))),0)</f>
        <v>0</v>
      </c>
      <c r="M893" s="269" t="str">
        <f>IFERROR(VLOOKUP((D893&amp;C893)&amp;"",'[2]Retail Price List'!$C$4:$F$102,4,FALSE),"")</f>
        <v/>
      </c>
      <c r="N893" s="269">
        <f>IFERROR(IF(BA893="WIP - 30 Days",VLOOKUP(D893,[3]Extended!$B$9:$E$101,4,FALSE),IF(BA893="31-120 Days",VLOOKUP(D893,[3]Extended!$B$9:$F$101,5,FALSE),IF(BA893="121-365 Days",VLOOKUP(D893,[3]Extended!$B$9:$G$101,6,FALSE),VLOOKUP(D893,[3]Extended!$B$9:$H$101,7,FALSE)))),0)</f>
        <v>0</v>
      </c>
      <c r="O893" s="269">
        <f>IFERROR(IF(BA893="WIP - 30 Days",VLOOKUP(D893,[3]Extended!$B$9:$J$101,9,FALSE),IF(BA893="31-120 Days",VLOOKUP(D893,[3]Extended!$B$9:$K$101,10,FALSE),IF(BA893="121-365 Days",VLOOKUP(D893,[3]Extended!$B$9:$L$101,11,FALSE),VLOOKUP(D893,[3]Extended!$B$9:$M$101,12,FALSE)))),0)</f>
        <v>0</v>
      </c>
      <c r="P893" s="116" t="e">
        <f t="shared" si="66"/>
        <v>#VALUE!</v>
      </c>
      <c r="Q893" s="110" t="e">
        <f>O893-#REF!</f>
        <v>#REF!</v>
      </c>
      <c r="W893" s="311"/>
      <c r="X893" s="311"/>
      <c r="Y893" s="311"/>
      <c r="Z893" s="311"/>
      <c r="AA893" s="311"/>
      <c r="AB893" s="311"/>
      <c r="AC893" s="311"/>
      <c r="AT893" s="88" t="str">
        <f t="shared" si="67"/>
        <v>Special Order0</v>
      </c>
      <c r="AU893" s="89" t="str">
        <f t="shared" si="68"/>
        <v>01-1900</v>
      </c>
      <c r="BA893" s="92" t="str">
        <f t="shared" si="69"/>
        <v/>
      </c>
    </row>
    <row r="894" spans="2:53">
      <c r="B894" s="60">
        <f>[2]Trucks!A891</f>
        <v>0</v>
      </c>
      <c r="C894" s="11">
        <f>[2]Trucks!B891</f>
        <v>0</v>
      </c>
      <c r="D894" s="19" t="str">
        <f>IFERROR(VLOOKUP(C894&amp;"",'[2]Retail Price List'!$A$3:$B$103,2,FALSE),"Special Order")</f>
        <v>Special Order</v>
      </c>
      <c r="E894" s="18">
        <f>[2]Trucks!J891</f>
        <v>0</v>
      </c>
      <c r="F894" s="12">
        <f>[2]Trucks!E891</f>
        <v>0</v>
      </c>
      <c r="G894" s="56">
        <f>[2]Trucks!K891</f>
        <v>0</v>
      </c>
      <c r="H894" s="46">
        <f>[2]Trucks!I891</f>
        <v>0</v>
      </c>
      <c r="I894" s="83" t="str">
        <f t="shared" si="65"/>
        <v/>
      </c>
      <c r="J894" s="272" t="str">
        <f>IFERROR(VLOOKUP((D894&amp;C894)&amp;"",'[2]Retail Price List'!$C$4:$F$102,3,FALSE),"")</f>
        <v/>
      </c>
      <c r="K894" s="272">
        <f>IFERROR(IF(BA894="WIP - 30 Days",VLOOKUP(D894,[3]Standard!$B$9:$E$101,4,FALSE),IF(BA894="31-120 Days",VLOOKUP(D894,[3]Standard!$B$9:$F$101,5,FALSE),IF(BA894="121-365 Days",VLOOKUP(D894,[3]Standard!$B$9:$G$101,6,FALSE),VLOOKUP(D894,[3]Standard!$B$9:$H$101,7,FALSE)))),0)</f>
        <v>0</v>
      </c>
      <c r="L894" s="272">
        <f>IFERROR(IF(BA894="WIP - 30 Days",VLOOKUP(D894,[3]Standard!$B$9:$J$101,9,FALSE),IF(BA894="31-120 Days",VLOOKUP(D894,[3]Standard!$B$9:$K$100,10,FALSE),IF(BA894="121-365 Days",VLOOKUP(D894,[3]Standard!$B$9:$L$101,11,FALSE),VLOOKUP(D894,[3]Standard!$B$9:$M$101,12,FALSE)))),0)</f>
        <v>0</v>
      </c>
      <c r="M894" s="269" t="str">
        <f>IFERROR(VLOOKUP((D894&amp;C894)&amp;"",'[2]Retail Price List'!$C$4:$F$102,4,FALSE),"")</f>
        <v/>
      </c>
      <c r="N894" s="269">
        <f>IFERROR(IF(BA894="WIP - 30 Days",VLOOKUP(D894,[3]Extended!$B$9:$E$101,4,FALSE),IF(BA894="31-120 Days",VLOOKUP(D894,[3]Extended!$B$9:$F$101,5,FALSE),IF(BA894="121-365 Days",VLOOKUP(D894,[3]Extended!$B$9:$G$101,6,FALSE),VLOOKUP(D894,[3]Extended!$B$9:$H$101,7,FALSE)))),0)</f>
        <v>0</v>
      </c>
      <c r="O894" s="269">
        <f>IFERROR(IF(BA894="WIP - 30 Days",VLOOKUP(D894,[3]Extended!$B$9:$J$101,9,FALSE),IF(BA894="31-120 Days",VLOOKUP(D894,[3]Extended!$B$9:$K$101,10,FALSE),IF(BA894="121-365 Days",VLOOKUP(D894,[3]Extended!$B$9:$L$101,11,FALSE),VLOOKUP(D894,[3]Extended!$B$9:$M$101,12,FALSE)))),0)</f>
        <v>0</v>
      </c>
      <c r="P894" s="116" t="e">
        <f t="shared" si="66"/>
        <v>#VALUE!</v>
      </c>
      <c r="Q894" s="110" t="e">
        <f>O894-#REF!</f>
        <v>#REF!</v>
      </c>
      <c r="W894" s="311"/>
      <c r="X894" s="311"/>
      <c r="Y894" s="311"/>
      <c r="Z894" s="311"/>
      <c r="AA894" s="311"/>
      <c r="AB894" s="311"/>
      <c r="AC894" s="311"/>
      <c r="AT894" s="88" t="str">
        <f t="shared" si="67"/>
        <v>Special Order0</v>
      </c>
      <c r="AU894" s="89" t="str">
        <f t="shared" si="68"/>
        <v>01-1900</v>
      </c>
      <c r="BA894" s="92" t="str">
        <f t="shared" si="69"/>
        <v/>
      </c>
    </row>
    <row r="895" spans="2:53">
      <c r="B895" s="60">
        <f>[2]Trucks!A892</f>
        <v>0</v>
      </c>
      <c r="C895" s="11">
        <f>[2]Trucks!B892</f>
        <v>0</v>
      </c>
      <c r="D895" s="19" t="str">
        <f>IFERROR(VLOOKUP(C895&amp;"",'[2]Retail Price List'!$A$3:$B$103,2,FALSE),"Special Order")</f>
        <v>Special Order</v>
      </c>
      <c r="E895" s="18">
        <f>[2]Trucks!J892</f>
        <v>0</v>
      </c>
      <c r="F895" s="12">
        <f>[2]Trucks!E892</f>
        <v>0</v>
      </c>
      <c r="G895" s="56">
        <f>[2]Trucks!K892</f>
        <v>0</v>
      </c>
      <c r="H895" s="46">
        <f>[2]Trucks!I892</f>
        <v>0</v>
      </c>
      <c r="I895" s="83" t="str">
        <f t="shared" si="65"/>
        <v/>
      </c>
      <c r="J895" s="272" t="str">
        <f>IFERROR(VLOOKUP((D895&amp;C895)&amp;"",'[2]Retail Price List'!$C$4:$F$102,3,FALSE),"")</f>
        <v/>
      </c>
      <c r="K895" s="272">
        <f>IFERROR(IF(BA895="WIP - 30 Days",VLOOKUP(D895,[3]Standard!$B$9:$E$101,4,FALSE),IF(BA895="31-120 Days",VLOOKUP(D895,[3]Standard!$B$9:$F$101,5,FALSE),IF(BA895="121-365 Days",VLOOKUP(D895,[3]Standard!$B$9:$G$101,6,FALSE),VLOOKUP(D895,[3]Standard!$B$9:$H$101,7,FALSE)))),0)</f>
        <v>0</v>
      </c>
      <c r="L895" s="272">
        <f>IFERROR(IF(BA895="WIP - 30 Days",VLOOKUP(D895,[3]Standard!$B$9:$J$101,9,FALSE),IF(BA895="31-120 Days",VLOOKUP(D895,[3]Standard!$B$9:$K$100,10,FALSE),IF(BA895="121-365 Days",VLOOKUP(D895,[3]Standard!$B$9:$L$101,11,FALSE),VLOOKUP(D895,[3]Standard!$B$9:$M$101,12,FALSE)))),0)</f>
        <v>0</v>
      </c>
      <c r="M895" s="269" t="str">
        <f>IFERROR(VLOOKUP((D895&amp;C895)&amp;"",'[2]Retail Price List'!$C$4:$F$102,4,FALSE),"")</f>
        <v/>
      </c>
      <c r="N895" s="269">
        <f>IFERROR(IF(BA895="WIP - 30 Days",VLOOKUP(D895,[3]Extended!$B$9:$E$101,4,FALSE),IF(BA895="31-120 Days",VLOOKUP(D895,[3]Extended!$B$9:$F$101,5,FALSE),IF(BA895="121-365 Days",VLOOKUP(D895,[3]Extended!$B$9:$G$101,6,FALSE),VLOOKUP(D895,[3]Extended!$B$9:$H$101,7,FALSE)))),0)</f>
        <v>0</v>
      </c>
      <c r="O895" s="269">
        <f>IFERROR(IF(BA895="WIP - 30 Days",VLOOKUP(D895,[3]Extended!$B$9:$J$101,9,FALSE),IF(BA895="31-120 Days",VLOOKUP(D895,[3]Extended!$B$9:$K$101,10,FALSE),IF(BA895="121-365 Days",VLOOKUP(D895,[3]Extended!$B$9:$L$101,11,FALSE),VLOOKUP(D895,[3]Extended!$B$9:$M$101,12,FALSE)))),0)</f>
        <v>0</v>
      </c>
      <c r="P895" s="116" t="e">
        <f t="shared" si="66"/>
        <v>#VALUE!</v>
      </c>
      <c r="Q895" s="110" t="e">
        <f>O895-#REF!</f>
        <v>#REF!</v>
      </c>
      <c r="W895" s="311"/>
      <c r="X895" s="311"/>
      <c r="Y895" s="311"/>
      <c r="Z895" s="311"/>
      <c r="AA895" s="311"/>
      <c r="AB895" s="311"/>
      <c r="AC895" s="311"/>
      <c r="AT895" s="88" t="str">
        <f t="shared" si="67"/>
        <v>Special Order0</v>
      </c>
      <c r="AU895" s="89" t="str">
        <f t="shared" si="68"/>
        <v>01-1900</v>
      </c>
      <c r="BA895" s="92" t="str">
        <f t="shared" si="69"/>
        <v/>
      </c>
    </row>
    <row r="896" spans="2:53">
      <c r="B896" s="60">
        <f>[2]Trucks!A893</f>
        <v>0</v>
      </c>
      <c r="C896" s="11">
        <f>[2]Trucks!B893</f>
        <v>0</v>
      </c>
      <c r="D896" s="19" t="str">
        <f>IFERROR(VLOOKUP(C896&amp;"",'[2]Retail Price List'!$A$3:$B$103,2,FALSE),"Special Order")</f>
        <v>Special Order</v>
      </c>
      <c r="E896" s="18">
        <f>[2]Trucks!J893</f>
        <v>0</v>
      </c>
      <c r="F896" s="12">
        <f>[2]Trucks!E893</f>
        <v>0</v>
      </c>
      <c r="G896" s="56">
        <f>[2]Trucks!K893</f>
        <v>0</v>
      </c>
      <c r="H896" s="46">
        <f>[2]Trucks!I893</f>
        <v>0</v>
      </c>
      <c r="I896" s="83" t="str">
        <f t="shared" si="65"/>
        <v/>
      </c>
      <c r="J896" s="272" t="str">
        <f>IFERROR(VLOOKUP((D896&amp;C896)&amp;"",'[2]Retail Price List'!$C$4:$F$102,3,FALSE),"")</f>
        <v/>
      </c>
      <c r="K896" s="272">
        <f>IFERROR(IF(BA896="WIP - 30 Days",VLOOKUP(D896,[3]Standard!$B$9:$E$101,4,FALSE),IF(BA896="31-120 Days",VLOOKUP(D896,[3]Standard!$B$9:$F$101,5,FALSE),IF(BA896="121-365 Days",VLOOKUP(D896,[3]Standard!$B$9:$G$101,6,FALSE),VLOOKUP(D896,[3]Standard!$B$9:$H$101,7,FALSE)))),0)</f>
        <v>0</v>
      </c>
      <c r="L896" s="272">
        <f>IFERROR(IF(BA896="WIP - 30 Days",VLOOKUP(D896,[3]Standard!$B$9:$J$101,9,FALSE),IF(BA896="31-120 Days",VLOOKUP(D896,[3]Standard!$B$9:$K$100,10,FALSE),IF(BA896="121-365 Days",VLOOKUP(D896,[3]Standard!$B$9:$L$101,11,FALSE),VLOOKUP(D896,[3]Standard!$B$9:$M$101,12,FALSE)))),0)</f>
        <v>0</v>
      </c>
      <c r="M896" s="269" t="str">
        <f>IFERROR(VLOOKUP((D896&amp;C896)&amp;"",'[2]Retail Price List'!$C$4:$F$102,4,FALSE),"")</f>
        <v/>
      </c>
      <c r="N896" s="269">
        <f>IFERROR(IF(BA896="WIP - 30 Days",VLOOKUP(D896,[3]Extended!$B$9:$E$101,4,FALSE),IF(BA896="31-120 Days",VLOOKUP(D896,[3]Extended!$B$9:$F$101,5,FALSE),IF(BA896="121-365 Days",VLOOKUP(D896,[3]Extended!$B$9:$G$101,6,FALSE),VLOOKUP(D896,[3]Extended!$B$9:$H$101,7,FALSE)))),0)</f>
        <v>0</v>
      </c>
      <c r="O896" s="269">
        <f>IFERROR(IF(BA896="WIP - 30 Days",VLOOKUP(D896,[3]Extended!$B$9:$J$101,9,FALSE),IF(BA896="31-120 Days",VLOOKUP(D896,[3]Extended!$B$9:$K$101,10,FALSE),IF(BA896="121-365 Days",VLOOKUP(D896,[3]Extended!$B$9:$L$101,11,FALSE),VLOOKUP(D896,[3]Extended!$B$9:$M$101,12,FALSE)))),0)</f>
        <v>0</v>
      </c>
      <c r="P896" s="116" t="e">
        <f t="shared" si="66"/>
        <v>#VALUE!</v>
      </c>
      <c r="Q896" s="110" t="e">
        <f>O896-#REF!</f>
        <v>#REF!</v>
      </c>
      <c r="W896" s="311"/>
      <c r="X896" s="311"/>
      <c r="Y896" s="311"/>
      <c r="Z896" s="311"/>
      <c r="AA896" s="311"/>
      <c r="AB896" s="311"/>
      <c r="AC896" s="311"/>
      <c r="AT896" s="88" t="str">
        <f t="shared" si="67"/>
        <v>Special Order0</v>
      </c>
      <c r="AU896" s="89" t="str">
        <f t="shared" si="68"/>
        <v>01-1900</v>
      </c>
      <c r="BA896" s="92" t="str">
        <f t="shared" si="69"/>
        <v/>
      </c>
    </row>
    <row r="897" spans="2:53">
      <c r="B897" s="60">
        <f>[2]Trucks!A894</f>
        <v>0</v>
      </c>
      <c r="C897" s="11">
        <f>[2]Trucks!B894</f>
        <v>0</v>
      </c>
      <c r="D897" s="19" t="str">
        <f>IFERROR(VLOOKUP(C897&amp;"",'[2]Retail Price List'!$A$3:$B$103,2,FALSE),"Special Order")</f>
        <v>Special Order</v>
      </c>
      <c r="E897" s="18">
        <f>[2]Trucks!J894</f>
        <v>0</v>
      </c>
      <c r="F897" s="12">
        <f>[2]Trucks!E894</f>
        <v>0</v>
      </c>
      <c r="G897" s="56">
        <f>[2]Trucks!K894</f>
        <v>0</v>
      </c>
      <c r="H897" s="46">
        <f>[2]Trucks!I894</f>
        <v>0</v>
      </c>
      <c r="I897" s="83" t="str">
        <f t="shared" si="65"/>
        <v/>
      </c>
      <c r="J897" s="272" t="str">
        <f>IFERROR(VLOOKUP((D897&amp;C897)&amp;"",'[2]Retail Price List'!$C$4:$F$102,3,FALSE),"")</f>
        <v/>
      </c>
      <c r="K897" s="272">
        <f>IFERROR(IF(BA897="WIP - 30 Days",VLOOKUP(D897,[3]Standard!$B$9:$E$101,4,FALSE),IF(BA897="31-120 Days",VLOOKUP(D897,[3]Standard!$B$9:$F$101,5,FALSE),IF(BA897="121-365 Days",VLOOKUP(D897,[3]Standard!$B$9:$G$101,6,FALSE),VLOOKUP(D897,[3]Standard!$B$9:$H$101,7,FALSE)))),0)</f>
        <v>0</v>
      </c>
      <c r="L897" s="272">
        <f>IFERROR(IF(BA897="WIP - 30 Days",VLOOKUP(D897,[3]Standard!$B$9:$J$101,9,FALSE),IF(BA897="31-120 Days",VLOOKUP(D897,[3]Standard!$B$9:$K$100,10,FALSE),IF(BA897="121-365 Days",VLOOKUP(D897,[3]Standard!$B$9:$L$101,11,FALSE),VLOOKUP(D897,[3]Standard!$B$9:$M$101,12,FALSE)))),0)</f>
        <v>0</v>
      </c>
      <c r="M897" s="269" t="str">
        <f>IFERROR(VLOOKUP((D897&amp;C897)&amp;"",'[2]Retail Price List'!$C$4:$F$102,4,FALSE),"")</f>
        <v/>
      </c>
      <c r="N897" s="269">
        <f>IFERROR(IF(BA897="WIP - 30 Days",VLOOKUP(D897,[3]Extended!$B$9:$E$101,4,FALSE),IF(BA897="31-120 Days",VLOOKUP(D897,[3]Extended!$B$9:$F$101,5,FALSE),IF(BA897="121-365 Days",VLOOKUP(D897,[3]Extended!$B$9:$G$101,6,FALSE),VLOOKUP(D897,[3]Extended!$B$9:$H$101,7,FALSE)))),0)</f>
        <v>0</v>
      </c>
      <c r="O897" s="269">
        <f>IFERROR(IF(BA897="WIP - 30 Days",VLOOKUP(D897,[3]Extended!$B$9:$J$101,9,FALSE),IF(BA897="31-120 Days",VLOOKUP(D897,[3]Extended!$B$9:$K$101,10,FALSE),IF(BA897="121-365 Days",VLOOKUP(D897,[3]Extended!$B$9:$L$101,11,FALSE),VLOOKUP(D897,[3]Extended!$B$9:$M$101,12,FALSE)))),0)</f>
        <v>0</v>
      </c>
      <c r="P897" s="116" t="e">
        <f t="shared" si="66"/>
        <v>#VALUE!</v>
      </c>
      <c r="Q897" s="110" t="e">
        <f>O897-#REF!</f>
        <v>#REF!</v>
      </c>
      <c r="W897" s="311"/>
      <c r="X897" s="311"/>
      <c r="Y897" s="311"/>
      <c r="Z897" s="311"/>
      <c r="AA897" s="311"/>
      <c r="AB897" s="311"/>
      <c r="AC897" s="311"/>
      <c r="AT897" s="88" t="str">
        <f t="shared" si="67"/>
        <v>Special Order0</v>
      </c>
      <c r="AU897" s="89" t="str">
        <f t="shared" si="68"/>
        <v>01-1900</v>
      </c>
      <c r="BA897" s="92" t="str">
        <f t="shared" si="69"/>
        <v/>
      </c>
    </row>
    <row r="898" spans="2:53">
      <c r="B898" s="60">
        <f>[2]Trucks!A895</f>
        <v>0</v>
      </c>
      <c r="C898" s="11">
        <f>[2]Trucks!B895</f>
        <v>0</v>
      </c>
      <c r="D898" s="19" t="str">
        <f>IFERROR(VLOOKUP(C898&amp;"",'[2]Retail Price List'!$A$3:$B$103,2,FALSE),"Special Order")</f>
        <v>Special Order</v>
      </c>
      <c r="E898" s="18">
        <f>[2]Trucks!J895</f>
        <v>0</v>
      </c>
      <c r="F898" s="12">
        <f>[2]Trucks!E895</f>
        <v>0</v>
      </c>
      <c r="G898" s="56">
        <f>[2]Trucks!K895</f>
        <v>0</v>
      </c>
      <c r="H898" s="46">
        <f>[2]Trucks!I895</f>
        <v>0</v>
      </c>
      <c r="I898" s="83" t="str">
        <f t="shared" si="65"/>
        <v/>
      </c>
      <c r="J898" s="272" t="str">
        <f>IFERROR(VLOOKUP((D898&amp;C898)&amp;"",'[2]Retail Price List'!$C$4:$F$102,3,FALSE),"")</f>
        <v/>
      </c>
      <c r="K898" s="272">
        <f>IFERROR(IF(BA898="WIP - 30 Days",VLOOKUP(D898,[3]Standard!$B$9:$E$101,4,FALSE),IF(BA898="31-120 Days",VLOOKUP(D898,[3]Standard!$B$9:$F$101,5,FALSE),IF(BA898="121-365 Days",VLOOKUP(D898,[3]Standard!$B$9:$G$101,6,FALSE),VLOOKUP(D898,[3]Standard!$B$9:$H$101,7,FALSE)))),0)</f>
        <v>0</v>
      </c>
      <c r="L898" s="272">
        <f>IFERROR(IF(BA898="WIP - 30 Days",VLOOKUP(D898,[3]Standard!$B$9:$J$101,9,FALSE),IF(BA898="31-120 Days",VLOOKUP(D898,[3]Standard!$B$9:$K$100,10,FALSE),IF(BA898="121-365 Days",VLOOKUP(D898,[3]Standard!$B$9:$L$101,11,FALSE),VLOOKUP(D898,[3]Standard!$B$9:$M$101,12,FALSE)))),0)</f>
        <v>0</v>
      </c>
      <c r="M898" s="269" t="str">
        <f>IFERROR(VLOOKUP((D898&amp;C898)&amp;"",'[2]Retail Price List'!$C$4:$F$102,4,FALSE),"")</f>
        <v/>
      </c>
      <c r="N898" s="269">
        <f>IFERROR(IF(BA898="WIP - 30 Days",VLOOKUP(D898,[3]Extended!$B$9:$E$101,4,FALSE),IF(BA898="31-120 Days",VLOOKUP(D898,[3]Extended!$B$9:$F$101,5,FALSE),IF(BA898="121-365 Days",VLOOKUP(D898,[3]Extended!$B$9:$G$101,6,FALSE),VLOOKUP(D898,[3]Extended!$B$9:$H$101,7,FALSE)))),0)</f>
        <v>0</v>
      </c>
      <c r="O898" s="269">
        <f>IFERROR(IF(BA898="WIP - 30 Days",VLOOKUP(D898,[3]Extended!$B$9:$J$101,9,FALSE),IF(BA898="31-120 Days",VLOOKUP(D898,[3]Extended!$B$9:$K$101,10,FALSE),IF(BA898="121-365 Days",VLOOKUP(D898,[3]Extended!$B$9:$L$101,11,FALSE),VLOOKUP(D898,[3]Extended!$B$9:$M$101,12,FALSE)))),0)</f>
        <v>0</v>
      </c>
      <c r="P898" s="116" t="e">
        <f t="shared" si="66"/>
        <v>#VALUE!</v>
      </c>
      <c r="Q898" s="110" t="e">
        <f>O898-#REF!</f>
        <v>#REF!</v>
      </c>
      <c r="W898" s="311"/>
      <c r="X898" s="311"/>
      <c r="Y898" s="311"/>
      <c r="Z898" s="311"/>
      <c r="AA898" s="311"/>
      <c r="AB898" s="311"/>
      <c r="AC898" s="311"/>
      <c r="AT898" s="88" t="str">
        <f t="shared" si="67"/>
        <v>Special Order0</v>
      </c>
      <c r="AU898" s="89" t="str">
        <f t="shared" si="68"/>
        <v>01-1900</v>
      </c>
      <c r="BA898" s="92" t="str">
        <f t="shared" si="69"/>
        <v/>
      </c>
    </row>
    <row r="899" spans="2:53">
      <c r="B899" s="60">
        <f>[2]Trucks!A896</f>
        <v>0</v>
      </c>
      <c r="C899" s="11">
        <f>[2]Trucks!B896</f>
        <v>0</v>
      </c>
      <c r="D899" s="19" t="str">
        <f>IFERROR(VLOOKUP(C899&amp;"",'[2]Retail Price List'!$A$3:$B$103,2,FALSE),"Special Order")</f>
        <v>Special Order</v>
      </c>
      <c r="E899" s="18">
        <f>[2]Trucks!J896</f>
        <v>0</v>
      </c>
      <c r="F899" s="12">
        <f>[2]Trucks!E896</f>
        <v>0</v>
      </c>
      <c r="G899" s="56">
        <f>[2]Trucks!K896</f>
        <v>0</v>
      </c>
      <c r="H899" s="46">
        <f>[2]Trucks!I896</f>
        <v>0</v>
      </c>
      <c r="I899" s="83" t="str">
        <f t="shared" si="65"/>
        <v/>
      </c>
      <c r="J899" s="272" t="str">
        <f>IFERROR(VLOOKUP((D899&amp;C899)&amp;"",'[2]Retail Price List'!$C$4:$F$102,3,FALSE),"")</f>
        <v/>
      </c>
      <c r="K899" s="272">
        <f>IFERROR(IF(BA899="WIP - 30 Days",VLOOKUP(D899,[3]Standard!$B$9:$E$101,4,FALSE),IF(BA899="31-120 Days",VLOOKUP(D899,[3]Standard!$B$9:$F$101,5,FALSE),IF(BA899="121-365 Days",VLOOKUP(D899,[3]Standard!$B$9:$G$101,6,FALSE),VLOOKUP(D899,[3]Standard!$B$9:$H$101,7,FALSE)))),0)</f>
        <v>0</v>
      </c>
      <c r="L899" s="272">
        <f>IFERROR(IF(BA899="WIP - 30 Days",VLOOKUP(D899,[3]Standard!$B$9:$J$101,9,FALSE),IF(BA899="31-120 Days",VLOOKUP(D899,[3]Standard!$B$9:$K$100,10,FALSE),IF(BA899="121-365 Days",VLOOKUP(D899,[3]Standard!$B$9:$L$101,11,FALSE),VLOOKUP(D899,[3]Standard!$B$9:$M$101,12,FALSE)))),0)</f>
        <v>0</v>
      </c>
      <c r="M899" s="269" t="str">
        <f>IFERROR(VLOOKUP((D899&amp;C899)&amp;"",'[2]Retail Price List'!$C$4:$F$102,4,FALSE),"")</f>
        <v/>
      </c>
      <c r="N899" s="269">
        <f>IFERROR(IF(BA899="WIP - 30 Days",VLOOKUP(D899,[3]Extended!$B$9:$E$101,4,FALSE),IF(BA899="31-120 Days",VLOOKUP(D899,[3]Extended!$B$9:$F$101,5,FALSE),IF(BA899="121-365 Days",VLOOKUP(D899,[3]Extended!$B$9:$G$101,6,FALSE),VLOOKUP(D899,[3]Extended!$B$9:$H$101,7,FALSE)))),0)</f>
        <v>0</v>
      </c>
      <c r="O899" s="269">
        <f>IFERROR(IF(BA899="WIP - 30 Days",VLOOKUP(D899,[3]Extended!$B$9:$J$101,9,FALSE),IF(BA899="31-120 Days",VLOOKUP(D899,[3]Extended!$B$9:$K$101,10,FALSE),IF(BA899="121-365 Days",VLOOKUP(D899,[3]Extended!$B$9:$L$101,11,FALSE),VLOOKUP(D899,[3]Extended!$B$9:$M$101,12,FALSE)))),0)</f>
        <v>0</v>
      </c>
      <c r="P899" s="116" t="e">
        <f t="shared" si="66"/>
        <v>#VALUE!</v>
      </c>
      <c r="Q899" s="110" t="e">
        <f>O899-#REF!</f>
        <v>#REF!</v>
      </c>
      <c r="W899" s="311"/>
      <c r="X899" s="311"/>
      <c r="Y899" s="311"/>
      <c r="Z899" s="311"/>
      <c r="AA899" s="311"/>
      <c r="AB899" s="311"/>
      <c r="AC899" s="311"/>
      <c r="AT899" s="88" t="str">
        <f t="shared" si="67"/>
        <v>Special Order0</v>
      </c>
      <c r="AU899" s="89" t="str">
        <f t="shared" si="68"/>
        <v>01-1900</v>
      </c>
      <c r="BA899" s="92" t="str">
        <f t="shared" si="69"/>
        <v/>
      </c>
    </row>
    <row r="900" spans="2:53">
      <c r="B900" s="60">
        <f>[2]Trucks!A897</f>
        <v>0</v>
      </c>
      <c r="C900" s="11">
        <f>[2]Trucks!B897</f>
        <v>0</v>
      </c>
      <c r="D900" s="19" t="str">
        <f>IFERROR(VLOOKUP(C900&amp;"",'[2]Retail Price List'!$A$3:$B$103,2,FALSE),"Special Order")</f>
        <v>Special Order</v>
      </c>
      <c r="E900" s="18">
        <f>[2]Trucks!J897</f>
        <v>0</v>
      </c>
      <c r="F900" s="12">
        <f>[2]Trucks!E897</f>
        <v>0</v>
      </c>
      <c r="G900" s="56">
        <f>[2]Trucks!K897</f>
        <v>0</v>
      </c>
      <c r="H900" s="46">
        <f>[2]Trucks!I897</f>
        <v>0</v>
      </c>
      <c r="I900" s="83" t="str">
        <f t="shared" si="65"/>
        <v/>
      </c>
      <c r="J900" s="272" t="str">
        <f>IFERROR(VLOOKUP((D900&amp;C900)&amp;"",'[2]Retail Price List'!$C$4:$F$102,3,FALSE),"")</f>
        <v/>
      </c>
      <c r="K900" s="272">
        <f>IFERROR(IF(BA900="WIP - 30 Days",VLOOKUP(D900,[3]Standard!$B$9:$E$101,4,FALSE),IF(BA900="31-120 Days",VLOOKUP(D900,[3]Standard!$B$9:$F$101,5,FALSE),IF(BA900="121-365 Days",VLOOKUP(D900,[3]Standard!$B$9:$G$101,6,FALSE),VLOOKUP(D900,[3]Standard!$B$9:$H$101,7,FALSE)))),0)</f>
        <v>0</v>
      </c>
      <c r="L900" s="272">
        <f>IFERROR(IF(BA900="WIP - 30 Days",VLOOKUP(D900,[3]Standard!$B$9:$J$101,9,FALSE),IF(BA900="31-120 Days",VLOOKUP(D900,[3]Standard!$B$9:$K$100,10,FALSE),IF(BA900="121-365 Days",VLOOKUP(D900,[3]Standard!$B$9:$L$101,11,FALSE),VLOOKUP(D900,[3]Standard!$B$9:$M$101,12,FALSE)))),0)</f>
        <v>0</v>
      </c>
      <c r="M900" s="269" t="str">
        <f>IFERROR(VLOOKUP((D900&amp;C900)&amp;"",'[2]Retail Price List'!$C$4:$F$102,4,FALSE),"")</f>
        <v/>
      </c>
      <c r="N900" s="269">
        <f>IFERROR(IF(BA900="WIP - 30 Days",VLOOKUP(D900,[3]Extended!$B$9:$E$101,4,FALSE),IF(BA900="31-120 Days",VLOOKUP(D900,[3]Extended!$B$9:$F$101,5,FALSE),IF(BA900="121-365 Days",VLOOKUP(D900,[3]Extended!$B$9:$G$101,6,FALSE),VLOOKUP(D900,[3]Extended!$B$9:$H$101,7,FALSE)))),0)</f>
        <v>0</v>
      </c>
      <c r="O900" s="269">
        <f>IFERROR(IF(BA900="WIP - 30 Days",VLOOKUP(D900,[3]Extended!$B$9:$J$101,9,FALSE),IF(BA900="31-120 Days",VLOOKUP(D900,[3]Extended!$B$9:$K$101,10,FALSE),IF(BA900="121-365 Days",VLOOKUP(D900,[3]Extended!$B$9:$L$101,11,FALSE),VLOOKUP(D900,[3]Extended!$B$9:$M$101,12,FALSE)))),0)</f>
        <v>0</v>
      </c>
      <c r="P900" s="116" t="e">
        <f t="shared" si="66"/>
        <v>#VALUE!</v>
      </c>
      <c r="Q900" s="110" t="e">
        <f>O900-#REF!</f>
        <v>#REF!</v>
      </c>
      <c r="W900" s="311"/>
      <c r="X900" s="311"/>
      <c r="Y900" s="311"/>
      <c r="Z900" s="311"/>
      <c r="AA900" s="311"/>
      <c r="AB900" s="311"/>
      <c r="AC900" s="311"/>
      <c r="AT900" s="88" t="str">
        <f t="shared" si="67"/>
        <v>Special Order0</v>
      </c>
      <c r="AU900" s="89" t="str">
        <f t="shared" si="68"/>
        <v>01-1900</v>
      </c>
      <c r="BA900" s="92" t="str">
        <f t="shared" si="69"/>
        <v/>
      </c>
    </row>
    <row r="901" spans="2:53">
      <c r="B901" s="60">
        <f>[2]Trucks!A898</f>
        <v>0</v>
      </c>
      <c r="C901" s="11">
        <f>[2]Trucks!B898</f>
        <v>0</v>
      </c>
      <c r="D901" s="19" t="str">
        <f>IFERROR(VLOOKUP(C901&amp;"",'[2]Retail Price List'!$A$3:$B$103,2,FALSE),"Special Order")</f>
        <v>Special Order</v>
      </c>
      <c r="E901" s="18">
        <f>[2]Trucks!J898</f>
        <v>0</v>
      </c>
      <c r="F901" s="12">
        <f>[2]Trucks!E898</f>
        <v>0</v>
      </c>
      <c r="G901" s="56">
        <f>[2]Trucks!K898</f>
        <v>0</v>
      </c>
      <c r="H901" s="46">
        <f>[2]Trucks!I898</f>
        <v>0</v>
      </c>
      <c r="I901" s="83" t="str">
        <f t="shared" ref="I901:I964" si="70">IFERROR(VLOOKUP(AU901,$AW$5:$AY$40,3,FALSE),"")</f>
        <v/>
      </c>
      <c r="J901" s="272" t="str">
        <f>IFERROR(VLOOKUP((D901&amp;C901)&amp;"",'[2]Retail Price List'!$C$4:$F$102,3,FALSE),"")</f>
        <v/>
      </c>
      <c r="K901" s="272">
        <f>IFERROR(IF(BA901="WIP - 30 Days",VLOOKUP(D901,[3]Standard!$B$9:$E$101,4,FALSE),IF(BA901="31-120 Days",VLOOKUP(D901,[3]Standard!$B$9:$F$101,5,FALSE),IF(BA901="121-365 Days",VLOOKUP(D901,[3]Standard!$B$9:$G$101,6,FALSE),VLOOKUP(D901,[3]Standard!$B$9:$H$101,7,FALSE)))),0)</f>
        <v>0</v>
      </c>
      <c r="L901" s="272">
        <f>IFERROR(IF(BA901="WIP - 30 Days",VLOOKUP(D901,[3]Standard!$B$9:$J$101,9,FALSE),IF(BA901="31-120 Days",VLOOKUP(D901,[3]Standard!$B$9:$K$100,10,FALSE),IF(BA901="121-365 Days",VLOOKUP(D901,[3]Standard!$B$9:$L$101,11,FALSE),VLOOKUP(D901,[3]Standard!$B$9:$M$101,12,FALSE)))),0)</f>
        <v>0</v>
      </c>
      <c r="M901" s="269" t="str">
        <f>IFERROR(VLOOKUP((D901&amp;C901)&amp;"",'[2]Retail Price List'!$C$4:$F$102,4,FALSE),"")</f>
        <v/>
      </c>
      <c r="N901" s="269">
        <f>IFERROR(IF(BA901="WIP - 30 Days",VLOOKUP(D901,[3]Extended!$B$9:$E$101,4,FALSE),IF(BA901="31-120 Days",VLOOKUP(D901,[3]Extended!$B$9:$F$101,5,FALSE),IF(BA901="121-365 Days",VLOOKUP(D901,[3]Extended!$B$9:$G$101,6,FALSE),VLOOKUP(D901,[3]Extended!$B$9:$H$101,7,FALSE)))),0)</f>
        <v>0</v>
      </c>
      <c r="O901" s="269">
        <f>IFERROR(IF(BA901="WIP - 30 Days",VLOOKUP(D901,[3]Extended!$B$9:$J$101,9,FALSE),IF(BA901="31-120 Days",VLOOKUP(D901,[3]Extended!$B$9:$K$101,10,FALSE),IF(BA901="121-365 Days",VLOOKUP(D901,[3]Extended!$B$9:$L$101,11,FALSE),VLOOKUP(D901,[3]Extended!$B$9:$M$101,12,FALSE)))),0)</f>
        <v>0</v>
      </c>
      <c r="P901" s="116" t="e">
        <f t="shared" ref="P901:P964" si="71">(M901-O901)/M901</f>
        <v>#VALUE!</v>
      </c>
      <c r="Q901" s="110" t="e">
        <f>O901-#REF!</f>
        <v>#REF!</v>
      </c>
      <c r="W901" s="311"/>
      <c r="X901" s="311"/>
      <c r="Y901" s="311"/>
      <c r="Z901" s="311"/>
      <c r="AA901" s="311"/>
      <c r="AB901" s="311"/>
      <c r="AC901" s="311"/>
      <c r="AT901" s="88" t="str">
        <f t="shared" ref="AT901:AT964" si="72">D901&amp;I901&amp;G901</f>
        <v>Special Order0</v>
      </c>
      <c r="AU901" s="89" t="str">
        <f t="shared" ref="AU901:AU964" si="73">IF(MONTH(H901)&lt;10,0&amp;MONTH(H901)&amp;"-"&amp;YEAR(H901),MONTH(H901)&amp;"-"&amp;YEAR(H901))</f>
        <v>01-1900</v>
      </c>
      <c r="BA901" s="92" t="str">
        <f t="shared" ref="BA901:BA964" si="74">IF(B901=0,"",IF(AND(F901&gt;=31,F901&lt;=120),"31-120 Days",IF(AND(F901&gt;=121,F901&lt;=365),"121-365 Days",IF(OR(E901="CKD",F901&lt;=30),"WIP - 30 Days","&gt;365 Days"))))</f>
        <v/>
      </c>
    </row>
    <row r="902" spans="2:53">
      <c r="B902" s="60">
        <f>[2]Trucks!A899</f>
        <v>0</v>
      </c>
      <c r="C902" s="11">
        <f>[2]Trucks!B899</f>
        <v>0</v>
      </c>
      <c r="D902" s="19" t="str">
        <f>IFERROR(VLOOKUP(C902&amp;"",'[2]Retail Price List'!$A$3:$B$103,2,FALSE),"Special Order")</f>
        <v>Special Order</v>
      </c>
      <c r="E902" s="18">
        <f>[2]Trucks!J899</f>
        <v>0</v>
      </c>
      <c r="F902" s="12">
        <f>[2]Trucks!E899</f>
        <v>0</v>
      </c>
      <c r="G902" s="56">
        <f>[2]Trucks!K899</f>
        <v>0</v>
      </c>
      <c r="H902" s="46">
        <f>[2]Trucks!I899</f>
        <v>0</v>
      </c>
      <c r="I902" s="83" t="str">
        <f t="shared" si="70"/>
        <v/>
      </c>
      <c r="J902" s="272" t="str">
        <f>IFERROR(VLOOKUP((D902&amp;C902)&amp;"",'[2]Retail Price List'!$C$4:$F$102,3,FALSE),"")</f>
        <v/>
      </c>
      <c r="K902" s="272">
        <f>IFERROR(IF(BA902="WIP - 30 Days",VLOOKUP(D902,[3]Standard!$B$9:$E$101,4,FALSE),IF(BA902="31-120 Days",VLOOKUP(D902,[3]Standard!$B$9:$F$101,5,FALSE),IF(BA902="121-365 Days",VLOOKUP(D902,[3]Standard!$B$9:$G$101,6,FALSE),VLOOKUP(D902,[3]Standard!$B$9:$H$101,7,FALSE)))),0)</f>
        <v>0</v>
      </c>
      <c r="L902" s="272">
        <f>IFERROR(IF(BA902="WIP - 30 Days",VLOOKUP(D902,[3]Standard!$B$9:$J$101,9,FALSE),IF(BA902="31-120 Days",VLOOKUP(D902,[3]Standard!$B$9:$K$100,10,FALSE),IF(BA902="121-365 Days",VLOOKUP(D902,[3]Standard!$B$9:$L$101,11,FALSE),VLOOKUP(D902,[3]Standard!$B$9:$M$101,12,FALSE)))),0)</f>
        <v>0</v>
      </c>
      <c r="M902" s="269" t="str">
        <f>IFERROR(VLOOKUP((D902&amp;C902)&amp;"",'[2]Retail Price List'!$C$4:$F$102,4,FALSE),"")</f>
        <v/>
      </c>
      <c r="N902" s="269">
        <f>IFERROR(IF(BA902="WIP - 30 Days",VLOOKUP(D902,[3]Extended!$B$9:$E$101,4,FALSE),IF(BA902="31-120 Days",VLOOKUP(D902,[3]Extended!$B$9:$F$101,5,FALSE),IF(BA902="121-365 Days",VLOOKUP(D902,[3]Extended!$B$9:$G$101,6,FALSE),VLOOKUP(D902,[3]Extended!$B$9:$H$101,7,FALSE)))),0)</f>
        <v>0</v>
      </c>
      <c r="O902" s="269">
        <f>IFERROR(IF(BA902="WIP - 30 Days",VLOOKUP(D902,[3]Extended!$B$9:$J$101,9,FALSE),IF(BA902="31-120 Days",VLOOKUP(D902,[3]Extended!$B$9:$K$101,10,FALSE),IF(BA902="121-365 Days",VLOOKUP(D902,[3]Extended!$B$9:$L$101,11,FALSE),VLOOKUP(D902,[3]Extended!$B$9:$M$101,12,FALSE)))),0)</f>
        <v>0</v>
      </c>
      <c r="P902" s="116" t="e">
        <f t="shared" si="71"/>
        <v>#VALUE!</v>
      </c>
      <c r="Q902" s="110" t="e">
        <f>O902-#REF!</f>
        <v>#REF!</v>
      </c>
      <c r="W902" s="311"/>
      <c r="X902" s="311"/>
      <c r="Y902" s="311"/>
      <c r="Z902" s="311"/>
      <c r="AA902" s="311"/>
      <c r="AB902" s="311"/>
      <c r="AC902" s="311"/>
      <c r="AT902" s="88" t="str">
        <f t="shared" si="72"/>
        <v>Special Order0</v>
      </c>
      <c r="AU902" s="89" t="str">
        <f t="shared" si="73"/>
        <v>01-1900</v>
      </c>
      <c r="BA902" s="92" t="str">
        <f t="shared" si="74"/>
        <v/>
      </c>
    </row>
    <row r="903" spans="2:53">
      <c r="B903" s="60">
        <f>[2]Trucks!A900</f>
        <v>0</v>
      </c>
      <c r="C903" s="11">
        <f>[2]Trucks!B900</f>
        <v>0</v>
      </c>
      <c r="D903" s="19" t="str">
        <f>IFERROR(VLOOKUP(C903&amp;"",'[2]Retail Price List'!$A$3:$B$103,2,FALSE),"Special Order")</f>
        <v>Special Order</v>
      </c>
      <c r="E903" s="18">
        <f>[2]Trucks!J900</f>
        <v>0</v>
      </c>
      <c r="F903" s="12">
        <f>[2]Trucks!E900</f>
        <v>0</v>
      </c>
      <c r="G903" s="56">
        <f>[2]Trucks!K900</f>
        <v>0</v>
      </c>
      <c r="H903" s="46">
        <f>[2]Trucks!I900</f>
        <v>0</v>
      </c>
      <c r="I903" s="83" t="str">
        <f t="shared" si="70"/>
        <v/>
      </c>
      <c r="J903" s="272" t="str">
        <f>IFERROR(VLOOKUP((D903&amp;C903)&amp;"",'[2]Retail Price List'!$C$4:$F$102,3,FALSE),"")</f>
        <v/>
      </c>
      <c r="K903" s="272">
        <f>IFERROR(IF(BA903="WIP - 30 Days",VLOOKUP(D903,[3]Standard!$B$9:$E$101,4,FALSE),IF(BA903="31-120 Days",VLOOKUP(D903,[3]Standard!$B$9:$F$101,5,FALSE),IF(BA903="121-365 Days",VLOOKUP(D903,[3]Standard!$B$9:$G$101,6,FALSE),VLOOKUP(D903,[3]Standard!$B$9:$H$101,7,FALSE)))),0)</f>
        <v>0</v>
      </c>
      <c r="L903" s="272">
        <f>IFERROR(IF(BA903="WIP - 30 Days",VLOOKUP(D903,[3]Standard!$B$9:$J$101,9,FALSE),IF(BA903="31-120 Days",VLOOKUP(D903,[3]Standard!$B$9:$K$100,10,FALSE),IF(BA903="121-365 Days",VLOOKUP(D903,[3]Standard!$B$9:$L$101,11,FALSE),VLOOKUP(D903,[3]Standard!$B$9:$M$101,12,FALSE)))),0)</f>
        <v>0</v>
      </c>
      <c r="M903" s="269" t="str">
        <f>IFERROR(VLOOKUP((D903&amp;C903)&amp;"",'[2]Retail Price List'!$C$4:$F$102,4,FALSE),"")</f>
        <v/>
      </c>
      <c r="N903" s="269">
        <f>IFERROR(IF(BA903="WIP - 30 Days",VLOOKUP(D903,[3]Extended!$B$9:$E$101,4,FALSE),IF(BA903="31-120 Days",VLOOKUP(D903,[3]Extended!$B$9:$F$101,5,FALSE),IF(BA903="121-365 Days",VLOOKUP(D903,[3]Extended!$B$9:$G$101,6,FALSE),VLOOKUP(D903,[3]Extended!$B$9:$H$101,7,FALSE)))),0)</f>
        <v>0</v>
      </c>
      <c r="O903" s="269">
        <f>IFERROR(IF(BA903="WIP - 30 Days",VLOOKUP(D903,[3]Extended!$B$9:$J$101,9,FALSE),IF(BA903="31-120 Days",VLOOKUP(D903,[3]Extended!$B$9:$K$101,10,FALSE),IF(BA903="121-365 Days",VLOOKUP(D903,[3]Extended!$B$9:$L$101,11,FALSE),VLOOKUP(D903,[3]Extended!$B$9:$M$101,12,FALSE)))),0)</f>
        <v>0</v>
      </c>
      <c r="P903" s="116" t="e">
        <f t="shared" si="71"/>
        <v>#VALUE!</v>
      </c>
      <c r="Q903" s="110" t="e">
        <f>O903-#REF!</f>
        <v>#REF!</v>
      </c>
      <c r="W903" s="311"/>
      <c r="X903" s="311"/>
      <c r="Y903" s="311"/>
      <c r="Z903" s="311"/>
      <c r="AA903" s="311"/>
      <c r="AB903" s="311"/>
      <c r="AC903" s="311"/>
      <c r="AT903" s="88" t="str">
        <f t="shared" si="72"/>
        <v>Special Order0</v>
      </c>
      <c r="AU903" s="89" t="str">
        <f t="shared" si="73"/>
        <v>01-1900</v>
      </c>
      <c r="BA903" s="92" t="str">
        <f t="shared" si="74"/>
        <v/>
      </c>
    </row>
    <row r="904" spans="2:53">
      <c r="B904" s="60">
        <f>[2]Trucks!A901</f>
        <v>0</v>
      </c>
      <c r="C904" s="11">
        <f>[2]Trucks!B901</f>
        <v>0</v>
      </c>
      <c r="D904" s="19" t="str">
        <f>IFERROR(VLOOKUP(C904&amp;"",'[2]Retail Price List'!$A$3:$B$103,2,FALSE),"Special Order")</f>
        <v>Special Order</v>
      </c>
      <c r="E904" s="18">
        <f>[2]Trucks!J901</f>
        <v>0</v>
      </c>
      <c r="F904" s="12">
        <f>[2]Trucks!E901</f>
        <v>0</v>
      </c>
      <c r="G904" s="56">
        <f>[2]Trucks!K901</f>
        <v>0</v>
      </c>
      <c r="H904" s="46">
        <f>[2]Trucks!I901</f>
        <v>0</v>
      </c>
      <c r="I904" s="83" t="str">
        <f t="shared" si="70"/>
        <v/>
      </c>
      <c r="J904" s="272" t="str">
        <f>IFERROR(VLOOKUP((D904&amp;C904)&amp;"",'[2]Retail Price List'!$C$4:$F$102,3,FALSE),"")</f>
        <v/>
      </c>
      <c r="K904" s="272">
        <f>IFERROR(IF(BA904="WIP - 30 Days",VLOOKUP(D904,[3]Standard!$B$9:$E$101,4,FALSE),IF(BA904="31-120 Days",VLOOKUP(D904,[3]Standard!$B$9:$F$101,5,FALSE),IF(BA904="121-365 Days",VLOOKUP(D904,[3]Standard!$B$9:$G$101,6,FALSE),VLOOKUP(D904,[3]Standard!$B$9:$H$101,7,FALSE)))),0)</f>
        <v>0</v>
      </c>
      <c r="L904" s="272">
        <f>IFERROR(IF(BA904="WIP - 30 Days",VLOOKUP(D904,[3]Standard!$B$9:$J$101,9,FALSE),IF(BA904="31-120 Days",VLOOKUP(D904,[3]Standard!$B$9:$K$100,10,FALSE),IF(BA904="121-365 Days",VLOOKUP(D904,[3]Standard!$B$9:$L$101,11,FALSE),VLOOKUP(D904,[3]Standard!$B$9:$M$101,12,FALSE)))),0)</f>
        <v>0</v>
      </c>
      <c r="M904" s="269" t="str">
        <f>IFERROR(VLOOKUP((D904&amp;C904)&amp;"",'[2]Retail Price List'!$C$4:$F$102,4,FALSE),"")</f>
        <v/>
      </c>
      <c r="N904" s="269">
        <f>IFERROR(IF(BA904="WIP - 30 Days",VLOOKUP(D904,[3]Extended!$B$9:$E$101,4,FALSE),IF(BA904="31-120 Days",VLOOKUP(D904,[3]Extended!$B$9:$F$101,5,FALSE),IF(BA904="121-365 Days",VLOOKUP(D904,[3]Extended!$B$9:$G$101,6,FALSE),VLOOKUP(D904,[3]Extended!$B$9:$H$101,7,FALSE)))),0)</f>
        <v>0</v>
      </c>
      <c r="O904" s="269">
        <f>IFERROR(IF(BA904="WIP - 30 Days",VLOOKUP(D904,[3]Extended!$B$9:$J$101,9,FALSE),IF(BA904="31-120 Days",VLOOKUP(D904,[3]Extended!$B$9:$K$101,10,FALSE),IF(BA904="121-365 Days",VLOOKUP(D904,[3]Extended!$B$9:$L$101,11,FALSE),VLOOKUP(D904,[3]Extended!$B$9:$M$101,12,FALSE)))),0)</f>
        <v>0</v>
      </c>
      <c r="P904" s="116" t="e">
        <f t="shared" si="71"/>
        <v>#VALUE!</v>
      </c>
      <c r="Q904" s="110" t="e">
        <f>O904-#REF!</f>
        <v>#REF!</v>
      </c>
      <c r="W904" s="311"/>
      <c r="X904" s="311"/>
      <c r="Y904" s="311"/>
      <c r="Z904" s="311"/>
      <c r="AA904" s="311"/>
      <c r="AB904" s="311"/>
      <c r="AC904" s="311"/>
      <c r="AT904" s="88" t="str">
        <f t="shared" si="72"/>
        <v>Special Order0</v>
      </c>
      <c r="AU904" s="89" t="str">
        <f t="shared" si="73"/>
        <v>01-1900</v>
      </c>
      <c r="BA904" s="92" t="str">
        <f t="shared" si="74"/>
        <v/>
      </c>
    </row>
    <row r="905" spans="2:53">
      <c r="B905" s="60">
        <f>[2]Trucks!A902</f>
        <v>0</v>
      </c>
      <c r="C905" s="11">
        <f>[2]Trucks!B902</f>
        <v>0</v>
      </c>
      <c r="D905" s="19" t="str">
        <f>IFERROR(VLOOKUP(C905&amp;"",'[2]Retail Price List'!$A$3:$B$103,2,FALSE),"Special Order")</f>
        <v>Special Order</v>
      </c>
      <c r="E905" s="18">
        <f>[2]Trucks!J902</f>
        <v>0</v>
      </c>
      <c r="F905" s="12">
        <f>[2]Trucks!E902</f>
        <v>0</v>
      </c>
      <c r="G905" s="56">
        <f>[2]Trucks!K902</f>
        <v>0</v>
      </c>
      <c r="H905" s="46">
        <f>[2]Trucks!I902</f>
        <v>0</v>
      </c>
      <c r="I905" s="83" t="str">
        <f t="shared" si="70"/>
        <v/>
      </c>
      <c r="J905" s="272" t="str">
        <f>IFERROR(VLOOKUP((D905&amp;C905)&amp;"",'[2]Retail Price List'!$C$4:$F$102,3,FALSE),"")</f>
        <v/>
      </c>
      <c r="K905" s="272">
        <f>IFERROR(IF(BA905="WIP - 30 Days",VLOOKUP(D905,[3]Standard!$B$9:$E$101,4,FALSE),IF(BA905="31-120 Days",VLOOKUP(D905,[3]Standard!$B$9:$F$101,5,FALSE),IF(BA905="121-365 Days",VLOOKUP(D905,[3]Standard!$B$9:$G$101,6,FALSE),VLOOKUP(D905,[3]Standard!$B$9:$H$101,7,FALSE)))),0)</f>
        <v>0</v>
      </c>
      <c r="L905" s="272">
        <f>IFERROR(IF(BA905="WIP - 30 Days",VLOOKUP(D905,[3]Standard!$B$9:$J$101,9,FALSE),IF(BA905="31-120 Days",VLOOKUP(D905,[3]Standard!$B$9:$K$100,10,FALSE),IF(BA905="121-365 Days",VLOOKUP(D905,[3]Standard!$B$9:$L$101,11,FALSE),VLOOKUP(D905,[3]Standard!$B$9:$M$101,12,FALSE)))),0)</f>
        <v>0</v>
      </c>
      <c r="M905" s="269" t="str">
        <f>IFERROR(VLOOKUP((D905&amp;C905)&amp;"",'[2]Retail Price List'!$C$4:$F$102,4,FALSE),"")</f>
        <v/>
      </c>
      <c r="N905" s="269">
        <f>IFERROR(IF(BA905="WIP - 30 Days",VLOOKUP(D905,[3]Extended!$B$9:$E$101,4,FALSE),IF(BA905="31-120 Days",VLOOKUP(D905,[3]Extended!$B$9:$F$101,5,FALSE),IF(BA905="121-365 Days",VLOOKUP(D905,[3]Extended!$B$9:$G$101,6,FALSE),VLOOKUP(D905,[3]Extended!$B$9:$H$101,7,FALSE)))),0)</f>
        <v>0</v>
      </c>
      <c r="O905" s="269">
        <f>IFERROR(IF(BA905="WIP - 30 Days",VLOOKUP(D905,[3]Extended!$B$9:$J$101,9,FALSE),IF(BA905="31-120 Days",VLOOKUP(D905,[3]Extended!$B$9:$K$101,10,FALSE),IF(BA905="121-365 Days",VLOOKUP(D905,[3]Extended!$B$9:$L$101,11,FALSE),VLOOKUP(D905,[3]Extended!$B$9:$M$101,12,FALSE)))),0)</f>
        <v>0</v>
      </c>
      <c r="P905" s="116" t="e">
        <f t="shared" si="71"/>
        <v>#VALUE!</v>
      </c>
      <c r="Q905" s="110" t="e">
        <f>O905-#REF!</f>
        <v>#REF!</v>
      </c>
      <c r="W905" s="311"/>
      <c r="X905" s="311"/>
      <c r="Y905" s="311"/>
      <c r="Z905" s="311"/>
      <c r="AA905" s="311"/>
      <c r="AB905" s="311"/>
      <c r="AC905" s="311"/>
      <c r="AT905" s="88" t="str">
        <f t="shared" si="72"/>
        <v>Special Order0</v>
      </c>
      <c r="AU905" s="89" t="str">
        <f t="shared" si="73"/>
        <v>01-1900</v>
      </c>
      <c r="BA905" s="92" t="str">
        <f t="shared" si="74"/>
        <v/>
      </c>
    </row>
    <row r="906" spans="2:53">
      <c r="B906" s="60">
        <f>[2]Trucks!A903</f>
        <v>0</v>
      </c>
      <c r="C906" s="11">
        <f>[2]Trucks!B903</f>
        <v>0</v>
      </c>
      <c r="D906" s="19" t="str">
        <f>IFERROR(VLOOKUP(C906&amp;"",'[2]Retail Price List'!$A$3:$B$103,2,FALSE),"Special Order")</f>
        <v>Special Order</v>
      </c>
      <c r="E906" s="18">
        <f>[2]Trucks!J903</f>
        <v>0</v>
      </c>
      <c r="F906" s="12">
        <f>[2]Trucks!E903</f>
        <v>0</v>
      </c>
      <c r="G906" s="56">
        <f>[2]Trucks!K903</f>
        <v>0</v>
      </c>
      <c r="H906" s="46">
        <f>[2]Trucks!I903</f>
        <v>0</v>
      </c>
      <c r="I906" s="83" t="str">
        <f t="shared" si="70"/>
        <v/>
      </c>
      <c r="J906" s="272" t="str">
        <f>IFERROR(VLOOKUP((D906&amp;C906)&amp;"",'[2]Retail Price List'!$C$4:$F$102,3,FALSE),"")</f>
        <v/>
      </c>
      <c r="K906" s="272">
        <f>IFERROR(IF(BA906="WIP - 30 Days",VLOOKUP(D906,[3]Standard!$B$9:$E$101,4,FALSE),IF(BA906="31-120 Days",VLOOKUP(D906,[3]Standard!$B$9:$F$101,5,FALSE),IF(BA906="121-365 Days",VLOOKUP(D906,[3]Standard!$B$9:$G$101,6,FALSE),VLOOKUP(D906,[3]Standard!$B$9:$H$101,7,FALSE)))),0)</f>
        <v>0</v>
      </c>
      <c r="L906" s="272">
        <f>IFERROR(IF(BA906="WIP - 30 Days",VLOOKUP(D906,[3]Standard!$B$9:$J$101,9,FALSE),IF(BA906="31-120 Days",VLOOKUP(D906,[3]Standard!$B$9:$K$100,10,FALSE),IF(BA906="121-365 Days",VLOOKUP(D906,[3]Standard!$B$9:$L$101,11,FALSE),VLOOKUP(D906,[3]Standard!$B$9:$M$101,12,FALSE)))),0)</f>
        <v>0</v>
      </c>
      <c r="M906" s="269" t="str">
        <f>IFERROR(VLOOKUP((D906&amp;C906)&amp;"",'[2]Retail Price List'!$C$4:$F$102,4,FALSE),"")</f>
        <v/>
      </c>
      <c r="N906" s="269">
        <f>IFERROR(IF(BA906="WIP - 30 Days",VLOOKUP(D906,[3]Extended!$B$9:$E$101,4,FALSE),IF(BA906="31-120 Days",VLOOKUP(D906,[3]Extended!$B$9:$F$101,5,FALSE),IF(BA906="121-365 Days",VLOOKUP(D906,[3]Extended!$B$9:$G$101,6,FALSE),VLOOKUP(D906,[3]Extended!$B$9:$H$101,7,FALSE)))),0)</f>
        <v>0</v>
      </c>
      <c r="O906" s="269">
        <f>IFERROR(IF(BA906="WIP - 30 Days",VLOOKUP(D906,[3]Extended!$B$9:$J$101,9,FALSE),IF(BA906="31-120 Days",VLOOKUP(D906,[3]Extended!$B$9:$K$101,10,FALSE),IF(BA906="121-365 Days",VLOOKUP(D906,[3]Extended!$B$9:$L$101,11,FALSE),VLOOKUP(D906,[3]Extended!$B$9:$M$101,12,FALSE)))),0)</f>
        <v>0</v>
      </c>
      <c r="P906" s="116" t="e">
        <f t="shared" si="71"/>
        <v>#VALUE!</v>
      </c>
      <c r="Q906" s="110" t="e">
        <f>O906-#REF!</f>
        <v>#REF!</v>
      </c>
      <c r="W906" s="311"/>
      <c r="X906" s="311"/>
      <c r="Y906" s="311"/>
      <c r="Z906" s="311"/>
      <c r="AA906" s="311"/>
      <c r="AB906" s="311"/>
      <c r="AC906" s="311"/>
      <c r="AT906" s="88" t="str">
        <f t="shared" si="72"/>
        <v>Special Order0</v>
      </c>
      <c r="AU906" s="89" t="str">
        <f t="shared" si="73"/>
        <v>01-1900</v>
      </c>
      <c r="BA906" s="92" t="str">
        <f t="shared" si="74"/>
        <v/>
      </c>
    </row>
    <row r="907" spans="2:53">
      <c r="B907" s="60">
        <f>[2]Trucks!A904</f>
        <v>0</v>
      </c>
      <c r="C907" s="11">
        <f>[2]Trucks!B904</f>
        <v>0</v>
      </c>
      <c r="D907" s="19" t="str">
        <f>IFERROR(VLOOKUP(C907&amp;"",'[2]Retail Price List'!$A$3:$B$103,2,FALSE),"Special Order")</f>
        <v>Special Order</v>
      </c>
      <c r="E907" s="18">
        <f>[2]Trucks!J904</f>
        <v>0</v>
      </c>
      <c r="F907" s="12">
        <f>[2]Trucks!E904</f>
        <v>0</v>
      </c>
      <c r="G907" s="56">
        <f>[2]Trucks!K904</f>
        <v>0</v>
      </c>
      <c r="H907" s="46">
        <f>[2]Trucks!I904</f>
        <v>0</v>
      </c>
      <c r="I907" s="83" t="str">
        <f t="shared" si="70"/>
        <v/>
      </c>
      <c r="J907" s="272" t="str">
        <f>IFERROR(VLOOKUP((D907&amp;C907)&amp;"",'[2]Retail Price List'!$C$4:$F$102,3,FALSE),"")</f>
        <v/>
      </c>
      <c r="K907" s="272">
        <f>IFERROR(IF(BA907="WIP - 30 Days",VLOOKUP(D907,[3]Standard!$B$9:$E$101,4,FALSE),IF(BA907="31-120 Days",VLOOKUP(D907,[3]Standard!$B$9:$F$101,5,FALSE),IF(BA907="121-365 Days",VLOOKUP(D907,[3]Standard!$B$9:$G$101,6,FALSE),VLOOKUP(D907,[3]Standard!$B$9:$H$101,7,FALSE)))),0)</f>
        <v>0</v>
      </c>
      <c r="L907" s="272">
        <f>IFERROR(IF(BA907="WIP - 30 Days",VLOOKUP(D907,[3]Standard!$B$9:$J$101,9,FALSE),IF(BA907="31-120 Days",VLOOKUP(D907,[3]Standard!$B$9:$K$100,10,FALSE),IF(BA907="121-365 Days",VLOOKUP(D907,[3]Standard!$B$9:$L$101,11,FALSE),VLOOKUP(D907,[3]Standard!$B$9:$M$101,12,FALSE)))),0)</f>
        <v>0</v>
      </c>
      <c r="M907" s="269" t="str">
        <f>IFERROR(VLOOKUP((D907&amp;C907)&amp;"",'[2]Retail Price List'!$C$4:$F$102,4,FALSE),"")</f>
        <v/>
      </c>
      <c r="N907" s="269">
        <f>IFERROR(IF(BA907="WIP - 30 Days",VLOOKUP(D907,[3]Extended!$B$9:$E$101,4,FALSE),IF(BA907="31-120 Days",VLOOKUP(D907,[3]Extended!$B$9:$F$101,5,FALSE),IF(BA907="121-365 Days",VLOOKUP(D907,[3]Extended!$B$9:$G$101,6,FALSE),VLOOKUP(D907,[3]Extended!$B$9:$H$101,7,FALSE)))),0)</f>
        <v>0</v>
      </c>
      <c r="O907" s="269">
        <f>IFERROR(IF(BA907="WIP - 30 Days",VLOOKUP(D907,[3]Extended!$B$9:$J$101,9,FALSE),IF(BA907="31-120 Days",VLOOKUP(D907,[3]Extended!$B$9:$K$101,10,FALSE),IF(BA907="121-365 Days",VLOOKUP(D907,[3]Extended!$B$9:$L$101,11,FALSE),VLOOKUP(D907,[3]Extended!$B$9:$M$101,12,FALSE)))),0)</f>
        <v>0</v>
      </c>
      <c r="P907" s="116" t="e">
        <f t="shared" si="71"/>
        <v>#VALUE!</v>
      </c>
      <c r="Q907" s="110" t="e">
        <f>O907-#REF!</f>
        <v>#REF!</v>
      </c>
      <c r="W907" s="311"/>
      <c r="X907" s="311"/>
      <c r="Y907" s="311"/>
      <c r="Z907" s="311"/>
      <c r="AA907" s="311"/>
      <c r="AB907" s="311"/>
      <c r="AC907" s="311"/>
      <c r="AT907" s="88" t="str">
        <f t="shared" si="72"/>
        <v>Special Order0</v>
      </c>
      <c r="AU907" s="89" t="str">
        <f t="shared" si="73"/>
        <v>01-1900</v>
      </c>
      <c r="BA907" s="92" t="str">
        <f t="shared" si="74"/>
        <v/>
      </c>
    </row>
    <row r="908" spans="2:53">
      <c r="B908" s="60">
        <f>[2]Trucks!A905</f>
        <v>0</v>
      </c>
      <c r="C908" s="11">
        <f>[2]Trucks!B905</f>
        <v>0</v>
      </c>
      <c r="D908" s="19" t="str">
        <f>IFERROR(VLOOKUP(C908&amp;"",'[2]Retail Price List'!$A$3:$B$103,2,FALSE),"Special Order")</f>
        <v>Special Order</v>
      </c>
      <c r="E908" s="18">
        <f>[2]Trucks!J905</f>
        <v>0</v>
      </c>
      <c r="F908" s="12">
        <f>[2]Trucks!E905</f>
        <v>0</v>
      </c>
      <c r="G908" s="56">
        <f>[2]Trucks!K905</f>
        <v>0</v>
      </c>
      <c r="H908" s="46">
        <f>[2]Trucks!I905</f>
        <v>0</v>
      </c>
      <c r="I908" s="83" t="str">
        <f t="shared" si="70"/>
        <v/>
      </c>
      <c r="J908" s="272" t="str">
        <f>IFERROR(VLOOKUP((D908&amp;C908)&amp;"",'[2]Retail Price List'!$C$4:$F$102,3,FALSE),"")</f>
        <v/>
      </c>
      <c r="K908" s="272">
        <f>IFERROR(IF(BA908="WIP - 30 Days",VLOOKUP(D908,[3]Standard!$B$9:$E$101,4,FALSE),IF(BA908="31-120 Days",VLOOKUP(D908,[3]Standard!$B$9:$F$101,5,FALSE),IF(BA908="121-365 Days",VLOOKUP(D908,[3]Standard!$B$9:$G$101,6,FALSE),VLOOKUP(D908,[3]Standard!$B$9:$H$101,7,FALSE)))),0)</f>
        <v>0</v>
      </c>
      <c r="L908" s="272">
        <f>IFERROR(IF(BA908="WIP - 30 Days",VLOOKUP(D908,[3]Standard!$B$9:$J$101,9,FALSE),IF(BA908="31-120 Days",VLOOKUP(D908,[3]Standard!$B$9:$K$100,10,FALSE),IF(BA908="121-365 Days",VLOOKUP(D908,[3]Standard!$B$9:$L$101,11,FALSE),VLOOKUP(D908,[3]Standard!$B$9:$M$101,12,FALSE)))),0)</f>
        <v>0</v>
      </c>
      <c r="M908" s="269" t="str">
        <f>IFERROR(VLOOKUP((D908&amp;C908)&amp;"",'[2]Retail Price List'!$C$4:$F$102,4,FALSE),"")</f>
        <v/>
      </c>
      <c r="N908" s="269">
        <f>IFERROR(IF(BA908="WIP - 30 Days",VLOOKUP(D908,[3]Extended!$B$9:$E$101,4,FALSE),IF(BA908="31-120 Days",VLOOKUP(D908,[3]Extended!$B$9:$F$101,5,FALSE),IF(BA908="121-365 Days",VLOOKUP(D908,[3]Extended!$B$9:$G$101,6,FALSE),VLOOKUP(D908,[3]Extended!$B$9:$H$101,7,FALSE)))),0)</f>
        <v>0</v>
      </c>
      <c r="O908" s="269">
        <f>IFERROR(IF(BA908="WIP - 30 Days",VLOOKUP(D908,[3]Extended!$B$9:$J$101,9,FALSE),IF(BA908="31-120 Days",VLOOKUP(D908,[3]Extended!$B$9:$K$101,10,FALSE),IF(BA908="121-365 Days",VLOOKUP(D908,[3]Extended!$B$9:$L$101,11,FALSE),VLOOKUP(D908,[3]Extended!$B$9:$M$101,12,FALSE)))),0)</f>
        <v>0</v>
      </c>
      <c r="P908" s="116" t="e">
        <f t="shared" si="71"/>
        <v>#VALUE!</v>
      </c>
      <c r="Q908" s="110" t="e">
        <f>O908-#REF!</f>
        <v>#REF!</v>
      </c>
      <c r="W908" s="311"/>
      <c r="X908" s="311"/>
      <c r="Y908" s="311"/>
      <c r="Z908" s="311"/>
      <c r="AA908" s="311"/>
      <c r="AB908" s="311"/>
      <c r="AC908" s="311"/>
      <c r="AT908" s="88" t="str">
        <f t="shared" si="72"/>
        <v>Special Order0</v>
      </c>
      <c r="AU908" s="89" t="str">
        <f t="shared" si="73"/>
        <v>01-1900</v>
      </c>
      <c r="BA908" s="92" t="str">
        <f t="shared" si="74"/>
        <v/>
      </c>
    </row>
    <row r="909" spans="2:53">
      <c r="B909" s="60">
        <f>[2]Trucks!A906</f>
        <v>0</v>
      </c>
      <c r="C909" s="11">
        <f>[2]Trucks!B906</f>
        <v>0</v>
      </c>
      <c r="D909" s="19" t="str">
        <f>IFERROR(VLOOKUP(C909&amp;"",'[2]Retail Price List'!$A$3:$B$103,2,FALSE),"Special Order")</f>
        <v>Special Order</v>
      </c>
      <c r="E909" s="18">
        <f>[2]Trucks!J906</f>
        <v>0</v>
      </c>
      <c r="F909" s="12">
        <f>[2]Trucks!E906</f>
        <v>0</v>
      </c>
      <c r="G909" s="56">
        <f>[2]Trucks!K906</f>
        <v>0</v>
      </c>
      <c r="H909" s="46">
        <f>[2]Trucks!I906</f>
        <v>0</v>
      </c>
      <c r="I909" s="83" t="str">
        <f t="shared" si="70"/>
        <v/>
      </c>
      <c r="J909" s="272" t="str">
        <f>IFERROR(VLOOKUP((D909&amp;C909)&amp;"",'[2]Retail Price List'!$C$4:$F$102,3,FALSE),"")</f>
        <v/>
      </c>
      <c r="K909" s="272">
        <f>IFERROR(IF(BA909="WIP - 30 Days",VLOOKUP(D909,[3]Standard!$B$9:$E$101,4,FALSE),IF(BA909="31-120 Days",VLOOKUP(D909,[3]Standard!$B$9:$F$101,5,FALSE),IF(BA909="121-365 Days",VLOOKUP(D909,[3]Standard!$B$9:$G$101,6,FALSE),VLOOKUP(D909,[3]Standard!$B$9:$H$101,7,FALSE)))),0)</f>
        <v>0</v>
      </c>
      <c r="L909" s="272">
        <f>IFERROR(IF(BA909="WIP - 30 Days",VLOOKUP(D909,[3]Standard!$B$9:$J$101,9,FALSE),IF(BA909="31-120 Days",VLOOKUP(D909,[3]Standard!$B$9:$K$100,10,FALSE),IF(BA909="121-365 Days",VLOOKUP(D909,[3]Standard!$B$9:$L$101,11,FALSE),VLOOKUP(D909,[3]Standard!$B$9:$M$101,12,FALSE)))),0)</f>
        <v>0</v>
      </c>
      <c r="M909" s="269" t="str">
        <f>IFERROR(VLOOKUP((D909&amp;C909)&amp;"",'[2]Retail Price List'!$C$4:$F$102,4,FALSE),"")</f>
        <v/>
      </c>
      <c r="N909" s="269">
        <f>IFERROR(IF(BA909="WIP - 30 Days",VLOOKUP(D909,[3]Extended!$B$9:$E$101,4,FALSE),IF(BA909="31-120 Days",VLOOKUP(D909,[3]Extended!$B$9:$F$101,5,FALSE),IF(BA909="121-365 Days",VLOOKUP(D909,[3]Extended!$B$9:$G$101,6,FALSE),VLOOKUP(D909,[3]Extended!$B$9:$H$101,7,FALSE)))),0)</f>
        <v>0</v>
      </c>
      <c r="O909" s="269">
        <f>IFERROR(IF(BA909="WIP - 30 Days",VLOOKUP(D909,[3]Extended!$B$9:$J$101,9,FALSE),IF(BA909="31-120 Days",VLOOKUP(D909,[3]Extended!$B$9:$K$101,10,FALSE),IF(BA909="121-365 Days",VLOOKUP(D909,[3]Extended!$B$9:$L$101,11,FALSE),VLOOKUP(D909,[3]Extended!$B$9:$M$101,12,FALSE)))),0)</f>
        <v>0</v>
      </c>
      <c r="P909" s="116" t="e">
        <f t="shared" si="71"/>
        <v>#VALUE!</v>
      </c>
      <c r="Q909" s="110" t="e">
        <f>O909-#REF!</f>
        <v>#REF!</v>
      </c>
      <c r="W909" s="311"/>
      <c r="X909" s="311"/>
      <c r="Y909" s="311"/>
      <c r="Z909" s="311"/>
      <c r="AA909" s="311"/>
      <c r="AB909" s="311"/>
      <c r="AC909" s="311"/>
      <c r="AT909" s="88" t="str">
        <f t="shared" si="72"/>
        <v>Special Order0</v>
      </c>
      <c r="AU909" s="89" t="str">
        <f t="shared" si="73"/>
        <v>01-1900</v>
      </c>
      <c r="BA909" s="92" t="str">
        <f t="shared" si="74"/>
        <v/>
      </c>
    </row>
    <row r="910" spans="2:53">
      <c r="B910" s="60">
        <f>[2]Trucks!A907</f>
        <v>0</v>
      </c>
      <c r="C910" s="11">
        <f>[2]Trucks!B907</f>
        <v>0</v>
      </c>
      <c r="D910" s="19" t="str">
        <f>IFERROR(VLOOKUP(C910&amp;"",'[2]Retail Price List'!$A$3:$B$103,2,FALSE),"Special Order")</f>
        <v>Special Order</v>
      </c>
      <c r="E910" s="18">
        <f>[2]Trucks!J907</f>
        <v>0</v>
      </c>
      <c r="F910" s="12">
        <f>[2]Trucks!E907</f>
        <v>0</v>
      </c>
      <c r="G910" s="56">
        <f>[2]Trucks!K907</f>
        <v>0</v>
      </c>
      <c r="H910" s="46">
        <f>[2]Trucks!I907</f>
        <v>0</v>
      </c>
      <c r="I910" s="83" t="str">
        <f t="shared" si="70"/>
        <v/>
      </c>
      <c r="J910" s="272" t="str">
        <f>IFERROR(VLOOKUP((D910&amp;C910)&amp;"",'[2]Retail Price List'!$C$4:$F$102,3,FALSE),"")</f>
        <v/>
      </c>
      <c r="K910" s="272">
        <f>IFERROR(IF(BA910="WIP - 30 Days",VLOOKUP(D910,[3]Standard!$B$9:$E$101,4,FALSE),IF(BA910="31-120 Days",VLOOKUP(D910,[3]Standard!$B$9:$F$101,5,FALSE),IF(BA910="121-365 Days",VLOOKUP(D910,[3]Standard!$B$9:$G$101,6,FALSE),VLOOKUP(D910,[3]Standard!$B$9:$H$101,7,FALSE)))),0)</f>
        <v>0</v>
      </c>
      <c r="L910" s="272">
        <f>IFERROR(IF(BA910="WIP - 30 Days",VLOOKUP(D910,[3]Standard!$B$9:$J$101,9,FALSE),IF(BA910="31-120 Days",VLOOKUP(D910,[3]Standard!$B$9:$K$100,10,FALSE),IF(BA910="121-365 Days",VLOOKUP(D910,[3]Standard!$B$9:$L$101,11,FALSE),VLOOKUP(D910,[3]Standard!$B$9:$M$101,12,FALSE)))),0)</f>
        <v>0</v>
      </c>
      <c r="M910" s="269" t="str">
        <f>IFERROR(VLOOKUP((D910&amp;C910)&amp;"",'[2]Retail Price List'!$C$4:$F$102,4,FALSE),"")</f>
        <v/>
      </c>
      <c r="N910" s="269">
        <f>IFERROR(IF(BA910="WIP - 30 Days",VLOOKUP(D910,[3]Extended!$B$9:$E$101,4,FALSE),IF(BA910="31-120 Days",VLOOKUP(D910,[3]Extended!$B$9:$F$101,5,FALSE),IF(BA910="121-365 Days",VLOOKUP(D910,[3]Extended!$B$9:$G$101,6,FALSE),VLOOKUP(D910,[3]Extended!$B$9:$H$101,7,FALSE)))),0)</f>
        <v>0</v>
      </c>
      <c r="O910" s="269">
        <f>IFERROR(IF(BA910="WIP - 30 Days",VLOOKUP(D910,[3]Extended!$B$9:$J$101,9,FALSE),IF(BA910="31-120 Days",VLOOKUP(D910,[3]Extended!$B$9:$K$101,10,FALSE),IF(BA910="121-365 Days",VLOOKUP(D910,[3]Extended!$B$9:$L$101,11,FALSE),VLOOKUP(D910,[3]Extended!$B$9:$M$101,12,FALSE)))),0)</f>
        <v>0</v>
      </c>
      <c r="P910" s="116" t="e">
        <f t="shared" si="71"/>
        <v>#VALUE!</v>
      </c>
      <c r="Q910" s="110" t="e">
        <f>O910-#REF!</f>
        <v>#REF!</v>
      </c>
      <c r="W910" s="311"/>
      <c r="X910" s="311"/>
      <c r="Y910" s="311"/>
      <c r="Z910" s="311"/>
      <c r="AA910" s="311"/>
      <c r="AB910" s="311"/>
      <c r="AC910" s="311"/>
      <c r="AT910" s="88" t="str">
        <f t="shared" si="72"/>
        <v>Special Order0</v>
      </c>
      <c r="AU910" s="89" t="str">
        <f t="shared" si="73"/>
        <v>01-1900</v>
      </c>
      <c r="BA910" s="92" t="str">
        <f t="shared" si="74"/>
        <v/>
      </c>
    </row>
    <row r="911" spans="2:53">
      <c r="B911" s="60">
        <f>[2]Trucks!A908</f>
        <v>0</v>
      </c>
      <c r="C911" s="11">
        <f>[2]Trucks!B908</f>
        <v>0</v>
      </c>
      <c r="D911" s="19" t="str">
        <f>IFERROR(VLOOKUP(C911&amp;"",'[2]Retail Price List'!$A$3:$B$103,2,FALSE),"Special Order")</f>
        <v>Special Order</v>
      </c>
      <c r="E911" s="18">
        <f>[2]Trucks!J908</f>
        <v>0</v>
      </c>
      <c r="F911" s="12">
        <f>[2]Trucks!E908</f>
        <v>0</v>
      </c>
      <c r="G911" s="56">
        <f>[2]Trucks!K908</f>
        <v>0</v>
      </c>
      <c r="H911" s="46">
        <f>[2]Trucks!I908</f>
        <v>0</v>
      </c>
      <c r="I911" s="83" t="str">
        <f t="shared" si="70"/>
        <v/>
      </c>
      <c r="J911" s="272" t="str">
        <f>IFERROR(VLOOKUP((D911&amp;C911)&amp;"",'[2]Retail Price List'!$C$4:$F$102,3,FALSE),"")</f>
        <v/>
      </c>
      <c r="K911" s="272">
        <f>IFERROR(IF(BA911="WIP - 30 Days",VLOOKUP(D911,[3]Standard!$B$9:$E$101,4,FALSE),IF(BA911="31-120 Days",VLOOKUP(D911,[3]Standard!$B$9:$F$101,5,FALSE),IF(BA911="121-365 Days",VLOOKUP(D911,[3]Standard!$B$9:$G$101,6,FALSE),VLOOKUP(D911,[3]Standard!$B$9:$H$101,7,FALSE)))),0)</f>
        <v>0</v>
      </c>
      <c r="L911" s="272">
        <f>IFERROR(IF(BA911="WIP - 30 Days",VLOOKUP(D911,[3]Standard!$B$9:$J$101,9,FALSE),IF(BA911="31-120 Days",VLOOKUP(D911,[3]Standard!$B$9:$K$100,10,FALSE),IF(BA911="121-365 Days",VLOOKUP(D911,[3]Standard!$B$9:$L$101,11,FALSE),VLOOKUP(D911,[3]Standard!$B$9:$M$101,12,FALSE)))),0)</f>
        <v>0</v>
      </c>
      <c r="M911" s="269" t="str">
        <f>IFERROR(VLOOKUP((D911&amp;C911)&amp;"",'[2]Retail Price List'!$C$4:$F$102,4,FALSE),"")</f>
        <v/>
      </c>
      <c r="N911" s="269">
        <f>IFERROR(IF(BA911="WIP - 30 Days",VLOOKUP(D911,[3]Extended!$B$9:$E$101,4,FALSE),IF(BA911="31-120 Days",VLOOKUP(D911,[3]Extended!$B$9:$F$101,5,FALSE),IF(BA911="121-365 Days",VLOOKUP(D911,[3]Extended!$B$9:$G$101,6,FALSE),VLOOKUP(D911,[3]Extended!$B$9:$H$101,7,FALSE)))),0)</f>
        <v>0</v>
      </c>
      <c r="O911" s="269">
        <f>IFERROR(IF(BA911="WIP - 30 Days",VLOOKUP(D911,[3]Extended!$B$9:$J$101,9,FALSE),IF(BA911="31-120 Days",VLOOKUP(D911,[3]Extended!$B$9:$K$101,10,FALSE),IF(BA911="121-365 Days",VLOOKUP(D911,[3]Extended!$B$9:$L$101,11,FALSE),VLOOKUP(D911,[3]Extended!$B$9:$M$101,12,FALSE)))),0)</f>
        <v>0</v>
      </c>
      <c r="P911" s="116" t="e">
        <f t="shared" si="71"/>
        <v>#VALUE!</v>
      </c>
      <c r="Q911" s="110" t="e">
        <f>O911-#REF!</f>
        <v>#REF!</v>
      </c>
      <c r="W911" s="311"/>
      <c r="X911" s="311"/>
      <c r="Y911" s="311"/>
      <c r="Z911" s="311"/>
      <c r="AA911" s="311"/>
      <c r="AB911" s="311"/>
      <c r="AC911" s="311"/>
      <c r="AT911" s="88" t="str">
        <f t="shared" si="72"/>
        <v>Special Order0</v>
      </c>
      <c r="AU911" s="89" t="str">
        <f t="shared" si="73"/>
        <v>01-1900</v>
      </c>
      <c r="BA911" s="92" t="str">
        <f t="shared" si="74"/>
        <v/>
      </c>
    </row>
    <row r="912" spans="2:53">
      <c r="B912" s="60">
        <f>[2]Trucks!A909</f>
        <v>0</v>
      </c>
      <c r="C912" s="11">
        <f>[2]Trucks!B909</f>
        <v>0</v>
      </c>
      <c r="D912" s="19" t="str">
        <f>IFERROR(VLOOKUP(C912&amp;"",'[2]Retail Price List'!$A$3:$B$103,2,FALSE),"Special Order")</f>
        <v>Special Order</v>
      </c>
      <c r="E912" s="18">
        <f>[2]Trucks!J909</f>
        <v>0</v>
      </c>
      <c r="F912" s="12">
        <f>[2]Trucks!E909</f>
        <v>0</v>
      </c>
      <c r="G912" s="56">
        <f>[2]Trucks!K909</f>
        <v>0</v>
      </c>
      <c r="H912" s="46">
        <f>[2]Trucks!I909</f>
        <v>0</v>
      </c>
      <c r="I912" s="83" t="str">
        <f t="shared" si="70"/>
        <v/>
      </c>
      <c r="J912" s="272" t="str">
        <f>IFERROR(VLOOKUP((D912&amp;C912)&amp;"",'[2]Retail Price List'!$C$4:$F$102,3,FALSE),"")</f>
        <v/>
      </c>
      <c r="K912" s="272">
        <f>IFERROR(IF(BA912="WIP - 30 Days",VLOOKUP(D912,[3]Standard!$B$9:$E$101,4,FALSE),IF(BA912="31-120 Days",VLOOKUP(D912,[3]Standard!$B$9:$F$101,5,FALSE),IF(BA912="121-365 Days",VLOOKUP(D912,[3]Standard!$B$9:$G$101,6,FALSE),VLOOKUP(D912,[3]Standard!$B$9:$H$101,7,FALSE)))),0)</f>
        <v>0</v>
      </c>
      <c r="L912" s="272">
        <f>IFERROR(IF(BA912="WIP - 30 Days",VLOOKUP(D912,[3]Standard!$B$9:$J$101,9,FALSE),IF(BA912="31-120 Days",VLOOKUP(D912,[3]Standard!$B$9:$K$100,10,FALSE),IF(BA912="121-365 Days",VLOOKUP(D912,[3]Standard!$B$9:$L$101,11,FALSE),VLOOKUP(D912,[3]Standard!$B$9:$M$101,12,FALSE)))),0)</f>
        <v>0</v>
      </c>
      <c r="M912" s="269" t="str">
        <f>IFERROR(VLOOKUP((D912&amp;C912)&amp;"",'[2]Retail Price List'!$C$4:$F$102,4,FALSE),"")</f>
        <v/>
      </c>
      <c r="N912" s="269">
        <f>IFERROR(IF(BA912="WIP - 30 Days",VLOOKUP(D912,[3]Extended!$B$9:$E$101,4,FALSE),IF(BA912="31-120 Days",VLOOKUP(D912,[3]Extended!$B$9:$F$101,5,FALSE),IF(BA912="121-365 Days",VLOOKUP(D912,[3]Extended!$B$9:$G$101,6,FALSE),VLOOKUP(D912,[3]Extended!$B$9:$H$101,7,FALSE)))),0)</f>
        <v>0</v>
      </c>
      <c r="O912" s="269">
        <f>IFERROR(IF(BA912="WIP - 30 Days",VLOOKUP(D912,[3]Extended!$B$9:$J$101,9,FALSE),IF(BA912="31-120 Days",VLOOKUP(D912,[3]Extended!$B$9:$K$101,10,FALSE),IF(BA912="121-365 Days",VLOOKUP(D912,[3]Extended!$B$9:$L$101,11,FALSE),VLOOKUP(D912,[3]Extended!$B$9:$M$101,12,FALSE)))),0)</f>
        <v>0</v>
      </c>
      <c r="P912" s="116" t="e">
        <f t="shared" si="71"/>
        <v>#VALUE!</v>
      </c>
      <c r="Q912" s="110" t="e">
        <f>O912-#REF!</f>
        <v>#REF!</v>
      </c>
      <c r="W912" s="311"/>
      <c r="X912" s="311"/>
      <c r="Y912" s="311"/>
      <c r="Z912" s="311"/>
      <c r="AA912" s="311"/>
      <c r="AB912" s="311"/>
      <c r="AC912" s="311"/>
      <c r="AT912" s="88" t="str">
        <f t="shared" si="72"/>
        <v>Special Order0</v>
      </c>
      <c r="AU912" s="89" t="str">
        <f t="shared" si="73"/>
        <v>01-1900</v>
      </c>
      <c r="BA912" s="92" t="str">
        <f t="shared" si="74"/>
        <v/>
      </c>
    </row>
    <row r="913" spans="2:53">
      <c r="B913" s="60">
        <f>[2]Trucks!A910</f>
        <v>0</v>
      </c>
      <c r="C913" s="11">
        <f>[2]Trucks!B910</f>
        <v>0</v>
      </c>
      <c r="D913" s="19" t="str">
        <f>IFERROR(VLOOKUP(C913&amp;"",'[2]Retail Price List'!$A$3:$B$103,2,FALSE),"Special Order")</f>
        <v>Special Order</v>
      </c>
      <c r="E913" s="18">
        <f>[2]Trucks!J910</f>
        <v>0</v>
      </c>
      <c r="F913" s="12">
        <f>[2]Trucks!E910</f>
        <v>0</v>
      </c>
      <c r="G913" s="56">
        <f>[2]Trucks!K910</f>
        <v>0</v>
      </c>
      <c r="H913" s="46">
        <f>[2]Trucks!I910</f>
        <v>0</v>
      </c>
      <c r="I913" s="83" t="str">
        <f t="shared" si="70"/>
        <v/>
      </c>
      <c r="J913" s="272" t="str">
        <f>IFERROR(VLOOKUP((D913&amp;C913)&amp;"",'[2]Retail Price List'!$C$4:$F$102,3,FALSE),"")</f>
        <v/>
      </c>
      <c r="K913" s="272">
        <f>IFERROR(IF(BA913="WIP - 30 Days",VLOOKUP(D913,[3]Standard!$B$9:$E$101,4,FALSE),IF(BA913="31-120 Days",VLOOKUP(D913,[3]Standard!$B$9:$F$101,5,FALSE),IF(BA913="121-365 Days",VLOOKUP(D913,[3]Standard!$B$9:$G$101,6,FALSE),VLOOKUP(D913,[3]Standard!$B$9:$H$101,7,FALSE)))),0)</f>
        <v>0</v>
      </c>
      <c r="L913" s="272">
        <f>IFERROR(IF(BA913="WIP - 30 Days",VLOOKUP(D913,[3]Standard!$B$9:$J$101,9,FALSE),IF(BA913="31-120 Days",VLOOKUP(D913,[3]Standard!$B$9:$K$100,10,FALSE),IF(BA913="121-365 Days",VLOOKUP(D913,[3]Standard!$B$9:$L$101,11,FALSE),VLOOKUP(D913,[3]Standard!$B$9:$M$101,12,FALSE)))),0)</f>
        <v>0</v>
      </c>
      <c r="M913" s="269" t="str">
        <f>IFERROR(VLOOKUP((D913&amp;C913)&amp;"",'[2]Retail Price List'!$C$4:$F$102,4,FALSE),"")</f>
        <v/>
      </c>
      <c r="N913" s="269">
        <f>IFERROR(IF(BA913="WIP - 30 Days",VLOOKUP(D913,[3]Extended!$B$9:$E$101,4,FALSE),IF(BA913="31-120 Days",VLOOKUP(D913,[3]Extended!$B$9:$F$101,5,FALSE),IF(BA913="121-365 Days",VLOOKUP(D913,[3]Extended!$B$9:$G$101,6,FALSE),VLOOKUP(D913,[3]Extended!$B$9:$H$101,7,FALSE)))),0)</f>
        <v>0</v>
      </c>
      <c r="O913" s="269">
        <f>IFERROR(IF(BA913="WIP - 30 Days",VLOOKUP(D913,[3]Extended!$B$9:$J$101,9,FALSE),IF(BA913="31-120 Days",VLOOKUP(D913,[3]Extended!$B$9:$K$101,10,FALSE),IF(BA913="121-365 Days",VLOOKUP(D913,[3]Extended!$B$9:$L$101,11,FALSE),VLOOKUP(D913,[3]Extended!$B$9:$M$101,12,FALSE)))),0)</f>
        <v>0</v>
      </c>
      <c r="P913" s="116" t="e">
        <f t="shared" si="71"/>
        <v>#VALUE!</v>
      </c>
      <c r="Q913" s="110" t="e">
        <f>O913-#REF!</f>
        <v>#REF!</v>
      </c>
      <c r="W913" s="311"/>
      <c r="X913" s="311"/>
      <c r="Y913" s="311"/>
      <c r="Z913" s="311"/>
      <c r="AA913" s="311"/>
      <c r="AB913" s="311"/>
      <c r="AC913" s="311"/>
      <c r="AT913" s="88" t="str">
        <f t="shared" si="72"/>
        <v>Special Order0</v>
      </c>
      <c r="AU913" s="89" t="str">
        <f t="shared" si="73"/>
        <v>01-1900</v>
      </c>
      <c r="BA913" s="92" t="str">
        <f t="shared" si="74"/>
        <v/>
      </c>
    </row>
    <row r="914" spans="2:53">
      <c r="B914" s="60">
        <f>[2]Trucks!A911</f>
        <v>0</v>
      </c>
      <c r="C914" s="11">
        <f>[2]Trucks!B911</f>
        <v>0</v>
      </c>
      <c r="D914" s="19" t="str">
        <f>IFERROR(VLOOKUP(C914&amp;"",'[2]Retail Price List'!$A$3:$B$103,2,FALSE),"Special Order")</f>
        <v>Special Order</v>
      </c>
      <c r="E914" s="18">
        <f>[2]Trucks!J911</f>
        <v>0</v>
      </c>
      <c r="F914" s="12">
        <f>[2]Trucks!E911</f>
        <v>0</v>
      </c>
      <c r="G914" s="56">
        <f>[2]Trucks!K911</f>
        <v>0</v>
      </c>
      <c r="H914" s="46">
        <f>[2]Trucks!I911</f>
        <v>0</v>
      </c>
      <c r="I914" s="83" t="str">
        <f t="shared" si="70"/>
        <v/>
      </c>
      <c r="J914" s="272" t="str">
        <f>IFERROR(VLOOKUP((D914&amp;C914)&amp;"",'[2]Retail Price List'!$C$4:$F$102,3,FALSE),"")</f>
        <v/>
      </c>
      <c r="K914" s="272">
        <f>IFERROR(IF(BA914="WIP - 30 Days",VLOOKUP(D914,[3]Standard!$B$9:$E$101,4,FALSE),IF(BA914="31-120 Days",VLOOKUP(D914,[3]Standard!$B$9:$F$101,5,FALSE),IF(BA914="121-365 Days",VLOOKUP(D914,[3]Standard!$B$9:$G$101,6,FALSE),VLOOKUP(D914,[3]Standard!$B$9:$H$101,7,FALSE)))),0)</f>
        <v>0</v>
      </c>
      <c r="L914" s="272">
        <f>IFERROR(IF(BA914="WIP - 30 Days",VLOOKUP(D914,[3]Standard!$B$9:$J$101,9,FALSE),IF(BA914="31-120 Days",VLOOKUP(D914,[3]Standard!$B$9:$K$100,10,FALSE),IF(BA914="121-365 Days",VLOOKUP(D914,[3]Standard!$B$9:$L$101,11,FALSE),VLOOKUP(D914,[3]Standard!$B$9:$M$101,12,FALSE)))),0)</f>
        <v>0</v>
      </c>
      <c r="M914" s="269" t="str">
        <f>IFERROR(VLOOKUP((D914&amp;C914)&amp;"",'[2]Retail Price List'!$C$4:$F$102,4,FALSE),"")</f>
        <v/>
      </c>
      <c r="N914" s="269">
        <f>IFERROR(IF(BA914="WIP - 30 Days",VLOOKUP(D914,[3]Extended!$B$9:$E$101,4,FALSE),IF(BA914="31-120 Days",VLOOKUP(D914,[3]Extended!$B$9:$F$101,5,FALSE),IF(BA914="121-365 Days",VLOOKUP(D914,[3]Extended!$B$9:$G$101,6,FALSE),VLOOKUP(D914,[3]Extended!$B$9:$H$101,7,FALSE)))),0)</f>
        <v>0</v>
      </c>
      <c r="O914" s="269">
        <f>IFERROR(IF(BA914="WIP - 30 Days",VLOOKUP(D914,[3]Extended!$B$9:$J$101,9,FALSE),IF(BA914="31-120 Days",VLOOKUP(D914,[3]Extended!$B$9:$K$101,10,FALSE),IF(BA914="121-365 Days",VLOOKUP(D914,[3]Extended!$B$9:$L$101,11,FALSE),VLOOKUP(D914,[3]Extended!$B$9:$M$101,12,FALSE)))),0)</f>
        <v>0</v>
      </c>
      <c r="P914" s="116" t="e">
        <f t="shared" si="71"/>
        <v>#VALUE!</v>
      </c>
      <c r="Q914" s="110" t="e">
        <f>O914-#REF!</f>
        <v>#REF!</v>
      </c>
      <c r="W914" s="311"/>
      <c r="X914" s="311"/>
      <c r="Y914" s="311"/>
      <c r="Z914" s="311"/>
      <c r="AA914" s="311"/>
      <c r="AB914" s="311"/>
      <c r="AC914" s="311"/>
      <c r="AT914" s="88" t="str">
        <f t="shared" si="72"/>
        <v>Special Order0</v>
      </c>
      <c r="AU914" s="89" t="str">
        <f t="shared" si="73"/>
        <v>01-1900</v>
      </c>
      <c r="BA914" s="92" t="str">
        <f t="shared" si="74"/>
        <v/>
      </c>
    </row>
    <row r="915" spans="2:53">
      <c r="B915" s="60">
        <f>[2]Trucks!A912</f>
        <v>0</v>
      </c>
      <c r="C915" s="11">
        <f>[2]Trucks!B912</f>
        <v>0</v>
      </c>
      <c r="D915" s="19" t="str">
        <f>IFERROR(VLOOKUP(C915&amp;"",'[2]Retail Price List'!$A$3:$B$103,2,FALSE),"Special Order")</f>
        <v>Special Order</v>
      </c>
      <c r="E915" s="18">
        <f>[2]Trucks!J912</f>
        <v>0</v>
      </c>
      <c r="F915" s="12">
        <f>[2]Trucks!E912</f>
        <v>0</v>
      </c>
      <c r="G915" s="56">
        <f>[2]Trucks!K912</f>
        <v>0</v>
      </c>
      <c r="H915" s="46">
        <f>[2]Trucks!I912</f>
        <v>0</v>
      </c>
      <c r="I915" s="83" t="str">
        <f t="shared" si="70"/>
        <v/>
      </c>
      <c r="J915" s="272" t="str">
        <f>IFERROR(VLOOKUP((D915&amp;C915)&amp;"",'[2]Retail Price List'!$C$4:$F$102,3,FALSE),"")</f>
        <v/>
      </c>
      <c r="K915" s="272">
        <f>IFERROR(IF(BA915="WIP - 30 Days",VLOOKUP(D915,[3]Standard!$B$9:$E$101,4,FALSE),IF(BA915="31-120 Days",VLOOKUP(D915,[3]Standard!$B$9:$F$101,5,FALSE),IF(BA915="121-365 Days",VLOOKUP(D915,[3]Standard!$B$9:$G$101,6,FALSE),VLOOKUP(D915,[3]Standard!$B$9:$H$101,7,FALSE)))),0)</f>
        <v>0</v>
      </c>
      <c r="L915" s="272">
        <f>IFERROR(IF(BA915="WIP - 30 Days",VLOOKUP(D915,[3]Standard!$B$9:$J$101,9,FALSE),IF(BA915="31-120 Days",VLOOKUP(D915,[3]Standard!$B$9:$K$100,10,FALSE),IF(BA915="121-365 Days",VLOOKUP(D915,[3]Standard!$B$9:$L$101,11,FALSE),VLOOKUP(D915,[3]Standard!$B$9:$M$101,12,FALSE)))),0)</f>
        <v>0</v>
      </c>
      <c r="M915" s="269" t="str">
        <f>IFERROR(VLOOKUP((D915&amp;C915)&amp;"",'[2]Retail Price List'!$C$4:$F$102,4,FALSE),"")</f>
        <v/>
      </c>
      <c r="N915" s="269">
        <f>IFERROR(IF(BA915="WIP - 30 Days",VLOOKUP(D915,[3]Extended!$B$9:$E$101,4,FALSE),IF(BA915="31-120 Days",VLOOKUP(D915,[3]Extended!$B$9:$F$101,5,FALSE),IF(BA915="121-365 Days",VLOOKUP(D915,[3]Extended!$B$9:$G$101,6,FALSE),VLOOKUP(D915,[3]Extended!$B$9:$H$101,7,FALSE)))),0)</f>
        <v>0</v>
      </c>
      <c r="O915" s="269">
        <f>IFERROR(IF(BA915="WIP - 30 Days",VLOOKUP(D915,[3]Extended!$B$9:$J$101,9,FALSE),IF(BA915="31-120 Days",VLOOKUP(D915,[3]Extended!$B$9:$K$101,10,FALSE),IF(BA915="121-365 Days",VLOOKUP(D915,[3]Extended!$B$9:$L$101,11,FALSE),VLOOKUP(D915,[3]Extended!$B$9:$M$101,12,FALSE)))),0)</f>
        <v>0</v>
      </c>
      <c r="P915" s="116" t="e">
        <f t="shared" si="71"/>
        <v>#VALUE!</v>
      </c>
      <c r="Q915" s="110" t="e">
        <f>O915-#REF!</f>
        <v>#REF!</v>
      </c>
      <c r="W915" s="311"/>
      <c r="X915" s="311"/>
      <c r="Y915" s="311"/>
      <c r="Z915" s="311"/>
      <c r="AA915" s="311"/>
      <c r="AB915" s="311"/>
      <c r="AC915" s="311"/>
      <c r="AT915" s="88" t="str">
        <f t="shared" si="72"/>
        <v>Special Order0</v>
      </c>
      <c r="AU915" s="89" t="str">
        <f t="shared" si="73"/>
        <v>01-1900</v>
      </c>
      <c r="BA915" s="92" t="str">
        <f t="shared" si="74"/>
        <v/>
      </c>
    </row>
    <row r="916" spans="2:53">
      <c r="B916" s="60">
        <f>[2]Trucks!A913</f>
        <v>0</v>
      </c>
      <c r="C916" s="11">
        <f>[2]Trucks!B913</f>
        <v>0</v>
      </c>
      <c r="D916" s="19" t="str">
        <f>IFERROR(VLOOKUP(C916&amp;"",'[2]Retail Price List'!$A$3:$B$103,2,FALSE),"Special Order")</f>
        <v>Special Order</v>
      </c>
      <c r="E916" s="18">
        <f>[2]Trucks!J913</f>
        <v>0</v>
      </c>
      <c r="F916" s="12">
        <f>[2]Trucks!E913</f>
        <v>0</v>
      </c>
      <c r="G916" s="56">
        <f>[2]Trucks!K913</f>
        <v>0</v>
      </c>
      <c r="H916" s="46">
        <f>[2]Trucks!I913</f>
        <v>0</v>
      </c>
      <c r="I916" s="83" t="str">
        <f t="shared" si="70"/>
        <v/>
      </c>
      <c r="J916" s="272" t="str">
        <f>IFERROR(VLOOKUP((D916&amp;C916)&amp;"",'[2]Retail Price List'!$C$4:$F$102,3,FALSE),"")</f>
        <v/>
      </c>
      <c r="K916" s="272">
        <f>IFERROR(IF(BA916="WIP - 30 Days",VLOOKUP(D916,[3]Standard!$B$9:$E$101,4,FALSE),IF(BA916="31-120 Days",VLOOKUP(D916,[3]Standard!$B$9:$F$101,5,FALSE),IF(BA916="121-365 Days",VLOOKUP(D916,[3]Standard!$B$9:$G$101,6,FALSE),VLOOKUP(D916,[3]Standard!$B$9:$H$101,7,FALSE)))),0)</f>
        <v>0</v>
      </c>
      <c r="L916" s="272">
        <f>IFERROR(IF(BA916="WIP - 30 Days",VLOOKUP(D916,[3]Standard!$B$9:$J$101,9,FALSE),IF(BA916="31-120 Days",VLOOKUP(D916,[3]Standard!$B$9:$K$100,10,FALSE),IF(BA916="121-365 Days",VLOOKUP(D916,[3]Standard!$B$9:$L$101,11,FALSE),VLOOKUP(D916,[3]Standard!$B$9:$M$101,12,FALSE)))),0)</f>
        <v>0</v>
      </c>
      <c r="M916" s="269" t="str">
        <f>IFERROR(VLOOKUP((D916&amp;C916)&amp;"",'[2]Retail Price List'!$C$4:$F$102,4,FALSE),"")</f>
        <v/>
      </c>
      <c r="N916" s="269">
        <f>IFERROR(IF(BA916="WIP - 30 Days",VLOOKUP(D916,[3]Extended!$B$9:$E$101,4,FALSE),IF(BA916="31-120 Days",VLOOKUP(D916,[3]Extended!$B$9:$F$101,5,FALSE),IF(BA916="121-365 Days",VLOOKUP(D916,[3]Extended!$B$9:$G$101,6,FALSE),VLOOKUP(D916,[3]Extended!$B$9:$H$101,7,FALSE)))),0)</f>
        <v>0</v>
      </c>
      <c r="O916" s="269">
        <f>IFERROR(IF(BA916="WIP - 30 Days",VLOOKUP(D916,[3]Extended!$B$9:$J$101,9,FALSE),IF(BA916="31-120 Days",VLOOKUP(D916,[3]Extended!$B$9:$K$101,10,FALSE),IF(BA916="121-365 Days",VLOOKUP(D916,[3]Extended!$B$9:$L$101,11,FALSE),VLOOKUP(D916,[3]Extended!$B$9:$M$101,12,FALSE)))),0)</f>
        <v>0</v>
      </c>
      <c r="P916" s="116" t="e">
        <f t="shared" si="71"/>
        <v>#VALUE!</v>
      </c>
      <c r="Q916" s="110" t="e">
        <f>O916-#REF!</f>
        <v>#REF!</v>
      </c>
      <c r="W916" s="311"/>
      <c r="X916" s="311"/>
      <c r="Y916" s="311"/>
      <c r="Z916" s="311"/>
      <c r="AA916" s="311"/>
      <c r="AB916" s="311"/>
      <c r="AC916" s="311"/>
      <c r="AT916" s="88" t="str">
        <f t="shared" si="72"/>
        <v>Special Order0</v>
      </c>
      <c r="AU916" s="89" t="str">
        <f t="shared" si="73"/>
        <v>01-1900</v>
      </c>
      <c r="BA916" s="92" t="str">
        <f t="shared" si="74"/>
        <v/>
      </c>
    </row>
    <row r="917" spans="2:53">
      <c r="B917" s="60">
        <f>[2]Trucks!A914</f>
        <v>0</v>
      </c>
      <c r="C917" s="11">
        <f>[2]Trucks!B914</f>
        <v>0</v>
      </c>
      <c r="D917" s="19" t="str">
        <f>IFERROR(VLOOKUP(C917&amp;"",'[2]Retail Price List'!$A$3:$B$103,2,FALSE),"Special Order")</f>
        <v>Special Order</v>
      </c>
      <c r="E917" s="18">
        <f>[2]Trucks!J914</f>
        <v>0</v>
      </c>
      <c r="F917" s="12">
        <f>[2]Trucks!E914</f>
        <v>0</v>
      </c>
      <c r="G917" s="56">
        <f>[2]Trucks!K914</f>
        <v>0</v>
      </c>
      <c r="H917" s="46">
        <f>[2]Trucks!I914</f>
        <v>0</v>
      </c>
      <c r="I917" s="83" t="str">
        <f t="shared" si="70"/>
        <v/>
      </c>
      <c r="J917" s="272" t="str">
        <f>IFERROR(VLOOKUP((D917&amp;C917)&amp;"",'[2]Retail Price List'!$C$4:$F$102,3,FALSE),"")</f>
        <v/>
      </c>
      <c r="K917" s="272">
        <f>IFERROR(IF(BA917="WIP - 30 Days",VLOOKUP(D917,[3]Standard!$B$9:$E$101,4,FALSE),IF(BA917="31-120 Days",VLOOKUP(D917,[3]Standard!$B$9:$F$101,5,FALSE),IF(BA917="121-365 Days",VLOOKUP(D917,[3]Standard!$B$9:$G$101,6,FALSE),VLOOKUP(D917,[3]Standard!$B$9:$H$101,7,FALSE)))),0)</f>
        <v>0</v>
      </c>
      <c r="L917" s="272">
        <f>IFERROR(IF(BA917="WIP - 30 Days",VLOOKUP(D917,[3]Standard!$B$9:$J$101,9,FALSE),IF(BA917="31-120 Days",VLOOKUP(D917,[3]Standard!$B$9:$K$100,10,FALSE),IF(BA917="121-365 Days",VLOOKUP(D917,[3]Standard!$B$9:$L$101,11,FALSE),VLOOKUP(D917,[3]Standard!$B$9:$M$101,12,FALSE)))),0)</f>
        <v>0</v>
      </c>
      <c r="M917" s="269" t="str">
        <f>IFERROR(VLOOKUP((D917&amp;C917)&amp;"",'[2]Retail Price List'!$C$4:$F$102,4,FALSE),"")</f>
        <v/>
      </c>
      <c r="N917" s="269">
        <f>IFERROR(IF(BA917="WIP - 30 Days",VLOOKUP(D917,[3]Extended!$B$9:$E$101,4,FALSE),IF(BA917="31-120 Days",VLOOKUP(D917,[3]Extended!$B$9:$F$101,5,FALSE),IF(BA917="121-365 Days",VLOOKUP(D917,[3]Extended!$B$9:$G$101,6,FALSE),VLOOKUP(D917,[3]Extended!$B$9:$H$101,7,FALSE)))),0)</f>
        <v>0</v>
      </c>
      <c r="O917" s="269">
        <f>IFERROR(IF(BA917="WIP - 30 Days",VLOOKUP(D917,[3]Extended!$B$9:$J$101,9,FALSE),IF(BA917="31-120 Days",VLOOKUP(D917,[3]Extended!$B$9:$K$101,10,FALSE),IF(BA917="121-365 Days",VLOOKUP(D917,[3]Extended!$B$9:$L$101,11,FALSE),VLOOKUP(D917,[3]Extended!$B$9:$M$101,12,FALSE)))),0)</f>
        <v>0</v>
      </c>
      <c r="P917" s="116" t="e">
        <f t="shared" si="71"/>
        <v>#VALUE!</v>
      </c>
      <c r="Q917" s="110" t="e">
        <f>O917-#REF!</f>
        <v>#REF!</v>
      </c>
      <c r="W917" s="311"/>
      <c r="X917" s="311"/>
      <c r="Y917" s="311"/>
      <c r="Z917" s="311"/>
      <c r="AA917" s="311"/>
      <c r="AB917" s="311"/>
      <c r="AC917" s="311"/>
      <c r="AT917" s="88" t="str">
        <f t="shared" si="72"/>
        <v>Special Order0</v>
      </c>
      <c r="AU917" s="89" t="str">
        <f t="shared" si="73"/>
        <v>01-1900</v>
      </c>
      <c r="BA917" s="92" t="str">
        <f t="shared" si="74"/>
        <v/>
      </c>
    </row>
    <row r="918" spans="2:53">
      <c r="B918" s="60">
        <f>[2]Trucks!A915</f>
        <v>0</v>
      </c>
      <c r="C918" s="11">
        <f>[2]Trucks!B915</f>
        <v>0</v>
      </c>
      <c r="D918" s="19" t="str">
        <f>IFERROR(VLOOKUP(C918&amp;"",'[2]Retail Price List'!$A$3:$B$103,2,FALSE),"Special Order")</f>
        <v>Special Order</v>
      </c>
      <c r="E918" s="18">
        <f>[2]Trucks!J915</f>
        <v>0</v>
      </c>
      <c r="F918" s="12">
        <f>[2]Trucks!E915</f>
        <v>0</v>
      </c>
      <c r="G918" s="56">
        <f>[2]Trucks!K915</f>
        <v>0</v>
      </c>
      <c r="H918" s="46">
        <f>[2]Trucks!I915</f>
        <v>0</v>
      </c>
      <c r="I918" s="83" t="str">
        <f t="shared" si="70"/>
        <v/>
      </c>
      <c r="J918" s="272" t="str">
        <f>IFERROR(VLOOKUP((D918&amp;C918)&amp;"",'[2]Retail Price List'!$C$4:$F$102,3,FALSE),"")</f>
        <v/>
      </c>
      <c r="K918" s="272">
        <f>IFERROR(IF(BA918="WIP - 30 Days",VLOOKUP(D918,[3]Standard!$B$9:$E$101,4,FALSE),IF(BA918="31-120 Days",VLOOKUP(D918,[3]Standard!$B$9:$F$101,5,FALSE),IF(BA918="121-365 Days",VLOOKUP(D918,[3]Standard!$B$9:$G$101,6,FALSE),VLOOKUP(D918,[3]Standard!$B$9:$H$101,7,FALSE)))),0)</f>
        <v>0</v>
      </c>
      <c r="L918" s="272">
        <f>IFERROR(IF(BA918="WIP - 30 Days",VLOOKUP(D918,[3]Standard!$B$9:$J$101,9,FALSE),IF(BA918="31-120 Days",VLOOKUP(D918,[3]Standard!$B$9:$K$100,10,FALSE),IF(BA918="121-365 Days",VLOOKUP(D918,[3]Standard!$B$9:$L$101,11,FALSE),VLOOKUP(D918,[3]Standard!$B$9:$M$101,12,FALSE)))),0)</f>
        <v>0</v>
      </c>
      <c r="M918" s="269" t="str">
        <f>IFERROR(VLOOKUP((D918&amp;C918)&amp;"",'[2]Retail Price List'!$C$4:$F$102,4,FALSE),"")</f>
        <v/>
      </c>
      <c r="N918" s="269">
        <f>IFERROR(IF(BA918="WIP - 30 Days",VLOOKUP(D918,[3]Extended!$B$9:$E$101,4,FALSE),IF(BA918="31-120 Days",VLOOKUP(D918,[3]Extended!$B$9:$F$101,5,FALSE),IF(BA918="121-365 Days",VLOOKUP(D918,[3]Extended!$B$9:$G$101,6,FALSE),VLOOKUP(D918,[3]Extended!$B$9:$H$101,7,FALSE)))),0)</f>
        <v>0</v>
      </c>
      <c r="O918" s="269">
        <f>IFERROR(IF(BA918="WIP - 30 Days",VLOOKUP(D918,[3]Extended!$B$9:$J$101,9,FALSE),IF(BA918="31-120 Days",VLOOKUP(D918,[3]Extended!$B$9:$K$101,10,FALSE),IF(BA918="121-365 Days",VLOOKUP(D918,[3]Extended!$B$9:$L$101,11,FALSE),VLOOKUP(D918,[3]Extended!$B$9:$M$101,12,FALSE)))),0)</f>
        <v>0</v>
      </c>
      <c r="P918" s="116" t="e">
        <f t="shared" si="71"/>
        <v>#VALUE!</v>
      </c>
      <c r="Q918" s="110" t="e">
        <f>O918-#REF!</f>
        <v>#REF!</v>
      </c>
      <c r="W918" s="311"/>
      <c r="X918" s="311"/>
      <c r="Y918" s="311"/>
      <c r="Z918" s="311"/>
      <c r="AA918" s="311"/>
      <c r="AB918" s="311"/>
      <c r="AC918" s="311"/>
      <c r="AT918" s="88" t="str">
        <f t="shared" si="72"/>
        <v>Special Order0</v>
      </c>
      <c r="AU918" s="89" t="str">
        <f t="shared" si="73"/>
        <v>01-1900</v>
      </c>
      <c r="BA918" s="92" t="str">
        <f t="shared" si="74"/>
        <v/>
      </c>
    </row>
    <row r="919" spans="2:53">
      <c r="B919" s="60">
        <f>[2]Trucks!A916</f>
        <v>0</v>
      </c>
      <c r="C919" s="11">
        <f>[2]Trucks!B916</f>
        <v>0</v>
      </c>
      <c r="D919" s="19" t="str">
        <f>IFERROR(VLOOKUP(C919&amp;"",'[2]Retail Price List'!$A$3:$B$103,2,FALSE),"Special Order")</f>
        <v>Special Order</v>
      </c>
      <c r="E919" s="18">
        <f>[2]Trucks!J916</f>
        <v>0</v>
      </c>
      <c r="F919" s="12">
        <f>[2]Trucks!E916</f>
        <v>0</v>
      </c>
      <c r="G919" s="56">
        <f>[2]Trucks!K916</f>
        <v>0</v>
      </c>
      <c r="H919" s="46">
        <f>[2]Trucks!I916</f>
        <v>0</v>
      </c>
      <c r="I919" s="83" t="str">
        <f t="shared" si="70"/>
        <v/>
      </c>
      <c r="J919" s="272" t="str">
        <f>IFERROR(VLOOKUP((D919&amp;C919)&amp;"",'[2]Retail Price List'!$C$4:$F$102,3,FALSE),"")</f>
        <v/>
      </c>
      <c r="K919" s="272">
        <f>IFERROR(IF(BA919="WIP - 30 Days",VLOOKUP(D919,[3]Standard!$B$9:$E$101,4,FALSE),IF(BA919="31-120 Days",VLOOKUP(D919,[3]Standard!$B$9:$F$101,5,FALSE),IF(BA919="121-365 Days",VLOOKUP(D919,[3]Standard!$B$9:$G$101,6,FALSE),VLOOKUP(D919,[3]Standard!$B$9:$H$101,7,FALSE)))),0)</f>
        <v>0</v>
      </c>
      <c r="L919" s="272">
        <f>IFERROR(IF(BA919="WIP - 30 Days",VLOOKUP(D919,[3]Standard!$B$9:$J$101,9,FALSE),IF(BA919="31-120 Days",VLOOKUP(D919,[3]Standard!$B$9:$K$100,10,FALSE),IF(BA919="121-365 Days",VLOOKUP(D919,[3]Standard!$B$9:$L$101,11,FALSE),VLOOKUP(D919,[3]Standard!$B$9:$M$101,12,FALSE)))),0)</f>
        <v>0</v>
      </c>
      <c r="M919" s="269" t="str">
        <f>IFERROR(VLOOKUP((D919&amp;C919)&amp;"",'[2]Retail Price List'!$C$4:$F$102,4,FALSE),"")</f>
        <v/>
      </c>
      <c r="N919" s="269">
        <f>IFERROR(IF(BA919="WIP - 30 Days",VLOOKUP(D919,[3]Extended!$B$9:$E$101,4,FALSE),IF(BA919="31-120 Days",VLOOKUP(D919,[3]Extended!$B$9:$F$101,5,FALSE),IF(BA919="121-365 Days",VLOOKUP(D919,[3]Extended!$B$9:$G$101,6,FALSE),VLOOKUP(D919,[3]Extended!$B$9:$H$101,7,FALSE)))),0)</f>
        <v>0</v>
      </c>
      <c r="O919" s="269">
        <f>IFERROR(IF(BA919="WIP - 30 Days",VLOOKUP(D919,[3]Extended!$B$9:$J$101,9,FALSE),IF(BA919="31-120 Days",VLOOKUP(D919,[3]Extended!$B$9:$K$101,10,FALSE),IF(BA919="121-365 Days",VLOOKUP(D919,[3]Extended!$B$9:$L$101,11,FALSE),VLOOKUP(D919,[3]Extended!$B$9:$M$101,12,FALSE)))),0)</f>
        <v>0</v>
      </c>
      <c r="P919" s="116" t="e">
        <f t="shared" si="71"/>
        <v>#VALUE!</v>
      </c>
      <c r="Q919" s="110" t="e">
        <f>O919-#REF!</f>
        <v>#REF!</v>
      </c>
      <c r="W919" s="311"/>
      <c r="X919" s="311"/>
      <c r="Y919" s="311"/>
      <c r="Z919" s="311"/>
      <c r="AA919" s="311"/>
      <c r="AB919" s="311"/>
      <c r="AC919" s="311"/>
      <c r="AT919" s="88" t="str">
        <f t="shared" si="72"/>
        <v>Special Order0</v>
      </c>
      <c r="AU919" s="89" t="str">
        <f t="shared" si="73"/>
        <v>01-1900</v>
      </c>
      <c r="BA919" s="92" t="str">
        <f t="shared" si="74"/>
        <v/>
      </c>
    </row>
    <row r="920" spans="2:53">
      <c r="B920" s="60">
        <f>[2]Trucks!A917</f>
        <v>0</v>
      </c>
      <c r="C920" s="11">
        <f>[2]Trucks!B917</f>
        <v>0</v>
      </c>
      <c r="D920" s="19" t="str">
        <f>IFERROR(VLOOKUP(C920&amp;"",'[2]Retail Price List'!$A$3:$B$103,2,FALSE),"Special Order")</f>
        <v>Special Order</v>
      </c>
      <c r="E920" s="18">
        <f>[2]Trucks!J917</f>
        <v>0</v>
      </c>
      <c r="F920" s="12">
        <f>[2]Trucks!E917</f>
        <v>0</v>
      </c>
      <c r="G920" s="56">
        <f>[2]Trucks!K917</f>
        <v>0</v>
      </c>
      <c r="H920" s="46">
        <f>[2]Trucks!I917</f>
        <v>0</v>
      </c>
      <c r="I920" s="83" t="str">
        <f t="shared" si="70"/>
        <v/>
      </c>
      <c r="J920" s="272" t="str">
        <f>IFERROR(VLOOKUP((D920&amp;C920)&amp;"",'[2]Retail Price List'!$C$4:$F$102,3,FALSE),"")</f>
        <v/>
      </c>
      <c r="K920" s="272">
        <f>IFERROR(IF(BA920="WIP - 30 Days",VLOOKUP(D920,[3]Standard!$B$9:$E$101,4,FALSE),IF(BA920="31-120 Days",VLOOKUP(D920,[3]Standard!$B$9:$F$101,5,FALSE),IF(BA920="121-365 Days",VLOOKUP(D920,[3]Standard!$B$9:$G$101,6,FALSE),VLOOKUP(D920,[3]Standard!$B$9:$H$101,7,FALSE)))),0)</f>
        <v>0</v>
      </c>
      <c r="L920" s="272">
        <f>IFERROR(IF(BA920="WIP - 30 Days",VLOOKUP(D920,[3]Standard!$B$9:$J$101,9,FALSE),IF(BA920="31-120 Days",VLOOKUP(D920,[3]Standard!$B$9:$K$100,10,FALSE),IF(BA920="121-365 Days",VLOOKUP(D920,[3]Standard!$B$9:$L$101,11,FALSE),VLOOKUP(D920,[3]Standard!$B$9:$M$101,12,FALSE)))),0)</f>
        <v>0</v>
      </c>
      <c r="M920" s="269" t="str">
        <f>IFERROR(VLOOKUP((D920&amp;C920)&amp;"",'[2]Retail Price List'!$C$4:$F$102,4,FALSE),"")</f>
        <v/>
      </c>
      <c r="N920" s="269">
        <f>IFERROR(IF(BA920="WIP - 30 Days",VLOOKUP(D920,[3]Extended!$B$9:$E$101,4,FALSE),IF(BA920="31-120 Days",VLOOKUP(D920,[3]Extended!$B$9:$F$101,5,FALSE),IF(BA920="121-365 Days",VLOOKUP(D920,[3]Extended!$B$9:$G$101,6,FALSE),VLOOKUP(D920,[3]Extended!$B$9:$H$101,7,FALSE)))),0)</f>
        <v>0</v>
      </c>
      <c r="O920" s="269">
        <f>IFERROR(IF(BA920="WIP - 30 Days",VLOOKUP(D920,[3]Extended!$B$9:$J$101,9,FALSE),IF(BA920="31-120 Days",VLOOKUP(D920,[3]Extended!$B$9:$K$101,10,FALSE),IF(BA920="121-365 Days",VLOOKUP(D920,[3]Extended!$B$9:$L$101,11,FALSE),VLOOKUP(D920,[3]Extended!$B$9:$M$101,12,FALSE)))),0)</f>
        <v>0</v>
      </c>
      <c r="P920" s="116" t="e">
        <f t="shared" si="71"/>
        <v>#VALUE!</v>
      </c>
      <c r="Q920" s="110" t="e">
        <f>O920-#REF!</f>
        <v>#REF!</v>
      </c>
      <c r="W920" s="311"/>
      <c r="X920" s="311"/>
      <c r="Y920" s="311"/>
      <c r="Z920" s="311"/>
      <c r="AA920" s="311"/>
      <c r="AB920" s="311"/>
      <c r="AC920" s="311"/>
      <c r="AT920" s="88" t="str">
        <f t="shared" si="72"/>
        <v>Special Order0</v>
      </c>
      <c r="AU920" s="89" t="str">
        <f t="shared" si="73"/>
        <v>01-1900</v>
      </c>
      <c r="BA920" s="92" t="str">
        <f t="shared" si="74"/>
        <v/>
      </c>
    </row>
    <row r="921" spans="2:53">
      <c r="B921" s="60">
        <f>[2]Trucks!A918</f>
        <v>0</v>
      </c>
      <c r="C921" s="11">
        <f>[2]Trucks!B918</f>
        <v>0</v>
      </c>
      <c r="D921" s="19" t="str">
        <f>IFERROR(VLOOKUP(C921&amp;"",'[2]Retail Price List'!$A$3:$B$103,2,FALSE),"Special Order")</f>
        <v>Special Order</v>
      </c>
      <c r="E921" s="18">
        <f>[2]Trucks!J918</f>
        <v>0</v>
      </c>
      <c r="F921" s="12">
        <f>[2]Trucks!E918</f>
        <v>0</v>
      </c>
      <c r="G921" s="56">
        <f>[2]Trucks!K918</f>
        <v>0</v>
      </c>
      <c r="H921" s="46">
        <f>[2]Trucks!I918</f>
        <v>0</v>
      </c>
      <c r="I921" s="83" t="str">
        <f t="shared" si="70"/>
        <v/>
      </c>
      <c r="J921" s="272" t="str">
        <f>IFERROR(VLOOKUP((D921&amp;C921)&amp;"",'[2]Retail Price List'!$C$4:$F$102,3,FALSE),"")</f>
        <v/>
      </c>
      <c r="K921" s="272">
        <f>IFERROR(IF(BA921="WIP - 30 Days",VLOOKUP(D921,[3]Standard!$B$9:$E$101,4,FALSE),IF(BA921="31-120 Days",VLOOKUP(D921,[3]Standard!$B$9:$F$101,5,FALSE),IF(BA921="121-365 Days",VLOOKUP(D921,[3]Standard!$B$9:$G$101,6,FALSE),VLOOKUP(D921,[3]Standard!$B$9:$H$101,7,FALSE)))),0)</f>
        <v>0</v>
      </c>
      <c r="L921" s="272">
        <f>IFERROR(IF(BA921="WIP - 30 Days",VLOOKUP(D921,[3]Standard!$B$9:$J$101,9,FALSE),IF(BA921="31-120 Days",VLOOKUP(D921,[3]Standard!$B$9:$K$100,10,FALSE),IF(BA921="121-365 Days",VLOOKUP(D921,[3]Standard!$B$9:$L$101,11,FALSE),VLOOKUP(D921,[3]Standard!$B$9:$M$101,12,FALSE)))),0)</f>
        <v>0</v>
      </c>
      <c r="M921" s="269" t="str">
        <f>IFERROR(VLOOKUP((D921&amp;C921)&amp;"",'[2]Retail Price List'!$C$4:$F$102,4,FALSE),"")</f>
        <v/>
      </c>
      <c r="N921" s="269">
        <f>IFERROR(IF(BA921="WIP - 30 Days",VLOOKUP(D921,[3]Extended!$B$9:$E$101,4,FALSE),IF(BA921="31-120 Days",VLOOKUP(D921,[3]Extended!$B$9:$F$101,5,FALSE),IF(BA921="121-365 Days",VLOOKUP(D921,[3]Extended!$B$9:$G$101,6,FALSE),VLOOKUP(D921,[3]Extended!$B$9:$H$101,7,FALSE)))),0)</f>
        <v>0</v>
      </c>
      <c r="O921" s="269">
        <f>IFERROR(IF(BA921="WIP - 30 Days",VLOOKUP(D921,[3]Extended!$B$9:$J$101,9,FALSE),IF(BA921="31-120 Days",VLOOKUP(D921,[3]Extended!$B$9:$K$101,10,FALSE),IF(BA921="121-365 Days",VLOOKUP(D921,[3]Extended!$B$9:$L$101,11,FALSE),VLOOKUP(D921,[3]Extended!$B$9:$M$101,12,FALSE)))),0)</f>
        <v>0</v>
      </c>
      <c r="P921" s="116" t="e">
        <f t="shared" si="71"/>
        <v>#VALUE!</v>
      </c>
      <c r="Q921" s="110" t="e">
        <f>O921-#REF!</f>
        <v>#REF!</v>
      </c>
      <c r="W921" s="311"/>
      <c r="X921" s="311"/>
      <c r="Y921" s="311"/>
      <c r="Z921" s="311"/>
      <c r="AA921" s="311"/>
      <c r="AB921" s="311"/>
      <c r="AC921" s="311"/>
      <c r="AT921" s="88" t="str">
        <f t="shared" si="72"/>
        <v>Special Order0</v>
      </c>
      <c r="AU921" s="89" t="str">
        <f t="shared" si="73"/>
        <v>01-1900</v>
      </c>
      <c r="BA921" s="92" t="str">
        <f t="shared" si="74"/>
        <v/>
      </c>
    </row>
    <row r="922" spans="2:53">
      <c r="B922" s="60">
        <f>[2]Trucks!A919</f>
        <v>0</v>
      </c>
      <c r="C922" s="11">
        <f>[2]Trucks!B919</f>
        <v>0</v>
      </c>
      <c r="D922" s="19" t="str">
        <f>IFERROR(VLOOKUP(C922&amp;"",'[2]Retail Price List'!$A$3:$B$103,2,FALSE),"Special Order")</f>
        <v>Special Order</v>
      </c>
      <c r="E922" s="18">
        <f>[2]Trucks!J919</f>
        <v>0</v>
      </c>
      <c r="F922" s="12">
        <f>[2]Trucks!E919</f>
        <v>0</v>
      </c>
      <c r="G922" s="56">
        <f>[2]Trucks!K919</f>
        <v>0</v>
      </c>
      <c r="H922" s="46">
        <f>[2]Trucks!I919</f>
        <v>0</v>
      </c>
      <c r="I922" s="83" t="str">
        <f t="shared" si="70"/>
        <v/>
      </c>
      <c r="J922" s="272" t="str">
        <f>IFERROR(VLOOKUP((D922&amp;C922)&amp;"",'[2]Retail Price List'!$C$4:$F$102,3,FALSE),"")</f>
        <v/>
      </c>
      <c r="K922" s="272">
        <f>IFERROR(IF(BA922="WIP - 30 Days",VLOOKUP(D922,[3]Standard!$B$9:$E$101,4,FALSE),IF(BA922="31-120 Days",VLOOKUP(D922,[3]Standard!$B$9:$F$101,5,FALSE),IF(BA922="121-365 Days",VLOOKUP(D922,[3]Standard!$B$9:$G$101,6,FALSE),VLOOKUP(D922,[3]Standard!$B$9:$H$101,7,FALSE)))),0)</f>
        <v>0</v>
      </c>
      <c r="L922" s="272">
        <f>IFERROR(IF(BA922="WIP - 30 Days",VLOOKUP(D922,[3]Standard!$B$9:$J$101,9,FALSE),IF(BA922="31-120 Days",VLOOKUP(D922,[3]Standard!$B$9:$K$100,10,FALSE),IF(BA922="121-365 Days",VLOOKUP(D922,[3]Standard!$B$9:$L$101,11,FALSE),VLOOKUP(D922,[3]Standard!$B$9:$M$101,12,FALSE)))),0)</f>
        <v>0</v>
      </c>
      <c r="M922" s="269" t="str">
        <f>IFERROR(VLOOKUP((D922&amp;C922)&amp;"",'[2]Retail Price List'!$C$4:$F$102,4,FALSE),"")</f>
        <v/>
      </c>
      <c r="N922" s="269">
        <f>IFERROR(IF(BA922="WIP - 30 Days",VLOOKUP(D922,[3]Extended!$B$9:$E$101,4,FALSE),IF(BA922="31-120 Days",VLOOKUP(D922,[3]Extended!$B$9:$F$101,5,FALSE),IF(BA922="121-365 Days",VLOOKUP(D922,[3]Extended!$B$9:$G$101,6,FALSE),VLOOKUP(D922,[3]Extended!$B$9:$H$101,7,FALSE)))),0)</f>
        <v>0</v>
      </c>
      <c r="O922" s="269">
        <f>IFERROR(IF(BA922="WIP - 30 Days",VLOOKUP(D922,[3]Extended!$B$9:$J$101,9,FALSE),IF(BA922="31-120 Days",VLOOKUP(D922,[3]Extended!$B$9:$K$101,10,FALSE),IF(BA922="121-365 Days",VLOOKUP(D922,[3]Extended!$B$9:$L$101,11,FALSE),VLOOKUP(D922,[3]Extended!$B$9:$M$101,12,FALSE)))),0)</f>
        <v>0</v>
      </c>
      <c r="P922" s="116" t="e">
        <f t="shared" si="71"/>
        <v>#VALUE!</v>
      </c>
      <c r="Q922" s="110" t="e">
        <f>O922-#REF!</f>
        <v>#REF!</v>
      </c>
      <c r="W922" s="311"/>
      <c r="X922" s="311"/>
      <c r="Y922" s="311"/>
      <c r="Z922" s="311"/>
      <c r="AA922" s="311"/>
      <c r="AB922" s="311"/>
      <c r="AC922" s="311"/>
      <c r="AT922" s="88" t="str">
        <f t="shared" si="72"/>
        <v>Special Order0</v>
      </c>
      <c r="AU922" s="89" t="str">
        <f t="shared" si="73"/>
        <v>01-1900</v>
      </c>
      <c r="BA922" s="92" t="str">
        <f t="shared" si="74"/>
        <v/>
      </c>
    </row>
    <row r="923" spans="2:53">
      <c r="B923" s="60">
        <f>[2]Trucks!A920</f>
        <v>0</v>
      </c>
      <c r="C923" s="11">
        <f>[2]Trucks!B920</f>
        <v>0</v>
      </c>
      <c r="D923" s="19" t="str">
        <f>IFERROR(VLOOKUP(C923&amp;"",'[2]Retail Price List'!$A$3:$B$103,2,FALSE),"Special Order")</f>
        <v>Special Order</v>
      </c>
      <c r="E923" s="18">
        <f>[2]Trucks!J920</f>
        <v>0</v>
      </c>
      <c r="F923" s="12">
        <f>[2]Trucks!E920</f>
        <v>0</v>
      </c>
      <c r="G923" s="56">
        <f>[2]Trucks!K920</f>
        <v>0</v>
      </c>
      <c r="H923" s="46">
        <f>[2]Trucks!I920</f>
        <v>0</v>
      </c>
      <c r="I923" s="83" t="str">
        <f t="shared" si="70"/>
        <v/>
      </c>
      <c r="J923" s="272" t="str">
        <f>IFERROR(VLOOKUP((D923&amp;C923)&amp;"",'[2]Retail Price List'!$C$4:$F$102,3,FALSE),"")</f>
        <v/>
      </c>
      <c r="K923" s="272">
        <f>IFERROR(IF(BA923="WIP - 30 Days",VLOOKUP(D923,[3]Standard!$B$9:$E$101,4,FALSE),IF(BA923="31-120 Days",VLOOKUP(D923,[3]Standard!$B$9:$F$101,5,FALSE),IF(BA923="121-365 Days",VLOOKUP(D923,[3]Standard!$B$9:$G$101,6,FALSE),VLOOKUP(D923,[3]Standard!$B$9:$H$101,7,FALSE)))),0)</f>
        <v>0</v>
      </c>
      <c r="L923" s="272">
        <f>IFERROR(IF(BA923="WIP - 30 Days",VLOOKUP(D923,[3]Standard!$B$9:$J$101,9,FALSE),IF(BA923="31-120 Days",VLOOKUP(D923,[3]Standard!$B$9:$K$100,10,FALSE),IF(BA923="121-365 Days",VLOOKUP(D923,[3]Standard!$B$9:$L$101,11,FALSE),VLOOKUP(D923,[3]Standard!$B$9:$M$101,12,FALSE)))),0)</f>
        <v>0</v>
      </c>
      <c r="M923" s="269" t="str">
        <f>IFERROR(VLOOKUP((D923&amp;C923)&amp;"",'[2]Retail Price List'!$C$4:$F$102,4,FALSE),"")</f>
        <v/>
      </c>
      <c r="N923" s="269">
        <f>IFERROR(IF(BA923="WIP - 30 Days",VLOOKUP(D923,[3]Extended!$B$9:$E$101,4,FALSE),IF(BA923="31-120 Days",VLOOKUP(D923,[3]Extended!$B$9:$F$101,5,FALSE),IF(BA923="121-365 Days",VLOOKUP(D923,[3]Extended!$B$9:$G$101,6,FALSE),VLOOKUP(D923,[3]Extended!$B$9:$H$101,7,FALSE)))),0)</f>
        <v>0</v>
      </c>
      <c r="O923" s="269">
        <f>IFERROR(IF(BA923="WIP - 30 Days",VLOOKUP(D923,[3]Extended!$B$9:$J$101,9,FALSE),IF(BA923="31-120 Days",VLOOKUP(D923,[3]Extended!$B$9:$K$101,10,FALSE),IF(BA923="121-365 Days",VLOOKUP(D923,[3]Extended!$B$9:$L$101,11,FALSE),VLOOKUP(D923,[3]Extended!$B$9:$M$101,12,FALSE)))),0)</f>
        <v>0</v>
      </c>
      <c r="P923" s="116" t="e">
        <f t="shared" si="71"/>
        <v>#VALUE!</v>
      </c>
      <c r="Q923" s="110" t="e">
        <f>O923-#REF!</f>
        <v>#REF!</v>
      </c>
      <c r="W923" s="311"/>
      <c r="X923" s="311"/>
      <c r="Y923" s="311"/>
      <c r="Z923" s="311"/>
      <c r="AA923" s="311"/>
      <c r="AB923" s="311"/>
      <c r="AC923" s="311"/>
      <c r="AT923" s="88" t="str">
        <f t="shared" si="72"/>
        <v>Special Order0</v>
      </c>
      <c r="AU923" s="89" t="str">
        <f t="shared" si="73"/>
        <v>01-1900</v>
      </c>
      <c r="BA923" s="92" t="str">
        <f t="shared" si="74"/>
        <v/>
      </c>
    </row>
    <row r="924" spans="2:53">
      <c r="B924" s="60">
        <f>[2]Trucks!A921</f>
        <v>0</v>
      </c>
      <c r="C924" s="11">
        <f>[2]Trucks!B921</f>
        <v>0</v>
      </c>
      <c r="D924" s="19" t="str">
        <f>IFERROR(VLOOKUP(C924&amp;"",'[2]Retail Price List'!$A$3:$B$103,2,FALSE),"Special Order")</f>
        <v>Special Order</v>
      </c>
      <c r="E924" s="18">
        <f>[2]Trucks!J921</f>
        <v>0</v>
      </c>
      <c r="F924" s="12">
        <f>[2]Trucks!E921</f>
        <v>0</v>
      </c>
      <c r="G924" s="56">
        <f>[2]Trucks!K921</f>
        <v>0</v>
      </c>
      <c r="H924" s="46">
        <f>[2]Trucks!I921</f>
        <v>0</v>
      </c>
      <c r="I924" s="83" t="str">
        <f t="shared" si="70"/>
        <v/>
      </c>
      <c r="J924" s="272" t="str">
        <f>IFERROR(VLOOKUP((D924&amp;C924)&amp;"",'[2]Retail Price List'!$C$4:$F$102,3,FALSE),"")</f>
        <v/>
      </c>
      <c r="K924" s="272">
        <f>IFERROR(IF(BA924="WIP - 30 Days",VLOOKUP(D924,[3]Standard!$B$9:$E$101,4,FALSE),IF(BA924="31-120 Days",VLOOKUP(D924,[3]Standard!$B$9:$F$101,5,FALSE),IF(BA924="121-365 Days",VLOOKUP(D924,[3]Standard!$B$9:$G$101,6,FALSE),VLOOKUP(D924,[3]Standard!$B$9:$H$101,7,FALSE)))),0)</f>
        <v>0</v>
      </c>
      <c r="L924" s="272">
        <f>IFERROR(IF(BA924="WIP - 30 Days",VLOOKUP(D924,[3]Standard!$B$9:$J$101,9,FALSE),IF(BA924="31-120 Days",VLOOKUP(D924,[3]Standard!$B$9:$K$100,10,FALSE),IF(BA924="121-365 Days",VLOOKUP(D924,[3]Standard!$B$9:$L$101,11,FALSE),VLOOKUP(D924,[3]Standard!$B$9:$M$101,12,FALSE)))),0)</f>
        <v>0</v>
      </c>
      <c r="M924" s="269" t="str">
        <f>IFERROR(VLOOKUP((D924&amp;C924)&amp;"",'[2]Retail Price List'!$C$4:$F$102,4,FALSE),"")</f>
        <v/>
      </c>
      <c r="N924" s="269">
        <f>IFERROR(IF(BA924="WIP - 30 Days",VLOOKUP(D924,[3]Extended!$B$9:$E$101,4,FALSE),IF(BA924="31-120 Days",VLOOKUP(D924,[3]Extended!$B$9:$F$101,5,FALSE),IF(BA924="121-365 Days",VLOOKUP(D924,[3]Extended!$B$9:$G$101,6,FALSE),VLOOKUP(D924,[3]Extended!$B$9:$H$101,7,FALSE)))),0)</f>
        <v>0</v>
      </c>
      <c r="O924" s="269">
        <f>IFERROR(IF(BA924="WIP - 30 Days",VLOOKUP(D924,[3]Extended!$B$9:$J$101,9,FALSE),IF(BA924="31-120 Days",VLOOKUP(D924,[3]Extended!$B$9:$K$101,10,FALSE),IF(BA924="121-365 Days",VLOOKUP(D924,[3]Extended!$B$9:$L$101,11,FALSE),VLOOKUP(D924,[3]Extended!$B$9:$M$101,12,FALSE)))),0)</f>
        <v>0</v>
      </c>
      <c r="P924" s="116" t="e">
        <f t="shared" si="71"/>
        <v>#VALUE!</v>
      </c>
      <c r="Q924" s="110" t="e">
        <f>O924-#REF!</f>
        <v>#REF!</v>
      </c>
      <c r="W924" s="311"/>
      <c r="X924" s="311"/>
      <c r="Y924" s="311"/>
      <c r="Z924" s="311"/>
      <c r="AA924" s="311"/>
      <c r="AB924" s="311"/>
      <c r="AC924" s="311"/>
      <c r="AT924" s="88" t="str">
        <f t="shared" si="72"/>
        <v>Special Order0</v>
      </c>
      <c r="AU924" s="89" t="str">
        <f t="shared" si="73"/>
        <v>01-1900</v>
      </c>
      <c r="BA924" s="92" t="str">
        <f t="shared" si="74"/>
        <v/>
      </c>
    </row>
    <row r="925" spans="2:53">
      <c r="B925" s="60">
        <f>[2]Trucks!A922</f>
        <v>0</v>
      </c>
      <c r="C925" s="11">
        <f>[2]Trucks!B922</f>
        <v>0</v>
      </c>
      <c r="D925" s="19" t="str">
        <f>IFERROR(VLOOKUP(C925&amp;"",'[2]Retail Price List'!$A$3:$B$103,2,FALSE),"Special Order")</f>
        <v>Special Order</v>
      </c>
      <c r="E925" s="18">
        <f>[2]Trucks!J922</f>
        <v>0</v>
      </c>
      <c r="F925" s="12">
        <f>[2]Trucks!E922</f>
        <v>0</v>
      </c>
      <c r="G925" s="56">
        <f>[2]Trucks!K922</f>
        <v>0</v>
      </c>
      <c r="H925" s="46">
        <f>[2]Trucks!I922</f>
        <v>0</v>
      </c>
      <c r="I925" s="83" t="str">
        <f t="shared" si="70"/>
        <v/>
      </c>
      <c r="J925" s="272" t="str">
        <f>IFERROR(VLOOKUP((D925&amp;C925)&amp;"",'[2]Retail Price List'!$C$4:$F$102,3,FALSE),"")</f>
        <v/>
      </c>
      <c r="K925" s="272">
        <f>IFERROR(IF(BA925="WIP - 30 Days",VLOOKUP(D925,[3]Standard!$B$9:$E$101,4,FALSE),IF(BA925="31-120 Days",VLOOKUP(D925,[3]Standard!$B$9:$F$101,5,FALSE),IF(BA925="121-365 Days",VLOOKUP(D925,[3]Standard!$B$9:$G$101,6,FALSE),VLOOKUP(D925,[3]Standard!$B$9:$H$101,7,FALSE)))),0)</f>
        <v>0</v>
      </c>
      <c r="L925" s="272">
        <f>IFERROR(IF(BA925="WIP - 30 Days",VLOOKUP(D925,[3]Standard!$B$9:$J$101,9,FALSE),IF(BA925="31-120 Days",VLOOKUP(D925,[3]Standard!$B$9:$K$100,10,FALSE),IF(BA925="121-365 Days",VLOOKUP(D925,[3]Standard!$B$9:$L$101,11,FALSE),VLOOKUP(D925,[3]Standard!$B$9:$M$101,12,FALSE)))),0)</f>
        <v>0</v>
      </c>
      <c r="M925" s="269" t="str">
        <f>IFERROR(VLOOKUP((D925&amp;C925)&amp;"",'[2]Retail Price List'!$C$4:$F$102,4,FALSE),"")</f>
        <v/>
      </c>
      <c r="N925" s="269">
        <f>IFERROR(IF(BA925="WIP - 30 Days",VLOOKUP(D925,[3]Extended!$B$9:$E$101,4,FALSE),IF(BA925="31-120 Days",VLOOKUP(D925,[3]Extended!$B$9:$F$101,5,FALSE),IF(BA925="121-365 Days",VLOOKUP(D925,[3]Extended!$B$9:$G$101,6,FALSE),VLOOKUP(D925,[3]Extended!$B$9:$H$101,7,FALSE)))),0)</f>
        <v>0</v>
      </c>
      <c r="O925" s="269">
        <f>IFERROR(IF(BA925="WIP - 30 Days",VLOOKUP(D925,[3]Extended!$B$9:$J$101,9,FALSE),IF(BA925="31-120 Days",VLOOKUP(D925,[3]Extended!$B$9:$K$101,10,FALSE),IF(BA925="121-365 Days",VLOOKUP(D925,[3]Extended!$B$9:$L$101,11,FALSE),VLOOKUP(D925,[3]Extended!$B$9:$M$101,12,FALSE)))),0)</f>
        <v>0</v>
      </c>
      <c r="P925" s="116" t="e">
        <f t="shared" si="71"/>
        <v>#VALUE!</v>
      </c>
      <c r="Q925" s="110" t="e">
        <f>O925-#REF!</f>
        <v>#REF!</v>
      </c>
      <c r="W925" s="311"/>
      <c r="X925" s="311"/>
      <c r="Y925" s="311"/>
      <c r="Z925" s="311"/>
      <c r="AA925" s="311"/>
      <c r="AB925" s="311"/>
      <c r="AC925" s="311"/>
      <c r="AT925" s="88" t="str">
        <f t="shared" si="72"/>
        <v>Special Order0</v>
      </c>
      <c r="AU925" s="89" t="str">
        <f t="shared" si="73"/>
        <v>01-1900</v>
      </c>
      <c r="BA925" s="92" t="str">
        <f t="shared" si="74"/>
        <v/>
      </c>
    </row>
    <row r="926" spans="2:53">
      <c r="B926" s="60">
        <f>[2]Trucks!A923</f>
        <v>0</v>
      </c>
      <c r="C926" s="11">
        <f>[2]Trucks!B923</f>
        <v>0</v>
      </c>
      <c r="D926" s="19" t="str">
        <f>IFERROR(VLOOKUP(C926&amp;"",'[2]Retail Price List'!$A$3:$B$103,2,FALSE),"Special Order")</f>
        <v>Special Order</v>
      </c>
      <c r="E926" s="18">
        <f>[2]Trucks!J923</f>
        <v>0</v>
      </c>
      <c r="F926" s="12">
        <f>[2]Trucks!E923</f>
        <v>0</v>
      </c>
      <c r="G926" s="56">
        <f>[2]Trucks!K923</f>
        <v>0</v>
      </c>
      <c r="H926" s="46">
        <f>[2]Trucks!I923</f>
        <v>0</v>
      </c>
      <c r="I926" s="83" t="str">
        <f t="shared" si="70"/>
        <v/>
      </c>
      <c r="J926" s="272" t="str">
        <f>IFERROR(VLOOKUP((D926&amp;C926)&amp;"",'[2]Retail Price List'!$C$4:$F$102,3,FALSE),"")</f>
        <v/>
      </c>
      <c r="K926" s="272">
        <f>IFERROR(IF(BA926="WIP - 30 Days",VLOOKUP(D926,[3]Standard!$B$9:$E$101,4,FALSE),IF(BA926="31-120 Days",VLOOKUP(D926,[3]Standard!$B$9:$F$101,5,FALSE),IF(BA926="121-365 Days",VLOOKUP(D926,[3]Standard!$B$9:$G$101,6,FALSE),VLOOKUP(D926,[3]Standard!$B$9:$H$101,7,FALSE)))),0)</f>
        <v>0</v>
      </c>
      <c r="L926" s="272">
        <f>IFERROR(IF(BA926="WIP - 30 Days",VLOOKUP(D926,[3]Standard!$B$9:$J$101,9,FALSE),IF(BA926="31-120 Days",VLOOKUP(D926,[3]Standard!$B$9:$K$100,10,FALSE),IF(BA926="121-365 Days",VLOOKUP(D926,[3]Standard!$B$9:$L$101,11,FALSE),VLOOKUP(D926,[3]Standard!$B$9:$M$101,12,FALSE)))),0)</f>
        <v>0</v>
      </c>
      <c r="M926" s="269" t="str">
        <f>IFERROR(VLOOKUP((D926&amp;C926)&amp;"",'[2]Retail Price List'!$C$4:$F$102,4,FALSE),"")</f>
        <v/>
      </c>
      <c r="N926" s="269">
        <f>IFERROR(IF(BA926="WIP - 30 Days",VLOOKUP(D926,[3]Extended!$B$9:$E$101,4,FALSE),IF(BA926="31-120 Days",VLOOKUP(D926,[3]Extended!$B$9:$F$101,5,FALSE),IF(BA926="121-365 Days",VLOOKUP(D926,[3]Extended!$B$9:$G$101,6,FALSE),VLOOKUP(D926,[3]Extended!$B$9:$H$101,7,FALSE)))),0)</f>
        <v>0</v>
      </c>
      <c r="O926" s="269">
        <f>IFERROR(IF(BA926="WIP - 30 Days",VLOOKUP(D926,[3]Extended!$B$9:$J$101,9,FALSE),IF(BA926="31-120 Days",VLOOKUP(D926,[3]Extended!$B$9:$K$101,10,FALSE),IF(BA926="121-365 Days",VLOOKUP(D926,[3]Extended!$B$9:$L$101,11,FALSE),VLOOKUP(D926,[3]Extended!$B$9:$M$101,12,FALSE)))),0)</f>
        <v>0</v>
      </c>
      <c r="P926" s="116" t="e">
        <f t="shared" si="71"/>
        <v>#VALUE!</v>
      </c>
      <c r="Q926" s="110" t="e">
        <f>O926-#REF!</f>
        <v>#REF!</v>
      </c>
      <c r="W926" s="311"/>
      <c r="X926" s="311"/>
      <c r="Y926" s="311"/>
      <c r="Z926" s="311"/>
      <c r="AA926" s="311"/>
      <c r="AB926" s="311"/>
      <c r="AC926" s="311"/>
      <c r="AT926" s="88" t="str">
        <f t="shared" si="72"/>
        <v>Special Order0</v>
      </c>
      <c r="AU926" s="89" t="str">
        <f t="shared" si="73"/>
        <v>01-1900</v>
      </c>
      <c r="BA926" s="92" t="str">
        <f t="shared" si="74"/>
        <v/>
      </c>
    </row>
    <row r="927" spans="2:53">
      <c r="B927" s="60">
        <f>[2]Trucks!A924</f>
        <v>0</v>
      </c>
      <c r="C927" s="11">
        <f>[2]Trucks!B924</f>
        <v>0</v>
      </c>
      <c r="D927" s="19" t="str">
        <f>IFERROR(VLOOKUP(C927&amp;"",'[2]Retail Price List'!$A$3:$B$103,2,FALSE),"Special Order")</f>
        <v>Special Order</v>
      </c>
      <c r="E927" s="18">
        <f>[2]Trucks!J924</f>
        <v>0</v>
      </c>
      <c r="F927" s="12">
        <f>[2]Trucks!E924</f>
        <v>0</v>
      </c>
      <c r="G927" s="56">
        <f>[2]Trucks!K924</f>
        <v>0</v>
      </c>
      <c r="H927" s="46">
        <f>[2]Trucks!I924</f>
        <v>0</v>
      </c>
      <c r="I927" s="83" t="str">
        <f t="shared" si="70"/>
        <v/>
      </c>
      <c r="J927" s="272" t="str">
        <f>IFERROR(VLOOKUP((D927&amp;C927)&amp;"",'[2]Retail Price List'!$C$4:$F$102,3,FALSE),"")</f>
        <v/>
      </c>
      <c r="K927" s="272">
        <f>IFERROR(IF(BA927="WIP - 30 Days",VLOOKUP(D927,[3]Standard!$B$9:$E$101,4,FALSE),IF(BA927="31-120 Days",VLOOKUP(D927,[3]Standard!$B$9:$F$101,5,FALSE),IF(BA927="121-365 Days",VLOOKUP(D927,[3]Standard!$B$9:$G$101,6,FALSE),VLOOKUP(D927,[3]Standard!$B$9:$H$101,7,FALSE)))),0)</f>
        <v>0</v>
      </c>
      <c r="L927" s="272">
        <f>IFERROR(IF(BA927="WIP - 30 Days",VLOOKUP(D927,[3]Standard!$B$9:$J$101,9,FALSE),IF(BA927="31-120 Days",VLOOKUP(D927,[3]Standard!$B$9:$K$100,10,FALSE),IF(BA927="121-365 Days",VLOOKUP(D927,[3]Standard!$B$9:$L$101,11,FALSE),VLOOKUP(D927,[3]Standard!$B$9:$M$101,12,FALSE)))),0)</f>
        <v>0</v>
      </c>
      <c r="M927" s="269" t="str">
        <f>IFERROR(VLOOKUP((D927&amp;C927)&amp;"",'[2]Retail Price List'!$C$4:$F$102,4,FALSE),"")</f>
        <v/>
      </c>
      <c r="N927" s="269">
        <f>IFERROR(IF(BA927="WIP - 30 Days",VLOOKUP(D927,[3]Extended!$B$9:$E$101,4,FALSE),IF(BA927="31-120 Days",VLOOKUP(D927,[3]Extended!$B$9:$F$101,5,FALSE),IF(BA927="121-365 Days",VLOOKUP(D927,[3]Extended!$B$9:$G$101,6,FALSE),VLOOKUP(D927,[3]Extended!$B$9:$H$101,7,FALSE)))),0)</f>
        <v>0</v>
      </c>
      <c r="O927" s="269">
        <f>IFERROR(IF(BA927="WIP - 30 Days",VLOOKUP(D927,[3]Extended!$B$9:$J$101,9,FALSE),IF(BA927="31-120 Days",VLOOKUP(D927,[3]Extended!$B$9:$K$101,10,FALSE),IF(BA927="121-365 Days",VLOOKUP(D927,[3]Extended!$B$9:$L$101,11,FALSE),VLOOKUP(D927,[3]Extended!$B$9:$M$101,12,FALSE)))),0)</f>
        <v>0</v>
      </c>
      <c r="P927" s="116" t="e">
        <f t="shared" si="71"/>
        <v>#VALUE!</v>
      </c>
      <c r="Q927" s="110" t="e">
        <f>O927-#REF!</f>
        <v>#REF!</v>
      </c>
      <c r="W927" s="311"/>
      <c r="X927" s="311"/>
      <c r="Y927" s="311"/>
      <c r="Z927" s="311"/>
      <c r="AA927" s="311"/>
      <c r="AB927" s="311"/>
      <c r="AC927" s="311"/>
      <c r="AT927" s="88" t="str">
        <f t="shared" si="72"/>
        <v>Special Order0</v>
      </c>
      <c r="AU927" s="89" t="str">
        <f t="shared" si="73"/>
        <v>01-1900</v>
      </c>
      <c r="BA927" s="92" t="str">
        <f t="shared" si="74"/>
        <v/>
      </c>
    </row>
    <row r="928" spans="2:53">
      <c r="B928" s="60">
        <f>[2]Trucks!A925</f>
        <v>0</v>
      </c>
      <c r="C928" s="11">
        <f>[2]Trucks!B925</f>
        <v>0</v>
      </c>
      <c r="D928" s="19" t="str">
        <f>IFERROR(VLOOKUP(C928&amp;"",'[2]Retail Price List'!$A$3:$B$103,2,FALSE),"Special Order")</f>
        <v>Special Order</v>
      </c>
      <c r="E928" s="18">
        <f>[2]Trucks!J925</f>
        <v>0</v>
      </c>
      <c r="F928" s="12">
        <f>[2]Trucks!E925</f>
        <v>0</v>
      </c>
      <c r="G928" s="56">
        <f>[2]Trucks!K925</f>
        <v>0</v>
      </c>
      <c r="H928" s="46">
        <f>[2]Trucks!I925</f>
        <v>0</v>
      </c>
      <c r="I928" s="83" t="str">
        <f t="shared" si="70"/>
        <v/>
      </c>
      <c r="J928" s="272" t="str">
        <f>IFERROR(VLOOKUP((D928&amp;C928)&amp;"",'[2]Retail Price List'!$C$4:$F$102,3,FALSE),"")</f>
        <v/>
      </c>
      <c r="K928" s="272">
        <f>IFERROR(IF(BA928="WIP - 30 Days",VLOOKUP(D928,[3]Standard!$B$9:$E$101,4,FALSE),IF(BA928="31-120 Days",VLOOKUP(D928,[3]Standard!$B$9:$F$101,5,FALSE),IF(BA928="121-365 Days",VLOOKUP(D928,[3]Standard!$B$9:$G$101,6,FALSE),VLOOKUP(D928,[3]Standard!$B$9:$H$101,7,FALSE)))),0)</f>
        <v>0</v>
      </c>
      <c r="L928" s="272">
        <f>IFERROR(IF(BA928="WIP - 30 Days",VLOOKUP(D928,[3]Standard!$B$9:$J$101,9,FALSE),IF(BA928="31-120 Days",VLOOKUP(D928,[3]Standard!$B$9:$K$100,10,FALSE),IF(BA928="121-365 Days",VLOOKUP(D928,[3]Standard!$B$9:$L$101,11,FALSE),VLOOKUP(D928,[3]Standard!$B$9:$M$101,12,FALSE)))),0)</f>
        <v>0</v>
      </c>
      <c r="M928" s="269" t="str">
        <f>IFERROR(VLOOKUP((D928&amp;C928)&amp;"",'[2]Retail Price List'!$C$4:$F$102,4,FALSE),"")</f>
        <v/>
      </c>
      <c r="N928" s="269">
        <f>IFERROR(IF(BA928="WIP - 30 Days",VLOOKUP(D928,[3]Extended!$B$9:$E$101,4,FALSE),IF(BA928="31-120 Days",VLOOKUP(D928,[3]Extended!$B$9:$F$101,5,FALSE),IF(BA928="121-365 Days",VLOOKUP(D928,[3]Extended!$B$9:$G$101,6,FALSE),VLOOKUP(D928,[3]Extended!$B$9:$H$101,7,FALSE)))),0)</f>
        <v>0</v>
      </c>
      <c r="O928" s="269">
        <f>IFERROR(IF(BA928="WIP - 30 Days",VLOOKUP(D928,[3]Extended!$B$9:$J$101,9,FALSE),IF(BA928="31-120 Days",VLOOKUP(D928,[3]Extended!$B$9:$K$101,10,FALSE),IF(BA928="121-365 Days",VLOOKUP(D928,[3]Extended!$B$9:$L$101,11,FALSE),VLOOKUP(D928,[3]Extended!$B$9:$M$101,12,FALSE)))),0)</f>
        <v>0</v>
      </c>
      <c r="P928" s="116" t="e">
        <f t="shared" si="71"/>
        <v>#VALUE!</v>
      </c>
      <c r="Q928" s="110" t="e">
        <f>O928-#REF!</f>
        <v>#REF!</v>
      </c>
      <c r="W928" s="311"/>
      <c r="X928" s="311"/>
      <c r="Y928" s="311"/>
      <c r="Z928" s="311"/>
      <c r="AA928" s="311"/>
      <c r="AB928" s="311"/>
      <c r="AC928" s="311"/>
      <c r="AT928" s="88" t="str">
        <f t="shared" si="72"/>
        <v>Special Order0</v>
      </c>
      <c r="AU928" s="89" t="str">
        <f t="shared" si="73"/>
        <v>01-1900</v>
      </c>
      <c r="BA928" s="92" t="str">
        <f t="shared" si="74"/>
        <v/>
      </c>
    </row>
    <row r="929" spans="2:53">
      <c r="B929" s="60">
        <f>[2]Trucks!A926</f>
        <v>0</v>
      </c>
      <c r="C929" s="11">
        <f>[2]Trucks!B926</f>
        <v>0</v>
      </c>
      <c r="D929" s="19" t="str">
        <f>IFERROR(VLOOKUP(C929&amp;"",'[2]Retail Price List'!$A$3:$B$103,2,FALSE),"Special Order")</f>
        <v>Special Order</v>
      </c>
      <c r="E929" s="18">
        <f>[2]Trucks!J926</f>
        <v>0</v>
      </c>
      <c r="F929" s="12">
        <f>[2]Trucks!E926</f>
        <v>0</v>
      </c>
      <c r="G929" s="56">
        <f>[2]Trucks!K926</f>
        <v>0</v>
      </c>
      <c r="H929" s="46">
        <f>[2]Trucks!I926</f>
        <v>0</v>
      </c>
      <c r="I929" s="83" t="str">
        <f t="shared" si="70"/>
        <v/>
      </c>
      <c r="J929" s="272" t="str">
        <f>IFERROR(VLOOKUP((D929&amp;C929)&amp;"",'[2]Retail Price List'!$C$4:$F$102,3,FALSE),"")</f>
        <v/>
      </c>
      <c r="K929" s="272">
        <f>IFERROR(IF(BA929="WIP - 30 Days",VLOOKUP(D929,[3]Standard!$B$9:$E$101,4,FALSE),IF(BA929="31-120 Days",VLOOKUP(D929,[3]Standard!$B$9:$F$101,5,FALSE),IF(BA929="121-365 Days",VLOOKUP(D929,[3]Standard!$B$9:$G$101,6,FALSE),VLOOKUP(D929,[3]Standard!$B$9:$H$101,7,FALSE)))),0)</f>
        <v>0</v>
      </c>
      <c r="L929" s="272">
        <f>IFERROR(IF(BA929="WIP - 30 Days",VLOOKUP(D929,[3]Standard!$B$9:$J$101,9,FALSE),IF(BA929="31-120 Days",VLOOKUP(D929,[3]Standard!$B$9:$K$100,10,FALSE),IF(BA929="121-365 Days",VLOOKUP(D929,[3]Standard!$B$9:$L$101,11,FALSE),VLOOKUP(D929,[3]Standard!$B$9:$M$101,12,FALSE)))),0)</f>
        <v>0</v>
      </c>
      <c r="M929" s="269" t="str">
        <f>IFERROR(VLOOKUP((D929&amp;C929)&amp;"",'[2]Retail Price List'!$C$4:$F$102,4,FALSE),"")</f>
        <v/>
      </c>
      <c r="N929" s="269">
        <f>IFERROR(IF(BA929="WIP - 30 Days",VLOOKUP(D929,[3]Extended!$B$9:$E$101,4,FALSE),IF(BA929="31-120 Days",VLOOKUP(D929,[3]Extended!$B$9:$F$101,5,FALSE),IF(BA929="121-365 Days",VLOOKUP(D929,[3]Extended!$B$9:$G$101,6,FALSE),VLOOKUP(D929,[3]Extended!$B$9:$H$101,7,FALSE)))),0)</f>
        <v>0</v>
      </c>
      <c r="O929" s="269">
        <f>IFERROR(IF(BA929="WIP - 30 Days",VLOOKUP(D929,[3]Extended!$B$9:$J$101,9,FALSE),IF(BA929="31-120 Days",VLOOKUP(D929,[3]Extended!$B$9:$K$101,10,FALSE),IF(BA929="121-365 Days",VLOOKUP(D929,[3]Extended!$B$9:$L$101,11,FALSE),VLOOKUP(D929,[3]Extended!$B$9:$M$101,12,FALSE)))),0)</f>
        <v>0</v>
      </c>
      <c r="P929" s="116" t="e">
        <f t="shared" si="71"/>
        <v>#VALUE!</v>
      </c>
      <c r="Q929" s="110" t="e">
        <f>O929-#REF!</f>
        <v>#REF!</v>
      </c>
      <c r="W929" s="311"/>
      <c r="X929" s="311"/>
      <c r="Y929" s="311"/>
      <c r="Z929" s="311"/>
      <c r="AA929" s="311"/>
      <c r="AB929" s="311"/>
      <c r="AC929" s="311"/>
      <c r="AT929" s="88" t="str">
        <f t="shared" si="72"/>
        <v>Special Order0</v>
      </c>
      <c r="AU929" s="89" t="str">
        <f t="shared" si="73"/>
        <v>01-1900</v>
      </c>
      <c r="BA929" s="92" t="str">
        <f t="shared" si="74"/>
        <v/>
      </c>
    </row>
    <row r="930" spans="2:53">
      <c r="B930" s="60">
        <f>[2]Trucks!A927</f>
        <v>0</v>
      </c>
      <c r="C930" s="11">
        <f>[2]Trucks!B927</f>
        <v>0</v>
      </c>
      <c r="D930" s="19" t="str">
        <f>IFERROR(VLOOKUP(C930&amp;"",'[2]Retail Price List'!$A$3:$B$103,2,FALSE),"Special Order")</f>
        <v>Special Order</v>
      </c>
      <c r="E930" s="18">
        <f>[2]Trucks!J927</f>
        <v>0</v>
      </c>
      <c r="F930" s="12">
        <f>[2]Trucks!E927</f>
        <v>0</v>
      </c>
      <c r="G930" s="56">
        <f>[2]Trucks!K927</f>
        <v>0</v>
      </c>
      <c r="H930" s="46">
        <f>[2]Trucks!I927</f>
        <v>0</v>
      </c>
      <c r="I930" s="83" t="str">
        <f t="shared" si="70"/>
        <v/>
      </c>
      <c r="J930" s="272" t="str">
        <f>IFERROR(VLOOKUP((D930&amp;C930)&amp;"",'[2]Retail Price List'!$C$4:$F$102,3,FALSE),"")</f>
        <v/>
      </c>
      <c r="K930" s="272">
        <f>IFERROR(IF(BA930="WIP - 30 Days",VLOOKUP(D930,[3]Standard!$B$9:$E$101,4,FALSE),IF(BA930="31-120 Days",VLOOKUP(D930,[3]Standard!$B$9:$F$101,5,FALSE),IF(BA930="121-365 Days",VLOOKUP(D930,[3]Standard!$B$9:$G$101,6,FALSE),VLOOKUP(D930,[3]Standard!$B$9:$H$101,7,FALSE)))),0)</f>
        <v>0</v>
      </c>
      <c r="L930" s="272">
        <f>IFERROR(IF(BA930="WIP - 30 Days",VLOOKUP(D930,[3]Standard!$B$9:$J$101,9,FALSE),IF(BA930="31-120 Days",VLOOKUP(D930,[3]Standard!$B$9:$K$100,10,FALSE),IF(BA930="121-365 Days",VLOOKUP(D930,[3]Standard!$B$9:$L$101,11,FALSE),VLOOKUP(D930,[3]Standard!$B$9:$M$101,12,FALSE)))),0)</f>
        <v>0</v>
      </c>
      <c r="M930" s="269" t="str">
        <f>IFERROR(VLOOKUP((D930&amp;C930)&amp;"",'[2]Retail Price List'!$C$4:$F$102,4,FALSE),"")</f>
        <v/>
      </c>
      <c r="N930" s="269">
        <f>IFERROR(IF(BA930="WIP - 30 Days",VLOOKUP(D930,[3]Extended!$B$9:$E$101,4,FALSE),IF(BA930="31-120 Days",VLOOKUP(D930,[3]Extended!$B$9:$F$101,5,FALSE),IF(BA930="121-365 Days",VLOOKUP(D930,[3]Extended!$B$9:$G$101,6,FALSE),VLOOKUP(D930,[3]Extended!$B$9:$H$101,7,FALSE)))),0)</f>
        <v>0</v>
      </c>
      <c r="O930" s="269">
        <f>IFERROR(IF(BA930="WIP - 30 Days",VLOOKUP(D930,[3]Extended!$B$9:$J$101,9,FALSE),IF(BA930="31-120 Days",VLOOKUP(D930,[3]Extended!$B$9:$K$101,10,FALSE),IF(BA930="121-365 Days",VLOOKUP(D930,[3]Extended!$B$9:$L$101,11,FALSE),VLOOKUP(D930,[3]Extended!$B$9:$M$101,12,FALSE)))),0)</f>
        <v>0</v>
      </c>
      <c r="P930" s="116" t="e">
        <f t="shared" si="71"/>
        <v>#VALUE!</v>
      </c>
      <c r="Q930" s="110" t="e">
        <f>O930-#REF!</f>
        <v>#REF!</v>
      </c>
      <c r="W930" s="311"/>
      <c r="X930" s="311"/>
      <c r="Y930" s="311"/>
      <c r="Z930" s="311"/>
      <c r="AA930" s="311"/>
      <c r="AB930" s="311"/>
      <c r="AC930" s="311"/>
      <c r="AT930" s="88" t="str">
        <f t="shared" si="72"/>
        <v>Special Order0</v>
      </c>
      <c r="AU930" s="89" t="str">
        <f t="shared" si="73"/>
        <v>01-1900</v>
      </c>
      <c r="BA930" s="92" t="str">
        <f t="shared" si="74"/>
        <v/>
      </c>
    </row>
    <row r="931" spans="2:53">
      <c r="B931" s="60">
        <f>[2]Trucks!A928</f>
        <v>0</v>
      </c>
      <c r="C931" s="11">
        <f>[2]Trucks!B928</f>
        <v>0</v>
      </c>
      <c r="D931" s="19" t="str">
        <f>IFERROR(VLOOKUP(C931&amp;"",'[2]Retail Price List'!$A$3:$B$103,2,FALSE),"Special Order")</f>
        <v>Special Order</v>
      </c>
      <c r="E931" s="18">
        <f>[2]Trucks!J928</f>
        <v>0</v>
      </c>
      <c r="F931" s="12">
        <f>[2]Trucks!E928</f>
        <v>0</v>
      </c>
      <c r="G931" s="56">
        <f>[2]Trucks!K928</f>
        <v>0</v>
      </c>
      <c r="H931" s="46">
        <f>[2]Trucks!I928</f>
        <v>0</v>
      </c>
      <c r="I931" s="83" t="str">
        <f t="shared" si="70"/>
        <v/>
      </c>
      <c r="J931" s="272" t="str">
        <f>IFERROR(VLOOKUP((D931&amp;C931)&amp;"",'[2]Retail Price List'!$C$4:$F$102,3,FALSE),"")</f>
        <v/>
      </c>
      <c r="K931" s="272">
        <f>IFERROR(IF(BA931="WIP - 30 Days",VLOOKUP(D931,[3]Standard!$B$9:$E$101,4,FALSE),IF(BA931="31-120 Days",VLOOKUP(D931,[3]Standard!$B$9:$F$101,5,FALSE),IF(BA931="121-365 Days",VLOOKUP(D931,[3]Standard!$B$9:$G$101,6,FALSE),VLOOKUP(D931,[3]Standard!$B$9:$H$101,7,FALSE)))),0)</f>
        <v>0</v>
      </c>
      <c r="L931" s="272">
        <f>IFERROR(IF(BA931="WIP - 30 Days",VLOOKUP(D931,[3]Standard!$B$9:$J$101,9,FALSE),IF(BA931="31-120 Days",VLOOKUP(D931,[3]Standard!$B$9:$K$100,10,FALSE),IF(BA931="121-365 Days",VLOOKUP(D931,[3]Standard!$B$9:$L$101,11,FALSE),VLOOKUP(D931,[3]Standard!$B$9:$M$101,12,FALSE)))),0)</f>
        <v>0</v>
      </c>
      <c r="M931" s="269" t="str">
        <f>IFERROR(VLOOKUP((D931&amp;C931)&amp;"",'[2]Retail Price List'!$C$4:$F$102,4,FALSE),"")</f>
        <v/>
      </c>
      <c r="N931" s="269">
        <f>IFERROR(IF(BA931="WIP - 30 Days",VLOOKUP(D931,[3]Extended!$B$9:$E$101,4,FALSE),IF(BA931="31-120 Days",VLOOKUP(D931,[3]Extended!$B$9:$F$101,5,FALSE),IF(BA931="121-365 Days",VLOOKUP(D931,[3]Extended!$B$9:$G$101,6,FALSE),VLOOKUP(D931,[3]Extended!$B$9:$H$101,7,FALSE)))),0)</f>
        <v>0</v>
      </c>
      <c r="O931" s="269">
        <f>IFERROR(IF(BA931="WIP - 30 Days",VLOOKUP(D931,[3]Extended!$B$9:$J$101,9,FALSE),IF(BA931="31-120 Days",VLOOKUP(D931,[3]Extended!$B$9:$K$101,10,FALSE),IF(BA931="121-365 Days",VLOOKUP(D931,[3]Extended!$B$9:$L$101,11,FALSE),VLOOKUP(D931,[3]Extended!$B$9:$M$101,12,FALSE)))),0)</f>
        <v>0</v>
      </c>
      <c r="P931" s="116" t="e">
        <f t="shared" si="71"/>
        <v>#VALUE!</v>
      </c>
      <c r="Q931" s="110" t="e">
        <f>O931-#REF!</f>
        <v>#REF!</v>
      </c>
      <c r="W931" s="311"/>
      <c r="X931" s="311"/>
      <c r="Y931" s="311"/>
      <c r="Z931" s="311"/>
      <c r="AA931" s="311"/>
      <c r="AB931" s="311"/>
      <c r="AC931" s="311"/>
      <c r="AT931" s="88" t="str">
        <f t="shared" si="72"/>
        <v>Special Order0</v>
      </c>
      <c r="AU931" s="89" t="str">
        <f t="shared" si="73"/>
        <v>01-1900</v>
      </c>
      <c r="BA931" s="92" t="str">
        <f t="shared" si="74"/>
        <v/>
      </c>
    </row>
    <row r="932" spans="2:53">
      <c r="B932" s="60">
        <f>[2]Trucks!A929</f>
        <v>0</v>
      </c>
      <c r="C932" s="11">
        <f>[2]Trucks!B929</f>
        <v>0</v>
      </c>
      <c r="D932" s="19" t="str">
        <f>IFERROR(VLOOKUP(C932&amp;"",'[2]Retail Price List'!$A$3:$B$103,2,FALSE),"Special Order")</f>
        <v>Special Order</v>
      </c>
      <c r="E932" s="18">
        <f>[2]Trucks!J929</f>
        <v>0</v>
      </c>
      <c r="F932" s="12">
        <f>[2]Trucks!E929</f>
        <v>0</v>
      </c>
      <c r="G932" s="56">
        <f>[2]Trucks!K929</f>
        <v>0</v>
      </c>
      <c r="H932" s="46">
        <f>[2]Trucks!I929</f>
        <v>0</v>
      </c>
      <c r="I932" s="83" t="str">
        <f t="shared" si="70"/>
        <v/>
      </c>
      <c r="J932" s="272" t="str">
        <f>IFERROR(VLOOKUP((D932&amp;C932)&amp;"",'[2]Retail Price List'!$C$4:$F$102,3,FALSE),"")</f>
        <v/>
      </c>
      <c r="K932" s="272">
        <f>IFERROR(IF(BA932="WIP - 30 Days",VLOOKUP(D932,[3]Standard!$B$9:$E$101,4,FALSE),IF(BA932="31-120 Days",VLOOKUP(D932,[3]Standard!$B$9:$F$101,5,FALSE),IF(BA932="121-365 Days",VLOOKUP(D932,[3]Standard!$B$9:$G$101,6,FALSE),VLOOKUP(D932,[3]Standard!$B$9:$H$101,7,FALSE)))),0)</f>
        <v>0</v>
      </c>
      <c r="L932" s="272">
        <f>IFERROR(IF(BA932="WIP - 30 Days",VLOOKUP(D932,[3]Standard!$B$9:$J$101,9,FALSE),IF(BA932="31-120 Days",VLOOKUP(D932,[3]Standard!$B$9:$K$100,10,FALSE),IF(BA932="121-365 Days",VLOOKUP(D932,[3]Standard!$B$9:$L$101,11,FALSE),VLOOKUP(D932,[3]Standard!$B$9:$M$101,12,FALSE)))),0)</f>
        <v>0</v>
      </c>
      <c r="M932" s="269" t="str">
        <f>IFERROR(VLOOKUP((D932&amp;C932)&amp;"",'[2]Retail Price List'!$C$4:$F$102,4,FALSE),"")</f>
        <v/>
      </c>
      <c r="N932" s="269">
        <f>IFERROR(IF(BA932="WIP - 30 Days",VLOOKUP(D932,[3]Extended!$B$9:$E$101,4,FALSE),IF(BA932="31-120 Days",VLOOKUP(D932,[3]Extended!$B$9:$F$101,5,FALSE),IF(BA932="121-365 Days",VLOOKUP(D932,[3]Extended!$B$9:$G$101,6,FALSE),VLOOKUP(D932,[3]Extended!$B$9:$H$101,7,FALSE)))),0)</f>
        <v>0</v>
      </c>
      <c r="O932" s="269">
        <f>IFERROR(IF(BA932="WIP - 30 Days",VLOOKUP(D932,[3]Extended!$B$9:$J$101,9,FALSE),IF(BA932="31-120 Days",VLOOKUP(D932,[3]Extended!$B$9:$K$101,10,FALSE),IF(BA932="121-365 Days",VLOOKUP(D932,[3]Extended!$B$9:$L$101,11,FALSE),VLOOKUP(D932,[3]Extended!$B$9:$M$101,12,FALSE)))),0)</f>
        <v>0</v>
      </c>
      <c r="P932" s="116" t="e">
        <f t="shared" si="71"/>
        <v>#VALUE!</v>
      </c>
      <c r="Q932" s="110" t="e">
        <f>O932-#REF!</f>
        <v>#REF!</v>
      </c>
      <c r="W932" s="311"/>
      <c r="X932" s="311"/>
      <c r="Y932" s="311"/>
      <c r="Z932" s="311"/>
      <c r="AA932" s="311"/>
      <c r="AB932" s="311"/>
      <c r="AC932" s="311"/>
      <c r="AT932" s="88" t="str">
        <f t="shared" si="72"/>
        <v>Special Order0</v>
      </c>
      <c r="AU932" s="89" t="str">
        <f t="shared" si="73"/>
        <v>01-1900</v>
      </c>
      <c r="BA932" s="92" t="str">
        <f t="shared" si="74"/>
        <v/>
      </c>
    </row>
    <row r="933" spans="2:53">
      <c r="B933" s="60">
        <f>[2]Trucks!A930</f>
        <v>0</v>
      </c>
      <c r="C933" s="11">
        <f>[2]Trucks!B930</f>
        <v>0</v>
      </c>
      <c r="D933" s="19" t="str">
        <f>IFERROR(VLOOKUP(C933&amp;"",'[2]Retail Price List'!$A$3:$B$103,2,FALSE),"Special Order")</f>
        <v>Special Order</v>
      </c>
      <c r="E933" s="18">
        <f>[2]Trucks!J930</f>
        <v>0</v>
      </c>
      <c r="F933" s="12">
        <f>[2]Trucks!E930</f>
        <v>0</v>
      </c>
      <c r="G933" s="56">
        <f>[2]Trucks!K930</f>
        <v>0</v>
      </c>
      <c r="H933" s="46">
        <f>[2]Trucks!I930</f>
        <v>0</v>
      </c>
      <c r="I933" s="83" t="str">
        <f t="shared" si="70"/>
        <v/>
      </c>
      <c r="J933" s="272" t="str">
        <f>IFERROR(VLOOKUP((D933&amp;C933)&amp;"",'[2]Retail Price List'!$C$4:$F$102,3,FALSE),"")</f>
        <v/>
      </c>
      <c r="K933" s="272">
        <f>IFERROR(IF(BA933="WIP - 30 Days",VLOOKUP(D933,[3]Standard!$B$9:$E$101,4,FALSE),IF(BA933="31-120 Days",VLOOKUP(D933,[3]Standard!$B$9:$F$101,5,FALSE),IF(BA933="121-365 Days",VLOOKUP(D933,[3]Standard!$B$9:$G$101,6,FALSE),VLOOKUP(D933,[3]Standard!$B$9:$H$101,7,FALSE)))),0)</f>
        <v>0</v>
      </c>
      <c r="L933" s="272">
        <f>IFERROR(IF(BA933="WIP - 30 Days",VLOOKUP(D933,[3]Standard!$B$9:$J$101,9,FALSE),IF(BA933="31-120 Days",VLOOKUP(D933,[3]Standard!$B$9:$K$100,10,FALSE),IF(BA933="121-365 Days",VLOOKUP(D933,[3]Standard!$B$9:$L$101,11,FALSE),VLOOKUP(D933,[3]Standard!$B$9:$M$101,12,FALSE)))),0)</f>
        <v>0</v>
      </c>
      <c r="M933" s="269" t="str">
        <f>IFERROR(VLOOKUP((D933&amp;C933)&amp;"",'[2]Retail Price List'!$C$4:$F$102,4,FALSE),"")</f>
        <v/>
      </c>
      <c r="N933" s="269">
        <f>IFERROR(IF(BA933="WIP - 30 Days",VLOOKUP(D933,[3]Extended!$B$9:$E$101,4,FALSE),IF(BA933="31-120 Days",VLOOKUP(D933,[3]Extended!$B$9:$F$101,5,FALSE),IF(BA933="121-365 Days",VLOOKUP(D933,[3]Extended!$B$9:$G$101,6,FALSE),VLOOKUP(D933,[3]Extended!$B$9:$H$101,7,FALSE)))),0)</f>
        <v>0</v>
      </c>
      <c r="O933" s="269">
        <f>IFERROR(IF(BA933="WIP - 30 Days",VLOOKUP(D933,[3]Extended!$B$9:$J$101,9,FALSE),IF(BA933="31-120 Days",VLOOKUP(D933,[3]Extended!$B$9:$K$101,10,FALSE),IF(BA933="121-365 Days",VLOOKUP(D933,[3]Extended!$B$9:$L$101,11,FALSE),VLOOKUP(D933,[3]Extended!$B$9:$M$101,12,FALSE)))),0)</f>
        <v>0</v>
      </c>
      <c r="P933" s="116" t="e">
        <f t="shared" si="71"/>
        <v>#VALUE!</v>
      </c>
      <c r="Q933" s="110" t="e">
        <f>O933-#REF!</f>
        <v>#REF!</v>
      </c>
      <c r="W933" s="311"/>
      <c r="X933" s="311"/>
      <c r="Y933" s="311"/>
      <c r="Z933" s="311"/>
      <c r="AA933" s="311"/>
      <c r="AB933" s="311"/>
      <c r="AC933" s="311"/>
      <c r="AT933" s="88" t="str">
        <f t="shared" si="72"/>
        <v>Special Order0</v>
      </c>
      <c r="AU933" s="89" t="str">
        <f t="shared" si="73"/>
        <v>01-1900</v>
      </c>
      <c r="BA933" s="92" t="str">
        <f t="shared" si="74"/>
        <v/>
      </c>
    </row>
    <row r="934" spans="2:53">
      <c r="B934" s="60">
        <f>[2]Trucks!A931</f>
        <v>0</v>
      </c>
      <c r="C934" s="11">
        <f>[2]Trucks!B931</f>
        <v>0</v>
      </c>
      <c r="D934" s="19" t="str">
        <f>IFERROR(VLOOKUP(C934&amp;"",'[2]Retail Price List'!$A$3:$B$103,2,FALSE),"Special Order")</f>
        <v>Special Order</v>
      </c>
      <c r="E934" s="18">
        <f>[2]Trucks!J931</f>
        <v>0</v>
      </c>
      <c r="F934" s="12">
        <f>[2]Trucks!E931</f>
        <v>0</v>
      </c>
      <c r="G934" s="56">
        <f>[2]Trucks!K931</f>
        <v>0</v>
      </c>
      <c r="H934" s="46">
        <f>[2]Trucks!I931</f>
        <v>0</v>
      </c>
      <c r="I934" s="83" t="str">
        <f t="shared" si="70"/>
        <v/>
      </c>
      <c r="J934" s="272" t="str">
        <f>IFERROR(VLOOKUP((D934&amp;C934)&amp;"",'[2]Retail Price List'!$C$4:$F$102,3,FALSE),"")</f>
        <v/>
      </c>
      <c r="K934" s="272">
        <f>IFERROR(IF(BA934="WIP - 30 Days",VLOOKUP(D934,[3]Standard!$B$9:$E$101,4,FALSE),IF(BA934="31-120 Days",VLOOKUP(D934,[3]Standard!$B$9:$F$101,5,FALSE),IF(BA934="121-365 Days",VLOOKUP(D934,[3]Standard!$B$9:$G$101,6,FALSE),VLOOKUP(D934,[3]Standard!$B$9:$H$101,7,FALSE)))),0)</f>
        <v>0</v>
      </c>
      <c r="L934" s="272">
        <f>IFERROR(IF(BA934="WIP - 30 Days",VLOOKUP(D934,[3]Standard!$B$9:$J$101,9,FALSE),IF(BA934="31-120 Days",VLOOKUP(D934,[3]Standard!$B$9:$K$100,10,FALSE),IF(BA934="121-365 Days",VLOOKUP(D934,[3]Standard!$B$9:$L$101,11,FALSE),VLOOKUP(D934,[3]Standard!$B$9:$M$101,12,FALSE)))),0)</f>
        <v>0</v>
      </c>
      <c r="M934" s="269" t="str">
        <f>IFERROR(VLOOKUP((D934&amp;C934)&amp;"",'[2]Retail Price List'!$C$4:$F$102,4,FALSE),"")</f>
        <v/>
      </c>
      <c r="N934" s="269">
        <f>IFERROR(IF(BA934="WIP - 30 Days",VLOOKUP(D934,[3]Extended!$B$9:$E$101,4,FALSE),IF(BA934="31-120 Days",VLOOKUP(D934,[3]Extended!$B$9:$F$101,5,FALSE),IF(BA934="121-365 Days",VLOOKUP(D934,[3]Extended!$B$9:$G$101,6,FALSE),VLOOKUP(D934,[3]Extended!$B$9:$H$101,7,FALSE)))),0)</f>
        <v>0</v>
      </c>
      <c r="O934" s="269">
        <f>IFERROR(IF(BA934="WIP - 30 Days",VLOOKUP(D934,[3]Extended!$B$9:$J$101,9,FALSE),IF(BA934="31-120 Days",VLOOKUP(D934,[3]Extended!$B$9:$K$101,10,FALSE),IF(BA934="121-365 Days",VLOOKUP(D934,[3]Extended!$B$9:$L$101,11,FALSE),VLOOKUP(D934,[3]Extended!$B$9:$M$101,12,FALSE)))),0)</f>
        <v>0</v>
      </c>
      <c r="P934" s="116" t="e">
        <f t="shared" si="71"/>
        <v>#VALUE!</v>
      </c>
      <c r="Q934" s="110" t="e">
        <f>O934-#REF!</f>
        <v>#REF!</v>
      </c>
      <c r="W934" s="311"/>
      <c r="X934" s="311"/>
      <c r="Y934" s="311"/>
      <c r="Z934" s="311"/>
      <c r="AA934" s="311"/>
      <c r="AB934" s="311"/>
      <c r="AC934" s="311"/>
      <c r="AT934" s="88" t="str">
        <f t="shared" si="72"/>
        <v>Special Order0</v>
      </c>
      <c r="AU934" s="89" t="str">
        <f t="shared" si="73"/>
        <v>01-1900</v>
      </c>
      <c r="BA934" s="92" t="str">
        <f t="shared" si="74"/>
        <v/>
      </c>
    </row>
    <row r="935" spans="2:53">
      <c r="B935" s="60">
        <f>[2]Trucks!A932</f>
        <v>0</v>
      </c>
      <c r="C935" s="11">
        <f>[2]Trucks!B932</f>
        <v>0</v>
      </c>
      <c r="D935" s="19" t="str">
        <f>IFERROR(VLOOKUP(C935&amp;"",'[2]Retail Price List'!$A$3:$B$103,2,FALSE),"Special Order")</f>
        <v>Special Order</v>
      </c>
      <c r="E935" s="18">
        <f>[2]Trucks!J932</f>
        <v>0</v>
      </c>
      <c r="F935" s="12">
        <f>[2]Trucks!E932</f>
        <v>0</v>
      </c>
      <c r="G935" s="56">
        <f>[2]Trucks!K932</f>
        <v>0</v>
      </c>
      <c r="H935" s="46">
        <f>[2]Trucks!I932</f>
        <v>0</v>
      </c>
      <c r="I935" s="83" t="str">
        <f t="shared" si="70"/>
        <v/>
      </c>
      <c r="J935" s="272" t="str">
        <f>IFERROR(VLOOKUP((D935&amp;C935)&amp;"",'[2]Retail Price List'!$C$4:$F$102,3,FALSE),"")</f>
        <v/>
      </c>
      <c r="K935" s="272">
        <f>IFERROR(IF(BA935="WIP - 30 Days",VLOOKUP(D935,[3]Standard!$B$9:$E$101,4,FALSE),IF(BA935="31-120 Days",VLOOKUP(D935,[3]Standard!$B$9:$F$101,5,FALSE),IF(BA935="121-365 Days",VLOOKUP(D935,[3]Standard!$B$9:$G$101,6,FALSE),VLOOKUP(D935,[3]Standard!$B$9:$H$101,7,FALSE)))),0)</f>
        <v>0</v>
      </c>
      <c r="L935" s="272">
        <f>IFERROR(IF(BA935="WIP - 30 Days",VLOOKUP(D935,[3]Standard!$B$9:$J$101,9,FALSE),IF(BA935="31-120 Days",VLOOKUP(D935,[3]Standard!$B$9:$K$100,10,FALSE),IF(BA935="121-365 Days",VLOOKUP(D935,[3]Standard!$B$9:$L$101,11,FALSE),VLOOKUP(D935,[3]Standard!$B$9:$M$101,12,FALSE)))),0)</f>
        <v>0</v>
      </c>
      <c r="M935" s="269" t="str">
        <f>IFERROR(VLOOKUP((D935&amp;C935)&amp;"",'[2]Retail Price List'!$C$4:$F$102,4,FALSE),"")</f>
        <v/>
      </c>
      <c r="N935" s="269">
        <f>IFERROR(IF(BA935="WIP - 30 Days",VLOOKUP(D935,[3]Extended!$B$9:$E$101,4,FALSE),IF(BA935="31-120 Days",VLOOKUP(D935,[3]Extended!$B$9:$F$101,5,FALSE),IF(BA935="121-365 Days",VLOOKUP(D935,[3]Extended!$B$9:$G$101,6,FALSE),VLOOKUP(D935,[3]Extended!$B$9:$H$101,7,FALSE)))),0)</f>
        <v>0</v>
      </c>
      <c r="O935" s="269">
        <f>IFERROR(IF(BA935="WIP - 30 Days",VLOOKUP(D935,[3]Extended!$B$9:$J$101,9,FALSE),IF(BA935="31-120 Days",VLOOKUP(D935,[3]Extended!$B$9:$K$101,10,FALSE),IF(BA935="121-365 Days",VLOOKUP(D935,[3]Extended!$B$9:$L$101,11,FALSE),VLOOKUP(D935,[3]Extended!$B$9:$M$101,12,FALSE)))),0)</f>
        <v>0</v>
      </c>
      <c r="P935" s="116" t="e">
        <f t="shared" si="71"/>
        <v>#VALUE!</v>
      </c>
      <c r="Q935" s="110" t="e">
        <f>O935-#REF!</f>
        <v>#REF!</v>
      </c>
      <c r="W935" s="311"/>
      <c r="X935" s="311"/>
      <c r="Y935" s="311"/>
      <c r="Z935" s="311"/>
      <c r="AA935" s="311"/>
      <c r="AB935" s="311"/>
      <c r="AC935" s="311"/>
      <c r="AT935" s="88" t="str">
        <f t="shared" si="72"/>
        <v>Special Order0</v>
      </c>
      <c r="AU935" s="89" t="str">
        <f t="shared" si="73"/>
        <v>01-1900</v>
      </c>
      <c r="BA935" s="92" t="str">
        <f t="shared" si="74"/>
        <v/>
      </c>
    </row>
    <row r="936" spans="2:53">
      <c r="B936" s="60">
        <f>[2]Trucks!A933</f>
        <v>0</v>
      </c>
      <c r="C936" s="11">
        <f>[2]Trucks!B933</f>
        <v>0</v>
      </c>
      <c r="D936" s="19" t="str">
        <f>IFERROR(VLOOKUP(C936&amp;"",'[2]Retail Price List'!$A$3:$B$103,2,FALSE),"Special Order")</f>
        <v>Special Order</v>
      </c>
      <c r="E936" s="18">
        <f>[2]Trucks!J933</f>
        <v>0</v>
      </c>
      <c r="F936" s="12">
        <f>[2]Trucks!E933</f>
        <v>0</v>
      </c>
      <c r="G936" s="56">
        <f>[2]Trucks!K933</f>
        <v>0</v>
      </c>
      <c r="H936" s="46">
        <f>[2]Trucks!I933</f>
        <v>0</v>
      </c>
      <c r="I936" s="83" t="str">
        <f t="shared" si="70"/>
        <v/>
      </c>
      <c r="J936" s="272" t="str">
        <f>IFERROR(VLOOKUP((D936&amp;C936)&amp;"",'[2]Retail Price List'!$C$4:$F$102,3,FALSE),"")</f>
        <v/>
      </c>
      <c r="K936" s="272">
        <f>IFERROR(IF(BA936="WIP - 30 Days",VLOOKUP(D936,[3]Standard!$B$9:$E$101,4,FALSE),IF(BA936="31-120 Days",VLOOKUP(D936,[3]Standard!$B$9:$F$101,5,FALSE),IF(BA936="121-365 Days",VLOOKUP(D936,[3]Standard!$B$9:$G$101,6,FALSE),VLOOKUP(D936,[3]Standard!$B$9:$H$101,7,FALSE)))),0)</f>
        <v>0</v>
      </c>
      <c r="L936" s="272">
        <f>IFERROR(IF(BA936="WIP - 30 Days",VLOOKUP(D936,[3]Standard!$B$9:$J$101,9,FALSE),IF(BA936="31-120 Days",VLOOKUP(D936,[3]Standard!$B$9:$K$100,10,FALSE),IF(BA936="121-365 Days",VLOOKUP(D936,[3]Standard!$B$9:$L$101,11,FALSE),VLOOKUP(D936,[3]Standard!$B$9:$M$101,12,FALSE)))),0)</f>
        <v>0</v>
      </c>
      <c r="M936" s="269" t="str">
        <f>IFERROR(VLOOKUP((D936&amp;C936)&amp;"",'[2]Retail Price List'!$C$4:$F$102,4,FALSE),"")</f>
        <v/>
      </c>
      <c r="N936" s="269">
        <f>IFERROR(IF(BA936="WIP - 30 Days",VLOOKUP(D936,[3]Extended!$B$9:$E$101,4,FALSE),IF(BA936="31-120 Days",VLOOKUP(D936,[3]Extended!$B$9:$F$101,5,FALSE),IF(BA936="121-365 Days",VLOOKUP(D936,[3]Extended!$B$9:$G$101,6,FALSE),VLOOKUP(D936,[3]Extended!$B$9:$H$101,7,FALSE)))),0)</f>
        <v>0</v>
      </c>
      <c r="O936" s="269">
        <f>IFERROR(IF(BA936="WIP - 30 Days",VLOOKUP(D936,[3]Extended!$B$9:$J$101,9,FALSE),IF(BA936="31-120 Days",VLOOKUP(D936,[3]Extended!$B$9:$K$101,10,FALSE),IF(BA936="121-365 Days",VLOOKUP(D936,[3]Extended!$B$9:$L$101,11,FALSE),VLOOKUP(D936,[3]Extended!$B$9:$M$101,12,FALSE)))),0)</f>
        <v>0</v>
      </c>
      <c r="P936" s="116" t="e">
        <f t="shared" si="71"/>
        <v>#VALUE!</v>
      </c>
      <c r="Q936" s="110" t="e">
        <f>O936-#REF!</f>
        <v>#REF!</v>
      </c>
      <c r="W936" s="311"/>
      <c r="X936" s="311"/>
      <c r="Y936" s="311"/>
      <c r="Z936" s="311"/>
      <c r="AA936" s="311"/>
      <c r="AB936" s="311"/>
      <c r="AC936" s="311"/>
      <c r="AT936" s="88" t="str">
        <f t="shared" si="72"/>
        <v>Special Order0</v>
      </c>
      <c r="AU936" s="89" t="str">
        <f t="shared" si="73"/>
        <v>01-1900</v>
      </c>
      <c r="BA936" s="92" t="str">
        <f t="shared" si="74"/>
        <v/>
      </c>
    </row>
    <row r="937" spans="2:53">
      <c r="B937" s="60">
        <f>[2]Trucks!A934</f>
        <v>0</v>
      </c>
      <c r="C937" s="11">
        <f>[2]Trucks!B934</f>
        <v>0</v>
      </c>
      <c r="D937" s="19" t="str">
        <f>IFERROR(VLOOKUP(C937&amp;"",'[2]Retail Price List'!$A$3:$B$103,2,FALSE),"Special Order")</f>
        <v>Special Order</v>
      </c>
      <c r="E937" s="18">
        <f>[2]Trucks!J934</f>
        <v>0</v>
      </c>
      <c r="F937" s="12">
        <f>[2]Trucks!E934</f>
        <v>0</v>
      </c>
      <c r="G937" s="56">
        <f>[2]Trucks!K934</f>
        <v>0</v>
      </c>
      <c r="H937" s="46">
        <f>[2]Trucks!I934</f>
        <v>0</v>
      </c>
      <c r="I937" s="83" t="str">
        <f t="shared" si="70"/>
        <v/>
      </c>
      <c r="J937" s="272" t="str">
        <f>IFERROR(VLOOKUP((D937&amp;C937)&amp;"",'[2]Retail Price List'!$C$4:$F$102,3,FALSE),"")</f>
        <v/>
      </c>
      <c r="K937" s="272">
        <f>IFERROR(IF(BA937="WIP - 30 Days",VLOOKUP(D937,[3]Standard!$B$9:$E$101,4,FALSE),IF(BA937="31-120 Days",VLOOKUP(D937,[3]Standard!$B$9:$F$101,5,FALSE),IF(BA937="121-365 Days",VLOOKUP(D937,[3]Standard!$B$9:$G$101,6,FALSE),VLOOKUP(D937,[3]Standard!$B$9:$H$101,7,FALSE)))),0)</f>
        <v>0</v>
      </c>
      <c r="L937" s="272">
        <f>IFERROR(IF(BA937="WIP - 30 Days",VLOOKUP(D937,[3]Standard!$B$9:$J$101,9,FALSE),IF(BA937="31-120 Days",VLOOKUP(D937,[3]Standard!$B$9:$K$100,10,FALSE),IF(BA937="121-365 Days",VLOOKUP(D937,[3]Standard!$B$9:$L$101,11,FALSE),VLOOKUP(D937,[3]Standard!$B$9:$M$101,12,FALSE)))),0)</f>
        <v>0</v>
      </c>
      <c r="M937" s="269" t="str">
        <f>IFERROR(VLOOKUP((D937&amp;C937)&amp;"",'[2]Retail Price List'!$C$4:$F$102,4,FALSE),"")</f>
        <v/>
      </c>
      <c r="N937" s="269">
        <f>IFERROR(IF(BA937="WIP - 30 Days",VLOOKUP(D937,[3]Extended!$B$9:$E$101,4,FALSE),IF(BA937="31-120 Days",VLOOKUP(D937,[3]Extended!$B$9:$F$101,5,FALSE),IF(BA937="121-365 Days",VLOOKUP(D937,[3]Extended!$B$9:$G$101,6,FALSE),VLOOKUP(D937,[3]Extended!$B$9:$H$101,7,FALSE)))),0)</f>
        <v>0</v>
      </c>
      <c r="O937" s="269">
        <f>IFERROR(IF(BA937="WIP - 30 Days",VLOOKUP(D937,[3]Extended!$B$9:$J$101,9,FALSE),IF(BA937="31-120 Days",VLOOKUP(D937,[3]Extended!$B$9:$K$101,10,FALSE),IF(BA937="121-365 Days",VLOOKUP(D937,[3]Extended!$B$9:$L$101,11,FALSE),VLOOKUP(D937,[3]Extended!$B$9:$M$101,12,FALSE)))),0)</f>
        <v>0</v>
      </c>
      <c r="P937" s="116" t="e">
        <f t="shared" si="71"/>
        <v>#VALUE!</v>
      </c>
      <c r="Q937" s="110" t="e">
        <f>O937-#REF!</f>
        <v>#REF!</v>
      </c>
      <c r="W937" s="311"/>
      <c r="X937" s="311"/>
      <c r="Y937" s="311"/>
      <c r="Z937" s="311"/>
      <c r="AA937" s="311"/>
      <c r="AB937" s="311"/>
      <c r="AC937" s="311"/>
      <c r="AT937" s="88" t="str">
        <f t="shared" si="72"/>
        <v>Special Order0</v>
      </c>
      <c r="AU937" s="89" t="str">
        <f t="shared" si="73"/>
        <v>01-1900</v>
      </c>
      <c r="BA937" s="92" t="str">
        <f t="shared" si="74"/>
        <v/>
      </c>
    </row>
    <row r="938" spans="2:53">
      <c r="B938" s="60">
        <f>[2]Trucks!A935</f>
        <v>0</v>
      </c>
      <c r="C938" s="11">
        <f>[2]Trucks!B935</f>
        <v>0</v>
      </c>
      <c r="D938" s="19" t="str">
        <f>IFERROR(VLOOKUP(C938&amp;"",'[2]Retail Price List'!$A$3:$B$103,2,FALSE),"Special Order")</f>
        <v>Special Order</v>
      </c>
      <c r="E938" s="18">
        <f>[2]Trucks!J935</f>
        <v>0</v>
      </c>
      <c r="F938" s="12">
        <f>[2]Trucks!E935</f>
        <v>0</v>
      </c>
      <c r="G938" s="56">
        <f>[2]Trucks!K935</f>
        <v>0</v>
      </c>
      <c r="H938" s="46">
        <f>[2]Trucks!I935</f>
        <v>0</v>
      </c>
      <c r="I938" s="83" t="str">
        <f t="shared" si="70"/>
        <v/>
      </c>
      <c r="J938" s="272" t="str">
        <f>IFERROR(VLOOKUP((D938&amp;C938)&amp;"",'[2]Retail Price List'!$C$4:$F$102,3,FALSE),"")</f>
        <v/>
      </c>
      <c r="K938" s="272">
        <f>IFERROR(IF(BA938="WIP - 30 Days",VLOOKUP(D938,[3]Standard!$B$9:$E$101,4,FALSE),IF(BA938="31-120 Days",VLOOKUP(D938,[3]Standard!$B$9:$F$101,5,FALSE),IF(BA938="121-365 Days",VLOOKUP(D938,[3]Standard!$B$9:$G$101,6,FALSE),VLOOKUP(D938,[3]Standard!$B$9:$H$101,7,FALSE)))),0)</f>
        <v>0</v>
      </c>
      <c r="L938" s="272">
        <f>IFERROR(IF(BA938="WIP - 30 Days",VLOOKUP(D938,[3]Standard!$B$9:$J$101,9,FALSE),IF(BA938="31-120 Days",VLOOKUP(D938,[3]Standard!$B$9:$K$100,10,FALSE),IF(BA938="121-365 Days",VLOOKUP(D938,[3]Standard!$B$9:$L$101,11,FALSE),VLOOKUP(D938,[3]Standard!$B$9:$M$101,12,FALSE)))),0)</f>
        <v>0</v>
      </c>
      <c r="M938" s="269" t="str">
        <f>IFERROR(VLOOKUP((D938&amp;C938)&amp;"",'[2]Retail Price List'!$C$4:$F$102,4,FALSE),"")</f>
        <v/>
      </c>
      <c r="N938" s="269">
        <f>IFERROR(IF(BA938="WIP - 30 Days",VLOOKUP(D938,[3]Extended!$B$9:$E$101,4,FALSE),IF(BA938="31-120 Days",VLOOKUP(D938,[3]Extended!$B$9:$F$101,5,FALSE),IF(BA938="121-365 Days",VLOOKUP(D938,[3]Extended!$B$9:$G$101,6,FALSE),VLOOKUP(D938,[3]Extended!$B$9:$H$101,7,FALSE)))),0)</f>
        <v>0</v>
      </c>
      <c r="O938" s="269">
        <f>IFERROR(IF(BA938="WIP - 30 Days",VLOOKUP(D938,[3]Extended!$B$9:$J$101,9,FALSE),IF(BA938="31-120 Days",VLOOKUP(D938,[3]Extended!$B$9:$K$101,10,FALSE),IF(BA938="121-365 Days",VLOOKUP(D938,[3]Extended!$B$9:$L$101,11,FALSE),VLOOKUP(D938,[3]Extended!$B$9:$M$101,12,FALSE)))),0)</f>
        <v>0</v>
      </c>
      <c r="P938" s="116" t="e">
        <f t="shared" si="71"/>
        <v>#VALUE!</v>
      </c>
      <c r="Q938" s="110" t="e">
        <f>O938-#REF!</f>
        <v>#REF!</v>
      </c>
      <c r="W938" s="311"/>
      <c r="X938" s="311"/>
      <c r="Y938" s="311"/>
      <c r="Z938" s="311"/>
      <c r="AA938" s="311"/>
      <c r="AB938" s="311"/>
      <c r="AC938" s="311"/>
      <c r="AT938" s="88" t="str">
        <f t="shared" si="72"/>
        <v>Special Order0</v>
      </c>
      <c r="AU938" s="89" t="str">
        <f t="shared" si="73"/>
        <v>01-1900</v>
      </c>
      <c r="BA938" s="92" t="str">
        <f t="shared" si="74"/>
        <v/>
      </c>
    </row>
    <row r="939" spans="2:53">
      <c r="B939" s="60">
        <f>[2]Trucks!A936</f>
        <v>0</v>
      </c>
      <c r="C939" s="11">
        <f>[2]Trucks!B936</f>
        <v>0</v>
      </c>
      <c r="D939" s="19" t="str">
        <f>IFERROR(VLOOKUP(C939&amp;"",'[2]Retail Price List'!$A$3:$B$103,2,FALSE),"Special Order")</f>
        <v>Special Order</v>
      </c>
      <c r="E939" s="18">
        <f>[2]Trucks!J936</f>
        <v>0</v>
      </c>
      <c r="F939" s="12">
        <f>[2]Trucks!E936</f>
        <v>0</v>
      </c>
      <c r="G939" s="56">
        <f>[2]Trucks!K936</f>
        <v>0</v>
      </c>
      <c r="H939" s="46">
        <f>[2]Trucks!I936</f>
        <v>0</v>
      </c>
      <c r="I939" s="83" t="str">
        <f t="shared" si="70"/>
        <v/>
      </c>
      <c r="J939" s="272" t="str">
        <f>IFERROR(VLOOKUP((D939&amp;C939)&amp;"",'[2]Retail Price List'!$C$4:$F$102,3,FALSE),"")</f>
        <v/>
      </c>
      <c r="K939" s="272">
        <f>IFERROR(IF(BA939="WIP - 30 Days",VLOOKUP(D939,[3]Standard!$B$9:$E$101,4,FALSE),IF(BA939="31-120 Days",VLOOKUP(D939,[3]Standard!$B$9:$F$101,5,FALSE),IF(BA939="121-365 Days",VLOOKUP(D939,[3]Standard!$B$9:$G$101,6,FALSE),VLOOKUP(D939,[3]Standard!$B$9:$H$101,7,FALSE)))),0)</f>
        <v>0</v>
      </c>
      <c r="L939" s="272">
        <f>IFERROR(IF(BA939="WIP - 30 Days",VLOOKUP(D939,[3]Standard!$B$9:$J$101,9,FALSE),IF(BA939="31-120 Days",VLOOKUP(D939,[3]Standard!$B$9:$K$100,10,FALSE),IF(BA939="121-365 Days",VLOOKUP(D939,[3]Standard!$B$9:$L$101,11,FALSE),VLOOKUP(D939,[3]Standard!$B$9:$M$101,12,FALSE)))),0)</f>
        <v>0</v>
      </c>
      <c r="M939" s="269" t="str">
        <f>IFERROR(VLOOKUP((D939&amp;C939)&amp;"",'[2]Retail Price List'!$C$4:$F$102,4,FALSE),"")</f>
        <v/>
      </c>
      <c r="N939" s="269">
        <f>IFERROR(IF(BA939="WIP - 30 Days",VLOOKUP(D939,[3]Extended!$B$9:$E$101,4,FALSE),IF(BA939="31-120 Days",VLOOKUP(D939,[3]Extended!$B$9:$F$101,5,FALSE),IF(BA939="121-365 Days",VLOOKUP(D939,[3]Extended!$B$9:$G$101,6,FALSE),VLOOKUP(D939,[3]Extended!$B$9:$H$101,7,FALSE)))),0)</f>
        <v>0</v>
      </c>
      <c r="O939" s="269">
        <f>IFERROR(IF(BA939="WIP - 30 Days",VLOOKUP(D939,[3]Extended!$B$9:$J$101,9,FALSE),IF(BA939="31-120 Days",VLOOKUP(D939,[3]Extended!$B$9:$K$101,10,FALSE),IF(BA939="121-365 Days",VLOOKUP(D939,[3]Extended!$B$9:$L$101,11,FALSE),VLOOKUP(D939,[3]Extended!$B$9:$M$101,12,FALSE)))),0)</f>
        <v>0</v>
      </c>
      <c r="P939" s="116" t="e">
        <f t="shared" si="71"/>
        <v>#VALUE!</v>
      </c>
      <c r="Q939" s="110" t="e">
        <f>O939-#REF!</f>
        <v>#REF!</v>
      </c>
      <c r="W939" s="311"/>
      <c r="X939" s="311"/>
      <c r="Y939" s="311"/>
      <c r="Z939" s="311"/>
      <c r="AA939" s="311"/>
      <c r="AB939" s="311"/>
      <c r="AC939" s="311"/>
      <c r="AT939" s="88" t="str">
        <f t="shared" si="72"/>
        <v>Special Order0</v>
      </c>
      <c r="AU939" s="89" t="str">
        <f t="shared" si="73"/>
        <v>01-1900</v>
      </c>
      <c r="BA939" s="92" t="str">
        <f t="shared" si="74"/>
        <v/>
      </c>
    </row>
    <row r="940" spans="2:53">
      <c r="B940" s="60">
        <f>[2]Trucks!A937</f>
        <v>0</v>
      </c>
      <c r="C940" s="11">
        <f>[2]Trucks!B937</f>
        <v>0</v>
      </c>
      <c r="D940" s="19" t="str">
        <f>IFERROR(VLOOKUP(C940&amp;"",'[2]Retail Price List'!$A$3:$B$103,2,FALSE),"Special Order")</f>
        <v>Special Order</v>
      </c>
      <c r="E940" s="18">
        <f>[2]Trucks!J937</f>
        <v>0</v>
      </c>
      <c r="F940" s="12">
        <f>[2]Trucks!E937</f>
        <v>0</v>
      </c>
      <c r="G940" s="56">
        <f>[2]Trucks!K937</f>
        <v>0</v>
      </c>
      <c r="H940" s="46">
        <f>[2]Trucks!I937</f>
        <v>0</v>
      </c>
      <c r="I940" s="83" t="str">
        <f t="shared" si="70"/>
        <v/>
      </c>
      <c r="J940" s="272" t="str">
        <f>IFERROR(VLOOKUP((D940&amp;C940)&amp;"",'[2]Retail Price List'!$C$4:$F$102,3,FALSE),"")</f>
        <v/>
      </c>
      <c r="K940" s="272">
        <f>IFERROR(IF(BA940="WIP - 30 Days",VLOOKUP(D940,[3]Standard!$B$9:$E$101,4,FALSE),IF(BA940="31-120 Days",VLOOKUP(D940,[3]Standard!$B$9:$F$101,5,FALSE),IF(BA940="121-365 Days",VLOOKUP(D940,[3]Standard!$B$9:$G$101,6,FALSE),VLOOKUP(D940,[3]Standard!$B$9:$H$101,7,FALSE)))),0)</f>
        <v>0</v>
      </c>
      <c r="L940" s="272">
        <f>IFERROR(IF(BA940="WIP - 30 Days",VLOOKUP(D940,[3]Standard!$B$9:$J$101,9,FALSE),IF(BA940="31-120 Days",VLOOKUP(D940,[3]Standard!$B$9:$K$100,10,FALSE),IF(BA940="121-365 Days",VLOOKUP(D940,[3]Standard!$B$9:$L$101,11,FALSE),VLOOKUP(D940,[3]Standard!$B$9:$M$101,12,FALSE)))),0)</f>
        <v>0</v>
      </c>
      <c r="M940" s="269" t="str">
        <f>IFERROR(VLOOKUP((D940&amp;C940)&amp;"",'[2]Retail Price List'!$C$4:$F$102,4,FALSE),"")</f>
        <v/>
      </c>
      <c r="N940" s="269">
        <f>IFERROR(IF(BA940="WIP - 30 Days",VLOOKUP(D940,[3]Extended!$B$9:$E$101,4,FALSE),IF(BA940="31-120 Days",VLOOKUP(D940,[3]Extended!$B$9:$F$101,5,FALSE),IF(BA940="121-365 Days",VLOOKUP(D940,[3]Extended!$B$9:$G$101,6,FALSE),VLOOKUP(D940,[3]Extended!$B$9:$H$101,7,FALSE)))),0)</f>
        <v>0</v>
      </c>
      <c r="O940" s="269">
        <f>IFERROR(IF(BA940="WIP - 30 Days",VLOOKUP(D940,[3]Extended!$B$9:$J$101,9,FALSE),IF(BA940="31-120 Days",VLOOKUP(D940,[3]Extended!$B$9:$K$101,10,FALSE),IF(BA940="121-365 Days",VLOOKUP(D940,[3]Extended!$B$9:$L$101,11,FALSE),VLOOKUP(D940,[3]Extended!$B$9:$M$101,12,FALSE)))),0)</f>
        <v>0</v>
      </c>
      <c r="P940" s="116" t="e">
        <f t="shared" si="71"/>
        <v>#VALUE!</v>
      </c>
      <c r="Q940" s="110" t="e">
        <f>O940-#REF!</f>
        <v>#REF!</v>
      </c>
      <c r="W940" s="311"/>
      <c r="X940" s="311"/>
      <c r="Y940" s="311"/>
      <c r="Z940" s="311"/>
      <c r="AA940" s="311"/>
      <c r="AB940" s="311"/>
      <c r="AC940" s="311"/>
      <c r="AT940" s="88" t="str">
        <f t="shared" si="72"/>
        <v>Special Order0</v>
      </c>
      <c r="AU940" s="89" t="str">
        <f t="shared" si="73"/>
        <v>01-1900</v>
      </c>
      <c r="BA940" s="92" t="str">
        <f t="shared" si="74"/>
        <v/>
      </c>
    </row>
    <row r="941" spans="2:53">
      <c r="B941" s="60">
        <f>[2]Trucks!A938</f>
        <v>0</v>
      </c>
      <c r="C941" s="11">
        <f>[2]Trucks!B938</f>
        <v>0</v>
      </c>
      <c r="D941" s="19" t="str">
        <f>IFERROR(VLOOKUP(C941&amp;"",'[2]Retail Price List'!$A$3:$B$103,2,FALSE),"Special Order")</f>
        <v>Special Order</v>
      </c>
      <c r="E941" s="18">
        <f>[2]Trucks!J938</f>
        <v>0</v>
      </c>
      <c r="F941" s="12">
        <f>[2]Trucks!E938</f>
        <v>0</v>
      </c>
      <c r="G941" s="56">
        <f>[2]Trucks!K938</f>
        <v>0</v>
      </c>
      <c r="H941" s="46">
        <f>[2]Trucks!I938</f>
        <v>0</v>
      </c>
      <c r="I941" s="83" t="str">
        <f t="shared" si="70"/>
        <v/>
      </c>
      <c r="J941" s="272" t="str">
        <f>IFERROR(VLOOKUP((D941&amp;C941)&amp;"",'[2]Retail Price List'!$C$4:$F$102,3,FALSE),"")</f>
        <v/>
      </c>
      <c r="K941" s="272">
        <f>IFERROR(IF(BA941="WIP - 30 Days",VLOOKUP(D941,[3]Standard!$B$9:$E$101,4,FALSE),IF(BA941="31-120 Days",VLOOKUP(D941,[3]Standard!$B$9:$F$101,5,FALSE),IF(BA941="121-365 Days",VLOOKUP(D941,[3]Standard!$B$9:$G$101,6,FALSE),VLOOKUP(D941,[3]Standard!$B$9:$H$101,7,FALSE)))),0)</f>
        <v>0</v>
      </c>
      <c r="L941" s="272">
        <f>IFERROR(IF(BA941="WIP - 30 Days",VLOOKUP(D941,[3]Standard!$B$9:$J$101,9,FALSE),IF(BA941="31-120 Days",VLOOKUP(D941,[3]Standard!$B$9:$K$100,10,FALSE),IF(BA941="121-365 Days",VLOOKUP(D941,[3]Standard!$B$9:$L$101,11,FALSE),VLOOKUP(D941,[3]Standard!$B$9:$M$101,12,FALSE)))),0)</f>
        <v>0</v>
      </c>
      <c r="M941" s="269" t="str">
        <f>IFERROR(VLOOKUP((D941&amp;C941)&amp;"",'[2]Retail Price List'!$C$4:$F$102,4,FALSE),"")</f>
        <v/>
      </c>
      <c r="N941" s="269">
        <f>IFERROR(IF(BA941="WIP - 30 Days",VLOOKUP(D941,[3]Extended!$B$9:$E$101,4,FALSE),IF(BA941="31-120 Days",VLOOKUP(D941,[3]Extended!$B$9:$F$101,5,FALSE),IF(BA941="121-365 Days",VLOOKUP(D941,[3]Extended!$B$9:$G$101,6,FALSE),VLOOKUP(D941,[3]Extended!$B$9:$H$101,7,FALSE)))),0)</f>
        <v>0</v>
      </c>
      <c r="O941" s="269">
        <f>IFERROR(IF(BA941="WIP - 30 Days",VLOOKUP(D941,[3]Extended!$B$9:$J$101,9,FALSE),IF(BA941="31-120 Days",VLOOKUP(D941,[3]Extended!$B$9:$K$101,10,FALSE),IF(BA941="121-365 Days",VLOOKUP(D941,[3]Extended!$B$9:$L$101,11,FALSE),VLOOKUP(D941,[3]Extended!$B$9:$M$101,12,FALSE)))),0)</f>
        <v>0</v>
      </c>
      <c r="P941" s="116" t="e">
        <f t="shared" si="71"/>
        <v>#VALUE!</v>
      </c>
      <c r="Q941" s="110" t="e">
        <f>O941-#REF!</f>
        <v>#REF!</v>
      </c>
      <c r="W941" s="311"/>
      <c r="X941" s="311"/>
      <c r="Y941" s="311"/>
      <c r="Z941" s="311"/>
      <c r="AA941" s="311"/>
      <c r="AB941" s="311"/>
      <c r="AC941" s="311"/>
      <c r="AT941" s="88" t="str">
        <f t="shared" si="72"/>
        <v>Special Order0</v>
      </c>
      <c r="AU941" s="89" t="str">
        <f t="shared" si="73"/>
        <v>01-1900</v>
      </c>
      <c r="BA941" s="92" t="str">
        <f t="shared" si="74"/>
        <v/>
      </c>
    </row>
    <row r="942" spans="2:53">
      <c r="B942" s="60">
        <f>[2]Trucks!A939</f>
        <v>0</v>
      </c>
      <c r="C942" s="11">
        <f>[2]Trucks!B939</f>
        <v>0</v>
      </c>
      <c r="D942" s="19" t="str">
        <f>IFERROR(VLOOKUP(C942&amp;"",'[2]Retail Price List'!$A$3:$B$103,2,FALSE),"Special Order")</f>
        <v>Special Order</v>
      </c>
      <c r="E942" s="18">
        <f>[2]Trucks!J939</f>
        <v>0</v>
      </c>
      <c r="F942" s="12">
        <f>[2]Trucks!E939</f>
        <v>0</v>
      </c>
      <c r="G942" s="56">
        <f>[2]Trucks!K939</f>
        <v>0</v>
      </c>
      <c r="H942" s="46">
        <f>[2]Trucks!I939</f>
        <v>0</v>
      </c>
      <c r="I942" s="83" t="str">
        <f t="shared" si="70"/>
        <v/>
      </c>
      <c r="J942" s="272" t="str">
        <f>IFERROR(VLOOKUP((D942&amp;C942)&amp;"",'[2]Retail Price List'!$C$4:$F$102,3,FALSE),"")</f>
        <v/>
      </c>
      <c r="K942" s="272">
        <f>IFERROR(IF(BA942="WIP - 30 Days",VLOOKUP(D942,[3]Standard!$B$9:$E$101,4,FALSE),IF(BA942="31-120 Days",VLOOKUP(D942,[3]Standard!$B$9:$F$101,5,FALSE),IF(BA942="121-365 Days",VLOOKUP(D942,[3]Standard!$B$9:$G$101,6,FALSE),VLOOKUP(D942,[3]Standard!$B$9:$H$101,7,FALSE)))),0)</f>
        <v>0</v>
      </c>
      <c r="L942" s="272">
        <f>IFERROR(IF(BA942="WIP - 30 Days",VLOOKUP(D942,[3]Standard!$B$9:$J$101,9,FALSE),IF(BA942="31-120 Days",VLOOKUP(D942,[3]Standard!$B$9:$K$100,10,FALSE),IF(BA942="121-365 Days",VLOOKUP(D942,[3]Standard!$B$9:$L$101,11,FALSE),VLOOKUP(D942,[3]Standard!$B$9:$M$101,12,FALSE)))),0)</f>
        <v>0</v>
      </c>
      <c r="M942" s="269" t="str">
        <f>IFERROR(VLOOKUP((D942&amp;C942)&amp;"",'[2]Retail Price List'!$C$4:$F$102,4,FALSE),"")</f>
        <v/>
      </c>
      <c r="N942" s="269">
        <f>IFERROR(IF(BA942="WIP - 30 Days",VLOOKUP(D942,[3]Extended!$B$9:$E$101,4,FALSE),IF(BA942="31-120 Days",VLOOKUP(D942,[3]Extended!$B$9:$F$101,5,FALSE),IF(BA942="121-365 Days",VLOOKUP(D942,[3]Extended!$B$9:$G$101,6,FALSE),VLOOKUP(D942,[3]Extended!$B$9:$H$101,7,FALSE)))),0)</f>
        <v>0</v>
      </c>
      <c r="O942" s="269">
        <f>IFERROR(IF(BA942="WIP - 30 Days",VLOOKUP(D942,[3]Extended!$B$9:$J$101,9,FALSE),IF(BA942="31-120 Days",VLOOKUP(D942,[3]Extended!$B$9:$K$101,10,FALSE),IF(BA942="121-365 Days",VLOOKUP(D942,[3]Extended!$B$9:$L$101,11,FALSE),VLOOKUP(D942,[3]Extended!$B$9:$M$101,12,FALSE)))),0)</f>
        <v>0</v>
      </c>
      <c r="P942" s="116" t="e">
        <f t="shared" si="71"/>
        <v>#VALUE!</v>
      </c>
      <c r="Q942" s="110" t="e">
        <f>O942-#REF!</f>
        <v>#REF!</v>
      </c>
      <c r="W942" s="311"/>
      <c r="X942" s="311"/>
      <c r="Y942" s="311"/>
      <c r="Z942" s="311"/>
      <c r="AA942" s="311"/>
      <c r="AB942" s="311"/>
      <c r="AC942" s="311"/>
      <c r="AT942" s="88" t="str">
        <f t="shared" si="72"/>
        <v>Special Order0</v>
      </c>
      <c r="AU942" s="89" t="str">
        <f t="shared" si="73"/>
        <v>01-1900</v>
      </c>
      <c r="BA942" s="92" t="str">
        <f t="shared" si="74"/>
        <v/>
      </c>
    </row>
    <row r="943" spans="2:53">
      <c r="B943" s="60">
        <f>[2]Trucks!A940</f>
        <v>0</v>
      </c>
      <c r="C943" s="11">
        <f>[2]Trucks!B940</f>
        <v>0</v>
      </c>
      <c r="D943" s="19" t="str">
        <f>IFERROR(VLOOKUP(C943&amp;"",'[2]Retail Price List'!$A$3:$B$103,2,FALSE),"Special Order")</f>
        <v>Special Order</v>
      </c>
      <c r="E943" s="18">
        <f>[2]Trucks!J940</f>
        <v>0</v>
      </c>
      <c r="F943" s="12">
        <f>[2]Trucks!E940</f>
        <v>0</v>
      </c>
      <c r="G943" s="56">
        <f>[2]Trucks!K940</f>
        <v>0</v>
      </c>
      <c r="H943" s="46">
        <f>[2]Trucks!I940</f>
        <v>0</v>
      </c>
      <c r="I943" s="83" t="str">
        <f t="shared" si="70"/>
        <v/>
      </c>
      <c r="J943" s="272" t="str">
        <f>IFERROR(VLOOKUP((D943&amp;C943)&amp;"",'[2]Retail Price List'!$C$4:$F$102,3,FALSE),"")</f>
        <v/>
      </c>
      <c r="K943" s="272">
        <f>IFERROR(IF(BA943="WIP - 30 Days",VLOOKUP(D943,[3]Standard!$B$9:$E$101,4,FALSE),IF(BA943="31-120 Days",VLOOKUP(D943,[3]Standard!$B$9:$F$101,5,FALSE),IF(BA943="121-365 Days",VLOOKUP(D943,[3]Standard!$B$9:$G$101,6,FALSE),VLOOKUP(D943,[3]Standard!$B$9:$H$101,7,FALSE)))),0)</f>
        <v>0</v>
      </c>
      <c r="L943" s="272">
        <f>IFERROR(IF(BA943="WIP - 30 Days",VLOOKUP(D943,[3]Standard!$B$9:$J$101,9,FALSE),IF(BA943="31-120 Days",VLOOKUP(D943,[3]Standard!$B$9:$K$100,10,FALSE),IF(BA943="121-365 Days",VLOOKUP(D943,[3]Standard!$B$9:$L$101,11,FALSE),VLOOKUP(D943,[3]Standard!$B$9:$M$101,12,FALSE)))),0)</f>
        <v>0</v>
      </c>
      <c r="M943" s="269" t="str">
        <f>IFERROR(VLOOKUP((D943&amp;C943)&amp;"",'[2]Retail Price List'!$C$4:$F$102,4,FALSE),"")</f>
        <v/>
      </c>
      <c r="N943" s="269">
        <f>IFERROR(IF(BA943="WIP - 30 Days",VLOOKUP(D943,[3]Extended!$B$9:$E$101,4,FALSE),IF(BA943="31-120 Days",VLOOKUP(D943,[3]Extended!$B$9:$F$101,5,FALSE),IF(BA943="121-365 Days",VLOOKUP(D943,[3]Extended!$B$9:$G$101,6,FALSE),VLOOKUP(D943,[3]Extended!$B$9:$H$101,7,FALSE)))),0)</f>
        <v>0</v>
      </c>
      <c r="O943" s="269">
        <f>IFERROR(IF(BA943="WIP - 30 Days",VLOOKUP(D943,[3]Extended!$B$9:$J$101,9,FALSE),IF(BA943="31-120 Days",VLOOKUP(D943,[3]Extended!$B$9:$K$101,10,FALSE),IF(BA943="121-365 Days",VLOOKUP(D943,[3]Extended!$B$9:$L$101,11,FALSE),VLOOKUP(D943,[3]Extended!$B$9:$M$101,12,FALSE)))),0)</f>
        <v>0</v>
      </c>
      <c r="P943" s="116" t="e">
        <f t="shared" si="71"/>
        <v>#VALUE!</v>
      </c>
      <c r="Q943" s="110" t="e">
        <f>O943-#REF!</f>
        <v>#REF!</v>
      </c>
      <c r="W943" s="311"/>
      <c r="X943" s="311"/>
      <c r="Y943" s="311"/>
      <c r="Z943" s="311"/>
      <c r="AA943" s="311"/>
      <c r="AB943" s="311"/>
      <c r="AC943" s="311"/>
      <c r="AT943" s="88" t="str">
        <f t="shared" si="72"/>
        <v>Special Order0</v>
      </c>
      <c r="AU943" s="89" t="str">
        <f t="shared" si="73"/>
        <v>01-1900</v>
      </c>
      <c r="BA943" s="92" t="str">
        <f t="shared" si="74"/>
        <v/>
      </c>
    </row>
    <row r="944" spans="2:53">
      <c r="B944" s="60">
        <f>[2]Trucks!A941</f>
        <v>0</v>
      </c>
      <c r="C944" s="11">
        <f>[2]Trucks!B941</f>
        <v>0</v>
      </c>
      <c r="D944" s="19" t="str">
        <f>IFERROR(VLOOKUP(C944&amp;"",'[2]Retail Price List'!$A$3:$B$103,2,FALSE),"Special Order")</f>
        <v>Special Order</v>
      </c>
      <c r="E944" s="18">
        <f>[2]Trucks!J941</f>
        <v>0</v>
      </c>
      <c r="F944" s="12">
        <f>[2]Trucks!E941</f>
        <v>0</v>
      </c>
      <c r="G944" s="56">
        <f>[2]Trucks!K941</f>
        <v>0</v>
      </c>
      <c r="H944" s="46">
        <f>[2]Trucks!I941</f>
        <v>0</v>
      </c>
      <c r="I944" s="83" t="str">
        <f t="shared" si="70"/>
        <v/>
      </c>
      <c r="J944" s="272" t="str">
        <f>IFERROR(VLOOKUP((D944&amp;C944)&amp;"",'[2]Retail Price List'!$C$4:$F$102,3,FALSE),"")</f>
        <v/>
      </c>
      <c r="K944" s="272">
        <f>IFERROR(IF(BA944="WIP - 30 Days",VLOOKUP(D944,[3]Standard!$B$9:$E$101,4,FALSE),IF(BA944="31-120 Days",VLOOKUP(D944,[3]Standard!$B$9:$F$101,5,FALSE),IF(BA944="121-365 Days",VLOOKUP(D944,[3]Standard!$B$9:$G$101,6,FALSE),VLOOKUP(D944,[3]Standard!$B$9:$H$101,7,FALSE)))),0)</f>
        <v>0</v>
      </c>
      <c r="L944" s="272">
        <f>IFERROR(IF(BA944="WIP - 30 Days",VLOOKUP(D944,[3]Standard!$B$9:$J$101,9,FALSE),IF(BA944="31-120 Days",VLOOKUP(D944,[3]Standard!$B$9:$K$100,10,FALSE),IF(BA944="121-365 Days",VLOOKUP(D944,[3]Standard!$B$9:$L$101,11,FALSE),VLOOKUP(D944,[3]Standard!$B$9:$M$101,12,FALSE)))),0)</f>
        <v>0</v>
      </c>
      <c r="M944" s="269" t="str">
        <f>IFERROR(VLOOKUP((D944&amp;C944)&amp;"",'[2]Retail Price List'!$C$4:$F$102,4,FALSE),"")</f>
        <v/>
      </c>
      <c r="N944" s="269">
        <f>IFERROR(IF(BA944="WIP - 30 Days",VLOOKUP(D944,[3]Extended!$B$9:$E$101,4,FALSE),IF(BA944="31-120 Days",VLOOKUP(D944,[3]Extended!$B$9:$F$101,5,FALSE),IF(BA944="121-365 Days",VLOOKUP(D944,[3]Extended!$B$9:$G$101,6,FALSE),VLOOKUP(D944,[3]Extended!$B$9:$H$101,7,FALSE)))),0)</f>
        <v>0</v>
      </c>
      <c r="O944" s="269">
        <f>IFERROR(IF(BA944="WIP - 30 Days",VLOOKUP(D944,[3]Extended!$B$9:$J$101,9,FALSE),IF(BA944="31-120 Days",VLOOKUP(D944,[3]Extended!$B$9:$K$101,10,FALSE),IF(BA944="121-365 Days",VLOOKUP(D944,[3]Extended!$B$9:$L$101,11,FALSE),VLOOKUP(D944,[3]Extended!$B$9:$M$101,12,FALSE)))),0)</f>
        <v>0</v>
      </c>
      <c r="P944" s="116" t="e">
        <f t="shared" si="71"/>
        <v>#VALUE!</v>
      </c>
      <c r="Q944" s="110" t="e">
        <f>O944-#REF!</f>
        <v>#REF!</v>
      </c>
      <c r="W944" s="311"/>
      <c r="X944" s="311"/>
      <c r="Y944" s="311"/>
      <c r="Z944" s="311"/>
      <c r="AA944" s="311"/>
      <c r="AB944" s="311"/>
      <c r="AC944" s="311"/>
      <c r="AT944" s="88" t="str">
        <f t="shared" si="72"/>
        <v>Special Order0</v>
      </c>
      <c r="AU944" s="89" t="str">
        <f t="shared" si="73"/>
        <v>01-1900</v>
      </c>
      <c r="BA944" s="92" t="str">
        <f t="shared" si="74"/>
        <v/>
      </c>
    </row>
    <row r="945" spans="2:53">
      <c r="B945" s="60">
        <f>[2]Trucks!A942</f>
        <v>0</v>
      </c>
      <c r="C945" s="11">
        <f>[2]Trucks!B942</f>
        <v>0</v>
      </c>
      <c r="D945" s="19" t="str">
        <f>IFERROR(VLOOKUP(C945&amp;"",'[2]Retail Price List'!$A$3:$B$103,2,FALSE),"Special Order")</f>
        <v>Special Order</v>
      </c>
      <c r="E945" s="18">
        <f>[2]Trucks!J942</f>
        <v>0</v>
      </c>
      <c r="F945" s="12">
        <f>[2]Trucks!E942</f>
        <v>0</v>
      </c>
      <c r="G945" s="56">
        <f>[2]Trucks!K942</f>
        <v>0</v>
      </c>
      <c r="H945" s="46">
        <f>[2]Trucks!I942</f>
        <v>0</v>
      </c>
      <c r="I945" s="83" t="str">
        <f t="shared" si="70"/>
        <v/>
      </c>
      <c r="J945" s="272" t="str">
        <f>IFERROR(VLOOKUP((D945&amp;C945)&amp;"",'[2]Retail Price List'!$C$4:$F$102,3,FALSE),"")</f>
        <v/>
      </c>
      <c r="K945" s="272">
        <f>IFERROR(IF(BA945="WIP - 30 Days",VLOOKUP(D945,[3]Standard!$B$9:$E$101,4,FALSE),IF(BA945="31-120 Days",VLOOKUP(D945,[3]Standard!$B$9:$F$101,5,FALSE),IF(BA945="121-365 Days",VLOOKUP(D945,[3]Standard!$B$9:$G$101,6,FALSE),VLOOKUP(D945,[3]Standard!$B$9:$H$101,7,FALSE)))),0)</f>
        <v>0</v>
      </c>
      <c r="L945" s="272">
        <f>IFERROR(IF(BA945="WIP - 30 Days",VLOOKUP(D945,[3]Standard!$B$9:$J$101,9,FALSE),IF(BA945="31-120 Days",VLOOKUP(D945,[3]Standard!$B$9:$K$100,10,FALSE),IF(BA945="121-365 Days",VLOOKUP(D945,[3]Standard!$B$9:$L$101,11,FALSE),VLOOKUP(D945,[3]Standard!$B$9:$M$101,12,FALSE)))),0)</f>
        <v>0</v>
      </c>
      <c r="M945" s="269" t="str">
        <f>IFERROR(VLOOKUP((D945&amp;C945)&amp;"",'[2]Retail Price List'!$C$4:$F$102,4,FALSE),"")</f>
        <v/>
      </c>
      <c r="N945" s="269">
        <f>IFERROR(IF(BA945="WIP - 30 Days",VLOOKUP(D945,[3]Extended!$B$9:$E$101,4,FALSE),IF(BA945="31-120 Days",VLOOKUP(D945,[3]Extended!$B$9:$F$101,5,FALSE),IF(BA945="121-365 Days",VLOOKUP(D945,[3]Extended!$B$9:$G$101,6,FALSE),VLOOKUP(D945,[3]Extended!$B$9:$H$101,7,FALSE)))),0)</f>
        <v>0</v>
      </c>
      <c r="O945" s="269">
        <f>IFERROR(IF(BA945="WIP - 30 Days",VLOOKUP(D945,[3]Extended!$B$9:$J$101,9,FALSE),IF(BA945="31-120 Days",VLOOKUP(D945,[3]Extended!$B$9:$K$101,10,FALSE),IF(BA945="121-365 Days",VLOOKUP(D945,[3]Extended!$B$9:$L$101,11,FALSE),VLOOKUP(D945,[3]Extended!$B$9:$M$101,12,FALSE)))),0)</f>
        <v>0</v>
      </c>
      <c r="P945" s="116" t="e">
        <f t="shared" si="71"/>
        <v>#VALUE!</v>
      </c>
      <c r="Q945" s="110" t="e">
        <f>O945-#REF!</f>
        <v>#REF!</v>
      </c>
      <c r="W945" s="311"/>
      <c r="X945" s="311"/>
      <c r="Y945" s="311"/>
      <c r="Z945" s="311"/>
      <c r="AA945" s="311"/>
      <c r="AB945" s="311"/>
      <c r="AC945" s="311"/>
      <c r="AT945" s="88" t="str">
        <f t="shared" si="72"/>
        <v>Special Order0</v>
      </c>
      <c r="AU945" s="89" t="str">
        <f t="shared" si="73"/>
        <v>01-1900</v>
      </c>
      <c r="BA945" s="92" t="str">
        <f t="shared" si="74"/>
        <v/>
      </c>
    </row>
    <row r="946" spans="2:53">
      <c r="B946" s="60">
        <f>[2]Trucks!A943</f>
        <v>0</v>
      </c>
      <c r="C946" s="11">
        <f>[2]Trucks!B943</f>
        <v>0</v>
      </c>
      <c r="D946" s="19" t="str">
        <f>IFERROR(VLOOKUP(C946&amp;"",'[2]Retail Price List'!$A$3:$B$103,2,FALSE),"Special Order")</f>
        <v>Special Order</v>
      </c>
      <c r="E946" s="18">
        <f>[2]Trucks!J943</f>
        <v>0</v>
      </c>
      <c r="F946" s="12">
        <f>[2]Trucks!E943</f>
        <v>0</v>
      </c>
      <c r="G946" s="56">
        <f>[2]Trucks!K943</f>
        <v>0</v>
      </c>
      <c r="H946" s="46">
        <f>[2]Trucks!I943</f>
        <v>0</v>
      </c>
      <c r="I946" s="83" t="str">
        <f t="shared" si="70"/>
        <v/>
      </c>
      <c r="J946" s="272" t="str">
        <f>IFERROR(VLOOKUP((D946&amp;C946)&amp;"",'[2]Retail Price List'!$C$4:$F$102,3,FALSE),"")</f>
        <v/>
      </c>
      <c r="K946" s="272">
        <f>IFERROR(IF(BA946="WIP - 30 Days",VLOOKUP(D946,[3]Standard!$B$9:$E$101,4,FALSE),IF(BA946="31-120 Days",VLOOKUP(D946,[3]Standard!$B$9:$F$101,5,FALSE),IF(BA946="121-365 Days",VLOOKUP(D946,[3]Standard!$B$9:$G$101,6,FALSE),VLOOKUP(D946,[3]Standard!$B$9:$H$101,7,FALSE)))),0)</f>
        <v>0</v>
      </c>
      <c r="L946" s="272">
        <f>IFERROR(IF(BA946="WIP - 30 Days",VLOOKUP(D946,[3]Standard!$B$9:$J$101,9,FALSE),IF(BA946="31-120 Days",VLOOKUP(D946,[3]Standard!$B$9:$K$100,10,FALSE),IF(BA946="121-365 Days",VLOOKUP(D946,[3]Standard!$B$9:$L$101,11,FALSE),VLOOKUP(D946,[3]Standard!$B$9:$M$101,12,FALSE)))),0)</f>
        <v>0</v>
      </c>
      <c r="M946" s="269" t="str">
        <f>IFERROR(VLOOKUP((D946&amp;C946)&amp;"",'[2]Retail Price List'!$C$4:$F$102,4,FALSE),"")</f>
        <v/>
      </c>
      <c r="N946" s="269">
        <f>IFERROR(IF(BA946="WIP - 30 Days",VLOOKUP(D946,[3]Extended!$B$9:$E$101,4,FALSE),IF(BA946="31-120 Days",VLOOKUP(D946,[3]Extended!$B$9:$F$101,5,FALSE),IF(BA946="121-365 Days",VLOOKUP(D946,[3]Extended!$B$9:$G$101,6,FALSE),VLOOKUP(D946,[3]Extended!$B$9:$H$101,7,FALSE)))),0)</f>
        <v>0</v>
      </c>
      <c r="O946" s="269">
        <f>IFERROR(IF(BA946="WIP - 30 Days",VLOOKUP(D946,[3]Extended!$B$9:$J$101,9,FALSE),IF(BA946="31-120 Days",VLOOKUP(D946,[3]Extended!$B$9:$K$101,10,FALSE),IF(BA946="121-365 Days",VLOOKUP(D946,[3]Extended!$B$9:$L$101,11,FALSE),VLOOKUP(D946,[3]Extended!$B$9:$M$101,12,FALSE)))),0)</f>
        <v>0</v>
      </c>
      <c r="P946" s="116" t="e">
        <f t="shared" si="71"/>
        <v>#VALUE!</v>
      </c>
      <c r="Q946" s="110" t="e">
        <f>O946-#REF!</f>
        <v>#REF!</v>
      </c>
      <c r="W946" s="311"/>
      <c r="X946" s="311"/>
      <c r="Y946" s="311"/>
      <c r="Z946" s="311"/>
      <c r="AA946" s="311"/>
      <c r="AB946" s="311"/>
      <c r="AC946" s="311"/>
      <c r="AT946" s="88" t="str">
        <f t="shared" si="72"/>
        <v>Special Order0</v>
      </c>
      <c r="AU946" s="89" t="str">
        <f t="shared" si="73"/>
        <v>01-1900</v>
      </c>
      <c r="BA946" s="92" t="str">
        <f t="shared" si="74"/>
        <v/>
      </c>
    </row>
    <row r="947" spans="2:53">
      <c r="B947" s="60">
        <f>[2]Trucks!A944</f>
        <v>0</v>
      </c>
      <c r="C947" s="11">
        <f>[2]Trucks!B944</f>
        <v>0</v>
      </c>
      <c r="D947" s="19" t="str">
        <f>IFERROR(VLOOKUP(C947&amp;"",'[2]Retail Price List'!$A$3:$B$103,2,FALSE),"Special Order")</f>
        <v>Special Order</v>
      </c>
      <c r="E947" s="18">
        <f>[2]Trucks!J944</f>
        <v>0</v>
      </c>
      <c r="F947" s="12">
        <f>[2]Trucks!E944</f>
        <v>0</v>
      </c>
      <c r="G947" s="56">
        <f>[2]Trucks!K944</f>
        <v>0</v>
      </c>
      <c r="H947" s="46">
        <f>[2]Trucks!I944</f>
        <v>0</v>
      </c>
      <c r="I947" s="83" t="str">
        <f t="shared" si="70"/>
        <v/>
      </c>
      <c r="J947" s="272" t="str">
        <f>IFERROR(VLOOKUP((D947&amp;C947)&amp;"",'[2]Retail Price List'!$C$4:$F$102,3,FALSE),"")</f>
        <v/>
      </c>
      <c r="K947" s="272">
        <f>IFERROR(IF(BA947="WIP - 30 Days",VLOOKUP(D947,[3]Standard!$B$9:$E$101,4,FALSE),IF(BA947="31-120 Days",VLOOKUP(D947,[3]Standard!$B$9:$F$101,5,FALSE),IF(BA947="121-365 Days",VLOOKUP(D947,[3]Standard!$B$9:$G$101,6,FALSE),VLOOKUP(D947,[3]Standard!$B$9:$H$101,7,FALSE)))),0)</f>
        <v>0</v>
      </c>
      <c r="L947" s="272">
        <f>IFERROR(IF(BA947="WIP - 30 Days",VLOOKUP(D947,[3]Standard!$B$9:$J$101,9,FALSE),IF(BA947="31-120 Days",VLOOKUP(D947,[3]Standard!$B$9:$K$100,10,FALSE),IF(BA947="121-365 Days",VLOOKUP(D947,[3]Standard!$B$9:$L$101,11,FALSE),VLOOKUP(D947,[3]Standard!$B$9:$M$101,12,FALSE)))),0)</f>
        <v>0</v>
      </c>
      <c r="M947" s="269" t="str">
        <f>IFERROR(VLOOKUP((D947&amp;C947)&amp;"",'[2]Retail Price List'!$C$4:$F$102,4,FALSE),"")</f>
        <v/>
      </c>
      <c r="N947" s="269">
        <f>IFERROR(IF(BA947="WIP - 30 Days",VLOOKUP(D947,[3]Extended!$B$9:$E$101,4,FALSE),IF(BA947="31-120 Days",VLOOKUP(D947,[3]Extended!$B$9:$F$101,5,FALSE),IF(BA947="121-365 Days",VLOOKUP(D947,[3]Extended!$B$9:$G$101,6,FALSE),VLOOKUP(D947,[3]Extended!$B$9:$H$101,7,FALSE)))),0)</f>
        <v>0</v>
      </c>
      <c r="O947" s="269">
        <f>IFERROR(IF(BA947="WIP - 30 Days",VLOOKUP(D947,[3]Extended!$B$9:$J$101,9,FALSE),IF(BA947="31-120 Days",VLOOKUP(D947,[3]Extended!$B$9:$K$101,10,FALSE),IF(BA947="121-365 Days",VLOOKUP(D947,[3]Extended!$B$9:$L$101,11,FALSE),VLOOKUP(D947,[3]Extended!$B$9:$M$101,12,FALSE)))),0)</f>
        <v>0</v>
      </c>
      <c r="P947" s="116" t="e">
        <f t="shared" si="71"/>
        <v>#VALUE!</v>
      </c>
      <c r="Q947" s="110" t="e">
        <f>O947-#REF!</f>
        <v>#REF!</v>
      </c>
      <c r="W947" s="311"/>
      <c r="X947" s="311"/>
      <c r="Y947" s="311"/>
      <c r="Z947" s="311"/>
      <c r="AA947" s="311"/>
      <c r="AB947" s="311"/>
      <c r="AC947" s="311"/>
      <c r="AT947" s="88" t="str">
        <f t="shared" si="72"/>
        <v>Special Order0</v>
      </c>
      <c r="AU947" s="89" t="str">
        <f t="shared" si="73"/>
        <v>01-1900</v>
      </c>
      <c r="BA947" s="92" t="str">
        <f t="shared" si="74"/>
        <v/>
      </c>
    </row>
    <row r="948" spans="2:53">
      <c r="B948" s="60">
        <f>[2]Trucks!A945</f>
        <v>0</v>
      </c>
      <c r="C948" s="11">
        <f>[2]Trucks!B945</f>
        <v>0</v>
      </c>
      <c r="D948" s="19" t="str">
        <f>IFERROR(VLOOKUP(C948&amp;"",'[2]Retail Price List'!$A$3:$B$103,2,FALSE),"Special Order")</f>
        <v>Special Order</v>
      </c>
      <c r="E948" s="18">
        <f>[2]Trucks!J945</f>
        <v>0</v>
      </c>
      <c r="F948" s="12">
        <f>[2]Trucks!E945</f>
        <v>0</v>
      </c>
      <c r="G948" s="56">
        <f>[2]Trucks!K945</f>
        <v>0</v>
      </c>
      <c r="H948" s="46">
        <f>[2]Trucks!I945</f>
        <v>0</v>
      </c>
      <c r="I948" s="83" t="str">
        <f t="shared" si="70"/>
        <v/>
      </c>
      <c r="J948" s="272" t="str">
        <f>IFERROR(VLOOKUP((D948&amp;C948)&amp;"",'[2]Retail Price List'!$C$4:$F$102,3,FALSE),"")</f>
        <v/>
      </c>
      <c r="K948" s="272">
        <f>IFERROR(IF(BA948="WIP - 30 Days",VLOOKUP(D948,[3]Standard!$B$9:$E$101,4,FALSE),IF(BA948="31-120 Days",VLOOKUP(D948,[3]Standard!$B$9:$F$101,5,FALSE),IF(BA948="121-365 Days",VLOOKUP(D948,[3]Standard!$B$9:$G$101,6,FALSE),VLOOKUP(D948,[3]Standard!$B$9:$H$101,7,FALSE)))),0)</f>
        <v>0</v>
      </c>
      <c r="L948" s="272">
        <f>IFERROR(IF(BA948="WIP - 30 Days",VLOOKUP(D948,[3]Standard!$B$9:$J$101,9,FALSE),IF(BA948="31-120 Days",VLOOKUP(D948,[3]Standard!$B$9:$K$100,10,FALSE),IF(BA948="121-365 Days",VLOOKUP(D948,[3]Standard!$B$9:$L$101,11,FALSE),VLOOKUP(D948,[3]Standard!$B$9:$M$101,12,FALSE)))),0)</f>
        <v>0</v>
      </c>
      <c r="M948" s="269" t="str">
        <f>IFERROR(VLOOKUP((D948&amp;C948)&amp;"",'[2]Retail Price List'!$C$4:$F$102,4,FALSE),"")</f>
        <v/>
      </c>
      <c r="N948" s="269">
        <f>IFERROR(IF(BA948="WIP - 30 Days",VLOOKUP(D948,[3]Extended!$B$9:$E$101,4,FALSE),IF(BA948="31-120 Days",VLOOKUP(D948,[3]Extended!$B$9:$F$101,5,FALSE),IF(BA948="121-365 Days",VLOOKUP(D948,[3]Extended!$B$9:$G$101,6,FALSE),VLOOKUP(D948,[3]Extended!$B$9:$H$101,7,FALSE)))),0)</f>
        <v>0</v>
      </c>
      <c r="O948" s="269">
        <f>IFERROR(IF(BA948="WIP - 30 Days",VLOOKUP(D948,[3]Extended!$B$9:$J$101,9,FALSE),IF(BA948="31-120 Days",VLOOKUP(D948,[3]Extended!$B$9:$K$101,10,FALSE),IF(BA948="121-365 Days",VLOOKUP(D948,[3]Extended!$B$9:$L$101,11,FALSE),VLOOKUP(D948,[3]Extended!$B$9:$M$101,12,FALSE)))),0)</f>
        <v>0</v>
      </c>
      <c r="P948" s="116" t="e">
        <f t="shared" si="71"/>
        <v>#VALUE!</v>
      </c>
      <c r="Q948" s="110" t="e">
        <f>O948-#REF!</f>
        <v>#REF!</v>
      </c>
      <c r="W948" s="311"/>
      <c r="X948" s="311"/>
      <c r="Y948" s="311"/>
      <c r="Z948" s="311"/>
      <c r="AA948" s="311"/>
      <c r="AB948" s="311"/>
      <c r="AC948" s="311"/>
      <c r="AT948" s="88" t="str">
        <f t="shared" si="72"/>
        <v>Special Order0</v>
      </c>
      <c r="AU948" s="89" t="str">
        <f t="shared" si="73"/>
        <v>01-1900</v>
      </c>
      <c r="BA948" s="92" t="str">
        <f t="shared" si="74"/>
        <v/>
      </c>
    </row>
    <row r="949" spans="2:53">
      <c r="B949" s="60">
        <f>[2]Trucks!A946</f>
        <v>0</v>
      </c>
      <c r="C949" s="11">
        <f>[2]Trucks!B946</f>
        <v>0</v>
      </c>
      <c r="D949" s="19" t="str">
        <f>IFERROR(VLOOKUP(C949&amp;"",'[2]Retail Price List'!$A$3:$B$103,2,FALSE),"Special Order")</f>
        <v>Special Order</v>
      </c>
      <c r="E949" s="18">
        <f>[2]Trucks!J946</f>
        <v>0</v>
      </c>
      <c r="F949" s="12">
        <f>[2]Trucks!E946</f>
        <v>0</v>
      </c>
      <c r="G949" s="56">
        <f>[2]Trucks!K946</f>
        <v>0</v>
      </c>
      <c r="H949" s="46">
        <f>[2]Trucks!I946</f>
        <v>0</v>
      </c>
      <c r="I949" s="83" t="str">
        <f t="shared" si="70"/>
        <v/>
      </c>
      <c r="J949" s="272" t="str">
        <f>IFERROR(VLOOKUP((D949&amp;C949)&amp;"",'[2]Retail Price List'!$C$4:$F$102,3,FALSE),"")</f>
        <v/>
      </c>
      <c r="K949" s="272">
        <f>IFERROR(IF(BA949="WIP - 30 Days",VLOOKUP(D949,[3]Standard!$B$9:$E$101,4,FALSE),IF(BA949="31-120 Days",VLOOKUP(D949,[3]Standard!$B$9:$F$101,5,FALSE),IF(BA949="121-365 Days",VLOOKUP(D949,[3]Standard!$B$9:$G$101,6,FALSE),VLOOKUP(D949,[3]Standard!$B$9:$H$101,7,FALSE)))),0)</f>
        <v>0</v>
      </c>
      <c r="L949" s="272">
        <f>IFERROR(IF(BA949="WIP - 30 Days",VLOOKUP(D949,[3]Standard!$B$9:$J$101,9,FALSE),IF(BA949="31-120 Days",VLOOKUP(D949,[3]Standard!$B$9:$K$100,10,FALSE),IF(BA949="121-365 Days",VLOOKUP(D949,[3]Standard!$B$9:$L$101,11,FALSE),VLOOKUP(D949,[3]Standard!$B$9:$M$101,12,FALSE)))),0)</f>
        <v>0</v>
      </c>
      <c r="M949" s="269" t="str">
        <f>IFERROR(VLOOKUP((D949&amp;C949)&amp;"",'[2]Retail Price List'!$C$4:$F$102,4,FALSE),"")</f>
        <v/>
      </c>
      <c r="N949" s="269">
        <f>IFERROR(IF(BA949="WIP - 30 Days",VLOOKUP(D949,[3]Extended!$B$9:$E$101,4,FALSE),IF(BA949="31-120 Days",VLOOKUP(D949,[3]Extended!$B$9:$F$101,5,FALSE),IF(BA949="121-365 Days",VLOOKUP(D949,[3]Extended!$B$9:$G$101,6,FALSE),VLOOKUP(D949,[3]Extended!$B$9:$H$101,7,FALSE)))),0)</f>
        <v>0</v>
      </c>
      <c r="O949" s="269">
        <f>IFERROR(IF(BA949="WIP - 30 Days",VLOOKUP(D949,[3]Extended!$B$9:$J$101,9,FALSE),IF(BA949="31-120 Days",VLOOKUP(D949,[3]Extended!$B$9:$K$101,10,FALSE),IF(BA949="121-365 Days",VLOOKUP(D949,[3]Extended!$B$9:$L$101,11,FALSE),VLOOKUP(D949,[3]Extended!$B$9:$M$101,12,FALSE)))),0)</f>
        <v>0</v>
      </c>
      <c r="P949" s="116" t="e">
        <f t="shared" si="71"/>
        <v>#VALUE!</v>
      </c>
      <c r="Q949" s="110" t="e">
        <f>O949-#REF!</f>
        <v>#REF!</v>
      </c>
      <c r="W949" s="311"/>
      <c r="X949" s="311"/>
      <c r="Y949" s="311"/>
      <c r="Z949" s="311"/>
      <c r="AA949" s="311"/>
      <c r="AB949" s="311"/>
      <c r="AC949" s="311"/>
      <c r="AT949" s="88" t="str">
        <f t="shared" si="72"/>
        <v>Special Order0</v>
      </c>
      <c r="AU949" s="89" t="str">
        <f t="shared" si="73"/>
        <v>01-1900</v>
      </c>
      <c r="BA949" s="92" t="str">
        <f t="shared" si="74"/>
        <v/>
      </c>
    </row>
    <row r="950" spans="2:53">
      <c r="B950" s="60">
        <f>[2]Trucks!A947</f>
        <v>0</v>
      </c>
      <c r="C950" s="11">
        <f>[2]Trucks!B947</f>
        <v>0</v>
      </c>
      <c r="D950" s="19" t="str">
        <f>IFERROR(VLOOKUP(C950&amp;"",'[2]Retail Price List'!$A$3:$B$103,2,FALSE),"Special Order")</f>
        <v>Special Order</v>
      </c>
      <c r="E950" s="18">
        <f>[2]Trucks!J947</f>
        <v>0</v>
      </c>
      <c r="F950" s="12">
        <f>[2]Trucks!E947</f>
        <v>0</v>
      </c>
      <c r="G950" s="56">
        <f>[2]Trucks!K947</f>
        <v>0</v>
      </c>
      <c r="H950" s="46">
        <f>[2]Trucks!I947</f>
        <v>0</v>
      </c>
      <c r="I950" s="83" t="str">
        <f t="shared" si="70"/>
        <v/>
      </c>
      <c r="J950" s="272" t="str">
        <f>IFERROR(VLOOKUP((D950&amp;C950)&amp;"",'[2]Retail Price List'!$C$4:$F$102,3,FALSE),"")</f>
        <v/>
      </c>
      <c r="K950" s="272">
        <f>IFERROR(IF(BA950="WIP - 30 Days",VLOOKUP(D950,[3]Standard!$B$9:$E$101,4,FALSE),IF(BA950="31-120 Days",VLOOKUP(D950,[3]Standard!$B$9:$F$101,5,FALSE),IF(BA950="121-365 Days",VLOOKUP(D950,[3]Standard!$B$9:$G$101,6,FALSE),VLOOKUP(D950,[3]Standard!$B$9:$H$101,7,FALSE)))),0)</f>
        <v>0</v>
      </c>
      <c r="L950" s="272">
        <f>IFERROR(IF(BA950="WIP - 30 Days",VLOOKUP(D950,[3]Standard!$B$9:$J$101,9,FALSE),IF(BA950="31-120 Days",VLOOKUP(D950,[3]Standard!$B$9:$K$100,10,FALSE),IF(BA950="121-365 Days",VLOOKUP(D950,[3]Standard!$B$9:$L$101,11,FALSE),VLOOKUP(D950,[3]Standard!$B$9:$M$101,12,FALSE)))),0)</f>
        <v>0</v>
      </c>
      <c r="M950" s="269" t="str">
        <f>IFERROR(VLOOKUP((D950&amp;C950)&amp;"",'[2]Retail Price List'!$C$4:$F$102,4,FALSE),"")</f>
        <v/>
      </c>
      <c r="N950" s="269">
        <f>IFERROR(IF(BA950="WIP - 30 Days",VLOOKUP(D950,[3]Extended!$B$9:$E$101,4,FALSE),IF(BA950="31-120 Days",VLOOKUP(D950,[3]Extended!$B$9:$F$101,5,FALSE),IF(BA950="121-365 Days",VLOOKUP(D950,[3]Extended!$B$9:$G$101,6,FALSE),VLOOKUP(D950,[3]Extended!$B$9:$H$101,7,FALSE)))),0)</f>
        <v>0</v>
      </c>
      <c r="O950" s="269">
        <f>IFERROR(IF(BA950="WIP - 30 Days",VLOOKUP(D950,[3]Extended!$B$9:$J$101,9,FALSE),IF(BA950="31-120 Days",VLOOKUP(D950,[3]Extended!$B$9:$K$101,10,FALSE),IF(BA950="121-365 Days",VLOOKUP(D950,[3]Extended!$B$9:$L$101,11,FALSE),VLOOKUP(D950,[3]Extended!$B$9:$M$101,12,FALSE)))),0)</f>
        <v>0</v>
      </c>
      <c r="P950" s="116" t="e">
        <f t="shared" si="71"/>
        <v>#VALUE!</v>
      </c>
      <c r="Q950" s="110" t="e">
        <f>O950-#REF!</f>
        <v>#REF!</v>
      </c>
      <c r="W950" s="311"/>
      <c r="X950" s="311"/>
      <c r="Y950" s="311"/>
      <c r="Z950" s="311"/>
      <c r="AA950" s="311"/>
      <c r="AB950" s="311"/>
      <c r="AC950" s="311"/>
      <c r="AT950" s="88" t="str">
        <f t="shared" si="72"/>
        <v>Special Order0</v>
      </c>
      <c r="AU950" s="89" t="str">
        <f t="shared" si="73"/>
        <v>01-1900</v>
      </c>
      <c r="BA950" s="92" t="str">
        <f t="shared" si="74"/>
        <v/>
      </c>
    </row>
    <row r="951" spans="2:53">
      <c r="B951" s="60">
        <f>[2]Trucks!A948</f>
        <v>0</v>
      </c>
      <c r="C951" s="11">
        <f>[2]Trucks!B948</f>
        <v>0</v>
      </c>
      <c r="D951" s="19" t="str">
        <f>IFERROR(VLOOKUP(C951&amp;"",'[2]Retail Price List'!$A$3:$B$103,2,FALSE),"Special Order")</f>
        <v>Special Order</v>
      </c>
      <c r="E951" s="18">
        <f>[2]Trucks!J948</f>
        <v>0</v>
      </c>
      <c r="F951" s="12">
        <f>[2]Trucks!E948</f>
        <v>0</v>
      </c>
      <c r="G951" s="56">
        <f>[2]Trucks!K948</f>
        <v>0</v>
      </c>
      <c r="H951" s="46">
        <f>[2]Trucks!I948</f>
        <v>0</v>
      </c>
      <c r="I951" s="83" t="str">
        <f t="shared" si="70"/>
        <v/>
      </c>
      <c r="J951" s="272" t="str">
        <f>IFERROR(VLOOKUP((D951&amp;C951)&amp;"",'[2]Retail Price List'!$C$4:$F$102,3,FALSE),"")</f>
        <v/>
      </c>
      <c r="K951" s="272">
        <f>IFERROR(IF(BA951="WIP - 30 Days",VLOOKUP(D951,[3]Standard!$B$9:$E$101,4,FALSE),IF(BA951="31-120 Days",VLOOKUP(D951,[3]Standard!$B$9:$F$101,5,FALSE),IF(BA951="121-365 Days",VLOOKUP(D951,[3]Standard!$B$9:$G$101,6,FALSE),VLOOKUP(D951,[3]Standard!$B$9:$H$101,7,FALSE)))),0)</f>
        <v>0</v>
      </c>
      <c r="L951" s="272">
        <f>IFERROR(IF(BA951="WIP - 30 Days",VLOOKUP(D951,[3]Standard!$B$9:$J$101,9,FALSE),IF(BA951="31-120 Days",VLOOKUP(D951,[3]Standard!$B$9:$K$100,10,FALSE),IF(BA951="121-365 Days",VLOOKUP(D951,[3]Standard!$B$9:$L$101,11,FALSE),VLOOKUP(D951,[3]Standard!$B$9:$M$101,12,FALSE)))),0)</f>
        <v>0</v>
      </c>
      <c r="M951" s="269" t="str">
        <f>IFERROR(VLOOKUP((D951&amp;C951)&amp;"",'[2]Retail Price List'!$C$4:$F$102,4,FALSE),"")</f>
        <v/>
      </c>
      <c r="N951" s="269">
        <f>IFERROR(IF(BA951="WIP - 30 Days",VLOOKUP(D951,[3]Extended!$B$9:$E$101,4,FALSE),IF(BA951="31-120 Days",VLOOKUP(D951,[3]Extended!$B$9:$F$101,5,FALSE),IF(BA951="121-365 Days",VLOOKUP(D951,[3]Extended!$B$9:$G$101,6,FALSE),VLOOKUP(D951,[3]Extended!$B$9:$H$101,7,FALSE)))),0)</f>
        <v>0</v>
      </c>
      <c r="O951" s="269">
        <f>IFERROR(IF(BA951="WIP - 30 Days",VLOOKUP(D951,[3]Extended!$B$9:$J$101,9,FALSE),IF(BA951="31-120 Days",VLOOKUP(D951,[3]Extended!$B$9:$K$101,10,FALSE),IF(BA951="121-365 Days",VLOOKUP(D951,[3]Extended!$B$9:$L$101,11,FALSE),VLOOKUP(D951,[3]Extended!$B$9:$M$101,12,FALSE)))),0)</f>
        <v>0</v>
      </c>
      <c r="P951" s="116" t="e">
        <f t="shared" si="71"/>
        <v>#VALUE!</v>
      </c>
      <c r="Q951" s="110" t="e">
        <f>O951-#REF!</f>
        <v>#REF!</v>
      </c>
      <c r="W951" s="311"/>
      <c r="X951" s="311"/>
      <c r="Y951" s="311"/>
      <c r="Z951" s="311"/>
      <c r="AA951" s="311"/>
      <c r="AB951" s="311"/>
      <c r="AC951" s="311"/>
      <c r="AT951" s="88" t="str">
        <f t="shared" si="72"/>
        <v>Special Order0</v>
      </c>
      <c r="AU951" s="89" t="str">
        <f t="shared" si="73"/>
        <v>01-1900</v>
      </c>
      <c r="BA951" s="92" t="str">
        <f t="shared" si="74"/>
        <v/>
      </c>
    </row>
    <row r="952" spans="2:53">
      <c r="B952" s="60">
        <f>[2]Trucks!A949</f>
        <v>0</v>
      </c>
      <c r="C952" s="11">
        <f>[2]Trucks!B949</f>
        <v>0</v>
      </c>
      <c r="D952" s="19" t="str">
        <f>IFERROR(VLOOKUP(C952&amp;"",'[2]Retail Price List'!$A$3:$B$103,2,FALSE),"Special Order")</f>
        <v>Special Order</v>
      </c>
      <c r="E952" s="18">
        <f>[2]Trucks!J949</f>
        <v>0</v>
      </c>
      <c r="F952" s="12">
        <f>[2]Trucks!E949</f>
        <v>0</v>
      </c>
      <c r="G952" s="56">
        <f>[2]Trucks!K949</f>
        <v>0</v>
      </c>
      <c r="H952" s="46">
        <f>[2]Trucks!I949</f>
        <v>0</v>
      </c>
      <c r="I952" s="83" t="str">
        <f t="shared" si="70"/>
        <v/>
      </c>
      <c r="J952" s="272" t="str">
        <f>IFERROR(VLOOKUP((D952&amp;C952)&amp;"",'[2]Retail Price List'!$C$4:$F$102,3,FALSE),"")</f>
        <v/>
      </c>
      <c r="K952" s="272">
        <f>IFERROR(IF(BA952="WIP - 30 Days",VLOOKUP(D952,[3]Standard!$B$9:$E$101,4,FALSE),IF(BA952="31-120 Days",VLOOKUP(D952,[3]Standard!$B$9:$F$101,5,FALSE),IF(BA952="121-365 Days",VLOOKUP(D952,[3]Standard!$B$9:$G$101,6,FALSE),VLOOKUP(D952,[3]Standard!$B$9:$H$101,7,FALSE)))),0)</f>
        <v>0</v>
      </c>
      <c r="L952" s="272">
        <f>IFERROR(IF(BA952="WIP - 30 Days",VLOOKUP(D952,[3]Standard!$B$9:$J$101,9,FALSE),IF(BA952="31-120 Days",VLOOKUP(D952,[3]Standard!$B$9:$K$100,10,FALSE),IF(BA952="121-365 Days",VLOOKUP(D952,[3]Standard!$B$9:$L$101,11,FALSE),VLOOKUP(D952,[3]Standard!$B$9:$M$101,12,FALSE)))),0)</f>
        <v>0</v>
      </c>
      <c r="M952" s="269" t="str">
        <f>IFERROR(VLOOKUP((D952&amp;C952)&amp;"",'[2]Retail Price List'!$C$4:$F$102,4,FALSE),"")</f>
        <v/>
      </c>
      <c r="N952" s="269">
        <f>IFERROR(IF(BA952="WIP - 30 Days",VLOOKUP(D952,[3]Extended!$B$9:$E$101,4,FALSE),IF(BA952="31-120 Days",VLOOKUP(D952,[3]Extended!$B$9:$F$101,5,FALSE),IF(BA952="121-365 Days",VLOOKUP(D952,[3]Extended!$B$9:$G$101,6,FALSE),VLOOKUP(D952,[3]Extended!$B$9:$H$101,7,FALSE)))),0)</f>
        <v>0</v>
      </c>
      <c r="O952" s="269">
        <f>IFERROR(IF(BA952="WIP - 30 Days",VLOOKUP(D952,[3]Extended!$B$9:$J$101,9,FALSE),IF(BA952="31-120 Days",VLOOKUP(D952,[3]Extended!$B$9:$K$101,10,FALSE),IF(BA952="121-365 Days",VLOOKUP(D952,[3]Extended!$B$9:$L$101,11,FALSE),VLOOKUP(D952,[3]Extended!$B$9:$M$101,12,FALSE)))),0)</f>
        <v>0</v>
      </c>
      <c r="P952" s="116" t="e">
        <f t="shared" si="71"/>
        <v>#VALUE!</v>
      </c>
      <c r="Q952" s="110" t="e">
        <f>O952-#REF!</f>
        <v>#REF!</v>
      </c>
      <c r="W952" s="311"/>
      <c r="X952" s="311"/>
      <c r="Y952" s="311"/>
      <c r="Z952" s="311"/>
      <c r="AA952" s="311"/>
      <c r="AB952" s="311"/>
      <c r="AC952" s="311"/>
      <c r="AT952" s="88" t="str">
        <f t="shared" si="72"/>
        <v>Special Order0</v>
      </c>
      <c r="AU952" s="89" t="str">
        <f t="shared" si="73"/>
        <v>01-1900</v>
      </c>
      <c r="BA952" s="92" t="str">
        <f t="shared" si="74"/>
        <v/>
      </c>
    </row>
    <row r="953" spans="2:53">
      <c r="B953" s="60">
        <f>[2]Trucks!A950</f>
        <v>0</v>
      </c>
      <c r="C953" s="11">
        <f>[2]Trucks!B950</f>
        <v>0</v>
      </c>
      <c r="D953" s="19" t="str">
        <f>IFERROR(VLOOKUP(C953&amp;"",'[2]Retail Price List'!$A$3:$B$103,2,FALSE),"Special Order")</f>
        <v>Special Order</v>
      </c>
      <c r="E953" s="18">
        <f>[2]Trucks!J950</f>
        <v>0</v>
      </c>
      <c r="F953" s="12">
        <f>[2]Trucks!E950</f>
        <v>0</v>
      </c>
      <c r="G953" s="56">
        <f>[2]Trucks!K950</f>
        <v>0</v>
      </c>
      <c r="H953" s="46">
        <f>[2]Trucks!I950</f>
        <v>0</v>
      </c>
      <c r="I953" s="83" t="str">
        <f t="shared" si="70"/>
        <v/>
      </c>
      <c r="J953" s="272" t="str">
        <f>IFERROR(VLOOKUP((D953&amp;C953)&amp;"",'[2]Retail Price List'!$C$4:$F$102,3,FALSE),"")</f>
        <v/>
      </c>
      <c r="K953" s="272">
        <f>IFERROR(IF(BA953="WIP - 30 Days",VLOOKUP(D953,[3]Standard!$B$9:$E$101,4,FALSE),IF(BA953="31-120 Days",VLOOKUP(D953,[3]Standard!$B$9:$F$101,5,FALSE),IF(BA953="121-365 Days",VLOOKUP(D953,[3]Standard!$B$9:$G$101,6,FALSE),VLOOKUP(D953,[3]Standard!$B$9:$H$101,7,FALSE)))),0)</f>
        <v>0</v>
      </c>
      <c r="L953" s="272">
        <f>IFERROR(IF(BA953="WIP - 30 Days",VLOOKUP(D953,[3]Standard!$B$9:$J$101,9,FALSE),IF(BA953="31-120 Days",VLOOKUP(D953,[3]Standard!$B$9:$K$100,10,FALSE),IF(BA953="121-365 Days",VLOOKUP(D953,[3]Standard!$B$9:$L$101,11,FALSE),VLOOKUP(D953,[3]Standard!$B$9:$M$101,12,FALSE)))),0)</f>
        <v>0</v>
      </c>
      <c r="M953" s="269" t="str">
        <f>IFERROR(VLOOKUP((D953&amp;C953)&amp;"",'[2]Retail Price List'!$C$4:$F$102,4,FALSE),"")</f>
        <v/>
      </c>
      <c r="N953" s="269">
        <f>IFERROR(IF(BA953="WIP - 30 Days",VLOOKUP(D953,[3]Extended!$B$9:$E$101,4,FALSE),IF(BA953="31-120 Days",VLOOKUP(D953,[3]Extended!$B$9:$F$101,5,FALSE),IF(BA953="121-365 Days",VLOOKUP(D953,[3]Extended!$B$9:$G$101,6,FALSE),VLOOKUP(D953,[3]Extended!$B$9:$H$101,7,FALSE)))),0)</f>
        <v>0</v>
      </c>
      <c r="O953" s="269">
        <f>IFERROR(IF(BA953="WIP - 30 Days",VLOOKUP(D953,[3]Extended!$B$9:$J$101,9,FALSE),IF(BA953="31-120 Days",VLOOKUP(D953,[3]Extended!$B$9:$K$101,10,FALSE),IF(BA953="121-365 Days",VLOOKUP(D953,[3]Extended!$B$9:$L$101,11,FALSE),VLOOKUP(D953,[3]Extended!$B$9:$M$101,12,FALSE)))),0)</f>
        <v>0</v>
      </c>
      <c r="P953" s="116" t="e">
        <f t="shared" si="71"/>
        <v>#VALUE!</v>
      </c>
      <c r="Q953" s="110" t="e">
        <f>O953-#REF!</f>
        <v>#REF!</v>
      </c>
      <c r="W953" s="311"/>
      <c r="X953" s="311"/>
      <c r="Y953" s="311"/>
      <c r="Z953" s="311"/>
      <c r="AA953" s="311"/>
      <c r="AB953" s="311"/>
      <c r="AC953" s="311"/>
      <c r="AT953" s="88" t="str">
        <f t="shared" si="72"/>
        <v>Special Order0</v>
      </c>
      <c r="AU953" s="89" t="str">
        <f t="shared" si="73"/>
        <v>01-1900</v>
      </c>
      <c r="BA953" s="92" t="str">
        <f t="shared" si="74"/>
        <v/>
      </c>
    </row>
    <row r="954" spans="2:53">
      <c r="B954" s="60">
        <f>[2]Trucks!A951</f>
        <v>0</v>
      </c>
      <c r="C954" s="11">
        <f>[2]Trucks!B951</f>
        <v>0</v>
      </c>
      <c r="D954" s="19" t="str">
        <f>IFERROR(VLOOKUP(C954&amp;"",'[2]Retail Price List'!$A$3:$B$103,2,FALSE),"Special Order")</f>
        <v>Special Order</v>
      </c>
      <c r="E954" s="18">
        <f>[2]Trucks!J951</f>
        <v>0</v>
      </c>
      <c r="F954" s="12">
        <f>[2]Trucks!E951</f>
        <v>0</v>
      </c>
      <c r="G954" s="56">
        <f>[2]Trucks!K951</f>
        <v>0</v>
      </c>
      <c r="H954" s="46">
        <f>[2]Trucks!I951</f>
        <v>0</v>
      </c>
      <c r="I954" s="83" t="str">
        <f t="shared" si="70"/>
        <v/>
      </c>
      <c r="J954" s="272" t="str">
        <f>IFERROR(VLOOKUP((D954&amp;C954)&amp;"",'[2]Retail Price List'!$C$4:$F$102,3,FALSE),"")</f>
        <v/>
      </c>
      <c r="K954" s="272">
        <f>IFERROR(IF(BA954="WIP - 30 Days",VLOOKUP(D954,[3]Standard!$B$9:$E$101,4,FALSE),IF(BA954="31-120 Days",VLOOKUP(D954,[3]Standard!$B$9:$F$101,5,FALSE),IF(BA954="121-365 Days",VLOOKUP(D954,[3]Standard!$B$9:$G$101,6,FALSE),VLOOKUP(D954,[3]Standard!$B$9:$H$101,7,FALSE)))),0)</f>
        <v>0</v>
      </c>
      <c r="L954" s="272">
        <f>IFERROR(IF(BA954="WIP - 30 Days",VLOOKUP(D954,[3]Standard!$B$9:$J$101,9,FALSE),IF(BA954="31-120 Days",VLOOKUP(D954,[3]Standard!$B$9:$K$100,10,FALSE),IF(BA954="121-365 Days",VLOOKUP(D954,[3]Standard!$B$9:$L$101,11,FALSE),VLOOKUP(D954,[3]Standard!$B$9:$M$101,12,FALSE)))),0)</f>
        <v>0</v>
      </c>
      <c r="M954" s="269" t="str">
        <f>IFERROR(VLOOKUP((D954&amp;C954)&amp;"",'[2]Retail Price List'!$C$4:$F$102,4,FALSE),"")</f>
        <v/>
      </c>
      <c r="N954" s="269">
        <f>IFERROR(IF(BA954="WIP - 30 Days",VLOOKUP(D954,[3]Extended!$B$9:$E$101,4,FALSE),IF(BA954="31-120 Days",VLOOKUP(D954,[3]Extended!$B$9:$F$101,5,FALSE),IF(BA954="121-365 Days",VLOOKUP(D954,[3]Extended!$B$9:$G$101,6,FALSE),VLOOKUP(D954,[3]Extended!$B$9:$H$101,7,FALSE)))),0)</f>
        <v>0</v>
      </c>
      <c r="O954" s="269">
        <f>IFERROR(IF(BA954="WIP - 30 Days",VLOOKUP(D954,[3]Extended!$B$9:$J$101,9,FALSE),IF(BA954="31-120 Days",VLOOKUP(D954,[3]Extended!$B$9:$K$101,10,FALSE),IF(BA954="121-365 Days",VLOOKUP(D954,[3]Extended!$B$9:$L$101,11,FALSE),VLOOKUP(D954,[3]Extended!$B$9:$M$101,12,FALSE)))),0)</f>
        <v>0</v>
      </c>
      <c r="P954" s="116" t="e">
        <f t="shared" si="71"/>
        <v>#VALUE!</v>
      </c>
      <c r="Q954" s="110" t="e">
        <f>O954-#REF!</f>
        <v>#REF!</v>
      </c>
      <c r="W954" s="311"/>
      <c r="X954" s="311"/>
      <c r="Y954" s="311"/>
      <c r="Z954" s="311"/>
      <c r="AA954" s="311"/>
      <c r="AB954" s="311"/>
      <c r="AC954" s="311"/>
      <c r="AT954" s="88" t="str">
        <f t="shared" si="72"/>
        <v>Special Order0</v>
      </c>
      <c r="AU954" s="89" t="str">
        <f t="shared" si="73"/>
        <v>01-1900</v>
      </c>
      <c r="BA954" s="92" t="str">
        <f t="shared" si="74"/>
        <v/>
      </c>
    </row>
    <row r="955" spans="2:53">
      <c r="B955" s="60">
        <f>[2]Trucks!A952</f>
        <v>0</v>
      </c>
      <c r="C955" s="11">
        <f>[2]Trucks!B952</f>
        <v>0</v>
      </c>
      <c r="D955" s="19" t="str">
        <f>IFERROR(VLOOKUP(C955&amp;"",'[2]Retail Price List'!$A$3:$B$103,2,FALSE),"Special Order")</f>
        <v>Special Order</v>
      </c>
      <c r="E955" s="18">
        <f>[2]Trucks!J952</f>
        <v>0</v>
      </c>
      <c r="F955" s="12">
        <f>[2]Trucks!E952</f>
        <v>0</v>
      </c>
      <c r="G955" s="56">
        <f>[2]Trucks!K952</f>
        <v>0</v>
      </c>
      <c r="H955" s="46">
        <f>[2]Trucks!I952</f>
        <v>0</v>
      </c>
      <c r="I955" s="83" t="str">
        <f t="shared" si="70"/>
        <v/>
      </c>
      <c r="J955" s="272" t="str">
        <f>IFERROR(VLOOKUP((D955&amp;C955)&amp;"",'[2]Retail Price List'!$C$4:$F$102,3,FALSE),"")</f>
        <v/>
      </c>
      <c r="K955" s="272">
        <f>IFERROR(IF(BA955="WIP - 30 Days",VLOOKUP(D955,[3]Standard!$B$9:$E$101,4,FALSE),IF(BA955="31-120 Days",VLOOKUP(D955,[3]Standard!$B$9:$F$101,5,FALSE),IF(BA955="121-365 Days",VLOOKUP(D955,[3]Standard!$B$9:$G$101,6,FALSE),VLOOKUP(D955,[3]Standard!$B$9:$H$101,7,FALSE)))),0)</f>
        <v>0</v>
      </c>
      <c r="L955" s="272">
        <f>IFERROR(IF(BA955="WIP - 30 Days",VLOOKUP(D955,[3]Standard!$B$9:$J$101,9,FALSE),IF(BA955="31-120 Days",VLOOKUP(D955,[3]Standard!$B$9:$K$100,10,FALSE),IF(BA955="121-365 Days",VLOOKUP(D955,[3]Standard!$B$9:$L$101,11,FALSE),VLOOKUP(D955,[3]Standard!$B$9:$M$101,12,FALSE)))),0)</f>
        <v>0</v>
      </c>
      <c r="M955" s="269" t="str">
        <f>IFERROR(VLOOKUP((D955&amp;C955)&amp;"",'[2]Retail Price List'!$C$4:$F$102,4,FALSE),"")</f>
        <v/>
      </c>
      <c r="N955" s="269">
        <f>IFERROR(IF(BA955="WIP - 30 Days",VLOOKUP(D955,[3]Extended!$B$9:$E$101,4,FALSE),IF(BA955="31-120 Days",VLOOKUP(D955,[3]Extended!$B$9:$F$101,5,FALSE),IF(BA955="121-365 Days",VLOOKUP(D955,[3]Extended!$B$9:$G$101,6,FALSE),VLOOKUP(D955,[3]Extended!$B$9:$H$101,7,FALSE)))),0)</f>
        <v>0</v>
      </c>
      <c r="O955" s="269">
        <f>IFERROR(IF(BA955="WIP - 30 Days",VLOOKUP(D955,[3]Extended!$B$9:$J$101,9,FALSE),IF(BA955="31-120 Days",VLOOKUP(D955,[3]Extended!$B$9:$K$101,10,FALSE),IF(BA955="121-365 Days",VLOOKUP(D955,[3]Extended!$B$9:$L$101,11,FALSE),VLOOKUP(D955,[3]Extended!$B$9:$M$101,12,FALSE)))),0)</f>
        <v>0</v>
      </c>
      <c r="P955" s="116" t="e">
        <f t="shared" si="71"/>
        <v>#VALUE!</v>
      </c>
      <c r="Q955" s="110" t="e">
        <f>O955-#REF!</f>
        <v>#REF!</v>
      </c>
      <c r="W955" s="311"/>
      <c r="X955" s="311"/>
      <c r="Y955" s="311"/>
      <c r="Z955" s="311"/>
      <c r="AA955" s="311"/>
      <c r="AB955" s="311"/>
      <c r="AC955" s="311"/>
      <c r="AT955" s="88" t="str">
        <f t="shared" si="72"/>
        <v>Special Order0</v>
      </c>
      <c r="AU955" s="89" t="str">
        <f t="shared" si="73"/>
        <v>01-1900</v>
      </c>
      <c r="BA955" s="92" t="str">
        <f t="shared" si="74"/>
        <v/>
      </c>
    </row>
    <row r="956" spans="2:53">
      <c r="B956" s="60">
        <f>[2]Trucks!A953</f>
        <v>0</v>
      </c>
      <c r="C956" s="11">
        <f>[2]Trucks!B953</f>
        <v>0</v>
      </c>
      <c r="D956" s="19" t="str">
        <f>IFERROR(VLOOKUP(C956&amp;"",'[2]Retail Price List'!$A$3:$B$103,2,FALSE),"Special Order")</f>
        <v>Special Order</v>
      </c>
      <c r="E956" s="18">
        <f>[2]Trucks!J953</f>
        <v>0</v>
      </c>
      <c r="F956" s="12">
        <f>[2]Trucks!E953</f>
        <v>0</v>
      </c>
      <c r="G956" s="56">
        <f>[2]Trucks!K953</f>
        <v>0</v>
      </c>
      <c r="H956" s="46">
        <f>[2]Trucks!I953</f>
        <v>0</v>
      </c>
      <c r="I956" s="83" t="str">
        <f t="shared" si="70"/>
        <v/>
      </c>
      <c r="J956" s="272" t="str">
        <f>IFERROR(VLOOKUP((D956&amp;C956)&amp;"",'[2]Retail Price List'!$C$4:$F$102,3,FALSE),"")</f>
        <v/>
      </c>
      <c r="K956" s="272">
        <f>IFERROR(IF(BA956="WIP - 30 Days",VLOOKUP(D956,[3]Standard!$B$9:$E$101,4,FALSE),IF(BA956="31-120 Days",VLOOKUP(D956,[3]Standard!$B$9:$F$101,5,FALSE),IF(BA956="121-365 Days",VLOOKUP(D956,[3]Standard!$B$9:$G$101,6,FALSE),VLOOKUP(D956,[3]Standard!$B$9:$H$101,7,FALSE)))),0)</f>
        <v>0</v>
      </c>
      <c r="L956" s="272">
        <f>IFERROR(IF(BA956="WIP - 30 Days",VLOOKUP(D956,[3]Standard!$B$9:$J$101,9,FALSE),IF(BA956="31-120 Days",VLOOKUP(D956,[3]Standard!$B$9:$K$100,10,FALSE),IF(BA956="121-365 Days",VLOOKUP(D956,[3]Standard!$B$9:$L$101,11,FALSE),VLOOKUP(D956,[3]Standard!$B$9:$M$101,12,FALSE)))),0)</f>
        <v>0</v>
      </c>
      <c r="M956" s="269" t="str">
        <f>IFERROR(VLOOKUP((D956&amp;C956)&amp;"",'[2]Retail Price List'!$C$4:$F$102,4,FALSE),"")</f>
        <v/>
      </c>
      <c r="N956" s="269">
        <f>IFERROR(IF(BA956="WIP - 30 Days",VLOOKUP(D956,[3]Extended!$B$9:$E$101,4,FALSE),IF(BA956="31-120 Days",VLOOKUP(D956,[3]Extended!$B$9:$F$101,5,FALSE),IF(BA956="121-365 Days",VLOOKUP(D956,[3]Extended!$B$9:$G$101,6,FALSE),VLOOKUP(D956,[3]Extended!$B$9:$H$101,7,FALSE)))),0)</f>
        <v>0</v>
      </c>
      <c r="O956" s="269">
        <f>IFERROR(IF(BA956="WIP - 30 Days",VLOOKUP(D956,[3]Extended!$B$9:$J$101,9,FALSE),IF(BA956="31-120 Days",VLOOKUP(D956,[3]Extended!$B$9:$K$101,10,FALSE),IF(BA956="121-365 Days",VLOOKUP(D956,[3]Extended!$B$9:$L$101,11,FALSE),VLOOKUP(D956,[3]Extended!$B$9:$M$101,12,FALSE)))),0)</f>
        <v>0</v>
      </c>
      <c r="P956" s="116" t="e">
        <f t="shared" si="71"/>
        <v>#VALUE!</v>
      </c>
      <c r="Q956" s="110" t="e">
        <f>O956-#REF!</f>
        <v>#REF!</v>
      </c>
      <c r="W956" s="311"/>
      <c r="X956" s="311"/>
      <c r="Y956" s="311"/>
      <c r="Z956" s="311"/>
      <c r="AA956" s="311"/>
      <c r="AB956" s="311"/>
      <c r="AC956" s="311"/>
      <c r="AT956" s="88" t="str">
        <f t="shared" si="72"/>
        <v>Special Order0</v>
      </c>
      <c r="AU956" s="89" t="str">
        <f t="shared" si="73"/>
        <v>01-1900</v>
      </c>
      <c r="BA956" s="92" t="str">
        <f t="shared" si="74"/>
        <v/>
      </c>
    </row>
    <row r="957" spans="2:53">
      <c r="B957" s="60">
        <f>[2]Trucks!A954</f>
        <v>0</v>
      </c>
      <c r="C957" s="11">
        <f>[2]Trucks!B954</f>
        <v>0</v>
      </c>
      <c r="D957" s="19" t="str">
        <f>IFERROR(VLOOKUP(C957&amp;"",'[2]Retail Price List'!$A$3:$B$103,2,FALSE),"Special Order")</f>
        <v>Special Order</v>
      </c>
      <c r="E957" s="18">
        <f>[2]Trucks!J954</f>
        <v>0</v>
      </c>
      <c r="F957" s="12">
        <f>[2]Trucks!E954</f>
        <v>0</v>
      </c>
      <c r="G957" s="56">
        <f>[2]Trucks!K954</f>
        <v>0</v>
      </c>
      <c r="H957" s="46">
        <f>[2]Trucks!I954</f>
        <v>0</v>
      </c>
      <c r="I957" s="83" t="str">
        <f t="shared" si="70"/>
        <v/>
      </c>
      <c r="J957" s="272" t="str">
        <f>IFERROR(VLOOKUP((D957&amp;C957)&amp;"",'[2]Retail Price List'!$C$4:$F$102,3,FALSE),"")</f>
        <v/>
      </c>
      <c r="K957" s="272">
        <f>IFERROR(IF(BA957="WIP - 30 Days",VLOOKUP(D957,[3]Standard!$B$9:$E$101,4,FALSE),IF(BA957="31-120 Days",VLOOKUP(D957,[3]Standard!$B$9:$F$101,5,FALSE),IF(BA957="121-365 Days",VLOOKUP(D957,[3]Standard!$B$9:$G$101,6,FALSE),VLOOKUP(D957,[3]Standard!$B$9:$H$101,7,FALSE)))),0)</f>
        <v>0</v>
      </c>
      <c r="L957" s="272">
        <f>IFERROR(IF(BA957="WIP - 30 Days",VLOOKUP(D957,[3]Standard!$B$9:$J$101,9,FALSE),IF(BA957="31-120 Days",VLOOKUP(D957,[3]Standard!$B$9:$K$100,10,FALSE),IF(BA957="121-365 Days",VLOOKUP(D957,[3]Standard!$B$9:$L$101,11,FALSE),VLOOKUP(D957,[3]Standard!$B$9:$M$101,12,FALSE)))),0)</f>
        <v>0</v>
      </c>
      <c r="M957" s="269" t="str">
        <f>IFERROR(VLOOKUP((D957&amp;C957)&amp;"",'[2]Retail Price List'!$C$4:$F$102,4,FALSE),"")</f>
        <v/>
      </c>
      <c r="N957" s="269">
        <f>IFERROR(IF(BA957="WIP - 30 Days",VLOOKUP(D957,[3]Extended!$B$9:$E$101,4,FALSE),IF(BA957="31-120 Days",VLOOKUP(D957,[3]Extended!$B$9:$F$101,5,FALSE),IF(BA957="121-365 Days",VLOOKUP(D957,[3]Extended!$B$9:$G$101,6,FALSE),VLOOKUP(D957,[3]Extended!$B$9:$H$101,7,FALSE)))),0)</f>
        <v>0</v>
      </c>
      <c r="O957" s="269">
        <f>IFERROR(IF(BA957="WIP - 30 Days",VLOOKUP(D957,[3]Extended!$B$9:$J$101,9,FALSE),IF(BA957="31-120 Days",VLOOKUP(D957,[3]Extended!$B$9:$K$101,10,FALSE),IF(BA957="121-365 Days",VLOOKUP(D957,[3]Extended!$B$9:$L$101,11,FALSE),VLOOKUP(D957,[3]Extended!$B$9:$M$101,12,FALSE)))),0)</f>
        <v>0</v>
      </c>
      <c r="P957" s="116" t="e">
        <f t="shared" si="71"/>
        <v>#VALUE!</v>
      </c>
      <c r="Q957" s="110" t="e">
        <f>O957-#REF!</f>
        <v>#REF!</v>
      </c>
      <c r="W957" s="311"/>
      <c r="X957" s="311"/>
      <c r="Y957" s="311"/>
      <c r="Z957" s="311"/>
      <c r="AA957" s="311"/>
      <c r="AB957" s="311"/>
      <c r="AC957" s="311"/>
      <c r="AT957" s="88" t="str">
        <f t="shared" si="72"/>
        <v>Special Order0</v>
      </c>
      <c r="AU957" s="89" t="str">
        <f t="shared" si="73"/>
        <v>01-1900</v>
      </c>
      <c r="BA957" s="92" t="str">
        <f t="shared" si="74"/>
        <v/>
      </c>
    </row>
    <row r="958" spans="2:53">
      <c r="B958" s="60">
        <f>[2]Trucks!A955</f>
        <v>0</v>
      </c>
      <c r="C958" s="11">
        <f>[2]Trucks!B955</f>
        <v>0</v>
      </c>
      <c r="D958" s="19" t="str">
        <f>IFERROR(VLOOKUP(C958&amp;"",'[2]Retail Price List'!$A$3:$B$103,2,FALSE),"Special Order")</f>
        <v>Special Order</v>
      </c>
      <c r="E958" s="18">
        <f>[2]Trucks!J955</f>
        <v>0</v>
      </c>
      <c r="F958" s="12">
        <f>[2]Trucks!E955</f>
        <v>0</v>
      </c>
      <c r="G958" s="56">
        <f>[2]Trucks!K955</f>
        <v>0</v>
      </c>
      <c r="H958" s="46">
        <f>[2]Trucks!I955</f>
        <v>0</v>
      </c>
      <c r="I958" s="83" t="str">
        <f t="shared" si="70"/>
        <v/>
      </c>
      <c r="J958" s="272" t="str">
        <f>IFERROR(VLOOKUP((D958&amp;C958)&amp;"",'[2]Retail Price List'!$C$4:$F$102,3,FALSE),"")</f>
        <v/>
      </c>
      <c r="K958" s="272">
        <f>IFERROR(IF(BA958="WIP - 30 Days",VLOOKUP(D958,[3]Standard!$B$9:$E$101,4,FALSE),IF(BA958="31-120 Days",VLOOKUP(D958,[3]Standard!$B$9:$F$101,5,FALSE),IF(BA958="121-365 Days",VLOOKUP(D958,[3]Standard!$B$9:$G$101,6,FALSE),VLOOKUP(D958,[3]Standard!$B$9:$H$101,7,FALSE)))),0)</f>
        <v>0</v>
      </c>
      <c r="L958" s="272">
        <f>IFERROR(IF(BA958="WIP - 30 Days",VLOOKUP(D958,[3]Standard!$B$9:$J$101,9,FALSE),IF(BA958="31-120 Days",VLOOKUP(D958,[3]Standard!$B$9:$K$100,10,FALSE),IF(BA958="121-365 Days",VLOOKUP(D958,[3]Standard!$B$9:$L$101,11,FALSE),VLOOKUP(D958,[3]Standard!$B$9:$M$101,12,FALSE)))),0)</f>
        <v>0</v>
      </c>
      <c r="M958" s="269" t="str">
        <f>IFERROR(VLOOKUP((D958&amp;C958)&amp;"",'[2]Retail Price List'!$C$4:$F$102,4,FALSE),"")</f>
        <v/>
      </c>
      <c r="N958" s="269">
        <f>IFERROR(IF(BA958="WIP - 30 Days",VLOOKUP(D958,[3]Extended!$B$9:$E$101,4,FALSE),IF(BA958="31-120 Days",VLOOKUP(D958,[3]Extended!$B$9:$F$101,5,FALSE),IF(BA958="121-365 Days",VLOOKUP(D958,[3]Extended!$B$9:$G$101,6,FALSE),VLOOKUP(D958,[3]Extended!$B$9:$H$101,7,FALSE)))),0)</f>
        <v>0</v>
      </c>
      <c r="O958" s="269">
        <f>IFERROR(IF(BA958="WIP - 30 Days",VLOOKUP(D958,[3]Extended!$B$9:$J$101,9,FALSE),IF(BA958="31-120 Days",VLOOKUP(D958,[3]Extended!$B$9:$K$101,10,FALSE),IF(BA958="121-365 Days",VLOOKUP(D958,[3]Extended!$B$9:$L$101,11,FALSE),VLOOKUP(D958,[3]Extended!$B$9:$M$101,12,FALSE)))),0)</f>
        <v>0</v>
      </c>
      <c r="P958" s="116" t="e">
        <f t="shared" si="71"/>
        <v>#VALUE!</v>
      </c>
      <c r="Q958" s="110" t="e">
        <f>O958-#REF!</f>
        <v>#REF!</v>
      </c>
      <c r="W958" s="311"/>
      <c r="X958" s="311"/>
      <c r="Y958" s="311"/>
      <c r="Z958" s="311"/>
      <c r="AA958" s="311"/>
      <c r="AB958" s="311"/>
      <c r="AC958" s="311"/>
      <c r="AT958" s="88" t="str">
        <f t="shared" si="72"/>
        <v>Special Order0</v>
      </c>
      <c r="AU958" s="89" t="str">
        <f t="shared" si="73"/>
        <v>01-1900</v>
      </c>
      <c r="BA958" s="92" t="str">
        <f t="shared" si="74"/>
        <v/>
      </c>
    </row>
    <row r="959" spans="2:53">
      <c r="B959" s="60">
        <f>[2]Trucks!A956</f>
        <v>0</v>
      </c>
      <c r="C959" s="11">
        <f>[2]Trucks!B956</f>
        <v>0</v>
      </c>
      <c r="D959" s="19" t="str">
        <f>IFERROR(VLOOKUP(C959&amp;"",'[2]Retail Price List'!$A$3:$B$103,2,FALSE),"Special Order")</f>
        <v>Special Order</v>
      </c>
      <c r="E959" s="18">
        <f>[2]Trucks!J956</f>
        <v>0</v>
      </c>
      <c r="F959" s="12">
        <f>[2]Trucks!E956</f>
        <v>0</v>
      </c>
      <c r="G959" s="56">
        <f>[2]Trucks!K956</f>
        <v>0</v>
      </c>
      <c r="H959" s="46">
        <f>[2]Trucks!I956</f>
        <v>0</v>
      </c>
      <c r="I959" s="83" t="str">
        <f t="shared" si="70"/>
        <v/>
      </c>
      <c r="J959" s="272" t="str">
        <f>IFERROR(VLOOKUP((D959&amp;C959)&amp;"",'[2]Retail Price List'!$C$4:$F$102,3,FALSE),"")</f>
        <v/>
      </c>
      <c r="K959" s="272">
        <f>IFERROR(IF(BA959="WIP - 30 Days",VLOOKUP(D959,[3]Standard!$B$9:$E$101,4,FALSE),IF(BA959="31-120 Days",VLOOKUP(D959,[3]Standard!$B$9:$F$101,5,FALSE),IF(BA959="121-365 Days",VLOOKUP(D959,[3]Standard!$B$9:$G$101,6,FALSE),VLOOKUP(D959,[3]Standard!$B$9:$H$101,7,FALSE)))),0)</f>
        <v>0</v>
      </c>
      <c r="L959" s="272">
        <f>IFERROR(IF(BA959="WIP - 30 Days",VLOOKUP(D959,[3]Standard!$B$9:$J$101,9,FALSE),IF(BA959="31-120 Days",VLOOKUP(D959,[3]Standard!$B$9:$K$100,10,FALSE),IF(BA959="121-365 Days",VLOOKUP(D959,[3]Standard!$B$9:$L$101,11,FALSE),VLOOKUP(D959,[3]Standard!$B$9:$M$101,12,FALSE)))),0)</f>
        <v>0</v>
      </c>
      <c r="M959" s="269" t="str">
        <f>IFERROR(VLOOKUP((D959&amp;C959)&amp;"",'[2]Retail Price List'!$C$4:$F$102,4,FALSE),"")</f>
        <v/>
      </c>
      <c r="N959" s="269">
        <f>IFERROR(IF(BA959="WIP - 30 Days",VLOOKUP(D959,[3]Extended!$B$9:$E$101,4,FALSE),IF(BA959="31-120 Days",VLOOKUP(D959,[3]Extended!$B$9:$F$101,5,FALSE),IF(BA959="121-365 Days",VLOOKUP(D959,[3]Extended!$B$9:$G$101,6,FALSE),VLOOKUP(D959,[3]Extended!$B$9:$H$101,7,FALSE)))),0)</f>
        <v>0</v>
      </c>
      <c r="O959" s="269">
        <f>IFERROR(IF(BA959="WIP - 30 Days",VLOOKUP(D959,[3]Extended!$B$9:$J$101,9,FALSE),IF(BA959="31-120 Days",VLOOKUP(D959,[3]Extended!$B$9:$K$101,10,FALSE),IF(BA959="121-365 Days",VLOOKUP(D959,[3]Extended!$B$9:$L$101,11,FALSE),VLOOKUP(D959,[3]Extended!$B$9:$M$101,12,FALSE)))),0)</f>
        <v>0</v>
      </c>
      <c r="P959" s="116" t="e">
        <f t="shared" si="71"/>
        <v>#VALUE!</v>
      </c>
      <c r="Q959" s="110" t="e">
        <f>O959-#REF!</f>
        <v>#REF!</v>
      </c>
      <c r="W959" s="311"/>
      <c r="X959" s="311"/>
      <c r="Y959" s="311"/>
      <c r="Z959" s="311"/>
      <c r="AA959" s="311"/>
      <c r="AB959" s="311"/>
      <c r="AC959" s="311"/>
      <c r="AT959" s="88" t="str">
        <f t="shared" si="72"/>
        <v>Special Order0</v>
      </c>
      <c r="AU959" s="89" t="str">
        <f t="shared" si="73"/>
        <v>01-1900</v>
      </c>
      <c r="BA959" s="92" t="str">
        <f t="shared" si="74"/>
        <v/>
      </c>
    </row>
    <row r="960" spans="2:53">
      <c r="B960" s="60">
        <f>[2]Trucks!A957</f>
        <v>0</v>
      </c>
      <c r="C960" s="11">
        <f>[2]Trucks!B957</f>
        <v>0</v>
      </c>
      <c r="D960" s="19" t="str">
        <f>IFERROR(VLOOKUP(C960&amp;"",'[2]Retail Price List'!$A$3:$B$103,2,FALSE),"Special Order")</f>
        <v>Special Order</v>
      </c>
      <c r="E960" s="18">
        <f>[2]Trucks!J957</f>
        <v>0</v>
      </c>
      <c r="F960" s="12">
        <f>[2]Trucks!E957</f>
        <v>0</v>
      </c>
      <c r="G960" s="56">
        <f>[2]Trucks!K957</f>
        <v>0</v>
      </c>
      <c r="H960" s="46">
        <f>[2]Trucks!I957</f>
        <v>0</v>
      </c>
      <c r="I960" s="83" t="str">
        <f t="shared" si="70"/>
        <v/>
      </c>
      <c r="J960" s="272" t="str">
        <f>IFERROR(VLOOKUP((D960&amp;C960)&amp;"",'[2]Retail Price List'!$C$4:$F$102,3,FALSE),"")</f>
        <v/>
      </c>
      <c r="K960" s="272">
        <f>IFERROR(IF(BA960="WIP - 30 Days",VLOOKUP(D960,[3]Standard!$B$9:$E$101,4,FALSE),IF(BA960="31-120 Days",VLOOKUP(D960,[3]Standard!$B$9:$F$101,5,FALSE),IF(BA960="121-365 Days",VLOOKUP(D960,[3]Standard!$B$9:$G$101,6,FALSE),VLOOKUP(D960,[3]Standard!$B$9:$H$101,7,FALSE)))),0)</f>
        <v>0</v>
      </c>
      <c r="L960" s="272">
        <f>IFERROR(IF(BA960="WIP - 30 Days",VLOOKUP(D960,[3]Standard!$B$9:$J$101,9,FALSE),IF(BA960="31-120 Days",VLOOKUP(D960,[3]Standard!$B$9:$K$100,10,FALSE),IF(BA960="121-365 Days",VLOOKUP(D960,[3]Standard!$B$9:$L$101,11,FALSE),VLOOKUP(D960,[3]Standard!$B$9:$M$101,12,FALSE)))),0)</f>
        <v>0</v>
      </c>
      <c r="M960" s="269" t="str">
        <f>IFERROR(VLOOKUP((D960&amp;C960)&amp;"",'[2]Retail Price List'!$C$4:$F$102,4,FALSE),"")</f>
        <v/>
      </c>
      <c r="N960" s="269">
        <f>IFERROR(IF(BA960="WIP - 30 Days",VLOOKUP(D960,[3]Extended!$B$9:$E$101,4,FALSE),IF(BA960="31-120 Days",VLOOKUP(D960,[3]Extended!$B$9:$F$101,5,FALSE),IF(BA960="121-365 Days",VLOOKUP(D960,[3]Extended!$B$9:$G$101,6,FALSE),VLOOKUP(D960,[3]Extended!$B$9:$H$101,7,FALSE)))),0)</f>
        <v>0</v>
      </c>
      <c r="O960" s="269">
        <f>IFERROR(IF(BA960="WIP - 30 Days",VLOOKUP(D960,[3]Extended!$B$9:$J$101,9,FALSE),IF(BA960="31-120 Days",VLOOKUP(D960,[3]Extended!$B$9:$K$101,10,FALSE),IF(BA960="121-365 Days",VLOOKUP(D960,[3]Extended!$B$9:$L$101,11,FALSE),VLOOKUP(D960,[3]Extended!$B$9:$M$101,12,FALSE)))),0)</f>
        <v>0</v>
      </c>
      <c r="P960" s="116" t="e">
        <f t="shared" si="71"/>
        <v>#VALUE!</v>
      </c>
      <c r="Q960" s="110" t="e">
        <f>O960-#REF!</f>
        <v>#REF!</v>
      </c>
      <c r="W960" s="311"/>
      <c r="X960" s="311"/>
      <c r="Y960" s="311"/>
      <c r="Z960" s="311"/>
      <c r="AA960" s="311"/>
      <c r="AB960" s="311"/>
      <c r="AC960" s="311"/>
      <c r="AT960" s="88" t="str">
        <f t="shared" si="72"/>
        <v>Special Order0</v>
      </c>
      <c r="AU960" s="89" t="str">
        <f t="shared" si="73"/>
        <v>01-1900</v>
      </c>
      <c r="BA960" s="92" t="str">
        <f t="shared" si="74"/>
        <v/>
      </c>
    </row>
    <row r="961" spans="2:53">
      <c r="B961" s="60">
        <f>[2]Trucks!A958</f>
        <v>0</v>
      </c>
      <c r="C961" s="11">
        <f>[2]Trucks!B958</f>
        <v>0</v>
      </c>
      <c r="D961" s="19" t="str">
        <f>IFERROR(VLOOKUP(C961&amp;"",'[2]Retail Price List'!$A$3:$B$103,2,FALSE),"Special Order")</f>
        <v>Special Order</v>
      </c>
      <c r="E961" s="18">
        <f>[2]Trucks!J958</f>
        <v>0</v>
      </c>
      <c r="F961" s="12">
        <f>[2]Trucks!E958</f>
        <v>0</v>
      </c>
      <c r="G961" s="56">
        <f>[2]Trucks!K958</f>
        <v>0</v>
      </c>
      <c r="H961" s="46">
        <f>[2]Trucks!I958</f>
        <v>0</v>
      </c>
      <c r="I961" s="83" t="str">
        <f t="shared" si="70"/>
        <v/>
      </c>
      <c r="J961" s="272" t="str">
        <f>IFERROR(VLOOKUP((D961&amp;C961)&amp;"",'[2]Retail Price List'!$C$4:$F$102,3,FALSE),"")</f>
        <v/>
      </c>
      <c r="K961" s="272">
        <f>IFERROR(IF(BA961="WIP - 30 Days",VLOOKUP(D961,[3]Standard!$B$9:$E$101,4,FALSE),IF(BA961="31-120 Days",VLOOKUP(D961,[3]Standard!$B$9:$F$101,5,FALSE),IF(BA961="121-365 Days",VLOOKUP(D961,[3]Standard!$B$9:$G$101,6,FALSE),VLOOKUP(D961,[3]Standard!$B$9:$H$101,7,FALSE)))),0)</f>
        <v>0</v>
      </c>
      <c r="L961" s="272">
        <f>IFERROR(IF(BA961="WIP - 30 Days",VLOOKUP(D961,[3]Standard!$B$9:$J$101,9,FALSE),IF(BA961="31-120 Days",VLOOKUP(D961,[3]Standard!$B$9:$K$100,10,FALSE),IF(BA961="121-365 Days",VLOOKUP(D961,[3]Standard!$B$9:$L$101,11,FALSE),VLOOKUP(D961,[3]Standard!$B$9:$M$101,12,FALSE)))),0)</f>
        <v>0</v>
      </c>
      <c r="M961" s="269" t="str">
        <f>IFERROR(VLOOKUP((D961&amp;C961)&amp;"",'[2]Retail Price List'!$C$4:$F$102,4,FALSE),"")</f>
        <v/>
      </c>
      <c r="N961" s="269">
        <f>IFERROR(IF(BA961="WIP - 30 Days",VLOOKUP(D961,[3]Extended!$B$9:$E$101,4,FALSE),IF(BA961="31-120 Days",VLOOKUP(D961,[3]Extended!$B$9:$F$101,5,FALSE),IF(BA961="121-365 Days",VLOOKUP(D961,[3]Extended!$B$9:$G$101,6,FALSE),VLOOKUP(D961,[3]Extended!$B$9:$H$101,7,FALSE)))),0)</f>
        <v>0</v>
      </c>
      <c r="O961" s="269">
        <f>IFERROR(IF(BA961="WIP - 30 Days",VLOOKUP(D961,[3]Extended!$B$9:$J$101,9,FALSE),IF(BA961="31-120 Days",VLOOKUP(D961,[3]Extended!$B$9:$K$101,10,FALSE),IF(BA961="121-365 Days",VLOOKUP(D961,[3]Extended!$B$9:$L$101,11,FALSE),VLOOKUP(D961,[3]Extended!$B$9:$M$101,12,FALSE)))),0)</f>
        <v>0</v>
      </c>
      <c r="P961" s="116" t="e">
        <f t="shared" si="71"/>
        <v>#VALUE!</v>
      </c>
      <c r="Q961" s="110" t="e">
        <f>O961-#REF!</f>
        <v>#REF!</v>
      </c>
      <c r="W961" s="311"/>
      <c r="X961" s="311"/>
      <c r="Y961" s="311"/>
      <c r="Z961" s="311"/>
      <c r="AA961" s="311"/>
      <c r="AB961" s="311"/>
      <c r="AC961" s="311"/>
      <c r="AT961" s="88" t="str">
        <f t="shared" si="72"/>
        <v>Special Order0</v>
      </c>
      <c r="AU961" s="89" t="str">
        <f t="shared" si="73"/>
        <v>01-1900</v>
      </c>
      <c r="BA961" s="92" t="str">
        <f t="shared" si="74"/>
        <v/>
      </c>
    </row>
    <row r="962" spans="2:53">
      <c r="B962" s="60">
        <f>[2]Trucks!A959</f>
        <v>0</v>
      </c>
      <c r="C962" s="11">
        <f>[2]Trucks!B959</f>
        <v>0</v>
      </c>
      <c r="D962" s="19" t="str">
        <f>IFERROR(VLOOKUP(C962&amp;"",'[2]Retail Price List'!$A$3:$B$103,2,FALSE),"Special Order")</f>
        <v>Special Order</v>
      </c>
      <c r="E962" s="18">
        <f>[2]Trucks!J959</f>
        <v>0</v>
      </c>
      <c r="F962" s="12">
        <f>[2]Trucks!E959</f>
        <v>0</v>
      </c>
      <c r="G962" s="56">
        <f>[2]Trucks!K959</f>
        <v>0</v>
      </c>
      <c r="H962" s="46">
        <f>[2]Trucks!I959</f>
        <v>0</v>
      </c>
      <c r="I962" s="83" t="str">
        <f t="shared" si="70"/>
        <v/>
      </c>
      <c r="J962" s="272" t="str">
        <f>IFERROR(VLOOKUP((D962&amp;C962)&amp;"",'[2]Retail Price List'!$C$4:$F$102,3,FALSE),"")</f>
        <v/>
      </c>
      <c r="K962" s="272">
        <f>IFERROR(IF(BA962="WIP - 30 Days",VLOOKUP(D962,[3]Standard!$B$9:$E$101,4,FALSE),IF(BA962="31-120 Days",VLOOKUP(D962,[3]Standard!$B$9:$F$101,5,FALSE),IF(BA962="121-365 Days",VLOOKUP(D962,[3]Standard!$B$9:$G$101,6,FALSE),VLOOKUP(D962,[3]Standard!$B$9:$H$101,7,FALSE)))),0)</f>
        <v>0</v>
      </c>
      <c r="L962" s="272">
        <f>IFERROR(IF(BA962="WIP - 30 Days",VLOOKUP(D962,[3]Standard!$B$9:$J$101,9,FALSE),IF(BA962="31-120 Days",VLOOKUP(D962,[3]Standard!$B$9:$K$100,10,FALSE),IF(BA962="121-365 Days",VLOOKUP(D962,[3]Standard!$B$9:$L$101,11,FALSE),VLOOKUP(D962,[3]Standard!$B$9:$M$101,12,FALSE)))),0)</f>
        <v>0</v>
      </c>
      <c r="M962" s="269" t="str">
        <f>IFERROR(VLOOKUP((D962&amp;C962)&amp;"",'[2]Retail Price List'!$C$4:$F$102,4,FALSE),"")</f>
        <v/>
      </c>
      <c r="N962" s="269">
        <f>IFERROR(IF(BA962="WIP - 30 Days",VLOOKUP(D962,[3]Extended!$B$9:$E$101,4,FALSE),IF(BA962="31-120 Days",VLOOKUP(D962,[3]Extended!$B$9:$F$101,5,FALSE),IF(BA962="121-365 Days",VLOOKUP(D962,[3]Extended!$B$9:$G$101,6,FALSE),VLOOKUP(D962,[3]Extended!$B$9:$H$101,7,FALSE)))),0)</f>
        <v>0</v>
      </c>
      <c r="O962" s="269">
        <f>IFERROR(IF(BA962="WIP - 30 Days",VLOOKUP(D962,[3]Extended!$B$9:$J$101,9,FALSE),IF(BA962="31-120 Days",VLOOKUP(D962,[3]Extended!$B$9:$K$101,10,FALSE),IF(BA962="121-365 Days",VLOOKUP(D962,[3]Extended!$B$9:$L$101,11,FALSE),VLOOKUP(D962,[3]Extended!$B$9:$M$101,12,FALSE)))),0)</f>
        <v>0</v>
      </c>
      <c r="P962" s="116" t="e">
        <f t="shared" si="71"/>
        <v>#VALUE!</v>
      </c>
      <c r="Q962" s="110" t="e">
        <f>O962-#REF!</f>
        <v>#REF!</v>
      </c>
      <c r="W962" s="311"/>
      <c r="X962" s="311"/>
      <c r="Y962" s="311"/>
      <c r="Z962" s="311"/>
      <c r="AA962" s="311"/>
      <c r="AB962" s="311"/>
      <c r="AC962" s="311"/>
      <c r="AT962" s="88" t="str">
        <f t="shared" si="72"/>
        <v>Special Order0</v>
      </c>
      <c r="AU962" s="89" t="str">
        <f t="shared" si="73"/>
        <v>01-1900</v>
      </c>
      <c r="BA962" s="92" t="str">
        <f t="shared" si="74"/>
        <v/>
      </c>
    </row>
    <row r="963" spans="2:53">
      <c r="B963" s="60">
        <f>[2]Trucks!A960</f>
        <v>0</v>
      </c>
      <c r="C963" s="11">
        <f>[2]Trucks!B960</f>
        <v>0</v>
      </c>
      <c r="D963" s="19" t="str">
        <f>IFERROR(VLOOKUP(C963&amp;"",'[2]Retail Price List'!$A$3:$B$103,2,FALSE),"Special Order")</f>
        <v>Special Order</v>
      </c>
      <c r="E963" s="18">
        <f>[2]Trucks!J960</f>
        <v>0</v>
      </c>
      <c r="F963" s="12">
        <f>[2]Trucks!E960</f>
        <v>0</v>
      </c>
      <c r="G963" s="56">
        <f>[2]Trucks!K960</f>
        <v>0</v>
      </c>
      <c r="H963" s="46">
        <f>[2]Trucks!I960</f>
        <v>0</v>
      </c>
      <c r="I963" s="83" t="str">
        <f t="shared" si="70"/>
        <v/>
      </c>
      <c r="J963" s="272" t="str">
        <f>IFERROR(VLOOKUP((D963&amp;C963)&amp;"",'[2]Retail Price List'!$C$4:$F$102,3,FALSE),"")</f>
        <v/>
      </c>
      <c r="K963" s="272">
        <f>IFERROR(IF(BA963="WIP - 30 Days",VLOOKUP(D963,[3]Standard!$B$9:$E$101,4,FALSE),IF(BA963="31-120 Days",VLOOKUP(D963,[3]Standard!$B$9:$F$101,5,FALSE),IF(BA963="121-365 Days",VLOOKUP(D963,[3]Standard!$B$9:$G$101,6,FALSE),VLOOKUP(D963,[3]Standard!$B$9:$H$101,7,FALSE)))),0)</f>
        <v>0</v>
      </c>
      <c r="L963" s="272">
        <f>IFERROR(IF(BA963="WIP - 30 Days",VLOOKUP(D963,[3]Standard!$B$9:$J$101,9,FALSE),IF(BA963="31-120 Days",VLOOKUP(D963,[3]Standard!$B$9:$K$100,10,FALSE),IF(BA963="121-365 Days",VLOOKUP(D963,[3]Standard!$B$9:$L$101,11,FALSE),VLOOKUP(D963,[3]Standard!$B$9:$M$101,12,FALSE)))),0)</f>
        <v>0</v>
      </c>
      <c r="M963" s="269" t="str">
        <f>IFERROR(VLOOKUP((D963&amp;C963)&amp;"",'[2]Retail Price List'!$C$4:$F$102,4,FALSE),"")</f>
        <v/>
      </c>
      <c r="N963" s="269">
        <f>IFERROR(IF(BA963="WIP - 30 Days",VLOOKUP(D963,[3]Extended!$B$9:$E$101,4,FALSE),IF(BA963="31-120 Days",VLOOKUP(D963,[3]Extended!$B$9:$F$101,5,FALSE),IF(BA963="121-365 Days",VLOOKUP(D963,[3]Extended!$B$9:$G$101,6,FALSE),VLOOKUP(D963,[3]Extended!$B$9:$H$101,7,FALSE)))),0)</f>
        <v>0</v>
      </c>
      <c r="O963" s="269">
        <f>IFERROR(IF(BA963="WIP - 30 Days",VLOOKUP(D963,[3]Extended!$B$9:$J$101,9,FALSE),IF(BA963="31-120 Days",VLOOKUP(D963,[3]Extended!$B$9:$K$101,10,FALSE),IF(BA963="121-365 Days",VLOOKUP(D963,[3]Extended!$B$9:$L$101,11,FALSE),VLOOKUP(D963,[3]Extended!$B$9:$M$101,12,FALSE)))),0)</f>
        <v>0</v>
      </c>
      <c r="P963" s="116" t="e">
        <f t="shared" si="71"/>
        <v>#VALUE!</v>
      </c>
      <c r="Q963" s="110" t="e">
        <f>O963-#REF!</f>
        <v>#REF!</v>
      </c>
      <c r="W963" s="311"/>
      <c r="X963" s="311"/>
      <c r="Y963" s="311"/>
      <c r="Z963" s="311"/>
      <c r="AA963" s="311"/>
      <c r="AB963" s="311"/>
      <c r="AC963" s="311"/>
      <c r="AT963" s="88" t="str">
        <f t="shared" si="72"/>
        <v>Special Order0</v>
      </c>
      <c r="AU963" s="89" t="str">
        <f t="shared" si="73"/>
        <v>01-1900</v>
      </c>
      <c r="BA963" s="92" t="str">
        <f t="shared" si="74"/>
        <v/>
      </c>
    </row>
    <row r="964" spans="2:53">
      <c r="B964" s="60">
        <f>[2]Trucks!A961</f>
        <v>0</v>
      </c>
      <c r="C964" s="11">
        <f>[2]Trucks!B961</f>
        <v>0</v>
      </c>
      <c r="D964" s="19" t="str">
        <f>IFERROR(VLOOKUP(C964&amp;"",'[2]Retail Price List'!$A$3:$B$103,2,FALSE),"Special Order")</f>
        <v>Special Order</v>
      </c>
      <c r="E964" s="18">
        <f>[2]Trucks!J961</f>
        <v>0</v>
      </c>
      <c r="F964" s="12">
        <f>[2]Trucks!E961</f>
        <v>0</v>
      </c>
      <c r="G964" s="56">
        <f>[2]Trucks!K961</f>
        <v>0</v>
      </c>
      <c r="H964" s="46">
        <f>[2]Trucks!I961</f>
        <v>0</v>
      </c>
      <c r="I964" s="83" t="str">
        <f t="shared" si="70"/>
        <v/>
      </c>
      <c r="J964" s="272" t="str">
        <f>IFERROR(VLOOKUP((D964&amp;C964)&amp;"",'[2]Retail Price List'!$C$4:$F$102,3,FALSE),"")</f>
        <v/>
      </c>
      <c r="K964" s="272">
        <f>IFERROR(IF(BA964="WIP - 30 Days",VLOOKUP(D964,[3]Standard!$B$9:$E$101,4,FALSE),IF(BA964="31-120 Days",VLOOKUP(D964,[3]Standard!$B$9:$F$101,5,FALSE),IF(BA964="121-365 Days",VLOOKUP(D964,[3]Standard!$B$9:$G$101,6,FALSE),VLOOKUP(D964,[3]Standard!$B$9:$H$101,7,FALSE)))),0)</f>
        <v>0</v>
      </c>
      <c r="L964" s="272">
        <f>IFERROR(IF(BA964="WIP - 30 Days",VLOOKUP(D964,[3]Standard!$B$9:$J$101,9,FALSE),IF(BA964="31-120 Days",VLOOKUP(D964,[3]Standard!$B$9:$K$100,10,FALSE),IF(BA964="121-365 Days",VLOOKUP(D964,[3]Standard!$B$9:$L$101,11,FALSE),VLOOKUP(D964,[3]Standard!$B$9:$M$101,12,FALSE)))),0)</f>
        <v>0</v>
      </c>
      <c r="M964" s="269" t="str">
        <f>IFERROR(VLOOKUP((D964&amp;C964)&amp;"",'[2]Retail Price List'!$C$4:$F$102,4,FALSE),"")</f>
        <v/>
      </c>
      <c r="N964" s="269">
        <f>IFERROR(IF(BA964="WIP - 30 Days",VLOOKUP(D964,[3]Extended!$B$9:$E$101,4,FALSE),IF(BA964="31-120 Days",VLOOKUP(D964,[3]Extended!$B$9:$F$101,5,FALSE),IF(BA964="121-365 Days",VLOOKUP(D964,[3]Extended!$B$9:$G$101,6,FALSE),VLOOKUP(D964,[3]Extended!$B$9:$H$101,7,FALSE)))),0)</f>
        <v>0</v>
      </c>
      <c r="O964" s="269">
        <f>IFERROR(IF(BA964="WIP - 30 Days",VLOOKUP(D964,[3]Extended!$B$9:$J$101,9,FALSE),IF(BA964="31-120 Days",VLOOKUP(D964,[3]Extended!$B$9:$K$101,10,FALSE),IF(BA964="121-365 Days",VLOOKUP(D964,[3]Extended!$B$9:$L$101,11,FALSE),VLOOKUP(D964,[3]Extended!$B$9:$M$101,12,FALSE)))),0)</f>
        <v>0</v>
      </c>
      <c r="P964" s="116" t="e">
        <f t="shared" si="71"/>
        <v>#VALUE!</v>
      </c>
      <c r="Q964" s="110" t="e">
        <f>O964-#REF!</f>
        <v>#REF!</v>
      </c>
      <c r="W964" s="311"/>
      <c r="X964" s="311"/>
      <c r="Y964" s="311"/>
      <c r="Z964" s="311"/>
      <c r="AA964" s="311"/>
      <c r="AB964" s="311"/>
      <c r="AC964" s="311"/>
      <c r="AT964" s="88" t="str">
        <f t="shared" si="72"/>
        <v>Special Order0</v>
      </c>
      <c r="AU964" s="89" t="str">
        <f t="shared" si="73"/>
        <v>01-1900</v>
      </c>
      <c r="BA964" s="92" t="str">
        <f t="shared" si="74"/>
        <v/>
      </c>
    </row>
    <row r="965" spans="2:53">
      <c r="B965" s="60">
        <f>[2]Trucks!A962</f>
        <v>0</v>
      </c>
      <c r="C965" s="11">
        <f>[2]Trucks!B962</f>
        <v>0</v>
      </c>
      <c r="D965" s="19" t="str">
        <f>IFERROR(VLOOKUP(C965&amp;"",'[2]Retail Price List'!$A$3:$B$103,2,FALSE),"Special Order")</f>
        <v>Special Order</v>
      </c>
      <c r="E965" s="18">
        <f>[2]Trucks!J962</f>
        <v>0</v>
      </c>
      <c r="F965" s="12">
        <f>[2]Trucks!E962</f>
        <v>0</v>
      </c>
      <c r="G965" s="56">
        <f>[2]Trucks!K962</f>
        <v>0</v>
      </c>
      <c r="H965" s="46">
        <f>[2]Trucks!I962</f>
        <v>0</v>
      </c>
      <c r="I965" s="83" t="str">
        <f t="shared" ref="I965:I1028" si="75">IFERROR(VLOOKUP(AU965,$AW$5:$AY$40,3,FALSE),"")</f>
        <v/>
      </c>
      <c r="J965" s="272" t="str">
        <f>IFERROR(VLOOKUP((D965&amp;C965)&amp;"",'[2]Retail Price List'!$C$4:$F$102,3,FALSE),"")</f>
        <v/>
      </c>
      <c r="K965" s="272">
        <f>IFERROR(IF(BA965="WIP - 30 Days",VLOOKUP(D965,[3]Standard!$B$9:$E$101,4,FALSE),IF(BA965="31-120 Days",VLOOKUP(D965,[3]Standard!$B$9:$F$101,5,FALSE),IF(BA965="121-365 Days",VLOOKUP(D965,[3]Standard!$B$9:$G$101,6,FALSE),VLOOKUP(D965,[3]Standard!$B$9:$H$101,7,FALSE)))),0)</f>
        <v>0</v>
      </c>
      <c r="L965" s="272">
        <f>IFERROR(IF(BA965="WIP - 30 Days",VLOOKUP(D965,[3]Standard!$B$9:$J$101,9,FALSE),IF(BA965="31-120 Days",VLOOKUP(D965,[3]Standard!$B$9:$K$100,10,FALSE),IF(BA965="121-365 Days",VLOOKUP(D965,[3]Standard!$B$9:$L$101,11,FALSE),VLOOKUP(D965,[3]Standard!$B$9:$M$101,12,FALSE)))),0)</f>
        <v>0</v>
      </c>
      <c r="M965" s="269" t="str">
        <f>IFERROR(VLOOKUP((D965&amp;C965)&amp;"",'[2]Retail Price List'!$C$4:$F$102,4,FALSE),"")</f>
        <v/>
      </c>
      <c r="N965" s="269">
        <f>IFERROR(IF(BA965="WIP - 30 Days",VLOOKUP(D965,[3]Extended!$B$9:$E$101,4,FALSE),IF(BA965="31-120 Days",VLOOKUP(D965,[3]Extended!$B$9:$F$101,5,FALSE),IF(BA965="121-365 Days",VLOOKUP(D965,[3]Extended!$B$9:$G$101,6,FALSE),VLOOKUP(D965,[3]Extended!$B$9:$H$101,7,FALSE)))),0)</f>
        <v>0</v>
      </c>
      <c r="O965" s="269">
        <f>IFERROR(IF(BA965="WIP - 30 Days",VLOOKUP(D965,[3]Extended!$B$9:$J$101,9,FALSE),IF(BA965="31-120 Days",VLOOKUP(D965,[3]Extended!$B$9:$K$101,10,FALSE),IF(BA965="121-365 Days",VLOOKUP(D965,[3]Extended!$B$9:$L$101,11,FALSE),VLOOKUP(D965,[3]Extended!$B$9:$M$101,12,FALSE)))),0)</f>
        <v>0</v>
      </c>
      <c r="P965" s="116" t="e">
        <f t="shared" ref="P965:P1028" si="76">(M965-O965)/M965</f>
        <v>#VALUE!</v>
      </c>
      <c r="Q965" s="110" t="e">
        <f>O965-#REF!</f>
        <v>#REF!</v>
      </c>
      <c r="W965" s="311"/>
      <c r="X965" s="311"/>
      <c r="Y965" s="311"/>
      <c r="Z965" s="311"/>
      <c r="AA965" s="311"/>
      <c r="AB965" s="311"/>
      <c r="AC965" s="311"/>
      <c r="AT965" s="88" t="str">
        <f t="shared" ref="AT965:AT1028" si="77">D965&amp;I965&amp;G965</f>
        <v>Special Order0</v>
      </c>
      <c r="AU965" s="89" t="str">
        <f t="shared" ref="AU965:AU1028" si="78">IF(MONTH(H965)&lt;10,0&amp;MONTH(H965)&amp;"-"&amp;YEAR(H965),MONTH(H965)&amp;"-"&amp;YEAR(H965))</f>
        <v>01-1900</v>
      </c>
      <c r="BA965" s="92" t="str">
        <f t="shared" ref="BA965:BA1028" si="79">IF(B965=0,"",IF(AND(F965&gt;=31,F965&lt;=120),"31-120 Days",IF(AND(F965&gt;=121,F965&lt;=365),"121-365 Days",IF(OR(E965="CKD",F965&lt;=30),"WIP - 30 Days","&gt;365 Days"))))</f>
        <v/>
      </c>
    </row>
    <row r="966" spans="2:53">
      <c r="B966" s="60">
        <f>[2]Trucks!A963</f>
        <v>0</v>
      </c>
      <c r="C966" s="11">
        <f>[2]Trucks!B963</f>
        <v>0</v>
      </c>
      <c r="D966" s="19" t="str">
        <f>IFERROR(VLOOKUP(C966&amp;"",'[2]Retail Price List'!$A$3:$B$103,2,FALSE),"Special Order")</f>
        <v>Special Order</v>
      </c>
      <c r="E966" s="18">
        <f>[2]Trucks!J963</f>
        <v>0</v>
      </c>
      <c r="F966" s="12">
        <f>[2]Trucks!E963</f>
        <v>0</v>
      </c>
      <c r="G966" s="56">
        <f>[2]Trucks!K963</f>
        <v>0</v>
      </c>
      <c r="H966" s="46">
        <f>[2]Trucks!I963</f>
        <v>0</v>
      </c>
      <c r="I966" s="83" t="str">
        <f t="shared" si="75"/>
        <v/>
      </c>
      <c r="J966" s="272" t="str">
        <f>IFERROR(VLOOKUP((D966&amp;C966)&amp;"",'[2]Retail Price List'!$C$4:$F$102,3,FALSE),"")</f>
        <v/>
      </c>
      <c r="K966" s="272">
        <f>IFERROR(IF(BA966="WIP - 30 Days",VLOOKUP(D966,[3]Standard!$B$9:$E$101,4,FALSE),IF(BA966="31-120 Days",VLOOKUP(D966,[3]Standard!$B$9:$F$101,5,FALSE),IF(BA966="121-365 Days",VLOOKUP(D966,[3]Standard!$B$9:$G$101,6,FALSE),VLOOKUP(D966,[3]Standard!$B$9:$H$101,7,FALSE)))),0)</f>
        <v>0</v>
      </c>
      <c r="L966" s="272">
        <f>IFERROR(IF(BA966="WIP - 30 Days",VLOOKUP(D966,[3]Standard!$B$9:$J$101,9,FALSE),IF(BA966="31-120 Days",VLOOKUP(D966,[3]Standard!$B$9:$K$100,10,FALSE),IF(BA966="121-365 Days",VLOOKUP(D966,[3]Standard!$B$9:$L$101,11,FALSE),VLOOKUP(D966,[3]Standard!$B$9:$M$101,12,FALSE)))),0)</f>
        <v>0</v>
      </c>
      <c r="M966" s="269" t="str">
        <f>IFERROR(VLOOKUP((D966&amp;C966)&amp;"",'[2]Retail Price List'!$C$4:$F$102,4,FALSE),"")</f>
        <v/>
      </c>
      <c r="N966" s="269">
        <f>IFERROR(IF(BA966="WIP - 30 Days",VLOOKUP(D966,[3]Extended!$B$9:$E$101,4,FALSE),IF(BA966="31-120 Days",VLOOKUP(D966,[3]Extended!$B$9:$F$101,5,FALSE),IF(BA966="121-365 Days",VLOOKUP(D966,[3]Extended!$B$9:$G$101,6,FALSE),VLOOKUP(D966,[3]Extended!$B$9:$H$101,7,FALSE)))),0)</f>
        <v>0</v>
      </c>
      <c r="O966" s="269">
        <f>IFERROR(IF(BA966="WIP - 30 Days",VLOOKUP(D966,[3]Extended!$B$9:$J$101,9,FALSE),IF(BA966="31-120 Days",VLOOKUP(D966,[3]Extended!$B$9:$K$101,10,FALSE),IF(BA966="121-365 Days",VLOOKUP(D966,[3]Extended!$B$9:$L$101,11,FALSE),VLOOKUP(D966,[3]Extended!$B$9:$M$101,12,FALSE)))),0)</f>
        <v>0</v>
      </c>
      <c r="P966" s="116" t="e">
        <f t="shared" si="76"/>
        <v>#VALUE!</v>
      </c>
      <c r="Q966" s="110" t="e">
        <f>O966-#REF!</f>
        <v>#REF!</v>
      </c>
      <c r="W966" s="311"/>
      <c r="X966" s="311"/>
      <c r="Y966" s="311"/>
      <c r="Z966" s="311"/>
      <c r="AA966" s="311"/>
      <c r="AB966" s="311"/>
      <c r="AC966" s="311"/>
      <c r="AT966" s="88" t="str">
        <f t="shared" si="77"/>
        <v>Special Order0</v>
      </c>
      <c r="AU966" s="89" t="str">
        <f t="shared" si="78"/>
        <v>01-1900</v>
      </c>
      <c r="BA966" s="92" t="str">
        <f t="shared" si="79"/>
        <v/>
      </c>
    </row>
    <row r="967" spans="2:53">
      <c r="B967" s="60">
        <f>[2]Trucks!A964</f>
        <v>0</v>
      </c>
      <c r="C967" s="11">
        <f>[2]Trucks!B964</f>
        <v>0</v>
      </c>
      <c r="D967" s="19" t="str">
        <f>IFERROR(VLOOKUP(C967&amp;"",'[2]Retail Price List'!$A$3:$B$103,2,FALSE),"Special Order")</f>
        <v>Special Order</v>
      </c>
      <c r="E967" s="18">
        <f>[2]Trucks!J964</f>
        <v>0</v>
      </c>
      <c r="F967" s="12">
        <f>[2]Trucks!E964</f>
        <v>0</v>
      </c>
      <c r="G967" s="56">
        <f>[2]Trucks!K964</f>
        <v>0</v>
      </c>
      <c r="H967" s="46">
        <f>[2]Trucks!I964</f>
        <v>0</v>
      </c>
      <c r="I967" s="83" t="str">
        <f t="shared" si="75"/>
        <v/>
      </c>
      <c r="J967" s="272" t="str">
        <f>IFERROR(VLOOKUP((D967&amp;C967)&amp;"",'[2]Retail Price List'!$C$4:$F$102,3,FALSE),"")</f>
        <v/>
      </c>
      <c r="K967" s="272">
        <f>IFERROR(IF(BA967="WIP - 30 Days",VLOOKUP(D967,[3]Standard!$B$9:$E$101,4,FALSE),IF(BA967="31-120 Days",VLOOKUP(D967,[3]Standard!$B$9:$F$101,5,FALSE),IF(BA967="121-365 Days",VLOOKUP(D967,[3]Standard!$B$9:$G$101,6,FALSE),VLOOKUP(D967,[3]Standard!$B$9:$H$101,7,FALSE)))),0)</f>
        <v>0</v>
      </c>
      <c r="L967" s="272">
        <f>IFERROR(IF(BA967="WIP - 30 Days",VLOOKUP(D967,[3]Standard!$B$9:$J$101,9,FALSE),IF(BA967="31-120 Days",VLOOKUP(D967,[3]Standard!$B$9:$K$100,10,FALSE),IF(BA967="121-365 Days",VLOOKUP(D967,[3]Standard!$B$9:$L$101,11,FALSE),VLOOKUP(D967,[3]Standard!$B$9:$M$101,12,FALSE)))),0)</f>
        <v>0</v>
      </c>
      <c r="M967" s="269" t="str">
        <f>IFERROR(VLOOKUP((D967&amp;C967)&amp;"",'[2]Retail Price List'!$C$4:$F$102,4,FALSE),"")</f>
        <v/>
      </c>
      <c r="N967" s="269">
        <f>IFERROR(IF(BA967="WIP - 30 Days",VLOOKUP(D967,[3]Extended!$B$9:$E$101,4,FALSE),IF(BA967="31-120 Days",VLOOKUP(D967,[3]Extended!$B$9:$F$101,5,FALSE),IF(BA967="121-365 Days",VLOOKUP(D967,[3]Extended!$B$9:$G$101,6,FALSE),VLOOKUP(D967,[3]Extended!$B$9:$H$101,7,FALSE)))),0)</f>
        <v>0</v>
      </c>
      <c r="O967" s="269">
        <f>IFERROR(IF(BA967="WIP - 30 Days",VLOOKUP(D967,[3]Extended!$B$9:$J$101,9,FALSE),IF(BA967="31-120 Days",VLOOKUP(D967,[3]Extended!$B$9:$K$101,10,FALSE),IF(BA967="121-365 Days",VLOOKUP(D967,[3]Extended!$B$9:$L$101,11,FALSE),VLOOKUP(D967,[3]Extended!$B$9:$M$101,12,FALSE)))),0)</f>
        <v>0</v>
      </c>
      <c r="P967" s="116" t="e">
        <f t="shared" si="76"/>
        <v>#VALUE!</v>
      </c>
      <c r="Q967" s="110" t="e">
        <f>O967-#REF!</f>
        <v>#REF!</v>
      </c>
      <c r="W967" s="311"/>
      <c r="X967" s="311"/>
      <c r="Y967" s="311"/>
      <c r="Z967" s="311"/>
      <c r="AA967" s="311"/>
      <c r="AB967" s="311"/>
      <c r="AC967" s="311"/>
      <c r="AT967" s="88" t="str">
        <f t="shared" si="77"/>
        <v>Special Order0</v>
      </c>
      <c r="AU967" s="89" t="str">
        <f t="shared" si="78"/>
        <v>01-1900</v>
      </c>
      <c r="BA967" s="92" t="str">
        <f t="shared" si="79"/>
        <v/>
      </c>
    </row>
    <row r="968" spans="2:53">
      <c r="B968" s="60">
        <f>[2]Trucks!A965</f>
        <v>0</v>
      </c>
      <c r="C968" s="11">
        <f>[2]Trucks!B965</f>
        <v>0</v>
      </c>
      <c r="D968" s="19" t="str">
        <f>IFERROR(VLOOKUP(C968&amp;"",'[2]Retail Price List'!$A$3:$B$103,2,FALSE),"Special Order")</f>
        <v>Special Order</v>
      </c>
      <c r="E968" s="18">
        <f>[2]Trucks!J965</f>
        <v>0</v>
      </c>
      <c r="F968" s="12">
        <f>[2]Trucks!E965</f>
        <v>0</v>
      </c>
      <c r="G968" s="56">
        <f>[2]Trucks!K965</f>
        <v>0</v>
      </c>
      <c r="H968" s="46">
        <f>[2]Trucks!I965</f>
        <v>0</v>
      </c>
      <c r="I968" s="83" t="str">
        <f t="shared" si="75"/>
        <v/>
      </c>
      <c r="J968" s="272" t="str">
        <f>IFERROR(VLOOKUP((D968&amp;C968)&amp;"",'[2]Retail Price List'!$C$4:$F$102,3,FALSE),"")</f>
        <v/>
      </c>
      <c r="K968" s="272">
        <f>IFERROR(IF(BA968="WIP - 30 Days",VLOOKUP(D968,[3]Standard!$B$9:$E$101,4,FALSE),IF(BA968="31-120 Days",VLOOKUP(D968,[3]Standard!$B$9:$F$101,5,FALSE),IF(BA968="121-365 Days",VLOOKUP(D968,[3]Standard!$B$9:$G$101,6,FALSE),VLOOKUP(D968,[3]Standard!$B$9:$H$101,7,FALSE)))),0)</f>
        <v>0</v>
      </c>
      <c r="L968" s="272">
        <f>IFERROR(IF(BA968="WIP - 30 Days",VLOOKUP(D968,[3]Standard!$B$9:$J$101,9,FALSE),IF(BA968="31-120 Days",VLOOKUP(D968,[3]Standard!$B$9:$K$100,10,FALSE),IF(BA968="121-365 Days",VLOOKUP(D968,[3]Standard!$B$9:$L$101,11,FALSE),VLOOKUP(D968,[3]Standard!$B$9:$M$101,12,FALSE)))),0)</f>
        <v>0</v>
      </c>
      <c r="M968" s="269" t="str">
        <f>IFERROR(VLOOKUP((D968&amp;C968)&amp;"",'[2]Retail Price List'!$C$4:$F$102,4,FALSE),"")</f>
        <v/>
      </c>
      <c r="N968" s="269">
        <f>IFERROR(IF(BA968="WIP - 30 Days",VLOOKUP(D968,[3]Extended!$B$9:$E$101,4,FALSE),IF(BA968="31-120 Days",VLOOKUP(D968,[3]Extended!$B$9:$F$101,5,FALSE),IF(BA968="121-365 Days",VLOOKUP(D968,[3]Extended!$B$9:$G$101,6,FALSE),VLOOKUP(D968,[3]Extended!$B$9:$H$101,7,FALSE)))),0)</f>
        <v>0</v>
      </c>
      <c r="O968" s="269">
        <f>IFERROR(IF(BA968="WIP - 30 Days",VLOOKUP(D968,[3]Extended!$B$9:$J$101,9,FALSE),IF(BA968="31-120 Days",VLOOKUP(D968,[3]Extended!$B$9:$K$101,10,FALSE),IF(BA968="121-365 Days",VLOOKUP(D968,[3]Extended!$B$9:$L$101,11,FALSE),VLOOKUP(D968,[3]Extended!$B$9:$M$101,12,FALSE)))),0)</f>
        <v>0</v>
      </c>
      <c r="P968" s="116" t="e">
        <f t="shared" si="76"/>
        <v>#VALUE!</v>
      </c>
      <c r="Q968" s="110" t="e">
        <f>O968-#REF!</f>
        <v>#REF!</v>
      </c>
      <c r="W968" s="311"/>
      <c r="X968" s="311"/>
      <c r="Y968" s="311"/>
      <c r="Z968" s="311"/>
      <c r="AA968" s="311"/>
      <c r="AB968" s="311"/>
      <c r="AC968" s="311"/>
      <c r="AT968" s="88" t="str">
        <f t="shared" si="77"/>
        <v>Special Order0</v>
      </c>
      <c r="AU968" s="89" t="str">
        <f t="shared" si="78"/>
        <v>01-1900</v>
      </c>
      <c r="BA968" s="92" t="str">
        <f t="shared" si="79"/>
        <v/>
      </c>
    </row>
    <row r="969" spans="2:53">
      <c r="B969" s="60">
        <f>[2]Trucks!A966</f>
        <v>0</v>
      </c>
      <c r="C969" s="11">
        <f>[2]Trucks!B966</f>
        <v>0</v>
      </c>
      <c r="D969" s="19" t="str">
        <f>IFERROR(VLOOKUP(C969&amp;"",'[2]Retail Price List'!$A$3:$B$103,2,FALSE),"Special Order")</f>
        <v>Special Order</v>
      </c>
      <c r="E969" s="18">
        <f>[2]Trucks!J966</f>
        <v>0</v>
      </c>
      <c r="F969" s="12">
        <f>[2]Trucks!E966</f>
        <v>0</v>
      </c>
      <c r="G969" s="56">
        <f>[2]Trucks!K966</f>
        <v>0</v>
      </c>
      <c r="H969" s="46">
        <f>[2]Trucks!I966</f>
        <v>0</v>
      </c>
      <c r="I969" s="83" t="str">
        <f t="shared" si="75"/>
        <v/>
      </c>
      <c r="J969" s="272" t="str">
        <f>IFERROR(VLOOKUP((D969&amp;C969)&amp;"",'[2]Retail Price List'!$C$4:$F$102,3,FALSE),"")</f>
        <v/>
      </c>
      <c r="K969" s="272">
        <f>IFERROR(IF(BA969="WIP - 30 Days",VLOOKUP(D969,[3]Standard!$B$9:$E$101,4,FALSE),IF(BA969="31-120 Days",VLOOKUP(D969,[3]Standard!$B$9:$F$101,5,FALSE),IF(BA969="121-365 Days",VLOOKUP(D969,[3]Standard!$B$9:$G$101,6,FALSE),VLOOKUP(D969,[3]Standard!$B$9:$H$101,7,FALSE)))),0)</f>
        <v>0</v>
      </c>
      <c r="L969" s="272">
        <f>IFERROR(IF(BA969="WIP - 30 Days",VLOOKUP(D969,[3]Standard!$B$9:$J$101,9,FALSE),IF(BA969="31-120 Days",VLOOKUP(D969,[3]Standard!$B$9:$K$100,10,FALSE),IF(BA969="121-365 Days",VLOOKUP(D969,[3]Standard!$B$9:$L$101,11,FALSE),VLOOKUP(D969,[3]Standard!$B$9:$M$101,12,FALSE)))),0)</f>
        <v>0</v>
      </c>
      <c r="M969" s="269" t="str">
        <f>IFERROR(VLOOKUP((D969&amp;C969)&amp;"",'[2]Retail Price List'!$C$4:$F$102,4,FALSE),"")</f>
        <v/>
      </c>
      <c r="N969" s="269">
        <f>IFERROR(IF(BA969="WIP - 30 Days",VLOOKUP(D969,[3]Extended!$B$9:$E$101,4,FALSE),IF(BA969="31-120 Days",VLOOKUP(D969,[3]Extended!$B$9:$F$101,5,FALSE),IF(BA969="121-365 Days",VLOOKUP(D969,[3]Extended!$B$9:$G$101,6,FALSE),VLOOKUP(D969,[3]Extended!$B$9:$H$101,7,FALSE)))),0)</f>
        <v>0</v>
      </c>
      <c r="O969" s="269">
        <f>IFERROR(IF(BA969="WIP - 30 Days",VLOOKUP(D969,[3]Extended!$B$9:$J$101,9,FALSE),IF(BA969="31-120 Days",VLOOKUP(D969,[3]Extended!$B$9:$K$101,10,FALSE),IF(BA969="121-365 Days",VLOOKUP(D969,[3]Extended!$B$9:$L$101,11,FALSE),VLOOKUP(D969,[3]Extended!$B$9:$M$101,12,FALSE)))),0)</f>
        <v>0</v>
      </c>
      <c r="P969" s="116" t="e">
        <f t="shared" si="76"/>
        <v>#VALUE!</v>
      </c>
      <c r="Q969" s="110" t="e">
        <f>O969-#REF!</f>
        <v>#REF!</v>
      </c>
      <c r="W969" s="311"/>
      <c r="X969" s="311"/>
      <c r="Y969" s="311"/>
      <c r="Z969" s="311"/>
      <c r="AA969" s="311"/>
      <c r="AB969" s="311"/>
      <c r="AC969" s="311"/>
      <c r="AT969" s="88" t="str">
        <f t="shared" si="77"/>
        <v>Special Order0</v>
      </c>
      <c r="AU969" s="89" t="str">
        <f t="shared" si="78"/>
        <v>01-1900</v>
      </c>
      <c r="BA969" s="92" t="str">
        <f t="shared" si="79"/>
        <v/>
      </c>
    </row>
    <row r="970" spans="2:53">
      <c r="B970" s="60">
        <f>[2]Trucks!A967</f>
        <v>0</v>
      </c>
      <c r="C970" s="11">
        <f>[2]Trucks!B967</f>
        <v>0</v>
      </c>
      <c r="D970" s="19" t="str">
        <f>IFERROR(VLOOKUP(C970&amp;"",'[2]Retail Price List'!$A$3:$B$103,2,FALSE),"Special Order")</f>
        <v>Special Order</v>
      </c>
      <c r="E970" s="18">
        <f>[2]Trucks!J967</f>
        <v>0</v>
      </c>
      <c r="F970" s="12">
        <f>[2]Trucks!E967</f>
        <v>0</v>
      </c>
      <c r="G970" s="56">
        <f>[2]Trucks!K967</f>
        <v>0</v>
      </c>
      <c r="H970" s="46">
        <f>[2]Trucks!I967</f>
        <v>0</v>
      </c>
      <c r="I970" s="83" t="str">
        <f t="shared" si="75"/>
        <v/>
      </c>
      <c r="J970" s="272" t="str">
        <f>IFERROR(VLOOKUP((D970&amp;C970)&amp;"",'[2]Retail Price List'!$C$4:$F$102,3,FALSE),"")</f>
        <v/>
      </c>
      <c r="K970" s="272">
        <f>IFERROR(IF(BA970="WIP - 30 Days",VLOOKUP(D970,[3]Standard!$B$9:$E$101,4,FALSE),IF(BA970="31-120 Days",VLOOKUP(D970,[3]Standard!$B$9:$F$101,5,FALSE),IF(BA970="121-365 Days",VLOOKUP(D970,[3]Standard!$B$9:$G$101,6,FALSE),VLOOKUP(D970,[3]Standard!$B$9:$H$101,7,FALSE)))),0)</f>
        <v>0</v>
      </c>
      <c r="L970" s="272">
        <f>IFERROR(IF(BA970="WIP - 30 Days",VLOOKUP(D970,[3]Standard!$B$9:$J$101,9,FALSE),IF(BA970="31-120 Days",VLOOKUP(D970,[3]Standard!$B$9:$K$100,10,FALSE),IF(BA970="121-365 Days",VLOOKUP(D970,[3]Standard!$B$9:$L$101,11,FALSE),VLOOKUP(D970,[3]Standard!$B$9:$M$101,12,FALSE)))),0)</f>
        <v>0</v>
      </c>
      <c r="M970" s="269" t="str">
        <f>IFERROR(VLOOKUP((D970&amp;C970)&amp;"",'[2]Retail Price List'!$C$4:$F$102,4,FALSE),"")</f>
        <v/>
      </c>
      <c r="N970" s="269">
        <f>IFERROR(IF(BA970="WIP - 30 Days",VLOOKUP(D970,[3]Extended!$B$9:$E$101,4,FALSE),IF(BA970="31-120 Days",VLOOKUP(D970,[3]Extended!$B$9:$F$101,5,FALSE),IF(BA970="121-365 Days",VLOOKUP(D970,[3]Extended!$B$9:$G$101,6,FALSE),VLOOKUP(D970,[3]Extended!$B$9:$H$101,7,FALSE)))),0)</f>
        <v>0</v>
      </c>
      <c r="O970" s="269">
        <f>IFERROR(IF(BA970="WIP - 30 Days",VLOOKUP(D970,[3]Extended!$B$9:$J$101,9,FALSE),IF(BA970="31-120 Days",VLOOKUP(D970,[3]Extended!$B$9:$K$101,10,FALSE),IF(BA970="121-365 Days",VLOOKUP(D970,[3]Extended!$B$9:$L$101,11,FALSE),VLOOKUP(D970,[3]Extended!$B$9:$M$101,12,FALSE)))),0)</f>
        <v>0</v>
      </c>
      <c r="P970" s="116" t="e">
        <f t="shared" si="76"/>
        <v>#VALUE!</v>
      </c>
      <c r="Q970" s="110" t="e">
        <f>O970-#REF!</f>
        <v>#REF!</v>
      </c>
      <c r="W970" s="311"/>
      <c r="X970" s="311"/>
      <c r="Y970" s="311"/>
      <c r="Z970" s="311"/>
      <c r="AA970" s="311"/>
      <c r="AB970" s="311"/>
      <c r="AC970" s="311"/>
      <c r="AT970" s="88" t="str">
        <f t="shared" si="77"/>
        <v>Special Order0</v>
      </c>
      <c r="AU970" s="89" t="str">
        <f t="shared" si="78"/>
        <v>01-1900</v>
      </c>
      <c r="BA970" s="92" t="str">
        <f t="shared" si="79"/>
        <v/>
      </c>
    </row>
    <row r="971" spans="2:53">
      <c r="B971" s="60">
        <f>[2]Trucks!A968</f>
        <v>0</v>
      </c>
      <c r="C971" s="11">
        <f>[2]Trucks!B968</f>
        <v>0</v>
      </c>
      <c r="D971" s="19" t="str">
        <f>IFERROR(VLOOKUP(C971&amp;"",'[2]Retail Price List'!$A$3:$B$103,2,FALSE),"Special Order")</f>
        <v>Special Order</v>
      </c>
      <c r="E971" s="18">
        <f>[2]Trucks!J968</f>
        <v>0</v>
      </c>
      <c r="F971" s="12">
        <f>[2]Trucks!E968</f>
        <v>0</v>
      </c>
      <c r="G971" s="56">
        <f>[2]Trucks!K968</f>
        <v>0</v>
      </c>
      <c r="H971" s="46">
        <f>[2]Trucks!I968</f>
        <v>0</v>
      </c>
      <c r="I971" s="83" t="str">
        <f t="shared" si="75"/>
        <v/>
      </c>
      <c r="J971" s="272" t="str">
        <f>IFERROR(VLOOKUP((D971&amp;C971)&amp;"",'[2]Retail Price List'!$C$4:$F$102,3,FALSE),"")</f>
        <v/>
      </c>
      <c r="K971" s="272">
        <f>IFERROR(IF(BA971="WIP - 30 Days",VLOOKUP(D971,[3]Standard!$B$9:$E$101,4,FALSE),IF(BA971="31-120 Days",VLOOKUP(D971,[3]Standard!$B$9:$F$101,5,FALSE),IF(BA971="121-365 Days",VLOOKUP(D971,[3]Standard!$B$9:$G$101,6,FALSE),VLOOKUP(D971,[3]Standard!$B$9:$H$101,7,FALSE)))),0)</f>
        <v>0</v>
      </c>
      <c r="L971" s="272">
        <f>IFERROR(IF(BA971="WIP - 30 Days",VLOOKUP(D971,[3]Standard!$B$9:$J$101,9,FALSE),IF(BA971="31-120 Days",VLOOKUP(D971,[3]Standard!$B$9:$K$100,10,FALSE),IF(BA971="121-365 Days",VLOOKUP(D971,[3]Standard!$B$9:$L$101,11,FALSE),VLOOKUP(D971,[3]Standard!$B$9:$M$101,12,FALSE)))),0)</f>
        <v>0</v>
      </c>
      <c r="M971" s="269" t="str">
        <f>IFERROR(VLOOKUP((D971&amp;C971)&amp;"",'[2]Retail Price List'!$C$4:$F$102,4,FALSE),"")</f>
        <v/>
      </c>
      <c r="N971" s="269">
        <f>IFERROR(IF(BA971="WIP - 30 Days",VLOOKUP(D971,[3]Extended!$B$9:$E$101,4,FALSE),IF(BA971="31-120 Days",VLOOKUP(D971,[3]Extended!$B$9:$F$101,5,FALSE),IF(BA971="121-365 Days",VLOOKUP(D971,[3]Extended!$B$9:$G$101,6,FALSE),VLOOKUP(D971,[3]Extended!$B$9:$H$101,7,FALSE)))),0)</f>
        <v>0</v>
      </c>
      <c r="O971" s="269">
        <f>IFERROR(IF(BA971="WIP - 30 Days",VLOOKUP(D971,[3]Extended!$B$9:$J$101,9,FALSE),IF(BA971="31-120 Days",VLOOKUP(D971,[3]Extended!$B$9:$K$101,10,FALSE),IF(BA971="121-365 Days",VLOOKUP(D971,[3]Extended!$B$9:$L$101,11,FALSE),VLOOKUP(D971,[3]Extended!$B$9:$M$101,12,FALSE)))),0)</f>
        <v>0</v>
      </c>
      <c r="P971" s="116" t="e">
        <f t="shared" si="76"/>
        <v>#VALUE!</v>
      </c>
      <c r="Q971" s="110" t="e">
        <f>O971-#REF!</f>
        <v>#REF!</v>
      </c>
      <c r="W971" s="311"/>
      <c r="X971" s="311"/>
      <c r="Y971" s="311"/>
      <c r="Z971" s="311"/>
      <c r="AA971" s="311"/>
      <c r="AB971" s="311"/>
      <c r="AC971" s="311"/>
      <c r="AT971" s="88" t="str">
        <f t="shared" si="77"/>
        <v>Special Order0</v>
      </c>
      <c r="AU971" s="89" t="str">
        <f t="shared" si="78"/>
        <v>01-1900</v>
      </c>
      <c r="BA971" s="92" t="str">
        <f t="shared" si="79"/>
        <v/>
      </c>
    </row>
    <row r="972" spans="2:53">
      <c r="B972" s="60">
        <f>[2]Trucks!A969</f>
        <v>0</v>
      </c>
      <c r="C972" s="11">
        <f>[2]Trucks!B969</f>
        <v>0</v>
      </c>
      <c r="D972" s="19" t="str">
        <f>IFERROR(VLOOKUP(C972&amp;"",'[2]Retail Price List'!$A$3:$B$103,2,FALSE),"Special Order")</f>
        <v>Special Order</v>
      </c>
      <c r="E972" s="18">
        <f>[2]Trucks!J969</f>
        <v>0</v>
      </c>
      <c r="F972" s="12">
        <f>[2]Trucks!E969</f>
        <v>0</v>
      </c>
      <c r="G972" s="56">
        <f>[2]Trucks!K969</f>
        <v>0</v>
      </c>
      <c r="H972" s="46">
        <f>[2]Trucks!I969</f>
        <v>0</v>
      </c>
      <c r="I972" s="83" t="str">
        <f t="shared" si="75"/>
        <v/>
      </c>
      <c r="J972" s="272" t="str">
        <f>IFERROR(VLOOKUP((D972&amp;C972)&amp;"",'[2]Retail Price List'!$C$4:$F$102,3,FALSE),"")</f>
        <v/>
      </c>
      <c r="K972" s="272">
        <f>IFERROR(IF(BA972="WIP - 30 Days",VLOOKUP(D972,[3]Standard!$B$9:$E$101,4,FALSE),IF(BA972="31-120 Days",VLOOKUP(D972,[3]Standard!$B$9:$F$101,5,FALSE),IF(BA972="121-365 Days",VLOOKUP(D972,[3]Standard!$B$9:$G$101,6,FALSE),VLOOKUP(D972,[3]Standard!$B$9:$H$101,7,FALSE)))),0)</f>
        <v>0</v>
      </c>
      <c r="L972" s="272">
        <f>IFERROR(IF(BA972="WIP - 30 Days",VLOOKUP(D972,[3]Standard!$B$9:$J$101,9,FALSE),IF(BA972="31-120 Days",VLOOKUP(D972,[3]Standard!$B$9:$K$100,10,FALSE),IF(BA972="121-365 Days",VLOOKUP(D972,[3]Standard!$B$9:$L$101,11,FALSE),VLOOKUP(D972,[3]Standard!$B$9:$M$101,12,FALSE)))),0)</f>
        <v>0</v>
      </c>
      <c r="M972" s="269" t="str">
        <f>IFERROR(VLOOKUP((D972&amp;C972)&amp;"",'[2]Retail Price List'!$C$4:$F$102,4,FALSE),"")</f>
        <v/>
      </c>
      <c r="N972" s="269">
        <f>IFERROR(IF(BA972="WIP - 30 Days",VLOOKUP(D972,[3]Extended!$B$9:$E$101,4,FALSE),IF(BA972="31-120 Days",VLOOKUP(D972,[3]Extended!$B$9:$F$101,5,FALSE),IF(BA972="121-365 Days",VLOOKUP(D972,[3]Extended!$B$9:$G$101,6,FALSE),VLOOKUP(D972,[3]Extended!$B$9:$H$101,7,FALSE)))),0)</f>
        <v>0</v>
      </c>
      <c r="O972" s="269">
        <f>IFERROR(IF(BA972="WIP - 30 Days",VLOOKUP(D972,[3]Extended!$B$9:$J$101,9,FALSE),IF(BA972="31-120 Days",VLOOKUP(D972,[3]Extended!$B$9:$K$101,10,FALSE),IF(BA972="121-365 Days",VLOOKUP(D972,[3]Extended!$B$9:$L$101,11,FALSE),VLOOKUP(D972,[3]Extended!$B$9:$M$101,12,FALSE)))),0)</f>
        <v>0</v>
      </c>
      <c r="P972" s="116" t="e">
        <f t="shared" si="76"/>
        <v>#VALUE!</v>
      </c>
      <c r="Q972" s="110" t="e">
        <f>O972-#REF!</f>
        <v>#REF!</v>
      </c>
      <c r="W972" s="311"/>
      <c r="X972" s="311"/>
      <c r="Y972" s="311"/>
      <c r="Z972" s="311"/>
      <c r="AA972" s="311"/>
      <c r="AB972" s="311"/>
      <c r="AC972" s="311"/>
      <c r="AT972" s="88" t="str">
        <f t="shared" si="77"/>
        <v>Special Order0</v>
      </c>
      <c r="AU972" s="89" t="str">
        <f t="shared" si="78"/>
        <v>01-1900</v>
      </c>
      <c r="BA972" s="92" t="str">
        <f t="shared" si="79"/>
        <v/>
      </c>
    </row>
    <row r="973" spans="2:53">
      <c r="B973" s="60">
        <f>[2]Trucks!A970</f>
        <v>0</v>
      </c>
      <c r="C973" s="11">
        <f>[2]Trucks!B970</f>
        <v>0</v>
      </c>
      <c r="D973" s="19" t="str">
        <f>IFERROR(VLOOKUP(C973&amp;"",'[2]Retail Price List'!$A$3:$B$103,2,FALSE),"Special Order")</f>
        <v>Special Order</v>
      </c>
      <c r="E973" s="18">
        <f>[2]Trucks!J970</f>
        <v>0</v>
      </c>
      <c r="F973" s="12">
        <f>[2]Trucks!E970</f>
        <v>0</v>
      </c>
      <c r="G973" s="56">
        <f>[2]Trucks!K970</f>
        <v>0</v>
      </c>
      <c r="H973" s="46">
        <f>[2]Trucks!I970</f>
        <v>0</v>
      </c>
      <c r="I973" s="83" t="str">
        <f t="shared" si="75"/>
        <v/>
      </c>
      <c r="J973" s="272" t="str">
        <f>IFERROR(VLOOKUP((D973&amp;C973)&amp;"",'[2]Retail Price List'!$C$4:$F$102,3,FALSE),"")</f>
        <v/>
      </c>
      <c r="K973" s="272">
        <f>IFERROR(IF(BA973="WIP - 30 Days",VLOOKUP(D973,[3]Standard!$B$9:$E$101,4,FALSE),IF(BA973="31-120 Days",VLOOKUP(D973,[3]Standard!$B$9:$F$101,5,FALSE),IF(BA973="121-365 Days",VLOOKUP(D973,[3]Standard!$B$9:$G$101,6,FALSE),VLOOKUP(D973,[3]Standard!$B$9:$H$101,7,FALSE)))),0)</f>
        <v>0</v>
      </c>
      <c r="L973" s="272">
        <f>IFERROR(IF(BA973="WIP - 30 Days",VLOOKUP(D973,[3]Standard!$B$9:$J$101,9,FALSE),IF(BA973="31-120 Days",VLOOKUP(D973,[3]Standard!$B$9:$K$100,10,FALSE),IF(BA973="121-365 Days",VLOOKUP(D973,[3]Standard!$B$9:$L$101,11,FALSE),VLOOKUP(D973,[3]Standard!$B$9:$M$101,12,FALSE)))),0)</f>
        <v>0</v>
      </c>
      <c r="M973" s="269" t="str">
        <f>IFERROR(VLOOKUP((D973&amp;C973)&amp;"",'[2]Retail Price List'!$C$4:$F$102,4,FALSE),"")</f>
        <v/>
      </c>
      <c r="N973" s="269">
        <f>IFERROR(IF(BA973="WIP - 30 Days",VLOOKUP(D973,[3]Extended!$B$9:$E$101,4,FALSE),IF(BA973="31-120 Days",VLOOKUP(D973,[3]Extended!$B$9:$F$101,5,FALSE),IF(BA973="121-365 Days",VLOOKUP(D973,[3]Extended!$B$9:$G$101,6,FALSE),VLOOKUP(D973,[3]Extended!$B$9:$H$101,7,FALSE)))),0)</f>
        <v>0</v>
      </c>
      <c r="O973" s="269">
        <f>IFERROR(IF(BA973="WIP - 30 Days",VLOOKUP(D973,[3]Extended!$B$9:$J$101,9,FALSE),IF(BA973="31-120 Days",VLOOKUP(D973,[3]Extended!$B$9:$K$101,10,FALSE),IF(BA973="121-365 Days",VLOOKUP(D973,[3]Extended!$B$9:$L$101,11,FALSE),VLOOKUP(D973,[3]Extended!$B$9:$M$101,12,FALSE)))),0)</f>
        <v>0</v>
      </c>
      <c r="P973" s="116" t="e">
        <f t="shared" si="76"/>
        <v>#VALUE!</v>
      </c>
      <c r="Q973" s="110" t="e">
        <f>O973-#REF!</f>
        <v>#REF!</v>
      </c>
      <c r="W973" s="311"/>
      <c r="X973" s="311"/>
      <c r="Y973" s="311"/>
      <c r="Z973" s="311"/>
      <c r="AA973" s="311"/>
      <c r="AB973" s="311"/>
      <c r="AC973" s="311"/>
      <c r="AT973" s="88" t="str">
        <f t="shared" si="77"/>
        <v>Special Order0</v>
      </c>
      <c r="AU973" s="89" t="str">
        <f t="shared" si="78"/>
        <v>01-1900</v>
      </c>
      <c r="BA973" s="92" t="str">
        <f t="shared" si="79"/>
        <v/>
      </c>
    </row>
    <row r="974" spans="2:53">
      <c r="B974" s="60">
        <f>[2]Trucks!A971</f>
        <v>0</v>
      </c>
      <c r="C974" s="11">
        <f>[2]Trucks!B971</f>
        <v>0</v>
      </c>
      <c r="D974" s="19" t="str">
        <f>IFERROR(VLOOKUP(C974&amp;"",'[2]Retail Price List'!$A$3:$B$103,2,FALSE),"Special Order")</f>
        <v>Special Order</v>
      </c>
      <c r="E974" s="18">
        <f>[2]Trucks!J971</f>
        <v>0</v>
      </c>
      <c r="F974" s="12">
        <f>[2]Trucks!E971</f>
        <v>0</v>
      </c>
      <c r="G974" s="56">
        <f>[2]Trucks!K971</f>
        <v>0</v>
      </c>
      <c r="H974" s="46">
        <f>[2]Trucks!I971</f>
        <v>0</v>
      </c>
      <c r="I974" s="83" t="str">
        <f t="shared" si="75"/>
        <v/>
      </c>
      <c r="J974" s="272" t="str">
        <f>IFERROR(VLOOKUP((D974&amp;C974)&amp;"",'[2]Retail Price List'!$C$4:$F$102,3,FALSE),"")</f>
        <v/>
      </c>
      <c r="K974" s="272">
        <f>IFERROR(IF(BA974="WIP - 30 Days",VLOOKUP(D974,[3]Standard!$B$9:$E$101,4,FALSE),IF(BA974="31-120 Days",VLOOKUP(D974,[3]Standard!$B$9:$F$101,5,FALSE),IF(BA974="121-365 Days",VLOOKUP(D974,[3]Standard!$B$9:$G$101,6,FALSE),VLOOKUP(D974,[3]Standard!$B$9:$H$101,7,FALSE)))),0)</f>
        <v>0</v>
      </c>
      <c r="L974" s="272">
        <f>IFERROR(IF(BA974="WIP - 30 Days",VLOOKUP(D974,[3]Standard!$B$9:$J$101,9,FALSE),IF(BA974="31-120 Days",VLOOKUP(D974,[3]Standard!$B$9:$K$100,10,FALSE),IF(BA974="121-365 Days",VLOOKUP(D974,[3]Standard!$B$9:$L$101,11,FALSE),VLOOKUP(D974,[3]Standard!$B$9:$M$101,12,FALSE)))),0)</f>
        <v>0</v>
      </c>
      <c r="M974" s="269" t="str">
        <f>IFERROR(VLOOKUP((D974&amp;C974)&amp;"",'[2]Retail Price List'!$C$4:$F$102,4,FALSE),"")</f>
        <v/>
      </c>
      <c r="N974" s="269">
        <f>IFERROR(IF(BA974="WIP - 30 Days",VLOOKUP(D974,[3]Extended!$B$9:$E$101,4,FALSE),IF(BA974="31-120 Days",VLOOKUP(D974,[3]Extended!$B$9:$F$101,5,FALSE),IF(BA974="121-365 Days",VLOOKUP(D974,[3]Extended!$B$9:$G$101,6,FALSE),VLOOKUP(D974,[3]Extended!$B$9:$H$101,7,FALSE)))),0)</f>
        <v>0</v>
      </c>
      <c r="O974" s="269">
        <f>IFERROR(IF(BA974="WIP - 30 Days",VLOOKUP(D974,[3]Extended!$B$9:$J$101,9,FALSE),IF(BA974="31-120 Days",VLOOKUP(D974,[3]Extended!$B$9:$K$101,10,FALSE),IF(BA974="121-365 Days",VLOOKUP(D974,[3]Extended!$B$9:$L$101,11,FALSE),VLOOKUP(D974,[3]Extended!$B$9:$M$101,12,FALSE)))),0)</f>
        <v>0</v>
      </c>
      <c r="P974" s="116" t="e">
        <f t="shared" si="76"/>
        <v>#VALUE!</v>
      </c>
      <c r="Q974" s="110" t="e">
        <f>O974-#REF!</f>
        <v>#REF!</v>
      </c>
      <c r="W974" s="311"/>
      <c r="X974" s="311"/>
      <c r="Y974" s="311"/>
      <c r="Z974" s="311"/>
      <c r="AA974" s="311"/>
      <c r="AB974" s="311"/>
      <c r="AC974" s="311"/>
      <c r="AT974" s="88" t="str">
        <f t="shared" si="77"/>
        <v>Special Order0</v>
      </c>
      <c r="AU974" s="89" t="str">
        <f t="shared" si="78"/>
        <v>01-1900</v>
      </c>
      <c r="BA974" s="92" t="str">
        <f t="shared" si="79"/>
        <v/>
      </c>
    </row>
    <row r="975" spans="2:53">
      <c r="B975" s="60">
        <f>[2]Trucks!A972</f>
        <v>0</v>
      </c>
      <c r="C975" s="11">
        <f>[2]Trucks!B972</f>
        <v>0</v>
      </c>
      <c r="D975" s="19" t="str">
        <f>IFERROR(VLOOKUP(C975&amp;"",'[2]Retail Price List'!$A$3:$B$103,2,FALSE),"Special Order")</f>
        <v>Special Order</v>
      </c>
      <c r="E975" s="18">
        <f>[2]Trucks!J972</f>
        <v>0</v>
      </c>
      <c r="F975" s="12">
        <f>[2]Trucks!E972</f>
        <v>0</v>
      </c>
      <c r="G975" s="56">
        <f>[2]Trucks!K972</f>
        <v>0</v>
      </c>
      <c r="H975" s="46">
        <f>[2]Trucks!I972</f>
        <v>0</v>
      </c>
      <c r="I975" s="83" t="str">
        <f t="shared" si="75"/>
        <v/>
      </c>
      <c r="J975" s="272" t="str">
        <f>IFERROR(VLOOKUP((D975&amp;C975)&amp;"",'[2]Retail Price List'!$C$4:$F$102,3,FALSE),"")</f>
        <v/>
      </c>
      <c r="K975" s="272">
        <f>IFERROR(IF(BA975="WIP - 30 Days",VLOOKUP(D975,[3]Standard!$B$9:$E$101,4,FALSE),IF(BA975="31-120 Days",VLOOKUP(D975,[3]Standard!$B$9:$F$101,5,FALSE),IF(BA975="121-365 Days",VLOOKUP(D975,[3]Standard!$B$9:$G$101,6,FALSE),VLOOKUP(D975,[3]Standard!$B$9:$H$101,7,FALSE)))),0)</f>
        <v>0</v>
      </c>
      <c r="L975" s="272">
        <f>IFERROR(IF(BA975="WIP - 30 Days",VLOOKUP(D975,[3]Standard!$B$9:$J$101,9,FALSE),IF(BA975="31-120 Days",VLOOKUP(D975,[3]Standard!$B$9:$K$100,10,FALSE),IF(BA975="121-365 Days",VLOOKUP(D975,[3]Standard!$B$9:$L$101,11,FALSE),VLOOKUP(D975,[3]Standard!$B$9:$M$101,12,FALSE)))),0)</f>
        <v>0</v>
      </c>
      <c r="M975" s="269" t="str">
        <f>IFERROR(VLOOKUP((D975&amp;C975)&amp;"",'[2]Retail Price List'!$C$4:$F$102,4,FALSE),"")</f>
        <v/>
      </c>
      <c r="N975" s="269">
        <f>IFERROR(IF(BA975="WIP - 30 Days",VLOOKUP(D975,[3]Extended!$B$9:$E$101,4,FALSE),IF(BA975="31-120 Days",VLOOKUP(D975,[3]Extended!$B$9:$F$101,5,FALSE),IF(BA975="121-365 Days",VLOOKUP(D975,[3]Extended!$B$9:$G$101,6,FALSE),VLOOKUP(D975,[3]Extended!$B$9:$H$101,7,FALSE)))),0)</f>
        <v>0</v>
      </c>
      <c r="O975" s="269">
        <f>IFERROR(IF(BA975="WIP - 30 Days",VLOOKUP(D975,[3]Extended!$B$9:$J$101,9,FALSE),IF(BA975="31-120 Days",VLOOKUP(D975,[3]Extended!$B$9:$K$101,10,FALSE),IF(BA975="121-365 Days",VLOOKUP(D975,[3]Extended!$B$9:$L$101,11,FALSE),VLOOKUP(D975,[3]Extended!$B$9:$M$101,12,FALSE)))),0)</f>
        <v>0</v>
      </c>
      <c r="P975" s="116" t="e">
        <f t="shared" si="76"/>
        <v>#VALUE!</v>
      </c>
      <c r="Q975" s="110" t="e">
        <f>O975-#REF!</f>
        <v>#REF!</v>
      </c>
      <c r="W975" s="311"/>
      <c r="X975" s="311"/>
      <c r="Y975" s="311"/>
      <c r="Z975" s="311"/>
      <c r="AA975" s="311"/>
      <c r="AB975" s="311"/>
      <c r="AC975" s="311"/>
      <c r="AT975" s="88" t="str">
        <f t="shared" si="77"/>
        <v>Special Order0</v>
      </c>
      <c r="AU975" s="89" t="str">
        <f t="shared" si="78"/>
        <v>01-1900</v>
      </c>
      <c r="BA975" s="92" t="str">
        <f t="shared" si="79"/>
        <v/>
      </c>
    </row>
    <row r="976" spans="2:53">
      <c r="B976" s="60">
        <f>[2]Trucks!A973</f>
        <v>0</v>
      </c>
      <c r="C976" s="11">
        <f>[2]Trucks!B973</f>
        <v>0</v>
      </c>
      <c r="D976" s="19" t="str">
        <f>IFERROR(VLOOKUP(C976&amp;"",'[2]Retail Price List'!$A$3:$B$103,2,FALSE),"Special Order")</f>
        <v>Special Order</v>
      </c>
      <c r="E976" s="18">
        <f>[2]Trucks!J973</f>
        <v>0</v>
      </c>
      <c r="F976" s="12">
        <f>[2]Trucks!E973</f>
        <v>0</v>
      </c>
      <c r="G976" s="56">
        <f>[2]Trucks!K973</f>
        <v>0</v>
      </c>
      <c r="H976" s="46">
        <f>[2]Trucks!I973</f>
        <v>0</v>
      </c>
      <c r="I976" s="83" t="str">
        <f t="shared" si="75"/>
        <v/>
      </c>
      <c r="J976" s="272" t="str">
        <f>IFERROR(VLOOKUP((D976&amp;C976)&amp;"",'[2]Retail Price List'!$C$4:$F$102,3,FALSE),"")</f>
        <v/>
      </c>
      <c r="K976" s="272">
        <f>IFERROR(IF(BA976="WIP - 30 Days",VLOOKUP(D976,[3]Standard!$B$9:$E$101,4,FALSE),IF(BA976="31-120 Days",VLOOKUP(D976,[3]Standard!$B$9:$F$101,5,FALSE),IF(BA976="121-365 Days",VLOOKUP(D976,[3]Standard!$B$9:$G$101,6,FALSE),VLOOKUP(D976,[3]Standard!$B$9:$H$101,7,FALSE)))),0)</f>
        <v>0</v>
      </c>
      <c r="L976" s="272">
        <f>IFERROR(IF(BA976="WIP - 30 Days",VLOOKUP(D976,[3]Standard!$B$9:$J$101,9,FALSE),IF(BA976="31-120 Days",VLOOKUP(D976,[3]Standard!$B$9:$K$100,10,FALSE),IF(BA976="121-365 Days",VLOOKUP(D976,[3]Standard!$B$9:$L$101,11,FALSE),VLOOKUP(D976,[3]Standard!$B$9:$M$101,12,FALSE)))),0)</f>
        <v>0</v>
      </c>
      <c r="M976" s="269" t="str">
        <f>IFERROR(VLOOKUP((D976&amp;C976)&amp;"",'[2]Retail Price List'!$C$4:$F$102,4,FALSE),"")</f>
        <v/>
      </c>
      <c r="N976" s="269">
        <f>IFERROR(IF(BA976="WIP - 30 Days",VLOOKUP(D976,[3]Extended!$B$9:$E$101,4,FALSE),IF(BA976="31-120 Days",VLOOKUP(D976,[3]Extended!$B$9:$F$101,5,FALSE),IF(BA976="121-365 Days",VLOOKUP(D976,[3]Extended!$B$9:$G$101,6,FALSE),VLOOKUP(D976,[3]Extended!$B$9:$H$101,7,FALSE)))),0)</f>
        <v>0</v>
      </c>
      <c r="O976" s="269">
        <f>IFERROR(IF(BA976="WIP - 30 Days",VLOOKUP(D976,[3]Extended!$B$9:$J$101,9,FALSE),IF(BA976="31-120 Days",VLOOKUP(D976,[3]Extended!$B$9:$K$101,10,FALSE),IF(BA976="121-365 Days",VLOOKUP(D976,[3]Extended!$B$9:$L$101,11,FALSE),VLOOKUP(D976,[3]Extended!$B$9:$M$101,12,FALSE)))),0)</f>
        <v>0</v>
      </c>
      <c r="P976" s="116" t="e">
        <f t="shared" si="76"/>
        <v>#VALUE!</v>
      </c>
      <c r="Q976" s="110" t="e">
        <f>O976-#REF!</f>
        <v>#REF!</v>
      </c>
      <c r="W976" s="311"/>
      <c r="X976" s="311"/>
      <c r="Y976" s="311"/>
      <c r="Z976" s="311"/>
      <c r="AA976" s="311"/>
      <c r="AB976" s="311"/>
      <c r="AC976" s="311"/>
      <c r="AT976" s="88" t="str">
        <f t="shared" si="77"/>
        <v>Special Order0</v>
      </c>
      <c r="AU976" s="89" t="str">
        <f t="shared" si="78"/>
        <v>01-1900</v>
      </c>
      <c r="BA976" s="92" t="str">
        <f t="shared" si="79"/>
        <v/>
      </c>
    </row>
    <row r="977" spans="2:53">
      <c r="B977" s="60">
        <f>[2]Trucks!A974</f>
        <v>0</v>
      </c>
      <c r="C977" s="11">
        <f>[2]Trucks!B974</f>
        <v>0</v>
      </c>
      <c r="D977" s="19" t="str">
        <f>IFERROR(VLOOKUP(C977&amp;"",'[2]Retail Price List'!$A$3:$B$103,2,FALSE),"Special Order")</f>
        <v>Special Order</v>
      </c>
      <c r="E977" s="18">
        <f>[2]Trucks!J974</f>
        <v>0</v>
      </c>
      <c r="F977" s="12">
        <f>[2]Trucks!E974</f>
        <v>0</v>
      </c>
      <c r="G977" s="56">
        <f>[2]Trucks!K974</f>
        <v>0</v>
      </c>
      <c r="H977" s="46">
        <f>[2]Trucks!I974</f>
        <v>0</v>
      </c>
      <c r="I977" s="83" t="str">
        <f t="shared" si="75"/>
        <v/>
      </c>
      <c r="J977" s="272" t="str">
        <f>IFERROR(VLOOKUP((D977&amp;C977)&amp;"",'[2]Retail Price List'!$C$4:$F$102,3,FALSE),"")</f>
        <v/>
      </c>
      <c r="K977" s="272">
        <f>IFERROR(IF(BA977="WIP - 30 Days",VLOOKUP(D977,[3]Standard!$B$9:$E$101,4,FALSE),IF(BA977="31-120 Days",VLOOKUP(D977,[3]Standard!$B$9:$F$101,5,FALSE),IF(BA977="121-365 Days",VLOOKUP(D977,[3]Standard!$B$9:$G$101,6,FALSE),VLOOKUP(D977,[3]Standard!$B$9:$H$101,7,FALSE)))),0)</f>
        <v>0</v>
      </c>
      <c r="L977" s="272">
        <f>IFERROR(IF(BA977="WIP - 30 Days",VLOOKUP(D977,[3]Standard!$B$9:$J$101,9,FALSE),IF(BA977="31-120 Days",VLOOKUP(D977,[3]Standard!$B$9:$K$100,10,FALSE),IF(BA977="121-365 Days",VLOOKUP(D977,[3]Standard!$B$9:$L$101,11,FALSE),VLOOKUP(D977,[3]Standard!$B$9:$M$101,12,FALSE)))),0)</f>
        <v>0</v>
      </c>
      <c r="M977" s="269" t="str">
        <f>IFERROR(VLOOKUP((D977&amp;C977)&amp;"",'[2]Retail Price List'!$C$4:$F$102,4,FALSE),"")</f>
        <v/>
      </c>
      <c r="N977" s="269">
        <f>IFERROR(IF(BA977="WIP - 30 Days",VLOOKUP(D977,[3]Extended!$B$9:$E$101,4,FALSE),IF(BA977="31-120 Days",VLOOKUP(D977,[3]Extended!$B$9:$F$101,5,FALSE),IF(BA977="121-365 Days",VLOOKUP(D977,[3]Extended!$B$9:$G$101,6,FALSE),VLOOKUP(D977,[3]Extended!$B$9:$H$101,7,FALSE)))),0)</f>
        <v>0</v>
      </c>
      <c r="O977" s="269">
        <f>IFERROR(IF(BA977="WIP - 30 Days",VLOOKUP(D977,[3]Extended!$B$9:$J$101,9,FALSE),IF(BA977="31-120 Days",VLOOKUP(D977,[3]Extended!$B$9:$K$101,10,FALSE),IF(BA977="121-365 Days",VLOOKUP(D977,[3]Extended!$B$9:$L$101,11,FALSE),VLOOKUP(D977,[3]Extended!$B$9:$M$101,12,FALSE)))),0)</f>
        <v>0</v>
      </c>
      <c r="P977" s="116" t="e">
        <f t="shared" si="76"/>
        <v>#VALUE!</v>
      </c>
      <c r="Q977" s="110" t="e">
        <f>O977-#REF!</f>
        <v>#REF!</v>
      </c>
      <c r="W977" s="311"/>
      <c r="X977" s="311"/>
      <c r="Y977" s="311"/>
      <c r="Z977" s="311"/>
      <c r="AA977" s="311"/>
      <c r="AB977" s="311"/>
      <c r="AC977" s="311"/>
      <c r="AT977" s="88" t="str">
        <f t="shared" si="77"/>
        <v>Special Order0</v>
      </c>
      <c r="AU977" s="89" t="str">
        <f t="shared" si="78"/>
        <v>01-1900</v>
      </c>
      <c r="BA977" s="92" t="str">
        <f t="shared" si="79"/>
        <v/>
      </c>
    </row>
    <row r="978" spans="2:53">
      <c r="B978" s="60">
        <f>[2]Trucks!A975</f>
        <v>0</v>
      </c>
      <c r="C978" s="11">
        <f>[2]Trucks!B975</f>
        <v>0</v>
      </c>
      <c r="D978" s="19" t="str">
        <f>IFERROR(VLOOKUP(C978&amp;"",'[2]Retail Price List'!$A$3:$B$103,2,FALSE),"Special Order")</f>
        <v>Special Order</v>
      </c>
      <c r="E978" s="18">
        <f>[2]Trucks!J975</f>
        <v>0</v>
      </c>
      <c r="F978" s="12">
        <f>[2]Trucks!E975</f>
        <v>0</v>
      </c>
      <c r="G978" s="56">
        <f>[2]Trucks!K975</f>
        <v>0</v>
      </c>
      <c r="H978" s="46">
        <f>[2]Trucks!I975</f>
        <v>0</v>
      </c>
      <c r="I978" s="83" t="str">
        <f t="shared" si="75"/>
        <v/>
      </c>
      <c r="J978" s="272" t="str">
        <f>IFERROR(VLOOKUP((D978&amp;C978)&amp;"",'[2]Retail Price List'!$C$4:$F$102,3,FALSE),"")</f>
        <v/>
      </c>
      <c r="K978" s="272">
        <f>IFERROR(IF(BA978="WIP - 30 Days",VLOOKUP(D978,[3]Standard!$B$9:$E$101,4,FALSE),IF(BA978="31-120 Days",VLOOKUP(D978,[3]Standard!$B$9:$F$101,5,FALSE),IF(BA978="121-365 Days",VLOOKUP(D978,[3]Standard!$B$9:$G$101,6,FALSE),VLOOKUP(D978,[3]Standard!$B$9:$H$101,7,FALSE)))),0)</f>
        <v>0</v>
      </c>
      <c r="L978" s="272">
        <f>IFERROR(IF(BA978="WIP - 30 Days",VLOOKUP(D978,[3]Standard!$B$9:$J$101,9,FALSE),IF(BA978="31-120 Days",VLOOKUP(D978,[3]Standard!$B$9:$K$100,10,FALSE),IF(BA978="121-365 Days",VLOOKUP(D978,[3]Standard!$B$9:$L$101,11,FALSE),VLOOKUP(D978,[3]Standard!$B$9:$M$101,12,FALSE)))),0)</f>
        <v>0</v>
      </c>
      <c r="M978" s="269" t="str">
        <f>IFERROR(VLOOKUP((D978&amp;C978)&amp;"",'[2]Retail Price List'!$C$4:$F$102,4,FALSE),"")</f>
        <v/>
      </c>
      <c r="N978" s="269">
        <f>IFERROR(IF(BA978="WIP - 30 Days",VLOOKUP(D978,[3]Extended!$B$9:$E$101,4,FALSE),IF(BA978="31-120 Days",VLOOKUP(D978,[3]Extended!$B$9:$F$101,5,FALSE),IF(BA978="121-365 Days",VLOOKUP(D978,[3]Extended!$B$9:$G$101,6,FALSE),VLOOKUP(D978,[3]Extended!$B$9:$H$101,7,FALSE)))),0)</f>
        <v>0</v>
      </c>
      <c r="O978" s="269">
        <f>IFERROR(IF(BA978="WIP - 30 Days",VLOOKUP(D978,[3]Extended!$B$9:$J$101,9,FALSE),IF(BA978="31-120 Days",VLOOKUP(D978,[3]Extended!$B$9:$K$101,10,FALSE),IF(BA978="121-365 Days",VLOOKUP(D978,[3]Extended!$B$9:$L$101,11,FALSE),VLOOKUP(D978,[3]Extended!$B$9:$M$101,12,FALSE)))),0)</f>
        <v>0</v>
      </c>
      <c r="P978" s="116" t="e">
        <f t="shared" si="76"/>
        <v>#VALUE!</v>
      </c>
      <c r="Q978" s="110" t="e">
        <f>O978-#REF!</f>
        <v>#REF!</v>
      </c>
      <c r="W978" s="311"/>
      <c r="X978" s="311"/>
      <c r="Y978" s="311"/>
      <c r="Z978" s="311"/>
      <c r="AA978" s="311"/>
      <c r="AB978" s="311"/>
      <c r="AC978" s="311"/>
      <c r="AT978" s="88" t="str">
        <f t="shared" si="77"/>
        <v>Special Order0</v>
      </c>
      <c r="AU978" s="89" t="str">
        <f t="shared" si="78"/>
        <v>01-1900</v>
      </c>
      <c r="BA978" s="92" t="str">
        <f t="shared" si="79"/>
        <v/>
      </c>
    </row>
    <row r="979" spans="2:53">
      <c r="B979" s="60">
        <f>[2]Trucks!A976</f>
        <v>0</v>
      </c>
      <c r="C979" s="11">
        <f>[2]Trucks!B976</f>
        <v>0</v>
      </c>
      <c r="D979" s="19" t="str">
        <f>IFERROR(VLOOKUP(C979&amp;"",'[2]Retail Price List'!$A$3:$B$103,2,FALSE),"Special Order")</f>
        <v>Special Order</v>
      </c>
      <c r="E979" s="18">
        <f>[2]Trucks!J976</f>
        <v>0</v>
      </c>
      <c r="F979" s="12">
        <f>[2]Trucks!E976</f>
        <v>0</v>
      </c>
      <c r="G979" s="56">
        <f>[2]Trucks!K976</f>
        <v>0</v>
      </c>
      <c r="H979" s="46">
        <f>[2]Trucks!I976</f>
        <v>0</v>
      </c>
      <c r="I979" s="83" t="str">
        <f t="shared" si="75"/>
        <v/>
      </c>
      <c r="J979" s="272" t="str">
        <f>IFERROR(VLOOKUP((D979&amp;C979)&amp;"",'[2]Retail Price List'!$C$4:$F$102,3,FALSE),"")</f>
        <v/>
      </c>
      <c r="K979" s="272">
        <f>IFERROR(IF(BA979="WIP - 30 Days",VLOOKUP(D979,[3]Standard!$B$9:$E$101,4,FALSE),IF(BA979="31-120 Days",VLOOKUP(D979,[3]Standard!$B$9:$F$101,5,FALSE),IF(BA979="121-365 Days",VLOOKUP(D979,[3]Standard!$B$9:$G$101,6,FALSE),VLOOKUP(D979,[3]Standard!$B$9:$H$101,7,FALSE)))),0)</f>
        <v>0</v>
      </c>
      <c r="L979" s="272">
        <f>IFERROR(IF(BA979="WIP - 30 Days",VLOOKUP(D979,[3]Standard!$B$9:$J$101,9,FALSE),IF(BA979="31-120 Days",VLOOKUP(D979,[3]Standard!$B$9:$K$100,10,FALSE),IF(BA979="121-365 Days",VLOOKUP(D979,[3]Standard!$B$9:$L$101,11,FALSE),VLOOKUP(D979,[3]Standard!$B$9:$M$101,12,FALSE)))),0)</f>
        <v>0</v>
      </c>
      <c r="M979" s="269" t="str">
        <f>IFERROR(VLOOKUP((D979&amp;C979)&amp;"",'[2]Retail Price List'!$C$4:$F$102,4,FALSE),"")</f>
        <v/>
      </c>
      <c r="N979" s="269">
        <f>IFERROR(IF(BA979="WIP - 30 Days",VLOOKUP(D979,[3]Extended!$B$9:$E$101,4,FALSE),IF(BA979="31-120 Days",VLOOKUP(D979,[3]Extended!$B$9:$F$101,5,FALSE),IF(BA979="121-365 Days",VLOOKUP(D979,[3]Extended!$B$9:$G$101,6,FALSE),VLOOKUP(D979,[3]Extended!$B$9:$H$101,7,FALSE)))),0)</f>
        <v>0</v>
      </c>
      <c r="O979" s="269">
        <f>IFERROR(IF(BA979="WIP - 30 Days",VLOOKUP(D979,[3]Extended!$B$9:$J$101,9,FALSE),IF(BA979="31-120 Days",VLOOKUP(D979,[3]Extended!$B$9:$K$101,10,FALSE),IF(BA979="121-365 Days",VLOOKUP(D979,[3]Extended!$B$9:$L$101,11,FALSE),VLOOKUP(D979,[3]Extended!$B$9:$M$101,12,FALSE)))),0)</f>
        <v>0</v>
      </c>
      <c r="P979" s="116" t="e">
        <f t="shared" si="76"/>
        <v>#VALUE!</v>
      </c>
      <c r="Q979" s="110" t="e">
        <f>O979-#REF!</f>
        <v>#REF!</v>
      </c>
      <c r="W979" s="311"/>
      <c r="X979" s="311"/>
      <c r="Y979" s="311"/>
      <c r="Z979" s="311"/>
      <c r="AA979" s="311"/>
      <c r="AB979" s="311"/>
      <c r="AC979" s="311"/>
      <c r="AT979" s="88" t="str">
        <f t="shared" si="77"/>
        <v>Special Order0</v>
      </c>
      <c r="AU979" s="89" t="str">
        <f t="shared" si="78"/>
        <v>01-1900</v>
      </c>
      <c r="BA979" s="92" t="str">
        <f t="shared" si="79"/>
        <v/>
      </c>
    </row>
    <row r="980" spans="2:53">
      <c r="B980" s="60">
        <f>[2]Trucks!A977</f>
        <v>0</v>
      </c>
      <c r="C980" s="11">
        <f>[2]Trucks!B977</f>
        <v>0</v>
      </c>
      <c r="D980" s="19" t="str">
        <f>IFERROR(VLOOKUP(C980&amp;"",'[2]Retail Price List'!$A$3:$B$103,2,FALSE),"Special Order")</f>
        <v>Special Order</v>
      </c>
      <c r="E980" s="18">
        <f>[2]Trucks!J977</f>
        <v>0</v>
      </c>
      <c r="F980" s="12">
        <f>[2]Trucks!E977</f>
        <v>0</v>
      </c>
      <c r="G980" s="56">
        <f>[2]Trucks!K977</f>
        <v>0</v>
      </c>
      <c r="H980" s="46">
        <f>[2]Trucks!I977</f>
        <v>0</v>
      </c>
      <c r="I980" s="83" t="str">
        <f t="shared" si="75"/>
        <v/>
      </c>
      <c r="J980" s="272" t="str">
        <f>IFERROR(VLOOKUP((D980&amp;C980)&amp;"",'[2]Retail Price List'!$C$4:$F$102,3,FALSE),"")</f>
        <v/>
      </c>
      <c r="K980" s="272">
        <f>IFERROR(IF(BA980="WIP - 30 Days",VLOOKUP(D980,[3]Standard!$B$9:$E$101,4,FALSE),IF(BA980="31-120 Days",VLOOKUP(D980,[3]Standard!$B$9:$F$101,5,FALSE),IF(BA980="121-365 Days",VLOOKUP(D980,[3]Standard!$B$9:$G$101,6,FALSE),VLOOKUP(D980,[3]Standard!$B$9:$H$101,7,FALSE)))),0)</f>
        <v>0</v>
      </c>
      <c r="L980" s="272">
        <f>IFERROR(IF(BA980="WIP - 30 Days",VLOOKUP(D980,[3]Standard!$B$9:$J$101,9,FALSE),IF(BA980="31-120 Days",VLOOKUP(D980,[3]Standard!$B$9:$K$100,10,FALSE),IF(BA980="121-365 Days",VLOOKUP(D980,[3]Standard!$B$9:$L$101,11,FALSE),VLOOKUP(D980,[3]Standard!$B$9:$M$101,12,FALSE)))),0)</f>
        <v>0</v>
      </c>
      <c r="M980" s="269" t="str">
        <f>IFERROR(VLOOKUP((D980&amp;C980)&amp;"",'[2]Retail Price List'!$C$4:$F$102,4,FALSE),"")</f>
        <v/>
      </c>
      <c r="N980" s="269">
        <f>IFERROR(IF(BA980="WIP - 30 Days",VLOOKUP(D980,[3]Extended!$B$9:$E$101,4,FALSE),IF(BA980="31-120 Days",VLOOKUP(D980,[3]Extended!$B$9:$F$101,5,FALSE),IF(BA980="121-365 Days",VLOOKUP(D980,[3]Extended!$B$9:$G$101,6,FALSE),VLOOKUP(D980,[3]Extended!$B$9:$H$101,7,FALSE)))),0)</f>
        <v>0</v>
      </c>
      <c r="O980" s="269">
        <f>IFERROR(IF(BA980="WIP - 30 Days",VLOOKUP(D980,[3]Extended!$B$9:$J$101,9,FALSE),IF(BA980="31-120 Days",VLOOKUP(D980,[3]Extended!$B$9:$K$101,10,FALSE),IF(BA980="121-365 Days",VLOOKUP(D980,[3]Extended!$B$9:$L$101,11,FALSE),VLOOKUP(D980,[3]Extended!$B$9:$M$101,12,FALSE)))),0)</f>
        <v>0</v>
      </c>
      <c r="P980" s="116" t="e">
        <f t="shared" si="76"/>
        <v>#VALUE!</v>
      </c>
      <c r="Q980" s="110" t="e">
        <f>O980-#REF!</f>
        <v>#REF!</v>
      </c>
      <c r="W980" s="311"/>
      <c r="X980" s="311"/>
      <c r="Y980" s="311"/>
      <c r="Z980" s="311"/>
      <c r="AA980" s="311"/>
      <c r="AB980" s="311"/>
      <c r="AC980" s="311"/>
      <c r="AT980" s="88" t="str">
        <f t="shared" si="77"/>
        <v>Special Order0</v>
      </c>
      <c r="AU980" s="89" t="str">
        <f t="shared" si="78"/>
        <v>01-1900</v>
      </c>
      <c r="BA980" s="92" t="str">
        <f t="shared" si="79"/>
        <v/>
      </c>
    </row>
    <row r="981" spans="2:53">
      <c r="B981" s="60">
        <f>[2]Trucks!A978</f>
        <v>0</v>
      </c>
      <c r="C981" s="11">
        <f>[2]Trucks!B978</f>
        <v>0</v>
      </c>
      <c r="D981" s="19" t="str">
        <f>IFERROR(VLOOKUP(C981&amp;"",'[2]Retail Price List'!$A$3:$B$103,2,FALSE),"Special Order")</f>
        <v>Special Order</v>
      </c>
      <c r="E981" s="18">
        <f>[2]Trucks!J978</f>
        <v>0</v>
      </c>
      <c r="F981" s="12">
        <f>[2]Trucks!E978</f>
        <v>0</v>
      </c>
      <c r="G981" s="56">
        <f>[2]Trucks!K978</f>
        <v>0</v>
      </c>
      <c r="H981" s="46">
        <f>[2]Trucks!I978</f>
        <v>0</v>
      </c>
      <c r="I981" s="83" t="str">
        <f t="shared" si="75"/>
        <v/>
      </c>
      <c r="J981" s="272" t="str">
        <f>IFERROR(VLOOKUP((D981&amp;C981)&amp;"",'[2]Retail Price List'!$C$4:$F$102,3,FALSE),"")</f>
        <v/>
      </c>
      <c r="K981" s="272">
        <f>IFERROR(IF(BA981="WIP - 30 Days",VLOOKUP(D981,[3]Standard!$B$9:$E$101,4,FALSE),IF(BA981="31-120 Days",VLOOKUP(D981,[3]Standard!$B$9:$F$101,5,FALSE),IF(BA981="121-365 Days",VLOOKUP(D981,[3]Standard!$B$9:$G$101,6,FALSE),VLOOKUP(D981,[3]Standard!$B$9:$H$101,7,FALSE)))),0)</f>
        <v>0</v>
      </c>
      <c r="L981" s="272">
        <f>IFERROR(IF(BA981="WIP - 30 Days",VLOOKUP(D981,[3]Standard!$B$9:$J$101,9,FALSE),IF(BA981="31-120 Days",VLOOKUP(D981,[3]Standard!$B$9:$K$100,10,FALSE),IF(BA981="121-365 Days",VLOOKUP(D981,[3]Standard!$B$9:$L$101,11,FALSE),VLOOKUP(D981,[3]Standard!$B$9:$M$101,12,FALSE)))),0)</f>
        <v>0</v>
      </c>
      <c r="M981" s="269" t="str">
        <f>IFERROR(VLOOKUP((D981&amp;C981)&amp;"",'[2]Retail Price List'!$C$4:$F$102,4,FALSE),"")</f>
        <v/>
      </c>
      <c r="N981" s="269">
        <f>IFERROR(IF(BA981="WIP - 30 Days",VLOOKUP(D981,[3]Extended!$B$9:$E$101,4,FALSE),IF(BA981="31-120 Days",VLOOKUP(D981,[3]Extended!$B$9:$F$101,5,FALSE),IF(BA981="121-365 Days",VLOOKUP(D981,[3]Extended!$B$9:$G$101,6,FALSE),VLOOKUP(D981,[3]Extended!$B$9:$H$101,7,FALSE)))),0)</f>
        <v>0</v>
      </c>
      <c r="O981" s="269">
        <f>IFERROR(IF(BA981="WIP - 30 Days",VLOOKUP(D981,[3]Extended!$B$9:$J$101,9,FALSE),IF(BA981="31-120 Days",VLOOKUP(D981,[3]Extended!$B$9:$K$101,10,FALSE),IF(BA981="121-365 Days",VLOOKUP(D981,[3]Extended!$B$9:$L$101,11,FALSE),VLOOKUP(D981,[3]Extended!$B$9:$M$101,12,FALSE)))),0)</f>
        <v>0</v>
      </c>
      <c r="P981" s="116" t="e">
        <f t="shared" si="76"/>
        <v>#VALUE!</v>
      </c>
      <c r="Q981" s="110" t="e">
        <f>O981-#REF!</f>
        <v>#REF!</v>
      </c>
      <c r="W981" s="311"/>
      <c r="X981" s="311"/>
      <c r="Y981" s="311"/>
      <c r="Z981" s="311"/>
      <c r="AA981" s="311"/>
      <c r="AB981" s="311"/>
      <c r="AC981" s="311"/>
      <c r="AT981" s="88" t="str">
        <f t="shared" si="77"/>
        <v>Special Order0</v>
      </c>
      <c r="AU981" s="89" t="str">
        <f t="shared" si="78"/>
        <v>01-1900</v>
      </c>
      <c r="BA981" s="92" t="str">
        <f t="shared" si="79"/>
        <v/>
      </c>
    </row>
    <row r="982" spans="2:53">
      <c r="B982" s="60">
        <f>[2]Trucks!A979</f>
        <v>0</v>
      </c>
      <c r="C982" s="11">
        <f>[2]Trucks!B979</f>
        <v>0</v>
      </c>
      <c r="D982" s="19" t="str">
        <f>IFERROR(VLOOKUP(C982&amp;"",'[2]Retail Price List'!$A$3:$B$103,2,FALSE),"Special Order")</f>
        <v>Special Order</v>
      </c>
      <c r="E982" s="18">
        <f>[2]Trucks!J979</f>
        <v>0</v>
      </c>
      <c r="F982" s="12">
        <f>[2]Trucks!E979</f>
        <v>0</v>
      </c>
      <c r="G982" s="56">
        <f>[2]Trucks!K979</f>
        <v>0</v>
      </c>
      <c r="H982" s="46">
        <f>[2]Trucks!I979</f>
        <v>0</v>
      </c>
      <c r="I982" s="83" t="str">
        <f t="shared" si="75"/>
        <v/>
      </c>
      <c r="J982" s="272" t="str">
        <f>IFERROR(VLOOKUP((D982&amp;C982)&amp;"",'[2]Retail Price List'!$C$4:$F$102,3,FALSE),"")</f>
        <v/>
      </c>
      <c r="K982" s="272">
        <f>IFERROR(IF(BA982="WIP - 30 Days",VLOOKUP(D982,[3]Standard!$B$9:$E$101,4,FALSE),IF(BA982="31-120 Days",VLOOKUP(D982,[3]Standard!$B$9:$F$101,5,FALSE),IF(BA982="121-365 Days",VLOOKUP(D982,[3]Standard!$B$9:$G$101,6,FALSE),VLOOKUP(D982,[3]Standard!$B$9:$H$101,7,FALSE)))),0)</f>
        <v>0</v>
      </c>
      <c r="L982" s="272">
        <f>IFERROR(IF(BA982="WIP - 30 Days",VLOOKUP(D982,[3]Standard!$B$9:$J$101,9,FALSE),IF(BA982="31-120 Days",VLOOKUP(D982,[3]Standard!$B$9:$K$100,10,FALSE),IF(BA982="121-365 Days",VLOOKUP(D982,[3]Standard!$B$9:$L$101,11,FALSE),VLOOKUP(D982,[3]Standard!$B$9:$M$101,12,FALSE)))),0)</f>
        <v>0</v>
      </c>
      <c r="M982" s="269" t="str">
        <f>IFERROR(VLOOKUP((D982&amp;C982)&amp;"",'[2]Retail Price List'!$C$4:$F$102,4,FALSE),"")</f>
        <v/>
      </c>
      <c r="N982" s="269">
        <f>IFERROR(IF(BA982="WIP - 30 Days",VLOOKUP(D982,[3]Extended!$B$9:$E$101,4,FALSE),IF(BA982="31-120 Days",VLOOKUP(D982,[3]Extended!$B$9:$F$101,5,FALSE),IF(BA982="121-365 Days",VLOOKUP(D982,[3]Extended!$B$9:$G$101,6,FALSE),VLOOKUP(D982,[3]Extended!$B$9:$H$101,7,FALSE)))),0)</f>
        <v>0</v>
      </c>
      <c r="O982" s="269">
        <f>IFERROR(IF(BA982="WIP - 30 Days",VLOOKUP(D982,[3]Extended!$B$9:$J$101,9,FALSE),IF(BA982="31-120 Days",VLOOKUP(D982,[3]Extended!$B$9:$K$101,10,FALSE),IF(BA982="121-365 Days",VLOOKUP(D982,[3]Extended!$B$9:$L$101,11,FALSE),VLOOKUP(D982,[3]Extended!$B$9:$M$101,12,FALSE)))),0)</f>
        <v>0</v>
      </c>
      <c r="P982" s="116" t="e">
        <f t="shared" si="76"/>
        <v>#VALUE!</v>
      </c>
      <c r="Q982" s="110" t="e">
        <f>O982-#REF!</f>
        <v>#REF!</v>
      </c>
      <c r="W982" s="311"/>
      <c r="X982" s="311"/>
      <c r="Y982" s="311"/>
      <c r="Z982" s="311"/>
      <c r="AA982" s="311"/>
      <c r="AB982" s="311"/>
      <c r="AC982" s="311"/>
      <c r="AT982" s="88" t="str">
        <f t="shared" si="77"/>
        <v>Special Order0</v>
      </c>
      <c r="AU982" s="89" t="str">
        <f t="shared" si="78"/>
        <v>01-1900</v>
      </c>
      <c r="BA982" s="92" t="str">
        <f t="shared" si="79"/>
        <v/>
      </c>
    </row>
    <row r="983" spans="2:53">
      <c r="B983" s="60">
        <f>[2]Trucks!A980</f>
        <v>0</v>
      </c>
      <c r="C983" s="11">
        <f>[2]Trucks!B980</f>
        <v>0</v>
      </c>
      <c r="D983" s="19" t="str">
        <f>IFERROR(VLOOKUP(C983&amp;"",'[2]Retail Price List'!$A$3:$B$103,2,FALSE),"Special Order")</f>
        <v>Special Order</v>
      </c>
      <c r="E983" s="18">
        <f>[2]Trucks!J980</f>
        <v>0</v>
      </c>
      <c r="F983" s="12">
        <f>[2]Trucks!E980</f>
        <v>0</v>
      </c>
      <c r="G983" s="56">
        <f>[2]Trucks!K980</f>
        <v>0</v>
      </c>
      <c r="H983" s="46">
        <f>[2]Trucks!I980</f>
        <v>0</v>
      </c>
      <c r="I983" s="83" t="str">
        <f t="shared" si="75"/>
        <v/>
      </c>
      <c r="J983" s="272" t="str">
        <f>IFERROR(VLOOKUP((D983&amp;C983)&amp;"",'[2]Retail Price List'!$C$4:$F$102,3,FALSE),"")</f>
        <v/>
      </c>
      <c r="K983" s="272">
        <f>IFERROR(IF(BA983="WIP - 30 Days",VLOOKUP(D983,[3]Standard!$B$9:$E$101,4,FALSE),IF(BA983="31-120 Days",VLOOKUP(D983,[3]Standard!$B$9:$F$101,5,FALSE),IF(BA983="121-365 Days",VLOOKUP(D983,[3]Standard!$B$9:$G$101,6,FALSE),VLOOKUP(D983,[3]Standard!$B$9:$H$101,7,FALSE)))),0)</f>
        <v>0</v>
      </c>
      <c r="L983" s="272">
        <f>IFERROR(IF(BA983="WIP - 30 Days",VLOOKUP(D983,[3]Standard!$B$9:$J$101,9,FALSE),IF(BA983="31-120 Days",VLOOKUP(D983,[3]Standard!$B$9:$K$100,10,FALSE),IF(BA983="121-365 Days",VLOOKUP(D983,[3]Standard!$B$9:$L$101,11,FALSE),VLOOKUP(D983,[3]Standard!$B$9:$M$101,12,FALSE)))),0)</f>
        <v>0</v>
      </c>
      <c r="M983" s="269" t="str">
        <f>IFERROR(VLOOKUP((D983&amp;C983)&amp;"",'[2]Retail Price List'!$C$4:$F$102,4,FALSE),"")</f>
        <v/>
      </c>
      <c r="N983" s="269">
        <f>IFERROR(IF(BA983="WIP - 30 Days",VLOOKUP(D983,[3]Extended!$B$9:$E$101,4,FALSE),IF(BA983="31-120 Days",VLOOKUP(D983,[3]Extended!$B$9:$F$101,5,FALSE),IF(BA983="121-365 Days",VLOOKUP(D983,[3]Extended!$B$9:$G$101,6,FALSE),VLOOKUP(D983,[3]Extended!$B$9:$H$101,7,FALSE)))),0)</f>
        <v>0</v>
      </c>
      <c r="O983" s="269">
        <f>IFERROR(IF(BA983="WIP - 30 Days",VLOOKUP(D983,[3]Extended!$B$9:$J$101,9,FALSE),IF(BA983="31-120 Days",VLOOKUP(D983,[3]Extended!$B$9:$K$101,10,FALSE),IF(BA983="121-365 Days",VLOOKUP(D983,[3]Extended!$B$9:$L$101,11,FALSE),VLOOKUP(D983,[3]Extended!$B$9:$M$101,12,FALSE)))),0)</f>
        <v>0</v>
      </c>
      <c r="P983" s="116" t="e">
        <f t="shared" si="76"/>
        <v>#VALUE!</v>
      </c>
      <c r="Q983" s="110" t="e">
        <f>O983-#REF!</f>
        <v>#REF!</v>
      </c>
      <c r="W983" s="311"/>
      <c r="X983" s="311"/>
      <c r="Y983" s="311"/>
      <c r="Z983" s="311"/>
      <c r="AA983" s="311"/>
      <c r="AB983" s="311"/>
      <c r="AC983" s="311"/>
      <c r="AT983" s="88" t="str">
        <f t="shared" si="77"/>
        <v>Special Order0</v>
      </c>
      <c r="AU983" s="89" t="str">
        <f t="shared" si="78"/>
        <v>01-1900</v>
      </c>
      <c r="BA983" s="92" t="str">
        <f t="shared" si="79"/>
        <v/>
      </c>
    </row>
    <row r="984" spans="2:53">
      <c r="B984" s="60">
        <f>[2]Trucks!A981</f>
        <v>0</v>
      </c>
      <c r="C984" s="11">
        <f>[2]Trucks!B981</f>
        <v>0</v>
      </c>
      <c r="D984" s="19" t="str">
        <f>IFERROR(VLOOKUP(C984&amp;"",'[2]Retail Price List'!$A$3:$B$103,2,FALSE),"Special Order")</f>
        <v>Special Order</v>
      </c>
      <c r="E984" s="18">
        <f>[2]Trucks!J981</f>
        <v>0</v>
      </c>
      <c r="F984" s="12">
        <f>[2]Trucks!E981</f>
        <v>0</v>
      </c>
      <c r="G984" s="56">
        <f>[2]Trucks!K981</f>
        <v>0</v>
      </c>
      <c r="H984" s="46">
        <f>[2]Trucks!I981</f>
        <v>0</v>
      </c>
      <c r="I984" s="83" t="str">
        <f t="shared" si="75"/>
        <v/>
      </c>
      <c r="J984" s="272" t="str">
        <f>IFERROR(VLOOKUP((D984&amp;C984)&amp;"",'[2]Retail Price List'!$C$4:$F$102,3,FALSE),"")</f>
        <v/>
      </c>
      <c r="K984" s="272">
        <f>IFERROR(IF(BA984="WIP - 30 Days",VLOOKUP(D984,[3]Standard!$B$9:$E$101,4,FALSE),IF(BA984="31-120 Days",VLOOKUP(D984,[3]Standard!$B$9:$F$101,5,FALSE),IF(BA984="121-365 Days",VLOOKUP(D984,[3]Standard!$B$9:$G$101,6,FALSE),VLOOKUP(D984,[3]Standard!$B$9:$H$101,7,FALSE)))),0)</f>
        <v>0</v>
      </c>
      <c r="L984" s="272">
        <f>IFERROR(IF(BA984="WIP - 30 Days",VLOOKUP(D984,[3]Standard!$B$9:$J$101,9,FALSE),IF(BA984="31-120 Days",VLOOKUP(D984,[3]Standard!$B$9:$K$100,10,FALSE),IF(BA984="121-365 Days",VLOOKUP(D984,[3]Standard!$B$9:$L$101,11,FALSE),VLOOKUP(D984,[3]Standard!$B$9:$M$101,12,FALSE)))),0)</f>
        <v>0</v>
      </c>
      <c r="M984" s="269" t="str">
        <f>IFERROR(VLOOKUP((D984&amp;C984)&amp;"",'[2]Retail Price List'!$C$4:$F$102,4,FALSE),"")</f>
        <v/>
      </c>
      <c r="N984" s="269">
        <f>IFERROR(IF(BA984="WIP - 30 Days",VLOOKUP(D984,[3]Extended!$B$9:$E$101,4,FALSE),IF(BA984="31-120 Days",VLOOKUP(D984,[3]Extended!$B$9:$F$101,5,FALSE),IF(BA984="121-365 Days",VLOOKUP(D984,[3]Extended!$B$9:$G$101,6,FALSE),VLOOKUP(D984,[3]Extended!$B$9:$H$101,7,FALSE)))),0)</f>
        <v>0</v>
      </c>
      <c r="O984" s="269">
        <f>IFERROR(IF(BA984="WIP - 30 Days",VLOOKUP(D984,[3]Extended!$B$9:$J$101,9,FALSE),IF(BA984="31-120 Days",VLOOKUP(D984,[3]Extended!$B$9:$K$101,10,FALSE),IF(BA984="121-365 Days",VLOOKUP(D984,[3]Extended!$B$9:$L$101,11,FALSE),VLOOKUP(D984,[3]Extended!$B$9:$M$101,12,FALSE)))),0)</f>
        <v>0</v>
      </c>
      <c r="P984" s="116" t="e">
        <f t="shared" si="76"/>
        <v>#VALUE!</v>
      </c>
      <c r="Q984" s="110" t="e">
        <f>O984-#REF!</f>
        <v>#REF!</v>
      </c>
      <c r="W984" s="311"/>
      <c r="X984" s="311"/>
      <c r="Y984" s="311"/>
      <c r="Z984" s="311"/>
      <c r="AA984" s="311"/>
      <c r="AB984" s="311"/>
      <c r="AC984" s="311"/>
      <c r="AT984" s="88" t="str">
        <f t="shared" si="77"/>
        <v>Special Order0</v>
      </c>
      <c r="AU984" s="89" t="str">
        <f t="shared" si="78"/>
        <v>01-1900</v>
      </c>
      <c r="BA984" s="92" t="str">
        <f t="shared" si="79"/>
        <v/>
      </c>
    </row>
    <row r="985" spans="2:53">
      <c r="B985" s="60">
        <f>[2]Trucks!A982</f>
        <v>0</v>
      </c>
      <c r="C985" s="11">
        <f>[2]Trucks!B982</f>
        <v>0</v>
      </c>
      <c r="D985" s="19" t="str">
        <f>IFERROR(VLOOKUP(C985&amp;"",'[2]Retail Price List'!$A$3:$B$103,2,FALSE),"Special Order")</f>
        <v>Special Order</v>
      </c>
      <c r="E985" s="18">
        <f>[2]Trucks!J982</f>
        <v>0</v>
      </c>
      <c r="F985" s="12">
        <f>[2]Trucks!E982</f>
        <v>0</v>
      </c>
      <c r="G985" s="56">
        <f>[2]Trucks!K982</f>
        <v>0</v>
      </c>
      <c r="H985" s="46">
        <f>[2]Trucks!I982</f>
        <v>0</v>
      </c>
      <c r="I985" s="83" t="str">
        <f t="shared" si="75"/>
        <v/>
      </c>
      <c r="J985" s="272" t="str">
        <f>IFERROR(VLOOKUP((D985&amp;C985)&amp;"",'[2]Retail Price List'!$C$4:$F$102,3,FALSE),"")</f>
        <v/>
      </c>
      <c r="K985" s="272">
        <f>IFERROR(IF(BA985="WIP - 30 Days",VLOOKUP(D985,[3]Standard!$B$9:$E$101,4,FALSE),IF(BA985="31-120 Days",VLOOKUP(D985,[3]Standard!$B$9:$F$101,5,FALSE),IF(BA985="121-365 Days",VLOOKUP(D985,[3]Standard!$B$9:$G$101,6,FALSE),VLOOKUP(D985,[3]Standard!$B$9:$H$101,7,FALSE)))),0)</f>
        <v>0</v>
      </c>
      <c r="L985" s="272">
        <f>IFERROR(IF(BA985="WIP - 30 Days",VLOOKUP(D985,[3]Standard!$B$9:$J$101,9,FALSE),IF(BA985="31-120 Days",VLOOKUP(D985,[3]Standard!$B$9:$K$100,10,FALSE),IF(BA985="121-365 Days",VLOOKUP(D985,[3]Standard!$B$9:$L$101,11,FALSE),VLOOKUP(D985,[3]Standard!$B$9:$M$101,12,FALSE)))),0)</f>
        <v>0</v>
      </c>
      <c r="M985" s="269" t="str">
        <f>IFERROR(VLOOKUP((D985&amp;C985)&amp;"",'[2]Retail Price List'!$C$4:$F$102,4,FALSE),"")</f>
        <v/>
      </c>
      <c r="N985" s="269">
        <f>IFERROR(IF(BA985="WIP - 30 Days",VLOOKUP(D985,[3]Extended!$B$9:$E$101,4,FALSE),IF(BA985="31-120 Days",VLOOKUP(D985,[3]Extended!$B$9:$F$101,5,FALSE),IF(BA985="121-365 Days",VLOOKUP(D985,[3]Extended!$B$9:$G$101,6,FALSE),VLOOKUP(D985,[3]Extended!$B$9:$H$101,7,FALSE)))),0)</f>
        <v>0</v>
      </c>
      <c r="O985" s="269">
        <f>IFERROR(IF(BA985="WIP - 30 Days",VLOOKUP(D985,[3]Extended!$B$9:$J$101,9,FALSE),IF(BA985="31-120 Days",VLOOKUP(D985,[3]Extended!$B$9:$K$101,10,FALSE),IF(BA985="121-365 Days",VLOOKUP(D985,[3]Extended!$B$9:$L$101,11,FALSE),VLOOKUP(D985,[3]Extended!$B$9:$M$101,12,FALSE)))),0)</f>
        <v>0</v>
      </c>
      <c r="P985" s="116" t="e">
        <f t="shared" si="76"/>
        <v>#VALUE!</v>
      </c>
      <c r="Q985" s="110" t="e">
        <f>O985-#REF!</f>
        <v>#REF!</v>
      </c>
      <c r="W985" s="311"/>
      <c r="X985" s="311"/>
      <c r="Y985" s="311"/>
      <c r="Z985" s="311"/>
      <c r="AA985" s="311"/>
      <c r="AB985" s="311"/>
      <c r="AC985" s="311"/>
      <c r="AT985" s="88" t="str">
        <f t="shared" si="77"/>
        <v>Special Order0</v>
      </c>
      <c r="AU985" s="89" t="str">
        <f t="shared" si="78"/>
        <v>01-1900</v>
      </c>
      <c r="BA985" s="92" t="str">
        <f t="shared" si="79"/>
        <v/>
      </c>
    </row>
    <row r="986" spans="2:53">
      <c r="B986" s="60">
        <f>[2]Trucks!A983</f>
        <v>0</v>
      </c>
      <c r="C986" s="11">
        <f>[2]Trucks!B983</f>
        <v>0</v>
      </c>
      <c r="D986" s="19" t="str">
        <f>IFERROR(VLOOKUP(C986&amp;"",'[2]Retail Price List'!$A$3:$B$103,2,FALSE),"Special Order")</f>
        <v>Special Order</v>
      </c>
      <c r="E986" s="18">
        <f>[2]Trucks!J983</f>
        <v>0</v>
      </c>
      <c r="F986" s="12">
        <f>[2]Trucks!E983</f>
        <v>0</v>
      </c>
      <c r="G986" s="56">
        <f>[2]Trucks!K983</f>
        <v>0</v>
      </c>
      <c r="H986" s="46">
        <f>[2]Trucks!I983</f>
        <v>0</v>
      </c>
      <c r="I986" s="83" t="str">
        <f t="shared" si="75"/>
        <v/>
      </c>
      <c r="J986" s="272" t="str">
        <f>IFERROR(VLOOKUP((D986&amp;C986)&amp;"",'[2]Retail Price List'!$C$4:$F$102,3,FALSE),"")</f>
        <v/>
      </c>
      <c r="K986" s="272">
        <f>IFERROR(IF(BA986="WIP - 30 Days",VLOOKUP(D986,[3]Standard!$B$9:$E$101,4,FALSE),IF(BA986="31-120 Days",VLOOKUP(D986,[3]Standard!$B$9:$F$101,5,FALSE),IF(BA986="121-365 Days",VLOOKUP(D986,[3]Standard!$B$9:$G$101,6,FALSE),VLOOKUP(D986,[3]Standard!$B$9:$H$101,7,FALSE)))),0)</f>
        <v>0</v>
      </c>
      <c r="L986" s="272">
        <f>IFERROR(IF(BA986="WIP - 30 Days",VLOOKUP(D986,[3]Standard!$B$9:$J$101,9,FALSE),IF(BA986="31-120 Days",VLOOKUP(D986,[3]Standard!$B$9:$K$100,10,FALSE),IF(BA986="121-365 Days",VLOOKUP(D986,[3]Standard!$B$9:$L$101,11,FALSE),VLOOKUP(D986,[3]Standard!$B$9:$M$101,12,FALSE)))),0)</f>
        <v>0</v>
      </c>
      <c r="M986" s="269" t="str">
        <f>IFERROR(VLOOKUP((D986&amp;C986)&amp;"",'[2]Retail Price List'!$C$4:$F$102,4,FALSE),"")</f>
        <v/>
      </c>
      <c r="N986" s="269">
        <f>IFERROR(IF(BA986="WIP - 30 Days",VLOOKUP(D986,[3]Extended!$B$9:$E$101,4,FALSE),IF(BA986="31-120 Days",VLOOKUP(D986,[3]Extended!$B$9:$F$101,5,FALSE),IF(BA986="121-365 Days",VLOOKUP(D986,[3]Extended!$B$9:$G$101,6,FALSE),VLOOKUP(D986,[3]Extended!$B$9:$H$101,7,FALSE)))),0)</f>
        <v>0</v>
      </c>
      <c r="O986" s="269">
        <f>IFERROR(IF(BA986="WIP - 30 Days",VLOOKUP(D986,[3]Extended!$B$9:$J$101,9,FALSE),IF(BA986="31-120 Days",VLOOKUP(D986,[3]Extended!$B$9:$K$101,10,FALSE),IF(BA986="121-365 Days",VLOOKUP(D986,[3]Extended!$B$9:$L$101,11,FALSE),VLOOKUP(D986,[3]Extended!$B$9:$M$101,12,FALSE)))),0)</f>
        <v>0</v>
      </c>
      <c r="P986" s="116" t="e">
        <f t="shared" si="76"/>
        <v>#VALUE!</v>
      </c>
      <c r="Q986" s="110" t="e">
        <f>O986-#REF!</f>
        <v>#REF!</v>
      </c>
      <c r="W986" s="311"/>
      <c r="X986" s="311"/>
      <c r="Y986" s="311"/>
      <c r="Z986" s="311"/>
      <c r="AA986" s="311"/>
      <c r="AB986" s="311"/>
      <c r="AC986" s="311"/>
      <c r="AT986" s="88" t="str">
        <f t="shared" si="77"/>
        <v>Special Order0</v>
      </c>
      <c r="AU986" s="89" t="str">
        <f t="shared" si="78"/>
        <v>01-1900</v>
      </c>
      <c r="BA986" s="92" t="str">
        <f t="shared" si="79"/>
        <v/>
      </c>
    </row>
    <row r="987" spans="2:53">
      <c r="B987" s="60">
        <f>[2]Trucks!A984</f>
        <v>0</v>
      </c>
      <c r="C987" s="11">
        <f>[2]Trucks!B984</f>
        <v>0</v>
      </c>
      <c r="D987" s="19" t="str">
        <f>IFERROR(VLOOKUP(C987&amp;"",'[2]Retail Price List'!$A$3:$B$103,2,FALSE),"Special Order")</f>
        <v>Special Order</v>
      </c>
      <c r="E987" s="18">
        <f>[2]Trucks!J984</f>
        <v>0</v>
      </c>
      <c r="F987" s="12">
        <f>[2]Trucks!E984</f>
        <v>0</v>
      </c>
      <c r="G987" s="56">
        <f>[2]Trucks!K984</f>
        <v>0</v>
      </c>
      <c r="H987" s="46">
        <f>[2]Trucks!I984</f>
        <v>0</v>
      </c>
      <c r="I987" s="83" t="str">
        <f t="shared" si="75"/>
        <v/>
      </c>
      <c r="J987" s="272" t="str">
        <f>IFERROR(VLOOKUP((D987&amp;C987)&amp;"",'[2]Retail Price List'!$C$4:$F$102,3,FALSE),"")</f>
        <v/>
      </c>
      <c r="K987" s="272">
        <f>IFERROR(IF(BA987="WIP - 30 Days",VLOOKUP(D987,[3]Standard!$B$9:$E$101,4,FALSE),IF(BA987="31-120 Days",VLOOKUP(D987,[3]Standard!$B$9:$F$101,5,FALSE),IF(BA987="121-365 Days",VLOOKUP(D987,[3]Standard!$B$9:$G$101,6,FALSE),VLOOKUP(D987,[3]Standard!$B$9:$H$101,7,FALSE)))),0)</f>
        <v>0</v>
      </c>
      <c r="L987" s="272">
        <f>IFERROR(IF(BA987="WIP - 30 Days",VLOOKUP(D987,[3]Standard!$B$9:$J$101,9,FALSE),IF(BA987="31-120 Days",VLOOKUP(D987,[3]Standard!$B$9:$K$100,10,FALSE),IF(BA987="121-365 Days",VLOOKUP(D987,[3]Standard!$B$9:$L$101,11,FALSE),VLOOKUP(D987,[3]Standard!$B$9:$M$101,12,FALSE)))),0)</f>
        <v>0</v>
      </c>
      <c r="M987" s="269" t="str">
        <f>IFERROR(VLOOKUP((D987&amp;C987)&amp;"",'[2]Retail Price List'!$C$4:$F$102,4,FALSE),"")</f>
        <v/>
      </c>
      <c r="N987" s="269">
        <f>IFERROR(IF(BA987="WIP - 30 Days",VLOOKUP(D987,[3]Extended!$B$9:$E$101,4,FALSE),IF(BA987="31-120 Days",VLOOKUP(D987,[3]Extended!$B$9:$F$101,5,FALSE),IF(BA987="121-365 Days",VLOOKUP(D987,[3]Extended!$B$9:$G$101,6,FALSE),VLOOKUP(D987,[3]Extended!$B$9:$H$101,7,FALSE)))),0)</f>
        <v>0</v>
      </c>
      <c r="O987" s="269">
        <f>IFERROR(IF(BA987="WIP - 30 Days",VLOOKUP(D987,[3]Extended!$B$9:$J$101,9,FALSE),IF(BA987="31-120 Days",VLOOKUP(D987,[3]Extended!$B$9:$K$101,10,FALSE),IF(BA987="121-365 Days",VLOOKUP(D987,[3]Extended!$B$9:$L$101,11,FALSE),VLOOKUP(D987,[3]Extended!$B$9:$M$101,12,FALSE)))),0)</f>
        <v>0</v>
      </c>
      <c r="P987" s="116" t="e">
        <f t="shared" si="76"/>
        <v>#VALUE!</v>
      </c>
      <c r="Q987" s="110" t="e">
        <f>O987-#REF!</f>
        <v>#REF!</v>
      </c>
      <c r="W987" s="311"/>
      <c r="X987" s="311"/>
      <c r="Y987" s="311"/>
      <c r="Z987" s="311"/>
      <c r="AA987" s="311"/>
      <c r="AB987" s="311"/>
      <c r="AC987" s="311"/>
      <c r="AT987" s="88" t="str">
        <f t="shared" si="77"/>
        <v>Special Order0</v>
      </c>
      <c r="AU987" s="89" t="str">
        <f t="shared" si="78"/>
        <v>01-1900</v>
      </c>
      <c r="BA987" s="92" t="str">
        <f t="shared" si="79"/>
        <v/>
      </c>
    </row>
    <row r="988" spans="2:53">
      <c r="B988" s="60">
        <f>[2]Trucks!A985</f>
        <v>0</v>
      </c>
      <c r="C988" s="11">
        <f>[2]Trucks!B985</f>
        <v>0</v>
      </c>
      <c r="D988" s="19" t="str">
        <f>IFERROR(VLOOKUP(C988&amp;"",'[2]Retail Price List'!$A$3:$B$103,2,FALSE),"Special Order")</f>
        <v>Special Order</v>
      </c>
      <c r="E988" s="18">
        <f>[2]Trucks!J985</f>
        <v>0</v>
      </c>
      <c r="F988" s="12">
        <f>[2]Trucks!E985</f>
        <v>0</v>
      </c>
      <c r="G988" s="56">
        <f>[2]Trucks!K985</f>
        <v>0</v>
      </c>
      <c r="H988" s="46">
        <f>[2]Trucks!I985</f>
        <v>0</v>
      </c>
      <c r="I988" s="83" t="str">
        <f t="shared" si="75"/>
        <v/>
      </c>
      <c r="J988" s="272" t="str">
        <f>IFERROR(VLOOKUP((D988&amp;C988)&amp;"",'[2]Retail Price List'!$C$4:$F$102,3,FALSE),"")</f>
        <v/>
      </c>
      <c r="K988" s="272">
        <f>IFERROR(IF(BA988="WIP - 30 Days",VLOOKUP(D988,[3]Standard!$B$9:$E$101,4,FALSE),IF(BA988="31-120 Days",VLOOKUP(D988,[3]Standard!$B$9:$F$101,5,FALSE),IF(BA988="121-365 Days",VLOOKUP(D988,[3]Standard!$B$9:$G$101,6,FALSE),VLOOKUP(D988,[3]Standard!$B$9:$H$101,7,FALSE)))),0)</f>
        <v>0</v>
      </c>
      <c r="L988" s="272">
        <f>IFERROR(IF(BA988="WIP - 30 Days",VLOOKUP(D988,[3]Standard!$B$9:$J$101,9,FALSE),IF(BA988="31-120 Days",VLOOKUP(D988,[3]Standard!$B$9:$K$100,10,FALSE),IF(BA988="121-365 Days",VLOOKUP(D988,[3]Standard!$B$9:$L$101,11,FALSE),VLOOKUP(D988,[3]Standard!$B$9:$M$101,12,FALSE)))),0)</f>
        <v>0</v>
      </c>
      <c r="M988" s="269" t="str">
        <f>IFERROR(VLOOKUP((D988&amp;C988)&amp;"",'[2]Retail Price List'!$C$4:$F$102,4,FALSE),"")</f>
        <v/>
      </c>
      <c r="N988" s="269">
        <f>IFERROR(IF(BA988="WIP - 30 Days",VLOOKUP(D988,[3]Extended!$B$9:$E$101,4,FALSE),IF(BA988="31-120 Days",VLOOKUP(D988,[3]Extended!$B$9:$F$101,5,FALSE),IF(BA988="121-365 Days",VLOOKUP(D988,[3]Extended!$B$9:$G$101,6,FALSE),VLOOKUP(D988,[3]Extended!$B$9:$H$101,7,FALSE)))),0)</f>
        <v>0</v>
      </c>
      <c r="O988" s="269">
        <f>IFERROR(IF(BA988="WIP - 30 Days",VLOOKUP(D988,[3]Extended!$B$9:$J$101,9,FALSE),IF(BA988="31-120 Days",VLOOKUP(D988,[3]Extended!$B$9:$K$101,10,FALSE),IF(BA988="121-365 Days",VLOOKUP(D988,[3]Extended!$B$9:$L$101,11,FALSE),VLOOKUP(D988,[3]Extended!$B$9:$M$101,12,FALSE)))),0)</f>
        <v>0</v>
      </c>
      <c r="P988" s="116" t="e">
        <f t="shared" si="76"/>
        <v>#VALUE!</v>
      </c>
      <c r="Q988" s="110" t="e">
        <f>O988-#REF!</f>
        <v>#REF!</v>
      </c>
      <c r="W988" s="311"/>
      <c r="X988" s="311"/>
      <c r="Y988" s="311"/>
      <c r="Z988" s="311"/>
      <c r="AA988" s="311"/>
      <c r="AB988" s="311"/>
      <c r="AC988" s="311"/>
      <c r="AT988" s="88" t="str">
        <f t="shared" si="77"/>
        <v>Special Order0</v>
      </c>
      <c r="AU988" s="89" t="str">
        <f t="shared" si="78"/>
        <v>01-1900</v>
      </c>
      <c r="BA988" s="92" t="str">
        <f t="shared" si="79"/>
        <v/>
      </c>
    </row>
    <row r="989" spans="2:53">
      <c r="B989" s="60">
        <f>[2]Trucks!A986</f>
        <v>0</v>
      </c>
      <c r="C989" s="11">
        <f>[2]Trucks!B986</f>
        <v>0</v>
      </c>
      <c r="D989" s="19" t="str">
        <f>IFERROR(VLOOKUP(C989&amp;"",'[2]Retail Price List'!$A$3:$B$103,2,FALSE),"Special Order")</f>
        <v>Special Order</v>
      </c>
      <c r="E989" s="18">
        <f>[2]Trucks!J986</f>
        <v>0</v>
      </c>
      <c r="F989" s="12">
        <f>[2]Trucks!E986</f>
        <v>0</v>
      </c>
      <c r="G989" s="56">
        <f>[2]Trucks!K986</f>
        <v>0</v>
      </c>
      <c r="H989" s="46">
        <f>[2]Trucks!I986</f>
        <v>0</v>
      </c>
      <c r="I989" s="83" t="str">
        <f t="shared" si="75"/>
        <v/>
      </c>
      <c r="J989" s="272" t="str">
        <f>IFERROR(VLOOKUP((D989&amp;C989)&amp;"",'[2]Retail Price List'!$C$4:$F$102,3,FALSE),"")</f>
        <v/>
      </c>
      <c r="K989" s="272">
        <f>IFERROR(IF(BA989="WIP - 30 Days",VLOOKUP(D989,[3]Standard!$B$9:$E$101,4,FALSE),IF(BA989="31-120 Days",VLOOKUP(D989,[3]Standard!$B$9:$F$101,5,FALSE),IF(BA989="121-365 Days",VLOOKUP(D989,[3]Standard!$B$9:$G$101,6,FALSE),VLOOKUP(D989,[3]Standard!$B$9:$H$101,7,FALSE)))),0)</f>
        <v>0</v>
      </c>
      <c r="L989" s="272">
        <f>IFERROR(IF(BA989="WIP - 30 Days",VLOOKUP(D989,[3]Standard!$B$9:$J$101,9,FALSE),IF(BA989="31-120 Days",VLOOKUP(D989,[3]Standard!$B$9:$K$100,10,FALSE),IF(BA989="121-365 Days",VLOOKUP(D989,[3]Standard!$B$9:$L$101,11,FALSE),VLOOKUP(D989,[3]Standard!$B$9:$M$101,12,FALSE)))),0)</f>
        <v>0</v>
      </c>
      <c r="M989" s="269" t="str">
        <f>IFERROR(VLOOKUP((D989&amp;C989)&amp;"",'[2]Retail Price List'!$C$4:$F$102,4,FALSE),"")</f>
        <v/>
      </c>
      <c r="N989" s="269">
        <f>IFERROR(IF(BA989="WIP - 30 Days",VLOOKUP(D989,[3]Extended!$B$9:$E$101,4,FALSE),IF(BA989="31-120 Days",VLOOKUP(D989,[3]Extended!$B$9:$F$101,5,FALSE),IF(BA989="121-365 Days",VLOOKUP(D989,[3]Extended!$B$9:$G$101,6,FALSE),VLOOKUP(D989,[3]Extended!$B$9:$H$101,7,FALSE)))),0)</f>
        <v>0</v>
      </c>
      <c r="O989" s="269">
        <f>IFERROR(IF(BA989="WIP - 30 Days",VLOOKUP(D989,[3]Extended!$B$9:$J$101,9,FALSE),IF(BA989="31-120 Days",VLOOKUP(D989,[3]Extended!$B$9:$K$101,10,FALSE),IF(BA989="121-365 Days",VLOOKUP(D989,[3]Extended!$B$9:$L$101,11,FALSE),VLOOKUP(D989,[3]Extended!$B$9:$M$101,12,FALSE)))),0)</f>
        <v>0</v>
      </c>
      <c r="P989" s="116" t="e">
        <f t="shared" si="76"/>
        <v>#VALUE!</v>
      </c>
      <c r="Q989" s="110" t="e">
        <f>O989-#REF!</f>
        <v>#REF!</v>
      </c>
      <c r="W989" s="311"/>
      <c r="X989" s="311"/>
      <c r="Y989" s="311"/>
      <c r="Z989" s="311"/>
      <c r="AA989" s="311"/>
      <c r="AB989" s="311"/>
      <c r="AC989" s="311"/>
      <c r="AT989" s="88" t="str">
        <f t="shared" si="77"/>
        <v>Special Order0</v>
      </c>
      <c r="AU989" s="89" t="str">
        <f t="shared" si="78"/>
        <v>01-1900</v>
      </c>
      <c r="BA989" s="92" t="str">
        <f t="shared" si="79"/>
        <v/>
      </c>
    </row>
    <row r="990" spans="2:53">
      <c r="B990" s="60">
        <f>[2]Trucks!A987</f>
        <v>0</v>
      </c>
      <c r="C990" s="11">
        <f>[2]Trucks!B987</f>
        <v>0</v>
      </c>
      <c r="D990" s="19" t="str">
        <f>IFERROR(VLOOKUP(C990&amp;"",'[2]Retail Price List'!$A$3:$B$103,2,FALSE),"Special Order")</f>
        <v>Special Order</v>
      </c>
      <c r="E990" s="18">
        <f>[2]Trucks!J987</f>
        <v>0</v>
      </c>
      <c r="F990" s="12">
        <f>[2]Trucks!E987</f>
        <v>0</v>
      </c>
      <c r="G990" s="56">
        <f>[2]Trucks!K987</f>
        <v>0</v>
      </c>
      <c r="H990" s="46">
        <f>[2]Trucks!I987</f>
        <v>0</v>
      </c>
      <c r="I990" s="83" t="str">
        <f t="shared" si="75"/>
        <v/>
      </c>
      <c r="J990" s="272" t="str">
        <f>IFERROR(VLOOKUP((D990&amp;C990)&amp;"",'[2]Retail Price List'!$C$4:$F$102,3,FALSE),"")</f>
        <v/>
      </c>
      <c r="K990" s="272">
        <f>IFERROR(IF(BA990="WIP - 30 Days",VLOOKUP(D990,[3]Standard!$B$9:$E$101,4,FALSE),IF(BA990="31-120 Days",VLOOKUP(D990,[3]Standard!$B$9:$F$101,5,FALSE),IF(BA990="121-365 Days",VLOOKUP(D990,[3]Standard!$B$9:$G$101,6,FALSE),VLOOKUP(D990,[3]Standard!$B$9:$H$101,7,FALSE)))),0)</f>
        <v>0</v>
      </c>
      <c r="L990" s="272">
        <f>IFERROR(IF(BA990="WIP - 30 Days",VLOOKUP(D990,[3]Standard!$B$9:$J$101,9,FALSE),IF(BA990="31-120 Days",VLOOKUP(D990,[3]Standard!$B$9:$K$100,10,FALSE),IF(BA990="121-365 Days",VLOOKUP(D990,[3]Standard!$B$9:$L$101,11,FALSE),VLOOKUP(D990,[3]Standard!$B$9:$M$101,12,FALSE)))),0)</f>
        <v>0</v>
      </c>
      <c r="M990" s="269" t="str">
        <f>IFERROR(VLOOKUP((D990&amp;C990)&amp;"",'[2]Retail Price List'!$C$4:$F$102,4,FALSE),"")</f>
        <v/>
      </c>
      <c r="N990" s="269">
        <f>IFERROR(IF(BA990="WIP - 30 Days",VLOOKUP(D990,[3]Extended!$B$9:$E$101,4,FALSE),IF(BA990="31-120 Days",VLOOKUP(D990,[3]Extended!$B$9:$F$101,5,FALSE),IF(BA990="121-365 Days",VLOOKUP(D990,[3]Extended!$B$9:$G$101,6,FALSE),VLOOKUP(D990,[3]Extended!$B$9:$H$101,7,FALSE)))),0)</f>
        <v>0</v>
      </c>
      <c r="O990" s="269">
        <f>IFERROR(IF(BA990="WIP - 30 Days",VLOOKUP(D990,[3]Extended!$B$9:$J$101,9,FALSE),IF(BA990="31-120 Days",VLOOKUP(D990,[3]Extended!$B$9:$K$101,10,FALSE),IF(BA990="121-365 Days",VLOOKUP(D990,[3]Extended!$B$9:$L$101,11,FALSE),VLOOKUP(D990,[3]Extended!$B$9:$M$101,12,FALSE)))),0)</f>
        <v>0</v>
      </c>
      <c r="P990" s="116" t="e">
        <f t="shared" si="76"/>
        <v>#VALUE!</v>
      </c>
      <c r="Q990" s="110" t="e">
        <f>O990-#REF!</f>
        <v>#REF!</v>
      </c>
      <c r="W990" s="311"/>
      <c r="X990" s="311"/>
      <c r="Y990" s="311"/>
      <c r="Z990" s="311"/>
      <c r="AA990" s="311"/>
      <c r="AB990" s="311"/>
      <c r="AC990" s="311"/>
      <c r="AT990" s="88" t="str">
        <f t="shared" si="77"/>
        <v>Special Order0</v>
      </c>
      <c r="AU990" s="89" t="str">
        <f t="shared" si="78"/>
        <v>01-1900</v>
      </c>
      <c r="BA990" s="92" t="str">
        <f t="shared" si="79"/>
        <v/>
      </c>
    </row>
    <row r="991" spans="2:53">
      <c r="B991" s="60">
        <f>[2]Trucks!A988</f>
        <v>0</v>
      </c>
      <c r="C991" s="11">
        <f>[2]Trucks!B988</f>
        <v>0</v>
      </c>
      <c r="D991" s="19" t="str">
        <f>IFERROR(VLOOKUP(C991&amp;"",'[2]Retail Price List'!$A$3:$B$103,2,FALSE),"Special Order")</f>
        <v>Special Order</v>
      </c>
      <c r="E991" s="18">
        <f>[2]Trucks!J988</f>
        <v>0</v>
      </c>
      <c r="F991" s="12">
        <f>[2]Trucks!E988</f>
        <v>0</v>
      </c>
      <c r="G991" s="56">
        <f>[2]Trucks!K988</f>
        <v>0</v>
      </c>
      <c r="H991" s="46">
        <f>[2]Trucks!I988</f>
        <v>0</v>
      </c>
      <c r="I991" s="83" t="str">
        <f t="shared" si="75"/>
        <v/>
      </c>
      <c r="J991" s="272" t="str">
        <f>IFERROR(VLOOKUP((D991&amp;C991)&amp;"",'[2]Retail Price List'!$C$4:$F$102,3,FALSE),"")</f>
        <v/>
      </c>
      <c r="K991" s="272">
        <f>IFERROR(IF(BA991="WIP - 30 Days",VLOOKUP(D991,[3]Standard!$B$9:$E$101,4,FALSE),IF(BA991="31-120 Days",VLOOKUP(D991,[3]Standard!$B$9:$F$101,5,FALSE),IF(BA991="121-365 Days",VLOOKUP(D991,[3]Standard!$B$9:$G$101,6,FALSE),VLOOKUP(D991,[3]Standard!$B$9:$H$101,7,FALSE)))),0)</f>
        <v>0</v>
      </c>
      <c r="L991" s="272">
        <f>IFERROR(IF(BA991="WIP - 30 Days",VLOOKUP(D991,[3]Standard!$B$9:$J$101,9,FALSE),IF(BA991="31-120 Days",VLOOKUP(D991,[3]Standard!$B$9:$K$100,10,FALSE),IF(BA991="121-365 Days",VLOOKUP(D991,[3]Standard!$B$9:$L$101,11,FALSE),VLOOKUP(D991,[3]Standard!$B$9:$M$101,12,FALSE)))),0)</f>
        <v>0</v>
      </c>
      <c r="M991" s="269" t="str">
        <f>IFERROR(VLOOKUP((D991&amp;C991)&amp;"",'[2]Retail Price List'!$C$4:$F$102,4,FALSE),"")</f>
        <v/>
      </c>
      <c r="N991" s="269">
        <f>IFERROR(IF(BA991="WIP - 30 Days",VLOOKUP(D991,[3]Extended!$B$9:$E$101,4,FALSE),IF(BA991="31-120 Days",VLOOKUP(D991,[3]Extended!$B$9:$F$101,5,FALSE),IF(BA991="121-365 Days",VLOOKUP(D991,[3]Extended!$B$9:$G$101,6,FALSE),VLOOKUP(D991,[3]Extended!$B$9:$H$101,7,FALSE)))),0)</f>
        <v>0</v>
      </c>
      <c r="O991" s="269">
        <f>IFERROR(IF(BA991="WIP - 30 Days",VLOOKUP(D991,[3]Extended!$B$9:$J$101,9,FALSE),IF(BA991="31-120 Days",VLOOKUP(D991,[3]Extended!$B$9:$K$101,10,FALSE),IF(BA991="121-365 Days",VLOOKUP(D991,[3]Extended!$B$9:$L$101,11,FALSE),VLOOKUP(D991,[3]Extended!$B$9:$M$101,12,FALSE)))),0)</f>
        <v>0</v>
      </c>
      <c r="P991" s="116" t="e">
        <f t="shared" si="76"/>
        <v>#VALUE!</v>
      </c>
      <c r="Q991" s="110" t="e">
        <f>O991-#REF!</f>
        <v>#REF!</v>
      </c>
      <c r="W991" s="311"/>
      <c r="X991" s="311"/>
      <c r="Y991" s="311"/>
      <c r="Z991" s="311"/>
      <c r="AA991" s="311"/>
      <c r="AB991" s="311"/>
      <c r="AC991" s="311"/>
      <c r="AT991" s="88" t="str">
        <f t="shared" si="77"/>
        <v>Special Order0</v>
      </c>
      <c r="AU991" s="89" t="str">
        <f t="shared" si="78"/>
        <v>01-1900</v>
      </c>
      <c r="BA991" s="92" t="str">
        <f t="shared" si="79"/>
        <v/>
      </c>
    </row>
    <row r="992" spans="2:53">
      <c r="B992" s="60">
        <f>[2]Trucks!A989</f>
        <v>0</v>
      </c>
      <c r="C992" s="11">
        <f>[2]Trucks!B989</f>
        <v>0</v>
      </c>
      <c r="D992" s="19" t="str">
        <f>IFERROR(VLOOKUP(C992&amp;"",'[2]Retail Price List'!$A$3:$B$103,2,FALSE),"Special Order")</f>
        <v>Special Order</v>
      </c>
      <c r="E992" s="18">
        <f>[2]Trucks!J989</f>
        <v>0</v>
      </c>
      <c r="F992" s="12">
        <f>[2]Trucks!E989</f>
        <v>0</v>
      </c>
      <c r="G992" s="56">
        <f>[2]Trucks!K989</f>
        <v>0</v>
      </c>
      <c r="H992" s="46">
        <f>[2]Trucks!I989</f>
        <v>0</v>
      </c>
      <c r="I992" s="83" t="str">
        <f t="shared" si="75"/>
        <v/>
      </c>
      <c r="J992" s="272" t="str">
        <f>IFERROR(VLOOKUP((D992&amp;C992)&amp;"",'[2]Retail Price List'!$C$4:$F$102,3,FALSE),"")</f>
        <v/>
      </c>
      <c r="K992" s="272">
        <f>IFERROR(IF(BA992="WIP - 30 Days",VLOOKUP(D992,[3]Standard!$B$9:$E$101,4,FALSE),IF(BA992="31-120 Days",VLOOKUP(D992,[3]Standard!$B$9:$F$101,5,FALSE),IF(BA992="121-365 Days",VLOOKUP(D992,[3]Standard!$B$9:$G$101,6,FALSE),VLOOKUP(D992,[3]Standard!$B$9:$H$101,7,FALSE)))),0)</f>
        <v>0</v>
      </c>
      <c r="L992" s="272">
        <f>IFERROR(IF(BA992="WIP - 30 Days",VLOOKUP(D992,[3]Standard!$B$9:$J$101,9,FALSE),IF(BA992="31-120 Days",VLOOKUP(D992,[3]Standard!$B$9:$K$100,10,FALSE),IF(BA992="121-365 Days",VLOOKUP(D992,[3]Standard!$B$9:$L$101,11,FALSE),VLOOKUP(D992,[3]Standard!$B$9:$M$101,12,FALSE)))),0)</f>
        <v>0</v>
      </c>
      <c r="M992" s="269" t="str">
        <f>IFERROR(VLOOKUP((D992&amp;C992)&amp;"",'[2]Retail Price List'!$C$4:$F$102,4,FALSE),"")</f>
        <v/>
      </c>
      <c r="N992" s="269">
        <f>IFERROR(IF(BA992="WIP - 30 Days",VLOOKUP(D992,[3]Extended!$B$9:$E$101,4,FALSE),IF(BA992="31-120 Days",VLOOKUP(D992,[3]Extended!$B$9:$F$101,5,FALSE),IF(BA992="121-365 Days",VLOOKUP(D992,[3]Extended!$B$9:$G$101,6,FALSE),VLOOKUP(D992,[3]Extended!$B$9:$H$101,7,FALSE)))),0)</f>
        <v>0</v>
      </c>
      <c r="O992" s="269">
        <f>IFERROR(IF(BA992="WIP - 30 Days",VLOOKUP(D992,[3]Extended!$B$9:$J$101,9,FALSE),IF(BA992="31-120 Days",VLOOKUP(D992,[3]Extended!$B$9:$K$101,10,FALSE),IF(BA992="121-365 Days",VLOOKUP(D992,[3]Extended!$B$9:$L$101,11,FALSE),VLOOKUP(D992,[3]Extended!$B$9:$M$101,12,FALSE)))),0)</f>
        <v>0</v>
      </c>
      <c r="P992" s="116" t="e">
        <f t="shared" si="76"/>
        <v>#VALUE!</v>
      </c>
      <c r="Q992" s="110" t="e">
        <f>O992-#REF!</f>
        <v>#REF!</v>
      </c>
      <c r="W992" s="311"/>
      <c r="X992" s="311"/>
      <c r="Y992" s="311"/>
      <c r="Z992" s="311"/>
      <c r="AA992" s="311"/>
      <c r="AB992" s="311"/>
      <c r="AC992" s="311"/>
      <c r="AT992" s="88" t="str">
        <f t="shared" si="77"/>
        <v>Special Order0</v>
      </c>
      <c r="AU992" s="89" t="str">
        <f t="shared" si="78"/>
        <v>01-1900</v>
      </c>
      <c r="BA992" s="92" t="str">
        <f t="shared" si="79"/>
        <v/>
      </c>
    </row>
    <row r="993" spans="2:53">
      <c r="B993" s="60">
        <f>[2]Trucks!A990</f>
        <v>0</v>
      </c>
      <c r="C993" s="11">
        <f>[2]Trucks!B990</f>
        <v>0</v>
      </c>
      <c r="D993" s="19" t="str">
        <f>IFERROR(VLOOKUP(C993&amp;"",'[2]Retail Price List'!$A$3:$B$103,2,FALSE),"Special Order")</f>
        <v>Special Order</v>
      </c>
      <c r="E993" s="18">
        <f>[2]Trucks!J990</f>
        <v>0</v>
      </c>
      <c r="F993" s="12">
        <f>[2]Trucks!E990</f>
        <v>0</v>
      </c>
      <c r="G993" s="56">
        <f>[2]Trucks!K990</f>
        <v>0</v>
      </c>
      <c r="H993" s="46">
        <f>[2]Trucks!I990</f>
        <v>0</v>
      </c>
      <c r="I993" s="83" t="str">
        <f t="shared" si="75"/>
        <v/>
      </c>
      <c r="J993" s="272" t="str">
        <f>IFERROR(VLOOKUP((D993&amp;C993)&amp;"",'[2]Retail Price List'!$C$4:$F$102,3,FALSE),"")</f>
        <v/>
      </c>
      <c r="K993" s="272">
        <f>IFERROR(IF(BA993="WIP - 30 Days",VLOOKUP(D993,[3]Standard!$B$9:$E$101,4,FALSE),IF(BA993="31-120 Days",VLOOKUP(D993,[3]Standard!$B$9:$F$101,5,FALSE),IF(BA993="121-365 Days",VLOOKUP(D993,[3]Standard!$B$9:$G$101,6,FALSE),VLOOKUP(D993,[3]Standard!$B$9:$H$101,7,FALSE)))),0)</f>
        <v>0</v>
      </c>
      <c r="L993" s="272">
        <f>IFERROR(IF(BA993="WIP - 30 Days",VLOOKUP(D993,[3]Standard!$B$9:$J$101,9,FALSE),IF(BA993="31-120 Days",VLOOKUP(D993,[3]Standard!$B$9:$K$100,10,FALSE),IF(BA993="121-365 Days",VLOOKUP(D993,[3]Standard!$B$9:$L$101,11,FALSE),VLOOKUP(D993,[3]Standard!$B$9:$M$101,12,FALSE)))),0)</f>
        <v>0</v>
      </c>
      <c r="M993" s="269" t="str">
        <f>IFERROR(VLOOKUP((D993&amp;C993)&amp;"",'[2]Retail Price List'!$C$4:$F$102,4,FALSE),"")</f>
        <v/>
      </c>
      <c r="N993" s="269">
        <f>IFERROR(IF(BA993="WIP - 30 Days",VLOOKUP(D993,[3]Extended!$B$9:$E$101,4,FALSE),IF(BA993="31-120 Days",VLOOKUP(D993,[3]Extended!$B$9:$F$101,5,FALSE),IF(BA993="121-365 Days",VLOOKUP(D993,[3]Extended!$B$9:$G$101,6,FALSE),VLOOKUP(D993,[3]Extended!$B$9:$H$101,7,FALSE)))),0)</f>
        <v>0</v>
      </c>
      <c r="O993" s="269">
        <f>IFERROR(IF(BA993="WIP - 30 Days",VLOOKUP(D993,[3]Extended!$B$9:$J$101,9,FALSE),IF(BA993="31-120 Days",VLOOKUP(D993,[3]Extended!$B$9:$K$101,10,FALSE),IF(BA993="121-365 Days",VLOOKUP(D993,[3]Extended!$B$9:$L$101,11,FALSE),VLOOKUP(D993,[3]Extended!$B$9:$M$101,12,FALSE)))),0)</f>
        <v>0</v>
      </c>
      <c r="P993" s="116" t="e">
        <f t="shared" si="76"/>
        <v>#VALUE!</v>
      </c>
      <c r="Q993" s="110" t="e">
        <f>O993-#REF!</f>
        <v>#REF!</v>
      </c>
      <c r="W993" s="311"/>
      <c r="X993" s="311"/>
      <c r="Y993" s="311"/>
      <c r="Z993" s="311"/>
      <c r="AA993" s="311"/>
      <c r="AB993" s="311"/>
      <c r="AC993" s="311"/>
      <c r="AT993" s="88" t="str">
        <f t="shared" si="77"/>
        <v>Special Order0</v>
      </c>
      <c r="AU993" s="89" t="str">
        <f t="shared" si="78"/>
        <v>01-1900</v>
      </c>
      <c r="BA993" s="92" t="str">
        <f t="shared" si="79"/>
        <v/>
      </c>
    </row>
    <row r="994" spans="2:53">
      <c r="B994" s="60">
        <f>[2]Trucks!A991</f>
        <v>0</v>
      </c>
      <c r="C994" s="11">
        <f>[2]Trucks!B991</f>
        <v>0</v>
      </c>
      <c r="D994" s="19" t="str">
        <f>IFERROR(VLOOKUP(C994&amp;"",'[2]Retail Price List'!$A$3:$B$103,2,FALSE),"Special Order")</f>
        <v>Special Order</v>
      </c>
      <c r="E994" s="18">
        <f>[2]Trucks!J991</f>
        <v>0</v>
      </c>
      <c r="F994" s="12">
        <f>[2]Trucks!E991</f>
        <v>0</v>
      </c>
      <c r="G994" s="56">
        <f>[2]Trucks!K991</f>
        <v>0</v>
      </c>
      <c r="H994" s="46">
        <f>[2]Trucks!I991</f>
        <v>0</v>
      </c>
      <c r="I994" s="83" t="str">
        <f t="shared" si="75"/>
        <v/>
      </c>
      <c r="J994" s="272" t="str">
        <f>IFERROR(VLOOKUP((D994&amp;C994)&amp;"",'[2]Retail Price List'!$C$4:$F$102,3,FALSE),"")</f>
        <v/>
      </c>
      <c r="K994" s="272">
        <f>IFERROR(IF(BA994="WIP - 30 Days",VLOOKUP(D994,[3]Standard!$B$9:$E$101,4,FALSE),IF(BA994="31-120 Days",VLOOKUP(D994,[3]Standard!$B$9:$F$101,5,FALSE),IF(BA994="121-365 Days",VLOOKUP(D994,[3]Standard!$B$9:$G$101,6,FALSE),VLOOKUP(D994,[3]Standard!$B$9:$H$101,7,FALSE)))),0)</f>
        <v>0</v>
      </c>
      <c r="L994" s="272">
        <f>IFERROR(IF(BA994="WIP - 30 Days",VLOOKUP(D994,[3]Standard!$B$9:$J$101,9,FALSE),IF(BA994="31-120 Days",VLOOKUP(D994,[3]Standard!$B$9:$K$100,10,FALSE),IF(BA994="121-365 Days",VLOOKUP(D994,[3]Standard!$B$9:$L$101,11,FALSE),VLOOKUP(D994,[3]Standard!$B$9:$M$101,12,FALSE)))),0)</f>
        <v>0</v>
      </c>
      <c r="M994" s="269" t="str">
        <f>IFERROR(VLOOKUP((D994&amp;C994)&amp;"",'[2]Retail Price List'!$C$4:$F$102,4,FALSE),"")</f>
        <v/>
      </c>
      <c r="N994" s="269">
        <f>IFERROR(IF(BA994="WIP - 30 Days",VLOOKUP(D994,[3]Extended!$B$9:$E$101,4,FALSE),IF(BA994="31-120 Days",VLOOKUP(D994,[3]Extended!$B$9:$F$101,5,FALSE),IF(BA994="121-365 Days",VLOOKUP(D994,[3]Extended!$B$9:$G$101,6,FALSE),VLOOKUP(D994,[3]Extended!$B$9:$H$101,7,FALSE)))),0)</f>
        <v>0</v>
      </c>
      <c r="O994" s="269">
        <f>IFERROR(IF(BA994="WIP - 30 Days",VLOOKUP(D994,[3]Extended!$B$9:$J$101,9,FALSE),IF(BA994="31-120 Days",VLOOKUP(D994,[3]Extended!$B$9:$K$101,10,FALSE),IF(BA994="121-365 Days",VLOOKUP(D994,[3]Extended!$B$9:$L$101,11,FALSE),VLOOKUP(D994,[3]Extended!$B$9:$M$101,12,FALSE)))),0)</f>
        <v>0</v>
      </c>
      <c r="P994" s="116" t="e">
        <f t="shared" si="76"/>
        <v>#VALUE!</v>
      </c>
      <c r="Q994" s="110" t="e">
        <f>O994-#REF!</f>
        <v>#REF!</v>
      </c>
      <c r="W994" s="311"/>
      <c r="X994" s="311"/>
      <c r="Y994" s="311"/>
      <c r="Z994" s="311"/>
      <c r="AA994" s="311"/>
      <c r="AB994" s="311"/>
      <c r="AC994" s="311"/>
      <c r="AT994" s="88" t="str">
        <f t="shared" si="77"/>
        <v>Special Order0</v>
      </c>
      <c r="AU994" s="89" t="str">
        <f t="shared" si="78"/>
        <v>01-1900</v>
      </c>
      <c r="BA994" s="92" t="str">
        <f t="shared" si="79"/>
        <v/>
      </c>
    </row>
    <row r="995" spans="2:53">
      <c r="B995" s="60">
        <f>[2]Trucks!A992</f>
        <v>0</v>
      </c>
      <c r="C995" s="11">
        <f>[2]Trucks!B992</f>
        <v>0</v>
      </c>
      <c r="D995" s="19" t="str">
        <f>IFERROR(VLOOKUP(C995&amp;"",'[2]Retail Price List'!$A$3:$B$103,2,FALSE),"Special Order")</f>
        <v>Special Order</v>
      </c>
      <c r="E995" s="18">
        <f>[2]Trucks!J992</f>
        <v>0</v>
      </c>
      <c r="F995" s="12">
        <f>[2]Trucks!E992</f>
        <v>0</v>
      </c>
      <c r="G995" s="56">
        <f>[2]Trucks!K992</f>
        <v>0</v>
      </c>
      <c r="H995" s="46">
        <f>[2]Trucks!I992</f>
        <v>0</v>
      </c>
      <c r="I995" s="83" t="str">
        <f t="shared" si="75"/>
        <v/>
      </c>
      <c r="J995" s="272" t="str">
        <f>IFERROR(VLOOKUP((D995&amp;C995)&amp;"",'[2]Retail Price List'!$C$4:$F$102,3,FALSE),"")</f>
        <v/>
      </c>
      <c r="K995" s="272">
        <f>IFERROR(IF(BA995="WIP - 30 Days",VLOOKUP(D995,[3]Standard!$B$9:$E$101,4,FALSE),IF(BA995="31-120 Days",VLOOKUP(D995,[3]Standard!$B$9:$F$101,5,FALSE),IF(BA995="121-365 Days",VLOOKUP(D995,[3]Standard!$B$9:$G$101,6,FALSE),VLOOKUP(D995,[3]Standard!$B$9:$H$101,7,FALSE)))),0)</f>
        <v>0</v>
      </c>
      <c r="L995" s="272">
        <f>IFERROR(IF(BA995="WIP - 30 Days",VLOOKUP(D995,[3]Standard!$B$9:$J$101,9,FALSE),IF(BA995="31-120 Days",VLOOKUP(D995,[3]Standard!$B$9:$K$100,10,FALSE),IF(BA995="121-365 Days",VLOOKUP(D995,[3]Standard!$B$9:$L$101,11,FALSE),VLOOKUP(D995,[3]Standard!$B$9:$M$101,12,FALSE)))),0)</f>
        <v>0</v>
      </c>
      <c r="M995" s="269" t="str">
        <f>IFERROR(VLOOKUP((D995&amp;C995)&amp;"",'[2]Retail Price List'!$C$4:$F$102,4,FALSE),"")</f>
        <v/>
      </c>
      <c r="N995" s="269">
        <f>IFERROR(IF(BA995="WIP - 30 Days",VLOOKUP(D995,[3]Extended!$B$9:$E$101,4,FALSE),IF(BA995="31-120 Days",VLOOKUP(D995,[3]Extended!$B$9:$F$101,5,FALSE),IF(BA995="121-365 Days",VLOOKUP(D995,[3]Extended!$B$9:$G$101,6,FALSE),VLOOKUP(D995,[3]Extended!$B$9:$H$101,7,FALSE)))),0)</f>
        <v>0</v>
      </c>
      <c r="O995" s="269">
        <f>IFERROR(IF(BA995="WIP - 30 Days",VLOOKUP(D995,[3]Extended!$B$9:$J$101,9,FALSE),IF(BA995="31-120 Days",VLOOKUP(D995,[3]Extended!$B$9:$K$101,10,FALSE),IF(BA995="121-365 Days",VLOOKUP(D995,[3]Extended!$B$9:$L$101,11,FALSE),VLOOKUP(D995,[3]Extended!$B$9:$M$101,12,FALSE)))),0)</f>
        <v>0</v>
      </c>
      <c r="P995" s="116" t="e">
        <f t="shared" si="76"/>
        <v>#VALUE!</v>
      </c>
      <c r="Q995" s="110" t="e">
        <f>O995-#REF!</f>
        <v>#REF!</v>
      </c>
      <c r="W995" s="311"/>
      <c r="X995" s="311"/>
      <c r="Y995" s="311"/>
      <c r="Z995" s="311"/>
      <c r="AA995" s="311"/>
      <c r="AB995" s="311"/>
      <c r="AC995" s="311"/>
      <c r="AT995" s="88" t="str">
        <f t="shared" si="77"/>
        <v>Special Order0</v>
      </c>
      <c r="AU995" s="89" t="str">
        <f t="shared" si="78"/>
        <v>01-1900</v>
      </c>
      <c r="BA995" s="92" t="str">
        <f t="shared" si="79"/>
        <v/>
      </c>
    </row>
    <row r="996" spans="2:53">
      <c r="B996" s="60">
        <f>[2]Trucks!A993</f>
        <v>0</v>
      </c>
      <c r="C996" s="11">
        <f>[2]Trucks!B993</f>
        <v>0</v>
      </c>
      <c r="D996" s="19" t="str">
        <f>IFERROR(VLOOKUP(C996&amp;"",'[2]Retail Price List'!$A$3:$B$103,2,FALSE),"Special Order")</f>
        <v>Special Order</v>
      </c>
      <c r="E996" s="18">
        <f>[2]Trucks!J993</f>
        <v>0</v>
      </c>
      <c r="F996" s="12">
        <f>[2]Trucks!E993</f>
        <v>0</v>
      </c>
      <c r="G996" s="56">
        <f>[2]Trucks!K993</f>
        <v>0</v>
      </c>
      <c r="H996" s="46">
        <f>[2]Trucks!I993</f>
        <v>0</v>
      </c>
      <c r="I996" s="83" t="str">
        <f t="shared" si="75"/>
        <v/>
      </c>
      <c r="J996" s="272" t="str">
        <f>IFERROR(VLOOKUP((D996&amp;C996)&amp;"",'[2]Retail Price List'!$C$4:$F$102,3,FALSE),"")</f>
        <v/>
      </c>
      <c r="K996" s="272">
        <f>IFERROR(IF(BA996="WIP - 30 Days",VLOOKUP(D996,[3]Standard!$B$9:$E$101,4,FALSE),IF(BA996="31-120 Days",VLOOKUP(D996,[3]Standard!$B$9:$F$101,5,FALSE),IF(BA996="121-365 Days",VLOOKUP(D996,[3]Standard!$B$9:$G$101,6,FALSE),VLOOKUP(D996,[3]Standard!$B$9:$H$101,7,FALSE)))),0)</f>
        <v>0</v>
      </c>
      <c r="L996" s="272">
        <f>IFERROR(IF(BA996="WIP - 30 Days",VLOOKUP(D996,[3]Standard!$B$9:$J$101,9,FALSE),IF(BA996="31-120 Days",VLOOKUP(D996,[3]Standard!$B$9:$K$100,10,FALSE),IF(BA996="121-365 Days",VLOOKUP(D996,[3]Standard!$B$9:$L$101,11,FALSE),VLOOKUP(D996,[3]Standard!$B$9:$M$101,12,FALSE)))),0)</f>
        <v>0</v>
      </c>
      <c r="M996" s="269" t="str">
        <f>IFERROR(VLOOKUP((D996&amp;C996)&amp;"",'[2]Retail Price List'!$C$4:$F$102,4,FALSE),"")</f>
        <v/>
      </c>
      <c r="N996" s="269">
        <f>IFERROR(IF(BA996="WIP - 30 Days",VLOOKUP(D996,[3]Extended!$B$9:$E$101,4,FALSE),IF(BA996="31-120 Days",VLOOKUP(D996,[3]Extended!$B$9:$F$101,5,FALSE),IF(BA996="121-365 Days",VLOOKUP(D996,[3]Extended!$B$9:$G$101,6,FALSE),VLOOKUP(D996,[3]Extended!$B$9:$H$101,7,FALSE)))),0)</f>
        <v>0</v>
      </c>
      <c r="O996" s="269">
        <f>IFERROR(IF(BA996="WIP - 30 Days",VLOOKUP(D996,[3]Extended!$B$9:$J$101,9,FALSE),IF(BA996="31-120 Days",VLOOKUP(D996,[3]Extended!$B$9:$K$101,10,FALSE),IF(BA996="121-365 Days",VLOOKUP(D996,[3]Extended!$B$9:$L$101,11,FALSE),VLOOKUP(D996,[3]Extended!$B$9:$M$101,12,FALSE)))),0)</f>
        <v>0</v>
      </c>
      <c r="P996" s="116" t="e">
        <f t="shared" si="76"/>
        <v>#VALUE!</v>
      </c>
      <c r="Q996" s="110" t="e">
        <f>O996-#REF!</f>
        <v>#REF!</v>
      </c>
      <c r="W996" s="311"/>
      <c r="X996" s="311"/>
      <c r="Y996" s="311"/>
      <c r="Z996" s="311"/>
      <c r="AA996" s="311"/>
      <c r="AB996" s="311"/>
      <c r="AC996" s="311"/>
      <c r="AT996" s="88" t="str">
        <f t="shared" si="77"/>
        <v>Special Order0</v>
      </c>
      <c r="AU996" s="89" t="str">
        <f t="shared" si="78"/>
        <v>01-1900</v>
      </c>
      <c r="BA996" s="92" t="str">
        <f t="shared" si="79"/>
        <v/>
      </c>
    </row>
    <row r="997" spans="2:53">
      <c r="B997" s="60">
        <f>[2]Trucks!A994</f>
        <v>0</v>
      </c>
      <c r="C997" s="11">
        <f>[2]Trucks!B994</f>
        <v>0</v>
      </c>
      <c r="D997" s="19" t="str">
        <f>IFERROR(VLOOKUP(C997&amp;"",'[2]Retail Price List'!$A$3:$B$103,2,FALSE),"Special Order")</f>
        <v>Special Order</v>
      </c>
      <c r="E997" s="18">
        <f>[2]Trucks!J994</f>
        <v>0</v>
      </c>
      <c r="F997" s="12">
        <f>[2]Trucks!E994</f>
        <v>0</v>
      </c>
      <c r="G997" s="56">
        <f>[2]Trucks!K994</f>
        <v>0</v>
      </c>
      <c r="H997" s="46">
        <f>[2]Trucks!I994</f>
        <v>0</v>
      </c>
      <c r="I997" s="83" t="str">
        <f t="shared" si="75"/>
        <v/>
      </c>
      <c r="J997" s="272" t="str">
        <f>IFERROR(VLOOKUP((D997&amp;C997)&amp;"",'[2]Retail Price List'!$C$4:$F$102,3,FALSE),"")</f>
        <v/>
      </c>
      <c r="K997" s="272">
        <f>IFERROR(IF(BA997="WIP - 30 Days",VLOOKUP(D997,[3]Standard!$B$9:$E$101,4,FALSE),IF(BA997="31-120 Days",VLOOKUP(D997,[3]Standard!$B$9:$F$101,5,FALSE),IF(BA997="121-365 Days",VLOOKUP(D997,[3]Standard!$B$9:$G$101,6,FALSE),VLOOKUP(D997,[3]Standard!$B$9:$H$101,7,FALSE)))),0)</f>
        <v>0</v>
      </c>
      <c r="L997" s="272">
        <f>IFERROR(IF(BA997="WIP - 30 Days",VLOOKUP(D997,[3]Standard!$B$9:$J$101,9,FALSE),IF(BA997="31-120 Days",VLOOKUP(D997,[3]Standard!$B$9:$K$100,10,FALSE),IF(BA997="121-365 Days",VLOOKUP(D997,[3]Standard!$B$9:$L$101,11,FALSE),VLOOKUP(D997,[3]Standard!$B$9:$M$101,12,FALSE)))),0)</f>
        <v>0</v>
      </c>
      <c r="M997" s="269" t="str">
        <f>IFERROR(VLOOKUP((D997&amp;C997)&amp;"",'[2]Retail Price List'!$C$4:$F$102,4,FALSE),"")</f>
        <v/>
      </c>
      <c r="N997" s="269">
        <f>IFERROR(IF(BA997="WIP - 30 Days",VLOOKUP(D997,[3]Extended!$B$9:$E$101,4,FALSE),IF(BA997="31-120 Days",VLOOKUP(D997,[3]Extended!$B$9:$F$101,5,FALSE),IF(BA997="121-365 Days",VLOOKUP(D997,[3]Extended!$B$9:$G$101,6,FALSE),VLOOKUP(D997,[3]Extended!$B$9:$H$101,7,FALSE)))),0)</f>
        <v>0</v>
      </c>
      <c r="O997" s="269">
        <f>IFERROR(IF(BA997="WIP - 30 Days",VLOOKUP(D997,[3]Extended!$B$9:$J$101,9,FALSE),IF(BA997="31-120 Days",VLOOKUP(D997,[3]Extended!$B$9:$K$101,10,FALSE),IF(BA997="121-365 Days",VLOOKUP(D997,[3]Extended!$B$9:$L$101,11,FALSE),VLOOKUP(D997,[3]Extended!$B$9:$M$101,12,FALSE)))),0)</f>
        <v>0</v>
      </c>
      <c r="P997" s="116" t="e">
        <f t="shared" si="76"/>
        <v>#VALUE!</v>
      </c>
      <c r="Q997" s="110" t="e">
        <f>O997-#REF!</f>
        <v>#REF!</v>
      </c>
      <c r="W997" s="311"/>
      <c r="X997" s="311"/>
      <c r="Y997" s="311"/>
      <c r="Z997" s="311"/>
      <c r="AA997" s="311"/>
      <c r="AB997" s="311"/>
      <c r="AC997" s="311"/>
      <c r="AT997" s="88" t="str">
        <f t="shared" si="77"/>
        <v>Special Order0</v>
      </c>
      <c r="AU997" s="89" t="str">
        <f t="shared" si="78"/>
        <v>01-1900</v>
      </c>
      <c r="BA997" s="92" t="str">
        <f t="shared" si="79"/>
        <v/>
      </c>
    </row>
    <row r="998" spans="2:53">
      <c r="B998" s="60">
        <f>[2]Trucks!A995</f>
        <v>0</v>
      </c>
      <c r="C998" s="11">
        <f>[2]Trucks!B995</f>
        <v>0</v>
      </c>
      <c r="D998" s="19" t="str">
        <f>IFERROR(VLOOKUP(C998&amp;"",'[2]Retail Price List'!$A$3:$B$103,2,FALSE),"Special Order")</f>
        <v>Special Order</v>
      </c>
      <c r="E998" s="18">
        <f>[2]Trucks!J995</f>
        <v>0</v>
      </c>
      <c r="F998" s="12">
        <f>[2]Trucks!E995</f>
        <v>0</v>
      </c>
      <c r="G998" s="56">
        <f>[2]Trucks!K995</f>
        <v>0</v>
      </c>
      <c r="H998" s="46">
        <f>[2]Trucks!I995</f>
        <v>0</v>
      </c>
      <c r="I998" s="83" t="str">
        <f t="shared" si="75"/>
        <v/>
      </c>
      <c r="J998" s="272" t="str">
        <f>IFERROR(VLOOKUP((D998&amp;C998)&amp;"",'[2]Retail Price List'!$C$4:$F$102,3,FALSE),"")</f>
        <v/>
      </c>
      <c r="K998" s="272">
        <f>IFERROR(IF(BA998="WIP - 30 Days",VLOOKUP(D998,[3]Standard!$B$9:$E$101,4,FALSE),IF(BA998="31-120 Days",VLOOKUP(D998,[3]Standard!$B$9:$F$101,5,FALSE),IF(BA998="121-365 Days",VLOOKUP(D998,[3]Standard!$B$9:$G$101,6,FALSE),VLOOKUP(D998,[3]Standard!$B$9:$H$101,7,FALSE)))),0)</f>
        <v>0</v>
      </c>
      <c r="L998" s="272">
        <f>IFERROR(IF(BA998="WIP - 30 Days",VLOOKUP(D998,[3]Standard!$B$9:$J$101,9,FALSE),IF(BA998="31-120 Days",VLOOKUP(D998,[3]Standard!$B$9:$K$100,10,FALSE),IF(BA998="121-365 Days",VLOOKUP(D998,[3]Standard!$B$9:$L$101,11,FALSE),VLOOKUP(D998,[3]Standard!$B$9:$M$101,12,FALSE)))),0)</f>
        <v>0</v>
      </c>
      <c r="M998" s="269" t="str">
        <f>IFERROR(VLOOKUP((D998&amp;C998)&amp;"",'[2]Retail Price List'!$C$4:$F$102,4,FALSE),"")</f>
        <v/>
      </c>
      <c r="N998" s="269">
        <f>IFERROR(IF(BA998="WIP - 30 Days",VLOOKUP(D998,[3]Extended!$B$9:$E$101,4,FALSE),IF(BA998="31-120 Days",VLOOKUP(D998,[3]Extended!$B$9:$F$101,5,FALSE),IF(BA998="121-365 Days",VLOOKUP(D998,[3]Extended!$B$9:$G$101,6,FALSE),VLOOKUP(D998,[3]Extended!$B$9:$H$101,7,FALSE)))),0)</f>
        <v>0</v>
      </c>
      <c r="O998" s="269">
        <f>IFERROR(IF(BA998="WIP - 30 Days",VLOOKUP(D998,[3]Extended!$B$9:$J$101,9,FALSE),IF(BA998="31-120 Days",VLOOKUP(D998,[3]Extended!$B$9:$K$101,10,FALSE),IF(BA998="121-365 Days",VLOOKUP(D998,[3]Extended!$B$9:$L$101,11,FALSE),VLOOKUP(D998,[3]Extended!$B$9:$M$101,12,FALSE)))),0)</f>
        <v>0</v>
      </c>
      <c r="P998" s="116" t="e">
        <f t="shared" si="76"/>
        <v>#VALUE!</v>
      </c>
      <c r="Q998" s="110" t="e">
        <f>O998-#REF!</f>
        <v>#REF!</v>
      </c>
      <c r="W998" s="311"/>
      <c r="X998" s="311"/>
      <c r="Y998" s="311"/>
      <c r="Z998" s="311"/>
      <c r="AA998" s="311"/>
      <c r="AB998" s="311"/>
      <c r="AC998" s="311"/>
      <c r="AT998" s="88" t="str">
        <f t="shared" si="77"/>
        <v>Special Order0</v>
      </c>
      <c r="AU998" s="89" t="str">
        <f t="shared" si="78"/>
        <v>01-1900</v>
      </c>
      <c r="BA998" s="92" t="str">
        <f t="shared" si="79"/>
        <v/>
      </c>
    </row>
    <row r="999" spans="2:53">
      <c r="B999" s="60">
        <f>[2]Trucks!A996</f>
        <v>0</v>
      </c>
      <c r="C999" s="11">
        <f>[2]Trucks!B996</f>
        <v>0</v>
      </c>
      <c r="D999" s="19" t="str">
        <f>IFERROR(VLOOKUP(C999&amp;"",'[2]Retail Price List'!$A$3:$B$103,2,FALSE),"Special Order")</f>
        <v>Special Order</v>
      </c>
      <c r="E999" s="18">
        <f>[2]Trucks!J996</f>
        <v>0</v>
      </c>
      <c r="F999" s="12">
        <f>[2]Trucks!E996</f>
        <v>0</v>
      </c>
      <c r="G999" s="56">
        <f>[2]Trucks!K996</f>
        <v>0</v>
      </c>
      <c r="H999" s="46">
        <f>[2]Trucks!I996</f>
        <v>0</v>
      </c>
      <c r="I999" s="83" t="str">
        <f t="shared" si="75"/>
        <v/>
      </c>
      <c r="J999" s="272" t="str">
        <f>IFERROR(VLOOKUP((D999&amp;C999)&amp;"",'[2]Retail Price List'!$C$4:$F$102,3,FALSE),"")</f>
        <v/>
      </c>
      <c r="K999" s="272">
        <f>IFERROR(IF(BA999="WIP - 30 Days",VLOOKUP(D999,[3]Standard!$B$9:$E$101,4,FALSE),IF(BA999="31-120 Days",VLOOKUP(D999,[3]Standard!$B$9:$F$101,5,FALSE),IF(BA999="121-365 Days",VLOOKUP(D999,[3]Standard!$B$9:$G$101,6,FALSE),VLOOKUP(D999,[3]Standard!$B$9:$H$101,7,FALSE)))),0)</f>
        <v>0</v>
      </c>
      <c r="L999" s="272">
        <f>IFERROR(IF(BA999="WIP - 30 Days",VLOOKUP(D999,[3]Standard!$B$9:$J$101,9,FALSE),IF(BA999="31-120 Days",VLOOKUP(D999,[3]Standard!$B$9:$K$100,10,FALSE),IF(BA999="121-365 Days",VLOOKUP(D999,[3]Standard!$B$9:$L$101,11,FALSE),VLOOKUP(D999,[3]Standard!$B$9:$M$101,12,FALSE)))),0)</f>
        <v>0</v>
      </c>
      <c r="M999" s="269" t="str">
        <f>IFERROR(VLOOKUP((D999&amp;C999)&amp;"",'[2]Retail Price List'!$C$4:$F$102,4,FALSE),"")</f>
        <v/>
      </c>
      <c r="N999" s="269">
        <f>IFERROR(IF(BA999="WIP - 30 Days",VLOOKUP(D999,[3]Extended!$B$9:$E$101,4,FALSE),IF(BA999="31-120 Days",VLOOKUP(D999,[3]Extended!$B$9:$F$101,5,FALSE),IF(BA999="121-365 Days",VLOOKUP(D999,[3]Extended!$B$9:$G$101,6,FALSE),VLOOKUP(D999,[3]Extended!$B$9:$H$101,7,FALSE)))),0)</f>
        <v>0</v>
      </c>
      <c r="O999" s="269">
        <f>IFERROR(IF(BA999="WIP - 30 Days",VLOOKUP(D999,[3]Extended!$B$9:$J$101,9,FALSE),IF(BA999="31-120 Days",VLOOKUP(D999,[3]Extended!$B$9:$K$101,10,FALSE),IF(BA999="121-365 Days",VLOOKUP(D999,[3]Extended!$B$9:$L$101,11,FALSE),VLOOKUP(D999,[3]Extended!$B$9:$M$101,12,FALSE)))),0)</f>
        <v>0</v>
      </c>
      <c r="P999" s="116" t="e">
        <f t="shared" si="76"/>
        <v>#VALUE!</v>
      </c>
      <c r="Q999" s="110" t="e">
        <f>O999-#REF!</f>
        <v>#REF!</v>
      </c>
      <c r="W999" s="311"/>
      <c r="X999" s="311"/>
      <c r="Y999" s="311"/>
      <c r="Z999" s="311"/>
      <c r="AA999" s="311"/>
      <c r="AB999" s="311"/>
      <c r="AC999" s="311"/>
      <c r="AT999" s="88" t="str">
        <f t="shared" si="77"/>
        <v>Special Order0</v>
      </c>
      <c r="AU999" s="89" t="str">
        <f t="shared" si="78"/>
        <v>01-1900</v>
      </c>
      <c r="BA999" s="92" t="str">
        <f t="shared" si="79"/>
        <v/>
      </c>
    </row>
    <row r="1000" spans="2:53">
      <c r="B1000" s="60">
        <f>[2]Trucks!A997</f>
        <v>0</v>
      </c>
      <c r="C1000" s="11">
        <f>[2]Trucks!B997</f>
        <v>0</v>
      </c>
      <c r="D1000" s="19" t="str">
        <f>IFERROR(VLOOKUP(C1000&amp;"",'[2]Retail Price List'!$A$3:$B$103,2,FALSE),"Special Order")</f>
        <v>Special Order</v>
      </c>
      <c r="E1000" s="18">
        <f>[2]Trucks!J997</f>
        <v>0</v>
      </c>
      <c r="F1000" s="12">
        <f>[2]Trucks!E997</f>
        <v>0</v>
      </c>
      <c r="G1000" s="56">
        <f>[2]Trucks!K997</f>
        <v>0</v>
      </c>
      <c r="H1000" s="46">
        <f>[2]Trucks!I997</f>
        <v>0</v>
      </c>
      <c r="I1000" s="83" t="str">
        <f t="shared" si="75"/>
        <v/>
      </c>
      <c r="J1000" s="272" t="str">
        <f>IFERROR(VLOOKUP((D1000&amp;C1000)&amp;"",'[2]Retail Price List'!$C$4:$F$102,3,FALSE),"")</f>
        <v/>
      </c>
      <c r="K1000" s="272">
        <f>IFERROR(IF(BA1000="WIP - 30 Days",VLOOKUP(D1000,[3]Standard!$B$9:$E$101,4,FALSE),IF(BA1000="31-120 Days",VLOOKUP(D1000,[3]Standard!$B$9:$F$101,5,FALSE),IF(BA1000="121-365 Days",VLOOKUP(D1000,[3]Standard!$B$9:$G$101,6,FALSE),VLOOKUP(D1000,[3]Standard!$B$9:$H$101,7,FALSE)))),0)</f>
        <v>0</v>
      </c>
      <c r="L1000" s="272">
        <f>IFERROR(IF(BA1000="WIP - 30 Days",VLOOKUP(D1000,[3]Standard!$B$9:$J$101,9,FALSE),IF(BA1000="31-120 Days",VLOOKUP(D1000,[3]Standard!$B$9:$K$100,10,FALSE),IF(BA1000="121-365 Days",VLOOKUP(D1000,[3]Standard!$B$9:$L$101,11,FALSE),VLOOKUP(D1000,[3]Standard!$B$9:$M$101,12,FALSE)))),0)</f>
        <v>0</v>
      </c>
      <c r="M1000" s="269" t="str">
        <f>IFERROR(VLOOKUP((D1000&amp;C1000)&amp;"",'[2]Retail Price List'!$C$4:$F$102,4,FALSE),"")</f>
        <v/>
      </c>
      <c r="N1000" s="269">
        <f>IFERROR(IF(BA1000="WIP - 30 Days",VLOOKUP(D1000,[3]Extended!$B$9:$E$101,4,FALSE),IF(BA1000="31-120 Days",VLOOKUP(D1000,[3]Extended!$B$9:$F$101,5,FALSE),IF(BA1000="121-365 Days",VLOOKUP(D1000,[3]Extended!$B$9:$G$101,6,FALSE),VLOOKUP(D1000,[3]Extended!$B$9:$H$101,7,FALSE)))),0)</f>
        <v>0</v>
      </c>
      <c r="O1000" s="269">
        <f>IFERROR(IF(BA1000="WIP - 30 Days",VLOOKUP(D1000,[3]Extended!$B$9:$J$101,9,FALSE),IF(BA1000="31-120 Days",VLOOKUP(D1000,[3]Extended!$B$9:$K$101,10,FALSE),IF(BA1000="121-365 Days",VLOOKUP(D1000,[3]Extended!$B$9:$L$101,11,FALSE),VLOOKUP(D1000,[3]Extended!$B$9:$M$101,12,FALSE)))),0)</f>
        <v>0</v>
      </c>
      <c r="P1000" s="116" t="e">
        <f t="shared" si="76"/>
        <v>#VALUE!</v>
      </c>
      <c r="Q1000" s="110" t="e">
        <f>O1000-#REF!</f>
        <v>#REF!</v>
      </c>
      <c r="W1000" s="311"/>
      <c r="X1000" s="311"/>
      <c r="Y1000" s="311"/>
      <c r="Z1000" s="311"/>
      <c r="AA1000" s="311"/>
      <c r="AB1000" s="311"/>
      <c r="AC1000" s="311"/>
      <c r="AT1000" s="88" t="str">
        <f t="shared" si="77"/>
        <v>Special Order0</v>
      </c>
      <c r="AU1000" s="89" t="str">
        <f t="shared" si="78"/>
        <v>01-1900</v>
      </c>
      <c r="BA1000" s="92" t="str">
        <f t="shared" si="79"/>
        <v/>
      </c>
    </row>
    <row r="1001" spans="2:53">
      <c r="B1001" s="60">
        <f>[2]Trucks!A998</f>
        <v>0</v>
      </c>
      <c r="C1001" s="11">
        <f>[2]Trucks!B998</f>
        <v>0</v>
      </c>
      <c r="D1001" s="19" t="str">
        <f>IFERROR(VLOOKUP(C1001&amp;"",'[2]Retail Price List'!$A$3:$B$103,2,FALSE),"Special Order")</f>
        <v>Special Order</v>
      </c>
      <c r="E1001" s="18">
        <f>[2]Trucks!J998</f>
        <v>0</v>
      </c>
      <c r="F1001" s="12">
        <f>[2]Trucks!E998</f>
        <v>0</v>
      </c>
      <c r="G1001" s="56">
        <f>[2]Trucks!K998</f>
        <v>0</v>
      </c>
      <c r="H1001" s="46">
        <f>[2]Trucks!I998</f>
        <v>0</v>
      </c>
      <c r="I1001" s="83" t="str">
        <f t="shared" si="75"/>
        <v/>
      </c>
      <c r="J1001" s="272" t="str">
        <f>IFERROR(VLOOKUP((D1001&amp;C1001)&amp;"",'[2]Retail Price List'!$C$4:$F$102,3,FALSE),"")</f>
        <v/>
      </c>
      <c r="K1001" s="272">
        <f>IFERROR(IF(BA1001="WIP - 30 Days",VLOOKUP(D1001,[3]Standard!$B$9:$E$101,4,FALSE),IF(BA1001="31-120 Days",VLOOKUP(D1001,[3]Standard!$B$9:$F$101,5,FALSE),IF(BA1001="121-365 Days",VLOOKUP(D1001,[3]Standard!$B$9:$G$101,6,FALSE),VLOOKUP(D1001,[3]Standard!$B$9:$H$101,7,FALSE)))),0)</f>
        <v>0</v>
      </c>
      <c r="L1001" s="272">
        <f>IFERROR(IF(BA1001="WIP - 30 Days",VLOOKUP(D1001,[3]Standard!$B$9:$J$101,9,FALSE),IF(BA1001="31-120 Days",VLOOKUP(D1001,[3]Standard!$B$9:$K$100,10,FALSE),IF(BA1001="121-365 Days",VLOOKUP(D1001,[3]Standard!$B$9:$L$101,11,FALSE),VLOOKUP(D1001,[3]Standard!$B$9:$M$101,12,FALSE)))),0)</f>
        <v>0</v>
      </c>
      <c r="M1001" s="269" t="str">
        <f>IFERROR(VLOOKUP((D1001&amp;C1001)&amp;"",'[2]Retail Price List'!$C$4:$F$102,4,FALSE),"")</f>
        <v/>
      </c>
      <c r="N1001" s="269">
        <f>IFERROR(IF(BA1001="WIP - 30 Days",VLOOKUP(D1001,[3]Extended!$B$9:$E$101,4,FALSE),IF(BA1001="31-120 Days",VLOOKUP(D1001,[3]Extended!$B$9:$F$101,5,FALSE),IF(BA1001="121-365 Days",VLOOKUP(D1001,[3]Extended!$B$9:$G$101,6,FALSE),VLOOKUP(D1001,[3]Extended!$B$9:$H$101,7,FALSE)))),0)</f>
        <v>0</v>
      </c>
      <c r="O1001" s="269">
        <f>IFERROR(IF(BA1001="WIP - 30 Days",VLOOKUP(D1001,[3]Extended!$B$9:$J$101,9,FALSE),IF(BA1001="31-120 Days",VLOOKUP(D1001,[3]Extended!$B$9:$K$101,10,FALSE),IF(BA1001="121-365 Days",VLOOKUP(D1001,[3]Extended!$B$9:$L$101,11,FALSE),VLOOKUP(D1001,[3]Extended!$B$9:$M$101,12,FALSE)))),0)</f>
        <v>0</v>
      </c>
      <c r="P1001" s="116" t="e">
        <f t="shared" si="76"/>
        <v>#VALUE!</v>
      </c>
      <c r="Q1001" s="110" t="e">
        <f>O1001-#REF!</f>
        <v>#REF!</v>
      </c>
      <c r="W1001" s="311"/>
      <c r="X1001" s="311"/>
      <c r="Y1001" s="311"/>
      <c r="Z1001" s="311"/>
      <c r="AA1001" s="311"/>
      <c r="AB1001" s="311"/>
      <c r="AC1001" s="311"/>
      <c r="AT1001" s="88" t="str">
        <f t="shared" si="77"/>
        <v>Special Order0</v>
      </c>
      <c r="AU1001" s="89" t="str">
        <f t="shared" si="78"/>
        <v>01-1900</v>
      </c>
      <c r="BA1001" s="92" t="str">
        <f t="shared" si="79"/>
        <v/>
      </c>
    </row>
    <row r="1002" spans="2:53">
      <c r="B1002" s="60">
        <f>[2]Trucks!A999</f>
        <v>0</v>
      </c>
      <c r="C1002" s="11">
        <f>[2]Trucks!B999</f>
        <v>0</v>
      </c>
      <c r="D1002" s="19" t="str">
        <f>IFERROR(VLOOKUP(C1002&amp;"",'[2]Retail Price List'!$A$3:$B$103,2,FALSE),"Special Order")</f>
        <v>Special Order</v>
      </c>
      <c r="E1002" s="18">
        <f>[2]Trucks!J999</f>
        <v>0</v>
      </c>
      <c r="F1002" s="12">
        <f>[2]Trucks!E999</f>
        <v>0</v>
      </c>
      <c r="G1002" s="56">
        <f>[2]Trucks!K999</f>
        <v>0</v>
      </c>
      <c r="H1002" s="46">
        <f>[2]Trucks!I999</f>
        <v>0</v>
      </c>
      <c r="I1002" s="83" t="str">
        <f t="shared" si="75"/>
        <v/>
      </c>
      <c r="J1002" s="272" t="str">
        <f>IFERROR(VLOOKUP((D1002&amp;C1002)&amp;"",'[2]Retail Price List'!$C$4:$F$102,3,FALSE),"")</f>
        <v/>
      </c>
      <c r="K1002" s="272">
        <f>IFERROR(IF(BA1002="WIP - 30 Days",VLOOKUP(D1002,[3]Standard!$B$9:$E$101,4,FALSE),IF(BA1002="31-120 Days",VLOOKUP(D1002,[3]Standard!$B$9:$F$101,5,FALSE),IF(BA1002="121-365 Days",VLOOKUP(D1002,[3]Standard!$B$9:$G$101,6,FALSE),VLOOKUP(D1002,[3]Standard!$B$9:$H$101,7,FALSE)))),0)</f>
        <v>0</v>
      </c>
      <c r="L1002" s="272">
        <f>IFERROR(IF(BA1002="WIP - 30 Days",VLOOKUP(D1002,[3]Standard!$B$9:$J$101,9,FALSE),IF(BA1002="31-120 Days",VLOOKUP(D1002,[3]Standard!$B$9:$K$100,10,FALSE),IF(BA1002="121-365 Days",VLOOKUP(D1002,[3]Standard!$B$9:$L$101,11,FALSE),VLOOKUP(D1002,[3]Standard!$B$9:$M$101,12,FALSE)))),0)</f>
        <v>0</v>
      </c>
      <c r="M1002" s="269" t="str">
        <f>IFERROR(VLOOKUP((D1002&amp;C1002)&amp;"",'[2]Retail Price List'!$C$4:$F$102,4,FALSE),"")</f>
        <v/>
      </c>
      <c r="N1002" s="269">
        <f>IFERROR(IF(BA1002="WIP - 30 Days",VLOOKUP(D1002,[3]Extended!$B$9:$E$101,4,FALSE),IF(BA1002="31-120 Days",VLOOKUP(D1002,[3]Extended!$B$9:$F$101,5,FALSE),IF(BA1002="121-365 Days",VLOOKUP(D1002,[3]Extended!$B$9:$G$101,6,FALSE),VLOOKUP(D1002,[3]Extended!$B$9:$H$101,7,FALSE)))),0)</f>
        <v>0</v>
      </c>
      <c r="O1002" s="269">
        <f>IFERROR(IF(BA1002="WIP - 30 Days",VLOOKUP(D1002,[3]Extended!$B$9:$J$101,9,FALSE),IF(BA1002="31-120 Days",VLOOKUP(D1002,[3]Extended!$B$9:$K$101,10,FALSE),IF(BA1002="121-365 Days",VLOOKUP(D1002,[3]Extended!$B$9:$L$101,11,FALSE),VLOOKUP(D1002,[3]Extended!$B$9:$M$101,12,FALSE)))),0)</f>
        <v>0</v>
      </c>
      <c r="P1002" s="116" t="e">
        <f t="shared" si="76"/>
        <v>#VALUE!</v>
      </c>
      <c r="Q1002" s="110" t="e">
        <f>O1002-#REF!</f>
        <v>#REF!</v>
      </c>
      <c r="W1002" s="311"/>
      <c r="X1002" s="311"/>
      <c r="Y1002" s="311"/>
      <c r="Z1002" s="311"/>
      <c r="AA1002" s="311"/>
      <c r="AB1002" s="311"/>
      <c r="AC1002" s="311"/>
      <c r="AT1002" s="88" t="str">
        <f t="shared" si="77"/>
        <v>Special Order0</v>
      </c>
      <c r="AU1002" s="89" t="str">
        <f t="shared" si="78"/>
        <v>01-1900</v>
      </c>
      <c r="BA1002" s="92" t="str">
        <f t="shared" si="79"/>
        <v/>
      </c>
    </row>
    <row r="1003" spans="2:53">
      <c r="B1003" s="60">
        <f>[2]Trucks!A1000</f>
        <v>0</v>
      </c>
      <c r="C1003" s="11">
        <f>[2]Trucks!B1000</f>
        <v>0</v>
      </c>
      <c r="D1003" s="19" t="str">
        <f>IFERROR(VLOOKUP(C1003&amp;"",'[2]Retail Price List'!$A$3:$B$103,2,FALSE),"Special Order")</f>
        <v>Special Order</v>
      </c>
      <c r="E1003" s="18">
        <f>[2]Trucks!J1000</f>
        <v>0</v>
      </c>
      <c r="F1003" s="12">
        <f>[2]Trucks!E1000</f>
        <v>0</v>
      </c>
      <c r="G1003" s="56">
        <f>[2]Trucks!K1000</f>
        <v>0</v>
      </c>
      <c r="H1003" s="46">
        <f>[2]Trucks!I1000</f>
        <v>0</v>
      </c>
      <c r="I1003" s="83" t="str">
        <f t="shared" si="75"/>
        <v/>
      </c>
      <c r="J1003" s="272" t="str">
        <f>IFERROR(VLOOKUP((D1003&amp;C1003)&amp;"",'[2]Retail Price List'!$C$4:$F$102,3,FALSE),"")</f>
        <v/>
      </c>
      <c r="K1003" s="272">
        <f>IFERROR(IF(BA1003="WIP - 30 Days",VLOOKUP(D1003,[3]Standard!$B$9:$E$101,4,FALSE),IF(BA1003="31-120 Days",VLOOKUP(D1003,[3]Standard!$B$9:$F$101,5,FALSE),IF(BA1003="121-365 Days",VLOOKUP(D1003,[3]Standard!$B$9:$G$101,6,FALSE),VLOOKUP(D1003,[3]Standard!$B$9:$H$101,7,FALSE)))),0)</f>
        <v>0</v>
      </c>
      <c r="L1003" s="272">
        <f>IFERROR(IF(BA1003="WIP - 30 Days",VLOOKUP(D1003,[3]Standard!$B$9:$J$101,9,FALSE),IF(BA1003="31-120 Days",VLOOKUP(D1003,[3]Standard!$B$9:$K$100,10,FALSE),IF(BA1003="121-365 Days",VLOOKUP(D1003,[3]Standard!$B$9:$L$101,11,FALSE),VLOOKUP(D1003,[3]Standard!$B$9:$M$101,12,FALSE)))),0)</f>
        <v>0</v>
      </c>
      <c r="M1003" s="269" t="str">
        <f>IFERROR(VLOOKUP((D1003&amp;C1003)&amp;"",'[2]Retail Price List'!$C$4:$F$102,4,FALSE),"")</f>
        <v/>
      </c>
      <c r="N1003" s="269">
        <f>IFERROR(IF(BA1003="WIP - 30 Days",VLOOKUP(D1003,[3]Extended!$B$9:$E$101,4,FALSE),IF(BA1003="31-120 Days",VLOOKUP(D1003,[3]Extended!$B$9:$F$101,5,FALSE),IF(BA1003="121-365 Days",VLOOKUP(D1003,[3]Extended!$B$9:$G$101,6,FALSE),VLOOKUP(D1003,[3]Extended!$B$9:$H$101,7,FALSE)))),0)</f>
        <v>0</v>
      </c>
      <c r="O1003" s="269">
        <f>IFERROR(IF(BA1003="WIP - 30 Days",VLOOKUP(D1003,[3]Extended!$B$9:$J$101,9,FALSE),IF(BA1003="31-120 Days",VLOOKUP(D1003,[3]Extended!$B$9:$K$101,10,FALSE),IF(BA1003="121-365 Days",VLOOKUP(D1003,[3]Extended!$B$9:$L$101,11,FALSE),VLOOKUP(D1003,[3]Extended!$B$9:$M$101,12,FALSE)))),0)</f>
        <v>0</v>
      </c>
      <c r="P1003" s="116" t="e">
        <f t="shared" si="76"/>
        <v>#VALUE!</v>
      </c>
      <c r="Q1003" s="110" t="e">
        <f>O1003-#REF!</f>
        <v>#REF!</v>
      </c>
      <c r="W1003" s="311"/>
      <c r="X1003" s="311"/>
      <c r="Y1003" s="311"/>
      <c r="Z1003" s="311"/>
      <c r="AA1003" s="311"/>
      <c r="AB1003" s="311"/>
      <c r="AC1003" s="311"/>
      <c r="AT1003" s="88" t="str">
        <f t="shared" si="77"/>
        <v>Special Order0</v>
      </c>
      <c r="AU1003" s="89" t="str">
        <f t="shared" si="78"/>
        <v>01-1900</v>
      </c>
      <c r="BA1003" s="92" t="str">
        <f t="shared" si="79"/>
        <v/>
      </c>
    </row>
    <row r="1004" spans="2:53">
      <c r="B1004" s="60">
        <f>[2]Trucks!A1001</f>
        <v>0</v>
      </c>
      <c r="C1004" s="11">
        <f>[2]Trucks!B1001</f>
        <v>0</v>
      </c>
      <c r="D1004" s="19" t="str">
        <f>IFERROR(VLOOKUP(C1004&amp;"",'[2]Retail Price List'!$A$3:$B$103,2,FALSE),"Special Order")</f>
        <v>Special Order</v>
      </c>
      <c r="E1004" s="18">
        <f>[2]Trucks!J1001</f>
        <v>0</v>
      </c>
      <c r="F1004" s="12">
        <f>[2]Trucks!E1001</f>
        <v>0</v>
      </c>
      <c r="G1004" s="56">
        <f>[2]Trucks!K1001</f>
        <v>0</v>
      </c>
      <c r="H1004" s="46">
        <f>[2]Trucks!I1001</f>
        <v>0</v>
      </c>
      <c r="I1004" s="83" t="str">
        <f t="shared" si="75"/>
        <v/>
      </c>
      <c r="J1004" s="272" t="str">
        <f>IFERROR(VLOOKUP((D1004&amp;C1004)&amp;"",'[2]Retail Price List'!$C$4:$F$102,3,FALSE),"")</f>
        <v/>
      </c>
      <c r="K1004" s="272">
        <f>IFERROR(IF(BA1004="WIP - 30 Days",VLOOKUP(D1004,[3]Standard!$B$9:$E$101,4,FALSE),IF(BA1004="31-120 Days",VLOOKUP(D1004,[3]Standard!$B$9:$F$101,5,FALSE),IF(BA1004="121-365 Days",VLOOKUP(D1004,[3]Standard!$B$9:$G$101,6,FALSE),VLOOKUP(D1004,[3]Standard!$B$9:$H$101,7,FALSE)))),0)</f>
        <v>0</v>
      </c>
      <c r="L1004" s="272">
        <f>IFERROR(IF(BA1004="WIP - 30 Days",VLOOKUP(D1004,[3]Standard!$B$9:$J$101,9,FALSE),IF(BA1004="31-120 Days",VLOOKUP(D1004,[3]Standard!$B$9:$K$100,10,FALSE),IF(BA1004="121-365 Days",VLOOKUP(D1004,[3]Standard!$B$9:$L$101,11,FALSE),VLOOKUP(D1004,[3]Standard!$B$9:$M$101,12,FALSE)))),0)</f>
        <v>0</v>
      </c>
      <c r="M1004" s="269" t="str">
        <f>IFERROR(VLOOKUP((D1004&amp;C1004)&amp;"",'[2]Retail Price List'!$C$4:$F$102,4,FALSE),"")</f>
        <v/>
      </c>
      <c r="N1004" s="269">
        <f>IFERROR(IF(BA1004="WIP - 30 Days",VLOOKUP(D1004,[3]Extended!$B$9:$E$101,4,FALSE),IF(BA1004="31-120 Days",VLOOKUP(D1004,[3]Extended!$B$9:$F$101,5,FALSE),IF(BA1004="121-365 Days",VLOOKUP(D1004,[3]Extended!$B$9:$G$101,6,FALSE),VLOOKUP(D1004,[3]Extended!$B$9:$H$101,7,FALSE)))),0)</f>
        <v>0</v>
      </c>
      <c r="O1004" s="269">
        <f>IFERROR(IF(BA1004="WIP - 30 Days",VLOOKUP(D1004,[3]Extended!$B$9:$J$101,9,FALSE),IF(BA1004="31-120 Days",VLOOKUP(D1004,[3]Extended!$B$9:$K$101,10,FALSE),IF(BA1004="121-365 Days",VLOOKUP(D1004,[3]Extended!$B$9:$L$101,11,FALSE),VLOOKUP(D1004,[3]Extended!$B$9:$M$101,12,FALSE)))),0)</f>
        <v>0</v>
      </c>
      <c r="P1004" s="116" t="e">
        <f t="shared" si="76"/>
        <v>#VALUE!</v>
      </c>
      <c r="Q1004" s="110" t="e">
        <f>O1004-#REF!</f>
        <v>#REF!</v>
      </c>
      <c r="W1004" s="311"/>
      <c r="X1004" s="311"/>
      <c r="Y1004" s="311"/>
      <c r="Z1004" s="311"/>
      <c r="AA1004" s="311"/>
      <c r="AB1004" s="311"/>
      <c r="AC1004" s="311"/>
      <c r="AT1004" s="88" t="str">
        <f t="shared" si="77"/>
        <v>Special Order0</v>
      </c>
      <c r="AU1004" s="89" t="str">
        <f t="shared" si="78"/>
        <v>01-1900</v>
      </c>
      <c r="BA1004" s="92" t="str">
        <f t="shared" si="79"/>
        <v/>
      </c>
    </row>
    <row r="1005" spans="2:53">
      <c r="B1005" s="60">
        <f>[2]Trucks!A1002</f>
        <v>0</v>
      </c>
      <c r="C1005" s="11">
        <f>[2]Trucks!B1002</f>
        <v>0</v>
      </c>
      <c r="D1005" s="19" t="str">
        <f>IFERROR(VLOOKUP(C1005&amp;"",'[2]Retail Price List'!$A$3:$B$103,2,FALSE),"Special Order")</f>
        <v>Special Order</v>
      </c>
      <c r="E1005" s="18">
        <f>[2]Trucks!J1002</f>
        <v>0</v>
      </c>
      <c r="F1005" s="12">
        <f>[2]Trucks!E1002</f>
        <v>0</v>
      </c>
      <c r="G1005" s="56">
        <f>[2]Trucks!K1002</f>
        <v>0</v>
      </c>
      <c r="H1005" s="46">
        <f>[2]Trucks!I1002</f>
        <v>0</v>
      </c>
      <c r="I1005" s="83" t="str">
        <f t="shared" si="75"/>
        <v/>
      </c>
      <c r="J1005" s="272" t="str">
        <f>IFERROR(VLOOKUP((D1005&amp;C1005)&amp;"",'[2]Retail Price List'!$C$4:$F$102,3,FALSE),"")</f>
        <v/>
      </c>
      <c r="K1005" s="272">
        <f>IFERROR(IF(BA1005="WIP - 30 Days",VLOOKUP(D1005,[3]Standard!$B$9:$E$101,4,FALSE),IF(BA1005="31-120 Days",VLOOKUP(D1005,[3]Standard!$B$9:$F$101,5,FALSE),IF(BA1005="121-365 Days",VLOOKUP(D1005,[3]Standard!$B$9:$G$101,6,FALSE),VLOOKUP(D1005,[3]Standard!$B$9:$H$101,7,FALSE)))),0)</f>
        <v>0</v>
      </c>
      <c r="L1005" s="272">
        <f>IFERROR(IF(BA1005="WIP - 30 Days",VLOOKUP(D1005,[3]Standard!$B$9:$J$101,9,FALSE),IF(BA1005="31-120 Days",VLOOKUP(D1005,[3]Standard!$B$9:$K$100,10,FALSE),IF(BA1005="121-365 Days",VLOOKUP(D1005,[3]Standard!$B$9:$L$101,11,FALSE),VLOOKUP(D1005,[3]Standard!$B$9:$M$101,12,FALSE)))),0)</f>
        <v>0</v>
      </c>
      <c r="M1005" s="269" t="str">
        <f>IFERROR(VLOOKUP((D1005&amp;C1005)&amp;"",'[2]Retail Price List'!$C$4:$F$102,4,FALSE),"")</f>
        <v/>
      </c>
      <c r="N1005" s="269">
        <f>IFERROR(IF(BA1005="WIP - 30 Days",VLOOKUP(D1005,[3]Extended!$B$9:$E$101,4,FALSE),IF(BA1005="31-120 Days",VLOOKUP(D1005,[3]Extended!$B$9:$F$101,5,FALSE),IF(BA1005="121-365 Days",VLOOKUP(D1005,[3]Extended!$B$9:$G$101,6,FALSE),VLOOKUP(D1005,[3]Extended!$B$9:$H$101,7,FALSE)))),0)</f>
        <v>0</v>
      </c>
      <c r="O1005" s="269">
        <f>IFERROR(IF(BA1005="WIP - 30 Days",VLOOKUP(D1005,[3]Extended!$B$9:$J$101,9,FALSE),IF(BA1005="31-120 Days",VLOOKUP(D1005,[3]Extended!$B$9:$K$101,10,FALSE),IF(BA1005="121-365 Days",VLOOKUP(D1005,[3]Extended!$B$9:$L$101,11,FALSE),VLOOKUP(D1005,[3]Extended!$B$9:$M$101,12,FALSE)))),0)</f>
        <v>0</v>
      </c>
      <c r="P1005" s="116" t="e">
        <f t="shared" si="76"/>
        <v>#VALUE!</v>
      </c>
      <c r="Q1005" s="110" t="e">
        <f>O1005-#REF!</f>
        <v>#REF!</v>
      </c>
      <c r="W1005" s="311"/>
      <c r="X1005" s="311"/>
      <c r="Y1005" s="311"/>
      <c r="Z1005" s="311"/>
      <c r="AA1005" s="311"/>
      <c r="AB1005" s="311"/>
      <c r="AC1005" s="311"/>
      <c r="AT1005" s="88" t="str">
        <f t="shared" si="77"/>
        <v>Special Order0</v>
      </c>
      <c r="AU1005" s="89" t="str">
        <f t="shared" si="78"/>
        <v>01-1900</v>
      </c>
      <c r="BA1005" s="92" t="str">
        <f t="shared" si="79"/>
        <v/>
      </c>
    </row>
    <row r="1006" spans="2:53">
      <c r="B1006" s="60">
        <f>[2]Trucks!A1003</f>
        <v>0</v>
      </c>
      <c r="C1006" s="11">
        <f>[2]Trucks!B1003</f>
        <v>0</v>
      </c>
      <c r="D1006" s="19" t="str">
        <f>IFERROR(VLOOKUP(C1006&amp;"",'[2]Retail Price List'!$A$3:$B$103,2,FALSE),"Special Order")</f>
        <v>Special Order</v>
      </c>
      <c r="E1006" s="18">
        <f>[2]Trucks!J1003</f>
        <v>0</v>
      </c>
      <c r="F1006" s="12">
        <f>[2]Trucks!E1003</f>
        <v>0</v>
      </c>
      <c r="G1006" s="56">
        <f>[2]Trucks!K1003</f>
        <v>0</v>
      </c>
      <c r="H1006" s="46">
        <f>[2]Trucks!I1003</f>
        <v>0</v>
      </c>
      <c r="I1006" s="83" t="str">
        <f t="shared" si="75"/>
        <v/>
      </c>
      <c r="J1006" s="272" t="str">
        <f>IFERROR(VLOOKUP((D1006&amp;C1006)&amp;"",'[2]Retail Price List'!$C$4:$F$102,3,FALSE),"")</f>
        <v/>
      </c>
      <c r="K1006" s="272">
        <f>IFERROR(IF(BA1006="WIP - 30 Days",VLOOKUP(D1006,[3]Standard!$B$9:$E$101,4,FALSE),IF(BA1006="31-120 Days",VLOOKUP(D1006,[3]Standard!$B$9:$F$101,5,FALSE),IF(BA1006="121-365 Days",VLOOKUP(D1006,[3]Standard!$B$9:$G$101,6,FALSE),VLOOKUP(D1006,[3]Standard!$B$9:$H$101,7,FALSE)))),0)</f>
        <v>0</v>
      </c>
      <c r="L1006" s="272">
        <f>IFERROR(IF(BA1006="WIP - 30 Days",VLOOKUP(D1006,[3]Standard!$B$9:$J$101,9,FALSE),IF(BA1006="31-120 Days",VLOOKUP(D1006,[3]Standard!$B$9:$K$100,10,FALSE),IF(BA1006="121-365 Days",VLOOKUP(D1006,[3]Standard!$B$9:$L$101,11,FALSE),VLOOKUP(D1006,[3]Standard!$B$9:$M$101,12,FALSE)))),0)</f>
        <v>0</v>
      </c>
      <c r="M1006" s="269" t="str">
        <f>IFERROR(VLOOKUP((D1006&amp;C1006)&amp;"",'[2]Retail Price List'!$C$4:$F$102,4,FALSE),"")</f>
        <v/>
      </c>
      <c r="N1006" s="269">
        <f>IFERROR(IF(BA1006="WIP - 30 Days",VLOOKUP(D1006,[3]Extended!$B$9:$E$101,4,FALSE),IF(BA1006="31-120 Days",VLOOKUP(D1006,[3]Extended!$B$9:$F$101,5,FALSE),IF(BA1006="121-365 Days",VLOOKUP(D1006,[3]Extended!$B$9:$G$101,6,FALSE),VLOOKUP(D1006,[3]Extended!$B$9:$H$101,7,FALSE)))),0)</f>
        <v>0</v>
      </c>
      <c r="O1006" s="269">
        <f>IFERROR(IF(BA1006="WIP - 30 Days",VLOOKUP(D1006,[3]Extended!$B$9:$J$101,9,FALSE),IF(BA1006="31-120 Days",VLOOKUP(D1006,[3]Extended!$B$9:$K$101,10,FALSE),IF(BA1006="121-365 Days",VLOOKUP(D1006,[3]Extended!$B$9:$L$101,11,FALSE),VLOOKUP(D1006,[3]Extended!$B$9:$M$101,12,FALSE)))),0)</f>
        <v>0</v>
      </c>
      <c r="P1006" s="116" t="e">
        <f t="shared" si="76"/>
        <v>#VALUE!</v>
      </c>
      <c r="Q1006" s="110" t="e">
        <f>O1006-#REF!</f>
        <v>#REF!</v>
      </c>
      <c r="W1006" s="311"/>
      <c r="X1006" s="311"/>
      <c r="Y1006" s="311"/>
      <c r="Z1006" s="311"/>
      <c r="AA1006" s="311"/>
      <c r="AB1006" s="311"/>
      <c r="AC1006" s="311"/>
      <c r="AT1006" s="88" t="str">
        <f t="shared" si="77"/>
        <v>Special Order0</v>
      </c>
      <c r="AU1006" s="89" t="str">
        <f t="shared" si="78"/>
        <v>01-1900</v>
      </c>
      <c r="BA1006" s="92" t="str">
        <f t="shared" si="79"/>
        <v/>
      </c>
    </row>
    <row r="1007" spans="2:53">
      <c r="B1007" s="60">
        <f>[2]Trucks!A1004</f>
        <v>0</v>
      </c>
      <c r="C1007" s="11">
        <f>[2]Trucks!B1004</f>
        <v>0</v>
      </c>
      <c r="D1007" s="19" t="str">
        <f>IFERROR(VLOOKUP(C1007&amp;"",'[2]Retail Price List'!$A$3:$B$103,2,FALSE),"Special Order")</f>
        <v>Special Order</v>
      </c>
      <c r="E1007" s="18">
        <f>[2]Trucks!J1004</f>
        <v>0</v>
      </c>
      <c r="F1007" s="12">
        <f>[2]Trucks!E1004</f>
        <v>0</v>
      </c>
      <c r="G1007" s="56">
        <f>[2]Trucks!K1004</f>
        <v>0</v>
      </c>
      <c r="H1007" s="46">
        <f>[2]Trucks!I1004</f>
        <v>0</v>
      </c>
      <c r="I1007" s="83" t="str">
        <f t="shared" si="75"/>
        <v/>
      </c>
      <c r="J1007" s="272" t="str">
        <f>IFERROR(VLOOKUP((D1007&amp;C1007)&amp;"",'[2]Retail Price List'!$C$4:$F$102,3,FALSE),"")</f>
        <v/>
      </c>
      <c r="K1007" s="272">
        <f>IFERROR(IF(BA1007="WIP - 30 Days",VLOOKUP(D1007,[3]Standard!$B$9:$E$101,4,FALSE),IF(BA1007="31-120 Days",VLOOKUP(D1007,[3]Standard!$B$9:$F$101,5,FALSE),IF(BA1007="121-365 Days",VLOOKUP(D1007,[3]Standard!$B$9:$G$101,6,FALSE),VLOOKUP(D1007,[3]Standard!$B$9:$H$101,7,FALSE)))),0)</f>
        <v>0</v>
      </c>
      <c r="L1007" s="272">
        <f>IFERROR(IF(BA1007="WIP - 30 Days",VLOOKUP(D1007,[3]Standard!$B$9:$J$101,9,FALSE),IF(BA1007="31-120 Days",VLOOKUP(D1007,[3]Standard!$B$9:$K$100,10,FALSE),IF(BA1007="121-365 Days",VLOOKUP(D1007,[3]Standard!$B$9:$L$101,11,FALSE),VLOOKUP(D1007,[3]Standard!$B$9:$M$101,12,FALSE)))),0)</f>
        <v>0</v>
      </c>
      <c r="M1007" s="269" t="str">
        <f>IFERROR(VLOOKUP((D1007&amp;C1007)&amp;"",'[2]Retail Price List'!$C$4:$F$102,4,FALSE),"")</f>
        <v/>
      </c>
      <c r="N1007" s="269">
        <f>IFERROR(IF(BA1007="WIP - 30 Days",VLOOKUP(D1007,[3]Extended!$B$9:$E$101,4,FALSE),IF(BA1007="31-120 Days",VLOOKUP(D1007,[3]Extended!$B$9:$F$101,5,FALSE),IF(BA1007="121-365 Days",VLOOKUP(D1007,[3]Extended!$B$9:$G$101,6,FALSE),VLOOKUP(D1007,[3]Extended!$B$9:$H$101,7,FALSE)))),0)</f>
        <v>0</v>
      </c>
      <c r="O1007" s="269">
        <f>IFERROR(IF(BA1007="WIP - 30 Days",VLOOKUP(D1007,[3]Extended!$B$9:$J$101,9,FALSE),IF(BA1007="31-120 Days",VLOOKUP(D1007,[3]Extended!$B$9:$K$101,10,FALSE),IF(BA1007="121-365 Days",VLOOKUP(D1007,[3]Extended!$B$9:$L$101,11,FALSE),VLOOKUP(D1007,[3]Extended!$B$9:$M$101,12,FALSE)))),0)</f>
        <v>0</v>
      </c>
      <c r="P1007" s="116" t="e">
        <f t="shared" si="76"/>
        <v>#VALUE!</v>
      </c>
      <c r="Q1007" s="110" t="e">
        <f>O1007-#REF!</f>
        <v>#REF!</v>
      </c>
      <c r="W1007" s="311"/>
      <c r="X1007" s="311"/>
      <c r="Y1007" s="311"/>
      <c r="Z1007" s="311"/>
      <c r="AA1007" s="311"/>
      <c r="AB1007" s="311"/>
      <c r="AC1007" s="311"/>
      <c r="AT1007" s="88" t="str">
        <f t="shared" si="77"/>
        <v>Special Order0</v>
      </c>
      <c r="AU1007" s="89" t="str">
        <f t="shared" si="78"/>
        <v>01-1900</v>
      </c>
      <c r="BA1007" s="92" t="str">
        <f t="shared" si="79"/>
        <v/>
      </c>
    </row>
    <row r="1008" spans="2:53">
      <c r="B1008" s="60">
        <f>[2]Trucks!A1005</f>
        <v>0</v>
      </c>
      <c r="C1008" s="11">
        <f>[2]Trucks!B1005</f>
        <v>0</v>
      </c>
      <c r="D1008" s="19" t="str">
        <f>IFERROR(VLOOKUP(C1008&amp;"",'[2]Retail Price List'!$A$3:$B$103,2,FALSE),"Special Order")</f>
        <v>Special Order</v>
      </c>
      <c r="E1008" s="18">
        <f>[2]Trucks!J1005</f>
        <v>0</v>
      </c>
      <c r="F1008" s="12">
        <f>[2]Trucks!E1005</f>
        <v>0</v>
      </c>
      <c r="G1008" s="56">
        <f>[2]Trucks!K1005</f>
        <v>0</v>
      </c>
      <c r="H1008" s="46">
        <f>[2]Trucks!I1005</f>
        <v>0</v>
      </c>
      <c r="I1008" s="83" t="str">
        <f t="shared" si="75"/>
        <v/>
      </c>
      <c r="J1008" s="272" t="str">
        <f>IFERROR(VLOOKUP((D1008&amp;C1008)&amp;"",'[2]Retail Price List'!$C$4:$F$102,3,FALSE),"")</f>
        <v/>
      </c>
      <c r="K1008" s="272">
        <f>IFERROR(IF(BA1008="WIP - 30 Days",VLOOKUP(D1008,[3]Standard!$B$9:$E$101,4,FALSE),IF(BA1008="31-120 Days",VLOOKUP(D1008,[3]Standard!$B$9:$F$101,5,FALSE),IF(BA1008="121-365 Days",VLOOKUP(D1008,[3]Standard!$B$9:$G$101,6,FALSE),VLOOKUP(D1008,[3]Standard!$B$9:$H$101,7,FALSE)))),0)</f>
        <v>0</v>
      </c>
      <c r="L1008" s="272">
        <f>IFERROR(IF(BA1008="WIP - 30 Days",VLOOKUP(D1008,[3]Standard!$B$9:$J$101,9,FALSE),IF(BA1008="31-120 Days",VLOOKUP(D1008,[3]Standard!$B$9:$K$100,10,FALSE),IF(BA1008="121-365 Days",VLOOKUP(D1008,[3]Standard!$B$9:$L$101,11,FALSE),VLOOKUP(D1008,[3]Standard!$B$9:$M$101,12,FALSE)))),0)</f>
        <v>0</v>
      </c>
      <c r="M1008" s="269" t="str">
        <f>IFERROR(VLOOKUP((D1008&amp;C1008)&amp;"",'[2]Retail Price List'!$C$4:$F$102,4,FALSE),"")</f>
        <v/>
      </c>
      <c r="N1008" s="269">
        <f>IFERROR(IF(BA1008="WIP - 30 Days",VLOOKUP(D1008,[3]Extended!$B$9:$E$101,4,FALSE),IF(BA1008="31-120 Days",VLOOKUP(D1008,[3]Extended!$B$9:$F$101,5,FALSE),IF(BA1008="121-365 Days",VLOOKUP(D1008,[3]Extended!$B$9:$G$101,6,FALSE),VLOOKUP(D1008,[3]Extended!$B$9:$H$101,7,FALSE)))),0)</f>
        <v>0</v>
      </c>
      <c r="O1008" s="269">
        <f>IFERROR(IF(BA1008="WIP - 30 Days",VLOOKUP(D1008,[3]Extended!$B$9:$J$101,9,FALSE),IF(BA1008="31-120 Days",VLOOKUP(D1008,[3]Extended!$B$9:$K$101,10,FALSE),IF(BA1008="121-365 Days",VLOOKUP(D1008,[3]Extended!$B$9:$L$101,11,FALSE),VLOOKUP(D1008,[3]Extended!$B$9:$M$101,12,FALSE)))),0)</f>
        <v>0</v>
      </c>
      <c r="P1008" s="116" t="e">
        <f t="shared" si="76"/>
        <v>#VALUE!</v>
      </c>
      <c r="Q1008" s="110" t="e">
        <f>O1008-#REF!</f>
        <v>#REF!</v>
      </c>
      <c r="W1008" s="311"/>
      <c r="X1008" s="311"/>
      <c r="Y1008" s="311"/>
      <c r="Z1008" s="311"/>
      <c r="AA1008" s="311"/>
      <c r="AB1008" s="311"/>
      <c r="AC1008" s="311"/>
      <c r="AT1008" s="88" t="str">
        <f t="shared" si="77"/>
        <v>Special Order0</v>
      </c>
      <c r="AU1008" s="89" t="str">
        <f t="shared" si="78"/>
        <v>01-1900</v>
      </c>
      <c r="BA1008" s="92" t="str">
        <f t="shared" si="79"/>
        <v/>
      </c>
    </row>
    <row r="1009" spans="2:53">
      <c r="B1009" s="60">
        <f>[2]Trucks!A1006</f>
        <v>0</v>
      </c>
      <c r="C1009" s="11">
        <f>[2]Trucks!B1006</f>
        <v>0</v>
      </c>
      <c r="D1009" s="19" t="str">
        <f>IFERROR(VLOOKUP(C1009&amp;"",'[2]Retail Price List'!$A$3:$B$103,2,FALSE),"Special Order")</f>
        <v>Special Order</v>
      </c>
      <c r="E1009" s="18">
        <f>[2]Trucks!J1006</f>
        <v>0</v>
      </c>
      <c r="F1009" s="12">
        <f>[2]Trucks!E1006</f>
        <v>0</v>
      </c>
      <c r="G1009" s="56">
        <f>[2]Trucks!K1006</f>
        <v>0</v>
      </c>
      <c r="H1009" s="46">
        <f>[2]Trucks!I1006</f>
        <v>0</v>
      </c>
      <c r="I1009" s="83" t="str">
        <f t="shared" si="75"/>
        <v/>
      </c>
      <c r="J1009" s="272" t="str">
        <f>IFERROR(VLOOKUP((D1009&amp;C1009)&amp;"",'[2]Retail Price List'!$C$4:$F$102,3,FALSE),"")</f>
        <v/>
      </c>
      <c r="K1009" s="272">
        <f>IFERROR(IF(BA1009="WIP - 30 Days",VLOOKUP(D1009,[3]Standard!$B$9:$E$101,4,FALSE),IF(BA1009="31-120 Days",VLOOKUP(D1009,[3]Standard!$B$9:$F$101,5,FALSE),IF(BA1009="121-365 Days",VLOOKUP(D1009,[3]Standard!$B$9:$G$101,6,FALSE),VLOOKUP(D1009,[3]Standard!$B$9:$H$101,7,FALSE)))),0)</f>
        <v>0</v>
      </c>
      <c r="L1009" s="272">
        <f>IFERROR(IF(BA1009="WIP - 30 Days",VLOOKUP(D1009,[3]Standard!$B$9:$J$101,9,FALSE),IF(BA1009="31-120 Days",VLOOKUP(D1009,[3]Standard!$B$9:$K$100,10,FALSE),IF(BA1009="121-365 Days",VLOOKUP(D1009,[3]Standard!$B$9:$L$101,11,FALSE),VLOOKUP(D1009,[3]Standard!$B$9:$M$101,12,FALSE)))),0)</f>
        <v>0</v>
      </c>
      <c r="M1009" s="269" t="str">
        <f>IFERROR(VLOOKUP((D1009&amp;C1009)&amp;"",'[2]Retail Price List'!$C$4:$F$102,4,FALSE),"")</f>
        <v/>
      </c>
      <c r="N1009" s="269">
        <f>IFERROR(IF(BA1009="WIP - 30 Days",VLOOKUP(D1009,[3]Extended!$B$9:$E$101,4,FALSE),IF(BA1009="31-120 Days",VLOOKUP(D1009,[3]Extended!$B$9:$F$101,5,FALSE),IF(BA1009="121-365 Days",VLOOKUP(D1009,[3]Extended!$B$9:$G$101,6,FALSE),VLOOKUP(D1009,[3]Extended!$B$9:$H$101,7,FALSE)))),0)</f>
        <v>0</v>
      </c>
      <c r="O1009" s="269">
        <f>IFERROR(IF(BA1009="WIP - 30 Days",VLOOKUP(D1009,[3]Extended!$B$9:$J$101,9,FALSE),IF(BA1009="31-120 Days",VLOOKUP(D1009,[3]Extended!$B$9:$K$101,10,FALSE),IF(BA1009="121-365 Days",VLOOKUP(D1009,[3]Extended!$B$9:$L$101,11,FALSE),VLOOKUP(D1009,[3]Extended!$B$9:$M$101,12,FALSE)))),0)</f>
        <v>0</v>
      </c>
      <c r="P1009" s="116" t="e">
        <f t="shared" si="76"/>
        <v>#VALUE!</v>
      </c>
      <c r="Q1009" s="110" t="e">
        <f>O1009-#REF!</f>
        <v>#REF!</v>
      </c>
      <c r="W1009" s="311"/>
      <c r="X1009" s="311"/>
      <c r="Y1009" s="311"/>
      <c r="Z1009" s="311"/>
      <c r="AA1009" s="311"/>
      <c r="AB1009" s="311"/>
      <c r="AC1009" s="311"/>
      <c r="AT1009" s="88" t="str">
        <f t="shared" si="77"/>
        <v>Special Order0</v>
      </c>
      <c r="AU1009" s="89" t="str">
        <f t="shared" si="78"/>
        <v>01-1900</v>
      </c>
      <c r="BA1009" s="92" t="str">
        <f t="shared" si="79"/>
        <v/>
      </c>
    </row>
    <row r="1010" spans="2:53">
      <c r="B1010" s="60">
        <f>[2]Trucks!A1007</f>
        <v>0</v>
      </c>
      <c r="C1010" s="11">
        <f>[2]Trucks!B1007</f>
        <v>0</v>
      </c>
      <c r="D1010" s="19" t="str">
        <f>IFERROR(VLOOKUP(C1010&amp;"",'[2]Retail Price List'!$A$3:$B$103,2,FALSE),"Special Order")</f>
        <v>Special Order</v>
      </c>
      <c r="E1010" s="18">
        <f>[2]Trucks!J1007</f>
        <v>0</v>
      </c>
      <c r="F1010" s="12">
        <f>[2]Trucks!E1007</f>
        <v>0</v>
      </c>
      <c r="G1010" s="56">
        <f>[2]Trucks!K1007</f>
        <v>0</v>
      </c>
      <c r="H1010" s="46">
        <f>[2]Trucks!I1007</f>
        <v>0</v>
      </c>
      <c r="I1010" s="83" t="str">
        <f t="shared" si="75"/>
        <v/>
      </c>
      <c r="J1010" s="272" t="str">
        <f>IFERROR(VLOOKUP((D1010&amp;C1010)&amp;"",'[2]Retail Price List'!$C$4:$F$102,3,FALSE),"")</f>
        <v/>
      </c>
      <c r="K1010" s="272">
        <f>IFERROR(IF(BA1010="WIP - 30 Days",VLOOKUP(D1010,[3]Standard!$B$9:$E$101,4,FALSE),IF(BA1010="31-120 Days",VLOOKUP(D1010,[3]Standard!$B$9:$F$101,5,FALSE),IF(BA1010="121-365 Days",VLOOKUP(D1010,[3]Standard!$B$9:$G$101,6,FALSE),VLOOKUP(D1010,[3]Standard!$B$9:$H$101,7,FALSE)))),0)</f>
        <v>0</v>
      </c>
      <c r="L1010" s="272">
        <f>IFERROR(IF(BA1010="WIP - 30 Days",VLOOKUP(D1010,[3]Standard!$B$9:$J$101,9,FALSE),IF(BA1010="31-120 Days",VLOOKUP(D1010,[3]Standard!$B$9:$K$100,10,FALSE),IF(BA1010="121-365 Days",VLOOKUP(D1010,[3]Standard!$B$9:$L$101,11,FALSE),VLOOKUP(D1010,[3]Standard!$B$9:$M$101,12,FALSE)))),0)</f>
        <v>0</v>
      </c>
      <c r="M1010" s="269" t="str">
        <f>IFERROR(VLOOKUP((D1010&amp;C1010)&amp;"",'[2]Retail Price List'!$C$4:$F$102,4,FALSE),"")</f>
        <v/>
      </c>
      <c r="N1010" s="269">
        <f>IFERROR(IF(BA1010="WIP - 30 Days",VLOOKUP(D1010,[3]Extended!$B$9:$E$101,4,FALSE),IF(BA1010="31-120 Days",VLOOKUP(D1010,[3]Extended!$B$9:$F$101,5,FALSE),IF(BA1010="121-365 Days",VLOOKUP(D1010,[3]Extended!$B$9:$G$101,6,FALSE),VLOOKUP(D1010,[3]Extended!$B$9:$H$101,7,FALSE)))),0)</f>
        <v>0</v>
      </c>
      <c r="O1010" s="269">
        <f>IFERROR(IF(BA1010="WIP - 30 Days",VLOOKUP(D1010,[3]Extended!$B$9:$J$101,9,FALSE),IF(BA1010="31-120 Days",VLOOKUP(D1010,[3]Extended!$B$9:$K$101,10,FALSE),IF(BA1010="121-365 Days",VLOOKUP(D1010,[3]Extended!$B$9:$L$101,11,FALSE),VLOOKUP(D1010,[3]Extended!$B$9:$M$101,12,FALSE)))),0)</f>
        <v>0</v>
      </c>
      <c r="P1010" s="116" t="e">
        <f t="shared" si="76"/>
        <v>#VALUE!</v>
      </c>
      <c r="Q1010" s="110" t="e">
        <f>O1010-#REF!</f>
        <v>#REF!</v>
      </c>
      <c r="W1010" s="311"/>
      <c r="X1010" s="311"/>
      <c r="Y1010" s="311"/>
      <c r="Z1010" s="311"/>
      <c r="AA1010" s="311"/>
      <c r="AB1010" s="311"/>
      <c r="AC1010" s="311"/>
      <c r="AT1010" s="88" t="str">
        <f t="shared" si="77"/>
        <v>Special Order0</v>
      </c>
      <c r="AU1010" s="89" t="str">
        <f t="shared" si="78"/>
        <v>01-1900</v>
      </c>
      <c r="BA1010" s="92" t="str">
        <f t="shared" si="79"/>
        <v/>
      </c>
    </row>
    <row r="1011" spans="2:53">
      <c r="B1011" s="60">
        <f>[2]Trucks!A1008</f>
        <v>0</v>
      </c>
      <c r="C1011" s="11">
        <f>[2]Trucks!B1008</f>
        <v>0</v>
      </c>
      <c r="D1011" s="19" t="str">
        <f>IFERROR(VLOOKUP(C1011&amp;"",'[2]Retail Price List'!$A$3:$B$103,2,FALSE),"Special Order")</f>
        <v>Special Order</v>
      </c>
      <c r="E1011" s="18">
        <f>[2]Trucks!J1008</f>
        <v>0</v>
      </c>
      <c r="F1011" s="12">
        <f>[2]Trucks!E1008</f>
        <v>0</v>
      </c>
      <c r="G1011" s="56">
        <f>[2]Trucks!K1008</f>
        <v>0</v>
      </c>
      <c r="H1011" s="46">
        <f>[2]Trucks!I1008</f>
        <v>0</v>
      </c>
      <c r="I1011" s="83" t="str">
        <f t="shared" si="75"/>
        <v/>
      </c>
      <c r="J1011" s="272" t="str">
        <f>IFERROR(VLOOKUP((D1011&amp;C1011)&amp;"",'[2]Retail Price List'!$C$4:$F$102,3,FALSE),"")</f>
        <v/>
      </c>
      <c r="K1011" s="272">
        <f>IFERROR(IF(BA1011="WIP - 30 Days",VLOOKUP(D1011,[3]Standard!$B$9:$E$101,4,FALSE),IF(BA1011="31-120 Days",VLOOKUP(D1011,[3]Standard!$B$9:$F$101,5,FALSE),IF(BA1011="121-365 Days",VLOOKUP(D1011,[3]Standard!$B$9:$G$101,6,FALSE),VLOOKUP(D1011,[3]Standard!$B$9:$H$101,7,FALSE)))),0)</f>
        <v>0</v>
      </c>
      <c r="L1011" s="272">
        <f>IFERROR(IF(BA1011="WIP - 30 Days",VLOOKUP(D1011,[3]Standard!$B$9:$J$101,9,FALSE),IF(BA1011="31-120 Days",VLOOKUP(D1011,[3]Standard!$B$9:$K$100,10,FALSE),IF(BA1011="121-365 Days",VLOOKUP(D1011,[3]Standard!$B$9:$L$101,11,FALSE),VLOOKUP(D1011,[3]Standard!$B$9:$M$101,12,FALSE)))),0)</f>
        <v>0</v>
      </c>
      <c r="M1011" s="269" t="str">
        <f>IFERROR(VLOOKUP((D1011&amp;C1011)&amp;"",'[2]Retail Price List'!$C$4:$F$102,4,FALSE),"")</f>
        <v/>
      </c>
      <c r="N1011" s="269">
        <f>IFERROR(IF(BA1011="WIP - 30 Days",VLOOKUP(D1011,[3]Extended!$B$9:$E$101,4,FALSE),IF(BA1011="31-120 Days",VLOOKUP(D1011,[3]Extended!$B$9:$F$101,5,FALSE),IF(BA1011="121-365 Days",VLOOKUP(D1011,[3]Extended!$B$9:$G$101,6,FALSE),VLOOKUP(D1011,[3]Extended!$B$9:$H$101,7,FALSE)))),0)</f>
        <v>0</v>
      </c>
      <c r="O1011" s="269">
        <f>IFERROR(IF(BA1011="WIP - 30 Days",VLOOKUP(D1011,[3]Extended!$B$9:$J$101,9,FALSE),IF(BA1011="31-120 Days",VLOOKUP(D1011,[3]Extended!$B$9:$K$101,10,FALSE),IF(BA1011="121-365 Days",VLOOKUP(D1011,[3]Extended!$B$9:$L$101,11,FALSE),VLOOKUP(D1011,[3]Extended!$B$9:$M$101,12,FALSE)))),0)</f>
        <v>0</v>
      </c>
      <c r="P1011" s="116" t="e">
        <f t="shared" si="76"/>
        <v>#VALUE!</v>
      </c>
      <c r="Q1011" s="110" t="e">
        <f>O1011-#REF!</f>
        <v>#REF!</v>
      </c>
      <c r="W1011" s="311"/>
      <c r="X1011" s="311"/>
      <c r="Y1011" s="311"/>
      <c r="Z1011" s="311"/>
      <c r="AA1011" s="311"/>
      <c r="AB1011" s="311"/>
      <c r="AC1011" s="311"/>
      <c r="AT1011" s="88" t="str">
        <f t="shared" si="77"/>
        <v>Special Order0</v>
      </c>
      <c r="AU1011" s="89" t="str">
        <f t="shared" si="78"/>
        <v>01-1900</v>
      </c>
      <c r="BA1011" s="92" t="str">
        <f t="shared" si="79"/>
        <v/>
      </c>
    </row>
    <row r="1012" spans="2:53">
      <c r="B1012" s="60">
        <f>[2]Trucks!A1009</f>
        <v>0</v>
      </c>
      <c r="C1012" s="11">
        <f>[2]Trucks!B1009</f>
        <v>0</v>
      </c>
      <c r="D1012" s="19" t="str">
        <f>IFERROR(VLOOKUP(C1012&amp;"",'[2]Retail Price List'!$A$3:$B$103,2,FALSE),"Special Order")</f>
        <v>Special Order</v>
      </c>
      <c r="E1012" s="18">
        <f>[2]Trucks!J1009</f>
        <v>0</v>
      </c>
      <c r="F1012" s="12">
        <f>[2]Trucks!E1009</f>
        <v>0</v>
      </c>
      <c r="G1012" s="56">
        <f>[2]Trucks!K1009</f>
        <v>0</v>
      </c>
      <c r="H1012" s="46">
        <f>[2]Trucks!I1009</f>
        <v>0</v>
      </c>
      <c r="I1012" s="83" t="str">
        <f t="shared" si="75"/>
        <v/>
      </c>
      <c r="J1012" s="272" t="str">
        <f>IFERROR(VLOOKUP((D1012&amp;C1012)&amp;"",'[2]Retail Price List'!$C$4:$F$102,3,FALSE),"")</f>
        <v/>
      </c>
      <c r="K1012" s="272">
        <f>IFERROR(IF(BA1012="WIP - 30 Days",VLOOKUP(D1012,[3]Standard!$B$9:$E$101,4,FALSE),IF(BA1012="31-120 Days",VLOOKUP(D1012,[3]Standard!$B$9:$F$101,5,FALSE),IF(BA1012="121-365 Days",VLOOKUP(D1012,[3]Standard!$B$9:$G$101,6,FALSE),VLOOKUP(D1012,[3]Standard!$B$9:$H$101,7,FALSE)))),0)</f>
        <v>0</v>
      </c>
      <c r="L1012" s="272">
        <f>IFERROR(IF(BA1012="WIP - 30 Days",VLOOKUP(D1012,[3]Standard!$B$9:$J$101,9,FALSE),IF(BA1012="31-120 Days",VLOOKUP(D1012,[3]Standard!$B$9:$K$100,10,FALSE),IF(BA1012="121-365 Days",VLOOKUP(D1012,[3]Standard!$B$9:$L$101,11,FALSE),VLOOKUP(D1012,[3]Standard!$B$9:$M$101,12,FALSE)))),0)</f>
        <v>0</v>
      </c>
      <c r="M1012" s="269" t="str">
        <f>IFERROR(VLOOKUP((D1012&amp;C1012)&amp;"",'[2]Retail Price List'!$C$4:$F$102,4,FALSE),"")</f>
        <v/>
      </c>
      <c r="N1012" s="269">
        <f>IFERROR(IF(BA1012="WIP - 30 Days",VLOOKUP(D1012,[3]Extended!$B$9:$E$101,4,FALSE),IF(BA1012="31-120 Days",VLOOKUP(D1012,[3]Extended!$B$9:$F$101,5,FALSE),IF(BA1012="121-365 Days",VLOOKUP(D1012,[3]Extended!$B$9:$G$101,6,FALSE),VLOOKUP(D1012,[3]Extended!$B$9:$H$101,7,FALSE)))),0)</f>
        <v>0</v>
      </c>
      <c r="O1012" s="269">
        <f>IFERROR(IF(BA1012="WIP - 30 Days",VLOOKUP(D1012,[3]Extended!$B$9:$J$101,9,FALSE),IF(BA1012="31-120 Days",VLOOKUP(D1012,[3]Extended!$B$9:$K$101,10,FALSE),IF(BA1012="121-365 Days",VLOOKUP(D1012,[3]Extended!$B$9:$L$101,11,FALSE),VLOOKUP(D1012,[3]Extended!$B$9:$M$101,12,FALSE)))),0)</f>
        <v>0</v>
      </c>
      <c r="P1012" s="116" t="e">
        <f t="shared" si="76"/>
        <v>#VALUE!</v>
      </c>
      <c r="Q1012" s="110" t="e">
        <f>O1012-#REF!</f>
        <v>#REF!</v>
      </c>
      <c r="W1012" s="311"/>
      <c r="X1012" s="311"/>
      <c r="Y1012" s="311"/>
      <c r="Z1012" s="311"/>
      <c r="AA1012" s="311"/>
      <c r="AB1012" s="311"/>
      <c r="AC1012" s="311"/>
      <c r="AT1012" s="88" t="str">
        <f t="shared" si="77"/>
        <v>Special Order0</v>
      </c>
      <c r="AU1012" s="89" t="str">
        <f t="shared" si="78"/>
        <v>01-1900</v>
      </c>
      <c r="BA1012" s="92" t="str">
        <f t="shared" si="79"/>
        <v/>
      </c>
    </row>
    <row r="1013" spans="2:53">
      <c r="B1013" s="60">
        <f>[2]Trucks!A1010</f>
        <v>0</v>
      </c>
      <c r="C1013" s="11">
        <f>[2]Trucks!B1010</f>
        <v>0</v>
      </c>
      <c r="D1013" s="19" t="str">
        <f>IFERROR(VLOOKUP(C1013&amp;"",'[2]Retail Price List'!$A$3:$B$103,2,FALSE),"Special Order")</f>
        <v>Special Order</v>
      </c>
      <c r="E1013" s="18">
        <f>[2]Trucks!J1010</f>
        <v>0</v>
      </c>
      <c r="F1013" s="12">
        <f>[2]Trucks!E1010</f>
        <v>0</v>
      </c>
      <c r="G1013" s="56">
        <f>[2]Trucks!K1010</f>
        <v>0</v>
      </c>
      <c r="H1013" s="46">
        <f>[2]Trucks!I1010</f>
        <v>0</v>
      </c>
      <c r="I1013" s="83" t="str">
        <f t="shared" si="75"/>
        <v/>
      </c>
      <c r="J1013" s="272" t="str">
        <f>IFERROR(VLOOKUP((D1013&amp;C1013)&amp;"",'[2]Retail Price List'!$C$4:$F$102,3,FALSE),"")</f>
        <v/>
      </c>
      <c r="K1013" s="272">
        <f>IFERROR(IF(BA1013="WIP - 30 Days",VLOOKUP(D1013,[3]Standard!$B$9:$E$101,4,FALSE),IF(BA1013="31-120 Days",VLOOKUP(D1013,[3]Standard!$B$9:$F$101,5,FALSE),IF(BA1013="121-365 Days",VLOOKUP(D1013,[3]Standard!$B$9:$G$101,6,FALSE),VLOOKUP(D1013,[3]Standard!$B$9:$H$101,7,FALSE)))),0)</f>
        <v>0</v>
      </c>
      <c r="L1013" s="272">
        <f>IFERROR(IF(BA1013="WIP - 30 Days",VLOOKUP(D1013,[3]Standard!$B$9:$J$101,9,FALSE),IF(BA1013="31-120 Days",VLOOKUP(D1013,[3]Standard!$B$9:$K$100,10,FALSE),IF(BA1013="121-365 Days",VLOOKUP(D1013,[3]Standard!$B$9:$L$101,11,FALSE),VLOOKUP(D1013,[3]Standard!$B$9:$M$101,12,FALSE)))),0)</f>
        <v>0</v>
      </c>
      <c r="M1013" s="269" t="str">
        <f>IFERROR(VLOOKUP((D1013&amp;C1013)&amp;"",'[2]Retail Price List'!$C$4:$F$102,4,FALSE),"")</f>
        <v/>
      </c>
      <c r="N1013" s="269">
        <f>IFERROR(IF(BA1013="WIP - 30 Days",VLOOKUP(D1013,[3]Extended!$B$9:$E$101,4,FALSE),IF(BA1013="31-120 Days",VLOOKUP(D1013,[3]Extended!$B$9:$F$101,5,FALSE),IF(BA1013="121-365 Days",VLOOKUP(D1013,[3]Extended!$B$9:$G$101,6,FALSE),VLOOKUP(D1013,[3]Extended!$B$9:$H$101,7,FALSE)))),0)</f>
        <v>0</v>
      </c>
      <c r="O1013" s="269">
        <f>IFERROR(IF(BA1013="WIP - 30 Days",VLOOKUP(D1013,[3]Extended!$B$9:$J$101,9,FALSE),IF(BA1013="31-120 Days",VLOOKUP(D1013,[3]Extended!$B$9:$K$101,10,FALSE),IF(BA1013="121-365 Days",VLOOKUP(D1013,[3]Extended!$B$9:$L$101,11,FALSE),VLOOKUP(D1013,[3]Extended!$B$9:$M$101,12,FALSE)))),0)</f>
        <v>0</v>
      </c>
      <c r="P1013" s="116" t="e">
        <f t="shared" si="76"/>
        <v>#VALUE!</v>
      </c>
      <c r="Q1013" s="110" t="e">
        <f>O1013-#REF!</f>
        <v>#REF!</v>
      </c>
      <c r="W1013" s="311"/>
      <c r="X1013" s="311"/>
      <c r="Y1013" s="311"/>
      <c r="Z1013" s="311"/>
      <c r="AA1013" s="311"/>
      <c r="AB1013" s="311"/>
      <c r="AC1013" s="311"/>
      <c r="AT1013" s="88" t="str">
        <f t="shared" si="77"/>
        <v>Special Order0</v>
      </c>
      <c r="AU1013" s="89" t="str">
        <f t="shared" si="78"/>
        <v>01-1900</v>
      </c>
      <c r="BA1013" s="92" t="str">
        <f t="shared" si="79"/>
        <v/>
      </c>
    </row>
    <row r="1014" spans="2:53">
      <c r="B1014" s="60">
        <f>[2]Trucks!A1011</f>
        <v>0</v>
      </c>
      <c r="C1014" s="11">
        <f>[2]Trucks!B1011</f>
        <v>0</v>
      </c>
      <c r="D1014" s="19" t="str">
        <f>IFERROR(VLOOKUP(C1014&amp;"",'[2]Retail Price List'!$A$3:$B$103,2,FALSE),"Special Order")</f>
        <v>Special Order</v>
      </c>
      <c r="E1014" s="18">
        <f>[2]Trucks!J1011</f>
        <v>0</v>
      </c>
      <c r="F1014" s="12">
        <f>[2]Trucks!E1011</f>
        <v>0</v>
      </c>
      <c r="G1014" s="56">
        <f>[2]Trucks!K1011</f>
        <v>0</v>
      </c>
      <c r="H1014" s="46">
        <f>[2]Trucks!I1011</f>
        <v>0</v>
      </c>
      <c r="I1014" s="83" t="str">
        <f t="shared" si="75"/>
        <v/>
      </c>
      <c r="J1014" s="272" t="str">
        <f>IFERROR(VLOOKUP((D1014&amp;C1014)&amp;"",'[2]Retail Price List'!$C$4:$F$102,3,FALSE),"")</f>
        <v/>
      </c>
      <c r="K1014" s="272">
        <f>IFERROR(IF(BA1014="WIP - 30 Days",VLOOKUP(D1014,[3]Standard!$B$9:$E$101,4,FALSE),IF(BA1014="31-120 Days",VLOOKUP(D1014,[3]Standard!$B$9:$F$101,5,FALSE),IF(BA1014="121-365 Days",VLOOKUP(D1014,[3]Standard!$B$9:$G$101,6,FALSE),VLOOKUP(D1014,[3]Standard!$B$9:$H$101,7,FALSE)))),0)</f>
        <v>0</v>
      </c>
      <c r="L1014" s="272">
        <f>IFERROR(IF(BA1014="WIP - 30 Days",VLOOKUP(D1014,[3]Standard!$B$9:$J$101,9,FALSE),IF(BA1014="31-120 Days",VLOOKUP(D1014,[3]Standard!$B$9:$K$100,10,FALSE),IF(BA1014="121-365 Days",VLOOKUP(D1014,[3]Standard!$B$9:$L$101,11,FALSE),VLOOKUP(D1014,[3]Standard!$B$9:$M$101,12,FALSE)))),0)</f>
        <v>0</v>
      </c>
      <c r="M1014" s="269" t="str">
        <f>IFERROR(VLOOKUP((D1014&amp;C1014)&amp;"",'[2]Retail Price List'!$C$4:$F$102,4,FALSE),"")</f>
        <v/>
      </c>
      <c r="N1014" s="269">
        <f>IFERROR(IF(BA1014="WIP - 30 Days",VLOOKUP(D1014,[3]Extended!$B$9:$E$101,4,FALSE),IF(BA1014="31-120 Days",VLOOKUP(D1014,[3]Extended!$B$9:$F$101,5,FALSE),IF(BA1014="121-365 Days",VLOOKUP(D1014,[3]Extended!$B$9:$G$101,6,FALSE),VLOOKUP(D1014,[3]Extended!$B$9:$H$101,7,FALSE)))),0)</f>
        <v>0</v>
      </c>
      <c r="O1014" s="269">
        <f>IFERROR(IF(BA1014="WIP - 30 Days",VLOOKUP(D1014,[3]Extended!$B$9:$J$101,9,FALSE),IF(BA1014="31-120 Days",VLOOKUP(D1014,[3]Extended!$B$9:$K$101,10,FALSE),IF(BA1014="121-365 Days",VLOOKUP(D1014,[3]Extended!$B$9:$L$101,11,FALSE),VLOOKUP(D1014,[3]Extended!$B$9:$M$101,12,FALSE)))),0)</f>
        <v>0</v>
      </c>
      <c r="P1014" s="116" t="e">
        <f t="shared" si="76"/>
        <v>#VALUE!</v>
      </c>
      <c r="Q1014" s="110" t="e">
        <f>O1014-#REF!</f>
        <v>#REF!</v>
      </c>
      <c r="W1014" s="311"/>
      <c r="X1014" s="311"/>
      <c r="Y1014" s="311"/>
      <c r="Z1014" s="311"/>
      <c r="AA1014" s="311"/>
      <c r="AB1014" s="311"/>
      <c r="AC1014" s="311"/>
      <c r="AT1014" s="88" t="str">
        <f t="shared" si="77"/>
        <v>Special Order0</v>
      </c>
      <c r="AU1014" s="89" t="str">
        <f t="shared" si="78"/>
        <v>01-1900</v>
      </c>
      <c r="BA1014" s="92" t="str">
        <f t="shared" si="79"/>
        <v/>
      </c>
    </row>
    <row r="1015" spans="2:53">
      <c r="B1015" s="60">
        <f>[2]Trucks!A1012</f>
        <v>0</v>
      </c>
      <c r="C1015" s="11">
        <f>[2]Trucks!B1012</f>
        <v>0</v>
      </c>
      <c r="D1015" s="19" t="str">
        <f>IFERROR(VLOOKUP(C1015&amp;"",'[2]Retail Price List'!$A$3:$B$103,2,FALSE),"Special Order")</f>
        <v>Special Order</v>
      </c>
      <c r="E1015" s="18">
        <f>[2]Trucks!J1012</f>
        <v>0</v>
      </c>
      <c r="F1015" s="12">
        <f>[2]Trucks!E1012</f>
        <v>0</v>
      </c>
      <c r="G1015" s="56">
        <f>[2]Trucks!K1012</f>
        <v>0</v>
      </c>
      <c r="H1015" s="46">
        <f>[2]Trucks!I1012</f>
        <v>0</v>
      </c>
      <c r="I1015" s="83" t="str">
        <f t="shared" si="75"/>
        <v/>
      </c>
      <c r="J1015" s="272" t="str">
        <f>IFERROR(VLOOKUP((D1015&amp;C1015)&amp;"",'[2]Retail Price List'!$C$4:$F$102,3,FALSE),"")</f>
        <v/>
      </c>
      <c r="K1015" s="272">
        <f>IFERROR(IF(BA1015="WIP - 30 Days",VLOOKUP(D1015,[3]Standard!$B$9:$E$101,4,FALSE),IF(BA1015="31-120 Days",VLOOKUP(D1015,[3]Standard!$B$9:$F$101,5,FALSE),IF(BA1015="121-365 Days",VLOOKUP(D1015,[3]Standard!$B$9:$G$101,6,FALSE),VLOOKUP(D1015,[3]Standard!$B$9:$H$101,7,FALSE)))),0)</f>
        <v>0</v>
      </c>
      <c r="L1015" s="272">
        <f>IFERROR(IF(BA1015="WIP - 30 Days",VLOOKUP(D1015,[3]Standard!$B$9:$J$101,9,FALSE),IF(BA1015="31-120 Days",VLOOKUP(D1015,[3]Standard!$B$9:$K$100,10,FALSE),IF(BA1015="121-365 Days",VLOOKUP(D1015,[3]Standard!$B$9:$L$101,11,FALSE),VLOOKUP(D1015,[3]Standard!$B$9:$M$101,12,FALSE)))),0)</f>
        <v>0</v>
      </c>
      <c r="M1015" s="269" t="str">
        <f>IFERROR(VLOOKUP((D1015&amp;C1015)&amp;"",'[2]Retail Price List'!$C$4:$F$102,4,FALSE),"")</f>
        <v/>
      </c>
      <c r="N1015" s="269">
        <f>IFERROR(IF(BA1015="WIP - 30 Days",VLOOKUP(D1015,[3]Extended!$B$9:$E$101,4,FALSE),IF(BA1015="31-120 Days",VLOOKUP(D1015,[3]Extended!$B$9:$F$101,5,FALSE),IF(BA1015="121-365 Days",VLOOKUP(D1015,[3]Extended!$B$9:$G$101,6,FALSE),VLOOKUP(D1015,[3]Extended!$B$9:$H$101,7,FALSE)))),0)</f>
        <v>0</v>
      </c>
      <c r="O1015" s="269">
        <f>IFERROR(IF(BA1015="WIP - 30 Days",VLOOKUP(D1015,[3]Extended!$B$9:$J$101,9,FALSE),IF(BA1015="31-120 Days",VLOOKUP(D1015,[3]Extended!$B$9:$K$101,10,FALSE),IF(BA1015="121-365 Days",VLOOKUP(D1015,[3]Extended!$B$9:$L$101,11,FALSE),VLOOKUP(D1015,[3]Extended!$B$9:$M$101,12,FALSE)))),0)</f>
        <v>0</v>
      </c>
      <c r="P1015" s="116" t="e">
        <f t="shared" si="76"/>
        <v>#VALUE!</v>
      </c>
      <c r="Q1015" s="110" t="e">
        <f>O1015-#REF!</f>
        <v>#REF!</v>
      </c>
      <c r="W1015" s="311"/>
      <c r="X1015" s="311"/>
      <c r="Y1015" s="311"/>
      <c r="Z1015" s="311"/>
      <c r="AA1015" s="311"/>
      <c r="AB1015" s="311"/>
      <c r="AC1015" s="311"/>
      <c r="AT1015" s="88" t="str">
        <f t="shared" si="77"/>
        <v>Special Order0</v>
      </c>
      <c r="AU1015" s="89" t="str">
        <f t="shared" si="78"/>
        <v>01-1900</v>
      </c>
      <c r="BA1015" s="92" t="str">
        <f t="shared" si="79"/>
        <v/>
      </c>
    </row>
    <row r="1016" spans="2:53">
      <c r="B1016" s="60">
        <f>[2]Trucks!A1013</f>
        <v>0</v>
      </c>
      <c r="C1016" s="11">
        <f>[2]Trucks!B1013</f>
        <v>0</v>
      </c>
      <c r="D1016" s="19" t="str">
        <f>IFERROR(VLOOKUP(C1016&amp;"",'[2]Retail Price List'!$A$3:$B$103,2,FALSE),"Special Order")</f>
        <v>Special Order</v>
      </c>
      <c r="E1016" s="18">
        <f>[2]Trucks!J1013</f>
        <v>0</v>
      </c>
      <c r="F1016" s="12">
        <f>[2]Trucks!E1013</f>
        <v>0</v>
      </c>
      <c r="G1016" s="56">
        <f>[2]Trucks!K1013</f>
        <v>0</v>
      </c>
      <c r="H1016" s="46">
        <f>[2]Trucks!I1013</f>
        <v>0</v>
      </c>
      <c r="I1016" s="83" t="str">
        <f t="shared" si="75"/>
        <v/>
      </c>
      <c r="J1016" s="272" t="str">
        <f>IFERROR(VLOOKUP((D1016&amp;C1016)&amp;"",'[2]Retail Price List'!$C$4:$F$102,3,FALSE),"")</f>
        <v/>
      </c>
      <c r="K1016" s="272">
        <f>IFERROR(IF(BA1016="WIP - 30 Days",VLOOKUP(D1016,[3]Standard!$B$9:$E$101,4,FALSE),IF(BA1016="31-120 Days",VLOOKUP(D1016,[3]Standard!$B$9:$F$101,5,FALSE),IF(BA1016="121-365 Days",VLOOKUP(D1016,[3]Standard!$B$9:$G$101,6,FALSE),VLOOKUP(D1016,[3]Standard!$B$9:$H$101,7,FALSE)))),0)</f>
        <v>0</v>
      </c>
      <c r="L1016" s="272">
        <f>IFERROR(IF(BA1016="WIP - 30 Days",VLOOKUP(D1016,[3]Standard!$B$9:$J$101,9,FALSE),IF(BA1016="31-120 Days",VLOOKUP(D1016,[3]Standard!$B$9:$K$100,10,FALSE),IF(BA1016="121-365 Days",VLOOKUP(D1016,[3]Standard!$B$9:$L$101,11,FALSE),VLOOKUP(D1016,[3]Standard!$B$9:$M$101,12,FALSE)))),0)</f>
        <v>0</v>
      </c>
      <c r="M1016" s="269" t="str">
        <f>IFERROR(VLOOKUP((D1016&amp;C1016)&amp;"",'[2]Retail Price List'!$C$4:$F$102,4,FALSE),"")</f>
        <v/>
      </c>
      <c r="N1016" s="269">
        <f>IFERROR(IF(BA1016="WIP - 30 Days",VLOOKUP(D1016,[3]Extended!$B$9:$E$101,4,FALSE),IF(BA1016="31-120 Days",VLOOKUP(D1016,[3]Extended!$B$9:$F$101,5,FALSE),IF(BA1016="121-365 Days",VLOOKUP(D1016,[3]Extended!$B$9:$G$101,6,FALSE),VLOOKUP(D1016,[3]Extended!$B$9:$H$101,7,FALSE)))),0)</f>
        <v>0</v>
      </c>
      <c r="O1016" s="269">
        <f>IFERROR(IF(BA1016="WIP - 30 Days",VLOOKUP(D1016,[3]Extended!$B$9:$J$101,9,FALSE),IF(BA1016="31-120 Days",VLOOKUP(D1016,[3]Extended!$B$9:$K$101,10,FALSE),IF(BA1016="121-365 Days",VLOOKUP(D1016,[3]Extended!$B$9:$L$101,11,FALSE),VLOOKUP(D1016,[3]Extended!$B$9:$M$101,12,FALSE)))),0)</f>
        <v>0</v>
      </c>
      <c r="P1016" s="116" t="e">
        <f t="shared" si="76"/>
        <v>#VALUE!</v>
      </c>
      <c r="Q1016" s="110" t="e">
        <f>O1016-#REF!</f>
        <v>#REF!</v>
      </c>
      <c r="W1016" s="311"/>
      <c r="X1016" s="311"/>
      <c r="Y1016" s="311"/>
      <c r="Z1016" s="311"/>
      <c r="AA1016" s="311"/>
      <c r="AB1016" s="311"/>
      <c r="AC1016" s="311"/>
      <c r="AT1016" s="88" t="str">
        <f t="shared" si="77"/>
        <v>Special Order0</v>
      </c>
      <c r="AU1016" s="89" t="str">
        <f t="shared" si="78"/>
        <v>01-1900</v>
      </c>
      <c r="BA1016" s="92" t="str">
        <f t="shared" si="79"/>
        <v/>
      </c>
    </row>
    <row r="1017" spans="2:53">
      <c r="B1017" s="60">
        <f>[2]Trucks!A1014</f>
        <v>0</v>
      </c>
      <c r="C1017" s="11">
        <f>[2]Trucks!B1014</f>
        <v>0</v>
      </c>
      <c r="D1017" s="19" t="str">
        <f>IFERROR(VLOOKUP(C1017&amp;"",'[2]Retail Price List'!$A$3:$B$103,2,FALSE),"Special Order")</f>
        <v>Special Order</v>
      </c>
      <c r="E1017" s="18">
        <f>[2]Trucks!J1014</f>
        <v>0</v>
      </c>
      <c r="F1017" s="12">
        <f>[2]Trucks!E1014</f>
        <v>0</v>
      </c>
      <c r="G1017" s="56">
        <f>[2]Trucks!K1014</f>
        <v>0</v>
      </c>
      <c r="H1017" s="46">
        <f>[2]Trucks!I1014</f>
        <v>0</v>
      </c>
      <c r="I1017" s="83" t="str">
        <f t="shared" si="75"/>
        <v/>
      </c>
      <c r="J1017" s="272" t="str">
        <f>IFERROR(VLOOKUP((D1017&amp;C1017)&amp;"",'[2]Retail Price List'!$C$4:$F$102,3,FALSE),"")</f>
        <v/>
      </c>
      <c r="K1017" s="272">
        <f>IFERROR(IF(BA1017="WIP - 30 Days",VLOOKUP(D1017,[3]Standard!$B$9:$E$101,4,FALSE),IF(BA1017="31-120 Days",VLOOKUP(D1017,[3]Standard!$B$9:$F$101,5,FALSE),IF(BA1017="121-365 Days",VLOOKUP(D1017,[3]Standard!$B$9:$G$101,6,FALSE),VLOOKUP(D1017,[3]Standard!$B$9:$H$101,7,FALSE)))),0)</f>
        <v>0</v>
      </c>
      <c r="L1017" s="272">
        <f>IFERROR(IF(BA1017="WIP - 30 Days",VLOOKUP(D1017,[3]Standard!$B$9:$J$101,9,FALSE),IF(BA1017="31-120 Days",VLOOKUP(D1017,[3]Standard!$B$9:$K$100,10,FALSE),IF(BA1017="121-365 Days",VLOOKUP(D1017,[3]Standard!$B$9:$L$101,11,FALSE),VLOOKUP(D1017,[3]Standard!$B$9:$M$101,12,FALSE)))),0)</f>
        <v>0</v>
      </c>
      <c r="M1017" s="269" t="str">
        <f>IFERROR(VLOOKUP((D1017&amp;C1017)&amp;"",'[2]Retail Price List'!$C$4:$F$102,4,FALSE),"")</f>
        <v/>
      </c>
      <c r="N1017" s="269">
        <f>IFERROR(IF(BA1017="WIP - 30 Days",VLOOKUP(D1017,[3]Extended!$B$9:$E$101,4,FALSE),IF(BA1017="31-120 Days",VLOOKUP(D1017,[3]Extended!$B$9:$F$101,5,FALSE),IF(BA1017="121-365 Days",VLOOKUP(D1017,[3]Extended!$B$9:$G$101,6,FALSE),VLOOKUP(D1017,[3]Extended!$B$9:$H$101,7,FALSE)))),0)</f>
        <v>0</v>
      </c>
      <c r="O1017" s="269">
        <f>IFERROR(IF(BA1017="WIP - 30 Days",VLOOKUP(D1017,[3]Extended!$B$9:$J$101,9,FALSE),IF(BA1017="31-120 Days",VLOOKUP(D1017,[3]Extended!$B$9:$K$101,10,FALSE),IF(BA1017="121-365 Days",VLOOKUP(D1017,[3]Extended!$B$9:$L$101,11,FALSE),VLOOKUP(D1017,[3]Extended!$B$9:$M$101,12,FALSE)))),0)</f>
        <v>0</v>
      </c>
      <c r="P1017" s="116" t="e">
        <f t="shared" si="76"/>
        <v>#VALUE!</v>
      </c>
      <c r="Q1017" s="110" t="e">
        <f>O1017-#REF!</f>
        <v>#REF!</v>
      </c>
      <c r="W1017" s="311"/>
      <c r="X1017" s="311"/>
      <c r="Y1017" s="311"/>
      <c r="Z1017" s="311"/>
      <c r="AA1017" s="311"/>
      <c r="AB1017" s="311"/>
      <c r="AC1017" s="311"/>
      <c r="AT1017" s="88" t="str">
        <f t="shared" si="77"/>
        <v>Special Order0</v>
      </c>
      <c r="AU1017" s="89" t="str">
        <f t="shared" si="78"/>
        <v>01-1900</v>
      </c>
      <c r="BA1017" s="92" t="str">
        <f t="shared" si="79"/>
        <v/>
      </c>
    </row>
    <row r="1018" spans="2:53">
      <c r="B1018" s="60">
        <f>[2]Trucks!A1015</f>
        <v>0</v>
      </c>
      <c r="C1018" s="11">
        <f>[2]Trucks!B1015</f>
        <v>0</v>
      </c>
      <c r="D1018" s="19" t="str">
        <f>IFERROR(VLOOKUP(C1018&amp;"",'[2]Retail Price List'!$A$3:$B$103,2,FALSE),"Special Order")</f>
        <v>Special Order</v>
      </c>
      <c r="E1018" s="18">
        <f>[2]Trucks!J1015</f>
        <v>0</v>
      </c>
      <c r="F1018" s="12">
        <f>[2]Trucks!E1015</f>
        <v>0</v>
      </c>
      <c r="G1018" s="56">
        <f>[2]Trucks!K1015</f>
        <v>0</v>
      </c>
      <c r="H1018" s="46">
        <f>[2]Trucks!I1015</f>
        <v>0</v>
      </c>
      <c r="I1018" s="83" t="str">
        <f t="shared" si="75"/>
        <v/>
      </c>
      <c r="J1018" s="272" t="str">
        <f>IFERROR(VLOOKUP((D1018&amp;C1018)&amp;"",'[2]Retail Price List'!$C$4:$F$102,3,FALSE),"")</f>
        <v/>
      </c>
      <c r="K1018" s="272">
        <f>IFERROR(IF(BA1018="WIP - 30 Days",VLOOKUP(D1018,[3]Standard!$B$9:$E$101,4,FALSE),IF(BA1018="31-120 Days",VLOOKUP(D1018,[3]Standard!$B$9:$F$101,5,FALSE),IF(BA1018="121-365 Days",VLOOKUP(D1018,[3]Standard!$B$9:$G$101,6,FALSE),VLOOKUP(D1018,[3]Standard!$B$9:$H$101,7,FALSE)))),0)</f>
        <v>0</v>
      </c>
      <c r="L1018" s="272">
        <f>IFERROR(IF(BA1018="WIP - 30 Days",VLOOKUP(D1018,[3]Standard!$B$9:$J$101,9,FALSE),IF(BA1018="31-120 Days",VLOOKUP(D1018,[3]Standard!$B$9:$K$100,10,FALSE),IF(BA1018="121-365 Days",VLOOKUP(D1018,[3]Standard!$B$9:$L$101,11,FALSE),VLOOKUP(D1018,[3]Standard!$B$9:$M$101,12,FALSE)))),0)</f>
        <v>0</v>
      </c>
      <c r="M1018" s="269" t="str">
        <f>IFERROR(VLOOKUP((D1018&amp;C1018)&amp;"",'[2]Retail Price List'!$C$4:$F$102,4,FALSE),"")</f>
        <v/>
      </c>
      <c r="N1018" s="269">
        <f>IFERROR(IF(BA1018="WIP - 30 Days",VLOOKUP(D1018,[3]Extended!$B$9:$E$101,4,FALSE),IF(BA1018="31-120 Days",VLOOKUP(D1018,[3]Extended!$B$9:$F$101,5,FALSE),IF(BA1018="121-365 Days",VLOOKUP(D1018,[3]Extended!$B$9:$G$101,6,FALSE),VLOOKUP(D1018,[3]Extended!$B$9:$H$101,7,FALSE)))),0)</f>
        <v>0</v>
      </c>
      <c r="O1018" s="269">
        <f>IFERROR(IF(BA1018="WIP - 30 Days",VLOOKUP(D1018,[3]Extended!$B$9:$J$101,9,FALSE),IF(BA1018="31-120 Days",VLOOKUP(D1018,[3]Extended!$B$9:$K$101,10,FALSE),IF(BA1018="121-365 Days",VLOOKUP(D1018,[3]Extended!$B$9:$L$101,11,FALSE),VLOOKUP(D1018,[3]Extended!$B$9:$M$101,12,FALSE)))),0)</f>
        <v>0</v>
      </c>
      <c r="P1018" s="116" t="e">
        <f t="shared" si="76"/>
        <v>#VALUE!</v>
      </c>
      <c r="Q1018" s="110" t="e">
        <f>O1018-#REF!</f>
        <v>#REF!</v>
      </c>
      <c r="W1018" s="311"/>
      <c r="X1018" s="311"/>
      <c r="Y1018" s="311"/>
      <c r="Z1018" s="311"/>
      <c r="AA1018" s="311"/>
      <c r="AB1018" s="311"/>
      <c r="AC1018" s="311"/>
      <c r="AT1018" s="88" t="str">
        <f t="shared" si="77"/>
        <v>Special Order0</v>
      </c>
      <c r="AU1018" s="89" t="str">
        <f t="shared" si="78"/>
        <v>01-1900</v>
      </c>
      <c r="BA1018" s="92" t="str">
        <f t="shared" si="79"/>
        <v/>
      </c>
    </row>
    <row r="1019" spans="2:53">
      <c r="B1019" s="60">
        <f>[2]Trucks!A1016</f>
        <v>0</v>
      </c>
      <c r="C1019" s="11">
        <f>[2]Trucks!B1016</f>
        <v>0</v>
      </c>
      <c r="D1019" s="19" t="str">
        <f>IFERROR(VLOOKUP(C1019&amp;"",'[2]Retail Price List'!$A$3:$B$103,2,FALSE),"Special Order")</f>
        <v>Special Order</v>
      </c>
      <c r="E1019" s="18">
        <f>[2]Trucks!J1016</f>
        <v>0</v>
      </c>
      <c r="F1019" s="12">
        <f>[2]Trucks!E1016</f>
        <v>0</v>
      </c>
      <c r="G1019" s="56">
        <f>[2]Trucks!K1016</f>
        <v>0</v>
      </c>
      <c r="H1019" s="46">
        <f>[2]Trucks!I1016</f>
        <v>0</v>
      </c>
      <c r="I1019" s="83" t="str">
        <f t="shared" si="75"/>
        <v/>
      </c>
      <c r="J1019" s="272" t="str">
        <f>IFERROR(VLOOKUP((D1019&amp;C1019)&amp;"",'[2]Retail Price List'!$C$4:$F$102,3,FALSE),"")</f>
        <v/>
      </c>
      <c r="K1019" s="272">
        <f>IFERROR(IF(BA1019="WIP - 30 Days",VLOOKUP(D1019,[3]Standard!$B$9:$E$101,4,FALSE),IF(BA1019="31-120 Days",VLOOKUP(D1019,[3]Standard!$B$9:$F$101,5,FALSE),IF(BA1019="121-365 Days",VLOOKUP(D1019,[3]Standard!$B$9:$G$101,6,FALSE),VLOOKUP(D1019,[3]Standard!$B$9:$H$101,7,FALSE)))),0)</f>
        <v>0</v>
      </c>
      <c r="L1019" s="272">
        <f>IFERROR(IF(BA1019="WIP - 30 Days",VLOOKUP(D1019,[3]Standard!$B$9:$J$101,9,FALSE),IF(BA1019="31-120 Days",VLOOKUP(D1019,[3]Standard!$B$9:$K$100,10,FALSE),IF(BA1019="121-365 Days",VLOOKUP(D1019,[3]Standard!$B$9:$L$101,11,FALSE),VLOOKUP(D1019,[3]Standard!$B$9:$M$101,12,FALSE)))),0)</f>
        <v>0</v>
      </c>
      <c r="M1019" s="269" t="str">
        <f>IFERROR(VLOOKUP((D1019&amp;C1019)&amp;"",'[2]Retail Price List'!$C$4:$F$102,4,FALSE),"")</f>
        <v/>
      </c>
      <c r="N1019" s="269">
        <f>IFERROR(IF(BA1019="WIP - 30 Days",VLOOKUP(D1019,[3]Extended!$B$9:$E$101,4,FALSE),IF(BA1019="31-120 Days",VLOOKUP(D1019,[3]Extended!$B$9:$F$101,5,FALSE),IF(BA1019="121-365 Days",VLOOKUP(D1019,[3]Extended!$B$9:$G$101,6,FALSE),VLOOKUP(D1019,[3]Extended!$B$9:$H$101,7,FALSE)))),0)</f>
        <v>0</v>
      </c>
      <c r="O1019" s="269">
        <f>IFERROR(IF(BA1019="WIP - 30 Days",VLOOKUP(D1019,[3]Extended!$B$9:$J$101,9,FALSE),IF(BA1019="31-120 Days",VLOOKUP(D1019,[3]Extended!$B$9:$K$101,10,FALSE),IF(BA1019="121-365 Days",VLOOKUP(D1019,[3]Extended!$B$9:$L$101,11,FALSE),VLOOKUP(D1019,[3]Extended!$B$9:$M$101,12,FALSE)))),0)</f>
        <v>0</v>
      </c>
      <c r="P1019" s="116" t="e">
        <f t="shared" si="76"/>
        <v>#VALUE!</v>
      </c>
      <c r="Q1019" s="110" t="e">
        <f>O1019-#REF!</f>
        <v>#REF!</v>
      </c>
      <c r="W1019" s="311"/>
      <c r="X1019" s="311"/>
      <c r="Y1019" s="311"/>
      <c r="Z1019" s="311"/>
      <c r="AA1019" s="311"/>
      <c r="AB1019" s="311"/>
      <c r="AC1019" s="311"/>
      <c r="AT1019" s="88" t="str">
        <f t="shared" si="77"/>
        <v>Special Order0</v>
      </c>
      <c r="AU1019" s="89" t="str">
        <f t="shared" si="78"/>
        <v>01-1900</v>
      </c>
      <c r="BA1019" s="92" t="str">
        <f t="shared" si="79"/>
        <v/>
      </c>
    </row>
    <row r="1020" spans="2:53">
      <c r="B1020" s="60">
        <f>[2]Trucks!A1017</f>
        <v>0</v>
      </c>
      <c r="C1020" s="11">
        <f>[2]Trucks!B1017</f>
        <v>0</v>
      </c>
      <c r="D1020" s="19" t="str">
        <f>IFERROR(VLOOKUP(C1020&amp;"",'[2]Retail Price List'!$A$3:$B$103,2,FALSE),"Special Order")</f>
        <v>Special Order</v>
      </c>
      <c r="E1020" s="18">
        <f>[2]Trucks!J1017</f>
        <v>0</v>
      </c>
      <c r="F1020" s="12">
        <f>[2]Trucks!E1017</f>
        <v>0</v>
      </c>
      <c r="G1020" s="56">
        <f>[2]Trucks!K1017</f>
        <v>0</v>
      </c>
      <c r="H1020" s="46">
        <f>[2]Trucks!I1017</f>
        <v>0</v>
      </c>
      <c r="I1020" s="83" t="str">
        <f t="shared" si="75"/>
        <v/>
      </c>
      <c r="J1020" s="272" t="str">
        <f>IFERROR(VLOOKUP((D1020&amp;C1020)&amp;"",'[2]Retail Price List'!$C$4:$F$102,3,FALSE),"")</f>
        <v/>
      </c>
      <c r="K1020" s="272">
        <f>IFERROR(IF(BA1020="WIP - 30 Days",VLOOKUP(D1020,[3]Standard!$B$9:$E$101,4,FALSE),IF(BA1020="31-120 Days",VLOOKUP(D1020,[3]Standard!$B$9:$F$101,5,FALSE),IF(BA1020="121-365 Days",VLOOKUP(D1020,[3]Standard!$B$9:$G$101,6,FALSE),VLOOKUP(D1020,[3]Standard!$B$9:$H$101,7,FALSE)))),0)</f>
        <v>0</v>
      </c>
      <c r="L1020" s="272">
        <f>IFERROR(IF(BA1020="WIP - 30 Days",VLOOKUP(D1020,[3]Standard!$B$9:$J$101,9,FALSE),IF(BA1020="31-120 Days",VLOOKUP(D1020,[3]Standard!$B$9:$K$100,10,FALSE),IF(BA1020="121-365 Days",VLOOKUP(D1020,[3]Standard!$B$9:$L$101,11,FALSE),VLOOKUP(D1020,[3]Standard!$B$9:$M$101,12,FALSE)))),0)</f>
        <v>0</v>
      </c>
      <c r="M1020" s="269" t="str">
        <f>IFERROR(VLOOKUP((D1020&amp;C1020)&amp;"",'[2]Retail Price List'!$C$4:$F$102,4,FALSE),"")</f>
        <v/>
      </c>
      <c r="N1020" s="269">
        <f>IFERROR(IF(BA1020="WIP - 30 Days",VLOOKUP(D1020,[3]Extended!$B$9:$E$101,4,FALSE),IF(BA1020="31-120 Days",VLOOKUP(D1020,[3]Extended!$B$9:$F$101,5,FALSE),IF(BA1020="121-365 Days",VLOOKUP(D1020,[3]Extended!$B$9:$G$101,6,FALSE),VLOOKUP(D1020,[3]Extended!$B$9:$H$101,7,FALSE)))),0)</f>
        <v>0</v>
      </c>
      <c r="O1020" s="269">
        <f>IFERROR(IF(BA1020="WIP - 30 Days",VLOOKUP(D1020,[3]Extended!$B$9:$J$101,9,FALSE),IF(BA1020="31-120 Days",VLOOKUP(D1020,[3]Extended!$B$9:$K$101,10,FALSE),IF(BA1020="121-365 Days",VLOOKUP(D1020,[3]Extended!$B$9:$L$101,11,FALSE),VLOOKUP(D1020,[3]Extended!$B$9:$M$101,12,FALSE)))),0)</f>
        <v>0</v>
      </c>
      <c r="P1020" s="116" t="e">
        <f t="shared" si="76"/>
        <v>#VALUE!</v>
      </c>
      <c r="Q1020" s="110" t="e">
        <f>O1020-#REF!</f>
        <v>#REF!</v>
      </c>
      <c r="W1020" s="311"/>
      <c r="X1020" s="311"/>
      <c r="Y1020" s="311"/>
      <c r="Z1020" s="311"/>
      <c r="AA1020" s="311"/>
      <c r="AB1020" s="311"/>
      <c r="AC1020" s="311"/>
      <c r="AT1020" s="88" t="str">
        <f t="shared" si="77"/>
        <v>Special Order0</v>
      </c>
      <c r="AU1020" s="89" t="str">
        <f t="shared" si="78"/>
        <v>01-1900</v>
      </c>
      <c r="BA1020" s="92" t="str">
        <f t="shared" si="79"/>
        <v/>
      </c>
    </row>
    <row r="1021" spans="2:53">
      <c r="B1021" s="60">
        <f>[2]Trucks!A1018</f>
        <v>0</v>
      </c>
      <c r="C1021" s="11">
        <f>[2]Trucks!B1018</f>
        <v>0</v>
      </c>
      <c r="D1021" s="19" t="str">
        <f>IFERROR(VLOOKUP(C1021&amp;"",'[2]Retail Price List'!$A$3:$B$103,2,FALSE),"Special Order")</f>
        <v>Special Order</v>
      </c>
      <c r="E1021" s="18">
        <f>[2]Trucks!J1018</f>
        <v>0</v>
      </c>
      <c r="F1021" s="12">
        <f>[2]Trucks!E1018</f>
        <v>0</v>
      </c>
      <c r="G1021" s="56">
        <f>[2]Trucks!K1018</f>
        <v>0</v>
      </c>
      <c r="H1021" s="46">
        <f>[2]Trucks!I1018</f>
        <v>0</v>
      </c>
      <c r="I1021" s="83" t="str">
        <f t="shared" si="75"/>
        <v/>
      </c>
      <c r="J1021" s="272" t="str">
        <f>IFERROR(VLOOKUP((D1021&amp;C1021)&amp;"",'[2]Retail Price List'!$C$4:$F$102,3,FALSE),"")</f>
        <v/>
      </c>
      <c r="K1021" s="272">
        <f>IFERROR(IF(BA1021="WIP - 30 Days",VLOOKUP(D1021,[3]Standard!$B$9:$E$101,4,FALSE),IF(BA1021="31-120 Days",VLOOKUP(D1021,[3]Standard!$B$9:$F$101,5,FALSE),IF(BA1021="121-365 Days",VLOOKUP(D1021,[3]Standard!$B$9:$G$101,6,FALSE),VLOOKUP(D1021,[3]Standard!$B$9:$H$101,7,FALSE)))),0)</f>
        <v>0</v>
      </c>
      <c r="L1021" s="272">
        <f>IFERROR(IF(BA1021="WIP - 30 Days",VLOOKUP(D1021,[3]Standard!$B$9:$J$101,9,FALSE),IF(BA1021="31-120 Days",VLOOKUP(D1021,[3]Standard!$B$9:$K$100,10,FALSE),IF(BA1021="121-365 Days",VLOOKUP(D1021,[3]Standard!$B$9:$L$101,11,FALSE),VLOOKUP(D1021,[3]Standard!$B$9:$M$101,12,FALSE)))),0)</f>
        <v>0</v>
      </c>
      <c r="M1021" s="269" t="str">
        <f>IFERROR(VLOOKUP((D1021&amp;C1021)&amp;"",'[2]Retail Price List'!$C$4:$F$102,4,FALSE),"")</f>
        <v/>
      </c>
      <c r="N1021" s="269">
        <f>IFERROR(IF(BA1021="WIP - 30 Days",VLOOKUP(D1021,[3]Extended!$B$9:$E$101,4,FALSE),IF(BA1021="31-120 Days",VLOOKUP(D1021,[3]Extended!$B$9:$F$101,5,FALSE),IF(BA1021="121-365 Days",VLOOKUP(D1021,[3]Extended!$B$9:$G$101,6,FALSE),VLOOKUP(D1021,[3]Extended!$B$9:$H$101,7,FALSE)))),0)</f>
        <v>0</v>
      </c>
      <c r="O1021" s="269">
        <f>IFERROR(IF(BA1021="WIP - 30 Days",VLOOKUP(D1021,[3]Extended!$B$9:$J$101,9,FALSE),IF(BA1021="31-120 Days",VLOOKUP(D1021,[3]Extended!$B$9:$K$101,10,FALSE),IF(BA1021="121-365 Days",VLOOKUP(D1021,[3]Extended!$B$9:$L$101,11,FALSE),VLOOKUP(D1021,[3]Extended!$B$9:$M$101,12,FALSE)))),0)</f>
        <v>0</v>
      </c>
      <c r="P1021" s="116" t="e">
        <f t="shared" si="76"/>
        <v>#VALUE!</v>
      </c>
      <c r="Q1021" s="110" t="e">
        <f>O1021-#REF!</f>
        <v>#REF!</v>
      </c>
      <c r="W1021" s="311"/>
      <c r="X1021" s="311"/>
      <c r="Y1021" s="311"/>
      <c r="Z1021" s="311"/>
      <c r="AA1021" s="311"/>
      <c r="AB1021" s="311"/>
      <c r="AC1021" s="311"/>
      <c r="AT1021" s="88" t="str">
        <f t="shared" si="77"/>
        <v>Special Order0</v>
      </c>
      <c r="AU1021" s="89" t="str">
        <f t="shared" si="78"/>
        <v>01-1900</v>
      </c>
      <c r="BA1021" s="92" t="str">
        <f t="shared" si="79"/>
        <v/>
      </c>
    </row>
    <row r="1022" spans="2:53">
      <c r="B1022" s="60">
        <f>[2]Trucks!A1019</f>
        <v>0</v>
      </c>
      <c r="C1022" s="11">
        <f>[2]Trucks!B1019</f>
        <v>0</v>
      </c>
      <c r="D1022" s="19" t="str">
        <f>IFERROR(VLOOKUP(C1022&amp;"",'[2]Retail Price List'!$A$3:$B$103,2,FALSE),"Special Order")</f>
        <v>Special Order</v>
      </c>
      <c r="E1022" s="18">
        <f>[2]Trucks!J1019</f>
        <v>0</v>
      </c>
      <c r="F1022" s="12">
        <f>[2]Trucks!E1019</f>
        <v>0</v>
      </c>
      <c r="G1022" s="56">
        <f>[2]Trucks!K1019</f>
        <v>0</v>
      </c>
      <c r="H1022" s="46">
        <f>[2]Trucks!I1019</f>
        <v>0</v>
      </c>
      <c r="I1022" s="83" t="str">
        <f t="shared" si="75"/>
        <v/>
      </c>
      <c r="J1022" s="272" t="str">
        <f>IFERROR(VLOOKUP((D1022&amp;C1022)&amp;"",'[2]Retail Price List'!$C$4:$F$102,3,FALSE),"")</f>
        <v/>
      </c>
      <c r="K1022" s="272">
        <f>IFERROR(IF(BA1022="WIP - 30 Days",VLOOKUP(D1022,[3]Standard!$B$9:$E$101,4,FALSE),IF(BA1022="31-120 Days",VLOOKUP(D1022,[3]Standard!$B$9:$F$101,5,FALSE),IF(BA1022="121-365 Days",VLOOKUP(D1022,[3]Standard!$B$9:$G$101,6,FALSE),VLOOKUP(D1022,[3]Standard!$B$9:$H$101,7,FALSE)))),0)</f>
        <v>0</v>
      </c>
      <c r="L1022" s="272">
        <f>IFERROR(IF(BA1022="WIP - 30 Days",VLOOKUP(D1022,[3]Standard!$B$9:$J$101,9,FALSE),IF(BA1022="31-120 Days",VLOOKUP(D1022,[3]Standard!$B$9:$K$100,10,FALSE),IF(BA1022="121-365 Days",VLOOKUP(D1022,[3]Standard!$B$9:$L$101,11,FALSE),VLOOKUP(D1022,[3]Standard!$B$9:$M$101,12,FALSE)))),0)</f>
        <v>0</v>
      </c>
      <c r="M1022" s="269" t="str">
        <f>IFERROR(VLOOKUP((D1022&amp;C1022)&amp;"",'[2]Retail Price List'!$C$4:$F$102,4,FALSE),"")</f>
        <v/>
      </c>
      <c r="N1022" s="269">
        <f>IFERROR(IF(BA1022="WIP - 30 Days",VLOOKUP(D1022,[3]Extended!$B$9:$E$101,4,FALSE),IF(BA1022="31-120 Days",VLOOKUP(D1022,[3]Extended!$B$9:$F$101,5,FALSE),IF(BA1022="121-365 Days",VLOOKUP(D1022,[3]Extended!$B$9:$G$101,6,FALSE),VLOOKUP(D1022,[3]Extended!$B$9:$H$101,7,FALSE)))),0)</f>
        <v>0</v>
      </c>
      <c r="O1022" s="269">
        <f>IFERROR(IF(BA1022="WIP - 30 Days",VLOOKUP(D1022,[3]Extended!$B$9:$J$101,9,FALSE),IF(BA1022="31-120 Days",VLOOKUP(D1022,[3]Extended!$B$9:$K$101,10,FALSE),IF(BA1022="121-365 Days",VLOOKUP(D1022,[3]Extended!$B$9:$L$101,11,FALSE),VLOOKUP(D1022,[3]Extended!$B$9:$M$101,12,FALSE)))),0)</f>
        <v>0</v>
      </c>
      <c r="P1022" s="116" t="e">
        <f t="shared" si="76"/>
        <v>#VALUE!</v>
      </c>
      <c r="Q1022" s="110" t="e">
        <f>O1022-#REF!</f>
        <v>#REF!</v>
      </c>
      <c r="W1022" s="311"/>
      <c r="X1022" s="311"/>
      <c r="Y1022" s="311"/>
      <c r="Z1022" s="311"/>
      <c r="AA1022" s="311"/>
      <c r="AB1022" s="311"/>
      <c r="AC1022" s="311"/>
      <c r="AT1022" s="88" t="str">
        <f t="shared" si="77"/>
        <v>Special Order0</v>
      </c>
      <c r="AU1022" s="89" t="str">
        <f t="shared" si="78"/>
        <v>01-1900</v>
      </c>
      <c r="BA1022" s="92" t="str">
        <f t="shared" si="79"/>
        <v/>
      </c>
    </row>
    <row r="1023" spans="2:53">
      <c r="B1023" s="60">
        <f>[2]Trucks!A1020</f>
        <v>0</v>
      </c>
      <c r="C1023" s="11">
        <f>[2]Trucks!B1020</f>
        <v>0</v>
      </c>
      <c r="D1023" s="19" t="str">
        <f>IFERROR(VLOOKUP(C1023&amp;"",'[2]Retail Price List'!$A$3:$B$103,2,FALSE),"Special Order")</f>
        <v>Special Order</v>
      </c>
      <c r="E1023" s="18">
        <f>[2]Trucks!J1020</f>
        <v>0</v>
      </c>
      <c r="F1023" s="12">
        <f>[2]Trucks!E1020</f>
        <v>0</v>
      </c>
      <c r="G1023" s="56">
        <f>[2]Trucks!K1020</f>
        <v>0</v>
      </c>
      <c r="H1023" s="46">
        <f>[2]Trucks!I1020</f>
        <v>0</v>
      </c>
      <c r="I1023" s="83" t="str">
        <f t="shared" si="75"/>
        <v/>
      </c>
      <c r="J1023" s="272" t="str">
        <f>IFERROR(VLOOKUP((D1023&amp;C1023)&amp;"",'[2]Retail Price List'!$C$4:$F$102,3,FALSE),"")</f>
        <v/>
      </c>
      <c r="K1023" s="272">
        <f>IFERROR(IF(BA1023="WIP - 30 Days",VLOOKUP(D1023,[3]Standard!$B$9:$E$101,4,FALSE),IF(BA1023="31-120 Days",VLOOKUP(D1023,[3]Standard!$B$9:$F$101,5,FALSE),IF(BA1023="121-365 Days",VLOOKUP(D1023,[3]Standard!$B$9:$G$101,6,FALSE),VLOOKUP(D1023,[3]Standard!$B$9:$H$101,7,FALSE)))),0)</f>
        <v>0</v>
      </c>
      <c r="L1023" s="272">
        <f>IFERROR(IF(BA1023="WIP - 30 Days",VLOOKUP(D1023,[3]Standard!$B$9:$J$101,9,FALSE),IF(BA1023="31-120 Days",VLOOKUP(D1023,[3]Standard!$B$9:$K$100,10,FALSE),IF(BA1023="121-365 Days",VLOOKUP(D1023,[3]Standard!$B$9:$L$101,11,FALSE),VLOOKUP(D1023,[3]Standard!$B$9:$M$101,12,FALSE)))),0)</f>
        <v>0</v>
      </c>
      <c r="M1023" s="269" t="str">
        <f>IFERROR(VLOOKUP((D1023&amp;C1023)&amp;"",'[2]Retail Price List'!$C$4:$F$102,4,FALSE),"")</f>
        <v/>
      </c>
      <c r="N1023" s="269">
        <f>IFERROR(IF(BA1023="WIP - 30 Days",VLOOKUP(D1023,[3]Extended!$B$9:$E$101,4,FALSE),IF(BA1023="31-120 Days",VLOOKUP(D1023,[3]Extended!$B$9:$F$101,5,FALSE),IF(BA1023="121-365 Days",VLOOKUP(D1023,[3]Extended!$B$9:$G$101,6,FALSE),VLOOKUP(D1023,[3]Extended!$B$9:$H$101,7,FALSE)))),0)</f>
        <v>0</v>
      </c>
      <c r="O1023" s="269">
        <f>IFERROR(IF(BA1023="WIP - 30 Days",VLOOKUP(D1023,[3]Extended!$B$9:$J$101,9,FALSE),IF(BA1023="31-120 Days",VLOOKUP(D1023,[3]Extended!$B$9:$K$101,10,FALSE),IF(BA1023="121-365 Days",VLOOKUP(D1023,[3]Extended!$B$9:$L$101,11,FALSE),VLOOKUP(D1023,[3]Extended!$B$9:$M$101,12,FALSE)))),0)</f>
        <v>0</v>
      </c>
      <c r="P1023" s="116" t="e">
        <f t="shared" si="76"/>
        <v>#VALUE!</v>
      </c>
      <c r="Q1023" s="110" t="e">
        <f>O1023-#REF!</f>
        <v>#REF!</v>
      </c>
      <c r="W1023" s="311"/>
      <c r="X1023" s="311"/>
      <c r="Y1023" s="311"/>
      <c r="Z1023" s="311"/>
      <c r="AA1023" s="311"/>
      <c r="AB1023" s="311"/>
      <c r="AC1023" s="311"/>
      <c r="AT1023" s="88" t="str">
        <f t="shared" si="77"/>
        <v>Special Order0</v>
      </c>
      <c r="AU1023" s="89" t="str">
        <f t="shared" si="78"/>
        <v>01-1900</v>
      </c>
      <c r="BA1023" s="92" t="str">
        <f t="shared" si="79"/>
        <v/>
      </c>
    </row>
    <row r="1024" spans="2:53">
      <c r="B1024" s="60">
        <f>[2]Trucks!A1021</f>
        <v>0</v>
      </c>
      <c r="C1024" s="11">
        <f>[2]Trucks!B1021</f>
        <v>0</v>
      </c>
      <c r="D1024" s="19" t="str">
        <f>IFERROR(VLOOKUP(C1024&amp;"",'[2]Retail Price List'!$A$3:$B$103,2,FALSE),"Special Order")</f>
        <v>Special Order</v>
      </c>
      <c r="E1024" s="18">
        <f>[2]Trucks!J1021</f>
        <v>0</v>
      </c>
      <c r="F1024" s="12">
        <f>[2]Trucks!E1021</f>
        <v>0</v>
      </c>
      <c r="G1024" s="56">
        <f>[2]Trucks!K1021</f>
        <v>0</v>
      </c>
      <c r="H1024" s="46">
        <f>[2]Trucks!I1021</f>
        <v>0</v>
      </c>
      <c r="I1024" s="83" t="str">
        <f t="shared" si="75"/>
        <v/>
      </c>
      <c r="J1024" s="272" t="str">
        <f>IFERROR(VLOOKUP((D1024&amp;C1024)&amp;"",'[2]Retail Price List'!$C$4:$F$102,3,FALSE),"")</f>
        <v/>
      </c>
      <c r="K1024" s="272">
        <f>IFERROR(IF(BA1024="WIP - 30 Days",VLOOKUP(D1024,[3]Standard!$B$9:$E$101,4,FALSE),IF(BA1024="31-120 Days",VLOOKUP(D1024,[3]Standard!$B$9:$F$101,5,FALSE),IF(BA1024="121-365 Days",VLOOKUP(D1024,[3]Standard!$B$9:$G$101,6,FALSE),VLOOKUP(D1024,[3]Standard!$B$9:$H$101,7,FALSE)))),0)</f>
        <v>0</v>
      </c>
      <c r="L1024" s="272">
        <f>IFERROR(IF(BA1024="WIP - 30 Days",VLOOKUP(D1024,[3]Standard!$B$9:$J$101,9,FALSE),IF(BA1024="31-120 Days",VLOOKUP(D1024,[3]Standard!$B$9:$K$100,10,FALSE),IF(BA1024="121-365 Days",VLOOKUP(D1024,[3]Standard!$B$9:$L$101,11,FALSE),VLOOKUP(D1024,[3]Standard!$B$9:$M$101,12,FALSE)))),0)</f>
        <v>0</v>
      </c>
      <c r="M1024" s="269" t="str">
        <f>IFERROR(VLOOKUP((D1024&amp;C1024)&amp;"",'[2]Retail Price List'!$C$4:$F$102,4,FALSE),"")</f>
        <v/>
      </c>
      <c r="N1024" s="269">
        <f>IFERROR(IF(BA1024="WIP - 30 Days",VLOOKUP(D1024,[3]Extended!$B$9:$E$101,4,FALSE),IF(BA1024="31-120 Days",VLOOKUP(D1024,[3]Extended!$B$9:$F$101,5,FALSE),IF(BA1024="121-365 Days",VLOOKUP(D1024,[3]Extended!$B$9:$G$101,6,FALSE),VLOOKUP(D1024,[3]Extended!$B$9:$H$101,7,FALSE)))),0)</f>
        <v>0</v>
      </c>
      <c r="O1024" s="269">
        <f>IFERROR(IF(BA1024="WIP - 30 Days",VLOOKUP(D1024,[3]Extended!$B$9:$J$101,9,FALSE),IF(BA1024="31-120 Days",VLOOKUP(D1024,[3]Extended!$B$9:$K$101,10,FALSE),IF(BA1024="121-365 Days",VLOOKUP(D1024,[3]Extended!$B$9:$L$101,11,FALSE),VLOOKUP(D1024,[3]Extended!$B$9:$M$101,12,FALSE)))),0)</f>
        <v>0</v>
      </c>
      <c r="P1024" s="116" t="e">
        <f t="shared" si="76"/>
        <v>#VALUE!</v>
      </c>
      <c r="Q1024" s="110" t="e">
        <f>O1024-#REF!</f>
        <v>#REF!</v>
      </c>
      <c r="W1024" s="311"/>
      <c r="X1024" s="311"/>
      <c r="Y1024" s="311"/>
      <c r="Z1024" s="311"/>
      <c r="AA1024" s="311"/>
      <c r="AB1024" s="311"/>
      <c r="AC1024" s="311"/>
      <c r="AT1024" s="88" t="str">
        <f t="shared" si="77"/>
        <v>Special Order0</v>
      </c>
      <c r="AU1024" s="89" t="str">
        <f t="shared" si="78"/>
        <v>01-1900</v>
      </c>
      <c r="BA1024" s="92" t="str">
        <f t="shared" si="79"/>
        <v/>
      </c>
    </row>
    <row r="1025" spans="2:53">
      <c r="B1025" s="60">
        <f>[2]Trucks!A1022</f>
        <v>0</v>
      </c>
      <c r="C1025" s="11">
        <f>[2]Trucks!B1022</f>
        <v>0</v>
      </c>
      <c r="D1025" s="19" t="str">
        <f>IFERROR(VLOOKUP(C1025&amp;"",'[2]Retail Price List'!$A$3:$B$103,2,FALSE),"Special Order")</f>
        <v>Special Order</v>
      </c>
      <c r="E1025" s="18">
        <f>[2]Trucks!J1022</f>
        <v>0</v>
      </c>
      <c r="F1025" s="12">
        <f>[2]Trucks!E1022</f>
        <v>0</v>
      </c>
      <c r="G1025" s="56">
        <f>[2]Trucks!K1022</f>
        <v>0</v>
      </c>
      <c r="H1025" s="46">
        <f>[2]Trucks!I1022</f>
        <v>0</v>
      </c>
      <c r="I1025" s="83" t="str">
        <f t="shared" si="75"/>
        <v/>
      </c>
      <c r="J1025" s="272" t="str">
        <f>IFERROR(VLOOKUP((D1025&amp;C1025)&amp;"",'[2]Retail Price List'!$C$4:$F$102,3,FALSE),"")</f>
        <v/>
      </c>
      <c r="K1025" s="272">
        <f>IFERROR(IF(BA1025="WIP - 30 Days",VLOOKUP(D1025,[3]Standard!$B$9:$E$101,4,FALSE),IF(BA1025="31-120 Days",VLOOKUP(D1025,[3]Standard!$B$9:$F$101,5,FALSE),IF(BA1025="121-365 Days",VLOOKUP(D1025,[3]Standard!$B$9:$G$101,6,FALSE),VLOOKUP(D1025,[3]Standard!$B$9:$H$101,7,FALSE)))),0)</f>
        <v>0</v>
      </c>
      <c r="L1025" s="272">
        <f>IFERROR(IF(BA1025="WIP - 30 Days",VLOOKUP(D1025,[3]Standard!$B$9:$J$101,9,FALSE),IF(BA1025="31-120 Days",VLOOKUP(D1025,[3]Standard!$B$9:$K$100,10,FALSE),IF(BA1025="121-365 Days",VLOOKUP(D1025,[3]Standard!$B$9:$L$101,11,FALSE),VLOOKUP(D1025,[3]Standard!$B$9:$M$101,12,FALSE)))),0)</f>
        <v>0</v>
      </c>
      <c r="M1025" s="269" t="str">
        <f>IFERROR(VLOOKUP((D1025&amp;C1025)&amp;"",'[2]Retail Price List'!$C$4:$F$102,4,FALSE),"")</f>
        <v/>
      </c>
      <c r="N1025" s="269">
        <f>IFERROR(IF(BA1025="WIP - 30 Days",VLOOKUP(D1025,[3]Extended!$B$9:$E$101,4,FALSE),IF(BA1025="31-120 Days",VLOOKUP(D1025,[3]Extended!$B$9:$F$101,5,FALSE),IF(BA1025="121-365 Days",VLOOKUP(D1025,[3]Extended!$B$9:$G$101,6,FALSE),VLOOKUP(D1025,[3]Extended!$B$9:$H$101,7,FALSE)))),0)</f>
        <v>0</v>
      </c>
      <c r="O1025" s="269">
        <f>IFERROR(IF(BA1025="WIP - 30 Days",VLOOKUP(D1025,[3]Extended!$B$9:$J$101,9,FALSE),IF(BA1025="31-120 Days",VLOOKUP(D1025,[3]Extended!$B$9:$K$101,10,FALSE),IF(BA1025="121-365 Days",VLOOKUP(D1025,[3]Extended!$B$9:$L$101,11,FALSE),VLOOKUP(D1025,[3]Extended!$B$9:$M$101,12,FALSE)))),0)</f>
        <v>0</v>
      </c>
      <c r="P1025" s="116" t="e">
        <f t="shared" si="76"/>
        <v>#VALUE!</v>
      </c>
      <c r="Q1025" s="110" t="e">
        <f>O1025-#REF!</f>
        <v>#REF!</v>
      </c>
      <c r="W1025" s="311"/>
      <c r="X1025" s="311"/>
      <c r="Y1025" s="311"/>
      <c r="Z1025" s="311"/>
      <c r="AA1025" s="311"/>
      <c r="AB1025" s="311"/>
      <c r="AC1025" s="311"/>
      <c r="AT1025" s="88" t="str">
        <f t="shared" si="77"/>
        <v>Special Order0</v>
      </c>
      <c r="AU1025" s="89" t="str">
        <f t="shared" si="78"/>
        <v>01-1900</v>
      </c>
      <c r="BA1025" s="92" t="str">
        <f t="shared" si="79"/>
        <v/>
      </c>
    </row>
    <row r="1026" spans="2:53">
      <c r="B1026" s="60">
        <f>[2]Trucks!A1023</f>
        <v>0</v>
      </c>
      <c r="C1026" s="11">
        <f>[2]Trucks!B1023</f>
        <v>0</v>
      </c>
      <c r="D1026" s="19" t="str">
        <f>IFERROR(VLOOKUP(C1026&amp;"",'[2]Retail Price List'!$A$3:$B$103,2,FALSE),"Special Order")</f>
        <v>Special Order</v>
      </c>
      <c r="E1026" s="18">
        <f>[2]Trucks!J1023</f>
        <v>0</v>
      </c>
      <c r="F1026" s="12">
        <f>[2]Trucks!E1023</f>
        <v>0</v>
      </c>
      <c r="G1026" s="56">
        <f>[2]Trucks!K1023</f>
        <v>0</v>
      </c>
      <c r="H1026" s="46">
        <f>[2]Trucks!I1023</f>
        <v>0</v>
      </c>
      <c r="I1026" s="83" t="str">
        <f t="shared" si="75"/>
        <v/>
      </c>
      <c r="J1026" s="272" t="str">
        <f>IFERROR(VLOOKUP((D1026&amp;C1026)&amp;"",'[2]Retail Price List'!$C$4:$F$102,3,FALSE),"")</f>
        <v/>
      </c>
      <c r="K1026" s="272">
        <f>IFERROR(IF(BA1026="WIP - 30 Days",VLOOKUP(D1026,[3]Standard!$B$9:$E$101,4,FALSE),IF(BA1026="31-120 Days",VLOOKUP(D1026,[3]Standard!$B$9:$F$101,5,FALSE),IF(BA1026="121-365 Days",VLOOKUP(D1026,[3]Standard!$B$9:$G$101,6,FALSE),VLOOKUP(D1026,[3]Standard!$B$9:$H$101,7,FALSE)))),0)</f>
        <v>0</v>
      </c>
      <c r="L1026" s="272">
        <f>IFERROR(IF(BA1026="WIP - 30 Days",VLOOKUP(D1026,[3]Standard!$B$9:$J$101,9,FALSE),IF(BA1026="31-120 Days",VLOOKUP(D1026,[3]Standard!$B$9:$K$100,10,FALSE),IF(BA1026="121-365 Days",VLOOKUP(D1026,[3]Standard!$B$9:$L$101,11,FALSE),VLOOKUP(D1026,[3]Standard!$B$9:$M$101,12,FALSE)))),0)</f>
        <v>0</v>
      </c>
      <c r="M1026" s="269" t="str">
        <f>IFERROR(VLOOKUP((D1026&amp;C1026)&amp;"",'[2]Retail Price List'!$C$4:$F$102,4,FALSE),"")</f>
        <v/>
      </c>
      <c r="N1026" s="269">
        <f>IFERROR(IF(BA1026="WIP - 30 Days",VLOOKUP(D1026,[3]Extended!$B$9:$E$101,4,FALSE),IF(BA1026="31-120 Days",VLOOKUP(D1026,[3]Extended!$B$9:$F$101,5,FALSE),IF(BA1026="121-365 Days",VLOOKUP(D1026,[3]Extended!$B$9:$G$101,6,FALSE),VLOOKUP(D1026,[3]Extended!$B$9:$H$101,7,FALSE)))),0)</f>
        <v>0</v>
      </c>
      <c r="O1026" s="269">
        <f>IFERROR(IF(BA1026="WIP - 30 Days",VLOOKUP(D1026,[3]Extended!$B$9:$J$101,9,FALSE),IF(BA1026="31-120 Days",VLOOKUP(D1026,[3]Extended!$B$9:$K$101,10,FALSE),IF(BA1026="121-365 Days",VLOOKUP(D1026,[3]Extended!$B$9:$L$101,11,FALSE),VLOOKUP(D1026,[3]Extended!$B$9:$M$101,12,FALSE)))),0)</f>
        <v>0</v>
      </c>
      <c r="P1026" s="116" t="e">
        <f t="shared" si="76"/>
        <v>#VALUE!</v>
      </c>
      <c r="Q1026" s="110" t="e">
        <f>O1026-#REF!</f>
        <v>#REF!</v>
      </c>
      <c r="W1026" s="311"/>
      <c r="X1026" s="311"/>
      <c r="Y1026" s="311"/>
      <c r="Z1026" s="311"/>
      <c r="AA1026" s="311"/>
      <c r="AB1026" s="311"/>
      <c r="AC1026" s="311"/>
      <c r="AT1026" s="88" t="str">
        <f t="shared" si="77"/>
        <v>Special Order0</v>
      </c>
      <c r="AU1026" s="89" t="str">
        <f t="shared" si="78"/>
        <v>01-1900</v>
      </c>
      <c r="BA1026" s="92" t="str">
        <f t="shared" si="79"/>
        <v/>
      </c>
    </row>
    <row r="1027" spans="2:53">
      <c r="B1027" s="60">
        <f>[2]Trucks!A1024</f>
        <v>0</v>
      </c>
      <c r="C1027" s="11">
        <f>[2]Trucks!B1024</f>
        <v>0</v>
      </c>
      <c r="D1027" s="19" t="str">
        <f>IFERROR(VLOOKUP(C1027&amp;"",'[2]Retail Price List'!$A$3:$B$103,2,FALSE),"Special Order")</f>
        <v>Special Order</v>
      </c>
      <c r="E1027" s="18">
        <f>[2]Trucks!J1024</f>
        <v>0</v>
      </c>
      <c r="F1027" s="12">
        <f>[2]Trucks!E1024</f>
        <v>0</v>
      </c>
      <c r="G1027" s="56">
        <f>[2]Trucks!K1024</f>
        <v>0</v>
      </c>
      <c r="H1027" s="46">
        <f>[2]Trucks!I1024</f>
        <v>0</v>
      </c>
      <c r="I1027" s="83" t="str">
        <f t="shared" si="75"/>
        <v/>
      </c>
      <c r="J1027" s="272" t="str">
        <f>IFERROR(VLOOKUP((D1027&amp;C1027)&amp;"",'[2]Retail Price List'!$C$4:$F$102,3,FALSE),"")</f>
        <v/>
      </c>
      <c r="K1027" s="272">
        <f>IFERROR(IF(BA1027="WIP - 30 Days",VLOOKUP(D1027,[3]Standard!$B$9:$E$101,4,FALSE),IF(BA1027="31-120 Days",VLOOKUP(D1027,[3]Standard!$B$9:$F$101,5,FALSE),IF(BA1027="121-365 Days",VLOOKUP(D1027,[3]Standard!$B$9:$G$101,6,FALSE),VLOOKUP(D1027,[3]Standard!$B$9:$H$101,7,FALSE)))),0)</f>
        <v>0</v>
      </c>
      <c r="L1027" s="272">
        <f>IFERROR(IF(BA1027="WIP - 30 Days",VLOOKUP(D1027,[3]Standard!$B$9:$J$101,9,FALSE),IF(BA1027="31-120 Days",VLOOKUP(D1027,[3]Standard!$B$9:$K$100,10,FALSE),IF(BA1027="121-365 Days",VLOOKUP(D1027,[3]Standard!$B$9:$L$101,11,FALSE),VLOOKUP(D1027,[3]Standard!$B$9:$M$101,12,FALSE)))),0)</f>
        <v>0</v>
      </c>
      <c r="M1027" s="269" t="str">
        <f>IFERROR(VLOOKUP((D1027&amp;C1027)&amp;"",'[2]Retail Price List'!$C$4:$F$102,4,FALSE),"")</f>
        <v/>
      </c>
      <c r="N1027" s="269">
        <f>IFERROR(IF(BA1027="WIP - 30 Days",VLOOKUP(D1027,[3]Extended!$B$9:$E$101,4,FALSE),IF(BA1027="31-120 Days",VLOOKUP(D1027,[3]Extended!$B$9:$F$101,5,FALSE),IF(BA1027="121-365 Days",VLOOKUP(D1027,[3]Extended!$B$9:$G$101,6,FALSE),VLOOKUP(D1027,[3]Extended!$B$9:$H$101,7,FALSE)))),0)</f>
        <v>0</v>
      </c>
      <c r="O1027" s="269">
        <f>IFERROR(IF(BA1027="WIP - 30 Days",VLOOKUP(D1027,[3]Extended!$B$9:$J$101,9,FALSE),IF(BA1027="31-120 Days",VLOOKUP(D1027,[3]Extended!$B$9:$K$101,10,FALSE),IF(BA1027="121-365 Days",VLOOKUP(D1027,[3]Extended!$B$9:$L$101,11,FALSE),VLOOKUP(D1027,[3]Extended!$B$9:$M$101,12,FALSE)))),0)</f>
        <v>0</v>
      </c>
      <c r="P1027" s="116" t="e">
        <f t="shared" si="76"/>
        <v>#VALUE!</v>
      </c>
      <c r="Q1027" s="110" t="e">
        <f>O1027-#REF!</f>
        <v>#REF!</v>
      </c>
      <c r="W1027" s="311"/>
      <c r="X1027" s="311"/>
      <c r="Y1027" s="311"/>
      <c r="Z1027" s="311"/>
      <c r="AA1027" s="311"/>
      <c r="AB1027" s="311"/>
      <c r="AC1027" s="311"/>
      <c r="AT1027" s="88" t="str">
        <f t="shared" si="77"/>
        <v>Special Order0</v>
      </c>
      <c r="AU1027" s="89" t="str">
        <f t="shared" si="78"/>
        <v>01-1900</v>
      </c>
      <c r="BA1027" s="92" t="str">
        <f t="shared" si="79"/>
        <v/>
      </c>
    </row>
    <row r="1028" spans="2:53">
      <c r="B1028" s="60">
        <f>[2]Trucks!A1025</f>
        <v>0</v>
      </c>
      <c r="C1028" s="11">
        <f>[2]Trucks!B1025</f>
        <v>0</v>
      </c>
      <c r="D1028" s="19" t="str">
        <f>IFERROR(VLOOKUP(C1028&amp;"",'[2]Retail Price List'!$A$3:$B$103,2,FALSE),"Special Order")</f>
        <v>Special Order</v>
      </c>
      <c r="E1028" s="18">
        <f>[2]Trucks!J1025</f>
        <v>0</v>
      </c>
      <c r="F1028" s="12">
        <f>[2]Trucks!E1025</f>
        <v>0</v>
      </c>
      <c r="G1028" s="56">
        <f>[2]Trucks!K1025</f>
        <v>0</v>
      </c>
      <c r="H1028" s="46">
        <f>[2]Trucks!I1025</f>
        <v>0</v>
      </c>
      <c r="I1028" s="83" t="str">
        <f t="shared" si="75"/>
        <v/>
      </c>
      <c r="J1028" s="272" t="str">
        <f>IFERROR(VLOOKUP((D1028&amp;C1028)&amp;"",'[2]Retail Price List'!$C$4:$F$102,3,FALSE),"")</f>
        <v/>
      </c>
      <c r="K1028" s="272">
        <f>IFERROR(IF(BA1028="WIP - 30 Days",VLOOKUP(D1028,[3]Standard!$B$9:$E$101,4,FALSE),IF(BA1028="31-120 Days",VLOOKUP(D1028,[3]Standard!$B$9:$F$101,5,FALSE),IF(BA1028="121-365 Days",VLOOKUP(D1028,[3]Standard!$B$9:$G$101,6,FALSE),VLOOKUP(D1028,[3]Standard!$B$9:$H$101,7,FALSE)))),0)</f>
        <v>0</v>
      </c>
      <c r="L1028" s="272">
        <f>IFERROR(IF(BA1028="WIP - 30 Days",VLOOKUP(D1028,[3]Standard!$B$9:$J$101,9,FALSE),IF(BA1028="31-120 Days",VLOOKUP(D1028,[3]Standard!$B$9:$K$100,10,FALSE),IF(BA1028="121-365 Days",VLOOKUP(D1028,[3]Standard!$B$9:$L$101,11,FALSE),VLOOKUP(D1028,[3]Standard!$B$9:$M$101,12,FALSE)))),0)</f>
        <v>0</v>
      </c>
      <c r="M1028" s="269" t="str">
        <f>IFERROR(VLOOKUP((D1028&amp;C1028)&amp;"",'[2]Retail Price List'!$C$4:$F$102,4,FALSE),"")</f>
        <v/>
      </c>
      <c r="N1028" s="269">
        <f>IFERROR(IF(BA1028="WIP - 30 Days",VLOOKUP(D1028,[3]Extended!$B$9:$E$101,4,FALSE),IF(BA1028="31-120 Days",VLOOKUP(D1028,[3]Extended!$B$9:$F$101,5,FALSE),IF(BA1028="121-365 Days",VLOOKUP(D1028,[3]Extended!$B$9:$G$101,6,FALSE),VLOOKUP(D1028,[3]Extended!$B$9:$H$101,7,FALSE)))),0)</f>
        <v>0</v>
      </c>
      <c r="O1028" s="269">
        <f>IFERROR(IF(BA1028="WIP - 30 Days",VLOOKUP(D1028,[3]Extended!$B$9:$J$101,9,FALSE),IF(BA1028="31-120 Days",VLOOKUP(D1028,[3]Extended!$B$9:$K$101,10,FALSE),IF(BA1028="121-365 Days",VLOOKUP(D1028,[3]Extended!$B$9:$L$101,11,FALSE),VLOOKUP(D1028,[3]Extended!$B$9:$M$101,12,FALSE)))),0)</f>
        <v>0</v>
      </c>
      <c r="P1028" s="116" t="e">
        <f t="shared" si="76"/>
        <v>#VALUE!</v>
      </c>
      <c r="Q1028" s="110" t="e">
        <f>O1028-#REF!</f>
        <v>#REF!</v>
      </c>
      <c r="W1028" s="311"/>
      <c r="X1028" s="311"/>
      <c r="Y1028" s="311"/>
      <c r="Z1028" s="311"/>
      <c r="AA1028" s="311"/>
      <c r="AB1028" s="311"/>
      <c r="AC1028" s="311"/>
      <c r="AT1028" s="88" t="str">
        <f t="shared" si="77"/>
        <v>Special Order0</v>
      </c>
      <c r="AU1028" s="89" t="str">
        <f t="shared" si="78"/>
        <v>01-1900</v>
      </c>
      <c r="BA1028" s="92" t="str">
        <f t="shared" si="79"/>
        <v/>
      </c>
    </row>
    <row r="1029" spans="2:53">
      <c r="B1029" s="60">
        <f>[2]Trucks!A1026</f>
        <v>0</v>
      </c>
      <c r="C1029" s="11">
        <f>[2]Trucks!B1026</f>
        <v>0</v>
      </c>
      <c r="D1029" s="19" t="str">
        <f>IFERROR(VLOOKUP(C1029&amp;"",'[2]Retail Price List'!$A$3:$B$103,2,FALSE),"Special Order")</f>
        <v>Special Order</v>
      </c>
      <c r="E1029" s="18">
        <f>[2]Trucks!J1026</f>
        <v>0</v>
      </c>
      <c r="F1029" s="12">
        <f>[2]Trucks!E1026</f>
        <v>0</v>
      </c>
      <c r="G1029" s="56">
        <f>[2]Trucks!K1026</f>
        <v>0</v>
      </c>
      <c r="H1029" s="46">
        <f>[2]Trucks!I1026</f>
        <v>0</v>
      </c>
      <c r="I1029" s="83" t="str">
        <f t="shared" ref="I1029:I1092" si="80">IFERROR(VLOOKUP(AU1029,$AW$5:$AY$40,3,FALSE),"")</f>
        <v/>
      </c>
      <c r="J1029" s="272" t="str">
        <f>IFERROR(VLOOKUP((D1029&amp;C1029)&amp;"",'[2]Retail Price List'!$C$4:$F$102,3,FALSE),"")</f>
        <v/>
      </c>
      <c r="K1029" s="272">
        <f>IFERROR(IF(BA1029="WIP - 30 Days",VLOOKUP(D1029,[3]Standard!$B$9:$E$101,4,FALSE),IF(BA1029="31-120 Days",VLOOKUP(D1029,[3]Standard!$B$9:$F$101,5,FALSE),IF(BA1029="121-365 Days",VLOOKUP(D1029,[3]Standard!$B$9:$G$101,6,FALSE),VLOOKUP(D1029,[3]Standard!$B$9:$H$101,7,FALSE)))),0)</f>
        <v>0</v>
      </c>
      <c r="L1029" s="272">
        <f>IFERROR(IF(BA1029="WIP - 30 Days",VLOOKUP(D1029,[3]Standard!$B$9:$J$101,9,FALSE),IF(BA1029="31-120 Days",VLOOKUP(D1029,[3]Standard!$B$9:$K$100,10,FALSE),IF(BA1029="121-365 Days",VLOOKUP(D1029,[3]Standard!$B$9:$L$101,11,FALSE),VLOOKUP(D1029,[3]Standard!$B$9:$M$101,12,FALSE)))),0)</f>
        <v>0</v>
      </c>
      <c r="M1029" s="269" t="str">
        <f>IFERROR(VLOOKUP((D1029&amp;C1029)&amp;"",'[2]Retail Price List'!$C$4:$F$102,4,FALSE),"")</f>
        <v/>
      </c>
      <c r="N1029" s="269">
        <f>IFERROR(IF(BA1029="WIP - 30 Days",VLOOKUP(D1029,[3]Extended!$B$9:$E$101,4,FALSE),IF(BA1029="31-120 Days",VLOOKUP(D1029,[3]Extended!$B$9:$F$101,5,FALSE),IF(BA1029="121-365 Days",VLOOKUP(D1029,[3]Extended!$B$9:$G$101,6,FALSE),VLOOKUP(D1029,[3]Extended!$B$9:$H$101,7,FALSE)))),0)</f>
        <v>0</v>
      </c>
      <c r="O1029" s="269">
        <f>IFERROR(IF(BA1029="WIP - 30 Days",VLOOKUP(D1029,[3]Extended!$B$9:$J$101,9,FALSE),IF(BA1029="31-120 Days",VLOOKUP(D1029,[3]Extended!$B$9:$K$101,10,FALSE),IF(BA1029="121-365 Days",VLOOKUP(D1029,[3]Extended!$B$9:$L$101,11,FALSE),VLOOKUP(D1029,[3]Extended!$B$9:$M$101,12,FALSE)))),0)</f>
        <v>0</v>
      </c>
      <c r="P1029" s="116" t="e">
        <f t="shared" ref="P1029:P1092" si="81">(M1029-O1029)/M1029</f>
        <v>#VALUE!</v>
      </c>
      <c r="Q1029" s="110" t="e">
        <f>O1029-#REF!</f>
        <v>#REF!</v>
      </c>
      <c r="W1029" s="311"/>
      <c r="X1029" s="311"/>
      <c r="Y1029" s="311"/>
      <c r="Z1029" s="311"/>
      <c r="AA1029" s="311"/>
      <c r="AB1029" s="311"/>
      <c r="AC1029" s="311"/>
      <c r="AT1029" s="88" t="str">
        <f t="shared" ref="AT1029:AT1092" si="82">D1029&amp;I1029&amp;G1029</f>
        <v>Special Order0</v>
      </c>
      <c r="AU1029" s="89" t="str">
        <f t="shared" ref="AU1029:AU1092" si="83">IF(MONTH(H1029)&lt;10,0&amp;MONTH(H1029)&amp;"-"&amp;YEAR(H1029),MONTH(H1029)&amp;"-"&amp;YEAR(H1029))</f>
        <v>01-1900</v>
      </c>
      <c r="BA1029" s="92" t="str">
        <f t="shared" ref="BA1029:BA1092" si="84">IF(B1029=0,"",IF(AND(F1029&gt;=31,F1029&lt;=120),"31-120 Days",IF(AND(F1029&gt;=121,F1029&lt;=365),"121-365 Days",IF(OR(E1029="CKD",F1029&lt;=30),"WIP - 30 Days","&gt;365 Days"))))</f>
        <v/>
      </c>
    </row>
    <row r="1030" spans="2:53">
      <c r="B1030" s="60">
        <f>[2]Trucks!A1027</f>
        <v>0</v>
      </c>
      <c r="C1030" s="11">
        <f>[2]Trucks!B1027</f>
        <v>0</v>
      </c>
      <c r="D1030" s="19" t="str">
        <f>IFERROR(VLOOKUP(C1030&amp;"",'[2]Retail Price List'!$A$3:$B$103,2,FALSE),"Special Order")</f>
        <v>Special Order</v>
      </c>
      <c r="E1030" s="18">
        <f>[2]Trucks!J1027</f>
        <v>0</v>
      </c>
      <c r="F1030" s="12">
        <f>[2]Trucks!E1027</f>
        <v>0</v>
      </c>
      <c r="G1030" s="56">
        <f>[2]Trucks!K1027</f>
        <v>0</v>
      </c>
      <c r="H1030" s="46">
        <f>[2]Trucks!I1027</f>
        <v>0</v>
      </c>
      <c r="I1030" s="83" t="str">
        <f t="shared" si="80"/>
        <v/>
      </c>
      <c r="J1030" s="272" t="str">
        <f>IFERROR(VLOOKUP((D1030&amp;C1030)&amp;"",'[2]Retail Price List'!$C$4:$F$102,3,FALSE),"")</f>
        <v/>
      </c>
      <c r="K1030" s="272">
        <f>IFERROR(IF(BA1030="WIP - 30 Days",VLOOKUP(D1030,[3]Standard!$B$9:$E$101,4,FALSE),IF(BA1030="31-120 Days",VLOOKUP(D1030,[3]Standard!$B$9:$F$101,5,FALSE),IF(BA1030="121-365 Days",VLOOKUP(D1030,[3]Standard!$B$9:$G$101,6,FALSE),VLOOKUP(D1030,[3]Standard!$B$9:$H$101,7,FALSE)))),0)</f>
        <v>0</v>
      </c>
      <c r="L1030" s="272">
        <f>IFERROR(IF(BA1030="WIP - 30 Days",VLOOKUP(D1030,[3]Standard!$B$9:$J$101,9,FALSE),IF(BA1030="31-120 Days",VLOOKUP(D1030,[3]Standard!$B$9:$K$100,10,FALSE),IF(BA1030="121-365 Days",VLOOKUP(D1030,[3]Standard!$B$9:$L$101,11,FALSE),VLOOKUP(D1030,[3]Standard!$B$9:$M$101,12,FALSE)))),0)</f>
        <v>0</v>
      </c>
      <c r="M1030" s="269" t="str">
        <f>IFERROR(VLOOKUP((D1030&amp;C1030)&amp;"",'[2]Retail Price List'!$C$4:$F$102,4,FALSE),"")</f>
        <v/>
      </c>
      <c r="N1030" s="269">
        <f>IFERROR(IF(BA1030="WIP - 30 Days",VLOOKUP(D1030,[3]Extended!$B$9:$E$101,4,FALSE),IF(BA1030="31-120 Days",VLOOKUP(D1030,[3]Extended!$B$9:$F$101,5,FALSE),IF(BA1030="121-365 Days",VLOOKUP(D1030,[3]Extended!$B$9:$G$101,6,FALSE),VLOOKUP(D1030,[3]Extended!$B$9:$H$101,7,FALSE)))),0)</f>
        <v>0</v>
      </c>
      <c r="O1030" s="269">
        <f>IFERROR(IF(BA1030="WIP - 30 Days",VLOOKUP(D1030,[3]Extended!$B$9:$J$101,9,FALSE),IF(BA1030="31-120 Days",VLOOKUP(D1030,[3]Extended!$B$9:$K$101,10,FALSE),IF(BA1030="121-365 Days",VLOOKUP(D1030,[3]Extended!$B$9:$L$101,11,FALSE),VLOOKUP(D1030,[3]Extended!$B$9:$M$101,12,FALSE)))),0)</f>
        <v>0</v>
      </c>
      <c r="P1030" s="116" t="e">
        <f t="shared" si="81"/>
        <v>#VALUE!</v>
      </c>
      <c r="Q1030" s="110" t="e">
        <f>O1030-#REF!</f>
        <v>#REF!</v>
      </c>
      <c r="W1030" s="311"/>
      <c r="X1030" s="311"/>
      <c r="Y1030" s="311"/>
      <c r="Z1030" s="311"/>
      <c r="AA1030" s="311"/>
      <c r="AB1030" s="311"/>
      <c r="AC1030" s="311"/>
      <c r="AT1030" s="88" t="str">
        <f t="shared" si="82"/>
        <v>Special Order0</v>
      </c>
      <c r="AU1030" s="89" t="str">
        <f t="shared" si="83"/>
        <v>01-1900</v>
      </c>
      <c r="BA1030" s="92" t="str">
        <f t="shared" si="84"/>
        <v/>
      </c>
    </row>
    <row r="1031" spans="2:53">
      <c r="B1031" s="60">
        <f>[2]Trucks!A1028</f>
        <v>0</v>
      </c>
      <c r="C1031" s="11">
        <f>[2]Trucks!B1028</f>
        <v>0</v>
      </c>
      <c r="D1031" s="19" t="str">
        <f>IFERROR(VLOOKUP(C1031&amp;"",'[2]Retail Price List'!$A$3:$B$103,2,FALSE),"Special Order")</f>
        <v>Special Order</v>
      </c>
      <c r="E1031" s="18">
        <f>[2]Trucks!J1028</f>
        <v>0</v>
      </c>
      <c r="F1031" s="12">
        <f>[2]Trucks!E1028</f>
        <v>0</v>
      </c>
      <c r="G1031" s="56">
        <f>[2]Trucks!K1028</f>
        <v>0</v>
      </c>
      <c r="H1031" s="46">
        <f>[2]Trucks!I1028</f>
        <v>0</v>
      </c>
      <c r="I1031" s="83" t="str">
        <f t="shared" si="80"/>
        <v/>
      </c>
      <c r="J1031" s="272" t="str">
        <f>IFERROR(VLOOKUP((D1031&amp;C1031)&amp;"",'[2]Retail Price List'!$C$4:$F$102,3,FALSE),"")</f>
        <v/>
      </c>
      <c r="K1031" s="272">
        <f>IFERROR(IF(BA1031="WIP - 30 Days",VLOOKUP(D1031,[3]Standard!$B$9:$E$101,4,FALSE),IF(BA1031="31-120 Days",VLOOKUP(D1031,[3]Standard!$B$9:$F$101,5,FALSE),IF(BA1031="121-365 Days",VLOOKUP(D1031,[3]Standard!$B$9:$G$101,6,FALSE),VLOOKUP(D1031,[3]Standard!$B$9:$H$101,7,FALSE)))),0)</f>
        <v>0</v>
      </c>
      <c r="L1031" s="272">
        <f>IFERROR(IF(BA1031="WIP - 30 Days",VLOOKUP(D1031,[3]Standard!$B$9:$J$101,9,FALSE),IF(BA1031="31-120 Days",VLOOKUP(D1031,[3]Standard!$B$9:$K$100,10,FALSE),IF(BA1031="121-365 Days",VLOOKUP(D1031,[3]Standard!$B$9:$L$101,11,FALSE),VLOOKUP(D1031,[3]Standard!$B$9:$M$101,12,FALSE)))),0)</f>
        <v>0</v>
      </c>
      <c r="M1031" s="269" t="str">
        <f>IFERROR(VLOOKUP((D1031&amp;C1031)&amp;"",'[2]Retail Price List'!$C$4:$F$102,4,FALSE),"")</f>
        <v/>
      </c>
      <c r="N1031" s="269">
        <f>IFERROR(IF(BA1031="WIP - 30 Days",VLOOKUP(D1031,[3]Extended!$B$9:$E$101,4,FALSE),IF(BA1031="31-120 Days",VLOOKUP(D1031,[3]Extended!$B$9:$F$101,5,FALSE),IF(BA1031="121-365 Days",VLOOKUP(D1031,[3]Extended!$B$9:$G$101,6,FALSE),VLOOKUP(D1031,[3]Extended!$B$9:$H$101,7,FALSE)))),0)</f>
        <v>0</v>
      </c>
      <c r="O1031" s="269">
        <f>IFERROR(IF(BA1031="WIP - 30 Days",VLOOKUP(D1031,[3]Extended!$B$9:$J$101,9,FALSE),IF(BA1031="31-120 Days",VLOOKUP(D1031,[3]Extended!$B$9:$K$101,10,FALSE),IF(BA1031="121-365 Days",VLOOKUP(D1031,[3]Extended!$B$9:$L$101,11,FALSE),VLOOKUP(D1031,[3]Extended!$B$9:$M$101,12,FALSE)))),0)</f>
        <v>0</v>
      </c>
      <c r="P1031" s="116" t="e">
        <f t="shared" si="81"/>
        <v>#VALUE!</v>
      </c>
      <c r="Q1031" s="110" t="e">
        <f>O1031-#REF!</f>
        <v>#REF!</v>
      </c>
      <c r="W1031" s="311"/>
      <c r="X1031" s="311"/>
      <c r="Y1031" s="311"/>
      <c r="Z1031" s="311"/>
      <c r="AA1031" s="311"/>
      <c r="AB1031" s="311"/>
      <c r="AC1031" s="311"/>
      <c r="AT1031" s="88" t="str">
        <f t="shared" si="82"/>
        <v>Special Order0</v>
      </c>
      <c r="AU1031" s="89" t="str">
        <f t="shared" si="83"/>
        <v>01-1900</v>
      </c>
      <c r="BA1031" s="92" t="str">
        <f t="shared" si="84"/>
        <v/>
      </c>
    </row>
    <row r="1032" spans="2:53">
      <c r="B1032" s="60">
        <f>[2]Trucks!A1029</f>
        <v>0</v>
      </c>
      <c r="C1032" s="11">
        <f>[2]Trucks!B1029</f>
        <v>0</v>
      </c>
      <c r="D1032" s="19" t="str">
        <f>IFERROR(VLOOKUP(C1032&amp;"",'[2]Retail Price List'!$A$3:$B$103,2,FALSE),"Special Order")</f>
        <v>Special Order</v>
      </c>
      <c r="E1032" s="18">
        <f>[2]Trucks!J1029</f>
        <v>0</v>
      </c>
      <c r="F1032" s="12">
        <f>[2]Trucks!E1029</f>
        <v>0</v>
      </c>
      <c r="G1032" s="56">
        <f>[2]Trucks!K1029</f>
        <v>0</v>
      </c>
      <c r="H1032" s="46">
        <f>[2]Trucks!I1029</f>
        <v>0</v>
      </c>
      <c r="I1032" s="83" t="str">
        <f t="shared" si="80"/>
        <v/>
      </c>
      <c r="J1032" s="272" t="str">
        <f>IFERROR(VLOOKUP((D1032&amp;C1032)&amp;"",'[2]Retail Price List'!$C$4:$F$102,3,FALSE),"")</f>
        <v/>
      </c>
      <c r="K1032" s="272">
        <f>IFERROR(IF(BA1032="WIP - 30 Days",VLOOKUP(D1032,[3]Standard!$B$9:$E$101,4,FALSE),IF(BA1032="31-120 Days",VLOOKUP(D1032,[3]Standard!$B$9:$F$101,5,FALSE),IF(BA1032="121-365 Days",VLOOKUP(D1032,[3]Standard!$B$9:$G$101,6,FALSE),VLOOKUP(D1032,[3]Standard!$B$9:$H$101,7,FALSE)))),0)</f>
        <v>0</v>
      </c>
      <c r="L1032" s="272">
        <f>IFERROR(IF(BA1032="WIP - 30 Days",VLOOKUP(D1032,[3]Standard!$B$9:$J$101,9,FALSE),IF(BA1032="31-120 Days",VLOOKUP(D1032,[3]Standard!$B$9:$K$100,10,FALSE),IF(BA1032="121-365 Days",VLOOKUP(D1032,[3]Standard!$B$9:$L$101,11,FALSE),VLOOKUP(D1032,[3]Standard!$B$9:$M$101,12,FALSE)))),0)</f>
        <v>0</v>
      </c>
      <c r="M1032" s="269" t="str">
        <f>IFERROR(VLOOKUP((D1032&amp;C1032)&amp;"",'[2]Retail Price List'!$C$4:$F$102,4,FALSE),"")</f>
        <v/>
      </c>
      <c r="N1032" s="269">
        <f>IFERROR(IF(BA1032="WIP - 30 Days",VLOOKUP(D1032,[3]Extended!$B$9:$E$101,4,FALSE),IF(BA1032="31-120 Days",VLOOKUP(D1032,[3]Extended!$B$9:$F$101,5,FALSE),IF(BA1032="121-365 Days",VLOOKUP(D1032,[3]Extended!$B$9:$G$101,6,FALSE),VLOOKUP(D1032,[3]Extended!$B$9:$H$101,7,FALSE)))),0)</f>
        <v>0</v>
      </c>
      <c r="O1032" s="269">
        <f>IFERROR(IF(BA1032="WIP - 30 Days",VLOOKUP(D1032,[3]Extended!$B$9:$J$101,9,FALSE),IF(BA1032="31-120 Days",VLOOKUP(D1032,[3]Extended!$B$9:$K$101,10,FALSE),IF(BA1032="121-365 Days",VLOOKUP(D1032,[3]Extended!$B$9:$L$101,11,FALSE),VLOOKUP(D1032,[3]Extended!$B$9:$M$101,12,FALSE)))),0)</f>
        <v>0</v>
      </c>
      <c r="P1032" s="116" t="e">
        <f t="shared" si="81"/>
        <v>#VALUE!</v>
      </c>
      <c r="Q1032" s="110" t="e">
        <f>O1032-#REF!</f>
        <v>#REF!</v>
      </c>
      <c r="W1032" s="311"/>
      <c r="X1032" s="311"/>
      <c r="Y1032" s="311"/>
      <c r="Z1032" s="311"/>
      <c r="AA1032" s="311"/>
      <c r="AB1032" s="311"/>
      <c r="AC1032" s="311"/>
      <c r="AT1032" s="88" t="str">
        <f t="shared" si="82"/>
        <v>Special Order0</v>
      </c>
      <c r="AU1032" s="89" t="str">
        <f t="shared" si="83"/>
        <v>01-1900</v>
      </c>
      <c r="BA1032" s="92" t="str">
        <f t="shared" si="84"/>
        <v/>
      </c>
    </row>
    <row r="1033" spans="2:53">
      <c r="B1033" s="60">
        <f>[2]Trucks!A1030</f>
        <v>0</v>
      </c>
      <c r="C1033" s="11">
        <f>[2]Trucks!B1030</f>
        <v>0</v>
      </c>
      <c r="D1033" s="19" t="str">
        <f>IFERROR(VLOOKUP(C1033&amp;"",'[2]Retail Price List'!$A$3:$B$103,2,FALSE),"Special Order")</f>
        <v>Special Order</v>
      </c>
      <c r="E1033" s="18">
        <f>[2]Trucks!J1030</f>
        <v>0</v>
      </c>
      <c r="F1033" s="12">
        <f>[2]Trucks!E1030</f>
        <v>0</v>
      </c>
      <c r="G1033" s="56">
        <f>[2]Trucks!K1030</f>
        <v>0</v>
      </c>
      <c r="H1033" s="46">
        <f>[2]Trucks!I1030</f>
        <v>0</v>
      </c>
      <c r="I1033" s="83" t="str">
        <f t="shared" si="80"/>
        <v/>
      </c>
      <c r="J1033" s="272" t="str">
        <f>IFERROR(VLOOKUP((D1033&amp;C1033)&amp;"",'[2]Retail Price List'!$C$4:$F$102,3,FALSE),"")</f>
        <v/>
      </c>
      <c r="K1033" s="272">
        <f>IFERROR(IF(BA1033="WIP - 30 Days",VLOOKUP(D1033,[3]Standard!$B$9:$E$101,4,FALSE),IF(BA1033="31-120 Days",VLOOKUP(D1033,[3]Standard!$B$9:$F$101,5,FALSE),IF(BA1033="121-365 Days",VLOOKUP(D1033,[3]Standard!$B$9:$G$101,6,FALSE),VLOOKUP(D1033,[3]Standard!$B$9:$H$101,7,FALSE)))),0)</f>
        <v>0</v>
      </c>
      <c r="L1033" s="272">
        <f>IFERROR(IF(BA1033="WIP - 30 Days",VLOOKUP(D1033,[3]Standard!$B$9:$J$101,9,FALSE),IF(BA1033="31-120 Days",VLOOKUP(D1033,[3]Standard!$B$9:$K$100,10,FALSE),IF(BA1033="121-365 Days",VLOOKUP(D1033,[3]Standard!$B$9:$L$101,11,FALSE),VLOOKUP(D1033,[3]Standard!$B$9:$M$101,12,FALSE)))),0)</f>
        <v>0</v>
      </c>
      <c r="M1033" s="269" t="str">
        <f>IFERROR(VLOOKUP((D1033&amp;C1033)&amp;"",'[2]Retail Price List'!$C$4:$F$102,4,FALSE),"")</f>
        <v/>
      </c>
      <c r="N1033" s="269">
        <f>IFERROR(IF(BA1033="WIP - 30 Days",VLOOKUP(D1033,[3]Extended!$B$9:$E$101,4,FALSE),IF(BA1033="31-120 Days",VLOOKUP(D1033,[3]Extended!$B$9:$F$101,5,FALSE),IF(BA1033="121-365 Days",VLOOKUP(D1033,[3]Extended!$B$9:$G$101,6,FALSE),VLOOKUP(D1033,[3]Extended!$B$9:$H$101,7,FALSE)))),0)</f>
        <v>0</v>
      </c>
      <c r="O1033" s="269">
        <f>IFERROR(IF(BA1033="WIP - 30 Days",VLOOKUP(D1033,[3]Extended!$B$9:$J$101,9,FALSE),IF(BA1033="31-120 Days",VLOOKUP(D1033,[3]Extended!$B$9:$K$101,10,FALSE),IF(BA1033="121-365 Days",VLOOKUP(D1033,[3]Extended!$B$9:$L$101,11,FALSE),VLOOKUP(D1033,[3]Extended!$B$9:$M$101,12,FALSE)))),0)</f>
        <v>0</v>
      </c>
      <c r="P1033" s="116" t="e">
        <f t="shared" si="81"/>
        <v>#VALUE!</v>
      </c>
      <c r="Q1033" s="110" t="e">
        <f>O1033-#REF!</f>
        <v>#REF!</v>
      </c>
      <c r="W1033" s="311"/>
      <c r="X1033" s="311"/>
      <c r="Y1033" s="311"/>
      <c r="Z1033" s="311"/>
      <c r="AA1033" s="311"/>
      <c r="AB1033" s="311"/>
      <c r="AC1033" s="311"/>
      <c r="AT1033" s="88" t="str">
        <f t="shared" si="82"/>
        <v>Special Order0</v>
      </c>
      <c r="AU1033" s="89" t="str">
        <f t="shared" si="83"/>
        <v>01-1900</v>
      </c>
      <c r="BA1033" s="92" t="str">
        <f t="shared" si="84"/>
        <v/>
      </c>
    </row>
    <row r="1034" spans="2:53">
      <c r="B1034" s="60">
        <f>[2]Trucks!A1031</f>
        <v>0</v>
      </c>
      <c r="C1034" s="11">
        <f>[2]Trucks!B1031</f>
        <v>0</v>
      </c>
      <c r="D1034" s="19" t="str">
        <f>IFERROR(VLOOKUP(C1034&amp;"",'[2]Retail Price List'!$A$3:$B$103,2,FALSE),"Special Order")</f>
        <v>Special Order</v>
      </c>
      <c r="E1034" s="18">
        <f>[2]Trucks!J1031</f>
        <v>0</v>
      </c>
      <c r="F1034" s="12">
        <f>[2]Trucks!E1031</f>
        <v>0</v>
      </c>
      <c r="G1034" s="56">
        <f>[2]Trucks!K1031</f>
        <v>0</v>
      </c>
      <c r="H1034" s="46">
        <f>[2]Trucks!I1031</f>
        <v>0</v>
      </c>
      <c r="I1034" s="83" t="str">
        <f t="shared" si="80"/>
        <v/>
      </c>
      <c r="J1034" s="272" t="str">
        <f>IFERROR(VLOOKUP((D1034&amp;C1034)&amp;"",'[2]Retail Price List'!$C$4:$F$102,3,FALSE),"")</f>
        <v/>
      </c>
      <c r="K1034" s="272">
        <f>IFERROR(IF(BA1034="WIP - 30 Days",VLOOKUP(D1034,[3]Standard!$B$9:$E$101,4,FALSE),IF(BA1034="31-120 Days",VLOOKUP(D1034,[3]Standard!$B$9:$F$101,5,FALSE),IF(BA1034="121-365 Days",VLOOKUP(D1034,[3]Standard!$B$9:$G$101,6,FALSE),VLOOKUP(D1034,[3]Standard!$B$9:$H$101,7,FALSE)))),0)</f>
        <v>0</v>
      </c>
      <c r="L1034" s="272">
        <f>IFERROR(IF(BA1034="WIP - 30 Days",VLOOKUP(D1034,[3]Standard!$B$9:$J$101,9,FALSE),IF(BA1034="31-120 Days",VLOOKUP(D1034,[3]Standard!$B$9:$K$100,10,FALSE),IF(BA1034="121-365 Days",VLOOKUP(D1034,[3]Standard!$B$9:$L$101,11,FALSE),VLOOKUP(D1034,[3]Standard!$B$9:$M$101,12,FALSE)))),0)</f>
        <v>0</v>
      </c>
      <c r="M1034" s="269" t="str">
        <f>IFERROR(VLOOKUP((D1034&amp;C1034)&amp;"",'[2]Retail Price List'!$C$4:$F$102,4,FALSE),"")</f>
        <v/>
      </c>
      <c r="N1034" s="269">
        <f>IFERROR(IF(BA1034="WIP - 30 Days",VLOOKUP(D1034,[3]Extended!$B$9:$E$101,4,FALSE),IF(BA1034="31-120 Days",VLOOKUP(D1034,[3]Extended!$B$9:$F$101,5,FALSE),IF(BA1034="121-365 Days",VLOOKUP(D1034,[3]Extended!$B$9:$G$101,6,FALSE),VLOOKUP(D1034,[3]Extended!$B$9:$H$101,7,FALSE)))),0)</f>
        <v>0</v>
      </c>
      <c r="O1034" s="269">
        <f>IFERROR(IF(BA1034="WIP - 30 Days",VLOOKUP(D1034,[3]Extended!$B$9:$J$101,9,FALSE),IF(BA1034="31-120 Days",VLOOKUP(D1034,[3]Extended!$B$9:$K$101,10,FALSE),IF(BA1034="121-365 Days",VLOOKUP(D1034,[3]Extended!$B$9:$L$101,11,FALSE),VLOOKUP(D1034,[3]Extended!$B$9:$M$101,12,FALSE)))),0)</f>
        <v>0</v>
      </c>
      <c r="P1034" s="116" t="e">
        <f t="shared" si="81"/>
        <v>#VALUE!</v>
      </c>
      <c r="Q1034" s="110" t="e">
        <f>O1034-#REF!</f>
        <v>#REF!</v>
      </c>
      <c r="W1034" s="311"/>
      <c r="X1034" s="311"/>
      <c r="Y1034" s="311"/>
      <c r="Z1034" s="311"/>
      <c r="AA1034" s="311"/>
      <c r="AB1034" s="311"/>
      <c r="AC1034" s="311"/>
      <c r="AT1034" s="88" t="str">
        <f t="shared" si="82"/>
        <v>Special Order0</v>
      </c>
      <c r="AU1034" s="89" t="str">
        <f t="shared" si="83"/>
        <v>01-1900</v>
      </c>
      <c r="BA1034" s="92" t="str">
        <f t="shared" si="84"/>
        <v/>
      </c>
    </row>
    <row r="1035" spans="2:53">
      <c r="B1035" s="60">
        <f>[2]Trucks!A1032</f>
        <v>0</v>
      </c>
      <c r="C1035" s="11">
        <f>[2]Trucks!B1032</f>
        <v>0</v>
      </c>
      <c r="D1035" s="19" t="str">
        <f>IFERROR(VLOOKUP(C1035&amp;"",'[2]Retail Price List'!$A$3:$B$103,2,FALSE),"Special Order")</f>
        <v>Special Order</v>
      </c>
      <c r="E1035" s="18">
        <f>[2]Trucks!J1032</f>
        <v>0</v>
      </c>
      <c r="F1035" s="12">
        <f>[2]Trucks!E1032</f>
        <v>0</v>
      </c>
      <c r="G1035" s="56">
        <f>[2]Trucks!K1032</f>
        <v>0</v>
      </c>
      <c r="H1035" s="46">
        <f>[2]Trucks!I1032</f>
        <v>0</v>
      </c>
      <c r="I1035" s="83" t="str">
        <f t="shared" si="80"/>
        <v/>
      </c>
      <c r="J1035" s="272" t="str">
        <f>IFERROR(VLOOKUP((D1035&amp;C1035)&amp;"",'[2]Retail Price List'!$C$4:$F$102,3,FALSE),"")</f>
        <v/>
      </c>
      <c r="K1035" s="272">
        <f>IFERROR(IF(BA1035="WIP - 30 Days",VLOOKUP(D1035,[3]Standard!$B$9:$E$101,4,FALSE),IF(BA1035="31-120 Days",VLOOKUP(D1035,[3]Standard!$B$9:$F$101,5,FALSE),IF(BA1035="121-365 Days",VLOOKUP(D1035,[3]Standard!$B$9:$G$101,6,FALSE),VLOOKUP(D1035,[3]Standard!$B$9:$H$101,7,FALSE)))),0)</f>
        <v>0</v>
      </c>
      <c r="L1035" s="272">
        <f>IFERROR(IF(BA1035="WIP - 30 Days",VLOOKUP(D1035,[3]Standard!$B$9:$J$101,9,FALSE),IF(BA1035="31-120 Days",VLOOKUP(D1035,[3]Standard!$B$9:$K$100,10,FALSE),IF(BA1035="121-365 Days",VLOOKUP(D1035,[3]Standard!$B$9:$L$101,11,FALSE),VLOOKUP(D1035,[3]Standard!$B$9:$M$101,12,FALSE)))),0)</f>
        <v>0</v>
      </c>
      <c r="M1035" s="269" t="str">
        <f>IFERROR(VLOOKUP((D1035&amp;C1035)&amp;"",'[2]Retail Price List'!$C$4:$F$102,4,FALSE),"")</f>
        <v/>
      </c>
      <c r="N1035" s="269">
        <f>IFERROR(IF(BA1035="WIP - 30 Days",VLOOKUP(D1035,[3]Extended!$B$9:$E$101,4,FALSE),IF(BA1035="31-120 Days",VLOOKUP(D1035,[3]Extended!$B$9:$F$101,5,FALSE),IF(BA1035="121-365 Days",VLOOKUP(D1035,[3]Extended!$B$9:$G$101,6,FALSE),VLOOKUP(D1035,[3]Extended!$B$9:$H$101,7,FALSE)))),0)</f>
        <v>0</v>
      </c>
      <c r="O1035" s="269">
        <f>IFERROR(IF(BA1035="WIP - 30 Days",VLOOKUP(D1035,[3]Extended!$B$9:$J$101,9,FALSE),IF(BA1035="31-120 Days",VLOOKUP(D1035,[3]Extended!$B$9:$K$101,10,FALSE),IF(BA1035="121-365 Days",VLOOKUP(D1035,[3]Extended!$B$9:$L$101,11,FALSE),VLOOKUP(D1035,[3]Extended!$B$9:$M$101,12,FALSE)))),0)</f>
        <v>0</v>
      </c>
      <c r="P1035" s="116" t="e">
        <f t="shared" si="81"/>
        <v>#VALUE!</v>
      </c>
      <c r="Q1035" s="110" t="e">
        <f>O1035-#REF!</f>
        <v>#REF!</v>
      </c>
      <c r="W1035" s="311"/>
      <c r="X1035" s="311"/>
      <c r="Y1035" s="311"/>
      <c r="Z1035" s="311"/>
      <c r="AA1035" s="311"/>
      <c r="AB1035" s="311"/>
      <c r="AC1035" s="311"/>
      <c r="AT1035" s="88" t="str">
        <f t="shared" si="82"/>
        <v>Special Order0</v>
      </c>
      <c r="AU1035" s="89" t="str">
        <f t="shared" si="83"/>
        <v>01-1900</v>
      </c>
      <c r="BA1035" s="92" t="str">
        <f t="shared" si="84"/>
        <v/>
      </c>
    </row>
    <row r="1036" spans="2:53">
      <c r="B1036" s="60">
        <f>[2]Trucks!A1033</f>
        <v>0</v>
      </c>
      <c r="C1036" s="11">
        <f>[2]Trucks!B1033</f>
        <v>0</v>
      </c>
      <c r="D1036" s="19" t="str">
        <f>IFERROR(VLOOKUP(C1036&amp;"",'[2]Retail Price List'!$A$3:$B$103,2,FALSE),"Special Order")</f>
        <v>Special Order</v>
      </c>
      <c r="E1036" s="18">
        <f>[2]Trucks!J1033</f>
        <v>0</v>
      </c>
      <c r="F1036" s="12">
        <f>[2]Trucks!E1033</f>
        <v>0</v>
      </c>
      <c r="G1036" s="56">
        <f>[2]Trucks!K1033</f>
        <v>0</v>
      </c>
      <c r="H1036" s="46">
        <f>[2]Trucks!I1033</f>
        <v>0</v>
      </c>
      <c r="I1036" s="83" t="str">
        <f t="shared" si="80"/>
        <v/>
      </c>
      <c r="J1036" s="272" t="str">
        <f>IFERROR(VLOOKUP((D1036&amp;C1036)&amp;"",'[2]Retail Price List'!$C$4:$F$102,3,FALSE),"")</f>
        <v/>
      </c>
      <c r="K1036" s="272">
        <f>IFERROR(IF(BA1036="WIP - 30 Days",VLOOKUP(D1036,[3]Standard!$B$9:$E$101,4,FALSE),IF(BA1036="31-120 Days",VLOOKUP(D1036,[3]Standard!$B$9:$F$101,5,FALSE),IF(BA1036="121-365 Days",VLOOKUP(D1036,[3]Standard!$B$9:$G$101,6,FALSE),VLOOKUP(D1036,[3]Standard!$B$9:$H$101,7,FALSE)))),0)</f>
        <v>0</v>
      </c>
      <c r="L1036" s="272">
        <f>IFERROR(IF(BA1036="WIP - 30 Days",VLOOKUP(D1036,[3]Standard!$B$9:$J$101,9,FALSE),IF(BA1036="31-120 Days",VLOOKUP(D1036,[3]Standard!$B$9:$K$100,10,FALSE),IF(BA1036="121-365 Days",VLOOKUP(D1036,[3]Standard!$B$9:$L$101,11,FALSE),VLOOKUP(D1036,[3]Standard!$B$9:$M$101,12,FALSE)))),0)</f>
        <v>0</v>
      </c>
      <c r="M1036" s="269" t="str">
        <f>IFERROR(VLOOKUP((D1036&amp;C1036)&amp;"",'[2]Retail Price List'!$C$4:$F$102,4,FALSE),"")</f>
        <v/>
      </c>
      <c r="N1036" s="269">
        <f>IFERROR(IF(BA1036="WIP - 30 Days",VLOOKUP(D1036,[3]Extended!$B$9:$E$101,4,FALSE),IF(BA1036="31-120 Days",VLOOKUP(D1036,[3]Extended!$B$9:$F$101,5,FALSE),IF(BA1036="121-365 Days",VLOOKUP(D1036,[3]Extended!$B$9:$G$101,6,FALSE),VLOOKUP(D1036,[3]Extended!$B$9:$H$101,7,FALSE)))),0)</f>
        <v>0</v>
      </c>
      <c r="O1036" s="269">
        <f>IFERROR(IF(BA1036="WIP - 30 Days",VLOOKUP(D1036,[3]Extended!$B$9:$J$101,9,FALSE),IF(BA1036="31-120 Days",VLOOKUP(D1036,[3]Extended!$B$9:$K$101,10,FALSE),IF(BA1036="121-365 Days",VLOOKUP(D1036,[3]Extended!$B$9:$L$101,11,FALSE),VLOOKUP(D1036,[3]Extended!$B$9:$M$101,12,FALSE)))),0)</f>
        <v>0</v>
      </c>
      <c r="P1036" s="116" t="e">
        <f t="shared" si="81"/>
        <v>#VALUE!</v>
      </c>
      <c r="Q1036" s="110" t="e">
        <f>O1036-#REF!</f>
        <v>#REF!</v>
      </c>
      <c r="W1036" s="311"/>
      <c r="X1036" s="311"/>
      <c r="Y1036" s="311"/>
      <c r="Z1036" s="311"/>
      <c r="AA1036" s="311"/>
      <c r="AB1036" s="311"/>
      <c r="AC1036" s="311"/>
      <c r="AT1036" s="88" t="str">
        <f t="shared" si="82"/>
        <v>Special Order0</v>
      </c>
      <c r="AU1036" s="89" t="str">
        <f t="shared" si="83"/>
        <v>01-1900</v>
      </c>
      <c r="BA1036" s="92" t="str">
        <f t="shared" si="84"/>
        <v/>
      </c>
    </row>
    <row r="1037" spans="2:53">
      <c r="B1037" s="60">
        <f>[2]Trucks!A1034</f>
        <v>0</v>
      </c>
      <c r="C1037" s="11">
        <f>[2]Trucks!B1034</f>
        <v>0</v>
      </c>
      <c r="D1037" s="19" t="str">
        <f>IFERROR(VLOOKUP(C1037&amp;"",'[2]Retail Price List'!$A$3:$B$103,2,FALSE),"Special Order")</f>
        <v>Special Order</v>
      </c>
      <c r="E1037" s="18">
        <f>[2]Trucks!J1034</f>
        <v>0</v>
      </c>
      <c r="F1037" s="12">
        <f>[2]Trucks!E1034</f>
        <v>0</v>
      </c>
      <c r="G1037" s="56">
        <f>[2]Trucks!K1034</f>
        <v>0</v>
      </c>
      <c r="H1037" s="46">
        <f>[2]Trucks!I1034</f>
        <v>0</v>
      </c>
      <c r="I1037" s="83" t="str">
        <f t="shared" si="80"/>
        <v/>
      </c>
      <c r="J1037" s="272" t="str">
        <f>IFERROR(VLOOKUP((D1037&amp;C1037)&amp;"",'[2]Retail Price List'!$C$4:$F$102,3,FALSE),"")</f>
        <v/>
      </c>
      <c r="K1037" s="272">
        <f>IFERROR(IF(BA1037="WIP - 30 Days",VLOOKUP(D1037,[3]Standard!$B$9:$E$101,4,FALSE),IF(BA1037="31-120 Days",VLOOKUP(D1037,[3]Standard!$B$9:$F$101,5,FALSE),IF(BA1037="121-365 Days",VLOOKUP(D1037,[3]Standard!$B$9:$G$101,6,FALSE),VLOOKUP(D1037,[3]Standard!$B$9:$H$101,7,FALSE)))),0)</f>
        <v>0</v>
      </c>
      <c r="L1037" s="272">
        <f>IFERROR(IF(BA1037="WIP - 30 Days",VLOOKUP(D1037,[3]Standard!$B$9:$J$101,9,FALSE),IF(BA1037="31-120 Days",VLOOKUP(D1037,[3]Standard!$B$9:$K$100,10,FALSE),IF(BA1037="121-365 Days",VLOOKUP(D1037,[3]Standard!$B$9:$L$101,11,FALSE),VLOOKUP(D1037,[3]Standard!$B$9:$M$101,12,FALSE)))),0)</f>
        <v>0</v>
      </c>
      <c r="M1037" s="269" t="str">
        <f>IFERROR(VLOOKUP((D1037&amp;C1037)&amp;"",'[2]Retail Price List'!$C$4:$F$102,4,FALSE),"")</f>
        <v/>
      </c>
      <c r="N1037" s="269">
        <f>IFERROR(IF(BA1037="WIP - 30 Days",VLOOKUP(D1037,[3]Extended!$B$9:$E$101,4,FALSE),IF(BA1037="31-120 Days",VLOOKUP(D1037,[3]Extended!$B$9:$F$101,5,FALSE),IF(BA1037="121-365 Days",VLOOKUP(D1037,[3]Extended!$B$9:$G$101,6,FALSE),VLOOKUP(D1037,[3]Extended!$B$9:$H$101,7,FALSE)))),0)</f>
        <v>0</v>
      </c>
      <c r="O1037" s="269">
        <f>IFERROR(IF(BA1037="WIP - 30 Days",VLOOKUP(D1037,[3]Extended!$B$9:$J$101,9,FALSE),IF(BA1037="31-120 Days",VLOOKUP(D1037,[3]Extended!$B$9:$K$101,10,FALSE),IF(BA1037="121-365 Days",VLOOKUP(D1037,[3]Extended!$B$9:$L$101,11,FALSE),VLOOKUP(D1037,[3]Extended!$B$9:$M$101,12,FALSE)))),0)</f>
        <v>0</v>
      </c>
      <c r="P1037" s="116" t="e">
        <f t="shared" si="81"/>
        <v>#VALUE!</v>
      </c>
      <c r="Q1037" s="110" t="e">
        <f>O1037-#REF!</f>
        <v>#REF!</v>
      </c>
      <c r="W1037" s="311"/>
      <c r="X1037" s="311"/>
      <c r="Y1037" s="311"/>
      <c r="Z1037" s="311"/>
      <c r="AA1037" s="311"/>
      <c r="AB1037" s="311"/>
      <c r="AC1037" s="311"/>
      <c r="AT1037" s="88" t="str">
        <f t="shared" si="82"/>
        <v>Special Order0</v>
      </c>
      <c r="AU1037" s="89" t="str">
        <f t="shared" si="83"/>
        <v>01-1900</v>
      </c>
      <c r="BA1037" s="92" t="str">
        <f t="shared" si="84"/>
        <v/>
      </c>
    </row>
    <row r="1038" spans="2:53">
      <c r="B1038" s="60">
        <f>[2]Trucks!A1035</f>
        <v>0</v>
      </c>
      <c r="C1038" s="11">
        <f>[2]Trucks!B1035</f>
        <v>0</v>
      </c>
      <c r="D1038" s="19" t="str">
        <f>IFERROR(VLOOKUP(C1038&amp;"",'[2]Retail Price List'!$A$3:$B$103,2,FALSE),"Special Order")</f>
        <v>Special Order</v>
      </c>
      <c r="E1038" s="18">
        <f>[2]Trucks!J1035</f>
        <v>0</v>
      </c>
      <c r="F1038" s="12">
        <f>[2]Trucks!E1035</f>
        <v>0</v>
      </c>
      <c r="G1038" s="56">
        <f>[2]Trucks!K1035</f>
        <v>0</v>
      </c>
      <c r="H1038" s="46">
        <f>[2]Trucks!I1035</f>
        <v>0</v>
      </c>
      <c r="I1038" s="83" t="str">
        <f t="shared" si="80"/>
        <v/>
      </c>
      <c r="J1038" s="272" t="str">
        <f>IFERROR(VLOOKUP((D1038&amp;C1038)&amp;"",'[2]Retail Price List'!$C$4:$F$102,3,FALSE),"")</f>
        <v/>
      </c>
      <c r="K1038" s="272">
        <f>IFERROR(IF(BA1038="WIP - 30 Days",VLOOKUP(D1038,[3]Standard!$B$9:$E$101,4,FALSE),IF(BA1038="31-120 Days",VLOOKUP(D1038,[3]Standard!$B$9:$F$101,5,FALSE),IF(BA1038="121-365 Days",VLOOKUP(D1038,[3]Standard!$B$9:$G$101,6,FALSE),VLOOKUP(D1038,[3]Standard!$B$9:$H$101,7,FALSE)))),0)</f>
        <v>0</v>
      </c>
      <c r="L1038" s="272">
        <f>IFERROR(IF(BA1038="WIP - 30 Days",VLOOKUP(D1038,[3]Standard!$B$9:$J$101,9,FALSE),IF(BA1038="31-120 Days",VLOOKUP(D1038,[3]Standard!$B$9:$K$100,10,FALSE),IF(BA1038="121-365 Days",VLOOKUP(D1038,[3]Standard!$B$9:$L$101,11,FALSE),VLOOKUP(D1038,[3]Standard!$B$9:$M$101,12,FALSE)))),0)</f>
        <v>0</v>
      </c>
      <c r="M1038" s="269" t="str">
        <f>IFERROR(VLOOKUP((D1038&amp;C1038)&amp;"",'[2]Retail Price List'!$C$4:$F$102,4,FALSE),"")</f>
        <v/>
      </c>
      <c r="N1038" s="269">
        <f>IFERROR(IF(BA1038="WIP - 30 Days",VLOOKUP(D1038,[3]Extended!$B$9:$E$101,4,FALSE),IF(BA1038="31-120 Days",VLOOKUP(D1038,[3]Extended!$B$9:$F$101,5,FALSE),IF(BA1038="121-365 Days",VLOOKUP(D1038,[3]Extended!$B$9:$G$101,6,FALSE),VLOOKUP(D1038,[3]Extended!$B$9:$H$101,7,FALSE)))),0)</f>
        <v>0</v>
      </c>
      <c r="O1038" s="269">
        <f>IFERROR(IF(BA1038="WIP - 30 Days",VLOOKUP(D1038,[3]Extended!$B$9:$J$101,9,FALSE),IF(BA1038="31-120 Days",VLOOKUP(D1038,[3]Extended!$B$9:$K$101,10,FALSE),IF(BA1038="121-365 Days",VLOOKUP(D1038,[3]Extended!$B$9:$L$101,11,FALSE),VLOOKUP(D1038,[3]Extended!$B$9:$M$101,12,FALSE)))),0)</f>
        <v>0</v>
      </c>
      <c r="P1038" s="116" t="e">
        <f t="shared" si="81"/>
        <v>#VALUE!</v>
      </c>
      <c r="Q1038" s="110" t="e">
        <f>O1038-#REF!</f>
        <v>#REF!</v>
      </c>
      <c r="W1038" s="311"/>
      <c r="X1038" s="311"/>
      <c r="Y1038" s="311"/>
      <c r="Z1038" s="311"/>
      <c r="AA1038" s="311"/>
      <c r="AB1038" s="311"/>
      <c r="AC1038" s="311"/>
      <c r="AT1038" s="88" t="str">
        <f t="shared" si="82"/>
        <v>Special Order0</v>
      </c>
      <c r="AU1038" s="89" t="str">
        <f t="shared" si="83"/>
        <v>01-1900</v>
      </c>
      <c r="BA1038" s="92" t="str">
        <f t="shared" si="84"/>
        <v/>
      </c>
    </row>
    <row r="1039" spans="2:53">
      <c r="B1039" s="60">
        <f>[2]Trucks!A1036</f>
        <v>0</v>
      </c>
      <c r="C1039" s="11">
        <f>[2]Trucks!B1036</f>
        <v>0</v>
      </c>
      <c r="D1039" s="19" t="str">
        <f>IFERROR(VLOOKUP(C1039&amp;"",'[2]Retail Price List'!$A$3:$B$103,2,FALSE),"Special Order")</f>
        <v>Special Order</v>
      </c>
      <c r="E1039" s="18">
        <f>[2]Trucks!J1036</f>
        <v>0</v>
      </c>
      <c r="F1039" s="12">
        <f>[2]Trucks!E1036</f>
        <v>0</v>
      </c>
      <c r="G1039" s="56">
        <f>[2]Trucks!K1036</f>
        <v>0</v>
      </c>
      <c r="H1039" s="46">
        <f>[2]Trucks!I1036</f>
        <v>0</v>
      </c>
      <c r="I1039" s="83" t="str">
        <f t="shared" si="80"/>
        <v/>
      </c>
      <c r="J1039" s="272" t="str">
        <f>IFERROR(VLOOKUP((D1039&amp;C1039)&amp;"",'[2]Retail Price List'!$C$4:$F$102,3,FALSE),"")</f>
        <v/>
      </c>
      <c r="K1039" s="272">
        <f>IFERROR(IF(BA1039="WIP - 30 Days",VLOOKUP(D1039,[3]Standard!$B$9:$E$101,4,FALSE),IF(BA1039="31-120 Days",VLOOKUP(D1039,[3]Standard!$B$9:$F$101,5,FALSE),IF(BA1039="121-365 Days",VLOOKUP(D1039,[3]Standard!$B$9:$G$101,6,FALSE),VLOOKUP(D1039,[3]Standard!$B$9:$H$101,7,FALSE)))),0)</f>
        <v>0</v>
      </c>
      <c r="L1039" s="272">
        <f>IFERROR(IF(BA1039="WIP - 30 Days",VLOOKUP(D1039,[3]Standard!$B$9:$J$101,9,FALSE),IF(BA1039="31-120 Days",VLOOKUP(D1039,[3]Standard!$B$9:$K$100,10,FALSE),IF(BA1039="121-365 Days",VLOOKUP(D1039,[3]Standard!$B$9:$L$101,11,FALSE),VLOOKUP(D1039,[3]Standard!$B$9:$M$101,12,FALSE)))),0)</f>
        <v>0</v>
      </c>
      <c r="M1039" s="269" t="str">
        <f>IFERROR(VLOOKUP((D1039&amp;C1039)&amp;"",'[2]Retail Price List'!$C$4:$F$102,4,FALSE),"")</f>
        <v/>
      </c>
      <c r="N1039" s="269">
        <f>IFERROR(IF(BA1039="WIP - 30 Days",VLOOKUP(D1039,[3]Extended!$B$9:$E$101,4,FALSE),IF(BA1039="31-120 Days",VLOOKUP(D1039,[3]Extended!$B$9:$F$101,5,FALSE),IF(BA1039="121-365 Days",VLOOKUP(D1039,[3]Extended!$B$9:$G$101,6,FALSE),VLOOKUP(D1039,[3]Extended!$B$9:$H$101,7,FALSE)))),0)</f>
        <v>0</v>
      </c>
      <c r="O1039" s="269">
        <f>IFERROR(IF(BA1039="WIP - 30 Days",VLOOKUP(D1039,[3]Extended!$B$9:$J$101,9,FALSE),IF(BA1039="31-120 Days",VLOOKUP(D1039,[3]Extended!$B$9:$K$101,10,FALSE),IF(BA1039="121-365 Days",VLOOKUP(D1039,[3]Extended!$B$9:$L$101,11,FALSE),VLOOKUP(D1039,[3]Extended!$B$9:$M$101,12,FALSE)))),0)</f>
        <v>0</v>
      </c>
      <c r="P1039" s="116" t="e">
        <f t="shared" si="81"/>
        <v>#VALUE!</v>
      </c>
      <c r="Q1039" s="110" t="e">
        <f>O1039-#REF!</f>
        <v>#REF!</v>
      </c>
      <c r="W1039" s="311"/>
      <c r="X1039" s="311"/>
      <c r="Y1039" s="311"/>
      <c r="Z1039" s="311"/>
      <c r="AA1039" s="311"/>
      <c r="AB1039" s="311"/>
      <c r="AC1039" s="311"/>
      <c r="AT1039" s="88" t="str">
        <f t="shared" si="82"/>
        <v>Special Order0</v>
      </c>
      <c r="AU1039" s="89" t="str">
        <f t="shared" si="83"/>
        <v>01-1900</v>
      </c>
      <c r="BA1039" s="92" t="str">
        <f t="shared" si="84"/>
        <v/>
      </c>
    </row>
    <row r="1040" spans="2:53">
      <c r="B1040" s="60">
        <f>[2]Trucks!A1037</f>
        <v>0</v>
      </c>
      <c r="C1040" s="11">
        <f>[2]Trucks!B1037</f>
        <v>0</v>
      </c>
      <c r="D1040" s="19" t="str">
        <f>IFERROR(VLOOKUP(C1040&amp;"",'[2]Retail Price List'!$A$3:$B$103,2,FALSE),"Special Order")</f>
        <v>Special Order</v>
      </c>
      <c r="E1040" s="18">
        <f>[2]Trucks!J1037</f>
        <v>0</v>
      </c>
      <c r="F1040" s="12">
        <f>[2]Trucks!E1037</f>
        <v>0</v>
      </c>
      <c r="G1040" s="56">
        <f>[2]Trucks!K1037</f>
        <v>0</v>
      </c>
      <c r="H1040" s="46">
        <f>[2]Trucks!I1037</f>
        <v>0</v>
      </c>
      <c r="I1040" s="83" t="str">
        <f t="shared" si="80"/>
        <v/>
      </c>
      <c r="J1040" s="272" t="str">
        <f>IFERROR(VLOOKUP((D1040&amp;C1040)&amp;"",'[2]Retail Price List'!$C$4:$F$102,3,FALSE),"")</f>
        <v/>
      </c>
      <c r="K1040" s="272">
        <f>IFERROR(IF(BA1040="WIP - 30 Days",VLOOKUP(D1040,[3]Standard!$B$9:$E$101,4,FALSE),IF(BA1040="31-120 Days",VLOOKUP(D1040,[3]Standard!$B$9:$F$101,5,FALSE),IF(BA1040="121-365 Days",VLOOKUP(D1040,[3]Standard!$B$9:$G$101,6,FALSE),VLOOKUP(D1040,[3]Standard!$B$9:$H$101,7,FALSE)))),0)</f>
        <v>0</v>
      </c>
      <c r="L1040" s="272">
        <f>IFERROR(IF(BA1040="WIP - 30 Days",VLOOKUP(D1040,[3]Standard!$B$9:$J$101,9,FALSE),IF(BA1040="31-120 Days",VLOOKUP(D1040,[3]Standard!$B$9:$K$100,10,FALSE),IF(BA1040="121-365 Days",VLOOKUP(D1040,[3]Standard!$B$9:$L$101,11,FALSE),VLOOKUP(D1040,[3]Standard!$B$9:$M$101,12,FALSE)))),0)</f>
        <v>0</v>
      </c>
      <c r="M1040" s="269" t="str">
        <f>IFERROR(VLOOKUP((D1040&amp;C1040)&amp;"",'[2]Retail Price List'!$C$4:$F$102,4,FALSE),"")</f>
        <v/>
      </c>
      <c r="N1040" s="269">
        <f>IFERROR(IF(BA1040="WIP - 30 Days",VLOOKUP(D1040,[3]Extended!$B$9:$E$101,4,FALSE),IF(BA1040="31-120 Days",VLOOKUP(D1040,[3]Extended!$B$9:$F$101,5,FALSE),IF(BA1040="121-365 Days",VLOOKUP(D1040,[3]Extended!$B$9:$G$101,6,FALSE),VLOOKUP(D1040,[3]Extended!$B$9:$H$101,7,FALSE)))),0)</f>
        <v>0</v>
      </c>
      <c r="O1040" s="269">
        <f>IFERROR(IF(BA1040="WIP - 30 Days",VLOOKUP(D1040,[3]Extended!$B$9:$J$101,9,FALSE),IF(BA1040="31-120 Days",VLOOKUP(D1040,[3]Extended!$B$9:$K$101,10,FALSE),IF(BA1040="121-365 Days",VLOOKUP(D1040,[3]Extended!$B$9:$L$101,11,FALSE),VLOOKUP(D1040,[3]Extended!$B$9:$M$101,12,FALSE)))),0)</f>
        <v>0</v>
      </c>
      <c r="P1040" s="116" t="e">
        <f t="shared" si="81"/>
        <v>#VALUE!</v>
      </c>
      <c r="Q1040" s="110" t="e">
        <f>O1040-#REF!</f>
        <v>#REF!</v>
      </c>
      <c r="W1040" s="311"/>
      <c r="X1040" s="311"/>
      <c r="Y1040" s="311"/>
      <c r="Z1040" s="311"/>
      <c r="AA1040" s="311"/>
      <c r="AB1040" s="311"/>
      <c r="AC1040" s="311"/>
      <c r="AT1040" s="88" t="str">
        <f t="shared" si="82"/>
        <v>Special Order0</v>
      </c>
      <c r="AU1040" s="89" t="str">
        <f t="shared" si="83"/>
        <v>01-1900</v>
      </c>
      <c r="BA1040" s="92" t="str">
        <f t="shared" si="84"/>
        <v/>
      </c>
    </row>
    <row r="1041" spans="2:53">
      <c r="B1041" s="60">
        <f>[2]Trucks!A1038</f>
        <v>0</v>
      </c>
      <c r="C1041" s="11">
        <f>[2]Trucks!B1038</f>
        <v>0</v>
      </c>
      <c r="D1041" s="19" t="str">
        <f>IFERROR(VLOOKUP(C1041&amp;"",'[2]Retail Price List'!$A$3:$B$103,2,FALSE),"Special Order")</f>
        <v>Special Order</v>
      </c>
      <c r="E1041" s="18">
        <f>[2]Trucks!J1038</f>
        <v>0</v>
      </c>
      <c r="F1041" s="12">
        <f>[2]Trucks!E1038</f>
        <v>0</v>
      </c>
      <c r="G1041" s="56">
        <f>[2]Trucks!K1038</f>
        <v>0</v>
      </c>
      <c r="H1041" s="46">
        <f>[2]Trucks!I1038</f>
        <v>0</v>
      </c>
      <c r="I1041" s="83" t="str">
        <f t="shared" si="80"/>
        <v/>
      </c>
      <c r="J1041" s="272" t="str">
        <f>IFERROR(VLOOKUP((D1041&amp;C1041)&amp;"",'[2]Retail Price List'!$C$4:$F$102,3,FALSE),"")</f>
        <v/>
      </c>
      <c r="K1041" s="272">
        <f>IFERROR(IF(BA1041="WIP - 30 Days",VLOOKUP(D1041,[3]Standard!$B$9:$E$101,4,FALSE),IF(BA1041="31-120 Days",VLOOKUP(D1041,[3]Standard!$B$9:$F$101,5,FALSE),IF(BA1041="121-365 Days",VLOOKUP(D1041,[3]Standard!$B$9:$G$101,6,FALSE),VLOOKUP(D1041,[3]Standard!$B$9:$H$101,7,FALSE)))),0)</f>
        <v>0</v>
      </c>
      <c r="L1041" s="272">
        <f>IFERROR(IF(BA1041="WIP - 30 Days",VLOOKUP(D1041,[3]Standard!$B$9:$J$101,9,FALSE),IF(BA1041="31-120 Days",VLOOKUP(D1041,[3]Standard!$B$9:$K$100,10,FALSE),IF(BA1041="121-365 Days",VLOOKUP(D1041,[3]Standard!$B$9:$L$101,11,FALSE),VLOOKUP(D1041,[3]Standard!$B$9:$M$101,12,FALSE)))),0)</f>
        <v>0</v>
      </c>
      <c r="M1041" s="269" t="str">
        <f>IFERROR(VLOOKUP((D1041&amp;C1041)&amp;"",'[2]Retail Price List'!$C$4:$F$102,4,FALSE),"")</f>
        <v/>
      </c>
      <c r="N1041" s="269">
        <f>IFERROR(IF(BA1041="WIP - 30 Days",VLOOKUP(D1041,[3]Extended!$B$9:$E$101,4,FALSE),IF(BA1041="31-120 Days",VLOOKUP(D1041,[3]Extended!$B$9:$F$101,5,FALSE),IF(BA1041="121-365 Days",VLOOKUP(D1041,[3]Extended!$B$9:$G$101,6,FALSE),VLOOKUP(D1041,[3]Extended!$B$9:$H$101,7,FALSE)))),0)</f>
        <v>0</v>
      </c>
      <c r="O1041" s="269">
        <f>IFERROR(IF(BA1041="WIP - 30 Days",VLOOKUP(D1041,[3]Extended!$B$9:$J$101,9,FALSE),IF(BA1041="31-120 Days",VLOOKUP(D1041,[3]Extended!$B$9:$K$101,10,FALSE),IF(BA1041="121-365 Days",VLOOKUP(D1041,[3]Extended!$B$9:$L$101,11,FALSE),VLOOKUP(D1041,[3]Extended!$B$9:$M$101,12,FALSE)))),0)</f>
        <v>0</v>
      </c>
      <c r="P1041" s="116" t="e">
        <f t="shared" si="81"/>
        <v>#VALUE!</v>
      </c>
      <c r="Q1041" s="110" t="e">
        <f>O1041-#REF!</f>
        <v>#REF!</v>
      </c>
      <c r="W1041" s="311"/>
      <c r="X1041" s="311"/>
      <c r="Y1041" s="311"/>
      <c r="Z1041" s="311"/>
      <c r="AA1041" s="311"/>
      <c r="AB1041" s="311"/>
      <c r="AC1041" s="311"/>
      <c r="AT1041" s="88" t="str">
        <f t="shared" si="82"/>
        <v>Special Order0</v>
      </c>
      <c r="AU1041" s="89" t="str">
        <f t="shared" si="83"/>
        <v>01-1900</v>
      </c>
      <c r="BA1041" s="92" t="str">
        <f t="shared" si="84"/>
        <v/>
      </c>
    </row>
    <row r="1042" spans="2:53">
      <c r="B1042" s="60">
        <f>[2]Trucks!A1039</f>
        <v>0</v>
      </c>
      <c r="C1042" s="11">
        <f>[2]Trucks!B1039</f>
        <v>0</v>
      </c>
      <c r="D1042" s="19" t="str">
        <f>IFERROR(VLOOKUP(C1042&amp;"",'[2]Retail Price List'!$A$3:$B$103,2,FALSE),"Special Order")</f>
        <v>Special Order</v>
      </c>
      <c r="E1042" s="18">
        <f>[2]Trucks!J1039</f>
        <v>0</v>
      </c>
      <c r="F1042" s="12">
        <f>[2]Trucks!E1039</f>
        <v>0</v>
      </c>
      <c r="G1042" s="56">
        <f>[2]Trucks!K1039</f>
        <v>0</v>
      </c>
      <c r="H1042" s="46">
        <f>[2]Trucks!I1039</f>
        <v>0</v>
      </c>
      <c r="I1042" s="83" t="str">
        <f t="shared" si="80"/>
        <v/>
      </c>
      <c r="J1042" s="272" t="str">
        <f>IFERROR(VLOOKUP((D1042&amp;C1042)&amp;"",'[2]Retail Price List'!$C$4:$F$102,3,FALSE),"")</f>
        <v/>
      </c>
      <c r="K1042" s="272">
        <f>IFERROR(IF(BA1042="WIP - 30 Days",VLOOKUP(D1042,[3]Standard!$B$9:$E$101,4,FALSE),IF(BA1042="31-120 Days",VLOOKUP(D1042,[3]Standard!$B$9:$F$101,5,FALSE),IF(BA1042="121-365 Days",VLOOKUP(D1042,[3]Standard!$B$9:$G$101,6,FALSE),VLOOKUP(D1042,[3]Standard!$B$9:$H$101,7,FALSE)))),0)</f>
        <v>0</v>
      </c>
      <c r="L1042" s="272">
        <f>IFERROR(IF(BA1042="WIP - 30 Days",VLOOKUP(D1042,[3]Standard!$B$9:$J$101,9,FALSE),IF(BA1042="31-120 Days",VLOOKUP(D1042,[3]Standard!$B$9:$K$100,10,FALSE),IF(BA1042="121-365 Days",VLOOKUP(D1042,[3]Standard!$B$9:$L$101,11,FALSE),VLOOKUP(D1042,[3]Standard!$B$9:$M$101,12,FALSE)))),0)</f>
        <v>0</v>
      </c>
      <c r="M1042" s="269" t="str">
        <f>IFERROR(VLOOKUP((D1042&amp;C1042)&amp;"",'[2]Retail Price List'!$C$4:$F$102,4,FALSE),"")</f>
        <v/>
      </c>
      <c r="N1042" s="269">
        <f>IFERROR(IF(BA1042="WIP - 30 Days",VLOOKUP(D1042,[3]Extended!$B$9:$E$101,4,FALSE),IF(BA1042="31-120 Days",VLOOKUP(D1042,[3]Extended!$B$9:$F$101,5,FALSE),IF(BA1042="121-365 Days",VLOOKUP(D1042,[3]Extended!$B$9:$G$101,6,FALSE),VLOOKUP(D1042,[3]Extended!$B$9:$H$101,7,FALSE)))),0)</f>
        <v>0</v>
      </c>
      <c r="O1042" s="269">
        <f>IFERROR(IF(BA1042="WIP - 30 Days",VLOOKUP(D1042,[3]Extended!$B$9:$J$101,9,FALSE),IF(BA1042="31-120 Days",VLOOKUP(D1042,[3]Extended!$B$9:$K$101,10,FALSE),IF(BA1042="121-365 Days",VLOOKUP(D1042,[3]Extended!$B$9:$L$101,11,FALSE),VLOOKUP(D1042,[3]Extended!$B$9:$M$101,12,FALSE)))),0)</f>
        <v>0</v>
      </c>
      <c r="P1042" s="116" t="e">
        <f t="shared" si="81"/>
        <v>#VALUE!</v>
      </c>
      <c r="Q1042" s="110" t="e">
        <f>O1042-#REF!</f>
        <v>#REF!</v>
      </c>
      <c r="W1042" s="311"/>
      <c r="X1042" s="311"/>
      <c r="Y1042" s="311"/>
      <c r="Z1042" s="311"/>
      <c r="AA1042" s="311"/>
      <c r="AB1042" s="311"/>
      <c r="AC1042" s="311"/>
      <c r="AT1042" s="88" t="str">
        <f t="shared" si="82"/>
        <v>Special Order0</v>
      </c>
      <c r="AU1042" s="89" t="str">
        <f t="shared" si="83"/>
        <v>01-1900</v>
      </c>
      <c r="BA1042" s="92" t="str">
        <f t="shared" si="84"/>
        <v/>
      </c>
    </row>
    <row r="1043" spans="2:53">
      <c r="B1043" s="60">
        <f>[2]Trucks!A1040</f>
        <v>0</v>
      </c>
      <c r="C1043" s="11">
        <f>[2]Trucks!B1040</f>
        <v>0</v>
      </c>
      <c r="D1043" s="19" t="str">
        <f>IFERROR(VLOOKUP(C1043&amp;"",'[2]Retail Price List'!$A$3:$B$103,2,FALSE),"Special Order")</f>
        <v>Special Order</v>
      </c>
      <c r="E1043" s="18">
        <f>[2]Trucks!J1040</f>
        <v>0</v>
      </c>
      <c r="F1043" s="12">
        <f>[2]Trucks!E1040</f>
        <v>0</v>
      </c>
      <c r="G1043" s="56">
        <f>[2]Trucks!K1040</f>
        <v>0</v>
      </c>
      <c r="H1043" s="46">
        <f>[2]Trucks!I1040</f>
        <v>0</v>
      </c>
      <c r="I1043" s="83" t="str">
        <f t="shared" si="80"/>
        <v/>
      </c>
      <c r="J1043" s="272" t="str">
        <f>IFERROR(VLOOKUP((D1043&amp;C1043)&amp;"",'[2]Retail Price List'!$C$4:$F$102,3,FALSE),"")</f>
        <v/>
      </c>
      <c r="K1043" s="272">
        <f>IFERROR(IF(BA1043="WIP - 30 Days",VLOOKUP(D1043,[3]Standard!$B$9:$E$101,4,FALSE),IF(BA1043="31-120 Days",VLOOKUP(D1043,[3]Standard!$B$9:$F$101,5,FALSE),IF(BA1043="121-365 Days",VLOOKUP(D1043,[3]Standard!$B$9:$G$101,6,FALSE),VLOOKUP(D1043,[3]Standard!$B$9:$H$101,7,FALSE)))),0)</f>
        <v>0</v>
      </c>
      <c r="L1043" s="272">
        <f>IFERROR(IF(BA1043="WIP - 30 Days",VLOOKUP(D1043,[3]Standard!$B$9:$J$101,9,FALSE),IF(BA1043="31-120 Days",VLOOKUP(D1043,[3]Standard!$B$9:$K$100,10,FALSE),IF(BA1043="121-365 Days",VLOOKUP(D1043,[3]Standard!$B$9:$L$101,11,FALSE),VLOOKUP(D1043,[3]Standard!$B$9:$M$101,12,FALSE)))),0)</f>
        <v>0</v>
      </c>
      <c r="M1043" s="269" t="str">
        <f>IFERROR(VLOOKUP((D1043&amp;C1043)&amp;"",'[2]Retail Price List'!$C$4:$F$102,4,FALSE),"")</f>
        <v/>
      </c>
      <c r="N1043" s="269">
        <f>IFERROR(IF(BA1043="WIP - 30 Days",VLOOKUP(D1043,[3]Extended!$B$9:$E$101,4,FALSE),IF(BA1043="31-120 Days",VLOOKUP(D1043,[3]Extended!$B$9:$F$101,5,FALSE),IF(BA1043="121-365 Days",VLOOKUP(D1043,[3]Extended!$B$9:$G$101,6,FALSE),VLOOKUP(D1043,[3]Extended!$B$9:$H$101,7,FALSE)))),0)</f>
        <v>0</v>
      </c>
      <c r="O1043" s="269">
        <f>IFERROR(IF(BA1043="WIP - 30 Days",VLOOKUP(D1043,[3]Extended!$B$9:$J$101,9,FALSE),IF(BA1043="31-120 Days",VLOOKUP(D1043,[3]Extended!$B$9:$K$101,10,FALSE),IF(BA1043="121-365 Days",VLOOKUP(D1043,[3]Extended!$B$9:$L$101,11,FALSE),VLOOKUP(D1043,[3]Extended!$B$9:$M$101,12,FALSE)))),0)</f>
        <v>0</v>
      </c>
      <c r="P1043" s="116" t="e">
        <f t="shared" si="81"/>
        <v>#VALUE!</v>
      </c>
      <c r="Q1043" s="110" t="e">
        <f>O1043-#REF!</f>
        <v>#REF!</v>
      </c>
      <c r="W1043" s="311"/>
      <c r="X1043" s="311"/>
      <c r="Y1043" s="311"/>
      <c r="Z1043" s="311"/>
      <c r="AA1043" s="311"/>
      <c r="AB1043" s="311"/>
      <c r="AC1043" s="311"/>
      <c r="AT1043" s="88" t="str">
        <f t="shared" si="82"/>
        <v>Special Order0</v>
      </c>
      <c r="AU1043" s="89" t="str">
        <f t="shared" si="83"/>
        <v>01-1900</v>
      </c>
      <c r="BA1043" s="92" t="str">
        <f t="shared" si="84"/>
        <v/>
      </c>
    </row>
    <row r="1044" spans="2:53">
      <c r="B1044" s="60">
        <f>[2]Trucks!A1041</f>
        <v>0</v>
      </c>
      <c r="C1044" s="11">
        <f>[2]Trucks!B1041</f>
        <v>0</v>
      </c>
      <c r="D1044" s="19" t="str">
        <f>IFERROR(VLOOKUP(C1044&amp;"",'[2]Retail Price List'!$A$3:$B$103,2,FALSE),"Special Order")</f>
        <v>Special Order</v>
      </c>
      <c r="E1044" s="18">
        <f>[2]Trucks!J1041</f>
        <v>0</v>
      </c>
      <c r="F1044" s="12">
        <f>[2]Trucks!E1041</f>
        <v>0</v>
      </c>
      <c r="G1044" s="56">
        <f>[2]Trucks!K1041</f>
        <v>0</v>
      </c>
      <c r="H1044" s="46">
        <f>[2]Trucks!I1041</f>
        <v>0</v>
      </c>
      <c r="I1044" s="83" t="str">
        <f t="shared" si="80"/>
        <v/>
      </c>
      <c r="J1044" s="272" t="str">
        <f>IFERROR(VLOOKUP((D1044&amp;C1044)&amp;"",'[2]Retail Price List'!$C$4:$F$102,3,FALSE),"")</f>
        <v/>
      </c>
      <c r="K1044" s="272">
        <f>IFERROR(IF(BA1044="WIP - 30 Days",VLOOKUP(D1044,[3]Standard!$B$9:$E$101,4,FALSE),IF(BA1044="31-120 Days",VLOOKUP(D1044,[3]Standard!$B$9:$F$101,5,FALSE),IF(BA1044="121-365 Days",VLOOKUP(D1044,[3]Standard!$B$9:$G$101,6,FALSE),VLOOKUP(D1044,[3]Standard!$B$9:$H$101,7,FALSE)))),0)</f>
        <v>0</v>
      </c>
      <c r="L1044" s="272">
        <f>IFERROR(IF(BA1044="WIP - 30 Days",VLOOKUP(D1044,[3]Standard!$B$9:$J$101,9,FALSE),IF(BA1044="31-120 Days",VLOOKUP(D1044,[3]Standard!$B$9:$K$100,10,FALSE),IF(BA1044="121-365 Days",VLOOKUP(D1044,[3]Standard!$B$9:$L$101,11,FALSE),VLOOKUP(D1044,[3]Standard!$B$9:$M$101,12,FALSE)))),0)</f>
        <v>0</v>
      </c>
      <c r="M1044" s="269" t="str">
        <f>IFERROR(VLOOKUP((D1044&amp;C1044)&amp;"",'[2]Retail Price List'!$C$4:$F$102,4,FALSE),"")</f>
        <v/>
      </c>
      <c r="N1044" s="269">
        <f>IFERROR(IF(BA1044="WIP - 30 Days",VLOOKUP(D1044,[3]Extended!$B$9:$E$101,4,FALSE),IF(BA1044="31-120 Days",VLOOKUP(D1044,[3]Extended!$B$9:$F$101,5,FALSE),IF(BA1044="121-365 Days",VLOOKUP(D1044,[3]Extended!$B$9:$G$101,6,FALSE),VLOOKUP(D1044,[3]Extended!$B$9:$H$101,7,FALSE)))),0)</f>
        <v>0</v>
      </c>
      <c r="O1044" s="269">
        <f>IFERROR(IF(BA1044="WIP - 30 Days",VLOOKUP(D1044,[3]Extended!$B$9:$J$101,9,FALSE),IF(BA1044="31-120 Days",VLOOKUP(D1044,[3]Extended!$B$9:$K$101,10,FALSE),IF(BA1044="121-365 Days",VLOOKUP(D1044,[3]Extended!$B$9:$L$101,11,FALSE),VLOOKUP(D1044,[3]Extended!$B$9:$M$101,12,FALSE)))),0)</f>
        <v>0</v>
      </c>
      <c r="P1044" s="116" t="e">
        <f t="shared" si="81"/>
        <v>#VALUE!</v>
      </c>
      <c r="Q1044" s="110" t="e">
        <f>O1044-#REF!</f>
        <v>#REF!</v>
      </c>
      <c r="W1044" s="311"/>
      <c r="X1044" s="311"/>
      <c r="Y1044" s="311"/>
      <c r="Z1044" s="311"/>
      <c r="AA1044" s="311"/>
      <c r="AB1044" s="311"/>
      <c r="AC1044" s="311"/>
      <c r="AT1044" s="88" t="str">
        <f t="shared" si="82"/>
        <v>Special Order0</v>
      </c>
      <c r="AU1044" s="89" t="str">
        <f t="shared" si="83"/>
        <v>01-1900</v>
      </c>
      <c r="BA1044" s="92" t="str">
        <f t="shared" si="84"/>
        <v/>
      </c>
    </row>
    <row r="1045" spans="2:53">
      <c r="B1045" s="60">
        <f>[2]Trucks!A1042</f>
        <v>0</v>
      </c>
      <c r="C1045" s="11">
        <f>[2]Trucks!B1042</f>
        <v>0</v>
      </c>
      <c r="D1045" s="19" t="str">
        <f>IFERROR(VLOOKUP(C1045&amp;"",'[2]Retail Price List'!$A$3:$B$103,2,FALSE),"Special Order")</f>
        <v>Special Order</v>
      </c>
      <c r="E1045" s="18">
        <f>[2]Trucks!J1042</f>
        <v>0</v>
      </c>
      <c r="F1045" s="12">
        <f>[2]Trucks!E1042</f>
        <v>0</v>
      </c>
      <c r="G1045" s="56">
        <f>[2]Trucks!K1042</f>
        <v>0</v>
      </c>
      <c r="H1045" s="46">
        <f>[2]Trucks!I1042</f>
        <v>0</v>
      </c>
      <c r="I1045" s="83" t="str">
        <f t="shared" si="80"/>
        <v/>
      </c>
      <c r="J1045" s="272" t="str">
        <f>IFERROR(VLOOKUP((D1045&amp;C1045)&amp;"",'[2]Retail Price List'!$C$4:$F$102,3,FALSE),"")</f>
        <v/>
      </c>
      <c r="K1045" s="272">
        <f>IFERROR(IF(BA1045="WIP - 30 Days",VLOOKUP(D1045,[3]Standard!$B$9:$E$101,4,FALSE),IF(BA1045="31-120 Days",VLOOKUP(D1045,[3]Standard!$B$9:$F$101,5,FALSE),IF(BA1045="121-365 Days",VLOOKUP(D1045,[3]Standard!$B$9:$G$101,6,FALSE),VLOOKUP(D1045,[3]Standard!$B$9:$H$101,7,FALSE)))),0)</f>
        <v>0</v>
      </c>
      <c r="L1045" s="272">
        <f>IFERROR(IF(BA1045="WIP - 30 Days",VLOOKUP(D1045,[3]Standard!$B$9:$J$101,9,FALSE),IF(BA1045="31-120 Days",VLOOKUP(D1045,[3]Standard!$B$9:$K$100,10,FALSE),IF(BA1045="121-365 Days",VLOOKUP(D1045,[3]Standard!$B$9:$L$101,11,FALSE),VLOOKUP(D1045,[3]Standard!$B$9:$M$101,12,FALSE)))),0)</f>
        <v>0</v>
      </c>
      <c r="M1045" s="269" t="str">
        <f>IFERROR(VLOOKUP((D1045&amp;C1045)&amp;"",'[2]Retail Price List'!$C$4:$F$102,4,FALSE),"")</f>
        <v/>
      </c>
      <c r="N1045" s="269">
        <f>IFERROR(IF(BA1045="WIP - 30 Days",VLOOKUP(D1045,[3]Extended!$B$9:$E$101,4,FALSE),IF(BA1045="31-120 Days",VLOOKUP(D1045,[3]Extended!$B$9:$F$101,5,FALSE),IF(BA1045="121-365 Days",VLOOKUP(D1045,[3]Extended!$B$9:$G$101,6,FALSE),VLOOKUP(D1045,[3]Extended!$B$9:$H$101,7,FALSE)))),0)</f>
        <v>0</v>
      </c>
      <c r="O1045" s="269">
        <f>IFERROR(IF(BA1045="WIP - 30 Days",VLOOKUP(D1045,[3]Extended!$B$9:$J$101,9,FALSE),IF(BA1045="31-120 Days",VLOOKUP(D1045,[3]Extended!$B$9:$K$101,10,FALSE),IF(BA1045="121-365 Days",VLOOKUP(D1045,[3]Extended!$B$9:$L$101,11,FALSE),VLOOKUP(D1045,[3]Extended!$B$9:$M$101,12,FALSE)))),0)</f>
        <v>0</v>
      </c>
      <c r="P1045" s="116" t="e">
        <f t="shared" si="81"/>
        <v>#VALUE!</v>
      </c>
      <c r="Q1045" s="110" t="e">
        <f>O1045-#REF!</f>
        <v>#REF!</v>
      </c>
      <c r="W1045" s="311"/>
      <c r="X1045" s="311"/>
      <c r="Y1045" s="311"/>
      <c r="Z1045" s="311"/>
      <c r="AA1045" s="311"/>
      <c r="AB1045" s="311"/>
      <c r="AC1045" s="311"/>
      <c r="AT1045" s="88" t="str">
        <f t="shared" si="82"/>
        <v>Special Order0</v>
      </c>
      <c r="AU1045" s="89" t="str">
        <f t="shared" si="83"/>
        <v>01-1900</v>
      </c>
      <c r="BA1045" s="92" t="str">
        <f t="shared" si="84"/>
        <v/>
      </c>
    </row>
    <row r="1046" spans="2:53">
      <c r="B1046" s="60">
        <f>[2]Trucks!A1043</f>
        <v>0</v>
      </c>
      <c r="C1046" s="11">
        <f>[2]Trucks!B1043</f>
        <v>0</v>
      </c>
      <c r="D1046" s="19" t="str">
        <f>IFERROR(VLOOKUP(C1046&amp;"",'[2]Retail Price List'!$A$3:$B$103,2,FALSE),"Special Order")</f>
        <v>Special Order</v>
      </c>
      <c r="E1046" s="18">
        <f>[2]Trucks!J1043</f>
        <v>0</v>
      </c>
      <c r="F1046" s="12">
        <f>[2]Trucks!E1043</f>
        <v>0</v>
      </c>
      <c r="G1046" s="56">
        <f>[2]Trucks!K1043</f>
        <v>0</v>
      </c>
      <c r="H1046" s="46">
        <f>[2]Trucks!I1043</f>
        <v>0</v>
      </c>
      <c r="I1046" s="83" t="str">
        <f t="shared" si="80"/>
        <v/>
      </c>
      <c r="J1046" s="272" t="str">
        <f>IFERROR(VLOOKUP((D1046&amp;C1046)&amp;"",'[2]Retail Price List'!$C$4:$F$102,3,FALSE),"")</f>
        <v/>
      </c>
      <c r="K1046" s="272">
        <f>IFERROR(IF(BA1046="WIP - 30 Days",VLOOKUP(D1046,[3]Standard!$B$9:$E$101,4,FALSE),IF(BA1046="31-120 Days",VLOOKUP(D1046,[3]Standard!$B$9:$F$101,5,FALSE),IF(BA1046="121-365 Days",VLOOKUP(D1046,[3]Standard!$B$9:$G$101,6,FALSE),VLOOKUP(D1046,[3]Standard!$B$9:$H$101,7,FALSE)))),0)</f>
        <v>0</v>
      </c>
      <c r="L1046" s="272">
        <f>IFERROR(IF(BA1046="WIP - 30 Days",VLOOKUP(D1046,[3]Standard!$B$9:$J$101,9,FALSE),IF(BA1046="31-120 Days",VLOOKUP(D1046,[3]Standard!$B$9:$K$100,10,FALSE),IF(BA1046="121-365 Days",VLOOKUP(D1046,[3]Standard!$B$9:$L$101,11,FALSE),VLOOKUP(D1046,[3]Standard!$B$9:$M$101,12,FALSE)))),0)</f>
        <v>0</v>
      </c>
      <c r="M1046" s="269" t="str">
        <f>IFERROR(VLOOKUP((D1046&amp;C1046)&amp;"",'[2]Retail Price List'!$C$4:$F$102,4,FALSE),"")</f>
        <v/>
      </c>
      <c r="N1046" s="269">
        <f>IFERROR(IF(BA1046="WIP - 30 Days",VLOOKUP(D1046,[3]Extended!$B$9:$E$101,4,FALSE),IF(BA1046="31-120 Days",VLOOKUP(D1046,[3]Extended!$B$9:$F$101,5,FALSE),IF(BA1046="121-365 Days",VLOOKUP(D1046,[3]Extended!$B$9:$G$101,6,FALSE),VLOOKUP(D1046,[3]Extended!$B$9:$H$101,7,FALSE)))),0)</f>
        <v>0</v>
      </c>
      <c r="O1046" s="269">
        <f>IFERROR(IF(BA1046="WIP - 30 Days",VLOOKUP(D1046,[3]Extended!$B$9:$J$101,9,FALSE),IF(BA1046="31-120 Days",VLOOKUP(D1046,[3]Extended!$B$9:$K$101,10,FALSE),IF(BA1046="121-365 Days",VLOOKUP(D1046,[3]Extended!$B$9:$L$101,11,FALSE),VLOOKUP(D1046,[3]Extended!$B$9:$M$101,12,FALSE)))),0)</f>
        <v>0</v>
      </c>
      <c r="P1046" s="116" t="e">
        <f t="shared" si="81"/>
        <v>#VALUE!</v>
      </c>
      <c r="Q1046" s="110" t="e">
        <f>O1046-#REF!</f>
        <v>#REF!</v>
      </c>
      <c r="W1046" s="311"/>
      <c r="X1046" s="311"/>
      <c r="Y1046" s="311"/>
      <c r="Z1046" s="311"/>
      <c r="AA1046" s="311"/>
      <c r="AB1046" s="311"/>
      <c r="AC1046" s="311"/>
      <c r="AT1046" s="88" t="str">
        <f t="shared" si="82"/>
        <v>Special Order0</v>
      </c>
      <c r="AU1046" s="89" t="str">
        <f t="shared" si="83"/>
        <v>01-1900</v>
      </c>
      <c r="BA1046" s="92" t="str">
        <f t="shared" si="84"/>
        <v/>
      </c>
    </row>
    <row r="1047" spans="2:53">
      <c r="B1047" s="60">
        <f>[2]Trucks!A1044</f>
        <v>0</v>
      </c>
      <c r="C1047" s="11">
        <f>[2]Trucks!B1044</f>
        <v>0</v>
      </c>
      <c r="D1047" s="19" t="str">
        <f>IFERROR(VLOOKUP(C1047&amp;"",'[2]Retail Price List'!$A$3:$B$103,2,FALSE),"Special Order")</f>
        <v>Special Order</v>
      </c>
      <c r="E1047" s="18">
        <f>[2]Trucks!J1044</f>
        <v>0</v>
      </c>
      <c r="F1047" s="12">
        <f>[2]Trucks!E1044</f>
        <v>0</v>
      </c>
      <c r="G1047" s="56">
        <f>[2]Trucks!K1044</f>
        <v>0</v>
      </c>
      <c r="H1047" s="46">
        <f>[2]Trucks!I1044</f>
        <v>0</v>
      </c>
      <c r="I1047" s="83" t="str">
        <f t="shared" si="80"/>
        <v/>
      </c>
      <c r="J1047" s="272" t="str">
        <f>IFERROR(VLOOKUP((D1047&amp;C1047)&amp;"",'[2]Retail Price List'!$C$4:$F$102,3,FALSE),"")</f>
        <v/>
      </c>
      <c r="K1047" s="272">
        <f>IFERROR(IF(BA1047="WIP - 30 Days",VLOOKUP(D1047,[3]Standard!$B$9:$E$101,4,FALSE),IF(BA1047="31-120 Days",VLOOKUP(D1047,[3]Standard!$B$9:$F$101,5,FALSE),IF(BA1047="121-365 Days",VLOOKUP(D1047,[3]Standard!$B$9:$G$101,6,FALSE),VLOOKUP(D1047,[3]Standard!$B$9:$H$101,7,FALSE)))),0)</f>
        <v>0</v>
      </c>
      <c r="L1047" s="272">
        <f>IFERROR(IF(BA1047="WIP - 30 Days",VLOOKUP(D1047,[3]Standard!$B$9:$J$101,9,FALSE),IF(BA1047="31-120 Days",VLOOKUP(D1047,[3]Standard!$B$9:$K$100,10,FALSE),IF(BA1047="121-365 Days",VLOOKUP(D1047,[3]Standard!$B$9:$L$101,11,FALSE),VLOOKUP(D1047,[3]Standard!$B$9:$M$101,12,FALSE)))),0)</f>
        <v>0</v>
      </c>
      <c r="M1047" s="269" t="str">
        <f>IFERROR(VLOOKUP((D1047&amp;C1047)&amp;"",'[2]Retail Price List'!$C$4:$F$102,4,FALSE),"")</f>
        <v/>
      </c>
      <c r="N1047" s="269">
        <f>IFERROR(IF(BA1047="WIP - 30 Days",VLOOKUP(D1047,[3]Extended!$B$9:$E$101,4,FALSE),IF(BA1047="31-120 Days",VLOOKUP(D1047,[3]Extended!$B$9:$F$101,5,FALSE),IF(BA1047="121-365 Days",VLOOKUP(D1047,[3]Extended!$B$9:$G$101,6,FALSE),VLOOKUP(D1047,[3]Extended!$B$9:$H$101,7,FALSE)))),0)</f>
        <v>0</v>
      </c>
      <c r="O1047" s="269">
        <f>IFERROR(IF(BA1047="WIP - 30 Days",VLOOKUP(D1047,[3]Extended!$B$9:$J$101,9,FALSE),IF(BA1047="31-120 Days",VLOOKUP(D1047,[3]Extended!$B$9:$K$101,10,FALSE),IF(BA1047="121-365 Days",VLOOKUP(D1047,[3]Extended!$B$9:$L$101,11,FALSE),VLOOKUP(D1047,[3]Extended!$B$9:$M$101,12,FALSE)))),0)</f>
        <v>0</v>
      </c>
      <c r="P1047" s="116" t="e">
        <f t="shared" si="81"/>
        <v>#VALUE!</v>
      </c>
      <c r="Q1047" s="110" t="e">
        <f>O1047-#REF!</f>
        <v>#REF!</v>
      </c>
      <c r="W1047" s="311"/>
      <c r="X1047" s="311"/>
      <c r="Y1047" s="311"/>
      <c r="Z1047" s="311"/>
      <c r="AA1047" s="311"/>
      <c r="AB1047" s="311"/>
      <c r="AC1047" s="311"/>
      <c r="AT1047" s="88" t="str">
        <f t="shared" si="82"/>
        <v>Special Order0</v>
      </c>
      <c r="AU1047" s="89" t="str">
        <f t="shared" si="83"/>
        <v>01-1900</v>
      </c>
      <c r="BA1047" s="92" t="str">
        <f t="shared" si="84"/>
        <v/>
      </c>
    </row>
    <row r="1048" spans="2:53">
      <c r="B1048" s="60">
        <f>[2]Trucks!A1045</f>
        <v>0</v>
      </c>
      <c r="C1048" s="11">
        <f>[2]Trucks!B1045</f>
        <v>0</v>
      </c>
      <c r="D1048" s="19" t="str">
        <f>IFERROR(VLOOKUP(C1048&amp;"",'[2]Retail Price List'!$A$3:$B$103,2,FALSE),"Special Order")</f>
        <v>Special Order</v>
      </c>
      <c r="E1048" s="18">
        <f>[2]Trucks!J1045</f>
        <v>0</v>
      </c>
      <c r="F1048" s="12">
        <f>[2]Trucks!E1045</f>
        <v>0</v>
      </c>
      <c r="G1048" s="56">
        <f>[2]Trucks!K1045</f>
        <v>0</v>
      </c>
      <c r="H1048" s="46">
        <f>[2]Trucks!I1045</f>
        <v>0</v>
      </c>
      <c r="I1048" s="83" t="str">
        <f t="shared" si="80"/>
        <v/>
      </c>
      <c r="J1048" s="272" t="str">
        <f>IFERROR(VLOOKUP((D1048&amp;C1048)&amp;"",'[2]Retail Price List'!$C$4:$F$102,3,FALSE),"")</f>
        <v/>
      </c>
      <c r="K1048" s="272">
        <f>IFERROR(IF(BA1048="WIP - 30 Days",VLOOKUP(D1048,[3]Standard!$B$9:$E$101,4,FALSE),IF(BA1048="31-120 Days",VLOOKUP(D1048,[3]Standard!$B$9:$F$101,5,FALSE),IF(BA1048="121-365 Days",VLOOKUP(D1048,[3]Standard!$B$9:$G$101,6,FALSE),VLOOKUP(D1048,[3]Standard!$B$9:$H$101,7,FALSE)))),0)</f>
        <v>0</v>
      </c>
      <c r="L1048" s="272">
        <f>IFERROR(IF(BA1048="WIP - 30 Days",VLOOKUP(D1048,[3]Standard!$B$9:$J$101,9,FALSE),IF(BA1048="31-120 Days",VLOOKUP(D1048,[3]Standard!$B$9:$K$100,10,FALSE),IF(BA1048="121-365 Days",VLOOKUP(D1048,[3]Standard!$B$9:$L$101,11,FALSE),VLOOKUP(D1048,[3]Standard!$B$9:$M$101,12,FALSE)))),0)</f>
        <v>0</v>
      </c>
      <c r="M1048" s="269" t="str">
        <f>IFERROR(VLOOKUP((D1048&amp;C1048)&amp;"",'[2]Retail Price List'!$C$4:$F$102,4,FALSE),"")</f>
        <v/>
      </c>
      <c r="N1048" s="269">
        <f>IFERROR(IF(BA1048="WIP - 30 Days",VLOOKUP(D1048,[3]Extended!$B$9:$E$101,4,FALSE),IF(BA1048="31-120 Days",VLOOKUP(D1048,[3]Extended!$B$9:$F$101,5,FALSE),IF(BA1048="121-365 Days",VLOOKUP(D1048,[3]Extended!$B$9:$G$101,6,FALSE),VLOOKUP(D1048,[3]Extended!$B$9:$H$101,7,FALSE)))),0)</f>
        <v>0</v>
      </c>
      <c r="O1048" s="269">
        <f>IFERROR(IF(BA1048="WIP - 30 Days",VLOOKUP(D1048,[3]Extended!$B$9:$J$101,9,FALSE),IF(BA1048="31-120 Days",VLOOKUP(D1048,[3]Extended!$B$9:$K$101,10,FALSE),IF(BA1048="121-365 Days",VLOOKUP(D1048,[3]Extended!$B$9:$L$101,11,FALSE),VLOOKUP(D1048,[3]Extended!$B$9:$M$101,12,FALSE)))),0)</f>
        <v>0</v>
      </c>
      <c r="P1048" s="116" t="e">
        <f t="shared" si="81"/>
        <v>#VALUE!</v>
      </c>
      <c r="Q1048" s="110" t="e">
        <f>O1048-#REF!</f>
        <v>#REF!</v>
      </c>
      <c r="W1048" s="311"/>
      <c r="X1048" s="311"/>
      <c r="Y1048" s="311"/>
      <c r="Z1048" s="311"/>
      <c r="AA1048" s="311"/>
      <c r="AB1048" s="311"/>
      <c r="AC1048" s="311"/>
      <c r="AT1048" s="88" t="str">
        <f t="shared" si="82"/>
        <v>Special Order0</v>
      </c>
      <c r="AU1048" s="89" t="str">
        <f t="shared" si="83"/>
        <v>01-1900</v>
      </c>
      <c r="BA1048" s="92" t="str">
        <f t="shared" si="84"/>
        <v/>
      </c>
    </row>
    <row r="1049" spans="2:53">
      <c r="B1049" s="60">
        <f>[2]Trucks!A1046</f>
        <v>0</v>
      </c>
      <c r="C1049" s="11">
        <f>[2]Trucks!B1046</f>
        <v>0</v>
      </c>
      <c r="D1049" s="19" t="str">
        <f>IFERROR(VLOOKUP(C1049&amp;"",'[2]Retail Price List'!$A$3:$B$103,2,FALSE),"Special Order")</f>
        <v>Special Order</v>
      </c>
      <c r="E1049" s="18">
        <f>[2]Trucks!J1046</f>
        <v>0</v>
      </c>
      <c r="F1049" s="12">
        <f>[2]Trucks!E1046</f>
        <v>0</v>
      </c>
      <c r="G1049" s="56">
        <f>[2]Trucks!K1046</f>
        <v>0</v>
      </c>
      <c r="H1049" s="46">
        <f>[2]Trucks!I1046</f>
        <v>0</v>
      </c>
      <c r="I1049" s="83" t="str">
        <f t="shared" si="80"/>
        <v/>
      </c>
      <c r="J1049" s="272" t="str">
        <f>IFERROR(VLOOKUP((D1049&amp;C1049)&amp;"",'[2]Retail Price List'!$C$4:$F$102,3,FALSE),"")</f>
        <v/>
      </c>
      <c r="K1049" s="272">
        <f>IFERROR(IF(BA1049="WIP - 30 Days",VLOOKUP(D1049,[3]Standard!$B$9:$E$101,4,FALSE),IF(BA1049="31-120 Days",VLOOKUP(D1049,[3]Standard!$B$9:$F$101,5,FALSE),IF(BA1049="121-365 Days",VLOOKUP(D1049,[3]Standard!$B$9:$G$101,6,FALSE),VLOOKUP(D1049,[3]Standard!$B$9:$H$101,7,FALSE)))),0)</f>
        <v>0</v>
      </c>
      <c r="L1049" s="272">
        <f>IFERROR(IF(BA1049="WIP - 30 Days",VLOOKUP(D1049,[3]Standard!$B$9:$J$101,9,FALSE),IF(BA1049="31-120 Days",VLOOKUP(D1049,[3]Standard!$B$9:$K$100,10,FALSE),IF(BA1049="121-365 Days",VLOOKUP(D1049,[3]Standard!$B$9:$L$101,11,FALSE),VLOOKUP(D1049,[3]Standard!$B$9:$M$101,12,FALSE)))),0)</f>
        <v>0</v>
      </c>
      <c r="M1049" s="269" t="str">
        <f>IFERROR(VLOOKUP((D1049&amp;C1049)&amp;"",'[2]Retail Price List'!$C$4:$F$102,4,FALSE),"")</f>
        <v/>
      </c>
      <c r="N1049" s="269">
        <f>IFERROR(IF(BA1049="WIP - 30 Days",VLOOKUP(D1049,[3]Extended!$B$9:$E$101,4,FALSE),IF(BA1049="31-120 Days",VLOOKUP(D1049,[3]Extended!$B$9:$F$101,5,FALSE),IF(BA1049="121-365 Days",VLOOKUP(D1049,[3]Extended!$B$9:$G$101,6,FALSE),VLOOKUP(D1049,[3]Extended!$B$9:$H$101,7,FALSE)))),0)</f>
        <v>0</v>
      </c>
      <c r="O1049" s="269">
        <f>IFERROR(IF(BA1049="WIP - 30 Days",VLOOKUP(D1049,[3]Extended!$B$9:$J$101,9,FALSE),IF(BA1049="31-120 Days",VLOOKUP(D1049,[3]Extended!$B$9:$K$101,10,FALSE),IF(BA1049="121-365 Days",VLOOKUP(D1049,[3]Extended!$B$9:$L$101,11,FALSE),VLOOKUP(D1049,[3]Extended!$B$9:$M$101,12,FALSE)))),0)</f>
        <v>0</v>
      </c>
      <c r="P1049" s="116" t="e">
        <f t="shared" si="81"/>
        <v>#VALUE!</v>
      </c>
      <c r="Q1049" s="110" t="e">
        <f>O1049-#REF!</f>
        <v>#REF!</v>
      </c>
      <c r="W1049" s="311"/>
      <c r="X1049" s="311"/>
      <c r="Y1049" s="311"/>
      <c r="Z1049" s="311"/>
      <c r="AA1049" s="311"/>
      <c r="AB1049" s="311"/>
      <c r="AC1049" s="311"/>
      <c r="AT1049" s="88" t="str">
        <f t="shared" si="82"/>
        <v>Special Order0</v>
      </c>
      <c r="AU1049" s="89" t="str">
        <f t="shared" si="83"/>
        <v>01-1900</v>
      </c>
      <c r="BA1049" s="92" t="str">
        <f t="shared" si="84"/>
        <v/>
      </c>
    </row>
    <row r="1050" spans="2:53">
      <c r="B1050" s="60">
        <f>[2]Trucks!A1047</f>
        <v>0</v>
      </c>
      <c r="C1050" s="11">
        <f>[2]Trucks!B1047</f>
        <v>0</v>
      </c>
      <c r="D1050" s="19" t="str">
        <f>IFERROR(VLOOKUP(C1050&amp;"",'[2]Retail Price List'!$A$3:$B$103,2,FALSE),"Special Order")</f>
        <v>Special Order</v>
      </c>
      <c r="E1050" s="18">
        <f>[2]Trucks!J1047</f>
        <v>0</v>
      </c>
      <c r="F1050" s="12">
        <f>[2]Trucks!E1047</f>
        <v>0</v>
      </c>
      <c r="G1050" s="56">
        <f>[2]Trucks!K1047</f>
        <v>0</v>
      </c>
      <c r="H1050" s="46">
        <f>[2]Trucks!I1047</f>
        <v>0</v>
      </c>
      <c r="I1050" s="83" t="str">
        <f t="shared" si="80"/>
        <v/>
      </c>
      <c r="J1050" s="272" t="str">
        <f>IFERROR(VLOOKUP((D1050&amp;C1050)&amp;"",'[2]Retail Price List'!$C$4:$F$102,3,FALSE),"")</f>
        <v/>
      </c>
      <c r="K1050" s="272">
        <f>IFERROR(IF(BA1050="WIP - 30 Days",VLOOKUP(D1050,[3]Standard!$B$9:$E$101,4,FALSE),IF(BA1050="31-120 Days",VLOOKUP(D1050,[3]Standard!$B$9:$F$101,5,FALSE),IF(BA1050="121-365 Days",VLOOKUP(D1050,[3]Standard!$B$9:$G$101,6,FALSE),VLOOKUP(D1050,[3]Standard!$B$9:$H$101,7,FALSE)))),0)</f>
        <v>0</v>
      </c>
      <c r="L1050" s="272">
        <f>IFERROR(IF(BA1050="WIP - 30 Days",VLOOKUP(D1050,[3]Standard!$B$9:$J$101,9,FALSE),IF(BA1050="31-120 Days",VLOOKUP(D1050,[3]Standard!$B$9:$K$100,10,FALSE),IF(BA1050="121-365 Days",VLOOKUP(D1050,[3]Standard!$B$9:$L$101,11,FALSE),VLOOKUP(D1050,[3]Standard!$B$9:$M$101,12,FALSE)))),0)</f>
        <v>0</v>
      </c>
      <c r="M1050" s="269" t="str">
        <f>IFERROR(VLOOKUP((D1050&amp;C1050)&amp;"",'[2]Retail Price List'!$C$4:$F$102,4,FALSE),"")</f>
        <v/>
      </c>
      <c r="N1050" s="269">
        <f>IFERROR(IF(BA1050="WIP - 30 Days",VLOOKUP(D1050,[3]Extended!$B$9:$E$101,4,FALSE),IF(BA1050="31-120 Days",VLOOKUP(D1050,[3]Extended!$B$9:$F$101,5,FALSE),IF(BA1050="121-365 Days",VLOOKUP(D1050,[3]Extended!$B$9:$G$101,6,FALSE),VLOOKUP(D1050,[3]Extended!$B$9:$H$101,7,FALSE)))),0)</f>
        <v>0</v>
      </c>
      <c r="O1050" s="269">
        <f>IFERROR(IF(BA1050="WIP - 30 Days",VLOOKUP(D1050,[3]Extended!$B$9:$J$101,9,FALSE),IF(BA1050="31-120 Days",VLOOKUP(D1050,[3]Extended!$B$9:$K$101,10,FALSE),IF(BA1050="121-365 Days",VLOOKUP(D1050,[3]Extended!$B$9:$L$101,11,FALSE),VLOOKUP(D1050,[3]Extended!$B$9:$M$101,12,FALSE)))),0)</f>
        <v>0</v>
      </c>
      <c r="P1050" s="116" t="e">
        <f t="shared" si="81"/>
        <v>#VALUE!</v>
      </c>
      <c r="Q1050" s="110" t="e">
        <f>O1050-#REF!</f>
        <v>#REF!</v>
      </c>
      <c r="W1050" s="311"/>
      <c r="X1050" s="311"/>
      <c r="Y1050" s="311"/>
      <c r="Z1050" s="311"/>
      <c r="AA1050" s="311"/>
      <c r="AB1050" s="311"/>
      <c r="AC1050" s="311"/>
      <c r="AT1050" s="88" t="str">
        <f t="shared" si="82"/>
        <v>Special Order0</v>
      </c>
      <c r="AU1050" s="89" t="str">
        <f t="shared" si="83"/>
        <v>01-1900</v>
      </c>
      <c r="BA1050" s="92" t="str">
        <f t="shared" si="84"/>
        <v/>
      </c>
    </row>
    <row r="1051" spans="2:53">
      <c r="B1051" s="60">
        <f>[2]Trucks!A1048</f>
        <v>0</v>
      </c>
      <c r="C1051" s="11">
        <f>[2]Trucks!B1048</f>
        <v>0</v>
      </c>
      <c r="D1051" s="19" t="str">
        <f>IFERROR(VLOOKUP(C1051&amp;"",'[2]Retail Price List'!$A$3:$B$103,2,FALSE),"Special Order")</f>
        <v>Special Order</v>
      </c>
      <c r="E1051" s="18">
        <f>[2]Trucks!J1048</f>
        <v>0</v>
      </c>
      <c r="F1051" s="12">
        <f>[2]Trucks!E1048</f>
        <v>0</v>
      </c>
      <c r="G1051" s="56">
        <f>[2]Trucks!K1048</f>
        <v>0</v>
      </c>
      <c r="H1051" s="46">
        <f>[2]Trucks!I1048</f>
        <v>0</v>
      </c>
      <c r="I1051" s="83" t="str">
        <f t="shared" si="80"/>
        <v/>
      </c>
      <c r="J1051" s="272" t="str">
        <f>IFERROR(VLOOKUP((D1051&amp;C1051)&amp;"",'[2]Retail Price List'!$C$4:$F$102,3,FALSE),"")</f>
        <v/>
      </c>
      <c r="K1051" s="272">
        <f>IFERROR(IF(BA1051="WIP - 30 Days",VLOOKUP(D1051,[3]Standard!$B$9:$E$101,4,FALSE),IF(BA1051="31-120 Days",VLOOKUP(D1051,[3]Standard!$B$9:$F$101,5,FALSE),IF(BA1051="121-365 Days",VLOOKUP(D1051,[3]Standard!$B$9:$G$101,6,FALSE),VLOOKUP(D1051,[3]Standard!$B$9:$H$101,7,FALSE)))),0)</f>
        <v>0</v>
      </c>
      <c r="L1051" s="272">
        <f>IFERROR(IF(BA1051="WIP - 30 Days",VLOOKUP(D1051,[3]Standard!$B$9:$J$101,9,FALSE),IF(BA1051="31-120 Days",VLOOKUP(D1051,[3]Standard!$B$9:$K$100,10,FALSE),IF(BA1051="121-365 Days",VLOOKUP(D1051,[3]Standard!$B$9:$L$101,11,FALSE),VLOOKUP(D1051,[3]Standard!$B$9:$M$101,12,FALSE)))),0)</f>
        <v>0</v>
      </c>
      <c r="M1051" s="269" t="str">
        <f>IFERROR(VLOOKUP((D1051&amp;C1051)&amp;"",'[2]Retail Price List'!$C$4:$F$102,4,FALSE),"")</f>
        <v/>
      </c>
      <c r="N1051" s="269">
        <f>IFERROR(IF(BA1051="WIP - 30 Days",VLOOKUP(D1051,[3]Extended!$B$9:$E$101,4,FALSE),IF(BA1051="31-120 Days",VLOOKUP(D1051,[3]Extended!$B$9:$F$101,5,FALSE),IF(BA1051="121-365 Days",VLOOKUP(D1051,[3]Extended!$B$9:$G$101,6,FALSE),VLOOKUP(D1051,[3]Extended!$B$9:$H$101,7,FALSE)))),0)</f>
        <v>0</v>
      </c>
      <c r="O1051" s="269">
        <f>IFERROR(IF(BA1051="WIP - 30 Days",VLOOKUP(D1051,[3]Extended!$B$9:$J$101,9,FALSE),IF(BA1051="31-120 Days",VLOOKUP(D1051,[3]Extended!$B$9:$K$101,10,FALSE),IF(BA1051="121-365 Days",VLOOKUP(D1051,[3]Extended!$B$9:$L$101,11,FALSE),VLOOKUP(D1051,[3]Extended!$B$9:$M$101,12,FALSE)))),0)</f>
        <v>0</v>
      </c>
      <c r="P1051" s="116" t="e">
        <f t="shared" si="81"/>
        <v>#VALUE!</v>
      </c>
      <c r="Q1051" s="110" t="e">
        <f>O1051-#REF!</f>
        <v>#REF!</v>
      </c>
      <c r="W1051" s="311"/>
      <c r="X1051" s="311"/>
      <c r="Y1051" s="311"/>
      <c r="Z1051" s="311"/>
      <c r="AA1051" s="311"/>
      <c r="AB1051" s="311"/>
      <c r="AC1051" s="311"/>
      <c r="AT1051" s="88" t="str">
        <f t="shared" si="82"/>
        <v>Special Order0</v>
      </c>
      <c r="AU1051" s="89" t="str">
        <f t="shared" si="83"/>
        <v>01-1900</v>
      </c>
      <c r="BA1051" s="92" t="str">
        <f t="shared" si="84"/>
        <v/>
      </c>
    </row>
    <row r="1052" spans="2:53">
      <c r="B1052" s="60">
        <f>[2]Trucks!A1049</f>
        <v>0</v>
      </c>
      <c r="C1052" s="11">
        <f>[2]Trucks!B1049</f>
        <v>0</v>
      </c>
      <c r="D1052" s="19" t="str">
        <f>IFERROR(VLOOKUP(C1052&amp;"",'[2]Retail Price List'!$A$3:$B$103,2,FALSE),"Special Order")</f>
        <v>Special Order</v>
      </c>
      <c r="E1052" s="18">
        <f>[2]Trucks!J1049</f>
        <v>0</v>
      </c>
      <c r="F1052" s="12">
        <f>[2]Trucks!E1049</f>
        <v>0</v>
      </c>
      <c r="G1052" s="56">
        <f>[2]Trucks!K1049</f>
        <v>0</v>
      </c>
      <c r="H1052" s="46">
        <f>[2]Trucks!I1049</f>
        <v>0</v>
      </c>
      <c r="I1052" s="83" t="str">
        <f t="shared" si="80"/>
        <v/>
      </c>
      <c r="J1052" s="272" t="str">
        <f>IFERROR(VLOOKUP((D1052&amp;C1052)&amp;"",'[2]Retail Price List'!$C$4:$F$102,3,FALSE),"")</f>
        <v/>
      </c>
      <c r="K1052" s="272">
        <f>IFERROR(IF(BA1052="WIP - 30 Days",VLOOKUP(D1052,[3]Standard!$B$9:$E$101,4,FALSE),IF(BA1052="31-120 Days",VLOOKUP(D1052,[3]Standard!$B$9:$F$101,5,FALSE),IF(BA1052="121-365 Days",VLOOKUP(D1052,[3]Standard!$B$9:$G$101,6,FALSE),VLOOKUP(D1052,[3]Standard!$B$9:$H$101,7,FALSE)))),0)</f>
        <v>0</v>
      </c>
      <c r="L1052" s="272">
        <f>IFERROR(IF(BA1052="WIP - 30 Days",VLOOKUP(D1052,[3]Standard!$B$9:$J$101,9,FALSE),IF(BA1052="31-120 Days",VLOOKUP(D1052,[3]Standard!$B$9:$K$100,10,FALSE),IF(BA1052="121-365 Days",VLOOKUP(D1052,[3]Standard!$B$9:$L$101,11,FALSE),VLOOKUP(D1052,[3]Standard!$B$9:$M$101,12,FALSE)))),0)</f>
        <v>0</v>
      </c>
      <c r="M1052" s="269" t="str">
        <f>IFERROR(VLOOKUP((D1052&amp;C1052)&amp;"",'[2]Retail Price List'!$C$4:$F$102,4,FALSE),"")</f>
        <v/>
      </c>
      <c r="N1052" s="269">
        <f>IFERROR(IF(BA1052="WIP - 30 Days",VLOOKUP(D1052,[3]Extended!$B$9:$E$101,4,FALSE),IF(BA1052="31-120 Days",VLOOKUP(D1052,[3]Extended!$B$9:$F$101,5,FALSE),IF(BA1052="121-365 Days",VLOOKUP(D1052,[3]Extended!$B$9:$G$101,6,FALSE),VLOOKUP(D1052,[3]Extended!$B$9:$H$101,7,FALSE)))),0)</f>
        <v>0</v>
      </c>
      <c r="O1052" s="269">
        <f>IFERROR(IF(BA1052="WIP - 30 Days",VLOOKUP(D1052,[3]Extended!$B$9:$J$101,9,FALSE),IF(BA1052="31-120 Days",VLOOKUP(D1052,[3]Extended!$B$9:$K$101,10,FALSE),IF(BA1052="121-365 Days",VLOOKUP(D1052,[3]Extended!$B$9:$L$101,11,FALSE),VLOOKUP(D1052,[3]Extended!$B$9:$M$101,12,FALSE)))),0)</f>
        <v>0</v>
      </c>
      <c r="P1052" s="116" t="e">
        <f t="shared" si="81"/>
        <v>#VALUE!</v>
      </c>
      <c r="Q1052" s="110" t="e">
        <f>O1052-#REF!</f>
        <v>#REF!</v>
      </c>
      <c r="W1052" s="311"/>
      <c r="X1052" s="311"/>
      <c r="Y1052" s="311"/>
      <c r="Z1052" s="311"/>
      <c r="AA1052" s="311"/>
      <c r="AB1052" s="311"/>
      <c r="AC1052" s="311"/>
      <c r="AT1052" s="88" t="str">
        <f t="shared" si="82"/>
        <v>Special Order0</v>
      </c>
      <c r="AU1052" s="89" t="str">
        <f t="shared" si="83"/>
        <v>01-1900</v>
      </c>
      <c r="BA1052" s="92" t="str">
        <f t="shared" si="84"/>
        <v/>
      </c>
    </row>
    <row r="1053" spans="2:53">
      <c r="B1053" s="60">
        <f>[2]Trucks!A1050</f>
        <v>0</v>
      </c>
      <c r="C1053" s="11">
        <f>[2]Trucks!B1050</f>
        <v>0</v>
      </c>
      <c r="D1053" s="19" t="str">
        <f>IFERROR(VLOOKUP(C1053&amp;"",'[2]Retail Price List'!$A$3:$B$103,2,FALSE),"Special Order")</f>
        <v>Special Order</v>
      </c>
      <c r="E1053" s="18">
        <f>[2]Trucks!J1050</f>
        <v>0</v>
      </c>
      <c r="F1053" s="12">
        <f>[2]Trucks!E1050</f>
        <v>0</v>
      </c>
      <c r="G1053" s="56">
        <f>[2]Trucks!K1050</f>
        <v>0</v>
      </c>
      <c r="H1053" s="46">
        <f>[2]Trucks!I1050</f>
        <v>0</v>
      </c>
      <c r="I1053" s="83" t="str">
        <f t="shared" si="80"/>
        <v/>
      </c>
      <c r="J1053" s="272" t="str">
        <f>IFERROR(VLOOKUP((D1053&amp;C1053)&amp;"",'[2]Retail Price List'!$C$4:$F$102,3,FALSE),"")</f>
        <v/>
      </c>
      <c r="K1053" s="272">
        <f>IFERROR(IF(BA1053="WIP - 30 Days",VLOOKUP(D1053,[3]Standard!$B$9:$E$101,4,FALSE),IF(BA1053="31-120 Days",VLOOKUP(D1053,[3]Standard!$B$9:$F$101,5,FALSE),IF(BA1053="121-365 Days",VLOOKUP(D1053,[3]Standard!$B$9:$G$101,6,FALSE),VLOOKUP(D1053,[3]Standard!$B$9:$H$101,7,FALSE)))),0)</f>
        <v>0</v>
      </c>
      <c r="L1053" s="272">
        <f>IFERROR(IF(BA1053="WIP - 30 Days",VLOOKUP(D1053,[3]Standard!$B$9:$J$101,9,FALSE),IF(BA1053="31-120 Days",VLOOKUP(D1053,[3]Standard!$B$9:$K$100,10,FALSE),IF(BA1053="121-365 Days",VLOOKUP(D1053,[3]Standard!$B$9:$L$101,11,FALSE),VLOOKUP(D1053,[3]Standard!$B$9:$M$101,12,FALSE)))),0)</f>
        <v>0</v>
      </c>
      <c r="M1053" s="269" t="str">
        <f>IFERROR(VLOOKUP((D1053&amp;C1053)&amp;"",'[2]Retail Price List'!$C$4:$F$102,4,FALSE),"")</f>
        <v/>
      </c>
      <c r="N1053" s="269">
        <f>IFERROR(IF(BA1053="WIP - 30 Days",VLOOKUP(D1053,[3]Extended!$B$9:$E$101,4,FALSE),IF(BA1053="31-120 Days",VLOOKUP(D1053,[3]Extended!$B$9:$F$101,5,FALSE),IF(BA1053="121-365 Days",VLOOKUP(D1053,[3]Extended!$B$9:$G$101,6,FALSE),VLOOKUP(D1053,[3]Extended!$B$9:$H$101,7,FALSE)))),0)</f>
        <v>0</v>
      </c>
      <c r="O1053" s="269">
        <f>IFERROR(IF(BA1053="WIP - 30 Days",VLOOKUP(D1053,[3]Extended!$B$9:$J$101,9,FALSE),IF(BA1053="31-120 Days",VLOOKUP(D1053,[3]Extended!$B$9:$K$101,10,FALSE),IF(BA1053="121-365 Days",VLOOKUP(D1053,[3]Extended!$B$9:$L$101,11,FALSE),VLOOKUP(D1053,[3]Extended!$B$9:$M$101,12,FALSE)))),0)</f>
        <v>0</v>
      </c>
      <c r="P1053" s="116" t="e">
        <f t="shared" si="81"/>
        <v>#VALUE!</v>
      </c>
      <c r="Q1053" s="110" t="e">
        <f>O1053-#REF!</f>
        <v>#REF!</v>
      </c>
      <c r="W1053" s="311"/>
      <c r="X1053" s="311"/>
      <c r="Y1053" s="311"/>
      <c r="Z1053" s="311"/>
      <c r="AA1053" s="311"/>
      <c r="AB1053" s="311"/>
      <c r="AC1053" s="311"/>
      <c r="AT1053" s="88" t="str">
        <f t="shared" si="82"/>
        <v>Special Order0</v>
      </c>
      <c r="AU1053" s="89" t="str">
        <f t="shared" si="83"/>
        <v>01-1900</v>
      </c>
      <c r="BA1053" s="92" t="str">
        <f t="shared" si="84"/>
        <v/>
      </c>
    </row>
    <row r="1054" spans="2:53">
      <c r="B1054" s="60">
        <f>[2]Trucks!A1051</f>
        <v>0</v>
      </c>
      <c r="C1054" s="11">
        <f>[2]Trucks!B1051</f>
        <v>0</v>
      </c>
      <c r="D1054" s="19" t="str">
        <f>IFERROR(VLOOKUP(C1054&amp;"",'[2]Retail Price List'!$A$3:$B$103,2,FALSE),"Special Order")</f>
        <v>Special Order</v>
      </c>
      <c r="E1054" s="18">
        <f>[2]Trucks!J1051</f>
        <v>0</v>
      </c>
      <c r="F1054" s="12">
        <f>[2]Trucks!E1051</f>
        <v>0</v>
      </c>
      <c r="G1054" s="56">
        <f>[2]Trucks!K1051</f>
        <v>0</v>
      </c>
      <c r="H1054" s="46">
        <f>[2]Trucks!I1051</f>
        <v>0</v>
      </c>
      <c r="I1054" s="83" t="str">
        <f t="shared" si="80"/>
        <v/>
      </c>
      <c r="J1054" s="272" t="str">
        <f>IFERROR(VLOOKUP((D1054&amp;C1054)&amp;"",'[2]Retail Price List'!$C$4:$F$102,3,FALSE),"")</f>
        <v/>
      </c>
      <c r="K1054" s="272">
        <f>IFERROR(IF(BA1054="WIP - 30 Days",VLOOKUP(D1054,[3]Standard!$B$9:$E$101,4,FALSE),IF(BA1054="31-120 Days",VLOOKUP(D1054,[3]Standard!$B$9:$F$101,5,FALSE),IF(BA1054="121-365 Days",VLOOKUP(D1054,[3]Standard!$B$9:$G$101,6,FALSE),VLOOKUP(D1054,[3]Standard!$B$9:$H$101,7,FALSE)))),0)</f>
        <v>0</v>
      </c>
      <c r="L1054" s="272">
        <f>IFERROR(IF(BA1054="WIP - 30 Days",VLOOKUP(D1054,[3]Standard!$B$9:$J$101,9,FALSE),IF(BA1054="31-120 Days",VLOOKUP(D1054,[3]Standard!$B$9:$K$100,10,FALSE),IF(BA1054="121-365 Days",VLOOKUP(D1054,[3]Standard!$B$9:$L$101,11,FALSE),VLOOKUP(D1054,[3]Standard!$B$9:$M$101,12,FALSE)))),0)</f>
        <v>0</v>
      </c>
      <c r="M1054" s="269" t="str">
        <f>IFERROR(VLOOKUP((D1054&amp;C1054)&amp;"",'[2]Retail Price List'!$C$4:$F$102,4,FALSE),"")</f>
        <v/>
      </c>
      <c r="N1054" s="269">
        <f>IFERROR(IF(BA1054="WIP - 30 Days",VLOOKUP(D1054,[3]Extended!$B$9:$E$101,4,FALSE),IF(BA1054="31-120 Days",VLOOKUP(D1054,[3]Extended!$B$9:$F$101,5,FALSE),IF(BA1054="121-365 Days",VLOOKUP(D1054,[3]Extended!$B$9:$G$101,6,FALSE),VLOOKUP(D1054,[3]Extended!$B$9:$H$101,7,FALSE)))),0)</f>
        <v>0</v>
      </c>
      <c r="O1054" s="269">
        <f>IFERROR(IF(BA1054="WIP - 30 Days",VLOOKUP(D1054,[3]Extended!$B$9:$J$101,9,FALSE),IF(BA1054="31-120 Days",VLOOKUP(D1054,[3]Extended!$B$9:$K$101,10,FALSE),IF(BA1054="121-365 Days",VLOOKUP(D1054,[3]Extended!$B$9:$L$101,11,FALSE),VLOOKUP(D1054,[3]Extended!$B$9:$M$101,12,FALSE)))),0)</f>
        <v>0</v>
      </c>
      <c r="P1054" s="116" t="e">
        <f t="shared" si="81"/>
        <v>#VALUE!</v>
      </c>
      <c r="Q1054" s="110" t="e">
        <f>O1054-#REF!</f>
        <v>#REF!</v>
      </c>
      <c r="W1054" s="311"/>
      <c r="X1054" s="311"/>
      <c r="Y1054" s="311"/>
      <c r="Z1054" s="311"/>
      <c r="AA1054" s="311"/>
      <c r="AB1054" s="311"/>
      <c r="AC1054" s="311"/>
      <c r="AT1054" s="88" t="str">
        <f t="shared" si="82"/>
        <v>Special Order0</v>
      </c>
      <c r="AU1054" s="89" t="str">
        <f t="shared" si="83"/>
        <v>01-1900</v>
      </c>
      <c r="BA1054" s="92" t="str">
        <f t="shared" si="84"/>
        <v/>
      </c>
    </row>
    <row r="1055" spans="2:53">
      <c r="B1055" s="60">
        <f>[2]Trucks!A1052</f>
        <v>0</v>
      </c>
      <c r="C1055" s="11">
        <f>[2]Trucks!B1052</f>
        <v>0</v>
      </c>
      <c r="D1055" s="19" t="str">
        <f>IFERROR(VLOOKUP(C1055&amp;"",'[2]Retail Price List'!$A$3:$B$103,2,FALSE),"Special Order")</f>
        <v>Special Order</v>
      </c>
      <c r="E1055" s="18">
        <f>[2]Trucks!J1052</f>
        <v>0</v>
      </c>
      <c r="F1055" s="12">
        <f>[2]Trucks!E1052</f>
        <v>0</v>
      </c>
      <c r="G1055" s="56">
        <f>[2]Trucks!K1052</f>
        <v>0</v>
      </c>
      <c r="H1055" s="46">
        <f>[2]Trucks!I1052</f>
        <v>0</v>
      </c>
      <c r="I1055" s="83" t="str">
        <f t="shared" si="80"/>
        <v/>
      </c>
      <c r="J1055" s="272" t="str">
        <f>IFERROR(VLOOKUP((D1055&amp;C1055)&amp;"",'[2]Retail Price List'!$C$4:$F$102,3,FALSE),"")</f>
        <v/>
      </c>
      <c r="K1055" s="272">
        <f>IFERROR(IF(BA1055="WIP - 30 Days",VLOOKUP(D1055,[3]Standard!$B$9:$E$101,4,FALSE),IF(BA1055="31-120 Days",VLOOKUP(D1055,[3]Standard!$B$9:$F$101,5,FALSE),IF(BA1055="121-365 Days",VLOOKUP(D1055,[3]Standard!$B$9:$G$101,6,FALSE),VLOOKUP(D1055,[3]Standard!$B$9:$H$101,7,FALSE)))),0)</f>
        <v>0</v>
      </c>
      <c r="L1055" s="272">
        <f>IFERROR(IF(BA1055="WIP - 30 Days",VLOOKUP(D1055,[3]Standard!$B$9:$J$101,9,FALSE),IF(BA1055="31-120 Days",VLOOKUP(D1055,[3]Standard!$B$9:$K$100,10,FALSE),IF(BA1055="121-365 Days",VLOOKUP(D1055,[3]Standard!$B$9:$L$101,11,FALSE),VLOOKUP(D1055,[3]Standard!$B$9:$M$101,12,FALSE)))),0)</f>
        <v>0</v>
      </c>
      <c r="M1055" s="269" t="str">
        <f>IFERROR(VLOOKUP((D1055&amp;C1055)&amp;"",'[2]Retail Price List'!$C$4:$F$102,4,FALSE),"")</f>
        <v/>
      </c>
      <c r="N1055" s="269">
        <f>IFERROR(IF(BA1055="WIP - 30 Days",VLOOKUP(D1055,[3]Extended!$B$9:$E$101,4,FALSE),IF(BA1055="31-120 Days",VLOOKUP(D1055,[3]Extended!$B$9:$F$101,5,FALSE),IF(BA1055="121-365 Days",VLOOKUP(D1055,[3]Extended!$B$9:$G$101,6,FALSE),VLOOKUP(D1055,[3]Extended!$B$9:$H$101,7,FALSE)))),0)</f>
        <v>0</v>
      </c>
      <c r="O1055" s="269">
        <f>IFERROR(IF(BA1055="WIP - 30 Days",VLOOKUP(D1055,[3]Extended!$B$9:$J$101,9,FALSE),IF(BA1055="31-120 Days",VLOOKUP(D1055,[3]Extended!$B$9:$K$101,10,FALSE),IF(BA1055="121-365 Days",VLOOKUP(D1055,[3]Extended!$B$9:$L$101,11,FALSE),VLOOKUP(D1055,[3]Extended!$B$9:$M$101,12,FALSE)))),0)</f>
        <v>0</v>
      </c>
      <c r="P1055" s="116" t="e">
        <f t="shared" si="81"/>
        <v>#VALUE!</v>
      </c>
      <c r="Q1055" s="110" t="e">
        <f>O1055-#REF!</f>
        <v>#REF!</v>
      </c>
      <c r="W1055" s="311"/>
      <c r="X1055" s="311"/>
      <c r="Y1055" s="311"/>
      <c r="Z1055" s="311"/>
      <c r="AA1055" s="311"/>
      <c r="AB1055" s="311"/>
      <c r="AC1055" s="311"/>
      <c r="AT1055" s="88" t="str">
        <f t="shared" si="82"/>
        <v>Special Order0</v>
      </c>
      <c r="AU1055" s="89" t="str">
        <f t="shared" si="83"/>
        <v>01-1900</v>
      </c>
      <c r="BA1055" s="92" t="str">
        <f t="shared" si="84"/>
        <v/>
      </c>
    </row>
    <row r="1056" spans="2:53">
      <c r="B1056" s="60">
        <f>[2]Trucks!A1053</f>
        <v>0</v>
      </c>
      <c r="C1056" s="11">
        <f>[2]Trucks!B1053</f>
        <v>0</v>
      </c>
      <c r="D1056" s="19" t="str">
        <f>IFERROR(VLOOKUP(C1056&amp;"",'[2]Retail Price List'!$A$3:$B$103,2,FALSE),"Special Order")</f>
        <v>Special Order</v>
      </c>
      <c r="E1056" s="18">
        <f>[2]Trucks!J1053</f>
        <v>0</v>
      </c>
      <c r="F1056" s="12">
        <f>[2]Trucks!E1053</f>
        <v>0</v>
      </c>
      <c r="G1056" s="56">
        <f>[2]Trucks!K1053</f>
        <v>0</v>
      </c>
      <c r="H1056" s="46">
        <f>[2]Trucks!I1053</f>
        <v>0</v>
      </c>
      <c r="I1056" s="83" t="str">
        <f t="shared" si="80"/>
        <v/>
      </c>
      <c r="J1056" s="272" t="str">
        <f>IFERROR(VLOOKUP((D1056&amp;C1056)&amp;"",'[2]Retail Price List'!$C$4:$F$102,3,FALSE),"")</f>
        <v/>
      </c>
      <c r="K1056" s="272">
        <f>IFERROR(IF(BA1056="WIP - 30 Days",VLOOKUP(D1056,[3]Standard!$B$9:$E$101,4,FALSE),IF(BA1056="31-120 Days",VLOOKUP(D1056,[3]Standard!$B$9:$F$101,5,FALSE),IF(BA1056="121-365 Days",VLOOKUP(D1056,[3]Standard!$B$9:$G$101,6,FALSE),VLOOKUP(D1056,[3]Standard!$B$9:$H$101,7,FALSE)))),0)</f>
        <v>0</v>
      </c>
      <c r="L1056" s="272">
        <f>IFERROR(IF(BA1056="WIP - 30 Days",VLOOKUP(D1056,[3]Standard!$B$9:$J$101,9,FALSE),IF(BA1056="31-120 Days",VLOOKUP(D1056,[3]Standard!$B$9:$K$100,10,FALSE),IF(BA1056="121-365 Days",VLOOKUP(D1056,[3]Standard!$B$9:$L$101,11,FALSE),VLOOKUP(D1056,[3]Standard!$B$9:$M$101,12,FALSE)))),0)</f>
        <v>0</v>
      </c>
      <c r="M1056" s="269" t="str">
        <f>IFERROR(VLOOKUP((D1056&amp;C1056)&amp;"",'[2]Retail Price List'!$C$4:$F$102,4,FALSE),"")</f>
        <v/>
      </c>
      <c r="N1056" s="269">
        <f>IFERROR(IF(BA1056="WIP - 30 Days",VLOOKUP(D1056,[3]Extended!$B$9:$E$101,4,FALSE),IF(BA1056="31-120 Days",VLOOKUP(D1056,[3]Extended!$B$9:$F$101,5,FALSE),IF(BA1056="121-365 Days",VLOOKUP(D1056,[3]Extended!$B$9:$G$101,6,FALSE),VLOOKUP(D1056,[3]Extended!$B$9:$H$101,7,FALSE)))),0)</f>
        <v>0</v>
      </c>
      <c r="O1056" s="269">
        <f>IFERROR(IF(BA1056="WIP - 30 Days",VLOOKUP(D1056,[3]Extended!$B$9:$J$101,9,FALSE),IF(BA1056="31-120 Days",VLOOKUP(D1056,[3]Extended!$B$9:$K$101,10,FALSE),IF(BA1056="121-365 Days",VLOOKUP(D1056,[3]Extended!$B$9:$L$101,11,FALSE),VLOOKUP(D1056,[3]Extended!$B$9:$M$101,12,FALSE)))),0)</f>
        <v>0</v>
      </c>
      <c r="P1056" s="116" t="e">
        <f t="shared" si="81"/>
        <v>#VALUE!</v>
      </c>
      <c r="Q1056" s="110" t="e">
        <f>O1056-#REF!</f>
        <v>#REF!</v>
      </c>
      <c r="W1056" s="311"/>
      <c r="X1056" s="311"/>
      <c r="Y1056" s="311"/>
      <c r="Z1056" s="311"/>
      <c r="AA1056" s="311"/>
      <c r="AB1056" s="311"/>
      <c r="AC1056" s="311"/>
      <c r="AT1056" s="88" t="str">
        <f t="shared" si="82"/>
        <v>Special Order0</v>
      </c>
      <c r="AU1056" s="89" t="str">
        <f t="shared" si="83"/>
        <v>01-1900</v>
      </c>
      <c r="BA1056" s="92" t="str">
        <f t="shared" si="84"/>
        <v/>
      </c>
    </row>
    <row r="1057" spans="2:53">
      <c r="B1057" s="60">
        <f>[2]Trucks!A1054</f>
        <v>0</v>
      </c>
      <c r="C1057" s="11">
        <f>[2]Trucks!B1054</f>
        <v>0</v>
      </c>
      <c r="D1057" s="19" t="str">
        <f>IFERROR(VLOOKUP(C1057&amp;"",'[2]Retail Price List'!$A$3:$B$103,2,FALSE),"Special Order")</f>
        <v>Special Order</v>
      </c>
      <c r="E1057" s="18">
        <f>[2]Trucks!J1054</f>
        <v>0</v>
      </c>
      <c r="F1057" s="12">
        <f>[2]Trucks!E1054</f>
        <v>0</v>
      </c>
      <c r="G1057" s="56">
        <f>[2]Trucks!K1054</f>
        <v>0</v>
      </c>
      <c r="H1057" s="46">
        <f>[2]Trucks!I1054</f>
        <v>0</v>
      </c>
      <c r="I1057" s="83" t="str">
        <f t="shared" si="80"/>
        <v/>
      </c>
      <c r="J1057" s="272" t="str">
        <f>IFERROR(VLOOKUP((D1057&amp;C1057)&amp;"",'[2]Retail Price List'!$C$4:$F$102,3,FALSE),"")</f>
        <v/>
      </c>
      <c r="K1057" s="272">
        <f>IFERROR(IF(BA1057="WIP - 30 Days",VLOOKUP(D1057,[3]Standard!$B$9:$E$101,4,FALSE),IF(BA1057="31-120 Days",VLOOKUP(D1057,[3]Standard!$B$9:$F$101,5,FALSE),IF(BA1057="121-365 Days",VLOOKUP(D1057,[3]Standard!$B$9:$G$101,6,FALSE),VLOOKUP(D1057,[3]Standard!$B$9:$H$101,7,FALSE)))),0)</f>
        <v>0</v>
      </c>
      <c r="L1057" s="272">
        <f>IFERROR(IF(BA1057="WIP - 30 Days",VLOOKUP(D1057,[3]Standard!$B$9:$J$101,9,FALSE),IF(BA1057="31-120 Days",VLOOKUP(D1057,[3]Standard!$B$9:$K$100,10,FALSE),IF(BA1057="121-365 Days",VLOOKUP(D1057,[3]Standard!$B$9:$L$101,11,FALSE),VLOOKUP(D1057,[3]Standard!$B$9:$M$101,12,FALSE)))),0)</f>
        <v>0</v>
      </c>
      <c r="M1057" s="269" t="str">
        <f>IFERROR(VLOOKUP((D1057&amp;C1057)&amp;"",'[2]Retail Price List'!$C$4:$F$102,4,FALSE),"")</f>
        <v/>
      </c>
      <c r="N1057" s="269">
        <f>IFERROR(IF(BA1057="WIP - 30 Days",VLOOKUP(D1057,[3]Extended!$B$9:$E$101,4,FALSE),IF(BA1057="31-120 Days",VLOOKUP(D1057,[3]Extended!$B$9:$F$101,5,FALSE),IF(BA1057="121-365 Days",VLOOKUP(D1057,[3]Extended!$B$9:$G$101,6,FALSE),VLOOKUP(D1057,[3]Extended!$B$9:$H$101,7,FALSE)))),0)</f>
        <v>0</v>
      </c>
      <c r="O1057" s="269">
        <f>IFERROR(IF(BA1057="WIP - 30 Days",VLOOKUP(D1057,[3]Extended!$B$9:$J$101,9,FALSE),IF(BA1057="31-120 Days",VLOOKUP(D1057,[3]Extended!$B$9:$K$101,10,FALSE),IF(BA1057="121-365 Days",VLOOKUP(D1057,[3]Extended!$B$9:$L$101,11,FALSE),VLOOKUP(D1057,[3]Extended!$B$9:$M$101,12,FALSE)))),0)</f>
        <v>0</v>
      </c>
      <c r="P1057" s="116" t="e">
        <f t="shared" si="81"/>
        <v>#VALUE!</v>
      </c>
      <c r="Q1057" s="110" t="e">
        <f>O1057-#REF!</f>
        <v>#REF!</v>
      </c>
      <c r="W1057" s="311"/>
      <c r="X1057" s="311"/>
      <c r="Y1057" s="311"/>
      <c r="Z1057" s="311"/>
      <c r="AA1057" s="311"/>
      <c r="AB1057" s="311"/>
      <c r="AC1057" s="311"/>
      <c r="AT1057" s="88" t="str">
        <f t="shared" si="82"/>
        <v>Special Order0</v>
      </c>
      <c r="AU1057" s="89" t="str">
        <f t="shared" si="83"/>
        <v>01-1900</v>
      </c>
      <c r="BA1057" s="92" t="str">
        <f t="shared" si="84"/>
        <v/>
      </c>
    </row>
    <row r="1058" spans="2:53">
      <c r="B1058" s="60">
        <f>[2]Trucks!A1055</f>
        <v>0</v>
      </c>
      <c r="C1058" s="11">
        <f>[2]Trucks!B1055</f>
        <v>0</v>
      </c>
      <c r="D1058" s="19" t="str">
        <f>IFERROR(VLOOKUP(C1058&amp;"",'[2]Retail Price List'!$A$3:$B$103,2,FALSE),"Special Order")</f>
        <v>Special Order</v>
      </c>
      <c r="E1058" s="18">
        <f>[2]Trucks!J1055</f>
        <v>0</v>
      </c>
      <c r="F1058" s="12">
        <f>[2]Trucks!E1055</f>
        <v>0</v>
      </c>
      <c r="G1058" s="56">
        <f>[2]Trucks!K1055</f>
        <v>0</v>
      </c>
      <c r="H1058" s="46">
        <f>[2]Trucks!I1055</f>
        <v>0</v>
      </c>
      <c r="I1058" s="83" t="str">
        <f t="shared" si="80"/>
        <v/>
      </c>
      <c r="J1058" s="272" t="str">
        <f>IFERROR(VLOOKUP((D1058&amp;C1058)&amp;"",'[2]Retail Price List'!$C$4:$F$102,3,FALSE),"")</f>
        <v/>
      </c>
      <c r="K1058" s="272">
        <f>IFERROR(IF(BA1058="WIP - 30 Days",VLOOKUP(D1058,[3]Standard!$B$9:$E$101,4,FALSE),IF(BA1058="31-120 Days",VLOOKUP(D1058,[3]Standard!$B$9:$F$101,5,FALSE),IF(BA1058="121-365 Days",VLOOKUP(D1058,[3]Standard!$B$9:$G$101,6,FALSE),VLOOKUP(D1058,[3]Standard!$B$9:$H$101,7,FALSE)))),0)</f>
        <v>0</v>
      </c>
      <c r="L1058" s="272">
        <f>IFERROR(IF(BA1058="WIP - 30 Days",VLOOKUP(D1058,[3]Standard!$B$9:$J$101,9,FALSE),IF(BA1058="31-120 Days",VLOOKUP(D1058,[3]Standard!$B$9:$K$100,10,FALSE),IF(BA1058="121-365 Days",VLOOKUP(D1058,[3]Standard!$B$9:$L$101,11,FALSE),VLOOKUP(D1058,[3]Standard!$B$9:$M$101,12,FALSE)))),0)</f>
        <v>0</v>
      </c>
      <c r="M1058" s="269" t="str">
        <f>IFERROR(VLOOKUP((D1058&amp;C1058)&amp;"",'[2]Retail Price List'!$C$4:$F$102,4,FALSE),"")</f>
        <v/>
      </c>
      <c r="N1058" s="269">
        <f>IFERROR(IF(BA1058="WIP - 30 Days",VLOOKUP(D1058,[3]Extended!$B$9:$E$101,4,FALSE),IF(BA1058="31-120 Days",VLOOKUP(D1058,[3]Extended!$B$9:$F$101,5,FALSE),IF(BA1058="121-365 Days",VLOOKUP(D1058,[3]Extended!$B$9:$G$101,6,FALSE),VLOOKUP(D1058,[3]Extended!$B$9:$H$101,7,FALSE)))),0)</f>
        <v>0</v>
      </c>
      <c r="O1058" s="269">
        <f>IFERROR(IF(BA1058="WIP - 30 Days",VLOOKUP(D1058,[3]Extended!$B$9:$J$101,9,FALSE),IF(BA1058="31-120 Days",VLOOKUP(D1058,[3]Extended!$B$9:$K$101,10,FALSE),IF(BA1058="121-365 Days",VLOOKUP(D1058,[3]Extended!$B$9:$L$101,11,FALSE),VLOOKUP(D1058,[3]Extended!$B$9:$M$101,12,FALSE)))),0)</f>
        <v>0</v>
      </c>
      <c r="P1058" s="116" t="e">
        <f t="shared" si="81"/>
        <v>#VALUE!</v>
      </c>
      <c r="Q1058" s="110" t="e">
        <f>O1058-#REF!</f>
        <v>#REF!</v>
      </c>
      <c r="W1058" s="311"/>
      <c r="X1058" s="311"/>
      <c r="Y1058" s="311"/>
      <c r="Z1058" s="311"/>
      <c r="AA1058" s="311"/>
      <c r="AB1058" s="311"/>
      <c r="AC1058" s="311"/>
      <c r="AT1058" s="88" t="str">
        <f t="shared" si="82"/>
        <v>Special Order0</v>
      </c>
      <c r="AU1058" s="89" t="str">
        <f t="shared" si="83"/>
        <v>01-1900</v>
      </c>
      <c r="BA1058" s="92" t="str">
        <f t="shared" si="84"/>
        <v/>
      </c>
    </row>
    <row r="1059" spans="2:53">
      <c r="B1059" s="60">
        <f>[2]Trucks!A1056</f>
        <v>0</v>
      </c>
      <c r="C1059" s="11">
        <f>[2]Trucks!B1056</f>
        <v>0</v>
      </c>
      <c r="D1059" s="19" t="str">
        <f>IFERROR(VLOOKUP(C1059&amp;"",'[2]Retail Price List'!$A$3:$B$103,2,FALSE),"Special Order")</f>
        <v>Special Order</v>
      </c>
      <c r="E1059" s="18">
        <f>[2]Trucks!J1056</f>
        <v>0</v>
      </c>
      <c r="F1059" s="12">
        <f>[2]Trucks!E1056</f>
        <v>0</v>
      </c>
      <c r="G1059" s="56">
        <f>[2]Trucks!K1056</f>
        <v>0</v>
      </c>
      <c r="H1059" s="46">
        <f>[2]Trucks!I1056</f>
        <v>0</v>
      </c>
      <c r="I1059" s="83" t="str">
        <f t="shared" si="80"/>
        <v/>
      </c>
      <c r="J1059" s="272" t="str">
        <f>IFERROR(VLOOKUP((D1059&amp;C1059)&amp;"",'[2]Retail Price List'!$C$4:$F$102,3,FALSE),"")</f>
        <v/>
      </c>
      <c r="K1059" s="272">
        <f>IFERROR(IF(BA1059="WIP - 30 Days",VLOOKUP(D1059,[3]Standard!$B$9:$E$101,4,FALSE),IF(BA1059="31-120 Days",VLOOKUP(D1059,[3]Standard!$B$9:$F$101,5,FALSE),IF(BA1059="121-365 Days",VLOOKUP(D1059,[3]Standard!$B$9:$G$101,6,FALSE),VLOOKUP(D1059,[3]Standard!$B$9:$H$101,7,FALSE)))),0)</f>
        <v>0</v>
      </c>
      <c r="L1059" s="272">
        <f>IFERROR(IF(BA1059="WIP - 30 Days",VLOOKUP(D1059,[3]Standard!$B$9:$J$101,9,FALSE),IF(BA1059="31-120 Days",VLOOKUP(D1059,[3]Standard!$B$9:$K$100,10,FALSE),IF(BA1059="121-365 Days",VLOOKUP(D1059,[3]Standard!$B$9:$L$101,11,FALSE),VLOOKUP(D1059,[3]Standard!$B$9:$M$101,12,FALSE)))),0)</f>
        <v>0</v>
      </c>
      <c r="M1059" s="269" t="str">
        <f>IFERROR(VLOOKUP((D1059&amp;C1059)&amp;"",'[2]Retail Price List'!$C$4:$F$102,4,FALSE),"")</f>
        <v/>
      </c>
      <c r="N1059" s="269">
        <f>IFERROR(IF(BA1059="WIP - 30 Days",VLOOKUP(D1059,[3]Extended!$B$9:$E$101,4,FALSE),IF(BA1059="31-120 Days",VLOOKUP(D1059,[3]Extended!$B$9:$F$101,5,FALSE),IF(BA1059="121-365 Days",VLOOKUP(D1059,[3]Extended!$B$9:$G$101,6,FALSE),VLOOKUP(D1059,[3]Extended!$B$9:$H$101,7,FALSE)))),0)</f>
        <v>0</v>
      </c>
      <c r="O1059" s="269">
        <f>IFERROR(IF(BA1059="WIP - 30 Days",VLOOKUP(D1059,[3]Extended!$B$9:$J$101,9,FALSE),IF(BA1059="31-120 Days",VLOOKUP(D1059,[3]Extended!$B$9:$K$101,10,FALSE),IF(BA1059="121-365 Days",VLOOKUP(D1059,[3]Extended!$B$9:$L$101,11,FALSE),VLOOKUP(D1059,[3]Extended!$B$9:$M$101,12,FALSE)))),0)</f>
        <v>0</v>
      </c>
      <c r="P1059" s="116" t="e">
        <f t="shared" si="81"/>
        <v>#VALUE!</v>
      </c>
      <c r="Q1059" s="110" t="e">
        <f>O1059-#REF!</f>
        <v>#REF!</v>
      </c>
      <c r="W1059" s="311"/>
      <c r="X1059" s="311"/>
      <c r="Y1059" s="311"/>
      <c r="Z1059" s="311"/>
      <c r="AA1059" s="311"/>
      <c r="AB1059" s="311"/>
      <c r="AC1059" s="311"/>
      <c r="AT1059" s="88" t="str">
        <f t="shared" si="82"/>
        <v>Special Order0</v>
      </c>
      <c r="AU1059" s="89" t="str">
        <f t="shared" si="83"/>
        <v>01-1900</v>
      </c>
      <c r="BA1059" s="92" t="str">
        <f t="shared" si="84"/>
        <v/>
      </c>
    </row>
    <row r="1060" spans="2:53">
      <c r="B1060" s="60">
        <f>[2]Trucks!A1057</f>
        <v>0</v>
      </c>
      <c r="C1060" s="11">
        <f>[2]Trucks!B1057</f>
        <v>0</v>
      </c>
      <c r="D1060" s="19" t="str">
        <f>IFERROR(VLOOKUP(C1060&amp;"",'[2]Retail Price List'!$A$3:$B$103,2,FALSE),"Special Order")</f>
        <v>Special Order</v>
      </c>
      <c r="E1060" s="18">
        <f>[2]Trucks!J1057</f>
        <v>0</v>
      </c>
      <c r="F1060" s="12">
        <f>[2]Trucks!E1057</f>
        <v>0</v>
      </c>
      <c r="G1060" s="56">
        <f>[2]Trucks!K1057</f>
        <v>0</v>
      </c>
      <c r="H1060" s="46">
        <f>[2]Trucks!I1057</f>
        <v>0</v>
      </c>
      <c r="I1060" s="83" t="str">
        <f t="shared" si="80"/>
        <v/>
      </c>
      <c r="J1060" s="272" t="str">
        <f>IFERROR(VLOOKUP((D1060&amp;C1060)&amp;"",'[2]Retail Price List'!$C$4:$F$102,3,FALSE),"")</f>
        <v/>
      </c>
      <c r="K1060" s="272">
        <f>IFERROR(IF(BA1060="WIP - 30 Days",VLOOKUP(D1060,[3]Standard!$B$9:$E$101,4,FALSE),IF(BA1060="31-120 Days",VLOOKUP(D1060,[3]Standard!$B$9:$F$101,5,FALSE),IF(BA1060="121-365 Days",VLOOKUP(D1060,[3]Standard!$B$9:$G$101,6,FALSE),VLOOKUP(D1060,[3]Standard!$B$9:$H$101,7,FALSE)))),0)</f>
        <v>0</v>
      </c>
      <c r="L1060" s="272">
        <f>IFERROR(IF(BA1060="WIP - 30 Days",VLOOKUP(D1060,[3]Standard!$B$9:$J$101,9,FALSE),IF(BA1060="31-120 Days",VLOOKUP(D1060,[3]Standard!$B$9:$K$100,10,FALSE),IF(BA1060="121-365 Days",VLOOKUP(D1060,[3]Standard!$B$9:$L$101,11,FALSE),VLOOKUP(D1060,[3]Standard!$B$9:$M$101,12,FALSE)))),0)</f>
        <v>0</v>
      </c>
      <c r="M1060" s="269" t="str">
        <f>IFERROR(VLOOKUP((D1060&amp;C1060)&amp;"",'[2]Retail Price List'!$C$4:$F$102,4,FALSE),"")</f>
        <v/>
      </c>
      <c r="N1060" s="269">
        <f>IFERROR(IF(BA1060="WIP - 30 Days",VLOOKUP(D1060,[3]Extended!$B$9:$E$101,4,FALSE),IF(BA1060="31-120 Days",VLOOKUP(D1060,[3]Extended!$B$9:$F$101,5,FALSE),IF(BA1060="121-365 Days",VLOOKUP(D1060,[3]Extended!$B$9:$G$101,6,FALSE),VLOOKUP(D1060,[3]Extended!$B$9:$H$101,7,FALSE)))),0)</f>
        <v>0</v>
      </c>
      <c r="O1060" s="269">
        <f>IFERROR(IF(BA1060="WIP - 30 Days",VLOOKUP(D1060,[3]Extended!$B$9:$J$101,9,FALSE),IF(BA1060="31-120 Days",VLOOKUP(D1060,[3]Extended!$B$9:$K$101,10,FALSE),IF(BA1060="121-365 Days",VLOOKUP(D1060,[3]Extended!$B$9:$L$101,11,FALSE),VLOOKUP(D1060,[3]Extended!$B$9:$M$101,12,FALSE)))),0)</f>
        <v>0</v>
      </c>
      <c r="P1060" s="116" t="e">
        <f t="shared" si="81"/>
        <v>#VALUE!</v>
      </c>
      <c r="Q1060" s="110" t="e">
        <f>O1060-#REF!</f>
        <v>#REF!</v>
      </c>
      <c r="W1060" s="311"/>
      <c r="X1060" s="311"/>
      <c r="Y1060" s="311"/>
      <c r="Z1060" s="311"/>
      <c r="AA1060" s="311"/>
      <c r="AB1060" s="311"/>
      <c r="AC1060" s="311"/>
      <c r="AT1060" s="88" t="str">
        <f t="shared" si="82"/>
        <v>Special Order0</v>
      </c>
      <c r="AU1060" s="89" t="str">
        <f t="shared" si="83"/>
        <v>01-1900</v>
      </c>
      <c r="BA1060" s="92" t="str">
        <f t="shared" si="84"/>
        <v/>
      </c>
    </row>
    <row r="1061" spans="2:53">
      <c r="B1061" s="60">
        <f>[2]Trucks!A1058</f>
        <v>0</v>
      </c>
      <c r="C1061" s="11">
        <f>[2]Trucks!B1058</f>
        <v>0</v>
      </c>
      <c r="D1061" s="19" t="str">
        <f>IFERROR(VLOOKUP(C1061&amp;"",'[2]Retail Price List'!$A$3:$B$103,2,FALSE),"Special Order")</f>
        <v>Special Order</v>
      </c>
      <c r="E1061" s="18">
        <f>[2]Trucks!J1058</f>
        <v>0</v>
      </c>
      <c r="F1061" s="12">
        <f>[2]Trucks!E1058</f>
        <v>0</v>
      </c>
      <c r="G1061" s="56">
        <f>[2]Trucks!K1058</f>
        <v>0</v>
      </c>
      <c r="H1061" s="46">
        <f>[2]Trucks!I1058</f>
        <v>0</v>
      </c>
      <c r="I1061" s="83" t="str">
        <f t="shared" si="80"/>
        <v/>
      </c>
      <c r="J1061" s="272" t="str">
        <f>IFERROR(VLOOKUP((D1061&amp;C1061)&amp;"",'[2]Retail Price List'!$C$4:$F$102,3,FALSE),"")</f>
        <v/>
      </c>
      <c r="K1061" s="272">
        <f>IFERROR(IF(BA1061="WIP - 30 Days",VLOOKUP(D1061,[3]Standard!$B$9:$E$101,4,FALSE),IF(BA1061="31-120 Days",VLOOKUP(D1061,[3]Standard!$B$9:$F$101,5,FALSE),IF(BA1061="121-365 Days",VLOOKUP(D1061,[3]Standard!$B$9:$G$101,6,FALSE),VLOOKUP(D1061,[3]Standard!$B$9:$H$101,7,FALSE)))),0)</f>
        <v>0</v>
      </c>
      <c r="L1061" s="272">
        <f>IFERROR(IF(BA1061="WIP - 30 Days",VLOOKUP(D1061,[3]Standard!$B$9:$J$101,9,FALSE),IF(BA1061="31-120 Days",VLOOKUP(D1061,[3]Standard!$B$9:$K$100,10,FALSE),IF(BA1061="121-365 Days",VLOOKUP(D1061,[3]Standard!$B$9:$L$101,11,FALSE),VLOOKUP(D1061,[3]Standard!$B$9:$M$101,12,FALSE)))),0)</f>
        <v>0</v>
      </c>
      <c r="M1061" s="269" t="str">
        <f>IFERROR(VLOOKUP((D1061&amp;C1061)&amp;"",'[2]Retail Price List'!$C$4:$F$102,4,FALSE),"")</f>
        <v/>
      </c>
      <c r="N1061" s="269">
        <f>IFERROR(IF(BA1061="WIP - 30 Days",VLOOKUP(D1061,[3]Extended!$B$9:$E$101,4,FALSE),IF(BA1061="31-120 Days",VLOOKUP(D1061,[3]Extended!$B$9:$F$101,5,FALSE),IF(BA1061="121-365 Days",VLOOKUP(D1061,[3]Extended!$B$9:$G$101,6,FALSE),VLOOKUP(D1061,[3]Extended!$B$9:$H$101,7,FALSE)))),0)</f>
        <v>0</v>
      </c>
      <c r="O1061" s="269">
        <f>IFERROR(IF(BA1061="WIP - 30 Days",VLOOKUP(D1061,[3]Extended!$B$9:$J$101,9,FALSE),IF(BA1061="31-120 Days",VLOOKUP(D1061,[3]Extended!$B$9:$K$101,10,FALSE),IF(BA1061="121-365 Days",VLOOKUP(D1061,[3]Extended!$B$9:$L$101,11,FALSE),VLOOKUP(D1061,[3]Extended!$B$9:$M$101,12,FALSE)))),0)</f>
        <v>0</v>
      </c>
      <c r="P1061" s="116" t="e">
        <f t="shared" si="81"/>
        <v>#VALUE!</v>
      </c>
      <c r="Q1061" s="110" t="e">
        <f>O1061-#REF!</f>
        <v>#REF!</v>
      </c>
      <c r="W1061" s="311"/>
      <c r="X1061" s="311"/>
      <c r="Y1061" s="311"/>
      <c r="Z1061" s="311"/>
      <c r="AA1061" s="311"/>
      <c r="AB1061" s="311"/>
      <c r="AC1061" s="311"/>
      <c r="AT1061" s="88" t="str">
        <f t="shared" si="82"/>
        <v>Special Order0</v>
      </c>
      <c r="AU1061" s="89" t="str">
        <f t="shared" si="83"/>
        <v>01-1900</v>
      </c>
      <c r="BA1061" s="92" t="str">
        <f t="shared" si="84"/>
        <v/>
      </c>
    </row>
    <row r="1062" spans="2:53">
      <c r="B1062" s="60">
        <f>[2]Trucks!A1059</f>
        <v>0</v>
      </c>
      <c r="C1062" s="11">
        <f>[2]Trucks!B1059</f>
        <v>0</v>
      </c>
      <c r="D1062" s="19" t="str">
        <f>IFERROR(VLOOKUP(C1062&amp;"",'[2]Retail Price List'!$A$3:$B$103,2,FALSE),"Special Order")</f>
        <v>Special Order</v>
      </c>
      <c r="E1062" s="18">
        <f>[2]Trucks!J1059</f>
        <v>0</v>
      </c>
      <c r="F1062" s="12">
        <f>[2]Trucks!E1059</f>
        <v>0</v>
      </c>
      <c r="G1062" s="56">
        <f>[2]Trucks!K1059</f>
        <v>0</v>
      </c>
      <c r="H1062" s="46">
        <f>[2]Trucks!I1059</f>
        <v>0</v>
      </c>
      <c r="I1062" s="83" t="str">
        <f t="shared" si="80"/>
        <v/>
      </c>
      <c r="J1062" s="272" t="str">
        <f>IFERROR(VLOOKUP((D1062&amp;C1062)&amp;"",'[2]Retail Price List'!$C$4:$F$102,3,FALSE),"")</f>
        <v/>
      </c>
      <c r="K1062" s="272">
        <f>IFERROR(IF(BA1062="WIP - 30 Days",VLOOKUP(D1062,[3]Standard!$B$9:$E$101,4,FALSE),IF(BA1062="31-120 Days",VLOOKUP(D1062,[3]Standard!$B$9:$F$101,5,FALSE),IF(BA1062="121-365 Days",VLOOKUP(D1062,[3]Standard!$B$9:$G$101,6,FALSE),VLOOKUP(D1062,[3]Standard!$B$9:$H$101,7,FALSE)))),0)</f>
        <v>0</v>
      </c>
      <c r="L1062" s="272">
        <f>IFERROR(IF(BA1062="WIP - 30 Days",VLOOKUP(D1062,[3]Standard!$B$9:$J$101,9,FALSE),IF(BA1062="31-120 Days",VLOOKUP(D1062,[3]Standard!$B$9:$K$100,10,FALSE),IF(BA1062="121-365 Days",VLOOKUP(D1062,[3]Standard!$B$9:$L$101,11,FALSE),VLOOKUP(D1062,[3]Standard!$B$9:$M$101,12,FALSE)))),0)</f>
        <v>0</v>
      </c>
      <c r="M1062" s="269" t="str">
        <f>IFERROR(VLOOKUP((D1062&amp;C1062)&amp;"",'[2]Retail Price List'!$C$4:$F$102,4,FALSE),"")</f>
        <v/>
      </c>
      <c r="N1062" s="269">
        <f>IFERROR(IF(BA1062="WIP - 30 Days",VLOOKUP(D1062,[3]Extended!$B$9:$E$101,4,FALSE),IF(BA1062="31-120 Days",VLOOKUP(D1062,[3]Extended!$B$9:$F$101,5,FALSE),IF(BA1062="121-365 Days",VLOOKUP(D1062,[3]Extended!$B$9:$G$101,6,FALSE),VLOOKUP(D1062,[3]Extended!$B$9:$H$101,7,FALSE)))),0)</f>
        <v>0</v>
      </c>
      <c r="O1062" s="269">
        <f>IFERROR(IF(BA1062="WIP - 30 Days",VLOOKUP(D1062,[3]Extended!$B$9:$J$101,9,FALSE),IF(BA1062="31-120 Days",VLOOKUP(D1062,[3]Extended!$B$9:$K$101,10,FALSE),IF(BA1062="121-365 Days",VLOOKUP(D1062,[3]Extended!$B$9:$L$101,11,FALSE),VLOOKUP(D1062,[3]Extended!$B$9:$M$101,12,FALSE)))),0)</f>
        <v>0</v>
      </c>
      <c r="P1062" s="116" t="e">
        <f t="shared" si="81"/>
        <v>#VALUE!</v>
      </c>
      <c r="Q1062" s="110" t="e">
        <f>O1062-#REF!</f>
        <v>#REF!</v>
      </c>
      <c r="W1062" s="311"/>
      <c r="X1062" s="311"/>
      <c r="Y1062" s="311"/>
      <c r="Z1062" s="311"/>
      <c r="AA1062" s="311"/>
      <c r="AB1062" s="311"/>
      <c r="AC1062" s="311"/>
      <c r="AT1062" s="88" t="str">
        <f t="shared" si="82"/>
        <v>Special Order0</v>
      </c>
      <c r="AU1062" s="89" t="str">
        <f t="shared" si="83"/>
        <v>01-1900</v>
      </c>
      <c r="BA1062" s="92" t="str">
        <f t="shared" si="84"/>
        <v/>
      </c>
    </row>
    <row r="1063" spans="2:53">
      <c r="B1063" s="60">
        <f>[2]Trucks!A1060</f>
        <v>0</v>
      </c>
      <c r="C1063" s="11">
        <f>[2]Trucks!B1060</f>
        <v>0</v>
      </c>
      <c r="D1063" s="19" t="str">
        <f>IFERROR(VLOOKUP(C1063&amp;"",'[2]Retail Price List'!$A$3:$B$103,2,FALSE),"Special Order")</f>
        <v>Special Order</v>
      </c>
      <c r="E1063" s="18">
        <f>[2]Trucks!J1060</f>
        <v>0</v>
      </c>
      <c r="F1063" s="12">
        <f>[2]Trucks!E1060</f>
        <v>0</v>
      </c>
      <c r="G1063" s="56">
        <f>[2]Trucks!K1060</f>
        <v>0</v>
      </c>
      <c r="H1063" s="46">
        <f>[2]Trucks!I1060</f>
        <v>0</v>
      </c>
      <c r="I1063" s="83" t="str">
        <f t="shared" si="80"/>
        <v/>
      </c>
      <c r="J1063" s="272" t="str">
        <f>IFERROR(VLOOKUP((D1063&amp;C1063)&amp;"",'[2]Retail Price List'!$C$4:$F$102,3,FALSE),"")</f>
        <v/>
      </c>
      <c r="K1063" s="272">
        <f>IFERROR(IF(BA1063="WIP - 30 Days",VLOOKUP(D1063,[3]Standard!$B$9:$E$101,4,FALSE),IF(BA1063="31-120 Days",VLOOKUP(D1063,[3]Standard!$B$9:$F$101,5,FALSE),IF(BA1063="121-365 Days",VLOOKUP(D1063,[3]Standard!$B$9:$G$101,6,FALSE),VLOOKUP(D1063,[3]Standard!$B$9:$H$101,7,FALSE)))),0)</f>
        <v>0</v>
      </c>
      <c r="L1063" s="272">
        <f>IFERROR(IF(BA1063="WIP - 30 Days",VLOOKUP(D1063,[3]Standard!$B$9:$J$101,9,FALSE),IF(BA1063="31-120 Days",VLOOKUP(D1063,[3]Standard!$B$9:$K$100,10,FALSE),IF(BA1063="121-365 Days",VLOOKUP(D1063,[3]Standard!$B$9:$L$101,11,FALSE),VLOOKUP(D1063,[3]Standard!$B$9:$M$101,12,FALSE)))),0)</f>
        <v>0</v>
      </c>
      <c r="M1063" s="269" t="str">
        <f>IFERROR(VLOOKUP((D1063&amp;C1063)&amp;"",'[2]Retail Price List'!$C$4:$F$102,4,FALSE),"")</f>
        <v/>
      </c>
      <c r="N1063" s="269">
        <f>IFERROR(IF(BA1063="WIP - 30 Days",VLOOKUP(D1063,[3]Extended!$B$9:$E$101,4,FALSE),IF(BA1063="31-120 Days",VLOOKUP(D1063,[3]Extended!$B$9:$F$101,5,FALSE),IF(BA1063="121-365 Days",VLOOKUP(D1063,[3]Extended!$B$9:$G$101,6,FALSE),VLOOKUP(D1063,[3]Extended!$B$9:$H$101,7,FALSE)))),0)</f>
        <v>0</v>
      </c>
      <c r="O1063" s="269">
        <f>IFERROR(IF(BA1063="WIP - 30 Days",VLOOKUP(D1063,[3]Extended!$B$9:$J$101,9,FALSE),IF(BA1063="31-120 Days",VLOOKUP(D1063,[3]Extended!$B$9:$K$101,10,FALSE),IF(BA1063="121-365 Days",VLOOKUP(D1063,[3]Extended!$B$9:$L$101,11,FALSE),VLOOKUP(D1063,[3]Extended!$B$9:$M$101,12,FALSE)))),0)</f>
        <v>0</v>
      </c>
      <c r="P1063" s="116" t="e">
        <f t="shared" si="81"/>
        <v>#VALUE!</v>
      </c>
      <c r="Q1063" s="110" t="e">
        <f>O1063-#REF!</f>
        <v>#REF!</v>
      </c>
      <c r="W1063" s="311"/>
      <c r="X1063" s="311"/>
      <c r="Y1063" s="311"/>
      <c r="Z1063" s="311"/>
      <c r="AA1063" s="311"/>
      <c r="AB1063" s="311"/>
      <c r="AC1063" s="311"/>
      <c r="AT1063" s="88" t="str">
        <f t="shared" si="82"/>
        <v>Special Order0</v>
      </c>
      <c r="AU1063" s="89" t="str">
        <f t="shared" si="83"/>
        <v>01-1900</v>
      </c>
      <c r="BA1063" s="92" t="str">
        <f t="shared" si="84"/>
        <v/>
      </c>
    </row>
    <row r="1064" spans="2:53">
      <c r="B1064" s="60">
        <f>[2]Trucks!A1061</f>
        <v>0</v>
      </c>
      <c r="C1064" s="11">
        <f>[2]Trucks!B1061</f>
        <v>0</v>
      </c>
      <c r="D1064" s="19" t="str">
        <f>IFERROR(VLOOKUP(C1064&amp;"",'[2]Retail Price List'!$A$3:$B$103,2,FALSE),"Special Order")</f>
        <v>Special Order</v>
      </c>
      <c r="E1064" s="18">
        <f>[2]Trucks!J1061</f>
        <v>0</v>
      </c>
      <c r="F1064" s="12">
        <f>[2]Trucks!E1061</f>
        <v>0</v>
      </c>
      <c r="G1064" s="56">
        <f>[2]Trucks!K1061</f>
        <v>0</v>
      </c>
      <c r="H1064" s="46">
        <f>[2]Trucks!I1061</f>
        <v>0</v>
      </c>
      <c r="I1064" s="83" t="str">
        <f t="shared" si="80"/>
        <v/>
      </c>
      <c r="J1064" s="272" t="str">
        <f>IFERROR(VLOOKUP((D1064&amp;C1064)&amp;"",'[2]Retail Price List'!$C$4:$F$102,3,FALSE),"")</f>
        <v/>
      </c>
      <c r="K1064" s="272">
        <f>IFERROR(IF(BA1064="WIP - 30 Days",VLOOKUP(D1064,[3]Standard!$B$9:$E$101,4,FALSE),IF(BA1064="31-120 Days",VLOOKUP(D1064,[3]Standard!$B$9:$F$101,5,FALSE),IF(BA1064="121-365 Days",VLOOKUP(D1064,[3]Standard!$B$9:$G$101,6,FALSE),VLOOKUP(D1064,[3]Standard!$B$9:$H$101,7,FALSE)))),0)</f>
        <v>0</v>
      </c>
      <c r="L1064" s="272">
        <f>IFERROR(IF(BA1064="WIP - 30 Days",VLOOKUP(D1064,[3]Standard!$B$9:$J$101,9,FALSE),IF(BA1064="31-120 Days",VLOOKUP(D1064,[3]Standard!$B$9:$K$100,10,FALSE),IF(BA1064="121-365 Days",VLOOKUP(D1064,[3]Standard!$B$9:$L$101,11,FALSE),VLOOKUP(D1064,[3]Standard!$B$9:$M$101,12,FALSE)))),0)</f>
        <v>0</v>
      </c>
      <c r="M1064" s="269" t="str">
        <f>IFERROR(VLOOKUP((D1064&amp;C1064)&amp;"",'[2]Retail Price List'!$C$4:$F$102,4,FALSE),"")</f>
        <v/>
      </c>
      <c r="N1064" s="269">
        <f>IFERROR(IF(BA1064="WIP - 30 Days",VLOOKUP(D1064,[3]Extended!$B$9:$E$101,4,FALSE),IF(BA1064="31-120 Days",VLOOKUP(D1064,[3]Extended!$B$9:$F$101,5,FALSE),IF(BA1064="121-365 Days",VLOOKUP(D1064,[3]Extended!$B$9:$G$101,6,FALSE),VLOOKUP(D1064,[3]Extended!$B$9:$H$101,7,FALSE)))),0)</f>
        <v>0</v>
      </c>
      <c r="O1064" s="269">
        <f>IFERROR(IF(BA1064="WIP - 30 Days",VLOOKUP(D1064,[3]Extended!$B$9:$J$101,9,FALSE),IF(BA1064="31-120 Days",VLOOKUP(D1064,[3]Extended!$B$9:$K$101,10,FALSE),IF(BA1064="121-365 Days",VLOOKUP(D1064,[3]Extended!$B$9:$L$101,11,FALSE),VLOOKUP(D1064,[3]Extended!$B$9:$M$101,12,FALSE)))),0)</f>
        <v>0</v>
      </c>
      <c r="P1064" s="116" t="e">
        <f t="shared" si="81"/>
        <v>#VALUE!</v>
      </c>
      <c r="Q1064" s="110" t="e">
        <f>O1064-#REF!</f>
        <v>#REF!</v>
      </c>
      <c r="W1064" s="311"/>
      <c r="X1064" s="311"/>
      <c r="Y1064" s="311"/>
      <c r="Z1064" s="311"/>
      <c r="AA1064" s="311"/>
      <c r="AB1064" s="311"/>
      <c r="AC1064" s="311"/>
      <c r="AT1064" s="88" t="str">
        <f t="shared" si="82"/>
        <v>Special Order0</v>
      </c>
      <c r="AU1064" s="89" t="str">
        <f t="shared" si="83"/>
        <v>01-1900</v>
      </c>
      <c r="BA1064" s="92" t="str">
        <f t="shared" si="84"/>
        <v/>
      </c>
    </row>
    <row r="1065" spans="2:53">
      <c r="B1065" s="60">
        <f>[2]Trucks!A1062</f>
        <v>0</v>
      </c>
      <c r="C1065" s="11">
        <f>[2]Trucks!B1062</f>
        <v>0</v>
      </c>
      <c r="D1065" s="19" t="str">
        <f>IFERROR(VLOOKUP(C1065&amp;"",'[2]Retail Price List'!$A$3:$B$103,2,FALSE),"Special Order")</f>
        <v>Special Order</v>
      </c>
      <c r="E1065" s="18">
        <f>[2]Trucks!J1062</f>
        <v>0</v>
      </c>
      <c r="F1065" s="12">
        <f>[2]Trucks!E1062</f>
        <v>0</v>
      </c>
      <c r="G1065" s="56">
        <f>[2]Trucks!K1062</f>
        <v>0</v>
      </c>
      <c r="H1065" s="46">
        <f>[2]Trucks!I1062</f>
        <v>0</v>
      </c>
      <c r="I1065" s="83" t="str">
        <f t="shared" si="80"/>
        <v/>
      </c>
      <c r="J1065" s="272" t="str">
        <f>IFERROR(VLOOKUP((D1065&amp;C1065)&amp;"",'[2]Retail Price List'!$C$4:$F$102,3,FALSE),"")</f>
        <v/>
      </c>
      <c r="K1065" s="272">
        <f>IFERROR(IF(BA1065="WIP - 30 Days",VLOOKUP(D1065,[3]Standard!$B$9:$E$101,4,FALSE),IF(BA1065="31-120 Days",VLOOKUP(D1065,[3]Standard!$B$9:$F$101,5,FALSE),IF(BA1065="121-365 Days",VLOOKUP(D1065,[3]Standard!$B$9:$G$101,6,FALSE),VLOOKUP(D1065,[3]Standard!$B$9:$H$101,7,FALSE)))),0)</f>
        <v>0</v>
      </c>
      <c r="L1065" s="272">
        <f>IFERROR(IF(BA1065="WIP - 30 Days",VLOOKUP(D1065,[3]Standard!$B$9:$J$101,9,FALSE),IF(BA1065="31-120 Days",VLOOKUP(D1065,[3]Standard!$B$9:$K$100,10,FALSE),IF(BA1065="121-365 Days",VLOOKUP(D1065,[3]Standard!$B$9:$L$101,11,FALSE),VLOOKUP(D1065,[3]Standard!$B$9:$M$101,12,FALSE)))),0)</f>
        <v>0</v>
      </c>
      <c r="M1065" s="269" t="str">
        <f>IFERROR(VLOOKUP((D1065&amp;C1065)&amp;"",'[2]Retail Price List'!$C$4:$F$102,4,FALSE),"")</f>
        <v/>
      </c>
      <c r="N1065" s="269">
        <f>IFERROR(IF(BA1065="WIP - 30 Days",VLOOKUP(D1065,[3]Extended!$B$9:$E$101,4,FALSE),IF(BA1065="31-120 Days",VLOOKUP(D1065,[3]Extended!$B$9:$F$101,5,FALSE),IF(BA1065="121-365 Days",VLOOKUP(D1065,[3]Extended!$B$9:$G$101,6,FALSE),VLOOKUP(D1065,[3]Extended!$B$9:$H$101,7,FALSE)))),0)</f>
        <v>0</v>
      </c>
      <c r="O1065" s="269">
        <f>IFERROR(IF(BA1065="WIP - 30 Days",VLOOKUP(D1065,[3]Extended!$B$9:$J$101,9,FALSE),IF(BA1065="31-120 Days",VLOOKUP(D1065,[3]Extended!$B$9:$K$101,10,FALSE),IF(BA1065="121-365 Days",VLOOKUP(D1065,[3]Extended!$B$9:$L$101,11,FALSE),VLOOKUP(D1065,[3]Extended!$B$9:$M$101,12,FALSE)))),0)</f>
        <v>0</v>
      </c>
      <c r="P1065" s="116" t="e">
        <f t="shared" si="81"/>
        <v>#VALUE!</v>
      </c>
      <c r="Q1065" s="110" t="e">
        <f>O1065-#REF!</f>
        <v>#REF!</v>
      </c>
      <c r="W1065" s="311"/>
      <c r="X1065" s="311"/>
      <c r="Y1065" s="311"/>
      <c r="Z1065" s="311"/>
      <c r="AA1065" s="311"/>
      <c r="AB1065" s="311"/>
      <c r="AC1065" s="311"/>
      <c r="AT1065" s="88" t="str">
        <f t="shared" si="82"/>
        <v>Special Order0</v>
      </c>
      <c r="AU1065" s="89" t="str">
        <f t="shared" si="83"/>
        <v>01-1900</v>
      </c>
      <c r="BA1065" s="92" t="str">
        <f t="shared" si="84"/>
        <v/>
      </c>
    </row>
    <row r="1066" spans="2:53">
      <c r="B1066" s="60">
        <f>[2]Trucks!A1063</f>
        <v>0</v>
      </c>
      <c r="C1066" s="11">
        <f>[2]Trucks!B1063</f>
        <v>0</v>
      </c>
      <c r="D1066" s="19" t="str">
        <f>IFERROR(VLOOKUP(C1066&amp;"",'[2]Retail Price List'!$A$3:$B$103,2,FALSE),"Special Order")</f>
        <v>Special Order</v>
      </c>
      <c r="E1066" s="18">
        <f>[2]Trucks!J1063</f>
        <v>0</v>
      </c>
      <c r="F1066" s="12">
        <f>[2]Trucks!E1063</f>
        <v>0</v>
      </c>
      <c r="G1066" s="56">
        <f>[2]Trucks!K1063</f>
        <v>0</v>
      </c>
      <c r="H1066" s="46">
        <f>[2]Trucks!I1063</f>
        <v>0</v>
      </c>
      <c r="I1066" s="83" t="str">
        <f t="shared" si="80"/>
        <v/>
      </c>
      <c r="J1066" s="272" t="str">
        <f>IFERROR(VLOOKUP((D1066&amp;C1066)&amp;"",'[2]Retail Price List'!$C$4:$F$102,3,FALSE),"")</f>
        <v/>
      </c>
      <c r="K1066" s="272">
        <f>IFERROR(IF(BA1066="WIP - 30 Days",VLOOKUP(D1066,[3]Standard!$B$9:$E$101,4,FALSE),IF(BA1066="31-120 Days",VLOOKUP(D1066,[3]Standard!$B$9:$F$101,5,FALSE),IF(BA1066="121-365 Days",VLOOKUP(D1066,[3]Standard!$B$9:$G$101,6,FALSE),VLOOKUP(D1066,[3]Standard!$B$9:$H$101,7,FALSE)))),0)</f>
        <v>0</v>
      </c>
      <c r="L1066" s="272">
        <f>IFERROR(IF(BA1066="WIP - 30 Days",VLOOKUP(D1066,[3]Standard!$B$9:$J$101,9,FALSE),IF(BA1066="31-120 Days",VLOOKUP(D1066,[3]Standard!$B$9:$K$100,10,FALSE),IF(BA1066="121-365 Days",VLOOKUP(D1066,[3]Standard!$B$9:$L$101,11,FALSE),VLOOKUP(D1066,[3]Standard!$B$9:$M$101,12,FALSE)))),0)</f>
        <v>0</v>
      </c>
      <c r="M1066" s="269" t="str">
        <f>IFERROR(VLOOKUP((D1066&amp;C1066)&amp;"",'[2]Retail Price List'!$C$4:$F$102,4,FALSE),"")</f>
        <v/>
      </c>
      <c r="N1066" s="269">
        <f>IFERROR(IF(BA1066="WIP - 30 Days",VLOOKUP(D1066,[3]Extended!$B$9:$E$101,4,FALSE),IF(BA1066="31-120 Days",VLOOKUP(D1066,[3]Extended!$B$9:$F$101,5,FALSE),IF(BA1066="121-365 Days",VLOOKUP(D1066,[3]Extended!$B$9:$G$101,6,FALSE),VLOOKUP(D1066,[3]Extended!$B$9:$H$101,7,FALSE)))),0)</f>
        <v>0</v>
      </c>
      <c r="O1066" s="269">
        <f>IFERROR(IF(BA1066="WIP - 30 Days",VLOOKUP(D1066,[3]Extended!$B$9:$J$101,9,FALSE),IF(BA1066="31-120 Days",VLOOKUP(D1066,[3]Extended!$B$9:$K$101,10,FALSE),IF(BA1066="121-365 Days",VLOOKUP(D1066,[3]Extended!$B$9:$L$101,11,FALSE),VLOOKUP(D1066,[3]Extended!$B$9:$M$101,12,FALSE)))),0)</f>
        <v>0</v>
      </c>
      <c r="P1066" s="116" t="e">
        <f t="shared" si="81"/>
        <v>#VALUE!</v>
      </c>
      <c r="Q1066" s="110" t="e">
        <f>O1066-#REF!</f>
        <v>#REF!</v>
      </c>
      <c r="W1066" s="311"/>
      <c r="X1066" s="311"/>
      <c r="Y1066" s="311"/>
      <c r="Z1066" s="311"/>
      <c r="AA1066" s="311"/>
      <c r="AB1066" s="311"/>
      <c r="AC1066" s="311"/>
      <c r="AT1066" s="88" t="str">
        <f t="shared" si="82"/>
        <v>Special Order0</v>
      </c>
      <c r="AU1066" s="89" t="str">
        <f t="shared" si="83"/>
        <v>01-1900</v>
      </c>
      <c r="BA1066" s="92" t="str">
        <f t="shared" si="84"/>
        <v/>
      </c>
    </row>
    <row r="1067" spans="2:53">
      <c r="B1067" s="60">
        <f>[2]Trucks!A1064</f>
        <v>0</v>
      </c>
      <c r="C1067" s="11">
        <f>[2]Trucks!B1064</f>
        <v>0</v>
      </c>
      <c r="D1067" s="19" t="str">
        <f>IFERROR(VLOOKUP(C1067&amp;"",'[2]Retail Price List'!$A$3:$B$103,2,FALSE),"Special Order")</f>
        <v>Special Order</v>
      </c>
      <c r="E1067" s="18">
        <f>[2]Trucks!J1064</f>
        <v>0</v>
      </c>
      <c r="F1067" s="12">
        <f>[2]Trucks!E1064</f>
        <v>0</v>
      </c>
      <c r="G1067" s="56">
        <f>[2]Trucks!K1064</f>
        <v>0</v>
      </c>
      <c r="H1067" s="46">
        <f>[2]Trucks!I1064</f>
        <v>0</v>
      </c>
      <c r="I1067" s="83" t="str">
        <f t="shared" si="80"/>
        <v/>
      </c>
      <c r="J1067" s="272" t="str">
        <f>IFERROR(VLOOKUP((D1067&amp;C1067)&amp;"",'[2]Retail Price List'!$C$4:$F$102,3,FALSE),"")</f>
        <v/>
      </c>
      <c r="K1067" s="272">
        <f>IFERROR(IF(BA1067="WIP - 30 Days",VLOOKUP(D1067,[3]Standard!$B$9:$E$101,4,FALSE),IF(BA1067="31-120 Days",VLOOKUP(D1067,[3]Standard!$B$9:$F$101,5,FALSE),IF(BA1067="121-365 Days",VLOOKUP(D1067,[3]Standard!$B$9:$G$101,6,FALSE),VLOOKUP(D1067,[3]Standard!$B$9:$H$101,7,FALSE)))),0)</f>
        <v>0</v>
      </c>
      <c r="L1067" s="272">
        <f>IFERROR(IF(BA1067="WIP - 30 Days",VLOOKUP(D1067,[3]Standard!$B$9:$J$101,9,FALSE),IF(BA1067="31-120 Days",VLOOKUP(D1067,[3]Standard!$B$9:$K$100,10,FALSE),IF(BA1067="121-365 Days",VLOOKUP(D1067,[3]Standard!$B$9:$L$101,11,FALSE),VLOOKUP(D1067,[3]Standard!$B$9:$M$101,12,FALSE)))),0)</f>
        <v>0</v>
      </c>
      <c r="M1067" s="269" t="str">
        <f>IFERROR(VLOOKUP((D1067&amp;C1067)&amp;"",'[2]Retail Price List'!$C$4:$F$102,4,FALSE),"")</f>
        <v/>
      </c>
      <c r="N1067" s="269">
        <f>IFERROR(IF(BA1067="WIP - 30 Days",VLOOKUP(D1067,[3]Extended!$B$9:$E$101,4,FALSE),IF(BA1067="31-120 Days",VLOOKUP(D1067,[3]Extended!$B$9:$F$101,5,FALSE),IF(BA1067="121-365 Days",VLOOKUP(D1067,[3]Extended!$B$9:$G$101,6,FALSE),VLOOKUP(D1067,[3]Extended!$B$9:$H$101,7,FALSE)))),0)</f>
        <v>0</v>
      </c>
      <c r="O1067" s="269">
        <f>IFERROR(IF(BA1067="WIP - 30 Days",VLOOKUP(D1067,[3]Extended!$B$9:$J$101,9,FALSE),IF(BA1067="31-120 Days",VLOOKUP(D1067,[3]Extended!$B$9:$K$101,10,FALSE),IF(BA1067="121-365 Days",VLOOKUP(D1067,[3]Extended!$B$9:$L$101,11,FALSE),VLOOKUP(D1067,[3]Extended!$B$9:$M$101,12,FALSE)))),0)</f>
        <v>0</v>
      </c>
      <c r="P1067" s="116" t="e">
        <f t="shared" si="81"/>
        <v>#VALUE!</v>
      </c>
      <c r="Q1067" s="110" t="e">
        <f>O1067-#REF!</f>
        <v>#REF!</v>
      </c>
      <c r="W1067" s="311"/>
      <c r="X1067" s="311"/>
      <c r="Y1067" s="311"/>
      <c r="Z1067" s="311"/>
      <c r="AA1067" s="311"/>
      <c r="AB1067" s="311"/>
      <c r="AC1067" s="311"/>
      <c r="AT1067" s="88" t="str">
        <f t="shared" si="82"/>
        <v>Special Order0</v>
      </c>
      <c r="AU1067" s="89" t="str">
        <f t="shared" si="83"/>
        <v>01-1900</v>
      </c>
      <c r="BA1067" s="92" t="str">
        <f t="shared" si="84"/>
        <v/>
      </c>
    </row>
    <row r="1068" spans="2:53">
      <c r="B1068" s="60">
        <f>[2]Trucks!A1065</f>
        <v>0</v>
      </c>
      <c r="C1068" s="11">
        <f>[2]Trucks!B1065</f>
        <v>0</v>
      </c>
      <c r="D1068" s="19" t="str">
        <f>IFERROR(VLOOKUP(C1068&amp;"",'[2]Retail Price List'!$A$3:$B$103,2,FALSE),"Special Order")</f>
        <v>Special Order</v>
      </c>
      <c r="E1068" s="18">
        <f>[2]Trucks!J1065</f>
        <v>0</v>
      </c>
      <c r="F1068" s="12">
        <f>[2]Trucks!E1065</f>
        <v>0</v>
      </c>
      <c r="G1068" s="56">
        <f>[2]Trucks!K1065</f>
        <v>0</v>
      </c>
      <c r="H1068" s="46">
        <f>[2]Trucks!I1065</f>
        <v>0</v>
      </c>
      <c r="I1068" s="83" t="str">
        <f t="shared" si="80"/>
        <v/>
      </c>
      <c r="J1068" s="272" t="str">
        <f>IFERROR(VLOOKUP((D1068&amp;C1068)&amp;"",'[2]Retail Price List'!$C$4:$F$102,3,FALSE),"")</f>
        <v/>
      </c>
      <c r="K1068" s="272">
        <f>IFERROR(IF(BA1068="WIP - 30 Days",VLOOKUP(D1068,[3]Standard!$B$9:$E$101,4,FALSE),IF(BA1068="31-120 Days",VLOOKUP(D1068,[3]Standard!$B$9:$F$101,5,FALSE),IF(BA1068="121-365 Days",VLOOKUP(D1068,[3]Standard!$B$9:$G$101,6,FALSE),VLOOKUP(D1068,[3]Standard!$B$9:$H$101,7,FALSE)))),0)</f>
        <v>0</v>
      </c>
      <c r="L1068" s="272">
        <f>IFERROR(IF(BA1068="WIP - 30 Days",VLOOKUP(D1068,[3]Standard!$B$9:$J$101,9,FALSE),IF(BA1068="31-120 Days",VLOOKUP(D1068,[3]Standard!$B$9:$K$100,10,FALSE),IF(BA1068="121-365 Days",VLOOKUP(D1068,[3]Standard!$B$9:$L$101,11,FALSE),VLOOKUP(D1068,[3]Standard!$B$9:$M$101,12,FALSE)))),0)</f>
        <v>0</v>
      </c>
      <c r="M1068" s="269" t="str">
        <f>IFERROR(VLOOKUP((D1068&amp;C1068)&amp;"",'[2]Retail Price List'!$C$4:$F$102,4,FALSE),"")</f>
        <v/>
      </c>
      <c r="N1068" s="269">
        <f>IFERROR(IF(BA1068="WIP - 30 Days",VLOOKUP(D1068,[3]Extended!$B$9:$E$101,4,FALSE),IF(BA1068="31-120 Days",VLOOKUP(D1068,[3]Extended!$B$9:$F$101,5,FALSE),IF(BA1068="121-365 Days",VLOOKUP(D1068,[3]Extended!$B$9:$G$101,6,FALSE),VLOOKUP(D1068,[3]Extended!$B$9:$H$101,7,FALSE)))),0)</f>
        <v>0</v>
      </c>
      <c r="O1068" s="269">
        <f>IFERROR(IF(BA1068="WIP - 30 Days",VLOOKUP(D1068,[3]Extended!$B$9:$J$101,9,FALSE),IF(BA1068="31-120 Days",VLOOKUP(D1068,[3]Extended!$B$9:$K$101,10,FALSE),IF(BA1068="121-365 Days",VLOOKUP(D1068,[3]Extended!$B$9:$L$101,11,FALSE),VLOOKUP(D1068,[3]Extended!$B$9:$M$101,12,FALSE)))),0)</f>
        <v>0</v>
      </c>
      <c r="P1068" s="116" t="e">
        <f t="shared" si="81"/>
        <v>#VALUE!</v>
      </c>
      <c r="Q1068" s="110" t="e">
        <f>O1068-#REF!</f>
        <v>#REF!</v>
      </c>
      <c r="W1068" s="311"/>
      <c r="X1068" s="311"/>
      <c r="Y1068" s="311"/>
      <c r="Z1068" s="311"/>
      <c r="AA1068" s="311"/>
      <c r="AB1068" s="311"/>
      <c r="AC1068" s="311"/>
      <c r="AT1068" s="88" t="str">
        <f t="shared" si="82"/>
        <v>Special Order0</v>
      </c>
      <c r="AU1068" s="89" t="str">
        <f t="shared" si="83"/>
        <v>01-1900</v>
      </c>
      <c r="BA1068" s="92" t="str">
        <f t="shared" si="84"/>
        <v/>
      </c>
    </row>
    <row r="1069" spans="2:53">
      <c r="B1069" s="60">
        <f>[2]Trucks!A1066</f>
        <v>0</v>
      </c>
      <c r="C1069" s="11">
        <f>[2]Trucks!B1066</f>
        <v>0</v>
      </c>
      <c r="D1069" s="19" t="str">
        <f>IFERROR(VLOOKUP(C1069&amp;"",'[2]Retail Price List'!$A$3:$B$103,2,FALSE),"Special Order")</f>
        <v>Special Order</v>
      </c>
      <c r="E1069" s="18">
        <f>[2]Trucks!J1066</f>
        <v>0</v>
      </c>
      <c r="F1069" s="12">
        <f>[2]Trucks!E1066</f>
        <v>0</v>
      </c>
      <c r="G1069" s="56">
        <f>[2]Trucks!K1066</f>
        <v>0</v>
      </c>
      <c r="H1069" s="46">
        <f>[2]Trucks!I1066</f>
        <v>0</v>
      </c>
      <c r="I1069" s="83" t="str">
        <f t="shared" si="80"/>
        <v/>
      </c>
      <c r="J1069" s="272" t="str">
        <f>IFERROR(VLOOKUP((D1069&amp;C1069)&amp;"",'[2]Retail Price List'!$C$4:$F$102,3,FALSE),"")</f>
        <v/>
      </c>
      <c r="K1069" s="272">
        <f>IFERROR(IF(BA1069="WIP - 30 Days",VLOOKUP(D1069,[3]Standard!$B$9:$E$101,4,FALSE),IF(BA1069="31-120 Days",VLOOKUP(D1069,[3]Standard!$B$9:$F$101,5,FALSE),IF(BA1069="121-365 Days",VLOOKUP(D1069,[3]Standard!$B$9:$G$101,6,FALSE),VLOOKUP(D1069,[3]Standard!$B$9:$H$101,7,FALSE)))),0)</f>
        <v>0</v>
      </c>
      <c r="L1069" s="272">
        <f>IFERROR(IF(BA1069="WIP - 30 Days",VLOOKUP(D1069,[3]Standard!$B$9:$J$101,9,FALSE),IF(BA1069="31-120 Days",VLOOKUP(D1069,[3]Standard!$B$9:$K$100,10,FALSE),IF(BA1069="121-365 Days",VLOOKUP(D1069,[3]Standard!$B$9:$L$101,11,FALSE),VLOOKUP(D1069,[3]Standard!$B$9:$M$101,12,FALSE)))),0)</f>
        <v>0</v>
      </c>
      <c r="M1069" s="269" t="str">
        <f>IFERROR(VLOOKUP((D1069&amp;C1069)&amp;"",'[2]Retail Price List'!$C$4:$F$102,4,FALSE),"")</f>
        <v/>
      </c>
      <c r="N1069" s="269">
        <f>IFERROR(IF(BA1069="WIP - 30 Days",VLOOKUP(D1069,[3]Extended!$B$9:$E$101,4,FALSE),IF(BA1069="31-120 Days",VLOOKUP(D1069,[3]Extended!$B$9:$F$101,5,FALSE),IF(BA1069="121-365 Days",VLOOKUP(D1069,[3]Extended!$B$9:$G$101,6,FALSE),VLOOKUP(D1069,[3]Extended!$B$9:$H$101,7,FALSE)))),0)</f>
        <v>0</v>
      </c>
      <c r="O1069" s="269">
        <f>IFERROR(IF(BA1069="WIP - 30 Days",VLOOKUP(D1069,[3]Extended!$B$9:$J$101,9,FALSE),IF(BA1069="31-120 Days",VLOOKUP(D1069,[3]Extended!$B$9:$K$101,10,FALSE),IF(BA1069="121-365 Days",VLOOKUP(D1069,[3]Extended!$B$9:$L$101,11,FALSE),VLOOKUP(D1069,[3]Extended!$B$9:$M$101,12,FALSE)))),0)</f>
        <v>0</v>
      </c>
      <c r="P1069" s="116" t="e">
        <f t="shared" si="81"/>
        <v>#VALUE!</v>
      </c>
      <c r="Q1069" s="110" t="e">
        <f>O1069-#REF!</f>
        <v>#REF!</v>
      </c>
      <c r="W1069" s="311"/>
      <c r="X1069" s="311"/>
      <c r="Y1069" s="311"/>
      <c r="Z1069" s="311"/>
      <c r="AA1069" s="311"/>
      <c r="AB1069" s="311"/>
      <c r="AC1069" s="311"/>
      <c r="AT1069" s="88" t="str">
        <f t="shared" si="82"/>
        <v>Special Order0</v>
      </c>
      <c r="AU1069" s="89" t="str">
        <f t="shared" si="83"/>
        <v>01-1900</v>
      </c>
      <c r="BA1069" s="92" t="str">
        <f t="shared" si="84"/>
        <v/>
      </c>
    </row>
    <row r="1070" spans="2:53">
      <c r="B1070" s="60">
        <f>[2]Trucks!A1067</f>
        <v>0</v>
      </c>
      <c r="C1070" s="11">
        <f>[2]Trucks!B1067</f>
        <v>0</v>
      </c>
      <c r="D1070" s="19" t="str">
        <f>IFERROR(VLOOKUP(C1070&amp;"",'[2]Retail Price List'!$A$3:$B$103,2,FALSE),"Special Order")</f>
        <v>Special Order</v>
      </c>
      <c r="E1070" s="18">
        <f>[2]Trucks!J1067</f>
        <v>0</v>
      </c>
      <c r="F1070" s="12">
        <f>[2]Trucks!E1067</f>
        <v>0</v>
      </c>
      <c r="G1070" s="56">
        <f>[2]Trucks!K1067</f>
        <v>0</v>
      </c>
      <c r="H1070" s="46">
        <f>[2]Trucks!I1067</f>
        <v>0</v>
      </c>
      <c r="I1070" s="83" t="str">
        <f t="shared" si="80"/>
        <v/>
      </c>
      <c r="J1070" s="272" t="str">
        <f>IFERROR(VLOOKUP((D1070&amp;C1070)&amp;"",'[2]Retail Price List'!$C$4:$F$102,3,FALSE),"")</f>
        <v/>
      </c>
      <c r="K1070" s="272">
        <f>IFERROR(IF(BA1070="WIP - 30 Days",VLOOKUP(D1070,[3]Standard!$B$9:$E$101,4,FALSE),IF(BA1070="31-120 Days",VLOOKUP(D1070,[3]Standard!$B$9:$F$101,5,FALSE),IF(BA1070="121-365 Days",VLOOKUP(D1070,[3]Standard!$B$9:$G$101,6,FALSE),VLOOKUP(D1070,[3]Standard!$B$9:$H$101,7,FALSE)))),0)</f>
        <v>0</v>
      </c>
      <c r="L1070" s="272">
        <f>IFERROR(IF(BA1070="WIP - 30 Days",VLOOKUP(D1070,[3]Standard!$B$9:$J$101,9,FALSE),IF(BA1070="31-120 Days",VLOOKUP(D1070,[3]Standard!$B$9:$K$100,10,FALSE),IF(BA1070="121-365 Days",VLOOKUP(D1070,[3]Standard!$B$9:$L$101,11,FALSE),VLOOKUP(D1070,[3]Standard!$B$9:$M$101,12,FALSE)))),0)</f>
        <v>0</v>
      </c>
      <c r="M1070" s="269" t="str">
        <f>IFERROR(VLOOKUP((D1070&amp;C1070)&amp;"",'[2]Retail Price List'!$C$4:$F$102,4,FALSE),"")</f>
        <v/>
      </c>
      <c r="N1070" s="269">
        <f>IFERROR(IF(BA1070="WIP - 30 Days",VLOOKUP(D1070,[3]Extended!$B$9:$E$101,4,FALSE),IF(BA1070="31-120 Days",VLOOKUP(D1070,[3]Extended!$B$9:$F$101,5,FALSE),IF(BA1070="121-365 Days",VLOOKUP(D1070,[3]Extended!$B$9:$G$101,6,FALSE),VLOOKUP(D1070,[3]Extended!$B$9:$H$101,7,FALSE)))),0)</f>
        <v>0</v>
      </c>
      <c r="O1070" s="269">
        <f>IFERROR(IF(BA1070="WIP - 30 Days",VLOOKUP(D1070,[3]Extended!$B$9:$J$101,9,FALSE),IF(BA1070="31-120 Days",VLOOKUP(D1070,[3]Extended!$B$9:$K$101,10,FALSE),IF(BA1070="121-365 Days",VLOOKUP(D1070,[3]Extended!$B$9:$L$101,11,FALSE),VLOOKUP(D1070,[3]Extended!$B$9:$M$101,12,FALSE)))),0)</f>
        <v>0</v>
      </c>
      <c r="P1070" s="116" t="e">
        <f t="shared" si="81"/>
        <v>#VALUE!</v>
      </c>
      <c r="Q1070" s="110" t="e">
        <f>O1070-#REF!</f>
        <v>#REF!</v>
      </c>
      <c r="W1070" s="311"/>
      <c r="X1070" s="311"/>
      <c r="Y1070" s="311"/>
      <c r="Z1070" s="311"/>
      <c r="AA1070" s="311"/>
      <c r="AB1070" s="311"/>
      <c r="AC1070" s="311"/>
      <c r="AT1070" s="88" t="str">
        <f t="shared" si="82"/>
        <v>Special Order0</v>
      </c>
      <c r="AU1070" s="89" t="str">
        <f t="shared" si="83"/>
        <v>01-1900</v>
      </c>
      <c r="BA1070" s="92" t="str">
        <f t="shared" si="84"/>
        <v/>
      </c>
    </row>
    <row r="1071" spans="2:53">
      <c r="B1071" s="60">
        <f>[2]Trucks!A1068</f>
        <v>0</v>
      </c>
      <c r="C1071" s="11">
        <f>[2]Trucks!B1068</f>
        <v>0</v>
      </c>
      <c r="D1071" s="19" t="str">
        <f>IFERROR(VLOOKUP(C1071&amp;"",'[2]Retail Price List'!$A$3:$B$103,2,FALSE),"Special Order")</f>
        <v>Special Order</v>
      </c>
      <c r="E1071" s="18">
        <f>[2]Trucks!J1068</f>
        <v>0</v>
      </c>
      <c r="F1071" s="12">
        <f>[2]Trucks!E1068</f>
        <v>0</v>
      </c>
      <c r="G1071" s="56">
        <f>[2]Trucks!K1068</f>
        <v>0</v>
      </c>
      <c r="H1071" s="46">
        <f>[2]Trucks!I1068</f>
        <v>0</v>
      </c>
      <c r="I1071" s="83" t="str">
        <f t="shared" si="80"/>
        <v/>
      </c>
      <c r="J1071" s="272" t="str">
        <f>IFERROR(VLOOKUP((D1071&amp;C1071)&amp;"",'[2]Retail Price List'!$C$4:$F$102,3,FALSE),"")</f>
        <v/>
      </c>
      <c r="K1071" s="272">
        <f>IFERROR(IF(BA1071="WIP - 30 Days",VLOOKUP(D1071,[3]Standard!$B$9:$E$101,4,FALSE),IF(BA1071="31-120 Days",VLOOKUP(D1071,[3]Standard!$B$9:$F$101,5,FALSE),IF(BA1071="121-365 Days",VLOOKUP(D1071,[3]Standard!$B$9:$G$101,6,FALSE),VLOOKUP(D1071,[3]Standard!$B$9:$H$101,7,FALSE)))),0)</f>
        <v>0</v>
      </c>
      <c r="L1071" s="272">
        <f>IFERROR(IF(BA1071="WIP - 30 Days",VLOOKUP(D1071,[3]Standard!$B$9:$J$101,9,FALSE),IF(BA1071="31-120 Days",VLOOKUP(D1071,[3]Standard!$B$9:$K$100,10,FALSE),IF(BA1071="121-365 Days",VLOOKUP(D1071,[3]Standard!$B$9:$L$101,11,FALSE),VLOOKUP(D1071,[3]Standard!$B$9:$M$101,12,FALSE)))),0)</f>
        <v>0</v>
      </c>
      <c r="M1071" s="269" t="str">
        <f>IFERROR(VLOOKUP((D1071&amp;C1071)&amp;"",'[2]Retail Price List'!$C$4:$F$102,4,FALSE),"")</f>
        <v/>
      </c>
      <c r="N1071" s="269">
        <f>IFERROR(IF(BA1071="WIP - 30 Days",VLOOKUP(D1071,[3]Extended!$B$9:$E$101,4,FALSE),IF(BA1071="31-120 Days",VLOOKUP(D1071,[3]Extended!$B$9:$F$101,5,FALSE),IF(BA1071="121-365 Days",VLOOKUP(D1071,[3]Extended!$B$9:$G$101,6,FALSE),VLOOKUP(D1071,[3]Extended!$B$9:$H$101,7,FALSE)))),0)</f>
        <v>0</v>
      </c>
      <c r="O1071" s="269">
        <f>IFERROR(IF(BA1071="WIP - 30 Days",VLOOKUP(D1071,[3]Extended!$B$9:$J$101,9,FALSE),IF(BA1071="31-120 Days",VLOOKUP(D1071,[3]Extended!$B$9:$K$101,10,FALSE),IF(BA1071="121-365 Days",VLOOKUP(D1071,[3]Extended!$B$9:$L$101,11,FALSE),VLOOKUP(D1071,[3]Extended!$B$9:$M$101,12,FALSE)))),0)</f>
        <v>0</v>
      </c>
      <c r="P1071" s="116" t="e">
        <f t="shared" si="81"/>
        <v>#VALUE!</v>
      </c>
      <c r="Q1071" s="110" t="e">
        <f>O1071-#REF!</f>
        <v>#REF!</v>
      </c>
      <c r="W1071" s="311"/>
      <c r="X1071" s="311"/>
      <c r="Y1071" s="311"/>
      <c r="Z1071" s="311"/>
      <c r="AA1071" s="311"/>
      <c r="AB1071" s="311"/>
      <c r="AC1071" s="311"/>
      <c r="AT1071" s="88" t="str">
        <f t="shared" si="82"/>
        <v>Special Order0</v>
      </c>
      <c r="AU1071" s="89" t="str">
        <f t="shared" si="83"/>
        <v>01-1900</v>
      </c>
      <c r="BA1071" s="92" t="str">
        <f t="shared" si="84"/>
        <v/>
      </c>
    </row>
    <row r="1072" spans="2:53">
      <c r="B1072" s="60">
        <f>[2]Trucks!A1069</f>
        <v>0</v>
      </c>
      <c r="C1072" s="11">
        <f>[2]Trucks!B1069</f>
        <v>0</v>
      </c>
      <c r="D1072" s="19" t="str">
        <f>IFERROR(VLOOKUP(C1072&amp;"",'[2]Retail Price List'!$A$3:$B$103,2,FALSE),"Special Order")</f>
        <v>Special Order</v>
      </c>
      <c r="E1072" s="18">
        <f>[2]Trucks!J1069</f>
        <v>0</v>
      </c>
      <c r="F1072" s="12">
        <f>[2]Trucks!E1069</f>
        <v>0</v>
      </c>
      <c r="G1072" s="56">
        <f>[2]Trucks!K1069</f>
        <v>0</v>
      </c>
      <c r="H1072" s="46">
        <f>[2]Trucks!I1069</f>
        <v>0</v>
      </c>
      <c r="I1072" s="83" t="str">
        <f t="shared" si="80"/>
        <v/>
      </c>
      <c r="J1072" s="272" t="str">
        <f>IFERROR(VLOOKUP((D1072&amp;C1072)&amp;"",'[2]Retail Price List'!$C$4:$F$102,3,FALSE),"")</f>
        <v/>
      </c>
      <c r="K1072" s="272">
        <f>IFERROR(IF(BA1072="WIP - 30 Days",VLOOKUP(D1072,[3]Standard!$B$9:$E$101,4,FALSE),IF(BA1072="31-120 Days",VLOOKUP(D1072,[3]Standard!$B$9:$F$101,5,FALSE),IF(BA1072="121-365 Days",VLOOKUP(D1072,[3]Standard!$B$9:$G$101,6,FALSE),VLOOKUP(D1072,[3]Standard!$B$9:$H$101,7,FALSE)))),0)</f>
        <v>0</v>
      </c>
      <c r="L1072" s="272">
        <f>IFERROR(IF(BA1072="WIP - 30 Days",VLOOKUP(D1072,[3]Standard!$B$9:$J$101,9,FALSE),IF(BA1072="31-120 Days",VLOOKUP(D1072,[3]Standard!$B$9:$K$100,10,FALSE),IF(BA1072="121-365 Days",VLOOKUP(D1072,[3]Standard!$B$9:$L$101,11,FALSE),VLOOKUP(D1072,[3]Standard!$B$9:$M$101,12,FALSE)))),0)</f>
        <v>0</v>
      </c>
      <c r="M1072" s="269" t="str">
        <f>IFERROR(VLOOKUP((D1072&amp;C1072)&amp;"",'[2]Retail Price List'!$C$4:$F$102,4,FALSE),"")</f>
        <v/>
      </c>
      <c r="N1072" s="269">
        <f>IFERROR(IF(BA1072="WIP - 30 Days",VLOOKUP(D1072,[3]Extended!$B$9:$E$101,4,FALSE),IF(BA1072="31-120 Days",VLOOKUP(D1072,[3]Extended!$B$9:$F$101,5,FALSE),IF(BA1072="121-365 Days",VLOOKUP(D1072,[3]Extended!$B$9:$G$101,6,FALSE),VLOOKUP(D1072,[3]Extended!$B$9:$H$101,7,FALSE)))),0)</f>
        <v>0</v>
      </c>
      <c r="O1072" s="269">
        <f>IFERROR(IF(BA1072="WIP - 30 Days",VLOOKUP(D1072,[3]Extended!$B$9:$J$101,9,FALSE),IF(BA1072="31-120 Days",VLOOKUP(D1072,[3]Extended!$B$9:$K$101,10,FALSE),IF(BA1072="121-365 Days",VLOOKUP(D1072,[3]Extended!$B$9:$L$101,11,FALSE),VLOOKUP(D1072,[3]Extended!$B$9:$M$101,12,FALSE)))),0)</f>
        <v>0</v>
      </c>
      <c r="P1072" s="116" t="e">
        <f t="shared" si="81"/>
        <v>#VALUE!</v>
      </c>
      <c r="Q1072" s="110" t="e">
        <f>O1072-#REF!</f>
        <v>#REF!</v>
      </c>
      <c r="W1072" s="311"/>
      <c r="X1072" s="311"/>
      <c r="Y1072" s="311"/>
      <c r="Z1072" s="311"/>
      <c r="AA1072" s="311"/>
      <c r="AB1072" s="311"/>
      <c r="AC1072" s="311"/>
      <c r="AT1072" s="88" t="str">
        <f t="shared" si="82"/>
        <v>Special Order0</v>
      </c>
      <c r="AU1072" s="89" t="str">
        <f t="shared" si="83"/>
        <v>01-1900</v>
      </c>
      <c r="BA1072" s="92" t="str">
        <f t="shared" si="84"/>
        <v/>
      </c>
    </row>
    <row r="1073" spans="2:53">
      <c r="B1073" s="60">
        <f>[2]Trucks!A1070</f>
        <v>0</v>
      </c>
      <c r="C1073" s="11">
        <f>[2]Trucks!B1070</f>
        <v>0</v>
      </c>
      <c r="D1073" s="19" t="str">
        <f>IFERROR(VLOOKUP(C1073&amp;"",'[2]Retail Price List'!$A$3:$B$103,2,FALSE),"Special Order")</f>
        <v>Special Order</v>
      </c>
      <c r="E1073" s="18">
        <f>[2]Trucks!J1070</f>
        <v>0</v>
      </c>
      <c r="F1073" s="12">
        <f>[2]Trucks!E1070</f>
        <v>0</v>
      </c>
      <c r="G1073" s="56">
        <f>[2]Trucks!K1070</f>
        <v>0</v>
      </c>
      <c r="H1073" s="46">
        <f>[2]Trucks!I1070</f>
        <v>0</v>
      </c>
      <c r="I1073" s="83" t="str">
        <f t="shared" si="80"/>
        <v/>
      </c>
      <c r="J1073" s="272" t="str">
        <f>IFERROR(VLOOKUP((D1073&amp;C1073)&amp;"",'[2]Retail Price List'!$C$4:$F$102,3,FALSE),"")</f>
        <v/>
      </c>
      <c r="K1073" s="272">
        <f>IFERROR(IF(BA1073="WIP - 30 Days",VLOOKUP(D1073,[3]Standard!$B$9:$E$101,4,FALSE),IF(BA1073="31-120 Days",VLOOKUP(D1073,[3]Standard!$B$9:$F$101,5,FALSE),IF(BA1073="121-365 Days",VLOOKUP(D1073,[3]Standard!$B$9:$G$101,6,FALSE),VLOOKUP(D1073,[3]Standard!$B$9:$H$101,7,FALSE)))),0)</f>
        <v>0</v>
      </c>
      <c r="L1073" s="272">
        <f>IFERROR(IF(BA1073="WIP - 30 Days",VLOOKUP(D1073,[3]Standard!$B$9:$J$101,9,FALSE),IF(BA1073="31-120 Days",VLOOKUP(D1073,[3]Standard!$B$9:$K$100,10,FALSE),IF(BA1073="121-365 Days",VLOOKUP(D1073,[3]Standard!$B$9:$L$101,11,FALSE),VLOOKUP(D1073,[3]Standard!$B$9:$M$101,12,FALSE)))),0)</f>
        <v>0</v>
      </c>
      <c r="M1073" s="269" t="str">
        <f>IFERROR(VLOOKUP((D1073&amp;C1073)&amp;"",'[2]Retail Price List'!$C$4:$F$102,4,FALSE),"")</f>
        <v/>
      </c>
      <c r="N1073" s="269">
        <f>IFERROR(IF(BA1073="WIP - 30 Days",VLOOKUP(D1073,[3]Extended!$B$9:$E$101,4,FALSE),IF(BA1073="31-120 Days",VLOOKUP(D1073,[3]Extended!$B$9:$F$101,5,FALSE),IF(BA1073="121-365 Days",VLOOKUP(D1073,[3]Extended!$B$9:$G$101,6,FALSE),VLOOKUP(D1073,[3]Extended!$B$9:$H$101,7,FALSE)))),0)</f>
        <v>0</v>
      </c>
      <c r="O1073" s="269">
        <f>IFERROR(IF(BA1073="WIP - 30 Days",VLOOKUP(D1073,[3]Extended!$B$9:$J$101,9,FALSE),IF(BA1073="31-120 Days",VLOOKUP(D1073,[3]Extended!$B$9:$K$101,10,FALSE),IF(BA1073="121-365 Days",VLOOKUP(D1073,[3]Extended!$B$9:$L$101,11,FALSE),VLOOKUP(D1073,[3]Extended!$B$9:$M$101,12,FALSE)))),0)</f>
        <v>0</v>
      </c>
      <c r="P1073" s="116" t="e">
        <f t="shared" si="81"/>
        <v>#VALUE!</v>
      </c>
      <c r="Q1073" s="110" t="e">
        <f>O1073-#REF!</f>
        <v>#REF!</v>
      </c>
      <c r="W1073" s="311"/>
      <c r="X1073" s="311"/>
      <c r="Y1073" s="311"/>
      <c r="Z1073" s="311"/>
      <c r="AA1073" s="311"/>
      <c r="AB1073" s="311"/>
      <c r="AC1073" s="311"/>
      <c r="AT1073" s="88" t="str">
        <f t="shared" si="82"/>
        <v>Special Order0</v>
      </c>
      <c r="AU1073" s="89" t="str">
        <f t="shared" si="83"/>
        <v>01-1900</v>
      </c>
      <c r="BA1073" s="92" t="str">
        <f t="shared" si="84"/>
        <v/>
      </c>
    </row>
    <row r="1074" spans="2:53">
      <c r="B1074" s="60">
        <f>[2]Trucks!A1071</f>
        <v>0</v>
      </c>
      <c r="C1074" s="11">
        <f>[2]Trucks!B1071</f>
        <v>0</v>
      </c>
      <c r="D1074" s="19" t="str">
        <f>IFERROR(VLOOKUP(C1074&amp;"",'[2]Retail Price List'!$A$3:$B$103,2,FALSE),"Special Order")</f>
        <v>Special Order</v>
      </c>
      <c r="E1074" s="18">
        <f>[2]Trucks!J1071</f>
        <v>0</v>
      </c>
      <c r="F1074" s="12">
        <f>[2]Trucks!E1071</f>
        <v>0</v>
      </c>
      <c r="G1074" s="56">
        <f>[2]Trucks!K1071</f>
        <v>0</v>
      </c>
      <c r="H1074" s="46">
        <f>[2]Trucks!I1071</f>
        <v>0</v>
      </c>
      <c r="I1074" s="83" t="str">
        <f t="shared" si="80"/>
        <v/>
      </c>
      <c r="J1074" s="272" t="str">
        <f>IFERROR(VLOOKUP((D1074&amp;C1074)&amp;"",'[2]Retail Price List'!$C$4:$F$102,3,FALSE),"")</f>
        <v/>
      </c>
      <c r="K1074" s="272">
        <f>IFERROR(IF(BA1074="WIP - 30 Days",VLOOKUP(D1074,[3]Standard!$B$9:$E$101,4,FALSE),IF(BA1074="31-120 Days",VLOOKUP(D1074,[3]Standard!$B$9:$F$101,5,FALSE),IF(BA1074="121-365 Days",VLOOKUP(D1074,[3]Standard!$B$9:$G$101,6,FALSE),VLOOKUP(D1074,[3]Standard!$B$9:$H$101,7,FALSE)))),0)</f>
        <v>0</v>
      </c>
      <c r="L1074" s="272">
        <f>IFERROR(IF(BA1074="WIP - 30 Days",VLOOKUP(D1074,[3]Standard!$B$9:$J$101,9,FALSE),IF(BA1074="31-120 Days",VLOOKUP(D1074,[3]Standard!$B$9:$K$100,10,FALSE),IF(BA1074="121-365 Days",VLOOKUP(D1074,[3]Standard!$B$9:$L$101,11,FALSE),VLOOKUP(D1074,[3]Standard!$B$9:$M$101,12,FALSE)))),0)</f>
        <v>0</v>
      </c>
      <c r="M1074" s="269" t="str">
        <f>IFERROR(VLOOKUP((D1074&amp;C1074)&amp;"",'[2]Retail Price List'!$C$4:$F$102,4,FALSE),"")</f>
        <v/>
      </c>
      <c r="N1074" s="269">
        <f>IFERROR(IF(BA1074="WIP - 30 Days",VLOOKUP(D1074,[3]Extended!$B$9:$E$101,4,FALSE),IF(BA1074="31-120 Days",VLOOKUP(D1074,[3]Extended!$B$9:$F$101,5,FALSE),IF(BA1074="121-365 Days",VLOOKUP(D1074,[3]Extended!$B$9:$G$101,6,FALSE),VLOOKUP(D1074,[3]Extended!$B$9:$H$101,7,FALSE)))),0)</f>
        <v>0</v>
      </c>
      <c r="O1074" s="269">
        <f>IFERROR(IF(BA1074="WIP - 30 Days",VLOOKUP(D1074,[3]Extended!$B$9:$J$101,9,FALSE),IF(BA1074="31-120 Days",VLOOKUP(D1074,[3]Extended!$B$9:$K$101,10,FALSE),IF(BA1074="121-365 Days",VLOOKUP(D1074,[3]Extended!$B$9:$L$101,11,FALSE),VLOOKUP(D1074,[3]Extended!$B$9:$M$101,12,FALSE)))),0)</f>
        <v>0</v>
      </c>
      <c r="P1074" s="116" t="e">
        <f t="shared" si="81"/>
        <v>#VALUE!</v>
      </c>
      <c r="Q1074" s="110" t="e">
        <f>O1074-#REF!</f>
        <v>#REF!</v>
      </c>
      <c r="W1074" s="311"/>
      <c r="X1074" s="311"/>
      <c r="Y1074" s="311"/>
      <c r="Z1074" s="311"/>
      <c r="AA1074" s="311"/>
      <c r="AB1074" s="311"/>
      <c r="AC1074" s="311"/>
      <c r="AT1074" s="88" t="str">
        <f t="shared" si="82"/>
        <v>Special Order0</v>
      </c>
      <c r="AU1074" s="89" t="str">
        <f t="shared" si="83"/>
        <v>01-1900</v>
      </c>
      <c r="BA1074" s="92" t="str">
        <f t="shared" si="84"/>
        <v/>
      </c>
    </row>
    <row r="1075" spans="2:53">
      <c r="B1075" s="60">
        <f>[2]Trucks!A1072</f>
        <v>0</v>
      </c>
      <c r="C1075" s="11">
        <f>[2]Trucks!B1072</f>
        <v>0</v>
      </c>
      <c r="D1075" s="19" t="str">
        <f>IFERROR(VLOOKUP(C1075&amp;"",'[2]Retail Price List'!$A$3:$B$103,2,FALSE),"Special Order")</f>
        <v>Special Order</v>
      </c>
      <c r="E1075" s="18">
        <f>[2]Trucks!J1072</f>
        <v>0</v>
      </c>
      <c r="F1075" s="12">
        <f>[2]Trucks!E1072</f>
        <v>0</v>
      </c>
      <c r="G1075" s="56">
        <f>[2]Trucks!K1072</f>
        <v>0</v>
      </c>
      <c r="H1075" s="46">
        <f>[2]Trucks!I1072</f>
        <v>0</v>
      </c>
      <c r="I1075" s="83" t="str">
        <f t="shared" si="80"/>
        <v/>
      </c>
      <c r="J1075" s="272" t="str">
        <f>IFERROR(VLOOKUP((D1075&amp;C1075)&amp;"",'[2]Retail Price List'!$C$4:$F$102,3,FALSE),"")</f>
        <v/>
      </c>
      <c r="K1075" s="272">
        <f>IFERROR(IF(BA1075="WIP - 30 Days",VLOOKUP(D1075,[3]Standard!$B$9:$E$101,4,FALSE),IF(BA1075="31-120 Days",VLOOKUP(D1075,[3]Standard!$B$9:$F$101,5,FALSE),IF(BA1075="121-365 Days",VLOOKUP(D1075,[3]Standard!$B$9:$G$101,6,FALSE),VLOOKUP(D1075,[3]Standard!$B$9:$H$101,7,FALSE)))),0)</f>
        <v>0</v>
      </c>
      <c r="L1075" s="272">
        <f>IFERROR(IF(BA1075="WIP - 30 Days",VLOOKUP(D1075,[3]Standard!$B$9:$J$101,9,FALSE),IF(BA1075="31-120 Days",VLOOKUP(D1075,[3]Standard!$B$9:$K$100,10,FALSE),IF(BA1075="121-365 Days",VLOOKUP(D1075,[3]Standard!$B$9:$L$101,11,FALSE),VLOOKUP(D1075,[3]Standard!$B$9:$M$101,12,FALSE)))),0)</f>
        <v>0</v>
      </c>
      <c r="M1075" s="269" t="str">
        <f>IFERROR(VLOOKUP((D1075&amp;C1075)&amp;"",'[2]Retail Price List'!$C$4:$F$102,4,FALSE),"")</f>
        <v/>
      </c>
      <c r="N1075" s="269">
        <f>IFERROR(IF(BA1075="WIP - 30 Days",VLOOKUP(D1075,[3]Extended!$B$9:$E$101,4,FALSE),IF(BA1075="31-120 Days",VLOOKUP(D1075,[3]Extended!$B$9:$F$101,5,FALSE),IF(BA1075="121-365 Days",VLOOKUP(D1075,[3]Extended!$B$9:$G$101,6,FALSE),VLOOKUP(D1075,[3]Extended!$B$9:$H$101,7,FALSE)))),0)</f>
        <v>0</v>
      </c>
      <c r="O1075" s="269">
        <f>IFERROR(IF(BA1075="WIP - 30 Days",VLOOKUP(D1075,[3]Extended!$B$9:$J$101,9,FALSE),IF(BA1075="31-120 Days",VLOOKUP(D1075,[3]Extended!$B$9:$K$101,10,FALSE),IF(BA1075="121-365 Days",VLOOKUP(D1075,[3]Extended!$B$9:$L$101,11,FALSE),VLOOKUP(D1075,[3]Extended!$B$9:$M$101,12,FALSE)))),0)</f>
        <v>0</v>
      </c>
      <c r="P1075" s="116" t="e">
        <f t="shared" si="81"/>
        <v>#VALUE!</v>
      </c>
      <c r="Q1075" s="110" t="e">
        <f>O1075-#REF!</f>
        <v>#REF!</v>
      </c>
      <c r="W1075" s="311"/>
      <c r="X1075" s="311"/>
      <c r="Y1075" s="311"/>
      <c r="Z1075" s="311"/>
      <c r="AA1075" s="311"/>
      <c r="AB1075" s="311"/>
      <c r="AC1075" s="311"/>
      <c r="AT1075" s="88" t="str">
        <f t="shared" si="82"/>
        <v>Special Order0</v>
      </c>
      <c r="AU1075" s="89" t="str">
        <f t="shared" si="83"/>
        <v>01-1900</v>
      </c>
      <c r="BA1075" s="92" t="str">
        <f t="shared" si="84"/>
        <v/>
      </c>
    </row>
    <row r="1076" spans="2:53">
      <c r="B1076" s="60">
        <f>[2]Trucks!A1073</f>
        <v>0</v>
      </c>
      <c r="C1076" s="11">
        <f>[2]Trucks!B1073</f>
        <v>0</v>
      </c>
      <c r="D1076" s="19" t="str">
        <f>IFERROR(VLOOKUP(C1076&amp;"",'[2]Retail Price List'!$A$3:$B$103,2,FALSE),"Special Order")</f>
        <v>Special Order</v>
      </c>
      <c r="E1076" s="18">
        <f>[2]Trucks!J1073</f>
        <v>0</v>
      </c>
      <c r="F1076" s="12">
        <f>[2]Trucks!E1073</f>
        <v>0</v>
      </c>
      <c r="G1076" s="56">
        <f>[2]Trucks!K1073</f>
        <v>0</v>
      </c>
      <c r="H1076" s="46">
        <f>[2]Trucks!I1073</f>
        <v>0</v>
      </c>
      <c r="I1076" s="83" t="str">
        <f t="shared" si="80"/>
        <v/>
      </c>
      <c r="J1076" s="272" t="str">
        <f>IFERROR(VLOOKUP((D1076&amp;C1076)&amp;"",'[2]Retail Price List'!$C$4:$F$102,3,FALSE),"")</f>
        <v/>
      </c>
      <c r="K1076" s="272">
        <f>IFERROR(IF(BA1076="WIP - 30 Days",VLOOKUP(D1076,[3]Standard!$B$9:$E$101,4,FALSE),IF(BA1076="31-120 Days",VLOOKUP(D1076,[3]Standard!$B$9:$F$101,5,FALSE),IF(BA1076="121-365 Days",VLOOKUP(D1076,[3]Standard!$B$9:$G$101,6,FALSE),VLOOKUP(D1076,[3]Standard!$B$9:$H$101,7,FALSE)))),0)</f>
        <v>0</v>
      </c>
      <c r="L1076" s="272">
        <f>IFERROR(IF(BA1076="WIP - 30 Days",VLOOKUP(D1076,[3]Standard!$B$9:$J$101,9,FALSE),IF(BA1076="31-120 Days",VLOOKUP(D1076,[3]Standard!$B$9:$K$100,10,FALSE),IF(BA1076="121-365 Days",VLOOKUP(D1076,[3]Standard!$B$9:$L$101,11,FALSE),VLOOKUP(D1076,[3]Standard!$B$9:$M$101,12,FALSE)))),0)</f>
        <v>0</v>
      </c>
      <c r="M1076" s="269" t="str">
        <f>IFERROR(VLOOKUP((D1076&amp;C1076)&amp;"",'[2]Retail Price List'!$C$4:$F$102,4,FALSE),"")</f>
        <v/>
      </c>
      <c r="N1076" s="269">
        <f>IFERROR(IF(BA1076="WIP - 30 Days",VLOOKUP(D1076,[3]Extended!$B$9:$E$101,4,FALSE),IF(BA1076="31-120 Days",VLOOKUP(D1076,[3]Extended!$B$9:$F$101,5,FALSE),IF(BA1076="121-365 Days",VLOOKUP(D1076,[3]Extended!$B$9:$G$101,6,FALSE),VLOOKUP(D1076,[3]Extended!$B$9:$H$101,7,FALSE)))),0)</f>
        <v>0</v>
      </c>
      <c r="O1076" s="269">
        <f>IFERROR(IF(BA1076="WIP - 30 Days",VLOOKUP(D1076,[3]Extended!$B$9:$J$101,9,FALSE),IF(BA1076="31-120 Days",VLOOKUP(D1076,[3]Extended!$B$9:$K$101,10,FALSE),IF(BA1076="121-365 Days",VLOOKUP(D1076,[3]Extended!$B$9:$L$101,11,FALSE),VLOOKUP(D1076,[3]Extended!$B$9:$M$101,12,FALSE)))),0)</f>
        <v>0</v>
      </c>
      <c r="P1076" s="116" t="e">
        <f t="shared" si="81"/>
        <v>#VALUE!</v>
      </c>
      <c r="Q1076" s="110" t="e">
        <f>O1076-#REF!</f>
        <v>#REF!</v>
      </c>
      <c r="W1076" s="311"/>
      <c r="X1076" s="311"/>
      <c r="Y1076" s="311"/>
      <c r="Z1076" s="311"/>
      <c r="AA1076" s="311"/>
      <c r="AB1076" s="311"/>
      <c r="AC1076" s="311"/>
      <c r="AT1076" s="88" t="str">
        <f t="shared" si="82"/>
        <v>Special Order0</v>
      </c>
      <c r="AU1076" s="89" t="str">
        <f t="shared" si="83"/>
        <v>01-1900</v>
      </c>
      <c r="BA1076" s="92" t="str">
        <f t="shared" si="84"/>
        <v/>
      </c>
    </row>
    <row r="1077" spans="2:53">
      <c r="B1077" s="60">
        <f>[2]Trucks!A1074</f>
        <v>0</v>
      </c>
      <c r="C1077" s="11">
        <f>[2]Trucks!B1074</f>
        <v>0</v>
      </c>
      <c r="D1077" s="19" t="str">
        <f>IFERROR(VLOOKUP(C1077&amp;"",'[2]Retail Price List'!$A$3:$B$103,2,FALSE),"Special Order")</f>
        <v>Special Order</v>
      </c>
      <c r="E1077" s="18">
        <f>[2]Trucks!J1074</f>
        <v>0</v>
      </c>
      <c r="F1077" s="12">
        <f>[2]Trucks!E1074</f>
        <v>0</v>
      </c>
      <c r="G1077" s="56">
        <f>[2]Trucks!K1074</f>
        <v>0</v>
      </c>
      <c r="H1077" s="46">
        <f>[2]Trucks!I1074</f>
        <v>0</v>
      </c>
      <c r="I1077" s="83" t="str">
        <f t="shared" si="80"/>
        <v/>
      </c>
      <c r="J1077" s="272" t="str">
        <f>IFERROR(VLOOKUP((D1077&amp;C1077)&amp;"",'[2]Retail Price List'!$C$4:$F$102,3,FALSE),"")</f>
        <v/>
      </c>
      <c r="K1077" s="272">
        <f>IFERROR(IF(BA1077="WIP - 30 Days",VLOOKUP(D1077,[3]Standard!$B$9:$E$101,4,FALSE),IF(BA1077="31-120 Days",VLOOKUP(D1077,[3]Standard!$B$9:$F$101,5,FALSE),IF(BA1077="121-365 Days",VLOOKUP(D1077,[3]Standard!$B$9:$G$101,6,FALSE),VLOOKUP(D1077,[3]Standard!$B$9:$H$101,7,FALSE)))),0)</f>
        <v>0</v>
      </c>
      <c r="L1077" s="272">
        <f>IFERROR(IF(BA1077="WIP - 30 Days",VLOOKUP(D1077,[3]Standard!$B$9:$J$101,9,FALSE),IF(BA1077="31-120 Days",VLOOKUP(D1077,[3]Standard!$B$9:$K$100,10,FALSE),IF(BA1077="121-365 Days",VLOOKUP(D1077,[3]Standard!$B$9:$L$101,11,FALSE),VLOOKUP(D1077,[3]Standard!$B$9:$M$101,12,FALSE)))),0)</f>
        <v>0</v>
      </c>
      <c r="M1077" s="269" t="str">
        <f>IFERROR(VLOOKUP((D1077&amp;C1077)&amp;"",'[2]Retail Price List'!$C$4:$F$102,4,FALSE),"")</f>
        <v/>
      </c>
      <c r="N1077" s="269">
        <f>IFERROR(IF(BA1077="WIP - 30 Days",VLOOKUP(D1077,[3]Extended!$B$9:$E$101,4,FALSE),IF(BA1077="31-120 Days",VLOOKUP(D1077,[3]Extended!$B$9:$F$101,5,FALSE),IF(BA1077="121-365 Days",VLOOKUP(D1077,[3]Extended!$B$9:$G$101,6,FALSE),VLOOKUP(D1077,[3]Extended!$B$9:$H$101,7,FALSE)))),0)</f>
        <v>0</v>
      </c>
      <c r="O1077" s="269">
        <f>IFERROR(IF(BA1077="WIP - 30 Days",VLOOKUP(D1077,[3]Extended!$B$9:$J$101,9,FALSE),IF(BA1077="31-120 Days",VLOOKUP(D1077,[3]Extended!$B$9:$K$101,10,FALSE),IF(BA1077="121-365 Days",VLOOKUP(D1077,[3]Extended!$B$9:$L$101,11,FALSE),VLOOKUP(D1077,[3]Extended!$B$9:$M$101,12,FALSE)))),0)</f>
        <v>0</v>
      </c>
      <c r="P1077" s="116" t="e">
        <f t="shared" si="81"/>
        <v>#VALUE!</v>
      </c>
      <c r="Q1077" s="110" t="e">
        <f>O1077-#REF!</f>
        <v>#REF!</v>
      </c>
      <c r="W1077" s="311"/>
      <c r="X1077" s="311"/>
      <c r="Y1077" s="311"/>
      <c r="Z1077" s="311"/>
      <c r="AA1077" s="311"/>
      <c r="AB1077" s="311"/>
      <c r="AC1077" s="311"/>
      <c r="AT1077" s="88" t="str">
        <f t="shared" si="82"/>
        <v>Special Order0</v>
      </c>
      <c r="AU1077" s="89" t="str">
        <f t="shared" si="83"/>
        <v>01-1900</v>
      </c>
      <c r="BA1077" s="92" t="str">
        <f t="shared" si="84"/>
        <v/>
      </c>
    </row>
    <row r="1078" spans="2:53">
      <c r="B1078" s="60">
        <f>[2]Trucks!A1075</f>
        <v>0</v>
      </c>
      <c r="C1078" s="11">
        <f>[2]Trucks!B1075</f>
        <v>0</v>
      </c>
      <c r="D1078" s="19" t="str">
        <f>IFERROR(VLOOKUP(C1078&amp;"",'[2]Retail Price List'!$A$3:$B$103,2,FALSE),"Special Order")</f>
        <v>Special Order</v>
      </c>
      <c r="E1078" s="18">
        <f>[2]Trucks!J1075</f>
        <v>0</v>
      </c>
      <c r="F1078" s="12">
        <f>[2]Trucks!E1075</f>
        <v>0</v>
      </c>
      <c r="G1078" s="56">
        <f>[2]Trucks!K1075</f>
        <v>0</v>
      </c>
      <c r="H1078" s="46">
        <f>[2]Trucks!I1075</f>
        <v>0</v>
      </c>
      <c r="I1078" s="83" t="str">
        <f t="shared" si="80"/>
        <v/>
      </c>
      <c r="J1078" s="272" t="str">
        <f>IFERROR(VLOOKUP((D1078&amp;C1078)&amp;"",'[2]Retail Price List'!$C$4:$F$102,3,FALSE),"")</f>
        <v/>
      </c>
      <c r="K1078" s="272">
        <f>IFERROR(IF(BA1078="WIP - 30 Days",VLOOKUP(D1078,[3]Standard!$B$9:$E$101,4,FALSE),IF(BA1078="31-120 Days",VLOOKUP(D1078,[3]Standard!$B$9:$F$101,5,FALSE),IF(BA1078="121-365 Days",VLOOKUP(D1078,[3]Standard!$B$9:$G$101,6,FALSE),VLOOKUP(D1078,[3]Standard!$B$9:$H$101,7,FALSE)))),0)</f>
        <v>0</v>
      </c>
      <c r="L1078" s="272">
        <f>IFERROR(IF(BA1078="WIP - 30 Days",VLOOKUP(D1078,[3]Standard!$B$9:$J$101,9,FALSE),IF(BA1078="31-120 Days",VLOOKUP(D1078,[3]Standard!$B$9:$K$100,10,FALSE),IF(BA1078="121-365 Days",VLOOKUP(D1078,[3]Standard!$B$9:$L$101,11,FALSE),VLOOKUP(D1078,[3]Standard!$B$9:$M$101,12,FALSE)))),0)</f>
        <v>0</v>
      </c>
      <c r="M1078" s="269" t="str">
        <f>IFERROR(VLOOKUP((D1078&amp;C1078)&amp;"",'[2]Retail Price List'!$C$4:$F$102,4,FALSE),"")</f>
        <v/>
      </c>
      <c r="N1078" s="269">
        <f>IFERROR(IF(BA1078="WIP - 30 Days",VLOOKUP(D1078,[3]Extended!$B$9:$E$101,4,FALSE),IF(BA1078="31-120 Days",VLOOKUP(D1078,[3]Extended!$B$9:$F$101,5,FALSE),IF(BA1078="121-365 Days",VLOOKUP(D1078,[3]Extended!$B$9:$G$101,6,FALSE),VLOOKUP(D1078,[3]Extended!$B$9:$H$101,7,FALSE)))),0)</f>
        <v>0</v>
      </c>
      <c r="O1078" s="269">
        <f>IFERROR(IF(BA1078="WIP - 30 Days",VLOOKUP(D1078,[3]Extended!$B$9:$J$101,9,FALSE),IF(BA1078="31-120 Days",VLOOKUP(D1078,[3]Extended!$B$9:$K$101,10,FALSE),IF(BA1078="121-365 Days",VLOOKUP(D1078,[3]Extended!$B$9:$L$101,11,FALSE),VLOOKUP(D1078,[3]Extended!$B$9:$M$101,12,FALSE)))),0)</f>
        <v>0</v>
      </c>
      <c r="P1078" s="116" t="e">
        <f t="shared" si="81"/>
        <v>#VALUE!</v>
      </c>
      <c r="Q1078" s="110" t="e">
        <f>O1078-#REF!</f>
        <v>#REF!</v>
      </c>
      <c r="W1078" s="311"/>
      <c r="X1078" s="311"/>
      <c r="Y1078" s="311"/>
      <c r="Z1078" s="311"/>
      <c r="AA1078" s="311"/>
      <c r="AB1078" s="311"/>
      <c r="AC1078" s="311"/>
      <c r="AT1078" s="88" t="str">
        <f t="shared" si="82"/>
        <v>Special Order0</v>
      </c>
      <c r="AU1078" s="89" t="str">
        <f t="shared" si="83"/>
        <v>01-1900</v>
      </c>
      <c r="BA1078" s="92" t="str">
        <f t="shared" si="84"/>
        <v/>
      </c>
    </row>
    <row r="1079" spans="2:53">
      <c r="B1079" s="60">
        <f>[2]Trucks!A1076</f>
        <v>0</v>
      </c>
      <c r="C1079" s="11">
        <f>[2]Trucks!B1076</f>
        <v>0</v>
      </c>
      <c r="D1079" s="19" t="str">
        <f>IFERROR(VLOOKUP(C1079&amp;"",'[2]Retail Price List'!$A$3:$B$103,2,FALSE),"Special Order")</f>
        <v>Special Order</v>
      </c>
      <c r="E1079" s="18">
        <f>[2]Trucks!J1076</f>
        <v>0</v>
      </c>
      <c r="F1079" s="12">
        <f>[2]Trucks!E1076</f>
        <v>0</v>
      </c>
      <c r="G1079" s="56">
        <f>[2]Trucks!K1076</f>
        <v>0</v>
      </c>
      <c r="H1079" s="46">
        <f>[2]Trucks!I1076</f>
        <v>0</v>
      </c>
      <c r="I1079" s="83" t="str">
        <f t="shared" si="80"/>
        <v/>
      </c>
      <c r="J1079" s="272" t="str">
        <f>IFERROR(VLOOKUP((D1079&amp;C1079)&amp;"",'[2]Retail Price List'!$C$4:$F$102,3,FALSE),"")</f>
        <v/>
      </c>
      <c r="K1079" s="272">
        <f>IFERROR(IF(BA1079="WIP - 30 Days",VLOOKUP(D1079,[3]Standard!$B$9:$E$101,4,FALSE),IF(BA1079="31-120 Days",VLOOKUP(D1079,[3]Standard!$B$9:$F$101,5,FALSE),IF(BA1079="121-365 Days",VLOOKUP(D1079,[3]Standard!$B$9:$G$101,6,FALSE),VLOOKUP(D1079,[3]Standard!$B$9:$H$101,7,FALSE)))),0)</f>
        <v>0</v>
      </c>
      <c r="L1079" s="272">
        <f>IFERROR(IF(BA1079="WIP - 30 Days",VLOOKUP(D1079,[3]Standard!$B$9:$J$101,9,FALSE),IF(BA1079="31-120 Days",VLOOKUP(D1079,[3]Standard!$B$9:$K$100,10,FALSE),IF(BA1079="121-365 Days",VLOOKUP(D1079,[3]Standard!$B$9:$L$101,11,FALSE),VLOOKUP(D1079,[3]Standard!$B$9:$M$101,12,FALSE)))),0)</f>
        <v>0</v>
      </c>
      <c r="M1079" s="269" t="str">
        <f>IFERROR(VLOOKUP((D1079&amp;C1079)&amp;"",'[2]Retail Price List'!$C$4:$F$102,4,FALSE),"")</f>
        <v/>
      </c>
      <c r="N1079" s="269">
        <f>IFERROR(IF(BA1079="WIP - 30 Days",VLOOKUP(D1079,[3]Extended!$B$9:$E$101,4,FALSE),IF(BA1079="31-120 Days",VLOOKUP(D1079,[3]Extended!$B$9:$F$101,5,FALSE),IF(BA1079="121-365 Days",VLOOKUP(D1079,[3]Extended!$B$9:$G$101,6,FALSE),VLOOKUP(D1079,[3]Extended!$B$9:$H$101,7,FALSE)))),0)</f>
        <v>0</v>
      </c>
      <c r="O1079" s="269">
        <f>IFERROR(IF(BA1079="WIP - 30 Days",VLOOKUP(D1079,[3]Extended!$B$9:$J$101,9,FALSE),IF(BA1079="31-120 Days",VLOOKUP(D1079,[3]Extended!$B$9:$K$101,10,FALSE),IF(BA1079="121-365 Days",VLOOKUP(D1079,[3]Extended!$B$9:$L$101,11,FALSE),VLOOKUP(D1079,[3]Extended!$B$9:$M$101,12,FALSE)))),0)</f>
        <v>0</v>
      </c>
      <c r="P1079" s="116" t="e">
        <f t="shared" si="81"/>
        <v>#VALUE!</v>
      </c>
      <c r="Q1079" s="110" t="e">
        <f>O1079-#REF!</f>
        <v>#REF!</v>
      </c>
      <c r="W1079" s="311"/>
      <c r="X1079" s="311"/>
      <c r="Y1079" s="311"/>
      <c r="Z1079" s="311"/>
      <c r="AA1079" s="311"/>
      <c r="AB1079" s="311"/>
      <c r="AC1079" s="311"/>
      <c r="AT1079" s="88" t="str">
        <f t="shared" si="82"/>
        <v>Special Order0</v>
      </c>
      <c r="AU1079" s="89" t="str">
        <f t="shared" si="83"/>
        <v>01-1900</v>
      </c>
      <c r="BA1079" s="92" t="str">
        <f t="shared" si="84"/>
        <v/>
      </c>
    </row>
    <row r="1080" spans="2:53">
      <c r="B1080" s="60">
        <f>[2]Trucks!A1077</f>
        <v>0</v>
      </c>
      <c r="C1080" s="11">
        <f>[2]Trucks!B1077</f>
        <v>0</v>
      </c>
      <c r="D1080" s="19" t="str">
        <f>IFERROR(VLOOKUP(C1080&amp;"",'[2]Retail Price List'!$A$3:$B$103,2,FALSE),"Special Order")</f>
        <v>Special Order</v>
      </c>
      <c r="E1080" s="18">
        <f>[2]Trucks!J1077</f>
        <v>0</v>
      </c>
      <c r="F1080" s="12">
        <f>[2]Trucks!E1077</f>
        <v>0</v>
      </c>
      <c r="G1080" s="56">
        <f>[2]Trucks!K1077</f>
        <v>0</v>
      </c>
      <c r="H1080" s="46">
        <f>[2]Trucks!I1077</f>
        <v>0</v>
      </c>
      <c r="I1080" s="83" t="str">
        <f t="shared" si="80"/>
        <v/>
      </c>
      <c r="J1080" s="272" t="str">
        <f>IFERROR(VLOOKUP((D1080&amp;C1080)&amp;"",'[2]Retail Price List'!$C$4:$F$102,3,FALSE),"")</f>
        <v/>
      </c>
      <c r="K1080" s="272">
        <f>IFERROR(IF(BA1080="WIP - 30 Days",VLOOKUP(D1080,[3]Standard!$B$9:$E$101,4,FALSE),IF(BA1080="31-120 Days",VLOOKUP(D1080,[3]Standard!$B$9:$F$101,5,FALSE),IF(BA1080="121-365 Days",VLOOKUP(D1080,[3]Standard!$B$9:$G$101,6,FALSE),VLOOKUP(D1080,[3]Standard!$B$9:$H$101,7,FALSE)))),0)</f>
        <v>0</v>
      </c>
      <c r="L1080" s="272">
        <f>IFERROR(IF(BA1080="WIP - 30 Days",VLOOKUP(D1080,[3]Standard!$B$9:$J$101,9,FALSE),IF(BA1080="31-120 Days",VLOOKUP(D1080,[3]Standard!$B$9:$K$100,10,FALSE),IF(BA1080="121-365 Days",VLOOKUP(D1080,[3]Standard!$B$9:$L$101,11,FALSE),VLOOKUP(D1080,[3]Standard!$B$9:$M$101,12,FALSE)))),0)</f>
        <v>0</v>
      </c>
      <c r="M1080" s="269" t="str">
        <f>IFERROR(VLOOKUP((D1080&amp;C1080)&amp;"",'[2]Retail Price List'!$C$4:$F$102,4,FALSE),"")</f>
        <v/>
      </c>
      <c r="N1080" s="269">
        <f>IFERROR(IF(BA1080="WIP - 30 Days",VLOOKUP(D1080,[3]Extended!$B$9:$E$101,4,FALSE),IF(BA1080="31-120 Days",VLOOKUP(D1080,[3]Extended!$B$9:$F$101,5,FALSE),IF(BA1080="121-365 Days",VLOOKUP(D1080,[3]Extended!$B$9:$G$101,6,FALSE),VLOOKUP(D1080,[3]Extended!$B$9:$H$101,7,FALSE)))),0)</f>
        <v>0</v>
      </c>
      <c r="O1080" s="269">
        <f>IFERROR(IF(BA1080="WIP - 30 Days",VLOOKUP(D1080,[3]Extended!$B$9:$J$101,9,FALSE),IF(BA1080="31-120 Days",VLOOKUP(D1080,[3]Extended!$B$9:$K$101,10,FALSE),IF(BA1080="121-365 Days",VLOOKUP(D1080,[3]Extended!$B$9:$L$101,11,FALSE),VLOOKUP(D1080,[3]Extended!$B$9:$M$101,12,FALSE)))),0)</f>
        <v>0</v>
      </c>
      <c r="P1080" s="116" t="e">
        <f t="shared" si="81"/>
        <v>#VALUE!</v>
      </c>
      <c r="Q1080" s="110" t="e">
        <f>O1080-#REF!</f>
        <v>#REF!</v>
      </c>
      <c r="W1080" s="311"/>
      <c r="X1080" s="311"/>
      <c r="Y1080" s="311"/>
      <c r="Z1080" s="311"/>
      <c r="AA1080" s="311"/>
      <c r="AB1080" s="311"/>
      <c r="AC1080" s="311"/>
      <c r="AT1080" s="88" t="str">
        <f t="shared" si="82"/>
        <v>Special Order0</v>
      </c>
      <c r="AU1080" s="89" t="str">
        <f t="shared" si="83"/>
        <v>01-1900</v>
      </c>
      <c r="BA1080" s="92" t="str">
        <f t="shared" si="84"/>
        <v/>
      </c>
    </row>
    <row r="1081" spans="2:53">
      <c r="B1081" s="60">
        <f>[2]Trucks!A1078</f>
        <v>0</v>
      </c>
      <c r="C1081" s="11">
        <f>[2]Trucks!B1078</f>
        <v>0</v>
      </c>
      <c r="D1081" s="19" t="str">
        <f>IFERROR(VLOOKUP(C1081&amp;"",'[2]Retail Price List'!$A$3:$B$103,2,FALSE),"Special Order")</f>
        <v>Special Order</v>
      </c>
      <c r="E1081" s="18">
        <f>[2]Trucks!J1078</f>
        <v>0</v>
      </c>
      <c r="F1081" s="12">
        <f>[2]Trucks!E1078</f>
        <v>0</v>
      </c>
      <c r="G1081" s="56">
        <f>[2]Trucks!K1078</f>
        <v>0</v>
      </c>
      <c r="H1081" s="46">
        <f>[2]Trucks!I1078</f>
        <v>0</v>
      </c>
      <c r="I1081" s="83" t="str">
        <f t="shared" si="80"/>
        <v/>
      </c>
      <c r="J1081" s="272" t="str">
        <f>IFERROR(VLOOKUP((D1081&amp;C1081)&amp;"",'[2]Retail Price List'!$C$4:$F$102,3,FALSE),"")</f>
        <v/>
      </c>
      <c r="K1081" s="272">
        <f>IFERROR(IF(BA1081="WIP - 30 Days",VLOOKUP(D1081,[3]Standard!$B$9:$E$101,4,FALSE),IF(BA1081="31-120 Days",VLOOKUP(D1081,[3]Standard!$B$9:$F$101,5,FALSE),IF(BA1081="121-365 Days",VLOOKUP(D1081,[3]Standard!$B$9:$G$101,6,FALSE),VLOOKUP(D1081,[3]Standard!$B$9:$H$101,7,FALSE)))),0)</f>
        <v>0</v>
      </c>
      <c r="L1081" s="272">
        <f>IFERROR(IF(BA1081="WIP - 30 Days",VLOOKUP(D1081,[3]Standard!$B$9:$J$101,9,FALSE),IF(BA1081="31-120 Days",VLOOKUP(D1081,[3]Standard!$B$9:$K$100,10,FALSE),IF(BA1081="121-365 Days",VLOOKUP(D1081,[3]Standard!$B$9:$L$101,11,FALSE),VLOOKUP(D1081,[3]Standard!$B$9:$M$101,12,FALSE)))),0)</f>
        <v>0</v>
      </c>
      <c r="M1081" s="269" t="str">
        <f>IFERROR(VLOOKUP((D1081&amp;C1081)&amp;"",'[2]Retail Price List'!$C$4:$F$102,4,FALSE),"")</f>
        <v/>
      </c>
      <c r="N1081" s="269">
        <f>IFERROR(IF(BA1081="WIP - 30 Days",VLOOKUP(D1081,[3]Extended!$B$9:$E$101,4,FALSE),IF(BA1081="31-120 Days",VLOOKUP(D1081,[3]Extended!$B$9:$F$101,5,FALSE),IF(BA1081="121-365 Days",VLOOKUP(D1081,[3]Extended!$B$9:$G$101,6,FALSE),VLOOKUP(D1081,[3]Extended!$B$9:$H$101,7,FALSE)))),0)</f>
        <v>0</v>
      </c>
      <c r="O1081" s="269">
        <f>IFERROR(IF(BA1081="WIP - 30 Days",VLOOKUP(D1081,[3]Extended!$B$9:$J$101,9,FALSE),IF(BA1081="31-120 Days",VLOOKUP(D1081,[3]Extended!$B$9:$K$101,10,FALSE),IF(BA1081="121-365 Days",VLOOKUP(D1081,[3]Extended!$B$9:$L$101,11,FALSE),VLOOKUP(D1081,[3]Extended!$B$9:$M$101,12,FALSE)))),0)</f>
        <v>0</v>
      </c>
      <c r="P1081" s="116" t="e">
        <f t="shared" si="81"/>
        <v>#VALUE!</v>
      </c>
      <c r="Q1081" s="110" t="e">
        <f>O1081-#REF!</f>
        <v>#REF!</v>
      </c>
      <c r="W1081" s="311"/>
      <c r="X1081" s="311"/>
      <c r="Y1081" s="311"/>
      <c r="Z1081" s="311"/>
      <c r="AA1081" s="311"/>
      <c r="AB1081" s="311"/>
      <c r="AC1081" s="311"/>
      <c r="AT1081" s="88" t="str">
        <f t="shared" si="82"/>
        <v>Special Order0</v>
      </c>
      <c r="AU1081" s="89" t="str">
        <f t="shared" si="83"/>
        <v>01-1900</v>
      </c>
      <c r="BA1081" s="92" t="str">
        <f t="shared" si="84"/>
        <v/>
      </c>
    </row>
    <row r="1082" spans="2:53">
      <c r="B1082" s="60">
        <f>[2]Trucks!A1079</f>
        <v>0</v>
      </c>
      <c r="C1082" s="11">
        <f>[2]Trucks!B1079</f>
        <v>0</v>
      </c>
      <c r="D1082" s="19" t="str">
        <f>IFERROR(VLOOKUP(C1082&amp;"",'[2]Retail Price List'!$A$3:$B$103,2,FALSE),"Special Order")</f>
        <v>Special Order</v>
      </c>
      <c r="E1082" s="18">
        <f>[2]Trucks!J1079</f>
        <v>0</v>
      </c>
      <c r="F1082" s="12">
        <f>[2]Trucks!E1079</f>
        <v>0</v>
      </c>
      <c r="G1082" s="56">
        <f>[2]Trucks!K1079</f>
        <v>0</v>
      </c>
      <c r="H1082" s="46">
        <f>[2]Trucks!I1079</f>
        <v>0</v>
      </c>
      <c r="I1082" s="83" t="str">
        <f t="shared" si="80"/>
        <v/>
      </c>
      <c r="J1082" s="272" t="str">
        <f>IFERROR(VLOOKUP((D1082&amp;C1082)&amp;"",'[2]Retail Price List'!$C$4:$F$102,3,FALSE),"")</f>
        <v/>
      </c>
      <c r="K1082" s="272">
        <f>IFERROR(IF(BA1082="WIP - 30 Days",VLOOKUP(D1082,[3]Standard!$B$9:$E$101,4,FALSE),IF(BA1082="31-120 Days",VLOOKUP(D1082,[3]Standard!$B$9:$F$101,5,FALSE),IF(BA1082="121-365 Days",VLOOKUP(D1082,[3]Standard!$B$9:$G$101,6,FALSE),VLOOKUP(D1082,[3]Standard!$B$9:$H$101,7,FALSE)))),0)</f>
        <v>0</v>
      </c>
      <c r="L1082" s="272">
        <f>IFERROR(IF(BA1082="WIP - 30 Days",VLOOKUP(D1082,[3]Standard!$B$9:$J$101,9,FALSE),IF(BA1082="31-120 Days",VLOOKUP(D1082,[3]Standard!$B$9:$K$100,10,FALSE),IF(BA1082="121-365 Days",VLOOKUP(D1082,[3]Standard!$B$9:$L$101,11,FALSE),VLOOKUP(D1082,[3]Standard!$B$9:$M$101,12,FALSE)))),0)</f>
        <v>0</v>
      </c>
      <c r="M1082" s="269" t="str">
        <f>IFERROR(VLOOKUP((D1082&amp;C1082)&amp;"",'[2]Retail Price List'!$C$4:$F$102,4,FALSE),"")</f>
        <v/>
      </c>
      <c r="N1082" s="269">
        <f>IFERROR(IF(BA1082="WIP - 30 Days",VLOOKUP(D1082,[3]Extended!$B$9:$E$101,4,FALSE),IF(BA1082="31-120 Days",VLOOKUP(D1082,[3]Extended!$B$9:$F$101,5,FALSE),IF(BA1082="121-365 Days",VLOOKUP(D1082,[3]Extended!$B$9:$G$101,6,FALSE),VLOOKUP(D1082,[3]Extended!$B$9:$H$101,7,FALSE)))),0)</f>
        <v>0</v>
      </c>
      <c r="O1082" s="269">
        <f>IFERROR(IF(BA1082="WIP - 30 Days",VLOOKUP(D1082,[3]Extended!$B$9:$J$101,9,FALSE),IF(BA1082="31-120 Days",VLOOKUP(D1082,[3]Extended!$B$9:$K$101,10,FALSE),IF(BA1082="121-365 Days",VLOOKUP(D1082,[3]Extended!$B$9:$L$101,11,FALSE),VLOOKUP(D1082,[3]Extended!$B$9:$M$101,12,FALSE)))),0)</f>
        <v>0</v>
      </c>
      <c r="P1082" s="116" t="e">
        <f t="shared" si="81"/>
        <v>#VALUE!</v>
      </c>
      <c r="Q1082" s="110" t="e">
        <f>O1082-#REF!</f>
        <v>#REF!</v>
      </c>
      <c r="W1082" s="311"/>
      <c r="X1082" s="311"/>
      <c r="Y1082" s="311"/>
      <c r="Z1082" s="311"/>
      <c r="AA1082" s="311"/>
      <c r="AB1082" s="311"/>
      <c r="AC1082" s="311"/>
      <c r="AT1082" s="88" t="str">
        <f t="shared" si="82"/>
        <v>Special Order0</v>
      </c>
      <c r="AU1082" s="89" t="str">
        <f t="shared" si="83"/>
        <v>01-1900</v>
      </c>
      <c r="BA1082" s="92" t="str">
        <f t="shared" si="84"/>
        <v/>
      </c>
    </row>
    <row r="1083" spans="2:53">
      <c r="B1083" s="60">
        <f>[2]Trucks!A1080</f>
        <v>0</v>
      </c>
      <c r="C1083" s="11">
        <f>[2]Trucks!B1080</f>
        <v>0</v>
      </c>
      <c r="D1083" s="19" t="str">
        <f>IFERROR(VLOOKUP(C1083&amp;"",'[2]Retail Price List'!$A$3:$B$103,2,FALSE),"Special Order")</f>
        <v>Special Order</v>
      </c>
      <c r="E1083" s="18">
        <f>[2]Trucks!J1080</f>
        <v>0</v>
      </c>
      <c r="F1083" s="12">
        <f>[2]Trucks!E1080</f>
        <v>0</v>
      </c>
      <c r="G1083" s="56">
        <f>[2]Trucks!K1080</f>
        <v>0</v>
      </c>
      <c r="H1083" s="46">
        <f>[2]Trucks!I1080</f>
        <v>0</v>
      </c>
      <c r="I1083" s="83" t="str">
        <f t="shared" si="80"/>
        <v/>
      </c>
      <c r="J1083" s="272" t="str">
        <f>IFERROR(VLOOKUP((D1083&amp;C1083)&amp;"",'[2]Retail Price List'!$C$4:$F$102,3,FALSE),"")</f>
        <v/>
      </c>
      <c r="K1083" s="272">
        <f>IFERROR(IF(BA1083="WIP - 30 Days",VLOOKUP(D1083,[3]Standard!$B$9:$E$101,4,FALSE),IF(BA1083="31-120 Days",VLOOKUP(D1083,[3]Standard!$B$9:$F$101,5,FALSE),IF(BA1083="121-365 Days",VLOOKUP(D1083,[3]Standard!$B$9:$G$101,6,FALSE),VLOOKUP(D1083,[3]Standard!$B$9:$H$101,7,FALSE)))),0)</f>
        <v>0</v>
      </c>
      <c r="L1083" s="272">
        <f>IFERROR(IF(BA1083="WIP - 30 Days",VLOOKUP(D1083,[3]Standard!$B$9:$J$101,9,FALSE),IF(BA1083="31-120 Days",VLOOKUP(D1083,[3]Standard!$B$9:$K$100,10,FALSE),IF(BA1083="121-365 Days",VLOOKUP(D1083,[3]Standard!$B$9:$L$101,11,FALSE),VLOOKUP(D1083,[3]Standard!$B$9:$M$101,12,FALSE)))),0)</f>
        <v>0</v>
      </c>
      <c r="M1083" s="269" t="str">
        <f>IFERROR(VLOOKUP((D1083&amp;C1083)&amp;"",'[2]Retail Price List'!$C$4:$F$102,4,FALSE),"")</f>
        <v/>
      </c>
      <c r="N1083" s="269">
        <f>IFERROR(IF(BA1083="WIP - 30 Days",VLOOKUP(D1083,[3]Extended!$B$9:$E$101,4,FALSE),IF(BA1083="31-120 Days",VLOOKUP(D1083,[3]Extended!$B$9:$F$101,5,FALSE),IF(BA1083="121-365 Days",VLOOKUP(D1083,[3]Extended!$B$9:$G$101,6,FALSE),VLOOKUP(D1083,[3]Extended!$B$9:$H$101,7,FALSE)))),0)</f>
        <v>0</v>
      </c>
      <c r="O1083" s="269">
        <f>IFERROR(IF(BA1083="WIP - 30 Days",VLOOKUP(D1083,[3]Extended!$B$9:$J$101,9,FALSE),IF(BA1083="31-120 Days",VLOOKUP(D1083,[3]Extended!$B$9:$K$101,10,FALSE),IF(BA1083="121-365 Days",VLOOKUP(D1083,[3]Extended!$B$9:$L$101,11,FALSE),VLOOKUP(D1083,[3]Extended!$B$9:$M$101,12,FALSE)))),0)</f>
        <v>0</v>
      </c>
      <c r="P1083" s="116" t="e">
        <f t="shared" si="81"/>
        <v>#VALUE!</v>
      </c>
      <c r="Q1083" s="110" t="e">
        <f>O1083-#REF!</f>
        <v>#REF!</v>
      </c>
      <c r="W1083" s="311"/>
      <c r="X1083" s="311"/>
      <c r="Y1083" s="311"/>
      <c r="Z1083" s="311"/>
      <c r="AA1083" s="311"/>
      <c r="AB1083" s="311"/>
      <c r="AC1083" s="311"/>
      <c r="AT1083" s="88" t="str">
        <f t="shared" si="82"/>
        <v>Special Order0</v>
      </c>
      <c r="AU1083" s="89" t="str">
        <f t="shared" si="83"/>
        <v>01-1900</v>
      </c>
      <c r="BA1083" s="92" t="str">
        <f t="shared" si="84"/>
        <v/>
      </c>
    </row>
    <row r="1084" spans="2:53">
      <c r="B1084" s="60">
        <f>[2]Trucks!A1081</f>
        <v>0</v>
      </c>
      <c r="C1084" s="11">
        <f>[2]Trucks!B1081</f>
        <v>0</v>
      </c>
      <c r="D1084" s="19" t="str">
        <f>IFERROR(VLOOKUP(C1084&amp;"",'[2]Retail Price List'!$A$3:$B$103,2,FALSE),"Special Order")</f>
        <v>Special Order</v>
      </c>
      <c r="E1084" s="18">
        <f>[2]Trucks!J1081</f>
        <v>0</v>
      </c>
      <c r="F1084" s="12">
        <f>[2]Trucks!E1081</f>
        <v>0</v>
      </c>
      <c r="G1084" s="56">
        <f>[2]Trucks!K1081</f>
        <v>0</v>
      </c>
      <c r="H1084" s="46">
        <f>[2]Trucks!I1081</f>
        <v>0</v>
      </c>
      <c r="I1084" s="83" t="str">
        <f t="shared" si="80"/>
        <v/>
      </c>
      <c r="J1084" s="272" t="str">
        <f>IFERROR(VLOOKUP((D1084&amp;C1084)&amp;"",'[2]Retail Price List'!$C$4:$F$102,3,FALSE),"")</f>
        <v/>
      </c>
      <c r="K1084" s="272">
        <f>IFERROR(IF(BA1084="WIP - 30 Days",VLOOKUP(D1084,[3]Standard!$B$9:$E$101,4,FALSE),IF(BA1084="31-120 Days",VLOOKUP(D1084,[3]Standard!$B$9:$F$101,5,FALSE),IF(BA1084="121-365 Days",VLOOKUP(D1084,[3]Standard!$B$9:$G$101,6,FALSE),VLOOKUP(D1084,[3]Standard!$B$9:$H$101,7,FALSE)))),0)</f>
        <v>0</v>
      </c>
      <c r="L1084" s="272">
        <f>IFERROR(IF(BA1084="WIP - 30 Days",VLOOKUP(D1084,[3]Standard!$B$9:$J$101,9,FALSE),IF(BA1084="31-120 Days",VLOOKUP(D1084,[3]Standard!$B$9:$K$100,10,FALSE),IF(BA1084="121-365 Days",VLOOKUP(D1084,[3]Standard!$B$9:$L$101,11,FALSE),VLOOKUP(D1084,[3]Standard!$B$9:$M$101,12,FALSE)))),0)</f>
        <v>0</v>
      </c>
      <c r="M1084" s="269" t="str">
        <f>IFERROR(VLOOKUP((D1084&amp;C1084)&amp;"",'[2]Retail Price List'!$C$4:$F$102,4,FALSE),"")</f>
        <v/>
      </c>
      <c r="N1084" s="269">
        <f>IFERROR(IF(BA1084="WIP - 30 Days",VLOOKUP(D1084,[3]Extended!$B$9:$E$101,4,FALSE),IF(BA1084="31-120 Days",VLOOKUP(D1084,[3]Extended!$B$9:$F$101,5,FALSE),IF(BA1084="121-365 Days",VLOOKUP(D1084,[3]Extended!$B$9:$G$101,6,FALSE),VLOOKUP(D1084,[3]Extended!$B$9:$H$101,7,FALSE)))),0)</f>
        <v>0</v>
      </c>
      <c r="O1084" s="269">
        <f>IFERROR(IF(BA1084="WIP - 30 Days",VLOOKUP(D1084,[3]Extended!$B$9:$J$101,9,FALSE),IF(BA1084="31-120 Days",VLOOKUP(D1084,[3]Extended!$B$9:$K$101,10,FALSE),IF(BA1084="121-365 Days",VLOOKUP(D1084,[3]Extended!$B$9:$L$101,11,FALSE),VLOOKUP(D1084,[3]Extended!$B$9:$M$101,12,FALSE)))),0)</f>
        <v>0</v>
      </c>
      <c r="P1084" s="116" t="e">
        <f t="shared" si="81"/>
        <v>#VALUE!</v>
      </c>
      <c r="Q1084" s="110" t="e">
        <f>O1084-#REF!</f>
        <v>#REF!</v>
      </c>
      <c r="W1084" s="311"/>
      <c r="X1084" s="311"/>
      <c r="Y1084" s="311"/>
      <c r="Z1084" s="311"/>
      <c r="AA1084" s="311"/>
      <c r="AB1084" s="311"/>
      <c r="AC1084" s="311"/>
      <c r="AT1084" s="88" t="str">
        <f t="shared" si="82"/>
        <v>Special Order0</v>
      </c>
      <c r="AU1084" s="89" t="str">
        <f t="shared" si="83"/>
        <v>01-1900</v>
      </c>
      <c r="BA1084" s="92" t="str">
        <f t="shared" si="84"/>
        <v/>
      </c>
    </row>
    <row r="1085" spans="2:53">
      <c r="B1085" s="60">
        <f>[2]Trucks!A1082</f>
        <v>0</v>
      </c>
      <c r="C1085" s="11">
        <f>[2]Trucks!B1082</f>
        <v>0</v>
      </c>
      <c r="D1085" s="19" t="str">
        <f>IFERROR(VLOOKUP(C1085&amp;"",'[2]Retail Price List'!$A$3:$B$103,2,FALSE),"Special Order")</f>
        <v>Special Order</v>
      </c>
      <c r="E1085" s="18">
        <f>[2]Trucks!J1082</f>
        <v>0</v>
      </c>
      <c r="F1085" s="12">
        <f>[2]Trucks!E1082</f>
        <v>0</v>
      </c>
      <c r="G1085" s="56">
        <f>[2]Trucks!K1082</f>
        <v>0</v>
      </c>
      <c r="H1085" s="46">
        <f>[2]Trucks!I1082</f>
        <v>0</v>
      </c>
      <c r="I1085" s="83" t="str">
        <f t="shared" si="80"/>
        <v/>
      </c>
      <c r="J1085" s="272" t="str">
        <f>IFERROR(VLOOKUP((D1085&amp;C1085)&amp;"",'[2]Retail Price List'!$C$4:$F$102,3,FALSE),"")</f>
        <v/>
      </c>
      <c r="K1085" s="272">
        <f>IFERROR(IF(BA1085="WIP - 30 Days",VLOOKUP(D1085,[3]Standard!$B$9:$E$101,4,FALSE),IF(BA1085="31-120 Days",VLOOKUP(D1085,[3]Standard!$B$9:$F$101,5,FALSE),IF(BA1085="121-365 Days",VLOOKUP(D1085,[3]Standard!$B$9:$G$101,6,FALSE),VLOOKUP(D1085,[3]Standard!$B$9:$H$101,7,FALSE)))),0)</f>
        <v>0</v>
      </c>
      <c r="L1085" s="272">
        <f>IFERROR(IF(BA1085="WIP - 30 Days",VLOOKUP(D1085,[3]Standard!$B$9:$J$101,9,FALSE),IF(BA1085="31-120 Days",VLOOKUP(D1085,[3]Standard!$B$9:$K$100,10,FALSE),IF(BA1085="121-365 Days",VLOOKUP(D1085,[3]Standard!$B$9:$L$101,11,FALSE),VLOOKUP(D1085,[3]Standard!$B$9:$M$101,12,FALSE)))),0)</f>
        <v>0</v>
      </c>
      <c r="M1085" s="269" t="str">
        <f>IFERROR(VLOOKUP((D1085&amp;C1085)&amp;"",'[2]Retail Price List'!$C$4:$F$102,4,FALSE),"")</f>
        <v/>
      </c>
      <c r="N1085" s="269">
        <f>IFERROR(IF(BA1085="WIP - 30 Days",VLOOKUP(D1085,[3]Extended!$B$9:$E$101,4,FALSE),IF(BA1085="31-120 Days",VLOOKUP(D1085,[3]Extended!$B$9:$F$101,5,FALSE),IF(BA1085="121-365 Days",VLOOKUP(D1085,[3]Extended!$B$9:$G$101,6,FALSE),VLOOKUP(D1085,[3]Extended!$B$9:$H$101,7,FALSE)))),0)</f>
        <v>0</v>
      </c>
      <c r="O1085" s="269">
        <f>IFERROR(IF(BA1085="WIP - 30 Days",VLOOKUP(D1085,[3]Extended!$B$9:$J$101,9,FALSE),IF(BA1085="31-120 Days",VLOOKUP(D1085,[3]Extended!$B$9:$K$101,10,FALSE),IF(BA1085="121-365 Days",VLOOKUP(D1085,[3]Extended!$B$9:$L$101,11,FALSE),VLOOKUP(D1085,[3]Extended!$B$9:$M$101,12,FALSE)))),0)</f>
        <v>0</v>
      </c>
      <c r="P1085" s="116" t="e">
        <f t="shared" si="81"/>
        <v>#VALUE!</v>
      </c>
      <c r="Q1085" s="110" t="e">
        <f>O1085-#REF!</f>
        <v>#REF!</v>
      </c>
      <c r="W1085" s="311"/>
      <c r="X1085" s="311"/>
      <c r="Y1085" s="311"/>
      <c r="Z1085" s="311"/>
      <c r="AA1085" s="311"/>
      <c r="AB1085" s="311"/>
      <c r="AC1085" s="311"/>
      <c r="AT1085" s="88" t="str">
        <f t="shared" si="82"/>
        <v>Special Order0</v>
      </c>
      <c r="AU1085" s="89" t="str">
        <f t="shared" si="83"/>
        <v>01-1900</v>
      </c>
      <c r="BA1085" s="92" t="str">
        <f t="shared" si="84"/>
        <v/>
      </c>
    </row>
    <row r="1086" spans="2:53">
      <c r="B1086" s="60">
        <f>[2]Trucks!A1083</f>
        <v>0</v>
      </c>
      <c r="C1086" s="11">
        <f>[2]Trucks!B1083</f>
        <v>0</v>
      </c>
      <c r="D1086" s="19" t="str">
        <f>IFERROR(VLOOKUP(C1086&amp;"",'[2]Retail Price List'!$A$3:$B$103,2,FALSE),"Special Order")</f>
        <v>Special Order</v>
      </c>
      <c r="E1086" s="18">
        <f>[2]Trucks!J1083</f>
        <v>0</v>
      </c>
      <c r="F1086" s="12">
        <f>[2]Trucks!E1083</f>
        <v>0</v>
      </c>
      <c r="G1086" s="56">
        <f>[2]Trucks!K1083</f>
        <v>0</v>
      </c>
      <c r="H1086" s="46">
        <f>[2]Trucks!I1083</f>
        <v>0</v>
      </c>
      <c r="I1086" s="83" t="str">
        <f t="shared" si="80"/>
        <v/>
      </c>
      <c r="J1086" s="272" t="str">
        <f>IFERROR(VLOOKUP((D1086&amp;C1086)&amp;"",'[2]Retail Price List'!$C$4:$F$102,3,FALSE),"")</f>
        <v/>
      </c>
      <c r="K1086" s="272">
        <f>IFERROR(IF(BA1086="WIP - 30 Days",VLOOKUP(D1086,[3]Standard!$B$9:$E$101,4,FALSE),IF(BA1086="31-120 Days",VLOOKUP(D1086,[3]Standard!$B$9:$F$101,5,FALSE),IF(BA1086="121-365 Days",VLOOKUP(D1086,[3]Standard!$B$9:$G$101,6,FALSE),VLOOKUP(D1086,[3]Standard!$B$9:$H$101,7,FALSE)))),0)</f>
        <v>0</v>
      </c>
      <c r="L1086" s="272">
        <f>IFERROR(IF(BA1086="WIP - 30 Days",VLOOKUP(D1086,[3]Standard!$B$9:$J$101,9,FALSE),IF(BA1086="31-120 Days",VLOOKUP(D1086,[3]Standard!$B$9:$K$100,10,FALSE),IF(BA1086="121-365 Days",VLOOKUP(D1086,[3]Standard!$B$9:$L$101,11,FALSE),VLOOKUP(D1086,[3]Standard!$B$9:$M$101,12,FALSE)))),0)</f>
        <v>0</v>
      </c>
      <c r="M1086" s="269" t="str">
        <f>IFERROR(VLOOKUP((D1086&amp;C1086)&amp;"",'[2]Retail Price List'!$C$4:$F$102,4,FALSE),"")</f>
        <v/>
      </c>
      <c r="N1086" s="269">
        <f>IFERROR(IF(BA1086="WIP - 30 Days",VLOOKUP(D1086,[3]Extended!$B$9:$E$101,4,FALSE),IF(BA1086="31-120 Days",VLOOKUP(D1086,[3]Extended!$B$9:$F$101,5,FALSE),IF(BA1086="121-365 Days",VLOOKUP(D1086,[3]Extended!$B$9:$G$101,6,FALSE),VLOOKUP(D1086,[3]Extended!$B$9:$H$101,7,FALSE)))),0)</f>
        <v>0</v>
      </c>
      <c r="O1086" s="269">
        <f>IFERROR(IF(BA1086="WIP - 30 Days",VLOOKUP(D1086,[3]Extended!$B$9:$J$101,9,FALSE),IF(BA1086="31-120 Days",VLOOKUP(D1086,[3]Extended!$B$9:$K$101,10,FALSE),IF(BA1086="121-365 Days",VLOOKUP(D1086,[3]Extended!$B$9:$L$101,11,FALSE),VLOOKUP(D1086,[3]Extended!$B$9:$M$101,12,FALSE)))),0)</f>
        <v>0</v>
      </c>
      <c r="P1086" s="116" t="e">
        <f t="shared" si="81"/>
        <v>#VALUE!</v>
      </c>
      <c r="Q1086" s="110" t="e">
        <f>O1086-#REF!</f>
        <v>#REF!</v>
      </c>
      <c r="W1086" s="311"/>
      <c r="X1086" s="311"/>
      <c r="Y1086" s="311"/>
      <c r="Z1086" s="311"/>
      <c r="AA1086" s="311"/>
      <c r="AB1086" s="311"/>
      <c r="AC1086" s="311"/>
      <c r="AT1086" s="88" t="str">
        <f t="shared" si="82"/>
        <v>Special Order0</v>
      </c>
      <c r="AU1086" s="89" t="str">
        <f t="shared" si="83"/>
        <v>01-1900</v>
      </c>
      <c r="BA1086" s="92" t="str">
        <f t="shared" si="84"/>
        <v/>
      </c>
    </row>
    <row r="1087" spans="2:53">
      <c r="B1087" s="60">
        <f>[2]Trucks!A1084</f>
        <v>0</v>
      </c>
      <c r="C1087" s="11">
        <f>[2]Trucks!B1084</f>
        <v>0</v>
      </c>
      <c r="D1087" s="19" t="str">
        <f>IFERROR(VLOOKUP(C1087&amp;"",'[2]Retail Price List'!$A$3:$B$103,2,FALSE),"Special Order")</f>
        <v>Special Order</v>
      </c>
      <c r="E1087" s="18">
        <f>[2]Trucks!J1084</f>
        <v>0</v>
      </c>
      <c r="F1087" s="12">
        <f>[2]Trucks!E1084</f>
        <v>0</v>
      </c>
      <c r="G1087" s="56">
        <f>[2]Trucks!K1084</f>
        <v>0</v>
      </c>
      <c r="H1087" s="46">
        <f>[2]Trucks!I1084</f>
        <v>0</v>
      </c>
      <c r="I1087" s="83" t="str">
        <f t="shared" si="80"/>
        <v/>
      </c>
      <c r="J1087" s="272" t="str">
        <f>IFERROR(VLOOKUP((D1087&amp;C1087)&amp;"",'[2]Retail Price List'!$C$4:$F$102,3,FALSE),"")</f>
        <v/>
      </c>
      <c r="K1087" s="272">
        <f>IFERROR(IF(BA1087="WIP - 30 Days",VLOOKUP(D1087,[3]Standard!$B$9:$E$101,4,FALSE),IF(BA1087="31-120 Days",VLOOKUP(D1087,[3]Standard!$B$9:$F$101,5,FALSE),IF(BA1087="121-365 Days",VLOOKUP(D1087,[3]Standard!$B$9:$G$101,6,FALSE),VLOOKUP(D1087,[3]Standard!$B$9:$H$101,7,FALSE)))),0)</f>
        <v>0</v>
      </c>
      <c r="L1087" s="272">
        <f>IFERROR(IF(BA1087="WIP - 30 Days",VLOOKUP(D1087,[3]Standard!$B$9:$J$101,9,FALSE),IF(BA1087="31-120 Days",VLOOKUP(D1087,[3]Standard!$B$9:$K$100,10,FALSE),IF(BA1087="121-365 Days",VLOOKUP(D1087,[3]Standard!$B$9:$L$101,11,FALSE),VLOOKUP(D1087,[3]Standard!$B$9:$M$101,12,FALSE)))),0)</f>
        <v>0</v>
      </c>
      <c r="M1087" s="269" t="str">
        <f>IFERROR(VLOOKUP((D1087&amp;C1087)&amp;"",'[2]Retail Price List'!$C$4:$F$102,4,FALSE),"")</f>
        <v/>
      </c>
      <c r="N1087" s="269">
        <f>IFERROR(IF(BA1087="WIP - 30 Days",VLOOKUP(D1087,[3]Extended!$B$9:$E$101,4,FALSE),IF(BA1087="31-120 Days",VLOOKUP(D1087,[3]Extended!$B$9:$F$101,5,FALSE),IF(BA1087="121-365 Days",VLOOKUP(D1087,[3]Extended!$B$9:$G$101,6,FALSE),VLOOKUP(D1087,[3]Extended!$B$9:$H$101,7,FALSE)))),0)</f>
        <v>0</v>
      </c>
      <c r="O1087" s="269">
        <f>IFERROR(IF(BA1087="WIP - 30 Days",VLOOKUP(D1087,[3]Extended!$B$9:$J$101,9,FALSE),IF(BA1087="31-120 Days",VLOOKUP(D1087,[3]Extended!$B$9:$K$101,10,FALSE),IF(BA1087="121-365 Days",VLOOKUP(D1087,[3]Extended!$B$9:$L$101,11,FALSE),VLOOKUP(D1087,[3]Extended!$B$9:$M$101,12,FALSE)))),0)</f>
        <v>0</v>
      </c>
      <c r="P1087" s="116" t="e">
        <f t="shared" si="81"/>
        <v>#VALUE!</v>
      </c>
      <c r="Q1087" s="110" t="e">
        <f>O1087-#REF!</f>
        <v>#REF!</v>
      </c>
      <c r="W1087" s="311"/>
      <c r="X1087" s="311"/>
      <c r="Y1087" s="311"/>
      <c r="Z1087" s="311"/>
      <c r="AA1087" s="311"/>
      <c r="AB1087" s="311"/>
      <c r="AC1087" s="311"/>
      <c r="AT1087" s="88" t="str">
        <f t="shared" si="82"/>
        <v>Special Order0</v>
      </c>
      <c r="AU1087" s="89" t="str">
        <f t="shared" si="83"/>
        <v>01-1900</v>
      </c>
      <c r="BA1087" s="92" t="str">
        <f t="shared" si="84"/>
        <v/>
      </c>
    </row>
    <row r="1088" spans="2:53">
      <c r="B1088" s="60">
        <f>[2]Trucks!A1085</f>
        <v>0</v>
      </c>
      <c r="C1088" s="11">
        <f>[2]Trucks!B1085</f>
        <v>0</v>
      </c>
      <c r="D1088" s="19" t="str">
        <f>IFERROR(VLOOKUP(C1088&amp;"",'[2]Retail Price List'!$A$3:$B$103,2,FALSE),"Special Order")</f>
        <v>Special Order</v>
      </c>
      <c r="E1088" s="18">
        <f>[2]Trucks!J1085</f>
        <v>0</v>
      </c>
      <c r="F1088" s="12">
        <f>[2]Trucks!E1085</f>
        <v>0</v>
      </c>
      <c r="G1088" s="56">
        <f>[2]Trucks!K1085</f>
        <v>0</v>
      </c>
      <c r="H1088" s="46">
        <f>[2]Trucks!I1085</f>
        <v>0</v>
      </c>
      <c r="I1088" s="83" t="str">
        <f t="shared" si="80"/>
        <v/>
      </c>
      <c r="J1088" s="272" t="str">
        <f>IFERROR(VLOOKUP((D1088&amp;C1088)&amp;"",'[2]Retail Price List'!$C$4:$F$102,3,FALSE),"")</f>
        <v/>
      </c>
      <c r="K1088" s="272">
        <f>IFERROR(IF(BA1088="WIP - 30 Days",VLOOKUP(D1088,[3]Standard!$B$9:$E$101,4,FALSE),IF(BA1088="31-120 Days",VLOOKUP(D1088,[3]Standard!$B$9:$F$101,5,FALSE),IF(BA1088="121-365 Days",VLOOKUP(D1088,[3]Standard!$B$9:$G$101,6,FALSE),VLOOKUP(D1088,[3]Standard!$B$9:$H$101,7,FALSE)))),0)</f>
        <v>0</v>
      </c>
      <c r="L1088" s="272">
        <f>IFERROR(IF(BA1088="WIP - 30 Days",VLOOKUP(D1088,[3]Standard!$B$9:$J$101,9,FALSE),IF(BA1088="31-120 Days",VLOOKUP(D1088,[3]Standard!$B$9:$K$100,10,FALSE),IF(BA1088="121-365 Days",VLOOKUP(D1088,[3]Standard!$B$9:$L$101,11,FALSE),VLOOKUP(D1088,[3]Standard!$B$9:$M$101,12,FALSE)))),0)</f>
        <v>0</v>
      </c>
      <c r="M1088" s="269" t="str">
        <f>IFERROR(VLOOKUP((D1088&amp;C1088)&amp;"",'[2]Retail Price List'!$C$4:$F$102,4,FALSE),"")</f>
        <v/>
      </c>
      <c r="N1088" s="269">
        <f>IFERROR(IF(BA1088="WIP - 30 Days",VLOOKUP(D1088,[3]Extended!$B$9:$E$101,4,FALSE),IF(BA1088="31-120 Days",VLOOKUP(D1088,[3]Extended!$B$9:$F$101,5,FALSE),IF(BA1088="121-365 Days",VLOOKUP(D1088,[3]Extended!$B$9:$G$101,6,FALSE),VLOOKUP(D1088,[3]Extended!$B$9:$H$101,7,FALSE)))),0)</f>
        <v>0</v>
      </c>
      <c r="O1088" s="269">
        <f>IFERROR(IF(BA1088="WIP - 30 Days",VLOOKUP(D1088,[3]Extended!$B$9:$J$101,9,FALSE),IF(BA1088="31-120 Days",VLOOKUP(D1088,[3]Extended!$B$9:$K$101,10,FALSE),IF(BA1088="121-365 Days",VLOOKUP(D1088,[3]Extended!$B$9:$L$101,11,FALSE),VLOOKUP(D1088,[3]Extended!$B$9:$M$101,12,FALSE)))),0)</f>
        <v>0</v>
      </c>
      <c r="P1088" s="116" t="e">
        <f t="shared" si="81"/>
        <v>#VALUE!</v>
      </c>
      <c r="Q1088" s="110" t="e">
        <f>O1088-#REF!</f>
        <v>#REF!</v>
      </c>
      <c r="W1088" s="311"/>
      <c r="X1088" s="311"/>
      <c r="Y1088" s="311"/>
      <c r="Z1088" s="311"/>
      <c r="AA1088" s="311"/>
      <c r="AB1088" s="311"/>
      <c r="AC1088" s="311"/>
      <c r="AT1088" s="88" t="str">
        <f t="shared" si="82"/>
        <v>Special Order0</v>
      </c>
      <c r="AU1088" s="89" t="str">
        <f t="shared" si="83"/>
        <v>01-1900</v>
      </c>
      <c r="BA1088" s="92" t="str">
        <f t="shared" si="84"/>
        <v/>
      </c>
    </row>
    <row r="1089" spans="2:53">
      <c r="B1089" s="60">
        <f>[2]Trucks!A1086</f>
        <v>0</v>
      </c>
      <c r="C1089" s="11">
        <f>[2]Trucks!B1086</f>
        <v>0</v>
      </c>
      <c r="D1089" s="19" t="str">
        <f>IFERROR(VLOOKUP(C1089&amp;"",'[2]Retail Price List'!$A$3:$B$103,2,FALSE),"Special Order")</f>
        <v>Special Order</v>
      </c>
      <c r="E1089" s="18">
        <f>[2]Trucks!J1086</f>
        <v>0</v>
      </c>
      <c r="F1089" s="12">
        <f>[2]Trucks!E1086</f>
        <v>0</v>
      </c>
      <c r="G1089" s="56">
        <f>[2]Trucks!K1086</f>
        <v>0</v>
      </c>
      <c r="H1089" s="46">
        <f>[2]Trucks!I1086</f>
        <v>0</v>
      </c>
      <c r="I1089" s="83" t="str">
        <f t="shared" si="80"/>
        <v/>
      </c>
      <c r="J1089" s="272" t="str">
        <f>IFERROR(VLOOKUP((D1089&amp;C1089)&amp;"",'[2]Retail Price List'!$C$4:$F$102,3,FALSE),"")</f>
        <v/>
      </c>
      <c r="K1089" s="272">
        <f>IFERROR(IF(BA1089="WIP - 30 Days",VLOOKUP(D1089,[3]Standard!$B$9:$E$101,4,FALSE),IF(BA1089="31-120 Days",VLOOKUP(D1089,[3]Standard!$B$9:$F$101,5,FALSE),IF(BA1089="121-365 Days",VLOOKUP(D1089,[3]Standard!$B$9:$G$101,6,FALSE),VLOOKUP(D1089,[3]Standard!$B$9:$H$101,7,FALSE)))),0)</f>
        <v>0</v>
      </c>
      <c r="L1089" s="272">
        <f>IFERROR(IF(BA1089="WIP - 30 Days",VLOOKUP(D1089,[3]Standard!$B$9:$J$101,9,FALSE),IF(BA1089="31-120 Days",VLOOKUP(D1089,[3]Standard!$B$9:$K$100,10,FALSE),IF(BA1089="121-365 Days",VLOOKUP(D1089,[3]Standard!$B$9:$L$101,11,FALSE),VLOOKUP(D1089,[3]Standard!$B$9:$M$101,12,FALSE)))),0)</f>
        <v>0</v>
      </c>
      <c r="M1089" s="269" t="str">
        <f>IFERROR(VLOOKUP((D1089&amp;C1089)&amp;"",'[2]Retail Price List'!$C$4:$F$102,4,FALSE),"")</f>
        <v/>
      </c>
      <c r="N1089" s="269">
        <f>IFERROR(IF(BA1089="WIP - 30 Days",VLOOKUP(D1089,[3]Extended!$B$9:$E$101,4,FALSE),IF(BA1089="31-120 Days",VLOOKUP(D1089,[3]Extended!$B$9:$F$101,5,FALSE),IF(BA1089="121-365 Days",VLOOKUP(D1089,[3]Extended!$B$9:$G$101,6,FALSE),VLOOKUP(D1089,[3]Extended!$B$9:$H$101,7,FALSE)))),0)</f>
        <v>0</v>
      </c>
      <c r="O1089" s="269">
        <f>IFERROR(IF(BA1089="WIP - 30 Days",VLOOKUP(D1089,[3]Extended!$B$9:$J$101,9,FALSE),IF(BA1089="31-120 Days",VLOOKUP(D1089,[3]Extended!$B$9:$K$101,10,FALSE),IF(BA1089="121-365 Days",VLOOKUP(D1089,[3]Extended!$B$9:$L$101,11,FALSE),VLOOKUP(D1089,[3]Extended!$B$9:$M$101,12,FALSE)))),0)</f>
        <v>0</v>
      </c>
      <c r="P1089" s="116" t="e">
        <f t="shared" si="81"/>
        <v>#VALUE!</v>
      </c>
      <c r="Q1089" s="110" t="e">
        <f>O1089-#REF!</f>
        <v>#REF!</v>
      </c>
      <c r="W1089" s="311"/>
      <c r="X1089" s="311"/>
      <c r="Y1089" s="311"/>
      <c r="Z1089" s="311"/>
      <c r="AA1089" s="311"/>
      <c r="AB1089" s="311"/>
      <c r="AC1089" s="311"/>
      <c r="AT1089" s="88" t="str">
        <f t="shared" si="82"/>
        <v>Special Order0</v>
      </c>
      <c r="AU1089" s="89" t="str">
        <f t="shared" si="83"/>
        <v>01-1900</v>
      </c>
      <c r="BA1089" s="92" t="str">
        <f t="shared" si="84"/>
        <v/>
      </c>
    </row>
    <row r="1090" spans="2:53">
      <c r="B1090" s="60">
        <f>[2]Trucks!A1087</f>
        <v>0</v>
      </c>
      <c r="C1090" s="11">
        <f>[2]Trucks!B1087</f>
        <v>0</v>
      </c>
      <c r="D1090" s="19" t="str">
        <f>IFERROR(VLOOKUP(C1090&amp;"",'[2]Retail Price List'!$A$3:$B$103,2,FALSE),"Special Order")</f>
        <v>Special Order</v>
      </c>
      <c r="E1090" s="18">
        <f>[2]Trucks!J1087</f>
        <v>0</v>
      </c>
      <c r="F1090" s="12">
        <f>[2]Trucks!E1087</f>
        <v>0</v>
      </c>
      <c r="G1090" s="56">
        <f>[2]Trucks!K1087</f>
        <v>0</v>
      </c>
      <c r="H1090" s="46">
        <f>[2]Trucks!I1087</f>
        <v>0</v>
      </c>
      <c r="I1090" s="83" t="str">
        <f t="shared" si="80"/>
        <v/>
      </c>
      <c r="J1090" s="272" t="str">
        <f>IFERROR(VLOOKUP((D1090&amp;C1090)&amp;"",'[2]Retail Price List'!$C$4:$F$102,3,FALSE),"")</f>
        <v/>
      </c>
      <c r="K1090" s="272">
        <f>IFERROR(IF(BA1090="WIP - 30 Days",VLOOKUP(D1090,[3]Standard!$B$9:$E$101,4,FALSE),IF(BA1090="31-120 Days",VLOOKUP(D1090,[3]Standard!$B$9:$F$101,5,FALSE),IF(BA1090="121-365 Days",VLOOKUP(D1090,[3]Standard!$B$9:$G$101,6,FALSE),VLOOKUP(D1090,[3]Standard!$B$9:$H$101,7,FALSE)))),0)</f>
        <v>0</v>
      </c>
      <c r="L1090" s="272">
        <f>IFERROR(IF(BA1090="WIP - 30 Days",VLOOKUP(D1090,[3]Standard!$B$9:$J$101,9,FALSE),IF(BA1090="31-120 Days",VLOOKUP(D1090,[3]Standard!$B$9:$K$100,10,FALSE),IF(BA1090="121-365 Days",VLOOKUP(D1090,[3]Standard!$B$9:$L$101,11,FALSE),VLOOKUP(D1090,[3]Standard!$B$9:$M$101,12,FALSE)))),0)</f>
        <v>0</v>
      </c>
      <c r="M1090" s="269" t="str">
        <f>IFERROR(VLOOKUP((D1090&amp;C1090)&amp;"",'[2]Retail Price List'!$C$4:$F$102,4,FALSE),"")</f>
        <v/>
      </c>
      <c r="N1090" s="269">
        <f>IFERROR(IF(BA1090="WIP - 30 Days",VLOOKUP(D1090,[3]Extended!$B$9:$E$101,4,FALSE),IF(BA1090="31-120 Days",VLOOKUP(D1090,[3]Extended!$B$9:$F$101,5,FALSE),IF(BA1090="121-365 Days",VLOOKUP(D1090,[3]Extended!$B$9:$G$101,6,FALSE),VLOOKUP(D1090,[3]Extended!$B$9:$H$101,7,FALSE)))),0)</f>
        <v>0</v>
      </c>
      <c r="O1090" s="269">
        <f>IFERROR(IF(BA1090="WIP - 30 Days",VLOOKUP(D1090,[3]Extended!$B$9:$J$101,9,FALSE),IF(BA1090="31-120 Days",VLOOKUP(D1090,[3]Extended!$B$9:$K$101,10,FALSE),IF(BA1090="121-365 Days",VLOOKUP(D1090,[3]Extended!$B$9:$L$101,11,FALSE),VLOOKUP(D1090,[3]Extended!$B$9:$M$101,12,FALSE)))),0)</f>
        <v>0</v>
      </c>
      <c r="P1090" s="116" t="e">
        <f t="shared" si="81"/>
        <v>#VALUE!</v>
      </c>
      <c r="Q1090" s="110" t="e">
        <f>O1090-#REF!</f>
        <v>#REF!</v>
      </c>
      <c r="W1090" s="311"/>
      <c r="X1090" s="311"/>
      <c r="Y1090" s="311"/>
      <c r="Z1090" s="311"/>
      <c r="AA1090" s="311"/>
      <c r="AB1090" s="311"/>
      <c r="AC1090" s="311"/>
      <c r="AT1090" s="88" t="str">
        <f t="shared" si="82"/>
        <v>Special Order0</v>
      </c>
      <c r="AU1090" s="89" t="str">
        <f t="shared" si="83"/>
        <v>01-1900</v>
      </c>
      <c r="BA1090" s="92" t="str">
        <f t="shared" si="84"/>
        <v/>
      </c>
    </row>
    <row r="1091" spans="2:53">
      <c r="B1091" s="60">
        <f>[2]Trucks!A1088</f>
        <v>0</v>
      </c>
      <c r="C1091" s="11">
        <f>[2]Trucks!B1088</f>
        <v>0</v>
      </c>
      <c r="D1091" s="19" t="str">
        <f>IFERROR(VLOOKUP(C1091&amp;"",'[2]Retail Price List'!$A$3:$B$103,2,FALSE),"Special Order")</f>
        <v>Special Order</v>
      </c>
      <c r="E1091" s="18">
        <f>[2]Trucks!J1088</f>
        <v>0</v>
      </c>
      <c r="F1091" s="12">
        <f>[2]Trucks!E1088</f>
        <v>0</v>
      </c>
      <c r="G1091" s="56">
        <f>[2]Trucks!K1088</f>
        <v>0</v>
      </c>
      <c r="H1091" s="46">
        <f>[2]Trucks!I1088</f>
        <v>0</v>
      </c>
      <c r="I1091" s="83" t="str">
        <f t="shared" si="80"/>
        <v/>
      </c>
      <c r="J1091" s="272" t="str">
        <f>IFERROR(VLOOKUP((D1091&amp;C1091)&amp;"",'[2]Retail Price List'!$C$4:$F$102,3,FALSE),"")</f>
        <v/>
      </c>
      <c r="K1091" s="272">
        <f>IFERROR(IF(BA1091="WIP - 30 Days",VLOOKUP(D1091,[3]Standard!$B$9:$E$101,4,FALSE),IF(BA1091="31-120 Days",VLOOKUP(D1091,[3]Standard!$B$9:$F$101,5,FALSE),IF(BA1091="121-365 Days",VLOOKUP(D1091,[3]Standard!$B$9:$G$101,6,FALSE),VLOOKUP(D1091,[3]Standard!$B$9:$H$101,7,FALSE)))),0)</f>
        <v>0</v>
      </c>
      <c r="L1091" s="272">
        <f>IFERROR(IF(BA1091="WIP - 30 Days",VLOOKUP(D1091,[3]Standard!$B$9:$J$101,9,FALSE),IF(BA1091="31-120 Days",VLOOKUP(D1091,[3]Standard!$B$9:$K$100,10,FALSE),IF(BA1091="121-365 Days",VLOOKUP(D1091,[3]Standard!$B$9:$L$101,11,FALSE),VLOOKUP(D1091,[3]Standard!$B$9:$M$101,12,FALSE)))),0)</f>
        <v>0</v>
      </c>
      <c r="M1091" s="269" t="str">
        <f>IFERROR(VLOOKUP((D1091&amp;C1091)&amp;"",'[2]Retail Price List'!$C$4:$F$102,4,FALSE),"")</f>
        <v/>
      </c>
      <c r="N1091" s="269">
        <f>IFERROR(IF(BA1091="WIP - 30 Days",VLOOKUP(D1091,[3]Extended!$B$9:$E$101,4,FALSE),IF(BA1091="31-120 Days",VLOOKUP(D1091,[3]Extended!$B$9:$F$101,5,FALSE),IF(BA1091="121-365 Days",VLOOKUP(D1091,[3]Extended!$B$9:$G$101,6,FALSE),VLOOKUP(D1091,[3]Extended!$B$9:$H$101,7,FALSE)))),0)</f>
        <v>0</v>
      </c>
      <c r="O1091" s="269">
        <f>IFERROR(IF(BA1091="WIP - 30 Days",VLOOKUP(D1091,[3]Extended!$B$9:$J$101,9,FALSE),IF(BA1091="31-120 Days",VLOOKUP(D1091,[3]Extended!$B$9:$K$101,10,FALSE),IF(BA1091="121-365 Days",VLOOKUP(D1091,[3]Extended!$B$9:$L$101,11,FALSE),VLOOKUP(D1091,[3]Extended!$B$9:$M$101,12,FALSE)))),0)</f>
        <v>0</v>
      </c>
      <c r="P1091" s="116" t="e">
        <f t="shared" si="81"/>
        <v>#VALUE!</v>
      </c>
      <c r="Q1091" s="110" t="e">
        <f>O1091-#REF!</f>
        <v>#REF!</v>
      </c>
      <c r="W1091" s="311"/>
      <c r="X1091" s="311"/>
      <c r="Y1091" s="311"/>
      <c r="Z1091" s="311"/>
      <c r="AA1091" s="311"/>
      <c r="AB1091" s="311"/>
      <c r="AC1091" s="311"/>
      <c r="AT1091" s="88" t="str">
        <f t="shared" si="82"/>
        <v>Special Order0</v>
      </c>
      <c r="AU1091" s="89" t="str">
        <f t="shared" si="83"/>
        <v>01-1900</v>
      </c>
      <c r="BA1091" s="92" t="str">
        <f t="shared" si="84"/>
        <v/>
      </c>
    </row>
    <row r="1092" spans="2:53">
      <c r="B1092" s="60">
        <f>[2]Trucks!A1089</f>
        <v>0</v>
      </c>
      <c r="C1092" s="11">
        <f>[2]Trucks!B1089</f>
        <v>0</v>
      </c>
      <c r="D1092" s="19" t="str">
        <f>IFERROR(VLOOKUP(C1092&amp;"",'[2]Retail Price List'!$A$3:$B$103,2,FALSE),"Special Order")</f>
        <v>Special Order</v>
      </c>
      <c r="E1092" s="18">
        <f>[2]Trucks!J1089</f>
        <v>0</v>
      </c>
      <c r="F1092" s="12">
        <f>[2]Trucks!E1089</f>
        <v>0</v>
      </c>
      <c r="G1092" s="56">
        <f>[2]Trucks!K1089</f>
        <v>0</v>
      </c>
      <c r="H1092" s="46">
        <f>[2]Trucks!I1089</f>
        <v>0</v>
      </c>
      <c r="I1092" s="83" t="str">
        <f t="shared" si="80"/>
        <v/>
      </c>
      <c r="J1092" s="272" t="str">
        <f>IFERROR(VLOOKUP((D1092&amp;C1092)&amp;"",'[2]Retail Price List'!$C$4:$F$102,3,FALSE),"")</f>
        <v/>
      </c>
      <c r="K1092" s="272">
        <f>IFERROR(IF(BA1092="WIP - 30 Days",VLOOKUP(D1092,[3]Standard!$B$9:$E$101,4,FALSE),IF(BA1092="31-120 Days",VLOOKUP(D1092,[3]Standard!$B$9:$F$101,5,FALSE),IF(BA1092="121-365 Days",VLOOKUP(D1092,[3]Standard!$B$9:$G$101,6,FALSE),VLOOKUP(D1092,[3]Standard!$B$9:$H$101,7,FALSE)))),0)</f>
        <v>0</v>
      </c>
      <c r="L1092" s="272">
        <f>IFERROR(IF(BA1092="WIP - 30 Days",VLOOKUP(D1092,[3]Standard!$B$9:$J$101,9,FALSE),IF(BA1092="31-120 Days",VLOOKUP(D1092,[3]Standard!$B$9:$K$100,10,FALSE),IF(BA1092="121-365 Days",VLOOKUP(D1092,[3]Standard!$B$9:$L$101,11,FALSE),VLOOKUP(D1092,[3]Standard!$B$9:$M$101,12,FALSE)))),0)</f>
        <v>0</v>
      </c>
      <c r="M1092" s="269" t="str">
        <f>IFERROR(VLOOKUP((D1092&amp;C1092)&amp;"",'[2]Retail Price List'!$C$4:$F$102,4,FALSE),"")</f>
        <v/>
      </c>
      <c r="N1092" s="269">
        <f>IFERROR(IF(BA1092="WIP - 30 Days",VLOOKUP(D1092,[3]Extended!$B$9:$E$101,4,FALSE),IF(BA1092="31-120 Days",VLOOKUP(D1092,[3]Extended!$B$9:$F$101,5,FALSE),IF(BA1092="121-365 Days",VLOOKUP(D1092,[3]Extended!$B$9:$G$101,6,FALSE),VLOOKUP(D1092,[3]Extended!$B$9:$H$101,7,FALSE)))),0)</f>
        <v>0</v>
      </c>
      <c r="O1092" s="269">
        <f>IFERROR(IF(BA1092="WIP - 30 Days",VLOOKUP(D1092,[3]Extended!$B$9:$J$101,9,FALSE),IF(BA1092="31-120 Days",VLOOKUP(D1092,[3]Extended!$B$9:$K$101,10,FALSE),IF(BA1092="121-365 Days",VLOOKUP(D1092,[3]Extended!$B$9:$L$101,11,FALSE),VLOOKUP(D1092,[3]Extended!$B$9:$M$101,12,FALSE)))),0)</f>
        <v>0</v>
      </c>
      <c r="P1092" s="116" t="e">
        <f t="shared" si="81"/>
        <v>#VALUE!</v>
      </c>
      <c r="Q1092" s="110" t="e">
        <f>O1092-#REF!</f>
        <v>#REF!</v>
      </c>
      <c r="W1092" s="311"/>
      <c r="X1092" s="311"/>
      <c r="Y1092" s="311"/>
      <c r="Z1092" s="311"/>
      <c r="AA1092" s="311"/>
      <c r="AB1092" s="311"/>
      <c r="AC1092" s="311"/>
      <c r="AT1092" s="88" t="str">
        <f t="shared" si="82"/>
        <v>Special Order0</v>
      </c>
      <c r="AU1092" s="89" t="str">
        <f t="shared" si="83"/>
        <v>01-1900</v>
      </c>
      <c r="BA1092" s="92" t="str">
        <f t="shared" si="84"/>
        <v/>
      </c>
    </row>
    <row r="1093" spans="2:53">
      <c r="B1093" s="60">
        <f>[2]Trucks!A1090</f>
        <v>0</v>
      </c>
      <c r="C1093" s="11">
        <f>[2]Trucks!B1090</f>
        <v>0</v>
      </c>
      <c r="D1093" s="19" t="str">
        <f>IFERROR(VLOOKUP(C1093&amp;"",'[2]Retail Price List'!$A$3:$B$103,2,FALSE),"Special Order")</f>
        <v>Special Order</v>
      </c>
      <c r="E1093" s="18">
        <f>[2]Trucks!J1090</f>
        <v>0</v>
      </c>
      <c r="F1093" s="12">
        <f>[2]Trucks!E1090</f>
        <v>0</v>
      </c>
      <c r="G1093" s="56">
        <f>[2]Trucks!K1090</f>
        <v>0</v>
      </c>
      <c r="H1093" s="46">
        <f>[2]Trucks!I1090</f>
        <v>0</v>
      </c>
      <c r="I1093" s="83" t="str">
        <f t="shared" ref="I1093:I1156" si="85">IFERROR(VLOOKUP(AU1093,$AW$5:$AY$40,3,FALSE),"")</f>
        <v/>
      </c>
      <c r="J1093" s="272" t="str">
        <f>IFERROR(VLOOKUP((D1093&amp;C1093)&amp;"",'[2]Retail Price List'!$C$4:$F$102,3,FALSE),"")</f>
        <v/>
      </c>
      <c r="K1093" s="272">
        <f>IFERROR(IF(BA1093="WIP - 30 Days",VLOOKUP(D1093,[3]Standard!$B$9:$E$101,4,FALSE),IF(BA1093="31-120 Days",VLOOKUP(D1093,[3]Standard!$B$9:$F$101,5,FALSE),IF(BA1093="121-365 Days",VLOOKUP(D1093,[3]Standard!$B$9:$G$101,6,FALSE),VLOOKUP(D1093,[3]Standard!$B$9:$H$101,7,FALSE)))),0)</f>
        <v>0</v>
      </c>
      <c r="L1093" s="272">
        <f>IFERROR(IF(BA1093="WIP - 30 Days",VLOOKUP(D1093,[3]Standard!$B$9:$J$101,9,FALSE),IF(BA1093="31-120 Days",VLOOKUP(D1093,[3]Standard!$B$9:$K$100,10,FALSE),IF(BA1093="121-365 Days",VLOOKUP(D1093,[3]Standard!$B$9:$L$101,11,FALSE),VLOOKUP(D1093,[3]Standard!$B$9:$M$101,12,FALSE)))),0)</f>
        <v>0</v>
      </c>
      <c r="M1093" s="269" t="str">
        <f>IFERROR(VLOOKUP((D1093&amp;C1093)&amp;"",'[2]Retail Price List'!$C$4:$F$102,4,FALSE),"")</f>
        <v/>
      </c>
      <c r="N1093" s="269">
        <f>IFERROR(IF(BA1093="WIP - 30 Days",VLOOKUP(D1093,[3]Extended!$B$9:$E$101,4,FALSE),IF(BA1093="31-120 Days",VLOOKUP(D1093,[3]Extended!$B$9:$F$101,5,FALSE),IF(BA1093="121-365 Days",VLOOKUP(D1093,[3]Extended!$B$9:$G$101,6,FALSE),VLOOKUP(D1093,[3]Extended!$B$9:$H$101,7,FALSE)))),0)</f>
        <v>0</v>
      </c>
      <c r="O1093" s="269">
        <f>IFERROR(IF(BA1093="WIP - 30 Days",VLOOKUP(D1093,[3]Extended!$B$9:$J$101,9,FALSE),IF(BA1093="31-120 Days",VLOOKUP(D1093,[3]Extended!$B$9:$K$101,10,FALSE),IF(BA1093="121-365 Days",VLOOKUP(D1093,[3]Extended!$B$9:$L$101,11,FALSE),VLOOKUP(D1093,[3]Extended!$B$9:$M$101,12,FALSE)))),0)</f>
        <v>0</v>
      </c>
      <c r="P1093" s="116" t="e">
        <f t="shared" ref="P1093:P1156" si="86">(M1093-O1093)/M1093</f>
        <v>#VALUE!</v>
      </c>
      <c r="Q1093" s="110" t="e">
        <f>O1093-#REF!</f>
        <v>#REF!</v>
      </c>
      <c r="W1093" s="311"/>
      <c r="X1093" s="311"/>
      <c r="Y1093" s="311"/>
      <c r="Z1093" s="311"/>
      <c r="AA1093" s="311"/>
      <c r="AB1093" s="311"/>
      <c r="AC1093" s="311"/>
      <c r="AT1093" s="88" t="str">
        <f t="shared" ref="AT1093:AT1156" si="87">D1093&amp;I1093&amp;G1093</f>
        <v>Special Order0</v>
      </c>
      <c r="AU1093" s="89" t="str">
        <f t="shared" ref="AU1093:AU1156" si="88">IF(MONTH(H1093)&lt;10,0&amp;MONTH(H1093)&amp;"-"&amp;YEAR(H1093),MONTH(H1093)&amp;"-"&amp;YEAR(H1093))</f>
        <v>01-1900</v>
      </c>
      <c r="BA1093" s="92" t="str">
        <f t="shared" ref="BA1093:BA1156" si="89">IF(B1093=0,"",IF(AND(F1093&gt;=31,F1093&lt;=120),"31-120 Days",IF(AND(F1093&gt;=121,F1093&lt;=365),"121-365 Days",IF(OR(E1093="CKD",F1093&lt;=30),"WIP - 30 Days","&gt;365 Days"))))</f>
        <v/>
      </c>
    </row>
    <row r="1094" spans="2:53">
      <c r="B1094" s="60">
        <f>[2]Trucks!A1091</f>
        <v>0</v>
      </c>
      <c r="C1094" s="11">
        <f>[2]Trucks!B1091</f>
        <v>0</v>
      </c>
      <c r="D1094" s="19" t="str">
        <f>IFERROR(VLOOKUP(C1094&amp;"",'[2]Retail Price List'!$A$3:$B$103,2,FALSE),"Special Order")</f>
        <v>Special Order</v>
      </c>
      <c r="E1094" s="18">
        <f>[2]Trucks!J1091</f>
        <v>0</v>
      </c>
      <c r="F1094" s="12">
        <f>[2]Trucks!E1091</f>
        <v>0</v>
      </c>
      <c r="G1094" s="56">
        <f>[2]Trucks!K1091</f>
        <v>0</v>
      </c>
      <c r="H1094" s="46">
        <f>[2]Trucks!I1091</f>
        <v>0</v>
      </c>
      <c r="I1094" s="83" t="str">
        <f t="shared" si="85"/>
        <v/>
      </c>
      <c r="J1094" s="272" t="str">
        <f>IFERROR(VLOOKUP((D1094&amp;C1094)&amp;"",'[2]Retail Price List'!$C$4:$F$102,3,FALSE),"")</f>
        <v/>
      </c>
      <c r="K1094" s="272">
        <f>IFERROR(IF(BA1094="WIP - 30 Days",VLOOKUP(D1094,[3]Standard!$B$9:$E$101,4,FALSE),IF(BA1094="31-120 Days",VLOOKUP(D1094,[3]Standard!$B$9:$F$101,5,FALSE),IF(BA1094="121-365 Days",VLOOKUP(D1094,[3]Standard!$B$9:$G$101,6,FALSE),VLOOKUP(D1094,[3]Standard!$B$9:$H$101,7,FALSE)))),0)</f>
        <v>0</v>
      </c>
      <c r="L1094" s="272">
        <f>IFERROR(IF(BA1094="WIP - 30 Days",VLOOKUP(D1094,[3]Standard!$B$9:$J$101,9,FALSE),IF(BA1094="31-120 Days",VLOOKUP(D1094,[3]Standard!$B$9:$K$100,10,FALSE),IF(BA1094="121-365 Days",VLOOKUP(D1094,[3]Standard!$B$9:$L$101,11,FALSE),VLOOKUP(D1094,[3]Standard!$B$9:$M$101,12,FALSE)))),0)</f>
        <v>0</v>
      </c>
      <c r="M1094" s="269" t="str">
        <f>IFERROR(VLOOKUP((D1094&amp;C1094)&amp;"",'[2]Retail Price List'!$C$4:$F$102,4,FALSE),"")</f>
        <v/>
      </c>
      <c r="N1094" s="269">
        <f>IFERROR(IF(BA1094="WIP - 30 Days",VLOOKUP(D1094,[3]Extended!$B$9:$E$101,4,FALSE),IF(BA1094="31-120 Days",VLOOKUP(D1094,[3]Extended!$B$9:$F$101,5,FALSE),IF(BA1094="121-365 Days",VLOOKUP(D1094,[3]Extended!$B$9:$G$101,6,FALSE),VLOOKUP(D1094,[3]Extended!$B$9:$H$101,7,FALSE)))),0)</f>
        <v>0</v>
      </c>
      <c r="O1094" s="269">
        <f>IFERROR(IF(BA1094="WIP - 30 Days",VLOOKUP(D1094,[3]Extended!$B$9:$J$101,9,FALSE),IF(BA1094="31-120 Days",VLOOKUP(D1094,[3]Extended!$B$9:$K$101,10,FALSE),IF(BA1094="121-365 Days",VLOOKUP(D1094,[3]Extended!$B$9:$L$101,11,FALSE),VLOOKUP(D1094,[3]Extended!$B$9:$M$101,12,FALSE)))),0)</f>
        <v>0</v>
      </c>
      <c r="P1094" s="116" t="e">
        <f t="shared" si="86"/>
        <v>#VALUE!</v>
      </c>
      <c r="Q1094" s="110" t="e">
        <f>O1094-#REF!</f>
        <v>#REF!</v>
      </c>
      <c r="W1094" s="311"/>
      <c r="X1094" s="311"/>
      <c r="Y1094" s="311"/>
      <c r="Z1094" s="311"/>
      <c r="AA1094" s="311"/>
      <c r="AB1094" s="311"/>
      <c r="AC1094" s="311"/>
      <c r="AT1094" s="88" t="str">
        <f t="shared" si="87"/>
        <v>Special Order0</v>
      </c>
      <c r="AU1094" s="89" t="str">
        <f t="shared" si="88"/>
        <v>01-1900</v>
      </c>
      <c r="BA1094" s="92" t="str">
        <f t="shared" si="89"/>
        <v/>
      </c>
    </row>
    <row r="1095" spans="2:53">
      <c r="B1095" s="60">
        <f>[2]Trucks!A1092</f>
        <v>0</v>
      </c>
      <c r="C1095" s="11">
        <f>[2]Trucks!B1092</f>
        <v>0</v>
      </c>
      <c r="D1095" s="19" t="str">
        <f>IFERROR(VLOOKUP(C1095&amp;"",'[2]Retail Price List'!$A$3:$B$103,2,FALSE),"Special Order")</f>
        <v>Special Order</v>
      </c>
      <c r="E1095" s="18">
        <f>[2]Trucks!J1092</f>
        <v>0</v>
      </c>
      <c r="F1095" s="12">
        <f>[2]Trucks!E1092</f>
        <v>0</v>
      </c>
      <c r="G1095" s="56">
        <f>[2]Trucks!K1092</f>
        <v>0</v>
      </c>
      <c r="H1095" s="46">
        <f>[2]Trucks!I1092</f>
        <v>0</v>
      </c>
      <c r="I1095" s="83" t="str">
        <f t="shared" si="85"/>
        <v/>
      </c>
      <c r="J1095" s="272" t="str">
        <f>IFERROR(VLOOKUP((D1095&amp;C1095)&amp;"",'[2]Retail Price List'!$C$4:$F$102,3,FALSE),"")</f>
        <v/>
      </c>
      <c r="K1095" s="272">
        <f>IFERROR(IF(BA1095="WIP - 30 Days",VLOOKUP(D1095,[3]Standard!$B$9:$E$101,4,FALSE),IF(BA1095="31-120 Days",VLOOKUP(D1095,[3]Standard!$B$9:$F$101,5,FALSE),IF(BA1095="121-365 Days",VLOOKUP(D1095,[3]Standard!$B$9:$G$101,6,FALSE),VLOOKUP(D1095,[3]Standard!$B$9:$H$101,7,FALSE)))),0)</f>
        <v>0</v>
      </c>
      <c r="L1095" s="272">
        <f>IFERROR(IF(BA1095="WIP - 30 Days",VLOOKUP(D1095,[3]Standard!$B$9:$J$101,9,FALSE),IF(BA1095="31-120 Days",VLOOKUP(D1095,[3]Standard!$B$9:$K$100,10,FALSE),IF(BA1095="121-365 Days",VLOOKUP(D1095,[3]Standard!$B$9:$L$101,11,FALSE),VLOOKUP(D1095,[3]Standard!$B$9:$M$101,12,FALSE)))),0)</f>
        <v>0</v>
      </c>
      <c r="M1095" s="269" t="str">
        <f>IFERROR(VLOOKUP((D1095&amp;C1095)&amp;"",'[2]Retail Price List'!$C$4:$F$102,4,FALSE),"")</f>
        <v/>
      </c>
      <c r="N1095" s="269">
        <f>IFERROR(IF(BA1095="WIP - 30 Days",VLOOKUP(D1095,[3]Extended!$B$9:$E$101,4,FALSE),IF(BA1095="31-120 Days",VLOOKUP(D1095,[3]Extended!$B$9:$F$101,5,FALSE),IF(BA1095="121-365 Days",VLOOKUP(D1095,[3]Extended!$B$9:$G$101,6,FALSE),VLOOKUP(D1095,[3]Extended!$B$9:$H$101,7,FALSE)))),0)</f>
        <v>0</v>
      </c>
      <c r="O1095" s="269">
        <f>IFERROR(IF(BA1095="WIP - 30 Days",VLOOKUP(D1095,[3]Extended!$B$9:$J$101,9,FALSE),IF(BA1095="31-120 Days",VLOOKUP(D1095,[3]Extended!$B$9:$K$101,10,FALSE),IF(BA1095="121-365 Days",VLOOKUP(D1095,[3]Extended!$B$9:$L$101,11,FALSE),VLOOKUP(D1095,[3]Extended!$B$9:$M$101,12,FALSE)))),0)</f>
        <v>0</v>
      </c>
      <c r="P1095" s="116" t="e">
        <f t="shared" si="86"/>
        <v>#VALUE!</v>
      </c>
      <c r="Q1095" s="110" t="e">
        <f>O1095-#REF!</f>
        <v>#REF!</v>
      </c>
      <c r="W1095" s="311"/>
      <c r="X1095" s="311"/>
      <c r="Y1095" s="311"/>
      <c r="Z1095" s="311"/>
      <c r="AA1095" s="311"/>
      <c r="AB1095" s="311"/>
      <c r="AC1095" s="311"/>
      <c r="AT1095" s="88" t="str">
        <f t="shared" si="87"/>
        <v>Special Order0</v>
      </c>
      <c r="AU1095" s="89" t="str">
        <f t="shared" si="88"/>
        <v>01-1900</v>
      </c>
      <c r="BA1095" s="92" t="str">
        <f t="shared" si="89"/>
        <v/>
      </c>
    </row>
    <row r="1096" spans="2:53">
      <c r="B1096" s="60">
        <f>[2]Trucks!A1093</f>
        <v>0</v>
      </c>
      <c r="C1096" s="11">
        <f>[2]Trucks!B1093</f>
        <v>0</v>
      </c>
      <c r="D1096" s="19" t="str">
        <f>IFERROR(VLOOKUP(C1096&amp;"",'[2]Retail Price List'!$A$3:$B$103,2,FALSE),"Special Order")</f>
        <v>Special Order</v>
      </c>
      <c r="E1096" s="18">
        <f>[2]Trucks!J1093</f>
        <v>0</v>
      </c>
      <c r="F1096" s="12">
        <f>[2]Trucks!E1093</f>
        <v>0</v>
      </c>
      <c r="G1096" s="56">
        <f>[2]Trucks!K1093</f>
        <v>0</v>
      </c>
      <c r="H1096" s="46">
        <f>[2]Trucks!I1093</f>
        <v>0</v>
      </c>
      <c r="I1096" s="83" t="str">
        <f t="shared" si="85"/>
        <v/>
      </c>
      <c r="J1096" s="272" t="str">
        <f>IFERROR(VLOOKUP((D1096&amp;C1096)&amp;"",'[2]Retail Price List'!$C$4:$F$102,3,FALSE),"")</f>
        <v/>
      </c>
      <c r="K1096" s="272">
        <f>IFERROR(IF(BA1096="WIP - 30 Days",VLOOKUP(D1096,[3]Standard!$B$9:$E$101,4,FALSE),IF(BA1096="31-120 Days",VLOOKUP(D1096,[3]Standard!$B$9:$F$101,5,FALSE),IF(BA1096="121-365 Days",VLOOKUP(D1096,[3]Standard!$B$9:$G$101,6,FALSE),VLOOKUP(D1096,[3]Standard!$B$9:$H$101,7,FALSE)))),0)</f>
        <v>0</v>
      </c>
      <c r="L1096" s="272">
        <f>IFERROR(IF(BA1096="WIP - 30 Days",VLOOKUP(D1096,[3]Standard!$B$9:$J$101,9,FALSE),IF(BA1096="31-120 Days",VLOOKUP(D1096,[3]Standard!$B$9:$K$100,10,FALSE),IF(BA1096="121-365 Days",VLOOKUP(D1096,[3]Standard!$B$9:$L$101,11,FALSE),VLOOKUP(D1096,[3]Standard!$B$9:$M$101,12,FALSE)))),0)</f>
        <v>0</v>
      </c>
      <c r="M1096" s="269" t="str">
        <f>IFERROR(VLOOKUP((D1096&amp;C1096)&amp;"",'[2]Retail Price List'!$C$4:$F$102,4,FALSE),"")</f>
        <v/>
      </c>
      <c r="N1096" s="269">
        <f>IFERROR(IF(BA1096="WIP - 30 Days",VLOOKUP(D1096,[3]Extended!$B$9:$E$101,4,FALSE),IF(BA1096="31-120 Days",VLOOKUP(D1096,[3]Extended!$B$9:$F$101,5,FALSE),IF(BA1096="121-365 Days",VLOOKUP(D1096,[3]Extended!$B$9:$G$101,6,FALSE),VLOOKUP(D1096,[3]Extended!$B$9:$H$101,7,FALSE)))),0)</f>
        <v>0</v>
      </c>
      <c r="O1096" s="269">
        <f>IFERROR(IF(BA1096="WIP - 30 Days",VLOOKUP(D1096,[3]Extended!$B$9:$J$101,9,FALSE),IF(BA1096="31-120 Days",VLOOKUP(D1096,[3]Extended!$B$9:$K$101,10,FALSE),IF(BA1096="121-365 Days",VLOOKUP(D1096,[3]Extended!$B$9:$L$101,11,FALSE),VLOOKUP(D1096,[3]Extended!$B$9:$M$101,12,FALSE)))),0)</f>
        <v>0</v>
      </c>
      <c r="P1096" s="116" t="e">
        <f t="shared" si="86"/>
        <v>#VALUE!</v>
      </c>
      <c r="Q1096" s="110" t="e">
        <f>O1096-#REF!</f>
        <v>#REF!</v>
      </c>
      <c r="W1096" s="311"/>
      <c r="X1096" s="311"/>
      <c r="Y1096" s="311"/>
      <c r="Z1096" s="311"/>
      <c r="AA1096" s="311"/>
      <c r="AB1096" s="311"/>
      <c r="AC1096" s="311"/>
      <c r="AT1096" s="88" t="str">
        <f t="shared" si="87"/>
        <v>Special Order0</v>
      </c>
      <c r="AU1096" s="89" t="str">
        <f t="shared" si="88"/>
        <v>01-1900</v>
      </c>
      <c r="BA1096" s="92" t="str">
        <f t="shared" si="89"/>
        <v/>
      </c>
    </row>
    <row r="1097" spans="2:53">
      <c r="B1097" s="60">
        <f>[2]Trucks!A1094</f>
        <v>0</v>
      </c>
      <c r="C1097" s="11">
        <f>[2]Trucks!B1094</f>
        <v>0</v>
      </c>
      <c r="D1097" s="19" t="str">
        <f>IFERROR(VLOOKUP(C1097&amp;"",'[2]Retail Price List'!$A$3:$B$103,2,FALSE),"Special Order")</f>
        <v>Special Order</v>
      </c>
      <c r="E1097" s="18">
        <f>[2]Trucks!J1094</f>
        <v>0</v>
      </c>
      <c r="F1097" s="12">
        <f>[2]Trucks!E1094</f>
        <v>0</v>
      </c>
      <c r="G1097" s="56">
        <f>[2]Trucks!K1094</f>
        <v>0</v>
      </c>
      <c r="H1097" s="46">
        <f>[2]Trucks!I1094</f>
        <v>0</v>
      </c>
      <c r="I1097" s="83" t="str">
        <f t="shared" si="85"/>
        <v/>
      </c>
      <c r="J1097" s="272" t="str">
        <f>IFERROR(VLOOKUP((D1097&amp;C1097)&amp;"",'[2]Retail Price List'!$C$4:$F$102,3,FALSE),"")</f>
        <v/>
      </c>
      <c r="K1097" s="272">
        <f>IFERROR(IF(BA1097="WIP - 30 Days",VLOOKUP(D1097,[3]Standard!$B$9:$E$101,4,FALSE),IF(BA1097="31-120 Days",VLOOKUP(D1097,[3]Standard!$B$9:$F$101,5,FALSE),IF(BA1097="121-365 Days",VLOOKUP(D1097,[3]Standard!$B$9:$G$101,6,FALSE),VLOOKUP(D1097,[3]Standard!$B$9:$H$101,7,FALSE)))),0)</f>
        <v>0</v>
      </c>
      <c r="L1097" s="272">
        <f>IFERROR(IF(BA1097="WIP - 30 Days",VLOOKUP(D1097,[3]Standard!$B$9:$J$101,9,FALSE),IF(BA1097="31-120 Days",VLOOKUP(D1097,[3]Standard!$B$9:$K$100,10,FALSE),IF(BA1097="121-365 Days",VLOOKUP(D1097,[3]Standard!$B$9:$L$101,11,FALSE),VLOOKUP(D1097,[3]Standard!$B$9:$M$101,12,FALSE)))),0)</f>
        <v>0</v>
      </c>
      <c r="M1097" s="269" t="str">
        <f>IFERROR(VLOOKUP((D1097&amp;C1097)&amp;"",'[2]Retail Price List'!$C$4:$F$102,4,FALSE),"")</f>
        <v/>
      </c>
      <c r="N1097" s="269">
        <f>IFERROR(IF(BA1097="WIP - 30 Days",VLOOKUP(D1097,[3]Extended!$B$9:$E$101,4,FALSE),IF(BA1097="31-120 Days",VLOOKUP(D1097,[3]Extended!$B$9:$F$101,5,FALSE),IF(BA1097="121-365 Days",VLOOKUP(D1097,[3]Extended!$B$9:$G$101,6,FALSE),VLOOKUP(D1097,[3]Extended!$B$9:$H$101,7,FALSE)))),0)</f>
        <v>0</v>
      </c>
      <c r="O1097" s="269">
        <f>IFERROR(IF(BA1097="WIP - 30 Days",VLOOKUP(D1097,[3]Extended!$B$9:$J$101,9,FALSE),IF(BA1097="31-120 Days",VLOOKUP(D1097,[3]Extended!$B$9:$K$101,10,FALSE),IF(BA1097="121-365 Days",VLOOKUP(D1097,[3]Extended!$B$9:$L$101,11,FALSE),VLOOKUP(D1097,[3]Extended!$B$9:$M$101,12,FALSE)))),0)</f>
        <v>0</v>
      </c>
      <c r="P1097" s="116" t="e">
        <f t="shared" si="86"/>
        <v>#VALUE!</v>
      </c>
      <c r="Q1097" s="110" t="e">
        <f>O1097-#REF!</f>
        <v>#REF!</v>
      </c>
      <c r="W1097" s="311"/>
      <c r="X1097" s="311"/>
      <c r="Y1097" s="311"/>
      <c r="Z1097" s="311"/>
      <c r="AA1097" s="311"/>
      <c r="AB1097" s="311"/>
      <c r="AC1097" s="311"/>
      <c r="AT1097" s="88" t="str">
        <f t="shared" si="87"/>
        <v>Special Order0</v>
      </c>
      <c r="AU1097" s="89" t="str">
        <f t="shared" si="88"/>
        <v>01-1900</v>
      </c>
      <c r="BA1097" s="92" t="str">
        <f t="shared" si="89"/>
        <v/>
      </c>
    </row>
    <row r="1098" spans="2:53">
      <c r="B1098" s="60">
        <f>[2]Trucks!A1095</f>
        <v>0</v>
      </c>
      <c r="C1098" s="11">
        <f>[2]Trucks!B1095</f>
        <v>0</v>
      </c>
      <c r="D1098" s="19" t="str">
        <f>IFERROR(VLOOKUP(C1098&amp;"",'[2]Retail Price List'!$A$3:$B$103,2,FALSE),"Special Order")</f>
        <v>Special Order</v>
      </c>
      <c r="E1098" s="18">
        <f>[2]Trucks!J1095</f>
        <v>0</v>
      </c>
      <c r="F1098" s="12">
        <f>[2]Trucks!E1095</f>
        <v>0</v>
      </c>
      <c r="G1098" s="56">
        <f>[2]Trucks!K1095</f>
        <v>0</v>
      </c>
      <c r="H1098" s="46">
        <f>[2]Trucks!I1095</f>
        <v>0</v>
      </c>
      <c r="I1098" s="83" t="str">
        <f t="shared" si="85"/>
        <v/>
      </c>
      <c r="J1098" s="272" t="str">
        <f>IFERROR(VLOOKUP((D1098&amp;C1098)&amp;"",'[2]Retail Price List'!$C$4:$F$102,3,FALSE),"")</f>
        <v/>
      </c>
      <c r="K1098" s="272">
        <f>IFERROR(IF(BA1098="WIP - 30 Days",VLOOKUP(D1098,[3]Standard!$B$9:$E$101,4,FALSE),IF(BA1098="31-120 Days",VLOOKUP(D1098,[3]Standard!$B$9:$F$101,5,FALSE),IF(BA1098="121-365 Days",VLOOKUP(D1098,[3]Standard!$B$9:$G$101,6,FALSE),VLOOKUP(D1098,[3]Standard!$B$9:$H$101,7,FALSE)))),0)</f>
        <v>0</v>
      </c>
      <c r="L1098" s="272">
        <f>IFERROR(IF(BA1098="WIP - 30 Days",VLOOKUP(D1098,[3]Standard!$B$9:$J$101,9,FALSE),IF(BA1098="31-120 Days",VLOOKUP(D1098,[3]Standard!$B$9:$K$100,10,FALSE),IF(BA1098="121-365 Days",VLOOKUP(D1098,[3]Standard!$B$9:$L$101,11,FALSE),VLOOKUP(D1098,[3]Standard!$B$9:$M$101,12,FALSE)))),0)</f>
        <v>0</v>
      </c>
      <c r="M1098" s="269" t="str">
        <f>IFERROR(VLOOKUP((D1098&amp;C1098)&amp;"",'[2]Retail Price List'!$C$4:$F$102,4,FALSE),"")</f>
        <v/>
      </c>
      <c r="N1098" s="269">
        <f>IFERROR(IF(BA1098="WIP - 30 Days",VLOOKUP(D1098,[3]Extended!$B$9:$E$101,4,FALSE),IF(BA1098="31-120 Days",VLOOKUP(D1098,[3]Extended!$B$9:$F$101,5,FALSE),IF(BA1098="121-365 Days",VLOOKUP(D1098,[3]Extended!$B$9:$G$101,6,FALSE),VLOOKUP(D1098,[3]Extended!$B$9:$H$101,7,FALSE)))),0)</f>
        <v>0</v>
      </c>
      <c r="O1098" s="269">
        <f>IFERROR(IF(BA1098="WIP - 30 Days",VLOOKUP(D1098,[3]Extended!$B$9:$J$101,9,FALSE),IF(BA1098="31-120 Days",VLOOKUP(D1098,[3]Extended!$B$9:$K$101,10,FALSE),IF(BA1098="121-365 Days",VLOOKUP(D1098,[3]Extended!$B$9:$L$101,11,FALSE),VLOOKUP(D1098,[3]Extended!$B$9:$M$101,12,FALSE)))),0)</f>
        <v>0</v>
      </c>
      <c r="P1098" s="116" t="e">
        <f t="shared" si="86"/>
        <v>#VALUE!</v>
      </c>
      <c r="Q1098" s="110" t="e">
        <f>O1098-#REF!</f>
        <v>#REF!</v>
      </c>
      <c r="W1098" s="311"/>
      <c r="X1098" s="311"/>
      <c r="Y1098" s="311"/>
      <c r="Z1098" s="311"/>
      <c r="AA1098" s="311"/>
      <c r="AB1098" s="311"/>
      <c r="AC1098" s="311"/>
      <c r="AT1098" s="88" t="str">
        <f t="shared" si="87"/>
        <v>Special Order0</v>
      </c>
      <c r="AU1098" s="89" t="str">
        <f t="shared" si="88"/>
        <v>01-1900</v>
      </c>
      <c r="BA1098" s="92" t="str">
        <f t="shared" si="89"/>
        <v/>
      </c>
    </row>
    <row r="1099" spans="2:53">
      <c r="B1099" s="60">
        <f>[2]Trucks!A1096</f>
        <v>0</v>
      </c>
      <c r="C1099" s="11">
        <f>[2]Trucks!B1096</f>
        <v>0</v>
      </c>
      <c r="D1099" s="19" t="str">
        <f>IFERROR(VLOOKUP(C1099&amp;"",'[2]Retail Price List'!$A$3:$B$103,2,FALSE),"Special Order")</f>
        <v>Special Order</v>
      </c>
      <c r="E1099" s="18">
        <f>[2]Trucks!J1096</f>
        <v>0</v>
      </c>
      <c r="F1099" s="12">
        <f>[2]Trucks!E1096</f>
        <v>0</v>
      </c>
      <c r="G1099" s="56">
        <f>[2]Trucks!K1096</f>
        <v>0</v>
      </c>
      <c r="H1099" s="46">
        <f>[2]Trucks!I1096</f>
        <v>0</v>
      </c>
      <c r="I1099" s="83" t="str">
        <f t="shared" si="85"/>
        <v/>
      </c>
      <c r="J1099" s="272" t="str">
        <f>IFERROR(VLOOKUP((D1099&amp;C1099)&amp;"",'[2]Retail Price List'!$C$4:$F$102,3,FALSE),"")</f>
        <v/>
      </c>
      <c r="K1099" s="272">
        <f>IFERROR(IF(BA1099="WIP - 30 Days",VLOOKUP(D1099,[3]Standard!$B$9:$E$101,4,FALSE),IF(BA1099="31-120 Days",VLOOKUP(D1099,[3]Standard!$B$9:$F$101,5,FALSE),IF(BA1099="121-365 Days",VLOOKUP(D1099,[3]Standard!$B$9:$G$101,6,FALSE),VLOOKUP(D1099,[3]Standard!$B$9:$H$101,7,FALSE)))),0)</f>
        <v>0</v>
      </c>
      <c r="L1099" s="272">
        <f>IFERROR(IF(BA1099="WIP - 30 Days",VLOOKUP(D1099,[3]Standard!$B$9:$J$101,9,FALSE),IF(BA1099="31-120 Days",VLOOKUP(D1099,[3]Standard!$B$9:$K$100,10,FALSE),IF(BA1099="121-365 Days",VLOOKUP(D1099,[3]Standard!$B$9:$L$101,11,FALSE),VLOOKUP(D1099,[3]Standard!$B$9:$M$101,12,FALSE)))),0)</f>
        <v>0</v>
      </c>
      <c r="M1099" s="269" t="str">
        <f>IFERROR(VLOOKUP((D1099&amp;C1099)&amp;"",'[2]Retail Price List'!$C$4:$F$102,4,FALSE),"")</f>
        <v/>
      </c>
      <c r="N1099" s="269">
        <f>IFERROR(IF(BA1099="WIP - 30 Days",VLOOKUP(D1099,[3]Extended!$B$9:$E$101,4,FALSE),IF(BA1099="31-120 Days",VLOOKUP(D1099,[3]Extended!$B$9:$F$101,5,FALSE),IF(BA1099="121-365 Days",VLOOKUP(D1099,[3]Extended!$B$9:$G$101,6,FALSE),VLOOKUP(D1099,[3]Extended!$B$9:$H$101,7,FALSE)))),0)</f>
        <v>0</v>
      </c>
      <c r="O1099" s="269">
        <f>IFERROR(IF(BA1099="WIP - 30 Days",VLOOKUP(D1099,[3]Extended!$B$9:$J$101,9,FALSE),IF(BA1099="31-120 Days",VLOOKUP(D1099,[3]Extended!$B$9:$K$101,10,FALSE),IF(BA1099="121-365 Days",VLOOKUP(D1099,[3]Extended!$B$9:$L$101,11,FALSE),VLOOKUP(D1099,[3]Extended!$B$9:$M$101,12,FALSE)))),0)</f>
        <v>0</v>
      </c>
      <c r="P1099" s="116" t="e">
        <f t="shared" si="86"/>
        <v>#VALUE!</v>
      </c>
      <c r="Q1099" s="110" t="e">
        <f>O1099-#REF!</f>
        <v>#REF!</v>
      </c>
      <c r="W1099" s="311"/>
      <c r="X1099" s="311"/>
      <c r="Y1099" s="311"/>
      <c r="Z1099" s="311"/>
      <c r="AA1099" s="311"/>
      <c r="AB1099" s="311"/>
      <c r="AC1099" s="311"/>
      <c r="AT1099" s="88" t="str">
        <f t="shared" si="87"/>
        <v>Special Order0</v>
      </c>
      <c r="AU1099" s="89" t="str">
        <f t="shared" si="88"/>
        <v>01-1900</v>
      </c>
      <c r="BA1099" s="92" t="str">
        <f t="shared" si="89"/>
        <v/>
      </c>
    </row>
    <row r="1100" spans="2:53">
      <c r="B1100" s="60">
        <f>[2]Trucks!A1097</f>
        <v>0</v>
      </c>
      <c r="C1100" s="11">
        <f>[2]Trucks!B1097</f>
        <v>0</v>
      </c>
      <c r="D1100" s="19" t="str">
        <f>IFERROR(VLOOKUP(C1100&amp;"",'[2]Retail Price List'!$A$3:$B$103,2,FALSE),"Special Order")</f>
        <v>Special Order</v>
      </c>
      <c r="E1100" s="18">
        <f>[2]Trucks!J1097</f>
        <v>0</v>
      </c>
      <c r="F1100" s="12">
        <f>[2]Trucks!E1097</f>
        <v>0</v>
      </c>
      <c r="G1100" s="56">
        <f>[2]Trucks!K1097</f>
        <v>0</v>
      </c>
      <c r="H1100" s="46">
        <f>[2]Trucks!I1097</f>
        <v>0</v>
      </c>
      <c r="I1100" s="83" t="str">
        <f t="shared" si="85"/>
        <v/>
      </c>
      <c r="J1100" s="272" t="str">
        <f>IFERROR(VLOOKUP((D1100&amp;C1100)&amp;"",'[2]Retail Price List'!$C$4:$F$102,3,FALSE),"")</f>
        <v/>
      </c>
      <c r="K1100" s="272">
        <f>IFERROR(IF(BA1100="WIP - 30 Days",VLOOKUP(D1100,[3]Standard!$B$9:$E$101,4,FALSE),IF(BA1100="31-120 Days",VLOOKUP(D1100,[3]Standard!$B$9:$F$101,5,FALSE),IF(BA1100="121-365 Days",VLOOKUP(D1100,[3]Standard!$B$9:$G$101,6,FALSE),VLOOKUP(D1100,[3]Standard!$B$9:$H$101,7,FALSE)))),0)</f>
        <v>0</v>
      </c>
      <c r="L1100" s="272">
        <f>IFERROR(IF(BA1100="WIP - 30 Days",VLOOKUP(D1100,[3]Standard!$B$9:$J$101,9,FALSE),IF(BA1100="31-120 Days",VLOOKUP(D1100,[3]Standard!$B$9:$K$100,10,FALSE),IF(BA1100="121-365 Days",VLOOKUP(D1100,[3]Standard!$B$9:$L$101,11,FALSE),VLOOKUP(D1100,[3]Standard!$B$9:$M$101,12,FALSE)))),0)</f>
        <v>0</v>
      </c>
      <c r="M1100" s="269" t="str">
        <f>IFERROR(VLOOKUP((D1100&amp;C1100)&amp;"",'[2]Retail Price List'!$C$4:$F$102,4,FALSE),"")</f>
        <v/>
      </c>
      <c r="N1100" s="269">
        <f>IFERROR(IF(BA1100="WIP - 30 Days",VLOOKUP(D1100,[3]Extended!$B$9:$E$101,4,FALSE),IF(BA1100="31-120 Days",VLOOKUP(D1100,[3]Extended!$B$9:$F$101,5,FALSE),IF(BA1100="121-365 Days",VLOOKUP(D1100,[3]Extended!$B$9:$G$101,6,FALSE),VLOOKUP(D1100,[3]Extended!$B$9:$H$101,7,FALSE)))),0)</f>
        <v>0</v>
      </c>
      <c r="O1100" s="269">
        <f>IFERROR(IF(BA1100="WIP - 30 Days",VLOOKUP(D1100,[3]Extended!$B$9:$J$101,9,FALSE),IF(BA1100="31-120 Days",VLOOKUP(D1100,[3]Extended!$B$9:$K$101,10,FALSE),IF(BA1100="121-365 Days",VLOOKUP(D1100,[3]Extended!$B$9:$L$101,11,FALSE),VLOOKUP(D1100,[3]Extended!$B$9:$M$101,12,FALSE)))),0)</f>
        <v>0</v>
      </c>
      <c r="P1100" s="116" t="e">
        <f t="shared" si="86"/>
        <v>#VALUE!</v>
      </c>
      <c r="Q1100" s="110" t="e">
        <f>O1100-#REF!</f>
        <v>#REF!</v>
      </c>
      <c r="W1100" s="311"/>
      <c r="X1100" s="311"/>
      <c r="Y1100" s="311"/>
      <c r="Z1100" s="311"/>
      <c r="AA1100" s="311"/>
      <c r="AB1100" s="311"/>
      <c r="AC1100" s="311"/>
      <c r="AT1100" s="88" t="str">
        <f t="shared" si="87"/>
        <v>Special Order0</v>
      </c>
      <c r="AU1100" s="89" t="str">
        <f t="shared" si="88"/>
        <v>01-1900</v>
      </c>
      <c r="BA1100" s="92" t="str">
        <f t="shared" si="89"/>
        <v/>
      </c>
    </row>
    <row r="1101" spans="2:53">
      <c r="B1101" s="60">
        <f>[2]Trucks!A1098</f>
        <v>0</v>
      </c>
      <c r="C1101" s="11">
        <f>[2]Trucks!B1098</f>
        <v>0</v>
      </c>
      <c r="D1101" s="19" t="str">
        <f>IFERROR(VLOOKUP(C1101&amp;"",'[2]Retail Price List'!$A$3:$B$103,2,FALSE),"Special Order")</f>
        <v>Special Order</v>
      </c>
      <c r="E1101" s="18">
        <f>[2]Trucks!J1098</f>
        <v>0</v>
      </c>
      <c r="F1101" s="12">
        <f>[2]Trucks!E1098</f>
        <v>0</v>
      </c>
      <c r="G1101" s="56">
        <f>[2]Trucks!K1098</f>
        <v>0</v>
      </c>
      <c r="H1101" s="46">
        <f>[2]Trucks!I1098</f>
        <v>0</v>
      </c>
      <c r="I1101" s="83" t="str">
        <f t="shared" si="85"/>
        <v/>
      </c>
      <c r="J1101" s="272" t="str">
        <f>IFERROR(VLOOKUP((D1101&amp;C1101)&amp;"",'[2]Retail Price List'!$C$4:$F$102,3,FALSE),"")</f>
        <v/>
      </c>
      <c r="K1101" s="272">
        <f>IFERROR(IF(BA1101="WIP - 30 Days",VLOOKUP(D1101,[3]Standard!$B$9:$E$101,4,FALSE),IF(BA1101="31-120 Days",VLOOKUP(D1101,[3]Standard!$B$9:$F$101,5,FALSE),IF(BA1101="121-365 Days",VLOOKUP(D1101,[3]Standard!$B$9:$G$101,6,FALSE),VLOOKUP(D1101,[3]Standard!$B$9:$H$101,7,FALSE)))),0)</f>
        <v>0</v>
      </c>
      <c r="L1101" s="272">
        <f>IFERROR(IF(BA1101="WIP - 30 Days",VLOOKUP(D1101,[3]Standard!$B$9:$J$101,9,FALSE),IF(BA1101="31-120 Days",VLOOKUP(D1101,[3]Standard!$B$9:$K$100,10,FALSE),IF(BA1101="121-365 Days",VLOOKUP(D1101,[3]Standard!$B$9:$L$101,11,FALSE),VLOOKUP(D1101,[3]Standard!$B$9:$M$101,12,FALSE)))),0)</f>
        <v>0</v>
      </c>
      <c r="M1101" s="269" t="str">
        <f>IFERROR(VLOOKUP((D1101&amp;C1101)&amp;"",'[2]Retail Price List'!$C$4:$F$102,4,FALSE),"")</f>
        <v/>
      </c>
      <c r="N1101" s="269">
        <f>IFERROR(IF(BA1101="WIP - 30 Days",VLOOKUP(D1101,[3]Extended!$B$9:$E$101,4,FALSE),IF(BA1101="31-120 Days",VLOOKUP(D1101,[3]Extended!$B$9:$F$101,5,FALSE),IF(BA1101="121-365 Days",VLOOKUP(D1101,[3]Extended!$B$9:$G$101,6,FALSE),VLOOKUP(D1101,[3]Extended!$B$9:$H$101,7,FALSE)))),0)</f>
        <v>0</v>
      </c>
      <c r="O1101" s="269">
        <f>IFERROR(IF(BA1101="WIP - 30 Days",VLOOKUP(D1101,[3]Extended!$B$9:$J$101,9,FALSE),IF(BA1101="31-120 Days",VLOOKUP(D1101,[3]Extended!$B$9:$K$101,10,FALSE),IF(BA1101="121-365 Days",VLOOKUP(D1101,[3]Extended!$B$9:$L$101,11,FALSE),VLOOKUP(D1101,[3]Extended!$B$9:$M$101,12,FALSE)))),0)</f>
        <v>0</v>
      </c>
      <c r="P1101" s="116" t="e">
        <f t="shared" si="86"/>
        <v>#VALUE!</v>
      </c>
      <c r="Q1101" s="110" t="e">
        <f>O1101-#REF!</f>
        <v>#REF!</v>
      </c>
      <c r="W1101" s="311"/>
      <c r="X1101" s="311"/>
      <c r="Y1101" s="311"/>
      <c r="Z1101" s="311"/>
      <c r="AA1101" s="311"/>
      <c r="AB1101" s="311"/>
      <c r="AC1101" s="311"/>
      <c r="AT1101" s="88" t="str">
        <f t="shared" si="87"/>
        <v>Special Order0</v>
      </c>
      <c r="AU1101" s="89" t="str">
        <f t="shared" si="88"/>
        <v>01-1900</v>
      </c>
      <c r="BA1101" s="92" t="str">
        <f t="shared" si="89"/>
        <v/>
      </c>
    </row>
    <row r="1102" spans="2:53">
      <c r="B1102" s="60">
        <f>[2]Trucks!A1099</f>
        <v>0</v>
      </c>
      <c r="C1102" s="11">
        <f>[2]Trucks!B1099</f>
        <v>0</v>
      </c>
      <c r="D1102" s="19" t="str">
        <f>IFERROR(VLOOKUP(C1102&amp;"",'[2]Retail Price List'!$A$3:$B$103,2,FALSE),"Special Order")</f>
        <v>Special Order</v>
      </c>
      <c r="E1102" s="18">
        <f>[2]Trucks!J1099</f>
        <v>0</v>
      </c>
      <c r="F1102" s="12">
        <f>[2]Trucks!E1099</f>
        <v>0</v>
      </c>
      <c r="G1102" s="56">
        <f>[2]Trucks!K1099</f>
        <v>0</v>
      </c>
      <c r="H1102" s="46">
        <f>[2]Trucks!I1099</f>
        <v>0</v>
      </c>
      <c r="I1102" s="83" t="str">
        <f t="shared" si="85"/>
        <v/>
      </c>
      <c r="J1102" s="272" t="str">
        <f>IFERROR(VLOOKUP((D1102&amp;C1102)&amp;"",'[2]Retail Price List'!$C$4:$F$102,3,FALSE),"")</f>
        <v/>
      </c>
      <c r="K1102" s="272">
        <f>IFERROR(IF(BA1102="WIP - 30 Days",VLOOKUP(D1102,[3]Standard!$B$9:$E$101,4,FALSE),IF(BA1102="31-120 Days",VLOOKUP(D1102,[3]Standard!$B$9:$F$101,5,FALSE),IF(BA1102="121-365 Days",VLOOKUP(D1102,[3]Standard!$B$9:$G$101,6,FALSE),VLOOKUP(D1102,[3]Standard!$B$9:$H$101,7,FALSE)))),0)</f>
        <v>0</v>
      </c>
      <c r="L1102" s="272">
        <f>IFERROR(IF(BA1102="WIP - 30 Days",VLOOKUP(D1102,[3]Standard!$B$9:$J$101,9,FALSE),IF(BA1102="31-120 Days",VLOOKUP(D1102,[3]Standard!$B$9:$K$100,10,FALSE),IF(BA1102="121-365 Days",VLOOKUP(D1102,[3]Standard!$B$9:$L$101,11,FALSE),VLOOKUP(D1102,[3]Standard!$B$9:$M$101,12,FALSE)))),0)</f>
        <v>0</v>
      </c>
      <c r="M1102" s="269" t="str">
        <f>IFERROR(VLOOKUP((D1102&amp;C1102)&amp;"",'[2]Retail Price List'!$C$4:$F$102,4,FALSE),"")</f>
        <v/>
      </c>
      <c r="N1102" s="269">
        <f>IFERROR(IF(BA1102="WIP - 30 Days",VLOOKUP(D1102,[3]Extended!$B$9:$E$101,4,FALSE),IF(BA1102="31-120 Days",VLOOKUP(D1102,[3]Extended!$B$9:$F$101,5,FALSE),IF(BA1102="121-365 Days",VLOOKUP(D1102,[3]Extended!$B$9:$G$101,6,FALSE),VLOOKUP(D1102,[3]Extended!$B$9:$H$101,7,FALSE)))),0)</f>
        <v>0</v>
      </c>
      <c r="O1102" s="269">
        <f>IFERROR(IF(BA1102="WIP - 30 Days",VLOOKUP(D1102,[3]Extended!$B$9:$J$101,9,FALSE),IF(BA1102="31-120 Days",VLOOKUP(D1102,[3]Extended!$B$9:$K$101,10,FALSE),IF(BA1102="121-365 Days",VLOOKUP(D1102,[3]Extended!$B$9:$L$101,11,FALSE),VLOOKUP(D1102,[3]Extended!$B$9:$M$101,12,FALSE)))),0)</f>
        <v>0</v>
      </c>
      <c r="P1102" s="116" t="e">
        <f t="shared" si="86"/>
        <v>#VALUE!</v>
      </c>
      <c r="Q1102" s="110" t="e">
        <f>O1102-#REF!</f>
        <v>#REF!</v>
      </c>
      <c r="W1102" s="311"/>
      <c r="X1102" s="311"/>
      <c r="Y1102" s="311"/>
      <c r="Z1102" s="311"/>
      <c r="AA1102" s="311"/>
      <c r="AB1102" s="311"/>
      <c r="AC1102" s="311"/>
      <c r="AT1102" s="88" t="str">
        <f t="shared" si="87"/>
        <v>Special Order0</v>
      </c>
      <c r="AU1102" s="89" t="str">
        <f t="shared" si="88"/>
        <v>01-1900</v>
      </c>
      <c r="BA1102" s="92" t="str">
        <f t="shared" si="89"/>
        <v/>
      </c>
    </row>
    <row r="1103" spans="2:53">
      <c r="B1103" s="60">
        <f>[2]Trucks!A1100</f>
        <v>0</v>
      </c>
      <c r="C1103" s="11">
        <f>[2]Trucks!B1100</f>
        <v>0</v>
      </c>
      <c r="D1103" s="19" t="str">
        <f>IFERROR(VLOOKUP(C1103&amp;"",'[2]Retail Price List'!$A$3:$B$103,2,FALSE),"Special Order")</f>
        <v>Special Order</v>
      </c>
      <c r="E1103" s="18">
        <f>[2]Trucks!J1100</f>
        <v>0</v>
      </c>
      <c r="F1103" s="12">
        <f>[2]Trucks!E1100</f>
        <v>0</v>
      </c>
      <c r="G1103" s="56">
        <f>[2]Trucks!K1100</f>
        <v>0</v>
      </c>
      <c r="H1103" s="46">
        <f>[2]Trucks!I1100</f>
        <v>0</v>
      </c>
      <c r="I1103" s="83" t="str">
        <f t="shared" si="85"/>
        <v/>
      </c>
      <c r="J1103" s="272" t="str">
        <f>IFERROR(VLOOKUP((D1103&amp;C1103)&amp;"",'[2]Retail Price List'!$C$4:$F$102,3,FALSE),"")</f>
        <v/>
      </c>
      <c r="K1103" s="272">
        <f>IFERROR(IF(BA1103="WIP - 30 Days",VLOOKUP(D1103,[3]Standard!$B$9:$E$101,4,FALSE),IF(BA1103="31-120 Days",VLOOKUP(D1103,[3]Standard!$B$9:$F$101,5,FALSE),IF(BA1103="121-365 Days",VLOOKUP(D1103,[3]Standard!$B$9:$G$101,6,FALSE),VLOOKUP(D1103,[3]Standard!$B$9:$H$101,7,FALSE)))),0)</f>
        <v>0</v>
      </c>
      <c r="L1103" s="272">
        <f>IFERROR(IF(BA1103="WIP - 30 Days",VLOOKUP(D1103,[3]Standard!$B$9:$J$101,9,FALSE),IF(BA1103="31-120 Days",VLOOKUP(D1103,[3]Standard!$B$9:$K$100,10,FALSE),IF(BA1103="121-365 Days",VLOOKUP(D1103,[3]Standard!$B$9:$L$101,11,FALSE),VLOOKUP(D1103,[3]Standard!$B$9:$M$101,12,FALSE)))),0)</f>
        <v>0</v>
      </c>
      <c r="M1103" s="269" t="str">
        <f>IFERROR(VLOOKUP((D1103&amp;C1103)&amp;"",'[2]Retail Price List'!$C$4:$F$102,4,FALSE),"")</f>
        <v/>
      </c>
      <c r="N1103" s="269">
        <f>IFERROR(IF(BA1103="WIP - 30 Days",VLOOKUP(D1103,[3]Extended!$B$9:$E$101,4,FALSE),IF(BA1103="31-120 Days",VLOOKUP(D1103,[3]Extended!$B$9:$F$101,5,FALSE),IF(BA1103="121-365 Days",VLOOKUP(D1103,[3]Extended!$B$9:$G$101,6,FALSE),VLOOKUP(D1103,[3]Extended!$B$9:$H$101,7,FALSE)))),0)</f>
        <v>0</v>
      </c>
      <c r="O1103" s="269">
        <f>IFERROR(IF(BA1103="WIP - 30 Days",VLOOKUP(D1103,[3]Extended!$B$9:$J$101,9,FALSE),IF(BA1103="31-120 Days",VLOOKUP(D1103,[3]Extended!$B$9:$K$101,10,FALSE),IF(BA1103="121-365 Days",VLOOKUP(D1103,[3]Extended!$B$9:$L$101,11,FALSE),VLOOKUP(D1103,[3]Extended!$B$9:$M$101,12,FALSE)))),0)</f>
        <v>0</v>
      </c>
      <c r="P1103" s="116" t="e">
        <f t="shared" si="86"/>
        <v>#VALUE!</v>
      </c>
      <c r="Q1103" s="110" t="e">
        <f>O1103-#REF!</f>
        <v>#REF!</v>
      </c>
      <c r="W1103" s="311"/>
      <c r="X1103" s="311"/>
      <c r="Y1103" s="311"/>
      <c r="Z1103" s="311"/>
      <c r="AA1103" s="311"/>
      <c r="AB1103" s="311"/>
      <c r="AC1103" s="311"/>
      <c r="AT1103" s="88" t="str">
        <f t="shared" si="87"/>
        <v>Special Order0</v>
      </c>
      <c r="AU1103" s="89" t="str">
        <f t="shared" si="88"/>
        <v>01-1900</v>
      </c>
      <c r="BA1103" s="92" t="str">
        <f t="shared" si="89"/>
        <v/>
      </c>
    </row>
    <row r="1104" spans="2:53">
      <c r="B1104" s="60">
        <f>[2]Trucks!A1101</f>
        <v>0</v>
      </c>
      <c r="C1104" s="11">
        <f>[2]Trucks!B1101</f>
        <v>0</v>
      </c>
      <c r="D1104" s="19" t="str">
        <f>IFERROR(VLOOKUP(C1104&amp;"",'[2]Retail Price List'!$A$3:$B$103,2,FALSE),"Special Order")</f>
        <v>Special Order</v>
      </c>
      <c r="E1104" s="18">
        <f>[2]Trucks!J1101</f>
        <v>0</v>
      </c>
      <c r="F1104" s="12">
        <f>[2]Trucks!E1101</f>
        <v>0</v>
      </c>
      <c r="G1104" s="56">
        <f>[2]Trucks!K1101</f>
        <v>0</v>
      </c>
      <c r="H1104" s="46">
        <f>[2]Trucks!I1101</f>
        <v>0</v>
      </c>
      <c r="I1104" s="83" t="str">
        <f t="shared" si="85"/>
        <v/>
      </c>
      <c r="J1104" s="272" t="str">
        <f>IFERROR(VLOOKUP((D1104&amp;C1104)&amp;"",'[2]Retail Price List'!$C$4:$F$102,3,FALSE),"")</f>
        <v/>
      </c>
      <c r="K1104" s="272">
        <f>IFERROR(IF(BA1104="WIP - 30 Days",VLOOKUP(D1104,[3]Standard!$B$9:$E$101,4,FALSE),IF(BA1104="31-120 Days",VLOOKUP(D1104,[3]Standard!$B$9:$F$101,5,FALSE),IF(BA1104="121-365 Days",VLOOKUP(D1104,[3]Standard!$B$9:$G$101,6,FALSE),VLOOKUP(D1104,[3]Standard!$B$9:$H$101,7,FALSE)))),0)</f>
        <v>0</v>
      </c>
      <c r="L1104" s="272">
        <f>IFERROR(IF(BA1104="WIP - 30 Days",VLOOKUP(D1104,[3]Standard!$B$9:$J$101,9,FALSE),IF(BA1104="31-120 Days",VLOOKUP(D1104,[3]Standard!$B$9:$K$100,10,FALSE),IF(BA1104="121-365 Days",VLOOKUP(D1104,[3]Standard!$B$9:$L$101,11,FALSE),VLOOKUP(D1104,[3]Standard!$B$9:$M$101,12,FALSE)))),0)</f>
        <v>0</v>
      </c>
      <c r="M1104" s="269" t="str">
        <f>IFERROR(VLOOKUP((D1104&amp;C1104)&amp;"",'[2]Retail Price List'!$C$4:$F$102,4,FALSE),"")</f>
        <v/>
      </c>
      <c r="N1104" s="269">
        <f>IFERROR(IF(BA1104="WIP - 30 Days",VLOOKUP(D1104,[3]Extended!$B$9:$E$101,4,FALSE),IF(BA1104="31-120 Days",VLOOKUP(D1104,[3]Extended!$B$9:$F$101,5,FALSE),IF(BA1104="121-365 Days",VLOOKUP(D1104,[3]Extended!$B$9:$G$101,6,FALSE),VLOOKUP(D1104,[3]Extended!$B$9:$H$101,7,FALSE)))),0)</f>
        <v>0</v>
      </c>
      <c r="O1104" s="269">
        <f>IFERROR(IF(BA1104="WIP - 30 Days",VLOOKUP(D1104,[3]Extended!$B$9:$J$101,9,FALSE),IF(BA1104="31-120 Days",VLOOKUP(D1104,[3]Extended!$B$9:$K$101,10,FALSE),IF(BA1104="121-365 Days",VLOOKUP(D1104,[3]Extended!$B$9:$L$101,11,FALSE),VLOOKUP(D1104,[3]Extended!$B$9:$M$101,12,FALSE)))),0)</f>
        <v>0</v>
      </c>
      <c r="P1104" s="116" t="e">
        <f t="shared" si="86"/>
        <v>#VALUE!</v>
      </c>
      <c r="Q1104" s="110" t="e">
        <f>O1104-#REF!</f>
        <v>#REF!</v>
      </c>
      <c r="W1104" s="311"/>
      <c r="X1104" s="311"/>
      <c r="Y1104" s="311"/>
      <c r="Z1104" s="311"/>
      <c r="AA1104" s="311"/>
      <c r="AB1104" s="311"/>
      <c r="AC1104" s="311"/>
      <c r="AT1104" s="88" t="str">
        <f t="shared" si="87"/>
        <v>Special Order0</v>
      </c>
      <c r="AU1104" s="89" t="str">
        <f t="shared" si="88"/>
        <v>01-1900</v>
      </c>
      <c r="BA1104" s="92" t="str">
        <f t="shared" si="89"/>
        <v/>
      </c>
    </row>
    <row r="1105" spans="2:53">
      <c r="B1105" s="60">
        <f>[2]Trucks!A1102</f>
        <v>0</v>
      </c>
      <c r="C1105" s="11">
        <f>[2]Trucks!B1102</f>
        <v>0</v>
      </c>
      <c r="D1105" s="19" t="str">
        <f>IFERROR(VLOOKUP(C1105&amp;"",'[2]Retail Price List'!$A$3:$B$103,2,FALSE),"Special Order")</f>
        <v>Special Order</v>
      </c>
      <c r="E1105" s="18">
        <f>[2]Trucks!J1102</f>
        <v>0</v>
      </c>
      <c r="F1105" s="12">
        <f>[2]Trucks!E1102</f>
        <v>0</v>
      </c>
      <c r="G1105" s="56">
        <f>[2]Trucks!K1102</f>
        <v>0</v>
      </c>
      <c r="H1105" s="46">
        <f>[2]Trucks!I1102</f>
        <v>0</v>
      </c>
      <c r="I1105" s="83" t="str">
        <f t="shared" si="85"/>
        <v/>
      </c>
      <c r="J1105" s="272" t="str">
        <f>IFERROR(VLOOKUP((D1105&amp;C1105)&amp;"",'[2]Retail Price List'!$C$4:$F$102,3,FALSE),"")</f>
        <v/>
      </c>
      <c r="K1105" s="272">
        <f>IFERROR(IF(BA1105="WIP - 30 Days",VLOOKUP(D1105,[3]Standard!$B$9:$E$101,4,FALSE),IF(BA1105="31-120 Days",VLOOKUP(D1105,[3]Standard!$B$9:$F$101,5,FALSE),IF(BA1105="121-365 Days",VLOOKUP(D1105,[3]Standard!$B$9:$G$101,6,FALSE),VLOOKUP(D1105,[3]Standard!$B$9:$H$101,7,FALSE)))),0)</f>
        <v>0</v>
      </c>
      <c r="L1105" s="272">
        <f>IFERROR(IF(BA1105="WIP - 30 Days",VLOOKUP(D1105,[3]Standard!$B$9:$J$101,9,FALSE),IF(BA1105="31-120 Days",VLOOKUP(D1105,[3]Standard!$B$9:$K$100,10,FALSE),IF(BA1105="121-365 Days",VLOOKUP(D1105,[3]Standard!$B$9:$L$101,11,FALSE),VLOOKUP(D1105,[3]Standard!$B$9:$M$101,12,FALSE)))),0)</f>
        <v>0</v>
      </c>
      <c r="M1105" s="269" t="str">
        <f>IFERROR(VLOOKUP((D1105&amp;C1105)&amp;"",'[2]Retail Price List'!$C$4:$F$102,4,FALSE),"")</f>
        <v/>
      </c>
      <c r="N1105" s="269">
        <f>IFERROR(IF(BA1105="WIP - 30 Days",VLOOKUP(D1105,[3]Extended!$B$9:$E$101,4,FALSE),IF(BA1105="31-120 Days",VLOOKUP(D1105,[3]Extended!$B$9:$F$101,5,FALSE),IF(BA1105="121-365 Days",VLOOKUP(D1105,[3]Extended!$B$9:$G$101,6,FALSE),VLOOKUP(D1105,[3]Extended!$B$9:$H$101,7,FALSE)))),0)</f>
        <v>0</v>
      </c>
      <c r="O1105" s="269">
        <f>IFERROR(IF(BA1105="WIP - 30 Days",VLOOKUP(D1105,[3]Extended!$B$9:$J$101,9,FALSE),IF(BA1105="31-120 Days",VLOOKUP(D1105,[3]Extended!$B$9:$K$101,10,FALSE),IF(BA1105="121-365 Days",VLOOKUP(D1105,[3]Extended!$B$9:$L$101,11,FALSE),VLOOKUP(D1105,[3]Extended!$B$9:$M$101,12,FALSE)))),0)</f>
        <v>0</v>
      </c>
      <c r="P1105" s="116" t="e">
        <f t="shared" si="86"/>
        <v>#VALUE!</v>
      </c>
      <c r="Q1105" s="110" t="e">
        <f>O1105-#REF!</f>
        <v>#REF!</v>
      </c>
      <c r="W1105" s="311"/>
      <c r="X1105" s="311"/>
      <c r="Y1105" s="311"/>
      <c r="Z1105" s="311"/>
      <c r="AA1105" s="311"/>
      <c r="AB1105" s="311"/>
      <c r="AC1105" s="311"/>
      <c r="AT1105" s="88" t="str">
        <f t="shared" si="87"/>
        <v>Special Order0</v>
      </c>
      <c r="AU1105" s="89" t="str">
        <f t="shared" si="88"/>
        <v>01-1900</v>
      </c>
      <c r="BA1105" s="92" t="str">
        <f t="shared" si="89"/>
        <v/>
      </c>
    </row>
    <row r="1106" spans="2:53">
      <c r="B1106" s="60">
        <f>[2]Trucks!A1103</f>
        <v>0</v>
      </c>
      <c r="C1106" s="11">
        <f>[2]Trucks!B1103</f>
        <v>0</v>
      </c>
      <c r="D1106" s="19" t="str">
        <f>IFERROR(VLOOKUP(C1106&amp;"",'[2]Retail Price List'!$A$3:$B$103,2,FALSE),"Special Order")</f>
        <v>Special Order</v>
      </c>
      <c r="E1106" s="18">
        <f>[2]Trucks!J1103</f>
        <v>0</v>
      </c>
      <c r="F1106" s="12">
        <f>[2]Trucks!E1103</f>
        <v>0</v>
      </c>
      <c r="G1106" s="56">
        <f>[2]Trucks!K1103</f>
        <v>0</v>
      </c>
      <c r="H1106" s="46">
        <f>[2]Trucks!I1103</f>
        <v>0</v>
      </c>
      <c r="I1106" s="83" t="str">
        <f t="shared" si="85"/>
        <v/>
      </c>
      <c r="J1106" s="272" t="str">
        <f>IFERROR(VLOOKUP((D1106&amp;C1106)&amp;"",'[2]Retail Price List'!$C$4:$F$102,3,FALSE),"")</f>
        <v/>
      </c>
      <c r="K1106" s="272">
        <f>IFERROR(IF(BA1106="WIP - 30 Days",VLOOKUP(D1106,[3]Standard!$B$9:$E$101,4,FALSE),IF(BA1106="31-120 Days",VLOOKUP(D1106,[3]Standard!$B$9:$F$101,5,FALSE),IF(BA1106="121-365 Days",VLOOKUP(D1106,[3]Standard!$B$9:$G$101,6,FALSE),VLOOKUP(D1106,[3]Standard!$B$9:$H$101,7,FALSE)))),0)</f>
        <v>0</v>
      </c>
      <c r="L1106" s="272">
        <f>IFERROR(IF(BA1106="WIP - 30 Days",VLOOKUP(D1106,[3]Standard!$B$9:$J$101,9,FALSE),IF(BA1106="31-120 Days",VLOOKUP(D1106,[3]Standard!$B$9:$K$100,10,FALSE),IF(BA1106="121-365 Days",VLOOKUP(D1106,[3]Standard!$B$9:$L$101,11,FALSE),VLOOKUP(D1106,[3]Standard!$B$9:$M$101,12,FALSE)))),0)</f>
        <v>0</v>
      </c>
      <c r="M1106" s="269" t="str">
        <f>IFERROR(VLOOKUP((D1106&amp;C1106)&amp;"",'[2]Retail Price List'!$C$4:$F$102,4,FALSE),"")</f>
        <v/>
      </c>
      <c r="N1106" s="269">
        <f>IFERROR(IF(BA1106="WIP - 30 Days",VLOOKUP(D1106,[3]Extended!$B$9:$E$101,4,FALSE),IF(BA1106="31-120 Days",VLOOKUP(D1106,[3]Extended!$B$9:$F$101,5,FALSE),IF(BA1106="121-365 Days",VLOOKUP(D1106,[3]Extended!$B$9:$G$101,6,FALSE),VLOOKUP(D1106,[3]Extended!$B$9:$H$101,7,FALSE)))),0)</f>
        <v>0</v>
      </c>
      <c r="O1106" s="269">
        <f>IFERROR(IF(BA1106="WIP - 30 Days",VLOOKUP(D1106,[3]Extended!$B$9:$J$101,9,FALSE),IF(BA1106="31-120 Days",VLOOKUP(D1106,[3]Extended!$B$9:$K$101,10,FALSE),IF(BA1106="121-365 Days",VLOOKUP(D1106,[3]Extended!$B$9:$L$101,11,FALSE),VLOOKUP(D1106,[3]Extended!$B$9:$M$101,12,FALSE)))),0)</f>
        <v>0</v>
      </c>
      <c r="P1106" s="116" t="e">
        <f t="shared" si="86"/>
        <v>#VALUE!</v>
      </c>
      <c r="Q1106" s="110" t="e">
        <f>O1106-#REF!</f>
        <v>#REF!</v>
      </c>
      <c r="W1106" s="311"/>
      <c r="X1106" s="311"/>
      <c r="Y1106" s="311"/>
      <c r="Z1106" s="311"/>
      <c r="AA1106" s="311"/>
      <c r="AB1106" s="311"/>
      <c r="AC1106" s="311"/>
      <c r="AT1106" s="88" t="str">
        <f t="shared" si="87"/>
        <v>Special Order0</v>
      </c>
      <c r="AU1106" s="89" t="str">
        <f t="shared" si="88"/>
        <v>01-1900</v>
      </c>
      <c r="BA1106" s="92" t="str">
        <f t="shared" si="89"/>
        <v/>
      </c>
    </row>
    <row r="1107" spans="2:53">
      <c r="B1107" s="60">
        <f>[2]Trucks!A1104</f>
        <v>0</v>
      </c>
      <c r="C1107" s="11">
        <f>[2]Trucks!B1104</f>
        <v>0</v>
      </c>
      <c r="D1107" s="19" t="str">
        <f>IFERROR(VLOOKUP(C1107&amp;"",'[2]Retail Price List'!$A$3:$B$103,2,FALSE),"Special Order")</f>
        <v>Special Order</v>
      </c>
      <c r="E1107" s="18">
        <f>[2]Trucks!J1104</f>
        <v>0</v>
      </c>
      <c r="F1107" s="12">
        <f>[2]Trucks!E1104</f>
        <v>0</v>
      </c>
      <c r="G1107" s="56">
        <f>[2]Trucks!K1104</f>
        <v>0</v>
      </c>
      <c r="H1107" s="46">
        <f>[2]Trucks!I1104</f>
        <v>0</v>
      </c>
      <c r="I1107" s="83" t="str">
        <f t="shared" si="85"/>
        <v/>
      </c>
      <c r="J1107" s="272" t="str">
        <f>IFERROR(VLOOKUP((D1107&amp;C1107)&amp;"",'[2]Retail Price List'!$C$4:$F$102,3,FALSE),"")</f>
        <v/>
      </c>
      <c r="K1107" s="272">
        <f>IFERROR(IF(BA1107="WIP - 30 Days",VLOOKUP(D1107,[3]Standard!$B$9:$E$101,4,FALSE),IF(BA1107="31-120 Days",VLOOKUP(D1107,[3]Standard!$B$9:$F$101,5,FALSE),IF(BA1107="121-365 Days",VLOOKUP(D1107,[3]Standard!$B$9:$G$101,6,FALSE),VLOOKUP(D1107,[3]Standard!$B$9:$H$101,7,FALSE)))),0)</f>
        <v>0</v>
      </c>
      <c r="L1107" s="272">
        <f>IFERROR(IF(BA1107="WIP - 30 Days",VLOOKUP(D1107,[3]Standard!$B$9:$J$101,9,FALSE),IF(BA1107="31-120 Days",VLOOKUP(D1107,[3]Standard!$B$9:$K$100,10,FALSE),IF(BA1107="121-365 Days",VLOOKUP(D1107,[3]Standard!$B$9:$L$101,11,FALSE),VLOOKUP(D1107,[3]Standard!$B$9:$M$101,12,FALSE)))),0)</f>
        <v>0</v>
      </c>
      <c r="M1107" s="269" t="str">
        <f>IFERROR(VLOOKUP((D1107&amp;C1107)&amp;"",'[2]Retail Price List'!$C$4:$F$102,4,FALSE),"")</f>
        <v/>
      </c>
      <c r="N1107" s="269">
        <f>IFERROR(IF(BA1107="WIP - 30 Days",VLOOKUP(D1107,[3]Extended!$B$9:$E$101,4,FALSE),IF(BA1107="31-120 Days",VLOOKUP(D1107,[3]Extended!$B$9:$F$101,5,FALSE),IF(BA1107="121-365 Days",VLOOKUP(D1107,[3]Extended!$B$9:$G$101,6,FALSE),VLOOKUP(D1107,[3]Extended!$B$9:$H$101,7,FALSE)))),0)</f>
        <v>0</v>
      </c>
      <c r="O1107" s="269">
        <f>IFERROR(IF(BA1107="WIP - 30 Days",VLOOKUP(D1107,[3]Extended!$B$9:$J$101,9,FALSE),IF(BA1107="31-120 Days",VLOOKUP(D1107,[3]Extended!$B$9:$K$101,10,FALSE),IF(BA1107="121-365 Days",VLOOKUP(D1107,[3]Extended!$B$9:$L$101,11,FALSE),VLOOKUP(D1107,[3]Extended!$B$9:$M$101,12,FALSE)))),0)</f>
        <v>0</v>
      </c>
      <c r="P1107" s="116" t="e">
        <f t="shared" si="86"/>
        <v>#VALUE!</v>
      </c>
      <c r="Q1107" s="110" t="e">
        <f>O1107-#REF!</f>
        <v>#REF!</v>
      </c>
      <c r="W1107" s="311"/>
      <c r="X1107" s="311"/>
      <c r="Y1107" s="311"/>
      <c r="Z1107" s="311"/>
      <c r="AA1107" s="311"/>
      <c r="AB1107" s="311"/>
      <c r="AC1107" s="311"/>
      <c r="AT1107" s="88" t="str">
        <f t="shared" si="87"/>
        <v>Special Order0</v>
      </c>
      <c r="AU1107" s="89" t="str">
        <f t="shared" si="88"/>
        <v>01-1900</v>
      </c>
      <c r="BA1107" s="92" t="str">
        <f t="shared" si="89"/>
        <v/>
      </c>
    </row>
    <row r="1108" spans="2:53">
      <c r="B1108" s="60">
        <f>[2]Trucks!A1105</f>
        <v>0</v>
      </c>
      <c r="C1108" s="11">
        <f>[2]Trucks!B1105</f>
        <v>0</v>
      </c>
      <c r="D1108" s="19" t="str">
        <f>IFERROR(VLOOKUP(C1108&amp;"",'[2]Retail Price List'!$A$3:$B$103,2,FALSE),"Special Order")</f>
        <v>Special Order</v>
      </c>
      <c r="E1108" s="18">
        <f>[2]Trucks!J1105</f>
        <v>0</v>
      </c>
      <c r="F1108" s="12">
        <f>[2]Trucks!E1105</f>
        <v>0</v>
      </c>
      <c r="G1108" s="56">
        <f>[2]Trucks!K1105</f>
        <v>0</v>
      </c>
      <c r="H1108" s="46">
        <f>[2]Trucks!I1105</f>
        <v>0</v>
      </c>
      <c r="I1108" s="83" t="str">
        <f t="shared" si="85"/>
        <v/>
      </c>
      <c r="J1108" s="272" t="str">
        <f>IFERROR(VLOOKUP((D1108&amp;C1108)&amp;"",'[2]Retail Price List'!$C$4:$F$102,3,FALSE),"")</f>
        <v/>
      </c>
      <c r="K1108" s="272">
        <f>IFERROR(IF(BA1108="WIP - 30 Days",VLOOKUP(D1108,[3]Standard!$B$9:$E$101,4,FALSE),IF(BA1108="31-120 Days",VLOOKUP(D1108,[3]Standard!$B$9:$F$101,5,FALSE),IF(BA1108="121-365 Days",VLOOKUP(D1108,[3]Standard!$B$9:$G$101,6,FALSE),VLOOKUP(D1108,[3]Standard!$B$9:$H$101,7,FALSE)))),0)</f>
        <v>0</v>
      </c>
      <c r="L1108" s="272">
        <f>IFERROR(IF(BA1108="WIP - 30 Days",VLOOKUP(D1108,[3]Standard!$B$9:$J$101,9,FALSE),IF(BA1108="31-120 Days",VLOOKUP(D1108,[3]Standard!$B$9:$K$100,10,FALSE),IF(BA1108="121-365 Days",VLOOKUP(D1108,[3]Standard!$B$9:$L$101,11,FALSE),VLOOKUP(D1108,[3]Standard!$B$9:$M$101,12,FALSE)))),0)</f>
        <v>0</v>
      </c>
      <c r="M1108" s="269" t="str">
        <f>IFERROR(VLOOKUP((D1108&amp;C1108)&amp;"",'[2]Retail Price List'!$C$4:$F$102,4,FALSE),"")</f>
        <v/>
      </c>
      <c r="N1108" s="269">
        <f>IFERROR(IF(BA1108="WIP - 30 Days",VLOOKUP(D1108,[3]Extended!$B$9:$E$101,4,FALSE),IF(BA1108="31-120 Days",VLOOKUP(D1108,[3]Extended!$B$9:$F$101,5,FALSE),IF(BA1108="121-365 Days",VLOOKUP(D1108,[3]Extended!$B$9:$G$101,6,FALSE),VLOOKUP(D1108,[3]Extended!$B$9:$H$101,7,FALSE)))),0)</f>
        <v>0</v>
      </c>
      <c r="O1108" s="269">
        <f>IFERROR(IF(BA1108="WIP - 30 Days",VLOOKUP(D1108,[3]Extended!$B$9:$J$101,9,FALSE),IF(BA1108="31-120 Days",VLOOKUP(D1108,[3]Extended!$B$9:$K$101,10,FALSE),IF(BA1108="121-365 Days",VLOOKUP(D1108,[3]Extended!$B$9:$L$101,11,FALSE),VLOOKUP(D1108,[3]Extended!$B$9:$M$101,12,FALSE)))),0)</f>
        <v>0</v>
      </c>
      <c r="P1108" s="116" t="e">
        <f t="shared" si="86"/>
        <v>#VALUE!</v>
      </c>
      <c r="Q1108" s="110" t="e">
        <f>O1108-#REF!</f>
        <v>#REF!</v>
      </c>
      <c r="W1108" s="311"/>
      <c r="X1108" s="311"/>
      <c r="Y1108" s="311"/>
      <c r="Z1108" s="311"/>
      <c r="AA1108" s="311"/>
      <c r="AB1108" s="311"/>
      <c r="AC1108" s="311"/>
      <c r="AT1108" s="88" t="str">
        <f t="shared" si="87"/>
        <v>Special Order0</v>
      </c>
      <c r="AU1108" s="89" t="str">
        <f t="shared" si="88"/>
        <v>01-1900</v>
      </c>
      <c r="BA1108" s="92" t="str">
        <f t="shared" si="89"/>
        <v/>
      </c>
    </row>
    <row r="1109" spans="2:53">
      <c r="B1109" s="60">
        <f>[2]Trucks!A1106</f>
        <v>0</v>
      </c>
      <c r="C1109" s="11">
        <f>[2]Trucks!B1106</f>
        <v>0</v>
      </c>
      <c r="D1109" s="19" t="str">
        <f>IFERROR(VLOOKUP(C1109&amp;"",'[2]Retail Price List'!$A$3:$B$103,2,FALSE),"Special Order")</f>
        <v>Special Order</v>
      </c>
      <c r="E1109" s="18">
        <f>[2]Trucks!J1106</f>
        <v>0</v>
      </c>
      <c r="F1109" s="12">
        <f>[2]Trucks!E1106</f>
        <v>0</v>
      </c>
      <c r="G1109" s="56">
        <f>[2]Trucks!K1106</f>
        <v>0</v>
      </c>
      <c r="H1109" s="46">
        <f>[2]Trucks!I1106</f>
        <v>0</v>
      </c>
      <c r="I1109" s="83" t="str">
        <f t="shared" si="85"/>
        <v/>
      </c>
      <c r="J1109" s="272" t="str">
        <f>IFERROR(VLOOKUP((D1109&amp;C1109)&amp;"",'[2]Retail Price List'!$C$4:$F$102,3,FALSE),"")</f>
        <v/>
      </c>
      <c r="K1109" s="272">
        <f>IFERROR(IF(BA1109="WIP - 30 Days",VLOOKUP(D1109,[3]Standard!$B$9:$E$101,4,FALSE),IF(BA1109="31-120 Days",VLOOKUP(D1109,[3]Standard!$B$9:$F$101,5,FALSE),IF(BA1109="121-365 Days",VLOOKUP(D1109,[3]Standard!$B$9:$G$101,6,FALSE),VLOOKUP(D1109,[3]Standard!$B$9:$H$101,7,FALSE)))),0)</f>
        <v>0</v>
      </c>
      <c r="L1109" s="272">
        <f>IFERROR(IF(BA1109="WIP - 30 Days",VLOOKUP(D1109,[3]Standard!$B$9:$J$101,9,FALSE),IF(BA1109="31-120 Days",VLOOKUP(D1109,[3]Standard!$B$9:$K$100,10,FALSE),IF(BA1109="121-365 Days",VLOOKUP(D1109,[3]Standard!$B$9:$L$101,11,FALSE),VLOOKUP(D1109,[3]Standard!$B$9:$M$101,12,FALSE)))),0)</f>
        <v>0</v>
      </c>
      <c r="M1109" s="269" t="str">
        <f>IFERROR(VLOOKUP((D1109&amp;C1109)&amp;"",'[2]Retail Price List'!$C$4:$F$102,4,FALSE),"")</f>
        <v/>
      </c>
      <c r="N1109" s="269">
        <f>IFERROR(IF(BA1109="WIP - 30 Days",VLOOKUP(D1109,[3]Extended!$B$9:$E$101,4,FALSE),IF(BA1109="31-120 Days",VLOOKUP(D1109,[3]Extended!$B$9:$F$101,5,FALSE),IF(BA1109="121-365 Days",VLOOKUP(D1109,[3]Extended!$B$9:$G$101,6,FALSE),VLOOKUP(D1109,[3]Extended!$B$9:$H$101,7,FALSE)))),0)</f>
        <v>0</v>
      </c>
      <c r="O1109" s="269">
        <f>IFERROR(IF(BA1109="WIP - 30 Days",VLOOKUP(D1109,[3]Extended!$B$9:$J$101,9,FALSE),IF(BA1109="31-120 Days",VLOOKUP(D1109,[3]Extended!$B$9:$K$101,10,FALSE),IF(BA1109="121-365 Days",VLOOKUP(D1109,[3]Extended!$B$9:$L$101,11,FALSE),VLOOKUP(D1109,[3]Extended!$B$9:$M$101,12,FALSE)))),0)</f>
        <v>0</v>
      </c>
      <c r="P1109" s="116" t="e">
        <f t="shared" si="86"/>
        <v>#VALUE!</v>
      </c>
      <c r="Q1109" s="110" t="e">
        <f>O1109-#REF!</f>
        <v>#REF!</v>
      </c>
      <c r="W1109" s="311"/>
      <c r="X1109" s="311"/>
      <c r="Y1109" s="311"/>
      <c r="Z1109" s="311"/>
      <c r="AA1109" s="311"/>
      <c r="AB1109" s="311"/>
      <c r="AC1109" s="311"/>
      <c r="AT1109" s="88" t="str">
        <f t="shared" si="87"/>
        <v>Special Order0</v>
      </c>
      <c r="AU1109" s="89" t="str">
        <f t="shared" si="88"/>
        <v>01-1900</v>
      </c>
      <c r="BA1109" s="92" t="str">
        <f t="shared" si="89"/>
        <v/>
      </c>
    </row>
    <row r="1110" spans="2:53">
      <c r="B1110" s="60">
        <f>[2]Trucks!A1107</f>
        <v>0</v>
      </c>
      <c r="C1110" s="11">
        <f>[2]Trucks!B1107</f>
        <v>0</v>
      </c>
      <c r="D1110" s="19" t="str">
        <f>IFERROR(VLOOKUP(C1110&amp;"",'[2]Retail Price List'!$A$3:$B$103,2,FALSE),"Special Order")</f>
        <v>Special Order</v>
      </c>
      <c r="E1110" s="18">
        <f>[2]Trucks!J1107</f>
        <v>0</v>
      </c>
      <c r="F1110" s="12">
        <f>[2]Trucks!E1107</f>
        <v>0</v>
      </c>
      <c r="G1110" s="56">
        <f>[2]Trucks!K1107</f>
        <v>0</v>
      </c>
      <c r="H1110" s="46">
        <f>[2]Trucks!I1107</f>
        <v>0</v>
      </c>
      <c r="I1110" s="83" t="str">
        <f t="shared" si="85"/>
        <v/>
      </c>
      <c r="J1110" s="272" t="str">
        <f>IFERROR(VLOOKUP((D1110&amp;C1110)&amp;"",'[2]Retail Price List'!$C$4:$F$102,3,FALSE),"")</f>
        <v/>
      </c>
      <c r="K1110" s="272">
        <f>IFERROR(IF(BA1110="WIP - 30 Days",VLOOKUP(D1110,[3]Standard!$B$9:$E$101,4,FALSE),IF(BA1110="31-120 Days",VLOOKUP(D1110,[3]Standard!$B$9:$F$101,5,FALSE),IF(BA1110="121-365 Days",VLOOKUP(D1110,[3]Standard!$B$9:$G$101,6,FALSE),VLOOKUP(D1110,[3]Standard!$B$9:$H$101,7,FALSE)))),0)</f>
        <v>0</v>
      </c>
      <c r="L1110" s="272">
        <f>IFERROR(IF(BA1110="WIP - 30 Days",VLOOKUP(D1110,[3]Standard!$B$9:$J$101,9,FALSE),IF(BA1110="31-120 Days",VLOOKUP(D1110,[3]Standard!$B$9:$K$100,10,FALSE),IF(BA1110="121-365 Days",VLOOKUP(D1110,[3]Standard!$B$9:$L$101,11,FALSE),VLOOKUP(D1110,[3]Standard!$B$9:$M$101,12,FALSE)))),0)</f>
        <v>0</v>
      </c>
      <c r="M1110" s="269" t="str">
        <f>IFERROR(VLOOKUP((D1110&amp;C1110)&amp;"",'[2]Retail Price List'!$C$4:$F$102,4,FALSE),"")</f>
        <v/>
      </c>
      <c r="N1110" s="269">
        <f>IFERROR(IF(BA1110="WIP - 30 Days",VLOOKUP(D1110,[3]Extended!$B$9:$E$101,4,FALSE),IF(BA1110="31-120 Days",VLOOKUP(D1110,[3]Extended!$B$9:$F$101,5,FALSE),IF(BA1110="121-365 Days",VLOOKUP(D1110,[3]Extended!$B$9:$G$101,6,FALSE),VLOOKUP(D1110,[3]Extended!$B$9:$H$101,7,FALSE)))),0)</f>
        <v>0</v>
      </c>
      <c r="O1110" s="269">
        <f>IFERROR(IF(BA1110="WIP - 30 Days",VLOOKUP(D1110,[3]Extended!$B$9:$J$101,9,FALSE),IF(BA1110="31-120 Days",VLOOKUP(D1110,[3]Extended!$B$9:$K$101,10,FALSE),IF(BA1110="121-365 Days",VLOOKUP(D1110,[3]Extended!$B$9:$L$101,11,FALSE),VLOOKUP(D1110,[3]Extended!$B$9:$M$101,12,FALSE)))),0)</f>
        <v>0</v>
      </c>
      <c r="P1110" s="116" t="e">
        <f t="shared" si="86"/>
        <v>#VALUE!</v>
      </c>
      <c r="Q1110" s="110" t="e">
        <f>O1110-#REF!</f>
        <v>#REF!</v>
      </c>
      <c r="W1110" s="311"/>
      <c r="X1110" s="311"/>
      <c r="Y1110" s="311"/>
      <c r="Z1110" s="311"/>
      <c r="AA1110" s="311"/>
      <c r="AB1110" s="311"/>
      <c r="AC1110" s="311"/>
      <c r="AT1110" s="88" t="str">
        <f t="shared" si="87"/>
        <v>Special Order0</v>
      </c>
      <c r="AU1110" s="89" t="str">
        <f t="shared" si="88"/>
        <v>01-1900</v>
      </c>
      <c r="BA1110" s="92" t="str">
        <f t="shared" si="89"/>
        <v/>
      </c>
    </row>
    <row r="1111" spans="2:53">
      <c r="B1111" s="60">
        <f>[2]Trucks!A1108</f>
        <v>0</v>
      </c>
      <c r="C1111" s="11">
        <f>[2]Trucks!B1108</f>
        <v>0</v>
      </c>
      <c r="D1111" s="19" t="str">
        <f>IFERROR(VLOOKUP(C1111&amp;"",'[2]Retail Price List'!$A$3:$B$103,2,FALSE),"Special Order")</f>
        <v>Special Order</v>
      </c>
      <c r="E1111" s="18">
        <f>[2]Trucks!J1108</f>
        <v>0</v>
      </c>
      <c r="F1111" s="12">
        <f>[2]Trucks!E1108</f>
        <v>0</v>
      </c>
      <c r="G1111" s="56">
        <f>[2]Trucks!K1108</f>
        <v>0</v>
      </c>
      <c r="H1111" s="46">
        <f>[2]Trucks!I1108</f>
        <v>0</v>
      </c>
      <c r="I1111" s="83" t="str">
        <f t="shared" si="85"/>
        <v/>
      </c>
      <c r="J1111" s="272" t="str">
        <f>IFERROR(VLOOKUP((D1111&amp;C1111)&amp;"",'[2]Retail Price List'!$C$4:$F$102,3,FALSE),"")</f>
        <v/>
      </c>
      <c r="K1111" s="272">
        <f>IFERROR(IF(BA1111="WIP - 30 Days",VLOOKUP(D1111,[3]Standard!$B$9:$E$101,4,FALSE),IF(BA1111="31-120 Days",VLOOKUP(D1111,[3]Standard!$B$9:$F$101,5,FALSE),IF(BA1111="121-365 Days",VLOOKUP(D1111,[3]Standard!$B$9:$G$101,6,FALSE),VLOOKUP(D1111,[3]Standard!$B$9:$H$101,7,FALSE)))),0)</f>
        <v>0</v>
      </c>
      <c r="L1111" s="272">
        <f>IFERROR(IF(BA1111="WIP - 30 Days",VLOOKUP(D1111,[3]Standard!$B$9:$J$101,9,FALSE),IF(BA1111="31-120 Days",VLOOKUP(D1111,[3]Standard!$B$9:$K$100,10,FALSE),IF(BA1111="121-365 Days",VLOOKUP(D1111,[3]Standard!$B$9:$L$101,11,FALSE),VLOOKUP(D1111,[3]Standard!$B$9:$M$101,12,FALSE)))),0)</f>
        <v>0</v>
      </c>
      <c r="M1111" s="269" t="str">
        <f>IFERROR(VLOOKUP((D1111&amp;C1111)&amp;"",'[2]Retail Price List'!$C$4:$F$102,4,FALSE),"")</f>
        <v/>
      </c>
      <c r="N1111" s="269">
        <f>IFERROR(IF(BA1111="WIP - 30 Days",VLOOKUP(D1111,[3]Extended!$B$9:$E$101,4,FALSE),IF(BA1111="31-120 Days",VLOOKUP(D1111,[3]Extended!$B$9:$F$101,5,FALSE),IF(BA1111="121-365 Days",VLOOKUP(D1111,[3]Extended!$B$9:$G$101,6,FALSE),VLOOKUP(D1111,[3]Extended!$B$9:$H$101,7,FALSE)))),0)</f>
        <v>0</v>
      </c>
      <c r="O1111" s="269">
        <f>IFERROR(IF(BA1111="WIP - 30 Days",VLOOKUP(D1111,[3]Extended!$B$9:$J$101,9,FALSE),IF(BA1111="31-120 Days",VLOOKUP(D1111,[3]Extended!$B$9:$K$101,10,FALSE),IF(BA1111="121-365 Days",VLOOKUP(D1111,[3]Extended!$B$9:$L$101,11,FALSE),VLOOKUP(D1111,[3]Extended!$B$9:$M$101,12,FALSE)))),0)</f>
        <v>0</v>
      </c>
      <c r="P1111" s="116" t="e">
        <f t="shared" si="86"/>
        <v>#VALUE!</v>
      </c>
      <c r="Q1111" s="110" t="e">
        <f>O1111-#REF!</f>
        <v>#REF!</v>
      </c>
      <c r="W1111" s="311"/>
      <c r="X1111" s="311"/>
      <c r="Y1111" s="311"/>
      <c r="Z1111" s="311"/>
      <c r="AA1111" s="311"/>
      <c r="AB1111" s="311"/>
      <c r="AC1111" s="311"/>
      <c r="AT1111" s="88" t="str">
        <f t="shared" si="87"/>
        <v>Special Order0</v>
      </c>
      <c r="AU1111" s="89" t="str">
        <f t="shared" si="88"/>
        <v>01-1900</v>
      </c>
      <c r="BA1111" s="92" t="str">
        <f t="shared" si="89"/>
        <v/>
      </c>
    </row>
    <row r="1112" spans="2:53">
      <c r="B1112" s="60">
        <f>[2]Trucks!A1109</f>
        <v>0</v>
      </c>
      <c r="C1112" s="11">
        <f>[2]Trucks!B1109</f>
        <v>0</v>
      </c>
      <c r="D1112" s="19" t="str">
        <f>IFERROR(VLOOKUP(C1112&amp;"",'[2]Retail Price List'!$A$3:$B$103,2,FALSE),"Special Order")</f>
        <v>Special Order</v>
      </c>
      <c r="E1112" s="18">
        <f>[2]Trucks!J1109</f>
        <v>0</v>
      </c>
      <c r="F1112" s="12">
        <f>[2]Trucks!E1109</f>
        <v>0</v>
      </c>
      <c r="G1112" s="56">
        <f>[2]Trucks!K1109</f>
        <v>0</v>
      </c>
      <c r="H1112" s="46">
        <f>[2]Trucks!I1109</f>
        <v>0</v>
      </c>
      <c r="I1112" s="83" t="str">
        <f t="shared" si="85"/>
        <v/>
      </c>
      <c r="J1112" s="272" t="str">
        <f>IFERROR(VLOOKUP((D1112&amp;C1112)&amp;"",'[2]Retail Price List'!$C$4:$F$102,3,FALSE),"")</f>
        <v/>
      </c>
      <c r="K1112" s="272">
        <f>IFERROR(IF(BA1112="WIP - 30 Days",VLOOKUP(D1112,[3]Standard!$B$9:$E$101,4,FALSE),IF(BA1112="31-120 Days",VLOOKUP(D1112,[3]Standard!$B$9:$F$101,5,FALSE),IF(BA1112="121-365 Days",VLOOKUP(D1112,[3]Standard!$B$9:$G$101,6,FALSE),VLOOKUP(D1112,[3]Standard!$B$9:$H$101,7,FALSE)))),0)</f>
        <v>0</v>
      </c>
      <c r="L1112" s="272">
        <f>IFERROR(IF(BA1112="WIP - 30 Days",VLOOKUP(D1112,[3]Standard!$B$9:$J$101,9,FALSE),IF(BA1112="31-120 Days",VLOOKUP(D1112,[3]Standard!$B$9:$K$100,10,FALSE),IF(BA1112="121-365 Days",VLOOKUP(D1112,[3]Standard!$B$9:$L$101,11,FALSE),VLOOKUP(D1112,[3]Standard!$B$9:$M$101,12,FALSE)))),0)</f>
        <v>0</v>
      </c>
      <c r="M1112" s="269" t="str">
        <f>IFERROR(VLOOKUP((D1112&amp;C1112)&amp;"",'[2]Retail Price List'!$C$4:$F$102,4,FALSE),"")</f>
        <v/>
      </c>
      <c r="N1112" s="269">
        <f>IFERROR(IF(BA1112="WIP - 30 Days",VLOOKUP(D1112,[3]Extended!$B$9:$E$101,4,FALSE),IF(BA1112="31-120 Days",VLOOKUP(D1112,[3]Extended!$B$9:$F$101,5,FALSE),IF(BA1112="121-365 Days",VLOOKUP(D1112,[3]Extended!$B$9:$G$101,6,FALSE),VLOOKUP(D1112,[3]Extended!$B$9:$H$101,7,FALSE)))),0)</f>
        <v>0</v>
      </c>
      <c r="O1112" s="269">
        <f>IFERROR(IF(BA1112="WIP - 30 Days",VLOOKUP(D1112,[3]Extended!$B$9:$J$101,9,FALSE),IF(BA1112="31-120 Days",VLOOKUP(D1112,[3]Extended!$B$9:$K$101,10,FALSE),IF(BA1112="121-365 Days",VLOOKUP(D1112,[3]Extended!$B$9:$L$101,11,FALSE),VLOOKUP(D1112,[3]Extended!$B$9:$M$101,12,FALSE)))),0)</f>
        <v>0</v>
      </c>
      <c r="P1112" s="116" t="e">
        <f t="shared" si="86"/>
        <v>#VALUE!</v>
      </c>
      <c r="Q1112" s="110" t="e">
        <f>O1112-#REF!</f>
        <v>#REF!</v>
      </c>
      <c r="W1112" s="311"/>
      <c r="X1112" s="311"/>
      <c r="Y1112" s="311"/>
      <c r="Z1112" s="311"/>
      <c r="AA1112" s="311"/>
      <c r="AB1112" s="311"/>
      <c r="AC1112" s="311"/>
      <c r="AT1112" s="88" t="str">
        <f t="shared" si="87"/>
        <v>Special Order0</v>
      </c>
      <c r="AU1112" s="89" t="str">
        <f t="shared" si="88"/>
        <v>01-1900</v>
      </c>
      <c r="BA1112" s="92" t="str">
        <f t="shared" si="89"/>
        <v/>
      </c>
    </row>
    <row r="1113" spans="2:53">
      <c r="B1113" s="60">
        <f>[2]Trucks!A1110</f>
        <v>0</v>
      </c>
      <c r="C1113" s="11">
        <f>[2]Trucks!B1110</f>
        <v>0</v>
      </c>
      <c r="D1113" s="19" t="str">
        <f>IFERROR(VLOOKUP(C1113&amp;"",'[2]Retail Price List'!$A$3:$B$103,2,FALSE),"Special Order")</f>
        <v>Special Order</v>
      </c>
      <c r="E1113" s="18">
        <f>[2]Trucks!J1110</f>
        <v>0</v>
      </c>
      <c r="F1113" s="12">
        <f>[2]Trucks!E1110</f>
        <v>0</v>
      </c>
      <c r="G1113" s="56">
        <f>[2]Trucks!K1110</f>
        <v>0</v>
      </c>
      <c r="H1113" s="46">
        <f>[2]Trucks!I1110</f>
        <v>0</v>
      </c>
      <c r="I1113" s="83" t="str">
        <f t="shared" si="85"/>
        <v/>
      </c>
      <c r="J1113" s="272" t="str">
        <f>IFERROR(VLOOKUP((D1113&amp;C1113)&amp;"",'[2]Retail Price List'!$C$4:$F$102,3,FALSE),"")</f>
        <v/>
      </c>
      <c r="K1113" s="272">
        <f>IFERROR(IF(BA1113="WIP - 30 Days",VLOOKUP(D1113,[3]Standard!$B$9:$E$101,4,FALSE),IF(BA1113="31-120 Days",VLOOKUP(D1113,[3]Standard!$B$9:$F$101,5,FALSE),IF(BA1113="121-365 Days",VLOOKUP(D1113,[3]Standard!$B$9:$G$101,6,FALSE),VLOOKUP(D1113,[3]Standard!$B$9:$H$101,7,FALSE)))),0)</f>
        <v>0</v>
      </c>
      <c r="L1113" s="272">
        <f>IFERROR(IF(BA1113="WIP - 30 Days",VLOOKUP(D1113,[3]Standard!$B$9:$J$101,9,FALSE),IF(BA1113="31-120 Days",VLOOKUP(D1113,[3]Standard!$B$9:$K$100,10,FALSE),IF(BA1113="121-365 Days",VLOOKUP(D1113,[3]Standard!$B$9:$L$101,11,FALSE),VLOOKUP(D1113,[3]Standard!$B$9:$M$101,12,FALSE)))),0)</f>
        <v>0</v>
      </c>
      <c r="M1113" s="269" t="str">
        <f>IFERROR(VLOOKUP((D1113&amp;C1113)&amp;"",'[2]Retail Price List'!$C$4:$F$102,4,FALSE),"")</f>
        <v/>
      </c>
      <c r="N1113" s="269">
        <f>IFERROR(IF(BA1113="WIP - 30 Days",VLOOKUP(D1113,[3]Extended!$B$9:$E$101,4,FALSE),IF(BA1113="31-120 Days",VLOOKUP(D1113,[3]Extended!$B$9:$F$101,5,FALSE),IF(BA1113="121-365 Days",VLOOKUP(D1113,[3]Extended!$B$9:$G$101,6,FALSE),VLOOKUP(D1113,[3]Extended!$B$9:$H$101,7,FALSE)))),0)</f>
        <v>0</v>
      </c>
      <c r="O1113" s="269">
        <f>IFERROR(IF(BA1113="WIP - 30 Days",VLOOKUP(D1113,[3]Extended!$B$9:$J$101,9,FALSE),IF(BA1113="31-120 Days",VLOOKUP(D1113,[3]Extended!$B$9:$K$101,10,FALSE),IF(BA1113="121-365 Days",VLOOKUP(D1113,[3]Extended!$B$9:$L$101,11,FALSE),VLOOKUP(D1113,[3]Extended!$B$9:$M$101,12,FALSE)))),0)</f>
        <v>0</v>
      </c>
      <c r="P1113" s="116" t="e">
        <f t="shared" si="86"/>
        <v>#VALUE!</v>
      </c>
      <c r="Q1113" s="110" t="e">
        <f>O1113-#REF!</f>
        <v>#REF!</v>
      </c>
      <c r="W1113" s="311"/>
      <c r="X1113" s="311"/>
      <c r="Y1113" s="311"/>
      <c r="Z1113" s="311"/>
      <c r="AA1113" s="311"/>
      <c r="AB1113" s="311"/>
      <c r="AC1113" s="311"/>
      <c r="AT1113" s="88" t="str">
        <f t="shared" si="87"/>
        <v>Special Order0</v>
      </c>
      <c r="AU1113" s="89" t="str">
        <f t="shared" si="88"/>
        <v>01-1900</v>
      </c>
      <c r="BA1113" s="92" t="str">
        <f t="shared" si="89"/>
        <v/>
      </c>
    </row>
    <row r="1114" spans="2:53">
      <c r="B1114" s="60">
        <f>[2]Trucks!A1111</f>
        <v>0</v>
      </c>
      <c r="C1114" s="11">
        <f>[2]Trucks!B1111</f>
        <v>0</v>
      </c>
      <c r="D1114" s="19" t="str">
        <f>IFERROR(VLOOKUP(C1114&amp;"",'[2]Retail Price List'!$A$3:$B$103,2,FALSE),"Special Order")</f>
        <v>Special Order</v>
      </c>
      <c r="E1114" s="18">
        <f>[2]Trucks!J1111</f>
        <v>0</v>
      </c>
      <c r="F1114" s="12">
        <f>[2]Trucks!E1111</f>
        <v>0</v>
      </c>
      <c r="G1114" s="56">
        <f>[2]Trucks!K1111</f>
        <v>0</v>
      </c>
      <c r="H1114" s="46">
        <f>[2]Trucks!I1111</f>
        <v>0</v>
      </c>
      <c r="I1114" s="83" t="str">
        <f t="shared" si="85"/>
        <v/>
      </c>
      <c r="J1114" s="272" t="str">
        <f>IFERROR(VLOOKUP((D1114&amp;C1114)&amp;"",'[2]Retail Price List'!$C$4:$F$102,3,FALSE),"")</f>
        <v/>
      </c>
      <c r="K1114" s="272">
        <f>IFERROR(IF(BA1114="WIP - 30 Days",VLOOKUP(D1114,[3]Standard!$B$9:$E$101,4,FALSE),IF(BA1114="31-120 Days",VLOOKUP(D1114,[3]Standard!$B$9:$F$101,5,FALSE),IF(BA1114="121-365 Days",VLOOKUP(D1114,[3]Standard!$B$9:$G$101,6,FALSE),VLOOKUP(D1114,[3]Standard!$B$9:$H$101,7,FALSE)))),0)</f>
        <v>0</v>
      </c>
      <c r="L1114" s="272">
        <f>IFERROR(IF(BA1114="WIP - 30 Days",VLOOKUP(D1114,[3]Standard!$B$9:$J$101,9,FALSE),IF(BA1114="31-120 Days",VLOOKUP(D1114,[3]Standard!$B$9:$K$100,10,FALSE),IF(BA1114="121-365 Days",VLOOKUP(D1114,[3]Standard!$B$9:$L$101,11,FALSE),VLOOKUP(D1114,[3]Standard!$B$9:$M$101,12,FALSE)))),0)</f>
        <v>0</v>
      </c>
      <c r="M1114" s="269" t="str">
        <f>IFERROR(VLOOKUP((D1114&amp;C1114)&amp;"",'[2]Retail Price List'!$C$4:$F$102,4,FALSE),"")</f>
        <v/>
      </c>
      <c r="N1114" s="269">
        <f>IFERROR(IF(BA1114="WIP - 30 Days",VLOOKUP(D1114,[3]Extended!$B$9:$E$101,4,FALSE),IF(BA1114="31-120 Days",VLOOKUP(D1114,[3]Extended!$B$9:$F$101,5,FALSE),IF(BA1114="121-365 Days",VLOOKUP(D1114,[3]Extended!$B$9:$G$101,6,FALSE),VLOOKUP(D1114,[3]Extended!$B$9:$H$101,7,FALSE)))),0)</f>
        <v>0</v>
      </c>
      <c r="O1114" s="269">
        <f>IFERROR(IF(BA1114="WIP - 30 Days",VLOOKUP(D1114,[3]Extended!$B$9:$J$101,9,FALSE),IF(BA1114="31-120 Days",VLOOKUP(D1114,[3]Extended!$B$9:$K$101,10,FALSE),IF(BA1114="121-365 Days",VLOOKUP(D1114,[3]Extended!$B$9:$L$101,11,FALSE),VLOOKUP(D1114,[3]Extended!$B$9:$M$101,12,FALSE)))),0)</f>
        <v>0</v>
      </c>
      <c r="P1114" s="116" t="e">
        <f t="shared" si="86"/>
        <v>#VALUE!</v>
      </c>
      <c r="Q1114" s="110" t="e">
        <f>O1114-#REF!</f>
        <v>#REF!</v>
      </c>
      <c r="W1114" s="311"/>
      <c r="X1114" s="311"/>
      <c r="Y1114" s="311"/>
      <c r="Z1114" s="311"/>
      <c r="AA1114" s="311"/>
      <c r="AB1114" s="311"/>
      <c r="AC1114" s="311"/>
      <c r="AT1114" s="88" t="str">
        <f t="shared" si="87"/>
        <v>Special Order0</v>
      </c>
      <c r="AU1114" s="89" t="str">
        <f t="shared" si="88"/>
        <v>01-1900</v>
      </c>
      <c r="BA1114" s="92" t="str">
        <f t="shared" si="89"/>
        <v/>
      </c>
    </row>
    <row r="1115" spans="2:53">
      <c r="B1115" s="60">
        <f>[2]Trucks!A1112</f>
        <v>0</v>
      </c>
      <c r="C1115" s="11">
        <f>[2]Trucks!B1112</f>
        <v>0</v>
      </c>
      <c r="D1115" s="19" t="str">
        <f>IFERROR(VLOOKUP(C1115&amp;"",'[2]Retail Price List'!$A$3:$B$103,2,FALSE),"Special Order")</f>
        <v>Special Order</v>
      </c>
      <c r="E1115" s="18">
        <f>[2]Trucks!J1112</f>
        <v>0</v>
      </c>
      <c r="F1115" s="12">
        <f>[2]Trucks!E1112</f>
        <v>0</v>
      </c>
      <c r="G1115" s="56">
        <f>[2]Trucks!K1112</f>
        <v>0</v>
      </c>
      <c r="H1115" s="46">
        <f>[2]Trucks!I1112</f>
        <v>0</v>
      </c>
      <c r="I1115" s="83" t="str">
        <f t="shared" si="85"/>
        <v/>
      </c>
      <c r="J1115" s="272" t="str">
        <f>IFERROR(VLOOKUP((D1115&amp;C1115)&amp;"",'[2]Retail Price List'!$C$4:$F$102,3,FALSE),"")</f>
        <v/>
      </c>
      <c r="K1115" s="272">
        <f>IFERROR(IF(BA1115="WIP - 30 Days",VLOOKUP(D1115,[3]Standard!$B$9:$E$101,4,FALSE),IF(BA1115="31-120 Days",VLOOKUP(D1115,[3]Standard!$B$9:$F$101,5,FALSE),IF(BA1115="121-365 Days",VLOOKUP(D1115,[3]Standard!$B$9:$G$101,6,FALSE),VLOOKUP(D1115,[3]Standard!$B$9:$H$101,7,FALSE)))),0)</f>
        <v>0</v>
      </c>
      <c r="L1115" s="272">
        <f>IFERROR(IF(BA1115="WIP - 30 Days",VLOOKUP(D1115,[3]Standard!$B$9:$J$101,9,FALSE),IF(BA1115="31-120 Days",VLOOKUP(D1115,[3]Standard!$B$9:$K$100,10,FALSE),IF(BA1115="121-365 Days",VLOOKUP(D1115,[3]Standard!$B$9:$L$101,11,FALSE),VLOOKUP(D1115,[3]Standard!$B$9:$M$101,12,FALSE)))),0)</f>
        <v>0</v>
      </c>
      <c r="M1115" s="269" t="str">
        <f>IFERROR(VLOOKUP((D1115&amp;C1115)&amp;"",'[2]Retail Price List'!$C$4:$F$102,4,FALSE),"")</f>
        <v/>
      </c>
      <c r="N1115" s="269">
        <f>IFERROR(IF(BA1115="WIP - 30 Days",VLOOKUP(D1115,[3]Extended!$B$9:$E$101,4,FALSE),IF(BA1115="31-120 Days",VLOOKUP(D1115,[3]Extended!$B$9:$F$101,5,FALSE),IF(BA1115="121-365 Days",VLOOKUP(D1115,[3]Extended!$B$9:$G$101,6,FALSE),VLOOKUP(D1115,[3]Extended!$B$9:$H$101,7,FALSE)))),0)</f>
        <v>0</v>
      </c>
      <c r="O1115" s="269">
        <f>IFERROR(IF(BA1115="WIP - 30 Days",VLOOKUP(D1115,[3]Extended!$B$9:$J$101,9,FALSE),IF(BA1115="31-120 Days",VLOOKUP(D1115,[3]Extended!$B$9:$K$101,10,FALSE),IF(BA1115="121-365 Days",VLOOKUP(D1115,[3]Extended!$B$9:$L$101,11,FALSE),VLOOKUP(D1115,[3]Extended!$B$9:$M$101,12,FALSE)))),0)</f>
        <v>0</v>
      </c>
      <c r="P1115" s="116" t="e">
        <f t="shared" si="86"/>
        <v>#VALUE!</v>
      </c>
      <c r="Q1115" s="110" t="e">
        <f>O1115-#REF!</f>
        <v>#REF!</v>
      </c>
      <c r="W1115" s="311"/>
      <c r="X1115" s="311"/>
      <c r="Y1115" s="311"/>
      <c r="Z1115" s="311"/>
      <c r="AA1115" s="311"/>
      <c r="AB1115" s="311"/>
      <c r="AC1115" s="311"/>
      <c r="AT1115" s="88" t="str">
        <f t="shared" si="87"/>
        <v>Special Order0</v>
      </c>
      <c r="AU1115" s="89" t="str">
        <f t="shared" si="88"/>
        <v>01-1900</v>
      </c>
      <c r="BA1115" s="92" t="str">
        <f t="shared" si="89"/>
        <v/>
      </c>
    </row>
    <row r="1116" spans="2:53">
      <c r="B1116" s="60">
        <f>[2]Trucks!A1113</f>
        <v>0</v>
      </c>
      <c r="C1116" s="11">
        <f>[2]Trucks!B1113</f>
        <v>0</v>
      </c>
      <c r="D1116" s="19" t="str">
        <f>IFERROR(VLOOKUP(C1116&amp;"",'[2]Retail Price List'!$A$3:$B$103,2,FALSE),"Special Order")</f>
        <v>Special Order</v>
      </c>
      <c r="E1116" s="18">
        <f>[2]Trucks!J1113</f>
        <v>0</v>
      </c>
      <c r="F1116" s="12">
        <f>[2]Trucks!E1113</f>
        <v>0</v>
      </c>
      <c r="G1116" s="56">
        <f>[2]Trucks!K1113</f>
        <v>0</v>
      </c>
      <c r="H1116" s="46">
        <f>[2]Trucks!I1113</f>
        <v>0</v>
      </c>
      <c r="I1116" s="83" t="str">
        <f t="shared" si="85"/>
        <v/>
      </c>
      <c r="J1116" s="272" t="str">
        <f>IFERROR(VLOOKUP((D1116&amp;C1116)&amp;"",'[2]Retail Price List'!$C$4:$F$102,3,FALSE),"")</f>
        <v/>
      </c>
      <c r="K1116" s="272">
        <f>IFERROR(IF(BA1116="WIP - 30 Days",VLOOKUP(D1116,[3]Standard!$B$9:$E$101,4,FALSE),IF(BA1116="31-120 Days",VLOOKUP(D1116,[3]Standard!$B$9:$F$101,5,FALSE),IF(BA1116="121-365 Days",VLOOKUP(D1116,[3]Standard!$B$9:$G$101,6,FALSE),VLOOKUP(D1116,[3]Standard!$B$9:$H$101,7,FALSE)))),0)</f>
        <v>0</v>
      </c>
      <c r="L1116" s="272">
        <f>IFERROR(IF(BA1116="WIP - 30 Days",VLOOKUP(D1116,[3]Standard!$B$9:$J$101,9,FALSE),IF(BA1116="31-120 Days",VLOOKUP(D1116,[3]Standard!$B$9:$K$100,10,FALSE),IF(BA1116="121-365 Days",VLOOKUP(D1116,[3]Standard!$B$9:$L$101,11,FALSE),VLOOKUP(D1116,[3]Standard!$B$9:$M$101,12,FALSE)))),0)</f>
        <v>0</v>
      </c>
      <c r="M1116" s="269" t="str">
        <f>IFERROR(VLOOKUP((D1116&amp;C1116)&amp;"",'[2]Retail Price List'!$C$4:$F$102,4,FALSE),"")</f>
        <v/>
      </c>
      <c r="N1116" s="269">
        <f>IFERROR(IF(BA1116="WIP - 30 Days",VLOOKUP(D1116,[3]Extended!$B$9:$E$101,4,FALSE),IF(BA1116="31-120 Days",VLOOKUP(D1116,[3]Extended!$B$9:$F$101,5,FALSE),IF(BA1116="121-365 Days",VLOOKUP(D1116,[3]Extended!$B$9:$G$101,6,FALSE),VLOOKUP(D1116,[3]Extended!$B$9:$H$101,7,FALSE)))),0)</f>
        <v>0</v>
      </c>
      <c r="O1116" s="269">
        <f>IFERROR(IF(BA1116="WIP - 30 Days",VLOOKUP(D1116,[3]Extended!$B$9:$J$101,9,FALSE),IF(BA1116="31-120 Days",VLOOKUP(D1116,[3]Extended!$B$9:$K$101,10,FALSE),IF(BA1116="121-365 Days",VLOOKUP(D1116,[3]Extended!$B$9:$L$101,11,FALSE),VLOOKUP(D1116,[3]Extended!$B$9:$M$101,12,FALSE)))),0)</f>
        <v>0</v>
      </c>
      <c r="P1116" s="116" t="e">
        <f t="shared" si="86"/>
        <v>#VALUE!</v>
      </c>
      <c r="Q1116" s="110" t="e">
        <f>O1116-#REF!</f>
        <v>#REF!</v>
      </c>
      <c r="W1116" s="311"/>
      <c r="X1116" s="311"/>
      <c r="Y1116" s="311"/>
      <c r="Z1116" s="311"/>
      <c r="AA1116" s="311"/>
      <c r="AB1116" s="311"/>
      <c r="AC1116" s="311"/>
      <c r="AT1116" s="88" t="str">
        <f t="shared" si="87"/>
        <v>Special Order0</v>
      </c>
      <c r="AU1116" s="89" t="str">
        <f t="shared" si="88"/>
        <v>01-1900</v>
      </c>
      <c r="BA1116" s="92" t="str">
        <f t="shared" si="89"/>
        <v/>
      </c>
    </row>
    <row r="1117" spans="2:53">
      <c r="B1117" s="60">
        <f>[2]Trucks!A1114</f>
        <v>0</v>
      </c>
      <c r="C1117" s="11">
        <f>[2]Trucks!B1114</f>
        <v>0</v>
      </c>
      <c r="D1117" s="19" t="str">
        <f>IFERROR(VLOOKUP(C1117&amp;"",'[2]Retail Price List'!$A$3:$B$103,2,FALSE),"Special Order")</f>
        <v>Special Order</v>
      </c>
      <c r="E1117" s="18">
        <f>[2]Trucks!J1114</f>
        <v>0</v>
      </c>
      <c r="F1117" s="12">
        <f>[2]Trucks!E1114</f>
        <v>0</v>
      </c>
      <c r="G1117" s="56">
        <f>[2]Trucks!K1114</f>
        <v>0</v>
      </c>
      <c r="H1117" s="46">
        <f>[2]Trucks!I1114</f>
        <v>0</v>
      </c>
      <c r="I1117" s="83" t="str">
        <f t="shared" si="85"/>
        <v/>
      </c>
      <c r="J1117" s="272" t="str">
        <f>IFERROR(VLOOKUP((D1117&amp;C1117)&amp;"",'[2]Retail Price List'!$C$4:$F$102,3,FALSE),"")</f>
        <v/>
      </c>
      <c r="K1117" s="272">
        <f>IFERROR(IF(BA1117="WIP - 30 Days",VLOOKUP(D1117,[3]Standard!$B$9:$E$101,4,FALSE),IF(BA1117="31-120 Days",VLOOKUP(D1117,[3]Standard!$B$9:$F$101,5,FALSE),IF(BA1117="121-365 Days",VLOOKUP(D1117,[3]Standard!$B$9:$G$101,6,FALSE),VLOOKUP(D1117,[3]Standard!$B$9:$H$101,7,FALSE)))),0)</f>
        <v>0</v>
      </c>
      <c r="L1117" s="272">
        <f>IFERROR(IF(BA1117="WIP - 30 Days",VLOOKUP(D1117,[3]Standard!$B$9:$J$101,9,FALSE),IF(BA1117="31-120 Days",VLOOKUP(D1117,[3]Standard!$B$9:$K$100,10,FALSE),IF(BA1117="121-365 Days",VLOOKUP(D1117,[3]Standard!$B$9:$L$101,11,FALSE),VLOOKUP(D1117,[3]Standard!$B$9:$M$101,12,FALSE)))),0)</f>
        <v>0</v>
      </c>
      <c r="M1117" s="269" t="str">
        <f>IFERROR(VLOOKUP((D1117&amp;C1117)&amp;"",'[2]Retail Price List'!$C$4:$F$102,4,FALSE),"")</f>
        <v/>
      </c>
      <c r="N1117" s="269">
        <f>IFERROR(IF(BA1117="WIP - 30 Days",VLOOKUP(D1117,[3]Extended!$B$9:$E$101,4,FALSE),IF(BA1117="31-120 Days",VLOOKUP(D1117,[3]Extended!$B$9:$F$101,5,FALSE),IF(BA1117="121-365 Days",VLOOKUP(D1117,[3]Extended!$B$9:$G$101,6,FALSE),VLOOKUP(D1117,[3]Extended!$B$9:$H$101,7,FALSE)))),0)</f>
        <v>0</v>
      </c>
      <c r="O1117" s="269">
        <f>IFERROR(IF(BA1117="WIP - 30 Days",VLOOKUP(D1117,[3]Extended!$B$9:$J$101,9,FALSE),IF(BA1117="31-120 Days",VLOOKUP(D1117,[3]Extended!$B$9:$K$101,10,FALSE),IF(BA1117="121-365 Days",VLOOKUP(D1117,[3]Extended!$B$9:$L$101,11,FALSE),VLOOKUP(D1117,[3]Extended!$B$9:$M$101,12,FALSE)))),0)</f>
        <v>0</v>
      </c>
      <c r="P1117" s="116" t="e">
        <f t="shared" si="86"/>
        <v>#VALUE!</v>
      </c>
      <c r="Q1117" s="110" t="e">
        <f>O1117-#REF!</f>
        <v>#REF!</v>
      </c>
      <c r="W1117" s="311"/>
      <c r="X1117" s="311"/>
      <c r="Y1117" s="311"/>
      <c r="Z1117" s="311"/>
      <c r="AA1117" s="311"/>
      <c r="AB1117" s="311"/>
      <c r="AC1117" s="311"/>
      <c r="AT1117" s="88" t="str">
        <f t="shared" si="87"/>
        <v>Special Order0</v>
      </c>
      <c r="AU1117" s="89" t="str">
        <f t="shared" si="88"/>
        <v>01-1900</v>
      </c>
      <c r="BA1117" s="92" t="str">
        <f t="shared" si="89"/>
        <v/>
      </c>
    </row>
    <row r="1118" spans="2:53">
      <c r="B1118" s="60">
        <f>[2]Trucks!A1115</f>
        <v>0</v>
      </c>
      <c r="C1118" s="11">
        <f>[2]Trucks!B1115</f>
        <v>0</v>
      </c>
      <c r="D1118" s="19" t="str">
        <f>IFERROR(VLOOKUP(C1118&amp;"",'[2]Retail Price List'!$A$3:$B$103,2,FALSE),"Special Order")</f>
        <v>Special Order</v>
      </c>
      <c r="E1118" s="18">
        <f>[2]Trucks!J1115</f>
        <v>0</v>
      </c>
      <c r="F1118" s="12">
        <f>[2]Trucks!E1115</f>
        <v>0</v>
      </c>
      <c r="G1118" s="56">
        <f>[2]Trucks!K1115</f>
        <v>0</v>
      </c>
      <c r="H1118" s="46">
        <f>[2]Trucks!I1115</f>
        <v>0</v>
      </c>
      <c r="I1118" s="83" t="str">
        <f t="shared" si="85"/>
        <v/>
      </c>
      <c r="J1118" s="272" t="str">
        <f>IFERROR(VLOOKUP((D1118&amp;C1118)&amp;"",'[2]Retail Price List'!$C$4:$F$102,3,FALSE),"")</f>
        <v/>
      </c>
      <c r="K1118" s="272">
        <f>IFERROR(IF(BA1118="WIP - 30 Days",VLOOKUP(D1118,[3]Standard!$B$9:$E$101,4,FALSE),IF(BA1118="31-120 Days",VLOOKUP(D1118,[3]Standard!$B$9:$F$101,5,FALSE),IF(BA1118="121-365 Days",VLOOKUP(D1118,[3]Standard!$B$9:$G$101,6,FALSE),VLOOKUP(D1118,[3]Standard!$B$9:$H$101,7,FALSE)))),0)</f>
        <v>0</v>
      </c>
      <c r="L1118" s="272">
        <f>IFERROR(IF(BA1118="WIP - 30 Days",VLOOKUP(D1118,[3]Standard!$B$9:$J$101,9,FALSE),IF(BA1118="31-120 Days",VLOOKUP(D1118,[3]Standard!$B$9:$K$100,10,FALSE),IF(BA1118="121-365 Days",VLOOKUP(D1118,[3]Standard!$B$9:$L$101,11,FALSE),VLOOKUP(D1118,[3]Standard!$B$9:$M$101,12,FALSE)))),0)</f>
        <v>0</v>
      </c>
      <c r="M1118" s="269" t="str">
        <f>IFERROR(VLOOKUP((D1118&amp;C1118)&amp;"",'[2]Retail Price List'!$C$4:$F$102,4,FALSE),"")</f>
        <v/>
      </c>
      <c r="N1118" s="269">
        <f>IFERROR(IF(BA1118="WIP - 30 Days",VLOOKUP(D1118,[3]Extended!$B$9:$E$101,4,FALSE),IF(BA1118="31-120 Days",VLOOKUP(D1118,[3]Extended!$B$9:$F$101,5,FALSE),IF(BA1118="121-365 Days",VLOOKUP(D1118,[3]Extended!$B$9:$G$101,6,FALSE),VLOOKUP(D1118,[3]Extended!$B$9:$H$101,7,FALSE)))),0)</f>
        <v>0</v>
      </c>
      <c r="O1118" s="269">
        <f>IFERROR(IF(BA1118="WIP - 30 Days",VLOOKUP(D1118,[3]Extended!$B$9:$J$101,9,FALSE),IF(BA1118="31-120 Days",VLOOKUP(D1118,[3]Extended!$B$9:$K$101,10,FALSE),IF(BA1118="121-365 Days",VLOOKUP(D1118,[3]Extended!$B$9:$L$101,11,FALSE),VLOOKUP(D1118,[3]Extended!$B$9:$M$101,12,FALSE)))),0)</f>
        <v>0</v>
      </c>
      <c r="P1118" s="116" t="e">
        <f t="shared" si="86"/>
        <v>#VALUE!</v>
      </c>
      <c r="Q1118" s="110" t="e">
        <f>O1118-#REF!</f>
        <v>#REF!</v>
      </c>
      <c r="W1118" s="311"/>
      <c r="X1118" s="311"/>
      <c r="Y1118" s="311"/>
      <c r="Z1118" s="311"/>
      <c r="AA1118" s="311"/>
      <c r="AB1118" s="311"/>
      <c r="AC1118" s="311"/>
      <c r="AT1118" s="88" t="str">
        <f t="shared" si="87"/>
        <v>Special Order0</v>
      </c>
      <c r="AU1118" s="89" t="str">
        <f t="shared" si="88"/>
        <v>01-1900</v>
      </c>
      <c r="BA1118" s="92" t="str">
        <f t="shared" si="89"/>
        <v/>
      </c>
    </row>
    <row r="1119" spans="2:53">
      <c r="B1119" s="60">
        <f>[2]Trucks!A1116</f>
        <v>0</v>
      </c>
      <c r="C1119" s="11">
        <f>[2]Trucks!B1116</f>
        <v>0</v>
      </c>
      <c r="D1119" s="19" t="str">
        <f>IFERROR(VLOOKUP(C1119&amp;"",'[2]Retail Price List'!$A$3:$B$103,2,FALSE),"Special Order")</f>
        <v>Special Order</v>
      </c>
      <c r="E1119" s="18">
        <f>[2]Trucks!J1116</f>
        <v>0</v>
      </c>
      <c r="F1119" s="12">
        <f>[2]Trucks!E1116</f>
        <v>0</v>
      </c>
      <c r="G1119" s="56">
        <f>[2]Trucks!K1116</f>
        <v>0</v>
      </c>
      <c r="H1119" s="46">
        <f>[2]Trucks!I1116</f>
        <v>0</v>
      </c>
      <c r="I1119" s="83" t="str">
        <f t="shared" si="85"/>
        <v/>
      </c>
      <c r="J1119" s="272" t="str">
        <f>IFERROR(VLOOKUP((D1119&amp;C1119)&amp;"",'[2]Retail Price List'!$C$4:$F$102,3,FALSE),"")</f>
        <v/>
      </c>
      <c r="K1119" s="272">
        <f>IFERROR(IF(BA1119="WIP - 30 Days",VLOOKUP(D1119,[3]Standard!$B$9:$E$101,4,FALSE),IF(BA1119="31-120 Days",VLOOKUP(D1119,[3]Standard!$B$9:$F$101,5,FALSE),IF(BA1119="121-365 Days",VLOOKUP(D1119,[3]Standard!$B$9:$G$101,6,FALSE),VLOOKUP(D1119,[3]Standard!$B$9:$H$101,7,FALSE)))),0)</f>
        <v>0</v>
      </c>
      <c r="L1119" s="272">
        <f>IFERROR(IF(BA1119="WIP - 30 Days",VLOOKUP(D1119,[3]Standard!$B$9:$J$101,9,FALSE),IF(BA1119="31-120 Days",VLOOKUP(D1119,[3]Standard!$B$9:$K$100,10,FALSE),IF(BA1119="121-365 Days",VLOOKUP(D1119,[3]Standard!$B$9:$L$101,11,FALSE),VLOOKUP(D1119,[3]Standard!$B$9:$M$101,12,FALSE)))),0)</f>
        <v>0</v>
      </c>
      <c r="M1119" s="269" t="str">
        <f>IFERROR(VLOOKUP((D1119&amp;C1119)&amp;"",'[2]Retail Price List'!$C$4:$F$102,4,FALSE),"")</f>
        <v/>
      </c>
      <c r="N1119" s="269">
        <f>IFERROR(IF(BA1119="WIP - 30 Days",VLOOKUP(D1119,[3]Extended!$B$9:$E$101,4,FALSE),IF(BA1119="31-120 Days",VLOOKUP(D1119,[3]Extended!$B$9:$F$101,5,FALSE),IF(BA1119="121-365 Days",VLOOKUP(D1119,[3]Extended!$B$9:$G$101,6,FALSE),VLOOKUP(D1119,[3]Extended!$B$9:$H$101,7,FALSE)))),0)</f>
        <v>0</v>
      </c>
      <c r="O1119" s="269">
        <f>IFERROR(IF(BA1119="WIP - 30 Days",VLOOKUP(D1119,[3]Extended!$B$9:$J$101,9,FALSE),IF(BA1119="31-120 Days",VLOOKUP(D1119,[3]Extended!$B$9:$K$101,10,FALSE),IF(BA1119="121-365 Days",VLOOKUP(D1119,[3]Extended!$B$9:$L$101,11,FALSE),VLOOKUP(D1119,[3]Extended!$B$9:$M$101,12,FALSE)))),0)</f>
        <v>0</v>
      </c>
      <c r="P1119" s="116" t="e">
        <f t="shared" si="86"/>
        <v>#VALUE!</v>
      </c>
      <c r="Q1119" s="110" t="e">
        <f>O1119-#REF!</f>
        <v>#REF!</v>
      </c>
      <c r="W1119" s="311"/>
      <c r="X1119" s="311"/>
      <c r="Y1119" s="311"/>
      <c r="Z1119" s="311"/>
      <c r="AA1119" s="311"/>
      <c r="AB1119" s="311"/>
      <c r="AC1119" s="311"/>
      <c r="AT1119" s="88" t="str">
        <f t="shared" si="87"/>
        <v>Special Order0</v>
      </c>
      <c r="AU1119" s="89" t="str">
        <f t="shared" si="88"/>
        <v>01-1900</v>
      </c>
      <c r="BA1119" s="92" t="str">
        <f t="shared" si="89"/>
        <v/>
      </c>
    </row>
    <row r="1120" spans="2:53">
      <c r="B1120" s="60">
        <f>[2]Trucks!A1117</f>
        <v>0</v>
      </c>
      <c r="C1120" s="11">
        <f>[2]Trucks!B1117</f>
        <v>0</v>
      </c>
      <c r="D1120" s="19" t="str">
        <f>IFERROR(VLOOKUP(C1120&amp;"",'[2]Retail Price List'!$A$3:$B$103,2,FALSE),"Special Order")</f>
        <v>Special Order</v>
      </c>
      <c r="E1120" s="18">
        <f>[2]Trucks!J1117</f>
        <v>0</v>
      </c>
      <c r="F1120" s="12">
        <f>[2]Trucks!E1117</f>
        <v>0</v>
      </c>
      <c r="G1120" s="56">
        <f>[2]Trucks!K1117</f>
        <v>0</v>
      </c>
      <c r="H1120" s="46">
        <f>[2]Trucks!I1117</f>
        <v>0</v>
      </c>
      <c r="I1120" s="83" t="str">
        <f t="shared" si="85"/>
        <v/>
      </c>
      <c r="J1120" s="272" t="str">
        <f>IFERROR(VLOOKUP((D1120&amp;C1120)&amp;"",'[2]Retail Price List'!$C$4:$F$102,3,FALSE),"")</f>
        <v/>
      </c>
      <c r="K1120" s="272">
        <f>IFERROR(IF(BA1120="WIP - 30 Days",VLOOKUP(D1120,[3]Standard!$B$9:$E$101,4,FALSE),IF(BA1120="31-120 Days",VLOOKUP(D1120,[3]Standard!$B$9:$F$101,5,FALSE),IF(BA1120="121-365 Days",VLOOKUP(D1120,[3]Standard!$B$9:$G$101,6,FALSE),VLOOKUP(D1120,[3]Standard!$B$9:$H$101,7,FALSE)))),0)</f>
        <v>0</v>
      </c>
      <c r="L1120" s="272">
        <f>IFERROR(IF(BA1120="WIP - 30 Days",VLOOKUP(D1120,[3]Standard!$B$9:$J$101,9,FALSE),IF(BA1120="31-120 Days",VLOOKUP(D1120,[3]Standard!$B$9:$K$100,10,FALSE),IF(BA1120="121-365 Days",VLOOKUP(D1120,[3]Standard!$B$9:$L$101,11,FALSE),VLOOKUP(D1120,[3]Standard!$B$9:$M$101,12,FALSE)))),0)</f>
        <v>0</v>
      </c>
      <c r="M1120" s="269" t="str">
        <f>IFERROR(VLOOKUP((D1120&amp;C1120)&amp;"",'[2]Retail Price List'!$C$4:$F$102,4,FALSE),"")</f>
        <v/>
      </c>
      <c r="N1120" s="269">
        <f>IFERROR(IF(BA1120="WIP - 30 Days",VLOOKUP(D1120,[3]Extended!$B$9:$E$101,4,FALSE),IF(BA1120="31-120 Days",VLOOKUP(D1120,[3]Extended!$B$9:$F$101,5,FALSE),IF(BA1120="121-365 Days",VLOOKUP(D1120,[3]Extended!$B$9:$G$101,6,FALSE),VLOOKUP(D1120,[3]Extended!$B$9:$H$101,7,FALSE)))),0)</f>
        <v>0</v>
      </c>
      <c r="O1120" s="269">
        <f>IFERROR(IF(BA1120="WIP - 30 Days",VLOOKUP(D1120,[3]Extended!$B$9:$J$101,9,FALSE),IF(BA1120="31-120 Days",VLOOKUP(D1120,[3]Extended!$B$9:$K$101,10,FALSE),IF(BA1120="121-365 Days",VLOOKUP(D1120,[3]Extended!$B$9:$L$101,11,FALSE),VLOOKUP(D1120,[3]Extended!$B$9:$M$101,12,FALSE)))),0)</f>
        <v>0</v>
      </c>
      <c r="P1120" s="116" t="e">
        <f t="shared" si="86"/>
        <v>#VALUE!</v>
      </c>
      <c r="Q1120" s="110" t="e">
        <f>O1120-#REF!</f>
        <v>#REF!</v>
      </c>
      <c r="W1120" s="311"/>
      <c r="X1120" s="311"/>
      <c r="Y1120" s="311"/>
      <c r="Z1120" s="311"/>
      <c r="AA1120" s="311"/>
      <c r="AB1120" s="311"/>
      <c r="AC1120" s="311"/>
      <c r="AT1120" s="88" t="str">
        <f t="shared" si="87"/>
        <v>Special Order0</v>
      </c>
      <c r="AU1120" s="89" t="str">
        <f t="shared" si="88"/>
        <v>01-1900</v>
      </c>
      <c r="BA1120" s="92" t="str">
        <f t="shared" si="89"/>
        <v/>
      </c>
    </row>
    <row r="1121" spans="2:53">
      <c r="B1121" s="60">
        <f>[2]Trucks!A1118</f>
        <v>0</v>
      </c>
      <c r="C1121" s="11">
        <f>[2]Trucks!B1118</f>
        <v>0</v>
      </c>
      <c r="D1121" s="19" t="str">
        <f>IFERROR(VLOOKUP(C1121&amp;"",'[2]Retail Price List'!$A$3:$B$103,2,FALSE),"Special Order")</f>
        <v>Special Order</v>
      </c>
      <c r="E1121" s="18">
        <f>[2]Trucks!J1118</f>
        <v>0</v>
      </c>
      <c r="F1121" s="12">
        <f>[2]Trucks!E1118</f>
        <v>0</v>
      </c>
      <c r="G1121" s="56">
        <f>[2]Trucks!K1118</f>
        <v>0</v>
      </c>
      <c r="H1121" s="46">
        <f>[2]Trucks!I1118</f>
        <v>0</v>
      </c>
      <c r="I1121" s="83" t="str">
        <f t="shared" si="85"/>
        <v/>
      </c>
      <c r="J1121" s="272" t="str">
        <f>IFERROR(VLOOKUP((D1121&amp;C1121)&amp;"",'[2]Retail Price List'!$C$4:$F$102,3,FALSE),"")</f>
        <v/>
      </c>
      <c r="K1121" s="272">
        <f>IFERROR(IF(BA1121="WIP - 30 Days",VLOOKUP(D1121,[3]Standard!$B$9:$E$101,4,FALSE),IF(BA1121="31-120 Days",VLOOKUP(D1121,[3]Standard!$B$9:$F$101,5,FALSE),IF(BA1121="121-365 Days",VLOOKUP(D1121,[3]Standard!$B$9:$G$101,6,FALSE),VLOOKUP(D1121,[3]Standard!$B$9:$H$101,7,FALSE)))),0)</f>
        <v>0</v>
      </c>
      <c r="L1121" s="272">
        <f>IFERROR(IF(BA1121="WIP - 30 Days",VLOOKUP(D1121,[3]Standard!$B$9:$J$101,9,FALSE),IF(BA1121="31-120 Days",VLOOKUP(D1121,[3]Standard!$B$9:$K$100,10,FALSE),IF(BA1121="121-365 Days",VLOOKUP(D1121,[3]Standard!$B$9:$L$101,11,FALSE),VLOOKUP(D1121,[3]Standard!$B$9:$M$101,12,FALSE)))),0)</f>
        <v>0</v>
      </c>
      <c r="M1121" s="269" t="str">
        <f>IFERROR(VLOOKUP((D1121&amp;C1121)&amp;"",'[2]Retail Price List'!$C$4:$F$102,4,FALSE),"")</f>
        <v/>
      </c>
      <c r="N1121" s="269">
        <f>IFERROR(IF(BA1121="WIP - 30 Days",VLOOKUP(D1121,[3]Extended!$B$9:$E$101,4,FALSE),IF(BA1121="31-120 Days",VLOOKUP(D1121,[3]Extended!$B$9:$F$101,5,FALSE),IF(BA1121="121-365 Days",VLOOKUP(D1121,[3]Extended!$B$9:$G$101,6,FALSE),VLOOKUP(D1121,[3]Extended!$B$9:$H$101,7,FALSE)))),0)</f>
        <v>0</v>
      </c>
      <c r="O1121" s="269">
        <f>IFERROR(IF(BA1121="WIP - 30 Days",VLOOKUP(D1121,[3]Extended!$B$9:$J$101,9,FALSE),IF(BA1121="31-120 Days",VLOOKUP(D1121,[3]Extended!$B$9:$K$101,10,FALSE),IF(BA1121="121-365 Days",VLOOKUP(D1121,[3]Extended!$B$9:$L$101,11,FALSE),VLOOKUP(D1121,[3]Extended!$B$9:$M$101,12,FALSE)))),0)</f>
        <v>0</v>
      </c>
      <c r="P1121" s="116" t="e">
        <f t="shared" si="86"/>
        <v>#VALUE!</v>
      </c>
      <c r="Q1121" s="110" t="e">
        <f>O1121-#REF!</f>
        <v>#REF!</v>
      </c>
      <c r="W1121" s="311"/>
      <c r="X1121" s="311"/>
      <c r="Y1121" s="311"/>
      <c r="Z1121" s="311"/>
      <c r="AA1121" s="311"/>
      <c r="AB1121" s="311"/>
      <c r="AC1121" s="311"/>
      <c r="AT1121" s="88" t="str">
        <f t="shared" si="87"/>
        <v>Special Order0</v>
      </c>
      <c r="AU1121" s="89" t="str">
        <f t="shared" si="88"/>
        <v>01-1900</v>
      </c>
      <c r="BA1121" s="92" t="str">
        <f t="shared" si="89"/>
        <v/>
      </c>
    </row>
    <row r="1122" spans="2:53">
      <c r="B1122" s="60">
        <f>[2]Trucks!A1119</f>
        <v>0</v>
      </c>
      <c r="C1122" s="11">
        <f>[2]Trucks!B1119</f>
        <v>0</v>
      </c>
      <c r="D1122" s="19" t="str">
        <f>IFERROR(VLOOKUP(C1122&amp;"",'[2]Retail Price List'!$A$3:$B$103,2,FALSE),"Special Order")</f>
        <v>Special Order</v>
      </c>
      <c r="E1122" s="18">
        <f>[2]Trucks!J1119</f>
        <v>0</v>
      </c>
      <c r="F1122" s="12">
        <f>[2]Trucks!E1119</f>
        <v>0</v>
      </c>
      <c r="G1122" s="56">
        <f>[2]Trucks!K1119</f>
        <v>0</v>
      </c>
      <c r="H1122" s="46">
        <f>[2]Trucks!I1119</f>
        <v>0</v>
      </c>
      <c r="I1122" s="83" t="str">
        <f t="shared" si="85"/>
        <v/>
      </c>
      <c r="J1122" s="272" t="str">
        <f>IFERROR(VLOOKUP((D1122&amp;C1122)&amp;"",'[2]Retail Price List'!$C$4:$F$102,3,FALSE),"")</f>
        <v/>
      </c>
      <c r="K1122" s="272">
        <f>IFERROR(IF(BA1122="WIP - 30 Days",VLOOKUP(D1122,[3]Standard!$B$9:$E$101,4,FALSE),IF(BA1122="31-120 Days",VLOOKUP(D1122,[3]Standard!$B$9:$F$101,5,FALSE),IF(BA1122="121-365 Days",VLOOKUP(D1122,[3]Standard!$B$9:$G$101,6,FALSE),VLOOKUP(D1122,[3]Standard!$B$9:$H$101,7,FALSE)))),0)</f>
        <v>0</v>
      </c>
      <c r="L1122" s="272">
        <f>IFERROR(IF(BA1122="WIP - 30 Days",VLOOKUP(D1122,[3]Standard!$B$9:$J$101,9,FALSE),IF(BA1122="31-120 Days",VLOOKUP(D1122,[3]Standard!$B$9:$K$100,10,FALSE),IF(BA1122="121-365 Days",VLOOKUP(D1122,[3]Standard!$B$9:$L$101,11,FALSE),VLOOKUP(D1122,[3]Standard!$B$9:$M$101,12,FALSE)))),0)</f>
        <v>0</v>
      </c>
      <c r="M1122" s="269" t="str">
        <f>IFERROR(VLOOKUP((D1122&amp;C1122)&amp;"",'[2]Retail Price List'!$C$4:$F$102,4,FALSE),"")</f>
        <v/>
      </c>
      <c r="N1122" s="269">
        <f>IFERROR(IF(BA1122="WIP - 30 Days",VLOOKUP(D1122,[3]Extended!$B$9:$E$101,4,FALSE),IF(BA1122="31-120 Days",VLOOKUP(D1122,[3]Extended!$B$9:$F$101,5,FALSE),IF(BA1122="121-365 Days",VLOOKUP(D1122,[3]Extended!$B$9:$G$101,6,FALSE),VLOOKUP(D1122,[3]Extended!$B$9:$H$101,7,FALSE)))),0)</f>
        <v>0</v>
      </c>
      <c r="O1122" s="269">
        <f>IFERROR(IF(BA1122="WIP - 30 Days",VLOOKUP(D1122,[3]Extended!$B$9:$J$101,9,FALSE),IF(BA1122="31-120 Days",VLOOKUP(D1122,[3]Extended!$B$9:$K$101,10,FALSE),IF(BA1122="121-365 Days",VLOOKUP(D1122,[3]Extended!$B$9:$L$101,11,FALSE),VLOOKUP(D1122,[3]Extended!$B$9:$M$101,12,FALSE)))),0)</f>
        <v>0</v>
      </c>
      <c r="P1122" s="116" t="e">
        <f t="shared" si="86"/>
        <v>#VALUE!</v>
      </c>
      <c r="Q1122" s="110" t="e">
        <f>O1122-#REF!</f>
        <v>#REF!</v>
      </c>
      <c r="W1122" s="311"/>
      <c r="X1122" s="311"/>
      <c r="Y1122" s="311"/>
      <c r="Z1122" s="311"/>
      <c r="AA1122" s="311"/>
      <c r="AB1122" s="311"/>
      <c r="AC1122" s="311"/>
      <c r="AT1122" s="88" t="str">
        <f t="shared" si="87"/>
        <v>Special Order0</v>
      </c>
      <c r="AU1122" s="89" t="str">
        <f t="shared" si="88"/>
        <v>01-1900</v>
      </c>
      <c r="BA1122" s="92" t="str">
        <f t="shared" si="89"/>
        <v/>
      </c>
    </row>
    <row r="1123" spans="2:53">
      <c r="B1123" s="60">
        <f>[2]Trucks!A1120</f>
        <v>0</v>
      </c>
      <c r="C1123" s="11">
        <f>[2]Trucks!B1120</f>
        <v>0</v>
      </c>
      <c r="D1123" s="19" t="str">
        <f>IFERROR(VLOOKUP(C1123&amp;"",'[2]Retail Price List'!$A$3:$B$103,2,FALSE),"Special Order")</f>
        <v>Special Order</v>
      </c>
      <c r="E1123" s="18">
        <f>[2]Trucks!J1120</f>
        <v>0</v>
      </c>
      <c r="F1123" s="12">
        <f>[2]Trucks!E1120</f>
        <v>0</v>
      </c>
      <c r="G1123" s="56">
        <f>[2]Trucks!K1120</f>
        <v>0</v>
      </c>
      <c r="H1123" s="46">
        <f>[2]Trucks!I1120</f>
        <v>0</v>
      </c>
      <c r="I1123" s="83" t="str">
        <f t="shared" si="85"/>
        <v/>
      </c>
      <c r="J1123" s="272" t="str">
        <f>IFERROR(VLOOKUP((D1123&amp;C1123)&amp;"",'[2]Retail Price List'!$C$4:$F$102,3,FALSE),"")</f>
        <v/>
      </c>
      <c r="K1123" s="272">
        <f>IFERROR(IF(BA1123="WIP - 30 Days",VLOOKUP(D1123,[3]Standard!$B$9:$E$101,4,FALSE),IF(BA1123="31-120 Days",VLOOKUP(D1123,[3]Standard!$B$9:$F$101,5,FALSE),IF(BA1123="121-365 Days",VLOOKUP(D1123,[3]Standard!$B$9:$G$101,6,FALSE),VLOOKUP(D1123,[3]Standard!$B$9:$H$101,7,FALSE)))),0)</f>
        <v>0</v>
      </c>
      <c r="L1123" s="272">
        <f>IFERROR(IF(BA1123="WIP - 30 Days",VLOOKUP(D1123,[3]Standard!$B$9:$J$101,9,FALSE),IF(BA1123="31-120 Days",VLOOKUP(D1123,[3]Standard!$B$9:$K$100,10,FALSE),IF(BA1123="121-365 Days",VLOOKUP(D1123,[3]Standard!$B$9:$L$101,11,FALSE),VLOOKUP(D1123,[3]Standard!$B$9:$M$101,12,FALSE)))),0)</f>
        <v>0</v>
      </c>
      <c r="M1123" s="269" t="str">
        <f>IFERROR(VLOOKUP((D1123&amp;C1123)&amp;"",'[2]Retail Price List'!$C$4:$F$102,4,FALSE),"")</f>
        <v/>
      </c>
      <c r="N1123" s="269">
        <f>IFERROR(IF(BA1123="WIP - 30 Days",VLOOKUP(D1123,[3]Extended!$B$9:$E$101,4,FALSE),IF(BA1123="31-120 Days",VLOOKUP(D1123,[3]Extended!$B$9:$F$101,5,FALSE),IF(BA1123="121-365 Days",VLOOKUP(D1123,[3]Extended!$B$9:$G$101,6,FALSE),VLOOKUP(D1123,[3]Extended!$B$9:$H$101,7,FALSE)))),0)</f>
        <v>0</v>
      </c>
      <c r="O1123" s="269">
        <f>IFERROR(IF(BA1123="WIP - 30 Days",VLOOKUP(D1123,[3]Extended!$B$9:$J$101,9,FALSE),IF(BA1123="31-120 Days",VLOOKUP(D1123,[3]Extended!$B$9:$K$101,10,FALSE),IF(BA1123="121-365 Days",VLOOKUP(D1123,[3]Extended!$B$9:$L$101,11,FALSE),VLOOKUP(D1123,[3]Extended!$B$9:$M$101,12,FALSE)))),0)</f>
        <v>0</v>
      </c>
      <c r="P1123" s="116" t="e">
        <f t="shared" si="86"/>
        <v>#VALUE!</v>
      </c>
      <c r="Q1123" s="110" t="e">
        <f>O1123-#REF!</f>
        <v>#REF!</v>
      </c>
      <c r="W1123" s="311"/>
      <c r="X1123" s="311"/>
      <c r="Y1123" s="311"/>
      <c r="Z1123" s="311"/>
      <c r="AA1123" s="311"/>
      <c r="AB1123" s="311"/>
      <c r="AC1123" s="311"/>
      <c r="AT1123" s="88" t="str">
        <f t="shared" si="87"/>
        <v>Special Order0</v>
      </c>
      <c r="AU1123" s="89" t="str">
        <f t="shared" si="88"/>
        <v>01-1900</v>
      </c>
      <c r="BA1123" s="92" t="str">
        <f t="shared" si="89"/>
        <v/>
      </c>
    </row>
    <row r="1124" spans="2:53">
      <c r="B1124" s="60">
        <f>[2]Trucks!A1121</f>
        <v>0</v>
      </c>
      <c r="C1124" s="11">
        <f>[2]Trucks!B1121</f>
        <v>0</v>
      </c>
      <c r="D1124" s="19" t="str">
        <f>IFERROR(VLOOKUP(C1124&amp;"",'[2]Retail Price List'!$A$3:$B$103,2,FALSE),"Special Order")</f>
        <v>Special Order</v>
      </c>
      <c r="E1124" s="18">
        <f>[2]Trucks!J1121</f>
        <v>0</v>
      </c>
      <c r="F1124" s="12">
        <f>[2]Trucks!E1121</f>
        <v>0</v>
      </c>
      <c r="G1124" s="56">
        <f>[2]Trucks!K1121</f>
        <v>0</v>
      </c>
      <c r="H1124" s="46">
        <f>[2]Trucks!I1121</f>
        <v>0</v>
      </c>
      <c r="I1124" s="83" t="str">
        <f t="shared" si="85"/>
        <v/>
      </c>
      <c r="J1124" s="272" t="str">
        <f>IFERROR(VLOOKUP((D1124&amp;C1124)&amp;"",'[2]Retail Price List'!$C$4:$F$102,3,FALSE),"")</f>
        <v/>
      </c>
      <c r="K1124" s="272">
        <f>IFERROR(IF(BA1124="WIP - 30 Days",VLOOKUP(D1124,[3]Standard!$B$9:$E$101,4,FALSE),IF(BA1124="31-120 Days",VLOOKUP(D1124,[3]Standard!$B$9:$F$101,5,FALSE),IF(BA1124="121-365 Days",VLOOKUP(D1124,[3]Standard!$B$9:$G$101,6,FALSE),VLOOKUP(D1124,[3]Standard!$B$9:$H$101,7,FALSE)))),0)</f>
        <v>0</v>
      </c>
      <c r="L1124" s="272">
        <f>IFERROR(IF(BA1124="WIP - 30 Days",VLOOKUP(D1124,[3]Standard!$B$9:$J$101,9,FALSE),IF(BA1124="31-120 Days",VLOOKUP(D1124,[3]Standard!$B$9:$K$100,10,FALSE),IF(BA1124="121-365 Days",VLOOKUP(D1124,[3]Standard!$B$9:$L$101,11,FALSE),VLOOKUP(D1124,[3]Standard!$B$9:$M$101,12,FALSE)))),0)</f>
        <v>0</v>
      </c>
      <c r="M1124" s="269" t="str">
        <f>IFERROR(VLOOKUP((D1124&amp;C1124)&amp;"",'[2]Retail Price List'!$C$4:$F$102,4,FALSE),"")</f>
        <v/>
      </c>
      <c r="N1124" s="269">
        <f>IFERROR(IF(BA1124="WIP - 30 Days",VLOOKUP(D1124,[3]Extended!$B$9:$E$101,4,FALSE),IF(BA1124="31-120 Days",VLOOKUP(D1124,[3]Extended!$B$9:$F$101,5,FALSE),IF(BA1124="121-365 Days",VLOOKUP(D1124,[3]Extended!$B$9:$G$101,6,FALSE),VLOOKUP(D1124,[3]Extended!$B$9:$H$101,7,FALSE)))),0)</f>
        <v>0</v>
      </c>
      <c r="O1124" s="269">
        <f>IFERROR(IF(BA1124="WIP - 30 Days",VLOOKUP(D1124,[3]Extended!$B$9:$J$101,9,FALSE),IF(BA1124="31-120 Days",VLOOKUP(D1124,[3]Extended!$B$9:$K$101,10,FALSE),IF(BA1124="121-365 Days",VLOOKUP(D1124,[3]Extended!$B$9:$L$101,11,FALSE),VLOOKUP(D1124,[3]Extended!$B$9:$M$101,12,FALSE)))),0)</f>
        <v>0</v>
      </c>
      <c r="P1124" s="116" t="e">
        <f t="shared" si="86"/>
        <v>#VALUE!</v>
      </c>
      <c r="Q1124" s="110" t="e">
        <f>O1124-#REF!</f>
        <v>#REF!</v>
      </c>
      <c r="W1124" s="311"/>
      <c r="X1124" s="311"/>
      <c r="Y1124" s="311"/>
      <c r="Z1124" s="311"/>
      <c r="AA1124" s="311"/>
      <c r="AB1124" s="311"/>
      <c r="AC1124" s="311"/>
      <c r="AT1124" s="88" t="str">
        <f t="shared" si="87"/>
        <v>Special Order0</v>
      </c>
      <c r="AU1124" s="89" t="str">
        <f t="shared" si="88"/>
        <v>01-1900</v>
      </c>
      <c r="BA1124" s="92" t="str">
        <f t="shared" si="89"/>
        <v/>
      </c>
    </row>
    <row r="1125" spans="2:53">
      <c r="B1125" s="60">
        <f>[2]Trucks!A1122</f>
        <v>0</v>
      </c>
      <c r="C1125" s="11">
        <f>[2]Trucks!B1122</f>
        <v>0</v>
      </c>
      <c r="D1125" s="19" t="str">
        <f>IFERROR(VLOOKUP(C1125&amp;"",'[2]Retail Price List'!$A$3:$B$103,2,FALSE),"Special Order")</f>
        <v>Special Order</v>
      </c>
      <c r="E1125" s="18">
        <f>[2]Trucks!J1122</f>
        <v>0</v>
      </c>
      <c r="F1125" s="12">
        <f>[2]Trucks!E1122</f>
        <v>0</v>
      </c>
      <c r="G1125" s="56">
        <f>[2]Trucks!K1122</f>
        <v>0</v>
      </c>
      <c r="H1125" s="46">
        <f>[2]Trucks!I1122</f>
        <v>0</v>
      </c>
      <c r="I1125" s="83" t="str">
        <f t="shared" si="85"/>
        <v/>
      </c>
      <c r="J1125" s="272" t="str">
        <f>IFERROR(VLOOKUP((D1125&amp;C1125)&amp;"",'[2]Retail Price List'!$C$4:$F$102,3,FALSE),"")</f>
        <v/>
      </c>
      <c r="K1125" s="272">
        <f>IFERROR(IF(BA1125="WIP - 30 Days",VLOOKUP(D1125,[3]Standard!$B$9:$E$101,4,FALSE),IF(BA1125="31-120 Days",VLOOKUP(D1125,[3]Standard!$B$9:$F$101,5,FALSE),IF(BA1125="121-365 Days",VLOOKUP(D1125,[3]Standard!$B$9:$G$101,6,FALSE),VLOOKUP(D1125,[3]Standard!$B$9:$H$101,7,FALSE)))),0)</f>
        <v>0</v>
      </c>
      <c r="L1125" s="272">
        <f>IFERROR(IF(BA1125="WIP - 30 Days",VLOOKUP(D1125,[3]Standard!$B$9:$J$101,9,FALSE),IF(BA1125="31-120 Days",VLOOKUP(D1125,[3]Standard!$B$9:$K$100,10,FALSE),IF(BA1125="121-365 Days",VLOOKUP(D1125,[3]Standard!$B$9:$L$101,11,FALSE),VLOOKUP(D1125,[3]Standard!$B$9:$M$101,12,FALSE)))),0)</f>
        <v>0</v>
      </c>
      <c r="M1125" s="269" t="str">
        <f>IFERROR(VLOOKUP((D1125&amp;C1125)&amp;"",'[2]Retail Price List'!$C$4:$F$102,4,FALSE),"")</f>
        <v/>
      </c>
      <c r="N1125" s="269">
        <f>IFERROR(IF(BA1125="WIP - 30 Days",VLOOKUP(D1125,[3]Extended!$B$9:$E$101,4,FALSE),IF(BA1125="31-120 Days",VLOOKUP(D1125,[3]Extended!$B$9:$F$101,5,FALSE),IF(BA1125="121-365 Days",VLOOKUP(D1125,[3]Extended!$B$9:$G$101,6,FALSE),VLOOKUP(D1125,[3]Extended!$B$9:$H$101,7,FALSE)))),0)</f>
        <v>0</v>
      </c>
      <c r="O1125" s="269">
        <f>IFERROR(IF(BA1125="WIP - 30 Days",VLOOKUP(D1125,[3]Extended!$B$9:$J$101,9,FALSE),IF(BA1125="31-120 Days",VLOOKUP(D1125,[3]Extended!$B$9:$K$101,10,FALSE),IF(BA1125="121-365 Days",VLOOKUP(D1125,[3]Extended!$B$9:$L$101,11,FALSE),VLOOKUP(D1125,[3]Extended!$B$9:$M$101,12,FALSE)))),0)</f>
        <v>0</v>
      </c>
      <c r="P1125" s="116" t="e">
        <f t="shared" si="86"/>
        <v>#VALUE!</v>
      </c>
      <c r="Q1125" s="110" t="e">
        <f>O1125-#REF!</f>
        <v>#REF!</v>
      </c>
      <c r="W1125" s="311"/>
      <c r="X1125" s="311"/>
      <c r="Y1125" s="311"/>
      <c r="Z1125" s="311"/>
      <c r="AA1125" s="311"/>
      <c r="AB1125" s="311"/>
      <c r="AC1125" s="311"/>
      <c r="AT1125" s="88" t="str">
        <f t="shared" si="87"/>
        <v>Special Order0</v>
      </c>
      <c r="AU1125" s="89" t="str">
        <f t="shared" si="88"/>
        <v>01-1900</v>
      </c>
      <c r="BA1125" s="92" t="str">
        <f t="shared" si="89"/>
        <v/>
      </c>
    </row>
    <row r="1126" spans="2:53">
      <c r="B1126" s="60">
        <f>[2]Trucks!A1123</f>
        <v>0</v>
      </c>
      <c r="C1126" s="11">
        <f>[2]Trucks!B1123</f>
        <v>0</v>
      </c>
      <c r="D1126" s="19" t="str">
        <f>IFERROR(VLOOKUP(C1126&amp;"",'[2]Retail Price List'!$A$3:$B$103,2,FALSE),"Special Order")</f>
        <v>Special Order</v>
      </c>
      <c r="E1126" s="18">
        <f>[2]Trucks!J1123</f>
        <v>0</v>
      </c>
      <c r="F1126" s="12">
        <f>[2]Trucks!E1123</f>
        <v>0</v>
      </c>
      <c r="G1126" s="56">
        <f>[2]Trucks!K1123</f>
        <v>0</v>
      </c>
      <c r="H1126" s="46">
        <f>[2]Trucks!I1123</f>
        <v>0</v>
      </c>
      <c r="I1126" s="83" t="str">
        <f t="shared" si="85"/>
        <v/>
      </c>
      <c r="J1126" s="272" t="str">
        <f>IFERROR(VLOOKUP((D1126&amp;C1126)&amp;"",'[2]Retail Price List'!$C$4:$F$102,3,FALSE),"")</f>
        <v/>
      </c>
      <c r="K1126" s="272">
        <f>IFERROR(IF(BA1126="WIP - 30 Days",VLOOKUP(D1126,[3]Standard!$B$9:$E$101,4,FALSE),IF(BA1126="31-120 Days",VLOOKUP(D1126,[3]Standard!$B$9:$F$101,5,FALSE),IF(BA1126="121-365 Days",VLOOKUP(D1126,[3]Standard!$B$9:$G$101,6,FALSE),VLOOKUP(D1126,[3]Standard!$B$9:$H$101,7,FALSE)))),0)</f>
        <v>0</v>
      </c>
      <c r="L1126" s="272">
        <f>IFERROR(IF(BA1126="WIP - 30 Days",VLOOKUP(D1126,[3]Standard!$B$9:$J$101,9,FALSE),IF(BA1126="31-120 Days",VLOOKUP(D1126,[3]Standard!$B$9:$K$100,10,FALSE),IF(BA1126="121-365 Days",VLOOKUP(D1126,[3]Standard!$B$9:$L$101,11,FALSE),VLOOKUP(D1126,[3]Standard!$B$9:$M$101,12,FALSE)))),0)</f>
        <v>0</v>
      </c>
      <c r="M1126" s="269" t="str">
        <f>IFERROR(VLOOKUP((D1126&amp;C1126)&amp;"",'[2]Retail Price List'!$C$4:$F$102,4,FALSE),"")</f>
        <v/>
      </c>
      <c r="N1126" s="269">
        <f>IFERROR(IF(BA1126="WIP - 30 Days",VLOOKUP(D1126,[3]Extended!$B$9:$E$101,4,FALSE),IF(BA1126="31-120 Days",VLOOKUP(D1126,[3]Extended!$B$9:$F$101,5,FALSE),IF(BA1126="121-365 Days",VLOOKUP(D1126,[3]Extended!$B$9:$G$101,6,FALSE),VLOOKUP(D1126,[3]Extended!$B$9:$H$101,7,FALSE)))),0)</f>
        <v>0</v>
      </c>
      <c r="O1126" s="269">
        <f>IFERROR(IF(BA1126="WIP - 30 Days",VLOOKUP(D1126,[3]Extended!$B$9:$J$101,9,FALSE),IF(BA1126="31-120 Days",VLOOKUP(D1126,[3]Extended!$B$9:$K$101,10,FALSE),IF(BA1126="121-365 Days",VLOOKUP(D1126,[3]Extended!$B$9:$L$101,11,FALSE),VLOOKUP(D1126,[3]Extended!$B$9:$M$101,12,FALSE)))),0)</f>
        <v>0</v>
      </c>
      <c r="P1126" s="116" t="e">
        <f t="shared" si="86"/>
        <v>#VALUE!</v>
      </c>
      <c r="Q1126" s="110" t="e">
        <f>O1126-#REF!</f>
        <v>#REF!</v>
      </c>
      <c r="W1126" s="311"/>
      <c r="X1126" s="311"/>
      <c r="Y1126" s="311"/>
      <c r="Z1126" s="311"/>
      <c r="AA1126" s="311"/>
      <c r="AB1126" s="311"/>
      <c r="AC1126" s="311"/>
      <c r="AT1126" s="88" t="str">
        <f t="shared" si="87"/>
        <v>Special Order0</v>
      </c>
      <c r="AU1126" s="89" t="str">
        <f t="shared" si="88"/>
        <v>01-1900</v>
      </c>
      <c r="BA1126" s="92" t="str">
        <f t="shared" si="89"/>
        <v/>
      </c>
    </row>
    <row r="1127" spans="2:53">
      <c r="B1127" s="60">
        <f>[2]Trucks!A1124</f>
        <v>0</v>
      </c>
      <c r="C1127" s="11">
        <f>[2]Trucks!B1124</f>
        <v>0</v>
      </c>
      <c r="D1127" s="19" t="str">
        <f>IFERROR(VLOOKUP(C1127&amp;"",'[2]Retail Price List'!$A$3:$B$103,2,FALSE),"Special Order")</f>
        <v>Special Order</v>
      </c>
      <c r="E1127" s="18">
        <f>[2]Trucks!J1124</f>
        <v>0</v>
      </c>
      <c r="F1127" s="12">
        <f>[2]Trucks!E1124</f>
        <v>0</v>
      </c>
      <c r="G1127" s="56">
        <f>[2]Trucks!K1124</f>
        <v>0</v>
      </c>
      <c r="H1127" s="46">
        <f>[2]Trucks!I1124</f>
        <v>0</v>
      </c>
      <c r="I1127" s="83" t="str">
        <f t="shared" si="85"/>
        <v/>
      </c>
      <c r="J1127" s="272" t="str">
        <f>IFERROR(VLOOKUP((D1127&amp;C1127)&amp;"",'[2]Retail Price List'!$C$4:$F$102,3,FALSE),"")</f>
        <v/>
      </c>
      <c r="K1127" s="272">
        <f>IFERROR(IF(BA1127="WIP - 30 Days",VLOOKUP(D1127,[3]Standard!$B$9:$E$101,4,FALSE),IF(BA1127="31-120 Days",VLOOKUP(D1127,[3]Standard!$B$9:$F$101,5,FALSE),IF(BA1127="121-365 Days",VLOOKUP(D1127,[3]Standard!$B$9:$G$101,6,FALSE),VLOOKUP(D1127,[3]Standard!$B$9:$H$101,7,FALSE)))),0)</f>
        <v>0</v>
      </c>
      <c r="L1127" s="272">
        <f>IFERROR(IF(BA1127="WIP - 30 Days",VLOOKUP(D1127,[3]Standard!$B$9:$J$101,9,FALSE),IF(BA1127="31-120 Days",VLOOKUP(D1127,[3]Standard!$B$9:$K$100,10,FALSE),IF(BA1127="121-365 Days",VLOOKUP(D1127,[3]Standard!$B$9:$L$101,11,FALSE),VLOOKUP(D1127,[3]Standard!$B$9:$M$101,12,FALSE)))),0)</f>
        <v>0</v>
      </c>
      <c r="M1127" s="269" t="str">
        <f>IFERROR(VLOOKUP((D1127&amp;C1127)&amp;"",'[2]Retail Price List'!$C$4:$F$102,4,FALSE),"")</f>
        <v/>
      </c>
      <c r="N1127" s="269">
        <f>IFERROR(IF(BA1127="WIP - 30 Days",VLOOKUP(D1127,[3]Extended!$B$9:$E$101,4,FALSE),IF(BA1127="31-120 Days",VLOOKUP(D1127,[3]Extended!$B$9:$F$101,5,FALSE),IF(BA1127="121-365 Days",VLOOKUP(D1127,[3]Extended!$B$9:$G$101,6,FALSE),VLOOKUP(D1127,[3]Extended!$B$9:$H$101,7,FALSE)))),0)</f>
        <v>0</v>
      </c>
      <c r="O1127" s="269">
        <f>IFERROR(IF(BA1127="WIP - 30 Days",VLOOKUP(D1127,[3]Extended!$B$9:$J$101,9,FALSE),IF(BA1127="31-120 Days",VLOOKUP(D1127,[3]Extended!$B$9:$K$101,10,FALSE),IF(BA1127="121-365 Days",VLOOKUP(D1127,[3]Extended!$B$9:$L$101,11,FALSE),VLOOKUP(D1127,[3]Extended!$B$9:$M$101,12,FALSE)))),0)</f>
        <v>0</v>
      </c>
      <c r="P1127" s="116" t="e">
        <f t="shared" si="86"/>
        <v>#VALUE!</v>
      </c>
      <c r="Q1127" s="110" t="e">
        <f>O1127-#REF!</f>
        <v>#REF!</v>
      </c>
      <c r="W1127" s="311"/>
      <c r="X1127" s="311"/>
      <c r="Y1127" s="311"/>
      <c r="Z1127" s="311"/>
      <c r="AA1127" s="311"/>
      <c r="AB1127" s="311"/>
      <c r="AC1127" s="311"/>
      <c r="AT1127" s="88" t="str">
        <f t="shared" si="87"/>
        <v>Special Order0</v>
      </c>
      <c r="AU1127" s="89" t="str">
        <f t="shared" si="88"/>
        <v>01-1900</v>
      </c>
      <c r="BA1127" s="92" t="str">
        <f t="shared" si="89"/>
        <v/>
      </c>
    </row>
    <row r="1128" spans="2:53">
      <c r="B1128" s="60">
        <f>[2]Trucks!A1125</f>
        <v>0</v>
      </c>
      <c r="C1128" s="11">
        <f>[2]Trucks!B1125</f>
        <v>0</v>
      </c>
      <c r="D1128" s="19" t="str">
        <f>IFERROR(VLOOKUP(C1128&amp;"",'[2]Retail Price List'!$A$3:$B$103,2,FALSE),"Special Order")</f>
        <v>Special Order</v>
      </c>
      <c r="E1128" s="18">
        <f>[2]Trucks!J1125</f>
        <v>0</v>
      </c>
      <c r="F1128" s="12">
        <f>[2]Trucks!E1125</f>
        <v>0</v>
      </c>
      <c r="G1128" s="56">
        <f>[2]Trucks!K1125</f>
        <v>0</v>
      </c>
      <c r="H1128" s="46">
        <f>[2]Trucks!I1125</f>
        <v>0</v>
      </c>
      <c r="I1128" s="83" t="str">
        <f t="shared" si="85"/>
        <v/>
      </c>
      <c r="J1128" s="272" t="str">
        <f>IFERROR(VLOOKUP((D1128&amp;C1128)&amp;"",'[2]Retail Price List'!$C$4:$F$102,3,FALSE),"")</f>
        <v/>
      </c>
      <c r="K1128" s="272">
        <f>IFERROR(IF(BA1128="WIP - 30 Days",VLOOKUP(D1128,[3]Standard!$B$9:$E$101,4,FALSE),IF(BA1128="31-120 Days",VLOOKUP(D1128,[3]Standard!$B$9:$F$101,5,FALSE),IF(BA1128="121-365 Days",VLOOKUP(D1128,[3]Standard!$B$9:$G$101,6,FALSE),VLOOKUP(D1128,[3]Standard!$B$9:$H$101,7,FALSE)))),0)</f>
        <v>0</v>
      </c>
      <c r="L1128" s="272">
        <f>IFERROR(IF(BA1128="WIP - 30 Days",VLOOKUP(D1128,[3]Standard!$B$9:$J$101,9,FALSE),IF(BA1128="31-120 Days",VLOOKUP(D1128,[3]Standard!$B$9:$K$100,10,FALSE),IF(BA1128="121-365 Days",VLOOKUP(D1128,[3]Standard!$B$9:$L$101,11,FALSE),VLOOKUP(D1128,[3]Standard!$B$9:$M$101,12,FALSE)))),0)</f>
        <v>0</v>
      </c>
      <c r="M1128" s="269" t="str">
        <f>IFERROR(VLOOKUP((D1128&amp;C1128)&amp;"",'[2]Retail Price List'!$C$4:$F$102,4,FALSE),"")</f>
        <v/>
      </c>
      <c r="N1128" s="269">
        <f>IFERROR(IF(BA1128="WIP - 30 Days",VLOOKUP(D1128,[3]Extended!$B$9:$E$101,4,FALSE),IF(BA1128="31-120 Days",VLOOKUP(D1128,[3]Extended!$B$9:$F$101,5,FALSE),IF(BA1128="121-365 Days",VLOOKUP(D1128,[3]Extended!$B$9:$G$101,6,FALSE),VLOOKUP(D1128,[3]Extended!$B$9:$H$101,7,FALSE)))),0)</f>
        <v>0</v>
      </c>
      <c r="O1128" s="269">
        <f>IFERROR(IF(BA1128="WIP - 30 Days",VLOOKUP(D1128,[3]Extended!$B$9:$J$101,9,FALSE),IF(BA1128="31-120 Days",VLOOKUP(D1128,[3]Extended!$B$9:$K$101,10,FALSE),IF(BA1128="121-365 Days",VLOOKUP(D1128,[3]Extended!$B$9:$L$101,11,FALSE),VLOOKUP(D1128,[3]Extended!$B$9:$M$101,12,FALSE)))),0)</f>
        <v>0</v>
      </c>
      <c r="P1128" s="116" t="e">
        <f t="shared" si="86"/>
        <v>#VALUE!</v>
      </c>
      <c r="Q1128" s="110" t="e">
        <f>O1128-#REF!</f>
        <v>#REF!</v>
      </c>
      <c r="W1128" s="311"/>
      <c r="X1128" s="311"/>
      <c r="Y1128" s="311"/>
      <c r="Z1128" s="311"/>
      <c r="AA1128" s="311"/>
      <c r="AB1128" s="311"/>
      <c r="AC1128" s="311"/>
      <c r="AT1128" s="88" t="str">
        <f t="shared" si="87"/>
        <v>Special Order0</v>
      </c>
      <c r="AU1128" s="89" t="str">
        <f t="shared" si="88"/>
        <v>01-1900</v>
      </c>
      <c r="BA1128" s="92" t="str">
        <f t="shared" si="89"/>
        <v/>
      </c>
    </row>
    <row r="1129" spans="2:53">
      <c r="B1129" s="60">
        <f>[2]Trucks!A1126</f>
        <v>0</v>
      </c>
      <c r="C1129" s="11">
        <f>[2]Trucks!B1126</f>
        <v>0</v>
      </c>
      <c r="D1129" s="19" t="str">
        <f>IFERROR(VLOOKUP(C1129&amp;"",'[2]Retail Price List'!$A$3:$B$103,2,FALSE),"Special Order")</f>
        <v>Special Order</v>
      </c>
      <c r="E1129" s="18">
        <f>[2]Trucks!J1126</f>
        <v>0</v>
      </c>
      <c r="F1129" s="12">
        <f>[2]Trucks!E1126</f>
        <v>0</v>
      </c>
      <c r="G1129" s="56">
        <f>[2]Trucks!K1126</f>
        <v>0</v>
      </c>
      <c r="H1129" s="46">
        <f>[2]Trucks!I1126</f>
        <v>0</v>
      </c>
      <c r="I1129" s="83" t="str">
        <f t="shared" si="85"/>
        <v/>
      </c>
      <c r="J1129" s="272" t="str">
        <f>IFERROR(VLOOKUP((D1129&amp;C1129)&amp;"",'[2]Retail Price List'!$C$4:$F$102,3,FALSE),"")</f>
        <v/>
      </c>
      <c r="K1129" s="272">
        <f>IFERROR(IF(BA1129="WIP - 30 Days",VLOOKUP(D1129,[3]Standard!$B$9:$E$101,4,FALSE),IF(BA1129="31-120 Days",VLOOKUP(D1129,[3]Standard!$B$9:$F$101,5,FALSE),IF(BA1129="121-365 Days",VLOOKUP(D1129,[3]Standard!$B$9:$G$101,6,FALSE),VLOOKUP(D1129,[3]Standard!$B$9:$H$101,7,FALSE)))),0)</f>
        <v>0</v>
      </c>
      <c r="L1129" s="272">
        <f>IFERROR(IF(BA1129="WIP - 30 Days",VLOOKUP(D1129,[3]Standard!$B$9:$J$101,9,FALSE),IF(BA1129="31-120 Days",VLOOKUP(D1129,[3]Standard!$B$9:$K$100,10,FALSE),IF(BA1129="121-365 Days",VLOOKUP(D1129,[3]Standard!$B$9:$L$101,11,FALSE),VLOOKUP(D1129,[3]Standard!$B$9:$M$101,12,FALSE)))),0)</f>
        <v>0</v>
      </c>
      <c r="M1129" s="269" t="str">
        <f>IFERROR(VLOOKUP((D1129&amp;C1129)&amp;"",'[2]Retail Price List'!$C$4:$F$102,4,FALSE),"")</f>
        <v/>
      </c>
      <c r="N1129" s="269">
        <f>IFERROR(IF(BA1129="WIP - 30 Days",VLOOKUP(D1129,[3]Extended!$B$9:$E$101,4,FALSE),IF(BA1129="31-120 Days",VLOOKUP(D1129,[3]Extended!$B$9:$F$101,5,FALSE),IF(BA1129="121-365 Days",VLOOKUP(D1129,[3]Extended!$B$9:$G$101,6,FALSE),VLOOKUP(D1129,[3]Extended!$B$9:$H$101,7,FALSE)))),0)</f>
        <v>0</v>
      </c>
      <c r="O1129" s="269">
        <f>IFERROR(IF(BA1129="WIP - 30 Days",VLOOKUP(D1129,[3]Extended!$B$9:$J$101,9,FALSE),IF(BA1129="31-120 Days",VLOOKUP(D1129,[3]Extended!$B$9:$K$101,10,FALSE),IF(BA1129="121-365 Days",VLOOKUP(D1129,[3]Extended!$B$9:$L$101,11,FALSE),VLOOKUP(D1129,[3]Extended!$B$9:$M$101,12,FALSE)))),0)</f>
        <v>0</v>
      </c>
      <c r="P1129" s="116" t="e">
        <f t="shared" si="86"/>
        <v>#VALUE!</v>
      </c>
      <c r="Q1129" s="110" t="e">
        <f>O1129-#REF!</f>
        <v>#REF!</v>
      </c>
      <c r="W1129" s="311"/>
      <c r="X1129" s="311"/>
      <c r="Y1129" s="311"/>
      <c r="Z1129" s="311"/>
      <c r="AA1129" s="311"/>
      <c r="AB1129" s="311"/>
      <c r="AC1129" s="311"/>
      <c r="AT1129" s="88" t="str">
        <f t="shared" si="87"/>
        <v>Special Order0</v>
      </c>
      <c r="AU1129" s="89" t="str">
        <f t="shared" si="88"/>
        <v>01-1900</v>
      </c>
      <c r="BA1129" s="92" t="str">
        <f t="shared" si="89"/>
        <v/>
      </c>
    </row>
    <row r="1130" spans="2:53">
      <c r="B1130" s="60">
        <f>[2]Trucks!A1127</f>
        <v>0</v>
      </c>
      <c r="C1130" s="11">
        <f>[2]Trucks!B1127</f>
        <v>0</v>
      </c>
      <c r="D1130" s="19" t="str">
        <f>IFERROR(VLOOKUP(C1130&amp;"",'[2]Retail Price List'!$A$3:$B$103,2,FALSE),"Special Order")</f>
        <v>Special Order</v>
      </c>
      <c r="E1130" s="18">
        <f>[2]Trucks!J1127</f>
        <v>0</v>
      </c>
      <c r="F1130" s="12">
        <f>[2]Trucks!E1127</f>
        <v>0</v>
      </c>
      <c r="G1130" s="56">
        <f>[2]Trucks!K1127</f>
        <v>0</v>
      </c>
      <c r="H1130" s="46">
        <f>[2]Trucks!I1127</f>
        <v>0</v>
      </c>
      <c r="I1130" s="83" t="str">
        <f t="shared" si="85"/>
        <v/>
      </c>
      <c r="J1130" s="272" t="str">
        <f>IFERROR(VLOOKUP((D1130&amp;C1130)&amp;"",'[2]Retail Price List'!$C$4:$F$102,3,FALSE),"")</f>
        <v/>
      </c>
      <c r="K1130" s="272">
        <f>IFERROR(IF(BA1130="WIP - 30 Days",VLOOKUP(D1130,[3]Standard!$B$9:$E$101,4,FALSE),IF(BA1130="31-120 Days",VLOOKUP(D1130,[3]Standard!$B$9:$F$101,5,FALSE),IF(BA1130="121-365 Days",VLOOKUP(D1130,[3]Standard!$B$9:$G$101,6,FALSE),VLOOKUP(D1130,[3]Standard!$B$9:$H$101,7,FALSE)))),0)</f>
        <v>0</v>
      </c>
      <c r="L1130" s="272">
        <f>IFERROR(IF(BA1130="WIP - 30 Days",VLOOKUP(D1130,[3]Standard!$B$9:$J$101,9,FALSE),IF(BA1130="31-120 Days",VLOOKUP(D1130,[3]Standard!$B$9:$K$100,10,FALSE),IF(BA1130="121-365 Days",VLOOKUP(D1130,[3]Standard!$B$9:$L$101,11,FALSE),VLOOKUP(D1130,[3]Standard!$B$9:$M$101,12,FALSE)))),0)</f>
        <v>0</v>
      </c>
      <c r="M1130" s="269" t="str">
        <f>IFERROR(VLOOKUP((D1130&amp;C1130)&amp;"",'[2]Retail Price List'!$C$4:$F$102,4,FALSE),"")</f>
        <v/>
      </c>
      <c r="N1130" s="269">
        <f>IFERROR(IF(BA1130="WIP - 30 Days",VLOOKUP(D1130,[3]Extended!$B$9:$E$101,4,FALSE),IF(BA1130="31-120 Days",VLOOKUP(D1130,[3]Extended!$B$9:$F$101,5,FALSE),IF(BA1130="121-365 Days",VLOOKUP(D1130,[3]Extended!$B$9:$G$101,6,FALSE),VLOOKUP(D1130,[3]Extended!$B$9:$H$101,7,FALSE)))),0)</f>
        <v>0</v>
      </c>
      <c r="O1130" s="269">
        <f>IFERROR(IF(BA1130="WIP - 30 Days",VLOOKUP(D1130,[3]Extended!$B$9:$J$101,9,FALSE),IF(BA1130="31-120 Days",VLOOKUP(D1130,[3]Extended!$B$9:$K$101,10,FALSE),IF(BA1130="121-365 Days",VLOOKUP(D1130,[3]Extended!$B$9:$L$101,11,FALSE),VLOOKUP(D1130,[3]Extended!$B$9:$M$101,12,FALSE)))),0)</f>
        <v>0</v>
      </c>
      <c r="P1130" s="116" t="e">
        <f t="shared" si="86"/>
        <v>#VALUE!</v>
      </c>
      <c r="Q1130" s="110" t="e">
        <f>O1130-#REF!</f>
        <v>#REF!</v>
      </c>
      <c r="W1130" s="311"/>
      <c r="X1130" s="311"/>
      <c r="Y1130" s="311"/>
      <c r="Z1130" s="311"/>
      <c r="AA1130" s="311"/>
      <c r="AB1130" s="311"/>
      <c r="AC1130" s="311"/>
      <c r="AT1130" s="88" t="str">
        <f t="shared" si="87"/>
        <v>Special Order0</v>
      </c>
      <c r="AU1130" s="89" t="str">
        <f t="shared" si="88"/>
        <v>01-1900</v>
      </c>
      <c r="BA1130" s="92" t="str">
        <f t="shared" si="89"/>
        <v/>
      </c>
    </row>
    <row r="1131" spans="2:53">
      <c r="B1131" s="60">
        <f>[2]Trucks!A1128</f>
        <v>0</v>
      </c>
      <c r="C1131" s="11">
        <f>[2]Trucks!B1128</f>
        <v>0</v>
      </c>
      <c r="D1131" s="19" t="str">
        <f>IFERROR(VLOOKUP(C1131&amp;"",'[2]Retail Price List'!$A$3:$B$103,2,FALSE),"Special Order")</f>
        <v>Special Order</v>
      </c>
      <c r="E1131" s="18">
        <f>[2]Trucks!J1128</f>
        <v>0</v>
      </c>
      <c r="F1131" s="12">
        <f>[2]Trucks!E1128</f>
        <v>0</v>
      </c>
      <c r="G1131" s="56">
        <f>[2]Trucks!K1128</f>
        <v>0</v>
      </c>
      <c r="H1131" s="46">
        <f>[2]Trucks!I1128</f>
        <v>0</v>
      </c>
      <c r="I1131" s="83" t="str">
        <f t="shared" si="85"/>
        <v/>
      </c>
      <c r="J1131" s="272" t="str">
        <f>IFERROR(VLOOKUP((D1131&amp;C1131)&amp;"",'[2]Retail Price List'!$C$4:$F$102,3,FALSE),"")</f>
        <v/>
      </c>
      <c r="K1131" s="272">
        <f>IFERROR(IF(BA1131="WIP - 30 Days",VLOOKUP(D1131,[3]Standard!$B$9:$E$101,4,FALSE),IF(BA1131="31-120 Days",VLOOKUP(D1131,[3]Standard!$B$9:$F$101,5,FALSE),IF(BA1131="121-365 Days",VLOOKUP(D1131,[3]Standard!$B$9:$G$101,6,FALSE),VLOOKUP(D1131,[3]Standard!$B$9:$H$101,7,FALSE)))),0)</f>
        <v>0</v>
      </c>
      <c r="L1131" s="272">
        <f>IFERROR(IF(BA1131="WIP - 30 Days",VLOOKUP(D1131,[3]Standard!$B$9:$J$101,9,FALSE),IF(BA1131="31-120 Days",VLOOKUP(D1131,[3]Standard!$B$9:$K$100,10,FALSE),IF(BA1131="121-365 Days",VLOOKUP(D1131,[3]Standard!$B$9:$L$101,11,FALSE),VLOOKUP(D1131,[3]Standard!$B$9:$M$101,12,FALSE)))),0)</f>
        <v>0</v>
      </c>
      <c r="M1131" s="269" t="str">
        <f>IFERROR(VLOOKUP((D1131&amp;C1131)&amp;"",'[2]Retail Price List'!$C$4:$F$102,4,FALSE),"")</f>
        <v/>
      </c>
      <c r="N1131" s="269">
        <f>IFERROR(IF(BA1131="WIP - 30 Days",VLOOKUP(D1131,[3]Extended!$B$9:$E$101,4,FALSE),IF(BA1131="31-120 Days",VLOOKUP(D1131,[3]Extended!$B$9:$F$101,5,FALSE),IF(BA1131="121-365 Days",VLOOKUP(D1131,[3]Extended!$B$9:$G$101,6,FALSE),VLOOKUP(D1131,[3]Extended!$B$9:$H$101,7,FALSE)))),0)</f>
        <v>0</v>
      </c>
      <c r="O1131" s="269">
        <f>IFERROR(IF(BA1131="WIP - 30 Days",VLOOKUP(D1131,[3]Extended!$B$9:$J$101,9,FALSE),IF(BA1131="31-120 Days",VLOOKUP(D1131,[3]Extended!$B$9:$K$101,10,FALSE),IF(BA1131="121-365 Days",VLOOKUP(D1131,[3]Extended!$B$9:$L$101,11,FALSE),VLOOKUP(D1131,[3]Extended!$B$9:$M$101,12,FALSE)))),0)</f>
        <v>0</v>
      </c>
      <c r="P1131" s="116" t="e">
        <f t="shared" si="86"/>
        <v>#VALUE!</v>
      </c>
      <c r="Q1131" s="110" t="e">
        <f>O1131-#REF!</f>
        <v>#REF!</v>
      </c>
      <c r="W1131" s="311"/>
      <c r="X1131" s="311"/>
      <c r="Y1131" s="311"/>
      <c r="Z1131" s="311"/>
      <c r="AA1131" s="311"/>
      <c r="AB1131" s="311"/>
      <c r="AC1131" s="311"/>
      <c r="AT1131" s="88" t="str">
        <f t="shared" si="87"/>
        <v>Special Order0</v>
      </c>
      <c r="AU1131" s="89" t="str">
        <f t="shared" si="88"/>
        <v>01-1900</v>
      </c>
      <c r="BA1131" s="92" t="str">
        <f t="shared" si="89"/>
        <v/>
      </c>
    </row>
    <row r="1132" spans="2:53">
      <c r="B1132" s="60">
        <f>[2]Trucks!A1129</f>
        <v>0</v>
      </c>
      <c r="C1132" s="11">
        <f>[2]Trucks!B1129</f>
        <v>0</v>
      </c>
      <c r="D1132" s="19" t="str">
        <f>IFERROR(VLOOKUP(C1132&amp;"",'[2]Retail Price List'!$A$3:$B$103,2,FALSE),"Special Order")</f>
        <v>Special Order</v>
      </c>
      <c r="E1132" s="18">
        <f>[2]Trucks!J1129</f>
        <v>0</v>
      </c>
      <c r="F1132" s="12">
        <f>[2]Trucks!E1129</f>
        <v>0</v>
      </c>
      <c r="G1132" s="56">
        <f>[2]Trucks!K1129</f>
        <v>0</v>
      </c>
      <c r="H1132" s="46">
        <f>[2]Trucks!I1129</f>
        <v>0</v>
      </c>
      <c r="I1132" s="83" t="str">
        <f t="shared" si="85"/>
        <v/>
      </c>
      <c r="J1132" s="272" t="str">
        <f>IFERROR(VLOOKUP((D1132&amp;C1132)&amp;"",'[2]Retail Price List'!$C$4:$F$102,3,FALSE),"")</f>
        <v/>
      </c>
      <c r="K1132" s="272">
        <f>IFERROR(IF(BA1132="WIP - 30 Days",VLOOKUP(D1132,[3]Standard!$B$9:$E$101,4,FALSE),IF(BA1132="31-120 Days",VLOOKUP(D1132,[3]Standard!$B$9:$F$101,5,FALSE),IF(BA1132="121-365 Days",VLOOKUP(D1132,[3]Standard!$B$9:$G$101,6,FALSE),VLOOKUP(D1132,[3]Standard!$B$9:$H$101,7,FALSE)))),0)</f>
        <v>0</v>
      </c>
      <c r="L1132" s="272">
        <f>IFERROR(IF(BA1132="WIP - 30 Days",VLOOKUP(D1132,[3]Standard!$B$9:$J$101,9,FALSE),IF(BA1132="31-120 Days",VLOOKUP(D1132,[3]Standard!$B$9:$K$100,10,FALSE),IF(BA1132="121-365 Days",VLOOKUP(D1132,[3]Standard!$B$9:$L$101,11,FALSE),VLOOKUP(D1132,[3]Standard!$B$9:$M$101,12,FALSE)))),0)</f>
        <v>0</v>
      </c>
      <c r="M1132" s="269" t="str">
        <f>IFERROR(VLOOKUP((D1132&amp;C1132)&amp;"",'[2]Retail Price List'!$C$4:$F$102,4,FALSE),"")</f>
        <v/>
      </c>
      <c r="N1132" s="269">
        <f>IFERROR(IF(BA1132="WIP - 30 Days",VLOOKUP(D1132,[3]Extended!$B$9:$E$101,4,FALSE),IF(BA1132="31-120 Days",VLOOKUP(D1132,[3]Extended!$B$9:$F$101,5,FALSE),IF(BA1132="121-365 Days",VLOOKUP(D1132,[3]Extended!$B$9:$G$101,6,FALSE),VLOOKUP(D1132,[3]Extended!$B$9:$H$101,7,FALSE)))),0)</f>
        <v>0</v>
      </c>
      <c r="O1132" s="269">
        <f>IFERROR(IF(BA1132="WIP - 30 Days",VLOOKUP(D1132,[3]Extended!$B$9:$J$101,9,FALSE),IF(BA1132="31-120 Days",VLOOKUP(D1132,[3]Extended!$B$9:$K$101,10,FALSE),IF(BA1132="121-365 Days",VLOOKUP(D1132,[3]Extended!$B$9:$L$101,11,FALSE),VLOOKUP(D1132,[3]Extended!$B$9:$M$101,12,FALSE)))),0)</f>
        <v>0</v>
      </c>
      <c r="P1132" s="116" t="e">
        <f t="shared" si="86"/>
        <v>#VALUE!</v>
      </c>
      <c r="Q1132" s="110" t="e">
        <f>O1132-#REF!</f>
        <v>#REF!</v>
      </c>
      <c r="W1132" s="311"/>
      <c r="X1132" s="311"/>
      <c r="Y1132" s="311"/>
      <c r="Z1132" s="311"/>
      <c r="AA1132" s="311"/>
      <c r="AB1132" s="311"/>
      <c r="AC1132" s="311"/>
      <c r="AT1132" s="88" t="str">
        <f t="shared" si="87"/>
        <v>Special Order0</v>
      </c>
      <c r="AU1132" s="89" t="str">
        <f t="shared" si="88"/>
        <v>01-1900</v>
      </c>
      <c r="BA1132" s="92" t="str">
        <f t="shared" si="89"/>
        <v/>
      </c>
    </row>
    <row r="1133" spans="2:53">
      <c r="B1133" s="60">
        <f>[2]Trucks!A1130</f>
        <v>0</v>
      </c>
      <c r="C1133" s="11">
        <f>[2]Trucks!B1130</f>
        <v>0</v>
      </c>
      <c r="D1133" s="19" t="str">
        <f>IFERROR(VLOOKUP(C1133&amp;"",'[2]Retail Price List'!$A$3:$B$103,2,FALSE),"Special Order")</f>
        <v>Special Order</v>
      </c>
      <c r="E1133" s="18">
        <f>[2]Trucks!J1130</f>
        <v>0</v>
      </c>
      <c r="F1133" s="12">
        <f>[2]Trucks!E1130</f>
        <v>0</v>
      </c>
      <c r="G1133" s="56">
        <f>[2]Trucks!K1130</f>
        <v>0</v>
      </c>
      <c r="H1133" s="46">
        <f>[2]Trucks!I1130</f>
        <v>0</v>
      </c>
      <c r="I1133" s="83" t="str">
        <f t="shared" si="85"/>
        <v/>
      </c>
      <c r="J1133" s="272" t="str">
        <f>IFERROR(VLOOKUP((D1133&amp;C1133)&amp;"",'[2]Retail Price List'!$C$4:$F$102,3,FALSE),"")</f>
        <v/>
      </c>
      <c r="K1133" s="272">
        <f>IFERROR(IF(BA1133="WIP - 30 Days",VLOOKUP(D1133,[3]Standard!$B$9:$E$101,4,FALSE),IF(BA1133="31-120 Days",VLOOKUP(D1133,[3]Standard!$B$9:$F$101,5,FALSE),IF(BA1133="121-365 Days",VLOOKUP(D1133,[3]Standard!$B$9:$G$101,6,FALSE),VLOOKUP(D1133,[3]Standard!$B$9:$H$101,7,FALSE)))),0)</f>
        <v>0</v>
      </c>
      <c r="L1133" s="272">
        <f>IFERROR(IF(BA1133="WIP - 30 Days",VLOOKUP(D1133,[3]Standard!$B$9:$J$101,9,FALSE),IF(BA1133="31-120 Days",VLOOKUP(D1133,[3]Standard!$B$9:$K$100,10,FALSE),IF(BA1133="121-365 Days",VLOOKUP(D1133,[3]Standard!$B$9:$L$101,11,FALSE),VLOOKUP(D1133,[3]Standard!$B$9:$M$101,12,FALSE)))),0)</f>
        <v>0</v>
      </c>
      <c r="M1133" s="269" t="str">
        <f>IFERROR(VLOOKUP((D1133&amp;C1133)&amp;"",'[2]Retail Price List'!$C$4:$F$102,4,FALSE),"")</f>
        <v/>
      </c>
      <c r="N1133" s="269">
        <f>IFERROR(IF(BA1133="WIP - 30 Days",VLOOKUP(D1133,[3]Extended!$B$9:$E$101,4,FALSE),IF(BA1133="31-120 Days",VLOOKUP(D1133,[3]Extended!$B$9:$F$101,5,FALSE),IF(BA1133="121-365 Days",VLOOKUP(D1133,[3]Extended!$B$9:$G$101,6,FALSE),VLOOKUP(D1133,[3]Extended!$B$9:$H$101,7,FALSE)))),0)</f>
        <v>0</v>
      </c>
      <c r="O1133" s="269">
        <f>IFERROR(IF(BA1133="WIP - 30 Days",VLOOKUP(D1133,[3]Extended!$B$9:$J$101,9,FALSE),IF(BA1133="31-120 Days",VLOOKUP(D1133,[3]Extended!$B$9:$K$101,10,FALSE),IF(BA1133="121-365 Days",VLOOKUP(D1133,[3]Extended!$B$9:$L$101,11,FALSE),VLOOKUP(D1133,[3]Extended!$B$9:$M$101,12,FALSE)))),0)</f>
        <v>0</v>
      </c>
      <c r="P1133" s="116" t="e">
        <f t="shared" si="86"/>
        <v>#VALUE!</v>
      </c>
      <c r="Q1133" s="110" t="e">
        <f>O1133-#REF!</f>
        <v>#REF!</v>
      </c>
      <c r="W1133" s="311"/>
      <c r="X1133" s="311"/>
      <c r="Y1133" s="311"/>
      <c r="Z1133" s="311"/>
      <c r="AA1133" s="311"/>
      <c r="AB1133" s="311"/>
      <c r="AC1133" s="311"/>
      <c r="AT1133" s="88" t="str">
        <f t="shared" si="87"/>
        <v>Special Order0</v>
      </c>
      <c r="AU1133" s="89" t="str">
        <f t="shared" si="88"/>
        <v>01-1900</v>
      </c>
      <c r="BA1133" s="92" t="str">
        <f t="shared" si="89"/>
        <v/>
      </c>
    </row>
    <row r="1134" spans="2:53">
      <c r="B1134" s="60">
        <f>[2]Trucks!A1131</f>
        <v>0</v>
      </c>
      <c r="C1134" s="11">
        <f>[2]Trucks!B1131</f>
        <v>0</v>
      </c>
      <c r="D1134" s="19" t="str">
        <f>IFERROR(VLOOKUP(C1134&amp;"",'[2]Retail Price List'!$A$3:$B$103,2,FALSE),"Special Order")</f>
        <v>Special Order</v>
      </c>
      <c r="E1134" s="18">
        <f>[2]Trucks!J1131</f>
        <v>0</v>
      </c>
      <c r="F1134" s="12">
        <f>[2]Trucks!E1131</f>
        <v>0</v>
      </c>
      <c r="G1134" s="56">
        <f>[2]Trucks!K1131</f>
        <v>0</v>
      </c>
      <c r="H1134" s="46">
        <f>[2]Trucks!I1131</f>
        <v>0</v>
      </c>
      <c r="I1134" s="83" t="str">
        <f t="shared" si="85"/>
        <v/>
      </c>
      <c r="J1134" s="272" t="str">
        <f>IFERROR(VLOOKUP((D1134&amp;C1134)&amp;"",'[2]Retail Price List'!$C$4:$F$102,3,FALSE),"")</f>
        <v/>
      </c>
      <c r="K1134" s="272">
        <f>IFERROR(IF(BA1134="WIP - 30 Days",VLOOKUP(D1134,[3]Standard!$B$9:$E$101,4,FALSE),IF(BA1134="31-120 Days",VLOOKUP(D1134,[3]Standard!$B$9:$F$101,5,FALSE),IF(BA1134="121-365 Days",VLOOKUP(D1134,[3]Standard!$B$9:$G$101,6,FALSE),VLOOKUP(D1134,[3]Standard!$B$9:$H$101,7,FALSE)))),0)</f>
        <v>0</v>
      </c>
      <c r="L1134" s="272">
        <f>IFERROR(IF(BA1134="WIP - 30 Days",VLOOKUP(D1134,[3]Standard!$B$9:$J$101,9,FALSE),IF(BA1134="31-120 Days",VLOOKUP(D1134,[3]Standard!$B$9:$K$100,10,FALSE),IF(BA1134="121-365 Days",VLOOKUP(D1134,[3]Standard!$B$9:$L$101,11,FALSE),VLOOKUP(D1134,[3]Standard!$B$9:$M$101,12,FALSE)))),0)</f>
        <v>0</v>
      </c>
      <c r="M1134" s="269" t="str">
        <f>IFERROR(VLOOKUP((D1134&amp;C1134)&amp;"",'[2]Retail Price List'!$C$4:$F$102,4,FALSE),"")</f>
        <v/>
      </c>
      <c r="N1134" s="269">
        <f>IFERROR(IF(BA1134="WIP - 30 Days",VLOOKUP(D1134,[3]Extended!$B$9:$E$101,4,FALSE),IF(BA1134="31-120 Days",VLOOKUP(D1134,[3]Extended!$B$9:$F$101,5,FALSE),IF(BA1134="121-365 Days",VLOOKUP(D1134,[3]Extended!$B$9:$G$101,6,FALSE),VLOOKUP(D1134,[3]Extended!$B$9:$H$101,7,FALSE)))),0)</f>
        <v>0</v>
      </c>
      <c r="O1134" s="269">
        <f>IFERROR(IF(BA1134="WIP - 30 Days",VLOOKUP(D1134,[3]Extended!$B$9:$J$101,9,FALSE),IF(BA1134="31-120 Days",VLOOKUP(D1134,[3]Extended!$B$9:$K$101,10,FALSE),IF(BA1134="121-365 Days",VLOOKUP(D1134,[3]Extended!$B$9:$L$101,11,FALSE),VLOOKUP(D1134,[3]Extended!$B$9:$M$101,12,FALSE)))),0)</f>
        <v>0</v>
      </c>
      <c r="P1134" s="116" t="e">
        <f t="shared" si="86"/>
        <v>#VALUE!</v>
      </c>
      <c r="Q1134" s="110" t="e">
        <f>O1134-#REF!</f>
        <v>#REF!</v>
      </c>
      <c r="W1134" s="311"/>
      <c r="X1134" s="311"/>
      <c r="Y1134" s="311"/>
      <c r="Z1134" s="311"/>
      <c r="AA1134" s="311"/>
      <c r="AB1134" s="311"/>
      <c r="AC1134" s="311"/>
      <c r="AT1134" s="88" t="str">
        <f t="shared" si="87"/>
        <v>Special Order0</v>
      </c>
      <c r="AU1134" s="89" t="str">
        <f t="shared" si="88"/>
        <v>01-1900</v>
      </c>
      <c r="BA1134" s="92" t="str">
        <f t="shared" si="89"/>
        <v/>
      </c>
    </row>
    <row r="1135" spans="2:53">
      <c r="B1135" s="60">
        <f>[2]Trucks!A1132</f>
        <v>0</v>
      </c>
      <c r="C1135" s="11">
        <f>[2]Trucks!B1132</f>
        <v>0</v>
      </c>
      <c r="D1135" s="19" t="str">
        <f>IFERROR(VLOOKUP(C1135&amp;"",'[2]Retail Price List'!$A$3:$B$103,2,FALSE),"Special Order")</f>
        <v>Special Order</v>
      </c>
      <c r="E1135" s="18">
        <f>[2]Trucks!J1132</f>
        <v>0</v>
      </c>
      <c r="F1135" s="12">
        <f>[2]Trucks!E1132</f>
        <v>0</v>
      </c>
      <c r="G1135" s="56">
        <f>[2]Trucks!K1132</f>
        <v>0</v>
      </c>
      <c r="H1135" s="46">
        <f>[2]Trucks!I1132</f>
        <v>0</v>
      </c>
      <c r="I1135" s="83" t="str">
        <f t="shared" si="85"/>
        <v/>
      </c>
      <c r="J1135" s="272" t="str">
        <f>IFERROR(VLOOKUP((D1135&amp;C1135)&amp;"",'[2]Retail Price List'!$C$4:$F$102,3,FALSE),"")</f>
        <v/>
      </c>
      <c r="K1135" s="272">
        <f>IFERROR(IF(BA1135="WIP - 30 Days",VLOOKUP(D1135,[3]Standard!$B$9:$E$101,4,FALSE),IF(BA1135="31-120 Days",VLOOKUP(D1135,[3]Standard!$B$9:$F$101,5,FALSE),IF(BA1135="121-365 Days",VLOOKUP(D1135,[3]Standard!$B$9:$G$101,6,FALSE),VLOOKUP(D1135,[3]Standard!$B$9:$H$101,7,FALSE)))),0)</f>
        <v>0</v>
      </c>
      <c r="L1135" s="272">
        <f>IFERROR(IF(BA1135="WIP - 30 Days",VLOOKUP(D1135,[3]Standard!$B$9:$J$101,9,FALSE),IF(BA1135="31-120 Days",VLOOKUP(D1135,[3]Standard!$B$9:$K$100,10,FALSE),IF(BA1135="121-365 Days",VLOOKUP(D1135,[3]Standard!$B$9:$L$101,11,FALSE),VLOOKUP(D1135,[3]Standard!$B$9:$M$101,12,FALSE)))),0)</f>
        <v>0</v>
      </c>
      <c r="M1135" s="269" t="str">
        <f>IFERROR(VLOOKUP((D1135&amp;C1135)&amp;"",'[2]Retail Price List'!$C$4:$F$102,4,FALSE),"")</f>
        <v/>
      </c>
      <c r="N1135" s="269">
        <f>IFERROR(IF(BA1135="WIP - 30 Days",VLOOKUP(D1135,[3]Extended!$B$9:$E$101,4,FALSE),IF(BA1135="31-120 Days",VLOOKUP(D1135,[3]Extended!$B$9:$F$101,5,FALSE),IF(BA1135="121-365 Days",VLOOKUP(D1135,[3]Extended!$B$9:$G$101,6,FALSE),VLOOKUP(D1135,[3]Extended!$B$9:$H$101,7,FALSE)))),0)</f>
        <v>0</v>
      </c>
      <c r="O1135" s="269">
        <f>IFERROR(IF(BA1135="WIP - 30 Days",VLOOKUP(D1135,[3]Extended!$B$9:$J$101,9,FALSE),IF(BA1135="31-120 Days",VLOOKUP(D1135,[3]Extended!$B$9:$K$101,10,FALSE),IF(BA1135="121-365 Days",VLOOKUP(D1135,[3]Extended!$B$9:$L$101,11,FALSE),VLOOKUP(D1135,[3]Extended!$B$9:$M$101,12,FALSE)))),0)</f>
        <v>0</v>
      </c>
      <c r="P1135" s="116" t="e">
        <f t="shared" si="86"/>
        <v>#VALUE!</v>
      </c>
      <c r="Q1135" s="110" t="e">
        <f>O1135-#REF!</f>
        <v>#REF!</v>
      </c>
      <c r="W1135" s="311"/>
      <c r="X1135" s="311"/>
      <c r="Y1135" s="311"/>
      <c r="Z1135" s="311"/>
      <c r="AA1135" s="311"/>
      <c r="AB1135" s="311"/>
      <c r="AC1135" s="311"/>
      <c r="AT1135" s="88" t="str">
        <f t="shared" si="87"/>
        <v>Special Order0</v>
      </c>
      <c r="AU1135" s="89" t="str">
        <f t="shared" si="88"/>
        <v>01-1900</v>
      </c>
      <c r="BA1135" s="92" t="str">
        <f t="shared" si="89"/>
        <v/>
      </c>
    </row>
    <row r="1136" spans="2:53">
      <c r="B1136" s="60">
        <f>[2]Trucks!A1133</f>
        <v>0</v>
      </c>
      <c r="C1136" s="11">
        <f>[2]Trucks!B1133</f>
        <v>0</v>
      </c>
      <c r="D1136" s="19" t="str">
        <f>IFERROR(VLOOKUP(C1136&amp;"",'[2]Retail Price List'!$A$3:$B$103,2,FALSE),"Special Order")</f>
        <v>Special Order</v>
      </c>
      <c r="E1136" s="18">
        <f>[2]Trucks!J1133</f>
        <v>0</v>
      </c>
      <c r="F1136" s="12">
        <f>[2]Trucks!E1133</f>
        <v>0</v>
      </c>
      <c r="G1136" s="56">
        <f>[2]Trucks!K1133</f>
        <v>0</v>
      </c>
      <c r="H1136" s="46">
        <f>[2]Trucks!I1133</f>
        <v>0</v>
      </c>
      <c r="I1136" s="83" t="str">
        <f t="shared" si="85"/>
        <v/>
      </c>
      <c r="J1136" s="272" t="str">
        <f>IFERROR(VLOOKUP((D1136&amp;C1136)&amp;"",'[2]Retail Price List'!$C$4:$F$102,3,FALSE),"")</f>
        <v/>
      </c>
      <c r="K1136" s="272">
        <f>IFERROR(IF(BA1136="WIP - 30 Days",VLOOKUP(D1136,[3]Standard!$B$9:$E$101,4,FALSE),IF(BA1136="31-120 Days",VLOOKUP(D1136,[3]Standard!$B$9:$F$101,5,FALSE),IF(BA1136="121-365 Days",VLOOKUP(D1136,[3]Standard!$B$9:$G$101,6,FALSE),VLOOKUP(D1136,[3]Standard!$B$9:$H$101,7,FALSE)))),0)</f>
        <v>0</v>
      </c>
      <c r="L1136" s="272">
        <f>IFERROR(IF(BA1136="WIP - 30 Days",VLOOKUP(D1136,[3]Standard!$B$9:$J$101,9,FALSE),IF(BA1136="31-120 Days",VLOOKUP(D1136,[3]Standard!$B$9:$K$100,10,FALSE),IF(BA1136="121-365 Days",VLOOKUP(D1136,[3]Standard!$B$9:$L$101,11,FALSE),VLOOKUP(D1136,[3]Standard!$B$9:$M$101,12,FALSE)))),0)</f>
        <v>0</v>
      </c>
      <c r="M1136" s="269" t="str">
        <f>IFERROR(VLOOKUP((D1136&amp;C1136)&amp;"",'[2]Retail Price List'!$C$4:$F$102,4,FALSE),"")</f>
        <v/>
      </c>
      <c r="N1136" s="269">
        <f>IFERROR(IF(BA1136="WIP - 30 Days",VLOOKUP(D1136,[3]Extended!$B$9:$E$101,4,FALSE),IF(BA1136="31-120 Days",VLOOKUP(D1136,[3]Extended!$B$9:$F$101,5,FALSE),IF(BA1136="121-365 Days",VLOOKUP(D1136,[3]Extended!$B$9:$G$101,6,FALSE),VLOOKUP(D1136,[3]Extended!$B$9:$H$101,7,FALSE)))),0)</f>
        <v>0</v>
      </c>
      <c r="O1136" s="269">
        <f>IFERROR(IF(BA1136="WIP - 30 Days",VLOOKUP(D1136,[3]Extended!$B$9:$J$101,9,FALSE),IF(BA1136="31-120 Days",VLOOKUP(D1136,[3]Extended!$B$9:$K$101,10,FALSE),IF(BA1136="121-365 Days",VLOOKUP(D1136,[3]Extended!$B$9:$L$101,11,FALSE),VLOOKUP(D1136,[3]Extended!$B$9:$M$101,12,FALSE)))),0)</f>
        <v>0</v>
      </c>
      <c r="P1136" s="116" t="e">
        <f t="shared" si="86"/>
        <v>#VALUE!</v>
      </c>
      <c r="Q1136" s="110" t="e">
        <f>O1136-#REF!</f>
        <v>#REF!</v>
      </c>
      <c r="W1136" s="311"/>
      <c r="X1136" s="311"/>
      <c r="Y1136" s="311"/>
      <c r="Z1136" s="311"/>
      <c r="AA1136" s="311"/>
      <c r="AB1136" s="311"/>
      <c r="AC1136" s="311"/>
      <c r="AT1136" s="88" t="str">
        <f t="shared" si="87"/>
        <v>Special Order0</v>
      </c>
      <c r="AU1136" s="89" t="str">
        <f t="shared" si="88"/>
        <v>01-1900</v>
      </c>
      <c r="BA1136" s="92" t="str">
        <f t="shared" si="89"/>
        <v/>
      </c>
    </row>
    <row r="1137" spans="2:53">
      <c r="B1137" s="60">
        <f>[2]Trucks!A1134</f>
        <v>0</v>
      </c>
      <c r="C1137" s="11">
        <f>[2]Trucks!B1134</f>
        <v>0</v>
      </c>
      <c r="D1137" s="19" t="str">
        <f>IFERROR(VLOOKUP(C1137&amp;"",'[2]Retail Price List'!$A$3:$B$103,2,FALSE),"Special Order")</f>
        <v>Special Order</v>
      </c>
      <c r="E1137" s="18">
        <f>[2]Trucks!J1134</f>
        <v>0</v>
      </c>
      <c r="F1137" s="12">
        <f>[2]Trucks!E1134</f>
        <v>0</v>
      </c>
      <c r="G1137" s="56">
        <f>[2]Trucks!K1134</f>
        <v>0</v>
      </c>
      <c r="H1137" s="46">
        <f>[2]Trucks!I1134</f>
        <v>0</v>
      </c>
      <c r="I1137" s="83" t="str">
        <f t="shared" si="85"/>
        <v/>
      </c>
      <c r="J1137" s="272" t="str">
        <f>IFERROR(VLOOKUP((D1137&amp;C1137)&amp;"",'[2]Retail Price List'!$C$4:$F$102,3,FALSE),"")</f>
        <v/>
      </c>
      <c r="K1137" s="272">
        <f>IFERROR(IF(BA1137="WIP - 30 Days",VLOOKUP(D1137,[3]Standard!$B$9:$E$101,4,FALSE),IF(BA1137="31-120 Days",VLOOKUP(D1137,[3]Standard!$B$9:$F$101,5,FALSE),IF(BA1137="121-365 Days",VLOOKUP(D1137,[3]Standard!$B$9:$G$101,6,FALSE),VLOOKUP(D1137,[3]Standard!$B$9:$H$101,7,FALSE)))),0)</f>
        <v>0</v>
      </c>
      <c r="L1137" s="272">
        <f>IFERROR(IF(BA1137="WIP - 30 Days",VLOOKUP(D1137,[3]Standard!$B$9:$J$101,9,FALSE),IF(BA1137="31-120 Days",VLOOKUP(D1137,[3]Standard!$B$9:$K$100,10,FALSE),IF(BA1137="121-365 Days",VLOOKUP(D1137,[3]Standard!$B$9:$L$101,11,FALSE),VLOOKUP(D1137,[3]Standard!$B$9:$M$101,12,FALSE)))),0)</f>
        <v>0</v>
      </c>
      <c r="M1137" s="269" t="str">
        <f>IFERROR(VLOOKUP((D1137&amp;C1137)&amp;"",'[2]Retail Price List'!$C$4:$F$102,4,FALSE),"")</f>
        <v/>
      </c>
      <c r="N1137" s="269">
        <f>IFERROR(IF(BA1137="WIP - 30 Days",VLOOKUP(D1137,[3]Extended!$B$9:$E$101,4,FALSE),IF(BA1137="31-120 Days",VLOOKUP(D1137,[3]Extended!$B$9:$F$101,5,FALSE),IF(BA1137="121-365 Days",VLOOKUP(D1137,[3]Extended!$B$9:$G$101,6,FALSE),VLOOKUP(D1137,[3]Extended!$B$9:$H$101,7,FALSE)))),0)</f>
        <v>0</v>
      </c>
      <c r="O1137" s="269">
        <f>IFERROR(IF(BA1137="WIP - 30 Days",VLOOKUP(D1137,[3]Extended!$B$9:$J$101,9,FALSE),IF(BA1137="31-120 Days",VLOOKUP(D1137,[3]Extended!$B$9:$K$101,10,FALSE),IF(BA1137="121-365 Days",VLOOKUP(D1137,[3]Extended!$B$9:$L$101,11,FALSE),VLOOKUP(D1137,[3]Extended!$B$9:$M$101,12,FALSE)))),0)</f>
        <v>0</v>
      </c>
      <c r="P1137" s="116" t="e">
        <f t="shared" si="86"/>
        <v>#VALUE!</v>
      </c>
      <c r="Q1137" s="110" t="e">
        <f>O1137-#REF!</f>
        <v>#REF!</v>
      </c>
      <c r="W1137" s="311"/>
      <c r="X1137" s="311"/>
      <c r="Y1137" s="311"/>
      <c r="Z1137" s="311"/>
      <c r="AA1137" s="311"/>
      <c r="AB1137" s="311"/>
      <c r="AC1137" s="311"/>
      <c r="AT1137" s="88" t="str">
        <f t="shared" si="87"/>
        <v>Special Order0</v>
      </c>
      <c r="AU1137" s="89" t="str">
        <f t="shared" si="88"/>
        <v>01-1900</v>
      </c>
      <c r="BA1137" s="92" t="str">
        <f t="shared" si="89"/>
        <v/>
      </c>
    </row>
    <row r="1138" spans="2:53">
      <c r="B1138" s="60">
        <f>[2]Trucks!A1135</f>
        <v>0</v>
      </c>
      <c r="C1138" s="11">
        <f>[2]Trucks!B1135</f>
        <v>0</v>
      </c>
      <c r="D1138" s="19" t="str">
        <f>IFERROR(VLOOKUP(C1138&amp;"",'[2]Retail Price List'!$A$3:$B$103,2,FALSE),"Special Order")</f>
        <v>Special Order</v>
      </c>
      <c r="E1138" s="18">
        <f>[2]Trucks!J1135</f>
        <v>0</v>
      </c>
      <c r="F1138" s="12">
        <f>[2]Trucks!E1135</f>
        <v>0</v>
      </c>
      <c r="G1138" s="56">
        <f>[2]Trucks!K1135</f>
        <v>0</v>
      </c>
      <c r="H1138" s="46">
        <f>[2]Trucks!I1135</f>
        <v>0</v>
      </c>
      <c r="I1138" s="83" t="str">
        <f t="shared" si="85"/>
        <v/>
      </c>
      <c r="J1138" s="272" t="str">
        <f>IFERROR(VLOOKUP((D1138&amp;C1138)&amp;"",'[2]Retail Price List'!$C$4:$F$102,3,FALSE),"")</f>
        <v/>
      </c>
      <c r="K1138" s="272">
        <f>IFERROR(IF(BA1138="WIP - 30 Days",VLOOKUP(D1138,[3]Standard!$B$9:$E$101,4,FALSE),IF(BA1138="31-120 Days",VLOOKUP(D1138,[3]Standard!$B$9:$F$101,5,FALSE),IF(BA1138="121-365 Days",VLOOKUP(D1138,[3]Standard!$B$9:$G$101,6,FALSE),VLOOKUP(D1138,[3]Standard!$B$9:$H$101,7,FALSE)))),0)</f>
        <v>0</v>
      </c>
      <c r="L1138" s="272">
        <f>IFERROR(IF(BA1138="WIP - 30 Days",VLOOKUP(D1138,[3]Standard!$B$9:$J$101,9,FALSE),IF(BA1138="31-120 Days",VLOOKUP(D1138,[3]Standard!$B$9:$K$100,10,FALSE),IF(BA1138="121-365 Days",VLOOKUP(D1138,[3]Standard!$B$9:$L$101,11,FALSE),VLOOKUP(D1138,[3]Standard!$B$9:$M$101,12,FALSE)))),0)</f>
        <v>0</v>
      </c>
      <c r="M1138" s="269" t="str">
        <f>IFERROR(VLOOKUP((D1138&amp;C1138)&amp;"",'[2]Retail Price List'!$C$4:$F$102,4,FALSE),"")</f>
        <v/>
      </c>
      <c r="N1138" s="269">
        <f>IFERROR(IF(BA1138="WIP - 30 Days",VLOOKUP(D1138,[3]Extended!$B$9:$E$101,4,FALSE),IF(BA1138="31-120 Days",VLOOKUP(D1138,[3]Extended!$B$9:$F$101,5,FALSE),IF(BA1138="121-365 Days",VLOOKUP(D1138,[3]Extended!$B$9:$G$101,6,FALSE),VLOOKUP(D1138,[3]Extended!$B$9:$H$101,7,FALSE)))),0)</f>
        <v>0</v>
      </c>
      <c r="O1138" s="269">
        <f>IFERROR(IF(BA1138="WIP - 30 Days",VLOOKUP(D1138,[3]Extended!$B$9:$J$101,9,FALSE),IF(BA1138="31-120 Days",VLOOKUP(D1138,[3]Extended!$B$9:$K$101,10,FALSE),IF(BA1138="121-365 Days",VLOOKUP(D1138,[3]Extended!$B$9:$L$101,11,FALSE),VLOOKUP(D1138,[3]Extended!$B$9:$M$101,12,FALSE)))),0)</f>
        <v>0</v>
      </c>
      <c r="P1138" s="116" t="e">
        <f t="shared" si="86"/>
        <v>#VALUE!</v>
      </c>
      <c r="Q1138" s="110" t="e">
        <f>O1138-#REF!</f>
        <v>#REF!</v>
      </c>
      <c r="W1138" s="311"/>
      <c r="X1138" s="311"/>
      <c r="Y1138" s="311"/>
      <c r="Z1138" s="311"/>
      <c r="AA1138" s="311"/>
      <c r="AB1138" s="311"/>
      <c r="AC1138" s="311"/>
      <c r="AT1138" s="88" t="str">
        <f t="shared" si="87"/>
        <v>Special Order0</v>
      </c>
      <c r="AU1138" s="89" t="str">
        <f t="shared" si="88"/>
        <v>01-1900</v>
      </c>
      <c r="BA1138" s="92" t="str">
        <f t="shared" si="89"/>
        <v/>
      </c>
    </row>
    <row r="1139" spans="2:53">
      <c r="B1139" s="60">
        <f>[2]Trucks!A1136</f>
        <v>0</v>
      </c>
      <c r="C1139" s="11">
        <f>[2]Trucks!B1136</f>
        <v>0</v>
      </c>
      <c r="D1139" s="19" t="str">
        <f>IFERROR(VLOOKUP(C1139&amp;"",'[2]Retail Price List'!$A$3:$B$103,2,FALSE),"Special Order")</f>
        <v>Special Order</v>
      </c>
      <c r="E1139" s="18">
        <f>[2]Trucks!J1136</f>
        <v>0</v>
      </c>
      <c r="F1139" s="12">
        <f>[2]Trucks!E1136</f>
        <v>0</v>
      </c>
      <c r="G1139" s="56">
        <f>[2]Trucks!K1136</f>
        <v>0</v>
      </c>
      <c r="H1139" s="46">
        <f>[2]Trucks!I1136</f>
        <v>0</v>
      </c>
      <c r="I1139" s="83" t="str">
        <f t="shared" si="85"/>
        <v/>
      </c>
      <c r="J1139" s="272" t="str">
        <f>IFERROR(VLOOKUP((D1139&amp;C1139)&amp;"",'[2]Retail Price List'!$C$4:$F$102,3,FALSE),"")</f>
        <v/>
      </c>
      <c r="K1139" s="272">
        <f>IFERROR(IF(BA1139="WIP - 30 Days",VLOOKUP(D1139,[3]Standard!$B$9:$E$101,4,FALSE),IF(BA1139="31-120 Days",VLOOKUP(D1139,[3]Standard!$B$9:$F$101,5,FALSE),IF(BA1139="121-365 Days",VLOOKUP(D1139,[3]Standard!$B$9:$G$101,6,FALSE),VLOOKUP(D1139,[3]Standard!$B$9:$H$101,7,FALSE)))),0)</f>
        <v>0</v>
      </c>
      <c r="L1139" s="272">
        <f>IFERROR(IF(BA1139="WIP - 30 Days",VLOOKUP(D1139,[3]Standard!$B$9:$J$101,9,FALSE),IF(BA1139="31-120 Days",VLOOKUP(D1139,[3]Standard!$B$9:$K$100,10,FALSE),IF(BA1139="121-365 Days",VLOOKUP(D1139,[3]Standard!$B$9:$L$101,11,FALSE),VLOOKUP(D1139,[3]Standard!$B$9:$M$101,12,FALSE)))),0)</f>
        <v>0</v>
      </c>
      <c r="M1139" s="269" t="str">
        <f>IFERROR(VLOOKUP((D1139&amp;C1139)&amp;"",'[2]Retail Price List'!$C$4:$F$102,4,FALSE),"")</f>
        <v/>
      </c>
      <c r="N1139" s="269">
        <f>IFERROR(IF(BA1139="WIP - 30 Days",VLOOKUP(D1139,[3]Extended!$B$9:$E$101,4,FALSE),IF(BA1139="31-120 Days",VLOOKUP(D1139,[3]Extended!$B$9:$F$101,5,FALSE),IF(BA1139="121-365 Days",VLOOKUP(D1139,[3]Extended!$B$9:$G$101,6,FALSE),VLOOKUP(D1139,[3]Extended!$B$9:$H$101,7,FALSE)))),0)</f>
        <v>0</v>
      </c>
      <c r="O1139" s="269">
        <f>IFERROR(IF(BA1139="WIP - 30 Days",VLOOKUP(D1139,[3]Extended!$B$9:$J$101,9,FALSE),IF(BA1139="31-120 Days",VLOOKUP(D1139,[3]Extended!$B$9:$K$101,10,FALSE),IF(BA1139="121-365 Days",VLOOKUP(D1139,[3]Extended!$B$9:$L$101,11,FALSE),VLOOKUP(D1139,[3]Extended!$B$9:$M$101,12,FALSE)))),0)</f>
        <v>0</v>
      </c>
      <c r="P1139" s="116" t="e">
        <f t="shared" si="86"/>
        <v>#VALUE!</v>
      </c>
      <c r="Q1139" s="110" t="e">
        <f>O1139-#REF!</f>
        <v>#REF!</v>
      </c>
      <c r="W1139" s="311"/>
      <c r="X1139" s="311"/>
      <c r="Y1139" s="311"/>
      <c r="Z1139" s="311"/>
      <c r="AA1139" s="311"/>
      <c r="AB1139" s="311"/>
      <c r="AC1139" s="311"/>
      <c r="AT1139" s="88" t="str">
        <f t="shared" si="87"/>
        <v>Special Order0</v>
      </c>
      <c r="AU1139" s="89" t="str">
        <f t="shared" si="88"/>
        <v>01-1900</v>
      </c>
      <c r="BA1139" s="92" t="str">
        <f t="shared" si="89"/>
        <v/>
      </c>
    </row>
    <row r="1140" spans="2:53">
      <c r="B1140" s="60">
        <f>[2]Trucks!A1137</f>
        <v>0</v>
      </c>
      <c r="C1140" s="11">
        <f>[2]Trucks!B1137</f>
        <v>0</v>
      </c>
      <c r="D1140" s="19" t="str">
        <f>IFERROR(VLOOKUP(C1140&amp;"",'[2]Retail Price List'!$A$3:$B$103,2,FALSE),"Special Order")</f>
        <v>Special Order</v>
      </c>
      <c r="E1140" s="18">
        <f>[2]Trucks!J1137</f>
        <v>0</v>
      </c>
      <c r="F1140" s="12">
        <f>[2]Trucks!E1137</f>
        <v>0</v>
      </c>
      <c r="G1140" s="56">
        <f>[2]Trucks!K1137</f>
        <v>0</v>
      </c>
      <c r="H1140" s="46">
        <f>[2]Trucks!I1137</f>
        <v>0</v>
      </c>
      <c r="I1140" s="83" t="str">
        <f t="shared" si="85"/>
        <v/>
      </c>
      <c r="J1140" s="272" t="str">
        <f>IFERROR(VLOOKUP((D1140&amp;C1140)&amp;"",'[2]Retail Price List'!$C$4:$F$102,3,FALSE),"")</f>
        <v/>
      </c>
      <c r="K1140" s="272">
        <f>IFERROR(IF(BA1140="WIP - 30 Days",VLOOKUP(D1140,[3]Standard!$B$9:$E$101,4,FALSE),IF(BA1140="31-120 Days",VLOOKUP(D1140,[3]Standard!$B$9:$F$101,5,FALSE),IF(BA1140="121-365 Days",VLOOKUP(D1140,[3]Standard!$B$9:$G$101,6,FALSE),VLOOKUP(D1140,[3]Standard!$B$9:$H$101,7,FALSE)))),0)</f>
        <v>0</v>
      </c>
      <c r="L1140" s="272">
        <f>IFERROR(IF(BA1140="WIP - 30 Days",VLOOKUP(D1140,[3]Standard!$B$9:$J$101,9,FALSE),IF(BA1140="31-120 Days",VLOOKUP(D1140,[3]Standard!$B$9:$K$100,10,FALSE),IF(BA1140="121-365 Days",VLOOKUP(D1140,[3]Standard!$B$9:$L$101,11,FALSE),VLOOKUP(D1140,[3]Standard!$B$9:$M$101,12,FALSE)))),0)</f>
        <v>0</v>
      </c>
      <c r="M1140" s="269" t="str">
        <f>IFERROR(VLOOKUP((D1140&amp;C1140)&amp;"",'[2]Retail Price List'!$C$4:$F$102,4,FALSE),"")</f>
        <v/>
      </c>
      <c r="N1140" s="269">
        <f>IFERROR(IF(BA1140="WIP - 30 Days",VLOOKUP(D1140,[3]Extended!$B$9:$E$101,4,FALSE),IF(BA1140="31-120 Days",VLOOKUP(D1140,[3]Extended!$B$9:$F$101,5,FALSE),IF(BA1140="121-365 Days",VLOOKUP(D1140,[3]Extended!$B$9:$G$101,6,FALSE),VLOOKUP(D1140,[3]Extended!$B$9:$H$101,7,FALSE)))),0)</f>
        <v>0</v>
      </c>
      <c r="O1140" s="269">
        <f>IFERROR(IF(BA1140="WIP - 30 Days",VLOOKUP(D1140,[3]Extended!$B$9:$J$101,9,FALSE),IF(BA1140="31-120 Days",VLOOKUP(D1140,[3]Extended!$B$9:$K$101,10,FALSE),IF(BA1140="121-365 Days",VLOOKUP(D1140,[3]Extended!$B$9:$L$101,11,FALSE),VLOOKUP(D1140,[3]Extended!$B$9:$M$101,12,FALSE)))),0)</f>
        <v>0</v>
      </c>
      <c r="P1140" s="116" t="e">
        <f t="shared" si="86"/>
        <v>#VALUE!</v>
      </c>
      <c r="Q1140" s="110" t="e">
        <f>O1140-#REF!</f>
        <v>#REF!</v>
      </c>
      <c r="W1140" s="311"/>
      <c r="X1140" s="311"/>
      <c r="Y1140" s="311"/>
      <c r="Z1140" s="311"/>
      <c r="AA1140" s="311"/>
      <c r="AB1140" s="311"/>
      <c r="AC1140" s="311"/>
      <c r="AT1140" s="88" t="str">
        <f t="shared" si="87"/>
        <v>Special Order0</v>
      </c>
      <c r="AU1140" s="89" t="str">
        <f t="shared" si="88"/>
        <v>01-1900</v>
      </c>
      <c r="BA1140" s="92" t="str">
        <f t="shared" si="89"/>
        <v/>
      </c>
    </row>
    <row r="1141" spans="2:53">
      <c r="B1141" s="60">
        <f>[2]Trucks!A1138</f>
        <v>0</v>
      </c>
      <c r="C1141" s="11">
        <f>[2]Trucks!B1138</f>
        <v>0</v>
      </c>
      <c r="D1141" s="19" t="str">
        <f>IFERROR(VLOOKUP(C1141&amp;"",'[2]Retail Price List'!$A$3:$B$103,2,FALSE),"Special Order")</f>
        <v>Special Order</v>
      </c>
      <c r="E1141" s="18">
        <f>[2]Trucks!J1138</f>
        <v>0</v>
      </c>
      <c r="F1141" s="12">
        <f>[2]Trucks!E1138</f>
        <v>0</v>
      </c>
      <c r="G1141" s="56">
        <f>[2]Trucks!K1138</f>
        <v>0</v>
      </c>
      <c r="H1141" s="46">
        <f>[2]Trucks!I1138</f>
        <v>0</v>
      </c>
      <c r="I1141" s="83" t="str">
        <f t="shared" si="85"/>
        <v/>
      </c>
      <c r="J1141" s="272" t="str">
        <f>IFERROR(VLOOKUP((D1141&amp;C1141)&amp;"",'[2]Retail Price List'!$C$4:$F$102,3,FALSE),"")</f>
        <v/>
      </c>
      <c r="K1141" s="272">
        <f>IFERROR(IF(BA1141="WIP - 30 Days",VLOOKUP(D1141,[3]Standard!$B$9:$E$101,4,FALSE),IF(BA1141="31-120 Days",VLOOKUP(D1141,[3]Standard!$B$9:$F$101,5,FALSE),IF(BA1141="121-365 Days",VLOOKUP(D1141,[3]Standard!$B$9:$G$101,6,FALSE),VLOOKUP(D1141,[3]Standard!$B$9:$H$101,7,FALSE)))),0)</f>
        <v>0</v>
      </c>
      <c r="L1141" s="272">
        <f>IFERROR(IF(BA1141="WIP - 30 Days",VLOOKUP(D1141,[3]Standard!$B$9:$J$101,9,FALSE),IF(BA1141="31-120 Days",VLOOKUP(D1141,[3]Standard!$B$9:$K$100,10,FALSE),IF(BA1141="121-365 Days",VLOOKUP(D1141,[3]Standard!$B$9:$L$101,11,FALSE),VLOOKUP(D1141,[3]Standard!$B$9:$M$101,12,FALSE)))),0)</f>
        <v>0</v>
      </c>
      <c r="M1141" s="269" t="str">
        <f>IFERROR(VLOOKUP((D1141&amp;C1141)&amp;"",'[2]Retail Price List'!$C$4:$F$102,4,FALSE),"")</f>
        <v/>
      </c>
      <c r="N1141" s="269">
        <f>IFERROR(IF(BA1141="WIP - 30 Days",VLOOKUP(D1141,[3]Extended!$B$9:$E$101,4,FALSE),IF(BA1141="31-120 Days",VLOOKUP(D1141,[3]Extended!$B$9:$F$101,5,FALSE),IF(BA1141="121-365 Days",VLOOKUP(D1141,[3]Extended!$B$9:$G$101,6,FALSE),VLOOKUP(D1141,[3]Extended!$B$9:$H$101,7,FALSE)))),0)</f>
        <v>0</v>
      </c>
      <c r="O1141" s="269">
        <f>IFERROR(IF(BA1141="WIP - 30 Days",VLOOKUP(D1141,[3]Extended!$B$9:$J$101,9,FALSE),IF(BA1141="31-120 Days",VLOOKUP(D1141,[3]Extended!$B$9:$K$101,10,FALSE),IF(BA1141="121-365 Days",VLOOKUP(D1141,[3]Extended!$B$9:$L$101,11,FALSE),VLOOKUP(D1141,[3]Extended!$B$9:$M$101,12,FALSE)))),0)</f>
        <v>0</v>
      </c>
      <c r="P1141" s="116" t="e">
        <f t="shared" si="86"/>
        <v>#VALUE!</v>
      </c>
      <c r="Q1141" s="110" t="e">
        <f>O1141-#REF!</f>
        <v>#REF!</v>
      </c>
      <c r="W1141" s="311"/>
      <c r="X1141" s="311"/>
      <c r="Y1141" s="311"/>
      <c r="Z1141" s="311"/>
      <c r="AA1141" s="311"/>
      <c r="AB1141" s="311"/>
      <c r="AC1141" s="311"/>
      <c r="AT1141" s="88" t="str">
        <f t="shared" si="87"/>
        <v>Special Order0</v>
      </c>
      <c r="AU1141" s="89" t="str">
        <f t="shared" si="88"/>
        <v>01-1900</v>
      </c>
      <c r="BA1141" s="92" t="str">
        <f t="shared" si="89"/>
        <v/>
      </c>
    </row>
    <row r="1142" spans="2:53">
      <c r="B1142" s="60">
        <f>[2]Trucks!A1139</f>
        <v>0</v>
      </c>
      <c r="C1142" s="11">
        <f>[2]Trucks!B1139</f>
        <v>0</v>
      </c>
      <c r="D1142" s="19" t="str">
        <f>IFERROR(VLOOKUP(C1142&amp;"",'[2]Retail Price List'!$A$3:$B$103,2,FALSE),"Special Order")</f>
        <v>Special Order</v>
      </c>
      <c r="E1142" s="18">
        <f>[2]Trucks!J1139</f>
        <v>0</v>
      </c>
      <c r="F1142" s="12">
        <f>[2]Trucks!E1139</f>
        <v>0</v>
      </c>
      <c r="G1142" s="56">
        <f>[2]Trucks!K1139</f>
        <v>0</v>
      </c>
      <c r="H1142" s="46">
        <f>[2]Trucks!I1139</f>
        <v>0</v>
      </c>
      <c r="I1142" s="83" t="str">
        <f t="shared" si="85"/>
        <v/>
      </c>
      <c r="J1142" s="272" t="str">
        <f>IFERROR(VLOOKUP((D1142&amp;C1142)&amp;"",'[2]Retail Price List'!$C$4:$F$102,3,FALSE),"")</f>
        <v/>
      </c>
      <c r="K1142" s="272">
        <f>IFERROR(IF(BA1142="WIP - 30 Days",VLOOKUP(D1142,[3]Standard!$B$9:$E$101,4,FALSE),IF(BA1142="31-120 Days",VLOOKUP(D1142,[3]Standard!$B$9:$F$101,5,FALSE),IF(BA1142="121-365 Days",VLOOKUP(D1142,[3]Standard!$B$9:$G$101,6,FALSE),VLOOKUP(D1142,[3]Standard!$B$9:$H$101,7,FALSE)))),0)</f>
        <v>0</v>
      </c>
      <c r="L1142" s="272">
        <f>IFERROR(IF(BA1142="WIP - 30 Days",VLOOKUP(D1142,[3]Standard!$B$9:$J$101,9,FALSE),IF(BA1142="31-120 Days",VLOOKUP(D1142,[3]Standard!$B$9:$K$100,10,FALSE),IF(BA1142="121-365 Days",VLOOKUP(D1142,[3]Standard!$B$9:$L$101,11,FALSE),VLOOKUP(D1142,[3]Standard!$B$9:$M$101,12,FALSE)))),0)</f>
        <v>0</v>
      </c>
      <c r="M1142" s="269" t="str">
        <f>IFERROR(VLOOKUP((D1142&amp;C1142)&amp;"",'[2]Retail Price List'!$C$4:$F$102,4,FALSE),"")</f>
        <v/>
      </c>
      <c r="N1142" s="269">
        <f>IFERROR(IF(BA1142="WIP - 30 Days",VLOOKUP(D1142,[3]Extended!$B$9:$E$101,4,FALSE),IF(BA1142="31-120 Days",VLOOKUP(D1142,[3]Extended!$B$9:$F$101,5,FALSE),IF(BA1142="121-365 Days",VLOOKUP(D1142,[3]Extended!$B$9:$G$101,6,FALSE),VLOOKUP(D1142,[3]Extended!$B$9:$H$101,7,FALSE)))),0)</f>
        <v>0</v>
      </c>
      <c r="O1142" s="269">
        <f>IFERROR(IF(BA1142="WIP - 30 Days",VLOOKUP(D1142,[3]Extended!$B$9:$J$101,9,FALSE),IF(BA1142="31-120 Days",VLOOKUP(D1142,[3]Extended!$B$9:$K$101,10,FALSE),IF(BA1142="121-365 Days",VLOOKUP(D1142,[3]Extended!$B$9:$L$101,11,FALSE),VLOOKUP(D1142,[3]Extended!$B$9:$M$101,12,FALSE)))),0)</f>
        <v>0</v>
      </c>
      <c r="P1142" s="116" t="e">
        <f t="shared" si="86"/>
        <v>#VALUE!</v>
      </c>
      <c r="Q1142" s="110" t="e">
        <f>O1142-#REF!</f>
        <v>#REF!</v>
      </c>
      <c r="W1142" s="311"/>
      <c r="X1142" s="311"/>
      <c r="Y1142" s="311"/>
      <c r="Z1142" s="311"/>
      <c r="AA1142" s="311"/>
      <c r="AB1142" s="311"/>
      <c r="AC1142" s="311"/>
      <c r="AT1142" s="88" t="str">
        <f t="shared" si="87"/>
        <v>Special Order0</v>
      </c>
      <c r="AU1142" s="89" t="str">
        <f t="shared" si="88"/>
        <v>01-1900</v>
      </c>
      <c r="BA1142" s="92" t="str">
        <f t="shared" si="89"/>
        <v/>
      </c>
    </row>
    <row r="1143" spans="2:53">
      <c r="B1143" s="60">
        <f>[2]Trucks!A1140</f>
        <v>0</v>
      </c>
      <c r="C1143" s="11">
        <f>[2]Trucks!B1140</f>
        <v>0</v>
      </c>
      <c r="D1143" s="19" t="str">
        <f>IFERROR(VLOOKUP(C1143&amp;"",'[2]Retail Price List'!$A$3:$B$103,2,FALSE),"Special Order")</f>
        <v>Special Order</v>
      </c>
      <c r="E1143" s="18">
        <f>[2]Trucks!J1140</f>
        <v>0</v>
      </c>
      <c r="F1143" s="12">
        <f>[2]Trucks!E1140</f>
        <v>0</v>
      </c>
      <c r="G1143" s="56">
        <f>[2]Trucks!K1140</f>
        <v>0</v>
      </c>
      <c r="H1143" s="46">
        <f>[2]Trucks!I1140</f>
        <v>0</v>
      </c>
      <c r="I1143" s="83" t="str">
        <f t="shared" si="85"/>
        <v/>
      </c>
      <c r="J1143" s="272" t="str">
        <f>IFERROR(VLOOKUP((D1143&amp;C1143)&amp;"",'[2]Retail Price List'!$C$4:$F$102,3,FALSE),"")</f>
        <v/>
      </c>
      <c r="K1143" s="272">
        <f>IFERROR(IF(BA1143="WIP - 30 Days",VLOOKUP(D1143,[3]Standard!$B$9:$E$101,4,FALSE),IF(BA1143="31-120 Days",VLOOKUP(D1143,[3]Standard!$B$9:$F$101,5,FALSE),IF(BA1143="121-365 Days",VLOOKUP(D1143,[3]Standard!$B$9:$G$101,6,FALSE),VLOOKUP(D1143,[3]Standard!$B$9:$H$101,7,FALSE)))),0)</f>
        <v>0</v>
      </c>
      <c r="L1143" s="272">
        <f>IFERROR(IF(BA1143="WIP - 30 Days",VLOOKUP(D1143,[3]Standard!$B$9:$J$101,9,FALSE),IF(BA1143="31-120 Days",VLOOKUP(D1143,[3]Standard!$B$9:$K$100,10,FALSE),IF(BA1143="121-365 Days",VLOOKUP(D1143,[3]Standard!$B$9:$L$101,11,FALSE),VLOOKUP(D1143,[3]Standard!$B$9:$M$101,12,FALSE)))),0)</f>
        <v>0</v>
      </c>
      <c r="M1143" s="269" t="str">
        <f>IFERROR(VLOOKUP((D1143&amp;C1143)&amp;"",'[2]Retail Price List'!$C$4:$F$102,4,FALSE),"")</f>
        <v/>
      </c>
      <c r="N1143" s="269">
        <f>IFERROR(IF(BA1143="WIP - 30 Days",VLOOKUP(D1143,[3]Extended!$B$9:$E$101,4,FALSE),IF(BA1143="31-120 Days",VLOOKUP(D1143,[3]Extended!$B$9:$F$101,5,FALSE),IF(BA1143="121-365 Days",VLOOKUP(D1143,[3]Extended!$B$9:$G$101,6,FALSE),VLOOKUP(D1143,[3]Extended!$B$9:$H$101,7,FALSE)))),0)</f>
        <v>0</v>
      </c>
      <c r="O1143" s="269">
        <f>IFERROR(IF(BA1143="WIP - 30 Days",VLOOKUP(D1143,[3]Extended!$B$9:$J$101,9,FALSE),IF(BA1143="31-120 Days",VLOOKUP(D1143,[3]Extended!$B$9:$K$101,10,FALSE),IF(BA1143="121-365 Days",VLOOKUP(D1143,[3]Extended!$B$9:$L$101,11,FALSE),VLOOKUP(D1143,[3]Extended!$B$9:$M$101,12,FALSE)))),0)</f>
        <v>0</v>
      </c>
      <c r="P1143" s="116" t="e">
        <f t="shared" si="86"/>
        <v>#VALUE!</v>
      </c>
      <c r="Q1143" s="110" t="e">
        <f>O1143-#REF!</f>
        <v>#REF!</v>
      </c>
      <c r="W1143" s="311"/>
      <c r="X1143" s="311"/>
      <c r="Y1143" s="311"/>
      <c r="Z1143" s="311"/>
      <c r="AA1143" s="311"/>
      <c r="AB1143" s="311"/>
      <c r="AC1143" s="311"/>
      <c r="AT1143" s="88" t="str">
        <f t="shared" si="87"/>
        <v>Special Order0</v>
      </c>
      <c r="AU1143" s="89" t="str">
        <f t="shared" si="88"/>
        <v>01-1900</v>
      </c>
      <c r="BA1143" s="92" t="str">
        <f t="shared" si="89"/>
        <v/>
      </c>
    </row>
    <row r="1144" spans="2:53">
      <c r="B1144" s="60">
        <f>[2]Trucks!A1141</f>
        <v>0</v>
      </c>
      <c r="C1144" s="11">
        <f>[2]Trucks!B1141</f>
        <v>0</v>
      </c>
      <c r="D1144" s="19" t="str">
        <f>IFERROR(VLOOKUP(C1144&amp;"",'[2]Retail Price List'!$A$3:$B$103,2,FALSE),"Special Order")</f>
        <v>Special Order</v>
      </c>
      <c r="E1144" s="18">
        <f>[2]Trucks!J1141</f>
        <v>0</v>
      </c>
      <c r="F1144" s="12">
        <f>[2]Trucks!E1141</f>
        <v>0</v>
      </c>
      <c r="G1144" s="56">
        <f>[2]Trucks!K1141</f>
        <v>0</v>
      </c>
      <c r="H1144" s="46">
        <f>[2]Trucks!I1141</f>
        <v>0</v>
      </c>
      <c r="I1144" s="83" t="str">
        <f t="shared" si="85"/>
        <v/>
      </c>
      <c r="J1144" s="272" t="str">
        <f>IFERROR(VLOOKUP((D1144&amp;C1144)&amp;"",'[2]Retail Price List'!$C$4:$F$102,3,FALSE),"")</f>
        <v/>
      </c>
      <c r="K1144" s="272">
        <f>IFERROR(IF(BA1144="WIP - 30 Days",VLOOKUP(D1144,[3]Standard!$B$9:$E$101,4,FALSE),IF(BA1144="31-120 Days",VLOOKUP(D1144,[3]Standard!$B$9:$F$101,5,FALSE),IF(BA1144="121-365 Days",VLOOKUP(D1144,[3]Standard!$B$9:$G$101,6,FALSE),VLOOKUP(D1144,[3]Standard!$B$9:$H$101,7,FALSE)))),0)</f>
        <v>0</v>
      </c>
      <c r="L1144" s="272">
        <f>IFERROR(IF(BA1144="WIP - 30 Days",VLOOKUP(D1144,[3]Standard!$B$9:$J$101,9,FALSE),IF(BA1144="31-120 Days",VLOOKUP(D1144,[3]Standard!$B$9:$K$100,10,FALSE),IF(BA1144="121-365 Days",VLOOKUP(D1144,[3]Standard!$B$9:$L$101,11,FALSE),VLOOKUP(D1144,[3]Standard!$B$9:$M$101,12,FALSE)))),0)</f>
        <v>0</v>
      </c>
      <c r="M1144" s="269" t="str">
        <f>IFERROR(VLOOKUP((D1144&amp;C1144)&amp;"",'[2]Retail Price List'!$C$4:$F$102,4,FALSE),"")</f>
        <v/>
      </c>
      <c r="N1144" s="269">
        <f>IFERROR(IF(BA1144="WIP - 30 Days",VLOOKUP(D1144,[3]Extended!$B$9:$E$101,4,FALSE),IF(BA1144="31-120 Days",VLOOKUP(D1144,[3]Extended!$B$9:$F$101,5,FALSE),IF(BA1144="121-365 Days",VLOOKUP(D1144,[3]Extended!$B$9:$G$101,6,FALSE),VLOOKUP(D1144,[3]Extended!$B$9:$H$101,7,FALSE)))),0)</f>
        <v>0</v>
      </c>
      <c r="O1144" s="269">
        <f>IFERROR(IF(BA1144="WIP - 30 Days",VLOOKUP(D1144,[3]Extended!$B$9:$J$101,9,FALSE),IF(BA1144="31-120 Days",VLOOKUP(D1144,[3]Extended!$B$9:$K$101,10,FALSE),IF(BA1144="121-365 Days",VLOOKUP(D1144,[3]Extended!$B$9:$L$101,11,FALSE),VLOOKUP(D1144,[3]Extended!$B$9:$M$101,12,FALSE)))),0)</f>
        <v>0</v>
      </c>
      <c r="P1144" s="116" t="e">
        <f t="shared" si="86"/>
        <v>#VALUE!</v>
      </c>
      <c r="Q1144" s="110" t="e">
        <f>O1144-#REF!</f>
        <v>#REF!</v>
      </c>
      <c r="W1144" s="311"/>
      <c r="X1144" s="311"/>
      <c r="Y1144" s="311"/>
      <c r="Z1144" s="311"/>
      <c r="AA1144" s="311"/>
      <c r="AB1144" s="311"/>
      <c r="AC1144" s="311"/>
      <c r="AT1144" s="88" t="str">
        <f t="shared" si="87"/>
        <v>Special Order0</v>
      </c>
      <c r="AU1144" s="89" t="str">
        <f t="shared" si="88"/>
        <v>01-1900</v>
      </c>
      <c r="BA1144" s="92" t="str">
        <f t="shared" si="89"/>
        <v/>
      </c>
    </row>
    <row r="1145" spans="2:53">
      <c r="B1145" s="60">
        <f>[2]Trucks!A1142</f>
        <v>0</v>
      </c>
      <c r="C1145" s="11">
        <f>[2]Trucks!B1142</f>
        <v>0</v>
      </c>
      <c r="D1145" s="19" t="str">
        <f>IFERROR(VLOOKUP(C1145&amp;"",'[2]Retail Price List'!$A$3:$B$103,2,FALSE),"Special Order")</f>
        <v>Special Order</v>
      </c>
      <c r="E1145" s="18">
        <f>[2]Trucks!J1142</f>
        <v>0</v>
      </c>
      <c r="F1145" s="12">
        <f>[2]Trucks!E1142</f>
        <v>0</v>
      </c>
      <c r="G1145" s="56">
        <f>[2]Trucks!K1142</f>
        <v>0</v>
      </c>
      <c r="H1145" s="46">
        <f>[2]Trucks!I1142</f>
        <v>0</v>
      </c>
      <c r="I1145" s="83" t="str">
        <f t="shared" si="85"/>
        <v/>
      </c>
      <c r="J1145" s="272" t="str">
        <f>IFERROR(VLOOKUP((D1145&amp;C1145)&amp;"",'[2]Retail Price List'!$C$4:$F$102,3,FALSE),"")</f>
        <v/>
      </c>
      <c r="K1145" s="272">
        <f>IFERROR(IF(BA1145="WIP - 30 Days",VLOOKUP(D1145,[3]Standard!$B$9:$E$101,4,FALSE),IF(BA1145="31-120 Days",VLOOKUP(D1145,[3]Standard!$B$9:$F$101,5,FALSE),IF(BA1145="121-365 Days",VLOOKUP(D1145,[3]Standard!$B$9:$G$101,6,FALSE),VLOOKUP(D1145,[3]Standard!$B$9:$H$101,7,FALSE)))),0)</f>
        <v>0</v>
      </c>
      <c r="L1145" s="272">
        <f>IFERROR(IF(BA1145="WIP - 30 Days",VLOOKUP(D1145,[3]Standard!$B$9:$J$101,9,FALSE),IF(BA1145="31-120 Days",VLOOKUP(D1145,[3]Standard!$B$9:$K$100,10,FALSE),IF(BA1145="121-365 Days",VLOOKUP(D1145,[3]Standard!$B$9:$L$101,11,FALSE),VLOOKUP(D1145,[3]Standard!$B$9:$M$101,12,FALSE)))),0)</f>
        <v>0</v>
      </c>
      <c r="M1145" s="269" t="str">
        <f>IFERROR(VLOOKUP((D1145&amp;C1145)&amp;"",'[2]Retail Price List'!$C$4:$F$102,4,FALSE),"")</f>
        <v/>
      </c>
      <c r="N1145" s="269">
        <f>IFERROR(IF(BA1145="WIP - 30 Days",VLOOKUP(D1145,[3]Extended!$B$9:$E$101,4,FALSE),IF(BA1145="31-120 Days",VLOOKUP(D1145,[3]Extended!$B$9:$F$101,5,FALSE),IF(BA1145="121-365 Days",VLOOKUP(D1145,[3]Extended!$B$9:$G$101,6,FALSE),VLOOKUP(D1145,[3]Extended!$B$9:$H$101,7,FALSE)))),0)</f>
        <v>0</v>
      </c>
      <c r="O1145" s="269">
        <f>IFERROR(IF(BA1145="WIP - 30 Days",VLOOKUP(D1145,[3]Extended!$B$9:$J$101,9,FALSE),IF(BA1145="31-120 Days",VLOOKUP(D1145,[3]Extended!$B$9:$K$101,10,FALSE),IF(BA1145="121-365 Days",VLOOKUP(D1145,[3]Extended!$B$9:$L$101,11,FALSE),VLOOKUP(D1145,[3]Extended!$B$9:$M$101,12,FALSE)))),0)</f>
        <v>0</v>
      </c>
      <c r="P1145" s="116" t="e">
        <f t="shared" si="86"/>
        <v>#VALUE!</v>
      </c>
      <c r="Q1145" s="110" t="e">
        <f>O1145-#REF!</f>
        <v>#REF!</v>
      </c>
      <c r="W1145" s="311"/>
      <c r="X1145" s="311"/>
      <c r="Y1145" s="311"/>
      <c r="Z1145" s="311"/>
      <c r="AA1145" s="311"/>
      <c r="AB1145" s="311"/>
      <c r="AC1145" s="311"/>
      <c r="AT1145" s="88" t="str">
        <f t="shared" si="87"/>
        <v>Special Order0</v>
      </c>
      <c r="AU1145" s="89" t="str">
        <f t="shared" si="88"/>
        <v>01-1900</v>
      </c>
      <c r="BA1145" s="92" t="str">
        <f t="shared" si="89"/>
        <v/>
      </c>
    </row>
    <row r="1146" spans="2:53">
      <c r="B1146" s="60">
        <f>[2]Trucks!A1143</f>
        <v>0</v>
      </c>
      <c r="C1146" s="11">
        <f>[2]Trucks!B1143</f>
        <v>0</v>
      </c>
      <c r="D1146" s="19" t="str">
        <f>IFERROR(VLOOKUP(C1146&amp;"",'[2]Retail Price List'!$A$3:$B$103,2,FALSE),"Special Order")</f>
        <v>Special Order</v>
      </c>
      <c r="E1146" s="18">
        <f>[2]Trucks!J1143</f>
        <v>0</v>
      </c>
      <c r="F1146" s="12">
        <f>[2]Trucks!E1143</f>
        <v>0</v>
      </c>
      <c r="G1146" s="56">
        <f>[2]Trucks!K1143</f>
        <v>0</v>
      </c>
      <c r="H1146" s="46">
        <f>[2]Trucks!I1143</f>
        <v>0</v>
      </c>
      <c r="I1146" s="83" t="str">
        <f t="shared" si="85"/>
        <v/>
      </c>
      <c r="J1146" s="272" t="str">
        <f>IFERROR(VLOOKUP((D1146&amp;C1146)&amp;"",'[2]Retail Price List'!$C$4:$F$102,3,FALSE),"")</f>
        <v/>
      </c>
      <c r="K1146" s="272">
        <f>IFERROR(IF(BA1146="WIP - 30 Days",VLOOKUP(D1146,[3]Standard!$B$9:$E$101,4,FALSE),IF(BA1146="31-120 Days",VLOOKUP(D1146,[3]Standard!$B$9:$F$101,5,FALSE),IF(BA1146="121-365 Days",VLOOKUP(D1146,[3]Standard!$B$9:$G$101,6,FALSE),VLOOKUP(D1146,[3]Standard!$B$9:$H$101,7,FALSE)))),0)</f>
        <v>0</v>
      </c>
      <c r="L1146" s="272">
        <f>IFERROR(IF(BA1146="WIP - 30 Days",VLOOKUP(D1146,[3]Standard!$B$9:$J$101,9,FALSE),IF(BA1146="31-120 Days",VLOOKUP(D1146,[3]Standard!$B$9:$K$100,10,FALSE),IF(BA1146="121-365 Days",VLOOKUP(D1146,[3]Standard!$B$9:$L$101,11,FALSE),VLOOKUP(D1146,[3]Standard!$B$9:$M$101,12,FALSE)))),0)</f>
        <v>0</v>
      </c>
      <c r="M1146" s="269" t="str">
        <f>IFERROR(VLOOKUP((D1146&amp;C1146)&amp;"",'[2]Retail Price List'!$C$4:$F$102,4,FALSE),"")</f>
        <v/>
      </c>
      <c r="N1146" s="269">
        <f>IFERROR(IF(BA1146="WIP - 30 Days",VLOOKUP(D1146,[3]Extended!$B$9:$E$101,4,FALSE),IF(BA1146="31-120 Days",VLOOKUP(D1146,[3]Extended!$B$9:$F$101,5,FALSE),IF(BA1146="121-365 Days",VLOOKUP(D1146,[3]Extended!$B$9:$G$101,6,FALSE),VLOOKUP(D1146,[3]Extended!$B$9:$H$101,7,FALSE)))),0)</f>
        <v>0</v>
      </c>
      <c r="O1146" s="269">
        <f>IFERROR(IF(BA1146="WIP - 30 Days",VLOOKUP(D1146,[3]Extended!$B$9:$J$101,9,FALSE),IF(BA1146="31-120 Days",VLOOKUP(D1146,[3]Extended!$B$9:$K$101,10,FALSE),IF(BA1146="121-365 Days",VLOOKUP(D1146,[3]Extended!$B$9:$L$101,11,FALSE),VLOOKUP(D1146,[3]Extended!$B$9:$M$101,12,FALSE)))),0)</f>
        <v>0</v>
      </c>
      <c r="P1146" s="116" t="e">
        <f t="shared" si="86"/>
        <v>#VALUE!</v>
      </c>
      <c r="Q1146" s="110" t="e">
        <f>O1146-#REF!</f>
        <v>#REF!</v>
      </c>
      <c r="W1146" s="311"/>
      <c r="X1146" s="311"/>
      <c r="Y1146" s="311"/>
      <c r="Z1146" s="311"/>
      <c r="AA1146" s="311"/>
      <c r="AB1146" s="311"/>
      <c r="AC1146" s="311"/>
      <c r="AT1146" s="88" t="str">
        <f t="shared" si="87"/>
        <v>Special Order0</v>
      </c>
      <c r="AU1146" s="89" t="str">
        <f t="shared" si="88"/>
        <v>01-1900</v>
      </c>
      <c r="BA1146" s="92" t="str">
        <f t="shared" si="89"/>
        <v/>
      </c>
    </row>
    <row r="1147" spans="2:53">
      <c r="B1147" s="60">
        <f>[2]Trucks!A1144</f>
        <v>0</v>
      </c>
      <c r="C1147" s="11">
        <f>[2]Trucks!B1144</f>
        <v>0</v>
      </c>
      <c r="D1147" s="19" t="str">
        <f>IFERROR(VLOOKUP(C1147&amp;"",'[2]Retail Price List'!$A$3:$B$103,2,FALSE),"Special Order")</f>
        <v>Special Order</v>
      </c>
      <c r="E1147" s="18">
        <f>[2]Trucks!J1144</f>
        <v>0</v>
      </c>
      <c r="F1147" s="12">
        <f>[2]Trucks!E1144</f>
        <v>0</v>
      </c>
      <c r="G1147" s="56">
        <f>[2]Trucks!K1144</f>
        <v>0</v>
      </c>
      <c r="H1147" s="46">
        <f>[2]Trucks!I1144</f>
        <v>0</v>
      </c>
      <c r="I1147" s="83" t="str">
        <f t="shared" si="85"/>
        <v/>
      </c>
      <c r="J1147" s="272" t="str">
        <f>IFERROR(VLOOKUP((D1147&amp;C1147)&amp;"",'[2]Retail Price List'!$C$4:$F$102,3,FALSE),"")</f>
        <v/>
      </c>
      <c r="K1147" s="272">
        <f>IFERROR(IF(BA1147="WIP - 30 Days",VLOOKUP(D1147,[3]Standard!$B$9:$E$101,4,FALSE),IF(BA1147="31-120 Days",VLOOKUP(D1147,[3]Standard!$B$9:$F$101,5,FALSE),IF(BA1147="121-365 Days",VLOOKUP(D1147,[3]Standard!$B$9:$G$101,6,FALSE),VLOOKUP(D1147,[3]Standard!$B$9:$H$101,7,FALSE)))),0)</f>
        <v>0</v>
      </c>
      <c r="L1147" s="272">
        <f>IFERROR(IF(BA1147="WIP - 30 Days",VLOOKUP(D1147,[3]Standard!$B$9:$J$101,9,FALSE),IF(BA1147="31-120 Days",VLOOKUP(D1147,[3]Standard!$B$9:$K$100,10,FALSE),IF(BA1147="121-365 Days",VLOOKUP(D1147,[3]Standard!$B$9:$L$101,11,FALSE),VLOOKUP(D1147,[3]Standard!$B$9:$M$101,12,FALSE)))),0)</f>
        <v>0</v>
      </c>
      <c r="M1147" s="269" t="str">
        <f>IFERROR(VLOOKUP((D1147&amp;C1147)&amp;"",'[2]Retail Price List'!$C$4:$F$102,4,FALSE),"")</f>
        <v/>
      </c>
      <c r="N1147" s="269">
        <f>IFERROR(IF(BA1147="WIP - 30 Days",VLOOKUP(D1147,[3]Extended!$B$9:$E$101,4,FALSE),IF(BA1147="31-120 Days",VLOOKUP(D1147,[3]Extended!$B$9:$F$101,5,FALSE),IF(BA1147="121-365 Days",VLOOKUP(D1147,[3]Extended!$B$9:$G$101,6,FALSE),VLOOKUP(D1147,[3]Extended!$B$9:$H$101,7,FALSE)))),0)</f>
        <v>0</v>
      </c>
      <c r="O1147" s="269">
        <f>IFERROR(IF(BA1147="WIP - 30 Days",VLOOKUP(D1147,[3]Extended!$B$9:$J$101,9,FALSE),IF(BA1147="31-120 Days",VLOOKUP(D1147,[3]Extended!$B$9:$K$101,10,FALSE),IF(BA1147="121-365 Days",VLOOKUP(D1147,[3]Extended!$B$9:$L$101,11,FALSE),VLOOKUP(D1147,[3]Extended!$B$9:$M$101,12,FALSE)))),0)</f>
        <v>0</v>
      </c>
      <c r="P1147" s="116" t="e">
        <f t="shared" si="86"/>
        <v>#VALUE!</v>
      </c>
      <c r="Q1147" s="110" t="e">
        <f>O1147-#REF!</f>
        <v>#REF!</v>
      </c>
      <c r="W1147" s="311"/>
      <c r="X1147" s="311"/>
      <c r="Y1147" s="311"/>
      <c r="Z1147" s="311"/>
      <c r="AA1147" s="311"/>
      <c r="AB1147" s="311"/>
      <c r="AC1147" s="311"/>
      <c r="AT1147" s="88" t="str">
        <f t="shared" si="87"/>
        <v>Special Order0</v>
      </c>
      <c r="AU1147" s="89" t="str">
        <f t="shared" si="88"/>
        <v>01-1900</v>
      </c>
      <c r="BA1147" s="92" t="str">
        <f t="shared" si="89"/>
        <v/>
      </c>
    </row>
    <row r="1148" spans="2:53">
      <c r="B1148" s="60">
        <f>[2]Trucks!A1145</f>
        <v>0</v>
      </c>
      <c r="C1148" s="11">
        <f>[2]Trucks!B1145</f>
        <v>0</v>
      </c>
      <c r="D1148" s="19" t="str">
        <f>IFERROR(VLOOKUP(C1148&amp;"",'[2]Retail Price List'!$A$3:$B$103,2,FALSE),"Special Order")</f>
        <v>Special Order</v>
      </c>
      <c r="E1148" s="18">
        <f>[2]Trucks!J1145</f>
        <v>0</v>
      </c>
      <c r="F1148" s="12">
        <f>[2]Trucks!E1145</f>
        <v>0</v>
      </c>
      <c r="G1148" s="56">
        <f>[2]Trucks!K1145</f>
        <v>0</v>
      </c>
      <c r="H1148" s="46">
        <f>[2]Trucks!I1145</f>
        <v>0</v>
      </c>
      <c r="I1148" s="83" t="str">
        <f t="shared" si="85"/>
        <v/>
      </c>
      <c r="J1148" s="272" t="str">
        <f>IFERROR(VLOOKUP((D1148&amp;C1148)&amp;"",'[2]Retail Price List'!$C$4:$F$102,3,FALSE),"")</f>
        <v/>
      </c>
      <c r="K1148" s="272">
        <f>IFERROR(IF(BA1148="WIP - 30 Days",VLOOKUP(D1148,[3]Standard!$B$9:$E$101,4,FALSE),IF(BA1148="31-120 Days",VLOOKUP(D1148,[3]Standard!$B$9:$F$101,5,FALSE),IF(BA1148="121-365 Days",VLOOKUP(D1148,[3]Standard!$B$9:$G$101,6,FALSE),VLOOKUP(D1148,[3]Standard!$B$9:$H$101,7,FALSE)))),0)</f>
        <v>0</v>
      </c>
      <c r="L1148" s="272">
        <f>IFERROR(IF(BA1148="WIP - 30 Days",VLOOKUP(D1148,[3]Standard!$B$9:$J$101,9,FALSE),IF(BA1148="31-120 Days",VLOOKUP(D1148,[3]Standard!$B$9:$K$100,10,FALSE),IF(BA1148="121-365 Days",VLOOKUP(D1148,[3]Standard!$B$9:$L$101,11,FALSE),VLOOKUP(D1148,[3]Standard!$B$9:$M$101,12,FALSE)))),0)</f>
        <v>0</v>
      </c>
      <c r="M1148" s="269" t="str">
        <f>IFERROR(VLOOKUP((D1148&amp;C1148)&amp;"",'[2]Retail Price List'!$C$4:$F$102,4,FALSE),"")</f>
        <v/>
      </c>
      <c r="N1148" s="269">
        <f>IFERROR(IF(BA1148="WIP - 30 Days",VLOOKUP(D1148,[3]Extended!$B$9:$E$101,4,FALSE),IF(BA1148="31-120 Days",VLOOKUP(D1148,[3]Extended!$B$9:$F$101,5,FALSE),IF(BA1148="121-365 Days",VLOOKUP(D1148,[3]Extended!$B$9:$G$101,6,FALSE),VLOOKUP(D1148,[3]Extended!$B$9:$H$101,7,FALSE)))),0)</f>
        <v>0</v>
      </c>
      <c r="O1148" s="269">
        <f>IFERROR(IF(BA1148="WIP - 30 Days",VLOOKUP(D1148,[3]Extended!$B$9:$J$101,9,FALSE),IF(BA1148="31-120 Days",VLOOKUP(D1148,[3]Extended!$B$9:$K$101,10,FALSE),IF(BA1148="121-365 Days",VLOOKUP(D1148,[3]Extended!$B$9:$L$101,11,FALSE),VLOOKUP(D1148,[3]Extended!$B$9:$M$101,12,FALSE)))),0)</f>
        <v>0</v>
      </c>
      <c r="P1148" s="116" t="e">
        <f t="shared" si="86"/>
        <v>#VALUE!</v>
      </c>
      <c r="Q1148" s="110" t="e">
        <f>O1148-#REF!</f>
        <v>#REF!</v>
      </c>
      <c r="W1148" s="311"/>
      <c r="X1148" s="311"/>
      <c r="Y1148" s="311"/>
      <c r="Z1148" s="311"/>
      <c r="AA1148" s="311"/>
      <c r="AB1148" s="311"/>
      <c r="AC1148" s="311"/>
      <c r="AT1148" s="88" t="str">
        <f t="shared" si="87"/>
        <v>Special Order0</v>
      </c>
      <c r="AU1148" s="89" t="str">
        <f t="shared" si="88"/>
        <v>01-1900</v>
      </c>
      <c r="BA1148" s="92" t="str">
        <f t="shared" si="89"/>
        <v/>
      </c>
    </row>
    <row r="1149" spans="2:53">
      <c r="B1149" s="60">
        <f>[2]Trucks!A1146</f>
        <v>0</v>
      </c>
      <c r="C1149" s="11">
        <f>[2]Trucks!B1146</f>
        <v>0</v>
      </c>
      <c r="D1149" s="19" t="str">
        <f>IFERROR(VLOOKUP(C1149&amp;"",'[2]Retail Price List'!$A$3:$B$103,2,FALSE),"Special Order")</f>
        <v>Special Order</v>
      </c>
      <c r="E1149" s="18">
        <f>[2]Trucks!J1146</f>
        <v>0</v>
      </c>
      <c r="F1149" s="12">
        <f>[2]Trucks!E1146</f>
        <v>0</v>
      </c>
      <c r="G1149" s="56">
        <f>[2]Trucks!K1146</f>
        <v>0</v>
      </c>
      <c r="H1149" s="46">
        <f>[2]Trucks!I1146</f>
        <v>0</v>
      </c>
      <c r="I1149" s="83" t="str">
        <f t="shared" si="85"/>
        <v/>
      </c>
      <c r="J1149" s="272" t="str">
        <f>IFERROR(VLOOKUP((D1149&amp;C1149)&amp;"",'[2]Retail Price List'!$C$4:$F$102,3,FALSE),"")</f>
        <v/>
      </c>
      <c r="K1149" s="272">
        <f>IFERROR(IF(BA1149="WIP - 30 Days",VLOOKUP(D1149,[3]Standard!$B$9:$E$101,4,FALSE),IF(BA1149="31-120 Days",VLOOKUP(D1149,[3]Standard!$B$9:$F$101,5,FALSE),IF(BA1149="121-365 Days",VLOOKUP(D1149,[3]Standard!$B$9:$G$101,6,FALSE),VLOOKUP(D1149,[3]Standard!$B$9:$H$101,7,FALSE)))),0)</f>
        <v>0</v>
      </c>
      <c r="L1149" s="272">
        <f>IFERROR(IF(BA1149="WIP - 30 Days",VLOOKUP(D1149,[3]Standard!$B$9:$J$101,9,FALSE),IF(BA1149="31-120 Days",VLOOKUP(D1149,[3]Standard!$B$9:$K$100,10,FALSE),IF(BA1149="121-365 Days",VLOOKUP(D1149,[3]Standard!$B$9:$L$101,11,FALSE),VLOOKUP(D1149,[3]Standard!$B$9:$M$101,12,FALSE)))),0)</f>
        <v>0</v>
      </c>
      <c r="M1149" s="269" t="str">
        <f>IFERROR(VLOOKUP((D1149&amp;C1149)&amp;"",'[2]Retail Price List'!$C$4:$F$102,4,FALSE),"")</f>
        <v/>
      </c>
      <c r="N1149" s="269">
        <f>IFERROR(IF(BA1149="WIP - 30 Days",VLOOKUP(D1149,[3]Extended!$B$9:$E$101,4,FALSE),IF(BA1149="31-120 Days",VLOOKUP(D1149,[3]Extended!$B$9:$F$101,5,FALSE),IF(BA1149="121-365 Days",VLOOKUP(D1149,[3]Extended!$B$9:$G$101,6,FALSE),VLOOKUP(D1149,[3]Extended!$B$9:$H$101,7,FALSE)))),0)</f>
        <v>0</v>
      </c>
      <c r="O1149" s="269">
        <f>IFERROR(IF(BA1149="WIP - 30 Days",VLOOKUP(D1149,[3]Extended!$B$9:$J$101,9,FALSE),IF(BA1149="31-120 Days",VLOOKUP(D1149,[3]Extended!$B$9:$K$101,10,FALSE),IF(BA1149="121-365 Days",VLOOKUP(D1149,[3]Extended!$B$9:$L$101,11,FALSE),VLOOKUP(D1149,[3]Extended!$B$9:$M$101,12,FALSE)))),0)</f>
        <v>0</v>
      </c>
      <c r="P1149" s="116" t="e">
        <f t="shared" si="86"/>
        <v>#VALUE!</v>
      </c>
      <c r="Q1149" s="110" t="e">
        <f>O1149-#REF!</f>
        <v>#REF!</v>
      </c>
      <c r="W1149" s="311"/>
      <c r="X1149" s="311"/>
      <c r="Y1149" s="311"/>
      <c r="Z1149" s="311"/>
      <c r="AA1149" s="311"/>
      <c r="AB1149" s="311"/>
      <c r="AC1149" s="311"/>
      <c r="AT1149" s="88" t="str">
        <f t="shared" si="87"/>
        <v>Special Order0</v>
      </c>
      <c r="AU1149" s="89" t="str">
        <f t="shared" si="88"/>
        <v>01-1900</v>
      </c>
      <c r="BA1149" s="92" t="str">
        <f t="shared" si="89"/>
        <v/>
      </c>
    </row>
    <row r="1150" spans="2:53">
      <c r="B1150" s="60">
        <f>[2]Trucks!A1147</f>
        <v>0</v>
      </c>
      <c r="C1150" s="11">
        <f>[2]Trucks!B1147</f>
        <v>0</v>
      </c>
      <c r="D1150" s="19" t="str">
        <f>IFERROR(VLOOKUP(C1150&amp;"",'[2]Retail Price List'!$A$3:$B$103,2,FALSE),"Special Order")</f>
        <v>Special Order</v>
      </c>
      <c r="E1150" s="18">
        <f>[2]Trucks!J1147</f>
        <v>0</v>
      </c>
      <c r="F1150" s="12">
        <f>[2]Trucks!E1147</f>
        <v>0</v>
      </c>
      <c r="G1150" s="56">
        <f>[2]Trucks!K1147</f>
        <v>0</v>
      </c>
      <c r="H1150" s="46">
        <f>[2]Trucks!I1147</f>
        <v>0</v>
      </c>
      <c r="I1150" s="83" t="str">
        <f t="shared" si="85"/>
        <v/>
      </c>
      <c r="J1150" s="272" t="str">
        <f>IFERROR(VLOOKUP((D1150&amp;C1150)&amp;"",'[2]Retail Price List'!$C$4:$F$102,3,FALSE),"")</f>
        <v/>
      </c>
      <c r="K1150" s="272">
        <f>IFERROR(IF(BA1150="WIP - 30 Days",VLOOKUP(D1150,[3]Standard!$B$9:$E$101,4,FALSE),IF(BA1150="31-120 Days",VLOOKUP(D1150,[3]Standard!$B$9:$F$101,5,FALSE),IF(BA1150="121-365 Days",VLOOKUP(D1150,[3]Standard!$B$9:$G$101,6,FALSE),VLOOKUP(D1150,[3]Standard!$B$9:$H$101,7,FALSE)))),0)</f>
        <v>0</v>
      </c>
      <c r="L1150" s="272">
        <f>IFERROR(IF(BA1150="WIP - 30 Days",VLOOKUP(D1150,[3]Standard!$B$9:$J$101,9,FALSE),IF(BA1150="31-120 Days",VLOOKUP(D1150,[3]Standard!$B$9:$K$100,10,FALSE),IF(BA1150="121-365 Days",VLOOKUP(D1150,[3]Standard!$B$9:$L$101,11,FALSE),VLOOKUP(D1150,[3]Standard!$B$9:$M$101,12,FALSE)))),0)</f>
        <v>0</v>
      </c>
      <c r="M1150" s="269" t="str">
        <f>IFERROR(VLOOKUP((D1150&amp;C1150)&amp;"",'[2]Retail Price List'!$C$4:$F$102,4,FALSE),"")</f>
        <v/>
      </c>
      <c r="N1150" s="269">
        <f>IFERROR(IF(BA1150="WIP - 30 Days",VLOOKUP(D1150,[3]Extended!$B$9:$E$101,4,FALSE),IF(BA1150="31-120 Days",VLOOKUP(D1150,[3]Extended!$B$9:$F$101,5,FALSE),IF(BA1150="121-365 Days",VLOOKUP(D1150,[3]Extended!$B$9:$G$101,6,FALSE),VLOOKUP(D1150,[3]Extended!$B$9:$H$101,7,FALSE)))),0)</f>
        <v>0</v>
      </c>
      <c r="O1150" s="269">
        <f>IFERROR(IF(BA1150="WIP - 30 Days",VLOOKUP(D1150,[3]Extended!$B$9:$J$101,9,FALSE),IF(BA1150="31-120 Days",VLOOKUP(D1150,[3]Extended!$B$9:$K$101,10,FALSE),IF(BA1150="121-365 Days",VLOOKUP(D1150,[3]Extended!$B$9:$L$101,11,FALSE),VLOOKUP(D1150,[3]Extended!$B$9:$M$101,12,FALSE)))),0)</f>
        <v>0</v>
      </c>
      <c r="P1150" s="116" t="e">
        <f t="shared" si="86"/>
        <v>#VALUE!</v>
      </c>
      <c r="Q1150" s="110" t="e">
        <f>O1150-#REF!</f>
        <v>#REF!</v>
      </c>
      <c r="W1150" s="311"/>
      <c r="X1150" s="311"/>
      <c r="Y1150" s="311"/>
      <c r="Z1150" s="311"/>
      <c r="AA1150" s="311"/>
      <c r="AB1150" s="311"/>
      <c r="AC1150" s="311"/>
      <c r="AT1150" s="88" t="str">
        <f t="shared" si="87"/>
        <v>Special Order0</v>
      </c>
      <c r="AU1150" s="89" t="str">
        <f t="shared" si="88"/>
        <v>01-1900</v>
      </c>
      <c r="BA1150" s="92" t="str">
        <f t="shared" si="89"/>
        <v/>
      </c>
    </row>
    <row r="1151" spans="2:53">
      <c r="B1151" s="60">
        <f>[2]Trucks!A1148</f>
        <v>0</v>
      </c>
      <c r="C1151" s="11">
        <f>[2]Trucks!B1148</f>
        <v>0</v>
      </c>
      <c r="D1151" s="19" t="str">
        <f>IFERROR(VLOOKUP(C1151&amp;"",'[2]Retail Price List'!$A$3:$B$103,2,FALSE),"Special Order")</f>
        <v>Special Order</v>
      </c>
      <c r="E1151" s="18">
        <f>[2]Trucks!J1148</f>
        <v>0</v>
      </c>
      <c r="F1151" s="12">
        <f>[2]Trucks!E1148</f>
        <v>0</v>
      </c>
      <c r="G1151" s="56">
        <f>[2]Trucks!K1148</f>
        <v>0</v>
      </c>
      <c r="H1151" s="46">
        <f>[2]Trucks!I1148</f>
        <v>0</v>
      </c>
      <c r="I1151" s="83" t="str">
        <f t="shared" si="85"/>
        <v/>
      </c>
      <c r="J1151" s="272" t="str">
        <f>IFERROR(VLOOKUP((D1151&amp;C1151)&amp;"",'[2]Retail Price List'!$C$4:$F$102,3,FALSE),"")</f>
        <v/>
      </c>
      <c r="K1151" s="272">
        <f>IFERROR(IF(BA1151="WIP - 30 Days",VLOOKUP(D1151,[3]Standard!$B$9:$E$101,4,FALSE),IF(BA1151="31-120 Days",VLOOKUP(D1151,[3]Standard!$B$9:$F$101,5,FALSE),IF(BA1151="121-365 Days",VLOOKUP(D1151,[3]Standard!$B$9:$G$101,6,FALSE),VLOOKUP(D1151,[3]Standard!$B$9:$H$101,7,FALSE)))),0)</f>
        <v>0</v>
      </c>
      <c r="L1151" s="272">
        <f>IFERROR(IF(BA1151="WIP - 30 Days",VLOOKUP(D1151,[3]Standard!$B$9:$J$101,9,FALSE),IF(BA1151="31-120 Days",VLOOKUP(D1151,[3]Standard!$B$9:$K$100,10,FALSE),IF(BA1151="121-365 Days",VLOOKUP(D1151,[3]Standard!$B$9:$L$101,11,FALSE),VLOOKUP(D1151,[3]Standard!$B$9:$M$101,12,FALSE)))),0)</f>
        <v>0</v>
      </c>
      <c r="M1151" s="269" t="str">
        <f>IFERROR(VLOOKUP((D1151&amp;C1151)&amp;"",'[2]Retail Price List'!$C$4:$F$102,4,FALSE),"")</f>
        <v/>
      </c>
      <c r="N1151" s="269">
        <f>IFERROR(IF(BA1151="WIP - 30 Days",VLOOKUP(D1151,[3]Extended!$B$9:$E$101,4,FALSE),IF(BA1151="31-120 Days",VLOOKUP(D1151,[3]Extended!$B$9:$F$101,5,FALSE),IF(BA1151="121-365 Days",VLOOKUP(D1151,[3]Extended!$B$9:$G$101,6,FALSE),VLOOKUP(D1151,[3]Extended!$B$9:$H$101,7,FALSE)))),0)</f>
        <v>0</v>
      </c>
      <c r="O1151" s="269">
        <f>IFERROR(IF(BA1151="WIP - 30 Days",VLOOKUP(D1151,[3]Extended!$B$9:$J$101,9,FALSE),IF(BA1151="31-120 Days",VLOOKUP(D1151,[3]Extended!$B$9:$K$101,10,FALSE),IF(BA1151="121-365 Days",VLOOKUP(D1151,[3]Extended!$B$9:$L$101,11,FALSE),VLOOKUP(D1151,[3]Extended!$B$9:$M$101,12,FALSE)))),0)</f>
        <v>0</v>
      </c>
      <c r="P1151" s="116" t="e">
        <f t="shared" si="86"/>
        <v>#VALUE!</v>
      </c>
      <c r="Q1151" s="110" t="e">
        <f>O1151-#REF!</f>
        <v>#REF!</v>
      </c>
      <c r="W1151" s="311"/>
      <c r="X1151" s="311"/>
      <c r="Y1151" s="311"/>
      <c r="Z1151" s="311"/>
      <c r="AA1151" s="311"/>
      <c r="AB1151" s="311"/>
      <c r="AC1151" s="311"/>
      <c r="AT1151" s="88" t="str">
        <f t="shared" si="87"/>
        <v>Special Order0</v>
      </c>
      <c r="AU1151" s="89" t="str">
        <f t="shared" si="88"/>
        <v>01-1900</v>
      </c>
      <c r="BA1151" s="92" t="str">
        <f t="shared" si="89"/>
        <v/>
      </c>
    </row>
    <row r="1152" spans="2:53">
      <c r="B1152" s="60">
        <f>[2]Trucks!A1149</f>
        <v>0</v>
      </c>
      <c r="C1152" s="11">
        <f>[2]Trucks!B1149</f>
        <v>0</v>
      </c>
      <c r="D1152" s="19" t="str">
        <f>IFERROR(VLOOKUP(C1152&amp;"",'[2]Retail Price List'!$A$3:$B$103,2,FALSE),"Special Order")</f>
        <v>Special Order</v>
      </c>
      <c r="E1152" s="18">
        <f>[2]Trucks!J1149</f>
        <v>0</v>
      </c>
      <c r="F1152" s="12">
        <f>[2]Trucks!E1149</f>
        <v>0</v>
      </c>
      <c r="G1152" s="56">
        <f>[2]Trucks!K1149</f>
        <v>0</v>
      </c>
      <c r="H1152" s="46">
        <f>[2]Trucks!I1149</f>
        <v>0</v>
      </c>
      <c r="I1152" s="83" t="str">
        <f t="shared" si="85"/>
        <v/>
      </c>
      <c r="J1152" s="272" t="str">
        <f>IFERROR(VLOOKUP((D1152&amp;C1152)&amp;"",'[2]Retail Price List'!$C$4:$F$102,3,FALSE),"")</f>
        <v/>
      </c>
      <c r="K1152" s="272">
        <f>IFERROR(IF(BA1152="WIP - 30 Days",VLOOKUP(D1152,[3]Standard!$B$9:$E$101,4,FALSE),IF(BA1152="31-120 Days",VLOOKUP(D1152,[3]Standard!$B$9:$F$101,5,FALSE),IF(BA1152="121-365 Days",VLOOKUP(D1152,[3]Standard!$B$9:$G$101,6,FALSE),VLOOKUP(D1152,[3]Standard!$B$9:$H$101,7,FALSE)))),0)</f>
        <v>0</v>
      </c>
      <c r="L1152" s="272">
        <f>IFERROR(IF(BA1152="WIP - 30 Days",VLOOKUP(D1152,[3]Standard!$B$9:$J$101,9,FALSE),IF(BA1152="31-120 Days",VLOOKUP(D1152,[3]Standard!$B$9:$K$100,10,FALSE),IF(BA1152="121-365 Days",VLOOKUP(D1152,[3]Standard!$B$9:$L$101,11,FALSE),VLOOKUP(D1152,[3]Standard!$B$9:$M$101,12,FALSE)))),0)</f>
        <v>0</v>
      </c>
      <c r="M1152" s="269" t="str">
        <f>IFERROR(VLOOKUP((D1152&amp;C1152)&amp;"",'[2]Retail Price List'!$C$4:$F$102,4,FALSE),"")</f>
        <v/>
      </c>
      <c r="N1152" s="269">
        <f>IFERROR(IF(BA1152="WIP - 30 Days",VLOOKUP(D1152,[3]Extended!$B$9:$E$101,4,FALSE),IF(BA1152="31-120 Days",VLOOKUP(D1152,[3]Extended!$B$9:$F$101,5,FALSE),IF(BA1152="121-365 Days",VLOOKUP(D1152,[3]Extended!$B$9:$G$101,6,FALSE),VLOOKUP(D1152,[3]Extended!$B$9:$H$101,7,FALSE)))),0)</f>
        <v>0</v>
      </c>
      <c r="O1152" s="269">
        <f>IFERROR(IF(BA1152="WIP - 30 Days",VLOOKUP(D1152,[3]Extended!$B$9:$J$101,9,FALSE),IF(BA1152="31-120 Days",VLOOKUP(D1152,[3]Extended!$B$9:$K$101,10,FALSE),IF(BA1152="121-365 Days",VLOOKUP(D1152,[3]Extended!$B$9:$L$101,11,FALSE),VLOOKUP(D1152,[3]Extended!$B$9:$M$101,12,FALSE)))),0)</f>
        <v>0</v>
      </c>
      <c r="P1152" s="116" t="e">
        <f t="shared" si="86"/>
        <v>#VALUE!</v>
      </c>
      <c r="Q1152" s="110" t="e">
        <f>O1152-#REF!</f>
        <v>#REF!</v>
      </c>
      <c r="W1152" s="311"/>
      <c r="X1152" s="311"/>
      <c r="Y1152" s="311"/>
      <c r="Z1152" s="311"/>
      <c r="AA1152" s="311"/>
      <c r="AB1152" s="311"/>
      <c r="AC1152" s="311"/>
      <c r="AT1152" s="88" t="str">
        <f t="shared" si="87"/>
        <v>Special Order0</v>
      </c>
      <c r="AU1152" s="89" t="str">
        <f t="shared" si="88"/>
        <v>01-1900</v>
      </c>
      <c r="BA1152" s="92" t="str">
        <f t="shared" si="89"/>
        <v/>
      </c>
    </row>
    <row r="1153" spans="2:53">
      <c r="B1153" s="60">
        <f>[2]Trucks!A1150</f>
        <v>0</v>
      </c>
      <c r="C1153" s="11">
        <f>[2]Trucks!B1150</f>
        <v>0</v>
      </c>
      <c r="D1153" s="19" t="str">
        <f>IFERROR(VLOOKUP(C1153&amp;"",'[2]Retail Price List'!$A$3:$B$103,2,FALSE),"Special Order")</f>
        <v>Special Order</v>
      </c>
      <c r="E1153" s="18">
        <f>[2]Trucks!J1150</f>
        <v>0</v>
      </c>
      <c r="F1153" s="12">
        <f>[2]Trucks!E1150</f>
        <v>0</v>
      </c>
      <c r="G1153" s="56">
        <f>[2]Trucks!K1150</f>
        <v>0</v>
      </c>
      <c r="H1153" s="46">
        <f>[2]Trucks!I1150</f>
        <v>0</v>
      </c>
      <c r="I1153" s="83" t="str">
        <f t="shared" si="85"/>
        <v/>
      </c>
      <c r="J1153" s="272" t="str">
        <f>IFERROR(VLOOKUP((D1153&amp;C1153)&amp;"",'[2]Retail Price List'!$C$4:$F$102,3,FALSE),"")</f>
        <v/>
      </c>
      <c r="K1153" s="272">
        <f>IFERROR(IF(BA1153="WIP - 30 Days",VLOOKUP(D1153,[3]Standard!$B$9:$E$101,4,FALSE),IF(BA1153="31-120 Days",VLOOKUP(D1153,[3]Standard!$B$9:$F$101,5,FALSE),IF(BA1153="121-365 Days",VLOOKUP(D1153,[3]Standard!$B$9:$G$101,6,FALSE),VLOOKUP(D1153,[3]Standard!$B$9:$H$101,7,FALSE)))),0)</f>
        <v>0</v>
      </c>
      <c r="L1153" s="272">
        <f>IFERROR(IF(BA1153="WIP - 30 Days",VLOOKUP(D1153,[3]Standard!$B$9:$J$101,9,FALSE),IF(BA1153="31-120 Days",VLOOKUP(D1153,[3]Standard!$B$9:$K$100,10,FALSE),IF(BA1153="121-365 Days",VLOOKUP(D1153,[3]Standard!$B$9:$L$101,11,FALSE),VLOOKUP(D1153,[3]Standard!$B$9:$M$101,12,FALSE)))),0)</f>
        <v>0</v>
      </c>
      <c r="M1153" s="269" t="str">
        <f>IFERROR(VLOOKUP((D1153&amp;C1153)&amp;"",'[2]Retail Price List'!$C$4:$F$102,4,FALSE),"")</f>
        <v/>
      </c>
      <c r="N1153" s="269">
        <f>IFERROR(IF(BA1153="WIP - 30 Days",VLOOKUP(D1153,[3]Extended!$B$9:$E$101,4,FALSE),IF(BA1153="31-120 Days",VLOOKUP(D1153,[3]Extended!$B$9:$F$101,5,FALSE),IF(BA1153="121-365 Days",VLOOKUP(D1153,[3]Extended!$B$9:$G$101,6,FALSE),VLOOKUP(D1153,[3]Extended!$B$9:$H$101,7,FALSE)))),0)</f>
        <v>0</v>
      </c>
      <c r="O1153" s="269">
        <f>IFERROR(IF(BA1153="WIP - 30 Days",VLOOKUP(D1153,[3]Extended!$B$9:$J$101,9,FALSE),IF(BA1153="31-120 Days",VLOOKUP(D1153,[3]Extended!$B$9:$K$101,10,FALSE),IF(BA1153="121-365 Days",VLOOKUP(D1153,[3]Extended!$B$9:$L$101,11,FALSE),VLOOKUP(D1153,[3]Extended!$B$9:$M$101,12,FALSE)))),0)</f>
        <v>0</v>
      </c>
      <c r="P1153" s="116" t="e">
        <f t="shared" si="86"/>
        <v>#VALUE!</v>
      </c>
      <c r="Q1153" s="110" t="e">
        <f>O1153-#REF!</f>
        <v>#REF!</v>
      </c>
      <c r="W1153" s="311"/>
      <c r="X1153" s="311"/>
      <c r="Y1153" s="311"/>
      <c r="Z1153" s="311"/>
      <c r="AA1153" s="311"/>
      <c r="AB1153" s="311"/>
      <c r="AC1153" s="311"/>
      <c r="AT1153" s="88" t="str">
        <f t="shared" si="87"/>
        <v>Special Order0</v>
      </c>
      <c r="AU1153" s="89" t="str">
        <f t="shared" si="88"/>
        <v>01-1900</v>
      </c>
      <c r="BA1153" s="92" t="str">
        <f t="shared" si="89"/>
        <v/>
      </c>
    </row>
    <row r="1154" spans="2:53">
      <c r="B1154" s="60">
        <f>[2]Trucks!A1151</f>
        <v>0</v>
      </c>
      <c r="C1154" s="11">
        <f>[2]Trucks!B1151</f>
        <v>0</v>
      </c>
      <c r="D1154" s="19" t="str">
        <f>IFERROR(VLOOKUP(C1154&amp;"",'[2]Retail Price List'!$A$3:$B$103,2,FALSE),"Special Order")</f>
        <v>Special Order</v>
      </c>
      <c r="E1154" s="18">
        <f>[2]Trucks!J1151</f>
        <v>0</v>
      </c>
      <c r="F1154" s="12">
        <f>[2]Trucks!E1151</f>
        <v>0</v>
      </c>
      <c r="G1154" s="56">
        <f>[2]Trucks!K1151</f>
        <v>0</v>
      </c>
      <c r="H1154" s="46">
        <f>[2]Trucks!I1151</f>
        <v>0</v>
      </c>
      <c r="I1154" s="83" t="str">
        <f t="shared" si="85"/>
        <v/>
      </c>
      <c r="J1154" s="272" t="str">
        <f>IFERROR(VLOOKUP((D1154&amp;C1154)&amp;"",'[2]Retail Price List'!$C$4:$F$102,3,FALSE),"")</f>
        <v/>
      </c>
      <c r="K1154" s="272">
        <f>IFERROR(IF(BA1154="WIP - 30 Days",VLOOKUP(D1154,[3]Standard!$B$9:$E$101,4,FALSE),IF(BA1154="31-120 Days",VLOOKUP(D1154,[3]Standard!$B$9:$F$101,5,FALSE),IF(BA1154="121-365 Days",VLOOKUP(D1154,[3]Standard!$B$9:$G$101,6,FALSE),VLOOKUP(D1154,[3]Standard!$B$9:$H$101,7,FALSE)))),0)</f>
        <v>0</v>
      </c>
      <c r="L1154" s="272">
        <f>IFERROR(IF(BA1154="WIP - 30 Days",VLOOKUP(D1154,[3]Standard!$B$9:$J$101,9,FALSE),IF(BA1154="31-120 Days",VLOOKUP(D1154,[3]Standard!$B$9:$K$100,10,FALSE),IF(BA1154="121-365 Days",VLOOKUP(D1154,[3]Standard!$B$9:$L$101,11,FALSE),VLOOKUP(D1154,[3]Standard!$B$9:$M$101,12,FALSE)))),0)</f>
        <v>0</v>
      </c>
      <c r="M1154" s="269" t="str">
        <f>IFERROR(VLOOKUP((D1154&amp;C1154)&amp;"",'[2]Retail Price List'!$C$4:$F$102,4,FALSE),"")</f>
        <v/>
      </c>
      <c r="N1154" s="269">
        <f>IFERROR(IF(BA1154="WIP - 30 Days",VLOOKUP(D1154,[3]Extended!$B$9:$E$101,4,FALSE),IF(BA1154="31-120 Days",VLOOKUP(D1154,[3]Extended!$B$9:$F$101,5,FALSE),IF(BA1154="121-365 Days",VLOOKUP(D1154,[3]Extended!$B$9:$G$101,6,FALSE),VLOOKUP(D1154,[3]Extended!$B$9:$H$101,7,FALSE)))),0)</f>
        <v>0</v>
      </c>
      <c r="O1154" s="269">
        <f>IFERROR(IF(BA1154="WIP - 30 Days",VLOOKUP(D1154,[3]Extended!$B$9:$J$101,9,FALSE),IF(BA1154="31-120 Days",VLOOKUP(D1154,[3]Extended!$B$9:$K$101,10,FALSE),IF(BA1154="121-365 Days",VLOOKUP(D1154,[3]Extended!$B$9:$L$101,11,FALSE),VLOOKUP(D1154,[3]Extended!$B$9:$M$101,12,FALSE)))),0)</f>
        <v>0</v>
      </c>
      <c r="P1154" s="116" t="e">
        <f t="shared" si="86"/>
        <v>#VALUE!</v>
      </c>
      <c r="Q1154" s="110" t="e">
        <f>O1154-#REF!</f>
        <v>#REF!</v>
      </c>
      <c r="W1154" s="311"/>
      <c r="X1154" s="311"/>
      <c r="Y1154" s="311"/>
      <c r="Z1154" s="311"/>
      <c r="AA1154" s="311"/>
      <c r="AB1154" s="311"/>
      <c r="AC1154" s="311"/>
      <c r="AT1154" s="88" t="str">
        <f t="shared" si="87"/>
        <v>Special Order0</v>
      </c>
      <c r="AU1154" s="89" t="str">
        <f t="shared" si="88"/>
        <v>01-1900</v>
      </c>
      <c r="BA1154" s="92" t="str">
        <f t="shared" si="89"/>
        <v/>
      </c>
    </row>
    <row r="1155" spans="2:53">
      <c r="B1155" s="60">
        <f>[2]Trucks!A1152</f>
        <v>0</v>
      </c>
      <c r="C1155" s="11">
        <f>[2]Trucks!B1152</f>
        <v>0</v>
      </c>
      <c r="D1155" s="19" t="str">
        <f>IFERROR(VLOOKUP(C1155&amp;"",'[2]Retail Price List'!$A$3:$B$103,2,FALSE),"Special Order")</f>
        <v>Special Order</v>
      </c>
      <c r="E1155" s="18">
        <f>[2]Trucks!J1152</f>
        <v>0</v>
      </c>
      <c r="F1155" s="12">
        <f>[2]Trucks!E1152</f>
        <v>0</v>
      </c>
      <c r="G1155" s="56">
        <f>[2]Trucks!K1152</f>
        <v>0</v>
      </c>
      <c r="H1155" s="46">
        <f>[2]Trucks!I1152</f>
        <v>0</v>
      </c>
      <c r="I1155" s="83" t="str">
        <f t="shared" si="85"/>
        <v/>
      </c>
      <c r="J1155" s="272" t="str">
        <f>IFERROR(VLOOKUP((D1155&amp;C1155)&amp;"",'[2]Retail Price List'!$C$4:$F$102,3,FALSE),"")</f>
        <v/>
      </c>
      <c r="K1155" s="272">
        <f>IFERROR(IF(BA1155="WIP - 30 Days",VLOOKUP(D1155,[3]Standard!$B$9:$E$101,4,FALSE),IF(BA1155="31-120 Days",VLOOKUP(D1155,[3]Standard!$B$9:$F$101,5,FALSE),IF(BA1155="121-365 Days",VLOOKUP(D1155,[3]Standard!$B$9:$G$101,6,FALSE),VLOOKUP(D1155,[3]Standard!$B$9:$H$101,7,FALSE)))),0)</f>
        <v>0</v>
      </c>
      <c r="L1155" s="272">
        <f>IFERROR(IF(BA1155="WIP - 30 Days",VLOOKUP(D1155,[3]Standard!$B$9:$J$101,9,FALSE),IF(BA1155="31-120 Days",VLOOKUP(D1155,[3]Standard!$B$9:$K$100,10,FALSE),IF(BA1155="121-365 Days",VLOOKUP(D1155,[3]Standard!$B$9:$L$101,11,FALSE),VLOOKUP(D1155,[3]Standard!$B$9:$M$101,12,FALSE)))),0)</f>
        <v>0</v>
      </c>
      <c r="M1155" s="269" t="str">
        <f>IFERROR(VLOOKUP((D1155&amp;C1155)&amp;"",'[2]Retail Price List'!$C$4:$F$102,4,FALSE),"")</f>
        <v/>
      </c>
      <c r="N1155" s="269">
        <f>IFERROR(IF(BA1155="WIP - 30 Days",VLOOKUP(D1155,[3]Extended!$B$9:$E$101,4,FALSE),IF(BA1155="31-120 Days",VLOOKUP(D1155,[3]Extended!$B$9:$F$101,5,FALSE),IF(BA1155="121-365 Days",VLOOKUP(D1155,[3]Extended!$B$9:$G$101,6,FALSE),VLOOKUP(D1155,[3]Extended!$B$9:$H$101,7,FALSE)))),0)</f>
        <v>0</v>
      </c>
      <c r="O1155" s="269">
        <f>IFERROR(IF(BA1155="WIP - 30 Days",VLOOKUP(D1155,[3]Extended!$B$9:$J$101,9,FALSE),IF(BA1155="31-120 Days",VLOOKUP(D1155,[3]Extended!$B$9:$K$101,10,FALSE),IF(BA1155="121-365 Days",VLOOKUP(D1155,[3]Extended!$B$9:$L$101,11,FALSE),VLOOKUP(D1155,[3]Extended!$B$9:$M$101,12,FALSE)))),0)</f>
        <v>0</v>
      </c>
      <c r="P1155" s="116" t="e">
        <f t="shared" si="86"/>
        <v>#VALUE!</v>
      </c>
      <c r="Q1155" s="110" t="e">
        <f>O1155-#REF!</f>
        <v>#REF!</v>
      </c>
      <c r="W1155" s="311"/>
      <c r="X1155" s="311"/>
      <c r="Y1155" s="311"/>
      <c r="Z1155" s="311"/>
      <c r="AA1155" s="311"/>
      <c r="AB1155" s="311"/>
      <c r="AC1155" s="311"/>
      <c r="AT1155" s="88" t="str">
        <f t="shared" si="87"/>
        <v>Special Order0</v>
      </c>
      <c r="AU1155" s="89" t="str">
        <f t="shared" si="88"/>
        <v>01-1900</v>
      </c>
      <c r="BA1155" s="92" t="str">
        <f t="shared" si="89"/>
        <v/>
      </c>
    </row>
    <row r="1156" spans="2:53">
      <c r="B1156" s="60">
        <f>[2]Trucks!A1153</f>
        <v>0</v>
      </c>
      <c r="C1156" s="11">
        <f>[2]Trucks!B1153</f>
        <v>0</v>
      </c>
      <c r="D1156" s="19" t="str">
        <f>IFERROR(VLOOKUP(C1156&amp;"",'[2]Retail Price List'!$A$3:$B$103,2,FALSE),"Special Order")</f>
        <v>Special Order</v>
      </c>
      <c r="E1156" s="18">
        <f>[2]Trucks!J1153</f>
        <v>0</v>
      </c>
      <c r="F1156" s="12">
        <f>[2]Trucks!E1153</f>
        <v>0</v>
      </c>
      <c r="G1156" s="56">
        <f>[2]Trucks!K1153</f>
        <v>0</v>
      </c>
      <c r="H1156" s="46">
        <f>[2]Trucks!I1153</f>
        <v>0</v>
      </c>
      <c r="I1156" s="83" t="str">
        <f t="shared" si="85"/>
        <v/>
      </c>
      <c r="J1156" s="272" t="str">
        <f>IFERROR(VLOOKUP((D1156&amp;C1156)&amp;"",'[2]Retail Price List'!$C$4:$F$102,3,FALSE),"")</f>
        <v/>
      </c>
      <c r="K1156" s="272">
        <f>IFERROR(IF(BA1156="WIP - 30 Days",VLOOKUP(D1156,[3]Standard!$B$9:$E$101,4,FALSE),IF(BA1156="31-120 Days",VLOOKUP(D1156,[3]Standard!$B$9:$F$101,5,FALSE),IF(BA1156="121-365 Days",VLOOKUP(D1156,[3]Standard!$B$9:$G$101,6,FALSE),VLOOKUP(D1156,[3]Standard!$B$9:$H$101,7,FALSE)))),0)</f>
        <v>0</v>
      </c>
      <c r="L1156" s="272">
        <f>IFERROR(IF(BA1156="WIP - 30 Days",VLOOKUP(D1156,[3]Standard!$B$9:$J$101,9,FALSE),IF(BA1156="31-120 Days",VLOOKUP(D1156,[3]Standard!$B$9:$K$100,10,FALSE),IF(BA1156="121-365 Days",VLOOKUP(D1156,[3]Standard!$B$9:$L$101,11,FALSE),VLOOKUP(D1156,[3]Standard!$B$9:$M$101,12,FALSE)))),0)</f>
        <v>0</v>
      </c>
      <c r="M1156" s="269" t="str">
        <f>IFERROR(VLOOKUP((D1156&amp;C1156)&amp;"",'[2]Retail Price List'!$C$4:$F$102,4,FALSE),"")</f>
        <v/>
      </c>
      <c r="N1156" s="269">
        <f>IFERROR(IF(BA1156="WIP - 30 Days",VLOOKUP(D1156,[3]Extended!$B$9:$E$101,4,FALSE),IF(BA1156="31-120 Days",VLOOKUP(D1156,[3]Extended!$B$9:$F$101,5,FALSE),IF(BA1156="121-365 Days",VLOOKUP(D1156,[3]Extended!$B$9:$G$101,6,FALSE),VLOOKUP(D1156,[3]Extended!$B$9:$H$101,7,FALSE)))),0)</f>
        <v>0</v>
      </c>
      <c r="O1156" s="269">
        <f>IFERROR(IF(BA1156="WIP - 30 Days",VLOOKUP(D1156,[3]Extended!$B$9:$J$101,9,FALSE),IF(BA1156="31-120 Days",VLOOKUP(D1156,[3]Extended!$B$9:$K$101,10,FALSE),IF(BA1156="121-365 Days",VLOOKUP(D1156,[3]Extended!$B$9:$L$101,11,FALSE),VLOOKUP(D1156,[3]Extended!$B$9:$M$101,12,FALSE)))),0)</f>
        <v>0</v>
      </c>
      <c r="P1156" s="116" t="e">
        <f t="shared" si="86"/>
        <v>#VALUE!</v>
      </c>
      <c r="Q1156" s="110" t="e">
        <f>O1156-#REF!</f>
        <v>#REF!</v>
      </c>
      <c r="W1156" s="311"/>
      <c r="X1156" s="311"/>
      <c r="Y1156" s="311"/>
      <c r="Z1156" s="311"/>
      <c r="AA1156" s="311"/>
      <c r="AB1156" s="311"/>
      <c r="AC1156" s="311"/>
      <c r="AT1156" s="88" t="str">
        <f t="shared" si="87"/>
        <v>Special Order0</v>
      </c>
      <c r="AU1156" s="89" t="str">
        <f t="shared" si="88"/>
        <v>01-1900</v>
      </c>
      <c r="BA1156" s="92" t="str">
        <f t="shared" si="89"/>
        <v/>
      </c>
    </row>
    <row r="1157" spans="2:53">
      <c r="B1157" s="60">
        <f>[2]Trucks!A1154</f>
        <v>0</v>
      </c>
      <c r="C1157" s="11">
        <f>[2]Trucks!B1154</f>
        <v>0</v>
      </c>
      <c r="D1157" s="19" t="str">
        <f>IFERROR(VLOOKUP(C1157&amp;"",'[2]Retail Price List'!$A$3:$B$103,2,FALSE),"Special Order")</f>
        <v>Special Order</v>
      </c>
      <c r="E1157" s="18">
        <f>[2]Trucks!J1154</f>
        <v>0</v>
      </c>
      <c r="F1157" s="12">
        <f>[2]Trucks!E1154</f>
        <v>0</v>
      </c>
      <c r="G1157" s="56">
        <f>[2]Trucks!K1154</f>
        <v>0</v>
      </c>
      <c r="H1157" s="46">
        <f>[2]Trucks!I1154</f>
        <v>0</v>
      </c>
      <c r="I1157" s="83" t="str">
        <f t="shared" ref="I1157:I1220" si="90">IFERROR(VLOOKUP(AU1157,$AW$5:$AY$40,3,FALSE),"")</f>
        <v/>
      </c>
      <c r="J1157" s="272" t="str">
        <f>IFERROR(VLOOKUP((D1157&amp;C1157)&amp;"",'[2]Retail Price List'!$C$4:$F$102,3,FALSE),"")</f>
        <v/>
      </c>
      <c r="K1157" s="272">
        <f>IFERROR(IF(BA1157="WIP - 30 Days",VLOOKUP(D1157,[3]Standard!$B$9:$E$101,4,FALSE),IF(BA1157="31-120 Days",VLOOKUP(D1157,[3]Standard!$B$9:$F$101,5,FALSE),IF(BA1157="121-365 Days",VLOOKUP(D1157,[3]Standard!$B$9:$G$101,6,FALSE),VLOOKUP(D1157,[3]Standard!$B$9:$H$101,7,FALSE)))),0)</f>
        <v>0</v>
      </c>
      <c r="L1157" s="272">
        <f>IFERROR(IF(BA1157="WIP - 30 Days",VLOOKUP(D1157,[3]Standard!$B$9:$J$101,9,FALSE),IF(BA1157="31-120 Days",VLOOKUP(D1157,[3]Standard!$B$9:$K$100,10,FALSE),IF(BA1157="121-365 Days",VLOOKUP(D1157,[3]Standard!$B$9:$L$101,11,FALSE),VLOOKUP(D1157,[3]Standard!$B$9:$M$101,12,FALSE)))),0)</f>
        <v>0</v>
      </c>
      <c r="M1157" s="269" t="str">
        <f>IFERROR(VLOOKUP((D1157&amp;C1157)&amp;"",'[2]Retail Price List'!$C$4:$F$102,4,FALSE),"")</f>
        <v/>
      </c>
      <c r="N1157" s="269">
        <f>IFERROR(IF(BA1157="WIP - 30 Days",VLOOKUP(D1157,[3]Extended!$B$9:$E$101,4,FALSE),IF(BA1157="31-120 Days",VLOOKUP(D1157,[3]Extended!$B$9:$F$101,5,FALSE),IF(BA1157="121-365 Days",VLOOKUP(D1157,[3]Extended!$B$9:$G$101,6,FALSE),VLOOKUP(D1157,[3]Extended!$B$9:$H$101,7,FALSE)))),0)</f>
        <v>0</v>
      </c>
      <c r="O1157" s="269">
        <f>IFERROR(IF(BA1157="WIP - 30 Days",VLOOKUP(D1157,[3]Extended!$B$9:$J$101,9,FALSE),IF(BA1157="31-120 Days",VLOOKUP(D1157,[3]Extended!$B$9:$K$101,10,FALSE),IF(BA1157="121-365 Days",VLOOKUP(D1157,[3]Extended!$B$9:$L$101,11,FALSE),VLOOKUP(D1157,[3]Extended!$B$9:$M$101,12,FALSE)))),0)</f>
        <v>0</v>
      </c>
      <c r="P1157" s="116" t="e">
        <f t="shared" ref="P1157:P1220" si="91">(M1157-O1157)/M1157</f>
        <v>#VALUE!</v>
      </c>
      <c r="Q1157" s="110" t="e">
        <f>O1157-#REF!</f>
        <v>#REF!</v>
      </c>
      <c r="W1157" s="311"/>
      <c r="X1157" s="311"/>
      <c r="Y1157" s="311"/>
      <c r="Z1157" s="311"/>
      <c r="AA1157" s="311"/>
      <c r="AB1157" s="311"/>
      <c r="AC1157" s="311"/>
      <c r="AT1157" s="88" t="str">
        <f t="shared" ref="AT1157:AT1220" si="92">D1157&amp;I1157&amp;G1157</f>
        <v>Special Order0</v>
      </c>
      <c r="AU1157" s="89" t="str">
        <f t="shared" ref="AU1157:AU1220" si="93">IF(MONTH(H1157)&lt;10,0&amp;MONTH(H1157)&amp;"-"&amp;YEAR(H1157),MONTH(H1157)&amp;"-"&amp;YEAR(H1157))</f>
        <v>01-1900</v>
      </c>
      <c r="BA1157" s="92" t="str">
        <f t="shared" ref="BA1157:BA1220" si="94">IF(B1157=0,"",IF(AND(F1157&gt;=31,F1157&lt;=120),"31-120 Days",IF(AND(F1157&gt;=121,F1157&lt;=365),"121-365 Days",IF(OR(E1157="CKD",F1157&lt;=30),"WIP - 30 Days","&gt;365 Days"))))</f>
        <v/>
      </c>
    </row>
    <row r="1158" spans="2:53">
      <c r="B1158" s="60">
        <f>[2]Trucks!A1155</f>
        <v>0</v>
      </c>
      <c r="C1158" s="11">
        <f>[2]Trucks!B1155</f>
        <v>0</v>
      </c>
      <c r="D1158" s="19" t="str">
        <f>IFERROR(VLOOKUP(C1158&amp;"",'[2]Retail Price List'!$A$3:$B$103,2,FALSE),"Special Order")</f>
        <v>Special Order</v>
      </c>
      <c r="E1158" s="18">
        <f>[2]Trucks!J1155</f>
        <v>0</v>
      </c>
      <c r="F1158" s="12">
        <f>[2]Trucks!E1155</f>
        <v>0</v>
      </c>
      <c r="G1158" s="56">
        <f>[2]Trucks!K1155</f>
        <v>0</v>
      </c>
      <c r="H1158" s="46">
        <f>[2]Trucks!I1155</f>
        <v>0</v>
      </c>
      <c r="I1158" s="83" t="str">
        <f t="shared" si="90"/>
        <v/>
      </c>
      <c r="J1158" s="272" t="str">
        <f>IFERROR(VLOOKUP((D1158&amp;C1158)&amp;"",'[2]Retail Price List'!$C$4:$F$102,3,FALSE),"")</f>
        <v/>
      </c>
      <c r="K1158" s="272">
        <f>IFERROR(IF(BA1158="WIP - 30 Days",VLOOKUP(D1158,[3]Standard!$B$9:$E$101,4,FALSE),IF(BA1158="31-120 Days",VLOOKUP(D1158,[3]Standard!$B$9:$F$101,5,FALSE),IF(BA1158="121-365 Days",VLOOKUP(D1158,[3]Standard!$B$9:$G$101,6,FALSE),VLOOKUP(D1158,[3]Standard!$B$9:$H$101,7,FALSE)))),0)</f>
        <v>0</v>
      </c>
      <c r="L1158" s="272">
        <f>IFERROR(IF(BA1158="WIP - 30 Days",VLOOKUP(D1158,[3]Standard!$B$9:$J$101,9,FALSE),IF(BA1158="31-120 Days",VLOOKUP(D1158,[3]Standard!$B$9:$K$100,10,FALSE),IF(BA1158="121-365 Days",VLOOKUP(D1158,[3]Standard!$B$9:$L$101,11,FALSE),VLOOKUP(D1158,[3]Standard!$B$9:$M$101,12,FALSE)))),0)</f>
        <v>0</v>
      </c>
      <c r="M1158" s="269" t="str">
        <f>IFERROR(VLOOKUP((D1158&amp;C1158)&amp;"",'[2]Retail Price List'!$C$4:$F$102,4,FALSE),"")</f>
        <v/>
      </c>
      <c r="N1158" s="269">
        <f>IFERROR(IF(BA1158="WIP - 30 Days",VLOOKUP(D1158,[3]Extended!$B$9:$E$101,4,FALSE),IF(BA1158="31-120 Days",VLOOKUP(D1158,[3]Extended!$B$9:$F$101,5,FALSE),IF(BA1158="121-365 Days",VLOOKUP(D1158,[3]Extended!$B$9:$G$101,6,FALSE),VLOOKUP(D1158,[3]Extended!$B$9:$H$101,7,FALSE)))),0)</f>
        <v>0</v>
      </c>
      <c r="O1158" s="269">
        <f>IFERROR(IF(BA1158="WIP - 30 Days",VLOOKUP(D1158,[3]Extended!$B$9:$J$101,9,FALSE),IF(BA1158="31-120 Days",VLOOKUP(D1158,[3]Extended!$B$9:$K$101,10,FALSE),IF(BA1158="121-365 Days",VLOOKUP(D1158,[3]Extended!$B$9:$L$101,11,FALSE),VLOOKUP(D1158,[3]Extended!$B$9:$M$101,12,FALSE)))),0)</f>
        <v>0</v>
      </c>
      <c r="P1158" s="116" t="e">
        <f t="shared" si="91"/>
        <v>#VALUE!</v>
      </c>
      <c r="Q1158" s="110" t="e">
        <f>O1158-#REF!</f>
        <v>#REF!</v>
      </c>
      <c r="W1158" s="311"/>
      <c r="X1158" s="311"/>
      <c r="Y1158" s="311"/>
      <c r="Z1158" s="311"/>
      <c r="AA1158" s="311"/>
      <c r="AB1158" s="311"/>
      <c r="AC1158" s="311"/>
      <c r="AT1158" s="88" t="str">
        <f t="shared" si="92"/>
        <v>Special Order0</v>
      </c>
      <c r="AU1158" s="89" t="str">
        <f t="shared" si="93"/>
        <v>01-1900</v>
      </c>
      <c r="BA1158" s="92" t="str">
        <f t="shared" si="94"/>
        <v/>
      </c>
    </row>
    <row r="1159" spans="2:53">
      <c r="B1159" s="60">
        <f>[2]Trucks!A1156</f>
        <v>0</v>
      </c>
      <c r="C1159" s="11">
        <f>[2]Trucks!B1156</f>
        <v>0</v>
      </c>
      <c r="D1159" s="19" t="str">
        <f>IFERROR(VLOOKUP(C1159&amp;"",'[2]Retail Price List'!$A$3:$B$103,2,FALSE),"Special Order")</f>
        <v>Special Order</v>
      </c>
      <c r="E1159" s="18">
        <f>[2]Trucks!J1156</f>
        <v>0</v>
      </c>
      <c r="F1159" s="12">
        <f>[2]Trucks!E1156</f>
        <v>0</v>
      </c>
      <c r="G1159" s="56">
        <f>[2]Trucks!K1156</f>
        <v>0</v>
      </c>
      <c r="H1159" s="46">
        <f>[2]Trucks!I1156</f>
        <v>0</v>
      </c>
      <c r="I1159" s="83" t="str">
        <f t="shared" si="90"/>
        <v/>
      </c>
      <c r="J1159" s="272" t="str">
        <f>IFERROR(VLOOKUP((D1159&amp;C1159)&amp;"",'[2]Retail Price List'!$C$4:$F$102,3,FALSE),"")</f>
        <v/>
      </c>
      <c r="K1159" s="272">
        <f>IFERROR(IF(BA1159="WIP - 30 Days",VLOOKUP(D1159,[3]Standard!$B$9:$E$101,4,FALSE),IF(BA1159="31-120 Days",VLOOKUP(D1159,[3]Standard!$B$9:$F$101,5,FALSE),IF(BA1159="121-365 Days",VLOOKUP(D1159,[3]Standard!$B$9:$G$101,6,FALSE),VLOOKUP(D1159,[3]Standard!$B$9:$H$101,7,FALSE)))),0)</f>
        <v>0</v>
      </c>
      <c r="L1159" s="272">
        <f>IFERROR(IF(BA1159="WIP - 30 Days",VLOOKUP(D1159,[3]Standard!$B$9:$J$101,9,FALSE),IF(BA1159="31-120 Days",VLOOKUP(D1159,[3]Standard!$B$9:$K$100,10,FALSE),IF(BA1159="121-365 Days",VLOOKUP(D1159,[3]Standard!$B$9:$L$101,11,FALSE),VLOOKUP(D1159,[3]Standard!$B$9:$M$101,12,FALSE)))),0)</f>
        <v>0</v>
      </c>
      <c r="M1159" s="269" t="str">
        <f>IFERROR(VLOOKUP((D1159&amp;C1159)&amp;"",'[2]Retail Price List'!$C$4:$F$102,4,FALSE),"")</f>
        <v/>
      </c>
      <c r="N1159" s="269">
        <f>IFERROR(IF(BA1159="WIP - 30 Days",VLOOKUP(D1159,[3]Extended!$B$9:$E$101,4,FALSE),IF(BA1159="31-120 Days",VLOOKUP(D1159,[3]Extended!$B$9:$F$101,5,FALSE),IF(BA1159="121-365 Days",VLOOKUP(D1159,[3]Extended!$B$9:$G$101,6,FALSE),VLOOKUP(D1159,[3]Extended!$B$9:$H$101,7,FALSE)))),0)</f>
        <v>0</v>
      </c>
      <c r="O1159" s="269">
        <f>IFERROR(IF(BA1159="WIP - 30 Days",VLOOKUP(D1159,[3]Extended!$B$9:$J$101,9,FALSE),IF(BA1159="31-120 Days",VLOOKUP(D1159,[3]Extended!$B$9:$K$101,10,FALSE),IF(BA1159="121-365 Days",VLOOKUP(D1159,[3]Extended!$B$9:$L$101,11,FALSE),VLOOKUP(D1159,[3]Extended!$B$9:$M$101,12,FALSE)))),0)</f>
        <v>0</v>
      </c>
      <c r="P1159" s="116" t="e">
        <f t="shared" si="91"/>
        <v>#VALUE!</v>
      </c>
      <c r="Q1159" s="110" t="e">
        <f>O1159-#REF!</f>
        <v>#REF!</v>
      </c>
      <c r="W1159" s="311"/>
      <c r="X1159" s="311"/>
      <c r="Y1159" s="311"/>
      <c r="Z1159" s="311"/>
      <c r="AA1159" s="311"/>
      <c r="AB1159" s="311"/>
      <c r="AC1159" s="311"/>
      <c r="AT1159" s="88" t="str">
        <f t="shared" si="92"/>
        <v>Special Order0</v>
      </c>
      <c r="AU1159" s="89" t="str">
        <f t="shared" si="93"/>
        <v>01-1900</v>
      </c>
      <c r="BA1159" s="92" t="str">
        <f t="shared" si="94"/>
        <v/>
      </c>
    </row>
    <row r="1160" spans="2:53">
      <c r="B1160" s="60">
        <f>[2]Trucks!A1157</f>
        <v>0</v>
      </c>
      <c r="C1160" s="11">
        <f>[2]Trucks!B1157</f>
        <v>0</v>
      </c>
      <c r="D1160" s="19" t="str">
        <f>IFERROR(VLOOKUP(C1160&amp;"",'[2]Retail Price List'!$A$3:$B$103,2,FALSE),"Special Order")</f>
        <v>Special Order</v>
      </c>
      <c r="E1160" s="18">
        <f>[2]Trucks!J1157</f>
        <v>0</v>
      </c>
      <c r="F1160" s="12">
        <f>[2]Trucks!E1157</f>
        <v>0</v>
      </c>
      <c r="G1160" s="56">
        <f>[2]Trucks!K1157</f>
        <v>0</v>
      </c>
      <c r="H1160" s="46">
        <f>[2]Trucks!I1157</f>
        <v>0</v>
      </c>
      <c r="I1160" s="83" t="str">
        <f t="shared" si="90"/>
        <v/>
      </c>
      <c r="J1160" s="272" t="str">
        <f>IFERROR(VLOOKUP((D1160&amp;C1160)&amp;"",'[2]Retail Price List'!$C$4:$F$102,3,FALSE),"")</f>
        <v/>
      </c>
      <c r="K1160" s="272">
        <f>IFERROR(IF(BA1160="WIP - 30 Days",VLOOKUP(D1160,[3]Standard!$B$9:$E$101,4,FALSE),IF(BA1160="31-120 Days",VLOOKUP(D1160,[3]Standard!$B$9:$F$101,5,FALSE),IF(BA1160="121-365 Days",VLOOKUP(D1160,[3]Standard!$B$9:$G$101,6,FALSE),VLOOKUP(D1160,[3]Standard!$B$9:$H$101,7,FALSE)))),0)</f>
        <v>0</v>
      </c>
      <c r="L1160" s="272">
        <f>IFERROR(IF(BA1160="WIP - 30 Days",VLOOKUP(D1160,[3]Standard!$B$9:$J$101,9,FALSE),IF(BA1160="31-120 Days",VLOOKUP(D1160,[3]Standard!$B$9:$K$100,10,FALSE),IF(BA1160="121-365 Days",VLOOKUP(D1160,[3]Standard!$B$9:$L$101,11,FALSE),VLOOKUP(D1160,[3]Standard!$B$9:$M$101,12,FALSE)))),0)</f>
        <v>0</v>
      </c>
      <c r="M1160" s="269" t="str">
        <f>IFERROR(VLOOKUP((D1160&amp;C1160)&amp;"",'[2]Retail Price List'!$C$4:$F$102,4,FALSE),"")</f>
        <v/>
      </c>
      <c r="N1160" s="269">
        <f>IFERROR(IF(BA1160="WIP - 30 Days",VLOOKUP(D1160,[3]Extended!$B$9:$E$101,4,FALSE),IF(BA1160="31-120 Days",VLOOKUP(D1160,[3]Extended!$B$9:$F$101,5,FALSE),IF(BA1160="121-365 Days",VLOOKUP(D1160,[3]Extended!$B$9:$G$101,6,FALSE),VLOOKUP(D1160,[3]Extended!$B$9:$H$101,7,FALSE)))),0)</f>
        <v>0</v>
      </c>
      <c r="O1160" s="269">
        <f>IFERROR(IF(BA1160="WIP - 30 Days",VLOOKUP(D1160,[3]Extended!$B$9:$J$101,9,FALSE),IF(BA1160="31-120 Days",VLOOKUP(D1160,[3]Extended!$B$9:$K$101,10,FALSE),IF(BA1160="121-365 Days",VLOOKUP(D1160,[3]Extended!$B$9:$L$101,11,FALSE),VLOOKUP(D1160,[3]Extended!$B$9:$M$101,12,FALSE)))),0)</f>
        <v>0</v>
      </c>
      <c r="P1160" s="116" t="e">
        <f t="shared" si="91"/>
        <v>#VALUE!</v>
      </c>
      <c r="Q1160" s="110" t="e">
        <f>O1160-#REF!</f>
        <v>#REF!</v>
      </c>
      <c r="W1160" s="311"/>
      <c r="X1160" s="311"/>
      <c r="Y1160" s="311"/>
      <c r="Z1160" s="311"/>
      <c r="AA1160" s="311"/>
      <c r="AB1160" s="311"/>
      <c r="AC1160" s="311"/>
      <c r="AT1160" s="88" t="str">
        <f t="shared" si="92"/>
        <v>Special Order0</v>
      </c>
      <c r="AU1160" s="89" t="str">
        <f t="shared" si="93"/>
        <v>01-1900</v>
      </c>
      <c r="BA1160" s="92" t="str">
        <f t="shared" si="94"/>
        <v/>
      </c>
    </row>
    <row r="1161" spans="2:53">
      <c r="B1161" s="60">
        <f>[2]Trucks!A1158</f>
        <v>0</v>
      </c>
      <c r="C1161" s="11">
        <f>[2]Trucks!B1158</f>
        <v>0</v>
      </c>
      <c r="D1161" s="19" t="str">
        <f>IFERROR(VLOOKUP(C1161&amp;"",'[2]Retail Price List'!$A$3:$B$103,2,FALSE),"Special Order")</f>
        <v>Special Order</v>
      </c>
      <c r="E1161" s="18">
        <f>[2]Trucks!J1158</f>
        <v>0</v>
      </c>
      <c r="F1161" s="12">
        <f>[2]Trucks!E1158</f>
        <v>0</v>
      </c>
      <c r="G1161" s="56">
        <f>[2]Trucks!K1158</f>
        <v>0</v>
      </c>
      <c r="H1161" s="46">
        <f>[2]Trucks!I1158</f>
        <v>0</v>
      </c>
      <c r="I1161" s="83" t="str">
        <f t="shared" si="90"/>
        <v/>
      </c>
      <c r="J1161" s="272" t="str">
        <f>IFERROR(VLOOKUP((D1161&amp;C1161)&amp;"",'[2]Retail Price List'!$C$4:$F$102,3,FALSE),"")</f>
        <v/>
      </c>
      <c r="K1161" s="272">
        <f>IFERROR(IF(BA1161="WIP - 30 Days",VLOOKUP(D1161,[3]Standard!$B$9:$E$101,4,FALSE),IF(BA1161="31-120 Days",VLOOKUP(D1161,[3]Standard!$B$9:$F$101,5,FALSE),IF(BA1161="121-365 Days",VLOOKUP(D1161,[3]Standard!$B$9:$G$101,6,FALSE),VLOOKUP(D1161,[3]Standard!$B$9:$H$101,7,FALSE)))),0)</f>
        <v>0</v>
      </c>
      <c r="L1161" s="272">
        <f>IFERROR(IF(BA1161="WIP - 30 Days",VLOOKUP(D1161,[3]Standard!$B$9:$J$101,9,FALSE),IF(BA1161="31-120 Days",VLOOKUP(D1161,[3]Standard!$B$9:$K$100,10,FALSE),IF(BA1161="121-365 Days",VLOOKUP(D1161,[3]Standard!$B$9:$L$101,11,FALSE),VLOOKUP(D1161,[3]Standard!$B$9:$M$101,12,FALSE)))),0)</f>
        <v>0</v>
      </c>
      <c r="M1161" s="269" t="str">
        <f>IFERROR(VLOOKUP((D1161&amp;C1161)&amp;"",'[2]Retail Price List'!$C$4:$F$102,4,FALSE),"")</f>
        <v/>
      </c>
      <c r="N1161" s="269">
        <f>IFERROR(IF(BA1161="WIP - 30 Days",VLOOKUP(D1161,[3]Extended!$B$9:$E$101,4,FALSE),IF(BA1161="31-120 Days",VLOOKUP(D1161,[3]Extended!$B$9:$F$101,5,FALSE),IF(BA1161="121-365 Days",VLOOKUP(D1161,[3]Extended!$B$9:$G$101,6,FALSE),VLOOKUP(D1161,[3]Extended!$B$9:$H$101,7,FALSE)))),0)</f>
        <v>0</v>
      </c>
      <c r="O1161" s="269">
        <f>IFERROR(IF(BA1161="WIP - 30 Days",VLOOKUP(D1161,[3]Extended!$B$9:$J$101,9,FALSE),IF(BA1161="31-120 Days",VLOOKUP(D1161,[3]Extended!$B$9:$K$101,10,FALSE),IF(BA1161="121-365 Days",VLOOKUP(D1161,[3]Extended!$B$9:$L$101,11,FALSE),VLOOKUP(D1161,[3]Extended!$B$9:$M$101,12,FALSE)))),0)</f>
        <v>0</v>
      </c>
      <c r="P1161" s="116" t="e">
        <f t="shared" si="91"/>
        <v>#VALUE!</v>
      </c>
      <c r="Q1161" s="110" t="e">
        <f>O1161-#REF!</f>
        <v>#REF!</v>
      </c>
      <c r="W1161" s="311"/>
      <c r="X1161" s="311"/>
      <c r="Y1161" s="311"/>
      <c r="Z1161" s="311"/>
      <c r="AA1161" s="311"/>
      <c r="AB1161" s="311"/>
      <c r="AC1161" s="311"/>
      <c r="AT1161" s="88" t="str">
        <f t="shared" si="92"/>
        <v>Special Order0</v>
      </c>
      <c r="AU1161" s="89" t="str">
        <f t="shared" si="93"/>
        <v>01-1900</v>
      </c>
      <c r="BA1161" s="92" t="str">
        <f t="shared" si="94"/>
        <v/>
      </c>
    </row>
    <row r="1162" spans="2:53">
      <c r="B1162" s="60">
        <f>[2]Trucks!A1159</f>
        <v>0</v>
      </c>
      <c r="C1162" s="11">
        <f>[2]Trucks!B1159</f>
        <v>0</v>
      </c>
      <c r="D1162" s="19" t="str">
        <f>IFERROR(VLOOKUP(C1162&amp;"",'[2]Retail Price List'!$A$3:$B$103,2,FALSE),"Special Order")</f>
        <v>Special Order</v>
      </c>
      <c r="E1162" s="18">
        <f>[2]Trucks!J1159</f>
        <v>0</v>
      </c>
      <c r="F1162" s="12">
        <f>[2]Trucks!E1159</f>
        <v>0</v>
      </c>
      <c r="G1162" s="56">
        <f>[2]Trucks!K1159</f>
        <v>0</v>
      </c>
      <c r="H1162" s="46">
        <f>[2]Trucks!I1159</f>
        <v>0</v>
      </c>
      <c r="I1162" s="83" t="str">
        <f t="shared" si="90"/>
        <v/>
      </c>
      <c r="J1162" s="272" t="str">
        <f>IFERROR(VLOOKUP((D1162&amp;C1162)&amp;"",'[2]Retail Price List'!$C$4:$F$102,3,FALSE),"")</f>
        <v/>
      </c>
      <c r="K1162" s="272">
        <f>IFERROR(IF(BA1162="WIP - 30 Days",VLOOKUP(D1162,[3]Standard!$B$9:$E$101,4,FALSE),IF(BA1162="31-120 Days",VLOOKUP(D1162,[3]Standard!$B$9:$F$101,5,FALSE),IF(BA1162="121-365 Days",VLOOKUP(D1162,[3]Standard!$B$9:$G$101,6,FALSE),VLOOKUP(D1162,[3]Standard!$B$9:$H$101,7,FALSE)))),0)</f>
        <v>0</v>
      </c>
      <c r="L1162" s="272">
        <f>IFERROR(IF(BA1162="WIP - 30 Days",VLOOKUP(D1162,[3]Standard!$B$9:$J$101,9,FALSE),IF(BA1162="31-120 Days",VLOOKUP(D1162,[3]Standard!$B$9:$K$100,10,FALSE),IF(BA1162="121-365 Days",VLOOKUP(D1162,[3]Standard!$B$9:$L$101,11,FALSE),VLOOKUP(D1162,[3]Standard!$B$9:$M$101,12,FALSE)))),0)</f>
        <v>0</v>
      </c>
      <c r="M1162" s="269" t="str">
        <f>IFERROR(VLOOKUP((D1162&amp;C1162)&amp;"",'[2]Retail Price List'!$C$4:$F$102,4,FALSE),"")</f>
        <v/>
      </c>
      <c r="N1162" s="269">
        <f>IFERROR(IF(BA1162="WIP - 30 Days",VLOOKUP(D1162,[3]Extended!$B$9:$E$101,4,FALSE),IF(BA1162="31-120 Days",VLOOKUP(D1162,[3]Extended!$B$9:$F$101,5,FALSE),IF(BA1162="121-365 Days",VLOOKUP(D1162,[3]Extended!$B$9:$G$101,6,FALSE),VLOOKUP(D1162,[3]Extended!$B$9:$H$101,7,FALSE)))),0)</f>
        <v>0</v>
      </c>
      <c r="O1162" s="269">
        <f>IFERROR(IF(BA1162="WIP - 30 Days",VLOOKUP(D1162,[3]Extended!$B$9:$J$101,9,FALSE),IF(BA1162="31-120 Days",VLOOKUP(D1162,[3]Extended!$B$9:$K$101,10,FALSE),IF(BA1162="121-365 Days",VLOOKUP(D1162,[3]Extended!$B$9:$L$101,11,FALSE),VLOOKUP(D1162,[3]Extended!$B$9:$M$101,12,FALSE)))),0)</f>
        <v>0</v>
      </c>
      <c r="P1162" s="116" t="e">
        <f t="shared" si="91"/>
        <v>#VALUE!</v>
      </c>
      <c r="Q1162" s="110" t="e">
        <f>O1162-#REF!</f>
        <v>#REF!</v>
      </c>
      <c r="W1162" s="311"/>
      <c r="X1162" s="311"/>
      <c r="Y1162" s="311"/>
      <c r="Z1162" s="311"/>
      <c r="AA1162" s="311"/>
      <c r="AB1162" s="311"/>
      <c r="AC1162" s="311"/>
      <c r="AT1162" s="88" t="str">
        <f t="shared" si="92"/>
        <v>Special Order0</v>
      </c>
      <c r="AU1162" s="89" t="str">
        <f t="shared" si="93"/>
        <v>01-1900</v>
      </c>
      <c r="BA1162" s="92" t="str">
        <f t="shared" si="94"/>
        <v/>
      </c>
    </row>
    <row r="1163" spans="2:53">
      <c r="B1163" s="60">
        <f>[2]Trucks!A1160</f>
        <v>0</v>
      </c>
      <c r="C1163" s="11">
        <f>[2]Trucks!B1160</f>
        <v>0</v>
      </c>
      <c r="D1163" s="19" t="str">
        <f>IFERROR(VLOOKUP(C1163&amp;"",'[2]Retail Price List'!$A$3:$B$103,2,FALSE),"Special Order")</f>
        <v>Special Order</v>
      </c>
      <c r="E1163" s="18">
        <f>[2]Trucks!J1160</f>
        <v>0</v>
      </c>
      <c r="F1163" s="12">
        <f>[2]Trucks!E1160</f>
        <v>0</v>
      </c>
      <c r="G1163" s="56">
        <f>[2]Trucks!K1160</f>
        <v>0</v>
      </c>
      <c r="H1163" s="46">
        <f>[2]Trucks!I1160</f>
        <v>0</v>
      </c>
      <c r="I1163" s="83" t="str">
        <f t="shared" si="90"/>
        <v/>
      </c>
      <c r="J1163" s="272" t="str">
        <f>IFERROR(VLOOKUP((D1163&amp;C1163)&amp;"",'[2]Retail Price List'!$C$4:$F$102,3,FALSE),"")</f>
        <v/>
      </c>
      <c r="K1163" s="272">
        <f>IFERROR(IF(BA1163="WIP - 30 Days",VLOOKUP(D1163,[3]Standard!$B$9:$E$101,4,FALSE),IF(BA1163="31-120 Days",VLOOKUP(D1163,[3]Standard!$B$9:$F$101,5,FALSE),IF(BA1163="121-365 Days",VLOOKUP(D1163,[3]Standard!$B$9:$G$101,6,FALSE),VLOOKUP(D1163,[3]Standard!$B$9:$H$101,7,FALSE)))),0)</f>
        <v>0</v>
      </c>
      <c r="L1163" s="272">
        <f>IFERROR(IF(BA1163="WIP - 30 Days",VLOOKUP(D1163,[3]Standard!$B$9:$J$101,9,FALSE),IF(BA1163="31-120 Days",VLOOKUP(D1163,[3]Standard!$B$9:$K$100,10,FALSE),IF(BA1163="121-365 Days",VLOOKUP(D1163,[3]Standard!$B$9:$L$101,11,FALSE),VLOOKUP(D1163,[3]Standard!$B$9:$M$101,12,FALSE)))),0)</f>
        <v>0</v>
      </c>
      <c r="M1163" s="269" t="str">
        <f>IFERROR(VLOOKUP((D1163&amp;C1163)&amp;"",'[2]Retail Price List'!$C$4:$F$102,4,FALSE),"")</f>
        <v/>
      </c>
      <c r="N1163" s="269">
        <f>IFERROR(IF(BA1163="WIP - 30 Days",VLOOKUP(D1163,[3]Extended!$B$9:$E$101,4,FALSE),IF(BA1163="31-120 Days",VLOOKUP(D1163,[3]Extended!$B$9:$F$101,5,FALSE),IF(BA1163="121-365 Days",VLOOKUP(D1163,[3]Extended!$B$9:$G$101,6,FALSE),VLOOKUP(D1163,[3]Extended!$B$9:$H$101,7,FALSE)))),0)</f>
        <v>0</v>
      </c>
      <c r="O1163" s="269">
        <f>IFERROR(IF(BA1163="WIP - 30 Days",VLOOKUP(D1163,[3]Extended!$B$9:$J$101,9,FALSE),IF(BA1163="31-120 Days",VLOOKUP(D1163,[3]Extended!$B$9:$K$101,10,FALSE),IF(BA1163="121-365 Days",VLOOKUP(D1163,[3]Extended!$B$9:$L$101,11,FALSE),VLOOKUP(D1163,[3]Extended!$B$9:$M$101,12,FALSE)))),0)</f>
        <v>0</v>
      </c>
      <c r="P1163" s="116" t="e">
        <f t="shared" si="91"/>
        <v>#VALUE!</v>
      </c>
      <c r="Q1163" s="110" t="e">
        <f>O1163-#REF!</f>
        <v>#REF!</v>
      </c>
      <c r="W1163" s="311"/>
      <c r="X1163" s="311"/>
      <c r="Y1163" s="311"/>
      <c r="Z1163" s="311"/>
      <c r="AA1163" s="311"/>
      <c r="AB1163" s="311"/>
      <c r="AC1163" s="311"/>
      <c r="AT1163" s="88" t="str">
        <f t="shared" si="92"/>
        <v>Special Order0</v>
      </c>
      <c r="AU1163" s="89" t="str">
        <f t="shared" si="93"/>
        <v>01-1900</v>
      </c>
      <c r="BA1163" s="92" t="str">
        <f t="shared" si="94"/>
        <v/>
      </c>
    </row>
    <row r="1164" spans="2:53">
      <c r="B1164" s="60">
        <f>[2]Trucks!A1161</f>
        <v>0</v>
      </c>
      <c r="C1164" s="11">
        <f>[2]Trucks!B1161</f>
        <v>0</v>
      </c>
      <c r="D1164" s="19" t="str">
        <f>IFERROR(VLOOKUP(C1164&amp;"",'[2]Retail Price List'!$A$3:$B$103,2,FALSE),"Special Order")</f>
        <v>Special Order</v>
      </c>
      <c r="E1164" s="18">
        <f>[2]Trucks!J1161</f>
        <v>0</v>
      </c>
      <c r="F1164" s="12">
        <f>[2]Trucks!E1161</f>
        <v>0</v>
      </c>
      <c r="G1164" s="56">
        <f>[2]Trucks!K1161</f>
        <v>0</v>
      </c>
      <c r="H1164" s="46">
        <f>[2]Trucks!I1161</f>
        <v>0</v>
      </c>
      <c r="I1164" s="83" t="str">
        <f t="shared" si="90"/>
        <v/>
      </c>
      <c r="J1164" s="272" t="str">
        <f>IFERROR(VLOOKUP((D1164&amp;C1164)&amp;"",'[2]Retail Price List'!$C$4:$F$102,3,FALSE),"")</f>
        <v/>
      </c>
      <c r="K1164" s="272">
        <f>IFERROR(IF(BA1164="WIP - 30 Days",VLOOKUP(D1164,[3]Standard!$B$9:$E$101,4,FALSE),IF(BA1164="31-120 Days",VLOOKUP(D1164,[3]Standard!$B$9:$F$101,5,FALSE),IF(BA1164="121-365 Days",VLOOKUP(D1164,[3]Standard!$B$9:$G$101,6,FALSE),VLOOKUP(D1164,[3]Standard!$B$9:$H$101,7,FALSE)))),0)</f>
        <v>0</v>
      </c>
      <c r="L1164" s="272">
        <f>IFERROR(IF(BA1164="WIP - 30 Days",VLOOKUP(D1164,[3]Standard!$B$9:$J$101,9,FALSE),IF(BA1164="31-120 Days",VLOOKUP(D1164,[3]Standard!$B$9:$K$100,10,FALSE),IF(BA1164="121-365 Days",VLOOKUP(D1164,[3]Standard!$B$9:$L$101,11,FALSE),VLOOKUP(D1164,[3]Standard!$B$9:$M$101,12,FALSE)))),0)</f>
        <v>0</v>
      </c>
      <c r="M1164" s="269" t="str">
        <f>IFERROR(VLOOKUP((D1164&amp;C1164)&amp;"",'[2]Retail Price List'!$C$4:$F$102,4,FALSE),"")</f>
        <v/>
      </c>
      <c r="N1164" s="269">
        <f>IFERROR(IF(BA1164="WIP - 30 Days",VLOOKUP(D1164,[3]Extended!$B$9:$E$101,4,FALSE),IF(BA1164="31-120 Days",VLOOKUP(D1164,[3]Extended!$B$9:$F$101,5,FALSE),IF(BA1164="121-365 Days",VLOOKUP(D1164,[3]Extended!$B$9:$G$101,6,FALSE),VLOOKUP(D1164,[3]Extended!$B$9:$H$101,7,FALSE)))),0)</f>
        <v>0</v>
      </c>
      <c r="O1164" s="269">
        <f>IFERROR(IF(BA1164="WIP - 30 Days",VLOOKUP(D1164,[3]Extended!$B$9:$J$101,9,FALSE),IF(BA1164="31-120 Days",VLOOKUP(D1164,[3]Extended!$B$9:$K$101,10,FALSE),IF(BA1164="121-365 Days",VLOOKUP(D1164,[3]Extended!$B$9:$L$101,11,FALSE),VLOOKUP(D1164,[3]Extended!$B$9:$M$101,12,FALSE)))),0)</f>
        <v>0</v>
      </c>
      <c r="P1164" s="116" t="e">
        <f t="shared" si="91"/>
        <v>#VALUE!</v>
      </c>
      <c r="Q1164" s="110" t="e">
        <f>O1164-#REF!</f>
        <v>#REF!</v>
      </c>
      <c r="W1164" s="311"/>
      <c r="X1164" s="311"/>
      <c r="Y1164" s="311"/>
      <c r="Z1164" s="311"/>
      <c r="AA1164" s="311"/>
      <c r="AB1164" s="311"/>
      <c r="AC1164" s="311"/>
      <c r="AT1164" s="88" t="str">
        <f t="shared" si="92"/>
        <v>Special Order0</v>
      </c>
      <c r="AU1164" s="89" t="str">
        <f t="shared" si="93"/>
        <v>01-1900</v>
      </c>
      <c r="BA1164" s="92" t="str">
        <f t="shared" si="94"/>
        <v/>
      </c>
    </row>
    <row r="1165" spans="2:53">
      <c r="B1165" s="60">
        <f>[2]Trucks!A1162</f>
        <v>0</v>
      </c>
      <c r="C1165" s="11">
        <f>[2]Trucks!B1162</f>
        <v>0</v>
      </c>
      <c r="D1165" s="19" t="str">
        <f>IFERROR(VLOOKUP(C1165&amp;"",'[2]Retail Price List'!$A$3:$B$103,2,FALSE),"Special Order")</f>
        <v>Special Order</v>
      </c>
      <c r="E1165" s="18">
        <f>[2]Trucks!J1162</f>
        <v>0</v>
      </c>
      <c r="F1165" s="12">
        <f>[2]Trucks!E1162</f>
        <v>0</v>
      </c>
      <c r="G1165" s="56">
        <f>[2]Trucks!K1162</f>
        <v>0</v>
      </c>
      <c r="H1165" s="46">
        <f>[2]Trucks!I1162</f>
        <v>0</v>
      </c>
      <c r="I1165" s="83" t="str">
        <f t="shared" si="90"/>
        <v/>
      </c>
      <c r="J1165" s="272" t="str">
        <f>IFERROR(VLOOKUP((D1165&amp;C1165)&amp;"",'[2]Retail Price List'!$C$4:$F$102,3,FALSE),"")</f>
        <v/>
      </c>
      <c r="K1165" s="272">
        <f>IFERROR(IF(BA1165="WIP - 30 Days",VLOOKUP(D1165,[3]Standard!$B$9:$E$101,4,FALSE),IF(BA1165="31-120 Days",VLOOKUP(D1165,[3]Standard!$B$9:$F$101,5,FALSE),IF(BA1165="121-365 Days",VLOOKUP(D1165,[3]Standard!$B$9:$G$101,6,FALSE),VLOOKUP(D1165,[3]Standard!$B$9:$H$101,7,FALSE)))),0)</f>
        <v>0</v>
      </c>
      <c r="L1165" s="272">
        <f>IFERROR(IF(BA1165="WIP - 30 Days",VLOOKUP(D1165,[3]Standard!$B$9:$J$101,9,FALSE),IF(BA1165="31-120 Days",VLOOKUP(D1165,[3]Standard!$B$9:$K$100,10,FALSE),IF(BA1165="121-365 Days",VLOOKUP(D1165,[3]Standard!$B$9:$L$101,11,FALSE),VLOOKUP(D1165,[3]Standard!$B$9:$M$101,12,FALSE)))),0)</f>
        <v>0</v>
      </c>
      <c r="M1165" s="269" t="str">
        <f>IFERROR(VLOOKUP((D1165&amp;C1165)&amp;"",'[2]Retail Price List'!$C$4:$F$102,4,FALSE),"")</f>
        <v/>
      </c>
      <c r="N1165" s="269">
        <f>IFERROR(IF(BA1165="WIP - 30 Days",VLOOKUP(D1165,[3]Extended!$B$9:$E$101,4,FALSE),IF(BA1165="31-120 Days",VLOOKUP(D1165,[3]Extended!$B$9:$F$101,5,FALSE),IF(BA1165="121-365 Days",VLOOKUP(D1165,[3]Extended!$B$9:$G$101,6,FALSE),VLOOKUP(D1165,[3]Extended!$B$9:$H$101,7,FALSE)))),0)</f>
        <v>0</v>
      </c>
      <c r="O1165" s="269">
        <f>IFERROR(IF(BA1165="WIP - 30 Days",VLOOKUP(D1165,[3]Extended!$B$9:$J$101,9,FALSE),IF(BA1165="31-120 Days",VLOOKUP(D1165,[3]Extended!$B$9:$K$101,10,FALSE),IF(BA1165="121-365 Days",VLOOKUP(D1165,[3]Extended!$B$9:$L$101,11,FALSE),VLOOKUP(D1165,[3]Extended!$B$9:$M$101,12,FALSE)))),0)</f>
        <v>0</v>
      </c>
      <c r="P1165" s="116" t="e">
        <f t="shared" si="91"/>
        <v>#VALUE!</v>
      </c>
      <c r="Q1165" s="110" t="e">
        <f>O1165-#REF!</f>
        <v>#REF!</v>
      </c>
      <c r="W1165" s="311"/>
      <c r="X1165" s="311"/>
      <c r="Y1165" s="311"/>
      <c r="Z1165" s="311"/>
      <c r="AA1165" s="311"/>
      <c r="AB1165" s="311"/>
      <c r="AC1165" s="311"/>
      <c r="AT1165" s="88" t="str">
        <f t="shared" si="92"/>
        <v>Special Order0</v>
      </c>
      <c r="AU1165" s="89" t="str">
        <f t="shared" si="93"/>
        <v>01-1900</v>
      </c>
      <c r="BA1165" s="92" t="str">
        <f t="shared" si="94"/>
        <v/>
      </c>
    </row>
    <row r="1166" spans="2:53">
      <c r="B1166" s="60">
        <f>[2]Trucks!A1163</f>
        <v>0</v>
      </c>
      <c r="C1166" s="11">
        <f>[2]Trucks!B1163</f>
        <v>0</v>
      </c>
      <c r="D1166" s="19" t="str">
        <f>IFERROR(VLOOKUP(C1166&amp;"",'[2]Retail Price List'!$A$3:$B$103,2,FALSE),"Special Order")</f>
        <v>Special Order</v>
      </c>
      <c r="E1166" s="18">
        <f>[2]Trucks!J1163</f>
        <v>0</v>
      </c>
      <c r="F1166" s="12">
        <f>[2]Trucks!E1163</f>
        <v>0</v>
      </c>
      <c r="G1166" s="56">
        <f>[2]Trucks!K1163</f>
        <v>0</v>
      </c>
      <c r="H1166" s="46">
        <f>[2]Trucks!I1163</f>
        <v>0</v>
      </c>
      <c r="I1166" s="83" t="str">
        <f t="shared" si="90"/>
        <v/>
      </c>
      <c r="J1166" s="272" t="str">
        <f>IFERROR(VLOOKUP((D1166&amp;C1166)&amp;"",'[2]Retail Price List'!$C$4:$F$102,3,FALSE),"")</f>
        <v/>
      </c>
      <c r="K1166" s="272">
        <f>IFERROR(IF(BA1166="WIP - 30 Days",VLOOKUP(D1166,[3]Standard!$B$9:$E$101,4,FALSE),IF(BA1166="31-120 Days",VLOOKUP(D1166,[3]Standard!$B$9:$F$101,5,FALSE),IF(BA1166="121-365 Days",VLOOKUP(D1166,[3]Standard!$B$9:$G$101,6,FALSE),VLOOKUP(D1166,[3]Standard!$B$9:$H$101,7,FALSE)))),0)</f>
        <v>0</v>
      </c>
      <c r="L1166" s="272">
        <f>IFERROR(IF(BA1166="WIP - 30 Days",VLOOKUP(D1166,[3]Standard!$B$9:$J$101,9,FALSE),IF(BA1166="31-120 Days",VLOOKUP(D1166,[3]Standard!$B$9:$K$100,10,FALSE),IF(BA1166="121-365 Days",VLOOKUP(D1166,[3]Standard!$B$9:$L$101,11,FALSE),VLOOKUP(D1166,[3]Standard!$B$9:$M$101,12,FALSE)))),0)</f>
        <v>0</v>
      </c>
      <c r="M1166" s="269" t="str">
        <f>IFERROR(VLOOKUP((D1166&amp;C1166)&amp;"",'[2]Retail Price List'!$C$4:$F$102,4,FALSE),"")</f>
        <v/>
      </c>
      <c r="N1166" s="269">
        <f>IFERROR(IF(BA1166="WIP - 30 Days",VLOOKUP(D1166,[3]Extended!$B$9:$E$101,4,FALSE),IF(BA1166="31-120 Days",VLOOKUP(D1166,[3]Extended!$B$9:$F$101,5,FALSE),IF(BA1166="121-365 Days",VLOOKUP(D1166,[3]Extended!$B$9:$G$101,6,FALSE),VLOOKUP(D1166,[3]Extended!$B$9:$H$101,7,FALSE)))),0)</f>
        <v>0</v>
      </c>
      <c r="O1166" s="269">
        <f>IFERROR(IF(BA1166="WIP - 30 Days",VLOOKUP(D1166,[3]Extended!$B$9:$J$101,9,FALSE),IF(BA1166="31-120 Days",VLOOKUP(D1166,[3]Extended!$B$9:$K$101,10,FALSE),IF(BA1166="121-365 Days",VLOOKUP(D1166,[3]Extended!$B$9:$L$101,11,FALSE),VLOOKUP(D1166,[3]Extended!$B$9:$M$101,12,FALSE)))),0)</f>
        <v>0</v>
      </c>
      <c r="P1166" s="116" t="e">
        <f t="shared" si="91"/>
        <v>#VALUE!</v>
      </c>
      <c r="Q1166" s="110" t="e">
        <f>O1166-#REF!</f>
        <v>#REF!</v>
      </c>
      <c r="W1166" s="311"/>
      <c r="X1166" s="311"/>
      <c r="Y1166" s="311"/>
      <c r="Z1166" s="311"/>
      <c r="AA1166" s="311"/>
      <c r="AB1166" s="311"/>
      <c r="AC1166" s="311"/>
      <c r="AT1166" s="88" t="str">
        <f t="shared" si="92"/>
        <v>Special Order0</v>
      </c>
      <c r="AU1166" s="89" t="str">
        <f t="shared" si="93"/>
        <v>01-1900</v>
      </c>
      <c r="BA1166" s="92" t="str">
        <f t="shared" si="94"/>
        <v/>
      </c>
    </row>
    <row r="1167" spans="2:53">
      <c r="B1167" s="60">
        <f>[2]Trucks!A1164</f>
        <v>0</v>
      </c>
      <c r="C1167" s="11">
        <f>[2]Trucks!B1164</f>
        <v>0</v>
      </c>
      <c r="D1167" s="19" t="str">
        <f>IFERROR(VLOOKUP(C1167&amp;"",'[2]Retail Price List'!$A$3:$B$103,2,FALSE),"Special Order")</f>
        <v>Special Order</v>
      </c>
      <c r="E1167" s="18">
        <f>[2]Trucks!J1164</f>
        <v>0</v>
      </c>
      <c r="F1167" s="12">
        <f>[2]Trucks!E1164</f>
        <v>0</v>
      </c>
      <c r="G1167" s="56">
        <f>[2]Trucks!K1164</f>
        <v>0</v>
      </c>
      <c r="H1167" s="46">
        <f>[2]Trucks!I1164</f>
        <v>0</v>
      </c>
      <c r="I1167" s="83" t="str">
        <f t="shared" si="90"/>
        <v/>
      </c>
      <c r="J1167" s="272" t="str">
        <f>IFERROR(VLOOKUP((D1167&amp;C1167)&amp;"",'[2]Retail Price List'!$C$4:$F$102,3,FALSE),"")</f>
        <v/>
      </c>
      <c r="K1167" s="272">
        <f>IFERROR(IF(BA1167="WIP - 30 Days",VLOOKUP(D1167,[3]Standard!$B$9:$E$101,4,FALSE),IF(BA1167="31-120 Days",VLOOKUP(D1167,[3]Standard!$B$9:$F$101,5,FALSE),IF(BA1167="121-365 Days",VLOOKUP(D1167,[3]Standard!$B$9:$G$101,6,FALSE),VLOOKUP(D1167,[3]Standard!$B$9:$H$101,7,FALSE)))),0)</f>
        <v>0</v>
      </c>
      <c r="L1167" s="272">
        <f>IFERROR(IF(BA1167="WIP - 30 Days",VLOOKUP(D1167,[3]Standard!$B$9:$J$101,9,FALSE),IF(BA1167="31-120 Days",VLOOKUP(D1167,[3]Standard!$B$9:$K$100,10,FALSE),IF(BA1167="121-365 Days",VLOOKUP(D1167,[3]Standard!$B$9:$L$101,11,FALSE),VLOOKUP(D1167,[3]Standard!$B$9:$M$101,12,FALSE)))),0)</f>
        <v>0</v>
      </c>
      <c r="M1167" s="269" t="str">
        <f>IFERROR(VLOOKUP((D1167&amp;C1167)&amp;"",'[2]Retail Price List'!$C$4:$F$102,4,FALSE),"")</f>
        <v/>
      </c>
      <c r="N1167" s="269">
        <f>IFERROR(IF(BA1167="WIP - 30 Days",VLOOKUP(D1167,[3]Extended!$B$9:$E$101,4,FALSE),IF(BA1167="31-120 Days",VLOOKUP(D1167,[3]Extended!$B$9:$F$101,5,FALSE),IF(BA1167="121-365 Days",VLOOKUP(D1167,[3]Extended!$B$9:$G$101,6,FALSE),VLOOKUP(D1167,[3]Extended!$B$9:$H$101,7,FALSE)))),0)</f>
        <v>0</v>
      </c>
      <c r="O1167" s="269">
        <f>IFERROR(IF(BA1167="WIP - 30 Days",VLOOKUP(D1167,[3]Extended!$B$9:$J$101,9,FALSE),IF(BA1167="31-120 Days",VLOOKUP(D1167,[3]Extended!$B$9:$K$101,10,FALSE),IF(BA1167="121-365 Days",VLOOKUP(D1167,[3]Extended!$B$9:$L$101,11,FALSE),VLOOKUP(D1167,[3]Extended!$B$9:$M$101,12,FALSE)))),0)</f>
        <v>0</v>
      </c>
      <c r="P1167" s="116" t="e">
        <f t="shared" si="91"/>
        <v>#VALUE!</v>
      </c>
      <c r="Q1167" s="110" t="e">
        <f>O1167-#REF!</f>
        <v>#REF!</v>
      </c>
      <c r="W1167" s="311"/>
      <c r="X1167" s="311"/>
      <c r="Y1167" s="311"/>
      <c r="Z1167" s="311"/>
      <c r="AA1167" s="311"/>
      <c r="AB1167" s="311"/>
      <c r="AC1167" s="311"/>
      <c r="AT1167" s="88" t="str">
        <f t="shared" si="92"/>
        <v>Special Order0</v>
      </c>
      <c r="AU1167" s="89" t="str">
        <f t="shared" si="93"/>
        <v>01-1900</v>
      </c>
      <c r="BA1167" s="92" t="str">
        <f t="shared" si="94"/>
        <v/>
      </c>
    </row>
    <row r="1168" spans="2:53">
      <c r="B1168" s="60">
        <f>[2]Trucks!A1165</f>
        <v>0</v>
      </c>
      <c r="C1168" s="11">
        <f>[2]Trucks!B1165</f>
        <v>0</v>
      </c>
      <c r="D1168" s="19" t="str">
        <f>IFERROR(VLOOKUP(C1168&amp;"",'[2]Retail Price List'!$A$3:$B$103,2,FALSE),"Special Order")</f>
        <v>Special Order</v>
      </c>
      <c r="E1168" s="18">
        <f>[2]Trucks!J1165</f>
        <v>0</v>
      </c>
      <c r="F1168" s="12">
        <f>[2]Trucks!E1165</f>
        <v>0</v>
      </c>
      <c r="G1168" s="56">
        <f>[2]Trucks!K1165</f>
        <v>0</v>
      </c>
      <c r="H1168" s="46">
        <f>[2]Trucks!I1165</f>
        <v>0</v>
      </c>
      <c r="I1168" s="83" t="str">
        <f t="shared" si="90"/>
        <v/>
      </c>
      <c r="J1168" s="272" t="str">
        <f>IFERROR(VLOOKUP((D1168&amp;C1168)&amp;"",'[2]Retail Price List'!$C$4:$F$102,3,FALSE),"")</f>
        <v/>
      </c>
      <c r="K1168" s="272">
        <f>IFERROR(IF(BA1168="WIP - 30 Days",VLOOKUP(D1168,[3]Standard!$B$9:$E$101,4,FALSE),IF(BA1168="31-120 Days",VLOOKUP(D1168,[3]Standard!$B$9:$F$101,5,FALSE),IF(BA1168="121-365 Days",VLOOKUP(D1168,[3]Standard!$B$9:$G$101,6,FALSE),VLOOKUP(D1168,[3]Standard!$B$9:$H$101,7,FALSE)))),0)</f>
        <v>0</v>
      </c>
      <c r="L1168" s="272">
        <f>IFERROR(IF(BA1168="WIP - 30 Days",VLOOKUP(D1168,[3]Standard!$B$9:$J$101,9,FALSE),IF(BA1168="31-120 Days",VLOOKUP(D1168,[3]Standard!$B$9:$K$100,10,FALSE),IF(BA1168="121-365 Days",VLOOKUP(D1168,[3]Standard!$B$9:$L$101,11,FALSE),VLOOKUP(D1168,[3]Standard!$B$9:$M$101,12,FALSE)))),0)</f>
        <v>0</v>
      </c>
      <c r="M1168" s="269" t="str">
        <f>IFERROR(VLOOKUP((D1168&amp;C1168)&amp;"",'[2]Retail Price List'!$C$4:$F$102,4,FALSE),"")</f>
        <v/>
      </c>
      <c r="N1168" s="269">
        <f>IFERROR(IF(BA1168="WIP - 30 Days",VLOOKUP(D1168,[3]Extended!$B$9:$E$101,4,FALSE),IF(BA1168="31-120 Days",VLOOKUP(D1168,[3]Extended!$B$9:$F$101,5,FALSE),IF(BA1168="121-365 Days",VLOOKUP(D1168,[3]Extended!$B$9:$G$101,6,FALSE),VLOOKUP(D1168,[3]Extended!$B$9:$H$101,7,FALSE)))),0)</f>
        <v>0</v>
      </c>
      <c r="O1168" s="269">
        <f>IFERROR(IF(BA1168="WIP - 30 Days",VLOOKUP(D1168,[3]Extended!$B$9:$J$101,9,FALSE),IF(BA1168="31-120 Days",VLOOKUP(D1168,[3]Extended!$B$9:$K$101,10,FALSE),IF(BA1168="121-365 Days",VLOOKUP(D1168,[3]Extended!$B$9:$L$101,11,FALSE),VLOOKUP(D1168,[3]Extended!$B$9:$M$101,12,FALSE)))),0)</f>
        <v>0</v>
      </c>
      <c r="P1168" s="116" t="e">
        <f t="shared" si="91"/>
        <v>#VALUE!</v>
      </c>
      <c r="Q1168" s="110" t="e">
        <f>O1168-#REF!</f>
        <v>#REF!</v>
      </c>
      <c r="W1168" s="311"/>
      <c r="X1168" s="311"/>
      <c r="Y1168" s="311"/>
      <c r="Z1168" s="311"/>
      <c r="AA1168" s="311"/>
      <c r="AB1168" s="311"/>
      <c r="AC1168" s="311"/>
      <c r="AT1168" s="88" t="str">
        <f t="shared" si="92"/>
        <v>Special Order0</v>
      </c>
      <c r="AU1168" s="89" t="str">
        <f t="shared" si="93"/>
        <v>01-1900</v>
      </c>
      <c r="BA1168" s="92" t="str">
        <f t="shared" si="94"/>
        <v/>
      </c>
    </row>
    <row r="1169" spans="2:53">
      <c r="B1169" s="60">
        <f>[2]Trucks!A1166</f>
        <v>0</v>
      </c>
      <c r="C1169" s="11">
        <f>[2]Trucks!B1166</f>
        <v>0</v>
      </c>
      <c r="D1169" s="19" t="str">
        <f>IFERROR(VLOOKUP(C1169&amp;"",'[2]Retail Price List'!$A$3:$B$103,2,FALSE),"Special Order")</f>
        <v>Special Order</v>
      </c>
      <c r="E1169" s="18">
        <f>[2]Trucks!J1166</f>
        <v>0</v>
      </c>
      <c r="F1169" s="12">
        <f>[2]Trucks!E1166</f>
        <v>0</v>
      </c>
      <c r="G1169" s="56">
        <f>[2]Trucks!K1166</f>
        <v>0</v>
      </c>
      <c r="H1169" s="46">
        <f>[2]Trucks!I1166</f>
        <v>0</v>
      </c>
      <c r="I1169" s="83" t="str">
        <f t="shared" si="90"/>
        <v/>
      </c>
      <c r="J1169" s="272" t="str">
        <f>IFERROR(VLOOKUP((D1169&amp;C1169)&amp;"",'[2]Retail Price List'!$C$4:$F$102,3,FALSE),"")</f>
        <v/>
      </c>
      <c r="K1169" s="272">
        <f>IFERROR(IF(BA1169="WIP - 30 Days",VLOOKUP(D1169,[3]Standard!$B$9:$E$101,4,FALSE),IF(BA1169="31-120 Days",VLOOKUP(D1169,[3]Standard!$B$9:$F$101,5,FALSE),IF(BA1169="121-365 Days",VLOOKUP(D1169,[3]Standard!$B$9:$G$101,6,FALSE),VLOOKUP(D1169,[3]Standard!$B$9:$H$101,7,FALSE)))),0)</f>
        <v>0</v>
      </c>
      <c r="L1169" s="272">
        <f>IFERROR(IF(BA1169="WIP - 30 Days",VLOOKUP(D1169,[3]Standard!$B$9:$J$101,9,FALSE),IF(BA1169="31-120 Days",VLOOKUP(D1169,[3]Standard!$B$9:$K$100,10,FALSE),IF(BA1169="121-365 Days",VLOOKUP(D1169,[3]Standard!$B$9:$L$101,11,FALSE),VLOOKUP(D1169,[3]Standard!$B$9:$M$101,12,FALSE)))),0)</f>
        <v>0</v>
      </c>
      <c r="M1169" s="269" t="str">
        <f>IFERROR(VLOOKUP((D1169&amp;C1169)&amp;"",'[2]Retail Price List'!$C$4:$F$102,4,FALSE),"")</f>
        <v/>
      </c>
      <c r="N1169" s="269">
        <f>IFERROR(IF(BA1169="WIP - 30 Days",VLOOKUP(D1169,[3]Extended!$B$9:$E$101,4,FALSE),IF(BA1169="31-120 Days",VLOOKUP(D1169,[3]Extended!$B$9:$F$101,5,FALSE),IF(BA1169="121-365 Days",VLOOKUP(D1169,[3]Extended!$B$9:$G$101,6,FALSE),VLOOKUP(D1169,[3]Extended!$B$9:$H$101,7,FALSE)))),0)</f>
        <v>0</v>
      </c>
      <c r="O1169" s="269">
        <f>IFERROR(IF(BA1169="WIP - 30 Days",VLOOKUP(D1169,[3]Extended!$B$9:$J$101,9,FALSE),IF(BA1169="31-120 Days",VLOOKUP(D1169,[3]Extended!$B$9:$K$101,10,FALSE),IF(BA1169="121-365 Days",VLOOKUP(D1169,[3]Extended!$B$9:$L$101,11,FALSE),VLOOKUP(D1169,[3]Extended!$B$9:$M$101,12,FALSE)))),0)</f>
        <v>0</v>
      </c>
      <c r="P1169" s="116" t="e">
        <f t="shared" si="91"/>
        <v>#VALUE!</v>
      </c>
      <c r="Q1169" s="110" t="e">
        <f>O1169-#REF!</f>
        <v>#REF!</v>
      </c>
      <c r="W1169" s="311"/>
      <c r="X1169" s="311"/>
      <c r="Y1169" s="311"/>
      <c r="Z1169" s="311"/>
      <c r="AA1169" s="311"/>
      <c r="AB1169" s="311"/>
      <c r="AC1169" s="311"/>
      <c r="AT1169" s="88" t="str">
        <f t="shared" si="92"/>
        <v>Special Order0</v>
      </c>
      <c r="AU1169" s="89" t="str">
        <f t="shared" si="93"/>
        <v>01-1900</v>
      </c>
      <c r="BA1169" s="92" t="str">
        <f t="shared" si="94"/>
        <v/>
      </c>
    </row>
    <row r="1170" spans="2:53">
      <c r="B1170" s="60">
        <f>[2]Trucks!A1167</f>
        <v>0</v>
      </c>
      <c r="C1170" s="11">
        <f>[2]Trucks!B1167</f>
        <v>0</v>
      </c>
      <c r="D1170" s="19" t="str">
        <f>IFERROR(VLOOKUP(C1170&amp;"",'[2]Retail Price List'!$A$3:$B$103,2,FALSE),"Special Order")</f>
        <v>Special Order</v>
      </c>
      <c r="E1170" s="18">
        <f>[2]Trucks!J1167</f>
        <v>0</v>
      </c>
      <c r="F1170" s="12">
        <f>[2]Trucks!E1167</f>
        <v>0</v>
      </c>
      <c r="G1170" s="56">
        <f>[2]Trucks!K1167</f>
        <v>0</v>
      </c>
      <c r="H1170" s="46">
        <f>[2]Trucks!I1167</f>
        <v>0</v>
      </c>
      <c r="I1170" s="83" t="str">
        <f t="shared" si="90"/>
        <v/>
      </c>
      <c r="J1170" s="272" t="str">
        <f>IFERROR(VLOOKUP((D1170&amp;C1170)&amp;"",'[2]Retail Price List'!$C$4:$F$102,3,FALSE),"")</f>
        <v/>
      </c>
      <c r="K1170" s="272">
        <f>IFERROR(IF(BA1170="WIP - 30 Days",VLOOKUP(D1170,[3]Standard!$B$9:$E$101,4,FALSE),IF(BA1170="31-120 Days",VLOOKUP(D1170,[3]Standard!$B$9:$F$101,5,FALSE),IF(BA1170="121-365 Days",VLOOKUP(D1170,[3]Standard!$B$9:$G$101,6,FALSE),VLOOKUP(D1170,[3]Standard!$B$9:$H$101,7,FALSE)))),0)</f>
        <v>0</v>
      </c>
      <c r="L1170" s="272">
        <f>IFERROR(IF(BA1170="WIP - 30 Days",VLOOKUP(D1170,[3]Standard!$B$9:$J$101,9,FALSE),IF(BA1170="31-120 Days",VLOOKUP(D1170,[3]Standard!$B$9:$K$100,10,FALSE),IF(BA1170="121-365 Days",VLOOKUP(D1170,[3]Standard!$B$9:$L$101,11,FALSE),VLOOKUP(D1170,[3]Standard!$B$9:$M$101,12,FALSE)))),0)</f>
        <v>0</v>
      </c>
      <c r="M1170" s="269" t="str">
        <f>IFERROR(VLOOKUP((D1170&amp;C1170)&amp;"",'[2]Retail Price List'!$C$4:$F$102,4,FALSE),"")</f>
        <v/>
      </c>
      <c r="N1170" s="269">
        <f>IFERROR(IF(BA1170="WIP - 30 Days",VLOOKUP(D1170,[3]Extended!$B$9:$E$101,4,FALSE),IF(BA1170="31-120 Days",VLOOKUP(D1170,[3]Extended!$B$9:$F$101,5,FALSE),IF(BA1170="121-365 Days",VLOOKUP(D1170,[3]Extended!$B$9:$G$101,6,FALSE),VLOOKUP(D1170,[3]Extended!$B$9:$H$101,7,FALSE)))),0)</f>
        <v>0</v>
      </c>
      <c r="O1170" s="269">
        <f>IFERROR(IF(BA1170="WIP - 30 Days",VLOOKUP(D1170,[3]Extended!$B$9:$J$101,9,FALSE),IF(BA1170="31-120 Days",VLOOKUP(D1170,[3]Extended!$B$9:$K$101,10,FALSE),IF(BA1170="121-365 Days",VLOOKUP(D1170,[3]Extended!$B$9:$L$101,11,FALSE),VLOOKUP(D1170,[3]Extended!$B$9:$M$101,12,FALSE)))),0)</f>
        <v>0</v>
      </c>
      <c r="P1170" s="116" t="e">
        <f t="shared" si="91"/>
        <v>#VALUE!</v>
      </c>
      <c r="Q1170" s="110" t="e">
        <f>O1170-#REF!</f>
        <v>#REF!</v>
      </c>
      <c r="W1170" s="311"/>
      <c r="X1170" s="311"/>
      <c r="Y1170" s="311"/>
      <c r="Z1170" s="311"/>
      <c r="AA1170" s="311"/>
      <c r="AB1170" s="311"/>
      <c r="AC1170" s="311"/>
      <c r="AT1170" s="88" t="str">
        <f t="shared" si="92"/>
        <v>Special Order0</v>
      </c>
      <c r="AU1170" s="89" t="str">
        <f t="shared" si="93"/>
        <v>01-1900</v>
      </c>
      <c r="BA1170" s="92" t="str">
        <f t="shared" si="94"/>
        <v/>
      </c>
    </row>
    <row r="1171" spans="2:53">
      <c r="B1171" s="60">
        <f>[2]Trucks!A1168</f>
        <v>0</v>
      </c>
      <c r="C1171" s="11">
        <f>[2]Trucks!B1168</f>
        <v>0</v>
      </c>
      <c r="D1171" s="19" t="str">
        <f>IFERROR(VLOOKUP(C1171&amp;"",'[2]Retail Price List'!$A$3:$B$103,2,FALSE),"Special Order")</f>
        <v>Special Order</v>
      </c>
      <c r="E1171" s="18">
        <f>[2]Trucks!J1168</f>
        <v>0</v>
      </c>
      <c r="F1171" s="12">
        <f>[2]Trucks!E1168</f>
        <v>0</v>
      </c>
      <c r="G1171" s="56">
        <f>[2]Trucks!K1168</f>
        <v>0</v>
      </c>
      <c r="H1171" s="46">
        <f>[2]Trucks!I1168</f>
        <v>0</v>
      </c>
      <c r="I1171" s="83" t="str">
        <f t="shared" si="90"/>
        <v/>
      </c>
      <c r="J1171" s="272" t="str">
        <f>IFERROR(VLOOKUP((D1171&amp;C1171)&amp;"",'[2]Retail Price List'!$C$4:$F$102,3,FALSE),"")</f>
        <v/>
      </c>
      <c r="K1171" s="272">
        <f>IFERROR(IF(BA1171="WIP - 30 Days",VLOOKUP(D1171,[3]Standard!$B$9:$E$101,4,FALSE),IF(BA1171="31-120 Days",VLOOKUP(D1171,[3]Standard!$B$9:$F$101,5,FALSE),IF(BA1171="121-365 Days",VLOOKUP(D1171,[3]Standard!$B$9:$G$101,6,FALSE),VLOOKUP(D1171,[3]Standard!$B$9:$H$101,7,FALSE)))),0)</f>
        <v>0</v>
      </c>
      <c r="L1171" s="272">
        <f>IFERROR(IF(BA1171="WIP - 30 Days",VLOOKUP(D1171,[3]Standard!$B$9:$J$101,9,FALSE),IF(BA1171="31-120 Days",VLOOKUP(D1171,[3]Standard!$B$9:$K$100,10,FALSE),IF(BA1171="121-365 Days",VLOOKUP(D1171,[3]Standard!$B$9:$L$101,11,FALSE),VLOOKUP(D1171,[3]Standard!$B$9:$M$101,12,FALSE)))),0)</f>
        <v>0</v>
      </c>
      <c r="M1171" s="269" t="str">
        <f>IFERROR(VLOOKUP((D1171&amp;C1171)&amp;"",'[2]Retail Price List'!$C$4:$F$102,4,FALSE),"")</f>
        <v/>
      </c>
      <c r="N1171" s="269">
        <f>IFERROR(IF(BA1171="WIP - 30 Days",VLOOKUP(D1171,[3]Extended!$B$9:$E$101,4,FALSE),IF(BA1171="31-120 Days",VLOOKUP(D1171,[3]Extended!$B$9:$F$101,5,FALSE),IF(BA1171="121-365 Days",VLOOKUP(D1171,[3]Extended!$B$9:$G$101,6,FALSE),VLOOKUP(D1171,[3]Extended!$B$9:$H$101,7,FALSE)))),0)</f>
        <v>0</v>
      </c>
      <c r="O1171" s="269">
        <f>IFERROR(IF(BA1171="WIP - 30 Days",VLOOKUP(D1171,[3]Extended!$B$9:$J$101,9,FALSE),IF(BA1171="31-120 Days",VLOOKUP(D1171,[3]Extended!$B$9:$K$101,10,FALSE),IF(BA1171="121-365 Days",VLOOKUP(D1171,[3]Extended!$B$9:$L$101,11,FALSE),VLOOKUP(D1171,[3]Extended!$B$9:$M$101,12,FALSE)))),0)</f>
        <v>0</v>
      </c>
      <c r="P1171" s="116" t="e">
        <f t="shared" si="91"/>
        <v>#VALUE!</v>
      </c>
      <c r="Q1171" s="110" t="e">
        <f>O1171-#REF!</f>
        <v>#REF!</v>
      </c>
      <c r="W1171" s="311"/>
      <c r="X1171" s="311"/>
      <c r="Y1171" s="311"/>
      <c r="Z1171" s="311"/>
      <c r="AA1171" s="311"/>
      <c r="AB1171" s="311"/>
      <c r="AC1171" s="311"/>
      <c r="AT1171" s="88" t="str">
        <f t="shared" si="92"/>
        <v>Special Order0</v>
      </c>
      <c r="AU1171" s="89" t="str">
        <f t="shared" si="93"/>
        <v>01-1900</v>
      </c>
      <c r="BA1171" s="92" t="str">
        <f t="shared" si="94"/>
        <v/>
      </c>
    </row>
    <row r="1172" spans="2:53">
      <c r="B1172" s="60">
        <f>[2]Trucks!A1169</f>
        <v>0</v>
      </c>
      <c r="C1172" s="11">
        <f>[2]Trucks!B1169</f>
        <v>0</v>
      </c>
      <c r="D1172" s="19" t="str">
        <f>IFERROR(VLOOKUP(C1172&amp;"",'[2]Retail Price List'!$A$3:$B$103,2,FALSE),"Special Order")</f>
        <v>Special Order</v>
      </c>
      <c r="E1172" s="18">
        <f>[2]Trucks!J1169</f>
        <v>0</v>
      </c>
      <c r="F1172" s="12">
        <f>[2]Trucks!E1169</f>
        <v>0</v>
      </c>
      <c r="G1172" s="56">
        <f>[2]Trucks!K1169</f>
        <v>0</v>
      </c>
      <c r="H1172" s="46">
        <f>[2]Trucks!I1169</f>
        <v>0</v>
      </c>
      <c r="I1172" s="83" t="str">
        <f t="shared" si="90"/>
        <v/>
      </c>
      <c r="J1172" s="272" t="str">
        <f>IFERROR(VLOOKUP((D1172&amp;C1172)&amp;"",'[2]Retail Price List'!$C$4:$F$102,3,FALSE),"")</f>
        <v/>
      </c>
      <c r="K1172" s="272">
        <f>IFERROR(IF(BA1172="WIP - 30 Days",VLOOKUP(D1172,[3]Standard!$B$9:$E$101,4,FALSE),IF(BA1172="31-120 Days",VLOOKUP(D1172,[3]Standard!$B$9:$F$101,5,FALSE),IF(BA1172="121-365 Days",VLOOKUP(D1172,[3]Standard!$B$9:$G$101,6,FALSE),VLOOKUP(D1172,[3]Standard!$B$9:$H$101,7,FALSE)))),0)</f>
        <v>0</v>
      </c>
      <c r="L1172" s="272">
        <f>IFERROR(IF(BA1172="WIP - 30 Days",VLOOKUP(D1172,[3]Standard!$B$9:$J$101,9,FALSE),IF(BA1172="31-120 Days",VLOOKUP(D1172,[3]Standard!$B$9:$K$100,10,FALSE),IF(BA1172="121-365 Days",VLOOKUP(D1172,[3]Standard!$B$9:$L$101,11,FALSE),VLOOKUP(D1172,[3]Standard!$B$9:$M$101,12,FALSE)))),0)</f>
        <v>0</v>
      </c>
      <c r="M1172" s="269" t="str">
        <f>IFERROR(VLOOKUP((D1172&amp;C1172)&amp;"",'[2]Retail Price List'!$C$4:$F$102,4,FALSE),"")</f>
        <v/>
      </c>
      <c r="N1172" s="269">
        <f>IFERROR(IF(BA1172="WIP - 30 Days",VLOOKUP(D1172,[3]Extended!$B$9:$E$101,4,FALSE),IF(BA1172="31-120 Days",VLOOKUP(D1172,[3]Extended!$B$9:$F$101,5,FALSE),IF(BA1172="121-365 Days",VLOOKUP(D1172,[3]Extended!$B$9:$G$101,6,FALSE),VLOOKUP(D1172,[3]Extended!$B$9:$H$101,7,FALSE)))),0)</f>
        <v>0</v>
      </c>
      <c r="O1172" s="269">
        <f>IFERROR(IF(BA1172="WIP - 30 Days",VLOOKUP(D1172,[3]Extended!$B$9:$J$101,9,FALSE),IF(BA1172="31-120 Days",VLOOKUP(D1172,[3]Extended!$B$9:$K$101,10,FALSE),IF(BA1172="121-365 Days",VLOOKUP(D1172,[3]Extended!$B$9:$L$101,11,FALSE),VLOOKUP(D1172,[3]Extended!$B$9:$M$101,12,FALSE)))),0)</f>
        <v>0</v>
      </c>
      <c r="P1172" s="116" t="e">
        <f t="shared" si="91"/>
        <v>#VALUE!</v>
      </c>
      <c r="Q1172" s="110" t="e">
        <f>O1172-#REF!</f>
        <v>#REF!</v>
      </c>
      <c r="W1172" s="311"/>
      <c r="X1172" s="311"/>
      <c r="Y1172" s="311"/>
      <c r="Z1172" s="311"/>
      <c r="AA1172" s="311"/>
      <c r="AB1172" s="311"/>
      <c r="AC1172" s="311"/>
      <c r="AT1172" s="88" t="str">
        <f t="shared" si="92"/>
        <v>Special Order0</v>
      </c>
      <c r="AU1172" s="89" t="str">
        <f t="shared" si="93"/>
        <v>01-1900</v>
      </c>
      <c r="BA1172" s="92" t="str">
        <f t="shared" si="94"/>
        <v/>
      </c>
    </row>
    <row r="1173" spans="2:53">
      <c r="B1173" s="60">
        <f>[2]Trucks!A1170</f>
        <v>0</v>
      </c>
      <c r="C1173" s="11">
        <f>[2]Trucks!B1170</f>
        <v>0</v>
      </c>
      <c r="D1173" s="19" t="str">
        <f>IFERROR(VLOOKUP(C1173&amp;"",'[2]Retail Price List'!$A$3:$B$103,2,FALSE),"Special Order")</f>
        <v>Special Order</v>
      </c>
      <c r="E1173" s="18">
        <f>[2]Trucks!J1170</f>
        <v>0</v>
      </c>
      <c r="F1173" s="12">
        <f>[2]Trucks!E1170</f>
        <v>0</v>
      </c>
      <c r="G1173" s="56">
        <f>[2]Trucks!K1170</f>
        <v>0</v>
      </c>
      <c r="H1173" s="46">
        <f>[2]Trucks!I1170</f>
        <v>0</v>
      </c>
      <c r="I1173" s="83" t="str">
        <f t="shared" si="90"/>
        <v/>
      </c>
      <c r="J1173" s="272" t="str">
        <f>IFERROR(VLOOKUP((D1173&amp;C1173)&amp;"",'[2]Retail Price List'!$C$4:$F$102,3,FALSE),"")</f>
        <v/>
      </c>
      <c r="K1173" s="272">
        <f>IFERROR(IF(BA1173="WIP - 30 Days",VLOOKUP(D1173,[3]Standard!$B$9:$E$101,4,FALSE),IF(BA1173="31-120 Days",VLOOKUP(D1173,[3]Standard!$B$9:$F$101,5,FALSE),IF(BA1173="121-365 Days",VLOOKUP(D1173,[3]Standard!$B$9:$G$101,6,FALSE),VLOOKUP(D1173,[3]Standard!$B$9:$H$101,7,FALSE)))),0)</f>
        <v>0</v>
      </c>
      <c r="L1173" s="272">
        <f>IFERROR(IF(BA1173="WIP - 30 Days",VLOOKUP(D1173,[3]Standard!$B$9:$J$101,9,FALSE),IF(BA1173="31-120 Days",VLOOKUP(D1173,[3]Standard!$B$9:$K$100,10,FALSE),IF(BA1173="121-365 Days",VLOOKUP(D1173,[3]Standard!$B$9:$L$101,11,FALSE),VLOOKUP(D1173,[3]Standard!$B$9:$M$101,12,FALSE)))),0)</f>
        <v>0</v>
      </c>
      <c r="M1173" s="269" t="str">
        <f>IFERROR(VLOOKUP((D1173&amp;C1173)&amp;"",'[2]Retail Price List'!$C$4:$F$102,4,FALSE),"")</f>
        <v/>
      </c>
      <c r="N1173" s="269">
        <f>IFERROR(IF(BA1173="WIP - 30 Days",VLOOKUP(D1173,[3]Extended!$B$9:$E$101,4,FALSE),IF(BA1173="31-120 Days",VLOOKUP(D1173,[3]Extended!$B$9:$F$101,5,FALSE),IF(BA1173="121-365 Days",VLOOKUP(D1173,[3]Extended!$B$9:$G$101,6,FALSE),VLOOKUP(D1173,[3]Extended!$B$9:$H$101,7,FALSE)))),0)</f>
        <v>0</v>
      </c>
      <c r="O1173" s="269">
        <f>IFERROR(IF(BA1173="WIP - 30 Days",VLOOKUP(D1173,[3]Extended!$B$9:$J$101,9,FALSE),IF(BA1173="31-120 Days",VLOOKUP(D1173,[3]Extended!$B$9:$K$101,10,FALSE),IF(BA1173="121-365 Days",VLOOKUP(D1173,[3]Extended!$B$9:$L$101,11,FALSE),VLOOKUP(D1173,[3]Extended!$B$9:$M$101,12,FALSE)))),0)</f>
        <v>0</v>
      </c>
      <c r="P1173" s="116" t="e">
        <f t="shared" si="91"/>
        <v>#VALUE!</v>
      </c>
      <c r="Q1173" s="110" t="e">
        <f>O1173-#REF!</f>
        <v>#REF!</v>
      </c>
      <c r="W1173" s="311"/>
      <c r="X1173" s="311"/>
      <c r="Y1173" s="311"/>
      <c r="Z1173" s="311"/>
      <c r="AA1173" s="311"/>
      <c r="AB1173" s="311"/>
      <c r="AC1173" s="311"/>
      <c r="AT1173" s="88" t="str">
        <f t="shared" si="92"/>
        <v>Special Order0</v>
      </c>
      <c r="AU1173" s="89" t="str">
        <f t="shared" si="93"/>
        <v>01-1900</v>
      </c>
      <c r="BA1173" s="92" t="str">
        <f t="shared" si="94"/>
        <v/>
      </c>
    </row>
    <row r="1174" spans="2:53">
      <c r="B1174" s="60">
        <f>[2]Trucks!A1171</f>
        <v>0</v>
      </c>
      <c r="C1174" s="11">
        <f>[2]Trucks!B1171</f>
        <v>0</v>
      </c>
      <c r="D1174" s="19" t="str">
        <f>IFERROR(VLOOKUP(C1174&amp;"",'[2]Retail Price List'!$A$3:$B$103,2,FALSE),"Special Order")</f>
        <v>Special Order</v>
      </c>
      <c r="E1174" s="18">
        <f>[2]Trucks!J1171</f>
        <v>0</v>
      </c>
      <c r="F1174" s="12">
        <f>[2]Trucks!E1171</f>
        <v>0</v>
      </c>
      <c r="G1174" s="56">
        <f>[2]Trucks!K1171</f>
        <v>0</v>
      </c>
      <c r="H1174" s="46">
        <f>[2]Trucks!I1171</f>
        <v>0</v>
      </c>
      <c r="I1174" s="83" t="str">
        <f t="shared" si="90"/>
        <v/>
      </c>
      <c r="J1174" s="272" t="str">
        <f>IFERROR(VLOOKUP((D1174&amp;C1174)&amp;"",'[2]Retail Price List'!$C$4:$F$102,3,FALSE),"")</f>
        <v/>
      </c>
      <c r="K1174" s="272">
        <f>IFERROR(IF(BA1174="WIP - 30 Days",VLOOKUP(D1174,[3]Standard!$B$9:$E$101,4,FALSE),IF(BA1174="31-120 Days",VLOOKUP(D1174,[3]Standard!$B$9:$F$101,5,FALSE),IF(BA1174="121-365 Days",VLOOKUP(D1174,[3]Standard!$B$9:$G$101,6,FALSE),VLOOKUP(D1174,[3]Standard!$B$9:$H$101,7,FALSE)))),0)</f>
        <v>0</v>
      </c>
      <c r="L1174" s="272">
        <f>IFERROR(IF(BA1174="WIP - 30 Days",VLOOKUP(D1174,[3]Standard!$B$9:$J$101,9,FALSE),IF(BA1174="31-120 Days",VLOOKUP(D1174,[3]Standard!$B$9:$K$100,10,FALSE),IF(BA1174="121-365 Days",VLOOKUP(D1174,[3]Standard!$B$9:$L$101,11,FALSE),VLOOKUP(D1174,[3]Standard!$B$9:$M$101,12,FALSE)))),0)</f>
        <v>0</v>
      </c>
      <c r="M1174" s="269" t="str">
        <f>IFERROR(VLOOKUP((D1174&amp;C1174)&amp;"",'[2]Retail Price List'!$C$4:$F$102,4,FALSE),"")</f>
        <v/>
      </c>
      <c r="N1174" s="269">
        <f>IFERROR(IF(BA1174="WIP - 30 Days",VLOOKUP(D1174,[3]Extended!$B$9:$E$101,4,FALSE),IF(BA1174="31-120 Days",VLOOKUP(D1174,[3]Extended!$B$9:$F$101,5,FALSE),IF(BA1174="121-365 Days",VLOOKUP(D1174,[3]Extended!$B$9:$G$101,6,FALSE),VLOOKUP(D1174,[3]Extended!$B$9:$H$101,7,FALSE)))),0)</f>
        <v>0</v>
      </c>
      <c r="O1174" s="269">
        <f>IFERROR(IF(BA1174="WIP - 30 Days",VLOOKUP(D1174,[3]Extended!$B$9:$J$101,9,FALSE),IF(BA1174="31-120 Days",VLOOKUP(D1174,[3]Extended!$B$9:$K$101,10,FALSE),IF(BA1174="121-365 Days",VLOOKUP(D1174,[3]Extended!$B$9:$L$101,11,FALSE),VLOOKUP(D1174,[3]Extended!$B$9:$M$101,12,FALSE)))),0)</f>
        <v>0</v>
      </c>
      <c r="P1174" s="116" t="e">
        <f t="shared" si="91"/>
        <v>#VALUE!</v>
      </c>
      <c r="Q1174" s="110" t="e">
        <f>O1174-#REF!</f>
        <v>#REF!</v>
      </c>
      <c r="W1174" s="311"/>
      <c r="X1174" s="311"/>
      <c r="Y1174" s="311"/>
      <c r="Z1174" s="311"/>
      <c r="AA1174" s="311"/>
      <c r="AB1174" s="311"/>
      <c r="AC1174" s="311"/>
      <c r="AT1174" s="88" t="str">
        <f t="shared" si="92"/>
        <v>Special Order0</v>
      </c>
      <c r="AU1174" s="89" t="str">
        <f t="shared" si="93"/>
        <v>01-1900</v>
      </c>
      <c r="BA1174" s="92" t="str">
        <f t="shared" si="94"/>
        <v/>
      </c>
    </row>
    <row r="1175" spans="2:53">
      <c r="B1175" s="60">
        <f>[2]Trucks!A1172</f>
        <v>0</v>
      </c>
      <c r="C1175" s="11">
        <f>[2]Trucks!B1172</f>
        <v>0</v>
      </c>
      <c r="D1175" s="19" t="str">
        <f>IFERROR(VLOOKUP(C1175&amp;"",'[2]Retail Price List'!$A$3:$B$103,2,FALSE),"Special Order")</f>
        <v>Special Order</v>
      </c>
      <c r="E1175" s="18">
        <f>[2]Trucks!J1172</f>
        <v>0</v>
      </c>
      <c r="F1175" s="12">
        <f>[2]Trucks!E1172</f>
        <v>0</v>
      </c>
      <c r="G1175" s="56">
        <f>[2]Trucks!K1172</f>
        <v>0</v>
      </c>
      <c r="H1175" s="46">
        <f>[2]Trucks!I1172</f>
        <v>0</v>
      </c>
      <c r="I1175" s="83" t="str">
        <f t="shared" si="90"/>
        <v/>
      </c>
      <c r="J1175" s="272" t="str">
        <f>IFERROR(VLOOKUP((D1175&amp;C1175)&amp;"",'[2]Retail Price List'!$C$4:$F$102,3,FALSE),"")</f>
        <v/>
      </c>
      <c r="K1175" s="272">
        <f>IFERROR(IF(BA1175="WIP - 30 Days",VLOOKUP(D1175,[3]Standard!$B$9:$E$101,4,FALSE),IF(BA1175="31-120 Days",VLOOKUP(D1175,[3]Standard!$B$9:$F$101,5,FALSE),IF(BA1175="121-365 Days",VLOOKUP(D1175,[3]Standard!$B$9:$G$101,6,FALSE),VLOOKUP(D1175,[3]Standard!$B$9:$H$101,7,FALSE)))),0)</f>
        <v>0</v>
      </c>
      <c r="L1175" s="272">
        <f>IFERROR(IF(BA1175="WIP - 30 Days",VLOOKUP(D1175,[3]Standard!$B$9:$J$101,9,FALSE),IF(BA1175="31-120 Days",VLOOKUP(D1175,[3]Standard!$B$9:$K$100,10,FALSE),IF(BA1175="121-365 Days",VLOOKUP(D1175,[3]Standard!$B$9:$L$101,11,FALSE),VLOOKUP(D1175,[3]Standard!$B$9:$M$101,12,FALSE)))),0)</f>
        <v>0</v>
      </c>
      <c r="M1175" s="269" t="str">
        <f>IFERROR(VLOOKUP((D1175&amp;C1175)&amp;"",'[2]Retail Price List'!$C$4:$F$102,4,FALSE),"")</f>
        <v/>
      </c>
      <c r="N1175" s="269">
        <f>IFERROR(IF(BA1175="WIP - 30 Days",VLOOKUP(D1175,[3]Extended!$B$9:$E$101,4,FALSE),IF(BA1175="31-120 Days",VLOOKUP(D1175,[3]Extended!$B$9:$F$101,5,FALSE),IF(BA1175="121-365 Days",VLOOKUP(D1175,[3]Extended!$B$9:$G$101,6,FALSE),VLOOKUP(D1175,[3]Extended!$B$9:$H$101,7,FALSE)))),0)</f>
        <v>0</v>
      </c>
      <c r="O1175" s="269">
        <f>IFERROR(IF(BA1175="WIP - 30 Days",VLOOKUP(D1175,[3]Extended!$B$9:$J$101,9,FALSE),IF(BA1175="31-120 Days",VLOOKUP(D1175,[3]Extended!$B$9:$K$101,10,FALSE),IF(BA1175="121-365 Days",VLOOKUP(D1175,[3]Extended!$B$9:$L$101,11,FALSE),VLOOKUP(D1175,[3]Extended!$B$9:$M$101,12,FALSE)))),0)</f>
        <v>0</v>
      </c>
      <c r="P1175" s="116" t="e">
        <f t="shared" si="91"/>
        <v>#VALUE!</v>
      </c>
      <c r="Q1175" s="110" t="e">
        <f>O1175-#REF!</f>
        <v>#REF!</v>
      </c>
      <c r="W1175" s="311"/>
      <c r="X1175" s="311"/>
      <c r="Y1175" s="311"/>
      <c r="Z1175" s="311"/>
      <c r="AA1175" s="311"/>
      <c r="AB1175" s="311"/>
      <c r="AC1175" s="311"/>
      <c r="AT1175" s="88" t="str">
        <f t="shared" si="92"/>
        <v>Special Order0</v>
      </c>
      <c r="AU1175" s="89" t="str">
        <f t="shared" si="93"/>
        <v>01-1900</v>
      </c>
      <c r="BA1175" s="92" t="str">
        <f t="shared" si="94"/>
        <v/>
      </c>
    </row>
    <row r="1176" spans="2:53">
      <c r="B1176" s="60">
        <f>[2]Trucks!A1173</f>
        <v>0</v>
      </c>
      <c r="C1176" s="11">
        <f>[2]Trucks!B1173</f>
        <v>0</v>
      </c>
      <c r="D1176" s="19" t="str">
        <f>IFERROR(VLOOKUP(C1176&amp;"",'[2]Retail Price List'!$A$3:$B$103,2,FALSE),"Special Order")</f>
        <v>Special Order</v>
      </c>
      <c r="E1176" s="18">
        <f>[2]Trucks!J1173</f>
        <v>0</v>
      </c>
      <c r="F1176" s="12">
        <f>[2]Trucks!E1173</f>
        <v>0</v>
      </c>
      <c r="G1176" s="56">
        <f>[2]Trucks!K1173</f>
        <v>0</v>
      </c>
      <c r="H1176" s="46">
        <f>[2]Trucks!I1173</f>
        <v>0</v>
      </c>
      <c r="I1176" s="83" t="str">
        <f t="shared" si="90"/>
        <v/>
      </c>
      <c r="J1176" s="272" t="str">
        <f>IFERROR(VLOOKUP((D1176&amp;C1176)&amp;"",'[2]Retail Price List'!$C$4:$F$102,3,FALSE),"")</f>
        <v/>
      </c>
      <c r="K1176" s="272">
        <f>IFERROR(IF(BA1176="WIP - 30 Days",VLOOKUP(D1176,[3]Standard!$B$9:$E$101,4,FALSE),IF(BA1176="31-120 Days",VLOOKUP(D1176,[3]Standard!$B$9:$F$101,5,FALSE),IF(BA1176="121-365 Days",VLOOKUP(D1176,[3]Standard!$B$9:$G$101,6,FALSE),VLOOKUP(D1176,[3]Standard!$B$9:$H$101,7,FALSE)))),0)</f>
        <v>0</v>
      </c>
      <c r="L1176" s="272">
        <f>IFERROR(IF(BA1176="WIP - 30 Days",VLOOKUP(D1176,[3]Standard!$B$9:$J$101,9,FALSE),IF(BA1176="31-120 Days",VLOOKUP(D1176,[3]Standard!$B$9:$K$100,10,FALSE),IF(BA1176="121-365 Days",VLOOKUP(D1176,[3]Standard!$B$9:$L$101,11,FALSE),VLOOKUP(D1176,[3]Standard!$B$9:$M$101,12,FALSE)))),0)</f>
        <v>0</v>
      </c>
      <c r="M1176" s="269" t="str">
        <f>IFERROR(VLOOKUP((D1176&amp;C1176)&amp;"",'[2]Retail Price List'!$C$4:$F$102,4,FALSE),"")</f>
        <v/>
      </c>
      <c r="N1176" s="269">
        <f>IFERROR(IF(BA1176="WIP - 30 Days",VLOOKUP(D1176,[3]Extended!$B$9:$E$101,4,FALSE),IF(BA1176="31-120 Days",VLOOKUP(D1176,[3]Extended!$B$9:$F$101,5,FALSE),IF(BA1176="121-365 Days",VLOOKUP(D1176,[3]Extended!$B$9:$G$101,6,FALSE),VLOOKUP(D1176,[3]Extended!$B$9:$H$101,7,FALSE)))),0)</f>
        <v>0</v>
      </c>
      <c r="O1176" s="269">
        <f>IFERROR(IF(BA1176="WIP - 30 Days",VLOOKUP(D1176,[3]Extended!$B$9:$J$101,9,FALSE),IF(BA1176="31-120 Days",VLOOKUP(D1176,[3]Extended!$B$9:$K$101,10,FALSE),IF(BA1176="121-365 Days",VLOOKUP(D1176,[3]Extended!$B$9:$L$101,11,FALSE),VLOOKUP(D1176,[3]Extended!$B$9:$M$101,12,FALSE)))),0)</f>
        <v>0</v>
      </c>
      <c r="P1176" s="116" t="e">
        <f t="shared" si="91"/>
        <v>#VALUE!</v>
      </c>
      <c r="Q1176" s="110" t="e">
        <f>O1176-#REF!</f>
        <v>#REF!</v>
      </c>
      <c r="W1176" s="311"/>
      <c r="X1176" s="311"/>
      <c r="Y1176" s="311"/>
      <c r="Z1176" s="311"/>
      <c r="AA1176" s="311"/>
      <c r="AB1176" s="311"/>
      <c r="AC1176" s="311"/>
      <c r="AT1176" s="88" t="str">
        <f t="shared" si="92"/>
        <v>Special Order0</v>
      </c>
      <c r="AU1176" s="89" t="str">
        <f t="shared" si="93"/>
        <v>01-1900</v>
      </c>
      <c r="BA1176" s="92" t="str">
        <f t="shared" si="94"/>
        <v/>
      </c>
    </row>
    <row r="1177" spans="2:53">
      <c r="B1177" s="60">
        <f>[2]Trucks!A1174</f>
        <v>0</v>
      </c>
      <c r="C1177" s="11">
        <f>[2]Trucks!B1174</f>
        <v>0</v>
      </c>
      <c r="D1177" s="19" t="str">
        <f>IFERROR(VLOOKUP(C1177&amp;"",'[2]Retail Price List'!$A$3:$B$103,2,FALSE),"Special Order")</f>
        <v>Special Order</v>
      </c>
      <c r="E1177" s="18">
        <f>[2]Trucks!J1174</f>
        <v>0</v>
      </c>
      <c r="F1177" s="12">
        <f>[2]Trucks!E1174</f>
        <v>0</v>
      </c>
      <c r="G1177" s="56">
        <f>[2]Trucks!K1174</f>
        <v>0</v>
      </c>
      <c r="H1177" s="46">
        <f>[2]Trucks!I1174</f>
        <v>0</v>
      </c>
      <c r="I1177" s="83" t="str">
        <f t="shared" si="90"/>
        <v/>
      </c>
      <c r="J1177" s="272" t="str">
        <f>IFERROR(VLOOKUP((D1177&amp;C1177)&amp;"",'[2]Retail Price List'!$C$4:$F$102,3,FALSE),"")</f>
        <v/>
      </c>
      <c r="K1177" s="272">
        <f>IFERROR(IF(BA1177="WIP - 30 Days",VLOOKUP(D1177,[3]Standard!$B$9:$E$101,4,FALSE),IF(BA1177="31-120 Days",VLOOKUP(D1177,[3]Standard!$B$9:$F$101,5,FALSE),IF(BA1177="121-365 Days",VLOOKUP(D1177,[3]Standard!$B$9:$G$101,6,FALSE),VLOOKUP(D1177,[3]Standard!$B$9:$H$101,7,FALSE)))),0)</f>
        <v>0</v>
      </c>
      <c r="L1177" s="272">
        <f>IFERROR(IF(BA1177="WIP - 30 Days",VLOOKUP(D1177,[3]Standard!$B$9:$J$101,9,FALSE),IF(BA1177="31-120 Days",VLOOKUP(D1177,[3]Standard!$B$9:$K$100,10,FALSE),IF(BA1177="121-365 Days",VLOOKUP(D1177,[3]Standard!$B$9:$L$101,11,FALSE),VLOOKUP(D1177,[3]Standard!$B$9:$M$101,12,FALSE)))),0)</f>
        <v>0</v>
      </c>
      <c r="M1177" s="269" t="str">
        <f>IFERROR(VLOOKUP((D1177&amp;C1177)&amp;"",'[2]Retail Price List'!$C$4:$F$102,4,FALSE),"")</f>
        <v/>
      </c>
      <c r="N1177" s="269">
        <f>IFERROR(IF(BA1177="WIP - 30 Days",VLOOKUP(D1177,[3]Extended!$B$9:$E$101,4,FALSE),IF(BA1177="31-120 Days",VLOOKUP(D1177,[3]Extended!$B$9:$F$101,5,FALSE),IF(BA1177="121-365 Days",VLOOKUP(D1177,[3]Extended!$B$9:$G$101,6,FALSE),VLOOKUP(D1177,[3]Extended!$B$9:$H$101,7,FALSE)))),0)</f>
        <v>0</v>
      </c>
      <c r="O1177" s="269">
        <f>IFERROR(IF(BA1177="WIP - 30 Days",VLOOKUP(D1177,[3]Extended!$B$9:$J$101,9,FALSE),IF(BA1177="31-120 Days",VLOOKUP(D1177,[3]Extended!$B$9:$K$101,10,FALSE),IF(BA1177="121-365 Days",VLOOKUP(D1177,[3]Extended!$B$9:$L$101,11,FALSE),VLOOKUP(D1177,[3]Extended!$B$9:$M$101,12,FALSE)))),0)</f>
        <v>0</v>
      </c>
      <c r="P1177" s="116" t="e">
        <f t="shared" si="91"/>
        <v>#VALUE!</v>
      </c>
      <c r="Q1177" s="110" t="e">
        <f>O1177-#REF!</f>
        <v>#REF!</v>
      </c>
      <c r="W1177" s="311"/>
      <c r="X1177" s="311"/>
      <c r="Y1177" s="311"/>
      <c r="Z1177" s="311"/>
      <c r="AA1177" s="311"/>
      <c r="AB1177" s="311"/>
      <c r="AC1177" s="311"/>
      <c r="AT1177" s="88" t="str">
        <f t="shared" si="92"/>
        <v>Special Order0</v>
      </c>
      <c r="AU1177" s="89" t="str">
        <f t="shared" si="93"/>
        <v>01-1900</v>
      </c>
      <c r="BA1177" s="92" t="str">
        <f t="shared" si="94"/>
        <v/>
      </c>
    </row>
    <row r="1178" spans="2:53">
      <c r="B1178" s="60">
        <f>[2]Trucks!A1175</f>
        <v>0</v>
      </c>
      <c r="C1178" s="11">
        <f>[2]Trucks!B1175</f>
        <v>0</v>
      </c>
      <c r="D1178" s="19" t="str">
        <f>IFERROR(VLOOKUP(C1178&amp;"",'[2]Retail Price List'!$A$3:$B$103,2,FALSE),"Special Order")</f>
        <v>Special Order</v>
      </c>
      <c r="E1178" s="18">
        <f>[2]Trucks!J1175</f>
        <v>0</v>
      </c>
      <c r="F1178" s="12">
        <f>[2]Trucks!E1175</f>
        <v>0</v>
      </c>
      <c r="G1178" s="56">
        <f>[2]Trucks!K1175</f>
        <v>0</v>
      </c>
      <c r="H1178" s="46">
        <f>[2]Trucks!I1175</f>
        <v>0</v>
      </c>
      <c r="I1178" s="83" t="str">
        <f t="shared" si="90"/>
        <v/>
      </c>
      <c r="J1178" s="272" t="str">
        <f>IFERROR(VLOOKUP((D1178&amp;C1178)&amp;"",'[2]Retail Price List'!$C$4:$F$102,3,FALSE),"")</f>
        <v/>
      </c>
      <c r="K1178" s="272">
        <f>IFERROR(IF(BA1178="WIP - 30 Days",VLOOKUP(D1178,[3]Standard!$B$9:$E$101,4,FALSE),IF(BA1178="31-120 Days",VLOOKUP(D1178,[3]Standard!$B$9:$F$101,5,FALSE),IF(BA1178="121-365 Days",VLOOKUP(D1178,[3]Standard!$B$9:$G$101,6,FALSE),VLOOKUP(D1178,[3]Standard!$B$9:$H$101,7,FALSE)))),0)</f>
        <v>0</v>
      </c>
      <c r="L1178" s="272">
        <f>IFERROR(IF(BA1178="WIP - 30 Days",VLOOKUP(D1178,[3]Standard!$B$9:$J$101,9,FALSE),IF(BA1178="31-120 Days",VLOOKUP(D1178,[3]Standard!$B$9:$K$100,10,FALSE),IF(BA1178="121-365 Days",VLOOKUP(D1178,[3]Standard!$B$9:$L$101,11,FALSE),VLOOKUP(D1178,[3]Standard!$B$9:$M$101,12,FALSE)))),0)</f>
        <v>0</v>
      </c>
      <c r="M1178" s="269" t="str">
        <f>IFERROR(VLOOKUP((D1178&amp;C1178)&amp;"",'[2]Retail Price List'!$C$4:$F$102,4,FALSE),"")</f>
        <v/>
      </c>
      <c r="N1178" s="269">
        <f>IFERROR(IF(BA1178="WIP - 30 Days",VLOOKUP(D1178,[3]Extended!$B$9:$E$101,4,FALSE),IF(BA1178="31-120 Days",VLOOKUP(D1178,[3]Extended!$B$9:$F$101,5,FALSE),IF(BA1178="121-365 Days",VLOOKUP(D1178,[3]Extended!$B$9:$G$101,6,FALSE),VLOOKUP(D1178,[3]Extended!$B$9:$H$101,7,FALSE)))),0)</f>
        <v>0</v>
      </c>
      <c r="O1178" s="269">
        <f>IFERROR(IF(BA1178="WIP - 30 Days",VLOOKUP(D1178,[3]Extended!$B$9:$J$101,9,FALSE),IF(BA1178="31-120 Days",VLOOKUP(D1178,[3]Extended!$B$9:$K$101,10,FALSE),IF(BA1178="121-365 Days",VLOOKUP(D1178,[3]Extended!$B$9:$L$101,11,FALSE),VLOOKUP(D1178,[3]Extended!$B$9:$M$101,12,FALSE)))),0)</f>
        <v>0</v>
      </c>
      <c r="P1178" s="116" t="e">
        <f t="shared" si="91"/>
        <v>#VALUE!</v>
      </c>
      <c r="Q1178" s="110" t="e">
        <f>O1178-#REF!</f>
        <v>#REF!</v>
      </c>
      <c r="W1178" s="311"/>
      <c r="X1178" s="311"/>
      <c r="Y1178" s="311"/>
      <c r="Z1178" s="311"/>
      <c r="AA1178" s="311"/>
      <c r="AB1178" s="311"/>
      <c r="AC1178" s="311"/>
      <c r="AT1178" s="88" t="str">
        <f t="shared" si="92"/>
        <v>Special Order0</v>
      </c>
      <c r="AU1178" s="89" t="str">
        <f t="shared" si="93"/>
        <v>01-1900</v>
      </c>
      <c r="BA1178" s="92" t="str">
        <f t="shared" si="94"/>
        <v/>
      </c>
    </row>
    <row r="1179" spans="2:53">
      <c r="B1179" s="60">
        <f>[2]Trucks!A1176</f>
        <v>0</v>
      </c>
      <c r="C1179" s="11">
        <f>[2]Trucks!B1176</f>
        <v>0</v>
      </c>
      <c r="D1179" s="19" t="str">
        <f>IFERROR(VLOOKUP(C1179&amp;"",'[2]Retail Price List'!$A$3:$B$103,2,FALSE),"Special Order")</f>
        <v>Special Order</v>
      </c>
      <c r="E1179" s="18">
        <f>[2]Trucks!J1176</f>
        <v>0</v>
      </c>
      <c r="F1179" s="12">
        <f>[2]Trucks!E1176</f>
        <v>0</v>
      </c>
      <c r="G1179" s="56">
        <f>[2]Trucks!K1176</f>
        <v>0</v>
      </c>
      <c r="H1179" s="46">
        <f>[2]Trucks!I1176</f>
        <v>0</v>
      </c>
      <c r="I1179" s="83" t="str">
        <f t="shared" si="90"/>
        <v/>
      </c>
      <c r="J1179" s="272" t="str">
        <f>IFERROR(VLOOKUP((D1179&amp;C1179)&amp;"",'[2]Retail Price List'!$C$4:$F$102,3,FALSE),"")</f>
        <v/>
      </c>
      <c r="K1179" s="272">
        <f>IFERROR(IF(BA1179="WIP - 30 Days",VLOOKUP(D1179,[3]Standard!$B$9:$E$101,4,FALSE),IF(BA1179="31-120 Days",VLOOKUP(D1179,[3]Standard!$B$9:$F$101,5,FALSE),IF(BA1179="121-365 Days",VLOOKUP(D1179,[3]Standard!$B$9:$G$101,6,FALSE),VLOOKUP(D1179,[3]Standard!$B$9:$H$101,7,FALSE)))),0)</f>
        <v>0</v>
      </c>
      <c r="L1179" s="272">
        <f>IFERROR(IF(BA1179="WIP - 30 Days",VLOOKUP(D1179,[3]Standard!$B$9:$J$101,9,FALSE),IF(BA1179="31-120 Days",VLOOKUP(D1179,[3]Standard!$B$9:$K$100,10,FALSE),IF(BA1179="121-365 Days",VLOOKUP(D1179,[3]Standard!$B$9:$L$101,11,FALSE),VLOOKUP(D1179,[3]Standard!$B$9:$M$101,12,FALSE)))),0)</f>
        <v>0</v>
      </c>
      <c r="M1179" s="269" t="str">
        <f>IFERROR(VLOOKUP((D1179&amp;C1179)&amp;"",'[2]Retail Price List'!$C$4:$F$102,4,FALSE),"")</f>
        <v/>
      </c>
      <c r="N1179" s="269">
        <f>IFERROR(IF(BA1179="WIP - 30 Days",VLOOKUP(D1179,[3]Extended!$B$9:$E$101,4,FALSE),IF(BA1179="31-120 Days",VLOOKUP(D1179,[3]Extended!$B$9:$F$101,5,FALSE),IF(BA1179="121-365 Days",VLOOKUP(D1179,[3]Extended!$B$9:$G$101,6,FALSE),VLOOKUP(D1179,[3]Extended!$B$9:$H$101,7,FALSE)))),0)</f>
        <v>0</v>
      </c>
      <c r="O1179" s="269">
        <f>IFERROR(IF(BA1179="WIP - 30 Days",VLOOKUP(D1179,[3]Extended!$B$9:$J$101,9,FALSE),IF(BA1179="31-120 Days",VLOOKUP(D1179,[3]Extended!$B$9:$K$101,10,FALSE),IF(BA1179="121-365 Days",VLOOKUP(D1179,[3]Extended!$B$9:$L$101,11,FALSE),VLOOKUP(D1179,[3]Extended!$B$9:$M$101,12,FALSE)))),0)</f>
        <v>0</v>
      </c>
      <c r="P1179" s="116" t="e">
        <f t="shared" si="91"/>
        <v>#VALUE!</v>
      </c>
      <c r="Q1179" s="110" t="e">
        <f>O1179-#REF!</f>
        <v>#REF!</v>
      </c>
      <c r="W1179" s="311"/>
      <c r="X1179" s="311"/>
      <c r="Y1179" s="311"/>
      <c r="Z1179" s="311"/>
      <c r="AA1179" s="311"/>
      <c r="AB1179" s="311"/>
      <c r="AC1179" s="311"/>
      <c r="AT1179" s="88" t="str">
        <f t="shared" si="92"/>
        <v>Special Order0</v>
      </c>
      <c r="AU1179" s="89" t="str">
        <f t="shared" si="93"/>
        <v>01-1900</v>
      </c>
      <c r="BA1179" s="92" t="str">
        <f t="shared" si="94"/>
        <v/>
      </c>
    </row>
    <row r="1180" spans="2:53">
      <c r="B1180" s="60">
        <f>[2]Trucks!A1177</f>
        <v>0</v>
      </c>
      <c r="C1180" s="11">
        <f>[2]Trucks!B1177</f>
        <v>0</v>
      </c>
      <c r="D1180" s="19" t="str">
        <f>IFERROR(VLOOKUP(C1180&amp;"",'[2]Retail Price List'!$A$3:$B$103,2,FALSE),"Special Order")</f>
        <v>Special Order</v>
      </c>
      <c r="E1180" s="18">
        <f>[2]Trucks!J1177</f>
        <v>0</v>
      </c>
      <c r="F1180" s="12">
        <f>[2]Trucks!E1177</f>
        <v>0</v>
      </c>
      <c r="G1180" s="56">
        <f>[2]Trucks!K1177</f>
        <v>0</v>
      </c>
      <c r="H1180" s="46">
        <f>[2]Trucks!I1177</f>
        <v>0</v>
      </c>
      <c r="I1180" s="83" t="str">
        <f t="shared" si="90"/>
        <v/>
      </c>
      <c r="J1180" s="272" t="str">
        <f>IFERROR(VLOOKUP((D1180&amp;C1180)&amp;"",'[2]Retail Price List'!$C$4:$F$102,3,FALSE),"")</f>
        <v/>
      </c>
      <c r="K1180" s="272">
        <f>IFERROR(IF(BA1180="WIP - 30 Days",VLOOKUP(D1180,[3]Standard!$B$9:$E$101,4,FALSE),IF(BA1180="31-120 Days",VLOOKUP(D1180,[3]Standard!$B$9:$F$101,5,FALSE),IF(BA1180="121-365 Days",VLOOKUP(D1180,[3]Standard!$B$9:$G$101,6,FALSE),VLOOKUP(D1180,[3]Standard!$B$9:$H$101,7,FALSE)))),0)</f>
        <v>0</v>
      </c>
      <c r="L1180" s="272">
        <f>IFERROR(IF(BA1180="WIP - 30 Days",VLOOKUP(D1180,[3]Standard!$B$9:$J$101,9,FALSE),IF(BA1180="31-120 Days",VLOOKUP(D1180,[3]Standard!$B$9:$K$100,10,FALSE),IF(BA1180="121-365 Days",VLOOKUP(D1180,[3]Standard!$B$9:$L$101,11,FALSE),VLOOKUP(D1180,[3]Standard!$B$9:$M$101,12,FALSE)))),0)</f>
        <v>0</v>
      </c>
      <c r="M1180" s="269" t="str">
        <f>IFERROR(VLOOKUP((D1180&amp;C1180)&amp;"",'[2]Retail Price List'!$C$4:$F$102,4,FALSE),"")</f>
        <v/>
      </c>
      <c r="N1180" s="269">
        <f>IFERROR(IF(BA1180="WIP - 30 Days",VLOOKUP(D1180,[3]Extended!$B$9:$E$101,4,FALSE),IF(BA1180="31-120 Days",VLOOKUP(D1180,[3]Extended!$B$9:$F$101,5,FALSE),IF(BA1180="121-365 Days",VLOOKUP(D1180,[3]Extended!$B$9:$G$101,6,FALSE),VLOOKUP(D1180,[3]Extended!$B$9:$H$101,7,FALSE)))),0)</f>
        <v>0</v>
      </c>
      <c r="O1180" s="269">
        <f>IFERROR(IF(BA1180="WIP - 30 Days",VLOOKUP(D1180,[3]Extended!$B$9:$J$101,9,FALSE),IF(BA1180="31-120 Days",VLOOKUP(D1180,[3]Extended!$B$9:$K$101,10,FALSE),IF(BA1180="121-365 Days",VLOOKUP(D1180,[3]Extended!$B$9:$L$101,11,FALSE),VLOOKUP(D1180,[3]Extended!$B$9:$M$101,12,FALSE)))),0)</f>
        <v>0</v>
      </c>
      <c r="P1180" s="116" t="e">
        <f t="shared" si="91"/>
        <v>#VALUE!</v>
      </c>
      <c r="Q1180" s="110" t="e">
        <f>O1180-#REF!</f>
        <v>#REF!</v>
      </c>
      <c r="W1180" s="311"/>
      <c r="X1180" s="311"/>
      <c r="Y1180" s="311"/>
      <c r="Z1180" s="311"/>
      <c r="AA1180" s="311"/>
      <c r="AB1180" s="311"/>
      <c r="AC1180" s="311"/>
      <c r="AT1180" s="88" t="str">
        <f t="shared" si="92"/>
        <v>Special Order0</v>
      </c>
      <c r="AU1180" s="89" t="str">
        <f t="shared" si="93"/>
        <v>01-1900</v>
      </c>
      <c r="BA1180" s="92" t="str">
        <f t="shared" si="94"/>
        <v/>
      </c>
    </row>
    <row r="1181" spans="2:53">
      <c r="B1181" s="60">
        <f>[2]Trucks!A1178</f>
        <v>0</v>
      </c>
      <c r="C1181" s="11">
        <f>[2]Trucks!B1178</f>
        <v>0</v>
      </c>
      <c r="D1181" s="19" t="str">
        <f>IFERROR(VLOOKUP(C1181&amp;"",'[2]Retail Price List'!$A$3:$B$103,2,FALSE),"Special Order")</f>
        <v>Special Order</v>
      </c>
      <c r="E1181" s="18">
        <f>[2]Trucks!J1178</f>
        <v>0</v>
      </c>
      <c r="F1181" s="12">
        <f>[2]Trucks!E1178</f>
        <v>0</v>
      </c>
      <c r="G1181" s="56">
        <f>[2]Trucks!K1178</f>
        <v>0</v>
      </c>
      <c r="H1181" s="46">
        <f>[2]Trucks!I1178</f>
        <v>0</v>
      </c>
      <c r="I1181" s="83" t="str">
        <f t="shared" si="90"/>
        <v/>
      </c>
      <c r="J1181" s="272" t="str">
        <f>IFERROR(VLOOKUP((D1181&amp;C1181)&amp;"",'[2]Retail Price List'!$C$4:$F$102,3,FALSE),"")</f>
        <v/>
      </c>
      <c r="K1181" s="272">
        <f>IFERROR(IF(BA1181="WIP - 30 Days",VLOOKUP(D1181,[3]Standard!$B$9:$E$101,4,FALSE),IF(BA1181="31-120 Days",VLOOKUP(D1181,[3]Standard!$B$9:$F$101,5,FALSE),IF(BA1181="121-365 Days",VLOOKUP(D1181,[3]Standard!$B$9:$G$101,6,FALSE),VLOOKUP(D1181,[3]Standard!$B$9:$H$101,7,FALSE)))),0)</f>
        <v>0</v>
      </c>
      <c r="L1181" s="272">
        <f>IFERROR(IF(BA1181="WIP - 30 Days",VLOOKUP(D1181,[3]Standard!$B$9:$J$101,9,FALSE),IF(BA1181="31-120 Days",VLOOKUP(D1181,[3]Standard!$B$9:$K$100,10,FALSE),IF(BA1181="121-365 Days",VLOOKUP(D1181,[3]Standard!$B$9:$L$101,11,FALSE),VLOOKUP(D1181,[3]Standard!$B$9:$M$101,12,FALSE)))),0)</f>
        <v>0</v>
      </c>
      <c r="M1181" s="269" t="str">
        <f>IFERROR(VLOOKUP((D1181&amp;C1181)&amp;"",'[2]Retail Price List'!$C$4:$F$102,4,FALSE),"")</f>
        <v/>
      </c>
      <c r="N1181" s="269">
        <f>IFERROR(IF(BA1181="WIP - 30 Days",VLOOKUP(D1181,[3]Extended!$B$9:$E$101,4,FALSE),IF(BA1181="31-120 Days",VLOOKUP(D1181,[3]Extended!$B$9:$F$101,5,FALSE),IF(BA1181="121-365 Days",VLOOKUP(D1181,[3]Extended!$B$9:$G$101,6,FALSE),VLOOKUP(D1181,[3]Extended!$B$9:$H$101,7,FALSE)))),0)</f>
        <v>0</v>
      </c>
      <c r="O1181" s="269">
        <f>IFERROR(IF(BA1181="WIP - 30 Days",VLOOKUP(D1181,[3]Extended!$B$9:$J$101,9,FALSE),IF(BA1181="31-120 Days",VLOOKUP(D1181,[3]Extended!$B$9:$K$101,10,FALSE),IF(BA1181="121-365 Days",VLOOKUP(D1181,[3]Extended!$B$9:$L$101,11,FALSE),VLOOKUP(D1181,[3]Extended!$B$9:$M$101,12,FALSE)))),0)</f>
        <v>0</v>
      </c>
      <c r="P1181" s="116" t="e">
        <f t="shared" si="91"/>
        <v>#VALUE!</v>
      </c>
      <c r="Q1181" s="110" t="e">
        <f>O1181-#REF!</f>
        <v>#REF!</v>
      </c>
      <c r="W1181" s="311"/>
      <c r="X1181" s="311"/>
      <c r="Y1181" s="311"/>
      <c r="Z1181" s="311"/>
      <c r="AA1181" s="311"/>
      <c r="AB1181" s="311"/>
      <c r="AC1181" s="311"/>
      <c r="AT1181" s="88" t="str">
        <f t="shared" si="92"/>
        <v>Special Order0</v>
      </c>
      <c r="AU1181" s="89" t="str">
        <f t="shared" si="93"/>
        <v>01-1900</v>
      </c>
      <c r="BA1181" s="92" t="str">
        <f t="shared" si="94"/>
        <v/>
      </c>
    </row>
    <row r="1182" spans="2:53">
      <c r="B1182" s="60">
        <f>[2]Trucks!A1179</f>
        <v>0</v>
      </c>
      <c r="C1182" s="11">
        <f>[2]Trucks!B1179</f>
        <v>0</v>
      </c>
      <c r="D1182" s="19" t="str">
        <f>IFERROR(VLOOKUP(C1182&amp;"",'[2]Retail Price List'!$A$3:$B$103,2,FALSE),"Special Order")</f>
        <v>Special Order</v>
      </c>
      <c r="E1182" s="18">
        <f>[2]Trucks!J1179</f>
        <v>0</v>
      </c>
      <c r="F1182" s="12">
        <f>[2]Trucks!E1179</f>
        <v>0</v>
      </c>
      <c r="G1182" s="56">
        <f>[2]Trucks!K1179</f>
        <v>0</v>
      </c>
      <c r="H1182" s="46">
        <f>[2]Trucks!I1179</f>
        <v>0</v>
      </c>
      <c r="I1182" s="83" t="str">
        <f t="shared" si="90"/>
        <v/>
      </c>
      <c r="J1182" s="272" t="str">
        <f>IFERROR(VLOOKUP((D1182&amp;C1182)&amp;"",'[2]Retail Price List'!$C$4:$F$102,3,FALSE),"")</f>
        <v/>
      </c>
      <c r="K1182" s="272">
        <f>IFERROR(IF(BA1182="WIP - 30 Days",VLOOKUP(D1182,[3]Standard!$B$9:$E$101,4,FALSE),IF(BA1182="31-120 Days",VLOOKUP(D1182,[3]Standard!$B$9:$F$101,5,FALSE),IF(BA1182="121-365 Days",VLOOKUP(D1182,[3]Standard!$B$9:$G$101,6,FALSE),VLOOKUP(D1182,[3]Standard!$B$9:$H$101,7,FALSE)))),0)</f>
        <v>0</v>
      </c>
      <c r="L1182" s="272">
        <f>IFERROR(IF(BA1182="WIP - 30 Days",VLOOKUP(D1182,[3]Standard!$B$9:$J$101,9,FALSE),IF(BA1182="31-120 Days",VLOOKUP(D1182,[3]Standard!$B$9:$K$100,10,FALSE),IF(BA1182="121-365 Days",VLOOKUP(D1182,[3]Standard!$B$9:$L$101,11,FALSE),VLOOKUP(D1182,[3]Standard!$B$9:$M$101,12,FALSE)))),0)</f>
        <v>0</v>
      </c>
      <c r="M1182" s="269" t="str">
        <f>IFERROR(VLOOKUP((D1182&amp;C1182)&amp;"",'[2]Retail Price List'!$C$4:$F$102,4,FALSE),"")</f>
        <v/>
      </c>
      <c r="N1182" s="269">
        <f>IFERROR(IF(BA1182="WIP - 30 Days",VLOOKUP(D1182,[3]Extended!$B$9:$E$101,4,FALSE),IF(BA1182="31-120 Days",VLOOKUP(D1182,[3]Extended!$B$9:$F$101,5,FALSE),IF(BA1182="121-365 Days",VLOOKUP(D1182,[3]Extended!$B$9:$G$101,6,FALSE),VLOOKUP(D1182,[3]Extended!$B$9:$H$101,7,FALSE)))),0)</f>
        <v>0</v>
      </c>
      <c r="O1182" s="269">
        <f>IFERROR(IF(BA1182="WIP - 30 Days",VLOOKUP(D1182,[3]Extended!$B$9:$J$101,9,FALSE),IF(BA1182="31-120 Days",VLOOKUP(D1182,[3]Extended!$B$9:$K$101,10,FALSE),IF(BA1182="121-365 Days",VLOOKUP(D1182,[3]Extended!$B$9:$L$101,11,FALSE),VLOOKUP(D1182,[3]Extended!$B$9:$M$101,12,FALSE)))),0)</f>
        <v>0</v>
      </c>
      <c r="P1182" s="116" t="e">
        <f t="shared" si="91"/>
        <v>#VALUE!</v>
      </c>
      <c r="Q1182" s="110" t="e">
        <f>O1182-#REF!</f>
        <v>#REF!</v>
      </c>
      <c r="W1182" s="311"/>
      <c r="X1182" s="311"/>
      <c r="Y1182" s="311"/>
      <c r="Z1182" s="311"/>
      <c r="AA1182" s="311"/>
      <c r="AB1182" s="311"/>
      <c r="AC1182" s="311"/>
      <c r="AT1182" s="88" t="str">
        <f t="shared" si="92"/>
        <v>Special Order0</v>
      </c>
      <c r="AU1182" s="89" t="str">
        <f t="shared" si="93"/>
        <v>01-1900</v>
      </c>
      <c r="BA1182" s="92" t="str">
        <f t="shared" si="94"/>
        <v/>
      </c>
    </row>
    <row r="1183" spans="2:53">
      <c r="B1183" s="60">
        <f>[2]Trucks!A1180</f>
        <v>0</v>
      </c>
      <c r="C1183" s="11">
        <f>[2]Trucks!B1180</f>
        <v>0</v>
      </c>
      <c r="D1183" s="19" t="str">
        <f>IFERROR(VLOOKUP(C1183&amp;"",'[2]Retail Price List'!$A$3:$B$103,2,FALSE),"Special Order")</f>
        <v>Special Order</v>
      </c>
      <c r="E1183" s="18">
        <f>[2]Trucks!J1180</f>
        <v>0</v>
      </c>
      <c r="F1183" s="12">
        <f>[2]Trucks!E1180</f>
        <v>0</v>
      </c>
      <c r="G1183" s="56">
        <f>[2]Trucks!K1180</f>
        <v>0</v>
      </c>
      <c r="H1183" s="46">
        <f>[2]Trucks!I1180</f>
        <v>0</v>
      </c>
      <c r="I1183" s="83" t="str">
        <f t="shared" si="90"/>
        <v/>
      </c>
      <c r="J1183" s="272" t="str">
        <f>IFERROR(VLOOKUP((D1183&amp;C1183)&amp;"",'[2]Retail Price List'!$C$4:$F$102,3,FALSE),"")</f>
        <v/>
      </c>
      <c r="K1183" s="272">
        <f>IFERROR(IF(BA1183="WIP - 30 Days",VLOOKUP(D1183,[3]Standard!$B$9:$E$101,4,FALSE),IF(BA1183="31-120 Days",VLOOKUP(D1183,[3]Standard!$B$9:$F$101,5,FALSE),IF(BA1183="121-365 Days",VLOOKUP(D1183,[3]Standard!$B$9:$G$101,6,FALSE),VLOOKUP(D1183,[3]Standard!$B$9:$H$101,7,FALSE)))),0)</f>
        <v>0</v>
      </c>
      <c r="L1183" s="272">
        <f>IFERROR(IF(BA1183="WIP - 30 Days",VLOOKUP(D1183,[3]Standard!$B$9:$J$101,9,FALSE),IF(BA1183="31-120 Days",VLOOKUP(D1183,[3]Standard!$B$9:$K$100,10,FALSE),IF(BA1183="121-365 Days",VLOOKUP(D1183,[3]Standard!$B$9:$L$101,11,FALSE),VLOOKUP(D1183,[3]Standard!$B$9:$M$101,12,FALSE)))),0)</f>
        <v>0</v>
      </c>
      <c r="M1183" s="269" t="str">
        <f>IFERROR(VLOOKUP((D1183&amp;C1183)&amp;"",'[2]Retail Price List'!$C$4:$F$102,4,FALSE),"")</f>
        <v/>
      </c>
      <c r="N1183" s="269">
        <f>IFERROR(IF(BA1183="WIP - 30 Days",VLOOKUP(D1183,[3]Extended!$B$9:$E$101,4,FALSE),IF(BA1183="31-120 Days",VLOOKUP(D1183,[3]Extended!$B$9:$F$101,5,FALSE),IF(BA1183="121-365 Days",VLOOKUP(D1183,[3]Extended!$B$9:$G$101,6,FALSE),VLOOKUP(D1183,[3]Extended!$B$9:$H$101,7,FALSE)))),0)</f>
        <v>0</v>
      </c>
      <c r="O1183" s="269">
        <f>IFERROR(IF(BA1183="WIP - 30 Days",VLOOKUP(D1183,[3]Extended!$B$9:$J$101,9,FALSE),IF(BA1183="31-120 Days",VLOOKUP(D1183,[3]Extended!$B$9:$K$101,10,FALSE),IF(BA1183="121-365 Days",VLOOKUP(D1183,[3]Extended!$B$9:$L$101,11,FALSE),VLOOKUP(D1183,[3]Extended!$B$9:$M$101,12,FALSE)))),0)</f>
        <v>0</v>
      </c>
      <c r="P1183" s="116" t="e">
        <f t="shared" si="91"/>
        <v>#VALUE!</v>
      </c>
      <c r="Q1183" s="110" t="e">
        <f>O1183-#REF!</f>
        <v>#REF!</v>
      </c>
      <c r="W1183" s="311"/>
      <c r="X1183" s="311"/>
      <c r="Y1183" s="311"/>
      <c r="Z1183" s="311"/>
      <c r="AA1183" s="311"/>
      <c r="AB1183" s="311"/>
      <c r="AC1183" s="311"/>
      <c r="AT1183" s="88" t="str">
        <f t="shared" si="92"/>
        <v>Special Order0</v>
      </c>
      <c r="AU1183" s="89" t="str">
        <f t="shared" si="93"/>
        <v>01-1900</v>
      </c>
      <c r="BA1183" s="92" t="str">
        <f t="shared" si="94"/>
        <v/>
      </c>
    </row>
    <row r="1184" spans="2:53">
      <c r="B1184" s="60">
        <f>[2]Trucks!A1181</f>
        <v>0</v>
      </c>
      <c r="C1184" s="11">
        <f>[2]Trucks!B1181</f>
        <v>0</v>
      </c>
      <c r="D1184" s="19" t="str">
        <f>IFERROR(VLOOKUP(C1184&amp;"",'[2]Retail Price List'!$A$3:$B$103,2,FALSE),"Special Order")</f>
        <v>Special Order</v>
      </c>
      <c r="E1184" s="18">
        <f>[2]Trucks!J1181</f>
        <v>0</v>
      </c>
      <c r="F1184" s="12">
        <f>[2]Trucks!E1181</f>
        <v>0</v>
      </c>
      <c r="G1184" s="56">
        <f>[2]Trucks!K1181</f>
        <v>0</v>
      </c>
      <c r="H1184" s="46">
        <f>[2]Trucks!I1181</f>
        <v>0</v>
      </c>
      <c r="I1184" s="83" t="str">
        <f t="shared" si="90"/>
        <v/>
      </c>
      <c r="J1184" s="272" t="str">
        <f>IFERROR(VLOOKUP((D1184&amp;C1184)&amp;"",'[2]Retail Price List'!$C$4:$F$102,3,FALSE),"")</f>
        <v/>
      </c>
      <c r="K1184" s="272">
        <f>IFERROR(IF(BA1184="WIP - 30 Days",VLOOKUP(D1184,[3]Standard!$B$9:$E$101,4,FALSE),IF(BA1184="31-120 Days",VLOOKUP(D1184,[3]Standard!$B$9:$F$101,5,FALSE),IF(BA1184="121-365 Days",VLOOKUP(D1184,[3]Standard!$B$9:$G$101,6,FALSE),VLOOKUP(D1184,[3]Standard!$B$9:$H$101,7,FALSE)))),0)</f>
        <v>0</v>
      </c>
      <c r="L1184" s="272">
        <f>IFERROR(IF(BA1184="WIP - 30 Days",VLOOKUP(D1184,[3]Standard!$B$9:$J$101,9,FALSE),IF(BA1184="31-120 Days",VLOOKUP(D1184,[3]Standard!$B$9:$K$100,10,FALSE),IF(BA1184="121-365 Days",VLOOKUP(D1184,[3]Standard!$B$9:$L$101,11,FALSE),VLOOKUP(D1184,[3]Standard!$B$9:$M$101,12,FALSE)))),0)</f>
        <v>0</v>
      </c>
      <c r="M1184" s="269" t="str">
        <f>IFERROR(VLOOKUP((D1184&amp;C1184)&amp;"",'[2]Retail Price List'!$C$4:$F$102,4,FALSE),"")</f>
        <v/>
      </c>
      <c r="N1184" s="269">
        <f>IFERROR(IF(BA1184="WIP - 30 Days",VLOOKUP(D1184,[3]Extended!$B$9:$E$101,4,FALSE),IF(BA1184="31-120 Days",VLOOKUP(D1184,[3]Extended!$B$9:$F$101,5,FALSE),IF(BA1184="121-365 Days",VLOOKUP(D1184,[3]Extended!$B$9:$G$101,6,FALSE),VLOOKUP(D1184,[3]Extended!$B$9:$H$101,7,FALSE)))),0)</f>
        <v>0</v>
      </c>
      <c r="O1184" s="269">
        <f>IFERROR(IF(BA1184="WIP - 30 Days",VLOOKUP(D1184,[3]Extended!$B$9:$J$101,9,FALSE),IF(BA1184="31-120 Days",VLOOKUP(D1184,[3]Extended!$B$9:$K$101,10,FALSE),IF(BA1184="121-365 Days",VLOOKUP(D1184,[3]Extended!$B$9:$L$101,11,FALSE),VLOOKUP(D1184,[3]Extended!$B$9:$M$101,12,FALSE)))),0)</f>
        <v>0</v>
      </c>
      <c r="P1184" s="116" t="e">
        <f t="shared" si="91"/>
        <v>#VALUE!</v>
      </c>
      <c r="Q1184" s="110" t="e">
        <f>O1184-#REF!</f>
        <v>#REF!</v>
      </c>
      <c r="W1184" s="311"/>
      <c r="X1184" s="311"/>
      <c r="Y1184" s="311"/>
      <c r="Z1184" s="311"/>
      <c r="AA1184" s="311"/>
      <c r="AB1184" s="311"/>
      <c r="AC1184" s="311"/>
      <c r="AT1184" s="88" t="str">
        <f t="shared" si="92"/>
        <v>Special Order0</v>
      </c>
      <c r="AU1184" s="89" t="str">
        <f t="shared" si="93"/>
        <v>01-1900</v>
      </c>
      <c r="BA1184" s="92" t="str">
        <f t="shared" si="94"/>
        <v/>
      </c>
    </row>
    <row r="1185" spans="2:53">
      <c r="B1185" s="60">
        <f>[2]Trucks!A1182</f>
        <v>0</v>
      </c>
      <c r="C1185" s="11">
        <f>[2]Trucks!B1182</f>
        <v>0</v>
      </c>
      <c r="D1185" s="19" t="str">
        <f>IFERROR(VLOOKUP(C1185&amp;"",'[2]Retail Price List'!$A$3:$B$103,2,FALSE),"Special Order")</f>
        <v>Special Order</v>
      </c>
      <c r="E1185" s="18">
        <f>[2]Trucks!J1182</f>
        <v>0</v>
      </c>
      <c r="F1185" s="12">
        <f>[2]Trucks!E1182</f>
        <v>0</v>
      </c>
      <c r="G1185" s="56">
        <f>[2]Trucks!K1182</f>
        <v>0</v>
      </c>
      <c r="H1185" s="46">
        <f>[2]Trucks!I1182</f>
        <v>0</v>
      </c>
      <c r="I1185" s="83" t="str">
        <f t="shared" si="90"/>
        <v/>
      </c>
      <c r="J1185" s="272" t="str">
        <f>IFERROR(VLOOKUP((D1185&amp;C1185)&amp;"",'[2]Retail Price List'!$C$4:$F$102,3,FALSE),"")</f>
        <v/>
      </c>
      <c r="K1185" s="272">
        <f>IFERROR(IF(BA1185="WIP - 30 Days",VLOOKUP(D1185,[3]Standard!$B$9:$E$101,4,FALSE),IF(BA1185="31-120 Days",VLOOKUP(D1185,[3]Standard!$B$9:$F$101,5,FALSE),IF(BA1185="121-365 Days",VLOOKUP(D1185,[3]Standard!$B$9:$G$101,6,FALSE),VLOOKUP(D1185,[3]Standard!$B$9:$H$101,7,FALSE)))),0)</f>
        <v>0</v>
      </c>
      <c r="L1185" s="272">
        <f>IFERROR(IF(BA1185="WIP - 30 Days",VLOOKUP(D1185,[3]Standard!$B$9:$J$101,9,FALSE),IF(BA1185="31-120 Days",VLOOKUP(D1185,[3]Standard!$B$9:$K$100,10,FALSE),IF(BA1185="121-365 Days",VLOOKUP(D1185,[3]Standard!$B$9:$L$101,11,FALSE),VLOOKUP(D1185,[3]Standard!$B$9:$M$101,12,FALSE)))),0)</f>
        <v>0</v>
      </c>
      <c r="M1185" s="269" t="str">
        <f>IFERROR(VLOOKUP((D1185&amp;C1185)&amp;"",'[2]Retail Price List'!$C$4:$F$102,4,FALSE),"")</f>
        <v/>
      </c>
      <c r="N1185" s="269">
        <f>IFERROR(IF(BA1185="WIP - 30 Days",VLOOKUP(D1185,[3]Extended!$B$9:$E$101,4,FALSE),IF(BA1185="31-120 Days",VLOOKUP(D1185,[3]Extended!$B$9:$F$101,5,FALSE),IF(BA1185="121-365 Days",VLOOKUP(D1185,[3]Extended!$B$9:$G$101,6,FALSE),VLOOKUP(D1185,[3]Extended!$B$9:$H$101,7,FALSE)))),0)</f>
        <v>0</v>
      </c>
      <c r="O1185" s="269">
        <f>IFERROR(IF(BA1185="WIP - 30 Days",VLOOKUP(D1185,[3]Extended!$B$9:$J$101,9,FALSE),IF(BA1185="31-120 Days",VLOOKUP(D1185,[3]Extended!$B$9:$K$101,10,FALSE),IF(BA1185="121-365 Days",VLOOKUP(D1185,[3]Extended!$B$9:$L$101,11,FALSE),VLOOKUP(D1185,[3]Extended!$B$9:$M$101,12,FALSE)))),0)</f>
        <v>0</v>
      </c>
      <c r="P1185" s="116" t="e">
        <f t="shared" si="91"/>
        <v>#VALUE!</v>
      </c>
      <c r="Q1185" s="110" t="e">
        <f>O1185-#REF!</f>
        <v>#REF!</v>
      </c>
      <c r="W1185" s="311"/>
      <c r="X1185" s="311"/>
      <c r="Y1185" s="311"/>
      <c r="Z1185" s="311"/>
      <c r="AA1185" s="311"/>
      <c r="AB1185" s="311"/>
      <c r="AC1185" s="311"/>
      <c r="AT1185" s="88" t="str">
        <f t="shared" si="92"/>
        <v>Special Order0</v>
      </c>
      <c r="AU1185" s="89" t="str">
        <f t="shared" si="93"/>
        <v>01-1900</v>
      </c>
      <c r="BA1185" s="92" t="str">
        <f t="shared" si="94"/>
        <v/>
      </c>
    </row>
    <row r="1186" spans="2:53">
      <c r="B1186" s="60">
        <f>[2]Trucks!A1183</f>
        <v>0</v>
      </c>
      <c r="C1186" s="11">
        <f>[2]Trucks!B1183</f>
        <v>0</v>
      </c>
      <c r="D1186" s="19" t="str">
        <f>IFERROR(VLOOKUP(C1186&amp;"",'[2]Retail Price List'!$A$3:$B$103,2,FALSE),"Special Order")</f>
        <v>Special Order</v>
      </c>
      <c r="E1186" s="18">
        <f>[2]Trucks!J1183</f>
        <v>0</v>
      </c>
      <c r="F1186" s="12">
        <f>[2]Trucks!E1183</f>
        <v>0</v>
      </c>
      <c r="G1186" s="56">
        <f>[2]Trucks!K1183</f>
        <v>0</v>
      </c>
      <c r="H1186" s="46">
        <f>[2]Trucks!I1183</f>
        <v>0</v>
      </c>
      <c r="I1186" s="83" t="str">
        <f t="shared" si="90"/>
        <v/>
      </c>
      <c r="J1186" s="272" t="str">
        <f>IFERROR(VLOOKUP((D1186&amp;C1186)&amp;"",'[2]Retail Price List'!$C$4:$F$102,3,FALSE),"")</f>
        <v/>
      </c>
      <c r="K1186" s="272">
        <f>IFERROR(IF(BA1186="WIP - 30 Days",VLOOKUP(D1186,[3]Standard!$B$9:$E$101,4,FALSE),IF(BA1186="31-120 Days",VLOOKUP(D1186,[3]Standard!$B$9:$F$101,5,FALSE),IF(BA1186="121-365 Days",VLOOKUP(D1186,[3]Standard!$B$9:$G$101,6,FALSE),VLOOKUP(D1186,[3]Standard!$B$9:$H$101,7,FALSE)))),0)</f>
        <v>0</v>
      </c>
      <c r="L1186" s="272">
        <f>IFERROR(IF(BA1186="WIP - 30 Days",VLOOKUP(D1186,[3]Standard!$B$9:$J$101,9,FALSE),IF(BA1186="31-120 Days",VLOOKUP(D1186,[3]Standard!$B$9:$K$100,10,FALSE),IF(BA1186="121-365 Days",VLOOKUP(D1186,[3]Standard!$B$9:$L$101,11,FALSE),VLOOKUP(D1186,[3]Standard!$B$9:$M$101,12,FALSE)))),0)</f>
        <v>0</v>
      </c>
      <c r="M1186" s="269" t="str">
        <f>IFERROR(VLOOKUP((D1186&amp;C1186)&amp;"",'[2]Retail Price List'!$C$4:$F$102,4,FALSE),"")</f>
        <v/>
      </c>
      <c r="N1186" s="269">
        <f>IFERROR(IF(BA1186="WIP - 30 Days",VLOOKUP(D1186,[3]Extended!$B$9:$E$101,4,FALSE),IF(BA1186="31-120 Days",VLOOKUP(D1186,[3]Extended!$B$9:$F$101,5,FALSE),IF(BA1186="121-365 Days",VLOOKUP(D1186,[3]Extended!$B$9:$G$101,6,FALSE),VLOOKUP(D1186,[3]Extended!$B$9:$H$101,7,FALSE)))),0)</f>
        <v>0</v>
      </c>
      <c r="O1186" s="269">
        <f>IFERROR(IF(BA1186="WIP - 30 Days",VLOOKUP(D1186,[3]Extended!$B$9:$J$101,9,FALSE),IF(BA1186="31-120 Days",VLOOKUP(D1186,[3]Extended!$B$9:$K$101,10,FALSE),IF(BA1186="121-365 Days",VLOOKUP(D1186,[3]Extended!$B$9:$L$101,11,FALSE),VLOOKUP(D1186,[3]Extended!$B$9:$M$101,12,FALSE)))),0)</f>
        <v>0</v>
      </c>
      <c r="P1186" s="116" t="e">
        <f t="shared" si="91"/>
        <v>#VALUE!</v>
      </c>
      <c r="Q1186" s="110" t="e">
        <f>O1186-#REF!</f>
        <v>#REF!</v>
      </c>
      <c r="W1186" s="311"/>
      <c r="X1186" s="311"/>
      <c r="Y1186" s="311"/>
      <c r="Z1186" s="311"/>
      <c r="AA1186" s="311"/>
      <c r="AB1186" s="311"/>
      <c r="AC1186" s="311"/>
      <c r="AT1186" s="88" t="str">
        <f t="shared" si="92"/>
        <v>Special Order0</v>
      </c>
      <c r="AU1186" s="89" t="str">
        <f t="shared" si="93"/>
        <v>01-1900</v>
      </c>
      <c r="BA1186" s="92" t="str">
        <f t="shared" si="94"/>
        <v/>
      </c>
    </row>
    <row r="1187" spans="2:53">
      <c r="B1187" s="60">
        <f>[2]Trucks!A1184</f>
        <v>0</v>
      </c>
      <c r="C1187" s="11">
        <f>[2]Trucks!B1184</f>
        <v>0</v>
      </c>
      <c r="D1187" s="19" t="str">
        <f>IFERROR(VLOOKUP(C1187&amp;"",'[2]Retail Price List'!$A$3:$B$103,2,FALSE),"Special Order")</f>
        <v>Special Order</v>
      </c>
      <c r="E1187" s="18">
        <f>[2]Trucks!J1184</f>
        <v>0</v>
      </c>
      <c r="F1187" s="12">
        <f>[2]Trucks!E1184</f>
        <v>0</v>
      </c>
      <c r="G1187" s="56">
        <f>[2]Trucks!K1184</f>
        <v>0</v>
      </c>
      <c r="H1187" s="46">
        <f>[2]Trucks!I1184</f>
        <v>0</v>
      </c>
      <c r="I1187" s="83" t="str">
        <f t="shared" si="90"/>
        <v/>
      </c>
      <c r="J1187" s="272" t="str">
        <f>IFERROR(VLOOKUP((D1187&amp;C1187)&amp;"",'[2]Retail Price List'!$C$4:$F$102,3,FALSE),"")</f>
        <v/>
      </c>
      <c r="K1187" s="272">
        <f>IFERROR(IF(BA1187="WIP - 30 Days",VLOOKUP(D1187,[3]Standard!$B$9:$E$101,4,FALSE),IF(BA1187="31-120 Days",VLOOKUP(D1187,[3]Standard!$B$9:$F$101,5,FALSE),IF(BA1187="121-365 Days",VLOOKUP(D1187,[3]Standard!$B$9:$G$101,6,FALSE),VLOOKUP(D1187,[3]Standard!$B$9:$H$101,7,FALSE)))),0)</f>
        <v>0</v>
      </c>
      <c r="L1187" s="272">
        <f>IFERROR(IF(BA1187="WIP - 30 Days",VLOOKUP(D1187,[3]Standard!$B$9:$J$101,9,FALSE),IF(BA1187="31-120 Days",VLOOKUP(D1187,[3]Standard!$B$9:$K$100,10,FALSE),IF(BA1187="121-365 Days",VLOOKUP(D1187,[3]Standard!$B$9:$L$101,11,FALSE),VLOOKUP(D1187,[3]Standard!$B$9:$M$101,12,FALSE)))),0)</f>
        <v>0</v>
      </c>
      <c r="M1187" s="269" t="str">
        <f>IFERROR(VLOOKUP((D1187&amp;C1187)&amp;"",'[2]Retail Price List'!$C$4:$F$102,4,FALSE),"")</f>
        <v/>
      </c>
      <c r="N1187" s="269">
        <f>IFERROR(IF(BA1187="WIP - 30 Days",VLOOKUP(D1187,[3]Extended!$B$9:$E$101,4,FALSE),IF(BA1187="31-120 Days",VLOOKUP(D1187,[3]Extended!$B$9:$F$101,5,FALSE),IF(BA1187="121-365 Days",VLOOKUP(D1187,[3]Extended!$B$9:$G$101,6,FALSE),VLOOKUP(D1187,[3]Extended!$B$9:$H$101,7,FALSE)))),0)</f>
        <v>0</v>
      </c>
      <c r="O1187" s="269">
        <f>IFERROR(IF(BA1187="WIP - 30 Days",VLOOKUP(D1187,[3]Extended!$B$9:$J$101,9,FALSE),IF(BA1187="31-120 Days",VLOOKUP(D1187,[3]Extended!$B$9:$K$101,10,FALSE),IF(BA1187="121-365 Days",VLOOKUP(D1187,[3]Extended!$B$9:$L$101,11,FALSE),VLOOKUP(D1187,[3]Extended!$B$9:$M$101,12,FALSE)))),0)</f>
        <v>0</v>
      </c>
      <c r="P1187" s="116" t="e">
        <f t="shared" si="91"/>
        <v>#VALUE!</v>
      </c>
      <c r="Q1187" s="110" t="e">
        <f>O1187-#REF!</f>
        <v>#REF!</v>
      </c>
      <c r="W1187" s="311"/>
      <c r="X1187" s="311"/>
      <c r="Y1187" s="311"/>
      <c r="Z1187" s="311"/>
      <c r="AA1187" s="311"/>
      <c r="AB1187" s="311"/>
      <c r="AC1187" s="311"/>
      <c r="AT1187" s="88" t="str">
        <f t="shared" si="92"/>
        <v>Special Order0</v>
      </c>
      <c r="AU1187" s="89" t="str">
        <f t="shared" si="93"/>
        <v>01-1900</v>
      </c>
      <c r="BA1187" s="92" t="str">
        <f t="shared" si="94"/>
        <v/>
      </c>
    </row>
    <row r="1188" spans="2:53">
      <c r="B1188" s="60">
        <f>[2]Trucks!A1185</f>
        <v>0</v>
      </c>
      <c r="C1188" s="11">
        <f>[2]Trucks!B1185</f>
        <v>0</v>
      </c>
      <c r="D1188" s="19" t="str">
        <f>IFERROR(VLOOKUP(C1188&amp;"",'[2]Retail Price List'!$A$3:$B$103,2,FALSE),"Special Order")</f>
        <v>Special Order</v>
      </c>
      <c r="E1188" s="18">
        <f>[2]Trucks!J1185</f>
        <v>0</v>
      </c>
      <c r="F1188" s="12">
        <f>[2]Trucks!E1185</f>
        <v>0</v>
      </c>
      <c r="G1188" s="56">
        <f>[2]Trucks!K1185</f>
        <v>0</v>
      </c>
      <c r="H1188" s="46">
        <f>[2]Trucks!I1185</f>
        <v>0</v>
      </c>
      <c r="I1188" s="83" t="str">
        <f t="shared" si="90"/>
        <v/>
      </c>
      <c r="J1188" s="272" t="str">
        <f>IFERROR(VLOOKUP((D1188&amp;C1188)&amp;"",'[2]Retail Price List'!$C$4:$F$102,3,FALSE),"")</f>
        <v/>
      </c>
      <c r="K1188" s="272">
        <f>IFERROR(IF(BA1188="WIP - 30 Days",VLOOKUP(D1188,[3]Standard!$B$9:$E$101,4,FALSE),IF(BA1188="31-120 Days",VLOOKUP(D1188,[3]Standard!$B$9:$F$101,5,FALSE),IF(BA1188="121-365 Days",VLOOKUP(D1188,[3]Standard!$B$9:$G$101,6,FALSE),VLOOKUP(D1188,[3]Standard!$B$9:$H$101,7,FALSE)))),0)</f>
        <v>0</v>
      </c>
      <c r="L1188" s="272">
        <f>IFERROR(IF(BA1188="WIP - 30 Days",VLOOKUP(D1188,[3]Standard!$B$9:$J$101,9,FALSE),IF(BA1188="31-120 Days",VLOOKUP(D1188,[3]Standard!$B$9:$K$100,10,FALSE),IF(BA1188="121-365 Days",VLOOKUP(D1188,[3]Standard!$B$9:$L$101,11,FALSE),VLOOKUP(D1188,[3]Standard!$B$9:$M$101,12,FALSE)))),0)</f>
        <v>0</v>
      </c>
      <c r="M1188" s="269" t="str">
        <f>IFERROR(VLOOKUP((D1188&amp;C1188)&amp;"",'[2]Retail Price List'!$C$4:$F$102,4,FALSE),"")</f>
        <v/>
      </c>
      <c r="N1188" s="269">
        <f>IFERROR(IF(BA1188="WIP - 30 Days",VLOOKUP(D1188,[3]Extended!$B$9:$E$101,4,FALSE),IF(BA1188="31-120 Days",VLOOKUP(D1188,[3]Extended!$B$9:$F$101,5,FALSE),IF(BA1188="121-365 Days",VLOOKUP(D1188,[3]Extended!$B$9:$G$101,6,FALSE),VLOOKUP(D1188,[3]Extended!$B$9:$H$101,7,FALSE)))),0)</f>
        <v>0</v>
      </c>
      <c r="O1188" s="269">
        <f>IFERROR(IF(BA1188="WIP - 30 Days",VLOOKUP(D1188,[3]Extended!$B$9:$J$101,9,FALSE),IF(BA1188="31-120 Days",VLOOKUP(D1188,[3]Extended!$B$9:$K$101,10,FALSE),IF(BA1188="121-365 Days",VLOOKUP(D1188,[3]Extended!$B$9:$L$101,11,FALSE),VLOOKUP(D1188,[3]Extended!$B$9:$M$101,12,FALSE)))),0)</f>
        <v>0</v>
      </c>
      <c r="P1188" s="116" t="e">
        <f t="shared" si="91"/>
        <v>#VALUE!</v>
      </c>
      <c r="Q1188" s="110" t="e">
        <f>O1188-#REF!</f>
        <v>#REF!</v>
      </c>
      <c r="W1188" s="311"/>
      <c r="X1188" s="311"/>
      <c r="Y1188" s="311"/>
      <c r="Z1188" s="311"/>
      <c r="AA1188" s="311"/>
      <c r="AB1188" s="311"/>
      <c r="AC1188" s="311"/>
      <c r="AT1188" s="88" t="str">
        <f t="shared" si="92"/>
        <v>Special Order0</v>
      </c>
      <c r="AU1188" s="89" t="str">
        <f t="shared" si="93"/>
        <v>01-1900</v>
      </c>
      <c r="BA1188" s="92" t="str">
        <f t="shared" si="94"/>
        <v/>
      </c>
    </row>
    <row r="1189" spans="2:53">
      <c r="B1189" s="60">
        <f>[2]Trucks!A1186</f>
        <v>0</v>
      </c>
      <c r="C1189" s="11">
        <f>[2]Trucks!B1186</f>
        <v>0</v>
      </c>
      <c r="D1189" s="19" t="str">
        <f>IFERROR(VLOOKUP(C1189&amp;"",'[2]Retail Price List'!$A$3:$B$103,2,FALSE),"Special Order")</f>
        <v>Special Order</v>
      </c>
      <c r="E1189" s="18">
        <f>[2]Trucks!J1186</f>
        <v>0</v>
      </c>
      <c r="F1189" s="12">
        <f>[2]Trucks!E1186</f>
        <v>0</v>
      </c>
      <c r="G1189" s="56">
        <f>[2]Trucks!K1186</f>
        <v>0</v>
      </c>
      <c r="H1189" s="46">
        <f>[2]Trucks!I1186</f>
        <v>0</v>
      </c>
      <c r="I1189" s="83" t="str">
        <f t="shared" si="90"/>
        <v/>
      </c>
      <c r="J1189" s="272" t="str">
        <f>IFERROR(VLOOKUP((D1189&amp;C1189)&amp;"",'[2]Retail Price List'!$C$4:$F$102,3,FALSE),"")</f>
        <v/>
      </c>
      <c r="K1189" s="272">
        <f>IFERROR(IF(BA1189="WIP - 30 Days",VLOOKUP(D1189,[3]Standard!$B$9:$E$101,4,FALSE),IF(BA1189="31-120 Days",VLOOKUP(D1189,[3]Standard!$B$9:$F$101,5,FALSE),IF(BA1189="121-365 Days",VLOOKUP(D1189,[3]Standard!$B$9:$G$101,6,FALSE),VLOOKUP(D1189,[3]Standard!$B$9:$H$101,7,FALSE)))),0)</f>
        <v>0</v>
      </c>
      <c r="L1189" s="272">
        <f>IFERROR(IF(BA1189="WIP - 30 Days",VLOOKUP(D1189,[3]Standard!$B$9:$J$101,9,FALSE),IF(BA1189="31-120 Days",VLOOKUP(D1189,[3]Standard!$B$9:$K$100,10,FALSE),IF(BA1189="121-365 Days",VLOOKUP(D1189,[3]Standard!$B$9:$L$101,11,FALSE),VLOOKUP(D1189,[3]Standard!$B$9:$M$101,12,FALSE)))),0)</f>
        <v>0</v>
      </c>
      <c r="M1189" s="269" t="str">
        <f>IFERROR(VLOOKUP((D1189&amp;C1189)&amp;"",'[2]Retail Price List'!$C$4:$F$102,4,FALSE),"")</f>
        <v/>
      </c>
      <c r="N1189" s="269">
        <f>IFERROR(IF(BA1189="WIP - 30 Days",VLOOKUP(D1189,[3]Extended!$B$9:$E$101,4,FALSE),IF(BA1189="31-120 Days",VLOOKUP(D1189,[3]Extended!$B$9:$F$101,5,FALSE),IF(BA1189="121-365 Days",VLOOKUP(D1189,[3]Extended!$B$9:$G$101,6,FALSE),VLOOKUP(D1189,[3]Extended!$B$9:$H$101,7,FALSE)))),0)</f>
        <v>0</v>
      </c>
      <c r="O1189" s="269">
        <f>IFERROR(IF(BA1189="WIP - 30 Days",VLOOKUP(D1189,[3]Extended!$B$9:$J$101,9,FALSE),IF(BA1189="31-120 Days",VLOOKUP(D1189,[3]Extended!$B$9:$K$101,10,FALSE),IF(BA1189="121-365 Days",VLOOKUP(D1189,[3]Extended!$B$9:$L$101,11,FALSE),VLOOKUP(D1189,[3]Extended!$B$9:$M$101,12,FALSE)))),0)</f>
        <v>0</v>
      </c>
      <c r="P1189" s="116" t="e">
        <f t="shared" si="91"/>
        <v>#VALUE!</v>
      </c>
      <c r="Q1189" s="110" t="e">
        <f>O1189-#REF!</f>
        <v>#REF!</v>
      </c>
      <c r="W1189" s="311"/>
      <c r="X1189" s="311"/>
      <c r="Y1189" s="311"/>
      <c r="Z1189" s="311"/>
      <c r="AA1189" s="311"/>
      <c r="AB1189" s="311"/>
      <c r="AC1189" s="311"/>
      <c r="AT1189" s="88" t="str">
        <f t="shared" si="92"/>
        <v>Special Order0</v>
      </c>
      <c r="AU1189" s="89" t="str">
        <f t="shared" si="93"/>
        <v>01-1900</v>
      </c>
      <c r="BA1189" s="92" t="str">
        <f t="shared" si="94"/>
        <v/>
      </c>
    </row>
    <row r="1190" spans="2:53">
      <c r="B1190" s="60">
        <f>[2]Trucks!A1187</f>
        <v>0</v>
      </c>
      <c r="C1190" s="11">
        <f>[2]Trucks!B1187</f>
        <v>0</v>
      </c>
      <c r="D1190" s="19" t="str">
        <f>IFERROR(VLOOKUP(C1190&amp;"",'[2]Retail Price List'!$A$3:$B$103,2,FALSE),"Special Order")</f>
        <v>Special Order</v>
      </c>
      <c r="E1190" s="18">
        <f>[2]Trucks!J1187</f>
        <v>0</v>
      </c>
      <c r="F1190" s="12">
        <f>[2]Trucks!E1187</f>
        <v>0</v>
      </c>
      <c r="G1190" s="56">
        <f>[2]Trucks!K1187</f>
        <v>0</v>
      </c>
      <c r="H1190" s="46">
        <f>[2]Trucks!I1187</f>
        <v>0</v>
      </c>
      <c r="I1190" s="83" t="str">
        <f t="shared" si="90"/>
        <v/>
      </c>
      <c r="J1190" s="272" t="str">
        <f>IFERROR(VLOOKUP((D1190&amp;C1190)&amp;"",'[2]Retail Price List'!$C$4:$F$102,3,FALSE),"")</f>
        <v/>
      </c>
      <c r="K1190" s="272">
        <f>IFERROR(IF(BA1190="WIP - 30 Days",VLOOKUP(D1190,[3]Standard!$B$9:$E$101,4,FALSE),IF(BA1190="31-120 Days",VLOOKUP(D1190,[3]Standard!$B$9:$F$101,5,FALSE),IF(BA1190="121-365 Days",VLOOKUP(D1190,[3]Standard!$B$9:$G$101,6,FALSE),VLOOKUP(D1190,[3]Standard!$B$9:$H$101,7,FALSE)))),0)</f>
        <v>0</v>
      </c>
      <c r="L1190" s="272">
        <f>IFERROR(IF(BA1190="WIP - 30 Days",VLOOKUP(D1190,[3]Standard!$B$9:$J$101,9,FALSE),IF(BA1190="31-120 Days",VLOOKUP(D1190,[3]Standard!$B$9:$K$100,10,FALSE),IF(BA1190="121-365 Days",VLOOKUP(D1190,[3]Standard!$B$9:$L$101,11,FALSE),VLOOKUP(D1190,[3]Standard!$B$9:$M$101,12,FALSE)))),0)</f>
        <v>0</v>
      </c>
      <c r="M1190" s="269" t="str">
        <f>IFERROR(VLOOKUP((D1190&amp;C1190)&amp;"",'[2]Retail Price List'!$C$4:$F$102,4,FALSE),"")</f>
        <v/>
      </c>
      <c r="N1190" s="269">
        <f>IFERROR(IF(BA1190="WIP - 30 Days",VLOOKUP(D1190,[3]Extended!$B$9:$E$101,4,FALSE),IF(BA1190="31-120 Days",VLOOKUP(D1190,[3]Extended!$B$9:$F$101,5,FALSE),IF(BA1190="121-365 Days",VLOOKUP(D1190,[3]Extended!$B$9:$G$101,6,FALSE),VLOOKUP(D1190,[3]Extended!$B$9:$H$101,7,FALSE)))),0)</f>
        <v>0</v>
      </c>
      <c r="O1190" s="269">
        <f>IFERROR(IF(BA1190="WIP - 30 Days",VLOOKUP(D1190,[3]Extended!$B$9:$J$101,9,FALSE),IF(BA1190="31-120 Days",VLOOKUP(D1190,[3]Extended!$B$9:$K$101,10,FALSE),IF(BA1190="121-365 Days",VLOOKUP(D1190,[3]Extended!$B$9:$L$101,11,FALSE),VLOOKUP(D1190,[3]Extended!$B$9:$M$101,12,FALSE)))),0)</f>
        <v>0</v>
      </c>
      <c r="P1190" s="116" t="e">
        <f t="shared" si="91"/>
        <v>#VALUE!</v>
      </c>
      <c r="Q1190" s="110" t="e">
        <f>O1190-#REF!</f>
        <v>#REF!</v>
      </c>
      <c r="W1190" s="311"/>
      <c r="X1190" s="311"/>
      <c r="Y1190" s="311"/>
      <c r="Z1190" s="311"/>
      <c r="AA1190" s="311"/>
      <c r="AB1190" s="311"/>
      <c r="AC1190" s="311"/>
      <c r="AT1190" s="88" t="str">
        <f t="shared" si="92"/>
        <v>Special Order0</v>
      </c>
      <c r="AU1190" s="89" t="str">
        <f t="shared" si="93"/>
        <v>01-1900</v>
      </c>
      <c r="BA1190" s="92" t="str">
        <f t="shared" si="94"/>
        <v/>
      </c>
    </row>
    <row r="1191" spans="2:53">
      <c r="B1191" s="60">
        <f>[2]Trucks!A1188</f>
        <v>0</v>
      </c>
      <c r="C1191" s="11">
        <f>[2]Trucks!B1188</f>
        <v>0</v>
      </c>
      <c r="D1191" s="19" t="str">
        <f>IFERROR(VLOOKUP(C1191&amp;"",'[2]Retail Price List'!$A$3:$B$103,2,FALSE),"Special Order")</f>
        <v>Special Order</v>
      </c>
      <c r="E1191" s="18">
        <f>[2]Trucks!J1188</f>
        <v>0</v>
      </c>
      <c r="F1191" s="12">
        <f>[2]Trucks!E1188</f>
        <v>0</v>
      </c>
      <c r="G1191" s="56">
        <f>[2]Trucks!K1188</f>
        <v>0</v>
      </c>
      <c r="H1191" s="46">
        <f>[2]Trucks!I1188</f>
        <v>0</v>
      </c>
      <c r="I1191" s="83" t="str">
        <f t="shared" si="90"/>
        <v/>
      </c>
      <c r="J1191" s="272" t="str">
        <f>IFERROR(VLOOKUP((D1191&amp;C1191)&amp;"",'[2]Retail Price List'!$C$4:$F$102,3,FALSE),"")</f>
        <v/>
      </c>
      <c r="K1191" s="272">
        <f>IFERROR(IF(BA1191="WIP - 30 Days",VLOOKUP(D1191,[3]Standard!$B$9:$E$101,4,FALSE),IF(BA1191="31-120 Days",VLOOKUP(D1191,[3]Standard!$B$9:$F$101,5,FALSE),IF(BA1191="121-365 Days",VLOOKUP(D1191,[3]Standard!$B$9:$G$101,6,FALSE),VLOOKUP(D1191,[3]Standard!$B$9:$H$101,7,FALSE)))),0)</f>
        <v>0</v>
      </c>
      <c r="L1191" s="272">
        <f>IFERROR(IF(BA1191="WIP - 30 Days",VLOOKUP(D1191,[3]Standard!$B$9:$J$101,9,FALSE),IF(BA1191="31-120 Days",VLOOKUP(D1191,[3]Standard!$B$9:$K$100,10,FALSE),IF(BA1191="121-365 Days",VLOOKUP(D1191,[3]Standard!$B$9:$L$101,11,FALSE),VLOOKUP(D1191,[3]Standard!$B$9:$M$101,12,FALSE)))),0)</f>
        <v>0</v>
      </c>
      <c r="M1191" s="269" t="str">
        <f>IFERROR(VLOOKUP((D1191&amp;C1191)&amp;"",'[2]Retail Price List'!$C$4:$F$102,4,FALSE),"")</f>
        <v/>
      </c>
      <c r="N1191" s="269">
        <f>IFERROR(IF(BA1191="WIP - 30 Days",VLOOKUP(D1191,[3]Extended!$B$9:$E$101,4,FALSE),IF(BA1191="31-120 Days",VLOOKUP(D1191,[3]Extended!$B$9:$F$101,5,FALSE),IF(BA1191="121-365 Days",VLOOKUP(D1191,[3]Extended!$B$9:$G$101,6,FALSE),VLOOKUP(D1191,[3]Extended!$B$9:$H$101,7,FALSE)))),0)</f>
        <v>0</v>
      </c>
      <c r="O1191" s="269">
        <f>IFERROR(IF(BA1191="WIP - 30 Days",VLOOKUP(D1191,[3]Extended!$B$9:$J$101,9,FALSE),IF(BA1191="31-120 Days",VLOOKUP(D1191,[3]Extended!$B$9:$K$101,10,FALSE),IF(BA1191="121-365 Days",VLOOKUP(D1191,[3]Extended!$B$9:$L$101,11,FALSE),VLOOKUP(D1191,[3]Extended!$B$9:$M$101,12,FALSE)))),0)</f>
        <v>0</v>
      </c>
      <c r="P1191" s="116" t="e">
        <f t="shared" si="91"/>
        <v>#VALUE!</v>
      </c>
      <c r="Q1191" s="110" t="e">
        <f>O1191-#REF!</f>
        <v>#REF!</v>
      </c>
      <c r="W1191" s="311"/>
      <c r="X1191" s="311"/>
      <c r="Y1191" s="311"/>
      <c r="Z1191" s="311"/>
      <c r="AA1191" s="311"/>
      <c r="AB1191" s="311"/>
      <c r="AC1191" s="311"/>
      <c r="AT1191" s="88" t="str">
        <f t="shared" si="92"/>
        <v>Special Order0</v>
      </c>
      <c r="AU1191" s="89" t="str">
        <f t="shared" si="93"/>
        <v>01-1900</v>
      </c>
      <c r="BA1191" s="92" t="str">
        <f t="shared" si="94"/>
        <v/>
      </c>
    </row>
    <row r="1192" spans="2:53">
      <c r="B1192" s="60">
        <f>[2]Trucks!A1189</f>
        <v>0</v>
      </c>
      <c r="C1192" s="11">
        <f>[2]Trucks!B1189</f>
        <v>0</v>
      </c>
      <c r="D1192" s="19" t="str">
        <f>IFERROR(VLOOKUP(C1192&amp;"",'[2]Retail Price List'!$A$3:$B$103,2,FALSE),"Special Order")</f>
        <v>Special Order</v>
      </c>
      <c r="E1192" s="18">
        <f>[2]Trucks!J1189</f>
        <v>0</v>
      </c>
      <c r="F1192" s="12">
        <f>[2]Trucks!E1189</f>
        <v>0</v>
      </c>
      <c r="G1192" s="56">
        <f>[2]Trucks!K1189</f>
        <v>0</v>
      </c>
      <c r="H1192" s="46">
        <f>[2]Trucks!I1189</f>
        <v>0</v>
      </c>
      <c r="I1192" s="83" t="str">
        <f t="shared" si="90"/>
        <v/>
      </c>
      <c r="J1192" s="272" t="str">
        <f>IFERROR(VLOOKUP((D1192&amp;C1192)&amp;"",'[2]Retail Price List'!$C$4:$F$102,3,FALSE),"")</f>
        <v/>
      </c>
      <c r="K1192" s="272">
        <f>IFERROR(IF(BA1192="WIP - 30 Days",VLOOKUP(D1192,[3]Standard!$B$9:$E$101,4,FALSE),IF(BA1192="31-120 Days",VLOOKUP(D1192,[3]Standard!$B$9:$F$101,5,FALSE),IF(BA1192="121-365 Days",VLOOKUP(D1192,[3]Standard!$B$9:$G$101,6,FALSE),VLOOKUP(D1192,[3]Standard!$B$9:$H$101,7,FALSE)))),0)</f>
        <v>0</v>
      </c>
      <c r="L1192" s="272">
        <f>IFERROR(IF(BA1192="WIP - 30 Days",VLOOKUP(D1192,[3]Standard!$B$9:$J$101,9,FALSE),IF(BA1192="31-120 Days",VLOOKUP(D1192,[3]Standard!$B$9:$K$100,10,FALSE),IF(BA1192="121-365 Days",VLOOKUP(D1192,[3]Standard!$B$9:$L$101,11,FALSE),VLOOKUP(D1192,[3]Standard!$B$9:$M$101,12,FALSE)))),0)</f>
        <v>0</v>
      </c>
      <c r="M1192" s="269" t="str">
        <f>IFERROR(VLOOKUP((D1192&amp;C1192)&amp;"",'[2]Retail Price List'!$C$4:$F$102,4,FALSE),"")</f>
        <v/>
      </c>
      <c r="N1192" s="269">
        <f>IFERROR(IF(BA1192="WIP - 30 Days",VLOOKUP(D1192,[3]Extended!$B$9:$E$101,4,FALSE),IF(BA1192="31-120 Days",VLOOKUP(D1192,[3]Extended!$B$9:$F$101,5,FALSE),IF(BA1192="121-365 Days",VLOOKUP(D1192,[3]Extended!$B$9:$G$101,6,FALSE),VLOOKUP(D1192,[3]Extended!$B$9:$H$101,7,FALSE)))),0)</f>
        <v>0</v>
      </c>
      <c r="O1192" s="269">
        <f>IFERROR(IF(BA1192="WIP - 30 Days",VLOOKUP(D1192,[3]Extended!$B$9:$J$101,9,FALSE),IF(BA1192="31-120 Days",VLOOKUP(D1192,[3]Extended!$B$9:$K$101,10,FALSE),IF(BA1192="121-365 Days",VLOOKUP(D1192,[3]Extended!$B$9:$L$101,11,FALSE),VLOOKUP(D1192,[3]Extended!$B$9:$M$101,12,FALSE)))),0)</f>
        <v>0</v>
      </c>
      <c r="P1192" s="116" t="e">
        <f t="shared" si="91"/>
        <v>#VALUE!</v>
      </c>
      <c r="Q1192" s="110" t="e">
        <f>O1192-#REF!</f>
        <v>#REF!</v>
      </c>
      <c r="W1192" s="311"/>
      <c r="X1192" s="311"/>
      <c r="Y1192" s="311"/>
      <c r="Z1192" s="311"/>
      <c r="AA1192" s="311"/>
      <c r="AB1192" s="311"/>
      <c r="AC1192" s="311"/>
      <c r="AT1192" s="88" t="str">
        <f t="shared" si="92"/>
        <v>Special Order0</v>
      </c>
      <c r="AU1192" s="89" t="str">
        <f t="shared" si="93"/>
        <v>01-1900</v>
      </c>
      <c r="BA1192" s="92" t="str">
        <f t="shared" si="94"/>
        <v/>
      </c>
    </row>
    <row r="1193" spans="2:53">
      <c r="B1193" s="60">
        <f>[2]Trucks!A1190</f>
        <v>0</v>
      </c>
      <c r="C1193" s="11">
        <f>[2]Trucks!B1190</f>
        <v>0</v>
      </c>
      <c r="D1193" s="19" t="str">
        <f>IFERROR(VLOOKUP(C1193&amp;"",'[2]Retail Price List'!$A$3:$B$103,2,FALSE),"Special Order")</f>
        <v>Special Order</v>
      </c>
      <c r="E1193" s="18">
        <f>[2]Trucks!J1190</f>
        <v>0</v>
      </c>
      <c r="F1193" s="12">
        <f>[2]Trucks!E1190</f>
        <v>0</v>
      </c>
      <c r="G1193" s="56">
        <f>[2]Trucks!K1190</f>
        <v>0</v>
      </c>
      <c r="H1193" s="46">
        <f>[2]Trucks!I1190</f>
        <v>0</v>
      </c>
      <c r="I1193" s="83" t="str">
        <f t="shared" si="90"/>
        <v/>
      </c>
      <c r="J1193" s="272" t="str">
        <f>IFERROR(VLOOKUP((D1193&amp;C1193)&amp;"",'[2]Retail Price List'!$C$4:$F$102,3,FALSE),"")</f>
        <v/>
      </c>
      <c r="K1193" s="272">
        <f>IFERROR(IF(BA1193="WIP - 30 Days",VLOOKUP(D1193,[3]Standard!$B$9:$E$101,4,FALSE),IF(BA1193="31-120 Days",VLOOKUP(D1193,[3]Standard!$B$9:$F$101,5,FALSE),IF(BA1193="121-365 Days",VLOOKUP(D1193,[3]Standard!$B$9:$G$101,6,FALSE),VLOOKUP(D1193,[3]Standard!$B$9:$H$101,7,FALSE)))),0)</f>
        <v>0</v>
      </c>
      <c r="L1193" s="272">
        <f>IFERROR(IF(BA1193="WIP - 30 Days",VLOOKUP(D1193,[3]Standard!$B$9:$J$101,9,FALSE),IF(BA1193="31-120 Days",VLOOKUP(D1193,[3]Standard!$B$9:$K$100,10,FALSE),IF(BA1193="121-365 Days",VLOOKUP(D1193,[3]Standard!$B$9:$L$101,11,FALSE),VLOOKUP(D1193,[3]Standard!$B$9:$M$101,12,FALSE)))),0)</f>
        <v>0</v>
      </c>
      <c r="M1193" s="269" t="str">
        <f>IFERROR(VLOOKUP((D1193&amp;C1193)&amp;"",'[2]Retail Price List'!$C$4:$F$102,4,FALSE),"")</f>
        <v/>
      </c>
      <c r="N1193" s="269">
        <f>IFERROR(IF(BA1193="WIP - 30 Days",VLOOKUP(D1193,[3]Extended!$B$9:$E$101,4,FALSE),IF(BA1193="31-120 Days",VLOOKUP(D1193,[3]Extended!$B$9:$F$101,5,FALSE),IF(BA1193="121-365 Days",VLOOKUP(D1193,[3]Extended!$B$9:$G$101,6,FALSE),VLOOKUP(D1193,[3]Extended!$B$9:$H$101,7,FALSE)))),0)</f>
        <v>0</v>
      </c>
      <c r="O1193" s="269">
        <f>IFERROR(IF(BA1193="WIP - 30 Days",VLOOKUP(D1193,[3]Extended!$B$9:$J$101,9,FALSE),IF(BA1193="31-120 Days",VLOOKUP(D1193,[3]Extended!$B$9:$K$101,10,FALSE),IF(BA1193="121-365 Days",VLOOKUP(D1193,[3]Extended!$B$9:$L$101,11,FALSE),VLOOKUP(D1193,[3]Extended!$B$9:$M$101,12,FALSE)))),0)</f>
        <v>0</v>
      </c>
      <c r="P1193" s="116" t="e">
        <f t="shared" si="91"/>
        <v>#VALUE!</v>
      </c>
      <c r="Q1193" s="110" t="e">
        <f>O1193-#REF!</f>
        <v>#REF!</v>
      </c>
      <c r="W1193" s="311"/>
      <c r="X1193" s="311"/>
      <c r="Y1193" s="311"/>
      <c r="Z1193" s="311"/>
      <c r="AA1193" s="311"/>
      <c r="AB1193" s="311"/>
      <c r="AC1193" s="311"/>
      <c r="AT1193" s="88" t="str">
        <f t="shared" si="92"/>
        <v>Special Order0</v>
      </c>
      <c r="AU1193" s="89" t="str">
        <f t="shared" si="93"/>
        <v>01-1900</v>
      </c>
      <c r="BA1193" s="92" t="str">
        <f t="shared" si="94"/>
        <v/>
      </c>
    </row>
    <row r="1194" spans="2:53">
      <c r="B1194" s="60">
        <f>[2]Trucks!A1191</f>
        <v>0</v>
      </c>
      <c r="C1194" s="11">
        <f>[2]Trucks!B1191</f>
        <v>0</v>
      </c>
      <c r="D1194" s="19" t="str">
        <f>IFERROR(VLOOKUP(C1194&amp;"",'[2]Retail Price List'!$A$3:$B$103,2,FALSE),"Special Order")</f>
        <v>Special Order</v>
      </c>
      <c r="E1194" s="18">
        <f>[2]Trucks!J1191</f>
        <v>0</v>
      </c>
      <c r="F1194" s="12">
        <f>[2]Trucks!E1191</f>
        <v>0</v>
      </c>
      <c r="G1194" s="56">
        <f>[2]Trucks!K1191</f>
        <v>0</v>
      </c>
      <c r="H1194" s="46">
        <f>[2]Trucks!I1191</f>
        <v>0</v>
      </c>
      <c r="I1194" s="83" t="str">
        <f t="shared" si="90"/>
        <v/>
      </c>
      <c r="J1194" s="272" t="str">
        <f>IFERROR(VLOOKUP((D1194&amp;C1194)&amp;"",'[2]Retail Price List'!$C$4:$F$102,3,FALSE),"")</f>
        <v/>
      </c>
      <c r="K1194" s="272">
        <f>IFERROR(IF(BA1194="WIP - 30 Days",VLOOKUP(D1194,[3]Standard!$B$9:$E$101,4,FALSE),IF(BA1194="31-120 Days",VLOOKUP(D1194,[3]Standard!$B$9:$F$101,5,FALSE),IF(BA1194="121-365 Days",VLOOKUP(D1194,[3]Standard!$B$9:$G$101,6,FALSE),VLOOKUP(D1194,[3]Standard!$B$9:$H$101,7,FALSE)))),0)</f>
        <v>0</v>
      </c>
      <c r="L1194" s="272">
        <f>IFERROR(IF(BA1194="WIP - 30 Days",VLOOKUP(D1194,[3]Standard!$B$9:$J$101,9,FALSE),IF(BA1194="31-120 Days",VLOOKUP(D1194,[3]Standard!$B$9:$K$100,10,FALSE),IF(BA1194="121-365 Days",VLOOKUP(D1194,[3]Standard!$B$9:$L$101,11,FALSE),VLOOKUP(D1194,[3]Standard!$B$9:$M$101,12,FALSE)))),0)</f>
        <v>0</v>
      </c>
      <c r="M1194" s="269" t="str">
        <f>IFERROR(VLOOKUP((D1194&amp;C1194)&amp;"",'[2]Retail Price List'!$C$4:$F$102,4,FALSE),"")</f>
        <v/>
      </c>
      <c r="N1194" s="269">
        <f>IFERROR(IF(BA1194="WIP - 30 Days",VLOOKUP(D1194,[3]Extended!$B$9:$E$101,4,FALSE),IF(BA1194="31-120 Days",VLOOKUP(D1194,[3]Extended!$B$9:$F$101,5,FALSE),IF(BA1194="121-365 Days",VLOOKUP(D1194,[3]Extended!$B$9:$G$101,6,FALSE),VLOOKUP(D1194,[3]Extended!$B$9:$H$101,7,FALSE)))),0)</f>
        <v>0</v>
      </c>
      <c r="O1194" s="269">
        <f>IFERROR(IF(BA1194="WIP - 30 Days",VLOOKUP(D1194,[3]Extended!$B$9:$J$101,9,FALSE),IF(BA1194="31-120 Days",VLOOKUP(D1194,[3]Extended!$B$9:$K$101,10,FALSE),IF(BA1194="121-365 Days",VLOOKUP(D1194,[3]Extended!$B$9:$L$101,11,FALSE),VLOOKUP(D1194,[3]Extended!$B$9:$M$101,12,FALSE)))),0)</f>
        <v>0</v>
      </c>
      <c r="P1194" s="116" t="e">
        <f t="shared" si="91"/>
        <v>#VALUE!</v>
      </c>
      <c r="Q1194" s="110" t="e">
        <f>O1194-#REF!</f>
        <v>#REF!</v>
      </c>
      <c r="W1194" s="311"/>
      <c r="X1194" s="311"/>
      <c r="Y1194" s="311"/>
      <c r="Z1194" s="311"/>
      <c r="AA1194" s="311"/>
      <c r="AB1194" s="311"/>
      <c r="AC1194" s="311"/>
      <c r="AT1194" s="88" t="str">
        <f t="shared" si="92"/>
        <v>Special Order0</v>
      </c>
      <c r="AU1194" s="89" t="str">
        <f t="shared" si="93"/>
        <v>01-1900</v>
      </c>
      <c r="BA1194" s="92" t="str">
        <f t="shared" si="94"/>
        <v/>
      </c>
    </row>
    <row r="1195" spans="2:53">
      <c r="B1195" s="60">
        <f>[2]Trucks!A1192</f>
        <v>0</v>
      </c>
      <c r="C1195" s="11">
        <f>[2]Trucks!B1192</f>
        <v>0</v>
      </c>
      <c r="D1195" s="19" t="str">
        <f>IFERROR(VLOOKUP(C1195&amp;"",'[2]Retail Price List'!$A$3:$B$103,2,FALSE),"Special Order")</f>
        <v>Special Order</v>
      </c>
      <c r="E1195" s="18">
        <f>[2]Trucks!J1192</f>
        <v>0</v>
      </c>
      <c r="F1195" s="12">
        <f>[2]Trucks!E1192</f>
        <v>0</v>
      </c>
      <c r="G1195" s="56">
        <f>[2]Trucks!K1192</f>
        <v>0</v>
      </c>
      <c r="H1195" s="46">
        <f>[2]Trucks!I1192</f>
        <v>0</v>
      </c>
      <c r="I1195" s="83" t="str">
        <f t="shared" si="90"/>
        <v/>
      </c>
      <c r="J1195" s="272" t="str">
        <f>IFERROR(VLOOKUP((D1195&amp;C1195)&amp;"",'[2]Retail Price List'!$C$4:$F$102,3,FALSE),"")</f>
        <v/>
      </c>
      <c r="K1195" s="272">
        <f>IFERROR(IF(BA1195="WIP - 30 Days",VLOOKUP(D1195,[3]Standard!$B$9:$E$101,4,FALSE),IF(BA1195="31-120 Days",VLOOKUP(D1195,[3]Standard!$B$9:$F$101,5,FALSE),IF(BA1195="121-365 Days",VLOOKUP(D1195,[3]Standard!$B$9:$G$101,6,FALSE),VLOOKUP(D1195,[3]Standard!$B$9:$H$101,7,FALSE)))),0)</f>
        <v>0</v>
      </c>
      <c r="L1195" s="272">
        <f>IFERROR(IF(BA1195="WIP - 30 Days",VLOOKUP(D1195,[3]Standard!$B$9:$J$101,9,FALSE),IF(BA1195="31-120 Days",VLOOKUP(D1195,[3]Standard!$B$9:$K$100,10,FALSE),IF(BA1195="121-365 Days",VLOOKUP(D1195,[3]Standard!$B$9:$L$101,11,FALSE),VLOOKUP(D1195,[3]Standard!$B$9:$M$101,12,FALSE)))),0)</f>
        <v>0</v>
      </c>
      <c r="M1195" s="269" t="str">
        <f>IFERROR(VLOOKUP((D1195&amp;C1195)&amp;"",'[2]Retail Price List'!$C$4:$F$102,4,FALSE),"")</f>
        <v/>
      </c>
      <c r="N1195" s="269">
        <f>IFERROR(IF(BA1195="WIP - 30 Days",VLOOKUP(D1195,[3]Extended!$B$9:$E$101,4,FALSE),IF(BA1195="31-120 Days",VLOOKUP(D1195,[3]Extended!$B$9:$F$101,5,FALSE),IF(BA1195="121-365 Days",VLOOKUP(D1195,[3]Extended!$B$9:$G$101,6,FALSE),VLOOKUP(D1195,[3]Extended!$B$9:$H$101,7,FALSE)))),0)</f>
        <v>0</v>
      </c>
      <c r="O1195" s="269">
        <f>IFERROR(IF(BA1195="WIP - 30 Days",VLOOKUP(D1195,[3]Extended!$B$9:$J$101,9,FALSE),IF(BA1195="31-120 Days",VLOOKUP(D1195,[3]Extended!$B$9:$K$101,10,FALSE),IF(BA1195="121-365 Days",VLOOKUP(D1195,[3]Extended!$B$9:$L$101,11,FALSE),VLOOKUP(D1195,[3]Extended!$B$9:$M$101,12,FALSE)))),0)</f>
        <v>0</v>
      </c>
      <c r="P1195" s="116" t="e">
        <f t="shared" si="91"/>
        <v>#VALUE!</v>
      </c>
      <c r="Q1195" s="110" t="e">
        <f>O1195-#REF!</f>
        <v>#REF!</v>
      </c>
      <c r="W1195" s="311"/>
      <c r="X1195" s="311"/>
      <c r="Y1195" s="311"/>
      <c r="Z1195" s="311"/>
      <c r="AA1195" s="311"/>
      <c r="AB1195" s="311"/>
      <c r="AC1195" s="311"/>
      <c r="AT1195" s="88" t="str">
        <f t="shared" si="92"/>
        <v>Special Order0</v>
      </c>
      <c r="AU1195" s="89" t="str">
        <f t="shared" si="93"/>
        <v>01-1900</v>
      </c>
      <c r="BA1195" s="92" t="str">
        <f t="shared" si="94"/>
        <v/>
      </c>
    </row>
    <row r="1196" spans="2:53">
      <c r="B1196" s="60">
        <f>[2]Trucks!A1193</f>
        <v>0</v>
      </c>
      <c r="C1196" s="11">
        <f>[2]Trucks!B1193</f>
        <v>0</v>
      </c>
      <c r="D1196" s="19" t="str">
        <f>IFERROR(VLOOKUP(C1196&amp;"",'[2]Retail Price List'!$A$3:$B$103,2,FALSE),"Special Order")</f>
        <v>Special Order</v>
      </c>
      <c r="E1196" s="18">
        <f>[2]Trucks!J1193</f>
        <v>0</v>
      </c>
      <c r="F1196" s="12">
        <f>[2]Trucks!E1193</f>
        <v>0</v>
      </c>
      <c r="G1196" s="56">
        <f>[2]Trucks!K1193</f>
        <v>0</v>
      </c>
      <c r="H1196" s="46">
        <f>[2]Trucks!I1193</f>
        <v>0</v>
      </c>
      <c r="I1196" s="83" t="str">
        <f t="shared" si="90"/>
        <v/>
      </c>
      <c r="J1196" s="272" t="str">
        <f>IFERROR(VLOOKUP((D1196&amp;C1196)&amp;"",'[2]Retail Price List'!$C$4:$F$102,3,FALSE),"")</f>
        <v/>
      </c>
      <c r="K1196" s="272">
        <f>IFERROR(IF(BA1196="WIP - 30 Days",VLOOKUP(D1196,[3]Standard!$B$9:$E$101,4,FALSE),IF(BA1196="31-120 Days",VLOOKUP(D1196,[3]Standard!$B$9:$F$101,5,FALSE),IF(BA1196="121-365 Days",VLOOKUP(D1196,[3]Standard!$B$9:$G$101,6,FALSE),VLOOKUP(D1196,[3]Standard!$B$9:$H$101,7,FALSE)))),0)</f>
        <v>0</v>
      </c>
      <c r="L1196" s="272">
        <f>IFERROR(IF(BA1196="WIP - 30 Days",VLOOKUP(D1196,[3]Standard!$B$9:$J$101,9,FALSE),IF(BA1196="31-120 Days",VLOOKUP(D1196,[3]Standard!$B$9:$K$100,10,FALSE),IF(BA1196="121-365 Days",VLOOKUP(D1196,[3]Standard!$B$9:$L$101,11,FALSE),VLOOKUP(D1196,[3]Standard!$B$9:$M$101,12,FALSE)))),0)</f>
        <v>0</v>
      </c>
      <c r="M1196" s="269" t="str">
        <f>IFERROR(VLOOKUP((D1196&amp;C1196)&amp;"",'[2]Retail Price List'!$C$4:$F$102,4,FALSE),"")</f>
        <v/>
      </c>
      <c r="N1196" s="269">
        <f>IFERROR(IF(BA1196="WIP - 30 Days",VLOOKUP(D1196,[3]Extended!$B$9:$E$101,4,FALSE),IF(BA1196="31-120 Days",VLOOKUP(D1196,[3]Extended!$B$9:$F$101,5,FALSE),IF(BA1196="121-365 Days",VLOOKUP(D1196,[3]Extended!$B$9:$G$101,6,FALSE),VLOOKUP(D1196,[3]Extended!$B$9:$H$101,7,FALSE)))),0)</f>
        <v>0</v>
      </c>
      <c r="O1196" s="269">
        <f>IFERROR(IF(BA1196="WIP - 30 Days",VLOOKUP(D1196,[3]Extended!$B$9:$J$101,9,FALSE),IF(BA1196="31-120 Days",VLOOKUP(D1196,[3]Extended!$B$9:$K$101,10,FALSE),IF(BA1196="121-365 Days",VLOOKUP(D1196,[3]Extended!$B$9:$L$101,11,FALSE),VLOOKUP(D1196,[3]Extended!$B$9:$M$101,12,FALSE)))),0)</f>
        <v>0</v>
      </c>
      <c r="P1196" s="116" t="e">
        <f t="shared" si="91"/>
        <v>#VALUE!</v>
      </c>
      <c r="Q1196" s="110" t="e">
        <f>O1196-#REF!</f>
        <v>#REF!</v>
      </c>
      <c r="W1196" s="311"/>
      <c r="X1196" s="311"/>
      <c r="Y1196" s="311"/>
      <c r="Z1196" s="311"/>
      <c r="AA1196" s="311"/>
      <c r="AB1196" s="311"/>
      <c r="AC1196" s="311"/>
      <c r="AT1196" s="88" t="str">
        <f t="shared" si="92"/>
        <v>Special Order0</v>
      </c>
      <c r="AU1196" s="89" t="str">
        <f t="shared" si="93"/>
        <v>01-1900</v>
      </c>
      <c r="BA1196" s="92" t="str">
        <f t="shared" si="94"/>
        <v/>
      </c>
    </row>
    <row r="1197" spans="2:53">
      <c r="B1197" s="60">
        <f>[2]Trucks!A1194</f>
        <v>0</v>
      </c>
      <c r="C1197" s="11">
        <f>[2]Trucks!B1194</f>
        <v>0</v>
      </c>
      <c r="D1197" s="19" t="str">
        <f>IFERROR(VLOOKUP(C1197&amp;"",'[2]Retail Price List'!$A$3:$B$103,2,FALSE),"Special Order")</f>
        <v>Special Order</v>
      </c>
      <c r="E1197" s="18">
        <f>[2]Trucks!J1194</f>
        <v>0</v>
      </c>
      <c r="F1197" s="12">
        <f>[2]Trucks!E1194</f>
        <v>0</v>
      </c>
      <c r="G1197" s="56">
        <f>[2]Trucks!K1194</f>
        <v>0</v>
      </c>
      <c r="H1197" s="46">
        <f>[2]Trucks!I1194</f>
        <v>0</v>
      </c>
      <c r="I1197" s="83" t="str">
        <f t="shared" si="90"/>
        <v/>
      </c>
      <c r="J1197" s="272" t="str">
        <f>IFERROR(VLOOKUP((D1197&amp;C1197)&amp;"",'[2]Retail Price List'!$C$4:$F$102,3,FALSE),"")</f>
        <v/>
      </c>
      <c r="K1197" s="272">
        <f>IFERROR(IF(BA1197="WIP - 30 Days",VLOOKUP(D1197,[3]Standard!$B$9:$E$101,4,FALSE),IF(BA1197="31-120 Days",VLOOKUP(D1197,[3]Standard!$B$9:$F$101,5,FALSE),IF(BA1197="121-365 Days",VLOOKUP(D1197,[3]Standard!$B$9:$G$101,6,FALSE),VLOOKUP(D1197,[3]Standard!$B$9:$H$101,7,FALSE)))),0)</f>
        <v>0</v>
      </c>
      <c r="L1197" s="272">
        <f>IFERROR(IF(BA1197="WIP - 30 Days",VLOOKUP(D1197,[3]Standard!$B$9:$J$101,9,FALSE),IF(BA1197="31-120 Days",VLOOKUP(D1197,[3]Standard!$B$9:$K$100,10,FALSE),IF(BA1197="121-365 Days",VLOOKUP(D1197,[3]Standard!$B$9:$L$101,11,FALSE),VLOOKUP(D1197,[3]Standard!$B$9:$M$101,12,FALSE)))),0)</f>
        <v>0</v>
      </c>
      <c r="M1197" s="269" t="str">
        <f>IFERROR(VLOOKUP((D1197&amp;C1197)&amp;"",'[2]Retail Price List'!$C$4:$F$102,4,FALSE),"")</f>
        <v/>
      </c>
      <c r="N1197" s="269">
        <f>IFERROR(IF(BA1197="WIP - 30 Days",VLOOKUP(D1197,[3]Extended!$B$9:$E$101,4,FALSE),IF(BA1197="31-120 Days",VLOOKUP(D1197,[3]Extended!$B$9:$F$101,5,FALSE),IF(BA1197="121-365 Days",VLOOKUP(D1197,[3]Extended!$B$9:$G$101,6,FALSE),VLOOKUP(D1197,[3]Extended!$B$9:$H$101,7,FALSE)))),0)</f>
        <v>0</v>
      </c>
      <c r="O1197" s="269">
        <f>IFERROR(IF(BA1197="WIP - 30 Days",VLOOKUP(D1197,[3]Extended!$B$9:$J$101,9,FALSE),IF(BA1197="31-120 Days",VLOOKUP(D1197,[3]Extended!$B$9:$K$101,10,FALSE),IF(BA1197="121-365 Days",VLOOKUP(D1197,[3]Extended!$B$9:$L$101,11,FALSE),VLOOKUP(D1197,[3]Extended!$B$9:$M$101,12,FALSE)))),0)</f>
        <v>0</v>
      </c>
      <c r="P1197" s="116" t="e">
        <f t="shared" si="91"/>
        <v>#VALUE!</v>
      </c>
      <c r="Q1197" s="110" t="e">
        <f>O1197-#REF!</f>
        <v>#REF!</v>
      </c>
      <c r="W1197" s="311"/>
      <c r="X1197" s="311"/>
      <c r="Y1197" s="311"/>
      <c r="Z1197" s="311"/>
      <c r="AA1197" s="311"/>
      <c r="AB1197" s="311"/>
      <c r="AC1197" s="311"/>
      <c r="AT1197" s="88" t="str">
        <f t="shared" si="92"/>
        <v>Special Order0</v>
      </c>
      <c r="AU1197" s="89" t="str">
        <f t="shared" si="93"/>
        <v>01-1900</v>
      </c>
      <c r="BA1197" s="92" t="str">
        <f t="shared" si="94"/>
        <v/>
      </c>
    </row>
    <row r="1198" spans="2:53">
      <c r="B1198" s="60">
        <f>[2]Trucks!A1195</f>
        <v>0</v>
      </c>
      <c r="C1198" s="11">
        <f>[2]Trucks!B1195</f>
        <v>0</v>
      </c>
      <c r="D1198" s="19" t="str">
        <f>IFERROR(VLOOKUP(C1198&amp;"",'[2]Retail Price List'!$A$3:$B$103,2,FALSE),"Special Order")</f>
        <v>Special Order</v>
      </c>
      <c r="E1198" s="18">
        <f>[2]Trucks!J1195</f>
        <v>0</v>
      </c>
      <c r="F1198" s="12">
        <f>[2]Trucks!E1195</f>
        <v>0</v>
      </c>
      <c r="G1198" s="56">
        <f>[2]Trucks!K1195</f>
        <v>0</v>
      </c>
      <c r="H1198" s="46">
        <f>[2]Trucks!I1195</f>
        <v>0</v>
      </c>
      <c r="I1198" s="83" t="str">
        <f t="shared" si="90"/>
        <v/>
      </c>
      <c r="J1198" s="272" t="str">
        <f>IFERROR(VLOOKUP((D1198&amp;C1198)&amp;"",'[2]Retail Price List'!$C$4:$F$102,3,FALSE),"")</f>
        <v/>
      </c>
      <c r="K1198" s="272">
        <f>IFERROR(IF(BA1198="WIP - 30 Days",VLOOKUP(D1198,[3]Standard!$B$9:$E$101,4,FALSE),IF(BA1198="31-120 Days",VLOOKUP(D1198,[3]Standard!$B$9:$F$101,5,FALSE),IF(BA1198="121-365 Days",VLOOKUP(D1198,[3]Standard!$B$9:$G$101,6,FALSE),VLOOKUP(D1198,[3]Standard!$B$9:$H$101,7,FALSE)))),0)</f>
        <v>0</v>
      </c>
      <c r="L1198" s="272">
        <f>IFERROR(IF(BA1198="WIP - 30 Days",VLOOKUP(D1198,[3]Standard!$B$9:$J$101,9,FALSE),IF(BA1198="31-120 Days",VLOOKUP(D1198,[3]Standard!$B$9:$K$100,10,FALSE),IF(BA1198="121-365 Days",VLOOKUP(D1198,[3]Standard!$B$9:$L$101,11,FALSE),VLOOKUP(D1198,[3]Standard!$B$9:$M$101,12,FALSE)))),0)</f>
        <v>0</v>
      </c>
      <c r="M1198" s="269" t="str">
        <f>IFERROR(VLOOKUP((D1198&amp;C1198)&amp;"",'[2]Retail Price List'!$C$4:$F$102,4,FALSE),"")</f>
        <v/>
      </c>
      <c r="N1198" s="269">
        <f>IFERROR(IF(BA1198="WIP - 30 Days",VLOOKUP(D1198,[3]Extended!$B$9:$E$101,4,FALSE),IF(BA1198="31-120 Days",VLOOKUP(D1198,[3]Extended!$B$9:$F$101,5,FALSE),IF(BA1198="121-365 Days",VLOOKUP(D1198,[3]Extended!$B$9:$G$101,6,FALSE),VLOOKUP(D1198,[3]Extended!$B$9:$H$101,7,FALSE)))),0)</f>
        <v>0</v>
      </c>
      <c r="O1198" s="269">
        <f>IFERROR(IF(BA1198="WIP - 30 Days",VLOOKUP(D1198,[3]Extended!$B$9:$J$101,9,FALSE),IF(BA1198="31-120 Days",VLOOKUP(D1198,[3]Extended!$B$9:$K$101,10,FALSE),IF(BA1198="121-365 Days",VLOOKUP(D1198,[3]Extended!$B$9:$L$101,11,FALSE),VLOOKUP(D1198,[3]Extended!$B$9:$M$101,12,FALSE)))),0)</f>
        <v>0</v>
      </c>
      <c r="P1198" s="116" t="e">
        <f t="shared" si="91"/>
        <v>#VALUE!</v>
      </c>
      <c r="Q1198" s="110" t="e">
        <f>O1198-#REF!</f>
        <v>#REF!</v>
      </c>
      <c r="W1198" s="311"/>
      <c r="X1198" s="311"/>
      <c r="Y1198" s="311"/>
      <c r="Z1198" s="311"/>
      <c r="AA1198" s="311"/>
      <c r="AB1198" s="311"/>
      <c r="AC1198" s="311"/>
      <c r="AT1198" s="88" t="str">
        <f t="shared" si="92"/>
        <v>Special Order0</v>
      </c>
      <c r="AU1198" s="89" t="str">
        <f t="shared" si="93"/>
        <v>01-1900</v>
      </c>
      <c r="BA1198" s="92" t="str">
        <f t="shared" si="94"/>
        <v/>
      </c>
    </row>
    <row r="1199" spans="2:53">
      <c r="B1199" s="60">
        <f>[2]Trucks!A1196</f>
        <v>0</v>
      </c>
      <c r="C1199" s="11">
        <f>[2]Trucks!B1196</f>
        <v>0</v>
      </c>
      <c r="D1199" s="19" t="str">
        <f>IFERROR(VLOOKUP(C1199&amp;"",'[2]Retail Price List'!$A$3:$B$103,2,FALSE),"Special Order")</f>
        <v>Special Order</v>
      </c>
      <c r="E1199" s="18">
        <f>[2]Trucks!J1196</f>
        <v>0</v>
      </c>
      <c r="F1199" s="12">
        <f>[2]Trucks!E1196</f>
        <v>0</v>
      </c>
      <c r="G1199" s="56">
        <f>[2]Trucks!K1196</f>
        <v>0</v>
      </c>
      <c r="H1199" s="46">
        <f>[2]Trucks!I1196</f>
        <v>0</v>
      </c>
      <c r="I1199" s="83" t="str">
        <f t="shared" si="90"/>
        <v/>
      </c>
      <c r="J1199" s="272" t="str">
        <f>IFERROR(VLOOKUP((D1199&amp;C1199)&amp;"",'[2]Retail Price List'!$C$4:$F$102,3,FALSE),"")</f>
        <v/>
      </c>
      <c r="K1199" s="272">
        <f>IFERROR(IF(BA1199="WIP - 30 Days",VLOOKUP(D1199,[3]Standard!$B$9:$E$101,4,FALSE),IF(BA1199="31-120 Days",VLOOKUP(D1199,[3]Standard!$B$9:$F$101,5,FALSE),IF(BA1199="121-365 Days",VLOOKUP(D1199,[3]Standard!$B$9:$G$101,6,FALSE),VLOOKUP(D1199,[3]Standard!$B$9:$H$101,7,FALSE)))),0)</f>
        <v>0</v>
      </c>
      <c r="L1199" s="272">
        <f>IFERROR(IF(BA1199="WIP - 30 Days",VLOOKUP(D1199,[3]Standard!$B$9:$J$101,9,FALSE),IF(BA1199="31-120 Days",VLOOKUP(D1199,[3]Standard!$B$9:$K$100,10,FALSE),IF(BA1199="121-365 Days",VLOOKUP(D1199,[3]Standard!$B$9:$L$101,11,FALSE),VLOOKUP(D1199,[3]Standard!$B$9:$M$101,12,FALSE)))),0)</f>
        <v>0</v>
      </c>
      <c r="M1199" s="269" t="str">
        <f>IFERROR(VLOOKUP((D1199&amp;C1199)&amp;"",'[2]Retail Price List'!$C$4:$F$102,4,FALSE),"")</f>
        <v/>
      </c>
      <c r="N1199" s="269">
        <f>IFERROR(IF(BA1199="WIP - 30 Days",VLOOKUP(D1199,[3]Extended!$B$9:$E$101,4,FALSE),IF(BA1199="31-120 Days",VLOOKUP(D1199,[3]Extended!$B$9:$F$101,5,FALSE),IF(BA1199="121-365 Days",VLOOKUP(D1199,[3]Extended!$B$9:$G$101,6,FALSE),VLOOKUP(D1199,[3]Extended!$B$9:$H$101,7,FALSE)))),0)</f>
        <v>0</v>
      </c>
      <c r="O1199" s="269">
        <f>IFERROR(IF(BA1199="WIP - 30 Days",VLOOKUP(D1199,[3]Extended!$B$9:$J$101,9,FALSE),IF(BA1199="31-120 Days",VLOOKUP(D1199,[3]Extended!$B$9:$K$101,10,FALSE),IF(BA1199="121-365 Days",VLOOKUP(D1199,[3]Extended!$B$9:$L$101,11,FALSE),VLOOKUP(D1199,[3]Extended!$B$9:$M$101,12,FALSE)))),0)</f>
        <v>0</v>
      </c>
      <c r="P1199" s="116" t="e">
        <f t="shared" si="91"/>
        <v>#VALUE!</v>
      </c>
      <c r="Q1199" s="110" t="e">
        <f>O1199-#REF!</f>
        <v>#REF!</v>
      </c>
      <c r="W1199" s="311"/>
      <c r="X1199" s="311"/>
      <c r="Y1199" s="311"/>
      <c r="Z1199" s="311"/>
      <c r="AA1199" s="311"/>
      <c r="AB1199" s="311"/>
      <c r="AC1199" s="311"/>
      <c r="AT1199" s="88" t="str">
        <f t="shared" si="92"/>
        <v>Special Order0</v>
      </c>
      <c r="AU1199" s="89" t="str">
        <f t="shared" si="93"/>
        <v>01-1900</v>
      </c>
      <c r="BA1199" s="92" t="str">
        <f t="shared" si="94"/>
        <v/>
      </c>
    </row>
    <row r="1200" spans="2:53">
      <c r="B1200" s="60">
        <f>[2]Trucks!A1197</f>
        <v>0</v>
      </c>
      <c r="C1200" s="11">
        <f>[2]Trucks!B1197</f>
        <v>0</v>
      </c>
      <c r="D1200" s="19" t="str">
        <f>IFERROR(VLOOKUP(C1200&amp;"",'[2]Retail Price List'!$A$3:$B$103,2,FALSE),"Special Order")</f>
        <v>Special Order</v>
      </c>
      <c r="E1200" s="18">
        <f>[2]Trucks!J1197</f>
        <v>0</v>
      </c>
      <c r="F1200" s="12">
        <f>[2]Trucks!E1197</f>
        <v>0</v>
      </c>
      <c r="G1200" s="56">
        <f>[2]Trucks!K1197</f>
        <v>0</v>
      </c>
      <c r="H1200" s="46">
        <f>[2]Trucks!I1197</f>
        <v>0</v>
      </c>
      <c r="I1200" s="83" t="str">
        <f t="shared" si="90"/>
        <v/>
      </c>
      <c r="J1200" s="272" t="str">
        <f>IFERROR(VLOOKUP((D1200&amp;C1200)&amp;"",'[2]Retail Price List'!$C$4:$F$102,3,FALSE),"")</f>
        <v/>
      </c>
      <c r="K1200" s="272">
        <f>IFERROR(IF(BA1200="WIP - 30 Days",VLOOKUP(D1200,[3]Standard!$B$9:$E$101,4,FALSE),IF(BA1200="31-120 Days",VLOOKUP(D1200,[3]Standard!$B$9:$F$101,5,FALSE),IF(BA1200="121-365 Days",VLOOKUP(D1200,[3]Standard!$B$9:$G$101,6,FALSE),VLOOKUP(D1200,[3]Standard!$B$9:$H$101,7,FALSE)))),0)</f>
        <v>0</v>
      </c>
      <c r="L1200" s="272">
        <f>IFERROR(IF(BA1200="WIP - 30 Days",VLOOKUP(D1200,[3]Standard!$B$9:$J$101,9,FALSE),IF(BA1200="31-120 Days",VLOOKUP(D1200,[3]Standard!$B$9:$K$100,10,FALSE),IF(BA1200="121-365 Days",VLOOKUP(D1200,[3]Standard!$B$9:$L$101,11,FALSE),VLOOKUP(D1200,[3]Standard!$B$9:$M$101,12,FALSE)))),0)</f>
        <v>0</v>
      </c>
      <c r="M1200" s="269" t="str">
        <f>IFERROR(VLOOKUP((D1200&amp;C1200)&amp;"",'[2]Retail Price List'!$C$4:$F$102,4,FALSE),"")</f>
        <v/>
      </c>
      <c r="N1200" s="269">
        <f>IFERROR(IF(BA1200="WIP - 30 Days",VLOOKUP(D1200,[3]Extended!$B$9:$E$101,4,FALSE),IF(BA1200="31-120 Days",VLOOKUP(D1200,[3]Extended!$B$9:$F$101,5,FALSE),IF(BA1200="121-365 Days",VLOOKUP(D1200,[3]Extended!$B$9:$G$101,6,FALSE),VLOOKUP(D1200,[3]Extended!$B$9:$H$101,7,FALSE)))),0)</f>
        <v>0</v>
      </c>
      <c r="O1200" s="269">
        <f>IFERROR(IF(BA1200="WIP - 30 Days",VLOOKUP(D1200,[3]Extended!$B$9:$J$101,9,FALSE),IF(BA1200="31-120 Days",VLOOKUP(D1200,[3]Extended!$B$9:$K$101,10,FALSE),IF(BA1200="121-365 Days",VLOOKUP(D1200,[3]Extended!$B$9:$L$101,11,FALSE),VLOOKUP(D1200,[3]Extended!$B$9:$M$101,12,FALSE)))),0)</f>
        <v>0</v>
      </c>
      <c r="P1200" s="116" t="e">
        <f t="shared" si="91"/>
        <v>#VALUE!</v>
      </c>
      <c r="Q1200" s="110" t="e">
        <f>O1200-#REF!</f>
        <v>#REF!</v>
      </c>
      <c r="W1200" s="311"/>
      <c r="X1200" s="311"/>
      <c r="Y1200" s="311"/>
      <c r="Z1200" s="311"/>
      <c r="AA1200" s="311"/>
      <c r="AB1200" s="311"/>
      <c r="AC1200" s="311"/>
      <c r="AT1200" s="88" t="str">
        <f t="shared" si="92"/>
        <v>Special Order0</v>
      </c>
      <c r="AU1200" s="89" t="str">
        <f t="shared" si="93"/>
        <v>01-1900</v>
      </c>
      <c r="BA1200" s="92" t="str">
        <f t="shared" si="94"/>
        <v/>
      </c>
    </row>
    <row r="1201" spans="2:53">
      <c r="B1201" s="60">
        <f>[2]Trucks!A1198</f>
        <v>0</v>
      </c>
      <c r="C1201" s="11">
        <f>[2]Trucks!B1198</f>
        <v>0</v>
      </c>
      <c r="D1201" s="19" t="str">
        <f>IFERROR(VLOOKUP(C1201&amp;"",'[2]Retail Price List'!$A$3:$B$103,2,FALSE),"Special Order")</f>
        <v>Special Order</v>
      </c>
      <c r="E1201" s="18">
        <f>[2]Trucks!J1198</f>
        <v>0</v>
      </c>
      <c r="F1201" s="12">
        <f>[2]Trucks!E1198</f>
        <v>0</v>
      </c>
      <c r="G1201" s="56">
        <f>[2]Trucks!K1198</f>
        <v>0</v>
      </c>
      <c r="H1201" s="46">
        <f>[2]Trucks!I1198</f>
        <v>0</v>
      </c>
      <c r="I1201" s="83" t="str">
        <f t="shared" si="90"/>
        <v/>
      </c>
      <c r="J1201" s="272" t="str">
        <f>IFERROR(VLOOKUP((D1201&amp;C1201)&amp;"",'[2]Retail Price List'!$C$4:$F$102,3,FALSE),"")</f>
        <v/>
      </c>
      <c r="K1201" s="272">
        <f>IFERROR(IF(BA1201="WIP - 30 Days",VLOOKUP(D1201,[3]Standard!$B$9:$E$101,4,FALSE),IF(BA1201="31-120 Days",VLOOKUP(D1201,[3]Standard!$B$9:$F$101,5,FALSE),IF(BA1201="121-365 Days",VLOOKUP(D1201,[3]Standard!$B$9:$G$101,6,FALSE),VLOOKUP(D1201,[3]Standard!$B$9:$H$101,7,FALSE)))),0)</f>
        <v>0</v>
      </c>
      <c r="L1201" s="272">
        <f>IFERROR(IF(BA1201="WIP - 30 Days",VLOOKUP(D1201,[3]Standard!$B$9:$J$101,9,FALSE),IF(BA1201="31-120 Days",VLOOKUP(D1201,[3]Standard!$B$9:$K$100,10,FALSE),IF(BA1201="121-365 Days",VLOOKUP(D1201,[3]Standard!$B$9:$L$101,11,FALSE),VLOOKUP(D1201,[3]Standard!$B$9:$M$101,12,FALSE)))),0)</f>
        <v>0</v>
      </c>
      <c r="M1201" s="269" t="str">
        <f>IFERROR(VLOOKUP((D1201&amp;C1201)&amp;"",'[2]Retail Price List'!$C$4:$F$102,4,FALSE),"")</f>
        <v/>
      </c>
      <c r="N1201" s="269">
        <f>IFERROR(IF(BA1201="WIP - 30 Days",VLOOKUP(D1201,[3]Extended!$B$9:$E$101,4,FALSE),IF(BA1201="31-120 Days",VLOOKUP(D1201,[3]Extended!$B$9:$F$101,5,FALSE),IF(BA1201="121-365 Days",VLOOKUP(D1201,[3]Extended!$B$9:$G$101,6,FALSE),VLOOKUP(D1201,[3]Extended!$B$9:$H$101,7,FALSE)))),0)</f>
        <v>0</v>
      </c>
      <c r="O1201" s="269">
        <f>IFERROR(IF(BA1201="WIP - 30 Days",VLOOKUP(D1201,[3]Extended!$B$9:$J$101,9,FALSE),IF(BA1201="31-120 Days",VLOOKUP(D1201,[3]Extended!$B$9:$K$101,10,FALSE),IF(BA1201="121-365 Days",VLOOKUP(D1201,[3]Extended!$B$9:$L$101,11,FALSE),VLOOKUP(D1201,[3]Extended!$B$9:$M$101,12,FALSE)))),0)</f>
        <v>0</v>
      </c>
      <c r="P1201" s="116" t="e">
        <f t="shared" si="91"/>
        <v>#VALUE!</v>
      </c>
      <c r="Q1201" s="110" t="e">
        <f>O1201-#REF!</f>
        <v>#REF!</v>
      </c>
      <c r="W1201" s="311"/>
      <c r="X1201" s="311"/>
      <c r="Y1201" s="311"/>
      <c r="Z1201" s="311"/>
      <c r="AA1201" s="311"/>
      <c r="AB1201" s="311"/>
      <c r="AC1201" s="311"/>
      <c r="AT1201" s="88" t="str">
        <f t="shared" si="92"/>
        <v>Special Order0</v>
      </c>
      <c r="AU1201" s="89" t="str">
        <f t="shared" si="93"/>
        <v>01-1900</v>
      </c>
      <c r="BA1201" s="92" t="str">
        <f t="shared" si="94"/>
        <v/>
      </c>
    </row>
    <row r="1202" spans="2:53">
      <c r="B1202" s="60">
        <f>[2]Trucks!A1199</f>
        <v>0</v>
      </c>
      <c r="C1202" s="11">
        <f>[2]Trucks!B1199</f>
        <v>0</v>
      </c>
      <c r="D1202" s="19" t="str">
        <f>IFERROR(VLOOKUP(C1202&amp;"",'[2]Retail Price List'!$A$3:$B$103,2,FALSE),"Special Order")</f>
        <v>Special Order</v>
      </c>
      <c r="E1202" s="18">
        <f>[2]Trucks!J1199</f>
        <v>0</v>
      </c>
      <c r="F1202" s="12">
        <f>[2]Trucks!E1199</f>
        <v>0</v>
      </c>
      <c r="G1202" s="56">
        <f>[2]Trucks!K1199</f>
        <v>0</v>
      </c>
      <c r="H1202" s="46">
        <f>[2]Trucks!I1199</f>
        <v>0</v>
      </c>
      <c r="I1202" s="83" t="str">
        <f t="shared" si="90"/>
        <v/>
      </c>
      <c r="J1202" s="272" t="str">
        <f>IFERROR(VLOOKUP((D1202&amp;C1202)&amp;"",'[2]Retail Price List'!$C$4:$F$102,3,FALSE),"")</f>
        <v/>
      </c>
      <c r="K1202" s="272">
        <f>IFERROR(IF(BA1202="WIP - 30 Days",VLOOKUP(D1202,[3]Standard!$B$9:$E$101,4,FALSE),IF(BA1202="31-120 Days",VLOOKUP(D1202,[3]Standard!$B$9:$F$101,5,FALSE),IF(BA1202="121-365 Days",VLOOKUP(D1202,[3]Standard!$B$9:$G$101,6,FALSE),VLOOKUP(D1202,[3]Standard!$B$9:$H$101,7,FALSE)))),0)</f>
        <v>0</v>
      </c>
      <c r="L1202" s="272">
        <f>IFERROR(IF(BA1202="WIP - 30 Days",VLOOKUP(D1202,[3]Standard!$B$9:$J$101,9,FALSE),IF(BA1202="31-120 Days",VLOOKUP(D1202,[3]Standard!$B$9:$K$100,10,FALSE),IF(BA1202="121-365 Days",VLOOKUP(D1202,[3]Standard!$B$9:$L$101,11,FALSE),VLOOKUP(D1202,[3]Standard!$B$9:$M$101,12,FALSE)))),0)</f>
        <v>0</v>
      </c>
      <c r="M1202" s="269" t="str">
        <f>IFERROR(VLOOKUP((D1202&amp;C1202)&amp;"",'[2]Retail Price List'!$C$4:$F$102,4,FALSE),"")</f>
        <v/>
      </c>
      <c r="N1202" s="269">
        <f>IFERROR(IF(BA1202="WIP - 30 Days",VLOOKUP(D1202,[3]Extended!$B$9:$E$101,4,FALSE),IF(BA1202="31-120 Days",VLOOKUP(D1202,[3]Extended!$B$9:$F$101,5,FALSE),IF(BA1202="121-365 Days",VLOOKUP(D1202,[3]Extended!$B$9:$G$101,6,FALSE),VLOOKUP(D1202,[3]Extended!$B$9:$H$101,7,FALSE)))),0)</f>
        <v>0</v>
      </c>
      <c r="O1202" s="269">
        <f>IFERROR(IF(BA1202="WIP - 30 Days",VLOOKUP(D1202,[3]Extended!$B$9:$J$101,9,FALSE),IF(BA1202="31-120 Days",VLOOKUP(D1202,[3]Extended!$B$9:$K$101,10,FALSE),IF(BA1202="121-365 Days",VLOOKUP(D1202,[3]Extended!$B$9:$L$101,11,FALSE),VLOOKUP(D1202,[3]Extended!$B$9:$M$101,12,FALSE)))),0)</f>
        <v>0</v>
      </c>
      <c r="P1202" s="116" t="e">
        <f t="shared" si="91"/>
        <v>#VALUE!</v>
      </c>
      <c r="Q1202" s="110" t="e">
        <f>O1202-#REF!</f>
        <v>#REF!</v>
      </c>
      <c r="W1202" s="311"/>
      <c r="X1202" s="311"/>
      <c r="Y1202" s="311"/>
      <c r="Z1202" s="311"/>
      <c r="AA1202" s="311"/>
      <c r="AB1202" s="311"/>
      <c r="AC1202" s="311"/>
      <c r="AT1202" s="88" t="str">
        <f t="shared" si="92"/>
        <v>Special Order0</v>
      </c>
      <c r="AU1202" s="89" t="str">
        <f t="shared" si="93"/>
        <v>01-1900</v>
      </c>
      <c r="BA1202" s="92" t="str">
        <f t="shared" si="94"/>
        <v/>
      </c>
    </row>
    <row r="1203" spans="2:53">
      <c r="B1203" s="60">
        <f>[2]Trucks!A1200</f>
        <v>0</v>
      </c>
      <c r="C1203" s="11">
        <f>[2]Trucks!B1200</f>
        <v>0</v>
      </c>
      <c r="D1203" s="19" t="str">
        <f>IFERROR(VLOOKUP(C1203&amp;"",'[2]Retail Price List'!$A$3:$B$103,2,FALSE),"Special Order")</f>
        <v>Special Order</v>
      </c>
      <c r="E1203" s="18">
        <f>[2]Trucks!J1200</f>
        <v>0</v>
      </c>
      <c r="F1203" s="12">
        <f>[2]Trucks!E1200</f>
        <v>0</v>
      </c>
      <c r="G1203" s="56">
        <f>[2]Trucks!K1200</f>
        <v>0</v>
      </c>
      <c r="H1203" s="46">
        <f>[2]Trucks!I1200</f>
        <v>0</v>
      </c>
      <c r="I1203" s="83" t="str">
        <f t="shared" si="90"/>
        <v/>
      </c>
      <c r="J1203" s="272" t="str">
        <f>IFERROR(VLOOKUP((D1203&amp;C1203)&amp;"",'[2]Retail Price List'!$C$4:$F$102,3,FALSE),"")</f>
        <v/>
      </c>
      <c r="K1203" s="272">
        <f>IFERROR(IF(BA1203="WIP - 30 Days",VLOOKUP(D1203,[3]Standard!$B$9:$E$101,4,FALSE),IF(BA1203="31-120 Days",VLOOKUP(D1203,[3]Standard!$B$9:$F$101,5,FALSE),IF(BA1203="121-365 Days",VLOOKUP(D1203,[3]Standard!$B$9:$G$101,6,FALSE),VLOOKUP(D1203,[3]Standard!$B$9:$H$101,7,FALSE)))),0)</f>
        <v>0</v>
      </c>
      <c r="L1203" s="272">
        <f>IFERROR(IF(BA1203="WIP - 30 Days",VLOOKUP(D1203,[3]Standard!$B$9:$J$101,9,FALSE),IF(BA1203="31-120 Days",VLOOKUP(D1203,[3]Standard!$B$9:$K$100,10,FALSE),IF(BA1203="121-365 Days",VLOOKUP(D1203,[3]Standard!$B$9:$L$101,11,FALSE),VLOOKUP(D1203,[3]Standard!$B$9:$M$101,12,FALSE)))),0)</f>
        <v>0</v>
      </c>
      <c r="M1203" s="269" t="str">
        <f>IFERROR(VLOOKUP((D1203&amp;C1203)&amp;"",'[2]Retail Price List'!$C$4:$F$102,4,FALSE),"")</f>
        <v/>
      </c>
      <c r="N1203" s="269">
        <f>IFERROR(IF(BA1203="WIP - 30 Days",VLOOKUP(D1203,[3]Extended!$B$9:$E$101,4,FALSE),IF(BA1203="31-120 Days",VLOOKUP(D1203,[3]Extended!$B$9:$F$101,5,FALSE),IF(BA1203="121-365 Days",VLOOKUP(D1203,[3]Extended!$B$9:$G$101,6,FALSE),VLOOKUP(D1203,[3]Extended!$B$9:$H$101,7,FALSE)))),0)</f>
        <v>0</v>
      </c>
      <c r="O1203" s="269">
        <f>IFERROR(IF(BA1203="WIP - 30 Days",VLOOKUP(D1203,[3]Extended!$B$9:$J$101,9,FALSE),IF(BA1203="31-120 Days",VLOOKUP(D1203,[3]Extended!$B$9:$K$101,10,FALSE),IF(BA1203="121-365 Days",VLOOKUP(D1203,[3]Extended!$B$9:$L$101,11,FALSE),VLOOKUP(D1203,[3]Extended!$B$9:$M$101,12,FALSE)))),0)</f>
        <v>0</v>
      </c>
      <c r="P1203" s="116" t="e">
        <f t="shared" si="91"/>
        <v>#VALUE!</v>
      </c>
      <c r="Q1203" s="110" t="e">
        <f>O1203-#REF!</f>
        <v>#REF!</v>
      </c>
      <c r="W1203" s="311"/>
      <c r="X1203" s="311"/>
      <c r="Y1203" s="311"/>
      <c r="Z1203" s="311"/>
      <c r="AA1203" s="311"/>
      <c r="AB1203" s="311"/>
      <c r="AC1203" s="311"/>
      <c r="AT1203" s="88" t="str">
        <f t="shared" si="92"/>
        <v>Special Order0</v>
      </c>
      <c r="AU1203" s="89" t="str">
        <f t="shared" si="93"/>
        <v>01-1900</v>
      </c>
      <c r="BA1203" s="92" t="str">
        <f t="shared" si="94"/>
        <v/>
      </c>
    </row>
    <row r="1204" spans="2:53">
      <c r="B1204" s="60">
        <f>[2]Trucks!A1201</f>
        <v>0</v>
      </c>
      <c r="C1204" s="11">
        <f>[2]Trucks!B1201</f>
        <v>0</v>
      </c>
      <c r="D1204" s="19" t="str">
        <f>IFERROR(VLOOKUP(C1204&amp;"",'[2]Retail Price List'!$A$3:$B$103,2,FALSE),"Special Order")</f>
        <v>Special Order</v>
      </c>
      <c r="E1204" s="18">
        <f>[2]Trucks!J1201</f>
        <v>0</v>
      </c>
      <c r="F1204" s="12">
        <f>[2]Trucks!E1201</f>
        <v>0</v>
      </c>
      <c r="G1204" s="56">
        <f>[2]Trucks!K1201</f>
        <v>0</v>
      </c>
      <c r="H1204" s="46">
        <f>[2]Trucks!I1201</f>
        <v>0</v>
      </c>
      <c r="I1204" s="83" t="str">
        <f t="shared" si="90"/>
        <v/>
      </c>
      <c r="J1204" s="272" t="str">
        <f>IFERROR(VLOOKUP((D1204&amp;C1204)&amp;"",'[2]Retail Price List'!$C$4:$F$102,3,FALSE),"")</f>
        <v/>
      </c>
      <c r="K1204" s="272">
        <f>IFERROR(IF(BA1204="WIP - 30 Days",VLOOKUP(D1204,[3]Standard!$B$9:$E$101,4,FALSE),IF(BA1204="31-120 Days",VLOOKUP(D1204,[3]Standard!$B$9:$F$101,5,FALSE),IF(BA1204="121-365 Days",VLOOKUP(D1204,[3]Standard!$B$9:$G$101,6,FALSE),VLOOKUP(D1204,[3]Standard!$B$9:$H$101,7,FALSE)))),0)</f>
        <v>0</v>
      </c>
      <c r="L1204" s="272">
        <f>IFERROR(IF(BA1204="WIP - 30 Days",VLOOKUP(D1204,[3]Standard!$B$9:$J$101,9,FALSE),IF(BA1204="31-120 Days",VLOOKUP(D1204,[3]Standard!$B$9:$K$100,10,FALSE),IF(BA1204="121-365 Days",VLOOKUP(D1204,[3]Standard!$B$9:$L$101,11,FALSE),VLOOKUP(D1204,[3]Standard!$B$9:$M$101,12,FALSE)))),0)</f>
        <v>0</v>
      </c>
      <c r="M1204" s="269" t="str">
        <f>IFERROR(VLOOKUP((D1204&amp;C1204)&amp;"",'[2]Retail Price List'!$C$4:$F$102,4,FALSE),"")</f>
        <v/>
      </c>
      <c r="N1204" s="269">
        <f>IFERROR(IF(BA1204="WIP - 30 Days",VLOOKUP(D1204,[3]Extended!$B$9:$E$101,4,FALSE),IF(BA1204="31-120 Days",VLOOKUP(D1204,[3]Extended!$B$9:$F$101,5,FALSE),IF(BA1204="121-365 Days",VLOOKUP(D1204,[3]Extended!$B$9:$G$101,6,FALSE),VLOOKUP(D1204,[3]Extended!$B$9:$H$101,7,FALSE)))),0)</f>
        <v>0</v>
      </c>
      <c r="O1204" s="269">
        <f>IFERROR(IF(BA1204="WIP - 30 Days",VLOOKUP(D1204,[3]Extended!$B$9:$J$101,9,FALSE),IF(BA1204="31-120 Days",VLOOKUP(D1204,[3]Extended!$B$9:$K$101,10,FALSE),IF(BA1204="121-365 Days",VLOOKUP(D1204,[3]Extended!$B$9:$L$101,11,FALSE),VLOOKUP(D1204,[3]Extended!$B$9:$M$101,12,FALSE)))),0)</f>
        <v>0</v>
      </c>
      <c r="P1204" s="116" t="e">
        <f t="shared" si="91"/>
        <v>#VALUE!</v>
      </c>
      <c r="Q1204" s="110" t="e">
        <f>O1204-#REF!</f>
        <v>#REF!</v>
      </c>
      <c r="W1204" s="311"/>
      <c r="X1204" s="311"/>
      <c r="Y1204" s="311"/>
      <c r="Z1204" s="311"/>
      <c r="AA1204" s="311"/>
      <c r="AB1204" s="311"/>
      <c r="AC1204" s="311"/>
      <c r="AT1204" s="88" t="str">
        <f t="shared" si="92"/>
        <v>Special Order0</v>
      </c>
      <c r="AU1204" s="89" t="str">
        <f t="shared" si="93"/>
        <v>01-1900</v>
      </c>
      <c r="BA1204" s="92" t="str">
        <f t="shared" si="94"/>
        <v/>
      </c>
    </row>
    <row r="1205" spans="2:53">
      <c r="B1205" s="60">
        <f>[2]Trucks!A1202</f>
        <v>0</v>
      </c>
      <c r="C1205" s="11">
        <f>[2]Trucks!B1202</f>
        <v>0</v>
      </c>
      <c r="D1205" s="19" t="str">
        <f>IFERROR(VLOOKUP(C1205&amp;"",'[2]Retail Price List'!$A$3:$B$103,2,FALSE),"Special Order")</f>
        <v>Special Order</v>
      </c>
      <c r="E1205" s="18">
        <f>[2]Trucks!J1202</f>
        <v>0</v>
      </c>
      <c r="F1205" s="12">
        <f>[2]Trucks!E1202</f>
        <v>0</v>
      </c>
      <c r="G1205" s="56">
        <f>[2]Trucks!K1202</f>
        <v>0</v>
      </c>
      <c r="H1205" s="46">
        <f>[2]Trucks!I1202</f>
        <v>0</v>
      </c>
      <c r="I1205" s="83" t="str">
        <f t="shared" si="90"/>
        <v/>
      </c>
      <c r="J1205" s="272" t="str">
        <f>IFERROR(VLOOKUP((D1205&amp;C1205)&amp;"",'[2]Retail Price List'!$C$4:$F$102,3,FALSE),"")</f>
        <v/>
      </c>
      <c r="K1205" s="272">
        <f>IFERROR(IF(BA1205="WIP - 30 Days",VLOOKUP(D1205,[3]Standard!$B$9:$E$101,4,FALSE),IF(BA1205="31-120 Days",VLOOKUP(D1205,[3]Standard!$B$9:$F$101,5,FALSE),IF(BA1205="121-365 Days",VLOOKUP(D1205,[3]Standard!$B$9:$G$101,6,FALSE),VLOOKUP(D1205,[3]Standard!$B$9:$H$101,7,FALSE)))),0)</f>
        <v>0</v>
      </c>
      <c r="L1205" s="272">
        <f>IFERROR(IF(BA1205="WIP - 30 Days",VLOOKUP(D1205,[3]Standard!$B$9:$J$101,9,FALSE),IF(BA1205="31-120 Days",VLOOKUP(D1205,[3]Standard!$B$9:$K$100,10,FALSE),IF(BA1205="121-365 Days",VLOOKUP(D1205,[3]Standard!$B$9:$L$101,11,FALSE),VLOOKUP(D1205,[3]Standard!$B$9:$M$101,12,FALSE)))),0)</f>
        <v>0</v>
      </c>
      <c r="M1205" s="269" t="str">
        <f>IFERROR(VLOOKUP((D1205&amp;C1205)&amp;"",'[2]Retail Price List'!$C$4:$F$102,4,FALSE),"")</f>
        <v/>
      </c>
      <c r="N1205" s="269">
        <f>IFERROR(IF(BA1205="WIP - 30 Days",VLOOKUP(D1205,[3]Extended!$B$9:$E$101,4,FALSE),IF(BA1205="31-120 Days",VLOOKUP(D1205,[3]Extended!$B$9:$F$101,5,FALSE),IF(BA1205="121-365 Days",VLOOKUP(D1205,[3]Extended!$B$9:$G$101,6,FALSE),VLOOKUP(D1205,[3]Extended!$B$9:$H$101,7,FALSE)))),0)</f>
        <v>0</v>
      </c>
      <c r="O1205" s="269">
        <f>IFERROR(IF(BA1205="WIP - 30 Days",VLOOKUP(D1205,[3]Extended!$B$9:$J$101,9,FALSE),IF(BA1205="31-120 Days",VLOOKUP(D1205,[3]Extended!$B$9:$K$101,10,FALSE),IF(BA1205="121-365 Days",VLOOKUP(D1205,[3]Extended!$B$9:$L$101,11,FALSE),VLOOKUP(D1205,[3]Extended!$B$9:$M$101,12,FALSE)))),0)</f>
        <v>0</v>
      </c>
      <c r="P1205" s="116" t="e">
        <f t="shared" si="91"/>
        <v>#VALUE!</v>
      </c>
      <c r="Q1205" s="110" t="e">
        <f>O1205-#REF!</f>
        <v>#REF!</v>
      </c>
      <c r="W1205" s="311"/>
      <c r="X1205" s="311"/>
      <c r="Y1205" s="311"/>
      <c r="Z1205" s="311"/>
      <c r="AA1205" s="311"/>
      <c r="AB1205" s="311"/>
      <c r="AC1205" s="311"/>
      <c r="AT1205" s="88" t="str">
        <f t="shared" si="92"/>
        <v>Special Order0</v>
      </c>
      <c r="AU1205" s="89" t="str">
        <f t="shared" si="93"/>
        <v>01-1900</v>
      </c>
      <c r="BA1205" s="92" t="str">
        <f t="shared" si="94"/>
        <v/>
      </c>
    </row>
    <row r="1206" spans="2:53">
      <c r="B1206" s="60">
        <f>[2]Trucks!A1203</f>
        <v>0</v>
      </c>
      <c r="C1206" s="11">
        <f>[2]Trucks!B1203</f>
        <v>0</v>
      </c>
      <c r="D1206" s="19" t="str">
        <f>IFERROR(VLOOKUP(C1206&amp;"",'[2]Retail Price List'!$A$3:$B$103,2,FALSE),"Special Order")</f>
        <v>Special Order</v>
      </c>
      <c r="E1206" s="18">
        <f>[2]Trucks!J1203</f>
        <v>0</v>
      </c>
      <c r="F1206" s="12">
        <f>[2]Trucks!E1203</f>
        <v>0</v>
      </c>
      <c r="G1206" s="56">
        <f>[2]Trucks!K1203</f>
        <v>0</v>
      </c>
      <c r="H1206" s="46">
        <f>[2]Trucks!I1203</f>
        <v>0</v>
      </c>
      <c r="I1206" s="83" t="str">
        <f t="shared" si="90"/>
        <v/>
      </c>
      <c r="J1206" s="272" t="str">
        <f>IFERROR(VLOOKUP((D1206&amp;C1206)&amp;"",'[2]Retail Price List'!$C$4:$F$102,3,FALSE),"")</f>
        <v/>
      </c>
      <c r="K1206" s="272">
        <f>IFERROR(IF(BA1206="WIP - 30 Days",VLOOKUP(D1206,[3]Standard!$B$9:$E$101,4,FALSE),IF(BA1206="31-120 Days",VLOOKUP(D1206,[3]Standard!$B$9:$F$101,5,FALSE),IF(BA1206="121-365 Days",VLOOKUP(D1206,[3]Standard!$B$9:$G$101,6,FALSE),VLOOKUP(D1206,[3]Standard!$B$9:$H$101,7,FALSE)))),0)</f>
        <v>0</v>
      </c>
      <c r="L1206" s="272">
        <f>IFERROR(IF(BA1206="WIP - 30 Days",VLOOKUP(D1206,[3]Standard!$B$9:$J$101,9,FALSE),IF(BA1206="31-120 Days",VLOOKUP(D1206,[3]Standard!$B$9:$K$100,10,FALSE),IF(BA1206="121-365 Days",VLOOKUP(D1206,[3]Standard!$B$9:$L$101,11,FALSE),VLOOKUP(D1206,[3]Standard!$B$9:$M$101,12,FALSE)))),0)</f>
        <v>0</v>
      </c>
      <c r="M1206" s="269" t="str">
        <f>IFERROR(VLOOKUP((D1206&amp;C1206)&amp;"",'[2]Retail Price List'!$C$4:$F$102,4,FALSE),"")</f>
        <v/>
      </c>
      <c r="N1206" s="269">
        <f>IFERROR(IF(BA1206="WIP - 30 Days",VLOOKUP(D1206,[3]Extended!$B$9:$E$101,4,FALSE),IF(BA1206="31-120 Days",VLOOKUP(D1206,[3]Extended!$B$9:$F$101,5,FALSE),IF(BA1206="121-365 Days",VLOOKUP(D1206,[3]Extended!$B$9:$G$101,6,FALSE),VLOOKUP(D1206,[3]Extended!$B$9:$H$101,7,FALSE)))),0)</f>
        <v>0</v>
      </c>
      <c r="O1206" s="269">
        <f>IFERROR(IF(BA1206="WIP - 30 Days",VLOOKUP(D1206,[3]Extended!$B$9:$J$101,9,FALSE),IF(BA1206="31-120 Days",VLOOKUP(D1206,[3]Extended!$B$9:$K$101,10,FALSE),IF(BA1206="121-365 Days",VLOOKUP(D1206,[3]Extended!$B$9:$L$101,11,FALSE),VLOOKUP(D1206,[3]Extended!$B$9:$M$101,12,FALSE)))),0)</f>
        <v>0</v>
      </c>
      <c r="P1206" s="116" t="e">
        <f t="shared" si="91"/>
        <v>#VALUE!</v>
      </c>
      <c r="Q1206" s="110" t="e">
        <f>O1206-#REF!</f>
        <v>#REF!</v>
      </c>
      <c r="W1206" s="311"/>
      <c r="X1206" s="311"/>
      <c r="Y1206" s="311"/>
      <c r="Z1206" s="311"/>
      <c r="AA1206" s="311"/>
      <c r="AB1206" s="311"/>
      <c r="AC1206" s="311"/>
      <c r="AT1206" s="88" t="str">
        <f t="shared" si="92"/>
        <v>Special Order0</v>
      </c>
      <c r="AU1206" s="89" t="str">
        <f t="shared" si="93"/>
        <v>01-1900</v>
      </c>
      <c r="BA1206" s="92" t="str">
        <f t="shared" si="94"/>
        <v/>
      </c>
    </row>
    <row r="1207" spans="2:53">
      <c r="B1207" s="60">
        <f>[2]Trucks!A1204</f>
        <v>0</v>
      </c>
      <c r="C1207" s="11">
        <f>[2]Trucks!B1204</f>
        <v>0</v>
      </c>
      <c r="D1207" s="19" t="str">
        <f>IFERROR(VLOOKUP(C1207&amp;"",'[2]Retail Price List'!$A$3:$B$103,2,FALSE),"Special Order")</f>
        <v>Special Order</v>
      </c>
      <c r="E1207" s="18">
        <f>[2]Trucks!J1204</f>
        <v>0</v>
      </c>
      <c r="F1207" s="12">
        <f>[2]Trucks!E1204</f>
        <v>0</v>
      </c>
      <c r="G1207" s="56">
        <f>[2]Trucks!K1204</f>
        <v>0</v>
      </c>
      <c r="H1207" s="46">
        <f>[2]Trucks!I1204</f>
        <v>0</v>
      </c>
      <c r="I1207" s="83" t="str">
        <f t="shared" si="90"/>
        <v/>
      </c>
      <c r="J1207" s="272" t="str">
        <f>IFERROR(VLOOKUP((D1207&amp;C1207)&amp;"",'[2]Retail Price List'!$C$4:$F$102,3,FALSE),"")</f>
        <v/>
      </c>
      <c r="K1207" s="272">
        <f>IFERROR(IF(BA1207="WIP - 30 Days",VLOOKUP(D1207,[3]Standard!$B$9:$E$101,4,FALSE),IF(BA1207="31-120 Days",VLOOKUP(D1207,[3]Standard!$B$9:$F$101,5,FALSE),IF(BA1207="121-365 Days",VLOOKUP(D1207,[3]Standard!$B$9:$G$101,6,FALSE),VLOOKUP(D1207,[3]Standard!$B$9:$H$101,7,FALSE)))),0)</f>
        <v>0</v>
      </c>
      <c r="L1207" s="272">
        <f>IFERROR(IF(BA1207="WIP - 30 Days",VLOOKUP(D1207,[3]Standard!$B$9:$J$101,9,FALSE),IF(BA1207="31-120 Days",VLOOKUP(D1207,[3]Standard!$B$9:$K$100,10,FALSE),IF(BA1207="121-365 Days",VLOOKUP(D1207,[3]Standard!$B$9:$L$101,11,FALSE),VLOOKUP(D1207,[3]Standard!$B$9:$M$101,12,FALSE)))),0)</f>
        <v>0</v>
      </c>
      <c r="M1207" s="269" t="str">
        <f>IFERROR(VLOOKUP((D1207&amp;C1207)&amp;"",'[2]Retail Price List'!$C$4:$F$102,4,FALSE),"")</f>
        <v/>
      </c>
      <c r="N1207" s="269">
        <f>IFERROR(IF(BA1207="WIP - 30 Days",VLOOKUP(D1207,[3]Extended!$B$9:$E$101,4,FALSE),IF(BA1207="31-120 Days",VLOOKUP(D1207,[3]Extended!$B$9:$F$101,5,FALSE),IF(BA1207="121-365 Days",VLOOKUP(D1207,[3]Extended!$B$9:$G$101,6,FALSE),VLOOKUP(D1207,[3]Extended!$B$9:$H$101,7,FALSE)))),0)</f>
        <v>0</v>
      </c>
      <c r="O1207" s="269">
        <f>IFERROR(IF(BA1207="WIP - 30 Days",VLOOKUP(D1207,[3]Extended!$B$9:$J$101,9,FALSE),IF(BA1207="31-120 Days",VLOOKUP(D1207,[3]Extended!$B$9:$K$101,10,FALSE),IF(BA1207="121-365 Days",VLOOKUP(D1207,[3]Extended!$B$9:$L$101,11,FALSE),VLOOKUP(D1207,[3]Extended!$B$9:$M$101,12,FALSE)))),0)</f>
        <v>0</v>
      </c>
      <c r="P1207" s="116" t="e">
        <f t="shared" si="91"/>
        <v>#VALUE!</v>
      </c>
      <c r="Q1207" s="110" t="e">
        <f>O1207-#REF!</f>
        <v>#REF!</v>
      </c>
      <c r="W1207" s="311"/>
      <c r="X1207" s="311"/>
      <c r="Y1207" s="311"/>
      <c r="Z1207" s="311"/>
      <c r="AA1207" s="311"/>
      <c r="AB1207" s="311"/>
      <c r="AC1207" s="311"/>
      <c r="AT1207" s="88" t="str">
        <f t="shared" si="92"/>
        <v>Special Order0</v>
      </c>
      <c r="AU1207" s="89" t="str">
        <f t="shared" si="93"/>
        <v>01-1900</v>
      </c>
      <c r="BA1207" s="92" t="str">
        <f t="shared" si="94"/>
        <v/>
      </c>
    </row>
    <row r="1208" spans="2:53">
      <c r="B1208" s="60">
        <f>[2]Trucks!A1205</f>
        <v>0</v>
      </c>
      <c r="C1208" s="11">
        <f>[2]Trucks!B1205</f>
        <v>0</v>
      </c>
      <c r="D1208" s="19" t="str">
        <f>IFERROR(VLOOKUP(C1208&amp;"",'[2]Retail Price List'!$A$3:$B$103,2,FALSE),"Special Order")</f>
        <v>Special Order</v>
      </c>
      <c r="E1208" s="18">
        <f>[2]Trucks!J1205</f>
        <v>0</v>
      </c>
      <c r="F1208" s="12">
        <f>[2]Trucks!E1205</f>
        <v>0</v>
      </c>
      <c r="G1208" s="56">
        <f>[2]Trucks!K1205</f>
        <v>0</v>
      </c>
      <c r="H1208" s="46">
        <f>[2]Trucks!I1205</f>
        <v>0</v>
      </c>
      <c r="I1208" s="83" t="str">
        <f t="shared" si="90"/>
        <v/>
      </c>
      <c r="J1208" s="272" t="str">
        <f>IFERROR(VLOOKUP((D1208&amp;C1208)&amp;"",'[2]Retail Price List'!$C$4:$F$102,3,FALSE),"")</f>
        <v/>
      </c>
      <c r="K1208" s="272">
        <f>IFERROR(IF(BA1208="WIP - 30 Days",VLOOKUP(D1208,[3]Standard!$B$9:$E$101,4,FALSE),IF(BA1208="31-120 Days",VLOOKUP(D1208,[3]Standard!$B$9:$F$101,5,FALSE),IF(BA1208="121-365 Days",VLOOKUP(D1208,[3]Standard!$B$9:$G$101,6,FALSE),VLOOKUP(D1208,[3]Standard!$B$9:$H$101,7,FALSE)))),0)</f>
        <v>0</v>
      </c>
      <c r="L1208" s="272">
        <f>IFERROR(IF(BA1208="WIP - 30 Days",VLOOKUP(D1208,[3]Standard!$B$9:$J$101,9,FALSE),IF(BA1208="31-120 Days",VLOOKUP(D1208,[3]Standard!$B$9:$K$100,10,FALSE),IF(BA1208="121-365 Days",VLOOKUP(D1208,[3]Standard!$B$9:$L$101,11,FALSE),VLOOKUP(D1208,[3]Standard!$B$9:$M$101,12,FALSE)))),0)</f>
        <v>0</v>
      </c>
      <c r="M1208" s="269" t="str">
        <f>IFERROR(VLOOKUP((D1208&amp;C1208)&amp;"",'[2]Retail Price List'!$C$4:$F$102,4,FALSE),"")</f>
        <v/>
      </c>
      <c r="N1208" s="269">
        <f>IFERROR(IF(BA1208="WIP - 30 Days",VLOOKUP(D1208,[3]Extended!$B$9:$E$101,4,FALSE),IF(BA1208="31-120 Days",VLOOKUP(D1208,[3]Extended!$B$9:$F$101,5,FALSE),IF(BA1208="121-365 Days",VLOOKUP(D1208,[3]Extended!$B$9:$G$101,6,FALSE),VLOOKUP(D1208,[3]Extended!$B$9:$H$101,7,FALSE)))),0)</f>
        <v>0</v>
      </c>
      <c r="O1208" s="269">
        <f>IFERROR(IF(BA1208="WIP - 30 Days",VLOOKUP(D1208,[3]Extended!$B$9:$J$101,9,FALSE),IF(BA1208="31-120 Days",VLOOKUP(D1208,[3]Extended!$B$9:$K$101,10,FALSE),IF(BA1208="121-365 Days",VLOOKUP(D1208,[3]Extended!$B$9:$L$101,11,FALSE),VLOOKUP(D1208,[3]Extended!$B$9:$M$101,12,FALSE)))),0)</f>
        <v>0</v>
      </c>
      <c r="P1208" s="116" t="e">
        <f t="shared" si="91"/>
        <v>#VALUE!</v>
      </c>
      <c r="Q1208" s="110" t="e">
        <f>O1208-#REF!</f>
        <v>#REF!</v>
      </c>
      <c r="W1208" s="311"/>
      <c r="X1208" s="311"/>
      <c r="Y1208" s="311"/>
      <c r="Z1208" s="311"/>
      <c r="AA1208" s="311"/>
      <c r="AB1208" s="311"/>
      <c r="AC1208" s="311"/>
      <c r="AT1208" s="88" t="str">
        <f t="shared" si="92"/>
        <v>Special Order0</v>
      </c>
      <c r="AU1208" s="89" t="str">
        <f t="shared" si="93"/>
        <v>01-1900</v>
      </c>
      <c r="BA1208" s="92" t="str">
        <f t="shared" si="94"/>
        <v/>
      </c>
    </row>
    <row r="1209" spans="2:53">
      <c r="B1209" s="60">
        <f>[2]Trucks!A1206</f>
        <v>0</v>
      </c>
      <c r="C1209" s="11">
        <f>[2]Trucks!B1206</f>
        <v>0</v>
      </c>
      <c r="D1209" s="19" t="str">
        <f>IFERROR(VLOOKUP(C1209&amp;"",'[2]Retail Price List'!$A$3:$B$103,2,FALSE),"Special Order")</f>
        <v>Special Order</v>
      </c>
      <c r="E1209" s="18">
        <f>[2]Trucks!J1206</f>
        <v>0</v>
      </c>
      <c r="F1209" s="12">
        <f>[2]Trucks!E1206</f>
        <v>0</v>
      </c>
      <c r="G1209" s="56">
        <f>[2]Trucks!K1206</f>
        <v>0</v>
      </c>
      <c r="H1209" s="46">
        <f>[2]Trucks!I1206</f>
        <v>0</v>
      </c>
      <c r="I1209" s="83" t="str">
        <f t="shared" si="90"/>
        <v/>
      </c>
      <c r="J1209" s="272" t="str">
        <f>IFERROR(VLOOKUP((D1209&amp;C1209)&amp;"",'[2]Retail Price List'!$C$4:$F$102,3,FALSE),"")</f>
        <v/>
      </c>
      <c r="K1209" s="272">
        <f>IFERROR(IF(BA1209="WIP - 30 Days",VLOOKUP(D1209,[3]Standard!$B$9:$E$101,4,FALSE),IF(BA1209="31-120 Days",VLOOKUP(D1209,[3]Standard!$B$9:$F$101,5,FALSE),IF(BA1209="121-365 Days",VLOOKUP(D1209,[3]Standard!$B$9:$G$101,6,FALSE),VLOOKUP(D1209,[3]Standard!$B$9:$H$101,7,FALSE)))),0)</f>
        <v>0</v>
      </c>
      <c r="L1209" s="272">
        <f>IFERROR(IF(BA1209="WIP - 30 Days",VLOOKUP(D1209,[3]Standard!$B$9:$J$101,9,FALSE),IF(BA1209="31-120 Days",VLOOKUP(D1209,[3]Standard!$B$9:$K$100,10,FALSE),IF(BA1209="121-365 Days",VLOOKUP(D1209,[3]Standard!$B$9:$L$101,11,FALSE),VLOOKUP(D1209,[3]Standard!$B$9:$M$101,12,FALSE)))),0)</f>
        <v>0</v>
      </c>
      <c r="M1209" s="269" t="str">
        <f>IFERROR(VLOOKUP((D1209&amp;C1209)&amp;"",'[2]Retail Price List'!$C$4:$F$102,4,FALSE),"")</f>
        <v/>
      </c>
      <c r="N1209" s="269">
        <f>IFERROR(IF(BA1209="WIP - 30 Days",VLOOKUP(D1209,[3]Extended!$B$9:$E$101,4,FALSE),IF(BA1209="31-120 Days",VLOOKUP(D1209,[3]Extended!$B$9:$F$101,5,FALSE),IF(BA1209="121-365 Days",VLOOKUP(D1209,[3]Extended!$B$9:$G$101,6,FALSE),VLOOKUP(D1209,[3]Extended!$B$9:$H$101,7,FALSE)))),0)</f>
        <v>0</v>
      </c>
      <c r="O1209" s="269">
        <f>IFERROR(IF(BA1209="WIP - 30 Days",VLOOKUP(D1209,[3]Extended!$B$9:$J$101,9,FALSE),IF(BA1209="31-120 Days",VLOOKUP(D1209,[3]Extended!$B$9:$K$101,10,FALSE),IF(BA1209="121-365 Days",VLOOKUP(D1209,[3]Extended!$B$9:$L$101,11,FALSE),VLOOKUP(D1209,[3]Extended!$B$9:$M$101,12,FALSE)))),0)</f>
        <v>0</v>
      </c>
      <c r="P1209" s="116" t="e">
        <f t="shared" si="91"/>
        <v>#VALUE!</v>
      </c>
      <c r="Q1209" s="110" t="e">
        <f>O1209-#REF!</f>
        <v>#REF!</v>
      </c>
      <c r="W1209" s="311"/>
      <c r="X1209" s="311"/>
      <c r="Y1209" s="311"/>
      <c r="Z1209" s="311"/>
      <c r="AA1209" s="311"/>
      <c r="AB1209" s="311"/>
      <c r="AC1209" s="311"/>
      <c r="AT1209" s="88" t="str">
        <f t="shared" si="92"/>
        <v>Special Order0</v>
      </c>
      <c r="AU1209" s="89" t="str">
        <f t="shared" si="93"/>
        <v>01-1900</v>
      </c>
      <c r="BA1209" s="92" t="str">
        <f t="shared" si="94"/>
        <v/>
      </c>
    </row>
    <row r="1210" spans="2:53">
      <c r="B1210" s="60">
        <f>[2]Trucks!A1207</f>
        <v>0</v>
      </c>
      <c r="C1210" s="11">
        <f>[2]Trucks!B1207</f>
        <v>0</v>
      </c>
      <c r="D1210" s="19" t="str">
        <f>IFERROR(VLOOKUP(C1210&amp;"",'[2]Retail Price List'!$A$3:$B$103,2,FALSE),"Special Order")</f>
        <v>Special Order</v>
      </c>
      <c r="E1210" s="18">
        <f>[2]Trucks!J1207</f>
        <v>0</v>
      </c>
      <c r="F1210" s="12">
        <f>[2]Trucks!E1207</f>
        <v>0</v>
      </c>
      <c r="G1210" s="56">
        <f>[2]Trucks!K1207</f>
        <v>0</v>
      </c>
      <c r="H1210" s="46">
        <f>[2]Trucks!I1207</f>
        <v>0</v>
      </c>
      <c r="I1210" s="83" t="str">
        <f t="shared" si="90"/>
        <v/>
      </c>
      <c r="J1210" s="272" t="str">
        <f>IFERROR(VLOOKUP((D1210&amp;C1210)&amp;"",'[2]Retail Price List'!$C$4:$F$102,3,FALSE),"")</f>
        <v/>
      </c>
      <c r="K1210" s="272">
        <f>IFERROR(IF(BA1210="WIP - 30 Days",VLOOKUP(D1210,[3]Standard!$B$9:$E$101,4,FALSE),IF(BA1210="31-120 Days",VLOOKUP(D1210,[3]Standard!$B$9:$F$101,5,FALSE),IF(BA1210="121-365 Days",VLOOKUP(D1210,[3]Standard!$B$9:$G$101,6,FALSE),VLOOKUP(D1210,[3]Standard!$B$9:$H$101,7,FALSE)))),0)</f>
        <v>0</v>
      </c>
      <c r="L1210" s="272">
        <f>IFERROR(IF(BA1210="WIP - 30 Days",VLOOKUP(D1210,[3]Standard!$B$9:$J$101,9,FALSE),IF(BA1210="31-120 Days",VLOOKUP(D1210,[3]Standard!$B$9:$K$100,10,FALSE),IF(BA1210="121-365 Days",VLOOKUP(D1210,[3]Standard!$B$9:$L$101,11,FALSE),VLOOKUP(D1210,[3]Standard!$B$9:$M$101,12,FALSE)))),0)</f>
        <v>0</v>
      </c>
      <c r="M1210" s="269" t="str">
        <f>IFERROR(VLOOKUP((D1210&amp;C1210)&amp;"",'[2]Retail Price List'!$C$4:$F$102,4,FALSE),"")</f>
        <v/>
      </c>
      <c r="N1210" s="269">
        <f>IFERROR(IF(BA1210="WIP - 30 Days",VLOOKUP(D1210,[3]Extended!$B$9:$E$101,4,FALSE),IF(BA1210="31-120 Days",VLOOKUP(D1210,[3]Extended!$B$9:$F$101,5,FALSE),IF(BA1210="121-365 Days",VLOOKUP(D1210,[3]Extended!$B$9:$G$101,6,FALSE),VLOOKUP(D1210,[3]Extended!$B$9:$H$101,7,FALSE)))),0)</f>
        <v>0</v>
      </c>
      <c r="O1210" s="269">
        <f>IFERROR(IF(BA1210="WIP - 30 Days",VLOOKUP(D1210,[3]Extended!$B$9:$J$101,9,FALSE),IF(BA1210="31-120 Days",VLOOKUP(D1210,[3]Extended!$B$9:$K$101,10,FALSE),IF(BA1210="121-365 Days",VLOOKUP(D1210,[3]Extended!$B$9:$L$101,11,FALSE),VLOOKUP(D1210,[3]Extended!$B$9:$M$101,12,FALSE)))),0)</f>
        <v>0</v>
      </c>
      <c r="P1210" s="116" t="e">
        <f t="shared" si="91"/>
        <v>#VALUE!</v>
      </c>
      <c r="Q1210" s="110" t="e">
        <f>O1210-#REF!</f>
        <v>#REF!</v>
      </c>
      <c r="W1210" s="311"/>
      <c r="X1210" s="311"/>
      <c r="Y1210" s="311"/>
      <c r="Z1210" s="311"/>
      <c r="AA1210" s="311"/>
      <c r="AB1210" s="311"/>
      <c r="AC1210" s="311"/>
      <c r="AT1210" s="88" t="str">
        <f t="shared" si="92"/>
        <v>Special Order0</v>
      </c>
      <c r="AU1210" s="89" t="str">
        <f t="shared" si="93"/>
        <v>01-1900</v>
      </c>
      <c r="BA1210" s="92" t="str">
        <f t="shared" si="94"/>
        <v/>
      </c>
    </row>
    <row r="1211" spans="2:53">
      <c r="B1211" s="60">
        <f>[2]Trucks!A1208</f>
        <v>0</v>
      </c>
      <c r="C1211" s="11">
        <f>[2]Trucks!B1208</f>
        <v>0</v>
      </c>
      <c r="D1211" s="19" t="str">
        <f>IFERROR(VLOOKUP(C1211&amp;"",'[2]Retail Price List'!$A$3:$B$103,2,FALSE),"Special Order")</f>
        <v>Special Order</v>
      </c>
      <c r="E1211" s="18">
        <f>[2]Trucks!J1208</f>
        <v>0</v>
      </c>
      <c r="F1211" s="12">
        <f>[2]Trucks!E1208</f>
        <v>0</v>
      </c>
      <c r="G1211" s="56">
        <f>[2]Trucks!K1208</f>
        <v>0</v>
      </c>
      <c r="H1211" s="46">
        <f>[2]Trucks!I1208</f>
        <v>0</v>
      </c>
      <c r="I1211" s="83" t="str">
        <f t="shared" si="90"/>
        <v/>
      </c>
      <c r="J1211" s="272" t="str">
        <f>IFERROR(VLOOKUP((D1211&amp;C1211)&amp;"",'[2]Retail Price List'!$C$4:$F$102,3,FALSE),"")</f>
        <v/>
      </c>
      <c r="K1211" s="272">
        <f>IFERROR(IF(BA1211="WIP - 30 Days",VLOOKUP(D1211,[3]Standard!$B$9:$E$101,4,FALSE),IF(BA1211="31-120 Days",VLOOKUP(D1211,[3]Standard!$B$9:$F$101,5,FALSE),IF(BA1211="121-365 Days",VLOOKUP(D1211,[3]Standard!$B$9:$G$101,6,FALSE),VLOOKUP(D1211,[3]Standard!$B$9:$H$101,7,FALSE)))),0)</f>
        <v>0</v>
      </c>
      <c r="L1211" s="272">
        <f>IFERROR(IF(BA1211="WIP - 30 Days",VLOOKUP(D1211,[3]Standard!$B$9:$J$101,9,FALSE),IF(BA1211="31-120 Days",VLOOKUP(D1211,[3]Standard!$B$9:$K$100,10,FALSE),IF(BA1211="121-365 Days",VLOOKUP(D1211,[3]Standard!$B$9:$L$101,11,FALSE),VLOOKUP(D1211,[3]Standard!$B$9:$M$101,12,FALSE)))),0)</f>
        <v>0</v>
      </c>
      <c r="M1211" s="269" t="str">
        <f>IFERROR(VLOOKUP((D1211&amp;C1211)&amp;"",'[2]Retail Price List'!$C$4:$F$102,4,FALSE),"")</f>
        <v/>
      </c>
      <c r="N1211" s="269">
        <f>IFERROR(IF(BA1211="WIP - 30 Days",VLOOKUP(D1211,[3]Extended!$B$9:$E$101,4,FALSE),IF(BA1211="31-120 Days",VLOOKUP(D1211,[3]Extended!$B$9:$F$101,5,FALSE),IF(BA1211="121-365 Days",VLOOKUP(D1211,[3]Extended!$B$9:$G$101,6,FALSE),VLOOKUP(D1211,[3]Extended!$B$9:$H$101,7,FALSE)))),0)</f>
        <v>0</v>
      </c>
      <c r="O1211" s="269">
        <f>IFERROR(IF(BA1211="WIP - 30 Days",VLOOKUP(D1211,[3]Extended!$B$9:$J$101,9,FALSE),IF(BA1211="31-120 Days",VLOOKUP(D1211,[3]Extended!$B$9:$K$101,10,FALSE),IF(BA1211="121-365 Days",VLOOKUP(D1211,[3]Extended!$B$9:$L$101,11,FALSE),VLOOKUP(D1211,[3]Extended!$B$9:$M$101,12,FALSE)))),0)</f>
        <v>0</v>
      </c>
      <c r="P1211" s="116" t="e">
        <f t="shared" si="91"/>
        <v>#VALUE!</v>
      </c>
      <c r="Q1211" s="110" t="e">
        <f>O1211-#REF!</f>
        <v>#REF!</v>
      </c>
      <c r="W1211" s="311"/>
      <c r="X1211" s="311"/>
      <c r="Y1211" s="311"/>
      <c r="Z1211" s="311"/>
      <c r="AA1211" s="311"/>
      <c r="AB1211" s="311"/>
      <c r="AC1211" s="311"/>
      <c r="AT1211" s="88" t="str">
        <f t="shared" si="92"/>
        <v>Special Order0</v>
      </c>
      <c r="AU1211" s="89" t="str">
        <f t="shared" si="93"/>
        <v>01-1900</v>
      </c>
      <c r="BA1211" s="92" t="str">
        <f t="shared" si="94"/>
        <v/>
      </c>
    </row>
    <row r="1212" spans="2:53">
      <c r="B1212" s="60">
        <f>[2]Trucks!A1209</f>
        <v>0</v>
      </c>
      <c r="C1212" s="11">
        <f>[2]Trucks!B1209</f>
        <v>0</v>
      </c>
      <c r="D1212" s="19" t="str">
        <f>IFERROR(VLOOKUP(C1212&amp;"",'[2]Retail Price List'!$A$3:$B$103,2,FALSE),"Special Order")</f>
        <v>Special Order</v>
      </c>
      <c r="E1212" s="18">
        <f>[2]Trucks!J1209</f>
        <v>0</v>
      </c>
      <c r="F1212" s="12">
        <f>[2]Trucks!E1209</f>
        <v>0</v>
      </c>
      <c r="G1212" s="56">
        <f>[2]Trucks!K1209</f>
        <v>0</v>
      </c>
      <c r="H1212" s="46">
        <f>[2]Trucks!I1209</f>
        <v>0</v>
      </c>
      <c r="I1212" s="83" t="str">
        <f t="shared" si="90"/>
        <v/>
      </c>
      <c r="J1212" s="272" t="str">
        <f>IFERROR(VLOOKUP((D1212&amp;C1212)&amp;"",'[2]Retail Price List'!$C$4:$F$102,3,FALSE),"")</f>
        <v/>
      </c>
      <c r="K1212" s="272">
        <f>IFERROR(IF(BA1212="WIP - 30 Days",VLOOKUP(D1212,[3]Standard!$B$9:$E$101,4,FALSE),IF(BA1212="31-120 Days",VLOOKUP(D1212,[3]Standard!$B$9:$F$101,5,FALSE),IF(BA1212="121-365 Days",VLOOKUP(D1212,[3]Standard!$B$9:$G$101,6,FALSE),VLOOKUP(D1212,[3]Standard!$B$9:$H$101,7,FALSE)))),0)</f>
        <v>0</v>
      </c>
      <c r="L1212" s="272">
        <f>IFERROR(IF(BA1212="WIP - 30 Days",VLOOKUP(D1212,[3]Standard!$B$9:$J$101,9,FALSE),IF(BA1212="31-120 Days",VLOOKUP(D1212,[3]Standard!$B$9:$K$100,10,FALSE),IF(BA1212="121-365 Days",VLOOKUP(D1212,[3]Standard!$B$9:$L$101,11,FALSE),VLOOKUP(D1212,[3]Standard!$B$9:$M$101,12,FALSE)))),0)</f>
        <v>0</v>
      </c>
      <c r="M1212" s="269" t="str">
        <f>IFERROR(VLOOKUP((D1212&amp;C1212)&amp;"",'[2]Retail Price List'!$C$4:$F$102,4,FALSE),"")</f>
        <v/>
      </c>
      <c r="N1212" s="269">
        <f>IFERROR(IF(BA1212="WIP - 30 Days",VLOOKUP(D1212,[3]Extended!$B$9:$E$101,4,FALSE),IF(BA1212="31-120 Days",VLOOKUP(D1212,[3]Extended!$B$9:$F$101,5,FALSE),IF(BA1212="121-365 Days",VLOOKUP(D1212,[3]Extended!$B$9:$G$101,6,FALSE),VLOOKUP(D1212,[3]Extended!$B$9:$H$101,7,FALSE)))),0)</f>
        <v>0</v>
      </c>
      <c r="O1212" s="269">
        <f>IFERROR(IF(BA1212="WIP - 30 Days",VLOOKUP(D1212,[3]Extended!$B$9:$J$101,9,FALSE),IF(BA1212="31-120 Days",VLOOKUP(D1212,[3]Extended!$B$9:$K$101,10,FALSE),IF(BA1212="121-365 Days",VLOOKUP(D1212,[3]Extended!$B$9:$L$101,11,FALSE),VLOOKUP(D1212,[3]Extended!$B$9:$M$101,12,FALSE)))),0)</f>
        <v>0</v>
      </c>
      <c r="P1212" s="116" t="e">
        <f t="shared" si="91"/>
        <v>#VALUE!</v>
      </c>
      <c r="Q1212" s="110" t="e">
        <f>O1212-#REF!</f>
        <v>#REF!</v>
      </c>
      <c r="W1212" s="311"/>
      <c r="X1212" s="311"/>
      <c r="Y1212" s="311"/>
      <c r="Z1212" s="311"/>
      <c r="AA1212" s="311"/>
      <c r="AB1212" s="311"/>
      <c r="AC1212" s="311"/>
      <c r="AT1212" s="88" t="str">
        <f t="shared" si="92"/>
        <v>Special Order0</v>
      </c>
      <c r="AU1212" s="89" t="str">
        <f t="shared" si="93"/>
        <v>01-1900</v>
      </c>
      <c r="BA1212" s="92" t="str">
        <f t="shared" si="94"/>
        <v/>
      </c>
    </row>
    <row r="1213" spans="2:53">
      <c r="B1213" s="60">
        <f>[2]Trucks!A1210</f>
        <v>0</v>
      </c>
      <c r="C1213" s="11">
        <f>[2]Trucks!B1210</f>
        <v>0</v>
      </c>
      <c r="D1213" s="19" t="str">
        <f>IFERROR(VLOOKUP(C1213&amp;"",'[2]Retail Price List'!$A$3:$B$103,2,FALSE),"Special Order")</f>
        <v>Special Order</v>
      </c>
      <c r="E1213" s="18">
        <f>[2]Trucks!J1210</f>
        <v>0</v>
      </c>
      <c r="F1213" s="12">
        <f>[2]Trucks!E1210</f>
        <v>0</v>
      </c>
      <c r="G1213" s="56">
        <f>[2]Trucks!K1210</f>
        <v>0</v>
      </c>
      <c r="H1213" s="46">
        <f>[2]Trucks!I1210</f>
        <v>0</v>
      </c>
      <c r="I1213" s="83" t="str">
        <f t="shared" si="90"/>
        <v/>
      </c>
      <c r="J1213" s="272" t="str">
        <f>IFERROR(VLOOKUP((D1213&amp;C1213)&amp;"",'[2]Retail Price List'!$C$4:$F$102,3,FALSE),"")</f>
        <v/>
      </c>
      <c r="K1213" s="272">
        <f>IFERROR(IF(BA1213="WIP - 30 Days",VLOOKUP(D1213,[3]Standard!$B$9:$E$101,4,FALSE),IF(BA1213="31-120 Days",VLOOKUP(D1213,[3]Standard!$B$9:$F$101,5,FALSE),IF(BA1213="121-365 Days",VLOOKUP(D1213,[3]Standard!$B$9:$G$101,6,FALSE),VLOOKUP(D1213,[3]Standard!$B$9:$H$101,7,FALSE)))),0)</f>
        <v>0</v>
      </c>
      <c r="L1213" s="272">
        <f>IFERROR(IF(BA1213="WIP - 30 Days",VLOOKUP(D1213,[3]Standard!$B$9:$J$101,9,FALSE),IF(BA1213="31-120 Days",VLOOKUP(D1213,[3]Standard!$B$9:$K$100,10,FALSE),IF(BA1213="121-365 Days",VLOOKUP(D1213,[3]Standard!$B$9:$L$101,11,FALSE),VLOOKUP(D1213,[3]Standard!$B$9:$M$101,12,FALSE)))),0)</f>
        <v>0</v>
      </c>
      <c r="M1213" s="269" t="str">
        <f>IFERROR(VLOOKUP((D1213&amp;C1213)&amp;"",'[2]Retail Price List'!$C$4:$F$102,4,FALSE),"")</f>
        <v/>
      </c>
      <c r="N1213" s="269">
        <f>IFERROR(IF(BA1213="WIP - 30 Days",VLOOKUP(D1213,[3]Extended!$B$9:$E$101,4,FALSE),IF(BA1213="31-120 Days",VLOOKUP(D1213,[3]Extended!$B$9:$F$101,5,FALSE),IF(BA1213="121-365 Days",VLOOKUP(D1213,[3]Extended!$B$9:$G$101,6,FALSE),VLOOKUP(D1213,[3]Extended!$B$9:$H$101,7,FALSE)))),0)</f>
        <v>0</v>
      </c>
      <c r="O1213" s="269">
        <f>IFERROR(IF(BA1213="WIP - 30 Days",VLOOKUP(D1213,[3]Extended!$B$9:$J$101,9,FALSE),IF(BA1213="31-120 Days",VLOOKUP(D1213,[3]Extended!$B$9:$K$101,10,FALSE),IF(BA1213="121-365 Days",VLOOKUP(D1213,[3]Extended!$B$9:$L$101,11,FALSE),VLOOKUP(D1213,[3]Extended!$B$9:$M$101,12,FALSE)))),0)</f>
        <v>0</v>
      </c>
      <c r="P1213" s="116" t="e">
        <f t="shared" si="91"/>
        <v>#VALUE!</v>
      </c>
      <c r="Q1213" s="110" t="e">
        <f>O1213-#REF!</f>
        <v>#REF!</v>
      </c>
      <c r="W1213" s="311"/>
      <c r="X1213" s="311"/>
      <c r="Y1213" s="311"/>
      <c r="Z1213" s="311"/>
      <c r="AA1213" s="311"/>
      <c r="AB1213" s="311"/>
      <c r="AC1213" s="311"/>
      <c r="AT1213" s="88" t="str">
        <f t="shared" si="92"/>
        <v>Special Order0</v>
      </c>
      <c r="AU1213" s="89" t="str">
        <f t="shared" si="93"/>
        <v>01-1900</v>
      </c>
      <c r="BA1213" s="92" t="str">
        <f t="shared" si="94"/>
        <v/>
      </c>
    </row>
    <row r="1214" spans="2:53">
      <c r="B1214" s="60">
        <f>[2]Trucks!A1211</f>
        <v>0</v>
      </c>
      <c r="C1214" s="11">
        <f>[2]Trucks!B1211</f>
        <v>0</v>
      </c>
      <c r="D1214" s="19" t="str">
        <f>IFERROR(VLOOKUP(C1214&amp;"",'[2]Retail Price List'!$A$3:$B$103,2,FALSE),"Special Order")</f>
        <v>Special Order</v>
      </c>
      <c r="E1214" s="18">
        <f>[2]Trucks!J1211</f>
        <v>0</v>
      </c>
      <c r="F1214" s="12">
        <f>[2]Trucks!E1211</f>
        <v>0</v>
      </c>
      <c r="G1214" s="56">
        <f>[2]Trucks!K1211</f>
        <v>0</v>
      </c>
      <c r="H1214" s="46">
        <f>[2]Trucks!I1211</f>
        <v>0</v>
      </c>
      <c r="I1214" s="83" t="str">
        <f t="shared" si="90"/>
        <v/>
      </c>
      <c r="J1214" s="272" t="str">
        <f>IFERROR(VLOOKUP((D1214&amp;C1214)&amp;"",'[2]Retail Price List'!$C$4:$F$102,3,FALSE),"")</f>
        <v/>
      </c>
      <c r="K1214" s="272">
        <f>IFERROR(IF(BA1214="WIP - 30 Days",VLOOKUP(D1214,[3]Standard!$B$9:$E$101,4,FALSE),IF(BA1214="31-120 Days",VLOOKUP(D1214,[3]Standard!$B$9:$F$101,5,FALSE),IF(BA1214="121-365 Days",VLOOKUP(D1214,[3]Standard!$B$9:$G$101,6,FALSE),VLOOKUP(D1214,[3]Standard!$B$9:$H$101,7,FALSE)))),0)</f>
        <v>0</v>
      </c>
      <c r="L1214" s="272">
        <f>IFERROR(IF(BA1214="WIP - 30 Days",VLOOKUP(D1214,[3]Standard!$B$9:$J$101,9,FALSE),IF(BA1214="31-120 Days",VLOOKUP(D1214,[3]Standard!$B$9:$K$100,10,FALSE),IF(BA1214="121-365 Days",VLOOKUP(D1214,[3]Standard!$B$9:$L$101,11,FALSE),VLOOKUP(D1214,[3]Standard!$B$9:$M$101,12,FALSE)))),0)</f>
        <v>0</v>
      </c>
      <c r="M1214" s="269" t="str">
        <f>IFERROR(VLOOKUP((D1214&amp;C1214)&amp;"",'[2]Retail Price List'!$C$4:$F$102,4,FALSE),"")</f>
        <v/>
      </c>
      <c r="N1214" s="269">
        <f>IFERROR(IF(BA1214="WIP - 30 Days",VLOOKUP(D1214,[3]Extended!$B$9:$E$101,4,FALSE),IF(BA1214="31-120 Days",VLOOKUP(D1214,[3]Extended!$B$9:$F$101,5,FALSE),IF(BA1214="121-365 Days",VLOOKUP(D1214,[3]Extended!$B$9:$G$101,6,FALSE),VLOOKUP(D1214,[3]Extended!$B$9:$H$101,7,FALSE)))),0)</f>
        <v>0</v>
      </c>
      <c r="O1214" s="269">
        <f>IFERROR(IF(BA1214="WIP - 30 Days",VLOOKUP(D1214,[3]Extended!$B$9:$J$101,9,FALSE),IF(BA1214="31-120 Days",VLOOKUP(D1214,[3]Extended!$B$9:$K$101,10,FALSE),IF(BA1214="121-365 Days",VLOOKUP(D1214,[3]Extended!$B$9:$L$101,11,FALSE),VLOOKUP(D1214,[3]Extended!$B$9:$M$101,12,FALSE)))),0)</f>
        <v>0</v>
      </c>
      <c r="P1214" s="116" t="e">
        <f t="shared" si="91"/>
        <v>#VALUE!</v>
      </c>
      <c r="Q1214" s="110" t="e">
        <f>O1214-#REF!</f>
        <v>#REF!</v>
      </c>
      <c r="W1214" s="311"/>
      <c r="X1214" s="311"/>
      <c r="Y1214" s="311"/>
      <c r="Z1214" s="311"/>
      <c r="AA1214" s="311"/>
      <c r="AB1214" s="311"/>
      <c r="AC1214" s="311"/>
      <c r="AT1214" s="88" t="str">
        <f t="shared" si="92"/>
        <v>Special Order0</v>
      </c>
      <c r="AU1214" s="89" t="str">
        <f t="shared" si="93"/>
        <v>01-1900</v>
      </c>
      <c r="BA1214" s="92" t="str">
        <f t="shared" si="94"/>
        <v/>
      </c>
    </row>
    <row r="1215" spans="2:53">
      <c r="B1215" s="60">
        <f>[2]Trucks!A1212</f>
        <v>0</v>
      </c>
      <c r="C1215" s="11">
        <f>[2]Trucks!B1212</f>
        <v>0</v>
      </c>
      <c r="D1215" s="19" t="str">
        <f>IFERROR(VLOOKUP(C1215&amp;"",'[2]Retail Price List'!$A$3:$B$103,2,FALSE),"Special Order")</f>
        <v>Special Order</v>
      </c>
      <c r="E1215" s="18">
        <f>[2]Trucks!J1212</f>
        <v>0</v>
      </c>
      <c r="F1215" s="12">
        <f>[2]Trucks!E1212</f>
        <v>0</v>
      </c>
      <c r="G1215" s="56">
        <f>[2]Trucks!K1212</f>
        <v>0</v>
      </c>
      <c r="H1215" s="46">
        <f>[2]Trucks!I1212</f>
        <v>0</v>
      </c>
      <c r="I1215" s="83" t="str">
        <f t="shared" si="90"/>
        <v/>
      </c>
      <c r="J1215" s="272" t="str">
        <f>IFERROR(VLOOKUP((D1215&amp;C1215)&amp;"",'[2]Retail Price List'!$C$4:$F$102,3,FALSE),"")</f>
        <v/>
      </c>
      <c r="K1215" s="272">
        <f>IFERROR(IF(BA1215="WIP - 30 Days",VLOOKUP(D1215,[3]Standard!$B$9:$E$101,4,FALSE),IF(BA1215="31-120 Days",VLOOKUP(D1215,[3]Standard!$B$9:$F$101,5,FALSE),IF(BA1215="121-365 Days",VLOOKUP(D1215,[3]Standard!$B$9:$G$101,6,FALSE),VLOOKUP(D1215,[3]Standard!$B$9:$H$101,7,FALSE)))),0)</f>
        <v>0</v>
      </c>
      <c r="L1215" s="272">
        <f>IFERROR(IF(BA1215="WIP - 30 Days",VLOOKUP(D1215,[3]Standard!$B$9:$J$101,9,FALSE),IF(BA1215="31-120 Days",VLOOKUP(D1215,[3]Standard!$B$9:$K$100,10,FALSE),IF(BA1215="121-365 Days",VLOOKUP(D1215,[3]Standard!$B$9:$L$101,11,FALSE),VLOOKUP(D1215,[3]Standard!$B$9:$M$101,12,FALSE)))),0)</f>
        <v>0</v>
      </c>
      <c r="M1215" s="269" t="str">
        <f>IFERROR(VLOOKUP((D1215&amp;C1215)&amp;"",'[2]Retail Price List'!$C$4:$F$102,4,FALSE),"")</f>
        <v/>
      </c>
      <c r="N1215" s="269">
        <f>IFERROR(IF(BA1215="WIP - 30 Days",VLOOKUP(D1215,[3]Extended!$B$9:$E$101,4,FALSE),IF(BA1215="31-120 Days",VLOOKUP(D1215,[3]Extended!$B$9:$F$101,5,FALSE),IF(BA1215="121-365 Days",VLOOKUP(D1215,[3]Extended!$B$9:$G$101,6,FALSE),VLOOKUP(D1215,[3]Extended!$B$9:$H$101,7,FALSE)))),0)</f>
        <v>0</v>
      </c>
      <c r="O1215" s="269">
        <f>IFERROR(IF(BA1215="WIP - 30 Days",VLOOKUP(D1215,[3]Extended!$B$9:$J$101,9,FALSE),IF(BA1215="31-120 Days",VLOOKUP(D1215,[3]Extended!$B$9:$K$101,10,FALSE),IF(BA1215="121-365 Days",VLOOKUP(D1215,[3]Extended!$B$9:$L$101,11,FALSE),VLOOKUP(D1215,[3]Extended!$B$9:$M$101,12,FALSE)))),0)</f>
        <v>0</v>
      </c>
      <c r="P1215" s="116" t="e">
        <f t="shared" si="91"/>
        <v>#VALUE!</v>
      </c>
      <c r="Q1215" s="110" t="e">
        <f>O1215-#REF!</f>
        <v>#REF!</v>
      </c>
      <c r="W1215" s="311"/>
      <c r="X1215" s="311"/>
      <c r="Y1215" s="311"/>
      <c r="Z1215" s="311"/>
      <c r="AA1215" s="311"/>
      <c r="AB1215" s="311"/>
      <c r="AC1215" s="311"/>
      <c r="AT1215" s="88" t="str">
        <f t="shared" si="92"/>
        <v>Special Order0</v>
      </c>
      <c r="AU1215" s="89" t="str">
        <f t="shared" si="93"/>
        <v>01-1900</v>
      </c>
      <c r="BA1215" s="92" t="str">
        <f t="shared" si="94"/>
        <v/>
      </c>
    </row>
    <row r="1216" spans="2:53">
      <c r="B1216" s="60">
        <f>[2]Trucks!A1213</f>
        <v>0</v>
      </c>
      <c r="C1216" s="11">
        <f>[2]Trucks!B1213</f>
        <v>0</v>
      </c>
      <c r="D1216" s="19" t="str">
        <f>IFERROR(VLOOKUP(C1216&amp;"",'[2]Retail Price List'!$A$3:$B$103,2,FALSE),"Special Order")</f>
        <v>Special Order</v>
      </c>
      <c r="E1216" s="18">
        <f>[2]Trucks!J1213</f>
        <v>0</v>
      </c>
      <c r="F1216" s="12">
        <f>[2]Trucks!E1213</f>
        <v>0</v>
      </c>
      <c r="G1216" s="56">
        <f>[2]Trucks!K1213</f>
        <v>0</v>
      </c>
      <c r="H1216" s="46">
        <f>[2]Trucks!I1213</f>
        <v>0</v>
      </c>
      <c r="I1216" s="83" t="str">
        <f t="shared" si="90"/>
        <v/>
      </c>
      <c r="J1216" s="272" t="str">
        <f>IFERROR(VLOOKUP((D1216&amp;C1216)&amp;"",'[2]Retail Price List'!$C$4:$F$102,3,FALSE),"")</f>
        <v/>
      </c>
      <c r="K1216" s="272">
        <f>IFERROR(IF(BA1216="WIP - 30 Days",VLOOKUP(D1216,[3]Standard!$B$9:$E$101,4,FALSE),IF(BA1216="31-120 Days",VLOOKUP(D1216,[3]Standard!$B$9:$F$101,5,FALSE),IF(BA1216="121-365 Days",VLOOKUP(D1216,[3]Standard!$B$9:$G$101,6,FALSE),VLOOKUP(D1216,[3]Standard!$B$9:$H$101,7,FALSE)))),0)</f>
        <v>0</v>
      </c>
      <c r="L1216" s="272">
        <f>IFERROR(IF(BA1216="WIP - 30 Days",VLOOKUP(D1216,[3]Standard!$B$9:$J$101,9,FALSE),IF(BA1216="31-120 Days",VLOOKUP(D1216,[3]Standard!$B$9:$K$100,10,FALSE),IF(BA1216="121-365 Days",VLOOKUP(D1216,[3]Standard!$B$9:$L$101,11,FALSE),VLOOKUP(D1216,[3]Standard!$B$9:$M$101,12,FALSE)))),0)</f>
        <v>0</v>
      </c>
      <c r="M1216" s="269" t="str">
        <f>IFERROR(VLOOKUP((D1216&amp;C1216)&amp;"",'[2]Retail Price List'!$C$4:$F$102,4,FALSE),"")</f>
        <v/>
      </c>
      <c r="N1216" s="269">
        <f>IFERROR(IF(BA1216="WIP - 30 Days",VLOOKUP(D1216,[3]Extended!$B$9:$E$101,4,FALSE),IF(BA1216="31-120 Days",VLOOKUP(D1216,[3]Extended!$B$9:$F$101,5,FALSE),IF(BA1216="121-365 Days",VLOOKUP(D1216,[3]Extended!$B$9:$G$101,6,FALSE),VLOOKUP(D1216,[3]Extended!$B$9:$H$101,7,FALSE)))),0)</f>
        <v>0</v>
      </c>
      <c r="O1216" s="269">
        <f>IFERROR(IF(BA1216="WIP - 30 Days",VLOOKUP(D1216,[3]Extended!$B$9:$J$101,9,FALSE),IF(BA1216="31-120 Days",VLOOKUP(D1216,[3]Extended!$B$9:$K$101,10,FALSE),IF(BA1216="121-365 Days",VLOOKUP(D1216,[3]Extended!$B$9:$L$101,11,FALSE),VLOOKUP(D1216,[3]Extended!$B$9:$M$101,12,FALSE)))),0)</f>
        <v>0</v>
      </c>
      <c r="P1216" s="116" t="e">
        <f t="shared" si="91"/>
        <v>#VALUE!</v>
      </c>
      <c r="Q1216" s="110" t="e">
        <f>O1216-#REF!</f>
        <v>#REF!</v>
      </c>
      <c r="W1216" s="311"/>
      <c r="X1216" s="311"/>
      <c r="Y1216" s="311"/>
      <c r="Z1216" s="311"/>
      <c r="AA1216" s="311"/>
      <c r="AB1216" s="311"/>
      <c r="AC1216" s="311"/>
      <c r="AT1216" s="88" t="str">
        <f t="shared" si="92"/>
        <v>Special Order0</v>
      </c>
      <c r="AU1216" s="89" t="str">
        <f t="shared" si="93"/>
        <v>01-1900</v>
      </c>
      <c r="BA1216" s="92" t="str">
        <f t="shared" si="94"/>
        <v/>
      </c>
    </row>
    <row r="1217" spans="2:53">
      <c r="B1217" s="60">
        <f>[2]Trucks!A1214</f>
        <v>0</v>
      </c>
      <c r="C1217" s="11">
        <f>[2]Trucks!B1214</f>
        <v>0</v>
      </c>
      <c r="D1217" s="19" t="str">
        <f>IFERROR(VLOOKUP(C1217&amp;"",'[2]Retail Price List'!$A$3:$B$103,2,FALSE),"Special Order")</f>
        <v>Special Order</v>
      </c>
      <c r="E1217" s="18">
        <f>[2]Trucks!J1214</f>
        <v>0</v>
      </c>
      <c r="F1217" s="12">
        <f>[2]Trucks!E1214</f>
        <v>0</v>
      </c>
      <c r="G1217" s="56">
        <f>[2]Trucks!K1214</f>
        <v>0</v>
      </c>
      <c r="H1217" s="46">
        <f>[2]Trucks!I1214</f>
        <v>0</v>
      </c>
      <c r="I1217" s="83" t="str">
        <f t="shared" si="90"/>
        <v/>
      </c>
      <c r="J1217" s="272" t="str">
        <f>IFERROR(VLOOKUP((D1217&amp;C1217)&amp;"",'[2]Retail Price List'!$C$4:$F$102,3,FALSE),"")</f>
        <v/>
      </c>
      <c r="K1217" s="272">
        <f>IFERROR(IF(BA1217="WIP - 30 Days",VLOOKUP(D1217,[3]Standard!$B$9:$E$101,4,FALSE),IF(BA1217="31-120 Days",VLOOKUP(D1217,[3]Standard!$B$9:$F$101,5,FALSE),IF(BA1217="121-365 Days",VLOOKUP(D1217,[3]Standard!$B$9:$G$101,6,FALSE),VLOOKUP(D1217,[3]Standard!$B$9:$H$101,7,FALSE)))),0)</f>
        <v>0</v>
      </c>
      <c r="L1217" s="272">
        <f>IFERROR(IF(BA1217="WIP - 30 Days",VLOOKUP(D1217,[3]Standard!$B$9:$J$101,9,FALSE),IF(BA1217="31-120 Days",VLOOKUP(D1217,[3]Standard!$B$9:$K$100,10,FALSE),IF(BA1217="121-365 Days",VLOOKUP(D1217,[3]Standard!$B$9:$L$101,11,FALSE),VLOOKUP(D1217,[3]Standard!$B$9:$M$101,12,FALSE)))),0)</f>
        <v>0</v>
      </c>
      <c r="M1217" s="269" t="str">
        <f>IFERROR(VLOOKUP((D1217&amp;C1217)&amp;"",'[2]Retail Price List'!$C$4:$F$102,4,FALSE),"")</f>
        <v/>
      </c>
      <c r="N1217" s="269">
        <f>IFERROR(IF(BA1217="WIP - 30 Days",VLOOKUP(D1217,[3]Extended!$B$9:$E$101,4,FALSE),IF(BA1217="31-120 Days",VLOOKUP(D1217,[3]Extended!$B$9:$F$101,5,FALSE),IF(BA1217="121-365 Days",VLOOKUP(D1217,[3]Extended!$B$9:$G$101,6,FALSE),VLOOKUP(D1217,[3]Extended!$B$9:$H$101,7,FALSE)))),0)</f>
        <v>0</v>
      </c>
      <c r="O1217" s="269">
        <f>IFERROR(IF(BA1217="WIP - 30 Days",VLOOKUP(D1217,[3]Extended!$B$9:$J$101,9,FALSE),IF(BA1217="31-120 Days",VLOOKUP(D1217,[3]Extended!$B$9:$K$101,10,FALSE),IF(BA1217="121-365 Days",VLOOKUP(D1217,[3]Extended!$B$9:$L$101,11,FALSE),VLOOKUP(D1217,[3]Extended!$B$9:$M$101,12,FALSE)))),0)</f>
        <v>0</v>
      </c>
      <c r="P1217" s="116" t="e">
        <f t="shared" si="91"/>
        <v>#VALUE!</v>
      </c>
      <c r="Q1217" s="110" t="e">
        <f>O1217-#REF!</f>
        <v>#REF!</v>
      </c>
      <c r="W1217" s="311"/>
      <c r="X1217" s="311"/>
      <c r="Y1217" s="311"/>
      <c r="Z1217" s="311"/>
      <c r="AA1217" s="311"/>
      <c r="AB1217" s="311"/>
      <c r="AC1217" s="311"/>
      <c r="AT1217" s="88" t="str">
        <f t="shared" si="92"/>
        <v>Special Order0</v>
      </c>
      <c r="AU1217" s="89" t="str">
        <f t="shared" si="93"/>
        <v>01-1900</v>
      </c>
      <c r="BA1217" s="92" t="str">
        <f t="shared" si="94"/>
        <v/>
      </c>
    </row>
    <row r="1218" spans="2:53">
      <c r="B1218" s="60">
        <f>[2]Trucks!A1215</f>
        <v>0</v>
      </c>
      <c r="C1218" s="11">
        <f>[2]Trucks!B1215</f>
        <v>0</v>
      </c>
      <c r="D1218" s="19" t="str">
        <f>IFERROR(VLOOKUP(C1218&amp;"",'[2]Retail Price List'!$A$3:$B$103,2,FALSE),"Special Order")</f>
        <v>Special Order</v>
      </c>
      <c r="E1218" s="18">
        <f>[2]Trucks!J1215</f>
        <v>0</v>
      </c>
      <c r="F1218" s="12">
        <f>[2]Trucks!E1215</f>
        <v>0</v>
      </c>
      <c r="G1218" s="56">
        <f>[2]Trucks!K1215</f>
        <v>0</v>
      </c>
      <c r="H1218" s="46">
        <f>[2]Trucks!I1215</f>
        <v>0</v>
      </c>
      <c r="I1218" s="83" t="str">
        <f t="shared" si="90"/>
        <v/>
      </c>
      <c r="J1218" s="272" t="str">
        <f>IFERROR(VLOOKUP((D1218&amp;C1218)&amp;"",'[2]Retail Price List'!$C$4:$F$102,3,FALSE),"")</f>
        <v/>
      </c>
      <c r="K1218" s="272">
        <f>IFERROR(IF(BA1218="WIP - 30 Days",VLOOKUP(D1218,[3]Standard!$B$9:$E$101,4,FALSE),IF(BA1218="31-120 Days",VLOOKUP(D1218,[3]Standard!$B$9:$F$101,5,FALSE),IF(BA1218="121-365 Days",VLOOKUP(D1218,[3]Standard!$B$9:$G$101,6,FALSE),VLOOKUP(D1218,[3]Standard!$B$9:$H$101,7,FALSE)))),0)</f>
        <v>0</v>
      </c>
      <c r="L1218" s="272">
        <f>IFERROR(IF(BA1218="WIP - 30 Days",VLOOKUP(D1218,[3]Standard!$B$9:$J$101,9,FALSE),IF(BA1218="31-120 Days",VLOOKUP(D1218,[3]Standard!$B$9:$K$100,10,FALSE),IF(BA1218="121-365 Days",VLOOKUP(D1218,[3]Standard!$B$9:$L$101,11,FALSE),VLOOKUP(D1218,[3]Standard!$B$9:$M$101,12,FALSE)))),0)</f>
        <v>0</v>
      </c>
      <c r="M1218" s="269" t="str">
        <f>IFERROR(VLOOKUP((D1218&amp;C1218)&amp;"",'[2]Retail Price List'!$C$4:$F$102,4,FALSE),"")</f>
        <v/>
      </c>
      <c r="N1218" s="269">
        <f>IFERROR(IF(BA1218="WIP - 30 Days",VLOOKUP(D1218,[3]Extended!$B$9:$E$101,4,FALSE),IF(BA1218="31-120 Days",VLOOKUP(D1218,[3]Extended!$B$9:$F$101,5,FALSE),IF(BA1218="121-365 Days",VLOOKUP(D1218,[3]Extended!$B$9:$G$101,6,FALSE),VLOOKUP(D1218,[3]Extended!$B$9:$H$101,7,FALSE)))),0)</f>
        <v>0</v>
      </c>
      <c r="O1218" s="269">
        <f>IFERROR(IF(BA1218="WIP - 30 Days",VLOOKUP(D1218,[3]Extended!$B$9:$J$101,9,FALSE),IF(BA1218="31-120 Days",VLOOKUP(D1218,[3]Extended!$B$9:$K$101,10,FALSE),IF(BA1218="121-365 Days",VLOOKUP(D1218,[3]Extended!$B$9:$L$101,11,FALSE),VLOOKUP(D1218,[3]Extended!$B$9:$M$101,12,FALSE)))),0)</f>
        <v>0</v>
      </c>
      <c r="P1218" s="116" t="e">
        <f t="shared" si="91"/>
        <v>#VALUE!</v>
      </c>
      <c r="Q1218" s="110" t="e">
        <f>O1218-#REF!</f>
        <v>#REF!</v>
      </c>
      <c r="W1218" s="311"/>
      <c r="X1218" s="311"/>
      <c r="Y1218" s="311"/>
      <c r="Z1218" s="311"/>
      <c r="AA1218" s="311"/>
      <c r="AB1218" s="311"/>
      <c r="AC1218" s="311"/>
      <c r="AT1218" s="88" t="str">
        <f t="shared" si="92"/>
        <v>Special Order0</v>
      </c>
      <c r="AU1218" s="89" t="str">
        <f t="shared" si="93"/>
        <v>01-1900</v>
      </c>
      <c r="BA1218" s="92" t="str">
        <f t="shared" si="94"/>
        <v/>
      </c>
    </row>
    <row r="1219" spans="2:53">
      <c r="B1219" s="60">
        <f>[2]Trucks!A1216</f>
        <v>0</v>
      </c>
      <c r="C1219" s="11">
        <f>[2]Trucks!B1216</f>
        <v>0</v>
      </c>
      <c r="D1219" s="19" t="str">
        <f>IFERROR(VLOOKUP(C1219&amp;"",'[2]Retail Price List'!$A$3:$B$103,2,FALSE),"Special Order")</f>
        <v>Special Order</v>
      </c>
      <c r="E1219" s="18">
        <f>[2]Trucks!J1216</f>
        <v>0</v>
      </c>
      <c r="F1219" s="12">
        <f>[2]Trucks!E1216</f>
        <v>0</v>
      </c>
      <c r="G1219" s="56">
        <f>[2]Trucks!K1216</f>
        <v>0</v>
      </c>
      <c r="H1219" s="46">
        <f>[2]Trucks!I1216</f>
        <v>0</v>
      </c>
      <c r="I1219" s="83" t="str">
        <f t="shared" si="90"/>
        <v/>
      </c>
      <c r="J1219" s="272" t="str">
        <f>IFERROR(VLOOKUP((D1219&amp;C1219)&amp;"",'[2]Retail Price List'!$C$4:$F$102,3,FALSE),"")</f>
        <v/>
      </c>
      <c r="K1219" s="272">
        <f>IFERROR(IF(BA1219="WIP - 30 Days",VLOOKUP(D1219,[3]Standard!$B$9:$E$101,4,FALSE),IF(BA1219="31-120 Days",VLOOKUP(D1219,[3]Standard!$B$9:$F$101,5,FALSE),IF(BA1219="121-365 Days",VLOOKUP(D1219,[3]Standard!$B$9:$G$101,6,FALSE),VLOOKUP(D1219,[3]Standard!$B$9:$H$101,7,FALSE)))),0)</f>
        <v>0</v>
      </c>
      <c r="L1219" s="272">
        <f>IFERROR(IF(BA1219="WIP - 30 Days",VLOOKUP(D1219,[3]Standard!$B$9:$J$101,9,FALSE),IF(BA1219="31-120 Days",VLOOKUP(D1219,[3]Standard!$B$9:$K$100,10,FALSE),IF(BA1219="121-365 Days",VLOOKUP(D1219,[3]Standard!$B$9:$L$101,11,FALSE),VLOOKUP(D1219,[3]Standard!$B$9:$M$101,12,FALSE)))),0)</f>
        <v>0</v>
      </c>
      <c r="M1219" s="269" t="str">
        <f>IFERROR(VLOOKUP((D1219&amp;C1219)&amp;"",'[2]Retail Price List'!$C$4:$F$102,4,FALSE),"")</f>
        <v/>
      </c>
      <c r="N1219" s="269">
        <f>IFERROR(IF(BA1219="WIP - 30 Days",VLOOKUP(D1219,[3]Extended!$B$9:$E$101,4,FALSE),IF(BA1219="31-120 Days",VLOOKUP(D1219,[3]Extended!$B$9:$F$101,5,FALSE),IF(BA1219="121-365 Days",VLOOKUP(D1219,[3]Extended!$B$9:$G$101,6,FALSE),VLOOKUP(D1219,[3]Extended!$B$9:$H$101,7,FALSE)))),0)</f>
        <v>0</v>
      </c>
      <c r="O1219" s="269">
        <f>IFERROR(IF(BA1219="WIP - 30 Days",VLOOKUP(D1219,[3]Extended!$B$9:$J$101,9,FALSE),IF(BA1219="31-120 Days",VLOOKUP(D1219,[3]Extended!$B$9:$K$101,10,FALSE),IF(BA1219="121-365 Days",VLOOKUP(D1219,[3]Extended!$B$9:$L$101,11,FALSE),VLOOKUP(D1219,[3]Extended!$B$9:$M$101,12,FALSE)))),0)</f>
        <v>0</v>
      </c>
      <c r="P1219" s="116" t="e">
        <f t="shared" si="91"/>
        <v>#VALUE!</v>
      </c>
      <c r="Q1219" s="110" t="e">
        <f>O1219-#REF!</f>
        <v>#REF!</v>
      </c>
      <c r="W1219" s="311"/>
      <c r="X1219" s="311"/>
      <c r="Y1219" s="311"/>
      <c r="Z1219" s="311"/>
      <c r="AA1219" s="311"/>
      <c r="AB1219" s="311"/>
      <c r="AC1219" s="311"/>
      <c r="AT1219" s="88" t="str">
        <f t="shared" si="92"/>
        <v>Special Order0</v>
      </c>
      <c r="AU1219" s="89" t="str">
        <f t="shared" si="93"/>
        <v>01-1900</v>
      </c>
      <c r="BA1219" s="92" t="str">
        <f t="shared" si="94"/>
        <v/>
      </c>
    </row>
    <row r="1220" spans="2:53">
      <c r="B1220" s="60">
        <f>[2]Trucks!A1217</f>
        <v>0</v>
      </c>
      <c r="C1220" s="11">
        <f>[2]Trucks!B1217</f>
        <v>0</v>
      </c>
      <c r="D1220" s="19" t="str">
        <f>IFERROR(VLOOKUP(C1220&amp;"",'[2]Retail Price List'!$A$3:$B$103,2,FALSE),"Special Order")</f>
        <v>Special Order</v>
      </c>
      <c r="E1220" s="18">
        <f>[2]Trucks!J1217</f>
        <v>0</v>
      </c>
      <c r="F1220" s="12">
        <f>[2]Trucks!E1217</f>
        <v>0</v>
      </c>
      <c r="G1220" s="56">
        <f>[2]Trucks!K1217</f>
        <v>0</v>
      </c>
      <c r="H1220" s="46">
        <f>[2]Trucks!I1217</f>
        <v>0</v>
      </c>
      <c r="I1220" s="83" t="str">
        <f t="shared" si="90"/>
        <v/>
      </c>
      <c r="J1220" s="272" t="str">
        <f>IFERROR(VLOOKUP((D1220&amp;C1220)&amp;"",'[2]Retail Price List'!$C$4:$F$102,3,FALSE),"")</f>
        <v/>
      </c>
      <c r="K1220" s="272">
        <f>IFERROR(IF(BA1220="WIP - 30 Days",VLOOKUP(D1220,[3]Standard!$B$9:$E$101,4,FALSE),IF(BA1220="31-120 Days",VLOOKUP(D1220,[3]Standard!$B$9:$F$101,5,FALSE),IF(BA1220="121-365 Days",VLOOKUP(D1220,[3]Standard!$B$9:$G$101,6,FALSE),VLOOKUP(D1220,[3]Standard!$B$9:$H$101,7,FALSE)))),0)</f>
        <v>0</v>
      </c>
      <c r="L1220" s="272">
        <f>IFERROR(IF(BA1220="WIP - 30 Days",VLOOKUP(D1220,[3]Standard!$B$9:$J$101,9,FALSE),IF(BA1220="31-120 Days",VLOOKUP(D1220,[3]Standard!$B$9:$K$100,10,FALSE),IF(BA1220="121-365 Days",VLOOKUP(D1220,[3]Standard!$B$9:$L$101,11,FALSE),VLOOKUP(D1220,[3]Standard!$B$9:$M$101,12,FALSE)))),0)</f>
        <v>0</v>
      </c>
      <c r="M1220" s="269" t="str">
        <f>IFERROR(VLOOKUP((D1220&amp;C1220)&amp;"",'[2]Retail Price List'!$C$4:$F$102,4,FALSE),"")</f>
        <v/>
      </c>
      <c r="N1220" s="269">
        <f>IFERROR(IF(BA1220="WIP - 30 Days",VLOOKUP(D1220,[3]Extended!$B$9:$E$101,4,FALSE),IF(BA1220="31-120 Days",VLOOKUP(D1220,[3]Extended!$B$9:$F$101,5,FALSE),IF(BA1220="121-365 Days",VLOOKUP(D1220,[3]Extended!$B$9:$G$101,6,FALSE),VLOOKUP(D1220,[3]Extended!$B$9:$H$101,7,FALSE)))),0)</f>
        <v>0</v>
      </c>
      <c r="O1220" s="269">
        <f>IFERROR(IF(BA1220="WIP - 30 Days",VLOOKUP(D1220,[3]Extended!$B$9:$J$101,9,FALSE),IF(BA1220="31-120 Days",VLOOKUP(D1220,[3]Extended!$B$9:$K$101,10,FALSE),IF(BA1220="121-365 Days",VLOOKUP(D1220,[3]Extended!$B$9:$L$101,11,FALSE),VLOOKUP(D1220,[3]Extended!$B$9:$M$101,12,FALSE)))),0)</f>
        <v>0</v>
      </c>
      <c r="P1220" s="116" t="e">
        <f t="shared" si="91"/>
        <v>#VALUE!</v>
      </c>
      <c r="Q1220" s="110" t="e">
        <f>O1220-#REF!</f>
        <v>#REF!</v>
      </c>
      <c r="W1220" s="311"/>
      <c r="X1220" s="311"/>
      <c r="Y1220" s="311"/>
      <c r="Z1220" s="311"/>
      <c r="AA1220" s="311"/>
      <c r="AB1220" s="311"/>
      <c r="AC1220" s="311"/>
      <c r="AT1220" s="88" t="str">
        <f t="shared" si="92"/>
        <v>Special Order0</v>
      </c>
      <c r="AU1220" s="89" t="str">
        <f t="shared" si="93"/>
        <v>01-1900</v>
      </c>
      <c r="BA1220" s="92" t="str">
        <f t="shared" si="94"/>
        <v/>
      </c>
    </row>
    <row r="1221" spans="2:53">
      <c r="B1221" s="60">
        <f>[2]Trucks!A1218</f>
        <v>0</v>
      </c>
      <c r="C1221" s="11">
        <f>[2]Trucks!B1218</f>
        <v>0</v>
      </c>
      <c r="D1221" s="19" t="str">
        <f>IFERROR(VLOOKUP(C1221&amp;"",'[2]Retail Price List'!$A$3:$B$103,2,FALSE),"Special Order")</f>
        <v>Special Order</v>
      </c>
      <c r="E1221" s="18">
        <f>[2]Trucks!J1218</f>
        <v>0</v>
      </c>
      <c r="F1221" s="12">
        <f>[2]Trucks!E1218</f>
        <v>0</v>
      </c>
      <c r="G1221" s="56">
        <f>[2]Trucks!K1218</f>
        <v>0</v>
      </c>
      <c r="H1221" s="46">
        <f>[2]Trucks!I1218</f>
        <v>0</v>
      </c>
      <c r="I1221" s="83" t="str">
        <f t="shared" ref="I1221:I1284" si="95">IFERROR(VLOOKUP(AU1221,$AW$5:$AY$40,3,FALSE),"")</f>
        <v/>
      </c>
      <c r="J1221" s="272" t="str">
        <f>IFERROR(VLOOKUP((D1221&amp;C1221)&amp;"",'[2]Retail Price List'!$C$4:$F$102,3,FALSE),"")</f>
        <v/>
      </c>
      <c r="K1221" s="272">
        <f>IFERROR(IF(BA1221="WIP - 30 Days",VLOOKUP(D1221,[3]Standard!$B$9:$E$101,4,FALSE),IF(BA1221="31-120 Days",VLOOKUP(D1221,[3]Standard!$B$9:$F$101,5,FALSE),IF(BA1221="121-365 Days",VLOOKUP(D1221,[3]Standard!$B$9:$G$101,6,FALSE),VLOOKUP(D1221,[3]Standard!$B$9:$H$101,7,FALSE)))),0)</f>
        <v>0</v>
      </c>
      <c r="L1221" s="272">
        <f>IFERROR(IF(BA1221="WIP - 30 Days",VLOOKUP(D1221,[3]Standard!$B$9:$J$101,9,FALSE),IF(BA1221="31-120 Days",VLOOKUP(D1221,[3]Standard!$B$9:$K$100,10,FALSE),IF(BA1221="121-365 Days",VLOOKUP(D1221,[3]Standard!$B$9:$L$101,11,FALSE),VLOOKUP(D1221,[3]Standard!$B$9:$M$101,12,FALSE)))),0)</f>
        <v>0</v>
      </c>
      <c r="M1221" s="269" t="str">
        <f>IFERROR(VLOOKUP((D1221&amp;C1221)&amp;"",'[2]Retail Price List'!$C$4:$F$102,4,FALSE),"")</f>
        <v/>
      </c>
      <c r="N1221" s="269">
        <f>IFERROR(IF(BA1221="WIP - 30 Days",VLOOKUP(D1221,[3]Extended!$B$9:$E$101,4,FALSE),IF(BA1221="31-120 Days",VLOOKUP(D1221,[3]Extended!$B$9:$F$101,5,FALSE),IF(BA1221="121-365 Days",VLOOKUP(D1221,[3]Extended!$B$9:$G$101,6,FALSE),VLOOKUP(D1221,[3]Extended!$B$9:$H$101,7,FALSE)))),0)</f>
        <v>0</v>
      </c>
      <c r="O1221" s="269">
        <f>IFERROR(IF(BA1221="WIP - 30 Days",VLOOKUP(D1221,[3]Extended!$B$9:$J$101,9,FALSE),IF(BA1221="31-120 Days",VLOOKUP(D1221,[3]Extended!$B$9:$K$101,10,FALSE),IF(BA1221="121-365 Days",VLOOKUP(D1221,[3]Extended!$B$9:$L$101,11,FALSE),VLOOKUP(D1221,[3]Extended!$B$9:$M$101,12,FALSE)))),0)</f>
        <v>0</v>
      </c>
      <c r="P1221" s="116" t="e">
        <f t="shared" ref="P1221:P1284" si="96">(M1221-O1221)/M1221</f>
        <v>#VALUE!</v>
      </c>
      <c r="Q1221" s="110" t="e">
        <f>O1221-#REF!</f>
        <v>#REF!</v>
      </c>
      <c r="W1221" s="311"/>
      <c r="X1221" s="311"/>
      <c r="Y1221" s="311"/>
      <c r="Z1221" s="311"/>
      <c r="AA1221" s="311"/>
      <c r="AB1221" s="311"/>
      <c r="AC1221" s="311"/>
      <c r="AT1221" s="88" t="str">
        <f t="shared" ref="AT1221:AT1284" si="97">D1221&amp;I1221&amp;G1221</f>
        <v>Special Order0</v>
      </c>
      <c r="AU1221" s="89" t="str">
        <f t="shared" ref="AU1221:AU1284" si="98">IF(MONTH(H1221)&lt;10,0&amp;MONTH(H1221)&amp;"-"&amp;YEAR(H1221),MONTH(H1221)&amp;"-"&amp;YEAR(H1221))</f>
        <v>01-1900</v>
      </c>
      <c r="BA1221" s="92" t="str">
        <f t="shared" ref="BA1221:BA1284" si="99">IF(B1221=0,"",IF(AND(F1221&gt;=31,F1221&lt;=120),"31-120 Days",IF(AND(F1221&gt;=121,F1221&lt;=365),"121-365 Days",IF(OR(E1221="CKD",F1221&lt;=30),"WIP - 30 Days","&gt;365 Days"))))</f>
        <v/>
      </c>
    </row>
    <row r="1222" spans="2:53">
      <c r="B1222" s="60">
        <f>[2]Trucks!A1219</f>
        <v>0</v>
      </c>
      <c r="C1222" s="11">
        <f>[2]Trucks!B1219</f>
        <v>0</v>
      </c>
      <c r="D1222" s="19" t="str">
        <f>IFERROR(VLOOKUP(C1222&amp;"",'[2]Retail Price List'!$A$3:$B$103,2,FALSE),"Special Order")</f>
        <v>Special Order</v>
      </c>
      <c r="E1222" s="18">
        <f>[2]Trucks!J1219</f>
        <v>0</v>
      </c>
      <c r="F1222" s="12">
        <f>[2]Trucks!E1219</f>
        <v>0</v>
      </c>
      <c r="G1222" s="56">
        <f>[2]Trucks!K1219</f>
        <v>0</v>
      </c>
      <c r="H1222" s="46">
        <f>[2]Trucks!I1219</f>
        <v>0</v>
      </c>
      <c r="I1222" s="83" t="str">
        <f t="shared" si="95"/>
        <v/>
      </c>
      <c r="J1222" s="272" t="str">
        <f>IFERROR(VLOOKUP((D1222&amp;C1222)&amp;"",'[2]Retail Price List'!$C$4:$F$102,3,FALSE),"")</f>
        <v/>
      </c>
      <c r="K1222" s="272">
        <f>IFERROR(IF(BA1222="WIP - 30 Days",VLOOKUP(D1222,[3]Standard!$B$9:$E$101,4,FALSE),IF(BA1222="31-120 Days",VLOOKUP(D1222,[3]Standard!$B$9:$F$101,5,FALSE),IF(BA1222="121-365 Days",VLOOKUP(D1222,[3]Standard!$B$9:$G$101,6,FALSE),VLOOKUP(D1222,[3]Standard!$B$9:$H$101,7,FALSE)))),0)</f>
        <v>0</v>
      </c>
      <c r="L1222" s="272">
        <f>IFERROR(IF(BA1222="WIP - 30 Days",VLOOKUP(D1222,[3]Standard!$B$9:$J$101,9,FALSE),IF(BA1222="31-120 Days",VLOOKUP(D1222,[3]Standard!$B$9:$K$100,10,FALSE),IF(BA1222="121-365 Days",VLOOKUP(D1222,[3]Standard!$B$9:$L$101,11,FALSE),VLOOKUP(D1222,[3]Standard!$B$9:$M$101,12,FALSE)))),0)</f>
        <v>0</v>
      </c>
      <c r="M1222" s="269" t="str">
        <f>IFERROR(VLOOKUP((D1222&amp;C1222)&amp;"",'[2]Retail Price List'!$C$4:$F$102,4,FALSE),"")</f>
        <v/>
      </c>
      <c r="N1222" s="269">
        <f>IFERROR(IF(BA1222="WIP - 30 Days",VLOOKUP(D1222,[3]Extended!$B$9:$E$101,4,FALSE),IF(BA1222="31-120 Days",VLOOKUP(D1222,[3]Extended!$B$9:$F$101,5,FALSE),IF(BA1222="121-365 Days",VLOOKUP(D1222,[3]Extended!$B$9:$G$101,6,FALSE),VLOOKUP(D1222,[3]Extended!$B$9:$H$101,7,FALSE)))),0)</f>
        <v>0</v>
      </c>
      <c r="O1222" s="269">
        <f>IFERROR(IF(BA1222="WIP - 30 Days",VLOOKUP(D1222,[3]Extended!$B$9:$J$101,9,FALSE),IF(BA1222="31-120 Days",VLOOKUP(D1222,[3]Extended!$B$9:$K$101,10,FALSE),IF(BA1222="121-365 Days",VLOOKUP(D1222,[3]Extended!$B$9:$L$101,11,FALSE),VLOOKUP(D1222,[3]Extended!$B$9:$M$101,12,FALSE)))),0)</f>
        <v>0</v>
      </c>
      <c r="P1222" s="116" t="e">
        <f t="shared" si="96"/>
        <v>#VALUE!</v>
      </c>
      <c r="Q1222" s="110" t="e">
        <f>O1222-#REF!</f>
        <v>#REF!</v>
      </c>
      <c r="W1222" s="311"/>
      <c r="X1222" s="311"/>
      <c r="Y1222" s="311"/>
      <c r="Z1222" s="311"/>
      <c r="AA1222" s="311"/>
      <c r="AB1222" s="311"/>
      <c r="AC1222" s="311"/>
      <c r="AT1222" s="88" t="str">
        <f t="shared" si="97"/>
        <v>Special Order0</v>
      </c>
      <c r="AU1222" s="89" t="str">
        <f t="shared" si="98"/>
        <v>01-1900</v>
      </c>
      <c r="BA1222" s="92" t="str">
        <f t="shared" si="99"/>
        <v/>
      </c>
    </row>
    <row r="1223" spans="2:53">
      <c r="B1223" s="60">
        <f>[2]Trucks!A1220</f>
        <v>0</v>
      </c>
      <c r="C1223" s="11">
        <f>[2]Trucks!B1220</f>
        <v>0</v>
      </c>
      <c r="D1223" s="19" t="str">
        <f>IFERROR(VLOOKUP(C1223&amp;"",'[2]Retail Price List'!$A$3:$B$103,2,FALSE),"Special Order")</f>
        <v>Special Order</v>
      </c>
      <c r="E1223" s="18">
        <f>[2]Trucks!J1220</f>
        <v>0</v>
      </c>
      <c r="F1223" s="12">
        <f>[2]Trucks!E1220</f>
        <v>0</v>
      </c>
      <c r="G1223" s="56">
        <f>[2]Trucks!K1220</f>
        <v>0</v>
      </c>
      <c r="H1223" s="46">
        <f>[2]Trucks!I1220</f>
        <v>0</v>
      </c>
      <c r="I1223" s="83" t="str">
        <f t="shared" si="95"/>
        <v/>
      </c>
      <c r="J1223" s="272" t="str">
        <f>IFERROR(VLOOKUP((D1223&amp;C1223)&amp;"",'[2]Retail Price List'!$C$4:$F$102,3,FALSE),"")</f>
        <v/>
      </c>
      <c r="K1223" s="272">
        <f>IFERROR(IF(BA1223="WIP - 30 Days",VLOOKUP(D1223,[3]Standard!$B$9:$E$101,4,FALSE),IF(BA1223="31-120 Days",VLOOKUP(D1223,[3]Standard!$B$9:$F$101,5,FALSE),IF(BA1223="121-365 Days",VLOOKUP(D1223,[3]Standard!$B$9:$G$101,6,FALSE),VLOOKUP(D1223,[3]Standard!$B$9:$H$101,7,FALSE)))),0)</f>
        <v>0</v>
      </c>
      <c r="L1223" s="272">
        <f>IFERROR(IF(BA1223="WIP - 30 Days",VLOOKUP(D1223,[3]Standard!$B$9:$J$101,9,FALSE),IF(BA1223="31-120 Days",VLOOKUP(D1223,[3]Standard!$B$9:$K$100,10,FALSE),IF(BA1223="121-365 Days",VLOOKUP(D1223,[3]Standard!$B$9:$L$101,11,FALSE),VLOOKUP(D1223,[3]Standard!$B$9:$M$101,12,FALSE)))),0)</f>
        <v>0</v>
      </c>
      <c r="M1223" s="269" t="str">
        <f>IFERROR(VLOOKUP((D1223&amp;C1223)&amp;"",'[2]Retail Price List'!$C$4:$F$102,4,FALSE),"")</f>
        <v/>
      </c>
      <c r="N1223" s="269">
        <f>IFERROR(IF(BA1223="WIP - 30 Days",VLOOKUP(D1223,[3]Extended!$B$9:$E$101,4,FALSE),IF(BA1223="31-120 Days",VLOOKUP(D1223,[3]Extended!$B$9:$F$101,5,FALSE),IF(BA1223="121-365 Days",VLOOKUP(D1223,[3]Extended!$B$9:$G$101,6,FALSE),VLOOKUP(D1223,[3]Extended!$B$9:$H$101,7,FALSE)))),0)</f>
        <v>0</v>
      </c>
      <c r="O1223" s="269">
        <f>IFERROR(IF(BA1223="WIP - 30 Days",VLOOKUP(D1223,[3]Extended!$B$9:$J$101,9,FALSE),IF(BA1223="31-120 Days",VLOOKUP(D1223,[3]Extended!$B$9:$K$101,10,FALSE),IF(BA1223="121-365 Days",VLOOKUP(D1223,[3]Extended!$B$9:$L$101,11,FALSE),VLOOKUP(D1223,[3]Extended!$B$9:$M$101,12,FALSE)))),0)</f>
        <v>0</v>
      </c>
      <c r="P1223" s="116" t="e">
        <f t="shared" si="96"/>
        <v>#VALUE!</v>
      </c>
      <c r="Q1223" s="110" t="e">
        <f>O1223-#REF!</f>
        <v>#REF!</v>
      </c>
      <c r="W1223" s="311"/>
      <c r="X1223" s="311"/>
      <c r="Y1223" s="311"/>
      <c r="Z1223" s="311"/>
      <c r="AA1223" s="311"/>
      <c r="AB1223" s="311"/>
      <c r="AC1223" s="311"/>
      <c r="AT1223" s="88" t="str">
        <f t="shared" si="97"/>
        <v>Special Order0</v>
      </c>
      <c r="AU1223" s="89" t="str">
        <f t="shared" si="98"/>
        <v>01-1900</v>
      </c>
      <c r="BA1223" s="92" t="str">
        <f t="shared" si="99"/>
        <v/>
      </c>
    </row>
    <row r="1224" spans="2:53">
      <c r="B1224" s="60">
        <f>[2]Trucks!A1221</f>
        <v>0</v>
      </c>
      <c r="C1224" s="11">
        <f>[2]Trucks!B1221</f>
        <v>0</v>
      </c>
      <c r="D1224" s="19" t="str">
        <f>IFERROR(VLOOKUP(C1224&amp;"",'[2]Retail Price List'!$A$3:$B$103,2,FALSE),"Special Order")</f>
        <v>Special Order</v>
      </c>
      <c r="E1224" s="18">
        <f>[2]Trucks!J1221</f>
        <v>0</v>
      </c>
      <c r="F1224" s="12">
        <f>[2]Trucks!E1221</f>
        <v>0</v>
      </c>
      <c r="G1224" s="56">
        <f>[2]Trucks!K1221</f>
        <v>0</v>
      </c>
      <c r="H1224" s="46">
        <f>[2]Trucks!I1221</f>
        <v>0</v>
      </c>
      <c r="I1224" s="83" t="str">
        <f t="shared" si="95"/>
        <v/>
      </c>
      <c r="J1224" s="272" t="str">
        <f>IFERROR(VLOOKUP((D1224&amp;C1224)&amp;"",'[2]Retail Price List'!$C$4:$F$102,3,FALSE),"")</f>
        <v/>
      </c>
      <c r="K1224" s="272">
        <f>IFERROR(IF(BA1224="WIP - 30 Days",VLOOKUP(D1224,[3]Standard!$B$9:$E$101,4,FALSE),IF(BA1224="31-120 Days",VLOOKUP(D1224,[3]Standard!$B$9:$F$101,5,FALSE),IF(BA1224="121-365 Days",VLOOKUP(D1224,[3]Standard!$B$9:$G$101,6,FALSE),VLOOKUP(D1224,[3]Standard!$B$9:$H$101,7,FALSE)))),0)</f>
        <v>0</v>
      </c>
      <c r="L1224" s="272">
        <f>IFERROR(IF(BA1224="WIP - 30 Days",VLOOKUP(D1224,[3]Standard!$B$9:$J$101,9,FALSE),IF(BA1224="31-120 Days",VLOOKUP(D1224,[3]Standard!$B$9:$K$100,10,FALSE),IF(BA1224="121-365 Days",VLOOKUP(D1224,[3]Standard!$B$9:$L$101,11,FALSE),VLOOKUP(D1224,[3]Standard!$B$9:$M$101,12,FALSE)))),0)</f>
        <v>0</v>
      </c>
      <c r="M1224" s="269" t="str">
        <f>IFERROR(VLOOKUP((D1224&amp;C1224)&amp;"",'[2]Retail Price List'!$C$4:$F$102,4,FALSE),"")</f>
        <v/>
      </c>
      <c r="N1224" s="269">
        <f>IFERROR(IF(BA1224="WIP - 30 Days",VLOOKUP(D1224,[3]Extended!$B$9:$E$101,4,FALSE),IF(BA1224="31-120 Days",VLOOKUP(D1224,[3]Extended!$B$9:$F$101,5,FALSE),IF(BA1224="121-365 Days",VLOOKUP(D1224,[3]Extended!$B$9:$G$101,6,FALSE),VLOOKUP(D1224,[3]Extended!$B$9:$H$101,7,FALSE)))),0)</f>
        <v>0</v>
      </c>
      <c r="O1224" s="269">
        <f>IFERROR(IF(BA1224="WIP - 30 Days",VLOOKUP(D1224,[3]Extended!$B$9:$J$101,9,FALSE),IF(BA1224="31-120 Days",VLOOKUP(D1224,[3]Extended!$B$9:$K$101,10,FALSE),IF(BA1224="121-365 Days",VLOOKUP(D1224,[3]Extended!$B$9:$L$101,11,FALSE),VLOOKUP(D1224,[3]Extended!$B$9:$M$101,12,FALSE)))),0)</f>
        <v>0</v>
      </c>
      <c r="P1224" s="116" t="e">
        <f t="shared" si="96"/>
        <v>#VALUE!</v>
      </c>
      <c r="Q1224" s="110" t="e">
        <f>O1224-#REF!</f>
        <v>#REF!</v>
      </c>
      <c r="W1224" s="311"/>
      <c r="X1224" s="311"/>
      <c r="Y1224" s="311"/>
      <c r="Z1224" s="311"/>
      <c r="AA1224" s="311"/>
      <c r="AB1224" s="311"/>
      <c r="AC1224" s="311"/>
      <c r="AT1224" s="88" t="str">
        <f t="shared" si="97"/>
        <v>Special Order0</v>
      </c>
      <c r="AU1224" s="89" t="str">
        <f t="shared" si="98"/>
        <v>01-1900</v>
      </c>
      <c r="BA1224" s="92" t="str">
        <f t="shared" si="99"/>
        <v/>
      </c>
    </row>
    <row r="1225" spans="2:53">
      <c r="B1225" s="60">
        <f>[2]Trucks!A1222</f>
        <v>0</v>
      </c>
      <c r="C1225" s="11">
        <f>[2]Trucks!B1222</f>
        <v>0</v>
      </c>
      <c r="D1225" s="19" t="str">
        <f>IFERROR(VLOOKUP(C1225&amp;"",'[2]Retail Price List'!$A$3:$B$103,2,FALSE),"Special Order")</f>
        <v>Special Order</v>
      </c>
      <c r="E1225" s="18">
        <f>[2]Trucks!J1222</f>
        <v>0</v>
      </c>
      <c r="F1225" s="12">
        <f>[2]Trucks!E1222</f>
        <v>0</v>
      </c>
      <c r="G1225" s="56">
        <f>[2]Trucks!K1222</f>
        <v>0</v>
      </c>
      <c r="H1225" s="46">
        <f>[2]Trucks!I1222</f>
        <v>0</v>
      </c>
      <c r="I1225" s="83" t="str">
        <f t="shared" si="95"/>
        <v/>
      </c>
      <c r="J1225" s="272" t="str">
        <f>IFERROR(VLOOKUP((D1225&amp;C1225)&amp;"",'[2]Retail Price List'!$C$4:$F$102,3,FALSE),"")</f>
        <v/>
      </c>
      <c r="K1225" s="272">
        <f>IFERROR(IF(BA1225="WIP - 30 Days",VLOOKUP(D1225,[3]Standard!$B$9:$E$101,4,FALSE),IF(BA1225="31-120 Days",VLOOKUP(D1225,[3]Standard!$B$9:$F$101,5,FALSE),IF(BA1225="121-365 Days",VLOOKUP(D1225,[3]Standard!$B$9:$G$101,6,FALSE),VLOOKUP(D1225,[3]Standard!$B$9:$H$101,7,FALSE)))),0)</f>
        <v>0</v>
      </c>
      <c r="L1225" s="272">
        <f>IFERROR(IF(BA1225="WIP - 30 Days",VLOOKUP(D1225,[3]Standard!$B$9:$J$101,9,FALSE),IF(BA1225="31-120 Days",VLOOKUP(D1225,[3]Standard!$B$9:$K$100,10,FALSE),IF(BA1225="121-365 Days",VLOOKUP(D1225,[3]Standard!$B$9:$L$101,11,FALSE),VLOOKUP(D1225,[3]Standard!$B$9:$M$101,12,FALSE)))),0)</f>
        <v>0</v>
      </c>
      <c r="M1225" s="269" t="str">
        <f>IFERROR(VLOOKUP((D1225&amp;C1225)&amp;"",'[2]Retail Price List'!$C$4:$F$102,4,FALSE),"")</f>
        <v/>
      </c>
      <c r="N1225" s="269">
        <f>IFERROR(IF(BA1225="WIP - 30 Days",VLOOKUP(D1225,[3]Extended!$B$9:$E$101,4,FALSE),IF(BA1225="31-120 Days",VLOOKUP(D1225,[3]Extended!$B$9:$F$101,5,FALSE),IF(BA1225="121-365 Days",VLOOKUP(D1225,[3]Extended!$B$9:$G$101,6,FALSE),VLOOKUP(D1225,[3]Extended!$B$9:$H$101,7,FALSE)))),0)</f>
        <v>0</v>
      </c>
      <c r="O1225" s="269">
        <f>IFERROR(IF(BA1225="WIP - 30 Days",VLOOKUP(D1225,[3]Extended!$B$9:$J$101,9,FALSE),IF(BA1225="31-120 Days",VLOOKUP(D1225,[3]Extended!$B$9:$K$101,10,FALSE),IF(BA1225="121-365 Days",VLOOKUP(D1225,[3]Extended!$B$9:$L$101,11,FALSE),VLOOKUP(D1225,[3]Extended!$B$9:$M$101,12,FALSE)))),0)</f>
        <v>0</v>
      </c>
      <c r="P1225" s="116" t="e">
        <f t="shared" si="96"/>
        <v>#VALUE!</v>
      </c>
      <c r="Q1225" s="110" t="e">
        <f>O1225-#REF!</f>
        <v>#REF!</v>
      </c>
      <c r="W1225" s="311"/>
      <c r="X1225" s="311"/>
      <c r="Y1225" s="311"/>
      <c r="Z1225" s="311"/>
      <c r="AA1225" s="311"/>
      <c r="AB1225" s="311"/>
      <c r="AC1225" s="311"/>
      <c r="AT1225" s="88" t="str">
        <f t="shared" si="97"/>
        <v>Special Order0</v>
      </c>
      <c r="AU1225" s="89" t="str">
        <f t="shared" si="98"/>
        <v>01-1900</v>
      </c>
      <c r="BA1225" s="92" t="str">
        <f t="shared" si="99"/>
        <v/>
      </c>
    </row>
    <row r="1226" spans="2:53">
      <c r="B1226" s="60">
        <f>[2]Trucks!A1223</f>
        <v>0</v>
      </c>
      <c r="C1226" s="11">
        <f>[2]Trucks!B1223</f>
        <v>0</v>
      </c>
      <c r="D1226" s="19" t="str">
        <f>IFERROR(VLOOKUP(C1226&amp;"",'[2]Retail Price List'!$A$3:$B$103,2,FALSE),"Special Order")</f>
        <v>Special Order</v>
      </c>
      <c r="E1226" s="18">
        <f>[2]Trucks!J1223</f>
        <v>0</v>
      </c>
      <c r="F1226" s="12">
        <f>[2]Trucks!E1223</f>
        <v>0</v>
      </c>
      <c r="G1226" s="56">
        <f>[2]Trucks!K1223</f>
        <v>0</v>
      </c>
      <c r="H1226" s="46">
        <f>[2]Trucks!I1223</f>
        <v>0</v>
      </c>
      <c r="I1226" s="83" t="str">
        <f t="shared" si="95"/>
        <v/>
      </c>
      <c r="J1226" s="272" t="str">
        <f>IFERROR(VLOOKUP((D1226&amp;C1226)&amp;"",'[2]Retail Price List'!$C$4:$F$102,3,FALSE),"")</f>
        <v/>
      </c>
      <c r="K1226" s="272">
        <f>IFERROR(IF(BA1226="WIP - 30 Days",VLOOKUP(D1226,[3]Standard!$B$9:$E$101,4,FALSE),IF(BA1226="31-120 Days",VLOOKUP(D1226,[3]Standard!$B$9:$F$101,5,FALSE),IF(BA1226="121-365 Days",VLOOKUP(D1226,[3]Standard!$B$9:$G$101,6,FALSE),VLOOKUP(D1226,[3]Standard!$B$9:$H$101,7,FALSE)))),0)</f>
        <v>0</v>
      </c>
      <c r="L1226" s="272">
        <f>IFERROR(IF(BA1226="WIP - 30 Days",VLOOKUP(D1226,[3]Standard!$B$9:$J$101,9,FALSE),IF(BA1226="31-120 Days",VLOOKUP(D1226,[3]Standard!$B$9:$K$100,10,FALSE),IF(BA1226="121-365 Days",VLOOKUP(D1226,[3]Standard!$B$9:$L$101,11,FALSE),VLOOKUP(D1226,[3]Standard!$B$9:$M$101,12,FALSE)))),0)</f>
        <v>0</v>
      </c>
      <c r="M1226" s="269" t="str">
        <f>IFERROR(VLOOKUP((D1226&amp;C1226)&amp;"",'[2]Retail Price List'!$C$4:$F$102,4,FALSE),"")</f>
        <v/>
      </c>
      <c r="N1226" s="269">
        <f>IFERROR(IF(BA1226="WIP - 30 Days",VLOOKUP(D1226,[3]Extended!$B$9:$E$101,4,FALSE),IF(BA1226="31-120 Days",VLOOKUP(D1226,[3]Extended!$B$9:$F$101,5,FALSE),IF(BA1226="121-365 Days",VLOOKUP(D1226,[3]Extended!$B$9:$G$101,6,FALSE),VLOOKUP(D1226,[3]Extended!$B$9:$H$101,7,FALSE)))),0)</f>
        <v>0</v>
      </c>
      <c r="O1226" s="269">
        <f>IFERROR(IF(BA1226="WIP - 30 Days",VLOOKUP(D1226,[3]Extended!$B$9:$J$101,9,FALSE),IF(BA1226="31-120 Days",VLOOKUP(D1226,[3]Extended!$B$9:$K$101,10,FALSE),IF(BA1226="121-365 Days",VLOOKUP(D1226,[3]Extended!$B$9:$L$101,11,FALSE),VLOOKUP(D1226,[3]Extended!$B$9:$M$101,12,FALSE)))),0)</f>
        <v>0</v>
      </c>
      <c r="P1226" s="116" t="e">
        <f t="shared" si="96"/>
        <v>#VALUE!</v>
      </c>
      <c r="Q1226" s="110" t="e">
        <f>O1226-#REF!</f>
        <v>#REF!</v>
      </c>
      <c r="W1226" s="311"/>
      <c r="X1226" s="311"/>
      <c r="Y1226" s="311"/>
      <c r="Z1226" s="311"/>
      <c r="AA1226" s="311"/>
      <c r="AB1226" s="311"/>
      <c r="AC1226" s="311"/>
      <c r="AT1226" s="88" t="str">
        <f t="shared" si="97"/>
        <v>Special Order0</v>
      </c>
      <c r="AU1226" s="89" t="str">
        <f t="shared" si="98"/>
        <v>01-1900</v>
      </c>
      <c r="BA1226" s="92" t="str">
        <f t="shared" si="99"/>
        <v/>
      </c>
    </row>
    <row r="1227" spans="2:53">
      <c r="B1227" s="60">
        <f>[2]Trucks!A1224</f>
        <v>0</v>
      </c>
      <c r="C1227" s="11">
        <f>[2]Trucks!B1224</f>
        <v>0</v>
      </c>
      <c r="D1227" s="19" t="str">
        <f>IFERROR(VLOOKUP(C1227&amp;"",'[2]Retail Price List'!$A$3:$B$103,2,FALSE),"Special Order")</f>
        <v>Special Order</v>
      </c>
      <c r="E1227" s="18">
        <f>[2]Trucks!J1224</f>
        <v>0</v>
      </c>
      <c r="F1227" s="12">
        <f>[2]Trucks!E1224</f>
        <v>0</v>
      </c>
      <c r="G1227" s="56">
        <f>[2]Trucks!K1224</f>
        <v>0</v>
      </c>
      <c r="H1227" s="46">
        <f>[2]Trucks!I1224</f>
        <v>0</v>
      </c>
      <c r="I1227" s="83" t="str">
        <f t="shared" si="95"/>
        <v/>
      </c>
      <c r="J1227" s="272" t="str">
        <f>IFERROR(VLOOKUP((D1227&amp;C1227)&amp;"",'[2]Retail Price List'!$C$4:$F$102,3,FALSE),"")</f>
        <v/>
      </c>
      <c r="K1227" s="272">
        <f>IFERROR(IF(BA1227="WIP - 30 Days",VLOOKUP(D1227,[3]Standard!$B$9:$E$101,4,FALSE),IF(BA1227="31-120 Days",VLOOKUP(D1227,[3]Standard!$B$9:$F$101,5,FALSE),IF(BA1227="121-365 Days",VLOOKUP(D1227,[3]Standard!$B$9:$G$101,6,FALSE),VLOOKUP(D1227,[3]Standard!$B$9:$H$101,7,FALSE)))),0)</f>
        <v>0</v>
      </c>
      <c r="L1227" s="272">
        <f>IFERROR(IF(BA1227="WIP - 30 Days",VLOOKUP(D1227,[3]Standard!$B$9:$J$101,9,FALSE),IF(BA1227="31-120 Days",VLOOKUP(D1227,[3]Standard!$B$9:$K$100,10,FALSE),IF(BA1227="121-365 Days",VLOOKUP(D1227,[3]Standard!$B$9:$L$101,11,FALSE),VLOOKUP(D1227,[3]Standard!$B$9:$M$101,12,FALSE)))),0)</f>
        <v>0</v>
      </c>
      <c r="M1227" s="269" t="str">
        <f>IFERROR(VLOOKUP((D1227&amp;C1227)&amp;"",'[2]Retail Price List'!$C$4:$F$102,4,FALSE),"")</f>
        <v/>
      </c>
      <c r="N1227" s="269">
        <f>IFERROR(IF(BA1227="WIP - 30 Days",VLOOKUP(D1227,[3]Extended!$B$9:$E$101,4,FALSE),IF(BA1227="31-120 Days",VLOOKUP(D1227,[3]Extended!$B$9:$F$101,5,FALSE),IF(BA1227="121-365 Days",VLOOKUP(D1227,[3]Extended!$B$9:$G$101,6,FALSE),VLOOKUP(D1227,[3]Extended!$B$9:$H$101,7,FALSE)))),0)</f>
        <v>0</v>
      </c>
      <c r="O1227" s="269">
        <f>IFERROR(IF(BA1227="WIP - 30 Days",VLOOKUP(D1227,[3]Extended!$B$9:$J$101,9,FALSE),IF(BA1227="31-120 Days",VLOOKUP(D1227,[3]Extended!$B$9:$K$101,10,FALSE),IF(BA1227="121-365 Days",VLOOKUP(D1227,[3]Extended!$B$9:$L$101,11,FALSE),VLOOKUP(D1227,[3]Extended!$B$9:$M$101,12,FALSE)))),0)</f>
        <v>0</v>
      </c>
      <c r="P1227" s="116" t="e">
        <f t="shared" si="96"/>
        <v>#VALUE!</v>
      </c>
      <c r="Q1227" s="110" t="e">
        <f>O1227-#REF!</f>
        <v>#REF!</v>
      </c>
      <c r="W1227" s="311"/>
      <c r="X1227" s="311"/>
      <c r="Y1227" s="311"/>
      <c r="Z1227" s="311"/>
      <c r="AA1227" s="311"/>
      <c r="AB1227" s="311"/>
      <c r="AC1227" s="311"/>
      <c r="AT1227" s="88" t="str">
        <f t="shared" si="97"/>
        <v>Special Order0</v>
      </c>
      <c r="AU1227" s="89" t="str">
        <f t="shared" si="98"/>
        <v>01-1900</v>
      </c>
      <c r="BA1227" s="92" t="str">
        <f t="shared" si="99"/>
        <v/>
      </c>
    </row>
    <row r="1228" spans="2:53">
      <c r="B1228" s="60">
        <f>[2]Trucks!A1225</f>
        <v>0</v>
      </c>
      <c r="C1228" s="11">
        <f>[2]Trucks!B1225</f>
        <v>0</v>
      </c>
      <c r="D1228" s="19" t="str">
        <f>IFERROR(VLOOKUP(C1228&amp;"",'[2]Retail Price List'!$A$3:$B$103,2,FALSE),"Special Order")</f>
        <v>Special Order</v>
      </c>
      <c r="E1228" s="18">
        <f>[2]Trucks!J1225</f>
        <v>0</v>
      </c>
      <c r="F1228" s="12">
        <f>[2]Trucks!E1225</f>
        <v>0</v>
      </c>
      <c r="G1228" s="56">
        <f>[2]Trucks!K1225</f>
        <v>0</v>
      </c>
      <c r="H1228" s="46">
        <f>[2]Trucks!I1225</f>
        <v>0</v>
      </c>
      <c r="I1228" s="83" t="str">
        <f t="shared" si="95"/>
        <v/>
      </c>
      <c r="J1228" s="272" t="str">
        <f>IFERROR(VLOOKUP((D1228&amp;C1228)&amp;"",'[2]Retail Price List'!$C$4:$F$102,3,FALSE),"")</f>
        <v/>
      </c>
      <c r="K1228" s="272">
        <f>IFERROR(IF(BA1228="WIP - 30 Days",VLOOKUP(D1228,[3]Standard!$B$9:$E$101,4,FALSE),IF(BA1228="31-120 Days",VLOOKUP(D1228,[3]Standard!$B$9:$F$101,5,FALSE),IF(BA1228="121-365 Days",VLOOKUP(D1228,[3]Standard!$B$9:$G$101,6,FALSE),VLOOKUP(D1228,[3]Standard!$B$9:$H$101,7,FALSE)))),0)</f>
        <v>0</v>
      </c>
      <c r="L1228" s="272">
        <f>IFERROR(IF(BA1228="WIP - 30 Days",VLOOKUP(D1228,[3]Standard!$B$9:$J$101,9,FALSE),IF(BA1228="31-120 Days",VLOOKUP(D1228,[3]Standard!$B$9:$K$100,10,FALSE),IF(BA1228="121-365 Days",VLOOKUP(D1228,[3]Standard!$B$9:$L$101,11,FALSE),VLOOKUP(D1228,[3]Standard!$B$9:$M$101,12,FALSE)))),0)</f>
        <v>0</v>
      </c>
      <c r="M1228" s="269" t="str">
        <f>IFERROR(VLOOKUP((D1228&amp;C1228)&amp;"",'[2]Retail Price List'!$C$4:$F$102,4,FALSE),"")</f>
        <v/>
      </c>
      <c r="N1228" s="269">
        <f>IFERROR(IF(BA1228="WIP - 30 Days",VLOOKUP(D1228,[3]Extended!$B$9:$E$101,4,FALSE),IF(BA1228="31-120 Days",VLOOKUP(D1228,[3]Extended!$B$9:$F$101,5,FALSE),IF(BA1228="121-365 Days",VLOOKUP(D1228,[3]Extended!$B$9:$G$101,6,FALSE),VLOOKUP(D1228,[3]Extended!$B$9:$H$101,7,FALSE)))),0)</f>
        <v>0</v>
      </c>
      <c r="O1228" s="269">
        <f>IFERROR(IF(BA1228="WIP - 30 Days",VLOOKUP(D1228,[3]Extended!$B$9:$J$101,9,FALSE),IF(BA1228="31-120 Days",VLOOKUP(D1228,[3]Extended!$B$9:$K$101,10,FALSE),IF(BA1228="121-365 Days",VLOOKUP(D1228,[3]Extended!$B$9:$L$101,11,FALSE),VLOOKUP(D1228,[3]Extended!$B$9:$M$101,12,FALSE)))),0)</f>
        <v>0</v>
      </c>
      <c r="P1228" s="116" t="e">
        <f t="shared" si="96"/>
        <v>#VALUE!</v>
      </c>
      <c r="Q1228" s="110" t="e">
        <f>O1228-#REF!</f>
        <v>#REF!</v>
      </c>
      <c r="W1228" s="311"/>
      <c r="X1228" s="311"/>
      <c r="Y1228" s="311"/>
      <c r="Z1228" s="311"/>
      <c r="AA1228" s="311"/>
      <c r="AB1228" s="311"/>
      <c r="AC1228" s="311"/>
      <c r="AT1228" s="88" t="str">
        <f t="shared" si="97"/>
        <v>Special Order0</v>
      </c>
      <c r="AU1228" s="89" t="str">
        <f t="shared" si="98"/>
        <v>01-1900</v>
      </c>
      <c r="BA1228" s="92" t="str">
        <f t="shared" si="99"/>
        <v/>
      </c>
    </row>
    <row r="1229" spans="2:53">
      <c r="B1229" s="60">
        <f>[2]Trucks!A1226</f>
        <v>0</v>
      </c>
      <c r="C1229" s="11">
        <f>[2]Trucks!B1226</f>
        <v>0</v>
      </c>
      <c r="D1229" s="19" t="str">
        <f>IFERROR(VLOOKUP(C1229&amp;"",'[2]Retail Price List'!$A$3:$B$103,2,FALSE),"Special Order")</f>
        <v>Special Order</v>
      </c>
      <c r="E1229" s="18">
        <f>[2]Trucks!J1226</f>
        <v>0</v>
      </c>
      <c r="F1229" s="12">
        <f>[2]Trucks!E1226</f>
        <v>0</v>
      </c>
      <c r="G1229" s="56">
        <f>[2]Trucks!K1226</f>
        <v>0</v>
      </c>
      <c r="H1229" s="46">
        <f>[2]Trucks!I1226</f>
        <v>0</v>
      </c>
      <c r="I1229" s="83" t="str">
        <f t="shared" si="95"/>
        <v/>
      </c>
      <c r="J1229" s="272" t="str">
        <f>IFERROR(VLOOKUP((D1229&amp;C1229)&amp;"",'[2]Retail Price List'!$C$4:$F$102,3,FALSE),"")</f>
        <v/>
      </c>
      <c r="K1229" s="272">
        <f>IFERROR(IF(BA1229="WIP - 30 Days",VLOOKUP(D1229,[3]Standard!$B$9:$E$101,4,FALSE),IF(BA1229="31-120 Days",VLOOKUP(D1229,[3]Standard!$B$9:$F$101,5,FALSE),IF(BA1229="121-365 Days",VLOOKUP(D1229,[3]Standard!$B$9:$G$101,6,FALSE),VLOOKUP(D1229,[3]Standard!$B$9:$H$101,7,FALSE)))),0)</f>
        <v>0</v>
      </c>
      <c r="L1229" s="272">
        <f>IFERROR(IF(BA1229="WIP - 30 Days",VLOOKUP(D1229,[3]Standard!$B$9:$J$101,9,FALSE),IF(BA1229="31-120 Days",VLOOKUP(D1229,[3]Standard!$B$9:$K$100,10,FALSE),IF(BA1229="121-365 Days",VLOOKUP(D1229,[3]Standard!$B$9:$L$101,11,FALSE),VLOOKUP(D1229,[3]Standard!$B$9:$M$101,12,FALSE)))),0)</f>
        <v>0</v>
      </c>
      <c r="M1229" s="269" t="str">
        <f>IFERROR(VLOOKUP((D1229&amp;C1229)&amp;"",'[2]Retail Price List'!$C$4:$F$102,4,FALSE),"")</f>
        <v/>
      </c>
      <c r="N1229" s="269">
        <f>IFERROR(IF(BA1229="WIP - 30 Days",VLOOKUP(D1229,[3]Extended!$B$9:$E$101,4,FALSE),IF(BA1229="31-120 Days",VLOOKUP(D1229,[3]Extended!$B$9:$F$101,5,FALSE),IF(BA1229="121-365 Days",VLOOKUP(D1229,[3]Extended!$B$9:$G$101,6,FALSE),VLOOKUP(D1229,[3]Extended!$B$9:$H$101,7,FALSE)))),0)</f>
        <v>0</v>
      </c>
      <c r="O1229" s="269">
        <f>IFERROR(IF(BA1229="WIP - 30 Days",VLOOKUP(D1229,[3]Extended!$B$9:$J$101,9,FALSE),IF(BA1229="31-120 Days",VLOOKUP(D1229,[3]Extended!$B$9:$K$101,10,FALSE),IF(BA1229="121-365 Days",VLOOKUP(D1229,[3]Extended!$B$9:$L$101,11,FALSE),VLOOKUP(D1229,[3]Extended!$B$9:$M$101,12,FALSE)))),0)</f>
        <v>0</v>
      </c>
      <c r="P1229" s="116" t="e">
        <f t="shared" si="96"/>
        <v>#VALUE!</v>
      </c>
      <c r="Q1229" s="110" t="e">
        <f>O1229-#REF!</f>
        <v>#REF!</v>
      </c>
      <c r="W1229" s="311"/>
      <c r="X1229" s="311"/>
      <c r="Y1229" s="311"/>
      <c r="Z1229" s="311"/>
      <c r="AA1229" s="311"/>
      <c r="AB1229" s="311"/>
      <c r="AC1229" s="311"/>
      <c r="AT1229" s="88" t="str">
        <f t="shared" si="97"/>
        <v>Special Order0</v>
      </c>
      <c r="AU1229" s="89" t="str">
        <f t="shared" si="98"/>
        <v>01-1900</v>
      </c>
      <c r="BA1229" s="92" t="str">
        <f t="shared" si="99"/>
        <v/>
      </c>
    </row>
    <row r="1230" spans="2:53">
      <c r="B1230" s="60">
        <f>[2]Trucks!A1227</f>
        <v>0</v>
      </c>
      <c r="C1230" s="11">
        <f>[2]Trucks!B1227</f>
        <v>0</v>
      </c>
      <c r="D1230" s="19" t="str">
        <f>IFERROR(VLOOKUP(C1230&amp;"",'[2]Retail Price List'!$A$3:$B$103,2,FALSE),"Special Order")</f>
        <v>Special Order</v>
      </c>
      <c r="E1230" s="18">
        <f>[2]Trucks!J1227</f>
        <v>0</v>
      </c>
      <c r="F1230" s="12">
        <f>[2]Trucks!E1227</f>
        <v>0</v>
      </c>
      <c r="G1230" s="56">
        <f>[2]Trucks!K1227</f>
        <v>0</v>
      </c>
      <c r="H1230" s="46">
        <f>[2]Trucks!I1227</f>
        <v>0</v>
      </c>
      <c r="I1230" s="83" t="str">
        <f t="shared" si="95"/>
        <v/>
      </c>
      <c r="J1230" s="272" t="str">
        <f>IFERROR(VLOOKUP((D1230&amp;C1230)&amp;"",'[2]Retail Price List'!$C$4:$F$102,3,FALSE),"")</f>
        <v/>
      </c>
      <c r="K1230" s="272">
        <f>IFERROR(IF(BA1230="WIP - 30 Days",VLOOKUP(D1230,[3]Standard!$B$9:$E$101,4,FALSE),IF(BA1230="31-120 Days",VLOOKUP(D1230,[3]Standard!$B$9:$F$101,5,FALSE),IF(BA1230="121-365 Days",VLOOKUP(D1230,[3]Standard!$B$9:$G$101,6,FALSE),VLOOKUP(D1230,[3]Standard!$B$9:$H$101,7,FALSE)))),0)</f>
        <v>0</v>
      </c>
      <c r="L1230" s="272">
        <f>IFERROR(IF(BA1230="WIP - 30 Days",VLOOKUP(D1230,[3]Standard!$B$9:$J$101,9,FALSE),IF(BA1230="31-120 Days",VLOOKUP(D1230,[3]Standard!$B$9:$K$100,10,FALSE),IF(BA1230="121-365 Days",VLOOKUP(D1230,[3]Standard!$B$9:$L$101,11,FALSE),VLOOKUP(D1230,[3]Standard!$B$9:$M$101,12,FALSE)))),0)</f>
        <v>0</v>
      </c>
      <c r="M1230" s="269" t="str">
        <f>IFERROR(VLOOKUP((D1230&amp;C1230)&amp;"",'[2]Retail Price List'!$C$4:$F$102,4,FALSE),"")</f>
        <v/>
      </c>
      <c r="N1230" s="269">
        <f>IFERROR(IF(BA1230="WIP - 30 Days",VLOOKUP(D1230,[3]Extended!$B$9:$E$101,4,FALSE),IF(BA1230="31-120 Days",VLOOKUP(D1230,[3]Extended!$B$9:$F$101,5,FALSE),IF(BA1230="121-365 Days",VLOOKUP(D1230,[3]Extended!$B$9:$G$101,6,FALSE),VLOOKUP(D1230,[3]Extended!$B$9:$H$101,7,FALSE)))),0)</f>
        <v>0</v>
      </c>
      <c r="O1230" s="269">
        <f>IFERROR(IF(BA1230="WIP - 30 Days",VLOOKUP(D1230,[3]Extended!$B$9:$J$101,9,FALSE),IF(BA1230="31-120 Days",VLOOKUP(D1230,[3]Extended!$B$9:$K$101,10,FALSE),IF(BA1230="121-365 Days",VLOOKUP(D1230,[3]Extended!$B$9:$L$101,11,FALSE),VLOOKUP(D1230,[3]Extended!$B$9:$M$101,12,FALSE)))),0)</f>
        <v>0</v>
      </c>
      <c r="P1230" s="116" t="e">
        <f t="shared" si="96"/>
        <v>#VALUE!</v>
      </c>
      <c r="Q1230" s="110" t="e">
        <f>O1230-#REF!</f>
        <v>#REF!</v>
      </c>
      <c r="W1230" s="311"/>
      <c r="X1230" s="311"/>
      <c r="Y1230" s="311"/>
      <c r="Z1230" s="311"/>
      <c r="AA1230" s="311"/>
      <c r="AB1230" s="311"/>
      <c r="AC1230" s="311"/>
      <c r="AT1230" s="88" t="str">
        <f t="shared" si="97"/>
        <v>Special Order0</v>
      </c>
      <c r="AU1230" s="89" t="str">
        <f t="shared" si="98"/>
        <v>01-1900</v>
      </c>
      <c r="BA1230" s="92" t="str">
        <f t="shared" si="99"/>
        <v/>
      </c>
    </row>
    <row r="1231" spans="2:53">
      <c r="B1231" s="60">
        <f>[2]Trucks!A1228</f>
        <v>0</v>
      </c>
      <c r="C1231" s="11">
        <f>[2]Trucks!B1228</f>
        <v>0</v>
      </c>
      <c r="D1231" s="19" t="str">
        <f>IFERROR(VLOOKUP(C1231&amp;"",'[2]Retail Price List'!$A$3:$B$103,2,FALSE),"Special Order")</f>
        <v>Special Order</v>
      </c>
      <c r="E1231" s="18">
        <f>[2]Trucks!J1228</f>
        <v>0</v>
      </c>
      <c r="F1231" s="12">
        <f>[2]Trucks!E1228</f>
        <v>0</v>
      </c>
      <c r="G1231" s="56">
        <f>[2]Trucks!K1228</f>
        <v>0</v>
      </c>
      <c r="H1231" s="46">
        <f>[2]Trucks!I1228</f>
        <v>0</v>
      </c>
      <c r="I1231" s="83" t="str">
        <f t="shared" si="95"/>
        <v/>
      </c>
      <c r="J1231" s="272" t="str">
        <f>IFERROR(VLOOKUP((D1231&amp;C1231)&amp;"",'[2]Retail Price List'!$C$4:$F$102,3,FALSE),"")</f>
        <v/>
      </c>
      <c r="K1231" s="272">
        <f>IFERROR(IF(BA1231="WIP - 30 Days",VLOOKUP(D1231,[3]Standard!$B$9:$E$101,4,FALSE),IF(BA1231="31-120 Days",VLOOKUP(D1231,[3]Standard!$B$9:$F$101,5,FALSE),IF(BA1231="121-365 Days",VLOOKUP(D1231,[3]Standard!$B$9:$G$101,6,FALSE),VLOOKUP(D1231,[3]Standard!$B$9:$H$101,7,FALSE)))),0)</f>
        <v>0</v>
      </c>
      <c r="L1231" s="272">
        <f>IFERROR(IF(BA1231="WIP - 30 Days",VLOOKUP(D1231,[3]Standard!$B$9:$J$101,9,FALSE),IF(BA1231="31-120 Days",VLOOKUP(D1231,[3]Standard!$B$9:$K$100,10,FALSE),IF(BA1231="121-365 Days",VLOOKUP(D1231,[3]Standard!$B$9:$L$101,11,FALSE),VLOOKUP(D1231,[3]Standard!$B$9:$M$101,12,FALSE)))),0)</f>
        <v>0</v>
      </c>
      <c r="M1231" s="269" t="str">
        <f>IFERROR(VLOOKUP((D1231&amp;C1231)&amp;"",'[2]Retail Price List'!$C$4:$F$102,4,FALSE),"")</f>
        <v/>
      </c>
      <c r="N1231" s="269">
        <f>IFERROR(IF(BA1231="WIP - 30 Days",VLOOKUP(D1231,[3]Extended!$B$9:$E$101,4,FALSE),IF(BA1231="31-120 Days",VLOOKUP(D1231,[3]Extended!$B$9:$F$101,5,FALSE),IF(BA1231="121-365 Days",VLOOKUP(D1231,[3]Extended!$B$9:$G$101,6,FALSE),VLOOKUP(D1231,[3]Extended!$B$9:$H$101,7,FALSE)))),0)</f>
        <v>0</v>
      </c>
      <c r="O1231" s="269">
        <f>IFERROR(IF(BA1231="WIP - 30 Days",VLOOKUP(D1231,[3]Extended!$B$9:$J$101,9,FALSE),IF(BA1231="31-120 Days",VLOOKUP(D1231,[3]Extended!$B$9:$K$101,10,FALSE),IF(BA1231="121-365 Days",VLOOKUP(D1231,[3]Extended!$B$9:$L$101,11,FALSE),VLOOKUP(D1231,[3]Extended!$B$9:$M$101,12,FALSE)))),0)</f>
        <v>0</v>
      </c>
      <c r="P1231" s="116" t="e">
        <f t="shared" si="96"/>
        <v>#VALUE!</v>
      </c>
      <c r="Q1231" s="110" t="e">
        <f>O1231-#REF!</f>
        <v>#REF!</v>
      </c>
      <c r="W1231" s="311"/>
      <c r="X1231" s="311"/>
      <c r="Y1231" s="311"/>
      <c r="Z1231" s="311"/>
      <c r="AA1231" s="311"/>
      <c r="AB1231" s="311"/>
      <c r="AC1231" s="311"/>
      <c r="AT1231" s="88" t="str">
        <f t="shared" si="97"/>
        <v>Special Order0</v>
      </c>
      <c r="AU1231" s="89" t="str">
        <f t="shared" si="98"/>
        <v>01-1900</v>
      </c>
      <c r="BA1231" s="92" t="str">
        <f t="shared" si="99"/>
        <v/>
      </c>
    </row>
    <row r="1232" spans="2:53">
      <c r="B1232" s="60">
        <f>[2]Trucks!A1229</f>
        <v>0</v>
      </c>
      <c r="C1232" s="11">
        <f>[2]Trucks!B1229</f>
        <v>0</v>
      </c>
      <c r="D1232" s="19" t="str">
        <f>IFERROR(VLOOKUP(C1232&amp;"",'[2]Retail Price List'!$A$3:$B$103,2,FALSE),"Special Order")</f>
        <v>Special Order</v>
      </c>
      <c r="E1232" s="18">
        <f>[2]Trucks!J1229</f>
        <v>0</v>
      </c>
      <c r="F1232" s="12">
        <f>[2]Trucks!E1229</f>
        <v>0</v>
      </c>
      <c r="G1232" s="56">
        <f>[2]Trucks!K1229</f>
        <v>0</v>
      </c>
      <c r="H1232" s="46">
        <f>[2]Trucks!I1229</f>
        <v>0</v>
      </c>
      <c r="I1232" s="83" t="str">
        <f t="shared" si="95"/>
        <v/>
      </c>
      <c r="J1232" s="272" t="str">
        <f>IFERROR(VLOOKUP((D1232&amp;C1232)&amp;"",'[2]Retail Price List'!$C$4:$F$102,3,FALSE),"")</f>
        <v/>
      </c>
      <c r="K1232" s="272">
        <f>IFERROR(IF(BA1232="WIP - 30 Days",VLOOKUP(D1232,[3]Standard!$B$9:$E$101,4,FALSE),IF(BA1232="31-120 Days",VLOOKUP(D1232,[3]Standard!$B$9:$F$101,5,FALSE),IF(BA1232="121-365 Days",VLOOKUP(D1232,[3]Standard!$B$9:$G$101,6,FALSE),VLOOKUP(D1232,[3]Standard!$B$9:$H$101,7,FALSE)))),0)</f>
        <v>0</v>
      </c>
      <c r="L1232" s="272">
        <f>IFERROR(IF(BA1232="WIP - 30 Days",VLOOKUP(D1232,[3]Standard!$B$9:$J$101,9,FALSE),IF(BA1232="31-120 Days",VLOOKUP(D1232,[3]Standard!$B$9:$K$100,10,FALSE),IF(BA1232="121-365 Days",VLOOKUP(D1232,[3]Standard!$B$9:$L$101,11,FALSE),VLOOKUP(D1232,[3]Standard!$B$9:$M$101,12,FALSE)))),0)</f>
        <v>0</v>
      </c>
      <c r="M1232" s="269" t="str">
        <f>IFERROR(VLOOKUP((D1232&amp;C1232)&amp;"",'[2]Retail Price List'!$C$4:$F$102,4,FALSE),"")</f>
        <v/>
      </c>
      <c r="N1232" s="269">
        <f>IFERROR(IF(BA1232="WIP - 30 Days",VLOOKUP(D1232,[3]Extended!$B$9:$E$101,4,FALSE),IF(BA1232="31-120 Days",VLOOKUP(D1232,[3]Extended!$B$9:$F$101,5,FALSE),IF(BA1232="121-365 Days",VLOOKUP(D1232,[3]Extended!$B$9:$G$101,6,FALSE),VLOOKUP(D1232,[3]Extended!$B$9:$H$101,7,FALSE)))),0)</f>
        <v>0</v>
      </c>
      <c r="O1232" s="269">
        <f>IFERROR(IF(BA1232="WIP - 30 Days",VLOOKUP(D1232,[3]Extended!$B$9:$J$101,9,FALSE),IF(BA1232="31-120 Days",VLOOKUP(D1232,[3]Extended!$B$9:$K$101,10,FALSE),IF(BA1232="121-365 Days",VLOOKUP(D1232,[3]Extended!$B$9:$L$101,11,FALSE),VLOOKUP(D1232,[3]Extended!$B$9:$M$101,12,FALSE)))),0)</f>
        <v>0</v>
      </c>
      <c r="P1232" s="116" t="e">
        <f t="shared" si="96"/>
        <v>#VALUE!</v>
      </c>
      <c r="Q1232" s="110" t="e">
        <f>O1232-#REF!</f>
        <v>#REF!</v>
      </c>
      <c r="W1232" s="311"/>
      <c r="X1232" s="311"/>
      <c r="Y1232" s="311"/>
      <c r="Z1232" s="311"/>
      <c r="AA1232" s="311"/>
      <c r="AB1232" s="311"/>
      <c r="AC1232" s="311"/>
      <c r="AT1232" s="88" t="str">
        <f t="shared" si="97"/>
        <v>Special Order0</v>
      </c>
      <c r="AU1232" s="89" t="str">
        <f t="shared" si="98"/>
        <v>01-1900</v>
      </c>
      <c r="BA1232" s="92" t="str">
        <f t="shared" si="99"/>
        <v/>
      </c>
    </row>
    <row r="1233" spans="2:53">
      <c r="B1233" s="60">
        <f>[2]Trucks!A1230</f>
        <v>0</v>
      </c>
      <c r="C1233" s="11">
        <f>[2]Trucks!B1230</f>
        <v>0</v>
      </c>
      <c r="D1233" s="19" t="str">
        <f>IFERROR(VLOOKUP(C1233&amp;"",'[2]Retail Price List'!$A$3:$B$103,2,FALSE),"Special Order")</f>
        <v>Special Order</v>
      </c>
      <c r="E1233" s="18">
        <f>[2]Trucks!J1230</f>
        <v>0</v>
      </c>
      <c r="F1233" s="12">
        <f>[2]Trucks!E1230</f>
        <v>0</v>
      </c>
      <c r="G1233" s="56">
        <f>[2]Trucks!K1230</f>
        <v>0</v>
      </c>
      <c r="H1233" s="46">
        <f>[2]Trucks!I1230</f>
        <v>0</v>
      </c>
      <c r="I1233" s="83" t="str">
        <f t="shared" si="95"/>
        <v/>
      </c>
      <c r="J1233" s="272" t="str">
        <f>IFERROR(VLOOKUP((D1233&amp;C1233)&amp;"",'[2]Retail Price List'!$C$4:$F$102,3,FALSE),"")</f>
        <v/>
      </c>
      <c r="K1233" s="272">
        <f>IFERROR(IF(BA1233="WIP - 30 Days",VLOOKUP(D1233,[3]Standard!$B$9:$E$101,4,FALSE),IF(BA1233="31-120 Days",VLOOKUP(D1233,[3]Standard!$B$9:$F$101,5,FALSE),IF(BA1233="121-365 Days",VLOOKUP(D1233,[3]Standard!$B$9:$G$101,6,FALSE),VLOOKUP(D1233,[3]Standard!$B$9:$H$101,7,FALSE)))),0)</f>
        <v>0</v>
      </c>
      <c r="L1233" s="272">
        <f>IFERROR(IF(BA1233="WIP - 30 Days",VLOOKUP(D1233,[3]Standard!$B$9:$J$101,9,FALSE),IF(BA1233="31-120 Days",VLOOKUP(D1233,[3]Standard!$B$9:$K$100,10,FALSE),IF(BA1233="121-365 Days",VLOOKUP(D1233,[3]Standard!$B$9:$L$101,11,FALSE),VLOOKUP(D1233,[3]Standard!$B$9:$M$101,12,FALSE)))),0)</f>
        <v>0</v>
      </c>
      <c r="M1233" s="269" t="str">
        <f>IFERROR(VLOOKUP((D1233&amp;C1233)&amp;"",'[2]Retail Price List'!$C$4:$F$102,4,FALSE),"")</f>
        <v/>
      </c>
      <c r="N1233" s="269">
        <f>IFERROR(IF(BA1233="WIP - 30 Days",VLOOKUP(D1233,[3]Extended!$B$9:$E$101,4,FALSE),IF(BA1233="31-120 Days",VLOOKUP(D1233,[3]Extended!$B$9:$F$101,5,FALSE),IF(BA1233="121-365 Days",VLOOKUP(D1233,[3]Extended!$B$9:$G$101,6,FALSE),VLOOKUP(D1233,[3]Extended!$B$9:$H$101,7,FALSE)))),0)</f>
        <v>0</v>
      </c>
      <c r="O1233" s="269">
        <f>IFERROR(IF(BA1233="WIP - 30 Days",VLOOKUP(D1233,[3]Extended!$B$9:$J$101,9,FALSE),IF(BA1233="31-120 Days",VLOOKUP(D1233,[3]Extended!$B$9:$K$101,10,FALSE),IF(BA1233="121-365 Days",VLOOKUP(D1233,[3]Extended!$B$9:$L$101,11,FALSE),VLOOKUP(D1233,[3]Extended!$B$9:$M$101,12,FALSE)))),0)</f>
        <v>0</v>
      </c>
      <c r="P1233" s="116" t="e">
        <f t="shared" si="96"/>
        <v>#VALUE!</v>
      </c>
      <c r="Q1233" s="110" t="e">
        <f>O1233-#REF!</f>
        <v>#REF!</v>
      </c>
      <c r="W1233" s="311"/>
      <c r="X1233" s="311"/>
      <c r="Y1233" s="311"/>
      <c r="Z1233" s="311"/>
      <c r="AA1233" s="311"/>
      <c r="AB1233" s="311"/>
      <c r="AC1233" s="311"/>
      <c r="AT1233" s="88" t="str">
        <f t="shared" si="97"/>
        <v>Special Order0</v>
      </c>
      <c r="AU1233" s="89" t="str">
        <f t="shared" si="98"/>
        <v>01-1900</v>
      </c>
      <c r="BA1233" s="92" t="str">
        <f t="shared" si="99"/>
        <v/>
      </c>
    </row>
    <row r="1234" spans="2:53">
      <c r="B1234" s="60">
        <f>[2]Trucks!A1231</f>
        <v>0</v>
      </c>
      <c r="C1234" s="11">
        <f>[2]Trucks!B1231</f>
        <v>0</v>
      </c>
      <c r="D1234" s="19" t="str">
        <f>IFERROR(VLOOKUP(C1234&amp;"",'[2]Retail Price List'!$A$3:$B$103,2,FALSE),"Special Order")</f>
        <v>Special Order</v>
      </c>
      <c r="E1234" s="18">
        <f>[2]Trucks!J1231</f>
        <v>0</v>
      </c>
      <c r="F1234" s="12">
        <f>[2]Trucks!E1231</f>
        <v>0</v>
      </c>
      <c r="G1234" s="56">
        <f>[2]Trucks!K1231</f>
        <v>0</v>
      </c>
      <c r="H1234" s="46">
        <f>[2]Trucks!I1231</f>
        <v>0</v>
      </c>
      <c r="I1234" s="83" t="str">
        <f t="shared" si="95"/>
        <v/>
      </c>
      <c r="J1234" s="272" t="str">
        <f>IFERROR(VLOOKUP((D1234&amp;C1234)&amp;"",'[2]Retail Price List'!$C$4:$F$102,3,FALSE),"")</f>
        <v/>
      </c>
      <c r="K1234" s="272">
        <f>IFERROR(IF(BA1234="WIP - 30 Days",VLOOKUP(D1234,[3]Standard!$B$9:$E$101,4,FALSE),IF(BA1234="31-120 Days",VLOOKUP(D1234,[3]Standard!$B$9:$F$101,5,FALSE),IF(BA1234="121-365 Days",VLOOKUP(D1234,[3]Standard!$B$9:$G$101,6,FALSE),VLOOKUP(D1234,[3]Standard!$B$9:$H$101,7,FALSE)))),0)</f>
        <v>0</v>
      </c>
      <c r="L1234" s="272">
        <f>IFERROR(IF(BA1234="WIP - 30 Days",VLOOKUP(D1234,[3]Standard!$B$9:$J$101,9,FALSE),IF(BA1234="31-120 Days",VLOOKUP(D1234,[3]Standard!$B$9:$K$100,10,FALSE),IF(BA1234="121-365 Days",VLOOKUP(D1234,[3]Standard!$B$9:$L$101,11,FALSE),VLOOKUP(D1234,[3]Standard!$B$9:$M$101,12,FALSE)))),0)</f>
        <v>0</v>
      </c>
      <c r="M1234" s="269" t="str">
        <f>IFERROR(VLOOKUP((D1234&amp;C1234)&amp;"",'[2]Retail Price List'!$C$4:$F$102,4,FALSE),"")</f>
        <v/>
      </c>
      <c r="N1234" s="269">
        <f>IFERROR(IF(BA1234="WIP - 30 Days",VLOOKUP(D1234,[3]Extended!$B$9:$E$101,4,FALSE),IF(BA1234="31-120 Days",VLOOKUP(D1234,[3]Extended!$B$9:$F$101,5,FALSE),IF(BA1234="121-365 Days",VLOOKUP(D1234,[3]Extended!$B$9:$G$101,6,FALSE),VLOOKUP(D1234,[3]Extended!$B$9:$H$101,7,FALSE)))),0)</f>
        <v>0</v>
      </c>
      <c r="O1234" s="269">
        <f>IFERROR(IF(BA1234="WIP - 30 Days",VLOOKUP(D1234,[3]Extended!$B$9:$J$101,9,FALSE),IF(BA1234="31-120 Days",VLOOKUP(D1234,[3]Extended!$B$9:$K$101,10,FALSE),IF(BA1234="121-365 Days",VLOOKUP(D1234,[3]Extended!$B$9:$L$101,11,FALSE),VLOOKUP(D1234,[3]Extended!$B$9:$M$101,12,FALSE)))),0)</f>
        <v>0</v>
      </c>
      <c r="P1234" s="116" t="e">
        <f t="shared" si="96"/>
        <v>#VALUE!</v>
      </c>
      <c r="Q1234" s="110" t="e">
        <f>O1234-#REF!</f>
        <v>#REF!</v>
      </c>
      <c r="W1234" s="311"/>
      <c r="X1234" s="311"/>
      <c r="Y1234" s="311"/>
      <c r="Z1234" s="311"/>
      <c r="AA1234" s="311"/>
      <c r="AB1234" s="311"/>
      <c r="AC1234" s="311"/>
      <c r="AT1234" s="88" t="str">
        <f t="shared" si="97"/>
        <v>Special Order0</v>
      </c>
      <c r="AU1234" s="89" t="str">
        <f t="shared" si="98"/>
        <v>01-1900</v>
      </c>
      <c r="BA1234" s="92" t="str">
        <f t="shared" si="99"/>
        <v/>
      </c>
    </row>
    <row r="1235" spans="2:53">
      <c r="B1235" s="60">
        <f>[2]Trucks!A1232</f>
        <v>0</v>
      </c>
      <c r="C1235" s="11">
        <f>[2]Trucks!B1232</f>
        <v>0</v>
      </c>
      <c r="D1235" s="19" t="str">
        <f>IFERROR(VLOOKUP(C1235&amp;"",'[2]Retail Price List'!$A$3:$B$103,2,FALSE),"Special Order")</f>
        <v>Special Order</v>
      </c>
      <c r="E1235" s="18">
        <f>[2]Trucks!J1232</f>
        <v>0</v>
      </c>
      <c r="F1235" s="12">
        <f>[2]Trucks!E1232</f>
        <v>0</v>
      </c>
      <c r="G1235" s="56">
        <f>[2]Trucks!K1232</f>
        <v>0</v>
      </c>
      <c r="H1235" s="46">
        <f>[2]Trucks!I1232</f>
        <v>0</v>
      </c>
      <c r="I1235" s="83" t="str">
        <f t="shared" si="95"/>
        <v/>
      </c>
      <c r="J1235" s="272" t="str">
        <f>IFERROR(VLOOKUP((D1235&amp;C1235)&amp;"",'[2]Retail Price List'!$C$4:$F$102,3,FALSE),"")</f>
        <v/>
      </c>
      <c r="K1235" s="272">
        <f>IFERROR(IF(BA1235="WIP - 30 Days",VLOOKUP(D1235,[3]Standard!$B$9:$E$101,4,FALSE),IF(BA1235="31-120 Days",VLOOKUP(D1235,[3]Standard!$B$9:$F$101,5,FALSE),IF(BA1235="121-365 Days",VLOOKUP(D1235,[3]Standard!$B$9:$G$101,6,FALSE),VLOOKUP(D1235,[3]Standard!$B$9:$H$101,7,FALSE)))),0)</f>
        <v>0</v>
      </c>
      <c r="L1235" s="272">
        <f>IFERROR(IF(BA1235="WIP - 30 Days",VLOOKUP(D1235,[3]Standard!$B$9:$J$101,9,FALSE),IF(BA1235="31-120 Days",VLOOKUP(D1235,[3]Standard!$B$9:$K$100,10,FALSE),IF(BA1235="121-365 Days",VLOOKUP(D1235,[3]Standard!$B$9:$L$101,11,FALSE),VLOOKUP(D1235,[3]Standard!$B$9:$M$101,12,FALSE)))),0)</f>
        <v>0</v>
      </c>
      <c r="M1235" s="269" t="str">
        <f>IFERROR(VLOOKUP((D1235&amp;C1235)&amp;"",'[2]Retail Price List'!$C$4:$F$102,4,FALSE),"")</f>
        <v/>
      </c>
      <c r="N1235" s="269">
        <f>IFERROR(IF(BA1235="WIP - 30 Days",VLOOKUP(D1235,[3]Extended!$B$9:$E$101,4,FALSE),IF(BA1235="31-120 Days",VLOOKUP(D1235,[3]Extended!$B$9:$F$101,5,FALSE),IF(BA1235="121-365 Days",VLOOKUP(D1235,[3]Extended!$B$9:$G$101,6,FALSE),VLOOKUP(D1235,[3]Extended!$B$9:$H$101,7,FALSE)))),0)</f>
        <v>0</v>
      </c>
      <c r="O1235" s="269">
        <f>IFERROR(IF(BA1235="WIP - 30 Days",VLOOKUP(D1235,[3]Extended!$B$9:$J$101,9,FALSE),IF(BA1235="31-120 Days",VLOOKUP(D1235,[3]Extended!$B$9:$K$101,10,FALSE),IF(BA1235="121-365 Days",VLOOKUP(D1235,[3]Extended!$B$9:$L$101,11,FALSE),VLOOKUP(D1235,[3]Extended!$B$9:$M$101,12,FALSE)))),0)</f>
        <v>0</v>
      </c>
      <c r="P1235" s="116" t="e">
        <f t="shared" si="96"/>
        <v>#VALUE!</v>
      </c>
      <c r="Q1235" s="110" t="e">
        <f>O1235-#REF!</f>
        <v>#REF!</v>
      </c>
      <c r="W1235" s="311"/>
      <c r="X1235" s="311"/>
      <c r="Y1235" s="311"/>
      <c r="Z1235" s="311"/>
      <c r="AA1235" s="311"/>
      <c r="AB1235" s="311"/>
      <c r="AC1235" s="311"/>
      <c r="AT1235" s="88" t="str">
        <f t="shared" si="97"/>
        <v>Special Order0</v>
      </c>
      <c r="AU1235" s="89" t="str">
        <f t="shared" si="98"/>
        <v>01-1900</v>
      </c>
      <c r="BA1235" s="92" t="str">
        <f t="shared" si="99"/>
        <v/>
      </c>
    </row>
    <row r="1236" spans="2:53">
      <c r="B1236" s="60">
        <f>[2]Trucks!A1233</f>
        <v>0</v>
      </c>
      <c r="C1236" s="11">
        <f>[2]Trucks!B1233</f>
        <v>0</v>
      </c>
      <c r="D1236" s="19" t="str">
        <f>IFERROR(VLOOKUP(C1236&amp;"",'[2]Retail Price List'!$A$3:$B$103,2,FALSE),"Special Order")</f>
        <v>Special Order</v>
      </c>
      <c r="E1236" s="18">
        <f>[2]Trucks!J1233</f>
        <v>0</v>
      </c>
      <c r="F1236" s="12">
        <f>[2]Trucks!E1233</f>
        <v>0</v>
      </c>
      <c r="G1236" s="56">
        <f>[2]Trucks!K1233</f>
        <v>0</v>
      </c>
      <c r="H1236" s="46">
        <f>[2]Trucks!I1233</f>
        <v>0</v>
      </c>
      <c r="I1236" s="83" t="str">
        <f t="shared" si="95"/>
        <v/>
      </c>
      <c r="J1236" s="272" t="str">
        <f>IFERROR(VLOOKUP((D1236&amp;C1236)&amp;"",'[2]Retail Price List'!$C$4:$F$102,3,FALSE),"")</f>
        <v/>
      </c>
      <c r="K1236" s="272">
        <f>IFERROR(IF(BA1236="WIP - 30 Days",VLOOKUP(D1236,[3]Standard!$B$9:$E$101,4,FALSE),IF(BA1236="31-120 Days",VLOOKUP(D1236,[3]Standard!$B$9:$F$101,5,FALSE),IF(BA1236="121-365 Days",VLOOKUP(D1236,[3]Standard!$B$9:$G$101,6,FALSE),VLOOKUP(D1236,[3]Standard!$B$9:$H$101,7,FALSE)))),0)</f>
        <v>0</v>
      </c>
      <c r="L1236" s="272">
        <f>IFERROR(IF(BA1236="WIP - 30 Days",VLOOKUP(D1236,[3]Standard!$B$9:$J$101,9,FALSE),IF(BA1236="31-120 Days",VLOOKUP(D1236,[3]Standard!$B$9:$K$100,10,FALSE),IF(BA1236="121-365 Days",VLOOKUP(D1236,[3]Standard!$B$9:$L$101,11,FALSE),VLOOKUP(D1236,[3]Standard!$B$9:$M$101,12,FALSE)))),0)</f>
        <v>0</v>
      </c>
      <c r="M1236" s="269" t="str">
        <f>IFERROR(VLOOKUP((D1236&amp;C1236)&amp;"",'[2]Retail Price List'!$C$4:$F$102,4,FALSE),"")</f>
        <v/>
      </c>
      <c r="N1236" s="269">
        <f>IFERROR(IF(BA1236="WIP - 30 Days",VLOOKUP(D1236,[3]Extended!$B$9:$E$101,4,FALSE),IF(BA1236="31-120 Days",VLOOKUP(D1236,[3]Extended!$B$9:$F$101,5,FALSE),IF(BA1236="121-365 Days",VLOOKUP(D1236,[3]Extended!$B$9:$G$101,6,FALSE),VLOOKUP(D1236,[3]Extended!$B$9:$H$101,7,FALSE)))),0)</f>
        <v>0</v>
      </c>
      <c r="O1236" s="269">
        <f>IFERROR(IF(BA1236="WIP - 30 Days",VLOOKUP(D1236,[3]Extended!$B$9:$J$101,9,FALSE),IF(BA1236="31-120 Days",VLOOKUP(D1236,[3]Extended!$B$9:$K$101,10,FALSE),IF(BA1236="121-365 Days",VLOOKUP(D1236,[3]Extended!$B$9:$L$101,11,FALSE),VLOOKUP(D1236,[3]Extended!$B$9:$M$101,12,FALSE)))),0)</f>
        <v>0</v>
      </c>
      <c r="P1236" s="116" t="e">
        <f t="shared" si="96"/>
        <v>#VALUE!</v>
      </c>
      <c r="Q1236" s="110" t="e">
        <f>O1236-#REF!</f>
        <v>#REF!</v>
      </c>
      <c r="W1236" s="311"/>
      <c r="X1236" s="311"/>
      <c r="Y1236" s="311"/>
      <c r="Z1236" s="311"/>
      <c r="AA1236" s="311"/>
      <c r="AB1236" s="311"/>
      <c r="AC1236" s="311"/>
      <c r="AT1236" s="88" t="str">
        <f t="shared" si="97"/>
        <v>Special Order0</v>
      </c>
      <c r="AU1236" s="89" t="str">
        <f t="shared" si="98"/>
        <v>01-1900</v>
      </c>
      <c r="BA1236" s="92" t="str">
        <f t="shared" si="99"/>
        <v/>
      </c>
    </row>
    <row r="1237" spans="2:53">
      <c r="B1237" s="60">
        <f>[2]Trucks!A1234</f>
        <v>0</v>
      </c>
      <c r="C1237" s="11">
        <f>[2]Trucks!B1234</f>
        <v>0</v>
      </c>
      <c r="D1237" s="19" t="str">
        <f>IFERROR(VLOOKUP(C1237&amp;"",'[2]Retail Price List'!$A$3:$B$103,2,FALSE),"Special Order")</f>
        <v>Special Order</v>
      </c>
      <c r="E1237" s="18">
        <f>[2]Trucks!J1234</f>
        <v>0</v>
      </c>
      <c r="F1237" s="12">
        <f>[2]Trucks!E1234</f>
        <v>0</v>
      </c>
      <c r="G1237" s="56">
        <f>[2]Trucks!K1234</f>
        <v>0</v>
      </c>
      <c r="H1237" s="46">
        <f>[2]Trucks!I1234</f>
        <v>0</v>
      </c>
      <c r="I1237" s="83" t="str">
        <f t="shared" si="95"/>
        <v/>
      </c>
      <c r="J1237" s="272" t="str">
        <f>IFERROR(VLOOKUP((D1237&amp;C1237)&amp;"",'[2]Retail Price List'!$C$4:$F$102,3,FALSE),"")</f>
        <v/>
      </c>
      <c r="K1237" s="272">
        <f>IFERROR(IF(BA1237="WIP - 30 Days",VLOOKUP(D1237,[3]Standard!$B$9:$E$101,4,FALSE),IF(BA1237="31-120 Days",VLOOKUP(D1237,[3]Standard!$B$9:$F$101,5,FALSE),IF(BA1237="121-365 Days",VLOOKUP(D1237,[3]Standard!$B$9:$G$101,6,FALSE),VLOOKUP(D1237,[3]Standard!$B$9:$H$101,7,FALSE)))),0)</f>
        <v>0</v>
      </c>
      <c r="L1237" s="272">
        <f>IFERROR(IF(BA1237="WIP - 30 Days",VLOOKUP(D1237,[3]Standard!$B$9:$J$101,9,FALSE),IF(BA1237="31-120 Days",VLOOKUP(D1237,[3]Standard!$B$9:$K$100,10,FALSE),IF(BA1237="121-365 Days",VLOOKUP(D1237,[3]Standard!$B$9:$L$101,11,FALSE),VLOOKUP(D1237,[3]Standard!$B$9:$M$101,12,FALSE)))),0)</f>
        <v>0</v>
      </c>
      <c r="M1237" s="269" t="str">
        <f>IFERROR(VLOOKUP((D1237&amp;C1237)&amp;"",'[2]Retail Price List'!$C$4:$F$102,4,FALSE),"")</f>
        <v/>
      </c>
      <c r="N1237" s="269">
        <f>IFERROR(IF(BA1237="WIP - 30 Days",VLOOKUP(D1237,[3]Extended!$B$9:$E$101,4,FALSE),IF(BA1237="31-120 Days",VLOOKUP(D1237,[3]Extended!$B$9:$F$101,5,FALSE),IF(BA1237="121-365 Days",VLOOKUP(D1237,[3]Extended!$B$9:$G$101,6,FALSE),VLOOKUP(D1237,[3]Extended!$B$9:$H$101,7,FALSE)))),0)</f>
        <v>0</v>
      </c>
      <c r="O1237" s="269">
        <f>IFERROR(IF(BA1237="WIP - 30 Days",VLOOKUP(D1237,[3]Extended!$B$9:$J$101,9,FALSE),IF(BA1237="31-120 Days",VLOOKUP(D1237,[3]Extended!$B$9:$K$101,10,FALSE),IF(BA1237="121-365 Days",VLOOKUP(D1237,[3]Extended!$B$9:$L$101,11,FALSE),VLOOKUP(D1237,[3]Extended!$B$9:$M$101,12,FALSE)))),0)</f>
        <v>0</v>
      </c>
      <c r="P1237" s="116" t="e">
        <f t="shared" si="96"/>
        <v>#VALUE!</v>
      </c>
      <c r="Q1237" s="110" t="e">
        <f>O1237-#REF!</f>
        <v>#REF!</v>
      </c>
      <c r="W1237" s="311"/>
      <c r="X1237" s="311"/>
      <c r="Y1237" s="311"/>
      <c r="Z1237" s="311"/>
      <c r="AA1237" s="311"/>
      <c r="AB1237" s="311"/>
      <c r="AC1237" s="311"/>
      <c r="AT1237" s="88" t="str">
        <f t="shared" si="97"/>
        <v>Special Order0</v>
      </c>
      <c r="AU1237" s="89" t="str">
        <f t="shared" si="98"/>
        <v>01-1900</v>
      </c>
      <c r="BA1237" s="92" t="str">
        <f t="shared" si="99"/>
        <v/>
      </c>
    </row>
    <row r="1238" spans="2:53">
      <c r="B1238" s="60">
        <f>[2]Trucks!A1235</f>
        <v>0</v>
      </c>
      <c r="C1238" s="11">
        <f>[2]Trucks!B1235</f>
        <v>0</v>
      </c>
      <c r="D1238" s="19" t="str">
        <f>IFERROR(VLOOKUP(C1238&amp;"",'[2]Retail Price List'!$A$3:$B$103,2,FALSE),"Special Order")</f>
        <v>Special Order</v>
      </c>
      <c r="E1238" s="18">
        <f>[2]Trucks!J1235</f>
        <v>0</v>
      </c>
      <c r="F1238" s="12">
        <f>[2]Trucks!E1235</f>
        <v>0</v>
      </c>
      <c r="G1238" s="56">
        <f>[2]Trucks!K1235</f>
        <v>0</v>
      </c>
      <c r="H1238" s="46">
        <f>[2]Trucks!I1235</f>
        <v>0</v>
      </c>
      <c r="I1238" s="83" t="str">
        <f t="shared" si="95"/>
        <v/>
      </c>
      <c r="J1238" s="272" t="str">
        <f>IFERROR(VLOOKUP((D1238&amp;C1238)&amp;"",'[2]Retail Price List'!$C$4:$F$102,3,FALSE),"")</f>
        <v/>
      </c>
      <c r="K1238" s="272">
        <f>IFERROR(IF(BA1238="WIP - 30 Days",VLOOKUP(D1238,[3]Standard!$B$9:$E$101,4,FALSE),IF(BA1238="31-120 Days",VLOOKUP(D1238,[3]Standard!$B$9:$F$101,5,FALSE),IF(BA1238="121-365 Days",VLOOKUP(D1238,[3]Standard!$B$9:$G$101,6,FALSE),VLOOKUP(D1238,[3]Standard!$B$9:$H$101,7,FALSE)))),0)</f>
        <v>0</v>
      </c>
      <c r="L1238" s="272">
        <f>IFERROR(IF(BA1238="WIP - 30 Days",VLOOKUP(D1238,[3]Standard!$B$9:$J$101,9,FALSE),IF(BA1238="31-120 Days",VLOOKUP(D1238,[3]Standard!$B$9:$K$100,10,FALSE),IF(BA1238="121-365 Days",VLOOKUP(D1238,[3]Standard!$B$9:$L$101,11,FALSE),VLOOKUP(D1238,[3]Standard!$B$9:$M$101,12,FALSE)))),0)</f>
        <v>0</v>
      </c>
      <c r="M1238" s="269" t="str">
        <f>IFERROR(VLOOKUP((D1238&amp;C1238)&amp;"",'[2]Retail Price List'!$C$4:$F$102,4,FALSE),"")</f>
        <v/>
      </c>
      <c r="N1238" s="269">
        <f>IFERROR(IF(BA1238="WIP - 30 Days",VLOOKUP(D1238,[3]Extended!$B$9:$E$101,4,FALSE),IF(BA1238="31-120 Days",VLOOKUP(D1238,[3]Extended!$B$9:$F$101,5,FALSE),IF(BA1238="121-365 Days",VLOOKUP(D1238,[3]Extended!$B$9:$G$101,6,FALSE),VLOOKUP(D1238,[3]Extended!$B$9:$H$101,7,FALSE)))),0)</f>
        <v>0</v>
      </c>
      <c r="O1238" s="269">
        <f>IFERROR(IF(BA1238="WIP - 30 Days",VLOOKUP(D1238,[3]Extended!$B$9:$J$101,9,FALSE),IF(BA1238="31-120 Days",VLOOKUP(D1238,[3]Extended!$B$9:$K$101,10,FALSE),IF(BA1238="121-365 Days",VLOOKUP(D1238,[3]Extended!$B$9:$L$101,11,FALSE),VLOOKUP(D1238,[3]Extended!$B$9:$M$101,12,FALSE)))),0)</f>
        <v>0</v>
      </c>
      <c r="P1238" s="116" t="e">
        <f t="shared" si="96"/>
        <v>#VALUE!</v>
      </c>
      <c r="Q1238" s="110" t="e">
        <f>O1238-#REF!</f>
        <v>#REF!</v>
      </c>
      <c r="W1238" s="311"/>
      <c r="X1238" s="311"/>
      <c r="Y1238" s="311"/>
      <c r="Z1238" s="311"/>
      <c r="AA1238" s="311"/>
      <c r="AB1238" s="311"/>
      <c r="AC1238" s="311"/>
      <c r="AT1238" s="88" t="str">
        <f t="shared" si="97"/>
        <v>Special Order0</v>
      </c>
      <c r="AU1238" s="89" t="str">
        <f t="shared" si="98"/>
        <v>01-1900</v>
      </c>
      <c r="BA1238" s="92" t="str">
        <f t="shared" si="99"/>
        <v/>
      </c>
    </row>
    <row r="1239" spans="2:53">
      <c r="B1239" s="60">
        <f>[2]Trucks!A1236</f>
        <v>0</v>
      </c>
      <c r="C1239" s="11">
        <f>[2]Trucks!B1236</f>
        <v>0</v>
      </c>
      <c r="D1239" s="19" t="str">
        <f>IFERROR(VLOOKUP(C1239&amp;"",'[2]Retail Price List'!$A$3:$B$103,2,FALSE),"Special Order")</f>
        <v>Special Order</v>
      </c>
      <c r="E1239" s="18">
        <f>[2]Trucks!J1236</f>
        <v>0</v>
      </c>
      <c r="F1239" s="12">
        <f>[2]Trucks!E1236</f>
        <v>0</v>
      </c>
      <c r="G1239" s="56">
        <f>[2]Trucks!K1236</f>
        <v>0</v>
      </c>
      <c r="H1239" s="46">
        <f>[2]Trucks!I1236</f>
        <v>0</v>
      </c>
      <c r="I1239" s="83" t="str">
        <f t="shared" si="95"/>
        <v/>
      </c>
      <c r="J1239" s="272" t="str">
        <f>IFERROR(VLOOKUP((D1239&amp;C1239)&amp;"",'[2]Retail Price List'!$C$4:$F$102,3,FALSE),"")</f>
        <v/>
      </c>
      <c r="K1239" s="272">
        <f>IFERROR(IF(BA1239="WIP - 30 Days",VLOOKUP(D1239,[3]Standard!$B$9:$E$101,4,FALSE),IF(BA1239="31-120 Days",VLOOKUP(D1239,[3]Standard!$B$9:$F$101,5,FALSE),IF(BA1239="121-365 Days",VLOOKUP(D1239,[3]Standard!$B$9:$G$101,6,FALSE),VLOOKUP(D1239,[3]Standard!$B$9:$H$101,7,FALSE)))),0)</f>
        <v>0</v>
      </c>
      <c r="L1239" s="272">
        <f>IFERROR(IF(BA1239="WIP - 30 Days",VLOOKUP(D1239,[3]Standard!$B$9:$J$101,9,FALSE),IF(BA1239="31-120 Days",VLOOKUP(D1239,[3]Standard!$B$9:$K$100,10,FALSE),IF(BA1239="121-365 Days",VLOOKUP(D1239,[3]Standard!$B$9:$L$101,11,FALSE),VLOOKUP(D1239,[3]Standard!$B$9:$M$101,12,FALSE)))),0)</f>
        <v>0</v>
      </c>
      <c r="M1239" s="269" t="str">
        <f>IFERROR(VLOOKUP((D1239&amp;C1239)&amp;"",'[2]Retail Price List'!$C$4:$F$102,4,FALSE),"")</f>
        <v/>
      </c>
      <c r="N1239" s="269">
        <f>IFERROR(IF(BA1239="WIP - 30 Days",VLOOKUP(D1239,[3]Extended!$B$9:$E$101,4,FALSE),IF(BA1239="31-120 Days",VLOOKUP(D1239,[3]Extended!$B$9:$F$101,5,FALSE),IF(BA1239="121-365 Days",VLOOKUP(D1239,[3]Extended!$B$9:$G$101,6,FALSE),VLOOKUP(D1239,[3]Extended!$B$9:$H$101,7,FALSE)))),0)</f>
        <v>0</v>
      </c>
      <c r="O1239" s="269">
        <f>IFERROR(IF(BA1239="WIP - 30 Days",VLOOKUP(D1239,[3]Extended!$B$9:$J$101,9,FALSE),IF(BA1239="31-120 Days",VLOOKUP(D1239,[3]Extended!$B$9:$K$101,10,FALSE),IF(BA1239="121-365 Days",VLOOKUP(D1239,[3]Extended!$B$9:$L$101,11,FALSE),VLOOKUP(D1239,[3]Extended!$B$9:$M$101,12,FALSE)))),0)</f>
        <v>0</v>
      </c>
      <c r="P1239" s="116" t="e">
        <f t="shared" si="96"/>
        <v>#VALUE!</v>
      </c>
      <c r="Q1239" s="110" t="e">
        <f>O1239-#REF!</f>
        <v>#REF!</v>
      </c>
      <c r="W1239" s="311"/>
      <c r="X1239" s="311"/>
      <c r="Y1239" s="311"/>
      <c r="Z1239" s="311"/>
      <c r="AA1239" s="311"/>
      <c r="AB1239" s="311"/>
      <c r="AC1239" s="311"/>
      <c r="AT1239" s="88" t="str">
        <f t="shared" si="97"/>
        <v>Special Order0</v>
      </c>
      <c r="AU1239" s="89" t="str">
        <f t="shared" si="98"/>
        <v>01-1900</v>
      </c>
      <c r="BA1239" s="92" t="str">
        <f t="shared" si="99"/>
        <v/>
      </c>
    </row>
    <row r="1240" spans="2:53">
      <c r="B1240" s="60">
        <f>[2]Trucks!A1237</f>
        <v>0</v>
      </c>
      <c r="C1240" s="11">
        <f>[2]Trucks!B1237</f>
        <v>0</v>
      </c>
      <c r="D1240" s="19" t="str">
        <f>IFERROR(VLOOKUP(C1240&amp;"",'[2]Retail Price List'!$A$3:$B$103,2,FALSE),"Special Order")</f>
        <v>Special Order</v>
      </c>
      <c r="E1240" s="18">
        <f>[2]Trucks!J1237</f>
        <v>0</v>
      </c>
      <c r="F1240" s="12">
        <f>[2]Trucks!E1237</f>
        <v>0</v>
      </c>
      <c r="G1240" s="56">
        <f>[2]Trucks!K1237</f>
        <v>0</v>
      </c>
      <c r="H1240" s="46">
        <f>[2]Trucks!I1237</f>
        <v>0</v>
      </c>
      <c r="I1240" s="83" t="str">
        <f t="shared" si="95"/>
        <v/>
      </c>
      <c r="J1240" s="272" t="str">
        <f>IFERROR(VLOOKUP((D1240&amp;C1240)&amp;"",'[2]Retail Price List'!$C$4:$F$102,3,FALSE),"")</f>
        <v/>
      </c>
      <c r="K1240" s="272">
        <f>IFERROR(IF(BA1240="WIP - 30 Days",VLOOKUP(D1240,[3]Standard!$B$9:$E$101,4,FALSE),IF(BA1240="31-120 Days",VLOOKUP(D1240,[3]Standard!$B$9:$F$101,5,FALSE),IF(BA1240="121-365 Days",VLOOKUP(D1240,[3]Standard!$B$9:$G$101,6,FALSE),VLOOKUP(D1240,[3]Standard!$B$9:$H$101,7,FALSE)))),0)</f>
        <v>0</v>
      </c>
      <c r="L1240" s="272">
        <f>IFERROR(IF(BA1240="WIP - 30 Days",VLOOKUP(D1240,[3]Standard!$B$9:$J$101,9,FALSE),IF(BA1240="31-120 Days",VLOOKUP(D1240,[3]Standard!$B$9:$K$100,10,FALSE),IF(BA1240="121-365 Days",VLOOKUP(D1240,[3]Standard!$B$9:$L$101,11,FALSE),VLOOKUP(D1240,[3]Standard!$B$9:$M$101,12,FALSE)))),0)</f>
        <v>0</v>
      </c>
      <c r="M1240" s="269" t="str">
        <f>IFERROR(VLOOKUP((D1240&amp;C1240)&amp;"",'[2]Retail Price List'!$C$4:$F$102,4,FALSE),"")</f>
        <v/>
      </c>
      <c r="N1240" s="269">
        <f>IFERROR(IF(BA1240="WIP - 30 Days",VLOOKUP(D1240,[3]Extended!$B$9:$E$101,4,FALSE),IF(BA1240="31-120 Days",VLOOKUP(D1240,[3]Extended!$B$9:$F$101,5,FALSE),IF(BA1240="121-365 Days",VLOOKUP(D1240,[3]Extended!$B$9:$G$101,6,FALSE),VLOOKUP(D1240,[3]Extended!$B$9:$H$101,7,FALSE)))),0)</f>
        <v>0</v>
      </c>
      <c r="O1240" s="269">
        <f>IFERROR(IF(BA1240="WIP - 30 Days",VLOOKUP(D1240,[3]Extended!$B$9:$J$101,9,FALSE),IF(BA1240="31-120 Days",VLOOKUP(D1240,[3]Extended!$B$9:$K$101,10,FALSE),IF(BA1240="121-365 Days",VLOOKUP(D1240,[3]Extended!$B$9:$L$101,11,FALSE),VLOOKUP(D1240,[3]Extended!$B$9:$M$101,12,FALSE)))),0)</f>
        <v>0</v>
      </c>
      <c r="P1240" s="116" t="e">
        <f t="shared" si="96"/>
        <v>#VALUE!</v>
      </c>
      <c r="Q1240" s="110" t="e">
        <f>O1240-#REF!</f>
        <v>#REF!</v>
      </c>
      <c r="W1240" s="311"/>
      <c r="X1240" s="311"/>
      <c r="Y1240" s="311"/>
      <c r="Z1240" s="311"/>
      <c r="AA1240" s="311"/>
      <c r="AB1240" s="311"/>
      <c r="AC1240" s="311"/>
      <c r="AT1240" s="88" t="str">
        <f t="shared" si="97"/>
        <v>Special Order0</v>
      </c>
      <c r="AU1240" s="89" t="str">
        <f t="shared" si="98"/>
        <v>01-1900</v>
      </c>
      <c r="BA1240" s="92" t="str">
        <f t="shared" si="99"/>
        <v/>
      </c>
    </row>
    <row r="1241" spans="2:53">
      <c r="B1241" s="60">
        <f>[2]Trucks!A1238</f>
        <v>0</v>
      </c>
      <c r="C1241" s="11">
        <f>[2]Trucks!B1238</f>
        <v>0</v>
      </c>
      <c r="D1241" s="19" t="str">
        <f>IFERROR(VLOOKUP(C1241&amp;"",'[2]Retail Price List'!$A$3:$B$103,2,FALSE),"Special Order")</f>
        <v>Special Order</v>
      </c>
      <c r="E1241" s="18">
        <f>[2]Trucks!J1238</f>
        <v>0</v>
      </c>
      <c r="F1241" s="12">
        <f>[2]Trucks!E1238</f>
        <v>0</v>
      </c>
      <c r="G1241" s="56">
        <f>[2]Trucks!K1238</f>
        <v>0</v>
      </c>
      <c r="H1241" s="46">
        <f>[2]Trucks!I1238</f>
        <v>0</v>
      </c>
      <c r="I1241" s="83" t="str">
        <f t="shared" si="95"/>
        <v/>
      </c>
      <c r="J1241" s="272" t="str">
        <f>IFERROR(VLOOKUP((D1241&amp;C1241)&amp;"",'[2]Retail Price List'!$C$4:$F$102,3,FALSE),"")</f>
        <v/>
      </c>
      <c r="K1241" s="272">
        <f>IFERROR(IF(BA1241="WIP - 30 Days",VLOOKUP(D1241,[3]Standard!$B$9:$E$101,4,FALSE),IF(BA1241="31-120 Days",VLOOKUP(D1241,[3]Standard!$B$9:$F$101,5,FALSE),IF(BA1241="121-365 Days",VLOOKUP(D1241,[3]Standard!$B$9:$G$101,6,FALSE),VLOOKUP(D1241,[3]Standard!$B$9:$H$101,7,FALSE)))),0)</f>
        <v>0</v>
      </c>
      <c r="L1241" s="272">
        <f>IFERROR(IF(BA1241="WIP - 30 Days",VLOOKUP(D1241,[3]Standard!$B$9:$J$101,9,FALSE),IF(BA1241="31-120 Days",VLOOKUP(D1241,[3]Standard!$B$9:$K$100,10,FALSE),IF(BA1241="121-365 Days",VLOOKUP(D1241,[3]Standard!$B$9:$L$101,11,FALSE),VLOOKUP(D1241,[3]Standard!$B$9:$M$101,12,FALSE)))),0)</f>
        <v>0</v>
      </c>
      <c r="M1241" s="269" t="str">
        <f>IFERROR(VLOOKUP((D1241&amp;C1241)&amp;"",'[2]Retail Price List'!$C$4:$F$102,4,FALSE),"")</f>
        <v/>
      </c>
      <c r="N1241" s="269">
        <f>IFERROR(IF(BA1241="WIP - 30 Days",VLOOKUP(D1241,[3]Extended!$B$9:$E$101,4,FALSE),IF(BA1241="31-120 Days",VLOOKUP(D1241,[3]Extended!$B$9:$F$101,5,FALSE),IF(BA1241="121-365 Days",VLOOKUP(D1241,[3]Extended!$B$9:$G$101,6,FALSE),VLOOKUP(D1241,[3]Extended!$B$9:$H$101,7,FALSE)))),0)</f>
        <v>0</v>
      </c>
      <c r="O1241" s="269">
        <f>IFERROR(IF(BA1241="WIP - 30 Days",VLOOKUP(D1241,[3]Extended!$B$9:$J$101,9,FALSE),IF(BA1241="31-120 Days",VLOOKUP(D1241,[3]Extended!$B$9:$K$101,10,FALSE),IF(BA1241="121-365 Days",VLOOKUP(D1241,[3]Extended!$B$9:$L$101,11,FALSE),VLOOKUP(D1241,[3]Extended!$B$9:$M$101,12,FALSE)))),0)</f>
        <v>0</v>
      </c>
      <c r="P1241" s="116" t="e">
        <f t="shared" si="96"/>
        <v>#VALUE!</v>
      </c>
      <c r="Q1241" s="110" t="e">
        <f>O1241-#REF!</f>
        <v>#REF!</v>
      </c>
      <c r="W1241" s="311"/>
      <c r="X1241" s="311"/>
      <c r="Y1241" s="311"/>
      <c r="Z1241" s="311"/>
      <c r="AA1241" s="311"/>
      <c r="AB1241" s="311"/>
      <c r="AC1241" s="311"/>
      <c r="AT1241" s="88" t="str">
        <f t="shared" si="97"/>
        <v>Special Order0</v>
      </c>
      <c r="AU1241" s="89" t="str">
        <f t="shared" si="98"/>
        <v>01-1900</v>
      </c>
      <c r="BA1241" s="92" t="str">
        <f t="shared" si="99"/>
        <v/>
      </c>
    </row>
    <row r="1242" spans="2:53">
      <c r="B1242" s="60">
        <f>[2]Trucks!A1239</f>
        <v>0</v>
      </c>
      <c r="C1242" s="11">
        <f>[2]Trucks!B1239</f>
        <v>0</v>
      </c>
      <c r="D1242" s="19" t="str">
        <f>IFERROR(VLOOKUP(C1242&amp;"",'[2]Retail Price List'!$A$3:$B$103,2,FALSE),"Special Order")</f>
        <v>Special Order</v>
      </c>
      <c r="E1242" s="18">
        <f>[2]Trucks!J1239</f>
        <v>0</v>
      </c>
      <c r="F1242" s="12">
        <f>[2]Trucks!E1239</f>
        <v>0</v>
      </c>
      <c r="G1242" s="56">
        <f>[2]Trucks!K1239</f>
        <v>0</v>
      </c>
      <c r="H1242" s="46">
        <f>[2]Trucks!I1239</f>
        <v>0</v>
      </c>
      <c r="I1242" s="83" t="str">
        <f t="shared" si="95"/>
        <v/>
      </c>
      <c r="J1242" s="272" t="str">
        <f>IFERROR(VLOOKUP((D1242&amp;C1242)&amp;"",'[2]Retail Price List'!$C$4:$F$102,3,FALSE),"")</f>
        <v/>
      </c>
      <c r="K1242" s="272">
        <f>IFERROR(IF(BA1242="WIP - 30 Days",VLOOKUP(D1242,[3]Standard!$B$9:$E$101,4,FALSE),IF(BA1242="31-120 Days",VLOOKUP(D1242,[3]Standard!$B$9:$F$101,5,FALSE),IF(BA1242="121-365 Days",VLOOKUP(D1242,[3]Standard!$B$9:$G$101,6,FALSE),VLOOKUP(D1242,[3]Standard!$B$9:$H$101,7,FALSE)))),0)</f>
        <v>0</v>
      </c>
      <c r="L1242" s="272">
        <f>IFERROR(IF(BA1242="WIP - 30 Days",VLOOKUP(D1242,[3]Standard!$B$9:$J$101,9,FALSE),IF(BA1242="31-120 Days",VLOOKUP(D1242,[3]Standard!$B$9:$K$100,10,FALSE),IF(BA1242="121-365 Days",VLOOKUP(D1242,[3]Standard!$B$9:$L$101,11,FALSE),VLOOKUP(D1242,[3]Standard!$B$9:$M$101,12,FALSE)))),0)</f>
        <v>0</v>
      </c>
      <c r="M1242" s="269" t="str">
        <f>IFERROR(VLOOKUP((D1242&amp;C1242)&amp;"",'[2]Retail Price List'!$C$4:$F$102,4,FALSE),"")</f>
        <v/>
      </c>
      <c r="N1242" s="269">
        <f>IFERROR(IF(BA1242="WIP - 30 Days",VLOOKUP(D1242,[3]Extended!$B$9:$E$101,4,FALSE),IF(BA1242="31-120 Days",VLOOKUP(D1242,[3]Extended!$B$9:$F$101,5,FALSE),IF(BA1242="121-365 Days",VLOOKUP(D1242,[3]Extended!$B$9:$G$101,6,FALSE),VLOOKUP(D1242,[3]Extended!$B$9:$H$101,7,FALSE)))),0)</f>
        <v>0</v>
      </c>
      <c r="O1242" s="269">
        <f>IFERROR(IF(BA1242="WIP - 30 Days",VLOOKUP(D1242,[3]Extended!$B$9:$J$101,9,FALSE),IF(BA1242="31-120 Days",VLOOKUP(D1242,[3]Extended!$B$9:$K$101,10,FALSE),IF(BA1242="121-365 Days",VLOOKUP(D1242,[3]Extended!$B$9:$L$101,11,FALSE),VLOOKUP(D1242,[3]Extended!$B$9:$M$101,12,FALSE)))),0)</f>
        <v>0</v>
      </c>
      <c r="P1242" s="116" t="e">
        <f t="shared" si="96"/>
        <v>#VALUE!</v>
      </c>
      <c r="Q1242" s="110" t="e">
        <f>O1242-#REF!</f>
        <v>#REF!</v>
      </c>
      <c r="W1242" s="311"/>
      <c r="X1242" s="311"/>
      <c r="Y1242" s="311"/>
      <c r="Z1242" s="311"/>
      <c r="AA1242" s="311"/>
      <c r="AB1242" s="311"/>
      <c r="AC1242" s="311"/>
      <c r="AT1242" s="88" t="str">
        <f t="shared" si="97"/>
        <v>Special Order0</v>
      </c>
      <c r="AU1242" s="89" t="str">
        <f t="shared" si="98"/>
        <v>01-1900</v>
      </c>
      <c r="BA1242" s="92" t="str">
        <f t="shared" si="99"/>
        <v/>
      </c>
    </row>
    <row r="1243" spans="2:53">
      <c r="B1243" s="60">
        <f>[2]Trucks!A1240</f>
        <v>0</v>
      </c>
      <c r="C1243" s="11">
        <f>[2]Trucks!B1240</f>
        <v>0</v>
      </c>
      <c r="D1243" s="19" t="str">
        <f>IFERROR(VLOOKUP(C1243&amp;"",'[2]Retail Price List'!$A$3:$B$103,2,FALSE),"Special Order")</f>
        <v>Special Order</v>
      </c>
      <c r="E1243" s="18">
        <f>[2]Trucks!J1240</f>
        <v>0</v>
      </c>
      <c r="F1243" s="12">
        <f>[2]Trucks!E1240</f>
        <v>0</v>
      </c>
      <c r="G1243" s="56">
        <f>[2]Trucks!K1240</f>
        <v>0</v>
      </c>
      <c r="H1243" s="46">
        <f>[2]Trucks!I1240</f>
        <v>0</v>
      </c>
      <c r="I1243" s="83" t="str">
        <f t="shared" si="95"/>
        <v/>
      </c>
      <c r="J1243" s="272" t="str">
        <f>IFERROR(VLOOKUP((D1243&amp;C1243)&amp;"",'[2]Retail Price List'!$C$4:$F$102,3,FALSE),"")</f>
        <v/>
      </c>
      <c r="K1243" s="272">
        <f>IFERROR(IF(BA1243="WIP - 30 Days",VLOOKUP(D1243,[3]Standard!$B$9:$E$101,4,FALSE),IF(BA1243="31-120 Days",VLOOKUP(D1243,[3]Standard!$B$9:$F$101,5,FALSE),IF(BA1243="121-365 Days",VLOOKUP(D1243,[3]Standard!$B$9:$G$101,6,FALSE),VLOOKUP(D1243,[3]Standard!$B$9:$H$101,7,FALSE)))),0)</f>
        <v>0</v>
      </c>
      <c r="L1243" s="272">
        <f>IFERROR(IF(BA1243="WIP - 30 Days",VLOOKUP(D1243,[3]Standard!$B$9:$J$101,9,FALSE),IF(BA1243="31-120 Days",VLOOKUP(D1243,[3]Standard!$B$9:$K$100,10,FALSE),IF(BA1243="121-365 Days",VLOOKUP(D1243,[3]Standard!$B$9:$L$101,11,FALSE),VLOOKUP(D1243,[3]Standard!$B$9:$M$101,12,FALSE)))),0)</f>
        <v>0</v>
      </c>
      <c r="M1243" s="269" t="str">
        <f>IFERROR(VLOOKUP((D1243&amp;C1243)&amp;"",'[2]Retail Price List'!$C$4:$F$102,4,FALSE),"")</f>
        <v/>
      </c>
      <c r="N1243" s="269">
        <f>IFERROR(IF(BA1243="WIP - 30 Days",VLOOKUP(D1243,[3]Extended!$B$9:$E$101,4,FALSE),IF(BA1243="31-120 Days",VLOOKUP(D1243,[3]Extended!$B$9:$F$101,5,FALSE),IF(BA1243="121-365 Days",VLOOKUP(D1243,[3]Extended!$B$9:$G$101,6,FALSE),VLOOKUP(D1243,[3]Extended!$B$9:$H$101,7,FALSE)))),0)</f>
        <v>0</v>
      </c>
      <c r="O1243" s="269">
        <f>IFERROR(IF(BA1243="WIP - 30 Days",VLOOKUP(D1243,[3]Extended!$B$9:$J$101,9,FALSE),IF(BA1243="31-120 Days",VLOOKUP(D1243,[3]Extended!$B$9:$K$101,10,FALSE),IF(BA1243="121-365 Days",VLOOKUP(D1243,[3]Extended!$B$9:$L$101,11,FALSE),VLOOKUP(D1243,[3]Extended!$B$9:$M$101,12,FALSE)))),0)</f>
        <v>0</v>
      </c>
      <c r="P1243" s="116" t="e">
        <f t="shared" si="96"/>
        <v>#VALUE!</v>
      </c>
      <c r="Q1243" s="110" t="e">
        <f>O1243-#REF!</f>
        <v>#REF!</v>
      </c>
      <c r="W1243" s="311"/>
      <c r="X1243" s="311"/>
      <c r="Y1243" s="311"/>
      <c r="Z1243" s="311"/>
      <c r="AA1243" s="311"/>
      <c r="AB1243" s="311"/>
      <c r="AC1243" s="311"/>
      <c r="AT1243" s="88" t="str">
        <f t="shared" si="97"/>
        <v>Special Order0</v>
      </c>
      <c r="AU1243" s="89" t="str">
        <f t="shared" si="98"/>
        <v>01-1900</v>
      </c>
      <c r="BA1243" s="92" t="str">
        <f t="shared" si="99"/>
        <v/>
      </c>
    </row>
    <row r="1244" spans="2:53">
      <c r="B1244" s="60">
        <f>[2]Trucks!A1241</f>
        <v>0</v>
      </c>
      <c r="C1244" s="11">
        <f>[2]Trucks!B1241</f>
        <v>0</v>
      </c>
      <c r="D1244" s="19" t="str">
        <f>IFERROR(VLOOKUP(C1244&amp;"",'[2]Retail Price List'!$A$3:$B$103,2,FALSE),"Special Order")</f>
        <v>Special Order</v>
      </c>
      <c r="E1244" s="18">
        <f>[2]Trucks!J1241</f>
        <v>0</v>
      </c>
      <c r="F1244" s="12">
        <f>[2]Trucks!E1241</f>
        <v>0</v>
      </c>
      <c r="G1244" s="56">
        <f>[2]Trucks!K1241</f>
        <v>0</v>
      </c>
      <c r="H1244" s="46">
        <f>[2]Trucks!I1241</f>
        <v>0</v>
      </c>
      <c r="I1244" s="83" t="str">
        <f t="shared" si="95"/>
        <v/>
      </c>
      <c r="J1244" s="272" t="str">
        <f>IFERROR(VLOOKUP((D1244&amp;C1244)&amp;"",'[2]Retail Price List'!$C$4:$F$102,3,FALSE),"")</f>
        <v/>
      </c>
      <c r="K1244" s="272">
        <f>IFERROR(IF(BA1244="WIP - 30 Days",VLOOKUP(D1244,[3]Standard!$B$9:$E$101,4,FALSE),IF(BA1244="31-120 Days",VLOOKUP(D1244,[3]Standard!$B$9:$F$101,5,FALSE),IF(BA1244="121-365 Days",VLOOKUP(D1244,[3]Standard!$B$9:$G$101,6,FALSE),VLOOKUP(D1244,[3]Standard!$B$9:$H$101,7,FALSE)))),0)</f>
        <v>0</v>
      </c>
      <c r="L1244" s="272">
        <f>IFERROR(IF(BA1244="WIP - 30 Days",VLOOKUP(D1244,[3]Standard!$B$9:$J$101,9,FALSE),IF(BA1244="31-120 Days",VLOOKUP(D1244,[3]Standard!$B$9:$K$100,10,FALSE),IF(BA1244="121-365 Days",VLOOKUP(D1244,[3]Standard!$B$9:$L$101,11,FALSE),VLOOKUP(D1244,[3]Standard!$B$9:$M$101,12,FALSE)))),0)</f>
        <v>0</v>
      </c>
      <c r="M1244" s="269" t="str">
        <f>IFERROR(VLOOKUP((D1244&amp;C1244)&amp;"",'[2]Retail Price List'!$C$4:$F$102,4,FALSE),"")</f>
        <v/>
      </c>
      <c r="N1244" s="269">
        <f>IFERROR(IF(BA1244="WIP - 30 Days",VLOOKUP(D1244,[3]Extended!$B$9:$E$101,4,FALSE),IF(BA1244="31-120 Days",VLOOKUP(D1244,[3]Extended!$B$9:$F$101,5,FALSE),IF(BA1244="121-365 Days",VLOOKUP(D1244,[3]Extended!$B$9:$G$101,6,FALSE),VLOOKUP(D1244,[3]Extended!$B$9:$H$101,7,FALSE)))),0)</f>
        <v>0</v>
      </c>
      <c r="O1244" s="269">
        <f>IFERROR(IF(BA1244="WIP - 30 Days",VLOOKUP(D1244,[3]Extended!$B$9:$J$101,9,FALSE),IF(BA1244="31-120 Days",VLOOKUP(D1244,[3]Extended!$B$9:$K$101,10,FALSE),IF(BA1244="121-365 Days",VLOOKUP(D1244,[3]Extended!$B$9:$L$101,11,FALSE),VLOOKUP(D1244,[3]Extended!$B$9:$M$101,12,FALSE)))),0)</f>
        <v>0</v>
      </c>
      <c r="P1244" s="116" t="e">
        <f t="shared" si="96"/>
        <v>#VALUE!</v>
      </c>
      <c r="Q1244" s="110" t="e">
        <f>O1244-#REF!</f>
        <v>#REF!</v>
      </c>
      <c r="W1244" s="311"/>
      <c r="X1244" s="311"/>
      <c r="Y1244" s="311"/>
      <c r="Z1244" s="311"/>
      <c r="AA1244" s="311"/>
      <c r="AB1244" s="311"/>
      <c r="AC1244" s="311"/>
      <c r="AT1244" s="88" t="str">
        <f t="shared" si="97"/>
        <v>Special Order0</v>
      </c>
      <c r="AU1244" s="89" t="str">
        <f t="shared" si="98"/>
        <v>01-1900</v>
      </c>
      <c r="BA1244" s="92" t="str">
        <f t="shared" si="99"/>
        <v/>
      </c>
    </row>
    <row r="1245" spans="2:53">
      <c r="B1245" s="60">
        <f>[2]Trucks!A1242</f>
        <v>0</v>
      </c>
      <c r="C1245" s="11">
        <f>[2]Trucks!B1242</f>
        <v>0</v>
      </c>
      <c r="D1245" s="19" t="str">
        <f>IFERROR(VLOOKUP(C1245&amp;"",'[2]Retail Price List'!$A$3:$B$103,2,FALSE),"Special Order")</f>
        <v>Special Order</v>
      </c>
      <c r="E1245" s="18">
        <f>[2]Trucks!J1242</f>
        <v>0</v>
      </c>
      <c r="F1245" s="12">
        <f>[2]Trucks!E1242</f>
        <v>0</v>
      </c>
      <c r="G1245" s="56">
        <f>[2]Trucks!K1242</f>
        <v>0</v>
      </c>
      <c r="H1245" s="46">
        <f>[2]Trucks!I1242</f>
        <v>0</v>
      </c>
      <c r="I1245" s="83" t="str">
        <f t="shared" si="95"/>
        <v/>
      </c>
      <c r="J1245" s="272" t="str">
        <f>IFERROR(VLOOKUP((D1245&amp;C1245)&amp;"",'[2]Retail Price List'!$C$4:$F$102,3,FALSE),"")</f>
        <v/>
      </c>
      <c r="K1245" s="272">
        <f>IFERROR(IF(BA1245="WIP - 30 Days",VLOOKUP(D1245,[3]Standard!$B$9:$E$101,4,FALSE),IF(BA1245="31-120 Days",VLOOKUP(D1245,[3]Standard!$B$9:$F$101,5,FALSE),IF(BA1245="121-365 Days",VLOOKUP(D1245,[3]Standard!$B$9:$G$101,6,FALSE),VLOOKUP(D1245,[3]Standard!$B$9:$H$101,7,FALSE)))),0)</f>
        <v>0</v>
      </c>
      <c r="L1245" s="272">
        <f>IFERROR(IF(BA1245="WIP - 30 Days",VLOOKUP(D1245,[3]Standard!$B$9:$J$101,9,FALSE),IF(BA1245="31-120 Days",VLOOKUP(D1245,[3]Standard!$B$9:$K$100,10,FALSE),IF(BA1245="121-365 Days",VLOOKUP(D1245,[3]Standard!$B$9:$L$101,11,FALSE),VLOOKUP(D1245,[3]Standard!$B$9:$M$101,12,FALSE)))),0)</f>
        <v>0</v>
      </c>
      <c r="M1245" s="269" t="str">
        <f>IFERROR(VLOOKUP((D1245&amp;C1245)&amp;"",'[2]Retail Price List'!$C$4:$F$102,4,FALSE),"")</f>
        <v/>
      </c>
      <c r="N1245" s="269">
        <f>IFERROR(IF(BA1245="WIP - 30 Days",VLOOKUP(D1245,[3]Extended!$B$9:$E$101,4,FALSE),IF(BA1245="31-120 Days",VLOOKUP(D1245,[3]Extended!$B$9:$F$101,5,FALSE),IF(BA1245="121-365 Days",VLOOKUP(D1245,[3]Extended!$B$9:$G$101,6,FALSE),VLOOKUP(D1245,[3]Extended!$B$9:$H$101,7,FALSE)))),0)</f>
        <v>0</v>
      </c>
      <c r="O1245" s="269">
        <f>IFERROR(IF(BA1245="WIP - 30 Days",VLOOKUP(D1245,[3]Extended!$B$9:$J$101,9,FALSE),IF(BA1245="31-120 Days",VLOOKUP(D1245,[3]Extended!$B$9:$K$101,10,FALSE),IF(BA1245="121-365 Days",VLOOKUP(D1245,[3]Extended!$B$9:$L$101,11,FALSE),VLOOKUP(D1245,[3]Extended!$B$9:$M$101,12,FALSE)))),0)</f>
        <v>0</v>
      </c>
      <c r="P1245" s="116" t="e">
        <f t="shared" si="96"/>
        <v>#VALUE!</v>
      </c>
      <c r="Q1245" s="110" t="e">
        <f>O1245-#REF!</f>
        <v>#REF!</v>
      </c>
      <c r="W1245" s="311"/>
      <c r="X1245" s="311"/>
      <c r="Y1245" s="311"/>
      <c r="Z1245" s="311"/>
      <c r="AA1245" s="311"/>
      <c r="AB1245" s="311"/>
      <c r="AC1245" s="311"/>
      <c r="AT1245" s="88" t="str">
        <f t="shared" si="97"/>
        <v>Special Order0</v>
      </c>
      <c r="AU1245" s="89" t="str">
        <f t="shared" si="98"/>
        <v>01-1900</v>
      </c>
      <c r="BA1245" s="92" t="str">
        <f t="shared" si="99"/>
        <v/>
      </c>
    </row>
    <row r="1246" spans="2:53">
      <c r="B1246" s="60">
        <f>[2]Trucks!A1243</f>
        <v>0</v>
      </c>
      <c r="C1246" s="11">
        <f>[2]Trucks!B1243</f>
        <v>0</v>
      </c>
      <c r="D1246" s="19" t="str">
        <f>IFERROR(VLOOKUP(C1246&amp;"",'[2]Retail Price List'!$A$3:$B$103,2,FALSE),"Special Order")</f>
        <v>Special Order</v>
      </c>
      <c r="E1246" s="18">
        <f>[2]Trucks!J1243</f>
        <v>0</v>
      </c>
      <c r="F1246" s="12">
        <f>[2]Trucks!E1243</f>
        <v>0</v>
      </c>
      <c r="G1246" s="56">
        <f>[2]Trucks!K1243</f>
        <v>0</v>
      </c>
      <c r="H1246" s="46">
        <f>[2]Trucks!I1243</f>
        <v>0</v>
      </c>
      <c r="I1246" s="83" t="str">
        <f t="shared" si="95"/>
        <v/>
      </c>
      <c r="J1246" s="272" t="str">
        <f>IFERROR(VLOOKUP((D1246&amp;C1246)&amp;"",'[2]Retail Price List'!$C$4:$F$102,3,FALSE),"")</f>
        <v/>
      </c>
      <c r="K1246" s="272">
        <f>IFERROR(IF(BA1246="WIP - 30 Days",VLOOKUP(D1246,[3]Standard!$B$9:$E$101,4,FALSE),IF(BA1246="31-120 Days",VLOOKUP(D1246,[3]Standard!$B$9:$F$101,5,FALSE),IF(BA1246="121-365 Days",VLOOKUP(D1246,[3]Standard!$B$9:$G$101,6,FALSE),VLOOKUP(D1246,[3]Standard!$B$9:$H$101,7,FALSE)))),0)</f>
        <v>0</v>
      </c>
      <c r="L1246" s="272">
        <f>IFERROR(IF(BA1246="WIP - 30 Days",VLOOKUP(D1246,[3]Standard!$B$9:$J$101,9,FALSE),IF(BA1246="31-120 Days",VLOOKUP(D1246,[3]Standard!$B$9:$K$100,10,FALSE),IF(BA1246="121-365 Days",VLOOKUP(D1246,[3]Standard!$B$9:$L$101,11,FALSE),VLOOKUP(D1246,[3]Standard!$B$9:$M$101,12,FALSE)))),0)</f>
        <v>0</v>
      </c>
      <c r="M1246" s="269" t="str">
        <f>IFERROR(VLOOKUP((D1246&amp;C1246)&amp;"",'[2]Retail Price List'!$C$4:$F$102,4,FALSE),"")</f>
        <v/>
      </c>
      <c r="N1246" s="269">
        <f>IFERROR(IF(BA1246="WIP - 30 Days",VLOOKUP(D1246,[3]Extended!$B$9:$E$101,4,FALSE),IF(BA1246="31-120 Days",VLOOKUP(D1246,[3]Extended!$B$9:$F$101,5,FALSE),IF(BA1246="121-365 Days",VLOOKUP(D1246,[3]Extended!$B$9:$G$101,6,FALSE),VLOOKUP(D1246,[3]Extended!$B$9:$H$101,7,FALSE)))),0)</f>
        <v>0</v>
      </c>
      <c r="O1246" s="269">
        <f>IFERROR(IF(BA1246="WIP - 30 Days",VLOOKUP(D1246,[3]Extended!$B$9:$J$101,9,FALSE),IF(BA1246="31-120 Days",VLOOKUP(D1246,[3]Extended!$B$9:$K$101,10,FALSE),IF(BA1246="121-365 Days",VLOOKUP(D1246,[3]Extended!$B$9:$L$101,11,FALSE),VLOOKUP(D1246,[3]Extended!$B$9:$M$101,12,FALSE)))),0)</f>
        <v>0</v>
      </c>
      <c r="P1246" s="116" t="e">
        <f t="shared" si="96"/>
        <v>#VALUE!</v>
      </c>
      <c r="Q1246" s="110" t="e">
        <f>O1246-#REF!</f>
        <v>#REF!</v>
      </c>
      <c r="W1246" s="311"/>
      <c r="X1246" s="311"/>
      <c r="Y1246" s="311"/>
      <c r="Z1246" s="311"/>
      <c r="AA1246" s="311"/>
      <c r="AB1246" s="311"/>
      <c r="AC1246" s="311"/>
      <c r="AT1246" s="88" t="str">
        <f t="shared" si="97"/>
        <v>Special Order0</v>
      </c>
      <c r="AU1246" s="89" t="str">
        <f t="shared" si="98"/>
        <v>01-1900</v>
      </c>
      <c r="BA1246" s="92" t="str">
        <f t="shared" si="99"/>
        <v/>
      </c>
    </row>
    <row r="1247" spans="2:53">
      <c r="B1247" s="60">
        <f>[2]Trucks!A1244</f>
        <v>0</v>
      </c>
      <c r="C1247" s="11">
        <f>[2]Trucks!B1244</f>
        <v>0</v>
      </c>
      <c r="D1247" s="19" t="str">
        <f>IFERROR(VLOOKUP(C1247&amp;"",'[2]Retail Price List'!$A$3:$B$103,2,FALSE),"Special Order")</f>
        <v>Special Order</v>
      </c>
      <c r="E1247" s="18">
        <f>[2]Trucks!J1244</f>
        <v>0</v>
      </c>
      <c r="F1247" s="12">
        <f>[2]Trucks!E1244</f>
        <v>0</v>
      </c>
      <c r="G1247" s="56">
        <f>[2]Trucks!K1244</f>
        <v>0</v>
      </c>
      <c r="H1247" s="46">
        <f>[2]Trucks!I1244</f>
        <v>0</v>
      </c>
      <c r="I1247" s="83" t="str">
        <f t="shared" si="95"/>
        <v/>
      </c>
      <c r="J1247" s="272" t="str">
        <f>IFERROR(VLOOKUP((D1247&amp;C1247)&amp;"",'[2]Retail Price List'!$C$4:$F$102,3,FALSE),"")</f>
        <v/>
      </c>
      <c r="K1247" s="272">
        <f>IFERROR(IF(BA1247="WIP - 30 Days",VLOOKUP(D1247,[3]Standard!$B$9:$E$101,4,FALSE),IF(BA1247="31-120 Days",VLOOKUP(D1247,[3]Standard!$B$9:$F$101,5,FALSE),IF(BA1247="121-365 Days",VLOOKUP(D1247,[3]Standard!$B$9:$G$101,6,FALSE),VLOOKUP(D1247,[3]Standard!$B$9:$H$101,7,FALSE)))),0)</f>
        <v>0</v>
      </c>
      <c r="L1247" s="272">
        <f>IFERROR(IF(BA1247="WIP - 30 Days",VLOOKUP(D1247,[3]Standard!$B$9:$J$101,9,FALSE),IF(BA1247="31-120 Days",VLOOKUP(D1247,[3]Standard!$B$9:$K$100,10,FALSE),IF(BA1247="121-365 Days",VLOOKUP(D1247,[3]Standard!$B$9:$L$101,11,FALSE),VLOOKUP(D1247,[3]Standard!$B$9:$M$101,12,FALSE)))),0)</f>
        <v>0</v>
      </c>
      <c r="M1247" s="269" t="str">
        <f>IFERROR(VLOOKUP((D1247&amp;C1247)&amp;"",'[2]Retail Price List'!$C$4:$F$102,4,FALSE),"")</f>
        <v/>
      </c>
      <c r="N1247" s="269">
        <f>IFERROR(IF(BA1247="WIP - 30 Days",VLOOKUP(D1247,[3]Extended!$B$9:$E$101,4,FALSE),IF(BA1247="31-120 Days",VLOOKUP(D1247,[3]Extended!$B$9:$F$101,5,FALSE),IF(BA1247="121-365 Days",VLOOKUP(D1247,[3]Extended!$B$9:$G$101,6,FALSE),VLOOKUP(D1247,[3]Extended!$B$9:$H$101,7,FALSE)))),0)</f>
        <v>0</v>
      </c>
      <c r="O1247" s="269">
        <f>IFERROR(IF(BA1247="WIP - 30 Days",VLOOKUP(D1247,[3]Extended!$B$9:$J$101,9,FALSE),IF(BA1247="31-120 Days",VLOOKUP(D1247,[3]Extended!$B$9:$K$101,10,FALSE),IF(BA1247="121-365 Days",VLOOKUP(D1247,[3]Extended!$B$9:$L$101,11,FALSE),VLOOKUP(D1247,[3]Extended!$B$9:$M$101,12,FALSE)))),0)</f>
        <v>0</v>
      </c>
      <c r="P1247" s="116" t="e">
        <f t="shared" si="96"/>
        <v>#VALUE!</v>
      </c>
      <c r="Q1247" s="110" t="e">
        <f>O1247-#REF!</f>
        <v>#REF!</v>
      </c>
      <c r="W1247" s="311"/>
      <c r="X1247" s="311"/>
      <c r="Y1247" s="311"/>
      <c r="Z1247" s="311"/>
      <c r="AA1247" s="311"/>
      <c r="AB1247" s="311"/>
      <c r="AC1247" s="311"/>
      <c r="AT1247" s="88" t="str">
        <f t="shared" si="97"/>
        <v>Special Order0</v>
      </c>
      <c r="AU1247" s="89" t="str">
        <f t="shared" si="98"/>
        <v>01-1900</v>
      </c>
      <c r="BA1247" s="92" t="str">
        <f t="shared" si="99"/>
        <v/>
      </c>
    </row>
    <row r="1248" spans="2:53">
      <c r="B1248" s="60">
        <f>[2]Trucks!A1245</f>
        <v>0</v>
      </c>
      <c r="C1248" s="11">
        <f>[2]Trucks!B1245</f>
        <v>0</v>
      </c>
      <c r="D1248" s="19" t="str">
        <f>IFERROR(VLOOKUP(C1248&amp;"",'[2]Retail Price List'!$A$3:$B$103,2,FALSE),"Special Order")</f>
        <v>Special Order</v>
      </c>
      <c r="E1248" s="18">
        <f>[2]Trucks!J1245</f>
        <v>0</v>
      </c>
      <c r="F1248" s="12">
        <f>[2]Trucks!E1245</f>
        <v>0</v>
      </c>
      <c r="G1248" s="56">
        <f>[2]Trucks!K1245</f>
        <v>0</v>
      </c>
      <c r="H1248" s="46">
        <f>[2]Trucks!I1245</f>
        <v>0</v>
      </c>
      <c r="I1248" s="83" t="str">
        <f t="shared" si="95"/>
        <v/>
      </c>
      <c r="J1248" s="272" t="str">
        <f>IFERROR(VLOOKUP((D1248&amp;C1248)&amp;"",'[2]Retail Price List'!$C$4:$F$102,3,FALSE),"")</f>
        <v/>
      </c>
      <c r="K1248" s="272">
        <f>IFERROR(IF(BA1248="WIP - 30 Days",VLOOKUP(D1248,[3]Standard!$B$9:$E$101,4,FALSE),IF(BA1248="31-120 Days",VLOOKUP(D1248,[3]Standard!$B$9:$F$101,5,FALSE),IF(BA1248="121-365 Days",VLOOKUP(D1248,[3]Standard!$B$9:$G$101,6,FALSE),VLOOKUP(D1248,[3]Standard!$B$9:$H$101,7,FALSE)))),0)</f>
        <v>0</v>
      </c>
      <c r="L1248" s="272">
        <f>IFERROR(IF(BA1248="WIP - 30 Days",VLOOKUP(D1248,[3]Standard!$B$9:$J$101,9,FALSE),IF(BA1248="31-120 Days",VLOOKUP(D1248,[3]Standard!$B$9:$K$100,10,FALSE),IF(BA1248="121-365 Days",VLOOKUP(D1248,[3]Standard!$B$9:$L$101,11,FALSE),VLOOKUP(D1248,[3]Standard!$B$9:$M$101,12,FALSE)))),0)</f>
        <v>0</v>
      </c>
      <c r="M1248" s="269" t="str">
        <f>IFERROR(VLOOKUP((D1248&amp;C1248)&amp;"",'[2]Retail Price List'!$C$4:$F$102,4,FALSE),"")</f>
        <v/>
      </c>
      <c r="N1248" s="269">
        <f>IFERROR(IF(BA1248="WIP - 30 Days",VLOOKUP(D1248,[3]Extended!$B$9:$E$101,4,FALSE),IF(BA1248="31-120 Days",VLOOKUP(D1248,[3]Extended!$B$9:$F$101,5,FALSE),IF(BA1248="121-365 Days",VLOOKUP(D1248,[3]Extended!$B$9:$G$101,6,FALSE),VLOOKUP(D1248,[3]Extended!$B$9:$H$101,7,FALSE)))),0)</f>
        <v>0</v>
      </c>
      <c r="O1248" s="269">
        <f>IFERROR(IF(BA1248="WIP - 30 Days",VLOOKUP(D1248,[3]Extended!$B$9:$J$101,9,FALSE),IF(BA1248="31-120 Days",VLOOKUP(D1248,[3]Extended!$B$9:$K$101,10,FALSE),IF(BA1248="121-365 Days",VLOOKUP(D1248,[3]Extended!$B$9:$L$101,11,FALSE),VLOOKUP(D1248,[3]Extended!$B$9:$M$101,12,FALSE)))),0)</f>
        <v>0</v>
      </c>
      <c r="P1248" s="116" t="e">
        <f t="shared" si="96"/>
        <v>#VALUE!</v>
      </c>
      <c r="Q1248" s="110" t="e">
        <f>O1248-#REF!</f>
        <v>#REF!</v>
      </c>
      <c r="W1248" s="311"/>
      <c r="X1248" s="311"/>
      <c r="Y1248" s="311"/>
      <c r="Z1248" s="311"/>
      <c r="AA1248" s="311"/>
      <c r="AB1248" s="311"/>
      <c r="AC1248" s="311"/>
      <c r="AT1248" s="88" t="str">
        <f t="shared" si="97"/>
        <v>Special Order0</v>
      </c>
      <c r="AU1248" s="89" t="str">
        <f t="shared" si="98"/>
        <v>01-1900</v>
      </c>
      <c r="BA1248" s="92" t="str">
        <f t="shared" si="99"/>
        <v/>
      </c>
    </row>
    <row r="1249" spans="2:53">
      <c r="B1249" s="60">
        <f>[2]Trucks!A1246</f>
        <v>0</v>
      </c>
      <c r="C1249" s="11">
        <f>[2]Trucks!B1246</f>
        <v>0</v>
      </c>
      <c r="D1249" s="19" t="str">
        <f>IFERROR(VLOOKUP(C1249&amp;"",'[2]Retail Price List'!$A$3:$B$103,2,FALSE),"Special Order")</f>
        <v>Special Order</v>
      </c>
      <c r="E1249" s="18">
        <f>[2]Trucks!J1246</f>
        <v>0</v>
      </c>
      <c r="F1249" s="12">
        <f>[2]Trucks!E1246</f>
        <v>0</v>
      </c>
      <c r="G1249" s="56">
        <f>[2]Trucks!K1246</f>
        <v>0</v>
      </c>
      <c r="H1249" s="46">
        <f>[2]Trucks!I1246</f>
        <v>0</v>
      </c>
      <c r="I1249" s="83" t="str">
        <f t="shared" si="95"/>
        <v/>
      </c>
      <c r="J1249" s="272" t="str">
        <f>IFERROR(VLOOKUP((D1249&amp;C1249)&amp;"",'[2]Retail Price List'!$C$4:$F$102,3,FALSE),"")</f>
        <v/>
      </c>
      <c r="K1249" s="272">
        <f>IFERROR(IF(BA1249="WIP - 30 Days",VLOOKUP(D1249,[3]Standard!$B$9:$E$101,4,FALSE),IF(BA1249="31-120 Days",VLOOKUP(D1249,[3]Standard!$B$9:$F$101,5,FALSE),IF(BA1249="121-365 Days",VLOOKUP(D1249,[3]Standard!$B$9:$G$101,6,FALSE),VLOOKUP(D1249,[3]Standard!$B$9:$H$101,7,FALSE)))),0)</f>
        <v>0</v>
      </c>
      <c r="L1249" s="272">
        <f>IFERROR(IF(BA1249="WIP - 30 Days",VLOOKUP(D1249,[3]Standard!$B$9:$J$101,9,FALSE),IF(BA1249="31-120 Days",VLOOKUP(D1249,[3]Standard!$B$9:$K$100,10,FALSE),IF(BA1249="121-365 Days",VLOOKUP(D1249,[3]Standard!$B$9:$L$101,11,FALSE),VLOOKUP(D1249,[3]Standard!$B$9:$M$101,12,FALSE)))),0)</f>
        <v>0</v>
      </c>
      <c r="M1249" s="269" t="str">
        <f>IFERROR(VLOOKUP((D1249&amp;C1249)&amp;"",'[2]Retail Price List'!$C$4:$F$102,4,FALSE),"")</f>
        <v/>
      </c>
      <c r="N1249" s="269">
        <f>IFERROR(IF(BA1249="WIP - 30 Days",VLOOKUP(D1249,[3]Extended!$B$9:$E$101,4,FALSE),IF(BA1249="31-120 Days",VLOOKUP(D1249,[3]Extended!$B$9:$F$101,5,FALSE),IF(BA1249="121-365 Days",VLOOKUP(D1249,[3]Extended!$B$9:$G$101,6,FALSE),VLOOKUP(D1249,[3]Extended!$B$9:$H$101,7,FALSE)))),0)</f>
        <v>0</v>
      </c>
      <c r="O1249" s="269">
        <f>IFERROR(IF(BA1249="WIP - 30 Days",VLOOKUP(D1249,[3]Extended!$B$9:$J$101,9,FALSE),IF(BA1249="31-120 Days",VLOOKUP(D1249,[3]Extended!$B$9:$K$101,10,FALSE),IF(BA1249="121-365 Days",VLOOKUP(D1249,[3]Extended!$B$9:$L$101,11,FALSE),VLOOKUP(D1249,[3]Extended!$B$9:$M$101,12,FALSE)))),0)</f>
        <v>0</v>
      </c>
      <c r="P1249" s="116" t="e">
        <f t="shared" si="96"/>
        <v>#VALUE!</v>
      </c>
      <c r="Q1249" s="110" t="e">
        <f>O1249-#REF!</f>
        <v>#REF!</v>
      </c>
      <c r="W1249" s="311"/>
      <c r="X1249" s="311"/>
      <c r="Y1249" s="311"/>
      <c r="Z1249" s="311"/>
      <c r="AA1249" s="311"/>
      <c r="AB1249" s="311"/>
      <c r="AC1249" s="311"/>
      <c r="AT1249" s="88" t="str">
        <f t="shared" si="97"/>
        <v>Special Order0</v>
      </c>
      <c r="AU1249" s="89" t="str">
        <f t="shared" si="98"/>
        <v>01-1900</v>
      </c>
      <c r="BA1249" s="92" t="str">
        <f t="shared" si="99"/>
        <v/>
      </c>
    </row>
    <row r="1250" spans="2:53">
      <c r="B1250" s="60">
        <f>[2]Trucks!A1247</f>
        <v>0</v>
      </c>
      <c r="C1250" s="11">
        <f>[2]Trucks!B1247</f>
        <v>0</v>
      </c>
      <c r="D1250" s="19" t="str">
        <f>IFERROR(VLOOKUP(C1250&amp;"",'[2]Retail Price List'!$A$3:$B$103,2,FALSE),"Special Order")</f>
        <v>Special Order</v>
      </c>
      <c r="E1250" s="18">
        <f>[2]Trucks!J1247</f>
        <v>0</v>
      </c>
      <c r="F1250" s="12">
        <f>[2]Trucks!E1247</f>
        <v>0</v>
      </c>
      <c r="G1250" s="56">
        <f>[2]Trucks!K1247</f>
        <v>0</v>
      </c>
      <c r="H1250" s="46">
        <f>[2]Trucks!I1247</f>
        <v>0</v>
      </c>
      <c r="I1250" s="83" t="str">
        <f t="shared" si="95"/>
        <v/>
      </c>
      <c r="J1250" s="272" t="str">
        <f>IFERROR(VLOOKUP((D1250&amp;C1250)&amp;"",'[2]Retail Price List'!$C$4:$F$102,3,FALSE),"")</f>
        <v/>
      </c>
      <c r="K1250" s="272">
        <f>IFERROR(IF(BA1250="WIP - 30 Days",VLOOKUP(D1250,[3]Standard!$B$9:$E$101,4,FALSE),IF(BA1250="31-120 Days",VLOOKUP(D1250,[3]Standard!$B$9:$F$101,5,FALSE),IF(BA1250="121-365 Days",VLOOKUP(D1250,[3]Standard!$B$9:$G$101,6,FALSE),VLOOKUP(D1250,[3]Standard!$B$9:$H$101,7,FALSE)))),0)</f>
        <v>0</v>
      </c>
      <c r="L1250" s="272">
        <f>IFERROR(IF(BA1250="WIP - 30 Days",VLOOKUP(D1250,[3]Standard!$B$9:$J$101,9,FALSE),IF(BA1250="31-120 Days",VLOOKUP(D1250,[3]Standard!$B$9:$K$100,10,FALSE),IF(BA1250="121-365 Days",VLOOKUP(D1250,[3]Standard!$B$9:$L$101,11,FALSE),VLOOKUP(D1250,[3]Standard!$B$9:$M$101,12,FALSE)))),0)</f>
        <v>0</v>
      </c>
      <c r="M1250" s="269" t="str">
        <f>IFERROR(VLOOKUP((D1250&amp;C1250)&amp;"",'[2]Retail Price List'!$C$4:$F$102,4,FALSE),"")</f>
        <v/>
      </c>
      <c r="N1250" s="269">
        <f>IFERROR(IF(BA1250="WIP - 30 Days",VLOOKUP(D1250,[3]Extended!$B$9:$E$101,4,FALSE),IF(BA1250="31-120 Days",VLOOKUP(D1250,[3]Extended!$B$9:$F$101,5,FALSE),IF(BA1250="121-365 Days",VLOOKUP(D1250,[3]Extended!$B$9:$G$101,6,FALSE),VLOOKUP(D1250,[3]Extended!$B$9:$H$101,7,FALSE)))),0)</f>
        <v>0</v>
      </c>
      <c r="O1250" s="269">
        <f>IFERROR(IF(BA1250="WIP - 30 Days",VLOOKUP(D1250,[3]Extended!$B$9:$J$101,9,FALSE),IF(BA1250="31-120 Days",VLOOKUP(D1250,[3]Extended!$B$9:$K$101,10,FALSE),IF(BA1250="121-365 Days",VLOOKUP(D1250,[3]Extended!$B$9:$L$101,11,FALSE),VLOOKUP(D1250,[3]Extended!$B$9:$M$101,12,FALSE)))),0)</f>
        <v>0</v>
      </c>
      <c r="P1250" s="116" t="e">
        <f t="shared" si="96"/>
        <v>#VALUE!</v>
      </c>
      <c r="Q1250" s="110" t="e">
        <f>O1250-#REF!</f>
        <v>#REF!</v>
      </c>
      <c r="W1250" s="311"/>
      <c r="X1250" s="311"/>
      <c r="Y1250" s="311"/>
      <c r="Z1250" s="311"/>
      <c r="AA1250" s="311"/>
      <c r="AB1250" s="311"/>
      <c r="AC1250" s="311"/>
      <c r="AT1250" s="88" t="str">
        <f t="shared" si="97"/>
        <v>Special Order0</v>
      </c>
      <c r="AU1250" s="89" t="str">
        <f t="shared" si="98"/>
        <v>01-1900</v>
      </c>
      <c r="BA1250" s="92" t="str">
        <f t="shared" si="99"/>
        <v/>
      </c>
    </row>
    <row r="1251" spans="2:53">
      <c r="B1251" s="60">
        <f>[2]Trucks!A1248</f>
        <v>0</v>
      </c>
      <c r="C1251" s="11">
        <f>[2]Trucks!B1248</f>
        <v>0</v>
      </c>
      <c r="D1251" s="19" t="str">
        <f>IFERROR(VLOOKUP(C1251&amp;"",'[2]Retail Price List'!$A$3:$B$103,2,FALSE),"Special Order")</f>
        <v>Special Order</v>
      </c>
      <c r="E1251" s="18">
        <f>[2]Trucks!J1248</f>
        <v>0</v>
      </c>
      <c r="F1251" s="12">
        <f>[2]Trucks!E1248</f>
        <v>0</v>
      </c>
      <c r="G1251" s="56">
        <f>[2]Trucks!K1248</f>
        <v>0</v>
      </c>
      <c r="H1251" s="46">
        <f>[2]Trucks!I1248</f>
        <v>0</v>
      </c>
      <c r="I1251" s="83" t="str">
        <f t="shared" si="95"/>
        <v/>
      </c>
      <c r="J1251" s="272" t="str">
        <f>IFERROR(VLOOKUP((D1251&amp;C1251)&amp;"",'[2]Retail Price List'!$C$4:$F$102,3,FALSE),"")</f>
        <v/>
      </c>
      <c r="K1251" s="272">
        <f>IFERROR(IF(BA1251="WIP - 30 Days",VLOOKUP(D1251,[3]Standard!$B$9:$E$101,4,FALSE),IF(BA1251="31-120 Days",VLOOKUP(D1251,[3]Standard!$B$9:$F$101,5,FALSE),IF(BA1251="121-365 Days",VLOOKUP(D1251,[3]Standard!$B$9:$G$101,6,FALSE),VLOOKUP(D1251,[3]Standard!$B$9:$H$101,7,FALSE)))),0)</f>
        <v>0</v>
      </c>
      <c r="L1251" s="272">
        <f>IFERROR(IF(BA1251="WIP - 30 Days",VLOOKUP(D1251,[3]Standard!$B$9:$J$101,9,FALSE),IF(BA1251="31-120 Days",VLOOKUP(D1251,[3]Standard!$B$9:$K$100,10,FALSE),IF(BA1251="121-365 Days",VLOOKUP(D1251,[3]Standard!$B$9:$L$101,11,FALSE),VLOOKUP(D1251,[3]Standard!$B$9:$M$101,12,FALSE)))),0)</f>
        <v>0</v>
      </c>
      <c r="M1251" s="269" t="str">
        <f>IFERROR(VLOOKUP((D1251&amp;C1251)&amp;"",'[2]Retail Price List'!$C$4:$F$102,4,FALSE),"")</f>
        <v/>
      </c>
      <c r="N1251" s="269">
        <f>IFERROR(IF(BA1251="WIP - 30 Days",VLOOKUP(D1251,[3]Extended!$B$9:$E$101,4,FALSE),IF(BA1251="31-120 Days",VLOOKUP(D1251,[3]Extended!$B$9:$F$101,5,FALSE),IF(BA1251="121-365 Days",VLOOKUP(D1251,[3]Extended!$B$9:$G$101,6,FALSE),VLOOKUP(D1251,[3]Extended!$B$9:$H$101,7,FALSE)))),0)</f>
        <v>0</v>
      </c>
      <c r="O1251" s="269">
        <f>IFERROR(IF(BA1251="WIP - 30 Days",VLOOKUP(D1251,[3]Extended!$B$9:$J$101,9,FALSE),IF(BA1251="31-120 Days",VLOOKUP(D1251,[3]Extended!$B$9:$K$101,10,FALSE),IF(BA1251="121-365 Days",VLOOKUP(D1251,[3]Extended!$B$9:$L$101,11,FALSE),VLOOKUP(D1251,[3]Extended!$B$9:$M$101,12,FALSE)))),0)</f>
        <v>0</v>
      </c>
      <c r="P1251" s="116" t="e">
        <f t="shared" si="96"/>
        <v>#VALUE!</v>
      </c>
      <c r="Q1251" s="110" t="e">
        <f>O1251-#REF!</f>
        <v>#REF!</v>
      </c>
      <c r="W1251" s="311"/>
      <c r="X1251" s="311"/>
      <c r="Y1251" s="311"/>
      <c r="Z1251" s="311"/>
      <c r="AA1251" s="311"/>
      <c r="AB1251" s="311"/>
      <c r="AC1251" s="311"/>
      <c r="AT1251" s="88" t="str">
        <f t="shared" si="97"/>
        <v>Special Order0</v>
      </c>
      <c r="AU1251" s="89" t="str">
        <f t="shared" si="98"/>
        <v>01-1900</v>
      </c>
      <c r="BA1251" s="92" t="str">
        <f t="shared" si="99"/>
        <v/>
      </c>
    </row>
    <row r="1252" spans="2:53">
      <c r="B1252" s="60">
        <f>[2]Trucks!A1249</f>
        <v>0</v>
      </c>
      <c r="C1252" s="11">
        <f>[2]Trucks!B1249</f>
        <v>0</v>
      </c>
      <c r="D1252" s="19" t="str">
        <f>IFERROR(VLOOKUP(C1252&amp;"",'[2]Retail Price List'!$A$3:$B$103,2,FALSE),"Special Order")</f>
        <v>Special Order</v>
      </c>
      <c r="E1252" s="18">
        <f>[2]Trucks!J1249</f>
        <v>0</v>
      </c>
      <c r="F1252" s="12">
        <f>[2]Trucks!E1249</f>
        <v>0</v>
      </c>
      <c r="G1252" s="56">
        <f>[2]Trucks!K1249</f>
        <v>0</v>
      </c>
      <c r="H1252" s="46">
        <f>[2]Trucks!I1249</f>
        <v>0</v>
      </c>
      <c r="I1252" s="83" t="str">
        <f t="shared" si="95"/>
        <v/>
      </c>
      <c r="J1252" s="272" t="str">
        <f>IFERROR(VLOOKUP((D1252&amp;C1252)&amp;"",'[2]Retail Price List'!$C$4:$F$102,3,FALSE),"")</f>
        <v/>
      </c>
      <c r="K1252" s="272">
        <f>IFERROR(IF(BA1252="WIP - 30 Days",VLOOKUP(D1252,[3]Standard!$B$9:$E$101,4,FALSE),IF(BA1252="31-120 Days",VLOOKUP(D1252,[3]Standard!$B$9:$F$101,5,FALSE),IF(BA1252="121-365 Days",VLOOKUP(D1252,[3]Standard!$B$9:$G$101,6,FALSE),VLOOKUP(D1252,[3]Standard!$B$9:$H$101,7,FALSE)))),0)</f>
        <v>0</v>
      </c>
      <c r="L1252" s="272">
        <f>IFERROR(IF(BA1252="WIP - 30 Days",VLOOKUP(D1252,[3]Standard!$B$9:$J$101,9,FALSE),IF(BA1252="31-120 Days",VLOOKUP(D1252,[3]Standard!$B$9:$K$100,10,FALSE),IF(BA1252="121-365 Days",VLOOKUP(D1252,[3]Standard!$B$9:$L$101,11,FALSE),VLOOKUP(D1252,[3]Standard!$B$9:$M$101,12,FALSE)))),0)</f>
        <v>0</v>
      </c>
      <c r="M1252" s="269" t="str">
        <f>IFERROR(VLOOKUP((D1252&amp;C1252)&amp;"",'[2]Retail Price List'!$C$4:$F$102,4,FALSE),"")</f>
        <v/>
      </c>
      <c r="N1252" s="269">
        <f>IFERROR(IF(BA1252="WIP - 30 Days",VLOOKUP(D1252,[3]Extended!$B$9:$E$101,4,FALSE),IF(BA1252="31-120 Days",VLOOKUP(D1252,[3]Extended!$B$9:$F$101,5,FALSE),IF(BA1252="121-365 Days",VLOOKUP(D1252,[3]Extended!$B$9:$G$101,6,FALSE),VLOOKUP(D1252,[3]Extended!$B$9:$H$101,7,FALSE)))),0)</f>
        <v>0</v>
      </c>
      <c r="O1252" s="269">
        <f>IFERROR(IF(BA1252="WIP - 30 Days",VLOOKUP(D1252,[3]Extended!$B$9:$J$101,9,FALSE),IF(BA1252="31-120 Days",VLOOKUP(D1252,[3]Extended!$B$9:$K$101,10,FALSE),IF(BA1252="121-365 Days",VLOOKUP(D1252,[3]Extended!$B$9:$L$101,11,FALSE),VLOOKUP(D1252,[3]Extended!$B$9:$M$101,12,FALSE)))),0)</f>
        <v>0</v>
      </c>
      <c r="P1252" s="116" t="e">
        <f t="shared" si="96"/>
        <v>#VALUE!</v>
      </c>
      <c r="Q1252" s="110" t="e">
        <f>O1252-#REF!</f>
        <v>#REF!</v>
      </c>
      <c r="W1252" s="311"/>
      <c r="X1252" s="311"/>
      <c r="Y1252" s="311"/>
      <c r="Z1252" s="311"/>
      <c r="AA1252" s="311"/>
      <c r="AB1252" s="311"/>
      <c r="AC1252" s="311"/>
      <c r="AT1252" s="88" t="str">
        <f t="shared" si="97"/>
        <v>Special Order0</v>
      </c>
      <c r="AU1252" s="89" t="str">
        <f t="shared" si="98"/>
        <v>01-1900</v>
      </c>
      <c r="BA1252" s="92" t="str">
        <f t="shared" si="99"/>
        <v/>
      </c>
    </row>
    <row r="1253" spans="2:53">
      <c r="B1253" s="60">
        <f>[2]Trucks!A1250</f>
        <v>0</v>
      </c>
      <c r="C1253" s="11">
        <f>[2]Trucks!B1250</f>
        <v>0</v>
      </c>
      <c r="D1253" s="19" t="str">
        <f>IFERROR(VLOOKUP(C1253&amp;"",'[2]Retail Price List'!$A$3:$B$103,2,FALSE),"Special Order")</f>
        <v>Special Order</v>
      </c>
      <c r="E1253" s="18">
        <f>[2]Trucks!J1250</f>
        <v>0</v>
      </c>
      <c r="F1253" s="12">
        <f>[2]Trucks!E1250</f>
        <v>0</v>
      </c>
      <c r="G1253" s="56">
        <f>[2]Trucks!K1250</f>
        <v>0</v>
      </c>
      <c r="H1253" s="46">
        <f>[2]Trucks!I1250</f>
        <v>0</v>
      </c>
      <c r="I1253" s="83" t="str">
        <f t="shared" si="95"/>
        <v/>
      </c>
      <c r="J1253" s="272" t="str">
        <f>IFERROR(VLOOKUP((D1253&amp;C1253)&amp;"",'[2]Retail Price List'!$C$4:$F$102,3,FALSE),"")</f>
        <v/>
      </c>
      <c r="K1253" s="272">
        <f>IFERROR(IF(BA1253="WIP - 30 Days",VLOOKUP(D1253,[3]Standard!$B$9:$E$101,4,FALSE),IF(BA1253="31-120 Days",VLOOKUP(D1253,[3]Standard!$B$9:$F$101,5,FALSE),IF(BA1253="121-365 Days",VLOOKUP(D1253,[3]Standard!$B$9:$G$101,6,FALSE),VLOOKUP(D1253,[3]Standard!$B$9:$H$101,7,FALSE)))),0)</f>
        <v>0</v>
      </c>
      <c r="L1253" s="272">
        <f>IFERROR(IF(BA1253="WIP - 30 Days",VLOOKUP(D1253,[3]Standard!$B$9:$J$101,9,FALSE),IF(BA1253="31-120 Days",VLOOKUP(D1253,[3]Standard!$B$9:$K$100,10,FALSE),IF(BA1253="121-365 Days",VLOOKUP(D1253,[3]Standard!$B$9:$L$101,11,FALSE),VLOOKUP(D1253,[3]Standard!$B$9:$M$101,12,FALSE)))),0)</f>
        <v>0</v>
      </c>
      <c r="M1253" s="269" t="str">
        <f>IFERROR(VLOOKUP((D1253&amp;C1253)&amp;"",'[2]Retail Price List'!$C$4:$F$102,4,FALSE),"")</f>
        <v/>
      </c>
      <c r="N1253" s="269">
        <f>IFERROR(IF(BA1253="WIP - 30 Days",VLOOKUP(D1253,[3]Extended!$B$9:$E$101,4,FALSE),IF(BA1253="31-120 Days",VLOOKUP(D1253,[3]Extended!$B$9:$F$101,5,FALSE),IF(BA1253="121-365 Days",VLOOKUP(D1253,[3]Extended!$B$9:$G$101,6,FALSE),VLOOKUP(D1253,[3]Extended!$B$9:$H$101,7,FALSE)))),0)</f>
        <v>0</v>
      </c>
      <c r="O1253" s="269">
        <f>IFERROR(IF(BA1253="WIP - 30 Days",VLOOKUP(D1253,[3]Extended!$B$9:$J$101,9,FALSE),IF(BA1253="31-120 Days",VLOOKUP(D1253,[3]Extended!$B$9:$K$101,10,FALSE),IF(BA1253="121-365 Days",VLOOKUP(D1253,[3]Extended!$B$9:$L$101,11,FALSE),VLOOKUP(D1253,[3]Extended!$B$9:$M$101,12,FALSE)))),0)</f>
        <v>0</v>
      </c>
      <c r="P1253" s="116" t="e">
        <f t="shared" si="96"/>
        <v>#VALUE!</v>
      </c>
      <c r="Q1253" s="110" t="e">
        <f>O1253-#REF!</f>
        <v>#REF!</v>
      </c>
      <c r="W1253" s="311"/>
      <c r="X1253" s="311"/>
      <c r="Y1253" s="311"/>
      <c r="Z1253" s="311"/>
      <c r="AA1253" s="311"/>
      <c r="AB1253" s="311"/>
      <c r="AC1253" s="311"/>
      <c r="AT1253" s="88" t="str">
        <f t="shared" si="97"/>
        <v>Special Order0</v>
      </c>
      <c r="AU1253" s="89" t="str">
        <f t="shared" si="98"/>
        <v>01-1900</v>
      </c>
      <c r="BA1253" s="92" t="str">
        <f t="shared" si="99"/>
        <v/>
      </c>
    </row>
    <row r="1254" spans="2:53">
      <c r="B1254" s="60">
        <f>[2]Trucks!A1251</f>
        <v>0</v>
      </c>
      <c r="C1254" s="11">
        <f>[2]Trucks!B1251</f>
        <v>0</v>
      </c>
      <c r="D1254" s="19" t="str">
        <f>IFERROR(VLOOKUP(C1254&amp;"",'[2]Retail Price List'!$A$3:$B$103,2,FALSE),"Special Order")</f>
        <v>Special Order</v>
      </c>
      <c r="E1254" s="18">
        <f>[2]Trucks!J1251</f>
        <v>0</v>
      </c>
      <c r="F1254" s="12">
        <f>[2]Trucks!E1251</f>
        <v>0</v>
      </c>
      <c r="G1254" s="56">
        <f>[2]Trucks!K1251</f>
        <v>0</v>
      </c>
      <c r="H1254" s="46">
        <f>[2]Trucks!I1251</f>
        <v>0</v>
      </c>
      <c r="I1254" s="83" t="str">
        <f t="shared" si="95"/>
        <v/>
      </c>
      <c r="J1254" s="272" t="str">
        <f>IFERROR(VLOOKUP((D1254&amp;C1254)&amp;"",'[2]Retail Price List'!$C$4:$F$102,3,FALSE),"")</f>
        <v/>
      </c>
      <c r="K1254" s="272">
        <f>IFERROR(IF(BA1254="WIP - 30 Days",VLOOKUP(D1254,[3]Standard!$B$9:$E$101,4,FALSE),IF(BA1254="31-120 Days",VLOOKUP(D1254,[3]Standard!$B$9:$F$101,5,FALSE),IF(BA1254="121-365 Days",VLOOKUP(D1254,[3]Standard!$B$9:$G$101,6,FALSE),VLOOKUP(D1254,[3]Standard!$B$9:$H$101,7,FALSE)))),0)</f>
        <v>0</v>
      </c>
      <c r="L1254" s="272">
        <f>IFERROR(IF(BA1254="WIP - 30 Days",VLOOKUP(D1254,[3]Standard!$B$9:$J$101,9,FALSE),IF(BA1254="31-120 Days",VLOOKUP(D1254,[3]Standard!$B$9:$K$100,10,FALSE),IF(BA1254="121-365 Days",VLOOKUP(D1254,[3]Standard!$B$9:$L$101,11,FALSE),VLOOKUP(D1254,[3]Standard!$B$9:$M$101,12,FALSE)))),0)</f>
        <v>0</v>
      </c>
      <c r="M1254" s="269" t="str">
        <f>IFERROR(VLOOKUP((D1254&amp;C1254)&amp;"",'[2]Retail Price List'!$C$4:$F$102,4,FALSE),"")</f>
        <v/>
      </c>
      <c r="N1254" s="269">
        <f>IFERROR(IF(BA1254="WIP - 30 Days",VLOOKUP(D1254,[3]Extended!$B$9:$E$101,4,FALSE),IF(BA1254="31-120 Days",VLOOKUP(D1254,[3]Extended!$B$9:$F$101,5,FALSE),IF(BA1254="121-365 Days",VLOOKUP(D1254,[3]Extended!$B$9:$G$101,6,FALSE),VLOOKUP(D1254,[3]Extended!$B$9:$H$101,7,FALSE)))),0)</f>
        <v>0</v>
      </c>
      <c r="O1254" s="269">
        <f>IFERROR(IF(BA1254="WIP - 30 Days",VLOOKUP(D1254,[3]Extended!$B$9:$J$101,9,FALSE),IF(BA1254="31-120 Days",VLOOKUP(D1254,[3]Extended!$B$9:$K$101,10,FALSE),IF(BA1254="121-365 Days",VLOOKUP(D1254,[3]Extended!$B$9:$L$101,11,FALSE),VLOOKUP(D1254,[3]Extended!$B$9:$M$101,12,FALSE)))),0)</f>
        <v>0</v>
      </c>
      <c r="P1254" s="116" t="e">
        <f t="shared" si="96"/>
        <v>#VALUE!</v>
      </c>
      <c r="Q1254" s="110" t="e">
        <f>O1254-#REF!</f>
        <v>#REF!</v>
      </c>
      <c r="W1254" s="310"/>
      <c r="X1254" s="310"/>
      <c r="Y1254" s="310"/>
      <c r="Z1254" s="310"/>
      <c r="AA1254" s="310"/>
      <c r="AB1254" s="310"/>
      <c r="AC1254" s="310"/>
      <c r="AT1254" s="88" t="str">
        <f t="shared" si="97"/>
        <v>Special Order0</v>
      </c>
      <c r="AU1254" s="89" t="str">
        <f t="shared" si="98"/>
        <v>01-1900</v>
      </c>
      <c r="BA1254" s="92" t="str">
        <f t="shared" si="99"/>
        <v/>
      </c>
    </row>
    <row r="1255" spans="2:53">
      <c r="B1255" s="60">
        <f>[2]Trucks!A1252</f>
        <v>0</v>
      </c>
      <c r="C1255" s="11">
        <f>[2]Trucks!B1252</f>
        <v>0</v>
      </c>
      <c r="D1255" s="19" t="str">
        <f>IFERROR(VLOOKUP(C1255&amp;"",'[2]Retail Price List'!$A$3:$B$103,2,FALSE),"Special Order")</f>
        <v>Special Order</v>
      </c>
      <c r="E1255" s="18">
        <f>[2]Trucks!J1252</f>
        <v>0</v>
      </c>
      <c r="F1255" s="12">
        <f>[2]Trucks!E1252</f>
        <v>0</v>
      </c>
      <c r="G1255" s="56">
        <f>[2]Trucks!K1252</f>
        <v>0</v>
      </c>
      <c r="H1255" s="46">
        <f>[2]Trucks!I1252</f>
        <v>0</v>
      </c>
      <c r="I1255" s="83" t="str">
        <f t="shared" si="95"/>
        <v/>
      </c>
      <c r="J1255" s="272" t="str">
        <f>IFERROR(VLOOKUP((D1255&amp;C1255)&amp;"",'[2]Retail Price List'!$C$4:$F$102,3,FALSE),"")</f>
        <v/>
      </c>
      <c r="K1255" s="272">
        <f>IFERROR(IF(BA1255="WIP - 30 Days",VLOOKUP(D1255,[3]Standard!$B$9:$E$101,4,FALSE),IF(BA1255="31-120 Days",VLOOKUP(D1255,[3]Standard!$B$9:$F$101,5,FALSE),IF(BA1255="121-365 Days",VLOOKUP(D1255,[3]Standard!$B$9:$G$101,6,FALSE),VLOOKUP(D1255,[3]Standard!$B$9:$H$101,7,FALSE)))),0)</f>
        <v>0</v>
      </c>
      <c r="L1255" s="272">
        <f>IFERROR(IF(BA1255="WIP - 30 Days",VLOOKUP(D1255,[3]Standard!$B$9:$J$101,9,FALSE),IF(BA1255="31-120 Days",VLOOKUP(D1255,[3]Standard!$B$9:$K$100,10,FALSE),IF(BA1255="121-365 Days",VLOOKUP(D1255,[3]Standard!$B$9:$L$101,11,FALSE),VLOOKUP(D1255,[3]Standard!$B$9:$M$101,12,FALSE)))),0)</f>
        <v>0</v>
      </c>
      <c r="M1255" s="269" t="str">
        <f>IFERROR(VLOOKUP((D1255&amp;C1255)&amp;"",'[2]Retail Price List'!$C$4:$F$102,4,FALSE),"")</f>
        <v/>
      </c>
      <c r="N1255" s="269">
        <f>IFERROR(IF(BA1255="WIP - 30 Days",VLOOKUP(D1255,[3]Extended!$B$9:$E$101,4,FALSE),IF(BA1255="31-120 Days",VLOOKUP(D1255,[3]Extended!$B$9:$F$101,5,FALSE),IF(BA1255="121-365 Days",VLOOKUP(D1255,[3]Extended!$B$9:$G$101,6,FALSE),VLOOKUP(D1255,[3]Extended!$B$9:$H$101,7,FALSE)))),0)</f>
        <v>0</v>
      </c>
      <c r="O1255" s="269">
        <f>IFERROR(IF(BA1255="WIP - 30 Days",VLOOKUP(D1255,[3]Extended!$B$9:$J$101,9,FALSE),IF(BA1255="31-120 Days",VLOOKUP(D1255,[3]Extended!$B$9:$K$101,10,FALSE),IF(BA1255="121-365 Days",VLOOKUP(D1255,[3]Extended!$B$9:$L$101,11,FALSE),VLOOKUP(D1255,[3]Extended!$B$9:$M$101,12,FALSE)))),0)</f>
        <v>0</v>
      </c>
      <c r="P1255" s="116" t="e">
        <f t="shared" si="96"/>
        <v>#VALUE!</v>
      </c>
      <c r="Q1255" s="110" t="e">
        <f>O1255-#REF!</f>
        <v>#REF!</v>
      </c>
      <c r="W1255" s="310"/>
      <c r="X1255" s="310"/>
      <c r="Y1255" s="310"/>
      <c r="Z1255" s="310"/>
      <c r="AA1255" s="310"/>
      <c r="AB1255" s="310"/>
      <c r="AC1255" s="310"/>
      <c r="AT1255" s="88" t="str">
        <f t="shared" si="97"/>
        <v>Special Order0</v>
      </c>
      <c r="AU1255" s="89" t="str">
        <f t="shared" si="98"/>
        <v>01-1900</v>
      </c>
      <c r="BA1255" s="92" t="str">
        <f t="shared" si="99"/>
        <v/>
      </c>
    </row>
    <row r="1256" spans="2:53">
      <c r="B1256" s="60">
        <f>[2]Trucks!A1253</f>
        <v>0</v>
      </c>
      <c r="C1256" s="11">
        <f>[2]Trucks!B1253</f>
        <v>0</v>
      </c>
      <c r="D1256" s="19" t="str">
        <f>IFERROR(VLOOKUP(C1256&amp;"",'[2]Retail Price List'!$A$3:$B$103,2,FALSE),"Special Order")</f>
        <v>Special Order</v>
      </c>
      <c r="E1256" s="18">
        <f>[2]Trucks!J1253</f>
        <v>0</v>
      </c>
      <c r="F1256" s="12">
        <f>[2]Trucks!E1253</f>
        <v>0</v>
      </c>
      <c r="G1256" s="56">
        <f>[2]Trucks!K1253</f>
        <v>0</v>
      </c>
      <c r="H1256" s="46">
        <f>[2]Trucks!I1253</f>
        <v>0</v>
      </c>
      <c r="I1256" s="83" t="str">
        <f t="shared" si="95"/>
        <v/>
      </c>
      <c r="J1256" s="272" t="str">
        <f>IFERROR(VLOOKUP((D1256&amp;C1256)&amp;"",'[2]Retail Price List'!$C$4:$F$102,3,FALSE),"")</f>
        <v/>
      </c>
      <c r="K1256" s="272">
        <f>IFERROR(IF(BA1256="WIP - 30 Days",VLOOKUP(D1256,[3]Standard!$B$9:$E$101,4,FALSE),IF(BA1256="31-120 Days",VLOOKUP(D1256,[3]Standard!$B$9:$F$101,5,FALSE),IF(BA1256="121-365 Days",VLOOKUP(D1256,[3]Standard!$B$9:$G$101,6,FALSE),VLOOKUP(D1256,[3]Standard!$B$9:$H$101,7,FALSE)))),0)</f>
        <v>0</v>
      </c>
      <c r="L1256" s="272">
        <f>IFERROR(IF(BA1256="WIP - 30 Days",VLOOKUP(D1256,[3]Standard!$B$9:$J$101,9,FALSE),IF(BA1256="31-120 Days",VLOOKUP(D1256,[3]Standard!$B$9:$K$100,10,FALSE),IF(BA1256="121-365 Days",VLOOKUP(D1256,[3]Standard!$B$9:$L$101,11,FALSE),VLOOKUP(D1256,[3]Standard!$B$9:$M$101,12,FALSE)))),0)</f>
        <v>0</v>
      </c>
      <c r="M1256" s="269" t="str">
        <f>IFERROR(VLOOKUP((D1256&amp;C1256)&amp;"",'[2]Retail Price List'!$C$4:$F$102,4,FALSE),"")</f>
        <v/>
      </c>
      <c r="N1256" s="269">
        <f>IFERROR(IF(BA1256="WIP - 30 Days",VLOOKUP(D1256,[3]Extended!$B$9:$E$101,4,FALSE),IF(BA1256="31-120 Days",VLOOKUP(D1256,[3]Extended!$B$9:$F$101,5,FALSE),IF(BA1256="121-365 Days",VLOOKUP(D1256,[3]Extended!$B$9:$G$101,6,FALSE),VLOOKUP(D1256,[3]Extended!$B$9:$H$101,7,FALSE)))),0)</f>
        <v>0</v>
      </c>
      <c r="O1256" s="269">
        <f>IFERROR(IF(BA1256="WIP - 30 Days",VLOOKUP(D1256,[3]Extended!$B$9:$J$101,9,FALSE),IF(BA1256="31-120 Days",VLOOKUP(D1256,[3]Extended!$B$9:$K$101,10,FALSE),IF(BA1256="121-365 Days",VLOOKUP(D1256,[3]Extended!$B$9:$L$101,11,FALSE),VLOOKUP(D1256,[3]Extended!$B$9:$M$101,12,FALSE)))),0)</f>
        <v>0</v>
      </c>
      <c r="P1256" s="116" t="e">
        <f t="shared" si="96"/>
        <v>#VALUE!</v>
      </c>
      <c r="Q1256" s="110" t="e">
        <f>O1256-#REF!</f>
        <v>#REF!</v>
      </c>
      <c r="W1256" s="310"/>
      <c r="X1256" s="310"/>
      <c r="Y1256" s="310"/>
      <c r="Z1256" s="310"/>
      <c r="AA1256" s="310"/>
      <c r="AB1256" s="310"/>
      <c r="AC1256" s="310"/>
      <c r="AT1256" s="88" t="str">
        <f t="shared" si="97"/>
        <v>Special Order0</v>
      </c>
      <c r="AU1256" s="89" t="str">
        <f t="shared" si="98"/>
        <v>01-1900</v>
      </c>
      <c r="BA1256" s="92" t="str">
        <f t="shared" si="99"/>
        <v/>
      </c>
    </row>
    <row r="1257" spans="2:53">
      <c r="B1257" s="60">
        <f>[2]Trucks!A1254</f>
        <v>0</v>
      </c>
      <c r="C1257" s="11">
        <f>[2]Trucks!B1254</f>
        <v>0</v>
      </c>
      <c r="D1257" s="19" t="str">
        <f>IFERROR(VLOOKUP(C1257&amp;"",'[2]Retail Price List'!$A$3:$B$103,2,FALSE),"Special Order")</f>
        <v>Special Order</v>
      </c>
      <c r="E1257" s="18">
        <f>[2]Trucks!J1254</f>
        <v>0</v>
      </c>
      <c r="F1257" s="12">
        <f>[2]Trucks!E1254</f>
        <v>0</v>
      </c>
      <c r="G1257" s="56">
        <f>[2]Trucks!K1254</f>
        <v>0</v>
      </c>
      <c r="H1257" s="46">
        <f>[2]Trucks!I1254</f>
        <v>0</v>
      </c>
      <c r="I1257" s="83" t="str">
        <f t="shared" si="95"/>
        <v/>
      </c>
      <c r="J1257" s="272" t="str">
        <f>IFERROR(VLOOKUP((D1257&amp;C1257)&amp;"",'[2]Retail Price List'!$C$4:$F$102,3,FALSE),"")</f>
        <v/>
      </c>
      <c r="K1257" s="272">
        <f>IFERROR(IF(BA1257="WIP - 30 Days",VLOOKUP(D1257,[3]Standard!$B$9:$E$101,4,FALSE),IF(BA1257="31-120 Days",VLOOKUP(D1257,[3]Standard!$B$9:$F$101,5,FALSE),IF(BA1257="121-365 Days",VLOOKUP(D1257,[3]Standard!$B$9:$G$101,6,FALSE),VLOOKUP(D1257,[3]Standard!$B$9:$H$101,7,FALSE)))),0)</f>
        <v>0</v>
      </c>
      <c r="L1257" s="272">
        <f>IFERROR(IF(BA1257="WIP - 30 Days",VLOOKUP(D1257,[3]Standard!$B$9:$J$101,9,FALSE),IF(BA1257="31-120 Days",VLOOKUP(D1257,[3]Standard!$B$9:$K$100,10,FALSE),IF(BA1257="121-365 Days",VLOOKUP(D1257,[3]Standard!$B$9:$L$101,11,FALSE),VLOOKUP(D1257,[3]Standard!$B$9:$M$101,12,FALSE)))),0)</f>
        <v>0</v>
      </c>
      <c r="M1257" s="269" t="str">
        <f>IFERROR(VLOOKUP((D1257&amp;C1257)&amp;"",'[2]Retail Price List'!$C$4:$F$102,4,FALSE),"")</f>
        <v/>
      </c>
      <c r="N1257" s="269">
        <f>IFERROR(IF(BA1257="WIP - 30 Days",VLOOKUP(D1257,[3]Extended!$B$9:$E$101,4,FALSE),IF(BA1257="31-120 Days",VLOOKUP(D1257,[3]Extended!$B$9:$F$101,5,FALSE),IF(BA1257="121-365 Days",VLOOKUP(D1257,[3]Extended!$B$9:$G$101,6,FALSE),VLOOKUP(D1257,[3]Extended!$B$9:$H$101,7,FALSE)))),0)</f>
        <v>0</v>
      </c>
      <c r="O1257" s="269">
        <f>IFERROR(IF(BA1257="WIP - 30 Days",VLOOKUP(D1257,[3]Extended!$B$9:$J$101,9,FALSE),IF(BA1257="31-120 Days",VLOOKUP(D1257,[3]Extended!$B$9:$K$101,10,FALSE),IF(BA1257="121-365 Days",VLOOKUP(D1257,[3]Extended!$B$9:$L$101,11,FALSE),VLOOKUP(D1257,[3]Extended!$B$9:$M$101,12,FALSE)))),0)</f>
        <v>0</v>
      </c>
      <c r="P1257" s="116" t="e">
        <f t="shared" si="96"/>
        <v>#VALUE!</v>
      </c>
      <c r="Q1257" s="110" t="e">
        <f>O1257-#REF!</f>
        <v>#REF!</v>
      </c>
      <c r="W1257" s="310"/>
      <c r="X1257" s="310"/>
      <c r="Y1257" s="310"/>
      <c r="Z1257" s="310"/>
      <c r="AA1257" s="310"/>
      <c r="AB1257" s="310"/>
      <c r="AC1257" s="310"/>
      <c r="AT1257" s="88" t="str">
        <f t="shared" si="97"/>
        <v>Special Order0</v>
      </c>
      <c r="AU1257" s="89" t="str">
        <f t="shared" si="98"/>
        <v>01-1900</v>
      </c>
      <c r="BA1257" s="92" t="str">
        <f t="shared" si="99"/>
        <v/>
      </c>
    </row>
    <row r="1258" spans="2:53">
      <c r="B1258" s="60">
        <f>[2]Trucks!A1255</f>
        <v>0</v>
      </c>
      <c r="C1258" s="11">
        <f>[2]Trucks!B1255</f>
        <v>0</v>
      </c>
      <c r="D1258" s="19" t="str">
        <f>IFERROR(VLOOKUP(C1258&amp;"",'[2]Retail Price List'!$A$3:$B$103,2,FALSE),"Special Order")</f>
        <v>Special Order</v>
      </c>
      <c r="E1258" s="18">
        <f>[2]Trucks!J1255</f>
        <v>0</v>
      </c>
      <c r="F1258" s="12">
        <f>[2]Trucks!E1255</f>
        <v>0</v>
      </c>
      <c r="G1258" s="56">
        <f>[2]Trucks!K1255</f>
        <v>0</v>
      </c>
      <c r="H1258" s="46">
        <f>[2]Trucks!I1255</f>
        <v>0</v>
      </c>
      <c r="I1258" s="83" t="str">
        <f t="shared" si="95"/>
        <v/>
      </c>
      <c r="J1258" s="272" t="str">
        <f>IFERROR(VLOOKUP((D1258&amp;C1258)&amp;"",'[2]Retail Price List'!$C$4:$F$102,3,FALSE),"")</f>
        <v/>
      </c>
      <c r="K1258" s="272">
        <f>IFERROR(IF(BA1258="WIP - 30 Days",VLOOKUP(D1258,[3]Standard!$B$9:$E$101,4,FALSE),IF(BA1258="31-120 Days",VLOOKUP(D1258,[3]Standard!$B$9:$F$101,5,FALSE),IF(BA1258="121-365 Days",VLOOKUP(D1258,[3]Standard!$B$9:$G$101,6,FALSE),VLOOKUP(D1258,[3]Standard!$B$9:$H$101,7,FALSE)))),0)</f>
        <v>0</v>
      </c>
      <c r="L1258" s="272">
        <f>IFERROR(IF(BA1258="WIP - 30 Days",VLOOKUP(D1258,[3]Standard!$B$9:$J$101,9,FALSE),IF(BA1258="31-120 Days",VLOOKUP(D1258,[3]Standard!$B$9:$K$100,10,FALSE),IF(BA1258="121-365 Days",VLOOKUP(D1258,[3]Standard!$B$9:$L$101,11,FALSE),VLOOKUP(D1258,[3]Standard!$B$9:$M$101,12,FALSE)))),0)</f>
        <v>0</v>
      </c>
      <c r="M1258" s="269" t="str">
        <f>IFERROR(VLOOKUP((D1258&amp;C1258)&amp;"",'[2]Retail Price List'!$C$4:$F$102,4,FALSE),"")</f>
        <v/>
      </c>
      <c r="N1258" s="269">
        <f>IFERROR(IF(BA1258="WIP - 30 Days",VLOOKUP(D1258,[3]Extended!$B$9:$E$101,4,FALSE),IF(BA1258="31-120 Days",VLOOKUP(D1258,[3]Extended!$B$9:$F$101,5,FALSE),IF(BA1258="121-365 Days",VLOOKUP(D1258,[3]Extended!$B$9:$G$101,6,FALSE),VLOOKUP(D1258,[3]Extended!$B$9:$H$101,7,FALSE)))),0)</f>
        <v>0</v>
      </c>
      <c r="O1258" s="269">
        <f>IFERROR(IF(BA1258="WIP - 30 Days",VLOOKUP(D1258,[3]Extended!$B$9:$J$101,9,FALSE),IF(BA1258="31-120 Days",VLOOKUP(D1258,[3]Extended!$B$9:$K$101,10,FALSE),IF(BA1258="121-365 Days",VLOOKUP(D1258,[3]Extended!$B$9:$L$101,11,FALSE),VLOOKUP(D1258,[3]Extended!$B$9:$M$101,12,FALSE)))),0)</f>
        <v>0</v>
      </c>
      <c r="P1258" s="116" t="e">
        <f t="shared" si="96"/>
        <v>#VALUE!</v>
      </c>
      <c r="Q1258" s="110" t="e">
        <f>O1258-#REF!</f>
        <v>#REF!</v>
      </c>
      <c r="W1258" s="310"/>
      <c r="X1258" s="310"/>
      <c r="Y1258" s="310"/>
      <c r="Z1258" s="310"/>
      <c r="AA1258" s="310"/>
      <c r="AB1258" s="310"/>
      <c r="AC1258" s="310"/>
      <c r="AT1258" s="88" t="str">
        <f t="shared" si="97"/>
        <v>Special Order0</v>
      </c>
      <c r="AU1258" s="89" t="str">
        <f t="shared" si="98"/>
        <v>01-1900</v>
      </c>
      <c r="BA1258" s="92" t="str">
        <f t="shared" si="99"/>
        <v/>
      </c>
    </row>
    <row r="1259" spans="2:53">
      <c r="B1259" s="60">
        <f>[2]Trucks!A1256</f>
        <v>0</v>
      </c>
      <c r="C1259" s="11">
        <f>[2]Trucks!B1256</f>
        <v>0</v>
      </c>
      <c r="D1259" s="19" t="str">
        <f>IFERROR(VLOOKUP(C1259&amp;"",'[2]Retail Price List'!$A$3:$B$103,2,FALSE),"Special Order")</f>
        <v>Special Order</v>
      </c>
      <c r="E1259" s="18">
        <f>[2]Trucks!J1256</f>
        <v>0</v>
      </c>
      <c r="F1259" s="12">
        <f>[2]Trucks!E1256</f>
        <v>0</v>
      </c>
      <c r="G1259" s="56">
        <f>[2]Trucks!K1256</f>
        <v>0</v>
      </c>
      <c r="H1259" s="46">
        <f>[2]Trucks!I1256</f>
        <v>0</v>
      </c>
      <c r="I1259" s="83" t="str">
        <f t="shared" si="95"/>
        <v/>
      </c>
      <c r="J1259" s="272" t="str">
        <f>IFERROR(VLOOKUP((D1259&amp;C1259)&amp;"",'[2]Retail Price List'!$C$4:$F$102,3,FALSE),"")</f>
        <v/>
      </c>
      <c r="K1259" s="272">
        <f>IFERROR(IF(BA1259="WIP - 30 Days",VLOOKUP(D1259,[3]Standard!$B$9:$E$101,4,FALSE),IF(BA1259="31-120 Days",VLOOKUP(D1259,[3]Standard!$B$9:$F$101,5,FALSE),IF(BA1259="121-365 Days",VLOOKUP(D1259,[3]Standard!$B$9:$G$101,6,FALSE),VLOOKUP(D1259,[3]Standard!$B$9:$H$101,7,FALSE)))),0)</f>
        <v>0</v>
      </c>
      <c r="L1259" s="272">
        <f>IFERROR(IF(BA1259="WIP - 30 Days",VLOOKUP(D1259,[3]Standard!$B$9:$J$101,9,FALSE),IF(BA1259="31-120 Days",VLOOKUP(D1259,[3]Standard!$B$9:$K$100,10,FALSE),IF(BA1259="121-365 Days",VLOOKUP(D1259,[3]Standard!$B$9:$L$101,11,FALSE),VLOOKUP(D1259,[3]Standard!$B$9:$M$101,12,FALSE)))),0)</f>
        <v>0</v>
      </c>
      <c r="M1259" s="269" t="str">
        <f>IFERROR(VLOOKUP((D1259&amp;C1259)&amp;"",'[2]Retail Price List'!$C$4:$F$102,4,FALSE),"")</f>
        <v/>
      </c>
      <c r="N1259" s="269">
        <f>IFERROR(IF(BA1259="WIP - 30 Days",VLOOKUP(D1259,[3]Extended!$B$9:$E$101,4,FALSE),IF(BA1259="31-120 Days",VLOOKUP(D1259,[3]Extended!$B$9:$F$101,5,FALSE),IF(BA1259="121-365 Days",VLOOKUP(D1259,[3]Extended!$B$9:$G$101,6,FALSE),VLOOKUP(D1259,[3]Extended!$B$9:$H$101,7,FALSE)))),0)</f>
        <v>0</v>
      </c>
      <c r="O1259" s="269">
        <f>IFERROR(IF(BA1259="WIP - 30 Days",VLOOKUP(D1259,[3]Extended!$B$9:$J$101,9,FALSE),IF(BA1259="31-120 Days",VLOOKUP(D1259,[3]Extended!$B$9:$K$101,10,FALSE),IF(BA1259="121-365 Days",VLOOKUP(D1259,[3]Extended!$B$9:$L$101,11,FALSE),VLOOKUP(D1259,[3]Extended!$B$9:$M$101,12,FALSE)))),0)</f>
        <v>0</v>
      </c>
      <c r="P1259" s="116" t="e">
        <f t="shared" si="96"/>
        <v>#VALUE!</v>
      </c>
      <c r="Q1259" s="110" t="e">
        <f>O1259-#REF!</f>
        <v>#REF!</v>
      </c>
      <c r="W1259" s="310"/>
      <c r="X1259" s="310"/>
      <c r="Y1259" s="310"/>
      <c r="Z1259" s="310"/>
      <c r="AA1259" s="310"/>
      <c r="AB1259" s="310"/>
      <c r="AC1259" s="310"/>
      <c r="AT1259" s="88" t="str">
        <f t="shared" si="97"/>
        <v>Special Order0</v>
      </c>
      <c r="AU1259" s="89" t="str">
        <f t="shared" si="98"/>
        <v>01-1900</v>
      </c>
      <c r="BA1259" s="92" t="str">
        <f t="shared" si="99"/>
        <v/>
      </c>
    </row>
    <row r="1260" spans="2:53">
      <c r="B1260" s="60">
        <f>[2]Trucks!A1257</f>
        <v>0</v>
      </c>
      <c r="C1260" s="11">
        <f>[2]Trucks!B1257</f>
        <v>0</v>
      </c>
      <c r="D1260" s="19" t="str">
        <f>IFERROR(VLOOKUP(C1260&amp;"",'[2]Retail Price List'!$A$3:$B$103,2,FALSE),"Special Order")</f>
        <v>Special Order</v>
      </c>
      <c r="E1260" s="18">
        <f>[2]Trucks!J1257</f>
        <v>0</v>
      </c>
      <c r="F1260" s="12">
        <f>[2]Trucks!E1257</f>
        <v>0</v>
      </c>
      <c r="G1260" s="56">
        <f>[2]Trucks!K1257</f>
        <v>0</v>
      </c>
      <c r="H1260" s="46">
        <f>[2]Trucks!I1257</f>
        <v>0</v>
      </c>
      <c r="I1260" s="83" t="str">
        <f t="shared" si="95"/>
        <v/>
      </c>
      <c r="J1260" s="272" t="str">
        <f>IFERROR(VLOOKUP((D1260&amp;C1260)&amp;"",'[2]Retail Price List'!$C$4:$F$102,3,FALSE),"")</f>
        <v/>
      </c>
      <c r="K1260" s="272">
        <f>IFERROR(IF(BA1260="WIP - 30 Days",VLOOKUP(D1260,[3]Standard!$B$9:$E$101,4,FALSE),IF(BA1260="31-120 Days",VLOOKUP(D1260,[3]Standard!$B$9:$F$101,5,FALSE),IF(BA1260="121-365 Days",VLOOKUP(D1260,[3]Standard!$B$9:$G$101,6,FALSE),VLOOKUP(D1260,[3]Standard!$B$9:$H$101,7,FALSE)))),0)</f>
        <v>0</v>
      </c>
      <c r="L1260" s="272">
        <f>IFERROR(IF(BA1260="WIP - 30 Days",VLOOKUP(D1260,[3]Standard!$B$9:$J$101,9,FALSE),IF(BA1260="31-120 Days",VLOOKUP(D1260,[3]Standard!$B$9:$K$100,10,FALSE),IF(BA1260="121-365 Days",VLOOKUP(D1260,[3]Standard!$B$9:$L$101,11,FALSE),VLOOKUP(D1260,[3]Standard!$B$9:$M$101,12,FALSE)))),0)</f>
        <v>0</v>
      </c>
      <c r="M1260" s="269" t="str">
        <f>IFERROR(VLOOKUP((D1260&amp;C1260)&amp;"",'[2]Retail Price List'!$C$4:$F$102,4,FALSE),"")</f>
        <v/>
      </c>
      <c r="N1260" s="269">
        <f>IFERROR(IF(BA1260="WIP - 30 Days",VLOOKUP(D1260,[3]Extended!$B$9:$E$101,4,FALSE),IF(BA1260="31-120 Days",VLOOKUP(D1260,[3]Extended!$B$9:$F$101,5,FALSE),IF(BA1260="121-365 Days",VLOOKUP(D1260,[3]Extended!$B$9:$G$101,6,FALSE),VLOOKUP(D1260,[3]Extended!$B$9:$H$101,7,FALSE)))),0)</f>
        <v>0</v>
      </c>
      <c r="O1260" s="269">
        <f>IFERROR(IF(BA1260="WIP - 30 Days",VLOOKUP(D1260,[3]Extended!$B$9:$J$101,9,FALSE),IF(BA1260="31-120 Days",VLOOKUP(D1260,[3]Extended!$B$9:$K$101,10,FALSE),IF(BA1260="121-365 Days",VLOOKUP(D1260,[3]Extended!$B$9:$L$101,11,FALSE),VLOOKUP(D1260,[3]Extended!$B$9:$M$101,12,FALSE)))),0)</f>
        <v>0</v>
      </c>
      <c r="P1260" s="116" t="e">
        <f t="shared" si="96"/>
        <v>#VALUE!</v>
      </c>
      <c r="Q1260" s="110" t="e">
        <f>O1260-#REF!</f>
        <v>#REF!</v>
      </c>
      <c r="W1260" s="310"/>
      <c r="X1260" s="310"/>
      <c r="Y1260" s="310"/>
      <c r="Z1260" s="310"/>
      <c r="AA1260" s="310"/>
      <c r="AB1260" s="310"/>
      <c r="AC1260" s="310"/>
      <c r="AT1260" s="88" t="str">
        <f t="shared" si="97"/>
        <v>Special Order0</v>
      </c>
      <c r="AU1260" s="89" t="str">
        <f t="shared" si="98"/>
        <v>01-1900</v>
      </c>
      <c r="BA1260" s="92" t="str">
        <f t="shared" si="99"/>
        <v/>
      </c>
    </row>
    <row r="1261" spans="2:53">
      <c r="B1261" s="60">
        <f>[2]Trucks!A1258</f>
        <v>0</v>
      </c>
      <c r="C1261" s="11">
        <f>[2]Trucks!B1258</f>
        <v>0</v>
      </c>
      <c r="D1261" s="19" t="str">
        <f>IFERROR(VLOOKUP(C1261&amp;"",'[2]Retail Price List'!$A$3:$B$103,2,FALSE),"Special Order")</f>
        <v>Special Order</v>
      </c>
      <c r="E1261" s="18">
        <f>[2]Trucks!J1258</f>
        <v>0</v>
      </c>
      <c r="F1261" s="12">
        <f>[2]Trucks!E1258</f>
        <v>0</v>
      </c>
      <c r="G1261" s="56">
        <f>[2]Trucks!K1258</f>
        <v>0</v>
      </c>
      <c r="H1261" s="46">
        <f>[2]Trucks!I1258</f>
        <v>0</v>
      </c>
      <c r="I1261" s="83" t="str">
        <f t="shared" si="95"/>
        <v/>
      </c>
      <c r="J1261" s="272" t="str">
        <f>IFERROR(VLOOKUP((D1261&amp;C1261)&amp;"",'[2]Retail Price List'!$C$4:$F$102,3,FALSE),"")</f>
        <v/>
      </c>
      <c r="K1261" s="272">
        <f>IFERROR(IF(BA1261="WIP - 30 Days",VLOOKUP(D1261,[3]Standard!$B$9:$E$101,4,FALSE),IF(BA1261="31-120 Days",VLOOKUP(D1261,[3]Standard!$B$9:$F$101,5,FALSE),IF(BA1261="121-365 Days",VLOOKUP(D1261,[3]Standard!$B$9:$G$101,6,FALSE),VLOOKUP(D1261,[3]Standard!$B$9:$H$101,7,FALSE)))),0)</f>
        <v>0</v>
      </c>
      <c r="L1261" s="272">
        <f>IFERROR(IF(BA1261="WIP - 30 Days",VLOOKUP(D1261,[3]Standard!$B$9:$J$101,9,FALSE),IF(BA1261="31-120 Days",VLOOKUP(D1261,[3]Standard!$B$9:$K$100,10,FALSE),IF(BA1261="121-365 Days",VLOOKUP(D1261,[3]Standard!$B$9:$L$101,11,FALSE),VLOOKUP(D1261,[3]Standard!$B$9:$M$101,12,FALSE)))),0)</f>
        <v>0</v>
      </c>
      <c r="M1261" s="269" t="str">
        <f>IFERROR(VLOOKUP((D1261&amp;C1261)&amp;"",'[2]Retail Price List'!$C$4:$F$102,4,FALSE),"")</f>
        <v/>
      </c>
      <c r="N1261" s="269">
        <f>IFERROR(IF(BA1261="WIP - 30 Days",VLOOKUP(D1261,[3]Extended!$B$9:$E$101,4,FALSE),IF(BA1261="31-120 Days",VLOOKUP(D1261,[3]Extended!$B$9:$F$101,5,FALSE),IF(BA1261="121-365 Days",VLOOKUP(D1261,[3]Extended!$B$9:$G$101,6,FALSE),VLOOKUP(D1261,[3]Extended!$B$9:$H$101,7,FALSE)))),0)</f>
        <v>0</v>
      </c>
      <c r="O1261" s="269">
        <f>IFERROR(IF(BA1261="WIP - 30 Days",VLOOKUP(D1261,[3]Extended!$B$9:$J$101,9,FALSE),IF(BA1261="31-120 Days",VLOOKUP(D1261,[3]Extended!$B$9:$K$101,10,FALSE),IF(BA1261="121-365 Days",VLOOKUP(D1261,[3]Extended!$B$9:$L$101,11,FALSE),VLOOKUP(D1261,[3]Extended!$B$9:$M$101,12,FALSE)))),0)</f>
        <v>0</v>
      </c>
      <c r="P1261" s="116" t="e">
        <f t="shared" si="96"/>
        <v>#VALUE!</v>
      </c>
      <c r="Q1261" s="110" t="e">
        <f>O1261-#REF!</f>
        <v>#REF!</v>
      </c>
      <c r="W1261" s="310"/>
      <c r="X1261" s="310"/>
      <c r="Y1261" s="310"/>
      <c r="Z1261" s="310"/>
      <c r="AA1261" s="310"/>
      <c r="AB1261" s="310"/>
      <c r="AC1261" s="310"/>
      <c r="AT1261" s="88" t="str">
        <f t="shared" si="97"/>
        <v>Special Order0</v>
      </c>
      <c r="AU1261" s="89" t="str">
        <f t="shared" si="98"/>
        <v>01-1900</v>
      </c>
      <c r="BA1261" s="92" t="str">
        <f t="shared" si="99"/>
        <v/>
      </c>
    </row>
    <row r="1262" spans="2:53">
      <c r="B1262" s="60">
        <f>[2]Trucks!A1259</f>
        <v>0</v>
      </c>
      <c r="C1262" s="11">
        <f>[2]Trucks!B1259</f>
        <v>0</v>
      </c>
      <c r="D1262" s="19" t="str">
        <f>IFERROR(VLOOKUP(C1262&amp;"",'[2]Retail Price List'!$A$3:$B$103,2,FALSE),"Special Order")</f>
        <v>Special Order</v>
      </c>
      <c r="E1262" s="18">
        <f>[2]Trucks!J1259</f>
        <v>0</v>
      </c>
      <c r="F1262" s="12">
        <f>[2]Trucks!E1259</f>
        <v>0</v>
      </c>
      <c r="G1262" s="56">
        <f>[2]Trucks!K1259</f>
        <v>0</v>
      </c>
      <c r="H1262" s="46">
        <f>[2]Trucks!I1259</f>
        <v>0</v>
      </c>
      <c r="I1262" s="83" t="str">
        <f t="shared" si="95"/>
        <v/>
      </c>
      <c r="J1262" s="272" t="str">
        <f>IFERROR(VLOOKUP((D1262&amp;C1262)&amp;"",'[2]Retail Price List'!$C$4:$F$102,3,FALSE),"")</f>
        <v/>
      </c>
      <c r="K1262" s="272">
        <f>IFERROR(IF(BA1262="WIP - 30 Days",VLOOKUP(D1262,[3]Standard!$B$9:$E$101,4,FALSE),IF(BA1262="31-120 Days",VLOOKUP(D1262,[3]Standard!$B$9:$F$101,5,FALSE),IF(BA1262="121-365 Days",VLOOKUP(D1262,[3]Standard!$B$9:$G$101,6,FALSE),VLOOKUP(D1262,[3]Standard!$B$9:$H$101,7,FALSE)))),0)</f>
        <v>0</v>
      </c>
      <c r="L1262" s="272">
        <f>IFERROR(IF(BA1262="WIP - 30 Days",VLOOKUP(D1262,[3]Standard!$B$9:$J$101,9,FALSE),IF(BA1262="31-120 Days",VLOOKUP(D1262,[3]Standard!$B$9:$K$100,10,FALSE),IF(BA1262="121-365 Days",VLOOKUP(D1262,[3]Standard!$B$9:$L$101,11,FALSE),VLOOKUP(D1262,[3]Standard!$B$9:$M$101,12,FALSE)))),0)</f>
        <v>0</v>
      </c>
      <c r="M1262" s="269" t="str">
        <f>IFERROR(VLOOKUP((D1262&amp;C1262)&amp;"",'[2]Retail Price List'!$C$4:$F$102,4,FALSE),"")</f>
        <v/>
      </c>
      <c r="N1262" s="269">
        <f>IFERROR(IF(BA1262="WIP - 30 Days",VLOOKUP(D1262,[3]Extended!$B$9:$E$101,4,FALSE),IF(BA1262="31-120 Days",VLOOKUP(D1262,[3]Extended!$B$9:$F$101,5,FALSE),IF(BA1262="121-365 Days",VLOOKUP(D1262,[3]Extended!$B$9:$G$101,6,FALSE),VLOOKUP(D1262,[3]Extended!$B$9:$H$101,7,FALSE)))),0)</f>
        <v>0</v>
      </c>
      <c r="O1262" s="269">
        <f>IFERROR(IF(BA1262="WIP - 30 Days",VLOOKUP(D1262,[3]Extended!$B$9:$J$101,9,FALSE),IF(BA1262="31-120 Days",VLOOKUP(D1262,[3]Extended!$B$9:$K$101,10,FALSE),IF(BA1262="121-365 Days",VLOOKUP(D1262,[3]Extended!$B$9:$L$101,11,FALSE),VLOOKUP(D1262,[3]Extended!$B$9:$M$101,12,FALSE)))),0)</f>
        <v>0</v>
      </c>
      <c r="P1262" s="116" t="e">
        <f t="shared" si="96"/>
        <v>#VALUE!</v>
      </c>
      <c r="Q1262" s="110" t="e">
        <f>O1262-#REF!</f>
        <v>#REF!</v>
      </c>
      <c r="W1262" s="310"/>
      <c r="X1262" s="310"/>
      <c r="Y1262" s="310"/>
      <c r="Z1262" s="310"/>
      <c r="AA1262" s="310"/>
      <c r="AB1262" s="310"/>
      <c r="AC1262" s="310"/>
      <c r="AT1262" s="88" t="str">
        <f t="shared" si="97"/>
        <v>Special Order0</v>
      </c>
      <c r="AU1262" s="89" t="str">
        <f t="shared" si="98"/>
        <v>01-1900</v>
      </c>
      <c r="BA1262" s="92" t="str">
        <f t="shared" si="99"/>
        <v/>
      </c>
    </row>
    <row r="1263" spans="2:53">
      <c r="B1263" s="60">
        <f>[2]Trucks!A1260</f>
        <v>0</v>
      </c>
      <c r="C1263" s="11">
        <f>[2]Trucks!B1260</f>
        <v>0</v>
      </c>
      <c r="D1263" s="19" t="str">
        <f>IFERROR(VLOOKUP(C1263&amp;"",'[2]Retail Price List'!$A$3:$B$103,2,FALSE),"Special Order")</f>
        <v>Special Order</v>
      </c>
      <c r="E1263" s="18">
        <f>[2]Trucks!J1260</f>
        <v>0</v>
      </c>
      <c r="F1263" s="12">
        <f>[2]Trucks!E1260</f>
        <v>0</v>
      </c>
      <c r="G1263" s="56">
        <f>[2]Trucks!K1260</f>
        <v>0</v>
      </c>
      <c r="H1263" s="46">
        <f>[2]Trucks!I1260</f>
        <v>0</v>
      </c>
      <c r="I1263" s="83" t="str">
        <f t="shared" si="95"/>
        <v/>
      </c>
      <c r="J1263" s="272" t="str">
        <f>IFERROR(VLOOKUP((D1263&amp;C1263)&amp;"",'[2]Retail Price List'!$C$4:$F$102,3,FALSE),"")</f>
        <v/>
      </c>
      <c r="K1263" s="272">
        <f>IFERROR(IF(BA1263="WIP - 30 Days",VLOOKUP(D1263,[3]Standard!$B$9:$E$101,4,FALSE),IF(BA1263="31-120 Days",VLOOKUP(D1263,[3]Standard!$B$9:$F$101,5,FALSE),IF(BA1263="121-365 Days",VLOOKUP(D1263,[3]Standard!$B$9:$G$101,6,FALSE),VLOOKUP(D1263,[3]Standard!$B$9:$H$101,7,FALSE)))),0)</f>
        <v>0</v>
      </c>
      <c r="L1263" s="272">
        <f>IFERROR(IF(BA1263="WIP - 30 Days",VLOOKUP(D1263,[3]Standard!$B$9:$J$101,9,FALSE),IF(BA1263="31-120 Days",VLOOKUP(D1263,[3]Standard!$B$9:$K$100,10,FALSE),IF(BA1263="121-365 Days",VLOOKUP(D1263,[3]Standard!$B$9:$L$101,11,FALSE),VLOOKUP(D1263,[3]Standard!$B$9:$M$101,12,FALSE)))),0)</f>
        <v>0</v>
      </c>
      <c r="M1263" s="269" t="str">
        <f>IFERROR(VLOOKUP((D1263&amp;C1263)&amp;"",'[2]Retail Price List'!$C$4:$F$102,4,FALSE),"")</f>
        <v/>
      </c>
      <c r="N1263" s="269">
        <f>IFERROR(IF(BA1263="WIP - 30 Days",VLOOKUP(D1263,[3]Extended!$B$9:$E$101,4,FALSE),IF(BA1263="31-120 Days",VLOOKUP(D1263,[3]Extended!$B$9:$F$101,5,FALSE),IF(BA1263="121-365 Days",VLOOKUP(D1263,[3]Extended!$B$9:$G$101,6,FALSE),VLOOKUP(D1263,[3]Extended!$B$9:$H$101,7,FALSE)))),0)</f>
        <v>0</v>
      </c>
      <c r="O1263" s="269">
        <f>IFERROR(IF(BA1263="WIP - 30 Days",VLOOKUP(D1263,[3]Extended!$B$9:$J$101,9,FALSE),IF(BA1263="31-120 Days",VLOOKUP(D1263,[3]Extended!$B$9:$K$101,10,FALSE),IF(BA1263="121-365 Days",VLOOKUP(D1263,[3]Extended!$B$9:$L$101,11,FALSE),VLOOKUP(D1263,[3]Extended!$B$9:$M$101,12,FALSE)))),0)</f>
        <v>0</v>
      </c>
      <c r="P1263" s="116" t="e">
        <f t="shared" si="96"/>
        <v>#VALUE!</v>
      </c>
      <c r="Q1263" s="110" t="e">
        <f>O1263-#REF!</f>
        <v>#REF!</v>
      </c>
      <c r="W1263" s="310"/>
      <c r="X1263" s="310"/>
      <c r="Y1263" s="310"/>
      <c r="Z1263" s="310"/>
      <c r="AA1263" s="310"/>
      <c r="AB1263" s="310"/>
      <c r="AC1263" s="310"/>
      <c r="AT1263" s="88" t="str">
        <f t="shared" si="97"/>
        <v>Special Order0</v>
      </c>
      <c r="AU1263" s="89" t="str">
        <f t="shared" si="98"/>
        <v>01-1900</v>
      </c>
      <c r="BA1263" s="92" t="str">
        <f t="shared" si="99"/>
        <v/>
      </c>
    </row>
    <row r="1264" spans="2:53">
      <c r="B1264" s="60">
        <f>[2]Trucks!A1261</f>
        <v>0</v>
      </c>
      <c r="C1264" s="11">
        <f>[2]Trucks!B1261</f>
        <v>0</v>
      </c>
      <c r="D1264" s="19" t="str">
        <f>IFERROR(VLOOKUP(C1264&amp;"",'[2]Retail Price List'!$A$3:$B$103,2,FALSE),"Special Order")</f>
        <v>Special Order</v>
      </c>
      <c r="E1264" s="18">
        <f>[2]Trucks!J1261</f>
        <v>0</v>
      </c>
      <c r="F1264" s="12">
        <f>[2]Trucks!E1261</f>
        <v>0</v>
      </c>
      <c r="G1264" s="56">
        <f>[2]Trucks!K1261</f>
        <v>0</v>
      </c>
      <c r="H1264" s="46">
        <f>[2]Trucks!I1261</f>
        <v>0</v>
      </c>
      <c r="I1264" s="83" t="str">
        <f t="shared" si="95"/>
        <v/>
      </c>
      <c r="J1264" s="272" t="str">
        <f>IFERROR(VLOOKUP((D1264&amp;C1264)&amp;"",'[2]Retail Price List'!$C$4:$F$102,3,FALSE),"")</f>
        <v/>
      </c>
      <c r="K1264" s="272">
        <f>IFERROR(IF(BA1264="WIP - 30 Days",VLOOKUP(D1264,[3]Standard!$B$9:$E$101,4,FALSE),IF(BA1264="31-120 Days",VLOOKUP(D1264,[3]Standard!$B$9:$F$101,5,FALSE),IF(BA1264="121-365 Days",VLOOKUP(D1264,[3]Standard!$B$9:$G$101,6,FALSE),VLOOKUP(D1264,[3]Standard!$B$9:$H$101,7,FALSE)))),0)</f>
        <v>0</v>
      </c>
      <c r="L1264" s="272">
        <f>IFERROR(IF(BA1264="WIP - 30 Days",VLOOKUP(D1264,[3]Standard!$B$9:$J$101,9,FALSE),IF(BA1264="31-120 Days",VLOOKUP(D1264,[3]Standard!$B$9:$K$100,10,FALSE),IF(BA1264="121-365 Days",VLOOKUP(D1264,[3]Standard!$B$9:$L$101,11,FALSE),VLOOKUP(D1264,[3]Standard!$B$9:$M$101,12,FALSE)))),0)</f>
        <v>0</v>
      </c>
      <c r="M1264" s="269" t="str">
        <f>IFERROR(VLOOKUP((D1264&amp;C1264)&amp;"",'[2]Retail Price List'!$C$4:$F$102,4,FALSE),"")</f>
        <v/>
      </c>
      <c r="N1264" s="269">
        <f>IFERROR(IF(BA1264="WIP - 30 Days",VLOOKUP(D1264,[3]Extended!$B$9:$E$101,4,FALSE),IF(BA1264="31-120 Days",VLOOKUP(D1264,[3]Extended!$B$9:$F$101,5,FALSE),IF(BA1264="121-365 Days",VLOOKUP(D1264,[3]Extended!$B$9:$G$101,6,FALSE),VLOOKUP(D1264,[3]Extended!$B$9:$H$101,7,FALSE)))),0)</f>
        <v>0</v>
      </c>
      <c r="O1264" s="269">
        <f>IFERROR(IF(BA1264="WIP - 30 Days",VLOOKUP(D1264,[3]Extended!$B$9:$J$101,9,FALSE),IF(BA1264="31-120 Days",VLOOKUP(D1264,[3]Extended!$B$9:$K$101,10,FALSE),IF(BA1264="121-365 Days",VLOOKUP(D1264,[3]Extended!$B$9:$L$101,11,FALSE),VLOOKUP(D1264,[3]Extended!$B$9:$M$101,12,FALSE)))),0)</f>
        <v>0</v>
      </c>
      <c r="P1264" s="116" t="e">
        <f t="shared" si="96"/>
        <v>#VALUE!</v>
      </c>
      <c r="Q1264" s="110" t="e">
        <f>O1264-#REF!</f>
        <v>#REF!</v>
      </c>
      <c r="W1264" s="310"/>
      <c r="X1264" s="310"/>
      <c r="Y1264" s="310"/>
      <c r="Z1264" s="310"/>
      <c r="AA1264" s="310"/>
      <c r="AB1264" s="310"/>
      <c r="AC1264" s="310"/>
      <c r="AT1264" s="88" t="str">
        <f t="shared" si="97"/>
        <v>Special Order0</v>
      </c>
      <c r="AU1264" s="89" t="str">
        <f t="shared" si="98"/>
        <v>01-1900</v>
      </c>
      <c r="BA1264" s="92" t="str">
        <f t="shared" si="99"/>
        <v/>
      </c>
    </row>
    <row r="1265" spans="2:53">
      <c r="B1265" s="60">
        <f>[2]Trucks!A1262</f>
        <v>0</v>
      </c>
      <c r="C1265" s="11">
        <f>[2]Trucks!B1262</f>
        <v>0</v>
      </c>
      <c r="D1265" s="19" t="str">
        <f>IFERROR(VLOOKUP(C1265&amp;"",'[2]Retail Price List'!$A$3:$B$103,2,FALSE),"Special Order")</f>
        <v>Special Order</v>
      </c>
      <c r="E1265" s="18">
        <f>[2]Trucks!J1262</f>
        <v>0</v>
      </c>
      <c r="F1265" s="12">
        <f>[2]Trucks!E1262</f>
        <v>0</v>
      </c>
      <c r="G1265" s="56">
        <f>[2]Trucks!K1262</f>
        <v>0</v>
      </c>
      <c r="H1265" s="46">
        <f>[2]Trucks!I1262</f>
        <v>0</v>
      </c>
      <c r="I1265" s="83" t="str">
        <f t="shared" si="95"/>
        <v/>
      </c>
      <c r="J1265" s="272" t="str">
        <f>IFERROR(VLOOKUP((D1265&amp;C1265)&amp;"",'[2]Retail Price List'!$C$4:$F$102,3,FALSE),"")</f>
        <v/>
      </c>
      <c r="K1265" s="272">
        <f>IFERROR(IF(BA1265="WIP - 30 Days",VLOOKUP(D1265,[3]Standard!$B$9:$E$101,4,FALSE),IF(BA1265="31-120 Days",VLOOKUP(D1265,[3]Standard!$B$9:$F$101,5,FALSE),IF(BA1265="121-365 Days",VLOOKUP(D1265,[3]Standard!$B$9:$G$101,6,FALSE),VLOOKUP(D1265,[3]Standard!$B$9:$H$101,7,FALSE)))),0)</f>
        <v>0</v>
      </c>
      <c r="L1265" s="272">
        <f>IFERROR(IF(BA1265="WIP - 30 Days",VLOOKUP(D1265,[3]Standard!$B$9:$J$101,9,FALSE),IF(BA1265="31-120 Days",VLOOKUP(D1265,[3]Standard!$B$9:$K$100,10,FALSE),IF(BA1265="121-365 Days",VLOOKUP(D1265,[3]Standard!$B$9:$L$101,11,FALSE),VLOOKUP(D1265,[3]Standard!$B$9:$M$101,12,FALSE)))),0)</f>
        <v>0</v>
      </c>
      <c r="M1265" s="269" t="str">
        <f>IFERROR(VLOOKUP((D1265&amp;C1265)&amp;"",'[2]Retail Price List'!$C$4:$F$102,4,FALSE),"")</f>
        <v/>
      </c>
      <c r="N1265" s="269">
        <f>IFERROR(IF(BA1265="WIP - 30 Days",VLOOKUP(D1265,[3]Extended!$B$9:$E$101,4,FALSE),IF(BA1265="31-120 Days",VLOOKUP(D1265,[3]Extended!$B$9:$F$101,5,FALSE),IF(BA1265="121-365 Days",VLOOKUP(D1265,[3]Extended!$B$9:$G$101,6,FALSE),VLOOKUP(D1265,[3]Extended!$B$9:$H$101,7,FALSE)))),0)</f>
        <v>0</v>
      </c>
      <c r="O1265" s="269">
        <f>IFERROR(IF(BA1265="WIP - 30 Days",VLOOKUP(D1265,[3]Extended!$B$9:$J$101,9,FALSE),IF(BA1265="31-120 Days",VLOOKUP(D1265,[3]Extended!$B$9:$K$101,10,FALSE),IF(BA1265="121-365 Days",VLOOKUP(D1265,[3]Extended!$B$9:$L$101,11,FALSE),VLOOKUP(D1265,[3]Extended!$B$9:$M$101,12,FALSE)))),0)</f>
        <v>0</v>
      </c>
      <c r="P1265" s="116" t="e">
        <f t="shared" si="96"/>
        <v>#VALUE!</v>
      </c>
      <c r="Q1265" s="110" t="e">
        <f>O1265-#REF!</f>
        <v>#REF!</v>
      </c>
      <c r="W1265" s="310"/>
      <c r="X1265" s="310"/>
      <c r="Y1265" s="310"/>
      <c r="Z1265" s="310"/>
      <c r="AA1265" s="310"/>
      <c r="AB1265" s="310"/>
      <c r="AC1265" s="310"/>
      <c r="AT1265" s="88" t="str">
        <f t="shared" si="97"/>
        <v>Special Order0</v>
      </c>
      <c r="AU1265" s="89" t="str">
        <f t="shared" si="98"/>
        <v>01-1900</v>
      </c>
      <c r="BA1265" s="92" t="str">
        <f t="shared" si="99"/>
        <v/>
      </c>
    </row>
    <row r="1266" spans="2:53">
      <c r="B1266" s="60">
        <f>[2]Trucks!A1263</f>
        <v>0</v>
      </c>
      <c r="C1266" s="11">
        <f>[2]Trucks!B1263</f>
        <v>0</v>
      </c>
      <c r="D1266" s="19" t="str">
        <f>IFERROR(VLOOKUP(C1266&amp;"",'[2]Retail Price List'!$A$3:$B$103,2,FALSE),"Special Order")</f>
        <v>Special Order</v>
      </c>
      <c r="E1266" s="18">
        <f>[2]Trucks!J1263</f>
        <v>0</v>
      </c>
      <c r="F1266" s="12">
        <f>[2]Trucks!E1263</f>
        <v>0</v>
      </c>
      <c r="G1266" s="56">
        <f>[2]Trucks!K1263</f>
        <v>0</v>
      </c>
      <c r="H1266" s="46">
        <f>[2]Trucks!I1263</f>
        <v>0</v>
      </c>
      <c r="I1266" s="83" t="str">
        <f t="shared" si="95"/>
        <v/>
      </c>
      <c r="J1266" s="272" t="str">
        <f>IFERROR(VLOOKUP((D1266&amp;C1266)&amp;"",'[2]Retail Price List'!$C$4:$F$102,3,FALSE),"")</f>
        <v/>
      </c>
      <c r="K1266" s="272">
        <f>IFERROR(IF(BA1266="WIP - 30 Days",VLOOKUP(D1266,[3]Standard!$B$9:$E$101,4,FALSE),IF(BA1266="31-120 Days",VLOOKUP(D1266,[3]Standard!$B$9:$F$101,5,FALSE),IF(BA1266="121-365 Days",VLOOKUP(D1266,[3]Standard!$B$9:$G$101,6,FALSE),VLOOKUP(D1266,[3]Standard!$B$9:$H$101,7,FALSE)))),0)</f>
        <v>0</v>
      </c>
      <c r="L1266" s="272">
        <f>IFERROR(IF(BA1266="WIP - 30 Days",VLOOKUP(D1266,[3]Standard!$B$9:$J$101,9,FALSE),IF(BA1266="31-120 Days",VLOOKUP(D1266,[3]Standard!$B$9:$K$100,10,FALSE),IF(BA1266="121-365 Days",VLOOKUP(D1266,[3]Standard!$B$9:$L$101,11,FALSE),VLOOKUP(D1266,[3]Standard!$B$9:$M$101,12,FALSE)))),0)</f>
        <v>0</v>
      </c>
      <c r="M1266" s="269" t="str">
        <f>IFERROR(VLOOKUP((D1266&amp;C1266)&amp;"",'[2]Retail Price List'!$C$4:$F$102,4,FALSE),"")</f>
        <v/>
      </c>
      <c r="N1266" s="269">
        <f>IFERROR(IF(BA1266="WIP - 30 Days",VLOOKUP(D1266,[3]Extended!$B$9:$E$101,4,FALSE),IF(BA1266="31-120 Days",VLOOKUP(D1266,[3]Extended!$B$9:$F$101,5,FALSE),IF(BA1266="121-365 Days",VLOOKUP(D1266,[3]Extended!$B$9:$G$101,6,FALSE),VLOOKUP(D1266,[3]Extended!$B$9:$H$101,7,FALSE)))),0)</f>
        <v>0</v>
      </c>
      <c r="O1266" s="269">
        <f>IFERROR(IF(BA1266="WIP - 30 Days",VLOOKUP(D1266,[3]Extended!$B$9:$J$101,9,FALSE),IF(BA1266="31-120 Days",VLOOKUP(D1266,[3]Extended!$B$9:$K$101,10,FALSE),IF(BA1266="121-365 Days",VLOOKUP(D1266,[3]Extended!$B$9:$L$101,11,FALSE),VLOOKUP(D1266,[3]Extended!$B$9:$M$101,12,FALSE)))),0)</f>
        <v>0</v>
      </c>
      <c r="P1266" s="116" t="e">
        <f t="shared" si="96"/>
        <v>#VALUE!</v>
      </c>
      <c r="Q1266" s="110" t="e">
        <f>O1266-#REF!</f>
        <v>#REF!</v>
      </c>
      <c r="W1266" s="310"/>
      <c r="X1266" s="310"/>
      <c r="Y1266" s="310"/>
      <c r="Z1266" s="310"/>
      <c r="AA1266" s="310"/>
      <c r="AB1266" s="310"/>
      <c r="AC1266" s="310"/>
      <c r="AT1266" s="88" t="str">
        <f t="shared" si="97"/>
        <v>Special Order0</v>
      </c>
      <c r="AU1266" s="89" t="str">
        <f t="shared" si="98"/>
        <v>01-1900</v>
      </c>
      <c r="BA1266" s="92" t="str">
        <f t="shared" si="99"/>
        <v/>
      </c>
    </row>
    <row r="1267" spans="2:53">
      <c r="B1267" s="60">
        <f>[2]Trucks!A1264</f>
        <v>0</v>
      </c>
      <c r="C1267" s="11">
        <f>[2]Trucks!B1264</f>
        <v>0</v>
      </c>
      <c r="D1267" s="19" t="str">
        <f>IFERROR(VLOOKUP(C1267&amp;"",'[2]Retail Price List'!$A$3:$B$103,2,FALSE),"Special Order")</f>
        <v>Special Order</v>
      </c>
      <c r="E1267" s="18">
        <f>[2]Trucks!J1264</f>
        <v>0</v>
      </c>
      <c r="F1267" s="12">
        <f>[2]Trucks!E1264</f>
        <v>0</v>
      </c>
      <c r="G1267" s="56">
        <f>[2]Trucks!K1264</f>
        <v>0</v>
      </c>
      <c r="H1267" s="46">
        <f>[2]Trucks!I1264</f>
        <v>0</v>
      </c>
      <c r="I1267" s="83" t="str">
        <f t="shared" si="95"/>
        <v/>
      </c>
      <c r="J1267" s="272" t="str">
        <f>IFERROR(VLOOKUP((D1267&amp;C1267)&amp;"",'[2]Retail Price List'!$C$4:$F$102,3,FALSE),"")</f>
        <v/>
      </c>
      <c r="K1267" s="272">
        <f>IFERROR(IF(BA1267="WIP - 30 Days",VLOOKUP(D1267,[3]Standard!$B$9:$E$101,4,FALSE),IF(BA1267="31-120 Days",VLOOKUP(D1267,[3]Standard!$B$9:$F$101,5,FALSE),IF(BA1267="121-365 Days",VLOOKUP(D1267,[3]Standard!$B$9:$G$101,6,FALSE),VLOOKUP(D1267,[3]Standard!$B$9:$H$101,7,FALSE)))),0)</f>
        <v>0</v>
      </c>
      <c r="L1267" s="272">
        <f>IFERROR(IF(BA1267="WIP - 30 Days",VLOOKUP(D1267,[3]Standard!$B$9:$J$101,9,FALSE),IF(BA1267="31-120 Days",VLOOKUP(D1267,[3]Standard!$B$9:$K$100,10,FALSE),IF(BA1267="121-365 Days",VLOOKUP(D1267,[3]Standard!$B$9:$L$101,11,FALSE),VLOOKUP(D1267,[3]Standard!$B$9:$M$101,12,FALSE)))),0)</f>
        <v>0</v>
      </c>
      <c r="M1267" s="269" t="str">
        <f>IFERROR(VLOOKUP((D1267&amp;C1267)&amp;"",'[2]Retail Price List'!$C$4:$F$102,4,FALSE),"")</f>
        <v/>
      </c>
      <c r="N1267" s="269">
        <f>IFERROR(IF(BA1267="WIP - 30 Days",VLOOKUP(D1267,[3]Extended!$B$9:$E$101,4,FALSE),IF(BA1267="31-120 Days",VLOOKUP(D1267,[3]Extended!$B$9:$F$101,5,FALSE),IF(BA1267="121-365 Days",VLOOKUP(D1267,[3]Extended!$B$9:$G$101,6,FALSE),VLOOKUP(D1267,[3]Extended!$B$9:$H$101,7,FALSE)))),0)</f>
        <v>0</v>
      </c>
      <c r="O1267" s="269">
        <f>IFERROR(IF(BA1267="WIP - 30 Days",VLOOKUP(D1267,[3]Extended!$B$9:$J$101,9,FALSE),IF(BA1267="31-120 Days",VLOOKUP(D1267,[3]Extended!$B$9:$K$101,10,FALSE),IF(BA1267="121-365 Days",VLOOKUP(D1267,[3]Extended!$B$9:$L$101,11,FALSE),VLOOKUP(D1267,[3]Extended!$B$9:$M$101,12,FALSE)))),0)</f>
        <v>0</v>
      </c>
      <c r="P1267" s="116" t="e">
        <f t="shared" si="96"/>
        <v>#VALUE!</v>
      </c>
      <c r="Q1267" s="110" t="e">
        <f>O1267-#REF!</f>
        <v>#REF!</v>
      </c>
      <c r="W1267" s="310"/>
      <c r="X1267" s="310"/>
      <c r="Y1267" s="310"/>
      <c r="Z1267" s="310"/>
      <c r="AA1267" s="310"/>
      <c r="AB1267" s="310"/>
      <c r="AC1267" s="310"/>
      <c r="AT1267" s="88" t="str">
        <f t="shared" si="97"/>
        <v>Special Order0</v>
      </c>
      <c r="AU1267" s="89" t="str">
        <f t="shared" si="98"/>
        <v>01-1900</v>
      </c>
      <c r="BA1267" s="92" t="str">
        <f t="shared" si="99"/>
        <v/>
      </c>
    </row>
    <row r="1268" spans="2:53">
      <c r="B1268" s="60">
        <f>[2]Trucks!A1265</f>
        <v>0</v>
      </c>
      <c r="C1268" s="11">
        <f>[2]Trucks!B1265</f>
        <v>0</v>
      </c>
      <c r="D1268" s="19" t="str">
        <f>IFERROR(VLOOKUP(C1268&amp;"",'[2]Retail Price List'!$A$3:$B$103,2,FALSE),"Special Order")</f>
        <v>Special Order</v>
      </c>
      <c r="E1268" s="18">
        <f>[2]Trucks!J1265</f>
        <v>0</v>
      </c>
      <c r="F1268" s="12">
        <f>[2]Trucks!E1265</f>
        <v>0</v>
      </c>
      <c r="G1268" s="56">
        <f>[2]Trucks!K1265</f>
        <v>0</v>
      </c>
      <c r="H1268" s="46">
        <f>[2]Trucks!I1265</f>
        <v>0</v>
      </c>
      <c r="I1268" s="83" t="str">
        <f t="shared" si="95"/>
        <v/>
      </c>
      <c r="J1268" s="272" t="str">
        <f>IFERROR(VLOOKUP((D1268&amp;C1268)&amp;"",'[2]Retail Price List'!$C$4:$F$102,3,FALSE),"")</f>
        <v/>
      </c>
      <c r="K1268" s="272">
        <f>IFERROR(IF(BA1268="WIP - 30 Days",VLOOKUP(D1268,[3]Standard!$B$9:$E$101,4,FALSE),IF(BA1268="31-120 Days",VLOOKUP(D1268,[3]Standard!$B$9:$F$101,5,FALSE),IF(BA1268="121-365 Days",VLOOKUP(D1268,[3]Standard!$B$9:$G$101,6,FALSE),VLOOKUP(D1268,[3]Standard!$B$9:$H$101,7,FALSE)))),0)</f>
        <v>0</v>
      </c>
      <c r="L1268" s="272">
        <f>IFERROR(IF(BA1268="WIP - 30 Days",VLOOKUP(D1268,[3]Standard!$B$9:$J$101,9,FALSE),IF(BA1268="31-120 Days",VLOOKUP(D1268,[3]Standard!$B$9:$K$100,10,FALSE),IF(BA1268="121-365 Days",VLOOKUP(D1268,[3]Standard!$B$9:$L$101,11,FALSE),VLOOKUP(D1268,[3]Standard!$B$9:$M$101,12,FALSE)))),0)</f>
        <v>0</v>
      </c>
      <c r="M1268" s="269" t="str">
        <f>IFERROR(VLOOKUP((D1268&amp;C1268)&amp;"",'[2]Retail Price List'!$C$4:$F$102,4,FALSE),"")</f>
        <v/>
      </c>
      <c r="N1268" s="269">
        <f>IFERROR(IF(BA1268="WIP - 30 Days",VLOOKUP(D1268,[3]Extended!$B$9:$E$101,4,FALSE),IF(BA1268="31-120 Days",VLOOKUP(D1268,[3]Extended!$B$9:$F$101,5,FALSE),IF(BA1268="121-365 Days",VLOOKUP(D1268,[3]Extended!$B$9:$G$101,6,FALSE),VLOOKUP(D1268,[3]Extended!$B$9:$H$101,7,FALSE)))),0)</f>
        <v>0</v>
      </c>
      <c r="O1268" s="269">
        <f>IFERROR(IF(BA1268="WIP - 30 Days",VLOOKUP(D1268,[3]Extended!$B$9:$J$101,9,FALSE),IF(BA1268="31-120 Days",VLOOKUP(D1268,[3]Extended!$B$9:$K$101,10,FALSE),IF(BA1268="121-365 Days",VLOOKUP(D1268,[3]Extended!$B$9:$L$101,11,FALSE),VLOOKUP(D1268,[3]Extended!$B$9:$M$101,12,FALSE)))),0)</f>
        <v>0</v>
      </c>
      <c r="P1268" s="116" t="e">
        <f t="shared" si="96"/>
        <v>#VALUE!</v>
      </c>
      <c r="Q1268" s="110" t="e">
        <f>O1268-#REF!</f>
        <v>#REF!</v>
      </c>
      <c r="W1268" s="310"/>
      <c r="X1268" s="310"/>
      <c r="Y1268" s="310"/>
      <c r="Z1268" s="310"/>
      <c r="AA1268" s="310"/>
      <c r="AB1268" s="310"/>
      <c r="AC1268" s="310"/>
      <c r="AT1268" s="88" t="str">
        <f t="shared" si="97"/>
        <v>Special Order0</v>
      </c>
      <c r="AU1268" s="89" t="str">
        <f t="shared" si="98"/>
        <v>01-1900</v>
      </c>
      <c r="BA1268" s="92" t="str">
        <f t="shared" si="99"/>
        <v/>
      </c>
    </row>
    <row r="1269" spans="2:53">
      <c r="B1269" s="60">
        <f>[2]Trucks!A1266</f>
        <v>0</v>
      </c>
      <c r="C1269" s="11">
        <f>[2]Trucks!B1266</f>
        <v>0</v>
      </c>
      <c r="D1269" s="19" t="str">
        <f>IFERROR(VLOOKUP(C1269&amp;"",'[2]Retail Price List'!$A$3:$B$103,2,FALSE),"Special Order")</f>
        <v>Special Order</v>
      </c>
      <c r="E1269" s="18">
        <f>[2]Trucks!J1266</f>
        <v>0</v>
      </c>
      <c r="F1269" s="12">
        <f>[2]Trucks!E1266</f>
        <v>0</v>
      </c>
      <c r="G1269" s="56">
        <f>[2]Trucks!K1266</f>
        <v>0</v>
      </c>
      <c r="H1269" s="46">
        <f>[2]Trucks!I1266</f>
        <v>0</v>
      </c>
      <c r="I1269" s="83" t="str">
        <f t="shared" si="95"/>
        <v/>
      </c>
      <c r="J1269" s="272" t="str">
        <f>IFERROR(VLOOKUP((D1269&amp;C1269)&amp;"",'[2]Retail Price List'!$C$4:$F$102,3,FALSE),"")</f>
        <v/>
      </c>
      <c r="K1269" s="272">
        <f>IFERROR(IF(BA1269="WIP - 30 Days",VLOOKUP(D1269,[3]Standard!$B$9:$E$101,4,FALSE),IF(BA1269="31-120 Days",VLOOKUP(D1269,[3]Standard!$B$9:$F$101,5,FALSE),IF(BA1269="121-365 Days",VLOOKUP(D1269,[3]Standard!$B$9:$G$101,6,FALSE),VLOOKUP(D1269,[3]Standard!$B$9:$H$101,7,FALSE)))),0)</f>
        <v>0</v>
      </c>
      <c r="L1269" s="272">
        <f>IFERROR(IF(BA1269="WIP - 30 Days",VLOOKUP(D1269,[3]Standard!$B$9:$J$101,9,FALSE),IF(BA1269="31-120 Days",VLOOKUP(D1269,[3]Standard!$B$9:$K$100,10,FALSE),IF(BA1269="121-365 Days",VLOOKUP(D1269,[3]Standard!$B$9:$L$101,11,FALSE),VLOOKUP(D1269,[3]Standard!$B$9:$M$101,12,FALSE)))),0)</f>
        <v>0</v>
      </c>
      <c r="M1269" s="269" t="str">
        <f>IFERROR(VLOOKUP((D1269&amp;C1269)&amp;"",'[2]Retail Price List'!$C$4:$F$102,4,FALSE),"")</f>
        <v/>
      </c>
      <c r="N1269" s="269">
        <f>IFERROR(IF(BA1269="WIP - 30 Days",VLOOKUP(D1269,[3]Extended!$B$9:$E$101,4,FALSE),IF(BA1269="31-120 Days",VLOOKUP(D1269,[3]Extended!$B$9:$F$101,5,FALSE),IF(BA1269="121-365 Days",VLOOKUP(D1269,[3]Extended!$B$9:$G$101,6,FALSE),VLOOKUP(D1269,[3]Extended!$B$9:$H$101,7,FALSE)))),0)</f>
        <v>0</v>
      </c>
      <c r="O1269" s="269">
        <f>IFERROR(IF(BA1269="WIP - 30 Days",VLOOKUP(D1269,[3]Extended!$B$9:$J$101,9,FALSE),IF(BA1269="31-120 Days",VLOOKUP(D1269,[3]Extended!$B$9:$K$101,10,FALSE),IF(BA1269="121-365 Days",VLOOKUP(D1269,[3]Extended!$B$9:$L$101,11,FALSE),VLOOKUP(D1269,[3]Extended!$B$9:$M$101,12,FALSE)))),0)</f>
        <v>0</v>
      </c>
      <c r="P1269" s="116" t="e">
        <f t="shared" si="96"/>
        <v>#VALUE!</v>
      </c>
      <c r="Q1269" s="110" t="e">
        <f>O1269-#REF!</f>
        <v>#REF!</v>
      </c>
      <c r="W1269" s="310"/>
      <c r="X1269" s="310"/>
      <c r="Y1269" s="310"/>
      <c r="Z1269" s="310"/>
      <c r="AA1269" s="310"/>
      <c r="AB1269" s="310"/>
      <c r="AC1269" s="310"/>
      <c r="AT1269" s="88" t="str">
        <f t="shared" si="97"/>
        <v>Special Order0</v>
      </c>
      <c r="AU1269" s="89" t="str">
        <f t="shared" si="98"/>
        <v>01-1900</v>
      </c>
      <c r="BA1269" s="92" t="str">
        <f t="shared" si="99"/>
        <v/>
      </c>
    </row>
    <row r="1270" spans="2:53">
      <c r="B1270" s="60">
        <f>[2]Trucks!A1267</f>
        <v>0</v>
      </c>
      <c r="C1270" s="11">
        <f>[2]Trucks!B1267</f>
        <v>0</v>
      </c>
      <c r="D1270" s="19" t="str">
        <f>IFERROR(VLOOKUP(C1270&amp;"",'[2]Retail Price List'!$A$3:$B$103,2,FALSE),"Special Order")</f>
        <v>Special Order</v>
      </c>
      <c r="E1270" s="18">
        <f>[2]Trucks!J1267</f>
        <v>0</v>
      </c>
      <c r="F1270" s="12">
        <f>[2]Trucks!E1267</f>
        <v>0</v>
      </c>
      <c r="G1270" s="56">
        <f>[2]Trucks!K1267</f>
        <v>0</v>
      </c>
      <c r="H1270" s="46">
        <f>[2]Trucks!I1267</f>
        <v>0</v>
      </c>
      <c r="I1270" s="83" t="str">
        <f t="shared" si="95"/>
        <v/>
      </c>
      <c r="J1270" s="272" t="str">
        <f>IFERROR(VLOOKUP((D1270&amp;C1270)&amp;"",'[2]Retail Price List'!$C$4:$F$102,3,FALSE),"")</f>
        <v/>
      </c>
      <c r="K1270" s="272">
        <f>IFERROR(IF(BA1270="WIP - 30 Days",VLOOKUP(D1270,[3]Standard!$B$9:$E$101,4,FALSE),IF(BA1270="31-120 Days",VLOOKUP(D1270,[3]Standard!$B$9:$F$101,5,FALSE),IF(BA1270="121-365 Days",VLOOKUP(D1270,[3]Standard!$B$9:$G$101,6,FALSE),VLOOKUP(D1270,[3]Standard!$B$9:$H$101,7,FALSE)))),0)</f>
        <v>0</v>
      </c>
      <c r="L1270" s="272">
        <f>IFERROR(IF(BA1270="WIP - 30 Days",VLOOKUP(D1270,[3]Standard!$B$9:$J$101,9,FALSE),IF(BA1270="31-120 Days",VLOOKUP(D1270,[3]Standard!$B$9:$K$100,10,FALSE),IF(BA1270="121-365 Days",VLOOKUP(D1270,[3]Standard!$B$9:$L$101,11,FALSE),VLOOKUP(D1270,[3]Standard!$B$9:$M$101,12,FALSE)))),0)</f>
        <v>0</v>
      </c>
      <c r="M1270" s="269" t="str">
        <f>IFERROR(VLOOKUP((D1270&amp;C1270)&amp;"",'[2]Retail Price List'!$C$4:$F$102,4,FALSE),"")</f>
        <v/>
      </c>
      <c r="N1270" s="269">
        <f>IFERROR(IF(BA1270="WIP - 30 Days",VLOOKUP(D1270,[3]Extended!$B$9:$E$101,4,FALSE),IF(BA1270="31-120 Days",VLOOKUP(D1270,[3]Extended!$B$9:$F$101,5,FALSE),IF(BA1270="121-365 Days",VLOOKUP(D1270,[3]Extended!$B$9:$G$101,6,FALSE),VLOOKUP(D1270,[3]Extended!$B$9:$H$101,7,FALSE)))),0)</f>
        <v>0</v>
      </c>
      <c r="O1270" s="269">
        <f>IFERROR(IF(BA1270="WIP - 30 Days",VLOOKUP(D1270,[3]Extended!$B$9:$J$101,9,FALSE),IF(BA1270="31-120 Days",VLOOKUP(D1270,[3]Extended!$B$9:$K$101,10,FALSE),IF(BA1270="121-365 Days",VLOOKUP(D1270,[3]Extended!$B$9:$L$101,11,FALSE),VLOOKUP(D1270,[3]Extended!$B$9:$M$101,12,FALSE)))),0)</f>
        <v>0</v>
      </c>
      <c r="P1270" s="116" t="e">
        <f t="shared" si="96"/>
        <v>#VALUE!</v>
      </c>
      <c r="Q1270" s="110" t="e">
        <f>O1270-#REF!</f>
        <v>#REF!</v>
      </c>
      <c r="W1270" s="310"/>
      <c r="X1270" s="310"/>
      <c r="Y1270" s="310"/>
      <c r="Z1270" s="310"/>
      <c r="AA1270" s="310"/>
      <c r="AB1270" s="310"/>
      <c r="AC1270" s="310"/>
      <c r="AT1270" s="88" t="str">
        <f t="shared" si="97"/>
        <v>Special Order0</v>
      </c>
      <c r="AU1270" s="89" t="str">
        <f t="shared" si="98"/>
        <v>01-1900</v>
      </c>
      <c r="BA1270" s="92" t="str">
        <f t="shared" si="99"/>
        <v/>
      </c>
    </row>
    <row r="1271" spans="2:53">
      <c r="B1271" s="60">
        <f>[2]Trucks!A1268</f>
        <v>0</v>
      </c>
      <c r="C1271" s="11">
        <f>[2]Trucks!B1268</f>
        <v>0</v>
      </c>
      <c r="D1271" s="19" t="str">
        <f>IFERROR(VLOOKUP(C1271&amp;"",'[2]Retail Price List'!$A$3:$B$103,2,FALSE),"Special Order")</f>
        <v>Special Order</v>
      </c>
      <c r="E1271" s="18">
        <f>[2]Trucks!J1268</f>
        <v>0</v>
      </c>
      <c r="F1271" s="12">
        <f>[2]Trucks!E1268</f>
        <v>0</v>
      </c>
      <c r="G1271" s="56">
        <f>[2]Trucks!K1268</f>
        <v>0</v>
      </c>
      <c r="H1271" s="46">
        <f>[2]Trucks!I1268</f>
        <v>0</v>
      </c>
      <c r="I1271" s="83" t="str">
        <f t="shared" si="95"/>
        <v/>
      </c>
      <c r="J1271" s="272" t="str">
        <f>IFERROR(VLOOKUP((D1271&amp;C1271)&amp;"",'[2]Retail Price List'!$C$4:$F$102,3,FALSE),"")</f>
        <v/>
      </c>
      <c r="K1271" s="272">
        <f>IFERROR(IF(BA1271="WIP - 30 Days",VLOOKUP(D1271,[3]Standard!$B$9:$E$101,4,FALSE),IF(BA1271="31-120 Days",VLOOKUP(D1271,[3]Standard!$B$9:$F$101,5,FALSE),IF(BA1271="121-365 Days",VLOOKUP(D1271,[3]Standard!$B$9:$G$101,6,FALSE),VLOOKUP(D1271,[3]Standard!$B$9:$H$101,7,FALSE)))),0)</f>
        <v>0</v>
      </c>
      <c r="L1271" s="272">
        <f>IFERROR(IF(BA1271="WIP - 30 Days",VLOOKUP(D1271,[3]Standard!$B$9:$J$101,9,FALSE),IF(BA1271="31-120 Days",VLOOKUP(D1271,[3]Standard!$B$9:$K$100,10,FALSE),IF(BA1271="121-365 Days",VLOOKUP(D1271,[3]Standard!$B$9:$L$101,11,FALSE),VLOOKUP(D1271,[3]Standard!$B$9:$M$101,12,FALSE)))),0)</f>
        <v>0</v>
      </c>
      <c r="M1271" s="269" t="str">
        <f>IFERROR(VLOOKUP((D1271&amp;C1271)&amp;"",'[2]Retail Price List'!$C$4:$F$102,4,FALSE),"")</f>
        <v/>
      </c>
      <c r="N1271" s="269">
        <f>IFERROR(IF(BA1271="WIP - 30 Days",VLOOKUP(D1271,[3]Extended!$B$9:$E$101,4,FALSE),IF(BA1271="31-120 Days",VLOOKUP(D1271,[3]Extended!$B$9:$F$101,5,FALSE),IF(BA1271="121-365 Days",VLOOKUP(D1271,[3]Extended!$B$9:$G$101,6,FALSE),VLOOKUP(D1271,[3]Extended!$B$9:$H$101,7,FALSE)))),0)</f>
        <v>0</v>
      </c>
      <c r="O1271" s="269">
        <f>IFERROR(IF(BA1271="WIP - 30 Days",VLOOKUP(D1271,[3]Extended!$B$9:$J$101,9,FALSE),IF(BA1271="31-120 Days",VLOOKUP(D1271,[3]Extended!$B$9:$K$101,10,FALSE),IF(BA1271="121-365 Days",VLOOKUP(D1271,[3]Extended!$B$9:$L$101,11,FALSE),VLOOKUP(D1271,[3]Extended!$B$9:$M$101,12,FALSE)))),0)</f>
        <v>0</v>
      </c>
      <c r="P1271" s="116" t="e">
        <f t="shared" si="96"/>
        <v>#VALUE!</v>
      </c>
      <c r="Q1271" s="110" t="e">
        <f>O1271-#REF!</f>
        <v>#REF!</v>
      </c>
      <c r="W1271" s="310"/>
      <c r="X1271" s="310"/>
      <c r="Y1271" s="310"/>
      <c r="Z1271" s="310"/>
      <c r="AA1271" s="310"/>
      <c r="AB1271" s="310"/>
      <c r="AC1271" s="310"/>
      <c r="AT1271" s="88" t="str">
        <f t="shared" si="97"/>
        <v>Special Order0</v>
      </c>
      <c r="AU1271" s="89" t="str">
        <f t="shared" si="98"/>
        <v>01-1900</v>
      </c>
      <c r="BA1271" s="92" t="str">
        <f t="shared" si="99"/>
        <v/>
      </c>
    </row>
    <row r="1272" spans="2:53">
      <c r="B1272" s="60">
        <f>[2]Trucks!A1269</f>
        <v>0</v>
      </c>
      <c r="C1272" s="11">
        <f>[2]Trucks!B1269</f>
        <v>0</v>
      </c>
      <c r="D1272" s="19" t="str">
        <f>IFERROR(VLOOKUP(C1272&amp;"",'[2]Retail Price List'!$A$3:$B$103,2,FALSE),"Special Order")</f>
        <v>Special Order</v>
      </c>
      <c r="E1272" s="18">
        <f>[2]Trucks!J1269</f>
        <v>0</v>
      </c>
      <c r="F1272" s="12">
        <f>[2]Trucks!E1269</f>
        <v>0</v>
      </c>
      <c r="G1272" s="56">
        <f>[2]Trucks!K1269</f>
        <v>0</v>
      </c>
      <c r="H1272" s="46">
        <f>[2]Trucks!I1269</f>
        <v>0</v>
      </c>
      <c r="I1272" s="83" t="str">
        <f t="shared" si="95"/>
        <v/>
      </c>
      <c r="J1272" s="272" t="str">
        <f>IFERROR(VLOOKUP((D1272&amp;C1272)&amp;"",'[2]Retail Price List'!$C$4:$F$102,3,FALSE),"")</f>
        <v/>
      </c>
      <c r="K1272" s="272">
        <f>IFERROR(IF(BA1272="WIP - 30 Days",VLOOKUP(D1272,[3]Standard!$B$9:$E$101,4,FALSE),IF(BA1272="31-120 Days",VLOOKUP(D1272,[3]Standard!$B$9:$F$101,5,FALSE),IF(BA1272="121-365 Days",VLOOKUP(D1272,[3]Standard!$B$9:$G$101,6,FALSE),VLOOKUP(D1272,[3]Standard!$B$9:$H$101,7,FALSE)))),0)</f>
        <v>0</v>
      </c>
      <c r="L1272" s="272">
        <f>IFERROR(IF(BA1272="WIP - 30 Days",VLOOKUP(D1272,[3]Standard!$B$9:$J$101,9,FALSE),IF(BA1272="31-120 Days",VLOOKUP(D1272,[3]Standard!$B$9:$K$100,10,FALSE),IF(BA1272="121-365 Days",VLOOKUP(D1272,[3]Standard!$B$9:$L$101,11,FALSE),VLOOKUP(D1272,[3]Standard!$B$9:$M$101,12,FALSE)))),0)</f>
        <v>0</v>
      </c>
      <c r="M1272" s="269" t="str">
        <f>IFERROR(VLOOKUP((D1272&amp;C1272)&amp;"",'[2]Retail Price List'!$C$4:$F$102,4,FALSE),"")</f>
        <v/>
      </c>
      <c r="N1272" s="269">
        <f>IFERROR(IF(BA1272="WIP - 30 Days",VLOOKUP(D1272,[3]Extended!$B$9:$E$101,4,FALSE),IF(BA1272="31-120 Days",VLOOKUP(D1272,[3]Extended!$B$9:$F$101,5,FALSE),IF(BA1272="121-365 Days",VLOOKUP(D1272,[3]Extended!$B$9:$G$101,6,FALSE),VLOOKUP(D1272,[3]Extended!$B$9:$H$101,7,FALSE)))),0)</f>
        <v>0</v>
      </c>
      <c r="O1272" s="269">
        <f>IFERROR(IF(BA1272="WIP - 30 Days",VLOOKUP(D1272,[3]Extended!$B$9:$J$101,9,FALSE),IF(BA1272="31-120 Days",VLOOKUP(D1272,[3]Extended!$B$9:$K$101,10,FALSE),IF(BA1272="121-365 Days",VLOOKUP(D1272,[3]Extended!$B$9:$L$101,11,FALSE),VLOOKUP(D1272,[3]Extended!$B$9:$M$101,12,FALSE)))),0)</f>
        <v>0</v>
      </c>
      <c r="P1272" s="116" t="e">
        <f t="shared" si="96"/>
        <v>#VALUE!</v>
      </c>
      <c r="Q1272" s="110" t="e">
        <f>O1272-#REF!</f>
        <v>#REF!</v>
      </c>
      <c r="W1272" s="310"/>
      <c r="X1272" s="310"/>
      <c r="Y1272" s="310"/>
      <c r="Z1272" s="310"/>
      <c r="AA1272" s="310"/>
      <c r="AB1272" s="310"/>
      <c r="AC1272" s="310"/>
      <c r="AT1272" s="88" t="str">
        <f t="shared" si="97"/>
        <v>Special Order0</v>
      </c>
      <c r="AU1272" s="89" t="str">
        <f t="shared" si="98"/>
        <v>01-1900</v>
      </c>
      <c r="BA1272" s="92" t="str">
        <f t="shared" si="99"/>
        <v/>
      </c>
    </row>
    <row r="1273" spans="2:53">
      <c r="B1273" s="60">
        <f>[2]Trucks!A1270</f>
        <v>0</v>
      </c>
      <c r="C1273" s="11">
        <f>[2]Trucks!B1270</f>
        <v>0</v>
      </c>
      <c r="D1273" s="19" t="str">
        <f>IFERROR(VLOOKUP(C1273&amp;"",'[2]Retail Price List'!$A$3:$B$103,2,FALSE),"Special Order")</f>
        <v>Special Order</v>
      </c>
      <c r="E1273" s="18">
        <f>[2]Trucks!J1270</f>
        <v>0</v>
      </c>
      <c r="F1273" s="12">
        <f>[2]Trucks!E1270</f>
        <v>0</v>
      </c>
      <c r="G1273" s="56">
        <f>[2]Trucks!K1270</f>
        <v>0</v>
      </c>
      <c r="H1273" s="46">
        <f>[2]Trucks!I1270</f>
        <v>0</v>
      </c>
      <c r="I1273" s="83" t="str">
        <f t="shared" si="95"/>
        <v/>
      </c>
      <c r="J1273" s="272" t="str">
        <f>IFERROR(VLOOKUP((D1273&amp;C1273)&amp;"",'[2]Retail Price List'!$C$4:$F$102,3,FALSE),"")</f>
        <v/>
      </c>
      <c r="K1273" s="272">
        <f>IFERROR(IF(BA1273="WIP - 30 Days",VLOOKUP(D1273,[3]Standard!$B$9:$E$101,4,FALSE),IF(BA1273="31-120 Days",VLOOKUP(D1273,[3]Standard!$B$9:$F$101,5,FALSE),IF(BA1273="121-365 Days",VLOOKUP(D1273,[3]Standard!$B$9:$G$101,6,FALSE),VLOOKUP(D1273,[3]Standard!$B$9:$H$101,7,FALSE)))),0)</f>
        <v>0</v>
      </c>
      <c r="L1273" s="272">
        <f>IFERROR(IF(BA1273="WIP - 30 Days",VLOOKUP(D1273,[3]Standard!$B$9:$J$101,9,FALSE),IF(BA1273="31-120 Days",VLOOKUP(D1273,[3]Standard!$B$9:$K$100,10,FALSE),IF(BA1273="121-365 Days",VLOOKUP(D1273,[3]Standard!$B$9:$L$101,11,FALSE),VLOOKUP(D1273,[3]Standard!$B$9:$M$101,12,FALSE)))),0)</f>
        <v>0</v>
      </c>
      <c r="M1273" s="269" t="str">
        <f>IFERROR(VLOOKUP((D1273&amp;C1273)&amp;"",'[2]Retail Price List'!$C$4:$F$102,4,FALSE),"")</f>
        <v/>
      </c>
      <c r="N1273" s="269">
        <f>IFERROR(IF(BA1273="WIP - 30 Days",VLOOKUP(D1273,[3]Extended!$B$9:$E$101,4,FALSE),IF(BA1273="31-120 Days",VLOOKUP(D1273,[3]Extended!$B$9:$F$101,5,FALSE),IF(BA1273="121-365 Days",VLOOKUP(D1273,[3]Extended!$B$9:$G$101,6,FALSE),VLOOKUP(D1273,[3]Extended!$B$9:$H$101,7,FALSE)))),0)</f>
        <v>0</v>
      </c>
      <c r="O1273" s="269">
        <f>IFERROR(IF(BA1273="WIP - 30 Days",VLOOKUP(D1273,[3]Extended!$B$9:$J$101,9,FALSE),IF(BA1273="31-120 Days",VLOOKUP(D1273,[3]Extended!$B$9:$K$101,10,FALSE),IF(BA1273="121-365 Days",VLOOKUP(D1273,[3]Extended!$B$9:$L$101,11,FALSE),VLOOKUP(D1273,[3]Extended!$B$9:$M$101,12,FALSE)))),0)</f>
        <v>0</v>
      </c>
      <c r="P1273" s="116" t="e">
        <f t="shared" si="96"/>
        <v>#VALUE!</v>
      </c>
      <c r="Q1273" s="110" t="e">
        <f>O1273-#REF!</f>
        <v>#REF!</v>
      </c>
      <c r="W1273" s="310"/>
      <c r="X1273" s="310"/>
      <c r="Y1273" s="310"/>
      <c r="Z1273" s="310"/>
      <c r="AA1273" s="310"/>
      <c r="AB1273" s="310"/>
      <c r="AC1273" s="310"/>
      <c r="AT1273" s="88" t="str">
        <f t="shared" si="97"/>
        <v>Special Order0</v>
      </c>
      <c r="AU1273" s="89" t="str">
        <f t="shared" si="98"/>
        <v>01-1900</v>
      </c>
      <c r="BA1273" s="92" t="str">
        <f t="shared" si="99"/>
        <v/>
      </c>
    </row>
    <row r="1274" spans="2:53">
      <c r="B1274" s="60">
        <f>[2]Trucks!A1271</f>
        <v>0</v>
      </c>
      <c r="C1274" s="11">
        <f>[2]Trucks!B1271</f>
        <v>0</v>
      </c>
      <c r="D1274" s="19" t="str">
        <f>IFERROR(VLOOKUP(C1274&amp;"",'[2]Retail Price List'!$A$3:$B$103,2,FALSE),"Special Order")</f>
        <v>Special Order</v>
      </c>
      <c r="E1274" s="18">
        <f>[2]Trucks!J1271</f>
        <v>0</v>
      </c>
      <c r="F1274" s="12">
        <f>[2]Trucks!E1271</f>
        <v>0</v>
      </c>
      <c r="G1274" s="56">
        <f>[2]Trucks!K1271</f>
        <v>0</v>
      </c>
      <c r="H1274" s="46">
        <f>[2]Trucks!I1271</f>
        <v>0</v>
      </c>
      <c r="I1274" s="83" t="str">
        <f t="shared" si="95"/>
        <v/>
      </c>
      <c r="J1274" s="272" t="str">
        <f>IFERROR(VLOOKUP((D1274&amp;C1274)&amp;"",'[2]Retail Price List'!$C$4:$F$102,3,FALSE),"")</f>
        <v/>
      </c>
      <c r="K1274" s="272">
        <f>IFERROR(IF(BA1274="WIP - 30 Days",VLOOKUP(D1274,[3]Standard!$B$9:$E$101,4,FALSE),IF(BA1274="31-120 Days",VLOOKUP(D1274,[3]Standard!$B$9:$F$101,5,FALSE),IF(BA1274="121-365 Days",VLOOKUP(D1274,[3]Standard!$B$9:$G$101,6,FALSE),VLOOKUP(D1274,[3]Standard!$B$9:$H$101,7,FALSE)))),0)</f>
        <v>0</v>
      </c>
      <c r="L1274" s="272">
        <f>IFERROR(IF(BA1274="WIP - 30 Days",VLOOKUP(D1274,[3]Standard!$B$9:$J$101,9,FALSE),IF(BA1274="31-120 Days",VLOOKUP(D1274,[3]Standard!$B$9:$K$100,10,FALSE),IF(BA1274="121-365 Days",VLOOKUP(D1274,[3]Standard!$B$9:$L$101,11,FALSE),VLOOKUP(D1274,[3]Standard!$B$9:$M$101,12,FALSE)))),0)</f>
        <v>0</v>
      </c>
      <c r="M1274" s="269" t="str">
        <f>IFERROR(VLOOKUP((D1274&amp;C1274)&amp;"",'[2]Retail Price List'!$C$4:$F$102,4,FALSE),"")</f>
        <v/>
      </c>
      <c r="N1274" s="269">
        <f>IFERROR(IF(BA1274="WIP - 30 Days",VLOOKUP(D1274,[3]Extended!$B$9:$E$101,4,FALSE),IF(BA1274="31-120 Days",VLOOKUP(D1274,[3]Extended!$B$9:$F$101,5,FALSE),IF(BA1274="121-365 Days",VLOOKUP(D1274,[3]Extended!$B$9:$G$101,6,FALSE),VLOOKUP(D1274,[3]Extended!$B$9:$H$101,7,FALSE)))),0)</f>
        <v>0</v>
      </c>
      <c r="O1274" s="269">
        <f>IFERROR(IF(BA1274="WIP - 30 Days",VLOOKUP(D1274,[3]Extended!$B$9:$J$101,9,FALSE),IF(BA1274="31-120 Days",VLOOKUP(D1274,[3]Extended!$B$9:$K$101,10,FALSE),IF(BA1274="121-365 Days",VLOOKUP(D1274,[3]Extended!$B$9:$L$101,11,FALSE),VLOOKUP(D1274,[3]Extended!$B$9:$M$101,12,FALSE)))),0)</f>
        <v>0</v>
      </c>
      <c r="P1274" s="116" t="e">
        <f t="shared" si="96"/>
        <v>#VALUE!</v>
      </c>
      <c r="Q1274" s="110" t="e">
        <f>O1274-#REF!</f>
        <v>#REF!</v>
      </c>
      <c r="W1274" s="310"/>
      <c r="X1274" s="310"/>
      <c r="Y1274" s="310"/>
      <c r="Z1274" s="310"/>
      <c r="AA1274" s="310"/>
      <c r="AB1274" s="310"/>
      <c r="AC1274" s="310"/>
      <c r="AT1274" s="88" t="str">
        <f t="shared" si="97"/>
        <v>Special Order0</v>
      </c>
      <c r="AU1274" s="89" t="str">
        <f t="shared" si="98"/>
        <v>01-1900</v>
      </c>
      <c r="BA1274" s="92" t="str">
        <f t="shared" si="99"/>
        <v/>
      </c>
    </row>
    <row r="1275" spans="2:53">
      <c r="B1275" s="60">
        <f>[2]Trucks!A1272</f>
        <v>0</v>
      </c>
      <c r="C1275" s="11">
        <f>[2]Trucks!B1272</f>
        <v>0</v>
      </c>
      <c r="D1275" s="19" t="str">
        <f>IFERROR(VLOOKUP(C1275&amp;"",'[2]Retail Price List'!$A$3:$B$103,2,FALSE),"Special Order")</f>
        <v>Special Order</v>
      </c>
      <c r="E1275" s="18">
        <f>[2]Trucks!J1272</f>
        <v>0</v>
      </c>
      <c r="F1275" s="12">
        <f>[2]Trucks!E1272</f>
        <v>0</v>
      </c>
      <c r="G1275" s="56">
        <f>[2]Trucks!K1272</f>
        <v>0</v>
      </c>
      <c r="H1275" s="46">
        <f>[2]Trucks!I1272</f>
        <v>0</v>
      </c>
      <c r="I1275" s="83" t="str">
        <f t="shared" si="95"/>
        <v/>
      </c>
      <c r="J1275" s="272" t="str">
        <f>IFERROR(VLOOKUP((D1275&amp;C1275)&amp;"",'[2]Retail Price List'!$C$4:$F$102,3,FALSE),"")</f>
        <v/>
      </c>
      <c r="K1275" s="272">
        <f>IFERROR(IF(BA1275="WIP - 30 Days",VLOOKUP(D1275,[3]Standard!$B$9:$E$101,4,FALSE),IF(BA1275="31-120 Days",VLOOKUP(D1275,[3]Standard!$B$9:$F$101,5,FALSE),IF(BA1275="121-365 Days",VLOOKUP(D1275,[3]Standard!$B$9:$G$101,6,FALSE),VLOOKUP(D1275,[3]Standard!$B$9:$H$101,7,FALSE)))),0)</f>
        <v>0</v>
      </c>
      <c r="L1275" s="272">
        <f>IFERROR(IF(BA1275="WIP - 30 Days",VLOOKUP(D1275,[3]Standard!$B$9:$J$101,9,FALSE),IF(BA1275="31-120 Days",VLOOKUP(D1275,[3]Standard!$B$9:$K$100,10,FALSE),IF(BA1275="121-365 Days",VLOOKUP(D1275,[3]Standard!$B$9:$L$101,11,FALSE),VLOOKUP(D1275,[3]Standard!$B$9:$M$101,12,FALSE)))),0)</f>
        <v>0</v>
      </c>
      <c r="M1275" s="269" t="str">
        <f>IFERROR(VLOOKUP((D1275&amp;C1275)&amp;"",'[2]Retail Price List'!$C$4:$F$102,4,FALSE),"")</f>
        <v/>
      </c>
      <c r="N1275" s="269">
        <f>IFERROR(IF(BA1275="WIP - 30 Days",VLOOKUP(D1275,[3]Extended!$B$9:$E$101,4,FALSE),IF(BA1275="31-120 Days",VLOOKUP(D1275,[3]Extended!$B$9:$F$101,5,FALSE),IF(BA1275="121-365 Days",VLOOKUP(D1275,[3]Extended!$B$9:$G$101,6,FALSE),VLOOKUP(D1275,[3]Extended!$B$9:$H$101,7,FALSE)))),0)</f>
        <v>0</v>
      </c>
      <c r="O1275" s="269">
        <f>IFERROR(IF(BA1275="WIP - 30 Days",VLOOKUP(D1275,[3]Extended!$B$9:$J$101,9,FALSE),IF(BA1275="31-120 Days",VLOOKUP(D1275,[3]Extended!$B$9:$K$101,10,FALSE),IF(BA1275="121-365 Days",VLOOKUP(D1275,[3]Extended!$B$9:$L$101,11,FALSE),VLOOKUP(D1275,[3]Extended!$B$9:$M$101,12,FALSE)))),0)</f>
        <v>0</v>
      </c>
      <c r="P1275" s="116" t="e">
        <f t="shared" si="96"/>
        <v>#VALUE!</v>
      </c>
      <c r="Q1275" s="110" t="e">
        <f>O1275-#REF!</f>
        <v>#REF!</v>
      </c>
      <c r="W1275" s="310"/>
      <c r="X1275" s="310"/>
      <c r="Y1275" s="310"/>
      <c r="Z1275" s="310"/>
      <c r="AA1275" s="310"/>
      <c r="AB1275" s="310"/>
      <c r="AC1275" s="310"/>
      <c r="AT1275" s="88" t="str">
        <f t="shared" si="97"/>
        <v>Special Order0</v>
      </c>
      <c r="AU1275" s="89" t="str">
        <f t="shared" si="98"/>
        <v>01-1900</v>
      </c>
      <c r="BA1275" s="92" t="str">
        <f t="shared" si="99"/>
        <v/>
      </c>
    </row>
    <row r="1276" spans="2:53">
      <c r="B1276" s="60">
        <f>[2]Trucks!A1273</f>
        <v>0</v>
      </c>
      <c r="C1276" s="11">
        <f>[2]Trucks!B1273</f>
        <v>0</v>
      </c>
      <c r="D1276" s="19" t="str">
        <f>IFERROR(VLOOKUP(C1276&amp;"",'[2]Retail Price List'!$A$3:$B$103,2,FALSE),"Special Order")</f>
        <v>Special Order</v>
      </c>
      <c r="E1276" s="18">
        <f>[2]Trucks!J1273</f>
        <v>0</v>
      </c>
      <c r="F1276" s="12">
        <f>[2]Trucks!E1273</f>
        <v>0</v>
      </c>
      <c r="G1276" s="56">
        <f>[2]Trucks!K1273</f>
        <v>0</v>
      </c>
      <c r="H1276" s="46">
        <f>[2]Trucks!I1273</f>
        <v>0</v>
      </c>
      <c r="I1276" s="83" t="str">
        <f t="shared" si="95"/>
        <v/>
      </c>
      <c r="J1276" s="272" t="str">
        <f>IFERROR(VLOOKUP((D1276&amp;C1276)&amp;"",'[2]Retail Price List'!$C$4:$F$102,3,FALSE),"")</f>
        <v/>
      </c>
      <c r="K1276" s="272">
        <f>IFERROR(IF(BA1276="WIP - 30 Days",VLOOKUP(D1276,[3]Standard!$B$9:$E$101,4,FALSE),IF(BA1276="31-120 Days",VLOOKUP(D1276,[3]Standard!$B$9:$F$101,5,FALSE),IF(BA1276="121-365 Days",VLOOKUP(D1276,[3]Standard!$B$9:$G$101,6,FALSE),VLOOKUP(D1276,[3]Standard!$B$9:$H$101,7,FALSE)))),0)</f>
        <v>0</v>
      </c>
      <c r="L1276" s="272">
        <f>IFERROR(IF(BA1276="WIP - 30 Days",VLOOKUP(D1276,[3]Standard!$B$9:$J$101,9,FALSE),IF(BA1276="31-120 Days",VLOOKUP(D1276,[3]Standard!$B$9:$K$100,10,FALSE),IF(BA1276="121-365 Days",VLOOKUP(D1276,[3]Standard!$B$9:$L$101,11,FALSE),VLOOKUP(D1276,[3]Standard!$B$9:$M$101,12,FALSE)))),0)</f>
        <v>0</v>
      </c>
      <c r="M1276" s="269" t="str">
        <f>IFERROR(VLOOKUP((D1276&amp;C1276)&amp;"",'[2]Retail Price List'!$C$4:$F$102,4,FALSE),"")</f>
        <v/>
      </c>
      <c r="N1276" s="269">
        <f>IFERROR(IF(BA1276="WIP - 30 Days",VLOOKUP(D1276,[3]Extended!$B$9:$E$101,4,FALSE),IF(BA1276="31-120 Days",VLOOKUP(D1276,[3]Extended!$B$9:$F$101,5,FALSE),IF(BA1276="121-365 Days",VLOOKUP(D1276,[3]Extended!$B$9:$G$101,6,FALSE),VLOOKUP(D1276,[3]Extended!$B$9:$H$101,7,FALSE)))),0)</f>
        <v>0</v>
      </c>
      <c r="O1276" s="269">
        <f>IFERROR(IF(BA1276="WIP - 30 Days",VLOOKUP(D1276,[3]Extended!$B$9:$J$101,9,FALSE),IF(BA1276="31-120 Days",VLOOKUP(D1276,[3]Extended!$B$9:$K$101,10,FALSE),IF(BA1276="121-365 Days",VLOOKUP(D1276,[3]Extended!$B$9:$L$101,11,FALSE),VLOOKUP(D1276,[3]Extended!$B$9:$M$101,12,FALSE)))),0)</f>
        <v>0</v>
      </c>
      <c r="P1276" s="116" t="e">
        <f t="shared" si="96"/>
        <v>#VALUE!</v>
      </c>
      <c r="Q1276" s="110" t="e">
        <f>O1276-#REF!</f>
        <v>#REF!</v>
      </c>
      <c r="W1276" s="310"/>
      <c r="X1276" s="310"/>
      <c r="Y1276" s="310"/>
      <c r="Z1276" s="310"/>
      <c r="AA1276" s="310"/>
      <c r="AB1276" s="310"/>
      <c r="AC1276" s="310"/>
      <c r="AT1276" s="88" t="str">
        <f t="shared" si="97"/>
        <v>Special Order0</v>
      </c>
      <c r="AU1276" s="89" t="str">
        <f t="shared" si="98"/>
        <v>01-1900</v>
      </c>
      <c r="BA1276" s="92" t="str">
        <f t="shared" si="99"/>
        <v/>
      </c>
    </row>
    <row r="1277" spans="2:53">
      <c r="B1277" s="60">
        <f>[2]Trucks!A1274</f>
        <v>0</v>
      </c>
      <c r="C1277" s="11">
        <f>[2]Trucks!B1274</f>
        <v>0</v>
      </c>
      <c r="D1277" s="19" t="str">
        <f>IFERROR(VLOOKUP(C1277&amp;"",'[2]Retail Price List'!$A$3:$B$103,2,FALSE),"Special Order")</f>
        <v>Special Order</v>
      </c>
      <c r="E1277" s="18">
        <f>[2]Trucks!J1274</f>
        <v>0</v>
      </c>
      <c r="F1277" s="12">
        <f>[2]Trucks!E1274</f>
        <v>0</v>
      </c>
      <c r="G1277" s="56">
        <f>[2]Trucks!K1274</f>
        <v>0</v>
      </c>
      <c r="H1277" s="46">
        <f>[2]Trucks!I1274</f>
        <v>0</v>
      </c>
      <c r="I1277" s="83" t="str">
        <f t="shared" si="95"/>
        <v/>
      </c>
      <c r="J1277" s="272" t="str">
        <f>IFERROR(VLOOKUP((D1277&amp;C1277)&amp;"",'[2]Retail Price List'!$C$4:$F$102,3,FALSE),"")</f>
        <v/>
      </c>
      <c r="K1277" s="272">
        <f>IFERROR(IF(BA1277="WIP - 30 Days",VLOOKUP(D1277,[3]Standard!$B$9:$E$101,4,FALSE),IF(BA1277="31-120 Days",VLOOKUP(D1277,[3]Standard!$B$9:$F$101,5,FALSE),IF(BA1277="121-365 Days",VLOOKUP(D1277,[3]Standard!$B$9:$G$101,6,FALSE),VLOOKUP(D1277,[3]Standard!$B$9:$H$101,7,FALSE)))),0)</f>
        <v>0</v>
      </c>
      <c r="L1277" s="272">
        <f>IFERROR(IF(BA1277="WIP - 30 Days",VLOOKUP(D1277,[3]Standard!$B$9:$J$101,9,FALSE),IF(BA1277="31-120 Days",VLOOKUP(D1277,[3]Standard!$B$9:$K$100,10,FALSE),IF(BA1277="121-365 Days",VLOOKUP(D1277,[3]Standard!$B$9:$L$101,11,FALSE),VLOOKUP(D1277,[3]Standard!$B$9:$M$101,12,FALSE)))),0)</f>
        <v>0</v>
      </c>
      <c r="M1277" s="269" t="str">
        <f>IFERROR(VLOOKUP((D1277&amp;C1277)&amp;"",'[2]Retail Price List'!$C$4:$F$102,4,FALSE),"")</f>
        <v/>
      </c>
      <c r="N1277" s="269">
        <f>IFERROR(IF(BA1277="WIP - 30 Days",VLOOKUP(D1277,[3]Extended!$B$9:$E$101,4,FALSE),IF(BA1277="31-120 Days",VLOOKUP(D1277,[3]Extended!$B$9:$F$101,5,FALSE),IF(BA1277="121-365 Days",VLOOKUP(D1277,[3]Extended!$B$9:$G$101,6,FALSE),VLOOKUP(D1277,[3]Extended!$B$9:$H$101,7,FALSE)))),0)</f>
        <v>0</v>
      </c>
      <c r="O1277" s="269">
        <f>IFERROR(IF(BA1277="WIP - 30 Days",VLOOKUP(D1277,[3]Extended!$B$9:$J$101,9,FALSE),IF(BA1277="31-120 Days",VLOOKUP(D1277,[3]Extended!$B$9:$K$101,10,FALSE),IF(BA1277="121-365 Days",VLOOKUP(D1277,[3]Extended!$B$9:$L$101,11,FALSE),VLOOKUP(D1277,[3]Extended!$B$9:$M$101,12,FALSE)))),0)</f>
        <v>0</v>
      </c>
      <c r="P1277" s="116" t="e">
        <f t="shared" si="96"/>
        <v>#VALUE!</v>
      </c>
      <c r="Q1277" s="110" t="e">
        <f>O1277-#REF!</f>
        <v>#REF!</v>
      </c>
      <c r="W1277" s="310"/>
      <c r="X1277" s="310"/>
      <c r="Y1277" s="310"/>
      <c r="Z1277" s="310"/>
      <c r="AA1277" s="310"/>
      <c r="AB1277" s="310"/>
      <c r="AC1277" s="310"/>
      <c r="AT1277" s="88" t="str">
        <f t="shared" si="97"/>
        <v>Special Order0</v>
      </c>
      <c r="AU1277" s="89" t="str">
        <f t="shared" si="98"/>
        <v>01-1900</v>
      </c>
      <c r="BA1277" s="92" t="str">
        <f t="shared" si="99"/>
        <v/>
      </c>
    </row>
    <row r="1278" spans="2:53">
      <c r="B1278" s="60">
        <f>[2]Trucks!A1275</f>
        <v>0</v>
      </c>
      <c r="C1278" s="11">
        <f>[2]Trucks!B1275</f>
        <v>0</v>
      </c>
      <c r="D1278" s="19" t="str">
        <f>IFERROR(VLOOKUP(C1278&amp;"",'[2]Retail Price List'!$A$3:$B$103,2,FALSE),"Special Order")</f>
        <v>Special Order</v>
      </c>
      <c r="E1278" s="18">
        <f>[2]Trucks!J1275</f>
        <v>0</v>
      </c>
      <c r="F1278" s="12">
        <f>[2]Trucks!E1275</f>
        <v>0</v>
      </c>
      <c r="G1278" s="56">
        <f>[2]Trucks!K1275</f>
        <v>0</v>
      </c>
      <c r="H1278" s="46">
        <f>[2]Trucks!I1275</f>
        <v>0</v>
      </c>
      <c r="I1278" s="83" t="str">
        <f t="shared" si="95"/>
        <v/>
      </c>
      <c r="J1278" s="272" t="str">
        <f>IFERROR(VLOOKUP((D1278&amp;C1278)&amp;"",'[2]Retail Price List'!$C$4:$F$102,3,FALSE),"")</f>
        <v/>
      </c>
      <c r="K1278" s="272">
        <f>IFERROR(IF(BA1278="WIP - 30 Days",VLOOKUP(D1278,[3]Standard!$B$9:$E$101,4,FALSE),IF(BA1278="31-120 Days",VLOOKUP(D1278,[3]Standard!$B$9:$F$101,5,FALSE),IF(BA1278="121-365 Days",VLOOKUP(D1278,[3]Standard!$B$9:$G$101,6,FALSE),VLOOKUP(D1278,[3]Standard!$B$9:$H$101,7,FALSE)))),0)</f>
        <v>0</v>
      </c>
      <c r="L1278" s="272">
        <f>IFERROR(IF(BA1278="WIP - 30 Days",VLOOKUP(D1278,[3]Standard!$B$9:$J$101,9,FALSE),IF(BA1278="31-120 Days",VLOOKUP(D1278,[3]Standard!$B$9:$K$100,10,FALSE),IF(BA1278="121-365 Days",VLOOKUP(D1278,[3]Standard!$B$9:$L$101,11,FALSE),VLOOKUP(D1278,[3]Standard!$B$9:$M$101,12,FALSE)))),0)</f>
        <v>0</v>
      </c>
      <c r="M1278" s="269" t="str">
        <f>IFERROR(VLOOKUP((D1278&amp;C1278)&amp;"",'[2]Retail Price List'!$C$4:$F$102,4,FALSE),"")</f>
        <v/>
      </c>
      <c r="N1278" s="269">
        <f>IFERROR(IF(BA1278="WIP - 30 Days",VLOOKUP(D1278,[3]Extended!$B$9:$E$101,4,FALSE),IF(BA1278="31-120 Days",VLOOKUP(D1278,[3]Extended!$B$9:$F$101,5,FALSE),IF(BA1278="121-365 Days",VLOOKUP(D1278,[3]Extended!$B$9:$G$101,6,FALSE),VLOOKUP(D1278,[3]Extended!$B$9:$H$101,7,FALSE)))),0)</f>
        <v>0</v>
      </c>
      <c r="O1278" s="269">
        <f>IFERROR(IF(BA1278="WIP - 30 Days",VLOOKUP(D1278,[3]Extended!$B$9:$J$101,9,FALSE),IF(BA1278="31-120 Days",VLOOKUP(D1278,[3]Extended!$B$9:$K$101,10,FALSE),IF(BA1278="121-365 Days",VLOOKUP(D1278,[3]Extended!$B$9:$L$101,11,FALSE),VLOOKUP(D1278,[3]Extended!$B$9:$M$101,12,FALSE)))),0)</f>
        <v>0</v>
      </c>
      <c r="P1278" s="116" t="e">
        <f t="shared" si="96"/>
        <v>#VALUE!</v>
      </c>
      <c r="Q1278" s="110" t="e">
        <f>O1278-#REF!</f>
        <v>#REF!</v>
      </c>
      <c r="W1278" s="310"/>
      <c r="X1278" s="310"/>
      <c r="Y1278" s="310"/>
      <c r="Z1278" s="310"/>
      <c r="AA1278" s="310"/>
      <c r="AB1278" s="310"/>
      <c r="AC1278" s="310"/>
      <c r="AT1278" s="88" t="str">
        <f t="shared" si="97"/>
        <v>Special Order0</v>
      </c>
      <c r="AU1278" s="89" t="str">
        <f t="shared" si="98"/>
        <v>01-1900</v>
      </c>
      <c r="BA1278" s="92" t="str">
        <f t="shared" si="99"/>
        <v/>
      </c>
    </row>
    <row r="1279" spans="2:53">
      <c r="B1279" s="60">
        <f>[2]Trucks!A1276</f>
        <v>0</v>
      </c>
      <c r="C1279" s="11">
        <f>[2]Trucks!B1276</f>
        <v>0</v>
      </c>
      <c r="D1279" s="19" t="str">
        <f>IFERROR(VLOOKUP(C1279&amp;"",'[2]Retail Price List'!$A$3:$B$103,2,FALSE),"Special Order")</f>
        <v>Special Order</v>
      </c>
      <c r="E1279" s="18">
        <f>[2]Trucks!J1276</f>
        <v>0</v>
      </c>
      <c r="F1279" s="12">
        <f>[2]Trucks!E1276</f>
        <v>0</v>
      </c>
      <c r="G1279" s="56">
        <f>[2]Trucks!K1276</f>
        <v>0</v>
      </c>
      <c r="H1279" s="46">
        <f>[2]Trucks!I1276</f>
        <v>0</v>
      </c>
      <c r="I1279" s="83" t="str">
        <f t="shared" si="95"/>
        <v/>
      </c>
      <c r="J1279" s="272" t="str">
        <f>IFERROR(VLOOKUP((D1279&amp;C1279)&amp;"",'[2]Retail Price List'!$C$4:$F$102,3,FALSE),"")</f>
        <v/>
      </c>
      <c r="K1279" s="272">
        <f>IFERROR(IF(BA1279="WIP - 30 Days",VLOOKUP(D1279,[3]Standard!$B$9:$E$101,4,FALSE),IF(BA1279="31-120 Days",VLOOKUP(D1279,[3]Standard!$B$9:$F$101,5,FALSE),IF(BA1279="121-365 Days",VLOOKUP(D1279,[3]Standard!$B$9:$G$101,6,FALSE),VLOOKUP(D1279,[3]Standard!$B$9:$H$101,7,FALSE)))),0)</f>
        <v>0</v>
      </c>
      <c r="L1279" s="272">
        <f>IFERROR(IF(BA1279="WIP - 30 Days",VLOOKUP(D1279,[3]Standard!$B$9:$J$101,9,FALSE),IF(BA1279="31-120 Days",VLOOKUP(D1279,[3]Standard!$B$9:$K$100,10,FALSE),IF(BA1279="121-365 Days",VLOOKUP(D1279,[3]Standard!$B$9:$L$101,11,FALSE),VLOOKUP(D1279,[3]Standard!$B$9:$M$101,12,FALSE)))),0)</f>
        <v>0</v>
      </c>
      <c r="M1279" s="269" t="str">
        <f>IFERROR(VLOOKUP((D1279&amp;C1279)&amp;"",'[2]Retail Price List'!$C$4:$F$102,4,FALSE),"")</f>
        <v/>
      </c>
      <c r="N1279" s="269">
        <f>IFERROR(IF(BA1279="WIP - 30 Days",VLOOKUP(D1279,[3]Extended!$B$9:$E$101,4,FALSE),IF(BA1279="31-120 Days",VLOOKUP(D1279,[3]Extended!$B$9:$F$101,5,FALSE),IF(BA1279="121-365 Days",VLOOKUP(D1279,[3]Extended!$B$9:$G$101,6,FALSE),VLOOKUP(D1279,[3]Extended!$B$9:$H$101,7,FALSE)))),0)</f>
        <v>0</v>
      </c>
      <c r="O1279" s="269">
        <f>IFERROR(IF(BA1279="WIP - 30 Days",VLOOKUP(D1279,[3]Extended!$B$9:$J$101,9,FALSE),IF(BA1279="31-120 Days",VLOOKUP(D1279,[3]Extended!$B$9:$K$101,10,FALSE),IF(BA1279="121-365 Days",VLOOKUP(D1279,[3]Extended!$B$9:$L$101,11,FALSE),VLOOKUP(D1279,[3]Extended!$B$9:$M$101,12,FALSE)))),0)</f>
        <v>0</v>
      </c>
      <c r="P1279" s="116" t="e">
        <f t="shared" si="96"/>
        <v>#VALUE!</v>
      </c>
      <c r="Q1279" s="110" t="e">
        <f>O1279-#REF!</f>
        <v>#REF!</v>
      </c>
      <c r="W1279" s="310"/>
      <c r="X1279" s="310"/>
      <c r="Y1279" s="310"/>
      <c r="Z1279" s="310"/>
      <c r="AA1279" s="310"/>
      <c r="AB1279" s="310"/>
      <c r="AC1279" s="310"/>
      <c r="AT1279" s="88" t="str">
        <f t="shared" si="97"/>
        <v>Special Order0</v>
      </c>
      <c r="AU1279" s="89" t="str">
        <f t="shared" si="98"/>
        <v>01-1900</v>
      </c>
      <c r="BA1279" s="92" t="str">
        <f t="shared" si="99"/>
        <v/>
      </c>
    </row>
    <row r="1280" spans="2:53">
      <c r="B1280" s="60">
        <f>[2]Trucks!A1277</f>
        <v>0</v>
      </c>
      <c r="C1280" s="11">
        <f>[2]Trucks!B1277</f>
        <v>0</v>
      </c>
      <c r="D1280" s="19" t="str">
        <f>IFERROR(VLOOKUP(C1280&amp;"",'[2]Retail Price List'!$A$3:$B$103,2,FALSE),"Special Order")</f>
        <v>Special Order</v>
      </c>
      <c r="E1280" s="18">
        <f>[2]Trucks!J1277</f>
        <v>0</v>
      </c>
      <c r="F1280" s="12">
        <f>[2]Trucks!E1277</f>
        <v>0</v>
      </c>
      <c r="G1280" s="56">
        <f>[2]Trucks!K1277</f>
        <v>0</v>
      </c>
      <c r="H1280" s="46">
        <f>[2]Trucks!I1277</f>
        <v>0</v>
      </c>
      <c r="I1280" s="83" t="str">
        <f t="shared" si="95"/>
        <v/>
      </c>
      <c r="J1280" s="272" t="str">
        <f>IFERROR(VLOOKUP((D1280&amp;C1280)&amp;"",'[2]Retail Price List'!$C$4:$F$102,3,FALSE),"")</f>
        <v/>
      </c>
      <c r="K1280" s="272">
        <f>IFERROR(IF(BA1280="WIP - 30 Days",VLOOKUP(D1280,[3]Standard!$B$9:$E$101,4,FALSE),IF(BA1280="31-120 Days",VLOOKUP(D1280,[3]Standard!$B$9:$F$101,5,FALSE),IF(BA1280="121-365 Days",VLOOKUP(D1280,[3]Standard!$B$9:$G$101,6,FALSE),VLOOKUP(D1280,[3]Standard!$B$9:$H$101,7,FALSE)))),0)</f>
        <v>0</v>
      </c>
      <c r="L1280" s="272">
        <f>IFERROR(IF(BA1280="WIP - 30 Days",VLOOKUP(D1280,[3]Standard!$B$9:$J$101,9,FALSE),IF(BA1280="31-120 Days",VLOOKUP(D1280,[3]Standard!$B$9:$K$100,10,FALSE),IF(BA1280="121-365 Days",VLOOKUP(D1280,[3]Standard!$B$9:$L$101,11,FALSE),VLOOKUP(D1280,[3]Standard!$B$9:$M$101,12,FALSE)))),0)</f>
        <v>0</v>
      </c>
      <c r="M1280" s="269" t="str">
        <f>IFERROR(VLOOKUP((D1280&amp;C1280)&amp;"",'[2]Retail Price List'!$C$4:$F$102,4,FALSE),"")</f>
        <v/>
      </c>
      <c r="N1280" s="269">
        <f>IFERROR(IF(BA1280="WIP - 30 Days",VLOOKUP(D1280,[3]Extended!$B$9:$E$101,4,FALSE),IF(BA1280="31-120 Days",VLOOKUP(D1280,[3]Extended!$B$9:$F$101,5,FALSE),IF(BA1280="121-365 Days",VLOOKUP(D1280,[3]Extended!$B$9:$G$101,6,FALSE),VLOOKUP(D1280,[3]Extended!$B$9:$H$101,7,FALSE)))),0)</f>
        <v>0</v>
      </c>
      <c r="O1280" s="269">
        <f>IFERROR(IF(BA1280="WIP - 30 Days",VLOOKUP(D1280,[3]Extended!$B$9:$J$101,9,FALSE),IF(BA1280="31-120 Days",VLOOKUP(D1280,[3]Extended!$B$9:$K$101,10,FALSE),IF(BA1280="121-365 Days",VLOOKUP(D1280,[3]Extended!$B$9:$L$101,11,FALSE),VLOOKUP(D1280,[3]Extended!$B$9:$M$101,12,FALSE)))),0)</f>
        <v>0</v>
      </c>
      <c r="P1280" s="116" t="e">
        <f t="shared" si="96"/>
        <v>#VALUE!</v>
      </c>
      <c r="Q1280" s="110" t="e">
        <f>O1280-#REF!</f>
        <v>#REF!</v>
      </c>
      <c r="W1280" s="310"/>
      <c r="X1280" s="310"/>
      <c r="Y1280" s="310"/>
      <c r="Z1280" s="310"/>
      <c r="AA1280" s="310"/>
      <c r="AB1280" s="310"/>
      <c r="AC1280" s="310"/>
      <c r="AT1280" s="88" t="str">
        <f t="shared" si="97"/>
        <v>Special Order0</v>
      </c>
      <c r="AU1280" s="89" t="str">
        <f t="shared" si="98"/>
        <v>01-1900</v>
      </c>
      <c r="BA1280" s="92" t="str">
        <f t="shared" si="99"/>
        <v/>
      </c>
    </row>
    <row r="1281" spans="2:53">
      <c r="B1281" s="60">
        <f>[2]Trucks!A1278</f>
        <v>0</v>
      </c>
      <c r="C1281" s="11">
        <f>[2]Trucks!B1278</f>
        <v>0</v>
      </c>
      <c r="D1281" s="19" t="str">
        <f>IFERROR(VLOOKUP(C1281&amp;"",'[2]Retail Price List'!$A$3:$B$103,2,FALSE),"Special Order")</f>
        <v>Special Order</v>
      </c>
      <c r="E1281" s="18">
        <f>[2]Trucks!J1278</f>
        <v>0</v>
      </c>
      <c r="F1281" s="12">
        <f>[2]Trucks!E1278</f>
        <v>0</v>
      </c>
      <c r="G1281" s="56">
        <f>[2]Trucks!K1278</f>
        <v>0</v>
      </c>
      <c r="H1281" s="46">
        <f>[2]Trucks!I1278</f>
        <v>0</v>
      </c>
      <c r="I1281" s="83" t="str">
        <f t="shared" si="95"/>
        <v/>
      </c>
      <c r="J1281" s="272" t="str">
        <f>IFERROR(VLOOKUP((D1281&amp;C1281)&amp;"",'[2]Retail Price List'!$C$4:$F$102,3,FALSE),"")</f>
        <v/>
      </c>
      <c r="K1281" s="272">
        <f>IFERROR(IF(BA1281="WIP - 30 Days",VLOOKUP(D1281,[3]Standard!$B$9:$E$101,4,FALSE),IF(BA1281="31-120 Days",VLOOKUP(D1281,[3]Standard!$B$9:$F$101,5,FALSE),IF(BA1281="121-365 Days",VLOOKUP(D1281,[3]Standard!$B$9:$G$101,6,FALSE),VLOOKUP(D1281,[3]Standard!$B$9:$H$101,7,FALSE)))),0)</f>
        <v>0</v>
      </c>
      <c r="L1281" s="272">
        <f>IFERROR(IF(BA1281="WIP - 30 Days",VLOOKUP(D1281,[3]Standard!$B$9:$J$101,9,FALSE),IF(BA1281="31-120 Days",VLOOKUP(D1281,[3]Standard!$B$9:$K$100,10,FALSE),IF(BA1281="121-365 Days",VLOOKUP(D1281,[3]Standard!$B$9:$L$101,11,FALSE),VLOOKUP(D1281,[3]Standard!$B$9:$M$101,12,FALSE)))),0)</f>
        <v>0</v>
      </c>
      <c r="M1281" s="269" t="str">
        <f>IFERROR(VLOOKUP((D1281&amp;C1281)&amp;"",'[2]Retail Price List'!$C$4:$F$102,4,FALSE),"")</f>
        <v/>
      </c>
      <c r="N1281" s="269">
        <f>IFERROR(IF(BA1281="WIP - 30 Days",VLOOKUP(D1281,[3]Extended!$B$9:$E$101,4,FALSE),IF(BA1281="31-120 Days",VLOOKUP(D1281,[3]Extended!$B$9:$F$101,5,FALSE),IF(BA1281="121-365 Days",VLOOKUP(D1281,[3]Extended!$B$9:$G$101,6,FALSE),VLOOKUP(D1281,[3]Extended!$B$9:$H$101,7,FALSE)))),0)</f>
        <v>0</v>
      </c>
      <c r="O1281" s="269">
        <f>IFERROR(IF(BA1281="WIP - 30 Days",VLOOKUP(D1281,[3]Extended!$B$9:$J$101,9,FALSE),IF(BA1281="31-120 Days",VLOOKUP(D1281,[3]Extended!$B$9:$K$101,10,FALSE),IF(BA1281="121-365 Days",VLOOKUP(D1281,[3]Extended!$B$9:$L$101,11,FALSE),VLOOKUP(D1281,[3]Extended!$B$9:$M$101,12,FALSE)))),0)</f>
        <v>0</v>
      </c>
      <c r="P1281" s="116" t="e">
        <f t="shared" si="96"/>
        <v>#VALUE!</v>
      </c>
      <c r="Q1281" s="110" t="e">
        <f>O1281-#REF!</f>
        <v>#REF!</v>
      </c>
      <c r="W1281" s="310"/>
      <c r="X1281" s="310"/>
      <c r="Y1281" s="310"/>
      <c r="Z1281" s="310"/>
      <c r="AA1281" s="310"/>
      <c r="AB1281" s="310"/>
      <c r="AC1281" s="310"/>
      <c r="AT1281" s="88" t="str">
        <f t="shared" si="97"/>
        <v>Special Order0</v>
      </c>
      <c r="AU1281" s="89" t="str">
        <f t="shared" si="98"/>
        <v>01-1900</v>
      </c>
      <c r="BA1281" s="92" t="str">
        <f t="shared" si="99"/>
        <v/>
      </c>
    </row>
    <row r="1282" spans="2:53">
      <c r="B1282" s="60">
        <f>[2]Trucks!A1279</f>
        <v>0</v>
      </c>
      <c r="C1282" s="11">
        <f>[2]Trucks!B1279</f>
        <v>0</v>
      </c>
      <c r="D1282" s="19" t="str">
        <f>IFERROR(VLOOKUP(C1282&amp;"",'[2]Retail Price List'!$A$3:$B$103,2,FALSE),"Special Order")</f>
        <v>Special Order</v>
      </c>
      <c r="E1282" s="18">
        <f>[2]Trucks!J1279</f>
        <v>0</v>
      </c>
      <c r="F1282" s="12">
        <f>[2]Trucks!E1279</f>
        <v>0</v>
      </c>
      <c r="G1282" s="56">
        <f>[2]Trucks!K1279</f>
        <v>0</v>
      </c>
      <c r="H1282" s="46">
        <f>[2]Trucks!I1279</f>
        <v>0</v>
      </c>
      <c r="I1282" s="83" t="str">
        <f t="shared" si="95"/>
        <v/>
      </c>
      <c r="J1282" s="272" t="str">
        <f>IFERROR(VLOOKUP((D1282&amp;C1282)&amp;"",'[2]Retail Price List'!$C$4:$F$102,3,FALSE),"")</f>
        <v/>
      </c>
      <c r="K1282" s="272">
        <f>IFERROR(IF(BA1282="WIP - 30 Days",VLOOKUP(D1282,[3]Standard!$B$9:$E$101,4,FALSE),IF(BA1282="31-120 Days",VLOOKUP(D1282,[3]Standard!$B$9:$F$101,5,FALSE),IF(BA1282="121-365 Days",VLOOKUP(D1282,[3]Standard!$B$9:$G$101,6,FALSE),VLOOKUP(D1282,[3]Standard!$B$9:$H$101,7,FALSE)))),0)</f>
        <v>0</v>
      </c>
      <c r="L1282" s="272">
        <f>IFERROR(IF(BA1282="WIP - 30 Days",VLOOKUP(D1282,[3]Standard!$B$9:$J$101,9,FALSE),IF(BA1282="31-120 Days",VLOOKUP(D1282,[3]Standard!$B$9:$K$100,10,FALSE),IF(BA1282="121-365 Days",VLOOKUP(D1282,[3]Standard!$B$9:$L$101,11,FALSE),VLOOKUP(D1282,[3]Standard!$B$9:$M$101,12,FALSE)))),0)</f>
        <v>0</v>
      </c>
      <c r="M1282" s="269" t="str">
        <f>IFERROR(VLOOKUP((D1282&amp;C1282)&amp;"",'[2]Retail Price List'!$C$4:$F$102,4,FALSE),"")</f>
        <v/>
      </c>
      <c r="N1282" s="269">
        <f>IFERROR(IF(BA1282="WIP - 30 Days",VLOOKUP(D1282,[3]Extended!$B$9:$E$101,4,FALSE),IF(BA1282="31-120 Days",VLOOKUP(D1282,[3]Extended!$B$9:$F$101,5,FALSE),IF(BA1282="121-365 Days",VLOOKUP(D1282,[3]Extended!$B$9:$G$101,6,FALSE),VLOOKUP(D1282,[3]Extended!$B$9:$H$101,7,FALSE)))),0)</f>
        <v>0</v>
      </c>
      <c r="O1282" s="269">
        <f>IFERROR(IF(BA1282="WIP - 30 Days",VLOOKUP(D1282,[3]Extended!$B$9:$J$101,9,FALSE),IF(BA1282="31-120 Days",VLOOKUP(D1282,[3]Extended!$B$9:$K$101,10,FALSE),IF(BA1282="121-365 Days",VLOOKUP(D1282,[3]Extended!$B$9:$L$101,11,FALSE),VLOOKUP(D1282,[3]Extended!$B$9:$M$101,12,FALSE)))),0)</f>
        <v>0</v>
      </c>
      <c r="P1282" s="116" t="e">
        <f t="shared" si="96"/>
        <v>#VALUE!</v>
      </c>
      <c r="Q1282" s="110" t="e">
        <f>O1282-#REF!</f>
        <v>#REF!</v>
      </c>
      <c r="W1282" s="310"/>
      <c r="X1282" s="310"/>
      <c r="Y1282" s="310"/>
      <c r="Z1282" s="310"/>
      <c r="AA1282" s="310"/>
      <c r="AB1282" s="310"/>
      <c r="AC1282" s="310"/>
      <c r="AT1282" s="88" t="str">
        <f t="shared" si="97"/>
        <v>Special Order0</v>
      </c>
      <c r="AU1282" s="89" t="str">
        <f t="shared" si="98"/>
        <v>01-1900</v>
      </c>
      <c r="BA1282" s="92" t="str">
        <f t="shared" si="99"/>
        <v/>
      </c>
    </row>
    <row r="1283" spans="2:53">
      <c r="B1283" s="60">
        <f>[2]Trucks!A1280</f>
        <v>0</v>
      </c>
      <c r="C1283" s="11">
        <f>[2]Trucks!B1280</f>
        <v>0</v>
      </c>
      <c r="D1283" s="19" t="str">
        <f>IFERROR(VLOOKUP(C1283&amp;"",'[2]Retail Price List'!$A$3:$B$103,2,FALSE),"Special Order")</f>
        <v>Special Order</v>
      </c>
      <c r="E1283" s="18">
        <f>[2]Trucks!J1280</f>
        <v>0</v>
      </c>
      <c r="F1283" s="12">
        <f>[2]Trucks!E1280</f>
        <v>0</v>
      </c>
      <c r="G1283" s="56">
        <f>[2]Trucks!K1280</f>
        <v>0</v>
      </c>
      <c r="H1283" s="46">
        <f>[2]Trucks!I1280</f>
        <v>0</v>
      </c>
      <c r="I1283" s="83" t="str">
        <f t="shared" si="95"/>
        <v/>
      </c>
      <c r="J1283" s="272" t="str">
        <f>IFERROR(VLOOKUP((D1283&amp;C1283)&amp;"",'[2]Retail Price List'!$C$4:$F$102,3,FALSE),"")</f>
        <v/>
      </c>
      <c r="K1283" s="272">
        <f>IFERROR(IF(BA1283="WIP - 30 Days",VLOOKUP(D1283,[3]Standard!$B$9:$E$101,4,FALSE),IF(BA1283="31-120 Days",VLOOKUP(D1283,[3]Standard!$B$9:$F$101,5,FALSE),IF(BA1283="121-365 Days",VLOOKUP(D1283,[3]Standard!$B$9:$G$101,6,FALSE),VLOOKUP(D1283,[3]Standard!$B$9:$H$101,7,FALSE)))),0)</f>
        <v>0</v>
      </c>
      <c r="L1283" s="272">
        <f>IFERROR(IF(BA1283="WIP - 30 Days",VLOOKUP(D1283,[3]Standard!$B$9:$J$101,9,FALSE),IF(BA1283="31-120 Days",VLOOKUP(D1283,[3]Standard!$B$9:$K$100,10,FALSE),IF(BA1283="121-365 Days",VLOOKUP(D1283,[3]Standard!$B$9:$L$101,11,FALSE),VLOOKUP(D1283,[3]Standard!$B$9:$M$101,12,FALSE)))),0)</f>
        <v>0</v>
      </c>
      <c r="M1283" s="269" t="str">
        <f>IFERROR(VLOOKUP((D1283&amp;C1283)&amp;"",'[2]Retail Price List'!$C$4:$F$102,4,FALSE),"")</f>
        <v/>
      </c>
      <c r="N1283" s="269">
        <f>IFERROR(IF(BA1283="WIP - 30 Days",VLOOKUP(D1283,[3]Extended!$B$9:$E$101,4,FALSE),IF(BA1283="31-120 Days",VLOOKUP(D1283,[3]Extended!$B$9:$F$101,5,FALSE),IF(BA1283="121-365 Days",VLOOKUP(D1283,[3]Extended!$B$9:$G$101,6,FALSE),VLOOKUP(D1283,[3]Extended!$B$9:$H$101,7,FALSE)))),0)</f>
        <v>0</v>
      </c>
      <c r="O1283" s="269">
        <f>IFERROR(IF(BA1283="WIP - 30 Days",VLOOKUP(D1283,[3]Extended!$B$9:$J$101,9,FALSE),IF(BA1283="31-120 Days",VLOOKUP(D1283,[3]Extended!$B$9:$K$101,10,FALSE),IF(BA1283="121-365 Days",VLOOKUP(D1283,[3]Extended!$B$9:$L$101,11,FALSE),VLOOKUP(D1283,[3]Extended!$B$9:$M$101,12,FALSE)))),0)</f>
        <v>0</v>
      </c>
      <c r="P1283" s="116" t="e">
        <f t="shared" si="96"/>
        <v>#VALUE!</v>
      </c>
      <c r="Q1283" s="110" t="e">
        <f>O1283-#REF!</f>
        <v>#REF!</v>
      </c>
      <c r="W1283" s="310"/>
      <c r="X1283" s="310"/>
      <c r="Y1283" s="310"/>
      <c r="Z1283" s="310"/>
      <c r="AA1283" s="310"/>
      <c r="AB1283" s="310"/>
      <c r="AC1283" s="310"/>
      <c r="AT1283" s="88" t="str">
        <f t="shared" si="97"/>
        <v>Special Order0</v>
      </c>
      <c r="AU1283" s="89" t="str">
        <f t="shared" si="98"/>
        <v>01-1900</v>
      </c>
      <c r="BA1283" s="92" t="str">
        <f t="shared" si="99"/>
        <v/>
      </c>
    </row>
    <row r="1284" spans="2:53">
      <c r="B1284" s="60">
        <f>[2]Trucks!A1281</f>
        <v>0</v>
      </c>
      <c r="C1284" s="11">
        <f>[2]Trucks!B1281</f>
        <v>0</v>
      </c>
      <c r="D1284" s="19" t="str">
        <f>IFERROR(VLOOKUP(C1284&amp;"",'[2]Retail Price List'!$A$3:$B$103,2,FALSE),"Special Order")</f>
        <v>Special Order</v>
      </c>
      <c r="E1284" s="18">
        <f>[2]Trucks!J1281</f>
        <v>0</v>
      </c>
      <c r="F1284" s="12">
        <f>[2]Trucks!E1281</f>
        <v>0</v>
      </c>
      <c r="G1284" s="56">
        <f>[2]Trucks!K1281</f>
        <v>0</v>
      </c>
      <c r="H1284" s="46">
        <f>[2]Trucks!I1281</f>
        <v>0</v>
      </c>
      <c r="I1284" s="83" t="str">
        <f t="shared" si="95"/>
        <v/>
      </c>
      <c r="J1284" s="272" t="str">
        <f>IFERROR(VLOOKUP((D1284&amp;C1284)&amp;"",'[2]Retail Price List'!$C$4:$F$102,3,FALSE),"")</f>
        <v/>
      </c>
      <c r="K1284" s="272">
        <f>IFERROR(IF(BA1284="WIP - 30 Days",VLOOKUP(D1284,[3]Standard!$B$9:$E$101,4,FALSE),IF(BA1284="31-120 Days",VLOOKUP(D1284,[3]Standard!$B$9:$F$101,5,FALSE),IF(BA1284="121-365 Days",VLOOKUP(D1284,[3]Standard!$B$9:$G$101,6,FALSE),VLOOKUP(D1284,[3]Standard!$B$9:$H$101,7,FALSE)))),0)</f>
        <v>0</v>
      </c>
      <c r="L1284" s="272">
        <f>IFERROR(IF(BA1284="WIP - 30 Days",VLOOKUP(D1284,[3]Standard!$B$9:$J$101,9,FALSE),IF(BA1284="31-120 Days",VLOOKUP(D1284,[3]Standard!$B$9:$K$100,10,FALSE),IF(BA1284="121-365 Days",VLOOKUP(D1284,[3]Standard!$B$9:$L$101,11,FALSE),VLOOKUP(D1284,[3]Standard!$B$9:$M$101,12,FALSE)))),0)</f>
        <v>0</v>
      </c>
      <c r="M1284" s="269" t="str">
        <f>IFERROR(VLOOKUP((D1284&amp;C1284)&amp;"",'[2]Retail Price List'!$C$4:$F$102,4,FALSE),"")</f>
        <v/>
      </c>
      <c r="N1284" s="269">
        <f>IFERROR(IF(BA1284="WIP - 30 Days",VLOOKUP(D1284,[3]Extended!$B$9:$E$101,4,FALSE),IF(BA1284="31-120 Days",VLOOKUP(D1284,[3]Extended!$B$9:$F$101,5,FALSE),IF(BA1284="121-365 Days",VLOOKUP(D1284,[3]Extended!$B$9:$G$101,6,FALSE),VLOOKUP(D1284,[3]Extended!$B$9:$H$101,7,FALSE)))),0)</f>
        <v>0</v>
      </c>
      <c r="O1284" s="269">
        <f>IFERROR(IF(BA1284="WIP - 30 Days",VLOOKUP(D1284,[3]Extended!$B$9:$J$101,9,FALSE),IF(BA1284="31-120 Days",VLOOKUP(D1284,[3]Extended!$B$9:$K$101,10,FALSE),IF(BA1284="121-365 Days",VLOOKUP(D1284,[3]Extended!$B$9:$L$101,11,FALSE),VLOOKUP(D1284,[3]Extended!$B$9:$M$101,12,FALSE)))),0)</f>
        <v>0</v>
      </c>
      <c r="P1284" s="116" t="e">
        <f t="shared" si="96"/>
        <v>#VALUE!</v>
      </c>
      <c r="Q1284" s="110" t="e">
        <f>O1284-#REF!</f>
        <v>#REF!</v>
      </c>
      <c r="W1284" s="310"/>
      <c r="X1284" s="310"/>
      <c r="Y1284" s="310"/>
      <c r="Z1284" s="310"/>
      <c r="AA1284" s="310"/>
      <c r="AB1284" s="310"/>
      <c r="AC1284" s="310"/>
      <c r="AT1284" s="88" t="str">
        <f t="shared" si="97"/>
        <v>Special Order0</v>
      </c>
      <c r="AU1284" s="89" t="str">
        <f t="shared" si="98"/>
        <v>01-1900</v>
      </c>
      <c r="BA1284" s="92" t="str">
        <f t="shared" si="99"/>
        <v/>
      </c>
    </row>
    <row r="1285" spans="2:53">
      <c r="B1285" s="60">
        <f>[2]Trucks!A1282</f>
        <v>0</v>
      </c>
      <c r="C1285" s="11">
        <f>[2]Trucks!B1282</f>
        <v>0</v>
      </c>
      <c r="D1285" s="19" t="str">
        <f>IFERROR(VLOOKUP(C1285&amp;"",'[2]Retail Price List'!$A$3:$B$103,2,FALSE),"Special Order")</f>
        <v>Special Order</v>
      </c>
      <c r="E1285" s="18">
        <f>[2]Trucks!J1282</f>
        <v>0</v>
      </c>
      <c r="F1285" s="12">
        <f>[2]Trucks!E1282</f>
        <v>0</v>
      </c>
      <c r="G1285" s="56">
        <f>[2]Trucks!K1282</f>
        <v>0</v>
      </c>
      <c r="H1285" s="46">
        <f>[2]Trucks!I1282</f>
        <v>0</v>
      </c>
      <c r="I1285" s="83" t="str">
        <f t="shared" ref="I1285:I1348" si="100">IFERROR(VLOOKUP(AU1285,$AW$5:$AY$40,3,FALSE),"")</f>
        <v/>
      </c>
      <c r="J1285" s="272" t="str">
        <f>IFERROR(VLOOKUP((D1285&amp;C1285)&amp;"",'[2]Retail Price List'!$C$4:$F$102,3,FALSE),"")</f>
        <v/>
      </c>
      <c r="K1285" s="272">
        <f>IFERROR(IF(BA1285="WIP - 30 Days",VLOOKUP(D1285,[3]Standard!$B$9:$E$101,4,FALSE),IF(BA1285="31-120 Days",VLOOKUP(D1285,[3]Standard!$B$9:$F$101,5,FALSE),IF(BA1285="121-365 Days",VLOOKUP(D1285,[3]Standard!$B$9:$G$101,6,FALSE),VLOOKUP(D1285,[3]Standard!$B$9:$H$101,7,FALSE)))),0)</f>
        <v>0</v>
      </c>
      <c r="L1285" s="272">
        <f>IFERROR(IF(BA1285="WIP - 30 Days",VLOOKUP(D1285,[3]Standard!$B$9:$J$101,9,FALSE),IF(BA1285="31-120 Days",VLOOKUP(D1285,[3]Standard!$B$9:$K$100,10,FALSE),IF(BA1285="121-365 Days",VLOOKUP(D1285,[3]Standard!$B$9:$L$101,11,FALSE),VLOOKUP(D1285,[3]Standard!$B$9:$M$101,12,FALSE)))),0)</f>
        <v>0</v>
      </c>
      <c r="M1285" s="269" t="str">
        <f>IFERROR(VLOOKUP((D1285&amp;C1285)&amp;"",'[2]Retail Price List'!$C$4:$F$102,4,FALSE),"")</f>
        <v/>
      </c>
      <c r="N1285" s="269">
        <f>IFERROR(IF(BA1285="WIP - 30 Days",VLOOKUP(D1285,[3]Extended!$B$9:$E$101,4,FALSE),IF(BA1285="31-120 Days",VLOOKUP(D1285,[3]Extended!$B$9:$F$101,5,FALSE),IF(BA1285="121-365 Days",VLOOKUP(D1285,[3]Extended!$B$9:$G$101,6,FALSE),VLOOKUP(D1285,[3]Extended!$B$9:$H$101,7,FALSE)))),0)</f>
        <v>0</v>
      </c>
      <c r="O1285" s="269">
        <f>IFERROR(IF(BA1285="WIP - 30 Days",VLOOKUP(D1285,[3]Extended!$B$9:$J$101,9,FALSE),IF(BA1285="31-120 Days",VLOOKUP(D1285,[3]Extended!$B$9:$K$101,10,FALSE),IF(BA1285="121-365 Days",VLOOKUP(D1285,[3]Extended!$B$9:$L$101,11,FALSE),VLOOKUP(D1285,[3]Extended!$B$9:$M$101,12,FALSE)))),0)</f>
        <v>0</v>
      </c>
      <c r="P1285" s="116" t="e">
        <f t="shared" ref="P1285:P1348" si="101">(M1285-O1285)/M1285</f>
        <v>#VALUE!</v>
      </c>
      <c r="Q1285" s="110" t="e">
        <f>O1285-#REF!</f>
        <v>#REF!</v>
      </c>
      <c r="W1285" s="310"/>
      <c r="X1285" s="310"/>
      <c r="Y1285" s="310"/>
      <c r="Z1285" s="310"/>
      <c r="AA1285" s="310"/>
      <c r="AB1285" s="310"/>
      <c r="AC1285" s="310"/>
      <c r="AT1285" s="88" t="str">
        <f t="shared" ref="AT1285:AT1348" si="102">D1285&amp;I1285&amp;G1285</f>
        <v>Special Order0</v>
      </c>
      <c r="AU1285" s="89" t="str">
        <f t="shared" ref="AU1285:AU1348" si="103">IF(MONTH(H1285)&lt;10,0&amp;MONTH(H1285)&amp;"-"&amp;YEAR(H1285),MONTH(H1285)&amp;"-"&amp;YEAR(H1285))</f>
        <v>01-1900</v>
      </c>
      <c r="BA1285" s="92" t="str">
        <f t="shared" ref="BA1285:BA1348" si="104">IF(B1285=0,"",IF(AND(F1285&gt;=31,F1285&lt;=120),"31-120 Days",IF(AND(F1285&gt;=121,F1285&lt;=365),"121-365 Days",IF(OR(E1285="CKD",F1285&lt;=30),"WIP - 30 Days","&gt;365 Days"))))</f>
        <v/>
      </c>
    </row>
    <row r="1286" spans="2:53">
      <c r="B1286" s="60">
        <f>[2]Trucks!A1283</f>
        <v>0</v>
      </c>
      <c r="C1286" s="11">
        <f>[2]Trucks!B1283</f>
        <v>0</v>
      </c>
      <c r="D1286" s="19" t="str">
        <f>IFERROR(VLOOKUP(C1286&amp;"",'[2]Retail Price List'!$A$3:$B$103,2,FALSE),"Special Order")</f>
        <v>Special Order</v>
      </c>
      <c r="E1286" s="18">
        <f>[2]Trucks!J1283</f>
        <v>0</v>
      </c>
      <c r="F1286" s="12">
        <f>[2]Trucks!E1283</f>
        <v>0</v>
      </c>
      <c r="G1286" s="56">
        <f>[2]Trucks!K1283</f>
        <v>0</v>
      </c>
      <c r="H1286" s="46">
        <f>[2]Trucks!I1283</f>
        <v>0</v>
      </c>
      <c r="I1286" s="83" t="str">
        <f t="shared" si="100"/>
        <v/>
      </c>
      <c r="J1286" s="272" t="str">
        <f>IFERROR(VLOOKUP((D1286&amp;C1286)&amp;"",'[2]Retail Price List'!$C$4:$F$102,3,FALSE),"")</f>
        <v/>
      </c>
      <c r="K1286" s="272">
        <f>IFERROR(IF(BA1286="WIP - 30 Days",VLOOKUP(D1286,[3]Standard!$B$9:$E$101,4,FALSE),IF(BA1286="31-120 Days",VLOOKUP(D1286,[3]Standard!$B$9:$F$101,5,FALSE),IF(BA1286="121-365 Days",VLOOKUP(D1286,[3]Standard!$B$9:$G$101,6,FALSE),VLOOKUP(D1286,[3]Standard!$B$9:$H$101,7,FALSE)))),0)</f>
        <v>0</v>
      </c>
      <c r="L1286" s="272">
        <f>IFERROR(IF(BA1286="WIP - 30 Days",VLOOKUP(D1286,[3]Standard!$B$9:$J$101,9,FALSE),IF(BA1286="31-120 Days",VLOOKUP(D1286,[3]Standard!$B$9:$K$100,10,FALSE),IF(BA1286="121-365 Days",VLOOKUP(D1286,[3]Standard!$B$9:$L$101,11,FALSE),VLOOKUP(D1286,[3]Standard!$B$9:$M$101,12,FALSE)))),0)</f>
        <v>0</v>
      </c>
      <c r="M1286" s="269" t="str">
        <f>IFERROR(VLOOKUP((D1286&amp;C1286)&amp;"",'[2]Retail Price List'!$C$4:$F$102,4,FALSE),"")</f>
        <v/>
      </c>
      <c r="N1286" s="269">
        <f>IFERROR(IF(BA1286="WIP - 30 Days",VLOOKUP(D1286,[3]Extended!$B$9:$E$101,4,FALSE),IF(BA1286="31-120 Days",VLOOKUP(D1286,[3]Extended!$B$9:$F$101,5,FALSE),IF(BA1286="121-365 Days",VLOOKUP(D1286,[3]Extended!$B$9:$G$101,6,FALSE),VLOOKUP(D1286,[3]Extended!$B$9:$H$101,7,FALSE)))),0)</f>
        <v>0</v>
      </c>
      <c r="O1286" s="269">
        <f>IFERROR(IF(BA1286="WIP - 30 Days",VLOOKUP(D1286,[3]Extended!$B$9:$J$101,9,FALSE),IF(BA1286="31-120 Days",VLOOKUP(D1286,[3]Extended!$B$9:$K$101,10,FALSE),IF(BA1286="121-365 Days",VLOOKUP(D1286,[3]Extended!$B$9:$L$101,11,FALSE),VLOOKUP(D1286,[3]Extended!$B$9:$M$101,12,FALSE)))),0)</f>
        <v>0</v>
      </c>
      <c r="P1286" s="116" t="e">
        <f t="shared" si="101"/>
        <v>#VALUE!</v>
      </c>
      <c r="Q1286" s="110" t="e">
        <f>O1286-#REF!</f>
        <v>#REF!</v>
      </c>
      <c r="W1286" s="310"/>
      <c r="X1286" s="310"/>
      <c r="Y1286" s="310"/>
      <c r="Z1286" s="310"/>
      <c r="AA1286" s="310"/>
      <c r="AB1286" s="310"/>
      <c r="AC1286" s="310"/>
      <c r="AT1286" s="88" t="str">
        <f t="shared" si="102"/>
        <v>Special Order0</v>
      </c>
      <c r="AU1286" s="89" t="str">
        <f t="shared" si="103"/>
        <v>01-1900</v>
      </c>
      <c r="BA1286" s="92" t="str">
        <f t="shared" si="104"/>
        <v/>
      </c>
    </row>
    <row r="1287" spans="2:53">
      <c r="B1287" s="60">
        <f>[2]Trucks!A1284</f>
        <v>0</v>
      </c>
      <c r="C1287" s="11">
        <f>[2]Trucks!B1284</f>
        <v>0</v>
      </c>
      <c r="D1287" s="19" t="str">
        <f>IFERROR(VLOOKUP(C1287&amp;"",'[2]Retail Price List'!$A$3:$B$103,2,FALSE),"Special Order")</f>
        <v>Special Order</v>
      </c>
      <c r="E1287" s="18">
        <f>[2]Trucks!J1284</f>
        <v>0</v>
      </c>
      <c r="F1287" s="12">
        <f>[2]Trucks!E1284</f>
        <v>0</v>
      </c>
      <c r="G1287" s="56">
        <f>[2]Trucks!K1284</f>
        <v>0</v>
      </c>
      <c r="H1287" s="46">
        <f>[2]Trucks!I1284</f>
        <v>0</v>
      </c>
      <c r="I1287" s="83" t="str">
        <f t="shared" si="100"/>
        <v/>
      </c>
      <c r="J1287" s="272" t="str">
        <f>IFERROR(VLOOKUP((D1287&amp;C1287)&amp;"",'[2]Retail Price List'!$C$4:$F$102,3,FALSE),"")</f>
        <v/>
      </c>
      <c r="K1287" s="272">
        <f>IFERROR(IF(BA1287="WIP - 30 Days",VLOOKUP(D1287,[3]Standard!$B$9:$E$101,4,FALSE),IF(BA1287="31-120 Days",VLOOKUP(D1287,[3]Standard!$B$9:$F$101,5,FALSE),IF(BA1287="121-365 Days",VLOOKUP(D1287,[3]Standard!$B$9:$G$101,6,FALSE),VLOOKUP(D1287,[3]Standard!$B$9:$H$101,7,FALSE)))),0)</f>
        <v>0</v>
      </c>
      <c r="L1287" s="272">
        <f>IFERROR(IF(BA1287="WIP - 30 Days",VLOOKUP(D1287,[3]Standard!$B$9:$J$101,9,FALSE),IF(BA1287="31-120 Days",VLOOKUP(D1287,[3]Standard!$B$9:$K$100,10,FALSE),IF(BA1287="121-365 Days",VLOOKUP(D1287,[3]Standard!$B$9:$L$101,11,FALSE),VLOOKUP(D1287,[3]Standard!$B$9:$M$101,12,FALSE)))),0)</f>
        <v>0</v>
      </c>
      <c r="M1287" s="269" t="str">
        <f>IFERROR(VLOOKUP((D1287&amp;C1287)&amp;"",'[2]Retail Price List'!$C$4:$F$102,4,FALSE),"")</f>
        <v/>
      </c>
      <c r="N1287" s="269">
        <f>IFERROR(IF(BA1287="WIP - 30 Days",VLOOKUP(D1287,[3]Extended!$B$9:$E$101,4,FALSE),IF(BA1287="31-120 Days",VLOOKUP(D1287,[3]Extended!$B$9:$F$101,5,FALSE),IF(BA1287="121-365 Days",VLOOKUP(D1287,[3]Extended!$B$9:$G$101,6,FALSE),VLOOKUP(D1287,[3]Extended!$B$9:$H$101,7,FALSE)))),0)</f>
        <v>0</v>
      </c>
      <c r="O1287" s="269">
        <f>IFERROR(IF(BA1287="WIP - 30 Days",VLOOKUP(D1287,[3]Extended!$B$9:$J$101,9,FALSE),IF(BA1287="31-120 Days",VLOOKUP(D1287,[3]Extended!$B$9:$K$101,10,FALSE),IF(BA1287="121-365 Days",VLOOKUP(D1287,[3]Extended!$B$9:$L$101,11,FALSE),VLOOKUP(D1287,[3]Extended!$B$9:$M$101,12,FALSE)))),0)</f>
        <v>0</v>
      </c>
      <c r="P1287" s="116" t="e">
        <f t="shared" si="101"/>
        <v>#VALUE!</v>
      </c>
      <c r="Q1287" s="110" t="e">
        <f>O1287-#REF!</f>
        <v>#REF!</v>
      </c>
      <c r="W1287" s="310"/>
      <c r="X1287" s="310"/>
      <c r="Y1287" s="310"/>
      <c r="Z1287" s="310"/>
      <c r="AA1287" s="310"/>
      <c r="AB1287" s="310"/>
      <c r="AC1287" s="310"/>
      <c r="AT1287" s="88" t="str">
        <f t="shared" si="102"/>
        <v>Special Order0</v>
      </c>
      <c r="AU1287" s="89" t="str">
        <f t="shared" si="103"/>
        <v>01-1900</v>
      </c>
      <c r="BA1287" s="92" t="str">
        <f t="shared" si="104"/>
        <v/>
      </c>
    </row>
    <row r="1288" spans="2:53">
      <c r="B1288" s="60">
        <f>[2]Trucks!A1285</f>
        <v>0</v>
      </c>
      <c r="C1288" s="11">
        <f>[2]Trucks!B1285</f>
        <v>0</v>
      </c>
      <c r="D1288" s="19" t="str">
        <f>IFERROR(VLOOKUP(C1288&amp;"",'[2]Retail Price List'!$A$3:$B$103,2,FALSE),"Special Order")</f>
        <v>Special Order</v>
      </c>
      <c r="E1288" s="18">
        <f>[2]Trucks!J1285</f>
        <v>0</v>
      </c>
      <c r="F1288" s="12">
        <f>[2]Trucks!E1285</f>
        <v>0</v>
      </c>
      <c r="G1288" s="56">
        <f>[2]Trucks!K1285</f>
        <v>0</v>
      </c>
      <c r="H1288" s="46">
        <f>[2]Trucks!I1285</f>
        <v>0</v>
      </c>
      <c r="I1288" s="83" t="str">
        <f t="shared" si="100"/>
        <v/>
      </c>
      <c r="J1288" s="272" t="str">
        <f>IFERROR(VLOOKUP((D1288&amp;C1288)&amp;"",'[2]Retail Price List'!$C$4:$F$102,3,FALSE),"")</f>
        <v/>
      </c>
      <c r="K1288" s="272">
        <f>IFERROR(IF(BA1288="WIP - 30 Days",VLOOKUP(D1288,[3]Standard!$B$9:$E$101,4,FALSE),IF(BA1288="31-120 Days",VLOOKUP(D1288,[3]Standard!$B$9:$F$101,5,FALSE),IF(BA1288="121-365 Days",VLOOKUP(D1288,[3]Standard!$B$9:$G$101,6,FALSE),VLOOKUP(D1288,[3]Standard!$B$9:$H$101,7,FALSE)))),0)</f>
        <v>0</v>
      </c>
      <c r="L1288" s="272">
        <f>IFERROR(IF(BA1288="WIP - 30 Days",VLOOKUP(D1288,[3]Standard!$B$9:$J$101,9,FALSE),IF(BA1288="31-120 Days",VLOOKUP(D1288,[3]Standard!$B$9:$K$100,10,FALSE),IF(BA1288="121-365 Days",VLOOKUP(D1288,[3]Standard!$B$9:$L$101,11,FALSE),VLOOKUP(D1288,[3]Standard!$B$9:$M$101,12,FALSE)))),0)</f>
        <v>0</v>
      </c>
      <c r="M1288" s="269" t="str">
        <f>IFERROR(VLOOKUP((D1288&amp;C1288)&amp;"",'[2]Retail Price List'!$C$4:$F$102,4,FALSE),"")</f>
        <v/>
      </c>
      <c r="N1288" s="269">
        <f>IFERROR(IF(BA1288="WIP - 30 Days",VLOOKUP(D1288,[3]Extended!$B$9:$E$101,4,FALSE),IF(BA1288="31-120 Days",VLOOKUP(D1288,[3]Extended!$B$9:$F$101,5,FALSE),IF(BA1288="121-365 Days",VLOOKUP(D1288,[3]Extended!$B$9:$G$101,6,FALSE),VLOOKUP(D1288,[3]Extended!$B$9:$H$101,7,FALSE)))),0)</f>
        <v>0</v>
      </c>
      <c r="O1288" s="269">
        <f>IFERROR(IF(BA1288="WIP - 30 Days",VLOOKUP(D1288,[3]Extended!$B$9:$J$101,9,FALSE),IF(BA1288="31-120 Days",VLOOKUP(D1288,[3]Extended!$B$9:$K$101,10,FALSE),IF(BA1288="121-365 Days",VLOOKUP(D1288,[3]Extended!$B$9:$L$101,11,FALSE),VLOOKUP(D1288,[3]Extended!$B$9:$M$101,12,FALSE)))),0)</f>
        <v>0</v>
      </c>
      <c r="P1288" s="116" t="e">
        <f t="shared" si="101"/>
        <v>#VALUE!</v>
      </c>
      <c r="Q1288" s="110" t="e">
        <f>O1288-#REF!</f>
        <v>#REF!</v>
      </c>
      <c r="W1288" s="310"/>
      <c r="X1288" s="310"/>
      <c r="Y1288" s="310"/>
      <c r="Z1288" s="310"/>
      <c r="AA1288" s="310"/>
      <c r="AB1288" s="310"/>
      <c r="AC1288" s="310"/>
      <c r="AT1288" s="88" t="str">
        <f t="shared" si="102"/>
        <v>Special Order0</v>
      </c>
      <c r="AU1288" s="89" t="str">
        <f t="shared" si="103"/>
        <v>01-1900</v>
      </c>
      <c r="BA1288" s="92" t="str">
        <f t="shared" si="104"/>
        <v/>
      </c>
    </row>
    <row r="1289" spans="2:53">
      <c r="B1289" s="60">
        <f>[2]Trucks!A1286</f>
        <v>0</v>
      </c>
      <c r="C1289" s="11">
        <f>[2]Trucks!B1286</f>
        <v>0</v>
      </c>
      <c r="D1289" s="19" t="str">
        <f>IFERROR(VLOOKUP(C1289&amp;"",'[2]Retail Price List'!$A$3:$B$103,2,FALSE),"Special Order")</f>
        <v>Special Order</v>
      </c>
      <c r="E1289" s="18">
        <f>[2]Trucks!J1286</f>
        <v>0</v>
      </c>
      <c r="F1289" s="12">
        <f>[2]Trucks!E1286</f>
        <v>0</v>
      </c>
      <c r="G1289" s="56">
        <f>[2]Trucks!K1286</f>
        <v>0</v>
      </c>
      <c r="H1289" s="46">
        <f>[2]Trucks!I1286</f>
        <v>0</v>
      </c>
      <c r="I1289" s="83" t="str">
        <f t="shared" si="100"/>
        <v/>
      </c>
      <c r="J1289" s="272" t="str">
        <f>IFERROR(VLOOKUP((D1289&amp;C1289)&amp;"",'[2]Retail Price List'!$C$4:$F$102,3,FALSE),"")</f>
        <v/>
      </c>
      <c r="K1289" s="272">
        <f>IFERROR(IF(BA1289="WIP - 30 Days",VLOOKUP(D1289,[3]Standard!$B$9:$E$101,4,FALSE),IF(BA1289="31-120 Days",VLOOKUP(D1289,[3]Standard!$B$9:$F$101,5,FALSE),IF(BA1289="121-365 Days",VLOOKUP(D1289,[3]Standard!$B$9:$G$101,6,FALSE),VLOOKUP(D1289,[3]Standard!$B$9:$H$101,7,FALSE)))),0)</f>
        <v>0</v>
      </c>
      <c r="L1289" s="272">
        <f>IFERROR(IF(BA1289="WIP - 30 Days",VLOOKUP(D1289,[3]Standard!$B$9:$J$101,9,FALSE),IF(BA1289="31-120 Days",VLOOKUP(D1289,[3]Standard!$B$9:$K$100,10,FALSE),IF(BA1289="121-365 Days",VLOOKUP(D1289,[3]Standard!$B$9:$L$101,11,FALSE),VLOOKUP(D1289,[3]Standard!$B$9:$M$101,12,FALSE)))),0)</f>
        <v>0</v>
      </c>
      <c r="M1289" s="269" t="str">
        <f>IFERROR(VLOOKUP((D1289&amp;C1289)&amp;"",'[2]Retail Price List'!$C$4:$F$102,4,FALSE),"")</f>
        <v/>
      </c>
      <c r="N1289" s="269">
        <f>IFERROR(IF(BA1289="WIP - 30 Days",VLOOKUP(D1289,[3]Extended!$B$9:$E$101,4,FALSE),IF(BA1289="31-120 Days",VLOOKUP(D1289,[3]Extended!$B$9:$F$101,5,FALSE),IF(BA1289="121-365 Days",VLOOKUP(D1289,[3]Extended!$B$9:$G$101,6,FALSE),VLOOKUP(D1289,[3]Extended!$B$9:$H$101,7,FALSE)))),0)</f>
        <v>0</v>
      </c>
      <c r="O1289" s="269">
        <f>IFERROR(IF(BA1289="WIP - 30 Days",VLOOKUP(D1289,[3]Extended!$B$9:$J$101,9,FALSE),IF(BA1289="31-120 Days",VLOOKUP(D1289,[3]Extended!$B$9:$K$101,10,FALSE),IF(BA1289="121-365 Days",VLOOKUP(D1289,[3]Extended!$B$9:$L$101,11,FALSE),VLOOKUP(D1289,[3]Extended!$B$9:$M$101,12,FALSE)))),0)</f>
        <v>0</v>
      </c>
      <c r="P1289" s="116" t="e">
        <f t="shared" si="101"/>
        <v>#VALUE!</v>
      </c>
      <c r="Q1289" s="110" t="e">
        <f>O1289-#REF!</f>
        <v>#REF!</v>
      </c>
      <c r="W1289" s="310"/>
      <c r="X1289" s="310"/>
      <c r="Y1289" s="310"/>
      <c r="Z1289" s="310"/>
      <c r="AA1289" s="310"/>
      <c r="AB1289" s="310"/>
      <c r="AC1289" s="310"/>
      <c r="AT1289" s="88" t="str">
        <f t="shared" si="102"/>
        <v>Special Order0</v>
      </c>
      <c r="AU1289" s="89" t="str">
        <f t="shared" si="103"/>
        <v>01-1900</v>
      </c>
      <c r="BA1289" s="92" t="str">
        <f t="shared" si="104"/>
        <v/>
      </c>
    </row>
    <row r="1290" spans="2:53">
      <c r="B1290" s="60">
        <f>[2]Trucks!A1287</f>
        <v>0</v>
      </c>
      <c r="C1290" s="11">
        <f>[2]Trucks!B1287</f>
        <v>0</v>
      </c>
      <c r="D1290" s="19" t="str">
        <f>IFERROR(VLOOKUP(C1290&amp;"",'[2]Retail Price List'!$A$3:$B$103,2,FALSE),"Special Order")</f>
        <v>Special Order</v>
      </c>
      <c r="E1290" s="18">
        <f>[2]Trucks!J1287</f>
        <v>0</v>
      </c>
      <c r="F1290" s="12">
        <f>[2]Trucks!E1287</f>
        <v>0</v>
      </c>
      <c r="G1290" s="56">
        <f>[2]Trucks!K1287</f>
        <v>0</v>
      </c>
      <c r="H1290" s="46">
        <f>[2]Trucks!I1287</f>
        <v>0</v>
      </c>
      <c r="I1290" s="83" t="str">
        <f t="shared" si="100"/>
        <v/>
      </c>
      <c r="J1290" s="272" t="str">
        <f>IFERROR(VLOOKUP((D1290&amp;C1290)&amp;"",'[2]Retail Price List'!$C$4:$F$102,3,FALSE),"")</f>
        <v/>
      </c>
      <c r="K1290" s="272">
        <f>IFERROR(IF(BA1290="WIP - 30 Days",VLOOKUP(D1290,[3]Standard!$B$9:$E$101,4,FALSE),IF(BA1290="31-120 Days",VLOOKUP(D1290,[3]Standard!$B$9:$F$101,5,FALSE),IF(BA1290="121-365 Days",VLOOKUP(D1290,[3]Standard!$B$9:$G$101,6,FALSE),VLOOKUP(D1290,[3]Standard!$B$9:$H$101,7,FALSE)))),0)</f>
        <v>0</v>
      </c>
      <c r="L1290" s="272">
        <f>IFERROR(IF(BA1290="WIP - 30 Days",VLOOKUP(D1290,[3]Standard!$B$9:$J$101,9,FALSE),IF(BA1290="31-120 Days",VLOOKUP(D1290,[3]Standard!$B$9:$K$100,10,FALSE),IF(BA1290="121-365 Days",VLOOKUP(D1290,[3]Standard!$B$9:$L$101,11,FALSE),VLOOKUP(D1290,[3]Standard!$B$9:$M$101,12,FALSE)))),0)</f>
        <v>0</v>
      </c>
      <c r="M1290" s="269" t="str">
        <f>IFERROR(VLOOKUP((D1290&amp;C1290)&amp;"",'[2]Retail Price List'!$C$4:$F$102,4,FALSE),"")</f>
        <v/>
      </c>
      <c r="N1290" s="269">
        <f>IFERROR(IF(BA1290="WIP - 30 Days",VLOOKUP(D1290,[3]Extended!$B$9:$E$101,4,FALSE),IF(BA1290="31-120 Days",VLOOKUP(D1290,[3]Extended!$B$9:$F$101,5,FALSE),IF(BA1290="121-365 Days",VLOOKUP(D1290,[3]Extended!$B$9:$G$101,6,FALSE),VLOOKUP(D1290,[3]Extended!$B$9:$H$101,7,FALSE)))),0)</f>
        <v>0</v>
      </c>
      <c r="O1290" s="269">
        <f>IFERROR(IF(BA1290="WIP - 30 Days",VLOOKUP(D1290,[3]Extended!$B$9:$J$101,9,FALSE),IF(BA1290="31-120 Days",VLOOKUP(D1290,[3]Extended!$B$9:$K$101,10,FALSE),IF(BA1290="121-365 Days",VLOOKUP(D1290,[3]Extended!$B$9:$L$101,11,FALSE),VLOOKUP(D1290,[3]Extended!$B$9:$M$101,12,FALSE)))),0)</f>
        <v>0</v>
      </c>
      <c r="P1290" s="116" t="e">
        <f t="shared" si="101"/>
        <v>#VALUE!</v>
      </c>
      <c r="Q1290" s="110" t="e">
        <f>O1290-#REF!</f>
        <v>#REF!</v>
      </c>
      <c r="W1290" s="310"/>
      <c r="X1290" s="310"/>
      <c r="Y1290" s="310"/>
      <c r="Z1290" s="310"/>
      <c r="AA1290" s="310"/>
      <c r="AB1290" s="310"/>
      <c r="AC1290" s="310"/>
      <c r="AT1290" s="88" t="str">
        <f t="shared" si="102"/>
        <v>Special Order0</v>
      </c>
      <c r="AU1290" s="89" t="str">
        <f t="shared" si="103"/>
        <v>01-1900</v>
      </c>
      <c r="BA1290" s="92" t="str">
        <f t="shared" si="104"/>
        <v/>
      </c>
    </row>
    <row r="1291" spans="2:53">
      <c r="B1291" s="60">
        <f>[2]Trucks!A1288</f>
        <v>0</v>
      </c>
      <c r="C1291" s="11">
        <f>[2]Trucks!B1288</f>
        <v>0</v>
      </c>
      <c r="D1291" s="19" t="str">
        <f>IFERROR(VLOOKUP(C1291&amp;"",'[2]Retail Price List'!$A$3:$B$103,2,FALSE),"Special Order")</f>
        <v>Special Order</v>
      </c>
      <c r="E1291" s="18">
        <f>[2]Trucks!J1288</f>
        <v>0</v>
      </c>
      <c r="F1291" s="12">
        <f>[2]Trucks!E1288</f>
        <v>0</v>
      </c>
      <c r="G1291" s="56">
        <f>[2]Trucks!K1288</f>
        <v>0</v>
      </c>
      <c r="H1291" s="46">
        <f>[2]Trucks!I1288</f>
        <v>0</v>
      </c>
      <c r="I1291" s="83" t="str">
        <f t="shared" si="100"/>
        <v/>
      </c>
      <c r="J1291" s="272" t="str">
        <f>IFERROR(VLOOKUP((D1291&amp;C1291)&amp;"",'[2]Retail Price List'!$C$4:$F$102,3,FALSE),"")</f>
        <v/>
      </c>
      <c r="K1291" s="272">
        <f>IFERROR(IF(BA1291="WIP - 30 Days",VLOOKUP(D1291,[3]Standard!$B$9:$E$101,4,FALSE),IF(BA1291="31-120 Days",VLOOKUP(D1291,[3]Standard!$B$9:$F$101,5,FALSE),IF(BA1291="121-365 Days",VLOOKUP(D1291,[3]Standard!$B$9:$G$101,6,FALSE),VLOOKUP(D1291,[3]Standard!$B$9:$H$101,7,FALSE)))),0)</f>
        <v>0</v>
      </c>
      <c r="L1291" s="272">
        <f>IFERROR(IF(BA1291="WIP - 30 Days",VLOOKUP(D1291,[3]Standard!$B$9:$J$101,9,FALSE),IF(BA1291="31-120 Days",VLOOKUP(D1291,[3]Standard!$B$9:$K$100,10,FALSE),IF(BA1291="121-365 Days",VLOOKUP(D1291,[3]Standard!$B$9:$L$101,11,FALSE),VLOOKUP(D1291,[3]Standard!$B$9:$M$101,12,FALSE)))),0)</f>
        <v>0</v>
      </c>
      <c r="M1291" s="269" t="str">
        <f>IFERROR(VLOOKUP((D1291&amp;C1291)&amp;"",'[2]Retail Price List'!$C$4:$F$102,4,FALSE),"")</f>
        <v/>
      </c>
      <c r="N1291" s="269">
        <f>IFERROR(IF(BA1291="WIP - 30 Days",VLOOKUP(D1291,[3]Extended!$B$9:$E$101,4,FALSE),IF(BA1291="31-120 Days",VLOOKUP(D1291,[3]Extended!$B$9:$F$101,5,FALSE),IF(BA1291="121-365 Days",VLOOKUP(D1291,[3]Extended!$B$9:$G$101,6,FALSE),VLOOKUP(D1291,[3]Extended!$B$9:$H$101,7,FALSE)))),0)</f>
        <v>0</v>
      </c>
      <c r="O1291" s="269">
        <f>IFERROR(IF(BA1291="WIP - 30 Days",VLOOKUP(D1291,[3]Extended!$B$9:$J$101,9,FALSE),IF(BA1291="31-120 Days",VLOOKUP(D1291,[3]Extended!$B$9:$K$101,10,FALSE),IF(BA1291="121-365 Days",VLOOKUP(D1291,[3]Extended!$B$9:$L$101,11,FALSE),VLOOKUP(D1291,[3]Extended!$B$9:$M$101,12,FALSE)))),0)</f>
        <v>0</v>
      </c>
      <c r="P1291" s="116" t="e">
        <f t="shared" si="101"/>
        <v>#VALUE!</v>
      </c>
      <c r="Q1291" s="110" t="e">
        <f>O1291-#REF!</f>
        <v>#REF!</v>
      </c>
      <c r="W1291" s="310"/>
      <c r="X1291" s="310"/>
      <c r="Y1291" s="310"/>
      <c r="Z1291" s="310"/>
      <c r="AA1291" s="310"/>
      <c r="AB1291" s="310"/>
      <c r="AC1291" s="310"/>
      <c r="AT1291" s="88" t="str">
        <f t="shared" si="102"/>
        <v>Special Order0</v>
      </c>
      <c r="AU1291" s="89" t="str">
        <f t="shared" si="103"/>
        <v>01-1900</v>
      </c>
      <c r="BA1291" s="92" t="str">
        <f t="shared" si="104"/>
        <v/>
      </c>
    </row>
    <row r="1292" spans="2:53">
      <c r="B1292" s="60">
        <f>[2]Trucks!A1289</f>
        <v>0</v>
      </c>
      <c r="C1292" s="11">
        <f>[2]Trucks!B1289</f>
        <v>0</v>
      </c>
      <c r="D1292" s="19" t="str">
        <f>IFERROR(VLOOKUP(C1292&amp;"",'[2]Retail Price List'!$A$3:$B$103,2,FALSE),"Special Order")</f>
        <v>Special Order</v>
      </c>
      <c r="E1292" s="18">
        <f>[2]Trucks!J1289</f>
        <v>0</v>
      </c>
      <c r="F1292" s="12">
        <f>[2]Trucks!E1289</f>
        <v>0</v>
      </c>
      <c r="G1292" s="56">
        <f>[2]Trucks!K1289</f>
        <v>0</v>
      </c>
      <c r="H1292" s="46">
        <f>[2]Trucks!I1289</f>
        <v>0</v>
      </c>
      <c r="I1292" s="83" t="str">
        <f t="shared" si="100"/>
        <v/>
      </c>
      <c r="J1292" s="272" t="str">
        <f>IFERROR(VLOOKUP((D1292&amp;C1292)&amp;"",'[2]Retail Price List'!$C$4:$F$102,3,FALSE),"")</f>
        <v/>
      </c>
      <c r="K1292" s="272">
        <f>IFERROR(IF(BA1292="WIP - 30 Days",VLOOKUP(D1292,[3]Standard!$B$9:$E$101,4,FALSE),IF(BA1292="31-120 Days",VLOOKUP(D1292,[3]Standard!$B$9:$F$101,5,FALSE),IF(BA1292="121-365 Days",VLOOKUP(D1292,[3]Standard!$B$9:$G$101,6,FALSE),VLOOKUP(D1292,[3]Standard!$B$9:$H$101,7,FALSE)))),0)</f>
        <v>0</v>
      </c>
      <c r="L1292" s="272">
        <f>IFERROR(IF(BA1292="WIP - 30 Days",VLOOKUP(D1292,[3]Standard!$B$9:$J$101,9,FALSE),IF(BA1292="31-120 Days",VLOOKUP(D1292,[3]Standard!$B$9:$K$100,10,FALSE),IF(BA1292="121-365 Days",VLOOKUP(D1292,[3]Standard!$B$9:$L$101,11,FALSE),VLOOKUP(D1292,[3]Standard!$B$9:$M$101,12,FALSE)))),0)</f>
        <v>0</v>
      </c>
      <c r="M1292" s="269" t="str">
        <f>IFERROR(VLOOKUP((D1292&amp;C1292)&amp;"",'[2]Retail Price List'!$C$4:$F$102,4,FALSE),"")</f>
        <v/>
      </c>
      <c r="N1292" s="269">
        <f>IFERROR(IF(BA1292="WIP - 30 Days",VLOOKUP(D1292,[3]Extended!$B$9:$E$101,4,FALSE),IF(BA1292="31-120 Days",VLOOKUP(D1292,[3]Extended!$B$9:$F$101,5,FALSE),IF(BA1292="121-365 Days",VLOOKUP(D1292,[3]Extended!$B$9:$G$101,6,FALSE),VLOOKUP(D1292,[3]Extended!$B$9:$H$101,7,FALSE)))),0)</f>
        <v>0</v>
      </c>
      <c r="O1292" s="269">
        <f>IFERROR(IF(BA1292="WIP - 30 Days",VLOOKUP(D1292,[3]Extended!$B$9:$J$101,9,FALSE),IF(BA1292="31-120 Days",VLOOKUP(D1292,[3]Extended!$B$9:$K$101,10,FALSE),IF(BA1292="121-365 Days",VLOOKUP(D1292,[3]Extended!$B$9:$L$101,11,FALSE),VLOOKUP(D1292,[3]Extended!$B$9:$M$101,12,FALSE)))),0)</f>
        <v>0</v>
      </c>
      <c r="P1292" s="116" t="e">
        <f t="shared" si="101"/>
        <v>#VALUE!</v>
      </c>
      <c r="Q1292" s="110" t="e">
        <f>O1292-#REF!</f>
        <v>#REF!</v>
      </c>
      <c r="W1292" s="310"/>
      <c r="X1292" s="310"/>
      <c r="Y1292" s="310"/>
      <c r="Z1292" s="310"/>
      <c r="AA1292" s="310"/>
      <c r="AB1292" s="310"/>
      <c r="AC1292" s="310"/>
      <c r="AT1292" s="88" t="str">
        <f t="shared" si="102"/>
        <v>Special Order0</v>
      </c>
      <c r="AU1292" s="89" t="str">
        <f t="shared" si="103"/>
        <v>01-1900</v>
      </c>
      <c r="BA1292" s="92" t="str">
        <f t="shared" si="104"/>
        <v/>
      </c>
    </row>
    <row r="1293" spans="2:53">
      <c r="B1293" s="60">
        <f>[2]Trucks!A1290</f>
        <v>0</v>
      </c>
      <c r="C1293" s="11">
        <f>[2]Trucks!B1290</f>
        <v>0</v>
      </c>
      <c r="D1293" s="19" t="str">
        <f>IFERROR(VLOOKUP(C1293&amp;"",'[2]Retail Price List'!$A$3:$B$103,2,FALSE),"Special Order")</f>
        <v>Special Order</v>
      </c>
      <c r="E1293" s="18">
        <f>[2]Trucks!J1290</f>
        <v>0</v>
      </c>
      <c r="F1293" s="12">
        <f>[2]Trucks!E1290</f>
        <v>0</v>
      </c>
      <c r="G1293" s="56">
        <f>[2]Trucks!K1290</f>
        <v>0</v>
      </c>
      <c r="H1293" s="46">
        <f>[2]Trucks!I1290</f>
        <v>0</v>
      </c>
      <c r="I1293" s="83" t="str">
        <f t="shared" si="100"/>
        <v/>
      </c>
      <c r="J1293" s="272" t="str">
        <f>IFERROR(VLOOKUP((D1293&amp;C1293)&amp;"",'[2]Retail Price List'!$C$4:$F$102,3,FALSE),"")</f>
        <v/>
      </c>
      <c r="K1293" s="272">
        <f>IFERROR(IF(BA1293="WIP - 30 Days",VLOOKUP(D1293,[3]Standard!$B$9:$E$101,4,FALSE),IF(BA1293="31-120 Days",VLOOKUP(D1293,[3]Standard!$B$9:$F$101,5,FALSE),IF(BA1293="121-365 Days",VLOOKUP(D1293,[3]Standard!$B$9:$G$101,6,FALSE),VLOOKUP(D1293,[3]Standard!$B$9:$H$101,7,FALSE)))),0)</f>
        <v>0</v>
      </c>
      <c r="L1293" s="272">
        <f>IFERROR(IF(BA1293="WIP - 30 Days",VLOOKUP(D1293,[3]Standard!$B$9:$J$101,9,FALSE),IF(BA1293="31-120 Days",VLOOKUP(D1293,[3]Standard!$B$9:$K$100,10,FALSE),IF(BA1293="121-365 Days",VLOOKUP(D1293,[3]Standard!$B$9:$L$101,11,FALSE),VLOOKUP(D1293,[3]Standard!$B$9:$M$101,12,FALSE)))),0)</f>
        <v>0</v>
      </c>
      <c r="M1293" s="269" t="str">
        <f>IFERROR(VLOOKUP((D1293&amp;C1293)&amp;"",'[2]Retail Price List'!$C$4:$F$102,4,FALSE),"")</f>
        <v/>
      </c>
      <c r="N1293" s="269">
        <f>IFERROR(IF(BA1293="WIP - 30 Days",VLOOKUP(D1293,[3]Extended!$B$9:$E$101,4,FALSE),IF(BA1293="31-120 Days",VLOOKUP(D1293,[3]Extended!$B$9:$F$101,5,FALSE),IF(BA1293="121-365 Days",VLOOKUP(D1293,[3]Extended!$B$9:$G$101,6,FALSE),VLOOKUP(D1293,[3]Extended!$B$9:$H$101,7,FALSE)))),0)</f>
        <v>0</v>
      </c>
      <c r="O1293" s="269">
        <f>IFERROR(IF(BA1293="WIP - 30 Days",VLOOKUP(D1293,[3]Extended!$B$9:$J$101,9,FALSE),IF(BA1293="31-120 Days",VLOOKUP(D1293,[3]Extended!$B$9:$K$101,10,FALSE),IF(BA1293="121-365 Days",VLOOKUP(D1293,[3]Extended!$B$9:$L$101,11,FALSE),VLOOKUP(D1293,[3]Extended!$B$9:$M$101,12,FALSE)))),0)</f>
        <v>0</v>
      </c>
      <c r="P1293" s="116" t="e">
        <f t="shared" si="101"/>
        <v>#VALUE!</v>
      </c>
      <c r="Q1293" s="110" t="e">
        <f>O1293-#REF!</f>
        <v>#REF!</v>
      </c>
      <c r="W1293" s="310"/>
      <c r="X1293" s="310"/>
      <c r="Y1293" s="310"/>
      <c r="Z1293" s="310"/>
      <c r="AA1293" s="310"/>
      <c r="AB1293" s="310"/>
      <c r="AC1293" s="310"/>
      <c r="AT1293" s="88" t="str">
        <f t="shared" si="102"/>
        <v>Special Order0</v>
      </c>
      <c r="AU1293" s="89" t="str">
        <f t="shared" si="103"/>
        <v>01-1900</v>
      </c>
      <c r="BA1293" s="92" t="str">
        <f t="shared" si="104"/>
        <v/>
      </c>
    </row>
    <row r="1294" spans="2:53">
      <c r="B1294" s="60">
        <f>[2]Trucks!A1291</f>
        <v>0</v>
      </c>
      <c r="C1294" s="11">
        <f>[2]Trucks!B1291</f>
        <v>0</v>
      </c>
      <c r="D1294" s="19" t="str">
        <f>IFERROR(VLOOKUP(C1294&amp;"",'[2]Retail Price List'!$A$3:$B$103,2,FALSE),"Special Order")</f>
        <v>Special Order</v>
      </c>
      <c r="E1294" s="18">
        <f>[2]Trucks!J1291</f>
        <v>0</v>
      </c>
      <c r="F1294" s="12">
        <f>[2]Trucks!E1291</f>
        <v>0</v>
      </c>
      <c r="G1294" s="56">
        <f>[2]Trucks!K1291</f>
        <v>0</v>
      </c>
      <c r="H1294" s="46">
        <f>[2]Trucks!I1291</f>
        <v>0</v>
      </c>
      <c r="I1294" s="83" t="str">
        <f t="shared" si="100"/>
        <v/>
      </c>
      <c r="J1294" s="272" t="str">
        <f>IFERROR(VLOOKUP((D1294&amp;C1294)&amp;"",'[2]Retail Price List'!$C$4:$F$102,3,FALSE),"")</f>
        <v/>
      </c>
      <c r="K1294" s="272">
        <f>IFERROR(IF(BA1294="WIP - 30 Days",VLOOKUP(D1294,[3]Standard!$B$9:$E$101,4,FALSE),IF(BA1294="31-120 Days",VLOOKUP(D1294,[3]Standard!$B$9:$F$101,5,FALSE),IF(BA1294="121-365 Days",VLOOKUP(D1294,[3]Standard!$B$9:$G$101,6,FALSE),VLOOKUP(D1294,[3]Standard!$B$9:$H$101,7,FALSE)))),0)</f>
        <v>0</v>
      </c>
      <c r="L1294" s="272">
        <f>IFERROR(IF(BA1294="WIP - 30 Days",VLOOKUP(D1294,[3]Standard!$B$9:$J$101,9,FALSE),IF(BA1294="31-120 Days",VLOOKUP(D1294,[3]Standard!$B$9:$K$100,10,FALSE),IF(BA1294="121-365 Days",VLOOKUP(D1294,[3]Standard!$B$9:$L$101,11,FALSE),VLOOKUP(D1294,[3]Standard!$B$9:$M$101,12,FALSE)))),0)</f>
        <v>0</v>
      </c>
      <c r="M1294" s="269" t="str">
        <f>IFERROR(VLOOKUP((D1294&amp;C1294)&amp;"",'[2]Retail Price List'!$C$4:$F$102,4,FALSE),"")</f>
        <v/>
      </c>
      <c r="N1294" s="269">
        <f>IFERROR(IF(BA1294="WIP - 30 Days",VLOOKUP(D1294,[3]Extended!$B$9:$E$101,4,FALSE),IF(BA1294="31-120 Days",VLOOKUP(D1294,[3]Extended!$B$9:$F$101,5,FALSE),IF(BA1294="121-365 Days",VLOOKUP(D1294,[3]Extended!$B$9:$G$101,6,FALSE),VLOOKUP(D1294,[3]Extended!$B$9:$H$101,7,FALSE)))),0)</f>
        <v>0</v>
      </c>
      <c r="O1294" s="269">
        <f>IFERROR(IF(BA1294="WIP - 30 Days",VLOOKUP(D1294,[3]Extended!$B$9:$J$101,9,FALSE),IF(BA1294="31-120 Days",VLOOKUP(D1294,[3]Extended!$B$9:$K$101,10,FALSE),IF(BA1294="121-365 Days",VLOOKUP(D1294,[3]Extended!$B$9:$L$101,11,FALSE),VLOOKUP(D1294,[3]Extended!$B$9:$M$101,12,FALSE)))),0)</f>
        <v>0</v>
      </c>
      <c r="P1294" s="116" t="e">
        <f t="shared" si="101"/>
        <v>#VALUE!</v>
      </c>
      <c r="Q1294" s="110" t="e">
        <f>O1294-#REF!</f>
        <v>#REF!</v>
      </c>
      <c r="W1294" s="310"/>
      <c r="X1294" s="310"/>
      <c r="Y1294" s="310"/>
      <c r="Z1294" s="310"/>
      <c r="AA1294" s="310"/>
      <c r="AB1294" s="310"/>
      <c r="AC1294" s="310"/>
      <c r="AT1294" s="88" t="str">
        <f t="shared" si="102"/>
        <v>Special Order0</v>
      </c>
      <c r="AU1294" s="89" t="str">
        <f t="shared" si="103"/>
        <v>01-1900</v>
      </c>
      <c r="BA1294" s="92" t="str">
        <f t="shared" si="104"/>
        <v/>
      </c>
    </row>
    <row r="1295" spans="2:53">
      <c r="B1295" s="60">
        <f>[2]Trucks!A1292</f>
        <v>0</v>
      </c>
      <c r="C1295" s="11">
        <f>[2]Trucks!B1292</f>
        <v>0</v>
      </c>
      <c r="D1295" s="19" t="str">
        <f>IFERROR(VLOOKUP(C1295&amp;"",'[2]Retail Price List'!$A$3:$B$103,2,FALSE),"Special Order")</f>
        <v>Special Order</v>
      </c>
      <c r="E1295" s="18">
        <f>[2]Trucks!J1292</f>
        <v>0</v>
      </c>
      <c r="F1295" s="12">
        <f>[2]Trucks!E1292</f>
        <v>0</v>
      </c>
      <c r="G1295" s="56">
        <f>[2]Trucks!K1292</f>
        <v>0</v>
      </c>
      <c r="H1295" s="46">
        <f>[2]Trucks!I1292</f>
        <v>0</v>
      </c>
      <c r="I1295" s="83" t="str">
        <f t="shared" si="100"/>
        <v/>
      </c>
      <c r="J1295" s="272" t="str">
        <f>IFERROR(VLOOKUP((D1295&amp;C1295)&amp;"",'[2]Retail Price List'!$C$4:$F$102,3,FALSE),"")</f>
        <v/>
      </c>
      <c r="K1295" s="272">
        <f>IFERROR(IF(BA1295="WIP - 30 Days",VLOOKUP(D1295,[3]Standard!$B$9:$E$101,4,FALSE),IF(BA1295="31-120 Days",VLOOKUP(D1295,[3]Standard!$B$9:$F$101,5,FALSE),IF(BA1295="121-365 Days",VLOOKUP(D1295,[3]Standard!$B$9:$G$101,6,FALSE),VLOOKUP(D1295,[3]Standard!$B$9:$H$101,7,FALSE)))),0)</f>
        <v>0</v>
      </c>
      <c r="L1295" s="272">
        <f>IFERROR(IF(BA1295="WIP - 30 Days",VLOOKUP(D1295,[3]Standard!$B$9:$J$101,9,FALSE),IF(BA1295="31-120 Days",VLOOKUP(D1295,[3]Standard!$B$9:$K$100,10,FALSE),IF(BA1295="121-365 Days",VLOOKUP(D1295,[3]Standard!$B$9:$L$101,11,FALSE),VLOOKUP(D1295,[3]Standard!$B$9:$M$101,12,FALSE)))),0)</f>
        <v>0</v>
      </c>
      <c r="M1295" s="269" t="str">
        <f>IFERROR(VLOOKUP((D1295&amp;C1295)&amp;"",'[2]Retail Price List'!$C$4:$F$102,4,FALSE),"")</f>
        <v/>
      </c>
      <c r="N1295" s="269">
        <f>IFERROR(IF(BA1295="WIP - 30 Days",VLOOKUP(D1295,[3]Extended!$B$9:$E$101,4,FALSE),IF(BA1295="31-120 Days",VLOOKUP(D1295,[3]Extended!$B$9:$F$101,5,FALSE),IF(BA1295="121-365 Days",VLOOKUP(D1295,[3]Extended!$B$9:$G$101,6,FALSE),VLOOKUP(D1295,[3]Extended!$B$9:$H$101,7,FALSE)))),0)</f>
        <v>0</v>
      </c>
      <c r="O1295" s="269">
        <f>IFERROR(IF(BA1295="WIP - 30 Days",VLOOKUP(D1295,[3]Extended!$B$9:$J$101,9,FALSE),IF(BA1295="31-120 Days",VLOOKUP(D1295,[3]Extended!$B$9:$K$101,10,FALSE),IF(BA1295="121-365 Days",VLOOKUP(D1295,[3]Extended!$B$9:$L$101,11,FALSE),VLOOKUP(D1295,[3]Extended!$B$9:$M$101,12,FALSE)))),0)</f>
        <v>0</v>
      </c>
      <c r="P1295" s="116" t="e">
        <f t="shared" si="101"/>
        <v>#VALUE!</v>
      </c>
      <c r="Q1295" s="110" t="e">
        <f>O1295-#REF!</f>
        <v>#REF!</v>
      </c>
      <c r="W1295" s="310"/>
      <c r="X1295" s="310"/>
      <c r="Y1295" s="310"/>
      <c r="Z1295" s="310"/>
      <c r="AA1295" s="310"/>
      <c r="AB1295" s="310"/>
      <c r="AC1295" s="310"/>
      <c r="AT1295" s="88" t="str">
        <f t="shared" si="102"/>
        <v>Special Order0</v>
      </c>
      <c r="AU1295" s="89" t="str">
        <f t="shared" si="103"/>
        <v>01-1900</v>
      </c>
      <c r="BA1295" s="92" t="str">
        <f t="shared" si="104"/>
        <v/>
      </c>
    </row>
    <row r="1296" spans="2:53">
      <c r="B1296" s="60">
        <f>[2]Trucks!A1293</f>
        <v>0</v>
      </c>
      <c r="C1296" s="11">
        <f>[2]Trucks!B1293</f>
        <v>0</v>
      </c>
      <c r="D1296" s="19" t="str">
        <f>IFERROR(VLOOKUP(C1296&amp;"",'[2]Retail Price List'!$A$3:$B$103,2,FALSE),"Special Order")</f>
        <v>Special Order</v>
      </c>
      <c r="E1296" s="18">
        <f>[2]Trucks!J1293</f>
        <v>0</v>
      </c>
      <c r="F1296" s="12">
        <f>[2]Trucks!E1293</f>
        <v>0</v>
      </c>
      <c r="G1296" s="56">
        <f>[2]Trucks!K1293</f>
        <v>0</v>
      </c>
      <c r="H1296" s="46">
        <f>[2]Trucks!I1293</f>
        <v>0</v>
      </c>
      <c r="I1296" s="83" t="str">
        <f t="shared" si="100"/>
        <v/>
      </c>
      <c r="J1296" s="272" t="str">
        <f>IFERROR(VLOOKUP((D1296&amp;C1296)&amp;"",'[2]Retail Price List'!$C$4:$F$102,3,FALSE),"")</f>
        <v/>
      </c>
      <c r="K1296" s="272">
        <f>IFERROR(IF(BA1296="WIP - 30 Days",VLOOKUP(D1296,[3]Standard!$B$9:$E$101,4,FALSE),IF(BA1296="31-120 Days",VLOOKUP(D1296,[3]Standard!$B$9:$F$101,5,FALSE),IF(BA1296="121-365 Days",VLOOKUP(D1296,[3]Standard!$B$9:$G$101,6,FALSE),VLOOKUP(D1296,[3]Standard!$B$9:$H$101,7,FALSE)))),0)</f>
        <v>0</v>
      </c>
      <c r="L1296" s="272">
        <f>IFERROR(IF(BA1296="WIP - 30 Days",VLOOKUP(D1296,[3]Standard!$B$9:$J$101,9,FALSE),IF(BA1296="31-120 Days",VLOOKUP(D1296,[3]Standard!$B$9:$K$100,10,FALSE),IF(BA1296="121-365 Days",VLOOKUP(D1296,[3]Standard!$B$9:$L$101,11,FALSE),VLOOKUP(D1296,[3]Standard!$B$9:$M$101,12,FALSE)))),0)</f>
        <v>0</v>
      </c>
      <c r="M1296" s="269" t="str">
        <f>IFERROR(VLOOKUP((D1296&amp;C1296)&amp;"",'[2]Retail Price List'!$C$4:$F$102,4,FALSE),"")</f>
        <v/>
      </c>
      <c r="N1296" s="269">
        <f>IFERROR(IF(BA1296="WIP - 30 Days",VLOOKUP(D1296,[3]Extended!$B$9:$E$101,4,FALSE),IF(BA1296="31-120 Days",VLOOKUP(D1296,[3]Extended!$B$9:$F$101,5,FALSE),IF(BA1296="121-365 Days",VLOOKUP(D1296,[3]Extended!$B$9:$G$101,6,FALSE),VLOOKUP(D1296,[3]Extended!$B$9:$H$101,7,FALSE)))),0)</f>
        <v>0</v>
      </c>
      <c r="O1296" s="269">
        <f>IFERROR(IF(BA1296="WIP - 30 Days",VLOOKUP(D1296,[3]Extended!$B$9:$J$101,9,FALSE),IF(BA1296="31-120 Days",VLOOKUP(D1296,[3]Extended!$B$9:$K$101,10,FALSE),IF(BA1296="121-365 Days",VLOOKUP(D1296,[3]Extended!$B$9:$L$101,11,FALSE),VLOOKUP(D1296,[3]Extended!$B$9:$M$101,12,FALSE)))),0)</f>
        <v>0</v>
      </c>
      <c r="P1296" s="116" t="e">
        <f t="shared" si="101"/>
        <v>#VALUE!</v>
      </c>
      <c r="Q1296" s="110" t="e">
        <f>O1296-#REF!</f>
        <v>#REF!</v>
      </c>
      <c r="W1296" s="310"/>
      <c r="X1296" s="310"/>
      <c r="Y1296" s="310"/>
      <c r="Z1296" s="310"/>
      <c r="AA1296" s="310"/>
      <c r="AB1296" s="310"/>
      <c r="AC1296" s="310"/>
      <c r="AT1296" s="88" t="str">
        <f t="shared" si="102"/>
        <v>Special Order0</v>
      </c>
      <c r="AU1296" s="89" t="str">
        <f t="shared" si="103"/>
        <v>01-1900</v>
      </c>
      <c r="BA1296" s="92" t="str">
        <f t="shared" si="104"/>
        <v/>
      </c>
    </row>
    <row r="1297" spans="2:53">
      <c r="B1297" s="60">
        <f>[2]Trucks!A1294</f>
        <v>0</v>
      </c>
      <c r="C1297" s="11">
        <f>[2]Trucks!B1294</f>
        <v>0</v>
      </c>
      <c r="D1297" s="19" t="str">
        <f>IFERROR(VLOOKUP(C1297&amp;"",'[2]Retail Price List'!$A$3:$B$103,2,FALSE),"Special Order")</f>
        <v>Special Order</v>
      </c>
      <c r="E1297" s="18">
        <f>[2]Trucks!J1294</f>
        <v>0</v>
      </c>
      <c r="F1297" s="12">
        <f>[2]Trucks!E1294</f>
        <v>0</v>
      </c>
      <c r="G1297" s="56">
        <f>[2]Trucks!K1294</f>
        <v>0</v>
      </c>
      <c r="H1297" s="46">
        <f>[2]Trucks!I1294</f>
        <v>0</v>
      </c>
      <c r="I1297" s="83" t="str">
        <f t="shared" si="100"/>
        <v/>
      </c>
      <c r="J1297" s="272" t="str">
        <f>IFERROR(VLOOKUP((D1297&amp;C1297)&amp;"",'[2]Retail Price List'!$C$4:$F$102,3,FALSE),"")</f>
        <v/>
      </c>
      <c r="K1297" s="272">
        <f>IFERROR(IF(BA1297="WIP - 30 Days",VLOOKUP(D1297,[3]Standard!$B$9:$E$101,4,FALSE),IF(BA1297="31-120 Days",VLOOKUP(D1297,[3]Standard!$B$9:$F$101,5,FALSE),IF(BA1297="121-365 Days",VLOOKUP(D1297,[3]Standard!$B$9:$G$101,6,FALSE),VLOOKUP(D1297,[3]Standard!$B$9:$H$101,7,FALSE)))),0)</f>
        <v>0</v>
      </c>
      <c r="L1297" s="272">
        <f>IFERROR(IF(BA1297="WIP - 30 Days",VLOOKUP(D1297,[3]Standard!$B$9:$J$101,9,FALSE),IF(BA1297="31-120 Days",VLOOKUP(D1297,[3]Standard!$B$9:$K$100,10,FALSE),IF(BA1297="121-365 Days",VLOOKUP(D1297,[3]Standard!$B$9:$L$101,11,FALSE),VLOOKUP(D1297,[3]Standard!$B$9:$M$101,12,FALSE)))),0)</f>
        <v>0</v>
      </c>
      <c r="M1297" s="269" t="str">
        <f>IFERROR(VLOOKUP((D1297&amp;C1297)&amp;"",'[2]Retail Price List'!$C$4:$F$102,4,FALSE),"")</f>
        <v/>
      </c>
      <c r="N1297" s="269">
        <f>IFERROR(IF(BA1297="WIP - 30 Days",VLOOKUP(D1297,[3]Extended!$B$9:$E$101,4,FALSE),IF(BA1297="31-120 Days",VLOOKUP(D1297,[3]Extended!$B$9:$F$101,5,FALSE),IF(BA1297="121-365 Days",VLOOKUP(D1297,[3]Extended!$B$9:$G$101,6,FALSE),VLOOKUP(D1297,[3]Extended!$B$9:$H$101,7,FALSE)))),0)</f>
        <v>0</v>
      </c>
      <c r="O1297" s="269">
        <f>IFERROR(IF(BA1297="WIP - 30 Days",VLOOKUP(D1297,[3]Extended!$B$9:$J$101,9,FALSE),IF(BA1297="31-120 Days",VLOOKUP(D1297,[3]Extended!$B$9:$K$101,10,FALSE),IF(BA1297="121-365 Days",VLOOKUP(D1297,[3]Extended!$B$9:$L$101,11,FALSE),VLOOKUP(D1297,[3]Extended!$B$9:$M$101,12,FALSE)))),0)</f>
        <v>0</v>
      </c>
      <c r="P1297" s="116" t="e">
        <f t="shared" si="101"/>
        <v>#VALUE!</v>
      </c>
      <c r="Q1297" s="110" t="e">
        <f>O1297-#REF!</f>
        <v>#REF!</v>
      </c>
      <c r="W1297" s="310"/>
      <c r="X1297" s="310"/>
      <c r="Y1297" s="310"/>
      <c r="Z1297" s="310"/>
      <c r="AA1297" s="310"/>
      <c r="AB1297" s="310"/>
      <c r="AC1297" s="310"/>
      <c r="AT1297" s="88" t="str">
        <f t="shared" si="102"/>
        <v>Special Order0</v>
      </c>
      <c r="AU1297" s="89" t="str">
        <f t="shared" si="103"/>
        <v>01-1900</v>
      </c>
      <c r="BA1297" s="92" t="str">
        <f t="shared" si="104"/>
        <v/>
      </c>
    </row>
    <row r="1298" spans="2:53">
      <c r="B1298" s="60">
        <f>[2]Trucks!A1295</f>
        <v>0</v>
      </c>
      <c r="C1298" s="11">
        <f>[2]Trucks!B1295</f>
        <v>0</v>
      </c>
      <c r="D1298" s="19" t="str">
        <f>IFERROR(VLOOKUP(C1298&amp;"",'[2]Retail Price List'!$A$3:$B$103,2,FALSE),"Special Order")</f>
        <v>Special Order</v>
      </c>
      <c r="E1298" s="18">
        <f>[2]Trucks!J1295</f>
        <v>0</v>
      </c>
      <c r="F1298" s="12">
        <f>[2]Trucks!E1295</f>
        <v>0</v>
      </c>
      <c r="G1298" s="56">
        <f>[2]Trucks!K1295</f>
        <v>0</v>
      </c>
      <c r="H1298" s="46">
        <f>[2]Trucks!I1295</f>
        <v>0</v>
      </c>
      <c r="I1298" s="83" t="str">
        <f t="shared" si="100"/>
        <v/>
      </c>
      <c r="J1298" s="272" t="str">
        <f>IFERROR(VLOOKUP((D1298&amp;C1298)&amp;"",'[2]Retail Price List'!$C$4:$F$102,3,FALSE),"")</f>
        <v/>
      </c>
      <c r="K1298" s="272">
        <f>IFERROR(IF(BA1298="WIP - 30 Days",VLOOKUP(D1298,[3]Standard!$B$9:$E$101,4,FALSE),IF(BA1298="31-120 Days",VLOOKUP(D1298,[3]Standard!$B$9:$F$101,5,FALSE),IF(BA1298="121-365 Days",VLOOKUP(D1298,[3]Standard!$B$9:$G$101,6,FALSE),VLOOKUP(D1298,[3]Standard!$B$9:$H$101,7,FALSE)))),0)</f>
        <v>0</v>
      </c>
      <c r="L1298" s="272">
        <f>IFERROR(IF(BA1298="WIP - 30 Days",VLOOKUP(D1298,[3]Standard!$B$9:$J$101,9,FALSE),IF(BA1298="31-120 Days",VLOOKUP(D1298,[3]Standard!$B$9:$K$100,10,FALSE),IF(BA1298="121-365 Days",VLOOKUP(D1298,[3]Standard!$B$9:$L$101,11,FALSE),VLOOKUP(D1298,[3]Standard!$B$9:$M$101,12,FALSE)))),0)</f>
        <v>0</v>
      </c>
      <c r="M1298" s="269" t="str">
        <f>IFERROR(VLOOKUP((D1298&amp;C1298)&amp;"",'[2]Retail Price List'!$C$4:$F$102,4,FALSE),"")</f>
        <v/>
      </c>
      <c r="N1298" s="269">
        <f>IFERROR(IF(BA1298="WIP - 30 Days",VLOOKUP(D1298,[3]Extended!$B$9:$E$101,4,FALSE),IF(BA1298="31-120 Days",VLOOKUP(D1298,[3]Extended!$B$9:$F$101,5,FALSE),IF(BA1298="121-365 Days",VLOOKUP(D1298,[3]Extended!$B$9:$G$101,6,FALSE),VLOOKUP(D1298,[3]Extended!$B$9:$H$101,7,FALSE)))),0)</f>
        <v>0</v>
      </c>
      <c r="O1298" s="269">
        <f>IFERROR(IF(BA1298="WIP - 30 Days",VLOOKUP(D1298,[3]Extended!$B$9:$J$101,9,FALSE),IF(BA1298="31-120 Days",VLOOKUP(D1298,[3]Extended!$B$9:$K$101,10,FALSE),IF(BA1298="121-365 Days",VLOOKUP(D1298,[3]Extended!$B$9:$L$101,11,FALSE),VLOOKUP(D1298,[3]Extended!$B$9:$M$101,12,FALSE)))),0)</f>
        <v>0</v>
      </c>
      <c r="P1298" s="116" t="e">
        <f t="shared" si="101"/>
        <v>#VALUE!</v>
      </c>
      <c r="Q1298" s="110" t="e">
        <f>O1298-#REF!</f>
        <v>#REF!</v>
      </c>
      <c r="W1298" s="310"/>
      <c r="X1298" s="310"/>
      <c r="Y1298" s="310"/>
      <c r="Z1298" s="310"/>
      <c r="AA1298" s="310"/>
      <c r="AB1298" s="310"/>
      <c r="AC1298" s="310"/>
      <c r="AT1298" s="88" t="str">
        <f t="shared" si="102"/>
        <v>Special Order0</v>
      </c>
      <c r="AU1298" s="89" t="str">
        <f t="shared" si="103"/>
        <v>01-1900</v>
      </c>
      <c r="BA1298" s="92" t="str">
        <f t="shared" si="104"/>
        <v/>
      </c>
    </row>
    <row r="1299" spans="2:53">
      <c r="B1299" s="60">
        <f>[2]Trucks!A1296</f>
        <v>0</v>
      </c>
      <c r="C1299" s="11">
        <f>[2]Trucks!B1296</f>
        <v>0</v>
      </c>
      <c r="D1299" s="19" t="str">
        <f>IFERROR(VLOOKUP(C1299&amp;"",'[2]Retail Price List'!$A$3:$B$103,2,FALSE),"Special Order")</f>
        <v>Special Order</v>
      </c>
      <c r="E1299" s="18">
        <f>[2]Trucks!J1296</f>
        <v>0</v>
      </c>
      <c r="F1299" s="12">
        <f>[2]Trucks!E1296</f>
        <v>0</v>
      </c>
      <c r="G1299" s="56">
        <f>[2]Trucks!K1296</f>
        <v>0</v>
      </c>
      <c r="H1299" s="46">
        <f>[2]Trucks!I1296</f>
        <v>0</v>
      </c>
      <c r="I1299" s="83" t="str">
        <f t="shared" si="100"/>
        <v/>
      </c>
      <c r="J1299" s="272" t="str">
        <f>IFERROR(VLOOKUP((D1299&amp;C1299)&amp;"",'[2]Retail Price List'!$C$4:$F$102,3,FALSE),"")</f>
        <v/>
      </c>
      <c r="K1299" s="272">
        <f>IFERROR(IF(BA1299="WIP - 30 Days",VLOOKUP(D1299,[3]Standard!$B$9:$E$101,4,FALSE),IF(BA1299="31-120 Days",VLOOKUP(D1299,[3]Standard!$B$9:$F$101,5,FALSE),IF(BA1299="121-365 Days",VLOOKUP(D1299,[3]Standard!$B$9:$G$101,6,FALSE),VLOOKUP(D1299,[3]Standard!$B$9:$H$101,7,FALSE)))),0)</f>
        <v>0</v>
      </c>
      <c r="L1299" s="272">
        <f>IFERROR(IF(BA1299="WIP - 30 Days",VLOOKUP(D1299,[3]Standard!$B$9:$J$101,9,FALSE),IF(BA1299="31-120 Days",VLOOKUP(D1299,[3]Standard!$B$9:$K$100,10,FALSE),IF(BA1299="121-365 Days",VLOOKUP(D1299,[3]Standard!$B$9:$L$101,11,FALSE),VLOOKUP(D1299,[3]Standard!$B$9:$M$101,12,FALSE)))),0)</f>
        <v>0</v>
      </c>
      <c r="M1299" s="269" t="str">
        <f>IFERROR(VLOOKUP((D1299&amp;C1299)&amp;"",'[2]Retail Price List'!$C$4:$F$102,4,FALSE),"")</f>
        <v/>
      </c>
      <c r="N1299" s="269">
        <f>IFERROR(IF(BA1299="WIP - 30 Days",VLOOKUP(D1299,[3]Extended!$B$9:$E$101,4,FALSE),IF(BA1299="31-120 Days",VLOOKUP(D1299,[3]Extended!$B$9:$F$101,5,FALSE),IF(BA1299="121-365 Days",VLOOKUP(D1299,[3]Extended!$B$9:$G$101,6,FALSE),VLOOKUP(D1299,[3]Extended!$B$9:$H$101,7,FALSE)))),0)</f>
        <v>0</v>
      </c>
      <c r="O1299" s="269">
        <f>IFERROR(IF(BA1299="WIP - 30 Days",VLOOKUP(D1299,[3]Extended!$B$9:$J$101,9,FALSE),IF(BA1299="31-120 Days",VLOOKUP(D1299,[3]Extended!$B$9:$K$101,10,FALSE),IF(BA1299="121-365 Days",VLOOKUP(D1299,[3]Extended!$B$9:$L$101,11,FALSE),VLOOKUP(D1299,[3]Extended!$B$9:$M$101,12,FALSE)))),0)</f>
        <v>0</v>
      </c>
      <c r="P1299" s="116" t="e">
        <f t="shared" si="101"/>
        <v>#VALUE!</v>
      </c>
      <c r="Q1299" s="110" t="e">
        <f>O1299-#REF!</f>
        <v>#REF!</v>
      </c>
      <c r="W1299" s="310"/>
      <c r="X1299" s="310"/>
      <c r="Y1299" s="310"/>
      <c r="Z1299" s="310"/>
      <c r="AA1299" s="310"/>
      <c r="AB1299" s="310"/>
      <c r="AC1299" s="310"/>
      <c r="AT1299" s="88" t="str">
        <f t="shared" si="102"/>
        <v>Special Order0</v>
      </c>
      <c r="AU1299" s="89" t="str">
        <f t="shared" si="103"/>
        <v>01-1900</v>
      </c>
      <c r="BA1299" s="92" t="str">
        <f t="shared" si="104"/>
        <v/>
      </c>
    </row>
    <row r="1300" spans="2:53">
      <c r="B1300" s="60">
        <f>[2]Trucks!A1297</f>
        <v>0</v>
      </c>
      <c r="C1300" s="11">
        <f>[2]Trucks!B1297</f>
        <v>0</v>
      </c>
      <c r="D1300" s="19" t="str">
        <f>IFERROR(VLOOKUP(C1300&amp;"",'[2]Retail Price List'!$A$3:$B$103,2,FALSE),"Special Order")</f>
        <v>Special Order</v>
      </c>
      <c r="E1300" s="18">
        <f>[2]Trucks!J1297</f>
        <v>0</v>
      </c>
      <c r="F1300" s="12">
        <f>[2]Trucks!E1297</f>
        <v>0</v>
      </c>
      <c r="G1300" s="56">
        <f>[2]Trucks!K1297</f>
        <v>0</v>
      </c>
      <c r="H1300" s="46">
        <f>[2]Trucks!I1297</f>
        <v>0</v>
      </c>
      <c r="I1300" s="83" t="str">
        <f t="shared" si="100"/>
        <v/>
      </c>
      <c r="J1300" s="272" t="str">
        <f>IFERROR(VLOOKUP((D1300&amp;C1300)&amp;"",'[2]Retail Price List'!$C$4:$F$102,3,FALSE),"")</f>
        <v/>
      </c>
      <c r="K1300" s="272">
        <f>IFERROR(IF(BA1300="WIP - 30 Days",VLOOKUP(D1300,[3]Standard!$B$9:$E$101,4,FALSE),IF(BA1300="31-120 Days",VLOOKUP(D1300,[3]Standard!$B$9:$F$101,5,FALSE),IF(BA1300="121-365 Days",VLOOKUP(D1300,[3]Standard!$B$9:$G$101,6,FALSE),VLOOKUP(D1300,[3]Standard!$B$9:$H$101,7,FALSE)))),0)</f>
        <v>0</v>
      </c>
      <c r="L1300" s="272">
        <f>IFERROR(IF(BA1300="WIP - 30 Days",VLOOKUP(D1300,[3]Standard!$B$9:$J$101,9,FALSE),IF(BA1300="31-120 Days",VLOOKUP(D1300,[3]Standard!$B$9:$K$100,10,FALSE),IF(BA1300="121-365 Days",VLOOKUP(D1300,[3]Standard!$B$9:$L$101,11,FALSE),VLOOKUP(D1300,[3]Standard!$B$9:$M$101,12,FALSE)))),0)</f>
        <v>0</v>
      </c>
      <c r="M1300" s="269" t="str">
        <f>IFERROR(VLOOKUP((D1300&amp;C1300)&amp;"",'[2]Retail Price List'!$C$4:$F$102,4,FALSE),"")</f>
        <v/>
      </c>
      <c r="N1300" s="269">
        <f>IFERROR(IF(BA1300="WIP - 30 Days",VLOOKUP(D1300,[3]Extended!$B$9:$E$101,4,FALSE),IF(BA1300="31-120 Days",VLOOKUP(D1300,[3]Extended!$B$9:$F$101,5,FALSE),IF(BA1300="121-365 Days",VLOOKUP(D1300,[3]Extended!$B$9:$G$101,6,FALSE),VLOOKUP(D1300,[3]Extended!$B$9:$H$101,7,FALSE)))),0)</f>
        <v>0</v>
      </c>
      <c r="O1300" s="269">
        <f>IFERROR(IF(BA1300="WIP - 30 Days",VLOOKUP(D1300,[3]Extended!$B$9:$J$101,9,FALSE),IF(BA1300="31-120 Days",VLOOKUP(D1300,[3]Extended!$B$9:$K$101,10,FALSE),IF(BA1300="121-365 Days",VLOOKUP(D1300,[3]Extended!$B$9:$L$101,11,FALSE),VLOOKUP(D1300,[3]Extended!$B$9:$M$101,12,FALSE)))),0)</f>
        <v>0</v>
      </c>
      <c r="P1300" s="116" t="e">
        <f t="shared" si="101"/>
        <v>#VALUE!</v>
      </c>
      <c r="Q1300" s="110" t="e">
        <f>O1300-#REF!</f>
        <v>#REF!</v>
      </c>
      <c r="W1300" s="310"/>
      <c r="X1300" s="310"/>
      <c r="Y1300" s="310"/>
      <c r="Z1300" s="310"/>
      <c r="AA1300" s="310"/>
      <c r="AB1300" s="310"/>
      <c r="AC1300" s="310"/>
      <c r="AT1300" s="88" t="str">
        <f t="shared" si="102"/>
        <v>Special Order0</v>
      </c>
      <c r="AU1300" s="89" t="str">
        <f t="shared" si="103"/>
        <v>01-1900</v>
      </c>
      <c r="BA1300" s="92" t="str">
        <f t="shared" si="104"/>
        <v/>
      </c>
    </row>
    <row r="1301" spans="2:53">
      <c r="B1301" s="60">
        <f>[2]Trucks!A1298</f>
        <v>0</v>
      </c>
      <c r="C1301" s="11">
        <f>[2]Trucks!B1298</f>
        <v>0</v>
      </c>
      <c r="D1301" s="19" t="str">
        <f>IFERROR(VLOOKUP(C1301&amp;"",'[2]Retail Price List'!$A$3:$B$103,2,FALSE),"Special Order")</f>
        <v>Special Order</v>
      </c>
      <c r="E1301" s="18">
        <f>[2]Trucks!J1298</f>
        <v>0</v>
      </c>
      <c r="F1301" s="12">
        <f>[2]Trucks!E1298</f>
        <v>0</v>
      </c>
      <c r="G1301" s="56">
        <f>[2]Trucks!K1298</f>
        <v>0</v>
      </c>
      <c r="H1301" s="46">
        <f>[2]Trucks!I1298</f>
        <v>0</v>
      </c>
      <c r="I1301" s="83" t="str">
        <f t="shared" si="100"/>
        <v/>
      </c>
      <c r="J1301" s="272" t="str">
        <f>IFERROR(VLOOKUP((D1301&amp;C1301)&amp;"",'[2]Retail Price List'!$C$4:$F$102,3,FALSE),"")</f>
        <v/>
      </c>
      <c r="K1301" s="272">
        <f>IFERROR(IF(BA1301="WIP - 30 Days",VLOOKUP(D1301,[3]Standard!$B$9:$E$101,4,FALSE),IF(BA1301="31-120 Days",VLOOKUP(D1301,[3]Standard!$B$9:$F$101,5,FALSE),IF(BA1301="121-365 Days",VLOOKUP(D1301,[3]Standard!$B$9:$G$101,6,FALSE),VLOOKUP(D1301,[3]Standard!$B$9:$H$101,7,FALSE)))),0)</f>
        <v>0</v>
      </c>
      <c r="L1301" s="272">
        <f>IFERROR(IF(BA1301="WIP - 30 Days",VLOOKUP(D1301,[3]Standard!$B$9:$J$101,9,FALSE),IF(BA1301="31-120 Days",VLOOKUP(D1301,[3]Standard!$B$9:$K$100,10,FALSE),IF(BA1301="121-365 Days",VLOOKUP(D1301,[3]Standard!$B$9:$L$101,11,FALSE),VLOOKUP(D1301,[3]Standard!$B$9:$M$101,12,FALSE)))),0)</f>
        <v>0</v>
      </c>
      <c r="M1301" s="269" t="str">
        <f>IFERROR(VLOOKUP((D1301&amp;C1301)&amp;"",'[2]Retail Price List'!$C$4:$F$102,4,FALSE),"")</f>
        <v/>
      </c>
      <c r="N1301" s="269">
        <f>IFERROR(IF(BA1301="WIP - 30 Days",VLOOKUP(D1301,[3]Extended!$B$9:$E$101,4,FALSE),IF(BA1301="31-120 Days",VLOOKUP(D1301,[3]Extended!$B$9:$F$101,5,FALSE),IF(BA1301="121-365 Days",VLOOKUP(D1301,[3]Extended!$B$9:$G$101,6,FALSE),VLOOKUP(D1301,[3]Extended!$B$9:$H$101,7,FALSE)))),0)</f>
        <v>0</v>
      </c>
      <c r="O1301" s="269">
        <f>IFERROR(IF(BA1301="WIP - 30 Days",VLOOKUP(D1301,[3]Extended!$B$9:$J$101,9,FALSE),IF(BA1301="31-120 Days",VLOOKUP(D1301,[3]Extended!$B$9:$K$101,10,FALSE),IF(BA1301="121-365 Days",VLOOKUP(D1301,[3]Extended!$B$9:$L$101,11,FALSE),VLOOKUP(D1301,[3]Extended!$B$9:$M$101,12,FALSE)))),0)</f>
        <v>0</v>
      </c>
      <c r="P1301" s="116" t="e">
        <f t="shared" si="101"/>
        <v>#VALUE!</v>
      </c>
      <c r="Q1301" s="110" t="e">
        <f>O1301-#REF!</f>
        <v>#REF!</v>
      </c>
      <c r="W1301" s="310"/>
      <c r="X1301" s="310"/>
      <c r="Y1301" s="310"/>
      <c r="Z1301" s="310"/>
      <c r="AA1301" s="310"/>
      <c r="AB1301" s="310"/>
      <c r="AC1301" s="310"/>
      <c r="AT1301" s="88" t="str">
        <f t="shared" si="102"/>
        <v>Special Order0</v>
      </c>
      <c r="AU1301" s="89" t="str">
        <f t="shared" si="103"/>
        <v>01-1900</v>
      </c>
      <c r="BA1301" s="92" t="str">
        <f t="shared" si="104"/>
        <v/>
      </c>
    </row>
    <row r="1302" spans="2:53">
      <c r="B1302" s="60">
        <f>[2]Trucks!A1299</f>
        <v>0</v>
      </c>
      <c r="C1302" s="11">
        <f>[2]Trucks!B1299</f>
        <v>0</v>
      </c>
      <c r="D1302" s="19" t="str">
        <f>IFERROR(VLOOKUP(C1302&amp;"",'[2]Retail Price List'!$A$3:$B$103,2,FALSE),"Special Order")</f>
        <v>Special Order</v>
      </c>
      <c r="E1302" s="18">
        <f>[2]Trucks!J1299</f>
        <v>0</v>
      </c>
      <c r="F1302" s="12">
        <f>[2]Trucks!E1299</f>
        <v>0</v>
      </c>
      <c r="G1302" s="56">
        <f>[2]Trucks!K1299</f>
        <v>0</v>
      </c>
      <c r="H1302" s="46">
        <f>[2]Trucks!I1299</f>
        <v>0</v>
      </c>
      <c r="I1302" s="83" t="str">
        <f t="shared" si="100"/>
        <v/>
      </c>
      <c r="J1302" s="272" t="str">
        <f>IFERROR(VLOOKUP((D1302&amp;C1302)&amp;"",'[2]Retail Price List'!$C$4:$F$102,3,FALSE),"")</f>
        <v/>
      </c>
      <c r="K1302" s="272">
        <f>IFERROR(IF(BA1302="WIP - 30 Days",VLOOKUP(D1302,[3]Standard!$B$9:$E$101,4,FALSE),IF(BA1302="31-120 Days",VLOOKUP(D1302,[3]Standard!$B$9:$F$101,5,FALSE),IF(BA1302="121-365 Days",VLOOKUP(D1302,[3]Standard!$B$9:$G$101,6,FALSE),VLOOKUP(D1302,[3]Standard!$B$9:$H$101,7,FALSE)))),0)</f>
        <v>0</v>
      </c>
      <c r="L1302" s="272">
        <f>IFERROR(IF(BA1302="WIP - 30 Days",VLOOKUP(D1302,[3]Standard!$B$9:$J$101,9,FALSE),IF(BA1302="31-120 Days",VLOOKUP(D1302,[3]Standard!$B$9:$K$100,10,FALSE),IF(BA1302="121-365 Days",VLOOKUP(D1302,[3]Standard!$B$9:$L$101,11,FALSE),VLOOKUP(D1302,[3]Standard!$B$9:$M$101,12,FALSE)))),0)</f>
        <v>0</v>
      </c>
      <c r="M1302" s="269" t="str">
        <f>IFERROR(VLOOKUP((D1302&amp;C1302)&amp;"",'[2]Retail Price List'!$C$4:$F$102,4,FALSE),"")</f>
        <v/>
      </c>
      <c r="N1302" s="269">
        <f>IFERROR(IF(BA1302="WIP - 30 Days",VLOOKUP(D1302,[3]Extended!$B$9:$E$101,4,FALSE),IF(BA1302="31-120 Days",VLOOKUP(D1302,[3]Extended!$B$9:$F$101,5,FALSE),IF(BA1302="121-365 Days",VLOOKUP(D1302,[3]Extended!$B$9:$G$101,6,FALSE),VLOOKUP(D1302,[3]Extended!$B$9:$H$101,7,FALSE)))),0)</f>
        <v>0</v>
      </c>
      <c r="O1302" s="269">
        <f>IFERROR(IF(BA1302="WIP - 30 Days",VLOOKUP(D1302,[3]Extended!$B$9:$J$101,9,FALSE),IF(BA1302="31-120 Days",VLOOKUP(D1302,[3]Extended!$B$9:$K$101,10,FALSE),IF(BA1302="121-365 Days",VLOOKUP(D1302,[3]Extended!$B$9:$L$101,11,FALSE),VLOOKUP(D1302,[3]Extended!$B$9:$M$101,12,FALSE)))),0)</f>
        <v>0</v>
      </c>
      <c r="P1302" s="116" t="e">
        <f t="shared" si="101"/>
        <v>#VALUE!</v>
      </c>
      <c r="Q1302" s="110" t="e">
        <f>O1302-#REF!</f>
        <v>#REF!</v>
      </c>
      <c r="W1302" s="310"/>
      <c r="X1302" s="310"/>
      <c r="Y1302" s="310"/>
      <c r="Z1302" s="310"/>
      <c r="AA1302" s="310"/>
      <c r="AB1302" s="310"/>
      <c r="AC1302" s="310"/>
      <c r="AT1302" s="88" t="str">
        <f t="shared" si="102"/>
        <v>Special Order0</v>
      </c>
      <c r="AU1302" s="89" t="str">
        <f t="shared" si="103"/>
        <v>01-1900</v>
      </c>
      <c r="BA1302" s="92" t="str">
        <f t="shared" si="104"/>
        <v/>
      </c>
    </row>
    <row r="1303" spans="2:53">
      <c r="B1303" s="60">
        <f>[2]Trucks!A1300</f>
        <v>0</v>
      </c>
      <c r="C1303" s="11">
        <f>[2]Trucks!B1300</f>
        <v>0</v>
      </c>
      <c r="D1303" s="19" t="str">
        <f>IFERROR(VLOOKUP(C1303&amp;"",'[2]Retail Price List'!$A$3:$B$103,2,FALSE),"Special Order")</f>
        <v>Special Order</v>
      </c>
      <c r="E1303" s="18">
        <f>[2]Trucks!J1300</f>
        <v>0</v>
      </c>
      <c r="F1303" s="12">
        <f>[2]Trucks!E1300</f>
        <v>0</v>
      </c>
      <c r="G1303" s="56">
        <f>[2]Trucks!K1300</f>
        <v>0</v>
      </c>
      <c r="H1303" s="46">
        <f>[2]Trucks!I1300</f>
        <v>0</v>
      </c>
      <c r="I1303" s="83" t="str">
        <f t="shared" si="100"/>
        <v/>
      </c>
      <c r="J1303" s="272" t="str">
        <f>IFERROR(VLOOKUP((D1303&amp;C1303)&amp;"",'[2]Retail Price List'!$C$4:$F$102,3,FALSE),"")</f>
        <v/>
      </c>
      <c r="K1303" s="272">
        <f>IFERROR(IF(BA1303="WIP - 30 Days",VLOOKUP(D1303,[3]Standard!$B$9:$E$101,4,FALSE),IF(BA1303="31-120 Days",VLOOKUP(D1303,[3]Standard!$B$9:$F$101,5,FALSE),IF(BA1303="121-365 Days",VLOOKUP(D1303,[3]Standard!$B$9:$G$101,6,FALSE),VLOOKUP(D1303,[3]Standard!$B$9:$H$101,7,FALSE)))),0)</f>
        <v>0</v>
      </c>
      <c r="L1303" s="272">
        <f>IFERROR(IF(BA1303="WIP - 30 Days",VLOOKUP(D1303,[3]Standard!$B$9:$J$101,9,FALSE),IF(BA1303="31-120 Days",VLOOKUP(D1303,[3]Standard!$B$9:$K$100,10,FALSE),IF(BA1303="121-365 Days",VLOOKUP(D1303,[3]Standard!$B$9:$L$101,11,FALSE),VLOOKUP(D1303,[3]Standard!$B$9:$M$101,12,FALSE)))),0)</f>
        <v>0</v>
      </c>
      <c r="M1303" s="269" t="str">
        <f>IFERROR(VLOOKUP((D1303&amp;C1303)&amp;"",'[2]Retail Price List'!$C$4:$F$102,4,FALSE),"")</f>
        <v/>
      </c>
      <c r="N1303" s="269">
        <f>IFERROR(IF(BA1303="WIP - 30 Days",VLOOKUP(D1303,[3]Extended!$B$9:$E$101,4,FALSE),IF(BA1303="31-120 Days",VLOOKUP(D1303,[3]Extended!$B$9:$F$101,5,FALSE),IF(BA1303="121-365 Days",VLOOKUP(D1303,[3]Extended!$B$9:$G$101,6,FALSE),VLOOKUP(D1303,[3]Extended!$B$9:$H$101,7,FALSE)))),0)</f>
        <v>0</v>
      </c>
      <c r="O1303" s="269">
        <f>IFERROR(IF(BA1303="WIP - 30 Days",VLOOKUP(D1303,[3]Extended!$B$9:$J$101,9,FALSE),IF(BA1303="31-120 Days",VLOOKUP(D1303,[3]Extended!$B$9:$K$101,10,FALSE),IF(BA1303="121-365 Days",VLOOKUP(D1303,[3]Extended!$B$9:$L$101,11,FALSE),VLOOKUP(D1303,[3]Extended!$B$9:$M$101,12,FALSE)))),0)</f>
        <v>0</v>
      </c>
      <c r="P1303" s="116" t="e">
        <f t="shared" si="101"/>
        <v>#VALUE!</v>
      </c>
      <c r="Q1303" s="110" t="e">
        <f>O1303-#REF!</f>
        <v>#REF!</v>
      </c>
      <c r="W1303" s="310"/>
      <c r="X1303" s="310"/>
      <c r="Y1303" s="310"/>
      <c r="Z1303" s="310"/>
      <c r="AA1303" s="310"/>
      <c r="AB1303" s="310"/>
      <c r="AC1303" s="310"/>
      <c r="AT1303" s="88" t="str">
        <f t="shared" si="102"/>
        <v>Special Order0</v>
      </c>
      <c r="AU1303" s="89" t="str">
        <f t="shared" si="103"/>
        <v>01-1900</v>
      </c>
      <c r="BA1303" s="92" t="str">
        <f t="shared" si="104"/>
        <v/>
      </c>
    </row>
    <row r="1304" spans="2:53">
      <c r="B1304" s="60">
        <f>[2]Trucks!A1301</f>
        <v>0</v>
      </c>
      <c r="C1304" s="11">
        <f>[2]Trucks!B1301</f>
        <v>0</v>
      </c>
      <c r="D1304" s="19" t="str">
        <f>IFERROR(VLOOKUP(C1304&amp;"",'[2]Retail Price List'!$A$3:$B$103,2,FALSE),"Special Order")</f>
        <v>Special Order</v>
      </c>
      <c r="E1304" s="18">
        <f>[2]Trucks!J1301</f>
        <v>0</v>
      </c>
      <c r="F1304" s="12">
        <f>[2]Trucks!E1301</f>
        <v>0</v>
      </c>
      <c r="G1304" s="56">
        <f>[2]Trucks!K1301</f>
        <v>0</v>
      </c>
      <c r="H1304" s="46">
        <f>[2]Trucks!I1301</f>
        <v>0</v>
      </c>
      <c r="I1304" s="83" t="str">
        <f t="shared" si="100"/>
        <v/>
      </c>
      <c r="J1304" s="272" t="str">
        <f>IFERROR(VLOOKUP((D1304&amp;C1304)&amp;"",'[2]Retail Price List'!$C$4:$F$102,3,FALSE),"")</f>
        <v/>
      </c>
      <c r="K1304" s="272">
        <f>IFERROR(IF(BA1304="WIP - 30 Days",VLOOKUP(D1304,[3]Standard!$B$9:$E$101,4,FALSE),IF(BA1304="31-120 Days",VLOOKUP(D1304,[3]Standard!$B$9:$F$101,5,FALSE),IF(BA1304="121-365 Days",VLOOKUP(D1304,[3]Standard!$B$9:$G$101,6,FALSE),VLOOKUP(D1304,[3]Standard!$B$9:$H$101,7,FALSE)))),0)</f>
        <v>0</v>
      </c>
      <c r="L1304" s="272">
        <f>IFERROR(IF(BA1304="WIP - 30 Days",VLOOKUP(D1304,[3]Standard!$B$9:$J$101,9,FALSE),IF(BA1304="31-120 Days",VLOOKUP(D1304,[3]Standard!$B$9:$K$100,10,FALSE),IF(BA1304="121-365 Days",VLOOKUP(D1304,[3]Standard!$B$9:$L$101,11,FALSE),VLOOKUP(D1304,[3]Standard!$B$9:$M$101,12,FALSE)))),0)</f>
        <v>0</v>
      </c>
      <c r="M1304" s="269" t="str">
        <f>IFERROR(VLOOKUP((D1304&amp;C1304)&amp;"",'[2]Retail Price List'!$C$4:$F$102,4,FALSE),"")</f>
        <v/>
      </c>
      <c r="N1304" s="269">
        <f>IFERROR(IF(BA1304="WIP - 30 Days",VLOOKUP(D1304,[3]Extended!$B$9:$E$101,4,FALSE),IF(BA1304="31-120 Days",VLOOKUP(D1304,[3]Extended!$B$9:$F$101,5,FALSE),IF(BA1304="121-365 Days",VLOOKUP(D1304,[3]Extended!$B$9:$G$101,6,FALSE),VLOOKUP(D1304,[3]Extended!$B$9:$H$101,7,FALSE)))),0)</f>
        <v>0</v>
      </c>
      <c r="O1304" s="269">
        <f>IFERROR(IF(BA1304="WIP - 30 Days",VLOOKUP(D1304,[3]Extended!$B$9:$J$101,9,FALSE),IF(BA1304="31-120 Days",VLOOKUP(D1304,[3]Extended!$B$9:$K$101,10,FALSE),IF(BA1304="121-365 Days",VLOOKUP(D1304,[3]Extended!$B$9:$L$101,11,FALSE),VLOOKUP(D1304,[3]Extended!$B$9:$M$101,12,FALSE)))),0)</f>
        <v>0</v>
      </c>
      <c r="P1304" s="116" t="e">
        <f t="shared" si="101"/>
        <v>#VALUE!</v>
      </c>
      <c r="Q1304" s="110" t="e">
        <f>O1304-#REF!</f>
        <v>#REF!</v>
      </c>
      <c r="W1304" s="310"/>
      <c r="X1304" s="310"/>
      <c r="Y1304" s="310"/>
      <c r="Z1304" s="310"/>
      <c r="AA1304" s="310"/>
      <c r="AB1304" s="310"/>
      <c r="AC1304" s="310"/>
      <c r="AT1304" s="88" t="str">
        <f t="shared" si="102"/>
        <v>Special Order0</v>
      </c>
      <c r="AU1304" s="89" t="str">
        <f t="shared" si="103"/>
        <v>01-1900</v>
      </c>
      <c r="BA1304" s="92" t="str">
        <f t="shared" si="104"/>
        <v/>
      </c>
    </row>
    <row r="1305" spans="2:53">
      <c r="B1305" s="60">
        <f>[2]Trucks!A1302</f>
        <v>0</v>
      </c>
      <c r="C1305" s="11">
        <f>[2]Trucks!B1302</f>
        <v>0</v>
      </c>
      <c r="D1305" s="19" t="str">
        <f>IFERROR(VLOOKUP(C1305&amp;"",'[2]Retail Price List'!$A$3:$B$103,2,FALSE),"Special Order")</f>
        <v>Special Order</v>
      </c>
      <c r="E1305" s="18">
        <f>[2]Trucks!J1302</f>
        <v>0</v>
      </c>
      <c r="F1305" s="12">
        <f>[2]Trucks!E1302</f>
        <v>0</v>
      </c>
      <c r="G1305" s="56">
        <f>[2]Trucks!K1302</f>
        <v>0</v>
      </c>
      <c r="H1305" s="46">
        <f>[2]Trucks!I1302</f>
        <v>0</v>
      </c>
      <c r="I1305" s="83" t="str">
        <f t="shared" si="100"/>
        <v/>
      </c>
      <c r="J1305" s="272" t="str">
        <f>IFERROR(VLOOKUP((D1305&amp;C1305)&amp;"",'[2]Retail Price List'!$C$4:$F$102,3,FALSE),"")</f>
        <v/>
      </c>
      <c r="K1305" s="272">
        <f>IFERROR(IF(BA1305="WIP - 30 Days",VLOOKUP(D1305,[3]Standard!$B$9:$E$101,4,FALSE),IF(BA1305="31-120 Days",VLOOKUP(D1305,[3]Standard!$B$9:$F$101,5,FALSE),IF(BA1305="121-365 Days",VLOOKUP(D1305,[3]Standard!$B$9:$G$101,6,FALSE),VLOOKUP(D1305,[3]Standard!$B$9:$H$101,7,FALSE)))),0)</f>
        <v>0</v>
      </c>
      <c r="L1305" s="272">
        <f>IFERROR(IF(BA1305="WIP - 30 Days",VLOOKUP(D1305,[3]Standard!$B$9:$J$101,9,FALSE),IF(BA1305="31-120 Days",VLOOKUP(D1305,[3]Standard!$B$9:$K$100,10,FALSE),IF(BA1305="121-365 Days",VLOOKUP(D1305,[3]Standard!$B$9:$L$101,11,FALSE),VLOOKUP(D1305,[3]Standard!$B$9:$M$101,12,FALSE)))),0)</f>
        <v>0</v>
      </c>
      <c r="M1305" s="269" t="str">
        <f>IFERROR(VLOOKUP((D1305&amp;C1305)&amp;"",'[2]Retail Price List'!$C$4:$F$102,4,FALSE),"")</f>
        <v/>
      </c>
      <c r="N1305" s="269">
        <f>IFERROR(IF(BA1305="WIP - 30 Days",VLOOKUP(D1305,[3]Extended!$B$9:$E$101,4,FALSE),IF(BA1305="31-120 Days",VLOOKUP(D1305,[3]Extended!$B$9:$F$101,5,FALSE),IF(BA1305="121-365 Days",VLOOKUP(D1305,[3]Extended!$B$9:$G$101,6,FALSE),VLOOKUP(D1305,[3]Extended!$B$9:$H$101,7,FALSE)))),0)</f>
        <v>0</v>
      </c>
      <c r="O1305" s="269">
        <f>IFERROR(IF(BA1305="WIP - 30 Days",VLOOKUP(D1305,[3]Extended!$B$9:$J$101,9,FALSE),IF(BA1305="31-120 Days",VLOOKUP(D1305,[3]Extended!$B$9:$K$101,10,FALSE),IF(BA1305="121-365 Days",VLOOKUP(D1305,[3]Extended!$B$9:$L$101,11,FALSE),VLOOKUP(D1305,[3]Extended!$B$9:$M$101,12,FALSE)))),0)</f>
        <v>0</v>
      </c>
      <c r="P1305" s="116" t="e">
        <f t="shared" si="101"/>
        <v>#VALUE!</v>
      </c>
      <c r="Q1305" s="110" t="e">
        <f>O1305-#REF!</f>
        <v>#REF!</v>
      </c>
      <c r="W1305" s="310"/>
      <c r="X1305" s="310"/>
      <c r="Y1305" s="310"/>
      <c r="Z1305" s="310"/>
      <c r="AA1305" s="310"/>
      <c r="AB1305" s="310"/>
      <c r="AC1305" s="310"/>
      <c r="AT1305" s="88" t="str">
        <f t="shared" si="102"/>
        <v>Special Order0</v>
      </c>
      <c r="AU1305" s="89" t="str">
        <f t="shared" si="103"/>
        <v>01-1900</v>
      </c>
      <c r="BA1305" s="92" t="str">
        <f t="shared" si="104"/>
        <v/>
      </c>
    </row>
    <row r="1306" spans="2:53">
      <c r="B1306" s="60">
        <f>[2]Trucks!A1303</f>
        <v>0</v>
      </c>
      <c r="C1306" s="11">
        <f>[2]Trucks!B1303</f>
        <v>0</v>
      </c>
      <c r="D1306" s="19" t="str">
        <f>IFERROR(VLOOKUP(C1306&amp;"",'[2]Retail Price List'!$A$3:$B$103,2,FALSE),"Special Order")</f>
        <v>Special Order</v>
      </c>
      <c r="E1306" s="18">
        <f>[2]Trucks!J1303</f>
        <v>0</v>
      </c>
      <c r="F1306" s="12">
        <f>[2]Trucks!E1303</f>
        <v>0</v>
      </c>
      <c r="G1306" s="56">
        <f>[2]Trucks!K1303</f>
        <v>0</v>
      </c>
      <c r="H1306" s="46">
        <f>[2]Trucks!I1303</f>
        <v>0</v>
      </c>
      <c r="I1306" s="83" t="str">
        <f t="shared" si="100"/>
        <v/>
      </c>
      <c r="J1306" s="272" t="str">
        <f>IFERROR(VLOOKUP((D1306&amp;C1306)&amp;"",'[2]Retail Price List'!$C$4:$F$102,3,FALSE),"")</f>
        <v/>
      </c>
      <c r="K1306" s="272">
        <f>IFERROR(IF(BA1306="WIP - 30 Days",VLOOKUP(D1306,[3]Standard!$B$9:$E$101,4,FALSE),IF(BA1306="31-120 Days",VLOOKUP(D1306,[3]Standard!$B$9:$F$101,5,FALSE),IF(BA1306="121-365 Days",VLOOKUP(D1306,[3]Standard!$B$9:$G$101,6,FALSE),VLOOKUP(D1306,[3]Standard!$B$9:$H$101,7,FALSE)))),0)</f>
        <v>0</v>
      </c>
      <c r="L1306" s="272">
        <f>IFERROR(IF(BA1306="WIP - 30 Days",VLOOKUP(D1306,[3]Standard!$B$9:$J$101,9,FALSE),IF(BA1306="31-120 Days",VLOOKUP(D1306,[3]Standard!$B$9:$K$100,10,FALSE),IF(BA1306="121-365 Days",VLOOKUP(D1306,[3]Standard!$B$9:$L$101,11,FALSE),VLOOKUP(D1306,[3]Standard!$B$9:$M$101,12,FALSE)))),0)</f>
        <v>0</v>
      </c>
      <c r="M1306" s="269" t="str">
        <f>IFERROR(VLOOKUP((D1306&amp;C1306)&amp;"",'[2]Retail Price List'!$C$4:$F$102,4,FALSE),"")</f>
        <v/>
      </c>
      <c r="N1306" s="269">
        <f>IFERROR(IF(BA1306="WIP - 30 Days",VLOOKUP(D1306,[3]Extended!$B$9:$E$101,4,FALSE),IF(BA1306="31-120 Days",VLOOKUP(D1306,[3]Extended!$B$9:$F$101,5,FALSE),IF(BA1306="121-365 Days",VLOOKUP(D1306,[3]Extended!$B$9:$G$101,6,FALSE),VLOOKUP(D1306,[3]Extended!$B$9:$H$101,7,FALSE)))),0)</f>
        <v>0</v>
      </c>
      <c r="O1306" s="269">
        <f>IFERROR(IF(BA1306="WIP - 30 Days",VLOOKUP(D1306,[3]Extended!$B$9:$J$101,9,FALSE),IF(BA1306="31-120 Days",VLOOKUP(D1306,[3]Extended!$B$9:$K$101,10,FALSE),IF(BA1306="121-365 Days",VLOOKUP(D1306,[3]Extended!$B$9:$L$101,11,FALSE),VLOOKUP(D1306,[3]Extended!$B$9:$M$101,12,FALSE)))),0)</f>
        <v>0</v>
      </c>
      <c r="P1306" s="116" t="e">
        <f t="shared" si="101"/>
        <v>#VALUE!</v>
      </c>
      <c r="Q1306" s="110" t="e">
        <f>O1306-#REF!</f>
        <v>#REF!</v>
      </c>
      <c r="W1306" s="310"/>
      <c r="X1306" s="310"/>
      <c r="Y1306" s="310"/>
      <c r="Z1306" s="310"/>
      <c r="AA1306" s="310"/>
      <c r="AB1306" s="310"/>
      <c r="AC1306" s="310"/>
      <c r="AT1306" s="88" t="str">
        <f t="shared" si="102"/>
        <v>Special Order0</v>
      </c>
      <c r="AU1306" s="89" t="str">
        <f t="shared" si="103"/>
        <v>01-1900</v>
      </c>
      <c r="BA1306" s="92" t="str">
        <f t="shared" si="104"/>
        <v/>
      </c>
    </row>
    <row r="1307" spans="2:53">
      <c r="B1307" s="60">
        <f>[2]Trucks!A1304</f>
        <v>0</v>
      </c>
      <c r="C1307" s="11">
        <f>[2]Trucks!B1304</f>
        <v>0</v>
      </c>
      <c r="D1307" s="19" t="str">
        <f>IFERROR(VLOOKUP(C1307&amp;"",'[2]Retail Price List'!$A$3:$B$103,2,FALSE),"Special Order")</f>
        <v>Special Order</v>
      </c>
      <c r="E1307" s="18">
        <f>[2]Trucks!J1304</f>
        <v>0</v>
      </c>
      <c r="F1307" s="12">
        <f>[2]Trucks!E1304</f>
        <v>0</v>
      </c>
      <c r="G1307" s="56">
        <f>[2]Trucks!K1304</f>
        <v>0</v>
      </c>
      <c r="H1307" s="46">
        <f>[2]Trucks!I1304</f>
        <v>0</v>
      </c>
      <c r="I1307" s="83" t="str">
        <f t="shared" si="100"/>
        <v/>
      </c>
      <c r="J1307" s="272" t="str">
        <f>IFERROR(VLOOKUP((D1307&amp;C1307)&amp;"",'[2]Retail Price List'!$C$4:$F$102,3,FALSE),"")</f>
        <v/>
      </c>
      <c r="K1307" s="272">
        <f>IFERROR(IF(BA1307="WIP - 30 Days",VLOOKUP(D1307,[3]Standard!$B$9:$E$101,4,FALSE),IF(BA1307="31-120 Days",VLOOKUP(D1307,[3]Standard!$B$9:$F$101,5,FALSE),IF(BA1307="121-365 Days",VLOOKUP(D1307,[3]Standard!$B$9:$G$101,6,FALSE),VLOOKUP(D1307,[3]Standard!$B$9:$H$101,7,FALSE)))),0)</f>
        <v>0</v>
      </c>
      <c r="L1307" s="272">
        <f>IFERROR(IF(BA1307="WIP - 30 Days",VLOOKUP(D1307,[3]Standard!$B$9:$J$101,9,FALSE),IF(BA1307="31-120 Days",VLOOKUP(D1307,[3]Standard!$B$9:$K$100,10,FALSE),IF(BA1307="121-365 Days",VLOOKUP(D1307,[3]Standard!$B$9:$L$101,11,FALSE),VLOOKUP(D1307,[3]Standard!$B$9:$M$101,12,FALSE)))),0)</f>
        <v>0</v>
      </c>
      <c r="M1307" s="269" t="str">
        <f>IFERROR(VLOOKUP((D1307&amp;C1307)&amp;"",'[2]Retail Price List'!$C$4:$F$102,4,FALSE),"")</f>
        <v/>
      </c>
      <c r="N1307" s="269">
        <f>IFERROR(IF(BA1307="WIP - 30 Days",VLOOKUP(D1307,[3]Extended!$B$9:$E$101,4,FALSE),IF(BA1307="31-120 Days",VLOOKUP(D1307,[3]Extended!$B$9:$F$101,5,FALSE),IF(BA1307="121-365 Days",VLOOKUP(D1307,[3]Extended!$B$9:$G$101,6,FALSE),VLOOKUP(D1307,[3]Extended!$B$9:$H$101,7,FALSE)))),0)</f>
        <v>0</v>
      </c>
      <c r="O1307" s="269">
        <f>IFERROR(IF(BA1307="WIP - 30 Days",VLOOKUP(D1307,[3]Extended!$B$9:$J$101,9,FALSE),IF(BA1307="31-120 Days",VLOOKUP(D1307,[3]Extended!$B$9:$K$101,10,FALSE),IF(BA1307="121-365 Days",VLOOKUP(D1307,[3]Extended!$B$9:$L$101,11,FALSE),VLOOKUP(D1307,[3]Extended!$B$9:$M$101,12,FALSE)))),0)</f>
        <v>0</v>
      </c>
      <c r="P1307" s="116" t="e">
        <f t="shared" si="101"/>
        <v>#VALUE!</v>
      </c>
      <c r="Q1307" s="110" t="e">
        <f>O1307-#REF!</f>
        <v>#REF!</v>
      </c>
      <c r="W1307" s="310"/>
      <c r="X1307" s="310"/>
      <c r="Y1307" s="310"/>
      <c r="Z1307" s="310"/>
      <c r="AA1307" s="310"/>
      <c r="AB1307" s="310"/>
      <c r="AC1307" s="310"/>
      <c r="AT1307" s="88" t="str">
        <f t="shared" si="102"/>
        <v>Special Order0</v>
      </c>
      <c r="AU1307" s="89" t="str">
        <f t="shared" si="103"/>
        <v>01-1900</v>
      </c>
      <c r="BA1307" s="92" t="str">
        <f t="shared" si="104"/>
        <v/>
      </c>
    </row>
    <row r="1308" spans="2:53">
      <c r="B1308" s="60">
        <f>[2]Trucks!A1305</f>
        <v>0</v>
      </c>
      <c r="C1308" s="11">
        <f>[2]Trucks!B1305</f>
        <v>0</v>
      </c>
      <c r="D1308" s="19" t="str">
        <f>IFERROR(VLOOKUP(C1308&amp;"",'[2]Retail Price List'!$A$3:$B$103,2,FALSE),"Special Order")</f>
        <v>Special Order</v>
      </c>
      <c r="E1308" s="18">
        <f>[2]Trucks!J1305</f>
        <v>0</v>
      </c>
      <c r="F1308" s="12">
        <f>[2]Trucks!E1305</f>
        <v>0</v>
      </c>
      <c r="G1308" s="56">
        <f>[2]Trucks!K1305</f>
        <v>0</v>
      </c>
      <c r="H1308" s="46">
        <f>[2]Trucks!I1305</f>
        <v>0</v>
      </c>
      <c r="I1308" s="83" t="str">
        <f t="shared" si="100"/>
        <v/>
      </c>
      <c r="J1308" s="272" t="str">
        <f>IFERROR(VLOOKUP((D1308&amp;C1308)&amp;"",'[2]Retail Price List'!$C$4:$F$102,3,FALSE),"")</f>
        <v/>
      </c>
      <c r="K1308" s="272">
        <f>IFERROR(IF(BA1308="WIP - 30 Days",VLOOKUP(D1308,[3]Standard!$B$9:$E$101,4,FALSE),IF(BA1308="31-120 Days",VLOOKUP(D1308,[3]Standard!$B$9:$F$101,5,FALSE),IF(BA1308="121-365 Days",VLOOKUP(D1308,[3]Standard!$B$9:$G$101,6,FALSE),VLOOKUP(D1308,[3]Standard!$B$9:$H$101,7,FALSE)))),0)</f>
        <v>0</v>
      </c>
      <c r="L1308" s="272">
        <f>IFERROR(IF(BA1308="WIP - 30 Days",VLOOKUP(D1308,[3]Standard!$B$9:$J$101,9,FALSE),IF(BA1308="31-120 Days",VLOOKUP(D1308,[3]Standard!$B$9:$K$100,10,FALSE),IF(BA1308="121-365 Days",VLOOKUP(D1308,[3]Standard!$B$9:$L$101,11,FALSE),VLOOKUP(D1308,[3]Standard!$B$9:$M$101,12,FALSE)))),0)</f>
        <v>0</v>
      </c>
      <c r="M1308" s="269" t="str">
        <f>IFERROR(VLOOKUP((D1308&amp;C1308)&amp;"",'[2]Retail Price List'!$C$4:$F$102,4,FALSE),"")</f>
        <v/>
      </c>
      <c r="N1308" s="269">
        <f>IFERROR(IF(BA1308="WIP - 30 Days",VLOOKUP(D1308,[3]Extended!$B$9:$E$101,4,FALSE),IF(BA1308="31-120 Days",VLOOKUP(D1308,[3]Extended!$B$9:$F$101,5,FALSE),IF(BA1308="121-365 Days",VLOOKUP(D1308,[3]Extended!$B$9:$G$101,6,FALSE),VLOOKUP(D1308,[3]Extended!$B$9:$H$101,7,FALSE)))),0)</f>
        <v>0</v>
      </c>
      <c r="O1308" s="269">
        <f>IFERROR(IF(BA1308="WIP - 30 Days",VLOOKUP(D1308,[3]Extended!$B$9:$J$101,9,FALSE),IF(BA1308="31-120 Days",VLOOKUP(D1308,[3]Extended!$B$9:$K$101,10,FALSE),IF(BA1308="121-365 Days",VLOOKUP(D1308,[3]Extended!$B$9:$L$101,11,FALSE),VLOOKUP(D1308,[3]Extended!$B$9:$M$101,12,FALSE)))),0)</f>
        <v>0</v>
      </c>
      <c r="P1308" s="116" t="e">
        <f t="shared" si="101"/>
        <v>#VALUE!</v>
      </c>
      <c r="Q1308" s="110" t="e">
        <f>O1308-#REF!</f>
        <v>#REF!</v>
      </c>
      <c r="W1308" s="310"/>
      <c r="X1308" s="310"/>
      <c r="Y1308" s="310"/>
      <c r="Z1308" s="310"/>
      <c r="AA1308" s="310"/>
      <c r="AB1308" s="310"/>
      <c r="AC1308" s="310"/>
      <c r="AT1308" s="88" t="str">
        <f t="shared" si="102"/>
        <v>Special Order0</v>
      </c>
      <c r="AU1308" s="89" t="str">
        <f t="shared" si="103"/>
        <v>01-1900</v>
      </c>
      <c r="BA1308" s="92" t="str">
        <f t="shared" si="104"/>
        <v/>
      </c>
    </row>
    <row r="1309" spans="2:53">
      <c r="B1309" s="60">
        <f>[2]Trucks!A1306</f>
        <v>0</v>
      </c>
      <c r="C1309" s="11">
        <f>[2]Trucks!B1306</f>
        <v>0</v>
      </c>
      <c r="D1309" s="19" t="str">
        <f>IFERROR(VLOOKUP(C1309&amp;"",'[2]Retail Price List'!$A$3:$B$103,2,FALSE),"Special Order")</f>
        <v>Special Order</v>
      </c>
      <c r="E1309" s="18">
        <f>[2]Trucks!J1306</f>
        <v>0</v>
      </c>
      <c r="F1309" s="12">
        <f>[2]Trucks!E1306</f>
        <v>0</v>
      </c>
      <c r="G1309" s="56">
        <f>[2]Trucks!K1306</f>
        <v>0</v>
      </c>
      <c r="H1309" s="46">
        <f>[2]Trucks!I1306</f>
        <v>0</v>
      </c>
      <c r="I1309" s="83" t="str">
        <f t="shared" si="100"/>
        <v/>
      </c>
      <c r="J1309" s="272" t="str">
        <f>IFERROR(VLOOKUP((D1309&amp;C1309)&amp;"",'[2]Retail Price List'!$C$4:$F$102,3,FALSE),"")</f>
        <v/>
      </c>
      <c r="K1309" s="272">
        <f>IFERROR(IF(BA1309="WIP - 30 Days",VLOOKUP(D1309,[3]Standard!$B$9:$E$101,4,FALSE),IF(BA1309="31-120 Days",VLOOKUP(D1309,[3]Standard!$B$9:$F$101,5,FALSE),IF(BA1309="121-365 Days",VLOOKUP(D1309,[3]Standard!$B$9:$G$101,6,FALSE),VLOOKUP(D1309,[3]Standard!$B$9:$H$101,7,FALSE)))),0)</f>
        <v>0</v>
      </c>
      <c r="L1309" s="272">
        <f>IFERROR(IF(BA1309="WIP - 30 Days",VLOOKUP(D1309,[3]Standard!$B$9:$J$101,9,FALSE),IF(BA1309="31-120 Days",VLOOKUP(D1309,[3]Standard!$B$9:$K$100,10,FALSE),IF(BA1309="121-365 Days",VLOOKUP(D1309,[3]Standard!$B$9:$L$101,11,FALSE),VLOOKUP(D1309,[3]Standard!$B$9:$M$101,12,FALSE)))),0)</f>
        <v>0</v>
      </c>
      <c r="M1309" s="269" t="str">
        <f>IFERROR(VLOOKUP((D1309&amp;C1309)&amp;"",'[2]Retail Price List'!$C$4:$F$102,4,FALSE),"")</f>
        <v/>
      </c>
      <c r="N1309" s="269">
        <f>IFERROR(IF(BA1309="WIP - 30 Days",VLOOKUP(D1309,[3]Extended!$B$9:$E$101,4,FALSE),IF(BA1309="31-120 Days",VLOOKUP(D1309,[3]Extended!$B$9:$F$101,5,FALSE),IF(BA1309="121-365 Days",VLOOKUP(D1309,[3]Extended!$B$9:$G$101,6,FALSE),VLOOKUP(D1309,[3]Extended!$B$9:$H$101,7,FALSE)))),0)</f>
        <v>0</v>
      </c>
      <c r="O1309" s="269">
        <f>IFERROR(IF(BA1309="WIP - 30 Days",VLOOKUP(D1309,[3]Extended!$B$9:$J$101,9,FALSE),IF(BA1309="31-120 Days",VLOOKUP(D1309,[3]Extended!$B$9:$K$101,10,FALSE),IF(BA1309="121-365 Days",VLOOKUP(D1309,[3]Extended!$B$9:$L$101,11,FALSE),VLOOKUP(D1309,[3]Extended!$B$9:$M$101,12,FALSE)))),0)</f>
        <v>0</v>
      </c>
      <c r="P1309" s="116" t="e">
        <f t="shared" si="101"/>
        <v>#VALUE!</v>
      </c>
      <c r="Q1309" s="110" t="e">
        <f>O1309-#REF!</f>
        <v>#REF!</v>
      </c>
      <c r="W1309" s="310"/>
      <c r="X1309" s="310"/>
      <c r="Y1309" s="310"/>
      <c r="Z1309" s="310"/>
      <c r="AA1309" s="310"/>
      <c r="AB1309" s="310"/>
      <c r="AC1309" s="310"/>
      <c r="AT1309" s="88" t="str">
        <f t="shared" si="102"/>
        <v>Special Order0</v>
      </c>
      <c r="AU1309" s="89" t="str">
        <f t="shared" si="103"/>
        <v>01-1900</v>
      </c>
      <c r="BA1309" s="92" t="str">
        <f t="shared" si="104"/>
        <v/>
      </c>
    </row>
    <row r="1310" spans="2:53">
      <c r="B1310" s="60">
        <f>[2]Trucks!A1307</f>
        <v>0</v>
      </c>
      <c r="C1310" s="11">
        <f>[2]Trucks!B1307</f>
        <v>0</v>
      </c>
      <c r="D1310" s="19" t="str">
        <f>IFERROR(VLOOKUP(C1310&amp;"",'[2]Retail Price List'!$A$3:$B$103,2,FALSE),"Special Order")</f>
        <v>Special Order</v>
      </c>
      <c r="E1310" s="18">
        <f>[2]Trucks!J1307</f>
        <v>0</v>
      </c>
      <c r="F1310" s="12">
        <f>[2]Trucks!E1307</f>
        <v>0</v>
      </c>
      <c r="G1310" s="56">
        <f>[2]Trucks!K1307</f>
        <v>0</v>
      </c>
      <c r="H1310" s="46">
        <f>[2]Trucks!I1307</f>
        <v>0</v>
      </c>
      <c r="I1310" s="83" t="str">
        <f t="shared" si="100"/>
        <v/>
      </c>
      <c r="J1310" s="272" t="str">
        <f>IFERROR(VLOOKUP((D1310&amp;C1310)&amp;"",'[2]Retail Price List'!$C$4:$F$102,3,FALSE),"")</f>
        <v/>
      </c>
      <c r="K1310" s="272">
        <f>IFERROR(IF(BA1310="WIP - 30 Days",VLOOKUP(D1310,[3]Standard!$B$9:$E$101,4,FALSE),IF(BA1310="31-120 Days",VLOOKUP(D1310,[3]Standard!$B$9:$F$101,5,FALSE),IF(BA1310="121-365 Days",VLOOKUP(D1310,[3]Standard!$B$9:$G$101,6,FALSE),VLOOKUP(D1310,[3]Standard!$B$9:$H$101,7,FALSE)))),0)</f>
        <v>0</v>
      </c>
      <c r="L1310" s="272">
        <f>IFERROR(IF(BA1310="WIP - 30 Days",VLOOKUP(D1310,[3]Standard!$B$9:$J$101,9,FALSE),IF(BA1310="31-120 Days",VLOOKUP(D1310,[3]Standard!$B$9:$K$100,10,FALSE),IF(BA1310="121-365 Days",VLOOKUP(D1310,[3]Standard!$B$9:$L$101,11,FALSE),VLOOKUP(D1310,[3]Standard!$B$9:$M$101,12,FALSE)))),0)</f>
        <v>0</v>
      </c>
      <c r="M1310" s="269" t="str">
        <f>IFERROR(VLOOKUP((D1310&amp;C1310)&amp;"",'[2]Retail Price List'!$C$4:$F$102,4,FALSE),"")</f>
        <v/>
      </c>
      <c r="N1310" s="269">
        <f>IFERROR(IF(BA1310="WIP - 30 Days",VLOOKUP(D1310,[3]Extended!$B$9:$E$101,4,FALSE),IF(BA1310="31-120 Days",VLOOKUP(D1310,[3]Extended!$B$9:$F$101,5,FALSE),IF(BA1310="121-365 Days",VLOOKUP(D1310,[3]Extended!$B$9:$G$101,6,FALSE),VLOOKUP(D1310,[3]Extended!$B$9:$H$101,7,FALSE)))),0)</f>
        <v>0</v>
      </c>
      <c r="O1310" s="269">
        <f>IFERROR(IF(BA1310="WIP - 30 Days",VLOOKUP(D1310,[3]Extended!$B$9:$J$101,9,FALSE),IF(BA1310="31-120 Days",VLOOKUP(D1310,[3]Extended!$B$9:$K$101,10,FALSE),IF(BA1310="121-365 Days",VLOOKUP(D1310,[3]Extended!$B$9:$L$101,11,FALSE),VLOOKUP(D1310,[3]Extended!$B$9:$M$101,12,FALSE)))),0)</f>
        <v>0</v>
      </c>
      <c r="P1310" s="116" t="e">
        <f t="shared" si="101"/>
        <v>#VALUE!</v>
      </c>
      <c r="Q1310" s="110" t="e">
        <f>O1310-#REF!</f>
        <v>#REF!</v>
      </c>
      <c r="W1310" s="310"/>
      <c r="X1310" s="310"/>
      <c r="Y1310" s="310"/>
      <c r="Z1310" s="310"/>
      <c r="AA1310" s="310"/>
      <c r="AB1310" s="310"/>
      <c r="AC1310" s="310"/>
      <c r="AT1310" s="88" t="str">
        <f t="shared" si="102"/>
        <v>Special Order0</v>
      </c>
      <c r="AU1310" s="89" t="str">
        <f t="shared" si="103"/>
        <v>01-1900</v>
      </c>
      <c r="BA1310" s="92" t="str">
        <f t="shared" si="104"/>
        <v/>
      </c>
    </row>
    <row r="1311" spans="2:53">
      <c r="B1311" s="60">
        <f>[2]Trucks!A1308</f>
        <v>0</v>
      </c>
      <c r="C1311" s="11">
        <f>[2]Trucks!B1308</f>
        <v>0</v>
      </c>
      <c r="D1311" s="19" t="str">
        <f>IFERROR(VLOOKUP(C1311&amp;"",'[2]Retail Price List'!$A$3:$B$103,2,FALSE),"Special Order")</f>
        <v>Special Order</v>
      </c>
      <c r="E1311" s="18">
        <f>[2]Trucks!J1308</f>
        <v>0</v>
      </c>
      <c r="F1311" s="12">
        <f>[2]Trucks!E1308</f>
        <v>0</v>
      </c>
      <c r="G1311" s="56">
        <f>[2]Trucks!K1308</f>
        <v>0</v>
      </c>
      <c r="H1311" s="46">
        <f>[2]Trucks!I1308</f>
        <v>0</v>
      </c>
      <c r="I1311" s="83" t="str">
        <f t="shared" si="100"/>
        <v/>
      </c>
      <c r="J1311" s="272" t="str">
        <f>IFERROR(VLOOKUP((D1311&amp;C1311)&amp;"",'[2]Retail Price List'!$C$4:$F$102,3,FALSE),"")</f>
        <v/>
      </c>
      <c r="K1311" s="272">
        <f>IFERROR(IF(BA1311="WIP - 30 Days",VLOOKUP(D1311,[3]Standard!$B$9:$E$101,4,FALSE),IF(BA1311="31-120 Days",VLOOKUP(D1311,[3]Standard!$B$9:$F$101,5,FALSE),IF(BA1311="121-365 Days",VLOOKUP(D1311,[3]Standard!$B$9:$G$101,6,FALSE),VLOOKUP(D1311,[3]Standard!$B$9:$H$101,7,FALSE)))),0)</f>
        <v>0</v>
      </c>
      <c r="L1311" s="272">
        <f>IFERROR(IF(BA1311="WIP - 30 Days",VLOOKUP(D1311,[3]Standard!$B$9:$J$101,9,FALSE),IF(BA1311="31-120 Days",VLOOKUP(D1311,[3]Standard!$B$9:$K$100,10,FALSE),IF(BA1311="121-365 Days",VLOOKUP(D1311,[3]Standard!$B$9:$L$101,11,FALSE),VLOOKUP(D1311,[3]Standard!$B$9:$M$101,12,FALSE)))),0)</f>
        <v>0</v>
      </c>
      <c r="M1311" s="269" t="str">
        <f>IFERROR(VLOOKUP((D1311&amp;C1311)&amp;"",'[2]Retail Price List'!$C$4:$F$102,4,FALSE),"")</f>
        <v/>
      </c>
      <c r="N1311" s="269">
        <f>IFERROR(IF(BA1311="WIP - 30 Days",VLOOKUP(D1311,[3]Extended!$B$9:$E$101,4,FALSE),IF(BA1311="31-120 Days",VLOOKUP(D1311,[3]Extended!$B$9:$F$101,5,FALSE),IF(BA1311="121-365 Days",VLOOKUP(D1311,[3]Extended!$B$9:$G$101,6,FALSE),VLOOKUP(D1311,[3]Extended!$B$9:$H$101,7,FALSE)))),0)</f>
        <v>0</v>
      </c>
      <c r="O1311" s="269">
        <f>IFERROR(IF(BA1311="WIP - 30 Days",VLOOKUP(D1311,[3]Extended!$B$9:$J$101,9,FALSE),IF(BA1311="31-120 Days",VLOOKUP(D1311,[3]Extended!$B$9:$K$101,10,FALSE),IF(BA1311="121-365 Days",VLOOKUP(D1311,[3]Extended!$B$9:$L$101,11,FALSE),VLOOKUP(D1311,[3]Extended!$B$9:$M$101,12,FALSE)))),0)</f>
        <v>0</v>
      </c>
      <c r="P1311" s="116" t="e">
        <f t="shared" si="101"/>
        <v>#VALUE!</v>
      </c>
      <c r="Q1311" s="110" t="e">
        <f>O1311-#REF!</f>
        <v>#REF!</v>
      </c>
      <c r="W1311" s="310"/>
      <c r="X1311" s="310"/>
      <c r="Y1311" s="310"/>
      <c r="Z1311" s="310"/>
      <c r="AA1311" s="310"/>
      <c r="AB1311" s="310"/>
      <c r="AC1311" s="310"/>
      <c r="AT1311" s="88" t="str">
        <f t="shared" si="102"/>
        <v>Special Order0</v>
      </c>
      <c r="AU1311" s="89" t="str">
        <f t="shared" si="103"/>
        <v>01-1900</v>
      </c>
      <c r="BA1311" s="92" t="str">
        <f t="shared" si="104"/>
        <v/>
      </c>
    </row>
    <row r="1312" spans="2:53">
      <c r="B1312" s="60">
        <f>[2]Trucks!A1309</f>
        <v>0</v>
      </c>
      <c r="C1312" s="11">
        <f>[2]Trucks!B1309</f>
        <v>0</v>
      </c>
      <c r="D1312" s="19" t="str">
        <f>IFERROR(VLOOKUP(C1312&amp;"",'[2]Retail Price List'!$A$3:$B$103,2,FALSE),"Special Order")</f>
        <v>Special Order</v>
      </c>
      <c r="E1312" s="18">
        <f>[2]Trucks!J1309</f>
        <v>0</v>
      </c>
      <c r="F1312" s="12">
        <f>[2]Trucks!E1309</f>
        <v>0</v>
      </c>
      <c r="G1312" s="56">
        <f>[2]Trucks!K1309</f>
        <v>0</v>
      </c>
      <c r="H1312" s="46">
        <f>[2]Trucks!I1309</f>
        <v>0</v>
      </c>
      <c r="I1312" s="83" t="str">
        <f t="shared" si="100"/>
        <v/>
      </c>
      <c r="J1312" s="272" t="str">
        <f>IFERROR(VLOOKUP((D1312&amp;C1312)&amp;"",'[2]Retail Price List'!$C$4:$F$102,3,FALSE),"")</f>
        <v/>
      </c>
      <c r="K1312" s="272">
        <f>IFERROR(IF(BA1312="WIP - 30 Days",VLOOKUP(D1312,[3]Standard!$B$9:$E$101,4,FALSE),IF(BA1312="31-120 Days",VLOOKUP(D1312,[3]Standard!$B$9:$F$101,5,FALSE),IF(BA1312="121-365 Days",VLOOKUP(D1312,[3]Standard!$B$9:$G$101,6,FALSE),VLOOKUP(D1312,[3]Standard!$B$9:$H$101,7,FALSE)))),0)</f>
        <v>0</v>
      </c>
      <c r="L1312" s="272">
        <f>IFERROR(IF(BA1312="WIP - 30 Days",VLOOKUP(D1312,[3]Standard!$B$9:$J$101,9,FALSE),IF(BA1312="31-120 Days",VLOOKUP(D1312,[3]Standard!$B$9:$K$100,10,FALSE),IF(BA1312="121-365 Days",VLOOKUP(D1312,[3]Standard!$B$9:$L$101,11,FALSE),VLOOKUP(D1312,[3]Standard!$B$9:$M$101,12,FALSE)))),0)</f>
        <v>0</v>
      </c>
      <c r="M1312" s="269" t="str">
        <f>IFERROR(VLOOKUP((D1312&amp;C1312)&amp;"",'[2]Retail Price List'!$C$4:$F$102,4,FALSE),"")</f>
        <v/>
      </c>
      <c r="N1312" s="269">
        <f>IFERROR(IF(BA1312="WIP - 30 Days",VLOOKUP(D1312,[3]Extended!$B$9:$E$101,4,FALSE),IF(BA1312="31-120 Days",VLOOKUP(D1312,[3]Extended!$B$9:$F$101,5,FALSE),IF(BA1312="121-365 Days",VLOOKUP(D1312,[3]Extended!$B$9:$G$101,6,FALSE),VLOOKUP(D1312,[3]Extended!$B$9:$H$101,7,FALSE)))),0)</f>
        <v>0</v>
      </c>
      <c r="O1312" s="269">
        <f>IFERROR(IF(BA1312="WIP - 30 Days",VLOOKUP(D1312,[3]Extended!$B$9:$J$101,9,FALSE),IF(BA1312="31-120 Days",VLOOKUP(D1312,[3]Extended!$B$9:$K$101,10,FALSE),IF(BA1312="121-365 Days",VLOOKUP(D1312,[3]Extended!$B$9:$L$101,11,FALSE),VLOOKUP(D1312,[3]Extended!$B$9:$M$101,12,FALSE)))),0)</f>
        <v>0</v>
      </c>
      <c r="P1312" s="116" t="e">
        <f t="shared" si="101"/>
        <v>#VALUE!</v>
      </c>
      <c r="Q1312" s="110" t="e">
        <f>O1312-#REF!</f>
        <v>#REF!</v>
      </c>
      <c r="W1312" s="310"/>
      <c r="X1312" s="310"/>
      <c r="Y1312" s="310"/>
      <c r="Z1312" s="310"/>
      <c r="AA1312" s="310"/>
      <c r="AB1312" s="310"/>
      <c r="AC1312" s="310"/>
      <c r="AT1312" s="88" t="str">
        <f t="shared" si="102"/>
        <v>Special Order0</v>
      </c>
      <c r="AU1312" s="89" t="str">
        <f t="shared" si="103"/>
        <v>01-1900</v>
      </c>
      <c r="BA1312" s="92" t="str">
        <f t="shared" si="104"/>
        <v/>
      </c>
    </row>
    <row r="1313" spans="2:53">
      <c r="B1313" s="60">
        <f>[2]Trucks!A1310</f>
        <v>0</v>
      </c>
      <c r="C1313" s="11">
        <f>[2]Trucks!B1310</f>
        <v>0</v>
      </c>
      <c r="D1313" s="19" t="str">
        <f>IFERROR(VLOOKUP(C1313&amp;"",'[2]Retail Price List'!$A$3:$B$103,2,FALSE),"Special Order")</f>
        <v>Special Order</v>
      </c>
      <c r="E1313" s="18">
        <f>[2]Trucks!J1310</f>
        <v>0</v>
      </c>
      <c r="F1313" s="12">
        <f>[2]Trucks!E1310</f>
        <v>0</v>
      </c>
      <c r="G1313" s="56">
        <f>[2]Trucks!K1310</f>
        <v>0</v>
      </c>
      <c r="H1313" s="46">
        <f>[2]Trucks!I1310</f>
        <v>0</v>
      </c>
      <c r="I1313" s="83" t="str">
        <f t="shared" si="100"/>
        <v/>
      </c>
      <c r="J1313" s="272" t="str">
        <f>IFERROR(VLOOKUP((D1313&amp;C1313)&amp;"",'[2]Retail Price List'!$C$4:$F$102,3,FALSE),"")</f>
        <v/>
      </c>
      <c r="K1313" s="272">
        <f>IFERROR(IF(BA1313="WIP - 30 Days",VLOOKUP(D1313,[3]Standard!$B$9:$E$101,4,FALSE),IF(BA1313="31-120 Days",VLOOKUP(D1313,[3]Standard!$B$9:$F$101,5,FALSE),IF(BA1313="121-365 Days",VLOOKUP(D1313,[3]Standard!$B$9:$G$101,6,FALSE),VLOOKUP(D1313,[3]Standard!$B$9:$H$101,7,FALSE)))),0)</f>
        <v>0</v>
      </c>
      <c r="L1313" s="272">
        <f>IFERROR(IF(BA1313="WIP - 30 Days",VLOOKUP(D1313,[3]Standard!$B$9:$J$101,9,FALSE),IF(BA1313="31-120 Days",VLOOKUP(D1313,[3]Standard!$B$9:$K$100,10,FALSE),IF(BA1313="121-365 Days",VLOOKUP(D1313,[3]Standard!$B$9:$L$101,11,FALSE),VLOOKUP(D1313,[3]Standard!$B$9:$M$101,12,FALSE)))),0)</f>
        <v>0</v>
      </c>
      <c r="M1313" s="269" t="str">
        <f>IFERROR(VLOOKUP((D1313&amp;C1313)&amp;"",'[2]Retail Price List'!$C$4:$F$102,4,FALSE),"")</f>
        <v/>
      </c>
      <c r="N1313" s="269">
        <f>IFERROR(IF(BA1313="WIP - 30 Days",VLOOKUP(D1313,[3]Extended!$B$9:$E$101,4,FALSE),IF(BA1313="31-120 Days",VLOOKUP(D1313,[3]Extended!$B$9:$F$101,5,FALSE),IF(BA1313="121-365 Days",VLOOKUP(D1313,[3]Extended!$B$9:$G$101,6,FALSE),VLOOKUP(D1313,[3]Extended!$B$9:$H$101,7,FALSE)))),0)</f>
        <v>0</v>
      </c>
      <c r="O1313" s="269">
        <f>IFERROR(IF(BA1313="WIP - 30 Days",VLOOKUP(D1313,[3]Extended!$B$9:$J$101,9,FALSE),IF(BA1313="31-120 Days",VLOOKUP(D1313,[3]Extended!$B$9:$K$101,10,FALSE),IF(BA1313="121-365 Days",VLOOKUP(D1313,[3]Extended!$B$9:$L$101,11,FALSE),VLOOKUP(D1313,[3]Extended!$B$9:$M$101,12,FALSE)))),0)</f>
        <v>0</v>
      </c>
      <c r="P1313" s="116" t="e">
        <f t="shared" si="101"/>
        <v>#VALUE!</v>
      </c>
      <c r="Q1313" s="110" t="e">
        <f>O1313-#REF!</f>
        <v>#REF!</v>
      </c>
      <c r="W1313" s="310"/>
      <c r="X1313" s="310"/>
      <c r="Y1313" s="310"/>
      <c r="Z1313" s="310"/>
      <c r="AA1313" s="310"/>
      <c r="AB1313" s="310"/>
      <c r="AC1313" s="310"/>
      <c r="AT1313" s="88" t="str">
        <f t="shared" si="102"/>
        <v>Special Order0</v>
      </c>
      <c r="AU1313" s="89" t="str">
        <f t="shared" si="103"/>
        <v>01-1900</v>
      </c>
      <c r="BA1313" s="92" t="str">
        <f t="shared" si="104"/>
        <v/>
      </c>
    </row>
    <row r="1314" spans="2:53">
      <c r="B1314" s="60">
        <f>[2]Trucks!A1311</f>
        <v>0</v>
      </c>
      <c r="C1314" s="11">
        <f>[2]Trucks!B1311</f>
        <v>0</v>
      </c>
      <c r="D1314" s="19" t="str">
        <f>IFERROR(VLOOKUP(C1314&amp;"",'[2]Retail Price List'!$A$3:$B$103,2,FALSE),"Special Order")</f>
        <v>Special Order</v>
      </c>
      <c r="E1314" s="18">
        <f>[2]Trucks!J1311</f>
        <v>0</v>
      </c>
      <c r="F1314" s="12">
        <f>[2]Trucks!E1311</f>
        <v>0</v>
      </c>
      <c r="G1314" s="56">
        <f>[2]Trucks!K1311</f>
        <v>0</v>
      </c>
      <c r="H1314" s="46">
        <f>[2]Trucks!I1311</f>
        <v>0</v>
      </c>
      <c r="I1314" s="83" t="str">
        <f t="shared" si="100"/>
        <v/>
      </c>
      <c r="J1314" s="272" t="str">
        <f>IFERROR(VLOOKUP((D1314&amp;C1314)&amp;"",'[2]Retail Price List'!$C$4:$F$102,3,FALSE),"")</f>
        <v/>
      </c>
      <c r="K1314" s="272">
        <f>IFERROR(IF(BA1314="WIP - 30 Days",VLOOKUP(D1314,[3]Standard!$B$9:$E$101,4,FALSE),IF(BA1314="31-120 Days",VLOOKUP(D1314,[3]Standard!$B$9:$F$101,5,FALSE),IF(BA1314="121-365 Days",VLOOKUP(D1314,[3]Standard!$B$9:$G$101,6,FALSE),VLOOKUP(D1314,[3]Standard!$B$9:$H$101,7,FALSE)))),0)</f>
        <v>0</v>
      </c>
      <c r="L1314" s="272">
        <f>IFERROR(IF(BA1314="WIP - 30 Days",VLOOKUP(D1314,[3]Standard!$B$9:$J$101,9,FALSE),IF(BA1314="31-120 Days",VLOOKUP(D1314,[3]Standard!$B$9:$K$100,10,FALSE),IF(BA1314="121-365 Days",VLOOKUP(D1314,[3]Standard!$B$9:$L$101,11,FALSE),VLOOKUP(D1314,[3]Standard!$B$9:$M$101,12,FALSE)))),0)</f>
        <v>0</v>
      </c>
      <c r="M1314" s="269" t="str">
        <f>IFERROR(VLOOKUP((D1314&amp;C1314)&amp;"",'[2]Retail Price List'!$C$4:$F$102,4,FALSE),"")</f>
        <v/>
      </c>
      <c r="N1314" s="269">
        <f>IFERROR(IF(BA1314="WIP - 30 Days",VLOOKUP(D1314,[3]Extended!$B$9:$E$101,4,FALSE),IF(BA1314="31-120 Days",VLOOKUP(D1314,[3]Extended!$B$9:$F$101,5,FALSE),IF(BA1314="121-365 Days",VLOOKUP(D1314,[3]Extended!$B$9:$G$101,6,FALSE),VLOOKUP(D1314,[3]Extended!$B$9:$H$101,7,FALSE)))),0)</f>
        <v>0</v>
      </c>
      <c r="O1314" s="269">
        <f>IFERROR(IF(BA1314="WIP - 30 Days",VLOOKUP(D1314,[3]Extended!$B$9:$J$101,9,FALSE),IF(BA1314="31-120 Days",VLOOKUP(D1314,[3]Extended!$B$9:$K$101,10,FALSE),IF(BA1314="121-365 Days",VLOOKUP(D1314,[3]Extended!$B$9:$L$101,11,FALSE),VLOOKUP(D1314,[3]Extended!$B$9:$M$101,12,FALSE)))),0)</f>
        <v>0</v>
      </c>
      <c r="P1314" s="116" t="e">
        <f t="shared" si="101"/>
        <v>#VALUE!</v>
      </c>
      <c r="Q1314" s="110" t="e">
        <f>O1314-#REF!</f>
        <v>#REF!</v>
      </c>
      <c r="W1314" s="310"/>
      <c r="X1314" s="310"/>
      <c r="Y1314" s="310"/>
      <c r="Z1314" s="310"/>
      <c r="AA1314" s="310"/>
      <c r="AB1314" s="310"/>
      <c r="AC1314" s="310"/>
      <c r="AT1314" s="88" t="str">
        <f t="shared" si="102"/>
        <v>Special Order0</v>
      </c>
      <c r="AU1314" s="89" t="str">
        <f t="shared" si="103"/>
        <v>01-1900</v>
      </c>
      <c r="BA1314" s="92" t="str">
        <f t="shared" si="104"/>
        <v/>
      </c>
    </row>
    <row r="1315" spans="2:53">
      <c r="B1315" s="60">
        <f>[2]Trucks!A1312</f>
        <v>0</v>
      </c>
      <c r="C1315" s="11">
        <f>[2]Trucks!B1312</f>
        <v>0</v>
      </c>
      <c r="D1315" s="19" t="str">
        <f>IFERROR(VLOOKUP(C1315&amp;"",'[2]Retail Price List'!$A$3:$B$103,2,FALSE),"Special Order")</f>
        <v>Special Order</v>
      </c>
      <c r="E1315" s="18">
        <f>[2]Trucks!J1312</f>
        <v>0</v>
      </c>
      <c r="F1315" s="12">
        <f>[2]Trucks!E1312</f>
        <v>0</v>
      </c>
      <c r="G1315" s="56">
        <f>[2]Trucks!K1312</f>
        <v>0</v>
      </c>
      <c r="H1315" s="46">
        <f>[2]Trucks!I1312</f>
        <v>0</v>
      </c>
      <c r="I1315" s="83" t="str">
        <f t="shared" si="100"/>
        <v/>
      </c>
      <c r="J1315" s="272" t="str">
        <f>IFERROR(VLOOKUP((D1315&amp;C1315)&amp;"",'[2]Retail Price List'!$C$4:$F$102,3,FALSE),"")</f>
        <v/>
      </c>
      <c r="K1315" s="272">
        <f>IFERROR(IF(BA1315="WIP - 30 Days",VLOOKUP(D1315,[3]Standard!$B$9:$E$101,4,FALSE),IF(BA1315="31-120 Days",VLOOKUP(D1315,[3]Standard!$B$9:$F$101,5,FALSE),IF(BA1315="121-365 Days",VLOOKUP(D1315,[3]Standard!$B$9:$G$101,6,FALSE),VLOOKUP(D1315,[3]Standard!$B$9:$H$101,7,FALSE)))),0)</f>
        <v>0</v>
      </c>
      <c r="L1315" s="272">
        <f>IFERROR(IF(BA1315="WIP - 30 Days",VLOOKUP(D1315,[3]Standard!$B$9:$J$101,9,FALSE),IF(BA1315="31-120 Days",VLOOKUP(D1315,[3]Standard!$B$9:$K$100,10,FALSE),IF(BA1315="121-365 Days",VLOOKUP(D1315,[3]Standard!$B$9:$L$101,11,FALSE),VLOOKUP(D1315,[3]Standard!$B$9:$M$101,12,FALSE)))),0)</f>
        <v>0</v>
      </c>
      <c r="M1315" s="269" t="str">
        <f>IFERROR(VLOOKUP((D1315&amp;C1315)&amp;"",'[2]Retail Price List'!$C$4:$F$102,4,FALSE),"")</f>
        <v/>
      </c>
      <c r="N1315" s="269">
        <f>IFERROR(IF(BA1315="WIP - 30 Days",VLOOKUP(D1315,[3]Extended!$B$9:$E$101,4,FALSE),IF(BA1315="31-120 Days",VLOOKUP(D1315,[3]Extended!$B$9:$F$101,5,FALSE),IF(BA1315="121-365 Days",VLOOKUP(D1315,[3]Extended!$B$9:$G$101,6,FALSE),VLOOKUP(D1315,[3]Extended!$B$9:$H$101,7,FALSE)))),0)</f>
        <v>0</v>
      </c>
      <c r="O1315" s="269">
        <f>IFERROR(IF(BA1315="WIP - 30 Days",VLOOKUP(D1315,[3]Extended!$B$9:$J$101,9,FALSE),IF(BA1315="31-120 Days",VLOOKUP(D1315,[3]Extended!$B$9:$K$101,10,FALSE),IF(BA1315="121-365 Days",VLOOKUP(D1315,[3]Extended!$B$9:$L$101,11,FALSE),VLOOKUP(D1315,[3]Extended!$B$9:$M$101,12,FALSE)))),0)</f>
        <v>0</v>
      </c>
      <c r="P1315" s="116" t="e">
        <f t="shared" si="101"/>
        <v>#VALUE!</v>
      </c>
      <c r="Q1315" s="110" t="e">
        <f>O1315-#REF!</f>
        <v>#REF!</v>
      </c>
      <c r="W1315" s="310"/>
      <c r="X1315" s="310"/>
      <c r="Y1315" s="310"/>
      <c r="Z1315" s="310"/>
      <c r="AA1315" s="310"/>
      <c r="AB1315" s="310"/>
      <c r="AC1315" s="310"/>
      <c r="AT1315" s="88" t="str">
        <f t="shared" si="102"/>
        <v>Special Order0</v>
      </c>
      <c r="AU1315" s="89" t="str">
        <f t="shared" si="103"/>
        <v>01-1900</v>
      </c>
      <c r="BA1315" s="92" t="str">
        <f t="shared" si="104"/>
        <v/>
      </c>
    </row>
    <row r="1316" spans="2:53">
      <c r="B1316" s="60">
        <f>[2]Trucks!A1313</f>
        <v>0</v>
      </c>
      <c r="C1316" s="11">
        <f>[2]Trucks!B1313</f>
        <v>0</v>
      </c>
      <c r="D1316" s="19" t="str">
        <f>IFERROR(VLOOKUP(C1316&amp;"",'[2]Retail Price List'!$A$3:$B$103,2,FALSE),"Special Order")</f>
        <v>Special Order</v>
      </c>
      <c r="E1316" s="18">
        <f>[2]Trucks!J1313</f>
        <v>0</v>
      </c>
      <c r="F1316" s="12">
        <f>[2]Trucks!E1313</f>
        <v>0</v>
      </c>
      <c r="G1316" s="56">
        <f>[2]Trucks!K1313</f>
        <v>0</v>
      </c>
      <c r="H1316" s="46">
        <f>[2]Trucks!I1313</f>
        <v>0</v>
      </c>
      <c r="I1316" s="83" t="str">
        <f t="shared" si="100"/>
        <v/>
      </c>
      <c r="J1316" s="272" t="str">
        <f>IFERROR(VLOOKUP((D1316&amp;C1316)&amp;"",'[2]Retail Price List'!$C$4:$F$102,3,FALSE),"")</f>
        <v/>
      </c>
      <c r="K1316" s="272">
        <f>IFERROR(IF(BA1316="WIP - 30 Days",VLOOKUP(D1316,[3]Standard!$B$9:$E$101,4,FALSE),IF(BA1316="31-120 Days",VLOOKUP(D1316,[3]Standard!$B$9:$F$101,5,FALSE),IF(BA1316="121-365 Days",VLOOKUP(D1316,[3]Standard!$B$9:$G$101,6,FALSE),VLOOKUP(D1316,[3]Standard!$B$9:$H$101,7,FALSE)))),0)</f>
        <v>0</v>
      </c>
      <c r="L1316" s="272">
        <f>IFERROR(IF(BA1316="WIP - 30 Days",VLOOKUP(D1316,[3]Standard!$B$9:$J$101,9,FALSE),IF(BA1316="31-120 Days",VLOOKUP(D1316,[3]Standard!$B$9:$K$100,10,FALSE),IF(BA1316="121-365 Days",VLOOKUP(D1316,[3]Standard!$B$9:$L$101,11,FALSE),VLOOKUP(D1316,[3]Standard!$B$9:$M$101,12,FALSE)))),0)</f>
        <v>0</v>
      </c>
      <c r="M1316" s="269" t="str">
        <f>IFERROR(VLOOKUP((D1316&amp;C1316)&amp;"",'[2]Retail Price List'!$C$4:$F$102,4,FALSE),"")</f>
        <v/>
      </c>
      <c r="N1316" s="269">
        <f>IFERROR(IF(BA1316="WIP - 30 Days",VLOOKUP(D1316,[3]Extended!$B$9:$E$101,4,FALSE),IF(BA1316="31-120 Days",VLOOKUP(D1316,[3]Extended!$B$9:$F$101,5,FALSE),IF(BA1316="121-365 Days",VLOOKUP(D1316,[3]Extended!$B$9:$G$101,6,FALSE),VLOOKUP(D1316,[3]Extended!$B$9:$H$101,7,FALSE)))),0)</f>
        <v>0</v>
      </c>
      <c r="O1316" s="269">
        <f>IFERROR(IF(BA1316="WIP - 30 Days",VLOOKUP(D1316,[3]Extended!$B$9:$J$101,9,FALSE),IF(BA1316="31-120 Days",VLOOKUP(D1316,[3]Extended!$B$9:$K$101,10,FALSE),IF(BA1316="121-365 Days",VLOOKUP(D1316,[3]Extended!$B$9:$L$101,11,FALSE),VLOOKUP(D1316,[3]Extended!$B$9:$M$101,12,FALSE)))),0)</f>
        <v>0</v>
      </c>
      <c r="P1316" s="116" t="e">
        <f t="shared" si="101"/>
        <v>#VALUE!</v>
      </c>
      <c r="Q1316" s="110" t="e">
        <f>O1316-#REF!</f>
        <v>#REF!</v>
      </c>
      <c r="W1316" s="310"/>
      <c r="X1316" s="310"/>
      <c r="Y1316" s="310"/>
      <c r="Z1316" s="310"/>
      <c r="AA1316" s="310"/>
      <c r="AB1316" s="310"/>
      <c r="AC1316" s="310"/>
      <c r="AT1316" s="88" t="str">
        <f t="shared" si="102"/>
        <v>Special Order0</v>
      </c>
      <c r="AU1316" s="89" t="str">
        <f t="shared" si="103"/>
        <v>01-1900</v>
      </c>
      <c r="BA1316" s="92" t="str">
        <f t="shared" si="104"/>
        <v/>
      </c>
    </row>
    <row r="1317" spans="2:53">
      <c r="B1317" s="60">
        <f>[2]Trucks!A1314</f>
        <v>0</v>
      </c>
      <c r="C1317" s="11">
        <f>[2]Trucks!B1314</f>
        <v>0</v>
      </c>
      <c r="D1317" s="19" t="str">
        <f>IFERROR(VLOOKUP(C1317&amp;"",'[2]Retail Price List'!$A$3:$B$103,2,FALSE),"Special Order")</f>
        <v>Special Order</v>
      </c>
      <c r="E1317" s="18">
        <f>[2]Trucks!J1314</f>
        <v>0</v>
      </c>
      <c r="F1317" s="12">
        <f>[2]Trucks!E1314</f>
        <v>0</v>
      </c>
      <c r="G1317" s="56">
        <f>[2]Trucks!K1314</f>
        <v>0</v>
      </c>
      <c r="H1317" s="46">
        <f>[2]Trucks!I1314</f>
        <v>0</v>
      </c>
      <c r="I1317" s="83" t="str">
        <f t="shared" si="100"/>
        <v/>
      </c>
      <c r="J1317" s="272" t="str">
        <f>IFERROR(VLOOKUP((D1317&amp;C1317)&amp;"",'[2]Retail Price List'!$C$4:$F$102,3,FALSE),"")</f>
        <v/>
      </c>
      <c r="K1317" s="272">
        <f>IFERROR(IF(BA1317="WIP - 30 Days",VLOOKUP(D1317,[3]Standard!$B$9:$E$101,4,FALSE),IF(BA1317="31-120 Days",VLOOKUP(D1317,[3]Standard!$B$9:$F$101,5,FALSE),IF(BA1317="121-365 Days",VLOOKUP(D1317,[3]Standard!$B$9:$G$101,6,FALSE),VLOOKUP(D1317,[3]Standard!$B$9:$H$101,7,FALSE)))),0)</f>
        <v>0</v>
      </c>
      <c r="L1317" s="272">
        <f>IFERROR(IF(BA1317="WIP - 30 Days",VLOOKUP(D1317,[3]Standard!$B$9:$J$101,9,FALSE),IF(BA1317="31-120 Days",VLOOKUP(D1317,[3]Standard!$B$9:$K$100,10,FALSE),IF(BA1317="121-365 Days",VLOOKUP(D1317,[3]Standard!$B$9:$L$101,11,FALSE),VLOOKUP(D1317,[3]Standard!$B$9:$M$101,12,FALSE)))),0)</f>
        <v>0</v>
      </c>
      <c r="M1317" s="269" t="str">
        <f>IFERROR(VLOOKUP((D1317&amp;C1317)&amp;"",'[2]Retail Price List'!$C$4:$F$102,4,FALSE),"")</f>
        <v/>
      </c>
      <c r="N1317" s="269">
        <f>IFERROR(IF(BA1317="WIP - 30 Days",VLOOKUP(D1317,[3]Extended!$B$9:$E$101,4,FALSE),IF(BA1317="31-120 Days",VLOOKUP(D1317,[3]Extended!$B$9:$F$101,5,FALSE),IF(BA1317="121-365 Days",VLOOKUP(D1317,[3]Extended!$B$9:$G$101,6,FALSE),VLOOKUP(D1317,[3]Extended!$B$9:$H$101,7,FALSE)))),0)</f>
        <v>0</v>
      </c>
      <c r="O1317" s="269">
        <f>IFERROR(IF(BA1317="WIP - 30 Days",VLOOKUP(D1317,[3]Extended!$B$9:$J$101,9,FALSE),IF(BA1317="31-120 Days",VLOOKUP(D1317,[3]Extended!$B$9:$K$101,10,FALSE),IF(BA1317="121-365 Days",VLOOKUP(D1317,[3]Extended!$B$9:$L$101,11,FALSE),VLOOKUP(D1317,[3]Extended!$B$9:$M$101,12,FALSE)))),0)</f>
        <v>0</v>
      </c>
      <c r="P1317" s="116" t="e">
        <f t="shared" si="101"/>
        <v>#VALUE!</v>
      </c>
      <c r="Q1317" s="110" t="e">
        <f>O1317-#REF!</f>
        <v>#REF!</v>
      </c>
      <c r="W1317" s="310"/>
      <c r="X1317" s="310"/>
      <c r="Y1317" s="310"/>
      <c r="Z1317" s="310"/>
      <c r="AA1317" s="310"/>
      <c r="AB1317" s="310"/>
      <c r="AC1317" s="310"/>
      <c r="AT1317" s="88" t="str">
        <f t="shared" si="102"/>
        <v>Special Order0</v>
      </c>
      <c r="AU1317" s="89" t="str">
        <f t="shared" si="103"/>
        <v>01-1900</v>
      </c>
      <c r="BA1317" s="92" t="str">
        <f t="shared" si="104"/>
        <v/>
      </c>
    </row>
    <row r="1318" spans="2:53">
      <c r="B1318" s="60">
        <f>[2]Trucks!A1315</f>
        <v>0</v>
      </c>
      <c r="C1318" s="11">
        <f>[2]Trucks!B1315</f>
        <v>0</v>
      </c>
      <c r="D1318" s="19" t="str">
        <f>IFERROR(VLOOKUP(C1318&amp;"",'[2]Retail Price List'!$A$3:$B$103,2,FALSE),"Special Order")</f>
        <v>Special Order</v>
      </c>
      <c r="E1318" s="18">
        <f>[2]Trucks!J1315</f>
        <v>0</v>
      </c>
      <c r="F1318" s="12">
        <f>[2]Trucks!E1315</f>
        <v>0</v>
      </c>
      <c r="G1318" s="56">
        <f>[2]Trucks!K1315</f>
        <v>0</v>
      </c>
      <c r="H1318" s="46">
        <f>[2]Trucks!I1315</f>
        <v>0</v>
      </c>
      <c r="I1318" s="83" t="str">
        <f t="shared" si="100"/>
        <v/>
      </c>
      <c r="J1318" s="272" t="str">
        <f>IFERROR(VLOOKUP((D1318&amp;C1318)&amp;"",'[2]Retail Price List'!$C$4:$F$102,3,FALSE),"")</f>
        <v/>
      </c>
      <c r="K1318" s="272">
        <f>IFERROR(IF(BA1318="WIP - 30 Days",VLOOKUP(D1318,[3]Standard!$B$9:$E$101,4,FALSE),IF(BA1318="31-120 Days",VLOOKUP(D1318,[3]Standard!$B$9:$F$101,5,FALSE),IF(BA1318="121-365 Days",VLOOKUP(D1318,[3]Standard!$B$9:$G$101,6,FALSE),VLOOKUP(D1318,[3]Standard!$B$9:$H$101,7,FALSE)))),0)</f>
        <v>0</v>
      </c>
      <c r="L1318" s="272">
        <f>IFERROR(IF(BA1318="WIP - 30 Days",VLOOKUP(D1318,[3]Standard!$B$9:$J$101,9,FALSE),IF(BA1318="31-120 Days",VLOOKUP(D1318,[3]Standard!$B$9:$K$100,10,FALSE),IF(BA1318="121-365 Days",VLOOKUP(D1318,[3]Standard!$B$9:$L$101,11,FALSE),VLOOKUP(D1318,[3]Standard!$B$9:$M$101,12,FALSE)))),0)</f>
        <v>0</v>
      </c>
      <c r="M1318" s="269" t="str">
        <f>IFERROR(VLOOKUP((D1318&amp;C1318)&amp;"",'[2]Retail Price List'!$C$4:$F$102,4,FALSE),"")</f>
        <v/>
      </c>
      <c r="N1318" s="269">
        <f>IFERROR(IF(BA1318="WIP - 30 Days",VLOOKUP(D1318,[3]Extended!$B$9:$E$101,4,FALSE),IF(BA1318="31-120 Days",VLOOKUP(D1318,[3]Extended!$B$9:$F$101,5,FALSE),IF(BA1318="121-365 Days",VLOOKUP(D1318,[3]Extended!$B$9:$G$101,6,FALSE),VLOOKUP(D1318,[3]Extended!$B$9:$H$101,7,FALSE)))),0)</f>
        <v>0</v>
      </c>
      <c r="O1318" s="269">
        <f>IFERROR(IF(BA1318="WIP - 30 Days",VLOOKUP(D1318,[3]Extended!$B$9:$J$101,9,FALSE),IF(BA1318="31-120 Days",VLOOKUP(D1318,[3]Extended!$B$9:$K$101,10,FALSE),IF(BA1318="121-365 Days",VLOOKUP(D1318,[3]Extended!$B$9:$L$101,11,FALSE),VLOOKUP(D1318,[3]Extended!$B$9:$M$101,12,FALSE)))),0)</f>
        <v>0</v>
      </c>
      <c r="P1318" s="116" t="e">
        <f t="shared" si="101"/>
        <v>#VALUE!</v>
      </c>
      <c r="Q1318" s="110" t="e">
        <f>O1318-#REF!</f>
        <v>#REF!</v>
      </c>
      <c r="W1318" s="310"/>
      <c r="X1318" s="310"/>
      <c r="Y1318" s="310"/>
      <c r="Z1318" s="310"/>
      <c r="AA1318" s="310"/>
      <c r="AB1318" s="310"/>
      <c r="AC1318" s="310"/>
      <c r="AT1318" s="88" t="str">
        <f t="shared" si="102"/>
        <v>Special Order0</v>
      </c>
      <c r="AU1318" s="89" t="str">
        <f t="shared" si="103"/>
        <v>01-1900</v>
      </c>
      <c r="BA1318" s="92" t="str">
        <f t="shared" si="104"/>
        <v/>
      </c>
    </row>
    <row r="1319" spans="2:53">
      <c r="B1319" s="60">
        <f>[2]Trucks!A1316</f>
        <v>0</v>
      </c>
      <c r="C1319" s="11">
        <f>[2]Trucks!B1316</f>
        <v>0</v>
      </c>
      <c r="D1319" s="19" t="str">
        <f>IFERROR(VLOOKUP(C1319&amp;"",'[2]Retail Price List'!$A$3:$B$103,2,FALSE),"Special Order")</f>
        <v>Special Order</v>
      </c>
      <c r="E1319" s="18">
        <f>[2]Trucks!J1316</f>
        <v>0</v>
      </c>
      <c r="F1319" s="12">
        <f>[2]Trucks!E1316</f>
        <v>0</v>
      </c>
      <c r="G1319" s="56">
        <f>[2]Trucks!K1316</f>
        <v>0</v>
      </c>
      <c r="H1319" s="46">
        <f>[2]Trucks!I1316</f>
        <v>0</v>
      </c>
      <c r="I1319" s="83" t="str">
        <f t="shared" si="100"/>
        <v/>
      </c>
      <c r="J1319" s="272" t="str">
        <f>IFERROR(VLOOKUP((D1319&amp;C1319)&amp;"",'[2]Retail Price List'!$C$4:$F$102,3,FALSE),"")</f>
        <v/>
      </c>
      <c r="K1319" s="272">
        <f>IFERROR(IF(BA1319="WIP - 30 Days",VLOOKUP(D1319,[3]Standard!$B$9:$E$101,4,FALSE),IF(BA1319="31-120 Days",VLOOKUP(D1319,[3]Standard!$B$9:$F$101,5,FALSE),IF(BA1319="121-365 Days",VLOOKUP(D1319,[3]Standard!$B$9:$G$101,6,FALSE),VLOOKUP(D1319,[3]Standard!$B$9:$H$101,7,FALSE)))),0)</f>
        <v>0</v>
      </c>
      <c r="L1319" s="272">
        <f>IFERROR(IF(BA1319="WIP - 30 Days",VLOOKUP(D1319,[3]Standard!$B$9:$J$101,9,FALSE),IF(BA1319="31-120 Days",VLOOKUP(D1319,[3]Standard!$B$9:$K$100,10,FALSE),IF(BA1319="121-365 Days",VLOOKUP(D1319,[3]Standard!$B$9:$L$101,11,FALSE),VLOOKUP(D1319,[3]Standard!$B$9:$M$101,12,FALSE)))),0)</f>
        <v>0</v>
      </c>
      <c r="M1319" s="269" t="str">
        <f>IFERROR(VLOOKUP((D1319&amp;C1319)&amp;"",'[2]Retail Price List'!$C$4:$F$102,4,FALSE),"")</f>
        <v/>
      </c>
      <c r="N1319" s="269">
        <f>IFERROR(IF(BA1319="WIP - 30 Days",VLOOKUP(D1319,[3]Extended!$B$9:$E$101,4,FALSE),IF(BA1319="31-120 Days",VLOOKUP(D1319,[3]Extended!$B$9:$F$101,5,FALSE),IF(BA1319="121-365 Days",VLOOKUP(D1319,[3]Extended!$B$9:$G$101,6,FALSE),VLOOKUP(D1319,[3]Extended!$B$9:$H$101,7,FALSE)))),0)</f>
        <v>0</v>
      </c>
      <c r="O1319" s="269">
        <f>IFERROR(IF(BA1319="WIP - 30 Days",VLOOKUP(D1319,[3]Extended!$B$9:$J$101,9,FALSE),IF(BA1319="31-120 Days",VLOOKUP(D1319,[3]Extended!$B$9:$K$101,10,FALSE),IF(BA1319="121-365 Days",VLOOKUP(D1319,[3]Extended!$B$9:$L$101,11,FALSE),VLOOKUP(D1319,[3]Extended!$B$9:$M$101,12,FALSE)))),0)</f>
        <v>0</v>
      </c>
      <c r="P1319" s="116" t="e">
        <f t="shared" si="101"/>
        <v>#VALUE!</v>
      </c>
      <c r="Q1319" s="110" t="e">
        <f>O1319-#REF!</f>
        <v>#REF!</v>
      </c>
      <c r="W1319" s="310"/>
      <c r="X1319" s="310"/>
      <c r="Y1319" s="310"/>
      <c r="Z1319" s="310"/>
      <c r="AA1319" s="310"/>
      <c r="AB1319" s="310"/>
      <c r="AC1319" s="310"/>
      <c r="AT1319" s="88" t="str">
        <f t="shared" si="102"/>
        <v>Special Order0</v>
      </c>
      <c r="AU1319" s="89" t="str">
        <f t="shared" si="103"/>
        <v>01-1900</v>
      </c>
      <c r="BA1319" s="92" t="str">
        <f t="shared" si="104"/>
        <v/>
      </c>
    </row>
    <row r="1320" spans="2:53">
      <c r="B1320" s="60">
        <f>[2]Trucks!A1317</f>
        <v>0</v>
      </c>
      <c r="C1320" s="11">
        <f>[2]Trucks!B1317</f>
        <v>0</v>
      </c>
      <c r="D1320" s="19" t="str">
        <f>IFERROR(VLOOKUP(C1320&amp;"",'[2]Retail Price List'!$A$3:$B$103,2,FALSE),"Special Order")</f>
        <v>Special Order</v>
      </c>
      <c r="E1320" s="18">
        <f>[2]Trucks!J1317</f>
        <v>0</v>
      </c>
      <c r="F1320" s="12">
        <f>[2]Trucks!E1317</f>
        <v>0</v>
      </c>
      <c r="G1320" s="56">
        <f>[2]Trucks!K1317</f>
        <v>0</v>
      </c>
      <c r="H1320" s="46">
        <f>[2]Trucks!I1317</f>
        <v>0</v>
      </c>
      <c r="I1320" s="83" t="str">
        <f t="shared" si="100"/>
        <v/>
      </c>
      <c r="J1320" s="272" t="str">
        <f>IFERROR(VLOOKUP((D1320&amp;C1320)&amp;"",'[2]Retail Price List'!$C$4:$F$102,3,FALSE),"")</f>
        <v/>
      </c>
      <c r="K1320" s="272">
        <f>IFERROR(IF(BA1320="WIP - 30 Days",VLOOKUP(D1320,[3]Standard!$B$9:$E$101,4,FALSE),IF(BA1320="31-120 Days",VLOOKUP(D1320,[3]Standard!$B$9:$F$101,5,FALSE),IF(BA1320="121-365 Days",VLOOKUP(D1320,[3]Standard!$B$9:$G$101,6,FALSE),VLOOKUP(D1320,[3]Standard!$B$9:$H$101,7,FALSE)))),0)</f>
        <v>0</v>
      </c>
      <c r="L1320" s="272">
        <f>IFERROR(IF(BA1320="WIP - 30 Days",VLOOKUP(D1320,[3]Standard!$B$9:$J$101,9,FALSE),IF(BA1320="31-120 Days",VLOOKUP(D1320,[3]Standard!$B$9:$K$100,10,FALSE),IF(BA1320="121-365 Days",VLOOKUP(D1320,[3]Standard!$B$9:$L$101,11,FALSE),VLOOKUP(D1320,[3]Standard!$B$9:$M$101,12,FALSE)))),0)</f>
        <v>0</v>
      </c>
      <c r="M1320" s="269" t="str">
        <f>IFERROR(VLOOKUP((D1320&amp;C1320)&amp;"",'[2]Retail Price List'!$C$4:$F$102,4,FALSE),"")</f>
        <v/>
      </c>
      <c r="N1320" s="269">
        <f>IFERROR(IF(BA1320="WIP - 30 Days",VLOOKUP(D1320,[3]Extended!$B$9:$E$101,4,FALSE),IF(BA1320="31-120 Days",VLOOKUP(D1320,[3]Extended!$B$9:$F$101,5,FALSE),IF(BA1320="121-365 Days",VLOOKUP(D1320,[3]Extended!$B$9:$G$101,6,FALSE),VLOOKUP(D1320,[3]Extended!$B$9:$H$101,7,FALSE)))),0)</f>
        <v>0</v>
      </c>
      <c r="O1320" s="269">
        <f>IFERROR(IF(BA1320="WIP - 30 Days",VLOOKUP(D1320,[3]Extended!$B$9:$J$101,9,FALSE),IF(BA1320="31-120 Days",VLOOKUP(D1320,[3]Extended!$B$9:$K$101,10,FALSE),IF(BA1320="121-365 Days",VLOOKUP(D1320,[3]Extended!$B$9:$L$101,11,FALSE),VLOOKUP(D1320,[3]Extended!$B$9:$M$101,12,FALSE)))),0)</f>
        <v>0</v>
      </c>
      <c r="P1320" s="116" t="e">
        <f t="shared" si="101"/>
        <v>#VALUE!</v>
      </c>
      <c r="Q1320" s="110" t="e">
        <f>O1320-#REF!</f>
        <v>#REF!</v>
      </c>
      <c r="W1320" s="310"/>
      <c r="X1320" s="310"/>
      <c r="Y1320" s="310"/>
      <c r="Z1320" s="310"/>
      <c r="AA1320" s="310"/>
      <c r="AB1320" s="310"/>
      <c r="AC1320" s="310"/>
      <c r="AT1320" s="88" t="str">
        <f t="shared" si="102"/>
        <v>Special Order0</v>
      </c>
      <c r="AU1320" s="89" t="str">
        <f t="shared" si="103"/>
        <v>01-1900</v>
      </c>
      <c r="BA1320" s="92" t="str">
        <f t="shared" si="104"/>
        <v/>
      </c>
    </row>
    <row r="1321" spans="2:53">
      <c r="B1321" s="60">
        <f>[2]Trucks!A1318</f>
        <v>0</v>
      </c>
      <c r="C1321" s="11">
        <f>[2]Trucks!B1318</f>
        <v>0</v>
      </c>
      <c r="D1321" s="19" t="str">
        <f>IFERROR(VLOOKUP(C1321&amp;"",'[2]Retail Price List'!$A$3:$B$103,2,FALSE),"Special Order")</f>
        <v>Special Order</v>
      </c>
      <c r="E1321" s="18">
        <f>[2]Trucks!J1318</f>
        <v>0</v>
      </c>
      <c r="F1321" s="12">
        <f>[2]Trucks!E1318</f>
        <v>0</v>
      </c>
      <c r="G1321" s="56">
        <f>[2]Trucks!K1318</f>
        <v>0</v>
      </c>
      <c r="H1321" s="46">
        <f>[2]Trucks!I1318</f>
        <v>0</v>
      </c>
      <c r="I1321" s="83" t="str">
        <f t="shared" si="100"/>
        <v/>
      </c>
      <c r="J1321" s="272" t="str">
        <f>IFERROR(VLOOKUP((D1321&amp;C1321)&amp;"",'[2]Retail Price List'!$C$4:$F$102,3,FALSE),"")</f>
        <v/>
      </c>
      <c r="K1321" s="272">
        <f>IFERROR(IF(BA1321="WIP - 30 Days",VLOOKUP(D1321,[3]Standard!$B$9:$E$101,4,FALSE),IF(BA1321="31-120 Days",VLOOKUP(D1321,[3]Standard!$B$9:$F$101,5,FALSE),IF(BA1321="121-365 Days",VLOOKUP(D1321,[3]Standard!$B$9:$G$101,6,FALSE),VLOOKUP(D1321,[3]Standard!$B$9:$H$101,7,FALSE)))),0)</f>
        <v>0</v>
      </c>
      <c r="L1321" s="272">
        <f>IFERROR(IF(BA1321="WIP - 30 Days",VLOOKUP(D1321,[3]Standard!$B$9:$J$101,9,FALSE),IF(BA1321="31-120 Days",VLOOKUP(D1321,[3]Standard!$B$9:$K$100,10,FALSE),IF(BA1321="121-365 Days",VLOOKUP(D1321,[3]Standard!$B$9:$L$101,11,FALSE),VLOOKUP(D1321,[3]Standard!$B$9:$M$101,12,FALSE)))),0)</f>
        <v>0</v>
      </c>
      <c r="M1321" s="269" t="str">
        <f>IFERROR(VLOOKUP((D1321&amp;C1321)&amp;"",'[2]Retail Price List'!$C$4:$F$102,4,FALSE),"")</f>
        <v/>
      </c>
      <c r="N1321" s="269">
        <f>IFERROR(IF(BA1321="WIP - 30 Days",VLOOKUP(D1321,[3]Extended!$B$9:$E$101,4,FALSE),IF(BA1321="31-120 Days",VLOOKUP(D1321,[3]Extended!$B$9:$F$101,5,FALSE),IF(BA1321="121-365 Days",VLOOKUP(D1321,[3]Extended!$B$9:$G$101,6,FALSE),VLOOKUP(D1321,[3]Extended!$B$9:$H$101,7,FALSE)))),0)</f>
        <v>0</v>
      </c>
      <c r="O1321" s="269">
        <f>IFERROR(IF(BA1321="WIP - 30 Days",VLOOKUP(D1321,[3]Extended!$B$9:$J$101,9,FALSE),IF(BA1321="31-120 Days",VLOOKUP(D1321,[3]Extended!$B$9:$K$101,10,FALSE),IF(BA1321="121-365 Days",VLOOKUP(D1321,[3]Extended!$B$9:$L$101,11,FALSE),VLOOKUP(D1321,[3]Extended!$B$9:$M$101,12,FALSE)))),0)</f>
        <v>0</v>
      </c>
      <c r="P1321" s="116" t="e">
        <f t="shared" si="101"/>
        <v>#VALUE!</v>
      </c>
      <c r="Q1321" s="110" t="e">
        <f>O1321-#REF!</f>
        <v>#REF!</v>
      </c>
      <c r="W1321" s="310"/>
      <c r="X1321" s="310"/>
      <c r="Y1321" s="310"/>
      <c r="Z1321" s="310"/>
      <c r="AA1321" s="310"/>
      <c r="AB1321" s="310"/>
      <c r="AC1321" s="310"/>
      <c r="AT1321" s="88" t="str">
        <f t="shared" si="102"/>
        <v>Special Order0</v>
      </c>
      <c r="AU1321" s="89" t="str">
        <f t="shared" si="103"/>
        <v>01-1900</v>
      </c>
      <c r="BA1321" s="92" t="str">
        <f t="shared" si="104"/>
        <v/>
      </c>
    </row>
    <row r="1322" spans="2:53">
      <c r="B1322" s="60">
        <f>[2]Trucks!A1319</f>
        <v>0</v>
      </c>
      <c r="C1322" s="11">
        <f>[2]Trucks!B1319</f>
        <v>0</v>
      </c>
      <c r="D1322" s="19" t="str">
        <f>IFERROR(VLOOKUP(C1322&amp;"",'[2]Retail Price List'!$A$3:$B$103,2,FALSE),"Special Order")</f>
        <v>Special Order</v>
      </c>
      <c r="E1322" s="18">
        <f>[2]Trucks!J1319</f>
        <v>0</v>
      </c>
      <c r="F1322" s="12">
        <f>[2]Trucks!E1319</f>
        <v>0</v>
      </c>
      <c r="G1322" s="56">
        <f>[2]Trucks!K1319</f>
        <v>0</v>
      </c>
      <c r="H1322" s="46">
        <f>[2]Trucks!I1319</f>
        <v>0</v>
      </c>
      <c r="I1322" s="83" t="str">
        <f t="shared" si="100"/>
        <v/>
      </c>
      <c r="J1322" s="272" t="str">
        <f>IFERROR(VLOOKUP((D1322&amp;C1322)&amp;"",'[2]Retail Price List'!$C$4:$F$102,3,FALSE),"")</f>
        <v/>
      </c>
      <c r="K1322" s="272">
        <f>IFERROR(IF(BA1322="WIP - 30 Days",VLOOKUP(D1322,[3]Standard!$B$9:$E$101,4,FALSE),IF(BA1322="31-120 Days",VLOOKUP(D1322,[3]Standard!$B$9:$F$101,5,FALSE),IF(BA1322="121-365 Days",VLOOKUP(D1322,[3]Standard!$B$9:$G$101,6,FALSE),VLOOKUP(D1322,[3]Standard!$B$9:$H$101,7,FALSE)))),0)</f>
        <v>0</v>
      </c>
      <c r="L1322" s="272">
        <f>IFERROR(IF(BA1322="WIP - 30 Days",VLOOKUP(D1322,[3]Standard!$B$9:$J$101,9,FALSE),IF(BA1322="31-120 Days",VLOOKUP(D1322,[3]Standard!$B$9:$K$100,10,FALSE),IF(BA1322="121-365 Days",VLOOKUP(D1322,[3]Standard!$B$9:$L$101,11,FALSE),VLOOKUP(D1322,[3]Standard!$B$9:$M$101,12,FALSE)))),0)</f>
        <v>0</v>
      </c>
      <c r="M1322" s="269" t="str">
        <f>IFERROR(VLOOKUP((D1322&amp;C1322)&amp;"",'[2]Retail Price List'!$C$4:$F$102,4,FALSE),"")</f>
        <v/>
      </c>
      <c r="N1322" s="269">
        <f>IFERROR(IF(BA1322="WIP - 30 Days",VLOOKUP(D1322,[3]Extended!$B$9:$E$101,4,FALSE),IF(BA1322="31-120 Days",VLOOKUP(D1322,[3]Extended!$B$9:$F$101,5,FALSE),IF(BA1322="121-365 Days",VLOOKUP(D1322,[3]Extended!$B$9:$G$101,6,FALSE),VLOOKUP(D1322,[3]Extended!$B$9:$H$101,7,FALSE)))),0)</f>
        <v>0</v>
      </c>
      <c r="O1322" s="269">
        <f>IFERROR(IF(BA1322="WIP - 30 Days",VLOOKUP(D1322,[3]Extended!$B$9:$J$101,9,FALSE),IF(BA1322="31-120 Days",VLOOKUP(D1322,[3]Extended!$B$9:$K$101,10,FALSE),IF(BA1322="121-365 Days",VLOOKUP(D1322,[3]Extended!$B$9:$L$101,11,FALSE),VLOOKUP(D1322,[3]Extended!$B$9:$M$101,12,FALSE)))),0)</f>
        <v>0</v>
      </c>
      <c r="P1322" s="116" t="e">
        <f t="shared" si="101"/>
        <v>#VALUE!</v>
      </c>
      <c r="Q1322" s="110" t="e">
        <f>O1322-#REF!</f>
        <v>#REF!</v>
      </c>
      <c r="W1322" s="310"/>
      <c r="X1322" s="310"/>
      <c r="Y1322" s="310"/>
      <c r="Z1322" s="310"/>
      <c r="AA1322" s="310"/>
      <c r="AB1322" s="310"/>
      <c r="AC1322" s="310"/>
      <c r="AT1322" s="88" t="str">
        <f t="shared" si="102"/>
        <v>Special Order0</v>
      </c>
      <c r="AU1322" s="89" t="str">
        <f t="shared" si="103"/>
        <v>01-1900</v>
      </c>
      <c r="BA1322" s="92" t="str">
        <f t="shared" si="104"/>
        <v/>
      </c>
    </row>
    <row r="1323" spans="2:53">
      <c r="B1323" s="60">
        <f>[2]Trucks!A1320</f>
        <v>0</v>
      </c>
      <c r="C1323" s="11">
        <f>[2]Trucks!B1320</f>
        <v>0</v>
      </c>
      <c r="D1323" s="19" t="str">
        <f>IFERROR(VLOOKUP(C1323&amp;"",'[2]Retail Price List'!$A$3:$B$103,2,FALSE),"Special Order")</f>
        <v>Special Order</v>
      </c>
      <c r="E1323" s="18">
        <f>[2]Trucks!J1320</f>
        <v>0</v>
      </c>
      <c r="F1323" s="12">
        <f>[2]Trucks!E1320</f>
        <v>0</v>
      </c>
      <c r="G1323" s="56">
        <f>[2]Trucks!K1320</f>
        <v>0</v>
      </c>
      <c r="H1323" s="46">
        <f>[2]Trucks!I1320</f>
        <v>0</v>
      </c>
      <c r="I1323" s="83" t="str">
        <f t="shared" si="100"/>
        <v/>
      </c>
      <c r="J1323" s="272" t="str">
        <f>IFERROR(VLOOKUP((D1323&amp;C1323)&amp;"",'[2]Retail Price List'!$C$4:$F$102,3,FALSE),"")</f>
        <v/>
      </c>
      <c r="K1323" s="272">
        <f>IFERROR(IF(BA1323="WIP - 30 Days",VLOOKUP(D1323,[3]Standard!$B$9:$E$101,4,FALSE),IF(BA1323="31-120 Days",VLOOKUP(D1323,[3]Standard!$B$9:$F$101,5,FALSE),IF(BA1323="121-365 Days",VLOOKUP(D1323,[3]Standard!$B$9:$G$101,6,FALSE),VLOOKUP(D1323,[3]Standard!$B$9:$H$101,7,FALSE)))),0)</f>
        <v>0</v>
      </c>
      <c r="L1323" s="272">
        <f>IFERROR(IF(BA1323="WIP - 30 Days",VLOOKUP(D1323,[3]Standard!$B$9:$J$101,9,FALSE),IF(BA1323="31-120 Days",VLOOKUP(D1323,[3]Standard!$B$9:$K$100,10,FALSE),IF(BA1323="121-365 Days",VLOOKUP(D1323,[3]Standard!$B$9:$L$101,11,FALSE),VLOOKUP(D1323,[3]Standard!$B$9:$M$101,12,FALSE)))),0)</f>
        <v>0</v>
      </c>
      <c r="M1323" s="269" t="str">
        <f>IFERROR(VLOOKUP((D1323&amp;C1323)&amp;"",'[2]Retail Price List'!$C$4:$F$102,4,FALSE),"")</f>
        <v/>
      </c>
      <c r="N1323" s="269">
        <f>IFERROR(IF(BA1323="WIP - 30 Days",VLOOKUP(D1323,[3]Extended!$B$9:$E$101,4,FALSE),IF(BA1323="31-120 Days",VLOOKUP(D1323,[3]Extended!$B$9:$F$101,5,FALSE),IF(BA1323="121-365 Days",VLOOKUP(D1323,[3]Extended!$B$9:$G$101,6,FALSE),VLOOKUP(D1323,[3]Extended!$B$9:$H$101,7,FALSE)))),0)</f>
        <v>0</v>
      </c>
      <c r="O1323" s="269">
        <f>IFERROR(IF(BA1323="WIP - 30 Days",VLOOKUP(D1323,[3]Extended!$B$9:$J$101,9,FALSE),IF(BA1323="31-120 Days",VLOOKUP(D1323,[3]Extended!$B$9:$K$101,10,FALSE),IF(BA1323="121-365 Days",VLOOKUP(D1323,[3]Extended!$B$9:$L$101,11,FALSE),VLOOKUP(D1323,[3]Extended!$B$9:$M$101,12,FALSE)))),0)</f>
        <v>0</v>
      </c>
      <c r="P1323" s="116" t="e">
        <f t="shared" si="101"/>
        <v>#VALUE!</v>
      </c>
      <c r="Q1323" s="110" t="e">
        <f>O1323-#REF!</f>
        <v>#REF!</v>
      </c>
      <c r="W1323" s="310"/>
      <c r="X1323" s="310"/>
      <c r="Y1323" s="310"/>
      <c r="Z1323" s="310"/>
      <c r="AA1323" s="310"/>
      <c r="AB1323" s="310"/>
      <c r="AC1323" s="310"/>
      <c r="AT1323" s="88" t="str">
        <f t="shared" si="102"/>
        <v>Special Order0</v>
      </c>
      <c r="AU1323" s="89" t="str">
        <f t="shared" si="103"/>
        <v>01-1900</v>
      </c>
      <c r="BA1323" s="92" t="str">
        <f t="shared" si="104"/>
        <v/>
      </c>
    </row>
    <row r="1324" spans="2:53">
      <c r="B1324" s="60">
        <f>[2]Trucks!A1321</f>
        <v>0</v>
      </c>
      <c r="C1324" s="11">
        <f>[2]Trucks!B1321</f>
        <v>0</v>
      </c>
      <c r="D1324" s="19" t="str">
        <f>IFERROR(VLOOKUP(C1324&amp;"",'[2]Retail Price List'!$A$3:$B$103,2,FALSE),"Special Order")</f>
        <v>Special Order</v>
      </c>
      <c r="E1324" s="18">
        <f>[2]Trucks!J1321</f>
        <v>0</v>
      </c>
      <c r="F1324" s="12">
        <f>[2]Trucks!E1321</f>
        <v>0</v>
      </c>
      <c r="G1324" s="56">
        <f>[2]Trucks!K1321</f>
        <v>0</v>
      </c>
      <c r="H1324" s="46">
        <f>[2]Trucks!I1321</f>
        <v>0</v>
      </c>
      <c r="I1324" s="83" t="str">
        <f t="shared" si="100"/>
        <v/>
      </c>
      <c r="J1324" s="272" t="str">
        <f>IFERROR(VLOOKUP((D1324&amp;C1324)&amp;"",'[2]Retail Price List'!$C$4:$F$102,3,FALSE),"")</f>
        <v/>
      </c>
      <c r="K1324" s="272">
        <f>IFERROR(IF(BA1324="WIP - 30 Days",VLOOKUP(D1324,[3]Standard!$B$9:$E$101,4,FALSE),IF(BA1324="31-120 Days",VLOOKUP(D1324,[3]Standard!$B$9:$F$101,5,FALSE),IF(BA1324="121-365 Days",VLOOKUP(D1324,[3]Standard!$B$9:$G$101,6,FALSE),VLOOKUP(D1324,[3]Standard!$B$9:$H$101,7,FALSE)))),0)</f>
        <v>0</v>
      </c>
      <c r="L1324" s="272">
        <f>IFERROR(IF(BA1324="WIP - 30 Days",VLOOKUP(D1324,[3]Standard!$B$9:$J$101,9,FALSE),IF(BA1324="31-120 Days",VLOOKUP(D1324,[3]Standard!$B$9:$K$100,10,FALSE),IF(BA1324="121-365 Days",VLOOKUP(D1324,[3]Standard!$B$9:$L$101,11,FALSE),VLOOKUP(D1324,[3]Standard!$B$9:$M$101,12,FALSE)))),0)</f>
        <v>0</v>
      </c>
      <c r="M1324" s="269" t="str">
        <f>IFERROR(VLOOKUP((D1324&amp;C1324)&amp;"",'[2]Retail Price List'!$C$4:$F$102,4,FALSE),"")</f>
        <v/>
      </c>
      <c r="N1324" s="269">
        <f>IFERROR(IF(BA1324="WIP - 30 Days",VLOOKUP(D1324,[3]Extended!$B$9:$E$101,4,FALSE),IF(BA1324="31-120 Days",VLOOKUP(D1324,[3]Extended!$B$9:$F$101,5,FALSE),IF(BA1324="121-365 Days",VLOOKUP(D1324,[3]Extended!$B$9:$G$101,6,FALSE),VLOOKUP(D1324,[3]Extended!$B$9:$H$101,7,FALSE)))),0)</f>
        <v>0</v>
      </c>
      <c r="O1324" s="269">
        <f>IFERROR(IF(BA1324="WIP - 30 Days",VLOOKUP(D1324,[3]Extended!$B$9:$J$101,9,FALSE),IF(BA1324="31-120 Days",VLOOKUP(D1324,[3]Extended!$B$9:$K$101,10,FALSE),IF(BA1324="121-365 Days",VLOOKUP(D1324,[3]Extended!$B$9:$L$101,11,FALSE),VLOOKUP(D1324,[3]Extended!$B$9:$M$101,12,FALSE)))),0)</f>
        <v>0</v>
      </c>
      <c r="P1324" s="116" t="e">
        <f t="shared" si="101"/>
        <v>#VALUE!</v>
      </c>
      <c r="Q1324" s="110" t="e">
        <f>O1324-#REF!</f>
        <v>#REF!</v>
      </c>
      <c r="W1324" s="310"/>
      <c r="X1324" s="310"/>
      <c r="Y1324" s="310"/>
      <c r="Z1324" s="310"/>
      <c r="AA1324" s="310"/>
      <c r="AB1324" s="310"/>
      <c r="AC1324" s="310"/>
      <c r="AT1324" s="88" t="str">
        <f t="shared" si="102"/>
        <v>Special Order0</v>
      </c>
      <c r="AU1324" s="89" t="str">
        <f t="shared" si="103"/>
        <v>01-1900</v>
      </c>
      <c r="BA1324" s="92" t="str">
        <f t="shared" si="104"/>
        <v/>
      </c>
    </row>
    <row r="1325" spans="2:53">
      <c r="B1325" s="60">
        <f>[2]Trucks!A1322</f>
        <v>0</v>
      </c>
      <c r="C1325" s="11">
        <f>[2]Trucks!B1322</f>
        <v>0</v>
      </c>
      <c r="D1325" s="19" t="str">
        <f>IFERROR(VLOOKUP(C1325&amp;"",'[2]Retail Price List'!$A$3:$B$103,2,FALSE),"Special Order")</f>
        <v>Special Order</v>
      </c>
      <c r="E1325" s="18">
        <f>[2]Trucks!J1322</f>
        <v>0</v>
      </c>
      <c r="F1325" s="12">
        <f>[2]Trucks!E1322</f>
        <v>0</v>
      </c>
      <c r="G1325" s="56">
        <f>[2]Trucks!K1322</f>
        <v>0</v>
      </c>
      <c r="H1325" s="46">
        <f>[2]Trucks!I1322</f>
        <v>0</v>
      </c>
      <c r="I1325" s="83" t="str">
        <f t="shared" si="100"/>
        <v/>
      </c>
      <c r="J1325" s="272" t="str">
        <f>IFERROR(VLOOKUP((D1325&amp;C1325)&amp;"",'[2]Retail Price List'!$C$4:$F$102,3,FALSE),"")</f>
        <v/>
      </c>
      <c r="K1325" s="272">
        <f>IFERROR(IF(BA1325="WIP - 30 Days",VLOOKUP(D1325,[3]Standard!$B$9:$E$101,4,FALSE),IF(BA1325="31-120 Days",VLOOKUP(D1325,[3]Standard!$B$9:$F$101,5,FALSE),IF(BA1325="121-365 Days",VLOOKUP(D1325,[3]Standard!$B$9:$G$101,6,FALSE),VLOOKUP(D1325,[3]Standard!$B$9:$H$101,7,FALSE)))),0)</f>
        <v>0</v>
      </c>
      <c r="L1325" s="272">
        <f>IFERROR(IF(BA1325="WIP - 30 Days",VLOOKUP(D1325,[3]Standard!$B$9:$J$101,9,FALSE),IF(BA1325="31-120 Days",VLOOKUP(D1325,[3]Standard!$B$9:$K$100,10,FALSE),IF(BA1325="121-365 Days",VLOOKUP(D1325,[3]Standard!$B$9:$L$101,11,FALSE),VLOOKUP(D1325,[3]Standard!$B$9:$M$101,12,FALSE)))),0)</f>
        <v>0</v>
      </c>
      <c r="M1325" s="269" t="str">
        <f>IFERROR(VLOOKUP((D1325&amp;C1325)&amp;"",'[2]Retail Price List'!$C$4:$F$102,4,FALSE),"")</f>
        <v/>
      </c>
      <c r="N1325" s="269">
        <f>IFERROR(IF(BA1325="WIP - 30 Days",VLOOKUP(D1325,[3]Extended!$B$9:$E$101,4,FALSE),IF(BA1325="31-120 Days",VLOOKUP(D1325,[3]Extended!$B$9:$F$101,5,FALSE),IF(BA1325="121-365 Days",VLOOKUP(D1325,[3]Extended!$B$9:$G$101,6,FALSE),VLOOKUP(D1325,[3]Extended!$B$9:$H$101,7,FALSE)))),0)</f>
        <v>0</v>
      </c>
      <c r="O1325" s="269">
        <f>IFERROR(IF(BA1325="WIP - 30 Days",VLOOKUP(D1325,[3]Extended!$B$9:$J$101,9,FALSE),IF(BA1325="31-120 Days",VLOOKUP(D1325,[3]Extended!$B$9:$K$101,10,FALSE),IF(BA1325="121-365 Days",VLOOKUP(D1325,[3]Extended!$B$9:$L$101,11,FALSE),VLOOKUP(D1325,[3]Extended!$B$9:$M$101,12,FALSE)))),0)</f>
        <v>0</v>
      </c>
      <c r="P1325" s="116" t="e">
        <f t="shared" si="101"/>
        <v>#VALUE!</v>
      </c>
      <c r="Q1325" s="110" t="e">
        <f>O1325-#REF!</f>
        <v>#REF!</v>
      </c>
      <c r="W1325" s="310"/>
      <c r="X1325" s="310"/>
      <c r="Y1325" s="310"/>
      <c r="Z1325" s="310"/>
      <c r="AA1325" s="310"/>
      <c r="AB1325" s="310"/>
      <c r="AC1325" s="310"/>
      <c r="AT1325" s="88" t="str">
        <f t="shared" si="102"/>
        <v>Special Order0</v>
      </c>
      <c r="AU1325" s="89" t="str">
        <f t="shared" si="103"/>
        <v>01-1900</v>
      </c>
      <c r="BA1325" s="92" t="str">
        <f t="shared" si="104"/>
        <v/>
      </c>
    </row>
    <row r="1326" spans="2:53">
      <c r="B1326" s="60">
        <f>[2]Trucks!A1323</f>
        <v>0</v>
      </c>
      <c r="C1326" s="11">
        <f>[2]Trucks!B1323</f>
        <v>0</v>
      </c>
      <c r="D1326" s="19" t="str">
        <f>IFERROR(VLOOKUP(C1326&amp;"",'[2]Retail Price List'!$A$3:$B$103,2,FALSE),"Special Order")</f>
        <v>Special Order</v>
      </c>
      <c r="E1326" s="18">
        <f>[2]Trucks!J1323</f>
        <v>0</v>
      </c>
      <c r="F1326" s="12">
        <f>[2]Trucks!E1323</f>
        <v>0</v>
      </c>
      <c r="G1326" s="56">
        <f>[2]Trucks!K1323</f>
        <v>0</v>
      </c>
      <c r="H1326" s="46">
        <f>[2]Trucks!I1323</f>
        <v>0</v>
      </c>
      <c r="I1326" s="83" t="str">
        <f t="shared" si="100"/>
        <v/>
      </c>
      <c r="J1326" s="272" t="str">
        <f>IFERROR(VLOOKUP((D1326&amp;C1326)&amp;"",'[2]Retail Price List'!$C$4:$F$102,3,FALSE),"")</f>
        <v/>
      </c>
      <c r="K1326" s="272">
        <f>IFERROR(IF(BA1326="WIP - 30 Days",VLOOKUP(D1326,[3]Standard!$B$9:$E$101,4,FALSE),IF(BA1326="31-120 Days",VLOOKUP(D1326,[3]Standard!$B$9:$F$101,5,FALSE),IF(BA1326="121-365 Days",VLOOKUP(D1326,[3]Standard!$B$9:$G$101,6,FALSE),VLOOKUP(D1326,[3]Standard!$B$9:$H$101,7,FALSE)))),0)</f>
        <v>0</v>
      </c>
      <c r="L1326" s="272">
        <f>IFERROR(IF(BA1326="WIP - 30 Days",VLOOKUP(D1326,[3]Standard!$B$9:$J$101,9,FALSE),IF(BA1326="31-120 Days",VLOOKUP(D1326,[3]Standard!$B$9:$K$100,10,FALSE),IF(BA1326="121-365 Days",VLOOKUP(D1326,[3]Standard!$B$9:$L$101,11,FALSE),VLOOKUP(D1326,[3]Standard!$B$9:$M$101,12,FALSE)))),0)</f>
        <v>0</v>
      </c>
      <c r="M1326" s="269" t="str">
        <f>IFERROR(VLOOKUP((D1326&amp;C1326)&amp;"",'[2]Retail Price List'!$C$4:$F$102,4,FALSE),"")</f>
        <v/>
      </c>
      <c r="N1326" s="269">
        <f>IFERROR(IF(BA1326="WIP - 30 Days",VLOOKUP(D1326,[3]Extended!$B$9:$E$101,4,FALSE),IF(BA1326="31-120 Days",VLOOKUP(D1326,[3]Extended!$B$9:$F$101,5,FALSE),IF(BA1326="121-365 Days",VLOOKUP(D1326,[3]Extended!$B$9:$G$101,6,FALSE),VLOOKUP(D1326,[3]Extended!$B$9:$H$101,7,FALSE)))),0)</f>
        <v>0</v>
      </c>
      <c r="O1326" s="269">
        <f>IFERROR(IF(BA1326="WIP - 30 Days",VLOOKUP(D1326,[3]Extended!$B$9:$J$101,9,FALSE),IF(BA1326="31-120 Days",VLOOKUP(D1326,[3]Extended!$B$9:$K$101,10,FALSE),IF(BA1326="121-365 Days",VLOOKUP(D1326,[3]Extended!$B$9:$L$101,11,FALSE),VLOOKUP(D1326,[3]Extended!$B$9:$M$101,12,FALSE)))),0)</f>
        <v>0</v>
      </c>
      <c r="P1326" s="116" t="e">
        <f t="shared" si="101"/>
        <v>#VALUE!</v>
      </c>
      <c r="Q1326" s="110" t="e">
        <f>O1326-#REF!</f>
        <v>#REF!</v>
      </c>
      <c r="W1326" s="310"/>
      <c r="X1326" s="310"/>
      <c r="Y1326" s="310"/>
      <c r="Z1326" s="310"/>
      <c r="AA1326" s="310"/>
      <c r="AB1326" s="310"/>
      <c r="AC1326" s="310"/>
      <c r="AT1326" s="88" t="str">
        <f t="shared" si="102"/>
        <v>Special Order0</v>
      </c>
      <c r="AU1326" s="89" t="str">
        <f t="shared" si="103"/>
        <v>01-1900</v>
      </c>
      <c r="BA1326" s="92" t="str">
        <f t="shared" si="104"/>
        <v/>
      </c>
    </row>
    <row r="1327" spans="2:53">
      <c r="B1327" s="60">
        <f>[2]Trucks!A1324</f>
        <v>0</v>
      </c>
      <c r="C1327" s="11">
        <f>[2]Trucks!B1324</f>
        <v>0</v>
      </c>
      <c r="D1327" s="19" t="str">
        <f>IFERROR(VLOOKUP(C1327&amp;"",'[2]Retail Price List'!$A$3:$B$103,2,FALSE),"Special Order")</f>
        <v>Special Order</v>
      </c>
      <c r="E1327" s="18">
        <f>[2]Trucks!J1324</f>
        <v>0</v>
      </c>
      <c r="F1327" s="12">
        <f>[2]Trucks!E1324</f>
        <v>0</v>
      </c>
      <c r="G1327" s="56">
        <f>[2]Trucks!K1324</f>
        <v>0</v>
      </c>
      <c r="H1327" s="46">
        <f>[2]Trucks!I1324</f>
        <v>0</v>
      </c>
      <c r="I1327" s="83" t="str">
        <f t="shared" si="100"/>
        <v/>
      </c>
      <c r="J1327" s="272" t="str">
        <f>IFERROR(VLOOKUP((D1327&amp;C1327)&amp;"",'[2]Retail Price List'!$C$4:$F$102,3,FALSE),"")</f>
        <v/>
      </c>
      <c r="K1327" s="272">
        <f>IFERROR(IF(BA1327="WIP - 30 Days",VLOOKUP(D1327,[3]Standard!$B$9:$E$101,4,FALSE),IF(BA1327="31-120 Days",VLOOKUP(D1327,[3]Standard!$B$9:$F$101,5,FALSE),IF(BA1327="121-365 Days",VLOOKUP(D1327,[3]Standard!$B$9:$G$101,6,FALSE),VLOOKUP(D1327,[3]Standard!$B$9:$H$101,7,FALSE)))),0)</f>
        <v>0</v>
      </c>
      <c r="L1327" s="272">
        <f>IFERROR(IF(BA1327="WIP - 30 Days",VLOOKUP(D1327,[3]Standard!$B$9:$J$101,9,FALSE),IF(BA1327="31-120 Days",VLOOKUP(D1327,[3]Standard!$B$9:$K$100,10,FALSE),IF(BA1327="121-365 Days",VLOOKUP(D1327,[3]Standard!$B$9:$L$101,11,FALSE),VLOOKUP(D1327,[3]Standard!$B$9:$M$101,12,FALSE)))),0)</f>
        <v>0</v>
      </c>
      <c r="M1327" s="269" t="str">
        <f>IFERROR(VLOOKUP((D1327&amp;C1327)&amp;"",'[2]Retail Price List'!$C$4:$F$102,4,FALSE),"")</f>
        <v/>
      </c>
      <c r="N1327" s="269">
        <f>IFERROR(IF(BA1327="WIP - 30 Days",VLOOKUP(D1327,[3]Extended!$B$9:$E$101,4,FALSE),IF(BA1327="31-120 Days",VLOOKUP(D1327,[3]Extended!$B$9:$F$101,5,FALSE),IF(BA1327="121-365 Days",VLOOKUP(D1327,[3]Extended!$B$9:$G$101,6,FALSE),VLOOKUP(D1327,[3]Extended!$B$9:$H$101,7,FALSE)))),0)</f>
        <v>0</v>
      </c>
      <c r="O1327" s="269">
        <f>IFERROR(IF(BA1327="WIP - 30 Days",VLOOKUP(D1327,[3]Extended!$B$9:$J$101,9,FALSE),IF(BA1327="31-120 Days",VLOOKUP(D1327,[3]Extended!$B$9:$K$101,10,FALSE),IF(BA1327="121-365 Days",VLOOKUP(D1327,[3]Extended!$B$9:$L$101,11,FALSE),VLOOKUP(D1327,[3]Extended!$B$9:$M$101,12,FALSE)))),0)</f>
        <v>0</v>
      </c>
      <c r="P1327" s="116" t="e">
        <f t="shared" si="101"/>
        <v>#VALUE!</v>
      </c>
      <c r="Q1327" s="110" t="e">
        <f>O1327-#REF!</f>
        <v>#REF!</v>
      </c>
      <c r="W1327" s="310"/>
      <c r="X1327" s="310"/>
      <c r="Y1327" s="310"/>
      <c r="Z1327" s="310"/>
      <c r="AA1327" s="310"/>
      <c r="AB1327" s="310"/>
      <c r="AC1327" s="310"/>
      <c r="AT1327" s="88" t="str">
        <f t="shared" si="102"/>
        <v>Special Order0</v>
      </c>
      <c r="AU1327" s="89" t="str">
        <f t="shared" si="103"/>
        <v>01-1900</v>
      </c>
      <c r="BA1327" s="92" t="str">
        <f t="shared" si="104"/>
        <v/>
      </c>
    </row>
    <row r="1328" spans="2:53">
      <c r="B1328" s="60">
        <f>[2]Trucks!A1325</f>
        <v>0</v>
      </c>
      <c r="C1328" s="11">
        <f>[2]Trucks!B1325</f>
        <v>0</v>
      </c>
      <c r="D1328" s="19" t="str">
        <f>IFERROR(VLOOKUP(C1328&amp;"",'[2]Retail Price List'!$A$3:$B$103,2,FALSE),"Special Order")</f>
        <v>Special Order</v>
      </c>
      <c r="E1328" s="18">
        <f>[2]Trucks!J1325</f>
        <v>0</v>
      </c>
      <c r="F1328" s="12">
        <f>[2]Trucks!E1325</f>
        <v>0</v>
      </c>
      <c r="G1328" s="56">
        <f>[2]Trucks!K1325</f>
        <v>0</v>
      </c>
      <c r="H1328" s="46">
        <f>[2]Trucks!I1325</f>
        <v>0</v>
      </c>
      <c r="I1328" s="83" t="str">
        <f t="shared" si="100"/>
        <v/>
      </c>
      <c r="J1328" s="272" t="str">
        <f>IFERROR(VLOOKUP((D1328&amp;C1328)&amp;"",'[2]Retail Price List'!$C$4:$F$102,3,FALSE),"")</f>
        <v/>
      </c>
      <c r="K1328" s="272">
        <f>IFERROR(IF(BA1328="WIP - 30 Days",VLOOKUP(D1328,[3]Standard!$B$9:$E$101,4,FALSE),IF(BA1328="31-120 Days",VLOOKUP(D1328,[3]Standard!$B$9:$F$101,5,FALSE),IF(BA1328="121-365 Days",VLOOKUP(D1328,[3]Standard!$B$9:$G$101,6,FALSE),VLOOKUP(D1328,[3]Standard!$B$9:$H$101,7,FALSE)))),0)</f>
        <v>0</v>
      </c>
      <c r="L1328" s="272">
        <f>IFERROR(IF(BA1328="WIP - 30 Days",VLOOKUP(D1328,[3]Standard!$B$9:$J$101,9,FALSE),IF(BA1328="31-120 Days",VLOOKUP(D1328,[3]Standard!$B$9:$K$100,10,FALSE),IF(BA1328="121-365 Days",VLOOKUP(D1328,[3]Standard!$B$9:$L$101,11,FALSE),VLOOKUP(D1328,[3]Standard!$B$9:$M$101,12,FALSE)))),0)</f>
        <v>0</v>
      </c>
      <c r="M1328" s="269" t="str">
        <f>IFERROR(VLOOKUP((D1328&amp;C1328)&amp;"",'[2]Retail Price List'!$C$4:$F$102,4,FALSE),"")</f>
        <v/>
      </c>
      <c r="N1328" s="269">
        <f>IFERROR(IF(BA1328="WIP - 30 Days",VLOOKUP(D1328,[3]Extended!$B$9:$E$101,4,FALSE),IF(BA1328="31-120 Days",VLOOKUP(D1328,[3]Extended!$B$9:$F$101,5,FALSE),IF(BA1328="121-365 Days",VLOOKUP(D1328,[3]Extended!$B$9:$G$101,6,FALSE),VLOOKUP(D1328,[3]Extended!$B$9:$H$101,7,FALSE)))),0)</f>
        <v>0</v>
      </c>
      <c r="O1328" s="269">
        <f>IFERROR(IF(BA1328="WIP - 30 Days",VLOOKUP(D1328,[3]Extended!$B$9:$J$101,9,FALSE),IF(BA1328="31-120 Days",VLOOKUP(D1328,[3]Extended!$B$9:$K$101,10,FALSE),IF(BA1328="121-365 Days",VLOOKUP(D1328,[3]Extended!$B$9:$L$101,11,FALSE),VLOOKUP(D1328,[3]Extended!$B$9:$M$101,12,FALSE)))),0)</f>
        <v>0</v>
      </c>
      <c r="P1328" s="116" t="e">
        <f t="shared" si="101"/>
        <v>#VALUE!</v>
      </c>
      <c r="Q1328" s="110" t="e">
        <f>O1328-#REF!</f>
        <v>#REF!</v>
      </c>
      <c r="W1328" s="310"/>
      <c r="X1328" s="310"/>
      <c r="Y1328" s="310"/>
      <c r="Z1328" s="310"/>
      <c r="AA1328" s="310"/>
      <c r="AB1328" s="310"/>
      <c r="AC1328" s="310"/>
      <c r="AT1328" s="88" t="str">
        <f t="shared" si="102"/>
        <v>Special Order0</v>
      </c>
      <c r="AU1328" s="89" t="str">
        <f t="shared" si="103"/>
        <v>01-1900</v>
      </c>
      <c r="BA1328" s="92" t="str">
        <f t="shared" si="104"/>
        <v/>
      </c>
    </row>
    <row r="1329" spans="2:53">
      <c r="B1329" s="60">
        <f>[2]Trucks!A1326</f>
        <v>0</v>
      </c>
      <c r="C1329" s="11">
        <f>[2]Trucks!B1326</f>
        <v>0</v>
      </c>
      <c r="D1329" s="19" t="str">
        <f>IFERROR(VLOOKUP(C1329&amp;"",'[2]Retail Price List'!$A$3:$B$103,2,FALSE),"Special Order")</f>
        <v>Special Order</v>
      </c>
      <c r="E1329" s="18">
        <f>[2]Trucks!J1326</f>
        <v>0</v>
      </c>
      <c r="F1329" s="12">
        <f>[2]Trucks!E1326</f>
        <v>0</v>
      </c>
      <c r="G1329" s="56">
        <f>[2]Trucks!K1326</f>
        <v>0</v>
      </c>
      <c r="H1329" s="46">
        <f>[2]Trucks!I1326</f>
        <v>0</v>
      </c>
      <c r="I1329" s="83" t="str">
        <f t="shared" si="100"/>
        <v/>
      </c>
      <c r="J1329" s="272" t="str">
        <f>IFERROR(VLOOKUP((D1329&amp;C1329)&amp;"",'[2]Retail Price List'!$C$4:$F$102,3,FALSE),"")</f>
        <v/>
      </c>
      <c r="K1329" s="272">
        <f>IFERROR(IF(BA1329="WIP - 30 Days",VLOOKUP(D1329,[3]Standard!$B$9:$E$101,4,FALSE),IF(BA1329="31-120 Days",VLOOKUP(D1329,[3]Standard!$B$9:$F$101,5,FALSE),IF(BA1329="121-365 Days",VLOOKUP(D1329,[3]Standard!$B$9:$G$101,6,FALSE),VLOOKUP(D1329,[3]Standard!$B$9:$H$101,7,FALSE)))),0)</f>
        <v>0</v>
      </c>
      <c r="L1329" s="272">
        <f>IFERROR(IF(BA1329="WIP - 30 Days",VLOOKUP(D1329,[3]Standard!$B$9:$J$101,9,FALSE),IF(BA1329="31-120 Days",VLOOKUP(D1329,[3]Standard!$B$9:$K$100,10,FALSE),IF(BA1329="121-365 Days",VLOOKUP(D1329,[3]Standard!$B$9:$L$101,11,FALSE),VLOOKUP(D1329,[3]Standard!$B$9:$M$101,12,FALSE)))),0)</f>
        <v>0</v>
      </c>
      <c r="M1329" s="269" t="str">
        <f>IFERROR(VLOOKUP((D1329&amp;C1329)&amp;"",'[2]Retail Price List'!$C$4:$F$102,4,FALSE),"")</f>
        <v/>
      </c>
      <c r="N1329" s="269">
        <f>IFERROR(IF(BA1329="WIP - 30 Days",VLOOKUP(D1329,[3]Extended!$B$9:$E$101,4,FALSE),IF(BA1329="31-120 Days",VLOOKUP(D1329,[3]Extended!$B$9:$F$101,5,FALSE),IF(BA1329="121-365 Days",VLOOKUP(D1329,[3]Extended!$B$9:$G$101,6,FALSE),VLOOKUP(D1329,[3]Extended!$B$9:$H$101,7,FALSE)))),0)</f>
        <v>0</v>
      </c>
      <c r="O1329" s="269">
        <f>IFERROR(IF(BA1329="WIP - 30 Days",VLOOKUP(D1329,[3]Extended!$B$9:$J$101,9,FALSE),IF(BA1329="31-120 Days",VLOOKUP(D1329,[3]Extended!$B$9:$K$101,10,FALSE),IF(BA1329="121-365 Days",VLOOKUP(D1329,[3]Extended!$B$9:$L$101,11,FALSE),VLOOKUP(D1329,[3]Extended!$B$9:$M$101,12,FALSE)))),0)</f>
        <v>0</v>
      </c>
      <c r="P1329" s="116" t="e">
        <f t="shared" si="101"/>
        <v>#VALUE!</v>
      </c>
      <c r="Q1329" s="110" t="e">
        <f>O1329-#REF!</f>
        <v>#REF!</v>
      </c>
      <c r="W1329" s="310"/>
      <c r="X1329" s="310"/>
      <c r="Y1329" s="310"/>
      <c r="Z1329" s="310"/>
      <c r="AA1329" s="310"/>
      <c r="AB1329" s="310"/>
      <c r="AC1329" s="310"/>
      <c r="AT1329" s="88" t="str">
        <f t="shared" si="102"/>
        <v>Special Order0</v>
      </c>
      <c r="AU1329" s="89" t="str">
        <f t="shared" si="103"/>
        <v>01-1900</v>
      </c>
      <c r="BA1329" s="92" t="str">
        <f t="shared" si="104"/>
        <v/>
      </c>
    </row>
    <row r="1330" spans="2:53">
      <c r="B1330" s="60">
        <f>[2]Trucks!A1327</f>
        <v>0</v>
      </c>
      <c r="C1330" s="11">
        <f>[2]Trucks!B1327</f>
        <v>0</v>
      </c>
      <c r="D1330" s="19" t="str">
        <f>IFERROR(VLOOKUP(C1330&amp;"",'[2]Retail Price List'!$A$3:$B$103,2,FALSE),"Special Order")</f>
        <v>Special Order</v>
      </c>
      <c r="E1330" s="18">
        <f>[2]Trucks!J1327</f>
        <v>0</v>
      </c>
      <c r="F1330" s="12">
        <f>[2]Trucks!E1327</f>
        <v>0</v>
      </c>
      <c r="G1330" s="56">
        <f>[2]Trucks!K1327</f>
        <v>0</v>
      </c>
      <c r="H1330" s="46">
        <f>[2]Trucks!I1327</f>
        <v>0</v>
      </c>
      <c r="I1330" s="83" t="str">
        <f t="shared" si="100"/>
        <v/>
      </c>
      <c r="J1330" s="272" t="str">
        <f>IFERROR(VLOOKUP((D1330&amp;C1330)&amp;"",'[2]Retail Price List'!$C$4:$F$102,3,FALSE),"")</f>
        <v/>
      </c>
      <c r="K1330" s="272">
        <f>IFERROR(IF(BA1330="WIP - 30 Days",VLOOKUP(D1330,[3]Standard!$B$9:$E$101,4,FALSE),IF(BA1330="31-120 Days",VLOOKUP(D1330,[3]Standard!$B$9:$F$101,5,FALSE),IF(BA1330="121-365 Days",VLOOKUP(D1330,[3]Standard!$B$9:$G$101,6,FALSE),VLOOKUP(D1330,[3]Standard!$B$9:$H$101,7,FALSE)))),0)</f>
        <v>0</v>
      </c>
      <c r="L1330" s="272">
        <f>IFERROR(IF(BA1330="WIP - 30 Days",VLOOKUP(D1330,[3]Standard!$B$9:$J$101,9,FALSE),IF(BA1330="31-120 Days",VLOOKUP(D1330,[3]Standard!$B$9:$K$100,10,FALSE),IF(BA1330="121-365 Days",VLOOKUP(D1330,[3]Standard!$B$9:$L$101,11,FALSE),VLOOKUP(D1330,[3]Standard!$B$9:$M$101,12,FALSE)))),0)</f>
        <v>0</v>
      </c>
      <c r="M1330" s="269" t="str">
        <f>IFERROR(VLOOKUP((D1330&amp;C1330)&amp;"",'[2]Retail Price List'!$C$4:$F$102,4,FALSE),"")</f>
        <v/>
      </c>
      <c r="N1330" s="269">
        <f>IFERROR(IF(BA1330="WIP - 30 Days",VLOOKUP(D1330,[3]Extended!$B$9:$E$101,4,FALSE),IF(BA1330="31-120 Days",VLOOKUP(D1330,[3]Extended!$B$9:$F$101,5,FALSE),IF(BA1330="121-365 Days",VLOOKUP(D1330,[3]Extended!$B$9:$G$101,6,FALSE),VLOOKUP(D1330,[3]Extended!$B$9:$H$101,7,FALSE)))),0)</f>
        <v>0</v>
      </c>
      <c r="O1330" s="269">
        <f>IFERROR(IF(BA1330="WIP - 30 Days",VLOOKUP(D1330,[3]Extended!$B$9:$J$101,9,FALSE),IF(BA1330="31-120 Days",VLOOKUP(D1330,[3]Extended!$B$9:$K$101,10,FALSE),IF(BA1330="121-365 Days",VLOOKUP(D1330,[3]Extended!$B$9:$L$101,11,FALSE),VLOOKUP(D1330,[3]Extended!$B$9:$M$101,12,FALSE)))),0)</f>
        <v>0</v>
      </c>
      <c r="P1330" s="116" t="e">
        <f t="shared" si="101"/>
        <v>#VALUE!</v>
      </c>
      <c r="Q1330" s="110" t="e">
        <f>O1330-#REF!</f>
        <v>#REF!</v>
      </c>
      <c r="W1330" s="310"/>
      <c r="X1330" s="310"/>
      <c r="Y1330" s="310"/>
      <c r="Z1330" s="310"/>
      <c r="AA1330" s="310"/>
      <c r="AB1330" s="310"/>
      <c r="AC1330" s="310"/>
      <c r="AT1330" s="88" t="str">
        <f t="shared" si="102"/>
        <v>Special Order0</v>
      </c>
      <c r="AU1330" s="89" t="str">
        <f t="shared" si="103"/>
        <v>01-1900</v>
      </c>
      <c r="BA1330" s="92" t="str">
        <f t="shared" si="104"/>
        <v/>
      </c>
    </row>
    <row r="1331" spans="2:53">
      <c r="B1331" s="60">
        <f>[2]Trucks!A1328</f>
        <v>0</v>
      </c>
      <c r="C1331" s="11">
        <f>[2]Trucks!B1328</f>
        <v>0</v>
      </c>
      <c r="D1331" s="19" t="str">
        <f>IFERROR(VLOOKUP(C1331&amp;"",'[2]Retail Price List'!$A$3:$B$103,2,FALSE),"Special Order")</f>
        <v>Special Order</v>
      </c>
      <c r="E1331" s="18">
        <f>[2]Trucks!J1328</f>
        <v>0</v>
      </c>
      <c r="F1331" s="12">
        <f>[2]Trucks!E1328</f>
        <v>0</v>
      </c>
      <c r="G1331" s="56">
        <f>[2]Trucks!K1328</f>
        <v>0</v>
      </c>
      <c r="H1331" s="46">
        <f>[2]Trucks!I1328</f>
        <v>0</v>
      </c>
      <c r="I1331" s="83" t="str">
        <f t="shared" si="100"/>
        <v/>
      </c>
      <c r="J1331" s="272" t="str">
        <f>IFERROR(VLOOKUP((D1331&amp;C1331)&amp;"",'[2]Retail Price List'!$C$4:$F$102,3,FALSE),"")</f>
        <v/>
      </c>
      <c r="K1331" s="272">
        <f>IFERROR(IF(BA1331="WIP - 30 Days",VLOOKUP(D1331,[3]Standard!$B$9:$E$101,4,FALSE),IF(BA1331="31-120 Days",VLOOKUP(D1331,[3]Standard!$B$9:$F$101,5,FALSE),IF(BA1331="121-365 Days",VLOOKUP(D1331,[3]Standard!$B$9:$G$101,6,FALSE),VLOOKUP(D1331,[3]Standard!$B$9:$H$101,7,FALSE)))),0)</f>
        <v>0</v>
      </c>
      <c r="L1331" s="272">
        <f>IFERROR(IF(BA1331="WIP - 30 Days",VLOOKUP(D1331,[3]Standard!$B$9:$J$101,9,FALSE),IF(BA1331="31-120 Days",VLOOKUP(D1331,[3]Standard!$B$9:$K$100,10,FALSE),IF(BA1331="121-365 Days",VLOOKUP(D1331,[3]Standard!$B$9:$L$101,11,FALSE),VLOOKUP(D1331,[3]Standard!$B$9:$M$101,12,FALSE)))),0)</f>
        <v>0</v>
      </c>
      <c r="M1331" s="269" t="str">
        <f>IFERROR(VLOOKUP((D1331&amp;C1331)&amp;"",'[2]Retail Price List'!$C$4:$F$102,4,FALSE),"")</f>
        <v/>
      </c>
      <c r="N1331" s="269">
        <f>IFERROR(IF(BA1331="WIP - 30 Days",VLOOKUP(D1331,[3]Extended!$B$9:$E$101,4,FALSE),IF(BA1331="31-120 Days",VLOOKUP(D1331,[3]Extended!$B$9:$F$101,5,FALSE),IF(BA1331="121-365 Days",VLOOKUP(D1331,[3]Extended!$B$9:$G$101,6,FALSE),VLOOKUP(D1331,[3]Extended!$B$9:$H$101,7,FALSE)))),0)</f>
        <v>0</v>
      </c>
      <c r="O1331" s="269">
        <f>IFERROR(IF(BA1331="WIP - 30 Days",VLOOKUP(D1331,[3]Extended!$B$9:$J$101,9,FALSE),IF(BA1331="31-120 Days",VLOOKUP(D1331,[3]Extended!$B$9:$K$101,10,FALSE),IF(BA1331="121-365 Days",VLOOKUP(D1331,[3]Extended!$B$9:$L$101,11,FALSE),VLOOKUP(D1331,[3]Extended!$B$9:$M$101,12,FALSE)))),0)</f>
        <v>0</v>
      </c>
      <c r="P1331" s="116" t="e">
        <f t="shared" si="101"/>
        <v>#VALUE!</v>
      </c>
      <c r="Q1331" s="110" t="e">
        <f>O1331-#REF!</f>
        <v>#REF!</v>
      </c>
      <c r="W1331" s="310"/>
      <c r="X1331" s="310"/>
      <c r="Y1331" s="310"/>
      <c r="Z1331" s="310"/>
      <c r="AA1331" s="310"/>
      <c r="AB1331" s="310"/>
      <c r="AC1331" s="310"/>
      <c r="AT1331" s="88" t="str">
        <f t="shared" si="102"/>
        <v>Special Order0</v>
      </c>
      <c r="AU1331" s="89" t="str">
        <f t="shared" si="103"/>
        <v>01-1900</v>
      </c>
      <c r="BA1331" s="92" t="str">
        <f t="shared" si="104"/>
        <v/>
      </c>
    </row>
    <row r="1332" spans="2:53">
      <c r="B1332" s="60">
        <f>[2]Trucks!A1329</f>
        <v>0</v>
      </c>
      <c r="C1332" s="11">
        <f>[2]Trucks!B1329</f>
        <v>0</v>
      </c>
      <c r="D1332" s="19" t="str">
        <f>IFERROR(VLOOKUP(C1332&amp;"",'[2]Retail Price List'!$A$3:$B$103,2,FALSE),"Special Order")</f>
        <v>Special Order</v>
      </c>
      <c r="E1332" s="18">
        <f>[2]Trucks!J1329</f>
        <v>0</v>
      </c>
      <c r="F1332" s="12">
        <f>[2]Trucks!E1329</f>
        <v>0</v>
      </c>
      <c r="G1332" s="56">
        <f>[2]Trucks!K1329</f>
        <v>0</v>
      </c>
      <c r="H1332" s="46">
        <f>[2]Trucks!I1329</f>
        <v>0</v>
      </c>
      <c r="I1332" s="83" t="str">
        <f t="shared" si="100"/>
        <v/>
      </c>
      <c r="J1332" s="272" t="str">
        <f>IFERROR(VLOOKUP((D1332&amp;C1332)&amp;"",'[2]Retail Price List'!$C$4:$F$102,3,FALSE),"")</f>
        <v/>
      </c>
      <c r="K1332" s="272">
        <f>IFERROR(IF(BA1332="WIP - 30 Days",VLOOKUP(D1332,[3]Standard!$B$9:$E$101,4,FALSE),IF(BA1332="31-120 Days",VLOOKUP(D1332,[3]Standard!$B$9:$F$101,5,FALSE),IF(BA1332="121-365 Days",VLOOKUP(D1332,[3]Standard!$B$9:$G$101,6,FALSE),VLOOKUP(D1332,[3]Standard!$B$9:$H$101,7,FALSE)))),0)</f>
        <v>0</v>
      </c>
      <c r="L1332" s="272">
        <f>IFERROR(IF(BA1332="WIP - 30 Days",VLOOKUP(D1332,[3]Standard!$B$9:$J$101,9,FALSE),IF(BA1332="31-120 Days",VLOOKUP(D1332,[3]Standard!$B$9:$K$100,10,FALSE),IF(BA1332="121-365 Days",VLOOKUP(D1332,[3]Standard!$B$9:$L$101,11,FALSE),VLOOKUP(D1332,[3]Standard!$B$9:$M$101,12,FALSE)))),0)</f>
        <v>0</v>
      </c>
      <c r="M1332" s="269" t="str">
        <f>IFERROR(VLOOKUP((D1332&amp;C1332)&amp;"",'[2]Retail Price List'!$C$4:$F$102,4,FALSE),"")</f>
        <v/>
      </c>
      <c r="N1332" s="269">
        <f>IFERROR(IF(BA1332="WIP - 30 Days",VLOOKUP(D1332,[3]Extended!$B$9:$E$101,4,FALSE),IF(BA1332="31-120 Days",VLOOKUP(D1332,[3]Extended!$B$9:$F$101,5,FALSE),IF(BA1332="121-365 Days",VLOOKUP(D1332,[3]Extended!$B$9:$G$101,6,FALSE),VLOOKUP(D1332,[3]Extended!$B$9:$H$101,7,FALSE)))),0)</f>
        <v>0</v>
      </c>
      <c r="O1332" s="269">
        <f>IFERROR(IF(BA1332="WIP - 30 Days",VLOOKUP(D1332,[3]Extended!$B$9:$J$101,9,FALSE),IF(BA1332="31-120 Days",VLOOKUP(D1332,[3]Extended!$B$9:$K$101,10,FALSE),IF(BA1332="121-365 Days",VLOOKUP(D1332,[3]Extended!$B$9:$L$101,11,FALSE),VLOOKUP(D1332,[3]Extended!$B$9:$M$101,12,FALSE)))),0)</f>
        <v>0</v>
      </c>
      <c r="P1332" s="116" t="e">
        <f t="shared" si="101"/>
        <v>#VALUE!</v>
      </c>
      <c r="Q1332" s="110" t="e">
        <f>O1332-#REF!</f>
        <v>#REF!</v>
      </c>
      <c r="W1332" s="310"/>
      <c r="X1332" s="310"/>
      <c r="Y1332" s="310"/>
      <c r="Z1332" s="310"/>
      <c r="AA1332" s="310"/>
      <c r="AB1332" s="310"/>
      <c r="AC1332" s="310"/>
      <c r="AT1332" s="88" t="str">
        <f t="shared" si="102"/>
        <v>Special Order0</v>
      </c>
      <c r="AU1332" s="89" t="str">
        <f t="shared" si="103"/>
        <v>01-1900</v>
      </c>
      <c r="BA1332" s="92" t="str">
        <f t="shared" si="104"/>
        <v/>
      </c>
    </row>
    <row r="1333" spans="2:53">
      <c r="B1333" s="60">
        <f>[2]Trucks!A1330</f>
        <v>0</v>
      </c>
      <c r="C1333" s="11">
        <f>[2]Trucks!B1330</f>
        <v>0</v>
      </c>
      <c r="D1333" s="19" t="str">
        <f>IFERROR(VLOOKUP(C1333&amp;"",'[2]Retail Price List'!$A$3:$B$103,2,FALSE),"Special Order")</f>
        <v>Special Order</v>
      </c>
      <c r="E1333" s="18">
        <f>[2]Trucks!J1330</f>
        <v>0</v>
      </c>
      <c r="F1333" s="12">
        <f>[2]Trucks!E1330</f>
        <v>0</v>
      </c>
      <c r="G1333" s="56">
        <f>[2]Trucks!K1330</f>
        <v>0</v>
      </c>
      <c r="H1333" s="46">
        <f>[2]Trucks!I1330</f>
        <v>0</v>
      </c>
      <c r="I1333" s="83" t="str">
        <f t="shared" si="100"/>
        <v/>
      </c>
      <c r="J1333" s="272" t="str">
        <f>IFERROR(VLOOKUP((D1333&amp;C1333)&amp;"",'[2]Retail Price List'!$C$4:$F$102,3,FALSE),"")</f>
        <v/>
      </c>
      <c r="K1333" s="272">
        <f>IFERROR(IF(BA1333="WIP - 30 Days",VLOOKUP(D1333,[3]Standard!$B$9:$E$101,4,FALSE),IF(BA1333="31-120 Days",VLOOKUP(D1333,[3]Standard!$B$9:$F$101,5,FALSE),IF(BA1333="121-365 Days",VLOOKUP(D1333,[3]Standard!$B$9:$G$101,6,FALSE),VLOOKUP(D1333,[3]Standard!$B$9:$H$101,7,FALSE)))),0)</f>
        <v>0</v>
      </c>
      <c r="L1333" s="272">
        <f>IFERROR(IF(BA1333="WIP - 30 Days",VLOOKUP(D1333,[3]Standard!$B$9:$J$101,9,FALSE),IF(BA1333="31-120 Days",VLOOKUP(D1333,[3]Standard!$B$9:$K$100,10,FALSE),IF(BA1333="121-365 Days",VLOOKUP(D1333,[3]Standard!$B$9:$L$101,11,FALSE),VLOOKUP(D1333,[3]Standard!$B$9:$M$101,12,FALSE)))),0)</f>
        <v>0</v>
      </c>
      <c r="M1333" s="269" t="str">
        <f>IFERROR(VLOOKUP((D1333&amp;C1333)&amp;"",'[2]Retail Price List'!$C$4:$F$102,4,FALSE),"")</f>
        <v/>
      </c>
      <c r="N1333" s="269">
        <f>IFERROR(IF(BA1333="WIP - 30 Days",VLOOKUP(D1333,[3]Extended!$B$9:$E$101,4,FALSE),IF(BA1333="31-120 Days",VLOOKUP(D1333,[3]Extended!$B$9:$F$101,5,FALSE),IF(BA1333="121-365 Days",VLOOKUP(D1333,[3]Extended!$B$9:$G$101,6,FALSE),VLOOKUP(D1333,[3]Extended!$B$9:$H$101,7,FALSE)))),0)</f>
        <v>0</v>
      </c>
      <c r="O1333" s="269">
        <f>IFERROR(IF(BA1333="WIP - 30 Days",VLOOKUP(D1333,[3]Extended!$B$9:$J$101,9,FALSE),IF(BA1333="31-120 Days",VLOOKUP(D1333,[3]Extended!$B$9:$K$101,10,FALSE),IF(BA1333="121-365 Days",VLOOKUP(D1333,[3]Extended!$B$9:$L$101,11,FALSE),VLOOKUP(D1333,[3]Extended!$B$9:$M$101,12,FALSE)))),0)</f>
        <v>0</v>
      </c>
      <c r="P1333" s="116" t="e">
        <f t="shared" si="101"/>
        <v>#VALUE!</v>
      </c>
      <c r="Q1333" s="110" t="e">
        <f>O1333-#REF!</f>
        <v>#REF!</v>
      </c>
      <c r="W1333" s="310"/>
      <c r="X1333" s="310"/>
      <c r="Y1333" s="310"/>
      <c r="Z1333" s="310"/>
      <c r="AA1333" s="310"/>
      <c r="AB1333" s="310"/>
      <c r="AC1333" s="310"/>
      <c r="AT1333" s="88" t="str">
        <f t="shared" si="102"/>
        <v>Special Order0</v>
      </c>
      <c r="AU1333" s="89" t="str">
        <f t="shared" si="103"/>
        <v>01-1900</v>
      </c>
      <c r="BA1333" s="92" t="str">
        <f t="shared" si="104"/>
        <v/>
      </c>
    </row>
    <row r="1334" spans="2:53">
      <c r="B1334" s="60">
        <f>[2]Trucks!A1331</f>
        <v>0</v>
      </c>
      <c r="C1334" s="11">
        <f>[2]Trucks!B1331</f>
        <v>0</v>
      </c>
      <c r="D1334" s="19" t="str">
        <f>IFERROR(VLOOKUP(C1334&amp;"",'[2]Retail Price List'!$A$3:$B$103,2,FALSE),"Special Order")</f>
        <v>Special Order</v>
      </c>
      <c r="E1334" s="18">
        <f>[2]Trucks!J1331</f>
        <v>0</v>
      </c>
      <c r="F1334" s="12">
        <f>[2]Trucks!E1331</f>
        <v>0</v>
      </c>
      <c r="G1334" s="56">
        <f>[2]Trucks!K1331</f>
        <v>0</v>
      </c>
      <c r="H1334" s="46">
        <f>[2]Trucks!I1331</f>
        <v>0</v>
      </c>
      <c r="I1334" s="83" t="str">
        <f t="shared" si="100"/>
        <v/>
      </c>
      <c r="J1334" s="272" t="str">
        <f>IFERROR(VLOOKUP((D1334&amp;C1334)&amp;"",'[2]Retail Price List'!$C$4:$F$102,3,FALSE),"")</f>
        <v/>
      </c>
      <c r="K1334" s="272">
        <f>IFERROR(IF(BA1334="WIP - 30 Days",VLOOKUP(D1334,[3]Standard!$B$9:$E$101,4,FALSE),IF(BA1334="31-120 Days",VLOOKUP(D1334,[3]Standard!$B$9:$F$101,5,FALSE),IF(BA1334="121-365 Days",VLOOKUP(D1334,[3]Standard!$B$9:$G$101,6,FALSE),VLOOKUP(D1334,[3]Standard!$B$9:$H$101,7,FALSE)))),0)</f>
        <v>0</v>
      </c>
      <c r="L1334" s="272">
        <f>IFERROR(IF(BA1334="WIP - 30 Days",VLOOKUP(D1334,[3]Standard!$B$9:$J$101,9,FALSE),IF(BA1334="31-120 Days",VLOOKUP(D1334,[3]Standard!$B$9:$K$100,10,FALSE),IF(BA1334="121-365 Days",VLOOKUP(D1334,[3]Standard!$B$9:$L$101,11,FALSE),VLOOKUP(D1334,[3]Standard!$B$9:$M$101,12,FALSE)))),0)</f>
        <v>0</v>
      </c>
      <c r="M1334" s="269" t="str">
        <f>IFERROR(VLOOKUP((D1334&amp;C1334)&amp;"",'[2]Retail Price List'!$C$4:$F$102,4,FALSE),"")</f>
        <v/>
      </c>
      <c r="N1334" s="269">
        <f>IFERROR(IF(BA1334="WIP - 30 Days",VLOOKUP(D1334,[3]Extended!$B$9:$E$101,4,FALSE),IF(BA1334="31-120 Days",VLOOKUP(D1334,[3]Extended!$B$9:$F$101,5,FALSE),IF(BA1334="121-365 Days",VLOOKUP(D1334,[3]Extended!$B$9:$G$101,6,FALSE),VLOOKUP(D1334,[3]Extended!$B$9:$H$101,7,FALSE)))),0)</f>
        <v>0</v>
      </c>
      <c r="O1334" s="269">
        <f>IFERROR(IF(BA1334="WIP - 30 Days",VLOOKUP(D1334,[3]Extended!$B$9:$J$101,9,FALSE),IF(BA1334="31-120 Days",VLOOKUP(D1334,[3]Extended!$B$9:$K$101,10,FALSE),IF(BA1334="121-365 Days",VLOOKUP(D1334,[3]Extended!$B$9:$L$101,11,FALSE),VLOOKUP(D1334,[3]Extended!$B$9:$M$101,12,FALSE)))),0)</f>
        <v>0</v>
      </c>
      <c r="P1334" s="116" t="e">
        <f t="shared" si="101"/>
        <v>#VALUE!</v>
      </c>
      <c r="Q1334" s="110" t="e">
        <f>O1334-#REF!</f>
        <v>#REF!</v>
      </c>
      <c r="W1334" s="310"/>
      <c r="X1334" s="310"/>
      <c r="Y1334" s="310"/>
      <c r="Z1334" s="310"/>
      <c r="AA1334" s="310"/>
      <c r="AB1334" s="310"/>
      <c r="AC1334" s="310"/>
      <c r="AT1334" s="88" t="str">
        <f t="shared" si="102"/>
        <v>Special Order0</v>
      </c>
      <c r="AU1334" s="89" t="str">
        <f t="shared" si="103"/>
        <v>01-1900</v>
      </c>
      <c r="BA1334" s="92" t="str">
        <f t="shared" si="104"/>
        <v/>
      </c>
    </row>
    <row r="1335" spans="2:53">
      <c r="B1335" s="60">
        <f>[2]Trucks!A1332</f>
        <v>0</v>
      </c>
      <c r="C1335" s="11">
        <f>[2]Trucks!B1332</f>
        <v>0</v>
      </c>
      <c r="D1335" s="19" t="str">
        <f>IFERROR(VLOOKUP(C1335&amp;"",'[2]Retail Price List'!$A$3:$B$103,2,FALSE),"Special Order")</f>
        <v>Special Order</v>
      </c>
      <c r="E1335" s="18">
        <f>[2]Trucks!J1332</f>
        <v>0</v>
      </c>
      <c r="F1335" s="12">
        <f>[2]Trucks!E1332</f>
        <v>0</v>
      </c>
      <c r="G1335" s="56">
        <f>[2]Trucks!K1332</f>
        <v>0</v>
      </c>
      <c r="H1335" s="46">
        <f>[2]Trucks!I1332</f>
        <v>0</v>
      </c>
      <c r="I1335" s="83" t="str">
        <f t="shared" si="100"/>
        <v/>
      </c>
      <c r="J1335" s="272" t="str">
        <f>IFERROR(VLOOKUP((D1335&amp;C1335)&amp;"",'[2]Retail Price List'!$C$4:$F$102,3,FALSE),"")</f>
        <v/>
      </c>
      <c r="K1335" s="272">
        <f>IFERROR(IF(BA1335="WIP - 30 Days",VLOOKUP(D1335,[3]Standard!$B$9:$E$101,4,FALSE),IF(BA1335="31-120 Days",VLOOKUP(D1335,[3]Standard!$B$9:$F$101,5,FALSE),IF(BA1335="121-365 Days",VLOOKUP(D1335,[3]Standard!$B$9:$G$101,6,FALSE),VLOOKUP(D1335,[3]Standard!$B$9:$H$101,7,FALSE)))),0)</f>
        <v>0</v>
      </c>
      <c r="L1335" s="272">
        <f>IFERROR(IF(BA1335="WIP - 30 Days",VLOOKUP(D1335,[3]Standard!$B$9:$J$101,9,FALSE),IF(BA1335="31-120 Days",VLOOKUP(D1335,[3]Standard!$B$9:$K$100,10,FALSE),IF(BA1335="121-365 Days",VLOOKUP(D1335,[3]Standard!$B$9:$L$101,11,FALSE),VLOOKUP(D1335,[3]Standard!$B$9:$M$101,12,FALSE)))),0)</f>
        <v>0</v>
      </c>
      <c r="M1335" s="269" t="str">
        <f>IFERROR(VLOOKUP((D1335&amp;C1335)&amp;"",'[2]Retail Price List'!$C$4:$F$102,4,FALSE),"")</f>
        <v/>
      </c>
      <c r="N1335" s="269">
        <f>IFERROR(IF(BA1335="WIP - 30 Days",VLOOKUP(D1335,[3]Extended!$B$9:$E$101,4,FALSE),IF(BA1335="31-120 Days",VLOOKUP(D1335,[3]Extended!$B$9:$F$101,5,FALSE),IF(BA1335="121-365 Days",VLOOKUP(D1335,[3]Extended!$B$9:$G$101,6,FALSE),VLOOKUP(D1335,[3]Extended!$B$9:$H$101,7,FALSE)))),0)</f>
        <v>0</v>
      </c>
      <c r="O1335" s="269">
        <f>IFERROR(IF(BA1335="WIP - 30 Days",VLOOKUP(D1335,[3]Extended!$B$9:$J$101,9,FALSE),IF(BA1335="31-120 Days",VLOOKUP(D1335,[3]Extended!$B$9:$K$101,10,FALSE),IF(BA1335="121-365 Days",VLOOKUP(D1335,[3]Extended!$B$9:$L$101,11,FALSE),VLOOKUP(D1335,[3]Extended!$B$9:$M$101,12,FALSE)))),0)</f>
        <v>0</v>
      </c>
      <c r="P1335" s="116" t="e">
        <f t="shared" si="101"/>
        <v>#VALUE!</v>
      </c>
      <c r="Q1335" s="110" t="e">
        <f>O1335-#REF!</f>
        <v>#REF!</v>
      </c>
      <c r="W1335" s="310"/>
      <c r="X1335" s="310"/>
      <c r="Y1335" s="310"/>
      <c r="Z1335" s="310"/>
      <c r="AA1335" s="310"/>
      <c r="AB1335" s="310"/>
      <c r="AC1335" s="310"/>
      <c r="AT1335" s="88" t="str">
        <f t="shared" si="102"/>
        <v>Special Order0</v>
      </c>
      <c r="AU1335" s="89" t="str">
        <f t="shared" si="103"/>
        <v>01-1900</v>
      </c>
      <c r="BA1335" s="92" t="str">
        <f t="shared" si="104"/>
        <v/>
      </c>
    </row>
    <row r="1336" spans="2:53">
      <c r="B1336" s="60">
        <f>[2]Trucks!A1333</f>
        <v>0</v>
      </c>
      <c r="C1336" s="11">
        <f>[2]Trucks!B1333</f>
        <v>0</v>
      </c>
      <c r="D1336" s="19" t="str">
        <f>IFERROR(VLOOKUP(C1336&amp;"",'[2]Retail Price List'!$A$3:$B$103,2,FALSE),"Special Order")</f>
        <v>Special Order</v>
      </c>
      <c r="E1336" s="18">
        <f>[2]Trucks!J1333</f>
        <v>0</v>
      </c>
      <c r="F1336" s="12">
        <f>[2]Trucks!E1333</f>
        <v>0</v>
      </c>
      <c r="G1336" s="56">
        <f>[2]Trucks!K1333</f>
        <v>0</v>
      </c>
      <c r="H1336" s="46">
        <f>[2]Trucks!I1333</f>
        <v>0</v>
      </c>
      <c r="I1336" s="83" t="str">
        <f t="shared" si="100"/>
        <v/>
      </c>
      <c r="J1336" s="272" t="str">
        <f>IFERROR(VLOOKUP((D1336&amp;C1336)&amp;"",'[2]Retail Price List'!$C$4:$F$102,3,FALSE),"")</f>
        <v/>
      </c>
      <c r="K1336" s="272">
        <f>IFERROR(IF(BA1336="WIP - 30 Days",VLOOKUP(D1336,[3]Standard!$B$9:$E$101,4,FALSE),IF(BA1336="31-120 Days",VLOOKUP(D1336,[3]Standard!$B$9:$F$101,5,FALSE),IF(BA1336="121-365 Days",VLOOKUP(D1336,[3]Standard!$B$9:$G$101,6,FALSE),VLOOKUP(D1336,[3]Standard!$B$9:$H$101,7,FALSE)))),0)</f>
        <v>0</v>
      </c>
      <c r="L1336" s="272">
        <f>IFERROR(IF(BA1336="WIP - 30 Days",VLOOKUP(D1336,[3]Standard!$B$9:$J$101,9,FALSE),IF(BA1336="31-120 Days",VLOOKUP(D1336,[3]Standard!$B$9:$K$100,10,FALSE),IF(BA1336="121-365 Days",VLOOKUP(D1336,[3]Standard!$B$9:$L$101,11,FALSE),VLOOKUP(D1336,[3]Standard!$B$9:$M$101,12,FALSE)))),0)</f>
        <v>0</v>
      </c>
      <c r="M1336" s="269" t="str">
        <f>IFERROR(VLOOKUP((D1336&amp;C1336)&amp;"",'[2]Retail Price List'!$C$4:$F$102,4,FALSE),"")</f>
        <v/>
      </c>
      <c r="N1336" s="269">
        <f>IFERROR(IF(BA1336="WIP - 30 Days",VLOOKUP(D1336,[3]Extended!$B$9:$E$101,4,FALSE),IF(BA1336="31-120 Days",VLOOKUP(D1336,[3]Extended!$B$9:$F$101,5,FALSE),IF(BA1336="121-365 Days",VLOOKUP(D1336,[3]Extended!$B$9:$G$101,6,FALSE),VLOOKUP(D1336,[3]Extended!$B$9:$H$101,7,FALSE)))),0)</f>
        <v>0</v>
      </c>
      <c r="O1336" s="269">
        <f>IFERROR(IF(BA1336="WIP - 30 Days",VLOOKUP(D1336,[3]Extended!$B$9:$J$101,9,FALSE),IF(BA1336="31-120 Days",VLOOKUP(D1336,[3]Extended!$B$9:$K$101,10,FALSE),IF(BA1336="121-365 Days",VLOOKUP(D1336,[3]Extended!$B$9:$L$101,11,FALSE),VLOOKUP(D1336,[3]Extended!$B$9:$M$101,12,FALSE)))),0)</f>
        <v>0</v>
      </c>
      <c r="P1336" s="116" t="e">
        <f t="shared" si="101"/>
        <v>#VALUE!</v>
      </c>
      <c r="Q1336" s="110" t="e">
        <f>O1336-#REF!</f>
        <v>#REF!</v>
      </c>
      <c r="W1336" s="310"/>
      <c r="X1336" s="310"/>
      <c r="Y1336" s="310"/>
      <c r="Z1336" s="310"/>
      <c r="AA1336" s="310"/>
      <c r="AB1336" s="310"/>
      <c r="AC1336" s="310"/>
      <c r="AT1336" s="88" t="str">
        <f t="shared" si="102"/>
        <v>Special Order0</v>
      </c>
      <c r="AU1336" s="89" t="str">
        <f t="shared" si="103"/>
        <v>01-1900</v>
      </c>
      <c r="BA1336" s="92" t="str">
        <f t="shared" si="104"/>
        <v/>
      </c>
    </row>
    <row r="1337" spans="2:53">
      <c r="B1337" s="60">
        <f>[2]Trucks!A1334</f>
        <v>0</v>
      </c>
      <c r="C1337" s="11">
        <f>[2]Trucks!B1334</f>
        <v>0</v>
      </c>
      <c r="D1337" s="19" t="str">
        <f>IFERROR(VLOOKUP(C1337&amp;"",'[2]Retail Price List'!$A$3:$B$103,2,FALSE),"Special Order")</f>
        <v>Special Order</v>
      </c>
      <c r="E1337" s="18">
        <f>[2]Trucks!J1334</f>
        <v>0</v>
      </c>
      <c r="F1337" s="12">
        <f>[2]Trucks!E1334</f>
        <v>0</v>
      </c>
      <c r="G1337" s="56">
        <f>[2]Trucks!K1334</f>
        <v>0</v>
      </c>
      <c r="H1337" s="46">
        <f>[2]Trucks!I1334</f>
        <v>0</v>
      </c>
      <c r="I1337" s="83" t="str">
        <f t="shared" si="100"/>
        <v/>
      </c>
      <c r="J1337" s="272" t="str">
        <f>IFERROR(VLOOKUP((D1337&amp;C1337)&amp;"",'[2]Retail Price List'!$C$4:$F$102,3,FALSE),"")</f>
        <v/>
      </c>
      <c r="K1337" s="272">
        <f>IFERROR(IF(BA1337="WIP - 30 Days",VLOOKUP(D1337,[3]Standard!$B$9:$E$101,4,FALSE),IF(BA1337="31-120 Days",VLOOKUP(D1337,[3]Standard!$B$9:$F$101,5,FALSE),IF(BA1337="121-365 Days",VLOOKUP(D1337,[3]Standard!$B$9:$G$101,6,FALSE),VLOOKUP(D1337,[3]Standard!$B$9:$H$101,7,FALSE)))),0)</f>
        <v>0</v>
      </c>
      <c r="L1337" s="272">
        <f>IFERROR(IF(BA1337="WIP - 30 Days",VLOOKUP(D1337,[3]Standard!$B$9:$J$101,9,FALSE),IF(BA1337="31-120 Days",VLOOKUP(D1337,[3]Standard!$B$9:$K$100,10,FALSE),IF(BA1337="121-365 Days",VLOOKUP(D1337,[3]Standard!$B$9:$L$101,11,FALSE),VLOOKUP(D1337,[3]Standard!$B$9:$M$101,12,FALSE)))),0)</f>
        <v>0</v>
      </c>
      <c r="M1337" s="269" t="str">
        <f>IFERROR(VLOOKUP((D1337&amp;C1337)&amp;"",'[2]Retail Price List'!$C$4:$F$102,4,FALSE),"")</f>
        <v/>
      </c>
      <c r="N1337" s="269">
        <f>IFERROR(IF(BA1337="WIP - 30 Days",VLOOKUP(D1337,[3]Extended!$B$9:$E$101,4,FALSE),IF(BA1337="31-120 Days",VLOOKUP(D1337,[3]Extended!$B$9:$F$101,5,FALSE),IF(BA1337="121-365 Days",VLOOKUP(D1337,[3]Extended!$B$9:$G$101,6,FALSE),VLOOKUP(D1337,[3]Extended!$B$9:$H$101,7,FALSE)))),0)</f>
        <v>0</v>
      </c>
      <c r="O1337" s="269">
        <f>IFERROR(IF(BA1337="WIP - 30 Days",VLOOKUP(D1337,[3]Extended!$B$9:$J$101,9,FALSE),IF(BA1337="31-120 Days",VLOOKUP(D1337,[3]Extended!$B$9:$K$101,10,FALSE),IF(BA1337="121-365 Days",VLOOKUP(D1337,[3]Extended!$B$9:$L$101,11,FALSE),VLOOKUP(D1337,[3]Extended!$B$9:$M$101,12,FALSE)))),0)</f>
        <v>0</v>
      </c>
      <c r="P1337" s="116" t="e">
        <f t="shared" si="101"/>
        <v>#VALUE!</v>
      </c>
      <c r="Q1337" s="110" t="e">
        <f>O1337-#REF!</f>
        <v>#REF!</v>
      </c>
      <c r="W1337" s="310"/>
      <c r="X1337" s="310"/>
      <c r="Y1337" s="310"/>
      <c r="Z1337" s="310"/>
      <c r="AA1337" s="310"/>
      <c r="AB1337" s="310"/>
      <c r="AC1337" s="310"/>
      <c r="AT1337" s="88" t="str">
        <f t="shared" si="102"/>
        <v>Special Order0</v>
      </c>
      <c r="AU1337" s="89" t="str">
        <f t="shared" si="103"/>
        <v>01-1900</v>
      </c>
      <c r="BA1337" s="92" t="str">
        <f t="shared" si="104"/>
        <v/>
      </c>
    </row>
    <row r="1338" spans="2:53">
      <c r="B1338" s="60">
        <f>[2]Trucks!A1335</f>
        <v>0</v>
      </c>
      <c r="C1338" s="11">
        <f>[2]Trucks!B1335</f>
        <v>0</v>
      </c>
      <c r="D1338" s="19" t="str">
        <f>IFERROR(VLOOKUP(C1338&amp;"",'[2]Retail Price List'!$A$3:$B$103,2,FALSE),"Special Order")</f>
        <v>Special Order</v>
      </c>
      <c r="E1338" s="18">
        <f>[2]Trucks!J1335</f>
        <v>0</v>
      </c>
      <c r="F1338" s="12">
        <f>[2]Trucks!E1335</f>
        <v>0</v>
      </c>
      <c r="G1338" s="56">
        <f>[2]Trucks!K1335</f>
        <v>0</v>
      </c>
      <c r="H1338" s="46">
        <f>[2]Trucks!I1335</f>
        <v>0</v>
      </c>
      <c r="I1338" s="83" t="str">
        <f t="shared" si="100"/>
        <v/>
      </c>
      <c r="J1338" s="272" t="str">
        <f>IFERROR(VLOOKUP((D1338&amp;C1338)&amp;"",'[2]Retail Price List'!$C$4:$F$102,3,FALSE),"")</f>
        <v/>
      </c>
      <c r="K1338" s="272">
        <f>IFERROR(IF(BA1338="WIP - 30 Days",VLOOKUP(D1338,[3]Standard!$B$9:$E$101,4,FALSE),IF(BA1338="31-120 Days",VLOOKUP(D1338,[3]Standard!$B$9:$F$101,5,FALSE),IF(BA1338="121-365 Days",VLOOKUP(D1338,[3]Standard!$B$9:$G$101,6,FALSE),VLOOKUP(D1338,[3]Standard!$B$9:$H$101,7,FALSE)))),0)</f>
        <v>0</v>
      </c>
      <c r="L1338" s="272">
        <f>IFERROR(IF(BA1338="WIP - 30 Days",VLOOKUP(D1338,[3]Standard!$B$9:$J$101,9,FALSE),IF(BA1338="31-120 Days",VLOOKUP(D1338,[3]Standard!$B$9:$K$100,10,FALSE),IF(BA1338="121-365 Days",VLOOKUP(D1338,[3]Standard!$B$9:$L$101,11,FALSE),VLOOKUP(D1338,[3]Standard!$B$9:$M$101,12,FALSE)))),0)</f>
        <v>0</v>
      </c>
      <c r="M1338" s="269" t="str">
        <f>IFERROR(VLOOKUP((D1338&amp;C1338)&amp;"",'[2]Retail Price List'!$C$4:$F$102,4,FALSE),"")</f>
        <v/>
      </c>
      <c r="N1338" s="269">
        <f>IFERROR(IF(BA1338="WIP - 30 Days",VLOOKUP(D1338,[3]Extended!$B$9:$E$101,4,FALSE),IF(BA1338="31-120 Days",VLOOKUP(D1338,[3]Extended!$B$9:$F$101,5,FALSE),IF(BA1338="121-365 Days",VLOOKUP(D1338,[3]Extended!$B$9:$G$101,6,FALSE),VLOOKUP(D1338,[3]Extended!$B$9:$H$101,7,FALSE)))),0)</f>
        <v>0</v>
      </c>
      <c r="O1338" s="269">
        <f>IFERROR(IF(BA1338="WIP - 30 Days",VLOOKUP(D1338,[3]Extended!$B$9:$J$101,9,FALSE),IF(BA1338="31-120 Days",VLOOKUP(D1338,[3]Extended!$B$9:$K$101,10,FALSE),IF(BA1338="121-365 Days",VLOOKUP(D1338,[3]Extended!$B$9:$L$101,11,FALSE),VLOOKUP(D1338,[3]Extended!$B$9:$M$101,12,FALSE)))),0)</f>
        <v>0</v>
      </c>
      <c r="P1338" s="116" t="e">
        <f t="shared" si="101"/>
        <v>#VALUE!</v>
      </c>
      <c r="Q1338" s="110" t="e">
        <f>O1338-#REF!</f>
        <v>#REF!</v>
      </c>
      <c r="W1338" s="310"/>
      <c r="X1338" s="310"/>
      <c r="Y1338" s="310"/>
      <c r="Z1338" s="310"/>
      <c r="AA1338" s="310"/>
      <c r="AB1338" s="310"/>
      <c r="AC1338" s="310"/>
      <c r="AT1338" s="88" t="str">
        <f t="shared" si="102"/>
        <v>Special Order0</v>
      </c>
      <c r="AU1338" s="89" t="str">
        <f t="shared" si="103"/>
        <v>01-1900</v>
      </c>
      <c r="BA1338" s="92" t="str">
        <f t="shared" si="104"/>
        <v/>
      </c>
    </row>
    <row r="1339" spans="2:53">
      <c r="B1339" s="60">
        <f>[2]Trucks!A1336</f>
        <v>0</v>
      </c>
      <c r="C1339" s="11">
        <f>[2]Trucks!B1336</f>
        <v>0</v>
      </c>
      <c r="D1339" s="19" t="str">
        <f>IFERROR(VLOOKUP(C1339&amp;"",'[2]Retail Price List'!$A$3:$B$103,2,FALSE),"Special Order")</f>
        <v>Special Order</v>
      </c>
      <c r="E1339" s="18">
        <f>[2]Trucks!J1336</f>
        <v>0</v>
      </c>
      <c r="F1339" s="12">
        <f>[2]Trucks!E1336</f>
        <v>0</v>
      </c>
      <c r="G1339" s="56">
        <f>[2]Trucks!K1336</f>
        <v>0</v>
      </c>
      <c r="H1339" s="46">
        <f>[2]Trucks!I1336</f>
        <v>0</v>
      </c>
      <c r="I1339" s="83" t="str">
        <f t="shared" si="100"/>
        <v/>
      </c>
      <c r="J1339" s="272" t="str">
        <f>IFERROR(VLOOKUP((D1339&amp;C1339)&amp;"",'[2]Retail Price List'!$C$4:$F$102,3,FALSE),"")</f>
        <v/>
      </c>
      <c r="K1339" s="272">
        <f>IFERROR(IF(BA1339="WIP - 30 Days",VLOOKUP(D1339,[3]Standard!$B$9:$E$101,4,FALSE),IF(BA1339="31-120 Days",VLOOKUP(D1339,[3]Standard!$B$9:$F$101,5,FALSE),IF(BA1339="121-365 Days",VLOOKUP(D1339,[3]Standard!$B$9:$G$101,6,FALSE),VLOOKUP(D1339,[3]Standard!$B$9:$H$101,7,FALSE)))),0)</f>
        <v>0</v>
      </c>
      <c r="L1339" s="272">
        <f>IFERROR(IF(BA1339="WIP - 30 Days",VLOOKUP(D1339,[3]Standard!$B$9:$J$101,9,FALSE),IF(BA1339="31-120 Days",VLOOKUP(D1339,[3]Standard!$B$9:$K$100,10,FALSE),IF(BA1339="121-365 Days",VLOOKUP(D1339,[3]Standard!$B$9:$L$101,11,FALSE),VLOOKUP(D1339,[3]Standard!$B$9:$M$101,12,FALSE)))),0)</f>
        <v>0</v>
      </c>
      <c r="M1339" s="269" t="str">
        <f>IFERROR(VLOOKUP((D1339&amp;C1339)&amp;"",'[2]Retail Price List'!$C$4:$F$102,4,FALSE),"")</f>
        <v/>
      </c>
      <c r="N1339" s="269">
        <f>IFERROR(IF(BA1339="WIP - 30 Days",VLOOKUP(D1339,[3]Extended!$B$9:$E$101,4,FALSE),IF(BA1339="31-120 Days",VLOOKUP(D1339,[3]Extended!$B$9:$F$101,5,FALSE),IF(BA1339="121-365 Days",VLOOKUP(D1339,[3]Extended!$B$9:$G$101,6,FALSE),VLOOKUP(D1339,[3]Extended!$B$9:$H$101,7,FALSE)))),0)</f>
        <v>0</v>
      </c>
      <c r="O1339" s="269">
        <f>IFERROR(IF(BA1339="WIP - 30 Days",VLOOKUP(D1339,[3]Extended!$B$9:$J$101,9,FALSE),IF(BA1339="31-120 Days",VLOOKUP(D1339,[3]Extended!$B$9:$K$101,10,FALSE),IF(BA1339="121-365 Days",VLOOKUP(D1339,[3]Extended!$B$9:$L$101,11,FALSE),VLOOKUP(D1339,[3]Extended!$B$9:$M$101,12,FALSE)))),0)</f>
        <v>0</v>
      </c>
      <c r="P1339" s="116" t="e">
        <f t="shared" si="101"/>
        <v>#VALUE!</v>
      </c>
      <c r="Q1339" s="110" t="e">
        <f>O1339-#REF!</f>
        <v>#REF!</v>
      </c>
      <c r="W1339" s="310"/>
      <c r="X1339" s="310"/>
      <c r="Y1339" s="310"/>
      <c r="Z1339" s="310"/>
      <c r="AA1339" s="310"/>
      <c r="AB1339" s="310"/>
      <c r="AC1339" s="310"/>
      <c r="AT1339" s="88" t="str">
        <f t="shared" si="102"/>
        <v>Special Order0</v>
      </c>
      <c r="AU1339" s="89" t="str">
        <f t="shared" si="103"/>
        <v>01-1900</v>
      </c>
      <c r="BA1339" s="92" t="str">
        <f t="shared" si="104"/>
        <v/>
      </c>
    </row>
    <row r="1340" spans="2:53">
      <c r="B1340" s="60">
        <f>[2]Trucks!A1337</f>
        <v>0</v>
      </c>
      <c r="C1340" s="11">
        <f>[2]Trucks!B1337</f>
        <v>0</v>
      </c>
      <c r="D1340" s="19" t="str">
        <f>IFERROR(VLOOKUP(C1340&amp;"",'[2]Retail Price List'!$A$3:$B$103,2,FALSE),"Special Order")</f>
        <v>Special Order</v>
      </c>
      <c r="E1340" s="18">
        <f>[2]Trucks!J1337</f>
        <v>0</v>
      </c>
      <c r="F1340" s="12">
        <f>[2]Trucks!E1337</f>
        <v>0</v>
      </c>
      <c r="G1340" s="56">
        <f>[2]Trucks!K1337</f>
        <v>0</v>
      </c>
      <c r="H1340" s="46">
        <f>[2]Trucks!I1337</f>
        <v>0</v>
      </c>
      <c r="I1340" s="83" t="str">
        <f t="shared" si="100"/>
        <v/>
      </c>
      <c r="J1340" s="272" t="str">
        <f>IFERROR(VLOOKUP((D1340&amp;C1340)&amp;"",'[2]Retail Price List'!$C$4:$F$102,3,FALSE),"")</f>
        <v/>
      </c>
      <c r="K1340" s="272">
        <f>IFERROR(IF(BA1340="WIP - 30 Days",VLOOKUP(D1340,[3]Standard!$B$9:$E$101,4,FALSE),IF(BA1340="31-120 Days",VLOOKUP(D1340,[3]Standard!$B$9:$F$101,5,FALSE),IF(BA1340="121-365 Days",VLOOKUP(D1340,[3]Standard!$B$9:$G$101,6,FALSE),VLOOKUP(D1340,[3]Standard!$B$9:$H$101,7,FALSE)))),0)</f>
        <v>0</v>
      </c>
      <c r="L1340" s="272">
        <f>IFERROR(IF(BA1340="WIP - 30 Days",VLOOKUP(D1340,[3]Standard!$B$9:$J$101,9,FALSE),IF(BA1340="31-120 Days",VLOOKUP(D1340,[3]Standard!$B$9:$K$100,10,FALSE),IF(BA1340="121-365 Days",VLOOKUP(D1340,[3]Standard!$B$9:$L$101,11,FALSE),VLOOKUP(D1340,[3]Standard!$B$9:$M$101,12,FALSE)))),0)</f>
        <v>0</v>
      </c>
      <c r="M1340" s="269" t="str">
        <f>IFERROR(VLOOKUP((D1340&amp;C1340)&amp;"",'[2]Retail Price List'!$C$4:$F$102,4,FALSE),"")</f>
        <v/>
      </c>
      <c r="N1340" s="269">
        <f>IFERROR(IF(BA1340="WIP - 30 Days",VLOOKUP(D1340,[3]Extended!$B$9:$E$101,4,FALSE),IF(BA1340="31-120 Days",VLOOKUP(D1340,[3]Extended!$B$9:$F$101,5,FALSE),IF(BA1340="121-365 Days",VLOOKUP(D1340,[3]Extended!$B$9:$G$101,6,FALSE),VLOOKUP(D1340,[3]Extended!$B$9:$H$101,7,FALSE)))),0)</f>
        <v>0</v>
      </c>
      <c r="O1340" s="269">
        <f>IFERROR(IF(BA1340="WIP - 30 Days",VLOOKUP(D1340,[3]Extended!$B$9:$J$101,9,FALSE),IF(BA1340="31-120 Days",VLOOKUP(D1340,[3]Extended!$B$9:$K$101,10,FALSE),IF(BA1340="121-365 Days",VLOOKUP(D1340,[3]Extended!$B$9:$L$101,11,FALSE),VLOOKUP(D1340,[3]Extended!$B$9:$M$101,12,FALSE)))),0)</f>
        <v>0</v>
      </c>
      <c r="P1340" s="116" t="e">
        <f t="shared" si="101"/>
        <v>#VALUE!</v>
      </c>
      <c r="Q1340" s="110" t="e">
        <f>O1340-#REF!</f>
        <v>#REF!</v>
      </c>
      <c r="W1340" s="310"/>
      <c r="X1340" s="310"/>
      <c r="Y1340" s="310"/>
      <c r="Z1340" s="310"/>
      <c r="AA1340" s="310"/>
      <c r="AB1340" s="310"/>
      <c r="AC1340" s="310"/>
      <c r="AT1340" s="88" t="str">
        <f t="shared" si="102"/>
        <v>Special Order0</v>
      </c>
      <c r="AU1340" s="89" t="str">
        <f t="shared" si="103"/>
        <v>01-1900</v>
      </c>
      <c r="BA1340" s="92" t="str">
        <f t="shared" si="104"/>
        <v/>
      </c>
    </row>
    <row r="1341" spans="2:53">
      <c r="B1341" s="60">
        <f>[2]Trucks!A1338</f>
        <v>0</v>
      </c>
      <c r="C1341" s="11">
        <f>[2]Trucks!B1338</f>
        <v>0</v>
      </c>
      <c r="D1341" s="19" t="str">
        <f>IFERROR(VLOOKUP(C1341&amp;"",'[2]Retail Price List'!$A$3:$B$103,2,FALSE),"Special Order")</f>
        <v>Special Order</v>
      </c>
      <c r="E1341" s="18">
        <f>[2]Trucks!J1338</f>
        <v>0</v>
      </c>
      <c r="F1341" s="12">
        <f>[2]Trucks!E1338</f>
        <v>0</v>
      </c>
      <c r="G1341" s="56">
        <f>[2]Trucks!K1338</f>
        <v>0</v>
      </c>
      <c r="H1341" s="46">
        <f>[2]Trucks!I1338</f>
        <v>0</v>
      </c>
      <c r="I1341" s="83" t="str">
        <f t="shared" si="100"/>
        <v/>
      </c>
      <c r="J1341" s="272" t="str">
        <f>IFERROR(VLOOKUP((D1341&amp;C1341)&amp;"",'[2]Retail Price List'!$C$4:$F$102,3,FALSE),"")</f>
        <v/>
      </c>
      <c r="K1341" s="272">
        <f>IFERROR(IF(BA1341="WIP - 30 Days",VLOOKUP(D1341,[3]Standard!$B$9:$E$101,4,FALSE),IF(BA1341="31-120 Days",VLOOKUP(D1341,[3]Standard!$B$9:$F$101,5,FALSE),IF(BA1341="121-365 Days",VLOOKUP(D1341,[3]Standard!$B$9:$G$101,6,FALSE),VLOOKUP(D1341,[3]Standard!$B$9:$H$101,7,FALSE)))),0)</f>
        <v>0</v>
      </c>
      <c r="L1341" s="272">
        <f>IFERROR(IF(BA1341="WIP - 30 Days",VLOOKUP(D1341,[3]Standard!$B$9:$J$101,9,FALSE),IF(BA1341="31-120 Days",VLOOKUP(D1341,[3]Standard!$B$9:$K$100,10,FALSE),IF(BA1341="121-365 Days",VLOOKUP(D1341,[3]Standard!$B$9:$L$101,11,FALSE),VLOOKUP(D1341,[3]Standard!$B$9:$M$101,12,FALSE)))),0)</f>
        <v>0</v>
      </c>
      <c r="M1341" s="269" t="str">
        <f>IFERROR(VLOOKUP((D1341&amp;C1341)&amp;"",'[2]Retail Price List'!$C$4:$F$102,4,FALSE),"")</f>
        <v/>
      </c>
      <c r="N1341" s="269">
        <f>IFERROR(IF(BA1341="WIP - 30 Days",VLOOKUP(D1341,[3]Extended!$B$9:$E$101,4,FALSE),IF(BA1341="31-120 Days",VLOOKUP(D1341,[3]Extended!$B$9:$F$101,5,FALSE),IF(BA1341="121-365 Days",VLOOKUP(D1341,[3]Extended!$B$9:$G$101,6,FALSE),VLOOKUP(D1341,[3]Extended!$B$9:$H$101,7,FALSE)))),0)</f>
        <v>0</v>
      </c>
      <c r="O1341" s="269">
        <f>IFERROR(IF(BA1341="WIP - 30 Days",VLOOKUP(D1341,[3]Extended!$B$9:$J$101,9,FALSE),IF(BA1341="31-120 Days",VLOOKUP(D1341,[3]Extended!$B$9:$K$101,10,FALSE),IF(BA1341="121-365 Days",VLOOKUP(D1341,[3]Extended!$B$9:$L$101,11,FALSE),VLOOKUP(D1341,[3]Extended!$B$9:$M$101,12,FALSE)))),0)</f>
        <v>0</v>
      </c>
      <c r="P1341" s="116" t="e">
        <f t="shared" si="101"/>
        <v>#VALUE!</v>
      </c>
      <c r="Q1341" s="110" t="e">
        <f>O1341-#REF!</f>
        <v>#REF!</v>
      </c>
      <c r="W1341" s="310"/>
      <c r="X1341" s="310"/>
      <c r="Y1341" s="310"/>
      <c r="Z1341" s="310"/>
      <c r="AA1341" s="310"/>
      <c r="AB1341" s="310"/>
      <c r="AC1341" s="310"/>
      <c r="AT1341" s="88" t="str">
        <f t="shared" si="102"/>
        <v>Special Order0</v>
      </c>
      <c r="AU1341" s="89" t="str">
        <f t="shared" si="103"/>
        <v>01-1900</v>
      </c>
      <c r="BA1341" s="92" t="str">
        <f t="shared" si="104"/>
        <v/>
      </c>
    </row>
    <row r="1342" spans="2:53">
      <c r="B1342" s="60">
        <f>[2]Trucks!A1339</f>
        <v>0</v>
      </c>
      <c r="C1342" s="11">
        <f>[2]Trucks!B1339</f>
        <v>0</v>
      </c>
      <c r="D1342" s="19" t="str">
        <f>IFERROR(VLOOKUP(C1342&amp;"",'[2]Retail Price List'!$A$3:$B$103,2,FALSE),"Special Order")</f>
        <v>Special Order</v>
      </c>
      <c r="E1342" s="18">
        <f>[2]Trucks!J1339</f>
        <v>0</v>
      </c>
      <c r="F1342" s="12">
        <f>[2]Trucks!E1339</f>
        <v>0</v>
      </c>
      <c r="G1342" s="56">
        <f>[2]Trucks!K1339</f>
        <v>0</v>
      </c>
      <c r="H1342" s="46">
        <f>[2]Trucks!I1339</f>
        <v>0</v>
      </c>
      <c r="I1342" s="83" t="str">
        <f t="shared" si="100"/>
        <v/>
      </c>
      <c r="J1342" s="272" t="str">
        <f>IFERROR(VLOOKUP((D1342&amp;C1342)&amp;"",'[2]Retail Price List'!$C$4:$F$102,3,FALSE),"")</f>
        <v/>
      </c>
      <c r="K1342" s="272">
        <f>IFERROR(IF(BA1342="WIP - 30 Days",VLOOKUP(D1342,[3]Standard!$B$9:$E$101,4,FALSE),IF(BA1342="31-120 Days",VLOOKUP(D1342,[3]Standard!$B$9:$F$101,5,FALSE),IF(BA1342="121-365 Days",VLOOKUP(D1342,[3]Standard!$B$9:$G$101,6,FALSE),VLOOKUP(D1342,[3]Standard!$B$9:$H$101,7,FALSE)))),0)</f>
        <v>0</v>
      </c>
      <c r="L1342" s="272">
        <f>IFERROR(IF(BA1342="WIP - 30 Days",VLOOKUP(D1342,[3]Standard!$B$9:$J$101,9,FALSE),IF(BA1342="31-120 Days",VLOOKUP(D1342,[3]Standard!$B$9:$K$100,10,FALSE),IF(BA1342="121-365 Days",VLOOKUP(D1342,[3]Standard!$B$9:$L$101,11,FALSE),VLOOKUP(D1342,[3]Standard!$B$9:$M$101,12,FALSE)))),0)</f>
        <v>0</v>
      </c>
      <c r="M1342" s="269" t="str">
        <f>IFERROR(VLOOKUP((D1342&amp;C1342)&amp;"",'[2]Retail Price List'!$C$4:$F$102,4,FALSE),"")</f>
        <v/>
      </c>
      <c r="N1342" s="269">
        <f>IFERROR(IF(BA1342="WIP - 30 Days",VLOOKUP(D1342,[3]Extended!$B$9:$E$101,4,FALSE),IF(BA1342="31-120 Days",VLOOKUP(D1342,[3]Extended!$B$9:$F$101,5,FALSE),IF(BA1342="121-365 Days",VLOOKUP(D1342,[3]Extended!$B$9:$G$101,6,FALSE),VLOOKUP(D1342,[3]Extended!$B$9:$H$101,7,FALSE)))),0)</f>
        <v>0</v>
      </c>
      <c r="O1342" s="269">
        <f>IFERROR(IF(BA1342="WIP - 30 Days",VLOOKUP(D1342,[3]Extended!$B$9:$J$101,9,FALSE),IF(BA1342="31-120 Days",VLOOKUP(D1342,[3]Extended!$B$9:$K$101,10,FALSE),IF(BA1342="121-365 Days",VLOOKUP(D1342,[3]Extended!$B$9:$L$101,11,FALSE),VLOOKUP(D1342,[3]Extended!$B$9:$M$101,12,FALSE)))),0)</f>
        <v>0</v>
      </c>
      <c r="P1342" s="116" t="e">
        <f t="shared" si="101"/>
        <v>#VALUE!</v>
      </c>
      <c r="Q1342" s="110" t="e">
        <f>O1342-#REF!</f>
        <v>#REF!</v>
      </c>
      <c r="W1342" s="310"/>
      <c r="X1342" s="310"/>
      <c r="Y1342" s="310"/>
      <c r="Z1342" s="310"/>
      <c r="AA1342" s="310"/>
      <c r="AB1342" s="310"/>
      <c r="AC1342" s="310"/>
      <c r="AT1342" s="88" t="str">
        <f t="shared" si="102"/>
        <v>Special Order0</v>
      </c>
      <c r="AU1342" s="89" t="str">
        <f t="shared" si="103"/>
        <v>01-1900</v>
      </c>
      <c r="BA1342" s="92" t="str">
        <f t="shared" si="104"/>
        <v/>
      </c>
    </row>
    <row r="1343" spans="2:53">
      <c r="B1343" s="60">
        <f>[2]Trucks!A1340</f>
        <v>0</v>
      </c>
      <c r="C1343" s="11">
        <f>[2]Trucks!B1340</f>
        <v>0</v>
      </c>
      <c r="D1343" s="19" t="str">
        <f>IFERROR(VLOOKUP(C1343&amp;"",'[2]Retail Price List'!$A$3:$B$103,2,FALSE),"Special Order")</f>
        <v>Special Order</v>
      </c>
      <c r="E1343" s="18">
        <f>[2]Trucks!J1340</f>
        <v>0</v>
      </c>
      <c r="F1343" s="12">
        <f>[2]Trucks!E1340</f>
        <v>0</v>
      </c>
      <c r="G1343" s="56">
        <f>[2]Trucks!K1340</f>
        <v>0</v>
      </c>
      <c r="H1343" s="46">
        <f>[2]Trucks!I1340</f>
        <v>0</v>
      </c>
      <c r="I1343" s="83" t="str">
        <f t="shared" si="100"/>
        <v/>
      </c>
      <c r="J1343" s="272" t="str">
        <f>IFERROR(VLOOKUP((D1343&amp;C1343)&amp;"",'[2]Retail Price List'!$C$4:$F$102,3,FALSE),"")</f>
        <v/>
      </c>
      <c r="K1343" s="272">
        <f>IFERROR(IF(BA1343="WIP - 30 Days",VLOOKUP(D1343,[3]Standard!$B$9:$E$101,4,FALSE),IF(BA1343="31-120 Days",VLOOKUP(D1343,[3]Standard!$B$9:$F$101,5,FALSE),IF(BA1343="121-365 Days",VLOOKUP(D1343,[3]Standard!$B$9:$G$101,6,FALSE),VLOOKUP(D1343,[3]Standard!$B$9:$H$101,7,FALSE)))),0)</f>
        <v>0</v>
      </c>
      <c r="L1343" s="272">
        <f>IFERROR(IF(BA1343="WIP - 30 Days",VLOOKUP(D1343,[3]Standard!$B$9:$J$101,9,FALSE),IF(BA1343="31-120 Days",VLOOKUP(D1343,[3]Standard!$B$9:$K$100,10,FALSE),IF(BA1343="121-365 Days",VLOOKUP(D1343,[3]Standard!$B$9:$L$101,11,FALSE),VLOOKUP(D1343,[3]Standard!$B$9:$M$101,12,FALSE)))),0)</f>
        <v>0</v>
      </c>
      <c r="M1343" s="269" t="str">
        <f>IFERROR(VLOOKUP((D1343&amp;C1343)&amp;"",'[2]Retail Price List'!$C$4:$F$102,4,FALSE),"")</f>
        <v/>
      </c>
      <c r="N1343" s="269">
        <f>IFERROR(IF(BA1343="WIP - 30 Days",VLOOKUP(D1343,[3]Extended!$B$9:$E$101,4,FALSE),IF(BA1343="31-120 Days",VLOOKUP(D1343,[3]Extended!$B$9:$F$101,5,FALSE),IF(BA1343="121-365 Days",VLOOKUP(D1343,[3]Extended!$B$9:$G$101,6,FALSE),VLOOKUP(D1343,[3]Extended!$B$9:$H$101,7,FALSE)))),0)</f>
        <v>0</v>
      </c>
      <c r="O1343" s="269">
        <f>IFERROR(IF(BA1343="WIP - 30 Days",VLOOKUP(D1343,[3]Extended!$B$9:$J$101,9,FALSE),IF(BA1343="31-120 Days",VLOOKUP(D1343,[3]Extended!$B$9:$K$101,10,FALSE),IF(BA1343="121-365 Days",VLOOKUP(D1343,[3]Extended!$B$9:$L$101,11,FALSE),VLOOKUP(D1343,[3]Extended!$B$9:$M$101,12,FALSE)))),0)</f>
        <v>0</v>
      </c>
      <c r="P1343" s="116" t="e">
        <f t="shared" si="101"/>
        <v>#VALUE!</v>
      </c>
      <c r="Q1343" s="110" t="e">
        <f>O1343-#REF!</f>
        <v>#REF!</v>
      </c>
      <c r="W1343" s="310"/>
      <c r="X1343" s="310"/>
      <c r="Y1343" s="310"/>
      <c r="Z1343" s="310"/>
      <c r="AA1343" s="310"/>
      <c r="AB1343" s="310"/>
      <c r="AC1343" s="310"/>
      <c r="AT1343" s="88" t="str">
        <f t="shared" si="102"/>
        <v>Special Order0</v>
      </c>
      <c r="AU1343" s="89" t="str">
        <f t="shared" si="103"/>
        <v>01-1900</v>
      </c>
      <c r="BA1343" s="92" t="str">
        <f t="shared" si="104"/>
        <v/>
      </c>
    </row>
    <row r="1344" spans="2:53">
      <c r="B1344" s="60">
        <f>[2]Trucks!A1341</f>
        <v>0</v>
      </c>
      <c r="C1344" s="11">
        <f>[2]Trucks!B1341</f>
        <v>0</v>
      </c>
      <c r="D1344" s="19" t="str">
        <f>IFERROR(VLOOKUP(C1344&amp;"",'[2]Retail Price List'!$A$3:$B$103,2,FALSE),"Special Order")</f>
        <v>Special Order</v>
      </c>
      <c r="E1344" s="18">
        <f>[2]Trucks!J1341</f>
        <v>0</v>
      </c>
      <c r="F1344" s="12">
        <f>[2]Trucks!E1341</f>
        <v>0</v>
      </c>
      <c r="G1344" s="56">
        <f>[2]Trucks!K1341</f>
        <v>0</v>
      </c>
      <c r="H1344" s="46">
        <f>[2]Trucks!I1341</f>
        <v>0</v>
      </c>
      <c r="I1344" s="83" t="str">
        <f t="shared" si="100"/>
        <v/>
      </c>
      <c r="J1344" s="272" t="str">
        <f>IFERROR(VLOOKUP((D1344&amp;C1344)&amp;"",'[2]Retail Price List'!$C$4:$F$102,3,FALSE),"")</f>
        <v/>
      </c>
      <c r="K1344" s="272">
        <f>IFERROR(IF(BA1344="WIP - 30 Days",VLOOKUP(D1344,[3]Standard!$B$9:$E$101,4,FALSE),IF(BA1344="31-120 Days",VLOOKUP(D1344,[3]Standard!$B$9:$F$101,5,FALSE),IF(BA1344="121-365 Days",VLOOKUP(D1344,[3]Standard!$B$9:$G$101,6,FALSE),VLOOKUP(D1344,[3]Standard!$B$9:$H$101,7,FALSE)))),0)</f>
        <v>0</v>
      </c>
      <c r="L1344" s="272">
        <f>IFERROR(IF(BA1344="WIP - 30 Days",VLOOKUP(D1344,[3]Standard!$B$9:$J$101,9,FALSE),IF(BA1344="31-120 Days",VLOOKUP(D1344,[3]Standard!$B$9:$K$100,10,FALSE),IF(BA1344="121-365 Days",VLOOKUP(D1344,[3]Standard!$B$9:$L$101,11,FALSE),VLOOKUP(D1344,[3]Standard!$B$9:$M$101,12,FALSE)))),0)</f>
        <v>0</v>
      </c>
      <c r="M1344" s="269" t="str">
        <f>IFERROR(VLOOKUP((D1344&amp;C1344)&amp;"",'[2]Retail Price List'!$C$4:$F$102,4,FALSE),"")</f>
        <v/>
      </c>
      <c r="N1344" s="269">
        <f>IFERROR(IF(BA1344="WIP - 30 Days",VLOOKUP(D1344,[3]Extended!$B$9:$E$101,4,FALSE),IF(BA1344="31-120 Days",VLOOKUP(D1344,[3]Extended!$B$9:$F$101,5,FALSE),IF(BA1344="121-365 Days",VLOOKUP(D1344,[3]Extended!$B$9:$G$101,6,FALSE),VLOOKUP(D1344,[3]Extended!$B$9:$H$101,7,FALSE)))),0)</f>
        <v>0</v>
      </c>
      <c r="O1344" s="269">
        <f>IFERROR(IF(BA1344="WIP - 30 Days",VLOOKUP(D1344,[3]Extended!$B$9:$J$101,9,FALSE),IF(BA1344="31-120 Days",VLOOKUP(D1344,[3]Extended!$B$9:$K$101,10,FALSE),IF(BA1344="121-365 Days",VLOOKUP(D1344,[3]Extended!$B$9:$L$101,11,FALSE),VLOOKUP(D1344,[3]Extended!$B$9:$M$101,12,FALSE)))),0)</f>
        <v>0</v>
      </c>
      <c r="P1344" s="116" t="e">
        <f t="shared" si="101"/>
        <v>#VALUE!</v>
      </c>
      <c r="Q1344" s="110" t="e">
        <f>O1344-#REF!</f>
        <v>#REF!</v>
      </c>
      <c r="W1344" s="310"/>
      <c r="X1344" s="310"/>
      <c r="Y1344" s="310"/>
      <c r="Z1344" s="310"/>
      <c r="AA1344" s="310"/>
      <c r="AB1344" s="310"/>
      <c r="AC1344" s="310"/>
      <c r="AT1344" s="88" t="str">
        <f t="shared" si="102"/>
        <v>Special Order0</v>
      </c>
      <c r="AU1344" s="89" t="str">
        <f t="shared" si="103"/>
        <v>01-1900</v>
      </c>
      <c r="BA1344" s="92" t="str">
        <f t="shared" si="104"/>
        <v/>
      </c>
    </row>
    <row r="1345" spans="2:53">
      <c r="B1345" s="60">
        <f>[2]Trucks!A1342</f>
        <v>0</v>
      </c>
      <c r="C1345" s="11">
        <f>[2]Trucks!B1342</f>
        <v>0</v>
      </c>
      <c r="D1345" s="19" t="str">
        <f>IFERROR(VLOOKUP(C1345&amp;"",'[2]Retail Price List'!$A$3:$B$103,2,FALSE),"Special Order")</f>
        <v>Special Order</v>
      </c>
      <c r="E1345" s="18">
        <f>[2]Trucks!J1342</f>
        <v>0</v>
      </c>
      <c r="F1345" s="12">
        <f>[2]Trucks!E1342</f>
        <v>0</v>
      </c>
      <c r="G1345" s="56">
        <f>[2]Trucks!K1342</f>
        <v>0</v>
      </c>
      <c r="H1345" s="46">
        <f>[2]Trucks!I1342</f>
        <v>0</v>
      </c>
      <c r="I1345" s="83" t="str">
        <f t="shared" si="100"/>
        <v/>
      </c>
      <c r="J1345" s="272" t="str">
        <f>IFERROR(VLOOKUP((D1345&amp;C1345)&amp;"",'[2]Retail Price List'!$C$4:$F$102,3,FALSE),"")</f>
        <v/>
      </c>
      <c r="K1345" s="272">
        <f>IFERROR(IF(BA1345="WIP - 30 Days",VLOOKUP(D1345,[3]Standard!$B$9:$E$101,4,FALSE),IF(BA1345="31-120 Days",VLOOKUP(D1345,[3]Standard!$B$9:$F$101,5,FALSE),IF(BA1345="121-365 Days",VLOOKUP(D1345,[3]Standard!$B$9:$G$101,6,FALSE),VLOOKUP(D1345,[3]Standard!$B$9:$H$101,7,FALSE)))),0)</f>
        <v>0</v>
      </c>
      <c r="L1345" s="272">
        <f>IFERROR(IF(BA1345="WIP - 30 Days",VLOOKUP(D1345,[3]Standard!$B$9:$J$101,9,FALSE),IF(BA1345="31-120 Days",VLOOKUP(D1345,[3]Standard!$B$9:$K$100,10,FALSE),IF(BA1345="121-365 Days",VLOOKUP(D1345,[3]Standard!$B$9:$L$101,11,FALSE),VLOOKUP(D1345,[3]Standard!$B$9:$M$101,12,FALSE)))),0)</f>
        <v>0</v>
      </c>
      <c r="M1345" s="269" t="str">
        <f>IFERROR(VLOOKUP((D1345&amp;C1345)&amp;"",'[2]Retail Price List'!$C$4:$F$102,4,FALSE),"")</f>
        <v/>
      </c>
      <c r="N1345" s="269">
        <f>IFERROR(IF(BA1345="WIP - 30 Days",VLOOKUP(D1345,[3]Extended!$B$9:$E$101,4,FALSE),IF(BA1345="31-120 Days",VLOOKUP(D1345,[3]Extended!$B$9:$F$101,5,FALSE),IF(BA1345="121-365 Days",VLOOKUP(D1345,[3]Extended!$B$9:$G$101,6,FALSE),VLOOKUP(D1345,[3]Extended!$B$9:$H$101,7,FALSE)))),0)</f>
        <v>0</v>
      </c>
      <c r="O1345" s="269">
        <f>IFERROR(IF(BA1345="WIP - 30 Days",VLOOKUP(D1345,[3]Extended!$B$9:$J$101,9,FALSE),IF(BA1345="31-120 Days",VLOOKUP(D1345,[3]Extended!$B$9:$K$101,10,FALSE),IF(BA1345="121-365 Days",VLOOKUP(D1345,[3]Extended!$B$9:$L$101,11,FALSE),VLOOKUP(D1345,[3]Extended!$B$9:$M$101,12,FALSE)))),0)</f>
        <v>0</v>
      </c>
      <c r="P1345" s="116" t="e">
        <f t="shared" si="101"/>
        <v>#VALUE!</v>
      </c>
      <c r="Q1345" s="110" t="e">
        <f>O1345-#REF!</f>
        <v>#REF!</v>
      </c>
      <c r="W1345" s="310"/>
      <c r="X1345" s="310"/>
      <c r="Y1345" s="310"/>
      <c r="Z1345" s="310"/>
      <c r="AA1345" s="310"/>
      <c r="AB1345" s="310"/>
      <c r="AC1345" s="310"/>
      <c r="AT1345" s="88" t="str">
        <f t="shared" si="102"/>
        <v>Special Order0</v>
      </c>
      <c r="AU1345" s="89" t="str">
        <f t="shared" si="103"/>
        <v>01-1900</v>
      </c>
      <c r="BA1345" s="92" t="str">
        <f t="shared" si="104"/>
        <v/>
      </c>
    </row>
    <row r="1346" spans="2:53">
      <c r="B1346" s="60">
        <f>[2]Trucks!A1343</f>
        <v>0</v>
      </c>
      <c r="C1346" s="11">
        <f>[2]Trucks!B1343</f>
        <v>0</v>
      </c>
      <c r="D1346" s="19" t="str">
        <f>IFERROR(VLOOKUP(C1346&amp;"",'[2]Retail Price List'!$A$3:$B$103,2,FALSE),"Special Order")</f>
        <v>Special Order</v>
      </c>
      <c r="E1346" s="18">
        <f>[2]Trucks!J1343</f>
        <v>0</v>
      </c>
      <c r="F1346" s="12">
        <f>[2]Trucks!E1343</f>
        <v>0</v>
      </c>
      <c r="G1346" s="56">
        <f>[2]Trucks!K1343</f>
        <v>0</v>
      </c>
      <c r="H1346" s="46">
        <f>[2]Trucks!I1343</f>
        <v>0</v>
      </c>
      <c r="I1346" s="83" t="str">
        <f t="shared" si="100"/>
        <v/>
      </c>
      <c r="J1346" s="272" t="str">
        <f>IFERROR(VLOOKUP((D1346&amp;C1346)&amp;"",'[2]Retail Price List'!$C$4:$F$102,3,FALSE),"")</f>
        <v/>
      </c>
      <c r="K1346" s="272">
        <f>IFERROR(IF(BA1346="WIP - 30 Days",VLOOKUP(D1346,[3]Standard!$B$9:$E$101,4,FALSE),IF(BA1346="31-120 Days",VLOOKUP(D1346,[3]Standard!$B$9:$F$101,5,FALSE),IF(BA1346="121-365 Days",VLOOKUP(D1346,[3]Standard!$B$9:$G$101,6,FALSE),VLOOKUP(D1346,[3]Standard!$B$9:$H$101,7,FALSE)))),0)</f>
        <v>0</v>
      </c>
      <c r="L1346" s="272">
        <f>IFERROR(IF(BA1346="WIP - 30 Days",VLOOKUP(D1346,[3]Standard!$B$9:$J$101,9,FALSE),IF(BA1346="31-120 Days",VLOOKUP(D1346,[3]Standard!$B$9:$K$100,10,FALSE),IF(BA1346="121-365 Days",VLOOKUP(D1346,[3]Standard!$B$9:$L$101,11,FALSE),VLOOKUP(D1346,[3]Standard!$B$9:$M$101,12,FALSE)))),0)</f>
        <v>0</v>
      </c>
      <c r="M1346" s="269" t="str">
        <f>IFERROR(VLOOKUP((D1346&amp;C1346)&amp;"",'[2]Retail Price List'!$C$4:$F$102,4,FALSE),"")</f>
        <v/>
      </c>
      <c r="N1346" s="269">
        <f>IFERROR(IF(BA1346="WIP - 30 Days",VLOOKUP(D1346,[3]Extended!$B$9:$E$101,4,FALSE),IF(BA1346="31-120 Days",VLOOKUP(D1346,[3]Extended!$B$9:$F$101,5,FALSE),IF(BA1346="121-365 Days",VLOOKUP(D1346,[3]Extended!$B$9:$G$101,6,FALSE),VLOOKUP(D1346,[3]Extended!$B$9:$H$101,7,FALSE)))),0)</f>
        <v>0</v>
      </c>
      <c r="O1346" s="269">
        <f>IFERROR(IF(BA1346="WIP - 30 Days",VLOOKUP(D1346,[3]Extended!$B$9:$J$101,9,FALSE),IF(BA1346="31-120 Days",VLOOKUP(D1346,[3]Extended!$B$9:$K$101,10,FALSE),IF(BA1346="121-365 Days",VLOOKUP(D1346,[3]Extended!$B$9:$L$101,11,FALSE),VLOOKUP(D1346,[3]Extended!$B$9:$M$101,12,FALSE)))),0)</f>
        <v>0</v>
      </c>
      <c r="P1346" s="116" t="e">
        <f t="shared" si="101"/>
        <v>#VALUE!</v>
      </c>
      <c r="Q1346" s="110" t="e">
        <f>O1346-#REF!</f>
        <v>#REF!</v>
      </c>
      <c r="W1346" s="310"/>
      <c r="X1346" s="310"/>
      <c r="Y1346" s="310"/>
      <c r="Z1346" s="310"/>
      <c r="AA1346" s="310"/>
      <c r="AB1346" s="310"/>
      <c r="AC1346" s="310"/>
      <c r="AT1346" s="88" t="str">
        <f t="shared" si="102"/>
        <v>Special Order0</v>
      </c>
      <c r="AU1346" s="89" t="str">
        <f t="shared" si="103"/>
        <v>01-1900</v>
      </c>
      <c r="BA1346" s="92" t="str">
        <f t="shared" si="104"/>
        <v/>
      </c>
    </row>
    <row r="1347" spans="2:53">
      <c r="B1347" s="60">
        <f>[2]Trucks!A1344</f>
        <v>0</v>
      </c>
      <c r="C1347" s="11">
        <f>[2]Trucks!B1344</f>
        <v>0</v>
      </c>
      <c r="D1347" s="19" t="str">
        <f>IFERROR(VLOOKUP(C1347&amp;"",'[2]Retail Price List'!$A$3:$B$103,2,FALSE),"Special Order")</f>
        <v>Special Order</v>
      </c>
      <c r="E1347" s="18">
        <f>[2]Trucks!J1344</f>
        <v>0</v>
      </c>
      <c r="F1347" s="12">
        <f>[2]Trucks!E1344</f>
        <v>0</v>
      </c>
      <c r="G1347" s="56">
        <f>[2]Trucks!K1344</f>
        <v>0</v>
      </c>
      <c r="H1347" s="46">
        <f>[2]Trucks!I1344</f>
        <v>0</v>
      </c>
      <c r="I1347" s="83" t="str">
        <f t="shared" si="100"/>
        <v/>
      </c>
      <c r="J1347" s="272" t="str">
        <f>IFERROR(VLOOKUP((D1347&amp;C1347)&amp;"",'[2]Retail Price List'!$C$4:$F$102,3,FALSE),"")</f>
        <v/>
      </c>
      <c r="K1347" s="272">
        <f>IFERROR(IF(BA1347="WIP - 30 Days",VLOOKUP(D1347,[3]Standard!$B$9:$E$101,4,FALSE),IF(BA1347="31-120 Days",VLOOKUP(D1347,[3]Standard!$B$9:$F$101,5,FALSE),IF(BA1347="121-365 Days",VLOOKUP(D1347,[3]Standard!$B$9:$G$101,6,FALSE),VLOOKUP(D1347,[3]Standard!$B$9:$H$101,7,FALSE)))),0)</f>
        <v>0</v>
      </c>
      <c r="L1347" s="272">
        <f>IFERROR(IF(BA1347="WIP - 30 Days",VLOOKUP(D1347,[3]Standard!$B$9:$J$101,9,FALSE),IF(BA1347="31-120 Days",VLOOKUP(D1347,[3]Standard!$B$9:$K$100,10,FALSE),IF(BA1347="121-365 Days",VLOOKUP(D1347,[3]Standard!$B$9:$L$101,11,FALSE),VLOOKUP(D1347,[3]Standard!$B$9:$M$101,12,FALSE)))),0)</f>
        <v>0</v>
      </c>
      <c r="M1347" s="269" t="str">
        <f>IFERROR(VLOOKUP((D1347&amp;C1347)&amp;"",'[2]Retail Price List'!$C$4:$F$102,4,FALSE),"")</f>
        <v/>
      </c>
      <c r="N1347" s="269">
        <f>IFERROR(IF(BA1347="WIP - 30 Days",VLOOKUP(D1347,[3]Extended!$B$9:$E$101,4,FALSE),IF(BA1347="31-120 Days",VLOOKUP(D1347,[3]Extended!$B$9:$F$101,5,FALSE),IF(BA1347="121-365 Days",VLOOKUP(D1347,[3]Extended!$B$9:$G$101,6,FALSE),VLOOKUP(D1347,[3]Extended!$B$9:$H$101,7,FALSE)))),0)</f>
        <v>0</v>
      </c>
      <c r="O1347" s="269">
        <f>IFERROR(IF(BA1347="WIP - 30 Days",VLOOKUP(D1347,[3]Extended!$B$9:$J$101,9,FALSE),IF(BA1347="31-120 Days",VLOOKUP(D1347,[3]Extended!$B$9:$K$101,10,FALSE),IF(BA1347="121-365 Days",VLOOKUP(D1347,[3]Extended!$B$9:$L$101,11,FALSE),VLOOKUP(D1347,[3]Extended!$B$9:$M$101,12,FALSE)))),0)</f>
        <v>0</v>
      </c>
      <c r="P1347" s="116" t="e">
        <f t="shared" si="101"/>
        <v>#VALUE!</v>
      </c>
      <c r="Q1347" s="110" t="e">
        <f>O1347-#REF!</f>
        <v>#REF!</v>
      </c>
      <c r="W1347" s="310"/>
      <c r="X1347" s="310"/>
      <c r="Y1347" s="310"/>
      <c r="Z1347" s="310"/>
      <c r="AA1347" s="310"/>
      <c r="AB1347" s="310"/>
      <c r="AC1347" s="310"/>
      <c r="AT1347" s="88" t="str">
        <f t="shared" si="102"/>
        <v>Special Order0</v>
      </c>
      <c r="AU1347" s="89" t="str">
        <f t="shared" si="103"/>
        <v>01-1900</v>
      </c>
      <c r="BA1347" s="92" t="str">
        <f t="shared" si="104"/>
        <v/>
      </c>
    </row>
    <row r="1348" spans="2:53">
      <c r="B1348" s="60">
        <f>[2]Trucks!A1345</f>
        <v>0</v>
      </c>
      <c r="C1348" s="11">
        <f>[2]Trucks!B1345</f>
        <v>0</v>
      </c>
      <c r="D1348" s="19" t="str">
        <f>IFERROR(VLOOKUP(C1348&amp;"",'[2]Retail Price List'!$A$3:$B$103,2,FALSE),"Special Order")</f>
        <v>Special Order</v>
      </c>
      <c r="E1348" s="18">
        <f>[2]Trucks!J1345</f>
        <v>0</v>
      </c>
      <c r="F1348" s="12">
        <f>[2]Trucks!E1345</f>
        <v>0</v>
      </c>
      <c r="G1348" s="56">
        <f>[2]Trucks!K1345</f>
        <v>0</v>
      </c>
      <c r="H1348" s="46">
        <f>[2]Trucks!I1345</f>
        <v>0</v>
      </c>
      <c r="I1348" s="83" t="str">
        <f t="shared" si="100"/>
        <v/>
      </c>
      <c r="J1348" s="272" t="str">
        <f>IFERROR(VLOOKUP((D1348&amp;C1348)&amp;"",'[2]Retail Price List'!$C$4:$F$102,3,FALSE),"")</f>
        <v/>
      </c>
      <c r="K1348" s="272">
        <f>IFERROR(IF(BA1348="WIP - 30 Days",VLOOKUP(D1348,[3]Standard!$B$9:$E$101,4,FALSE),IF(BA1348="31-120 Days",VLOOKUP(D1348,[3]Standard!$B$9:$F$101,5,FALSE),IF(BA1348="121-365 Days",VLOOKUP(D1348,[3]Standard!$B$9:$G$101,6,FALSE),VLOOKUP(D1348,[3]Standard!$B$9:$H$101,7,FALSE)))),0)</f>
        <v>0</v>
      </c>
      <c r="L1348" s="272">
        <f>IFERROR(IF(BA1348="WIP - 30 Days",VLOOKUP(D1348,[3]Standard!$B$9:$J$101,9,FALSE),IF(BA1348="31-120 Days",VLOOKUP(D1348,[3]Standard!$B$9:$K$100,10,FALSE),IF(BA1348="121-365 Days",VLOOKUP(D1348,[3]Standard!$B$9:$L$101,11,FALSE),VLOOKUP(D1348,[3]Standard!$B$9:$M$101,12,FALSE)))),0)</f>
        <v>0</v>
      </c>
      <c r="M1348" s="269" t="str">
        <f>IFERROR(VLOOKUP((D1348&amp;C1348)&amp;"",'[2]Retail Price List'!$C$4:$F$102,4,FALSE),"")</f>
        <v/>
      </c>
      <c r="N1348" s="269">
        <f>IFERROR(IF(BA1348="WIP - 30 Days",VLOOKUP(D1348,[3]Extended!$B$9:$E$101,4,FALSE),IF(BA1348="31-120 Days",VLOOKUP(D1348,[3]Extended!$B$9:$F$101,5,FALSE),IF(BA1348="121-365 Days",VLOOKUP(D1348,[3]Extended!$B$9:$G$101,6,FALSE),VLOOKUP(D1348,[3]Extended!$B$9:$H$101,7,FALSE)))),0)</f>
        <v>0</v>
      </c>
      <c r="O1348" s="269">
        <f>IFERROR(IF(BA1348="WIP - 30 Days",VLOOKUP(D1348,[3]Extended!$B$9:$J$101,9,FALSE),IF(BA1348="31-120 Days",VLOOKUP(D1348,[3]Extended!$B$9:$K$101,10,FALSE),IF(BA1348="121-365 Days",VLOOKUP(D1348,[3]Extended!$B$9:$L$101,11,FALSE),VLOOKUP(D1348,[3]Extended!$B$9:$M$101,12,FALSE)))),0)</f>
        <v>0</v>
      </c>
      <c r="P1348" s="116" t="e">
        <f t="shared" si="101"/>
        <v>#VALUE!</v>
      </c>
      <c r="Q1348" s="110" t="e">
        <f>O1348-#REF!</f>
        <v>#REF!</v>
      </c>
      <c r="W1348" s="310"/>
      <c r="X1348" s="310"/>
      <c r="Y1348" s="310"/>
      <c r="Z1348" s="310"/>
      <c r="AA1348" s="310"/>
      <c r="AB1348" s="310"/>
      <c r="AC1348" s="310"/>
      <c r="AT1348" s="88" t="str">
        <f t="shared" si="102"/>
        <v>Special Order0</v>
      </c>
      <c r="AU1348" s="89" t="str">
        <f t="shared" si="103"/>
        <v>01-1900</v>
      </c>
      <c r="BA1348" s="92" t="str">
        <f t="shared" si="104"/>
        <v/>
      </c>
    </row>
    <row r="1349" spans="2:53">
      <c r="B1349" s="60">
        <f>[2]Trucks!A1346</f>
        <v>0</v>
      </c>
      <c r="C1349" s="11">
        <f>[2]Trucks!B1346</f>
        <v>0</v>
      </c>
      <c r="D1349" s="19" t="str">
        <f>IFERROR(VLOOKUP(C1349&amp;"",'[2]Retail Price List'!$A$3:$B$103,2,FALSE),"Special Order")</f>
        <v>Special Order</v>
      </c>
      <c r="E1349" s="18">
        <f>[2]Trucks!J1346</f>
        <v>0</v>
      </c>
      <c r="F1349" s="12">
        <f>[2]Trucks!E1346</f>
        <v>0</v>
      </c>
      <c r="G1349" s="56">
        <f>[2]Trucks!K1346</f>
        <v>0</v>
      </c>
      <c r="H1349" s="46">
        <f>[2]Trucks!I1346</f>
        <v>0</v>
      </c>
      <c r="I1349" s="83" t="str">
        <f t="shared" ref="I1349:I1412" si="105">IFERROR(VLOOKUP(AU1349,$AW$5:$AY$40,3,FALSE),"")</f>
        <v/>
      </c>
      <c r="J1349" s="272" t="str">
        <f>IFERROR(VLOOKUP((D1349&amp;C1349)&amp;"",'[2]Retail Price List'!$C$4:$F$102,3,FALSE),"")</f>
        <v/>
      </c>
      <c r="K1349" s="272">
        <f>IFERROR(IF(BA1349="WIP - 30 Days",VLOOKUP(D1349,[3]Standard!$B$9:$E$101,4,FALSE),IF(BA1349="31-120 Days",VLOOKUP(D1349,[3]Standard!$B$9:$F$101,5,FALSE),IF(BA1349="121-365 Days",VLOOKUP(D1349,[3]Standard!$B$9:$G$101,6,FALSE),VLOOKUP(D1349,[3]Standard!$B$9:$H$101,7,FALSE)))),0)</f>
        <v>0</v>
      </c>
      <c r="L1349" s="272">
        <f>IFERROR(IF(BA1349="WIP - 30 Days",VLOOKUP(D1349,[3]Standard!$B$9:$J$101,9,FALSE),IF(BA1349="31-120 Days",VLOOKUP(D1349,[3]Standard!$B$9:$K$100,10,FALSE),IF(BA1349="121-365 Days",VLOOKUP(D1349,[3]Standard!$B$9:$L$101,11,FALSE),VLOOKUP(D1349,[3]Standard!$B$9:$M$101,12,FALSE)))),0)</f>
        <v>0</v>
      </c>
      <c r="M1349" s="269" t="str">
        <f>IFERROR(VLOOKUP((D1349&amp;C1349)&amp;"",'[2]Retail Price List'!$C$4:$F$102,4,FALSE),"")</f>
        <v/>
      </c>
      <c r="N1349" s="269">
        <f>IFERROR(IF(BA1349="WIP - 30 Days",VLOOKUP(D1349,[3]Extended!$B$9:$E$101,4,FALSE),IF(BA1349="31-120 Days",VLOOKUP(D1349,[3]Extended!$B$9:$F$101,5,FALSE),IF(BA1349="121-365 Days",VLOOKUP(D1349,[3]Extended!$B$9:$G$101,6,FALSE),VLOOKUP(D1349,[3]Extended!$B$9:$H$101,7,FALSE)))),0)</f>
        <v>0</v>
      </c>
      <c r="O1349" s="269">
        <f>IFERROR(IF(BA1349="WIP - 30 Days",VLOOKUP(D1349,[3]Extended!$B$9:$J$101,9,FALSE),IF(BA1349="31-120 Days",VLOOKUP(D1349,[3]Extended!$B$9:$K$101,10,FALSE),IF(BA1349="121-365 Days",VLOOKUP(D1349,[3]Extended!$B$9:$L$101,11,FALSE),VLOOKUP(D1349,[3]Extended!$B$9:$M$101,12,FALSE)))),0)</f>
        <v>0</v>
      </c>
      <c r="P1349" s="116" t="e">
        <f t="shared" ref="P1349:P1412" si="106">(M1349-O1349)/M1349</f>
        <v>#VALUE!</v>
      </c>
      <c r="Q1349" s="110" t="e">
        <f>O1349-#REF!</f>
        <v>#REF!</v>
      </c>
      <c r="W1349" s="310"/>
      <c r="X1349" s="310"/>
      <c r="Y1349" s="310"/>
      <c r="Z1349" s="310"/>
      <c r="AA1349" s="310"/>
      <c r="AB1349" s="310"/>
      <c r="AC1349" s="310"/>
      <c r="AT1349" s="88" t="str">
        <f t="shared" ref="AT1349:AT1412" si="107">D1349&amp;I1349&amp;G1349</f>
        <v>Special Order0</v>
      </c>
      <c r="AU1349" s="89" t="str">
        <f t="shared" ref="AU1349:AU1412" si="108">IF(MONTH(H1349)&lt;10,0&amp;MONTH(H1349)&amp;"-"&amp;YEAR(H1349),MONTH(H1349)&amp;"-"&amp;YEAR(H1349))</f>
        <v>01-1900</v>
      </c>
      <c r="BA1349" s="92" t="str">
        <f t="shared" ref="BA1349:BA1412" si="109">IF(B1349=0,"",IF(AND(F1349&gt;=31,F1349&lt;=120),"31-120 Days",IF(AND(F1349&gt;=121,F1349&lt;=365),"121-365 Days",IF(OR(E1349="CKD",F1349&lt;=30),"WIP - 30 Days","&gt;365 Days"))))</f>
        <v/>
      </c>
    </row>
    <row r="1350" spans="2:53">
      <c r="B1350" s="60">
        <f>[2]Trucks!A1347</f>
        <v>0</v>
      </c>
      <c r="C1350" s="11">
        <f>[2]Trucks!B1347</f>
        <v>0</v>
      </c>
      <c r="D1350" s="19" t="str">
        <f>IFERROR(VLOOKUP(C1350&amp;"",'[2]Retail Price List'!$A$3:$B$103,2,FALSE),"Special Order")</f>
        <v>Special Order</v>
      </c>
      <c r="E1350" s="18">
        <f>[2]Trucks!J1347</f>
        <v>0</v>
      </c>
      <c r="F1350" s="12">
        <f>[2]Trucks!E1347</f>
        <v>0</v>
      </c>
      <c r="G1350" s="56">
        <f>[2]Trucks!K1347</f>
        <v>0</v>
      </c>
      <c r="H1350" s="46">
        <f>[2]Trucks!I1347</f>
        <v>0</v>
      </c>
      <c r="I1350" s="83" t="str">
        <f t="shared" si="105"/>
        <v/>
      </c>
      <c r="J1350" s="272" t="str">
        <f>IFERROR(VLOOKUP((D1350&amp;C1350)&amp;"",'[2]Retail Price List'!$C$4:$F$102,3,FALSE),"")</f>
        <v/>
      </c>
      <c r="K1350" s="272">
        <f>IFERROR(IF(BA1350="WIP - 30 Days",VLOOKUP(D1350,[3]Standard!$B$9:$E$101,4,FALSE),IF(BA1350="31-120 Days",VLOOKUP(D1350,[3]Standard!$B$9:$F$101,5,FALSE),IF(BA1350="121-365 Days",VLOOKUP(D1350,[3]Standard!$B$9:$G$101,6,FALSE),VLOOKUP(D1350,[3]Standard!$B$9:$H$101,7,FALSE)))),0)</f>
        <v>0</v>
      </c>
      <c r="L1350" s="272">
        <f>IFERROR(IF(BA1350="WIP - 30 Days",VLOOKUP(D1350,[3]Standard!$B$9:$J$101,9,FALSE),IF(BA1350="31-120 Days",VLOOKUP(D1350,[3]Standard!$B$9:$K$100,10,FALSE),IF(BA1350="121-365 Days",VLOOKUP(D1350,[3]Standard!$B$9:$L$101,11,FALSE),VLOOKUP(D1350,[3]Standard!$B$9:$M$101,12,FALSE)))),0)</f>
        <v>0</v>
      </c>
      <c r="M1350" s="269" t="str">
        <f>IFERROR(VLOOKUP((D1350&amp;C1350)&amp;"",'[2]Retail Price List'!$C$4:$F$102,4,FALSE),"")</f>
        <v/>
      </c>
      <c r="N1350" s="269">
        <f>IFERROR(IF(BA1350="WIP - 30 Days",VLOOKUP(D1350,[3]Extended!$B$9:$E$101,4,FALSE),IF(BA1350="31-120 Days",VLOOKUP(D1350,[3]Extended!$B$9:$F$101,5,FALSE),IF(BA1350="121-365 Days",VLOOKUP(D1350,[3]Extended!$B$9:$G$101,6,FALSE),VLOOKUP(D1350,[3]Extended!$B$9:$H$101,7,FALSE)))),0)</f>
        <v>0</v>
      </c>
      <c r="O1350" s="269">
        <f>IFERROR(IF(BA1350="WIP - 30 Days",VLOOKUP(D1350,[3]Extended!$B$9:$J$101,9,FALSE),IF(BA1350="31-120 Days",VLOOKUP(D1350,[3]Extended!$B$9:$K$101,10,FALSE),IF(BA1350="121-365 Days",VLOOKUP(D1350,[3]Extended!$B$9:$L$101,11,FALSE),VLOOKUP(D1350,[3]Extended!$B$9:$M$101,12,FALSE)))),0)</f>
        <v>0</v>
      </c>
      <c r="P1350" s="116" t="e">
        <f t="shared" si="106"/>
        <v>#VALUE!</v>
      </c>
      <c r="Q1350" s="110" t="e">
        <f>O1350-#REF!</f>
        <v>#REF!</v>
      </c>
      <c r="W1350" s="310"/>
      <c r="X1350" s="310"/>
      <c r="Y1350" s="310"/>
      <c r="Z1350" s="310"/>
      <c r="AA1350" s="310"/>
      <c r="AB1350" s="310"/>
      <c r="AC1350" s="310"/>
      <c r="AT1350" s="88" t="str">
        <f t="shared" si="107"/>
        <v>Special Order0</v>
      </c>
      <c r="AU1350" s="89" t="str">
        <f t="shared" si="108"/>
        <v>01-1900</v>
      </c>
      <c r="BA1350" s="92" t="str">
        <f t="shared" si="109"/>
        <v/>
      </c>
    </row>
    <row r="1351" spans="2:53">
      <c r="B1351" s="60">
        <f>[2]Trucks!A1348</f>
        <v>0</v>
      </c>
      <c r="C1351" s="11">
        <f>[2]Trucks!B1348</f>
        <v>0</v>
      </c>
      <c r="D1351" s="19" t="str">
        <f>IFERROR(VLOOKUP(C1351&amp;"",'[2]Retail Price List'!$A$3:$B$103,2,FALSE),"Special Order")</f>
        <v>Special Order</v>
      </c>
      <c r="E1351" s="18">
        <f>[2]Trucks!J1348</f>
        <v>0</v>
      </c>
      <c r="F1351" s="12">
        <f>[2]Trucks!E1348</f>
        <v>0</v>
      </c>
      <c r="G1351" s="56">
        <f>[2]Trucks!K1348</f>
        <v>0</v>
      </c>
      <c r="H1351" s="46">
        <f>[2]Trucks!I1348</f>
        <v>0</v>
      </c>
      <c r="I1351" s="83" t="str">
        <f t="shared" si="105"/>
        <v/>
      </c>
      <c r="J1351" s="272" t="str">
        <f>IFERROR(VLOOKUP((D1351&amp;C1351)&amp;"",'[2]Retail Price List'!$C$4:$F$102,3,FALSE),"")</f>
        <v/>
      </c>
      <c r="K1351" s="272">
        <f>IFERROR(IF(BA1351="WIP - 30 Days",VLOOKUP(D1351,[3]Standard!$B$9:$E$101,4,FALSE),IF(BA1351="31-120 Days",VLOOKUP(D1351,[3]Standard!$B$9:$F$101,5,FALSE),IF(BA1351="121-365 Days",VLOOKUP(D1351,[3]Standard!$B$9:$G$101,6,FALSE),VLOOKUP(D1351,[3]Standard!$B$9:$H$101,7,FALSE)))),0)</f>
        <v>0</v>
      </c>
      <c r="L1351" s="272">
        <f>IFERROR(IF(BA1351="WIP - 30 Days",VLOOKUP(D1351,[3]Standard!$B$9:$J$101,9,FALSE),IF(BA1351="31-120 Days",VLOOKUP(D1351,[3]Standard!$B$9:$K$100,10,FALSE),IF(BA1351="121-365 Days",VLOOKUP(D1351,[3]Standard!$B$9:$L$101,11,FALSE),VLOOKUP(D1351,[3]Standard!$B$9:$M$101,12,FALSE)))),0)</f>
        <v>0</v>
      </c>
      <c r="M1351" s="269" t="str">
        <f>IFERROR(VLOOKUP((D1351&amp;C1351)&amp;"",'[2]Retail Price List'!$C$4:$F$102,4,FALSE),"")</f>
        <v/>
      </c>
      <c r="N1351" s="269">
        <f>IFERROR(IF(BA1351="WIP - 30 Days",VLOOKUP(D1351,[3]Extended!$B$9:$E$101,4,FALSE),IF(BA1351="31-120 Days",VLOOKUP(D1351,[3]Extended!$B$9:$F$101,5,FALSE),IF(BA1351="121-365 Days",VLOOKUP(D1351,[3]Extended!$B$9:$G$101,6,FALSE),VLOOKUP(D1351,[3]Extended!$B$9:$H$101,7,FALSE)))),0)</f>
        <v>0</v>
      </c>
      <c r="O1351" s="269">
        <f>IFERROR(IF(BA1351="WIP - 30 Days",VLOOKUP(D1351,[3]Extended!$B$9:$J$101,9,FALSE),IF(BA1351="31-120 Days",VLOOKUP(D1351,[3]Extended!$B$9:$K$101,10,FALSE),IF(BA1351="121-365 Days",VLOOKUP(D1351,[3]Extended!$B$9:$L$101,11,FALSE),VLOOKUP(D1351,[3]Extended!$B$9:$M$101,12,FALSE)))),0)</f>
        <v>0</v>
      </c>
      <c r="P1351" s="116" t="e">
        <f t="shared" si="106"/>
        <v>#VALUE!</v>
      </c>
      <c r="Q1351" s="110" t="e">
        <f>O1351-#REF!</f>
        <v>#REF!</v>
      </c>
      <c r="W1351" s="310"/>
      <c r="X1351" s="310"/>
      <c r="Y1351" s="310"/>
      <c r="Z1351" s="310"/>
      <c r="AA1351" s="310"/>
      <c r="AB1351" s="310"/>
      <c r="AC1351" s="310"/>
      <c r="AT1351" s="88" t="str">
        <f t="shared" si="107"/>
        <v>Special Order0</v>
      </c>
      <c r="AU1351" s="89" t="str">
        <f t="shared" si="108"/>
        <v>01-1900</v>
      </c>
      <c r="BA1351" s="92" t="str">
        <f t="shared" si="109"/>
        <v/>
      </c>
    </row>
    <row r="1352" spans="2:53">
      <c r="B1352" s="60">
        <f>[2]Trucks!A1349</f>
        <v>0</v>
      </c>
      <c r="C1352" s="11">
        <f>[2]Trucks!B1349</f>
        <v>0</v>
      </c>
      <c r="D1352" s="19" t="str">
        <f>IFERROR(VLOOKUP(C1352&amp;"",'[2]Retail Price List'!$A$3:$B$103,2,FALSE),"Special Order")</f>
        <v>Special Order</v>
      </c>
      <c r="E1352" s="18">
        <f>[2]Trucks!J1349</f>
        <v>0</v>
      </c>
      <c r="F1352" s="12">
        <f>[2]Trucks!E1349</f>
        <v>0</v>
      </c>
      <c r="G1352" s="56">
        <f>[2]Trucks!K1349</f>
        <v>0</v>
      </c>
      <c r="H1352" s="46">
        <f>[2]Trucks!I1349</f>
        <v>0</v>
      </c>
      <c r="I1352" s="83" t="str">
        <f t="shared" si="105"/>
        <v/>
      </c>
      <c r="J1352" s="272" t="str">
        <f>IFERROR(VLOOKUP((D1352&amp;C1352)&amp;"",'[2]Retail Price List'!$C$4:$F$102,3,FALSE),"")</f>
        <v/>
      </c>
      <c r="K1352" s="272">
        <f>IFERROR(IF(BA1352="WIP - 30 Days",VLOOKUP(D1352,[3]Standard!$B$9:$E$101,4,FALSE),IF(BA1352="31-120 Days",VLOOKUP(D1352,[3]Standard!$B$9:$F$101,5,FALSE),IF(BA1352="121-365 Days",VLOOKUP(D1352,[3]Standard!$B$9:$G$101,6,FALSE),VLOOKUP(D1352,[3]Standard!$B$9:$H$101,7,FALSE)))),0)</f>
        <v>0</v>
      </c>
      <c r="L1352" s="272">
        <f>IFERROR(IF(BA1352="WIP - 30 Days",VLOOKUP(D1352,[3]Standard!$B$9:$J$101,9,FALSE),IF(BA1352="31-120 Days",VLOOKUP(D1352,[3]Standard!$B$9:$K$100,10,FALSE),IF(BA1352="121-365 Days",VLOOKUP(D1352,[3]Standard!$B$9:$L$101,11,FALSE),VLOOKUP(D1352,[3]Standard!$B$9:$M$101,12,FALSE)))),0)</f>
        <v>0</v>
      </c>
      <c r="M1352" s="269" t="str">
        <f>IFERROR(VLOOKUP((D1352&amp;C1352)&amp;"",'[2]Retail Price List'!$C$4:$F$102,4,FALSE),"")</f>
        <v/>
      </c>
      <c r="N1352" s="269">
        <f>IFERROR(IF(BA1352="WIP - 30 Days",VLOOKUP(D1352,[3]Extended!$B$9:$E$101,4,FALSE),IF(BA1352="31-120 Days",VLOOKUP(D1352,[3]Extended!$B$9:$F$101,5,FALSE),IF(BA1352="121-365 Days",VLOOKUP(D1352,[3]Extended!$B$9:$G$101,6,FALSE),VLOOKUP(D1352,[3]Extended!$B$9:$H$101,7,FALSE)))),0)</f>
        <v>0</v>
      </c>
      <c r="O1352" s="269">
        <f>IFERROR(IF(BA1352="WIP - 30 Days",VLOOKUP(D1352,[3]Extended!$B$9:$J$101,9,FALSE),IF(BA1352="31-120 Days",VLOOKUP(D1352,[3]Extended!$B$9:$K$101,10,FALSE),IF(BA1352="121-365 Days",VLOOKUP(D1352,[3]Extended!$B$9:$L$101,11,FALSE),VLOOKUP(D1352,[3]Extended!$B$9:$M$101,12,FALSE)))),0)</f>
        <v>0</v>
      </c>
      <c r="P1352" s="116" t="e">
        <f t="shared" si="106"/>
        <v>#VALUE!</v>
      </c>
      <c r="Q1352" s="110" t="e">
        <f>O1352-#REF!</f>
        <v>#REF!</v>
      </c>
      <c r="W1352" s="310"/>
      <c r="X1352" s="310"/>
      <c r="Y1352" s="310"/>
      <c r="Z1352" s="310"/>
      <c r="AA1352" s="310"/>
      <c r="AB1352" s="310"/>
      <c r="AC1352" s="310"/>
      <c r="AT1352" s="88" t="str">
        <f t="shared" si="107"/>
        <v>Special Order0</v>
      </c>
      <c r="AU1352" s="89" t="str">
        <f t="shared" si="108"/>
        <v>01-1900</v>
      </c>
      <c r="BA1352" s="92" t="str">
        <f t="shared" si="109"/>
        <v/>
      </c>
    </row>
    <row r="1353" spans="2:53">
      <c r="B1353" s="60">
        <f>[2]Trucks!A1350</f>
        <v>0</v>
      </c>
      <c r="C1353" s="11">
        <f>[2]Trucks!B1350</f>
        <v>0</v>
      </c>
      <c r="D1353" s="19" t="str">
        <f>IFERROR(VLOOKUP(C1353&amp;"",'[2]Retail Price List'!$A$3:$B$103,2,FALSE),"Special Order")</f>
        <v>Special Order</v>
      </c>
      <c r="E1353" s="18">
        <f>[2]Trucks!J1350</f>
        <v>0</v>
      </c>
      <c r="F1353" s="12">
        <f>[2]Trucks!E1350</f>
        <v>0</v>
      </c>
      <c r="G1353" s="56">
        <f>[2]Trucks!K1350</f>
        <v>0</v>
      </c>
      <c r="H1353" s="46">
        <f>[2]Trucks!I1350</f>
        <v>0</v>
      </c>
      <c r="I1353" s="83" t="str">
        <f t="shared" si="105"/>
        <v/>
      </c>
      <c r="J1353" s="272" t="str">
        <f>IFERROR(VLOOKUP((D1353&amp;C1353)&amp;"",'[2]Retail Price List'!$C$4:$F$102,3,FALSE),"")</f>
        <v/>
      </c>
      <c r="K1353" s="272">
        <f>IFERROR(IF(BA1353="WIP - 30 Days",VLOOKUP(D1353,[3]Standard!$B$9:$E$101,4,FALSE),IF(BA1353="31-120 Days",VLOOKUP(D1353,[3]Standard!$B$9:$F$101,5,FALSE),IF(BA1353="121-365 Days",VLOOKUP(D1353,[3]Standard!$B$9:$G$101,6,FALSE),VLOOKUP(D1353,[3]Standard!$B$9:$H$101,7,FALSE)))),0)</f>
        <v>0</v>
      </c>
      <c r="L1353" s="272">
        <f>IFERROR(IF(BA1353="WIP - 30 Days",VLOOKUP(D1353,[3]Standard!$B$9:$J$101,9,FALSE),IF(BA1353="31-120 Days",VLOOKUP(D1353,[3]Standard!$B$9:$K$100,10,FALSE),IF(BA1353="121-365 Days",VLOOKUP(D1353,[3]Standard!$B$9:$L$101,11,FALSE),VLOOKUP(D1353,[3]Standard!$B$9:$M$101,12,FALSE)))),0)</f>
        <v>0</v>
      </c>
      <c r="M1353" s="269" t="str">
        <f>IFERROR(VLOOKUP((D1353&amp;C1353)&amp;"",'[2]Retail Price List'!$C$4:$F$102,4,FALSE),"")</f>
        <v/>
      </c>
      <c r="N1353" s="269">
        <f>IFERROR(IF(BA1353="WIP - 30 Days",VLOOKUP(D1353,[3]Extended!$B$9:$E$101,4,FALSE),IF(BA1353="31-120 Days",VLOOKUP(D1353,[3]Extended!$B$9:$F$101,5,FALSE),IF(BA1353="121-365 Days",VLOOKUP(D1353,[3]Extended!$B$9:$G$101,6,FALSE),VLOOKUP(D1353,[3]Extended!$B$9:$H$101,7,FALSE)))),0)</f>
        <v>0</v>
      </c>
      <c r="O1353" s="269">
        <f>IFERROR(IF(BA1353="WIP - 30 Days",VLOOKUP(D1353,[3]Extended!$B$9:$J$101,9,FALSE),IF(BA1353="31-120 Days",VLOOKUP(D1353,[3]Extended!$B$9:$K$101,10,FALSE),IF(BA1353="121-365 Days",VLOOKUP(D1353,[3]Extended!$B$9:$L$101,11,FALSE),VLOOKUP(D1353,[3]Extended!$B$9:$M$101,12,FALSE)))),0)</f>
        <v>0</v>
      </c>
      <c r="P1353" s="116" t="e">
        <f t="shared" si="106"/>
        <v>#VALUE!</v>
      </c>
      <c r="Q1353" s="110" t="e">
        <f>O1353-#REF!</f>
        <v>#REF!</v>
      </c>
      <c r="AT1353" s="88" t="str">
        <f t="shared" si="107"/>
        <v>Special Order0</v>
      </c>
      <c r="AU1353" s="89" t="str">
        <f t="shared" si="108"/>
        <v>01-1900</v>
      </c>
      <c r="BA1353" s="92" t="str">
        <f t="shared" si="109"/>
        <v/>
      </c>
    </row>
    <row r="1354" spans="2:53">
      <c r="B1354" s="60">
        <f>[2]Trucks!A1351</f>
        <v>0</v>
      </c>
      <c r="C1354" s="11">
        <f>[2]Trucks!B1351</f>
        <v>0</v>
      </c>
      <c r="D1354" s="19" t="str">
        <f>IFERROR(VLOOKUP(C1354&amp;"",'[2]Retail Price List'!$A$3:$B$103,2,FALSE),"Special Order")</f>
        <v>Special Order</v>
      </c>
      <c r="E1354" s="18">
        <f>[2]Trucks!J1351</f>
        <v>0</v>
      </c>
      <c r="F1354" s="12">
        <f>[2]Trucks!E1351</f>
        <v>0</v>
      </c>
      <c r="G1354" s="56">
        <f>[2]Trucks!K1351</f>
        <v>0</v>
      </c>
      <c r="H1354" s="46">
        <f>[2]Trucks!I1351</f>
        <v>0</v>
      </c>
      <c r="I1354" s="83" t="str">
        <f t="shared" si="105"/>
        <v/>
      </c>
      <c r="J1354" s="272" t="str">
        <f>IFERROR(VLOOKUP((D1354&amp;C1354)&amp;"",'[2]Retail Price List'!$C$4:$F$102,3,FALSE),"")</f>
        <v/>
      </c>
      <c r="K1354" s="272">
        <f>IFERROR(IF(BA1354="WIP - 30 Days",VLOOKUP(D1354,[3]Standard!$B$9:$E$101,4,FALSE),IF(BA1354="31-120 Days",VLOOKUP(D1354,[3]Standard!$B$9:$F$101,5,FALSE),IF(BA1354="121-365 Days",VLOOKUP(D1354,[3]Standard!$B$9:$G$101,6,FALSE),VLOOKUP(D1354,[3]Standard!$B$9:$H$101,7,FALSE)))),0)</f>
        <v>0</v>
      </c>
      <c r="L1354" s="272">
        <f>IFERROR(IF(BA1354="WIP - 30 Days",VLOOKUP(D1354,[3]Standard!$B$9:$J$101,9,FALSE),IF(BA1354="31-120 Days",VLOOKUP(D1354,[3]Standard!$B$9:$K$100,10,FALSE),IF(BA1354="121-365 Days",VLOOKUP(D1354,[3]Standard!$B$9:$L$101,11,FALSE),VLOOKUP(D1354,[3]Standard!$B$9:$M$101,12,FALSE)))),0)</f>
        <v>0</v>
      </c>
      <c r="M1354" s="269" t="str">
        <f>IFERROR(VLOOKUP((D1354&amp;C1354)&amp;"",'[2]Retail Price List'!$C$4:$F$102,4,FALSE),"")</f>
        <v/>
      </c>
      <c r="N1354" s="269">
        <f>IFERROR(IF(BA1354="WIP - 30 Days",VLOOKUP(D1354,[3]Extended!$B$9:$E$101,4,FALSE),IF(BA1354="31-120 Days",VLOOKUP(D1354,[3]Extended!$B$9:$F$101,5,FALSE),IF(BA1354="121-365 Days",VLOOKUP(D1354,[3]Extended!$B$9:$G$101,6,FALSE),VLOOKUP(D1354,[3]Extended!$B$9:$H$101,7,FALSE)))),0)</f>
        <v>0</v>
      </c>
      <c r="O1354" s="269">
        <f>IFERROR(IF(BA1354="WIP - 30 Days",VLOOKUP(D1354,[3]Extended!$B$9:$J$101,9,FALSE),IF(BA1354="31-120 Days",VLOOKUP(D1354,[3]Extended!$B$9:$K$101,10,FALSE),IF(BA1354="121-365 Days",VLOOKUP(D1354,[3]Extended!$B$9:$L$101,11,FALSE),VLOOKUP(D1354,[3]Extended!$B$9:$M$101,12,FALSE)))),0)</f>
        <v>0</v>
      </c>
      <c r="P1354" s="116" t="e">
        <f t="shared" si="106"/>
        <v>#VALUE!</v>
      </c>
      <c r="Q1354" s="110" t="e">
        <f>O1354-#REF!</f>
        <v>#REF!</v>
      </c>
      <c r="AT1354" s="88" t="str">
        <f t="shared" si="107"/>
        <v>Special Order0</v>
      </c>
      <c r="AU1354" s="89" t="str">
        <f t="shared" si="108"/>
        <v>01-1900</v>
      </c>
      <c r="BA1354" s="92" t="str">
        <f t="shared" si="109"/>
        <v/>
      </c>
    </row>
    <row r="1355" spans="2:53">
      <c r="B1355" s="60">
        <f>[2]Trucks!A1352</f>
        <v>0</v>
      </c>
      <c r="C1355" s="11">
        <f>[2]Trucks!B1352</f>
        <v>0</v>
      </c>
      <c r="D1355" s="19" t="str">
        <f>IFERROR(VLOOKUP(C1355&amp;"",'[2]Retail Price List'!$A$3:$B$103,2,FALSE),"Special Order")</f>
        <v>Special Order</v>
      </c>
      <c r="E1355" s="18">
        <f>[2]Trucks!J1352</f>
        <v>0</v>
      </c>
      <c r="F1355" s="12">
        <f>[2]Trucks!E1352</f>
        <v>0</v>
      </c>
      <c r="G1355" s="56">
        <f>[2]Trucks!K1352</f>
        <v>0</v>
      </c>
      <c r="H1355" s="46">
        <f>[2]Trucks!I1352</f>
        <v>0</v>
      </c>
      <c r="I1355" s="83" t="str">
        <f t="shared" si="105"/>
        <v/>
      </c>
      <c r="J1355" s="272" t="str">
        <f>IFERROR(VLOOKUP((D1355&amp;C1355)&amp;"",'[2]Retail Price List'!$C$4:$F$102,3,FALSE),"")</f>
        <v/>
      </c>
      <c r="K1355" s="272">
        <f>IFERROR(IF(BA1355="WIP - 30 Days",VLOOKUP(D1355,[3]Standard!$B$9:$E$101,4,FALSE),IF(BA1355="31-120 Days",VLOOKUP(D1355,[3]Standard!$B$9:$F$101,5,FALSE),IF(BA1355="121-365 Days",VLOOKUP(D1355,[3]Standard!$B$9:$G$101,6,FALSE),VLOOKUP(D1355,[3]Standard!$B$9:$H$101,7,FALSE)))),0)</f>
        <v>0</v>
      </c>
      <c r="L1355" s="272">
        <f>IFERROR(IF(BA1355="WIP - 30 Days",VLOOKUP(D1355,[3]Standard!$B$9:$J$101,9,FALSE),IF(BA1355="31-120 Days",VLOOKUP(D1355,[3]Standard!$B$9:$K$100,10,FALSE),IF(BA1355="121-365 Days",VLOOKUP(D1355,[3]Standard!$B$9:$L$101,11,FALSE),VLOOKUP(D1355,[3]Standard!$B$9:$M$101,12,FALSE)))),0)</f>
        <v>0</v>
      </c>
      <c r="M1355" s="269" t="str">
        <f>IFERROR(VLOOKUP((D1355&amp;C1355)&amp;"",'[2]Retail Price List'!$C$4:$F$102,4,FALSE),"")</f>
        <v/>
      </c>
      <c r="N1355" s="269">
        <f>IFERROR(IF(BA1355="WIP - 30 Days",VLOOKUP(D1355,[3]Extended!$B$9:$E$101,4,FALSE),IF(BA1355="31-120 Days",VLOOKUP(D1355,[3]Extended!$B$9:$F$101,5,FALSE),IF(BA1355="121-365 Days",VLOOKUP(D1355,[3]Extended!$B$9:$G$101,6,FALSE),VLOOKUP(D1355,[3]Extended!$B$9:$H$101,7,FALSE)))),0)</f>
        <v>0</v>
      </c>
      <c r="O1355" s="269">
        <f>IFERROR(IF(BA1355="WIP - 30 Days",VLOOKUP(D1355,[3]Extended!$B$9:$J$101,9,FALSE),IF(BA1355="31-120 Days",VLOOKUP(D1355,[3]Extended!$B$9:$K$101,10,FALSE),IF(BA1355="121-365 Days",VLOOKUP(D1355,[3]Extended!$B$9:$L$101,11,FALSE),VLOOKUP(D1355,[3]Extended!$B$9:$M$101,12,FALSE)))),0)</f>
        <v>0</v>
      </c>
      <c r="P1355" s="116" t="e">
        <f t="shared" si="106"/>
        <v>#VALUE!</v>
      </c>
      <c r="Q1355" s="110" t="e">
        <f>O1355-#REF!</f>
        <v>#REF!</v>
      </c>
      <c r="AT1355" s="88" t="str">
        <f t="shared" si="107"/>
        <v>Special Order0</v>
      </c>
      <c r="AU1355" s="89" t="str">
        <f t="shared" si="108"/>
        <v>01-1900</v>
      </c>
      <c r="BA1355" s="92" t="str">
        <f t="shared" si="109"/>
        <v/>
      </c>
    </row>
    <row r="1356" spans="2:53">
      <c r="B1356" s="60">
        <f>[2]Trucks!A1353</f>
        <v>0</v>
      </c>
      <c r="C1356" s="11">
        <f>[2]Trucks!B1353</f>
        <v>0</v>
      </c>
      <c r="D1356" s="19" t="str">
        <f>IFERROR(VLOOKUP(C1356&amp;"",'[2]Retail Price List'!$A$3:$B$103,2,FALSE),"Special Order")</f>
        <v>Special Order</v>
      </c>
      <c r="E1356" s="18">
        <f>[2]Trucks!J1353</f>
        <v>0</v>
      </c>
      <c r="F1356" s="12">
        <f>[2]Trucks!E1353</f>
        <v>0</v>
      </c>
      <c r="G1356" s="56">
        <f>[2]Trucks!K1353</f>
        <v>0</v>
      </c>
      <c r="H1356" s="46">
        <f>[2]Trucks!I1353</f>
        <v>0</v>
      </c>
      <c r="I1356" s="83" t="str">
        <f t="shared" si="105"/>
        <v/>
      </c>
      <c r="J1356" s="272" t="str">
        <f>IFERROR(VLOOKUP((D1356&amp;C1356)&amp;"",'[2]Retail Price List'!$C$4:$F$102,3,FALSE),"")</f>
        <v/>
      </c>
      <c r="K1356" s="272">
        <f>IFERROR(IF(BA1356="WIP - 30 Days",VLOOKUP(D1356,[3]Standard!$B$9:$E$101,4,FALSE),IF(BA1356="31-120 Days",VLOOKUP(D1356,[3]Standard!$B$9:$F$101,5,FALSE),IF(BA1356="121-365 Days",VLOOKUP(D1356,[3]Standard!$B$9:$G$101,6,FALSE),VLOOKUP(D1356,[3]Standard!$B$9:$H$101,7,FALSE)))),0)</f>
        <v>0</v>
      </c>
      <c r="L1356" s="272">
        <f>IFERROR(IF(BA1356="WIP - 30 Days",VLOOKUP(D1356,[3]Standard!$B$9:$J$101,9,FALSE),IF(BA1356="31-120 Days",VLOOKUP(D1356,[3]Standard!$B$9:$K$100,10,FALSE),IF(BA1356="121-365 Days",VLOOKUP(D1356,[3]Standard!$B$9:$L$101,11,FALSE),VLOOKUP(D1356,[3]Standard!$B$9:$M$101,12,FALSE)))),0)</f>
        <v>0</v>
      </c>
      <c r="M1356" s="269" t="str">
        <f>IFERROR(VLOOKUP((D1356&amp;C1356)&amp;"",'[2]Retail Price List'!$C$4:$F$102,4,FALSE),"")</f>
        <v/>
      </c>
      <c r="N1356" s="269">
        <f>IFERROR(IF(BA1356="WIP - 30 Days",VLOOKUP(D1356,[3]Extended!$B$9:$E$101,4,FALSE),IF(BA1356="31-120 Days",VLOOKUP(D1356,[3]Extended!$B$9:$F$101,5,FALSE),IF(BA1356="121-365 Days",VLOOKUP(D1356,[3]Extended!$B$9:$G$101,6,FALSE),VLOOKUP(D1356,[3]Extended!$B$9:$H$101,7,FALSE)))),0)</f>
        <v>0</v>
      </c>
      <c r="O1356" s="269">
        <f>IFERROR(IF(BA1356="WIP - 30 Days",VLOOKUP(D1356,[3]Extended!$B$9:$J$101,9,FALSE),IF(BA1356="31-120 Days",VLOOKUP(D1356,[3]Extended!$B$9:$K$101,10,FALSE),IF(BA1356="121-365 Days",VLOOKUP(D1356,[3]Extended!$B$9:$L$101,11,FALSE),VLOOKUP(D1356,[3]Extended!$B$9:$M$101,12,FALSE)))),0)</f>
        <v>0</v>
      </c>
      <c r="P1356" s="116" t="e">
        <f t="shared" si="106"/>
        <v>#VALUE!</v>
      </c>
      <c r="Q1356" s="110" t="e">
        <f>O1356-#REF!</f>
        <v>#REF!</v>
      </c>
      <c r="AT1356" s="88" t="str">
        <f t="shared" si="107"/>
        <v>Special Order0</v>
      </c>
      <c r="AU1356" s="89" t="str">
        <f t="shared" si="108"/>
        <v>01-1900</v>
      </c>
      <c r="BA1356" s="92" t="str">
        <f t="shared" si="109"/>
        <v/>
      </c>
    </row>
    <row r="1357" spans="2:53">
      <c r="B1357" s="60">
        <f>[2]Trucks!A1354</f>
        <v>0</v>
      </c>
      <c r="C1357" s="11">
        <f>[2]Trucks!B1354</f>
        <v>0</v>
      </c>
      <c r="D1357" s="19" t="str">
        <f>IFERROR(VLOOKUP(C1357&amp;"",'[2]Retail Price List'!$A$3:$B$103,2,FALSE),"Special Order")</f>
        <v>Special Order</v>
      </c>
      <c r="E1357" s="18">
        <f>[2]Trucks!J1354</f>
        <v>0</v>
      </c>
      <c r="F1357" s="12">
        <f>[2]Trucks!E1354</f>
        <v>0</v>
      </c>
      <c r="G1357" s="56">
        <f>[2]Trucks!K1354</f>
        <v>0</v>
      </c>
      <c r="H1357" s="46">
        <f>[2]Trucks!I1354</f>
        <v>0</v>
      </c>
      <c r="I1357" s="83" t="str">
        <f t="shared" si="105"/>
        <v/>
      </c>
      <c r="J1357" s="272" t="str">
        <f>IFERROR(VLOOKUP((D1357&amp;C1357)&amp;"",'[2]Retail Price List'!$C$4:$F$102,3,FALSE),"")</f>
        <v/>
      </c>
      <c r="K1357" s="272">
        <f>IFERROR(IF(BA1357="WIP - 30 Days",VLOOKUP(D1357,[3]Standard!$B$9:$E$101,4,FALSE),IF(BA1357="31-120 Days",VLOOKUP(D1357,[3]Standard!$B$9:$F$101,5,FALSE),IF(BA1357="121-365 Days",VLOOKUP(D1357,[3]Standard!$B$9:$G$101,6,FALSE),VLOOKUP(D1357,[3]Standard!$B$9:$H$101,7,FALSE)))),0)</f>
        <v>0</v>
      </c>
      <c r="L1357" s="272">
        <f>IFERROR(IF(BA1357="WIP - 30 Days",VLOOKUP(D1357,[3]Standard!$B$9:$J$101,9,FALSE),IF(BA1357="31-120 Days",VLOOKUP(D1357,[3]Standard!$B$9:$K$100,10,FALSE),IF(BA1357="121-365 Days",VLOOKUP(D1357,[3]Standard!$B$9:$L$101,11,FALSE),VLOOKUP(D1357,[3]Standard!$B$9:$M$101,12,FALSE)))),0)</f>
        <v>0</v>
      </c>
      <c r="M1357" s="269" t="str">
        <f>IFERROR(VLOOKUP((D1357&amp;C1357)&amp;"",'[2]Retail Price List'!$C$4:$F$102,4,FALSE),"")</f>
        <v/>
      </c>
      <c r="N1357" s="269">
        <f>IFERROR(IF(BA1357="WIP - 30 Days",VLOOKUP(D1357,[3]Extended!$B$9:$E$101,4,FALSE),IF(BA1357="31-120 Days",VLOOKUP(D1357,[3]Extended!$B$9:$F$101,5,FALSE),IF(BA1357="121-365 Days",VLOOKUP(D1357,[3]Extended!$B$9:$G$101,6,FALSE),VLOOKUP(D1357,[3]Extended!$B$9:$H$101,7,FALSE)))),0)</f>
        <v>0</v>
      </c>
      <c r="O1357" s="269">
        <f>IFERROR(IF(BA1357="WIP - 30 Days",VLOOKUP(D1357,[3]Extended!$B$9:$J$101,9,FALSE),IF(BA1357="31-120 Days",VLOOKUP(D1357,[3]Extended!$B$9:$K$101,10,FALSE),IF(BA1357="121-365 Days",VLOOKUP(D1357,[3]Extended!$B$9:$L$101,11,FALSE),VLOOKUP(D1357,[3]Extended!$B$9:$M$101,12,FALSE)))),0)</f>
        <v>0</v>
      </c>
      <c r="P1357" s="116" t="e">
        <f t="shared" si="106"/>
        <v>#VALUE!</v>
      </c>
      <c r="Q1357" s="110" t="e">
        <f>O1357-#REF!</f>
        <v>#REF!</v>
      </c>
      <c r="AT1357" s="88" t="str">
        <f t="shared" si="107"/>
        <v>Special Order0</v>
      </c>
      <c r="AU1357" s="89" t="str">
        <f t="shared" si="108"/>
        <v>01-1900</v>
      </c>
      <c r="BA1357" s="92" t="str">
        <f t="shared" si="109"/>
        <v/>
      </c>
    </row>
    <row r="1358" spans="2:53">
      <c r="B1358" s="60">
        <f>[2]Trucks!A1355</f>
        <v>0</v>
      </c>
      <c r="C1358" s="11">
        <f>[2]Trucks!B1355</f>
        <v>0</v>
      </c>
      <c r="D1358" s="19" t="str">
        <f>IFERROR(VLOOKUP(C1358&amp;"",'[2]Retail Price List'!$A$3:$B$103,2,FALSE),"Special Order")</f>
        <v>Special Order</v>
      </c>
      <c r="E1358" s="18">
        <f>[2]Trucks!J1355</f>
        <v>0</v>
      </c>
      <c r="F1358" s="12">
        <f>[2]Trucks!E1355</f>
        <v>0</v>
      </c>
      <c r="G1358" s="56">
        <f>[2]Trucks!K1355</f>
        <v>0</v>
      </c>
      <c r="H1358" s="46">
        <f>[2]Trucks!I1355</f>
        <v>0</v>
      </c>
      <c r="I1358" s="83" t="str">
        <f t="shared" si="105"/>
        <v/>
      </c>
      <c r="J1358" s="272" t="str">
        <f>IFERROR(VLOOKUP((D1358&amp;C1358)&amp;"",'[2]Retail Price List'!$C$4:$F$102,3,FALSE),"")</f>
        <v/>
      </c>
      <c r="K1358" s="272">
        <f>IFERROR(IF(BA1358="WIP - 30 Days",VLOOKUP(D1358,[3]Standard!$B$9:$E$101,4,FALSE),IF(BA1358="31-120 Days",VLOOKUP(D1358,[3]Standard!$B$9:$F$101,5,FALSE),IF(BA1358="121-365 Days",VLOOKUP(D1358,[3]Standard!$B$9:$G$101,6,FALSE),VLOOKUP(D1358,[3]Standard!$B$9:$H$101,7,FALSE)))),0)</f>
        <v>0</v>
      </c>
      <c r="L1358" s="272">
        <f>IFERROR(IF(BA1358="WIP - 30 Days",VLOOKUP(D1358,[3]Standard!$B$9:$J$101,9,FALSE),IF(BA1358="31-120 Days",VLOOKUP(D1358,[3]Standard!$B$9:$K$100,10,FALSE),IF(BA1358="121-365 Days",VLOOKUP(D1358,[3]Standard!$B$9:$L$101,11,FALSE),VLOOKUP(D1358,[3]Standard!$B$9:$M$101,12,FALSE)))),0)</f>
        <v>0</v>
      </c>
      <c r="M1358" s="269" t="str">
        <f>IFERROR(VLOOKUP((D1358&amp;C1358)&amp;"",'[2]Retail Price List'!$C$4:$F$102,4,FALSE),"")</f>
        <v/>
      </c>
      <c r="N1358" s="269">
        <f>IFERROR(IF(BA1358="WIP - 30 Days",VLOOKUP(D1358,[3]Extended!$B$9:$E$101,4,FALSE),IF(BA1358="31-120 Days",VLOOKUP(D1358,[3]Extended!$B$9:$F$101,5,FALSE),IF(BA1358="121-365 Days",VLOOKUP(D1358,[3]Extended!$B$9:$G$101,6,FALSE),VLOOKUP(D1358,[3]Extended!$B$9:$H$101,7,FALSE)))),0)</f>
        <v>0</v>
      </c>
      <c r="O1358" s="269">
        <f>IFERROR(IF(BA1358="WIP - 30 Days",VLOOKUP(D1358,[3]Extended!$B$9:$J$101,9,FALSE),IF(BA1358="31-120 Days",VLOOKUP(D1358,[3]Extended!$B$9:$K$101,10,FALSE),IF(BA1358="121-365 Days",VLOOKUP(D1358,[3]Extended!$B$9:$L$101,11,FALSE),VLOOKUP(D1358,[3]Extended!$B$9:$M$101,12,FALSE)))),0)</f>
        <v>0</v>
      </c>
      <c r="P1358" s="116" t="e">
        <f t="shared" si="106"/>
        <v>#VALUE!</v>
      </c>
      <c r="Q1358" s="110" t="e">
        <f>O1358-#REF!</f>
        <v>#REF!</v>
      </c>
      <c r="AT1358" s="88" t="str">
        <f t="shared" si="107"/>
        <v>Special Order0</v>
      </c>
      <c r="AU1358" s="89" t="str">
        <f t="shared" si="108"/>
        <v>01-1900</v>
      </c>
      <c r="BA1358" s="92" t="str">
        <f t="shared" si="109"/>
        <v/>
      </c>
    </row>
    <row r="1359" spans="2:53">
      <c r="B1359" s="60">
        <f>[2]Trucks!A1356</f>
        <v>0</v>
      </c>
      <c r="C1359" s="11">
        <f>[2]Trucks!B1356</f>
        <v>0</v>
      </c>
      <c r="D1359" s="19" t="str">
        <f>IFERROR(VLOOKUP(C1359&amp;"",'[2]Retail Price List'!$A$3:$B$103,2,FALSE),"Special Order")</f>
        <v>Special Order</v>
      </c>
      <c r="E1359" s="18">
        <f>[2]Trucks!J1356</f>
        <v>0</v>
      </c>
      <c r="F1359" s="12">
        <f>[2]Trucks!E1356</f>
        <v>0</v>
      </c>
      <c r="G1359" s="56">
        <f>[2]Trucks!K1356</f>
        <v>0</v>
      </c>
      <c r="H1359" s="46">
        <f>[2]Trucks!I1356</f>
        <v>0</v>
      </c>
      <c r="I1359" s="83" t="str">
        <f t="shared" si="105"/>
        <v/>
      </c>
      <c r="J1359" s="272" t="str">
        <f>IFERROR(VLOOKUP((D1359&amp;C1359)&amp;"",'[2]Retail Price List'!$C$4:$F$102,3,FALSE),"")</f>
        <v/>
      </c>
      <c r="K1359" s="272">
        <f>IFERROR(IF(BA1359="WIP - 30 Days",VLOOKUP(D1359,[3]Standard!$B$9:$E$101,4,FALSE),IF(BA1359="31-120 Days",VLOOKUP(D1359,[3]Standard!$B$9:$F$101,5,FALSE),IF(BA1359="121-365 Days",VLOOKUP(D1359,[3]Standard!$B$9:$G$101,6,FALSE),VLOOKUP(D1359,[3]Standard!$B$9:$H$101,7,FALSE)))),0)</f>
        <v>0</v>
      </c>
      <c r="L1359" s="272">
        <f>IFERROR(IF(BA1359="WIP - 30 Days",VLOOKUP(D1359,[3]Standard!$B$9:$J$101,9,FALSE),IF(BA1359="31-120 Days",VLOOKUP(D1359,[3]Standard!$B$9:$K$100,10,FALSE),IF(BA1359="121-365 Days",VLOOKUP(D1359,[3]Standard!$B$9:$L$101,11,FALSE),VLOOKUP(D1359,[3]Standard!$B$9:$M$101,12,FALSE)))),0)</f>
        <v>0</v>
      </c>
      <c r="M1359" s="269" t="str">
        <f>IFERROR(VLOOKUP((D1359&amp;C1359)&amp;"",'[2]Retail Price List'!$C$4:$F$102,4,FALSE),"")</f>
        <v/>
      </c>
      <c r="N1359" s="269">
        <f>IFERROR(IF(BA1359="WIP - 30 Days",VLOOKUP(D1359,[3]Extended!$B$9:$E$101,4,FALSE),IF(BA1359="31-120 Days",VLOOKUP(D1359,[3]Extended!$B$9:$F$101,5,FALSE),IF(BA1359="121-365 Days",VLOOKUP(D1359,[3]Extended!$B$9:$G$101,6,FALSE),VLOOKUP(D1359,[3]Extended!$B$9:$H$101,7,FALSE)))),0)</f>
        <v>0</v>
      </c>
      <c r="O1359" s="269">
        <f>IFERROR(IF(BA1359="WIP - 30 Days",VLOOKUP(D1359,[3]Extended!$B$9:$J$101,9,FALSE),IF(BA1359="31-120 Days",VLOOKUP(D1359,[3]Extended!$B$9:$K$101,10,FALSE),IF(BA1359="121-365 Days",VLOOKUP(D1359,[3]Extended!$B$9:$L$101,11,FALSE),VLOOKUP(D1359,[3]Extended!$B$9:$M$101,12,FALSE)))),0)</f>
        <v>0</v>
      </c>
      <c r="P1359" s="116" t="e">
        <f t="shared" si="106"/>
        <v>#VALUE!</v>
      </c>
      <c r="Q1359" s="110" t="e">
        <f>O1359-#REF!</f>
        <v>#REF!</v>
      </c>
      <c r="AT1359" s="88" t="str">
        <f t="shared" si="107"/>
        <v>Special Order0</v>
      </c>
      <c r="AU1359" s="89" t="str">
        <f t="shared" si="108"/>
        <v>01-1900</v>
      </c>
      <c r="BA1359" s="92" t="str">
        <f t="shared" si="109"/>
        <v/>
      </c>
    </row>
    <row r="1360" spans="2:53">
      <c r="B1360" s="60">
        <f>[2]Trucks!A1357</f>
        <v>0</v>
      </c>
      <c r="C1360" s="11">
        <f>[2]Trucks!B1357</f>
        <v>0</v>
      </c>
      <c r="D1360" s="19" t="str">
        <f>IFERROR(VLOOKUP(C1360&amp;"",'[2]Retail Price List'!$A$3:$B$103,2,FALSE),"Special Order")</f>
        <v>Special Order</v>
      </c>
      <c r="E1360" s="18">
        <f>[2]Trucks!J1357</f>
        <v>0</v>
      </c>
      <c r="F1360" s="12">
        <f>[2]Trucks!E1357</f>
        <v>0</v>
      </c>
      <c r="G1360" s="56">
        <f>[2]Trucks!K1357</f>
        <v>0</v>
      </c>
      <c r="H1360" s="46">
        <f>[2]Trucks!I1357</f>
        <v>0</v>
      </c>
      <c r="I1360" s="83" t="str">
        <f t="shared" si="105"/>
        <v/>
      </c>
      <c r="J1360" s="272" t="str">
        <f>IFERROR(VLOOKUP((D1360&amp;C1360)&amp;"",'[2]Retail Price List'!$C$4:$F$102,3,FALSE),"")</f>
        <v/>
      </c>
      <c r="K1360" s="272">
        <f>IFERROR(IF(BA1360="WIP - 30 Days",VLOOKUP(D1360,[3]Standard!$B$9:$E$101,4,FALSE),IF(BA1360="31-120 Days",VLOOKUP(D1360,[3]Standard!$B$9:$F$101,5,FALSE),IF(BA1360="121-365 Days",VLOOKUP(D1360,[3]Standard!$B$9:$G$101,6,FALSE),VLOOKUP(D1360,[3]Standard!$B$9:$H$101,7,FALSE)))),0)</f>
        <v>0</v>
      </c>
      <c r="L1360" s="272">
        <f>IFERROR(IF(BA1360="WIP - 30 Days",VLOOKUP(D1360,[3]Standard!$B$9:$J$101,9,FALSE),IF(BA1360="31-120 Days",VLOOKUP(D1360,[3]Standard!$B$9:$K$100,10,FALSE),IF(BA1360="121-365 Days",VLOOKUP(D1360,[3]Standard!$B$9:$L$101,11,FALSE),VLOOKUP(D1360,[3]Standard!$B$9:$M$101,12,FALSE)))),0)</f>
        <v>0</v>
      </c>
      <c r="M1360" s="269" t="str">
        <f>IFERROR(VLOOKUP((D1360&amp;C1360)&amp;"",'[2]Retail Price List'!$C$4:$F$102,4,FALSE),"")</f>
        <v/>
      </c>
      <c r="N1360" s="269">
        <f>IFERROR(IF(BA1360="WIP - 30 Days",VLOOKUP(D1360,[3]Extended!$B$9:$E$101,4,FALSE),IF(BA1360="31-120 Days",VLOOKUP(D1360,[3]Extended!$B$9:$F$101,5,FALSE),IF(BA1360="121-365 Days",VLOOKUP(D1360,[3]Extended!$B$9:$G$101,6,FALSE),VLOOKUP(D1360,[3]Extended!$B$9:$H$101,7,FALSE)))),0)</f>
        <v>0</v>
      </c>
      <c r="O1360" s="269">
        <f>IFERROR(IF(BA1360="WIP - 30 Days",VLOOKUP(D1360,[3]Extended!$B$9:$J$101,9,FALSE),IF(BA1360="31-120 Days",VLOOKUP(D1360,[3]Extended!$B$9:$K$101,10,FALSE),IF(BA1360="121-365 Days",VLOOKUP(D1360,[3]Extended!$B$9:$L$101,11,FALSE),VLOOKUP(D1360,[3]Extended!$B$9:$M$101,12,FALSE)))),0)</f>
        <v>0</v>
      </c>
      <c r="P1360" s="116" t="e">
        <f t="shared" si="106"/>
        <v>#VALUE!</v>
      </c>
      <c r="Q1360" s="110" t="e">
        <f>O1360-#REF!</f>
        <v>#REF!</v>
      </c>
      <c r="AT1360" s="88" t="str">
        <f t="shared" si="107"/>
        <v>Special Order0</v>
      </c>
      <c r="AU1360" s="89" t="str">
        <f t="shared" si="108"/>
        <v>01-1900</v>
      </c>
      <c r="BA1360" s="92" t="str">
        <f t="shared" si="109"/>
        <v/>
      </c>
    </row>
    <row r="1361" spans="2:53">
      <c r="B1361" s="60">
        <f>[2]Trucks!A1358</f>
        <v>0</v>
      </c>
      <c r="C1361" s="11">
        <f>[2]Trucks!B1358</f>
        <v>0</v>
      </c>
      <c r="D1361" s="19" t="str">
        <f>IFERROR(VLOOKUP(C1361&amp;"",'[2]Retail Price List'!$A$3:$B$103,2,FALSE),"Special Order")</f>
        <v>Special Order</v>
      </c>
      <c r="E1361" s="18">
        <f>[2]Trucks!J1358</f>
        <v>0</v>
      </c>
      <c r="F1361" s="12">
        <f>[2]Trucks!E1358</f>
        <v>0</v>
      </c>
      <c r="G1361" s="56">
        <f>[2]Trucks!K1358</f>
        <v>0</v>
      </c>
      <c r="H1361" s="46">
        <f>[2]Trucks!I1358</f>
        <v>0</v>
      </c>
      <c r="I1361" s="83" t="str">
        <f t="shared" si="105"/>
        <v/>
      </c>
      <c r="J1361" s="272" t="str">
        <f>IFERROR(VLOOKUP((D1361&amp;C1361)&amp;"",'[2]Retail Price List'!$C$4:$F$102,3,FALSE),"")</f>
        <v/>
      </c>
      <c r="K1361" s="272">
        <f>IFERROR(IF(BA1361="WIP - 30 Days",VLOOKUP(D1361,[3]Standard!$B$9:$E$101,4,FALSE),IF(BA1361="31-120 Days",VLOOKUP(D1361,[3]Standard!$B$9:$F$101,5,FALSE),IF(BA1361="121-365 Days",VLOOKUP(D1361,[3]Standard!$B$9:$G$101,6,FALSE),VLOOKUP(D1361,[3]Standard!$B$9:$H$101,7,FALSE)))),0)</f>
        <v>0</v>
      </c>
      <c r="L1361" s="272">
        <f>IFERROR(IF(BA1361="WIP - 30 Days",VLOOKUP(D1361,[3]Standard!$B$9:$J$101,9,FALSE),IF(BA1361="31-120 Days",VLOOKUP(D1361,[3]Standard!$B$9:$K$100,10,FALSE),IF(BA1361="121-365 Days",VLOOKUP(D1361,[3]Standard!$B$9:$L$101,11,FALSE),VLOOKUP(D1361,[3]Standard!$B$9:$M$101,12,FALSE)))),0)</f>
        <v>0</v>
      </c>
      <c r="M1361" s="269" t="str">
        <f>IFERROR(VLOOKUP((D1361&amp;C1361)&amp;"",'[2]Retail Price List'!$C$4:$F$102,4,FALSE),"")</f>
        <v/>
      </c>
      <c r="N1361" s="269">
        <f>IFERROR(IF(BA1361="WIP - 30 Days",VLOOKUP(D1361,[3]Extended!$B$9:$E$101,4,FALSE),IF(BA1361="31-120 Days",VLOOKUP(D1361,[3]Extended!$B$9:$F$101,5,FALSE),IF(BA1361="121-365 Days",VLOOKUP(D1361,[3]Extended!$B$9:$G$101,6,FALSE),VLOOKUP(D1361,[3]Extended!$B$9:$H$101,7,FALSE)))),0)</f>
        <v>0</v>
      </c>
      <c r="O1361" s="269">
        <f>IFERROR(IF(BA1361="WIP - 30 Days",VLOOKUP(D1361,[3]Extended!$B$9:$J$101,9,FALSE),IF(BA1361="31-120 Days",VLOOKUP(D1361,[3]Extended!$B$9:$K$101,10,FALSE),IF(BA1361="121-365 Days",VLOOKUP(D1361,[3]Extended!$B$9:$L$101,11,FALSE),VLOOKUP(D1361,[3]Extended!$B$9:$M$101,12,FALSE)))),0)</f>
        <v>0</v>
      </c>
      <c r="P1361" s="116" t="e">
        <f t="shared" si="106"/>
        <v>#VALUE!</v>
      </c>
      <c r="Q1361" s="110" t="e">
        <f>O1361-#REF!</f>
        <v>#REF!</v>
      </c>
      <c r="AT1361" s="88" t="str">
        <f t="shared" si="107"/>
        <v>Special Order0</v>
      </c>
      <c r="AU1361" s="89" t="str">
        <f t="shared" si="108"/>
        <v>01-1900</v>
      </c>
      <c r="BA1361" s="92" t="str">
        <f t="shared" si="109"/>
        <v/>
      </c>
    </row>
    <row r="1362" spans="2:53">
      <c r="B1362" s="60">
        <f>[2]Trucks!A1359</f>
        <v>0</v>
      </c>
      <c r="C1362" s="11">
        <f>[2]Trucks!B1359</f>
        <v>0</v>
      </c>
      <c r="D1362" s="19" t="str">
        <f>IFERROR(VLOOKUP(C1362&amp;"",'[2]Retail Price List'!$A$3:$B$103,2,FALSE),"Special Order")</f>
        <v>Special Order</v>
      </c>
      <c r="E1362" s="18">
        <f>[2]Trucks!J1359</f>
        <v>0</v>
      </c>
      <c r="F1362" s="12">
        <f>[2]Trucks!E1359</f>
        <v>0</v>
      </c>
      <c r="G1362" s="56">
        <f>[2]Trucks!K1359</f>
        <v>0</v>
      </c>
      <c r="H1362" s="46">
        <f>[2]Trucks!I1359</f>
        <v>0</v>
      </c>
      <c r="I1362" s="83" t="str">
        <f t="shared" si="105"/>
        <v/>
      </c>
      <c r="J1362" s="272" t="str">
        <f>IFERROR(VLOOKUP((D1362&amp;C1362)&amp;"",'[2]Retail Price List'!$C$4:$F$102,3,FALSE),"")</f>
        <v/>
      </c>
      <c r="K1362" s="272">
        <f>IFERROR(IF(BA1362="WIP - 30 Days",VLOOKUP(D1362,[3]Standard!$B$9:$E$101,4,FALSE),IF(BA1362="31-120 Days",VLOOKUP(D1362,[3]Standard!$B$9:$F$101,5,FALSE),IF(BA1362="121-365 Days",VLOOKUP(D1362,[3]Standard!$B$9:$G$101,6,FALSE),VLOOKUP(D1362,[3]Standard!$B$9:$H$101,7,FALSE)))),0)</f>
        <v>0</v>
      </c>
      <c r="L1362" s="272">
        <f>IFERROR(IF(BA1362="WIP - 30 Days",VLOOKUP(D1362,[3]Standard!$B$9:$J$101,9,FALSE),IF(BA1362="31-120 Days",VLOOKUP(D1362,[3]Standard!$B$9:$K$100,10,FALSE),IF(BA1362="121-365 Days",VLOOKUP(D1362,[3]Standard!$B$9:$L$101,11,FALSE),VLOOKUP(D1362,[3]Standard!$B$9:$M$101,12,FALSE)))),0)</f>
        <v>0</v>
      </c>
      <c r="M1362" s="269" t="str">
        <f>IFERROR(VLOOKUP((D1362&amp;C1362)&amp;"",'[2]Retail Price List'!$C$4:$F$102,4,FALSE),"")</f>
        <v/>
      </c>
      <c r="N1362" s="269">
        <f>IFERROR(IF(BA1362="WIP - 30 Days",VLOOKUP(D1362,[3]Extended!$B$9:$E$101,4,FALSE),IF(BA1362="31-120 Days",VLOOKUP(D1362,[3]Extended!$B$9:$F$101,5,FALSE),IF(BA1362="121-365 Days",VLOOKUP(D1362,[3]Extended!$B$9:$G$101,6,FALSE),VLOOKUP(D1362,[3]Extended!$B$9:$H$101,7,FALSE)))),0)</f>
        <v>0</v>
      </c>
      <c r="O1362" s="269">
        <f>IFERROR(IF(BA1362="WIP - 30 Days",VLOOKUP(D1362,[3]Extended!$B$9:$J$101,9,FALSE),IF(BA1362="31-120 Days",VLOOKUP(D1362,[3]Extended!$B$9:$K$101,10,FALSE),IF(BA1362="121-365 Days",VLOOKUP(D1362,[3]Extended!$B$9:$L$101,11,FALSE),VLOOKUP(D1362,[3]Extended!$B$9:$M$101,12,FALSE)))),0)</f>
        <v>0</v>
      </c>
      <c r="P1362" s="116" t="e">
        <f t="shared" si="106"/>
        <v>#VALUE!</v>
      </c>
      <c r="Q1362" s="110" t="e">
        <f>O1362-#REF!</f>
        <v>#REF!</v>
      </c>
      <c r="AT1362" s="88" t="str">
        <f t="shared" si="107"/>
        <v>Special Order0</v>
      </c>
      <c r="AU1362" s="89" t="str">
        <f t="shared" si="108"/>
        <v>01-1900</v>
      </c>
      <c r="BA1362" s="92" t="str">
        <f t="shared" si="109"/>
        <v/>
      </c>
    </row>
    <row r="1363" spans="2:53">
      <c r="B1363" s="60">
        <f>[2]Trucks!A1360</f>
        <v>0</v>
      </c>
      <c r="C1363" s="11">
        <f>[2]Trucks!B1360</f>
        <v>0</v>
      </c>
      <c r="D1363" s="19" t="str">
        <f>IFERROR(VLOOKUP(C1363&amp;"",'[2]Retail Price List'!$A$3:$B$103,2,FALSE),"Special Order")</f>
        <v>Special Order</v>
      </c>
      <c r="E1363" s="18">
        <f>[2]Trucks!J1360</f>
        <v>0</v>
      </c>
      <c r="F1363" s="12">
        <f>[2]Trucks!E1360</f>
        <v>0</v>
      </c>
      <c r="G1363" s="56">
        <f>[2]Trucks!K1360</f>
        <v>0</v>
      </c>
      <c r="H1363" s="46">
        <f>[2]Trucks!I1360</f>
        <v>0</v>
      </c>
      <c r="I1363" s="83" t="str">
        <f t="shared" si="105"/>
        <v/>
      </c>
      <c r="J1363" s="272" t="str">
        <f>IFERROR(VLOOKUP((D1363&amp;C1363)&amp;"",'[2]Retail Price List'!$C$4:$F$102,3,FALSE),"")</f>
        <v/>
      </c>
      <c r="K1363" s="272">
        <f>IFERROR(IF(BA1363="WIP - 30 Days",VLOOKUP(D1363,[3]Standard!$B$9:$E$101,4,FALSE),IF(BA1363="31-120 Days",VLOOKUP(D1363,[3]Standard!$B$9:$F$101,5,FALSE),IF(BA1363="121-365 Days",VLOOKUP(D1363,[3]Standard!$B$9:$G$101,6,FALSE),VLOOKUP(D1363,[3]Standard!$B$9:$H$101,7,FALSE)))),0)</f>
        <v>0</v>
      </c>
      <c r="L1363" s="272">
        <f>IFERROR(IF(BA1363="WIP - 30 Days",VLOOKUP(D1363,[3]Standard!$B$9:$J$101,9,FALSE),IF(BA1363="31-120 Days",VLOOKUP(D1363,[3]Standard!$B$9:$K$100,10,FALSE),IF(BA1363="121-365 Days",VLOOKUP(D1363,[3]Standard!$B$9:$L$101,11,FALSE),VLOOKUP(D1363,[3]Standard!$B$9:$M$101,12,FALSE)))),0)</f>
        <v>0</v>
      </c>
      <c r="M1363" s="269" t="str">
        <f>IFERROR(VLOOKUP((D1363&amp;C1363)&amp;"",'[2]Retail Price List'!$C$4:$F$102,4,FALSE),"")</f>
        <v/>
      </c>
      <c r="N1363" s="269">
        <f>IFERROR(IF(BA1363="WIP - 30 Days",VLOOKUP(D1363,[3]Extended!$B$9:$E$101,4,FALSE),IF(BA1363="31-120 Days",VLOOKUP(D1363,[3]Extended!$B$9:$F$101,5,FALSE),IF(BA1363="121-365 Days",VLOOKUP(D1363,[3]Extended!$B$9:$G$101,6,FALSE),VLOOKUP(D1363,[3]Extended!$B$9:$H$101,7,FALSE)))),0)</f>
        <v>0</v>
      </c>
      <c r="O1363" s="269">
        <f>IFERROR(IF(BA1363="WIP - 30 Days",VLOOKUP(D1363,[3]Extended!$B$9:$J$101,9,FALSE),IF(BA1363="31-120 Days",VLOOKUP(D1363,[3]Extended!$B$9:$K$101,10,FALSE),IF(BA1363="121-365 Days",VLOOKUP(D1363,[3]Extended!$B$9:$L$101,11,FALSE),VLOOKUP(D1363,[3]Extended!$B$9:$M$101,12,FALSE)))),0)</f>
        <v>0</v>
      </c>
      <c r="P1363" s="116" t="e">
        <f t="shared" si="106"/>
        <v>#VALUE!</v>
      </c>
      <c r="Q1363" s="110" t="e">
        <f>O1363-#REF!</f>
        <v>#REF!</v>
      </c>
      <c r="AT1363" s="88" t="str">
        <f t="shared" si="107"/>
        <v>Special Order0</v>
      </c>
      <c r="AU1363" s="89" t="str">
        <f t="shared" si="108"/>
        <v>01-1900</v>
      </c>
      <c r="BA1363" s="92" t="str">
        <f t="shared" si="109"/>
        <v/>
      </c>
    </row>
    <row r="1364" spans="2:53">
      <c r="B1364" s="60">
        <f>[2]Trucks!A1361</f>
        <v>0</v>
      </c>
      <c r="C1364" s="11">
        <f>[2]Trucks!B1361</f>
        <v>0</v>
      </c>
      <c r="D1364" s="19" t="str">
        <f>IFERROR(VLOOKUP(C1364&amp;"",'[2]Retail Price List'!$A$3:$B$103,2,FALSE),"Special Order")</f>
        <v>Special Order</v>
      </c>
      <c r="E1364" s="18">
        <f>[2]Trucks!J1361</f>
        <v>0</v>
      </c>
      <c r="F1364" s="12">
        <f>[2]Trucks!E1361</f>
        <v>0</v>
      </c>
      <c r="G1364" s="56">
        <f>[2]Trucks!K1361</f>
        <v>0</v>
      </c>
      <c r="H1364" s="46">
        <f>[2]Trucks!I1361</f>
        <v>0</v>
      </c>
      <c r="I1364" s="83" t="str">
        <f t="shared" si="105"/>
        <v/>
      </c>
      <c r="J1364" s="272" t="str">
        <f>IFERROR(VLOOKUP((D1364&amp;C1364)&amp;"",'[2]Retail Price List'!$C$4:$F$102,3,FALSE),"")</f>
        <v/>
      </c>
      <c r="K1364" s="272">
        <f>IFERROR(IF(BA1364="WIP - 30 Days",VLOOKUP(D1364,[3]Standard!$B$9:$E$101,4,FALSE),IF(BA1364="31-120 Days",VLOOKUP(D1364,[3]Standard!$B$9:$F$101,5,FALSE),IF(BA1364="121-365 Days",VLOOKUP(D1364,[3]Standard!$B$9:$G$101,6,FALSE),VLOOKUP(D1364,[3]Standard!$B$9:$H$101,7,FALSE)))),0)</f>
        <v>0</v>
      </c>
      <c r="L1364" s="272">
        <f>IFERROR(IF(BA1364="WIP - 30 Days",VLOOKUP(D1364,[3]Standard!$B$9:$J$101,9,FALSE),IF(BA1364="31-120 Days",VLOOKUP(D1364,[3]Standard!$B$9:$K$100,10,FALSE),IF(BA1364="121-365 Days",VLOOKUP(D1364,[3]Standard!$B$9:$L$101,11,FALSE),VLOOKUP(D1364,[3]Standard!$B$9:$M$101,12,FALSE)))),0)</f>
        <v>0</v>
      </c>
      <c r="M1364" s="269" t="str">
        <f>IFERROR(VLOOKUP((D1364&amp;C1364)&amp;"",'[2]Retail Price List'!$C$4:$F$102,4,FALSE),"")</f>
        <v/>
      </c>
      <c r="N1364" s="269">
        <f>IFERROR(IF(BA1364="WIP - 30 Days",VLOOKUP(D1364,[3]Extended!$B$9:$E$101,4,FALSE),IF(BA1364="31-120 Days",VLOOKUP(D1364,[3]Extended!$B$9:$F$101,5,FALSE),IF(BA1364="121-365 Days",VLOOKUP(D1364,[3]Extended!$B$9:$G$101,6,FALSE),VLOOKUP(D1364,[3]Extended!$B$9:$H$101,7,FALSE)))),0)</f>
        <v>0</v>
      </c>
      <c r="O1364" s="269">
        <f>IFERROR(IF(BA1364="WIP - 30 Days",VLOOKUP(D1364,[3]Extended!$B$9:$J$101,9,FALSE),IF(BA1364="31-120 Days",VLOOKUP(D1364,[3]Extended!$B$9:$K$101,10,FALSE),IF(BA1364="121-365 Days",VLOOKUP(D1364,[3]Extended!$B$9:$L$101,11,FALSE),VLOOKUP(D1364,[3]Extended!$B$9:$M$101,12,FALSE)))),0)</f>
        <v>0</v>
      </c>
      <c r="P1364" s="116" t="e">
        <f t="shared" si="106"/>
        <v>#VALUE!</v>
      </c>
      <c r="Q1364" s="110" t="e">
        <f>O1364-#REF!</f>
        <v>#REF!</v>
      </c>
      <c r="AT1364" s="88" t="str">
        <f t="shared" si="107"/>
        <v>Special Order0</v>
      </c>
      <c r="AU1364" s="89" t="str">
        <f t="shared" si="108"/>
        <v>01-1900</v>
      </c>
      <c r="BA1364" s="92" t="str">
        <f t="shared" si="109"/>
        <v/>
      </c>
    </row>
    <row r="1365" spans="2:53">
      <c r="B1365" s="60">
        <f>[2]Trucks!A1362</f>
        <v>0</v>
      </c>
      <c r="C1365" s="11">
        <f>[2]Trucks!B1362</f>
        <v>0</v>
      </c>
      <c r="D1365" s="19" t="str">
        <f>IFERROR(VLOOKUP(C1365&amp;"",'[2]Retail Price List'!$A$3:$B$103,2,FALSE),"Special Order")</f>
        <v>Special Order</v>
      </c>
      <c r="E1365" s="18">
        <f>[2]Trucks!J1362</f>
        <v>0</v>
      </c>
      <c r="F1365" s="12">
        <f>[2]Trucks!E1362</f>
        <v>0</v>
      </c>
      <c r="G1365" s="56">
        <f>[2]Trucks!K1362</f>
        <v>0</v>
      </c>
      <c r="H1365" s="46">
        <f>[2]Trucks!I1362</f>
        <v>0</v>
      </c>
      <c r="I1365" s="83" t="str">
        <f t="shared" si="105"/>
        <v/>
      </c>
      <c r="J1365" s="272" t="str">
        <f>IFERROR(VLOOKUP((D1365&amp;C1365)&amp;"",'[2]Retail Price List'!$C$4:$F$102,3,FALSE),"")</f>
        <v/>
      </c>
      <c r="K1365" s="272">
        <f>IFERROR(IF(BA1365="WIP - 30 Days",VLOOKUP(D1365,[3]Standard!$B$9:$E$101,4,FALSE),IF(BA1365="31-120 Days",VLOOKUP(D1365,[3]Standard!$B$9:$F$101,5,FALSE),IF(BA1365="121-365 Days",VLOOKUP(D1365,[3]Standard!$B$9:$G$101,6,FALSE),VLOOKUP(D1365,[3]Standard!$B$9:$H$101,7,FALSE)))),0)</f>
        <v>0</v>
      </c>
      <c r="L1365" s="272">
        <f>IFERROR(IF(BA1365="WIP - 30 Days",VLOOKUP(D1365,[3]Standard!$B$9:$J$101,9,FALSE),IF(BA1365="31-120 Days",VLOOKUP(D1365,[3]Standard!$B$9:$K$100,10,FALSE),IF(BA1365="121-365 Days",VLOOKUP(D1365,[3]Standard!$B$9:$L$101,11,FALSE),VLOOKUP(D1365,[3]Standard!$B$9:$M$101,12,FALSE)))),0)</f>
        <v>0</v>
      </c>
      <c r="M1365" s="269" t="str">
        <f>IFERROR(VLOOKUP((D1365&amp;C1365)&amp;"",'[2]Retail Price List'!$C$4:$F$102,4,FALSE),"")</f>
        <v/>
      </c>
      <c r="N1365" s="269">
        <f>IFERROR(IF(BA1365="WIP - 30 Days",VLOOKUP(D1365,[3]Extended!$B$9:$E$101,4,FALSE),IF(BA1365="31-120 Days",VLOOKUP(D1365,[3]Extended!$B$9:$F$101,5,FALSE),IF(BA1365="121-365 Days",VLOOKUP(D1365,[3]Extended!$B$9:$G$101,6,FALSE),VLOOKUP(D1365,[3]Extended!$B$9:$H$101,7,FALSE)))),0)</f>
        <v>0</v>
      </c>
      <c r="O1365" s="269">
        <f>IFERROR(IF(BA1365="WIP - 30 Days",VLOOKUP(D1365,[3]Extended!$B$9:$J$101,9,FALSE),IF(BA1365="31-120 Days",VLOOKUP(D1365,[3]Extended!$B$9:$K$101,10,FALSE),IF(BA1365="121-365 Days",VLOOKUP(D1365,[3]Extended!$B$9:$L$101,11,FALSE),VLOOKUP(D1365,[3]Extended!$B$9:$M$101,12,FALSE)))),0)</f>
        <v>0</v>
      </c>
      <c r="P1365" s="116" t="e">
        <f t="shared" si="106"/>
        <v>#VALUE!</v>
      </c>
      <c r="Q1365" s="110" t="e">
        <f>O1365-#REF!</f>
        <v>#REF!</v>
      </c>
      <c r="AT1365" s="88" t="str">
        <f t="shared" si="107"/>
        <v>Special Order0</v>
      </c>
      <c r="AU1365" s="89" t="str">
        <f t="shared" si="108"/>
        <v>01-1900</v>
      </c>
      <c r="BA1365" s="92" t="str">
        <f t="shared" si="109"/>
        <v/>
      </c>
    </row>
    <row r="1366" spans="2:53">
      <c r="B1366" s="60">
        <f>[2]Trucks!A1363</f>
        <v>0</v>
      </c>
      <c r="C1366" s="11">
        <f>[2]Trucks!B1363</f>
        <v>0</v>
      </c>
      <c r="D1366" s="19" t="str">
        <f>IFERROR(VLOOKUP(C1366&amp;"",'[2]Retail Price List'!$A$3:$B$103,2,FALSE),"Special Order")</f>
        <v>Special Order</v>
      </c>
      <c r="E1366" s="18">
        <f>[2]Trucks!J1363</f>
        <v>0</v>
      </c>
      <c r="F1366" s="12">
        <f>[2]Trucks!E1363</f>
        <v>0</v>
      </c>
      <c r="G1366" s="56">
        <f>[2]Trucks!K1363</f>
        <v>0</v>
      </c>
      <c r="H1366" s="46">
        <f>[2]Trucks!I1363</f>
        <v>0</v>
      </c>
      <c r="I1366" s="83" t="str">
        <f t="shared" si="105"/>
        <v/>
      </c>
      <c r="J1366" s="272" t="str">
        <f>IFERROR(VLOOKUP((D1366&amp;C1366)&amp;"",'[2]Retail Price List'!$C$4:$F$102,3,FALSE),"")</f>
        <v/>
      </c>
      <c r="K1366" s="272">
        <f>IFERROR(IF(BA1366="WIP - 30 Days",VLOOKUP(D1366,[3]Standard!$B$9:$E$101,4,FALSE),IF(BA1366="31-120 Days",VLOOKUP(D1366,[3]Standard!$B$9:$F$101,5,FALSE),IF(BA1366="121-365 Days",VLOOKUP(D1366,[3]Standard!$B$9:$G$101,6,FALSE),VLOOKUP(D1366,[3]Standard!$B$9:$H$101,7,FALSE)))),0)</f>
        <v>0</v>
      </c>
      <c r="L1366" s="272">
        <f>IFERROR(IF(BA1366="WIP - 30 Days",VLOOKUP(D1366,[3]Standard!$B$9:$J$101,9,FALSE),IF(BA1366="31-120 Days",VLOOKUP(D1366,[3]Standard!$B$9:$K$100,10,FALSE),IF(BA1366="121-365 Days",VLOOKUP(D1366,[3]Standard!$B$9:$L$101,11,FALSE),VLOOKUP(D1366,[3]Standard!$B$9:$M$101,12,FALSE)))),0)</f>
        <v>0</v>
      </c>
      <c r="M1366" s="269" t="str">
        <f>IFERROR(VLOOKUP((D1366&amp;C1366)&amp;"",'[2]Retail Price List'!$C$4:$F$102,4,FALSE),"")</f>
        <v/>
      </c>
      <c r="N1366" s="269">
        <f>IFERROR(IF(BA1366="WIP - 30 Days",VLOOKUP(D1366,[3]Extended!$B$9:$E$101,4,FALSE),IF(BA1366="31-120 Days",VLOOKUP(D1366,[3]Extended!$B$9:$F$101,5,FALSE),IF(BA1366="121-365 Days",VLOOKUP(D1366,[3]Extended!$B$9:$G$101,6,FALSE),VLOOKUP(D1366,[3]Extended!$B$9:$H$101,7,FALSE)))),0)</f>
        <v>0</v>
      </c>
      <c r="O1366" s="269">
        <f>IFERROR(IF(BA1366="WIP - 30 Days",VLOOKUP(D1366,[3]Extended!$B$9:$J$101,9,FALSE),IF(BA1366="31-120 Days",VLOOKUP(D1366,[3]Extended!$B$9:$K$101,10,FALSE),IF(BA1366="121-365 Days",VLOOKUP(D1366,[3]Extended!$B$9:$L$101,11,FALSE),VLOOKUP(D1366,[3]Extended!$B$9:$M$101,12,FALSE)))),0)</f>
        <v>0</v>
      </c>
      <c r="P1366" s="116" t="e">
        <f t="shared" si="106"/>
        <v>#VALUE!</v>
      </c>
      <c r="Q1366" s="110" t="e">
        <f>O1366-#REF!</f>
        <v>#REF!</v>
      </c>
      <c r="AT1366" s="88" t="str">
        <f t="shared" si="107"/>
        <v>Special Order0</v>
      </c>
      <c r="AU1366" s="89" t="str">
        <f t="shared" si="108"/>
        <v>01-1900</v>
      </c>
      <c r="BA1366" s="92" t="str">
        <f t="shared" si="109"/>
        <v/>
      </c>
    </row>
    <row r="1367" spans="2:53">
      <c r="B1367" s="60">
        <f>[2]Trucks!A1364</f>
        <v>0</v>
      </c>
      <c r="C1367" s="11">
        <f>[2]Trucks!B1364</f>
        <v>0</v>
      </c>
      <c r="D1367" s="19" t="str">
        <f>IFERROR(VLOOKUP(C1367&amp;"",'[2]Retail Price List'!$A$3:$B$103,2,FALSE),"Special Order")</f>
        <v>Special Order</v>
      </c>
      <c r="E1367" s="18">
        <f>[2]Trucks!J1364</f>
        <v>0</v>
      </c>
      <c r="F1367" s="12">
        <f>[2]Trucks!E1364</f>
        <v>0</v>
      </c>
      <c r="G1367" s="56">
        <f>[2]Trucks!K1364</f>
        <v>0</v>
      </c>
      <c r="H1367" s="46">
        <f>[2]Trucks!I1364</f>
        <v>0</v>
      </c>
      <c r="I1367" s="83" t="str">
        <f t="shared" si="105"/>
        <v/>
      </c>
      <c r="J1367" s="272" t="str">
        <f>IFERROR(VLOOKUP((D1367&amp;C1367)&amp;"",'[2]Retail Price List'!$C$4:$F$102,3,FALSE),"")</f>
        <v/>
      </c>
      <c r="K1367" s="272">
        <f>IFERROR(IF(BA1367="WIP - 30 Days",VLOOKUP(D1367,[3]Standard!$B$9:$E$101,4,FALSE),IF(BA1367="31-120 Days",VLOOKUP(D1367,[3]Standard!$B$9:$F$101,5,FALSE),IF(BA1367="121-365 Days",VLOOKUP(D1367,[3]Standard!$B$9:$G$101,6,FALSE),VLOOKUP(D1367,[3]Standard!$B$9:$H$101,7,FALSE)))),0)</f>
        <v>0</v>
      </c>
      <c r="L1367" s="272">
        <f>IFERROR(IF(BA1367="WIP - 30 Days",VLOOKUP(D1367,[3]Standard!$B$9:$J$101,9,FALSE),IF(BA1367="31-120 Days",VLOOKUP(D1367,[3]Standard!$B$9:$K$100,10,FALSE),IF(BA1367="121-365 Days",VLOOKUP(D1367,[3]Standard!$B$9:$L$101,11,FALSE),VLOOKUP(D1367,[3]Standard!$B$9:$M$101,12,FALSE)))),0)</f>
        <v>0</v>
      </c>
      <c r="M1367" s="269" t="str">
        <f>IFERROR(VLOOKUP((D1367&amp;C1367)&amp;"",'[2]Retail Price List'!$C$4:$F$102,4,FALSE),"")</f>
        <v/>
      </c>
      <c r="N1367" s="269">
        <f>IFERROR(IF(BA1367="WIP - 30 Days",VLOOKUP(D1367,[3]Extended!$B$9:$E$101,4,FALSE),IF(BA1367="31-120 Days",VLOOKUP(D1367,[3]Extended!$B$9:$F$101,5,FALSE),IF(BA1367="121-365 Days",VLOOKUP(D1367,[3]Extended!$B$9:$G$101,6,FALSE),VLOOKUP(D1367,[3]Extended!$B$9:$H$101,7,FALSE)))),0)</f>
        <v>0</v>
      </c>
      <c r="O1367" s="269">
        <f>IFERROR(IF(BA1367="WIP - 30 Days",VLOOKUP(D1367,[3]Extended!$B$9:$J$101,9,FALSE),IF(BA1367="31-120 Days",VLOOKUP(D1367,[3]Extended!$B$9:$K$101,10,FALSE),IF(BA1367="121-365 Days",VLOOKUP(D1367,[3]Extended!$B$9:$L$101,11,FALSE),VLOOKUP(D1367,[3]Extended!$B$9:$M$101,12,FALSE)))),0)</f>
        <v>0</v>
      </c>
      <c r="P1367" s="116" t="e">
        <f t="shared" si="106"/>
        <v>#VALUE!</v>
      </c>
      <c r="Q1367" s="110" t="e">
        <f>O1367-#REF!</f>
        <v>#REF!</v>
      </c>
      <c r="AT1367" s="88" t="str">
        <f t="shared" si="107"/>
        <v>Special Order0</v>
      </c>
      <c r="AU1367" s="89" t="str">
        <f t="shared" si="108"/>
        <v>01-1900</v>
      </c>
      <c r="BA1367" s="92" t="str">
        <f t="shared" si="109"/>
        <v/>
      </c>
    </row>
    <row r="1368" spans="2:53">
      <c r="B1368" s="60">
        <f>[2]Trucks!A1365</f>
        <v>0</v>
      </c>
      <c r="C1368" s="11">
        <f>[2]Trucks!B1365</f>
        <v>0</v>
      </c>
      <c r="D1368" s="19" t="str">
        <f>IFERROR(VLOOKUP(C1368&amp;"",'[2]Retail Price List'!$A$3:$B$103,2,FALSE),"Special Order")</f>
        <v>Special Order</v>
      </c>
      <c r="E1368" s="18">
        <f>[2]Trucks!J1365</f>
        <v>0</v>
      </c>
      <c r="F1368" s="12">
        <f>[2]Trucks!E1365</f>
        <v>0</v>
      </c>
      <c r="G1368" s="56">
        <f>[2]Trucks!K1365</f>
        <v>0</v>
      </c>
      <c r="H1368" s="46">
        <f>[2]Trucks!I1365</f>
        <v>0</v>
      </c>
      <c r="I1368" s="83" t="str">
        <f t="shared" si="105"/>
        <v/>
      </c>
      <c r="J1368" s="272" t="str">
        <f>IFERROR(VLOOKUP((D1368&amp;C1368)&amp;"",'[2]Retail Price List'!$C$4:$F$102,3,FALSE),"")</f>
        <v/>
      </c>
      <c r="K1368" s="272">
        <f>IFERROR(IF(BA1368="WIP - 30 Days",VLOOKUP(D1368,[3]Standard!$B$9:$E$101,4,FALSE),IF(BA1368="31-120 Days",VLOOKUP(D1368,[3]Standard!$B$9:$F$101,5,FALSE),IF(BA1368="121-365 Days",VLOOKUP(D1368,[3]Standard!$B$9:$G$101,6,FALSE),VLOOKUP(D1368,[3]Standard!$B$9:$H$101,7,FALSE)))),0)</f>
        <v>0</v>
      </c>
      <c r="L1368" s="272">
        <f>IFERROR(IF(BA1368="WIP - 30 Days",VLOOKUP(D1368,[3]Standard!$B$9:$J$101,9,FALSE),IF(BA1368="31-120 Days",VLOOKUP(D1368,[3]Standard!$B$9:$K$100,10,FALSE),IF(BA1368="121-365 Days",VLOOKUP(D1368,[3]Standard!$B$9:$L$101,11,FALSE),VLOOKUP(D1368,[3]Standard!$B$9:$M$101,12,FALSE)))),0)</f>
        <v>0</v>
      </c>
      <c r="M1368" s="269" t="str">
        <f>IFERROR(VLOOKUP((D1368&amp;C1368)&amp;"",'[2]Retail Price List'!$C$4:$F$102,4,FALSE),"")</f>
        <v/>
      </c>
      <c r="N1368" s="269">
        <f>IFERROR(IF(BA1368="WIP - 30 Days",VLOOKUP(D1368,[3]Extended!$B$9:$E$101,4,FALSE),IF(BA1368="31-120 Days",VLOOKUP(D1368,[3]Extended!$B$9:$F$101,5,FALSE),IF(BA1368="121-365 Days",VLOOKUP(D1368,[3]Extended!$B$9:$G$101,6,FALSE),VLOOKUP(D1368,[3]Extended!$B$9:$H$101,7,FALSE)))),0)</f>
        <v>0</v>
      </c>
      <c r="O1368" s="269">
        <f>IFERROR(IF(BA1368="WIP - 30 Days",VLOOKUP(D1368,[3]Extended!$B$9:$J$101,9,FALSE),IF(BA1368="31-120 Days",VLOOKUP(D1368,[3]Extended!$B$9:$K$101,10,FALSE),IF(BA1368="121-365 Days",VLOOKUP(D1368,[3]Extended!$B$9:$L$101,11,FALSE),VLOOKUP(D1368,[3]Extended!$B$9:$M$101,12,FALSE)))),0)</f>
        <v>0</v>
      </c>
      <c r="P1368" s="116" t="e">
        <f t="shared" si="106"/>
        <v>#VALUE!</v>
      </c>
      <c r="Q1368" s="110" t="e">
        <f>O1368-#REF!</f>
        <v>#REF!</v>
      </c>
      <c r="AT1368" s="88" t="str">
        <f t="shared" si="107"/>
        <v>Special Order0</v>
      </c>
      <c r="AU1368" s="89" t="str">
        <f t="shared" si="108"/>
        <v>01-1900</v>
      </c>
      <c r="BA1368" s="92" t="str">
        <f t="shared" si="109"/>
        <v/>
      </c>
    </row>
    <row r="1369" spans="2:53">
      <c r="B1369" s="60">
        <f>[2]Trucks!A1366</f>
        <v>0</v>
      </c>
      <c r="C1369" s="11">
        <f>[2]Trucks!B1366</f>
        <v>0</v>
      </c>
      <c r="D1369" s="19" t="str">
        <f>IFERROR(VLOOKUP(C1369&amp;"",'[2]Retail Price List'!$A$3:$B$103,2,FALSE),"Special Order")</f>
        <v>Special Order</v>
      </c>
      <c r="E1369" s="18">
        <f>[2]Trucks!J1366</f>
        <v>0</v>
      </c>
      <c r="F1369" s="12">
        <f>[2]Trucks!E1366</f>
        <v>0</v>
      </c>
      <c r="G1369" s="56">
        <f>[2]Trucks!K1366</f>
        <v>0</v>
      </c>
      <c r="H1369" s="46">
        <f>[2]Trucks!I1366</f>
        <v>0</v>
      </c>
      <c r="I1369" s="83" t="str">
        <f t="shared" si="105"/>
        <v/>
      </c>
      <c r="J1369" s="272" t="str">
        <f>IFERROR(VLOOKUP((D1369&amp;C1369)&amp;"",'[2]Retail Price List'!$C$4:$F$102,3,FALSE),"")</f>
        <v/>
      </c>
      <c r="K1369" s="272">
        <f>IFERROR(IF(BA1369="WIP - 30 Days",VLOOKUP(D1369,[3]Standard!$B$9:$E$101,4,FALSE),IF(BA1369="31-120 Days",VLOOKUP(D1369,[3]Standard!$B$9:$F$101,5,FALSE),IF(BA1369="121-365 Days",VLOOKUP(D1369,[3]Standard!$B$9:$G$101,6,FALSE),VLOOKUP(D1369,[3]Standard!$B$9:$H$101,7,FALSE)))),0)</f>
        <v>0</v>
      </c>
      <c r="L1369" s="272">
        <f>IFERROR(IF(BA1369="WIP - 30 Days",VLOOKUP(D1369,[3]Standard!$B$9:$J$101,9,FALSE),IF(BA1369="31-120 Days",VLOOKUP(D1369,[3]Standard!$B$9:$K$100,10,FALSE),IF(BA1369="121-365 Days",VLOOKUP(D1369,[3]Standard!$B$9:$L$101,11,FALSE),VLOOKUP(D1369,[3]Standard!$B$9:$M$101,12,FALSE)))),0)</f>
        <v>0</v>
      </c>
      <c r="M1369" s="269" t="str">
        <f>IFERROR(VLOOKUP((D1369&amp;C1369)&amp;"",'[2]Retail Price List'!$C$4:$F$102,4,FALSE),"")</f>
        <v/>
      </c>
      <c r="N1369" s="269">
        <f>IFERROR(IF(BA1369="WIP - 30 Days",VLOOKUP(D1369,[3]Extended!$B$9:$E$101,4,FALSE),IF(BA1369="31-120 Days",VLOOKUP(D1369,[3]Extended!$B$9:$F$101,5,FALSE),IF(BA1369="121-365 Days",VLOOKUP(D1369,[3]Extended!$B$9:$G$101,6,FALSE),VLOOKUP(D1369,[3]Extended!$B$9:$H$101,7,FALSE)))),0)</f>
        <v>0</v>
      </c>
      <c r="O1369" s="269">
        <f>IFERROR(IF(BA1369="WIP - 30 Days",VLOOKUP(D1369,[3]Extended!$B$9:$J$101,9,FALSE),IF(BA1369="31-120 Days",VLOOKUP(D1369,[3]Extended!$B$9:$K$101,10,FALSE),IF(BA1369="121-365 Days",VLOOKUP(D1369,[3]Extended!$B$9:$L$101,11,FALSE),VLOOKUP(D1369,[3]Extended!$B$9:$M$101,12,FALSE)))),0)</f>
        <v>0</v>
      </c>
      <c r="P1369" s="116" t="e">
        <f t="shared" si="106"/>
        <v>#VALUE!</v>
      </c>
      <c r="Q1369" s="110" t="e">
        <f>O1369-#REF!</f>
        <v>#REF!</v>
      </c>
      <c r="AT1369" s="88" t="str">
        <f t="shared" si="107"/>
        <v>Special Order0</v>
      </c>
      <c r="AU1369" s="89" t="str">
        <f t="shared" si="108"/>
        <v>01-1900</v>
      </c>
      <c r="BA1369" s="92" t="str">
        <f t="shared" si="109"/>
        <v/>
      </c>
    </row>
    <row r="1370" spans="2:53">
      <c r="B1370" s="60">
        <f>[2]Trucks!A1367</f>
        <v>0</v>
      </c>
      <c r="C1370" s="11">
        <f>[2]Trucks!B1367</f>
        <v>0</v>
      </c>
      <c r="D1370" s="19" t="str">
        <f>IFERROR(VLOOKUP(C1370&amp;"",'[2]Retail Price List'!$A$3:$B$103,2,FALSE),"Special Order")</f>
        <v>Special Order</v>
      </c>
      <c r="E1370" s="18">
        <f>[2]Trucks!J1367</f>
        <v>0</v>
      </c>
      <c r="F1370" s="12">
        <f>[2]Trucks!E1367</f>
        <v>0</v>
      </c>
      <c r="G1370" s="56">
        <f>[2]Trucks!K1367</f>
        <v>0</v>
      </c>
      <c r="H1370" s="46">
        <f>[2]Trucks!I1367</f>
        <v>0</v>
      </c>
      <c r="I1370" s="83" t="str">
        <f t="shared" si="105"/>
        <v/>
      </c>
      <c r="J1370" s="272" t="str">
        <f>IFERROR(VLOOKUP((D1370&amp;C1370)&amp;"",'[2]Retail Price List'!$C$4:$F$102,3,FALSE),"")</f>
        <v/>
      </c>
      <c r="K1370" s="272">
        <f>IFERROR(IF(BA1370="WIP - 30 Days",VLOOKUP(D1370,[3]Standard!$B$9:$E$101,4,FALSE),IF(BA1370="31-120 Days",VLOOKUP(D1370,[3]Standard!$B$9:$F$101,5,FALSE),IF(BA1370="121-365 Days",VLOOKUP(D1370,[3]Standard!$B$9:$G$101,6,FALSE),VLOOKUP(D1370,[3]Standard!$B$9:$H$101,7,FALSE)))),0)</f>
        <v>0</v>
      </c>
      <c r="L1370" s="272">
        <f>IFERROR(IF(BA1370="WIP - 30 Days",VLOOKUP(D1370,[3]Standard!$B$9:$J$101,9,FALSE),IF(BA1370="31-120 Days",VLOOKUP(D1370,[3]Standard!$B$9:$K$100,10,FALSE),IF(BA1370="121-365 Days",VLOOKUP(D1370,[3]Standard!$B$9:$L$101,11,FALSE),VLOOKUP(D1370,[3]Standard!$B$9:$M$101,12,FALSE)))),0)</f>
        <v>0</v>
      </c>
      <c r="M1370" s="269" t="str">
        <f>IFERROR(VLOOKUP((D1370&amp;C1370)&amp;"",'[2]Retail Price List'!$C$4:$F$102,4,FALSE),"")</f>
        <v/>
      </c>
      <c r="N1370" s="269">
        <f>IFERROR(IF(BA1370="WIP - 30 Days",VLOOKUP(D1370,[3]Extended!$B$9:$E$101,4,FALSE),IF(BA1370="31-120 Days",VLOOKUP(D1370,[3]Extended!$B$9:$F$101,5,FALSE),IF(BA1370="121-365 Days",VLOOKUP(D1370,[3]Extended!$B$9:$G$101,6,FALSE),VLOOKUP(D1370,[3]Extended!$B$9:$H$101,7,FALSE)))),0)</f>
        <v>0</v>
      </c>
      <c r="O1370" s="269">
        <f>IFERROR(IF(BA1370="WIP - 30 Days",VLOOKUP(D1370,[3]Extended!$B$9:$J$101,9,FALSE),IF(BA1370="31-120 Days",VLOOKUP(D1370,[3]Extended!$B$9:$K$101,10,FALSE),IF(BA1370="121-365 Days",VLOOKUP(D1370,[3]Extended!$B$9:$L$101,11,FALSE),VLOOKUP(D1370,[3]Extended!$B$9:$M$101,12,FALSE)))),0)</f>
        <v>0</v>
      </c>
      <c r="P1370" s="116" t="e">
        <f t="shared" si="106"/>
        <v>#VALUE!</v>
      </c>
      <c r="Q1370" s="110" t="e">
        <f>O1370-#REF!</f>
        <v>#REF!</v>
      </c>
      <c r="AT1370" s="88" t="str">
        <f t="shared" si="107"/>
        <v>Special Order0</v>
      </c>
      <c r="AU1370" s="89" t="str">
        <f t="shared" si="108"/>
        <v>01-1900</v>
      </c>
      <c r="BA1370" s="92" t="str">
        <f t="shared" si="109"/>
        <v/>
      </c>
    </row>
    <row r="1371" spans="2:53">
      <c r="B1371" s="60">
        <f>[2]Trucks!A1368</f>
        <v>0</v>
      </c>
      <c r="C1371" s="11">
        <f>[2]Trucks!B1368</f>
        <v>0</v>
      </c>
      <c r="D1371" s="19" t="str">
        <f>IFERROR(VLOOKUP(C1371&amp;"",'[2]Retail Price List'!$A$3:$B$103,2,FALSE),"Special Order")</f>
        <v>Special Order</v>
      </c>
      <c r="E1371" s="18">
        <f>[2]Trucks!J1368</f>
        <v>0</v>
      </c>
      <c r="F1371" s="12">
        <f>[2]Trucks!E1368</f>
        <v>0</v>
      </c>
      <c r="G1371" s="56">
        <f>[2]Trucks!K1368</f>
        <v>0</v>
      </c>
      <c r="H1371" s="46">
        <f>[2]Trucks!I1368</f>
        <v>0</v>
      </c>
      <c r="I1371" s="83" t="str">
        <f t="shared" si="105"/>
        <v/>
      </c>
      <c r="J1371" s="272" t="str">
        <f>IFERROR(VLOOKUP((D1371&amp;C1371)&amp;"",'[2]Retail Price List'!$C$4:$F$102,3,FALSE),"")</f>
        <v/>
      </c>
      <c r="K1371" s="272">
        <f>IFERROR(IF(BA1371="WIP - 30 Days",VLOOKUP(D1371,[3]Standard!$B$9:$E$101,4,FALSE),IF(BA1371="31-120 Days",VLOOKUP(D1371,[3]Standard!$B$9:$F$101,5,FALSE),IF(BA1371="121-365 Days",VLOOKUP(D1371,[3]Standard!$B$9:$G$101,6,FALSE),VLOOKUP(D1371,[3]Standard!$B$9:$H$101,7,FALSE)))),0)</f>
        <v>0</v>
      </c>
      <c r="L1371" s="272">
        <f>IFERROR(IF(BA1371="WIP - 30 Days",VLOOKUP(D1371,[3]Standard!$B$9:$J$101,9,FALSE),IF(BA1371="31-120 Days",VLOOKUP(D1371,[3]Standard!$B$9:$K$100,10,FALSE),IF(BA1371="121-365 Days",VLOOKUP(D1371,[3]Standard!$B$9:$L$101,11,FALSE),VLOOKUP(D1371,[3]Standard!$B$9:$M$101,12,FALSE)))),0)</f>
        <v>0</v>
      </c>
      <c r="M1371" s="269" t="str">
        <f>IFERROR(VLOOKUP((D1371&amp;C1371)&amp;"",'[2]Retail Price List'!$C$4:$F$102,4,FALSE),"")</f>
        <v/>
      </c>
      <c r="N1371" s="269">
        <f>IFERROR(IF(BA1371="WIP - 30 Days",VLOOKUP(D1371,[3]Extended!$B$9:$E$101,4,FALSE),IF(BA1371="31-120 Days",VLOOKUP(D1371,[3]Extended!$B$9:$F$101,5,FALSE),IF(BA1371="121-365 Days",VLOOKUP(D1371,[3]Extended!$B$9:$G$101,6,FALSE),VLOOKUP(D1371,[3]Extended!$B$9:$H$101,7,FALSE)))),0)</f>
        <v>0</v>
      </c>
      <c r="O1371" s="269">
        <f>IFERROR(IF(BA1371="WIP - 30 Days",VLOOKUP(D1371,[3]Extended!$B$9:$J$101,9,FALSE),IF(BA1371="31-120 Days",VLOOKUP(D1371,[3]Extended!$B$9:$K$101,10,FALSE),IF(BA1371="121-365 Days",VLOOKUP(D1371,[3]Extended!$B$9:$L$101,11,FALSE),VLOOKUP(D1371,[3]Extended!$B$9:$M$101,12,FALSE)))),0)</f>
        <v>0</v>
      </c>
      <c r="P1371" s="116" t="e">
        <f t="shared" si="106"/>
        <v>#VALUE!</v>
      </c>
      <c r="Q1371" s="110" t="e">
        <f>O1371-#REF!</f>
        <v>#REF!</v>
      </c>
      <c r="AT1371" s="88" t="str">
        <f t="shared" si="107"/>
        <v>Special Order0</v>
      </c>
      <c r="AU1371" s="89" t="str">
        <f t="shared" si="108"/>
        <v>01-1900</v>
      </c>
      <c r="BA1371" s="92" t="str">
        <f t="shared" si="109"/>
        <v/>
      </c>
    </row>
    <row r="1372" spans="2:53">
      <c r="B1372" s="60">
        <f>[2]Trucks!A1369</f>
        <v>0</v>
      </c>
      <c r="C1372" s="11">
        <f>[2]Trucks!B1369</f>
        <v>0</v>
      </c>
      <c r="D1372" s="19" t="str">
        <f>IFERROR(VLOOKUP(C1372&amp;"",'[2]Retail Price List'!$A$3:$B$103,2,FALSE),"Special Order")</f>
        <v>Special Order</v>
      </c>
      <c r="E1372" s="18">
        <f>[2]Trucks!J1369</f>
        <v>0</v>
      </c>
      <c r="F1372" s="12">
        <f>[2]Trucks!E1369</f>
        <v>0</v>
      </c>
      <c r="G1372" s="56">
        <f>[2]Trucks!K1369</f>
        <v>0</v>
      </c>
      <c r="H1372" s="46">
        <f>[2]Trucks!I1369</f>
        <v>0</v>
      </c>
      <c r="I1372" s="83" t="str">
        <f t="shared" si="105"/>
        <v/>
      </c>
      <c r="J1372" s="272" t="str">
        <f>IFERROR(VLOOKUP((D1372&amp;C1372)&amp;"",'[2]Retail Price List'!$C$4:$F$102,3,FALSE),"")</f>
        <v/>
      </c>
      <c r="K1372" s="272">
        <f>IFERROR(IF(BA1372="WIP - 30 Days",VLOOKUP(D1372,[3]Standard!$B$9:$E$101,4,FALSE),IF(BA1372="31-120 Days",VLOOKUP(D1372,[3]Standard!$B$9:$F$101,5,FALSE),IF(BA1372="121-365 Days",VLOOKUP(D1372,[3]Standard!$B$9:$G$101,6,FALSE),VLOOKUP(D1372,[3]Standard!$B$9:$H$101,7,FALSE)))),0)</f>
        <v>0</v>
      </c>
      <c r="L1372" s="272">
        <f>IFERROR(IF(BA1372="WIP - 30 Days",VLOOKUP(D1372,[3]Standard!$B$9:$J$101,9,FALSE),IF(BA1372="31-120 Days",VLOOKUP(D1372,[3]Standard!$B$9:$K$100,10,FALSE),IF(BA1372="121-365 Days",VLOOKUP(D1372,[3]Standard!$B$9:$L$101,11,FALSE),VLOOKUP(D1372,[3]Standard!$B$9:$M$101,12,FALSE)))),0)</f>
        <v>0</v>
      </c>
      <c r="M1372" s="269" t="str">
        <f>IFERROR(VLOOKUP((D1372&amp;C1372)&amp;"",'[2]Retail Price List'!$C$4:$F$102,4,FALSE),"")</f>
        <v/>
      </c>
      <c r="N1372" s="269">
        <f>IFERROR(IF(BA1372="WIP - 30 Days",VLOOKUP(D1372,[3]Extended!$B$9:$E$101,4,FALSE),IF(BA1372="31-120 Days",VLOOKUP(D1372,[3]Extended!$B$9:$F$101,5,FALSE),IF(BA1372="121-365 Days",VLOOKUP(D1372,[3]Extended!$B$9:$G$101,6,FALSE),VLOOKUP(D1372,[3]Extended!$B$9:$H$101,7,FALSE)))),0)</f>
        <v>0</v>
      </c>
      <c r="O1372" s="269">
        <f>IFERROR(IF(BA1372="WIP - 30 Days",VLOOKUP(D1372,[3]Extended!$B$9:$J$101,9,FALSE),IF(BA1372="31-120 Days",VLOOKUP(D1372,[3]Extended!$B$9:$K$101,10,FALSE),IF(BA1372="121-365 Days",VLOOKUP(D1372,[3]Extended!$B$9:$L$101,11,FALSE),VLOOKUP(D1372,[3]Extended!$B$9:$M$101,12,FALSE)))),0)</f>
        <v>0</v>
      </c>
      <c r="P1372" s="116" t="e">
        <f t="shared" si="106"/>
        <v>#VALUE!</v>
      </c>
      <c r="Q1372" s="110" t="e">
        <f>O1372-#REF!</f>
        <v>#REF!</v>
      </c>
      <c r="AT1372" s="88" t="str">
        <f t="shared" si="107"/>
        <v>Special Order0</v>
      </c>
      <c r="AU1372" s="89" t="str">
        <f t="shared" si="108"/>
        <v>01-1900</v>
      </c>
      <c r="BA1372" s="92" t="str">
        <f t="shared" si="109"/>
        <v/>
      </c>
    </row>
    <row r="1373" spans="2:53">
      <c r="B1373" s="60">
        <f>[2]Trucks!A1370</f>
        <v>0</v>
      </c>
      <c r="C1373" s="11">
        <f>[2]Trucks!B1370</f>
        <v>0</v>
      </c>
      <c r="D1373" s="19" t="str">
        <f>IFERROR(VLOOKUP(C1373&amp;"",'[2]Retail Price List'!$A$3:$B$103,2,FALSE),"Special Order")</f>
        <v>Special Order</v>
      </c>
      <c r="E1373" s="18">
        <f>[2]Trucks!J1370</f>
        <v>0</v>
      </c>
      <c r="F1373" s="12">
        <f>[2]Trucks!E1370</f>
        <v>0</v>
      </c>
      <c r="G1373" s="56">
        <f>[2]Trucks!K1370</f>
        <v>0</v>
      </c>
      <c r="H1373" s="46">
        <f>[2]Trucks!I1370</f>
        <v>0</v>
      </c>
      <c r="I1373" s="83" t="str">
        <f t="shared" si="105"/>
        <v/>
      </c>
      <c r="J1373" s="272" t="str">
        <f>IFERROR(VLOOKUP((D1373&amp;C1373)&amp;"",'[2]Retail Price List'!$C$4:$F$102,3,FALSE),"")</f>
        <v/>
      </c>
      <c r="K1373" s="272">
        <f>IFERROR(IF(BA1373="WIP - 30 Days",VLOOKUP(D1373,[3]Standard!$B$9:$E$101,4,FALSE),IF(BA1373="31-120 Days",VLOOKUP(D1373,[3]Standard!$B$9:$F$101,5,FALSE),IF(BA1373="121-365 Days",VLOOKUP(D1373,[3]Standard!$B$9:$G$101,6,FALSE),VLOOKUP(D1373,[3]Standard!$B$9:$H$101,7,FALSE)))),0)</f>
        <v>0</v>
      </c>
      <c r="L1373" s="272">
        <f>IFERROR(IF(BA1373="WIP - 30 Days",VLOOKUP(D1373,[3]Standard!$B$9:$J$101,9,FALSE),IF(BA1373="31-120 Days",VLOOKUP(D1373,[3]Standard!$B$9:$K$100,10,FALSE),IF(BA1373="121-365 Days",VLOOKUP(D1373,[3]Standard!$B$9:$L$101,11,FALSE),VLOOKUP(D1373,[3]Standard!$B$9:$M$101,12,FALSE)))),0)</f>
        <v>0</v>
      </c>
      <c r="M1373" s="269" t="str">
        <f>IFERROR(VLOOKUP((D1373&amp;C1373)&amp;"",'[2]Retail Price List'!$C$4:$F$102,4,FALSE),"")</f>
        <v/>
      </c>
      <c r="N1373" s="269">
        <f>IFERROR(IF(BA1373="WIP - 30 Days",VLOOKUP(D1373,[3]Extended!$B$9:$E$101,4,FALSE),IF(BA1373="31-120 Days",VLOOKUP(D1373,[3]Extended!$B$9:$F$101,5,FALSE),IF(BA1373="121-365 Days",VLOOKUP(D1373,[3]Extended!$B$9:$G$101,6,FALSE),VLOOKUP(D1373,[3]Extended!$B$9:$H$101,7,FALSE)))),0)</f>
        <v>0</v>
      </c>
      <c r="O1373" s="269">
        <f>IFERROR(IF(BA1373="WIP - 30 Days",VLOOKUP(D1373,[3]Extended!$B$9:$J$101,9,FALSE),IF(BA1373="31-120 Days",VLOOKUP(D1373,[3]Extended!$B$9:$K$101,10,FALSE),IF(BA1373="121-365 Days",VLOOKUP(D1373,[3]Extended!$B$9:$L$101,11,FALSE),VLOOKUP(D1373,[3]Extended!$B$9:$M$101,12,FALSE)))),0)</f>
        <v>0</v>
      </c>
      <c r="P1373" s="116" t="e">
        <f t="shared" si="106"/>
        <v>#VALUE!</v>
      </c>
      <c r="Q1373" s="110" t="e">
        <f>O1373-#REF!</f>
        <v>#REF!</v>
      </c>
      <c r="AT1373" s="88" t="str">
        <f t="shared" si="107"/>
        <v>Special Order0</v>
      </c>
      <c r="AU1373" s="89" t="str">
        <f t="shared" si="108"/>
        <v>01-1900</v>
      </c>
      <c r="BA1373" s="92" t="str">
        <f t="shared" si="109"/>
        <v/>
      </c>
    </row>
    <row r="1374" spans="2:53">
      <c r="B1374" s="60">
        <f>[2]Trucks!A1371</f>
        <v>0</v>
      </c>
      <c r="C1374" s="11">
        <f>[2]Trucks!B1371</f>
        <v>0</v>
      </c>
      <c r="D1374" s="19" t="str">
        <f>IFERROR(VLOOKUP(C1374&amp;"",'[2]Retail Price List'!$A$3:$B$103,2,FALSE),"Special Order")</f>
        <v>Special Order</v>
      </c>
      <c r="E1374" s="18">
        <f>[2]Trucks!J1371</f>
        <v>0</v>
      </c>
      <c r="F1374" s="12">
        <f>[2]Trucks!E1371</f>
        <v>0</v>
      </c>
      <c r="G1374" s="56">
        <f>[2]Trucks!K1371</f>
        <v>0</v>
      </c>
      <c r="H1374" s="46">
        <f>[2]Trucks!I1371</f>
        <v>0</v>
      </c>
      <c r="I1374" s="83" t="str">
        <f t="shared" si="105"/>
        <v/>
      </c>
      <c r="J1374" s="272" t="str">
        <f>IFERROR(VLOOKUP((D1374&amp;C1374)&amp;"",'[2]Retail Price List'!$C$4:$F$102,3,FALSE),"")</f>
        <v/>
      </c>
      <c r="K1374" s="272">
        <f>IFERROR(IF(BA1374="WIP - 30 Days",VLOOKUP(D1374,[3]Standard!$B$9:$E$101,4,FALSE),IF(BA1374="31-120 Days",VLOOKUP(D1374,[3]Standard!$B$9:$F$101,5,FALSE),IF(BA1374="121-365 Days",VLOOKUP(D1374,[3]Standard!$B$9:$G$101,6,FALSE),VLOOKUP(D1374,[3]Standard!$B$9:$H$101,7,FALSE)))),0)</f>
        <v>0</v>
      </c>
      <c r="L1374" s="272">
        <f>IFERROR(IF(BA1374="WIP - 30 Days",VLOOKUP(D1374,[3]Standard!$B$9:$J$101,9,FALSE),IF(BA1374="31-120 Days",VLOOKUP(D1374,[3]Standard!$B$9:$K$100,10,FALSE),IF(BA1374="121-365 Days",VLOOKUP(D1374,[3]Standard!$B$9:$L$101,11,FALSE),VLOOKUP(D1374,[3]Standard!$B$9:$M$101,12,FALSE)))),0)</f>
        <v>0</v>
      </c>
      <c r="M1374" s="269" t="str">
        <f>IFERROR(VLOOKUP((D1374&amp;C1374)&amp;"",'[2]Retail Price List'!$C$4:$F$102,4,FALSE),"")</f>
        <v/>
      </c>
      <c r="N1374" s="269">
        <f>IFERROR(IF(BA1374="WIP - 30 Days",VLOOKUP(D1374,[3]Extended!$B$9:$E$101,4,FALSE),IF(BA1374="31-120 Days",VLOOKUP(D1374,[3]Extended!$B$9:$F$101,5,FALSE),IF(BA1374="121-365 Days",VLOOKUP(D1374,[3]Extended!$B$9:$G$101,6,FALSE),VLOOKUP(D1374,[3]Extended!$B$9:$H$101,7,FALSE)))),0)</f>
        <v>0</v>
      </c>
      <c r="O1374" s="269">
        <f>IFERROR(IF(BA1374="WIP - 30 Days",VLOOKUP(D1374,[3]Extended!$B$9:$J$101,9,FALSE),IF(BA1374="31-120 Days",VLOOKUP(D1374,[3]Extended!$B$9:$K$101,10,FALSE),IF(BA1374="121-365 Days",VLOOKUP(D1374,[3]Extended!$B$9:$L$101,11,FALSE),VLOOKUP(D1374,[3]Extended!$B$9:$M$101,12,FALSE)))),0)</f>
        <v>0</v>
      </c>
      <c r="P1374" s="116" t="e">
        <f t="shared" si="106"/>
        <v>#VALUE!</v>
      </c>
      <c r="Q1374" s="110" t="e">
        <f>O1374-#REF!</f>
        <v>#REF!</v>
      </c>
      <c r="AT1374" s="88" t="str">
        <f t="shared" si="107"/>
        <v>Special Order0</v>
      </c>
      <c r="AU1374" s="89" t="str">
        <f t="shared" si="108"/>
        <v>01-1900</v>
      </c>
      <c r="BA1374" s="92" t="str">
        <f t="shared" si="109"/>
        <v/>
      </c>
    </row>
    <row r="1375" spans="2:53">
      <c r="B1375" s="60">
        <f>[2]Trucks!A1372</f>
        <v>0</v>
      </c>
      <c r="C1375" s="11">
        <f>[2]Trucks!B1372</f>
        <v>0</v>
      </c>
      <c r="D1375" s="19" t="str">
        <f>IFERROR(VLOOKUP(C1375&amp;"",'[2]Retail Price List'!$A$3:$B$103,2,FALSE),"Special Order")</f>
        <v>Special Order</v>
      </c>
      <c r="E1375" s="18">
        <f>[2]Trucks!J1372</f>
        <v>0</v>
      </c>
      <c r="F1375" s="12">
        <f>[2]Trucks!E1372</f>
        <v>0</v>
      </c>
      <c r="G1375" s="56">
        <f>[2]Trucks!K1372</f>
        <v>0</v>
      </c>
      <c r="H1375" s="46">
        <f>[2]Trucks!I1372</f>
        <v>0</v>
      </c>
      <c r="I1375" s="83" t="str">
        <f t="shared" si="105"/>
        <v/>
      </c>
      <c r="J1375" s="272" t="str">
        <f>IFERROR(VLOOKUP((D1375&amp;C1375)&amp;"",'[2]Retail Price List'!$C$4:$F$102,3,FALSE),"")</f>
        <v/>
      </c>
      <c r="K1375" s="272">
        <f>IFERROR(IF(BA1375="WIP - 30 Days",VLOOKUP(D1375,[3]Standard!$B$9:$E$101,4,FALSE),IF(BA1375="31-120 Days",VLOOKUP(D1375,[3]Standard!$B$9:$F$101,5,FALSE),IF(BA1375="121-365 Days",VLOOKUP(D1375,[3]Standard!$B$9:$G$101,6,FALSE),VLOOKUP(D1375,[3]Standard!$B$9:$H$101,7,FALSE)))),0)</f>
        <v>0</v>
      </c>
      <c r="L1375" s="272">
        <f>IFERROR(IF(BA1375="WIP - 30 Days",VLOOKUP(D1375,[3]Standard!$B$9:$J$101,9,FALSE),IF(BA1375="31-120 Days",VLOOKUP(D1375,[3]Standard!$B$9:$K$100,10,FALSE),IF(BA1375="121-365 Days",VLOOKUP(D1375,[3]Standard!$B$9:$L$101,11,FALSE),VLOOKUP(D1375,[3]Standard!$B$9:$M$101,12,FALSE)))),0)</f>
        <v>0</v>
      </c>
      <c r="M1375" s="269" t="str">
        <f>IFERROR(VLOOKUP((D1375&amp;C1375)&amp;"",'[2]Retail Price List'!$C$4:$F$102,4,FALSE),"")</f>
        <v/>
      </c>
      <c r="N1375" s="269">
        <f>IFERROR(IF(BA1375="WIP - 30 Days",VLOOKUP(D1375,[3]Extended!$B$9:$E$101,4,FALSE),IF(BA1375="31-120 Days",VLOOKUP(D1375,[3]Extended!$B$9:$F$101,5,FALSE),IF(BA1375="121-365 Days",VLOOKUP(D1375,[3]Extended!$B$9:$G$101,6,FALSE),VLOOKUP(D1375,[3]Extended!$B$9:$H$101,7,FALSE)))),0)</f>
        <v>0</v>
      </c>
      <c r="O1375" s="269">
        <f>IFERROR(IF(BA1375="WIP - 30 Days",VLOOKUP(D1375,[3]Extended!$B$9:$J$101,9,FALSE),IF(BA1375="31-120 Days",VLOOKUP(D1375,[3]Extended!$B$9:$K$101,10,FALSE),IF(BA1375="121-365 Days",VLOOKUP(D1375,[3]Extended!$B$9:$L$101,11,FALSE),VLOOKUP(D1375,[3]Extended!$B$9:$M$101,12,FALSE)))),0)</f>
        <v>0</v>
      </c>
      <c r="P1375" s="116" t="e">
        <f t="shared" si="106"/>
        <v>#VALUE!</v>
      </c>
      <c r="Q1375" s="110" t="e">
        <f>O1375-#REF!</f>
        <v>#REF!</v>
      </c>
      <c r="AT1375" s="88" t="str">
        <f t="shared" si="107"/>
        <v>Special Order0</v>
      </c>
      <c r="AU1375" s="89" t="str">
        <f t="shared" si="108"/>
        <v>01-1900</v>
      </c>
      <c r="BA1375" s="92" t="str">
        <f t="shared" si="109"/>
        <v/>
      </c>
    </row>
    <row r="1376" spans="2:53">
      <c r="B1376" s="60">
        <f>[2]Trucks!A1373</f>
        <v>0</v>
      </c>
      <c r="C1376" s="11">
        <f>[2]Trucks!B1373</f>
        <v>0</v>
      </c>
      <c r="D1376" s="19" t="str">
        <f>IFERROR(VLOOKUP(C1376&amp;"",'[2]Retail Price List'!$A$3:$B$103,2,FALSE),"Special Order")</f>
        <v>Special Order</v>
      </c>
      <c r="E1376" s="18">
        <f>[2]Trucks!J1373</f>
        <v>0</v>
      </c>
      <c r="F1376" s="12">
        <f>[2]Trucks!E1373</f>
        <v>0</v>
      </c>
      <c r="G1376" s="56">
        <f>[2]Trucks!K1373</f>
        <v>0</v>
      </c>
      <c r="H1376" s="46">
        <f>[2]Trucks!I1373</f>
        <v>0</v>
      </c>
      <c r="I1376" s="83" t="str">
        <f t="shared" si="105"/>
        <v/>
      </c>
      <c r="J1376" s="272" t="str">
        <f>IFERROR(VLOOKUP((D1376&amp;C1376)&amp;"",'[2]Retail Price List'!$C$4:$F$102,3,FALSE),"")</f>
        <v/>
      </c>
      <c r="K1376" s="272">
        <f>IFERROR(IF(BA1376="WIP - 30 Days",VLOOKUP(D1376,[3]Standard!$B$9:$E$101,4,FALSE),IF(BA1376="31-120 Days",VLOOKUP(D1376,[3]Standard!$B$9:$F$101,5,FALSE),IF(BA1376="121-365 Days",VLOOKUP(D1376,[3]Standard!$B$9:$G$101,6,FALSE),VLOOKUP(D1376,[3]Standard!$B$9:$H$101,7,FALSE)))),0)</f>
        <v>0</v>
      </c>
      <c r="L1376" s="272">
        <f>IFERROR(IF(BA1376="WIP - 30 Days",VLOOKUP(D1376,[3]Standard!$B$9:$J$101,9,FALSE),IF(BA1376="31-120 Days",VLOOKUP(D1376,[3]Standard!$B$9:$K$100,10,FALSE),IF(BA1376="121-365 Days",VLOOKUP(D1376,[3]Standard!$B$9:$L$101,11,FALSE),VLOOKUP(D1376,[3]Standard!$B$9:$M$101,12,FALSE)))),0)</f>
        <v>0</v>
      </c>
      <c r="M1376" s="269" t="str">
        <f>IFERROR(VLOOKUP((D1376&amp;C1376)&amp;"",'[2]Retail Price List'!$C$4:$F$102,4,FALSE),"")</f>
        <v/>
      </c>
      <c r="N1376" s="269">
        <f>IFERROR(IF(BA1376="WIP - 30 Days",VLOOKUP(D1376,[3]Extended!$B$9:$E$101,4,FALSE),IF(BA1376="31-120 Days",VLOOKUP(D1376,[3]Extended!$B$9:$F$101,5,FALSE),IF(BA1376="121-365 Days",VLOOKUP(D1376,[3]Extended!$B$9:$G$101,6,FALSE),VLOOKUP(D1376,[3]Extended!$B$9:$H$101,7,FALSE)))),0)</f>
        <v>0</v>
      </c>
      <c r="O1376" s="269">
        <f>IFERROR(IF(BA1376="WIP - 30 Days",VLOOKUP(D1376,[3]Extended!$B$9:$J$101,9,FALSE),IF(BA1376="31-120 Days",VLOOKUP(D1376,[3]Extended!$B$9:$K$101,10,FALSE),IF(BA1376="121-365 Days",VLOOKUP(D1376,[3]Extended!$B$9:$L$101,11,FALSE),VLOOKUP(D1376,[3]Extended!$B$9:$M$101,12,FALSE)))),0)</f>
        <v>0</v>
      </c>
      <c r="P1376" s="116" t="e">
        <f t="shared" si="106"/>
        <v>#VALUE!</v>
      </c>
      <c r="Q1376" s="110" t="e">
        <f>O1376-#REF!</f>
        <v>#REF!</v>
      </c>
      <c r="AT1376" s="88" t="str">
        <f t="shared" si="107"/>
        <v>Special Order0</v>
      </c>
      <c r="AU1376" s="89" t="str">
        <f t="shared" si="108"/>
        <v>01-1900</v>
      </c>
      <c r="BA1376" s="92" t="str">
        <f t="shared" si="109"/>
        <v/>
      </c>
    </row>
    <row r="1377" spans="2:53">
      <c r="B1377" s="60">
        <f>[2]Trucks!A1374</f>
        <v>0</v>
      </c>
      <c r="C1377" s="11">
        <f>[2]Trucks!B1374</f>
        <v>0</v>
      </c>
      <c r="D1377" s="19" t="str">
        <f>IFERROR(VLOOKUP(C1377&amp;"",'[2]Retail Price List'!$A$3:$B$103,2,FALSE),"Special Order")</f>
        <v>Special Order</v>
      </c>
      <c r="E1377" s="18">
        <f>[2]Trucks!J1374</f>
        <v>0</v>
      </c>
      <c r="F1377" s="12">
        <f>[2]Trucks!E1374</f>
        <v>0</v>
      </c>
      <c r="G1377" s="56">
        <f>[2]Trucks!K1374</f>
        <v>0</v>
      </c>
      <c r="H1377" s="46">
        <f>[2]Trucks!I1374</f>
        <v>0</v>
      </c>
      <c r="I1377" s="83" t="str">
        <f t="shared" si="105"/>
        <v/>
      </c>
      <c r="J1377" s="272" t="str">
        <f>IFERROR(VLOOKUP((D1377&amp;C1377)&amp;"",'[2]Retail Price List'!$C$4:$F$102,3,FALSE),"")</f>
        <v/>
      </c>
      <c r="K1377" s="272">
        <f>IFERROR(IF(BA1377="WIP - 30 Days",VLOOKUP(D1377,[3]Standard!$B$9:$E$101,4,FALSE),IF(BA1377="31-120 Days",VLOOKUP(D1377,[3]Standard!$B$9:$F$101,5,FALSE),IF(BA1377="121-365 Days",VLOOKUP(D1377,[3]Standard!$B$9:$G$101,6,FALSE),VLOOKUP(D1377,[3]Standard!$B$9:$H$101,7,FALSE)))),0)</f>
        <v>0</v>
      </c>
      <c r="L1377" s="272">
        <f>IFERROR(IF(BA1377="WIP - 30 Days",VLOOKUP(D1377,[3]Standard!$B$9:$J$101,9,FALSE),IF(BA1377="31-120 Days",VLOOKUP(D1377,[3]Standard!$B$9:$K$100,10,FALSE),IF(BA1377="121-365 Days",VLOOKUP(D1377,[3]Standard!$B$9:$L$101,11,FALSE),VLOOKUP(D1377,[3]Standard!$B$9:$M$101,12,FALSE)))),0)</f>
        <v>0</v>
      </c>
      <c r="M1377" s="269" t="str">
        <f>IFERROR(VLOOKUP((D1377&amp;C1377)&amp;"",'[2]Retail Price List'!$C$4:$F$102,4,FALSE),"")</f>
        <v/>
      </c>
      <c r="N1377" s="269">
        <f>IFERROR(IF(BA1377="WIP - 30 Days",VLOOKUP(D1377,[3]Extended!$B$9:$E$101,4,FALSE),IF(BA1377="31-120 Days",VLOOKUP(D1377,[3]Extended!$B$9:$F$101,5,FALSE),IF(BA1377="121-365 Days",VLOOKUP(D1377,[3]Extended!$B$9:$G$101,6,FALSE),VLOOKUP(D1377,[3]Extended!$B$9:$H$101,7,FALSE)))),0)</f>
        <v>0</v>
      </c>
      <c r="O1377" s="269">
        <f>IFERROR(IF(BA1377="WIP - 30 Days",VLOOKUP(D1377,[3]Extended!$B$9:$J$101,9,FALSE),IF(BA1377="31-120 Days",VLOOKUP(D1377,[3]Extended!$B$9:$K$101,10,FALSE),IF(BA1377="121-365 Days",VLOOKUP(D1377,[3]Extended!$B$9:$L$101,11,FALSE),VLOOKUP(D1377,[3]Extended!$B$9:$M$101,12,FALSE)))),0)</f>
        <v>0</v>
      </c>
      <c r="P1377" s="116" t="e">
        <f t="shared" si="106"/>
        <v>#VALUE!</v>
      </c>
      <c r="Q1377" s="110" t="e">
        <f>O1377-#REF!</f>
        <v>#REF!</v>
      </c>
      <c r="AT1377" s="88" t="str">
        <f t="shared" si="107"/>
        <v>Special Order0</v>
      </c>
      <c r="AU1377" s="89" t="str">
        <f t="shared" si="108"/>
        <v>01-1900</v>
      </c>
      <c r="BA1377" s="92" t="str">
        <f t="shared" si="109"/>
        <v/>
      </c>
    </row>
    <row r="1378" spans="2:53">
      <c r="B1378" s="60">
        <f>[2]Trucks!A1375</f>
        <v>0</v>
      </c>
      <c r="C1378" s="11">
        <f>[2]Trucks!B1375</f>
        <v>0</v>
      </c>
      <c r="D1378" s="19" t="str">
        <f>IFERROR(VLOOKUP(C1378&amp;"",'[2]Retail Price List'!$A$3:$B$103,2,FALSE),"Special Order")</f>
        <v>Special Order</v>
      </c>
      <c r="E1378" s="18">
        <f>[2]Trucks!J1375</f>
        <v>0</v>
      </c>
      <c r="F1378" s="12">
        <f>[2]Trucks!E1375</f>
        <v>0</v>
      </c>
      <c r="G1378" s="56">
        <f>[2]Trucks!K1375</f>
        <v>0</v>
      </c>
      <c r="H1378" s="46">
        <f>[2]Trucks!I1375</f>
        <v>0</v>
      </c>
      <c r="I1378" s="83" t="str">
        <f t="shared" si="105"/>
        <v/>
      </c>
      <c r="J1378" s="272" t="str">
        <f>IFERROR(VLOOKUP((D1378&amp;C1378)&amp;"",'[2]Retail Price List'!$C$4:$F$102,3,FALSE),"")</f>
        <v/>
      </c>
      <c r="K1378" s="272">
        <f>IFERROR(IF(BA1378="WIP - 30 Days",VLOOKUP(D1378,[3]Standard!$B$9:$E$101,4,FALSE),IF(BA1378="31-120 Days",VLOOKUP(D1378,[3]Standard!$B$9:$F$101,5,FALSE),IF(BA1378="121-365 Days",VLOOKUP(D1378,[3]Standard!$B$9:$G$101,6,FALSE),VLOOKUP(D1378,[3]Standard!$B$9:$H$101,7,FALSE)))),0)</f>
        <v>0</v>
      </c>
      <c r="L1378" s="272">
        <f>IFERROR(IF(BA1378="WIP - 30 Days",VLOOKUP(D1378,[3]Standard!$B$9:$J$101,9,FALSE),IF(BA1378="31-120 Days",VLOOKUP(D1378,[3]Standard!$B$9:$K$100,10,FALSE),IF(BA1378="121-365 Days",VLOOKUP(D1378,[3]Standard!$B$9:$L$101,11,FALSE),VLOOKUP(D1378,[3]Standard!$B$9:$M$101,12,FALSE)))),0)</f>
        <v>0</v>
      </c>
      <c r="M1378" s="269" t="str">
        <f>IFERROR(VLOOKUP((D1378&amp;C1378)&amp;"",'[2]Retail Price List'!$C$4:$F$102,4,FALSE),"")</f>
        <v/>
      </c>
      <c r="N1378" s="269">
        <f>IFERROR(IF(BA1378="WIP - 30 Days",VLOOKUP(D1378,[3]Extended!$B$9:$E$101,4,FALSE),IF(BA1378="31-120 Days",VLOOKUP(D1378,[3]Extended!$B$9:$F$101,5,FALSE),IF(BA1378="121-365 Days",VLOOKUP(D1378,[3]Extended!$B$9:$G$101,6,FALSE),VLOOKUP(D1378,[3]Extended!$B$9:$H$101,7,FALSE)))),0)</f>
        <v>0</v>
      </c>
      <c r="O1378" s="269">
        <f>IFERROR(IF(BA1378="WIP - 30 Days",VLOOKUP(D1378,[3]Extended!$B$9:$J$101,9,FALSE),IF(BA1378="31-120 Days",VLOOKUP(D1378,[3]Extended!$B$9:$K$101,10,FALSE),IF(BA1378="121-365 Days",VLOOKUP(D1378,[3]Extended!$B$9:$L$101,11,FALSE),VLOOKUP(D1378,[3]Extended!$B$9:$M$101,12,FALSE)))),0)</f>
        <v>0</v>
      </c>
      <c r="P1378" s="116" t="e">
        <f t="shared" si="106"/>
        <v>#VALUE!</v>
      </c>
      <c r="Q1378" s="110" t="e">
        <f>O1378-#REF!</f>
        <v>#REF!</v>
      </c>
      <c r="AT1378" s="88" t="str">
        <f t="shared" si="107"/>
        <v>Special Order0</v>
      </c>
      <c r="AU1378" s="89" t="str">
        <f t="shared" si="108"/>
        <v>01-1900</v>
      </c>
      <c r="BA1378" s="92" t="str">
        <f t="shared" si="109"/>
        <v/>
      </c>
    </row>
    <row r="1379" spans="2:53">
      <c r="B1379" s="60">
        <f>[2]Trucks!A1376</f>
        <v>0</v>
      </c>
      <c r="C1379" s="11">
        <f>[2]Trucks!B1376</f>
        <v>0</v>
      </c>
      <c r="D1379" s="19" t="str">
        <f>IFERROR(VLOOKUP(C1379&amp;"",'[2]Retail Price List'!$A$3:$B$103,2,FALSE),"Special Order")</f>
        <v>Special Order</v>
      </c>
      <c r="E1379" s="18">
        <f>[2]Trucks!J1376</f>
        <v>0</v>
      </c>
      <c r="F1379" s="12">
        <f>[2]Trucks!E1376</f>
        <v>0</v>
      </c>
      <c r="G1379" s="56">
        <f>[2]Trucks!K1376</f>
        <v>0</v>
      </c>
      <c r="H1379" s="46">
        <f>[2]Trucks!I1376</f>
        <v>0</v>
      </c>
      <c r="I1379" s="83" t="str">
        <f t="shared" si="105"/>
        <v/>
      </c>
      <c r="J1379" s="272" t="str">
        <f>IFERROR(VLOOKUP((D1379&amp;C1379)&amp;"",'[2]Retail Price List'!$C$4:$F$102,3,FALSE),"")</f>
        <v/>
      </c>
      <c r="K1379" s="272">
        <f>IFERROR(IF(BA1379="WIP - 30 Days",VLOOKUP(D1379,[3]Standard!$B$9:$E$101,4,FALSE),IF(BA1379="31-120 Days",VLOOKUP(D1379,[3]Standard!$B$9:$F$101,5,FALSE),IF(BA1379="121-365 Days",VLOOKUP(D1379,[3]Standard!$B$9:$G$101,6,FALSE),VLOOKUP(D1379,[3]Standard!$B$9:$H$101,7,FALSE)))),0)</f>
        <v>0</v>
      </c>
      <c r="L1379" s="272">
        <f>IFERROR(IF(BA1379="WIP - 30 Days",VLOOKUP(D1379,[3]Standard!$B$9:$J$101,9,FALSE),IF(BA1379="31-120 Days",VLOOKUP(D1379,[3]Standard!$B$9:$K$100,10,FALSE),IF(BA1379="121-365 Days",VLOOKUP(D1379,[3]Standard!$B$9:$L$101,11,FALSE),VLOOKUP(D1379,[3]Standard!$B$9:$M$101,12,FALSE)))),0)</f>
        <v>0</v>
      </c>
      <c r="M1379" s="269" t="str">
        <f>IFERROR(VLOOKUP((D1379&amp;C1379)&amp;"",'[2]Retail Price List'!$C$4:$F$102,4,FALSE),"")</f>
        <v/>
      </c>
      <c r="N1379" s="269">
        <f>IFERROR(IF(BA1379="WIP - 30 Days",VLOOKUP(D1379,[3]Extended!$B$9:$E$101,4,FALSE),IF(BA1379="31-120 Days",VLOOKUP(D1379,[3]Extended!$B$9:$F$101,5,FALSE),IF(BA1379="121-365 Days",VLOOKUP(D1379,[3]Extended!$B$9:$G$101,6,FALSE),VLOOKUP(D1379,[3]Extended!$B$9:$H$101,7,FALSE)))),0)</f>
        <v>0</v>
      </c>
      <c r="O1379" s="269">
        <f>IFERROR(IF(BA1379="WIP - 30 Days",VLOOKUP(D1379,[3]Extended!$B$9:$J$101,9,FALSE),IF(BA1379="31-120 Days",VLOOKUP(D1379,[3]Extended!$B$9:$K$101,10,FALSE),IF(BA1379="121-365 Days",VLOOKUP(D1379,[3]Extended!$B$9:$L$101,11,FALSE),VLOOKUP(D1379,[3]Extended!$B$9:$M$101,12,FALSE)))),0)</f>
        <v>0</v>
      </c>
      <c r="P1379" s="116" t="e">
        <f t="shared" si="106"/>
        <v>#VALUE!</v>
      </c>
      <c r="Q1379" s="110" t="e">
        <f>O1379-#REF!</f>
        <v>#REF!</v>
      </c>
      <c r="AT1379" s="88" t="str">
        <f t="shared" si="107"/>
        <v>Special Order0</v>
      </c>
      <c r="AU1379" s="89" t="str">
        <f t="shared" si="108"/>
        <v>01-1900</v>
      </c>
      <c r="BA1379" s="92" t="str">
        <f t="shared" si="109"/>
        <v/>
      </c>
    </row>
    <row r="1380" spans="2:53">
      <c r="B1380" s="60">
        <f>[2]Trucks!A1377</f>
        <v>0</v>
      </c>
      <c r="C1380" s="11">
        <f>[2]Trucks!B1377</f>
        <v>0</v>
      </c>
      <c r="D1380" s="19" t="str">
        <f>IFERROR(VLOOKUP(C1380&amp;"",'[2]Retail Price List'!$A$3:$B$103,2,FALSE),"Special Order")</f>
        <v>Special Order</v>
      </c>
      <c r="E1380" s="18">
        <f>[2]Trucks!J1377</f>
        <v>0</v>
      </c>
      <c r="F1380" s="12">
        <f>[2]Trucks!E1377</f>
        <v>0</v>
      </c>
      <c r="G1380" s="56">
        <f>[2]Trucks!K1377</f>
        <v>0</v>
      </c>
      <c r="H1380" s="46">
        <f>[2]Trucks!I1377</f>
        <v>0</v>
      </c>
      <c r="I1380" s="83" t="str">
        <f t="shared" si="105"/>
        <v/>
      </c>
      <c r="J1380" s="272" t="str">
        <f>IFERROR(VLOOKUP((D1380&amp;C1380)&amp;"",'[2]Retail Price List'!$C$4:$F$102,3,FALSE),"")</f>
        <v/>
      </c>
      <c r="K1380" s="272">
        <f>IFERROR(IF(BA1380="WIP - 30 Days",VLOOKUP(D1380,[3]Standard!$B$9:$E$101,4,FALSE),IF(BA1380="31-120 Days",VLOOKUP(D1380,[3]Standard!$B$9:$F$101,5,FALSE),IF(BA1380="121-365 Days",VLOOKUP(D1380,[3]Standard!$B$9:$G$101,6,FALSE),VLOOKUP(D1380,[3]Standard!$B$9:$H$101,7,FALSE)))),0)</f>
        <v>0</v>
      </c>
      <c r="L1380" s="272">
        <f>IFERROR(IF(BA1380="WIP - 30 Days",VLOOKUP(D1380,[3]Standard!$B$9:$J$101,9,FALSE),IF(BA1380="31-120 Days",VLOOKUP(D1380,[3]Standard!$B$9:$K$100,10,FALSE),IF(BA1380="121-365 Days",VLOOKUP(D1380,[3]Standard!$B$9:$L$101,11,FALSE),VLOOKUP(D1380,[3]Standard!$B$9:$M$101,12,FALSE)))),0)</f>
        <v>0</v>
      </c>
      <c r="M1380" s="269" t="str">
        <f>IFERROR(VLOOKUP((D1380&amp;C1380)&amp;"",'[2]Retail Price List'!$C$4:$F$102,4,FALSE),"")</f>
        <v/>
      </c>
      <c r="N1380" s="269">
        <f>IFERROR(IF(BA1380="WIP - 30 Days",VLOOKUP(D1380,[3]Extended!$B$9:$E$101,4,FALSE),IF(BA1380="31-120 Days",VLOOKUP(D1380,[3]Extended!$B$9:$F$101,5,FALSE),IF(BA1380="121-365 Days",VLOOKUP(D1380,[3]Extended!$B$9:$G$101,6,FALSE),VLOOKUP(D1380,[3]Extended!$B$9:$H$101,7,FALSE)))),0)</f>
        <v>0</v>
      </c>
      <c r="O1380" s="269">
        <f>IFERROR(IF(BA1380="WIP - 30 Days",VLOOKUP(D1380,[3]Extended!$B$9:$J$101,9,FALSE),IF(BA1380="31-120 Days",VLOOKUP(D1380,[3]Extended!$B$9:$K$101,10,FALSE),IF(BA1380="121-365 Days",VLOOKUP(D1380,[3]Extended!$B$9:$L$101,11,FALSE),VLOOKUP(D1380,[3]Extended!$B$9:$M$101,12,FALSE)))),0)</f>
        <v>0</v>
      </c>
      <c r="P1380" s="116" t="e">
        <f t="shared" si="106"/>
        <v>#VALUE!</v>
      </c>
      <c r="Q1380" s="110" t="e">
        <f>O1380-#REF!</f>
        <v>#REF!</v>
      </c>
      <c r="AT1380" s="88" t="str">
        <f t="shared" si="107"/>
        <v>Special Order0</v>
      </c>
      <c r="AU1380" s="89" t="str">
        <f t="shared" si="108"/>
        <v>01-1900</v>
      </c>
      <c r="BA1380" s="92" t="str">
        <f t="shared" si="109"/>
        <v/>
      </c>
    </row>
    <row r="1381" spans="2:53">
      <c r="B1381" s="60">
        <f>[2]Trucks!A1378</f>
        <v>0</v>
      </c>
      <c r="C1381" s="11">
        <f>[2]Trucks!B1378</f>
        <v>0</v>
      </c>
      <c r="D1381" s="19" t="str">
        <f>IFERROR(VLOOKUP(C1381&amp;"",'[2]Retail Price List'!$A$3:$B$103,2,FALSE),"Special Order")</f>
        <v>Special Order</v>
      </c>
      <c r="E1381" s="18">
        <f>[2]Trucks!J1378</f>
        <v>0</v>
      </c>
      <c r="F1381" s="12">
        <f>[2]Trucks!E1378</f>
        <v>0</v>
      </c>
      <c r="G1381" s="56">
        <f>[2]Trucks!K1378</f>
        <v>0</v>
      </c>
      <c r="H1381" s="46">
        <f>[2]Trucks!I1378</f>
        <v>0</v>
      </c>
      <c r="I1381" s="83" t="str">
        <f t="shared" si="105"/>
        <v/>
      </c>
      <c r="J1381" s="272" t="str">
        <f>IFERROR(VLOOKUP((D1381&amp;C1381)&amp;"",'[2]Retail Price List'!$C$4:$F$102,3,FALSE),"")</f>
        <v/>
      </c>
      <c r="K1381" s="272">
        <f>IFERROR(IF(BA1381="WIP - 30 Days",VLOOKUP(D1381,[3]Standard!$B$9:$E$101,4,FALSE),IF(BA1381="31-120 Days",VLOOKUP(D1381,[3]Standard!$B$9:$F$101,5,FALSE),IF(BA1381="121-365 Days",VLOOKUP(D1381,[3]Standard!$B$9:$G$101,6,FALSE),VLOOKUP(D1381,[3]Standard!$B$9:$H$101,7,FALSE)))),0)</f>
        <v>0</v>
      </c>
      <c r="L1381" s="272">
        <f>IFERROR(IF(BA1381="WIP - 30 Days",VLOOKUP(D1381,[3]Standard!$B$9:$J$101,9,FALSE),IF(BA1381="31-120 Days",VLOOKUP(D1381,[3]Standard!$B$9:$K$100,10,FALSE),IF(BA1381="121-365 Days",VLOOKUP(D1381,[3]Standard!$B$9:$L$101,11,FALSE),VLOOKUP(D1381,[3]Standard!$B$9:$M$101,12,FALSE)))),0)</f>
        <v>0</v>
      </c>
      <c r="M1381" s="269" t="str">
        <f>IFERROR(VLOOKUP((D1381&amp;C1381)&amp;"",'[2]Retail Price List'!$C$4:$F$102,4,FALSE),"")</f>
        <v/>
      </c>
      <c r="N1381" s="269">
        <f>IFERROR(IF(BA1381="WIP - 30 Days",VLOOKUP(D1381,[3]Extended!$B$9:$E$101,4,FALSE),IF(BA1381="31-120 Days",VLOOKUP(D1381,[3]Extended!$B$9:$F$101,5,FALSE),IF(BA1381="121-365 Days",VLOOKUP(D1381,[3]Extended!$B$9:$G$101,6,FALSE),VLOOKUP(D1381,[3]Extended!$B$9:$H$101,7,FALSE)))),0)</f>
        <v>0</v>
      </c>
      <c r="O1381" s="269">
        <f>IFERROR(IF(BA1381="WIP - 30 Days",VLOOKUP(D1381,[3]Extended!$B$9:$J$101,9,FALSE),IF(BA1381="31-120 Days",VLOOKUP(D1381,[3]Extended!$B$9:$K$101,10,FALSE),IF(BA1381="121-365 Days",VLOOKUP(D1381,[3]Extended!$B$9:$L$101,11,FALSE),VLOOKUP(D1381,[3]Extended!$B$9:$M$101,12,FALSE)))),0)</f>
        <v>0</v>
      </c>
      <c r="P1381" s="116" t="e">
        <f t="shared" si="106"/>
        <v>#VALUE!</v>
      </c>
      <c r="Q1381" s="110" t="e">
        <f>O1381-#REF!</f>
        <v>#REF!</v>
      </c>
      <c r="AT1381" s="88" t="str">
        <f t="shared" si="107"/>
        <v>Special Order0</v>
      </c>
      <c r="AU1381" s="89" t="str">
        <f t="shared" si="108"/>
        <v>01-1900</v>
      </c>
      <c r="BA1381" s="92" t="str">
        <f t="shared" si="109"/>
        <v/>
      </c>
    </row>
    <row r="1382" spans="2:53">
      <c r="B1382" s="60">
        <f>[2]Trucks!A1379</f>
        <v>0</v>
      </c>
      <c r="C1382" s="11">
        <f>[2]Trucks!B1379</f>
        <v>0</v>
      </c>
      <c r="D1382" s="19" t="str">
        <f>IFERROR(VLOOKUP(C1382&amp;"",'[2]Retail Price List'!$A$3:$B$103,2,FALSE),"Special Order")</f>
        <v>Special Order</v>
      </c>
      <c r="E1382" s="18">
        <f>[2]Trucks!J1379</f>
        <v>0</v>
      </c>
      <c r="F1382" s="12">
        <f>[2]Trucks!E1379</f>
        <v>0</v>
      </c>
      <c r="G1382" s="56">
        <f>[2]Trucks!K1379</f>
        <v>0</v>
      </c>
      <c r="H1382" s="46">
        <f>[2]Trucks!I1379</f>
        <v>0</v>
      </c>
      <c r="I1382" s="83" t="str">
        <f t="shared" si="105"/>
        <v/>
      </c>
      <c r="J1382" s="272" t="str">
        <f>IFERROR(VLOOKUP((D1382&amp;C1382)&amp;"",'[2]Retail Price List'!$C$4:$F$102,3,FALSE),"")</f>
        <v/>
      </c>
      <c r="K1382" s="272">
        <f>IFERROR(IF(BA1382="WIP - 30 Days",VLOOKUP(D1382,[3]Standard!$B$9:$E$101,4,FALSE),IF(BA1382="31-120 Days",VLOOKUP(D1382,[3]Standard!$B$9:$F$101,5,FALSE),IF(BA1382="121-365 Days",VLOOKUP(D1382,[3]Standard!$B$9:$G$101,6,FALSE),VLOOKUP(D1382,[3]Standard!$B$9:$H$101,7,FALSE)))),0)</f>
        <v>0</v>
      </c>
      <c r="L1382" s="272">
        <f>IFERROR(IF(BA1382="WIP - 30 Days",VLOOKUP(D1382,[3]Standard!$B$9:$J$101,9,FALSE),IF(BA1382="31-120 Days",VLOOKUP(D1382,[3]Standard!$B$9:$K$100,10,FALSE),IF(BA1382="121-365 Days",VLOOKUP(D1382,[3]Standard!$B$9:$L$101,11,FALSE),VLOOKUP(D1382,[3]Standard!$B$9:$M$101,12,FALSE)))),0)</f>
        <v>0</v>
      </c>
      <c r="M1382" s="269" t="str">
        <f>IFERROR(VLOOKUP((D1382&amp;C1382)&amp;"",'[2]Retail Price List'!$C$4:$F$102,4,FALSE),"")</f>
        <v/>
      </c>
      <c r="N1382" s="269">
        <f>IFERROR(IF(BA1382="WIP - 30 Days",VLOOKUP(D1382,[3]Extended!$B$9:$E$101,4,FALSE),IF(BA1382="31-120 Days",VLOOKUP(D1382,[3]Extended!$B$9:$F$101,5,FALSE),IF(BA1382="121-365 Days",VLOOKUP(D1382,[3]Extended!$B$9:$G$101,6,FALSE),VLOOKUP(D1382,[3]Extended!$B$9:$H$101,7,FALSE)))),0)</f>
        <v>0</v>
      </c>
      <c r="O1382" s="269">
        <f>IFERROR(IF(BA1382="WIP - 30 Days",VLOOKUP(D1382,[3]Extended!$B$9:$J$101,9,FALSE),IF(BA1382="31-120 Days",VLOOKUP(D1382,[3]Extended!$B$9:$K$101,10,FALSE),IF(BA1382="121-365 Days",VLOOKUP(D1382,[3]Extended!$B$9:$L$101,11,FALSE),VLOOKUP(D1382,[3]Extended!$B$9:$M$101,12,FALSE)))),0)</f>
        <v>0</v>
      </c>
      <c r="P1382" s="116" t="e">
        <f t="shared" si="106"/>
        <v>#VALUE!</v>
      </c>
      <c r="Q1382" s="110" t="e">
        <f>O1382-#REF!</f>
        <v>#REF!</v>
      </c>
      <c r="AT1382" s="88" t="str">
        <f t="shared" si="107"/>
        <v>Special Order0</v>
      </c>
      <c r="AU1382" s="89" t="str">
        <f t="shared" si="108"/>
        <v>01-1900</v>
      </c>
      <c r="BA1382" s="92" t="str">
        <f t="shared" si="109"/>
        <v/>
      </c>
    </row>
    <row r="1383" spans="2:53">
      <c r="B1383" s="60">
        <f>[2]Trucks!A1380</f>
        <v>0</v>
      </c>
      <c r="C1383" s="11">
        <f>[2]Trucks!B1380</f>
        <v>0</v>
      </c>
      <c r="D1383" s="19" t="str">
        <f>IFERROR(VLOOKUP(C1383&amp;"",'[2]Retail Price List'!$A$3:$B$103,2,FALSE),"Special Order")</f>
        <v>Special Order</v>
      </c>
      <c r="E1383" s="18">
        <f>[2]Trucks!J1380</f>
        <v>0</v>
      </c>
      <c r="F1383" s="12">
        <f>[2]Trucks!E1380</f>
        <v>0</v>
      </c>
      <c r="G1383" s="56">
        <f>[2]Trucks!K1380</f>
        <v>0</v>
      </c>
      <c r="H1383" s="46">
        <f>[2]Trucks!I1380</f>
        <v>0</v>
      </c>
      <c r="I1383" s="83" t="str">
        <f t="shared" si="105"/>
        <v/>
      </c>
      <c r="J1383" s="272" t="str">
        <f>IFERROR(VLOOKUP((D1383&amp;C1383)&amp;"",'[2]Retail Price List'!$C$4:$F$102,3,FALSE),"")</f>
        <v/>
      </c>
      <c r="K1383" s="272">
        <f>IFERROR(IF(BA1383="WIP - 30 Days",VLOOKUP(D1383,[3]Standard!$B$9:$E$101,4,FALSE),IF(BA1383="31-120 Days",VLOOKUP(D1383,[3]Standard!$B$9:$F$101,5,FALSE),IF(BA1383="121-365 Days",VLOOKUP(D1383,[3]Standard!$B$9:$G$101,6,FALSE),VLOOKUP(D1383,[3]Standard!$B$9:$H$101,7,FALSE)))),0)</f>
        <v>0</v>
      </c>
      <c r="L1383" s="272">
        <f>IFERROR(IF(BA1383="WIP - 30 Days",VLOOKUP(D1383,[3]Standard!$B$9:$J$101,9,FALSE),IF(BA1383="31-120 Days",VLOOKUP(D1383,[3]Standard!$B$9:$K$100,10,FALSE),IF(BA1383="121-365 Days",VLOOKUP(D1383,[3]Standard!$B$9:$L$101,11,FALSE),VLOOKUP(D1383,[3]Standard!$B$9:$M$101,12,FALSE)))),0)</f>
        <v>0</v>
      </c>
      <c r="M1383" s="269" t="str">
        <f>IFERROR(VLOOKUP((D1383&amp;C1383)&amp;"",'[2]Retail Price List'!$C$4:$F$102,4,FALSE),"")</f>
        <v/>
      </c>
      <c r="N1383" s="269">
        <f>IFERROR(IF(BA1383="WIP - 30 Days",VLOOKUP(D1383,[3]Extended!$B$9:$E$101,4,FALSE),IF(BA1383="31-120 Days",VLOOKUP(D1383,[3]Extended!$B$9:$F$101,5,FALSE),IF(BA1383="121-365 Days",VLOOKUP(D1383,[3]Extended!$B$9:$G$101,6,FALSE),VLOOKUP(D1383,[3]Extended!$B$9:$H$101,7,FALSE)))),0)</f>
        <v>0</v>
      </c>
      <c r="O1383" s="269">
        <f>IFERROR(IF(BA1383="WIP - 30 Days",VLOOKUP(D1383,[3]Extended!$B$9:$J$101,9,FALSE),IF(BA1383="31-120 Days",VLOOKUP(D1383,[3]Extended!$B$9:$K$101,10,FALSE),IF(BA1383="121-365 Days",VLOOKUP(D1383,[3]Extended!$B$9:$L$101,11,FALSE),VLOOKUP(D1383,[3]Extended!$B$9:$M$101,12,FALSE)))),0)</f>
        <v>0</v>
      </c>
      <c r="P1383" s="116" t="e">
        <f t="shared" si="106"/>
        <v>#VALUE!</v>
      </c>
      <c r="Q1383" s="110" t="e">
        <f>O1383-#REF!</f>
        <v>#REF!</v>
      </c>
      <c r="AT1383" s="88" t="str">
        <f t="shared" si="107"/>
        <v>Special Order0</v>
      </c>
      <c r="AU1383" s="89" t="str">
        <f t="shared" si="108"/>
        <v>01-1900</v>
      </c>
      <c r="BA1383" s="92" t="str">
        <f t="shared" si="109"/>
        <v/>
      </c>
    </row>
    <row r="1384" spans="2:53">
      <c r="B1384" s="60">
        <f>[2]Trucks!A1381</f>
        <v>0</v>
      </c>
      <c r="C1384" s="11">
        <f>[2]Trucks!B1381</f>
        <v>0</v>
      </c>
      <c r="D1384" s="19" t="str">
        <f>IFERROR(VLOOKUP(C1384&amp;"",'[2]Retail Price List'!$A$3:$B$103,2,FALSE),"Special Order")</f>
        <v>Special Order</v>
      </c>
      <c r="E1384" s="18">
        <f>[2]Trucks!J1381</f>
        <v>0</v>
      </c>
      <c r="F1384" s="12">
        <f>[2]Trucks!E1381</f>
        <v>0</v>
      </c>
      <c r="G1384" s="56">
        <f>[2]Trucks!K1381</f>
        <v>0</v>
      </c>
      <c r="H1384" s="46">
        <f>[2]Trucks!I1381</f>
        <v>0</v>
      </c>
      <c r="I1384" s="83" t="str">
        <f t="shared" si="105"/>
        <v/>
      </c>
      <c r="J1384" s="272" t="str">
        <f>IFERROR(VLOOKUP((D1384&amp;C1384)&amp;"",'[2]Retail Price List'!$C$4:$F$102,3,FALSE),"")</f>
        <v/>
      </c>
      <c r="K1384" s="272">
        <f>IFERROR(IF(BA1384="WIP - 30 Days",VLOOKUP(D1384,[3]Standard!$B$9:$E$101,4,FALSE),IF(BA1384="31-120 Days",VLOOKUP(D1384,[3]Standard!$B$9:$F$101,5,FALSE),IF(BA1384="121-365 Days",VLOOKUP(D1384,[3]Standard!$B$9:$G$101,6,FALSE),VLOOKUP(D1384,[3]Standard!$B$9:$H$101,7,FALSE)))),0)</f>
        <v>0</v>
      </c>
      <c r="L1384" s="272">
        <f>IFERROR(IF(BA1384="WIP - 30 Days",VLOOKUP(D1384,[3]Standard!$B$9:$J$101,9,FALSE),IF(BA1384="31-120 Days",VLOOKUP(D1384,[3]Standard!$B$9:$K$100,10,FALSE),IF(BA1384="121-365 Days",VLOOKUP(D1384,[3]Standard!$B$9:$L$101,11,FALSE),VLOOKUP(D1384,[3]Standard!$B$9:$M$101,12,FALSE)))),0)</f>
        <v>0</v>
      </c>
      <c r="M1384" s="269" t="str">
        <f>IFERROR(VLOOKUP((D1384&amp;C1384)&amp;"",'[2]Retail Price List'!$C$4:$F$102,4,FALSE),"")</f>
        <v/>
      </c>
      <c r="N1384" s="269">
        <f>IFERROR(IF(BA1384="WIP - 30 Days",VLOOKUP(D1384,[3]Extended!$B$9:$E$101,4,FALSE),IF(BA1384="31-120 Days",VLOOKUP(D1384,[3]Extended!$B$9:$F$101,5,FALSE),IF(BA1384="121-365 Days",VLOOKUP(D1384,[3]Extended!$B$9:$G$101,6,FALSE),VLOOKUP(D1384,[3]Extended!$B$9:$H$101,7,FALSE)))),0)</f>
        <v>0</v>
      </c>
      <c r="O1384" s="269">
        <f>IFERROR(IF(BA1384="WIP - 30 Days",VLOOKUP(D1384,[3]Extended!$B$9:$J$101,9,FALSE),IF(BA1384="31-120 Days",VLOOKUP(D1384,[3]Extended!$B$9:$K$101,10,FALSE),IF(BA1384="121-365 Days",VLOOKUP(D1384,[3]Extended!$B$9:$L$101,11,FALSE),VLOOKUP(D1384,[3]Extended!$B$9:$M$101,12,FALSE)))),0)</f>
        <v>0</v>
      </c>
      <c r="P1384" s="116" t="e">
        <f t="shared" si="106"/>
        <v>#VALUE!</v>
      </c>
      <c r="Q1384" s="110" t="e">
        <f>O1384-#REF!</f>
        <v>#REF!</v>
      </c>
      <c r="AT1384" s="88" t="str">
        <f t="shared" si="107"/>
        <v>Special Order0</v>
      </c>
      <c r="AU1384" s="89" t="str">
        <f t="shared" si="108"/>
        <v>01-1900</v>
      </c>
      <c r="BA1384" s="92" t="str">
        <f t="shared" si="109"/>
        <v/>
      </c>
    </row>
    <row r="1385" spans="2:53">
      <c r="B1385" s="60">
        <f>[2]Trucks!A1382</f>
        <v>0</v>
      </c>
      <c r="C1385" s="11">
        <f>[2]Trucks!B1382</f>
        <v>0</v>
      </c>
      <c r="D1385" s="19" t="str">
        <f>IFERROR(VLOOKUP(C1385&amp;"",'[2]Retail Price List'!$A$3:$B$103,2,FALSE),"Special Order")</f>
        <v>Special Order</v>
      </c>
      <c r="E1385" s="18">
        <f>[2]Trucks!J1382</f>
        <v>0</v>
      </c>
      <c r="F1385" s="12">
        <f>[2]Trucks!E1382</f>
        <v>0</v>
      </c>
      <c r="G1385" s="56">
        <f>[2]Trucks!K1382</f>
        <v>0</v>
      </c>
      <c r="H1385" s="46">
        <f>[2]Trucks!I1382</f>
        <v>0</v>
      </c>
      <c r="I1385" s="83" t="str">
        <f t="shared" si="105"/>
        <v/>
      </c>
      <c r="J1385" s="272" t="str">
        <f>IFERROR(VLOOKUP((D1385&amp;C1385)&amp;"",'[2]Retail Price List'!$C$4:$F$102,3,FALSE),"")</f>
        <v/>
      </c>
      <c r="K1385" s="272">
        <f>IFERROR(IF(BA1385="WIP - 30 Days",VLOOKUP(D1385,[3]Standard!$B$9:$E$101,4,FALSE),IF(BA1385="31-120 Days",VLOOKUP(D1385,[3]Standard!$B$9:$F$101,5,FALSE),IF(BA1385="121-365 Days",VLOOKUP(D1385,[3]Standard!$B$9:$G$101,6,FALSE),VLOOKUP(D1385,[3]Standard!$B$9:$H$101,7,FALSE)))),0)</f>
        <v>0</v>
      </c>
      <c r="L1385" s="272">
        <f>IFERROR(IF(BA1385="WIP - 30 Days",VLOOKUP(D1385,[3]Standard!$B$9:$J$101,9,FALSE),IF(BA1385="31-120 Days",VLOOKUP(D1385,[3]Standard!$B$9:$K$100,10,FALSE),IF(BA1385="121-365 Days",VLOOKUP(D1385,[3]Standard!$B$9:$L$101,11,FALSE),VLOOKUP(D1385,[3]Standard!$B$9:$M$101,12,FALSE)))),0)</f>
        <v>0</v>
      </c>
      <c r="M1385" s="269" t="str">
        <f>IFERROR(VLOOKUP((D1385&amp;C1385)&amp;"",'[2]Retail Price List'!$C$4:$F$102,4,FALSE),"")</f>
        <v/>
      </c>
      <c r="N1385" s="269">
        <f>IFERROR(IF(BA1385="WIP - 30 Days",VLOOKUP(D1385,[3]Extended!$B$9:$E$101,4,FALSE),IF(BA1385="31-120 Days",VLOOKUP(D1385,[3]Extended!$B$9:$F$101,5,FALSE),IF(BA1385="121-365 Days",VLOOKUP(D1385,[3]Extended!$B$9:$G$101,6,FALSE),VLOOKUP(D1385,[3]Extended!$B$9:$H$101,7,FALSE)))),0)</f>
        <v>0</v>
      </c>
      <c r="O1385" s="269">
        <f>IFERROR(IF(BA1385="WIP - 30 Days",VLOOKUP(D1385,[3]Extended!$B$9:$J$101,9,FALSE),IF(BA1385="31-120 Days",VLOOKUP(D1385,[3]Extended!$B$9:$K$101,10,FALSE),IF(BA1385="121-365 Days",VLOOKUP(D1385,[3]Extended!$B$9:$L$101,11,FALSE),VLOOKUP(D1385,[3]Extended!$B$9:$M$101,12,FALSE)))),0)</f>
        <v>0</v>
      </c>
      <c r="P1385" s="116" t="e">
        <f t="shared" si="106"/>
        <v>#VALUE!</v>
      </c>
      <c r="Q1385" s="110" t="e">
        <f>O1385-#REF!</f>
        <v>#REF!</v>
      </c>
      <c r="AT1385" s="88" t="str">
        <f t="shared" si="107"/>
        <v>Special Order0</v>
      </c>
      <c r="AU1385" s="89" t="str">
        <f t="shared" si="108"/>
        <v>01-1900</v>
      </c>
      <c r="BA1385" s="92" t="str">
        <f t="shared" si="109"/>
        <v/>
      </c>
    </row>
    <row r="1386" spans="2:53">
      <c r="B1386" s="60">
        <f>[2]Trucks!A1383</f>
        <v>0</v>
      </c>
      <c r="C1386" s="11">
        <f>[2]Trucks!B1383</f>
        <v>0</v>
      </c>
      <c r="D1386" s="19" t="str">
        <f>IFERROR(VLOOKUP(C1386&amp;"",'[2]Retail Price List'!$A$3:$B$103,2,FALSE),"Special Order")</f>
        <v>Special Order</v>
      </c>
      <c r="E1386" s="18">
        <f>[2]Trucks!J1383</f>
        <v>0</v>
      </c>
      <c r="F1386" s="12">
        <f>[2]Trucks!E1383</f>
        <v>0</v>
      </c>
      <c r="G1386" s="56">
        <f>[2]Trucks!K1383</f>
        <v>0</v>
      </c>
      <c r="H1386" s="46">
        <f>[2]Trucks!I1383</f>
        <v>0</v>
      </c>
      <c r="I1386" s="83" t="str">
        <f t="shared" si="105"/>
        <v/>
      </c>
      <c r="J1386" s="272" t="str">
        <f>IFERROR(VLOOKUP((D1386&amp;C1386)&amp;"",'[2]Retail Price List'!$C$4:$F$102,3,FALSE),"")</f>
        <v/>
      </c>
      <c r="K1386" s="272">
        <f>IFERROR(IF(BA1386="WIP - 30 Days",VLOOKUP(D1386,[3]Standard!$B$9:$E$101,4,FALSE),IF(BA1386="31-120 Days",VLOOKUP(D1386,[3]Standard!$B$9:$F$101,5,FALSE),IF(BA1386="121-365 Days",VLOOKUP(D1386,[3]Standard!$B$9:$G$101,6,FALSE),VLOOKUP(D1386,[3]Standard!$B$9:$H$101,7,FALSE)))),0)</f>
        <v>0</v>
      </c>
      <c r="L1386" s="272">
        <f>IFERROR(IF(BA1386="WIP - 30 Days",VLOOKUP(D1386,[3]Standard!$B$9:$J$101,9,FALSE),IF(BA1386="31-120 Days",VLOOKUP(D1386,[3]Standard!$B$9:$K$100,10,FALSE),IF(BA1386="121-365 Days",VLOOKUP(D1386,[3]Standard!$B$9:$L$101,11,FALSE),VLOOKUP(D1386,[3]Standard!$B$9:$M$101,12,FALSE)))),0)</f>
        <v>0</v>
      </c>
      <c r="M1386" s="269" t="str">
        <f>IFERROR(VLOOKUP((D1386&amp;C1386)&amp;"",'[2]Retail Price List'!$C$4:$F$102,4,FALSE),"")</f>
        <v/>
      </c>
      <c r="N1386" s="269">
        <f>IFERROR(IF(BA1386="WIP - 30 Days",VLOOKUP(D1386,[3]Extended!$B$9:$E$101,4,FALSE),IF(BA1386="31-120 Days",VLOOKUP(D1386,[3]Extended!$B$9:$F$101,5,FALSE),IF(BA1386="121-365 Days",VLOOKUP(D1386,[3]Extended!$B$9:$G$101,6,FALSE),VLOOKUP(D1386,[3]Extended!$B$9:$H$101,7,FALSE)))),0)</f>
        <v>0</v>
      </c>
      <c r="O1386" s="269">
        <f>IFERROR(IF(BA1386="WIP - 30 Days",VLOOKUP(D1386,[3]Extended!$B$9:$J$101,9,FALSE),IF(BA1386="31-120 Days",VLOOKUP(D1386,[3]Extended!$B$9:$K$101,10,FALSE),IF(BA1386="121-365 Days",VLOOKUP(D1386,[3]Extended!$B$9:$L$101,11,FALSE),VLOOKUP(D1386,[3]Extended!$B$9:$M$101,12,FALSE)))),0)</f>
        <v>0</v>
      </c>
      <c r="P1386" s="116" t="e">
        <f t="shared" si="106"/>
        <v>#VALUE!</v>
      </c>
      <c r="Q1386" s="110" t="e">
        <f>O1386-#REF!</f>
        <v>#REF!</v>
      </c>
      <c r="AT1386" s="88" t="str">
        <f t="shared" si="107"/>
        <v>Special Order0</v>
      </c>
      <c r="AU1386" s="89" t="str">
        <f t="shared" si="108"/>
        <v>01-1900</v>
      </c>
      <c r="BA1386" s="92" t="str">
        <f t="shared" si="109"/>
        <v/>
      </c>
    </row>
    <row r="1387" spans="2:53">
      <c r="B1387" s="60">
        <f>[2]Trucks!A1384</f>
        <v>0</v>
      </c>
      <c r="C1387" s="11">
        <f>[2]Trucks!B1384</f>
        <v>0</v>
      </c>
      <c r="D1387" s="19" t="str">
        <f>IFERROR(VLOOKUP(C1387&amp;"",'[2]Retail Price List'!$A$3:$B$103,2,FALSE),"Special Order")</f>
        <v>Special Order</v>
      </c>
      <c r="E1387" s="18">
        <f>[2]Trucks!J1384</f>
        <v>0</v>
      </c>
      <c r="F1387" s="12">
        <f>[2]Trucks!E1384</f>
        <v>0</v>
      </c>
      <c r="G1387" s="56">
        <f>[2]Trucks!K1384</f>
        <v>0</v>
      </c>
      <c r="H1387" s="46">
        <f>[2]Trucks!I1384</f>
        <v>0</v>
      </c>
      <c r="I1387" s="83" t="str">
        <f t="shared" si="105"/>
        <v/>
      </c>
      <c r="J1387" s="272" t="str">
        <f>IFERROR(VLOOKUP((D1387&amp;C1387)&amp;"",'[2]Retail Price List'!$C$4:$F$102,3,FALSE),"")</f>
        <v/>
      </c>
      <c r="K1387" s="272">
        <f>IFERROR(IF(BA1387="WIP - 30 Days",VLOOKUP(D1387,[3]Standard!$B$9:$E$101,4,FALSE),IF(BA1387="31-120 Days",VLOOKUP(D1387,[3]Standard!$B$9:$F$101,5,FALSE),IF(BA1387="121-365 Days",VLOOKUP(D1387,[3]Standard!$B$9:$G$101,6,FALSE),VLOOKUP(D1387,[3]Standard!$B$9:$H$101,7,FALSE)))),0)</f>
        <v>0</v>
      </c>
      <c r="L1387" s="272">
        <f>IFERROR(IF(BA1387="WIP - 30 Days",VLOOKUP(D1387,[3]Standard!$B$9:$J$101,9,FALSE),IF(BA1387="31-120 Days",VLOOKUP(D1387,[3]Standard!$B$9:$K$100,10,FALSE),IF(BA1387="121-365 Days",VLOOKUP(D1387,[3]Standard!$B$9:$L$101,11,FALSE),VLOOKUP(D1387,[3]Standard!$B$9:$M$101,12,FALSE)))),0)</f>
        <v>0</v>
      </c>
      <c r="M1387" s="269" t="str">
        <f>IFERROR(VLOOKUP((D1387&amp;C1387)&amp;"",'[2]Retail Price List'!$C$4:$F$102,4,FALSE),"")</f>
        <v/>
      </c>
      <c r="N1387" s="269">
        <f>IFERROR(IF(BA1387="WIP - 30 Days",VLOOKUP(D1387,[3]Extended!$B$9:$E$101,4,FALSE),IF(BA1387="31-120 Days",VLOOKUP(D1387,[3]Extended!$B$9:$F$101,5,FALSE),IF(BA1387="121-365 Days",VLOOKUP(D1387,[3]Extended!$B$9:$G$101,6,FALSE),VLOOKUP(D1387,[3]Extended!$B$9:$H$101,7,FALSE)))),0)</f>
        <v>0</v>
      </c>
      <c r="O1387" s="269">
        <f>IFERROR(IF(BA1387="WIP - 30 Days",VLOOKUP(D1387,[3]Extended!$B$9:$J$101,9,FALSE),IF(BA1387="31-120 Days",VLOOKUP(D1387,[3]Extended!$B$9:$K$101,10,FALSE),IF(BA1387="121-365 Days",VLOOKUP(D1387,[3]Extended!$B$9:$L$101,11,FALSE),VLOOKUP(D1387,[3]Extended!$B$9:$M$101,12,FALSE)))),0)</f>
        <v>0</v>
      </c>
      <c r="P1387" s="116" t="e">
        <f t="shared" si="106"/>
        <v>#VALUE!</v>
      </c>
      <c r="Q1387" s="110" t="e">
        <f>O1387-#REF!</f>
        <v>#REF!</v>
      </c>
      <c r="AT1387" s="88" t="str">
        <f t="shared" si="107"/>
        <v>Special Order0</v>
      </c>
      <c r="AU1387" s="89" t="str">
        <f t="shared" si="108"/>
        <v>01-1900</v>
      </c>
      <c r="BA1387" s="92" t="str">
        <f t="shared" si="109"/>
        <v/>
      </c>
    </row>
    <row r="1388" spans="2:53">
      <c r="B1388" s="60">
        <f>[2]Trucks!A1385</f>
        <v>0</v>
      </c>
      <c r="C1388" s="11">
        <f>[2]Trucks!B1385</f>
        <v>0</v>
      </c>
      <c r="D1388" s="19" t="str">
        <f>IFERROR(VLOOKUP(C1388&amp;"",'[2]Retail Price List'!$A$3:$B$103,2,FALSE),"Special Order")</f>
        <v>Special Order</v>
      </c>
      <c r="E1388" s="18">
        <f>[2]Trucks!J1385</f>
        <v>0</v>
      </c>
      <c r="F1388" s="12">
        <f>[2]Trucks!E1385</f>
        <v>0</v>
      </c>
      <c r="G1388" s="56">
        <f>[2]Trucks!K1385</f>
        <v>0</v>
      </c>
      <c r="H1388" s="46">
        <f>[2]Trucks!I1385</f>
        <v>0</v>
      </c>
      <c r="I1388" s="83" t="str">
        <f t="shared" si="105"/>
        <v/>
      </c>
      <c r="J1388" s="272" t="str">
        <f>IFERROR(VLOOKUP((D1388&amp;C1388)&amp;"",'[2]Retail Price List'!$C$4:$F$102,3,FALSE),"")</f>
        <v/>
      </c>
      <c r="K1388" s="272">
        <f>IFERROR(IF(BA1388="WIP - 30 Days",VLOOKUP(D1388,[3]Standard!$B$9:$E$101,4,FALSE),IF(BA1388="31-120 Days",VLOOKUP(D1388,[3]Standard!$B$9:$F$101,5,FALSE),IF(BA1388="121-365 Days",VLOOKUP(D1388,[3]Standard!$B$9:$G$101,6,FALSE),VLOOKUP(D1388,[3]Standard!$B$9:$H$101,7,FALSE)))),0)</f>
        <v>0</v>
      </c>
      <c r="L1388" s="272">
        <f>IFERROR(IF(BA1388="WIP - 30 Days",VLOOKUP(D1388,[3]Standard!$B$9:$J$101,9,FALSE),IF(BA1388="31-120 Days",VLOOKUP(D1388,[3]Standard!$B$9:$K$100,10,FALSE),IF(BA1388="121-365 Days",VLOOKUP(D1388,[3]Standard!$B$9:$L$101,11,FALSE),VLOOKUP(D1388,[3]Standard!$B$9:$M$101,12,FALSE)))),0)</f>
        <v>0</v>
      </c>
      <c r="M1388" s="269" t="str">
        <f>IFERROR(VLOOKUP((D1388&amp;C1388)&amp;"",'[2]Retail Price List'!$C$4:$F$102,4,FALSE),"")</f>
        <v/>
      </c>
      <c r="N1388" s="269">
        <f>IFERROR(IF(BA1388="WIP - 30 Days",VLOOKUP(D1388,[3]Extended!$B$9:$E$101,4,FALSE),IF(BA1388="31-120 Days",VLOOKUP(D1388,[3]Extended!$B$9:$F$101,5,FALSE),IF(BA1388="121-365 Days",VLOOKUP(D1388,[3]Extended!$B$9:$G$101,6,FALSE),VLOOKUP(D1388,[3]Extended!$B$9:$H$101,7,FALSE)))),0)</f>
        <v>0</v>
      </c>
      <c r="O1388" s="269">
        <f>IFERROR(IF(BA1388="WIP - 30 Days",VLOOKUP(D1388,[3]Extended!$B$9:$J$101,9,FALSE),IF(BA1388="31-120 Days",VLOOKUP(D1388,[3]Extended!$B$9:$K$101,10,FALSE),IF(BA1388="121-365 Days",VLOOKUP(D1388,[3]Extended!$B$9:$L$101,11,FALSE),VLOOKUP(D1388,[3]Extended!$B$9:$M$101,12,FALSE)))),0)</f>
        <v>0</v>
      </c>
      <c r="P1388" s="116" t="e">
        <f t="shared" si="106"/>
        <v>#VALUE!</v>
      </c>
      <c r="Q1388" s="110" t="e">
        <f>O1388-#REF!</f>
        <v>#REF!</v>
      </c>
      <c r="AT1388" s="88" t="str">
        <f t="shared" si="107"/>
        <v>Special Order0</v>
      </c>
      <c r="AU1388" s="89" t="str">
        <f t="shared" si="108"/>
        <v>01-1900</v>
      </c>
      <c r="BA1388" s="92" t="str">
        <f t="shared" si="109"/>
        <v/>
      </c>
    </row>
    <row r="1389" spans="2:53">
      <c r="B1389" s="60">
        <f>[2]Trucks!A1386</f>
        <v>0</v>
      </c>
      <c r="C1389" s="11">
        <f>[2]Trucks!B1386</f>
        <v>0</v>
      </c>
      <c r="D1389" s="19" t="str">
        <f>IFERROR(VLOOKUP(C1389&amp;"",'[2]Retail Price List'!$A$3:$B$103,2,FALSE),"Special Order")</f>
        <v>Special Order</v>
      </c>
      <c r="E1389" s="18">
        <f>[2]Trucks!J1386</f>
        <v>0</v>
      </c>
      <c r="F1389" s="12">
        <f>[2]Trucks!E1386</f>
        <v>0</v>
      </c>
      <c r="G1389" s="56">
        <f>[2]Trucks!K1386</f>
        <v>0</v>
      </c>
      <c r="H1389" s="46">
        <f>[2]Trucks!I1386</f>
        <v>0</v>
      </c>
      <c r="I1389" s="83" t="str">
        <f t="shared" si="105"/>
        <v/>
      </c>
      <c r="J1389" s="272" t="str">
        <f>IFERROR(VLOOKUP((D1389&amp;C1389)&amp;"",'[2]Retail Price List'!$C$4:$F$102,3,FALSE),"")</f>
        <v/>
      </c>
      <c r="K1389" s="272">
        <f>IFERROR(IF(BA1389="WIP - 30 Days",VLOOKUP(D1389,[3]Standard!$B$9:$E$101,4,FALSE),IF(BA1389="31-120 Days",VLOOKUP(D1389,[3]Standard!$B$9:$F$101,5,FALSE),IF(BA1389="121-365 Days",VLOOKUP(D1389,[3]Standard!$B$9:$G$101,6,FALSE),VLOOKUP(D1389,[3]Standard!$B$9:$H$101,7,FALSE)))),0)</f>
        <v>0</v>
      </c>
      <c r="L1389" s="272">
        <f>IFERROR(IF(BA1389="WIP - 30 Days",VLOOKUP(D1389,[3]Standard!$B$9:$J$101,9,FALSE),IF(BA1389="31-120 Days",VLOOKUP(D1389,[3]Standard!$B$9:$K$100,10,FALSE),IF(BA1389="121-365 Days",VLOOKUP(D1389,[3]Standard!$B$9:$L$101,11,FALSE),VLOOKUP(D1389,[3]Standard!$B$9:$M$101,12,FALSE)))),0)</f>
        <v>0</v>
      </c>
      <c r="M1389" s="269" t="str">
        <f>IFERROR(VLOOKUP((D1389&amp;C1389)&amp;"",'[2]Retail Price List'!$C$4:$F$102,4,FALSE),"")</f>
        <v/>
      </c>
      <c r="N1389" s="269">
        <f>IFERROR(IF(BA1389="WIP - 30 Days",VLOOKUP(D1389,[3]Extended!$B$9:$E$101,4,FALSE),IF(BA1389="31-120 Days",VLOOKUP(D1389,[3]Extended!$B$9:$F$101,5,FALSE),IF(BA1389="121-365 Days",VLOOKUP(D1389,[3]Extended!$B$9:$G$101,6,FALSE),VLOOKUP(D1389,[3]Extended!$B$9:$H$101,7,FALSE)))),0)</f>
        <v>0</v>
      </c>
      <c r="O1389" s="269">
        <f>IFERROR(IF(BA1389="WIP - 30 Days",VLOOKUP(D1389,[3]Extended!$B$9:$J$101,9,FALSE),IF(BA1389="31-120 Days",VLOOKUP(D1389,[3]Extended!$B$9:$K$101,10,FALSE),IF(BA1389="121-365 Days",VLOOKUP(D1389,[3]Extended!$B$9:$L$101,11,FALSE),VLOOKUP(D1389,[3]Extended!$B$9:$M$101,12,FALSE)))),0)</f>
        <v>0</v>
      </c>
      <c r="P1389" s="116" t="e">
        <f t="shared" si="106"/>
        <v>#VALUE!</v>
      </c>
      <c r="Q1389" s="110" t="e">
        <f>O1389-#REF!</f>
        <v>#REF!</v>
      </c>
      <c r="AT1389" s="88" t="str">
        <f t="shared" si="107"/>
        <v>Special Order0</v>
      </c>
      <c r="AU1389" s="89" t="str">
        <f t="shared" si="108"/>
        <v>01-1900</v>
      </c>
      <c r="BA1389" s="92" t="str">
        <f t="shared" si="109"/>
        <v/>
      </c>
    </row>
    <row r="1390" spans="2:53">
      <c r="B1390" s="60">
        <f>[2]Trucks!A1387</f>
        <v>0</v>
      </c>
      <c r="C1390" s="11">
        <f>[2]Trucks!B1387</f>
        <v>0</v>
      </c>
      <c r="D1390" s="19" t="str">
        <f>IFERROR(VLOOKUP(C1390&amp;"",'[2]Retail Price List'!$A$3:$B$103,2,FALSE),"Special Order")</f>
        <v>Special Order</v>
      </c>
      <c r="E1390" s="18">
        <f>[2]Trucks!J1387</f>
        <v>0</v>
      </c>
      <c r="F1390" s="12">
        <f>[2]Trucks!E1387</f>
        <v>0</v>
      </c>
      <c r="G1390" s="56">
        <f>[2]Trucks!K1387</f>
        <v>0</v>
      </c>
      <c r="H1390" s="46">
        <f>[2]Trucks!I1387</f>
        <v>0</v>
      </c>
      <c r="I1390" s="83" t="str">
        <f t="shared" si="105"/>
        <v/>
      </c>
      <c r="J1390" s="272" t="str">
        <f>IFERROR(VLOOKUP((D1390&amp;C1390)&amp;"",'[2]Retail Price List'!$C$4:$F$102,3,FALSE),"")</f>
        <v/>
      </c>
      <c r="K1390" s="272">
        <f>IFERROR(IF(BA1390="WIP - 30 Days",VLOOKUP(D1390,[3]Standard!$B$9:$E$101,4,FALSE),IF(BA1390="31-120 Days",VLOOKUP(D1390,[3]Standard!$B$9:$F$101,5,FALSE),IF(BA1390="121-365 Days",VLOOKUP(D1390,[3]Standard!$B$9:$G$101,6,FALSE),VLOOKUP(D1390,[3]Standard!$B$9:$H$101,7,FALSE)))),0)</f>
        <v>0</v>
      </c>
      <c r="L1390" s="272">
        <f>IFERROR(IF(BA1390="WIP - 30 Days",VLOOKUP(D1390,[3]Standard!$B$9:$J$101,9,FALSE),IF(BA1390="31-120 Days",VLOOKUP(D1390,[3]Standard!$B$9:$K$100,10,FALSE),IF(BA1390="121-365 Days",VLOOKUP(D1390,[3]Standard!$B$9:$L$101,11,FALSE),VLOOKUP(D1390,[3]Standard!$B$9:$M$101,12,FALSE)))),0)</f>
        <v>0</v>
      </c>
      <c r="M1390" s="269" t="str">
        <f>IFERROR(VLOOKUP((D1390&amp;C1390)&amp;"",'[2]Retail Price List'!$C$4:$F$102,4,FALSE),"")</f>
        <v/>
      </c>
      <c r="N1390" s="269">
        <f>IFERROR(IF(BA1390="WIP - 30 Days",VLOOKUP(D1390,[3]Extended!$B$9:$E$101,4,FALSE),IF(BA1390="31-120 Days",VLOOKUP(D1390,[3]Extended!$B$9:$F$101,5,FALSE),IF(BA1390="121-365 Days",VLOOKUP(D1390,[3]Extended!$B$9:$G$101,6,FALSE),VLOOKUP(D1390,[3]Extended!$B$9:$H$101,7,FALSE)))),0)</f>
        <v>0</v>
      </c>
      <c r="O1390" s="269">
        <f>IFERROR(IF(BA1390="WIP - 30 Days",VLOOKUP(D1390,[3]Extended!$B$9:$J$101,9,FALSE),IF(BA1390="31-120 Days",VLOOKUP(D1390,[3]Extended!$B$9:$K$101,10,FALSE),IF(BA1390="121-365 Days",VLOOKUP(D1390,[3]Extended!$B$9:$L$101,11,FALSE),VLOOKUP(D1390,[3]Extended!$B$9:$M$101,12,FALSE)))),0)</f>
        <v>0</v>
      </c>
      <c r="P1390" s="116" t="e">
        <f t="shared" si="106"/>
        <v>#VALUE!</v>
      </c>
      <c r="Q1390" s="110" t="e">
        <f>O1390-#REF!</f>
        <v>#REF!</v>
      </c>
      <c r="AT1390" s="88" t="str">
        <f t="shared" si="107"/>
        <v>Special Order0</v>
      </c>
      <c r="AU1390" s="89" t="str">
        <f t="shared" si="108"/>
        <v>01-1900</v>
      </c>
      <c r="BA1390" s="92" t="str">
        <f t="shared" si="109"/>
        <v/>
      </c>
    </row>
    <row r="1391" spans="2:53">
      <c r="B1391" s="60">
        <f>[2]Trucks!A1388</f>
        <v>0</v>
      </c>
      <c r="C1391" s="11">
        <f>[2]Trucks!B1388</f>
        <v>0</v>
      </c>
      <c r="D1391" s="19" t="str">
        <f>IFERROR(VLOOKUP(C1391&amp;"",'[2]Retail Price List'!$A$3:$B$103,2,FALSE),"Special Order")</f>
        <v>Special Order</v>
      </c>
      <c r="E1391" s="18">
        <f>[2]Trucks!J1388</f>
        <v>0</v>
      </c>
      <c r="F1391" s="12">
        <f>[2]Trucks!E1388</f>
        <v>0</v>
      </c>
      <c r="G1391" s="56">
        <f>[2]Trucks!K1388</f>
        <v>0</v>
      </c>
      <c r="H1391" s="46">
        <f>[2]Trucks!I1388</f>
        <v>0</v>
      </c>
      <c r="I1391" s="83" t="str">
        <f t="shared" si="105"/>
        <v/>
      </c>
      <c r="J1391" s="272" t="str">
        <f>IFERROR(VLOOKUP((D1391&amp;C1391)&amp;"",'[2]Retail Price List'!$C$4:$F$102,3,FALSE),"")</f>
        <v/>
      </c>
      <c r="K1391" s="272">
        <f>IFERROR(IF(BA1391="WIP - 30 Days",VLOOKUP(D1391,[3]Standard!$B$9:$E$101,4,FALSE),IF(BA1391="31-120 Days",VLOOKUP(D1391,[3]Standard!$B$9:$F$101,5,FALSE),IF(BA1391="121-365 Days",VLOOKUP(D1391,[3]Standard!$B$9:$G$101,6,FALSE),VLOOKUP(D1391,[3]Standard!$B$9:$H$101,7,FALSE)))),0)</f>
        <v>0</v>
      </c>
      <c r="L1391" s="272">
        <f>IFERROR(IF(BA1391="WIP - 30 Days",VLOOKUP(D1391,[3]Standard!$B$9:$J$101,9,FALSE),IF(BA1391="31-120 Days",VLOOKUP(D1391,[3]Standard!$B$9:$K$100,10,FALSE),IF(BA1391="121-365 Days",VLOOKUP(D1391,[3]Standard!$B$9:$L$101,11,FALSE),VLOOKUP(D1391,[3]Standard!$B$9:$M$101,12,FALSE)))),0)</f>
        <v>0</v>
      </c>
      <c r="M1391" s="269" t="str">
        <f>IFERROR(VLOOKUP((D1391&amp;C1391)&amp;"",'[2]Retail Price List'!$C$4:$F$102,4,FALSE),"")</f>
        <v/>
      </c>
      <c r="N1391" s="269">
        <f>IFERROR(IF(BA1391="WIP - 30 Days",VLOOKUP(D1391,[3]Extended!$B$9:$E$101,4,FALSE),IF(BA1391="31-120 Days",VLOOKUP(D1391,[3]Extended!$B$9:$F$101,5,FALSE),IF(BA1391="121-365 Days",VLOOKUP(D1391,[3]Extended!$B$9:$G$101,6,FALSE),VLOOKUP(D1391,[3]Extended!$B$9:$H$101,7,FALSE)))),0)</f>
        <v>0</v>
      </c>
      <c r="O1391" s="269">
        <f>IFERROR(IF(BA1391="WIP - 30 Days",VLOOKUP(D1391,[3]Extended!$B$9:$J$101,9,FALSE),IF(BA1391="31-120 Days",VLOOKUP(D1391,[3]Extended!$B$9:$K$101,10,FALSE),IF(BA1391="121-365 Days",VLOOKUP(D1391,[3]Extended!$B$9:$L$101,11,FALSE),VLOOKUP(D1391,[3]Extended!$B$9:$M$101,12,FALSE)))),0)</f>
        <v>0</v>
      </c>
      <c r="P1391" s="116" t="e">
        <f t="shared" si="106"/>
        <v>#VALUE!</v>
      </c>
      <c r="Q1391" s="110" t="e">
        <f>O1391-#REF!</f>
        <v>#REF!</v>
      </c>
      <c r="AT1391" s="88" t="str">
        <f t="shared" si="107"/>
        <v>Special Order0</v>
      </c>
      <c r="AU1391" s="89" t="str">
        <f t="shared" si="108"/>
        <v>01-1900</v>
      </c>
      <c r="BA1391" s="92" t="str">
        <f t="shared" si="109"/>
        <v/>
      </c>
    </row>
    <row r="1392" spans="2:53">
      <c r="B1392" s="60">
        <f>[2]Trucks!A1389</f>
        <v>0</v>
      </c>
      <c r="C1392" s="11">
        <f>[2]Trucks!B1389</f>
        <v>0</v>
      </c>
      <c r="D1392" s="19" t="str">
        <f>IFERROR(VLOOKUP(C1392&amp;"",'[2]Retail Price List'!$A$3:$B$103,2,FALSE),"Special Order")</f>
        <v>Special Order</v>
      </c>
      <c r="E1392" s="18">
        <f>[2]Trucks!J1389</f>
        <v>0</v>
      </c>
      <c r="F1392" s="12">
        <f>[2]Trucks!E1389</f>
        <v>0</v>
      </c>
      <c r="G1392" s="56">
        <f>[2]Trucks!K1389</f>
        <v>0</v>
      </c>
      <c r="H1392" s="46">
        <f>[2]Trucks!I1389</f>
        <v>0</v>
      </c>
      <c r="I1392" s="83" t="str">
        <f t="shared" si="105"/>
        <v/>
      </c>
      <c r="J1392" s="272" t="str">
        <f>IFERROR(VLOOKUP((D1392&amp;C1392)&amp;"",'[2]Retail Price List'!$C$4:$F$102,3,FALSE),"")</f>
        <v/>
      </c>
      <c r="K1392" s="272">
        <f>IFERROR(IF(BA1392="WIP - 30 Days",VLOOKUP(D1392,[3]Standard!$B$9:$E$101,4,FALSE),IF(BA1392="31-120 Days",VLOOKUP(D1392,[3]Standard!$B$9:$F$101,5,FALSE),IF(BA1392="121-365 Days",VLOOKUP(D1392,[3]Standard!$B$9:$G$101,6,FALSE),VLOOKUP(D1392,[3]Standard!$B$9:$H$101,7,FALSE)))),0)</f>
        <v>0</v>
      </c>
      <c r="L1392" s="272">
        <f>IFERROR(IF(BA1392="WIP - 30 Days",VLOOKUP(D1392,[3]Standard!$B$9:$J$101,9,FALSE),IF(BA1392="31-120 Days",VLOOKUP(D1392,[3]Standard!$B$9:$K$100,10,FALSE),IF(BA1392="121-365 Days",VLOOKUP(D1392,[3]Standard!$B$9:$L$101,11,FALSE),VLOOKUP(D1392,[3]Standard!$B$9:$M$101,12,FALSE)))),0)</f>
        <v>0</v>
      </c>
      <c r="M1392" s="269" t="str">
        <f>IFERROR(VLOOKUP((D1392&amp;C1392)&amp;"",'[2]Retail Price List'!$C$4:$F$102,4,FALSE),"")</f>
        <v/>
      </c>
      <c r="N1392" s="269">
        <f>IFERROR(IF(BA1392="WIP - 30 Days",VLOOKUP(D1392,[3]Extended!$B$9:$E$101,4,FALSE),IF(BA1392="31-120 Days",VLOOKUP(D1392,[3]Extended!$B$9:$F$101,5,FALSE),IF(BA1392="121-365 Days",VLOOKUP(D1392,[3]Extended!$B$9:$G$101,6,FALSE),VLOOKUP(D1392,[3]Extended!$B$9:$H$101,7,FALSE)))),0)</f>
        <v>0</v>
      </c>
      <c r="O1392" s="269">
        <f>IFERROR(IF(BA1392="WIP - 30 Days",VLOOKUP(D1392,[3]Extended!$B$9:$J$101,9,FALSE),IF(BA1392="31-120 Days",VLOOKUP(D1392,[3]Extended!$B$9:$K$101,10,FALSE),IF(BA1392="121-365 Days",VLOOKUP(D1392,[3]Extended!$B$9:$L$101,11,FALSE),VLOOKUP(D1392,[3]Extended!$B$9:$M$101,12,FALSE)))),0)</f>
        <v>0</v>
      </c>
      <c r="P1392" s="116" t="e">
        <f t="shared" si="106"/>
        <v>#VALUE!</v>
      </c>
      <c r="Q1392" s="110" t="e">
        <f>O1392-#REF!</f>
        <v>#REF!</v>
      </c>
      <c r="AT1392" s="88" t="str">
        <f t="shared" si="107"/>
        <v>Special Order0</v>
      </c>
      <c r="AU1392" s="89" t="str">
        <f t="shared" si="108"/>
        <v>01-1900</v>
      </c>
      <c r="BA1392" s="92" t="str">
        <f t="shared" si="109"/>
        <v/>
      </c>
    </row>
    <row r="1393" spans="2:53">
      <c r="B1393" s="60">
        <f>[2]Trucks!A1390</f>
        <v>0</v>
      </c>
      <c r="C1393" s="11">
        <f>[2]Trucks!B1390</f>
        <v>0</v>
      </c>
      <c r="D1393" s="19" t="str">
        <f>IFERROR(VLOOKUP(C1393&amp;"",'[2]Retail Price List'!$A$3:$B$103,2,FALSE),"Special Order")</f>
        <v>Special Order</v>
      </c>
      <c r="E1393" s="18">
        <f>[2]Trucks!J1390</f>
        <v>0</v>
      </c>
      <c r="F1393" s="12">
        <f>[2]Trucks!E1390</f>
        <v>0</v>
      </c>
      <c r="G1393" s="56">
        <f>[2]Trucks!K1390</f>
        <v>0</v>
      </c>
      <c r="H1393" s="46">
        <f>[2]Trucks!I1390</f>
        <v>0</v>
      </c>
      <c r="I1393" s="83" t="str">
        <f t="shared" si="105"/>
        <v/>
      </c>
      <c r="J1393" s="272" t="str">
        <f>IFERROR(VLOOKUP((D1393&amp;C1393)&amp;"",'[2]Retail Price List'!$C$4:$F$102,3,FALSE),"")</f>
        <v/>
      </c>
      <c r="K1393" s="272">
        <f>IFERROR(IF(BA1393="WIP - 30 Days",VLOOKUP(D1393,[3]Standard!$B$9:$E$101,4,FALSE),IF(BA1393="31-120 Days",VLOOKUP(D1393,[3]Standard!$B$9:$F$101,5,FALSE),IF(BA1393="121-365 Days",VLOOKUP(D1393,[3]Standard!$B$9:$G$101,6,FALSE),VLOOKUP(D1393,[3]Standard!$B$9:$H$101,7,FALSE)))),0)</f>
        <v>0</v>
      </c>
      <c r="L1393" s="272">
        <f>IFERROR(IF(BA1393="WIP - 30 Days",VLOOKUP(D1393,[3]Standard!$B$9:$J$101,9,FALSE),IF(BA1393="31-120 Days",VLOOKUP(D1393,[3]Standard!$B$9:$K$100,10,FALSE),IF(BA1393="121-365 Days",VLOOKUP(D1393,[3]Standard!$B$9:$L$101,11,FALSE),VLOOKUP(D1393,[3]Standard!$B$9:$M$101,12,FALSE)))),0)</f>
        <v>0</v>
      </c>
      <c r="M1393" s="269" t="str">
        <f>IFERROR(VLOOKUP((D1393&amp;C1393)&amp;"",'[2]Retail Price List'!$C$4:$F$102,4,FALSE),"")</f>
        <v/>
      </c>
      <c r="N1393" s="269">
        <f>IFERROR(IF(BA1393="WIP - 30 Days",VLOOKUP(D1393,[3]Extended!$B$9:$E$101,4,FALSE),IF(BA1393="31-120 Days",VLOOKUP(D1393,[3]Extended!$B$9:$F$101,5,FALSE),IF(BA1393="121-365 Days",VLOOKUP(D1393,[3]Extended!$B$9:$G$101,6,FALSE),VLOOKUP(D1393,[3]Extended!$B$9:$H$101,7,FALSE)))),0)</f>
        <v>0</v>
      </c>
      <c r="O1393" s="269">
        <f>IFERROR(IF(BA1393="WIP - 30 Days",VLOOKUP(D1393,[3]Extended!$B$9:$J$101,9,FALSE),IF(BA1393="31-120 Days",VLOOKUP(D1393,[3]Extended!$B$9:$K$101,10,FALSE),IF(BA1393="121-365 Days",VLOOKUP(D1393,[3]Extended!$B$9:$L$101,11,FALSE),VLOOKUP(D1393,[3]Extended!$B$9:$M$101,12,FALSE)))),0)</f>
        <v>0</v>
      </c>
      <c r="P1393" s="116" t="e">
        <f t="shared" si="106"/>
        <v>#VALUE!</v>
      </c>
      <c r="Q1393" s="110" t="e">
        <f>O1393-#REF!</f>
        <v>#REF!</v>
      </c>
      <c r="AT1393" s="88" t="str">
        <f t="shared" si="107"/>
        <v>Special Order0</v>
      </c>
      <c r="AU1393" s="89" t="str">
        <f t="shared" si="108"/>
        <v>01-1900</v>
      </c>
      <c r="BA1393" s="92" t="str">
        <f t="shared" si="109"/>
        <v/>
      </c>
    </row>
    <row r="1394" spans="2:53">
      <c r="B1394" s="60">
        <f>[2]Trucks!A1391</f>
        <v>0</v>
      </c>
      <c r="C1394" s="11">
        <f>[2]Trucks!B1391</f>
        <v>0</v>
      </c>
      <c r="D1394" s="19" t="str">
        <f>IFERROR(VLOOKUP(C1394&amp;"",'[2]Retail Price List'!$A$3:$B$103,2,FALSE),"Special Order")</f>
        <v>Special Order</v>
      </c>
      <c r="E1394" s="18">
        <f>[2]Trucks!J1391</f>
        <v>0</v>
      </c>
      <c r="F1394" s="12">
        <f>[2]Trucks!E1391</f>
        <v>0</v>
      </c>
      <c r="G1394" s="56">
        <f>[2]Trucks!K1391</f>
        <v>0</v>
      </c>
      <c r="H1394" s="46">
        <f>[2]Trucks!I1391</f>
        <v>0</v>
      </c>
      <c r="I1394" s="83" t="str">
        <f t="shared" si="105"/>
        <v/>
      </c>
      <c r="J1394" s="272" t="str">
        <f>IFERROR(VLOOKUP((D1394&amp;C1394)&amp;"",'[2]Retail Price List'!$C$4:$F$102,3,FALSE),"")</f>
        <v/>
      </c>
      <c r="K1394" s="272">
        <f>IFERROR(IF(BA1394="WIP - 30 Days",VLOOKUP(D1394,[3]Standard!$B$9:$E$101,4,FALSE),IF(BA1394="31-120 Days",VLOOKUP(D1394,[3]Standard!$B$9:$F$101,5,FALSE),IF(BA1394="121-365 Days",VLOOKUP(D1394,[3]Standard!$B$9:$G$101,6,FALSE),VLOOKUP(D1394,[3]Standard!$B$9:$H$101,7,FALSE)))),0)</f>
        <v>0</v>
      </c>
      <c r="L1394" s="272">
        <f>IFERROR(IF(BA1394="WIP - 30 Days",VLOOKUP(D1394,[3]Standard!$B$9:$J$101,9,FALSE),IF(BA1394="31-120 Days",VLOOKUP(D1394,[3]Standard!$B$9:$K$100,10,FALSE),IF(BA1394="121-365 Days",VLOOKUP(D1394,[3]Standard!$B$9:$L$101,11,FALSE),VLOOKUP(D1394,[3]Standard!$B$9:$M$101,12,FALSE)))),0)</f>
        <v>0</v>
      </c>
      <c r="M1394" s="269" t="str">
        <f>IFERROR(VLOOKUP((D1394&amp;C1394)&amp;"",'[2]Retail Price List'!$C$4:$F$102,4,FALSE),"")</f>
        <v/>
      </c>
      <c r="N1394" s="269">
        <f>IFERROR(IF(BA1394="WIP - 30 Days",VLOOKUP(D1394,[3]Extended!$B$9:$E$101,4,FALSE),IF(BA1394="31-120 Days",VLOOKUP(D1394,[3]Extended!$B$9:$F$101,5,FALSE),IF(BA1394="121-365 Days",VLOOKUP(D1394,[3]Extended!$B$9:$G$101,6,FALSE),VLOOKUP(D1394,[3]Extended!$B$9:$H$101,7,FALSE)))),0)</f>
        <v>0</v>
      </c>
      <c r="O1394" s="269">
        <f>IFERROR(IF(BA1394="WIP - 30 Days",VLOOKUP(D1394,[3]Extended!$B$9:$J$101,9,FALSE),IF(BA1394="31-120 Days",VLOOKUP(D1394,[3]Extended!$B$9:$K$101,10,FALSE),IF(BA1394="121-365 Days",VLOOKUP(D1394,[3]Extended!$B$9:$L$101,11,FALSE),VLOOKUP(D1394,[3]Extended!$B$9:$M$101,12,FALSE)))),0)</f>
        <v>0</v>
      </c>
      <c r="P1394" s="116" t="e">
        <f t="shared" si="106"/>
        <v>#VALUE!</v>
      </c>
      <c r="Q1394" s="110" t="e">
        <f>O1394-#REF!</f>
        <v>#REF!</v>
      </c>
      <c r="AT1394" s="88" t="str">
        <f t="shared" si="107"/>
        <v>Special Order0</v>
      </c>
      <c r="AU1394" s="89" t="str">
        <f t="shared" si="108"/>
        <v>01-1900</v>
      </c>
      <c r="BA1394" s="92" t="str">
        <f t="shared" si="109"/>
        <v/>
      </c>
    </row>
    <row r="1395" spans="2:53">
      <c r="B1395" s="60">
        <f>[2]Trucks!A1392</f>
        <v>0</v>
      </c>
      <c r="C1395" s="11">
        <f>[2]Trucks!B1392</f>
        <v>0</v>
      </c>
      <c r="D1395" s="19" t="str">
        <f>IFERROR(VLOOKUP(C1395&amp;"",'[2]Retail Price List'!$A$3:$B$103,2,FALSE),"Special Order")</f>
        <v>Special Order</v>
      </c>
      <c r="E1395" s="18">
        <f>[2]Trucks!J1392</f>
        <v>0</v>
      </c>
      <c r="F1395" s="12">
        <f>[2]Trucks!E1392</f>
        <v>0</v>
      </c>
      <c r="G1395" s="56">
        <f>[2]Trucks!K1392</f>
        <v>0</v>
      </c>
      <c r="H1395" s="46">
        <f>[2]Trucks!I1392</f>
        <v>0</v>
      </c>
      <c r="I1395" s="83" t="str">
        <f t="shared" si="105"/>
        <v/>
      </c>
      <c r="J1395" s="272" t="str">
        <f>IFERROR(VLOOKUP((D1395&amp;C1395)&amp;"",'[2]Retail Price List'!$C$4:$F$102,3,FALSE),"")</f>
        <v/>
      </c>
      <c r="K1395" s="272">
        <f>IFERROR(IF(BA1395="WIP - 30 Days",VLOOKUP(D1395,[3]Standard!$B$9:$E$101,4,FALSE),IF(BA1395="31-120 Days",VLOOKUP(D1395,[3]Standard!$B$9:$F$101,5,FALSE),IF(BA1395="121-365 Days",VLOOKUP(D1395,[3]Standard!$B$9:$G$101,6,FALSE),VLOOKUP(D1395,[3]Standard!$B$9:$H$101,7,FALSE)))),0)</f>
        <v>0</v>
      </c>
      <c r="L1395" s="272">
        <f>IFERROR(IF(BA1395="WIP - 30 Days",VLOOKUP(D1395,[3]Standard!$B$9:$J$101,9,FALSE),IF(BA1395="31-120 Days",VLOOKUP(D1395,[3]Standard!$B$9:$K$100,10,FALSE),IF(BA1395="121-365 Days",VLOOKUP(D1395,[3]Standard!$B$9:$L$101,11,FALSE),VLOOKUP(D1395,[3]Standard!$B$9:$M$101,12,FALSE)))),0)</f>
        <v>0</v>
      </c>
      <c r="M1395" s="269" t="str">
        <f>IFERROR(VLOOKUP((D1395&amp;C1395)&amp;"",'[2]Retail Price List'!$C$4:$F$102,4,FALSE),"")</f>
        <v/>
      </c>
      <c r="N1395" s="269">
        <f>IFERROR(IF(BA1395="WIP - 30 Days",VLOOKUP(D1395,[3]Extended!$B$9:$E$101,4,FALSE),IF(BA1395="31-120 Days",VLOOKUP(D1395,[3]Extended!$B$9:$F$101,5,FALSE),IF(BA1395="121-365 Days",VLOOKUP(D1395,[3]Extended!$B$9:$G$101,6,FALSE),VLOOKUP(D1395,[3]Extended!$B$9:$H$101,7,FALSE)))),0)</f>
        <v>0</v>
      </c>
      <c r="O1395" s="269">
        <f>IFERROR(IF(BA1395="WIP - 30 Days",VLOOKUP(D1395,[3]Extended!$B$9:$J$101,9,FALSE),IF(BA1395="31-120 Days",VLOOKUP(D1395,[3]Extended!$B$9:$K$101,10,FALSE),IF(BA1395="121-365 Days",VLOOKUP(D1395,[3]Extended!$B$9:$L$101,11,FALSE),VLOOKUP(D1395,[3]Extended!$B$9:$M$101,12,FALSE)))),0)</f>
        <v>0</v>
      </c>
      <c r="P1395" s="116" t="e">
        <f t="shared" si="106"/>
        <v>#VALUE!</v>
      </c>
      <c r="Q1395" s="110" t="e">
        <f>O1395-#REF!</f>
        <v>#REF!</v>
      </c>
      <c r="AT1395" s="88" t="str">
        <f t="shared" si="107"/>
        <v>Special Order0</v>
      </c>
      <c r="AU1395" s="89" t="str">
        <f t="shared" si="108"/>
        <v>01-1900</v>
      </c>
      <c r="BA1395" s="92" t="str">
        <f t="shared" si="109"/>
        <v/>
      </c>
    </row>
    <row r="1396" spans="2:53">
      <c r="B1396" s="60">
        <f>[2]Trucks!A1393</f>
        <v>0</v>
      </c>
      <c r="C1396" s="11">
        <f>[2]Trucks!B1393</f>
        <v>0</v>
      </c>
      <c r="D1396" s="19" t="str">
        <f>IFERROR(VLOOKUP(C1396&amp;"",'[2]Retail Price List'!$A$3:$B$103,2,FALSE),"Special Order")</f>
        <v>Special Order</v>
      </c>
      <c r="E1396" s="18">
        <f>[2]Trucks!J1393</f>
        <v>0</v>
      </c>
      <c r="F1396" s="12">
        <f>[2]Trucks!E1393</f>
        <v>0</v>
      </c>
      <c r="G1396" s="56">
        <f>[2]Trucks!K1393</f>
        <v>0</v>
      </c>
      <c r="H1396" s="46">
        <f>[2]Trucks!I1393</f>
        <v>0</v>
      </c>
      <c r="I1396" s="83" t="str">
        <f t="shared" si="105"/>
        <v/>
      </c>
      <c r="J1396" s="272" t="str">
        <f>IFERROR(VLOOKUP((D1396&amp;C1396)&amp;"",'[2]Retail Price List'!$C$4:$F$102,3,FALSE),"")</f>
        <v/>
      </c>
      <c r="K1396" s="272">
        <f>IFERROR(IF(BA1396="WIP - 30 Days",VLOOKUP(D1396,[3]Standard!$B$9:$E$101,4,FALSE),IF(BA1396="31-120 Days",VLOOKUP(D1396,[3]Standard!$B$9:$F$101,5,FALSE),IF(BA1396="121-365 Days",VLOOKUP(D1396,[3]Standard!$B$9:$G$101,6,FALSE),VLOOKUP(D1396,[3]Standard!$B$9:$H$101,7,FALSE)))),0)</f>
        <v>0</v>
      </c>
      <c r="L1396" s="272">
        <f>IFERROR(IF(BA1396="WIP - 30 Days",VLOOKUP(D1396,[3]Standard!$B$9:$J$101,9,FALSE),IF(BA1396="31-120 Days",VLOOKUP(D1396,[3]Standard!$B$9:$K$100,10,FALSE),IF(BA1396="121-365 Days",VLOOKUP(D1396,[3]Standard!$B$9:$L$101,11,FALSE),VLOOKUP(D1396,[3]Standard!$B$9:$M$101,12,FALSE)))),0)</f>
        <v>0</v>
      </c>
      <c r="M1396" s="269" t="str">
        <f>IFERROR(VLOOKUP((D1396&amp;C1396)&amp;"",'[2]Retail Price List'!$C$4:$F$102,4,FALSE),"")</f>
        <v/>
      </c>
      <c r="N1396" s="269">
        <f>IFERROR(IF(BA1396="WIP - 30 Days",VLOOKUP(D1396,[3]Extended!$B$9:$E$101,4,FALSE),IF(BA1396="31-120 Days",VLOOKUP(D1396,[3]Extended!$B$9:$F$101,5,FALSE),IF(BA1396="121-365 Days",VLOOKUP(D1396,[3]Extended!$B$9:$G$101,6,FALSE),VLOOKUP(D1396,[3]Extended!$B$9:$H$101,7,FALSE)))),0)</f>
        <v>0</v>
      </c>
      <c r="O1396" s="269">
        <f>IFERROR(IF(BA1396="WIP - 30 Days",VLOOKUP(D1396,[3]Extended!$B$9:$J$101,9,FALSE),IF(BA1396="31-120 Days",VLOOKUP(D1396,[3]Extended!$B$9:$K$101,10,FALSE),IF(BA1396="121-365 Days",VLOOKUP(D1396,[3]Extended!$B$9:$L$101,11,FALSE),VLOOKUP(D1396,[3]Extended!$B$9:$M$101,12,FALSE)))),0)</f>
        <v>0</v>
      </c>
      <c r="P1396" s="116" t="e">
        <f t="shared" si="106"/>
        <v>#VALUE!</v>
      </c>
      <c r="Q1396" s="110" t="e">
        <f>O1396-#REF!</f>
        <v>#REF!</v>
      </c>
      <c r="AT1396" s="88" t="str">
        <f t="shared" si="107"/>
        <v>Special Order0</v>
      </c>
      <c r="AU1396" s="89" t="str">
        <f t="shared" si="108"/>
        <v>01-1900</v>
      </c>
      <c r="BA1396" s="92" t="str">
        <f t="shared" si="109"/>
        <v/>
      </c>
    </row>
    <row r="1397" spans="2:53">
      <c r="B1397" s="60">
        <f>[2]Trucks!A1394</f>
        <v>0</v>
      </c>
      <c r="C1397" s="11">
        <f>[2]Trucks!B1394</f>
        <v>0</v>
      </c>
      <c r="D1397" s="19" t="str">
        <f>IFERROR(VLOOKUP(C1397&amp;"",'[2]Retail Price List'!$A$3:$B$103,2,FALSE),"Special Order")</f>
        <v>Special Order</v>
      </c>
      <c r="E1397" s="18">
        <f>[2]Trucks!J1394</f>
        <v>0</v>
      </c>
      <c r="F1397" s="12">
        <f>[2]Trucks!E1394</f>
        <v>0</v>
      </c>
      <c r="G1397" s="56">
        <f>[2]Trucks!K1394</f>
        <v>0</v>
      </c>
      <c r="H1397" s="46">
        <f>[2]Trucks!I1394</f>
        <v>0</v>
      </c>
      <c r="I1397" s="83" t="str">
        <f t="shared" si="105"/>
        <v/>
      </c>
      <c r="J1397" s="272" t="str">
        <f>IFERROR(VLOOKUP((D1397&amp;C1397)&amp;"",'[2]Retail Price List'!$C$4:$F$102,3,FALSE),"")</f>
        <v/>
      </c>
      <c r="K1397" s="272">
        <f>IFERROR(IF(BA1397="WIP - 30 Days",VLOOKUP(D1397,[3]Standard!$B$9:$E$101,4,FALSE),IF(BA1397="31-120 Days",VLOOKUP(D1397,[3]Standard!$B$9:$F$101,5,FALSE),IF(BA1397="121-365 Days",VLOOKUP(D1397,[3]Standard!$B$9:$G$101,6,FALSE),VLOOKUP(D1397,[3]Standard!$B$9:$H$101,7,FALSE)))),0)</f>
        <v>0</v>
      </c>
      <c r="L1397" s="272">
        <f>IFERROR(IF(BA1397="WIP - 30 Days",VLOOKUP(D1397,[3]Standard!$B$9:$J$101,9,FALSE),IF(BA1397="31-120 Days",VLOOKUP(D1397,[3]Standard!$B$9:$K$100,10,FALSE),IF(BA1397="121-365 Days",VLOOKUP(D1397,[3]Standard!$B$9:$L$101,11,FALSE),VLOOKUP(D1397,[3]Standard!$B$9:$M$101,12,FALSE)))),0)</f>
        <v>0</v>
      </c>
      <c r="M1397" s="269" t="str">
        <f>IFERROR(VLOOKUP((D1397&amp;C1397)&amp;"",'[2]Retail Price List'!$C$4:$F$102,4,FALSE),"")</f>
        <v/>
      </c>
      <c r="N1397" s="269">
        <f>IFERROR(IF(BA1397="WIP - 30 Days",VLOOKUP(D1397,[3]Extended!$B$9:$E$101,4,FALSE),IF(BA1397="31-120 Days",VLOOKUP(D1397,[3]Extended!$B$9:$F$101,5,FALSE),IF(BA1397="121-365 Days",VLOOKUP(D1397,[3]Extended!$B$9:$G$101,6,FALSE),VLOOKUP(D1397,[3]Extended!$B$9:$H$101,7,FALSE)))),0)</f>
        <v>0</v>
      </c>
      <c r="O1397" s="269">
        <f>IFERROR(IF(BA1397="WIP - 30 Days",VLOOKUP(D1397,[3]Extended!$B$9:$J$101,9,FALSE),IF(BA1397="31-120 Days",VLOOKUP(D1397,[3]Extended!$B$9:$K$101,10,FALSE),IF(BA1397="121-365 Days",VLOOKUP(D1397,[3]Extended!$B$9:$L$101,11,FALSE),VLOOKUP(D1397,[3]Extended!$B$9:$M$101,12,FALSE)))),0)</f>
        <v>0</v>
      </c>
      <c r="P1397" s="116" t="e">
        <f t="shared" si="106"/>
        <v>#VALUE!</v>
      </c>
      <c r="Q1397" s="110" t="e">
        <f>O1397-#REF!</f>
        <v>#REF!</v>
      </c>
      <c r="AT1397" s="88" t="str">
        <f t="shared" si="107"/>
        <v>Special Order0</v>
      </c>
      <c r="AU1397" s="89" t="str">
        <f t="shared" si="108"/>
        <v>01-1900</v>
      </c>
      <c r="BA1397" s="92" t="str">
        <f t="shared" si="109"/>
        <v/>
      </c>
    </row>
    <row r="1398" spans="2:53">
      <c r="B1398" s="60">
        <f>[2]Trucks!A1395</f>
        <v>0</v>
      </c>
      <c r="C1398" s="11">
        <f>[2]Trucks!B1395</f>
        <v>0</v>
      </c>
      <c r="D1398" s="19" t="str">
        <f>IFERROR(VLOOKUP(C1398&amp;"",'[2]Retail Price List'!$A$3:$B$103,2,FALSE),"Special Order")</f>
        <v>Special Order</v>
      </c>
      <c r="E1398" s="18">
        <f>[2]Trucks!J1395</f>
        <v>0</v>
      </c>
      <c r="F1398" s="12">
        <f>[2]Trucks!E1395</f>
        <v>0</v>
      </c>
      <c r="G1398" s="56">
        <f>[2]Trucks!K1395</f>
        <v>0</v>
      </c>
      <c r="H1398" s="46">
        <f>[2]Trucks!I1395</f>
        <v>0</v>
      </c>
      <c r="I1398" s="83" t="str">
        <f t="shared" si="105"/>
        <v/>
      </c>
      <c r="J1398" s="272" t="str">
        <f>IFERROR(VLOOKUP((D1398&amp;C1398)&amp;"",'[2]Retail Price List'!$C$4:$F$102,3,FALSE),"")</f>
        <v/>
      </c>
      <c r="K1398" s="272">
        <f>IFERROR(IF(BA1398="WIP - 30 Days",VLOOKUP(D1398,[3]Standard!$B$9:$E$101,4,FALSE),IF(BA1398="31-120 Days",VLOOKUP(D1398,[3]Standard!$B$9:$F$101,5,FALSE),IF(BA1398="121-365 Days",VLOOKUP(D1398,[3]Standard!$B$9:$G$101,6,FALSE),VLOOKUP(D1398,[3]Standard!$B$9:$H$101,7,FALSE)))),0)</f>
        <v>0</v>
      </c>
      <c r="L1398" s="272">
        <f>IFERROR(IF(BA1398="WIP - 30 Days",VLOOKUP(D1398,[3]Standard!$B$9:$J$101,9,FALSE),IF(BA1398="31-120 Days",VLOOKUP(D1398,[3]Standard!$B$9:$K$100,10,FALSE),IF(BA1398="121-365 Days",VLOOKUP(D1398,[3]Standard!$B$9:$L$101,11,FALSE),VLOOKUP(D1398,[3]Standard!$B$9:$M$101,12,FALSE)))),0)</f>
        <v>0</v>
      </c>
      <c r="M1398" s="269" t="str">
        <f>IFERROR(VLOOKUP((D1398&amp;C1398)&amp;"",'[2]Retail Price List'!$C$4:$F$102,4,FALSE),"")</f>
        <v/>
      </c>
      <c r="N1398" s="269">
        <f>IFERROR(IF(BA1398="WIP - 30 Days",VLOOKUP(D1398,[3]Extended!$B$9:$E$101,4,FALSE),IF(BA1398="31-120 Days",VLOOKUP(D1398,[3]Extended!$B$9:$F$101,5,FALSE),IF(BA1398="121-365 Days",VLOOKUP(D1398,[3]Extended!$B$9:$G$101,6,FALSE),VLOOKUP(D1398,[3]Extended!$B$9:$H$101,7,FALSE)))),0)</f>
        <v>0</v>
      </c>
      <c r="O1398" s="269">
        <f>IFERROR(IF(BA1398="WIP - 30 Days",VLOOKUP(D1398,[3]Extended!$B$9:$J$101,9,FALSE),IF(BA1398="31-120 Days",VLOOKUP(D1398,[3]Extended!$B$9:$K$101,10,FALSE),IF(BA1398="121-365 Days",VLOOKUP(D1398,[3]Extended!$B$9:$L$101,11,FALSE),VLOOKUP(D1398,[3]Extended!$B$9:$M$101,12,FALSE)))),0)</f>
        <v>0</v>
      </c>
      <c r="P1398" s="116" t="e">
        <f t="shared" si="106"/>
        <v>#VALUE!</v>
      </c>
      <c r="Q1398" s="110" t="e">
        <f>O1398-#REF!</f>
        <v>#REF!</v>
      </c>
      <c r="AT1398" s="88" t="str">
        <f t="shared" si="107"/>
        <v>Special Order0</v>
      </c>
      <c r="AU1398" s="89" t="str">
        <f t="shared" si="108"/>
        <v>01-1900</v>
      </c>
      <c r="BA1398" s="92" t="str">
        <f t="shared" si="109"/>
        <v/>
      </c>
    </row>
    <row r="1399" spans="2:53">
      <c r="B1399" s="60">
        <f>[2]Trucks!A1396</f>
        <v>0</v>
      </c>
      <c r="C1399" s="11">
        <f>[2]Trucks!B1396</f>
        <v>0</v>
      </c>
      <c r="D1399" s="19" t="str">
        <f>IFERROR(VLOOKUP(C1399&amp;"",'[2]Retail Price List'!$A$3:$B$103,2,FALSE),"Special Order")</f>
        <v>Special Order</v>
      </c>
      <c r="E1399" s="18">
        <f>[2]Trucks!J1396</f>
        <v>0</v>
      </c>
      <c r="F1399" s="12">
        <f>[2]Trucks!E1396</f>
        <v>0</v>
      </c>
      <c r="G1399" s="56">
        <f>[2]Trucks!K1396</f>
        <v>0</v>
      </c>
      <c r="H1399" s="46">
        <f>[2]Trucks!I1396</f>
        <v>0</v>
      </c>
      <c r="I1399" s="83" t="str">
        <f t="shared" si="105"/>
        <v/>
      </c>
      <c r="J1399" s="272" t="str">
        <f>IFERROR(VLOOKUP((D1399&amp;C1399)&amp;"",'[2]Retail Price List'!$C$4:$F$102,3,FALSE),"")</f>
        <v/>
      </c>
      <c r="K1399" s="272">
        <f>IFERROR(IF(BA1399="WIP - 30 Days",VLOOKUP(D1399,[3]Standard!$B$9:$E$101,4,FALSE),IF(BA1399="31-120 Days",VLOOKUP(D1399,[3]Standard!$B$9:$F$101,5,FALSE),IF(BA1399="121-365 Days",VLOOKUP(D1399,[3]Standard!$B$9:$G$101,6,FALSE),VLOOKUP(D1399,[3]Standard!$B$9:$H$101,7,FALSE)))),0)</f>
        <v>0</v>
      </c>
      <c r="L1399" s="272">
        <f>IFERROR(IF(BA1399="WIP - 30 Days",VLOOKUP(D1399,[3]Standard!$B$9:$J$101,9,FALSE),IF(BA1399="31-120 Days",VLOOKUP(D1399,[3]Standard!$B$9:$K$100,10,FALSE),IF(BA1399="121-365 Days",VLOOKUP(D1399,[3]Standard!$B$9:$L$101,11,FALSE),VLOOKUP(D1399,[3]Standard!$B$9:$M$101,12,FALSE)))),0)</f>
        <v>0</v>
      </c>
      <c r="M1399" s="269" t="str">
        <f>IFERROR(VLOOKUP((D1399&amp;C1399)&amp;"",'[2]Retail Price List'!$C$4:$F$102,4,FALSE),"")</f>
        <v/>
      </c>
      <c r="N1399" s="269">
        <f>IFERROR(IF(BA1399="WIP - 30 Days",VLOOKUP(D1399,[3]Extended!$B$9:$E$101,4,FALSE),IF(BA1399="31-120 Days",VLOOKUP(D1399,[3]Extended!$B$9:$F$101,5,FALSE),IF(BA1399="121-365 Days",VLOOKUP(D1399,[3]Extended!$B$9:$G$101,6,FALSE),VLOOKUP(D1399,[3]Extended!$B$9:$H$101,7,FALSE)))),0)</f>
        <v>0</v>
      </c>
      <c r="O1399" s="269">
        <f>IFERROR(IF(BA1399="WIP - 30 Days",VLOOKUP(D1399,[3]Extended!$B$9:$J$101,9,FALSE),IF(BA1399="31-120 Days",VLOOKUP(D1399,[3]Extended!$B$9:$K$101,10,FALSE),IF(BA1399="121-365 Days",VLOOKUP(D1399,[3]Extended!$B$9:$L$101,11,FALSE),VLOOKUP(D1399,[3]Extended!$B$9:$M$101,12,FALSE)))),0)</f>
        <v>0</v>
      </c>
      <c r="P1399" s="116" t="e">
        <f t="shared" si="106"/>
        <v>#VALUE!</v>
      </c>
      <c r="Q1399" s="110" t="e">
        <f>O1399-#REF!</f>
        <v>#REF!</v>
      </c>
      <c r="AT1399" s="88" t="str">
        <f t="shared" si="107"/>
        <v>Special Order0</v>
      </c>
      <c r="AU1399" s="89" t="str">
        <f t="shared" si="108"/>
        <v>01-1900</v>
      </c>
      <c r="BA1399" s="92" t="str">
        <f t="shared" si="109"/>
        <v/>
      </c>
    </row>
    <row r="1400" spans="2:53">
      <c r="B1400" s="60">
        <f>[2]Trucks!A1397</f>
        <v>0</v>
      </c>
      <c r="C1400" s="11">
        <f>[2]Trucks!B1397</f>
        <v>0</v>
      </c>
      <c r="D1400" s="19" t="str">
        <f>IFERROR(VLOOKUP(C1400&amp;"",'[2]Retail Price List'!$A$3:$B$103,2,FALSE),"Special Order")</f>
        <v>Special Order</v>
      </c>
      <c r="E1400" s="18">
        <f>[2]Trucks!J1397</f>
        <v>0</v>
      </c>
      <c r="F1400" s="12">
        <f>[2]Trucks!E1397</f>
        <v>0</v>
      </c>
      <c r="G1400" s="56">
        <f>[2]Trucks!K1397</f>
        <v>0</v>
      </c>
      <c r="H1400" s="46">
        <f>[2]Trucks!I1397</f>
        <v>0</v>
      </c>
      <c r="I1400" s="83" t="str">
        <f t="shared" si="105"/>
        <v/>
      </c>
      <c r="J1400" s="272" t="str">
        <f>IFERROR(VLOOKUP((D1400&amp;C1400)&amp;"",'[2]Retail Price List'!$C$4:$F$102,3,FALSE),"")</f>
        <v/>
      </c>
      <c r="K1400" s="272">
        <f>IFERROR(IF(BA1400="WIP - 30 Days",VLOOKUP(D1400,[3]Standard!$B$9:$E$101,4,FALSE),IF(BA1400="31-120 Days",VLOOKUP(D1400,[3]Standard!$B$9:$F$101,5,FALSE),IF(BA1400="121-365 Days",VLOOKUP(D1400,[3]Standard!$B$9:$G$101,6,FALSE),VLOOKUP(D1400,[3]Standard!$B$9:$H$101,7,FALSE)))),0)</f>
        <v>0</v>
      </c>
      <c r="L1400" s="272">
        <f>IFERROR(IF(BA1400="WIP - 30 Days",VLOOKUP(D1400,[3]Standard!$B$9:$J$101,9,FALSE),IF(BA1400="31-120 Days",VLOOKUP(D1400,[3]Standard!$B$9:$K$100,10,FALSE),IF(BA1400="121-365 Days",VLOOKUP(D1400,[3]Standard!$B$9:$L$101,11,FALSE),VLOOKUP(D1400,[3]Standard!$B$9:$M$101,12,FALSE)))),0)</f>
        <v>0</v>
      </c>
      <c r="M1400" s="269" t="str">
        <f>IFERROR(VLOOKUP((D1400&amp;C1400)&amp;"",'[2]Retail Price List'!$C$4:$F$102,4,FALSE),"")</f>
        <v/>
      </c>
      <c r="N1400" s="269">
        <f>IFERROR(IF(BA1400="WIP - 30 Days",VLOOKUP(D1400,[3]Extended!$B$9:$E$101,4,FALSE),IF(BA1400="31-120 Days",VLOOKUP(D1400,[3]Extended!$B$9:$F$101,5,FALSE),IF(BA1400="121-365 Days",VLOOKUP(D1400,[3]Extended!$B$9:$G$101,6,FALSE),VLOOKUP(D1400,[3]Extended!$B$9:$H$101,7,FALSE)))),0)</f>
        <v>0</v>
      </c>
      <c r="O1400" s="269">
        <f>IFERROR(IF(BA1400="WIP - 30 Days",VLOOKUP(D1400,[3]Extended!$B$9:$J$101,9,FALSE),IF(BA1400="31-120 Days",VLOOKUP(D1400,[3]Extended!$B$9:$K$101,10,FALSE),IF(BA1400="121-365 Days",VLOOKUP(D1400,[3]Extended!$B$9:$L$101,11,FALSE),VLOOKUP(D1400,[3]Extended!$B$9:$M$101,12,FALSE)))),0)</f>
        <v>0</v>
      </c>
      <c r="P1400" s="116" t="e">
        <f t="shared" si="106"/>
        <v>#VALUE!</v>
      </c>
      <c r="Q1400" s="110" t="e">
        <f>O1400-#REF!</f>
        <v>#REF!</v>
      </c>
      <c r="AT1400" s="88" t="str">
        <f t="shared" si="107"/>
        <v>Special Order0</v>
      </c>
      <c r="AU1400" s="89" t="str">
        <f t="shared" si="108"/>
        <v>01-1900</v>
      </c>
      <c r="BA1400" s="92" t="str">
        <f t="shared" si="109"/>
        <v/>
      </c>
    </row>
    <row r="1401" spans="2:53">
      <c r="B1401" s="60">
        <f>[2]Trucks!A1398</f>
        <v>0</v>
      </c>
      <c r="C1401" s="11">
        <f>[2]Trucks!B1398</f>
        <v>0</v>
      </c>
      <c r="D1401" s="19" t="str">
        <f>IFERROR(VLOOKUP(C1401&amp;"",'[2]Retail Price List'!$A$3:$B$103,2,FALSE),"Special Order")</f>
        <v>Special Order</v>
      </c>
      <c r="E1401" s="18">
        <f>[2]Trucks!J1398</f>
        <v>0</v>
      </c>
      <c r="F1401" s="12">
        <f>[2]Trucks!E1398</f>
        <v>0</v>
      </c>
      <c r="G1401" s="56">
        <f>[2]Trucks!K1398</f>
        <v>0</v>
      </c>
      <c r="H1401" s="46">
        <f>[2]Trucks!I1398</f>
        <v>0</v>
      </c>
      <c r="I1401" s="83" t="str">
        <f t="shared" si="105"/>
        <v/>
      </c>
      <c r="J1401" s="272" t="str">
        <f>IFERROR(VLOOKUP((D1401&amp;C1401)&amp;"",'[2]Retail Price List'!$C$4:$F$102,3,FALSE),"")</f>
        <v/>
      </c>
      <c r="K1401" s="272">
        <f>IFERROR(IF(BA1401="WIP - 30 Days",VLOOKUP(D1401,[3]Standard!$B$9:$E$101,4,FALSE),IF(BA1401="31-120 Days",VLOOKUP(D1401,[3]Standard!$B$9:$F$101,5,FALSE),IF(BA1401="121-365 Days",VLOOKUP(D1401,[3]Standard!$B$9:$G$101,6,FALSE),VLOOKUP(D1401,[3]Standard!$B$9:$H$101,7,FALSE)))),0)</f>
        <v>0</v>
      </c>
      <c r="L1401" s="272">
        <f>IFERROR(IF(BA1401="WIP - 30 Days",VLOOKUP(D1401,[3]Standard!$B$9:$J$101,9,FALSE),IF(BA1401="31-120 Days",VLOOKUP(D1401,[3]Standard!$B$9:$K$100,10,FALSE),IF(BA1401="121-365 Days",VLOOKUP(D1401,[3]Standard!$B$9:$L$101,11,FALSE),VLOOKUP(D1401,[3]Standard!$B$9:$M$101,12,FALSE)))),0)</f>
        <v>0</v>
      </c>
      <c r="M1401" s="269" t="str">
        <f>IFERROR(VLOOKUP((D1401&amp;C1401)&amp;"",'[2]Retail Price List'!$C$4:$F$102,4,FALSE),"")</f>
        <v/>
      </c>
      <c r="N1401" s="269">
        <f>IFERROR(IF(BA1401="WIP - 30 Days",VLOOKUP(D1401,[3]Extended!$B$9:$E$101,4,FALSE),IF(BA1401="31-120 Days",VLOOKUP(D1401,[3]Extended!$B$9:$F$101,5,FALSE),IF(BA1401="121-365 Days",VLOOKUP(D1401,[3]Extended!$B$9:$G$101,6,FALSE),VLOOKUP(D1401,[3]Extended!$B$9:$H$101,7,FALSE)))),0)</f>
        <v>0</v>
      </c>
      <c r="O1401" s="269">
        <f>IFERROR(IF(BA1401="WIP - 30 Days",VLOOKUP(D1401,[3]Extended!$B$9:$J$101,9,FALSE),IF(BA1401="31-120 Days",VLOOKUP(D1401,[3]Extended!$B$9:$K$101,10,FALSE),IF(BA1401="121-365 Days",VLOOKUP(D1401,[3]Extended!$B$9:$L$101,11,FALSE),VLOOKUP(D1401,[3]Extended!$B$9:$M$101,12,FALSE)))),0)</f>
        <v>0</v>
      </c>
      <c r="P1401" s="116" t="e">
        <f t="shared" si="106"/>
        <v>#VALUE!</v>
      </c>
      <c r="Q1401" s="110" t="e">
        <f>O1401-#REF!</f>
        <v>#REF!</v>
      </c>
      <c r="AT1401" s="88" t="str">
        <f t="shared" si="107"/>
        <v>Special Order0</v>
      </c>
      <c r="AU1401" s="89" t="str">
        <f t="shared" si="108"/>
        <v>01-1900</v>
      </c>
      <c r="BA1401" s="92" t="str">
        <f t="shared" si="109"/>
        <v/>
      </c>
    </row>
    <row r="1402" spans="2:53">
      <c r="B1402" s="60">
        <f>[2]Trucks!A1399</f>
        <v>0</v>
      </c>
      <c r="C1402" s="11">
        <f>[2]Trucks!B1399</f>
        <v>0</v>
      </c>
      <c r="D1402" s="19" t="str">
        <f>IFERROR(VLOOKUP(C1402&amp;"",'[2]Retail Price List'!$A$3:$B$103,2,FALSE),"Special Order")</f>
        <v>Special Order</v>
      </c>
      <c r="E1402" s="18">
        <f>[2]Trucks!J1399</f>
        <v>0</v>
      </c>
      <c r="F1402" s="12">
        <f>[2]Trucks!E1399</f>
        <v>0</v>
      </c>
      <c r="G1402" s="56">
        <f>[2]Trucks!K1399</f>
        <v>0</v>
      </c>
      <c r="H1402" s="46">
        <f>[2]Trucks!I1399</f>
        <v>0</v>
      </c>
      <c r="I1402" s="83" t="str">
        <f t="shared" si="105"/>
        <v/>
      </c>
      <c r="J1402" s="272" t="str">
        <f>IFERROR(VLOOKUP((D1402&amp;C1402)&amp;"",'[2]Retail Price List'!$C$4:$F$102,3,FALSE),"")</f>
        <v/>
      </c>
      <c r="K1402" s="272">
        <f>IFERROR(IF(BA1402="WIP - 30 Days",VLOOKUP(D1402,[3]Standard!$B$9:$E$101,4,FALSE),IF(BA1402="31-120 Days",VLOOKUP(D1402,[3]Standard!$B$9:$F$101,5,FALSE),IF(BA1402="121-365 Days",VLOOKUP(D1402,[3]Standard!$B$9:$G$101,6,FALSE),VLOOKUP(D1402,[3]Standard!$B$9:$H$101,7,FALSE)))),0)</f>
        <v>0</v>
      </c>
      <c r="L1402" s="272">
        <f>IFERROR(IF(BA1402="WIP - 30 Days",VLOOKUP(D1402,[3]Standard!$B$9:$J$101,9,FALSE),IF(BA1402="31-120 Days",VLOOKUP(D1402,[3]Standard!$B$9:$K$100,10,FALSE),IF(BA1402="121-365 Days",VLOOKUP(D1402,[3]Standard!$B$9:$L$101,11,FALSE),VLOOKUP(D1402,[3]Standard!$B$9:$M$101,12,FALSE)))),0)</f>
        <v>0</v>
      </c>
      <c r="M1402" s="269" t="str">
        <f>IFERROR(VLOOKUP((D1402&amp;C1402)&amp;"",'[2]Retail Price List'!$C$4:$F$102,4,FALSE),"")</f>
        <v/>
      </c>
      <c r="N1402" s="269">
        <f>IFERROR(IF(BA1402="WIP - 30 Days",VLOOKUP(D1402,[3]Extended!$B$9:$E$101,4,FALSE),IF(BA1402="31-120 Days",VLOOKUP(D1402,[3]Extended!$B$9:$F$101,5,FALSE),IF(BA1402="121-365 Days",VLOOKUP(D1402,[3]Extended!$B$9:$G$101,6,FALSE),VLOOKUP(D1402,[3]Extended!$B$9:$H$101,7,FALSE)))),0)</f>
        <v>0</v>
      </c>
      <c r="O1402" s="269">
        <f>IFERROR(IF(BA1402="WIP - 30 Days",VLOOKUP(D1402,[3]Extended!$B$9:$J$101,9,FALSE),IF(BA1402="31-120 Days",VLOOKUP(D1402,[3]Extended!$B$9:$K$101,10,FALSE),IF(BA1402="121-365 Days",VLOOKUP(D1402,[3]Extended!$B$9:$L$101,11,FALSE),VLOOKUP(D1402,[3]Extended!$B$9:$M$101,12,FALSE)))),0)</f>
        <v>0</v>
      </c>
      <c r="P1402" s="116" t="e">
        <f t="shared" si="106"/>
        <v>#VALUE!</v>
      </c>
      <c r="Q1402" s="110" t="e">
        <f>O1402-#REF!</f>
        <v>#REF!</v>
      </c>
      <c r="AT1402" s="88" t="str">
        <f t="shared" si="107"/>
        <v>Special Order0</v>
      </c>
      <c r="AU1402" s="89" t="str">
        <f t="shared" si="108"/>
        <v>01-1900</v>
      </c>
      <c r="BA1402" s="92" t="str">
        <f t="shared" si="109"/>
        <v/>
      </c>
    </row>
    <row r="1403" spans="2:53">
      <c r="B1403" s="60">
        <f>[2]Trucks!A1400</f>
        <v>0</v>
      </c>
      <c r="C1403" s="11">
        <f>[2]Trucks!B1400</f>
        <v>0</v>
      </c>
      <c r="D1403" s="19" t="str">
        <f>IFERROR(VLOOKUP(C1403&amp;"",'[2]Retail Price List'!$A$3:$B$103,2,FALSE),"Special Order")</f>
        <v>Special Order</v>
      </c>
      <c r="E1403" s="18">
        <f>[2]Trucks!J1400</f>
        <v>0</v>
      </c>
      <c r="F1403" s="12">
        <f>[2]Trucks!E1400</f>
        <v>0</v>
      </c>
      <c r="G1403" s="56">
        <f>[2]Trucks!K1400</f>
        <v>0</v>
      </c>
      <c r="H1403" s="46">
        <f>[2]Trucks!I1400</f>
        <v>0</v>
      </c>
      <c r="I1403" s="83" t="str">
        <f t="shared" si="105"/>
        <v/>
      </c>
      <c r="J1403" s="272" t="str">
        <f>IFERROR(VLOOKUP((D1403&amp;C1403)&amp;"",'[2]Retail Price List'!$C$4:$F$102,3,FALSE),"")</f>
        <v/>
      </c>
      <c r="K1403" s="272">
        <f>IFERROR(IF(BA1403="WIP - 30 Days",VLOOKUP(D1403,[3]Standard!$B$9:$E$101,4,FALSE),IF(BA1403="31-120 Days",VLOOKUP(D1403,[3]Standard!$B$9:$F$101,5,FALSE),IF(BA1403="121-365 Days",VLOOKUP(D1403,[3]Standard!$B$9:$G$101,6,FALSE),VLOOKUP(D1403,[3]Standard!$B$9:$H$101,7,FALSE)))),0)</f>
        <v>0</v>
      </c>
      <c r="L1403" s="272">
        <f>IFERROR(IF(BA1403="WIP - 30 Days",VLOOKUP(D1403,[3]Standard!$B$9:$J$101,9,FALSE),IF(BA1403="31-120 Days",VLOOKUP(D1403,[3]Standard!$B$9:$K$100,10,FALSE),IF(BA1403="121-365 Days",VLOOKUP(D1403,[3]Standard!$B$9:$L$101,11,FALSE),VLOOKUP(D1403,[3]Standard!$B$9:$M$101,12,FALSE)))),0)</f>
        <v>0</v>
      </c>
      <c r="M1403" s="269" t="str">
        <f>IFERROR(VLOOKUP((D1403&amp;C1403)&amp;"",'[2]Retail Price List'!$C$4:$F$102,4,FALSE),"")</f>
        <v/>
      </c>
      <c r="N1403" s="269">
        <f>IFERROR(IF(BA1403="WIP - 30 Days",VLOOKUP(D1403,[3]Extended!$B$9:$E$101,4,FALSE),IF(BA1403="31-120 Days",VLOOKUP(D1403,[3]Extended!$B$9:$F$101,5,FALSE),IF(BA1403="121-365 Days",VLOOKUP(D1403,[3]Extended!$B$9:$G$101,6,FALSE),VLOOKUP(D1403,[3]Extended!$B$9:$H$101,7,FALSE)))),0)</f>
        <v>0</v>
      </c>
      <c r="O1403" s="269">
        <f>IFERROR(IF(BA1403="WIP - 30 Days",VLOOKUP(D1403,[3]Extended!$B$9:$J$101,9,FALSE),IF(BA1403="31-120 Days",VLOOKUP(D1403,[3]Extended!$B$9:$K$101,10,FALSE),IF(BA1403="121-365 Days",VLOOKUP(D1403,[3]Extended!$B$9:$L$101,11,FALSE),VLOOKUP(D1403,[3]Extended!$B$9:$M$101,12,FALSE)))),0)</f>
        <v>0</v>
      </c>
      <c r="P1403" s="116" t="e">
        <f t="shared" si="106"/>
        <v>#VALUE!</v>
      </c>
      <c r="Q1403" s="110" t="e">
        <f>O1403-#REF!</f>
        <v>#REF!</v>
      </c>
      <c r="AT1403" s="88" t="str">
        <f t="shared" si="107"/>
        <v>Special Order0</v>
      </c>
      <c r="AU1403" s="89" t="str">
        <f t="shared" si="108"/>
        <v>01-1900</v>
      </c>
      <c r="BA1403" s="92" t="str">
        <f t="shared" si="109"/>
        <v/>
      </c>
    </row>
    <row r="1404" spans="2:53">
      <c r="B1404" s="60">
        <f>[2]Trucks!A1401</f>
        <v>0</v>
      </c>
      <c r="C1404" s="11">
        <f>[2]Trucks!B1401</f>
        <v>0</v>
      </c>
      <c r="D1404" s="19" t="str">
        <f>IFERROR(VLOOKUP(C1404&amp;"",'[2]Retail Price List'!$A$3:$B$103,2,FALSE),"Special Order")</f>
        <v>Special Order</v>
      </c>
      <c r="E1404" s="18">
        <f>[2]Trucks!J1401</f>
        <v>0</v>
      </c>
      <c r="F1404" s="12">
        <f>[2]Trucks!E1401</f>
        <v>0</v>
      </c>
      <c r="G1404" s="56">
        <f>[2]Trucks!K1401</f>
        <v>0</v>
      </c>
      <c r="H1404" s="46">
        <f>[2]Trucks!I1401</f>
        <v>0</v>
      </c>
      <c r="I1404" s="83" t="str">
        <f t="shared" si="105"/>
        <v/>
      </c>
      <c r="J1404" s="272" t="str">
        <f>IFERROR(VLOOKUP((D1404&amp;C1404)&amp;"",'[2]Retail Price List'!$C$4:$F$102,3,FALSE),"")</f>
        <v/>
      </c>
      <c r="K1404" s="272">
        <f>IFERROR(IF(BA1404="WIP - 30 Days",VLOOKUP(D1404,[3]Standard!$B$9:$E$101,4,FALSE),IF(BA1404="31-120 Days",VLOOKUP(D1404,[3]Standard!$B$9:$F$101,5,FALSE),IF(BA1404="121-365 Days",VLOOKUP(D1404,[3]Standard!$B$9:$G$101,6,FALSE),VLOOKUP(D1404,[3]Standard!$B$9:$H$101,7,FALSE)))),0)</f>
        <v>0</v>
      </c>
      <c r="L1404" s="272">
        <f>IFERROR(IF(BA1404="WIP - 30 Days",VLOOKUP(D1404,[3]Standard!$B$9:$J$101,9,FALSE),IF(BA1404="31-120 Days",VLOOKUP(D1404,[3]Standard!$B$9:$K$100,10,FALSE),IF(BA1404="121-365 Days",VLOOKUP(D1404,[3]Standard!$B$9:$L$101,11,FALSE),VLOOKUP(D1404,[3]Standard!$B$9:$M$101,12,FALSE)))),0)</f>
        <v>0</v>
      </c>
      <c r="M1404" s="269" t="str">
        <f>IFERROR(VLOOKUP((D1404&amp;C1404)&amp;"",'[2]Retail Price List'!$C$4:$F$102,4,FALSE),"")</f>
        <v/>
      </c>
      <c r="N1404" s="269">
        <f>IFERROR(IF(BA1404="WIP - 30 Days",VLOOKUP(D1404,[3]Extended!$B$9:$E$101,4,FALSE),IF(BA1404="31-120 Days",VLOOKUP(D1404,[3]Extended!$B$9:$F$101,5,FALSE),IF(BA1404="121-365 Days",VLOOKUP(D1404,[3]Extended!$B$9:$G$101,6,FALSE),VLOOKUP(D1404,[3]Extended!$B$9:$H$101,7,FALSE)))),0)</f>
        <v>0</v>
      </c>
      <c r="O1404" s="269">
        <f>IFERROR(IF(BA1404="WIP - 30 Days",VLOOKUP(D1404,[3]Extended!$B$9:$J$101,9,FALSE),IF(BA1404="31-120 Days",VLOOKUP(D1404,[3]Extended!$B$9:$K$101,10,FALSE),IF(BA1404="121-365 Days",VLOOKUP(D1404,[3]Extended!$B$9:$L$101,11,FALSE),VLOOKUP(D1404,[3]Extended!$B$9:$M$101,12,FALSE)))),0)</f>
        <v>0</v>
      </c>
      <c r="P1404" s="116" t="e">
        <f t="shared" si="106"/>
        <v>#VALUE!</v>
      </c>
      <c r="Q1404" s="110" t="e">
        <f>O1404-#REF!</f>
        <v>#REF!</v>
      </c>
      <c r="AT1404" s="88" t="str">
        <f t="shared" si="107"/>
        <v>Special Order0</v>
      </c>
      <c r="AU1404" s="89" t="str">
        <f t="shared" si="108"/>
        <v>01-1900</v>
      </c>
      <c r="BA1404" s="92" t="str">
        <f t="shared" si="109"/>
        <v/>
      </c>
    </row>
    <row r="1405" spans="2:53">
      <c r="B1405" s="60">
        <f>[2]Trucks!A1402</f>
        <v>0</v>
      </c>
      <c r="C1405" s="11">
        <f>[2]Trucks!B1402</f>
        <v>0</v>
      </c>
      <c r="D1405" s="19" t="str">
        <f>IFERROR(VLOOKUP(C1405&amp;"",'[2]Retail Price List'!$A$3:$B$103,2,FALSE),"Special Order")</f>
        <v>Special Order</v>
      </c>
      <c r="E1405" s="18">
        <f>[2]Trucks!J1402</f>
        <v>0</v>
      </c>
      <c r="F1405" s="12">
        <f>[2]Trucks!E1402</f>
        <v>0</v>
      </c>
      <c r="G1405" s="56">
        <f>[2]Trucks!K1402</f>
        <v>0</v>
      </c>
      <c r="H1405" s="46">
        <f>[2]Trucks!I1402</f>
        <v>0</v>
      </c>
      <c r="I1405" s="83" t="str">
        <f t="shared" si="105"/>
        <v/>
      </c>
      <c r="J1405" s="272" t="str">
        <f>IFERROR(VLOOKUP((D1405&amp;C1405)&amp;"",'[2]Retail Price List'!$C$4:$F$102,3,FALSE),"")</f>
        <v/>
      </c>
      <c r="K1405" s="272">
        <f>IFERROR(IF(BA1405="WIP - 30 Days",VLOOKUP(D1405,[3]Standard!$B$9:$E$101,4,FALSE),IF(BA1405="31-120 Days",VLOOKUP(D1405,[3]Standard!$B$9:$F$101,5,FALSE),IF(BA1405="121-365 Days",VLOOKUP(D1405,[3]Standard!$B$9:$G$101,6,FALSE),VLOOKUP(D1405,[3]Standard!$B$9:$H$101,7,FALSE)))),0)</f>
        <v>0</v>
      </c>
      <c r="L1405" s="272">
        <f>IFERROR(IF(BA1405="WIP - 30 Days",VLOOKUP(D1405,[3]Standard!$B$9:$J$101,9,FALSE),IF(BA1405="31-120 Days",VLOOKUP(D1405,[3]Standard!$B$9:$K$100,10,FALSE),IF(BA1405="121-365 Days",VLOOKUP(D1405,[3]Standard!$B$9:$L$101,11,FALSE),VLOOKUP(D1405,[3]Standard!$B$9:$M$101,12,FALSE)))),0)</f>
        <v>0</v>
      </c>
      <c r="M1405" s="269" t="str">
        <f>IFERROR(VLOOKUP((D1405&amp;C1405)&amp;"",'[2]Retail Price List'!$C$4:$F$102,4,FALSE),"")</f>
        <v/>
      </c>
      <c r="N1405" s="269">
        <f>IFERROR(IF(BA1405="WIP - 30 Days",VLOOKUP(D1405,[3]Extended!$B$9:$E$101,4,FALSE),IF(BA1405="31-120 Days",VLOOKUP(D1405,[3]Extended!$B$9:$F$101,5,FALSE),IF(BA1405="121-365 Days",VLOOKUP(D1405,[3]Extended!$B$9:$G$101,6,FALSE),VLOOKUP(D1405,[3]Extended!$B$9:$H$101,7,FALSE)))),0)</f>
        <v>0</v>
      </c>
      <c r="O1405" s="269">
        <f>IFERROR(IF(BA1405="WIP - 30 Days",VLOOKUP(D1405,[3]Extended!$B$9:$J$101,9,FALSE),IF(BA1405="31-120 Days",VLOOKUP(D1405,[3]Extended!$B$9:$K$101,10,FALSE),IF(BA1405="121-365 Days",VLOOKUP(D1405,[3]Extended!$B$9:$L$101,11,FALSE),VLOOKUP(D1405,[3]Extended!$B$9:$M$101,12,FALSE)))),0)</f>
        <v>0</v>
      </c>
      <c r="P1405" s="116" t="e">
        <f t="shared" si="106"/>
        <v>#VALUE!</v>
      </c>
      <c r="Q1405" s="110" t="e">
        <f>O1405-#REF!</f>
        <v>#REF!</v>
      </c>
      <c r="AT1405" s="88" t="str">
        <f t="shared" si="107"/>
        <v>Special Order0</v>
      </c>
      <c r="AU1405" s="89" t="str">
        <f t="shared" si="108"/>
        <v>01-1900</v>
      </c>
      <c r="BA1405" s="92" t="str">
        <f t="shared" si="109"/>
        <v/>
      </c>
    </row>
    <row r="1406" spans="2:53">
      <c r="B1406" s="60">
        <f>[2]Trucks!A1403</f>
        <v>0</v>
      </c>
      <c r="C1406" s="11">
        <f>[2]Trucks!B1403</f>
        <v>0</v>
      </c>
      <c r="D1406" s="19" t="str">
        <f>IFERROR(VLOOKUP(C1406&amp;"",'[2]Retail Price List'!$A$3:$B$103,2,FALSE),"Special Order")</f>
        <v>Special Order</v>
      </c>
      <c r="E1406" s="18">
        <f>[2]Trucks!J1403</f>
        <v>0</v>
      </c>
      <c r="F1406" s="12">
        <f>[2]Trucks!E1403</f>
        <v>0</v>
      </c>
      <c r="G1406" s="56">
        <f>[2]Trucks!K1403</f>
        <v>0</v>
      </c>
      <c r="H1406" s="46">
        <f>[2]Trucks!I1403</f>
        <v>0</v>
      </c>
      <c r="I1406" s="83" t="str">
        <f t="shared" si="105"/>
        <v/>
      </c>
      <c r="J1406" s="272" t="str">
        <f>IFERROR(VLOOKUP((D1406&amp;C1406)&amp;"",'[2]Retail Price List'!$C$4:$F$102,3,FALSE),"")</f>
        <v/>
      </c>
      <c r="K1406" s="272">
        <f>IFERROR(IF(BA1406="WIP - 30 Days",VLOOKUP(D1406,[3]Standard!$B$9:$E$101,4,FALSE),IF(BA1406="31-120 Days",VLOOKUP(D1406,[3]Standard!$B$9:$F$101,5,FALSE),IF(BA1406="121-365 Days",VLOOKUP(D1406,[3]Standard!$B$9:$G$101,6,FALSE),VLOOKUP(D1406,[3]Standard!$B$9:$H$101,7,FALSE)))),0)</f>
        <v>0</v>
      </c>
      <c r="L1406" s="272">
        <f>IFERROR(IF(BA1406="WIP - 30 Days",VLOOKUP(D1406,[3]Standard!$B$9:$J$101,9,FALSE),IF(BA1406="31-120 Days",VLOOKUP(D1406,[3]Standard!$B$9:$K$100,10,FALSE),IF(BA1406="121-365 Days",VLOOKUP(D1406,[3]Standard!$B$9:$L$101,11,FALSE),VLOOKUP(D1406,[3]Standard!$B$9:$M$101,12,FALSE)))),0)</f>
        <v>0</v>
      </c>
      <c r="M1406" s="269" t="str">
        <f>IFERROR(VLOOKUP((D1406&amp;C1406)&amp;"",'[2]Retail Price List'!$C$4:$F$102,4,FALSE),"")</f>
        <v/>
      </c>
      <c r="N1406" s="269">
        <f>IFERROR(IF(BA1406="WIP - 30 Days",VLOOKUP(D1406,[3]Extended!$B$9:$E$101,4,FALSE),IF(BA1406="31-120 Days",VLOOKUP(D1406,[3]Extended!$B$9:$F$101,5,FALSE),IF(BA1406="121-365 Days",VLOOKUP(D1406,[3]Extended!$B$9:$G$101,6,FALSE),VLOOKUP(D1406,[3]Extended!$B$9:$H$101,7,FALSE)))),0)</f>
        <v>0</v>
      </c>
      <c r="O1406" s="269">
        <f>IFERROR(IF(BA1406="WIP - 30 Days",VLOOKUP(D1406,[3]Extended!$B$9:$J$101,9,FALSE),IF(BA1406="31-120 Days",VLOOKUP(D1406,[3]Extended!$B$9:$K$101,10,FALSE),IF(BA1406="121-365 Days",VLOOKUP(D1406,[3]Extended!$B$9:$L$101,11,FALSE),VLOOKUP(D1406,[3]Extended!$B$9:$M$101,12,FALSE)))),0)</f>
        <v>0</v>
      </c>
      <c r="P1406" s="116" t="e">
        <f t="shared" si="106"/>
        <v>#VALUE!</v>
      </c>
      <c r="Q1406" s="110" t="e">
        <f>O1406-#REF!</f>
        <v>#REF!</v>
      </c>
      <c r="AT1406" s="88" t="str">
        <f t="shared" si="107"/>
        <v>Special Order0</v>
      </c>
      <c r="AU1406" s="89" t="str">
        <f t="shared" si="108"/>
        <v>01-1900</v>
      </c>
      <c r="BA1406" s="92" t="str">
        <f t="shared" si="109"/>
        <v/>
      </c>
    </row>
    <row r="1407" spans="2:53">
      <c r="B1407" s="60">
        <f>[2]Trucks!A1404</f>
        <v>0</v>
      </c>
      <c r="C1407" s="11">
        <f>[2]Trucks!B1404</f>
        <v>0</v>
      </c>
      <c r="D1407" s="19" t="str">
        <f>IFERROR(VLOOKUP(C1407&amp;"",'[2]Retail Price List'!$A$3:$B$103,2,FALSE),"Special Order")</f>
        <v>Special Order</v>
      </c>
      <c r="E1407" s="18">
        <f>[2]Trucks!J1404</f>
        <v>0</v>
      </c>
      <c r="F1407" s="12">
        <f>[2]Trucks!E1404</f>
        <v>0</v>
      </c>
      <c r="G1407" s="56">
        <f>[2]Trucks!K1404</f>
        <v>0</v>
      </c>
      <c r="H1407" s="46">
        <f>[2]Trucks!I1404</f>
        <v>0</v>
      </c>
      <c r="I1407" s="83" t="str">
        <f t="shared" si="105"/>
        <v/>
      </c>
      <c r="J1407" s="272" t="str">
        <f>IFERROR(VLOOKUP((D1407&amp;C1407)&amp;"",'[2]Retail Price List'!$C$4:$F$102,3,FALSE),"")</f>
        <v/>
      </c>
      <c r="K1407" s="272">
        <f>IFERROR(IF(BA1407="WIP - 30 Days",VLOOKUP(D1407,[3]Standard!$B$9:$E$101,4,FALSE),IF(BA1407="31-120 Days",VLOOKUP(D1407,[3]Standard!$B$9:$F$101,5,FALSE),IF(BA1407="121-365 Days",VLOOKUP(D1407,[3]Standard!$B$9:$G$101,6,FALSE),VLOOKUP(D1407,[3]Standard!$B$9:$H$101,7,FALSE)))),0)</f>
        <v>0</v>
      </c>
      <c r="L1407" s="272">
        <f>IFERROR(IF(BA1407="WIP - 30 Days",VLOOKUP(D1407,[3]Standard!$B$9:$J$101,9,FALSE),IF(BA1407="31-120 Days",VLOOKUP(D1407,[3]Standard!$B$9:$K$100,10,FALSE),IF(BA1407="121-365 Days",VLOOKUP(D1407,[3]Standard!$B$9:$L$101,11,FALSE),VLOOKUP(D1407,[3]Standard!$B$9:$M$101,12,FALSE)))),0)</f>
        <v>0</v>
      </c>
      <c r="M1407" s="269" t="str">
        <f>IFERROR(VLOOKUP((D1407&amp;C1407)&amp;"",'[2]Retail Price List'!$C$4:$F$102,4,FALSE),"")</f>
        <v/>
      </c>
      <c r="N1407" s="269">
        <f>IFERROR(IF(BA1407="WIP - 30 Days",VLOOKUP(D1407,[3]Extended!$B$9:$E$101,4,FALSE),IF(BA1407="31-120 Days",VLOOKUP(D1407,[3]Extended!$B$9:$F$101,5,FALSE),IF(BA1407="121-365 Days",VLOOKUP(D1407,[3]Extended!$B$9:$G$101,6,FALSE),VLOOKUP(D1407,[3]Extended!$B$9:$H$101,7,FALSE)))),0)</f>
        <v>0</v>
      </c>
      <c r="O1407" s="269">
        <f>IFERROR(IF(BA1407="WIP - 30 Days",VLOOKUP(D1407,[3]Extended!$B$9:$J$101,9,FALSE),IF(BA1407="31-120 Days",VLOOKUP(D1407,[3]Extended!$B$9:$K$101,10,FALSE),IF(BA1407="121-365 Days",VLOOKUP(D1407,[3]Extended!$B$9:$L$101,11,FALSE),VLOOKUP(D1407,[3]Extended!$B$9:$M$101,12,FALSE)))),0)</f>
        <v>0</v>
      </c>
      <c r="P1407" s="116" t="e">
        <f t="shared" si="106"/>
        <v>#VALUE!</v>
      </c>
      <c r="Q1407" s="110" t="e">
        <f>O1407-#REF!</f>
        <v>#REF!</v>
      </c>
      <c r="AT1407" s="88" t="str">
        <f t="shared" si="107"/>
        <v>Special Order0</v>
      </c>
      <c r="AU1407" s="89" t="str">
        <f t="shared" si="108"/>
        <v>01-1900</v>
      </c>
      <c r="BA1407" s="92" t="str">
        <f t="shared" si="109"/>
        <v/>
      </c>
    </row>
    <row r="1408" spans="2:53">
      <c r="B1408" s="60">
        <f>[2]Trucks!A1405</f>
        <v>0</v>
      </c>
      <c r="C1408" s="11">
        <f>[2]Trucks!B1405</f>
        <v>0</v>
      </c>
      <c r="D1408" s="19" t="str">
        <f>IFERROR(VLOOKUP(C1408&amp;"",'[2]Retail Price List'!$A$3:$B$103,2,FALSE),"Special Order")</f>
        <v>Special Order</v>
      </c>
      <c r="E1408" s="18">
        <f>[2]Trucks!J1405</f>
        <v>0</v>
      </c>
      <c r="F1408" s="12">
        <f>[2]Trucks!E1405</f>
        <v>0</v>
      </c>
      <c r="G1408" s="56">
        <f>[2]Trucks!K1405</f>
        <v>0</v>
      </c>
      <c r="H1408" s="46">
        <f>[2]Trucks!I1405</f>
        <v>0</v>
      </c>
      <c r="I1408" s="83" t="str">
        <f t="shared" si="105"/>
        <v/>
      </c>
      <c r="J1408" s="272" t="str">
        <f>IFERROR(VLOOKUP((D1408&amp;C1408)&amp;"",'[2]Retail Price List'!$C$4:$F$102,3,FALSE),"")</f>
        <v/>
      </c>
      <c r="K1408" s="272">
        <f>IFERROR(IF(BA1408="WIP - 30 Days",VLOOKUP(D1408,[3]Standard!$B$9:$E$101,4,FALSE),IF(BA1408="31-120 Days",VLOOKUP(D1408,[3]Standard!$B$9:$F$101,5,FALSE),IF(BA1408="121-365 Days",VLOOKUP(D1408,[3]Standard!$B$9:$G$101,6,FALSE),VLOOKUP(D1408,[3]Standard!$B$9:$H$101,7,FALSE)))),0)</f>
        <v>0</v>
      </c>
      <c r="L1408" s="272">
        <f>IFERROR(IF(BA1408="WIP - 30 Days",VLOOKUP(D1408,[3]Standard!$B$9:$J$101,9,FALSE),IF(BA1408="31-120 Days",VLOOKUP(D1408,[3]Standard!$B$9:$K$100,10,FALSE),IF(BA1408="121-365 Days",VLOOKUP(D1408,[3]Standard!$B$9:$L$101,11,FALSE),VLOOKUP(D1408,[3]Standard!$B$9:$M$101,12,FALSE)))),0)</f>
        <v>0</v>
      </c>
      <c r="M1408" s="269" t="str">
        <f>IFERROR(VLOOKUP((D1408&amp;C1408)&amp;"",'[2]Retail Price List'!$C$4:$F$102,4,FALSE),"")</f>
        <v/>
      </c>
      <c r="N1408" s="269">
        <f>IFERROR(IF(BA1408="WIP - 30 Days",VLOOKUP(D1408,[3]Extended!$B$9:$E$101,4,FALSE),IF(BA1408="31-120 Days",VLOOKUP(D1408,[3]Extended!$B$9:$F$101,5,FALSE),IF(BA1408="121-365 Days",VLOOKUP(D1408,[3]Extended!$B$9:$G$101,6,FALSE),VLOOKUP(D1408,[3]Extended!$B$9:$H$101,7,FALSE)))),0)</f>
        <v>0</v>
      </c>
      <c r="O1408" s="269">
        <f>IFERROR(IF(BA1408="WIP - 30 Days",VLOOKUP(D1408,[3]Extended!$B$9:$J$101,9,FALSE),IF(BA1408="31-120 Days",VLOOKUP(D1408,[3]Extended!$B$9:$K$101,10,FALSE),IF(BA1408="121-365 Days",VLOOKUP(D1408,[3]Extended!$B$9:$L$101,11,FALSE),VLOOKUP(D1408,[3]Extended!$B$9:$M$101,12,FALSE)))),0)</f>
        <v>0</v>
      </c>
      <c r="P1408" s="116" t="e">
        <f t="shared" si="106"/>
        <v>#VALUE!</v>
      </c>
      <c r="Q1408" s="110" t="e">
        <f>O1408-#REF!</f>
        <v>#REF!</v>
      </c>
      <c r="AT1408" s="88" t="str">
        <f t="shared" si="107"/>
        <v>Special Order0</v>
      </c>
      <c r="AU1408" s="89" t="str">
        <f t="shared" si="108"/>
        <v>01-1900</v>
      </c>
      <c r="BA1408" s="92" t="str">
        <f t="shared" si="109"/>
        <v/>
      </c>
    </row>
    <row r="1409" spans="2:53">
      <c r="B1409" s="60">
        <f>[2]Trucks!A1406</f>
        <v>0</v>
      </c>
      <c r="C1409" s="11">
        <f>[2]Trucks!B1406</f>
        <v>0</v>
      </c>
      <c r="D1409" s="19" t="str">
        <f>IFERROR(VLOOKUP(C1409&amp;"",'[2]Retail Price List'!$A$3:$B$103,2,FALSE),"Special Order")</f>
        <v>Special Order</v>
      </c>
      <c r="E1409" s="18">
        <f>[2]Trucks!J1406</f>
        <v>0</v>
      </c>
      <c r="F1409" s="12">
        <f>[2]Trucks!E1406</f>
        <v>0</v>
      </c>
      <c r="G1409" s="56">
        <f>[2]Trucks!K1406</f>
        <v>0</v>
      </c>
      <c r="H1409" s="46">
        <f>[2]Trucks!I1406</f>
        <v>0</v>
      </c>
      <c r="I1409" s="83" t="str">
        <f t="shared" si="105"/>
        <v/>
      </c>
      <c r="J1409" s="272" t="str">
        <f>IFERROR(VLOOKUP((D1409&amp;C1409)&amp;"",'[2]Retail Price List'!$C$4:$F$102,3,FALSE),"")</f>
        <v/>
      </c>
      <c r="K1409" s="272">
        <f>IFERROR(IF(BA1409="WIP - 30 Days",VLOOKUP(D1409,[3]Standard!$B$9:$E$101,4,FALSE),IF(BA1409="31-120 Days",VLOOKUP(D1409,[3]Standard!$B$9:$F$101,5,FALSE),IF(BA1409="121-365 Days",VLOOKUP(D1409,[3]Standard!$B$9:$G$101,6,FALSE),VLOOKUP(D1409,[3]Standard!$B$9:$H$101,7,FALSE)))),0)</f>
        <v>0</v>
      </c>
      <c r="L1409" s="272">
        <f>IFERROR(IF(BA1409="WIP - 30 Days",VLOOKUP(D1409,[3]Standard!$B$9:$J$101,9,FALSE),IF(BA1409="31-120 Days",VLOOKUP(D1409,[3]Standard!$B$9:$K$100,10,FALSE),IF(BA1409="121-365 Days",VLOOKUP(D1409,[3]Standard!$B$9:$L$101,11,FALSE),VLOOKUP(D1409,[3]Standard!$B$9:$M$101,12,FALSE)))),0)</f>
        <v>0</v>
      </c>
      <c r="M1409" s="269" t="str">
        <f>IFERROR(VLOOKUP((D1409&amp;C1409)&amp;"",'[2]Retail Price List'!$C$4:$F$102,4,FALSE),"")</f>
        <v/>
      </c>
      <c r="N1409" s="269">
        <f>IFERROR(IF(BA1409="WIP - 30 Days",VLOOKUP(D1409,[3]Extended!$B$9:$E$101,4,FALSE),IF(BA1409="31-120 Days",VLOOKUP(D1409,[3]Extended!$B$9:$F$101,5,FALSE),IF(BA1409="121-365 Days",VLOOKUP(D1409,[3]Extended!$B$9:$G$101,6,FALSE),VLOOKUP(D1409,[3]Extended!$B$9:$H$101,7,FALSE)))),0)</f>
        <v>0</v>
      </c>
      <c r="O1409" s="269">
        <f>IFERROR(IF(BA1409="WIP - 30 Days",VLOOKUP(D1409,[3]Extended!$B$9:$J$101,9,FALSE),IF(BA1409="31-120 Days",VLOOKUP(D1409,[3]Extended!$B$9:$K$101,10,FALSE),IF(BA1409="121-365 Days",VLOOKUP(D1409,[3]Extended!$B$9:$L$101,11,FALSE),VLOOKUP(D1409,[3]Extended!$B$9:$M$101,12,FALSE)))),0)</f>
        <v>0</v>
      </c>
      <c r="P1409" s="116" t="e">
        <f t="shared" si="106"/>
        <v>#VALUE!</v>
      </c>
      <c r="Q1409" s="110" t="e">
        <f>O1409-#REF!</f>
        <v>#REF!</v>
      </c>
      <c r="AT1409" s="88" t="str">
        <f t="shared" si="107"/>
        <v>Special Order0</v>
      </c>
      <c r="AU1409" s="89" t="str">
        <f t="shared" si="108"/>
        <v>01-1900</v>
      </c>
      <c r="BA1409" s="92" t="str">
        <f t="shared" si="109"/>
        <v/>
      </c>
    </row>
    <row r="1410" spans="2:53">
      <c r="B1410" s="60">
        <f>[2]Trucks!A1407</f>
        <v>0</v>
      </c>
      <c r="C1410" s="11">
        <f>[2]Trucks!B1407</f>
        <v>0</v>
      </c>
      <c r="D1410" s="19" t="str">
        <f>IFERROR(VLOOKUP(C1410&amp;"",'[2]Retail Price List'!$A$3:$B$103,2,FALSE),"Special Order")</f>
        <v>Special Order</v>
      </c>
      <c r="E1410" s="18">
        <f>[2]Trucks!J1407</f>
        <v>0</v>
      </c>
      <c r="F1410" s="12">
        <f>[2]Trucks!E1407</f>
        <v>0</v>
      </c>
      <c r="G1410" s="56">
        <f>[2]Trucks!K1407</f>
        <v>0</v>
      </c>
      <c r="H1410" s="46">
        <f>[2]Trucks!I1407</f>
        <v>0</v>
      </c>
      <c r="I1410" s="83" t="str">
        <f t="shared" si="105"/>
        <v/>
      </c>
      <c r="J1410" s="272" t="str">
        <f>IFERROR(VLOOKUP((D1410&amp;C1410)&amp;"",'[2]Retail Price List'!$C$4:$F$102,3,FALSE),"")</f>
        <v/>
      </c>
      <c r="K1410" s="272">
        <f>IFERROR(IF(BA1410="WIP - 30 Days",VLOOKUP(D1410,[3]Standard!$B$9:$E$101,4,FALSE),IF(BA1410="31-120 Days",VLOOKUP(D1410,[3]Standard!$B$9:$F$101,5,FALSE),IF(BA1410="121-365 Days",VLOOKUP(D1410,[3]Standard!$B$9:$G$101,6,FALSE),VLOOKUP(D1410,[3]Standard!$B$9:$H$101,7,FALSE)))),0)</f>
        <v>0</v>
      </c>
      <c r="L1410" s="272">
        <f>IFERROR(IF(BA1410="WIP - 30 Days",VLOOKUP(D1410,[3]Standard!$B$9:$J$101,9,FALSE),IF(BA1410="31-120 Days",VLOOKUP(D1410,[3]Standard!$B$9:$K$100,10,FALSE),IF(BA1410="121-365 Days",VLOOKUP(D1410,[3]Standard!$B$9:$L$101,11,FALSE),VLOOKUP(D1410,[3]Standard!$B$9:$M$101,12,FALSE)))),0)</f>
        <v>0</v>
      </c>
      <c r="M1410" s="269" t="str">
        <f>IFERROR(VLOOKUP((D1410&amp;C1410)&amp;"",'[2]Retail Price List'!$C$4:$F$102,4,FALSE),"")</f>
        <v/>
      </c>
      <c r="N1410" s="269">
        <f>IFERROR(IF(BA1410="WIP - 30 Days",VLOOKUP(D1410,[3]Extended!$B$9:$E$101,4,FALSE),IF(BA1410="31-120 Days",VLOOKUP(D1410,[3]Extended!$B$9:$F$101,5,FALSE),IF(BA1410="121-365 Days",VLOOKUP(D1410,[3]Extended!$B$9:$G$101,6,FALSE),VLOOKUP(D1410,[3]Extended!$B$9:$H$101,7,FALSE)))),0)</f>
        <v>0</v>
      </c>
      <c r="O1410" s="269">
        <f>IFERROR(IF(BA1410="WIP - 30 Days",VLOOKUP(D1410,[3]Extended!$B$9:$J$101,9,FALSE),IF(BA1410="31-120 Days",VLOOKUP(D1410,[3]Extended!$B$9:$K$101,10,FALSE),IF(BA1410="121-365 Days",VLOOKUP(D1410,[3]Extended!$B$9:$L$101,11,FALSE),VLOOKUP(D1410,[3]Extended!$B$9:$M$101,12,FALSE)))),0)</f>
        <v>0</v>
      </c>
      <c r="P1410" s="116" t="e">
        <f t="shared" si="106"/>
        <v>#VALUE!</v>
      </c>
      <c r="Q1410" s="110" t="e">
        <f>O1410-#REF!</f>
        <v>#REF!</v>
      </c>
      <c r="AT1410" s="88" t="str">
        <f t="shared" si="107"/>
        <v>Special Order0</v>
      </c>
      <c r="AU1410" s="89" t="str">
        <f t="shared" si="108"/>
        <v>01-1900</v>
      </c>
      <c r="BA1410" s="92" t="str">
        <f t="shared" si="109"/>
        <v/>
      </c>
    </row>
    <row r="1411" spans="2:53">
      <c r="B1411" s="60">
        <f>[2]Trucks!A1408</f>
        <v>0</v>
      </c>
      <c r="C1411" s="11">
        <f>[2]Trucks!B1408</f>
        <v>0</v>
      </c>
      <c r="D1411" s="19" t="str">
        <f>IFERROR(VLOOKUP(C1411&amp;"",'[2]Retail Price List'!$A$3:$B$103,2,FALSE),"Special Order")</f>
        <v>Special Order</v>
      </c>
      <c r="E1411" s="18">
        <f>[2]Trucks!J1408</f>
        <v>0</v>
      </c>
      <c r="F1411" s="12">
        <f>[2]Trucks!E1408</f>
        <v>0</v>
      </c>
      <c r="G1411" s="56">
        <f>[2]Trucks!K1408</f>
        <v>0</v>
      </c>
      <c r="H1411" s="46">
        <f>[2]Trucks!I1408</f>
        <v>0</v>
      </c>
      <c r="I1411" s="83" t="str">
        <f t="shared" si="105"/>
        <v/>
      </c>
      <c r="J1411" s="272" t="str">
        <f>IFERROR(VLOOKUP((D1411&amp;C1411)&amp;"",'[2]Retail Price List'!$C$4:$F$102,3,FALSE),"")</f>
        <v/>
      </c>
      <c r="K1411" s="272">
        <f>IFERROR(IF(BA1411="WIP - 30 Days",VLOOKUP(D1411,[3]Standard!$B$9:$E$101,4,FALSE),IF(BA1411="31-120 Days",VLOOKUP(D1411,[3]Standard!$B$9:$F$101,5,FALSE),IF(BA1411="121-365 Days",VLOOKUP(D1411,[3]Standard!$B$9:$G$101,6,FALSE),VLOOKUP(D1411,[3]Standard!$B$9:$H$101,7,FALSE)))),0)</f>
        <v>0</v>
      </c>
      <c r="L1411" s="272">
        <f>IFERROR(IF(BA1411="WIP - 30 Days",VLOOKUP(D1411,[3]Standard!$B$9:$J$101,9,FALSE),IF(BA1411="31-120 Days",VLOOKUP(D1411,[3]Standard!$B$9:$K$100,10,FALSE),IF(BA1411="121-365 Days",VLOOKUP(D1411,[3]Standard!$B$9:$L$101,11,FALSE),VLOOKUP(D1411,[3]Standard!$B$9:$M$101,12,FALSE)))),0)</f>
        <v>0</v>
      </c>
      <c r="M1411" s="269" t="str">
        <f>IFERROR(VLOOKUP((D1411&amp;C1411)&amp;"",'[2]Retail Price List'!$C$4:$F$102,4,FALSE),"")</f>
        <v/>
      </c>
      <c r="N1411" s="269">
        <f>IFERROR(IF(BA1411="WIP - 30 Days",VLOOKUP(D1411,[3]Extended!$B$9:$E$101,4,FALSE),IF(BA1411="31-120 Days",VLOOKUP(D1411,[3]Extended!$B$9:$F$101,5,FALSE),IF(BA1411="121-365 Days",VLOOKUP(D1411,[3]Extended!$B$9:$G$101,6,FALSE),VLOOKUP(D1411,[3]Extended!$B$9:$H$101,7,FALSE)))),0)</f>
        <v>0</v>
      </c>
      <c r="O1411" s="269">
        <f>IFERROR(IF(BA1411="WIP - 30 Days",VLOOKUP(D1411,[3]Extended!$B$9:$J$101,9,FALSE),IF(BA1411="31-120 Days",VLOOKUP(D1411,[3]Extended!$B$9:$K$101,10,FALSE),IF(BA1411="121-365 Days",VLOOKUP(D1411,[3]Extended!$B$9:$L$101,11,FALSE),VLOOKUP(D1411,[3]Extended!$B$9:$M$101,12,FALSE)))),0)</f>
        <v>0</v>
      </c>
      <c r="P1411" s="116" t="e">
        <f t="shared" si="106"/>
        <v>#VALUE!</v>
      </c>
      <c r="Q1411" s="110" t="e">
        <f>O1411-#REF!</f>
        <v>#REF!</v>
      </c>
      <c r="AT1411" s="88" t="str">
        <f t="shared" si="107"/>
        <v>Special Order0</v>
      </c>
      <c r="AU1411" s="89" t="str">
        <f t="shared" si="108"/>
        <v>01-1900</v>
      </c>
      <c r="BA1411" s="92" t="str">
        <f t="shared" si="109"/>
        <v/>
      </c>
    </row>
    <row r="1412" spans="2:53">
      <c r="B1412" s="60">
        <f>[2]Trucks!A1409</f>
        <v>0</v>
      </c>
      <c r="C1412" s="11">
        <f>[2]Trucks!B1409</f>
        <v>0</v>
      </c>
      <c r="D1412" s="19" t="str">
        <f>IFERROR(VLOOKUP(C1412&amp;"",'[2]Retail Price List'!$A$3:$B$103,2,FALSE),"Special Order")</f>
        <v>Special Order</v>
      </c>
      <c r="E1412" s="18">
        <f>[2]Trucks!J1409</f>
        <v>0</v>
      </c>
      <c r="F1412" s="12">
        <f>[2]Trucks!E1409</f>
        <v>0</v>
      </c>
      <c r="G1412" s="56">
        <f>[2]Trucks!K1409</f>
        <v>0</v>
      </c>
      <c r="H1412" s="46">
        <f>[2]Trucks!I1409</f>
        <v>0</v>
      </c>
      <c r="I1412" s="83" t="str">
        <f t="shared" si="105"/>
        <v/>
      </c>
      <c r="J1412" s="272" t="str">
        <f>IFERROR(VLOOKUP((D1412&amp;C1412)&amp;"",'[2]Retail Price List'!$C$4:$F$102,3,FALSE),"")</f>
        <v/>
      </c>
      <c r="K1412" s="272">
        <f>IFERROR(IF(BA1412="WIP - 30 Days",VLOOKUP(D1412,[3]Standard!$B$9:$E$101,4,FALSE),IF(BA1412="31-120 Days",VLOOKUP(D1412,[3]Standard!$B$9:$F$101,5,FALSE),IF(BA1412="121-365 Days",VLOOKUP(D1412,[3]Standard!$B$9:$G$101,6,FALSE),VLOOKUP(D1412,[3]Standard!$B$9:$H$101,7,FALSE)))),0)</f>
        <v>0</v>
      </c>
      <c r="L1412" s="272">
        <f>IFERROR(IF(BA1412="WIP - 30 Days",VLOOKUP(D1412,[3]Standard!$B$9:$J$101,9,FALSE),IF(BA1412="31-120 Days",VLOOKUP(D1412,[3]Standard!$B$9:$K$100,10,FALSE),IF(BA1412="121-365 Days",VLOOKUP(D1412,[3]Standard!$B$9:$L$101,11,FALSE),VLOOKUP(D1412,[3]Standard!$B$9:$M$101,12,FALSE)))),0)</f>
        <v>0</v>
      </c>
      <c r="M1412" s="269" t="str">
        <f>IFERROR(VLOOKUP((D1412&amp;C1412)&amp;"",'[2]Retail Price List'!$C$4:$F$102,4,FALSE),"")</f>
        <v/>
      </c>
      <c r="N1412" s="269">
        <f>IFERROR(IF(BA1412="WIP - 30 Days",VLOOKUP(D1412,[3]Extended!$B$9:$E$101,4,FALSE),IF(BA1412="31-120 Days",VLOOKUP(D1412,[3]Extended!$B$9:$F$101,5,FALSE),IF(BA1412="121-365 Days",VLOOKUP(D1412,[3]Extended!$B$9:$G$101,6,FALSE),VLOOKUP(D1412,[3]Extended!$B$9:$H$101,7,FALSE)))),0)</f>
        <v>0</v>
      </c>
      <c r="O1412" s="269">
        <f>IFERROR(IF(BA1412="WIP - 30 Days",VLOOKUP(D1412,[3]Extended!$B$9:$J$101,9,FALSE),IF(BA1412="31-120 Days",VLOOKUP(D1412,[3]Extended!$B$9:$K$101,10,FALSE),IF(BA1412="121-365 Days",VLOOKUP(D1412,[3]Extended!$B$9:$L$101,11,FALSE),VLOOKUP(D1412,[3]Extended!$B$9:$M$101,12,FALSE)))),0)</f>
        <v>0</v>
      </c>
      <c r="P1412" s="116" t="e">
        <f t="shared" si="106"/>
        <v>#VALUE!</v>
      </c>
      <c r="Q1412" s="110" t="e">
        <f>O1412-#REF!</f>
        <v>#REF!</v>
      </c>
      <c r="AT1412" s="88" t="str">
        <f t="shared" si="107"/>
        <v>Special Order0</v>
      </c>
      <c r="AU1412" s="89" t="str">
        <f t="shared" si="108"/>
        <v>01-1900</v>
      </c>
      <c r="BA1412" s="92" t="str">
        <f t="shared" si="109"/>
        <v/>
      </c>
    </row>
    <row r="1413" spans="2:53">
      <c r="B1413" s="60">
        <f>[2]Trucks!A1410</f>
        <v>0</v>
      </c>
      <c r="C1413" s="11">
        <f>[2]Trucks!B1410</f>
        <v>0</v>
      </c>
      <c r="D1413" s="19" t="str">
        <f>IFERROR(VLOOKUP(C1413&amp;"",'[2]Retail Price List'!$A$3:$B$103,2,FALSE),"Special Order")</f>
        <v>Special Order</v>
      </c>
      <c r="E1413" s="18">
        <f>[2]Trucks!J1410</f>
        <v>0</v>
      </c>
      <c r="F1413" s="12">
        <f>[2]Trucks!E1410</f>
        <v>0</v>
      </c>
      <c r="G1413" s="56">
        <f>[2]Trucks!K1410</f>
        <v>0</v>
      </c>
      <c r="H1413" s="46">
        <f>[2]Trucks!I1410</f>
        <v>0</v>
      </c>
      <c r="I1413" s="83" t="str">
        <f t="shared" ref="I1413:I1476" si="110">IFERROR(VLOOKUP(AU1413,$AW$5:$AY$40,3,FALSE),"")</f>
        <v/>
      </c>
      <c r="J1413" s="272" t="str">
        <f>IFERROR(VLOOKUP((D1413&amp;C1413)&amp;"",'[2]Retail Price List'!$C$4:$F$102,3,FALSE),"")</f>
        <v/>
      </c>
      <c r="K1413" s="272">
        <f>IFERROR(IF(BA1413="WIP - 30 Days",VLOOKUP(D1413,[3]Standard!$B$9:$E$101,4,FALSE),IF(BA1413="31-120 Days",VLOOKUP(D1413,[3]Standard!$B$9:$F$101,5,FALSE),IF(BA1413="121-365 Days",VLOOKUP(D1413,[3]Standard!$B$9:$G$101,6,FALSE),VLOOKUP(D1413,[3]Standard!$B$9:$H$101,7,FALSE)))),0)</f>
        <v>0</v>
      </c>
      <c r="L1413" s="272">
        <f>IFERROR(IF(BA1413="WIP - 30 Days",VLOOKUP(D1413,[3]Standard!$B$9:$J$101,9,FALSE),IF(BA1413="31-120 Days",VLOOKUP(D1413,[3]Standard!$B$9:$K$100,10,FALSE),IF(BA1413="121-365 Days",VLOOKUP(D1413,[3]Standard!$B$9:$L$101,11,FALSE),VLOOKUP(D1413,[3]Standard!$B$9:$M$101,12,FALSE)))),0)</f>
        <v>0</v>
      </c>
      <c r="M1413" s="269" t="str">
        <f>IFERROR(VLOOKUP((D1413&amp;C1413)&amp;"",'[2]Retail Price List'!$C$4:$F$102,4,FALSE),"")</f>
        <v/>
      </c>
      <c r="N1413" s="269">
        <f>IFERROR(IF(BA1413="WIP - 30 Days",VLOOKUP(D1413,[3]Extended!$B$9:$E$101,4,FALSE),IF(BA1413="31-120 Days",VLOOKUP(D1413,[3]Extended!$B$9:$F$101,5,FALSE),IF(BA1413="121-365 Days",VLOOKUP(D1413,[3]Extended!$B$9:$G$101,6,FALSE),VLOOKUP(D1413,[3]Extended!$B$9:$H$101,7,FALSE)))),0)</f>
        <v>0</v>
      </c>
      <c r="O1413" s="269">
        <f>IFERROR(IF(BA1413="WIP - 30 Days",VLOOKUP(D1413,[3]Extended!$B$9:$J$101,9,FALSE),IF(BA1413="31-120 Days",VLOOKUP(D1413,[3]Extended!$B$9:$K$101,10,FALSE),IF(BA1413="121-365 Days",VLOOKUP(D1413,[3]Extended!$B$9:$L$101,11,FALSE),VLOOKUP(D1413,[3]Extended!$B$9:$M$101,12,FALSE)))),0)</f>
        <v>0</v>
      </c>
      <c r="P1413" s="116" t="e">
        <f t="shared" ref="P1413:P1476" si="111">(M1413-O1413)/M1413</f>
        <v>#VALUE!</v>
      </c>
      <c r="Q1413" s="110" t="e">
        <f>O1413-#REF!</f>
        <v>#REF!</v>
      </c>
      <c r="AT1413" s="88" t="str">
        <f t="shared" ref="AT1413:AT1476" si="112">D1413&amp;I1413&amp;G1413</f>
        <v>Special Order0</v>
      </c>
      <c r="AU1413" s="89" t="str">
        <f t="shared" ref="AU1413:AU1476" si="113">IF(MONTH(H1413)&lt;10,0&amp;MONTH(H1413)&amp;"-"&amp;YEAR(H1413),MONTH(H1413)&amp;"-"&amp;YEAR(H1413))</f>
        <v>01-1900</v>
      </c>
      <c r="BA1413" s="92" t="str">
        <f t="shared" ref="BA1413:BA1476" si="114">IF(B1413=0,"",IF(AND(F1413&gt;=31,F1413&lt;=120),"31-120 Days",IF(AND(F1413&gt;=121,F1413&lt;=365),"121-365 Days",IF(OR(E1413="CKD",F1413&lt;=30),"WIP - 30 Days","&gt;365 Days"))))</f>
        <v/>
      </c>
    </row>
    <row r="1414" spans="2:53">
      <c r="B1414" s="60">
        <f>[2]Trucks!A1411</f>
        <v>0</v>
      </c>
      <c r="C1414" s="11">
        <f>[2]Trucks!B1411</f>
        <v>0</v>
      </c>
      <c r="D1414" s="19" t="str">
        <f>IFERROR(VLOOKUP(C1414&amp;"",'[2]Retail Price List'!$A$3:$B$103,2,FALSE),"Special Order")</f>
        <v>Special Order</v>
      </c>
      <c r="E1414" s="18">
        <f>[2]Trucks!J1411</f>
        <v>0</v>
      </c>
      <c r="F1414" s="12">
        <f>[2]Trucks!E1411</f>
        <v>0</v>
      </c>
      <c r="G1414" s="56">
        <f>[2]Trucks!K1411</f>
        <v>0</v>
      </c>
      <c r="H1414" s="46">
        <f>[2]Trucks!I1411</f>
        <v>0</v>
      </c>
      <c r="I1414" s="83" t="str">
        <f t="shared" si="110"/>
        <v/>
      </c>
      <c r="J1414" s="272" t="str">
        <f>IFERROR(VLOOKUP((D1414&amp;C1414)&amp;"",'[2]Retail Price List'!$C$4:$F$102,3,FALSE),"")</f>
        <v/>
      </c>
      <c r="K1414" s="272">
        <f>IFERROR(IF(BA1414="WIP - 30 Days",VLOOKUP(D1414,[3]Standard!$B$9:$E$101,4,FALSE),IF(BA1414="31-120 Days",VLOOKUP(D1414,[3]Standard!$B$9:$F$101,5,FALSE),IF(BA1414="121-365 Days",VLOOKUP(D1414,[3]Standard!$B$9:$G$101,6,FALSE),VLOOKUP(D1414,[3]Standard!$B$9:$H$101,7,FALSE)))),0)</f>
        <v>0</v>
      </c>
      <c r="L1414" s="272">
        <f>IFERROR(IF(BA1414="WIP - 30 Days",VLOOKUP(D1414,[3]Standard!$B$9:$J$101,9,FALSE),IF(BA1414="31-120 Days",VLOOKUP(D1414,[3]Standard!$B$9:$K$100,10,FALSE),IF(BA1414="121-365 Days",VLOOKUP(D1414,[3]Standard!$B$9:$L$101,11,FALSE),VLOOKUP(D1414,[3]Standard!$B$9:$M$101,12,FALSE)))),0)</f>
        <v>0</v>
      </c>
      <c r="M1414" s="269" t="str">
        <f>IFERROR(VLOOKUP((D1414&amp;C1414)&amp;"",'[2]Retail Price List'!$C$4:$F$102,4,FALSE),"")</f>
        <v/>
      </c>
      <c r="N1414" s="269">
        <f>IFERROR(IF(BA1414="WIP - 30 Days",VLOOKUP(D1414,[3]Extended!$B$9:$E$101,4,FALSE),IF(BA1414="31-120 Days",VLOOKUP(D1414,[3]Extended!$B$9:$F$101,5,FALSE),IF(BA1414="121-365 Days",VLOOKUP(D1414,[3]Extended!$B$9:$G$101,6,FALSE),VLOOKUP(D1414,[3]Extended!$B$9:$H$101,7,FALSE)))),0)</f>
        <v>0</v>
      </c>
      <c r="O1414" s="269">
        <f>IFERROR(IF(BA1414="WIP - 30 Days",VLOOKUP(D1414,[3]Extended!$B$9:$J$101,9,FALSE),IF(BA1414="31-120 Days",VLOOKUP(D1414,[3]Extended!$B$9:$K$101,10,FALSE),IF(BA1414="121-365 Days",VLOOKUP(D1414,[3]Extended!$B$9:$L$101,11,FALSE),VLOOKUP(D1414,[3]Extended!$B$9:$M$101,12,FALSE)))),0)</f>
        <v>0</v>
      </c>
      <c r="P1414" s="116" t="e">
        <f t="shared" si="111"/>
        <v>#VALUE!</v>
      </c>
      <c r="Q1414" s="110" t="e">
        <f>O1414-#REF!</f>
        <v>#REF!</v>
      </c>
      <c r="AT1414" s="88" t="str">
        <f t="shared" si="112"/>
        <v>Special Order0</v>
      </c>
      <c r="AU1414" s="89" t="str">
        <f t="shared" si="113"/>
        <v>01-1900</v>
      </c>
      <c r="BA1414" s="92" t="str">
        <f t="shared" si="114"/>
        <v/>
      </c>
    </row>
    <row r="1415" spans="2:53">
      <c r="B1415" s="60">
        <f>[2]Trucks!A1412</f>
        <v>0</v>
      </c>
      <c r="C1415" s="11">
        <f>[2]Trucks!B1412</f>
        <v>0</v>
      </c>
      <c r="D1415" s="19" t="str">
        <f>IFERROR(VLOOKUP(C1415&amp;"",'[2]Retail Price List'!$A$3:$B$103,2,FALSE),"Special Order")</f>
        <v>Special Order</v>
      </c>
      <c r="E1415" s="18">
        <f>[2]Trucks!J1412</f>
        <v>0</v>
      </c>
      <c r="F1415" s="12">
        <f>[2]Trucks!E1412</f>
        <v>0</v>
      </c>
      <c r="G1415" s="56">
        <f>[2]Trucks!K1412</f>
        <v>0</v>
      </c>
      <c r="H1415" s="46">
        <f>[2]Trucks!I1412</f>
        <v>0</v>
      </c>
      <c r="I1415" s="83" t="str">
        <f t="shared" si="110"/>
        <v/>
      </c>
      <c r="J1415" s="272" t="str">
        <f>IFERROR(VLOOKUP((D1415&amp;C1415)&amp;"",'[2]Retail Price List'!$C$4:$F$102,3,FALSE),"")</f>
        <v/>
      </c>
      <c r="K1415" s="272">
        <f>IFERROR(IF(BA1415="WIP - 30 Days",VLOOKUP(D1415,[3]Standard!$B$9:$E$101,4,FALSE),IF(BA1415="31-120 Days",VLOOKUP(D1415,[3]Standard!$B$9:$F$101,5,FALSE),IF(BA1415="121-365 Days",VLOOKUP(D1415,[3]Standard!$B$9:$G$101,6,FALSE),VLOOKUP(D1415,[3]Standard!$B$9:$H$101,7,FALSE)))),0)</f>
        <v>0</v>
      </c>
      <c r="L1415" s="272">
        <f>IFERROR(IF(BA1415="WIP - 30 Days",VLOOKUP(D1415,[3]Standard!$B$9:$J$101,9,FALSE),IF(BA1415="31-120 Days",VLOOKUP(D1415,[3]Standard!$B$9:$K$100,10,FALSE),IF(BA1415="121-365 Days",VLOOKUP(D1415,[3]Standard!$B$9:$L$101,11,FALSE),VLOOKUP(D1415,[3]Standard!$B$9:$M$101,12,FALSE)))),0)</f>
        <v>0</v>
      </c>
      <c r="M1415" s="269" t="str">
        <f>IFERROR(VLOOKUP((D1415&amp;C1415)&amp;"",'[2]Retail Price List'!$C$4:$F$102,4,FALSE),"")</f>
        <v/>
      </c>
      <c r="N1415" s="269">
        <f>IFERROR(IF(BA1415="WIP - 30 Days",VLOOKUP(D1415,[3]Extended!$B$9:$E$101,4,FALSE),IF(BA1415="31-120 Days",VLOOKUP(D1415,[3]Extended!$B$9:$F$101,5,FALSE),IF(BA1415="121-365 Days",VLOOKUP(D1415,[3]Extended!$B$9:$G$101,6,FALSE),VLOOKUP(D1415,[3]Extended!$B$9:$H$101,7,FALSE)))),0)</f>
        <v>0</v>
      </c>
      <c r="O1415" s="269">
        <f>IFERROR(IF(BA1415="WIP - 30 Days",VLOOKUP(D1415,[3]Extended!$B$9:$J$101,9,FALSE),IF(BA1415="31-120 Days",VLOOKUP(D1415,[3]Extended!$B$9:$K$101,10,FALSE),IF(BA1415="121-365 Days",VLOOKUP(D1415,[3]Extended!$B$9:$L$101,11,FALSE),VLOOKUP(D1415,[3]Extended!$B$9:$M$101,12,FALSE)))),0)</f>
        <v>0</v>
      </c>
      <c r="P1415" s="116" t="e">
        <f t="shared" si="111"/>
        <v>#VALUE!</v>
      </c>
      <c r="Q1415" s="110" t="e">
        <f>O1415-#REF!</f>
        <v>#REF!</v>
      </c>
      <c r="AT1415" s="88" t="str">
        <f t="shared" si="112"/>
        <v>Special Order0</v>
      </c>
      <c r="AU1415" s="89" t="str">
        <f t="shared" si="113"/>
        <v>01-1900</v>
      </c>
      <c r="BA1415" s="92" t="str">
        <f t="shared" si="114"/>
        <v/>
      </c>
    </row>
    <row r="1416" spans="2:53">
      <c r="B1416" s="60">
        <f>[2]Trucks!A1413</f>
        <v>0</v>
      </c>
      <c r="C1416" s="11">
        <f>[2]Trucks!B1413</f>
        <v>0</v>
      </c>
      <c r="D1416" s="19" t="str">
        <f>IFERROR(VLOOKUP(C1416&amp;"",'[2]Retail Price List'!$A$3:$B$103,2,FALSE),"Special Order")</f>
        <v>Special Order</v>
      </c>
      <c r="E1416" s="18">
        <f>[2]Trucks!J1413</f>
        <v>0</v>
      </c>
      <c r="F1416" s="12">
        <f>[2]Trucks!E1413</f>
        <v>0</v>
      </c>
      <c r="G1416" s="56">
        <f>[2]Trucks!K1413</f>
        <v>0</v>
      </c>
      <c r="H1416" s="46">
        <f>[2]Trucks!I1413</f>
        <v>0</v>
      </c>
      <c r="I1416" s="83" t="str">
        <f t="shared" si="110"/>
        <v/>
      </c>
      <c r="J1416" s="272" t="str">
        <f>IFERROR(VLOOKUP((D1416&amp;C1416)&amp;"",'[2]Retail Price List'!$C$4:$F$102,3,FALSE),"")</f>
        <v/>
      </c>
      <c r="K1416" s="272">
        <f>IFERROR(IF(BA1416="WIP - 30 Days",VLOOKUP(D1416,[3]Standard!$B$9:$E$101,4,FALSE),IF(BA1416="31-120 Days",VLOOKUP(D1416,[3]Standard!$B$9:$F$101,5,FALSE),IF(BA1416="121-365 Days",VLOOKUP(D1416,[3]Standard!$B$9:$G$101,6,FALSE),VLOOKUP(D1416,[3]Standard!$B$9:$H$101,7,FALSE)))),0)</f>
        <v>0</v>
      </c>
      <c r="L1416" s="272">
        <f>IFERROR(IF(BA1416="WIP - 30 Days",VLOOKUP(D1416,[3]Standard!$B$9:$J$101,9,FALSE),IF(BA1416="31-120 Days",VLOOKUP(D1416,[3]Standard!$B$9:$K$100,10,FALSE),IF(BA1416="121-365 Days",VLOOKUP(D1416,[3]Standard!$B$9:$L$101,11,FALSE),VLOOKUP(D1416,[3]Standard!$B$9:$M$101,12,FALSE)))),0)</f>
        <v>0</v>
      </c>
      <c r="M1416" s="269" t="str">
        <f>IFERROR(VLOOKUP((D1416&amp;C1416)&amp;"",'[2]Retail Price List'!$C$4:$F$102,4,FALSE),"")</f>
        <v/>
      </c>
      <c r="N1416" s="269">
        <f>IFERROR(IF(BA1416="WIP - 30 Days",VLOOKUP(D1416,[3]Extended!$B$9:$E$101,4,FALSE),IF(BA1416="31-120 Days",VLOOKUP(D1416,[3]Extended!$B$9:$F$101,5,FALSE),IF(BA1416="121-365 Days",VLOOKUP(D1416,[3]Extended!$B$9:$G$101,6,FALSE),VLOOKUP(D1416,[3]Extended!$B$9:$H$101,7,FALSE)))),0)</f>
        <v>0</v>
      </c>
      <c r="O1416" s="269">
        <f>IFERROR(IF(BA1416="WIP - 30 Days",VLOOKUP(D1416,[3]Extended!$B$9:$J$101,9,FALSE),IF(BA1416="31-120 Days",VLOOKUP(D1416,[3]Extended!$B$9:$K$101,10,FALSE),IF(BA1416="121-365 Days",VLOOKUP(D1416,[3]Extended!$B$9:$L$101,11,FALSE),VLOOKUP(D1416,[3]Extended!$B$9:$M$101,12,FALSE)))),0)</f>
        <v>0</v>
      </c>
      <c r="P1416" s="116" t="e">
        <f t="shared" si="111"/>
        <v>#VALUE!</v>
      </c>
      <c r="Q1416" s="110" t="e">
        <f>O1416-#REF!</f>
        <v>#REF!</v>
      </c>
      <c r="AT1416" s="88" t="str">
        <f t="shared" si="112"/>
        <v>Special Order0</v>
      </c>
      <c r="AU1416" s="89" t="str">
        <f t="shared" si="113"/>
        <v>01-1900</v>
      </c>
      <c r="BA1416" s="92" t="str">
        <f t="shared" si="114"/>
        <v/>
      </c>
    </row>
    <row r="1417" spans="2:53">
      <c r="B1417" s="60">
        <f>[2]Trucks!A1414</f>
        <v>0</v>
      </c>
      <c r="C1417" s="11">
        <f>[2]Trucks!B1414</f>
        <v>0</v>
      </c>
      <c r="D1417" s="19" t="str">
        <f>IFERROR(VLOOKUP(C1417&amp;"",'[2]Retail Price List'!$A$3:$B$103,2,FALSE),"Special Order")</f>
        <v>Special Order</v>
      </c>
      <c r="E1417" s="18">
        <f>[2]Trucks!J1414</f>
        <v>0</v>
      </c>
      <c r="F1417" s="12">
        <f>[2]Trucks!E1414</f>
        <v>0</v>
      </c>
      <c r="G1417" s="56">
        <f>[2]Trucks!K1414</f>
        <v>0</v>
      </c>
      <c r="H1417" s="46">
        <f>[2]Trucks!I1414</f>
        <v>0</v>
      </c>
      <c r="I1417" s="83" t="str">
        <f t="shared" si="110"/>
        <v/>
      </c>
      <c r="J1417" s="272" t="str">
        <f>IFERROR(VLOOKUP((D1417&amp;C1417)&amp;"",'[2]Retail Price List'!$C$4:$F$102,3,FALSE),"")</f>
        <v/>
      </c>
      <c r="K1417" s="272">
        <f>IFERROR(IF(BA1417="WIP - 30 Days",VLOOKUP(D1417,[3]Standard!$B$9:$E$101,4,FALSE),IF(BA1417="31-120 Days",VLOOKUP(D1417,[3]Standard!$B$9:$F$101,5,FALSE),IF(BA1417="121-365 Days",VLOOKUP(D1417,[3]Standard!$B$9:$G$101,6,FALSE),VLOOKUP(D1417,[3]Standard!$B$9:$H$101,7,FALSE)))),0)</f>
        <v>0</v>
      </c>
      <c r="L1417" s="272">
        <f>IFERROR(IF(BA1417="WIP - 30 Days",VLOOKUP(D1417,[3]Standard!$B$9:$J$101,9,FALSE),IF(BA1417="31-120 Days",VLOOKUP(D1417,[3]Standard!$B$9:$K$100,10,FALSE),IF(BA1417="121-365 Days",VLOOKUP(D1417,[3]Standard!$B$9:$L$101,11,FALSE),VLOOKUP(D1417,[3]Standard!$B$9:$M$101,12,FALSE)))),0)</f>
        <v>0</v>
      </c>
      <c r="M1417" s="269" t="str">
        <f>IFERROR(VLOOKUP((D1417&amp;C1417)&amp;"",'[2]Retail Price List'!$C$4:$F$102,4,FALSE),"")</f>
        <v/>
      </c>
      <c r="N1417" s="269">
        <f>IFERROR(IF(BA1417="WIP - 30 Days",VLOOKUP(D1417,[3]Extended!$B$9:$E$101,4,FALSE),IF(BA1417="31-120 Days",VLOOKUP(D1417,[3]Extended!$B$9:$F$101,5,FALSE),IF(BA1417="121-365 Days",VLOOKUP(D1417,[3]Extended!$B$9:$G$101,6,FALSE),VLOOKUP(D1417,[3]Extended!$B$9:$H$101,7,FALSE)))),0)</f>
        <v>0</v>
      </c>
      <c r="O1417" s="269">
        <f>IFERROR(IF(BA1417="WIP - 30 Days",VLOOKUP(D1417,[3]Extended!$B$9:$J$101,9,FALSE),IF(BA1417="31-120 Days",VLOOKUP(D1417,[3]Extended!$B$9:$K$101,10,FALSE),IF(BA1417="121-365 Days",VLOOKUP(D1417,[3]Extended!$B$9:$L$101,11,FALSE),VLOOKUP(D1417,[3]Extended!$B$9:$M$101,12,FALSE)))),0)</f>
        <v>0</v>
      </c>
      <c r="P1417" s="116" t="e">
        <f t="shared" si="111"/>
        <v>#VALUE!</v>
      </c>
      <c r="Q1417" s="110" t="e">
        <f>O1417-#REF!</f>
        <v>#REF!</v>
      </c>
      <c r="AT1417" s="88" t="str">
        <f t="shared" si="112"/>
        <v>Special Order0</v>
      </c>
      <c r="AU1417" s="89" t="str">
        <f t="shared" si="113"/>
        <v>01-1900</v>
      </c>
      <c r="BA1417" s="92" t="str">
        <f t="shared" si="114"/>
        <v/>
      </c>
    </row>
    <row r="1418" spans="2:53">
      <c r="B1418" s="60">
        <f>[2]Trucks!A1415</f>
        <v>0</v>
      </c>
      <c r="C1418" s="11">
        <f>[2]Trucks!B1415</f>
        <v>0</v>
      </c>
      <c r="D1418" s="19" t="str">
        <f>IFERROR(VLOOKUP(C1418&amp;"",'[2]Retail Price List'!$A$3:$B$103,2,FALSE),"Special Order")</f>
        <v>Special Order</v>
      </c>
      <c r="E1418" s="18">
        <f>[2]Trucks!J1415</f>
        <v>0</v>
      </c>
      <c r="F1418" s="12">
        <f>[2]Trucks!E1415</f>
        <v>0</v>
      </c>
      <c r="G1418" s="56">
        <f>[2]Trucks!K1415</f>
        <v>0</v>
      </c>
      <c r="H1418" s="46">
        <f>[2]Trucks!I1415</f>
        <v>0</v>
      </c>
      <c r="I1418" s="83" t="str">
        <f t="shared" si="110"/>
        <v/>
      </c>
      <c r="J1418" s="272" t="str">
        <f>IFERROR(VLOOKUP((D1418&amp;C1418)&amp;"",'[2]Retail Price List'!$C$4:$F$102,3,FALSE),"")</f>
        <v/>
      </c>
      <c r="K1418" s="272">
        <f>IFERROR(IF(BA1418="WIP - 30 Days",VLOOKUP(D1418,[3]Standard!$B$9:$E$101,4,FALSE),IF(BA1418="31-120 Days",VLOOKUP(D1418,[3]Standard!$B$9:$F$101,5,FALSE),IF(BA1418="121-365 Days",VLOOKUP(D1418,[3]Standard!$B$9:$G$101,6,FALSE),VLOOKUP(D1418,[3]Standard!$B$9:$H$101,7,FALSE)))),0)</f>
        <v>0</v>
      </c>
      <c r="L1418" s="272">
        <f>IFERROR(IF(BA1418="WIP - 30 Days",VLOOKUP(D1418,[3]Standard!$B$9:$J$101,9,FALSE),IF(BA1418="31-120 Days",VLOOKUP(D1418,[3]Standard!$B$9:$K$100,10,FALSE),IF(BA1418="121-365 Days",VLOOKUP(D1418,[3]Standard!$B$9:$L$101,11,FALSE),VLOOKUP(D1418,[3]Standard!$B$9:$M$101,12,FALSE)))),0)</f>
        <v>0</v>
      </c>
      <c r="M1418" s="269" t="str">
        <f>IFERROR(VLOOKUP((D1418&amp;C1418)&amp;"",'[2]Retail Price List'!$C$4:$F$102,4,FALSE),"")</f>
        <v/>
      </c>
      <c r="N1418" s="269">
        <f>IFERROR(IF(BA1418="WIP - 30 Days",VLOOKUP(D1418,[3]Extended!$B$9:$E$101,4,FALSE),IF(BA1418="31-120 Days",VLOOKUP(D1418,[3]Extended!$B$9:$F$101,5,FALSE),IF(BA1418="121-365 Days",VLOOKUP(D1418,[3]Extended!$B$9:$G$101,6,FALSE),VLOOKUP(D1418,[3]Extended!$B$9:$H$101,7,FALSE)))),0)</f>
        <v>0</v>
      </c>
      <c r="O1418" s="269">
        <f>IFERROR(IF(BA1418="WIP - 30 Days",VLOOKUP(D1418,[3]Extended!$B$9:$J$101,9,FALSE),IF(BA1418="31-120 Days",VLOOKUP(D1418,[3]Extended!$B$9:$K$101,10,FALSE),IF(BA1418="121-365 Days",VLOOKUP(D1418,[3]Extended!$B$9:$L$101,11,FALSE),VLOOKUP(D1418,[3]Extended!$B$9:$M$101,12,FALSE)))),0)</f>
        <v>0</v>
      </c>
      <c r="P1418" s="116" t="e">
        <f t="shared" si="111"/>
        <v>#VALUE!</v>
      </c>
      <c r="Q1418" s="110" t="e">
        <f>O1418-#REF!</f>
        <v>#REF!</v>
      </c>
      <c r="AT1418" s="88" t="str">
        <f t="shared" si="112"/>
        <v>Special Order0</v>
      </c>
      <c r="AU1418" s="89" t="str">
        <f t="shared" si="113"/>
        <v>01-1900</v>
      </c>
      <c r="BA1418" s="92" t="str">
        <f t="shared" si="114"/>
        <v/>
      </c>
    </row>
    <row r="1419" spans="2:53">
      <c r="B1419" s="60">
        <f>[2]Trucks!A1416</f>
        <v>0</v>
      </c>
      <c r="C1419" s="11">
        <f>[2]Trucks!B1416</f>
        <v>0</v>
      </c>
      <c r="D1419" s="19" t="str">
        <f>IFERROR(VLOOKUP(C1419&amp;"",'[2]Retail Price List'!$A$3:$B$103,2,FALSE),"Special Order")</f>
        <v>Special Order</v>
      </c>
      <c r="E1419" s="18">
        <f>[2]Trucks!J1416</f>
        <v>0</v>
      </c>
      <c r="F1419" s="12">
        <f>[2]Trucks!E1416</f>
        <v>0</v>
      </c>
      <c r="G1419" s="56">
        <f>[2]Trucks!K1416</f>
        <v>0</v>
      </c>
      <c r="H1419" s="46">
        <f>[2]Trucks!I1416</f>
        <v>0</v>
      </c>
      <c r="I1419" s="83" t="str">
        <f t="shared" si="110"/>
        <v/>
      </c>
      <c r="J1419" s="272" t="str">
        <f>IFERROR(VLOOKUP((D1419&amp;C1419)&amp;"",'[2]Retail Price List'!$C$4:$F$102,3,FALSE),"")</f>
        <v/>
      </c>
      <c r="K1419" s="272">
        <f>IFERROR(IF(BA1419="WIP - 30 Days",VLOOKUP(D1419,[3]Standard!$B$9:$E$101,4,FALSE),IF(BA1419="31-120 Days",VLOOKUP(D1419,[3]Standard!$B$9:$F$101,5,FALSE),IF(BA1419="121-365 Days",VLOOKUP(D1419,[3]Standard!$B$9:$G$101,6,FALSE),VLOOKUP(D1419,[3]Standard!$B$9:$H$101,7,FALSE)))),0)</f>
        <v>0</v>
      </c>
      <c r="L1419" s="272">
        <f>IFERROR(IF(BA1419="WIP - 30 Days",VLOOKUP(D1419,[3]Standard!$B$9:$J$101,9,FALSE),IF(BA1419="31-120 Days",VLOOKUP(D1419,[3]Standard!$B$9:$K$100,10,FALSE),IF(BA1419="121-365 Days",VLOOKUP(D1419,[3]Standard!$B$9:$L$101,11,FALSE),VLOOKUP(D1419,[3]Standard!$B$9:$M$101,12,FALSE)))),0)</f>
        <v>0</v>
      </c>
      <c r="M1419" s="269" t="str">
        <f>IFERROR(VLOOKUP((D1419&amp;C1419)&amp;"",'[2]Retail Price List'!$C$4:$F$102,4,FALSE),"")</f>
        <v/>
      </c>
      <c r="N1419" s="269">
        <f>IFERROR(IF(BA1419="WIP - 30 Days",VLOOKUP(D1419,[3]Extended!$B$9:$E$101,4,FALSE),IF(BA1419="31-120 Days",VLOOKUP(D1419,[3]Extended!$B$9:$F$101,5,FALSE),IF(BA1419="121-365 Days",VLOOKUP(D1419,[3]Extended!$B$9:$G$101,6,FALSE),VLOOKUP(D1419,[3]Extended!$B$9:$H$101,7,FALSE)))),0)</f>
        <v>0</v>
      </c>
      <c r="O1419" s="269">
        <f>IFERROR(IF(BA1419="WIP - 30 Days",VLOOKUP(D1419,[3]Extended!$B$9:$J$101,9,FALSE),IF(BA1419="31-120 Days",VLOOKUP(D1419,[3]Extended!$B$9:$K$101,10,FALSE),IF(BA1419="121-365 Days",VLOOKUP(D1419,[3]Extended!$B$9:$L$101,11,FALSE),VLOOKUP(D1419,[3]Extended!$B$9:$M$101,12,FALSE)))),0)</f>
        <v>0</v>
      </c>
      <c r="P1419" s="116" t="e">
        <f t="shared" si="111"/>
        <v>#VALUE!</v>
      </c>
      <c r="Q1419" s="110" t="e">
        <f>O1419-#REF!</f>
        <v>#REF!</v>
      </c>
      <c r="AT1419" s="88" t="str">
        <f t="shared" si="112"/>
        <v>Special Order0</v>
      </c>
      <c r="AU1419" s="89" t="str">
        <f t="shared" si="113"/>
        <v>01-1900</v>
      </c>
      <c r="BA1419" s="92" t="str">
        <f t="shared" si="114"/>
        <v/>
      </c>
    </row>
    <row r="1420" spans="2:53">
      <c r="B1420" s="60">
        <f>[2]Trucks!A1417</f>
        <v>0</v>
      </c>
      <c r="C1420" s="11">
        <f>[2]Trucks!B1417</f>
        <v>0</v>
      </c>
      <c r="D1420" s="19" t="str">
        <f>IFERROR(VLOOKUP(C1420&amp;"",'[2]Retail Price List'!$A$3:$B$103,2,FALSE),"Special Order")</f>
        <v>Special Order</v>
      </c>
      <c r="E1420" s="18">
        <f>[2]Trucks!J1417</f>
        <v>0</v>
      </c>
      <c r="F1420" s="12">
        <f>[2]Trucks!E1417</f>
        <v>0</v>
      </c>
      <c r="G1420" s="56">
        <f>[2]Trucks!K1417</f>
        <v>0</v>
      </c>
      <c r="H1420" s="46">
        <f>[2]Trucks!I1417</f>
        <v>0</v>
      </c>
      <c r="I1420" s="83" t="str">
        <f t="shared" si="110"/>
        <v/>
      </c>
      <c r="J1420" s="272" t="str">
        <f>IFERROR(VLOOKUP((D1420&amp;C1420)&amp;"",'[2]Retail Price List'!$C$4:$F$102,3,FALSE),"")</f>
        <v/>
      </c>
      <c r="K1420" s="272">
        <f>IFERROR(IF(BA1420="WIP - 30 Days",VLOOKUP(D1420,[3]Standard!$B$9:$E$101,4,FALSE),IF(BA1420="31-120 Days",VLOOKUP(D1420,[3]Standard!$B$9:$F$101,5,FALSE),IF(BA1420="121-365 Days",VLOOKUP(D1420,[3]Standard!$B$9:$G$101,6,FALSE),VLOOKUP(D1420,[3]Standard!$B$9:$H$101,7,FALSE)))),0)</f>
        <v>0</v>
      </c>
      <c r="L1420" s="272">
        <f>IFERROR(IF(BA1420="WIP - 30 Days",VLOOKUP(D1420,[3]Standard!$B$9:$J$101,9,FALSE),IF(BA1420="31-120 Days",VLOOKUP(D1420,[3]Standard!$B$9:$K$100,10,FALSE),IF(BA1420="121-365 Days",VLOOKUP(D1420,[3]Standard!$B$9:$L$101,11,FALSE),VLOOKUP(D1420,[3]Standard!$B$9:$M$101,12,FALSE)))),0)</f>
        <v>0</v>
      </c>
      <c r="M1420" s="269" t="str">
        <f>IFERROR(VLOOKUP((D1420&amp;C1420)&amp;"",'[2]Retail Price List'!$C$4:$F$102,4,FALSE),"")</f>
        <v/>
      </c>
      <c r="N1420" s="269">
        <f>IFERROR(IF(BA1420="WIP - 30 Days",VLOOKUP(D1420,[3]Extended!$B$9:$E$101,4,FALSE),IF(BA1420="31-120 Days",VLOOKUP(D1420,[3]Extended!$B$9:$F$101,5,FALSE),IF(BA1420="121-365 Days",VLOOKUP(D1420,[3]Extended!$B$9:$G$101,6,FALSE),VLOOKUP(D1420,[3]Extended!$B$9:$H$101,7,FALSE)))),0)</f>
        <v>0</v>
      </c>
      <c r="O1420" s="269">
        <f>IFERROR(IF(BA1420="WIP - 30 Days",VLOOKUP(D1420,[3]Extended!$B$9:$J$101,9,FALSE),IF(BA1420="31-120 Days",VLOOKUP(D1420,[3]Extended!$B$9:$K$101,10,FALSE),IF(BA1420="121-365 Days",VLOOKUP(D1420,[3]Extended!$B$9:$L$101,11,FALSE),VLOOKUP(D1420,[3]Extended!$B$9:$M$101,12,FALSE)))),0)</f>
        <v>0</v>
      </c>
      <c r="P1420" s="116" t="e">
        <f t="shared" si="111"/>
        <v>#VALUE!</v>
      </c>
      <c r="Q1420" s="110" t="e">
        <f>O1420-#REF!</f>
        <v>#REF!</v>
      </c>
      <c r="AT1420" s="88" t="str">
        <f t="shared" si="112"/>
        <v>Special Order0</v>
      </c>
      <c r="AU1420" s="89" t="str">
        <f t="shared" si="113"/>
        <v>01-1900</v>
      </c>
      <c r="BA1420" s="92" t="str">
        <f t="shared" si="114"/>
        <v/>
      </c>
    </row>
    <row r="1421" spans="2:53">
      <c r="B1421" s="60">
        <f>[2]Trucks!A1418</f>
        <v>0</v>
      </c>
      <c r="C1421" s="11">
        <f>[2]Trucks!B1418</f>
        <v>0</v>
      </c>
      <c r="D1421" s="19" t="str">
        <f>IFERROR(VLOOKUP(C1421&amp;"",'[2]Retail Price List'!$A$3:$B$103,2,FALSE),"Special Order")</f>
        <v>Special Order</v>
      </c>
      <c r="E1421" s="18">
        <f>[2]Trucks!J1418</f>
        <v>0</v>
      </c>
      <c r="F1421" s="12">
        <f>[2]Trucks!E1418</f>
        <v>0</v>
      </c>
      <c r="G1421" s="56">
        <f>[2]Trucks!K1418</f>
        <v>0</v>
      </c>
      <c r="H1421" s="46">
        <f>[2]Trucks!I1418</f>
        <v>0</v>
      </c>
      <c r="I1421" s="83" t="str">
        <f t="shared" si="110"/>
        <v/>
      </c>
      <c r="J1421" s="272" t="str">
        <f>IFERROR(VLOOKUP((D1421&amp;C1421)&amp;"",'[2]Retail Price List'!$C$4:$F$102,3,FALSE),"")</f>
        <v/>
      </c>
      <c r="K1421" s="272">
        <f>IFERROR(IF(BA1421="WIP - 30 Days",VLOOKUP(D1421,[3]Standard!$B$9:$E$101,4,FALSE),IF(BA1421="31-120 Days",VLOOKUP(D1421,[3]Standard!$B$9:$F$101,5,FALSE),IF(BA1421="121-365 Days",VLOOKUP(D1421,[3]Standard!$B$9:$G$101,6,FALSE),VLOOKUP(D1421,[3]Standard!$B$9:$H$101,7,FALSE)))),0)</f>
        <v>0</v>
      </c>
      <c r="L1421" s="272">
        <f>IFERROR(IF(BA1421="WIP - 30 Days",VLOOKUP(D1421,[3]Standard!$B$9:$J$101,9,FALSE),IF(BA1421="31-120 Days",VLOOKUP(D1421,[3]Standard!$B$9:$K$100,10,FALSE),IF(BA1421="121-365 Days",VLOOKUP(D1421,[3]Standard!$B$9:$L$101,11,FALSE),VLOOKUP(D1421,[3]Standard!$B$9:$M$101,12,FALSE)))),0)</f>
        <v>0</v>
      </c>
      <c r="M1421" s="269" t="str">
        <f>IFERROR(VLOOKUP((D1421&amp;C1421)&amp;"",'[2]Retail Price List'!$C$4:$F$102,4,FALSE),"")</f>
        <v/>
      </c>
      <c r="N1421" s="269">
        <f>IFERROR(IF(BA1421="WIP - 30 Days",VLOOKUP(D1421,[3]Extended!$B$9:$E$101,4,FALSE),IF(BA1421="31-120 Days",VLOOKUP(D1421,[3]Extended!$B$9:$F$101,5,FALSE),IF(BA1421="121-365 Days",VLOOKUP(D1421,[3]Extended!$B$9:$G$101,6,FALSE),VLOOKUP(D1421,[3]Extended!$B$9:$H$101,7,FALSE)))),0)</f>
        <v>0</v>
      </c>
      <c r="O1421" s="269">
        <f>IFERROR(IF(BA1421="WIP - 30 Days",VLOOKUP(D1421,[3]Extended!$B$9:$J$101,9,FALSE),IF(BA1421="31-120 Days",VLOOKUP(D1421,[3]Extended!$B$9:$K$101,10,FALSE),IF(BA1421="121-365 Days",VLOOKUP(D1421,[3]Extended!$B$9:$L$101,11,FALSE),VLOOKUP(D1421,[3]Extended!$B$9:$M$101,12,FALSE)))),0)</f>
        <v>0</v>
      </c>
      <c r="P1421" s="116" t="e">
        <f t="shared" si="111"/>
        <v>#VALUE!</v>
      </c>
      <c r="Q1421" s="110" t="e">
        <f>O1421-#REF!</f>
        <v>#REF!</v>
      </c>
      <c r="AT1421" s="88" t="str">
        <f t="shared" si="112"/>
        <v>Special Order0</v>
      </c>
      <c r="AU1421" s="89" t="str">
        <f t="shared" si="113"/>
        <v>01-1900</v>
      </c>
      <c r="BA1421" s="92" t="str">
        <f t="shared" si="114"/>
        <v/>
      </c>
    </row>
    <row r="1422" spans="2:53">
      <c r="B1422" s="60">
        <f>[2]Trucks!A1419</f>
        <v>0</v>
      </c>
      <c r="C1422" s="11">
        <f>[2]Trucks!B1419</f>
        <v>0</v>
      </c>
      <c r="D1422" s="19" t="str">
        <f>IFERROR(VLOOKUP(C1422&amp;"",'[2]Retail Price List'!$A$3:$B$103,2,FALSE),"Special Order")</f>
        <v>Special Order</v>
      </c>
      <c r="E1422" s="18">
        <f>[2]Trucks!J1419</f>
        <v>0</v>
      </c>
      <c r="F1422" s="12">
        <f>[2]Trucks!E1419</f>
        <v>0</v>
      </c>
      <c r="G1422" s="56">
        <f>[2]Trucks!K1419</f>
        <v>0</v>
      </c>
      <c r="H1422" s="46">
        <f>[2]Trucks!I1419</f>
        <v>0</v>
      </c>
      <c r="I1422" s="83" t="str">
        <f t="shared" si="110"/>
        <v/>
      </c>
      <c r="J1422" s="272" t="str">
        <f>IFERROR(VLOOKUP((D1422&amp;C1422)&amp;"",'[2]Retail Price List'!$C$4:$F$102,3,FALSE),"")</f>
        <v/>
      </c>
      <c r="K1422" s="272">
        <f>IFERROR(IF(BA1422="WIP - 30 Days",VLOOKUP(D1422,[3]Standard!$B$9:$E$101,4,FALSE),IF(BA1422="31-120 Days",VLOOKUP(D1422,[3]Standard!$B$9:$F$101,5,FALSE),IF(BA1422="121-365 Days",VLOOKUP(D1422,[3]Standard!$B$9:$G$101,6,FALSE),VLOOKUP(D1422,[3]Standard!$B$9:$H$101,7,FALSE)))),0)</f>
        <v>0</v>
      </c>
      <c r="L1422" s="272">
        <f>IFERROR(IF(BA1422="WIP - 30 Days",VLOOKUP(D1422,[3]Standard!$B$9:$J$101,9,FALSE),IF(BA1422="31-120 Days",VLOOKUP(D1422,[3]Standard!$B$9:$K$100,10,FALSE),IF(BA1422="121-365 Days",VLOOKUP(D1422,[3]Standard!$B$9:$L$101,11,FALSE),VLOOKUP(D1422,[3]Standard!$B$9:$M$101,12,FALSE)))),0)</f>
        <v>0</v>
      </c>
      <c r="M1422" s="269" t="str">
        <f>IFERROR(VLOOKUP((D1422&amp;C1422)&amp;"",'[2]Retail Price List'!$C$4:$F$102,4,FALSE),"")</f>
        <v/>
      </c>
      <c r="N1422" s="269">
        <f>IFERROR(IF(BA1422="WIP - 30 Days",VLOOKUP(D1422,[3]Extended!$B$9:$E$101,4,FALSE),IF(BA1422="31-120 Days",VLOOKUP(D1422,[3]Extended!$B$9:$F$101,5,FALSE),IF(BA1422="121-365 Days",VLOOKUP(D1422,[3]Extended!$B$9:$G$101,6,FALSE),VLOOKUP(D1422,[3]Extended!$B$9:$H$101,7,FALSE)))),0)</f>
        <v>0</v>
      </c>
      <c r="O1422" s="269">
        <f>IFERROR(IF(BA1422="WIP - 30 Days",VLOOKUP(D1422,[3]Extended!$B$9:$J$101,9,FALSE),IF(BA1422="31-120 Days",VLOOKUP(D1422,[3]Extended!$B$9:$K$101,10,FALSE),IF(BA1422="121-365 Days",VLOOKUP(D1422,[3]Extended!$B$9:$L$101,11,FALSE),VLOOKUP(D1422,[3]Extended!$B$9:$M$101,12,FALSE)))),0)</f>
        <v>0</v>
      </c>
      <c r="P1422" s="116" t="e">
        <f t="shared" si="111"/>
        <v>#VALUE!</v>
      </c>
      <c r="Q1422" s="110" t="e">
        <f>O1422-#REF!</f>
        <v>#REF!</v>
      </c>
      <c r="AT1422" s="88" t="str">
        <f t="shared" si="112"/>
        <v>Special Order0</v>
      </c>
      <c r="AU1422" s="89" t="str">
        <f t="shared" si="113"/>
        <v>01-1900</v>
      </c>
      <c r="BA1422" s="92" t="str">
        <f t="shared" si="114"/>
        <v/>
      </c>
    </row>
    <row r="1423" spans="2:53">
      <c r="B1423" s="60">
        <f>[2]Trucks!A1420</f>
        <v>0</v>
      </c>
      <c r="C1423" s="11">
        <f>[2]Trucks!B1420</f>
        <v>0</v>
      </c>
      <c r="D1423" s="19" t="str">
        <f>IFERROR(VLOOKUP(C1423&amp;"",'[2]Retail Price List'!$A$3:$B$103,2,FALSE),"Special Order")</f>
        <v>Special Order</v>
      </c>
      <c r="E1423" s="18">
        <f>[2]Trucks!J1420</f>
        <v>0</v>
      </c>
      <c r="F1423" s="12">
        <f>[2]Trucks!E1420</f>
        <v>0</v>
      </c>
      <c r="G1423" s="56">
        <f>[2]Trucks!K1420</f>
        <v>0</v>
      </c>
      <c r="H1423" s="46">
        <f>[2]Trucks!I1420</f>
        <v>0</v>
      </c>
      <c r="I1423" s="83" t="str">
        <f t="shared" si="110"/>
        <v/>
      </c>
      <c r="J1423" s="272" t="str">
        <f>IFERROR(VLOOKUP((D1423&amp;C1423)&amp;"",'[2]Retail Price List'!$C$4:$F$102,3,FALSE),"")</f>
        <v/>
      </c>
      <c r="K1423" s="272">
        <f>IFERROR(IF(BA1423="WIP - 30 Days",VLOOKUP(D1423,[3]Standard!$B$9:$E$101,4,FALSE),IF(BA1423="31-120 Days",VLOOKUP(D1423,[3]Standard!$B$9:$F$101,5,FALSE),IF(BA1423="121-365 Days",VLOOKUP(D1423,[3]Standard!$B$9:$G$101,6,FALSE),VLOOKUP(D1423,[3]Standard!$B$9:$H$101,7,FALSE)))),0)</f>
        <v>0</v>
      </c>
      <c r="L1423" s="272">
        <f>IFERROR(IF(BA1423="WIP - 30 Days",VLOOKUP(D1423,[3]Standard!$B$9:$J$101,9,FALSE),IF(BA1423="31-120 Days",VLOOKUP(D1423,[3]Standard!$B$9:$K$100,10,FALSE),IF(BA1423="121-365 Days",VLOOKUP(D1423,[3]Standard!$B$9:$L$101,11,FALSE),VLOOKUP(D1423,[3]Standard!$B$9:$M$101,12,FALSE)))),0)</f>
        <v>0</v>
      </c>
      <c r="M1423" s="269" t="str">
        <f>IFERROR(VLOOKUP((D1423&amp;C1423)&amp;"",'[2]Retail Price List'!$C$4:$F$102,4,FALSE),"")</f>
        <v/>
      </c>
      <c r="N1423" s="269">
        <f>IFERROR(IF(BA1423="WIP - 30 Days",VLOOKUP(D1423,[3]Extended!$B$9:$E$101,4,FALSE),IF(BA1423="31-120 Days",VLOOKUP(D1423,[3]Extended!$B$9:$F$101,5,FALSE),IF(BA1423="121-365 Days",VLOOKUP(D1423,[3]Extended!$B$9:$G$101,6,FALSE),VLOOKUP(D1423,[3]Extended!$B$9:$H$101,7,FALSE)))),0)</f>
        <v>0</v>
      </c>
      <c r="O1423" s="269">
        <f>IFERROR(IF(BA1423="WIP - 30 Days",VLOOKUP(D1423,[3]Extended!$B$9:$J$101,9,FALSE),IF(BA1423="31-120 Days",VLOOKUP(D1423,[3]Extended!$B$9:$K$101,10,FALSE),IF(BA1423="121-365 Days",VLOOKUP(D1423,[3]Extended!$B$9:$L$101,11,FALSE),VLOOKUP(D1423,[3]Extended!$B$9:$M$101,12,FALSE)))),0)</f>
        <v>0</v>
      </c>
      <c r="P1423" s="116" t="e">
        <f t="shared" si="111"/>
        <v>#VALUE!</v>
      </c>
      <c r="Q1423" s="110" t="e">
        <f>O1423-#REF!</f>
        <v>#REF!</v>
      </c>
      <c r="AT1423" s="88" t="str">
        <f t="shared" si="112"/>
        <v>Special Order0</v>
      </c>
      <c r="AU1423" s="89" t="str">
        <f t="shared" si="113"/>
        <v>01-1900</v>
      </c>
      <c r="BA1423" s="92" t="str">
        <f t="shared" si="114"/>
        <v/>
      </c>
    </row>
    <row r="1424" spans="2:53">
      <c r="B1424" s="60">
        <f>[2]Trucks!A1421</f>
        <v>0</v>
      </c>
      <c r="C1424" s="11">
        <f>[2]Trucks!B1421</f>
        <v>0</v>
      </c>
      <c r="D1424" s="19" t="str">
        <f>IFERROR(VLOOKUP(C1424&amp;"",'[2]Retail Price List'!$A$3:$B$103,2,FALSE),"Special Order")</f>
        <v>Special Order</v>
      </c>
      <c r="E1424" s="18">
        <f>[2]Trucks!J1421</f>
        <v>0</v>
      </c>
      <c r="F1424" s="12">
        <f>[2]Trucks!E1421</f>
        <v>0</v>
      </c>
      <c r="G1424" s="56">
        <f>[2]Trucks!K1421</f>
        <v>0</v>
      </c>
      <c r="H1424" s="46">
        <f>[2]Trucks!I1421</f>
        <v>0</v>
      </c>
      <c r="I1424" s="83" t="str">
        <f t="shared" si="110"/>
        <v/>
      </c>
      <c r="J1424" s="272" t="str">
        <f>IFERROR(VLOOKUP((D1424&amp;C1424)&amp;"",'[2]Retail Price List'!$C$4:$F$102,3,FALSE),"")</f>
        <v/>
      </c>
      <c r="K1424" s="272">
        <f>IFERROR(IF(BA1424="WIP - 30 Days",VLOOKUP(D1424,[3]Standard!$B$9:$E$101,4,FALSE),IF(BA1424="31-120 Days",VLOOKUP(D1424,[3]Standard!$B$9:$F$101,5,FALSE),IF(BA1424="121-365 Days",VLOOKUP(D1424,[3]Standard!$B$9:$G$101,6,FALSE),VLOOKUP(D1424,[3]Standard!$B$9:$H$101,7,FALSE)))),0)</f>
        <v>0</v>
      </c>
      <c r="L1424" s="272">
        <f>IFERROR(IF(BA1424="WIP - 30 Days",VLOOKUP(D1424,[3]Standard!$B$9:$J$101,9,FALSE),IF(BA1424="31-120 Days",VLOOKUP(D1424,[3]Standard!$B$9:$K$100,10,FALSE),IF(BA1424="121-365 Days",VLOOKUP(D1424,[3]Standard!$B$9:$L$101,11,FALSE),VLOOKUP(D1424,[3]Standard!$B$9:$M$101,12,FALSE)))),0)</f>
        <v>0</v>
      </c>
      <c r="M1424" s="269" t="str">
        <f>IFERROR(VLOOKUP((D1424&amp;C1424)&amp;"",'[2]Retail Price List'!$C$4:$F$102,4,FALSE),"")</f>
        <v/>
      </c>
      <c r="N1424" s="269">
        <f>IFERROR(IF(BA1424="WIP - 30 Days",VLOOKUP(D1424,[3]Extended!$B$9:$E$101,4,FALSE),IF(BA1424="31-120 Days",VLOOKUP(D1424,[3]Extended!$B$9:$F$101,5,FALSE),IF(BA1424="121-365 Days",VLOOKUP(D1424,[3]Extended!$B$9:$G$101,6,FALSE),VLOOKUP(D1424,[3]Extended!$B$9:$H$101,7,FALSE)))),0)</f>
        <v>0</v>
      </c>
      <c r="O1424" s="269">
        <f>IFERROR(IF(BA1424="WIP - 30 Days",VLOOKUP(D1424,[3]Extended!$B$9:$J$101,9,FALSE),IF(BA1424="31-120 Days",VLOOKUP(D1424,[3]Extended!$B$9:$K$101,10,FALSE),IF(BA1424="121-365 Days",VLOOKUP(D1424,[3]Extended!$B$9:$L$101,11,FALSE),VLOOKUP(D1424,[3]Extended!$B$9:$M$101,12,FALSE)))),0)</f>
        <v>0</v>
      </c>
      <c r="P1424" s="116" t="e">
        <f t="shared" si="111"/>
        <v>#VALUE!</v>
      </c>
      <c r="Q1424" s="110" t="e">
        <f>O1424-#REF!</f>
        <v>#REF!</v>
      </c>
      <c r="AT1424" s="88" t="str">
        <f t="shared" si="112"/>
        <v>Special Order0</v>
      </c>
      <c r="AU1424" s="89" t="str">
        <f t="shared" si="113"/>
        <v>01-1900</v>
      </c>
      <c r="BA1424" s="92" t="str">
        <f t="shared" si="114"/>
        <v/>
      </c>
    </row>
    <row r="1425" spans="2:53">
      <c r="B1425" s="60">
        <f>[2]Trucks!A1422</f>
        <v>0</v>
      </c>
      <c r="C1425" s="11">
        <f>[2]Trucks!B1422</f>
        <v>0</v>
      </c>
      <c r="D1425" s="19" t="str">
        <f>IFERROR(VLOOKUP(C1425&amp;"",'[2]Retail Price List'!$A$3:$B$103,2,FALSE),"Special Order")</f>
        <v>Special Order</v>
      </c>
      <c r="E1425" s="18">
        <f>[2]Trucks!J1422</f>
        <v>0</v>
      </c>
      <c r="F1425" s="12">
        <f>[2]Trucks!E1422</f>
        <v>0</v>
      </c>
      <c r="G1425" s="56">
        <f>[2]Trucks!K1422</f>
        <v>0</v>
      </c>
      <c r="H1425" s="46">
        <f>[2]Trucks!I1422</f>
        <v>0</v>
      </c>
      <c r="I1425" s="83" t="str">
        <f t="shared" si="110"/>
        <v/>
      </c>
      <c r="J1425" s="272" t="str">
        <f>IFERROR(VLOOKUP((D1425&amp;C1425)&amp;"",'[2]Retail Price List'!$C$4:$F$102,3,FALSE),"")</f>
        <v/>
      </c>
      <c r="K1425" s="272">
        <f>IFERROR(IF(BA1425="WIP - 30 Days",VLOOKUP(D1425,[3]Standard!$B$9:$E$101,4,FALSE),IF(BA1425="31-120 Days",VLOOKUP(D1425,[3]Standard!$B$9:$F$101,5,FALSE),IF(BA1425="121-365 Days",VLOOKUP(D1425,[3]Standard!$B$9:$G$101,6,FALSE),VLOOKUP(D1425,[3]Standard!$B$9:$H$101,7,FALSE)))),0)</f>
        <v>0</v>
      </c>
      <c r="L1425" s="272">
        <f>IFERROR(IF(BA1425="WIP - 30 Days",VLOOKUP(D1425,[3]Standard!$B$9:$J$101,9,FALSE),IF(BA1425="31-120 Days",VLOOKUP(D1425,[3]Standard!$B$9:$K$100,10,FALSE),IF(BA1425="121-365 Days",VLOOKUP(D1425,[3]Standard!$B$9:$L$101,11,FALSE),VLOOKUP(D1425,[3]Standard!$B$9:$M$101,12,FALSE)))),0)</f>
        <v>0</v>
      </c>
      <c r="M1425" s="269" t="str">
        <f>IFERROR(VLOOKUP((D1425&amp;C1425)&amp;"",'[2]Retail Price List'!$C$4:$F$102,4,FALSE),"")</f>
        <v/>
      </c>
      <c r="N1425" s="269">
        <f>IFERROR(IF(BA1425="WIP - 30 Days",VLOOKUP(D1425,[3]Extended!$B$9:$E$101,4,FALSE),IF(BA1425="31-120 Days",VLOOKUP(D1425,[3]Extended!$B$9:$F$101,5,FALSE),IF(BA1425="121-365 Days",VLOOKUP(D1425,[3]Extended!$B$9:$G$101,6,FALSE),VLOOKUP(D1425,[3]Extended!$B$9:$H$101,7,FALSE)))),0)</f>
        <v>0</v>
      </c>
      <c r="O1425" s="269">
        <f>IFERROR(IF(BA1425="WIP - 30 Days",VLOOKUP(D1425,[3]Extended!$B$9:$J$101,9,FALSE),IF(BA1425="31-120 Days",VLOOKUP(D1425,[3]Extended!$B$9:$K$101,10,FALSE),IF(BA1425="121-365 Days",VLOOKUP(D1425,[3]Extended!$B$9:$L$101,11,FALSE),VLOOKUP(D1425,[3]Extended!$B$9:$M$101,12,FALSE)))),0)</f>
        <v>0</v>
      </c>
      <c r="P1425" s="116" t="e">
        <f t="shared" si="111"/>
        <v>#VALUE!</v>
      </c>
      <c r="Q1425" s="110" t="e">
        <f>O1425-#REF!</f>
        <v>#REF!</v>
      </c>
      <c r="AT1425" s="88" t="str">
        <f t="shared" si="112"/>
        <v>Special Order0</v>
      </c>
      <c r="AU1425" s="89" t="str">
        <f t="shared" si="113"/>
        <v>01-1900</v>
      </c>
      <c r="BA1425" s="92" t="str">
        <f t="shared" si="114"/>
        <v/>
      </c>
    </row>
    <row r="1426" spans="2:53">
      <c r="B1426" s="60">
        <f>[2]Trucks!A1423</f>
        <v>0</v>
      </c>
      <c r="C1426" s="11">
        <f>[2]Trucks!B1423</f>
        <v>0</v>
      </c>
      <c r="D1426" s="19" t="str">
        <f>IFERROR(VLOOKUP(C1426&amp;"",'[2]Retail Price List'!$A$3:$B$103,2,FALSE),"Special Order")</f>
        <v>Special Order</v>
      </c>
      <c r="E1426" s="18">
        <f>[2]Trucks!J1423</f>
        <v>0</v>
      </c>
      <c r="F1426" s="12">
        <f>[2]Trucks!E1423</f>
        <v>0</v>
      </c>
      <c r="G1426" s="56">
        <f>[2]Trucks!K1423</f>
        <v>0</v>
      </c>
      <c r="H1426" s="46">
        <f>[2]Trucks!I1423</f>
        <v>0</v>
      </c>
      <c r="I1426" s="83" t="str">
        <f t="shared" si="110"/>
        <v/>
      </c>
      <c r="J1426" s="272" t="str">
        <f>IFERROR(VLOOKUP((D1426&amp;C1426)&amp;"",'[2]Retail Price List'!$C$4:$F$102,3,FALSE),"")</f>
        <v/>
      </c>
      <c r="K1426" s="272">
        <f>IFERROR(IF(BA1426="WIP - 30 Days",VLOOKUP(D1426,[3]Standard!$B$9:$E$101,4,FALSE),IF(BA1426="31-120 Days",VLOOKUP(D1426,[3]Standard!$B$9:$F$101,5,FALSE),IF(BA1426="121-365 Days",VLOOKUP(D1426,[3]Standard!$B$9:$G$101,6,FALSE),VLOOKUP(D1426,[3]Standard!$B$9:$H$101,7,FALSE)))),0)</f>
        <v>0</v>
      </c>
      <c r="L1426" s="272">
        <f>IFERROR(IF(BA1426="WIP - 30 Days",VLOOKUP(D1426,[3]Standard!$B$9:$J$101,9,FALSE),IF(BA1426="31-120 Days",VLOOKUP(D1426,[3]Standard!$B$9:$K$100,10,FALSE),IF(BA1426="121-365 Days",VLOOKUP(D1426,[3]Standard!$B$9:$L$101,11,FALSE),VLOOKUP(D1426,[3]Standard!$B$9:$M$101,12,FALSE)))),0)</f>
        <v>0</v>
      </c>
      <c r="M1426" s="269" t="str">
        <f>IFERROR(VLOOKUP((D1426&amp;C1426)&amp;"",'[2]Retail Price List'!$C$4:$F$102,4,FALSE),"")</f>
        <v/>
      </c>
      <c r="N1426" s="269">
        <f>IFERROR(IF(BA1426="WIP - 30 Days",VLOOKUP(D1426,[3]Extended!$B$9:$E$101,4,FALSE),IF(BA1426="31-120 Days",VLOOKUP(D1426,[3]Extended!$B$9:$F$101,5,FALSE),IF(BA1426="121-365 Days",VLOOKUP(D1426,[3]Extended!$B$9:$G$101,6,FALSE),VLOOKUP(D1426,[3]Extended!$B$9:$H$101,7,FALSE)))),0)</f>
        <v>0</v>
      </c>
      <c r="O1426" s="269">
        <f>IFERROR(IF(BA1426="WIP - 30 Days",VLOOKUP(D1426,[3]Extended!$B$9:$J$101,9,FALSE),IF(BA1426="31-120 Days",VLOOKUP(D1426,[3]Extended!$B$9:$K$101,10,FALSE),IF(BA1426="121-365 Days",VLOOKUP(D1426,[3]Extended!$B$9:$L$101,11,FALSE),VLOOKUP(D1426,[3]Extended!$B$9:$M$101,12,FALSE)))),0)</f>
        <v>0</v>
      </c>
      <c r="P1426" s="116" t="e">
        <f t="shared" si="111"/>
        <v>#VALUE!</v>
      </c>
      <c r="Q1426" s="110" t="e">
        <f>O1426-#REF!</f>
        <v>#REF!</v>
      </c>
      <c r="AT1426" s="88" t="str">
        <f t="shared" si="112"/>
        <v>Special Order0</v>
      </c>
      <c r="AU1426" s="89" t="str">
        <f t="shared" si="113"/>
        <v>01-1900</v>
      </c>
      <c r="BA1426" s="92" t="str">
        <f t="shared" si="114"/>
        <v/>
      </c>
    </row>
    <row r="1427" spans="2:53">
      <c r="B1427" s="60">
        <f>[2]Trucks!A1424</f>
        <v>0</v>
      </c>
      <c r="C1427" s="11">
        <f>[2]Trucks!B1424</f>
        <v>0</v>
      </c>
      <c r="D1427" s="19" t="str">
        <f>IFERROR(VLOOKUP(C1427&amp;"",'[2]Retail Price List'!$A$3:$B$103,2,FALSE),"Special Order")</f>
        <v>Special Order</v>
      </c>
      <c r="E1427" s="18">
        <f>[2]Trucks!J1424</f>
        <v>0</v>
      </c>
      <c r="F1427" s="12">
        <f>[2]Trucks!E1424</f>
        <v>0</v>
      </c>
      <c r="G1427" s="56">
        <f>[2]Trucks!K1424</f>
        <v>0</v>
      </c>
      <c r="H1427" s="46">
        <f>[2]Trucks!I1424</f>
        <v>0</v>
      </c>
      <c r="I1427" s="83" t="str">
        <f t="shared" si="110"/>
        <v/>
      </c>
      <c r="J1427" s="272" t="str">
        <f>IFERROR(VLOOKUP((D1427&amp;C1427)&amp;"",'[2]Retail Price List'!$C$4:$F$102,3,FALSE),"")</f>
        <v/>
      </c>
      <c r="K1427" s="272">
        <f>IFERROR(IF(BA1427="WIP - 30 Days",VLOOKUP(D1427,[3]Standard!$B$9:$E$101,4,FALSE),IF(BA1427="31-120 Days",VLOOKUP(D1427,[3]Standard!$B$9:$F$101,5,FALSE),IF(BA1427="121-365 Days",VLOOKUP(D1427,[3]Standard!$B$9:$G$101,6,FALSE),VLOOKUP(D1427,[3]Standard!$B$9:$H$101,7,FALSE)))),0)</f>
        <v>0</v>
      </c>
      <c r="L1427" s="272">
        <f>IFERROR(IF(BA1427="WIP - 30 Days",VLOOKUP(D1427,[3]Standard!$B$9:$J$101,9,FALSE),IF(BA1427="31-120 Days",VLOOKUP(D1427,[3]Standard!$B$9:$K$100,10,FALSE),IF(BA1427="121-365 Days",VLOOKUP(D1427,[3]Standard!$B$9:$L$101,11,FALSE),VLOOKUP(D1427,[3]Standard!$B$9:$M$101,12,FALSE)))),0)</f>
        <v>0</v>
      </c>
      <c r="M1427" s="269" t="str">
        <f>IFERROR(VLOOKUP((D1427&amp;C1427)&amp;"",'[2]Retail Price List'!$C$4:$F$102,4,FALSE),"")</f>
        <v/>
      </c>
      <c r="N1427" s="269">
        <f>IFERROR(IF(BA1427="WIP - 30 Days",VLOOKUP(D1427,[3]Extended!$B$9:$E$101,4,FALSE),IF(BA1427="31-120 Days",VLOOKUP(D1427,[3]Extended!$B$9:$F$101,5,FALSE),IF(BA1427="121-365 Days",VLOOKUP(D1427,[3]Extended!$B$9:$G$101,6,FALSE),VLOOKUP(D1427,[3]Extended!$B$9:$H$101,7,FALSE)))),0)</f>
        <v>0</v>
      </c>
      <c r="O1427" s="269">
        <f>IFERROR(IF(BA1427="WIP - 30 Days",VLOOKUP(D1427,[3]Extended!$B$9:$J$101,9,FALSE),IF(BA1427="31-120 Days",VLOOKUP(D1427,[3]Extended!$B$9:$K$101,10,FALSE),IF(BA1427="121-365 Days",VLOOKUP(D1427,[3]Extended!$B$9:$L$101,11,FALSE),VLOOKUP(D1427,[3]Extended!$B$9:$M$101,12,FALSE)))),0)</f>
        <v>0</v>
      </c>
      <c r="P1427" s="116" t="e">
        <f t="shared" si="111"/>
        <v>#VALUE!</v>
      </c>
      <c r="Q1427" s="110" t="e">
        <f>O1427-#REF!</f>
        <v>#REF!</v>
      </c>
      <c r="AT1427" s="88" t="str">
        <f t="shared" si="112"/>
        <v>Special Order0</v>
      </c>
      <c r="AU1427" s="89" t="str">
        <f t="shared" si="113"/>
        <v>01-1900</v>
      </c>
      <c r="BA1427" s="92" t="str">
        <f t="shared" si="114"/>
        <v/>
      </c>
    </row>
    <row r="1428" spans="2:53">
      <c r="B1428" s="60">
        <f>[2]Trucks!A1425</f>
        <v>0</v>
      </c>
      <c r="C1428" s="11">
        <f>[2]Trucks!B1425</f>
        <v>0</v>
      </c>
      <c r="D1428" s="19" t="str">
        <f>IFERROR(VLOOKUP(C1428&amp;"",'[2]Retail Price List'!$A$3:$B$103,2,FALSE),"Special Order")</f>
        <v>Special Order</v>
      </c>
      <c r="E1428" s="18">
        <f>[2]Trucks!J1425</f>
        <v>0</v>
      </c>
      <c r="F1428" s="12">
        <f>[2]Trucks!E1425</f>
        <v>0</v>
      </c>
      <c r="G1428" s="56">
        <f>[2]Trucks!K1425</f>
        <v>0</v>
      </c>
      <c r="H1428" s="46">
        <f>[2]Trucks!I1425</f>
        <v>0</v>
      </c>
      <c r="I1428" s="83" t="str">
        <f t="shared" si="110"/>
        <v/>
      </c>
      <c r="J1428" s="272" t="str">
        <f>IFERROR(VLOOKUP((D1428&amp;C1428)&amp;"",'[2]Retail Price List'!$C$4:$F$102,3,FALSE),"")</f>
        <v/>
      </c>
      <c r="K1428" s="272">
        <f>IFERROR(IF(BA1428="WIP - 30 Days",VLOOKUP(D1428,[3]Standard!$B$9:$E$101,4,FALSE),IF(BA1428="31-120 Days",VLOOKUP(D1428,[3]Standard!$B$9:$F$101,5,FALSE),IF(BA1428="121-365 Days",VLOOKUP(D1428,[3]Standard!$B$9:$G$101,6,FALSE),VLOOKUP(D1428,[3]Standard!$B$9:$H$101,7,FALSE)))),0)</f>
        <v>0</v>
      </c>
      <c r="L1428" s="272">
        <f>IFERROR(IF(BA1428="WIP - 30 Days",VLOOKUP(D1428,[3]Standard!$B$9:$J$101,9,FALSE),IF(BA1428="31-120 Days",VLOOKUP(D1428,[3]Standard!$B$9:$K$100,10,FALSE),IF(BA1428="121-365 Days",VLOOKUP(D1428,[3]Standard!$B$9:$L$101,11,FALSE),VLOOKUP(D1428,[3]Standard!$B$9:$M$101,12,FALSE)))),0)</f>
        <v>0</v>
      </c>
      <c r="M1428" s="269" t="str">
        <f>IFERROR(VLOOKUP((D1428&amp;C1428)&amp;"",'[2]Retail Price List'!$C$4:$F$102,4,FALSE),"")</f>
        <v/>
      </c>
      <c r="N1428" s="269">
        <f>IFERROR(IF(BA1428="WIP - 30 Days",VLOOKUP(D1428,[3]Extended!$B$9:$E$101,4,FALSE),IF(BA1428="31-120 Days",VLOOKUP(D1428,[3]Extended!$B$9:$F$101,5,FALSE),IF(BA1428="121-365 Days",VLOOKUP(D1428,[3]Extended!$B$9:$G$101,6,FALSE),VLOOKUP(D1428,[3]Extended!$B$9:$H$101,7,FALSE)))),0)</f>
        <v>0</v>
      </c>
      <c r="O1428" s="269">
        <f>IFERROR(IF(BA1428="WIP - 30 Days",VLOOKUP(D1428,[3]Extended!$B$9:$J$101,9,FALSE),IF(BA1428="31-120 Days",VLOOKUP(D1428,[3]Extended!$B$9:$K$101,10,FALSE),IF(BA1428="121-365 Days",VLOOKUP(D1428,[3]Extended!$B$9:$L$101,11,FALSE),VLOOKUP(D1428,[3]Extended!$B$9:$M$101,12,FALSE)))),0)</f>
        <v>0</v>
      </c>
      <c r="P1428" s="116" t="e">
        <f t="shared" si="111"/>
        <v>#VALUE!</v>
      </c>
      <c r="Q1428" s="110" t="e">
        <f>O1428-#REF!</f>
        <v>#REF!</v>
      </c>
      <c r="AT1428" s="88" t="str">
        <f t="shared" si="112"/>
        <v>Special Order0</v>
      </c>
      <c r="AU1428" s="89" t="str">
        <f t="shared" si="113"/>
        <v>01-1900</v>
      </c>
      <c r="BA1428" s="92" t="str">
        <f t="shared" si="114"/>
        <v/>
      </c>
    </row>
    <row r="1429" spans="2:53">
      <c r="B1429" s="60">
        <f>[2]Trucks!A1426</f>
        <v>0</v>
      </c>
      <c r="C1429" s="11">
        <f>[2]Trucks!B1426</f>
        <v>0</v>
      </c>
      <c r="D1429" s="19" t="str">
        <f>IFERROR(VLOOKUP(C1429&amp;"",'[2]Retail Price List'!$A$3:$B$103,2,FALSE),"Special Order")</f>
        <v>Special Order</v>
      </c>
      <c r="E1429" s="18">
        <f>[2]Trucks!J1426</f>
        <v>0</v>
      </c>
      <c r="F1429" s="12">
        <f>[2]Trucks!E1426</f>
        <v>0</v>
      </c>
      <c r="G1429" s="56">
        <f>[2]Trucks!K1426</f>
        <v>0</v>
      </c>
      <c r="H1429" s="46">
        <f>[2]Trucks!I1426</f>
        <v>0</v>
      </c>
      <c r="I1429" s="83" t="str">
        <f t="shared" si="110"/>
        <v/>
      </c>
      <c r="J1429" s="272" t="str">
        <f>IFERROR(VLOOKUP((D1429&amp;C1429)&amp;"",'[2]Retail Price List'!$C$4:$F$102,3,FALSE),"")</f>
        <v/>
      </c>
      <c r="K1429" s="272">
        <f>IFERROR(IF(BA1429="WIP - 30 Days",VLOOKUP(D1429,[3]Standard!$B$9:$E$101,4,FALSE),IF(BA1429="31-120 Days",VLOOKUP(D1429,[3]Standard!$B$9:$F$101,5,FALSE),IF(BA1429="121-365 Days",VLOOKUP(D1429,[3]Standard!$B$9:$G$101,6,FALSE),VLOOKUP(D1429,[3]Standard!$B$9:$H$101,7,FALSE)))),0)</f>
        <v>0</v>
      </c>
      <c r="L1429" s="272">
        <f>IFERROR(IF(BA1429="WIP - 30 Days",VLOOKUP(D1429,[3]Standard!$B$9:$J$101,9,FALSE),IF(BA1429="31-120 Days",VLOOKUP(D1429,[3]Standard!$B$9:$K$100,10,FALSE),IF(BA1429="121-365 Days",VLOOKUP(D1429,[3]Standard!$B$9:$L$101,11,FALSE),VLOOKUP(D1429,[3]Standard!$B$9:$M$101,12,FALSE)))),0)</f>
        <v>0</v>
      </c>
      <c r="M1429" s="269" t="str">
        <f>IFERROR(VLOOKUP((D1429&amp;C1429)&amp;"",'[2]Retail Price List'!$C$4:$F$102,4,FALSE),"")</f>
        <v/>
      </c>
      <c r="N1429" s="269">
        <f>IFERROR(IF(BA1429="WIP - 30 Days",VLOOKUP(D1429,[3]Extended!$B$9:$E$101,4,FALSE),IF(BA1429="31-120 Days",VLOOKUP(D1429,[3]Extended!$B$9:$F$101,5,FALSE),IF(BA1429="121-365 Days",VLOOKUP(D1429,[3]Extended!$B$9:$G$101,6,FALSE),VLOOKUP(D1429,[3]Extended!$B$9:$H$101,7,FALSE)))),0)</f>
        <v>0</v>
      </c>
      <c r="O1429" s="269">
        <f>IFERROR(IF(BA1429="WIP - 30 Days",VLOOKUP(D1429,[3]Extended!$B$9:$J$101,9,FALSE),IF(BA1429="31-120 Days",VLOOKUP(D1429,[3]Extended!$B$9:$K$101,10,FALSE),IF(BA1429="121-365 Days",VLOOKUP(D1429,[3]Extended!$B$9:$L$101,11,FALSE),VLOOKUP(D1429,[3]Extended!$B$9:$M$101,12,FALSE)))),0)</f>
        <v>0</v>
      </c>
      <c r="P1429" s="116" t="e">
        <f t="shared" si="111"/>
        <v>#VALUE!</v>
      </c>
      <c r="Q1429" s="110" t="e">
        <f>O1429-#REF!</f>
        <v>#REF!</v>
      </c>
      <c r="AT1429" s="88" t="str">
        <f t="shared" si="112"/>
        <v>Special Order0</v>
      </c>
      <c r="AU1429" s="89" t="str">
        <f t="shared" si="113"/>
        <v>01-1900</v>
      </c>
      <c r="BA1429" s="92" t="str">
        <f t="shared" si="114"/>
        <v/>
      </c>
    </row>
    <row r="1430" spans="2:53">
      <c r="B1430" s="60">
        <f>[2]Trucks!A1427</f>
        <v>0</v>
      </c>
      <c r="C1430" s="11">
        <f>[2]Trucks!B1427</f>
        <v>0</v>
      </c>
      <c r="D1430" s="19" t="str">
        <f>IFERROR(VLOOKUP(C1430&amp;"",'[2]Retail Price List'!$A$3:$B$103,2,FALSE),"Special Order")</f>
        <v>Special Order</v>
      </c>
      <c r="E1430" s="18">
        <f>[2]Trucks!J1427</f>
        <v>0</v>
      </c>
      <c r="F1430" s="12">
        <f>[2]Trucks!E1427</f>
        <v>0</v>
      </c>
      <c r="G1430" s="56">
        <f>[2]Trucks!K1427</f>
        <v>0</v>
      </c>
      <c r="H1430" s="46">
        <f>[2]Trucks!I1427</f>
        <v>0</v>
      </c>
      <c r="I1430" s="83" t="str">
        <f t="shared" si="110"/>
        <v/>
      </c>
      <c r="J1430" s="272" t="str">
        <f>IFERROR(VLOOKUP((D1430&amp;C1430)&amp;"",'[2]Retail Price List'!$C$4:$F$102,3,FALSE),"")</f>
        <v/>
      </c>
      <c r="K1430" s="272">
        <f>IFERROR(IF(BA1430="WIP - 30 Days",VLOOKUP(D1430,[3]Standard!$B$9:$E$101,4,FALSE),IF(BA1430="31-120 Days",VLOOKUP(D1430,[3]Standard!$B$9:$F$101,5,FALSE),IF(BA1430="121-365 Days",VLOOKUP(D1430,[3]Standard!$B$9:$G$101,6,FALSE),VLOOKUP(D1430,[3]Standard!$B$9:$H$101,7,FALSE)))),0)</f>
        <v>0</v>
      </c>
      <c r="L1430" s="272">
        <f>IFERROR(IF(BA1430="WIP - 30 Days",VLOOKUP(D1430,[3]Standard!$B$9:$J$101,9,FALSE),IF(BA1430="31-120 Days",VLOOKUP(D1430,[3]Standard!$B$9:$K$100,10,FALSE),IF(BA1430="121-365 Days",VLOOKUP(D1430,[3]Standard!$B$9:$L$101,11,FALSE),VLOOKUP(D1430,[3]Standard!$B$9:$M$101,12,FALSE)))),0)</f>
        <v>0</v>
      </c>
      <c r="M1430" s="269" t="str">
        <f>IFERROR(VLOOKUP((D1430&amp;C1430)&amp;"",'[2]Retail Price List'!$C$4:$F$102,4,FALSE),"")</f>
        <v/>
      </c>
      <c r="N1430" s="269">
        <f>IFERROR(IF(BA1430="WIP - 30 Days",VLOOKUP(D1430,[3]Extended!$B$9:$E$101,4,FALSE),IF(BA1430="31-120 Days",VLOOKUP(D1430,[3]Extended!$B$9:$F$101,5,FALSE),IF(BA1430="121-365 Days",VLOOKUP(D1430,[3]Extended!$B$9:$G$101,6,FALSE),VLOOKUP(D1430,[3]Extended!$B$9:$H$101,7,FALSE)))),0)</f>
        <v>0</v>
      </c>
      <c r="O1430" s="269">
        <f>IFERROR(IF(BA1430="WIP - 30 Days",VLOOKUP(D1430,[3]Extended!$B$9:$J$101,9,FALSE),IF(BA1430="31-120 Days",VLOOKUP(D1430,[3]Extended!$B$9:$K$101,10,FALSE),IF(BA1430="121-365 Days",VLOOKUP(D1430,[3]Extended!$B$9:$L$101,11,FALSE),VLOOKUP(D1430,[3]Extended!$B$9:$M$101,12,FALSE)))),0)</f>
        <v>0</v>
      </c>
      <c r="P1430" s="116" t="e">
        <f t="shared" si="111"/>
        <v>#VALUE!</v>
      </c>
      <c r="Q1430" s="110" t="e">
        <f>O1430-#REF!</f>
        <v>#REF!</v>
      </c>
      <c r="AT1430" s="88" t="str">
        <f t="shared" si="112"/>
        <v>Special Order0</v>
      </c>
      <c r="AU1430" s="89" t="str">
        <f t="shared" si="113"/>
        <v>01-1900</v>
      </c>
      <c r="BA1430" s="92" t="str">
        <f t="shared" si="114"/>
        <v/>
      </c>
    </row>
    <row r="1431" spans="2:53">
      <c r="B1431" s="60">
        <f>[2]Trucks!A1428</f>
        <v>0</v>
      </c>
      <c r="C1431" s="11">
        <f>[2]Trucks!B1428</f>
        <v>0</v>
      </c>
      <c r="D1431" s="19" t="str">
        <f>IFERROR(VLOOKUP(C1431&amp;"",'[2]Retail Price List'!$A$3:$B$103,2,FALSE),"Special Order")</f>
        <v>Special Order</v>
      </c>
      <c r="E1431" s="18">
        <f>[2]Trucks!J1428</f>
        <v>0</v>
      </c>
      <c r="F1431" s="12">
        <f>[2]Trucks!E1428</f>
        <v>0</v>
      </c>
      <c r="G1431" s="56">
        <f>[2]Trucks!K1428</f>
        <v>0</v>
      </c>
      <c r="H1431" s="46">
        <f>[2]Trucks!I1428</f>
        <v>0</v>
      </c>
      <c r="I1431" s="83" t="str">
        <f t="shared" si="110"/>
        <v/>
      </c>
      <c r="J1431" s="272" t="str">
        <f>IFERROR(VLOOKUP((D1431&amp;C1431)&amp;"",'[2]Retail Price List'!$C$4:$F$102,3,FALSE),"")</f>
        <v/>
      </c>
      <c r="K1431" s="272">
        <f>IFERROR(IF(BA1431="WIP - 30 Days",VLOOKUP(D1431,[3]Standard!$B$9:$E$101,4,FALSE),IF(BA1431="31-120 Days",VLOOKUP(D1431,[3]Standard!$B$9:$F$101,5,FALSE),IF(BA1431="121-365 Days",VLOOKUP(D1431,[3]Standard!$B$9:$G$101,6,FALSE),VLOOKUP(D1431,[3]Standard!$B$9:$H$101,7,FALSE)))),0)</f>
        <v>0</v>
      </c>
      <c r="L1431" s="272">
        <f>IFERROR(IF(BA1431="WIP - 30 Days",VLOOKUP(D1431,[3]Standard!$B$9:$J$101,9,FALSE),IF(BA1431="31-120 Days",VLOOKUP(D1431,[3]Standard!$B$9:$K$100,10,FALSE),IF(BA1431="121-365 Days",VLOOKUP(D1431,[3]Standard!$B$9:$L$101,11,FALSE),VLOOKUP(D1431,[3]Standard!$B$9:$M$101,12,FALSE)))),0)</f>
        <v>0</v>
      </c>
      <c r="M1431" s="269" t="str">
        <f>IFERROR(VLOOKUP((D1431&amp;C1431)&amp;"",'[2]Retail Price List'!$C$4:$F$102,4,FALSE),"")</f>
        <v/>
      </c>
      <c r="N1431" s="269">
        <f>IFERROR(IF(BA1431="WIP - 30 Days",VLOOKUP(D1431,[3]Extended!$B$9:$E$101,4,FALSE),IF(BA1431="31-120 Days",VLOOKUP(D1431,[3]Extended!$B$9:$F$101,5,FALSE),IF(BA1431="121-365 Days",VLOOKUP(D1431,[3]Extended!$B$9:$G$101,6,FALSE),VLOOKUP(D1431,[3]Extended!$B$9:$H$101,7,FALSE)))),0)</f>
        <v>0</v>
      </c>
      <c r="O1431" s="269">
        <f>IFERROR(IF(BA1431="WIP - 30 Days",VLOOKUP(D1431,[3]Extended!$B$9:$J$101,9,FALSE),IF(BA1431="31-120 Days",VLOOKUP(D1431,[3]Extended!$B$9:$K$101,10,FALSE),IF(BA1431="121-365 Days",VLOOKUP(D1431,[3]Extended!$B$9:$L$101,11,FALSE),VLOOKUP(D1431,[3]Extended!$B$9:$M$101,12,FALSE)))),0)</f>
        <v>0</v>
      </c>
      <c r="P1431" s="116" t="e">
        <f t="shared" si="111"/>
        <v>#VALUE!</v>
      </c>
      <c r="Q1431" s="110" t="e">
        <f>O1431-#REF!</f>
        <v>#REF!</v>
      </c>
      <c r="AT1431" s="88" t="str">
        <f t="shared" si="112"/>
        <v>Special Order0</v>
      </c>
      <c r="AU1431" s="89" t="str">
        <f t="shared" si="113"/>
        <v>01-1900</v>
      </c>
      <c r="BA1431" s="92" t="str">
        <f t="shared" si="114"/>
        <v/>
      </c>
    </row>
    <row r="1432" spans="2:53">
      <c r="B1432" s="60">
        <f>[2]Trucks!A1429</f>
        <v>0</v>
      </c>
      <c r="C1432" s="11">
        <f>[2]Trucks!B1429</f>
        <v>0</v>
      </c>
      <c r="D1432" s="19" t="str">
        <f>IFERROR(VLOOKUP(C1432&amp;"",'[2]Retail Price List'!$A$3:$B$103,2,FALSE),"Special Order")</f>
        <v>Special Order</v>
      </c>
      <c r="E1432" s="18">
        <f>[2]Trucks!J1429</f>
        <v>0</v>
      </c>
      <c r="F1432" s="12">
        <f>[2]Trucks!E1429</f>
        <v>0</v>
      </c>
      <c r="G1432" s="56">
        <f>[2]Trucks!K1429</f>
        <v>0</v>
      </c>
      <c r="H1432" s="46">
        <f>[2]Trucks!I1429</f>
        <v>0</v>
      </c>
      <c r="I1432" s="83" t="str">
        <f t="shared" si="110"/>
        <v/>
      </c>
      <c r="J1432" s="272" t="str">
        <f>IFERROR(VLOOKUP((D1432&amp;C1432)&amp;"",'[2]Retail Price List'!$C$4:$F$102,3,FALSE),"")</f>
        <v/>
      </c>
      <c r="K1432" s="272">
        <f>IFERROR(IF(BA1432="WIP - 30 Days",VLOOKUP(D1432,[3]Standard!$B$9:$E$101,4,FALSE),IF(BA1432="31-120 Days",VLOOKUP(D1432,[3]Standard!$B$9:$F$101,5,FALSE),IF(BA1432="121-365 Days",VLOOKUP(D1432,[3]Standard!$B$9:$G$101,6,FALSE),VLOOKUP(D1432,[3]Standard!$B$9:$H$101,7,FALSE)))),0)</f>
        <v>0</v>
      </c>
      <c r="L1432" s="272">
        <f>IFERROR(IF(BA1432="WIP - 30 Days",VLOOKUP(D1432,[3]Standard!$B$9:$J$101,9,FALSE),IF(BA1432="31-120 Days",VLOOKUP(D1432,[3]Standard!$B$9:$K$100,10,FALSE),IF(BA1432="121-365 Days",VLOOKUP(D1432,[3]Standard!$B$9:$L$101,11,FALSE),VLOOKUP(D1432,[3]Standard!$B$9:$M$101,12,FALSE)))),0)</f>
        <v>0</v>
      </c>
      <c r="M1432" s="269" t="str">
        <f>IFERROR(VLOOKUP((D1432&amp;C1432)&amp;"",'[2]Retail Price List'!$C$4:$F$102,4,FALSE),"")</f>
        <v/>
      </c>
      <c r="N1432" s="269">
        <f>IFERROR(IF(BA1432="WIP - 30 Days",VLOOKUP(D1432,[3]Extended!$B$9:$E$101,4,FALSE),IF(BA1432="31-120 Days",VLOOKUP(D1432,[3]Extended!$B$9:$F$101,5,FALSE),IF(BA1432="121-365 Days",VLOOKUP(D1432,[3]Extended!$B$9:$G$101,6,FALSE),VLOOKUP(D1432,[3]Extended!$B$9:$H$101,7,FALSE)))),0)</f>
        <v>0</v>
      </c>
      <c r="O1432" s="269">
        <f>IFERROR(IF(BA1432="WIP - 30 Days",VLOOKUP(D1432,[3]Extended!$B$9:$J$101,9,FALSE),IF(BA1432="31-120 Days",VLOOKUP(D1432,[3]Extended!$B$9:$K$101,10,FALSE),IF(BA1432="121-365 Days",VLOOKUP(D1432,[3]Extended!$B$9:$L$101,11,FALSE),VLOOKUP(D1432,[3]Extended!$B$9:$M$101,12,FALSE)))),0)</f>
        <v>0</v>
      </c>
      <c r="P1432" s="116" t="e">
        <f t="shared" si="111"/>
        <v>#VALUE!</v>
      </c>
      <c r="Q1432" s="110" t="e">
        <f>O1432-#REF!</f>
        <v>#REF!</v>
      </c>
      <c r="AT1432" s="88" t="str">
        <f t="shared" si="112"/>
        <v>Special Order0</v>
      </c>
      <c r="AU1432" s="89" t="str">
        <f t="shared" si="113"/>
        <v>01-1900</v>
      </c>
      <c r="BA1432" s="92" t="str">
        <f t="shared" si="114"/>
        <v/>
      </c>
    </row>
    <row r="1433" spans="2:53">
      <c r="B1433" s="60">
        <f>[2]Trucks!A1430</f>
        <v>0</v>
      </c>
      <c r="C1433" s="11">
        <f>[2]Trucks!B1430</f>
        <v>0</v>
      </c>
      <c r="D1433" s="19" t="str">
        <f>IFERROR(VLOOKUP(C1433&amp;"",'[2]Retail Price List'!$A$3:$B$103,2,FALSE),"Special Order")</f>
        <v>Special Order</v>
      </c>
      <c r="E1433" s="18">
        <f>[2]Trucks!J1430</f>
        <v>0</v>
      </c>
      <c r="F1433" s="12">
        <f>[2]Trucks!E1430</f>
        <v>0</v>
      </c>
      <c r="G1433" s="56">
        <f>[2]Trucks!K1430</f>
        <v>0</v>
      </c>
      <c r="H1433" s="46">
        <f>[2]Trucks!I1430</f>
        <v>0</v>
      </c>
      <c r="I1433" s="83" t="str">
        <f t="shared" si="110"/>
        <v/>
      </c>
      <c r="J1433" s="272" t="str">
        <f>IFERROR(VLOOKUP((D1433&amp;C1433)&amp;"",'[2]Retail Price List'!$C$4:$F$102,3,FALSE),"")</f>
        <v/>
      </c>
      <c r="K1433" s="272">
        <f>IFERROR(IF(BA1433="WIP - 30 Days",VLOOKUP(D1433,[3]Standard!$B$9:$E$101,4,FALSE),IF(BA1433="31-120 Days",VLOOKUP(D1433,[3]Standard!$B$9:$F$101,5,FALSE),IF(BA1433="121-365 Days",VLOOKUP(D1433,[3]Standard!$B$9:$G$101,6,FALSE),VLOOKUP(D1433,[3]Standard!$B$9:$H$101,7,FALSE)))),0)</f>
        <v>0</v>
      </c>
      <c r="L1433" s="272">
        <f>IFERROR(IF(BA1433="WIP - 30 Days",VLOOKUP(D1433,[3]Standard!$B$9:$J$101,9,FALSE),IF(BA1433="31-120 Days",VLOOKUP(D1433,[3]Standard!$B$9:$K$100,10,FALSE),IF(BA1433="121-365 Days",VLOOKUP(D1433,[3]Standard!$B$9:$L$101,11,FALSE),VLOOKUP(D1433,[3]Standard!$B$9:$M$101,12,FALSE)))),0)</f>
        <v>0</v>
      </c>
      <c r="M1433" s="269" t="str">
        <f>IFERROR(VLOOKUP((D1433&amp;C1433)&amp;"",'[2]Retail Price List'!$C$4:$F$102,4,FALSE),"")</f>
        <v/>
      </c>
      <c r="N1433" s="269">
        <f>IFERROR(IF(BA1433="WIP - 30 Days",VLOOKUP(D1433,[3]Extended!$B$9:$E$101,4,FALSE),IF(BA1433="31-120 Days",VLOOKUP(D1433,[3]Extended!$B$9:$F$101,5,FALSE),IF(BA1433="121-365 Days",VLOOKUP(D1433,[3]Extended!$B$9:$G$101,6,FALSE),VLOOKUP(D1433,[3]Extended!$B$9:$H$101,7,FALSE)))),0)</f>
        <v>0</v>
      </c>
      <c r="O1433" s="269">
        <f>IFERROR(IF(BA1433="WIP - 30 Days",VLOOKUP(D1433,[3]Extended!$B$9:$J$101,9,FALSE),IF(BA1433="31-120 Days",VLOOKUP(D1433,[3]Extended!$B$9:$K$101,10,FALSE),IF(BA1433="121-365 Days",VLOOKUP(D1433,[3]Extended!$B$9:$L$101,11,FALSE),VLOOKUP(D1433,[3]Extended!$B$9:$M$101,12,FALSE)))),0)</f>
        <v>0</v>
      </c>
      <c r="P1433" s="116" t="e">
        <f t="shared" si="111"/>
        <v>#VALUE!</v>
      </c>
      <c r="Q1433" s="110" t="e">
        <f>O1433-#REF!</f>
        <v>#REF!</v>
      </c>
      <c r="AT1433" s="88" t="str">
        <f t="shared" si="112"/>
        <v>Special Order0</v>
      </c>
      <c r="AU1433" s="89" t="str">
        <f t="shared" si="113"/>
        <v>01-1900</v>
      </c>
      <c r="BA1433" s="92" t="str">
        <f t="shared" si="114"/>
        <v/>
      </c>
    </row>
    <row r="1434" spans="2:53">
      <c r="B1434" s="60">
        <f>[2]Trucks!A1431</f>
        <v>0</v>
      </c>
      <c r="C1434" s="11">
        <f>[2]Trucks!B1431</f>
        <v>0</v>
      </c>
      <c r="D1434" s="19" t="str">
        <f>IFERROR(VLOOKUP(C1434&amp;"",'[2]Retail Price List'!$A$3:$B$103,2,FALSE),"Special Order")</f>
        <v>Special Order</v>
      </c>
      <c r="E1434" s="18">
        <f>[2]Trucks!J1431</f>
        <v>0</v>
      </c>
      <c r="F1434" s="12">
        <f>[2]Trucks!E1431</f>
        <v>0</v>
      </c>
      <c r="G1434" s="56">
        <f>[2]Trucks!K1431</f>
        <v>0</v>
      </c>
      <c r="H1434" s="46">
        <f>[2]Trucks!I1431</f>
        <v>0</v>
      </c>
      <c r="I1434" s="83" t="str">
        <f t="shared" si="110"/>
        <v/>
      </c>
      <c r="J1434" s="272" t="str">
        <f>IFERROR(VLOOKUP((D1434&amp;C1434)&amp;"",'[2]Retail Price List'!$C$4:$F$102,3,FALSE),"")</f>
        <v/>
      </c>
      <c r="K1434" s="272">
        <f>IFERROR(IF(BA1434="WIP - 30 Days",VLOOKUP(D1434,[3]Standard!$B$9:$E$101,4,FALSE),IF(BA1434="31-120 Days",VLOOKUP(D1434,[3]Standard!$B$9:$F$101,5,FALSE),IF(BA1434="121-365 Days",VLOOKUP(D1434,[3]Standard!$B$9:$G$101,6,FALSE),VLOOKUP(D1434,[3]Standard!$B$9:$H$101,7,FALSE)))),0)</f>
        <v>0</v>
      </c>
      <c r="L1434" s="272">
        <f>IFERROR(IF(BA1434="WIP - 30 Days",VLOOKUP(D1434,[3]Standard!$B$9:$J$101,9,FALSE),IF(BA1434="31-120 Days",VLOOKUP(D1434,[3]Standard!$B$9:$K$100,10,FALSE),IF(BA1434="121-365 Days",VLOOKUP(D1434,[3]Standard!$B$9:$L$101,11,FALSE),VLOOKUP(D1434,[3]Standard!$B$9:$M$101,12,FALSE)))),0)</f>
        <v>0</v>
      </c>
      <c r="M1434" s="269" t="str">
        <f>IFERROR(VLOOKUP((D1434&amp;C1434)&amp;"",'[2]Retail Price List'!$C$4:$F$102,4,FALSE),"")</f>
        <v/>
      </c>
      <c r="N1434" s="269">
        <f>IFERROR(IF(BA1434="WIP - 30 Days",VLOOKUP(D1434,[3]Extended!$B$9:$E$101,4,FALSE),IF(BA1434="31-120 Days",VLOOKUP(D1434,[3]Extended!$B$9:$F$101,5,FALSE),IF(BA1434="121-365 Days",VLOOKUP(D1434,[3]Extended!$B$9:$G$101,6,FALSE),VLOOKUP(D1434,[3]Extended!$B$9:$H$101,7,FALSE)))),0)</f>
        <v>0</v>
      </c>
      <c r="O1434" s="269">
        <f>IFERROR(IF(BA1434="WIP - 30 Days",VLOOKUP(D1434,[3]Extended!$B$9:$J$101,9,FALSE),IF(BA1434="31-120 Days",VLOOKUP(D1434,[3]Extended!$B$9:$K$101,10,FALSE),IF(BA1434="121-365 Days",VLOOKUP(D1434,[3]Extended!$B$9:$L$101,11,FALSE),VLOOKUP(D1434,[3]Extended!$B$9:$M$101,12,FALSE)))),0)</f>
        <v>0</v>
      </c>
      <c r="P1434" s="116" t="e">
        <f t="shared" si="111"/>
        <v>#VALUE!</v>
      </c>
      <c r="Q1434" s="110" t="e">
        <f>O1434-#REF!</f>
        <v>#REF!</v>
      </c>
      <c r="AT1434" s="88" t="str">
        <f t="shared" si="112"/>
        <v>Special Order0</v>
      </c>
      <c r="AU1434" s="89" t="str">
        <f t="shared" si="113"/>
        <v>01-1900</v>
      </c>
      <c r="BA1434" s="92" t="str">
        <f t="shared" si="114"/>
        <v/>
      </c>
    </row>
    <row r="1435" spans="2:53">
      <c r="B1435" s="60">
        <f>[2]Trucks!A1432</f>
        <v>0</v>
      </c>
      <c r="C1435" s="11">
        <f>[2]Trucks!B1432</f>
        <v>0</v>
      </c>
      <c r="D1435" s="19" t="str">
        <f>IFERROR(VLOOKUP(C1435&amp;"",'[2]Retail Price List'!$A$3:$B$103,2,FALSE),"Special Order")</f>
        <v>Special Order</v>
      </c>
      <c r="E1435" s="18">
        <f>[2]Trucks!J1432</f>
        <v>0</v>
      </c>
      <c r="F1435" s="12">
        <f>[2]Trucks!E1432</f>
        <v>0</v>
      </c>
      <c r="G1435" s="56">
        <f>[2]Trucks!K1432</f>
        <v>0</v>
      </c>
      <c r="H1435" s="46">
        <f>[2]Trucks!I1432</f>
        <v>0</v>
      </c>
      <c r="I1435" s="83" t="str">
        <f t="shared" si="110"/>
        <v/>
      </c>
      <c r="J1435" s="272" t="str">
        <f>IFERROR(VLOOKUP((D1435&amp;C1435)&amp;"",'[2]Retail Price List'!$C$4:$F$102,3,FALSE),"")</f>
        <v/>
      </c>
      <c r="K1435" s="272">
        <f>IFERROR(IF(BA1435="WIP - 30 Days",VLOOKUP(D1435,[3]Standard!$B$9:$E$101,4,FALSE),IF(BA1435="31-120 Days",VLOOKUP(D1435,[3]Standard!$B$9:$F$101,5,FALSE),IF(BA1435="121-365 Days",VLOOKUP(D1435,[3]Standard!$B$9:$G$101,6,FALSE),VLOOKUP(D1435,[3]Standard!$B$9:$H$101,7,FALSE)))),0)</f>
        <v>0</v>
      </c>
      <c r="L1435" s="272">
        <f>IFERROR(IF(BA1435="WIP - 30 Days",VLOOKUP(D1435,[3]Standard!$B$9:$J$101,9,FALSE),IF(BA1435="31-120 Days",VLOOKUP(D1435,[3]Standard!$B$9:$K$100,10,FALSE),IF(BA1435="121-365 Days",VLOOKUP(D1435,[3]Standard!$B$9:$L$101,11,FALSE),VLOOKUP(D1435,[3]Standard!$B$9:$M$101,12,FALSE)))),0)</f>
        <v>0</v>
      </c>
      <c r="M1435" s="269" t="str">
        <f>IFERROR(VLOOKUP((D1435&amp;C1435)&amp;"",'[2]Retail Price List'!$C$4:$F$102,4,FALSE),"")</f>
        <v/>
      </c>
      <c r="N1435" s="269">
        <f>IFERROR(IF(BA1435="WIP - 30 Days",VLOOKUP(D1435,[3]Extended!$B$9:$E$101,4,FALSE),IF(BA1435="31-120 Days",VLOOKUP(D1435,[3]Extended!$B$9:$F$101,5,FALSE),IF(BA1435="121-365 Days",VLOOKUP(D1435,[3]Extended!$B$9:$G$101,6,FALSE),VLOOKUP(D1435,[3]Extended!$B$9:$H$101,7,FALSE)))),0)</f>
        <v>0</v>
      </c>
      <c r="O1435" s="269">
        <f>IFERROR(IF(BA1435="WIP - 30 Days",VLOOKUP(D1435,[3]Extended!$B$9:$J$101,9,FALSE),IF(BA1435="31-120 Days",VLOOKUP(D1435,[3]Extended!$B$9:$K$101,10,FALSE),IF(BA1435="121-365 Days",VLOOKUP(D1435,[3]Extended!$B$9:$L$101,11,FALSE),VLOOKUP(D1435,[3]Extended!$B$9:$M$101,12,FALSE)))),0)</f>
        <v>0</v>
      </c>
      <c r="P1435" s="116" t="e">
        <f t="shared" si="111"/>
        <v>#VALUE!</v>
      </c>
      <c r="Q1435" s="110" t="e">
        <f>O1435-#REF!</f>
        <v>#REF!</v>
      </c>
      <c r="AT1435" s="88" t="str">
        <f t="shared" si="112"/>
        <v>Special Order0</v>
      </c>
      <c r="AU1435" s="89" t="str">
        <f t="shared" si="113"/>
        <v>01-1900</v>
      </c>
      <c r="BA1435" s="92" t="str">
        <f t="shared" si="114"/>
        <v/>
      </c>
    </row>
    <row r="1436" spans="2:53">
      <c r="B1436" s="60">
        <f>[2]Trucks!A1433</f>
        <v>0</v>
      </c>
      <c r="C1436" s="11">
        <f>[2]Trucks!B1433</f>
        <v>0</v>
      </c>
      <c r="D1436" s="19" t="str">
        <f>IFERROR(VLOOKUP(C1436&amp;"",'[2]Retail Price List'!$A$3:$B$103,2,FALSE),"Special Order")</f>
        <v>Special Order</v>
      </c>
      <c r="E1436" s="18">
        <f>[2]Trucks!J1433</f>
        <v>0</v>
      </c>
      <c r="F1436" s="12">
        <f>[2]Trucks!E1433</f>
        <v>0</v>
      </c>
      <c r="G1436" s="56">
        <f>[2]Trucks!K1433</f>
        <v>0</v>
      </c>
      <c r="H1436" s="46">
        <f>[2]Trucks!I1433</f>
        <v>0</v>
      </c>
      <c r="I1436" s="83" t="str">
        <f t="shared" si="110"/>
        <v/>
      </c>
      <c r="J1436" s="272" t="str">
        <f>IFERROR(VLOOKUP((D1436&amp;C1436)&amp;"",'[2]Retail Price List'!$C$4:$F$102,3,FALSE),"")</f>
        <v/>
      </c>
      <c r="K1436" s="272">
        <f>IFERROR(IF(BA1436="WIP - 30 Days",VLOOKUP(D1436,[3]Standard!$B$9:$E$101,4,FALSE),IF(BA1436="31-120 Days",VLOOKUP(D1436,[3]Standard!$B$9:$F$101,5,FALSE),IF(BA1436="121-365 Days",VLOOKUP(D1436,[3]Standard!$B$9:$G$101,6,FALSE),VLOOKUP(D1436,[3]Standard!$B$9:$H$101,7,FALSE)))),0)</f>
        <v>0</v>
      </c>
      <c r="L1436" s="272">
        <f>IFERROR(IF(BA1436="WIP - 30 Days",VLOOKUP(D1436,[3]Standard!$B$9:$J$101,9,FALSE),IF(BA1436="31-120 Days",VLOOKUP(D1436,[3]Standard!$B$9:$K$100,10,FALSE),IF(BA1436="121-365 Days",VLOOKUP(D1436,[3]Standard!$B$9:$L$101,11,FALSE),VLOOKUP(D1436,[3]Standard!$B$9:$M$101,12,FALSE)))),0)</f>
        <v>0</v>
      </c>
      <c r="M1436" s="269" t="str">
        <f>IFERROR(VLOOKUP((D1436&amp;C1436)&amp;"",'[2]Retail Price List'!$C$4:$F$102,4,FALSE),"")</f>
        <v/>
      </c>
      <c r="N1436" s="269">
        <f>IFERROR(IF(BA1436="WIP - 30 Days",VLOOKUP(D1436,[3]Extended!$B$9:$E$101,4,FALSE),IF(BA1436="31-120 Days",VLOOKUP(D1436,[3]Extended!$B$9:$F$101,5,FALSE),IF(BA1436="121-365 Days",VLOOKUP(D1436,[3]Extended!$B$9:$G$101,6,FALSE),VLOOKUP(D1436,[3]Extended!$B$9:$H$101,7,FALSE)))),0)</f>
        <v>0</v>
      </c>
      <c r="O1436" s="269">
        <f>IFERROR(IF(BA1436="WIP - 30 Days",VLOOKUP(D1436,[3]Extended!$B$9:$J$101,9,FALSE),IF(BA1436="31-120 Days",VLOOKUP(D1436,[3]Extended!$B$9:$K$101,10,FALSE),IF(BA1436="121-365 Days",VLOOKUP(D1436,[3]Extended!$B$9:$L$101,11,FALSE),VLOOKUP(D1436,[3]Extended!$B$9:$M$101,12,FALSE)))),0)</f>
        <v>0</v>
      </c>
      <c r="P1436" s="116" t="e">
        <f t="shared" si="111"/>
        <v>#VALUE!</v>
      </c>
      <c r="Q1436" s="110" t="e">
        <f>O1436-#REF!</f>
        <v>#REF!</v>
      </c>
      <c r="AT1436" s="88" t="str">
        <f t="shared" si="112"/>
        <v>Special Order0</v>
      </c>
      <c r="AU1436" s="89" t="str">
        <f t="shared" si="113"/>
        <v>01-1900</v>
      </c>
      <c r="BA1436" s="92" t="str">
        <f t="shared" si="114"/>
        <v/>
      </c>
    </row>
    <row r="1437" spans="2:53">
      <c r="B1437" s="60">
        <f>[2]Trucks!A1434</f>
        <v>0</v>
      </c>
      <c r="C1437" s="11">
        <f>[2]Trucks!B1434</f>
        <v>0</v>
      </c>
      <c r="D1437" s="19" t="str">
        <f>IFERROR(VLOOKUP(C1437&amp;"",'[2]Retail Price List'!$A$3:$B$103,2,FALSE),"Special Order")</f>
        <v>Special Order</v>
      </c>
      <c r="E1437" s="18">
        <f>[2]Trucks!J1434</f>
        <v>0</v>
      </c>
      <c r="F1437" s="12">
        <f>[2]Trucks!E1434</f>
        <v>0</v>
      </c>
      <c r="G1437" s="56">
        <f>[2]Trucks!K1434</f>
        <v>0</v>
      </c>
      <c r="H1437" s="46">
        <f>[2]Trucks!I1434</f>
        <v>0</v>
      </c>
      <c r="I1437" s="83" t="str">
        <f t="shared" si="110"/>
        <v/>
      </c>
      <c r="J1437" s="272" t="str">
        <f>IFERROR(VLOOKUP((D1437&amp;C1437)&amp;"",'[2]Retail Price List'!$C$4:$F$102,3,FALSE),"")</f>
        <v/>
      </c>
      <c r="K1437" s="272">
        <f>IFERROR(IF(BA1437="WIP - 30 Days",VLOOKUP(D1437,[3]Standard!$B$9:$E$101,4,FALSE),IF(BA1437="31-120 Days",VLOOKUP(D1437,[3]Standard!$B$9:$F$101,5,FALSE),IF(BA1437="121-365 Days",VLOOKUP(D1437,[3]Standard!$B$9:$G$101,6,FALSE),VLOOKUP(D1437,[3]Standard!$B$9:$H$101,7,FALSE)))),0)</f>
        <v>0</v>
      </c>
      <c r="L1437" s="272">
        <f>IFERROR(IF(BA1437="WIP - 30 Days",VLOOKUP(D1437,[3]Standard!$B$9:$J$101,9,FALSE),IF(BA1437="31-120 Days",VLOOKUP(D1437,[3]Standard!$B$9:$K$100,10,FALSE),IF(BA1437="121-365 Days",VLOOKUP(D1437,[3]Standard!$B$9:$L$101,11,FALSE),VLOOKUP(D1437,[3]Standard!$B$9:$M$101,12,FALSE)))),0)</f>
        <v>0</v>
      </c>
      <c r="M1437" s="269" t="str">
        <f>IFERROR(VLOOKUP((D1437&amp;C1437)&amp;"",'[2]Retail Price List'!$C$4:$F$102,4,FALSE),"")</f>
        <v/>
      </c>
      <c r="N1437" s="269">
        <f>IFERROR(IF(BA1437="WIP - 30 Days",VLOOKUP(D1437,[3]Extended!$B$9:$E$101,4,FALSE),IF(BA1437="31-120 Days",VLOOKUP(D1437,[3]Extended!$B$9:$F$101,5,FALSE),IF(BA1437="121-365 Days",VLOOKUP(D1437,[3]Extended!$B$9:$G$101,6,FALSE),VLOOKUP(D1437,[3]Extended!$B$9:$H$101,7,FALSE)))),0)</f>
        <v>0</v>
      </c>
      <c r="O1437" s="269">
        <f>IFERROR(IF(BA1437="WIP - 30 Days",VLOOKUP(D1437,[3]Extended!$B$9:$J$101,9,FALSE),IF(BA1437="31-120 Days",VLOOKUP(D1437,[3]Extended!$B$9:$K$101,10,FALSE),IF(BA1437="121-365 Days",VLOOKUP(D1437,[3]Extended!$B$9:$L$101,11,FALSE),VLOOKUP(D1437,[3]Extended!$B$9:$M$101,12,FALSE)))),0)</f>
        <v>0</v>
      </c>
      <c r="P1437" s="116" t="e">
        <f t="shared" si="111"/>
        <v>#VALUE!</v>
      </c>
      <c r="Q1437" s="110" t="e">
        <f>O1437-#REF!</f>
        <v>#REF!</v>
      </c>
      <c r="AT1437" s="88" t="str">
        <f t="shared" si="112"/>
        <v>Special Order0</v>
      </c>
      <c r="AU1437" s="89" t="str">
        <f t="shared" si="113"/>
        <v>01-1900</v>
      </c>
      <c r="BA1437" s="92" t="str">
        <f t="shared" si="114"/>
        <v/>
      </c>
    </row>
    <row r="1438" spans="2:53">
      <c r="B1438" s="60">
        <f>[2]Trucks!A1435</f>
        <v>0</v>
      </c>
      <c r="C1438" s="11">
        <f>[2]Trucks!B1435</f>
        <v>0</v>
      </c>
      <c r="D1438" s="19" t="str">
        <f>IFERROR(VLOOKUP(C1438&amp;"",'[2]Retail Price List'!$A$3:$B$103,2,FALSE),"Special Order")</f>
        <v>Special Order</v>
      </c>
      <c r="E1438" s="18">
        <f>[2]Trucks!J1435</f>
        <v>0</v>
      </c>
      <c r="F1438" s="12">
        <f>[2]Trucks!E1435</f>
        <v>0</v>
      </c>
      <c r="G1438" s="56">
        <f>[2]Trucks!K1435</f>
        <v>0</v>
      </c>
      <c r="H1438" s="46">
        <f>[2]Trucks!I1435</f>
        <v>0</v>
      </c>
      <c r="I1438" s="83" t="str">
        <f t="shared" si="110"/>
        <v/>
      </c>
      <c r="J1438" s="272" t="str">
        <f>IFERROR(VLOOKUP((D1438&amp;C1438)&amp;"",'[2]Retail Price List'!$C$4:$F$102,3,FALSE),"")</f>
        <v/>
      </c>
      <c r="K1438" s="272">
        <f>IFERROR(IF(BA1438="WIP - 30 Days",VLOOKUP(D1438,[3]Standard!$B$9:$E$101,4,FALSE),IF(BA1438="31-120 Days",VLOOKUP(D1438,[3]Standard!$B$9:$F$101,5,FALSE),IF(BA1438="121-365 Days",VLOOKUP(D1438,[3]Standard!$B$9:$G$101,6,FALSE),VLOOKUP(D1438,[3]Standard!$B$9:$H$101,7,FALSE)))),0)</f>
        <v>0</v>
      </c>
      <c r="L1438" s="272">
        <f>IFERROR(IF(BA1438="WIP - 30 Days",VLOOKUP(D1438,[3]Standard!$B$9:$J$101,9,FALSE),IF(BA1438="31-120 Days",VLOOKUP(D1438,[3]Standard!$B$9:$K$100,10,FALSE),IF(BA1438="121-365 Days",VLOOKUP(D1438,[3]Standard!$B$9:$L$101,11,FALSE),VLOOKUP(D1438,[3]Standard!$B$9:$M$101,12,FALSE)))),0)</f>
        <v>0</v>
      </c>
      <c r="M1438" s="269" t="str">
        <f>IFERROR(VLOOKUP((D1438&amp;C1438)&amp;"",'[2]Retail Price List'!$C$4:$F$102,4,FALSE),"")</f>
        <v/>
      </c>
      <c r="N1438" s="269">
        <f>IFERROR(IF(BA1438="WIP - 30 Days",VLOOKUP(D1438,[3]Extended!$B$9:$E$101,4,FALSE),IF(BA1438="31-120 Days",VLOOKUP(D1438,[3]Extended!$B$9:$F$101,5,FALSE),IF(BA1438="121-365 Days",VLOOKUP(D1438,[3]Extended!$B$9:$G$101,6,FALSE),VLOOKUP(D1438,[3]Extended!$B$9:$H$101,7,FALSE)))),0)</f>
        <v>0</v>
      </c>
      <c r="O1438" s="269">
        <f>IFERROR(IF(BA1438="WIP - 30 Days",VLOOKUP(D1438,[3]Extended!$B$9:$J$101,9,FALSE),IF(BA1438="31-120 Days",VLOOKUP(D1438,[3]Extended!$B$9:$K$101,10,FALSE),IF(BA1438="121-365 Days",VLOOKUP(D1438,[3]Extended!$B$9:$L$101,11,FALSE),VLOOKUP(D1438,[3]Extended!$B$9:$M$101,12,FALSE)))),0)</f>
        <v>0</v>
      </c>
      <c r="P1438" s="116" t="e">
        <f t="shared" si="111"/>
        <v>#VALUE!</v>
      </c>
      <c r="Q1438" s="110" t="e">
        <f>O1438-#REF!</f>
        <v>#REF!</v>
      </c>
      <c r="AT1438" s="88" t="str">
        <f t="shared" si="112"/>
        <v>Special Order0</v>
      </c>
      <c r="AU1438" s="89" t="str">
        <f t="shared" si="113"/>
        <v>01-1900</v>
      </c>
      <c r="BA1438" s="92" t="str">
        <f t="shared" si="114"/>
        <v/>
      </c>
    </row>
    <row r="1439" spans="2:53">
      <c r="B1439" s="60">
        <f>[2]Trucks!A1436</f>
        <v>0</v>
      </c>
      <c r="C1439" s="11">
        <f>[2]Trucks!B1436</f>
        <v>0</v>
      </c>
      <c r="D1439" s="19" t="str">
        <f>IFERROR(VLOOKUP(C1439&amp;"",'[2]Retail Price List'!$A$3:$B$103,2,FALSE),"Special Order")</f>
        <v>Special Order</v>
      </c>
      <c r="E1439" s="18">
        <f>[2]Trucks!J1436</f>
        <v>0</v>
      </c>
      <c r="F1439" s="12">
        <f>[2]Trucks!E1436</f>
        <v>0</v>
      </c>
      <c r="G1439" s="56">
        <f>[2]Trucks!K1436</f>
        <v>0</v>
      </c>
      <c r="H1439" s="46">
        <f>[2]Trucks!I1436</f>
        <v>0</v>
      </c>
      <c r="I1439" s="83" t="str">
        <f t="shared" si="110"/>
        <v/>
      </c>
      <c r="J1439" s="272" t="str">
        <f>IFERROR(VLOOKUP((D1439&amp;C1439)&amp;"",'[2]Retail Price List'!$C$4:$F$102,3,FALSE),"")</f>
        <v/>
      </c>
      <c r="K1439" s="272">
        <f>IFERROR(IF(BA1439="WIP - 30 Days",VLOOKUP(D1439,[3]Standard!$B$9:$E$101,4,FALSE),IF(BA1439="31-120 Days",VLOOKUP(D1439,[3]Standard!$B$9:$F$101,5,FALSE),IF(BA1439="121-365 Days",VLOOKUP(D1439,[3]Standard!$B$9:$G$101,6,FALSE),VLOOKUP(D1439,[3]Standard!$B$9:$H$101,7,FALSE)))),0)</f>
        <v>0</v>
      </c>
      <c r="L1439" s="272">
        <f>IFERROR(IF(BA1439="WIP - 30 Days",VLOOKUP(D1439,[3]Standard!$B$9:$J$101,9,FALSE),IF(BA1439="31-120 Days",VLOOKUP(D1439,[3]Standard!$B$9:$K$100,10,FALSE),IF(BA1439="121-365 Days",VLOOKUP(D1439,[3]Standard!$B$9:$L$101,11,FALSE),VLOOKUP(D1439,[3]Standard!$B$9:$M$101,12,FALSE)))),0)</f>
        <v>0</v>
      </c>
      <c r="M1439" s="269" t="str">
        <f>IFERROR(VLOOKUP((D1439&amp;C1439)&amp;"",'[2]Retail Price List'!$C$4:$F$102,4,FALSE),"")</f>
        <v/>
      </c>
      <c r="N1439" s="269">
        <f>IFERROR(IF(BA1439="WIP - 30 Days",VLOOKUP(D1439,[3]Extended!$B$9:$E$101,4,FALSE),IF(BA1439="31-120 Days",VLOOKUP(D1439,[3]Extended!$B$9:$F$101,5,FALSE),IF(BA1439="121-365 Days",VLOOKUP(D1439,[3]Extended!$B$9:$G$101,6,FALSE),VLOOKUP(D1439,[3]Extended!$B$9:$H$101,7,FALSE)))),0)</f>
        <v>0</v>
      </c>
      <c r="O1439" s="269">
        <f>IFERROR(IF(BA1439="WIP - 30 Days",VLOOKUP(D1439,[3]Extended!$B$9:$J$101,9,FALSE),IF(BA1439="31-120 Days",VLOOKUP(D1439,[3]Extended!$B$9:$K$101,10,FALSE),IF(BA1439="121-365 Days",VLOOKUP(D1439,[3]Extended!$B$9:$L$101,11,FALSE),VLOOKUP(D1439,[3]Extended!$B$9:$M$101,12,FALSE)))),0)</f>
        <v>0</v>
      </c>
      <c r="P1439" s="116" t="e">
        <f t="shared" si="111"/>
        <v>#VALUE!</v>
      </c>
      <c r="Q1439" s="110" t="e">
        <f>O1439-#REF!</f>
        <v>#REF!</v>
      </c>
      <c r="AT1439" s="88" t="str">
        <f t="shared" si="112"/>
        <v>Special Order0</v>
      </c>
      <c r="AU1439" s="89" t="str">
        <f t="shared" si="113"/>
        <v>01-1900</v>
      </c>
      <c r="BA1439" s="92" t="str">
        <f t="shared" si="114"/>
        <v/>
      </c>
    </row>
    <row r="1440" spans="2:53">
      <c r="B1440" s="60">
        <f>[2]Trucks!A1437</f>
        <v>0</v>
      </c>
      <c r="C1440" s="11">
        <f>[2]Trucks!B1437</f>
        <v>0</v>
      </c>
      <c r="D1440" s="19" t="str">
        <f>IFERROR(VLOOKUP(C1440&amp;"",'[2]Retail Price List'!$A$3:$B$103,2,FALSE),"Special Order")</f>
        <v>Special Order</v>
      </c>
      <c r="E1440" s="18">
        <f>[2]Trucks!J1437</f>
        <v>0</v>
      </c>
      <c r="F1440" s="12">
        <f>[2]Trucks!E1437</f>
        <v>0</v>
      </c>
      <c r="G1440" s="56">
        <f>[2]Trucks!K1437</f>
        <v>0</v>
      </c>
      <c r="H1440" s="46">
        <f>[2]Trucks!I1437</f>
        <v>0</v>
      </c>
      <c r="I1440" s="83" t="str">
        <f t="shared" si="110"/>
        <v/>
      </c>
      <c r="J1440" s="272" t="str">
        <f>IFERROR(VLOOKUP((D1440&amp;C1440)&amp;"",'[2]Retail Price List'!$C$4:$F$102,3,FALSE),"")</f>
        <v/>
      </c>
      <c r="K1440" s="272">
        <f>IFERROR(IF(BA1440="WIP - 30 Days",VLOOKUP(D1440,[3]Standard!$B$9:$E$101,4,FALSE),IF(BA1440="31-120 Days",VLOOKUP(D1440,[3]Standard!$B$9:$F$101,5,FALSE),IF(BA1440="121-365 Days",VLOOKUP(D1440,[3]Standard!$B$9:$G$101,6,FALSE),VLOOKUP(D1440,[3]Standard!$B$9:$H$101,7,FALSE)))),0)</f>
        <v>0</v>
      </c>
      <c r="L1440" s="272">
        <f>IFERROR(IF(BA1440="WIP - 30 Days",VLOOKUP(D1440,[3]Standard!$B$9:$J$101,9,FALSE),IF(BA1440="31-120 Days",VLOOKUP(D1440,[3]Standard!$B$9:$K$100,10,FALSE),IF(BA1440="121-365 Days",VLOOKUP(D1440,[3]Standard!$B$9:$L$101,11,FALSE),VLOOKUP(D1440,[3]Standard!$B$9:$M$101,12,FALSE)))),0)</f>
        <v>0</v>
      </c>
      <c r="M1440" s="269" t="str">
        <f>IFERROR(VLOOKUP((D1440&amp;C1440)&amp;"",'[2]Retail Price List'!$C$4:$F$102,4,FALSE),"")</f>
        <v/>
      </c>
      <c r="N1440" s="269">
        <f>IFERROR(IF(BA1440="WIP - 30 Days",VLOOKUP(D1440,[3]Extended!$B$9:$E$101,4,FALSE),IF(BA1440="31-120 Days",VLOOKUP(D1440,[3]Extended!$B$9:$F$101,5,FALSE),IF(BA1440="121-365 Days",VLOOKUP(D1440,[3]Extended!$B$9:$G$101,6,FALSE),VLOOKUP(D1440,[3]Extended!$B$9:$H$101,7,FALSE)))),0)</f>
        <v>0</v>
      </c>
      <c r="O1440" s="269">
        <f>IFERROR(IF(BA1440="WIP - 30 Days",VLOOKUP(D1440,[3]Extended!$B$9:$J$101,9,FALSE),IF(BA1440="31-120 Days",VLOOKUP(D1440,[3]Extended!$B$9:$K$101,10,FALSE),IF(BA1440="121-365 Days",VLOOKUP(D1440,[3]Extended!$B$9:$L$101,11,FALSE),VLOOKUP(D1440,[3]Extended!$B$9:$M$101,12,FALSE)))),0)</f>
        <v>0</v>
      </c>
      <c r="P1440" s="116" t="e">
        <f t="shared" si="111"/>
        <v>#VALUE!</v>
      </c>
      <c r="Q1440" s="110" t="e">
        <f>O1440-#REF!</f>
        <v>#REF!</v>
      </c>
      <c r="AT1440" s="88" t="str">
        <f t="shared" si="112"/>
        <v>Special Order0</v>
      </c>
      <c r="AU1440" s="89" t="str">
        <f t="shared" si="113"/>
        <v>01-1900</v>
      </c>
      <c r="BA1440" s="92" t="str">
        <f t="shared" si="114"/>
        <v/>
      </c>
    </row>
    <row r="1441" spans="2:53">
      <c r="B1441" s="60">
        <f>[2]Trucks!A1438</f>
        <v>0</v>
      </c>
      <c r="C1441" s="11">
        <f>[2]Trucks!B1438</f>
        <v>0</v>
      </c>
      <c r="D1441" s="19" t="str">
        <f>IFERROR(VLOOKUP(C1441&amp;"",'[2]Retail Price List'!$A$3:$B$103,2,FALSE),"Special Order")</f>
        <v>Special Order</v>
      </c>
      <c r="E1441" s="18">
        <f>[2]Trucks!J1438</f>
        <v>0</v>
      </c>
      <c r="F1441" s="12">
        <f>[2]Trucks!E1438</f>
        <v>0</v>
      </c>
      <c r="G1441" s="56">
        <f>[2]Trucks!K1438</f>
        <v>0</v>
      </c>
      <c r="H1441" s="46">
        <f>[2]Trucks!I1438</f>
        <v>0</v>
      </c>
      <c r="I1441" s="83" t="str">
        <f t="shared" si="110"/>
        <v/>
      </c>
      <c r="J1441" s="272" t="str">
        <f>IFERROR(VLOOKUP((D1441&amp;C1441)&amp;"",'[2]Retail Price List'!$C$4:$F$102,3,FALSE),"")</f>
        <v/>
      </c>
      <c r="K1441" s="272">
        <f>IFERROR(IF(BA1441="WIP - 30 Days",VLOOKUP(D1441,[3]Standard!$B$9:$E$101,4,FALSE),IF(BA1441="31-120 Days",VLOOKUP(D1441,[3]Standard!$B$9:$F$101,5,FALSE),IF(BA1441="121-365 Days",VLOOKUP(D1441,[3]Standard!$B$9:$G$101,6,FALSE),VLOOKUP(D1441,[3]Standard!$B$9:$H$101,7,FALSE)))),0)</f>
        <v>0</v>
      </c>
      <c r="L1441" s="272">
        <f>IFERROR(IF(BA1441="WIP - 30 Days",VLOOKUP(D1441,[3]Standard!$B$9:$J$101,9,FALSE),IF(BA1441="31-120 Days",VLOOKUP(D1441,[3]Standard!$B$9:$K$100,10,FALSE),IF(BA1441="121-365 Days",VLOOKUP(D1441,[3]Standard!$B$9:$L$101,11,FALSE),VLOOKUP(D1441,[3]Standard!$B$9:$M$101,12,FALSE)))),0)</f>
        <v>0</v>
      </c>
      <c r="M1441" s="269" t="str">
        <f>IFERROR(VLOOKUP((D1441&amp;C1441)&amp;"",'[2]Retail Price List'!$C$4:$F$102,4,FALSE),"")</f>
        <v/>
      </c>
      <c r="N1441" s="269">
        <f>IFERROR(IF(BA1441="WIP - 30 Days",VLOOKUP(D1441,[3]Extended!$B$9:$E$101,4,FALSE),IF(BA1441="31-120 Days",VLOOKUP(D1441,[3]Extended!$B$9:$F$101,5,FALSE),IF(BA1441="121-365 Days",VLOOKUP(D1441,[3]Extended!$B$9:$G$101,6,FALSE),VLOOKUP(D1441,[3]Extended!$B$9:$H$101,7,FALSE)))),0)</f>
        <v>0</v>
      </c>
      <c r="O1441" s="269">
        <f>IFERROR(IF(BA1441="WIP - 30 Days",VLOOKUP(D1441,[3]Extended!$B$9:$J$101,9,FALSE),IF(BA1441="31-120 Days",VLOOKUP(D1441,[3]Extended!$B$9:$K$101,10,FALSE),IF(BA1441="121-365 Days",VLOOKUP(D1441,[3]Extended!$B$9:$L$101,11,FALSE),VLOOKUP(D1441,[3]Extended!$B$9:$M$101,12,FALSE)))),0)</f>
        <v>0</v>
      </c>
      <c r="P1441" s="116" t="e">
        <f t="shared" si="111"/>
        <v>#VALUE!</v>
      </c>
      <c r="Q1441" s="110" t="e">
        <f>O1441-#REF!</f>
        <v>#REF!</v>
      </c>
      <c r="AT1441" s="88" t="str">
        <f t="shared" si="112"/>
        <v>Special Order0</v>
      </c>
      <c r="AU1441" s="89" t="str">
        <f t="shared" si="113"/>
        <v>01-1900</v>
      </c>
      <c r="BA1441" s="92" t="str">
        <f t="shared" si="114"/>
        <v/>
      </c>
    </row>
    <row r="1442" spans="2:53">
      <c r="B1442" s="60">
        <f>[2]Trucks!A1439</f>
        <v>0</v>
      </c>
      <c r="C1442" s="11">
        <f>[2]Trucks!B1439</f>
        <v>0</v>
      </c>
      <c r="D1442" s="19" t="str">
        <f>IFERROR(VLOOKUP(C1442&amp;"",'[2]Retail Price List'!$A$3:$B$103,2,FALSE),"Special Order")</f>
        <v>Special Order</v>
      </c>
      <c r="E1442" s="18">
        <f>[2]Trucks!J1439</f>
        <v>0</v>
      </c>
      <c r="F1442" s="12">
        <f>[2]Trucks!E1439</f>
        <v>0</v>
      </c>
      <c r="G1442" s="56">
        <f>[2]Trucks!K1439</f>
        <v>0</v>
      </c>
      <c r="H1442" s="46">
        <f>[2]Trucks!I1439</f>
        <v>0</v>
      </c>
      <c r="I1442" s="83" t="str">
        <f t="shared" si="110"/>
        <v/>
      </c>
      <c r="J1442" s="272" t="str">
        <f>IFERROR(VLOOKUP((D1442&amp;C1442)&amp;"",'[2]Retail Price List'!$C$4:$F$102,3,FALSE),"")</f>
        <v/>
      </c>
      <c r="K1442" s="272">
        <f>IFERROR(IF(BA1442="WIP - 30 Days",VLOOKUP(D1442,[3]Standard!$B$9:$E$101,4,FALSE),IF(BA1442="31-120 Days",VLOOKUP(D1442,[3]Standard!$B$9:$F$101,5,FALSE),IF(BA1442="121-365 Days",VLOOKUP(D1442,[3]Standard!$B$9:$G$101,6,FALSE),VLOOKUP(D1442,[3]Standard!$B$9:$H$101,7,FALSE)))),0)</f>
        <v>0</v>
      </c>
      <c r="L1442" s="272">
        <f>IFERROR(IF(BA1442="WIP - 30 Days",VLOOKUP(D1442,[3]Standard!$B$9:$J$101,9,FALSE),IF(BA1442="31-120 Days",VLOOKUP(D1442,[3]Standard!$B$9:$K$100,10,FALSE),IF(BA1442="121-365 Days",VLOOKUP(D1442,[3]Standard!$B$9:$L$101,11,FALSE),VLOOKUP(D1442,[3]Standard!$B$9:$M$101,12,FALSE)))),0)</f>
        <v>0</v>
      </c>
      <c r="M1442" s="269" t="str">
        <f>IFERROR(VLOOKUP((D1442&amp;C1442)&amp;"",'[2]Retail Price List'!$C$4:$F$102,4,FALSE),"")</f>
        <v/>
      </c>
      <c r="N1442" s="269">
        <f>IFERROR(IF(BA1442="WIP - 30 Days",VLOOKUP(D1442,[3]Extended!$B$9:$E$101,4,FALSE),IF(BA1442="31-120 Days",VLOOKUP(D1442,[3]Extended!$B$9:$F$101,5,FALSE),IF(BA1442="121-365 Days",VLOOKUP(D1442,[3]Extended!$B$9:$G$101,6,FALSE),VLOOKUP(D1442,[3]Extended!$B$9:$H$101,7,FALSE)))),0)</f>
        <v>0</v>
      </c>
      <c r="O1442" s="269">
        <f>IFERROR(IF(BA1442="WIP - 30 Days",VLOOKUP(D1442,[3]Extended!$B$9:$J$101,9,FALSE),IF(BA1442="31-120 Days",VLOOKUP(D1442,[3]Extended!$B$9:$K$101,10,FALSE),IF(BA1442="121-365 Days",VLOOKUP(D1442,[3]Extended!$B$9:$L$101,11,FALSE),VLOOKUP(D1442,[3]Extended!$B$9:$M$101,12,FALSE)))),0)</f>
        <v>0</v>
      </c>
      <c r="P1442" s="116" t="e">
        <f t="shared" si="111"/>
        <v>#VALUE!</v>
      </c>
      <c r="Q1442" s="110" t="e">
        <f>O1442-#REF!</f>
        <v>#REF!</v>
      </c>
      <c r="AT1442" s="88" t="str">
        <f t="shared" si="112"/>
        <v>Special Order0</v>
      </c>
      <c r="AU1442" s="89" t="str">
        <f t="shared" si="113"/>
        <v>01-1900</v>
      </c>
      <c r="BA1442" s="92" t="str">
        <f t="shared" si="114"/>
        <v/>
      </c>
    </row>
    <row r="1443" spans="2:53">
      <c r="B1443" s="60">
        <f>[2]Trucks!A1440</f>
        <v>0</v>
      </c>
      <c r="C1443" s="11">
        <f>[2]Trucks!B1440</f>
        <v>0</v>
      </c>
      <c r="D1443" s="19" t="str">
        <f>IFERROR(VLOOKUP(C1443&amp;"",'[2]Retail Price List'!$A$3:$B$103,2,FALSE),"Special Order")</f>
        <v>Special Order</v>
      </c>
      <c r="E1443" s="18">
        <f>[2]Trucks!J1440</f>
        <v>0</v>
      </c>
      <c r="F1443" s="12">
        <f>[2]Trucks!E1440</f>
        <v>0</v>
      </c>
      <c r="G1443" s="56">
        <f>[2]Trucks!K1440</f>
        <v>0</v>
      </c>
      <c r="H1443" s="46">
        <f>[2]Trucks!I1440</f>
        <v>0</v>
      </c>
      <c r="I1443" s="83" t="str">
        <f t="shared" si="110"/>
        <v/>
      </c>
      <c r="J1443" s="272" t="str">
        <f>IFERROR(VLOOKUP((D1443&amp;C1443)&amp;"",'[2]Retail Price List'!$C$4:$F$102,3,FALSE),"")</f>
        <v/>
      </c>
      <c r="K1443" s="272">
        <f>IFERROR(IF(BA1443="WIP - 30 Days",VLOOKUP(D1443,[3]Standard!$B$9:$E$101,4,FALSE),IF(BA1443="31-120 Days",VLOOKUP(D1443,[3]Standard!$B$9:$F$101,5,FALSE),IF(BA1443="121-365 Days",VLOOKUP(D1443,[3]Standard!$B$9:$G$101,6,FALSE),VLOOKUP(D1443,[3]Standard!$B$9:$H$101,7,FALSE)))),0)</f>
        <v>0</v>
      </c>
      <c r="L1443" s="272">
        <f>IFERROR(IF(BA1443="WIP - 30 Days",VLOOKUP(D1443,[3]Standard!$B$9:$J$101,9,FALSE),IF(BA1443="31-120 Days",VLOOKUP(D1443,[3]Standard!$B$9:$K$100,10,FALSE),IF(BA1443="121-365 Days",VLOOKUP(D1443,[3]Standard!$B$9:$L$101,11,FALSE),VLOOKUP(D1443,[3]Standard!$B$9:$M$101,12,FALSE)))),0)</f>
        <v>0</v>
      </c>
      <c r="M1443" s="269" t="str">
        <f>IFERROR(VLOOKUP((D1443&amp;C1443)&amp;"",'[2]Retail Price List'!$C$4:$F$102,4,FALSE),"")</f>
        <v/>
      </c>
      <c r="N1443" s="269">
        <f>IFERROR(IF(BA1443="WIP - 30 Days",VLOOKUP(D1443,[3]Extended!$B$9:$E$101,4,FALSE),IF(BA1443="31-120 Days",VLOOKUP(D1443,[3]Extended!$B$9:$F$101,5,FALSE),IF(BA1443="121-365 Days",VLOOKUP(D1443,[3]Extended!$B$9:$G$101,6,FALSE),VLOOKUP(D1443,[3]Extended!$B$9:$H$101,7,FALSE)))),0)</f>
        <v>0</v>
      </c>
      <c r="O1443" s="269">
        <f>IFERROR(IF(BA1443="WIP - 30 Days",VLOOKUP(D1443,[3]Extended!$B$9:$J$101,9,FALSE),IF(BA1443="31-120 Days",VLOOKUP(D1443,[3]Extended!$B$9:$K$101,10,FALSE),IF(BA1443="121-365 Days",VLOOKUP(D1443,[3]Extended!$B$9:$L$101,11,FALSE),VLOOKUP(D1443,[3]Extended!$B$9:$M$101,12,FALSE)))),0)</f>
        <v>0</v>
      </c>
      <c r="P1443" s="116" t="e">
        <f t="shared" si="111"/>
        <v>#VALUE!</v>
      </c>
      <c r="Q1443" s="110" t="e">
        <f>O1443-#REF!</f>
        <v>#REF!</v>
      </c>
      <c r="AT1443" s="88" t="str">
        <f t="shared" si="112"/>
        <v>Special Order0</v>
      </c>
      <c r="AU1443" s="89" t="str">
        <f t="shared" si="113"/>
        <v>01-1900</v>
      </c>
      <c r="BA1443" s="92" t="str">
        <f t="shared" si="114"/>
        <v/>
      </c>
    </row>
    <row r="1444" spans="2:53">
      <c r="B1444" s="60">
        <f>[2]Trucks!A1441</f>
        <v>0</v>
      </c>
      <c r="C1444" s="11">
        <f>[2]Trucks!B1441</f>
        <v>0</v>
      </c>
      <c r="D1444" s="19" t="str">
        <f>IFERROR(VLOOKUP(C1444&amp;"",'[2]Retail Price List'!$A$3:$B$103,2,FALSE),"Special Order")</f>
        <v>Special Order</v>
      </c>
      <c r="E1444" s="18">
        <f>[2]Trucks!J1441</f>
        <v>0</v>
      </c>
      <c r="F1444" s="12">
        <f>[2]Trucks!E1441</f>
        <v>0</v>
      </c>
      <c r="G1444" s="56">
        <f>[2]Trucks!K1441</f>
        <v>0</v>
      </c>
      <c r="H1444" s="46">
        <f>[2]Trucks!I1441</f>
        <v>0</v>
      </c>
      <c r="I1444" s="83" t="str">
        <f t="shared" si="110"/>
        <v/>
      </c>
      <c r="J1444" s="272" t="str">
        <f>IFERROR(VLOOKUP((D1444&amp;C1444)&amp;"",'[2]Retail Price List'!$C$4:$F$102,3,FALSE),"")</f>
        <v/>
      </c>
      <c r="K1444" s="272">
        <f>IFERROR(IF(BA1444="WIP - 30 Days",VLOOKUP(D1444,[3]Standard!$B$9:$E$101,4,FALSE),IF(BA1444="31-120 Days",VLOOKUP(D1444,[3]Standard!$B$9:$F$101,5,FALSE),IF(BA1444="121-365 Days",VLOOKUP(D1444,[3]Standard!$B$9:$G$101,6,FALSE),VLOOKUP(D1444,[3]Standard!$B$9:$H$101,7,FALSE)))),0)</f>
        <v>0</v>
      </c>
      <c r="L1444" s="272">
        <f>IFERROR(IF(BA1444="WIP - 30 Days",VLOOKUP(D1444,[3]Standard!$B$9:$J$101,9,FALSE),IF(BA1444="31-120 Days",VLOOKUP(D1444,[3]Standard!$B$9:$K$100,10,FALSE),IF(BA1444="121-365 Days",VLOOKUP(D1444,[3]Standard!$B$9:$L$101,11,FALSE),VLOOKUP(D1444,[3]Standard!$B$9:$M$101,12,FALSE)))),0)</f>
        <v>0</v>
      </c>
      <c r="M1444" s="269" t="str">
        <f>IFERROR(VLOOKUP((D1444&amp;C1444)&amp;"",'[2]Retail Price List'!$C$4:$F$102,4,FALSE),"")</f>
        <v/>
      </c>
      <c r="N1444" s="269">
        <f>IFERROR(IF(BA1444="WIP - 30 Days",VLOOKUP(D1444,[3]Extended!$B$9:$E$101,4,FALSE),IF(BA1444="31-120 Days",VLOOKUP(D1444,[3]Extended!$B$9:$F$101,5,FALSE),IF(BA1444="121-365 Days",VLOOKUP(D1444,[3]Extended!$B$9:$G$101,6,FALSE),VLOOKUP(D1444,[3]Extended!$B$9:$H$101,7,FALSE)))),0)</f>
        <v>0</v>
      </c>
      <c r="O1444" s="269">
        <f>IFERROR(IF(BA1444="WIP - 30 Days",VLOOKUP(D1444,[3]Extended!$B$9:$J$101,9,FALSE),IF(BA1444="31-120 Days",VLOOKUP(D1444,[3]Extended!$B$9:$K$101,10,FALSE),IF(BA1444="121-365 Days",VLOOKUP(D1444,[3]Extended!$B$9:$L$101,11,FALSE),VLOOKUP(D1444,[3]Extended!$B$9:$M$101,12,FALSE)))),0)</f>
        <v>0</v>
      </c>
      <c r="P1444" s="116" t="e">
        <f t="shared" si="111"/>
        <v>#VALUE!</v>
      </c>
      <c r="Q1444" s="110" t="e">
        <f>O1444-#REF!</f>
        <v>#REF!</v>
      </c>
      <c r="AT1444" s="88" t="str">
        <f t="shared" si="112"/>
        <v>Special Order0</v>
      </c>
      <c r="AU1444" s="89" t="str">
        <f t="shared" si="113"/>
        <v>01-1900</v>
      </c>
      <c r="BA1444" s="92" t="str">
        <f t="shared" si="114"/>
        <v/>
      </c>
    </row>
    <row r="1445" spans="2:53">
      <c r="B1445" s="60">
        <f>[2]Trucks!A1442</f>
        <v>0</v>
      </c>
      <c r="C1445" s="11">
        <f>[2]Trucks!B1442</f>
        <v>0</v>
      </c>
      <c r="D1445" s="19" t="str">
        <f>IFERROR(VLOOKUP(C1445&amp;"",'[2]Retail Price List'!$A$3:$B$103,2,FALSE),"Special Order")</f>
        <v>Special Order</v>
      </c>
      <c r="E1445" s="18">
        <f>[2]Trucks!J1442</f>
        <v>0</v>
      </c>
      <c r="F1445" s="12">
        <f>[2]Trucks!E1442</f>
        <v>0</v>
      </c>
      <c r="G1445" s="56">
        <f>[2]Trucks!K1442</f>
        <v>0</v>
      </c>
      <c r="H1445" s="46">
        <f>[2]Trucks!I1442</f>
        <v>0</v>
      </c>
      <c r="I1445" s="83" t="str">
        <f t="shared" si="110"/>
        <v/>
      </c>
      <c r="J1445" s="272" t="str">
        <f>IFERROR(VLOOKUP((D1445&amp;C1445)&amp;"",'[2]Retail Price List'!$C$4:$F$102,3,FALSE),"")</f>
        <v/>
      </c>
      <c r="K1445" s="272">
        <f>IFERROR(IF(BA1445="WIP - 30 Days",VLOOKUP(D1445,[3]Standard!$B$9:$E$101,4,FALSE),IF(BA1445="31-120 Days",VLOOKUP(D1445,[3]Standard!$B$9:$F$101,5,FALSE),IF(BA1445="121-365 Days",VLOOKUP(D1445,[3]Standard!$B$9:$G$101,6,FALSE),VLOOKUP(D1445,[3]Standard!$B$9:$H$101,7,FALSE)))),0)</f>
        <v>0</v>
      </c>
      <c r="L1445" s="272">
        <f>IFERROR(IF(BA1445="WIP - 30 Days",VLOOKUP(D1445,[3]Standard!$B$9:$J$101,9,FALSE),IF(BA1445="31-120 Days",VLOOKUP(D1445,[3]Standard!$B$9:$K$100,10,FALSE),IF(BA1445="121-365 Days",VLOOKUP(D1445,[3]Standard!$B$9:$L$101,11,FALSE),VLOOKUP(D1445,[3]Standard!$B$9:$M$101,12,FALSE)))),0)</f>
        <v>0</v>
      </c>
      <c r="M1445" s="269" t="str">
        <f>IFERROR(VLOOKUP((D1445&amp;C1445)&amp;"",'[2]Retail Price List'!$C$4:$F$102,4,FALSE),"")</f>
        <v/>
      </c>
      <c r="N1445" s="269">
        <f>IFERROR(IF(BA1445="WIP - 30 Days",VLOOKUP(D1445,[3]Extended!$B$9:$E$101,4,FALSE),IF(BA1445="31-120 Days",VLOOKUP(D1445,[3]Extended!$B$9:$F$101,5,FALSE),IF(BA1445="121-365 Days",VLOOKUP(D1445,[3]Extended!$B$9:$G$101,6,FALSE),VLOOKUP(D1445,[3]Extended!$B$9:$H$101,7,FALSE)))),0)</f>
        <v>0</v>
      </c>
      <c r="O1445" s="269">
        <f>IFERROR(IF(BA1445="WIP - 30 Days",VLOOKUP(D1445,[3]Extended!$B$9:$J$101,9,FALSE),IF(BA1445="31-120 Days",VLOOKUP(D1445,[3]Extended!$B$9:$K$101,10,FALSE),IF(BA1445="121-365 Days",VLOOKUP(D1445,[3]Extended!$B$9:$L$101,11,FALSE),VLOOKUP(D1445,[3]Extended!$B$9:$M$101,12,FALSE)))),0)</f>
        <v>0</v>
      </c>
      <c r="P1445" s="116" t="e">
        <f t="shared" si="111"/>
        <v>#VALUE!</v>
      </c>
      <c r="Q1445" s="110" t="e">
        <f>O1445-#REF!</f>
        <v>#REF!</v>
      </c>
      <c r="AT1445" s="88" t="str">
        <f t="shared" si="112"/>
        <v>Special Order0</v>
      </c>
      <c r="AU1445" s="89" t="str">
        <f t="shared" si="113"/>
        <v>01-1900</v>
      </c>
      <c r="BA1445" s="92" t="str">
        <f t="shared" si="114"/>
        <v/>
      </c>
    </row>
    <row r="1446" spans="2:53">
      <c r="B1446" s="60">
        <f>[2]Trucks!A1443</f>
        <v>0</v>
      </c>
      <c r="C1446" s="11">
        <f>[2]Trucks!B1443</f>
        <v>0</v>
      </c>
      <c r="D1446" s="19" t="str">
        <f>IFERROR(VLOOKUP(C1446&amp;"",'[2]Retail Price List'!$A$3:$B$103,2,FALSE),"Special Order")</f>
        <v>Special Order</v>
      </c>
      <c r="E1446" s="18">
        <f>[2]Trucks!J1443</f>
        <v>0</v>
      </c>
      <c r="F1446" s="12">
        <f>[2]Trucks!E1443</f>
        <v>0</v>
      </c>
      <c r="G1446" s="56">
        <f>[2]Trucks!K1443</f>
        <v>0</v>
      </c>
      <c r="H1446" s="46">
        <f>[2]Trucks!I1443</f>
        <v>0</v>
      </c>
      <c r="I1446" s="83" t="str">
        <f t="shared" si="110"/>
        <v/>
      </c>
      <c r="J1446" s="272" t="str">
        <f>IFERROR(VLOOKUP((D1446&amp;C1446)&amp;"",'[2]Retail Price List'!$C$4:$F$102,3,FALSE),"")</f>
        <v/>
      </c>
      <c r="K1446" s="272">
        <f>IFERROR(IF(BA1446="WIP - 30 Days",VLOOKUP(D1446,[3]Standard!$B$9:$E$101,4,FALSE),IF(BA1446="31-120 Days",VLOOKUP(D1446,[3]Standard!$B$9:$F$101,5,FALSE),IF(BA1446="121-365 Days",VLOOKUP(D1446,[3]Standard!$B$9:$G$101,6,FALSE),VLOOKUP(D1446,[3]Standard!$B$9:$H$101,7,FALSE)))),0)</f>
        <v>0</v>
      </c>
      <c r="L1446" s="272">
        <f>IFERROR(IF(BA1446="WIP - 30 Days",VLOOKUP(D1446,[3]Standard!$B$9:$J$101,9,FALSE),IF(BA1446="31-120 Days",VLOOKUP(D1446,[3]Standard!$B$9:$K$100,10,FALSE),IF(BA1446="121-365 Days",VLOOKUP(D1446,[3]Standard!$B$9:$L$101,11,FALSE),VLOOKUP(D1446,[3]Standard!$B$9:$M$101,12,FALSE)))),0)</f>
        <v>0</v>
      </c>
      <c r="M1446" s="269" t="str">
        <f>IFERROR(VLOOKUP((D1446&amp;C1446)&amp;"",'[2]Retail Price List'!$C$4:$F$102,4,FALSE),"")</f>
        <v/>
      </c>
      <c r="N1446" s="269">
        <f>IFERROR(IF(BA1446="WIP - 30 Days",VLOOKUP(D1446,[3]Extended!$B$9:$E$101,4,FALSE),IF(BA1446="31-120 Days",VLOOKUP(D1446,[3]Extended!$B$9:$F$101,5,FALSE),IF(BA1446="121-365 Days",VLOOKUP(D1446,[3]Extended!$B$9:$G$101,6,FALSE),VLOOKUP(D1446,[3]Extended!$B$9:$H$101,7,FALSE)))),0)</f>
        <v>0</v>
      </c>
      <c r="O1446" s="269">
        <f>IFERROR(IF(BA1446="WIP - 30 Days",VLOOKUP(D1446,[3]Extended!$B$9:$J$101,9,FALSE),IF(BA1446="31-120 Days",VLOOKUP(D1446,[3]Extended!$B$9:$K$101,10,FALSE),IF(BA1446="121-365 Days",VLOOKUP(D1446,[3]Extended!$B$9:$L$101,11,FALSE),VLOOKUP(D1446,[3]Extended!$B$9:$M$101,12,FALSE)))),0)</f>
        <v>0</v>
      </c>
      <c r="P1446" s="116" t="e">
        <f t="shared" si="111"/>
        <v>#VALUE!</v>
      </c>
      <c r="Q1446" s="110" t="e">
        <f>O1446-#REF!</f>
        <v>#REF!</v>
      </c>
      <c r="AT1446" s="88" t="str">
        <f t="shared" si="112"/>
        <v>Special Order0</v>
      </c>
      <c r="AU1446" s="89" t="str">
        <f t="shared" si="113"/>
        <v>01-1900</v>
      </c>
      <c r="BA1446" s="92" t="str">
        <f t="shared" si="114"/>
        <v/>
      </c>
    </row>
    <row r="1447" spans="2:53">
      <c r="B1447" s="60">
        <f>[2]Trucks!A1444</f>
        <v>0</v>
      </c>
      <c r="C1447" s="11">
        <f>[2]Trucks!B1444</f>
        <v>0</v>
      </c>
      <c r="D1447" s="19" t="str">
        <f>IFERROR(VLOOKUP(C1447&amp;"",'[2]Retail Price List'!$A$3:$B$103,2,FALSE),"Special Order")</f>
        <v>Special Order</v>
      </c>
      <c r="E1447" s="18">
        <f>[2]Trucks!J1444</f>
        <v>0</v>
      </c>
      <c r="F1447" s="12">
        <f>[2]Trucks!E1444</f>
        <v>0</v>
      </c>
      <c r="G1447" s="56">
        <f>[2]Trucks!K1444</f>
        <v>0</v>
      </c>
      <c r="H1447" s="46">
        <f>[2]Trucks!I1444</f>
        <v>0</v>
      </c>
      <c r="I1447" s="83" t="str">
        <f t="shared" si="110"/>
        <v/>
      </c>
      <c r="J1447" s="272" t="str">
        <f>IFERROR(VLOOKUP((D1447&amp;C1447)&amp;"",'[2]Retail Price List'!$C$4:$F$102,3,FALSE),"")</f>
        <v/>
      </c>
      <c r="K1447" s="272">
        <f>IFERROR(IF(BA1447="WIP - 30 Days",VLOOKUP(D1447,[3]Standard!$B$9:$E$101,4,FALSE),IF(BA1447="31-120 Days",VLOOKUP(D1447,[3]Standard!$B$9:$F$101,5,FALSE),IF(BA1447="121-365 Days",VLOOKUP(D1447,[3]Standard!$B$9:$G$101,6,FALSE),VLOOKUP(D1447,[3]Standard!$B$9:$H$101,7,FALSE)))),0)</f>
        <v>0</v>
      </c>
      <c r="L1447" s="272">
        <f>IFERROR(IF(BA1447="WIP - 30 Days",VLOOKUP(D1447,[3]Standard!$B$9:$J$101,9,FALSE),IF(BA1447="31-120 Days",VLOOKUP(D1447,[3]Standard!$B$9:$K$100,10,FALSE),IF(BA1447="121-365 Days",VLOOKUP(D1447,[3]Standard!$B$9:$L$101,11,FALSE),VLOOKUP(D1447,[3]Standard!$B$9:$M$101,12,FALSE)))),0)</f>
        <v>0</v>
      </c>
      <c r="M1447" s="269" t="str">
        <f>IFERROR(VLOOKUP((D1447&amp;C1447)&amp;"",'[2]Retail Price List'!$C$4:$F$102,4,FALSE),"")</f>
        <v/>
      </c>
      <c r="N1447" s="269">
        <f>IFERROR(IF(BA1447="WIP - 30 Days",VLOOKUP(D1447,[3]Extended!$B$9:$E$101,4,FALSE),IF(BA1447="31-120 Days",VLOOKUP(D1447,[3]Extended!$B$9:$F$101,5,FALSE),IF(BA1447="121-365 Days",VLOOKUP(D1447,[3]Extended!$B$9:$G$101,6,FALSE),VLOOKUP(D1447,[3]Extended!$B$9:$H$101,7,FALSE)))),0)</f>
        <v>0</v>
      </c>
      <c r="O1447" s="269">
        <f>IFERROR(IF(BA1447="WIP - 30 Days",VLOOKUP(D1447,[3]Extended!$B$9:$J$101,9,FALSE),IF(BA1447="31-120 Days",VLOOKUP(D1447,[3]Extended!$B$9:$K$101,10,FALSE),IF(BA1447="121-365 Days",VLOOKUP(D1447,[3]Extended!$B$9:$L$101,11,FALSE),VLOOKUP(D1447,[3]Extended!$B$9:$M$101,12,FALSE)))),0)</f>
        <v>0</v>
      </c>
      <c r="P1447" s="116" t="e">
        <f t="shared" si="111"/>
        <v>#VALUE!</v>
      </c>
      <c r="Q1447" s="110" t="e">
        <f>O1447-#REF!</f>
        <v>#REF!</v>
      </c>
      <c r="AT1447" s="88" t="str">
        <f t="shared" si="112"/>
        <v>Special Order0</v>
      </c>
      <c r="AU1447" s="89" t="str">
        <f t="shared" si="113"/>
        <v>01-1900</v>
      </c>
      <c r="BA1447" s="92" t="str">
        <f t="shared" si="114"/>
        <v/>
      </c>
    </row>
    <row r="1448" spans="2:53">
      <c r="B1448" s="60">
        <f>[2]Trucks!A1445</f>
        <v>0</v>
      </c>
      <c r="C1448" s="11">
        <f>[2]Trucks!B1445</f>
        <v>0</v>
      </c>
      <c r="D1448" s="19" t="str">
        <f>IFERROR(VLOOKUP(C1448&amp;"",'[2]Retail Price List'!$A$3:$B$103,2,FALSE),"Special Order")</f>
        <v>Special Order</v>
      </c>
      <c r="E1448" s="18">
        <f>[2]Trucks!J1445</f>
        <v>0</v>
      </c>
      <c r="F1448" s="12">
        <f>[2]Trucks!E1445</f>
        <v>0</v>
      </c>
      <c r="G1448" s="56">
        <f>[2]Trucks!K1445</f>
        <v>0</v>
      </c>
      <c r="H1448" s="46">
        <f>[2]Trucks!I1445</f>
        <v>0</v>
      </c>
      <c r="I1448" s="83" t="str">
        <f t="shared" si="110"/>
        <v/>
      </c>
      <c r="J1448" s="272" t="str">
        <f>IFERROR(VLOOKUP((D1448&amp;C1448)&amp;"",'[2]Retail Price List'!$C$4:$F$102,3,FALSE),"")</f>
        <v/>
      </c>
      <c r="K1448" s="272">
        <f>IFERROR(IF(BA1448="WIP - 30 Days",VLOOKUP(D1448,[3]Standard!$B$9:$E$101,4,FALSE),IF(BA1448="31-120 Days",VLOOKUP(D1448,[3]Standard!$B$9:$F$101,5,FALSE),IF(BA1448="121-365 Days",VLOOKUP(D1448,[3]Standard!$B$9:$G$101,6,FALSE),VLOOKUP(D1448,[3]Standard!$B$9:$H$101,7,FALSE)))),0)</f>
        <v>0</v>
      </c>
      <c r="L1448" s="272">
        <f>IFERROR(IF(BA1448="WIP - 30 Days",VLOOKUP(D1448,[3]Standard!$B$9:$J$101,9,FALSE),IF(BA1448="31-120 Days",VLOOKUP(D1448,[3]Standard!$B$9:$K$100,10,FALSE),IF(BA1448="121-365 Days",VLOOKUP(D1448,[3]Standard!$B$9:$L$101,11,FALSE),VLOOKUP(D1448,[3]Standard!$B$9:$M$101,12,FALSE)))),0)</f>
        <v>0</v>
      </c>
      <c r="M1448" s="269" t="str">
        <f>IFERROR(VLOOKUP((D1448&amp;C1448)&amp;"",'[2]Retail Price List'!$C$4:$F$102,4,FALSE),"")</f>
        <v/>
      </c>
      <c r="N1448" s="269">
        <f>IFERROR(IF(BA1448="WIP - 30 Days",VLOOKUP(D1448,[3]Extended!$B$9:$E$101,4,FALSE),IF(BA1448="31-120 Days",VLOOKUP(D1448,[3]Extended!$B$9:$F$101,5,FALSE),IF(BA1448="121-365 Days",VLOOKUP(D1448,[3]Extended!$B$9:$G$101,6,FALSE),VLOOKUP(D1448,[3]Extended!$B$9:$H$101,7,FALSE)))),0)</f>
        <v>0</v>
      </c>
      <c r="O1448" s="269">
        <f>IFERROR(IF(BA1448="WIP - 30 Days",VLOOKUP(D1448,[3]Extended!$B$9:$J$101,9,FALSE),IF(BA1448="31-120 Days",VLOOKUP(D1448,[3]Extended!$B$9:$K$101,10,FALSE),IF(BA1448="121-365 Days",VLOOKUP(D1448,[3]Extended!$B$9:$L$101,11,FALSE),VLOOKUP(D1448,[3]Extended!$B$9:$M$101,12,FALSE)))),0)</f>
        <v>0</v>
      </c>
      <c r="P1448" s="116" t="e">
        <f t="shared" si="111"/>
        <v>#VALUE!</v>
      </c>
      <c r="Q1448" s="110" t="e">
        <f>O1448-#REF!</f>
        <v>#REF!</v>
      </c>
      <c r="AT1448" s="88" t="str">
        <f t="shared" si="112"/>
        <v>Special Order0</v>
      </c>
      <c r="AU1448" s="89" t="str">
        <f t="shared" si="113"/>
        <v>01-1900</v>
      </c>
      <c r="BA1448" s="92" t="str">
        <f t="shared" si="114"/>
        <v/>
      </c>
    </row>
    <row r="1449" spans="2:53">
      <c r="B1449" s="60">
        <f>[2]Trucks!A1446</f>
        <v>0</v>
      </c>
      <c r="C1449" s="11">
        <f>[2]Trucks!B1446</f>
        <v>0</v>
      </c>
      <c r="D1449" s="19" t="str">
        <f>IFERROR(VLOOKUP(C1449&amp;"",'[2]Retail Price List'!$A$3:$B$103,2,FALSE),"Special Order")</f>
        <v>Special Order</v>
      </c>
      <c r="E1449" s="18">
        <f>[2]Trucks!J1446</f>
        <v>0</v>
      </c>
      <c r="F1449" s="12">
        <f>[2]Trucks!E1446</f>
        <v>0</v>
      </c>
      <c r="G1449" s="56">
        <f>[2]Trucks!K1446</f>
        <v>0</v>
      </c>
      <c r="H1449" s="46">
        <f>[2]Trucks!I1446</f>
        <v>0</v>
      </c>
      <c r="I1449" s="83" t="str">
        <f t="shared" si="110"/>
        <v/>
      </c>
      <c r="J1449" s="272" t="str">
        <f>IFERROR(VLOOKUP((D1449&amp;C1449)&amp;"",'[2]Retail Price List'!$C$4:$F$102,3,FALSE),"")</f>
        <v/>
      </c>
      <c r="K1449" s="272">
        <f>IFERROR(IF(BA1449="WIP - 30 Days",VLOOKUP(D1449,[3]Standard!$B$9:$E$101,4,FALSE),IF(BA1449="31-120 Days",VLOOKUP(D1449,[3]Standard!$B$9:$F$101,5,FALSE),IF(BA1449="121-365 Days",VLOOKUP(D1449,[3]Standard!$B$9:$G$101,6,FALSE),VLOOKUP(D1449,[3]Standard!$B$9:$H$101,7,FALSE)))),0)</f>
        <v>0</v>
      </c>
      <c r="L1449" s="272">
        <f>IFERROR(IF(BA1449="WIP - 30 Days",VLOOKUP(D1449,[3]Standard!$B$9:$J$101,9,FALSE),IF(BA1449="31-120 Days",VLOOKUP(D1449,[3]Standard!$B$9:$K$100,10,FALSE),IF(BA1449="121-365 Days",VLOOKUP(D1449,[3]Standard!$B$9:$L$101,11,FALSE),VLOOKUP(D1449,[3]Standard!$B$9:$M$101,12,FALSE)))),0)</f>
        <v>0</v>
      </c>
      <c r="M1449" s="269" t="str">
        <f>IFERROR(VLOOKUP((D1449&amp;C1449)&amp;"",'[2]Retail Price List'!$C$4:$F$102,4,FALSE),"")</f>
        <v/>
      </c>
      <c r="N1449" s="269">
        <f>IFERROR(IF(BA1449="WIP - 30 Days",VLOOKUP(D1449,[3]Extended!$B$9:$E$101,4,FALSE),IF(BA1449="31-120 Days",VLOOKUP(D1449,[3]Extended!$B$9:$F$101,5,FALSE),IF(BA1449="121-365 Days",VLOOKUP(D1449,[3]Extended!$B$9:$G$101,6,FALSE),VLOOKUP(D1449,[3]Extended!$B$9:$H$101,7,FALSE)))),0)</f>
        <v>0</v>
      </c>
      <c r="O1449" s="269">
        <f>IFERROR(IF(BA1449="WIP - 30 Days",VLOOKUP(D1449,[3]Extended!$B$9:$J$101,9,FALSE),IF(BA1449="31-120 Days",VLOOKUP(D1449,[3]Extended!$B$9:$K$101,10,FALSE),IF(BA1449="121-365 Days",VLOOKUP(D1449,[3]Extended!$B$9:$L$101,11,FALSE),VLOOKUP(D1449,[3]Extended!$B$9:$M$101,12,FALSE)))),0)</f>
        <v>0</v>
      </c>
      <c r="P1449" s="116" t="e">
        <f t="shared" si="111"/>
        <v>#VALUE!</v>
      </c>
      <c r="Q1449" s="110" t="e">
        <f>O1449-#REF!</f>
        <v>#REF!</v>
      </c>
      <c r="AT1449" s="88" t="str">
        <f t="shared" si="112"/>
        <v>Special Order0</v>
      </c>
      <c r="AU1449" s="89" t="str">
        <f t="shared" si="113"/>
        <v>01-1900</v>
      </c>
      <c r="BA1449" s="92" t="str">
        <f t="shared" si="114"/>
        <v/>
      </c>
    </row>
    <row r="1450" spans="2:53">
      <c r="B1450" s="60">
        <f>[2]Trucks!A1447</f>
        <v>0</v>
      </c>
      <c r="C1450" s="11">
        <f>[2]Trucks!B1447</f>
        <v>0</v>
      </c>
      <c r="D1450" s="19" t="str">
        <f>IFERROR(VLOOKUP(C1450&amp;"",'[2]Retail Price List'!$A$3:$B$103,2,FALSE),"Special Order")</f>
        <v>Special Order</v>
      </c>
      <c r="E1450" s="18">
        <f>[2]Trucks!J1447</f>
        <v>0</v>
      </c>
      <c r="F1450" s="12">
        <f>[2]Trucks!E1447</f>
        <v>0</v>
      </c>
      <c r="G1450" s="56">
        <f>[2]Trucks!K1447</f>
        <v>0</v>
      </c>
      <c r="H1450" s="46">
        <f>[2]Trucks!I1447</f>
        <v>0</v>
      </c>
      <c r="I1450" s="83" t="str">
        <f t="shared" si="110"/>
        <v/>
      </c>
      <c r="J1450" s="272" t="str">
        <f>IFERROR(VLOOKUP((D1450&amp;C1450)&amp;"",'[2]Retail Price List'!$C$4:$F$102,3,FALSE),"")</f>
        <v/>
      </c>
      <c r="K1450" s="272">
        <f>IFERROR(IF(BA1450="WIP - 30 Days",VLOOKUP(D1450,[3]Standard!$B$9:$E$101,4,FALSE),IF(BA1450="31-120 Days",VLOOKUP(D1450,[3]Standard!$B$9:$F$101,5,FALSE),IF(BA1450="121-365 Days",VLOOKUP(D1450,[3]Standard!$B$9:$G$101,6,FALSE),VLOOKUP(D1450,[3]Standard!$B$9:$H$101,7,FALSE)))),0)</f>
        <v>0</v>
      </c>
      <c r="L1450" s="272">
        <f>IFERROR(IF(BA1450="WIP - 30 Days",VLOOKUP(D1450,[3]Standard!$B$9:$J$101,9,FALSE),IF(BA1450="31-120 Days",VLOOKUP(D1450,[3]Standard!$B$9:$K$100,10,FALSE),IF(BA1450="121-365 Days",VLOOKUP(D1450,[3]Standard!$B$9:$L$101,11,FALSE),VLOOKUP(D1450,[3]Standard!$B$9:$M$101,12,FALSE)))),0)</f>
        <v>0</v>
      </c>
      <c r="M1450" s="269" t="str">
        <f>IFERROR(VLOOKUP((D1450&amp;C1450)&amp;"",'[2]Retail Price List'!$C$4:$F$102,4,FALSE),"")</f>
        <v/>
      </c>
      <c r="N1450" s="269">
        <f>IFERROR(IF(BA1450="WIP - 30 Days",VLOOKUP(D1450,[3]Extended!$B$9:$E$101,4,FALSE),IF(BA1450="31-120 Days",VLOOKUP(D1450,[3]Extended!$B$9:$F$101,5,FALSE),IF(BA1450="121-365 Days",VLOOKUP(D1450,[3]Extended!$B$9:$G$101,6,FALSE),VLOOKUP(D1450,[3]Extended!$B$9:$H$101,7,FALSE)))),0)</f>
        <v>0</v>
      </c>
      <c r="O1450" s="269">
        <f>IFERROR(IF(BA1450="WIP - 30 Days",VLOOKUP(D1450,[3]Extended!$B$9:$J$101,9,FALSE),IF(BA1450="31-120 Days",VLOOKUP(D1450,[3]Extended!$B$9:$K$101,10,FALSE),IF(BA1450="121-365 Days",VLOOKUP(D1450,[3]Extended!$B$9:$L$101,11,FALSE),VLOOKUP(D1450,[3]Extended!$B$9:$M$101,12,FALSE)))),0)</f>
        <v>0</v>
      </c>
      <c r="P1450" s="116" t="e">
        <f t="shared" si="111"/>
        <v>#VALUE!</v>
      </c>
      <c r="Q1450" s="110" t="e">
        <f>O1450-#REF!</f>
        <v>#REF!</v>
      </c>
      <c r="AT1450" s="88" t="str">
        <f t="shared" si="112"/>
        <v>Special Order0</v>
      </c>
      <c r="AU1450" s="89" t="str">
        <f t="shared" si="113"/>
        <v>01-1900</v>
      </c>
      <c r="BA1450" s="92" t="str">
        <f t="shared" si="114"/>
        <v/>
      </c>
    </row>
    <row r="1451" spans="2:53">
      <c r="B1451" s="60">
        <f>[2]Trucks!A1448</f>
        <v>0</v>
      </c>
      <c r="C1451" s="11">
        <f>[2]Trucks!B1448</f>
        <v>0</v>
      </c>
      <c r="D1451" s="19" t="str">
        <f>IFERROR(VLOOKUP(C1451&amp;"",'[2]Retail Price List'!$A$3:$B$103,2,FALSE),"Special Order")</f>
        <v>Special Order</v>
      </c>
      <c r="E1451" s="18">
        <f>[2]Trucks!J1448</f>
        <v>0</v>
      </c>
      <c r="F1451" s="12">
        <f>[2]Trucks!E1448</f>
        <v>0</v>
      </c>
      <c r="G1451" s="56">
        <f>[2]Trucks!K1448</f>
        <v>0</v>
      </c>
      <c r="H1451" s="46">
        <f>[2]Trucks!I1448</f>
        <v>0</v>
      </c>
      <c r="I1451" s="83" t="str">
        <f t="shared" si="110"/>
        <v/>
      </c>
      <c r="J1451" s="272" t="str">
        <f>IFERROR(VLOOKUP((D1451&amp;C1451)&amp;"",'[2]Retail Price List'!$C$4:$F$102,3,FALSE),"")</f>
        <v/>
      </c>
      <c r="K1451" s="272">
        <f>IFERROR(IF(BA1451="WIP - 30 Days",VLOOKUP(D1451,[3]Standard!$B$9:$E$101,4,FALSE),IF(BA1451="31-120 Days",VLOOKUP(D1451,[3]Standard!$B$9:$F$101,5,FALSE),IF(BA1451="121-365 Days",VLOOKUP(D1451,[3]Standard!$B$9:$G$101,6,FALSE),VLOOKUP(D1451,[3]Standard!$B$9:$H$101,7,FALSE)))),0)</f>
        <v>0</v>
      </c>
      <c r="L1451" s="272">
        <f>IFERROR(IF(BA1451="WIP - 30 Days",VLOOKUP(D1451,[3]Standard!$B$9:$J$101,9,FALSE),IF(BA1451="31-120 Days",VLOOKUP(D1451,[3]Standard!$B$9:$K$100,10,FALSE),IF(BA1451="121-365 Days",VLOOKUP(D1451,[3]Standard!$B$9:$L$101,11,FALSE),VLOOKUP(D1451,[3]Standard!$B$9:$M$101,12,FALSE)))),0)</f>
        <v>0</v>
      </c>
      <c r="M1451" s="269" t="str">
        <f>IFERROR(VLOOKUP((D1451&amp;C1451)&amp;"",'[2]Retail Price List'!$C$4:$F$102,4,FALSE),"")</f>
        <v/>
      </c>
      <c r="N1451" s="269">
        <f>IFERROR(IF(BA1451="WIP - 30 Days",VLOOKUP(D1451,[3]Extended!$B$9:$E$101,4,FALSE),IF(BA1451="31-120 Days",VLOOKUP(D1451,[3]Extended!$B$9:$F$101,5,FALSE),IF(BA1451="121-365 Days",VLOOKUP(D1451,[3]Extended!$B$9:$G$101,6,FALSE),VLOOKUP(D1451,[3]Extended!$B$9:$H$101,7,FALSE)))),0)</f>
        <v>0</v>
      </c>
      <c r="O1451" s="269">
        <f>IFERROR(IF(BA1451="WIP - 30 Days",VLOOKUP(D1451,[3]Extended!$B$9:$J$101,9,FALSE),IF(BA1451="31-120 Days",VLOOKUP(D1451,[3]Extended!$B$9:$K$101,10,FALSE),IF(BA1451="121-365 Days",VLOOKUP(D1451,[3]Extended!$B$9:$L$101,11,FALSE),VLOOKUP(D1451,[3]Extended!$B$9:$M$101,12,FALSE)))),0)</f>
        <v>0</v>
      </c>
      <c r="P1451" s="116" t="e">
        <f t="shared" si="111"/>
        <v>#VALUE!</v>
      </c>
      <c r="Q1451" s="110" t="e">
        <f>O1451-#REF!</f>
        <v>#REF!</v>
      </c>
      <c r="AT1451" s="88" t="str">
        <f t="shared" si="112"/>
        <v>Special Order0</v>
      </c>
      <c r="AU1451" s="89" t="str">
        <f t="shared" si="113"/>
        <v>01-1900</v>
      </c>
      <c r="BA1451" s="92" t="str">
        <f t="shared" si="114"/>
        <v/>
      </c>
    </row>
    <row r="1452" spans="2:53">
      <c r="B1452" s="60">
        <f>[2]Trucks!A1449</f>
        <v>0</v>
      </c>
      <c r="C1452" s="11">
        <f>[2]Trucks!B1449</f>
        <v>0</v>
      </c>
      <c r="D1452" s="19" t="str">
        <f>IFERROR(VLOOKUP(C1452&amp;"",'[2]Retail Price List'!$A$3:$B$103,2,FALSE),"Special Order")</f>
        <v>Special Order</v>
      </c>
      <c r="E1452" s="18">
        <f>[2]Trucks!J1449</f>
        <v>0</v>
      </c>
      <c r="F1452" s="12">
        <f>[2]Trucks!E1449</f>
        <v>0</v>
      </c>
      <c r="G1452" s="56">
        <f>[2]Trucks!K1449</f>
        <v>0</v>
      </c>
      <c r="H1452" s="46">
        <f>[2]Trucks!I1449</f>
        <v>0</v>
      </c>
      <c r="I1452" s="83" t="str">
        <f t="shared" si="110"/>
        <v/>
      </c>
      <c r="J1452" s="272" t="str">
        <f>IFERROR(VLOOKUP((D1452&amp;C1452)&amp;"",'[2]Retail Price List'!$C$4:$F$102,3,FALSE),"")</f>
        <v/>
      </c>
      <c r="K1452" s="272">
        <f>IFERROR(IF(BA1452="WIP - 30 Days",VLOOKUP(D1452,[3]Standard!$B$9:$E$101,4,FALSE),IF(BA1452="31-120 Days",VLOOKUP(D1452,[3]Standard!$B$9:$F$101,5,FALSE),IF(BA1452="121-365 Days",VLOOKUP(D1452,[3]Standard!$B$9:$G$101,6,FALSE),VLOOKUP(D1452,[3]Standard!$B$9:$H$101,7,FALSE)))),0)</f>
        <v>0</v>
      </c>
      <c r="L1452" s="272">
        <f>IFERROR(IF(BA1452="WIP - 30 Days",VLOOKUP(D1452,[3]Standard!$B$9:$J$101,9,FALSE),IF(BA1452="31-120 Days",VLOOKUP(D1452,[3]Standard!$B$9:$K$100,10,FALSE),IF(BA1452="121-365 Days",VLOOKUP(D1452,[3]Standard!$B$9:$L$101,11,FALSE),VLOOKUP(D1452,[3]Standard!$B$9:$M$101,12,FALSE)))),0)</f>
        <v>0</v>
      </c>
      <c r="M1452" s="269" t="str">
        <f>IFERROR(VLOOKUP((D1452&amp;C1452)&amp;"",'[2]Retail Price List'!$C$4:$F$102,4,FALSE),"")</f>
        <v/>
      </c>
      <c r="N1452" s="269">
        <f>IFERROR(IF(BA1452="WIP - 30 Days",VLOOKUP(D1452,[3]Extended!$B$9:$E$101,4,FALSE),IF(BA1452="31-120 Days",VLOOKUP(D1452,[3]Extended!$B$9:$F$101,5,FALSE),IF(BA1452="121-365 Days",VLOOKUP(D1452,[3]Extended!$B$9:$G$101,6,FALSE),VLOOKUP(D1452,[3]Extended!$B$9:$H$101,7,FALSE)))),0)</f>
        <v>0</v>
      </c>
      <c r="O1452" s="269">
        <f>IFERROR(IF(BA1452="WIP - 30 Days",VLOOKUP(D1452,[3]Extended!$B$9:$J$101,9,FALSE),IF(BA1452="31-120 Days",VLOOKUP(D1452,[3]Extended!$B$9:$K$101,10,FALSE),IF(BA1452="121-365 Days",VLOOKUP(D1452,[3]Extended!$B$9:$L$101,11,FALSE),VLOOKUP(D1452,[3]Extended!$B$9:$M$101,12,FALSE)))),0)</f>
        <v>0</v>
      </c>
      <c r="P1452" s="116" t="e">
        <f t="shared" si="111"/>
        <v>#VALUE!</v>
      </c>
      <c r="Q1452" s="110" t="e">
        <f>O1452-#REF!</f>
        <v>#REF!</v>
      </c>
      <c r="AT1452" s="88" t="str">
        <f t="shared" si="112"/>
        <v>Special Order0</v>
      </c>
      <c r="AU1452" s="89" t="str">
        <f t="shared" si="113"/>
        <v>01-1900</v>
      </c>
      <c r="BA1452" s="92" t="str">
        <f t="shared" si="114"/>
        <v/>
      </c>
    </row>
    <row r="1453" spans="2:53">
      <c r="B1453" s="60">
        <f>[2]Trucks!A1450</f>
        <v>0</v>
      </c>
      <c r="C1453" s="11">
        <f>[2]Trucks!B1450</f>
        <v>0</v>
      </c>
      <c r="D1453" s="19" t="str">
        <f>IFERROR(VLOOKUP(C1453&amp;"",'[2]Retail Price List'!$A$3:$B$103,2,FALSE),"Special Order")</f>
        <v>Special Order</v>
      </c>
      <c r="E1453" s="18">
        <f>[2]Trucks!J1450</f>
        <v>0</v>
      </c>
      <c r="F1453" s="12">
        <f>[2]Trucks!E1450</f>
        <v>0</v>
      </c>
      <c r="G1453" s="56">
        <f>[2]Trucks!K1450</f>
        <v>0</v>
      </c>
      <c r="H1453" s="46">
        <f>[2]Trucks!I1450</f>
        <v>0</v>
      </c>
      <c r="I1453" s="83" t="str">
        <f t="shared" si="110"/>
        <v/>
      </c>
      <c r="J1453" s="272" t="str">
        <f>IFERROR(VLOOKUP((D1453&amp;C1453)&amp;"",'[2]Retail Price List'!$C$4:$F$102,3,FALSE),"")</f>
        <v/>
      </c>
      <c r="K1453" s="272">
        <f>IFERROR(IF(BA1453="WIP - 30 Days",VLOOKUP(D1453,[3]Standard!$B$9:$E$101,4,FALSE),IF(BA1453="31-120 Days",VLOOKUP(D1453,[3]Standard!$B$9:$F$101,5,FALSE),IF(BA1453="121-365 Days",VLOOKUP(D1453,[3]Standard!$B$9:$G$101,6,FALSE),VLOOKUP(D1453,[3]Standard!$B$9:$H$101,7,FALSE)))),0)</f>
        <v>0</v>
      </c>
      <c r="L1453" s="272">
        <f>IFERROR(IF(BA1453="WIP - 30 Days",VLOOKUP(D1453,[3]Standard!$B$9:$J$101,9,FALSE),IF(BA1453="31-120 Days",VLOOKUP(D1453,[3]Standard!$B$9:$K$100,10,FALSE),IF(BA1453="121-365 Days",VLOOKUP(D1453,[3]Standard!$B$9:$L$101,11,FALSE),VLOOKUP(D1453,[3]Standard!$B$9:$M$101,12,FALSE)))),0)</f>
        <v>0</v>
      </c>
      <c r="M1453" s="269" t="str">
        <f>IFERROR(VLOOKUP((D1453&amp;C1453)&amp;"",'[2]Retail Price List'!$C$4:$F$102,4,FALSE),"")</f>
        <v/>
      </c>
      <c r="N1453" s="269">
        <f>IFERROR(IF(BA1453="WIP - 30 Days",VLOOKUP(D1453,[3]Extended!$B$9:$E$101,4,FALSE),IF(BA1453="31-120 Days",VLOOKUP(D1453,[3]Extended!$B$9:$F$101,5,FALSE),IF(BA1453="121-365 Days",VLOOKUP(D1453,[3]Extended!$B$9:$G$101,6,FALSE),VLOOKUP(D1453,[3]Extended!$B$9:$H$101,7,FALSE)))),0)</f>
        <v>0</v>
      </c>
      <c r="O1453" s="269">
        <f>IFERROR(IF(BA1453="WIP - 30 Days",VLOOKUP(D1453,[3]Extended!$B$9:$J$101,9,FALSE),IF(BA1453="31-120 Days",VLOOKUP(D1453,[3]Extended!$B$9:$K$101,10,FALSE),IF(BA1453="121-365 Days",VLOOKUP(D1453,[3]Extended!$B$9:$L$101,11,FALSE),VLOOKUP(D1453,[3]Extended!$B$9:$M$101,12,FALSE)))),0)</f>
        <v>0</v>
      </c>
      <c r="P1453" s="116" t="e">
        <f t="shared" si="111"/>
        <v>#VALUE!</v>
      </c>
      <c r="Q1453" s="110" t="e">
        <f>O1453-#REF!</f>
        <v>#REF!</v>
      </c>
      <c r="AT1453" s="88" t="str">
        <f t="shared" si="112"/>
        <v>Special Order0</v>
      </c>
      <c r="AU1453" s="89" t="str">
        <f t="shared" si="113"/>
        <v>01-1900</v>
      </c>
      <c r="BA1453" s="92" t="str">
        <f t="shared" si="114"/>
        <v/>
      </c>
    </row>
    <row r="1454" spans="2:53">
      <c r="B1454" s="60">
        <f>[2]Trucks!A1451</f>
        <v>0</v>
      </c>
      <c r="C1454" s="11">
        <f>[2]Trucks!B1451</f>
        <v>0</v>
      </c>
      <c r="D1454" s="19" t="str">
        <f>IFERROR(VLOOKUP(C1454&amp;"",'[2]Retail Price List'!$A$3:$B$103,2,FALSE),"Special Order")</f>
        <v>Special Order</v>
      </c>
      <c r="E1454" s="18">
        <f>[2]Trucks!J1451</f>
        <v>0</v>
      </c>
      <c r="F1454" s="12">
        <f>[2]Trucks!E1451</f>
        <v>0</v>
      </c>
      <c r="G1454" s="56">
        <f>[2]Trucks!K1451</f>
        <v>0</v>
      </c>
      <c r="H1454" s="46">
        <f>[2]Trucks!I1451</f>
        <v>0</v>
      </c>
      <c r="I1454" s="83" t="str">
        <f t="shared" si="110"/>
        <v/>
      </c>
      <c r="J1454" s="272" t="str">
        <f>IFERROR(VLOOKUP((D1454&amp;C1454)&amp;"",'[2]Retail Price List'!$C$4:$F$102,3,FALSE),"")</f>
        <v/>
      </c>
      <c r="K1454" s="272">
        <f>IFERROR(IF(BA1454="WIP - 30 Days",VLOOKUP(D1454,[3]Standard!$B$9:$E$101,4,FALSE),IF(BA1454="31-120 Days",VLOOKUP(D1454,[3]Standard!$B$9:$F$101,5,FALSE),IF(BA1454="121-365 Days",VLOOKUP(D1454,[3]Standard!$B$9:$G$101,6,FALSE),VLOOKUP(D1454,[3]Standard!$B$9:$H$101,7,FALSE)))),0)</f>
        <v>0</v>
      </c>
      <c r="L1454" s="272">
        <f>IFERROR(IF(BA1454="WIP - 30 Days",VLOOKUP(D1454,[3]Standard!$B$9:$J$101,9,FALSE),IF(BA1454="31-120 Days",VLOOKUP(D1454,[3]Standard!$B$9:$K$100,10,FALSE),IF(BA1454="121-365 Days",VLOOKUP(D1454,[3]Standard!$B$9:$L$101,11,FALSE),VLOOKUP(D1454,[3]Standard!$B$9:$M$101,12,FALSE)))),0)</f>
        <v>0</v>
      </c>
      <c r="M1454" s="269" t="str">
        <f>IFERROR(VLOOKUP((D1454&amp;C1454)&amp;"",'[2]Retail Price List'!$C$4:$F$102,4,FALSE),"")</f>
        <v/>
      </c>
      <c r="N1454" s="269">
        <f>IFERROR(IF(BA1454="WIP - 30 Days",VLOOKUP(D1454,[3]Extended!$B$9:$E$101,4,FALSE),IF(BA1454="31-120 Days",VLOOKUP(D1454,[3]Extended!$B$9:$F$101,5,FALSE),IF(BA1454="121-365 Days",VLOOKUP(D1454,[3]Extended!$B$9:$G$101,6,FALSE),VLOOKUP(D1454,[3]Extended!$B$9:$H$101,7,FALSE)))),0)</f>
        <v>0</v>
      </c>
      <c r="O1454" s="269">
        <f>IFERROR(IF(BA1454="WIP - 30 Days",VLOOKUP(D1454,[3]Extended!$B$9:$J$101,9,FALSE),IF(BA1454="31-120 Days",VLOOKUP(D1454,[3]Extended!$B$9:$K$101,10,FALSE),IF(BA1454="121-365 Days",VLOOKUP(D1454,[3]Extended!$B$9:$L$101,11,FALSE),VLOOKUP(D1454,[3]Extended!$B$9:$M$101,12,FALSE)))),0)</f>
        <v>0</v>
      </c>
      <c r="P1454" s="116" t="e">
        <f t="shared" si="111"/>
        <v>#VALUE!</v>
      </c>
      <c r="Q1454" s="110" t="e">
        <f>O1454-#REF!</f>
        <v>#REF!</v>
      </c>
      <c r="AT1454" s="88" t="str">
        <f t="shared" si="112"/>
        <v>Special Order0</v>
      </c>
      <c r="AU1454" s="89" t="str">
        <f t="shared" si="113"/>
        <v>01-1900</v>
      </c>
      <c r="BA1454" s="92" t="str">
        <f t="shared" si="114"/>
        <v/>
      </c>
    </row>
    <row r="1455" spans="2:53">
      <c r="B1455" s="60">
        <f>[2]Trucks!A1452</f>
        <v>0</v>
      </c>
      <c r="C1455" s="11">
        <f>[2]Trucks!B1452</f>
        <v>0</v>
      </c>
      <c r="D1455" s="19" t="str">
        <f>IFERROR(VLOOKUP(C1455&amp;"",'[2]Retail Price List'!$A$3:$B$103,2,FALSE),"Special Order")</f>
        <v>Special Order</v>
      </c>
      <c r="E1455" s="18">
        <f>[2]Trucks!J1452</f>
        <v>0</v>
      </c>
      <c r="F1455" s="12">
        <f>[2]Trucks!E1452</f>
        <v>0</v>
      </c>
      <c r="G1455" s="56">
        <f>[2]Trucks!K1452</f>
        <v>0</v>
      </c>
      <c r="H1455" s="46">
        <f>[2]Trucks!I1452</f>
        <v>0</v>
      </c>
      <c r="I1455" s="83" t="str">
        <f t="shared" si="110"/>
        <v/>
      </c>
      <c r="J1455" s="272" t="str">
        <f>IFERROR(VLOOKUP((D1455&amp;C1455)&amp;"",'[2]Retail Price List'!$C$4:$F$102,3,FALSE),"")</f>
        <v/>
      </c>
      <c r="K1455" s="272">
        <f>IFERROR(IF(BA1455="WIP - 30 Days",VLOOKUP(D1455,[3]Standard!$B$9:$E$101,4,FALSE),IF(BA1455="31-120 Days",VLOOKUP(D1455,[3]Standard!$B$9:$F$101,5,FALSE),IF(BA1455="121-365 Days",VLOOKUP(D1455,[3]Standard!$B$9:$G$101,6,FALSE),VLOOKUP(D1455,[3]Standard!$B$9:$H$101,7,FALSE)))),0)</f>
        <v>0</v>
      </c>
      <c r="L1455" s="272">
        <f>IFERROR(IF(BA1455="WIP - 30 Days",VLOOKUP(D1455,[3]Standard!$B$9:$J$101,9,FALSE),IF(BA1455="31-120 Days",VLOOKUP(D1455,[3]Standard!$B$9:$K$100,10,FALSE),IF(BA1455="121-365 Days",VLOOKUP(D1455,[3]Standard!$B$9:$L$101,11,FALSE),VLOOKUP(D1455,[3]Standard!$B$9:$M$101,12,FALSE)))),0)</f>
        <v>0</v>
      </c>
      <c r="M1455" s="269" t="str">
        <f>IFERROR(VLOOKUP((D1455&amp;C1455)&amp;"",'[2]Retail Price List'!$C$4:$F$102,4,FALSE),"")</f>
        <v/>
      </c>
      <c r="N1455" s="269">
        <f>IFERROR(IF(BA1455="WIP - 30 Days",VLOOKUP(D1455,[3]Extended!$B$9:$E$101,4,FALSE),IF(BA1455="31-120 Days",VLOOKUP(D1455,[3]Extended!$B$9:$F$101,5,FALSE),IF(BA1455="121-365 Days",VLOOKUP(D1455,[3]Extended!$B$9:$G$101,6,FALSE),VLOOKUP(D1455,[3]Extended!$B$9:$H$101,7,FALSE)))),0)</f>
        <v>0</v>
      </c>
      <c r="O1455" s="269">
        <f>IFERROR(IF(BA1455="WIP - 30 Days",VLOOKUP(D1455,[3]Extended!$B$9:$J$101,9,FALSE),IF(BA1455="31-120 Days",VLOOKUP(D1455,[3]Extended!$B$9:$K$101,10,FALSE),IF(BA1455="121-365 Days",VLOOKUP(D1455,[3]Extended!$B$9:$L$101,11,FALSE),VLOOKUP(D1455,[3]Extended!$B$9:$M$101,12,FALSE)))),0)</f>
        <v>0</v>
      </c>
      <c r="P1455" s="116" t="e">
        <f t="shared" si="111"/>
        <v>#VALUE!</v>
      </c>
      <c r="Q1455" s="110" t="e">
        <f>O1455-#REF!</f>
        <v>#REF!</v>
      </c>
      <c r="AT1455" s="88" t="str">
        <f t="shared" si="112"/>
        <v>Special Order0</v>
      </c>
      <c r="AU1455" s="89" t="str">
        <f t="shared" si="113"/>
        <v>01-1900</v>
      </c>
      <c r="BA1455" s="92" t="str">
        <f t="shared" si="114"/>
        <v/>
      </c>
    </row>
    <row r="1456" spans="2:53">
      <c r="B1456" s="60">
        <f>[2]Trucks!A1453</f>
        <v>0</v>
      </c>
      <c r="C1456" s="11">
        <f>[2]Trucks!B1453</f>
        <v>0</v>
      </c>
      <c r="D1456" s="19" t="str">
        <f>IFERROR(VLOOKUP(C1456&amp;"",'[2]Retail Price List'!$A$3:$B$103,2,FALSE),"Special Order")</f>
        <v>Special Order</v>
      </c>
      <c r="E1456" s="18">
        <f>[2]Trucks!J1453</f>
        <v>0</v>
      </c>
      <c r="F1456" s="12">
        <f>[2]Trucks!E1453</f>
        <v>0</v>
      </c>
      <c r="G1456" s="56">
        <f>[2]Trucks!K1453</f>
        <v>0</v>
      </c>
      <c r="H1456" s="46">
        <f>[2]Trucks!I1453</f>
        <v>0</v>
      </c>
      <c r="I1456" s="83" t="str">
        <f t="shared" si="110"/>
        <v/>
      </c>
      <c r="J1456" s="272" t="str">
        <f>IFERROR(VLOOKUP((D1456&amp;C1456)&amp;"",'[2]Retail Price List'!$C$4:$F$102,3,FALSE),"")</f>
        <v/>
      </c>
      <c r="K1456" s="272">
        <f>IFERROR(IF(BA1456="WIP - 30 Days",VLOOKUP(D1456,[3]Standard!$B$9:$E$101,4,FALSE),IF(BA1456="31-120 Days",VLOOKUP(D1456,[3]Standard!$B$9:$F$101,5,FALSE),IF(BA1456="121-365 Days",VLOOKUP(D1456,[3]Standard!$B$9:$G$101,6,FALSE),VLOOKUP(D1456,[3]Standard!$B$9:$H$101,7,FALSE)))),0)</f>
        <v>0</v>
      </c>
      <c r="L1456" s="272">
        <f>IFERROR(IF(BA1456="WIP - 30 Days",VLOOKUP(D1456,[3]Standard!$B$9:$J$101,9,FALSE),IF(BA1456="31-120 Days",VLOOKUP(D1456,[3]Standard!$B$9:$K$100,10,FALSE),IF(BA1456="121-365 Days",VLOOKUP(D1456,[3]Standard!$B$9:$L$101,11,FALSE),VLOOKUP(D1456,[3]Standard!$B$9:$M$101,12,FALSE)))),0)</f>
        <v>0</v>
      </c>
      <c r="M1456" s="269" t="str">
        <f>IFERROR(VLOOKUP((D1456&amp;C1456)&amp;"",'[2]Retail Price List'!$C$4:$F$102,4,FALSE),"")</f>
        <v/>
      </c>
      <c r="N1456" s="269">
        <f>IFERROR(IF(BA1456="WIP - 30 Days",VLOOKUP(D1456,[3]Extended!$B$9:$E$101,4,FALSE),IF(BA1456="31-120 Days",VLOOKUP(D1456,[3]Extended!$B$9:$F$101,5,FALSE),IF(BA1456="121-365 Days",VLOOKUP(D1456,[3]Extended!$B$9:$G$101,6,FALSE),VLOOKUP(D1456,[3]Extended!$B$9:$H$101,7,FALSE)))),0)</f>
        <v>0</v>
      </c>
      <c r="O1456" s="269">
        <f>IFERROR(IF(BA1456="WIP - 30 Days",VLOOKUP(D1456,[3]Extended!$B$9:$J$101,9,FALSE),IF(BA1456="31-120 Days",VLOOKUP(D1456,[3]Extended!$B$9:$K$101,10,FALSE),IF(BA1456="121-365 Days",VLOOKUP(D1456,[3]Extended!$B$9:$L$101,11,FALSE),VLOOKUP(D1456,[3]Extended!$B$9:$M$101,12,FALSE)))),0)</f>
        <v>0</v>
      </c>
      <c r="P1456" s="116" t="e">
        <f t="shared" si="111"/>
        <v>#VALUE!</v>
      </c>
      <c r="Q1456" s="110" t="e">
        <f>O1456-#REF!</f>
        <v>#REF!</v>
      </c>
      <c r="AT1456" s="88" t="str">
        <f t="shared" si="112"/>
        <v>Special Order0</v>
      </c>
      <c r="AU1456" s="89" t="str">
        <f t="shared" si="113"/>
        <v>01-1900</v>
      </c>
      <c r="BA1456" s="92" t="str">
        <f t="shared" si="114"/>
        <v/>
      </c>
    </row>
    <row r="1457" spans="2:53">
      <c r="B1457" s="60">
        <f>[2]Trucks!A1454</f>
        <v>0</v>
      </c>
      <c r="C1457" s="11">
        <f>[2]Trucks!B1454</f>
        <v>0</v>
      </c>
      <c r="D1457" s="19" t="str">
        <f>IFERROR(VLOOKUP(C1457&amp;"",'[2]Retail Price List'!$A$3:$B$103,2,FALSE),"Special Order")</f>
        <v>Special Order</v>
      </c>
      <c r="E1457" s="18">
        <f>[2]Trucks!J1454</f>
        <v>0</v>
      </c>
      <c r="F1457" s="12">
        <f>[2]Trucks!E1454</f>
        <v>0</v>
      </c>
      <c r="G1457" s="56">
        <f>[2]Trucks!K1454</f>
        <v>0</v>
      </c>
      <c r="H1457" s="46">
        <f>[2]Trucks!I1454</f>
        <v>0</v>
      </c>
      <c r="I1457" s="83" t="str">
        <f t="shared" si="110"/>
        <v/>
      </c>
      <c r="J1457" s="272" t="str">
        <f>IFERROR(VLOOKUP((D1457&amp;C1457)&amp;"",'[2]Retail Price List'!$C$4:$F$102,3,FALSE),"")</f>
        <v/>
      </c>
      <c r="K1457" s="272">
        <f>IFERROR(IF(BA1457="WIP - 30 Days",VLOOKUP(D1457,[3]Standard!$B$9:$E$101,4,FALSE),IF(BA1457="31-120 Days",VLOOKUP(D1457,[3]Standard!$B$9:$F$101,5,FALSE),IF(BA1457="121-365 Days",VLOOKUP(D1457,[3]Standard!$B$9:$G$101,6,FALSE),VLOOKUP(D1457,[3]Standard!$B$9:$H$101,7,FALSE)))),0)</f>
        <v>0</v>
      </c>
      <c r="L1457" s="272">
        <f>IFERROR(IF(BA1457="WIP - 30 Days",VLOOKUP(D1457,[3]Standard!$B$9:$J$101,9,FALSE),IF(BA1457="31-120 Days",VLOOKUP(D1457,[3]Standard!$B$9:$K$100,10,FALSE),IF(BA1457="121-365 Days",VLOOKUP(D1457,[3]Standard!$B$9:$L$101,11,FALSE),VLOOKUP(D1457,[3]Standard!$B$9:$M$101,12,FALSE)))),0)</f>
        <v>0</v>
      </c>
      <c r="M1457" s="269" t="str">
        <f>IFERROR(VLOOKUP((D1457&amp;C1457)&amp;"",'[2]Retail Price List'!$C$4:$F$102,4,FALSE),"")</f>
        <v/>
      </c>
      <c r="N1457" s="269">
        <f>IFERROR(IF(BA1457="WIP - 30 Days",VLOOKUP(D1457,[3]Extended!$B$9:$E$101,4,FALSE),IF(BA1457="31-120 Days",VLOOKUP(D1457,[3]Extended!$B$9:$F$101,5,FALSE),IF(BA1457="121-365 Days",VLOOKUP(D1457,[3]Extended!$B$9:$G$101,6,FALSE),VLOOKUP(D1457,[3]Extended!$B$9:$H$101,7,FALSE)))),0)</f>
        <v>0</v>
      </c>
      <c r="O1457" s="269">
        <f>IFERROR(IF(BA1457="WIP - 30 Days",VLOOKUP(D1457,[3]Extended!$B$9:$J$101,9,FALSE),IF(BA1457="31-120 Days",VLOOKUP(D1457,[3]Extended!$B$9:$K$101,10,FALSE),IF(BA1457="121-365 Days",VLOOKUP(D1457,[3]Extended!$B$9:$L$101,11,FALSE),VLOOKUP(D1457,[3]Extended!$B$9:$M$101,12,FALSE)))),0)</f>
        <v>0</v>
      </c>
      <c r="P1457" s="116" t="e">
        <f t="shared" si="111"/>
        <v>#VALUE!</v>
      </c>
      <c r="Q1457" s="110" t="e">
        <f>O1457-#REF!</f>
        <v>#REF!</v>
      </c>
      <c r="AT1457" s="88" t="str">
        <f t="shared" si="112"/>
        <v>Special Order0</v>
      </c>
      <c r="AU1457" s="89" t="str">
        <f t="shared" si="113"/>
        <v>01-1900</v>
      </c>
      <c r="BA1457" s="92" t="str">
        <f t="shared" si="114"/>
        <v/>
      </c>
    </row>
    <row r="1458" spans="2:53">
      <c r="B1458" s="60">
        <f>[2]Trucks!A1455</f>
        <v>0</v>
      </c>
      <c r="C1458" s="11">
        <f>[2]Trucks!B1455</f>
        <v>0</v>
      </c>
      <c r="D1458" s="19" t="str">
        <f>IFERROR(VLOOKUP(C1458&amp;"",'[2]Retail Price List'!$A$3:$B$103,2,FALSE),"Special Order")</f>
        <v>Special Order</v>
      </c>
      <c r="E1458" s="18">
        <f>[2]Trucks!J1455</f>
        <v>0</v>
      </c>
      <c r="F1458" s="12">
        <f>[2]Trucks!E1455</f>
        <v>0</v>
      </c>
      <c r="G1458" s="56">
        <f>[2]Trucks!K1455</f>
        <v>0</v>
      </c>
      <c r="H1458" s="46">
        <f>[2]Trucks!I1455</f>
        <v>0</v>
      </c>
      <c r="I1458" s="83" t="str">
        <f t="shared" si="110"/>
        <v/>
      </c>
      <c r="J1458" s="272" t="str">
        <f>IFERROR(VLOOKUP((D1458&amp;C1458)&amp;"",'[2]Retail Price List'!$C$4:$F$102,3,FALSE),"")</f>
        <v/>
      </c>
      <c r="K1458" s="272">
        <f>IFERROR(IF(BA1458="WIP - 30 Days",VLOOKUP(D1458,[3]Standard!$B$9:$E$101,4,FALSE),IF(BA1458="31-120 Days",VLOOKUP(D1458,[3]Standard!$B$9:$F$101,5,FALSE),IF(BA1458="121-365 Days",VLOOKUP(D1458,[3]Standard!$B$9:$G$101,6,FALSE),VLOOKUP(D1458,[3]Standard!$B$9:$H$101,7,FALSE)))),0)</f>
        <v>0</v>
      </c>
      <c r="L1458" s="272">
        <f>IFERROR(IF(BA1458="WIP - 30 Days",VLOOKUP(D1458,[3]Standard!$B$9:$J$101,9,FALSE),IF(BA1458="31-120 Days",VLOOKUP(D1458,[3]Standard!$B$9:$K$100,10,FALSE),IF(BA1458="121-365 Days",VLOOKUP(D1458,[3]Standard!$B$9:$L$101,11,FALSE),VLOOKUP(D1458,[3]Standard!$B$9:$M$101,12,FALSE)))),0)</f>
        <v>0</v>
      </c>
      <c r="M1458" s="269" t="str">
        <f>IFERROR(VLOOKUP((D1458&amp;C1458)&amp;"",'[2]Retail Price List'!$C$4:$F$102,4,FALSE),"")</f>
        <v/>
      </c>
      <c r="N1458" s="269">
        <f>IFERROR(IF(BA1458="WIP - 30 Days",VLOOKUP(D1458,[3]Extended!$B$9:$E$101,4,FALSE),IF(BA1458="31-120 Days",VLOOKUP(D1458,[3]Extended!$B$9:$F$101,5,FALSE),IF(BA1458="121-365 Days",VLOOKUP(D1458,[3]Extended!$B$9:$G$101,6,FALSE),VLOOKUP(D1458,[3]Extended!$B$9:$H$101,7,FALSE)))),0)</f>
        <v>0</v>
      </c>
      <c r="O1458" s="269">
        <f>IFERROR(IF(BA1458="WIP - 30 Days",VLOOKUP(D1458,[3]Extended!$B$9:$J$101,9,FALSE),IF(BA1458="31-120 Days",VLOOKUP(D1458,[3]Extended!$B$9:$K$101,10,FALSE),IF(BA1458="121-365 Days",VLOOKUP(D1458,[3]Extended!$B$9:$L$101,11,FALSE),VLOOKUP(D1458,[3]Extended!$B$9:$M$101,12,FALSE)))),0)</f>
        <v>0</v>
      </c>
      <c r="P1458" s="116" t="e">
        <f t="shared" si="111"/>
        <v>#VALUE!</v>
      </c>
      <c r="Q1458" s="110" t="e">
        <f>O1458-#REF!</f>
        <v>#REF!</v>
      </c>
      <c r="AT1458" s="88" t="str">
        <f t="shared" si="112"/>
        <v>Special Order0</v>
      </c>
      <c r="AU1458" s="89" t="str">
        <f t="shared" si="113"/>
        <v>01-1900</v>
      </c>
      <c r="BA1458" s="92" t="str">
        <f t="shared" si="114"/>
        <v/>
      </c>
    </row>
    <row r="1459" spans="2:53">
      <c r="B1459" s="60">
        <f>[2]Trucks!A1456</f>
        <v>0</v>
      </c>
      <c r="C1459" s="11">
        <f>[2]Trucks!B1456</f>
        <v>0</v>
      </c>
      <c r="D1459" s="19" t="str">
        <f>IFERROR(VLOOKUP(C1459&amp;"",'[2]Retail Price List'!$A$3:$B$103,2,FALSE),"Special Order")</f>
        <v>Special Order</v>
      </c>
      <c r="E1459" s="18">
        <f>[2]Trucks!J1456</f>
        <v>0</v>
      </c>
      <c r="F1459" s="12">
        <f>[2]Trucks!E1456</f>
        <v>0</v>
      </c>
      <c r="G1459" s="56">
        <f>[2]Trucks!K1456</f>
        <v>0</v>
      </c>
      <c r="H1459" s="46">
        <f>[2]Trucks!I1456</f>
        <v>0</v>
      </c>
      <c r="I1459" s="83" t="str">
        <f t="shared" si="110"/>
        <v/>
      </c>
      <c r="J1459" s="272" t="str">
        <f>IFERROR(VLOOKUP((D1459&amp;C1459)&amp;"",'[2]Retail Price List'!$C$4:$F$102,3,FALSE),"")</f>
        <v/>
      </c>
      <c r="K1459" s="272">
        <f>IFERROR(IF(BA1459="WIP - 30 Days",VLOOKUP(D1459,[3]Standard!$B$9:$E$101,4,FALSE),IF(BA1459="31-120 Days",VLOOKUP(D1459,[3]Standard!$B$9:$F$101,5,FALSE),IF(BA1459="121-365 Days",VLOOKUP(D1459,[3]Standard!$B$9:$G$101,6,FALSE),VLOOKUP(D1459,[3]Standard!$B$9:$H$101,7,FALSE)))),0)</f>
        <v>0</v>
      </c>
      <c r="L1459" s="272">
        <f>IFERROR(IF(BA1459="WIP - 30 Days",VLOOKUP(D1459,[3]Standard!$B$9:$J$101,9,FALSE),IF(BA1459="31-120 Days",VLOOKUP(D1459,[3]Standard!$B$9:$K$100,10,FALSE),IF(BA1459="121-365 Days",VLOOKUP(D1459,[3]Standard!$B$9:$L$101,11,FALSE),VLOOKUP(D1459,[3]Standard!$B$9:$M$101,12,FALSE)))),0)</f>
        <v>0</v>
      </c>
      <c r="M1459" s="269" t="str">
        <f>IFERROR(VLOOKUP((D1459&amp;C1459)&amp;"",'[2]Retail Price List'!$C$4:$F$102,4,FALSE),"")</f>
        <v/>
      </c>
      <c r="N1459" s="269">
        <f>IFERROR(IF(BA1459="WIP - 30 Days",VLOOKUP(D1459,[3]Extended!$B$9:$E$101,4,FALSE),IF(BA1459="31-120 Days",VLOOKUP(D1459,[3]Extended!$B$9:$F$101,5,FALSE),IF(BA1459="121-365 Days",VLOOKUP(D1459,[3]Extended!$B$9:$G$101,6,FALSE),VLOOKUP(D1459,[3]Extended!$B$9:$H$101,7,FALSE)))),0)</f>
        <v>0</v>
      </c>
      <c r="O1459" s="269">
        <f>IFERROR(IF(BA1459="WIP - 30 Days",VLOOKUP(D1459,[3]Extended!$B$9:$J$101,9,FALSE),IF(BA1459="31-120 Days",VLOOKUP(D1459,[3]Extended!$B$9:$K$101,10,FALSE),IF(BA1459="121-365 Days",VLOOKUP(D1459,[3]Extended!$B$9:$L$101,11,FALSE),VLOOKUP(D1459,[3]Extended!$B$9:$M$101,12,FALSE)))),0)</f>
        <v>0</v>
      </c>
      <c r="P1459" s="116" t="e">
        <f t="shared" si="111"/>
        <v>#VALUE!</v>
      </c>
      <c r="Q1459" s="110" t="e">
        <f>O1459-#REF!</f>
        <v>#REF!</v>
      </c>
      <c r="AT1459" s="88" t="str">
        <f t="shared" si="112"/>
        <v>Special Order0</v>
      </c>
      <c r="AU1459" s="89" t="str">
        <f t="shared" si="113"/>
        <v>01-1900</v>
      </c>
      <c r="BA1459" s="92" t="str">
        <f t="shared" si="114"/>
        <v/>
      </c>
    </row>
    <row r="1460" spans="2:53">
      <c r="B1460" s="60">
        <f>[2]Trucks!A1457</f>
        <v>0</v>
      </c>
      <c r="C1460" s="11">
        <f>[2]Trucks!B1457</f>
        <v>0</v>
      </c>
      <c r="D1460" s="19" t="str">
        <f>IFERROR(VLOOKUP(C1460&amp;"",'[2]Retail Price List'!$A$3:$B$103,2,FALSE),"Special Order")</f>
        <v>Special Order</v>
      </c>
      <c r="E1460" s="18">
        <f>[2]Trucks!J1457</f>
        <v>0</v>
      </c>
      <c r="F1460" s="12">
        <f>[2]Trucks!E1457</f>
        <v>0</v>
      </c>
      <c r="G1460" s="56">
        <f>[2]Trucks!K1457</f>
        <v>0</v>
      </c>
      <c r="H1460" s="46">
        <f>[2]Trucks!I1457</f>
        <v>0</v>
      </c>
      <c r="I1460" s="83" t="str">
        <f t="shared" si="110"/>
        <v/>
      </c>
      <c r="J1460" s="272" t="str">
        <f>IFERROR(VLOOKUP((D1460&amp;C1460)&amp;"",'[2]Retail Price List'!$C$4:$F$102,3,FALSE),"")</f>
        <v/>
      </c>
      <c r="K1460" s="272">
        <f>IFERROR(IF(BA1460="WIP - 30 Days",VLOOKUP(D1460,[3]Standard!$B$9:$E$101,4,FALSE),IF(BA1460="31-120 Days",VLOOKUP(D1460,[3]Standard!$B$9:$F$101,5,FALSE),IF(BA1460="121-365 Days",VLOOKUP(D1460,[3]Standard!$B$9:$G$101,6,FALSE),VLOOKUP(D1460,[3]Standard!$B$9:$H$101,7,FALSE)))),0)</f>
        <v>0</v>
      </c>
      <c r="L1460" s="272">
        <f>IFERROR(IF(BA1460="WIP - 30 Days",VLOOKUP(D1460,[3]Standard!$B$9:$J$101,9,FALSE),IF(BA1460="31-120 Days",VLOOKUP(D1460,[3]Standard!$B$9:$K$100,10,FALSE),IF(BA1460="121-365 Days",VLOOKUP(D1460,[3]Standard!$B$9:$L$101,11,FALSE),VLOOKUP(D1460,[3]Standard!$B$9:$M$101,12,FALSE)))),0)</f>
        <v>0</v>
      </c>
      <c r="M1460" s="269" t="str">
        <f>IFERROR(VLOOKUP((D1460&amp;C1460)&amp;"",'[2]Retail Price List'!$C$4:$F$102,4,FALSE),"")</f>
        <v/>
      </c>
      <c r="N1460" s="269">
        <f>IFERROR(IF(BA1460="WIP - 30 Days",VLOOKUP(D1460,[3]Extended!$B$9:$E$101,4,FALSE),IF(BA1460="31-120 Days",VLOOKUP(D1460,[3]Extended!$B$9:$F$101,5,FALSE),IF(BA1460="121-365 Days",VLOOKUP(D1460,[3]Extended!$B$9:$G$101,6,FALSE),VLOOKUP(D1460,[3]Extended!$B$9:$H$101,7,FALSE)))),0)</f>
        <v>0</v>
      </c>
      <c r="O1460" s="269">
        <f>IFERROR(IF(BA1460="WIP - 30 Days",VLOOKUP(D1460,[3]Extended!$B$9:$J$101,9,FALSE),IF(BA1460="31-120 Days",VLOOKUP(D1460,[3]Extended!$B$9:$K$101,10,FALSE),IF(BA1460="121-365 Days",VLOOKUP(D1460,[3]Extended!$B$9:$L$101,11,FALSE),VLOOKUP(D1460,[3]Extended!$B$9:$M$101,12,FALSE)))),0)</f>
        <v>0</v>
      </c>
      <c r="P1460" s="116" t="e">
        <f t="shared" si="111"/>
        <v>#VALUE!</v>
      </c>
      <c r="Q1460" s="110" t="e">
        <f>O1460-#REF!</f>
        <v>#REF!</v>
      </c>
      <c r="AT1460" s="88" t="str">
        <f t="shared" si="112"/>
        <v>Special Order0</v>
      </c>
      <c r="AU1460" s="89" t="str">
        <f t="shared" si="113"/>
        <v>01-1900</v>
      </c>
      <c r="BA1460" s="92" t="str">
        <f t="shared" si="114"/>
        <v/>
      </c>
    </row>
    <row r="1461" spans="2:53">
      <c r="B1461" s="60">
        <f>[2]Trucks!A1458</f>
        <v>0</v>
      </c>
      <c r="C1461" s="11">
        <f>[2]Trucks!B1458</f>
        <v>0</v>
      </c>
      <c r="D1461" s="19" t="str">
        <f>IFERROR(VLOOKUP(C1461&amp;"",'[2]Retail Price List'!$A$3:$B$103,2,FALSE),"Special Order")</f>
        <v>Special Order</v>
      </c>
      <c r="E1461" s="18">
        <f>[2]Trucks!J1458</f>
        <v>0</v>
      </c>
      <c r="F1461" s="12">
        <f>[2]Trucks!E1458</f>
        <v>0</v>
      </c>
      <c r="G1461" s="56">
        <f>[2]Trucks!K1458</f>
        <v>0</v>
      </c>
      <c r="H1461" s="46">
        <f>[2]Trucks!I1458</f>
        <v>0</v>
      </c>
      <c r="I1461" s="83" t="str">
        <f t="shared" si="110"/>
        <v/>
      </c>
      <c r="J1461" s="272" t="str">
        <f>IFERROR(VLOOKUP((D1461&amp;C1461)&amp;"",'[2]Retail Price List'!$C$4:$F$102,3,FALSE),"")</f>
        <v/>
      </c>
      <c r="K1461" s="272">
        <f>IFERROR(IF(BA1461="WIP - 30 Days",VLOOKUP(D1461,[3]Standard!$B$9:$E$101,4,FALSE),IF(BA1461="31-120 Days",VLOOKUP(D1461,[3]Standard!$B$9:$F$101,5,FALSE),IF(BA1461="121-365 Days",VLOOKUP(D1461,[3]Standard!$B$9:$G$101,6,FALSE),VLOOKUP(D1461,[3]Standard!$B$9:$H$101,7,FALSE)))),0)</f>
        <v>0</v>
      </c>
      <c r="L1461" s="272">
        <f>IFERROR(IF(BA1461="WIP - 30 Days",VLOOKUP(D1461,[3]Standard!$B$9:$J$101,9,FALSE),IF(BA1461="31-120 Days",VLOOKUP(D1461,[3]Standard!$B$9:$K$100,10,FALSE),IF(BA1461="121-365 Days",VLOOKUP(D1461,[3]Standard!$B$9:$L$101,11,FALSE),VLOOKUP(D1461,[3]Standard!$B$9:$M$101,12,FALSE)))),0)</f>
        <v>0</v>
      </c>
      <c r="M1461" s="269" t="str">
        <f>IFERROR(VLOOKUP((D1461&amp;C1461)&amp;"",'[2]Retail Price List'!$C$4:$F$102,4,FALSE),"")</f>
        <v/>
      </c>
      <c r="N1461" s="269">
        <f>IFERROR(IF(BA1461="WIP - 30 Days",VLOOKUP(D1461,[3]Extended!$B$9:$E$101,4,FALSE),IF(BA1461="31-120 Days",VLOOKUP(D1461,[3]Extended!$B$9:$F$101,5,FALSE),IF(BA1461="121-365 Days",VLOOKUP(D1461,[3]Extended!$B$9:$G$101,6,FALSE),VLOOKUP(D1461,[3]Extended!$B$9:$H$101,7,FALSE)))),0)</f>
        <v>0</v>
      </c>
      <c r="O1461" s="269">
        <f>IFERROR(IF(BA1461="WIP - 30 Days",VLOOKUP(D1461,[3]Extended!$B$9:$J$101,9,FALSE),IF(BA1461="31-120 Days",VLOOKUP(D1461,[3]Extended!$B$9:$K$101,10,FALSE),IF(BA1461="121-365 Days",VLOOKUP(D1461,[3]Extended!$B$9:$L$101,11,FALSE),VLOOKUP(D1461,[3]Extended!$B$9:$M$101,12,FALSE)))),0)</f>
        <v>0</v>
      </c>
      <c r="P1461" s="116" t="e">
        <f t="shared" si="111"/>
        <v>#VALUE!</v>
      </c>
      <c r="Q1461" s="110" t="e">
        <f>O1461-#REF!</f>
        <v>#REF!</v>
      </c>
      <c r="AT1461" s="88" t="str">
        <f t="shared" si="112"/>
        <v>Special Order0</v>
      </c>
      <c r="AU1461" s="89" t="str">
        <f t="shared" si="113"/>
        <v>01-1900</v>
      </c>
      <c r="BA1461" s="92" t="str">
        <f t="shared" si="114"/>
        <v/>
      </c>
    </row>
    <row r="1462" spans="2:53">
      <c r="B1462" s="60">
        <f>[2]Trucks!A1459</f>
        <v>0</v>
      </c>
      <c r="C1462" s="11">
        <f>[2]Trucks!B1459</f>
        <v>0</v>
      </c>
      <c r="D1462" s="19" t="str">
        <f>IFERROR(VLOOKUP(C1462&amp;"",'[2]Retail Price List'!$A$3:$B$103,2,FALSE),"Special Order")</f>
        <v>Special Order</v>
      </c>
      <c r="E1462" s="18">
        <f>[2]Trucks!J1459</f>
        <v>0</v>
      </c>
      <c r="F1462" s="12">
        <f>[2]Trucks!E1459</f>
        <v>0</v>
      </c>
      <c r="G1462" s="56">
        <f>[2]Trucks!K1459</f>
        <v>0</v>
      </c>
      <c r="H1462" s="46">
        <f>[2]Trucks!I1459</f>
        <v>0</v>
      </c>
      <c r="I1462" s="83" t="str">
        <f t="shared" si="110"/>
        <v/>
      </c>
      <c r="J1462" s="272" t="str">
        <f>IFERROR(VLOOKUP((D1462&amp;C1462)&amp;"",'[2]Retail Price List'!$C$4:$F$102,3,FALSE),"")</f>
        <v/>
      </c>
      <c r="K1462" s="272">
        <f>IFERROR(IF(BA1462="WIP - 30 Days",VLOOKUP(D1462,[3]Standard!$B$9:$E$101,4,FALSE),IF(BA1462="31-120 Days",VLOOKUP(D1462,[3]Standard!$B$9:$F$101,5,FALSE),IF(BA1462="121-365 Days",VLOOKUP(D1462,[3]Standard!$B$9:$G$101,6,FALSE),VLOOKUP(D1462,[3]Standard!$B$9:$H$101,7,FALSE)))),0)</f>
        <v>0</v>
      </c>
      <c r="L1462" s="272">
        <f>IFERROR(IF(BA1462="WIP - 30 Days",VLOOKUP(D1462,[3]Standard!$B$9:$J$101,9,FALSE),IF(BA1462="31-120 Days",VLOOKUP(D1462,[3]Standard!$B$9:$K$100,10,FALSE),IF(BA1462="121-365 Days",VLOOKUP(D1462,[3]Standard!$B$9:$L$101,11,FALSE),VLOOKUP(D1462,[3]Standard!$B$9:$M$101,12,FALSE)))),0)</f>
        <v>0</v>
      </c>
      <c r="M1462" s="269" t="str">
        <f>IFERROR(VLOOKUP((D1462&amp;C1462)&amp;"",'[2]Retail Price List'!$C$4:$F$102,4,FALSE),"")</f>
        <v/>
      </c>
      <c r="N1462" s="269">
        <f>IFERROR(IF(BA1462="WIP - 30 Days",VLOOKUP(D1462,[3]Extended!$B$9:$E$101,4,FALSE),IF(BA1462="31-120 Days",VLOOKUP(D1462,[3]Extended!$B$9:$F$101,5,FALSE),IF(BA1462="121-365 Days",VLOOKUP(D1462,[3]Extended!$B$9:$G$101,6,FALSE),VLOOKUP(D1462,[3]Extended!$B$9:$H$101,7,FALSE)))),0)</f>
        <v>0</v>
      </c>
      <c r="O1462" s="269">
        <f>IFERROR(IF(BA1462="WIP - 30 Days",VLOOKUP(D1462,[3]Extended!$B$9:$J$101,9,FALSE),IF(BA1462="31-120 Days",VLOOKUP(D1462,[3]Extended!$B$9:$K$101,10,FALSE),IF(BA1462="121-365 Days",VLOOKUP(D1462,[3]Extended!$B$9:$L$101,11,FALSE),VLOOKUP(D1462,[3]Extended!$B$9:$M$101,12,FALSE)))),0)</f>
        <v>0</v>
      </c>
      <c r="P1462" s="116" t="e">
        <f t="shared" si="111"/>
        <v>#VALUE!</v>
      </c>
      <c r="Q1462" s="110" t="e">
        <f>O1462-#REF!</f>
        <v>#REF!</v>
      </c>
      <c r="AT1462" s="88" t="str">
        <f t="shared" si="112"/>
        <v>Special Order0</v>
      </c>
      <c r="AU1462" s="89" t="str">
        <f t="shared" si="113"/>
        <v>01-1900</v>
      </c>
      <c r="BA1462" s="92" t="str">
        <f t="shared" si="114"/>
        <v/>
      </c>
    </row>
    <row r="1463" spans="2:53">
      <c r="B1463" s="60">
        <f>[2]Trucks!A1460</f>
        <v>0</v>
      </c>
      <c r="C1463" s="11">
        <f>[2]Trucks!B1460</f>
        <v>0</v>
      </c>
      <c r="D1463" s="19" t="str">
        <f>IFERROR(VLOOKUP(C1463&amp;"",'[2]Retail Price List'!$A$3:$B$103,2,FALSE),"Special Order")</f>
        <v>Special Order</v>
      </c>
      <c r="E1463" s="18">
        <f>[2]Trucks!J1460</f>
        <v>0</v>
      </c>
      <c r="F1463" s="12">
        <f>[2]Trucks!E1460</f>
        <v>0</v>
      </c>
      <c r="G1463" s="56">
        <f>[2]Trucks!K1460</f>
        <v>0</v>
      </c>
      <c r="H1463" s="46">
        <f>[2]Trucks!I1460</f>
        <v>0</v>
      </c>
      <c r="I1463" s="83" t="str">
        <f t="shared" si="110"/>
        <v/>
      </c>
      <c r="J1463" s="272" t="str">
        <f>IFERROR(VLOOKUP((D1463&amp;C1463)&amp;"",'[2]Retail Price List'!$C$4:$F$102,3,FALSE),"")</f>
        <v/>
      </c>
      <c r="K1463" s="272">
        <f>IFERROR(IF(BA1463="WIP - 30 Days",VLOOKUP(D1463,[3]Standard!$B$9:$E$101,4,FALSE),IF(BA1463="31-120 Days",VLOOKUP(D1463,[3]Standard!$B$9:$F$101,5,FALSE),IF(BA1463="121-365 Days",VLOOKUP(D1463,[3]Standard!$B$9:$G$101,6,FALSE),VLOOKUP(D1463,[3]Standard!$B$9:$H$101,7,FALSE)))),0)</f>
        <v>0</v>
      </c>
      <c r="L1463" s="272">
        <f>IFERROR(IF(BA1463="WIP - 30 Days",VLOOKUP(D1463,[3]Standard!$B$9:$J$101,9,FALSE),IF(BA1463="31-120 Days",VLOOKUP(D1463,[3]Standard!$B$9:$K$100,10,FALSE),IF(BA1463="121-365 Days",VLOOKUP(D1463,[3]Standard!$B$9:$L$101,11,FALSE),VLOOKUP(D1463,[3]Standard!$B$9:$M$101,12,FALSE)))),0)</f>
        <v>0</v>
      </c>
      <c r="M1463" s="269" t="str">
        <f>IFERROR(VLOOKUP((D1463&amp;C1463)&amp;"",'[2]Retail Price List'!$C$4:$F$102,4,FALSE),"")</f>
        <v/>
      </c>
      <c r="N1463" s="269">
        <f>IFERROR(IF(BA1463="WIP - 30 Days",VLOOKUP(D1463,[3]Extended!$B$9:$E$101,4,FALSE),IF(BA1463="31-120 Days",VLOOKUP(D1463,[3]Extended!$B$9:$F$101,5,FALSE),IF(BA1463="121-365 Days",VLOOKUP(D1463,[3]Extended!$B$9:$G$101,6,FALSE),VLOOKUP(D1463,[3]Extended!$B$9:$H$101,7,FALSE)))),0)</f>
        <v>0</v>
      </c>
      <c r="O1463" s="269">
        <f>IFERROR(IF(BA1463="WIP - 30 Days",VLOOKUP(D1463,[3]Extended!$B$9:$J$101,9,FALSE),IF(BA1463="31-120 Days",VLOOKUP(D1463,[3]Extended!$B$9:$K$101,10,FALSE),IF(BA1463="121-365 Days",VLOOKUP(D1463,[3]Extended!$B$9:$L$101,11,FALSE),VLOOKUP(D1463,[3]Extended!$B$9:$M$101,12,FALSE)))),0)</f>
        <v>0</v>
      </c>
      <c r="P1463" s="116" t="e">
        <f t="shared" si="111"/>
        <v>#VALUE!</v>
      </c>
      <c r="Q1463" s="110" t="e">
        <f>O1463-#REF!</f>
        <v>#REF!</v>
      </c>
      <c r="AT1463" s="88" t="str">
        <f t="shared" si="112"/>
        <v>Special Order0</v>
      </c>
      <c r="AU1463" s="89" t="str">
        <f t="shared" si="113"/>
        <v>01-1900</v>
      </c>
      <c r="BA1463" s="92" t="str">
        <f t="shared" si="114"/>
        <v/>
      </c>
    </row>
    <row r="1464" spans="2:53">
      <c r="B1464" s="60">
        <f>[2]Trucks!A1461</f>
        <v>0</v>
      </c>
      <c r="C1464" s="11">
        <f>[2]Trucks!B1461</f>
        <v>0</v>
      </c>
      <c r="D1464" s="19" t="str">
        <f>IFERROR(VLOOKUP(C1464&amp;"",'[2]Retail Price List'!$A$3:$B$103,2,FALSE),"Special Order")</f>
        <v>Special Order</v>
      </c>
      <c r="E1464" s="18">
        <f>[2]Trucks!J1461</f>
        <v>0</v>
      </c>
      <c r="F1464" s="12">
        <f>[2]Trucks!E1461</f>
        <v>0</v>
      </c>
      <c r="G1464" s="56">
        <f>[2]Trucks!K1461</f>
        <v>0</v>
      </c>
      <c r="H1464" s="46">
        <f>[2]Trucks!I1461</f>
        <v>0</v>
      </c>
      <c r="I1464" s="83" t="str">
        <f t="shared" si="110"/>
        <v/>
      </c>
      <c r="J1464" s="272" t="str">
        <f>IFERROR(VLOOKUP((D1464&amp;C1464)&amp;"",'[2]Retail Price List'!$C$4:$F$102,3,FALSE),"")</f>
        <v/>
      </c>
      <c r="K1464" s="272">
        <f>IFERROR(IF(BA1464="WIP - 30 Days",VLOOKUP(D1464,[3]Standard!$B$9:$E$101,4,FALSE),IF(BA1464="31-120 Days",VLOOKUP(D1464,[3]Standard!$B$9:$F$101,5,FALSE),IF(BA1464="121-365 Days",VLOOKUP(D1464,[3]Standard!$B$9:$G$101,6,FALSE),VLOOKUP(D1464,[3]Standard!$B$9:$H$101,7,FALSE)))),0)</f>
        <v>0</v>
      </c>
      <c r="L1464" s="272">
        <f>IFERROR(IF(BA1464="WIP - 30 Days",VLOOKUP(D1464,[3]Standard!$B$9:$J$101,9,FALSE),IF(BA1464="31-120 Days",VLOOKUP(D1464,[3]Standard!$B$9:$K$100,10,FALSE),IF(BA1464="121-365 Days",VLOOKUP(D1464,[3]Standard!$B$9:$L$101,11,FALSE),VLOOKUP(D1464,[3]Standard!$B$9:$M$101,12,FALSE)))),0)</f>
        <v>0</v>
      </c>
      <c r="M1464" s="269" t="str">
        <f>IFERROR(VLOOKUP((D1464&amp;C1464)&amp;"",'[2]Retail Price List'!$C$4:$F$102,4,FALSE),"")</f>
        <v/>
      </c>
      <c r="N1464" s="269">
        <f>IFERROR(IF(BA1464="WIP - 30 Days",VLOOKUP(D1464,[3]Extended!$B$9:$E$101,4,FALSE),IF(BA1464="31-120 Days",VLOOKUP(D1464,[3]Extended!$B$9:$F$101,5,FALSE),IF(BA1464="121-365 Days",VLOOKUP(D1464,[3]Extended!$B$9:$G$101,6,FALSE),VLOOKUP(D1464,[3]Extended!$B$9:$H$101,7,FALSE)))),0)</f>
        <v>0</v>
      </c>
      <c r="O1464" s="269">
        <f>IFERROR(IF(BA1464="WIP - 30 Days",VLOOKUP(D1464,[3]Extended!$B$9:$J$101,9,FALSE),IF(BA1464="31-120 Days",VLOOKUP(D1464,[3]Extended!$B$9:$K$101,10,FALSE),IF(BA1464="121-365 Days",VLOOKUP(D1464,[3]Extended!$B$9:$L$101,11,FALSE),VLOOKUP(D1464,[3]Extended!$B$9:$M$101,12,FALSE)))),0)</f>
        <v>0</v>
      </c>
      <c r="P1464" s="116" t="e">
        <f t="shared" si="111"/>
        <v>#VALUE!</v>
      </c>
      <c r="Q1464" s="110" t="e">
        <f>O1464-#REF!</f>
        <v>#REF!</v>
      </c>
      <c r="AT1464" s="88" t="str">
        <f t="shared" si="112"/>
        <v>Special Order0</v>
      </c>
      <c r="AU1464" s="89" t="str">
        <f t="shared" si="113"/>
        <v>01-1900</v>
      </c>
      <c r="BA1464" s="92" t="str">
        <f t="shared" si="114"/>
        <v/>
      </c>
    </row>
    <row r="1465" spans="2:53">
      <c r="B1465" s="60">
        <f>[2]Trucks!A1462</f>
        <v>0</v>
      </c>
      <c r="C1465" s="11">
        <f>[2]Trucks!B1462</f>
        <v>0</v>
      </c>
      <c r="D1465" s="19" t="str">
        <f>IFERROR(VLOOKUP(C1465&amp;"",'[2]Retail Price List'!$A$3:$B$103,2,FALSE),"Special Order")</f>
        <v>Special Order</v>
      </c>
      <c r="E1465" s="18">
        <f>[2]Trucks!J1462</f>
        <v>0</v>
      </c>
      <c r="F1465" s="12">
        <f>[2]Trucks!E1462</f>
        <v>0</v>
      </c>
      <c r="G1465" s="56">
        <f>[2]Trucks!K1462</f>
        <v>0</v>
      </c>
      <c r="H1465" s="46">
        <f>[2]Trucks!I1462</f>
        <v>0</v>
      </c>
      <c r="I1465" s="83" t="str">
        <f t="shared" si="110"/>
        <v/>
      </c>
      <c r="J1465" s="272" t="str">
        <f>IFERROR(VLOOKUP((D1465&amp;C1465)&amp;"",'[2]Retail Price List'!$C$4:$F$102,3,FALSE),"")</f>
        <v/>
      </c>
      <c r="K1465" s="272">
        <f>IFERROR(IF(BA1465="WIP - 30 Days",VLOOKUP(D1465,[3]Standard!$B$9:$E$101,4,FALSE),IF(BA1465="31-120 Days",VLOOKUP(D1465,[3]Standard!$B$9:$F$101,5,FALSE),IF(BA1465="121-365 Days",VLOOKUP(D1465,[3]Standard!$B$9:$G$101,6,FALSE),VLOOKUP(D1465,[3]Standard!$B$9:$H$101,7,FALSE)))),0)</f>
        <v>0</v>
      </c>
      <c r="L1465" s="272">
        <f>IFERROR(IF(BA1465="WIP - 30 Days",VLOOKUP(D1465,[3]Standard!$B$9:$J$101,9,FALSE),IF(BA1465="31-120 Days",VLOOKUP(D1465,[3]Standard!$B$9:$K$100,10,FALSE),IF(BA1465="121-365 Days",VLOOKUP(D1465,[3]Standard!$B$9:$L$101,11,FALSE),VLOOKUP(D1465,[3]Standard!$B$9:$M$101,12,FALSE)))),0)</f>
        <v>0</v>
      </c>
      <c r="M1465" s="269" t="str">
        <f>IFERROR(VLOOKUP((D1465&amp;C1465)&amp;"",'[2]Retail Price List'!$C$4:$F$102,4,FALSE),"")</f>
        <v/>
      </c>
      <c r="N1465" s="269">
        <f>IFERROR(IF(BA1465="WIP - 30 Days",VLOOKUP(D1465,[3]Extended!$B$9:$E$101,4,FALSE),IF(BA1465="31-120 Days",VLOOKUP(D1465,[3]Extended!$B$9:$F$101,5,FALSE),IF(BA1465="121-365 Days",VLOOKUP(D1465,[3]Extended!$B$9:$G$101,6,FALSE),VLOOKUP(D1465,[3]Extended!$B$9:$H$101,7,FALSE)))),0)</f>
        <v>0</v>
      </c>
      <c r="O1465" s="269">
        <f>IFERROR(IF(BA1465="WIP - 30 Days",VLOOKUP(D1465,[3]Extended!$B$9:$J$101,9,FALSE),IF(BA1465="31-120 Days",VLOOKUP(D1465,[3]Extended!$B$9:$K$101,10,FALSE),IF(BA1465="121-365 Days",VLOOKUP(D1465,[3]Extended!$B$9:$L$101,11,FALSE),VLOOKUP(D1465,[3]Extended!$B$9:$M$101,12,FALSE)))),0)</f>
        <v>0</v>
      </c>
      <c r="P1465" s="116" t="e">
        <f t="shared" si="111"/>
        <v>#VALUE!</v>
      </c>
      <c r="Q1465" s="110" t="e">
        <f>O1465-#REF!</f>
        <v>#REF!</v>
      </c>
      <c r="AT1465" s="88" t="str">
        <f t="shared" si="112"/>
        <v>Special Order0</v>
      </c>
      <c r="AU1465" s="89" t="str">
        <f t="shared" si="113"/>
        <v>01-1900</v>
      </c>
      <c r="BA1465" s="92" t="str">
        <f t="shared" si="114"/>
        <v/>
      </c>
    </row>
    <row r="1466" spans="2:53">
      <c r="B1466" s="60">
        <f>[2]Trucks!A1463</f>
        <v>0</v>
      </c>
      <c r="C1466" s="11">
        <f>[2]Trucks!B1463</f>
        <v>0</v>
      </c>
      <c r="D1466" s="19" t="str">
        <f>IFERROR(VLOOKUP(C1466&amp;"",'[2]Retail Price List'!$A$3:$B$103,2,FALSE),"Special Order")</f>
        <v>Special Order</v>
      </c>
      <c r="E1466" s="18">
        <f>[2]Trucks!J1463</f>
        <v>0</v>
      </c>
      <c r="F1466" s="12">
        <f>[2]Trucks!E1463</f>
        <v>0</v>
      </c>
      <c r="G1466" s="56">
        <f>[2]Trucks!K1463</f>
        <v>0</v>
      </c>
      <c r="H1466" s="46">
        <f>[2]Trucks!I1463</f>
        <v>0</v>
      </c>
      <c r="I1466" s="83" t="str">
        <f t="shared" si="110"/>
        <v/>
      </c>
      <c r="J1466" s="272" t="str">
        <f>IFERROR(VLOOKUP((D1466&amp;C1466)&amp;"",'[2]Retail Price List'!$C$4:$F$102,3,FALSE),"")</f>
        <v/>
      </c>
      <c r="K1466" s="272">
        <f>IFERROR(IF(BA1466="WIP - 30 Days",VLOOKUP(D1466,[3]Standard!$B$9:$E$101,4,FALSE),IF(BA1466="31-120 Days",VLOOKUP(D1466,[3]Standard!$B$9:$F$101,5,FALSE),IF(BA1466="121-365 Days",VLOOKUP(D1466,[3]Standard!$B$9:$G$101,6,FALSE),VLOOKUP(D1466,[3]Standard!$B$9:$H$101,7,FALSE)))),0)</f>
        <v>0</v>
      </c>
      <c r="L1466" s="272">
        <f>IFERROR(IF(BA1466="WIP - 30 Days",VLOOKUP(D1466,[3]Standard!$B$9:$J$101,9,FALSE),IF(BA1466="31-120 Days",VLOOKUP(D1466,[3]Standard!$B$9:$K$100,10,FALSE),IF(BA1466="121-365 Days",VLOOKUP(D1466,[3]Standard!$B$9:$L$101,11,FALSE),VLOOKUP(D1466,[3]Standard!$B$9:$M$101,12,FALSE)))),0)</f>
        <v>0</v>
      </c>
      <c r="M1466" s="269" t="str">
        <f>IFERROR(VLOOKUP((D1466&amp;C1466)&amp;"",'[2]Retail Price List'!$C$4:$F$102,4,FALSE),"")</f>
        <v/>
      </c>
      <c r="N1466" s="269">
        <f>IFERROR(IF(BA1466="WIP - 30 Days",VLOOKUP(D1466,[3]Extended!$B$9:$E$101,4,FALSE),IF(BA1466="31-120 Days",VLOOKUP(D1466,[3]Extended!$B$9:$F$101,5,FALSE),IF(BA1466="121-365 Days",VLOOKUP(D1466,[3]Extended!$B$9:$G$101,6,FALSE),VLOOKUP(D1466,[3]Extended!$B$9:$H$101,7,FALSE)))),0)</f>
        <v>0</v>
      </c>
      <c r="O1466" s="269">
        <f>IFERROR(IF(BA1466="WIP - 30 Days",VLOOKUP(D1466,[3]Extended!$B$9:$J$101,9,FALSE),IF(BA1466="31-120 Days",VLOOKUP(D1466,[3]Extended!$B$9:$K$101,10,FALSE),IF(BA1466="121-365 Days",VLOOKUP(D1466,[3]Extended!$B$9:$L$101,11,FALSE),VLOOKUP(D1466,[3]Extended!$B$9:$M$101,12,FALSE)))),0)</f>
        <v>0</v>
      </c>
      <c r="P1466" s="116" t="e">
        <f t="shared" si="111"/>
        <v>#VALUE!</v>
      </c>
      <c r="Q1466" s="110" t="e">
        <f>O1466-#REF!</f>
        <v>#REF!</v>
      </c>
      <c r="AT1466" s="88" t="str">
        <f t="shared" si="112"/>
        <v>Special Order0</v>
      </c>
      <c r="AU1466" s="89" t="str">
        <f t="shared" si="113"/>
        <v>01-1900</v>
      </c>
      <c r="BA1466" s="92" t="str">
        <f t="shared" si="114"/>
        <v/>
      </c>
    </row>
    <row r="1467" spans="2:53">
      <c r="B1467" s="60">
        <f>[2]Trucks!A1464</f>
        <v>0</v>
      </c>
      <c r="C1467" s="11">
        <f>[2]Trucks!B1464</f>
        <v>0</v>
      </c>
      <c r="D1467" s="19" t="str">
        <f>IFERROR(VLOOKUP(C1467&amp;"",'[2]Retail Price List'!$A$3:$B$103,2,FALSE),"Special Order")</f>
        <v>Special Order</v>
      </c>
      <c r="E1467" s="18">
        <f>[2]Trucks!J1464</f>
        <v>0</v>
      </c>
      <c r="F1467" s="12">
        <f>[2]Trucks!E1464</f>
        <v>0</v>
      </c>
      <c r="G1467" s="56">
        <f>[2]Trucks!K1464</f>
        <v>0</v>
      </c>
      <c r="H1467" s="46">
        <f>[2]Trucks!I1464</f>
        <v>0</v>
      </c>
      <c r="I1467" s="83" t="str">
        <f t="shared" si="110"/>
        <v/>
      </c>
      <c r="J1467" s="272" t="str">
        <f>IFERROR(VLOOKUP((D1467&amp;C1467)&amp;"",'[2]Retail Price List'!$C$4:$F$102,3,FALSE),"")</f>
        <v/>
      </c>
      <c r="K1467" s="272">
        <f>IFERROR(IF(BA1467="WIP - 30 Days",VLOOKUP(D1467,[3]Standard!$B$9:$E$101,4,FALSE),IF(BA1467="31-120 Days",VLOOKUP(D1467,[3]Standard!$B$9:$F$101,5,FALSE),IF(BA1467="121-365 Days",VLOOKUP(D1467,[3]Standard!$B$9:$G$101,6,FALSE),VLOOKUP(D1467,[3]Standard!$B$9:$H$101,7,FALSE)))),0)</f>
        <v>0</v>
      </c>
      <c r="L1467" s="272">
        <f>IFERROR(IF(BA1467="WIP - 30 Days",VLOOKUP(D1467,[3]Standard!$B$9:$J$101,9,FALSE),IF(BA1467="31-120 Days",VLOOKUP(D1467,[3]Standard!$B$9:$K$100,10,FALSE),IF(BA1467="121-365 Days",VLOOKUP(D1467,[3]Standard!$B$9:$L$101,11,FALSE),VLOOKUP(D1467,[3]Standard!$B$9:$M$101,12,FALSE)))),0)</f>
        <v>0</v>
      </c>
      <c r="M1467" s="269" t="str">
        <f>IFERROR(VLOOKUP((D1467&amp;C1467)&amp;"",'[2]Retail Price List'!$C$4:$F$102,4,FALSE),"")</f>
        <v/>
      </c>
      <c r="N1467" s="269">
        <f>IFERROR(IF(BA1467="WIP - 30 Days",VLOOKUP(D1467,[3]Extended!$B$9:$E$101,4,FALSE),IF(BA1467="31-120 Days",VLOOKUP(D1467,[3]Extended!$B$9:$F$101,5,FALSE),IF(BA1467="121-365 Days",VLOOKUP(D1467,[3]Extended!$B$9:$G$101,6,FALSE),VLOOKUP(D1467,[3]Extended!$B$9:$H$101,7,FALSE)))),0)</f>
        <v>0</v>
      </c>
      <c r="O1467" s="269">
        <f>IFERROR(IF(BA1467="WIP - 30 Days",VLOOKUP(D1467,[3]Extended!$B$9:$J$101,9,FALSE),IF(BA1467="31-120 Days",VLOOKUP(D1467,[3]Extended!$B$9:$K$101,10,FALSE),IF(BA1467="121-365 Days",VLOOKUP(D1467,[3]Extended!$B$9:$L$101,11,FALSE),VLOOKUP(D1467,[3]Extended!$B$9:$M$101,12,FALSE)))),0)</f>
        <v>0</v>
      </c>
      <c r="P1467" s="116" t="e">
        <f t="shared" si="111"/>
        <v>#VALUE!</v>
      </c>
      <c r="Q1467" s="110" t="e">
        <f>O1467-#REF!</f>
        <v>#REF!</v>
      </c>
      <c r="AT1467" s="88" t="str">
        <f t="shared" si="112"/>
        <v>Special Order0</v>
      </c>
      <c r="AU1467" s="89" t="str">
        <f t="shared" si="113"/>
        <v>01-1900</v>
      </c>
      <c r="BA1467" s="92" t="str">
        <f t="shared" si="114"/>
        <v/>
      </c>
    </row>
    <row r="1468" spans="2:53">
      <c r="B1468" s="60">
        <f>[2]Trucks!A1465</f>
        <v>0</v>
      </c>
      <c r="C1468" s="11">
        <f>[2]Trucks!B1465</f>
        <v>0</v>
      </c>
      <c r="D1468" s="19" t="str">
        <f>IFERROR(VLOOKUP(C1468&amp;"",'[2]Retail Price List'!$A$3:$B$103,2,FALSE),"Special Order")</f>
        <v>Special Order</v>
      </c>
      <c r="E1468" s="18">
        <f>[2]Trucks!J1465</f>
        <v>0</v>
      </c>
      <c r="F1468" s="12">
        <f>[2]Trucks!E1465</f>
        <v>0</v>
      </c>
      <c r="G1468" s="56">
        <f>[2]Trucks!K1465</f>
        <v>0</v>
      </c>
      <c r="H1468" s="46">
        <f>[2]Trucks!I1465</f>
        <v>0</v>
      </c>
      <c r="I1468" s="83" t="str">
        <f t="shared" si="110"/>
        <v/>
      </c>
      <c r="J1468" s="272" t="str">
        <f>IFERROR(VLOOKUP((D1468&amp;C1468)&amp;"",'[2]Retail Price List'!$C$4:$F$102,3,FALSE),"")</f>
        <v/>
      </c>
      <c r="K1468" s="272">
        <f>IFERROR(IF(BA1468="WIP - 30 Days",VLOOKUP(D1468,[3]Standard!$B$9:$E$101,4,FALSE),IF(BA1468="31-120 Days",VLOOKUP(D1468,[3]Standard!$B$9:$F$101,5,FALSE),IF(BA1468="121-365 Days",VLOOKUP(D1468,[3]Standard!$B$9:$G$101,6,FALSE),VLOOKUP(D1468,[3]Standard!$B$9:$H$101,7,FALSE)))),0)</f>
        <v>0</v>
      </c>
      <c r="L1468" s="272">
        <f>IFERROR(IF(BA1468="WIP - 30 Days",VLOOKUP(D1468,[3]Standard!$B$9:$J$101,9,FALSE),IF(BA1468="31-120 Days",VLOOKUP(D1468,[3]Standard!$B$9:$K$100,10,FALSE),IF(BA1468="121-365 Days",VLOOKUP(D1468,[3]Standard!$B$9:$L$101,11,FALSE),VLOOKUP(D1468,[3]Standard!$B$9:$M$101,12,FALSE)))),0)</f>
        <v>0</v>
      </c>
      <c r="M1468" s="269" t="str">
        <f>IFERROR(VLOOKUP((D1468&amp;C1468)&amp;"",'[2]Retail Price List'!$C$4:$F$102,4,FALSE),"")</f>
        <v/>
      </c>
      <c r="N1468" s="269">
        <f>IFERROR(IF(BA1468="WIP - 30 Days",VLOOKUP(D1468,[3]Extended!$B$9:$E$101,4,FALSE),IF(BA1468="31-120 Days",VLOOKUP(D1468,[3]Extended!$B$9:$F$101,5,FALSE),IF(BA1468="121-365 Days",VLOOKUP(D1468,[3]Extended!$B$9:$G$101,6,FALSE),VLOOKUP(D1468,[3]Extended!$B$9:$H$101,7,FALSE)))),0)</f>
        <v>0</v>
      </c>
      <c r="O1468" s="269">
        <f>IFERROR(IF(BA1468="WIP - 30 Days",VLOOKUP(D1468,[3]Extended!$B$9:$J$101,9,FALSE),IF(BA1468="31-120 Days",VLOOKUP(D1468,[3]Extended!$B$9:$K$101,10,FALSE),IF(BA1468="121-365 Days",VLOOKUP(D1468,[3]Extended!$B$9:$L$101,11,FALSE),VLOOKUP(D1468,[3]Extended!$B$9:$M$101,12,FALSE)))),0)</f>
        <v>0</v>
      </c>
      <c r="P1468" s="116" t="e">
        <f t="shared" si="111"/>
        <v>#VALUE!</v>
      </c>
      <c r="Q1468" s="110" t="e">
        <f>O1468-#REF!</f>
        <v>#REF!</v>
      </c>
      <c r="AT1468" s="88" t="str">
        <f t="shared" si="112"/>
        <v>Special Order0</v>
      </c>
      <c r="AU1468" s="89" t="str">
        <f t="shared" si="113"/>
        <v>01-1900</v>
      </c>
      <c r="BA1468" s="92" t="str">
        <f t="shared" si="114"/>
        <v/>
      </c>
    </row>
    <row r="1469" spans="2:53">
      <c r="B1469" s="60">
        <f>[2]Trucks!A1466</f>
        <v>0</v>
      </c>
      <c r="C1469" s="11">
        <f>[2]Trucks!B1466</f>
        <v>0</v>
      </c>
      <c r="D1469" s="19" t="str">
        <f>IFERROR(VLOOKUP(C1469&amp;"",'[2]Retail Price List'!$A$3:$B$103,2,FALSE),"Special Order")</f>
        <v>Special Order</v>
      </c>
      <c r="E1469" s="18">
        <f>[2]Trucks!J1466</f>
        <v>0</v>
      </c>
      <c r="F1469" s="12">
        <f>[2]Trucks!E1466</f>
        <v>0</v>
      </c>
      <c r="G1469" s="56">
        <f>[2]Trucks!K1466</f>
        <v>0</v>
      </c>
      <c r="H1469" s="46">
        <f>[2]Trucks!I1466</f>
        <v>0</v>
      </c>
      <c r="I1469" s="83" t="str">
        <f t="shared" si="110"/>
        <v/>
      </c>
      <c r="J1469" s="272" t="str">
        <f>IFERROR(VLOOKUP((D1469&amp;C1469)&amp;"",'[2]Retail Price List'!$C$4:$F$102,3,FALSE),"")</f>
        <v/>
      </c>
      <c r="K1469" s="272">
        <f>IFERROR(IF(BA1469="WIP - 30 Days",VLOOKUP(D1469,[3]Standard!$B$9:$E$101,4,FALSE),IF(BA1469="31-120 Days",VLOOKUP(D1469,[3]Standard!$B$9:$F$101,5,FALSE),IF(BA1469="121-365 Days",VLOOKUP(D1469,[3]Standard!$B$9:$G$101,6,FALSE),VLOOKUP(D1469,[3]Standard!$B$9:$H$101,7,FALSE)))),0)</f>
        <v>0</v>
      </c>
      <c r="L1469" s="272">
        <f>IFERROR(IF(BA1469="WIP - 30 Days",VLOOKUP(D1469,[3]Standard!$B$9:$J$101,9,FALSE),IF(BA1469="31-120 Days",VLOOKUP(D1469,[3]Standard!$B$9:$K$100,10,FALSE),IF(BA1469="121-365 Days",VLOOKUP(D1469,[3]Standard!$B$9:$L$101,11,FALSE),VLOOKUP(D1469,[3]Standard!$B$9:$M$101,12,FALSE)))),0)</f>
        <v>0</v>
      </c>
      <c r="M1469" s="269" t="str">
        <f>IFERROR(VLOOKUP((D1469&amp;C1469)&amp;"",'[2]Retail Price List'!$C$4:$F$102,4,FALSE),"")</f>
        <v/>
      </c>
      <c r="N1469" s="269">
        <f>IFERROR(IF(BA1469="WIP - 30 Days",VLOOKUP(D1469,[3]Extended!$B$9:$E$101,4,FALSE),IF(BA1469="31-120 Days",VLOOKUP(D1469,[3]Extended!$B$9:$F$101,5,FALSE),IF(BA1469="121-365 Days",VLOOKUP(D1469,[3]Extended!$B$9:$G$101,6,FALSE),VLOOKUP(D1469,[3]Extended!$B$9:$H$101,7,FALSE)))),0)</f>
        <v>0</v>
      </c>
      <c r="O1469" s="269">
        <f>IFERROR(IF(BA1469="WIP - 30 Days",VLOOKUP(D1469,[3]Extended!$B$9:$J$101,9,FALSE),IF(BA1469="31-120 Days",VLOOKUP(D1469,[3]Extended!$B$9:$K$101,10,FALSE),IF(BA1469="121-365 Days",VLOOKUP(D1469,[3]Extended!$B$9:$L$101,11,FALSE),VLOOKUP(D1469,[3]Extended!$B$9:$M$101,12,FALSE)))),0)</f>
        <v>0</v>
      </c>
      <c r="P1469" s="116" t="e">
        <f t="shared" si="111"/>
        <v>#VALUE!</v>
      </c>
      <c r="Q1469" s="110" t="e">
        <f>O1469-#REF!</f>
        <v>#REF!</v>
      </c>
      <c r="AT1469" s="88" t="str">
        <f t="shared" si="112"/>
        <v>Special Order0</v>
      </c>
      <c r="AU1469" s="89" t="str">
        <f t="shared" si="113"/>
        <v>01-1900</v>
      </c>
      <c r="BA1469" s="92" t="str">
        <f t="shared" si="114"/>
        <v/>
      </c>
    </row>
    <row r="1470" spans="2:53">
      <c r="B1470" s="60">
        <f>[2]Trucks!A1467</f>
        <v>0</v>
      </c>
      <c r="C1470" s="11">
        <f>[2]Trucks!B1467</f>
        <v>0</v>
      </c>
      <c r="D1470" s="19" t="str">
        <f>IFERROR(VLOOKUP(C1470&amp;"",'[2]Retail Price List'!$A$3:$B$103,2,FALSE),"Special Order")</f>
        <v>Special Order</v>
      </c>
      <c r="E1470" s="18">
        <f>[2]Trucks!J1467</f>
        <v>0</v>
      </c>
      <c r="F1470" s="12">
        <f>[2]Trucks!E1467</f>
        <v>0</v>
      </c>
      <c r="G1470" s="56">
        <f>[2]Trucks!K1467</f>
        <v>0</v>
      </c>
      <c r="H1470" s="46">
        <f>[2]Trucks!I1467</f>
        <v>0</v>
      </c>
      <c r="I1470" s="83" t="str">
        <f t="shared" si="110"/>
        <v/>
      </c>
      <c r="J1470" s="272" t="str">
        <f>IFERROR(VLOOKUP((D1470&amp;C1470)&amp;"",'[2]Retail Price List'!$C$4:$F$102,3,FALSE),"")</f>
        <v/>
      </c>
      <c r="K1470" s="272">
        <f>IFERROR(IF(BA1470="WIP - 30 Days",VLOOKUP(D1470,[3]Standard!$B$9:$E$101,4,FALSE),IF(BA1470="31-120 Days",VLOOKUP(D1470,[3]Standard!$B$9:$F$101,5,FALSE),IF(BA1470="121-365 Days",VLOOKUP(D1470,[3]Standard!$B$9:$G$101,6,FALSE),VLOOKUP(D1470,[3]Standard!$B$9:$H$101,7,FALSE)))),0)</f>
        <v>0</v>
      </c>
      <c r="L1470" s="272">
        <f>IFERROR(IF(BA1470="WIP - 30 Days",VLOOKUP(D1470,[3]Standard!$B$9:$J$101,9,FALSE),IF(BA1470="31-120 Days",VLOOKUP(D1470,[3]Standard!$B$9:$K$100,10,FALSE),IF(BA1470="121-365 Days",VLOOKUP(D1470,[3]Standard!$B$9:$L$101,11,FALSE),VLOOKUP(D1470,[3]Standard!$B$9:$M$101,12,FALSE)))),0)</f>
        <v>0</v>
      </c>
      <c r="M1470" s="269" t="str">
        <f>IFERROR(VLOOKUP((D1470&amp;C1470)&amp;"",'[2]Retail Price List'!$C$4:$F$102,4,FALSE),"")</f>
        <v/>
      </c>
      <c r="N1470" s="269">
        <f>IFERROR(IF(BA1470="WIP - 30 Days",VLOOKUP(D1470,[3]Extended!$B$9:$E$101,4,FALSE),IF(BA1470="31-120 Days",VLOOKUP(D1470,[3]Extended!$B$9:$F$101,5,FALSE),IF(BA1470="121-365 Days",VLOOKUP(D1470,[3]Extended!$B$9:$G$101,6,FALSE),VLOOKUP(D1470,[3]Extended!$B$9:$H$101,7,FALSE)))),0)</f>
        <v>0</v>
      </c>
      <c r="O1470" s="269">
        <f>IFERROR(IF(BA1470="WIP - 30 Days",VLOOKUP(D1470,[3]Extended!$B$9:$J$101,9,FALSE),IF(BA1470="31-120 Days",VLOOKUP(D1470,[3]Extended!$B$9:$K$101,10,FALSE),IF(BA1470="121-365 Days",VLOOKUP(D1470,[3]Extended!$B$9:$L$101,11,FALSE),VLOOKUP(D1470,[3]Extended!$B$9:$M$101,12,FALSE)))),0)</f>
        <v>0</v>
      </c>
      <c r="P1470" s="116" t="e">
        <f t="shared" si="111"/>
        <v>#VALUE!</v>
      </c>
      <c r="Q1470" s="110" t="e">
        <f>O1470-#REF!</f>
        <v>#REF!</v>
      </c>
      <c r="AT1470" s="88" t="str">
        <f t="shared" si="112"/>
        <v>Special Order0</v>
      </c>
      <c r="AU1470" s="89" t="str">
        <f t="shared" si="113"/>
        <v>01-1900</v>
      </c>
      <c r="BA1470" s="92" t="str">
        <f t="shared" si="114"/>
        <v/>
      </c>
    </row>
    <row r="1471" spans="2:53">
      <c r="B1471" s="60">
        <f>[2]Trucks!A1468</f>
        <v>0</v>
      </c>
      <c r="C1471" s="11">
        <f>[2]Trucks!B1468</f>
        <v>0</v>
      </c>
      <c r="D1471" s="19" t="str">
        <f>IFERROR(VLOOKUP(C1471&amp;"",'[2]Retail Price List'!$A$3:$B$103,2,FALSE),"Special Order")</f>
        <v>Special Order</v>
      </c>
      <c r="E1471" s="18">
        <f>[2]Trucks!J1468</f>
        <v>0</v>
      </c>
      <c r="F1471" s="12">
        <f>[2]Trucks!E1468</f>
        <v>0</v>
      </c>
      <c r="G1471" s="56">
        <f>[2]Trucks!K1468</f>
        <v>0</v>
      </c>
      <c r="H1471" s="46">
        <f>[2]Trucks!I1468</f>
        <v>0</v>
      </c>
      <c r="I1471" s="83" t="str">
        <f t="shared" si="110"/>
        <v/>
      </c>
      <c r="J1471" s="272" t="str">
        <f>IFERROR(VLOOKUP((D1471&amp;C1471)&amp;"",'[2]Retail Price List'!$C$4:$F$102,3,FALSE),"")</f>
        <v/>
      </c>
      <c r="K1471" s="272">
        <f>IFERROR(IF(BA1471="WIP - 30 Days",VLOOKUP(D1471,[3]Standard!$B$9:$E$101,4,FALSE),IF(BA1471="31-120 Days",VLOOKUP(D1471,[3]Standard!$B$9:$F$101,5,FALSE),IF(BA1471="121-365 Days",VLOOKUP(D1471,[3]Standard!$B$9:$G$101,6,FALSE),VLOOKUP(D1471,[3]Standard!$B$9:$H$101,7,FALSE)))),0)</f>
        <v>0</v>
      </c>
      <c r="L1471" s="272">
        <f>IFERROR(IF(BA1471="WIP - 30 Days",VLOOKUP(D1471,[3]Standard!$B$9:$J$101,9,FALSE),IF(BA1471="31-120 Days",VLOOKUP(D1471,[3]Standard!$B$9:$K$100,10,FALSE),IF(BA1471="121-365 Days",VLOOKUP(D1471,[3]Standard!$B$9:$L$101,11,FALSE),VLOOKUP(D1471,[3]Standard!$B$9:$M$101,12,FALSE)))),0)</f>
        <v>0</v>
      </c>
      <c r="M1471" s="269" t="str">
        <f>IFERROR(VLOOKUP((D1471&amp;C1471)&amp;"",'[2]Retail Price List'!$C$4:$F$102,4,FALSE),"")</f>
        <v/>
      </c>
      <c r="N1471" s="269">
        <f>IFERROR(IF(BA1471="WIP - 30 Days",VLOOKUP(D1471,[3]Extended!$B$9:$E$101,4,FALSE),IF(BA1471="31-120 Days",VLOOKUP(D1471,[3]Extended!$B$9:$F$101,5,FALSE),IF(BA1471="121-365 Days",VLOOKUP(D1471,[3]Extended!$B$9:$G$101,6,FALSE),VLOOKUP(D1471,[3]Extended!$B$9:$H$101,7,FALSE)))),0)</f>
        <v>0</v>
      </c>
      <c r="O1471" s="269">
        <f>IFERROR(IF(BA1471="WIP - 30 Days",VLOOKUP(D1471,[3]Extended!$B$9:$J$101,9,FALSE),IF(BA1471="31-120 Days",VLOOKUP(D1471,[3]Extended!$B$9:$K$101,10,FALSE),IF(BA1471="121-365 Days",VLOOKUP(D1471,[3]Extended!$B$9:$L$101,11,FALSE),VLOOKUP(D1471,[3]Extended!$B$9:$M$101,12,FALSE)))),0)</f>
        <v>0</v>
      </c>
      <c r="P1471" s="116" t="e">
        <f t="shared" si="111"/>
        <v>#VALUE!</v>
      </c>
      <c r="Q1471" s="110" t="e">
        <f>O1471-#REF!</f>
        <v>#REF!</v>
      </c>
      <c r="AT1471" s="88" t="str">
        <f t="shared" si="112"/>
        <v>Special Order0</v>
      </c>
      <c r="AU1471" s="89" t="str">
        <f t="shared" si="113"/>
        <v>01-1900</v>
      </c>
      <c r="BA1471" s="92" t="str">
        <f t="shared" si="114"/>
        <v/>
      </c>
    </row>
    <row r="1472" spans="2:53">
      <c r="B1472" s="60">
        <f>[2]Trucks!A1469</f>
        <v>0</v>
      </c>
      <c r="C1472" s="11">
        <f>[2]Trucks!B1469</f>
        <v>0</v>
      </c>
      <c r="D1472" s="19" t="str">
        <f>IFERROR(VLOOKUP(C1472&amp;"",'[2]Retail Price List'!$A$3:$B$103,2,FALSE),"Special Order")</f>
        <v>Special Order</v>
      </c>
      <c r="E1472" s="18">
        <f>[2]Trucks!J1469</f>
        <v>0</v>
      </c>
      <c r="F1472" s="12">
        <f>[2]Trucks!E1469</f>
        <v>0</v>
      </c>
      <c r="G1472" s="56">
        <f>[2]Trucks!K1469</f>
        <v>0</v>
      </c>
      <c r="H1472" s="46">
        <f>[2]Trucks!I1469</f>
        <v>0</v>
      </c>
      <c r="I1472" s="83" t="str">
        <f t="shared" si="110"/>
        <v/>
      </c>
      <c r="J1472" s="272" t="str">
        <f>IFERROR(VLOOKUP((D1472&amp;C1472)&amp;"",'[2]Retail Price List'!$C$4:$F$102,3,FALSE),"")</f>
        <v/>
      </c>
      <c r="K1472" s="272">
        <f>IFERROR(IF(BA1472="WIP - 30 Days",VLOOKUP(D1472,[3]Standard!$B$9:$E$101,4,FALSE),IF(BA1472="31-120 Days",VLOOKUP(D1472,[3]Standard!$B$9:$F$101,5,FALSE),IF(BA1472="121-365 Days",VLOOKUP(D1472,[3]Standard!$B$9:$G$101,6,FALSE),VLOOKUP(D1472,[3]Standard!$B$9:$H$101,7,FALSE)))),0)</f>
        <v>0</v>
      </c>
      <c r="L1472" s="272">
        <f>IFERROR(IF(BA1472="WIP - 30 Days",VLOOKUP(D1472,[3]Standard!$B$9:$J$101,9,FALSE),IF(BA1472="31-120 Days",VLOOKUP(D1472,[3]Standard!$B$9:$K$100,10,FALSE),IF(BA1472="121-365 Days",VLOOKUP(D1472,[3]Standard!$B$9:$L$101,11,FALSE),VLOOKUP(D1472,[3]Standard!$B$9:$M$101,12,FALSE)))),0)</f>
        <v>0</v>
      </c>
      <c r="M1472" s="269" t="str">
        <f>IFERROR(VLOOKUP((D1472&amp;C1472)&amp;"",'[2]Retail Price List'!$C$4:$F$102,4,FALSE),"")</f>
        <v/>
      </c>
      <c r="N1472" s="269">
        <f>IFERROR(IF(BA1472="WIP - 30 Days",VLOOKUP(D1472,[3]Extended!$B$9:$E$101,4,FALSE),IF(BA1472="31-120 Days",VLOOKUP(D1472,[3]Extended!$B$9:$F$101,5,FALSE),IF(BA1472="121-365 Days",VLOOKUP(D1472,[3]Extended!$B$9:$G$101,6,FALSE),VLOOKUP(D1472,[3]Extended!$B$9:$H$101,7,FALSE)))),0)</f>
        <v>0</v>
      </c>
      <c r="O1472" s="269">
        <f>IFERROR(IF(BA1472="WIP - 30 Days",VLOOKUP(D1472,[3]Extended!$B$9:$J$101,9,FALSE),IF(BA1472="31-120 Days",VLOOKUP(D1472,[3]Extended!$B$9:$K$101,10,FALSE),IF(BA1472="121-365 Days",VLOOKUP(D1472,[3]Extended!$B$9:$L$101,11,FALSE),VLOOKUP(D1472,[3]Extended!$B$9:$M$101,12,FALSE)))),0)</f>
        <v>0</v>
      </c>
      <c r="P1472" s="116" t="e">
        <f t="shared" si="111"/>
        <v>#VALUE!</v>
      </c>
      <c r="Q1472" s="110" t="e">
        <f>O1472-#REF!</f>
        <v>#REF!</v>
      </c>
      <c r="AT1472" s="88" t="str">
        <f t="shared" si="112"/>
        <v>Special Order0</v>
      </c>
      <c r="AU1472" s="89" t="str">
        <f t="shared" si="113"/>
        <v>01-1900</v>
      </c>
      <c r="BA1472" s="92" t="str">
        <f t="shared" si="114"/>
        <v/>
      </c>
    </row>
    <row r="1473" spans="2:53">
      <c r="B1473" s="60">
        <f>[2]Trucks!A1470</f>
        <v>0</v>
      </c>
      <c r="C1473" s="11">
        <f>[2]Trucks!B1470</f>
        <v>0</v>
      </c>
      <c r="D1473" s="19" t="str">
        <f>IFERROR(VLOOKUP(C1473&amp;"",'[2]Retail Price List'!$A$3:$B$103,2,FALSE),"Special Order")</f>
        <v>Special Order</v>
      </c>
      <c r="E1473" s="18">
        <f>[2]Trucks!J1470</f>
        <v>0</v>
      </c>
      <c r="F1473" s="12">
        <f>[2]Trucks!E1470</f>
        <v>0</v>
      </c>
      <c r="G1473" s="56">
        <f>[2]Trucks!K1470</f>
        <v>0</v>
      </c>
      <c r="H1473" s="46">
        <f>[2]Trucks!I1470</f>
        <v>0</v>
      </c>
      <c r="I1473" s="83" t="str">
        <f t="shared" si="110"/>
        <v/>
      </c>
      <c r="J1473" s="272" t="str">
        <f>IFERROR(VLOOKUP((D1473&amp;C1473)&amp;"",'[2]Retail Price List'!$C$4:$F$102,3,FALSE),"")</f>
        <v/>
      </c>
      <c r="K1473" s="272">
        <f>IFERROR(IF(BA1473="WIP - 30 Days",VLOOKUP(D1473,[3]Standard!$B$9:$E$101,4,FALSE),IF(BA1473="31-120 Days",VLOOKUP(D1473,[3]Standard!$B$9:$F$101,5,FALSE),IF(BA1473="121-365 Days",VLOOKUP(D1473,[3]Standard!$B$9:$G$101,6,FALSE),VLOOKUP(D1473,[3]Standard!$B$9:$H$101,7,FALSE)))),0)</f>
        <v>0</v>
      </c>
      <c r="L1473" s="272">
        <f>IFERROR(IF(BA1473="WIP - 30 Days",VLOOKUP(D1473,[3]Standard!$B$9:$J$101,9,FALSE),IF(BA1473="31-120 Days",VLOOKUP(D1473,[3]Standard!$B$9:$K$100,10,FALSE),IF(BA1473="121-365 Days",VLOOKUP(D1473,[3]Standard!$B$9:$L$101,11,FALSE),VLOOKUP(D1473,[3]Standard!$B$9:$M$101,12,FALSE)))),0)</f>
        <v>0</v>
      </c>
      <c r="M1473" s="269" t="str">
        <f>IFERROR(VLOOKUP((D1473&amp;C1473)&amp;"",'[2]Retail Price List'!$C$4:$F$102,4,FALSE),"")</f>
        <v/>
      </c>
      <c r="N1473" s="269">
        <f>IFERROR(IF(BA1473="WIP - 30 Days",VLOOKUP(D1473,[3]Extended!$B$9:$E$101,4,FALSE),IF(BA1473="31-120 Days",VLOOKUP(D1473,[3]Extended!$B$9:$F$101,5,FALSE),IF(BA1473="121-365 Days",VLOOKUP(D1473,[3]Extended!$B$9:$G$101,6,FALSE),VLOOKUP(D1473,[3]Extended!$B$9:$H$101,7,FALSE)))),0)</f>
        <v>0</v>
      </c>
      <c r="O1473" s="269">
        <f>IFERROR(IF(BA1473="WIP - 30 Days",VLOOKUP(D1473,[3]Extended!$B$9:$J$101,9,FALSE),IF(BA1473="31-120 Days",VLOOKUP(D1473,[3]Extended!$B$9:$K$101,10,FALSE),IF(BA1473="121-365 Days",VLOOKUP(D1473,[3]Extended!$B$9:$L$101,11,FALSE),VLOOKUP(D1473,[3]Extended!$B$9:$M$101,12,FALSE)))),0)</f>
        <v>0</v>
      </c>
      <c r="P1473" s="116" t="e">
        <f t="shared" si="111"/>
        <v>#VALUE!</v>
      </c>
      <c r="Q1473" s="110" t="e">
        <f>O1473-#REF!</f>
        <v>#REF!</v>
      </c>
      <c r="AT1473" s="88" t="str">
        <f t="shared" si="112"/>
        <v>Special Order0</v>
      </c>
      <c r="AU1473" s="89" t="str">
        <f t="shared" si="113"/>
        <v>01-1900</v>
      </c>
      <c r="BA1473" s="92" t="str">
        <f t="shared" si="114"/>
        <v/>
      </c>
    </row>
    <row r="1474" spans="2:53">
      <c r="B1474" s="60">
        <f>[2]Trucks!A1471</f>
        <v>0</v>
      </c>
      <c r="C1474" s="11">
        <f>[2]Trucks!B1471</f>
        <v>0</v>
      </c>
      <c r="D1474" s="19" t="str">
        <f>IFERROR(VLOOKUP(C1474&amp;"",'[2]Retail Price List'!$A$3:$B$103,2,FALSE),"Special Order")</f>
        <v>Special Order</v>
      </c>
      <c r="E1474" s="18">
        <f>[2]Trucks!J1471</f>
        <v>0</v>
      </c>
      <c r="F1474" s="12">
        <f>[2]Trucks!E1471</f>
        <v>0</v>
      </c>
      <c r="G1474" s="56">
        <f>[2]Trucks!K1471</f>
        <v>0</v>
      </c>
      <c r="H1474" s="46">
        <f>[2]Trucks!I1471</f>
        <v>0</v>
      </c>
      <c r="I1474" s="83" t="str">
        <f t="shared" si="110"/>
        <v/>
      </c>
      <c r="J1474" s="272" t="str">
        <f>IFERROR(VLOOKUP((D1474&amp;C1474)&amp;"",'[2]Retail Price List'!$C$4:$F$102,3,FALSE),"")</f>
        <v/>
      </c>
      <c r="K1474" s="272">
        <f>IFERROR(IF(BA1474="WIP - 30 Days",VLOOKUP(D1474,[3]Standard!$B$9:$E$101,4,FALSE),IF(BA1474="31-120 Days",VLOOKUP(D1474,[3]Standard!$B$9:$F$101,5,FALSE),IF(BA1474="121-365 Days",VLOOKUP(D1474,[3]Standard!$B$9:$G$101,6,FALSE),VLOOKUP(D1474,[3]Standard!$B$9:$H$101,7,FALSE)))),0)</f>
        <v>0</v>
      </c>
      <c r="L1474" s="272">
        <f>IFERROR(IF(BA1474="WIP - 30 Days",VLOOKUP(D1474,[3]Standard!$B$9:$J$101,9,FALSE),IF(BA1474="31-120 Days",VLOOKUP(D1474,[3]Standard!$B$9:$K$100,10,FALSE),IF(BA1474="121-365 Days",VLOOKUP(D1474,[3]Standard!$B$9:$L$101,11,FALSE),VLOOKUP(D1474,[3]Standard!$B$9:$M$101,12,FALSE)))),0)</f>
        <v>0</v>
      </c>
      <c r="M1474" s="269" t="str">
        <f>IFERROR(VLOOKUP((D1474&amp;C1474)&amp;"",'[2]Retail Price List'!$C$4:$F$102,4,FALSE),"")</f>
        <v/>
      </c>
      <c r="N1474" s="269">
        <f>IFERROR(IF(BA1474="WIP - 30 Days",VLOOKUP(D1474,[3]Extended!$B$9:$E$101,4,FALSE),IF(BA1474="31-120 Days",VLOOKUP(D1474,[3]Extended!$B$9:$F$101,5,FALSE),IF(BA1474="121-365 Days",VLOOKUP(D1474,[3]Extended!$B$9:$G$101,6,FALSE),VLOOKUP(D1474,[3]Extended!$B$9:$H$101,7,FALSE)))),0)</f>
        <v>0</v>
      </c>
      <c r="O1474" s="269">
        <f>IFERROR(IF(BA1474="WIP - 30 Days",VLOOKUP(D1474,[3]Extended!$B$9:$J$101,9,FALSE),IF(BA1474="31-120 Days",VLOOKUP(D1474,[3]Extended!$B$9:$K$101,10,FALSE),IF(BA1474="121-365 Days",VLOOKUP(D1474,[3]Extended!$B$9:$L$101,11,FALSE),VLOOKUP(D1474,[3]Extended!$B$9:$M$101,12,FALSE)))),0)</f>
        <v>0</v>
      </c>
      <c r="P1474" s="116" t="e">
        <f t="shared" si="111"/>
        <v>#VALUE!</v>
      </c>
      <c r="Q1474" s="110" t="e">
        <f>O1474-#REF!</f>
        <v>#REF!</v>
      </c>
      <c r="AT1474" s="88" t="str">
        <f t="shared" si="112"/>
        <v>Special Order0</v>
      </c>
      <c r="AU1474" s="89" t="str">
        <f t="shared" si="113"/>
        <v>01-1900</v>
      </c>
      <c r="BA1474" s="92" t="str">
        <f t="shared" si="114"/>
        <v/>
      </c>
    </row>
    <row r="1475" spans="2:53">
      <c r="B1475" s="60">
        <f>[2]Trucks!A1472</f>
        <v>0</v>
      </c>
      <c r="C1475" s="11">
        <f>[2]Trucks!B1472</f>
        <v>0</v>
      </c>
      <c r="D1475" s="19" t="str">
        <f>IFERROR(VLOOKUP(C1475&amp;"",'[2]Retail Price List'!$A$3:$B$103,2,FALSE),"Special Order")</f>
        <v>Special Order</v>
      </c>
      <c r="E1475" s="18">
        <f>[2]Trucks!J1472</f>
        <v>0</v>
      </c>
      <c r="F1475" s="12">
        <f>[2]Trucks!E1472</f>
        <v>0</v>
      </c>
      <c r="G1475" s="56">
        <f>[2]Trucks!K1472</f>
        <v>0</v>
      </c>
      <c r="H1475" s="46">
        <f>[2]Trucks!I1472</f>
        <v>0</v>
      </c>
      <c r="I1475" s="83" t="str">
        <f t="shared" si="110"/>
        <v/>
      </c>
      <c r="J1475" s="272" t="str">
        <f>IFERROR(VLOOKUP((D1475&amp;C1475)&amp;"",'[2]Retail Price List'!$C$4:$F$102,3,FALSE),"")</f>
        <v/>
      </c>
      <c r="K1475" s="272">
        <f>IFERROR(IF(BA1475="WIP - 30 Days",VLOOKUP(D1475,[3]Standard!$B$9:$E$101,4,FALSE),IF(BA1475="31-120 Days",VLOOKUP(D1475,[3]Standard!$B$9:$F$101,5,FALSE),IF(BA1475="121-365 Days",VLOOKUP(D1475,[3]Standard!$B$9:$G$101,6,FALSE),VLOOKUP(D1475,[3]Standard!$B$9:$H$101,7,FALSE)))),0)</f>
        <v>0</v>
      </c>
      <c r="L1475" s="272">
        <f>IFERROR(IF(BA1475="WIP - 30 Days",VLOOKUP(D1475,[3]Standard!$B$9:$J$101,9,FALSE),IF(BA1475="31-120 Days",VLOOKUP(D1475,[3]Standard!$B$9:$K$100,10,FALSE),IF(BA1475="121-365 Days",VLOOKUP(D1475,[3]Standard!$B$9:$L$101,11,FALSE),VLOOKUP(D1475,[3]Standard!$B$9:$M$101,12,FALSE)))),0)</f>
        <v>0</v>
      </c>
      <c r="M1475" s="269" t="str">
        <f>IFERROR(VLOOKUP((D1475&amp;C1475)&amp;"",'[2]Retail Price List'!$C$4:$F$102,4,FALSE),"")</f>
        <v/>
      </c>
      <c r="N1475" s="269">
        <f>IFERROR(IF(BA1475="WIP - 30 Days",VLOOKUP(D1475,[3]Extended!$B$9:$E$101,4,FALSE),IF(BA1475="31-120 Days",VLOOKUP(D1475,[3]Extended!$B$9:$F$101,5,FALSE),IF(BA1475="121-365 Days",VLOOKUP(D1475,[3]Extended!$B$9:$G$101,6,FALSE),VLOOKUP(D1475,[3]Extended!$B$9:$H$101,7,FALSE)))),0)</f>
        <v>0</v>
      </c>
      <c r="O1475" s="269">
        <f>IFERROR(IF(BA1475="WIP - 30 Days",VLOOKUP(D1475,[3]Extended!$B$9:$J$101,9,FALSE),IF(BA1475="31-120 Days",VLOOKUP(D1475,[3]Extended!$B$9:$K$101,10,FALSE),IF(BA1475="121-365 Days",VLOOKUP(D1475,[3]Extended!$B$9:$L$101,11,FALSE),VLOOKUP(D1475,[3]Extended!$B$9:$M$101,12,FALSE)))),0)</f>
        <v>0</v>
      </c>
      <c r="P1475" s="116" t="e">
        <f t="shared" si="111"/>
        <v>#VALUE!</v>
      </c>
      <c r="Q1475" s="110" t="e">
        <f>O1475-#REF!</f>
        <v>#REF!</v>
      </c>
      <c r="AT1475" s="88" t="str">
        <f t="shared" si="112"/>
        <v>Special Order0</v>
      </c>
      <c r="AU1475" s="89" t="str">
        <f t="shared" si="113"/>
        <v>01-1900</v>
      </c>
      <c r="BA1475" s="92" t="str">
        <f t="shared" si="114"/>
        <v/>
      </c>
    </row>
    <row r="1476" spans="2:53">
      <c r="B1476" s="60">
        <f>[2]Trucks!A1473</f>
        <v>0</v>
      </c>
      <c r="C1476" s="11">
        <f>[2]Trucks!B1473</f>
        <v>0</v>
      </c>
      <c r="D1476" s="19" t="str">
        <f>IFERROR(VLOOKUP(C1476&amp;"",'[2]Retail Price List'!$A$3:$B$103,2,FALSE),"Special Order")</f>
        <v>Special Order</v>
      </c>
      <c r="E1476" s="18">
        <f>[2]Trucks!J1473</f>
        <v>0</v>
      </c>
      <c r="F1476" s="12">
        <f>[2]Trucks!E1473</f>
        <v>0</v>
      </c>
      <c r="G1476" s="56">
        <f>[2]Trucks!K1473</f>
        <v>0</v>
      </c>
      <c r="H1476" s="46">
        <f>[2]Trucks!I1473</f>
        <v>0</v>
      </c>
      <c r="I1476" s="83" t="str">
        <f t="shared" si="110"/>
        <v/>
      </c>
      <c r="J1476" s="272" t="str">
        <f>IFERROR(VLOOKUP((D1476&amp;C1476)&amp;"",'[2]Retail Price List'!$C$4:$F$102,3,FALSE),"")</f>
        <v/>
      </c>
      <c r="K1476" s="272">
        <f>IFERROR(IF(BA1476="WIP - 30 Days",VLOOKUP(D1476,[3]Standard!$B$9:$E$101,4,FALSE),IF(BA1476="31-120 Days",VLOOKUP(D1476,[3]Standard!$B$9:$F$101,5,FALSE),IF(BA1476="121-365 Days",VLOOKUP(D1476,[3]Standard!$B$9:$G$101,6,FALSE),VLOOKUP(D1476,[3]Standard!$B$9:$H$101,7,FALSE)))),0)</f>
        <v>0</v>
      </c>
      <c r="L1476" s="272">
        <f>IFERROR(IF(BA1476="WIP - 30 Days",VLOOKUP(D1476,[3]Standard!$B$9:$J$101,9,FALSE),IF(BA1476="31-120 Days",VLOOKUP(D1476,[3]Standard!$B$9:$K$100,10,FALSE),IF(BA1476="121-365 Days",VLOOKUP(D1476,[3]Standard!$B$9:$L$101,11,FALSE),VLOOKUP(D1476,[3]Standard!$B$9:$M$101,12,FALSE)))),0)</f>
        <v>0</v>
      </c>
      <c r="M1476" s="269" t="str">
        <f>IFERROR(VLOOKUP((D1476&amp;C1476)&amp;"",'[2]Retail Price List'!$C$4:$F$102,4,FALSE),"")</f>
        <v/>
      </c>
      <c r="N1476" s="269">
        <f>IFERROR(IF(BA1476="WIP - 30 Days",VLOOKUP(D1476,[3]Extended!$B$9:$E$101,4,FALSE),IF(BA1476="31-120 Days",VLOOKUP(D1476,[3]Extended!$B$9:$F$101,5,FALSE),IF(BA1476="121-365 Days",VLOOKUP(D1476,[3]Extended!$B$9:$G$101,6,FALSE),VLOOKUP(D1476,[3]Extended!$B$9:$H$101,7,FALSE)))),0)</f>
        <v>0</v>
      </c>
      <c r="O1476" s="269">
        <f>IFERROR(IF(BA1476="WIP - 30 Days",VLOOKUP(D1476,[3]Extended!$B$9:$J$101,9,FALSE),IF(BA1476="31-120 Days",VLOOKUP(D1476,[3]Extended!$B$9:$K$101,10,FALSE),IF(BA1476="121-365 Days",VLOOKUP(D1476,[3]Extended!$B$9:$L$101,11,FALSE),VLOOKUP(D1476,[3]Extended!$B$9:$M$101,12,FALSE)))),0)</f>
        <v>0</v>
      </c>
      <c r="P1476" s="116" t="e">
        <f t="shared" si="111"/>
        <v>#VALUE!</v>
      </c>
      <c r="Q1476" s="110" t="e">
        <f>O1476-#REF!</f>
        <v>#REF!</v>
      </c>
      <c r="AT1476" s="88" t="str">
        <f t="shared" si="112"/>
        <v>Special Order0</v>
      </c>
      <c r="AU1476" s="89" t="str">
        <f t="shared" si="113"/>
        <v>01-1900</v>
      </c>
      <c r="BA1476" s="92" t="str">
        <f t="shared" si="114"/>
        <v/>
      </c>
    </row>
    <row r="1477" spans="2:53">
      <c r="B1477" s="60">
        <f>[2]Trucks!A1474</f>
        <v>0</v>
      </c>
      <c r="C1477" s="11">
        <f>[2]Trucks!B1474</f>
        <v>0</v>
      </c>
      <c r="D1477" s="19" t="str">
        <f>IFERROR(VLOOKUP(C1477&amp;"",'[2]Retail Price List'!$A$3:$B$103,2,FALSE),"Special Order")</f>
        <v>Special Order</v>
      </c>
      <c r="E1477" s="18">
        <f>[2]Trucks!J1474</f>
        <v>0</v>
      </c>
      <c r="F1477" s="12">
        <f>[2]Trucks!E1474</f>
        <v>0</v>
      </c>
      <c r="G1477" s="56">
        <f>[2]Trucks!K1474</f>
        <v>0</v>
      </c>
      <c r="H1477" s="46">
        <f>[2]Trucks!I1474</f>
        <v>0</v>
      </c>
      <c r="I1477" s="83" t="str">
        <f t="shared" ref="I1477:I1540" si="115">IFERROR(VLOOKUP(AU1477,$AW$5:$AY$40,3,FALSE),"")</f>
        <v/>
      </c>
      <c r="J1477" s="272" t="str">
        <f>IFERROR(VLOOKUP((D1477&amp;C1477)&amp;"",'[2]Retail Price List'!$C$4:$F$102,3,FALSE),"")</f>
        <v/>
      </c>
      <c r="K1477" s="272">
        <f>IFERROR(IF(BA1477="WIP - 30 Days",VLOOKUP(D1477,[3]Standard!$B$9:$E$101,4,FALSE),IF(BA1477="31-120 Days",VLOOKUP(D1477,[3]Standard!$B$9:$F$101,5,FALSE),IF(BA1477="121-365 Days",VLOOKUP(D1477,[3]Standard!$B$9:$G$101,6,FALSE),VLOOKUP(D1477,[3]Standard!$B$9:$H$101,7,FALSE)))),0)</f>
        <v>0</v>
      </c>
      <c r="L1477" s="272">
        <f>IFERROR(IF(BA1477="WIP - 30 Days",VLOOKUP(D1477,[3]Standard!$B$9:$J$101,9,FALSE),IF(BA1477="31-120 Days",VLOOKUP(D1477,[3]Standard!$B$9:$K$100,10,FALSE),IF(BA1477="121-365 Days",VLOOKUP(D1477,[3]Standard!$B$9:$L$101,11,FALSE),VLOOKUP(D1477,[3]Standard!$B$9:$M$101,12,FALSE)))),0)</f>
        <v>0</v>
      </c>
      <c r="M1477" s="269" t="str">
        <f>IFERROR(VLOOKUP((D1477&amp;C1477)&amp;"",'[2]Retail Price List'!$C$4:$F$102,4,FALSE),"")</f>
        <v/>
      </c>
      <c r="N1477" s="269">
        <f>IFERROR(IF(BA1477="WIP - 30 Days",VLOOKUP(D1477,[3]Extended!$B$9:$E$101,4,FALSE),IF(BA1477="31-120 Days",VLOOKUP(D1477,[3]Extended!$B$9:$F$101,5,FALSE),IF(BA1477="121-365 Days",VLOOKUP(D1477,[3]Extended!$B$9:$G$101,6,FALSE),VLOOKUP(D1477,[3]Extended!$B$9:$H$101,7,FALSE)))),0)</f>
        <v>0</v>
      </c>
      <c r="O1477" s="269">
        <f>IFERROR(IF(BA1477="WIP - 30 Days",VLOOKUP(D1477,[3]Extended!$B$9:$J$101,9,FALSE),IF(BA1477="31-120 Days",VLOOKUP(D1477,[3]Extended!$B$9:$K$101,10,FALSE),IF(BA1477="121-365 Days",VLOOKUP(D1477,[3]Extended!$B$9:$L$101,11,FALSE),VLOOKUP(D1477,[3]Extended!$B$9:$M$101,12,FALSE)))),0)</f>
        <v>0</v>
      </c>
      <c r="P1477" s="116" t="e">
        <f t="shared" ref="P1477:P1540" si="116">(M1477-O1477)/M1477</f>
        <v>#VALUE!</v>
      </c>
      <c r="Q1477" s="110" t="e">
        <f>O1477-#REF!</f>
        <v>#REF!</v>
      </c>
      <c r="AT1477" s="88" t="str">
        <f t="shared" ref="AT1477:AT1540" si="117">D1477&amp;I1477&amp;G1477</f>
        <v>Special Order0</v>
      </c>
      <c r="AU1477" s="89" t="str">
        <f t="shared" ref="AU1477:AU1540" si="118">IF(MONTH(H1477)&lt;10,0&amp;MONTH(H1477)&amp;"-"&amp;YEAR(H1477),MONTH(H1477)&amp;"-"&amp;YEAR(H1477))</f>
        <v>01-1900</v>
      </c>
      <c r="BA1477" s="92" t="str">
        <f t="shared" ref="BA1477:BA1540" si="119">IF(B1477=0,"",IF(AND(F1477&gt;=31,F1477&lt;=120),"31-120 Days",IF(AND(F1477&gt;=121,F1477&lt;=365),"121-365 Days",IF(OR(E1477="CKD",F1477&lt;=30),"WIP - 30 Days","&gt;365 Days"))))</f>
        <v/>
      </c>
    </row>
    <row r="1478" spans="2:53">
      <c r="B1478" s="60">
        <f>[2]Trucks!A1475</f>
        <v>0</v>
      </c>
      <c r="C1478" s="11">
        <f>[2]Trucks!B1475</f>
        <v>0</v>
      </c>
      <c r="D1478" s="19" t="str">
        <f>IFERROR(VLOOKUP(C1478&amp;"",'[2]Retail Price List'!$A$3:$B$103,2,FALSE),"Special Order")</f>
        <v>Special Order</v>
      </c>
      <c r="E1478" s="18">
        <f>[2]Trucks!J1475</f>
        <v>0</v>
      </c>
      <c r="F1478" s="12">
        <f>[2]Trucks!E1475</f>
        <v>0</v>
      </c>
      <c r="G1478" s="56">
        <f>[2]Trucks!K1475</f>
        <v>0</v>
      </c>
      <c r="H1478" s="46">
        <f>[2]Trucks!I1475</f>
        <v>0</v>
      </c>
      <c r="I1478" s="83" t="str">
        <f t="shared" si="115"/>
        <v/>
      </c>
      <c r="J1478" s="272" t="str">
        <f>IFERROR(VLOOKUP((D1478&amp;C1478)&amp;"",'[2]Retail Price List'!$C$4:$F$102,3,FALSE),"")</f>
        <v/>
      </c>
      <c r="K1478" s="272">
        <f>IFERROR(IF(BA1478="WIP - 30 Days",VLOOKUP(D1478,[3]Standard!$B$9:$E$101,4,FALSE),IF(BA1478="31-120 Days",VLOOKUP(D1478,[3]Standard!$B$9:$F$101,5,FALSE),IF(BA1478="121-365 Days",VLOOKUP(D1478,[3]Standard!$B$9:$G$101,6,FALSE),VLOOKUP(D1478,[3]Standard!$B$9:$H$101,7,FALSE)))),0)</f>
        <v>0</v>
      </c>
      <c r="L1478" s="272">
        <f>IFERROR(IF(BA1478="WIP - 30 Days",VLOOKUP(D1478,[3]Standard!$B$9:$J$101,9,FALSE),IF(BA1478="31-120 Days",VLOOKUP(D1478,[3]Standard!$B$9:$K$100,10,FALSE),IF(BA1478="121-365 Days",VLOOKUP(D1478,[3]Standard!$B$9:$L$101,11,FALSE),VLOOKUP(D1478,[3]Standard!$B$9:$M$101,12,FALSE)))),0)</f>
        <v>0</v>
      </c>
      <c r="M1478" s="269" t="str">
        <f>IFERROR(VLOOKUP((D1478&amp;C1478)&amp;"",'[2]Retail Price List'!$C$4:$F$102,4,FALSE),"")</f>
        <v/>
      </c>
      <c r="N1478" s="269">
        <f>IFERROR(IF(BA1478="WIP - 30 Days",VLOOKUP(D1478,[3]Extended!$B$9:$E$101,4,FALSE),IF(BA1478="31-120 Days",VLOOKUP(D1478,[3]Extended!$B$9:$F$101,5,FALSE),IF(BA1478="121-365 Days",VLOOKUP(D1478,[3]Extended!$B$9:$G$101,6,FALSE),VLOOKUP(D1478,[3]Extended!$B$9:$H$101,7,FALSE)))),0)</f>
        <v>0</v>
      </c>
      <c r="O1478" s="269">
        <f>IFERROR(IF(BA1478="WIP - 30 Days",VLOOKUP(D1478,[3]Extended!$B$9:$J$101,9,FALSE),IF(BA1478="31-120 Days",VLOOKUP(D1478,[3]Extended!$B$9:$K$101,10,FALSE),IF(BA1478="121-365 Days",VLOOKUP(D1478,[3]Extended!$B$9:$L$101,11,FALSE),VLOOKUP(D1478,[3]Extended!$B$9:$M$101,12,FALSE)))),0)</f>
        <v>0</v>
      </c>
      <c r="P1478" s="116" t="e">
        <f t="shared" si="116"/>
        <v>#VALUE!</v>
      </c>
      <c r="Q1478" s="110" t="e">
        <f>O1478-#REF!</f>
        <v>#REF!</v>
      </c>
      <c r="AT1478" s="88" t="str">
        <f t="shared" si="117"/>
        <v>Special Order0</v>
      </c>
      <c r="AU1478" s="89" t="str">
        <f t="shared" si="118"/>
        <v>01-1900</v>
      </c>
      <c r="BA1478" s="92" t="str">
        <f t="shared" si="119"/>
        <v/>
      </c>
    </row>
    <row r="1479" spans="2:53">
      <c r="B1479" s="60">
        <f>[2]Trucks!A1476</f>
        <v>0</v>
      </c>
      <c r="C1479" s="11">
        <f>[2]Trucks!B1476</f>
        <v>0</v>
      </c>
      <c r="D1479" s="19" t="str">
        <f>IFERROR(VLOOKUP(C1479&amp;"",'[2]Retail Price List'!$A$3:$B$103,2,FALSE),"Special Order")</f>
        <v>Special Order</v>
      </c>
      <c r="E1479" s="18">
        <f>[2]Trucks!J1476</f>
        <v>0</v>
      </c>
      <c r="F1479" s="12">
        <f>[2]Trucks!E1476</f>
        <v>0</v>
      </c>
      <c r="G1479" s="56">
        <f>[2]Trucks!K1476</f>
        <v>0</v>
      </c>
      <c r="H1479" s="46">
        <f>[2]Trucks!I1476</f>
        <v>0</v>
      </c>
      <c r="I1479" s="83" t="str">
        <f t="shared" si="115"/>
        <v/>
      </c>
      <c r="J1479" s="272" t="str">
        <f>IFERROR(VLOOKUP((D1479&amp;C1479)&amp;"",'[2]Retail Price List'!$C$4:$F$102,3,FALSE),"")</f>
        <v/>
      </c>
      <c r="K1479" s="272">
        <f>IFERROR(IF(BA1479="WIP - 30 Days",VLOOKUP(D1479,[3]Standard!$B$9:$E$101,4,FALSE),IF(BA1479="31-120 Days",VLOOKUP(D1479,[3]Standard!$B$9:$F$101,5,FALSE),IF(BA1479="121-365 Days",VLOOKUP(D1479,[3]Standard!$B$9:$G$101,6,FALSE),VLOOKUP(D1479,[3]Standard!$B$9:$H$101,7,FALSE)))),0)</f>
        <v>0</v>
      </c>
      <c r="L1479" s="272">
        <f>IFERROR(IF(BA1479="WIP - 30 Days",VLOOKUP(D1479,[3]Standard!$B$9:$J$101,9,FALSE),IF(BA1479="31-120 Days",VLOOKUP(D1479,[3]Standard!$B$9:$K$100,10,FALSE),IF(BA1479="121-365 Days",VLOOKUP(D1479,[3]Standard!$B$9:$L$101,11,FALSE),VLOOKUP(D1479,[3]Standard!$B$9:$M$101,12,FALSE)))),0)</f>
        <v>0</v>
      </c>
      <c r="M1479" s="269" t="str">
        <f>IFERROR(VLOOKUP((D1479&amp;C1479)&amp;"",'[2]Retail Price List'!$C$4:$F$102,4,FALSE),"")</f>
        <v/>
      </c>
      <c r="N1479" s="269">
        <f>IFERROR(IF(BA1479="WIP - 30 Days",VLOOKUP(D1479,[3]Extended!$B$9:$E$101,4,FALSE),IF(BA1479="31-120 Days",VLOOKUP(D1479,[3]Extended!$B$9:$F$101,5,FALSE),IF(BA1479="121-365 Days",VLOOKUP(D1479,[3]Extended!$B$9:$G$101,6,FALSE),VLOOKUP(D1479,[3]Extended!$B$9:$H$101,7,FALSE)))),0)</f>
        <v>0</v>
      </c>
      <c r="O1479" s="269">
        <f>IFERROR(IF(BA1479="WIP - 30 Days",VLOOKUP(D1479,[3]Extended!$B$9:$J$101,9,FALSE),IF(BA1479="31-120 Days",VLOOKUP(D1479,[3]Extended!$B$9:$K$101,10,FALSE),IF(BA1479="121-365 Days",VLOOKUP(D1479,[3]Extended!$B$9:$L$101,11,FALSE),VLOOKUP(D1479,[3]Extended!$B$9:$M$101,12,FALSE)))),0)</f>
        <v>0</v>
      </c>
      <c r="P1479" s="116" t="e">
        <f t="shared" si="116"/>
        <v>#VALUE!</v>
      </c>
      <c r="Q1479" s="110" t="e">
        <f>O1479-#REF!</f>
        <v>#REF!</v>
      </c>
      <c r="AT1479" s="88" t="str">
        <f t="shared" si="117"/>
        <v>Special Order0</v>
      </c>
      <c r="AU1479" s="89" t="str">
        <f t="shared" si="118"/>
        <v>01-1900</v>
      </c>
      <c r="BA1479" s="92" t="str">
        <f t="shared" si="119"/>
        <v/>
      </c>
    </row>
    <row r="1480" spans="2:53">
      <c r="B1480" s="60">
        <f>[2]Trucks!A1477</f>
        <v>0</v>
      </c>
      <c r="C1480" s="11">
        <f>[2]Trucks!B1477</f>
        <v>0</v>
      </c>
      <c r="D1480" s="19" t="str">
        <f>IFERROR(VLOOKUP(C1480&amp;"",'[2]Retail Price List'!$A$3:$B$103,2,FALSE),"Special Order")</f>
        <v>Special Order</v>
      </c>
      <c r="E1480" s="18">
        <f>[2]Trucks!J1477</f>
        <v>0</v>
      </c>
      <c r="F1480" s="12">
        <f>[2]Trucks!E1477</f>
        <v>0</v>
      </c>
      <c r="G1480" s="56">
        <f>[2]Trucks!K1477</f>
        <v>0</v>
      </c>
      <c r="H1480" s="46">
        <f>[2]Trucks!I1477</f>
        <v>0</v>
      </c>
      <c r="I1480" s="83" t="str">
        <f t="shared" si="115"/>
        <v/>
      </c>
      <c r="J1480" s="272" t="str">
        <f>IFERROR(VLOOKUP((D1480&amp;C1480)&amp;"",'[2]Retail Price List'!$C$4:$F$102,3,FALSE),"")</f>
        <v/>
      </c>
      <c r="K1480" s="272">
        <f>IFERROR(IF(BA1480="WIP - 30 Days",VLOOKUP(D1480,[3]Standard!$B$9:$E$101,4,FALSE),IF(BA1480="31-120 Days",VLOOKUP(D1480,[3]Standard!$B$9:$F$101,5,FALSE),IF(BA1480="121-365 Days",VLOOKUP(D1480,[3]Standard!$B$9:$G$101,6,FALSE),VLOOKUP(D1480,[3]Standard!$B$9:$H$101,7,FALSE)))),0)</f>
        <v>0</v>
      </c>
      <c r="L1480" s="272">
        <f>IFERROR(IF(BA1480="WIP - 30 Days",VLOOKUP(D1480,[3]Standard!$B$9:$J$101,9,FALSE),IF(BA1480="31-120 Days",VLOOKUP(D1480,[3]Standard!$B$9:$K$100,10,FALSE),IF(BA1480="121-365 Days",VLOOKUP(D1480,[3]Standard!$B$9:$L$101,11,FALSE),VLOOKUP(D1480,[3]Standard!$B$9:$M$101,12,FALSE)))),0)</f>
        <v>0</v>
      </c>
      <c r="M1480" s="269" t="str">
        <f>IFERROR(VLOOKUP((D1480&amp;C1480)&amp;"",'[2]Retail Price List'!$C$4:$F$102,4,FALSE),"")</f>
        <v/>
      </c>
      <c r="N1480" s="269">
        <f>IFERROR(IF(BA1480="WIP - 30 Days",VLOOKUP(D1480,[3]Extended!$B$9:$E$101,4,FALSE),IF(BA1480="31-120 Days",VLOOKUP(D1480,[3]Extended!$B$9:$F$101,5,FALSE),IF(BA1480="121-365 Days",VLOOKUP(D1480,[3]Extended!$B$9:$G$101,6,FALSE),VLOOKUP(D1480,[3]Extended!$B$9:$H$101,7,FALSE)))),0)</f>
        <v>0</v>
      </c>
      <c r="O1480" s="269">
        <f>IFERROR(IF(BA1480="WIP - 30 Days",VLOOKUP(D1480,[3]Extended!$B$9:$J$101,9,FALSE),IF(BA1480="31-120 Days",VLOOKUP(D1480,[3]Extended!$B$9:$K$101,10,FALSE),IF(BA1480="121-365 Days",VLOOKUP(D1480,[3]Extended!$B$9:$L$101,11,FALSE),VLOOKUP(D1480,[3]Extended!$B$9:$M$101,12,FALSE)))),0)</f>
        <v>0</v>
      </c>
      <c r="P1480" s="116" t="e">
        <f t="shared" si="116"/>
        <v>#VALUE!</v>
      </c>
      <c r="Q1480" s="110" t="e">
        <f>O1480-#REF!</f>
        <v>#REF!</v>
      </c>
      <c r="AT1480" s="88" t="str">
        <f t="shared" si="117"/>
        <v>Special Order0</v>
      </c>
      <c r="AU1480" s="89" t="str">
        <f t="shared" si="118"/>
        <v>01-1900</v>
      </c>
      <c r="BA1480" s="92" t="str">
        <f t="shared" si="119"/>
        <v/>
      </c>
    </row>
    <row r="1481" spans="2:53">
      <c r="B1481" s="60">
        <f>[2]Trucks!A1478</f>
        <v>0</v>
      </c>
      <c r="C1481" s="11">
        <f>[2]Trucks!B1478</f>
        <v>0</v>
      </c>
      <c r="D1481" s="19" t="str">
        <f>IFERROR(VLOOKUP(C1481&amp;"",'[2]Retail Price List'!$A$3:$B$103,2,FALSE),"Special Order")</f>
        <v>Special Order</v>
      </c>
      <c r="E1481" s="18">
        <f>[2]Trucks!J1478</f>
        <v>0</v>
      </c>
      <c r="F1481" s="12">
        <f>[2]Trucks!E1478</f>
        <v>0</v>
      </c>
      <c r="G1481" s="56">
        <f>[2]Trucks!K1478</f>
        <v>0</v>
      </c>
      <c r="H1481" s="46">
        <f>[2]Trucks!I1478</f>
        <v>0</v>
      </c>
      <c r="I1481" s="83" t="str">
        <f t="shared" si="115"/>
        <v/>
      </c>
      <c r="J1481" s="272" t="str">
        <f>IFERROR(VLOOKUP((D1481&amp;C1481)&amp;"",'[2]Retail Price List'!$C$4:$F$102,3,FALSE),"")</f>
        <v/>
      </c>
      <c r="K1481" s="272">
        <f>IFERROR(IF(BA1481="WIP - 30 Days",VLOOKUP(D1481,[3]Standard!$B$9:$E$101,4,FALSE),IF(BA1481="31-120 Days",VLOOKUP(D1481,[3]Standard!$B$9:$F$101,5,FALSE),IF(BA1481="121-365 Days",VLOOKUP(D1481,[3]Standard!$B$9:$G$101,6,FALSE),VLOOKUP(D1481,[3]Standard!$B$9:$H$101,7,FALSE)))),0)</f>
        <v>0</v>
      </c>
      <c r="L1481" s="272">
        <f>IFERROR(IF(BA1481="WIP - 30 Days",VLOOKUP(D1481,[3]Standard!$B$9:$J$101,9,FALSE),IF(BA1481="31-120 Days",VLOOKUP(D1481,[3]Standard!$B$9:$K$100,10,FALSE),IF(BA1481="121-365 Days",VLOOKUP(D1481,[3]Standard!$B$9:$L$101,11,FALSE),VLOOKUP(D1481,[3]Standard!$B$9:$M$101,12,FALSE)))),0)</f>
        <v>0</v>
      </c>
      <c r="M1481" s="269" t="str">
        <f>IFERROR(VLOOKUP((D1481&amp;C1481)&amp;"",'[2]Retail Price List'!$C$4:$F$102,4,FALSE),"")</f>
        <v/>
      </c>
      <c r="N1481" s="269">
        <f>IFERROR(IF(BA1481="WIP - 30 Days",VLOOKUP(D1481,[3]Extended!$B$9:$E$101,4,FALSE),IF(BA1481="31-120 Days",VLOOKUP(D1481,[3]Extended!$B$9:$F$101,5,FALSE),IF(BA1481="121-365 Days",VLOOKUP(D1481,[3]Extended!$B$9:$G$101,6,FALSE),VLOOKUP(D1481,[3]Extended!$B$9:$H$101,7,FALSE)))),0)</f>
        <v>0</v>
      </c>
      <c r="O1481" s="269">
        <f>IFERROR(IF(BA1481="WIP - 30 Days",VLOOKUP(D1481,[3]Extended!$B$9:$J$101,9,FALSE),IF(BA1481="31-120 Days",VLOOKUP(D1481,[3]Extended!$B$9:$K$101,10,FALSE),IF(BA1481="121-365 Days",VLOOKUP(D1481,[3]Extended!$B$9:$L$101,11,FALSE),VLOOKUP(D1481,[3]Extended!$B$9:$M$101,12,FALSE)))),0)</f>
        <v>0</v>
      </c>
      <c r="P1481" s="116" t="e">
        <f t="shared" si="116"/>
        <v>#VALUE!</v>
      </c>
      <c r="Q1481" s="110" t="e">
        <f>O1481-#REF!</f>
        <v>#REF!</v>
      </c>
      <c r="AT1481" s="88" t="str">
        <f t="shared" si="117"/>
        <v>Special Order0</v>
      </c>
      <c r="AU1481" s="89" t="str">
        <f t="shared" si="118"/>
        <v>01-1900</v>
      </c>
      <c r="BA1481" s="92" t="str">
        <f t="shared" si="119"/>
        <v/>
      </c>
    </row>
    <row r="1482" spans="2:53">
      <c r="B1482" s="60">
        <f>[2]Trucks!A1479</f>
        <v>0</v>
      </c>
      <c r="C1482" s="11">
        <f>[2]Trucks!B1479</f>
        <v>0</v>
      </c>
      <c r="D1482" s="19" t="str">
        <f>IFERROR(VLOOKUP(C1482&amp;"",'[2]Retail Price List'!$A$3:$B$103,2,FALSE),"Special Order")</f>
        <v>Special Order</v>
      </c>
      <c r="E1482" s="18">
        <f>[2]Trucks!J1479</f>
        <v>0</v>
      </c>
      <c r="F1482" s="12">
        <f>[2]Trucks!E1479</f>
        <v>0</v>
      </c>
      <c r="G1482" s="56">
        <f>[2]Trucks!K1479</f>
        <v>0</v>
      </c>
      <c r="H1482" s="46">
        <f>[2]Trucks!I1479</f>
        <v>0</v>
      </c>
      <c r="I1482" s="83" t="str">
        <f t="shared" si="115"/>
        <v/>
      </c>
      <c r="J1482" s="272" t="str">
        <f>IFERROR(VLOOKUP((D1482&amp;C1482)&amp;"",'[2]Retail Price List'!$C$4:$F$102,3,FALSE),"")</f>
        <v/>
      </c>
      <c r="K1482" s="272">
        <f>IFERROR(IF(BA1482="WIP - 30 Days",VLOOKUP(D1482,[3]Standard!$B$9:$E$101,4,FALSE),IF(BA1482="31-120 Days",VLOOKUP(D1482,[3]Standard!$B$9:$F$101,5,FALSE),IF(BA1482="121-365 Days",VLOOKUP(D1482,[3]Standard!$B$9:$G$101,6,FALSE),VLOOKUP(D1482,[3]Standard!$B$9:$H$101,7,FALSE)))),0)</f>
        <v>0</v>
      </c>
      <c r="L1482" s="272">
        <f>IFERROR(IF(BA1482="WIP - 30 Days",VLOOKUP(D1482,[3]Standard!$B$9:$J$101,9,FALSE),IF(BA1482="31-120 Days",VLOOKUP(D1482,[3]Standard!$B$9:$K$100,10,FALSE),IF(BA1482="121-365 Days",VLOOKUP(D1482,[3]Standard!$B$9:$L$101,11,FALSE),VLOOKUP(D1482,[3]Standard!$B$9:$M$101,12,FALSE)))),0)</f>
        <v>0</v>
      </c>
      <c r="M1482" s="269" t="str">
        <f>IFERROR(VLOOKUP((D1482&amp;C1482)&amp;"",'[2]Retail Price List'!$C$4:$F$102,4,FALSE),"")</f>
        <v/>
      </c>
      <c r="N1482" s="269">
        <f>IFERROR(IF(BA1482="WIP - 30 Days",VLOOKUP(D1482,[3]Extended!$B$9:$E$101,4,FALSE),IF(BA1482="31-120 Days",VLOOKUP(D1482,[3]Extended!$B$9:$F$101,5,FALSE),IF(BA1482="121-365 Days",VLOOKUP(D1482,[3]Extended!$B$9:$G$101,6,FALSE),VLOOKUP(D1482,[3]Extended!$B$9:$H$101,7,FALSE)))),0)</f>
        <v>0</v>
      </c>
      <c r="O1482" s="269">
        <f>IFERROR(IF(BA1482="WIP - 30 Days",VLOOKUP(D1482,[3]Extended!$B$9:$J$101,9,FALSE),IF(BA1482="31-120 Days",VLOOKUP(D1482,[3]Extended!$B$9:$K$101,10,FALSE),IF(BA1482="121-365 Days",VLOOKUP(D1482,[3]Extended!$B$9:$L$101,11,FALSE),VLOOKUP(D1482,[3]Extended!$B$9:$M$101,12,FALSE)))),0)</f>
        <v>0</v>
      </c>
      <c r="P1482" s="116" t="e">
        <f t="shared" si="116"/>
        <v>#VALUE!</v>
      </c>
      <c r="Q1482" s="110" t="e">
        <f>O1482-#REF!</f>
        <v>#REF!</v>
      </c>
      <c r="AT1482" s="88" t="str">
        <f t="shared" si="117"/>
        <v>Special Order0</v>
      </c>
      <c r="AU1482" s="89" t="str">
        <f t="shared" si="118"/>
        <v>01-1900</v>
      </c>
      <c r="BA1482" s="92" t="str">
        <f t="shared" si="119"/>
        <v/>
      </c>
    </row>
    <row r="1483" spans="2:53">
      <c r="B1483" s="60">
        <f>[2]Trucks!A1480</f>
        <v>0</v>
      </c>
      <c r="C1483" s="11">
        <f>[2]Trucks!B1480</f>
        <v>0</v>
      </c>
      <c r="D1483" s="19" t="str">
        <f>IFERROR(VLOOKUP(C1483&amp;"",'[2]Retail Price List'!$A$3:$B$103,2,FALSE),"Special Order")</f>
        <v>Special Order</v>
      </c>
      <c r="E1483" s="18">
        <f>[2]Trucks!J1480</f>
        <v>0</v>
      </c>
      <c r="F1483" s="12">
        <f>[2]Trucks!E1480</f>
        <v>0</v>
      </c>
      <c r="G1483" s="56">
        <f>[2]Trucks!K1480</f>
        <v>0</v>
      </c>
      <c r="H1483" s="46">
        <f>[2]Trucks!I1480</f>
        <v>0</v>
      </c>
      <c r="I1483" s="83" t="str">
        <f t="shared" si="115"/>
        <v/>
      </c>
      <c r="J1483" s="272" t="str">
        <f>IFERROR(VLOOKUP((D1483&amp;C1483)&amp;"",'[2]Retail Price List'!$C$4:$F$102,3,FALSE),"")</f>
        <v/>
      </c>
      <c r="K1483" s="272">
        <f>IFERROR(IF(BA1483="WIP - 30 Days",VLOOKUP(D1483,[3]Standard!$B$9:$E$101,4,FALSE),IF(BA1483="31-120 Days",VLOOKUP(D1483,[3]Standard!$B$9:$F$101,5,FALSE),IF(BA1483="121-365 Days",VLOOKUP(D1483,[3]Standard!$B$9:$G$101,6,FALSE),VLOOKUP(D1483,[3]Standard!$B$9:$H$101,7,FALSE)))),0)</f>
        <v>0</v>
      </c>
      <c r="L1483" s="272">
        <f>IFERROR(IF(BA1483="WIP - 30 Days",VLOOKUP(D1483,[3]Standard!$B$9:$J$101,9,FALSE),IF(BA1483="31-120 Days",VLOOKUP(D1483,[3]Standard!$B$9:$K$100,10,FALSE),IF(BA1483="121-365 Days",VLOOKUP(D1483,[3]Standard!$B$9:$L$101,11,FALSE),VLOOKUP(D1483,[3]Standard!$B$9:$M$101,12,FALSE)))),0)</f>
        <v>0</v>
      </c>
      <c r="M1483" s="269" t="str">
        <f>IFERROR(VLOOKUP((D1483&amp;C1483)&amp;"",'[2]Retail Price List'!$C$4:$F$102,4,FALSE),"")</f>
        <v/>
      </c>
      <c r="N1483" s="269">
        <f>IFERROR(IF(BA1483="WIP - 30 Days",VLOOKUP(D1483,[3]Extended!$B$9:$E$101,4,FALSE),IF(BA1483="31-120 Days",VLOOKUP(D1483,[3]Extended!$B$9:$F$101,5,FALSE),IF(BA1483="121-365 Days",VLOOKUP(D1483,[3]Extended!$B$9:$G$101,6,FALSE),VLOOKUP(D1483,[3]Extended!$B$9:$H$101,7,FALSE)))),0)</f>
        <v>0</v>
      </c>
      <c r="O1483" s="269">
        <f>IFERROR(IF(BA1483="WIP - 30 Days",VLOOKUP(D1483,[3]Extended!$B$9:$J$101,9,FALSE),IF(BA1483="31-120 Days",VLOOKUP(D1483,[3]Extended!$B$9:$K$101,10,FALSE),IF(BA1483="121-365 Days",VLOOKUP(D1483,[3]Extended!$B$9:$L$101,11,FALSE),VLOOKUP(D1483,[3]Extended!$B$9:$M$101,12,FALSE)))),0)</f>
        <v>0</v>
      </c>
      <c r="P1483" s="116" t="e">
        <f t="shared" si="116"/>
        <v>#VALUE!</v>
      </c>
      <c r="Q1483" s="110" t="e">
        <f>O1483-#REF!</f>
        <v>#REF!</v>
      </c>
      <c r="AT1483" s="88" t="str">
        <f t="shared" si="117"/>
        <v>Special Order0</v>
      </c>
      <c r="AU1483" s="89" t="str">
        <f t="shared" si="118"/>
        <v>01-1900</v>
      </c>
      <c r="BA1483" s="92" t="str">
        <f t="shared" si="119"/>
        <v/>
      </c>
    </row>
    <row r="1484" spans="2:53">
      <c r="B1484" s="60">
        <f>[2]Trucks!A1481</f>
        <v>0</v>
      </c>
      <c r="C1484" s="11">
        <f>[2]Trucks!B1481</f>
        <v>0</v>
      </c>
      <c r="D1484" s="19" t="str">
        <f>IFERROR(VLOOKUP(C1484&amp;"",'[2]Retail Price List'!$A$3:$B$103,2,FALSE),"Special Order")</f>
        <v>Special Order</v>
      </c>
      <c r="E1484" s="18">
        <f>[2]Trucks!J1481</f>
        <v>0</v>
      </c>
      <c r="F1484" s="12">
        <f>[2]Trucks!E1481</f>
        <v>0</v>
      </c>
      <c r="G1484" s="56">
        <f>[2]Trucks!K1481</f>
        <v>0</v>
      </c>
      <c r="H1484" s="46">
        <f>[2]Trucks!I1481</f>
        <v>0</v>
      </c>
      <c r="I1484" s="83" t="str">
        <f t="shared" si="115"/>
        <v/>
      </c>
      <c r="J1484" s="272" t="str">
        <f>IFERROR(VLOOKUP((D1484&amp;C1484)&amp;"",'[2]Retail Price List'!$C$4:$F$102,3,FALSE),"")</f>
        <v/>
      </c>
      <c r="K1484" s="272">
        <f>IFERROR(IF(BA1484="WIP - 30 Days",VLOOKUP(D1484,[3]Standard!$B$9:$E$101,4,FALSE),IF(BA1484="31-120 Days",VLOOKUP(D1484,[3]Standard!$B$9:$F$101,5,FALSE),IF(BA1484="121-365 Days",VLOOKUP(D1484,[3]Standard!$B$9:$G$101,6,FALSE),VLOOKUP(D1484,[3]Standard!$B$9:$H$101,7,FALSE)))),0)</f>
        <v>0</v>
      </c>
      <c r="L1484" s="272">
        <f>IFERROR(IF(BA1484="WIP - 30 Days",VLOOKUP(D1484,[3]Standard!$B$9:$J$101,9,FALSE),IF(BA1484="31-120 Days",VLOOKUP(D1484,[3]Standard!$B$9:$K$100,10,FALSE),IF(BA1484="121-365 Days",VLOOKUP(D1484,[3]Standard!$B$9:$L$101,11,FALSE),VLOOKUP(D1484,[3]Standard!$B$9:$M$101,12,FALSE)))),0)</f>
        <v>0</v>
      </c>
      <c r="M1484" s="269" t="str">
        <f>IFERROR(VLOOKUP((D1484&amp;C1484)&amp;"",'[2]Retail Price List'!$C$4:$F$102,4,FALSE),"")</f>
        <v/>
      </c>
      <c r="N1484" s="269">
        <f>IFERROR(IF(BA1484="WIP - 30 Days",VLOOKUP(D1484,[3]Extended!$B$9:$E$101,4,FALSE),IF(BA1484="31-120 Days",VLOOKUP(D1484,[3]Extended!$B$9:$F$101,5,FALSE),IF(BA1484="121-365 Days",VLOOKUP(D1484,[3]Extended!$B$9:$G$101,6,FALSE),VLOOKUP(D1484,[3]Extended!$B$9:$H$101,7,FALSE)))),0)</f>
        <v>0</v>
      </c>
      <c r="O1484" s="269">
        <f>IFERROR(IF(BA1484="WIP - 30 Days",VLOOKUP(D1484,[3]Extended!$B$9:$J$101,9,FALSE),IF(BA1484="31-120 Days",VLOOKUP(D1484,[3]Extended!$B$9:$K$101,10,FALSE),IF(BA1484="121-365 Days",VLOOKUP(D1484,[3]Extended!$B$9:$L$101,11,FALSE),VLOOKUP(D1484,[3]Extended!$B$9:$M$101,12,FALSE)))),0)</f>
        <v>0</v>
      </c>
      <c r="P1484" s="116" t="e">
        <f t="shared" si="116"/>
        <v>#VALUE!</v>
      </c>
      <c r="Q1484" s="110" t="e">
        <f>O1484-#REF!</f>
        <v>#REF!</v>
      </c>
      <c r="AT1484" s="88" t="str">
        <f t="shared" si="117"/>
        <v>Special Order0</v>
      </c>
      <c r="AU1484" s="89" t="str">
        <f t="shared" si="118"/>
        <v>01-1900</v>
      </c>
      <c r="BA1484" s="92" t="str">
        <f t="shared" si="119"/>
        <v/>
      </c>
    </row>
    <row r="1485" spans="2:53">
      <c r="B1485" s="60">
        <f>[2]Trucks!A1482</f>
        <v>0</v>
      </c>
      <c r="C1485" s="11">
        <f>[2]Trucks!B1482</f>
        <v>0</v>
      </c>
      <c r="D1485" s="19" t="str">
        <f>IFERROR(VLOOKUP(C1485&amp;"",'[2]Retail Price List'!$A$3:$B$103,2,FALSE),"Special Order")</f>
        <v>Special Order</v>
      </c>
      <c r="E1485" s="18">
        <f>[2]Trucks!J1482</f>
        <v>0</v>
      </c>
      <c r="F1485" s="12">
        <f>[2]Trucks!E1482</f>
        <v>0</v>
      </c>
      <c r="G1485" s="56">
        <f>[2]Trucks!K1482</f>
        <v>0</v>
      </c>
      <c r="H1485" s="46">
        <f>[2]Trucks!I1482</f>
        <v>0</v>
      </c>
      <c r="I1485" s="83" t="str">
        <f t="shared" si="115"/>
        <v/>
      </c>
      <c r="J1485" s="272" t="str">
        <f>IFERROR(VLOOKUP((D1485&amp;C1485)&amp;"",'[2]Retail Price List'!$C$4:$F$102,3,FALSE),"")</f>
        <v/>
      </c>
      <c r="K1485" s="272">
        <f>IFERROR(IF(BA1485="WIP - 30 Days",VLOOKUP(D1485,[3]Standard!$B$9:$E$101,4,FALSE),IF(BA1485="31-120 Days",VLOOKUP(D1485,[3]Standard!$B$9:$F$101,5,FALSE),IF(BA1485="121-365 Days",VLOOKUP(D1485,[3]Standard!$B$9:$G$101,6,FALSE),VLOOKUP(D1485,[3]Standard!$B$9:$H$101,7,FALSE)))),0)</f>
        <v>0</v>
      </c>
      <c r="L1485" s="272">
        <f>IFERROR(IF(BA1485="WIP - 30 Days",VLOOKUP(D1485,[3]Standard!$B$9:$J$101,9,FALSE),IF(BA1485="31-120 Days",VLOOKUP(D1485,[3]Standard!$B$9:$K$100,10,FALSE),IF(BA1485="121-365 Days",VLOOKUP(D1485,[3]Standard!$B$9:$L$101,11,FALSE),VLOOKUP(D1485,[3]Standard!$B$9:$M$101,12,FALSE)))),0)</f>
        <v>0</v>
      </c>
      <c r="M1485" s="269" t="str">
        <f>IFERROR(VLOOKUP((D1485&amp;C1485)&amp;"",'[2]Retail Price List'!$C$4:$F$102,4,FALSE),"")</f>
        <v/>
      </c>
      <c r="N1485" s="269">
        <f>IFERROR(IF(BA1485="WIP - 30 Days",VLOOKUP(D1485,[3]Extended!$B$9:$E$101,4,FALSE),IF(BA1485="31-120 Days",VLOOKUP(D1485,[3]Extended!$B$9:$F$101,5,FALSE),IF(BA1485="121-365 Days",VLOOKUP(D1485,[3]Extended!$B$9:$G$101,6,FALSE),VLOOKUP(D1485,[3]Extended!$B$9:$H$101,7,FALSE)))),0)</f>
        <v>0</v>
      </c>
      <c r="O1485" s="269">
        <f>IFERROR(IF(BA1485="WIP - 30 Days",VLOOKUP(D1485,[3]Extended!$B$9:$J$101,9,FALSE),IF(BA1485="31-120 Days",VLOOKUP(D1485,[3]Extended!$B$9:$K$101,10,FALSE),IF(BA1485="121-365 Days",VLOOKUP(D1485,[3]Extended!$B$9:$L$101,11,FALSE),VLOOKUP(D1485,[3]Extended!$B$9:$M$101,12,FALSE)))),0)</f>
        <v>0</v>
      </c>
      <c r="P1485" s="116" t="e">
        <f t="shared" si="116"/>
        <v>#VALUE!</v>
      </c>
      <c r="Q1485" s="110" t="e">
        <f>O1485-#REF!</f>
        <v>#REF!</v>
      </c>
      <c r="AT1485" s="88" t="str">
        <f t="shared" si="117"/>
        <v>Special Order0</v>
      </c>
      <c r="AU1485" s="89" t="str">
        <f t="shared" si="118"/>
        <v>01-1900</v>
      </c>
      <c r="BA1485" s="92" t="str">
        <f t="shared" si="119"/>
        <v/>
      </c>
    </row>
    <row r="1486" spans="2:53">
      <c r="B1486" s="60">
        <f>[2]Trucks!A1483</f>
        <v>0</v>
      </c>
      <c r="C1486" s="11">
        <f>[2]Trucks!B1483</f>
        <v>0</v>
      </c>
      <c r="D1486" s="19" t="str">
        <f>IFERROR(VLOOKUP(C1486&amp;"",'[2]Retail Price List'!$A$3:$B$103,2,FALSE),"Special Order")</f>
        <v>Special Order</v>
      </c>
      <c r="E1486" s="18">
        <f>[2]Trucks!J1483</f>
        <v>0</v>
      </c>
      <c r="F1486" s="12">
        <f>[2]Trucks!E1483</f>
        <v>0</v>
      </c>
      <c r="G1486" s="56">
        <f>[2]Trucks!K1483</f>
        <v>0</v>
      </c>
      <c r="H1486" s="46">
        <f>[2]Trucks!I1483</f>
        <v>0</v>
      </c>
      <c r="I1486" s="83" t="str">
        <f t="shared" si="115"/>
        <v/>
      </c>
      <c r="J1486" s="272" t="str">
        <f>IFERROR(VLOOKUP((D1486&amp;C1486)&amp;"",'[2]Retail Price List'!$C$4:$F$102,3,FALSE),"")</f>
        <v/>
      </c>
      <c r="K1486" s="272">
        <f>IFERROR(IF(BA1486="WIP - 30 Days",VLOOKUP(D1486,[3]Standard!$B$9:$E$101,4,FALSE),IF(BA1486="31-120 Days",VLOOKUP(D1486,[3]Standard!$B$9:$F$101,5,FALSE),IF(BA1486="121-365 Days",VLOOKUP(D1486,[3]Standard!$B$9:$G$101,6,FALSE),VLOOKUP(D1486,[3]Standard!$B$9:$H$101,7,FALSE)))),0)</f>
        <v>0</v>
      </c>
      <c r="L1486" s="272">
        <f>IFERROR(IF(BA1486="WIP - 30 Days",VLOOKUP(D1486,[3]Standard!$B$9:$J$101,9,FALSE),IF(BA1486="31-120 Days",VLOOKUP(D1486,[3]Standard!$B$9:$K$100,10,FALSE),IF(BA1486="121-365 Days",VLOOKUP(D1486,[3]Standard!$B$9:$L$101,11,FALSE),VLOOKUP(D1486,[3]Standard!$B$9:$M$101,12,FALSE)))),0)</f>
        <v>0</v>
      </c>
      <c r="M1486" s="269" t="str">
        <f>IFERROR(VLOOKUP((D1486&amp;C1486)&amp;"",'[2]Retail Price List'!$C$4:$F$102,4,FALSE),"")</f>
        <v/>
      </c>
      <c r="N1486" s="269">
        <f>IFERROR(IF(BA1486="WIP - 30 Days",VLOOKUP(D1486,[3]Extended!$B$9:$E$101,4,FALSE),IF(BA1486="31-120 Days",VLOOKUP(D1486,[3]Extended!$B$9:$F$101,5,FALSE),IF(BA1486="121-365 Days",VLOOKUP(D1486,[3]Extended!$B$9:$G$101,6,FALSE),VLOOKUP(D1486,[3]Extended!$B$9:$H$101,7,FALSE)))),0)</f>
        <v>0</v>
      </c>
      <c r="O1486" s="269">
        <f>IFERROR(IF(BA1486="WIP - 30 Days",VLOOKUP(D1486,[3]Extended!$B$9:$J$101,9,FALSE),IF(BA1486="31-120 Days",VLOOKUP(D1486,[3]Extended!$B$9:$K$101,10,FALSE),IF(BA1486="121-365 Days",VLOOKUP(D1486,[3]Extended!$B$9:$L$101,11,FALSE),VLOOKUP(D1486,[3]Extended!$B$9:$M$101,12,FALSE)))),0)</f>
        <v>0</v>
      </c>
      <c r="P1486" s="116" t="e">
        <f t="shared" si="116"/>
        <v>#VALUE!</v>
      </c>
      <c r="Q1486" s="110" t="e">
        <f>O1486-#REF!</f>
        <v>#REF!</v>
      </c>
      <c r="AT1486" s="88" t="str">
        <f t="shared" si="117"/>
        <v>Special Order0</v>
      </c>
      <c r="AU1486" s="89" t="str">
        <f t="shared" si="118"/>
        <v>01-1900</v>
      </c>
      <c r="BA1486" s="92" t="str">
        <f t="shared" si="119"/>
        <v/>
      </c>
    </row>
    <row r="1487" spans="2:53">
      <c r="B1487" s="60">
        <f>[2]Trucks!A1484</f>
        <v>0</v>
      </c>
      <c r="C1487" s="11">
        <f>[2]Trucks!B1484</f>
        <v>0</v>
      </c>
      <c r="D1487" s="19" t="str">
        <f>IFERROR(VLOOKUP(C1487&amp;"",'[2]Retail Price List'!$A$3:$B$103,2,FALSE),"Special Order")</f>
        <v>Special Order</v>
      </c>
      <c r="E1487" s="18">
        <f>[2]Trucks!J1484</f>
        <v>0</v>
      </c>
      <c r="F1487" s="12">
        <f>[2]Trucks!E1484</f>
        <v>0</v>
      </c>
      <c r="G1487" s="56">
        <f>[2]Trucks!K1484</f>
        <v>0</v>
      </c>
      <c r="H1487" s="46">
        <f>[2]Trucks!I1484</f>
        <v>0</v>
      </c>
      <c r="I1487" s="83" t="str">
        <f t="shared" si="115"/>
        <v/>
      </c>
      <c r="J1487" s="272" t="str">
        <f>IFERROR(VLOOKUP((D1487&amp;C1487)&amp;"",'[2]Retail Price List'!$C$4:$F$102,3,FALSE),"")</f>
        <v/>
      </c>
      <c r="K1487" s="272">
        <f>IFERROR(IF(BA1487="WIP - 30 Days",VLOOKUP(D1487,[3]Standard!$B$9:$E$101,4,FALSE),IF(BA1487="31-120 Days",VLOOKUP(D1487,[3]Standard!$B$9:$F$101,5,FALSE),IF(BA1487="121-365 Days",VLOOKUP(D1487,[3]Standard!$B$9:$G$101,6,FALSE),VLOOKUP(D1487,[3]Standard!$B$9:$H$101,7,FALSE)))),0)</f>
        <v>0</v>
      </c>
      <c r="L1487" s="272">
        <f>IFERROR(IF(BA1487="WIP - 30 Days",VLOOKUP(D1487,[3]Standard!$B$9:$J$101,9,FALSE),IF(BA1487="31-120 Days",VLOOKUP(D1487,[3]Standard!$B$9:$K$100,10,FALSE),IF(BA1487="121-365 Days",VLOOKUP(D1487,[3]Standard!$B$9:$L$101,11,FALSE),VLOOKUP(D1487,[3]Standard!$B$9:$M$101,12,FALSE)))),0)</f>
        <v>0</v>
      </c>
      <c r="M1487" s="269" t="str">
        <f>IFERROR(VLOOKUP((D1487&amp;C1487)&amp;"",'[2]Retail Price List'!$C$4:$F$102,4,FALSE),"")</f>
        <v/>
      </c>
      <c r="N1487" s="269">
        <f>IFERROR(IF(BA1487="WIP - 30 Days",VLOOKUP(D1487,[3]Extended!$B$9:$E$101,4,FALSE),IF(BA1487="31-120 Days",VLOOKUP(D1487,[3]Extended!$B$9:$F$101,5,FALSE),IF(BA1487="121-365 Days",VLOOKUP(D1487,[3]Extended!$B$9:$G$101,6,FALSE),VLOOKUP(D1487,[3]Extended!$B$9:$H$101,7,FALSE)))),0)</f>
        <v>0</v>
      </c>
      <c r="O1487" s="269">
        <f>IFERROR(IF(BA1487="WIP - 30 Days",VLOOKUP(D1487,[3]Extended!$B$9:$J$101,9,FALSE),IF(BA1487="31-120 Days",VLOOKUP(D1487,[3]Extended!$B$9:$K$101,10,FALSE),IF(BA1487="121-365 Days",VLOOKUP(D1487,[3]Extended!$B$9:$L$101,11,FALSE),VLOOKUP(D1487,[3]Extended!$B$9:$M$101,12,FALSE)))),0)</f>
        <v>0</v>
      </c>
      <c r="P1487" s="116" t="e">
        <f t="shared" si="116"/>
        <v>#VALUE!</v>
      </c>
      <c r="Q1487" s="110" t="e">
        <f>O1487-#REF!</f>
        <v>#REF!</v>
      </c>
      <c r="AT1487" s="88" t="str">
        <f t="shared" si="117"/>
        <v>Special Order0</v>
      </c>
      <c r="AU1487" s="89" t="str">
        <f t="shared" si="118"/>
        <v>01-1900</v>
      </c>
      <c r="BA1487" s="92" t="str">
        <f t="shared" si="119"/>
        <v/>
      </c>
    </row>
    <row r="1488" spans="2:53">
      <c r="B1488" s="60">
        <f>[2]Trucks!A1485</f>
        <v>0</v>
      </c>
      <c r="C1488" s="11">
        <f>[2]Trucks!B1485</f>
        <v>0</v>
      </c>
      <c r="D1488" s="19" t="str">
        <f>IFERROR(VLOOKUP(C1488&amp;"",'[2]Retail Price List'!$A$3:$B$103,2,FALSE),"Special Order")</f>
        <v>Special Order</v>
      </c>
      <c r="E1488" s="18">
        <f>[2]Trucks!J1485</f>
        <v>0</v>
      </c>
      <c r="F1488" s="12">
        <f>[2]Trucks!E1485</f>
        <v>0</v>
      </c>
      <c r="G1488" s="56">
        <f>[2]Trucks!K1485</f>
        <v>0</v>
      </c>
      <c r="H1488" s="46">
        <f>[2]Trucks!I1485</f>
        <v>0</v>
      </c>
      <c r="I1488" s="83" t="str">
        <f t="shared" si="115"/>
        <v/>
      </c>
      <c r="J1488" s="272" t="str">
        <f>IFERROR(VLOOKUP((D1488&amp;C1488)&amp;"",'[2]Retail Price List'!$C$4:$F$102,3,FALSE),"")</f>
        <v/>
      </c>
      <c r="K1488" s="272">
        <f>IFERROR(IF(BA1488="WIP - 30 Days",VLOOKUP(D1488,[3]Standard!$B$9:$E$101,4,FALSE),IF(BA1488="31-120 Days",VLOOKUP(D1488,[3]Standard!$B$9:$F$101,5,FALSE),IF(BA1488="121-365 Days",VLOOKUP(D1488,[3]Standard!$B$9:$G$101,6,FALSE),VLOOKUP(D1488,[3]Standard!$B$9:$H$101,7,FALSE)))),0)</f>
        <v>0</v>
      </c>
      <c r="L1488" s="272">
        <f>IFERROR(IF(BA1488="WIP - 30 Days",VLOOKUP(D1488,[3]Standard!$B$9:$J$101,9,FALSE),IF(BA1488="31-120 Days",VLOOKUP(D1488,[3]Standard!$B$9:$K$100,10,FALSE),IF(BA1488="121-365 Days",VLOOKUP(D1488,[3]Standard!$B$9:$L$101,11,FALSE),VLOOKUP(D1488,[3]Standard!$B$9:$M$101,12,FALSE)))),0)</f>
        <v>0</v>
      </c>
      <c r="M1488" s="269" t="str">
        <f>IFERROR(VLOOKUP((D1488&amp;C1488)&amp;"",'[2]Retail Price List'!$C$4:$F$102,4,FALSE),"")</f>
        <v/>
      </c>
      <c r="N1488" s="269">
        <f>IFERROR(IF(BA1488="WIP - 30 Days",VLOOKUP(D1488,[3]Extended!$B$9:$E$101,4,FALSE),IF(BA1488="31-120 Days",VLOOKUP(D1488,[3]Extended!$B$9:$F$101,5,FALSE),IF(BA1488="121-365 Days",VLOOKUP(D1488,[3]Extended!$B$9:$G$101,6,FALSE),VLOOKUP(D1488,[3]Extended!$B$9:$H$101,7,FALSE)))),0)</f>
        <v>0</v>
      </c>
      <c r="O1488" s="269">
        <f>IFERROR(IF(BA1488="WIP - 30 Days",VLOOKUP(D1488,[3]Extended!$B$9:$J$101,9,FALSE),IF(BA1488="31-120 Days",VLOOKUP(D1488,[3]Extended!$B$9:$K$101,10,FALSE),IF(BA1488="121-365 Days",VLOOKUP(D1488,[3]Extended!$B$9:$L$101,11,FALSE),VLOOKUP(D1488,[3]Extended!$B$9:$M$101,12,FALSE)))),0)</f>
        <v>0</v>
      </c>
      <c r="P1488" s="116" t="e">
        <f t="shared" si="116"/>
        <v>#VALUE!</v>
      </c>
      <c r="Q1488" s="110" t="e">
        <f>O1488-#REF!</f>
        <v>#REF!</v>
      </c>
      <c r="AT1488" s="88" t="str">
        <f t="shared" si="117"/>
        <v>Special Order0</v>
      </c>
      <c r="AU1488" s="89" t="str">
        <f t="shared" si="118"/>
        <v>01-1900</v>
      </c>
      <c r="BA1488" s="92" t="str">
        <f t="shared" si="119"/>
        <v/>
      </c>
    </row>
    <row r="1489" spans="2:53">
      <c r="B1489" s="60">
        <f>[2]Trucks!A1486</f>
        <v>0</v>
      </c>
      <c r="C1489" s="11">
        <f>[2]Trucks!B1486</f>
        <v>0</v>
      </c>
      <c r="D1489" s="19" t="str">
        <f>IFERROR(VLOOKUP(C1489&amp;"",'[2]Retail Price List'!$A$3:$B$103,2,FALSE),"Special Order")</f>
        <v>Special Order</v>
      </c>
      <c r="E1489" s="18">
        <f>[2]Trucks!J1486</f>
        <v>0</v>
      </c>
      <c r="F1489" s="12">
        <f>[2]Trucks!E1486</f>
        <v>0</v>
      </c>
      <c r="G1489" s="56">
        <f>[2]Trucks!K1486</f>
        <v>0</v>
      </c>
      <c r="H1489" s="46">
        <f>[2]Trucks!I1486</f>
        <v>0</v>
      </c>
      <c r="I1489" s="83" t="str">
        <f t="shared" si="115"/>
        <v/>
      </c>
      <c r="J1489" s="272" t="str">
        <f>IFERROR(VLOOKUP((D1489&amp;C1489)&amp;"",'[2]Retail Price List'!$C$4:$F$102,3,FALSE),"")</f>
        <v/>
      </c>
      <c r="K1489" s="272">
        <f>IFERROR(IF(BA1489="WIP - 30 Days",VLOOKUP(D1489,[3]Standard!$B$9:$E$101,4,FALSE),IF(BA1489="31-120 Days",VLOOKUP(D1489,[3]Standard!$B$9:$F$101,5,FALSE),IF(BA1489="121-365 Days",VLOOKUP(D1489,[3]Standard!$B$9:$G$101,6,FALSE),VLOOKUP(D1489,[3]Standard!$B$9:$H$101,7,FALSE)))),0)</f>
        <v>0</v>
      </c>
      <c r="L1489" s="272">
        <f>IFERROR(IF(BA1489="WIP - 30 Days",VLOOKUP(D1489,[3]Standard!$B$9:$J$101,9,FALSE),IF(BA1489="31-120 Days",VLOOKUP(D1489,[3]Standard!$B$9:$K$100,10,FALSE),IF(BA1489="121-365 Days",VLOOKUP(D1489,[3]Standard!$B$9:$L$101,11,FALSE),VLOOKUP(D1489,[3]Standard!$B$9:$M$101,12,FALSE)))),0)</f>
        <v>0</v>
      </c>
      <c r="M1489" s="269" t="str">
        <f>IFERROR(VLOOKUP((D1489&amp;C1489)&amp;"",'[2]Retail Price List'!$C$4:$F$102,4,FALSE),"")</f>
        <v/>
      </c>
      <c r="N1489" s="269">
        <f>IFERROR(IF(BA1489="WIP - 30 Days",VLOOKUP(D1489,[3]Extended!$B$9:$E$101,4,FALSE),IF(BA1489="31-120 Days",VLOOKUP(D1489,[3]Extended!$B$9:$F$101,5,FALSE),IF(BA1489="121-365 Days",VLOOKUP(D1489,[3]Extended!$B$9:$G$101,6,FALSE),VLOOKUP(D1489,[3]Extended!$B$9:$H$101,7,FALSE)))),0)</f>
        <v>0</v>
      </c>
      <c r="O1489" s="269">
        <f>IFERROR(IF(BA1489="WIP - 30 Days",VLOOKUP(D1489,[3]Extended!$B$9:$J$101,9,FALSE),IF(BA1489="31-120 Days",VLOOKUP(D1489,[3]Extended!$B$9:$K$101,10,FALSE),IF(BA1489="121-365 Days",VLOOKUP(D1489,[3]Extended!$B$9:$L$101,11,FALSE),VLOOKUP(D1489,[3]Extended!$B$9:$M$101,12,FALSE)))),0)</f>
        <v>0</v>
      </c>
      <c r="P1489" s="116" t="e">
        <f t="shared" si="116"/>
        <v>#VALUE!</v>
      </c>
      <c r="Q1489" s="110" t="e">
        <f>O1489-#REF!</f>
        <v>#REF!</v>
      </c>
      <c r="AT1489" s="88" t="str">
        <f t="shared" si="117"/>
        <v>Special Order0</v>
      </c>
      <c r="AU1489" s="89" t="str">
        <f t="shared" si="118"/>
        <v>01-1900</v>
      </c>
      <c r="BA1489" s="92" t="str">
        <f t="shared" si="119"/>
        <v/>
      </c>
    </row>
    <row r="1490" spans="2:53">
      <c r="B1490" s="60">
        <f>[2]Trucks!A1487</f>
        <v>0</v>
      </c>
      <c r="C1490" s="11">
        <f>[2]Trucks!B1487</f>
        <v>0</v>
      </c>
      <c r="D1490" s="19" t="str">
        <f>IFERROR(VLOOKUP(C1490&amp;"",'[2]Retail Price List'!$A$3:$B$103,2,FALSE),"Special Order")</f>
        <v>Special Order</v>
      </c>
      <c r="E1490" s="18">
        <f>[2]Trucks!J1487</f>
        <v>0</v>
      </c>
      <c r="F1490" s="12">
        <f>[2]Trucks!E1487</f>
        <v>0</v>
      </c>
      <c r="G1490" s="56">
        <f>[2]Trucks!K1487</f>
        <v>0</v>
      </c>
      <c r="H1490" s="46">
        <f>[2]Trucks!I1487</f>
        <v>0</v>
      </c>
      <c r="I1490" s="83" t="str">
        <f t="shared" si="115"/>
        <v/>
      </c>
      <c r="J1490" s="272" t="str">
        <f>IFERROR(VLOOKUP((D1490&amp;C1490)&amp;"",'[2]Retail Price List'!$C$4:$F$102,3,FALSE),"")</f>
        <v/>
      </c>
      <c r="K1490" s="272">
        <f>IFERROR(IF(BA1490="WIP - 30 Days",VLOOKUP(D1490,[3]Standard!$B$9:$E$101,4,FALSE),IF(BA1490="31-120 Days",VLOOKUP(D1490,[3]Standard!$B$9:$F$101,5,FALSE),IF(BA1490="121-365 Days",VLOOKUP(D1490,[3]Standard!$B$9:$G$101,6,FALSE),VLOOKUP(D1490,[3]Standard!$B$9:$H$101,7,FALSE)))),0)</f>
        <v>0</v>
      </c>
      <c r="L1490" s="272">
        <f>IFERROR(IF(BA1490="WIP - 30 Days",VLOOKUP(D1490,[3]Standard!$B$9:$J$101,9,FALSE),IF(BA1490="31-120 Days",VLOOKUP(D1490,[3]Standard!$B$9:$K$100,10,FALSE),IF(BA1490="121-365 Days",VLOOKUP(D1490,[3]Standard!$B$9:$L$101,11,FALSE),VLOOKUP(D1490,[3]Standard!$B$9:$M$101,12,FALSE)))),0)</f>
        <v>0</v>
      </c>
      <c r="M1490" s="269" t="str">
        <f>IFERROR(VLOOKUP((D1490&amp;C1490)&amp;"",'[2]Retail Price List'!$C$4:$F$102,4,FALSE),"")</f>
        <v/>
      </c>
      <c r="N1490" s="269">
        <f>IFERROR(IF(BA1490="WIP - 30 Days",VLOOKUP(D1490,[3]Extended!$B$9:$E$101,4,FALSE),IF(BA1490="31-120 Days",VLOOKUP(D1490,[3]Extended!$B$9:$F$101,5,FALSE),IF(BA1490="121-365 Days",VLOOKUP(D1490,[3]Extended!$B$9:$G$101,6,FALSE),VLOOKUP(D1490,[3]Extended!$B$9:$H$101,7,FALSE)))),0)</f>
        <v>0</v>
      </c>
      <c r="O1490" s="269">
        <f>IFERROR(IF(BA1490="WIP - 30 Days",VLOOKUP(D1490,[3]Extended!$B$9:$J$101,9,FALSE),IF(BA1490="31-120 Days",VLOOKUP(D1490,[3]Extended!$B$9:$K$101,10,FALSE),IF(BA1490="121-365 Days",VLOOKUP(D1490,[3]Extended!$B$9:$L$101,11,FALSE),VLOOKUP(D1490,[3]Extended!$B$9:$M$101,12,FALSE)))),0)</f>
        <v>0</v>
      </c>
      <c r="P1490" s="116" t="e">
        <f t="shared" si="116"/>
        <v>#VALUE!</v>
      </c>
      <c r="Q1490" s="110" t="e">
        <f>O1490-#REF!</f>
        <v>#REF!</v>
      </c>
      <c r="AT1490" s="88" t="str">
        <f t="shared" si="117"/>
        <v>Special Order0</v>
      </c>
      <c r="AU1490" s="89" t="str">
        <f t="shared" si="118"/>
        <v>01-1900</v>
      </c>
      <c r="BA1490" s="92" t="str">
        <f t="shared" si="119"/>
        <v/>
      </c>
    </row>
    <row r="1491" spans="2:53">
      <c r="B1491" s="60">
        <f>[2]Trucks!A1488</f>
        <v>0</v>
      </c>
      <c r="C1491" s="11">
        <f>[2]Trucks!B1488</f>
        <v>0</v>
      </c>
      <c r="D1491" s="19" t="str">
        <f>IFERROR(VLOOKUP(C1491&amp;"",'[2]Retail Price List'!$A$3:$B$103,2,FALSE),"Special Order")</f>
        <v>Special Order</v>
      </c>
      <c r="E1491" s="18">
        <f>[2]Trucks!J1488</f>
        <v>0</v>
      </c>
      <c r="F1491" s="12">
        <f>[2]Trucks!E1488</f>
        <v>0</v>
      </c>
      <c r="G1491" s="56">
        <f>[2]Trucks!K1488</f>
        <v>0</v>
      </c>
      <c r="H1491" s="46">
        <f>[2]Trucks!I1488</f>
        <v>0</v>
      </c>
      <c r="I1491" s="83" t="str">
        <f t="shared" si="115"/>
        <v/>
      </c>
      <c r="J1491" s="272" t="str">
        <f>IFERROR(VLOOKUP((D1491&amp;C1491)&amp;"",'[2]Retail Price List'!$C$4:$F$102,3,FALSE),"")</f>
        <v/>
      </c>
      <c r="K1491" s="272">
        <f>IFERROR(IF(BA1491="WIP - 30 Days",VLOOKUP(D1491,[3]Standard!$B$9:$E$101,4,FALSE),IF(BA1491="31-120 Days",VLOOKUP(D1491,[3]Standard!$B$9:$F$101,5,FALSE),IF(BA1491="121-365 Days",VLOOKUP(D1491,[3]Standard!$B$9:$G$101,6,FALSE),VLOOKUP(D1491,[3]Standard!$B$9:$H$101,7,FALSE)))),0)</f>
        <v>0</v>
      </c>
      <c r="L1491" s="272">
        <f>IFERROR(IF(BA1491="WIP - 30 Days",VLOOKUP(D1491,[3]Standard!$B$9:$J$101,9,FALSE),IF(BA1491="31-120 Days",VLOOKUP(D1491,[3]Standard!$B$9:$K$100,10,FALSE),IF(BA1491="121-365 Days",VLOOKUP(D1491,[3]Standard!$B$9:$L$101,11,FALSE),VLOOKUP(D1491,[3]Standard!$B$9:$M$101,12,FALSE)))),0)</f>
        <v>0</v>
      </c>
      <c r="M1491" s="269" t="str">
        <f>IFERROR(VLOOKUP((D1491&amp;C1491)&amp;"",'[2]Retail Price List'!$C$4:$F$102,4,FALSE),"")</f>
        <v/>
      </c>
      <c r="N1491" s="269">
        <f>IFERROR(IF(BA1491="WIP - 30 Days",VLOOKUP(D1491,[3]Extended!$B$9:$E$101,4,FALSE),IF(BA1491="31-120 Days",VLOOKUP(D1491,[3]Extended!$B$9:$F$101,5,FALSE),IF(BA1491="121-365 Days",VLOOKUP(D1491,[3]Extended!$B$9:$G$101,6,FALSE),VLOOKUP(D1491,[3]Extended!$B$9:$H$101,7,FALSE)))),0)</f>
        <v>0</v>
      </c>
      <c r="O1491" s="269">
        <f>IFERROR(IF(BA1491="WIP - 30 Days",VLOOKUP(D1491,[3]Extended!$B$9:$J$101,9,FALSE),IF(BA1491="31-120 Days",VLOOKUP(D1491,[3]Extended!$B$9:$K$101,10,FALSE),IF(BA1491="121-365 Days",VLOOKUP(D1491,[3]Extended!$B$9:$L$101,11,FALSE),VLOOKUP(D1491,[3]Extended!$B$9:$M$101,12,FALSE)))),0)</f>
        <v>0</v>
      </c>
      <c r="P1491" s="116" t="e">
        <f t="shared" si="116"/>
        <v>#VALUE!</v>
      </c>
      <c r="Q1491" s="110" t="e">
        <f>O1491-#REF!</f>
        <v>#REF!</v>
      </c>
      <c r="AT1491" s="88" t="str">
        <f t="shared" si="117"/>
        <v>Special Order0</v>
      </c>
      <c r="AU1491" s="89" t="str">
        <f t="shared" si="118"/>
        <v>01-1900</v>
      </c>
      <c r="BA1491" s="92" t="str">
        <f t="shared" si="119"/>
        <v/>
      </c>
    </row>
    <row r="1492" spans="2:53">
      <c r="B1492" s="60">
        <f>[2]Trucks!A1489</f>
        <v>0</v>
      </c>
      <c r="C1492" s="11">
        <f>[2]Trucks!B1489</f>
        <v>0</v>
      </c>
      <c r="D1492" s="19" t="str">
        <f>IFERROR(VLOOKUP(C1492&amp;"",'[2]Retail Price List'!$A$3:$B$103,2,FALSE),"Special Order")</f>
        <v>Special Order</v>
      </c>
      <c r="E1492" s="18">
        <f>[2]Trucks!J1489</f>
        <v>0</v>
      </c>
      <c r="F1492" s="12">
        <f>[2]Trucks!E1489</f>
        <v>0</v>
      </c>
      <c r="G1492" s="56">
        <f>[2]Trucks!K1489</f>
        <v>0</v>
      </c>
      <c r="H1492" s="46">
        <f>[2]Trucks!I1489</f>
        <v>0</v>
      </c>
      <c r="I1492" s="83" t="str">
        <f t="shared" si="115"/>
        <v/>
      </c>
      <c r="J1492" s="272" t="str">
        <f>IFERROR(VLOOKUP((D1492&amp;C1492)&amp;"",'[2]Retail Price List'!$C$4:$F$102,3,FALSE),"")</f>
        <v/>
      </c>
      <c r="K1492" s="272">
        <f>IFERROR(IF(BA1492="WIP - 30 Days",VLOOKUP(D1492,[3]Standard!$B$9:$E$101,4,FALSE),IF(BA1492="31-120 Days",VLOOKUP(D1492,[3]Standard!$B$9:$F$101,5,FALSE),IF(BA1492="121-365 Days",VLOOKUP(D1492,[3]Standard!$B$9:$G$101,6,FALSE),VLOOKUP(D1492,[3]Standard!$B$9:$H$101,7,FALSE)))),0)</f>
        <v>0</v>
      </c>
      <c r="L1492" s="272">
        <f>IFERROR(IF(BA1492="WIP - 30 Days",VLOOKUP(D1492,[3]Standard!$B$9:$J$101,9,FALSE),IF(BA1492="31-120 Days",VLOOKUP(D1492,[3]Standard!$B$9:$K$100,10,FALSE),IF(BA1492="121-365 Days",VLOOKUP(D1492,[3]Standard!$B$9:$L$101,11,FALSE),VLOOKUP(D1492,[3]Standard!$B$9:$M$101,12,FALSE)))),0)</f>
        <v>0</v>
      </c>
      <c r="M1492" s="269" t="str">
        <f>IFERROR(VLOOKUP((D1492&amp;C1492)&amp;"",'[2]Retail Price List'!$C$4:$F$102,4,FALSE),"")</f>
        <v/>
      </c>
      <c r="N1492" s="269">
        <f>IFERROR(IF(BA1492="WIP - 30 Days",VLOOKUP(D1492,[3]Extended!$B$9:$E$101,4,FALSE),IF(BA1492="31-120 Days",VLOOKUP(D1492,[3]Extended!$B$9:$F$101,5,FALSE),IF(BA1492="121-365 Days",VLOOKUP(D1492,[3]Extended!$B$9:$G$101,6,FALSE),VLOOKUP(D1492,[3]Extended!$B$9:$H$101,7,FALSE)))),0)</f>
        <v>0</v>
      </c>
      <c r="O1492" s="269">
        <f>IFERROR(IF(BA1492="WIP - 30 Days",VLOOKUP(D1492,[3]Extended!$B$9:$J$101,9,FALSE),IF(BA1492="31-120 Days",VLOOKUP(D1492,[3]Extended!$B$9:$K$101,10,FALSE),IF(BA1492="121-365 Days",VLOOKUP(D1492,[3]Extended!$B$9:$L$101,11,FALSE),VLOOKUP(D1492,[3]Extended!$B$9:$M$101,12,FALSE)))),0)</f>
        <v>0</v>
      </c>
      <c r="P1492" s="116" t="e">
        <f t="shared" si="116"/>
        <v>#VALUE!</v>
      </c>
      <c r="Q1492" s="110" t="e">
        <f>O1492-#REF!</f>
        <v>#REF!</v>
      </c>
      <c r="AT1492" s="88" t="str">
        <f t="shared" si="117"/>
        <v>Special Order0</v>
      </c>
      <c r="AU1492" s="89" t="str">
        <f t="shared" si="118"/>
        <v>01-1900</v>
      </c>
      <c r="BA1492" s="92" t="str">
        <f t="shared" si="119"/>
        <v/>
      </c>
    </row>
    <row r="1493" spans="2:53">
      <c r="B1493" s="60">
        <f>[2]Trucks!A1490</f>
        <v>0</v>
      </c>
      <c r="C1493" s="11">
        <f>[2]Trucks!B1490</f>
        <v>0</v>
      </c>
      <c r="D1493" s="19" t="str">
        <f>IFERROR(VLOOKUP(C1493&amp;"",'[2]Retail Price List'!$A$3:$B$103,2,FALSE),"Special Order")</f>
        <v>Special Order</v>
      </c>
      <c r="E1493" s="18">
        <f>[2]Trucks!J1490</f>
        <v>0</v>
      </c>
      <c r="F1493" s="12">
        <f>[2]Trucks!E1490</f>
        <v>0</v>
      </c>
      <c r="G1493" s="56">
        <f>[2]Trucks!K1490</f>
        <v>0</v>
      </c>
      <c r="H1493" s="46">
        <f>[2]Trucks!I1490</f>
        <v>0</v>
      </c>
      <c r="I1493" s="83" t="str">
        <f t="shared" si="115"/>
        <v/>
      </c>
      <c r="J1493" s="272" t="str">
        <f>IFERROR(VLOOKUP((D1493&amp;C1493)&amp;"",'[2]Retail Price List'!$C$4:$F$102,3,FALSE),"")</f>
        <v/>
      </c>
      <c r="K1493" s="272">
        <f>IFERROR(IF(BA1493="WIP - 30 Days",VLOOKUP(D1493,[3]Standard!$B$9:$E$101,4,FALSE),IF(BA1493="31-120 Days",VLOOKUP(D1493,[3]Standard!$B$9:$F$101,5,FALSE),IF(BA1493="121-365 Days",VLOOKUP(D1493,[3]Standard!$B$9:$G$101,6,FALSE),VLOOKUP(D1493,[3]Standard!$B$9:$H$101,7,FALSE)))),0)</f>
        <v>0</v>
      </c>
      <c r="L1493" s="272">
        <f>IFERROR(IF(BA1493="WIP - 30 Days",VLOOKUP(D1493,[3]Standard!$B$9:$J$101,9,FALSE),IF(BA1493="31-120 Days",VLOOKUP(D1493,[3]Standard!$B$9:$K$100,10,FALSE),IF(BA1493="121-365 Days",VLOOKUP(D1493,[3]Standard!$B$9:$L$101,11,FALSE),VLOOKUP(D1493,[3]Standard!$B$9:$M$101,12,FALSE)))),0)</f>
        <v>0</v>
      </c>
      <c r="M1493" s="269" t="str">
        <f>IFERROR(VLOOKUP((D1493&amp;C1493)&amp;"",'[2]Retail Price List'!$C$4:$F$102,4,FALSE),"")</f>
        <v/>
      </c>
      <c r="N1493" s="269">
        <f>IFERROR(IF(BA1493="WIP - 30 Days",VLOOKUP(D1493,[3]Extended!$B$9:$E$101,4,FALSE),IF(BA1493="31-120 Days",VLOOKUP(D1493,[3]Extended!$B$9:$F$101,5,FALSE),IF(BA1493="121-365 Days",VLOOKUP(D1493,[3]Extended!$B$9:$G$101,6,FALSE),VLOOKUP(D1493,[3]Extended!$B$9:$H$101,7,FALSE)))),0)</f>
        <v>0</v>
      </c>
      <c r="O1493" s="269">
        <f>IFERROR(IF(BA1493="WIP - 30 Days",VLOOKUP(D1493,[3]Extended!$B$9:$J$101,9,FALSE),IF(BA1493="31-120 Days",VLOOKUP(D1493,[3]Extended!$B$9:$K$101,10,FALSE),IF(BA1493="121-365 Days",VLOOKUP(D1493,[3]Extended!$B$9:$L$101,11,FALSE),VLOOKUP(D1493,[3]Extended!$B$9:$M$101,12,FALSE)))),0)</f>
        <v>0</v>
      </c>
      <c r="P1493" s="116" t="e">
        <f t="shared" si="116"/>
        <v>#VALUE!</v>
      </c>
      <c r="Q1493" s="110" t="e">
        <f>O1493-#REF!</f>
        <v>#REF!</v>
      </c>
      <c r="AT1493" s="88" t="str">
        <f t="shared" si="117"/>
        <v>Special Order0</v>
      </c>
      <c r="AU1493" s="89" t="str">
        <f t="shared" si="118"/>
        <v>01-1900</v>
      </c>
      <c r="BA1493" s="92" t="str">
        <f t="shared" si="119"/>
        <v/>
      </c>
    </row>
    <row r="1494" spans="2:53">
      <c r="B1494" s="60">
        <f>[2]Trucks!A1491</f>
        <v>0</v>
      </c>
      <c r="C1494" s="11">
        <f>[2]Trucks!B1491</f>
        <v>0</v>
      </c>
      <c r="D1494" s="19" t="str">
        <f>IFERROR(VLOOKUP(C1494&amp;"",'[2]Retail Price List'!$A$3:$B$103,2,FALSE),"Special Order")</f>
        <v>Special Order</v>
      </c>
      <c r="E1494" s="18">
        <f>[2]Trucks!J1491</f>
        <v>0</v>
      </c>
      <c r="F1494" s="12">
        <f>[2]Trucks!E1491</f>
        <v>0</v>
      </c>
      <c r="G1494" s="56">
        <f>[2]Trucks!K1491</f>
        <v>0</v>
      </c>
      <c r="H1494" s="46">
        <f>[2]Trucks!I1491</f>
        <v>0</v>
      </c>
      <c r="I1494" s="83" t="str">
        <f t="shared" si="115"/>
        <v/>
      </c>
      <c r="J1494" s="272" t="str">
        <f>IFERROR(VLOOKUP((D1494&amp;C1494)&amp;"",'[2]Retail Price List'!$C$4:$F$102,3,FALSE),"")</f>
        <v/>
      </c>
      <c r="K1494" s="272">
        <f>IFERROR(IF(BA1494="WIP - 30 Days",VLOOKUP(D1494,[3]Standard!$B$9:$E$101,4,FALSE),IF(BA1494="31-120 Days",VLOOKUP(D1494,[3]Standard!$B$9:$F$101,5,FALSE),IF(BA1494="121-365 Days",VLOOKUP(D1494,[3]Standard!$B$9:$G$101,6,FALSE),VLOOKUP(D1494,[3]Standard!$B$9:$H$101,7,FALSE)))),0)</f>
        <v>0</v>
      </c>
      <c r="L1494" s="272">
        <f>IFERROR(IF(BA1494="WIP - 30 Days",VLOOKUP(D1494,[3]Standard!$B$9:$J$101,9,FALSE),IF(BA1494="31-120 Days",VLOOKUP(D1494,[3]Standard!$B$9:$K$100,10,FALSE),IF(BA1494="121-365 Days",VLOOKUP(D1494,[3]Standard!$B$9:$L$101,11,FALSE),VLOOKUP(D1494,[3]Standard!$B$9:$M$101,12,FALSE)))),0)</f>
        <v>0</v>
      </c>
      <c r="M1494" s="269" t="str">
        <f>IFERROR(VLOOKUP((D1494&amp;C1494)&amp;"",'[2]Retail Price List'!$C$4:$F$102,4,FALSE),"")</f>
        <v/>
      </c>
      <c r="N1494" s="269">
        <f>IFERROR(IF(BA1494="WIP - 30 Days",VLOOKUP(D1494,[3]Extended!$B$9:$E$101,4,FALSE),IF(BA1494="31-120 Days",VLOOKUP(D1494,[3]Extended!$B$9:$F$101,5,FALSE),IF(BA1494="121-365 Days",VLOOKUP(D1494,[3]Extended!$B$9:$G$101,6,FALSE),VLOOKUP(D1494,[3]Extended!$B$9:$H$101,7,FALSE)))),0)</f>
        <v>0</v>
      </c>
      <c r="O1494" s="269">
        <f>IFERROR(IF(BA1494="WIP - 30 Days",VLOOKUP(D1494,[3]Extended!$B$9:$J$101,9,FALSE),IF(BA1494="31-120 Days",VLOOKUP(D1494,[3]Extended!$B$9:$K$101,10,FALSE),IF(BA1494="121-365 Days",VLOOKUP(D1494,[3]Extended!$B$9:$L$101,11,FALSE),VLOOKUP(D1494,[3]Extended!$B$9:$M$101,12,FALSE)))),0)</f>
        <v>0</v>
      </c>
      <c r="P1494" s="116" t="e">
        <f t="shared" si="116"/>
        <v>#VALUE!</v>
      </c>
      <c r="Q1494" s="110" t="e">
        <f>O1494-#REF!</f>
        <v>#REF!</v>
      </c>
      <c r="AT1494" s="88" t="str">
        <f t="shared" si="117"/>
        <v>Special Order0</v>
      </c>
      <c r="AU1494" s="89" t="str">
        <f t="shared" si="118"/>
        <v>01-1900</v>
      </c>
      <c r="BA1494" s="92" t="str">
        <f t="shared" si="119"/>
        <v/>
      </c>
    </row>
    <row r="1495" spans="2:53">
      <c r="B1495" s="60">
        <f>[2]Trucks!A1492</f>
        <v>0</v>
      </c>
      <c r="C1495" s="11">
        <f>[2]Trucks!B1492</f>
        <v>0</v>
      </c>
      <c r="D1495" s="19" t="str">
        <f>IFERROR(VLOOKUP(C1495&amp;"",'[2]Retail Price List'!$A$3:$B$103,2,FALSE),"Special Order")</f>
        <v>Special Order</v>
      </c>
      <c r="E1495" s="18">
        <f>[2]Trucks!J1492</f>
        <v>0</v>
      </c>
      <c r="F1495" s="12">
        <f>[2]Trucks!E1492</f>
        <v>0</v>
      </c>
      <c r="G1495" s="56">
        <f>[2]Trucks!K1492</f>
        <v>0</v>
      </c>
      <c r="H1495" s="46">
        <f>[2]Trucks!I1492</f>
        <v>0</v>
      </c>
      <c r="I1495" s="83" t="str">
        <f t="shared" si="115"/>
        <v/>
      </c>
      <c r="J1495" s="272" t="str">
        <f>IFERROR(VLOOKUP((D1495&amp;C1495)&amp;"",'[2]Retail Price List'!$C$4:$F$102,3,FALSE),"")</f>
        <v/>
      </c>
      <c r="K1495" s="272">
        <f>IFERROR(IF(BA1495="WIP - 30 Days",VLOOKUP(D1495,[3]Standard!$B$9:$E$101,4,FALSE),IF(BA1495="31-120 Days",VLOOKUP(D1495,[3]Standard!$B$9:$F$101,5,FALSE),IF(BA1495="121-365 Days",VLOOKUP(D1495,[3]Standard!$B$9:$G$101,6,FALSE),VLOOKUP(D1495,[3]Standard!$B$9:$H$101,7,FALSE)))),0)</f>
        <v>0</v>
      </c>
      <c r="L1495" s="272">
        <f>IFERROR(IF(BA1495="WIP - 30 Days",VLOOKUP(D1495,[3]Standard!$B$9:$J$101,9,FALSE),IF(BA1495="31-120 Days",VLOOKUP(D1495,[3]Standard!$B$9:$K$100,10,FALSE),IF(BA1495="121-365 Days",VLOOKUP(D1495,[3]Standard!$B$9:$L$101,11,FALSE),VLOOKUP(D1495,[3]Standard!$B$9:$M$101,12,FALSE)))),0)</f>
        <v>0</v>
      </c>
      <c r="M1495" s="269" t="str">
        <f>IFERROR(VLOOKUP((D1495&amp;C1495)&amp;"",'[2]Retail Price List'!$C$4:$F$102,4,FALSE),"")</f>
        <v/>
      </c>
      <c r="N1495" s="269">
        <f>IFERROR(IF(BA1495="WIP - 30 Days",VLOOKUP(D1495,[3]Extended!$B$9:$E$101,4,FALSE),IF(BA1495="31-120 Days",VLOOKUP(D1495,[3]Extended!$B$9:$F$101,5,FALSE),IF(BA1495="121-365 Days",VLOOKUP(D1495,[3]Extended!$B$9:$G$101,6,FALSE),VLOOKUP(D1495,[3]Extended!$B$9:$H$101,7,FALSE)))),0)</f>
        <v>0</v>
      </c>
      <c r="O1495" s="269">
        <f>IFERROR(IF(BA1495="WIP - 30 Days",VLOOKUP(D1495,[3]Extended!$B$9:$J$101,9,FALSE),IF(BA1495="31-120 Days",VLOOKUP(D1495,[3]Extended!$B$9:$K$101,10,FALSE),IF(BA1495="121-365 Days",VLOOKUP(D1495,[3]Extended!$B$9:$L$101,11,FALSE),VLOOKUP(D1495,[3]Extended!$B$9:$M$101,12,FALSE)))),0)</f>
        <v>0</v>
      </c>
      <c r="P1495" s="116" t="e">
        <f t="shared" si="116"/>
        <v>#VALUE!</v>
      </c>
      <c r="Q1495" s="110" t="e">
        <f>O1495-#REF!</f>
        <v>#REF!</v>
      </c>
      <c r="AT1495" s="88" t="str">
        <f t="shared" si="117"/>
        <v>Special Order0</v>
      </c>
      <c r="AU1495" s="89" t="str">
        <f t="shared" si="118"/>
        <v>01-1900</v>
      </c>
      <c r="BA1495" s="92" t="str">
        <f t="shared" si="119"/>
        <v/>
      </c>
    </row>
    <row r="1496" spans="2:53">
      <c r="B1496" s="60">
        <f>[2]Trucks!A1493</f>
        <v>0</v>
      </c>
      <c r="C1496" s="11">
        <f>[2]Trucks!B1493</f>
        <v>0</v>
      </c>
      <c r="D1496" s="19" t="str">
        <f>IFERROR(VLOOKUP(C1496&amp;"",'[2]Retail Price List'!$A$3:$B$103,2,FALSE),"Special Order")</f>
        <v>Special Order</v>
      </c>
      <c r="E1496" s="18">
        <f>[2]Trucks!J1493</f>
        <v>0</v>
      </c>
      <c r="F1496" s="12">
        <f>[2]Trucks!E1493</f>
        <v>0</v>
      </c>
      <c r="G1496" s="56">
        <f>[2]Trucks!K1493</f>
        <v>0</v>
      </c>
      <c r="H1496" s="46">
        <f>[2]Trucks!I1493</f>
        <v>0</v>
      </c>
      <c r="I1496" s="83" t="str">
        <f t="shared" si="115"/>
        <v/>
      </c>
      <c r="J1496" s="272" t="str">
        <f>IFERROR(VLOOKUP((D1496&amp;C1496)&amp;"",'[2]Retail Price List'!$C$4:$F$102,3,FALSE),"")</f>
        <v/>
      </c>
      <c r="K1496" s="272">
        <f>IFERROR(IF(BA1496="WIP - 30 Days",VLOOKUP(D1496,[3]Standard!$B$9:$E$101,4,FALSE),IF(BA1496="31-120 Days",VLOOKUP(D1496,[3]Standard!$B$9:$F$101,5,FALSE),IF(BA1496="121-365 Days",VLOOKUP(D1496,[3]Standard!$B$9:$G$101,6,FALSE),VLOOKUP(D1496,[3]Standard!$B$9:$H$101,7,FALSE)))),0)</f>
        <v>0</v>
      </c>
      <c r="L1496" s="272">
        <f>IFERROR(IF(BA1496="WIP - 30 Days",VLOOKUP(D1496,[3]Standard!$B$9:$J$101,9,FALSE),IF(BA1496="31-120 Days",VLOOKUP(D1496,[3]Standard!$B$9:$K$100,10,FALSE),IF(BA1496="121-365 Days",VLOOKUP(D1496,[3]Standard!$B$9:$L$101,11,FALSE),VLOOKUP(D1496,[3]Standard!$B$9:$M$101,12,FALSE)))),0)</f>
        <v>0</v>
      </c>
      <c r="M1496" s="269" t="str">
        <f>IFERROR(VLOOKUP((D1496&amp;C1496)&amp;"",'[2]Retail Price List'!$C$4:$F$102,4,FALSE),"")</f>
        <v/>
      </c>
      <c r="N1496" s="269">
        <f>IFERROR(IF(BA1496="WIP - 30 Days",VLOOKUP(D1496,[3]Extended!$B$9:$E$101,4,FALSE),IF(BA1496="31-120 Days",VLOOKUP(D1496,[3]Extended!$B$9:$F$101,5,FALSE),IF(BA1496="121-365 Days",VLOOKUP(D1496,[3]Extended!$B$9:$G$101,6,FALSE),VLOOKUP(D1496,[3]Extended!$B$9:$H$101,7,FALSE)))),0)</f>
        <v>0</v>
      </c>
      <c r="O1496" s="269">
        <f>IFERROR(IF(BA1496="WIP - 30 Days",VLOOKUP(D1496,[3]Extended!$B$9:$J$101,9,FALSE),IF(BA1496="31-120 Days",VLOOKUP(D1496,[3]Extended!$B$9:$K$101,10,FALSE),IF(BA1496="121-365 Days",VLOOKUP(D1496,[3]Extended!$B$9:$L$101,11,FALSE),VLOOKUP(D1496,[3]Extended!$B$9:$M$101,12,FALSE)))),0)</f>
        <v>0</v>
      </c>
      <c r="P1496" s="116" t="e">
        <f t="shared" si="116"/>
        <v>#VALUE!</v>
      </c>
      <c r="Q1496" s="110" t="e">
        <f>O1496-#REF!</f>
        <v>#REF!</v>
      </c>
      <c r="AT1496" s="88" t="str">
        <f t="shared" si="117"/>
        <v>Special Order0</v>
      </c>
      <c r="AU1496" s="89" t="str">
        <f t="shared" si="118"/>
        <v>01-1900</v>
      </c>
      <c r="BA1496" s="92" t="str">
        <f t="shared" si="119"/>
        <v/>
      </c>
    </row>
    <row r="1497" spans="2:53">
      <c r="B1497" s="60">
        <f>[2]Trucks!A1494</f>
        <v>0</v>
      </c>
      <c r="C1497" s="11">
        <f>[2]Trucks!B1494</f>
        <v>0</v>
      </c>
      <c r="D1497" s="19" t="str">
        <f>IFERROR(VLOOKUP(C1497&amp;"",'[2]Retail Price List'!$A$3:$B$103,2,FALSE),"Special Order")</f>
        <v>Special Order</v>
      </c>
      <c r="E1497" s="18">
        <f>[2]Trucks!J1494</f>
        <v>0</v>
      </c>
      <c r="F1497" s="12">
        <f>[2]Trucks!E1494</f>
        <v>0</v>
      </c>
      <c r="G1497" s="56">
        <f>[2]Trucks!K1494</f>
        <v>0</v>
      </c>
      <c r="H1497" s="46">
        <f>[2]Trucks!I1494</f>
        <v>0</v>
      </c>
      <c r="I1497" s="83" t="str">
        <f t="shared" si="115"/>
        <v/>
      </c>
      <c r="J1497" s="272" t="str">
        <f>IFERROR(VLOOKUP((D1497&amp;C1497)&amp;"",'[2]Retail Price List'!$C$4:$F$102,3,FALSE),"")</f>
        <v/>
      </c>
      <c r="K1497" s="272">
        <f>IFERROR(IF(BA1497="WIP - 30 Days",VLOOKUP(D1497,[3]Standard!$B$9:$E$101,4,FALSE),IF(BA1497="31-120 Days",VLOOKUP(D1497,[3]Standard!$B$9:$F$101,5,FALSE),IF(BA1497="121-365 Days",VLOOKUP(D1497,[3]Standard!$B$9:$G$101,6,FALSE),VLOOKUP(D1497,[3]Standard!$B$9:$H$101,7,FALSE)))),0)</f>
        <v>0</v>
      </c>
      <c r="L1497" s="272">
        <f>IFERROR(IF(BA1497="WIP - 30 Days",VLOOKUP(D1497,[3]Standard!$B$9:$J$101,9,FALSE),IF(BA1497="31-120 Days",VLOOKUP(D1497,[3]Standard!$B$9:$K$100,10,FALSE),IF(BA1497="121-365 Days",VLOOKUP(D1497,[3]Standard!$B$9:$L$101,11,FALSE),VLOOKUP(D1497,[3]Standard!$B$9:$M$101,12,FALSE)))),0)</f>
        <v>0</v>
      </c>
      <c r="M1497" s="269" t="str">
        <f>IFERROR(VLOOKUP((D1497&amp;C1497)&amp;"",'[2]Retail Price List'!$C$4:$F$102,4,FALSE),"")</f>
        <v/>
      </c>
      <c r="N1497" s="269">
        <f>IFERROR(IF(BA1497="WIP - 30 Days",VLOOKUP(D1497,[3]Extended!$B$9:$E$101,4,FALSE),IF(BA1497="31-120 Days",VLOOKUP(D1497,[3]Extended!$B$9:$F$101,5,FALSE),IF(BA1497="121-365 Days",VLOOKUP(D1497,[3]Extended!$B$9:$G$101,6,FALSE),VLOOKUP(D1497,[3]Extended!$B$9:$H$101,7,FALSE)))),0)</f>
        <v>0</v>
      </c>
      <c r="O1497" s="269">
        <f>IFERROR(IF(BA1497="WIP - 30 Days",VLOOKUP(D1497,[3]Extended!$B$9:$J$101,9,FALSE),IF(BA1497="31-120 Days",VLOOKUP(D1497,[3]Extended!$B$9:$K$101,10,FALSE),IF(BA1497="121-365 Days",VLOOKUP(D1497,[3]Extended!$B$9:$L$101,11,FALSE),VLOOKUP(D1497,[3]Extended!$B$9:$M$101,12,FALSE)))),0)</f>
        <v>0</v>
      </c>
      <c r="P1497" s="116" t="e">
        <f t="shared" si="116"/>
        <v>#VALUE!</v>
      </c>
      <c r="Q1497" s="110" t="e">
        <f>O1497-#REF!</f>
        <v>#REF!</v>
      </c>
      <c r="AT1497" s="88" t="str">
        <f t="shared" si="117"/>
        <v>Special Order0</v>
      </c>
      <c r="AU1497" s="89" t="str">
        <f t="shared" si="118"/>
        <v>01-1900</v>
      </c>
      <c r="BA1497" s="92" t="str">
        <f t="shared" si="119"/>
        <v/>
      </c>
    </row>
    <row r="1498" spans="2:53">
      <c r="B1498" s="60">
        <f>[2]Trucks!A1495</f>
        <v>0</v>
      </c>
      <c r="C1498" s="11">
        <f>[2]Trucks!B1495</f>
        <v>0</v>
      </c>
      <c r="D1498" s="19" t="str">
        <f>IFERROR(VLOOKUP(C1498&amp;"",'[2]Retail Price List'!$A$3:$B$103,2,FALSE),"Special Order")</f>
        <v>Special Order</v>
      </c>
      <c r="E1498" s="18">
        <f>[2]Trucks!J1495</f>
        <v>0</v>
      </c>
      <c r="F1498" s="12">
        <f>[2]Trucks!E1495</f>
        <v>0</v>
      </c>
      <c r="G1498" s="56">
        <f>[2]Trucks!K1495</f>
        <v>0</v>
      </c>
      <c r="H1498" s="46">
        <f>[2]Trucks!I1495</f>
        <v>0</v>
      </c>
      <c r="I1498" s="83" t="str">
        <f t="shared" si="115"/>
        <v/>
      </c>
      <c r="J1498" s="272" t="str">
        <f>IFERROR(VLOOKUP((D1498&amp;C1498)&amp;"",'[2]Retail Price List'!$C$4:$F$102,3,FALSE),"")</f>
        <v/>
      </c>
      <c r="K1498" s="272">
        <f>IFERROR(IF(BA1498="WIP - 30 Days",VLOOKUP(D1498,[3]Standard!$B$9:$E$101,4,FALSE),IF(BA1498="31-120 Days",VLOOKUP(D1498,[3]Standard!$B$9:$F$101,5,FALSE),IF(BA1498="121-365 Days",VLOOKUP(D1498,[3]Standard!$B$9:$G$101,6,FALSE),VLOOKUP(D1498,[3]Standard!$B$9:$H$101,7,FALSE)))),0)</f>
        <v>0</v>
      </c>
      <c r="L1498" s="272">
        <f>IFERROR(IF(BA1498="WIP - 30 Days",VLOOKUP(D1498,[3]Standard!$B$9:$J$101,9,FALSE),IF(BA1498="31-120 Days",VLOOKUP(D1498,[3]Standard!$B$9:$K$100,10,FALSE),IF(BA1498="121-365 Days",VLOOKUP(D1498,[3]Standard!$B$9:$L$101,11,FALSE),VLOOKUP(D1498,[3]Standard!$B$9:$M$101,12,FALSE)))),0)</f>
        <v>0</v>
      </c>
      <c r="M1498" s="269" t="str">
        <f>IFERROR(VLOOKUP((D1498&amp;C1498)&amp;"",'[2]Retail Price List'!$C$4:$F$102,4,FALSE),"")</f>
        <v/>
      </c>
      <c r="N1498" s="269">
        <f>IFERROR(IF(BA1498="WIP - 30 Days",VLOOKUP(D1498,[3]Extended!$B$9:$E$101,4,FALSE),IF(BA1498="31-120 Days",VLOOKUP(D1498,[3]Extended!$B$9:$F$101,5,FALSE),IF(BA1498="121-365 Days",VLOOKUP(D1498,[3]Extended!$B$9:$G$101,6,FALSE),VLOOKUP(D1498,[3]Extended!$B$9:$H$101,7,FALSE)))),0)</f>
        <v>0</v>
      </c>
      <c r="O1498" s="269">
        <f>IFERROR(IF(BA1498="WIP - 30 Days",VLOOKUP(D1498,[3]Extended!$B$9:$J$101,9,FALSE),IF(BA1498="31-120 Days",VLOOKUP(D1498,[3]Extended!$B$9:$K$101,10,FALSE),IF(BA1498="121-365 Days",VLOOKUP(D1498,[3]Extended!$B$9:$L$101,11,FALSE),VLOOKUP(D1498,[3]Extended!$B$9:$M$101,12,FALSE)))),0)</f>
        <v>0</v>
      </c>
      <c r="P1498" s="116" t="e">
        <f t="shared" si="116"/>
        <v>#VALUE!</v>
      </c>
      <c r="Q1498" s="110" t="e">
        <f>O1498-#REF!</f>
        <v>#REF!</v>
      </c>
      <c r="AT1498" s="88" t="str">
        <f t="shared" si="117"/>
        <v>Special Order0</v>
      </c>
      <c r="AU1498" s="89" t="str">
        <f t="shared" si="118"/>
        <v>01-1900</v>
      </c>
      <c r="BA1498" s="92" t="str">
        <f t="shared" si="119"/>
        <v/>
      </c>
    </row>
    <row r="1499" spans="2:53">
      <c r="B1499" s="60">
        <f>[2]Trucks!A1496</f>
        <v>0</v>
      </c>
      <c r="C1499" s="11">
        <f>[2]Trucks!B1496</f>
        <v>0</v>
      </c>
      <c r="D1499" s="19" t="str">
        <f>IFERROR(VLOOKUP(C1499&amp;"",'[2]Retail Price List'!$A$3:$B$103,2,FALSE),"Special Order")</f>
        <v>Special Order</v>
      </c>
      <c r="E1499" s="18">
        <f>[2]Trucks!J1496</f>
        <v>0</v>
      </c>
      <c r="F1499" s="12">
        <f>[2]Trucks!E1496</f>
        <v>0</v>
      </c>
      <c r="G1499" s="56">
        <f>[2]Trucks!K1496</f>
        <v>0</v>
      </c>
      <c r="H1499" s="46">
        <f>[2]Trucks!I1496</f>
        <v>0</v>
      </c>
      <c r="I1499" s="83" t="str">
        <f t="shared" si="115"/>
        <v/>
      </c>
      <c r="J1499" s="272" t="str">
        <f>IFERROR(VLOOKUP((D1499&amp;C1499)&amp;"",'[2]Retail Price List'!$C$4:$F$102,3,FALSE),"")</f>
        <v/>
      </c>
      <c r="K1499" s="272">
        <f>IFERROR(IF(BA1499="WIP - 30 Days",VLOOKUP(D1499,[3]Standard!$B$9:$E$101,4,FALSE),IF(BA1499="31-120 Days",VLOOKUP(D1499,[3]Standard!$B$9:$F$101,5,FALSE),IF(BA1499="121-365 Days",VLOOKUP(D1499,[3]Standard!$B$9:$G$101,6,FALSE),VLOOKUP(D1499,[3]Standard!$B$9:$H$101,7,FALSE)))),0)</f>
        <v>0</v>
      </c>
      <c r="L1499" s="272">
        <f>IFERROR(IF(BA1499="WIP - 30 Days",VLOOKUP(D1499,[3]Standard!$B$9:$J$101,9,FALSE),IF(BA1499="31-120 Days",VLOOKUP(D1499,[3]Standard!$B$9:$K$100,10,FALSE),IF(BA1499="121-365 Days",VLOOKUP(D1499,[3]Standard!$B$9:$L$101,11,FALSE),VLOOKUP(D1499,[3]Standard!$B$9:$M$101,12,FALSE)))),0)</f>
        <v>0</v>
      </c>
      <c r="M1499" s="269" t="str">
        <f>IFERROR(VLOOKUP((D1499&amp;C1499)&amp;"",'[2]Retail Price List'!$C$4:$F$102,4,FALSE),"")</f>
        <v/>
      </c>
      <c r="N1499" s="269">
        <f>IFERROR(IF(BA1499="WIP - 30 Days",VLOOKUP(D1499,[3]Extended!$B$9:$E$101,4,FALSE),IF(BA1499="31-120 Days",VLOOKUP(D1499,[3]Extended!$B$9:$F$101,5,FALSE),IF(BA1499="121-365 Days",VLOOKUP(D1499,[3]Extended!$B$9:$G$101,6,FALSE),VLOOKUP(D1499,[3]Extended!$B$9:$H$101,7,FALSE)))),0)</f>
        <v>0</v>
      </c>
      <c r="O1499" s="269">
        <f>IFERROR(IF(BA1499="WIP - 30 Days",VLOOKUP(D1499,[3]Extended!$B$9:$J$101,9,FALSE),IF(BA1499="31-120 Days",VLOOKUP(D1499,[3]Extended!$B$9:$K$101,10,FALSE),IF(BA1499="121-365 Days",VLOOKUP(D1499,[3]Extended!$B$9:$L$101,11,FALSE),VLOOKUP(D1499,[3]Extended!$B$9:$M$101,12,FALSE)))),0)</f>
        <v>0</v>
      </c>
      <c r="P1499" s="116" t="e">
        <f t="shared" si="116"/>
        <v>#VALUE!</v>
      </c>
      <c r="Q1499" s="110" t="e">
        <f>O1499-#REF!</f>
        <v>#REF!</v>
      </c>
      <c r="AT1499" s="88" t="str">
        <f t="shared" si="117"/>
        <v>Special Order0</v>
      </c>
      <c r="AU1499" s="89" t="str">
        <f t="shared" si="118"/>
        <v>01-1900</v>
      </c>
      <c r="BA1499" s="92" t="str">
        <f t="shared" si="119"/>
        <v/>
      </c>
    </row>
    <row r="1500" spans="2:53">
      <c r="B1500" s="60">
        <f>[2]Trucks!A1497</f>
        <v>0</v>
      </c>
      <c r="C1500" s="11">
        <f>[2]Trucks!B1497</f>
        <v>0</v>
      </c>
      <c r="D1500" s="19" t="str">
        <f>IFERROR(VLOOKUP(C1500&amp;"",'[2]Retail Price List'!$A$3:$B$103,2,FALSE),"Special Order")</f>
        <v>Special Order</v>
      </c>
      <c r="E1500" s="18">
        <f>[2]Trucks!J1497</f>
        <v>0</v>
      </c>
      <c r="F1500" s="12">
        <f>[2]Trucks!E1497</f>
        <v>0</v>
      </c>
      <c r="G1500" s="56">
        <f>[2]Trucks!K1497</f>
        <v>0</v>
      </c>
      <c r="H1500" s="46">
        <f>[2]Trucks!I1497</f>
        <v>0</v>
      </c>
      <c r="I1500" s="83" t="str">
        <f t="shared" si="115"/>
        <v/>
      </c>
      <c r="J1500" s="272" t="str">
        <f>IFERROR(VLOOKUP((D1500&amp;C1500)&amp;"",'[2]Retail Price List'!$C$4:$F$102,3,FALSE),"")</f>
        <v/>
      </c>
      <c r="K1500" s="272">
        <f>IFERROR(IF(BA1500="WIP - 30 Days",VLOOKUP(D1500,[3]Standard!$B$9:$E$101,4,FALSE),IF(BA1500="31-120 Days",VLOOKUP(D1500,[3]Standard!$B$9:$F$101,5,FALSE),IF(BA1500="121-365 Days",VLOOKUP(D1500,[3]Standard!$B$9:$G$101,6,FALSE),VLOOKUP(D1500,[3]Standard!$B$9:$H$101,7,FALSE)))),0)</f>
        <v>0</v>
      </c>
      <c r="L1500" s="272">
        <f>IFERROR(IF(BA1500="WIP - 30 Days",VLOOKUP(D1500,[3]Standard!$B$9:$J$101,9,FALSE),IF(BA1500="31-120 Days",VLOOKUP(D1500,[3]Standard!$B$9:$K$100,10,FALSE),IF(BA1500="121-365 Days",VLOOKUP(D1500,[3]Standard!$B$9:$L$101,11,FALSE),VLOOKUP(D1500,[3]Standard!$B$9:$M$101,12,FALSE)))),0)</f>
        <v>0</v>
      </c>
      <c r="M1500" s="269" t="str">
        <f>IFERROR(VLOOKUP((D1500&amp;C1500)&amp;"",'[2]Retail Price List'!$C$4:$F$102,4,FALSE),"")</f>
        <v/>
      </c>
      <c r="N1500" s="269">
        <f>IFERROR(IF(BA1500="WIP - 30 Days",VLOOKUP(D1500,[3]Extended!$B$9:$E$101,4,FALSE),IF(BA1500="31-120 Days",VLOOKUP(D1500,[3]Extended!$B$9:$F$101,5,FALSE),IF(BA1500="121-365 Days",VLOOKUP(D1500,[3]Extended!$B$9:$G$101,6,FALSE),VLOOKUP(D1500,[3]Extended!$B$9:$H$101,7,FALSE)))),0)</f>
        <v>0</v>
      </c>
      <c r="O1500" s="269">
        <f>IFERROR(IF(BA1500="WIP - 30 Days",VLOOKUP(D1500,[3]Extended!$B$9:$J$101,9,FALSE),IF(BA1500="31-120 Days",VLOOKUP(D1500,[3]Extended!$B$9:$K$101,10,FALSE),IF(BA1500="121-365 Days",VLOOKUP(D1500,[3]Extended!$B$9:$L$101,11,FALSE),VLOOKUP(D1500,[3]Extended!$B$9:$M$101,12,FALSE)))),0)</f>
        <v>0</v>
      </c>
      <c r="P1500" s="116" t="e">
        <f t="shared" si="116"/>
        <v>#VALUE!</v>
      </c>
      <c r="Q1500" s="110" t="e">
        <f>O1500-#REF!</f>
        <v>#REF!</v>
      </c>
      <c r="AT1500" s="88" t="str">
        <f t="shared" si="117"/>
        <v>Special Order0</v>
      </c>
      <c r="AU1500" s="89" t="str">
        <f t="shared" si="118"/>
        <v>01-1900</v>
      </c>
      <c r="BA1500" s="92" t="str">
        <f t="shared" si="119"/>
        <v/>
      </c>
    </row>
    <row r="1501" spans="2:53">
      <c r="B1501" s="60">
        <f>[2]Trucks!A1498</f>
        <v>0</v>
      </c>
      <c r="C1501" s="11">
        <f>[2]Trucks!B1498</f>
        <v>0</v>
      </c>
      <c r="D1501" s="19" t="str">
        <f>IFERROR(VLOOKUP(C1501&amp;"",'[2]Retail Price List'!$A$3:$B$103,2,FALSE),"Special Order")</f>
        <v>Special Order</v>
      </c>
      <c r="E1501" s="18">
        <f>[2]Trucks!J1498</f>
        <v>0</v>
      </c>
      <c r="F1501" s="12">
        <f>[2]Trucks!E1498</f>
        <v>0</v>
      </c>
      <c r="G1501" s="56">
        <f>[2]Trucks!K1498</f>
        <v>0</v>
      </c>
      <c r="H1501" s="46">
        <f>[2]Trucks!I1498</f>
        <v>0</v>
      </c>
      <c r="I1501" s="83" t="str">
        <f t="shared" si="115"/>
        <v/>
      </c>
      <c r="J1501" s="272" t="str">
        <f>IFERROR(VLOOKUP((D1501&amp;C1501)&amp;"",'[2]Retail Price List'!$C$4:$F$102,3,FALSE),"")</f>
        <v/>
      </c>
      <c r="K1501" s="272">
        <f>IFERROR(IF(BA1501="WIP - 30 Days",VLOOKUP(D1501,[3]Standard!$B$9:$E$101,4,FALSE),IF(BA1501="31-120 Days",VLOOKUP(D1501,[3]Standard!$B$9:$F$101,5,FALSE),IF(BA1501="121-365 Days",VLOOKUP(D1501,[3]Standard!$B$9:$G$101,6,FALSE),VLOOKUP(D1501,[3]Standard!$B$9:$H$101,7,FALSE)))),0)</f>
        <v>0</v>
      </c>
      <c r="L1501" s="272">
        <f>IFERROR(IF(BA1501="WIP - 30 Days",VLOOKUP(D1501,[3]Standard!$B$9:$J$101,9,FALSE),IF(BA1501="31-120 Days",VLOOKUP(D1501,[3]Standard!$B$9:$K$100,10,FALSE),IF(BA1501="121-365 Days",VLOOKUP(D1501,[3]Standard!$B$9:$L$101,11,FALSE),VLOOKUP(D1501,[3]Standard!$B$9:$M$101,12,FALSE)))),0)</f>
        <v>0</v>
      </c>
      <c r="M1501" s="269" t="str">
        <f>IFERROR(VLOOKUP((D1501&amp;C1501)&amp;"",'[2]Retail Price List'!$C$4:$F$102,4,FALSE),"")</f>
        <v/>
      </c>
      <c r="N1501" s="269">
        <f>IFERROR(IF(BA1501="WIP - 30 Days",VLOOKUP(D1501,[3]Extended!$B$9:$E$101,4,FALSE),IF(BA1501="31-120 Days",VLOOKUP(D1501,[3]Extended!$B$9:$F$101,5,FALSE),IF(BA1501="121-365 Days",VLOOKUP(D1501,[3]Extended!$B$9:$G$101,6,FALSE),VLOOKUP(D1501,[3]Extended!$B$9:$H$101,7,FALSE)))),0)</f>
        <v>0</v>
      </c>
      <c r="O1501" s="269">
        <f>IFERROR(IF(BA1501="WIP - 30 Days",VLOOKUP(D1501,[3]Extended!$B$9:$J$101,9,FALSE),IF(BA1501="31-120 Days",VLOOKUP(D1501,[3]Extended!$B$9:$K$101,10,FALSE),IF(BA1501="121-365 Days",VLOOKUP(D1501,[3]Extended!$B$9:$L$101,11,FALSE),VLOOKUP(D1501,[3]Extended!$B$9:$M$101,12,FALSE)))),0)</f>
        <v>0</v>
      </c>
      <c r="P1501" s="116" t="e">
        <f t="shared" si="116"/>
        <v>#VALUE!</v>
      </c>
      <c r="Q1501" s="110" t="e">
        <f>O1501-#REF!</f>
        <v>#REF!</v>
      </c>
      <c r="AT1501" s="88" t="str">
        <f t="shared" si="117"/>
        <v>Special Order0</v>
      </c>
      <c r="AU1501" s="89" t="str">
        <f t="shared" si="118"/>
        <v>01-1900</v>
      </c>
      <c r="BA1501" s="92" t="str">
        <f t="shared" si="119"/>
        <v/>
      </c>
    </row>
    <row r="1502" spans="2:53">
      <c r="B1502" s="60">
        <f>[2]Trucks!A1499</f>
        <v>0</v>
      </c>
      <c r="C1502" s="11">
        <f>[2]Trucks!B1499</f>
        <v>0</v>
      </c>
      <c r="D1502" s="19" t="str">
        <f>IFERROR(VLOOKUP(C1502&amp;"",'[2]Retail Price List'!$A$3:$B$103,2,FALSE),"Special Order")</f>
        <v>Special Order</v>
      </c>
      <c r="E1502" s="18">
        <f>[2]Trucks!J1499</f>
        <v>0</v>
      </c>
      <c r="F1502" s="12">
        <f>[2]Trucks!E1499</f>
        <v>0</v>
      </c>
      <c r="G1502" s="56">
        <f>[2]Trucks!K1499</f>
        <v>0</v>
      </c>
      <c r="H1502" s="46">
        <f>[2]Trucks!I1499</f>
        <v>0</v>
      </c>
      <c r="I1502" s="83" t="str">
        <f t="shared" si="115"/>
        <v/>
      </c>
      <c r="J1502" s="272" t="str">
        <f>IFERROR(VLOOKUP((D1502&amp;C1502)&amp;"",'[2]Retail Price List'!$C$4:$F$102,3,FALSE),"")</f>
        <v/>
      </c>
      <c r="K1502" s="272">
        <f>IFERROR(IF(BA1502="WIP - 30 Days",VLOOKUP(D1502,[3]Standard!$B$9:$E$101,4,FALSE),IF(BA1502="31-120 Days",VLOOKUP(D1502,[3]Standard!$B$9:$F$101,5,FALSE),IF(BA1502="121-365 Days",VLOOKUP(D1502,[3]Standard!$B$9:$G$101,6,FALSE),VLOOKUP(D1502,[3]Standard!$B$9:$H$101,7,FALSE)))),0)</f>
        <v>0</v>
      </c>
      <c r="L1502" s="272">
        <f>IFERROR(IF(BA1502="WIP - 30 Days",VLOOKUP(D1502,[3]Standard!$B$9:$J$101,9,FALSE),IF(BA1502="31-120 Days",VLOOKUP(D1502,[3]Standard!$B$9:$K$100,10,FALSE),IF(BA1502="121-365 Days",VLOOKUP(D1502,[3]Standard!$B$9:$L$101,11,FALSE),VLOOKUP(D1502,[3]Standard!$B$9:$M$101,12,FALSE)))),0)</f>
        <v>0</v>
      </c>
      <c r="M1502" s="269" t="str">
        <f>IFERROR(VLOOKUP((D1502&amp;C1502)&amp;"",'[2]Retail Price List'!$C$4:$F$102,4,FALSE),"")</f>
        <v/>
      </c>
      <c r="N1502" s="269">
        <f>IFERROR(IF(BA1502="WIP - 30 Days",VLOOKUP(D1502,[3]Extended!$B$9:$E$101,4,FALSE),IF(BA1502="31-120 Days",VLOOKUP(D1502,[3]Extended!$B$9:$F$101,5,FALSE),IF(BA1502="121-365 Days",VLOOKUP(D1502,[3]Extended!$B$9:$G$101,6,FALSE),VLOOKUP(D1502,[3]Extended!$B$9:$H$101,7,FALSE)))),0)</f>
        <v>0</v>
      </c>
      <c r="O1502" s="269">
        <f>IFERROR(IF(BA1502="WIP - 30 Days",VLOOKUP(D1502,[3]Extended!$B$9:$J$101,9,FALSE),IF(BA1502="31-120 Days",VLOOKUP(D1502,[3]Extended!$B$9:$K$101,10,FALSE),IF(BA1502="121-365 Days",VLOOKUP(D1502,[3]Extended!$B$9:$L$101,11,FALSE),VLOOKUP(D1502,[3]Extended!$B$9:$M$101,12,FALSE)))),0)</f>
        <v>0</v>
      </c>
      <c r="P1502" s="116" t="e">
        <f t="shared" si="116"/>
        <v>#VALUE!</v>
      </c>
      <c r="Q1502" s="110" t="e">
        <f>O1502-#REF!</f>
        <v>#REF!</v>
      </c>
      <c r="AT1502" s="88" t="str">
        <f t="shared" si="117"/>
        <v>Special Order0</v>
      </c>
      <c r="AU1502" s="89" t="str">
        <f t="shared" si="118"/>
        <v>01-1900</v>
      </c>
      <c r="BA1502" s="92" t="str">
        <f t="shared" si="119"/>
        <v/>
      </c>
    </row>
    <row r="1503" spans="2:53">
      <c r="B1503" s="60">
        <f>[2]Trucks!A1500</f>
        <v>0</v>
      </c>
      <c r="C1503" s="11">
        <f>[2]Trucks!B1500</f>
        <v>0</v>
      </c>
      <c r="D1503" s="19" t="str">
        <f>IFERROR(VLOOKUP(C1503&amp;"",'[2]Retail Price List'!$A$3:$B$103,2,FALSE),"Special Order")</f>
        <v>Special Order</v>
      </c>
      <c r="E1503" s="18">
        <f>[2]Trucks!J1500</f>
        <v>0</v>
      </c>
      <c r="F1503" s="12">
        <f>[2]Trucks!E1500</f>
        <v>0</v>
      </c>
      <c r="G1503" s="56">
        <f>[2]Trucks!K1500</f>
        <v>0</v>
      </c>
      <c r="H1503" s="46">
        <f>[2]Trucks!I1500</f>
        <v>0</v>
      </c>
      <c r="I1503" s="83" t="str">
        <f t="shared" si="115"/>
        <v/>
      </c>
      <c r="J1503" s="272" t="str">
        <f>IFERROR(VLOOKUP((D1503&amp;C1503)&amp;"",'[2]Retail Price List'!$C$4:$F$102,3,FALSE),"")</f>
        <v/>
      </c>
      <c r="K1503" s="272">
        <f>IFERROR(IF(BA1503="WIP - 30 Days",VLOOKUP(D1503,[3]Standard!$B$9:$E$101,4,FALSE),IF(BA1503="31-120 Days",VLOOKUP(D1503,[3]Standard!$B$9:$F$101,5,FALSE),IF(BA1503="121-365 Days",VLOOKUP(D1503,[3]Standard!$B$9:$G$101,6,FALSE),VLOOKUP(D1503,[3]Standard!$B$9:$H$101,7,FALSE)))),0)</f>
        <v>0</v>
      </c>
      <c r="L1503" s="272">
        <f>IFERROR(IF(BA1503="WIP - 30 Days",VLOOKUP(D1503,[3]Standard!$B$9:$J$101,9,FALSE),IF(BA1503="31-120 Days",VLOOKUP(D1503,[3]Standard!$B$9:$K$100,10,FALSE),IF(BA1503="121-365 Days",VLOOKUP(D1503,[3]Standard!$B$9:$L$101,11,FALSE),VLOOKUP(D1503,[3]Standard!$B$9:$M$101,12,FALSE)))),0)</f>
        <v>0</v>
      </c>
      <c r="M1503" s="269" t="str">
        <f>IFERROR(VLOOKUP((D1503&amp;C1503)&amp;"",'[2]Retail Price List'!$C$4:$F$102,4,FALSE),"")</f>
        <v/>
      </c>
      <c r="N1503" s="269">
        <f>IFERROR(IF(BA1503="WIP - 30 Days",VLOOKUP(D1503,[3]Extended!$B$9:$E$101,4,FALSE),IF(BA1503="31-120 Days",VLOOKUP(D1503,[3]Extended!$B$9:$F$101,5,FALSE),IF(BA1503="121-365 Days",VLOOKUP(D1503,[3]Extended!$B$9:$G$101,6,FALSE),VLOOKUP(D1503,[3]Extended!$B$9:$H$101,7,FALSE)))),0)</f>
        <v>0</v>
      </c>
      <c r="O1503" s="269">
        <f>IFERROR(IF(BA1503="WIP - 30 Days",VLOOKUP(D1503,[3]Extended!$B$9:$J$101,9,FALSE),IF(BA1503="31-120 Days",VLOOKUP(D1503,[3]Extended!$B$9:$K$101,10,FALSE),IF(BA1503="121-365 Days",VLOOKUP(D1503,[3]Extended!$B$9:$L$101,11,FALSE),VLOOKUP(D1503,[3]Extended!$B$9:$M$101,12,FALSE)))),0)</f>
        <v>0</v>
      </c>
      <c r="P1503" s="116" t="e">
        <f t="shared" si="116"/>
        <v>#VALUE!</v>
      </c>
      <c r="Q1503" s="110" t="e">
        <f>O1503-#REF!</f>
        <v>#REF!</v>
      </c>
      <c r="AT1503" s="88" t="str">
        <f t="shared" si="117"/>
        <v>Special Order0</v>
      </c>
      <c r="AU1503" s="89" t="str">
        <f t="shared" si="118"/>
        <v>01-1900</v>
      </c>
      <c r="BA1503" s="92" t="str">
        <f t="shared" si="119"/>
        <v/>
      </c>
    </row>
    <row r="1504" spans="2:53">
      <c r="B1504" s="60">
        <f>[2]Trucks!A1501</f>
        <v>0</v>
      </c>
      <c r="C1504" s="11">
        <f>[2]Trucks!B1501</f>
        <v>0</v>
      </c>
      <c r="D1504" s="19" t="str">
        <f>IFERROR(VLOOKUP(C1504&amp;"",'[2]Retail Price List'!$A$3:$B$103,2,FALSE),"Special Order")</f>
        <v>Special Order</v>
      </c>
      <c r="E1504" s="18">
        <f>[2]Trucks!J1501</f>
        <v>0</v>
      </c>
      <c r="F1504" s="12">
        <f>[2]Trucks!E1501</f>
        <v>0</v>
      </c>
      <c r="G1504" s="56">
        <f>[2]Trucks!K1501</f>
        <v>0</v>
      </c>
      <c r="H1504" s="46">
        <f>[2]Trucks!I1501</f>
        <v>0</v>
      </c>
      <c r="I1504" s="83" t="str">
        <f t="shared" si="115"/>
        <v/>
      </c>
      <c r="J1504" s="272" t="str">
        <f>IFERROR(VLOOKUP((D1504&amp;C1504)&amp;"",'[2]Retail Price List'!$C$4:$F$102,3,FALSE),"")</f>
        <v/>
      </c>
      <c r="K1504" s="272">
        <f>IFERROR(IF(BA1504="WIP - 30 Days",VLOOKUP(D1504,[3]Standard!$B$9:$E$101,4,FALSE),IF(BA1504="31-120 Days",VLOOKUP(D1504,[3]Standard!$B$9:$F$101,5,FALSE),IF(BA1504="121-365 Days",VLOOKUP(D1504,[3]Standard!$B$9:$G$101,6,FALSE),VLOOKUP(D1504,[3]Standard!$B$9:$H$101,7,FALSE)))),0)</f>
        <v>0</v>
      </c>
      <c r="L1504" s="272">
        <f>IFERROR(IF(BA1504="WIP - 30 Days",VLOOKUP(D1504,[3]Standard!$B$9:$J$101,9,FALSE),IF(BA1504="31-120 Days",VLOOKUP(D1504,[3]Standard!$B$9:$K$100,10,FALSE),IF(BA1504="121-365 Days",VLOOKUP(D1504,[3]Standard!$B$9:$L$101,11,FALSE),VLOOKUP(D1504,[3]Standard!$B$9:$M$101,12,FALSE)))),0)</f>
        <v>0</v>
      </c>
      <c r="M1504" s="269" t="str">
        <f>IFERROR(VLOOKUP((D1504&amp;C1504)&amp;"",'[2]Retail Price List'!$C$4:$F$102,4,FALSE),"")</f>
        <v/>
      </c>
      <c r="N1504" s="269">
        <f>IFERROR(IF(BA1504="WIP - 30 Days",VLOOKUP(D1504,[3]Extended!$B$9:$E$101,4,FALSE),IF(BA1504="31-120 Days",VLOOKUP(D1504,[3]Extended!$B$9:$F$101,5,FALSE),IF(BA1504="121-365 Days",VLOOKUP(D1504,[3]Extended!$B$9:$G$101,6,FALSE),VLOOKUP(D1504,[3]Extended!$B$9:$H$101,7,FALSE)))),0)</f>
        <v>0</v>
      </c>
      <c r="O1504" s="269">
        <f>IFERROR(IF(BA1504="WIP - 30 Days",VLOOKUP(D1504,[3]Extended!$B$9:$J$101,9,FALSE),IF(BA1504="31-120 Days",VLOOKUP(D1504,[3]Extended!$B$9:$K$101,10,FALSE),IF(BA1504="121-365 Days",VLOOKUP(D1504,[3]Extended!$B$9:$L$101,11,FALSE),VLOOKUP(D1504,[3]Extended!$B$9:$M$101,12,FALSE)))),0)</f>
        <v>0</v>
      </c>
      <c r="P1504" s="116" t="e">
        <f t="shared" si="116"/>
        <v>#VALUE!</v>
      </c>
      <c r="Q1504" s="110" t="e">
        <f>O1504-#REF!</f>
        <v>#REF!</v>
      </c>
      <c r="AT1504" s="88" t="str">
        <f t="shared" si="117"/>
        <v>Special Order0</v>
      </c>
      <c r="AU1504" s="89" t="str">
        <f t="shared" si="118"/>
        <v>01-1900</v>
      </c>
      <c r="BA1504" s="92" t="str">
        <f t="shared" si="119"/>
        <v/>
      </c>
    </row>
    <row r="1505" spans="2:53">
      <c r="B1505" s="60">
        <f>[2]Trucks!A1502</f>
        <v>0</v>
      </c>
      <c r="C1505" s="11">
        <f>[2]Trucks!B1502</f>
        <v>0</v>
      </c>
      <c r="D1505" s="19" t="str">
        <f>IFERROR(VLOOKUP(C1505&amp;"",'[2]Retail Price List'!$A$3:$B$103,2,FALSE),"Special Order")</f>
        <v>Special Order</v>
      </c>
      <c r="E1505" s="18">
        <f>[2]Trucks!J1502</f>
        <v>0</v>
      </c>
      <c r="F1505" s="12">
        <f>[2]Trucks!E1502</f>
        <v>0</v>
      </c>
      <c r="G1505" s="56">
        <f>[2]Trucks!K1502</f>
        <v>0</v>
      </c>
      <c r="H1505" s="46">
        <f>[2]Trucks!I1502</f>
        <v>0</v>
      </c>
      <c r="I1505" s="83" t="str">
        <f t="shared" si="115"/>
        <v/>
      </c>
      <c r="J1505" s="272" t="str">
        <f>IFERROR(VLOOKUP((D1505&amp;C1505)&amp;"",'[2]Retail Price List'!$C$4:$F$102,3,FALSE),"")</f>
        <v/>
      </c>
      <c r="K1505" s="272">
        <f>IFERROR(IF(BA1505="WIP - 30 Days",VLOOKUP(D1505,[3]Standard!$B$9:$E$101,4,FALSE),IF(BA1505="31-120 Days",VLOOKUP(D1505,[3]Standard!$B$9:$F$101,5,FALSE),IF(BA1505="121-365 Days",VLOOKUP(D1505,[3]Standard!$B$9:$G$101,6,FALSE),VLOOKUP(D1505,[3]Standard!$B$9:$H$101,7,FALSE)))),0)</f>
        <v>0</v>
      </c>
      <c r="L1505" s="272">
        <f>IFERROR(IF(BA1505="WIP - 30 Days",VLOOKUP(D1505,[3]Standard!$B$9:$J$101,9,FALSE),IF(BA1505="31-120 Days",VLOOKUP(D1505,[3]Standard!$B$9:$K$100,10,FALSE),IF(BA1505="121-365 Days",VLOOKUP(D1505,[3]Standard!$B$9:$L$101,11,FALSE),VLOOKUP(D1505,[3]Standard!$B$9:$M$101,12,FALSE)))),0)</f>
        <v>0</v>
      </c>
      <c r="M1505" s="269" t="str">
        <f>IFERROR(VLOOKUP((D1505&amp;C1505)&amp;"",'[2]Retail Price List'!$C$4:$F$102,4,FALSE),"")</f>
        <v/>
      </c>
      <c r="N1505" s="269">
        <f>IFERROR(IF(BA1505="WIP - 30 Days",VLOOKUP(D1505,[3]Extended!$B$9:$E$101,4,FALSE),IF(BA1505="31-120 Days",VLOOKUP(D1505,[3]Extended!$B$9:$F$101,5,FALSE),IF(BA1505="121-365 Days",VLOOKUP(D1505,[3]Extended!$B$9:$G$101,6,FALSE),VLOOKUP(D1505,[3]Extended!$B$9:$H$101,7,FALSE)))),0)</f>
        <v>0</v>
      </c>
      <c r="O1505" s="269">
        <f>IFERROR(IF(BA1505="WIP - 30 Days",VLOOKUP(D1505,[3]Extended!$B$9:$J$101,9,FALSE),IF(BA1505="31-120 Days",VLOOKUP(D1505,[3]Extended!$B$9:$K$101,10,FALSE),IF(BA1505="121-365 Days",VLOOKUP(D1505,[3]Extended!$B$9:$L$101,11,FALSE),VLOOKUP(D1505,[3]Extended!$B$9:$M$101,12,FALSE)))),0)</f>
        <v>0</v>
      </c>
      <c r="P1505" s="116" t="e">
        <f t="shared" si="116"/>
        <v>#VALUE!</v>
      </c>
      <c r="Q1505" s="110" t="e">
        <f>O1505-#REF!</f>
        <v>#REF!</v>
      </c>
      <c r="AT1505" s="88" t="str">
        <f t="shared" si="117"/>
        <v>Special Order0</v>
      </c>
      <c r="AU1505" s="89" t="str">
        <f t="shared" si="118"/>
        <v>01-1900</v>
      </c>
      <c r="BA1505" s="92" t="str">
        <f t="shared" si="119"/>
        <v/>
      </c>
    </row>
    <row r="1506" spans="2:53">
      <c r="B1506" s="60">
        <f>[2]Trucks!A1503</f>
        <v>0</v>
      </c>
      <c r="C1506" s="11">
        <f>[2]Trucks!B1503</f>
        <v>0</v>
      </c>
      <c r="D1506" s="19" t="str">
        <f>IFERROR(VLOOKUP(C1506&amp;"",'[2]Retail Price List'!$A$3:$B$103,2,FALSE),"Special Order")</f>
        <v>Special Order</v>
      </c>
      <c r="E1506" s="18">
        <f>[2]Trucks!J1503</f>
        <v>0</v>
      </c>
      <c r="F1506" s="12">
        <f>[2]Trucks!E1503</f>
        <v>0</v>
      </c>
      <c r="G1506" s="56">
        <f>[2]Trucks!K1503</f>
        <v>0</v>
      </c>
      <c r="H1506" s="46">
        <f>[2]Trucks!I1503</f>
        <v>0</v>
      </c>
      <c r="I1506" s="83" t="str">
        <f t="shared" si="115"/>
        <v/>
      </c>
      <c r="J1506" s="272" t="str">
        <f>IFERROR(VLOOKUP((D1506&amp;C1506)&amp;"",'[2]Retail Price List'!$C$4:$F$102,3,FALSE),"")</f>
        <v/>
      </c>
      <c r="K1506" s="272">
        <f>IFERROR(IF(BA1506="WIP - 30 Days",VLOOKUP(D1506,[3]Standard!$B$9:$E$101,4,FALSE),IF(BA1506="31-120 Days",VLOOKUP(D1506,[3]Standard!$B$9:$F$101,5,FALSE),IF(BA1506="121-365 Days",VLOOKUP(D1506,[3]Standard!$B$9:$G$101,6,FALSE),VLOOKUP(D1506,[3]Standard!$B$9:$H$101,7,FALSE)))),0)</f>
        <v>0</v>
      </c>
      <c r="L1506" s="272">
        <f>IFERROR(IF(BA1506="WIP - 30 Days",VLOOKUP(D1506,[3]Standard!$B$9:$J$101,9,FALSE),IF(BA1506="31-120 Days",VLOOKUP(D1506,[3]Standard!$B$9:$K$100,10,FALSE),IF(BA1506="121-365 Days",VLOOKUP(D1506,[3]Standard!$B$9:$L$101,11,FALSE),VLOOKUP(D1506,[3]Standard!$B$9:$M$101,12,FALSE)))),0)</f>
        <v>0</v>
      </c>
      <c r="M1506" s="269" t="str">
        <f>IFERROR(VLOOKUP((D1506&amp;C1506)&amp;"",'[2]Retail Price List'!$C$4:$F$102,4,FALSE),"")</f>
        <v/>
      </c>
      <c r="N1506" s="269">
        <f>IFERROR(IF(BA1506="WIP - 30 Days",VLOOKUP(D1506,[3]Extended!$B$9:$E$101,4,FALSE),IF(BA1506="31-120 Days",VLOOKUP(D1506,[3]Extended!$B$9:$F$101,5,FALSE),IF(BA1506="121-365 Days",VLOOKUP(D1506,[3]Extended!$B$9:$G$101,6,FALSE),VLOOKUP(D1506,[3]Extended!$B$9:$H$101,7,FALSE)))),0)</f>
        <v>0</v>
      </c>
      <c r="O1506" s="269">
        <f>IFERROR(IF(BA1506="WIP - 30 Days",VLOOKUP(D1506,[3]Extended!$B$9:$J$101,9,FALSE),IF(BA1506="31-120 Days",VLOOKUP(D1506,[3]Extended!$B$9:$K$101,10,FALSE),IF(BA1506="121-365 Days",VLOOKUP(D1506,[3]Extended!$B$9:$L$101,11,FALSE),VLOOKUP(D1506,[3]Extended!$B$9:$M$101,12,FALSE)))),0)</f>
        <v>0</v>
      </c>
      <c r="P1506" s="116" t="e">
        <f t="shared" si="116"/>
        <v>#VALUE!</v>
      </c>
      <c r="Q1506" s="110" t="e">
        <f>O1506-#REF!</f>
        <v>#REF!</v>
      </c>
      <c r="AT1506" s="88" t="str">
        <f t="shared" si="117"/>
        <v>Special Order0</v>
      </c>
      <c r="AU1506" s="89" t="str">
        <f t="shared" si="118"/>
        <v>01-1900</v>
      </c>
      <c r="BA1506" s="92" t="str">
        <f t="shared" si="119"/>
        <v/>
      </c>
    </row>
    <row r="1507" spans="2:53">
      <c r="B1507" s="60">
        <f>[2]Trucks!A1504</f>
        <v>0</v>
      </c>
      <c r="C1507" s="11">
        <f>[2]Trucks!B1504</f>
        <v>0</v>
      </c>
      <c r="D1507" s="19" t="str">
        <f>IFERROR(VLOOKUP(C1507&amp;"",'[2]Retail Price List'!$A$3:$B$103,2,FALSE),"Special Order")</f>
        <v>Special Order</v>
      </c>
      <c r="E1507" s="18">
        <f>[2]Trucks!J1504</f>
        <v>0</v>
      </c>
      <c r="F1507" s="12">
        <f>[2]Trucks!E1504</f>
        <v>0</v>
      </c>
      <c r="G1507" s="56">
        <f>[2]Trucks!K1504</f>
        <v>0</v>
      </c>
      <c r="H1507" s="46">
        <f>[2]Trucks!I1504</f>
        <v>0</v>
      </c>
      <c r="I1507" s="83" t="str">
        <f t="shared" si="115"/>
        <v/>
      </c>
      <c r="J1507" s="272" t="str">
        <f>IFERROR(VLOOKUP((D1507&amp;C1507)&amp;"",'[2]Retail Price List'!$C$4:$F$102,3,FALSE),"")</f>
        <v/>
      </c>
      <c r="K1507" s="272">
        <f>IFERROR(IF(BA1507="WIP - 30 Days",VLOOKUP(D1507,[3]Standard!$B$9:$E$101,4,FALSE),IF(BA1507="31-120 Days",VLOOKUP(D1507,[3]Standard!$B$9:$F$101,5,FALSE),IF(BA1507="121-365 Days",VLOOKUP(D1507,[3]Standard!$B$9:$G$101,6,FALSE),VLOOKUP(D1507,[3]Standard!$B$9:$H$101,7,FALSE)))),0)</f>
        <v>0</v>
      </c>
      <c r="L1507" s="272">
        <f>IFERROR(IF(BA1507="WIP - 30 Days",VLOOKUP(D1507,[3]Standard!$B$9:$J$101,9,FALSE),IF(BA1507="31-120 Days",VLOOKUP(D1507,[3]Standard!$B$9:$K$100,10,FALSE),IF(BA1507="121-365 Days",VLOOKUP(D1507,[3]Standard!$B$9:$L$101,11,FALSE),VLOOKUP(D1507,[3]Standard!$B$9:$M$101,12,FALSE)))),0)</f>
        <v>0</v>
      </c>
      <c r="M1507" s="269" t="str">
        <f>IFERROR(VLOOKUP((D1507&amp;C1507)&amp;"",'[2]Retail Price List'!$C$4:$F$102,4,FALSE),"")</f>
        <v/>
      </c>
      <c r="N1507" s="269">
        <f>IFERROR(IF(BA1507="WIP - 30 Days",VLOOKUP(D1507,[3]Extended!$B$9:$E$101,4,FALSE),IF(BA1507="31-120 Days",VLOOKUP(D1507,[3]Extended!$B$9:$F$101,5,FALSE),IF(BA1507="121-365 Days",VLOOKUP(D1507,[3]Extended!$B$9:$G$101,6,FALSE),VLOOKUP(D1507,[3]Extended!$B$9:$H$101,7,FALSE)))),0)</f>
        <v>0</v>
      </c>
      <c r="O1507" s="269">
        <f>IFERROR(IF(BA1507="WIP - 30 Days",VLOOKUP(D1507,[3]Extended!$B$9:$J$101,9,FALSE),IF(BA1507="31-120 Days",VLOOKUP(D1507,[3]Extended!$B$9:$K$101,10,FALSE),IF(BA1507="121-365 Days",VLOOKUP(D1507,[3]Extended!$B$9:$L$101,11,FALSE),VLOOKUP(D1507,[3]Extended!$B$9:$M$101,12,FALSE)))),0)</f>
        <v>0</v>
      </c>
      <c r="P1507" s="116" t="e">
        <f t="shared" si="116"/>
        <v>#VALUE!</v>
      </c>
      <c r="Q1507" s="110" t="e">
        <f>O1507-#REF!</f>
        <v>#REF!</v>
      </c>
      <c r="AT1507" s="88" t="str">
        <f t="shared" si="117"/>
        <v>Special Order0</v>
      </c>
      <c r="AU1507" s="89" t="str">
        <f t="shared" si="118"/>
        <v>01-1900</v>
      </c>
      <c r="BA1507" s="92" t="str">
        <f t="shared" si="119"/>
        <v/>
      </c>
    </row>
    <row r="1508" spans="2:53">
      <c r="B1508" s="60">
        <f>[2]Trucks!A1505</f>
        <v>0</v>
      </c>
      <c r="C1508" s="11">
        <f>[2]Trucks!B1505</f>
        <v>0</v>
      </c>
      <c r="D1508" s="19" t="str">
        <f>IFERROR(VLOOKUP(C1508&amp;"",'[2]Retail Price List'!$A$3:$B$103,2,FALSE),"Special Order")</f>
        <v>Special Order</v>
      </c>
      <c r="E1508" s="18">
        <f>[2]Trucks!J1505</f>
        <v>0</v>
      </c>
      <c r="F1508" s="12">
        <f>[2]Trucks!E1505</f>
        <v>0</v>
      </c>
      <c r="G1508" s="56">
        <f>[2]Trucks!K1505</f>
        <v>0</v>
      </c>
      <c r="H1508" s="46">
        <f>[2]Trucks!I1505</f>
        <v>0</v>
      </c>
      <c r="I1508" s="83" t="str">
        <f t="shared" si="115"/>
        <v/>
      </c>
      <c r="J1508" s="272" t="str">
        <f>IFERROR(VLOOKUP((D1508&amp;C1508)&amp;"",'[2]Retail Price List'!$C$4:$F$102,3,FALSE),"")</f>
        <v/>
      </c>
      <c r="K1508" s="272">
        <f>IFERROR(IF(BA1508="WIP - 30 Days",VLOOKUP(D1508,[3]Standard!$B$9:$E$101,4,FALSE),IF(BA1508="31-120 Days",VLOOKUP(D1508,[3]Standard!$B$9:$F$101,5,FALSE),IF(BA1508="121-365 Days",VLOOKUP(D1508,[3]Standard!$B$9:$G$101,6,FALSE),VLOOKUP(D1508,[3]Standard!$B$9:$H$101,7,FALSE)))),0)</f>
        <v>0</v>
      </c>
      <c r="L1508" s="272">
        <f>IFERROR(IF(BA1508="WIP - 30 Days",VLOOKUP(D1508,[3]Standard!$B$9:$J$101,9,FALSE),IF(BA1508="31-120 Days",VLOOKUP(D1508,[3]Standard!$B$9:$K$100,10,FALSE),IF(BA1508="121-365 Days",VLOOKUP(D1508,[3]Standard!$B$9:$L$101,11,FALSE),VLOOKUP(D1508,[3]Standard!$B$9:$M$101,12,FALSE)))),0)</f>
        <v>0</v>
      </c>
      <c r="M1508" s="269" t="str">
        <f>IFERROR(VLOOKUP((D1508&amp;C1508)&amp;"",'[2]Retail Price List'!$C$4:$F$102,4,FALSE),"")</f>
        <v/>
      </c>
      <c r="N1508" s="269">
        <f>IFERROR(IF(BA1508="WIP - 30 Days",VLOOKUP(D1508,[3]Extended!$B$9:$E$101,4,FALSE),IF(BA1508="31-120 Days",VLOOKUP(D1508,[3]Extended!$B$9:$F$101,5,FALSE),IF(BA1508="121-365 Days",VLOOKUP(D1508,[3]Extended!$B$9:$G$101,6,FALSE),VLOOKUP(D1508,[3]Extended!$B$9:$H$101,7,FALSE)))),0)</f>
        <v>0</v>
      </c>
      <c r="O1508" s="269">
        <f>IFERROR(IF(BA1508="WIP - 30 Days",VLOOKUP(D1508,[3]Extended!$B$9:$J$101,9,FALSE),IF(BA1508="31-120 Days",VLOOKUP(D1508,[3]Extended!$B$9:$K$101,10,FALSE),IF(BA1508="121-365 Days",VLOOKUP(D1508,[3]Extended!$B$9:$L$101,11,FALSE),VLOOKUP(D1508,[3]Extended!$B$9:$M$101,12,FALSE)))),0)</f>
        <v>0</v>
      </c>
      <c r="P1508" s="116" t="e">
        <f t="shared" si="116"/>
        <v>#VALUE!</v>
      </c>
      <c r="Q1508" s="110" t="e">
        <f>O1508-#REF!</f>
        <v>#REF!</v>
      </c>
      <c r="AT1508" s="88" t="str">
        <f t="shared" si="117"/>
        <v>Special Order0</v>
      </c>
      <c r="AU1508" s="89" t="str">
        <f t="shared" si="118"/>
        <v>01-1900</v>
      </c>
      <c r="BA1508" s="92" t="str">
        <f t="shared" si="119"/>
        <v/>
      </c>
    </row>
    <row r="1509" spans="2:53">
      <c r="B1509" s="60">
        <f>[2]Trucks!A1506</f>
        <v>0</v>
      </c>
      <c r="C1509" s="11">
        <f>[2]Trucks!B1506</f>
        <v>0</v>
      </c>
      <c r="D1509" s="19" t="str">
        <f>IFERROR(VLOOKUP(C1509&amp;"",'[2]Retail Price List'!$A$3:$B$103,2,FALSE),"Special Order")</f>
        <v>Special Order</v>
      </c>
      <c r="E1509" s="18">
        <f>[2]Trucks!J1506</f>
        <v>0</v>
      </c>
      <c r="F1509" s="12">
        <f>[2]Trucks!E1506</f>
        <v>0</v>
      </c>
      <c r="G1509" s="56">
        <f>[2]Trucks!K1506</f>
        <v>0</v>
      </c>
      <c r="H1509" s="46">
        <f>[2]Trucks!I1506</f>
        <v>0</v>
      </c>
      <c r="I1509" s="83" t="str">
        <f t="shared" si="115"/>
        <v/>
      </c>
      <c r="J1509" s="272" t="str">
        <f>IFERROR(VLOOKUP((D1509&amp;C1509)&amp;"",'[2]Retail Price List'!$C$4:$F$102,3,FALSE),"")</f>
        <v/>
      </c>
      <c r="K1509" s="272">
        <f>IFERROR(IF(BA1509="WIP - 30 Days",VLOOKUP(D1509,[3]Standard!$B$9:$E$101,4,FALSE),IF(BA1509="31-120 Days",VLOOKUP(D1509,[3]Standard!$B$9:$F$101,5,FALSE),IF(BA1509="121-365 Days",VLOOKUP(D1509,[3]Standard!$B$9:$G$101,6,FALSE),VLOOKUP(D1509,[3]Standard!$B$9:$H$101,7,FALSE)))),0)</f>
        <v>0</v>
      </c>
      <c r="L1509" s="272">
        <f>IFERROR(IF(BA1509="WIP - 30 Days",VLOOKUP(D1509,[3]Standard!$B$9:$J$101,9,FALSE),IF(BA1509="31-120 Days",VLOOKUP(D1509,[3]Standard!$B$9:$K$100,10,FALSE),IF(BA1509="121-365 Days",VLOOKUP(D1509,[3]Standard!$B$9:$L$101,11,FALSE),VLOOKUP(D1509,[3]Standard!$B$9:$M$101,12,FALSE)))),0)</f>
        <v>0</v>
      </c>
      <c r="M1509" s="269" t="str">
        <f>IFERROR(VLOOKUP((D1509&amp;C1509)&amp;"",'[2]Retail Price List'!$C$4:$F$102,4,FALSE),"")</f>
        <v/>
      </c>
      <c r="N1509" s="269">
        <f>IFERROR(IF(BA1509="WIP - 30 Days",VLOOKUP(D1509,[3]Extended!$B$9:$E$101,4,FALSE),IF(BA1509="31-120 Days",VLOOKUP(D1509,[3]Extended!$B$9:$F$101,5,FALSE),IF(BA1509="121-365 Days",VLOOKUP(D1509,[3]Extended!$B$9:$G$101,6,FALSE),VLOOKUP(D1509,[3]Extended!$B$9:$H$101,7,FALSE)))),0)</f>
        <v>0</v>
      </c>
      <c r="O1509" s="269">
        <f>IFERROR(IF(BA1509="WIP - 30 Days",VLOOKUP(D1509,[3]Extended!$B$9:$J$101,9,FALSE),IF(BA1509="31-120 Days",VLOOKUP(D1509,[3]Extended!$B$9:$K$101,10,FALSE),IF(BA1509="121-365 Days",VLOOKUP(D1509,[3]Extended!$B$9:$L$101,11,FALSE),VLOOKUP(D1509,[3]Extended!$B$9:$M$101,12,FALSE)))),0)</f>
        <v>0</v>
      </c>
      <c r="P1509" s="116" t="e">
        <f t="shared" si="116"/>
        <v>#VALUE!</v>
      </c>
      <c r="Q1509" s="110" t="e">
        <f>O1509-#REF!</f>
        <v>#REF!</v>
      </c>
      <c r="AT1509" s="88" t="str">
        <f t="shared" si="117"/>
        <v>Special Order0</v>
      </c>
      <c r="AU1509" s="89" t="str">
        <f t="shared" si="118"/>
        <v>01-1900</v>
      </c>
      <c r="BA1509" s="92" t="str">
        <f t="shared" si="119"/>
        <v/>
      </c>
    </row>
    <row r="1510" spans="2:53">
      <c r="B1510" s="60">
        <f>[2]Trucks!A1507</f>
        <v>0</v>
      </c>
      <c r="C1510" s="11">
        <f>[2]Trucks!B1507</f>
        <v>0</v>
      </c>
      <c r="D1510" s="19" t="str">
        <f>IFERROR(VLOOKUP(C1510&amp;"",'[2]Retail Price List'!$A$3:$B$103,2,FALSE),"Special Order")</f>
        <v>Special Order</v>
      </c>
      <c r="E1510" s="18">
        <f>[2]Trucks!J1507</f>
        <v>0</v>
      </c>
      <c r="F1510" s="12">
        <f>[2]Trucks!E1507</f>
        <v>0</v>
      </c>
      <c r="G1510" s="56">
        <f>[2]Trucks!K1507</f>
        <v>0</v>
      </c>
      <c r="H1510" s="46">
        <f>[2]Trucks!I1507</f>
        <v>0</v>
      </c>
      <c r="I1510" s="83" t="str">
        <f t="shared" si="115"/>
        <v/>
      </c>
      <c r="J1510" s="272" t="str">
        <f>IFERROR(VLOOKUP((D1510&amp;C1510)&amp;"",'[2]Retail Price List'!$C$4:$F$102,3,FALSE),"")</f>
        <v/>
      </c>
      <c r="K1510" s="272">
        <f>IFERROR(IF(BA1510="WIP - 30 Days",VLOOKUP(D1510,[3]Standard!$B$9:$E$101,4,FALSE),IF(BA1510="31-120 Days",VLOOKUP(D1510,[3]Standard!$B$9:$F$101,5,FALSE),IF(BA1510="121-365 Days",VLOOKUP(D1510,[3]Standard!$B$9:$G$101,6,FALSE),VLOOKUP(D1510,[3]Standard!$B$9:$H$101,7,FALSE)))),0)</f>
        <v>0</v>
      </c>
      <c r="L1510" s="272">
        <f>IFERROR(IF(BA1510="WIP - 30 Days",VLOOKUP(D1510,[3]Standard!$B$9:$J$101,9,FALSE),IF(BA1510="31-120 Days",VLOOKUP(D1510,[3]Standard!$B$9:$K$100,10,FALSE),IF(BA1510="121-365 Days",VLOOKUP(D1510,[3]Standard!$B$9:$L$101,11,FALSE),VLOOKUP(D1510,[3]Standard!$B$9:$M$101,12,FALSE)))),0)</f>
        <v>0</v>
      </c>
      <c r="M1510" s="269" t="str">
        <f>IFERROR(VLOOKUP((D1510&amp;C1510)&amp;"",'[2]Retail Price List'!$C$4:$F$102,4,FALSE),"")</f>
        <v/>
      </c>
      <c r="N1510" s="269">
        <f>IFERROR(IF(BA1510="WIP - 30 Days",VLOOKUP(D1510,[3]Extended!$B$9:$E$101,4,FALSE),IF(BA1510="31-120 Days",VLOOKUP(D1510,[3]Extended!$B$9:$F$101,5,FALSE),IF(BA1510="121-365 Days",VLOOKUP(D1510,[3]Extended!$B$9:$G$101,6,FALSE),VLOOKUP(D1510,[3]Extended!$B$9:$H$101,7,FALSE)))),0)</f>
        <v>0</v>
      </c>
      <c r="O1510" s="269">
        <f>IFERROR(IF(BA1510="WIP - 30 Days",VLOOKUP(D1510,[3]Extended!$B$9:$J$101,9,FALSE),IF(BA1510="31-120 Days",VLOOKUP(D1510,[3]Extended!$B$9:$K$101,10,FALSE),IF(BA1510="121-365 Days",VLOOKUP(D1510,[3]Extended!$B$9:$L$101,11,FALSE),VLOOKUP(D1510,[3]Extended!$B$9:$M$101,12,FALSE)))),0)</f>
        <v>0</v>
      </c>
      <c r="P1510" s="116" t="e">
        <f t="shared" si="116"/>
        <v>#VALUE!</v>
      </c>
      <c r="Q1510" s="110" t="e">
        <f>O1510-#REF!</f>
        <v>#REF!</v>
      </c>
      <c r="AT1510" s="88" t="str">
        <f t="shared" si="117"/>
        <v>Special Order0</v>
      </c>
      <c r="AU1510" s="89" t="str">
        <f t="shared" si="118"/>
        <v>01-1900</v>
      </c>
      <c r="BA1510" s="92" t="str">
        <f t="shared" si="119"/>
        <v/>
      </c>
    </row>
    <row r="1511" spans="2:53">
      <c r="B1511" s="60">
        <f>[2]Trucks!A1508</f>
        <v>0</v>
      </c>
      <c r="C1511" s="11">
        <f>[2]Trucks!B1508</f>
        <v>0</v>
      </c>
      <c r="D1511" s="19" t="str">
        <f>IFERROR(VLOOKUP(C1511&amp;"",'[2]Retail Price List'!$A$3:$B$103,2,FALSE),"Special Order")</f>
        <v>Special Order</v>
      </c>
      <c r="E1511" s="18">
        <f>[2]Trucks!J1508</f>
        <v>0</v>
      </c>
      <c r="F1511" s="12">
        <f>[2]Trucks!E1508</f>
        <v>0</v>
      </c>
      <c r="G1511" s="56">
        <f>[2]Trucks!K1508</f>
        <v>0</v>
      </c>
      <c r="H1511" s="46">
        <f>[2]Trucks!I1508</f>
        <v>0</v>
      </c>
      <c r="I1511" s="83" t="str">
        <f t="shared" si="115"/>
        <v/>
      </c>
      <c r="J1511" s="272" t="str">
        <f>IFERROR(VLOOKUP((D1511&amp;C1511)&amp;"",'[2]Retail Price List'!$C$4:$F$102,3,FALSE),"")</f>
        <v/>
      </c>
      <c r="K1511" s="272">
        <f>IFERROR(IF(BA1511="WIP - 30 Days",VLOOKUP(D1511,[3]Standard!$B$9:$E$101,4,FALSE),IF(BA1511="31-120 Days",VLOOKUP(D1511,[3]Standard!$B$9:$F$101,5,FALSE),IF(BA1511="121-365 Days",VLOOKUP(D1511,[3]Standard!$B$9:$G$101,6,FALSE),VLOOKUP(D1511,[3]Standard!$B$9:$H$101,7,FALSE)))),0)</f>
        <v>0</v>
      </c>
      <c r="L1511" s="272">
        <f>IFERROR(IF(BA1511="WIP - 30 Days",VLOOKUP(D1511,[3]Standard!$B$9:$J$101,9,FALSE),IF(BA1511="31-120 Days",VLOOKUP(D1511,[3]Standard!$B$9:$K$100,10,FALSE),IF(BA1511="121-365 Days",VLOOKUP(D1511,[3]Standard!$B$9:$L$101,11,FALSE),VLOOKUP(D1511,[3]Standard!$B$9:$M$101,12,FALSE)))),0)</f>
        <v>0</v>
      </c>
      <c r="M1511" s="269" t="str">
        <f>IFERROR(VLOOKUP((D1511&amp;C1511)&amp;"",'[2]Retail Price List'!$C$4:$F$102,4,FALSE),"")</f>
        <v/>
      </c>
      <c r="N1511" s="269">
        <f>IFERROR(IF(BA1511="WIP - 30 Days",VLOOKUP(D1511,[3]Extended!$B$9:$E$101,4,FALSE),IF(BA1511="31-120 Days",VLOOKUP(D1511,[3]Extended!$B$9:$F$101,5,FALSE),IF(BA1511="121-365 Days",VLOOKUP(D1511,[3]Extended!$B$9:$G$101,6,FALSE),VLOOKUP(D1511,[3]Extended!$B$9:$H$101,7,FALSE)))),0)</f>
        <v>0</v>
      </c>
      <c r="O1511" s="269">
        <f>IFERROR(IF(BA1511="WIP - 30 Days",VLOOKUP(D1511,[3]Extended!$B$9:$J$101,9,FALSE),IF(BA1511="31-120 Days",VLOOKUP(D1511,[3]Extended!$B$9:$K$101,10,FALSE),IF(BA1511="121-365 Days",VLOOKUP(D1511,[3]Extended!$B$9:$L$101,11,FALSE),VLOOKUP(D1511,[3]Extended!$B$9:$M$101,12,FALSE)))),0)</f>
        <v>0</v>
      </c>
      <c r="P1511" s="116" t="e">
        <f t="shared" si="116"/>
        <v>#VALUE!</v>
      </c>
      <c r="Q1511" s="110" t="e">
        <f>O1511-#REF!</f>
        <v>#REF!</v>
      </c>
      <c r="AT1511" s="88" t="str">
        <f t="shared" si="117"/>
        <v>Special Order0</v>
      </c>
      <c r="AU1511" s="89" t="str">
        <f t="shared" si="118"/>
        <v>01-1900</v>
      </c>
      <c r="BA1511" s="92" t="str">
        <f t="shared" si="119"/>
        <v/>
      </c>
    </row>
    <row r="1512" spans="2:53">
      <c r="B1512" s="60">
        <f>[2]Trucks!A1509</f>
        <v>0</v>
      </c>
      <c r="C1512" s="11">
        <f>[2]Trucks!B1509</f>
        <v>0</v>
      </c>
      <c r="D1512" s="19" t="str">
        <f>IFERROR(VLOOKUP(C1512&amp;"",'[2]Retail Price List'!$A$3:$B$103,2,FALSE),"Special Order")</f>
        <v>Special Order</v>
      </c>
      <c r="E1512" s="18">
        <f>[2]Trucks!J1509</f>
        <v>0</v>
      </c>
      <c r="F1512" s="12">
        <f>[2]Trucks!E1509</f>
        <v>0</v>
      </c>
      <c r="G1512" s="56">
        <f>[2]Trucks!K1509</f>
        <v>0</v>
      </c>
      <c r="H1512" s="46">
        <f>[2]Trucks!I1509</f>
        <v>0</v>
      </c>
      <c r="I1512" s="83" t="str">
        <f t="shared" si="115"/>
        <v/>
      </c>
      <c r="J1512" s="272" t="str">
        <f>IFERROR(VLOOKUP((D1512&amp;C1512)&amp;"",'[2]Retail Price List'!$C$4:$F$102,3,FALSE),"")</f>
        <v/>
      </c>
      <c r="K1512" s="272">
        <f>IFERROR(IF(BA1512="WIP - 30 Days",VLOOKUP(D1512,[3]Standard!$B$9:$E$101,4,FALSE),IF(BA1512="31-120 Days",VLOOKUP(D1512,[3]Standard!$B$9:$F$101,5,FALSE),IF(BA1512="121-365 Days",VLOOKUP(D1512,[3]Standard!$B$9:$G$101,6,FALSE),VLOOKUP(D1512,[3]Standard!$B$9:$H$101,7,FALSE)))),0)</f>
        <v>0</v>
      </c>
      <c r="L1512" s="272">
        <f>IFERROR(IF(BA1512="WIP - 30 Days",VLOOKUP(D1512,[3]Standard!$B$9:$J$101,9,FALSE),IF(BA1512="31-120 Days",VLOOKUP(D1512,[3]Standard!$B$9:$K$100,10,FALSE),IF(BA1512="121-365 Days",VLOOKUP(D1512,[3]Standard!$B$9:$L$101,11,FALSE),VLOOKUP(D1512,[3]Standard!$B$9:$M$101,12,FALSE)))),0)</f>
        <v>0</v>
      </c>
      <c r="M1512" s="269" t="str">
        <f>IFERROR(VLOOKUP((D1512&amp;C1512)&amp;"",'[2]Retail Price List'!$C$4:$F$102,4,FALSE),"")</f>
        <v/>
      </c>
      <c r="N1512" s="269">
        <f>IFERROR(IF(BA1512="WIP - 30 Days",VLOOKUP(D1512,[3]Extended!$B$9:$E$101,4,FALSE),IF(BA1512="31-120 Days",VLOOKUP(D1512,[3]Extended!$B$9:$F$101,5,FALSE),IF(BA1512="121-365 Days",VLOOKUP(D1512,[3]Extended!$B$9:$G$101,6,FALSE),VLOOKUP(D1512,[3]Extended!$B$9:$H$101,7,FALSE)))),0)</f>
        <v>0</v>
      </c>
      <c r="O1512" s="269">
        <f>IFERROR(IF(BA1512="WIP - 30 Days",VLOOKUP(D1512,[3]Extended!$B$9:$J$101,9,FALSE),IF(BA1512="31-120 Days",VLOOKUP(D1512,[3]Extended!$B$9:$K$101,10,FALSE),IF(BA1512="121-365 Days",VLOOKUP(D1512,[3]Extended!$B$9:$L$101,11,FALSE),VLOOKUP(D1512,[3]Extended!$B$9:$M$101,12,FALSE)))),0)</f>
        <v>0</v>
      </c>
      <c r="P1512" s="116" t="e">
        <f t="shared" si="116"/>
        <v>#VALUE!</v>
      </c>
      <c r="Q1512" s="110" t="e">
        <f>O1512-#REF!</f>
        <v>#REF!</v>
      </c>
      <c r="AT1512" s="88" t="str">
        <f t="shared" si="117"/>
        <v>Special Order0</v>
      </c>
      <c r="AU1512" s="89" t="str">
        <f t="shared" si="118"/>
        <v>01-1900</v>
      </c>
      <c r="BA1512" s="92" t="str">
        <f t="shared" si="119"/>
        <v/>
      </c>
    </row>
    <row r="1513" spans="2:53">
      <c r="B1513" s="60">
        <f>[2]Trucks!A1510</f>
        <v>0</v>
      </c>
      <c r="C1513" s="11">
        <f>[2]Trucks!B1510</f>
        <v>0</v>
      </c>
      <c r="D1513" s="19" t="str">
        <f>IFERROR(VLOOKUP(C1513&amp;"",'[2]Retail Price List'!$A$3:$B$103,2,FALSE),"Special Order")</f>
        <v>Special Order</v>
      </c>
      <c r="E1513" s="18">
        <f>[2]Trucks!J1510</f>
        <v>0</v>
      </c>
      <c r="F1513" s="12">
        <f>[2]Trucks!E1510</f>
        <v>0</v>
      </c>
      <c r="G1513" s="56">
        <f>[2]Trucks!K1510</f>
        <v>0</v>
      </c>
      <c r="H1513" s="46">
        <f>[2]Trucks!I1510</f>
        <v>0</v>
      </c>
      <c r="I1513" s="83" t="str">
        <f t="shared" si="115"/>
        <v/>
      </c>
      <c r="J1513" s="272" t="str">
        <f>IFERROR(VLOOKUP((D1513&amp;C1513)&amp;"",'[2]Retail Price List'!$C$4:$F$102,3,FALSE),"")</f>
        <v/>
      </c>
      <c r="K1513" s="272">
        <f>IFERROR(IF(BA1513="WIP - 30 Days",VLOOKUP(D1513,[3]Standard!$B$9:$E$101,4,FALSE),IF(BA1513="31-120 Days",VLOOKUP(D1513,[3]Standard!$B$9:$F$101,5,FALSE),IF(BA1513="121-365 Days",VLOOKUP(D1513,[3]Standard!$B$9:$G$101,6,FALSE),VLOOKUP(D1513,[3]Standard!$B$9:$H$101,7,FALSE)))),0)</f>
        <v>0</v>
      </c>
      <c r="L1513" s="272">
        <f>IFERROR(IF(BA1513="WIP - 30 Days",VLOOKUP(D1513,[3]Standard!$B$9:$J$101,9,FALSE),IF(BA1513="31-120 Days",VLOOKUP(D1513,[3]Standard!$B$9:$K$100,10,FALSE),IF(BA1513="121-365 Days",VLOOKUP(D1513,[3]Standard!$B$9:$L$101,11,FALSE),VLOOKUP(D1513,[3]Standard!$B$9:$M$101,12,FALSE)))),0)</f>
        <v>0</v>
      </c>
      <c r="M1513" s="269" t="str">
        <f>IFERROR(VLOOKUP((D1513&amp;C1513)&amp;"",'[2]Retail Price List'!$C$4:$F$102,4,FALSE),"")</f>
        <v/>
      </c>
      <c r="N1513" s="269">
        <f>IFERROR(IF(BA1513="WIP - 30 Days",VLOOKUP(D1513,[3]Extended!$B$9:$E$101,4,FALSE),IF(BA1513="31-120 Days",VLOOKUP(D1513,[3]Extended!$B$9:$F$101,5,FALSE),IF(BA1513="121-365 Days",VLOOKUP(D1513,[3]Extended!$B$9:$G$101,6,FALSE),VLOOKUP(D1513,[3]Extended!$B$9:$H$101,7,FALSE)))),0)</f>
        <v>0</v>
      </c>
      <c r="O1513" s="269">
        <f>IFERROR(IF(BA1513="WIP - 30 Days",VLOOKUP(D1513,[3]Extended!$B$9:$J$101,9,FALSE),IF(BA1513="31-120 Days",VLOOKUP(D1513,[3]Extended!$B$9:$K$101,10,FALSE),IF(BA1513="121-365 Days",VLOOKUP(D1513,[3]Extended!$B$9:$L$101,11,FALSE),VLOOKUP(D1513,[3]Extended!$B$9:$M$101,12,FALSE)))),0)</f>
        <v>0</v>
      </c>
      <c r="P1513" s="116" t="e">
        <f t="shared" si="116"/>
        <v>#VALUE!</v>
      </c>
      <c r="Q1513" s="110" t="e">
        <f>O1513-#REF!</f>
        <v>#REF!</v>
      </c>
      <c r="AT1513" s="88" t="str">
        <f t="shared" si="117"/>
        <v>Special Order0</v>
      </c>
      <c r="AU1513" s="89" t="str">
        <f t="shared" si="118"/>
        <v>01-1900</v>
      </c>
      <c r="BA1513" s="92" t="str">
        <f t="shared" si="119"/>
        <v/>
      </c>
    </row>
    <row r="1514" spans="2:53">
      <c r="B1514" s="60">
        <f>[2]Trucks!A1511</f>
        <v>0</v>
      </c>
      <c r="C1514" s="11">
        <f>[2]Trucks!B1511</f>
        <v>0</v>
      </c>
      <c r="D1514" s="19" t="str">
        <f>IFERROR(VLOOKUP(C1514&amp;"",'[2]Retail Price List'!$A$3:$B$103,2,FALSE),"Special Order")</f>
        <v>Special Order</v>
      </c>
      <c r="E1514" s="18">
        <f>[2]Trucks!J1511</f>
        <v>0</v>
      </c>
      <c r="F1514" s="12">
        <f>[2]Trucks!E1511</f>
        <v>0</v>
      </c>
      <c r="G1514" s="56">
        <f>[2]Trucks!K1511</f>
        <v>0</v>
      </c>
      <c r="H1514" s="46">
        <f>[2]Trucks!I1511</f>
        <v>0</v>
      </c>
      <c r="I1514" s="83" t="str">
        <f t="shared" si="115"/>
        <v/>
      </c>
      <c r="J1514" s="272" t="str">
        <f>IFERROR(VLOOKUP((D1514&amp;C1514)&amp;"",'[2]Retail Price List'!$C$4:$F$102,3,FALSE),"")</f>
        <v/>
      </c>
      <c r="K1514" s="272">
        <f>IFERROR(IF(BA1514="WIP - 30 Days",VLOOKUP(D1514,[3]Standard!$B$9:$E$101,4,FALSE),IF(BA1514="31-120 Days",VLOOKUP(D1514,[3]Standard!$B$9:$F$101,5,FALSE),IF(BA1514="121-365 Days",VLOOKUP(D1514,[3]Standard!$B$9:$G$101,6,FALSE),VLOOKUP(D1514,[3]Standard!$B$9:$H$101,7,FALSE)))),0)</f>
        <v>0</v>
      </c>
      <c r="L1514" s="272">
        <f>IFERROR(IF(BA1514="WIP - 30 Days",VLOOKUP(D1514,[3]Standard!$B$9:$J$101,9,FALSE),IF(BA1514="31-120 Days",VLOOKUP(D1514,[3]Standard!$B$9:$K$100,10,FALSE),IF(BA1514="121-365 Days",VLOOKUP(D1514,[3]Standard!$B$9:$L$101,11,FALSE),VLOOKUP(D1514,[3]Standard!$B$9:$M$101,12,FALSE)))),0)</f>
        <v>0</v>
      </c>
      <c r="M1514" s="269" t="str">
        <f>IFERROR(VLOOKUP((D1514&amp;C1514)&amp;"",'[2]Retail Price List'!$C$4:$F$102,4,FALSE),"")</f>
        <v/>
      </c>
      <c r="N1514" s="269">
        <f>IFERROR(IF(BA1514="WIP - 30 Days",VLOOKUP(D1514,[3]Extended!$B$9:$E$101,4,FALSE),IF(BA1514="31-120 Days",VLOOKUP(D1514,[3]Extended!$B$9:$F$101,5,FALSE),IF(BA1514="121-365 Days",VLOOKUP(D1514,[3]Extended!$B$9:$G$101,6,FALSE),VLOOKUP(D1514,[3]Extended!$B$9:$H$101,7,FALSE)))),0)</f>
        <v>0</v>
      </c>
      <c r="O1514" s="269">
        <f>IFERROR(IF(BA1514="WIP - 30 Days",VLOOKUP(D1514,[3]Extended!$B$9:$J$101,9,FALSE),IF(BA1514="31-120 Days",VLOOKUP(D1514,[3]Extended!$B$9:$K$101,10,FALSE),IF(BA1514="121-365 Days",VLOOKUP(D1514,[3]Extended!$B$9:$L$101,11,FALSE),VLOOKUP(D1514,[3]Extended!$B$9:$M$101,12,FALSE)))),0)</f>
        <v>0</v>
      </c>
      <c r="P1514" s="116" t="e">
        <f t="shared" si="116"/>
        <v>#VALUE!</v>
      </c>
      <c r="Q1514" s="110" t="e">
        <f>O1514-#REF!</f>
        <v>#REF!</v>
      </c>
      <c r="AT1514" s="88" t="str">
        <f t="shared" si="117"/>
        <v>Special Order0</v>
      </c>
      <c r="AU1514" s="89" t="str">
        <f t="shared" si="118"/>
        <v>01-1900</v>
      </c>
      <c r="BA1514" s="92" t="str">
        <f t="shared" si="119"/>
        <v/>
      </c>
    </row>
    <row r="1515" spans="2:53">
      <c r="B1515" s="60">
        <f>[2]Trucks!A1512</f>
        <v>0</v>
      </c>
      <c r="C1515" s="11">
        <f>[2]Trucks!B1512</f>
        <v>0</v>
      </c>
      <c r="D1515" s="19" t="str">
        <f>IFERROR(VLOOKUP(C1515&amp;"",'[2]Retail Price List'!$A$3:$B$103,2,FALSE),"Special Order")</f>
        <v>Special Order</v>
      </c>
      <c r="E1515" s="18">
        <f>[2]Trucks!J1512</f>
        <v>0</v>
      </c>
      <c r="F1515" s="12">
        <f>[2]Trucks!E1512</f>
        <v>0</v>
      </c>
      <c r="G1515" s="56">
        <f>[2]Trucks!K1512</f>
        <v>0</v>
      </c>
      <c r="H1515" s="46">
        <f>[2]Trucks!I1512</f>
        <v>0</v>
      </c>
      <c r="I1515" s="83" t="str">
        <f t="shared" si="115"/>
        <v/>
      </c>
      <c r="J1515" s="272" t="str">
        <f>IFERROR(VLOOKUP((D1515&amp;C1515)&amp;"",'[2]Retail Price List'!$C$4:$F$102,3,FALSE),"")</f>
        <v/>
      </c>
      <c r="K1515" s="272">
        <f>IFERROR(IF(BA1515="WIP - 30 Days",VLOOKUP(D1515,[3]Standard!$B$9:$E$101,4,FALSE),IF(BA1515="31-120 Days",VLOOKUP(D1515,[3]Standard!$B$9:$F$101,5,FALSE),IF(BA1515="121-365 Days",VLOOKUP(D1515,[3]Standard!$B$9:$G$101,6,FALSE),VLOOKUP(D1515,[3]Standard!$B$9:$H$101,7,FALSE)))),0)</f>
        <v>0</v>
      </c>
      <c r="L1515" s="272">
        <f>IFERROR(IF(BA1515="WIP - 30 Days",VLOOKUP(D1515,[3]Standard!$B$9:$J$101,9,FALSE),IF(BA1515="31-120 Days",VLOOKUP(D1515,[3]Standard!$B$9:$K$100,10,FALSE),IF(BA1515="121-365 Days",VLOOKUP(D1515,[3]Standard!$B$9:$L$101,11,FALSE),VLOOKUP(D1515,[3]Standard!$B$9:$M$101,12,FALSE)))),0)</f>
        <v>0</v>
      </c>
      <c r="M1515" s="269" t="str">
        <f>IFERROR(VLOOKUP((D1515&amp;C1515)&amp;"",'[2]Retail Price List'!$C$4:$F$102,4,FALSE),"")</f>
        <v/>
      </c>
      <c r="N1515" s="269">
        <f>IFERROR(IF(BA1515="WIP - 30 Days",VLOOKUP(D1515,[3]Extended!$B$9:$E$101,4,FALSE),IF(BA1515="31-120 Days",VLOOKUP(D1515,[3]Extended!$B$9:$F$101,5,FALSE),IF(BA1515="121-365 Days",VLOOKUP(D1515,[3]Extended!$B$9:$G$101,6,FALSE),VLOOKUP(D1515,[3]Extended!$B$9:$H$101,7,FALSE)))),0)</f>
        <v>0</v>
      </c>
      <c r="O1515" s="269">
        <f>IFERROR(IF(BA1515="WIP - 30 Days",VLOOKUP(D1515,[3]Extended!$B$9:$J$101,9,FALSE),IF(BA1515="31-120 Days",VLOOKUP(D1515,[3]Extended!$B$9:$K$101,10,FALSE),IF(BA1515="121-365 Days",VLOOKUP(D1515,[3]Extended!$B$9:$L$101,11,FALSE),VLOOKUP(D1515,[3]Extended!$B$9:$M$101,12,FALSE)))),0)</f>
        <v>0</v>
      </c>
      <c r="P1515" s="116" t="e">
        <f t="shared" si="116"/>
        <v>#VALUE!</v>
      </c>
      <c r="Q1515" s="110" t="e">
        <f>O1515-#REF!</f>
        <v>#REF!</v>
      </c>
      <c r="AT1515" s="88" t="str">
        <f t="shared" si="117"/>
        <v>Special Order0</v>
      </c>
      <c r="AU1515" s="89" t="str">
        <f t="shared" si="118"/>
        <v>01-1900</v>
      </c>
      <c r="BA1515" s="92" t="str">
        <f t="shared" si="119"/>
        <v/>
      </c>
    </row>
    <row r="1516" spans="2:53">
      <c r="B1516" s="60">
        <f>[2]Trucks!A1513</f>
        <v>0</v>
      </c>
      <c r="C1516" s="11">
        <f>[2]Trucks!B1513</f>
        <v>0</v>
      </c>
      <c r="D1516" s="19" t="str">
        <f>IFERROR(VLOOKUP(C1516&amp;"",'[2]Retail Price List'!$A$3:$B$103,2,FALSE),"Special Order")</f>
        <v>Special Order</v>
      </c>
      <c r="E1516" s="18">
        <f>[2]Trucks!J1513</f>
        <v>0</v>
      </c>
      <c r="F1516" s="12">
        <f>[2]Trucks!E1513</f>
        <v>0</v>
      </c>
      <c r="G1516" s="56">
        <f>[2]Trucks!K1513</f>
        <v>0</v>
      </c>
      <c r="H1516" s="46">
        <f>[2]Trucks!I1513</f>
        <v>0</v>
      </c>
      <c r="I1516" s="83" t="str">
        <f t="shared" si="115"/>
        <v/>
      </c>
      <c r="J1516" s="272" t="str">
        <f>IFERROR(VLOOKUP((D1516&amp;C1516)&amp;"",'[2]Retail Price List'!$C$4:$F$102,3,FALSE),"")</f>
        <v/>
      </c>
      <c r="K1516" s="272">
        <f>IFERROR(IF(BA1516="WIP - 30 Days",VLOOKUP(D1516,[3]Standard!$B$9:$E$101,4,FALSE),IF(BA1516="31-120 Days",VLOOKUP(D1516,[3]Standard!$B$9:$F$101,5,FALSE),IF(BA1516="121-365 Days",VLOOKUP(D1516,[3]Standard!$B$9:$G$101,6,FALSE),VLOOKUP(D1516,[3]Standard!$B$9:$H$101,7,FALSE)))),0)</f>
        <v>0</v>
      </c>
      <c r="L1516" s="272">
        <f>IFERROR(IF(BA1516="WIP - 30 Days",VLOOKUP(D1516,[3]Standard!$B$9:$J$101,9,FALSE),IF(BA1516="31-120 Days",VLOOKUP(D1516,[3]Standard!$B$9:$K$100,10,FALSE),IF(BA1516="121-365 Days",VLOOKUP(D1516,[3]Standard!$B$9:$L$101,11,FALSE),VLOOKUP(D1516,[3]Standard!$B$9:$M$101,12,FALSE)))),0)</f>
        <v>0</v>
      </c>
      <c r="M1516" s="269" t="str">
        <f>IFERROR(VLOOKUP((D1516&amp;C1516)&amp;"",'[2]Retail Price List'!$C$4:$F$102,4,FALSE),"")</f>
        <v/>
      </c>
      <c r="N1516" s="269">
        <f>IFERROR(IF(BA1516="WIP - 30 Days",VLOOKUP(D1516,[3]Extended!$B$9:$E$101,4,FALSE),IF(BA1516="31-120 Days",VLOOKUP(D1516,[3]Extended!$B$9:$F$101,5,FALSE),IF(BA1516="121-365 Days",VLOOKUP(D1516,[3]Extended!$B$9:$G$101,6,FALSE),VLOOKUP(D1516,[3]Extended!$B$9:$H$101,7,FALSE)))),0)</f>
        <v>0</v>
      </c>
      <c r="O1516" s="269">
        <f>IFERROR(IF(BA1516="WIP - 30 Days",VLOOKUP(D1516,[3]Extended!$B$9:$J$101,9,FALSE),IF(BA1516="31-120 Days",VLOOKUP(D1516,[3]Extended!$B$9:$K$101,10,FALSE),IF(BA1516="121-365 Days",VLOOKUP(D1516,[3]Extended!$B$9:$L$101,11,FALSE),VLOOKUP(D1516,[3]Extended!$B$9:$M$101,12,FALSE)))),0)</f>
        <v>0</v>
      </c>
      <c r="P1516" s="116" t="e">
        <f t="shared" si="116"/>
        <v>#VALUE!</v>
      </c>
      <c r="Q1516" s="110" t="e">
        <f>O1516-#REF!</f>
        <v>#REF!</v>
      </c>
      <c r="AT1516" s="88" t="str">
        <f t="shared" si="117"/>
        <v>Special Order0</v>
      </c>
      <c r="AU1516" s="89" t="str">
        <f t="shared" si="118"/>
        <v>01-1900</v>
      </c>
      <c r="BA1516" s="92" t="str">
        <f t="shared" si="119"/>
        <v/>
      </c>
    </row>
    <row r="1517" spans="2:53">
      <c r="B1517" s="60">
        <f>[2]Trucks!A1514</f>
        <v>0</v>
      </c>
      <c r="C1517" s="11">
        <f>[2]Trucks!B1514</f>
        <v>0</v>
      </c>
      <c r="D1517" s="19" t="str">
        <f>IFERROR(VLOOKUP(C1517&amp;"",'[2]Retail Price List'!$A$3:$B$103,2,FALSE),"Special Order")</f>
        <v>Special Order</v>
      </c>
      <c r="E1517" s="18">
        <f>[2]Trucks!J1514</f>
        <v>0</v>
      </c>
      <c r="F1517" s="12">
        <f>[2]Trucks!E1514</f>
        <v>0</v>
      </c>
      <c r="G1517" s="56">
        <f>[2]Trucks!K1514</f>
        <v>0</v>
      </c>
      <c r="H1517" s="46">
        <f>[2]Trucks!I1514</f>
        <v>0</v>
      </c>
      <c r="I1517" s="83" t="str">
        <f t="shared" si="115"/>
        <v/>
      </c>
      <c r="J1517" s="272" t="str">
        <f>IFERROR(VLOOKUP((D1517&amp;C1517)&amp;"",'[2]Retail Price List'!$C$4:$F$102,3,FALSE),"")</f>
        <v/>
      </c>
      <c r="K1517" s="272">
        <f>IFERROR(IF(BA1517="WIP - 30 Days",VLOOKUP(D1517,[3]Standard!$B$9:$E$101,4,FALSE),IF(BA1517="31-120 Days",VLOOKUP(D1517,[3]Standard!$B$9:$F$101,5,FALSE),IF(BA1517="121-365 Days",VLOOKUP(D1517,[3]Standard!$B$9:$G$101,6,FALSE),VLOOKUP(D1517,[3]Standard!$B$9:$H$101,7,FALSE)))),0)</f>
        <v>0</v>
      </c>
      <c r="L1517" s="272">
        <f>IFERROR(IF(BA1517="WIP - 30 Days",VLOOKUP(D1517,[3]Standard!$B$9:$J$101,9,FALSE),IF(BA1517="31-120 Days",VLOOKUP(D1517,[3]Standard!$B$9:$K$100,10,FALSE),IF(BA1517="121-365 Days",VLOOKUP(D1517,[3]Standard!$B$9:$L$101,11,FALSE),VLOOKUP(D1517,[3]Standard!$B$9:$M$101,12,FALSE)))),0)</f>
        <v>0</v>
      </c>
      <c r="M1517" s="269" t="str">
        <f>IFERROR(VLOOKUP((D1517&amp;C1517)&amp;"",'[2]Retail Price List'!$C$4:$F$102,4,FALSE),"")</f>
        <v/>
      </c>
      <c r="N1517" s="269">
        <f>IFERROR(IF(BA1517="WIP - 30 Days",VLOOKUP(D1517,[3]Extended!$B$9:$E$101,4,FALSE),IF(BA1517="31-120 Days",VLOOKUP(D1517,[3]Extended!$B$9:$F$101,5,FALSE),IF(BA1517="121-365 Days",VLOOKUP(D1517,[3]Extended!$B$9:$G$101,6,FALSE),VLOOKUP(D1517,[3]Extended!$B$9:$H$101,7,FALSE)))),0)</f>
        <v>0</v>
      </c>
      <c r="O1517" s="269">
        <f>IFERROR(IF(BA1517="WIP - 30 Days",VLOOKUP(D1517,[3]Extended!$B$9:$J$101,9,FALSE),IF(BA1517="31-120 Days",VLOOKUP(D1517,[3]Extended!$B$9:$K$101,10,FALSE),IF(BA1517="121-365 Days",VLOOKUP(D1517,[3]Extended!$B$9:$L$101,11,FALSE),VLOOKUP(D1517,[3]Extended!$B$9:$M$101,12,FALSE)))),0)</f>
        <v>0</v>
      </c>
      <c r="P1517" s="116" t="e">
        <f t="shared" si="116"/>
        <v>#VALUE!</v>
      </c>
      <c r="Q1517" s="110" t="e">
        <f>O1517-#REF!</f>
        <v>#REF!</v>
      </c>
      <c r="AT1517" s="88" t="str">
        <f t="shared" si="117"/>
        <v>Special Order0</v>
      </c>
      <c r="AU1517" s="89" t="str">
        <f t="shared" si="118"/>
        <v>01-1900</v>
      </c>
      <c r="BA1517" s="92" t="str">
        <f t="shared" si="119"/>
        <v/>
      </c>
    </row>
    <row r="1518" spans="2:53">
      <c r="B1518" s="60">
        <f>[2]Trucks!A1515</f>
        <v>0</v>
      </c>
      <c r="C1518" s="11">
        <f>[2]Trucks!B1515</f>
        <v>0</v>
      </c>
      <c r="D1518" s="19" t="str">
        <f>IFERROR(VLOOKUP(C1518&amp;"",'[2]Retail Price List'!$A$3:$B$103,2,FALSE),"Special Order")</f>
        <v>Special Order</v>
      </c>
      <c r="E1518" s="18">
        <f>[2]Trucks!J1515</f>
        <v>0</v>
      </c>
      <c r="F1518" s="12">
        <f>[2]Trucks!E1515</f>
        <v>0</v>
      </c>
      <c r="G1518" s="56">
        <f>[2]Trucks!K1515</f>
        <v>0</v>
      </c>
      <c r="H1518" s="46">
        <f>[2]Trucks!I1515</f>
        <v>0</v>
      </c>
      <c r="I1518" s="83" t="str">
        <f t="shared" si="115"/>
        <v/>
      </c>
      <c r="J1518" s="272" t="str">
        <f>IFERROR(VLOOKUP((D1518&amp;C1518)&amp;"",'[2]Retail Price List'!$C$4:$F$102,3,FALSE),"")</f>
        <v/>
      </c>
      <c r="K1518" s="272">
        <f>IFERROR(IF(BA1518="WIP - 30 Days",VLOOKUP(D1518,[3]Standard!$B$9:$E$101,4,FALSE),IF(BA1518="31-120 Days",VLOOKUP(D1518,[3]Standard!$B$9:$F$101,5,FALSE),IF(BA1518="121-365 Days",VLOOKUP(D1518,[3]Standard!$B$9:$G$101,6,FALSE),VLOOKUP(D1518,[3]Standard!$B$9:$H$101,7,FALSE)))),0)</f>
        <v>0</v>
      </c>
      <c r="L1518" s="272">
        <f>IFERROR(IF(BA1518="WIP - 30 Days",VLOOKUP(D1518,[3]Standard!$B$9:$J$101,9,FALSE),IF(BA1518="31-120 Days",VLOOKUP(D1518,[3]Standard!$B$9:$K$100,10,FALSE),IF(BA1518="121-365 Days",VLOOKUP(D1518,[3]Standard!$B$9:$L$101,11,FALSE),VLOOKUP(D1518,[3]Standard!$B$9:$M$101,12,FALSE)))),0)</f>
        <v>0</v>
      </c>
      <c r="M1518" s="269" t="str">
        <f>IFERROR(VLOOKUP((D1518&amp;C1518)&amp;"",'[2]Retail Price List'!$C$4:$F$102,4,FALSE),"")</f>
        <v/>
      </c>
      <c r="N1518" s="269">
        <f>IFERROR(IF(BA1518="WIP - 30 Days",VLOOKUP(D1518,[3]Extended!$B$9:$E$101,4,FALSE),IF(BA1518="31-120 Days",VLOOKUP(D1518,[3]Extended!$B$9:$F$101,5,FALSE),IF(BA1518="121-365 Days",VLOOKUP(D1518,[3]Extended!$B$9:$G$101,6,FALSE),VLOOKUP(D1518,[3]Extended!$B$9:$H$101,7,FALSE)))),0)</f>
        <v>0</v>
      </c>
      <c r="O1518" s="269">
        <f>IFERROR(IF(BA1518="WIP - 30 Days",VLOOKUP(D1518,[3]Extended!$B$9:$J$101,9,FALSE),IF(BA1518="31-120 Days",VLOOKUP(D1518,[3]Extended!$B$9:$K$101,10,FALSE),IF(BA1518="121-365 Days",VLOOKUP(D1518,[3]Extended!$B$9:$L$101,11,FALSE),VLOOKUP(D1518,[3]Extended!$B$9:$M$101,12,FALSE)))),0)</f>
        <v>0</v>
      </c>
      <c r="P1518" s="116" t="e">
        <f t="shared" si="116"/>
        <v>#VALUE!</v>
      </c>
      <c r="Q1518" s="110" t="e">
        <f>O1518-#REF!</f>
        <v>#REF!</v>
      </c>
      <c r="AT1518" s="88" t="str">
        <f t="shared" si="117"/>
        <v>Special Order0</v>
      </c>
      <c r="AU1518" s="89" t="str">
        <f t="shared" si="118"/>
        <v>01-1900</v>
      </c>
      <c r="BA1518" s="92" t="str">
        <f t="shared" si="119"/>
        <v/>
      </c>
    </row>
    <row r="1519" spans="2:53">
      <c r="B1519" s="60">
        <f>[2]Trucks!A1516</f>
        <v>0</v>
      </c>
      <c r="C1519" s="11">
        <f>[2]Trucks!B1516</f>
        <v>0</v>
      </c>
      <c r="D1519" s="19" t="str">
        <f>IFERROR(VLOOKUP(C1519&amp;"",'[2]Retail Price List'!$A$3:$B$103,2,FALSE),"Special Order")</f>
        <v>Special Order</v>
      </c>
      <c r="E1519" s="18">
        <f>[2]Trucks!J1516</f>
        <v>0</v>
      </c>
      <c r="F1519" s="12">
        <f>[2]Trucks!E1516</f>
        <v>0</v>
      </c>
      <c r="G1519" s="56">
        <f>[2]Trucks!K1516</f>
        <v>0</v>
      </c>
      <c r="H1519" s="46">
        <f>[2]Trucks!I1516</f>
        <v>0</v>
      </c>
      <c r="I1519" s="83" t="str">
        <f t="shared" si="115"/>
        <v/>
      </c>
      <c r="J1519" s="272" t="str">
        <f>IFERROR(VLOOKUP((D1519&amp;C1519)&amp;"",'[2]Retail Price List'!$C$4:$F$102,3,FALSE),"")</f>
        <v/>
      </c>
      <c r="K1519" s="272">
        <f>IFERROR(IF(BA1519="WIP - 30 Days",VLOOKUP(D1519,[3]Standard!$B$9:$E$101,4,FALSE),IF(BA1519="31-120 Days",VLOOKUP(D1519,[3]Standard!$B$9:$F$101,5,FALSE),IF(BA1519="121-365 Days",VLOOKUP(D1519,[3]Standard!$B$9:$G$101,6,FALSE),VLOOKUP(D1519,[3]Standard!$B$9:$H$101,7,FALSE)))),0)</f>
        <v>0</v>
      </c>
      <c r="L1519" s="272">
        <f>IFERROR(IF(BA1519="WIP - 30 Days",VLOOKUP(D1519,[3]Standard!$B$9:$J$101,9,FALSE),IF(BA1519="31-120 Days",VLOOKUP(D1519,[3]Standard!$B$9:$K$100,10,FALSE),IF(BA1519="121-365 Days",VLOOKUP(D1519,[3]Standard!$B$9:$L$101,11,FALSE),VLOOKUP(D1519,[3]Standard!$B$9:$M$101,12,FALSE)))),0)</f>
        <v>0</v>
      </c>
      <c r="M1519" s="269" t="str">
        <f>IFERROR(VLOOKUP((D1519&amp;C1519)&amp;"",'[2]Retail Price List'!$C$4:$F$102,4,FALSE),"")</f>
        <v/>
      </c>
      <c r="N1519" s="269">
        <f>IFERROR(IF(BA1519="WIP - 30 Days",VLOOKUP(D1519,[3]Extended!$B$9:$E$101,4,FALSE),IF(BA1519="31-120 Days",VLOOKUP(D1519,[3]Extended!$B$9:$F$101,5,FALSE),IF(BA1519="121-365 Days",VLOOKUP(D1519,[3]Extended!$B$9:$G$101,6,FALSE),VLOOKUP(D1519,[3]Extended!$B$9:$H$101,7,FALSE)))),0)</f>
        <v>0</v>
      </c>
      <c r="O1519" s="269">
        <f>IFERROR(IF(BA1519="WIP - 30 Days",VLOOKUP(D1519,[3]Extended!$B$9:$J$101,9,FALSE),IF(BA1519="31-120 Days",VLOOKUP(D1519,[3]Extended!$B$9:$K$101,10,FALSE),IF(BA1519="121-365 Days",VLOOKUP(D1519,[3]Extended!$B$9:$L$101,11,FALSE),VLOOKUP(D1519,[3]Extended!$B$9:$M$101,12,FALSE)))),0)</f>
        <v>0</v>
      </c>
      <c r="P1519" s="116" t="e">
        <f t="shared" si="116"/>
        <v>#VALUE!</v>
      </c>
      <c r="Q1519" s="110" t="e">
        <f>O1519-#REF!</f>
        <v>#REF!</v>
      </c>
      <c r="AT1519" s="88" t="str">
        <f t="shared" si="117"/>
        <v>Special Order0</v>
      </c>
      <c r="AU1519" s="89" t="str">
        <f t="shared" si="118"/>
        <v>01-1900</v>
      </c>
      <c r="BA1519" s="92" t="str">
        <f t="shared" si="119"/>
        <v/>
      </c>
    </row>
    <row r="1520" spans="2:53">
      <c r="B1520" s="60">
        <f>[2]Trucks!A1517</f>
        <v>0</v>
      </c>
      <c r="C1520" s="11">
        <f>[2]Trucks!B1517</f>
        <v>0</v>
      </c>
      <c r="D1520" s="19" t="str">
        <f>IFERROR(VLOOKUP(C1520&amp;"",'[2]Retail Price List'!$A$3:$B$103,2,FALSE),"Special Order")</f>
        <v>Special Order</v>
      </c>
      <c r="E1520" s="18">
        <f>[2]Trucks!J1517</f>
        <v>0</v>
      </c>
      <c r="F1520" s="12">
        <f>[2]Trucks!E1517</f>
        <v>0</v>
      </c>
      <c r="G1520" s="56">
        <f>[2]Trucks!K1517</f>
        <v>0</v>
      </c>
      <c r="H1520" s="46">
        <f>[2]Trucks!I1517</f>
        <v>0</v>
      </c>
      <c r="I1520" s="83" t="str">
        <f t="shared" si="115"/>
        <v/>
      </c>
      <c r="J1520" s="272" t="str">
        <f>IFERROR(VLOOKUP((D1520&amp;C1520)&amp;"",'[2]Retail Price List'!$C$4:$F$102,3,FALSE),"")</f>
        <v/>
      </c>
      <c r="K1520" s="272">
        <f>IFERROR(IF(BA1520="WIP - 30 Days",VLOOKUP(D1520,[3]Standard!$B$9:$E$101,4,FALSE),IF(BA1520="31-120 Days",VLOOKUP(D1520,[3]Standard!$B$9:$F$101,5,FALSE),IF(BA1520="121-365 Days",VLOOKUP(D1520,[3]Standard!$B$9:$G$101,6,FALSE),VLOOKUP(D1520,[3]Standard!$B$9:$H$101,7,FALSE)))),0)</f>
        <v>0</v>
      </c>
      <c r="L1520" s="272">
        <f>IFERROR(IF(BA1520="WIP - 30 Days",VLOOKUP(D1520,[3]Standard!$B$9:$J$101,9,FALSE),IF(BA1520="31-120 Days",VLOOKUP(D1520,[3]Standard!$B$9:$K$100,10,FALSE),IF(BA1520="121-365 Days",VLOOKUP(D1520,[3]Standard!$B$9:$L$101,11,FALSE),VLOOKUP(D1520,[3]Standard!$B$9:$M$101,12,FALSE)))),0)</f>
        <v>0</v>
      </c>
      <c r="M1520" s="269" t="str">
        <f>IFERROR(VLOOKUP((D1520&amp;C1520)&amp;"",'[2]Retail Price List'!$C$4:$F$102,4,FALSE),"")</f>
        <v/>
      </c>
      <c r="N1520" s="269">
        <f>IFERROR(IF(BA1520="WIP - 30 Days",VLOOKUP(D1520,[3]Extended!$B$9:$E$101,4,FALSE),IF(BA1520="31-120 Days",VLOOKUP(D1520,[3]Extended!$B$9:$F$101,5,FALSE),IF(BA1520="121-365 Days",VLOOKUP(D1520,[3]Extended!$B$9:$G$101,6,FALSE),VLOOKUP(D1520,[3]Extended!$B$9:$H$101,7,FALSE)))),0)</f>
        <v>0</v>
      </c>
      <c r="O1520" s="269">
        <f>IFERROR(IF(BA1520="WIP - 30 Days",VLOOKUP(D1520,[3]Extended!$B$9:$J$101,9,FALSE),IF(BA1520="31-120 Days",VLOOKUP(D1520,[3]Extended!$B$9:$K$101,10,FALSE),IF(BA1520="121-365 Days",VLOOKUP(D1520,[3]Extended!$B$9:$L$101,11,FALSE),VLOOKUP(D1520,[3]Extended!$B$9:$M$101,12,FALSE)))),0)</f>
        <v>0</v>
      </c>
      <c r="P1520" s="116" t="e">
        <f t="shared" si="116"/>
        <v>#VALUE!</v>
      </c>
      <c r="Q1520" s="110" t="e">
        <f>O1520-#REF!</f>
        <v>#REF!</v>
      </c>
      <c r="AT1520" s="88" t="str">
        <f t="shared" si="117"/>
        <v>Special Order0</v>
      </c>
      <c r="AU1520" s="89" t="str">
        <f t="shared" si="118"/>
        <v>01-1900</v>
      </c>
      <c r="BA1520" s="92" t="str">
        <f t="shared" si="119"/>
        <v/>
      </c>
    </row>
    <row r="1521" spans="2:53">
      <c r="B1521" s="60">
        <f>[2]Trucks!A1518</f>
        <v>0</v>
      </c>
      <c r="C1521" s="11">
        <f>[2]Trucks!B1518</f>
        <v>0</v>
      </c>
      <c r="D1521" s="19" t="str">
        <f>IFERROR(VLOOKUP(C1521&amp;"",'[2]Retail Price List'!$A$3:$B$103,2,FALSE),"Special Order")</f>
        <v>Special Order</v>
      </c>
      <c r="E1521" s="18">
        <f>[2]Trucks!J1518</f>
        <v>0</v>
      </c>
      <c r="F1521" s="12">
        <f>[2]Trucks!E1518</f>
        <v>0</v>
      </c>
      <c r="G1521" s="56">
        <f>[2]Trucks!K1518</f>
        <v>0</v>
      </c>
      <c r="H1521" s="46">
        <f>[2]Trucks!I1518</f>
        <v>0</v>
      </c>
      <c r="I1521" s="83" t="str">
        <f t="shared" si="115"/>
        <v/>
      </c>
      <c r="J1521" s="272" t="str">
        <f>IFERROR(VLOOKUP((D1521&amp;C1521)&amp;"",'[2]Retail Price List'!$C$4:$F$102,3,FALSE),"")</f>
        <v/>
      </c>
      <c r="K1521" s="272">
        <f>IFERROR(IF(BA1521="WIP - 30 Days",VLOOKUP(D1521,[3]Standard!$B$9:$E$101,4,FALSE),IF(BA1521="31-120 Days",VLOOKUP(D1521,[3]Standard!$B$9:$F$101,5,FALSE),IF(BA1521="121-365 Days",VLOOKUP(D1521,[3]Standard!$B$9:$G$101,6,FALSE),VLOOKUP(D1521,[3]Standard!$B$9:$H$101,7,FALSE)))),0)</f>
        <v>0</v>
      </c>
      <c r="L1521" s="272">
        <f>IFERROR(IF(BA1521="WIP - 30 Days",VLOOKUP(D1521,[3]Standard!$B$9:$J$101,9,FALSE),IF(BA1521="31-120 Days",VLOOKUP(D1521,[3]Standard!$B$9:$K$100,10,FALSE),IF(BA1521="121-365 Days",VLOOKUP(D1521,[3]Standard!$B$9:$L$101,11,FALSE),VLOOKUP(D1521,[3]Standard!$B$9:$M$101,12,FALSE)))),0)</f>
        <v>0</v>
      </c>
      <c r="M1521" s="269" t="str">
        <f>IFERROR(VLOOKUP((D1521&amp;C1521)&amp;"",'[2]Retail Price List'!$C$4:$F$102,4,FALSE),"")</f>
        <v/>
      </c>
      <c r="N1521" s="269">
        <f>IFERROR(IF(BA1521="WIP - 30 Days",VLOOKUP(D1521,[3]Extended!$B$9:$E$101,4,FALSE),IF(BA1521="31-120 Days",VLOOKUP(D1521,[3]Extended!$B$9:$F$101,5,FALSE),IF(BA1521="121-365 Days",VLOOKUP(D1521,[3]Extended!$B$9:$G$101,6,FALSE),VLOOKUP(D1521,[3]Extended!$B$9:$H$101,7,FALSE)))),0)</f>
        <v>0</v>
      </c>
      <c r="O1521" s="269">
        <f>IFERROR(IF(BA1521="WIP - 30 Days",VLOOKUP(D1521,[3]Extended!$B$9:$J$101,9,FALSE),IF(BA1521="31-120 Days",VLOOKUP(D1521,[3]Extended!$B$9:$K$101,10,FALSE),IF(BA1521="121-365 Days",VLOOKUP(D1521,[3]Extended!$B$9:$L$101,11,FALSE),VLOOKUP(D1521,[3]Extended!$B$9:$M$101,12,FALSE)))),0)</f>
        <v>0</v>
      </c>
      <c r="P1521" s="116" t="e">
        <f t="shared" si="116"/>
        <v>#VALUE!</v>
      </c>
      <c r="Q1521" s="110" t="e">
        <f>O1521-#REF!</f>
        <v>#REF!</v>
      </c>
      <c r="AT1521" s="88" t="str">
        <f t="shared" si="117"/>
        <v>Special Order0</v>
      </c>
      <c r="AU1521" s="89" t="str">
        <f t="shared" si="118"/>
        <v>01-1900</v>
      </c>
      <c r="BA1521" s="92" t="str">
        <f t="shared" si="119"/>
        <v/>
      </c>
    </row>
    <row r="1522" spans="2:53">
      <c r="B1522" s="60">
        <f>[2]Trucks!A1519</f>
        <v>0</v>
      </c>
      <c r="C1522" s="11">
        <f>[2]Trucks!B1519</f>
        <v>0</v>
      </c>
      <c r="D1522" s="19" t="str">
        <f>IFERROR(VLOOKUP(C1522&amp;"",'[2]Retail Price List'!$A$3:$B$103,2,FALSE),"Special Order")</f>
        <v>Special Order</v>
      </c>
      <c r="E1522" s="18">
        <f>[2]Trucks!J1519</f>
        <v>0</v>
      </c>
      <c r="F1522" s="12">
        <f>[2]Trucks!E1519</f>
        <v>0</v>
      </c>
      <c r="G1522" s="56">
        <f>[2]Trucks!K1519</f>
        <v>0</v>
      </c>
      <c r="H1522" s="46">
        <f>[2]Trucks!I1519</f>
        <v>0</v>
      </c>
      <c r="I1522" s="83" t="str">
        <f t="shared" si="115"/>
        <v/>
      </c>
      <c r="J1522" s="272" t="str">
        <f>IFERROR(VLOOKUP((D1522&amp;C1522)&amp;"",'[2]Retail Price List'!$C$4:$F$102,3,FALSE),"")</f>
        <v/>
      </c>
      <c r="K1522" s="272">
        <f>IFERROR(IF(BA1522="WIP - 30 Days",VLOOKUP(D1522,[3]Standard!$B$9:$E$101,4,FALSE),IF(BA1522="31-120 Days",VLOOKUP(D1522,[3]Standard!$B$9:$F$101,5,FALSE),IF(BA1522="121-365 Days",VLOOKUP(D1522,[3]Standard!$B$9:$G$101,6,FALSE),VLOOKUP(D1522,[3]Standard!$B$9:$H$101,7,FALSE)))),0)</f>
        <v>0</v>
      </c>
      <c r="L1522" s="272">
        <f>IFERROR(IF(BA1522="WIP - 30 Days",VLOOKUP(D1522,[3]Standard!$B$9:$J$101,9,FALSE),IF(BA1522="31-120 Days",VLOOKUP(D1522,[3]Standard!$B$9:$K$100,10,FALSE),IF(BA1522="121-365 Days",VLOOKUP(D1522,[3]Standard!$B$9:$L$101,11,FALSE),VLOOKUP(D1522,[3]Standard!$B$9:$M$101,12,FALSE)))),0)</f>
        <v>0</v>
      </c>
      <c r="M1522" s="269" t="str">
        <f>IFERROR(VLOOKUP((D1522&amp;C1522)&amp;"",'[2]Retail Price List'!$C$4:$F$102,4,FALSE),"")</f>
        <v/>
      </c>
      <c r="N1522" s="269">
        <f>IFERROR(IF(BA1522="WIP - 30 Days",VLOOKUP(D1522,[3]Extended!$B$9:$E$101,4,FALSE),IF(BA1522="31-120 Days",VLOOKUP(D1522,[3]Extended!$B$9:$F$101,5,FALSE),IF(BA1522="121-365 Days",VLOOKUP(D1522,[3]Extended!$B$9:$G$101,6,FALSE),VLOOKUP(D1522,[3]Extended!$B$9:$H$101,7,FALSE)))),0)</f>
        <v>0</v>
      </c>
      <c r="O1522" s="269">
        <f>IFERROR(IF(BA1522="WIP - 30 Days",VLOOKUP(D1522,[3]Extended!$B$9:$J$101,9,FALSE),IF(BA1522="31-120 Days",VLOOKUP(D1522,[3]Extended!$B$9:$K$101,10,FALSE),IF(BA1522="121-365 Days",VLOOKUP(D1522,[3]Extended!$B$9:$L$101,11,FALSE),VLOOKUP(D1522,[3]Extended!$B$9:$M$101,12,FALSE)))),0)</f>
        <v>0</v>
      </c>
      <c r="P1522" s="116" t="e">
        <f t="shared" si="116"/>
        <v>#VALUE!</v>
      </c>
      <c r="Q1522" s="110" t="e">
        <f>O1522-#REF!</f>
        <v>#REF!</v>
      </c>
      <c r="AT1522" s="88" t="str">
        <f t="shared" si="117"/>
        <v>Special Order0</v>
      </c>
      <c r="AU1522" s="89" t="str">
        <f t="shared" si="118"/>
        <v>01-1900</v>
      </c>
      <c r="BA1522" s="92" t="str">
        <f t="shared" si="119"/>
        <v/>
      </c>
    </row>
    <row r="1523" spans="2:53">
      <c r="B1523" s="60">
        <f>[2]Trucks!A1520</f>
        <v>0</v>
      </c>
      <c r="C1523" s="11">
        <f>[2]Trucks!B1520</f>
        <v>0</v>
      </c>
      <c r="D1523" s="19" t="str">
        <f>IFERROR(VLOOKUP(C1523&amp;"",'[2]Retail Price List'!$A$3:$B$103,2,FALSE),"Special Order")</f>
        <v>Special Order</v>
      </c>
      <c r="E1523" s="18">
        <f>[2]Trucks!J1520</f>
        <v>0</v>
      </c>
      <c r="F1523" s="12">
        <f>[2]Trucks!E1520</f>
        <v>0</v>
      </c>
      <c r="G1523" s="56">
        <f>[2]Trucks!K1520</f>
        <v>0</v>
      </c>
      <c r="H1523" s="46">
        <f>[2]Trucks!I1520</f>
        <v>0</v>
      </c>
      <c r="I1523" s="83" t="str">
        <f t="shared" si="115"/>
        <v/>
      </c>
      <c r="J1523" s="272" t="str">
        <f>IFERROR(VLOOKUP((D1523&amp;C1523)&amp;"",'[2]Retail Price List'!$C$4:$F$102,3,FALSE),"")</f>
        <v/>
      </c>
      <c r="K1523" s="272">
        <f>IFERROR(IF(BA1523="WIP - 30 Days",VLOOKUP(D1523,[3]Standard!$B$9:$E$101,4,FALSE),IF(BA1523="31-120 Days",VLOOKUP(D1523,[3]Standard!$B$9:$F$101,5,FALSE),IF(BA1523="121-365 Days",VLOOKUP(D1523,[3]Standard!$B$9:$G$101,6,FALSE),VLOOKUP(D1523,[3]Standard!$B$9:$H$101,7,FALSE)))),0)</f>
        <v>0</v>
      </c>
      <c r="L1523" s="272">
        <f>IFERROR(IF(BA1523="WIP - 30 Days",VLOOKUP(D1523,[3]Standard!$B$9:$J$101,9,FALSE),IF(BA1523="31-120 Days",VLOOKUP(D1523,[3]Standard!$B$9:$K$100,10,FALSE),IF(BA1523="121-365 Days",VLOOKUP(D1523,[3]Standard!$B$9:$L$101,11,FALSE),VLOOKUP(D1523,[3]Standard!$B$9:$M$101,12,FALSE)))),0)</f>
        <v>0</v>
      </c>
      <c r="M1523" s="269" t="str">
        <f>IFERROR(VLOOKUP((D1523&amp;C1523)&amp;"",'[2]Retail Price List'!$C$4:$F$102,4,FALSE),"")</f>
        <v/>
      </c>
      <c r="N1523" s="269">
        <f>IFERROR(IF(BA1523="WIP - 30 Days",VLOOKUP(D1523,[3]Extended!$B$9:$E$101,4,FALSE),IF(BA1523="31-120 Days",VLOOKUP(D1523,[3]Extended!$B$9:$F$101,5,FALSE),IF(BA1523="121-365 Days",VLOOKUP(D1523,[3]Extended!$B$9:$G$101,6,FALSE),VLOOKUP(D1523,[3]Extended!$B$9:$H$101,7,FALSE)))),0)</f>
        <v>0</v>
      </c>
      <c r="O1523" s="269">
        <f>IFERROR(IF(BA1523="WIP - 30 Days",VLOOKUP(D1523,[3]Extended!$B$9:$J$101,9,FALSE),IF(BA1523="31-120 Days",VLOOKUP(D1523,[3]Extended!$B$9:$K$101,10,FALSE),IF(BA1523="121-365 Days",VLOOKUP(D1523,[3]Extended!$B$9:$L$101,11,FALSE),VLOOKUP(D1523,[3]Extended!$B$9:$M$101,12,FALSE)))),0)</f>
        <v>0</v>
      </c>
      <c r="P1523" s="116" t="e">
        <f t="shared" si="116"/>
        <v>#VALUE!</v>
      </c>
      <c r="Q1523" s="110" t="e">
        <f>O1523-#REF!</f>
        <v>#REF!</v>
      </c>
      <c r="AT1523" s="88" t="str">
        <f t="shared" si="117"/>
        <v>Special Order0</v>
      </c>
      <c r="AU1523" s="89" t="str">
        <f t="shared" si="118"/>
        <v>01-1900</v>
      </c>
      <c r="BA1523" s="92" t="str">
        <f t="shared" si="119"/>
        <v/>
      </c>
    </row>
    <row r="1524" spans="2:53">
      <c r="B1524" s="60">
        <f>[2]Trucks!A1521</f>
        <v>0</v>
      </c>
      <c r="C1524" s="11">
        <f>[2]Trucks!B1521</f>
        <v>0</v>
      </c>
      <c r="D1524" s="19" t="str">
        <f>IFERROR(VLOOKUP(C1524&amp;"",'[2]Retail Price List'!$A$3:$B$103,2,FALSE),"Special Order")</f>
        <v>Special Order</v>
      </c>
      <c r="E1524" s="18">
        <f>[2]Trucks!J1521</f>
        <v>0</v>
      </c>
      <c r="F1524" s="12">
        <f>[2]Trucks!E1521</f>
        <v>0</v>
      </c>
      <c r="G1524" s="56">
        <f>[2]Trucks!K1521</f>
        <v>0</v>
      </c>
      <c r="H1524" s="46">
        <f>[2]Trucks!I1521</f>
        <v>0</v>
      </c>
      <c r="I1524" s="83" t="str">
        <f t="shared" si="115"/>
        <v/>
      </c>
      <c r="J1524" s="272" t="str">
        <f>IFERROR(VLOOKUP((D1524&amp;C1524)&amp;"",'[2]Retail Price List'!$C$4:$F$102,3,FALSE),"")</f>
        <v/>
      </c>
      <c r="K1524" s="272">
        <f>IFERROR(IF(BA1524="WIP - 30 Days",VLOOKUP(D1524,[3]Standard!$B$9:$E$101,4,FALSE),IF(BA1524="31-120 Days",VLOOKUP(D1524,[3]Standard!$B$9:$F$101,5,FALSE),IF(BA1524="121-365 Days",VLOOKUP(D1524,[3]Standard!$B$9:$G$101,6,FALSE),VLOOKUP(D1524,[3]Standard!$B$9:$H$101,7,FALSE)))),0)</f>
        <v>0</v>
      </c>
      <c r="L1524" s="272">
        <f>IFERROR(IF(BA1524="WIP - 30 Days",VLOOKUP(D1524,[3]Standard!$B$9:$J$101,9,FALSE),IF(BA1524="31-120 Days",VLOOKUP(D1524,[3]Standard!$B$9:$K$100,10,FALSE),IF(BA1524="121-365 Days",VLOOKUP(D1524,[3]Standard!$B$9:$L$101,11,FALSE),VLOOKUP(D1524,[3]Standard!$B$9:$M$101,12,FALSE)))),0)</f>
        <v>0</v>
      </c>
      <c r="M1524" s="269" t="str">
        <f>IFERROR(VLOOKUP((D1524&amp;C1524)&amp;"",'[2]Retail Price List'!$C$4:$F$102,4,FALSE),"")</f>
        <v/>
      </c>
      <c r="N1524" s="269">
        <f>IFERROR(IF(BA1524="WIP - 30 Days",VLOOKUP(D1524,[3]Extended!$B$9:$E$101,4,FALSE),IF(BA1524="31-120 Days",VLOOKUP(D1524,[3]Extended!$B$9:$F$101,5,FALSE),IF(BA1524="121-365 Days",VLOOKUP(D1524,[3]Extended!$B$9:$G$101,6,FALSE),VLOOKUP(D1524,[3]Extended!$B$9:$H$101,7,FALSE)))),0)</f>
        <v>0</v>
      </c>
      <c r="O1524" s="269">
        <f>IFERROR(IF(BA1524="WIP - 30 Days",VLOOKUP(D1524,[3]Extended!$B$9:$J$101,9,FALSE),IF(BA1524="31-120 Days",VLOOKUP(D1524,[3]Extended!$B$9:$K$101,10,FALSE),IF(BA1524="121-365 Days",VLOOKUP(D1524,[3]Extended!$B$9:$L$101,11,FALSE),VLOOKUP(D1524,[3]Extended!$B$9:$M$101,12,FALSE)))),0)</f>
        <v>0</v>
      </c>
      <c r="P1524" s="116" t="e">
        <f t="shared" si="116"/>
        <v>#VALUE!</v>
      </c>
      <c r="Q1524" s="110" t="e">
        <f>O1524-#REF!</f>
        <v>#REF!</v>
      </c>
      <c r="AT1524" s="88" t="str">
        <f t="shared" si="117"/>
        <v>Special Order0</v>
      </c>
      <c r="AU1524" s="89" t="str">
        <f t="shared" si="118"/>
        <v>01-1900</v>
      </c>
      <c r="BA1524" s="92" t="str">
        <f t="shared" si="119"/>
        <v/>
      </c>
    </row>
    <row r="1525" spans="2:53">
      <c r="B1525" s="60">
        <f>[2]Trucks!A1522</f>
        <v>0</v>
      </c>
      <c r="C1525" s="11">
        <f>[2]Trucks!B1522</f>
        <v>0</v>
      </c>
      <c r="D1525" s="19" t="str">
        <f>IFERROR(VLOOKUP(C1525&amp;"",'[2]Retail Price List'!$A$3:$B$103,2,FALSE),"Special Order")</f>
        <v>Special Order</v>
      </c>
      <c r="E1525" s="18">
        <f>[2]Trucks!J1522</f>
        <v>0</v>
      </c>
      <c r="F1525" s="12">
        <f>[2]Trucks!E1522</f>
        <v>0</v>
      </c>
      <c r="G1525" s="56">
        <f>[2]Trucks!K1522</f>
        <v>0</v>
      </c>
      <c r="H1525" s="46">
        <f>[2]Trucks!I1522</f>
        <v>0</v>
      </c>
      <c r="I1525" s="83" t="str">
        <f t="shared" si="115"/>
        <v/>
      </c>
      <c r="J1525" s="272" t="str">
        <f>IFERROR(VLOOKUP((D1525&amp;C1525)&amp;"",'[2]Retail Price List'!$C$4:$F$102,3,FALSE),"")</f>
        <v/>
      </c>
      <c r="K1525" s="272">
        <f>IFERROR(IF(BA1525="WIP - 30 Days",VLOOKUP(D1525,[3]Standard!$B$9:$E$101,4,FALSE),IF(BA1525="31-120 Days",VLOOKUP(D1525,[3]Standard!$B$9:$F$101,5,FALSE),IF(BA1525="121-365 Days",VLOOKUP(D1525,[3]Standard!$B$9:$G$101,6,FALSE),VLOOKUP(D1525,[3]Standard!$B$9:$H$101,7,FALSE)))),0)</f>
        <v>0</v>
      </c>
      <c r="L1525" s="272">
        <f>IFERROR(IF(BA1525="WIP - 30 Days",VLOOKUP(D1525,[3]Standard!$B$9:$J$101,9,FALSE),IF(BA1525="31-120 Days",VLOOKUP(D1525,[3]Standard!$B$9:$K$100,10,FALSE),IF(BA1525="121-365 Days",VLOOKUP(D1525,[3]Standard!$B$9:$L$101,11,FALSE),VLOOKUP(D1525,[3]Standard!$B$9:$M$101,12,FALSE)))),0)</f>
        <v>0</v>
      </c>
      <c r="M1525" s="269" t="str">
        <f>IFERROR(VLOOKUP((D1525&amp;C1525)&amp;"",'[2]Retail Price List'!$C$4:$F$102,4,FALSE),"")</f>
        <v/>
      </c>
      <c r="N1525" s="269">
        <f>IFERROR(IF(BA1525="WIP - 30 Days",VLOOKUP(D1525,[3]Extended!$B$9:$E$101,4,FALSE),IF(BA1525="31-120 Days",VLOOKUP(D1525,[3]Extended!$B$9:$F$101,5,FALSE),IF(BA1525="121-365 Days",VLOOKUP(D1525,[3]Extended!$B$9:$G$101,6,FALSE),VLOOKUP(D1525,[3]Extended!$B$9:$H$101,7,FALSE)))),0)</f>
        <v>0</v>
      </c>
      <c r="O1525" s="269">
        <f>IFERROR(IF(BA1525="WIP - 30 Days",VLOOKUP(D1525,[3]Extended!$B$9:$J$101,9,FALSE),IF(BA1525="31-120 Days",VLOOKUP(D1525,[3]Extended!$B$9:$K$101,10,FALSE),IF(BA1525="121-365 Days",VLOOKUP(D1525,[3]Extended!$B$9:$L$101,11,FALSE),VLOOKUP(D1525,[3]Extended!$B$9:$M$101,12,FALSE)))),0)</f>
        <v>0</v>
      </c>
      <c r="P1525" s="116" t="e">
        <f t="shared" si="116"/>
        <v>#VALUE!</v>
      </c>
      <c r="Q1525" s="110" t="e">
        <f>O1525-#REF!</f>
        <v>#REF!</v>
      </c>
      <c r="AT1525" s="88" t="str">
        <f t="shared" si="117"/>
        <v>Special Order0</v>
      </c>
      <c r="AU1525" s="89" t="str">
        <f t="shared" si="118"/>
        <v>01-1900</v>
      </c>
      <c r="BA1525" s="92" t="str">
        <f t="shared" si="119"/>
        <v/>
      </c>
    </row>
    <row r="1526" spans="2:53">
      <c r="B1526" s="60">
        <f>[2]Trucks!A1523</f>
        <v>0</v>
      </c>
      <c r="C1526" s="11">
        <f>[2]Trucks!B1523</f>
        <v>0</v>
      </c>
      <c r="D1526" s="19" t="str">
        <f>IFERROR(VLOOKUP(C1526&amp;"",'[2]Retail Price List'!$A$3:$B$103,2,FALSE),"Special Order")</f>
        <v>Special Order</v>
      </c>
      <c r="E1526" s="18">
        <f>[2]Trucks!J1523</f>
        <v>0</v>
      </c>
      <c r="F1526" s="12">
        <f>[2]Trucks!E1523</f>
        <v>0</v>
      </c>
      <c r="G1526" s="56">
        <f>[2]Trucks!K1523</f>
        <v>0</v>
      </c>
      <c r="H1526" s="46">
        <f>[2]Trucks!I1523</f>
        <v>0</v>
      </c>
      <c r="I1526" s="83" t="str">
        <f t="shared" si="115"/>
        <v/>
      </c>
      <c r="J1526" s="272" t="str">
        <f>IFERROR(VLOOKUP((D1526&amp;C1526)&amp;"",'[2]Retail Price List'!$C$4:$F$102,3,FALSE),"")</f>
        <v/>
      </c>
      <c r="K1526" s="272">
        <f>IFERROR(IF(BA1526="WIP - 30 Days",VLOOKUP(D1526,[3]Standard!$B$9:$E$101,4,FALSE),IF(BA1526="31-120 Days",VLOOKUP(D1526,[3]Standard!$B$9:$F$101,5,FALSE),IF(BA1526="121-365 Days",VLOOKUP(D1526,[3]Standard!$B$9:$G$101,6,FALSE),VLOOKUP(D1526,[3]Standard!$B$9:$H$101,7,FALSE)))),0)</f>
        <v>0</v>
      </c>
      <c r="L1526" s="272">
        <f>IFERROR(IF(BA1526="WIP - 30 Days",VLOOKUP(D1526,[3]Standard!$B$9:$J$101,9,FALSE),IF(BA1526="31-120 Days",VLOOKUP(D1526,[3]Standard!$B$9:$K$100,10,FALSE),IF(BA1526="121-365 Days",VLOOKUP(D1526,[3]Standard!$B$9:$L$101,11,FALSE),VLOOKUP(D1526,[3]Standard!$B$9:$M$101,12,FALSE)))),0)</f>
        <v>0</v>
      </c>
      <c r="M1526" s="269" t="str">
        <f>IFERROR(VLOOKUP((D1526&amp;C1526)&amp;"",'[2]Retail Price List'!$C$4:$F$102,4,FALSE),"")</f>
        <v/>
      </c>
      <c r="N1526" s="269">
        <f>IFERROR(IF(BA1526="WIP - 30 Days",VLOOKUP(D1526,[3]Extended!$B$9:$E$101,4,FALSE),IF(BA1526="31-120 Days",VLOOKUP(D1526,[3]Extended!$B$9:$F$101,5,FALSE),IF(BA1526="121-365 Days",VLOOKUP(D1526,[3]Extended!$B$9:$G$101,6,FALSE),VLOOKUP(D1526,[3]Extended!$B$9:$H$101,7,FALSE)))),0)</f>
        <v>0</v>
      </c>
      <c r="O1526" s="269">
        <f>IFERROR(IF(BA1526="WIP - 30 Days",VLOOKUP(D1526,[3]Extended!$B$9:$J$101,9,FALSE),IF(BA1526="31-120 Days",VLOOKUP(D1526,[3]Extended!$B$9:$K$101,10,FALSE),IF(BA1526="121-365 Days",VLOOKUP(D1526,[3]Extended!$B$9:$L$101,11,FALSE),VLOOKUP(D1526,[3]Extended!$B$9:$M$101,12,FALSE)))),0)</f>
        <v>0</v>
      </c>
      <c r="P1526" s="116" t="e">
        <f t="shared" si="116"/>
        <v>#VALUE!</v>
      </c>
      <c r="Q1526" s="110" t="e">
        <f>O1526-#REF!</f>
        <v>#REF!</v>
      </c>
      <c r="AT1526" s="88" t="str">
        <f t="shared" si="117"/>
        <v>Special Order0</v>
      </c>
      <c r="AU1526" s="89" t="str">
        <f t="shared" si="118"/>
        <v>01-1900</v>
      </c>
      <c r="BA1526" s="92" t="str">
        <f t="shared" si="119"/>
        <v/>
      </c>
    </row>
    <row r="1527" spans="2:53">
      <c r="B1527" s="60">
        <f>[2]Trucks!A1524</f>
        <v>0</v>
      </c>
      <c r="C1527" s="11">
        <f>[2]Trucks!B1524</f>
        <v>0</v>
      </c>
      <c r="D1527" s="19" t="str">
        <f>IFERROR(VLOOKUP(C1527&amp;"",'[2]Retail Price List'!$A$3:$B$103,2,FALSE),"Special Order")</f>
        <v>Special Order</v>
      </c>
      <c r="E1527" s="18">
        <f>[2]Trucks!J1524</f>
        <v>0</v>
      </c>
      <c r="F1527" s="12">
        <f>[2]Trucks!E1524</f>
        <v>0</v>
      </c>
      <c r="G1527" s="56">
        <f>[2]Trucks!K1524</f>
        <v>0</v>
      </c>
      <c r="H1527" s="46">
        <f>[2]Trucks!I1524</f>
        <v>0</v>
      </c>
      <c r="I1527" s="83" t="str">
        <f t="shared" si="115"/>
        <v/>
      </c>
      <c r="J1527" s="272" t="str">
        <f>IFERROR(VLOOKUP((D1527&amp;C1527)&amp;"",'[2]Retail Price List'!$C$4:$F$102,3,FALSE),"")</f>
        <v/>
      </c>
      <c r="K1527" s="272">
        <f>IFERROR(IF(BA1527="WIP - 30 Days",VLOOKUP(D1527,[3]Standard!$B$9:$E$101,4,FALSE),IF(BA1527="31-120 Days",VLOOKUP(D1527,[3]Standard!$B$9:$F$101,5,FALSE),IF(BA1527="121-365 Days",VLOOKUP(D1527,[3]Standard!$B$9:$G$101,6,FALSE),VLOOKUP(D1527,[3]Standard!$B$9:$H$101,7,FALSE)))),0)</f>
        <v>0</v>
      </c>
      <c r="L1527" s="272">
        <f>IFERROR(IF(BA1527="WIP - 30 Days",VLOOKUP(D1527,[3]Standard!$B$9:$J$101,9,FALSE),IF(BA1527="31-120 Days",VLOOKUP(D1527,[3]Standard!$B$9:$K$100,10,FALSE),IF(BA1527="121-365 Days",VLOOKUP(D1527,[3]Standard!$B$9:$L$101,11,FALSE),VLOOKUP(D1527,[3]Standard!$B$9:$M$101,12,FALSE)))),0)</f>
        <v>0</v>
      </c>
      <c r="M1527" s="269" t="str">
        <f>IFERROR(VLOOKUP((D1527&amp;C1527)&amp;"",'[2]Retail Price List'!$C$4:$F$102,4,FALSE),"")</f>
        <v/>
      </c>
      <c r="N1527" s="269">
        <f>IFERROR(IF(BA1527="WIP - 30 Days",VLOOKUP(D1527,[3]Extended!$B$9:$E$101,4,FALSE),IF(BA1527="31-120 Days",VLOOKUP(D1527,[3]Extended!$B$9:$F$101,5,FALSE),IF(BA1527="121-365 Days",VLOOKUP(D1527,[3]Extended!$B$9:$G$101,6,FALSE),VLOOKUP(D1527,[3]Extended!$B$9:$H$101,7,FALSE)))),0)</f>
        <v>0</v>
      </c>
      <c r="O1527" s="269">
        <f>IFERROR(IF(BA1527="WIP - 30 Days",VLOOKUP(D1527,[3]Extended!$B$9:$J$101,9,FALSE),IF(BA1527="31-120 Days",VLOOKUP(D1527,[3]Extended!$B$9:$K$101,10,FALSE),IF(BA1527="121-365 Days",VLOOKUP(D1527,[3]Extended!$B$9:$L$101,11,FALSE),VLOOKUP(D1527,[3]Extended!$B$9:$M$101,12,FALSE)))),0)</f>
        <v>0</v>
      </c>
      <c r="P1527" s="116" t="e">
        <f t="shared" si="116"/>
        <v>#VALUE!</v>
      </c>
      <c r="Q1527" s="110" t="e">
        <f>O1527-#REF!</f>
        <v>#REF!</v>
      </c>
      <c r="AT1527" s="88" t="str">
        <f t="shared" si="117"/>
        <v>Special Order0</v>
      </c>
      <c r="AU1527" s="89" t="str">
        <f t="shared" si="118"/>
        <v>01-1900</v>
      </c>
      <c r="BA1527" s="92" t="str">
        <f t="shared" si="119"/>
        <v/>
      </c>
    </row>
    <row r="1528" spans="2:53">
      <c r="B1528" s="60">
        <f>[2]Trucks!A1525</f>
        <v>0</v>
      </c>
      <c r="C1528" s="11">
        <f>[2]Trucks!B1525</f>
        <v>0</v>
      </c>
      <c r="D1528" s="19" t="str">
        <f>IFERROR(VLOOKUP(C1528&amp;"",'[2]Retail Price List'!$A$3:$B$103,2,FALSE),"Special Order")</f>
        <v>Special Order</v>
      </c>
      <c r="E1528" s="18">
        <f>[2]Trucks!J1525</f>
        <v>0</v>
      </c>
      <c r="F1528" s="12">
        <f>[2]Trucks!E1525</f>
        <v>0</v>
      </c>
      <c r="G1528" s="56">
        <f>[2]Trucks!K1525</f>
        <v>0</v>
      </c>
      <c r="H1528" s="46">
        <f>[2]Trucks!I1525</f>
        <v>0</v>
      </c>
      <c r="I1528" s="83" t="str">
        <f t="shared" si="115"/>
        <v/>
      </c>
      <c r="J1528" s="272" t="str">
        <f>IFERROR(VLOOKUP((D1528&amp;C1528)&amp;"",'[2]Retail Price List'!$C$4:$F$102,3,FALSE),"")</f>
        <v/>
      </c>
      <c r="K1528" s="272">
        <f>IFERROR(IF(BA1528="WIP - 30 Days",VLOOKUP(D1528,[3]Standard!$B$9:$E$101,4,FALSE),IF(BA1528="31-120 Days",VLOOKUP(D1528,[3]Standard!$B$9:$F$101,5,FALSE),IF(BA1528="121-365 Days",VLOOKUP(D1528,[3]Standard!$B$9:$G$101,6,FALSE),VLOOKUP(D1528,[3]Standard!$B$9:$H$101,7,FALSE)))),0)</f>
        <v>0</v>
      </c>
      <c r="L1528" s="272">
        <f>IFERROR(IF(BA1528="WIP - 30 Days",VLOOKUP(D1528,[3]Standard!$B$9:$J$101,9,FALSE),IF(BA1528="31-120 Days",VLOOKUP(D1528,[3]Standard!$B$9:$K$100,10,FALSE),IF(BA1528="121-365 Days",VLOOKUP(D1528,[3]Standard!$B$9:$L$101,11,FALSE),VLOOKUP(D1528,[3]Standard!$B$9:$M$101,12,FALSE)))),0)</f>
        <v>0</v>
      </c>
      <c r="M1528" s="269" t="str">
        <f>IFERROR(VLOOKUP((D1528&amp;C1528)&amp;"",'[2]Retail Price List'!$C$4:$F$102,4,FALSE),"")</f>
        <v/>
      </c>
      <c r="N1528" s="269">
        <f>IFERROR(IF(BA1528="WIP - 30 Days",VLOOKUP(D1528,[3]Extended!$B$9:$E$101,4,FALSE),IF(BA1528="31-120 Days",VLOOKUP(D1528,[3]Extended!$B$9:$F$101,5,FALSE),IF(BA1528="121-365 Days",VLOOKUP(D1528,[3]Extended!$B$9:$G$101,6,FALSE),VLOOKUP(D1528,[3]Extended!$B$9:$H$101,7,FALSE)))),0)</f>
        <v>0</v>
      </c>
      <c r="O1528" s="269">
        <f>IFERROR(IF(BA1528="WIP - 30 Days",VLOOKUP(D1528,[3]Extended!$B$9:$J$101,9,FALSE),IF(BA1528="31-120 Days",VLOOKUP(D1528,[3]Extended!$B$9:$K$101,10,FALSE),IF(BA1528="121-365 Days",VLOOKUP(D1528,[3]Extended!$B$9:$L$101,11,FALSE),VLOOKUP(D1528,[3]Extended!$B$9:$M$101,12,FALSE)))),0)</f>
        <v>0</v>
      </c>
      <c r="P1528" s="116" t="e">
        <f t="shared" si="116"/>
        <v>#VALUE!</v>
      </c>
      <c r="Q1528" s="110" t="e">
        <f>O1528-#REF!</f>
        <v>#REF!</v>
      </c>
      <c r="AT1528" s="88" t="str">
        <f t="shared" si="117"/>
        <v>Special Order0</v>
      </c>
      <c r="AU1528" s="89" t="str">
        <f t="shared" si="118"/>
        <v>01-1900</v>
      </c>
      <c r="BA1528" s="92" t="str">
        <f t="shared" si="119"/>
        <v/>
      </c>
    </row>
    <row r="1529" spans="2:53">
      <c r="B1529" s="60">
        <f>[2]Trucks!A1526</f>
        <v>0</v>
      </c>
      <c r="C1529" s="11">
        <f>[2]Trucks!B1526</f>
        <v>0</v>
      </c>
      <c r="D1529" s="19" t="str">
        <f>IFERROR(VLOOKUP(C1529&amp;"",'[2]Retail Price List'!$A$3:$B$103,2,FALSE),"Special Order")</f>
        <v>Special Order</v>
      </c>
      <c r="E1529" s="18">
        <f>[2]Trucks!J1526</f>
        <v>0</v>
      </c>
      <c r="F1529" s="12">
        <f>[2]Trucks!E1526</f>
        <v>0</v>
      </c>
      <c r="G1529" s="56">
        <f>[2]Trucks!K1526</f>
        <v>0</v>
      </c>
      <c r="H1529" s="46">
        <f>[2]Trucks!I1526</f>
        <v>0</v>
      </c>
      <c r="I1529" s="83" t="str">
        <f t="shared" si="115"/>
        <v/>
      </c>
      <c r="J1529" s="272" t="str">
        <f>IFERROR(VLOOKUP((D1529&amp;C1529)&amp;"",'[2]Retail Price List'!$C$4:$F$102,3,FALSE),"")</f>
        <v/>
      </c>
      <c r="K1529" s="272">
        <f>IFERROR(IF(BA1529="WIP - 30 Days",VLOOKUP(D1529,[3]Standard!$B$9:$E$101,4,FALSE),IF(BA1529="31-120 Days",VLOOKUP(D1529,[3]Standard!$B$9:$F$101,5,FALSE),IF(BA1529="121-365 Days",VLOOKUP(D1529,[3]Standard!$B$9:$G$101,6,FALSE),VLOOKUP(D1529,[3]Standard!$B$9:$H$101,7,FALSE)))),0)</f>
        <v>0</v>
      </c>
      <c r="L1529" s="272">
        <f>IFERROR(IF(BA1529="WIP - 30 Days",VLOOKUP(D1529,[3]Standard!$B$9:$J$101,9,FALSE),IF(BA1529="31-120 Days",VLOOKUP(D1529,[3]Standard!$B$9:$K$100,10,FALSE),IF(BA1529="121-365 Days",VLOOKUP(D1529,[3]Standard!$B$9:$L$101,11,FALSE),VLOOKUP(D1529,[3]Standard!$B$9:$M$101,12,FALSE)))),0)</f>
        <v>0</v>
      </c>
      <c r="M1529" s="269" t="str">
        <f>IFERROR(VLOOKUP((D1529&amp;C1529)&amp;"",'[2]Retail Price List'!$C$4:$F$102,4,FALSE),"")</f>
        <v/>
      </c>
      <c r="N1529" s="269">
        <f>IFERROR(IF(BA1529="WIP - 30 Days",VLOOKUP(D1529,[3]Extended!$B$9:$E$101,4,FALSE),IF(BA1529="31-120 Days",VLOOKUP(D1529,[3]Extended!$B$9:$F$101,5,FALSE),IF(BA1529="121-365 Days",VLOOKUP(D1529,[3]Extended!$B$9:$G$101,6,FALSE),VLOOKUP(D1529,[3]Extended!$B$9:$H$101,7,FALSE)))),0)</f>
        <v>0</v>
      </c>
      <c r="O1529" s="269">
        <f>IFERROR(IF(BA1529="WIP - 30 Days",VLOOKUP(D1529,[3]Extended!$B$9:$J$101,9,FALSE),IF(BA1529="31-120 Days",VLOOKUP(D1529,[3]Extended!$B$9:$K$101,10,FALSE),IF(BA1529="121-365 Days",VLOOKUP(D1529,[3]Extended!$B$9:$L$101,11,FALSE),VLOOKUP(D1529,[3]Extended!$B$9:$M$101,12,FALSE)))),0)</f>
        <v>0</v>
      </c>
      <c r="P1529" s="116" t="e">
        <f t="shared" si="116"/>
        <v>#VALUE!</v>
      </c>
      <c r="Q1529" s="110" t="e">
        <f>O1529-#REF!</f>
        <v>#REF!</v>
      </c>
      <c r="AT1529" s="88" t="str">
        <f t="shared" si="117"/>
        <v>Special Order0</v>
      </c>
      <c r="AU1529" s="89" t="str">
        <f t="shared" si="118"/>
        <v>01-1900</v>
      </c>
      <c r="BA1529" s="92" t="str">
        <f t="shared" si="119"/>
        <v/>
      </c>
    </row>
    <row r="1530" spans="2:53">
      <c r="B1530" s="60">
        <f>[2]Trucks!A1527</f>
        <v>0</v>
      </c>
      <c r="C1530" s="11">
        <f>[2]Trucks!B1527</f>
        <v>0</v>
      </c>
      <c r="D1530" s="19" t="str">
        <f>IFERROR(VLOOKUP(C1530&amp;"",'[2]Retail Price List'!$A$3:$B$103,2,FALSE),"Special Order")</f>
        <v>Special Order</v>
      </c>
      <c r="E1530" s="18">
        <f>[2]Trucks!J1527</f>
        <v>0</v>
      </c>
      <c r="F1530" s="12">
        <f>[2]Trucks!E1527</f>
        <v>0</v>
      </c>
      <c r="G1530" s="56">
        <f>[2]Trucks!K1527</f>
        <v>0</v>
      </c>
      <c r="H1530" s="46">
        <f>[2]Trucks!I1527</f>
        <v>0</v>
      </c>
      <c r="I1530" s="83" t="str">
        <f t="shared" si="115"/>
        <v/>
      </c>
      <c r="J1530" s="272" t="str">
        <f>IFERROR(VLOOKUP((D1530&amp;C1530)&amp;"",'[2]Retail Price List'!$C$4:$F$102,3,FALSE),"")</f>
        <v/>
      </c>
      <c r="K1530" s="272">
        <f>IFERROR(IF(BA1530="WIP - 30 Days",VLOOKUP(D1530,[3]Standard!$B$9:$E$101,4,FALSE),IF(BA1530="31-120 Days",VLOOKUP(D1530,[3]Standard!$B$9:$F$101,5,FALSE),IF(BA1530="121-365 Days",VLOOKUP(D1530,[3]Standard!$B$9:$G$101,6,FALSE),VLOOKUP(D1530,[3]Standard!$B$9:$H$101,7,FALSE)))),0)</f>
        <v>0</v>
      </c>
      <c r="L1530" s="272">
        <f>IFERROR(IF(BA1530="WIP - 30 Days",VLOOKUP(D1530,[3]Standard!$B$9:$J$101,9,FALSE),IF(BA1530="31-120 Days",VLOOKUP(D1530,[3]Standard!$B$9:$K$100,10,FALSE),IF(BA1530="121-365 Days",VLOOKUP(D1530,[3]Standard!$B$9:$L$101,11,FALSE),VLOOKUP(D1530,[3]Standard!$B$9:$M$101,12,FALSE)))),0)</f>
        <v>0</v>
      </c>
      <c r="M1530" s="269" t="str">
        <f>IFERROR(VLOOKUP((D1530&amp;C1530)&amp;"",'[2]Retail Price List'!$C$4:$F$102,4,FALSE),"")</f>
        <v/>
      </c>
      <c r="N1530" s="269">
        <f>IFERROR(IF(BA1530="WIP - 30 Days",VLOOKUP(D1530,[3]Extended!$B$9:$E$101,4,FALSE),IF(BA1530="31-120 Days",VLOOKUP(D1530,[3]Extended!$B$9:$F$101,5,FALSE),IF(BA1530="121-365 Days",VLOOKUP(D1530,[3]Extended!$B$9:$G$101,6,FALSE),VLOOKUP(D1530,[3]Extended!$B$9:$H$101,7,FALSE)))),0)</f>
        <v>0</v>
      </c>
      <c r="O1530" s="269">
        <f>IFERROR(IF(BA1530="WIP - 30 Days",VLOOKUP(D1530,[3]Extended!$B$9:$J$101,9,FALSE),IF(BA1530="31-120 Days",VLOOKUP(D1530,[3]Extended!$B$9:$K$101,10,FALSE),IF(BA1530="121-365 Days",VLOOKUP(D1530,[3]Extended!$B$9:$L$101,11,FALSE),VLOOKUP(D1530,[3]Extended!$B$9:$M$101,12,FALSE)))),0)</f>
        <v>0</v>
      </c>
      <c r="P1530" s="116" t="e">
        <f t="shared" si="116"/>
        <v>#VALUE!</v>
      </c>
      <c r="Q1530" s="110" t="e">
        <f>O1530-#REF!</f>
        <v>#REF!</v>
      </c>
      <c r="AT1530" s="88" t="str">
        <f t="shared" si="117"/>
        <v>Special Order0</v>
      </c>
      <c r="AU1530" s="89" t="str">
        <f t="shared" si="118"/>
        <v>01-1900</v>
      </c>
      <c r="BA1530" s="92" t="str">
        <f t="shared" si="119"/>
        <v/>
      </c>
    </row>
    <row r="1531" spans="2:53">
      <c r="B1531" s="60">
        <f>[2]Trucks!A1528</f>
        <v>0</v>
      </c>
      <c r="C1531" s="11">
        <f>[2]Trucks!B1528</f>
        <v>0</v>
      </c>
      <c r="D1531" s="19" t="str">
        <f>IFERROR(VLOOKUP(C1531&amp;"",'[2]Retail Price List'!$A$3:$B$103,2,FALSE),"Special Order")</f>
        <v>Special Order</v>
      </c>
      <c r="E1531" s="18">
        <f>[2]Trucks!J1528</f>
        <v>0</v>
      </c>
      <c r="F1531" s="12">
        <f>[2]Trucks!E1528</f>
        <v>0</v>
      </c>
      <c r="G1531" s="56">
        <f>[2]Trucks!K1528</f>
        <v>0</v>
      </c>
      <c r="H1531" s="46">
        <f>[2]Trucks!I1528</f>
        <v>0</v>
      </c>
      <c r="I1531" s="83" t="str">
        <f t="shared" si="115"/>
        <v/>
      </c>
      <c r="J1531" s="272" t="str">
        <f>IFERROR(VLOOKUP((D1531&amp;C1531)&amp;"",'[2]Retail Price List'!$C$4:$F$102,3,FALSE),"")</f>
        <v/>
      </c>
      <c r="K1531" s="272">
        <f>IFERROR(IF(BA1531="WIP - 30 Days",VLOOKUP(D1531,[3]Standard!$B$9:$E$101,4,FALSE),IF(BA1531="31-120 Days",VLOOKUP(D1531,[3]Standard!$B$9:$F$101,5,FALSE),IF(BA1531="121-365 Days",VLOOKUP(D1531,[3]Standard!$B$9:$G$101,6,FALSE),VLOOKUP(D1531,[3]Standard!$B$9:$H$101,7,FALSE)))),0)</f>
        <v>0</v>
      </c>
      <c r="L1531" s="272">
        <f>IFERROR(IF(BA1531="WIP - 30 Days",VLOOKUP(D1531,[3]Standard!$B$9:$J$101,9,FALSE),IF(BA1531="31-120 Days",VLOOKUP(D1531,[3]Standard!$B$9:$K$100,10,FALSE),IF(BA1531="121-365 Days",VLOOKUP(D1531,[3]Standard!$B$9:$L$101,11,FALSE),VLOOKUP(D1531,[3]Standard!$B$9:$M$101,12,FALSE)))),0)</f>
        <v>0</v>
      </c>
      <c r="M1531" s="269" t="str">
        <f>IFERROR(VLOOKUP((D1531&amp;C1531)&amp;"",'[2]Retail Price List'!$C$4:$F$102,4,FALSE),"")</f>
        <v/>
      </c>
      <c r="N1531" s="269">
        <f>IFERROR(IF(BA1531="WIP - 30 Days",VLOOKUP(D1531,[3]Extended!$B$9:$E$101,4,FALSE),IF(BA1531="31-120 Days",VLOOKUP(D1531,[3]Extended!$B$9:$F$101,5,FALSE),IF(BA1531="121-365 Days",VLOOKUP(D1531,[3]Extended!$B$9:$G$101,6,FALSE),VLOOKUP(D1531,[3]Extended!$B$9:$H$101,7,FALSE)))),0)</f>
        <v>0</v>
      </c>
      <c r="O1531" s="269">
        <f>IFERROR(IF(BA1531="WIP - 30 Days",VLOOKUP(D1531,[3]Extended!$B$9:$J$101,9,FALSE),IF(BA1531="31-120 Days",VLOOKUP(D1531,[3]Extended!$B$9:$K$101,10,FALSE),IF(BA1531="121-365 Days",VLOOKUP(D1531,[3]Extended!$B$9:$L$101,11,FALSE),VLOOKUP(D1531,[3]Extended!$B$9:$M$101,12,FALSE)))),0)</f>
        <v>0</v>
      </c>
      <c r="P1531" s="116" t="e">
        <f t="shared" si="116"/>
        <v>#VALUE!</v>
      </c>
      <c r="Q1531" s="110" t="e">
        <f>O1531-#REF!</f>
        <v>#REF!</v>
      </c>
      <c r="AT1531" s="88" t="str">
        <f t="shared" si="117"/>
        <v>Special Order0</v>
      </c>
      <c r="AU1531" s="89" t="str">
        <f t="shared" si="118"/>
        <v>01-1900</v>
      </c>
      <c r="BA1531" s="92" t="str">
        <f t="shared" si="119"/>
        <v/>
      </c>
    </row>
    <row r="1532" spans="2:53">
      <c r="B1532" s="60">
        <f>[2]Trucks!A1529</f>
        <v>0</v>
      </c>
      <c r="C1532" s="11">
        <f>[2]Trucks!B1529</f>
        <v>0</v>
      </c>
      <c r="D1532" s="19" t="str">
        <f>IFERROR(VLOOKUP(C1532&amp;"",'[2]Retail Price List'!$A$3:$B$103,2,FALSE),"Special Order")</f>
        <v>Special Order</v>
      </c>
      <c r="E1532" s="18">
        <f>[2]Trucks!J1529</f>
        <v>0</v>
      </c>
      <c r="F1532" s="12">
        <f>[2]Trucks!E1529</f>
        <v>0</v>
      </c>
      <c r="G1532" s="56">
        <f>[2]Trucks!K1529</f>
        <v>0</v>
      </c>
      <c r="H1532" s="46">
        <f>[2]Trucks!I1529</f>
        <v>0</v>
      </c>
      <c r="I1532" s="83" t="str">
        <f t="shared" si="115"/>
        <v/>
      </c>
      <c r="J1532" s="272" t="str">
        <f>IFERROR(VLOOKUP((D1532&amp;C1532)&amp;"",'[2]Retail Price List'!$C$4:$F$102,3,FALSE),"")</f>
        <v/>
      </c>
      <c r="K1532" s="272">
        <f>IFERROR(IF(BA1532="WIP - 30 Days",VLOOKUP(D1532,[3]Standard!$B$9:$E$101,4,FALSE),IF(BA1532="31-120 Days",VLOOKUP(D1532,[3]Standard!$B$9:$F$101,5,FALSE),IF(BA1532="121-365 Days",VLOOKUP(D1532,[3]Standard!$B$9:$G$101,6,FALSE),VLOOKUP(D1532,[3]Standard!$B$9:$H$101,7,FALSE)))),0)</f>
        <v>0</v>
      </c>
      <c r="L1532" s="272">
        <f>IFERROR(IF(BA1532="WIP - 30 Days",VLOOKUP(D1532,[3]Standard!$B$9:$J$101,9,FALSE),IF(BA1532="31-120 Days",VLOOKUP(D1532,[3]Standard!$B$9:$K$100,10,FALSE),IF(BA1532="121-365 Days",VLOOKUP(D1532,[3]Standard!$B$9:$L$101,11,FALSE),VLOOKUP(D1532,[3]Standard!$B$9:$M$101,12,FALSE)))),0)</f>
        <v>0</v>
      </c>
      <c r="M1532" s="269" t="str">
        <f>IFERROR(VLOOKUP((D1532&amp;C1532)&amp;"",'[2]Retail Price List'!$C$4:$F$102,4,FALSE),"")</f>
        <v/>
      </c>
      <c r="N1532" s="269">
        <f>IFERROR(IF(BA1532="WIP - 30 Days",VLOOKUP(D1532,[3]Extended!$B$9:$E$101,4,FALSE),IF(BA1532="31-120 Days",VLOOKUP(D1532,[3]Extended!$B$9:$F$101,5,FALSE),IF(BA1532="121-365 Days",VLOOKUP(D1532,[3]Extended!$B$9:$G$101,6,FALSE),VLOOKUP(D1532,[3]Extended!$B$9:$H$101,7,FALSE)))),0)</f>
        <v>0</v>
      </c>
      <c r="O1532" s="269">
        <f>IFERROR(IF(BA1532="WIP - 30 Days",VLOOKUP(D1532,[3]Extended!$B$9:$J$101,9,FALSE),IF(BA1532="31-120 Days",VLOOKUP(D1532,[3]Extended!$B$9:$K$101,10,FALSE),IF(BA1532="121-365 Days",VLOOKUP(D1532,[3]Extended!$B$9:$L$101,11,FALSE),VLOOKUP(D1532,[3]Extended!$B$9:$M$101,12,FALSE)))),0)</f>
        <v>0</v>
      </c>
      <c r="P1532" s="116" t="e">
        <f t="shared" si="116"/>
        <v>#VALUE!</v>
      </c>
      <c r="Q1532" s="110" t="e">
        <f>O1532-#REF!</f>
        <v>#REF!</v>
      </c>
      <c r="AT1532" s="88" t="str">
        <f t="shared" si="117"/>
        <v>Special Order0</v>
      </c>
      <c r="AU1532" s="89" t="str">
        <f t="shared" si="118"/>
        <v>01-1900</v>
      </c>
      <c r="BA1532" s="92" t="str">
        <f t="shared" si="119"/>
        <v/>
      </c>
    </row>
    <row r="1533" spans="2:53">
      <c r="B1533" s="60">
        <f>[2]Trucks!A1530</f>
        <v>0</v>
      </c>
      <c r="C1533" s="11">
        <f>[2]Trucks!B1530</f>
        <v>0</v>
      </c>
      <c r="D1533" s="19" t="str">
        <f>IFERROR(VLOOKUP(C1533&amp;"",'[2]Retail Price List'!$A$3:$B$103,2,FALSE),"Special Order")</f>
        <v>Special Order</v>
      </c>
      <c r="E1533" s="18">
        <f>[2]Trucks!J1530</f>
        <v>0</v>
      </c>
      <c r="F1533" s="12">
        <f>[2]Trucks!E1530</f>
        <v>0</v>
      </c>
      <c r="G1533" s="56">
        <f>[2]Trucks!K1530</f>
        <v>0</v>
      </c>
      <c r="H1533" s="46">
        <f>[2]Trucks!I1530</f>
        <v>0</v>
      </c>
      <c r="I1533" s="83" t="str">
        <f t="shared" si="115"/>
        <v/>
      </c>
      <c r="J1533" s="272" t="str">
        <f>IFERROR(VLOOKUP((D1533&amp;C1533)&amp;"",'[2]Retail Price List'!$C$4:$F$102,3,FALSE),"")</f>
        <v/>
      </c>
      <c r="K1533" s="272">
        <f>IFERROR(IF(BA1533="WIP - 30 Days",VLOOKUP(D1533,[3]Standard!$B$9:$E$101,4,FALSE),IF(BA1533="31-120 Days",VLOOKUP(D1533,[3]Standard!$B$9:$F$101,5,FALSE),IF(BA1533="121-365 Days",VLOOKUP(D1533,[3]Standard!$B$9:$G$101,6,FALSE),VLOOKUP(D1533,[3]Standard!$B$9:$H$101,7,FALSE)))),0)</f>
        <v>0</v>
      </c>
      <c r="L1533" s="272">
        <f>IFERROR(IF(BA1533="WIP - 30 Days",VLOOKUP(D1533,[3]Standard!$B$9:$J$101,9,FALSE),IF(BA1533="31-120 Days",VLOOKUP(D1533,[3]Standard!$B$9:$K$100,10,FALSE),IF(BA1533="121-365 Days",VLOOKUP(D1533,[3]Standard!$B$9:$L$101,11,FALSE),VLOOKUP(D1533,[3]Standard!$B$9:$M$101,12,FALSE)))),0)</f>
        <v>0</v>
      </c>
      <c r="M1533" s="269" t="str">
        <f>IFERROR(VLOOKUP((D1533&amp;C1533)&amp;"",'[2]Retail Price List'!$C$4:$F$102,4,FALSE),"")</f>
        <v/>
      </c>
      <c r="N1533" s="269">
        <f>IFERROR(IF(BA1533="WIP - 30 Days",VLOOKUP(D1533,[3]Extended!$B$9:$E$101,4,FALSE),IF(BA1533="31-120 Days",VLOOKUP(D1533,[3]Extended!$B$9:$F$101,5,FALSE),IF(BA1533="121-365 Days",VLOOKUP(D1533,[3]Extended!$B$9:$G$101,6,FALSE),VLOOKUP(D1533,[3]Extended!$B$9:$H$101,7,FALSE)))),0)</f>
        <v>0</v>
      </c>
      <c r="O1533" s="269">
        <f>IFERROR(IF(BA1533="WIP - 30 Days",VLOOKUP(D1533,[3]Extended!$B$9:$J$101,9,FALSE),IF(BA1533="31-120 Days",VLOOKUP(D1533,[3]Extended!$B$9:$K$101,10,FALSE),IF(BA1533="121-365 Days",VLOOKUP(D1533,[3]Extended!$B$9:$L$101,11,FALSE),VLOOKUP(D1533,[3]Extended!$B$9:$M$101,12,FALSE)))),0)</f>
        <v>0</v>
      </c>
      <c r="P1533" s="116" t="e">
        <f t="shared" si="116"/>
        <v>#VALUE!</v>
      </c>
      <c r="Q1533" s="110" t="e">
        <f>O1533-#REF!</f>
        <v>#REF!</v>
      </c>
      <c r="AT1533" s="88" t="str">
        <f t="shared" si="117"/>
        <v>Special Order0</v>
      </c>
      <c r="AU1533" s="89" t="str">
        <f t="shared" si="118"/>
        <v>01-1900</v>
      </c>
      <c r="BA1533" s="92" t="str">
        <f t="shared" si="119"/>
        <v/>
      </c>
    </row>
    <row r="1534" spans="2:53">
      <c r="B1534" s="60">
        <f>[2]Trucks!A1531</f>
        <v>0</v>
      </c>
      <c r="C1534" s="11">
        <f>[2]Trucks!B1531</f>
        <v>0</v>
      </c>
      <c r="D1534" s="19" t="str">
        <f>IFERROR(VLOOKUP(C1534&amp;"",'[2]Retail Price List'!$A$3:$B$103,2,FALSE),"Special Order")</f>
        <v>Special Order</v>
      </c>
      <c r="E1534" s="18">
        <f>[2]Trucks!J1531</f>
        <v>0</v>
      </c>
      <c r="F1534" s="12">
        <f>[2]Trucks!E1531</f>
        <v>0</v>
      </c>
      <c r="G1534" s="56">
        <f>[2]Trucks!K1531</f>
        <v>0</v>
      </c>
      <c r="H1534" s="46">
        <f>[2]Trucks!I1531</f>
        <v>0</v>
      </c>
      <c r="I1534" s="83" t="str">
        <f t="shared" si="115"/>
        <v/>
      </c>
      <c r="J1534" s="272" t="str">
        <f>IFERROR(VLOOKUP((D1534&amp;C1534)&amp;"",'[2]Retail Price List'!$C$4:$F$102,3,FALSE),"")</f>
        <v/>
      </c>
      <c r="K1534" s="272">
        <f>IFERROR(IF(BA1534="WIP - 30 Days",VLOOKUP(D1534,[3]Standard!$B$9:$E$101,4,FALSE),IF(BA1534="31-120 Days",VLOOKUP(D1534,[3]Standard!$B$9:$F$101,5,FALSE),IF(BA1534="121-365 Days",VLOOKUP(D1534,[3]Standard!$B$9:$G$101,6,FALSE),VLOOKUP(D1534,[3]Standard!$B$9:$H$101,7,FALSE)))),0)</f>
        <v>0</v>
      </c>
      <c r="L1534" s="272">
        <f>IFERROR(IF(BA1534="WIP - 30 Days",VLOOKUP(D1534,[3]Standard!$B$9:$J$101,9,FALSE),IF(BA1534="31-120 Days",VLOOKUP(D1534,[3]Standard!$B$9:$K$100,10,FALSE),IF(BA1534="121-365 Days",VLOOKUP(D1534,[3]Standard!$B$9:$L$101,11,FALSE),VLOOKUP(D1534,[3]Standard!$B$9:$M$101,12,FALSE)))),0)</f>
        <v>0</v>
      </c>
      <c r="M1534" s="269" t="str">
        <f>IFERROR(VLOOKUP((D1534&amp;C1534)&amp;"",'[2]Retail Price List'!$C$4:$F$102,4,FALSE),"")</f>
        <v/>
      </c>
      <c r="N1534" s="269">
        <f>IFERROR(IF(BA1534="WIP - 30 Days",VLOOKUP(D1534,[3]Extended!$B$9:$E$101,4,FALSE),IF(BA1534="31-120 Days",VLOOKUP(D1534,[3]Extended!$B$9:$F$101,5,FALSE),IF(BA1534="121-365 Days",VLOOKUP(D1534,[3]Extended!$B$9:$G$101,6,FALSE),VLOOKUP(D1534,[3]Extended!$B$9:$H$101,7,FALSE)))),0)</f>
        <v>0</v>
      </c>
      <c r="O1534" s="269">
        <f>IFERROR(IF(BA1534="WIP - 30 Days",VLOOKUP(D1534,[3]Extended!$B$9:$J$101,9,FALSE),IF(BA1534="31-120 Days",VLOOKUP(D1534,[3]Extended!$B$9:$K$101,10,FALSE),IF(BA1534="121-365 Days",VLOOKUP(D1534,[3]Extended!$B$9:$L$101,11,FALSE),VLOOKUP(D1534,[3]Extended!$B$9:$M$101,12,FALSE)))),0)</f>
        <v>0</v>
      </c>
      <c r="P1534" s="116" t="e">
        <f t="shared" si="116"/>
        <v>#VALUE!</v>
      </c>
      <c r="Q1534" s="110" t="e">
        <f>O1534-#REF!</f>
        <v>#REF!</v>
      </c>
      <c r="AT1534" s="88" t="str">
        <f t="shared" si="117"/>
        <v>Special Order0</v>
      </c>
      <c r="AU1534" s="89" t="str">
        <f t="shared" si="118"/>
        <v>01-1900</v>
      </c>
      <c r="BA1534" s="92" t="str">
        <f t="shared" si="119"/>
        <v/>
      </c>
    </row>
    <row r="1535" spans="2:53">
      <c r="B1535" s="60">
        <f>[2]Trucks!A1532</f>
        <v>0</v>
      </c>
      <c r="C1535" s="11">
        <f>[2]Trucks!B1532</f>
        <v>0</v>
      </c>
      <c r="D1535" s="19" t="str">
        <f>IFERROR(VLOOKUP(C1535&amp;"",'[2]Retail Price List'!$A$3:$B$103,2,FALSE),"Special Order")</f>
        <v>Special Order</v>
      </c>
      <c r="E1535" s="18">
        <f>[2]Trucks!J1532</f>
        <v>0</v>
      </c>
      <c r="F1535" s="12">
        <f>[2]Trucks!E1532</f>
        <v>0</v>
      </c>
      <c r="G1535" s="56">
        <f>[2]Trucks!K1532</f>
        <v>0</v>
      </c>
      <c r="H1535" s="46">
        <f>[2]Trucks!I1532</f>
        <v>0</v>
      </c>
      <c r="I1535" s="83" t="str">
        <f t="shared" si="115"/>
        <v/>
      </c>
      <c r="J1535" s="272" t="str">
        <f>IFERROR(VLOOKUP((D1535&amp;C1535)&amp;"",'[2]Retail Price List'!$C$4:$F$102,3,FALSE),"")</f>
        <v/>
      </c>
      <c r="K1535" s="272">
        <f>IFERROR(IF(BA1535="WIP - 30 Days",VLOOKUP(D1535,[3]Standard!$B$9:$E$101,4,FALSE),IF(BA1535="31-120 Days",VLOOKUP(D1535,[3]Standard!$B$9:$F$101,5,FALSE),IF(BA1535="121-365 Days",VLOOKUP(D1535,[3]Standard!$B$9:$G$101,6,FALSE),VLOOKUP(D1535,[3]Standard!$B$9:$H$101,7,FALSE)))),0)</f>
        <v>0</v>
      </c>
      <c r="L1535" s="272">
        <f>IFERROR(IF(BA1535="WIP - 30 Days",VLOOKUP(D1535,[3]Standard!$B$9:$J$101,9,FALSE),IF(BA1535="31-120 Days",VLOOKUP(D1535,[3]Standard!$B$9:$K$100,10,FALSE),IF(BA1535="121-365 Days",VLOOKUP(D1535,[3]Standard!$B$9:$L$101,11,FALSE),VLOOKUP(D1535,[3]Standard!$B$9:$M$101,12,FALSE)))),0)</f>
        <v>0</v>
      </c>
      <c r="M1535" s="269" t="str">
        <f>IFERROR(VLOOKUP((D1535&amp;C1535)&amp;"",'[2]Retail Price List'!$C$4:$F$102,4,FALSE),"")</f>
        <v/>
      </c>
      <c r="N1535" s="269">
        <f>IFERROR(IF(BA1535="WIP - 30 Days",VLOOKUP(D1535,[3]Extended!$B$9:$E$101,4,FALSE),IF(BA1535="31-120 Days",VLOOKUP(D1535,[3]Extended!$B$9:$F$101,5,FALSE),IF(BA1535="121-365 Days",VLOOKUP(D1535,[3]Extended!$B$9:$G$101,6,FALSE),VLOOKUP(D1535,[3]Extended!$B$9:$H$101,7,FALSE)))),0)</f>
        <v>0</v>
      </c>
      <c r="O1535" s="269">
        <f>IFERROR(IF(BA1535="WIP - 30 Days",VLOOKUP(D1535,[3]Extended!$B$9:$J$101,9,FALSE),IF(BA1535="31-120 Days",VLOOKUP(D1535,[3]Extended!$B$9:$K$101,10,FALSE),IF(BA1535="121-365 Days",VLOOKUP(D1535,[3]Extended!$B$9:$L$101,11,FALSE),VLOOKUP(D1535,[3]Extended!$B$9:$M$101,12,FALSE)))),0)</f>
        <v>0</v>
      </c>
      <c r="P1535" s="116" t="e">
        <f t="shared" si="116"/>
        <v>#VALUE!</v>
      </c>
      <c r="Q1535" s="110" t="e">
        <f>O1535-#REF!</f>
        <v>#REF!</v>
      </c>
      <c r="AT1535" s="88" t="str">
        <f t="shared" si="117"/>
        <v>Special Order0</v>
      </c>
      <c r="AU1535" s="89" t="str">
        <f t="shared" si="118"/>
        <v>01-1900</v>
      </c>
      <c r="BA1535" s="92" t="str">
        <f t="shared" si="119"/>
        <v/>
      </c>
    </row>
    <row r="1536" spans="2:53">
      <c r="B1536" s="60">
        <f>[2]Trucks!A1533</f>
        <v>0</v>
      </c>
      <c r="C1536" s="11">
        <f>[2]Trucks!B1533</f>
        <v>0</v>
      </c>
      <c r="D1536" s="19" t="str">
        <f>IFERROR(VLOOKUP(C1536&amp;"",'[2]Retail Price List'!$A$3:$B$103,2,FALSE),"Special Order")</f>
        <v>Special Order</v>
      </c>
      <c r="E1536" s="18">
        <f>[2]Trucks!J1533</f>
        <v>0</v>
      </c>
      <c r="F1536" s="12">
        <f>[2]Trucks!E1533</f>
        <v>0</v>
      </c>
      <c r="G1536" s="56">
        <f>[2]Trucks!K1533</f>
        <v>0</v>
      </c>
      <c r="H1536" s="46">
        <f>[2]Trucks!I1533</f>
        <v>0</v>
      </c>
      <c r="I1536" s="83" t="str">
        <f t="shared" si="115"/>
        <v/>
      </c>
      <c r="J1536" s="272" t="str">
        <f>IFERROR(VLOOKUP((D1536&amp;C1536)&amp;"",'[2]Retail Price List'!$C$4:$F$102,3,FALSE),"")</f>
        <v/>
      </c>
      <c r="K1536" s="272">
        <f>IFERROR(IF(BA1536="WIP - 30 Days",VLOOKUP(D1536,[3]Standard!$B$9:$E$101,4,FALSE),IF(BA1536="31-120 Days",VLOOKUP(D1536,[3]Standard!$B$9:$F$101,5,FALSE),IF(BA1536="121-365 Days",VLOOKUP(D1536,[3]Standard!$B$9:$G$101,6,FALSE),VLOOKUP(D1536,[3]Standard!$B$9:$H$101,7,FALSE)))),0)</f>
        <v>0</v>
      </c>
      <c r="L1536" s="272">
        <f>IFERROR(IF(BA1536="WIP - 30 Days",VLOOKUP(D1536,[3]Standard!$B$9:$J$101,9,FALSE),IF(BA1536="31-120 Days",VLOOKUP(D1536,[3]Standard!$B$9:$K$100,10,FALSE),IF(BA1536="121-365 Days",VLOOKUP(D1536,[3]Standard!$B$9:$L$101,11,FALSE),VLOOKUP(D1536,[3]Standard!$B$9:$M$101,12,FALSE)))),0)</f>
        <v>0</v>
      </c>
      <c r="M1536" s="269" t="str">
        <f>IFERROR(VLOOKUP((D1536&amp;C1536)&amp;"",'[2]Retail Price List'!$C$4:$F$102,4,FALSE),"")</f>
        <v/>
      </c>
      <c r="N1536" s="269">
        <f>IFERROR(IF(BA1536="WIP - 30 Days",VLOOKUP(D1536,[3]Extended!$B$9:$E$101,4,FALSE),IF(BA1536="31-120 Days",VLOOKUP(D1536,[3]Extended!$B$9:$F$101,5,FALSE),IF(BA1536="121-365 Days",VLOOKUP(D1536,[3]Extended!$B$9:$G$101,6,FALSE),VLOOKUP(D1536,[3]Extended!$B$9:$H$101,7,FALSE)))),0)</f>
        <v>0</v>
      </c>
      <c r="O1536" s="269">
        <f>IFERROR(IF(BA1536="WIP - 30 Days",VLOOKUP(D1536,[3]Extended!$B$9:$J$101,9,FALSE),IF(BA1536="31-120 Days",VLOOKUP(D1536,[3]Extended!$B$9:$K$101,10,FALSE),IF(BA1536="121-365 Days",VLOOKUP(D1536,[3]Extended!$B$9:$L$101,11,FALSE),VLOOKUP(D1536,[3]Extended!$B$9:$M$101,12,FALSE)))),0)</f>
        <v>0</v>
      </c>
      <c r="P1536" s="116" t="e">
        <f t="shared" si="116"/>
        <v>#VALUE!</v>
      </c>
      <c r="Q1536" s="110" t="e">
        <f>O1536-#REF!</f>
        <v>#REF!</v>
      </c>
      <c r="AT1536" s="88" t="str">
        <f t="shared" si="117"/>
        <v>Special Order0</v>
      </c>
      <c r="AU1536" s="89" t="str">
        <f t="shared" si="118"/>
        <v>01-1900</v>
      </c>
      <c r="BA1536" s="92" t="str">
        <f t="shared" si="119"/>
        <v/>
      </c>
    </row>
    <row r="1537" spans="2:53">
      <c r="B1537" s="60">
        <f>[2]Trucks!A1534</f>
        <v>0</v>
      </c>
      <c r="C1537" s="11">
        <f>[2]Trucks!B1534</f>
        <v>0</v>
      </c>
      <c r="D1537" s="19" t="str">
        <f>IFERROR(VLOOKUP(C1537&amp;"",'[2]Retail Price List'!$A$3:$B$103,2,FALSE),"Special Order")</f>
        <v>Special Order</v>
      </c>
      <c r="E1537" s="18">
        <f>[2]Trucks!J1534</f>
        <v>0</v>
      </c>
      <c r="F1537" s="12">
        <f>[2]Trucks!E1534</f>
        <v>0</v>
      </c>
      <c r="G1537" s="56">
        <f>[2]Trucks!K1534</f>
        <v>0</v>
      </c>
      <c r="H1537" s="46">
        <f>[2]Trucks!I1534</f>
        <v>0</v>
      </c>
      <c r="I1537" s="83" t="str">
        <f t="shared" si="115"/>
        <v/>
      </c>
      <c r="J1537" s="272" t="str">
        <f>IFERROR(VLOOKUP((D1537&amp;C1537)&amp;"",'[2]Retail Price List'!$C$4:$F$102,3,FALSE),"")</f>
        <v/>
      </c>
      <c r="K1537" s="272">
        <f>IFERROR(IF(BA1537="WIP - 30 Days",VLOOKUP(D1537,[3]Standard!$B$9:$E$101,4,FALSE),IF(BA1537="31-120 Days",VLOOKUP(D1537,[3]Standard!$B$9:$F$101,5,FALSE),IF(BA1537="121-365 Days",VLOOKUP(D1537,[3]Standard!$B$9:$G$101,6,FALSE),VLOOKUP(D1537,[3]Standard!$B$9:$H$101,7,FALSE)))),0)</f>
        <v>0</v>
      </c>
      <c r="L1537" s="272">
        <f>IFERROR(IF(BA1537="WIP - 30 Days",VLOOKUP(D1537,[3]Standard!$B$9:$J$101,9,FALSE),IF(BA1537="31-120 Days",VLOOKUP(D1537,[3]Standard!$B$9:$K$100,10,FALSE),IF(BA1537="121-365 Days",VLOOKUP(D1537,[3]Standard!$B$9:$L$101,11,FALSE),VLOOKUP(D1537,[3]Standard!$B$9:$M$101,12,FALSE)))),0)</f>
        <v>0</v>
      </c>
      <c r="M1537" s="269" t="str">
        <f>IFERROR(VLOOKUP((D1537&amp;C1537)&amp;"",'[2]Retail Price List'!$C$4:$F$102,4,FALSE),"")</f>
        <v/>
      </c>
      <c r="N1537" s="269">
        <f>IFERROR(IF(BA1537="WIP - 30 Days",VLOOKUP(D1537,[3]Extended!$B$9:$E$101,4,FALSE),IF(BA1537="31-120 Days",VLOOKUP(D1537,[3]Extended!$B$9:$F$101,5,FALSE),IF(BA1537="121-365 Days",VLOOKUP(D1537,[3]Extended!$B$9:$G$101,6,FALSE),VLOOKUP(D1537,[3]Extended!$B$9:$H$101,7,FALSE)))),0)</f>
        <v>0</v>
      </c>
      <c r="O1537" s="269">
        <f>IFERROR(IF(BA1537="WIP - 30 Days",VLOOKUP(D1537,[3]Extended!$B$9:$J$101,9,FALSE),IF(BA1537="31-120 Days",VLOOKUP(D1537,[3]Extended!$B$9:$K$101,10,FALSE),IF(BA1537="121-365 Days",VLOOKUP(D1537,[3]Extended!$B$9:$L$101,11,FALSE),VLOOKUP(D1537,[3]Extended!$B$9:$M$101,12,FALSE)))),0)</f>
        <v>0</v>
      </c>
      <c r="P1537" s="116" t="e">
        <f t="shared" si="116"/>
        <v>#VALUE!</v>
      </c>
      <c r="Q1537" s="110" t="e">
        <f>O1537-#REF!</f>
        <v>#REF!</v>
      </c>
      <c r="AT1537" s="88" t="str">
        <f t="shared" si="117"/>
        <v>Special Order0</v>
      </c>
      <c r="AU1537" s="89" t="str">
        <f t="shared" si="118"/>
        <v>01-1900</v>
      </c>
      <c r="BA1537" s="92" t="str">
        <f t="shared" si="119"/>
        <v/>
      </c>
    </row>
    <row r="1538" spans="2:53">
      <c r="B1538" s="60">
        <f>[2]Trucks!A1535</f>
        <v>0</v>
      </c>
      <c r="C1538" s="11">
        <f>[2]Trucks!B1535</f>
        <v>0</v>
      </c>
      <c r="D1538" s="19" t="str">
        <f>IFERROR(VLOOKUP(C1538&amp;"",'[2]Retail Price List'!$A$3:$B$103,2,FALSE),"Special Order")</f>
        <v>Special Order</v>
      </c>
      <c r="E1538" s="18">
        <f>[2]Trucks!J1535</f>
        <v>0</v>
      </c>
      <c r="F1538" s="12">
        <f>[2]Trucks!E1535</f>
        <v>0</v>
      </c>
      <c r="G1538" s="56">
        <f>[2]Trucks!K1535</f>
        <v>0</v>
      </c>
      <c r="H1538" s="46">
        <f>[2]Trucks!I1535</f>
        <v>0</v>
      </c>
      <c r="I1538" s="83" t="str">
        <f t="shared" si="115"/>
        <v/>
      </c>
      <c r="J1538" s="272" t="str">
        <f>IFERROR(VLOOKUP((D1538&amp;C1538)&amp;"",'[2]Retail Price List'!$C$4:$F$102,3,FALSE),"")</f>
        <v/>
      </c>
      <c r="K1538" s="272">
        <f>IFERROR(IF(BA1538="WIP - 30 Days",VLOOKUP(D1538,[3]Standard!$B$9:$E$101,4,FALSE),IF(BA1538="31-120 Days",VLOOKUP(D1538,[3]Standard!$B$9:$F$101,5,FALSE),IF(BA1538="121-365 Days",VLOOKUP(D1538,[3]Standard!$B$9:$G$101,6,FALSE),VLOOKUP(D1538,[3]Standard!$B$9:$H$101,7,FALSE)))),0)</f>
        <v>0</v>
      </c>
      <c r="L1538" s="272">
        <f>IFERROR(IF(BA1538="WIP - 30 Days",VLOOKUP(D1538,[3]Standard!$B$9:$J$101,9,FALSE),IF(BA1538="31-120 Days",VLOOKUP(D1538,[3]Standard!$B$9:$K$100,10,FALSE),IF(BA1538="121-365 Days",VLOOKUP(D1538,[3]Standard!$B$9:$L$101,11,FALSE),VLOOKUP(D1538,[3]Standard!$B$9:$M$101,12,FALSE)))),0)</f>
        <v>0</v>
      </c>
      <c r="M1538" s="269" t="str">
        <f>IFERROR(VLOOKUP((D1538&amp;C1538)&amp;"",'[2]Retail Price List'!$C$4:$F$102,4,FALSE),"")</f>
        <v/>
      </c>
      <c r="N1538" s="269">
        <f>IFERROR(IF(BA1538="WIP - 30 Days",VLOOKUP(D1538,[3]Extended!$B$9:$E$101,4,FALSE),IF(BA1538="31-120 Days",VLOOKUP(D1538,[3]Extended!$B$9:$F$101,5,FALSE),IF(BA1538="121-365 Days",VLOOKUP(D1538,[3]Extended!$B$9:$G$101,6,FALSE),VLOOKUP(D1538,[3]Extended!$B$9:$H$101,7,FALSE)))),0)</f>
        <v>0</v>
      </c>
      <c r="O1538" s="269">
        <f>IFERROR(IF(BA1538="WIP - 30 Days",VLOOKUP(D1538,[3]Extended!$B$9:$J$101,9,FALSE),IF(BA1538="31-120 Days",VLOOKUP(D1538,[3]Extended!$B$9:$K$101,10,FALSE),IF(BA1538="121-365 Days",VLOOKUP(D1538,[3]Extended!$B$9:$L$101,11,FALSE),VLOOKUP(D1538,[3]Extended!$B$9:$M$101,12,FALSE)))),0)</f>
        <v>0</v>
      </c>
      <c r="P1538" s="116" t="e">
        <f t="shared" si="116"/>
        <v>#VALUE!</v>
      </c>
      <c r="Q1538" s="110" t="e">
        <f>O1538-#REF!</f>
        <v>#REF!</v>
      </c>
      <c r="AT1538" s="88" t="str">
        <f t="shared" si="117"/>
        <v>Special Order0</v>
      </c>
      <c r="AU1538" s="89" t="str">
        <f t="shared" si="118"/>
        <v>01-1900</v>
      </c>
      <c r="BA1538" s="92" t="str">
        <f t="shared" si="119"/>
        <v/>
      </c>
    </row>
    <row r="1539" spans="2:53">
      <c r="B1539" s="60">
        <f>[2]Trucks!A1536</f>
        <v>0</v>
      </c>
      <c r="C1539" s="11">
        <f>[2]Trucks!B1536</f>
        <v>0</v>
      </c>
      <c r="D1539" s="19" t="str">
        <f>IFERROR(VLOOKUP(C1539&amp;"",'[2]Retail Price List'!$A$3:$B$103,2,FALSE),"Special Order")</f>
        <v>Special Order</v>
      </c>
      <c r="E1539" s="18">
        <f>[2]Trucks!J1536</f>
        <v>0</v>
      </c>
      <c r="F1539" s="12">
        <f>[2]Trucks!E1536</f>
        <v>0</v>
      </c>
      <c r="G1539" s="56">
        <f>[2]Trucks!K1536</f>
        <v>0</v>
      </c>
      <c r="H1539" s="46">
        <f>[2]Trucks!I1536</f>
        <v>0</v>
      </c>
      <c r="I1539" s="83" t="str">
        <f t="shared" si="115"/>
        <v/>
      </c>
      <c r="J1539" s="272" t="str">
        <f>IFERROR(VLOOKUP((D1539&amp;C1539)&amp;"",'[2]Retail Price List'!$C$4:$F$102,3,FALSE),"")</f>
        <v/>
      </c>
      <c r="K1539" s="272">
        <f>IFERROR(IF(BA1539="WIP - 30 Days",VLOOKUP(D1539,[3]Standard!$B$9:$E$101,4,FALSE),IF(BA1539="31-120 Days",VLOOKUP(D1539,[3]Standard!$B$9:$F$101,5,FALSE),IF(BA1539="121-365 Days",VLOOKUP(D1539,[3]Standard!$B$9:$G$101,6,FALSE),VLOOKUP(D1539,[3]Standard!$B$9:$H$101,7,FALSE)))),0)</f>
        <v>0</v>
      </c>
      <c r="L1539" s="272">
        <f>IFERROR(IF(BA1539="WIP - 30 Days",VLOOKUP(D1539,[3]Standard!$B$9:$J$101,9,FALSE),IF(BA1539="31-120 Days",VLOOKUP(D1539,[3]Standard!$B$9:$K$100,10,FALSE),IF(BA1539="121-365 Days",VLOOKUP(D1539,[3]Standard!$B$9:$L$101,11,FALSE),VLOOKUP(D1539,[3]Standard!$B$9:$M$101,12,FALSE)))),0)</f>
        <v>0</v>
      </c>
      <c r="M1539" s="269" t="str">
        <f>IFERROR(VLOOKUP((D1539&amp;C1539)&amp;"",'[2]Retail Price List'!$C$4:$F$102,4,FALSE),"")</f>
        <v/>
      </c>
      <c r="N1539" s="269">
        <f>IFERROR(IF(BA1539="WIP - 30 Days",VLOOKUP(D1539,[3]Extended!$B$9:$E$101,4,FALSE),IF(BA1539="31-120 Days",VLOOKUP(D1539,[3]Extended!$B$9:$F$101,5,FALSE),IF(BA1539="121-365 Days",VLOOKUP(D1539,[3]Extended!$B$9:$G$101,6,FALSE),VLOOKUP(D1539,[3]Extended!$B$9:$H$101,7,FALSE)))),0)</f>
        <v>0</v>
      </c>
      <c r="O1539" s="269">
        <f>IFERROR(IF(BA1539="WIP - 30 Days",VLOOKUP(D1539,[3]Extended!$B$9:$J$101,9,FALSE),IF(BA1539="31-120 Days",VLOOKUP(D1539,[3]Extended!$B$9:$K$101,10,FALSE),IF(BA1539="121-365 Days",VLOOKUP(D1539,[3]Extended!$B$9:$L$101,11,FALSE),VLOOKUP(D1539,[3]Extended!$B$9:$M$101,12,FALSE)))),0)</f>
        <v>0</v>
      </c>
      <c r="P1539" s="116" t="e">
        <f t="shared" si="116"/>
        <v>#VALUE!</v>
      </c>
      <c r="Q1539" s="110" t="e">
        <f>O1539-#REF!</f>
        <v>#REF!</v>
      </c>
      <c r="AT1539" s="88" t="str">
        <f t="shared" si="117"/>
        <v>Special Order0</v>
      </c>
      <c r="AU1539" s="89" t="str">
        <f t="shared" si="118"/>
        <v>01-1900</v>
      </c>
      <c r="BA1539" s="92" t="str">
        <f t="shared" si="119"/>
        <v/>
      </c>
    </row>
    <row r="1540" spans="2:53">
      <c r="B1540" s="60">
        <f>[2]Trucks!A1537</f>
        <v>0</v>
      </c>
      <c r="C1540" s="11">
        <f>[2]Trucks!B1537</f>
        <v>0</v>
      </c>
      <c r="D1540" s="19" t="str">
        <f>IFERROR(VLOOKUP(C1540&amp;"",'[2]Retail Price List'!$A$3:$B$103,2,FALSE),"Special Order")</f>
        <v>Special Order</v>
      </c>
      <c r="E1540" s="18">
        <f>[2]Trucks!J1537</f>
        <v>0</v>
      </c>
      <c r="F1540" s="12">
        <f>[2]Trucks!E1537</f>
        <v>0</v>
      </c>
      <c r="G1540" s="56">
        <f>[2]Trucks!K1537</f>
        <v>0</v>
      </c>
      <c r="H1540" s="46">
        <f>[2]Trucks!I1537</f>
        <v>0</v>
      </c>
      <c r="I1540" s="83" t="str">
        <f t="shared" si="115"/>
        <v/>
      </c>
      <c r="J1540" s="272" t="str">
        <f>IFERROR(VLOOKUP((D1540&amp;C1540)&amp;"",'[2]Retail Price List'!$C$4:$F$102,3,FALSE),"")</f>
        <v/>
      </c>
      <c r="K1540" s="272">
        <f>IFERROR(IF(BA1540="WIP - 30 Days",VLOOKUP(D1540,[3]Standard!$B$9:$E$101,4,FALSE),IF(BA1540="31-120 Days",VLOOKUP(D1540,[3]Standard!$B$9:$F$101,5,FALSE),IF(BA1540="121-365 Days",VLOOKUP(D1540,[3]Standard!$B$9:$G$101,6,FALSE),VLOOKUP(D1540,[3]Standard!$B$9:$H$101,7,FALSE)))),0)</f>
        <v>0</v>
      </c>
      <c r="L1540" s="272">
        <f>IFERROR(IF(BA1540="WIP - 30 Days",VLOOKUP(D1540,[3]Standard!$B$9:$J$101,9,FALSE),IF(BA1540="31-120 Days",VLOOKUP(D1540,[3]Standard!$B$9:$K$100,10,FALSE),IF(BA1540="121-365 Days",VLOOKUP(D1540,[3]Standard!$B$9:$L$101,11,FALSE),VLOOKUP(D1540,[3]Standard!$B$9:$M$101,12,FALSE)))),0)</f>
        <v>0</v>
      </c>
      <c r="M1540" s="269" t="str">
        <f>IFERROR(VLOOKUP((D1540&amp;C1540)&amp;"",'[2]Retail Price List'!$C$4:$F$102,4,FALSE),"")</f>
        <v/>
      </c>
      <c r="N1540" s="269">
        <f>IFERROR(IF(BA1540="WIP - 30 Days",VLOOKUP(D1540,[3]Extended!$B$9:$E$101,4,FALSE),IF(BA1540="31-120 Days",VLOOKUP(D1540,[3]Extended!$B$9:$F$101,5,FALSE),IF(BA1540="121-365 Days",VLOOKUP(D1540,[3]Extended!$B$9:$G$101,6,FALSE),VLOOKUP(D1540,[3]Extended!$B$9:$H$101,7,FALSE)))),0)</f>
        <v>0</v>
      </c>
      <c r="O1540" s="269">
        <f>IFERROR(IF(BA1540="WIP - 30 Days",VLOOKUP(D1540,[3]Extended!$B$9:$J$101,9,FALSE),IF(BA1540="31-120 Days",VLOOKUP(D1540,[3]Extended!$B$9:$K$101,10,FALSE),IF(BA1540="121-365 Days",VLOOKUP(D1540,[3]Extended!$B$9:$L$101,11,FALSE),VLOOKUP(D1540,[3]Extended!$B$9:$M$101,12,FALSE)))),0)</f>
        <v>0</v>
      </c>
      <c r="P1540" s="116" t="e">
        <f t="shared" si="116"/>
        <v>#VALUE!</v>
      </c>
      <c r="Q1540" s="110" t="e">
        <f>O1540-#REF!</f>
        <v>#REF!</v>
      </c>
      <c r="AT1540" s="88" t="str">
        <f t="shared" si="117"/>
        <v>Special Order0</v>
      </c>
      <c r="AU1540" s="89" t="str">
        <f t="shared" si="118"/>
        <v>01-1900</v>
      </c>
      <c r="BA1540" s="92" t="str">
        <f t="shared" si="119"/>
        <v/>
      </c>
    </row>
    <row r="1541" spans="2:53">
      <c r="B1541" s="60">
        <f>[2]Trucks!A1538</f>
        <v>0</v>
      </c>
      <c r="C1541" s="11">
        <f>[2]Trucks!B1538</f>
        <v>0</v>
      </c>
      <c r="D1541" s="19" t="str">
        <f>IFERROR(VLOOKUP(C1541&amp;"",'[2]Retail Price List'!$A$3:$B$103,2,FALSE),"Special Order")</f>
        <v>Special Order</v>
      </c>
      <c r="E1541" s="18">
        <f>[2]Trucks!J1538</f>
        <v>0</v>
      </c>
      <c r="F1541" s="12">
        <f>[2]Trucks!E1538</f>
        <v>0</v>
      </c>
      <c r="G1541" s="56">
        <f>[2]Trucks!K1538</f>
        <v>0</v>
      </c>
      <c r="H1541" s="46">
        <f>[2]Trucks!I1538</f>
        <v>0</v>
      </c>
      <c r="I1541" s="83" t="str">
        <f t="shared" ref="I1541:I1604" si="120">IFERROR(VLOOKUP(AU1541,$AW$5:$AY$40,3,FALSE),"")</f>
        <v/>
      </c>
      <c r="J1541" s="272" t="str">
        <f>IFERROR(VLOOKUP((D1541&amp;C1541)&amp;"",'[2]Retail Price List'!$C$4:$F$102,3,FALSE),"")</f>
        <v/>
      </c>
      <c r="K1541" s="272">
        <f>IFERROR(IF(BA1541="WIP - 30 Days",VLOOKUP(D1541,[3]Standard!$B$9:$E$101,4,FALSE),IF(BA1541="31-120 Days",VLOOKUP(D1541,[3]Standard!$B$9:$F$101,5,FALSE),IF(BA1541="121-365 Days",VLOOKUP(D1541,[3]Standard!$B$9:$G$101,6,FALSE),VLOOKUP(D1541,[3]Standard!$B$9:$H$101,7,FALSE)))),0)</f>
        <v>0</v>
      </c>
      <c r="L1541" s="272">
        <f>IFERROR(IF(BA1541="WIP - 30 Days",VLOOKUP(D1541,[3]Standard!$B$9:$J$101,9,FALSE),IF(BA1541="31-120 Days",VLOOKUP(D1541,[3]Standard!$B$9:$K$100,10,FALSE),IF(BA1541="121-365 Days",VLOOKUP(D1541,[3]Standard!$B$9:$L$101,11,FALSE),VLOOKUP(D1541,[3]Standard!$B$9:$M$101,12,FALSE)))),0)</f>
        <v>0</v>
      </c>
      <c r="M1541" s="269" t="str">
        <f>IFERROR(VLOOKUP((D1541&amp;C1541)&amp;"",'[2]Retail Price List'!$C$4:$F$102,4,FALSE),"")</f>
        <v/>
      </c>
      <c r="N1541" s="269">
        <f>IFERROR(IF(BA1541="WIP - 30 Days",VLOOKUP(D1541,[3]Extended!$B$9:$E$101,4,FALSE),IF(BA1541="31-120 Days",VLOOKUP(D1541,[3]Extended!$B$9:$F$101,5,FALSE),IF(BA1541="121-365 Days",VLOOKUP(D1541,[3]Extended!$B$9:$G$101,6,FALSE),VLOOKUP(D1541,[3]Extended!$B$9:$H$101,7,FALSE)))),0)</f>
        <v>0</v>
      </c>
      <c r="O1541" s="269">
        <f>IFERROR(IF(BA1541="WIP - 30 Days",VLOOKUP(D1541,[3]Extended!$B$9:$J$101,9,FALSE),IF(BA1541="31-120 Days",VLOOKUP(D1541,[3]Extended!$B$9:$K$101,10,FALSE),IF(BA1541="121-365 Days",VLOOKUP(D1541,[3]Extended!$B$9:$L$101,11,FALSE),VLOOKUP(D1541,[3]Extended!$B$9:$M$101,12,FALSE)))),0)</f>
        <v>0</v>
      </c>
      <c r="P1541" s="116" t="e">
        <f t="shared" ref="P1541:P1604" si="121">(M1541-O1541)/M1541</f>
        <v>#VALUE!</v>
      </c>
      <c r="Q1541" s="110" t="e">
        <f>O1541-#REF!</f>
        <v>#REF!</v>
      </c>
      <c r="AT1541" s="88" t="str">
        <f t="shared" ref="AT1541:AT1604" si="122">D1541&amp;I1541&amp;G1541</f>
        <v>Special Order0</v>
      </c>
      <c r="AU1541" s="89" t="str">
        <f t="shared" ref="AU1541:AU1604" si="123">IF(MONTH(H1541)&lt;10,0&amp;MONTH(H1541)&amp;"-"&amp;YEAR(H1541),MONTH(H1541)&amp;"-"&amp;YEAR(H1541))</f>
        <v>01-1900</v>
      </c>
      <c r="BA1541" s="92" t="str">
        <f t="shared" ref="BA1541:BA1604" si="124">IF(B1541=0,"",IF(AND(F1541&gt;=31,F1541&lt;=120),"31-120 Days",IF(AND(F1541&gt;=121,F1541&lt;=365),"121-365 Days",IF(OR(E1541="CKD",F1541&lt;=30),"WIP - 30 Days","&gt;365 Days"))))</f>
        <v/>
      </c>
    </row>
    <row r="1542" spans="2:53">
      <c r="B1542" s="60">
        <f>[2]Trucks!A1539</f>
        <v>0</v>
      </c>
      <c r="C1542" s="11">
        <f>[2]Trucks!B1539</f>
        <v>0</v>
      </c>
      <c r="D1542" s="19" t="str">
        <f>IFERROR(VLOOKUP(C1542&amp;"",'[2]Retail Price List'!$A$3:$B$103,2,FALSE),"Special Order")</f>
        <v>Special Order</v>
      </c>
      <c r="E1542" s="18">
        <f>[2]Trucks!J1539</f>
        <v>0</v>
      </c>
      <c r="F1542" s="12">
        <f>[2]Trucks!E1539</f>
        <v>0</v>
      </c>
      <c r="G1542" s="56">
        <f>[2]Trucks!K1539</f>
        <v>0</v>
      </c>
      <c r="H1542" s="46">
        <f>[2]Trucks!I1539</f>
        <v>0</v>
      </c>
      <c r="I1542" s="83" t="str">
        <f t="shared" si="120"/>
        <v/>
      </c>
      <c r="J1542" s="272" t="str">
        <f>IFERROR(VLOOKUP((D1542&amp;C1542)&amp;"",'[2]Retail Price List'!$C$4:$F$102,3,FALSE),"")</f>
        <v/>
      </c>
      <c r="K1542" s="272">
        <f>IFERROR(IF(BA1542="WIP - 30 Days",VLOOKUP(D1542,[3]Standard!$B$9:$E$101,4,FALSE),IF(BA1542="31-120 Days",VLOOKUP(D1542,[3]Standard!$B$9:$F$101,5,FALSE),IF(BA1542="121-365 Days",VLOOKUP(D1542,[3]Standard!$B$9:$G$101,6,FALSE),VLOOKUP(D1542,[3]Standard!$B$9:$H$101,7,FALSE)))),0)</f>
        <v>0</v>
      </c>
      <c r="L1542" s="272">
        <f>IFERROR(IF(BA1542="WIP - 30 Days",VLOOKUP(D1542,[3]Standard!$B$9:$J$101,9,FALSE),IF(BA1542="31-120 Days",VLOOKUP(D1542,[3]Standard!$B$9:$K$100,10,FALSE),IF(BA1542="121-365 Days",VLOOKUP(D1542,[3]Standard!$B$9:$L$101,11,FALSE),VLOOKUP(D1542,[3]Standard!$B$9:$M$101,12,FALSE)))),0)</f>
        <v>0</v>
      </c>
      <c r="M1542" s="269" t="str">
        <f>IFERROR(VLOOKUP((D1542&amp;C1542)&amp;"",'[2]Retail Price List'!$C$4:$F$102,4,FALSE),"")</f>
        <v/>
      </c>
      <c r="N1542" s="269">
        <f>IFERROR(IF(BA1542="WIP - 30 Days",VLOOKUP(D1542,[3]Extended!$B$9:$E$101,4,FALSE),IF(BA1542="31-120 Days",VLOOKUP(D1542,[3]Extended!$B$9:$F$101,5,FALSE),IF(BA1542="121-365 Days",VLOOKUP(D1542,[3]Extended!$B$9:$G$101,6,FALSE),VLOOKUP(D1542,[3]Extended!$B$9:$H$101,7,FALSE)))),0)</f>
        <v>0</v>
      </c>
      <c r="O1542" s="269">
        <f>IFERROR(IF(BA1542="WIP - 30 Days",VLOOKUP(D1542,[3]Extended!$B$9:$J$101,9,FALSE),IF(BA1542="31-120 Days",VLOOKUP(D1542,[3]Extended!$B$9:$K$101,10,FALSE),IF(BA1542="121-365 Days",VLOOKUP(D1542,[3]Extended!$B$9:$L$101,11,FALSE),VLOOKUP(D1542,[3]Extended!$B$9:$M$101,12,FALSE)))),0)</f>
        <v>0</v>
      </c>
      <c r="P1542" s="116" t="e">
        <f t="shared" si="121"/>
        <v>#VALUE!</v>
      </c>
      <c r="Q1542" s="110" t="e">
        <f>O1542-#REF!</f>
        <v>#REF!</v>
      </c>
      <c r="AT1542" s="88" t="str">
        <f t="shared" si="122"/>
        <v>Special Order0</v>
      </c>
      <c r="AU1542" s="89" t="str">
        <f t="shared" si="123"/>
        <v>01-1900</v>
      </c>
      <c r="BA1542" s="92" t="str">
        <f t="shared" si="124"/>
        <v/>
      </c>
    </row>
    <row r="1543" spans="2:53">
      <c r="B1543" s="60">
        <f>[2]Trucks!A1540</f>
        <v>0</v>
      </c>
      <c r="C1543" s="11">
        <f>[2]Trucks!B1540</f>
        <v>0</v>
      </c>
      <c r="D1543" s="19" t="str">
        <f>IFERROR(VLOOKUP(C1543&amp;"",'[2]Retail Price List'!$A$3:$B$103,2,FALSE),"Special Order")</f>
        <v>Special Order</v>
      </c>
      <c r="E1543" s="18">
        <f>[2]Trucks!J1540</f>
        <v>0</v>
      </c>
      <c r="F1543" s="12">
        <f>[2]Trucks!E1540</f>
        <v>0</v>
      </c>
      <c r="G1543" s="56">
        <f>[2]Trucks!K1540</f>
        <v>0</v>
      </c>
      <c r="H1543" s="46">
        <f>[2]Trucks!I1540</f>
        <v>0</v>
      </c>
      <c r="I1543" s="83" t="str">
        <f t="shared" si="120"/>
        <v/>
      </c>
      <c r="J1543" s="272" t="str">
        <f>IFERROR(VLOOKUP((D1543&amp;C1543)&amp;"",'[2]Retail Price List'!$C$4:$F$102,3,FALSE),"")</f>
        <v/>
      </c>
      <c r="K1543" s="272">
        <f>IFERROR(IF(BA1543="WIP - 30 Days",VLOOKUP(D1543,[3]Standard!$B$9:$E$101,4,FALSE),IF(BA1543="31-120 Days",VLOOKUP(D1543,[3]Standard!$B$9:$F$101,5,FALSE),IF(BA1543="121-365 Days",VLOOKUP(D1543,[3]Standard!$B$9:$G$101,6,FALSE),VLOOKUP(D1543,[3]Standard!$B$9:$H$101,7,FALSE)))),0)</f>
        <v>0</v>
      </c>
      <c r="L1543" s="272">
        <f>IFERROR(IF(BA1543="WIP - 30 Days",VLOOKUP(D1543,[3]Standard!$B$9:$J$101,9,FALSE),IF(BA1543="31-120 Days",VLOOKUP(D1543,[3]Standard!$B$9:$K$100,10,FALSE),IF(BA1543="121-365 Days",VLOOKUP(D1543,[3]Standard!$B$9:$L$101,11,FALSE),VLOOKUP(D1543,[3]Standard!$B$9:$M$101,12,FALSE)))),0)</f>
        <v>0</v>
      </c>
      <c r="M1543" s="269" t="str">
        <f>IFERROR(VLOOKUP((D1543&amp;C1543)&amp;"",'[2]Retail Price List'!$C$4:$F$102,4,FALSE),"")</f>
        <v/>
      </c>
      <c r="N1543" s="269">
        <f>IFERROR(IF(BA1543="WIP - 30 Days",VLOOKUP(D1543,[3]Extended!$B$9:$E$101,4,FALSE),IF(BA1543="31-120 Days",VLOOKUP(D1543,[3]Extended!$B$9:$F$101,5,FALSE),IF(BA1543="121-365 Days",VLOOKUP(D1543,[3]Extended!$B$9:$G$101,6,FALSE),VLOOKUP(D1543,[3]Extended!$B$9:$H$101,7,FALSE)))),0)</f>
        <v>0</v>
      </c>
      <c r="O1543" s="269">
        <f>IFERROR(IF(BA1543="WIP - 30 Days",VLOOKUP(D1543,[3]Extended!$B$9:$J$101,9,FALSE),IF(BA1543="31-120 Days",VLOOKUP(D1543,[3]Extended!$B$9:$K$101,10,FALSE),IF(BA1543="121-365 Days",VLOOKUP(D1543,[3]Extended!$B$9:$L$101,11,FALSE),VLOOKUP(D1543,[3]Extended!$B$9:$M$101,12,FALSE)))),0)</f>
        <v>0</v>
      </c>
      <c r="P1543" s="116" t="e">
        <f t="shared" si="121"/>
        <v>#VALUE!</v>
      </c>
      <c r="Q1543" s="110" t="e">
        <f>O1543-#REF!</f>
        <v>#REF!</v>
      </c>
      <c r="AT1543" s="88" t="str">
        <f t="shared" si="122"/>
        <v>Special Order0</v>
      </c>
      <c r="AU1543" s="89" t="str">
        <f t="shared" si="123"/>
        <v>01-1900</v>
      </c>
      <c r="BA1543" s="92" t="str">
        <f t="shared" si="124"/>
        <v/>
      </c>
    </row>
    <row r="1544" spans="2:53">
      <c r="B1544" s="60">
        <f>[2]Trucks!A1541</f>
        <v>0</v>
      </c>
      <c r="C1544" s="11">
        <f>[2]Trucks!B1541</f>
        <v>0</v>
      </c>
      <c r="D1544" s="19" t="str">
        <f>IFERROR(VLOOKUP(C1544&amp;"",'[2]Retail Price List'!$A$3:$B$103,2,FALSE),"Special Order")</f>
        <v>Special Order</v>
      </c>
      <c r="E1544" s="18">
        <f>[2]Trucks!J1541</f>
        <v>0</v>
      </c>
      <c r="F1544" s="12">
        <f>[2]Trucks!E1541</f>
        <v>0</v>
      </c>
      <c r="G1544" s="56">
        <f>[2]Trucks!K1541</f>
        <v>0</v>
      </c>
      <c r="H1544" s="46">
        <f>[2]Trucks!I1541</f>
        <v>0</v>
      </c>
      <c r="I1544" s="83" t="str">
        <f t="shared" si="120"/>
        <v/>
      </c>
      <c r="J1544" s="272" t="str">
        <f>IFERROR(VLOOKUP((D1544&amp;C1544)&amp;"",'[2]Retail Price List'!$C$4:$F$102,3,FALSE),"")</f>
        <v/>
      </c>
      <c r="K1544" s="272">
        <f>IFERROR(IF(BA1544="WIP - 30 Days",VLOOKUP(D1544,[3]Standard!$B$9:$E$101,4,FALSE),IF(BA1544="31-120 Days",VLOOKUP(D1544,[3]Standard!$B$9:$F$101,5,FALSE),IF(BA1544="121-365 Days",VLOOKUP(D1544,[3]Standard!$B$9:$G$101,6,FALSE),VLOOKUP(D1544,[3]Standard!$B$9:$H$101,7,FALSE)))),0)</f>
        <v>0</v>
      </c>
      <c r="L1544" s="272">
        <f>IFERROR(IF(BA1544="WIP - 30 Days",VLOOKUP(D1544,[3]Standard!$B$9:$J$101,9,FALSE),IF(BA1544="31-120 Days",VLOOKUP(D1544,[3]Standard!$B$9:$K$100,10,FALSE),IF(BA1544="121-365 Days",VLOOKUP(D1544,[3]Standard!$B$9:$L$101,11,FALSE),VLOOKUP(D1544,[3]Standard!$B$9:$M$101,12,FALSE)))),0)</f>
        <v>0</v>
      </c>
      <c r="M1544" s="269" t="str">
        <f>IFERROR(VLOOKUP((D1544&amp;C1544)&amp;"",'[2]Retail Price List'!$C$4:$F$102,4,FALSE),"")</f>
        <v/>
      </c>
      <c r="N1544" s="269">
        <f>IFERROR(IF(BA1544="WIP - 30 Days",VLOOKUP(D1544,[3]Extended!$B$9:$E$101,4,FALSE),IF(BA1544="31-120 Days",VLOOKUP(D1544,[3]Extended!$B$9:$F$101,5,FALSE),IF(BA1544="121-365 Days",VLOOKUP(D1544,[3]Extended!$B$9:$G$101,6,FALSE),VLOOKUP(D1544,[3]Extended!$B$9:$H$101,7,FALSE)))),0)</f>
        <v>0</v>
      </c>
      <c r="O1544" s="269">
        <f>IFERROR(IF(BA1544="WIP - 30 Days",VLOOKUP(D1544,[3]Extended!$B$9:$J$101,9,FALSE),IF(BA1544="31-120 Days",VLOOKUP(D1544,[3]Extended!$B$9:$K$101,10,FALSE),IF(BA1544="121-365 Days",VLOOKUP(D1544,[3]Extended!$B$9:$L$101,11,FALSE),VLOOKUP(D1544,[3]Extended!$B$9:$M$101,12,FALSE)))),0)</f>
        <v>0</v>
      </c>
      <c r="P1544" s="116" t="e">
        <f t="shared" si="121"/>
        <v>#VALUE!</v>
      </c>
      <c r="Q1544" s="110" t="e">
        <f>O1544-#REF!</f>
        <v>#REF!</v>
      </c>
      <c r="AT1544" s="88" t="str">
        <f t="shared" si="122"/>
        <v>Special Order0</v>
      </c>
      <c r="AU1544" s="89" t="str">
        <f t="shared" si="123"/>
        <v>01-1900</v>
      </c>
      <c r="BA1544" s="92" t="str">
        <f t="shared" si="124"/>
        <v/>
      </c>
    </row>
    <row r="1545" spans="2:53">
      <c r="B1545" s="60">
        <f>[2]Trucks!A1542</f>
        <v>0</v>
      </c>
      <c r="C1545" s="11">
        <f>[2]Trucks!B1542</f>
        <v>0</v>
      </c>
      <c r="D1545" s="19" t="str">
        <f>IFERROR(VLOOKUP(C1545&amp;"",'[2]Retail Price List'!$A$3:$B$103,2,FALSE),"Special Order")</f>
        <v>Special Order</v>
      </c>
      <c r="E1545" s="18">
        <f>[2]Trucks!J1542</f>
        <v>0</v>
      </c>
      <c r="F1545" s="12">
        <f>[2]Trucks!E1542</f>
        <v>0</v>
      </c>
      <c r="G1545" s="56">
        <f>[2]Trucks!K1542</f>
        <v>0</v>
      </c>
      <c r="H1545" s="46">
        <f>[2]Trucks!I1542</f>
        <v>0</v>
      </c>
      <c r="I1545" s="83" t="str">
        <f t="shared" si="120"/>
        <v/>
      </c>
      <c r="J1545" s="272" t="str">
        <f>IFERROR(VLOOKUP((D1545&amp;C1545)&amp;"",'[2]Retail Price List'!$C$4:$F$102,3,FALSE),"")</f>
        <v/>
      </c>
      <c r="K1545" s="272">
        <f>IFERROR(IF(BA1545="WIP - 30 Days",VLOOKUP(D1545,[3]Standard!$B$9:$E$101,4,FALSE),IF(BA1545="31-120 Days",VLOOKUP(D1545,[3]Standard!$B$9:$F$101,5,FALSE),IF(BA1545="121-365 Days",VLOOKUP(D1545,[3]Standard!$B$9:$G$101,6,FALSE),VLOOKUP(D1545,[3]Standard!$B$9:$H$101,7,FALSE)))),0)</f>
        <v>0</v>
      </c>
      <c r="L1545" s="272">
        <f>IFERROR(IF(BA1545="WIP - 30 Days",VLOOKUP(D1545,[3]Standard!$B$9:$J$101,9,FALSE),IF(BA1545="31-120 Days",VLOOKUP(D1545,[3]Standard!$B$9:$K$100,10,FALSE),IF(BA1545="121-365 Days",VLOOKUP(D1545,[3]Standard!$B$9:$L$101,11,FALSE),VLOOKUP(D1545,[3]Standard!$B$9:$M$101,12,FALSE)))),0)</f>
        <v>0</v>
      </c>
      <c r="M1545" s="269" t="str">
        <f>IFERROR(VLOOKUP((D1545&amp;C1545)&amp;"",'[2]Retail Price List'!$C$4:$F$102,4,FALSE),"")</f>
        <v/>
      </c>
      <c r="N1545" s="269">
        <f>IFERROR(IF(BA1545="WIP - 30 Days",VLOOKUP(D1545,[3]Extended!$B$9:$E$101,4,FALSE),IF(BA1545="31-120 Days",VLOOKUP(D1545,[3]Extended!$B$9:$F$101,5,FALSE),IF(BA1545="121-365 Days",VLOOKUP(D1545,[3]Extended!$B$9:$G$101,6,FALSE),VLOOKUP(D1545,[3]Extended!$B$9:$H$101,7,FALSE)))),0)</f>
        <v>0</v>
      </c>
      <c r="O1545" s="269">
        <f>IFERROR(IF(BA1545="WIP - 30 Days",VLOOKUP(D1545,[3]Extended!$B$9:$J$101,9,FALSE),IF(BA1545="31-120 Days",VLOOKUP(D1545,[3]Extended!$B$9:$K$101,10,FALSE),IF(BA1545="121-365 Days",VLOOKUP(D1545,[3]Extended!$B$9:$L$101,11,FALSE),VLOOKUP(D1545,[3]Extended!$B$9:$M$101,12,FALSE)))),0)</f>
        <v>0</v>
      </c>
      <c r="P1545" s="116" t="e">
        <f t="shared" si="121"/>
        <v>#VALUE!</v>
      </c>
      <c r="Q1545" s="110" t="e">
        <f>O1545-#REF!</f>
        <v>#REF!</v>
      </c>
      <c r="AT1545" s="88" t="str">
        <f t="shared" si="122"/>
        <v>Special Order0</v>
      </c>
      <c r="AU1545" s="89" t="str">
        <f t="shared" si="123"/>
        <v>01-1900</v>
      </c>
      <c r="BA1545" s="92" t="str">
        <f t="shared" si="124"/>
        <v/>
      </c>
    </row>
    <row r="1546" spans="2:53">
      <c r="B1546" s="60">
        <f>[2]Trucks!A1543</f>
        <v>0</v>
      </c>
      <c r="C1546" s="11">
        <f>[2]Trucks!B1543</f>
        <v>0</v>
      </c>
      <c r="D1546" s="19" t="str">
        <f>IFERROR(VLOOKUP(C1546&amp;"",'[2]Retail Price List'!$A$3:$B$103,2,FALSE),"Special Order")</f>
        <v>Special Order</v>
      </c>
      <c r="E1546" s="18">
        <f>[2]Trucks!J1543</f>
        <v>0</v>
      </c>
      <c r="F1546" s="12">
        <f>[2]Trucks!E1543</f>
        <v>0</v>
      </c>
      <c r="G1546" s="56">
        <f>[2]Trucks!K1543</f>
        <v>0</v>
      </c>
      <c r="H1546" s="46">
        <f>[2]Trucks!I1543</f>
        <v>0</v>
      </c>
      <c r="I1546" s="83" t="str">
        <f t="shared" si="120"/>
        <v/>
      </c>
      <c r="J1546" s="272" t="str">
        <f>IFERROR(VLOOKUP((D1546&amp;C1546)&amp;"",'[2]Retail Price List'!$C$4:$F$102,3,FALSE),"")</f>
        <v/>
      </c>
      <c r="K1546" s="272">
        <f>IFERROR(IF(BA1546="WIP - 30 Days",VLOOKUP(D1546,[3]Standard!$B$9:$E$101,4,FALSE),IF(BA1546="31-120 Days",VLOOKUP(D1546,[3]Standard!$B$9:$F$101,5,FALSE),IF(BA1546="121-365 Days",VLOOKUP(D1546,[3]Standard!$B$9:$G$101,6,FALSE),VLOOKUP(D1546,[3]Standard!$B$9:$H$101,7,FALSE)))),0)</f>
        <v>0</v>
      </c>
      <c r="L1546" s="272">
        <f>IFERROR(IF(BA1546="WIP - 30 Days",VLOOKUP(D1546,[3]Standard!$B$9:$J$101,9,FALSE),IF(BA1546="31-120 Days",VLOOKUP(D1546,[3]Standard!$B$9:$K$100,10,FALSE),IF(BA1546="121-365 Days",VLOOKUP(D1546,[3]Standard!$B$9:$L$101,11,FALSE),VLOOKUP(D1546,[3]Standard!$B$9:$M$101,12,FALSE)))),0)</f>
        <v>0</v>
      </c>
      <c r="M1546" s="269" t="str">
        <f>IFERROR(VLOOKUP((D1546&amp;C1546)&amp;"",'[2]Retail Price List'!$C$4:$F$102,4,FALSE),"")</f>
        <v/>
      </c>
      <c r="N1546" s="269">
        <f>IFERROR(IF(BA1546="WIP - 30 Days",VLOOKUP(D1546,[3]Extended!$B$9:$E$101,4,FALSE),IF(BA1546="31-120 Days",VLOOKUP(D1546,[3]Extended!$B$9:$F$101,5,FALSE),IF(BA1546="121-365 Days",VLOOKUP(D1546,[3]Extended!$B$9:$G$101,6,FALSE),VLOOKUP(D1546,[3]Extended!$B$9:$H$101,7,FALSE)))),0)</f>
        <v>0</v>
      </c>
      <c r="O1546" s="269">
        <f>IFERROR(IF(BA1546="WIP - 30 Days",VLOOKUP(D1546,[3]Extended!$B$9:$J$101,9,FALSE),IF(BA1546="31-120 Days",VLOOKUP(D1546,[3]Extended!$B$9:$K$101,10,FALSE),IF(BA1546="121-365 Days",VLOOKUP(D1546,[3]Extended!$B$9:$L$101,11,FALSE),VLOOKUP(D1546,[3]Extended!$B$9:$M$101,12,FALSE)))),0)</f>
        <v>0</v>
      </c>
      <c r="P1546" s="116" t="e">
        <f t="shared" si="121"/>
        <v>#VALUE!</v>
      </c>
      <c r="Q1546" s="110" t="e">
        <f>O1546-#REF!</f>
        <v>#REF!</v>
      </c>
      <c r="AT1546" s="88" t="str">
        <f t="shared" si="122"/>
        <v>Special Order0</v>
      </c>
      <c r="AU1546" s="89" t="str">
        <f t="shared" si="123"/>
        <v>01-1900</v>
      </c>
      <c r="BA1546" s="92" t="str">
        <f t="shared" si="124"/>
        <v/>
      </c>
    </row>
    <row r="1547" spans="2:53">
      <c r="B1547" s="60">
        <f>[2]Trucks!A1544</f>
        <v>0</v>
      </c>
      <c r="C1547" s="11">
        <f>[2]Trucks!B1544</f>
        <v>0</v>
      </c>
      <c r="D1547" s="19" t="str">
        <f>IFERROR(VLOOKUP(C1547&amp;"",'[2]Retail Price List'!$A$3:$B$103,2,FALSE),"Special Order")</f>
        <v>Special Order</v>
      </c>
      <c r="E1547" s="18">
        <f>[2]Trucks!J1544</f>
        <v>0</v>
      </c>
      <c r="F1547" s="12">
        <f>[2]Trucks!E1544</f>
        <v>0</v>
      </c>
      <c r="G1547" s="56">
        <f>[2]Trucks!K1544</f>
        <v>0</v>
      </c>
      <c r="H1547" s="46">
        <f>[2]Trucks!I1544</f>
        <v>0</v>
      </c>
      <c r="I1547" s="83" t="str">
        <f t="shared" si="120"/>
        <v/>
      </c>
      <c r="J1547" s="272" t="str">
        <f>IFERROR(VLOOKUP((D1547&amp;C1547)&amp;"",'[2]Retail Price List'!$C$4:$F$102,3,FALSE),"")</f>
        <v/>
      </c>
      <c r="K1547" s="272">
        <f>IFERROR(IF(BA1547="WIP - 30 Days",VLOOKUP(D1547,[3]Standard!$B$9:$E$101,4,FALSE),IF(BA1547="31-120 Days",VLOOKUP(D1547,[3]Standard!$B$9:$F$101,5,FALSE),IF(BA1547="121-365 Days",VLOOKUP(D1547,[3]Standard!$B$9:$G$101,6,FALSE),VLOOKUP(D1547,[3]Standard!$B$9:$H$101,7,FALSE)))),0)</f>
        <v>0</v>
      </c>
      <c r="L1547" s="272">
        <f>IFERROR(IF(BA1547="WIP - 30 Days",VLOOKUP(D1547,[3]Standard!$B$9:$J$101,9,FALSE),IF(BA1547="31-120 Days",VLOOKUP(D1547,[3]Standard!$B$9:$K$100,10,FALSE),IF(BA1547="121-365 Days",VLOOKUP(D1547,[3]Standard!$B$9:$L$101,11,FALSE),VLOOKUP(D1547,[3]Standard!$B$9:$M$101,12,FALSE)))),0)</f>
        <v>0</v>
      </c>
      <c r="M1547" s="269" t="str">
        <f>IFERROR(VLOOKUP((D1547&amp;C1547)&amp;"",'[2]Retail Price List'!$C$4:$F$102,4,FALSE),"")</f>
        <v/>
      </c>
      <c r="N1547" s="269">
        <f>IFERROR(IF(BA1547="WIP - 30 Days",VLOOKUP(D1547,[3]Extended!$B$9:$E$101,4,FALSE),IF(BA1547="31-120 Days",VLOOKUP(D1547,[3]Extended!$B$9:$F$101,5,FALSE),IF(BA1547="121-365 Days",VLOOKUP(D1547,[3]Extended!$B$9:$G$101,6,FALSE),VLOOKUP(D1547,[3]Extended!$B$9:$H$101,7,FALSE)))),0)</f>
        <v>0</v>
      </c>
      <c r="O1547" s="269">
        <f>IFERROR(IF(BA1547="WIP - 30 Days",VLOOKUP(D1547,[3]Extended!$B$9:$J$101,9,FALSE),IF(BA1547="31-120 Days",VLOOKUP(D1547,[3]Extended!$B$9:$K$101,10,FALSE),IF(BA1547="121-365 Days",VLOOKUP(D1547,[3]Extended!$B$9:$L$101,11,FALSE),VLOOKUP(D1547,[3]Extended!$B$9:$M$101,12,FALSE)))),0)</f>
        <v>0</v>
      </c>
      <c r="P1547" s="116" t="e">
        <f t="shared" si="121"/>
        <v>#VALUE!</v>
      </c>
      <c r="Q1547" s="110" t="e">
        <f>O1547-#REF!</f>
        <v>#REF!</v>
      </c>
      <c r="AT1547" s="88" t="str">
        <f t="shared" si="122"/>
        <v>Special Order0</v>
      </c>
      <c r="AU1547" s="89" t="str">
        <f t="shared" si="123"/>
        <v>01-1900</v>
      </c>
      <c r="BA1547" s="92" t="str">
        <f t="shared" si="124"/>
        <v/>
      </c>
    </row>
    <row r="1548" spans="2:53">
      <c r="B1548" s="60">
        <f>[2]Trucks!A1545</f>
        <v>0</v>
      </c>
      <c r="C1548" s="11">
        <f>[2]Trucks!B1545</f>
        <v>0</v>
      </c>
      <c r="D1548" s="19" t="str">
        <f>IFERROR(VLOOKUP(C1548&amp;"",'[2]Retail Price List'!$A$3:$B$103,2,FALSE),"Special Order")</f>
        <v>Special Order</v>
      </c>
      <c r="E1548" s="18">
        <f>[2]Trucks!J1545</f>
        <v>0</v>
      </c>
      <c r="F1548" s="12">
        <f>[2]Trucks!E1545</f>
        <v>0</v>
      </c>
      <c r="G1548" s="56">
        <f>[2]Trucks!K1545</f>
        <v>0</v>
      </c>
      <c r="H1548" s="46">
        <f>[2]Trucks!I1545</f>
        <v>0</v>
      </c>
      <c r="I1548" s="83" t="str">
        <f t="shared" si="120"/>
        <v/>
      </c>
      <c r="J1548" s="272" t="str">
        <f>IFERROR(VLOOKUP((D1548&amp;C1548)&amp;"",'[2]Retail Price List'!$C$4:$F$102,3,FALSE),"")</f>
        <v/>
      </c>
      <c r="K1548" s="272">
        <f>IFERROR(IF(BA1548="WIP - 30 Days",VLOOKUP(D1548,[3]Standard!$B$9:$E$101,4,FALSE),IF(BA1548="31-120 Days",VLOOKUP(D1548,[3]Standard!$B$9:$F$101,5,FALSE),IF(BA1548="121-365 Days",VLOOKUP(D1548,[3]Standard!$B$9:$G$101,6,FALSE),VLOOKUP(D1548,[3]Standard!$B$9:$H$101,7,FALSE)))),0)</f>
        <v>0</v>
      </c>
      <c r="L1548" s="272">
        <f>IFERROR(IF(BA1548="WIP - 30 Days",VLOOKUP(D1548,[3]Standard!$B$9:$J$101,9,FALSE),IF(BA1548="31-120 Days",VLOOKUP(D1548,[3]Standard!$B$9:$K$100,10,FALSE),IF(BA1548="121-365 Days",VLOOKUP(D1548,[3]Standard!$B$9:$L$101,11,FALSE),VLOOKUP(D1548,[3]Standard!$B$9:$M$101,12,FALSE)))),0)</f>
        <v>0</v>
      </c>
      <c r="M1548" s="269" t="str">
        <f>IFERROR(VLOOKUP((D1548&amp;C1548)&amp;"",'[2]Retail Price List'!$C$4:$F$102,4,FALSE),"")</f>
        <v/>
      </c>
      <c r="N1548" s="269">
        <f>IFERROR(IF(BA1548="WIP - 30 Days",VLOOKUP(D1548,[3]Extended!$B$9:$E$101,4,FALSE),IF(BA1548="31-120 Days",VLOOKUP(D1548,[3]Extended!$B$9:$F$101,5,FALSE),IF(BA1548="121-365 Days",VLOOKUP(D1548,[3]Extended!$B$9:$G$101,6,FALSE),VLOOKUP(D1548,[3]Extended!$B$9:$H$101,7,FALSE)))),0)</f>
        <v>0</v>
      </c>
      <c r="O1548" s="269">
        <f>IFERROR(IF(BA1548="WIP - 30 Days",VLOOKUP(D1548,[3]Extended!$B$9:$J$101,9,FALSE),IF(BA1548="31-120 Days",VLOOKUP(D1548,[3]Extended!$B$9:$K$101,10,FALSE),IF(BA1548="121-365 Days",VLOOKUP(D1548,[3]Extended!$B$9:$L$101,11,FALSE),VLOOKUP(D1548,[3]Extended!$B$9:$M$101,12,FALSE)))),0)</f>
        <v>0</v>
      </c>
      <c r="P1548" s="116" t="e">
        <f t="shared" si="121"/>
        <v>#VALUE!</v>
      </c>
      <c r="Q1548" s="110" t="e">
        <f>O1548-#REF!</f>
        <v>#REF!</v>
      </c>
      <c r="AT1548" s="88" t="str">
        <f t="shared" si="122"/>
        <v>Special Order0</v>
      </c>
      <c r="AU1548" s="89" t="str">
        <f t="shared" si="123"/>
        <v>01-1900</v>
      </c>
      <c r="BA1548" s="92" t="str">
        <f t="shared" si="124"/>
        <v/>
      </c>
    </row>
    <row r="1549" spans="2:53">
      <c r="B1549" s="60">
        <f>[2]Trucks!A1546</f>
        <v>0</v>
      </c>
      <c r="C1549" s="11">
        <f>[2]Trucks!B1546</f>
        <v>0</v>
      </c>
      <c r="D1549" s="19" t="str">
        <f>IFERROR(VLOOKUP(C1549&amp;"",'[2]Retail Price List'!$A$3:$B$103,2,FALSE),"Special Order")</f>
        <v>Special Order</v>
      </c>
      <c r="E1549" s="18">
        <f>[2]Trucks!J1546</f>
        <v>0</v>
      </c>
      <c r="F1549" s="12">
        <f>[2]Trucks!E1546</f>
        <v>0</v>
      </c>
      <c r="G1549" s="56">
        <f>[2]Trucks!K1546</f>
        <v>0</v>
      </c>
      <c r="H1549" s="46">
        <f>[2]Trucks!I1546</f>
        <v>0</v>
      </c>
      <c r="I1549" s="83" t="str">
        <f t="shared" si="120"/>
        <v/>
      </c>
      <c r="J1549" s="272" t="str">
        <f>IFERROR(VLOOKUP((D1549&amp;C1549)&amp;"",'[2]Retail Price List'!$C$4:$F$102,3,FALSE),"")</f>
        <v/>
      </c>
      <c r="K1549" s="272">
        <f>IFERROR(IF(BA1549="WIP - 30 Days",VLOOKUP(D1549,[3]Standard!$B$9:$E$101,4,FALSE),IF(BA1549="31-120 Days",VLOOKUP(D1549,[3]Standard!$B$9:$F$101,5,FALSE),IF(BA1549="121-365 Days",VLOOKUP(D1549,[3]Standard!$B$9:$G$101,6,FALSE),VLOOKUP(D1549,[3]Standard!$B$9:$H$101,7,FALSE)))),0)</f>
        <v>0</v>
      </c>
      <c r="L1549" s="272">
        <f>IFERROR(IF(BA1549="WIP - 30 Days",VLOOKUP(D1549,[3]Standard!$B$9:$J$101,9,FALSE),IF(BA1549="31-120 Days",VLOOKUP(D1549,[3]Standard!$B$9:$K$100,10,FALSE),IF(BA1549="121-365 Days",VLOOKUP(D1549,[3]Standard!$B$9:$L$101,11,FALSE),VLOOKUP(D1549,[3]Standard!$B$9:$M$101,12,FALSE)))),0)</f>
        <v>0</v>
      </c>
      <c r="M1549" s="269" t="str">
        <f>IFERROR(VLOOKUP((D1549&amp;C1549)&amp;"",'[2]Retail Price List'!$C$4:$F$102,4,FALSE),"")</f>
        <v/>
      </c>
      <c r="N1549" s="269">
        <f>IFERROR(IF(BA1549="WIP - 30 Days",VLOOKUP(D1549,[3]Extended!$B$9:$E$101,4,FALSE),IF(BA1549="31-120 Days",VLOOKUP(D1549,[3]Extended!$B$9:$F$101,5,FALSE),IF(BA1549="121-365 Days",VLOOKUP(D1549,[3]Extended!$B$9:$G$101,6,FALSE),VLOOKUP(D1549,[3]Extended!$B$9:$H$101,7,FALSE)))),0)</f>
        <v>0</v>
      </c>
      <c r="O1549" s="269">
        <f>IFERROR(IF(BA1549="WIP - 30 Days",VLOOKUP(D1549,[3]Extended!$B$9:$J$101,9,FALSE),IF(BA1549="31-120 Days",VLOOKUP(D1549,[3]Extended!$B$9:$K$101,10,FALSE),IF(BA1549="121-365 Days",VLOOKUP(D1549,[3]Extended!$B$9:$L$101,11,FALSE),VLOOKUP(D1549,[3]Extended!$B$9:$M$101,12,FALSE)))),0)</f>
        <v>0</v>
      </c>
      <c r="P1549" s="116" t="e">
        <f t="shared" si="121"/>
        <v>#VALUE!</v>
      </c>
      <c r="Q1549" s="110" t="e">
        <f>O1549-#REF!</f>
        <v>#REF!</v>
      </c>
      <c r="AT1549" s="88" t="str">
        <f t="shared" si="122"/>
        <v>Special Order0</v>
      </c>
      <c r="AU1549" s="89" t="str">
        <f t="shared" si="123"/>
        <v>01-1900</v>
      </c>
      <c r="BA1549" s="92" t="str">
        <f t="shared" si="124"/>
        <v/>
      </c>
    </row>
    <row r="1550" spans="2:53">
      <c r="B1550" s="60">
        <f>[2]Trucks!A1547</f>
        <v>0</v>
      </c>
      <c r="C1550" s="11">
        <f>[2]Trucks!B1547</f>
        <v>0</v>
      </c>
      <c r="D1550" s="19" t="str">
        <f>IFERROR(VLOOKUP(C1550&amp;"",'[2]Retail Price List'!$A$3:$B$103,2,FALSE),"Special Order")</f>
        <v>Special Order</v>
      </c>
      <c r="E1550" s="18">
        <f>[2]Trucks!J1547</f>
        <v>0</v>
      </c>
      <c r="F1550" s="12">
        <f>[2]Trucks!E1547</f>
        <v>0</v>
      </c>
      <c r="G1550" s="56">
        <f>[2]Trucks!K1547</f>
        <v>0</v>
      </c>
      <c r="H1550" s="46">
        <f>[2]Trucks!I1547</f>
        <v>0</v>
      </c>
      <c r="I1550" s="83" t="str">
        <f t="shared" si="120"/>
        <v/>
      </c>
      <c r="J1550" s="272" t="str">
        <f>IFERROR(VLOOKUP((D1550&amp;C1550)&amp;"",'[2]Retail Price List'!$C$4:$F$102,3,FALSE),"")</f>
        <v/>
      </c>
      <c r="K1550" s="272">
        <f>IFERROR(IF(BA1550="WIP - 30 Days",VLOOKUP(D1550,[3]Standard!$B$9:$E$101,4,FALSE),IF(BA1550="31-120 Days",VLOOKUP(D1550,[3]Standard!$B$9:$F$101,5,FALSE),IF(BA1550="121-365 Days",VLOOKUP(D1550,[3]Standard!$B$9:$G$101,6,FALSE),VLOOKUP(D1550,[3]Standard!$B$9:$H$101,7,FALSE)))),0)</f>
        <v>0</v>
      </c>
      <c r="L1550" s="272">
        <f>IFERROR(IF(BA1550="WIP - 30 Days",VLOOKUP(D1550,[3]Standard!$B$9:$J$101,9,FALSE),IF(BA1550="31-120 Days",VLOOKUP(D1550,[3]Standard!$B$9:$K$100,10,FALSE),IF(BA1550="121-365 Days",VLOOKUP(D1550,[3]Standard!$B$9:$L$101,11,FALSE),VLOOKUP(D1550,[3]Standard!$B$9:$M$101,12,FALSE)))),0)</f>
        <v>0</v>
      </c>
      <c r="M1550" s="269" t="str">
        <f>IFERROR(VLOOKUP((D1550&amp;C1550)&amp;"",'[2]Retail Price List'!$C$4:$F$102,4,FALSE),"")</f>
        <v/>
      </c>
      <c r="N1550" s="269">
        <f>IFERROR(IF(BA1550="WIP - 30 Days",VLOOKUP(D1550,[3]Extended!$B$9:$E$101,4,FALSE),IF(BA1550="31-120 Days",VLOOKUP(D1550,[3]Extended!$B$9:$F$101,5,FALSE),IF(BA1550="121-365 Days",VLOOKUP(D1550,[3]Extended!$B$9:$G$101,6,FALSE),VLOOKUP(D1550,[3]Extended!$B$9:$H$101,7,FALSE)))),0)</f>
        <v>0</v>
      </c>
      <c r="O1550" s="269">
        <f>IFERROR(IF(BA1550="WIP - 30 Days",VLOOKUP(D1550,[3]Extended!$B$9:$J$101,9,FALSE),IF(BA1550="31-120 Days",VLOOKUP(D1550,[3]Extended!$B$9:$K$101,10,FALSE),IF(BA1550="121-365 Days",VLOOKUP(D1550,[3]Extended!$B$9:$L$101,11,FALSE),VLOOKUP(D1550,[3]Extended!$B$9:$M$101,12,FALSE)))),0)</f>
        <v>0</v>
      </c>
      <c r="P1550" s="116" t="e">
        <f t="shared" si="121"/>
        <v>#VALUE!</v>
      </c>
      <c r="Q1550" s="110" t="e">
        <f>O1550-#REF!</f>
        <v>#REF!</v>
      </c>
      <c r="AT1550" s="88" t="str">
        <f t="shared" si="122"/>
        <v>Special Order0</v>
      </c>
      <c r="AU1550" s="89" t="str">
        <f t="shared" si="123"/>
        <v>01-1900</v>
      </c>
      <c r="BA1550" s="92" t="str">
        <f t="shared" si="124"/>
        <v/>
      </c>
    </row>
    <row r="1551" spans="2:53">
      <c r="B1551" s="60">
        <f>[2]Trucks!A1548</f>
        <v>0</v>
      </c>
      <c r="C1551" s="11">
        <f>[2]Trucks!B1548</f>
        <v>0</v>
      </c>
      <c r="D1551" s="19" t="str">
        <f>IFERROR(VLOOKUP(C1551&amp;"",'[2]Retail Price List'!$A$3:$B$103,2,FALSE),"Special Order")</f>
        <v>Special Order</v>
      </c>
      <c r="E1551" s="18">
        <f>[2]Trucks!J1548</f>
        <v>0</v>
      </c>
      <c r="F1551" s="12">
        <f>[2]Trucks!E1548</f>
        <v>0</v>
      </c>
      <c r="G1551" s="56">
        <f>[2]Trucks!K1548</f>
        <v>0</v>
      </c>
      <c r="H1551" s="46">
        <f>[2]Trucks!I1548</f>
        <v>0</v>
      </c>
      <c r="I1551" s="83" t="str">
        <f t="shared" si="120"/>
        <v/>
      </c>
      <c r="J1551" s="272" t="str">
        <f>IFERROR(VLOOKUP((D1551&amp;C1551)&amp;"",'[2]Retail Price List'!$C$4:$F$102,3,FALSE),"")</f>
        <v/>
      </c>
      <c r="K1551" s="272">
        <f>IFERROR(IF(BA1551="WIP - 30 Days",VLOOKUP(D1551,[3]Standard!$B$9:$E$101,4,FALSE),IF(BA1551="31-120 Days",VLOOKUP(D1551,[3]Standard!$B$9:$F$101,5,FALSE),IF(BA1551="121-365 Days",VLOOKUP(D1551,[3]Standard!$B$9:$G$101,6,FALSE),VLOOKUP(D1551,[3]Standard!$B$9:$H$101,7,FALSE)))),0)</f>
        <v>0</v>
      </c>
      <c r="L1551" s="272">
        <f>IFERROR(IF(BA1551="WIP - 30 Days",VLOOKUP(D1551,[3]Standard!$B$9:$J$101,9,FALSE),IF(BA1551="31-120 Days",VLOOKUP(D1551,[3]Standard!$B$9:$K$100,10,FALSE),IF(BA1551="121-365 Days",VLOOKUP(D1551,[3]Standard!$B$9:$L$101,11,FALSE),VLOOKUP(D1551,[3]Standard!$B$9:$M$101,12,FALSE)))),0)</f>
        <v>0</v>
      </c>
      <c r="M1551" s="269" t="str">
        <f>IFERROR(VLOOKUP((D1551&amp;C1551)&amp;"",'[2]Retail Price List'!$C$4:$F$102,4,FALSE),"")</f>
        <v/>
      </c>
      <c r="N1551" s="269">
        <f>IFERROR(IF(BA1551="WIP - 30 Days",VLOOKUP(D1551,[3]Extended!$B$9:$E$101,4,FALSE),IF(BA1551="31-120 Days",VLOOKUP(D1551,[3]Extended!$B$9:$F$101,5,FALSE),IF(BA1551="121-365 Days",VLOOKUP(D1551,[3]Extended!$B$9:$G$101,6,FALSE),VLOOKUP(D1551,[3]Extended!$B$9:$H$101,7,FALSE)))),0)</f>
        <v>0</v>
      </c>
      <c r="O1551" s="269">
        <f>IFERROR(IF(BA1551="WIP - 30 Days",VLOOKUP(D1551,[3]Extended!$B$9:$J$101,9,FALSE),IF(BA1551="31-120 Days",VLOOKUP(D1551,[3]Extended!$B$9:$K$101,10,FALSE),IF(BA1551="121-365 Days",VLOOKUP(D1551,[3]Extended!$B$9:$L$101,11,FALSE),VLOOKUP(D1551,[3]Extended!$B$9:$M$101,12,FALSE)))),0)</f>
        <v>0</v>
      </c>
      <c r="P1551" s="116" t="e">
        <f t="shared" si="121"/>
        <v>#VALUE!</v>
      </c>
      <c r="Q1551" s="110" t="e">
        <f>O1551-#REF!</f>
        <v>#REF!</v>
      </c>
      <c r="AT1551" s="88" t="str">
        <f t="shared" si="122"/>
        <v>Special Order0</v>
      </c>
      <c r="AU1551" s="89" t="str">
        <f t="shared" si="123"/>
        <v>01-1900</v>
      </c>
      <c r="BA1551" s="92" t="str">
        <f t="shared" si="124"/>
        <v/>
      </c>
    </row>
    <row r="1552" spans="2:53">
      <c r="B1552" s="60">
        <f>[2]Trucks!A1549</f>
        <v>0</v>
      </c>
      <c r="C1552" s="11">
        <f>[2]Trucks!B1549</f>
        <v>0</v>
      </c>
      <c r="D1552" s="19" t="str">
        <f>IFERROR(VLOOKUP(C1552&amp;"",'[2]Retail Price List'!$A$3:$B$103,2,FALSE),"Special Order")</f>
        <v>Special Order</v>
      </c>
      <c r="E1552" s="18">
        <f>[2]Trucks!J1549</f>
        <v>0</v>
      </c>
      <c r="F1552" s="12">
        <f>[2]Trucks!E1549</f>
        <v>0</v>
      </c>
      <c r="G1552" s="56">
        <f>[2]Trucks!K1549</f>
        <v>0</v>
      </c>
      <c r="H1552" s="46">
        <f>[2]Trucks!I1549</f>
        <v>0</v>
      </c>
      <c r="I1552" s="83" t="str">
        <f t="shared" si="120"/>
        <v/>
      </c>
      <c r="J1552" s="272" t="str">
        <f>IFERROR(VLOOKUP((D1552&amp;C1552)&amp;"",'[2]Retail Price List'!$C$4:$F$102,3,FALSE),"")</f>
        <v/>
      </c>
      <c r="K1552" s="272">
        <f>IFERROR(IF(BA1552="WIP - 30 Days",VLOOKUP(D1552,[3]Standard!$B$9:$E$101,4,FALSE),IF(BA1552="31-120 Days",VLOOKUP(D1552,[3]Standard!$B$9:$F$101,5,FALSE),IF(BA1552="121-365 Days",VLOOKUP(D1552,[3]Standard!$B$9:$G$101,6,FALSE),VLOOKUP(D1552,[3]Standard!$B$9:$H$101,7,FALSE)))),0)</f>
        <v>0</v>
      </c>
      <c r="L1552" s="272">
        <f>IFERROR(IF(BA1552="WIP - 30 Days",VLOOKUP(D1552,[3]Standard!$B$9:$J$101,9,FALSE),IF(BA1552="31-120 Days",VLOOKUP(D1552,[3]Standard!$B$9:$K$100,10,FALSE),IF(BA1552="121-365 Days",VLOOKUP(D1552,[3]Standard!$B$9:$L$101,11,FALSE),VLOOKUP(D1552,[3]Standard!$B$9:$M$101,12,FALSE)))),0)</f>
        <v>0</v>
      </c>
      <c r="M1552" s="269" t="str">
        <f>IFERROR(VLOOKUP((D1552&amp;C1552)&amp;"",'[2]Retail Price List'!$C$4:$F$102,4,FALSE),"")</f>
        <v/>
      </c>
      <c r="N1552" s="269">
        <f>IFERROR(IF(BA1552="WIP - 30 Days",VLOOKUP(D1552,[3]Extended!$B$9:$E$101,4,FALSE),IF(BA1552="31-120 Days",VLOOKUP(D1552,[3]Extended!$B$9:$F$101,5,FALSE),IF(BA1552="121-365 Days",VLOOKUP(D1552,[3]Extended!$B$9:$G$101,6,FALSE),VLOOKUP(D1552,[3]Extended!$B$9:$H$101,7,FALSE)))),0)</f>
        <v>0</v>
      </c>
      <c r="O1552" s="269">
        <f>IFERROR(IF(BA1552="WIP - 30 Days",VLOOKUP(D1552,[3]Extended!$B$9:$J$101,9,FALSE),IF(BA1552="31-120 Days",VLOOKUP(D1552,[3]Extended!$B$9:$K$101,10,FALSE),IF(BA1552="121-365 Days",VLOOKUP(D1552,[3]Extended!$B$9:$L$101,11,FALSE),VLOOKUP(D1552,[3]Extended!$B$9:$M$101,12,FALSE)))),0)</f>
        <v>0</v>
      </c>
      <c r="P1552" s="116" t="e">
        <f t="shared" si="121"/>
        <v>#VALUE!</v>
      </c>
      <c r="Q1552" s="110" t="e">
        <f>O1552-#REF!</f>
        <v>#REF!</v>
      </c>
      <c r="AT1552" s="88" t="str">
        <f t="shared" si="122"/>
        <v>Special Order0</v>
      </c>
      <c r="AU1552" s="89" t="str">
        <f t="shared" si="123"/>
        <v>01-1900</v>
      </c>
      <c r="BA1552" s="92" t="str">
        <f t="shared" si="124"/>
        <v/>
      </c>
    </row>
    <row r="1553" spans="2:53">
      <c r="B1553" s="60">
        <f>[2]Trucks!A1550</f>
        <v>0</v>
      </c>
      <c r="C1553" s="11">
        <f>[2]Trucks!B1550</f>
        <v>0</v>
      </c>
      <c r="D1553" s="19" t="str">
        <f>IFERROR(VLOOKUP(C1553&amp;"",'[2]Retail Price List'!$A$3:$B$103,2,FALSE),"Special Order")</f>
        <v>Special Order</v>
      </c>
      <c r="E1553" s="18">
        <f>[2]Trucks!J1550</f>
        <v>0</v>
      </c>
      <c r="F1553" s="12">
        <f>[2]Trucks!E1550</f>
        <v>0</v>
      </c>
      <c r="G1553" s="56">
        <f>[2]Trucks!K1550</f>
        <v>0</v>
      </c>
      <c r="H1553" s="46">
        <f>[2]Trucks!I1550</f>
        <v>0</v>
      </c>
      <c r="I1553" s="83" t="str">
        <f t="shared" si="120"/>
        <v/>
      </c>
      <c r="J1553" s="272" t="str">
        <f>IFERROR(VLOOKUP((D1553&amp;C1553)&amp;"",'[2]Retail Price List'!$C$4:$F$102,3,FALSE),"")</f>
        <v/>
      </c>
      <c r="K1553" s="272">
        <f>IFERROR(IF(BA1553="WIP - 30 Days",VLOOKUP(D1553,[3]Standard!$B$9:$E$101,4,FALSE),IF(BA1553="31-120 Days",VLOOKUP(D1553,[3]Standard!$B$9:$F$101,5,FALSE),IF(BA1553="121-365 Days",VLOOKUP(D1553,[3]Standard!$B$9:$G$101,6,FALSE),VLOOKUP(D1553,[3]Standard!$B$9:$H$101,7,FALSE)))),0)</f>
        <v>0</v>
      </c>
      <c r="L1553" s="272">
        <f>IFERROR(IF(BA1553="WIP - 30 Days",VLOOKUP(D1553,[3]Standard!$B$9:$J$101,9,FALSE),IF(BA1553="31-120 Days",VLOOKUP(D1553,[3]Standard!$B$9:$K$100,10,FALSE),IF(BA1553="121-365 Days",VLOOKUP(D1553,[3]Standard!$B$9:$L$101,11,FALSE),VLOOKUP(D1553,[3]Standard!$B$9:$M$101,12,FALSE)))),0)</f>
        <v>0</v>
      </c>
      <c r="M1553" s="269" t="str">
        <f>IFERROR(VLOOKUP((D1553&amp;C1553)&amp;"",'[2]Retail Price List'!$C$4:$F$102,4,FALSE),"")</f>
        <v/>
      </c>
      <c r="N1553" s="269">
        <f>IFERROR(IF(BA1553="WIP - 30 Days",VLOOKUP(D1553,[3]Extended!$B$9:$E$101,4,FALSE),IF(BA1553="31-120 Days",VLOOKUP(D1553,[3]Extended!$B$9:$F$101,5,FALSE),IF(BA1553="121-365 Days",VLOOKUP(D1553,[3]Extended!$B$9:$G$101,6,FALSE),VLOOKUP(D1553,[3]Extended!$B$9:$H$101,7,FALSE)))),0)</f>
        <v>0</v>
      </c>
      <c r="O1553" s="269">
        <f>IFERROR(IF(BA1553="WIP - 30 Days",VLOOKUP(D1553,[3]Extended!$B$9:$J$101,9,FALSE),IF(BA1553="31-120 Days",VLOOKUP(D1553,[3]Extended!$B$9:$K$101,10,FALSE),IF(BA1553="121-365 Days",VLOOKUP(D1553,[3]Extended!$B$9:$L$101,11,FALSE),VLOOKUP(D1553,[3]Extended!$B$9:$M$101,12,FALSE)))),0)</f>
        <v>0</v>
      </c>
      <c r="P1553" s="116" t="e">
        <f t="shared" si="121"/>
        <v>#VALUE!</v>
      </c>
      <c r="Q1553" s="110" t="e">
        <f>O1553-#REF!</f>
        <v>#REF!</v>
      </c>
      <c r="AT1553" s="88" t="str">
        <f t="shared" si="122"/>
        <v>Special Order0</v>
      </c>
      <c r="AU1553" s="89" t="str">
        <f t="shared" si="123"/>
        <v>01-1900</v>
      </c>
      <c r="BA1553" s="92" t="str">
        <f t="shared" si="124"/>
        <v/>
      </c>
    </row>
    <row r="1554" spans="2:53">
      <c r="B1554" s="60">
        <f>[2]Trucks!A1551</f>
        <v>0</v>
      </c>
      <c r="C1554" s="11">
        <f>[2]Trucks!B1551</f>
        <v>0</v>
      </c>
      <c r="D1554" s="19" t="str">
        <f>IFERROR(VLOOKUP(C1554&amp;"",'[2]Retail Price List'!$A$3:$B$103,2,FALSE),"Special Order")</f>
        <v>Special Order</v>
      </c>
      <c r="E1554" s="18">
        <f>[2]Trucks!J1551</f>
        <v>0</v>
      </c>
      <c r="F1554" s="12">
        <f>[2]Trucks!E1551</f>
        <v>0</v>
      </c>
      <c r="G1554" s="56">
        <f>[2]Trucks!K1551</f>
        <v>0</v>
      </c>
      <c r="H1554" s="46">
        <f>[2]Trucks!I1551</f>
        <v>0</v>
      </c>
      <c r="I1554" s="83" t="str">
        <f t="shared" si="120"/>
        <v/>
      </c>
      <c r="J1554" s="272" t="str">
        <f>IFERROR(VLOOKUP((D1554&amp;C1554)&amp;"",'[2]Retail Price List'!$C$4:$F$102,3,FALSE),"")</f>
        <v/>
      </c>
      <c r="K1554" s="272">
        <f>IFERROR(IF(BA1554="WIP - 30 Days",VLOOKUP(D1554,[3]Standard!$B$9:$E$101,4,FALSE),IF(BA1554="31-120 Days",VLOOKUP(D1554,[3]Standard!$B$9:$F$101,5,FALSE),IF(BA1554="121-365 Days",VLOOKUP(D1554,[3]Standard!$B$9:$G$101,6,FALSE),VLOOKUP(D1554,[3]Standard!$B$9:$H$101,7,FALSE)))),0)</f>
        <v>0</v>
      </c>
      <c r="L1554" s="272">
        <f>IFERROR(IF(BA1554="WIP - 30 Days",VLOOKUP(D1554,[3]Standard!$B$9:$J$101,9,FALSE),IF(BA1554="31-120 Days",VLOOKUP(D1554,[3]Standard!$B$9:$K$100,10,FALSE),IF(BA1554="121-365 Days",VLOOKUP(D1554,[3]Standard!$B$9:$L$101,11,FALSE),VLOOKUP(D1554,[3]Standard!$B$9:$M$101,12,FALSE)))),0)</f>
        <v>0</v>
      </c>
      <c r="M1554" s="269" t="str">
        <f>IFERROR(VLOOKUP((D1554&amp;C1554)&amp;"",'[2]Retail Price List'!$C$4:$F$102,4,FALSE),"")</f>
        <v/>
      </c>
      <c r="N1554" s="269">
        <f>IFERROR(IF(BA1554="WIP - 30 Days",VLOOKUP(D1554,[3]Extended!$B$9:$E$101,4,FALSE),IF(BA1554="31-120 Days",VLOOKUP(D1554,[3]Extended!$B$9:$F$101,5,FALSE),IF(BA1554="121-365 Days",VLOOKUP(D1554,[3]Extended!$B$9:$G$101,6,FALSE),VLOOKUP(D1554,[3]Extended!$B$9:$H$101,7,FALSE)))),0)</f>
        <v>0</v>
      </c>
      <c r="O1554" s="269">
        <f>IFERROR(IF(BA1554="WIP - 30 Days",VLOOKUP(D1554,[3]Extended!$B$9:$J$101,9,FALSE),IF(BA1554="31-120 Days",VLOOKUP(D1554,[3]Extended!$B$9:$K$101,10,FALSE),IF(BA1554="121-365 Days",VLOOKUP(D1554,[3]Extended!$B$9:$L$101,11,FALSE),VLOOKUP(D1554,[3]Extended!$B$9:$M$101,12,FALSE)))),0)</f>
        <v>0</v>
      </c>
      <c r="P1554" s="116" t="e">
        <f t="shared" si="121"/>
        <v>#VALUE!</v>
      </c>
      <c r="Q1554" s="110" t="e">
        <f>O1554-#REF!</f>
        <v>#REF!</v>
      </c>
      <c r="AT1554" s="88" t="str">
        <f t="shared" si="122"/>
        <v>Special Order0</v>
      </c>
      <c r="AU1554" s="89" t="str">
        <f t="shared" si="123"/>
        <v>01-1900</v>
      </c>
      <c r="BA1554" s="92" t="str">
        <f t="shared" si="124"/>
        <v/>
      </c>
    </row>
    <row r="1555" spans="2:53">
      <c r="B1555" s="60">
        <f>[2]Trucks!A1552</f>
        <v>0</v>
      </c>
      <c r="C1555" s="11">
        <f>[2]Trucks!B1552</f>
        <v>0</v>
      </c>
      <c r="D1555" s="19" t="str">
        <f>IFERROR(VLOOKUP(C1555&amp;"",'[2]Retail Price List'!$A$3:$B$103,2,FALSE),"Special Order")</f>
        <v>Special Order</v>
      </c>
      <c r="E1555" s="18">
        <f>[2]Trucks!J1552</f>
        <v>0</v>
      </c>
      <c r="F1555" s="12">
        <f>[2]Trucks!E1552</f>
        <v>0</v>
      </c>
      <c r="G1555" s="56">
        <f>[2]Trucks!K1552</f>
        <v>0</v>
      </c>
      <c r="H1555" s="46">
        <f>[2]Trucks!I1552</f>
        <v>0</v>
      </c>
      <c r="I1555" s="83" t="str">
        <f t="shared" si="120"/>
        <v/>
      </c>
      <c r="J1555" s="272" t="str">
        <f>IFERROR(VLOOKUP((D1555&amp;C1555)&amp;"",'[2]Retail Price List'!$C$4:$F$102,3,FALSE),"")</f>
        <v/>
      </c>
      <c r="K1555" s="272">
        <f>IFERROR(IF(BA1555="WIP - 30 Days",VLOOKUP(D1555,[3]Standard!$B$9:$E$101,4,FALSE),IF(BA1555="31-120 Days",VLOOKUP(D1555,[3]Standard!$B$9:$F$101,5,FALSE),IF(BA1555="121-365 Days",VLOOKUP(D1555,[3]Standard!$B$9:$G$101,6,FALSE),VLOOKUP(D1555,[3]Standard!$B$9:$H$101,7,FALSE)))),0)</f>
        <v>0</v>
      </c>
      <c r="L1555" s="272">
        <f>IFERROR(IF(BA1555="WIP - 30 Days",VLOOKUP(D1555,[3]Standard!$B$9:$J$101,9,FALSE),IF(BA1555="31-120 Days",VLOOKUP(D1555,[3]Standard!$B$9:$K$100,10,FALSE),IF(BA1555="121-365 Days",VLOOKUP(D1555,[3]Standard!$B$9:$L$101,11,FALSE),VLOOKUP(D1555,[3]Standard!$B$9:$M$101,12,FALSE)))),0)</f>
        <v>0</v>
      </c>
      <c r="M1555" s="269" t="str">
        <f>IFERROR(VLOOKUP((D1555&amp;C1555)&amp;"",'[2]Retail Price List'!$C$4:$F$102,4,FALSE),"")</f>
        <v/>
      </c>
      <c r="N1555" s="269">
        <f>IFERROR(IF(BA1555="WIP - 30 Days",VLOOKUP(D1555,[3]Extended!$B$9:$E$101,4,FALSE),IF(BA1555="31-120 Days",VLOOKUP(D1555,[3]Extended!$B$9:$F$101,5,FALSE),IF(BA1555="121-365 Days",VLOOKUP(D1555,[3]Extended!$B$9:$G$101,6,FALSE),VLOOKUP(D1555,[3]Extended!$B$9:$H$101,7,FALSE)))),0)</f>
        <v>0</v>
      </c>
      <c r="O1555" s="269">
        <f>IFERROR(IF(BA1555="WIP - 30 Days",VLOOKUP(D1555,[3]Extended!$B$9:$J$101,9,FALSE),IF(BA1555="31-120 Days",VLOOKUP(D1555,[3]Extended!$B$9:$K$101,10,FALSE),IF(BA1555="121-365 Days",VLOOKUP(D1555,[3]Extended!$B$9:$L$101,11,FALSE),VLOOKUP(D1555,[3]Extended!$B$9:$M$101,12,FALSE)))),0)</f>
        <v>0</v>
      </c>
      <c r="P1555" s="116" t="e">
        <f t="shared" si="121"/>
        <v>#VALUE!</v>
      </c>
      <c r="Q1555" s="110" t="e">
        <f>O1555-#REF!</f>
        <v>#REF!</v>
      </c>
      <c r="AT1555" s="88" t="str">
        <f t="shared" si="122"/>
        <v>Special Order0</v>
      </c>
      <c r="AU1555" s="89" t="str">
        <f t="shared" si="123"/>
        <v>01-1900</v>
      </c>
      <c r="BA1555" s="92" t="str">
        <f t="shared" si="124"/>
        <v/>
      </c>
    </row>
    <row r="1556" spans="2:53">
      <c r="B1556" s="60">
        <f>[2]Trucks!A1553</f>
        <v>0</v>
      </c>
      <c r="C1556" s="11">
        <f>[2]Trucks!B1553</f>
        <v>0</v>
      </c>
      <c r="D1556" s="19" t="str">
        <f>IFERROR(VLOOKUP(C1556&amp;"",'[2]Retail Price List'!$A$3:$B$103,2,FALSE),"Special Order")</f>
        <v>Special Order</v>
      </c>
      <c r="E1556" s="18">
        <f>[2]Trucks!J1553</f>
        <v>0</v>
      </c>
      <c r="F1556" s="12">
        <f>[2]Trucks!E1553</f>
        <v>0</v>
      </c>
      <c r="G1556" s="56">
        <f>[2]Trucks!K1553</f>
        <v>0</v>
      </c>
      <c r="H1556" s="46">
        <f>[2]Trucks!I1553</f>
        <v>0</v>
      </c>
      <c r="I1556" s="83" t="str">
        <f t="shared" si="120"/>
        <v/>
      </c>
      <c r="J1556" s="272" t="str">
        <f>IFERROR(VLOOKUP((D1556&amp;C1556)&amp;"",'[2]Retail Price List'!$C$4:$F$102,3,FALSE),"")</f>
        <v/>
      </c>
      <c r="K1556" s="272">
        <f>IFERROR(IF(BA1556="WIP - 30 Days",VLOOKUP(D1556,[3]Standard!$B$9:$E$101,4,FALSE),IF(BA1556="31-120 Days",VLOOKUP(D1556,[3]Standard!$B$9:$F$101,5,FALSE),IF(BA1556="121-365 Days",VLOOKUP(D1556,[3]Standard!$B$9:$G$101,6,FALSE),VLOOKUP(D1556,[3]Standard!$B$9:$H$101,7,FALSE)))),0)</f>
        <v>0</v>
      </c>
      <c r="L1556" s="272">
        <f>IFERROR(IF(BA1556="WIP - 30 Days",VLOOKUP(D1556,[3]Standard!$B$9:$J$101,9,FALSE),IF(BA1556="31-120 Days",VLOOKUP(D1556,[3]Standard!$B$9:$K$100,10,FALSE),IF(BA1556="121-365 Days",VLOOKUP(D1556,[3]Standard!$B$9:$L$101,11,FALSE),VLOOKUP(D1556,[3]Standard!$B$9:$M$101,12,FALSE)))),0)</f>
        <v>0</v>
      </c>
      <c r="M1556" s="269" t="str">
        <f>IFERROR(VLOOKUP((D1556&amp;C1556)&amp;"",'[2]Retail Price List'!$C$4:$F$102,4,FALSE),"")</f>
        <v/>
      </c>
      <c r="N1556" s="269">
        <f>IFERROR(IF(BA1556="WIP - 30 Days",VLOOKUP(D1556,[3]Extended!$B$9:$E$101,4,FALSE),IF(BA1556="31-120 Days",VLOOKUP(D1556,[3]Extended!$B$9:$F$101,5,FALSE),IF(BA1556="121-365 Days",VLOOKUP(D1556,[3]Extended!$B$9:$G$101,6,FALSE),VLOOKUP(D1556,[3]Extended!$B$9:$H$101,7,FALSE)))),0)</f>
        <v>0</v>
      </c>
      <c r="O1556" s="269">
        <f>IFERROR(IF(BA1556="WIP - 30 Days",VLOOKUP(D1556,[3]Extended!$B$9:$J$101,9,FALSE),IF(BA1556="31-120 Days",VLOOKUP(D1556,[3]Extended!$B$9:$K$101,10,FALSE),IF(BA1556="121-365 Days",VLOOKUP(D1556,[3]Extended!$B$9:$L$101,11,FALSE),VLOOKUP(D1556,[3]Extended!$B$9:$M$101,12,FALSE)))),0)</f>
        <v>0</v>
      </c>
      <c r="P1556" s="116" t="e">
        <f t="shared" si="121"/>
        <v>#VALUE!</v>
      </c>
      <c r="Q1556" s="110" t="e">
        <f>O1556-#REF!</f>
        <v>#REF!</v>
      </c>
      <c r="AT1556" s="88" t="str">
        <f t="shared" si="122"/>
        <v>Special Order0</v>
      </c>
      <c r="AU1556" s="89" t="str">
        <f t="shared" si="123"/>
        <v>01-1900</v>
      </c>
      <c r="BA1556" s="92" t="str">
        <f t="shared" si="124"/>
        <v/>
      </c>
    </row>
    <row r="1557" spans="2:53">
      <c r="B1557" s="60">
        <f>[2]Trucks!A1554</f>
        <v>0</v>
      </c>
      <c r="C1557" s="11">
        <f>[2]Trucks!B1554</f>
        <v>0</v>
      </c>
      <c r="D1557" s="19" t="str">
        <f>IFERROR(VLOOKUP(C1557&amp;"",'[2]Retail Price List'!$A$3:$B$103,2,FALSE),"Special Order")</f>
        <v>Special Order</v>
      </c>
      <c r="E1557" s="18">
        <f>[2]Trucks!J1554</f>
        <v>0</v>
      </c>
      <c r="F1557" s="12">
        <f>[2]Trucks!E1554</f>
        <v>0</v>
      </c>
      <c r="G1557" s="56">
        <f>[2]Trucks!K1554</f>
        <v>0</v>
      </c>
      <c r="H1557" s="46">
        <f>[2]Trucks!I1554</f>
        <v>0</v>
      </c>
      <c r="I1557" s="83" t="str">
        <f t="shared" si="120"/>
        <v/>
      </c>
      <c r="J1557" s="272" t="str">
        <f>IFERROR(VLOOKUP((D1557&amp;C1557)&amp;"",'[2]Retail Price List'!$C$4:$F$102,3,FALSE),"")</f>
        <v/>
      </c>
      <c r="K1557" s="272">
        <f>IFERROR(IF(BA1557="WIP - 30 Days",VLOOKUP(D1557,[3]Standard!$B$9:$E$101,4,FALSE),IF(BA1557="31-120 Days",VLOOKUP(D1557,[3]Standard!$B$9:$F$101,5,FALSE),IF(BA1557="121-365 Days",VLOOKUP(D1557,[3]Standard!$B$9:$G$101,6,FALSE),VLOOKUP(D1557,[3]Standard!$B$9:$H$101,7,FALSE)))),0)</f>
        <v>0</v>
      </c>
      <c r="L1557" s="272">
        <f>IFERROR(IF(BA1557="WIP - 30 Days",VLOOKUP(D1557,[3]Standard!$B$9:$J$101,9,FALSE),IF(BA1557="31-120 Days",VLOOKUP(D1557,[3]Standard!$B$9:$K$100,10,FALSE),IF(BA1557="121-365 Days",VLOOKUP(D1557,[3]Standard!$B$9:$L$101,11,FALSE),VLOOKUP(D1557,[3]Standard!$B$9:$M$101,12,FALSE)))),0)</f>
        <v>0</v>
      </c>
      <c r="M1557" s="269" t="str">
        <f>IFERROR(VLOOKUP((D1557&amp;C1557)&amp;"",'[2]Retail Price List'!$C$4:$F$102,4,FALSE),"")</f>
        <v/>
      </c>
      <c r="N1557" s="269">
        <f>IFERROR(IF(BA1557="WIP - 30 Days",VLOOKUP(D1557,[3]Extended!$B$9:$E$101,4,FALSE),IF(BA1557="31-120 Days",VLOOKUP(D1557,[3]Extended!$B$9:$F$101,5,FALSE),IF(BA1557="121-365 Days",VLOOKUP(D1557,[3]Extended!$B$9:$G$101,6,FALSE),VLOOKUP(D1557,[3]Extended!$B$9:$H$101,7,FALSE)))),0)</f>
        <v>0</v>
      </c>
      <c r="O1557" s="269">
        <f>IFERROR(IF(BA1557="WIP - 30 Days",VLOOKUP(D1557,[3]Extended!$B$9:$J$101,9,FALSE),IF(BA1557="31-120 Days",VLOOKUP(D1557,[3]Extended!$B$9:$K$101,10,FALSE),IF(BA1557="121-365 Days",VLOOKUP(D1557,[3]Extended!$B$9:$L$101,11,FALSE),VLOOKUP(D1557,[3]Extended!$B$9:$M$101,12,FALSE)))),0)</f>
        <v>0</v>
      </c>
      <c r="P1557" s="116" t="e">
        <f t="shared" si="121"/>
        <v>#VALUE!</v>
      </c>
      <c r="Q1557" s="110" t="e">
        <f>O1557-#REF!</f>
        <v>#REF!</v>
      </c>
      <c r="AT1557" s="88" t="str">
        <f t="shared" si="122"/>
        <v>Special Order0</v>
      </c>
      <c r="AU1557" s="89" t="str">
        <f t="shared" si="123"/>
        <v>01-1900</v>
      </c>
      <c r="BA1557" s="92" t="str">
        <f t="shared" si="124"/>
        <v/>
      </c>
    </row>
    <row r="1558" spans="2:53">
      <c r="B1558" s="60">
        <f>[2]Trucks!A1555</f>
        <v>0</v>
      </c>
      <c r="C1558" s="11">
        <f>[2]Trucks!B1555</f>
        <v>0</v>
      </c>
      <c r="D1558" s="19" t="str">
        <f>IFERROR(VLOOKUP(C1558&amp;"",'[2]Retail Price List'!$A$3:$B$103,2,FALSE),"Special Order")</f>
        <v>Special Order</v>
      </c>
      <c r="E1558" s="18">
        <f>[2]Trucks!J1555</f>
        <v>0</v>
      </c>
      <c r="F1558" s="12">
        <f>[2]Trucks!E1555</f>
        <v>0</v>
      </c>
      <c r="G1558" s="56">
        <f>[2]Trucks!K1555</f>
        <v>0</v>
      </c>
      <c r="H1558" s="46">
        <f>[2]Trucks!I1555</f>
        <v>0</v>
      </c>
      <c r="I1558" s="83" t="str">
        <f t="shared" si="120"/>
        <v/>
      </c>
      <c r="J1558" s="272" t="str">
        <f>IFERROR(VLOOKUP((D1558&amp;C1558)&amp;"",'[2]Retail Price List'!$C$4:$F$102,3,FALSE),"")</f>
        <v/>
      </c>
      <c r="K1558" s="272">
        <f>IFERROR(IF(BA1558="WIP - 30 Days",VLOOKUP(D1558,[3]Standard!$B$9:$E$101,4,FALSE),IF(BA1558="31-120 Days",VLOOKUP(D1558,[3]Standard!$B$9:$F$101,5,FALSE),IF(BA1558="121-365 Days",VLOOKUP(D1558,[3]Standard!$B$9:$G$101,6,FALSE),VLOOKUP(D1558,[3]Standard!$B$9:$H$101,7,FALSE)))),0)</f>
        <v>0</v>
      </c>
      <c r="L1558" s="272">
        <f>IFERROR(IF(BA1558="WIP - 30 Days",VLOOKUP(D1558,[3]Standard!$B$9:$J$101,9,FALSE),IF(BA1558="31-120 Days",VLOOKUP(D1558,[3]Standard!$B$9:$K$100,10,FALSE),IF(BA1558="121-365 Days",VLOOKUP(D1558,[3]Standard!$B$9:$L$101,11,FALSE),VLOOKUP(D1558,[3]Standard!$B$9:$M$101,12,FALSE)))),0)</f>
        <v>0</v>
      </c>
      <c r="M1558" s="269" t="str">
        <f>IFERROR(VLOOKUP((D1558&amp;C1558)&amp;"",'[2]Retail Price List'!$C$4:$F$102,4,FALSE),"")</f>
        <v/>
      </c>
      <c r="N1558" s="269">
        <f>IFERROR(IF(BA1558="WIP - 30 Days",VLOOKUP(D1558,[3]Extended!$B$9:$E$101,4,FALSE),IF(BA1558="31-120 Days",VLOOKUP(D1558,[3]Extended!$B$9:$F$101,5,FALSE),IF(BA1558="121-365 Days",VLOOKUP(D1558,[3]Extended!$B$9:$G$101,6,FALSE),VLOOKUP(D1558,[3]Extended!$B$9:$H$101,7,FALSE)))),0)</f>
        <v>0</v>
      </c>
      <c r="O1558" s="269">
        <f>IFERROR(IF(BA1558="WIP - 30 Days",VLOOKUP(D1558,[3]Extended!$B$9:$J$101,9,FALSE),IF(BA1558="31-120 Days",VLOOKUP(D1558,[3]Extended!$B$9:$K$101,10,FALSE),IF(BA1558="121-365 Days",VLOOKUP(D1558,[3]Extended!$B$9:$L$101,11,FALSE),VLOOKUP(D1558,[3]Extended!$B$9:$M$101,12,FALSE)))),0)</f>
        <v>0</v>
      </c>
      <c r="P1558" s="116" t="e">
        <f t="shared" si="121"/>
        <v>#VALUE!</v>
      </c>
      <c r="Q1558" s="110" t="e">
        <f>O1558-#REF!</f>
        <v>#REF!</v>
      </c>
      <c r="AT1558" s="88" t="str">
        <f t="shared" si="122"/>
        <v>Special Order0</v>
      </c>
      <c r="AU1558" s="89" t="str">
        <f t="shared" si="123"/>
        <v>01-1900</v>
      </c>
      <c r="BA1558" s="92" t="str">
        <f t="shared" si="124"/>
        <v/>
      </c>
    </row>
    <row r="1559" spans="2:53">
      <c r="B1559" s="60">
        <f>[2]Trucks!A1556</f>
        <v>0</v>
      </c>
      <c r="C1559" s="11">
        <f>[2]Trucks!B1556</f>
        <v>0</v>
      </c>
      <c r="D1559" s="19" t="str">
        <f>IFERROR(VLOOKUP(C1559&amp;"",'[2]Retail Price List'!$A$3:$B$103,2,FALSE),"Special Order")</f>
        <v>Special Order</v>
      </c>
      <c r="E1559" s="18">
        <f>[2]Trucks!J1556</f>
        <v>0</v>
      </c>
      <c r="F1559" s="12">
        <f>[2]Trucks!E1556</f>
        <v>0</v>
      </c>
      <c r="G1559" s="56">
        <f>[2]Trucks!K1556</f>
        <v>0</v>
      </c>
      <c r="H1559" s="46">
        <f>[2]Trucks!I1556</f>
        <v>0</v>
      </c>
      <c r="I1559" s="83" t="str">
        <f t="shared" si="120"/>
        <v/>
      </c>
      <c r="J1559" s="272" t="str">
        <f>IFERROR(VLOOKUP((D1559&amp;C1559)&amp;"",'[2]Retail Price List'!$C$4:$F$102,3,FALSE),"")</f>
        <v/>
      </c>
      <c r="K1559" s="272">
        <f>IFERROR(IF(BA1559="WIP - 30 Days",VLOOKUP(D1559,[3]Standard!$B$9:$E$101,4,FALSE),IF(BA1559="31-120 Days",VLOOKUP(D1559,[3]Standard!$B$9:$F$101,5,FALSE),IF(BA1559="121-365 Days",VLOOKUP(D1559,[3]Standard!$B$9:$G$101,6,FALSE),VLOOKUP(D1559,[3]Standard!$B$9:$H$101,7,FALSE)))),0)</f>
        <v>0</v>
      </c>
      <c r="L1559" s="272">
        <f>IFERROR(IF(BA1559="WIP - 30 Days",VLOOKUP(D1559,[3]Standard!$B$9:$J$101,9,FALSE),IF(BA1559="31-120 Days",VLOOKUP(D1559,[3]Standard!$B$9:$K$100,10,FALSE),IF(BA1559="121-365 Days",VLOOKUP(D1559,[3]Standard!$B$9:$L$101,11,FALSE),VLOOKUP(D1559,[3]Standard!$B$9:$M$101,12,FALSE)))),0)</f>
        <v>0</v>
      </c>
      <c r="M1559" s="269" t="str">
        <f>IFERROR(VLOOKUP((D1559&amp;C1559)&amp;"",'[2]Retail Price List'!$C$4:$F$102,4,FALSE),"")</f>
        <v/>
      </c>
      <c r="N1559" s="269">
        <f>IFERROR(IF(BA1559="WIP - 30 Days",VLOOKUP(D1559,[3]Extended!$B$9:$E$101,4,FALSE),IF(BA1559="31-120 Days",VLOOKUP(D1559,[3]Extended!$B$9:$F$101,5,FALSE),IF(BA1559="121-365 Days",VLOOKUP(D1559,[3]Extended!$B$9:$G$101,6,FALSE),VLOOKUP(D1559,[3]Extended!$B$9:$H$101,7,FALSE)))),0)</f>
        <v>0</v>
      </c>
      <c r="O1559" s="269">
        <f>IFERROR(IF(BA1559="WIP - 30 Days",VLOOKUP(D1559,[3]Extended!$B$9:$J$101,9,FALSE),IF(BA1559="31-120 Days",VLOOKUP(D1559,[3]Extended!$B$9:$K$101,10,FALSE),IF(BA1559="121-365 Days",VLOOKUP(D1559,[3]Extended!$B$9:$L$101,11,FALSE),VLOOKUP(D1559,[3]Extended!$B$9:$M$101,12,FALSE)))),0)</f>
        <v>0</v>
      </c>
      <c r="P1559" s="116" t="e">
        <f t="shared" si="121"/>
        <v>#VALUE!</v>
      </c>
      <c r="Q1559" s="110" t="e">
        <f>O1559-#REF!</f>
        <v>#REF!</v>
      </c>
      <c r="AT1559" s="88" t="str">
        <f t="shared" si="122"/>
        <v>Special Order0</v>
      </c>
      <c r="AU1559" s="89" t="str">
        <f t="shared" si="123"/>
        <v>01-1900</v>
      </c>
      <c r="BA1559" s="92" t="str">
        <f t="shared" si="124"/>
        <v/>
      </c>
    </row>
    <row r="1560" spans="2:53">
      <c r="B1560" s="60">
        <f>[2]Trucks!A1557</f>
        <v>0</v>
      </c>
      <c r="C1560" s="11">
        <f>[2]Trucks!B1557</f>
        <v>0</v>
      </c>
      <c r="D1560" s="19" t="str">
        <f>IFERROR(VLOOKUP(C1560&amp;"",'[2]Retail Price List'!$A$3:$B$103,2,FALSE),"Special Order")</f>
        <v>Special Order</v>
      </c>
      <c r="E1560" s="18">
        <f>[2]Trucks!J1557</f>
        <v>0</v>
      </c>
      <c r="F1560" s="12">
        <f>[2]Trucks!E1557</f>
        <v>0</v>
      </c>
      <c r="G1560" s="56">
        <f>[2]Trucks!K1557</f>
        <v>0</v>
      </c>
      <c r="H1560" s="46">
        <f>[2]Trucks!I1557</f>
        <v>0</v>
      </c>
      <c r="I1560" s="83" t="str">
        <f t="shared" si="120"/>
        <v/>
      </c>
      <c r="J1560" s="272" t="str">
        <f>IFERROR(VLOOKUP((D1560&amp;C1560)&amp;"",'[2]Retail Price List'!$C$4:$F$102,3,FALSE),"")</f>
        <v/>
      </c>
      <c r="K1560" s="272">
        <f>IFERROR(IF(BA1560="WIP - 30 Days",VLOOKUP(D1560,[3]Standard!$B$9:$E$101,4,FALSE),IF(BA1560="31-120 Days",VLOOKUP(D1560,[3]Standard!$B$9:$F$101,5,FALSE),IF(BA1560="121-365 Days",VLOOKUP(D1560,[3]Standard!$B$9:$G$101,6,FALSE),VLOOKUP(D1560,[3]Standard!$B$9:$H$101,7,FALSE)))),0)</f>
        <v>0</v>
      </c>
      <c r="L1560" s="272">
        <f>IFERROR(IF(BA1560="WIP - 30 Days",VLOOKUP(D1560,[3]Standard!$B$9:$J$101,9,FALSE),IF(BA1560="31-120 Days",VLOOKUP(D1560,[3]Standard!$B$9:$K$100,10,FALSE),IF(BA1560="121-365 Days",VLOOKUP(D1560,[3]Standard!$B$9:$L$101,11,FALSE),VLOOKUP(D1560,[3]Standard!$B$9:$M$101,12,FALSE)))),0)</f>
        <v>0</v>
      </c>
      <c r="M1560" s="269" t="str">
        <f>IFERROR(VLOOKUP((D1560&amp;C1560)&amp;"",'[2]Retail Price List'!$C$4:$F$102,4,FALSE),"")</f>
        <v/>
      </c>
      <c r="N1560" s="269">
        <f>IFERROR(IF(BA1560="WIP - 30 Days",VLOOKUP(D1560,[3]Extended!$B$9:$E$101,4,FALSE),IF(BA1560="31-120 Days",VLOOKUP(D1560,[3]Extended!$B$9:$F$101,5,FALSE),IF(BA1560="121-365 Days",VLOOKUP(D1560,[3]Extended!$B$9:$G$101,6,FALSE),VLOOKUP(D1560,[3]Extended!$B$9:$H$101,7,FALSE)))),0)</f>
        <v>0</v>
      </c>
      <c r="O1560" s="269">
        <f>IFERROR(IF(BA1560="WIP - 30 Days",VLOOKUP(D1560,[3]Extended!$B$9:$J$101,9,FALSE),IF(BA1560="31-120 Days",VLOOKUP(D1560,[3]Extended!$B$9:$K$101,10,FALSE),IF(BA1560="121-365 Days",VLOOKUP(D1560,[3]Extended!$B$9:$L$101,11,FALSE),VLOOKUP(D1560,[3]Extended!$B$9:$M$101,12,FALSE)))),0)</f>
        <v>0</v>
      </c>
      <c r="P1560" s="116" t="e">
        <f t="shared" si="121"/>
        <v>#VALUE!</v>
      </c>
      <c r="Q1560" s="110" t="e">
        <f>O1560-#REF!</f>
        <v>#REF!</v>
      </c>
      <c r="AT1560" s="88" t="str">
        <f t="shared" si="122"/>
        <v>Special Order0</v>
      </c>
      <c r="AU1560" s="89" t="str">
        <f t="shared" si="123"/>
        <v>01-1900</v>
      </c>
      <c r="BA1560" s="92" t="str">
        <f t="shared" si="124"/>
        <v/>
      </c>
    </row>
    <row r="1561" spans="2:53">
      <c r="B1561" s="60">
        <f>[2]Trucks!A1558</f>
        <v>0</v>
      </c>
      <c r="C1561" s="11">
        <f>[2]Trucks!B1558</f>
        <v>0</v>
      </c>
      <c r="D1561" s="19" t="str">
        <f>IFERROR(VLOOKUP(C1561&amp;"",'[2]Retail Price List'!$A$3:$B$103,2,FALSE),"Special Order")</f>
        <v>Special Order</v>
      </c>
      <c r="E1561" s="18">
        <f>[2]Trucks!J1558</f>
        <v>0</v>
      </c>
      <c r="F1561" s="12">
        <f>[2]Trucks!E1558</f>
        <v>0</v>
      </c>
      <c r="G1561" s="56">
        <f>[2]Trucks!K1558</f>
        <v>0</v>
      </c>
      <c r="H1561" s="46">
        <f>[2]Trucks!I1558</f>
        <v>0</v>
      </c>
      <c r="I1561" s="83" t="str">
        <f t="shared" si="120"/>
        <v/>
      </c>
      <c r="J1561" s="272" t="str">
        <f>IFERROR(VLOOKUP((D1561&amp;C1561)&amp;"",'[2]Retail Price List'!$C$4:$F$102,3,FALSE),"")</f>
        <v/>
      </c>
      <c r="K1561" s="272">
        <f>IFERROR(IF(BA1561="WIP - 30 Days",VLOOKUP(D1561,[3]Standard!$B$9:$E$101,4,FALSE),IF(BA1561="31-120 Days",VLOOKUP(D1561,[3]Standard!$B$9:$F$101,5,FALSE),IF(BA1561="121-365 Days",VLOOKUP(D1561,[3]Standard!$B$9:$G$101,6,FALSE),VLOOKUP(D1561,[3]Standard!$B$9:$H$101,7,FALSE)))),0)</f>
        <v>0</v>
      </c>
      <c r="L1561" s="272">
        <f>IFERROR(IF(BA1561="WIP - 30 Days",VLOOKUP(D1561,[3]Standard!$B$9:$J$101,9,FALSE),IF(BA1561="31-120 Days",VLOOKUP(D1561,[3]Standard!$B$9:$K$100,10,FALSE),IF(BA1561="121-365 Days",VLOOKUP(D1561,[3]Standard!$B$9:$L$101,11,FALSE),VLOOKUP(D1561,[3]Standard!$B$9:$M$101,12,FALSE)))),0)</f>
        <v>0</v>
      </c>
      <c r="M1561" s="269" t="str">
        <f>IFERROR(VLOOKUP((D1561&amp;C1561)&amp;"",'[2]Retail Price List'!$C$4:$F$102,4,FALSE),"")</f>
        <v/>
      </c>
      <c r="N1561" s="269">
        <f>IFERROR(IF(BA1561="WIP - 30 Days",VLOOKUP(D1561,[3]Extended!$B$9:$E$101,4,FALSE),IF(BA1561="31-120 Days",VLOOKUP(D1561,[3]Extended!$B$9:$F$101,5,FALSE),IF(BA1561="121-365 Days",VLOOKUP(D1561,[3]Extended!$B$9:$G$101,6,FALSE),VLOOKUP(D1561,[3]Extended!$B$9:$H$101,7,FALSE)))),0)</f>
        <v>0</v>
      </c>
      <c r="O1561" s="269">
        <f>IFERROR(IF(BA1561="WIP - 30 Days",VLOOKUP(D1561,[3]Extended!$B$9:$J$101,9,FALSE),IF(BA1561="31-120 Days",VLOOKUP(D1561,[3]Extended!$B$9:$K$101,10,FALSE),IF(BA1561="121-365 Days",VLOOKUP(D1561,[3]Extended!$B$9:$L$101,11,FALSE),VLOOKUP(D1561,[3]Extended!$B$9:$M$101,12,FALSE)))),0)</f>
        <v>0</v>
      </c>
      <c r="P1561" s="116" t="e">
        <f t="shared" si="121"/>
        <v>#VALUE!</v>
      </c>
      <c r="Q1561" s="110" t="e">
        <f>O1561-#REF!</f>
        <v>#REF!</v>
      </c>
      <c r="AT1561" s="88" t="str">
        <f t="shared" si="122"/>
        <v>Special Order0</v>
      </c>
      <c r="AU1561" s="89" t="str">
        <f t="shared" si="123"/>
        <v>01-1900</v>
      </c>
      <c r="BA1561" s="92" t="str">
        <f t="shared" si="124"/>
        <v/>
      </c>
    </row>
    <row r="1562" spans="2:53">
      <c r="B1562" s="60">
        <f>[2]Trucks!A1559</f>
        <v>0</v>
      </c>
      <c r="C1562" s="11">
        <f>[2]Trucks!B1559</f>
        <v>0</v>
      </c>
      <c r="D1562" s="19" t="str">
        <f>IFERROR(VLOOKUP(C1562&amp;"",'[2]Retail Price List'!$A$3:$B$103,2,FALSE),"Special Order")</f>
        <v>Special Order</v>
      </c>
      <c r="E1562" s="18">
        <f>[2]Trucks!J1559</f>
        <v>0</v>
      </c>
      <c r="F1562" s="12">
        <f>[2]Trucks!E1559</f>
        <v>0</v>
      </c>
      <c r="G1562" s="56">
        <f>[2]Trucks!K1559</f>
        <v>0</v>
      </c>
      <c r="H1562" s="46">
        <f>[2]Trucks!I1559</f>
        <v>0</v>
      </c>
      <c r="I1562" s="83" t="str">
        <f t="shared" si="120"/>
        <v/>
      </c>
      <c r="J1562" s="272" t="str">
        <f>IFERROR(VLOOKUP((D1562&amp;C1562)&amp;"",'[2]Retail Price List'!$C$4:$F$102,3,FALSE),"")</f>
        <v/>
      </c>
      <c r="K1562" s="272">
        <f>IFERROR(IF(BA1562="WIP - 30 Days",VLOOKUP(D1562,[3]Standard!$B$9:$E$101,4,FALSE),IF(BA1562="31-120 Days",VLOOKUP(D1562,[3]Standard!$B$9:$F$101,5,FALSE),IF(BA1562="121-365 Days",VLOOKUP(D1562,[3]Standard!$B$9:$G$101,6,FALSE),VLOOKUP(D1562,[3]Standard!$B$9:$H$101,7,FALSE)))),0)</f>
        <v>0</v>
      </c>
      <c r="L1562" s="272">
        <f>IFERROR(IF(BA1562="WIP - 30 Days",VLOOKUP(D1562,[3]Standard!$B$9:$J$101,9,FALSE),IF(BA1562="31-120 Days",VLOOKUP(D1562,[3]Standard!$B$9:$K$100,10,FALSE),IF(BA1562="121-365 Days",VLOOKUP(D1562,[3]Standard!$B$9:$L$101,11,FALSE),VLOOKUP(D1562,[3]Standard!$B$9:$M$101,12,FALSE)))),0)</f>
        <v>0</v>
      </c>
      <c r="M1562" s="269" t="str">
        <f>IFERROR(VLOOKUP((D1562&amp;C1562)&amp;"",'[2]Retail Price List'!$C$4:$F$102,4,FALSE),"")</f>
        <v/>
      </c>
      <c r="N1562" s="269">
        <f>IFERROR(IF(BA1562="WIP - 30 Days",VLOOKUP(D1562,[3]Extended!$B$9:$E$101,4,FALSE),IF(BA1562="31-120 Days",VLOOKUP(D1562,[3]Extended!$B$9:$F$101,5,FALSE),IF(BA1562="121-365 Days",VLOOKUP(D1562,[3]Extended!$B$9:$G$101,6,FALSE),VLOOKUP(D1562,[3]Extended!$B$9:$H$101,7,FALSE)))),0)</f>
        <v>0</v>
      </c>
      <c r="O1562" s="269">
        <f>IFERROR(IF(BA1562="WIP - 30 Days",VLOOKUP(D1562,[3]Extended!$B$9:$J$101,9,FALSE),IF(BA1562="31-120 Days",VLOOKUP(D1562,[3]Extended!$B$9:$K$101,10,FALSE),IF(BA1562="121-365 Days",VLOOKUP(D1562,[3]Extended!$B$9:$L$101,11,FALSE),VLOOKUP(D1562,[3]Extended!$B$9:$M$101,12,FALSE)))),0)</f>
        <v>0</v>
      </c>
      <c r="P1562" s="116" t="e">
        <f t="shared" si="121"/>
        <v>#VALUE!</v>
      </c>
      <c r="Q1562" s="110" t="e">
        <f>O1562-#REF!</f>
        <v>#REF!</v>
      </c>
      <c r="AT1562" s="88" t="str">
        <f t="shared" si="122"/>
        <v>Special Order0</v>
      </c>
      <c r="AU1562" s="89" t="str">
        <f t="shared" si="123"/>
        <v>01-1900</v>
      </c>
      <c r="BA1562" s="92" t="str">
        <f t="shared" si="124"/>
        <v/>
      </c>
    </row>
    <row r="1563" spans="2:53">
      <c r="B1563" s="60">
        <f>[2]Trucks!A1560</f>
        <v>0</v>
      </c>
      <c r="C1563" s="11">
        <f>[2]Trucks!B1560</f>
        <v>0</v>
      </c>
      <c r="D1563" s="19" t="str">
        <f>IFERROR(VLOOKUP(C1563&amp;"",'[2]Retail Price List'!$A$3:$B$103,2,FALSE),"Special Order")</f>
        <v>Special Order</v>
      </c>
      <c r="E1563" s="18">
        <f>[2]Trucks!J1560</f>
        <v>0</v>
      </c>
      <c r="F1563" s="12">
        <f>[2]Trucks!E1560</f>
        <v>0</v>
      </c>
      <c r="G1563" s="56">
        <f>[2]Trucks!K1560</f>
        <v>0</v>
      </c>
      <c r="H1563" s="46">
        <f>[2]Trucks!I1560</f>
        <v>0</v>
      </c>
      <c r="I1563" s="83" t="str">
        <f t="shared" si="120"/>
        <v/>
      </c>
      <c r="J1563" s="272" t="str">
        <f>IFERROR(VLOOKUP((D1563&amp;C1563)&amp;"",'[2]Retail Price List'!$C$4:$F$102,3,FALSE),"")</f>
        <v/>
      </c>
      <c r="K1563" s="272">
        <f>IFERROR(IF(BA1563="WIP - 30 Days",VLOOKUP(D1563,[3]Standard!$B$9:$E$101,4,FALSE),IF(BA1563="31-120 Days",VLOOKUP(D1563,[3]Standard!$B$9:$F$101,5,FALSE),IF(BA1563="121-365 Days",VLOOKUP(D1563,[3]Standard!$B$9:$G$101,6,FALSE),VLOOKUP(D1563,[3]Standard!$B$9:$H$101,7,FALSE)))),0)</f>
        <v>0</v>
      </c>
      <c r="L1563" s="272">
        <f>IFERROR(IF(BA1563="WIP - 30 Days",VLOOKUP(D1563,[3]Standard!$B$9:$J$101,9,FALSE),IF(BA1563="31-120 Days",VLOOKUP(D1563,[3]Standard!$B$9:$K$100,10,FALSE),IF(BA1563="121-365 Days",VLOOKUP(D1563,[3]Standard!$B$9:$L$101,11,FALSE),VLOOKUP(D1563,[3]Standard!$B$9:$M$101,12,FALSE)))),0)</f>
        <v>0</v>
      </c>
      <c r="M1563" s="269" t="str">
        <f>IFERROR(VLOOKUP((D1563&amp;C1563)&amp;"",'[2]Retail Price List'!$C$4:$F$102,4,FALSE),"")</f>
        <v/>
      </c>
      <c r="N1563" s="269">
        <f>IFERROR(IF(BA1563="WIP - 30 Days",VLOOKUP(D1563,[3]Extended!$B$9:$E$101,4,FALSE),IF(BA1563="31-120 Days",VLOOKUP(D1563,[3]Extended!$B$9:$F$101,5,FALSE),IF(BA1563="121-365 Days",VLOOKUP(D1563,[3]Extended!$B$9:$G$101,6,FALSE),VLOOKUP(D1563,[3]Extended!$B$9:$H$101,7,FALSE)))),0)</f>
        <v>0</v>
      </c>
      <c r="O1563" s="269">
        <f>IFERROR(IF(BA1563="WIP - 30 Days",VLOOKUP(D1563,[3]Extended!$B$9:$J$101,9,FALSE),IF(BA1563="31-120 Days",VLOOKUP(D1563,[3]Extended!$B$9:$K$101,10,FALSE),IF(BA1563="121-365 Days",VLOOKUP(D1563,[3]Extended!$B$9:$L$101,11,FALSE),VLOOKUP(D1563,[3]Extended!$B$9:$M$101,12,FALSE)))),0)</f>
        <v>0</v>
      </c>
      <c r="P1563" s="116" t="e">
        <f t="shared" si="121"/>
        <v>#VALUE!</v>
      </c>
      <c r="Q1563" s="110" t="e">
        <f>O1563-#REF!</f>
        <v>#REF!</v>
      </c>
      <c r="AT1563" s="88" t="str">
        <f t="shared" si="122"/>
        <v>Special Order0</v>
      </c>
      <c r="AU1563" s="89" t="str">
        <f t="shared" si="123"/>
        <v>01-1900</v>
      </c>
      <c r="BA1563" s="92" t="str">
        <f t="shared" si="124"/>
        <v/>
      </c>
    </row>
    <row r="1564" spans="2:53">
      <c r="B1564" s="60">
        <f>[2]Trucks!A1561</f>
        <v>0</v>
      </c>
      <c r="C1564" s="11">
        <f>[2]Trucks!B1561</f>
        <v>0</v>
      </c>
      <c r="D1564" s="19" t="str">
        <f>IFERROR(VLOOKUP(C1564&amp;"",'[2]Retail Price List'!$A$3:$B$103,2,FALSE),"Special Order")</f>
        <v>Special Order</v>
      </c>
      <c r="E1564" s="18">
        <f>[2]Trucks!J1561</f>
        <v>0</v>
      </c>
      <c r="F1564" s="12">
        <f>[2]Trucks!E1561</f>
        <v>0</v>
      </c>
      <c r="G1564" s="56">
        <f>[2]Trucks!K1561</f>
        <v>0</v>
      </c>
      <c r="H1564" s="46">
        <f>[2]Trucks!I1561</f>
        <v>0</v>
      </c>
      <c r="I1564" s="83" t="str">
        <f t="shared" si="120"/>
        <v/>
      </c>
      <c r="J1564" s="272" t="str">
        <f>IFERROR(VLOOKUP((D1564&amp;C1564)&amp;"",'[2]Retail Price List'!$C$4:$F$102,3,FALSE),"")</f>
        <v/>
      </c>
      <c r="K1564" s="272">
        <f>IFERROR(IF(BA1564="WIP - 30 Days",VLOOKUP(D1564,[3]Standard!$B$9:$E$101,4,FALSE),IF(BA1564="31-120 Days",VLOOKUP(D1564,[3]Standard!$B$9:$F$101,5,FALSE),IF(BA1564="121-365 Days",VLOOKUP(D1564,[3]Standard!$B$9:$G$101,6,FALSE),VLOOKUP(D1564,[3]Standard!$B$9:$H$101,7,FALSE)))),0)</f>
        <v>0</v>
      </c>
      <c r="L1564" s="272">
        <f>IFERROR(IF(BA1564="WIP - 30 Days",VLOOKUP(D1564,[3]Standard!$B$9:$J$101,9,FALSE),IF(BA1564="31-120 Days",VLOOKUP(D1564,[3]Standard!$B$9:$K$100,10,FALSE),IF(BA1564="121-365 Days",VLOOKUP(D1564,[3]Standard!$B$9:$L$101,11,FALSE),VLOOKUP(D1564,[3]Standard!$B$9:$M$101,12,FALSE)))),0)</f>
        <v>0</v>
      </c>
      <c r="M1564" s="269" t="str">
        <f>IFERROR(VLOOKUP((D1564&amp;C1564)&amp;"",'[2]Retail Price List'!$C$4:$F$102,4,FALSE),"")</f>
        <v/>
      </c>
      <c r="N1564" s="269">
        <f>IFERROR(IF(BA1564="WIP - 30 Days",VLOOKUP(D1564,[3]Extended!$B$9:$E$101,4,FALSE),IF(BA1564="31-120 Days",VLOOKUP(D1564,[3]Extended!$B$9:$F$101,5,FALSE),IF(BA1564="121-365 Days",VLOOKUP(D1564,[3]Extended!$B$9:$G$101,6,FALSE),VLOOKUP(D1564,[3]Extended!$B$9:$H$101,7,FALSE)))),0)</f>
        <v>0</v>
      </c>
      <c r="O1564" s="269">
        <f>IFERROR(IF(BA1564="WIP - 30 Days",VLOOKUP(D1564,[3]Extended!$B$9:$J$101,9,FALSE),IF(BA1564="31-120 Days",VLOOKUP(D1564,[3]Extended!$B$9:$K$101,10,FALSE),IF(BA1564="121-365 Days",VLOOKUP(D1564,[3]Extended!$B$9:$L$101,11,FALSE),VLOOKUP(D1564,[3]Extended!$B$9:$M$101,12,FALSE)))),0)</f>
        <v>0</v>
      </c>
      <c r="P1564" s="116" t="e">
        <f t="shared" si="121"/>
        <v>#VALUE!</v>
      </c>
      <c r="Q1564" s="110" t="e">
        <f>O1564-#REF!</f>
        <v>#REF!</v>
      </c>
      <c r="AT1564" s="88" t="str">
        <f t="shared" si="122"/>
        <v>Special Order0</v>
      </c>
      <c r="AU1564" s="89" t="str">
        <f t="shared" si="123"/>
        <v>01-1900</v>
      </c>
      <c r="BA1564" s="92" t="str">
        <f t="shared" si="124"/>
        <v/>
      </c>
    </row>
    <row r="1565" spans="2:53">
      <c r="B1565" s="60">
        <f>[2]Trucks!A1562</f>
        <v>0</v>
      </c>
      <c r="C1565" s="11">
        <f>[2]Trucks!B1562</f>
        <v>0</v>
      </c>
      <c r="D1565" s="19" t="str">
        <f>IFERROR(VLOOKUP(C1565&amp;"",'[2]Retail Price List'!$A$3:$B$103,2,FALSE),"Special Order")</f>
        <v>Special Order</v>
      </c>
      <c r="E1565" s="18">
        <f>[2]Trucks!J1562</f>
        <v>0</v>
      </c>
      <c r="F1565" s="12">
        <f>[2]Trucks!E1562</f>
        <v>0</v>
      </c>
      <c r="G1565" s="56">
        <f>[2]Trucks!K1562</f>
        <v>0</v>
      </c>
      <c r="H1565" s="46">
        <f>[2]Trucks!I1562</f>
        <v>0</v>
      </c>
      <c r="I1565" s="83" t="str">
        <f t="shared" si="120"/>
        <v/>
      </c>
      <c r="J1565" s="272" t="str">
        <f>IFERROR(VLOOKUP((D1565&amp;C1565)&amp;"",'[2]Retail Price List'!$C$4:$F$102,3,FALSE),"")</f>
        <v/>
      </c>
      <c r="K1565" s="272">
        <f>IFERROR(IF(BA1565="WIP - 30 Days",VLOOKUP(D1565,[3]Standard!$B$9:$E$101,4,FALSE),IF(BA1565="31-120 Days",VLOOKUP(D1565,[3]Standard!$B$9:$F$101,5,FALSE),IF(BA1565="121-365 Days",VLOOKUP(D1565,[3]Standard!$B$9:$G$101,6,FALSE),VLOOKUP(D1565,[3]Standard!$B$9:$H$101,7,FALSE)))),0)</f>
        <v>0</v>
      </c>
      <c r="L1565" s="272">
        <f>IFERROR(IF(BA1565="WIP - 30 Days",VLOOKUP(D1565,[3]Standard!$B$9:$J$101,9,FALSE),IF(BA1565="31-120 Days",VLOOKUP(D1565,[3]Standard!$B$9:$K$100,10,FALSE),IF(BA1565="121-365 Days",VLOOKUP(D1565,[3]Standard!$B$9:$L$101,11,FALSE),VLOOKUP(D1565,[3]Standard!$B$9:$M$101,12,FALSE)))),0)</f>
        <v>0</v>
      </c>
      <c r="M1565" s="269" t="str">
        <f>IFERROR(VLOOKUP((D1565&amp;C1565)&amp;"",'[2]Retail Price List'!$C$4:$F$102,4,FALSE),"")</f>
        <v/>
      </c>
      <c r="N1565" s="269">
        <f>IFERROR(IF(BA1565="WIP - 30 Days",VLOOKUP(D1565,[3]Extended!$B$9:$E$101,4,FALSE),IF(BA1565="31-120 Days",VLOOKUP(D1565,[3]Extended!$B$9:$F$101,5,FALSE),IF(BA1565="121-365 Days",VLOOKUP(D1565,[3]Extended!$B$9:$G$101,6,FALSE),VLOOKUP(D1565,[3]Extended!$B$9:$H$101,7,FALSE)))),0)</f>
        <v>0</v>
      </c>
      <c r="O1565" s="269">
        <f>IFERROR(IF(BA1565="WIP - 30 Days",VLOOKUP(D1565,[3]Extended!$B$9:$J$101,9,FALSE),IF(BA1565="31-120 Days",VLOOKUP(D1565,[3]Extended!$B$9:$K$101,10,FALSE),IF(BA1565="121-365 Days",VLOOKUP(D1565,[3]Extended!$B$9:$L$101,11,FALSE),VLOOKUP(D1565,[3]Extended!$B$9:$M$101,12,FALSE)))),0)</f>
        <v>0</v>
      </c>
      <c r="P1565" s="116" t="e">
        <f t="shared" si="121"/>
        <v>#VALUE!</v>
      </c>
      <c r="Q1565" s="110" t="e">
        <f>O1565-#REF!</f>
        <v>#REF!</v>
      </c>
      <c r="AT1565" s="88" t="str">
        <f t="shared" si="122"/>
        <v>Special Order0</v>
      </c>
      <c r="AU1565" s="89" t="str">
        <f t="shared" si="123"/>
        <v>01-1900</v>
      </c>
      <c r="BA1565" s="92" t="str">
        <f t="shared" si="124"/>
        <v/>
      </c>
    </row>
    <row r="1566" spans="2:53">
      <c r="B1566" s="60">
        <f>[2]Trucks!A1563</f>
        <v>0</v>
      </c>
      <c r="C1566" s="11">
        <f>[2]Trucks!B1563</f>
        <v>0</v>
      </c>
      <c r="D1566" s="19" t="str">
        <f>IFERROR(VLOOKUP(C1566&amp;"",'[2]Retail Price List'!$A$3:$B$103,2,FALSE),"Special Order")</f>
        <v>Special Order</v>
      </c>
      <c r="E1566" s="18">
        <f>[2]Trucks!J1563</f>
        <v>0</v>
      </c>
      <c r="F1566" s="12">
        <f>[2]Trucks!E1563</f>
        <v>0</v>
      </c>
      <c r="G1566" s="56">
        <f>[2]Trucks!K1563</f>
        <v>0</v>
      </c>
      <c r="H1566" s="46">
        <f>[2]Trucks!I1563</f>
        <v>0</v>
      </c>
      <c r="I1566" s="83" t="str">
        <f t="shared" si="120"/>
        <v/>
      </c>
      <c r="J1566" s="272" t="str">
        <f>IFERROR(VLOOKUP((D1566&amp;C1566)&amp;"",'[2]Retail Price List'!$C$4:$F$102,3,FALSE),"")</f>
        <v/>
      </c>
      <c r="K1566" s="272">
        <f>IFERROR(IF(BA1566="WIP - 30 Days",VLOOKUP(D1566,[3]Standard!$B$9:$E$101,4,FALSE),IF(BA1566="31-120 Days",VLOOKUP(D1566,[3]Standard!$B$9:$F$101,5,FALSE),IF(BA1566="121-365 Days",VLOOKUP(D1566,[3]Standard!$B$9:$G$101,6,FALSE),VLOOKUP(D1566,[3]Standard!$B$9:$H$101,7,FALSE)))),0)</f>
        <v>0</v>
      </c>
      <c r="L1566" s="272">
        <f>IFERROR(IF(BA1566="WIP - 30 Days",VLOOKUP(D1566,[3]Standard!$B$9:$J$101,9,FALSE),IF(BA1566="31-120 Days",VLOOKUP(D1566,[3]Standard!$B$9:$K$100,10,FALSE),IF(BA1566="121-365 Days",VLOOKUP(D1566,[3]Standard!$B$9:$L$101,11,FALSE),VLOOKUP(D1566,[3]Standard!$B$9:$M$101,12,FALSE)))),0)</f>
        <v>0</v>
      </c>
      <c r="M1566" s="269" t="str">
        <f>IFERROR(VLOOKUP((D1566&amp;C1566)&amp;"",'[2]Retail Price List'!$C$4:$F$102,4,FALSE),"")</f>
        <v/>
      </c>
      <c r="N1566" s="269">
        <f>IFERROR(IF(BA1566="WIP - 30 Days",VLOOKUP(D1566,[3]Extended!$B$9:$E$101,4,FALSE),IF(BA1566="31-120 Days",VLOOKUP(D1566,[3]Extended!$B$9:$F$101,5,FALSE),IF(BA1566="121-365 Days",VLOOKUP(D1566,[3]Extended!$B$9:$G$101,6,FALSE),VLOOKUP(D1566,[3]Extended!$B$9:$H$101,7,FALSE)))),0)</f>
        <v>0</v>
      </c>
      <c r="O1566" s="269">
        <f>IFERROR(IF(BA1566="WIP - 30 Days",VLOOKUP(D1566,[3]Extended!$B$9:$J$101,9,FALSE),IF(BA1566="31-120 Days",VLOOKUP(D1566,[3]Extended!$B$9:$K$101,10,FALSE),IF(BA1566="121-365 Days",VLOOKUP(D1566,[3]Extended!$B$9:$L$101,11,FALSE),VLOOKUP(D1566,[3]Extended!$B$9:$M$101,12,FALSE)))),0)</f>
        <v>0</v>
      </c>
      <c r="P1566" s="116" t="e">
        <f t="shared" si="121"/>
        <v>#VALUE!</v>
      </c>
      <c r="Q1566" s="110" t="e">
        <f>O1566-#REF!</f>
        <v>#REF!</v>
      </c>
      <c r="AT1566" s="88" t="str">
        <f t="shared" si="122"/>
        <v>Special Order0</v>
      </c>
      <c r="AU1566" s="89" t="str">
        <f t="shared" si="123"/>
        <v>01-1900</v>
      </c>
      <c r="BA1566" s="92" t="str">
        <f t="shared" si="124"/>
        <v/>
      </c>
    </row>
    <row r="1567" spans="2:53">
      <c r="B1567" s="60">
        <f>[2]Trucks!A1564</f>
        <v>0</v>
      </c>
      <c r="C1567" s="11">
        <f>[2]Trucks!B1564</f>
        <v>0</v>
      </c>
      <c r="D1567" s="19" t="str">
        <f>IFERROR(VLOOKUP(C1567&amp;"",'[2]Retail Price List'!$A$3:$B$103,2,FALSE),"Special Order")</f>
        <v>Special Order</v>
      </c>
      <c r="E1567" s="18">
        <f>[2]Trucks!J1564</f>
        <v>0</v>
      </c>
      <c r="F1567" s="12">
        <f>[2]Trucks!E1564</f>
        <v>0</v>
      </c>
      <c r="G1567" s="56">
        <f>[2]Trucks!K1564</f>
        <v>0</v>
      </c>
      <c r="H1567" s="46">
        <f>[2]Trucks!I1564</f>
        <v>0</v>
      </c>
      <c r="I1567" s="83" t="str">
        <f t="shared" si="120"/>
        <v/>
      </c>
      <c r="J1567" s="272" t="str">
        <f>IFERROR(VLOOKUP((D1567&amp;C1567)&amp;"",'[2]Retail Price List'!$C$4:$F$102,3,FALSE),"")</f>
        <v/>
      </c>
      <c r="K1567" s="272">
        <f>IFERROR(IF(BA1567="WIP - 30 Days",VLOOKUP(D1567,[3]Standard!$B$9:$E$101,4,FALSE),IF(BA1567="31-120 Days",VLOOKUP(D1567,[3]Standard!$B$9:$F$101,5,FALSE),IF(BA1567="121-365 Days",VLOOKUP(D1567,[3]Standard!$B$9:$G$101,6,FALSE),VLOOKUP(D1567,[3]Standard!$B$9:$H$101,7,FALSE)))),0)</f>
        <v>0</v>
      </c>
      <c r="L1567" s="272">
        <f>IFERROR(IF(BA1567="WIP - 30 Days",VLOOKUP(D1567,[3]Standard!$B$9:$J$101,9,FALSE),IF(BA1567="31-120 Days",VLOOKUP(D1567,[3]Standard!$B$9:$K$100,10,FALSE),IF(BA1567="121-365 Days",VLOOKUP(D1567,[3]Standard!$B$9:$L$101,11,FALSE),VLOOKUP(D1567,[3]Standard!$B$9:$M$101,12,FALSE)))),0)</f>
        <v>0</v>
      </c>
      <c r="M1567" s="269" t="str">
        <f>IFERROR(VLOOKUP((D1567&amp;C1567)&amp;"",'[2]Retail Price List'!$C$4:$F$102,4,FALSE),"")</f>
        <v/>
      </c>
      <c r="N1567" s="269">
        <f>IFERROR(IF(BA1567="WIP - 30 Days",VLOOKUP(D1567,[3]Extended!$B$9:$E$101,4,FALSE),IF(BA1567="31-120 Days",VLOOKUP(D1567,[3]Extended!$B$9:$F$101,5,FALSE),IF(BA1567="121-365 Days",VLOOKUP(D1567,[3]Extended!$B$9:$G$101,6,FALSE),VLOOKUP(D1567,[3]Extended!$B$9:$H$101,7,FALSE)))),0)</f>
        <v>0</v>
      </c>
      <c r="O1567" s="269">
        <f>IFERROR(IF(BA1567="WIP - 30 Days",VLOOKUP(D1567,[3]Extended!$B$9:$J$101,9,FALSE),IF(BA1567="31-120 Days",VLOOKUP(D1567,[3]Extended!$B$9:$K$101,10,FALSE),IF(BA1567="121-365 Days",VLOOKUP(D1567,[3]Extended!$B$9:$L$101,11,FALSE),VLOOKUP(D1567,[3]Extended!$B$9:$M$101,12,FALSE)))),0)</f>
        <v>0</v>
      </c>
      <c r="P1567" s="116" t="e">
        <f t="shared" si="121"/>
        <v>#VALUE!</v>
      </c>
      <c r="Q1567" s="110" t="e">
        <f>O1567-#REF!</f>
        <v>#REF!</v>
      </c>
      <c r="AT1567" s="88" t="str">
        <f t="shared" si="122"/>
        <v>Special Order0</v>
      </c>
      <c r="AU1567" s="89" t="str">
        <f t="shared" si="123"/>
        <v>01-1900</v>
      </c>
      <c r="BA1567" s="92" t="str">
        <f t="shared" si="124"/>
        <v/>
      </c>
    </row>
    <row r="1568" spans="2:53">
      <c r="B1568" s="60">
        <f>[2]Trucks!A1565</f>
        <v>0</v>
      </c>
      <c r="C1568" s="11">
        <f>[2]Trucks!B1565</f>
        <v>0</v>
      </c>
      <c r="D1568" s="19" t="str">
        <f>IFERROR(VLOOKUP(C1568&amp;"",'[2]Retail Price List'!$A$3:$B$103,2,FALSE),"Special Order")</f>
        <v>Special Order</v>
      </c>
      <c r="E1568" s="18">
        <f>[2]Trucks!J1565</f>
        <v>0</v>
      </c>
      <c r="F1568" s="12">
        <f>[2]Trucks!E1565</f>
        <v>0</v>
      </c>
      <c r="G1568" s="56">
        <f>[2]Trucks!K1565</f>
        <v>0</v>
      </c>
      <c r="H1568" s="46">
        <f>[2]Trucks!I1565</f>
        <v>0</v>
      </c>
      <c r="I1568" s="83" t="str">
        <f t="shared" si="120"/>
        <v/>
      </c>
      <c r="J1568" s="272" t="str">
        <f>IFERROR(VLOOKUP((D1568&amp;C1568)&amp;"",'[2]Retail Price List'!$C$4:$F$102,3,FALSE),"")</f>
        <v/>
      </c>
      <c r="K1568" s="272">
        <f>IFERROR(IF(BA1568="WIP - 30 Days",VLOOKUP(D1568,[3]Standard!$B$9:$E$101,4,FALSE),IF(BA1568="31-120 Days",VLOOKUP(D1568,[3]Standard!$B$9:$F$101,5,FALSE),IF(BA1568="121-365 Days",VLOOKUP(D1568,[3]Standard!$B$9:$G$101,6,FALSE),VLOOKUP(D1568,[3]Standard!$B$9:$H$101,7,FALSE)))),0)</f>
        <v>0</v>
      </c>
      <c r="L1568" s="272">
        <f>IFERROR(IF(BA1568="WIP - 30 Days",VLOOKUP(D1568,[3]Standard!$B$9:$J$101,9,FALSE),IF(BA1568="31-120 Days",VLOOKUP(D1568,[3]Standard!$B$9:$K$100,10,FALSE),IF(BA1568="121-365 Days",VLOOKUP(D1568,[3]Standard!$B$9:$L$101,11,FALSE),VLOOKUP(D1568,[3]Standard!$B$9:$M$101,12,FALSE)))),0)</f>
        <v>0</v>
      </c>
      <c r="M1568" s="269" t="str">
        <f>IFERROR(VLOOKUP((D1568&amp;C1568)&amp;"",'[2]Retail Price List'!$C$4:$F$102,4,FALSE),"")</f>
        <v/>
      </c>
      <c r="N1568" s="269">
        <f>IFERROR(IF(BA1568="WIP - 30 Days",VLOOKUP(D1568,[3]Extended!$B$9:$E$101,4,FALSE),IF(BA1568="31-120 Days",VLOOKUP(D1568,[3]Extended!$B$9:$F$101,5,FALSE),IF(BA1568="121-365 Days",VLOOKUP(D1568,[3]Extended!$B$9:$G$101,6,FALSE),VLOOKUP(D1568,[3]Extended!$B$9:$H$101,7,FALSE)))),0)</f>
        <v>0</v>
      </c>
      <c r="O1568" s="269">
        <f>IFERROR(IF(BA1568="WIP - 30 Days",VLOOKUP(D1568,[3]Extended!$B$9:$J$101,9,FALSE),IF(BA1568="31-120 Days",VLOOKUP(D1568,[3]Extended!$B$9:$K$101,10,FALSE),IF(BA1568="121-365 Days",VLOOKUP(D1568,[3]Extended!$B$9:$L$101,11,FALSE),VLOOKUP(D1568,[3]Extended!$B$9:$M$101,12,FALSE)))),0)</f>
        <v>0</v>
      </c>
      <c r="P1568" s="116" t="e">
        <f t="shared" si="121"/>
        <v>#VALUE!</v>
      </c>
      <c r="Q1568" s="110" t="e">
        <f>O1568-#REF!</f>
        <v>#REF!</v>
      </c>
      <c r="AT1568" s="88" t="str">
        <f t="shared" si="122"/>
        <v>Special Order0</v>
      </c>
      <c r="AU1568" s="89" t="str">
        <f t="shared" si="123"/>
        <v>01-1900</v>
      </c>
      <c r="BA1568" s="92" t="str">
        <f t="shared" si="124"/>
        <v/>
      </c>
    </row>
    <row r="1569" spans="2:53">
      <c r="B1569" s="60">
        <f>[2]Trucks!A1566</f>
        <v>0</v>
      </c>
      <c r="C1569" s="11">
        <f>[2]Trucks!B1566</f>
        <v>0</v>
      </c>
      <c r="D1569" s="19" t="str">
        <f>IFERROR(VLOOKUP(C1569&amp;"",'[2]Retail Price List'!$A$3:$B$103,2,FALSE),"Special Order")</f>
        <v>Special Order</v>
      </c>
      <c r="E1569" s="18">
        <f>[2]Trucks!J1566</f>
        <v>0</v>
      </c>
      <c r="F1569" s="12">
        <f>[2]Trucks!E1566</f>
        <v>0</v>
      </c>
      <c r="G1569" s="56">
        <f>[2]Trucks!K1566</f>
        <v>0</v>
      </c>
      <c r="H1569" s="46">
        <f>[2]Trucks!I1566</f>
        <v>0</v>
      </c>
      <c r="I1569" s="83" t="str">
        <f t="shared" si="120"/>
        <v/>
      </c>
      <c r="J1569" s="272" t="str">
        <f>IFERROR(VLOOKUP((D1569&amp;C1569)&amp;"",'[2]Retail Price List'!$C$4:$F$102,3,FALSE),"")</f>
        <v/>
      </c>
      <c r="K1569" s="272">
        <f>IFERROR(IF(BA1569="WIP - 30 Days",VLOOKUP(D1569,[3]Standard!$B$9:$E$101,4,FALSE),IF(BA1569="31-120 Days",VLOOKUP(D1569,[3]Standard!$B$9:$F$101,5,FALSE),IF(BA1569="121-365 Days",VLOOKUP(D1569,[3]Standard!$B$9:$G$101,6,FALSE),VLOOKUP(D1569,[3]Standard!$B$9:$H$101,7,FALSE)))),0)</f>
        <v>0</v>
      </c>
      <c r="L1569" s="272">
        <f>IFERROR(IF(BA1569="WIP - 30 Days",VLOOKUP(D1569,[3]Standard!$B$9:$J$101,9,FALSE),IF(BA1569="31-120 Days",VLOOKUP(D1569,[3]Standard!$B$9:$K$100,10,FALSE),IF(BA1569="121-365 Days",VLOOKUP(D1569,[3]Standard!$B$9:$L$101,11,FALSE),VLOOKUP(D1569,[3]Standard!$B$9:$M$101,12,FALSE)))),0)</f>
        <v>0</v>
      </c>
      <c r="M1569" s="269" t="str">
        <f>IFERROR(VLOOKUP((D1569&amp;C1569)&amp;"",'[2]Retail Price List'!$C$4:$F$102,4,FALSE),"")</f>
        <v/>
      </c>
      <c r="N1569" s="269">
        <f>IFERROR(IF(BA1569="WIP - 30 Days",VLOOKUP(D1569,[3]Extended!$B$9:$E$101,4,FALSE),IF(BA1569="31-120 Days",VLOOKUP(D1569,[3]Extended!$B$9:$F$101,5,FALSE),IF(BA1569="121-365 Days",VLOOKUP(D1569,[3]Extended!$B$9:$G$101,6,FALSE),VLOOKUP(D1569,[3]Extended!$B$9:$H$101,7,FALSE)))),0)</f>
        <v>0</v>
      </c>
      <c r="O1569" s="269">
        <f>IFERROR(IF(BA1569="WIP - 30 Days",VLOOKUP(D1569,[3]Extended!$B$9:$J$101,9,FALSE),IF(BA1569="31-120 Days",VLOOKUP(D1569,[3]Extended!$B$9:$K$101,10,FALSE),IF(BA1569="121-365 Days",VLOOKUP(D1569,[3]Extended!$B$9:$L$101,11,FALSE),VLOOKUP(D1569,[3]Extended!$B$9:$M$101,12,FALSE)))),0)</f>
        <v>0</v>
      </c>
      <c r="P1569" s="116" t="e">
        <f t="shared" si="121"/>
        <v>#VALUE!</v>
      </c>
      <c r="Q1569" s="110" t="e">
        <f>O1569-#REF!</f>
        <v>#REF!</v>
      </c>
      <c r="AT1569" s="88" t="str">
        <f t="shared" si="122"/>
        <v>Special Order0</v>
      </c>
      <c r="AU1569" s="89" t="str">
        <f t="shared" si="123"/>
        <v>01-1900</v>
      </c>
      <c r="BA1569" s="92" t="str">
        <f t="shared" si="124"/>
        <v/>
      </c>
    </row>
    <row r="1570" spans="2:53">
      <c r="B1570" s="60">
        <f>[2]Trucks!A1567</f>
        <v>0</v>
      </c>
      <c r="C1570" s="11">
        <f>[2]Trucks!B1567</f>
        <v>0</v>
      </c>
      <c r="D1570" s="19" t="str">
        <f>IFERROR(VLOOKUP(C1570&amp;"",'[2]Retail Price List'!$A$3:$B$103,2,FALSE),"Special Order")</f>
        <v>Special Order</v>
      </c>
      <c r="E1570" s="18">
        <f>[2]Trucks!J1567</f>
        <v>0</v>
      </c>
      <c r="F1570" s="12">
        <f>[2]Trucks!E1567</f>
        <v>0</v>
      </c>
      <c r="G1570" s="56">
        <f>[2]Trucks!K1567</f>
        <v>0</v>
      </c>
      <c r="H1570" s="46">
        <f>[2]Trucks!I1567</f>
        <v>0</v>
      </c>
      <c r="I1570" s="83" t="str">
        <f t="shared" si="120"/>
        <v/>
      </c>
      <c r="J1570" s="272" t="str">
        <f>IFERROR(VLOOKUP((D1570&amp;C1570)&amp;"",'[2]Retail Price List'!$C$4:$F$102,3,FALSE),"")</f>
        <v/>
      </c>
      <c r="K1570" s="272">
        <f>IFERROR(IF(BA1570="WIP - 30 Days",VLOOKUP(D1570,[3]Standard!$B$9:$E$101,4,FALSE),IF(BA1570="31-120 Days",VLOOKUP(D1570,[3]Standard!$B$9:$F$101,5,FALSE),IF(BA1570="121-365 Days",VLOOKUP(D1570,[3]Standard!$B$9:$G$101,6,FALSE),VLOOKUP(D1570,[3]Standard!$B$9:$H$101,7,FALSE)))),0)</f>
        <v>0</v>
      </c>
      <c r="L1570" s="272">
        <f>IFERROR(IF(BA1570="WIP - 30 Days",VLOOKUP(D1570,[3]Standard!$B$9:$J$101,9,FALSE),IF(BA1570="31-120 Days",VLOOKUP(D1570,[3]Standard!$B$9:$K$100,10,FALSE),IF(BA1570="121-365 Days",VLOOKUP(D1570,[3]Standard!$B$9:$L$101,11,FALSE),VLOOKUP(D1570,[3]Standard!$B$9:$M$101,12,FALSE)))),0)</f>
        <v>0</v>
      </c>
      <c r="M1570" s="269" t="str">
        <f>IFERROR(VLOOKUP((D1570&amp;C1570)&amp;"",'[2]Retail Price List'!$C$4:$F$102,4,FALSE),"")</f>
        <v/>
      </c>
      <c r="N1570" s="269">
        <f>IFERROR(IF(BA1570="WIP - 30 Days",VLOOKUP(D1570,[3]Extended!$B$9:$E$101,4,FALSE),IF(BA1570="31-120 Days",VLOOKUP(D1570,[3]Extended!$B$9:$F$101,5,FALSE),IF(BA1570="121-365 Days",VLOOKUP(D1570,[3]Extended!$B$9:$G$101,6,FALSE),VLOOKUP(D1570,[3]Extended!$B$9:$H$101,7,FALSE)))),0)</f>
        <v>0</v>
      </c>
      <c r="O1570" s="269">
        <f>IFERROR(IF(BA1570="WIP - 30 Days",VLOOKUP(D1570,[3]Extended!$B$9:$J$101,9,FALSE),IF(BA1570="31-120 Days",VLOOKUP(D1570,[3]Extended!$B$9:$K$101,10,FALSE),IF(BA1570="121-365 Days",VLOOKUP(D1570,[3]Extended!$B$9:$L$101,11,FALSE),VLOOKUP(D1570,[3]Extended!$B$9:$M$101,12,FALSE)))),0)</f>
        <v>0</v>
      </c>
      <c r="P1570" s="116" t="e">
        <f t="shared" si="121"/>
        <v>#VALUE!</v>
      </c>
      <c r="Q1570" s="110" t="e">
        <f>O1570-#REF!</f>
        <v>#REF!</v>
      </c>
      <c r="AT1570" s="88" t="str">
        <f t="shared" si="122"/>
        <v>Special Order0</v>
      </c>
      <c r="AU1570" s="89" t="str">
        <f t="shared" si="123"/>
        <v>01-1900</v>
      </c>
      <c r="BA1570" s="92" t="str">
        <f t="shared" si="124"/>
        <v/>
      </c>
    </row>
    <row r="1571" spans="2:53">
      <c r="B1571" s="60">
        <f>[2]Trucks!A1568</f>
        <v>0</v>
      </c>
      <c r="C1571" s="11">
        <f>[2]Trucks!B1568</f>
        <v>0</v>
      </c>
      <c r="D1571" s="19" t="str">
        <f>IFERROR(VLOOKUP(C1571&amp;"",'[2]Retail Price List'!$A$3:$B$103,2,FALSE),"Special Order")</f>
        <v>Special Order</v>
      </c>
      <c r="E1571" s="18">
        <f>[2]Trucks!J1568</f>
        <v>0</v>
      </c>
      <c r="F1571" s="12">
        <f>[2]Trucks!E1568</f>
        <v>0</v>
      </c>
      <c r="G1571" s="56">
        <f>[2]Trucks!K1568</f>
        <v>0</v>
      </c>
      <c r="H1571" s="46">
        <f>[2]Trucks!I1568</f>
        <v>0</v>
      </c>
      <c r="I1571" s="83" t="str">
        <f t="shared" si="120"/>
        <v/>
      </c>
      <c r="J1571" s="272" t="str">
        <f>IFERROR(VLOOKUP((D1571&amp;C1571)&amp;"",'[2]Retail Price List'!$C$4:$F$102,3,FALSE),"")</f>
        <v/>
      </c>
      <c r="K1571" s="272">
        <f>IFERROR(IF(BA1571="WIP - 30 Days",VLOOKUP(D1571,[3]Standard!$B$9:$E$101,4,FALSE),IF(BA1571="31-120 Days",VLOOKUP(D1571,[3]Standard!$B$9:$F$101,5,FALSE),IF(BA1571="121-365 Days",VLOOKUP(D1571,[3]Standard!$B$9:$G$101,6,FALSE),VLOOKUP(D1571,[3]Standard!$B$9:$H$101,7,FALSE)))),0)</f>
        <v>0</v>
      </c>
      <c r="L1571" s="272">
        <f>IFERROR(IF(BA1571="WIP - 30 Days",VLOOKUP(D1571,[3]Standard!$B$9:$J$101,9,FALSE),IF(BA1571="31-120 Days",VLOOKUP(D1571,[3]Standard!$B$9:$K$100,10,FALSE),IF(BA1571="121-365 Days",VLOOKUP(D1571,[3]Standard!$B$9:$L$101,11,FALSE),VLOOKUP(D1571,[3]Standard!$B$9:$M$101,12,FALSE)))),0)</f>
        <v>0</v>
      </c>
      <c r="M1571" s="269" t="str">
        <f>IFERROR(VLOOKUP((D1571&amp;C1571)&amp;"",'[2]Retail Price List'!$C$4:$F$102,4,FALSE),"")</f>
        <v/>
      </c>
      <c r="N1571" s="269">
        <f>IFERROR(IF(BA1571="WIP - 30 Days",VLOOKUP(D1571,[3]Extended!$B$9:$E$101,4,FALSE),IF(BA1571="31-120 Days",VLOOKUP(D1571,[3]Extended!$B$9:$F$101,5,FALSE),IF(BA1571="121-365 Days",VLOOKUP(D1571,[3]Extended!$B$9:$G$101,6,FALSE),VLOOKUP(D1571,[3]Extended!$B$9:$H$101,7,FALSE)))),0)</f>
        <v>0</v>
      </c>
      <c r="O1571" s="269">
        <f>IFERROR(IF(BA1571="WIP - 30 Days",VLOOKUP(D1571,[3]Extended!$B$9:$J$101,9,FALSE),IF(BA1571="31-120 Days",VLOOKUP(D1571,[3]Extended!$B$9:$K$101,10,FALSE),IF(BA1571="121-365 Days",VLOOKUP(D1571,[3]Extended!$B$9:$L$101,11,FALSE),VLOOKUP(D1571,[3]Extended!$B$9:$M$101,12,FALSE)))),0)</f>
        <v>0</v>
      </c>
      <c r="P1571" s="116" t="e">
        <f t="shared" si="121"/>
        <v>#VALUE!</v>
      </c>
      <c r="Q1571" s="110" t="e">
        <f>O1571-#REF!</f>
        <v>#REF!</v>
      </c>
      <c r="AT1571" s="88" t="str">
        <f t="shared" si="122"/>
        <v>Special Order0</v>
      </c>
      <c r="AU1571" s="89" t="str">
        <f t="shared" si="123"/>
        <v>01-1900</v>
      </c>
      <c r="BA1571" s="92" t="str">
        <f t="shared" si="124"/>
        <v/>
      </c>
    </row>
    <row r="1572" spans="2:53">
      <c r="B1572" s="60">
        <f>[2]Trucks!A1569</f>
        <v>0</v>
      </c>
      <c r="C1572" s="11">
        <f>[2]Trucks!B1569</f>
        <v>0</v>
      </c>
      <c r="D1572" s="19" t="str">
        <f>IFERROR(VLOOKUP(C1572&amp;"",'[2]Retail Price List'!$A$3:$B$103,2,FALSE),"Special Order")</f>
        <v>Special Order</v>
      </c>
      <c r="E1572" s="18">
        <f>[2]Trucks!J1569</f>
        <v>0</v>
      </c>
      <c r="F1572" s="12">
        <f>[2]Trucks!E1569</f>
        <v>0</v>
      </c>
      <c r="G1572" s="56">
        <f>[2]Trucks!K1569</f>
        <v>0</v>
      </c>
      <c r="H1572" s="46">
        <f>[2]Trucks!I1569</f>
        <v>0</v>
      </c>
      <c r="I1572" s="83" t="str">
        <f t="shared" si="120"/>
        <v/>
      </c>
      <c r="J1572" s="272" t="str">
        <f>IFERROR(VLOOKUP((D1572&amp;C1572)&amp;"",'[2]Retail Price List'!$C$4:$F$102,3,FALSE),"")</f>
        <v/>
      </c>
      <c r="K1572" s="272">
        <f>IFERROR(IF(BA1572="WIP - 30 Days",VLOOKUP(D1572,[3]Standard!$B$9:$E$101,4,FALSE),IF(BA1572="31-120 Days",VLOOKUP(D1572,[3]Standard!$B$9:$F$101,5,FALSE),IF(BA1572="121-365 Days",VLOOKUP(D1572,[3]Standard!$B$9:$G$101,6,FALSE),VLOOKUP(D1572,[3]Standard!$B$9:$H$101,7,FALSE)))),0)</f>
        <v>0</v>
      </c>
      <c r="L1572" s="272">
        <f>IFERROR(IF(BA1572="WIP - 30 Days",VLOOKUP(D1572,[3]Standard!$B$9:$J$101,9,FALSE),IF(BA1572="31-120 Days",VLOOKUP(D1572,[3]Standard!$B$9:$K$100,10,FALSE),IF(BA1572="121-365 Days",VLOOKUP(D1572,[3]Standard!$B$9:$L$101,11,FALSE),VLOOKUP(D1572,[3]Standard!$B$9:$M$101,12,FALSE)))),0)</f>
        <v>0</v>
      </c>
      <c r="M1572" s="269" t="str">
        <f>IFERROR(VLOOKUP((D1572&amp;C1572)&amp;"",'[2]Retail Price List'!$C$4:$F$102,4,FALSE),"")</f>
        <v/>
      </c>
      <c r="N1572" s="269">
        <f>IFERROR(IF(BA1572="WIP - 30 Days",VLOOKUP(D1572,[3]Extended!$B$9:$E$101,4,FALSE),IF(BA1572="31-120 Days",VLOOKUP(D1572,[3]Extended!$B$9:$F$101,5,FALSE),IF(BA1572="121-365 Days",VLOOKUP(D1572,[3]Extended!$B$9:$G$101,6,FALSE),VLOOKUP(D1572,[3]Extended!$B$9:$H$101,7,FALSE)))),0)</f>
        <v>0</v>
      </c>
      <c r="O1572" s="269">
        <f>IFERROR(IF(BA1572="WIP - 30 Days",VLOOKUP(D1572,[3]Extended!$B$9:$J$101,9,FALSE),IF(BA1572="31-120 Days",VLOOKUP(D1572,[3]Extended!$B$9:$K$101,10,FALSE),IF(BA1572="121-365 Days",VLOOKUP(D1572,[3]Extended!$B$9:$L$101,11,FALSE),VLOOKUP(D1572,[3]Extended!$B$9:$M$101,12,FALSE)))),0)</f>
        <v>0</v>
      </c>
      <c r="P1572" s="116" t="e">
        <f t="shared" si="121"/>
        <v>#VALUE!</v>
      </c>
      <c r="Q1572" s="110" t="e">
        <f>O1572-#REF!</f>
        <v>#REF!</v>
      </c>
      <c r="AT1572" s="88" t="str">
        <f t="shared" si="122"/>
        <v>Special Order0</v>
      </c>
      <c r="AU1572" s="89" t="str">
        <f t="shared" si="123"/>
        <v>01-1900</v>
      </c>
      <c r="BA1572" s="92" t="str">
        <f t="shared" si="124"/>
        <v/>
      </c>
    </row>
    <row r="1573" spans="2:53">
      <c r="B1573" s="60">
        <f>[2]Trucks!A1570</f>
        <v>0</v>
      </c>
      <c r="C1573" s="11">
        <f>[2]Trucks!B1570</f>
        <v>0</v>
      </c>
      <c r="D1573" s="19" t="str">
        <f>IFERROR(VLOOKUP(C1573&amp;"",'[2]Retail Price List'!$A$3:$B$103,2,FALSE),"Special Order")</f>
        <v>Special Order</v>
      </c>
      <c r="E1573" s="18">
        <f>[2]Trucks!J1570</f>
        <v>0</v>
      </c>
      <c r="F1573" s="12">
        <f>[2]Trucks!E1570</f>
        <v>0</v>
      </c>
      <c r="G1573" s="56">
        <f>[2]Trucks!K1570</f>
        <v>0</v>
      </c>
      <c r="H1573" s="46">
        <f>[2]Trucks!I1570</f>
        <v>0</v>
      </c>
      <c r="I1573" s="83" t="str">
        <f t="shared" si="120"/>
        <v/>
      </c>
      <c r="J1573" s="272" t="str">
        <f>IFERROR(VLOOKUP((D1573&amp;C1573)&amp;"",'[2]Retail Price List'!$C$4:$F$102,3,FALSE),"")</f>
        <v/>
      </c>
      <c r="K1573" s="272">
        <f>IFERROR(IF(BA1573="WIP - 30 Days",VLOOKUP(D1573,[3]Standard!$B$9:$E$101,4,FALSE),IF(BA1573="31-120 Days",VLOOKUP(D1573,[3]Standard!$B$9:$F$101,5,FALSE),IF(BA1573="121-365 Days",VLOOKUP(D1573,[3]Standard!$B$9:$G$101,6,FALSE),VLOOKUP(D1573,[3]Standard!$B$9:$H$101,7,FALSE)))),0)</f>
        <v>0</v>
      </c>
      <c r="L1573" s="272">
        <f>IFERROR(IF(BA1573="WIP - 30 Days",VLOOKUP(D1573,[3]Standard!$B$9:$J$101,9,FALSE),IF(BA1573="31-120 Days",VLOOKUP(D1573,[3]Standard!$B$9:$K$100,10,FALSE),IF(BA1573="121-365 Days",VLOOKUP(D1573,[3]Standard!$B$9:$L$101,11,FALSE),VLOOKUP(D1573,[3]Standard!$B$9:$M$101,12,FALSE)))),0)</f>
        <v>0</v>
      </c>
      <c r="M1573" s="269" t="str">
        <f>IFERROR(VLOOKUP((D1573&amp;C1573)&amp;"",'[2]Retail Price List'!$C$4:$F$102,4,FALSE),"")</f>
        <v/>
      </c>
      <c r="N1573" s="269">
        <f>IFERROR(IF(BA1573="WIP - 30 Days",VLOOKUP(D1573,[3]Extended!$B$9:$E$101,4,FALSE),IF(BA1573="31-120 Days",VLOOKUP(D1573,[3]Extended!$B$9:$F$101,5,FALSE),IF(BA1573="121-365 Days",VLOOKUP(D1573,[3]Extended!$B$9:$G$101,6,FALSE),VLOOKUP(D1573,[3]Extended!$B$9:$H$101,7,FALSE)))),0)</f>
        <v>0</v>
      </c>
      <c r="O1573" s="269">
        <f>IFERROR(IF(BA1573="WIP - 30 Days",VLOOKUP(D1573,[3]Extended!$B$9:$J$101,9,FALSE),IF(BA1573="31-120 Days",VLOOKUP(D1573,[3]Extended!$B$9:$K$101,10,FALSE),IF(BA1573="121-365 Days",VLOOKUP(D1573,[3]Extended!$B$9:$L$101,11,FALSE),VLOOKUP(D1573,[3]Extended!$B$9:$M$101,12,FALSE)))),0)</f>
        <v>0</v>
      </c>
      <c r="P1573" s="116" t="e">
        <f t="shared" si="121"/>
        <v>#VALUE!</v>
      </c>
      <c r="Q1573" s="110" t="e">
        <f>O1573-#REF!</f>
        <v>#REF!</v>
      </c>
      <c r="AT1573" s="88" t="str">
        <f t="shared" si="122"/>
        <v>Special Order0</v>
      </c>
      <c r="AU1573" s="89" t="str">
        <f t="shared" si="123"/>
        <v>01-1900</v>
      </c>
      <c r="BA1573" s="92" t="str">
        <f t="shared" si="124"/>
        <v/>
      </c>
    </row>
    <row r="1574" spans="2:53">
      <c r="B1574" s="60">
        <f>[2]Trucks!A1571</f>
        <v>0</v>
      </c>
      <c r="C1574" s="11">
        <f>[2]Trucks!B1571</f>
        <v>0</v>
      </c>
      <c r="D1574" s="19" t="str">
        <f>IFERROR(VLOOKUP(C1574&amp;"",'[2]Retail Price List'!$A$3:$B$103,2,FALSE),"Special Order")</f>
        <v>Special Order</v>
      </c>
      <c r="E1574" s="18">
        <f>[2]Trucks!J1571</f>
        <v>0</v>
      </c>
      <c r="F1574" s="12">
        <f>[2]Trucks!E1571</f>
        <v>0</v>
      </c>
      <c r="G1574" s="56">
        <f>[2]Trucks!K1571</f>
        <v>0</v>
      </c>
      <c r="H1574" s="46">
        <f>[2]Trucks!I1571</f>
        <v>0</v>
      </c>
      <c r="I1574" s="83" t="str">
        <f t="shared" si="120"/>
        <v/>
      </c>
      <c r="J1574" s="272" t="str">
        <f>IFERROR(VLOOKUP((D1574&amp;C1574)&amp;"",'[2]Retail Price List'!$C$4:$F$102,3,FALSE),"")</f>
        <v/>
      </c>
      <c r="K1574" s="272">
        <f>IFERROR(IF(BA1574="WIP - 30 Days",VLOOKUP(D1574,[3]Standard!$B$9:$E$101,4,FALSE),IF(BA1574="31-120 Days",VLOOKUP(D1574,[3]Standard!$B$9:$F$101,5,FALSE),IF(BA1574="121-365 Days",VLOOKUP(D1574,[3]Standard!$B$9:$G$101,6,FALSE),VLOOKUP(D1574,[3]Standard!$B$9:$H$101,7,FALSE)))),0)</f>
        <v>0</v>
      </c>
      <c r="L1574" s="272">
        <f>IFERROR(IF(BA1574="WIP - 30 Days",VLOOKUP(D1574,[3]Standard!$B$9:$J$101,9,FALSE),IF(BA1574="31-120 Days",VLOOKUP(D1574,[3]Standard!$B$9:$K$100,10,FALSE),IF(BA1574="121-365 Days",VLOOKUP(D1574,[3]Standard!$B$9:$L$101,11,FALSE),VLOOKUP(D1574,[3]Standard!$B$9:$M$101,12,FALSE)))),0)</f>
        <v>0</v>
      </c>
      <c r="M1574" s="269" t="str">
        <f>IFERROR(VLOOKUP((D1574&amp;C1574)&amp;"",'[2]Retail Price List'!$C$4:$F$102,4,FALSE),"")</f>
        <v/>
      </c>
      <c r="N1574" s="269">
        <f>IFERROR(IF(BA1574="WIP - 30 Days",VLOOKUP(D1574,[3]Extended!$B$9:$E$101,4,FALSE),IF(BA1574="31-120 Days",VLOOKUP(D1574,[3]Extended!$B$9:$F$101,5,FALSE),IF(BA1574="121-365 Days",VLOOKUP(D1574,[3]Extended!$B$9:$G$101,6,FALSE),VLOOKUP(D1574,[3]Extended!$B$9:$H$101,7,FALSE)))),0)</f>
        <v>0</v>
      </c>
      <c r="O1574" s="269">
        <f>IFERROR(IF(BA1574="WIP - 30 Days",VLOOKUP(D1574,[3]Extended!$B$9:$J$101,9,FALSE),IF(BA1574="31-120 Days",VLOOKUP(D1574,[3]Extended!$B$9:$K$101,10,FALSE),IF(BA1574="121-365 Days",VLOOKUP(D1574,[3]Extended!$B$9:$L$101,11,FALSE),VLOOKUP(D1574,[3]Extended!$B$9:$M$101,12,FALSE)))),0)</f>
        <v>0</v>
      </c>
      <c r="P1574" s="116" t="e">
        <f t="shared" si="121"/>
        <v>#VALUE!</v>
      </c>
      <c r="Q1574" s="110" t="e">
        <f>O1574-#REF!</f>
        <v>#REF!</v>
      </c>
      <c r="AT1574" s="88" t="str">
        <f t="shared" si="122"/>
        <v>Special Order0</v>
      </c>
      <c r="AU1574" s="89" t="str">
        <f t="shared" si="123"/>
        <v>01-1900</v>
      </c>
      <c r="BA1574" s="92" t="str">
        <f t="shared" si="124"/>
        <v/>
      </c>
    </row>
    <row r="1575" spans="2:53">
      <c r="B1575" s="60">
        <f>[2]Trucks!A1572</f>
        <v>0</v>
      </c>
      <c r="C1575" s="11">
        <f>[2]Trucks!B1572</f>
        <v>0</v>
      </c>
      <c r="D1575" s="19" t="str">
        <f>IFERROR(VLOOKUP(C1575&amp;"",'[2]Retail Price List'!$A$3:$B$103,2,FALSE),"Special Order")</f>
        <v>Special Order</v>
      </c>
      <c r="E1575" s="18">
        <f>[2]Trucks!J1572</f>
        <v>0</v>
      </c>
      <c r="F1575" s="12">
        <f>[2]Trucks!E1572</f>
        <v>0</v>
      </c>
      <c r="G1575" s="56">
        <f>[2]Trucks!K1572</f>
        <v>0</v>
      </c>
      <c r="H1575" s="46">
        <f>[2]Trucks!I1572</f>
        <v>0</v>
      </c>
      <c r="I1575" s="83" t="str">
        <f t="shared" si="120"/>
        <v/>
      </c>
      <c r="J1575" s="272" t="str">
        <f>IFERROR(VLOOKUP((D1575&amp;C1575)&amp;"",'[2]Retail Price List'!$C$4:$F$102,3,FALSE),"")</f>
        <v/>
      </c>
      <c r="K1575" s="272">
        <f>IFERROR(IF(BA1575="WIP - 30 Days",VLOOKUP(D1575,[3]Standard!$B$9:$E$101,4,FALSE),IF(BA1575="31-120 Days",VLOOKUP(D1575,[3]Standard!$B$9:$F$101,5,FALSE),IF(BA1575="121-365 Days",VLOOKUP(D1575,[3]Standard!$B$9:$G$101,6,FALSE),VLOOKUP(D1575,[3]Standard!$B$9:$H$101,7,FALSE)))),0)</f>
        <v>0</v>
      </c>
      <c r="L1575" s="272">
        <f>IFERROR(IF(BA1575="WIP - 30 Days",VLOOKUP(D1575,[3]Standard!$B$9:$J$101,9,FALSE),IF(BA1575="31-120 Days",VLOOKUP(D1575,[3]Standard!$B$9:$K$100,10,FALSE),IF(BA1575="121-365 Days",VLOOKUP(D1575,[3]Standard!$B$9:$L$101,11,FALSE),VLOOKUP(D1575,[3]Standard!$B$9:$M$101,12,FALSE)))),0)</f>
        <v>0</v>
      </c>
      <c r="M1575" s="269" t="str">
        <f>IFERROR(VLOOKUP((D1575&amp;C1575)&amp;"",'[2]Retail Price List'!$C$4:$F$102,4,FALSE),"")</f>
        <v/>
      </c>
      <c r="N1575" s="269">
        <f>IFERROR(IF(BA1575="WIP - 30 Days",VLOOKUP(D1575,[3]Extended!$B$9:$E$101,4,FALSE),IF(BA1575="31-120 Days",VLOOKUP(D1575,[3]Extended!$B$9:$F$101,5,FALSE),IF(BA1575="121-365 Days",VLOOKUP(D1575,[3]Extended!$B$9:$G$101,6,FALSE),VLOOKUP(D1575,[3]Extended!$B$9:$H$101,7,FALSE)))),0)</f>
        <v>0</v>
      </c>
      <c r="O1575" s="269">
        <f>IFERROR(IF(BA1575="WIP - 30 Days",VLOOKUP(D1575,[3]Extended!$B$9:$J$101,9,FALSE),IF(BA1575="31-120 Days",VLOOKUP(D1575,[3]Extended!$B$9:$K$101,10,FALSE),IF(BA1575="121-365 Days",VLOOKUP(D1575,[3]Extended!$B$9:$L$101,11,FALSE),VLOOKUP(D1575,[3]Extended!$B$9:$M$101,12,FALSE)))),0)</f>
        <v>0</v>
      </c>
      <c r="P1575" s="116" t="e">
        <f t="shared" si="121"/>
        <v>#VALUE!</v>
      </c>
      <c r="Q1575" s="110" t="e">
        <f>O1575-#REF!</f>
        <v>#REF!</v>
      </c>
      <c r="AT1575" s="88" t="str">
        <f t="shared" si="122"/>
        <v>Special Order0</v>
      </c>
      <c r="AU1575" s="89" t="str">
        <f t="shared" si="123"/>
        <v>01-1900</v>
      </c>
      <c r="BA1575" s="92" t="str">
        <f t="shared" si="124"/>
        <v/>
      </c>
    </row>
    <row r="1576" spans="2:53">
      <c r="B1576" s="60">
        <f>[2]Trucks!A1573</f>
        <v>0</v>
      </c>
      <c r="C1576" s="11">
        <f>[2]Trucks!B1573</f>
        <v>0</v>
      </c>
      <c r="D1576" s="19" t="str">
        <f>IFERROR(VLOOKUP(C1576&amp;"",'[2]Retail Price List'!$A$3:$B$103,2,FALSE),"Special Order")</f>
        <v>Special Order</v>
      </c>
      <c r="E1576" s="18">
        <f>[2]Trucks!J1573</f>
        <v>0</v>
      </c>
      <c r="F1576" s="12">
        <f>[2]Trucks!E1573</f>
        <v>0</v>
      </c>
      <c r="G1576" s="56">
        <f>[2]Trucks!K1573</f>
        <v>0</v>
      </c>
      <c r="H1576" s="46">
        <f>[2]Trucks!I1573</f>
        <v>0</v>
      </c>
      <c r="I1576" s="83" t="str">
        <f t="shared" si="120"/>
        <v/>
      </c>
      <c r="J1576" s="272" t="str">
        <f>IFERROR(VLOOKUP((D1576&amp;C1576)&amp;"",'[2]Retail Price List'!$C$4:$F$102,3,FALSE),"")</f>
        <v/>
      </c>
      <c r="K1576" s="272">
        <f>IFERROR(IF(BA1576="WIP - 30 Days",VLOOKUP(D1576,[3]Standard!$B$9:$E$101,4,FALSE),IF(BA1576="31-120 Days",VLOOKUP(D1576,[3]Standard!$B$9:$F$101,5,FALSE),IF(BA1576="121-365 Days",VLOOKUP(D1576,[3]Standard!$B$9:$G$101,6,FALSE),VLOOKUP(D1576,[3]Standard!$B$9:$H$101,7,FALSE)))),0)</f>
        <v>0</v>
      </c>
      <c r="L1576" s="272">
        <f>IFERROR(IF(BA1576="WIP - 30 Days",VLOOKUP(D1576,[3]Standard!$B$9:$J$101,9,FALSE),IF(BA1576="31-120 Days",VLOOKUP(D1576,[3]Standard!$B$9:$K$100,10,FALSE),IF(BA1576="121-365 Days",VLOOKUP(D1576,[3]Standard!$B$9:$L$101,11,FALSE),VLOOKUP(D1576,[3]Standard!$B$9:$M$101,12,FALSE)))),0)</f>
        <v>0</v>
      </c>
      <c r="M1576" s="269" t="str">
        <f>IFERROR(VLOOKUP((D1576&amp;C1576)&amp;"",'[2]Retail Price List'!$C$4:$F$102,4,FALSE),"")</f>
        <v/>
      </c>
      <c r="N1576" s="269">
        <f>IFERROR(IF(BA1576="WIP - 30 Days",VLOOKUP(D1576,[3]Extended!$B$9:$E$101,4,FALSE),IF(BA1576="31-120 Days",VLOOKUP(D1576,[3]Extended!$B$9:$F$101,5,FALSE),IF(BA1576="121-365 Days",VLOOKUP(D1576,[3]Extended!$B$9:$G$101,6,FALSE),VLOOKUP(D1576,[3]Extended!$B$9:$H$101,7,FALSE)))),0)</f>
        <v>0</v>
      </c>
      <c r="O1576" s="269">
        <f>IFERROR(IF(BA1576="WIP - 30 Days",VLOOKUP(D1576,[3]Extended!$B$9:$J$101,9,FALSE),IF(BA1576="31-120 Days",VLOOKUP(D1576,[3]Extended!$B$9:$K$101,10,FALSE),IF(BA1576="121-365 Days",VLOOKUP(D1576,[3]Extended!$B$9:$L$101,11,FALSE),VLOOKUP(D1576,[3]Extended!$B$9:$M$101,12,FALSE)))),0)</f>
        <v>0</v>
      </c>
      <c r="P1576" s="116" t="e">
        <f t="shared" si="121"/>
        <v>#VALUE!</v>
      </c>
      <c r="Q1576" s="110" t="e">
        <f>O1576-#REF!</f>
        <v>#REF!</v>
      </c>
      <c r="AT1576" s="88" t="str">
        <f t="shared" si="122"/>
        <v>Special Order0</v>
      </c>
      <c r="AU1576" s="89" t="str">
        <f t="shared" si="123"/>
        <v>01-1900</v>
      </c>
      <c r="BA1576" s="92" t="str">
        <f t="shared" si="124"/>
        <v/>
      </c>
    </row>
    <row r="1577" spans="2:53">
      <c r="B1577" s="60">
        <f>[2]Trucks!A1574</f>
        <v>0</v>
      </c>
      <c r="C1577" s="11">
        <f>[2]Trucks!B1574</f>
        <v>0</v>
      </c>
      <c r="D1577" s="19" t="str">
        <f>IFERROR(VLOOKUP(C1577&amp;"",'[2]Retail Price List'!$A$3:$B$103,2,FALSE),"Special Order")</f>
        <v>Special Order</v>
      </c>
      <c r="E1577" s="18">
        <f>[2]Trucks!J1574</f>
        <v>0</v>
      </c>
      <c r="F1577" s="12">
        <f>[2]Trucks!E1574</f>
        <v>0</v>
      </c>
      <c r="G1577" s="56">
        <f>[2]Trucks!K1574</f>
        <v>0</v>
      </c>
      <c r="H1577" s="46">
        <f>[2]Trucks!I1574</f>
        <v>0</v>
      </c>
      <c r="I1577" s="83" t="str">
        <f t="shared" si="120"/>
        <v/>
      </c>
      <c r="J1577" s="272" t="str">
        <f>IFERROR(VLOOKUP((D1577&amp;C1577)&amp;"",'[2]Retail Price List'!$C$4:$F$102,3,FALSE),"")</f>
        <v/>
      </c>
      <c r="K1577" s="272">
        <f>IFERROR(IF(BA1577="WIP - 30 Days",VLOOKUP(D1577,[3]Standard!$B$9:$E$101,4,FALSE),IF(BA1577="31-120 Days",VLOOKUP(D1577,[3]Standard!$B$9:$F$101,5,FALSE),IF(BA1577="121-365 Days",VLOOKUP(D1577,[3]Standard!$B$9:$G$101,6,FALSE),VLOOKUP(D1577,[3]Standard!$B$9:$H$101,7,FALSE)))),0)</f>
        <v>0</v>
      </c>
      <c r="L1577" s="272">
        <f>IFERROR(IF(BA1577="WIP - 30 Days",VLOOKUP(D1577,[3]Standard!$B$9:$J$101,9,FALSE),IF(BA1577="31-120 Days",VLOOKUP(D1577,[3]Standard!$B$9:$K$100,10,FALSE),IF(BA1577="121-365 Days",VLOOKUP(D1577,[3]Standard!$B$9:$L$101,11,FALSE),VLOOKUP(D1577,[3]Standard!$B$9:$M$101,12,FALSE)))),0)</f>
        <v>0</v>
      </c>
      <c r="M1577" s="269" t="str">
        <f>IFERROR(VLOOKUP((D1577&amp;C1577)&amp;"",'[2]Retail Price List'!$C$4:$F$102,4,FALSE),"")</f>
        <v/>
      </c>
      <c r="N1577" s="269">
        <f>IFERROR(IF(BA1577="WIP - 30 Days",VLOOKUP(D1577,[3]Extended!$B$9:$E$101,4,FALSE),IF(BA1577="31-120 Days",VLOOKUP(D1577,[3]Extended!$B$9:$F$101,5,FALSE),IF(BA1577="121-365 Days",VLOOKUP(D1577,[3]Extended!$B$9:$G$101,6,FALSE),VLOOKUP(D1577,[3]Extended!$B$9:$H$101,7,FALSE)))),0)</f>
        <v>0</v>
      </c>
      <c r="O1577" s="269">
        <f>IFERROR(IF(BA1577="WIP - 30 Days",VLOOKUP(D1577,[3]Extended!$B$9:$J$101,9,FALSE),IF(BA1577="31-120 Days",VLOOKUP(D1577,[3]Extended!$B$9:$K$101,10,FALSE),IF(BA1577="121-365 Days",VLOOKUP(D1577,[3]Extended!$B$9:$L$101,11,FALSE),VLOOKUP(D1577,[3]Extended!$B$9:$M$101,12,FALSE)))),0)</f>
        <v>0</v>
      </c>
      <c r="P1577" s="116" t="e">
        <f t="shared" si="121"/>
        <v>#VALUE!</v>
      </c>
      <c r="Q1577" s="110" t="e">
        <f>O1577-#REF!</f>
        <v>#REF!</v>
      </c>
      <c r="AT1577" s="88" t="str">
        <f t="shared" si="122"/>
        <v>Special Order0</v>
      </c>
      <c r="AU1577" s="89" t="str">
        <f t="shared" si="123"/>
        <v>01-1900</v>
      </c>
      <c r="BA1577" s="92" t="str">
        <f t="shared" si="124"/>
        <v/>
      </c>
    </row>
    <row r="1578" spans="2:53">
      <c r="B1578" s="60">
        <f>[2]Trucks!A1575</f>
        <v>0</v>
      </c>
      <c r="C1578" s="11">
        <f>[2]Trucks!B1575</f>
        <v>0</v>
      </c>
      <c r="D1578" s="19" t="str">
        <f>IFERROR(VLOOKUP(C1578&amp;"",'[2]Retail Price List'!$A$3:$B$103,2,FALSE),"Special Order")</f>
        <v>Special Order</v>
      </c>
      <c r="E1578" s="18">
        <f>[2]Trucks!J1575</f>
        <v>0</v>
      </c>
      <c r="F1578" s="12">
        <f>[2]Trucks!E1575</f>
        <v>0</v>
      </c>
      <c r="G1578" s="56">
        <f>[2]Trucks!K1575</f>
        <v>0</v>
      </c>
      <c r="H1578" s="46">
        <f>[2]Trucks!I1575</f>
        <v>0</v>
      </c>
      <c r="I1578" s="83" t="str">
        <f t="shared" si="120"/>
        <v/>
      </c>
      <c r="J1578" s="272" t="str">
        <f>IFERROR(VLOOKUP((D1578&amp;C1578)&amp;"",'[2]Retail Price List'!$C$4:$F$102,3,FALSE),"")</f>
        <v/>
      </c>
      <c r="K1578" s="272">
        <f>IFERROR(IF(BA1578="WIP - 30 Days",VLOOKUP(D1578,[3]Standard!$B$9:$E$101,4,FALSE),IF(BA1578="31-120 Days",VLOOKUP(D1578,[3]Standard!$B$9:$F$101,5,FALSE),IF(BA1578="121-365 Days",VLOOKUP(D1578,[3]Standard!$B$9:$G$101,6,FALSE),VLOOKUP(D1578,[3]Standard!$B$9:$H$101,7,FALSE)))),0)</f>
        <v>0</v>
      </c>
      <c r="L1578" s="272">
        <f>IFERROR(IF(BA1578="WIP - 30 Days",VLOOKUP(D1578,[3]Standard!$B$9:$J$101,9,FALSE),IF(BA1578="31-120 Days",VLOOKUP(D1578,[3]Standard!$B$9:$K$100,10,FALSE),IF(BA1578="121-365 Days",VLOOKUP(D1578,[3]Standard!$B$9:$L$101,11,FALSE),VLOOKUP(D1578,[3]Standard!$B$9:$M$101,12,FALSE)))),0)</f>
        <v>0</v>
      </c>
      <c r="M1578" s="269" t="str">
        <f>IFERROR(VLOOKUP((D1578&amp;C1578)&amp;"",'[2]Retail Price List'!$C$4:$F$102,4,FALSE),"")</f>
        <v/>
      </c>
      <c r="N1578" s="269">
        <f>IFERROR(IF(BA1578="WIP - 30 Days",VLOOKUP(D1578,[3]Extended!$B$9:$E$101,4,FALSE),IF(BA1578="31-120 Days",VLOOKUP(D1578,[3]Extended!$B$9:$F$101,5,FALSE),IF(BA1578="121-365 Days",VLOOKUP(D1578,[3]Extended!$B$9:$G$101,6,FALSE),VLOOKUP(D1578,[3]Extended!$B$9:$H$101,7,FALSE)))),0)</f>
        <v>0</v>
      </c>
      <c r="O1578" s="269">
        <f>IFERROR(IF(BA1578="WIP - 30 Days",VLOOKUP(D1578,[3]Extended!$B$9:$J$101,9,FALSE),IF(BA1578="31-120 Days",VLOOKUP(D1578,[3]Extended!$B$9:$K$101,10,FALSE),IF(BA1578="121-365 Days",VLOOKUP(D1578,[3]Extended!$B$9:$L$101,11,FALSE),VLOOKUP(D1578,[3]Extended!$B$9:$M$101,12,FALSE)))),0)</f>
        <v>0</v>
      </c>
      <c r="P1578" s="116" t="e">
        <f t="shared" si="121"/>
        <v>#VALUE!</v>
      </c>
      <c r="Q1578" s="110" t="e">
        <f>O1578-#REF!</f>
        <v>#REF!</v>
      </c>
      <c r="AT1578" s="88" t="str">
        <f t="shared" si="122"/>
        <v>Special Order0</v>
      </c>
      <c r="AU1578" s="89" t="str">
        <f t="shared" si="123"/>
        <v>01-1900</v>
      </c>
      <c r="BA1578" s="92" t="str">
        <f t="shared" si="124"/>
        <v/>
      </c>
    </row>
    <row r="1579" spans="2:53">
      <c r="B1579" s="60">
        <f>[2]Trucks!A1576</f>
        <v>0</v>
      </c>
      <c r="C1579" s="11">
        <f>[2]Trucks!B1576</f>
        <v>0</v>
      </c>
      <c r="D1579" s="19" t="str">
        <f>IFERROR(VLOOKUP(C1579&amp;"",'[2]Retail Price List'!$A$3:$B$103,2,FALSE),"Special Order")</f>
        <v>Special Order</v>
      </c>
      <c r="E1579" s="18">
        <f>[2]Trucks!J1576</f>
        <v>0</v>
      </c>
      <c r="F1579" s="12">
        <f>[2]Trucks!E1576</f>
        <v>0</v>
      </c>
      <c r="G1579" s="56">
        <f>[2]Trucks!K1576</f>
        <v>0</v>
      </c>
      <c r="H1579" s="46">
        <f>[2]Trucks!I1576</f>
        <v>0</v>
      </c>
      <c r="I1579" s="83" t="str">
        <f t="shared" si="120"/>
        <v/>
      </c>
      <c r="J1579" s="272" t="str">
        <f>IFERROR(VLOOKUP((D1579&amp;C1579)&amp;"",'[2]Retail Price List'!$C$4:$F$102,3,FALSE),"")</f>
        <v/>
      </c>
      <c r="K1579" s="272">
        <f>IFERROR(IF(BA1579="WIP - 30 Days",VLOOKUP(D1579,[3]Standard!$B$9:$E$101,4,FALSE),IF(BA1579="31-120 Days",VLOOKUP(D1579,[3]Standard!$B$9:$F$101,5,FALSE),IF(BA1579="121-365 Days",VLOOKUP(D1579,[3]Standard!$B$9:$G$101,6,FALSE),VLOOKUP(D1579,[3]Standard!$B$9:$H$101,7,FALSE)))),0)</f>
        <v>0</v>
      </c>
      <c r="L1579" s="272">
        <f>IFERROR(IF(BA1579="WIP - 30 Days",VLOOKUP(D1579,[3]Standard!$B$9:$J$101,9,FALSE),IF(BA1579="31-120 Days",VLOOKUP(D1579,[3]Standard!$B$9:$K$100,10,FALSE),IF(BA1579="121-365 Days",VLOOKUP(D1579,[3]Standard!$B$9:$L$101,11,FALSE),VLOOKUP(D1579,[3]Standard!$B$9:$M$101,12,FALSE)))),0)</f>
        <v>0</v>
      </c>
      <c r="M1579" s="269" t="str">
        <f>IFERROR(VLOOKUP((D1579&amp;C1579)&amp;"",'[2]Retail Price List'!$C$4:$F$102,4,FALSE),"")</f>
        <v/>
      </c>
      <c r="N1579" s="269">
        <f>IFERROR(IF(BA1579="WIP - 30 Days",VLOOKUP(D1579,[3]Extended!$B$9:$E$101,4,FALSE),IF(BA1579="31-120 Days",VLOOKUP(D1579,[3]Extended!$B$9:$F$101,5,FALSE),IF(BA1579="121-365 Days",VLOOKUP(D1579,[3]Extended!$B$9:$G$101,6,FALSE),VLOOKUP(D1579,[3]Extended!$B$9:$H$101,7,FALSE)))),0)</f>
        <v>0</v>
      </c>
      <c r="O1579" s="269">
        <f>IFERROR(IF(BA1579="WIP - 30 Days",VLOOKUP(D1579,[3]Extended!$B$9:$J$101,9,FALSE),IF(BA1579="31-120 Days",VLOOKUP(D1579,[3]Extended!$B$9:$K$101,10,FALSE),IF(BA1579="121-365 Days",VLOOKUP(D1579,[3]Extended!$B$9:$L$101,11,FALSE),VLOOKUP(D1579,[3]Extended!$B$9:$M$101,12,FALSE)))),0)</f>
        <v>0</v>
      </c>
      <c r="P1579" s="116" t="e">
        <f t="shared" si="121"/>
        <v>#VALUE!</v>
      </c>
      <c r="Q1579" s="110" t="e">
        <f>O1579-#REF!</f>
        <v>#REF!</v>
      </c>
      <c r="AT1579" s="88" t="str">
        <f t="shared" si="122"/>
        <v>Special Order0</v>
      </c>
      <c r="AU1579" s="89" t="str">
        <f t="shared" si="123"/>
        <v>01-1900</v>
      </c>
      <c r="BA1579" s="92" t="str">
        <f t="shared" si="124"/>
        <v/>
      </c>
    </row>
    <row r="1580" spans="2:53">
      <c r="B1580" s="60">
        <f>[2]Trucks!A1577</f>
        <v>0</v>
      </c>
      <c r="C1580" s="11">
        <f>[2]Trucks!B1577</f>
        <v>0</v>
      </c>
      <c r="D1580" s="19" t="str">
        <f>IFERROR(VLOOKUP(C1580&amp;"",'[2]Retail Price List'!$A$3:$B$103,2,FALSE),"Special Order")</f>
        <v>Special Order</v>
      </c>
      <c r="E1580" s="18">
        <f>[2]Trucks!J1577</f>
        <v>0</v>
      </c>
      <c r="F1580" s="12">
        <f>[2]Trucks!E1577</f>
        <v>0</v>
      </c>
      <c r="G1580" s="56">
        <f>[2]Trucks!K1577</f>
        <v>0</v>
      </c>
      <c r="H1580" s="46">
        <f>[2]Trucks!I1577</f>
        <v>0</v>
      </c>
      <c r="I1580" s="83" t="str">
        <f t="shared" si="120"/>
        <v/>
      </c>
      <c r="J1580" s="272" t="str">
        <f>IFERROR(VLOOKUP((D1580&amp;C1580)&amp;"",'[2]Retail Price List'!$C$4:$F$102,3,FALSE),"")</f>
        <v/>
      </c>
      <c r="K1580" s="272">
        <f>IFERROR(IF(BA1580="WIP - 30 Days",VLOOKUP(D1580,[3]Standard!$B$9:$E$101,4,FALSE),IF(BA1580="31-120 Days",VLOOKUP(D1580,[3]Standard!$B$9:$F$101,5,FALSE),IF(BA1580="121-365 Days",VLOOKUP(D1580,[3]Standard!$B$9:$G$101,6,FALSE),VLOOKUP(D1580,[3]Standard!$B$9:$H$101,7,FALSE)))),0)</f>
        <v>0</v>
      </c>
      <c r="L1580" s="272">
        <f>IFERROR(IF(BA1580="WIP - 30 Days",VLOOKUP(D1580,[3]Standard!$B$9:$J$101,9,FALSE),IF(BA1580="31-120 Days",VLOOKUP(D1580,[3]Standard!$B$9:$K$100,10,FALSE),IF(BA1580="121-365 Days",VLOOKUP(D1580,[3]Standard!$B$9:$L$101,11,FALSE),VLOOKUP(D1580,[3]Standard!$B$9:$M$101,12,FALSE)))),0)</f>
        <v>0</v>
      </c>
      <c r="M1580" s="269" t="str">
        <f>IFERROR(VLOOKUP((D1580&amp;C1580)&amp;"",'[2]Retail Price List'!$C$4:$F$102,4,FALSE),"")</f>
        <v/>
      </c>
      <c r="N1580" s="269">
        <f>IFERROR(IF(BA1580="WIP - 30 Days",VLOOKUP(D1580,[3]Extended!$B$9:$E$101,4,FALSE),IF(BA1580="31-120 Days",VLOOKUP(D1580,[3]Extended!$B$9:$F$101,5,FALSE),IF(BA1580="121-365 Days",VLOOKUP(D1580,[3]Extended!$B$9:$G$101,6,FALSE),VLOOKUP(D1580,[3]Extended!$B$9:$H$101,7,FALSE)))),0)</f>
        <v>0</v>
      </c>
      <c r="O1580" s="269">
        <f>IFERROR(IF(BA1580="WIP - 30 Days",VLOOKUP(D1580,[3]Extended!$B$9:$J$101,9,FALSE),IF(BA1580="31-120 Days",VLOOKUP(D1580,[3]Extended!$B$9:$K$101,10,FALSE),IF(BA1580="121-365 Days",VLOOKUP(D1580,[3]Extended!$B$9:$L$101,11,FALSE),VLOOKUP(D1580,[3]Extended!$B$9:$M$101,12,FALSE)))),0)</f>
        <v>0</v>
      </c>
      <c r="P1580" s="116" t="e">
        <f t="shared" si="121"/>
        <v>#VALUE!</v>
      </c>
      <c r="Q1580" s="110" t="e">
        <f>O1580-#REF!</f>
        <v>#REF!</v>
      </c>
      <c r="AT1580" s="88" t="str">
        <f t="shared" si="122"/>
        <v>Special Order0</v>
      </c>
      <c r="AU1580" s="89" t="str">
        <f t="shared" si="123"/>
        <v>01-1900</v>
      </c>
      <c r="BA1580" s="92" t="str">
        <f t="shared" si="124"/>
        <v/>
      </c>
    </row>
    <row r="1581" spans="2:53">
      <c r="B1581" s="60">
        <f>[2]Trucks!A1578</f>
        <v>0</v>
      </c>
      <c r="C1581" s="11">
        <f>[2]Trucks!B1578</f>
        <v>0</v>
      </c>
      <c r="D1581" s="19" t="str">
        <f>IFERROR(VLOOKUP(C1581&amp;"",'[2]Retail Price List'!$A$3:$B$103,2,FALSE),"Special Order")</f>
        <v>Special Order</v>
      </c>
      <c r="E1581" s="18">
        <f>[2]Trucks!J1578</f>
        <v>0</v>
      </c>
      <c r="F1581" s="12">
        <f>[2]Trucks!E1578</f>
        <v>0</v>
      </c>
      <c r="G1581" s="56">
        <f>[2]Trucks!K1578</f>
        <v>0</v>
      </c>
      <c r="H1581" s="46">
        <f>[2]Trucks!I1578</f>
        <v>0</v>
      </c>
      <c r="I1581" s="83" t="str">
        <f t="shared" si="120"/>
        <v/>
      </c>
      <c r="J1581" s="272" t="str">
        <f>IFERROR(VLOOKUP((D1581&amp;C1581)&amp;"",'[2]Retail Price List'!$C$4:$F$102,3,FALSE),"")</f>
        <v/>
      </c>
      <c r="K1581" s="272">
        <f>IFERROR(IF(BA1581="WIP - 30 Days",VLOOKUP(D1581,[3]Standard!$B$9:$E$101,4,FALSE),IF(BA1581="31-120 Days",VLOOKUP(D1581,[3]Standard!$B$9:$F$101,5,FALSE),IF(BA1581="121-365 Days",VLOOKUP(D1581,[3]Standard!$B$9:$G$101,6,FALSE),VLOOKUP(D1581,[3]Standard!$B$9:$H$101,7,FALSE)))),0)</f>
        <v>0</v>
      </c>
      <c r="L1581" s="272">
        <f>IFERROR(IF(BA1581="WIP - 30 Days",VLOOKUP(D1581,[3]Standard!$B$9:$J$101,9,FALSE),IF(BA1581="31-120 Days",VLOOKUP(D1581,[3]Standard!$B$9:$K$100,10,FALSE),IF(BA1581="121-365 Days",VLOOKUP(D1581,[3]Standard!$B$9:$L$101,11,FALSE),VLOOKUP(D1581,[3]Standard!$B$9:$M$101,12,FALSE)))),0)</f>
        <v>0</v>
      </c>
      <c r="M1581" s="269" t="str">
        <f>IFERROR(VLOOKUP((D1581&amp;C1581)&amp;"",'[2]Retail Price List'!$C$4:$F$102,4,FALSE),"")</f>
        <v/>
      </c>
      <c r="N1581" s="269">
        <f>IFERROR(IF(BA1581="WIP - 30 Days",VLOOKUP(D1581,[3]Extended!$B$9:$E$101,4,FALSE),IF(BA1581="31-120 Days",VLOOKUP(D1581,[3]Extended!$B$9:$F$101,5,FALSE),IF(BA1581="121-365 Days",VLOOKUP(D1581,[3]Extended!$B$9:$G$101,6,FALSE),VLOOKUP(D1581,[3]Extended!$B$9:$H$101,7,FALSE)))),0)</f>
        <v>0</v>
      </c>
      <c r="O1581" s="269">
        <f>IFERROR(IF(BA1581="WIP - 30 Days",VLOOKUP(D1581,[3]Extended!$B$9:$J$101,9,FALSE),IF(BA1581="31-120 Days",VLOOKUP(D1581,[3]Extended!$B$9:$K$101,10,FALSE),IF(BA1581="121-365 Days",VLOOKUP(D1581,[3]Extended!$B$9:$L$101,11,FALSE),VLOOKUP(D1581,[3]Extended!$B$9:$M$101,12,FALSE)))),0)</f>
        <v>0</v>
      </c>
      <c r="P1581" s="116" t="e">
        <f t="shared" si="121"/>
        <v>#VALUE!</v>
      </c>
      <c r="Q1581" s="110" t="e">
        <f>O1581-#REF!</f>
        <v>#REF!</v>
      </c>
      <c r="AT1581" s="88" t="str">
        <f t="shared" si="122"/>
        <v>Special Order0</v>
      </c>
      <c r="AU1581" s="89" t="str">
        <f t="shared" si="123"/>
        <v>01-1900</v>
      </c>
      <c r="BA1581" s="92" t="str">
        <f t="shared" si="124"/>
        <v/>
      </c>
    </row>
    <row r="1582" spans="2:53">
      <c r="B1582" s="60">
        <f>[2]Trucks!A1579</f>
        <v>0</v>
      </c>
      <c r="C1582" s="11">
        <f>[2]Trucks!B1579</f>
        <v>0</v>
      </c>
      <c r="D1582" s="19" t="str">
        <f>IFERROR(VLOOKUP(C1582&amp;"",'[2]Retail Price List'!$A$3:$B$103,2,FALSE),"Special Order")</f>
        <v>Special Order</v>
      </c>
      <c r="E1582" s="18">
        <f>[2]Trucks!J1579</f>
        <v>0</v>
      </c>
      <c r="F1582" s="12">
        <f>[2]Trucks!E1579</f>
        <v>0</v>
      </c>
      <c r="G1582" s="56">
        <f>[2]Trucks!K1579</f>
        <v>0</v>
      </c>
      <c r="H1582" s="46">
        <f>[2]Trucks!I1579</f>
        <v>0</v>
      </c>
      <c r="I1582" s="83" t="str">
        <f t="shared" si="120"/>
        <v/>
      </c>
      <c r="J1582" s="272" t="str">
        <f>IFERROR(VLOOKUP((D1582&amp;C1582)&amp;"",'[2]Retail Price List'!$C$4:$F$102,3,FALSE),"")</f>
        <v/>
      </c>
      <c r="K1582" s="272">
        <f>IFERROR(IF(BA1582="WIP - 30 Days",VLOOKUP(D1582,[3]Standard!$B$9:$E$101,4,FALSE),IF(BA1582="31-120 Days",VLOOKUP(D1582,[3]Standard!$B$9:$F$101,5,FALSE),IF(BA1582="121-365 Days",VLOOKUP(D1582,[3]Standard!$B$9:$G$101,6,FALSE),VLOOKUP(D1582,[3]Standard!$B$9:$H$101,7,FALSE)))),0)</f>
        <v>0</v>
      </c>
      <c r="L1582" s="272">
        <f>IFERROR(IF(BA1582="WIP - 30 Days",VLOOKUP(D1582,[3]Standard!$B$9:$J$101,9,FALSE),IF(BA1582="31-120 Days",VLOOKUP(D1582,[3]Standard!$B$9:$K$100,10,FALSE),IF(BA1582="121-365 Days",VLOOKUP(D1582,[3]Standard!$B$9:$L$101,11,FALSE),VLOOKUP(D1582,[3]Standard!$B$9:$M$101,12,FALSE)))),0)</f>
        <v>0</v>
      </c>
      <c r="M1582" s="269" t="str">
        <f>IFERROR(VLOOKUP((D1582&amp;C1582)&amp;"",'[2]Retail Price List'!$C$4:$F$102,4,FALSE),"")</f>
        <v/>
      </c>
      <c r="N1582" s="269">
        <f>IFERROR(IF(BA1582="WIP - 30 Days",VLOOKUP(D1582,[3]Extended!$B$9:$E$101,4,FALSE),IF(BA1582="31-120 Days",VLOOKUP(D1582,[3]Extended!$B$9:$F$101,5,FALSE),IF(BA1582="121-365 Days",VLOOKUP(D1582,[3]Extended!$B$9:$G$101,6,FALSE),VLOOKUP(D1582,[3]Extended!$B$9:$H$101,7,FALSE)))),0)</f>
        <v>0</v>
      </c>
      <c r="O1582" s="269">
        <f>IFERROR(IF(BA1582="WIP - 30 Days",VLOOKUP(D1582,[3]Extended!$B$9:$J$101,9,FALSE),IF(BA1582="31-120 Days",VLOOKUP(D1582,[3]Extended!$B$9:$K$101,10,FALSE),IF(BA1582="121-365 Days",VLOOKUP(D1582,[3]Extended!$B$9:$L$101,11,FALSE),VLOOKUP(D1582,[3]Extended!$B$9:$M$101,12,FALSE)))),0)</f>
        <v>0</v>
      </c>
      <c r="P1582" s="116" t="e">
        <f t="shared" si="121"/>
        <v>#VALUE!</v>
      </c>
      <c r="Q1582" s="110" t="e">
        <f>O1582-#REF!</f>
        <v>#REF!</v>
      </c>
      <c r="AT1582" s="88" t="str">
        <f t="shared" si="122"/>
        <v>Special Order0</v>
      </c>
      <c r="AU1582" s="89" t="str">
        <f t="shared" si="123"/>
        <v>01-1900</v>
      </c>
      <c r="BA1582" s="92" t="str">
        <f t="shared" si="124"/>
        <v/>
      </c>
    </row>
    <row r="1583" spans="2:53">
      <c r="B1583" s="60">
        <f>[2]Trucks!A1580</f>
        <v>0</v>
      </c>
      <c r="C1583" s="11">
        <f>[2]Trucks!B1580</f>
        <v>0</v>
      </c>
      <c r="D1583" s="19" t="str">
        <f>IFERROR(VLOOKUP(C1583&amp;"",'[2]Retail Price List'!$A$3:$B$103,2,FALSE),"Special Order")</f>
        <v>Special Order</v>
      </c>
      <c r="E1583" s="18">
        <f>[2]Trucks!J1580</f>
        <v>0</v>
      </c>
      <c r="F1583" s="12">
        <f>[2]Trucks!E1580</f>
        <v>0</v>
      </c>
      <c r="G1583" s="56">
        <f>[2]Trucks!K1580</f>
        <v>0</v>
      </c>
      <c r="H1583" s="46">
        <f>[2]Trucks!I1580</f>
        <v>0</v>
      </c>
      <c r="I1583" s="83" t="str">
        <f t="shared" si="120"/>
        <v/>
      </c>
      <c r="J1583" s="272" t="str">
        <f>IFERROR(VLOOKUP((D1583&amp;C1583)&amp;"",'[2]Retail Price List'!$C$4:$F$102,3,FALSE),"")</f>
        <v/>
      </c>
      <c r="K1583" s="272">
        <f>IFERROR(IF(BA1583="WIP - 30 Days",VLOOKUP(D1583,[3]Standard!$B$9:$E$101,4,FALSE),IF(BA1583="31-120 Days",VLOOKUP(D1583,[3]Standard!$B$9:$F$101,5,FALSE),IF(BA1583="121-365 Days",VLOOKUP(D1583,[3]Standard!$B$9:$G$101,6,FALSE),VLOOKUP(D1583,[3]Standard!$B$9:$H$101,7,FALSE)))),0)</f>
        <v>0</v>
      </c>
      <c r="L1583" s="272">
        <f>IFERROR(IF(BA1583="WIP - 30 Days",VLOOKUP(D1583,[3]Standard!$B$9:$J$101,9,FALSE),IF(BA1583="31-120 Days",VLOOKUP(D1583,[3]Standard!$B$9:$K$100,10,FALSE),IF(BA1583="121-365 Days",VLOOKUP(D1583,[3]Standard!$B$9:$L$101,11,FALSE),VLOOKUP(D1583,[3]Standard!$B$9:$M$101,12,FALSE)))),0)</f>
        <v>0</v>
      </c>
      <c r="M1583" s="269" t="str">
        <f>IFERROR(VLOOKUP((D1583&amp;C1583)&amp;"",'[2]Retail Price List'!$C$4:$F$102,4,FALSE),"")</f>
        <v/>
      </c>
      <c r="N1583" s="269">
        <f>IFERROR(IF(BA1583="WIP - 30 Days",VLOOKUP(D1583,[3]Extended!$B$9:$E$101,4,FALSE),IF(BA1583="31-120 Days",VLOOKUP(D1583,[3]Extended!$B$9:$F$101,5,FALSE),IF(BA1583="121-365 Days",VLOOKUP(D1583,[3]Extended!$B$9:$G$101,6,FALSE),VLOOKUP(D1583,[3]Extended!$B$9:$H$101,7,FALSE)))),0)</f>
        <v>0</v>
      </c>
      <c r="O1583" s="269">
        <f>IFERROR(IF(BA1583="WIP - 30 Days",VLOOKUP(D1583,[3]Extended!$B$9:$J$101,9,FALSE),IF(BA1583="31-120 Days",VLOOKUP(D1583,[3]Extended!$B$9:$K$101,10,FALSE),IF(BA1583="121-365 Days",VLOOKUP(D1583,[3]Extended!$B$9:$L$101,11,FALSE),VLOOKUP(D1583,[3]Extended!$B$9:$M$101,12,FALSE)))),0)</f>
        <v>0</v>
      </c>
      <c r="P1583" s="116" t="e">
        <f t="shared" si="121"/>
        <v>#VALUE!</v>
      </c>
      <c r="Q1583" s="110" t="e">
        <f>O1583-#REF!</f>
        <v>#REF!</v>
      </c>
      <c r="AT1583" s="88" t="str">
        <f t="shared" si="122"/>
        <v>Special Order0</v>
      </c>
      <c r="AU1583" s="89" t="str">
        <f t="shared" si="123"/>
        <v>01-1900</v>
      </c>
      <c r="BA1583" s="92" t="str">
        <f t="shared" si="124"/>
        <v/>
      </c>
    </row>
    <row r="1584" spans="2:53">
      <c r="B1584" s="60">
        <f>[2]Trucks!A1581</f>
        <v>0</v>
      </c>
      <c r="C1584" s="11">
        <f>[2]Trucks!B1581</f>
        <v>0</v>
      </c>
      <c r="D1584" s="19" t="str">
        <f>IFERROR(VLOOKUP(C1584&amp;"",'[2]Retail Price List'!$A$3:$B$103,2,FALSE),"Special Order")</f>
        <v>Special Order</v>
      </c>
      <c r="E1584" s="18">
        <f>[2]Trucks!J1581</f>
        <v>0</v>
      </c>
      <c r="F1584" s="12">
        <f>[2]Trucks!E1581</f>
        <v>0</v>
      </c>
      <c r="G1584" s="56">
        <f>[2]Trucks!K1581</f>
        <v>0</v>
      </c>
      <c r="H1584" s="46">
        <f>[2]Trucks!I1581</f>
        <v>0</v>
      </c>
      <c r="I1584" s="83" t="str">
        <f t="shared" si="120"/>
        <v/>
      </c>
      <c r="J1584" s="272" t="str">
        <f>IFERROR(VLOOKUP((D1584&amp;C1584)&amp;"",'[2]Retail Price List'!$C$4:$F$102,3,FALSE),"")</f>
        <v/>
      </c>
      <c r="K1584" s="272">
        <f>IFERROR(IF(BA1584="WIP - 30 Days",VLOOKUP(D1584,[3]Standard!$B$9:$E$101,4,FALSE),IF(BA1584="31-120 Days",VLOOKUP(D1584,[3]Standard!$B$9:$F$101,5,FALSE),IF(BA1584="121-365 Days",VLOOKUP(D1584,[3]Standard!$B$9:$G$101,6,FALSE),VLOOKUP(D1584,[3]Standard!$B$9:$H$101,7,FALSE)))),0)</f>
        <v>0</v>
      </c>
      <c r="L1584" s="272">
        <f>IFERROR(IF(BA1584="WIP - 30 Days",VLOOKUP(D1584,[3]Standard!$B$9:$J$101,9,FALSE),IF(BA1584="31-120 Days",VLOOKUP(D1584,[3]Standard!$B$9:$K$100,10,FALSE),IF(BA1584="121-365 Days",VLOOKUP(D1584,[3]Standard!$B$9:$L$101,11,FALSE),VLOOKUP(D1584,[3]Standard!$B$9:$M$101,12,FALSE)))),0)</f>
        <v>0</v>
      </c>
      <c r="M1584" s="269" t="str">
        <f>IFERROR(VLOOKUP((D1584&amp;C1584)&amp;"",'[2]Retail Price List'!$C$4:$F$102,4,FALSE),"")</f>
        <v/>
      </c>
      <c r="N1584" s="269">
        <f>IFERROR(IF(BA1584="WIP - 30 Days",VLOOKUP(D1584,[3]Extended!$B$9:$E$101,4,FALSE),IF(BA1584="31-120 Days",VLOOKUP(D1584,[3]Extended!$B$9:$F$101,5,FALSE),IF(BA1584="121-365 Days",VLOOKUP(D1584,[3]Extended!$B$9:$G$101,6,FALSE),VLOOKUP(D1584,[3]Extended!$B$9:$H$101,7,FALSE)))),0)</f>
        <v>0</v>
      </c>
      <c r="O1584" s="269">
        <f>IFERROR(IF(BA1584="WIP - 30 Days",VLOOKUP(D1584,[3]Extended!$B$9:$J$101,9,FALSE),IF(BA1584="31-120 Days",VLOOKUP(D1584,[3]Extended!$B$9:$K$101,10,FALSE),IF(BA1584="121-365 Days",VLOOKUP(D1584,[3]Extended!$B$9:$L$101,11,FALSE),VLOOKUP(D1584,[3]Extended!$B$9:$M$101,12,FALSE)))),0)</f>
        <v>0</v>
      </c>
      <c r="P1584" s="116" t="e">
        <f t="shared" si="121"/>
        <v>#VALUE!</v>
      </c>
      <c r="Q1584" s="110" t="e">
        <f>O1584-#REF!</f>
        <v>#REF!</v>
      </c>
      <c r="AT1584" s="88" t="str">
        <f t="shared" si="122"/>
        <v>Special Order0</v>
      </c>
      <c r="AU1584" s="89" t="str">
        <f t="shared" si="123"/>
        <v>01-1900</v>
      </c>
      <c r="BA1584" s="92" t="str">
        <f t="shared" si="124"/>
        <v/>
      </c>
    </row>
    <row r="1585" spans="2:53">
      <c r="B1585" s="60">
        <f>[2]Trucks!A1582</f>
        <v>0</v>
      </c>
      <c r="C1585" s="11">
        <f>[2]Trucks!B1582</f>
        <v>0</v>
      </c>
      <c r="D1585" s="19" t="str">
        <f>IFERROR(VLOOKUP(C1585&amp;"",'[2]Retail Price List'!$A$3:$B$103,2,FALSE),"Special Order")</f>
        <v>Special Order</v>
      </c>
      <c r="E1585" s="18">
        <f>[2]Trucks!J1582</f>
        <v>0</v>
      </c>
      <c r="F1585" s="12">
        <f>[2]Trucks!E1582</f>
        <v>0</v>
      </c>
      <c r="G1585" s="56">
        <f>[2]Trucks!K1582</f>
        <v>0</v>
      </c>
      <c r="H1585" s="46">
        <f>[2]Trucks!I1582</f>
        <v>0</v>
      </c>
      <c r="I1585" s="83" t="str">
        <f t="shared" si="120"/>
        <v/>
      </c>
      <c r="J1585" s="272" t="str">
        <f>IFERROR(VLOOKUP((D1585&amp;C1585)&amp;"",'[2]Retail Price List'!$C$4:$F$102,3,FALSE),"")</f>
        <v/>
      </c>
      <c r="K1585" s="272">
        <f>IFERROR(IF(BA1585="WIP - 30 Days",VLOOKUP(D1585,[3]Standard!$B$9:$E$101,4,FALSE),IF(BA1585="31-120 Days",VLOOKUP(D1585,[3]Standard!$B$9:$F$101,5,FALSE),IF(BA1585="121-365 Days",VLOOKUP(D1585,[3]Standard!$B$9:$G$101,6,FALSE),VLOOKUP(D1585,[3]Standard!$B$9:$H$101,7,FALSE)))),0)</f>
        <v>0</v>
      </c>
      <c r="L1585" s="272">
        <f>IFERROR(IF(BA1585="WIP - 30 Days",VLOOKUP(D1585,[3]Standard!$B$9:$J$101,9,FALSE),IF(BA1585="31-120 Days",VLOOKUP(D1585,[3]Standard!$B$9:$K$100,10,FALSE),IF(BA1585="121-365 Days",VLOOKUP(D1585,[3]Standard!$B$9:$L$101,11,FALSE),VLOOKUP(D1585,[3]Standard!$B$9:$M$101,12,FALSE)))),0)</f>
        <v>0</v>
      </c>
      <c r="M1585" s="269" t="str">
        <f>IFERROR(VLOOKUP((D1585&amp;C1585)&amp;"",'[2]Retail Price List'!$C$4:$F$102,4,FALSE),"")</f>
        <v/>
      </c>
      <c r="N1585" s="269">
        <f>IFERROR(IF(BA1585="WIP - 30 Days",VLOOKUP(D1585,[3]Extended!$B$9:$E$101,4,FALSE),IF(BA1585="31-120 Days",VLOOKUP(D1585,[3]Extended!$B$9:$F$101,5,FALSE),IF(BA1585="121-365 Days",VLOOKUP(D1585,[3]Extended!$B$9:$G$101,6,FALSE),VLOOKUP(D1585,[3]Extended!$B$9:$H$101,7,FALSE)))),0)</f>
        <v>0</v>
      </c>
      <c r="O1585" s="269">
        <f>IFERROR(IF(BA1585="WIP - 30 Days",VLOOKUP(D1585,[3]Extended!$B$9:$J$101,9,FALSE),IF(BA1585="31-120 Days",VLOOKUP(D1585,[3]Extended!$B$9:$K$101,10,FALSE),IF(BA1585="121-365 Days",VLOOKUP(D1585,[3]Extended!$B$9:$L$101,11,FALSE),VLOOKUP(D1585,[3]Extended!$B$9:$M$101,12,FALSE)))),0)</f>
        <v>0</v>
      </c>
      <c r="P1585" s="116" t="e">
        <f t="shared" si="121"/>
        <v>#VALUE!</v>
      </c>
      <c r="Q1585" s="110" t="e">
        <f>O1585-#REF!</f>
        <v>#REF!</v>
      </c>
      <c r="AT1585" s="88" t="str">
        <f t="shared" si="122"/>
        <v>Special Order0</v>
      </c>
      <c r="AU1585" s="89" t="str">
        <f t="shared" si="123"/>
        <v>01-1900</v>
      </c>
      <c r="BA1585" s="92" t="str">
        <f t="shared" si="124"/>
        <v/>
      </c>
    </row>
    <row r="1586" spans="2:53">
      <c r="B1586" s="60">
        <f>[2]Trucks!A1583</f>
        <v>0</v>
      </c>
      <c r="C1586" s="11">
        <f>[2]Trucks!B1583</f>
        <v>0</v>
      </c>
      <c r="D1586" s="19" t="str">
        <f>IFERROR(VLOOKUP(C1586&amp;"",'[2]Retail Price List'!$A$3:$B$103,2,FALSE),"Special Order")</f>
        <v>Special Order</v>
      </c>
      <c r="E1586" s="18">
        <f>[2]Trucks!J1583</f>
        <v>0</v>
      </c>
      <c r="F1586" s="12">
        <f>[2]Trucks!E1583</f>
        <v>0</v>
      </c>
      <c r="G1586" s="56">
        <f>[2]Trucks!K1583</f>
        <v>0</v>
      </c>
      <c r="H1586" s="46">
        <f>[2]Trucks!I1583</f>
        <v>0</v>
      </c>
      <c r="I1586" s="83" t="str">
        <f t="shared" si="120"/>
        <v/>
      </c>
      <c r="J1586" s="272" t="str">
        <f>IFERROR(VLOOKUP((D1586&amp;C1586)&amp;"",'[2]Retail Price List'!$C$4:$F$102,3,FALSE),"")</f>
        <v/>
      </c>
      <c r="K1586" s="272">
        <f>IFERROR(IF(BA1586="WIP - 30 Days",VLOOKUP(D1586,[3]Standard!$B$9:$E$101,4,FALSE),IF(BA1586="31-120 Days",VLOOKUP(D1586,[3]Standard!$B$9:$F$101,5,FALSE),IF(BA1586="121-365 Days",VLOOKUP(D1586,[3]Standard!$B$9:$G$101,6,FALSE),VLOOKUP(D1586,[3]Standard!$B$9:$H$101,7,FALSE)))),0)</f>
        <v>0</v>
      </c>
      <c r="L1586" s="272">
        <f>IFERROR(IF(BA1586="WIP - 30 Days",VLOOKUP(D1586,[3]Standard!$B$9:$J$101,9,FALSE),IF(BA1586="31-120 Days",VLOOKUP(D1586,[3]Standard!$B$9:$K$100,10,FALSE),IF(BA1586="121-365 Days",VLOOKUP(D1586,[3]Standard!$B$9:$L$101,11,FALSE),VLOOKUP(D1586,[3]Standard!$B$9:$M$101,12,FALSE)))),0)</f>
        <v>0</v>
      </c>
      <c r="M1586" s="269" t="str">
        <f>IFERROR(VLOOKUP((D1586&amp;C1586)&amp;"",'[2]Retail Price List'!$C$4:$F$102,4,FALSE),"")</f>
        <v/>
      </c>
      <c r="N1586" s="269">
        <f>IFERROR(IF(BA1586="WIP - 30 Days",VLOOKUP(D1586,[3]Extended!$B$9:$E$101,4,FALSE),IF(BA1586="31-120 Days",VLOOKUP(D1586,[3]Extended!$B$9:$F$101,5,FALSE),IF(BA1586="121-365 Days",VLOOKUP(D1586,[3]Extended!$B$9:$G$101,6,FALSE),VLOOKUP(D1586,[3]Extended!$B$9:$H$101,7,FALSE)))),0)</f>
        <v>0</v>
      </c>
      <c r="O1586" s="269">
        <f>IFERROR(IF(BA1586="WIP - 30 Days",VLOOKUP(D1586,[3]Extended!$B$9:$J$101,9,FALSE),IF(BA1586="31-120 Days",VLOOKUP(D1586,[3]Extended!$B$9:$K$101,10,FALSE),IF(BA1586="121-365 Days",VLOOKUP(D1586,[3]Extended!$B$9:$L$101,11,FALSE),VLOOKUP(D1586,[3]Extended!$B$9:$M$101,12,FALSE)))),0)</f>
        <v>0</v>
      </c>
      <c r="P1586" s="116" t="e">
        <f t="shared" si="121"/>
        <v>#VALUE!</v>
      </c>
      <c r="Q1586" s="110" t="e">
        <f>O1586-#REF!</f>
        <v>#REF!</v>
      </c>
      <c r="AT1586" s="88" t="str">
        <f t="shared" si="122"/>
        <v>Special Order0</v>
      </c>
      <c r="AU1586" s="89" t="str">
        <f t="shared" si="123"/>
        <v>01-1900</v>
      </c>
      <c r="BA1586" s="92" t="str">
        <f t="shared" si="124"/>
        <v/>
      </c>
    </row>
    <row r="1587" spans="2:53">
      <c r="B1587" s="60">
        <f>[2]Trucks!A1584</f>
        <v>0</v>
      </c>
      <c r="C1587" s="11">
        <f>[2]Trucks!B1584</f>
        <v>0</v>
      </c>
      <c r="D1587" s="19" t="str">
        <f>IFERROR(VLOOKUP(C1587&amp;"",'[2]Retail Price List'!$A$3:$B$103,2,FALSE),"Special Order")</f>
        <v>Special Order</v>
      </c>
      <c r="E1587" s="18">
        <f>[2]Trucks!J1584</f>
        <v>0</v>
      </c>
      <c r="F1587" s="12">
        <f>[2]Trucks!E1584</f>
        <v>0</v>
      </c>
      <c r="G1587" s="56">
        <f>[2]Trucks!K1584</f>
        <v>0</v>
      </c>
      <c r="H1587" s="46">
        <f>[2]Trucks!I1584</f>
        <v>0</v>
      </c>
      <c r="I1587" s="83" t="str">
        <f t="shared" si="120"/>
        <v/>
      </c>
      <c r="J1587" s="272" t="str">
        <f>IFERROR(VLOOKUP((D1587&amp;C1587)&amp;"",'[2]Retail Price List'!$C$4:$F$102,3,FALSE),"")</f>
        <v/>
      </c>
      <c r="K1587" s="272">
        <f>IFERROR(IF(BA1587="WIP - 30 Days",VLOOKUP(D1587,[3]Standard!$B$9:$E$101,4,FALSE),IF(BA1587="31-120 Days",VLOOKUP(D1587,[3]Standard!$B$9:$F$101,5,FALSE),IF(BA1587="121-365 Days",VLOOKUP(D1587,[3]Standard!$B$9:$G$101,6,FALSE),VLOOKUP(D1587,[3]Standard!$B$9:$H$101,7,FALSE)))),0)</f>
        <v>0</v>
      </c>
      <c r="L1587" s="272">
        <f>IFERROR(IF(BA1587="WIP - 30 Days",VLOOKUP(D1587,[3]Standard!$B$9:$J$101,9,FALSE),IF(BA1587="31-120 Days",VLOOKUP(D1587,[3]Standard!$B$9:$K$100,10,FALSE),IF(BA1587="121-365 Days",VLOOKUP(D1587,[3]Standard!$B$9:$L$101,11,FALSE),VLOOKUP(D1587,[3]Standard!$B$9:$M$101,12,FALSE)))),0)</f>
        <v>0</v>
      </c>
      <c r="M1587" s="269" t="str">
        <f>IFERROR(VLOOKUP((D1587&amp;C1587)&amp;"",'[2]Retail Price List'!$C$4:$F$102,4,FALSE),"")</f>
        <v/>
      </c>
      <c r="N1587" s="269">
        <f>IFERROR(IF(BA1587="WIP - 30 Days",VLOOKUP(D1587,[3]Extended!$B$9:$E$101,4,FALSE),IF(BA1587="31-120 Days",VLOOKUP(D1587,[3]Extended!$B$9:$F$101,5,FALSE),IF(BA1587="121-365 Days",VLOOKUP(D1587,[3]Extended!$B$9:$G$101,6,FALSE),VLOOKUP(D1587,[3]Extended!$B$9:$H$101,7,FALSE)))),0)</f>
        <v>0</v>
      </c>
      <c r="O1587" s="269">
        <f>IFERROR(IF(BA1587="WIP - 30 Days",VLOOKUP(D1587,[3]Extended!$B$9:$J$101,9,FALSE),IF(BA1587="31-120 Days",VLOOKUP(D1587,[3]Extended!$B$9:$K$101,10,FALSE),IF(BA1587="121-365 Days",VLOOKUP(D1587,[3]Extended!$B$9:$L$101,11,FALSE),VLOOKUP(D1587,[3]Extended!$B$9:$M$101,12,FALSE)))),0)</f>
        <v>0</v>
      </c>
      <c r="P1587" s="116" t="e">
        <f t="shared" si="121"/>
        <v>#VALUE!</v>
      </c>
      <c r="Q1587" s="110" t="e">
        <f>O1587-#REF!</f>
        <v>#REF!</v>
      </c>
      <c r="AT1587" s="88" t="str">
        <f t="shared" si="122"/>
        <v>Special Order0</v>
      </c>
      <c r="AU1587" s="89" t="str">
        <f t="shared" si="123"/>
        <v>01-1900</v>
      </c>
      <c r="BA1587" s="92" t="str">
        <f t="shared" si="124"/>
        <v/>
      </c>
    </row>
    <row r="1588" spans="2:53">
      <c r="B1588" s="60">
        <f>[2]Trucks!A1585</f>
        <v>0</v>
      </c>
      <c r="C1588" s="11">
        <f>[2]Trucks!B1585</f>
        <v>0</v>
      </c>
      <c r="D1588" s="19" t="str">
        <f>IFERROR(VLOOKUP(C1588&amp;"",'[2]Retail Price List'!$A$3:$B$103,2,FALSE),"Special Order")</f>
        <v>Special Order</v>
      </c>
      <c r="E1588" s="18">
        <f>[2]Trucks!J1585</f>
        <v>0</v>
      </c>
      <c r="F1588" s="12">
        <f>[2]Trucks!E1585</f>
        <v>0</v>
      </c>
      <c r="G1588" s="56">
        <f>[2]Trucks!K1585</f>
        <v>0</v>
      </c>
      <c r="H1588" s="46">
        <f>[2]Trucks!I1585</f>
        <v>0</v>
      </c>
      <c r="I1588" s="83" t="str">
        <f t="shared" si="120"/>
        <v/>
      </c>
      <c r="J1588" s="272" t="str">
        <f>IFERROR(VLOOKUP((D1588&amp;C1588)&amp;"",'[2]Retail Price List'!$C$4:$F$102,3,FALSE),"")</f>
        <v/>
      </c>
      <c r="K1588" s="272">
        <f>IFERROR(IF(BA1588="WIP - 30 Days",VLOOKUP(D1588,[3]Standard!$B$9:$E$101,4,FALSE),IF(BA1588="31-120 Days",VLOOKUP(D1588,[3]Standard!$B$9:$F$101,5,FALSE),IF(BA1588="121-365 Days",VLOOKUP(D1588,[3]Standard!$B$9:$G$101,6,FALSE),VLOOKUP(D1588,[3]Standard!$B$9:$H$101,7,FALSE)))),0)</f>
        <v>0</v>
      </c>
      <c r="L1588" s="272">
        <f>IFERROR(IF(BA1588="WIP - 30 Days",VLOOKUP(D1588,[3]Standard!$B$9:$J$101,9,FALSE),IF(BA1588="31-120 Days",VLOOKUP(D1588,[3]Standard!$B$9:$K$100,10,FALSE),IF(BA1588="121-365 Days",VLOOKUP(D1588,[3]Standard!$B$9:$L$101,11,FALSE),VLOOKUP(D1588,[3]Standard!$B$9:$M$101,12,FALSE)))),0)</f>
        <v>0</v>
      </c>
      <c r="M1588" s="269" t="str">
        <f>IFERROR(VLOOKUP((D1588&amp;C1588)&amp;"",'[2]Retail Price List'!$C$4:$F$102,4,FALSE),"")</f>
        <v/>
      </c>
      <c r="N1588" s="269">
        <f>IFERROR(IF(BA1588="WIP - 30 Days",VLOOKUP(D1588,[3]Extended!$B$9:$E$101,4,FALSE),IF(BA1588="31-120 Days",VLOOKUP(D1588,[3]Extended!$B$9:$F$101,5,FALSE),IF(BA1588="121-365 Days",VLOOKUP(D1588,[3]Extended!$B$9:$G$101,6,FALSE),VLOOKUP(D1588,[3]Extended!$B$9:$H$101,7,FALSE)))),0)</f>
        <v>0</v>
      </c>
      <c r="O1588" s="269">
        <f>IFERROR(IF(BA1588="WIP - 30 Days",VLOOKUP(D1588,[3]Extended!$B$9:$J$101,9,FALSE),IF(BA1588="31-120 Days",VLOOKUP(D1588,[3]Extended!$B$9:$K$101,10,FALSE),IF(BA1588="121-365 Days",VLOOKUP(D1588,[3]Extended!$B$9:$L$101,11,FALSE),VLOOKUP(D1588,[3]Extended!$B$9:$M$101,12,FALSE)))),0)</f>
        <v>0</v>
      </c>
      <c r="P1588" s="116" t="e">
        <f t="shared" si="121"/>
        <v>#VALUE!</v>
      </c>
      <c r="Q1588" s="110" t="e">
        <f>O1588-#REF!</f>
        <v>#REF!</v>
      </c>
      <c r="AT1588" s="88" t="str">
        <f t="shared" si="122"/>
        <v>Special Order0</v>
      </c>
      <c r="AU1588" s="89" t="str">
        <f t="shared" si="123"/>
        <v>01-1900</v>
      </c>
      <c r="BA1588" s="92" t="str">
        <f t="shared" si="124"/>
        <v/>
      </c>
    </row>
    <row r="1589" spans="2:53">
      <c r="B1589" s="60">
        <f>[2]Trucks!A1586</f>
        <v>0</v>
      </c>
      <c r="C1589" s="11">
        <f>[2]Trucks!B1586</f>
        <v>0</v>
      </c>
      <c r="D1589" s="19" t="str">
        <f>IFERROR(VLOOKUP(C1589&amp;"",'[2]Retail Price List'!$A$3:$B$103,2,FALSE),"Special Order")</f>
        <v>Special Order</v>
      </c>
      <c r="E1589" s="18">
        <f>[2]Trucks!J1586</f>
        <v>0</v>
      </c>
      <c r="F1589" s="12">
        <f>[2]Trucks!E1586</f>
        <v>0</v>
      </c>
      <c r="G1589" s="56">
        <f>[2]Trucks!K1586</f>
        <v>0</v>
      </c>
      <c r="H1589" s="46">
        <f>[2]Trucks!I1586</f>
        <v>0</v>
      </c>
      <c r="I1589" s="83" t="str">
        <f t="shared" si="120"/>
        <v/>
      </c>
      <c r="J1589" s="272" t="str">
        <f>IFERROR(VLOOKUP((D1589&amp;C1589)&amp;"",'[2]Retail Price List'!$C$4:$F$102,3,FALSE),"")</f>
        <v/>
      </c>
      <c r="K1589" s="272">
        <f>IFERROR(IF(BA1589="WIP - 30 Days",VLOOKUP(D1589,[3]Standard!$B$9:$E$101,4,FALSE),IF(BA1589="31-120 Days",VLOOKUP(D1589,[3]Standard!$B$9:$F$101,5,FALSE),IF(BA1589="121-365 Days",VLOOKUP(D1589,[3]Standard!$B$9:$G$101,6,FALSE),VLOOKUP(D1589,[3]Standard!$B$9:$H$101,7,FALSE)))),0)</f>
        <v>0</v>
      </c>
      <c r="L1589" s="272">
        <f>IFERROR(IF(BA1589="WIP - 30 Days",VLOOKUP(D1589,[3]Standard!$B$9:$J$101,9,FALSE),IF(BA1589="31-120 Days",VLOOKUP(D1589,[3]Standard!$B$9:$K$100,10,FALSE),IF(BA1589="121-365 Days",VLOOKUP(D1589,[3]Standard!$B$9:$L$101,11,FALSE),VLOOKUP(D1589,[3]Standard!$B$9:$M$101,12,FALSE)))),0)</f>
        <v>0</v>
      </c>
      <c r="M1589" s="269" t="str">
        <f>IFERROR(VLOOKUP((D1589&amp;C1589)&amp;"",'[2]Retail Price List'!$C$4:$F$102,4,FALSE),"")</f>
        <v/>
      </c>
      <c r="N1589" s="269">
        <f>IFERROR(IF(BA1589="WIP - 30 Days",VLOOKUP(D1589,[3]Extended!$B$9:$E$101,4,FALSE),IF(BA1589="31-120 Days",VLOOKUP(D1589,[3]Extended!$B$9:$F$101,5,FALSE),IF(BA1589="121-365 Days",VLOOKUP(D1589,[3]Extended!$B$9:$G$101,6,FALSE),VLOOKUP(D1589,[3]Extended!$B$9:$H$101,7,FALSE)))),0)</f>
        <v>0</v>
      </c>
      <c r="O1589" s="269">
        <f>IFERROR(IF(BA1589="WIP - 30 Days",VLOOKUP(D1589,[3]Extended!$B$9:$J$101,9,FALSE),IF(BA1589="31-120 Days",VLOOKUP(D1589,[3]Extended!$B$9:$K$101,10,FALSE),IF(BA1589="121-365 Days",VLOOKUP(D1589,[3]Extended!$B$9:$L$101,11,FALSE),VLOOKUP(D1589,[3]Extended!$B$9:$M$101,12,FALSE)))),0)</f>
        <v>0</v>
      </c>
      <c r="P1589" s="116" t="e">
        <f t="shared" si="121"/>
        <v>#VALUE!</v>
      </c>
      <c r="Q1589" s="110" t="e">
        <f>O1589-#REF!</f>
        <v>#REF!</v>
      </c>
      <c r="AT1589" s="88" t="str">
        <f t="shared" si="122"/>
        <v>Special Order0</v>
      </c>
      <c r="AU1589" s="89" t="str">
        <f t="shared" si="123"/>
        <v>01-1900</v>
      </c>
      <c r="BA1589" s="92" t="str">
        <f t="shared" si="124"/>
        <v/>
      </c>
    </row>
    <row r="1590" spans="2:53">
      <c r="B1590" s="60">
        <f>[2]Trucks!A1587</f>
        <v>0</v>
      </c>
      <c r="C1590" s="11">
        <f>[2]Trucks!B1587</f>
        <v>0</v>
      </c>
      <c r="D1590" s="19" t="str">
        <f>IFERROR(VLOOKUP(C1590&amp;"",'[2]Retail Price List'!$A$3:$B$103,2,FALSE),"Special Order")</f>
        <v>Special Order</v>
      </c>
      <c r="E1590" s="18">
        <f>[2]Trucks!J1587</f>
        <v>0</v>
      </c>
      <c r="F1590" s="12">
        <f>[2]Trucks!E1587</f>
        <v>0</v>
      </c>
      <c r="G1590" s="56">
        <f>[2]Trucks!K1587</f>
        <v>0</v>
      </c>
      <c r="H1590" s="46">
        <f>[2]Trucks!I1587</f>
        <v>0</v>
      </c>
      <c r="I1590" s="83" t="str">
        <f t="shared" si="120"/>
        <v/>
      </c>
      <c r="J1590" s="272" t="str">
        <f>IFERROR(VLOOKUP((D1590&amp;C1590)&amp;"",'[2]Retail Price List'!$C$4:$F$102,3,FALSE),"")</f>
        <v/>
      </c>
      <c r="K1590" s="272">
        <f>IFERROR(IF(BA1590="WIP - 30 Days",VLOOKUP(D1590,[3]Standard!$B$9:$E$101,4,FALSE),IF(BA1590="31-120 Days",VLOOKUP(D1590,[3]Standard!$B$9:$F$101,5,FALSE),IF(BA1590="121-365 Days",VLOOKUP(D1590,[3]Standard!$B$9:$G$101,6,FALSE),VLOOKUP(D1590,[3]Standard!$B$9:$H$101,7,FALSE)))),0)</f>
        <v>0</v>
      </c>
      <c r="L1590" s="272">
        <f>IFERROR(IF(BA1590="WIP - 30 Days",VLOOKUP(D1590,[3]Standard!$B$9:$J$101,9,FALSE),IF(BA1590="31-120 Days",VLOOKUP(D1590,[3]Standard!$B$9:$K$100,10,FALSE),IF(BA1590="121-365 Days",VLOOKUP(D1590,[3]Standard!$B$9:$L$101,11,FALSE),VLOOKUP(D1590,[3]Standard!$B$9:$M$101,12,FALSE)))),0)</f>
        <v>0</v>
      </c>
      <c r="M1590" s="269" t="str">
        <f>IFERROR(VLOOKUP((D1590&amp;C1590)&amp;"",'[2]Retail Price List'!$C$4:$F$102,4,FALSE),"")</f>
        <v/>
      </c>
      <c r="N1590" s="269">
        <f>IFERROR(IF(BA1590="WIP - 30 Days",VLOOKUP(D1590,[3]Extended!$B$9:$E$101,4,FALSE),IF(BA1590="31-120 Days",VLOOKUP(D1590,[3]Extended!$B$9:$F$101,5,FALSE),IF(BA1590="121-365 Days",VLOOKUP(D1590,[3]Extended!$B$9:$G$101,6,FALSE),VLOOKUP(D1590,[3]Extended!$B$9:$H$101,7,FALSE)))),0)</f>
        <v>0</v>
      </c>
      <c r="O1590" s="269">
        <f>IFERROR(IF(BA1590="WIP - 30 Days",VLOOKUP(D1590,[3]Extended!$B$9:$J$101,9,FALSE),IF(BA1590="31-120 Days",VLOOKUP(D1590,[3]Extended!$B$9:$K$101,10,FALSE),IF(BA1590="121-365 Days",VLOOKUP(D1590,[3]Extended!$B$9:$L$101,11,FALSE),VLOOKUP(D1590,[3]Extended!$B$9:$M$101,12,FALSE)))),0)</f>
        <v>0</v>
      </c>
      <c r="P1590" s="116" t="e">
        <f t="shared" si="121"/>
        <v>#VALUE!</v>
      </c>
      <c r="Q1590" s="110" t="e">
        <f>O1590-#REF!</f>
        <v>#REF!</v>
      </c>
      <c r="AT1590" s="88" t="str">
        <f t="shared" si="122"/>
        <v>Special Order0</v>
      </c>
      <c r="AU1590" s="89" t="str">
        <f t="shared" si="123"/>
        <v>01-1900</v>
      </c>
      <c r="BA1590" s="92" t="str">
        <f t="shared" si="124"/>
        <v/>
      </c>
    </row>
    <row r="1591" spans="2:53">
      <c r="B1591" s="60">
        <f>[2]Trucks!A1588</f>
        <v>0</v>
      </c>
      <c r="C1591" s="11">
        <f>[2]Trucks!B1588</f>
        <v>0</v>
      </c>
      <c r="D1591" s="19" t="str">
        <f>IFERROR(VLOOKUP(C1591&amp;"",'[2]Retail Price List'!$A$3:$B$103,2,FALSE),"Special Order")</f>
        <v>Special Order</v>
      </c>
      <c r="E1591" s="18">
        <f>[2]Trucks!J1588</f>
        <v>0</v>
      </c>
      <c r="F1591" s="12">
        <f>[2]Trucks!E1588</f>
        <v>0</v>
      </c>
      <c r="G1591" s="56">
        <f>[2]Trucks!K1588</f>
        <v>0</v>
      </c>
      <c r="H1591" s="46">
        <f>[2]Trucks!I1588</f>
        <v>0</v>
      </c>
      <c r="I1591" s="83" t="str">
        <f t="shared" si="120"/>
        <v/>
      </c>
      <c r="J1591" s="272" t="str">
        <f>IFERROR(VLOOKUP((D1591&amp;C1591)&amp;"",'[2]Retail Price List'!$C$4:$F$102,3,FALSE),"")</f>
        <v/>
      </c>
      <c r="K1591" s="272">
        <f>IFERROR(IF(BA1591="WIP - 30 Days",VLOOKUP(D1591,[3]Standard!$B$9:$E$101,4,FALSE),IF(BA1591="31-120 Days",VLOOKUP(D1591,[3]Standard!$B$9:$F$101,5,FALSE),IF(BA1591="121-365 Days",VLOOKUP(D1591,[3]Standard!$B$9:$G$101,6,FALSE),VLOOKUP(D1591,[3]Standard!$B$9:$H$101,7,FALSE)))),0)</f>
        <v>0</v>
      </c>
      <c r="L1591" s="272">
        <f>IFERROR(IF(BA1591="WIP - 30 Days",VLOOKUP(D1591,[3]Standard!$B$9:$J$101,9,FALSE),IF(BA1591="31-120 Days",VLOOKUP(D1591,[3]Standard!$B$9:$K$100,10,FALSE),IF(BA1591="121-365 Days",VLOOKUP(D1591,[3]Standard!$B$9:$L$101,11,FALSE),VLOOKUP(D1591,[3]Standard!$B$9:$M$101,12,FALSE)))),0)</f>
        <v>0</v>
      </c>
      <c r="M1591" s="269" t="str">
        <f>IFERROR(VLOOKUP((D1591&amp;C1591)&amp;"",'[2]Retail Price List'!$C$4:$F$102,4,FALSE),"")</f>
        <v/>
      </c>
      <c r="N1591" s="269">
        <f>IFERROR(IF(BA1591="WIP - 30 Days",VLOOKUP(D1591,[3]Extended!$B$9:$E$101,4,FALSE),IF(BA1591="31-120 Days",VLOOKUP(D1591,[3]Extended!$B$9:$F$101,5,FALSE),IF(BA1591="121-365 Days",VLOOKUP(D1591,[3]Extended!$B$9:$G$101,6,FALSE),VLOOKUP(D1591,[3]Extended!$B$9:$H$101,7,FALSE)))),0)</f>
        <v>0</v>
      </c>
      <c r="O1591" s="269">
        <f>IFERROR(IF(BA1591="WIP - 30 Days",VLOOKUP(D1591,[3]Extended!$B$9:$J$101,9,FALSE),IF(BA1591="31-120 Days",VLOOKUP(D1591,[3]Extended!$B$9:$K$101,10,FALSE),IF(BA1591="121-365 Days",VLOOKUP(D1591,[3]Extended!$B$9:$L$101,11,FALSE),VLOOKUP(D1591,[3]Extended!$B$9:$M$101,12,FALSE)))),0)</f>
        <v>0</v>
      </c>
      <c r="P1591" s="116" t="e">
        <f t="shared" si="121"/>
        <v>#VALUE!</v>
      </c>
      <c r="Q1591" s="110" t="e">
        <f>O1591-#REF!</f>
        <v>#REF!</v>
      </c>
      <c r="AT1591" s="88" t="str">
        <f t="shared" si="122"/>
        <v>Special Order0</v>
      </c>
      <c r="AU1591" s="89" t="str">
        <f t="shared" si="123"/>
        <v>01-1900</v>
      </c>
      <c r="BA1591" s="92" t="str">
        <f t="shared" si="124"/>
        <v/>
      </c>
    </row>
    <row r="1592" spans="2:53">
      <c r="B1592" s="60">
        <f>[2]Trucks!A1589</f>
        <v>0</v>
      </c>
      <c r="C1592" s="11">
        <f>[2]Trucks!B1589</f>
        <v>0</v>
      </c>
      <c r="D1592" s="19" t="str">
        <f>IFERROR(VLOOKUP(C1592&amp;"",'[2]Retail Price List'!$A$3:$B$103,2,FALSE),"Special Order")</f>
        <v>Special Order</v>
      </c>
      <c r="E1592" s="18">
        <f>[2]Trucks!J1589</f>
        <v>0</v>
      </c>
      <c r="F1592" s="12">
        <f>[2]Trucks!E1589</f>
        <v>0</v>
      </c>
      <c r="G1592" s="56">
        <f>[2]Trucks!K1589</f>
        <v>0</v>
      </c>
      <c r="H1592" s="46">
        <f>[2]Trucks!I1589</f>
        <v>0</v>
      </c>
      <c r="I1592" s="83" t="str">
        <f t="shared" si="120"/>
        <v/>
      </c>
      <c r="J1592" s="272" t="str">
        <f>IFERROR(VLOOKUP((D1592&amp;C1592)&amp;"",'[2]Retail Price List'!$C$4:$F$102,3,FALSE),"")</f>
        <v/>
      </c>
      <c r="K1592" s="272">
        <f>IFERROR(IF(BA1592="WIP - 30 Days",VLOOKUP(D1592,[3]Standard!$B$9:$E$101,4,FALSE),IF(BA1592="31-120 Days",VLOOKUP(D1592,[3]Standard!$B$9:$F$101,5,FALSE),IF(BA1592="121-365 Days",VLOOKUP(D1592,[3]Standard!$B$9:$G$101,6,FALSE),VLOOKUP(D1592,[3]Standard!$B$9:$H$101,7,FALSE)))),0)</f>
        <v>0</v>
      </c>
      <c r="L1592" s="272">
        <f>IFERROR(IF(BA1592="WIP - 30 Days",VLOOKUP(D1592,[3]Standard!$B$9:$J$101,9,FALSE),IF(BA1592="31-120 Days",VLOOKUP(D1592,[3]Standard!$B$9:$K$100,10,FALSE),IF(BA1592="121-365 Days",VLOOKUP(D1592,[3]Standard!$B$9:$L$101,11,FALSE),VLOOKUP(D1592,[3]Standard!$B$9:$M$101,12,FALSE)))),0)</f>
        <v>0</v>
      </c>
      <c r="M1592" s="269" t="str">
        <f>IFERROR(VLOOKUP((D1592&amp;C1592)&amp;"",'[2]Retail Price List'!$C$4:$F$102,4,FALSE),"")</f>
        <v/>
      </c>
      <c r="N1592" s="269">
        <f>IFERROR(IF(BA1592="WIP - 30 Days",VLOOKUP(D1592,[3]Extended!$B$9:$E$101,4,FALSE),IF(BA1592="31-120 Days",VLOOKUP(D1592,[3]Extended!$B$9:$F$101,5,FALSE),IF(BA1592="121-365 Days",VLOOKUP(D1592,[3]Extended!$B$9:$G$101,6,FALSE),VLOOKUP(D1592,[3]Extended!$B$9:$H$101,7,FALSE)))),0)</f>
        <v>0</v>
      </c>
      <c r="O1592" s="269">
        <f>IFERROR(IF(BA1592="WIP - 30 Days",VLOOKUP(D1592,[3]Extended!$B$9:$J$101,9,FALSE),IF(BA1592="31-120 Days",VLOOKUP(D1592,[3]Extended!$B$9:$K$101,10,FALSE),IF(BA1592="121-365 Days",VLOOKUP(D1592,[3]Extended!$B$9:$L$101,11,FALSE),VLOOKUP(D1592,[3]Extended!$B$9:$M$101,12,FALSE)))),0)</f>
        <v>0</v>
      </c>
      <c r="P1592" s="116" t="e">
        <f t="shared" si="121"/>
        <v>#VALUE!</v>
      </c>
      <c r="Q1592" s="110" t="e">
        <f>O1592-#REF!</f>
        <v>#REF!</v>
      </c>
      <c r="AT1592" s="88" t="str">
        <f t="shared" si="122"/>
        <v>Special Order0</v>
      </c>
      <c r="AU1592" s="89" t="str">
        <f t="shared" si="123"/>
        <v>01-1900</v>
      </c>
      <c r="BA1592" s="92" t="str">
        <f t="shared" si="124"/>
        <v/>
      </c>
    </row>
    <row r="1593" spans="2:53">
      <c r="B1593" s="60">
        <f>[2]Trucks!A1590</f>
        <v>0</v>
      </c>
      <c r="C1593" s="11">
        <f>[2]Trucks!B1590</f>
        <v>0</v>
      </c>
      <c r="D1593" s="19" t="str">
        <f>IFERROR(VLOOKUP(C1593&amp;"",'[2]Retail Price List'!$A$3:$B$103,2,FALSE),"Special Order")</f>
        <v>Special Order</v>
      </c>
      <c r="E1593" s="18">
        <f>[2]Trucks!J1590</f>
        <v>0</v>
      </c>
      <c r="F1593" s="12">
        <f>[2]Trucks!E1590</f>
        <v>0</v>
      </c>
      <c r="G1593" s="56">
        <f>[2]Trucks!K1590</f>
        <v>0</v>
      </c>
      <c r="H1593" s="46">
        <f>[2]Trucks!I1590</f>
        <v>0</v>
      </c>
      <c r="I1593" s="83" t="str">
        <f t="shared" si="120"/>
        <v/>
      </c>
      <c r="J1593" s="272" t="str">
        <f>IFERROR(VLOOKUP((D1593&amp;C1593)&amp;"",'[2]Retail Price List'!$C$4:$F$102,3,FALSE),"")</f>
        <v/>
      </c>
      <c r="K1593" s="272">
        <f>IFERROR(IF(BA1593="WIP - 30 Days",VLOOKUP(D1593,[3]Standard!$B$9:$E$101,4,FALSE),IF(BA1593="31-120 Days",VLOOKUP(D1593,[3]Standard!$B$9:$F$101,5,FALSE),IF(BA1593="121-365 Days",VLOOKUP(D1593,[3]Standard!$B$9:$G$101,6,FALSE),VLOOKUP(D1593,[3]Standard!$B$9:$H$101,7,FALSE)))),0)</f>
        <v>0</v>
      </c>
      <c r="L1593" s="272">
        <f>IFERROR(IF(BA1593="WIP - 30 Days",VLOOKUP(D1593,[3]Standard!$B$9:$J$101,9,FALSE),IF(BA1593="31-120 Days",VLOOKUP(D1593,[3]Standard!$B$9:$K$100,10,FALSE),IF(BA1593="121-365 Days",VLOOKUP(D1593,[3]Standard!$B$9:$L$101,11,FALSE),VLOOKUP(D1593,[3]Standard!$B$9:$M$101,12,FALSE)))),0)</f>
        <v>0</v>
      </c>
      <c r="M1593" s="269" t="str">
        <f>IFERROR(VLOOKUP((D1593&amp;C1593)&amp;"",'[2]Retail Price List'!$C$4:$F$102,4,FALSE),"")</f>
        <v/>
      </c>
      <c r="N1593" s="269">
        <f>IFERROR(IF(BA1593="WIP - 30 Days",VLOOKUP(D1593,[3]Extended!$B$9:$E$101,4,FALSE),IF(BA1593="31-120 Days",VLOOKUP(D1593,[3]Extended!$B$9:$F$101,5,FALSE),IF(BA1593="121-365 Days",VLOOKUP(D1593,[3]Extended!$B$9:$G$101,6,FALSE),VLOOKUP(D1593,[3]Extended!$B$9:$H$101,7,FALSE)))),0)</f>
        <v>0</v>
      </c>
      <c r="O1593" s="269">
        <f>IFERROR(IF(BA1593="WIP - 30 Days",VLOOKUP(D1593,[3]Extended!$B$9:$J$101,9,FALSE),IF(BA1593="31-120 Days",VLOOKUP(D1593,[3]Extended!$B$9:$K$101,10,FALSE),IF(BA1593="121-365 Days",VLOOKUP(D1593,[3]Extended!$B$9:$L$101,11,FALSE),VLOOKUP(D1593,[3]Extended!$B$9:$M$101,12,FALSE)))),0)</f>
        <v>0</v>
      </c>
      <c r="P1593" s="116" t="e">
        <f t="shared" si="121"/>
        <v>#VALUE!</v>
      </c>
      <c r="Q1593" s="110" t="e">
        <f>O1593-#REF!</f>
        <v>#REF!</v>
      </c>
      <c r="AT1593" s="88" t="str">
        <f t="shared" si="122"/>
        <v>Special Order0</v>
      </c>
      <c r="AU1593" s="89" t="str">
        <f t="shared" si="123"/>
        <v>01-1900</v>
      </c>
      <c r="BA1593" s="92" t="str">
        <f t="shared" si="124"/>
        <v/>
      </c>
    </row>
    <row r="1594" spans="2:53">
      <c r="B1594" s="60">
        <f>[2]Trucks!A1591</f>
        <v>0</v>
      </c>
      <c r="C1594" s="11">
        <f>[2]Trucks!B1591</f>
        <v>0</v>
      </c>
      <c r="D1594" s="19" t="str">
        <f>IFERROR(VLOOKUP(C1594&amp;"",'[2]Retail Price List'!$A$3:$B$103,2,FALSE),"Special Order")</f>
        <v>Special Order</v>
      </c>
      <c r="E1594" s="18">
        <f>[2]Trucks!J1591</f>
        <v>0</v>
      </c>
      <c r="F1594" s="12">
        <f>[2]Trucks!E1591</f>
        <v>0</v>
      </c>
      <c r="G1594" s="56">
        <f>[2]Trucks!K1591</f>
        <v>0</v>
      </c>
      <c r="H1594" s="46">
        <f>[2]Trucks!I1591</f>
        <v>0</v>
      </c>
      <c r="I1594" s="83" t="str">
        <f t="shared" si="120"/>
        <v/>
      </c>
      <c r="J1594" s="272" t="str">
        <f>IFERROR(VLOOKUP((D1594&amp;C1594)&amp;"",'[2]Retail Price List'!$C$4:$F$102,3,FALSE),"")</f>
        <v/>
      </c>
      <c r="K1594" s="272">
        <f>IFERROR(IF(BA1594="WIP - 30 Days",VLOOKUP(D1594,[3]Standard!$B$9:$E$101,4,FALSE),IF(BA1594="31-120 Days",VLOOKUP(D1594,[3]Standard!$B$9:$F$101,5,FALSE),IF(BA1594="121-365 Days",VLOOKUP(D1594,[3]Standard!$B$9:$G$101,6,FALSE),VLOOKUP(D1594,[3]Standard!$B$9:$H$101,7,FALSE)))),0)</f>
        <v>0</v>
      </c>
      <c r="L1594" s="272">
        <f>IFERROR(IF(BA1594="WIP - 30 Days",VLOOKUP(D1594,[3]Standard!$B$9:$J$101,9,FALSE),IF(BA1594="31-120 Days",VLOOKUP(D1594,[3]Standard!$B$9:$K$100,10,FALSE),IF(BA1594="121-365 Days",VLOOKUP(D1594,[3]Standard!$B$9:$L$101,11,FALSE),VLOOKUP(D1594,[3]Standard!$B$9:$M$101,12,FALSE)))),0)</f>
        <v>0</v>
      </c>
      <c r="M1594" s="269" t="str">
        <f>IFERROR(VLOOKUP((D1594&amp;C1594)&amp;"",'[2]Retail Price List'!$C$4:$F$102,4,FALSE),"")</f>
        <v/>
      </c>
      <c r="N1594" s="269">
        <f>IFERROR(IF(BA1594="WIP - 30 Days",VLOOKUP(D1594,[3]Extended!$B$9:$E$101,4,FALSE),IF(BA1594="31-120 Days",VLOOKUP(D1594,[3]Extended!$B$9:$F$101,5,FALSE),IF(BA1594="121-365 Days",VLOOKUP(D1594,[3]Extended!$B$9:$G$101,6,FALSE),VLOOKUP(D1594,[3]Extended!$B$9:$H$101,7,FALSE)))),0)</f>
        <v>0</v>
      </c>
      <c r="O1594" s="269">
        <f>IFERROR(IF(BA1594="WIP - 30 Days",VLOOKUP(D1594,[3]Extended!$B$9:$J$101,9,FALSE),IF(BA1594="31-120 Days",VLOOKUP(D1594,[3]Extended!$B$9:$K$101,10,FALSE),IF(BA1594="121-365 Days",VLOOKUP(D1594,[3]Extended!$B$9:$L$101,11,FALSE),VLOOKUP(D1594,[3]Extended!$B$9:$M$101,12,FALSE)))),0)</f>
        <v>0</v>
      </c>
      <c r="P1594" s="116" t="e">
        <f t="shared" si="121"/>
        <v>#VALUE!</v>
      </c>
      <c r="Q1594" s="110" t="e">
        <f>O1594-#REF!</f>
        <v>#REF!</v>
      </c>
      <c r="AT1594" s="88" t="str">
        <f t="shared" si="122"/>
        <v>Special Order0</v>
      </c>
      <c r="AU1594" s="89" t="str">
        <f t="shared" si="123"/>
        <v>01-1900</v>
      </c>
      <c r="BA1594" s="92" t="str">
        <f t="shared" si="124"/>
        <v/>
      </c>
    </row>
    <row r="1595" spans="2:53">
      <c r="B1595" s="60">
        <f>[2]Trucks!A1592</f>
        <v>0</v>
      </c>
      <c r="C1595" s="11">
        <f>[2]Trucks!B1592</f>
        <v>0</v>
      </c>
      <c r="D1595" s="19" t="str">
        <f>IFERROR(VLOOKUP(C1595&amp;"",'[2]Retail Price List'!$A$3:$B$103,2,FALSE),"Special Order")</f>
        <v>Special Order</v>
      </c>
      <c r="E1595" s="18">
        <f>[2]Trucks!J1592</f>
        <v>0</v>
      </c>
      <c r="F1595" s="12">
        <f>[2]Trucks!E1592</f>
        <v>0</v>
      </c>
      <c r="G1595" s="56">
        <f>[2]Trucks!K1592</f>
        <v>0</v>
      </c>
      <c r="H1595" s="46">
        <f>[2]Trucks!I1592</f>
        <v>0</v>
      </c>
      <c r="I1595" s="83" t="str">
        <f t="shared" si="120"/>
        <v/>
      </c>
      <c r="J1595" s="272" t="str">
        <f>IFERROR(VLOOKUP((D1595&amp;C1595)&amp;"",'[2]Retail Price List'!$C$4:$F$102,3,FALSE),"")</f>
        <v/>
      </c>
      <c r="K1595" s="272">
        <f>IFERROR(IF(BA1595="WIP - 30 Days",VLOOKUP(D1595,[3]Standard!$B$9:$E$101,4,FALSE),IF(BA1595="31-120 Days",VLOOKUP(D1595,[3]Standard!$B$9:$F$101,5,FALSE),IF(BA1595="121-365 Days",VLOOKUP(D1595,[3]Standard!$B$9:$G$101,6,FALSE),VLOOKUP(D1595,[3]Standard!$B$9:$H$101,7,FALSE)))),0)</f>
        <v>0</v>
      </c>
      <c r="L1595" s="272">
        <f>IFERROR(IF(BA1595="WIP - 30 Days",VLOOKUP(D1595,[3]Standard!$B$9:$J$101,9,FALSE),IF(BA1595="31-120 Days",VLOOKUP(D1595,[3]Standard!$B$9:$K$100,10,FALSE),IF(BA1595="121-365 Days",VLOOKUP(D1595,[3]Standard!$B$9:$L$101,11,FALSE),VLOOKUP(D1595,[3]Standard!$B$9:$M$101,12,FALSE)))),0)</f>
        <v>0</v>
      </c>
      <c r="M1595" s="269" t="str">
        <f>IFERROR(VLOOKUP((D1595&amp;C1595)&amp;"",'[2]Retail Price List'!$C$4:$F$102,4,FALSE),"")</f>
        <v/>
      </c>
      <c r="N1595" s="269">
        <f>IFERROR(IF(BA1595="WIP - 30 Days",VLOOKUP(D1595,[3]Extended!$B$9:$E$101,4,FALSE),IF(BA1595="31-120 Days",VLOOKUP(D1595,[3]Extended!$B$9:$F$101,5,FALSE),IF(BA1595="121-365 Days",VLOOKUP(D1595,[3]Extended!$B$9:$G$101,6,FALSE),VLOOKUP(D1595,[3]Extended!$B$9:$H$101,7,FALSE)))),0)</f>
        <v>0</v>
      </c>
      <c r="O1595" s="269">
        <f>IFERROR(IF(BA1595="WIP - 30 Days",VLOOKUP(D1595,[3]Extended!$B$9:$J$101,9,FALSE),IF(BA1595="31-120 Days",VLOOKUP(D1595,[3]Extended!$B$9:$K$101,10,FALSE),IF(BA1595="121-365 Days",VLOOKUP(D1595,[3]Extended!$B$9:$L$101,11,FALSE),VLOOKUP(D1595,[3]Extended!$B$9:$M$101,12,FALSE)))),0)</f>
        <v>0</v>
      </c>
      <c r="P1595" s="116" t="e">
        <f t="shared" si="121"/>
        <v>#VALUE!</v>
      </c>
      <c r="Q1595" s="110" t="e">
        <f>O1595-#REF!</f>
        <v>#REF!</v>
      </c>
      <c r="AT1595" s="88" t="str">
        <f t="shared" si="122"/>
        <v>Special Order0</v>
      </c>
      <c r="AU1595" s="89" t="str">
        <f t="shared" si="123"/>
        <v>01-1900</v>
      </c>
      <c r="BA1595" s="92" t="str">
        <f t="shared" si="124"/>
        <v/>
      </c>
    </row>
    <row r="1596" spans="2:53">
      <c r="B1596" s="60">
        <f>[2]Trucks!A1593</f>
        <v>0</v>
      </c>
      <c r="C1596" s="11">
        <f>[2]Trucks!B1593</f>
        <v>0</v>
      </c>
      <c r="D1596" s="19" t="str">
        <f>IFERROR(VLOOKUP(C1596&amp;"",'[2]Retail Price List'!$A$3:$B$103,2,FALSE),"Special Order")</f>
        <v>Special Order</v>
      </c>
      <c r="E1596" s="18">
        <f>[2]Trucks!J1593</f>
        <v>0</v>
      </c>
      <c r="F1596" s="12">
        <f>[2]Trucks!E1593</f>
        <v>0</v>
      </c>
      <c r="G1596" s="56">
        <f>[2]Trucks!K1593</f>
        <v>0</v>
      </c>
      <c r="H1596" s="46">
        <f>[2]Trucks!I1593</f>
        <v>0</v>
      </c>
      <c r="I1596" s="83" t="str">
        <f t="shared" si="120"/>
        <v/>
      </c>
      <c r="J1596" s="272" t="str">
        <f>IFERROR(VLOOKUP((D1596&amp;C1596)&amp;"",'[2]Retail Price List'!$C$4:$F$102,3,FALSE),"")</f>
        <v/>
      </c>
      <c r="K1596" s="272">
        <f>IFERROR(IF(BA1596="WIP - 30 Days",VLOOKUP(D1596,[3]Standard!$B$9:$E$101,4,FALSE),IF(BA1596="31-120 Days",VLOOKUP(D1596,[3]Standard!$B$9:$F$101,5,FALSE),IF(BA1596="121-365 Days",VLOOKUP(D1596,[3]Standard!$B$9:$G$101,6,FALSE),VLOOKUP(D1596,[3]Standard!$B$9:$H$101,7,FALSE)))),0)</f>
        <v>0</v>
      </c>
      <c r="L1596" s="272">
        <f>IFERROR(IF(BA1596="WIP - 30 Days",VLOOKUP(D1596,[3]Standard!$B$9:$J$101,9,FALSE),IF(BA1596="31-120 Days",VLOOKUP(D1596,[3]Standard!$B$9:$K$100,10,FALSE),IF(BA1596="121-365 Days",VLOOKUP(D1596,[3]Standard!$B$9:$L$101,11,FALSE),VLOOKUP(D1596,[3]Standard!$B$9:$M$101,12,FALSE)))),0)</f>
        <v>0</v>
      </c>
      <c r="M1596" s="269" t="str">
        <f>IFERROR(VLOOKUP((D1596&amp;C1596)&amp;"",'[2]Retail Price List'!$C$4:$F$102,4,FALSE),"")</f>
        <v/>
      </c>
      <c r="N1596" s="269">
        <f>IFERROR(IF(BA1596="WIP - 30 Days",VLOOKUP(D1596,[3]Extended!$B$9:$E$101,4,FALSE),IF(BA1596="31-120 Days",VLOOKUP(D1596,[3]Extended!$B$9:$F$101,5,FALSE),IF(BA1596="121-365 Days",VLOOKUP(D1596,[3]Extended!$B$9:$G$101,6,FALSE),VLOOKUP(D1596,[3]Extended!$B$9:$H$101,7,FALSE)))),0)</f>
        <v>0</v>
      </c>
      <c r="O1596" s="269">
        <f>IFERROR(IF(BA1596="WIP - 30 Days",VLOOKUP(D1596,[3]Extended!$B$9:$J$101,9,FALSE),IF(BA1596="31-120 Days",VLOOKUP(D1596,[3]Extended!$B$9:$K$101,10,FALSE),IF(BA1596="121-365 Days",VLOOKUP(D1596,[3]Extended!$B$9:$L$101,11,FALSE),VLOOKUP(D1596,[3]Extended!$B$9:$M$101,12,FALSE)))),0)</f>
        <v>0</v>
      </c>
      <c r="P1596" s="116" t="e">
        <f t="shared" si="121"/>
        <v>#VALUE!</v>
      </c>
      <c r="Q1596" s="110" t="e">
        <f>O1596-#REF!</f>
        <v>#REF!</v>
      </c>
      <c r="AT1596" s="88" t="str">
        <f t="shared" si="122"/>
        <v>Special Order0</v>
      </c>
      <c r="AU1596" s="89" t="str">
        <f t="shared" si="123"/>
        <v>01-1900</v>
      </c>
      <c r="BA1596" s="92" t="str">
        <f t="shared" si="124"/>
        <v/>
      </c>
    </row>
    <row r="1597" spans="2:53">
      <c r="B1597" s="60">
        <f>[2]Trucks!A1594</f>
        <v>0</v>
      </c>
      <c r="C1597" s="11">
        <f>[2]Trucks!B1594</f>
        <v>0</v>
      </c>
      <c r="D1597" s="19" t="str">
        <f>IFERROR(VLOOKUP(C1597&amp;"",'[2]Retail Price List'!$A$3:$B$103,2,FALSE),"Special Order")</f>
        <v>Special Order</v>
      </c>
      <c r="E1597" s="18">
        <f>[2]Trucks!J1594</f>
        <v>0</v>
      </c>
      <c r="F1597" s="12">
        <f>[2]Trucks!E1594</f>
        <v>0</v>
      </c>
      <c r="G1597" s="56">
        <f>[2]Trucks!K1594</f>
        <v>0</v>
      </c>
      <c r="H1597" s="46">
        <f>[2]Trucks!I1594</f>
        <v>0</v>
      </c>
      <c r="I1597" s="83" t="str">
        <f t="shared" si="120"/>
        <v/>
      </c>
      <c r="J1597" s="272" t="str">
        <f>IFERROR(VLOOKUP((D1597&amp;C1597)&amp;"",'[2]Retail Price List'!$C$4:$F$102,3,FALSE),"")</f>
        <v/>
      </c>
      <c r="K1597" s="272">
        <f>IFERROR(IF(BA1597="WIP - 30 Days",VLOOKUP(D1597,[3]Standard!$B$9:$E$101,4,FALSE),IF(BA1597="31-120 Days",VLOOKUP(D1597,[3]Standard!$B$9:$F$101,5,FALSE),IF(BA1597="121-365 Days",VLOOKUP(D1597,[3]Standard!$B$9:$G$101,6,FALSE),VLOOKUP(D1597,[3]Standard!$B$9:$H$101,7,FALSE)))),0)</f>
        <v>0</v>
      </c>
      <c r="L1597" s="272">
        <f>IFERROR(IF(BA1597="WIP - 30 Days",VLOOKUP(D1597,[3]Standard!$B$9:$J$101,9,FALSE),IF(BA1597="31-120 Days",VLOOKUP(D1597,[3]Standard!$B$9:$K$100,10,FALSE),IF(BA1597="121-365 Days",VLOOKUP(D1597,[3]Standard!$B$9:$L$101,11,FALSE),VLOOKUP(D1597,[3]Standard!$B$9:$M$101,12,FALSE)))),0)</f>
        <v>0</v>
      </c>
      <c r="M1597" s="269" t="str">
        <f>IFERROR(VLOOKUP((D1597&amp;C1597)&amp;"",'[2]Retail Price List'!$C$4:$F$102,4,FALSE),"")</f>
        <v/>
      </c>
      <c r="N1597" s="269">
        <f>IFERROR(IF(BA1597="WIP - 30 Days",VLOOKUP(D1597,[3]Extended!$B$9:$E$101,4,FALSE),IF(BA1597="31-120 Days",VLOOKUP(D1597,[3]Extended!$B$9:$F$101,5,FALSE),IF(BA1597="121-365 Days",VLOOKUP(D1597,[3]Extended!$B$9:$G$101,6,FALSE),VLOOKUP(D1597,[3]Extended!$B$9:$H$101,7,FALSE)))),0)</f>
        <v>0</v>
      </c>
      <c r="O1597" s="269">
        <f>IFERROR(IF(BA1597="WIP - 30 Days",VLOOKUP(D1597,[3]Extended!$B$9:$J$101,9,FALSE),IF(BA1597="31-120 Days",VLOOKUP(D1597,[3]Extended!$B$9:$K$101,10,FALSE),IF(BA1597="121-365 Days",VLOOKUP(D1597,[3]Extended!$B$9:$L$101,11,FALSE),VLOOKUP(D1597,[3]Extended!$B$9:$M$101,12,FALSE)))),0)</f>
        <v>0</v>
      </c>
      <c r="P1597" s="116" t="e">
        <f t="shared" si="121"/>
        <v>#VALUE!</v>
      </c>
      <c r="Q1597" s="110" t="e">
        <f>O1597-#REF!</f>
        <v>#REF!</v>
      </c>
      <c r="AT1597" s="88" t="str">
        <f t="shared" si="122"/>
        <v>Special Order0</v>
      </c>
      <c r="AU1597" s="89" t="str">
        <f t="shared" si="123"/>
        <v>01-1900</v>
      </c>
      <c r="BA1597" s="92" t="str">
        <f t="shared" si="124"/>
        <v/>
      </c>
    </row>
    <row r="1598" spans="2:53">
      <c r="B1598" s="60">
        <f>[2]Trucks!A1595</f>
        <v>0</v>
      </c>
      <c r="C1598" s="11">
        <f>[2]Trucks!B1595</f>
        <v>0</v>
      </c>
      <c r="D1598" s="19" t="str">
        <f>IFERROR(VLOOKUP(C1598&amp;"",'[2]Retail Price List'!$A$3:$B$103,2,FALSE),"Special Order")</f>
        <v>Special Order</v>
      </c>
      <c r="E1598" s="18">
        <f>[2]Trucks!J1595</f>
        <v>0</v>
      </c>
      <c r="F1598" s="12">
        <f>[2]Trucks!E1595</f>
        <v>0</v>
      </c>
      <c r="G1598" s="56">
        <f>[2]Trucks!K1595</f>
        <v>0</v>
      </c>
      <c r="H1598" s="46">
        <f>[2]Trucks!I1595</f>
        <v>0</v>
      </c>
      <c r="I1598" s="83" t="str">
        <f t="shared" si="120"/>
        <v/>
      </c>
      <c r="J1598" s="272" t="str">
        <f>IFERROR(VLOOKUP((D1598&amp;C1598)&amp;"",'[2]Retail Price List'!$C$4:$F$102,3,FALSE),"")</f>
        <v/>
      </c>
      <c r="K1598" s="272">
        <f>IFERROR(IF(BA1598="WIP - 30 Days",VLOOKUP(D1598,[3]Standard!$B$9:$E$101,4,FALSE),IF(BA1598="31-120 Days",VLOOKUP(D1598,[3]Standard!$B$9:$F$101,5,FALSE),IF(BA1598="121-365 Days",VLOOKUP(D1598,[3]Standard!$B$9:$G$101,6,FALSE),VLOOKUP(D1598,[3]Standard!$B$9:$H$101,7,FALSE)))),0)</f>
        <v>0</v>
      </c>
      <c r="L1598" s="272">
        <f>IFERROR(IF(BA1598="WIP - 30 Days",VLOOKUP(D1598,[3]Standard!$B$9:$J$101,9,FALSE),IF(BA1598="31-120 Days",VLOOKUP(D1598,[3]Standard!$B$9:$K$100,10,FALSE),IF(BA1598="121-365 Days",VLOOKUP(D1598,[3]Standard!$B$9:$L$101,11,FALSE),VLOOKUP(D1598,[3]Standard!$B$9:$M$101,12,FALSE)))),0)</f>
        <v>0</v>
      </c>
      <c r="M1598" s="269" t="str">
        <f>IFERROR(VLOOKUP((D1598&amp;C1598)&amp;"",'[2]Retail Price List'!$C$4:$F$102,4,FALSE),"")</f>
        <v/>
      </c>
      <c r="N1598" s="269">
        <f>IFERROR(IF(BA1598="WIP - 30 Days",VLOOKUP(D1598,[3]Extended!$B$9:$E$101,4,FALSE),IF(BA1598="31-120 Days",VLOOKUP(D1598,[3]Extended!$B$9:$F$101,5,FALSE),IF(BA1598="121-365 Days",VLOOKUP(D1598,[3]Extended!$B$9:$G$101,6,FALSE),VLOOKUP(D1598,[3]Extended!$B$9:$H$101,7,FALSE)))),0)</f>
        <v>0</v>
      </c>
      <c r="O1598" s="269">
        <f>IFERROR(IF(BA1598="WIP - 30 Days",VLOOKUP(D1598,[3]Extended!$B$9:$J$101,9,FALSE),IF(BA1598="31-120 Days",VLOOKUP(D1598,[3]Extended!$B$9:$K$101,10,FALSE),IF(BA1598="121-365 Days",VLOOKUP(D1598,[3]Extended!$B$9:$L$101,11,FALSE),VLOOKUP(D1598,[3]Extended!$B$9:$M$101,12,FALSE)))),0)</f>
        <v>0</v>
      </c>
      <c r="P1598" s="116" t="e">
        <f t="shared" si="121"/>
        <v>#VALUE!</v>
      </c>
      <c r="Q1598" s="110" t="e">
        <f>O1598-#REF!</f>
        <v>#REF!</v>
      </c>
      <c r="AT1598" s="88" t="str">
        <f t="shared" si="122"/>
        <v>Special Order0</v>
      </c>
      <c r="AU1598" s="89" t="str">
        <f t="shared" si="123"/>
        <v>01-1900</v>
      </c>
      <c r="BA1598" s="92" t="str">
        <f t="shared" si="124"/>
        <v/>
      </c>
    </row>
    <row r="1599" spans="2:53">
      <c r="B1599" s="60">
        <f>[2]Trucks!A1596</f>
        <v>0</v>
      </c>
      <c r="C1599" s="11">
        <f>[2]Trucks!B1596</f>
        <v>0</v>
      </c>
      <c r="D1599" s="19" t="str">
        <f>IFERROR(VLOOKUP(C1599&amp;"",'[2]Retail Price List'!$A$3:$B$103,2,FALSE),"Special Order")</f>
        <v>Special Order</v>
      </c>
      <c r="E1599" s="18">
        <f>[2]Trucks!J1596</f>
        <v>0</v>
      </c>
      <c r="F1599" s="12">
        <f>[2]Trucks!E1596</f>
        <v>0</v>
      </c>
      <c r="G1599" s="56">
        <f>[2]Trucks!K1596</f>
        <v>0</v>
      </c>
      <c r="H1599" s="46">
        <f>[2]Trucks!I1596</f>
        <v>0</v>
      </c>
      <c r="I1599" s="83" t="str">
        <f t="shared" si="120"/>
        <v/>
      </c>
      <c r="J1599" s="272" t="str">
        <f>IFERROR(VLOOKUP((D1599&amp;C1599)&amp;"",'[2]Retail Price List'!$C$4:$F$102,3,FALSE),"")</f>
        <v/>
      </c>
      <c r="K1599" s="272">
        <f>IFERROR(IF(BA1599="WIP - 30 Days",VLOOKUP(D1599,[3]Standard!$B$9:$E$101,4,FALSE),IF(BA1599="31-120 Days",VLOOKUP(D1599,[3]Standard!$B$9:$F$101,5,FALSE),IF(BA1599="121-365 Days",VLOOKUP(D1599,[3]Standard!$B$9:$G$101,6,FALSE),VLOOKUP(D1599,[3]Standard!$B$9:$H$101,7,FALSE)))),0)</f>
        <v>0</v>
      </c>
      <c r="L1599" s="272">
        <f>IFERROR(IF(BA1599="WIP - 30 Days",VLOOKUP(D1599,[3]Standard!$B$9:$J$101,9,FALSE),IF(BA1599="31-120 Days",VLOOKUP(D1599,[3]Standard!$B$9:$K$100,10,FALSE),IF(BA1599="121-365 Days",VLOOKUP(D1599,[3]Standard!$B$9:$L$101,11,FALSE),VLOOKUP(D1599,[3]Standard!$B$9:$M$101,12,FALSE)))),0)</f>
        <v>0</v>
      </c>
      <c r="M1599" s="269" t="str">
        <f>IFERROR(VLOOKUP((D1599&amp;C1599)&amp;"",'[2]Retail Price List'!$C$4:$F$102,4,FALSE),"")</f>
        <v/>
      </c>
      <c r="N1599" s="269">
        <f>IFERROR(IF(BA1599="WIP - 30 Days",VLOOKUP(D1599,[3]Extended!$B$9:$E$101,4,FALSE),IF(BA1599="31-120 Days",VLOOKUP(D1599,[3]Extended!$B$9:$F$101,5,FALSE),IF(BA1599="121-365 Days",VLOOKUP(D1599,[3]Extended!$B$9:$G$101,6,FALSE),VLOOKUP(D1599,[3]Extended!$B$9:$H$101,7,FALSE)))),0)</f>
        <v>0</v>
      </c>
      <c r="O1599" s="269">
        <f>IFERROR(IF(BA1599="WIP - 30 Days",VLOOKUP(D1599,[3]Extended!$B$9:$J$101,9,FALSE),IF(BA1599="31-120 Days",VLOOKUP(D1599,[3]Extended!$B$9:$K$101,10,FALSE),IF(BA1599="121-365 Days",VLOOKUP(D1599,[3]Extended!$B$9:$L$101,11,FALSE),VLOOKUP(D1599,[3]Extended!$B$9:$M$101,12,FALSE)))),0)</f>
        <v>0</v>
      </c>
      <c r="P1599" s="116" t="e">
        <f t="shared" si="121"/>
        <v>#VALUE!</v>
      </c>
      <c r="Q1599" s="110" t="e">
        <f>O1599-#REF!</f>
        <v>#REF!</v>
      </c>
      <c r="AT1599" s="88" t="str">
        <f t="shared" si="122"/>
        <v>Special Order0</v>
      </c>
      <c r="AU1599" s="89" t="str">
        <f t="shared" si="123"/>
        <v>01-1900</v>
      </c>
      <c r="BA1599" s="92" t="str">
        <f t="shared" si="124"/>
        <v/>
      </c>
    </row>
    <row r="1600" spans="2:53">
      <c r="B1600" s="60">
        <f>[2]Trucks!A1597</f>
        <v>0</v>
      </c>
      <c r="C1600" s="11">
        <f>[2]Trucks!B1597</f>
        <v>0</v>
      </c>
      <c r="D1600" s="19" t="str">
        <f>IFERROR(VLOOKUP(C1600&amp;"",'[2]Retail Price List'!$A$3:$B$103,2,FALSE),"Special Order")</f>
        <v>Special Order</v>
      </c>
      <c r="E1600" s="18">
        <f>[2]Trucks!J1597</f>
        <v>0</v>
      </c>
      <c r="F1600" s="12">
        <f>[2]Trucks!E1597</f>
        <v>0</v>
      </c>
      <c r="G1600" s="56">
        <f>[2]Trucks!K1597</f>
        <v>0</v>
      </c>
      <c r="H1600" s="46">
        <f>[2]Trucks!I1597</f>
        <v>0</v>
      </c>
      <c r="I1600" s="83" t="str">
        <f t="shared" si="120"/>
        <v/>
      </c>
      <c r="J1600" s="272" t="str">
        <f>IFERROR(VLOOKUP((D1600&amp;C1600)&amp;"",'[2]Retail Price List'!$C$4:$F$102,3,FALSE),"")</f>
        <v/>
      </c>
      <c r="K1600" s="272">
        <f>IFERROR(IF(BA1600="WIP - 30 Days",VLOOKUP(D1600,[3]Standard!$B$9:$E$101,4,FALSE),IF(BA1600="31-120 Days",VLOOKUP(D1600,[3]Standard!$B$9:$F$101,5,FALSE),IF(BA1600="121-365 Days",VLOOKUP(D1600,[3]Standard!$B$9:$G$101,6,FALSE),VLOOKUP(D1600,[3]Standard!$B$9:$H$101,7,FALSE)))),0)</f>
        <v>0</v>
      </c>
      <c r="L1600" s="272">
        <f>IFERROR(IF(BA1600="WIP - 30 Days",VLOOKUP(D1600,[3]Standard!$B$9:$J$101,9,FALSE),IF(BA1600="31-120 Days",VLOOKUP(D1600,[3]Standard!$B$9:$K$100,10,FALSE),IF(BA1600="121-365 Days",VLOOKUP(D1600,[3]Standard!$B$9:$L$101,11,FALSE),VLOOKUP(D1600,[3]Standard!$B$9:$M$101,12,FALSE)))),0)</f>
        <v>0</v>
      </c>
      <c r="M1600" s="269" t="str">
        <f>IFERROR(VLOOKUP((D1600&amp;C1600)&amp;"",'[2]Retail Price List'!$C$4:$F$102,4,FALSE),"")</f>
        <v/>
      </c>
      <c r="N1600" s="269">
        <f>IFERROR(IF(BA1600="WIP - 30 Days",VLOOKUP(D1600,[3]Extended!$B$9:$E$101,4,FALSE),IF(BA1600="31-120 Days",VLOOKUP(D1600,[3]Extended!$B$9:$F$101,5,FALSE),IF(BA1600="121-365 Days",VLOOKUP(D1600,[3]Extended!$B$9:$G$101,6,FALSE),VLOOKUP(D1600,[3]Extended!$B$9:$H$101,7,FALSE)))),0)</f>
        <v>0</v>
      </c>
      <c r="O1600" s="269">
        <f>IFERROR(IF(BA1600="WIP - 30 Days",VLOOKUP(D1600,[3]Extended!$B$9:$J$101,9,FALSE),IF(BA1600="31-120 Days",VLOOKUP(D1600,[3]Extended!$B$9:$K$101,10,FALSE),IF(BA1600="121-365 Days",VLOOKUP(D1600,[3]Extended!$B$9:$L$101,11,FALSE),VLOOKUP(D1600,[3]Extended!$B$9:$M$101,12,FALSE)))),0)</f>
        <v>0</v>
      </c>
      <c r="P1600" s="116" t="e">
        <f t="shared" si="121"/>
        <v>#VALUE!</v>
      </c>
      <c r="Q1600" s="110" t="e">
        <f>O1600-#REF!</f>
        <v>#REF!</v>
      </c>
      <c r="AT1600" s="88" t="str">
        <f t="shared" si="122"/>
        <v>Special Order0</v>
      </c>
      <c r="AU1600" s="89" t="str">
        <f t="shared" si="123"/>
        <v>01-1900</v>
      </c>
      <c r="BA1600" s="92" t="str">
        <f t="shared" si="124"/>
        <v/>
      </c>
    </row>
    <row r="1601" spans="2:53">
      <c r="B1601" s="60">
        <f>[2]Trucks!A1598</f>
        <v>0</v>
      </c>
      <c r="C1601" s="11">
        <f>[2]Trucks!B1598</f>
        <v>0</v>
      </c>
      <c r="D1601" s="19" t="str">
        <f>IFERROR(VLOOKUP(C1601&amp;"",'[2]Retail Price List'!$A$3:$B$103,2,FALSE),"Special Order")</f>
        <v>Special Order</v>
      </c>
      <c r="E1601" s="18">
        <f>[2]Trucks!J1598</f>
        <v>0</v>
      </c>
      <c r="F1601" s="12">
        <f>[2]Trucks!E1598</f>
        <v>0</v>
      </c>
      <c r="G1601" s="56">
        <f>[2]Trucks!K1598</f>
        <v>0</v>
      </c>
      <c r="H1601" s="46">
        <f>[2]Trucks!I1598</f>
        <v>0</v>
      </c>
      <c r="I1601" s="83" t="str">
        <f t="shared" si="120"/>
        <v/>
      </c>
      <c r="J1601" s="272" t="str">
        <f>IFERROR(VLOOKUP((D1601&amp;C1601)&amp;"",'[2]Retail Price List'!$C$4:$F$102,3,FALSE),"")</f>
        <v/>
      </c>
      <c r="K1601" s="272">
        <f>IFERROR(IF(BA1601="WIP - 30 Days",VLOOKUP(D1601,[3]Standard!$B$9:$E$101,4,FALSE),IF(BA1601="31-120 Days",VLOOKUP(D1601,[3]Standard!$B$9:$F$101,5,FALSE),IF(BA1601="121-365 Days",VLOOKUP(D1601,[3]Standard!$B$9:$G$101,6,FALSE),VLOOKUP(D1601,[3]Standard!$B$9:$H$101,7,FALSE)))),0)</f>
        <v>0</v>
      </c>
      <c r="L1601" s="272">
        <f>IFERROR(IF(BA1601="WIP - 30 Days",VLOOKUP(D1601,[3]Standard!$B$9:$J$101,9,FALSE),IF(BA1601="31-120 Days",VLOOKUP(D1601,[3]Standard!$B$9:$K$100,10,FALSE),IF(BA1601="121-365 Days",VLOOKUP(D1601,[3]Standard!$B$9:$L$101,11,FALSE),VLOOKUP(D1601,[3]Standard!$B$9:$M$101,12,FALSE)))),0)</f>
        <v>0</v>
      </c>
      <c r="M1601" s="269" t="str">
        <f>IFERROR(VLOOKUP((D1601&amp;C1601)&amp;"",'[2]Retail Price List'!$C$4:$F$102,4,FALSE),"")</f>
        <v/>
      </c>
      <c r="N1601" s="269">
        <f>IFERROR(IF(BA1601="WIP - 30 Days",VLOOKUP(D1601,[3]Extended!$B$9:$E$101,4,FALSE),IF(BA1601="31-120 Days",VLOOKUP(D1601,[3]Extended!$B$9:$F$101,5,FALSE),IF(BA1601="121-365 Days",VLOOKUP(D1601,[3]Extended!$B$9:$G$101,6,FALSE),VLOOKUP(D1601,[3]Extended!$B$9:$H$101,7,FALSE)))),0)</f>
        <v>0</v>
      </c>
      <c r="O1601" s="269">
        <f>IFERROR(IF(BA1601="WIP - 30 Days",VLOOKUP(D1601,[3]Extended!$B$9:$J$101,9,FALSE),IF(BA1601="31-120 Days",VLOOKUP(D1601,[3]Extended!$B$9:$K$101,10,FALSE),IF(BA1601="121-365 Days",VLOOKUP(D1601,[3]Extended!$B$9:$L$101,11,FALSE),VLOOKUP(D1601,[3]Extended!$B$9:$M$101,12,FALSE)))),0)</f>
        <v>0</v>
      </c>
      <c r="P1601" s="116" t="e">
        <f t="shared" si="121"/>
        <v>#VALUE!</v>
      </c>
      <c r="Q1601" s="110" t="e">
        <f>O1601-#REF!</f>
        <v>#REF!</v>
      </c>
      <c r="AT1601" s="88" t="str">
        <f t="shared" si="122"/>
        <v>Special Order0</v>
      </c>
      <c r="AU1601" s="89" t="str">
        <f t="shared" si="123"/>
        <v>01-1900</v>
      </c>
      <c r="BA1601" s="92" t="str">
        <f t="shared" si="124"/>
        <v/>
      </c>
    </row>
    <row r="1602" spans="2:53">
      <c r="B1602" s="60">
        <f>[2]Trucks!A1599</f>
        <v>0</v>
      </c>
      <c r="C1602" s="11">
        <f>[2]Trucks!B1599</f>
        <v>0</v>
      </c>
      <c r="D1602" s="19" t="str">
        <f>IFERROR(VLOOKUP(C1602&amp;"",'[2]Retail Price List'!$A$3:$B$103,2,FALSE),"Special Order")</f>
        <v>Special Order</v>
      </c>
      <c r="E1602" s="18">
        <f>[2]Trucks!J1599</f>
        <v>0</v>
      </c>
      <c r="F1602" s="12">
        <f>[2]Trucks!E1599</f>
        <v>0</v>
      </c>
      <c r="G1602" s="56">
        <f>[2]Trucks!K1599</f>
        <v>0</v>
      </c>
      <c r="H1602" s="46">
        <f>[2]Trucks!I1599</f>
        <v>0</v>
      </c>
      <c r="I1602" s="83" t="str">
        <f t="shared" si="120"/>
        <v/>
      </c>
      <c r="J1602" s="272" t="str">
        <f>IFERROR(VLOOKUP((D1602&amp;C1602)&amp;"",'[2]Retail Price List'!$C$4:$F$102,3,FALSE),"")</f>
        <v/>
      </c>
      <c r="K1602" s="272">
        <f>IFERROR(IF(BA1602="WIP - 30 Days",VLOOKUP(D1602,[3]Standard!$B$9:$E$101,4,FALSE),IF(BA1602="31-120 Days",VLOOKUP(D1602,[3]Standard!$B$9:$F$101,5,FALSE),IF(BA1602="121-365 Days",VLOOKUP(D1602,[3]Standard!$B$9:$G$101,6,FALSE),VLOOKUP(D1602,[3]Standard!$B$9:$H$101,7,FALSE)))),0)</f>
        <v>0</v>
      </c>
      <c r="L1602" s="272">
        <f>IFERROR(IF(BA1602="WIP - 30 Days",VLOOKUP(D1602,[3]Standard!$B$9:$J$101,9,FALSE),IF(BA1602="31-120 Days",VLOOKUP(D1602,[3]Standard!$B$9:$K$100,10,FALSE),IF(BA1602="121-365 Days",VLOOKUP(D1602,[3]Standard!$B$9:$L$101,11,FALSE),VLOOKUP(D1602,[3]Standard!$B$9:$M$101,12,FALSE)))),0)</f>
        <v>0</v>
      </c>
      <c r="M1602" s="269" t="str">
        <f>IFERROR(VLOOKUP((D1602&amp;C1602)&amp;"",'[2]Retail Price List'!$C$4:$F$102,4,FALSE),"")</f>
        <v/>
      </c>
      <c r="N1602" s="269">
        <f>IFERROR(IF(BA1602="WIP - 30 Days",VLOOKUP(D1602,[3]Extended!$B$9:$E$101,4,FALSE),IF(BA1602="31-120 Days",VLOOKUP(D1602,[3]Extended!$B$9:$F$101,5,FALSE),IF(BA1602="121-365 Days",VLOOKUP(D1602,[3]Extended!$B$9:$G$101,6,FALSE),VLOOKUP(D1602,[3]Extended!$B$9:$H$101,7,FALSE)))),0)</f>
        <v>0</v>
      </c>
      <c r="O1602" s="269">
        <f>IFERROR(IF(BA1602="WIP - 30 Days",VLOOKUP(D1602,[3]Extended!$B$9:$J$101,9,FALSE),IF(BA1602="31-120 Days",VLOOKUP(D1602,[3]Extended!$B$9:$K$101,10,FALSE),IF(BA1602="121-365 Days",VLOOKUP(D1602,[3]Extended!$B$9:$L$101,11,FALSE),VLOOKUP(D1602,[3]Extended!$B$9:$M$101,12,FALSE)))),0)</f>
        <v>0</v>
      </c>
      <c r="P1602" s="116" t="e">
        <f t="shared" si="121"/>
        <v>#VALUE!</v>
      </c>
      <c r="Q1602" s="110" t="e">
        <f>O1602-#REF!</f>
        <v>#REF!</v>
      </c>
      <c r="AT1602" s="88" t="str">
        <f t="shared" si="122"/>
        <v>Special Order0</v>
      </c>
      <c r="AU1602" s="89" t="str">
        <f t="shared" si="123"/>
        <v>01-1900</v>
      </c>
      <c r="BA1602" s="92" t="str">
        <f t="shared" si="124"/>
        <v/>
      </c>
    </row>
    <row r="1603" spans="2:53">
      <c r="B1603" s="60">
        <f>[2]Trucks!A1600</f>
        <v>0</v>
      </c>
      <c r="C1603" s="11">
        <f>[2]Trucks!B1600</f>
        <v>0</v>
      </c>
      <c r="D1603" s="19" t="str">
        <f>IFERROR(VLOOKUP(C1603&amp;"",'[2]Retail Price List'!$A$3:$B$103,2,FALSE),"Special Order")</f>
        <v>Special Order</v>
      </c>
      <c r="E1603" s="18">
        <f>[2]Trucks!J1600</f>
        <v>0</v>
      </c>
      <c r="F1603" s="12">
        <f>[2]Trucks!E1600</f>
        <v>0</v>
      </c>
      <c r="G1603" s="56">
        <f>[2]Trucks!K1600</f>
        <v>0</v>
      </c>
      <c r="H1603" s="46">
        <f>[2]Trucks!I1600</f>
        <v>0</v>
      </c>
      <c r="I1603" s="83" t="str">
        <f t="shared" si="120"/>
        <v/>
      </c>
      <c r="J1603" s="272" t="str">
        <f>IFERROR(VLOOKUP((D1603&amp;C1603)&amp;"",'[2]Retail Price List'!$C$4:$F$102,3,FALSE),"")</f>
        <v/>
      </c>
      <c r="K1603" s="272">
        <f>IFERROR(IF(BA1603="WIP - 30 Days",VLOOKUP(D1603,[3]Standard!$B$9:$E$101,4,FALSE),IF(BA1603="31-120 Days",VLOOKUP(D1603,[3]Standard!$B$9:$F$101,5,FALSE),IF(BA1603="121-365 Days",VLOOKUP(D1603,[3]Standard!$B$9:$G$101,6,FALSE),VLOOKUP(D1603,[3]Standard!$B$9:$H$101,7,FALSE)))),0)</f>
        <v>0</v>
      </c>
      <c r="L1603" s="272">
        <f>IFERROR(IF(BA1603="WIP - 30 Days",VLOOKUP(D1603,[3]Standard!$B$9:$J$101,9,FALSE),IF(BA1603="31-120 Days",VLOOKUP(D1603,[3]Standard!$B$9:$K$100,10,FALSE),IF(BA1603="121-365 Days",VLOOKUP(D1603,[3]Standard!$B$9:$L$101,11,FALSE),VLOOKUP(D1603,[3]Standard!$B$9:$M$101,12,FALSE)))),0)</f>
        <v>0</v>
      </c>
      <c r="M1603" s="269" t="str">
        <f>IFERROR(VLOOKUP((D1603&amp;C1603)&amp;"",'[2]Retail Price List'!$C$4:$F$102,4,FALSE),"")</f>
        <v/>
      </c>
      <c r="N1603" s="269">
        <f>IFERROR(IF(BA1603="WIP - 30 Days",VLOOKUP(D1603,[3]Extended!$B$9:$E$101,4,FALSE),IF(BA1603="31-120 Days",VLOOKUP(D1603,[3]Extended!$B$9:$F$101,5,FALSE),IF(BA1603="121-365 Days",VLOOKUP(D1603,[3]Extended!$B$9:$G$101,6,FALSE),VLOOKUP(D1603,[3]Extended!$B$9:$H$101,7,FALSE)))),0)</f>
        <v>0</v>
      </c>
      <c r="O1603" s="269">
        <f>IFERROR(IF(BA1603="WIP - 30 Days",VLOOKUP(D1603,[3]Extended!$B$9:$J$101,9,FALSE),IF(BA1603="31-120 Days",VLOOKUP(D1603,[3]Extended!$B$9:$K$101,10,FALSE),IF(BA1603="121-365 Days",VLOOKUP(D1603,[3]Extended!$B$9:$L$101,11,FALSE),VLOOKUP(D1603,[3]Extended!$B$9:$M$101,12,FALSE)))),0)</f>
        <v>0</v>
      </c>
      <c r="P1603" s="116" t="e">
        <f t="shared" si="121"/>
        <v>#VALUE!</v>
      </c>
      <c r="Q1603" s="110" t="e">
        <f>O1603-#REF!</f>
        <v>#REF!</v>
      </c>
      <c r="AT1603" s="88" t="str">
        <f t="shared" si="122"/>
        <v>Special Order0</v>
      </c>
      <c r="AU1603" s="89" t="str">
        <f t="shared" si="123"/>
        <v>01-1900</v>
      </c>
      <c r="BA1603" s="92" t="str">
        <f t="shared" si="124"/>
        <v/>
      </c>
    </row>
    <row r="1604" spans="2:53">
      <c r="B1604" s="60">
        <f>[2]Trucks!A1601</f>
        <v>0</v>
      </c>
      <c r="C1604" s="11">
        <f>[2]Trucks!B1601</f>
        <v>0</v>
      </c>
      <c r="D1604" s="19" t="str">
        <f>IFERROR(VLOOKUP(C1604&amp;"",'[2]Retail Price List'!$A$3:$B$103,2,FALSE),"Special Order")</f>
        <v>Special Order</v>
      </c>
      <c r="E1604" s="18">
        <f>[2]Trucks!J1601</f>
        <v>0</v>
      </c>
      <c r="F1604" s="12">
        <f>[2]Trucks!E1601</f>
        <v>0</v>
      </c>
      <c r="G1604" s="56">
        <f>[2]Trucks!K1601</f>
        <v>0</v>
      </c>
      <c r="H1604" s="46">
        <f>[2]Trucks!I1601</f>
        <v>0</v>
      </c>
      <c r="I1604" s="83" t="str">
        <f t="shared" si="120"/>
        <v/>
      </c>
      <c r="J1604" s="272" t="str">
        <f>IFERROR(VLOOKUP((D1604&amp;C1604)&amp;"",'[2]Retail Price List'!$C$4:$F$102,3,FALSE),"")</f>
        <v/>
      </c>
      <c r="K1604" s="272">
        <f>IFERROR(IF(BA1604="WIP - 30 Days",VLOOKUP(D1604,[3]Standard!$B$9:$E$101,4,FALSE),IF(BA1604="31-120 Days",VLOOKUP(D1604,[3]Standard!$B$9:$F$101,5,FALSE),IF(BA1604="121-365 Days",VLOOKUP(D1604,[3]Standard!$B$9:$G$101,6,FALSE),VLOOKUP(D1604,[3]Standard!$B$9:$H$101,7,FALSE)))),0)</f>
        <v>0</v>
      </c>
      <c r="L1604" s="272">
        <f>IFERROR(IF(BA1604="WIP - 30 Days",VLOOKUP(D1604,[3]Standard!$B$9:$J$101,9,FALSE),IF(BA1604="31-120 Days",VLOOKUP(D1604,[3]Standard!$B$9:$K$100,10,FALSE),IF(BA1604="121-365 Days",VLOOKUP(D1604,[3]Standard!$B$9:$L$101,11,FALSE),VLOOKUP(D1604,[3]Standard!$B$9:$M$101,12,FALSE)))),0)</f>
        <v>0</v>
      </c>
      <c r="M1604" s="269" t="str">
        <f>IFERROR(VLOOKUP((D1604&amp;C1604)&amp;"",'[2]Retail Price List'!$C$4:$F$102,4,FALSE),"")</f>
        <v/>
      </c>
      <c r="N1604" s="269">
        <f>IFERROR(IF(BA1604="WIP - 30 Days",VLOOKUP(D1604,[3]Extended!$B$9:$E$101,4,FALSE),IF(BA1604="31-120 Days",VLOOKUP(D1604,[3]Extended!$B$9:$F$101,5,FALSE),IF(BA1604="121-365 Days",VLOOKUP(D1604,[3]Extended!$B$9:$G$101,6,FALSE),VLOOKUP(D1604,[3]Extended!$B$9:$H$101,7,FALSE)))),0)</f>
        <v>0</v>
      </c>
      <c r="O1604" s="269">
        <f>IFERROR(IF(BA1604="WIP - 30 Days",VLOOKUP(D1604,[3]Extended!$B$9:$J$101,9,FALSE),IF(BA1604="31-120 Days",VLOOKUP(D1604,[3]Extended!$B$9:$K$101,10,FALSE),IF(BA1604="121-365 Days",VLOOKUP(D1604,[3]Extended!$B$9:$L$101,11,FALSE),VLOOKUP(D1604,[3]Extended!$B$9:$M$101,12,FALSE)))),0)</f>
        <v>0</v>
      </c>
      <c r="P1604" s="116" t="e">
        <f t="shared" si="121"/>
        <v>#VALUE!</v>
      </c>
      <c r="Q1604" s="110" t="e">
        <f>O1604-#REF!</f>
        <v>#REF!</v>
      </c>
      <c r="AT1604" s="88" t="str">
        <f t="shared" si="122"/>
        <v>Special Order0</v>
      </c>
      <c r="AU1604" s="89" t="str">
        <f t="shared" si="123"/>
        <v>01-1900</v>
      </c>
      <c r="BA1604" s="92" t="str">
        <f t="shared" si="124"/>
        <v/>
      </c>
    </row>
    <row r="1605" spans="2:53">
      <c r="B1605" s="60">
        <f>[2]Trucks!A1602</f>
        <v>0</v>
      </c>
      <c r="C1605" s="11">
        <f>[2]Trucks!B1602</f>
        <v>0</v>
      </c>
      <c r="D1605" s="19" t="str">
        <f>IFERROR(VLOOKUP(C1605&amp;"",'[2]Retail Price List'!$A$3:$B$103,2,FALSE),"Special Order")</f>
        <v>Special Order</v>
      </c>
      <c r="E1605" s="18">
        <f>[2]Trucks!J1602</f>
        <v>0</v>
      </c>
      <c r="F1605" s="12">
        <f>[2]Trucks!E1602</f>
        <v>0</v>
      </c>
      <c r="G1605" s="56">
        <f>[2]Trucks!K1602</f>
        <v>0</v>
      </c>
      <c r="H1605" s="46">
        <f>[2]Trucks!I1602</f>
        <v>0</v>
      </c>
      <c r="I1605" s="83" t="str">
        <f t="shared" ref="I1605:I1668" si="125">IFERROR(VLOOKUP(AU1605,$AW$5:$AY$40,3,FALSE),"")</f>
        <v/>
      </c>
      <c r="J1605" s="272" t="str">
        <f>IFERROR(VLOOKUP((D1605&amp;C1605)&amp;"",'[2]Retail Price List'!$C$4:$F$102,3,FALSE),"")</f>
        <v/>
      </c>
      <c r="K1605" s="272">
        <f>IFERROR(IF(BA1605="WIP - 30 Days",VLOOKUP(D1605,[3]Standard!$B$9:$E$101,4,FALSE),IF(BA1605="31-120 Days",VLOOKUP(D1605,[3]Standard!$B$9:$F$101,5,FALSE),IF(BA1605="121-365 Days",VLOOKUP(D1605,[3]Standard!$B$9:$G$101,6,FALSE),VLOOKUP(D1605,[3]Standard!$B$9:$H$101,7,FALSE)))),0)</f>
        <v>0</v>
      </c>
      <c r="L1605" s="272">
        <f>IFERROR(IF(BA1605="WIP - 30 Days",VLOOKUP(D1605,[3]Standard!$B$9:$J$101,9,FALSE),IF(BA1605="31-120 Days",VLOOKUP(D1605,[3]Standard!$B$9:$K$100,10,FALSE),IF(BA1605="121-365 Days",VLOOKUP(D1605,[3]Standard!$B$9:$L$101,11,FALSE),VLOOKUP(D1605,[3]Standard!$B$9:$M$101,12,FALSE)))),0)</f>
        <v>0</v>
      </c>
      <c r="M1605" s="269" t="str">
        <f>IFERROR(VLOOKUP((D1605&amp;C1605)&amp;"",'[2]Retail Price List'!$C$4:$F$102,4,FALSE),"")</f>
        <v/>
      </c>
      <c r="N1605" s="269">
        <f>IFERROR(IF(BA1605="WIP - 30 Days",VLOOKUP(D1605,[3]Extended!$B$9:$E$101,4,FALSE),IF(BA1605="31-120 Days",VLOOKUP(D1605,[3]Extended!$B$9:$F$101,5,FALSE),IF(BA1605="121-365 Days",VLOOKUP(D1605,[3]Extended!$B$9:$G$101,6,FALSE),VLOOKUP(D1605,[3]Extended!$B$9:$H$101,7,FALSE)))),0)</f>
        <v>0</v>
      </c>
      <c r="O1605" s="269">
        <f>IFERROR(IF(BA1605="WIP - 30 Days",VLOOKUP(D1605,[3]Extended!$B$9:$J$101,9,FALSE),IF(BA1605="31-120 Days",VLOOKUP(D1605,[3]Extended!$B$9:$K$101,10,FALSE),IF(BA1605="121-365 Days",VLOOKUP(D1605,[3]Extended!$B$9:$L$101,11,FALSE),VLOOKUP(D1605,[3]Extended!$B$9:$M$101,12,FALSE)))),0)</f>
        <v>0</v>
      </c>
      <c r="P1605" s="116" t="e">
        <f t="shared" ref="P1605:P1668" si="126">(M1605-O1605)/M1605</f>
        <v>#VALUE!</v>
      </c>
      <c r="Q1605" s="110" t="e">
        <f>O1605-#REF!</f>
        <v>#REF!</v>
      </c>
      <c r="AT1605" s="88" t="str">
        <f t="shared" ref="AT1605:AT1668" si="127">D1605&amp;I1605&amp;G1605</f>
        <v>Special Order0</v>
      </c>
      <c r="AU1605" s="89" t="str">
        <f t="shared" ref="AU1605:AU1668" si="128">IF(MONTH(H1605)&lt;10,0&amp;MONTH(H1605)&amp;"-"&amp;YEAR(H1605),MONTH(H1605)&amp;"-"&amp;YEAR(H1605))</f>
        <v>01-1900</v>
      </c>
      <c r="BA1605" s="92" t="str">
        <f t="shared" ref="BA1605:BA1668" si="129">IF(B1605=0,"",IF(AND(F1605&gt;=31,F1605&lt;=120),"31-120 Days",IF(AND(F1605&gt;=121,F1605&lt;=365),"121-365 Days",IF(OR(E1605="CKD",F1605&lt;=30),"WIP - 30 Days","&gt;365 Days"))))</f>
        <v/>
      </c>
    </row>
    <row r="1606" spans="2:53">
      <c r="B1606" s="60">
        <f>[2]Trucks!A1603</f>
        <v>0</v>
      </c>
      <c r="C1606" s="11">
        <f>[2]Trucks!B1603</f>
        <v>0</v>
      </c>
      <c r="D1606" s="19" t="str">
        <f>IFERROR(VLOOKUP(C1606&amp;"",'[2]Retail Price List'!$A$3:$B$103,2,FALSE),"Special Order")</f>
        <v>Special Order</v>
      </c>
      <c r="E1606" s="18">
        <f>[2]Trucks!J1603</f>
        <v>0</v>
      </c>
      <c r="F1606" s="12">
        <f>[2]Trucks!E1603</f>
        <v>0</v>
      </c>
      <c r="G1606" s="56">
        <f>[2]Trucks!K1603</f>
        <v>0</v>
      </c>
      <c r="H1606" s="46">
        <f>[2]Trucks!I1603</f>
        <v>0</v>
      </c>
      <c r="I1606" s="83" t="str">
        <f t="shared" si="125"/>
        <v/>
      </c>
      <c r="J1606" s="272" t="str">
        <f>IFERROR(VLOOKUP((D1606&amp;C1606)&amp;"",'[2]Retail Price List'!$C$4:$F$102,3,FALSE),"")</f>
        <v/>
      </c>
      <c r="K1606" s="272">
        <f>IFERROR(IF(BA1606="WIP - 30 Days",VLOOKUP(D1606,[3]Standard!$B$9:$E$101,4,FALSE),IF(BA1606="31-120 Days",VLOOKUP(D1606,[3]Standard!$B$9:$F$101,5,FALSE),IF(BA1606="121-365 Days",VLOOKUP(D1606,[3]Standard!$B$9:$G$101,6,FALSE),VLOOKUP(D1606,[3]Standard!$B$9:$H$101,7,FALSE)))),0)</f>
        <v>0</v>
      </c>
      <c r="L1606" s="272">
        <f>IFERROR(IF(BA1606="WIP - 30 Days",VLOOKUP(D1606,[3]Standard!$B$9:$J$101,9,FALSE),IF(BA1606="31-120 Days",VLOOKUP(D1606,[3]Standard!$B$9:$K$100,10,FALSE),IF(BA1606="121-365 Days",VLOOKUP(D1606,[3]Standard!$B$9:$L$101,11,FALSE),VLOOKUP(D1606,[3]Standard!$B$9:$M$101,12,FALSE)))),0)</f>
        <v>0</v>
      </c>
      <c r="M1606" s="269" t="str">
        <f>IFERROR(VLOOKUP((D1606&amp;C1606)&amp;"",'[2]Retail Price List'!$C$4:$F$102,4,FALSE),"")</f>
        <v/>
      </c>
      <c r="N1606" s="269">
        <f>IFERROR(IF(BA1606="WIP - 30 Days",VLOOKUP(D1606,[3]Extended!$B$9:$E$101,4,FALSE),IF(BA1606="31-120 Days",VLOOKUP(D1606,[3]Extended!$B$9:$F$101,5,FALSE),IF(BA1606="121-365 Days",VLOOKUP(D1606,[3]Extended!$B$9:$G$101,6,FALSE),VLOOKUP(D1606,[3]Extended!$B$9:$H$101,7,FALSE)))),0)</f>
        <v>0</v>
      </c>
      <c r="O1606" s="269">
        <f>IFERROR(IF(BA1606="WIP - 30 Days",VLOOKUP(D1606,[3]Extended!$B$9:$J$101,9,FALSE),IF(BA1606="31-120 Days",VLOOKUP(D1606,[3]Extended!$B$9:$K$101,10,FALSE),IF(BA1606="121-365 Days",VLOOKUP(D1606,[3]Extended!$B$9:$L$101,11,FALSE),VLOOKUP(D1606,[3]Extended!$B$9:$M$101,12,FALSE)))),0)</f>
        <v>0</v>
      </c>
      <c r="P1606" s="116" t="e">
        <f t="shared" si="126"/>
        <v>#VALUE!</v>
      </c>
      <c r="Q1606" s="110" t="e">
        <f>O1606-#REF!</f>
        <v>#REF!</v>
      </c>
      <c r="AT1606" s="88" t="str">
        <f t="shared" si="127"/>
        <v>Special Order0</v>
      </c>
      <c r="AU1606" s="89" t="str">
        <f t="shared" si="128"/>
        <v>01-1900</v>
      </c>
      <c r="BA1606" s="92" t="str">
        <f t="shared" si="129"/>
        <v/>
      </c>
    </row>
    <row r="1607" spans="2:53">
      <c r="B1607" s="60">
        <f>[2]Trucks!A1604</f>
        <v>0</v>
      </c>
      <c r="C1607" s="11">
        <f>[2]Trucks!B1604</f>
        <v>0</v>
      </c>
      <c r="D1607" s="19" t="str">
        <f>IFERROR(VLOOKUP(C1607&amp;"",'[2]Retail Price List'!$A$3:$B$103,2,FALSE),"Special Order")</f>
        <v>Special Order</v>
      </c>
      <c r="E1607" s="18">
        <f>[2]Trucks!J1604</f>
        <v>0</v>
      </c>
      <c r="F1607" s="12">
        <f>[2]Trucks!E1604</f>
        <v>0</v>
      </c>
      <c r="G1607" s="56">
        <f>[2]Trucks!K1604</f>
        <v>0</v>
      </c>
      <c r="H1607" s="46">
        <f>[2]Trucks!I1604</f>
        <v>0</v>
      </c>
      <c r="I1607" s="83" t="str">
        <f t="shared" si="125"/>
        <v/>
      </c>
      <c r="J1607" s="272" t="str">
        <f>IFERROR(VLOOKUP((D1607&amp;C1607)&amp;"",'[2]Retail Price List'!$C$4:$F$102,3,FALSE),"")</f>
        <v/>
      </c>
      <c r="K1607" s="272">
        <f>IFERROR(IF(BA1607="WIP - 30 Days",VLOOKUP(D1607,[3]Standard!$B$9:$E$101,4,FALSE),IF(BA1607="31-120 Days",VLOOKUP(D1607,[3]Standard!$B$9:$F$101,5,FALSE),IF(BA1607="121-365 Days",VLOOKUP(D1607,[3]Standard!$B$9:$G$101,6,FALSE),VLOOKUP(D1607,[3]Standard!$B$9:$H$101,7,FALSE)))),0)</f>
        <v>0</v>
      </c>
      <c r="L1607" s="272">
        <f>IFERROR(IF(BA1607="WIP - 30 Days",VLOOKUP(D1607,[3]Standard!$B$9:$J$101,9,FALSE),IF(BA1607="31-120 Days",VLOOKUP(D1607,[3]Standard!$B$9:$K$100,10,FALSE),IF(BA1607="121-365 Days",VLOOKUP(D1607,[3]Standard!$B$9:$L$101,11,FALSE),VLOOKUP(D1607,[3]Standard!$B$9:$M$101,12,FALSE)))),0)</f>
        <v>0</v>
      </c>
      <c r="M1607" s="269" t="str">
        <f>IFERROR(VLOOKUP((D1607&amp;C1607)&amp;"",'[2]Retail Price List'!$C$4:$F$102,4,FALSE),"")</f>
        <v/>
      </c>
      <c r="N1607" s="269">
        <f>IFERROR(IF(BA1607="WIP - 30 Days",VLOOKUP(D1607,[3]Extended!$B$9:$E$101,4,FALSE),IF(BA1607="31-120 Days",VLOOKUP(D1607,[3]Extended!$B$9:$F$101,5,FALSE),IF(BA1607="121-365 Days",VLOOKUP(D1607,[3]Extended!$B$9:$G$101,6,FALSE),VLOOKUP(D1607,[3]Extended!$B$9:$H$101,7,FALSE)))),0)</f>
        <v>0</v>
      </c>
      <c r="O1607" s="269">
        <f>IFERROR(IF(BA1607="WIP - 30 Days",VLOOKUP(D1607,[3]Extended!$B$9:$J$101,9,FALSE),IF(BA1607="31-120 Days",VLOOKUP(D1607,[3]Extended!$B$9:$K$101,10,FALSE),IF(BA1607="121-365 Days",VLOOKUP(D1607,[3]Extended!$B$9:$L$101,11,FALSE),VLOOKUP(D1607,[3]Extended!$B$9:$M$101,12,FALSE)))),0)</f>
        <v>0</v>
      </c>
      <c r="P1607" s="116" t="e">
        <f t="shared" si="126"/>
        <v>#VALUE!</v>
      </c>
      <c r="Q1607" s="110" t="e">
        <f>O1607-#REF!</f>
        <v>#REF!</v>
      </c>
      <c r="AT1607" s="88" t="str">
        <f t="shared" si="127"/>
        <v>Special Order0</v>
      </c>
      <c r="AU1607" s="89" t="str">
        <f t="shared" si="128"/>
        <v>01-1900</v>
      </c>
      <c r="BA1607" s="92" t="str">
        <f t="shared" si="129"/>
        <v/>
      </c>
    </row>
    <row r="1608" spans="2:53">
      <c r="B1608" s="60">
        <f>[2]Trucks!A1605</f>
        <v>0</v>
      </c>
      <c r="C1608" s="11">
        <f>[2]Trucks!B1605</f>
        <v>0</v>
      </c>
      <c r="D1608" s="19" t="str">
        <f>IFERROR(VLOOKUP(C1608&amp;"",'[2]Retail Price List'!$A$3:$B$103,2,FALSE),"Special Order")</f>
        <v>Special Order</v>
      </c>
      <c r="E1608" s="18">
        <f>[2]Trucks!J1605</f>
        <v>0</v>
      </c>
      <c r="F1608" s="12">
        <f>[2]Trucks!E1605</f>
        <v>0</v>
      </c>
      <c r="G1608" s="56">
        <f>[2]Trucks!K1605</f>
        <v>0</v>
      </c>
      <c r="H1608" s="46">
        <f>[2]Trucks!I1605</f>
        <v>0</v>
      </c>
      <c r="I1608" s="83" t="str">
        <f t="shared" si="125"/>
        <v/>
      </c>
      <c r="J1608" s="272" t="str">
        <f>IFERROR(VLOOKUP((D1608&amp;C1608)&amp;"",'[2]Retail Price List'!$C$4:$F$102,3,FALSE),"")</f>
        <v/>
      </c>
      <c r="K1608" s="272">
        <f>IFERROR(IF(BA1608="WIP - 30 Days",VLOOKUP(D1608,[3]Standard!$B$9:$E$101,4,FALSE),IF(BA1608="31-120 Days",VLOOKUP(D1608,[3]Standard!$B$9:$F$101,5,FALSE),IF(BA1608="121-365 Days",VLOOKUP(D1608,[3]Standard!$B$9:$G$101,6,FALSE),VLOOKUP(D1608,[3]Standard!$B$9:$H$101,7,FALSE)))),0)</f>
        <v>0</v>
      </c>
      <c r="L1608" s="272">
        <f>IFERROR(IF(BA1608="WIP - 30 Days",VLOOKUP(D1608,[3]Standard!$B$9:$J$101,9,FALSE),IF(BA1608="31-120 Days",VLOOKUP(D1608,[3]Standard!$B$9:$K$100,10,FALSE),IF(BA1608="121-365 Days",VLOOKUP(D1608,[3]Standard!$B$9:$L$101,11,FALSE),VLOOKUP(D1608,[3]Standard!$B$9:$M$101,12,FALSE)))),0)</f>
        <v>0</v>
      </c>
      <c r="M1608" s="269" t="str">
        <f>IFERROR(VLOOKUP((D1608&amp;C1608)&amp;"",'[2]Retail Price List'!$C$4:$F$102,4,FALSE),"")</f>
        <v/>
      </c>
      <c r="N1608" s="269">
        <f>IFERROR(IF(BA1608="WIP - 30 Days",VLOOKUP(D1608,[3]Extended!$B$9:$E$101,4,FALSE),IF(BA1608="31-120 Days",VLOOKUP(D1608,[3]Extended!$B$9:$F$101,5,FALSE),IF(BA1608="121-365 Days",VLOOKUP(D1608,[3]Extended!$B$9:$G$101,6,FALSE),VLOOKUP(D1608,[3]Extended!$B$9:$H$101,7,FALSE)))),0)</f>
        <v>0</v>
      </c>
      <c r="O1608" s="269">
        <f>IFERROR(IF(BA1608="WIP - 30 Days",VLOOKUP(D1608,[3]Extended!$B$9:$J$101,9,FALSE),IF(BA1608="31-120 Days",VLOOKUP(D1608,[3]Extended!$B$9:$K$101,10,FALSE),IF(BA1608="121-365 Days",VLOOKUP(D1608,[3]Extended!$B$9:$L$101,11,FALSE),VLOOKUP(D1608,[3]Extended!$B$9:$M$101,12,FALSE)))),0)</f>
        <v>0</v>
      </c>
      <c r="P1608" s="116" t="e">
        <f t="shared" si="126"/>
        <v>#VALUE!</v>
      </c>
      <c r="Q1608" s="110" t="e">
        <f>O1608-#REF!</f>
        <v>#REF!</v>
      </c>
      <c r="AT1608" s="88" t="str">
        <f t="shared" si="127"/>
        <v>Special Order0</v>
      </c>
      <c r="AU1608" s="89" t="str">
        <f t="shared" si="128"/>
        <v>01-1900</v>
      </c>
      <c r="BA1608" s="92" t="str">
        <f t="shared" si="129"/>
        <v/>
      </c>
    </row>
    <row r="1609" spans="2:53">
      <c r="B1609" s="60">
        <f>[2]Trucks!A1606</f>
        <v>0</v>
      </c>
      <c r="C1609" s="11">
        <f>[2]Trucks!B1606</f>
        <v>0</v>
      </c>
      <c r="D1609" s="19" t="str">
        <f>IFERROR(VLOOKUP(C1609&amp;"",'[2]Retail Price List'!$A$3:$B$103,2,FALSE),"Special Order")</f>
        <v>Special Order</v>
      </c>
      <c r="E1609" s="18">
        <f>[2]Trucks!J1606</f>
        <v>0</v>
      </c>
      <c r="F1609" s="12">
        <f>[2]Trucks!E1606</f>
        <v>0</v>
      </c>
      <c r="G1609" s="56">
        <f>[2]Trucks!K1606</f>
        <v>0</v>
      </c>
      <c r="H1609" s="46">
        <f>[2]Trucks!I1606</f>
        <v>0</v>
      </c>
      <c r="I1609" s="83" t="str">
        <f t="shared" si="125"/>
        <v/>
      </c>
      <c r="J1609" s="272" t="str">
        <f>IFERROR(VLOOKUP((D1609&amp;C1609)&amp;"",'[2]Retail Price List'!$C$4:$F$102,3,FALSE),"")</f>
        <v/>
      </c>
      <c r="K1609" s="272">
        <f>IFERROR(IF(BA1609="WIP - 30 Days",VLOOKUP(D1609,[3]Standard!$B$9:$E$101,4,FALSE),IF(BA1609="31-120 Days",VLOOKUP(D1609,[3]Standard!$B$9:$F$101,5,FALSE),IF(BA1609="121-365 Days",VLOOKUP(D1609,[3]Standard!$B$9:$G$101,6,FALSE),VLOOKUP(D1609,[3]Standard!$B$9:$H$101,7,FALSE)))),0)</f>
        <v>0</v>
      </c>
      <c r="L1609" s="272">
        <f>IFERROR(IF(BA1609="WIP - 30 Days",VLOOKUP(D1609,[3]Standard!$B$9:$J$101,9,FALSE),IF(BA1609="31-120 Days",VLOOKUP(D1609,[3]Standard!$B$9:$K$100,10,FALSE),IF(BA1609="121-365 Days",VLOOKUP(D1609,[3]Standard!$B$9:$L$101,11,FALSE),VLOOKUP(D1609,[3]Standard!$B$9:$M$101,12,FALSE)))),0)</f>
        <v>0</v>
      </c>
      <c r="M1609" s="269" t="str">
        <f>IFERROR(VLOOKUP((D1609&amp;C1609)&amp;"",'[2]Retail Price List'!$C$4:$F$102,4,FALSE),"")</f>
        <v/>
      </c>
      <c r="N1609" s="269">
        <f>IFERROR(IF(BA1609="WIP - 30 Days",VLOOKUP(D1609,[3]Extended!$B$9:$E$101,4,FALSE),IF(BA1609="31-120 Days",VLOOKUP(D1609,[3]Extended!$B$9:$F$101,5,FALSE),IF(BA1609="121-365 Days",VLOOKUP(D1609,[3]Extended!$B$9:$G$101,6,FALSE),VLOOKUP(D1609,[3]Extended!$B$9:$H$101,7,FALSE)))),0)</f>
        <v>0</v>
      </c>
      <c r="O1609" s="269">
        <f>IFERROR(IF(BA1609="WIP - 30 Days",VLOOKUP(D1609,[3]Extended!$B$9:$J$101,9,FALSE),IF(BA1609="31-120 Days",VLOOKUP(D1609,[3]Extended!$B$9:$K$101,10,FALSE),IF(BA1609="121-365 Days",VLOOKUP(D1609,[3]Extended!$B$9:$L$101,11,FALSE),VLOOKUP(D1609,[3]Extended!$B$9:$M$101,12,FALSE)))),0)</f>
        <v>0</v>
      </c>
      <c r="P1609" s="116" t="e">
        <f t="shared" si="126"/>
        <v>#VALUE!</v>
      </c>
      <c r="Q1609" s="110" t="e">
        <f>O1609-#REF!</f>
        <v>#REF!</v>
      </c>
      <c r="AT1609" s="88" t="str">
        <f t="shared" si="127"/>
        <v>Special Order0</v>
      </c>
      <c r="AU1609" s="89" t="str">
        <f t="shared" si="128"/>
        <v>01-1900</v>
      </c>
      <c r="BA1609" s="92" t="str">
        <f t="shared" si="129"/>
        <v/>
      </c>
    </row>
    <row r="1610" spans="2:53">
      <c r="B1610" s="60">
        <f>[2]Trucks!A1607</f>
        <v>0</v>
      </c>
      <c r="C1610" s="11">
        <f>[2]Trucks!B1607</f>
        <v>0</v>
      </c>
      <c r="D1610" s="19" t="str">
        <f>IFERROR(VLOOKUP(C1610&amp;"",'[2]Retail Price List'!$A$3:$B$103,2,FALSE),"Special Order")</f>
        <v>Special Order</v>
      </c>
      <c r="E1610" s="18">
        <f>[2]Trucks!J1607</f>
        <v>0</v>
      </c>
      <c r="F1610" s="12">
        <f>[2]Trucks!E1607</f>
        <v>0</v>
      </c>
      <c r="G1610" s="56">
        <f>[2]Trucks!K1607</f>
        <v>0</v>
      </c>
      <c r="H1610" s="46">
        <f>[2]Trucks!I1607</f>
        <v>0</v>
      </c>
      <c r="I1610" s="83" t="str">
        <f t="shared" si="125"/>
        <v/>
      </c>
      <c r="J1610" s="272" t="str">
        <f>IFERROR(VLOOKUP((D1610&amp;C1610)&amp;"",'[2]Retail Price List'!$C$4:$F$102,3,FALSE),"")</f>
        <v/>
      </c>
      <c r="K1610" s="272">
        <f>IFERROR(IF(BA1610="WIP - 30 Days",VLOOKUP(D1610,[3]Standard!$B$9:$E$101,4,FALSE),IF(BA1610="31-120 Days",VLOOKUP(D1610,[3]Standard!$B$9:$F$101,5,FALSE),IF(BA1610="121-365 Days",VLOOKUP(D1610,[3]Standard!$B$9:$G$101,6,FALSE),VLOOKUP(D1610,[3]Standard!$B$9:$H$101,7,FALSE)))),0)</f>
        <v>0</v>
      </c>
      <c r="L1610" s="272">
        <f>IFERROR(IF(BA1610="WIP - 30 Days",VLOOKUP(D1610,[3]Standard!$B$9:$J$101,9,FALSE),IF(BA1610="31-120 Days",VLOOKUP(D1610,[3]Standard!$B$9:$K$100,10,FALSE),IF(BA1610="121-365 Days",VLOOKUP(D1610,[3]Standard!$B$9:$L$101,11,FALSE),VLOOKUP(D1610,[3]Standard!$B$9:$M$101,12,FALSE)))),0)</f>
        <v>0</v>
      </c>
      <c r="M1610" s="269" t="str">
        <f>IFERROR(VLOOKUP((D1610&amp;C1610)&amp;"",'[2]Retail Price List'!$C$4:$F$102,4,FALSE),"")</f>
        <v/>
      </c>
      <c r="N1610" s="269">
        <f>IFERROR(IF(BA1610="WIP - 30 Days",VLOOKUP(D1610,[3]Extended!$B$9:$E$101,4,FALSE),IF(BA1610="31-120 Days",VLOOKUP(D1610,[3]Extended!$B$9:$F$101,5,FALSE),IF(BA1610="121-365 Days",VLOOKUP(D1610,[3]Extended!$B$9:$G$101,6,FALSE),VLOOKUP(D1610,[3]Extended!$B$9:$H$101,7,FALSE)))),0)</f>
        <v>0</v>
      </c>
      <c r="O1610" s="269">
        <f>IFERROR(IF(BA1610="WIP - 30 Days",VLOOKUP(D1610,[3]Extended!$B$9:$J$101,9,FALSE),IF(BA1610="31-120 Days",VLOOKUP(D1610,[3]Extended!$B$9:$K$101,10,FALSE),IF(BA1610="121-365 Days",VLOOKUP(D1610,[3]Extended!$B$9:$L$101,11,FALSE),VLOOKUP(D1610,[3]Extended!$B$9:$M$101,12,FALSE)))),0)</f>
        <v>0</v>
      </c>
      <c r="P1610" s="116" t="e">
        <f t="shared" si="126"/>
        <v>#VALUE!</v>
      </c>
      <c r="Q1610" s="110" t="e">
        <f>O1610-#REF!</f>
        <v>#REF!</v>
      </c>
      <c r="AT1610" s="88" t="str">
        <f t="shared" si="127"/>
        <v>Special Order0</v>
      </c>
      <c r="AU1610" s="89" t="str">
        <f t="shared" si="128"/>
        <v>01-1900</v>
      </c>
      <c r="BA1610" s="92" t="str">
        <f t="shared" si="129"/>
        <v/>
      </c>
    </row>
    <row r="1611" spans="2:53">
      <c r="B1611" s="60">
        <f>[2]Trucks!A1608</f>
        <v>0</v>
      </c>
      <c r="C1611" s="11">
        <f>[2]Trucks!B1608</f>
        <v>0</v>
      </c>
      <c r="D1611" s="19" t="str">
        <f>IFERROR(VLOOKUP(C1611&amp;"",'[2]Retail Price List'!$A$3:$B$103,2,FALSE),"Special Order")</f>
        <v>Special Order</v>
      </c>
      <c r="E1611" s="18">
        <f>[2]Trucks!J1608</f>
        <v>0</v>
      </c>
      <c r="F1611" s="12">
        <f>[2]Trucks!E1608</f>
        <v>0</v>
      </c>
      <c r="G1611" s="56">
        <f>[2]Trucks!K1608</f>
        <v>0</v>
      </c>
      <c r="H1611" s="46">
        <f>[2]Trucks!I1608</f>
        <v>0</v>
      </c>
      <c r="I1611" s="83" t="str">
        <f t="shared" si="125"/>
        <v/>
      </c>
      <c r="J1611" s="272" t="str">
        <f>IFERROR(VLOOKUP((D1611&amp;C1611)&amp;"",'[2]Retail Price List'!$C$4:$F$102,3,FALSE),"")</f>
        <v/>
      </c>
      <c r="K1611" s="272">
        <f>IFERROR(IF(BA1611="WIP - 30 Days",VLOOKUP(D1611,[3]Standard!$B$9:$E$101,4,FALSE),IF(BA1611="31-120 Days",VLOOKUP(D1611,[3]Standard!$B$9:$F$101,5,FALSE),IF(BA1611="121-365 Days",VLOOKUP(D1611,[3]Standard!$B$9:$G$101,6,FALSE),VLOOKUP(D1611,[3]Standard!$B$9:$H$101,7,FALSE)))),0)</f>
        <v>0</v>
      </c>
      <c r="L1611" s="272">
        <f>IFERROR(IF(BA1611="WIP - 30 Days",VLOOKUP(D1611,[3]Standard!$B$9:$J$101,9,FALSE),IF(BA1611="31-120 Days",VLOOKUP(D1611,[3]Standard!$B$9:$K$100,10,FALSE),IF(BA1611="121-365 Days",VLOOKUP(D1611,[3]Standard!$B$9:$L$101,11,FALSE),VLOOKUP(D1611,[3]Standard!$B$9:$M$101,12,FALSE)))),0)</f>
        <v>0</v>
      </c>
      <c r="M1611" s="269" t="str">
        <f>IFERROR(VLOOKUP((D1611&amp;C1611)&amp;"",'[2]Retail Price List'!$C$4:$F$102,4,FALSE),"")</f>
        <v/>
      </c>
      <c r="N1611" s="269">
        <f>IFERROR(IF(BA1611="WIP - 30 Days",VLOOKUP(D1611,[3]Extended!$B$9:$E$101,4,FALSE),IF(BA1611="31-120 Days",VLOOKUP(D1611,[3]Extended!$B$9:$F$101,5,FALSE),IF(BA1611="121-365 Days",VLOOKUP(D1611,[3]Extended!$B$9:$G$101,6,FALSE),VLOOKUP(D1611,[3]Extended!$B$9:$H$101,7,FALSE)))),0)</f>
        <v>0</v>
      </c>
      <c r="O1611" s="269">
        <f>IFERROR(IF(BA1611="WIP - 30 Days",VLOOKUP(D1611,[3]Extended!$B$9:$J$101,9,FALSE),IF(BA1611="31-120 Days",VLOOKUP(D1611,[3]Extended!$B$9:$K$101,10,FALSE),IF(BA1611="121-365 Days",VLOOKUP(D1611,[3]Extended!$B$9:$L$101,11,FALSE),VLOOKUP(D1611,[3]Extended!$B$9:$M$101,12,FALSE)))),0)</f>
        <v>0</v>
      </c>
      <c r="P1611" s="116" t="e">
        <f t="shared" si="126"/>
        <v>#VALUE!</v>
      </c>
      <c r="Q1611" s="110" t="e">
        <f>O1611-#REF!</f>
        <v>#REF!</v>
      </c>
      <c r="AT1611" s="88" t="str">
        <f t="shared" si="127"/>
        <v>Special Order0</v>
      </c>
      <c r="AU1611" s="89" t="str">
        <f t="shared" si="128"/>
        <v>01-1900</v>
      </c>
      <c r="BA1611" s="92" t="str">
        <f t="shared" si="129"/>
        <v/>
      </c>
    </row>
    <row r="1612" spans="2:53">
      <c r="B1612" s="60">
        <f>[2]Trucks!A1609</f>
        <v>0</v>
      </c>
      <c r="C1612" s="11">
        <f>[2]Trucks!B1609</f>
        <v>0</v>
      </c>
      <c r="D1612" s="19" t="str">
        <f>IFERROR(VLOOKUP(C1612&amp;"",'[2]Retail Price List'!$A$3:$B$103,2,FALSE),"Special Order")</f>
        <v>Special Order</v>
      </c>
      <c r="E1612" s="18">
        <f>[2]Trucks!J1609</f>
        <v>0</v>
      </c>
      <c r="F1612" s="12">
        <f>[2]Trucks!E1609</f>
        <v>0</v>
      </c>
      <c r="G1612" s="56">
        <f>[2]Trucks!K1609</f>
        <v>0</v>
      </c>
      <c r="H1612" s="46">
        <f>[2]Trucks!I1609</f>
        <v>0</v>
      </c>
      <c r="I1612" s="83" t="str">
        <f t="shared" si="125"/>
        <v/>
      </c>
      <c r="J1612" s="272" t="str">
        <f>IFERROR(VLOOKUP((D1612&amp;C1612)&amp;"",'[2]Retail Price List'!$C$4:$F$102,3,FALSE),"")</f>
        <v/>
      </c>
      <c r="K1612" s="272">
        <f>IFERROR(IF(BA1612="WIP - 30 Days",VLOOKUP(D1612,[3]Standard!$B$9:$E$101,4,FALSE),IF(BA1612="31-120 Days",VLOOKUP(D1612,[3]Standard!$B$9:$F$101,5,FALSE),IF(BA1612="121-365 Days",VLOOKUP(D1612,[3]Standard!$B$9:$G$101,6,FALSE),VLOOKUP(D1612,[3]Standard!$B$9:$H$101,7,FALSE)))),0)</f>
        <v>0</v>
      </c>
      <c r="L1612" s="272">
        <f>IFERROR(IF(BA1612="WIP - 30 Days",VLOOKUP(D1612,[3]Standard!$B$9:$J$101,9,FALSE),IF(BA1612="31-120 Days",VLOOKUP(D1612,[3]Standard!$B$9:$K$100,10,FALSE),IF(BA1612="121-365 Days",VLOOKUP(D1612,[3]Standard!$B$9:$L$101,11,FALSE),VLOOKUP(D1612,[3]Standard!$B$9:$M$101,12,FALSE)))),0)</f>
        <v>0</v>
      </c>
      <c r="M1612" s="269" t="str">
        <f>IFERROR(VLOOKUP((D1612&amp;C1612)&amp;"",'[2]Retail Price List'!$C$4:$F$102,4,FALSE),"")</f>
        <v/>
      </c>
      <c r="N1612" s="269">
        <f>IFERROR(IF(BA1612="WIP - 30 Days",VLOOKUP(D1612,[3]Extended!$B$9:$E$101,4,FALSE),IF(BA1612="31-120 Days",VLOOKUP(D1612,[3]Extended!$B$9:$F$101,5,FALSE),IF(BA1612="121-365 Days",VLOOKUP(D1612,[3]Extended!$B$9:$G$101,6,FALSE),VLOOKUP(D1612,[3]Extended!$B$9:$H$101,7,FALSE)))),0)</f>
        <v>0</v>
      </c>
      <c r="O1612" s="269">
        <f>IFERROR(IF(BA1612="WIP - 30 Days",VLOOKUP(D1612,[3]Extended!$B$9:$J$101,9,FALSE),IF(BA1612="31-120 Days",VLOOKUP(D1612,[3]Extended!$B$9:$K$101,10,FALSE),IF(BA1612="121-365 Days",VLOOKUP(D1612,[3]Extended!$B$9:$L$101,11,FALSE),VLOOKUP(D1612,[3]Extended!$B$9:$M$101,12,FALSE)))),0)</f>
        <v>0</v>
      </c>
      <c r="P1612" s="116" t="e">
        <f t="shared" si="126"/>
        <v>#VALUE!</v>
      </c>
      <c r="Q1612" s="110" t="e">
        <f>O1612-#REF!</f>
        <v>#REF!</v>
      </c>
      <c r="AT1612" s="88" t="str">
        <f t="shared" si="127"/>
        <v>Special Order0</v>
      </c>
      <c r="AU1612" s="89" t="str">
        <f t="shared" si="128"/>
        <v>01-1900</v>
      </c>
      <c r="BA1612" s="92" t="str">
        <f t="shared" si="129"/>
        <v/>
      </c>
    </row>
    <row r="1613" spans="2:53">
      <c r="B1613" s="60">
        <f>[2]Trucks!A1610</f>
        <v>0</v>
      </c>
      <c r="C1613" s="11">
        <f>[2]Trucks!B1610</f>
        <v>0</v>
      </c>
      <c r="D1613" s="19" t="str">
        <f>IFERROR(VLOOKUP(C1613&amp;"",'[2]Retail Price List'!$A$3:$B$103,2,FALSE),"Special Order")</f>
        <v>Special Order</v>
      </c>
      <c r="E1613" s="18">
        <f>[2]Trucks!J1610</f>
        <v>0</v>
      </c>
      <c r="F1613" s="12">
        <f>[2]Trucks!E1610</f>
        <v>0</v>
      </c>
      <c r="G1613" s="56">
        <f>[2]Trucks!K1610</f>
        <v>0</v>
      </c>
      <c r="H1613" s="46">
        <f>[2]Trucks!I1610</f>
        <v>0</v>
      </c>
      <c r="I1613" s="83" t="str">
        <f t="shared" si="125"/>
        <v/>
      </c>
      <c r="J1613" s="272" t="str">
        <f>IFERROR(VLOOKUP((D1613&amp;C1613)&amp;"",'[2]Retail Price List'!$C$4:$F$102,3,FALSE),"")</f>
        <v/>
      </c>
      <c r="K1613" s="272">
        <f>IFERROR(IF(BA1613="WIP - 30 Days",VLOOKUP(D1613,[3]Standard!$B$9:$E$101,4,FALSE),IF(BA1613="31-120 Days",VLOOKUP(D1613,[3]Standard!$B$9:$F$101,5,FALSE),IF(BA1613="121-365 Days",VLOOKUP(D1613,[3]Standard!$B$9:$G$101,6,FALSE),VLOOKUP(D1613,[3]Standard!$B$9:$H$101,7,FALSE)))),0)</f>
        <v>0</v>
      </c>
      <c r="L1613" s="272">
        <f>IFERROR(IF(BA1613="WIP - 30 Days",VLOOKUP(D1613,[3]Standard!$B$9:$J$101,9,FALSE),IF(BA1613="31-120 Days",VLOOKUP(D1613,[3]Standard!$B$9:$K$100,10,FALSE),IF(BA1613="121-365 Days",VLOOKUP(D1613,[3]Standard!$B$9:$L$101,11,FALSE),VLOOKUP(D1613,[3]Standard!$B$9:$M$101,12,FALSE)))),0)</f>
        <v>0</v>
      </c>
      <c r="M1613" s="269" t="str">
        <f>IFERROR(VLOOKUP((D1613&amp;C1613)&amp;"",'[2]Retail Price List'!$C$4:$F$102,4,FALSE),"")</f>
        <v/>
      </c>
      <c r="N1613" s="269">
        <f>IFERROR(IF(BA1613="WIP - 30 Days",VLOOKUP(D1613,[3]Extended!$B$9:$E$101,4,FALSE),IF(BA1613="31-120 Days",VLOOKUP(D1613,[3]Extended!$B$9:$F$101,5,FALSE),IF(BA1613="121-365 Days",VLOOKUP(D1613,[3]Extended!$B$9:$G$101,6,FALSE),VLOOKUP(D1613,[3]Extended!$B$9:$H$101,7,FALSE)))),0)</f>
        <v>0</v>
      </c>
      <c r="O1613" s="269">
        <f>IFERROR(IF(BA1613="WIP - 30 Days",VLOOKUP(D1613,[3]Extended!$B$9:$J$101,9,FALSE),IF(BA1613="31-120 Days",VLOOKUP(D1613,[3]Extended!$B$9:$K$101,10,FALSE),IF(BA1613="121-365 Days",VLOOKUP(D1613,[3]Extended!$B$9:$L$101,11,FALSE),VLOOKUP(D1613,[3]Extended!$B$9:$M$101,12,FALSE)))),0)</f>
        <v>0</v>
      </c>
      <c r="P1613" s="116" t="e">
        <f t="shared" si="126"/>
        <v>#VALUE!</v>
      </c>
      <c r="Q1613" s="110" t="e">
        <f>O1613-#REF!</f>
        <v>#REF!</v>
      </c>
      <c r="AT1613" s="88" t="str">
        <f t="shared" si="127"/>
        <v>Special Order0</v>
      </c>
      <c r="AU1613" s="89" t="str">
        <f t="shared" si="128"/>
        <v>01-1900</v>
      </c>
      <c r="BA1613" s="92" t="str">
        <f t="shared" si="129"/>
        <v/>
      </c>
    </row>
    <row r="1614" spans="2:53">
      <c r="B1614" s="60">
        <f>[2]Trucks!A1611</f>
        <v>0</v>
      </c>
      <c r="C1614" s="11">
        <f>[2]Trucks!B1611</f>
        <v>0</v>
      </c>
      <c r="D1614" s="19" t="str">
        <f>IFERROR(VLOOKUP(C1614&amp;"",'[2]Retail Price List'!$A$3:$B$103,2,FALSE),"Special Order")</f>
        <v>Special Order</v>
      </c>
      <c r="E1614" s="18">
        <f>[2]Trucks!J1611</f>
        <v>0</v>
      </c>
      <c r="F1614" s="12">
        <f>[2]Trucks!E1611</f>
        <v>0</v>
      </c>
      <c r="G1614" s="56">
        <f>[2]Trucks!K1611</f>
        <v>0</v>
      </c>
      <c r="H1614" s="46">
        <f>[2]Trucks!I1611</f>
        <v>0</v>
      </c>
      <c r="I1614" s="83" t="str">
        <f t="shared" si="125"/>
        <v/>
      </c>
      <c r="J1614" s="272" t="str">
        <f>IFERROR(VLOOKUP((D1614&amp;C1614)&amp;"",'[2]Retail Price List'!$C$4:$F$102,3,FALSE),"")</f>
        <v/>
      </c>
      <c r="K1614" s="272">
        <f>IFERROR(IF(BA1614="WIP - 30 Days",VLOOKUP(D1614,[3]Standard!$B$9:$E$101,4,FALSE),IF(BA1614="31-120 Days",VLOOKUP(D1614,[3]Standard!$B$9:$F$101,5,FALSE),IF(BA1614="121-365 Days",VLOOKUP(D1614,[3]Standard!$B$9:$G$101,6,FALSE),VLOOKUP(D1614,[3]Standard!$B$9:$H$101,7,FALSE)))),0)</f>
        <v>0</v>
      </c>
      <c r="L1614" s="272">
        <f>IFERROR(IF(BA1614="WIP - 30 Days",VLOOKUP(D1614,[3]Standard!$B$9:$J$101,9,FALSE),IF(BA1614="31-120 Days",VLOOKUP(D1614,[3]Standard!$B$9:$K$100,10,FALSE),IF(BA1614="121-365 Days",VLOOKUP(D1614,[3]Standard!$B$9:$L$101,11,FALSE),VLOOKUP(D1614,[3]Standard!$B$9:$M$101,12,FALSE)))),0)</f>
        <v>0</v>
      </c>
      <c r="M1614" s="269" t="str">
        <f>IFERROR(VLOOKUP((D1614&amp;C1614)&amp;"",'[2]Retail Price List'!$C$4:$F$102,4,FALSE),"")</f>
        <v/>
      </c>
      <c r="N1614" s="269">
        <f>IFERROR(IF(BA1614="WIP - 30 Days",VLOOKUP(D1614,[3]Extended!$B$9:$E$101,4,FALSE),IF(BA1614="31-120 Days",VLOOKUP(D1614,[3]Extended!$B$9:$F$101,5,FALSE),IF(BA1614="121-365 Days",VLOOKUP(D1614,[3]Extended!$B$9:$G$101,6,FALSE),VLOOKUP(D1614,[3]Extended!$B$9:$H$101,7,FALSE)))),0)</f>
        <v>0</v>
      </c>
      <c r="O1614" s="269">
        <f>IFERROR(IF(BA1614="WIP - 30 Days",VLOOKUP(D1614,[3]Extended!$B$9:$J$101,9,FALSE),IF(BA1614="31-120 Days",VLOOKUP(D1614,[3]Extended!$B$9:$K$101,10,FALSE),IF(BA1614="121-365 Days",VLOOKUP(D1614,[3]Extended!$B$9:$L$101,11,FALSE),VLOOKUP(D1614,[3]Extended!$B$9:$M$101,12,FALSE)))),0)</f>
        <v>0</v>
      </c>
      <c r="P1614" s="116" t="e">
        <f t="shared" si="126"/>
        <v>#VALUE!</v>
      </c>
      <c r="Q1614" s="110" t="e">
        <f>O1614-#REF!</f>
        <v>#REF!</v>
      </c>
      <c r="AT1614" s="88" t="str">
        <f t="shared" si="127"/>
        <v>Special Order0</v>
      </c>
      <c r="AU1614" s="89" t="str">
        <f t="shared" si="128"/>
        <v>01-1900</v>
      </c>
      <c r="BA1614" s="92" t="str">
        <f t="shared" si="129"/>
        <v/>
      </c>
    </row>
    <row r="1615" spans="2:53">
      <c r="B1615" s="60">
        <f>[2]Trucks!A1612</f>
        <v>0</v>
      </c>
      <c r="C1615" s="11">
        <f>[2]Trucks!B1612</f>
        <v>0</v>
      </c>
      <c r="D1615" s="19" t="str">
        <f>IFERROR(VLOOKUP(C1615&amp;"",'[2]Retail Price List'!$A$3:$B$103,2,FALSE),"Special Order")</f>
        <v>Special Order</v>
      </c>
      <c r="E1615" s="18">
        <f>[2]Trucks!J1612</f>
        <v>0</v>
      </c>
      <c r="F1615" s="12">
        <f>[2]Trucks!E1612</f>
        <v>0</v>
      </c>
      <c r="G1615" s="56">
        <f>[2]Trucks!K1612</f>
        <v>0</v>
      </c>
      <c r="H1615" s="46">
        <f>[2]Trucks!I1612</f>
        <v>0</v>
      </c>
      <c r="I1615" s="83" t="str">
        <f t="shared" si="125"/>
        <v/>
      </c>
      <c r="J1615" s="272" t="str">
        <f>IFERROR(VLOOKUP((D1615&amp;C1615)&amp;"",'[2]Retail Price List'!$C$4:$F$102,3,FALSE),"")</f>
        <v/>
      </c>
      <c r="K1615" s="272">
        <f>IFERROR(IF(BA1615="WIP - 30 Days",VLOOKUP(D1615,[3]Standard!$B$9:$E$101,4,FALSE),IF(BA1615="31-120 Days",VLOOKUP(D1615,[3]Standard!$B$9:$F$101,5,FALSE),IF(BA1615="121-365 Days",VLOOKUP(D1615,[3]Standard!$B$9:$G$101,6,FALSE),VLOOKUP(D1615,[3]Standard!$B$9:$H$101,7,FALSE)))),0)</f>
        <v>0</v>
      </c>
      <c r="L1615" s="272">
        <f>IFERROR(IF(BA1615="WIP - 30 Days",VLOOKUP(D1615,[3]Standard!$B$9:$J$101,9,FALSE),IF(BA1615="31-120 Days",VLOOKUP(D1615,[3]Standard!$B$9:$K$100,10,FALSE),IF(BA1615="121-365 Days",VLOOKUP(D1615,[3]Standard!$B$9:$L$101,11,FALSE),VLOOKUP(D1615,[3]Standard!$B$9:$M$101,12,FALSE)))),0)</f>
        <v>0</v>
      </c>
      <c r="M1615" s="269" t="str">
        <f>IFERROR(VLOOKUP((D1615&amp;C1615)&amp;"",'[2]Retail Price List'!$C$4:$F$102,4,FALSE),"")</f>
        <v/>
      </c>
      <c r="N1615" s="269">
        <f>IFERROR(IF(BA1615="WIP - 30 Days",VLOOKUP(D1615,[3]Extended!$B$9:$E$101,4,FALSE),IF(BA1615="31-120 Days",VLOOKUP(D1615,[3]Extended!$B$9:$F$101,5,FALSE),IF(BA1615="121-365 Days",VLOOKUP(D1615,[3]Extended!$B$9:$G$101,6,FALSE),VLOOKUP(D1615,[3]Extended!$B$9:$H$101,7,FALSE)))),0)</f>
        <v>0</v>
      </c>
      <c r="O1615" s="269">
        <f>IFERROR(IF(BA1615="WIP - 30 Days",VLOOKUP(D1615,[3]Extended!$B$9:$J$101,9,FALSE),IF(BA1615="31-120 Days",VLOOKUP(D1615,[3]Extended!$B$9:$K$101,10,FALSE),IF(BA1615="121-365 Days",VLOOKUP(D1615,[3]Extended!$B$9:$L$101,11,FALSE),VLOOKUP(D1615,[3]Extended!$B$9:$M$101,12,FALSE)))),0)</f>
        <v>0</v>
      </c>
      <c r="P1615" s="116" t="e">
        <f t="shared" si="126"/>
        <v>#VALUE!</v>
      </c>
      <c r="Q1615" s="110" t="e">
        <f>O1615-#REF!</f>
        <v>#REF!</v>
      </c>
      <c r="AT1615" s="88" t="str">
        <f t="shared" si="127"/>
        <v>Special Order0</v>
      </c>
      <c r="AU1615" s="89" t="str">
        <f t="shared" si="128"/>
        <v>01-1900</v>
      </c>
      <c r="BA1615" s="92" t="str">
        <f t="shared" si="129"/>
        <v/>
      </c>
    </row>
    <row r="1616" spans="2:53">
      <c r="B1616" s="60">
        <f>[2]Trucks!A1613</f>
        <v>0</v>
      </c>
      <c r="C1616" s="11">
        <f>[2]Trucks!B1613</f>
        <v>0</v>
      </c>
      <c r="D1616" s="19" t="str">
        <f>IFERROR(VLOOKUP(C1616&amp;"",'[2]Retail Price List'!$A$3:$B$103,2,FALSE),"Special Order")</f>
        <v>Special Order</v>
      </c>
      <c r="E1616" s="18">
        <f>[2]Trucks!J1613</f>
        <v>0</v>
      </c>
      <c r="F1616" s="12">
        <f>[2]Trucks!E1613</f>
        <v>0</v>
      </c>
      <c r="G1616" s="56">
        <f>[2]Trucks!K1613</f>
        <v>0</v>
      </c>
      <c r="H1616" s="46">
        <f>[2]Trucks!I1613</f>
        <v>0</v>
      </c>
      <c r="I1616" s="83" t="str">
        <f t="shared" si="125"/>
        <v/>
      </c>
      <c r="J1616" s="272" t="str">
        <f>IFERROR(VLOOKUP((D1616&amp;C1616)&amp;"",'[2]Retail Price List'!$C$4:$F$102,3,FALSE),"")</f>
        <v/>
      </c>
      <c r="K1616" s="272">
        <f>IFERROR(IF(BA1616="WIP - 30 Days",VLOOKUP(D1616,[3]Standard!$B$9:$E$101,4,FALSE),IF(BA1616="31-120 Days",VLOOKUP(D1616,[3]Standard!$B$9:$F$101,5,FALSE),IF(BA1616="121-365 Days",VLOOKUP(D1616,[3]Standard!$B$9:$G$101,6,FALSE),VLOOKUP(D1616,[3]Standard!$B$9:$H$101,7,FALSE)))),0)</f>
        <v>0</v>
      </c>
      <c r="L1616" s="272">
        <f>IFERROR(IF(BA1616="WIP - 30 Days",VLOOKUP(D1616,[3]Standard!$B$9:$J$101,9,FALSE),IF(BA1616="31-120 Days",VLOOKUP(D1616,[3]Standard!$B$9:$K$100,10,FALSE),IF(BA1616="121-365 Days",VLOOKUP(D1616,[3]Standard!$B$9:$L$101,11,FALSE),VLOOKUP(D1616,[3]Standard!$B$9:$M$101,12,FALSE)))),0)</f>
        <v>0</v>
      </c>
      <c r="M1616" s="269" t="str">
        <f>IFERROR(VLOOKUP((D1616&amp;C1616)&amp;"",'[2]Retail Price List'!$C$4:$F$102,4,FALSE),"")</f>
        <v/>
      </c>
      <c r="N1616" s="269">
        <f>IFERROR(IF(BA1616="WIP - 30 Days",VLOOKUP(D1616,[3]Extended!$B$9:$E$101,4,FALSE),IF(BA1616="31-120 Days",VLOOKUP(D1616,[3]Extended!$B$9:$F$101,5,FALSE),IF(BA1616="121-365 Days",VLOOKUP(D1616,[3]Extended!$B$9:$G$101,6,FALSE),VLOOKUP(D1616,[3]Extended!$B$9:$H$101,7,FALSE)))),0)</f>
        <v>0</v>
      </c>
      <c r="O1616" s="269">
        <f>IFERROR(IF(BA1616="WIP - 30 Days",VLOOKUP(D1616,[3]Extended!$B$9:$J$101,9,FALSE),IF(BA1616="31-120 Days",VLOOKUP(D1616,[3]Extended!$B$9:$K$101,10,FALSE),IF(BA1616="121-365 Days",VLOOKUP(D1616,[3]Extended!$B$9:$L$101,11,FALSE),VLOOKUP(D1616,[3]Extended!$B$9:$M$101,12,FALSE)))),0)</f>
        <v>0</v>
      </c>
      <c r="P1616" s="116" t="e">
        <f t="shared" si="126"/>
        <v>#VALUE!</v>
      </c>
      <c r="Q1616" s="110" t="e">
        <f>O1616-#REF!</f>
        <v>#REF!</v>
      </c>
      <c r="AT1616" s="88" t="str">
        <f t="shared" si="127"/>
        <v>Special Order0</v>
      </c>
      <c r="AU1616" s="89" t="str">
        <f t="shared" si="128"/>
        <v>01-1900</v>
      </c>
      <c r="BA1616" s="92" t="str">
        <f t="shared" si="129"/>
        <v/>
      </c>
    </row>
    <row r="1617" spans="2:53">
      <c r="B1617" s="60">
        <f>[2]Trucks!A1614</f>
        <v>0</v>
      </c>
      <c r="C1617" s="11">
        <f>[2]Trucks!B1614</f>
        <v>0</v>
      </c>
      <c r="D1617" s="19" t="str">
        <f>IFERROR(VLOOKUP(C1617&amp;"",'[2]Retail Price List'!$A$3:$B$103,2,FALSE),"Special Order")</f>
        <v>Special Order</v>
      </c>
      <c r="E1617" s="18">
        <f>[2]Trucks!J1614</f>
        <v>0</v>
      </c>
      <c r="F1617" s="12">
        <f>[2]Trucks!E1614</f>
        <v>0</v>
      </c>
      <c r="G1617" s="56">
        <f>[2]Trucks!K1614</f>
        <v>0</v>
      </c>
      <c r="H1617" s="46">
        <f>[2]Trucks!I1614</f>
        <v>0</v>
      </c>
      <c r="I1617" s="83" t="str">
        <f t="shared" si="125"/>
        <v/>
      </c>
      <c r="J1617" s="272" t="str">
        <f>IFERROR(VLOOKUP((D1617&amp;C1617)&amp;"",'[2]Retail Price List'!$C$4:$F$102,3,FALSE),"")</f>
        <v/>
      </c>
      <c r="K1617" s="272">
        <f>IFERROR(IF(BA1617="WIP - 30 Days",VLOOKUP(D1617,[3]Standard!$B$9:$E$101,4,FALSE),IF(BA1617="31-120 Days",VLOOKUP(D1617,[3]Standard!$B$9:$F$101,5,FALSE),IF(BA1617="121-365 Days",VLOOKUP(D1617,[3]Standard!$B$9:$G$101,6,FALSE),VLOOKUP(D1617,[3]Standard!$B$9:$H$101,7,FALSE)))),0)</f>
        <v>0</v>
      </c>
      <c r="L1617" s="272">
        <f>IFERROR(IF(BA1617="WIP - 30 Days",VLOOKUP(D1617,[3]Standard!$B$9:$J$101,9,FALSE),IF(BA1617="31-120 Days",VLOOKUP(D1617,[3]Standard!$B$9:$K$100,10,FALSE),IF(BA1617="121-365 Days",VLOOKUP(D1617,[3]Standard!$B$9:$L$101,11,FALSE),VLOOKUP(D1617,[3]Standard!$B$9:$M$101,12,FALSE)))),0)</f>
        <v>0</v>
      </c>
      <c r="M1617" s="269" t="str">
        <f>IFERROR(VLOOKUP((D1617&amp;C1617)&amp;"",'[2]Retail Price List'!$C$4:$F$102,4,FALSE),"")</f>
        <v/>
      </c>
      <c r="N1617" s="269">
        <f>IFERROR(IF(BA1617="WIP - 30 Days",VLOOKUP(D1617,[3]Extended!$B$9:$E$101,4,FALSE),IF(BA1617="31-120 Days",VLOOKUP(D1617,[3]Extended!$B$9:$F$101,5,FALSE),IF(BA1617="121-365 Days",VLOOKUP(D1617,[3]Extended!$B$9:$G$101,6,FALSE),VLOOKUP(D1617,[3]Extended!$B$9:$H$101,7,FALSE)))),0)</f>
        <v>0</v>
      </c>
      <c r="O1617" s="269">
        <f>IFERROR(IF(BA1617="WIP - 30 Days",VLOOKUP(D1617,[3]Extended!$B$9:$J$101,9,FALSE),IF(BA1617="31-120 Days",VLOOKUP(D1617,[3]Extended!$B$9:$K$101,10,FALSE),IF(BA1617="121-365 Days",VLOOKUP(D1617,[3]Extended!$B$9:$L$101,11,FALSE),VLOOKUP(D1617,[3]Extended!$B$9:$M$101,12,FALSE)))),0)</f>
        <v>0</v>
      </c>
      <c r="P1617" s="116" t="e">
        <f t="shared" si="126"/>
        <v>#VALUE!</v>
      </c>
      <c r="Q1617" s="110" t="e">
        <f>O1617-#REF!</f>
        <v>#REF!</v>
      </c>
      <c r="AT1617" s="88" t="str">
        <f t="shared" si="127"/>
        <v>Special Order0</v>
      </c>
      <c r="AU1617" s="89" t="str">
        <f t="shared" si="128"/>
        <v>01-1900</v>
      </c>
      <c r="BA1617" s="92" t="str">
        <f t="shared" si="129"/>
        <v/>
      </c>
    </row>
    <row r="1618" spans="2:53">
      <c r="B1618" s="60">
        <f>[2]Trucks!A1615</f>
        <v>0</v>
      </c>
      <c r="C1618" s="11">
        <f>[2]Trucks!B1615</f>
        <v>0</v>
      </c>
      <c r="D1618" s="19" t="str">
        <f>IFERROR(VLOOKUP(C1618&amp;"",'[2]Retail Price List'!$A$3:$B$103,2,FALSE),"Special Order")</f>
        <v>Special Order</v>
      </c>
      <c r="E1618" s="18">
        <f>[2]Trucks!J1615</f>
        <v>0</v>
      </c>
      <c r="F1618" s="12">
        <f>[2]Trucks!E1615</f>
        <v>0</v>
      </c>
      <c r="G1618" s="56">
        <f>[2]Trucks!K1615</f>
        <v>0</v>
      </c>
      <c r="H1618" s="46">
        <f>[2]Trucks!I1615</f>
        <v>0</v>
      </c>
      <c r="I1618" s="83" t="str">
        <f t="shared" si="125"/>
        <v/>
      </c>
      <c r="J1618" s="272" t="str">
        <f>IFERROR(VLOOKUP((D1618&amp;C1618)&amp;"",'[2]Retail Price List'!$C$4:$F$102,3,FALSE),"")</f>
        <v/>
      </c>
      <c r="K1618" s="272">
        <f>IFERROR(IF(BA1618="WIP - 30 Days",VLOOKUP(D1618,[3]Standard!$B$9:$E$101,4,FALSE),IF(BA1618="31-120 Days",VLOOKUP(D1618,[3]Standard!$B$9:$F$101,5,FALSE),IF(BA1618="121-365 Days",VLOOKUP(D1618,[3]Standard!$B$9:$G$101,6,FALSE),VLOOKUP(D1618,[3]Standard!$B$9:$H$101,7,FALSE)))),0)</f>
        <v>0</v>
      </c>
      <c r="L1618" s="272">
        <f>IFERROR(IF(BA1618="WIP - 30 Days",VLOOKUP(D1618,[3]Standard!$B$9:$J$101,9,FALSE),IF(BA1618="31-120 Days",VLOOKUP(D1618,[3]Standard!$B$9:$K$100,10,FALSE),IF(BA1618="121-365 Days",VLOOKUP(D1618,[3]Standard!$B$9:$L$101,11,FALSE),VLOOKUP(D1618,[3]Standard!$B$9:$M$101,12,FALSE)))),0)</f>
        <v>0</v>
      </c>
      <c r="M1618" s="269" t="str">
        <f>IFERROR(VLOOKUP((D1618&amp;C1618)&amp;"",'[2]Retail Price List'!$C$4:$F$102,4,FALSE),"")</f>
        <v/>
      </c>
      <c r="N1618" s="269">
        <f>IFERROR(IF(BA1618="WIP - 30 Days",VLOOKUP(D1618,[3]Extended!$B$9:$E$101,4,FALSE),IF(BA1618="31-120 Days",VLOOKUP(D1618,[3]Extended!$B$9:$F$101,5,FALSE),IF(BA1618="121-365 Days",VLOOKUP(D1618,[3]Extended!$B$9:$G$101,6,FALSE),VLOOKUP(D1618,[3]Extended!$B$9:$H$101,7,FALSE)))),0)</f>
        <v>0</v>
      </c>
      <c r="O1618" s="269">
        <f>IFERROR(IF(BA1618="WIP - 30 Days",VLOOKUP(D1618,[3]Extended!$B$9:$J$101,9,FALSE),IF(BA1618="31-120 Days",VLOOKUP(D1618,[3]Extended!$B$9:$K$101,10,FALSE),IF(BA1618="121-365 Days",VLOOKUP(D1618,[3]Extended!$B$9:$L$101,11,FALSE),VLOOKUP(D1618,[3]Extended!$B$9:$M$101,12,FALSE)))),0)</f>
        <v>0</v>
      </c>
      <c r="P1618" s="116" t="e">
        <f t="shared" si="126"/>
        <v>#VALUE!</v>
      </c>
      <c r="Q1618" s="110" t="e">
        <f>O1618-#REF!</f>
        <v>#REF!</v>
      </c>
      <c r="AT1618" s="88" t="str">
        <f t="shared" si="127"/>
        <v>Special Order0</v>
      </c>
      <c r="AU1618" s="89" t="str">
        <f t="shared" si="128"/>
        <v>01-1900</v>
      </c>
      <c r="BA1618" s="92" t="str">
        <f t="shared" si="129"/>
        <v/>
      </c>
    </row>
    <row r="1619" spans="2:53">
      <c r="B1619" s="60">
        <f>[2]Trucks!A1616</f>
        <v>0</v>
      </c>
      <c r="C1619" s="11">
        <f>[2]Trucks!B1616</f>
        <v>0</v>
      </c>
      <c r="D1619" s="19" t="str">
        <f>IFERROR(VLOOKUP(C1619&amp;"",'[2]Retail Price List'!$A$3:$B$103,2,FALSE),"Special Order")</f>
        <v>Special Order</v>
      </c>
      <c r="E1619" s="18">
        <f>[2]Trucks!J1616</f>
        <v>0</v>
      </c>
      <c r="F1619" s="12">
        <f>[2]Trucks!E1616</f>
        <v>0</v>
      </c>
      <c r="G1619" s="56">
        <f>[2]Trucks!K1616</f>
        <v>0</v>
      </c>
      <c r="H1619" s="46">
        <f>[2]Trucks!I1616</f>
        <v>0</v>
      </c>
      <c r="I1619" s="83" t="str">
        <f t="shared" si="125"/>
        <v/>
      </c>
      <c r="J1619" s="272" t="str">
        <f>IFERROR(VLOOKUP((D1619&amp;C1619)&amp;"",'[2]Retail Price List'!$C$4:$F$102,3,FALSE),"")</f>
        <v/>
      </c>
      <c r="K1619" s="272">
        <f>IFERROR(IF(BA1619="WIP - 30 Days",VLOOKUP(D1619,[3]Standard!$B$9:$E$101,4,FALSE),IF(BA1619="31-120 Days",VLOOKUP(D1619,[3]Standard!$B$9:$F$101,5,FALSE),IF(BA1619="121-365 Days",VLOOKUP(D1619,[3]Standard!$B$9:$G$101,6,FALSE),VLOOKUP(D1619,[3]Standard!$B$9:$H$101,7,FALSE)))),0)</f>
        <v>0</v>
      </c>
      <c r="L1619" s="272">
        <f>IFERROR(IF(BA1619="WIP - 30 Days",VLOOKUP(D1619,[3]Standard!$B$9:$J$101,9,FALSE),IF(BA1619="31-120 Days",VLOOKUP(D1619,[3]Standard!$B$9:$K$100,10,FALSE),IF(BA1619="121-365 Days",VLOOKUP(D1619,[3]Standard!$B$9:$L$101,11,FALSE),VLOOKUP(D1619,[3]Standard!$B$9:$M$101,12,FALSE)))),0)</f>
        <v>0</v>
      </c>
      <c r="M1619" s="269" t="str">
        <f>IFERROR(VLOOKUP((D1619&amp;C1619)&amp;"",'[2]Retail Price List'!$C$4:$F$102,4,FALSE),"")</f>
        <v/>
      </c>
      <c r="N1619" s="269">
        <f>IFERROR(IF(BA1619="WIP - 30 Days",VLOOKUP(D1619,[3]Extended!$B$9:$E$101,4,FALSE),IF(BA1619="31-120 Days",VLOOKUP(D1619,[3]Extended!$B$9:$F$101,5,FALSE),IF(BA1619="121-365 Days",VLOOKUP(D1619,[3]Extended!$B$9:$G$101,6,FALSE),VLOOKUP(D1619,[3]Extended!$B$9:$H$101,7,FALSE)))),0)</f>
        <v>0</v>
      </c>
      <c r="O1619" s="269">
        <f>IFERROR(IF(BA1619="WIP - 30 Days",VLOOKUP(D1619,[3]Extended!$B$9:$J$101,9,FALSE),IF(BA1619="31-120 Days",VLOOKUP(D1619,[3]Extended!$B$9:$K$101,10,FALSE),IF(BA1619="121-365 Days",VLOOKUP(D1619,[3]Extended!$B$9:$L$101,11,FALSE),VLOOKUP(D1619,[3]Extended!$B$9:$M$101,12,FALSE)))),0)</f>
        <v>0</v>
      </c>
      <c r="P1619" s="116" t="e">
        <f t="shared" si="126"/>
        <v>#VALUE!</v>
      </c>
      <c r="Q1619" s="110" t="e">
        <f>O1619-#REF!</f>
        <v>#REF!</v>
      </c>
      <c r="AT1619" s="88" t="str">
        <f t="shared" si="127"/>
        <v>Special Order0</v>
      </c>
      <c r="AU1619" s="89" t="str">
        <f t="shared" si="128"/>
        <v>01-1900</v>
      </c>
      <c r="BA1619" s="92" t="str">
        <f t="shared" si="129"/>
        <v/>
      </c>
    </row>
    <row r="1620" spans="2:53">
      <c r="B1620" s="60">
        <f>[2]Trucks!A1617</f>
        <v>0</v>
      </c>
      <c r="C1620" s="11">
        <f>[2]Trucks!B1617</f>
        <v>0</v>
      </c>
      <c r="D1620" s="19" t="str">
        <f>IFERROR(VLOOKUP(C1620&amp;"",'[2]Retail Price List'!$A$3:$B$103,2,FALSE),"Special Order")</f>
        <v>Special Order</v>
      </c>
      <c r="E1620" s="18">
        <f>[2]Trucks!J1617</f>
        <v>0</v>
      </c>
      <c r="F1620" s="12">
        <f>[2]Trucks!E1617</f>
        <v>0</v>
      </c>
      <c r="G1620" s="56">
        <f>[2]Trucks!K1617</f>
        <v>0</v>
      </c>
      <c r="H1620" s="46">
        <f>[2]Trucks!I1617</f>
        <v>0</v>
      </c>
      <c r="I1620" s="83" t="str">
        <f t="shared" si="125"/>
        <v/>
      </c>
      <c r="J1620" s="272" t="str">
        <f>IFERROR(VLOOKUP((D1620&amp;C1620)&amp;"",'[2]Retail Price List'!$C$4:$F$102,3,FALSE),"")</f>
        <v/>
      </c>
      <c r="K1620" s="272">
        <f>IFERROR(IF(BA1620="WIP - 30 Days",VLOOKUP(D1620,[3]Standard!$B$9:$E$101,4,FALSE),IF(BA1620="31-120 Days",VLOOKUP(D1620,[3]Standard!$B$9:$F$101,5,FALSE),IF(BA1620="121-365 Days",VLOOKUP(D1620,[3]Standard!$B$9:$G$101,6,FALSE),VLOOKUP(D1620,[3]Standard!$B$9:$H$101,7,FALSE)))),0)</f>
        <v>0</v>
      </c>
      <c r="L1620" s="272">
        <f>IFERROR(IF(BA1620="WIP - 30 Days",VLOOKUP(D1620,[3]Standard!$B$9:$J$101,9,FALSE),IF(BA1620="31-120 Days",VLOOKUP(D1620,[3]Standard!$B$9:$K$100,10,FALSE),IF(BA1620="121-365 Days",VLOOKUP(D1620,[3]Standard!$B$9:$L$101,11,FALSE),VLOOKUP(D1620,[3]Standard!$B$9:$M$101,12,FALSE)))),0)</f>
        <v>0</v>
      </c>
      <c r="M1620" s="269" t="str">
        <f>IFERROR(VLOOKUP((D1620&amp;C1620)&amp;"",'[2]Retail Price List'!$C$4:$F$102,4,FALSE),"")</f>
        <v/>
      </c>
      <c r="N1620" s="269">
        <f>IFERROR(IF(BA1620="WIP - 30 Days",VLOOKUP(D1620,[3]Extended!$B$9:$E$101,4,FALSE),IF(BA1620="31-120 Days",VLOOKUP(D1620,[3]Extended!$B$9:$F$101,5,FALSE),IF(BA1620="121-365 Days",VLOOKUP(D1620,[3]Extended!$B$9:$G$101,6,FALSE),VLOOKUP(D1620,[3]Extended!$B$9:$H$101,7,FALSE)))),0)</f>
        <v>0</v>
      </c>
      <c r="O1620" s="269">
        <f>IFERROR(IF(BA1620="WIP - 30 Days",VLOOKUP(D1620,[3]Extended!$B$9:$J$101,9,FALSE),IF(BA1620="31-120 Days",VLOOKUP(D1620,[3]Extended!$B$9:$K$101,10,FALSE),IF(BA1620="121-365 Days",VLOOKUP(D1620,[3]Extended!$B$9:$L$101,11,FALSE),VLOOKUP(D1620,[3]Extended!$B$9:$M$101,12,FALSE)))),0)</f>
        <v>0</v>
      </c>
      <c r="P1620" s="116" t="e">
        <f t="shared" si="126"/>
        <v>#VALUE!</v>
      </c>
      <c r="Q1620" s="110" t="e">
        <f>O1620-#REF!</f>
        <v>#REF!</v>
      </c>
      <c r="AT1620" s="88" t="str">
        <f t="shared" si="127"/>
        <v>Special Order0</v>
      </c>
      <c r="AU1620" s="89" t="str">
        <f t="shared" si="128"/>
        <v>01-1900</v>
      </c>
      <c r="BA1620" s="92" t="str">
        <f t="shared" si="129"/>
        <v/>
      </c>
    </row>
    <row r="1621" spans="2:53">
      <c r="B1621" s="60">
        <f>[2]Trucks!A1618</f>
        <v>0</v>
      </c>
      <c r="C1621" s="11">
        <f>[2]Trucks!B1618</f>
        <v>0</v>
      </c>
      <c r="D1621" s="19" t="str">
        <f>IFERROR(VLOOKUP(C1621&amp;"",'[2]Retail Price List'!$A$3:$B$103,2,FALSE),"Special Order")</f>
        <v>Special Order</v>
      </c>
      <c r="E1621" s="18">
        <f>[2]Trucks!J1618</f>
        <v>0</v>
      </c>
      <c r="F1621" s="12">
        <f>[2]Trucks!E1618</f>
        <v>0</v>
      </c>
      <c r="G1621" s="56">
        <f>[2]Trucks!K1618</f>
        <v>0</v>
      </c>
      <c r="H1621" s="46">
        <f>[2]Trucks!I1618</f>
        <v>0</v>
      </c>
      <c r="I1621" s="83" t="str">
        <f t="shared" si="125"/>
        <v/>
      </c>
      <c r="J1621" s="272" t="str">
        <f>IFERROR(VLOOKUP((D1621&amp;C1621)&amp;"",'[2]Retail Price List'!$C$4:$F$102,3,FALSE),"")</f>
        <v/>
      </c>
      <c r="K1621" s="272">
        <f>IFERROR(IF(BA1621="WIP - 30 Days",VLOOKUP(D1621,[3]Standard!$B$9:$E$101,4,FALSE),IF(BA1621="31-120 Days",VLOOKUP(D1621,[3]Standard!$B$9:$F$101,5,FALSE),IF(BA1621="121-365 Days",VLOOKUP(D1621,[3]Standard!$B$9:$G$101,6,FALSE),VLOOKUP(D1621,[3]Standard!$B$9:$H$101,7,FALSE)))),0)</f>
        <v>0</v>
      </c>
      <c r="L1621" s="272">
        <f>IFERROR(IF(BA1621="WIP - 30 Days",VLOOKUP(D1621,[3]Standard!$B$9:$J$101,9,FALSE),IF(BA1621="31-120 Days",VLOOKUP(D1621,[3]Standard!$B$9:$K$100,10,FALSE),IF(BA1621="121-365 Days",VLOOKUP(D1621,[3]Standard!$B$9:$L$101,11,FALSE),VLOOKUP(D1621,[3]Standard!$B$9:$M$101,12,FALSE)))),0)</f>
        <v>0</v>
      </c>
      <c r="M1621" s="269" t="str">
        <f>IFERROR(VLOOKUP((D1621&amp;C1621)&amp;"",'[2]Retail Price List'!$C$4:$F$102,4,FALSE),"")</f>
        <v/>
      </c>
      <c r="N1621" s="269">
        <f>IFERROR(IF(BA1621="WIP - 30 Days",VLOOKUP(D1621,[3]Extended!$B$9:$E$101,4,FALSE),IF(BA1621="31-120 Days",VLOOKUP(D1621,[3]Extended!$B$9:$F$101,5,FALSE),IF(BA1621="121-365 Days",VLOOKUP(D1621,[3]Extended!$B$9:$G$101,6,FALSE),VLOOKUP(D1621,[3]Extended!$B$9:$H$101,7,FALSE)))),0)</f>
        <v>0</v>
      </c>
      <c r="O1621" s="269">
        <f>IFERROR(IF(BA1621="WIP - 30 Days",VLOOKUP(D1621,[3]Extended!$B$9:$J$101,9,FALSE),IF(BA1621="31-120 Days",VLOOKUP(D1621,[3]Extended!$B$9:$K$101,10,FALSE),IF(BA1621="121-365 Days",VLOOKUP(D1621,[3]Extended!$B$9:$L$101,11,FALSE),VLOOKUP(D1621,[3]Extended!$B$9:$M$101,12,FALSE)))),0)</f>
        <v>0</v>
      </c>
      <c r="P1621" s="116" t="e">
        <f t="shared" si="126"/>
        <v>#VALUE!</v>
      </c>
      <c r="Q1621" s="110" t="e">
        <f>O1621-#REF!</f>
        <v>#REF!</v>
      </c>
      <c r="AT1621" s="88" t="str">
        <f t="shared" si="127"/>
        <v>Special Order0</v>
      </c>
      <c r="AU1621" s="89" t="str">
        <f t="shared" si="128"/>
        <v>01-1900</v>
      </c>
      <c r="BA1621" s="92" t="str">
        <f t="shared" si="129"/>
        <v/>
      </c>
    </row>
    <row r="1622" spans="2:53">
      <c r="B1622" s="60">
        <f>[2]Trucks!A1619</f>
        <v>0</v>
      </c>
      <c r="C1622" s="11">
        <f>[2]Trucks!B1619</f>
        <v>0</v>
      </c>
      <c r="D1622" s="19" t="str">
        <f>IFERROR(VLOOKUP(C1622&amp;"",'[2]Retail Price List'!$A$3:$B$103,2,FALSE),"Special Order")</f>
        <v>Special Order</v>
      </c>
      <c r="E1622" s="18">
        <f>[2]Trucks!J1619</f>
        <v>0</v>
      </c>
      <c r="F1622" s="12">
        <f>[2]Trucks!E1619</f>
        <v>0</v>
      </c>
      <c r="G1622" s="56">
        <f>[2]Trucks!K1619</f>
        <v>0</v>
      </c>
      <c r="H1622" s="46">
        <f>[2]Trucks!I1619</f>
        <v>0</v>
      </c>
      <c r="I1622" s="83" t="str">
        <f t="shared" si="125"/>
        <v/>
      </c>
      <c r="J1622" s="272" t="str">
        <f>IFERROR(VLOOKUP((D1622&amp;C1622)&amp;"",'[2]Retail Price List'!$C$4:$F$102,3,FALSE),"")</f>
        <v/>
      </c>
      <c r="K1622" s="272">
        <f>IFERROR(IF(BA1622="WIP - 30 Days",VLOOKUP(D1622,[3]Standard!$B$9:$E$101,4,FALSE),IF(BA1622="31-120 Days",VLOOKUP(D1622,[3]Standard!$B$9:$F$101,5,FALSE),IF(BA1622="121-365 Days",VLOOKUP(D1622,[3]Standard!$B$9:$G$101,6,FALSE),VLOOKUP(D1622,[3]Standard!$B$9:$H$101,7,FALSE)))),0)</f>
        <v>0</v>
      </c>
      <c r="L1622" s="272">
        <f>IFERROR(IF(BA1622="WIP - 30 Days",VLOOKUP(D1622,[3]Standard!$B$9:$J$101,9,FALSE),IF(BA1622="31-120 Days",VLOOKUP(D1622,[3]Standard!$B$9:$K$100,10,FALSE),IF(BA1622="121-365 Days",VLOOKUP(D1622,[3]Standard!$B$9:$L$101,11,FALSE),VLOOKUP(D1622,[3]Standard!$B$9:$M$101,12,FALSE)))),0)</f>
        <v>0</v>
      </c>
      <c r="M1622" s="269" t="str">
        <f>IFERROR(VLOOKUP((D1622&amp;C1622)&amp;"",'[2]Retail Price List'!$C$4:$F$102,4,FALSE),"")</f>
        <v/>
      </c>
      <c r="N1622" s="269">
        <f>IFERROR(IF(BA1622="WIP - 30 Days",VLOOKUP(D1622,[3]Extended!$B$9:$E$101,4,FALSE),IF(BA1622="31-120 Days",VLOOKUP(D1622,[3]Extended!$B$9:$F$101,5,FALSE),IF(BA1622="121-365 Days",VLOOKUP(D1622,[3]Extended!$B$9:$G$101,6,FALSE),VLOOKUP(D1622,[3]Extended!$B$9:$H$101,7,FALSE)))),0)</f>
        <v>0</v>
      </c>
      <c r="O1622" s="269">
        <f>IFERROR(IF(BA1622="WIP - 30 Days",VLOOKUP(D1622,[3]Extended!$B$9:$J$101,9,FALSE),IF(BA1622="31-120 Days",VLOOKUP(D1622,[3]Extended!$B$9:$K$101,10,FALSE),IF(BA1622="121-365 Days",VLOOKUP(D1622,[3]Extended!$B$9:$L$101,11,FALSE),VLOOKUP(D1622,[3]Extended!$B$9:$M$101,12,FALSE)))),0)</f>
        <v>0</v>
      </c>
      <c r="P1622" s="116" t="e">
        <f t="shared" si="126"/>
        <v>#VALUE!</v>
      </c>
      <c r="Q1622" s="110" t="e">
        <f>O1622-#REF!</f>
        <v>#REF!</v>
      </c>
      <c r="AT1622" s="88" t="str">
        <f t="shared" si="127"/>
        <v>Special Order0</v>
      </c>
      <c r="AU1622" s="89" t="str">
        <f t="shared" si="128"/>
        <v>01-1900</v>
      </c>
      <c r="BA1622" s="92" t="str">
        <f t="shared" si="129"/>
        <v/>
      </c>
    </row>
    <row r="1623" spans="2:53">
      <c r="B1623" s="60">
        <f>[2]Trucks!A1620</f>
        <v>0</v>
      </c>
      <c r="C1623" s="11">
        <f>[2]Trucks!B1620</f>
        <v>0</v>
      </c>
      <c r="D1623" s="19" t="str">
        <f>IFERROR(VLOOKUP(C1623&amp;"",'[2]Retail Price List'!$A$3:$B$103,2,FALSE),"Special Order")</f>
        <v>Special Order</v>
      </c>
      <c r="E1623" s="18">
        <f>[2]Trucks!J1620</f>
        <v>0</v>
      </c>
      <c r="F1623" s="12">
        <f>[2]Trucks!E1620</f>
        <v>0</v>
      </c>
      <c r="G1623" s="56">
        <f>[2]Trucks!K1620</f>
        <v>0</v>
      </c>
      <c r="H1623" s="46">
        <f>[2]Trucks!I1620</f>
        <v>0</v>
      </c>
      <c r="I1623" s="83" t="str">
        <f t="shared" si="125"/>
        <v/>
      </c>
      <c r="J1623" s="272" t="str">
        <f>IFERROR(VLOOKUP((D1623&amp;C1623)&amp;"",'[2]Retail Price List'!$C$4:$F$102,3,FALSE),"")</f>
        <v/>
      </c>
      <c r="K1623" s="272">
        <f>IFERROR(IF(BA1623="WIP - 30 Days",VLOOKUP(D1623,[3]Standard!$B$9:$E$101,4,FALSE),IF(BA1623="31-120 Days",VLOOKUP(D1623,[3]Standard!$B$9:$F$101,5,FALSE),IF(BA1623="121-365 Days",VLOOKUP(D1623,[3]Standard!$B$9:$G$101,6,FALSE),VLOOKUP(D1623,[3]Standard!$B$9:$H$101,7,FALSE)))),0)</f>
        <v>0</v>
      </c>
      <c r="L1623" s="272">
        <f>IFERROR(IF(BA1623="WIP - 30 Days",VLOOKUP(D1623,[3]Standard!$B$9:$J$101,9,FALSE),IF(BA1623="31-120 Days",VLOOKUP(D1623,[3]Standard!$B$9:$K$100,10,FALSE),IF(BA1623="121-365 Days",VLOOKUP(D1623,[3]Standard!$B$9:$L$101,11,FALSE),VLOOKUP(D1623,[3]Standard!$B$9:$M$101,12,FALSE)))),0)</f>
        <v>0</v>
      </c>
      <c r="M1623" s="269" t="str">
        <f>IFERROR(VLOOKUP((D1623&amp;C1623)&amp;"",'[2]Retail Price List'!$C$4:$F$102,4,FALSE),"")</f>
        <v/>
      </c>
      <c r="N1623" s="269">
        <f>IFERROR(IF(BA1623="WIP - 30 Days",VLOOKUP(D1623,[3]Extended!$B$9:$E$101,4,FALSE),IF(BA1623="31-120 Days",VLOOKUP(D1623,[3]Extended!$B$9:$F$101,5,FALSE),IF(BA1623="121-365 Days",VLOOKUP(D1623,[3]Extended!$B$9:$G$101,6,FALSE),VLOOKUP(D1623,[3]Extended!$B$9:$H$101,7,FALSE)))),0)</f>
        <v>0</v>
      </c>
      <c r="O1623" s="269">
        <f>IFERROR(IF(BA1623="WIP - 30 Days",VLOOKUP(D1623,[3]Extended!$B$9:$J$101,9,FALSE),IF(BA1623="31-120 Days",VLOOKUP(D1623,[3]Extended!$B$9:$K$101,10,FALSE),IF(BA1623="121-365 Days",VLOOKUP(D1623,[3]Extended!$B$9:$L$101,11,FALSE),VLOOKUP(D1623,[3]Extended!$B$9:$M$101,12,FALSE)))),0)</f>
        <v>0</v>
      </c>
      <c r="P1623" s="116" t="e">
        <f t="shared" si="126"/>
        <v>#VALUE!</v>
      </c>
      <c r="Q1623" s="110" t="e">
        <f>O1623-#REF!</f>
        <v>#REF!</v>
      </c>
      <c r="AT1623" s="88" t="str">
        <f t="shared" si="127"/>
        <v>Special Order0</v>
      </c>
      <c r="AU1623" s="89" t="str">
        <f t="shared" si="128"/>
        <v>01-1900</v>
      </c>
      <c r="BA1623" s="92" t="str">
        <f t="shared" si="129"/>
        <v/>
      </c>
    </row>
    <row r="1624" spans="2:53">
      <c r="B1624" s="60">
        <f>[2]Trucks!A1621</f>
        <v>0</v>
      </c>
      <c r="C1624" s="11">
        <f>[2]Trucks!B1621</f>
        <v>0</v>
      </c>
      <c r="D1624" s="19" t="str">
        <f>IFERROR(VLOOKUP(C1624&amp;"",'[2]Retail Price List'!$A$3:$B$103,2,FALSE),"Special Order")</f>
        <v>Special Order</v>
      </c>
      <c r="E1624" s="18">
        <f>[2]Trucks!J1621</f>
        <v>0</v>
      </c>
      <c r="F1624" s="12">
        <f>[2]Trucks!E1621</f>
        <v>0</v>
      </c>
      <c r="G1624" s="56">
        <f>[2]Trucks!K1621</f>
        <v>0</v>
      </c>
      <c r="H1624" s="46">
        <f>[2]Trucks!I1621</f>
        <v>0</v>
      </c>
      <c r="I1624" s="83" t="str">
        <f t="shared" si="125"/>
        <v/>
      </c>
      <c r="J1624" s="272" t="str">
        <f>IFERROR(VLOOKUP((D1624&amp;C1624)&amp;"",'[2]Retail Price List'!$C$4:$F$102,3,FALSE),"")</f>
        <v/>
      </c>
      <c r="K1624" s="272">
        <f>IFERROR(IF(BA1624="WIP - 30 Days",VLOOKUP(D1624,[3]Standard!$B$9:$E$101,4,FALSE),IF(BA1624="31-120 Days",VLOOKUP(D1624,[3]Standard!$B$9:$F$101,5,FALSE),IF(BA1624="121-365 Days",VLOOKUP(D1624,[3]Standard!$B$9:$G$101,6,FALSE),VLOOKUP(D1624,[3]Standard!$B$9:$H$101,7,FALSE)))),0)</f>
        <v>0</v>
      </c>
      <c r="L1624" s="272">
        <f>IFERROR(IF(BA1624="WIP - 30 Days",VLOOKUP(D1624,[3]Standard!$B$9:$J$101,9,FALSE),IF(BA1624="31-120 Days",VLOOKUP(D1624,[3]Standard!$B$9:$K$100,10,FALSE),IF(BA1624="121-365 Days",VLOOKUP(D1624,[3]Standard!$B$9:$L$101,11,FALSE),VLOOKUP(D1624,[3]Standard!$B$9:$M$101,12,FALSE)))),0)</f>
        <v>0</v>
      </c>
      <c r="M1624" s="269" t="str">
        <f>IFERROR(VLOOKUP((D1624&amp;C1624)&amp;"",'[2]Retail Price List'!$C$4:$F$102,4,FALSE),"")</f>
        <v/>
      </c>
      <c r="N1624" s="269">
        <f>IFERROR(IF(BA1624="WIP - 30 Days",VLOOKUP(D1624,[3]Extended!$B$9:$E$101,4,FALSE),IF(BA1624="31-120 Days",VLOOKUP(D1624,[3]Extended!$B$9:$F$101,5,FALSE),IF(BA1624="121-365 Days",VLOOKUP(D1624,[3]Extended!$B$9:$G$101,6,FALSE),VLOOKUP(D1624,[3]Extended!$B$9:$H$101,7,FALSE)))),0)</f>
        <v>0</v>
      </c>
      <c r="O1624" s="269">
        <f>IFERROR(IF(BA1624="WIP - 30 Days",VLOOKUP(D1624,[3]Extended!$B$9:$J$101,9,FALSE),IF(BA1624="31-120 Days",VLOOKUP(D1624,[3]Extended!$B$9:$K$101,10,FALSE),IF(BA1624="121-365 Days",VLOOKUP(D1624,[3]Extended!$B$9:$L$101,11,FALSE),VLOOKUP(D1624,[3]Extended!$B$9:$M$101,12,FALSE)))),0)</f>
        <v>0</v>
      </c>
      <c r="P1624" s="116" t="e">
        <f t="shared" si="126"/>
        <v>#VALUE!</v>
      </c>
      <c r="Q1624" s="110" t="e">
        <f>O1624-#REF!</f>
        <v>#REF!</v>
      </c>
      <c r="AT1624" s="88" t="str">
        <f t="shared" si="127"/>
        <v>Special Order0</v>
      </c>
      <c r="AU1624" s="89" t="str">
        <f t="shared" si="128"/>
        <v>01-1900</v>
      </c>
      <c r="BA1624" s="92" t="str">
        <f t="shared" si="129"/>
        <v/>
      </c>
    </row>
    <row r="1625" spans="2:53">
      <c r="B1625" s="60">
        <f>[2]Trucks!A1622</f>
        <v>0</v>
      </c>
      <c r="C1625" s="11">
        <f>[2]Trucks!B1622</f>
        <v>0</v>
      </c>
      <c r="D1625" s="19" t="str">
        <f>IFERROR(VLOOKUP(C1625&amp;"",'[2]Retail Price List'!$A$3:$B$103,2,FALSE),"Special Order")</f>
        <v>Special Order</v>
      </c>
      <c r="E1625" s="18">
        <f>[2]Trucks!J1622</f>
        <v>0</v>
      </c>
      <c r="F1625" s="12">
        <f>[2]Trucks!E1622</f>
        <v>0</v>
      </c>
      <c r="G1625" s="56">
        <f>[2]Trucks!K1622</f>
        <v>0</v>
      </c>
      <c r="H1625" s="46">
        <f>[2]Trucks!I1622</f>
        <v>0</v>
      </c>
      <c r="I1625" s="83" t="str">
        <f t="shared" si="125"/>
        <v/>
      </c>
      <c r="J1625" s="272" t="str">
        <f>IFERROR(VLOOKUP((D1625&amp;C1625)&amp;"",'[2]Retail Price List'!$C$4:$F$102,3,FALSE),"")</f>
        <v/>
      </c>
      <c r="K1625" s="272">
        <f>IFERROR(IF(BA1625="WIP - 30 Days",VLOOKUP(D1625,[3]Standard!$B$9:$E$101,4,FALSE),IF(BA1625="31-120 Days",VLOOKUP(D1625,[3]Standard!$B$9:$F$101,5,FALSE),IF(BA1625="121-365 Days",VLOOKUP(D1625,[3]Standard!$B$9:$G$101,6,FALSE),VLOOKUP(D1625,[3]Standard!$B$9:$H$101,7,FALSE)))),0)</f>
        <v>0</v>
      </c>
      <c r="L1625" s="272">
        <f>IFERROR(IF(BA1625="WIP - 30 Days",VLOOKUP(D1625,[3]Standard!$B$9:$J$101,9,FALSE),IF(BA1625="31-120 Days",VLOOKUP(D1625,[3]Standard!$B$9:$K$100,10,FALSE),IF(BA1625="121-365 Days",VLOOKUP(D1625,[3]Standard!$B$9:$L$101,11,FALSE),VLOOKUP(D1625,[3]Standard!$B$9:$M$101,12,FALSE)))),0)</f>
        <v>0</v>
      </c>
      <c r="M1625" s="269" t="str">
        <f>IFERROR(VLOOKUP((D1625&amp;C1625)&amp;"",'[2]Retail Price List'!$C$4:$F$102,4,FALSE),"")</f>
        <v/>
      </c>
      <c r="N1625" s="269">
        <f>IFERROR(IF(BA1625="WIP - 30 Days",VLOOKUP(D1625,[3]Extended!$B$9:$E$101,4,FALSE),IF(BA1625="31-120 Days",VLOOKUP(D1625,[3]Extended!$B$9:$F$101,5,FALSE),IF(BA1625="121-365 Days",VLOOKUP(D1625,[3]Extended!$B$9:$G$101,6,FALSE),VLOOKUP(D1625,[3]Extended!$B$9:$H$101,7,FALSE)))),0)</f>
        <v>0</v>
      </c>
      <c r="O1625" s="269">
        <f>IFERROR(IF(BA1625="WIP - 30 Days",VLOOKUP(D1625,[3]Extended!$B$9:$J$101,9,FALSE),IF(BA1625="31-120 Days",VLOOKUP(D1625,[3]Extended!$B$9:$K$101,10,FALSE),IF(BA1625="121-365 Days",VLOOKUP(D1625,[3]Extended!$B$9:$L$101,11,FALSE),VLOOKUP(D1625,[3]Extended!$B$9:$M$101,12,FALSE)))),0)</f>
        <v>0</v>
      </c>
      <c r="P1625" s="116" t="e">
        <f t="shared" si="126"/>
        <v>#VALUE!</v>
      </c>
      <c r="Q1625" s="110" t="e">
        <f>O1625-#REF!</f>
        <v>#REF!</v>
      </c>
      <c r="AT1625" s="88" t="str">
        <f t="shared" si="127"/>
        <v>Special Order0</v>
      </c>
      <c r="AU1625" s="89" t="str">
        <f t="shared" si="128"/>
        <v>01-1900</v>
      </c>
      <c r="BA1625" s="92" t="str">
        <f t="shared" si="129"/>
        <v/>
      </c>
    </row>
    <row r="1626" spans="2:53">
      <c r="B1626" s="60">
        <f>[2]Trucks!A1623</f>
        <v>0</v>
      </c>
      <c r="C1626" s="11">
        <f>[2]Trucks!B1623</f>
        <v>0</v>
      </c>
      <c r="D1626" s="19" t="str">
        <f>IFERROR(VLOOKUP(C1626&amp;"",'[2]Retail Price List'!$A$3:$B$103,2,FALSE),"Special Order")</f>
        <v>Special Order</v>
      </c>
      <c r="E1626" s="18">
        <f>[2]Trucks!J1623</f>
        <v>0</v>
      </c>
      <c r="F1626" s="12">
        <f>[2]Trucks!E1623</f>
        <v>0</v>
      </c>
      <c r="G1626" s="56">
        <f>[2]Trucks!K1623</f>
        <v>0</v>
      </c>
      <c r="H1626" s="46">
        <f>[2]Trucks!I1623</f>
        <v>0</v>
      </c>
      <c r="I1626" s="83" t="str">
        <f t="shared" si="125"/>
        <v/>
      </c>
      <c r="J1626" s="272" t="str">
        <f>IFERROR(VLOOKUP((D1626&amp;C1626)&amp;"",'[2]Retail Price List'!$C$4:$F$102,3,FALSE),"")</f>
        <v/>
      </c>
      <c r="K1626" s="272">
        <f>IFERROR(IF(BA1626="WIP - 30 Days",VLOOKUP(D1626,[3]Standard!$B$9:$E$101,4,FALSE),IF(BA1626="31-120 Days",VLOOKUP(D1626,[3]Standard!$B$9:$F$101,5,FALSE),IF(BA1626="121-365 Days",VLOOKUP(D1626,[3]Standard!$B$9:$G$101,6,FALSE),VLOOKUP(D1626,[3]Standard!$B$9:$H$101,7,FALSE)))),0)</f>
        <v>0</v>
      </c>
      <c r="L1626" s="272">
        <f>IFERROR(IF(BA1626="WIP - 30 Days",VLOOKUP(D1626,[3]Standard!$B$9:$J$101,9,FALSE),IF(BA1626="31-120 Days",VLOOKUP(D1626,[3]Standard!$B$9:$K$100,10,FALSE),IF(BA1626="121-365 Days",VLOOKUP(D1626,[3]Standard!$B$9:$L$101,11,FALSE),VLOOKUP(D1626,[3]Standard!$B$9:$M$101,12,FALSE)))),0)</f>
        <v>0</v>
      </c>
      <c r="M1626" s="269" t="str">
        <f>IFERROR(VLOOKUP((D1626&amp;C1626)&amp;"",'[2]Retail Price List'!$C$4:$F$102,4,FALSE),"")</f>
        <v/>
      </c>
      <c r="N1626" s="269">
        <f>IFERROR(IF(BA1626="WIP - 30 Days",VLOOKUP(D1626,[3]Extended!$B$9:$E$101,4,FALSE),IF(BA1626="31-120 Days",VLOOKUP(D1626,[3]Extended!$B$9:$F$101,5,FALSE),IF(BA1626="121-365 Days",VLOOKUP(D1626,[3]Extended!$B$9:$G$101,6,FALSE),VLOOKUP(D1626,[3]Extended!$B$9:$H$101,7,FALSE)))),0)</f>
        <v>0</v>
      </c>
      <c r="O1626" s="269">
        <f>IFERROR(IF(BA1626="WIP - 30 Days",VLOOKUP(D1626,[3]Extended!$B$9:$J$101,9,FALSE),IF(BA1626="31-120 Days",VLOOKUP(D1626,[3]Extended!$B$9:$K$101,10,FALSE),IF(BA1626="121-365 Days",VLOOKUP(D1626,[3]Extended!$B$9:$L$101,11,FALSE),VLOOKUP(D1626,[3]Extended!$B$9:$M$101,12,FALSE)))),0)</f>
        <v>0</v>
      </c>
      <c r="P1626" s="116" t="e">
        <f t="shared" si="126"/>
        <v>#VALUE!</v>
      </c>
      <c r="Q1626" s="110" t="e">
        <f>O1626-#REF!</f>
        <v>#REF!</v>
      </c>
      <c r="AT1626" s="88" t="str">
        <f t="shared" si="127"/>
        <v>Special Order0</v>
      </c>
      <c r="AU1626" s="89" t="str">
        <f t="shared" si="128"/>
        <v>01-1900</v>
      </c>
      <c r="BA1626" s="92" t="str">
        <f t="shared" si="129"/>
        <v/>
      </c>
    </row>
    <row r="1627" spans="2:53">
      <c r="B1627" s="60">
        <f>[2]Trucks!A1624</f>
        <v>0</v>
      </c>
      <c r="C1627" s="11">
        <f>[2]Trucks!B1624</f>
        <v>0</v>
      </c>
      <c r="D1627" s="19" t="str">
        <f>IFERROR(VLOOKUP(C1627&amp;"",'[2]Retail Price List'!$A$3:$B$103,2,FALSE),"Special Order")</f>
        <v>Special Order</v>
      </c>
      <c r="E1627" s="18">
        <f>[2]Trucks!J1624</f>
        <v>0</v>
      </c>
      <c r="F1627" s="12">
        <f>[2]Trucks!E1624</f>
        <v>0</v>
      </c>
      <c r="G1627" s="56">
        <f>[2]Trucks!K1624</f>
        <v>0</v>
      </c>
      <c r="H1627" s="46">
        <f>[2]Trucks!I1624</f>
        <v>0</v>
      </c>
      <c r="I1627" s="83" t="str">
        <f t="shared" si="125"/>
        <v/>
      </c>
      <c r="J1627" s="272" t="str">
        <f>IFERROR(VLOOKUP((D1627&amp;C1627)&amp;"",'[2]Retail Price List'!$C$4:$F$102,3,FALSE),"")</f>
        <v/>
      </c>
      <c r="K1627" s="272">
        <f>IFERROR(IF(BA1627="WIP - 30 Days",VLOOKUP(D1627,[3]Standard!$B$9:$E$101,4,FALSE),IF(BA1627="31-120 Days",VLOOKUP(D1627,[3]Standard!$B$9:$F$101,5,FALSE),IF(BA1627="121-365 Days",VLOOKUP(D1627,[3]Standard!$B$9:$G$101,6,FALSE),VLOOKUP(D1627,[3]Standard!$B$9:$H$101,7,FALSE)))),0)</f>
        <v>0</v>
      </c>
      <c r="L1627" s="272">
        <f>IFERROR(IF(BA1627="WIP - 30 Days",VLOOKUP(D1627,[3]Standard!$B$9:$J$101,9,FALSE),IF(BA1627="31-120 Days",VLOOKUP(D1627,[3]Standard!$B$9:$K$100,10,FALSE),IF(BA1627="121-365 Days",VLOOKUP(D1627,[3]Standard!$B$9:$L$101,11,FALSE),VLOOKUP(D1627,[3]Standard!$B$9:$M$101,12,FALSE)))),0)</f>
        <v>0</v>
      </c>
      <c r="M1627" s="269" t="str">
        <f>IFERROR(VLOOKUP((D1627&amp;C1627)&amp;"",'[2]Retail Price List'!$C$4:$F$102,4,FALSE),"")</f>
        <v/>
      </c>
      <c r="N1627" s="269">
        <f>IFERROR(IF(BA1627="WIP - 30 Days",VLOOKUP(D1627,[3]Extended!$B$9:$E$101,4,FALSE),IF(BA1627="31-120 Days",VLOOKUP(D1627,[3]Extended!$B$9:$F$101,5,FALSE),IF(BA1627="121-365 Days",VLOOKUP(D1627,[3]Extended!$B$9:$G$101,6,FALSE),VLOOKUP(D1627,[3]Extended!$B$9:$H$101,7,FALSE)))),0)</f>
        <v>0</v>
      </c>
      <c r="O1627" s="269">
        <f>IFERROR(IF(BA1627="WIP - 30 Days",VLOOKUP(D1627,[3]Extended!$B$9:$J$101,9,FALSE),IF(BA1627="31-120 Days",VLOOKUP(D1627,[3]Extended!$B$9:$K$101,10,FALSE),IF(BA1627="121-365 Days",VLOOKUP(D1627,[3]Extended!$B$9:$L$101,11,FALSE),VLOOKUP(D1627,[3]Extended!$B$9:$M$101,12,FALSE)))),0)</f>
        <v>0</v>
      </c>
      <c r="P1627" s="116" t="e">
        <f t="shared" si="126"/>
        <v>#VALUE!</v>
      </c>
      <c r="Q1627" s="110" t="e">
        <f>O1627-#REF!</f>
        <v>#REF!</v>
      </c>
      <c r="AT1627" s="88" t="str">
        <f t="shared" si="127"/>
        <v>Special Order0</v>
      </c>
      <c r="AU1627" s="89" t="str">
        <f t="shared" si="128"/>
        <v>01-1900</v>
      </c>
      <c r="BA1627" s="92" t="str">
        <f t="shared" si="129"/>
        <v/>
      </c>
    </row>
    <row r="1628" spans="2:53">
      <c r="B1628" s="60">
        <f>[2]Trucks!A1625</f>
        <v>0</v>
      </c>
      <c r="C1628" s="11">
        <f>[2]Trucks!B1625</f>
        <v>0</v>
      </c>
      <c r="D1628" s="19" t="str">
        <f>IFERROR(VLOOKUP(C1628&amp;"",'[2]Retail Price List'!$A$3:$B$103,2,FALSE),"Special Order")</f>
        <v>Special Order</v>
      </c>
      <c r="E1628" s="18">
        <f>[2]Trucks!J1625</f>
        <v>0</v>
      </c>
      <c r="F1628" s="12">
        <f>[2]Trucks!E1625</f>
        <v>0</v>
      </c>
      <c r="G1628" s="56">
        <f>[2]Trucks!K1625</f>
        <v>0</v>
      </c>
      <c r="H1628" s="46">
        <f>[2]Trucks!I1625</f>
        <v>0</v>
      </c>
      <c r="I1628" s="83" t="str">
        <f t="shared" si="125"/>
        <v/>
      </c>
      <c r="J1628" s="272" t="str">
        <f>IFERROR(VLOOKUP((D1628&amp;C1628)&amp;"",'[2]Retail Price List'!$C$4:$F$102,3,FALSE),"")</f>
        <v/>
      </c>
      <c r="K1628" s="272">
        <f>IFERROR(IF(BA1628="WIP - 30 Days",VLOOKUP(D1628,[3]Standard!$B$9:$E$101,4,FALSE),IF(BA1628="31-120 Days",VLOOKUP(D1628,[3]Standard!$B$9:$F$101,5,FALSE),IF(BA1628="121-365 Days",VLOOKUP(D1628,[3]Standard!$B$9:$G$101,6,FALSE),VLOOKUP(D1628,[3]Standard!$B$9:$H$101,7,FALSE)))),0)</f>
        <v>0</v>
      </c>
      <c r="L1628" s="272">
        <f>IFERROR(IF(BA1628="WIP - 30 Days",VLOOKUP(D1628,[3]Standard!$B$9:$J$101,9,FALSE),IF(BA1628="31-120 Days",VLOOKUP(D1628,[3]Standard!$B$9:$K$100,10,FALSE),IF(BA1628="121-365 Days",VLOOKUP(D1628,[3]Standard!$B$9:$L$101,11,FALSE),VLOOKUP(D1628,[3]Standard!$B$9:$M$101,12,FALSE)))),0)</f>
        <v>0</v>
      </c>
      <c r="M1628" s="269" t="str">
        <f>IFERROR(VLOOKUP((D1628&amp;C1628)&amp;"",'[2]Retail Price List'!$C$4:$F$102,4,FALSE),"")</f>
        <v/>
      </c>
      <c r="N1628" s="269">
        <f>IFERROR(IF(BA1628="WIP - 30 Days",VLOOKUP(D1628,[3]Extended!$B$9:$E$101,4,FALSE),IF(BA1628="31-120 Days",VLOOKUP(D1628,[3]Extended!$B$9:$F$101,5,FALSE),IF(BA1628="121-365 Days",VLOOKUP(D1628,[3]Extended!$B$9:$G$101,6,FALSE),VLOOKUP(D1628,[3]Extended!$B$9:$H$101,7,FALSE)))),0)</f>
        <v>0</v>
      </c>
      <c r="O1628" s="269">
        <f>IFERROR(IF(BA1628="WIP - 30 Days",VLOOKUP(D1628,[3]Extended!$B$9:$J$101,9,FALSE),IF(BA1628="31-120 Days",VLOOKUP(D1628,[3]Extended!$B$9:$K$101,10,FALSE),IF(BA1628="121-365 Days",VLOOKUP(D1628,[3]Extended!$B$9:$L$101,11,FALSE),VLOOKUP(D1628,[3]Extended!$B$9:$M$101,12,FALSE)))),0)</f>
        <v>0</v>
      </c>
      <c r="P1628" s="116" t="e">
        <f t="shared" si="126"/>
        <v>#VALUE!</v>
      </c>
      <c r="Q1628" s="110" t="e">
        <f>O1628-#REF!</f>
        <v>#REF!</v>
      </c>
      <c r="AT1628" s="88" t="str">
        <f t="shared" si="127"/>
        <v>Special Order0</v>
      </c>
      <c r="AU1628" s="89" t="str">
        <f t="shared" si="128"/>
        <v>01-1900</v>
      </c>
      <c r="BA1628" s="92" t="str">
        <f t="shared" si="129"/>
        <v/>
      </c>
    </row>
    <row r="1629" spans="2:53">
      <c r="B1629" s="60">
        <f>[2]Trucks!A1626</f>
        <v>0</v>
      </c>
      <c r="C1629" s="11">
        <f>[2]Trucks!B1626</f>
        <v>0</v>
      </c>
      <c r="D1629" s="19" t="str">
        <f>IFERROR(VLOOKUP(C1629&amp;"",'[2]Retail Price List'!$A$3:$B$103,2,FALSE),"Special Order")</f>
        <v>Special Order</v>
      </c>
      <c r="E1629" s="18">
        <f>[2]Trucks!J1626</f>
        <v>0</v>
      </c>
      <c r="F1629" s="12">
        <f>[2]Trucks!E1626</f>
        <v>0</v>
      </c>
      <c r="G1629" s="56">
        <f>[2]Trucks!K1626</f>
        <v>0</v>
      </c>
      <c r="H1629" s="46">
        <f>[2]Trucks!I1626</f>
        <v>0</v>
      </c>
      <c r="I1629" s="83" t="str">
        <f t="shared" si="125"/>
        <v/>
      </c>
      <c r="J1629" s="272" t="str">
        <f>IFERROR(VLOOKUP((D1629&amp;C1629)&amp;"",'[2]Retail Price List'!$C$4:$F$102,3,FALSE),"")</f>
        <v/>
      </c>
      <c r="K1629" s="272">
        <f>IFERROR(IF(BA1629="WIP - 30 Days",VLOOKUP(D1629,[3]Standard!$B$9:$E$101,4,FALSE),IF(BA1629="31-120 Days",VLOOKUP(D1629,[3]Standard!$B$9:$F$101,5,FALSE),IF(BA1629="121-365 Days",VLOOKUP(D1629,[3]Standard!$B$9:$G$101,6,FALSE),VLOOKUP(D1629,[3]Standard!$B$9:$H$101,7,FALSE)))),0)</f>
        <v>0</v>
      </c>
      <c r="L1629" s="272">
        <f>IFERROR(IF(BA1629="WIP - 30 Days",VLOOKUP(D1629,[3]Standard!$B$9:$J$101,9,FALSE),IF(BA1629="31-120 Days",VLOOKUP(D1629,[3]Standard!$B$9:$K$100,10,FALSE),IF(BA1629="121-365 Days",VLOOKUP(D1629,[3]Standard!$B$9:$L$101,11,FALSE),VLOOKUP(D1629,[3]Standard!$B$9:$M$101,12,FALSE)))),0)</f>
        <v>0</v>
      </c>
      <c r="M1629" s="269" t="str">
        <f>IFERROR(VLOOKUP((D1629&amp;C1629)&amp;"",'[2]Retail Price List'!$C$4:$F$102,4,FALSE),"")</f>
        <v/>
      </c>
      <c r="N1629" s="269">
        <f>IFERROR(IF(BA1629="WIP - 30 Days",VLOOKUP(D1629,[3]Extended!$B$9:$E$101,4,FALSE),IF(BA1629="31-120 Days",VLOOKUP(D1629,[3]Extended!$B$9:$F$101,5,FALSE),IF(BA1629="121-365 Days",VLOOKUP(D1629,[3]Extended!$B$9:$G$101,6,FALSE),VLOOKUP(D1629,[3]Extended!$B$9:$H$101,7,FALSE)))),0)</f>
        <v>0</v>
      </c>
      <c r="O1629" s="269">
        <f>IFERROR(IF(BA1629="WIP - 30 Days",VLOOKUP(D1629,[3]Extended!$B$9:$J$101,9,FALSE),IF(BA1629="31-120 Days",VLOOKUP(D1629,[3]Extended!$B$9:$K$101,10,FALSE),IF(BA1629="121-365 Days",VLOOKUP(D1629,[3]Extended!$B$9:$L$101,11,FALSE),VLOOKUP(D1629,[3]Extended!$B$9:$M$101,12,FALSE)))),0)</f>
        <v>0</v>
      </c>
      <c r="P1629" s="116" t="e">
        <f t="shared" si="126"/>
        <v>#VALUE!</v>
      </c>
      <c r="Q1629" s="110" t="e">
        <f>O1629-#REF!</f>
        <v>#REF!</v>
      </c>
      <c r="AT1629" s="88" t="str">
        <f t="shared" si="127"/>
        <v>Special Order0</v>
      </c>
      <c r="AU1629" s="89" t="str">
        <f t="shared" si="128"/>
        <v>01-1900</v>
      </c>
      <c r="BA1629" s="92" t="str">
        <f t="shared" si="129"/>
        <v/>
      </c>
    </row>
    <row r="1630" spans="2:53">
      <c r="B1630" s="60">
        <f>[2]Trucks!A1627</f>
        <v>0</v>
      </c>
      <c r="C1630" s="11">
        <f>[2]Trucks!B1627</f>
        <v>0</v>
      </c>
      <c r="D1630" s="19" t="str">
        <f>IFERROR(VLOOKUP(C1630&amp;"",'[2]Retail Price List'!$A$3:$B$103,2,FALSE),"Special Order")</f>
        <v>Special Order</v>
      </c>
      <c r="E1630" s="18">
        <f>[2]Trucks!J1627</f>
        <v>0</v>
      </c>
      <c r="F1630" s="12">
        <f>[2]Trucks!E1627</f>
        <v>0</v>
      </c>
      <c r="G1630" s="56">
        <f>[2]Trucks!K1627</f>
        <v>0</v>
      </c>
      <c r="H1630" s="46">
        <f>[2]Trucks!I1627</f>
        <v>0</v>
      </c>
      <c r="I1630" s="83" t="str">
        <f t="shared" si="125"/>
        <v/>
      </c>
      <c r="J1630" s="272" t="str">
        <f>IFERROR(VLOOKUP((D1630&amp;C1630)&amp;"",'[2]Retail Price List'!$C$4:$F$102,3,FALSE),"")</f>
        <v/>
      </c>
      <c r="K1630" s="272">
        <f>IFERROR(IF(BA1630="WIP - 30 Days",VLOOKUP(D1630,[3]Standard!$B$9:$E$101,4,FALSE),IF(BA1630="31-120 Days",VLOOKUP(D1630,[3]Standard!$B$9:$F$101,5,FALSE),IF(BA1630="121-365 Days",VLOOKUP(D1630,[3]Standard!$B$9:$G$101,6,FALSE),VLOOKUP(D1630,[3]Standard!$B$9:$H$101,7,FALSE)))),0)</f>
        <v>0</v>
      </c>
      <c r="L1630" s="272">
        <f>IFERROR(IF(BA1630="WIP - 30 Days",VLOOKUP(D1630,[3]Standard!$B$9:$J$101,9,FALSE),IF(BA1630="31-120 Days",VLOOKUP(D1630,[3]Standard!$B$9:$K$100,10,FALSE),IF(BA1630="121-365 Days",VLOOKUP(D1630,[3]Standard!$B$9:$L$101,11,FALSE),VLOOKUP(D1630,[3]Standard!$B$9:$M$101,12,FALSE)))),0)</f>
        <v>0</v>
      </c>
      <c r="M1630" s="269" t="str">
        <f>IFERROR(VLOOKUP((D1630&amp;C1630)&amp;"",'[2]Retail Price List'!$C$4:$F$102,4,FALSE),"")</f>
        <v/>
      </c>
      <c r="N1630" s="269">
        <f>IFERROR(IF(BA1630="WIP - 30 Days",VLOOKUP(D1630,[3]Extended!$B$9:$E$101,4,FALSE),IF(BA1630="31-120 Days",VLOOKUP(D1630,[3]Extended!$B$9:$F$101,5,FALSE),IF(BA1630="121-365 Days",VLOOKUP(D1630,[3]Extended!$B$9:$G$101,6,FALSE),VLOOKUP(D1630,[3]Extended!$B$9:$H$101,7,FALSE)))),0)</f>
        <v>0</v>
      </c>
      <c r="O1630" s="269">
        <f>IFERROR(IF(BA1630="WIP - 30 Days",VLOOKUP(D1630,[3]Extended!$B$9:$J$101,9,FALSE),IF(BA1630="31-120 Days",VLOOKUP(D1630,[3]Extended!$B$9:$K$101,10,FALSE),IF(BA1630="121-365 Days",VLOOKUP(D1630,[3]Extended!$B$9:$L$101,11,FALSE),VLOOKUP(D1630,[3]Extended!$B$9:$M$101,12,FALSE)))),0)</f>
        <v>0</v>
      </c>
      <c r="P1630" s="116" t="e">
        <f t="shared" si="126"/>
        <v>#VALUE!</v>
      </c>
      <c r="Q1630" s="110" t="e">
        <f>O1630-#REF!</f>
        <v>#REF!</v>
      </c>
      <c r="AT1630" s="88" t="str">
        <f t="shared" si="127"/>
        <v>Special Order0</v>
      </c>
      <c r="AU1630" s="89" t="str">
        <f t="shared" si="128"/>
        <v>01-1900</v>
      </c>
      <c r="BA1630" s="92" t="str">
        <f t="shared" si="129"/>
        <v/>
      </c>
    </row>
    <row r="1631" spans="2:53">
      <c r="B1631" s="60">
        <f>[2]Trucks!A1628</f>
        <v>0</v>
      </c>
      <c r="C1631" s="11">
        <f>[2]Trucks!B1628</f>
        <v>0</v>
      </c>
      <c r="D1631" s="19" t="str">
        <f>IFERROR(VLOOKUP(C1631&amp;"",'[2]Retail Price List'!$A$3:$B$103,2,FALSE),"Special Order")</f>
        <v>Special Order</v>
      </c>
      <c r="E1631" s="18">
        <f>[2]Trucks!J1628</f>
        <v>0</v>
      </c>
      <c r="F1631" s="12">
        <f>[2]Trucks!E1628</f>
        <v>0</v>
      </c>
      <c r="G1631" s="56">
        <f>[2]Trucks!K1628</f>
        <v>0</v>
      </c>
      <c r="H1631" s="46">
        <f>[2]Trucks!I1628</f>
        <v>0</v>
      </c>
      <c r="I1631" s="83" t="str">
        <f t="shared" si="125"/>
        <v/>
      </c>
      <c r="J1631" s="272" t="str">
        <f>IFERROR(VLOOKUP((D1631&amp;C1631)&amp;"",'[2]Retail Price List'!$C$4:$F$102,3,FALSE),"")</f>
        <v/>
      </c>
      <c r="K1631" s="272">
        <f>IFERROR(IF(BA1631="WIP - 30 Days",VLOOKUP(D1631,[3]Standard!$B$9:$E$101,4,FALSE),IF(BA1631="31-120 Days",VLOOKUP(D1631,[3]Standard!$B$9:$F$101,5,FALSE),IF(BA1631="121-365 Days",VLOOKUP(D1631,[3]Standard!$B$9:$G$101,6,FALSE),VLOOKUP(D1631,[3]Standard!$B$9:$H$101,7,FALSE)))),0)</f>
        <v>0</v>
      </c>
      <c r="L1631" s="272">
        <f>IFERROR(IF(BA1631="WIP - 30 Days",VLOOKUP(D1631,[3]Standard!$B$9:$J$101,9,FALSE),IF(BA1631="31-120 Days",VLOOKUP(D1631,[3]Standard!$B$9:$K$100,10,FALSE),IF(BA1631="121-365 Days",VLOOKUP(D1631,[3]Standard!$B$9:$L$101,11,FALSE),VLOOKUP(D1631,[3]Standard!$B$9:$M$101,12,FALSE)))),0)</f>
        <v>0</v>
      </c>
      <c r="M1631" s="269" t="str">
        <f>IFERROR(VLOOKUP((D1631&amp;C1631)&amp;"",'[2]Retail Price List'!$C$4:$F$102,4,FALSE),"")</f>
        <v/>
      </c>
      <c r="N1631" s="269">
        <f>IFERROR(IF(BA1631="WIP - 30 Days",VLOOKUP(D1631,[3]Extended!$B$9:$E$101,4,FALSE),IF(BA1631="31-120 Days",VLOOKUP(D1631,[3]Extended!$B$9:$F$101,5,FALSE),IF(BA1631="121-365 Days",VLOOKUP(D1631,[3]Extended!$B$9:$G$101,6,FALSE),VLOOKUP(D1631,[3]Extended!$B$9:$H$101,7,FALSE)))),0)</f>
        <v>0</v>
      </c>
      <c r="O1631" s="269">
        <f>IFERROR(IF(BA1631="WIP - 30 Days",VLOOKUP(D1631,[3]Extended!$B$9:$J$101,9,FALSE),IF(BA1631="31-120 Days",VLOOKUP(D1631,[3]Extended!$B$9:$K$101,10,FALSE),IF(BA1631="121-365 Days",VLOOKUP(D1631,[3]Extended!$B$9:$L$101,11,FALSE),VLOOKUP(D1631,[3]Extended!$B$9:$M$101,12,FALSE)))),0)</f>
        <v>0</v>
      </c>
      <c r="P1631" s="116" t="e">
        <f t="shared" si="126"/>
        <v>#VALUE!</v>
      </c>
      <c r="Q1631" s="110" t="e">
        <f>O1631-#REF!</f>
        <v>#REF!</v>
      </c>
      <c r="AT1631" s="88" t="str">
        <f t="shared" si="127"/>
        <v>Special Order0</v>
      </c>
      <c r="AU1631" s="89" t="str">
        <f t="shared" si="128"/>
        <v>01-1900</v>
      </c>
      <c r="BA1631" s="92" t="str">
        <f t="shared" si="129"/>
        <v/>
      </c>
    </row>
    <row r="1632" spans="2:53">
      <c r="B1632" s="60">
        <f>[2]Trucks!A1629</f>
        <v>0</v>
      </c>
      <c r="C1632" s="11">
        <f>[2]Trucks!B1629</f>
        <v>0</v>
      </c>
      <c r="D1632" s="19" t="str">
        <f>IFERROR(VLOOKUP(C1632&amp;"",'[2]Retail Price List'!$A$3:$B$103,2,FALSE),"Special Order")</f>
        <v>Special Order</v>
      </c>
      <c r="E1632" s="18">
        <f>[2]Trucks!J1629</f>
        <v>0</v>
      </c>
      <c r="F1632" s="12">
        <f>[2]Trucks!E1629</f>
        <v>0</v>
      </c>
      <c r="G1632" s="56">
        <f>[2]Trucks!K1629</f>
        <v>0</v>
      </c>
      <c r="H1632" s="46">
        <f>[2]Trucks!I1629</f>
        <v>0</v>
      </c>
      <c r="I1632" s="83" t="str">
        <f t="shared" si="125"/>
        <v/>
      </c>
      <c r="J1632" s="272" t="str">
        <f>IFERROR(VLOOKUP((D1632&amp;C1632)&amp;"",'[2]Retail Price List'!$C$4:$F$102,3,FALSE),"")</f>
        <v/>
      </c>
      <c r="K1632" s="272">
        <f>IFERROR(IF(BA1632="WIP - 30 Days",VLOOKUP(D1632,[3]Standard!$B$9:$E$101,4,FALSE),IF(BA1632="31-120 Days",VLOOKUP(D1632,[3]Standard!$B$9:$F$101,5,FALSE),IF(BA1632="121-365 Days",VLOOKUP(D1632,[3]Standard!$B$9:$G$101,6,FALSE),VLOOKUP(D1632,[3]Standard!$B$9:$H$101,7,FALSE)))),0)</f>
        <v>0</v>
      </c>
      <c r="L1632" s="272">
        <f>IFERROR(IF(BA1632="WIP - 30 Days",VLOOKUP(D1632,[3]Standard!$B$9:$J$101,9,FALSE),IF(BA1632="31-120 Days",VLOOKUP(D1632,[3]Standard!$B$9:$K$100,10,FALSE),IF(BA1632="121-365 Days",VLOOKUP(D1632,[3]Standard!$B$9:$L$101,11,FALSE),VLOOKUP(D1632,[3]Standard!$B$9:$M$101,12,FALSE)))),0)</f>
        <v>0</v>
      </c>
      <c r="M1632" s="269" t="str">
        <f>IFERROR(VLOOKUP((D1632&amp;C1632)&amp;"",'[2]Retail Price List'!$C$4:$F$102,4,FALSE),"")</f>
        <v/>
      </c>
      <c r="N1632" s="269">
        <f>IFERROR(IF(BA1632="WIP - 30 Days",VLOOKUP(D1632,[3]Extended!$B$9:$E$101,4,FALSE),IF(BA1632="31-120 Days",VLOOKUP(D1632,[3]Extended!$B$9:$F$101,5,FALSE),IF(BA1632="121-365 Days",VLOOKUP(D1632,[3]Extended!$B$9:$G$101,6,FALSE),VLOOKUP(D1632,[3]Extended!$B$9:$H$101,7,FALSE)))),0)</f>
        <v>0</v>
      </c>
      <c r="O1632" s="269">
        <f>IFERROR(IF(BA1632="WIP - 30 Days",VLOOKUP(D1632,[3]Extended!$B$9:$J$101,9,FALSE),IF(BA1632="31-120 Days",VLOOKUP(D1632,[3]Extended!$B$9:$K$101,10,FALSE),IF(BA1632="121-365 Days",VLOOKUP(D1632,[3]Extended!$B$9:$L$101,11,FALSE),VLOOKUP(D1632,[3]Extended!$B$9:$M$101,12,FALSE)))),0)</f>
        <v>0</v>
      </c>
      <c r="P1632" s="116" t="e">
        <f t="shared" si="126"/>
        <v>#VALUE!</v>
      </c>
      <c r="Q1632" s="110" t="e">
        <f>O1632-#REF!</f>
        <v>#REF!</v>
      </c>
      <c r="AT1632" s="88" t="str">
        <f t="shared" si="127"/>
        <v>Special Order0</v>
      </c>
      <c r="AU1632" s="89" t="str">
        <f t="shared" si="128"/>
        <v>01-1900</v>
      </c>
      <c r="BA1632" s="92" t="str">
        <f t="shared" si="129"/>
        <v/>
      </c>
    </row>
    <row r="1633" spans="2:53">
      <c r="B1633" s="60">
        <f>[2]Trucks!A1630</f>
        <v>0</v>
      </c>
      <c r="C1633" s="11">
        <f>[2]Trucks!B1630</f>
        <v>0</v>
      </c>
      <c r="D1633" s="19" t="str">
        <f>IFERROR(VLOOKUP(C1633&amp;"",'[2]Retail Price List'!$A$3:$B$103,2,FALSE),"Special Order")</f>
        <v>Special Order</v>
      </c>
      <c r="E1633" s="18">
        <f>[2]Trucks!J1630</f>
        <v>0</v>
      </c>
      <c r="F1633" s="12">
        <f>[2]Trucks!E1630</f>
        <v>0</v>
      </c>
      <c r="G1633" s="56">
        <f>[2]Trucks!K1630</f>
        <v>0</v>
      </c>
      <c r="H1633" s="46">
        <f>[2]Trucks!I1630</f>
        <v>0</v>
      </c>
      <c r="I1633" s="83" t="str">
        <f t="shared" si="125"/>
        <v/>
      </c>
      <c r="J1633" s="272" t="str">
        <f>IFERROR(VLOOKUP((D1633&amp;C1633)&amp;"",'[2]Retail Price List'!$C$4:$F$102,3,FALSE),"")</f>
        <v/>
      </c>
      <c r="K1633" s="272">
        <f>IFERROR(IF(BA1633="WIP - 30 Days",VLOOKUP(D1633,[3]Standard!$B$9:$E$101,4,FALSE),IF(BA1633="31-120 Days",VLOOKUP(D1633,[3]Standard!$B$9:$F$101,5,FALSE),IF(BA1633="121-365 Days",VLOOKUP(D1633,[3]Standard!$B$9:$G$101,6,FALSE),VLOOKUP(D1633,[3]Standard!$B$9:$H$101,7,FALSE)))),0)</f>
        <v>0</v>
      </c>
      <c r="L1633" s="272">
        <f>IFERROR(IF(BA1633="WIP - 30 Days",VLOOKUP(D1633,[3]Standard!$B$9:$J$101,9,FALSE),IF(BA1633="31-120 Days",VLOOKUP(D1633,[3]Standard!$B$9:$K$100,10,FALSE),IF(BA1633="121-365 Days",VLOOKUP(D1633,[3]Standard!$B$9:$L$101,11,FALSE),VLOOKUP(D1633,[3]Standard!$B$9:$M$101,12,FALSE)))),0)</f>
        <v>0</v>
      </c>
      <c r="M1633" s="269" t="str">
        <f>IFERROR(VLOOKUP((D1633&amp;C1633)&amp;"",'[2]Retail Price List'!$C$4:$F$102,4,FALSE),"")</f>
        <v/>
      </c>
      <c r="N1633" s="269">
        <f>IFERROR(IF(BA1633="WIP - 30 Days",VLOOKUP(D1633,[3]Extended!$B$9:$E$101,4,FALSE),IF(BA1633="31-120 Days",VLOOKUP(D1633,[3]Extended!$B$9:$F$101,5,FALSE),IF(BA1633="121-365 Days",VLOOKUP(D1633,[3]Extended!$B$9:$G$101,6,FALSE),VLOOKUP(D1633,[3]Extended!$B$9:$H$101,7,FALSE)))),0)</f>
        <v>0</v>
      </c>
      <c r="O1633" s="269">
        <f>IFERROR(IF(BA1633="WIP - 30 Days",VLOOKUP(D1633,[3]Extended!$B$9:$J$101,9,FALSE),IF(BA1633="31-120 Days",VLOOKUP(D1633,[3]Extended!$B$9:$K$101,10,FALSE),IF(BA1633="121-365 Days",VLOOKUP(D1633,[3]Extended!$B$9:$L$101,11,FALSE),VLOOKUP(D1633,[3]Extended!$B$9:$M$101,12,FALSE)))),0)</f>
        <v>0</v>
      </c>
      <c r="P1633" s="116" t="e">
        <f t="shared" si="126"/>
        <v>#VALUE!</v>
      </c>
      <c r="Q1633" s="110" t="e">
        <f>O1633-#REF!</f>
        <v>#REF!</v>
      </c>
      <c r="AT1633" s="88" t="str">
        <f t="shared" si="127"/>
        <v>Special Order0</v>
      </c>
      <c r="AU1633" s="89" t="str">
        <f t="shared" si="128"/>
        <v>01-1900</v>
      </c>
      <c r="BA1633" s="92" t="str">
        <f t="shared" si="129"/>
        <v/>
      </c>
    </row>
    <row r="1634" spans="2:53">
      <c r="B1634" s="60">
        <f>[2]Trucks!A1631</f>
        <v>0</v>
      </c>
      <c r="C1634" s="11">
        <f>[2]Trucks!B1631</f>
        <v>0</v>
      </c>
      <c r="D1634" s="19" t="str">
        <f>IFERROR(VLOOKUP(C1634&amp;"",'[2]Retail Price List'!$A$3:$B$103,2,FALSE),"Special Order")</f>
        <v>Special Order</v>
      </c>
      <c r="E1634" s="18">
        <f>[2]Trucks!J1631</f>
        <v>0</v>
      </c>
      <c r="F1634" s="12">
        <f>[2]Trucks!E1631</f>
        <v>0</v>
      </c>
      <c r="G1634" s="56">
        <f>[2]Trucks!K1631</f>
        <v>0</v>
      </c>
      <c r="H1634" s="46">
        <f>[2]Trucks!I1631</f>
        <v>0</v>
      </c>
      <c r="I1634" s="83" t="str">
        <f t="shared" si="125"/>
        <v/>
      </c>
      <c r="J1634" s="272" t="str">
        <f>IFERROR(VLOOKUP((D1634&amp;C1634)&amp;"",'[2]Retail Price List'!$C$4:$F$102,3,FALSE),"")</f>
        <v/>
      </c>
      <c r="K1634" s="272">
        <f>IFERROR(IF(BA1634="WIP - 30 Days",VLOOKUP(D1634,[3]Standard!$B$9:$E$101,4,FALSE),IF(BA1634="31-120 Days",VLOOKUP(D1634,[3]Standard!$B$9:$F$101,5,FALSE),IF(BA1634="121-365 Days",VLOOKUP(D1634,[3]Standard!$B$9:$G$101,6,FALSE),VLOOKUP(D1634,[3]Standard!$B$9:$H$101,7,FALSE)))),0)</f>
        <v>0</v>
      </c>
      <c r="L1634" s="272">
        <f>IFERROR(IF(BA1634="WIP - 30 Days",VLOOKUP(D1634,[3]Standard!$B$9:$J$101,9,FALSE),IF(BA1634="31-120 Days",VLOOKUP(D1634,[3]Standard!$B$9:$K$100,10,FALSE),IF(BA1634="121-365 Days",VLOOKUP(D1634,[3]Standard!$B$9:$L$101,11,FALSE),VLOOKUP(D1634,[3]Standard!$B$9:$M$101,12,FALSE)))),0)</f>
        <v>0</v>
      </c>
      <c r="M1634" s="269" t="str">
        <f>IFERROR(VLOOKUP((D1634&amp;C1634)&amp;"",'[2]Retail Price List'!$C$4:$F$102,4,FALSE),"")</f>
        <v/>
      </c>
      <c r="N1634" s="269">
        <f>IFERROR(IF(BA1634="WIP - 30 Days",VLOOKUP(D1634,[3]Extended!$B$9:$E$101,4,FALSE),IF(BA1634="31-120 Days",VLOOKUP(D1634,[3]Extended!$B$9:$F$101,5,FALSE),IF(BA1634="121-365 Days",VLOOKUP(D1634,[3]Extended!$B$9:$G$101,6,FALSE),VLOOKUP(D1634,[3]Extended!$B$9:$H$101,7,FALSE)))),0)</f>
        <v>0</v>
      </c>
      <c r="O1634" s="269">
        <f>IFERROR(IF(BA1634="WIP - 30 Days",VLOOKUP(D1634,[3]Extended!$B$9:$J$101,9,FALSE),IF(BA1634="31-120 Days",VLOOKUP(D1634,[3]Extended!$B$9:$K$101,10,FALSE),IF(BA1634="121-365 Days",VLOOKUP(D1634,[3]Extended!$B$9:$L$101,11,FALSE),VLOOKUP(D1634,[3]Extended!$B$9:$M$101,12,FALSE)))),0)</f>
        <v>0</v>
      </c>
      <c r="P1634" s="116" t="e">
        <f t="shared" si="126"/>
        <v>#VALUE!</v>
      </c>
      <c r="Q1634" s="110" t="e">
        <f>O1634-#REF!</f>
        <v>#REF!</v>
      </c>
      <c r="AT1634" s="88" t="str">
        <f t="shared" si="127"/>
        <v>Special Order0</v>
      </c>
      <c r="AU1634" s="89" t="str">
        <f t="shared" si="128"/>
        <v>01-1900</v>
      </c>
      <c r="BA1634" s="92" t="str">
        <f t="shared" si="129"/>
        <v/>
      </c>
    </row>
    <row r="1635" spans="2:53">
      <c r="B1635" s="60">
        <f>[2]Trucks!A1632</f>
        <v>0</v>
      </c>
      <c r="C1635" s="11">
        <f>[2]Trucks!B1632</f>
        <v>0</v>
      </c>
      <c r="D1635" s="19" t="str">
        <f>IFERROR(VLOOKUP(C1635&amp;"",'[2]Retail Price List'!$A$3:$B$103,2,FALSE),"Special Order")</f>
        <v>Special Order</v>
      </c>
      <c r="E1635" s="18">
        <f>[2]Trucks!J1632</f>
        <v>0</v>
      </c>
      <c r="F1635" s="12">
        <f>[2]Trucks!E1632</f>
        <v>0</v>
      </c>
      <c r="G1635" s="56">
        <f>[2]Trucks!K1632</f>
        <v>0</v>
      </c>
      <c r="H1635" s="46">
        <f>[2]Trucks!I1632</f>
        <v>0</v>
      </c>
      <c r="I1635" s="83" t="str">
        <f t="shared" si="125"/>
        <v/>
      </c>
      <c r="J1635" s="272" t="str">
        <f>IFERROR(VLOOKUP((D1635&amp;C1635)&amp;"",'[2]Retail Price List'!$C$4:$F$102,3,FALSE),"")</f>
        <v/>
      </c>
      <c r="K1635" s="272">
        <f>IFERROR(IF(BA1635="WIP - 30 Days",VLOOKUP(D1635,[3]Standard!$B$9:$E$101,4,FALSE),IF(BA1635="31-120 Days",VLOOKUP(D1635,[3]Standard!$B$9:$F$101,5,FALSE),IF(BA1635="121-365 Days",VLOOKUP(D1635,[3]Standard!$B$9:$G$101,6,FALSE),VLOOKUP(D1635,[3]Standard!$B$9:$H$101,7,FALSE)))),0)</f>
        <v>0</v>
      </c>
      <c r="L1635" s="272">
        <f>IFERROR(IF(BA1635="WIP - 30 Days",VLOOKUP(D1635,[3]Standard!$B$9:$J$101,9,FALSE),IF(BA1635="31-120 Days",VLOOKUP(D1635,[3]Standard!$B$9:$K$100,10,FALSE),IF(BA1635="121-365 Days",VLOOKUP(D1635,[3]Standard!$B$9:$L$101,11,FALSE),VLOOKUP(D1635,[3]Standard!$B$9:$M$101,12,FALSE)))),0)</f>
        <v>0</v>
      </c>
      <c r="M1635" s="269" t="str">
        <f>IFERROR(VLOOKUP((D1635&amp;C1635)&amp;"",'[2]Retail Price List'!$C$4:$F$102,4,FALSE),"")</f>
        <v/>
      </c>
      <c r="N1635" s="269">
        <f>IFERROR(IF(BA1635="WIP - 30 Days",VLOOKUP(D1635,[3]Extended!$B$9:$E$101,4,FALSE),IF(BA1635="31-120 Days",VLOOKUP(D1635,[3]Extended!$B$9:$F$101,5,FALSE),IF(BA1635="121-365 Days",VLOOKUP(D1635,[3]Extended!$B$9:$G$101,6,FALSE),VLOOKUP(D1635,[3]Extended!$B$9:$H$101,7,FALSE)))),0)</f>
        <v>0</v>
      </c>
      <c r="O1635" s="269">
        <f>IFERROR(IF(BA1635="WIP - 30 Days",VLOOKUP(D1635,[3]Extended!$B$9:$J$101,9,FALSE),IF(BA1635="31-120 Days",VLOOKUP(D1635,[3]Extended!$B$9:$K$101,10,FALSE),IF(BA1635="121-365 Days",VLOOKUP(D1635,[3]Extended!$B$9:$L$101,11,FALSE),VLOOKUP(D1635,[3]Extended!$B$9:$M$101,12,FALSE)))),0)</f>
        <v>0</v>
      </c>
      <c r="P1635" s="116" t="e">
        <f t="shared" si="126"/>
        <v>#VALUE!</v>
      </c>
      <c r="Q1635" s="110" t="e">
        <f>O1635-#REF!</f>
        <v>#REF!</v>
      </c>
      <c r="AT1635" s="88" t="str">
        <f t="shared" si="127"/>
        <v>Special Order0</v>
      </c>
      <c r="AU1635" s="89" t="str">
        <f t="shared" si="128"/>
        <v>01-1900</v>
      </c>
      <c r="BA1635" s="92" t="str">
        <f t="shared" si="129"/>
        <v/>
      </c>
    </row>
    <row r="1636" spans="2:53">
      <c r="B1636" s="60">
        <f>[2]Trucks!A1633</f>
        <v>0</v>
      </c>
      <c r="C1636" s="11">
        <f>[2]Trucks!B1633</f>
        <v>0</v>
      </c>
      <c r="D1636" s="19" t="str">
        <f>IFERROR(VLOOKUP(C1636&amp;"",'[2]Retail Price List'!$A$3:$B$103,2,FALSE),"Special Order")</f>
        <v>Special Order</v>
      </c>
      <c r="E1636" s="18">
        <f>[2]Trucks!J1633</f>
        <v>0</v>
      </c>
      <c r="F1636" s="12">
        <f>[2]Trucks!E1633</f>
        <v>0</v>
      </c>
      <c r="G1636" s="56">
        <f>[2]Trucks!K1633</f>
        <v>0</v>
      </c>
      <c r="H1636" s="46">
        <f>[2]Trucks!I1633</f>
        <v>0</v>
      </c>
      <c r="I1636" s="83" t="str">
        <f t="shared" si="125"/>
        <v/>
      </c>
      <c r="J1636" s="272" t="str">
        <f>IFERROR(VLOOKUP((D1636&amp;C1636)&amp;"",'[2]Retail Price List'!$C$4:$F$102,3,FALSE),"")</f>
        <v/>
      </c>
      <c r="K1636" s="272">
        <f>IFERROR(IF(BA1636="WIP - 30 Days",VLOOKUP(D1636,[3]Standard!$B$9:$E$101,4,FALSE),IF(BA1636="31-120 Days",VLOOKUP(D1636,[3]Standard!$B$9:$F$101,5,FALSE),IF(BA1636="121-365 Days",VLOOKUP(D1636,[3]Standard!$B$9:$G$101,6,FALSE),VLOOKUP(D1636,[3]Standard!$B$9:$H$101,7,FALSE)))),0)</f>
        <v>0</v>
      </c>
      <c r="L1636" s="272">
        <f>IFERROR(IF(BA1636="WIP - 30 Days",VLOOKUP(D1636,[3]Standard!$B$9:$J$101,9,FALSE),IF(BA1636="31-120 Days",VLOOKUP(D1636,[3]Standard!$B$9:$K$100,10,FALSE),IF(BA1636="121-365 Days",VLOOKUP(D1636,[3]Standard!$B$9:$L$101,11,FALSE),VLOOKUP(D1636,[3]Standard!$B$9:$M$101,12,FALSE)))),0)</f>
        <v>0</v>
      </c>
      <c r="M1636" s="269" t="str">
        <f>IFERROR(VLOOKUP((D1636&amp;C1636)&amp;"",'[2]Retail Price List'!$C$4:$F$102,4,FALSE),"")</f>
        <v/>
      </c>
      <c r="N1636" s="269">
        <f>IFERROR(IF(BA1636="WIP - 30 Days",VLOOKUP(D1636,[3]Extended!$B$9:$E$101,4,FALSE),IF(BA1636="31-120 Days",VLOOKUP(D1636,[3]Extended!$B$9:$F$101,5,FALSE),IF(BA1636="121-365 Days",VLOOKUP(D1636,[3]Extended!$B$9:$G$101,6,FALSE),VLOOKUP(D1636,[3]Extended!$B$9:$H$101,7,FALSE)))),0)</f>
        <v>0</v>
      </c>
      <c r="O1636" s="269">
        <f>IFERROR(IF(BA1636="WIP - 30 Days",VLOOKUP(D1636,[3]Extended!$B$9:$J$101,9,FALSE),IF(BA1636="31-120 Days",VLOOKUP(D1636,[3]Extended!$B$9:$K$101,10,FALSE),IF(BA1636="121-365 Days",VLOOKUP(D1636,[3]Extended!$B$9:$L$101,11,FALSE),VLOOKUP(D1636,[3]Extended!$B$9:$M$101,12,FALSE)))),0)</f>
        <v>0</v>
      </c>
      <c r="P1636" s="116" t="e">
        <f t="shared" si="126"/>
        <v>#VALUE!</v>
      </c>
      <c r="Q1636" s="110" t="e">
        <f>O1636-#REF!</f>
        <v>#REF!</v>
      </c>
      <c r="AT1636" s="88" t="str">
        <f t="shared" si="127"/>
        <v>Special Order0</v>
      </c>
      <c r="AU1636" s="89" t="str">
        <f t="shared" si="128"/>
        <v>01-1900</v>
      </c>
      <c r="BA1636" s="92" t="str">
        <f t="shared" si="129"/>
        <v/>
      </c>
    </row>
    <row r="1637" spans="2:53">
      <c r="B1637" s="60">
        <f>[2]Trucks!A1634</f>
        <v>0</v>
      </c>
      <c r="C1637" s="11">
        <f>[2]Trucks!B1634</f>
        <v>0</v>
      </c>
      <c r="D1637" s="19" t="str">
        <f>IFERROR(VLOOKUP(C1637&amp;"",'[2]Retail Price List'!$A$3:$B$103,2,FALSE),"Special Order")</f>
        <v>Special Order</v>
      </c>
      <c r="E1637" s="18">
        <f>[2]Trucks!J1634</f>
        <v>0</v>
      </c>
      <c r="F1637" s="12">
        <f>[2]Trucks!E1634</f>
        <v>0</v>
      </c>
      <c r="G1637" s="56">
        <f>[2]Trucks!K1634</f>
        <v>0</v>
      </c>
      <c r="H1637" s="46">
        <f>[2]Trucks!I1634</f>
        <v>0</v>
      </c>
      <c r="I1637" s="83" t="str">
        <f t="shared" si="125"/>
        <v/>
      </c>
      <c r="J1637" s="272" t="str">
        <f>IFERROR(VLOOKUP((D1637&amp;C1637)&amp;"",'[2]Retail Price List'!$C$4:$F$102,3,FALSE),"")</f>
        <v/>
      </c>
      <c r="K1637" s="272">
        <f>IFERROR(IF(BA1637="WIP - 30 Days",VLOOKUP(D1637,[3]Standard!$B$9:$E$101,4,FALSE),IF(BA1637="31-120 Days",VLOOKUP(D1637,[3]Standard!$B$9:$F$101,5,FALSE),IF(BA1637="121-365 Days",VLOOKUP(D1637,[3]Standard!$B$9:$G$101,6,FALSE),VLOOKUP(D1637,[3]Standard!$B$9:$H$101,7,FALSE)))),0)</f>
        <v>0</v>
      </c>
      <c r="L1637" s="272">
        <f>IFERROR(IF(BA1637="WIP - 30 Days",VLOOKUP(D1637,[3]Standard!$B$9:$J$101,9,FALSE),IF(BA1637="31-120 Days",VLOOKUP(D1637,[3]Standard!$B$9:$K$100,10,FALSE),IF(BA1637="121-365 Days",VLOOKUP(D1637,[3]Standard!$B$9:$L$101,11,FALSE),VLOOKUP(D1637,[3]Standard!$B$9:$M$101,12,FALSE)))),0)</f>
        <v>0</v>
      </c>
      <c r="M1637" s="269" t="str">
        <f>IFERROR(VLOOKUP((D1637&amp;C1637)&amp;"",'[2]Retail Price List'!$C$4:$F$102,4,FALSE),"")</f>
        <v/>
      </c>
      <c r="N1637" s="269">
        <f>IFERROR(IF(BA1637="WIP - 30 Days",VLOOKUP(D1637,[3]Extended!$B$9:$E$101,4,FALSE),IF(BA1637="31-120 Days",VLOOKUP(D1637,[3]Extended!$B$9:$F$101,5,FALSE),IF(BA1637="121-365 Days",VLOOKUP(D1637,[3]Extended!$B$9:$G$101,6,FALSE),VLOOKUP(D1637,[3]Extended!$B$9:$H$101,7,FALSE)))),0)</f>
        <v>0</v>
      </c>
      <c r="O1637" s="269">
        <f>IFERROR(IF(BA1637="WIP - 30 Days",VLOOKUP(D1637,[3]Extended!$B$9:$J$101,9,FALSE),IF(BA1637="31-120 Days",VLOOKUP(D1637,[3]Extended!$B$9:$K$101,10,FALSE),IF(BA1637="121-365 Days",VLOOKUP(D1637,[3]Extended!$B$9:$L$101,11,FALSE),VLOOKUP(D1637,[3]Extended!$B$9:$M$101,12,FALSE)))),0)</f>
        <v>0</v>
      </c>
      <c r="P1637" s="116" t="e">
        <f t="shared" si="126"/>
        <v>#VALUE!</v>
      </c>
      <c r="Q1637" s="110" t="e">
        <f>O1637-#REF!</f>
        <v>#REF!</v>
      </c>
      <c r="AT1637" s="88" t="str">
        <f t="shared" si="127"/>
        <v>Special Order0</v>
      </c>
      <c r="AU1637" s="89" t="str">
        <f t="shared" si="128"/>
        <v>01-1900</v>
      </c>
      <c r="BA1637" s="92" t="str">
        <f t="shared" si="129"/>
        <v/>
      </c>
    </row>
    <row r="1638" spans="2:53">
      <c r="B1638" s="60">
        <f>[2]Trucks!A1635</f>
        <v>0</v>
      </c>
      <c r="C1638" s="11">
        <f>[2]Trucks!B1635</f>
        <v>0</v>
      </c>
      <c r="D1638" s="19" t="str">
        <f>IFERROR(VLOOKUP(C1638&amp;"",'[2]Retail Price List'!$A$3:$B$103,2,FALSE),"Special Order")</f>
        <v>Special Order</v>
      </c>
      <c r="E1638" s="18">
        <f>[2]Trucks!J1635</f>
        <v>0</v>
      </c>
      <c r="F1638" s="12">
        <f>[2]Trucks!E1635</f>
        <v>0</v>
      </c>
      <c r="G1638" s="56">
        <f>[2]Trucks!K1635</f>
        <v>0</v>
      </c>
      <c r="H1638" s="46">
        <f>[2]Trucks!I1635</f>
        <v>0</v>
      </c>
      <c r="I1638" s="83" t="str">
        <f t="shared" si="125"/>
        <v/>
      </c>
      <c r="J1638" s="272" t="str">
        <f>IFERROR(VLOOKUP((D1638&amp;C1638)&amp;"",'[2]Retail Price List'!$C$4:$F$102,3,FALSE),"")</f>
        <v/>
      </c>
      <c r="K1638" s="272">
        <f>IFERROR(IF(BA1638="WIP - 30 Days",VLOOKUP(D1638,[3]Standard!$B$9:$E$101,4,FALSE),IF(BA1638="31-120 Days",VLOOKUP(D1638,[3]Standard!$B$9:$F$101,5,FALSE),IF(BA1638="121-365 Days",VLOOKUP(D1638,[3]Standard!$B$9:$G$101,6,FALSE),VLOOKUP(D1638,[3]Standard!$B$9:$H$101,7,FALSE)))),0)</f>
        <v>0</v>
      </c>
      <c r="L1638" s="272">
        <f>IFERROR(IF(BA1638="WIP - 30 Days",VLOOKUP(D1638,[3]Standard!$B$9:$J$101,9,FALSE),IF(BA1638="31-120 Days",VLOOKUP(D1638,[3]Standard!$B$9:$K$100,10,FALSE),IF(BA1638="121-365 Days",VLOOKUP(D1638,[3]Standard!$B$9:$L$101,11,FALSE),VLOOKUP(D1638,[3]Standard!$B$9:$M$101,12,FALSE)))),0)</f>
        <v>0</v>
      </c>
      <c r="M1638" s="269" t="str">
        <f>IFERROR(VLOOKUP((D1638&amp;C1638)&amp;"",'[2]Retail Price List'!$C$4:$F$102,4,FALSE),"")</f>
        <v/>
      </c>
      <c r="N1638" s="269">
        <f>IFERROR(IF(BA1638="WIP - 30 Days",VLOOKUP(D1638,[3]Extended!$B$9:$E$101,4,FALSE),IF(BA1638="31-120 Days",VLOOKUP(D1638,[3]Extended!$B$9:$F$101,5,FALSE),IF(BA1638="121-365 Days",VLOOKUP(D1638,[3]Extended!$B$9:$G$101,6,FALSE),VLOOKUP(D1638,[3]Extended!$B$9:$H$101,7,FALSE)))),0)</f>
        <v>0</v>
      </c>
      <c r="O1638" s="269">
        <f>IFERROR(IF(BA1638="WIP - 30 Days",VLOOKUP(D1638,[3]Extended!$B$9:$J$101,9,FALSE),IF(BA1638="31-120 Days",VLOOKUP(D1638,[3]Extended!$B$9:$K$101,10,FALSE),IF(BA1638="121-365 Days",VLOOKUP(D1638,[3]Extended!$B$9:$L$101,11,FALSE),VLOOKUP(D1638,[3]Extended!$B$9:$M$101,12,FALSE)))),0)</f>
        <v>0</v>
      </c>
      <c r="P1638" s="116" t="e">
        <f t="shared" si="126"/>
        <v>#VALUE!</v>
      </c>
      <c r="Q1638" s="110" t="e">
        <f>O1638-#REF!</f>
        <v>#REF!</v>
      </c>
      <c r="AT1638" s="88" t="str">
        <f t="shared" si="127"/>
        <v>Special Order0</v>
      </c>
      <c r="AU1638" s="89" t="str">
        <f t="shared" si="128"/>
        <v>01-1900</v>
      </c>
      <c r="BA1638" s="92" t="str">
        <f t="shared" si="129"/>
        <v/>
      </c>
    </row>
    <row r="1639" spans="2:53">
      <c r="B1639" s="60">
        <f>[2]Trucks!A1636</f>
        <v>0</v>
      </c>
      <c r="C1639" s="11">
        <f>[2]Trucks!B1636</f>
        <v>0</v>
      </c>
      <c r="D1639" s="19" t="str">
        <f>IFERROR(VLOOKUP(C1639&amp;"",'[2]Retail Price List'!$A$3:$B$103,2,FALSE),"Special Order")</f>
        <v>Special Order</v>
      </c>
      <c r="E1639" s="18">
        <f>[2]Trucks!J1636</f>
        <v>0</v>
      </c>
      <c r="F1639" s="12">
        <f>[2]Trucks!E1636</f>
        <v>0</v>
      </c>
      <c r="G1639" s="56">
        <f>[2]Trucks!K1636</f>
        <v>0</v>
      </c>
      <c r="H1639" s="46">
        <f>[2]Trucks!I1636</f>
        <v>0</v>
      </c>
      <c r="I1639" s="83" t="str">
        <f t="shared" si="125"/>
        <v/>
      </c>
      <c r="J1639" s="272" t="str">
        <f>IFERROR(VLOOKUP((D1639&amp;C1639)&amp;"",'[2]Retail Price List'!$C$4:$F$102,3,FALSE),"")</f>
        <v/>
      </c>
      <c r="K1639" s="272">
        <f>IFERROR(IF(BA1639="WIP - 30 Days",VLOOKUP(D1639,[3]Standard!$B$9:$E$101,4,FALSE),IF(BA1639="31-120 Days",VLOOKUP(D1639,[3]Standard!$B$9:$F$101,5,FALSE),IF(BA1639="121-365 Days",VLOOKUP(D1639,[3]Standard!$B$9:$G$101,6,FALSE),VLOOKUP(D1639,[3]Standard!$B$9:$H$101,7,FALSE)))),0)</f>
        <v>0</v>
      </c>
      <c r="L1639" s="272">
        <f>IFERROR(IF(BA1639="WIP - 30 Days",VLOOKUP(D1639,[3]Standard!$B$9:$J$101,9,FALSE),IF(BA1639="31-120 Days",VLOOKUP(D1639,[3]Standard!$B$9:$K$100,10,FALSE),IF(BA1639="121-365 Days",VLOOKUP(D1639,[3]Standard!$B$9:$L$101,11,FALSE),VLOOKUP(D1639,[3]Standard!$B$9:$M$101,12,FALSE)))),0)</f>
        <v>0</v>
      </c>
      <c r="M1639" s="269" t="str">
        <f>IFERROR(VLOOKUP((D1639&amp;C1639)&amp;"",'[2]Retail Price List'!$C$4:$F$102,4,FALSE),"")</f>
        <v/>
      </c>
      <c r="N1639" s="269">
        <f>IFERROR(IF(BA1639="WIP - 30 Days",VLOOKUP(D1639,[3]Extended!$B$9:$E$101,4,FALSE),IF(BA1639="31-120 Days",VLOOKUP(D1639,[3]Extended!$B$9:$F$101,5,FALSE),IF(BA1639="121-365 Days",VLOOKUP(D1639,[3]Extended!$B$9:$G$101,6,FALSE),VLOOKUP(D1639,[3]Extended!$B$9:$H$101,7,FALSE)))),0)</f>
        <v>0</v>
      </c>
      <c r="O1639" s="269">
        <f>IFERROR(IF(BA1639="WIP - 30 Days",VLOOKUP(D1639,[3]Extended!$B$9:$J$101,9,FALSE),IF(BA1639="31-120 Days",VLOOKUP(D1639,[3]Extended!$B$9:$K$101,10,FALSE),IF(BA1639="121-365 Days",VLOOKUP(D1639,[3]Extended!$B$9:$L$101,11,FALSE),VLOOKUP(D1639,[3]Extended!$B$9:$M$101,12,FALSE)))),0)</f>
        <v>0</v>
      </c>
      <c r="P1639" s="116" t="e">
        <f t="shared" si="126"/>
        <v>#VALUE!</v>
      </c>
      <c r="Q1639" s="110" t="e">
        <f>O1639-#REF!</f>
        <v>#REF!</v>
      </c>
      <c r="AT1639" s="88" t="str">
        <f t="shared" si="127"/>
        <v>Special Order0</v>
      </c>
      <c r="AU1639" s="89" t="str">
        <f t="shared" si="128"/>
        <v>01-1900</v>
      </c>
      <c r="BA1639" s="92" t="str">
        <f t="shared" si="129"/>
        <v/>
      </c>
    </row>
    <row r="1640" spans="2:53">
      <c r="B1640" s="60">
        <f>[2]Trucks!A1637</f>
        <v>0</v>
      </c>
      <c r="C1640" s="11">
        <f>[2]Trucks!B1637</f>
        <v>0</v>
      </c>
      <c r="D1640" s="19" t="str">
        <f>IFERROR(VLOOKUP(C1640&amp;"",'[2]Retail Price List'!$A$3:$B$103,2,FALSE),"Special Order")</f>
        <v>Special Order</v>
      </c>
      <c r="E1640" s="18">
        <f>[2]Trucks!J1637</f>
        <v>0</v>
      </c>
      <c r="F1640" s="12">
        <f>[2]Trucks!E1637</f>
        <v>0</v>
      </c>
      <c r="G1640" s="56">
        <f>[2]Trucks!K1637</f>
        <v>0</v>
      </c>
      <c r="H1640" s="46">
        <f>[2]Trucks!I1637</f>
        <v>0</v>
      </c>
      <c r="I1640" s="83" t="str">
        <f t="shared" si="125"/>
        <v/>
      </c>
      <c r="J1640" s="272" t="str">
        <f>IFERROR(VLOOKUP((D1640&amp;C1640)&amp;"",'[2]Retail Price List'!$C$4:$F$102,3,FALSE),"")</f>
        <v/>
      </c>
      <c r="K1640" s="272">
        <f>IFERROR(IF(BA1640="WIP - 30 Days",VLOOKUP(D1640,[3]Standard!$B$9:$E$101,4,FALSE),IF(BA1640="31-120 Days",VLOOKUP(D1640,[3]Standard!$B$9:$F$101,5,FALSE),IF(BA1640="121-365 Days",VLOOKUP(D1640,[3]Standard!$B$9:$G$101,6,FALSE),VLOOKUP(D1640,[3]Standard!$B$9:$H$101,7,FALSE)))),0)</f>
        <v>0</v>
      </c>
      <c r="L1640" s="272">
        <f>IFERROR(IF(BA1640="WIP - 30 Days",VLOOKUP(D1640,[3]Standard!$B$9:$J$101,9,FALSE),IF(BA1640="31-120 Days",VLOOKUP(D1640,[3]Standard!$B$9:$K$100,10,FALSE),IF(BA1640="121-365 Days",VLOOKUP(D1640,[3]Standard!$B$9:$L$101,11,FALSE),VLOOKUP(D1640,[3]Standard!$B$9:$M$101,12,FALSE)))),0)</f>
        <v>0</v>
      </c>
      <c r="M1640" s="269" t="str">
        <f>IFERROR(VLOOKUP((D1640&amp;C1640)&amp;"",'[2]Retail Price List'!$C$4:$F$102,4,FALSE),"")</f>
        <v/>
      </c>
      <c r="N1640" s="269">
        <f>IFERROR(IF(BA1640="WIP - 30 Days",VLOOKUP(D1640,[3]Extended!$B$9:$E$101,4,FALSE),IF(BA1640="31-120 Days",VLOOKUP(D1640,[3]Extended!$B$9:$F$101,5,FALSE),IF(BA1640="121-365 Days",VLOOKUP(D1640,[3]Extended!$B$9:$G$101,6,FALSE),VLOOKUP(D1640,[3]Extended!$B$9:$H$101,7,FALSE)))),0)</f>
        <v>0</v>
      </c>
      <c r="O1640" s="269">
        <f>IFERROR(IF(BA1640="WIP - 30 Days",VLOOKUP(D1640,[3]Extended!$B$9:$J$101,9,FALSE),IF(BA1640="31-120 Days",VLOOKUP(D1640,[3]Extended!$B$9:$K$101,10,FALSE),IF(BA1640="121-365 Days",VLOOKUP(D1640,[3]Extended!$B$9:$L$101,11,FALSE),VLOOKUP(D1640,[3]Extended!$B$9:$M$101,12,FALSE)))),0)</f>
        <v>0</v>
      </c>
      <c r="P1640" s="116" t="e">
        <f t="shared" si="126"/>
        <v>#VALUE!</v>
      </c>
      <c r="Q1640" s="110" t="e">
        <f>O1640-#REF!</f>
        <v>#REF!</v>
      </c>
      <c r="AT1640" s="88" t="str">
        <f t="shared" si="127"/>
        <v>Special Order0</v>
      </c>
      <c r="AU1640" s="89" t="str">
        <f t="shared" si="128"/>
        <v>01-1900</v>
      </c>
      <c r="BA1640" s="92" t="str">
        <f t="shared" si="129"/>
        <v/>
      </c>
    </row>
    <row r="1641" spans="2:53">
      <c r="B1641" s="60">
        <f>[2]Trucks!A1638</f>
        <v>0</v>
      </c>
      <c r="C1641" s="11">
        <f>[2]Trucks!B1638</f>
        <v>0</v>
      </c>
      <c r="D1641" s="19" t="str">
        <f>IFERROR(VLOOKUP(C1641&amp;"",'[2]Retail Price List'!$A$3:$B$103,2,FALSE),"Special Order")</f>
        <v>Special Order</v>
      </c>
      <c r="E1641" s="18">
        <f>[2]Trucks!J1638</f>
        <v>0</v>
      </c>
      <c r="F1641" s="12">
        <f>[2]Trucks!E1638</f>
        <v>0</v>
      </c>
      <c r="G1641" s="56">
        <f>[2]Trucks!K1638</f>
        <v>0</v>
      </c>
      <c r="H1641" s="46">
        <f>[2]Trucks!I1638</f>
        <v>0</v>
      </c>
      <c r="I1641" s="83" t="str">
        <f t="shared" si="125"/>
        <v/>
      </c>
      <c r="J1641" s="272" t="str">
        <f>IFERROR(VLOOKUP((D1641&amp;C1641)&amp;"",'[2]Retail Price List'!$C$4:$F$102,3,FALSE),"")</f>
        <v/>
      </c>
      <c r="K1641" s="272">
        <f>IFERROR(IF(BA1641="WIP - 30 Days",VLOOKUP(D1641,[3]Standard!$B$9:$E$101,4,FALSE),IF(BA1641="31-120 Days",VLOOKUP(D1641,[3]Standard!$B$9:$F$101,5,FALSE),IF(BA1641="121-365 Days",VLOOKUP(D1641,[3]Standard!$B$9:$G$101,6,FALSE),VLOOKUP(D1641,[3]Standard!$B$9:$H$101,7,FALSE)))),0)</f>
        <v>0</v>
      </c>
      <c r="L1641" s="272">
        <f>IFERROR(IF(BA1641="WIP - 30 Days",VLOOKUP(D1641,[3]Standard!$B$9:$J$101,9,FALSE),IF(BA1641="31-120 Days",VLOOKUP(D1641,[3]Standard!$B$9:$K$100,10,FALSE),IF(BA1641="121-365 Days",VLOOKUP(D1641,[3]Standard!$B$9:$L$101,11,FALSE),VLOOKUP(D1641,[3]Standard!$B$9:$M$101,12,FALSE)))),0)</f>
        <v>0</v>
      </c>
      <c r="M1641" s="269" t="str">
        <f>IFERROR(VLOOKUP((D1641&amp;C1641)&amp;"",'[2]Retail Price List'!$C$4:$F$102,4,FALSE),"")</f>
        <v/>
      </c>
      <c r="N1641" s="269">
        <f>IFERROR(IF(BA1641="WIP - 30 Days",VLOOKUP(D1641,[3]Extended!$B$9:$E$101,4,FALSE),IF(BA1641="31-120 Days",VLOOKUP(D1641,[3]Extended!$B$9:$F$101,5,FALSE),IF(BA1641="121-365 Days",VLOOKUP(D1641,[3]Extended!$B$9:$G$101,6,FALSE),VLOOKUP(D1641,[3]Extended!$B$9:$H$101,7,FALSE)))),0)</f>
        <v>0</v>
      </c>
      <c r="O1641" s="269">
        <f>IFERROR(IF(BA1641="WIP - 30 Days",VLOOKUP(D1641,[3]Extended!$B$9:$J$101,9,FALSE),IF(BA1641="31-120 Days",VLOOKUP(D1641,[3]Extended!$B$9:$K$101,10,FALSE),IF(BA1641="121-365 Days",VLOOKUP(D1641,[3]Extended!$B$9:$L$101,11,FALSE),VLOOKUP(D1641,[3]Extended!$B$9:$M$101,12,FALSE)))),0)</f>
        <v>0</v>
      </c>
      <c r="P1641" s="116" t="e">
        <f t="shared" si="126"/>
        <v>#VALUE!</v>
      </c>
      <c r="Q1641" s="110" t="e">
        <f>O1641-#REF!</f>
        <v>#REF!</v>
      </c>
      <c r="AT1641" s="88" t="str">
        <f t="shared" si="127"/>
        <v>Special Order0</v>
      </c>
      <c r="AU1641" s="89" t="str">
        <f t="shared" si="128"/>
        <v>01-1900</v>
      </c>
      <c r="BA1641" s="92" t="str">
        <f t="shared" si="129"/>
        <v/>
      </c>
    </row>
    <row r="1642" spans="2:53">
      <c r="B1642" s="60">
        <f>[2]Trucks!A1639</f>
        <v>0</v>
      </c>
      <c r="C1642" s="11">
        <f>[2]Trucks!B1639</f>
        <v>0</v>
      </c>
      <c r="D1642" s="19" t="str">
        <f>IFERROR(VLOOKUP(C1642&amp;"",'[2]Retail Price List'!$A$3:$B$103,2,FALSE),"Special Order")</f>
        <v>Special Order</v>
      </c>
      <c r="E1642" s="18">
        <f>[2]Trucks!J1639</f>
        <v>0</v>
      </c>
      <c r="F1642" s="12">
        <f>[2]Trucks!E1639</f>
        <v>0</v>
      </c>
      <c r="G1642" s="56">
        <f>[2]Trucks!K1639</f>
        <v>0</v>
      </c>
      <c r="H1642" s="46">
        <f>[2]Trucks!I1639</f>
        <v>0</v>
      </c>
      <c r="I1642" s="83" t="str">
        <f t="shared" si="125"/>
        <v/>
      </c>
      <c r="J1642" s="272" t="str">
        <f>IFERROR(VLOOKUP((D1642&amp;C1642)&amp;"",'[2]Retail Price List'!$C$4:$F$102,3,FALSE),"")</f>
        <v/>
      </c>
      <c r="K1642" s="272">
        <f>IFERROR(IF(BA1642="WIP - 30 Days",VLOOKUP(D1642,[3]Standard!$B$9:$E$101,4,FALSE),IF(BA1642="31-120 Days",VLOOKUP(D1642,[3]Standard!$B$9:$F$101,5,FALSE),IF(BA1642="121-365 Days",VLOOKUP(D1642,[3]Standard!$B$9:$G$101,6,FALSE),VLOOKUP(D1642,[3]Standard!$B$9:$H$101,7,FALSE)))),0)</f>
        <v>0</v>
      </c>
      <c r="L1642" s="272">
        <f>IFERROR(IF(BA1642="WIP - 30 Days",VLOOKUP(D1642,[3]Standard!$B$9:$J$101,9,FALSE),IF(BA1642="31-120 Days",VLOOKUP(D1642,[3]Standard!$B$9:$K$100,10,FALSE),IF(BA1642="121-365 Days",VLOOKUP(D1642,[3]Standard!$B$9:$L$101,11,FALSE),VLOOKUP(D1642,[3]Standard!$B$9:$M$101,12,FALSE)))),0)</f>
        <v>0</v>
      </c>
      <c r="M1642" s="269" t="str">
        <f>IFERROR(VLOOKUP((D1642&amp;C1642)&amp;"",'[2]Retail Price List'!$C$4:$F$102,4,FALSE),"")</f>
        <v/>
      </c>
      <c r="N1642" s="269">
        <f>IFERROR(IF(BA1642="WIP - 30 Days",VLOOKUP(D1642,[3]Extended!$B$9:$E$101,4,FALSE),IF(BA1642="31-120 Days",VLOOKUP(D1642,[3]Extended!$B$9:$F$101,5,FALSE),IF(BA1642="121-365 Days",VLOOKUP(D1642,[3]Extended!$B$9:$G$101,6,FALSE),VLOOKUP(D1642,[3]Extended!$B$9:$H$101,7,FALSE)))),0)</f>
        <v>0</v>
      </c>
      <c r="O1642" s="269">
        <f>IFERROR(IF(BA1642="WIP - 30 Days",VLOOKUP(D1642,[3]Extended!$B$9:$J$101,9,FALSE),IF(BA1642="31-120 Days",VLOOKUP(D1642,[3]Extended!$B$9:$K$101,10,FALSE),IF(BA1642="121-365 Days",VLOOKUP(D1642,[3]Extended!$B$9:$L$101,11,FALSE),VLOOKUP(D1642,[3]Extended!$B$9:$M$101,12,FALSE)))),0)</f>
        <v>0</v>
      </c>
      <c r="P1642" s="116" t="e">
        <f t="shared" si="126"/>
        <v>#VALUE!</v>
      </c>
      <c r="Q1642" s="110" t="e">
        <f>O1642-#REF!</f>
        <v>#REF!</v>
      </c>
      <c r="AT1642" s="88" t="str">
        <f t="shared" si="127"/>
        <v>Special Order0</v>
      </c>
      <c r="AU1642" s="89" t="str">
        <f t="shared" si="128"/>
        <v>01-1900</v>
      </c>
      <c r="BA1642" s="92" t="str">
        <f t="shared" si="129"/>
        <v/>
      </c>
    </row>
    <row r="1643" spans="2:53">
      <c r="B1643" s="60">
        <f>[2]Trucks!A1640</f>
        <v>0</v>
      </c>
      <c r="C1643" s="11">
        <f>[2]Trucks!B1640</f>
        <v>0</v>
      </c>
      <c r="D1643" s="19" t="str">
        <f>IFERROR(VLOOKUP(C1643&amp;"",'[2]Retail Price List'!$A$3:$B$103,2,FALSE),"Special Order")</f>
        <v>Special Order</v>
      </c>
      <c r="E1643" s="18">
        <f>[2]Trucks!J1640</f>
        <v>0</v>
      </c>
      <c r="F1643" s="12">
        <f>[2]Trucks!E1640</f>
        <v>0</v>
      </c>
      <c r="G1643" s="56">
        <f>[2]Trucks!K1640</f>
        <v>0</v>
      </c>
      <c r="H1643" s="46">
        <f>[2]Trucks!I1640</f>
        <v>0</v>
      </c>
      <c r="I1643" s="83" t="str">
        <f t="shared" si="125"/>
        <v/>
      </c>
      <c r="J1643" s="272" t="str">
        <f>IFERROR(VLOOKUP((D1643&amp;C1643)&amp;"",'[2]Retail Price List'!$C$4:$F$102,3,FALSE),"")</f>
        <v/>
      </c>
      <c r="K1643" s="272">
        <f>IFERROR(IF(BA1643="WIP - 30 Days",VLOOKUP(D1643,[3]Standard!$B$9:$E$101,4,FALSE),IF(BA1643="31-120 Days",VLOOKUP(D1643,[3]Standard!$B$9:$F$101,5,FALSE),IF(BA1643="121-365 Days",VLOOKUP(D1643,[3]Standard!$B$9:$G$101,6,FALSE),VLOOKUP(D1643,[3]Standard!$B$9:$H$101,7,FALSE)))),0)</f>
        <v>0</v>
      </c>
      <c r="L1643" s="272">
        <f>IFERROR(IF(BA1643="WIP - 30 Days",VLOOKUP(D1643,[3]Standard!$B$9:$J$101,9,FALSE),IF(BA1643="31-120 Days",VLOOKUP(D1643,[3]Standard!$B$9:$K$100,10,FALSE),IF(BA1643="121-365 Days",VLOOKUP(D1643,[3]Standard!$B$9:$L$101,11,FALSE),VLOOKUP(D1643,[3]Standard!$B$9:$M$101,12,FALSE)))),0)</f>
        <v>0</v>
      </c>
      <c r="M1643" s="269" t="str">
        <f>IFERROR(VLOOKUP((D1643&amp;C1643)&amp;"",'[2]Retail Price List'!$C$4:$F$102,4,FALSE),"")</f>
        <v/>
      </c>
      <c r="N1643" s="269">
        <f>IFERROR(IF(BA1643="WIP - 30 Days",VLOOKUP(D1643,[3]Extended!$B$9:$E$101,4,FALSE),IF(BA1643="31-120 Days",VLOOKUP(D1643,[3]Extended!$B$9:$F$101,5,FALSE),IF(BA1643="121-365 Days",VLOOKUP(D1643,[3]Extended!$B$9:$G$101,6,FALSE),VLOOKUP(D1643,[3]Extended!$B$9:$H$101,7,FALSE)))),0)</f>
        <v>0</v>
      </c>
      <c r="O1643" s="269">
        <f>IFERROR(IF(BA1643="WIP - 30 Days",VLOOKUP(D1643,[3]Extended!$B$9:$J$101,9,FALSE),IF(BA1643="31-120 Days",VLOOKUP(D1643,[3]Extended!$B$9:$K$101,10,FALSE),IF(BA1643="121-365 Days",VLOOKUP(D1643,[3]Extended!$B$9:$L$101,11,FALSE),VLOOKUP(D1643,[3]Extended!$B$9:$M$101,12,FALSE)))),0)</f>
        <v>0</v>
      </c>
      <c r="P1643" s="116" t="e">
        <f t="shared" si="126"/>
        <v>#VALUE!</v>
      </c>
      <c r="Q1643" s="110" t="e">
        <f>O1643-#REF!</f>
        <v>#REF!</v>
      </c>
      <c r="AT1643" s="88" t="str">
        <f t="shared" si="127"/>
        <v>Special Order0</v>
      </c>
      <c r="AU1643" s="89" t="str">
        <f t="shared" si="128"/>
        <v>01-1900</v>
      </c>
      <c r="BA1643" s="92" t="str">
        <f t="shared" si="129"/>
        <v/>
      </c>
    </row>
    <row r="1644" spans="2:53">
      <c r="B1644" s="60">
        <f>[2]Trucks!A1641</f>
        <v>0</v>
      </c>
      <c r="C1644" s="11">
        <f>[2]Trucks!B1641</f>
        <v>0</v>
      </c>
      <c r="D1644" s="19" t="str">
        <f>IFERROR(VLOOKUP(C1644&amp;"",'[2]Retail Price List'!$A$3:$B$103,2,FALSE),"Special Order")</f>
        <v>Special Order</v>
      </c>
      <c r="E1644" s="18">
        <f>[2]Trucks!J1641</f>
        <v>0</v>
      </c>
      <c r="F1644" s="12">
        <f>[2]Trucks!E1641</f>
        <v>0</v>
      </c>
      <c r="G1644" s="56">
        <f>[2]Trucks!K1641</f>
        <v>0</v>
      </c>
      <c r="H1644" s="46">
        <f>[2]Trucks!I1641</f>
        <v>0</v>
      </c>
      <c r="I1644" s="83" t="str">
        <f t="shared" si="125"/>
        <v/>
      </c>
      <c r="J1644" s="272" t="str">
        <f>IFERROR(VLOOKUP((D1644&amp;C1644)&amp;"",'[2]Retail Price List'!$C$4:$F$102,3,FALSE),"")</f>
        <v/>
      </c>
      <c r="K1644" s="272">
        <f>IFERROR(IF(BA1644="WIP - 30 Days",VLOOKUP(D1644,[3]Standard!$B$9:$E$101,4,FALSE),IF(BA1644="31-120 Days",VLOOKUP(D1644,[3]Standard!$B$9:$F$101,5,FALSE),IF(BA1644="121-365 Days",VLOOKUP(D1644,[3]Standard!$B$9:$G$101,6,FALSE),VLOOKUP(D1644,[3]Standard!$B$9:$H$101,7,FALSE)))),0)</f>
        <v>0</v>
      </c>
      <c r="L1644" s="272">
        <f>IFERROR(IF(BA1644="WIP - 30 Days",VLOOKUP(D1644,[3]Standard!$B$9:$J$101,9,FALSE),IF(BA1644="31-120 Days",VLOOKUP(D1644,[3]Standard!$B$9:$K$100,10,FALSE),IF(BA1644="121-365 Days",VLOOKUP(D1644,[3]Standard!$B$9:$L$101,11,FALSE),VLOOKUP(D1644,[3]Standard!$B$9:$M$101,12,FALSE)))),0)</f>
        <v>0</v>
      </c>
      <c r="M1644" s="269" t="str">
        <f>IFERROR(VLOOKUP((D1644&amp;C1644)&amp;"",'[2]Retail Price List'!$C$4:$F$102,4,FALSE),"")</f>
        <v/>
      </c>
      <c r="N1644" s="269">
        <f>IFERROR(IF(BA1644="WIP - 30 Days",VLOOKUP(D1644,[3]Extended!$B$9:$E$101,4,FALSE),IF(BA1644="31-120 Days",VLOOKUP(D1644,[3]Extended!$B$9:$F$101,5,FALSE),IF(BA1644="121-365 Days",VLOOKUP(D1644,[3]Extended!$B$9:$G$101,6,FALSE),VLOOKUP(D1644,[3]Extended!$B$9:$H$101,7,FALSE)))),0)</f>
        <v>0</v>
      </c>
      <c r="O1644" s="269">
        <f>IFERROR(IF(BA1644="WIP - 30 Days",VLOOKUP(D1644,[3]Extended!$B$9:$J$101,9,FALSE),IF(BA1644="31-120 Days",VLOOKUP(D1644,[3]Extended!$B$9:$K$101,10,FALSE),IF(BA1644="121-365 Days",VLOOKUP(D1644,[3]Extended!$B$9:$L$101,11,FALSE),VLOOKUP(D1644,[3]Extended!$B$9:$M$101,12,FALSE)))),0)</f>
        <v>0</v>
      </c>
      <c r="P1644" s="116" t="e">
        <f t="shared" si="126"/>
        <v>#VALUE!</v>
      </c>
      <c r="Q1644" s="110" t="e">
        <f>O1644-#REF!</f>
        <v>#REF!</v>
      </c>
      <c r="AT1644" s="88" t="str">
        <f t="shared" si="127"/>
        <v>Special Order0</v>
      </c>
      <c r="AU1644" s="89" t="str">
        <f t="shared" si="128"/>
        <v>01-1900</v>
      </c>
      <c r="BA1644" s="92" t="str">
        <f t="shared" si="129"/>
        <v/>
      </c>
    </row>
    <row r="1645" spans="2:53">
      <c r="B1645" s="60">
        <f>[2]Trucks!A1642</f>
        <v>0</v>
      </c>
      <c r="C1645" s="11">
        <f>[2]Trucks!B1642</f>
        <v>0</v>
      </c>
      <c r="D1645" s="19" t="str">
        <f>IFERROR(VLOOKUP(C1645&amp;"",'[2]Retail Price List'!$A$3:$B$103,2,FALSE),"Special Order")</f>
        <v>Special Order</v>
      </c>
      <c r="E1645" s="18">
        <f>[2]Trucks!J1642</f>
        <v>0</v>
      </c>
      <c r="F1645" s="12">
        <f>[2]Trucks!E1642</f>
        <v>0</v>
      </c>
      <c r="G1645" s="56">
        <f>[2]Trucks!K1642</f>
        <v>0</v>
      </c>
      <c r="H1645" s="46">
        <f>[2]Trucks!I1642</f>
        <v>0</v>
      </c>
      <c r="I1645" s="83" t="str">
        <f t="shared" si="125"/>
        <v/>
      </c>
      <c r="J1645" s="272" t="str">
        <f>IFERROR(VLOOKUP((D1645&amp;C1645)&amp;"",'[2]Retail Price List'!$C$4:$F$102,3,FALSE),"")</f>
        <v/>
      </c>
      <c r="K1645" s="272">
        <f>IFERROR(IF(BA1645="WIP - 30 Days",VLOOKUP(D1645,[3]Standard!$B$9:$E$101,4,FALSE),IF(BA1645="31-120 Days",VLOOKUP(D1645,[3]Standard!$B$9:$F$101,5,FALSE),IF(BA1645="121-365 Days",VLOOKUP(D1645,[3]Standard!$B$9:$G$101,6,FALSE),VLOOKUP(D1645,[3]Standard!$B$9:$H$101,7,FALSE)))),0)</f>
        <v>0</v>
      </c>
      <c r="L1645" s="272">
        <f>IFERROR(IF(BA1645="WIP - 30 Days",VLOOKUP(D1645,[3]Standard!$B$9:$J$101,9,FALSE),IF(BA1645="31-120 Days",VLOOKUP(D1645,[3]Standard!$B$9:$K$100,10,FALSE),IF(BA1645="121-365 Days",VLOOKUP(D1645,[3]Standard!$B$9:$L$101,11,FALSE),VLOOKUP(D1645,[3]Standard!$B$9:$M$101,12,FALSE)))),0)</f>
        <v>0</v>
      </c>
      <c r="M1645" s="269" t="str">
        <f>IFERROR(VLOOKUP((D1645&amp;C1645)&amp;"",'[2]Retail Price List'!$C$4:$F$102,4,FALSE),"")</f>
        <v/>
      </c>
      <c r="N1645" s="269">
        <f>IFERROR(IF(BA1645="WIP - 30 Days",VLOOKUP(D1645,[3]Extended!$B$9:$E$101,4,FALSE),IF(BA1645="31-120 Days",VLOOKUP(D1645,[3]Extended!$B$9:$F$101,5,FALSE),IF(BA1645="121-365 Days",VLOOKUP(D1645,[3]Extended!$B$9:$G$101,6,FALSE),VLOOKUP(D1645,[3]Extended!$B$9:$H$101,7,FALSE)))),0)</f>
        <v>0</v>
      </c>
      <c r="O1645" s="269">
        <f>IFERROR(IF(BA1645="WIP - 30 Days",VLOOKUP(D1645,[3]Extended!$B$9:$J$101,9,FALSE),IF(BA1645="31-120 Days",VLOOKUP(D1645,[3]Extended!$B$9:$K$101,10,FALSE),IF(BA1645="121-365 Days",VLOOKUP(D1645,[3]Extended!$B$9:$L$101,11,FALSE),VLOOKUP(D1645,[3]Extended!$B$9:$M$101,12,FALSE)))),0)</f>
        <v>0</v>
      </c>
      <c r="P1645" s="116" t="e">
        <f t="shared" si="126"/>
        <v>#VALUE!</v>
      </c>
      <c r="Q1645" s="110" t="e">
        <f>O1645-#REF!</f>
        <v>#REF!</v>
      </c>
      <c r="AT1645" s="88" t="str">
        <f t="shared" si="127"/>
        <v>Special Order0</v>
      </c>
      <c r="AU1645" s="89" t="str">
        <f t="shared" si="128"/>
        <v>01-1900</v>
      </c>
      <c r="BA1645" s="92" t="str">
        <f t="shared" si="129"/>
        <v/>
      </c>
    </row>
    <row r="1646" spans="2:53">
      <c r="B1646" s="60">
        <f>[2]Trucks!A1643</f>
        <v>0</v>
      </c>
      <c r="C1646" s="11">
        <f>[2]Trucks!B1643</f>
        <v>0</v>
      </c>
      <c r="D1646" s="19" t="str">
        <f>IFERROR(VLOOKUP(C1646&amp;"",'[2]Retail Price List'!$A$3:$B$103,2,FALSE),"Special Order")</f>
        <v>Special Order</v>
      </c>
      <c r="E1646" s="18">
        <f>[2]Trucks!J1643</f>
        <v>0</v>
      </c>
      <c r="F1646" s="12">
        <f>[2]Trucks!E1643</f>
        <v>0</v>
      </c>
      <c r="G1646" s="56">
        <f>[2]Trucks!K1643</f>
        <v>0</v>
      </c>
      <c r="H1646" s="46">
        <f>[2]Trucks!I1643</f>
        <v>0</v>
      </c>
      <c r="I1646" s="83" t="str">
        <f t="shared" si="125"/>
        <v/>
      </c>
      <c r="J1646" s="272" t="str">
        <f>IFERROR(VLOOKUP((D1646&amp;C1646)&amp;"",'[2]Retail Price List'!$C$4:$F$102,3,FALSE),"")</f>
        <v/>
      </c>
      <c r="K1646" s="272">
        <f>IFERROR(IF(BA1646="WIP - 30 Days",VLOOKUP(D1646,[3]Standard!$B$9:$E$101,4,FALSE),IF(BA1646="31-120 Days",VLOOKUP(D1646,[3]Standard!$B$9:$F$101,5,FALSE),IF(BA1646="121-365 Days",VLOOKUP(D1646,[3]Standard!$B$9:$G$101,6,FALSE),VLOOKUP(D1646,[3]Standard!$B$9:$H$101,7,FALSE)))),0)</f>
        <v>0</v>
      </c>
      <c r="L1646" s="272">
        <f>IFERROR(IF(BA1646="WIP - 30 Days",VLOOKUP(D1646,[3]Standard!$B$9:$J$101,9,FALSE),IF(BA1646="31-120 Days",VLOOKUP(D1646,[3]Standard!$B$9:$K$100,10,FALSE),IF(BA1646="121-365 Days",VLOOKUP(D1646,[3]Standard!$B$9:$L$101,11,FALSE),VLOOKUP(D1646,[3]Standard!$B$9:$M$101,12,FALSE)))),0)</f>
        <v>0</v>
      </c>
      <c r="M1646" s="269" t="str">
        <f>IFERROR(VLOOKUP((D1646&amp;C1646)&amp;"",'[2]Retail Price List'!$C$4:$F$102,4,FALSE),"")</f>
        <v/>
      </c>
      <c r="N1646" s="269">
        <f>IFERROR(IF(BA1646="WIP - 30 Days",VLOOKUP(D1646,[3]Extended!$B$9:$E$101,4,FALSE),IF(BA1646="31-120 Days",VLOOKUP(D1646,[3]Extended!$B$9:$F$101,5,FALSE),IF(BA1646="121-365 Days",VLOOKUP(D1646,[3]Extended!$B$9:$G$101,6,FALSE),VLOOKUP(D1646,[3]Extended!$B$9:$H$101,7,FALSE)))),0)</f>
        <v>0</v>
      </c>
      <c r="O1646" s="269">
        <f>IFERROR(IF(BA1646="WIP - 30 Days",VLOOKUP(D1646,[3]Extended!$B$9:$J$101,9,FALSE),IF(BA1646="31-120 Days",VLOOKUP(D1646,[3]Extended!$B$9:$K$101,10,FALSE),IF(BA1646="121-365 Days",VLOOKUP(D1646,[3]Extended!$B$9:$L$101,11,FALSE),VLOOKUP(D1646,[3]Extended!$B$9:$M$101,12,FALSE)))),0)</f>
        <v>0</v>
      </c>
      <c r="P1646" s="116" t="e">
        <f t="shared" si="126"/>
        <v>#VALUE!</v>
      </c>
      <c r="Q1646" s="110" t="e">
        <f>O1646-#REF!</f>
        <v>#REF!</v>
      </c>
      <c r="AT1646" s="88" t="str">
        <f t="shared" si="127"/>
        <v>Special Order0</v>
      </c>
      <c r="AU1646" s="89" t="str">
        <f t="shared" si="128"/>
        <v>01-1900</v>
      </c>
      <c r="BA1646" s="92" t="str">
        <f t="shared" si="129"/>
        <v/>
      </c>
    </row>
    <row r="1647" spans="2:53">
      <c r="B1647" s="60">
        <f>[2]Trucks!A1644</f>
        <v>0</v>
      </c>
      <c r="C1647" s="11">
        <f>[2]Trucks!B1644</f>
        <v>0</v>
      </c>
      <c r="D1647" s="19" t="str">
        <f>IFERROR(VLOOKUP(C1647&amp;"",'[2]Retail Price List'!$A$3:$B$103,2,FALSE),"Special Order")</f>
        <v>Special Order</v>
      </c>
      <c r="E1647" s="18">
        <f>[2]Trucks!J1644</f>
        <v>0</v>
      </c>
      <c r="F1647" s="12">
        <f>[2]Trucks!E1644</f>
        <v>0</v>
      </c>
      <c r="G1647" s="56">
        <f>[2]Trucks!K1644</f>
        <v>0</v>
      </c>
      <c r="H1647" s="46">
        <f>[2]Trucks!I1644</f>
        <v>0</v>
      </c>
      <c r="I1647" s="83" t="str">
        <f t="shared" si="125"/>
        <v/>
      </c>
      <c r="J1647" s="272" t="str">
        <f>IFERROR(VLOOKUP((D1647&amp;C1647)&amp;"",'[2]Retail Price List'!$C$4:$F$102,3,FALSE),"")</f>
        <v/>
      </c>
      <c r="K1647" s="272">
        <f>IFERROR(IF(BA1647="WIP - 30 Days",VLOOKUP(D1647,[3]Standard!$B$9:$E$101,4,FALSE),IF(BA1647="31-120 Days",VLOOKUP(D1647,[3]Standard!$B$9:$F$101,5,FALSE),IF(BA1647="121-365 Days",VLOOKUP(D1647,[3]Standard!$B$9:$G$101,6,FALSE),VLOOKUP(D1647,[3]Standard!$B$9:$H$101,7,FALSE)))),0)</f>
        <v>0</v>
      </c>
      <c r="L1647" s="272">
        <f>IFERROR(IF(BA1647="WIP - 30 Days",VLOOKUP(D1647,[3]Standard!$B$9:$J$101,9,FALSE),IF(BA1647="31-120 Days",VLOOKUP(D1647,[3]Standard!$B$9:$K$100,10,FALSE),IF(BA1647="121-365 Days",VLOOKUP(D1647,[3]Standard!$B$9:$L$101,11,FALSE),VLOOKUP(D1647,[3]Standard!$B$9:$M$101,12,FALSE)))),0)</f>
        <v>0</v>
      </c>
      <c r="M1647" s="269" t="str">
        <f>IFERROR(VLOOKUP((D1647&amp;C1647)&amp;"",'[2]Retail Price List'!$C$4:$F$102,4,FALSE),"")</f>
        <v/>
      </c>
      <c r="N1647" s="269">
        <f>IFERROR(IF(BA1647="WIP - 30 Days",VLOOKUP(D1647,[3]Extended!$B$9:$E$101,4,FALSE),IF(BA1647="31-120 Days",VLOOKUP(D1647,[3]Extended!$B$9:$F$101,5,FALSE),IF(BA1647="121-365 Days",VLOOKUP(D1647,[3]Extended!$B$9:$G$101,6,FALSE),VLOOKUP(D1647,[3]Extended!$B$9:$H$101,7,FALSE)))),0)</f>
        <v>0</v>
      </c>
      <c r="O1647" s="269">
        <f>IFERROR(IF(BA1647="WIP - 30 Days",VLOOKUP(D1647,[3]Extended!$B$9:$J$101,9,FALSE),IF(BA1647="31-120 Days",VLOOKUP(D1647,[3]Extended!$B$9:$K$101,10,FALSE),IF(BA1647="121-365 Days",VLOOKUP(D1647,[3]Extended!$B$9:$L$101,11,FALSE),VLOOKUP(D1647,[3]Extended!$B$9:$M$101,12,FALSE)))),0)</f>
        <v>0</v>
      </c>
      <c r="P1647" s="116" t="e">
        <f t="shared" si="126"/>
        <v>#VALUE!</v>
      </c>
      <c r="Q1647" s="110" t="e">
        <f>O1647-#REF!</f>
        <v>#REF!</v>
      </c>
      <c r="AT1647" s="88" t="str">
        <f t="shared" si="127"/>
        <v>Special Order0</v>
      </c>
      <c r="AU1647" s="89" t="str">
        <f t="shared" si="128"/>
        <v>01-1900</v>
      </c>
      <c r="BA1647" s="92" t="str">
        <f t="shared" si="129"/>
        <v/>
      </c>
    </row>
    <row r="1648" spans="2:53">
      <c r="B1648" s="60">
        <f>[2]Trucks!A1645</f>
        <v>0</v>
      </c>
      <c r="C1648" s="11">
        <f>[2]Trucks!B1645</f>
        <v>0</v>
      </c>
      <c r="D1648" s="19" t="str">
        <f>IFERROR(VLOOKUP(C1648&amp;"",'[2]Retail Price List'!$A$3:$B$103,2,FALSE),"Special Order")</f>
        <v>Special Order</v>
      </c>
      <c r="E1648" s="18">
        <f>[2]Trucks!J1645</f>
        <v>0</v>
      </c>
      <c r="F1648" s="12">
        <f>[2]Trucks!E1645</f>
        <v>0</v>
      </c>
      <c r="G1648" s="56">
        <f>[2]Trucks!K1645</f>
        <v>0</v>
      </c>
      <c r="H1648" s="46">
        <f>[2]Trucks!I1645</f>
        <v>0</v>
      </c>
      <c r="I1648" s="83" t="str">
        <f t="shared" si="125"/>
        <v/>
      </c>
      <c r="J1648" s="272" t="str">
        <f>IFERROR(VLOOKUP((D1648&amp;C1648)&amp;"",'[2]Retail Price List'!$C$4:$F$102,3,FALSE),"")</f>
        <v/>
      </c>
      <c r="K1648" s="272">
        <f>IFERROR(IF(BA1648="WIP - 30 Days",VLOOKUP(D1648,[3]Standard!$B$9:$E$101,4,FALSE),IF(BA1648="31-120 Days",VLOOKUP(D1648,[3]Standard!$B$9:$F$101,5,FALSE),IF(BA1648="121-365 Days",VLOOKUP(D1648,[3]Standard!$B$9:$G$101,6,FALSE),VLOOKUP(D1648,[3]Standard!$B$9:$H$101,7,FALSE)))),0)</f>
        <v>0</v>
      </c>
      <c r="L1648" s="272">
        <f>IFERROR(IF(BA1648="WIP - 30 Days",VLOOKUP(D1648,[3]Standard!$B$9:$J$101,9,FALSE),IF(BA1648="31-120 Days",VLOOKUP(D1648,[3]Standard!$B$9:$K$100,10,FALSE),IF(BA1648="121-365 Days",VLOOKUP(D1648,[3]Standard!$B$9:$L$101,11,FALSE),VLOOKUP(D1648,[3]Standard!$B$9:$M$101,12,FALSE)))),0)</f>
        <v>0</v>
      </c>
      <c r="M1648" s="269" t="str">
        <f>IFERROR(VLOOKUP((D1648&amp;C1648)&amp;"",'[2]Retail Price List'!$C$4:$F$102,4,FALSE),"")</f>
        <v/>
      </c>
      <c r="N1648" s="269">
        <f>IFERROR(IF(BA1648="WIP - 30 Days",VLOOKUP(D1648,[3]Extended!$B$9:$E$101,4,FALSE),IF(BA1648="31-120 Days",VLOOKUP(D1648,[3]Extended!$B$9:$F$101,5,FALSE),IF(BA1648="121-365 Days",VLOOKUP(D1648,[3]Extended!$B$9:$G$101,6,FALSE),VLOOKUP(D1648,[3]Extended!$B$9:$H$101,7,FALSE)))),0)</f>
        <v>0</v>
      </c>
      <c r="O1648" s="269">
        <f>IFERROR(IF(BA1648="WIP - 30 Days",VLOOKUP(D1648,[3]Extended!$B$9:$J$101,9,FALSE),IF(BA1648="31-120 Days",VLOOKUP(D1648,[3]Extended!$B$9:$K$101,10,FALSE),IF(BA1648="121-365 Days",VLOOKUP(D1648,[3]Extended!$B$9:$L$101,11,FALSE),VLOOKUP(D1648,[3]Extended!$B$9:$M$101,12,FALSE)))),0)</f>
        <v>0</v>
      </c>
      <c r="P1648" s="116" t="e">
        <f t="shared" si="126"/>
        <v>#VALUE!</v>
      </c>
      <c r="Q1648" s="110" t="e">
        <f>O1648-#REF!</f>
        <v>#REF!</v>
      </c>
      <c r="AT1648" s="88" t="str">
        <f t="shared" si="127"/>
        <v>Special Order0</v>
      </c>
      <c r="AU1648" s="89" t="str">
        <f t="shared" si="128"/>
        <v>01-1900</v>
      </c>
      <c r="BA1648" s="92" t="str">
        <f t="shared" si="129"/>
        <v/>
      </c>
    </row>
    <row r="1649" spans="2:53">
      <c r="B1649" s="60">
        <f>[2]Trucks!A1646</f>
        <v>0</v>
      </c>
      <c r="C1649" s="11">
        <f>[2]Trucks!B1646</f>
        <v>0</v>
      </c>
      <c r="D1649" s="19" t="str">
        <f>IFERROR(VLOOKUP(C1649&amp;"",'[2]Retail Price List'!$A$3:$B$103,2,FALSE),"Special Order")</f>
        <v>Special Order</v>
      </c>
      <c r="E1649" s="18">
        <f>[2]Trucks!J1646</f>
        <v>0</v>
      </c>
      <c r="F1649" s="12">
        <f>[2]Trucks!E1646</f>
        <v>0</v>
      </c>
      <c r="G1649" s="56">
        <f>[2]Trucks!K1646</f>
        <v>0</v>
      </c>
      <c r="H1649" s="46">
        <f>[2]Trucks!I1646</f>
        <v>0</v>
      </c>
      <c r="I1649" s="83" t="str">
        <f t="shared" si="125"/>
        <v/>
      </c>
      <c r="J1649" s="272" t="str">
        <f>IFERROR(VLOOKUP((D1649&amp;C1649)&amp;"",'[2]Retail Price List'!$C$4:$F$102,3,FALSE),"")</f>
        <v/>
      </c>
      <c r="K1649" s="272">
        <f>IFERROR(IF(BA1649="WIP - 30 Days",VLOOKUP(D1649,[3]Standard!$B$9:$E$101,4,FALSE),IF(BA1649="31-120 Days",VLOOKUP(D1649,[3]Standard!$B$9:$F$101,5,FALSE),IF(BA1649="121-365 Days",VLOOKUP(D1649,[3]Standard!$B$9:$G$101,6,FALSE),VLOOKUP(D1649,[3]Standard!$B$9:$H$101,7,FALSE)))),0)</f>
        <v>0</v>
      </c>
      <c r="L1649" s="272">
        <f>IFERROR(IF(BA1649="WIP - 30 Days",VLOOKUP(D1649,[3]Standard!$B$9:$J$101,9,FALSE),IF(BA1649="31-120 Days",VLOOKUP(D1649,[3]Standard!$B$9:$K$100,10,FALSE),IF(BA1649="121-365 Days",VLOOKUP(D1649,[3]Standard!$B$9:$L$101,11,FALSE),VLOOKUP(D1649,[3]Standard!$B$9:$M$101,12,FALSE)))),0)</f>
        <v>0</v>
      </c>
      <c r="M1649" s="269" t="str">
        <f>IFERROR(VLOOKUP((D1649&amp;C1649)&amp;"",'[2]Retail Price List'!$C$4:$F$102,4,FALSE),"")</f>
        <v/>
      </c>
      <c r="N1649" s="269">
        <f>IFERROR(IF(BA1649="WIP - 30 Days",VLOOKUP(D1649,[3]Extended!$B$9:$E$101,4,FALSE),IF(BA1649="31-120 Days",VLOOKUP(D1649,[3]Extended!$B$9:$F$101,5,FALSE),IF(BA1649="121-365 Days",VLOOKUP(D1649,[3]Extended!$B$9:$G$101,6,FALSE),VLOOKUP(D1649,[3]Extended!$B$9:$H$101,7,FALSE)))),0)</f>
        <v>0</v>
      </c>
      <c r="O1649" s="269">
        <f>IFERROR(IF(BA1649="WIP - 30 Days",VLOOKUP(D1649,[3]Extended!$B$9:$J$101,9,FALSE),IF(BA1649="31-120 Days",VLOOKUP(D1649,[3]Extended!$B$9:$K$101,10,FALSE),IF(BA1649="121-365 Days",VLOOKUP(D1649,[3]Extended!$B$9:$L$101,11,FALSE),VLOOKUP(D1649,[3]Extended!$B$9:$M$101,12,FALSE)))),0)</f>
        <v>0</v>
      </c>
      <c r="P1649" s="116" t="e">
        <f t="shared" si="126"/>
        <v>#VALUE!</v>
      </c>
      <c r="Q1649" s="110" t="e">
        <f>O1649-#REF!</f>
        <v>#REF!</v>
      </c>
      <c r="AT1649" s="88" t="str">
        <f t="shared" si="127"/>
        <v>Special Order0</v>
      </c>
      <c r="AU1649" s="89" t="str">
        <f t="shared" si="128"/>
        <v>01-1900</v>
      </c>
      <c r="BA1649" s="92" t="str">
        <f t="shared" si="129"/>
        <v/>
      </c>
    </row>
    <row r="1650" spans="2:53">
      <c r="B1650" s="60">
        <f>[2]Trucks!A1647</f>
        <v>0</v>
      </c>
      <c r="C1650" s="11">
        <f>[2]Trucks!B1647</f>
        <v>0</v>
      </c>
      <c r="D1650" s="19" t="str">
        <f>IFERROR(VLOOKUP(C1650&amp;"",'[2]Retail Price List'!$A$3:$B$103,2,FALSE),"Special Order")</f>
        <v>Special Order</v>
      </c>
      <c r="E1650" s="18">
        <f>[2]Trucks!J1647</f>
        <v>0</v>
      </c>
      <c r="F1650" s="12">
        <f>[2]Trucks!E1647</f>
        <v>0</v>
      </c>
      <c r="G1650" s="56">
        <f>[2]Trucks!K1647</f>
        <v>0</v>
      </c>
      <c r="H1650" s="46">
        <f>[2]Trucks!I1647</f>
        <v>0</v>
      </c>
      <c r="I1650" s="83" t="str">
        <f t="shared" si="125"/>
        <v/>
      </c>
      <c r="J1650" s="272" t="str">
        <f>IFERROR(VLOOKUP((D1650&amp;C1650)&amp;"",'[2]Retail Price List'!$C$4:$F$102,3,FALSE),"")</f>
        <v/>
      </c>
      <c r="K1650" s="272">
        <f>IFERROR(IF(BA1650="WIP - 30 Days",VLOOKUP(D1650,[3]Standard!$B$9:$E$101,4,FALSE),IF(BA1650="31-120 Days",VLOOKUP(D1650,[3]Standard!$B$9:$F$101,5,FALSE),IF(BA1650="121-365 Days",VLOOKUP(D1650,[3]Standard!$B$9:$G$101,6,FALSE),VLOOKUP(D1650,[3]Standard!$B$9:$H$101,7,FALSE)))),0)</f>
        <v>0</v>
      </c>
      <c r="L1650" s="272">
        <f>IFERROR(IF(BA1650="WIP - 30 Days",VLOOKUP(D1650,[3]Standard!$B$9:$J$101,9,FALSE),IF(BA1650="31-120 Days",VLOOKUP(D1650,[3]Standard!$B$9:$K$100,10,FALSE),IF(BA1650="121-365 Days",VLOOKUP(D1650,[3]Standard!$B$9:$L$101,11,FALSE),VLOOKUP(D1650,[3]Standard!$B$9:$M$101,12,FALSE)))),0)</f>
        <v>0</v>
      </c>
      <c r="M1650" s="269" t="str">
        <f>IFERROR(VLOOKUP((D1650&amp;C1650)&amp;"",'[2]Retail Price List'!$C$4:$F$102,4,FALSE),"")</f>
        <v/>
      </c>
      <c r="N1650" s="269">
        <f>IFERROR(IF(BA1650="WIP - 30 Days",VLOOKUP(D1650,[3]Extended!$B$9:$E$101,4,FALSE),IF(BA1650="31-120 Days",VLOOKUP(D1650,[3]Extended!$B$9:$F$101,5,FALSE),IF(BA1650="121-365 Days",VLOOKUP(D1650,[3]Extended!$B$9:$G$101,6,FALSE),VLOOKUP(D1650,[3]Extended!$B$9:$H$101,7,FALSE)))),0)</f>
        <v>0</v>
      </c>
      <c r="O1650" s="269">
        <f>IFERROR(IF(BA1650="WIP - 30 Days",VLOOKUP(D1650,[3]Extended!$B$9:$J$101,9,FALSE),IF(BA1650="31-120 Days",VLOOKUP(D1650,[3]Extended!$B$9:$K$101,10,FALSE),IF(BA1650="121-365 Days",VLOOKUP(D1650,[3]Extended!$B$9:$L$101,11,FALSE),VLOOKUP(D1650,[3]Extended!$B$9:$M$101,12,FALSE)))),0)</f>
        <v>0</v>
      </c>
      <c r="P1650" s="116" t="e">
        <f t="shared" si="126"/>
        <v>#VALUE!</v>
      </c>
      <c r="Q1650" s="110" t="e">
        <f>O1650-#REF!</f>
        <v>#REF!</v>
      </c>
      <c r="AT1650" s="88" t="str">
        <f t="shared" si="127"/>
        <v>Special Order0</v>
      </c>
      <c r="AU1650" s="89" t="str">
        <f t="shared" si="128"/>
        <v>01-1900</v>
      </c>
      <c r="BA1650" s="92" t="str">
        <f t="shared" si="129"/>
        <v/>
      </c>
    </row>
    <row r="1651" spans="2:53">
      <c r="B1651" s="60">
        <f>[2]Trucks!A1648</f>
        <v>0</v>
      </c>
      <c r="C1651" s="11">
        <f>[2]Trucks!B1648</f>
        <v>0</v>
      </c>
      <c r="D1651" s="19" t="str">
        <f>IFERROR(VLOOKUP(C1651&amp;"",'[2]Retail Price List'!$A$3:$B$103,2,FALSE),"Special Order")</f>
        <v>Special Order</v>
      </c>
      <c r="E1651" s="18">
        <f>[2]Trucks!J1648</f>
        <v>0</v>
      </c>
      <c r="F1651" s="12">
        <f>[2]Trucks!E1648</f>
        <v>0</v>
      </c>
      <c r="G1651" s="56">
        <f>[2]Trucks!K1648</f>
        <v>0</v>
      </c>
      <c r="H1651" s="46">
        <f>[2]Trucks!I1648</f>
        <v>0</v>
      </c>
      <c r="I1651" s="83" t="str">
        <f t="shared" si="125"/>
        <v/>
      </c>
      <c r="J1651" s="272" t="str">
        <f>IFERROR(VLOOKUP((D1651&amp;C1651)&amp;"",'[2]Retail Price List'!$C$4:$F$102,3,FALSE),"")</f>
        <v/>
      </c>
      <c r="K1651" s="272">
        <f>IFERROR(IF(BA1651="WIP - 30 Days",VLOOKUP(D1651,[3]Standard!$B$9:$E$101,4,FALSE),IF(BA1651="31-120 Days",VLOOKUP(D1651,[3]Standard!$B$9:$F$101,5,FALSE),IF(BA1651="121-365 Days",VLOOKUP(D1651,[3]Standard!$B$9:$G$101,6,FALSE),VLOOKUP(D1651,[3]Standard!$B$9:$H$101,7,FALSE)))),0)</f>
        <v>0</v>
      </c>
      <c r="L1651" s="272">
        <f>IFERROR(IF(BA1651="WIP - 30 Days",VLOOKUP(D1651,[3]Standard!$B$9:$J$101,9,FALSE),IF(BA1651="31-120 Days",VLOOKUP(D1651,[3]Standard!$B$9:$K$100,10,FALSE),IF(BA1651="121-365 Days",VLOOKUP(D1651,[3]Standard!$B$9:$L$101,11,FALSE),VLOOKUP(D1651,[3]Standard!$B$9:$M$101,12,FALSE)))),0)</f>
        <v>0</v>
      </c>
      <c r="M1651" s="269" t="str">
        <f>IFERROR(VLOOKUP((D1651&amp;C1651)&amp;"",'[2]Retail Price List'!$C$4:$F$102,4,FALSE),"")</f>
        <v/>
      </c>
      <c r="N1651" s="269">
        <f>IFERROR(IF(BA1651="WIP - 30 Days",VLOOKUP(D1651,[3]Extended!$B$9:$E$101,4,FALSE),IF(BA1651="31-120 Days",VLOOKUP(D1651,[3]Extended!$B$9:$F$101,5,FALSE),IF(BA1651="121-365 Days",VLOOKUP(D1651,[3]Extended!$B$9:$G$101,6,FALSE),VLOOKUP(D1651,[3]Extended!$B$9:$H$101,7,FALSE)))),0)</f>
        <v>0</v>
      </c>
      <c r="O1651" s="269">
        <f>IFERROR(IF(BA1651="WIP - 30 Days",VLOOKUP(D1651,[3]Extended!$B$9:$J$101,9,FALSE),IF(BA1651="31-120 Days",VLOOKUP(D1651,[3]Extended!$B$9:$K$101,10,FALSE),IF(BA1651="121-365 Days",VLOOKUP(D1651,[3]Extended!$B$9:$L$101,11,FALSE),VLOOKUP(D1651,[3]Extended!$B$9:$M$101,12,FALSE)))),0)</f>
        <v>0</v>
      </c>
      <c r="P1651" s="116" t="e">
        <f t="shared" si="126"/>
        <v>#VALUE!</v>
      </c>
      <c r="Q1651" s="110" t="e">
        <f>O1651-#REF!</f>
        <v>#REF!</v>
      </c>
      <c r="AT1651" s="88" t="str">
        <f t="shared" si="127"/>
        <v>Special Order0</v>
      </c>
      <c r="AU1651" s="89" t="str">
        <f t="shared" si="128"/>
        <v>01-1900</v>
      </c>
      <c r="BA1651" s="92" t="str">
        <f t="shared" si="129"/>
        <v/>
      </c>
    </row>
    <row r="1652" spans="2:53">
      <c r="B1652" s="60">
        <f>[2]Trucks!A1649</f>
        <v>0</v>
      </c>
      <c r="C1652" s="11">
        <f>[2]Trucks!B1649</f>
        <v>0</v>
      </c>
      <c r="D1652" s="19" t="str">
        <f>IFERROR(VLOOKUP(C1652&amp;"",'[2]Retail Price List'!$A$3:$B$103,2,FALSE),"Special Order")</f>
        <v>Special Order</v>
      </c>
      <c r="E1652" s="18">
        <f>[2]Trucks!J1649</f>
        <v>0</v>
      </c>
      <c r="F1652" s="12">
        <f>[2]Trucks!E1649</f>
        <v>0</v>
      </c>
      <c r="G1652" s="56">
        <f>[2]Trucks!K1649</f>
        <v>0</v>
      </c>
      <c r="H1652" s="46">
        <f>[2]Trucks!I1649</f>
        <v>0</v>
      </c>
      <c r="I1652" s="83" t="str">
        <f t="shared" si="125"/>
        <v/>
      </c>
      <c r="J1652" s="272" t="str">
        <f>IFERROR(VLOOKUP((D1652&amp;C1652)&amp;"",'[2]Retail Price List'!$C$4:$F$102,3,FALSE),"")</f>
        <v/>
      </c>
      <c r="K1652" s="272">
        <f>IFERROR(IF(BA1652="WIP - 30 Days",VLOOKUP(D1652,[3]Standard!$B$9:$E$101,4,FALSE),IF(BA1652="31-120 Days",VLOOKUP(D1652,[3]Standard!$B$9:$F$101,5,FALSE),IF(BA1652="121-365 Days",VLOOKUP(D1652,[3]Standard!$B$9:$G$101,6,FALSE),VLOOKUP(D1652,[3]Standard!$B$9:$H$101,7,FALSE)))),0)</f>
        <v>0</v>
      </c>
      <c r="L1652" s="272">
        <f>IFERROR(IF(BA1652="WIP - 30 Days",VLOOKUP(D1652,[3]Standard!$B$9:$J$101,9,FALSE),IF(BA1652="31-120 Days",VLOOKUP(D1652,[3]Standard!$B$9:$K$100,10,FALSE),IF(BA1652="121-365 Days",VLOOKUP(D1652,[3]Standard!$B$9:$L$101,11,FALSE),VLOOKUP(D1652,[3]Standard!$B$9:$M$101,12,FALSE)))),0)</f>
        <v>0</v>
      </c>
      <c r="M1652" s="269" t="str">
        <f>IFERROR(VLOOKUP((D1652&amp;C1652)&amp;"",'[2]Retail Price List'!$C$4:$F$102,4,FALSE),"")</f>
        <v/>
      </c>
      <c r="N1652" s="269">
        <f>IFERROR(IF(BA1652="WIP - 30 Days",VLOOKUP(D1652,[3]Extended!$B$9:$E$101,4,FALSE),IF(BA1652="31-120 Days",VLOOKUP(D1652,[3]Extended!$B$9:$F$101,5,FALSE),IF(BA1652="121-365 Days",VLOOKUP(D1652,[3]Extended!$B$9:$G$101,6,FALSE),VLOOKUP(D1652,[3]Extended!$B$9:$H$101,7,FALSE)))),0)</f>
        <v>0</v>
      </c>
      <c r="O1652" s="269">
        <f>IFERROR(IF(BA1652="WIP - 30 Days",VLOOKUP(D1652,[3]Extended!$B$9:$J$101,9,FALSE),IF(BA1652="31-120 Days",VLOOKUP(D1652,[3]Extended!$B$9:$K$101,10,FALSE),IF(BA1652="121-365 Days",VLOOKUP(D1652,[3]Extended!$B$9:$L$101,11,FALSE),VLOOKUP(D1652,[3]Extended!$B$9:$M$101,12,FALSE)))),0)</f>
        <v>0</v>
      </c>
      <c r="P1652" s="116" t="e">
        <f t="shared" si="126"/>
        <v>#VALUE!</v>
      </c>
      <c r="Q1652" s="110" t="e">
        <f>O1652-#REF!</f>
        <v>#REF!</v>
      </c>
      <c r="AT1652" s="88" t="str">
        <f t="shared" si="127"/>
        <v>Special Order0</v>
      </c>
      <c r="AU1652" s="89" t="str">
        <f t="shared" si="128"/>
        <v>01-1900</v>
      </c>
      <c r="BA1652" s="92" t="str">
        <f t="shared" si="129"/>
        <v/>
      </c>
    </row>
    <row r="1653" spans="2:53">
      <c r="B1653" s="60">
        <f>[2]Trucks!A1650</f>
        <v>0</v>
      </c>
      <c r="C1653" s="11">
        <f>[2]Trucks!B1650</f>
        <v>0</v>
      </c>
      <c r="D1653" s="19" t="str">
        <f>IFERROR(VLOOKUP(C1653&amp;"",'[2]Retail Price List'!$A$3:$B$103,2,FALSE),"Special Order")</f>
        <v>Special Order</v>
      </c>
      <c r="E1653" s="18">
        <f>[2]Trucks!J1650</f>
        <v>0</v>
      </c>
      <c r="F1653" s="12">
        <f>[2]Trucks!E1650</f>
        <v>0</v>
      </c>
      <c r="G1653" s="56">
        <f>[2]Trucks!K1650</f>
        <v>0</v>
      </c>
      <c r="H1653" s="46">
        <f>[2]Trucks!I1650</f>
        <v>0</v>
      </c>
      <c r="I1653" s="83" t="str">
        <f t="shared" si="125"/>
        <v/>
      </c>
      <c r="J1653" s="272" t="str">
        <f>IFERROR(VLOOKUP((D1653&amp;C1653)&amp;"",'[2]Retail Price List'!$C$4:$F$102,3,FALSE),"")</f>
        <v/>
      </c>
      <c r="K1653" s="272">
        <f>IFERROR(IF(BA1653="WIP - 30 Days",VLOOKUP(D1653,[3]Standard!$B$9:$E$101,4,FALSE),IF(BA1653="31-120 Days",VLOOKUP(D1653,[3]Standard!$B$9:$F$101,5,FALSE),IF(BA1653="121-365 Days",VLOOKUP(D1653,[3]Standard!$B$9:$G$101,6,FALSE),VLOOKUP(D1653,[3]Standard!$B$9:$H$101,7,FALSE)))),0)</f>
        <v>0</v>
      </c>
      <c r="L1653" s="272">
        <f>IFERROR(IF(BA1653="WIP - 30 Days",VLOOKUP(D1653,[3]Standard!$B$9:$J$101,9,FALSE),IF(BA1653="31-120 Days",VLOOKUP(D1653,[3]Standard!$B$9:$K$100,10,FALSE),IF(BA1653="121-365 Days",VLOOKUP(D1653,[3]Standard!$B$9:$L$101,11,FALSE),VLOOKUP(D1653,[3]Standard!$B$9:$M$101,12,FALSE)))),0)</f>
        <v>0</v>
      </c>
      <c r="M1653" s="269" t="str">
        <f>IFERROR(VLOOKUP((D1653&amp;C1653)&amp;"",'[2]Retail Price List'!$C$4:$F$102,4,FALSE),"")</f>
        <v/>
      </c>
      <c r="N1653" s="269">
        <f>IFERROR(IF(BA1653="WIP - 30 Days",VLOOKUP(D1653,[3]Extended!$B$9:$E$101,4,FALSE),IF(BA1653="31-120 Days",VLOOKUP(D1653,[3]Extended!$B$9:$F$101,5,FALSE),IF(BA1653="121-365 Days",VLOOKUP(D1653,[3]Extended!$B$9:$G$101,6,FALSE),VLOOKUP(D1653,[3]Extended!$B$9:$H$101,7,FALSE)))),0)</f>
        <v>0</v>
      </c>
      <c r="O1653" s="269">
        <f>IFERROR(IF(BA1653="WIP - 30 Days",VLOOKUP(D1653,[3]Extended!$B$9:$J$101,9,FALSE),IF(BA1653="31-120 Days",VLOOKUP(D1653,[3]Extended!$B$9:$K$101,10,FALSE),IF(BA1653="121-365 Days",VLOOKUP(D1653,[3]Extended!$B$9:$L$101,11,FALSE),VLOOKUP(D1653,[3]Extended!$B$9:$M$101,12,FALSE)))),0)</f>
        <v>0</v>
      </c>
      <c r="P1653" s="116" t="e">
        <f t="shared" si="126"/>
        <v>#VALUE!</v>
      </c>
      <c r="Q1653" s="110" t="e">
        <f>O1653-#REF!</f>
        <v>#REF!</v>
      </c>
      <c r="AT1653" s="88" t="str">
        <f t="shared" si="127"/>
        <v>Special Order0</v>
      </c>
      <c r="AU1653" s="89" t="str">
        <f t="shared" si="128"/>
        <v>01-1900</v>
      </c>
      <c r="BA1653" s="92" t="str">
        <f t="shared" si="129"/>
        <v/>
      </c>
    </row>
    <row r="1654" spans="2:53">
      <c r="B1654" s="60">
        <f>[2]Trucks!A1651</f>
        <v>0</v>
      </c>
      <c r="C1654" s="11">
        <f>[2]Trucks!B1651</f>
        <v>0</v>
      </c>
      <c r="D1654" s="19" t="str">
        <f>IFERROR(VLOOKUP(C1654&amp;"",'[2]Retail Price List'!$A$3:$B$103,2,FALSE),"Special Order")</f>
        <v>Special Order</v>
      </c>
      <c r="E1654" s="18">
        <f>[2]Trucks!J1651</f>
        <v>0</v>
      </c>
      <c r="F1654" s="12">
        <f>[2]Trucks!E1651</f>
        <v>0</v>
      </c>
      <c r="G1654" s="56">
        <f>[2]Trucks!K1651</f>
        <v>0</v>
      </c>
      <c r="H1654" s="46">
        <f>[2]Trucks!I1651</f>
        <v>0</v>
      </c>
      <c r="I1654" s="83" t="str">
        <f t="shared" si="125"/>
        <v/>
      </c>
      <c r="J1654" s="272" t="str">
        <f>IFERROR(VLOOKUP((D1654&amp;C1654)&amp;"",'[2]Retail Price List'!$C$4:$F$102,3,FALSE),"")</f>
        <v/>
      </c>
      <c r="K1654" s="272">
        <f>IFERROR(IF(BA1654="WIP - 30 Days",VLOOKUP(D1654,[3]Standard!$B$9:$E$101,4,FALSE),IF(BA1654="31-120 Days",VLOOKUP(D1654,[3]Standard!$B$9:$F$101,5,FALSE),IF(BA1654="121-365 Days",VLOOKUP(D1654,[3]Standard!$B$9:$G$101,6,FALSE),VLOOKUP(D1654,[3]Standard!$B$9:$H$101,7,FALSE)))),0)</f>
        <v>0</v>
      </c>
      <c r="L1654" s="272">
        <f>IFERROR(IF(BA1654="WIP - 30 Days",VLOOKUP(D1654,[3]Standard!$B$9:$J$101,9,FALSE),IF(BA1654="31-120 Days",VLOOKUP(D1654,[3]Standard!$B$9:$K$100,10,FALSE),IF(BA1654="121-365 Days",VLOOKUP(D1654,[3]Standard!$B$9:$L$101,11,FALSE),VLOOKUP(D1654,[3]Standard!$B$9:$M$101,12,FALSE)))),0)</f>
        <v>0</v>
      </c>
      <c r="M1654" s="269" t="str">
        <f>IFERROR(VLOOKUP((D1654&amp;C1654)&amp;"",'[2]Retail Price List'!$C$4:$F$102,4,FALSE),"")</f>
        <v/>
      </c>
      <c r="N1654" s="269">
        <f>IFERROR(IF(BA1654="WIP - 30 Days",VLOOKUP(D1654,[3]Extended!$B$9:$E$101,4,FALSE),IF(BA1654="31-120 Days",VLOOKUP(D1654,[3]Extended!$B$9:$F$101,5,FALSE),IF(BA1654="121-365 Days",VLOOKUP(D1654,[3]Extended!$B$9:$G$101,6,FALSE),VLOOKUP(D1654,[3]Extended!$B$9:$H$101,7,FALSE)))),0)</f>
        <v>0</v>
      </c>
      <c r="O1654" s="269">
        <f>IFERROR(IF(BA1654="WIP - 30 Days",VLOOKUP(D1654,[3]Extended!$B$9:$J$101,9,FALSE),IF(BA1654="31-120 Days",VLOOKUP(D1654,[3]Extended!$B$9:$K$101,10,FALSE),IF(BA1654="121-365 Days",VLOOKUP(D1654,[3]Extended!$B$9:$L$101,11,FALSE),VLOOKUP(D1654,[3]Extended!$B$9:$M$101,12,FALSE)))),0)</f>
        <v>0</v>
      </c>
      <c r="P1654" s="116" t="e">
        <f t="shared" si="126"/>
        <v>#VALUE!</v>
      </c>
      <c r="Q1654" s="110" t="e">
        <f>O1654-#REF!</f>
        <v>#REF!</v>
      </c>
      <c r="AT1654" s="88" t="str">
        <f t="shared" si="127"/>
        <v>Special Order0</v>
      </c>
      <c r="AU1654" s="89" t="str">
        <f t="shared" si="128"/>
        <v>01-1900</v>
      </c>
      <c r="BA1654" s="92" t="str">
        <f t="shared" si="129"/>
        <v/>
      </c>
    </row>
    <row r="1655" spans="2:53">
      <c r="B1655" s="60">
        <f>[2]Trucks!A1652</f>
        <v>0</v>
      </c>
      <c r="C1655" s="11">
        <f>[2]Trucks!B1652</f>
        <v>0</v>
      </c>
      <c r="D1655" s="19" t="str">
        <f>IFERROR(VLOOKUP(C1655&amp;"",'[2]Retail Price List'!$A$3:$B$103,2,FALSE),"Special Order")</f>
        <v>Special Order</v>
      </c>
      <c r="E1655" s="18">
        <f>[2]Trucks!J1652</f>
        <v>0</v>
      </c>
      <c r="F1655" s="12">
        <f>[2]Trucks!E1652</f>
        <v>0</v>
      </c>
      <c r="G1655" s="56">
        <f>[2]Trucks!K1652</f>
        <v>0</v>
      </c>
      <c r="H1655" s="46">
        <f>[2]Trucks!I1652</f>
        <v>0</v>
      </c>
      <c r="I1655" s="83" t="str">
        <f t="shared" si="125"/>
        <v/>
      </c>
      <c r="J1655" s="272" t="str">
        <f>IFERROR(VLOOKUP((D1655&amp;C1655)&amp;"",'[2]Retail Price List'!$C$4:$F$102,3,FALSE),"")</f>
        <v/>
      </c>
      <c r="K1655" s="272">
        <f>IFERROR(IF(BA1655="WIP - 30 Days",VLOOKUP(D1655,[3]Standard!$B$9:$E$101,4,FALSE),IF(BA1655="31-120 Days",VLOOKUP(D1655,[3]Standard!$B$9:$F$101,5,FALSE),IF(BA1655="121-365 Days",VLOOKUP(D1655,[3]Standard!$B$9:$G$101,6,FALSE),VLOOKUP(D1655,[3]Standard!$B$9:$H$101,7,FALSE)))),0)</f>
        <v>0</v>
      </c>
      <c r="L1655" s="272">
        <f>IFERROR(IF(BA1655="WIP - 30 Days",VLOOKUP(D1655,[3]Standard!$B$9:$J$101,9,FALSE),IF(BA1655="31-120 Days",VLOOKUP(D1655,[3]Standard!$B$9:$K$100,10,FALSE),IF(BA1655="121-365 Days",VLOOKUP(D1655,[3]Standard!$B$9:$L$101,11,FALSE),VLOOKUP(D1655,[3]Standard!$B$9:$M$101,12,FALSE)))),0)</f>
        <v>0</v>
      </c>
      <c r="M1655" s="269" t="str">
        <f>IFERROR(VLOOKUP((D1655&amp;C1655)&amp;"",'[2]Retail Price List'!$C$4:$F$102,4,FALSE),"")</f>
        <v/>
      </c>
      <c r="N1655" s="269">
        <f>IFERROR(IF(BA1655="WIP - 30 Days",VLOOKUP(D1655,[3]Extended!$B$9:$E$101,4,FALSE),IF(BA1655="31-120 Days",VLOOKUP(D1655,[3]Extended!$B$9:$F$101,5,FALSE),IF(BA1655="121-365 Days",VLOOKUP(D1655,[3]Extended!$B$9:$G$101,6,FALSE),VLOOKUP(D1655,[3]Extended!$B$9:$H$101,7,FALSE)))),0)</f>
        <v>0</v>
      </c>
      <c r="O1655" s="269">
        <f>IFERROR(IF(BA1655="WIP - 30 Days",VLOOKUP(D1655,[3]Extended!$B$9:$J$101,9,FALSE),IF(BA1655="31-120 Days",VLOOKUP(D1655,[3]Extended!$B$9:$K$101,10,FALSE),IF(BA1655="121-365 Days",VLOOKUP(D1655,[3]Extended!$B$9:$L$101,11,FALSE),VLOOKUP(D1655,[3]Extended!$B$9:$M$101,12,FALSE)))),0)</f>
        <v>0</v>
      </c>
      <c r="P1655" s="116" t="e">
        <f t="shared" si="126"/>
        <v>#VALUE!</v>
      </c>
      <c r="Q1655" s="110" t="e">
        <f>O1655-#REF!</f>
        <v>#REF!</v>
      </c>
      <c r="AT1655" s="88" t="str">
        <f t="shared" si="127"/>
        <v>Special Order0</v>
      </c>
      <c r="AU1655" s="89" t="str">
        <f t="shared" si="128"/>
        <v>01-1900</v>
      </c>
      <c r="BA1655" s="92" t="str">
        <f t="shared" si="129"/>
        <v/>
      </c>
    </row>
    <row r="1656" spans="2:53">
      <c r="B1656" s="60">
        <f>[2]Trucks!A1653</f>
        <v>0</v>
      </c>
      <c r="C1656" s="11">
        <f>[2]Trucks!B1653</f>
        <v>0</v>
      </c>
      <c r="D1656" s="19" t="str">
        <f>IFERROR(VLOOKUP(C1656&amp;"",'[2]Retail Price List'!$A$3:$B$103,2,FALSE),"Special Order")</f>
        <v>Special Order</v>
      </c>
      <c r="E1656" s="18">
        <f>[2]Trucks!J1653</f>
        <v>0</v>
      </c>
      <c r="F1656" s="12">
        <f>[2]Trucks!E1653</f>
        <v>0</v>
      </c>
      <c r="G1656" s="56">
        <f>[2]Trucks!K1653</f>
        <v>0</v>
      </c>
      <c r="H1656" s="46">
        <f>[2]Trucks!I1653</f>
        <v>0</v>
      </c>
      <c r="I1656" s="83" t="str">
        <f t="shared" si="125"/>
        <v/>
      </c>
      <c r="J1656" s="272" t="str">
        <f>IFERROR(VLOOKUP((D1656&amp;C1656)&amp;"",'[2]Retail Price List'!$C$4:$F$102,3,FALSE),"")</f>
        <v/>
      </c>
      <c r="K1656" s="272">
        <f>IFERROR(IF(BA1656="WIP - 30 Days",VLOOKUP(D1656,[3]Standard!$B$9:$E$101,4,FALSE),IF(BA1656="31-120 Days",VLOOKUP(D1656,[3]Standard!$B$9:$F$101,5,FALSE),IF(BA1656="121-365 Days",VLOOKUP(D1656,[3]Standard!$B$9:$G$101,6,FALSE),VLOOKUP(D1656,[3]Standard!$B$9:$H$101,7,FALSE)))),0)</f>
        <v>0</v>
      </c>
      <c r="L1656" s="272">
        <f>IFERROR(IF(BA1656="WIP - 30 Days",VLOOKUP(D1656,[3]Standard!$B$9:$J$101,9,FALSE),IF(BA1656="31-120 Days",VLOOKUP(D1656,[3]Standard!$B$9:$K$100,10,FALSE),IF(BA1656="121-365 Days",VLOOKUP(D1656,[3]Standard!$B$9:$L$101,11,FALSE),VLOOKUP(D1656,[3]Standard!$B$9:$M$101,12,FALSE)))),0)</f>
        <v>0</v>
      </c>
      <c r="M1656" s="269" t="str">
        <f>IFERROR(VLOOKUP((D1656&amp;C1656)&amp;"",'[2]Retail Price List'!$C$4:$F$102,4,FALSE),"")</f>
        <v/>
      </c>
      <c r="N1656" s="269">
        <f>IFERROR(IF(BA1656="WIP - 30 Days",VLOOKUP(D1656,[3]Extended!$B$9:$E$101,4,FALSE),IF(BA1656="31-120 Days",VLOOKUP(D1656,[3]Extended!$B$9:$F$101,5,FALSE),IF(BA1656="121-365 Days",VLOOKUP(D1656,[3]Extended!$B$9:$G$101,6,FALSE),VLOOKUP(D1656,[3]Extended!$B$9:$H$101,7,FALSE)))),0)</f>
        <v>0</v>
      </c>
      <c r="O1656" s="269">
        <f>IFERROR(IF(BA1656="WIP - 30 Days",VLOOKUP(D1656,[3]Extended!$B$9:$J$101,9,FALSE),IF(BA1656="31-120 Days",VLOOKUP(D1656,[3]Extended!$B$9:$K$101,10,FALSE),IF(BA1656="121-365 Days",VLOOKUP(D1656,[3]Extended!$B$9:$L$101,11,FALSE),VLOOKUP(D1656,[3]Extended!$B$9:$M$101,12,FALSE)))),0)</f>
        <v>0</v>
      </c>
      <c r="P1656" s="116" t="e">
        <f t="shared" si="126"/>
        <v>#VALUE!</v>
      </c>
      <c r="Q1656" s="110" t="e">
        <f>O1656-#REF!</f>
        <v>#REF!</v>
      </c>
      <c r="AT1656" s="88" t="str">
        <f t="shared" si="127"/>
        <v>Special Order0</v>
      </c>
      <c r="AU1656" s="89" t="str">
        <f t="shared" si="128"/>
        <v>01-1900</v>
      </c>
      <c r="BA1656" s="92" t="str">
        <f t="shared" si="129"/>
        <v/>
      </c>
    </row>
    <row r="1657" spans="2:53">
      <c r="B1657" s="60">
        <f>[2]Trucks!A1654</f>
        <v>0</v>
      </c>
      <c r="C1657" s="11">
        <f>[2]Trucks!B1654</f>
        <v>0</v>
      </c>
      <c r="D1657" s="19" t="str">
        <f>IFERROR(VLOOKUP(C1657&amp;"",'[2]Retail Price List'!$A$3:$B$103,2,FALSE),"Special Order")</f>
        <v>Special Order</v>
      </c>
      <c r="E1657" s="18">
        <f>[2]Trucks!J1654</f>
        <v>0</v>
      </c>
      <c r="F1657" s="12">
        <f>[2]Trucks!E1654</f>
        <v>0</v>
      </c>
      <c r="G1657" s="56">
        <f>[2]Trucks!K1654</f>
        <v>0</v>
      </c>
      <c r="H1657" s="46">
        <f>[2]Trucks!I1654</f>
        <v>0</v>
      </c>
      <c r="I1657" s="83" t="str">
        <f t="shared" si="125"/>
        <v/>
      </c>
      <c r="J1657" s="272" t="str">
        <f>IFERROR(VLOOKUP((D1657&amp;C1657)&amp;"",'[2]Retail Price List'!$C$4:$F$102,3,FALSE),"")</f>
        <v/>
      </c>
      <c r="K1657" s="272">
        <f>IFERROR(IF(BA1657="WIP - 30 Days",VLOOKUP(D1657,[3]Standard!$B$9:$E$101,4,FALSE),IF(BA1657="31-120 Days",VLOOKUP(D1657,[3]Standard!$B$9:$F$101,5,FALSE),IF(BA1657="121-365 Days",VLOOKUP(D1657,[3]Standard!$B$9:$G$101,6,FALSE),VLOOKUP(D1657,[3]Standard!$B$9:$H$101,7,FALSE)))),0)</f>
        <v>0</v>
      </c>
      <c r="L1657" s="272">
        <f>IFERROR(IF(BA1657="WIP - 30 Days",VLOOKUP(D1657,[3]Standard!$B$9:$J$101,9,FALSE),IF(BA1657="31-120 Days",VLOOKUP(D1657,[3]Standard!$B$9:$K$100,10,FALSE),IF(BA1657="121-365 Days",VLOOKUP(D1657,[3]Standard!$B$9:$L$101,11,FALSE),VLOOKUP(D1657,[3]Standard!$B$9:$M$101,12,FALSE)))),0)</f>
        <v>0</v>
      </c>
      <c r="M1657" s="269" t="str">
        <f>IFERROR(VLOOKUP((D1657&amp;C1657)&amp;"",'[2]Retail Price List'!$C$4:$F$102,4,FALSE),"")</f>
        <v/>
      </c>
      <c r="N1657" s="269">
        <f>IFERROR(IF(BA1657="WIP - 30 Days",VLOOKUP(D1657,[3]Extended!$B$9:$E$101,4,FALSE),IF(BA1657="31-120 Days",VLOOKUP(D1657,[3]Extended!$B$9:$F$101,5,FALSE),IF(BA1657="121-365 Days",VLOOKUP(D1657,[3]Extended!$B$9:$G$101,6,FALSE),VLOOKUP(D1657,[3]Extended!$B$9:$H$101,7,FALSE)))),0)</f>
        <v>0</v>
      </c>
      <c r="O1657" s="269">
        <f>IFERROR(IF(BA1657="WIP - 30 Days",VLOOKUP(D1657,[3]Extended!$B$9:$J$101,9,FALSE),IF(BA1657="31-120 Days",VLOOKUP(D1657,[3]Extended!$B$9:$K$101,10,FALSE),IF(BA1657="121-365 Days",VLOOKUP(D1657,[3]Extended!$B$9:$L$101,11,FALSE),VLOOKUP(D1657,[3]Extended!$B$9:$M$101,12,FALSE)))),0)</f>
        <v>0</v>
      </c>
      <c r="P1657" s="116" t="e">
        <f t="shared" si="126"/>
        <v>#VALUE!</v>
      </c>
      <c r="Q1657" s="110" t="e">
        <f>O1657-#REF!</f>
        <v>#REF!</v>
      </c>
      <c r="AT1657" s="88" t="str">
        <f t="shared" si="127"/>
        <v>Special Order0</v>
      </c>
      <c r="AU1657" s="89" t="str">
        <f t="shared" si="128"/>
        <v>01-1900</v>
      </c>
      <c r="BA1657" s="92" t="str">
        <f t="shared" si="129"/>
        <v/>
      </c>
    </row>
    <row r="1658" spans="2:53">
      <c r="B1658" s="60">
        <f>[2]Trucks!A1655</f>
        <v>0</v>
      </c>
      <c r="C1658" s="11">
        <f>[2]Trucks!B1655</f>
        <v>0</v>
      </c>
      <c r="D1658" s="19" t="str">
        <f>IFERROR(VLOOKUP(C1658&amp;"",'[2]Retail Price List'!$A$3:$B$103,2,FALSE),"Special Order")</f>
        <v>Special Order</v>
      </c>
      <c r="E1658" s="18">
        <f>[2]Trucks!J1655</f>
        <v>0</v>
      </c>
      <c r="F1658" s="12">
        <f>[2]Trucks!E1655</f>
        <v>0</v>
      </c>
      <c r="G1658" s="56">
        <f>[2]Trucks!K1655</f>
        <v>0</v>
      </c>
      <c r="H1658" s="46">
        <f>[2]Trucks!I1655</f>
        <v>0</v>
      </c>
      <c r="I1658" s="83" t="str">
        <f t="shared" si="125"/>
        <v/>
      </c>
      <c r="J1658" s="272" t="str">
        <f>IFERROR(VLOOKUP((D1658&amp;C1658)&amp;"",'[2]Retail Price List'!$C$4:$F$102,3,FALSE),"")</f>
        <v/>
      </c>
      <c r="K1658" s="272">
        <f>IFERROR(IF(BA1658="WIP - 30 Days",VLOOKUP(D1658,[3]Standard!$B$9:$E$101,4,FALSE),IF(BA1658="31-120 Days",VLOOKUP(D1658,[3]Standard!$B$9:$F$101,5,FALSE),IF(BA1658="121-365 Days",VLOOKUP(D1658,[3]Standard!$B$9:$G$101,6,FALSE),VLOOKUP(D1658,[3]Standard!$B$9:$H$101,7,FALSE)))),0)</f>
        <v>0</v>
      </c>
      <c r="L1658" s="272">
        <f>IFERROR(IF(BA1658="WIP - 30 Days",VLOOKUP(D1658,[3]Standard!$B$9:$J$101,9,FALSE),IF(BA1658="31-120 Days",VLOOKUP(D1658,[3]Standard!$B$9:$K$100,10,FALSE),IF(BA1658="121-365 Days",VLOOKUP(D1658,[3]Standard!$B$9:$L$101,11,FALSE),VLOOKUP(D1658,[3]Standard!$B$9:$M$101,12,FALSE)))),0)</f>
        <v>0</v>
      </c>
      <c r="M1658" s="269" t="str">
        <f>IFERROR(VLOOKUP((D1658&amp;C1658)&amp;"",'[2]Retail Price List'!$C$4:$F$102,4,FALSE),"")</f>
        <v/>
      </c>
      <c r="N1658" s="269">
        <f>IFERROR(IF(BA1658="WIP - 30 Days",VLOOKUP(D1658,[3]Extended!$B$9:$E$101,4,FALSE),IF(BA1658="31-120 Days",VLOOKUP(D1658,[3]Extended!$B$9:$F$101,5,FALSE),IF(BA1658="121-365 Days",VLOOKUP(D1658,[3]Extended!$B$9:$G$101,6,FALSE),VLOOKUP(D1658,[3]Extended!$B$9:$H$101,7,FALSE)))),0)</f>
        <v>0</v>
      </c>
      <c r="O1658" s="269">
        <f>IFERROR(IF(BA1658="WIP - 30 Days",VLOOKUP(D1658,[3]Extended!$B$9:$J$101,9,FALSE),IF(BA1658="31-120 Days",VLOOKUP(D1658,[3]Extended!$B$9:$K$101,10,FALSE),IF(BA1658="121-365 Days",VLOOKUP(D1658,[3]Extended!$B$9:$L$101,11,FALSE),VLOOKUP(D1658,[3]Extended!$B$9:$M$101,12,FALSE)))),0)</f>
        <v>0</v>
      </c>
      <c r="P1658" s="116" t="e">
        <f t="shared" si="126"/>
        <v>#VALUE!</v>
      </c>
      <c r="Q1658" s="110" t="e">
        <f>O1658-#REF!</f>
        <v>#REF!</v>
      </c>
      <c r="AT1658" s="88" t="str">
        <f t="shared" si="127"/>
        <v>Special Order0</v>
      </c>
      <c r="AU1658" s="89" t="str">
        <f t="shared" si="128"/>
        <v>01-1900</v>
      </c>
      <c r="BA1658" s="92" t="str">
        <f t="shared" si="129"/>
        <v/>
      </c>
    </row>
    <row r="1659" spans="2:53">
      <c r="B1659" s="60">
        <f>[2]Trucks!A1656</f>
        <v>0</v>
      </c>
      <c r="C1659" s="11">
        <f>[2]Trucks!B1656</f>
        <v>0</v>
      </c>
      <c r="D1659" s="19" t="str">
        <f>IFERROR(VLOOKUP(C1659&amp;"",'[2]Retail Price List'!$A$3:$B$103,2,FALSE),"Special Order")</f>
        <v>Special Order</v>
      </c>
      <c r="E1659" s="18">
        <f>[2]Trucks!J1656</f>
        <v>0</v>
      </c>
      <c r="F1659" s="12">
        <f>[2]Trucks!E1656</f>
        <v>0</v>
      </c>
      <c r="G1659" s="56">
        <f>[2]Trucks!K1656</f>
        <v>0</v>
      </c>
      <c r="H1659" s="46">
        <f>[2]Trucks!I1656</f>
        <v>0</v>
      </c>
      <c r="I1659" s="83" t="str">
        <f t="shared" si="125"/>
        <v/>
      </c>
      <c r="J1659" s="272" t="str">
        <f>IFERROR(VLOOKUP((D1659&amp;C1659)&amp;"",'[2]Retail Price List'!$C$4:$F$102,3,FALSE),"")</f>
        <v/>
      </c>
      <c r="K1659" s="272">
        <f>IFERROR(IF(BA1659="WIP - 30 Days",VLOOKUP(D1659,[3]Standard!$B$9:$E$101,4,FALSE),IF(BA1659="31-120 Days",VLOOKUP(D1659,[3]Standard!$B$9:$F$101,5,FALSE),IF(BA1659="121-365 Days",VLOOKUP(D1659,[3]Standard!$B$9:$G$101,6,FALSE),VLOOKUP(D1659,[3]Standard!$B$9:$H$101,7,FALSE)))),0)</f>
        <v>0</v>
      </c>
      <c r="L1659" s="272">
        <f>IFERROR(IF(BA1659="WIP - 30 Days",VLOOKUP(D1659,[3]Standard!$B$9:$J$101,9,FALSE),IF(BA1659="31-120 Days",VLOOKUP(D1659,[3]Standard!$B$9:$K$100,10,FALSE),IF(BA1659="121-365 Days",VLOOKUP(D1659,[3]Standard!$B$9:$L$101,11,FALSE),VLOOKUP(D1659,[3]Standard!$B$9:$M$101,12,FALSE)))),0)</f>
        <v>0</v>
      </c>
      <c r="M1659" s="269" t="str">
        <f>IFERROR(VLOOKUP((D1659&amp;C1659)&amp;"",'[2]Retail Price List'!$C$4:$F$102,4,FALSE),"")</f>
        <v/>
      </c>
      <c r="N1659" s="269">
        <f>IFERROR(IF(BA1659="WIP - 30 Days",VLOOKUP(D1659,[3]Extended!$B$9:$E$101,4,FALSE),IF(BA1659="31-120 Days",VLOOKUP(D1659,[3]Extended!$B$9:$F$101,5,FALSE),IF(BA1659="121-365 Days",VLOOKUP(D1659,[3]Extended!$B$9:$G$101,6,FALSE),VLOOKUP(D1659,[3]Extended!$B$9:$H$101,7,FALSE)))),0)</f>
        <v>0</v>
      </c>
      <c r="O1659" s="269">
        <f>IFERROR(IF(BA1659="WIP - 30 Days",VLOOKUP(D1659,[3]Extended!$B$9:$J$101,9,FALSE),IF(BA1659="31-120 Days",VLOOKUP(D1659,[3]Extended!$B$9:$K$101,10,FALSE),IF(BA1659="121-365 Days",VLOOKUP(D1659,[3]Extended!$B$9:$L$101,11,FALSE),VLOOKUP(D1659,[3]Extended!$B$9:$M$101,12,FALSE)))),0)</f>
        <v>0</v>
      </c>
      <c r="P1659" s="116" t="e">
        <f t="shared" si="126"/>
        <v>#VALUE!</v>
      </c>
      <c r="Q1659" s="110" t="e">
        <f>O1659-#REF!</f>
        <v>#REF!</v>
      </c>
      <c r="AT1659" s="88" t="str">
        <f t="shared" si="127"/>
        <v>Special Order0</v>
      </c>
      <c r="AU1659" s="89" t="str">
        <f t="shared" si="128"/>
        <v>01-1900</v>
      </c>
      <c r="BA1659" s="92" t="str">
        <f t="shared" si="129"/>
        <v/>
      </c>
    </row>
    <row r="1660" spans="2:53">
      <c r="B1660" s="60">
        <f>[2]Trucks!A1657</f>
        <v>0</v>
      </c>
      <c r="C1660" s="11">
        <f>[2]Trucks!B1657</f>
        <v>0</v>
      </c>
      <c r="D1660" s="19" t="str">
        <f>IFERROR(VLOOKUP(C1660&amp;"",'[2]Retail Price List'!$A$3:$B$103,2,FALSE),"Special Order")</f>
        <v>Special Order</v>
      </c>
      <c r="E1660" s="18">
        <f>[2]Trucks!J1657</f>
        <v>0</v>
      </c>
      <c r="F1660" s="12">
        <f>[2]Trucks!E1657</f>
        <v>0</v>
      </c>
      <c r="G1660" s="56">
        <f>[2]Trucks!K1657</f>
        <v>0</v>
      </c>
      <c r="H1660" s="46">
        <f>[2]Trucks!I1657</f>
        <v>0</v>
      </c>
      <c r="I1660" s="83" t="str">
        <f t="shared" si="125"/>
        <v/>
      </c>
      <c r="J1660" s="272" t="str">
        <f>IFERROR(VLOOKUP((D1660&amp;C1660)&amp;"",'[2]Retail Price List'!$C$4:$F$102,3,FALSE),"")</f>
        <v/>
      </c>
      <c r="K1660" s="272">
        <f>IFERROR(IF(BA1660="WIP - 30 Days",VLOOKUP(D1660,[3]Standard!$B$9:$E$101,4,FALSE),IF(BA1660="31-120 Days",VLOOKUP(D1660,[3]Standard!$B$9:$F$101,5,FALSE),IF(BA1660="121-365 Days",VLOOKUP(D1660,[3]Standard!$B$9:$G$101,6,FALSE),VLOOKUP(D1660,[3]Standard!$B$9:$H$101,7,FALSE)))),0)</f>
        <v>0</v>
      </c>
      <c r="L1660" s="272">
        <f>IFERROR(IF(BA1660="WIP - 30 Days",VLOOKUP(D1660,[3]Standard!$B$9:$J$101,9,FALSE),IF(BA1660="31-120 Days",VLOOKUP(D1660,[3]Standard!$B$9:$K$100,10,FALSE),IF(BA1660="121-365 Days",VLOOKUP(D1660,[3]Standard!$B$9:$L$101,11,FALSE),VLOOKUP(D1660,[3]Standard!$B$9:$M$101,12,FALSE)))),0)</f>
        <v>0</v>
      </c>
      <c r="M1660" s="269" t="str">
        <f>IFERROR(VLOOKUP((D1660&amp;C1660)&amp;"",'[2]Retail Price List'!$C$4:$F$102,4,FALSE),"")</f>
        <v/>
      </c>
      <c r="N1660" s="269">
        <f>IFERROR(IF(BA1660="WIP - 30 Days",VLOOKUP(D1660,[3]Extended!$B$9:$E$101,4,FALSE),IF(BA1660="31-120 Days",VLOOKUP(D1660,[3]Extended!$B$9:$F$101,5,FALSE),IF(BA1660="121-365 Days",VLOOKUP(D1660,[3]Extended!$B$9:$G$101,6,FALSE),VLOOKUP(D1660,[3]Extended!$B$9:$H$101,7,FALSE)))),0)</f>
        <v>0</v>
      </c>
      <c r="O1660" s="269">
        <f>IFERROR(IF(BA1660="WIP - 30 Days",VLOOKUP(D1660,[3]Extended!$B$9:$J$101,9,FALSE),IF(BA1660="31-120 Days",VLOOKUP(D1660,[3]Extended!$B$9:$K$101,10,FALSE),IF(BA1660="121-365 Days",VLOOKUP(D1660,[3]Extended!$B$9:$L$101,11,FALSE),VLOOKUP(D1660,[3]Extended!$B$9:$M$101,12,FALSE)))),0)</f>
        <v>0</v>
      </c>
      <c r="P1660" s="116" t="e">
        <f t="shared" si="126"/>
        <v>#VALUE!</v>
      </c>
      <c r="Q1660" s="110" t="e">
        <f>O1660-#REF!</f>
        <v>#REF!</v>
      </c>
      <c r="AT1660" s="88" t="str">
        <f t="shared" si="127"/>
        <v>Special Order0</v>
      </c>
      <c r="AU1660" s="89" t="str">
        <f t="shared" si="128"/>
        <v>01-1900</v>
      </c>
      <c r="BA1660" s="92" t="str">
        <f t="shared" si="129"/>
        <v/>
      </c>
    </row>
    <row r="1661" spans="2:53">
      <c r="B1661" s="60">
        <f>[2]Trucks!A1658</f>
        <v>0</v>
      </c>
      <c r="C1661" s="11">
        <f>[2]Trucks!B1658</f>
        <v>0</v>
      </c>
      <c r="D1661" s="19" t="str">
        <f>IFERROR(VLOOKUP(C1661&amp;"",'[2]Retail Price List'!$A$3:$B$103,2,FALSE),"Special Order")</f>
        <v>Special Order</v>
      </c>
      <c r="E1661" s="18">
        <f>[2]Trucks!J1658</f>
        <v>0</v>
      </c>
      <c r="F1661" s="12">
        <f>[2]Trucks!E1658</f>
        <v>0</v>
      </c>
      <c r="G1661" s="56">
        <f>[2]Trucks!K1658</f>
        <v>0</v>
      </c>
      <c r="H1661" s="46">
        <f>[2]Trucks!I1658</f>
        <v>0</v>
      </c>
      <c r="I1661" s="83" t="str">
        <f t="shared" si="125"/>
        <v/>
      </c>
      <c r="J1661" s="272" t="str">
        <f>IFERROR(VLOOKUP((D1661&amp;C1661)&amp;"",'[2]Retail Price List'!$C$4:$F$102,3,FALSE),"")</f>
        <v/>
      </c>
      <c r="K1661" s="272">
        <f>IFERROR(IF(BA1661="WIP - 30 Days",VLOOKUP(D1661,[3]Standard!$B$9:$E$101,4,FALSE),IF(BA1661="31-120 Days",VLOOKUP(D1661,[3]Standard!$B$9:$F$101,5,FALSE),IF(BA1661="121-365 Days",VLOOKUP(D1661,[3]Standard!$B$9:$G$101,6,FALSE),VLOOKUP(D1661,[3]Standard!$B$9:$H$101,7,FALSE)))),0)</f>
        <v>0</v>
      </c>
      <c r="L1661" s="272">
        <f>IFERROR(IF(BA1661="WIP - 30 Days",VLOOKUP(D1661,[3]Standard!$B$9:$J$101,9,FALSE),IF(BA1661="31-120 Days",VLOOKUP(D1661,[3]Standard!$B$9:$K$100,10,FALSE),IF(BA1661="121-365 Days",VLOOKUP(D1661,[3]Standard!$B$9:$L$101,11,FALSE),VLOOKUP(D1661,[3]Standard!$B$9:$M$101,12,FALSE)))),0)</f>
        <v>0</v>
      </c>
      <c r="M1661" s="269" t="str">
        <f>IFERROR(VLOOKUP((D1661&amp;C1661)&amp;"",'[2]Retail Price List'!$C$4:$F$102,4,FALSE),"")</f>
        <v/>
      </c>
      <c r="N1661" s="269">
        <f>IFERROR(IF(BA1661="WIP - 30 Days",VLOOKUP(D1661,[3]Extended!$B$9:$E$101,4,FALSE),IF(BA1661="31-120 Days",VLOOKUP(D1661,[3]Extended!$B$9:$F$101,5,FALSE),IF(BA1661="121-365 Days",VLOOKUP(D1661,[3]Extended!$B$9:$G$101,6,FALSE),VLOOKUP(D1661,[3]Extended!$B$9:$H$101,7,FALSE)))),0)</f>
        <v>0</v>
      </c>
      <c r="O1661" s="269">
        <f>IFERROR(IF(BA1661="WIP - 30 Days",VLOOKUP(D1661,[3]Extended!$B$9:$J$101,9,FALSE),IF(BA1661="31-120 Days",VLOOKUP(D1661,[3]Extended!$B$9:$K$101,10,FALSE),IF(BA1661="121-365 Days",VLOOKUP(D1661,[3]Extended!$B$9:$L$101,11,FALSE),VLOOKUP(D1661,[3]Extended!$B$9:$M$101,12,FALSE)))),0)</f>
        <v>0</v>
      </c>
      <c r="P1661" s="116" t="e">
        <f t="shared" si="126"/>
        <v>#VALUE!</v>
      </c>
      <c r="Q1661" s="110" t="e">
        <f>O1661-#REF!</f>
        <v>#REF!</v>
      </c>
      <c r="AT1661" s="88" t="str">
        <f t="shared" si="127"/>
        <v>Special Order0</v>
      </c>
      <c r="AU1661" s="89" t="str">
        <f t="shared" si="128"/>
        <v>01-1900</v>
      </c>
      <c r="BA1661" s="92" t="str">
        <f t="shared" si="129"/>
        <v/>
      </c>
    </row>
    <row r="1662" spans="2:53">
      <c r="B1662" s="60">
        <f>[2]Trucks!A1659</f>
        <v>0</v>
      </c>
      <c r="C1662" s="11">
        <f>[2]Trucks!B1659</f>
        <v>0</v>
      </c>
      <c r="D1662" s="19" t="str">
        <f>IFERROR(VLOOKUP(C1662&amp;"",'[2]Retail Price List'!$A$3:$B$103,2,FALSE),"Special Order")</f>
        <v>Special Order</v>
      </c>
      <c r="E1662" s="18">
        <f>[2]Trucks!J1659</f>
        <v>0</v>
      </c>
      <c r="F1662" s="12">
        <f>[2]Trucks!E1659</f>
        <v>0</v>
      </c>
      <c r="G1662" s="56">
        <f>[2]Trucks!K1659</f>
        <v>0</v>
      </c>
      <c r="H1662" s="46">
        <f>[2]Trucks!I1659</f>
        <v>0</v>
      </c>
      <c r="I1662" s="83" t="str">
        <f t="shared" si="125"/>
        <v/>
      </c>
      <c r="J1662" s="272" t="str">
        <f>IFERROR(VLOOKUP((D1662&amp;C1662)&amp;"",'[2]Retail Price List'!$C$4:$F$102,3,FALSE),"")</f>
        <v/>
      </c>
      <c r="K1662" s="272">
        <f>IFERROR(IF(BA1662="WIP - 30 Days",VLOOKUP(D1662,[3]Standard!$B$9:$E$101,4,FALSE),IF(BA1662="31-120 Days",VLOOKUP(D1662,[3]Standard!$B$9:$F$101,5,FALSE),IF(BA1662="121-365 Days",VLOOKUP(D1662,[3]Standard!$B$9:$G$101,6,FALSE),VLOOKUP(D1662,[3]Standard!$B$9:$H$101,7,FALSE)))),0)</f>
        <v>0</v>
      </c>
      <c r="L1662" s="272">
        <f>IFERROR(IF(BA1662="WIP - 30 Days",VLOOKUP(D1662,[3]Standard!$B$9:$J$101,9,FALSE),IF(BA1662="31-120 Days",VLOOKUP(D1662,[3]Standard!$B$9:$K$100,10,FALSE),IF(BA1662="121-365 Days",VLOOKUP(D1662,[3]Standard!$B$9:$L$101,11,FALSE),VLOOKUP(D1662,[3]Standard!$B$9:$M$101,12,FALSE)))),0)</f>
        <v>0</v>
      </c>
      <c r="M1662" s="269" t="str">
        <f>IFERROR(VLOOKUP((D1662&amp;C1662)&amp;"",'[2]Retail Price List'!$C$4:$F$102,4,FALSE),"")</f>
        <v/>
      </c>
      <c r="N1662" s="269">
        <f>IFERROR(IF(BA1662="WIP - 30 Days",VLOOKUP(D1662,[3]Extended!$B$9:$E$101,4,FALSE),IF(BA1662="31-120 Days",VLOOKUP(D1662,[3]Extended!$B$9:$F$101,5,FALSE),IF(BA1662="121-365 Days",VLOOKUP(D1662,[3]Extended!$B$9:$G$101,6,FALSE),VLOOKUP(D1662,[3]Extended!$B$9:$H$101,7,FALSE)))),0)</f>
        <v>0</v>
      </c>
      <c r="O1662" s="269">
        <f>IFERROR(IF(BA1662="WIP - 30 Days",VLOOKUP(D1662,[3]Extended!$B$9:$J$101,9,FALSE),IF(BA1662="31-120 Days",VLOOKUP(D1662,[3]Extended!$B$9:$K$101,10,FALSE),IF(BA1662="121-365 Days",VLOOKUP(D1662,[3]Extended!$B$9:$L$101,11,FALSE),VLOOKUP(D1662,[3]Extended!$B$9:$M$101,12,FALSE)))),0)</f>
        <v>0</v>
      </c>
      <c r="P1662" s="116" t="e">
        <f t="shared" si="126"/>
        <v>#VALUE!</v>
      </c>
      <c r="Q1662" s="110" t="e">
        <f>O1662-#REF!</f>
        <v>#REF!</v>
      </c>
      <c r="AT1662" s="88" t="str">
        <f t="shared" si="127"/>
        <v>Special Order0</v>
      </c>
      <c r="AU1662" s="89" t="str">
        <f t="shared" si="128"/>
        <v>01-1900</v>
      </c>
      <c r="BA1662" s="92" t="str">
        <f t="shared" si="129"/>
        <v/>
      </c>
    </row>
    <row r="1663" spans="2:53">
      <c r="B1663" s="60">
        <f>[2]Trucks!A1660</f>
        <v>0</v>
      </c>
      <c r="C1663" s="11">
        <f>[2]Trucks!B1660</f>
        <v>0</v>
      </c>
      <c r="D1663" s="19" t="str">
        <f>IFERROR(VLOOKUP(C1663&amp;"",'[2]Retail Price List'!$A$3:$B$103,2,FALSE),"Special Order")</f>
        <v>Special Order</v>
      </c>
      <c r="E1663" s="18">
        <f>[2]Trucks!J1660</f>
        <v>0</v>
      </c>
      <c r="F1663" s="12">
        <f>[2]Trucks!E1660</f>
        <v>0</v>
      </c>
      <c r="G1663" s="56">
        <f>[2]Trucks!K1660</f>
        <v>0</v>
      </c>
      <c r="H1663" s="46">
        <f>[2]Trucks!I1660</f>
        <v>0</v>
      </c>
      <c r="I1663" s="83" t="str">
        <f t="shared" si="125"/>
        <v/>
      </c>
      <c r="J1663" s="272" t="str">
        <f>IFERROR(VLOOKUP((D1663&amp;C1663)&amp;"",'[2]Retail Price List'!$C$4:$F$102,3,FALSE),"")</f>
        <v/>
      </c>
      <c r="K1663" s="272">
        <f>IFERROR(IF(BA1663="WIP - 30 Days",VLOOKUP(D1663,[3]Standard!$B$9:$E$101,4,FALSE),IF(BA1663="31-120 Days",VLOOKUP(D1663,[3]Standard!$B$9:$F$101,5,FALSE),IF(BA1663="121-365 Days",VLOOKUP(D1663,[3]Standard!$B$9:$G$101,6,FALSE),VLOOKUP(D1663,[3]Standard!$B$9:$H$101,7,FALSE)))),0)</f>
        <v>0</v>
      </c>
      <c r="L1663" s="272">
        <f>IFERROR(IF(BA1663="WIP - 30 Days",VLOOKUP(D1663,[3]Standard!$B$9:$J$101,9,FALSE),IF(BA1663="31-120 Days",VLOOKUP(D1663,[3]Standard!$B$9:$K$100,10,FALSE),IF(BA1663="121-365 Days",VLOOKUP(D1663,[3]Standard!$B$9:$L$101,11,FALSE),VLOOKUP(D1663,[3]Standard!$B$9:$M$101,12,FALSE)))),0)</f>
        <v>0</v>
      </c>
      <c r="M1663" s="269" t="str">
        <f>IFERROR(VLOOKUP((D1663&amp;C1663)&amp;"",'[2]Retail Price List'!$C$4:$F$102,4,FALSE),"")</f>
        <v/>
      </c>
      <c r="N1663" s="269">
        <f>IFERROR(IF(BA1663="WIP - 30 Days",VLOOKUP(D1663,[3]Extended!$B$9:$E$101,4,FALSE),IF(BA1663="31-120 Days",VLOOKUP(D1663,[3]Extended!$B$9:$F$101,5,FALSE),IF(BA1663="121-365 Days",VLOOKUP(D1663,[3]Extended!$B$9:$G$101,6,FALSE),VLOOKUP(D1663,[3]Extended!$B$9:$H$101,7,FALSE)))),0)</f>
        <v>0</v>
      </c>
      <c r="O1663" s="269">
        <f>IFERROR(IF(BA1663="WIP - 30 Days",VLOOKUP(D1663,[3]Extended!$B$9:$J$101,9,FALSE),IF(BA1663="31-120 Days",VLOOKUP(D1663,[3]Extended!$B$9:$K$101,10,FALSE),IF(BA1663="121-365 Days",VLOOKUP(D1663,[3]Extended!$B$9:$L$101,11,FALSE),VLOOKUP(D1663,[3]Extended!$B$9:$M$101,12,FALSE)))),0)</f>
        <v>0</v>
      </c>
      <c r="P1663" s="116" t="e">
        <f t="shared" si="126"/>
        <v>#VALUE!</v>
      </c>
      <c r="Q1663" s="110" t="e">
        <f>O1663-#REF!</f>
        <v>#REF!</v>
      </c>
      <c r="AT1663" s="88" t="str">
        <f t="shared" si="127"/>
        <v>Special Order0</v>
      </c>
      <c r="AU1663" s="89" t="str">
        <f t="shared" si="128"/>
        <v>01-1900</v>
      </c>
      <c r="BA1663" s="92" t="str">
        <f t="shared" si="129"/>
        <v/>
      </c>
    </row>
    <row r="1664" spans="2:53">
      <c r="B1664" s="60">
        <f>[2]Trucks!A1661</f>
        <v>0</v>
      </c>
      <c r="C1664" s="11">
        <f>[2]Trucks!B1661</f>
        <v>0</v>
      </c>
      <c r="D1664" s="19" t="str">
        <f>IFERROR(VLOOKUP(C1664&amp;"",'[2]Retail Price List'!$A$3:$B$103,2,FALSE),"Special Order")</f>
        <v>Special Order</v>
      </c>
      <c r="E1664" s="18">
        <f>[2]Trucks!J1661</f>
        <v>0</v>
      </c>
      <c r="F1664" s="12">
        <f>[2]Trucks!E1661</f>
        <v>0</v>
      </c>
      <c r="G1664" s="56">
        <f>[2]Trucks!K1661</f>
        <v>0</v>
      </c>
      <c r="H1664" s="46">
        <f>[2]Trucks!I1661</f>
        <v>0</v>
      </c>
      <c r="I1664" s="83" t="str">
        <f t="shared" si="125"/>
        <v/>
      </c>
      <c r="J1664" s="272" t="str">
        <f>IFERROR(VLOOKUP((D1664&amp;C1664)&amp;"",'[2]Retail Price List'!$C$4:$F$102,3,FALSE),"")</f>
        <v/>
      </c>
      <c r="K1664" s="272">
        <f>IFERROR(IF(BA1664="WIP - 30 Days",VLOOKUP(D1664,[3]Standard!$B$9:$E$101,4,FALSE),IF(BA1664="31-120 Days",VLOOKUP(D1664,[3]Standard!$B$9:$F$101,5,FALSE),IF(BA1664="121-365 Days",VLOOKUP(D1664,[3]Standard!$B$9:$G$101,6,FALSE),VLOOKUP(D1664,[3]Standard!$B$9:$H$101,7,FALSE)))),0)</f>
        <v>0</v>
      </c>
      <c r="L1664" s="272">
        <f>IFERROR(IF(BA1664="WIP - 30 Days",VLOOKUP(D1664,[3]Standard!$B$9:$J$101,9,FALSE),IF(BA1664="31-120 Days",VLOOKUP(D1664,[3]Standard!$B$9:$K$100,10,FALSE),IF(BA1664="121-365 Days",VLOOKUP(D1664,[3]Standard!$B$9:$L$101,11,FALSE),VLOOKUP(D1664,[3]Standard!$B$9:$M$101,12,FALSE)))),0)</f>
        <v>0</v>
      </c>
      <c r="M1664" s="269" t="str">
        <f>IFERROR(VLOOKUP((D1664&amp;C1664)&amp;"",'[2]Retail Price List'!$C$4:$F$102,4,FALSE),"")</f>
        <v/>
      </c>
      <c r="N1664" s="269">
        <f>IFERROR(IF(BA1664="WIP - 30 Days",VLOOKUP(D1664,[3]Extended!$B$9:$E$101,4,FALSE),IF(BA1664="31-120 Days",VLOOKUP(D1664,[3]Extended!$B$9:$F$101,5,FALSE),IF(BA1664="121-365 Days",VLOOKUP(D1664,[3]Extended!$B$9:$G$101,6,FALSE),VLOOKUP(D1664,[3]Extended!$B$9:$H$101,7,FALSE)))),0)</f>
        <v>0</v>
      </c>
      <c r="O1664" s="269">
        <f>IFERROR(IF(BA1664="WIP - 30 Days",VLOOKUP(D1664,[3]Extended!$B$9:$J$101,9,FALSE),IF(BA1664="31-120 Days",VLOOKUP(D1664,[3]Extended!$B$9:$K$101,10,FALSE),IF(BA1664="121-365 Days",VLOOKUP(D1664,[3]Extended!$B$9:$L$101,11,FALSE),VLOOKUP(D1664,[3]Extended!$B$9:$M$101,12,FALSE)))),0)</f>
        <v>0</v>
      </c>
      <c r="P1664" s="116" t="e">
        <f t="shared" si="126"/>
        <v>#VALUE!</v>
      </c>
      <c r="Q1664" s="110" t="e">
        <f>O1664-#REF!</f>
        <v>#REF!</v>
      </c>
      <c r="AT1664" s="88" t="str">
        <f t="shared" si="127"/>
        <v>Special Order0</v>
      </c>
      <c r="AU1664" s="89" t="str">
        <f t="shared" si="128"/>
        <v>01-1900</v>
      </c>
      <c r="BA1664" s="92" t="str">
        <f t="shared" si="129"/>
        <v/>
      </c>
    </row>
    <row r="1665" spans="2:53">
      <c r="B1665" s="60">
        <f>[2]Trucks!A1662</f>
        <v>0</v>
      </c>
      <c r="C1665" s="11">
        <f>[2]Trucks!B1662</f>
        <v>0</v>
      </c>
      <c r="D1665" s="19" t="str">
        <f>IFERROR(VLOOKUP(C1665&amp;"",'[2]Retail Price List'!$A$3:$B$103,2,FALSE),"Special Order")</f>
        <v>Special Order</v>
      </c>
      <c r="E1665" s="18">
        <f>[2]Trucks!J1662</f>
        <v>0</v>
      </c>
      <c r="F1665" s="12">
        <f>[2]Trucks!E1662</f>
        <v>0</v>
      </c>
      <c r="G1665" s="56">
        <f>[2]Trucks!K1662</f>
        <v>0</v>
      </c>
      <c r="H1665" s="46">
        <f>[2]Trucks!I1662</f>
        <v>0</v>
      </c>
      <c r="I1665" s="83" t="str">
        <f t="shared" si="125"/>
        <v/>
      </c>
      <c r="J1665" s="272" t="str">
        <f>IFERROR(VLOOKUP((D1665&amp;C1665)&amp;"",'[2]Retail Price List'!$C$4:$F$102,3,FALSE),"")</f>
        <v/>
      </c>
      <c r="K1665" s="272">
        <f>IFERROR(IF(BA1665="WIP - 30 Days",VLOOKUP(D1665,[3]Standard!$B$9:$E$101,4,FALSE),IF(BA1665="31-120 Days",VLOOKUP(D1665,[3]Standard!$B$9:$F$101,5,FALSE),IF(BA1665="121-365 Days",VLOOKUP(D1665,[3]Standard!$B$9:$G$101,6,FALSE),VLOOKUP(D1665,[3]Standard!$B$9:$H$101,7,FALSE)))),0)</f>
        <v>0</v>
      </c>
      <c r="L1665" s="272">
        <f>IFERROR(IF(BA1665="WIP - 30 Days",VLOOKUP(D1665,[3]Standard!$B$9:$J$101,9,FALSE),IF(BA1665="31-120 Days",VLOOKUP(D1665,[3]Standard!$B$9:$K$100,10,FALSE),IF(BA1665="121-365 Days",VLOOKUP(D1665,[3]Standard!$B$9:$L$101,11,FALSE),VLOOKUP(D1665,[3]Standard!$B$9:$M$101,12,FALSE)))),0)</f>
        <v>0</v>
      </c>
      <c r="M1665" s="269" t="str">
        <f>IFERROR(VLOOKUP((D1665&amp;C1665)&amp;"",'[2]Retail Price List'!$C$4:$F$102,4,FALSE),"")</f>
        <v/>
      </c>
      <c r="N1665" s="269">
        <f>IFERROR(IF(BA1665="WIP - 30 Days",VLOOKUP(D1665,[3]Extended!$B$9:$E$101,4,FALSE),IF(BA1665="31-120 Days",VLOOKUP(D1665,[3]Extended!$B$9:$F$101,5,FALSE),IF(BA1665="121-365 Days",VLOOKUP(D1665,[3]Extended!$B$9:$G$101,6,FALSE),VLOOKUP(D1665,[3]Extended!$B$9:$H$101,7,FALSE)))),0)</f>
        <v>0</v>
      </c>
      <c r="O1665" s="269">
        <f>IFERROR(IF(BA1665="WIP - 30 Days",VLOOKUP(D1665,[3]Extended!$B$9:$J$101,9,FALSE),IF(BA1665="31-120 Days",VLOOKUP(D1665,[3]Extended!$B$9:$K$101,10,FALSE),IF(BA1665="121-365 Days",VLOOKUP(D1665,[3]Extended!$B$9:$L$101,11,FALSE),VLOOKUP(D1665,[3]Extended!$B$9:$M$101,12,FALSE)))),0)</f>
        <v>0</v>
      </c>
      <c r="P1665" s="116" t="e">
        <f t="shared" si="126"/>
        <v>#VALUE!</v>
      </c>
      <c r="Q1665" s="110" t="e">
        <f>O1665-#REF!</f>
        <v>#REF!</v>
      </c>
      <c r="AT1665" s="88" t="str">
        <f t="shared" si="127"/>
        <v>Special Order0</v>
      </c>
      <c r="AU1665" s="89" t="str">
        <f t="shared" si="128"/>
        <v>01-1900</v>
      </c>
      <c r="BA1665" s="92" t="str">
        <f t="shared" si="129"/>
        <v/>
      </c>
    </row>
    <row r="1666" spans="2:53">
      <c r="B1666" s="60">
        <f>[2]Trucks!A1663</f>
        <v>0</v>
      </c>
      <c r="C1666" s="11">
        <f>[2]Trucks!B1663</f>
        <v>0</v>
      </c>
      <c r="D1666" s="19" t="str">
        <f>IFERROR(VLOOKUP(C1666&amp;"",'[2]Retail Price List'!$A$3:$B$103,2,FALSE),"Special Order")</f>
        <v>Special Order</v>
      </c>
      <c r="E1666" s="18">
        <f>[2]Trucks!J1663</f>
        <v>0</v>
      </c>
      <c r="F1666" s="12">
        <f>[2]Trucks!E1663</f>
        <v>0</v>
      </c>
      <c r="G1666" s="56">
        <f>[2]Trucks!K1663</f>
        <v>0</v>
      </c>
      <c r="H1666" s="46">
        <f>[2]Trucks!I1663</f>
        <v>0</v>
      </c>
      <c r="I1666" s="83" t="str">
        <f t="shared" si="125"/>
        <v/>
      </c>
      <c r="J1666" s="272" t="str">
        <f>IFERROR(VLOOKUP((D1666&amp;C1666)&amp;"",'[2]Retail Price List'!$C$4:$F$102,3,FALSE),"")</f>
        <v/>
      </c>
      <c r="K1666" s="272">
        <f>IFERROR(IF(BA1666="WIP - 30 Days",VLOOKUP(D1666,[3]Standard!$B$9:$E$101,4,FALSE),IF(BA1666="31-120 Days",VLOOKUP(D1666,[3]Standard!$B$9:$F$101,5,FALSE),IF(BA1666="121-365 Days",VLOOKUP(D1666,[3]Standard!$B$9:$G$101,6,FALSE),VLOOKUP(D1666,[3]Standard!$B$9:$H$101,7,FALSE)))),0)</f>
        <v>0</v>
      </c>
      <c r="L1666" s="272">
        <f>IFERROR(IF(BA1666="WIP - 30 Days",VLOOKUP(D1666,[3]Standard!$B$9:$J$101,9,FALSE),IF(BA1666="31-120 Days",VLOOKUP(D1666,[3]Standard!$B$9:$K$100,10,FALSE),IF(BA1666="121-365 Days",VLOOKUP(D1666,[3]Standard!$B$9:$L$101,11,FALSE),VLOOKUP(D1666,[3]Standard!$B$9:$M$101,12,FALSE)))),0)</f>
        <v>0</v>
      </c>
      <c r="M1666" s="269" t="str">
        <f>IFERROR(VLOOKUP((D1666&amp;C1666)&amp;"",'[2]Retail Price List'!$C$4:$F$102,4,FALSE),"")</f>
        <v/>
      </c>
      <c r="N1666" s="269">
        <f>IFERROR(IF(BA1666="WIP - 30 Days",VLOOKUP(D1666,[3]Extended!$B$9:$E$101,4,FALSE),IF(BA1666="31-120 Days",VLOOKUP(D1666,[3]Extended!$B$9:$F$101,5,FALSE),IF(BA1666="121-365 Days",VLOOKUP(D1666,[3]Extended!$B$9:$G$101,6,FALSE),VLOOKUP(D1666,[3]Extended!$B$9:$H$101,7,FALSE)))),0)</f>
        <v>0</v>
      </c>
      <c r="O1666" s="269">
        <f>IFERROR(IF(BA1666="WIP - 30 Days",VLOOKUP(D1666,[3]Extended!$B$9:$J$101,9,FALSE),IF(BA1666="31-120 Days",VLOOKUP(D1666,[3]Extended!$B$9:$K$101,10,FALSE),IF(BA1666="121-365 Days",VLOOKUP(D1666,[3]Extended!$B$9:$L$101,11,FALSE),VLOOKUP(D1666,[3]Extended!$B$9:$M$101,12,FALSE)))),0)</f>
        <v>0</v>
      </c>
      <c r="P1666" s="116" t="e">
        <f t="shared" si="126"/>
        <v>#VALUE!</v>
      </c>
      <c r="Q1666" s="110" t="e">
        <f>O1666-#REF!</f>
        <v>#REF!</v>
      </c>
      <c r="AT1666" s="88" t="str">
        <f t="shared" si="127"/>
        <v>Special Order0</v>
      </c>
      <c r="AU1666" s="89" t="str">
        <f t="shared" si="128"/>
        <v>01-1900</v>
      </c>
      <c r="BA1666" s="92" t="str">
        <f t="shared" si="129"/>
        <v/>
      </c>
    </row>
    <row r="1667" spans="2:53">
      <c r="B1667" s="60">
        <f>[2]Trucks!A1664</f>
        <v>0</v>
      </c>
      <c r="C1667" s="11">
        <f>[2]Trucks!B1664</f>
        <v>0</v>
      </c>
      <c r="D1667" s="19" t="str">
        <f>IFERROR(VLOOKUP(C1667&amp;"",'[2]Retail Price List'!$A$3:$B$103,2,FALSE),"Special Order")</f>
        <v>Special Order</v>
      </c>
      <c r="E1667" s="18">
        <f>[2]Trucks!J1664</f>
        <v>0</v>
      </c>
      <c r="F1667" s="12">
        <f>[2]Trucks!E1664</f>
        <v>0</v>
      </c>
      <c r="G1667" s="56">
        <f>[2]Trucks!K1664</f>
        <v>0</v>
      </c>
      <c r="H1667" s="46">
        <f>[2]Trucks!I1664</f>
        <v>0</v>
      </c>
      <c r="I1667" s="83" t="str">
        <f t="shared" si="125"/>
        <v/>
      </c>
      <c r="J1667" s="272" t="str">
        <f>IFERROR(VLOOKUP((D1667&amp;C1667)&amp;"",'[2]Retail Price List'!$C$4:$F$102,3,FALSE),"")</f>
        <v/>
      </c>
      <c r="K1667" s="272">
        <f>IFERROR(IF(BA1667="WIP - 30 Days",VLOOKUP(D1667,[3]Standard!$B$9:$E$101,4,FALSE),IF(BA1667="31-120 Days",VLOOKUP(D1667,[3]Standard!$B$9:$F$101,5,FALSE),IF(BA1667="121-365 Days",VLOOKUP(D1667,[3]Standard!$B$9:$G$101,6,FALSE),VLOOKUP(D1667,[3]Standard!$B$9:$H$101,7,FALSE)))),0)</f>
        <v>0</v>
      </c>
      <c r="L1667" s="272">
        <f>IFERROR(IF(BA1667="WIP - 30 Days",VLOOKUP(D1667,[3]Standard!$B$9:$J$101,9,FALSE),IF(BA1667="31-120 Days",VLOOKUP(D1667,[3]Standard!$B$9:$K$100,10,FALSE),IF(BA1667="121-365 Days",VLOOKUP(D1667,[3]Standard!$B$9:$L$101,11,FALSE),VLOOKUP(D1667,[3]Standard!$B$9:$M$101,12,FALSE)))),0)</f>
        <v>0</v>
      </c>
      <c r="M1667" s="269" t="str">
        <f>IFERROR(VLOOKUP((D1667&amp;C1667)&amp;"",'[2]Retail Price List'!$C$4:$F$102,4,FALSE),"")</f>
        <v/>
      </c>
      <c r="N1667" s="269">
        <f>IFERROR(IF(BA1667="WIP - 30 Days",VLOOKUP(D1667,[3]Extended!$B$9:$E$101,4,FALSE),IF(BA1667="31-120 Days",VLOOKUP(D1667,[3]Extended!$B$9:$F$101,5,FALSE),IF(BA1667="121-365 Days",VLOOKUP(D1667,[3]Extended!$B$9:$G$101,6,FALSE),VLOOKUP(D1667,[3]Extended!$B$9:$H$101,7,FALSE)))),0)</f>
        <v>0</v>
      </c>
      <c r="O1667" s="269">
        <f>IFERROR(IF(BA1667="WIP - 30 Days",VLOOKUP(D1667,[3]Extended!$B$9:$J$101,9,FALSE),IF(BA1667="31-120 Days",VLOOKUP(D1667,[3]Extended!$B$9:$K$101,10,FALSE),IF(BA1667="121-365 Days",VLOOKUP(D1667,[3]Extended!$B$9:$L$101,11,FALSE),VLOOKUP(D1667,[3]Extended!$B$9:$M$101,12,FALSE)))),0)</f>
        <v>0</v>
      </c>
      <c r="P1667" s="116" t="e">
        <f t="shared" si="126"/>
        <v>#VALUE!</v>
      </c>
      <c r="Q1667" s="110" t="e">
        <f>O1667-#REF!</f>
        <v>#REF!</v>
      </c>
      <c r="AT1667" s="88" t="str">
        <f t="shared" si="127"/>
        <v>Special Order0</v>
      </c>
      <c r="AU1667" s="89" t="str">
        <f t="shared" si="128"/>
        <v>01-1900</v>
      </c>
      <c r="BA1667" s="92" t="str">
        <f t="shared" si="129"/>
        <v/>
      </c>
    </row>
    <row r="1668" spans="2:53">
      <c r="B1668" s="60">
        <f>[2]Trucks!A1665</f>
        <v>0</v>
      </c>
      <c r="C1668" s="11">
        <f>[2]Trucks!B1665</f>
        <v>0</v>
      </c>
      <c r="D1668" s="19" t="str">
        <f>IFERROR(VLOOKUP(C1668&amp;"",'[2]Retail Price List'!$A$3:$B$103,2,FALSE),"Special Order")</f>
        <v>Special Order</v>
      </c>
      <c r="E1668" s="18">
        <f>[2]Trucks!J1665</f>
        <v>0</v>
      </c>
      <c r="F1668" s="12">
        <f>[2]Trucks!E1665</f>
        <v>0</v>
      </c>
      <c r="G1668" s="56">
        <f>[2]Trucks!K1665</f>
        <v>0</v>
      </c>
      <c r="H1668" s="46">
        <f>[2]Trucks!I1665</f>
        <v>0</v>
      </c>
      <c r="I1668" s="83" t="str">
        <f t="shared" si="125"/>
        <v/>
      </c>
      <c r="J1668" s="272" t="str">
        <f>IFERROR(VLOOKUP((D1668&amp;C1668)&amp;"",'[2]Retail Price List'!$C$4:$F$102,3,FALSE),"")</f>
        <v/>
      </c>
      <c r="K1668" s="272">
        <f>IFERROR(IF(BA1668="WIP - 30 Days",VLOOKUP(D1668,[3]Standard!$B$9:$E$101,4,FALSE),IF(BA1668="31-120 Days",VLOOKUP(D1668,[3]Standard!$B$9:$F$101,5,FALSE),IF(BA1668="121-365 Days",VLOOKUP(D1668,[3]Standard!$B$9:$G$101,6,FALSE),VLOOKUP(D1668,[3]Standard!$B$9:$H$101,7,FALSE)))),0)</f>
        <v>0</v>
      </c>
      <c r="L1668" s="272">
        <f>IFERROR(IF(BA1668="WIP - 30 Days",VLOOKUP(D1668,[3]Standard!$B$9:$J$101,9,FALSE),IF(BA1668="31-120 Days",VLOOKUP(D1668,[3]Standard!$B$9:$K$100,10,FALSE),IF(BA1668="121-365 Days",VLOOKUP(D1668,[3]Standard!$B$9:$L$101,11,FALSE),VLOOKUP(D1668,[3]Standard!$B$9:$M$101,12,FALSE)))),0)</f>
        <v>0</v>
      </c>
      <c r="M1668" s="269" t="str">
        <f>IFERROR(VLOOKUP((D1668&amp;C1668)&amp;"",'[2]Retail Price List'!$C$4:$F$102,4,FALSE),"")</f>
        <v/>
      </c>
      <c r="N1668" s="269">
        <f>IFERROR(IF(BA1668="WIP - 30 Days",VLOOKUP(D1668,[3]Extended!$B$9:$E$101,4,FALSE),IF(BA1668="31-120 Days",VLOOKUP(D1668,[3]Extended!$B$9:$F$101,5,FALSE),IF(BA1668="121-365 Days",VLOOKUP(D1668,[3]Extended!$B$9:$G$101,6,FALSE),VLOOKUP(D1668,[3]Extended!$B$9:$H$101,7,FALSE)))),0)</f>
        <v>0</v>
      </c>
      <c r="O1668" s="269">
        <f>IFERROR(IF(BA1668="WIP - 30 Days",VLOOKUP(D1668,[3]Extended!$B$9:$J$101,9,FALSE),IF(BA1668="31-120 Days",VLOOKUP(D1668,[3]Extended!$B$9:$K$101,10,FALSE),IF(BA1668="121-365 Days",VLOOKUP(D1668,[3]Extended!$B$9:$L$101,11,FALSE),VLOOKUP(D1668,[3]Extended!$B$9:$M$101,12,FALSE)))),0)</f>
        <v>0</v>
      </c>
      <c r="P1668" s="116" t="e">
        <f t="shared" si="126"/>
        <v>#VALUE!</v>
      </c>
      <c r="Q1668" s="110" t="e">
        <f>O1668-#REF!</f>
        <v>#REF!</v>
      </c>
      <c r="AT1668" s="88" t="str">
        <f t="shared" si="127"/>
        <v>Special Order0</v>
      </c>
      <c r="AU1668" s="89" t="str">
        <f t="shared" si="128"/>
        <v>01-1900</v>
      </c>
      <c r="BA1668" s="92" t="str">
        <f t="shared" si="129"/>
        <v/>
      </c>
    </row>
    <row r="1669" spans="2:53">
      <c r="B1669" s="60">
        <f>[2]Trucks!A1666</f>
        <v>0</v>
      </c>
      <c r="C1669" s="11">
        <f>[2]Trucks!B1666</f>
        <v>0</v>
      </c>
      <c r="D1669" s="19" t="str">
        <f>IFERROR(VLOOKUP(C1669&amp;"",'[2]Retail Price List'!$A$3:$B$103,2,FALSE),"Special Order")</f>
        <v>Special Order</v>
      </c>
      <c r="E1669" s="18">
        <f>[2]Trucks!J1666</f>
        <v>0</v>
      </c>
      <c r="F1669" s="12">
        <f>[2]Trucks!E1666</f>
        <v>0</v>
      </c>
      <c r="G1669" s="56">
        <f>[2]Trucks!K1666</f>
        <v>0</v>
      </c>
      <c r="H1669" s="46">
        <f>[2]Trucks!I1666</f>
        <v>0</v>
      </c>
      <c r="I1669" s="83" t="str">
        <f t="shared" ref="I1669:I1732" si="130">IFERROR(VLOOKUP(AU1669,$AW$5:$AY$40,3,FALSE),"")</f>
        <v/>
      </c>
      <c r="J1669" s="272" t="str">
        <f>IFERROR(VLOOKUP((D1669&amp;C1669)&amp;"",'[2]Retail Price List'!$C$4:$F$102,3,FALSE),"")</f>
        <v/>
      </c>
      <c r="K1669" s="272">
        <f>IFERROR(IF(BA1669="WIP - 30 Days",VLOOKUP(D1669,[3]Standard!$B$9:$E$101,4,FALSE),IF(BA1669="31-120 Days",VLOOKUP(D1669,[3]Standard!$B$9:$F$101,5,FALSE),IF(BA1669="121-365 Days",VLOOKUP(D1669,[3]Standard!$B$9:$G$101,6,FALSE),VLOOKUP(D1669,[3]Standard!$B$9:$H$101,7,FALSE)))),0)</f>
        <v>0</v>
      </c>
      <c r="L1669" s="272">
        <f>IFERROR(IF(BA1669="WIP - 30 Days",VLOOKUP(D1669,[3]Standard!$B$9:$J$101,9,FALSE),IF(BA1669="31-120 Days",VLOOKUP(D1669,[3]Standard!$B$9:$K$100,10,FALSE),IF(BA1669="121-365 Days",VLOOKUP(D1669,[3]Standard!$B$9:$L$101,11,FALSE),VLOOKUP(D1669,[3]Standard!$B$9:$M$101,12,FALSE)))),0)</f>
        <v>0</v>
      </c>
      <c r="M1669" s="269" t="str">
        <f>IFERROR(VLOOKUP((D1669&amp;C1669)&amp;"",'[2]Retail Price List'!$C$4:$F$102,4,FALSE),"")</f>
        <v/>
      </c>
      <c r="N1669" s="269">
        <f>IFERROR(IF(BA1669="WIP - 30 Days",VLOOKUP(D1669,[3]Extended!$B$9:$E$101,4,FALSE),IF(BA1669="31-120 Days",VLOOKUP(D1669,[3]Extended!$B$9:$F$101,5,FALSE),IF(BA1669="121-365 Days",VLOOKUP(D1669,[3]Extended!$B$9:$G$101,6,FALSE),VLOOKUP(D1669,[3]Extended!$B$9:$H$101,7,FALSE)))),0)</f>
        <v>0</v>
      </c>
      <c r="O1669" s="269">
        <f>IFERROR(IF(BA1669="WIP - 30 Days",VLOOKUP(D1669,[3]Extended!$B$9:$J$101,9,FALSE),IF(BA1669="31-120 Days",VLOOKUP(D1669,[3]Extended!$B$9:$K$101,10,FALSE),IF(BA1669="121-365 Days",VLOOKUP(D1669,[3]Extended!$B$9:$L$101,11,FALSE),VLOOKUP(D1669,[3]Extended!$B$9:$M$101,12,FALSE)))),0)</f>
        <v>0</v>
      </c>
      <c r="P1669" s="116" t="e">
        <f t="shared" ref="P1669:P1732" si="131">(M1669-O1669)/M1669</f>
        <v>#VALUE!</v>
      </c>
      <c r="Q1669" s="110" t="e">
        <f>O1669-#REF!</f>
        <v>#REF!</v>
      </c>
      <c r="AT1669" s="88" t="str">
        <f t="shared" ref="AT1669:AT1732" si="132">D1669&amp;I1669&amp;G1669</f>
        <v>Special Order0</v>
      </c>
      <c r="AU1669" s="89" t="str">
        <f t="shared" ref="AU1669:AU1732" si="133">IF(MONTH(H1669)&lt;10,0&amp;MONTH(H1669)&amp;"-"&amp;YEAR(H1669),MONTH(H1669)&amp;"-"&amp;YEAR(H1669))</f>
        <v>01-1900</v>
      </c>
      <c r="BA1669" s="92" t="str">
        <f t="shared" ref="BA1669:BA1732" si="134">IF(B1669=0,"",IF(AND(F1669&gt;=31,F1669&lt;=120),"31-120 Days",IF(AND(F1669&gt;=121,F1669&lt;=365),"121-365 Days",IF(OR(E1669="CKD",F1669&lt;=30),"WIP - 30 Days","&gt;365 Days"))))</f>
        <v/>
      </c>
    </row>
    <row r="1670" spans="2:53">
      <c r="B1670" s="60">
        <f>[2]Trucks!A1667</f>
        <v>0</v>
      </c>
      <c r="C1670" s="11">
        <f>[2]Trucks!B1667</f>
        <v>0</v>
      </c>
      <c r="D1670" s="19" t="str">
        <f>IFERROR(VLOOKUP(C1670&amp;"",'[2]Retail Price List'!$A$3:$B$103,2,FALSE),"Special Order")</f>
        <v>Special Order</v>
      </c>
      <c r="E1670" s="18">
        <f>[2]Trucks!J1667</f>
        <v>0</v>
      </c>
      <c r="F1670" s="12">
        <f>[2]Trucks!E1667</f>
        <v>0</v>
      </c>
      <c r="G1670" s="56">
        <f>[2]Trucks!K1667</f>
        <v>0</v>
      </c>
      <c r="H1670" s="46">
        <f>[2]Trucks!I1667</f>
        <v>0</v>
      </c>
      <c r="I1670" s="83" t="str">
        <f t="shared" si="130"/>
        <v/>
      </c>
      <c r="J1670" s="272" t="str">
        <f>IFERROR(VLOOKUP((D1670&amp;C1670)&amp;"",'[2]Retail Price List'!$C$4:$F$102,3,FALSE),"")</f>
        <v/>
      </c>
      <c r="K1670" s="272">
        <f>IFERROR(IF(BA1670="WIP - 30 Days",VLOOKUP(D1670,[3]Standard!$B$9:$E$101,4,FALSE),IF(BA1670="31-120 Days",VLOOKUP(D1670,[3]Standard!$B$9:$F$101,5,FALSE),IF(BA1670="121-365 Days",VLOOKUP(D1670,[3]Standard!$B$9:$G$101,6,FALSE),VLOOKUP(D1670,[3]Standard!$B$9:$H$101,7,FALSE)))),0)</f>
        <v>0</v>
      </c>
      <c r="L1670" s="272">
        <f>IFERROR(IF(BA1670="WIP - 30 Days",VLOOKUP(D1670,[3]Standard!$B$9:$J$101,9,FALSE),IF(BA1670="31-120 Days",VLOOKUP(D1670,[3]Standard!$B$9:$K$100,10,FALSE),IF(BA1670="121-365 Days",VLOOKUP(D1670,[3]Standard!$B$9:$L$101,11,FALSE),VLOOKUP(D1670,[3]Standard!$B$9:$M$101,12,FALSE)))),0)</f>
        <v>0</v>
      </c>
      <c r="M1670" s="269" t="str">
        <f>IFERROR(VLOOKUP((D1670&amp;C1670)&amp;"",'[2]Retail Price List'!$C$4:$F$102,4,FALSE),"")</f>
        <v/>
      </c>
      <c r="N1670" s="269">
        <f>IFERROR(IF(BA1670="WIP - 30 Days",VLOOKUP(D1670,[3]Extended!$B$9:$E$101,4,FALSE),IF(BA1670="31-120 Days",VLOOKUP(D1670,[3]Extended!$B$9:$F$101,5,FALSE),IF(BA1670="121-365 Days",VLOOKUP(D1670,[3]Extended!$B$9:$G$101,6,FALSE),VLOOKUP(D1670,[3]Extended!$B$9:$H$101,7,FALSE)))),0)</f>
        <v>0</v>
      </c>
      <c r="O1670" s="269">
        <f>IFERROR(IF(BA1670="WIP - 30 Days",VLOOKUP(D1670,[3]Extended!$B$9:$J$101,9,FALSE),IF(BA1670="31-120 Days",VLOOKUP(D1670,[3]Extended!$B$9:$K$101,10,FALSE),IF(BA1670="121-365 Days",VLOOKUP(D1670,[3]Extended!$B$9:$L$101,11,FALSE),VLOOKUP(D1670,[3]Extended!$B$9:$M$101,12,FALSE)))),0)</f>
        <v>0</v>
      </c>
      <c r="P1670" s="116" t="e">
        <f t="shared" si="131"/>
        <v>#VALUE!</v>
      </c>
      <c r="Q1670" s="110" t="e">
        <f>O1670-#REF!</f>
        <v>#REF!</v>
      </c>
      <c r="AT1670" s="88" t="str">
        <f t="shared" si="132"/>
        <v>Special Order0</v>
      </c>
      <c r="AU1670" s="89" t="str">
        <f t="shared" si="133"/>
        <v>01-1900</v>
      </c>
      <c r="BA1670" s="92" t="str">
        <f t="shared" si="134"/>
        <v/>
      </c>
    </row>
    <row r="1671" spans="2:53">
      <c r="B1671" s="60">
        <f>[2]Trucks!A1668</f>
        <v>0</v>
      </c>
      <c r="C1671" s="11">
        <f>[2]Trucks!B1668</f>
        <v>0</v>
      </c>
      <c r="D1671" s="19" t="str">
        <f>IFERROR(VLOOKUP(C1671&amp;"",'[2]Retail Price List'!$A$3:$B$103,2,FALSE),"Special Order")</f>
        <v>Special Order</v>
      </c>
      <c r="E1671" s="18">
        <f>[2]Trucks!J1668</f>
        <v>0</v>
      </c>
      <c r="F1671" s="12">
        <f>[2]Trucks!E1668</f>
        <v>0</v>
      </c>
      <c r="G1671" s="56">
        <f>[2]Trucks!K1668</f>
        <v>0</v>
      </c>
      <c r="H1671" s="46">
        <f>[2]Trucks!I1668</f>
        <v>0</v>
      </c>
      <c r="I1671" s="83" t="str">
        <f t="shared" si="130"/>
        <v/>
      </c>
      <c r="J1671" s="272" t="str">
        <f>IFERROR(VLOOKUP((D1671&amp;C1671)&amp;"",'[2]Retail Price List'!$C$4:$F$102,3,FALSE),"")</f>
        <v/>
      </c>
      <c r="K1671" s="272">
        <f>IFERROR(IF(BA1671="WIP - 30 Days",VLOOKUP(D1671,[3]Standard!$B$9:$E$101,4,FALSE),IF(BA1671="31-120 Days",VLOOKUP(D1671,[3]Standard!$B$9:$F$101,5,FALSE),IF(BA1671="121-365 Days",VLOOKUP(D1671,[3]Standard!$B$9:$G$101,6,FALSE),VLOOKUP(D1671,[3]Standard!$B$9:$H$101,7,FALSE)))),0)</f>
        <v>0</v>
      </c>
      <c r="L1671" s="272">
        <f>IFERROR(IF(BA1671="WIP - 30 Days",VLOOKUP(D1671,[3]Standard!$B$9:$J$101,9,FALSE),IF(BA1671="31-120 Days",VLOOKUP(D1671,[3]Standard!$B$9:$K$100,10,FALSE),IF(BA1671="121-365 Days",VLOOKUP(D1671,[3]Standard!$B$9:$L$101,11,FALSE),VLOOKUP(D1671,[3]Standard!$B$9:$M$101,12,FALSE)))),0)</f>
        <v>0</v>
      </c>
      <c r="M1671" s="269" t="str">
        <f>IFERROR(VLOOKUP((D1671&amp;C1671)&amp;"",'[2]Retail Price List'!$C$4:$F$102,4,FALSE),"")</f>
        <v/>
      </c>
      <c r="N1671" s="269">
        <f>IFERROR(IF(BA1671="WIP - 30 Days",VLOOKUP(D1671,[3]Extended!$B$9:$E$101,4,FALSE),IF(BA1671="31-120 Days",VLOOKUP(D1671,[3]Extended!$B$9:$F$101,5,FALSE),IF(BA1671="121-365 Days",VLOOKUP(D1671,[3]Extended!$B$9:$G$101,6,FALSE),VLOOKUP(D1671,[3]Extended!$B$9:$H$101,7,FALSE)))),0)</f>
        <v>0</v>
      </c>
      <c r="O1671" s="269">
        <f>IFERROR(IF(BA1671="WIP - 30 Days",VLOOKUP(D1671,[3]Extended!$B$9:$J$101,9,FALSE),IF(BA1671="31-120 Days",VLOOKUP(D1671,[3]Extended!$B$9:$K$101,10,FALSE),IF(BA1671="121-365 Days",VLOOKUP(D1671,[3]Extended!$B$9:$L$101,11,FALSE),VLOOKUP(D1671,[3]Extended!$B$9:$M$101,12,FALSE)))),0)</f>
        <v>0</v>
      </c>
      <c r="P1671" s="116" t="e">
        <f t="shared" si="131"/>
        <v>#VALUE!</v>
      </c>
      <c r="Q1671" s="110" t="e">
        <f>O1671-#REF!</f>
        <v>#REF!</v>
      </c>
      <c r="AT1671" s="88" t="str">
        <f t="shared" si="132"/>
        <v>Special Order0</v>
      </c>
      <c r="AU1671" s="89" t="str">
        <f t="shared" si="133"/>
        <v>01-1900</v>
      </c>
      <c r="BA1671" s="92" t="str">
        <f t="shared" si="134"/>
        <v/>
      </c>
    </row>
    <row r="1672" spans="2:53">
      <c r="B1672" s="60">
        <f>[2]Trucks!A1669</f>
        <v>0</v>
      </c>
      <c r="C1672" s="11">
        <f>[2]Trucks!B1669</f>
        <v>0</v>
      </c>
      <c r="D1672" s="19" t="str">
        <f>IFERROR(VLOOKUP(C1672&amp;"",'[2]Retail Price List'!$A$3:$B$103,2,FALSE),"Special Order")</f>
        <v>Special Order</v>
      </c>
      <c r="E1672" s="18">
        <f>[2]Trucks!J1669</f>
        <v>0</v>
      </c>
      <c r="F1672" s="12">
        <f>[2]Trucks!E1669</f>
        <v>0</v>
      </c>
      <c r="G1672" s="56">
        <f>[2]Trucks!K1669</f>
        <v>0</v>
      </c>
      <c r="H1672" s="46">
        <f>[2]Trucks!I1669</f>
        <v>0</v>
      </c>
      <c r="I1672" s="83" t="str">
        <f t="shared" si="130"/>
        <v/>
      </c>
      <c r="J1672" s="272" t="str">
        <f>IFERROR(VLOOKUP((D1672&amp;C1672)&amp;"",'[2]Retail Price List'!$C$4:$F$102,3,FALSE),"")</f>
        <v/>
      </c>
      <c r="K1672" s="272">
        <f>IFERROR(IF(BA1672="WIP - 30 Days",VLOOKUP(D1672,[3]Standard!$B$9:$E$101,4,FALSE),IF(BA1672="31-120 Days",VLOOKUP(D1672,[3]Standard!$B$9:$F$101,5,FALSE),IF(BA1672="121-365 Days",VLOOKUP(D1672,[3]Standard!$B$9:$G$101,6,FALSE),VLOOKUP(D1672,[3]Standard!$B$9:$H$101,7,FALSE)))),0)</f>
        <v>0</v>
      </c>
      <c r="L1672" s="272">
        <f>IFERROR(IF(BA1672="WIP - 30 Days",VLOOKUP(D1672,[3]Standard!$B$9:$J$101,9,FALSE),IF(BA1672="31-120 Days",VLOOKUP(D1672,[3]Standard!$B$9:$K$100,10,FALSE),IF(BA1672="121-365 Days",VLOOKUP(D1672,[3]Standard!$B$9:$L$101,11,FALSE),VLOOKUP(D1672,[3]Standard!$B$9:$M$101,12,FALSE)))),0)</f>
        <v>0</v>
      </c>
      <c r="M1672" s="269" t="str">
        <f>IFERROR(VLOOKUP((D1672&amp;C1672)&amp;"",'[2]Retail Price List'!$C$4:$F$102,4,FALSE),"")</f>
        <v/>
      </c>
      <c r="N1672" s="269">
        <f>IFERROR(IF(BA1672="WIP - 30 Days",VLOOKUP(D1672,[3]Extended!$B$9:$E$101,4,FALSE),IF(BA1672="31-120 Days",VLOOKUP(D1672,[3]Extended!$B$9:$F$101,5,FALSE),IF(BA1672="121-365 Days",VLOOKUP(D1672,[3]Extended!$B$9:$G$101,6,FALSE),VLOOKUP(D1672,[3]Extended!$B$9:$H$101,7,FALSE)))),0)</f>
        <v>0</v>
      </c>
      <c r="O1672" s="269">
        <f>IFERROR(IF(BA1672="WIP - 30 Days",VLOOKUP(D1672,[3]Extended!$B$9:$J$101,9,FALSE),IF(BA1672="31-120 Days",VLOOKUP(D1672,[3]Extended!$B$9:$K$101,10,FALSE),IF(BA1672="121-365 Days",VLOOKUP(D1672,[3]Extended!$B$9:$L$101,11,FALSE),VLOOKUP(D1672,[3]Extended!$B$9:$M$101,12,FALSE)))),0)</f>
        <v>0</v>
      </c>
      <c r="P1672" s="116" t="e">
        <f t="shared" si="131"/>
        <v>#VALUE!</v>
      </c>
      <c r="Q1672" s="110" t="e">
        <f>O1672-#REF!</f>
        <v>#REF!</v>
      </c>
      <c r="AT1672" s="88" t="str">
        <f t="shared" si="132"/>
        <v>Special Order0</v>
      </c>
      <c r="AU1672" s="89" t="str">
        <f t="shared" si="133"/>
        <v>01-1900</v>
      </c>
      <c r="BA1672" s="92" t="str">
        <f t="shared" si="134"/>
        <v/>
      </c>
    </row>
    <row r="1673" spans="2:53">
      <c r="B1673" s="60">
        <f>[2]Trucks!A1670</f>
        <v>0</v>
      </c>
      <c r="C1673" s="11">
        <f>[2]Trucks!B1670</f>
        <v>0</v>
      </c>
      <c r="D1673" s="19" t="str">
        <f>IFERROR(VLOOKUP(C1673&amp;"",'[2]Retail Price List'!$A$3:$B$103,2,FALSE),"Special Order")</f>
        <v>Special Order</v>
      </c>
      <c r="E1673" s="18">
        <f>[2]Trucks!J1670</f>
        <v>0</v>
      </c>
      <c r="F1673" s="12">
        <f>[2]Trucks!E1670</f>
        <v>0</v>
      </c>
      <c r="G1673" s="56">
        <f>[2]Trucks!K1670</f>
        <v>0</v>
      </c>
      <c r="H1673" s="46">
        <f>[2]Trucks!I1670</f>
        <v>0</v>
      </c>
      <c r="I1673" s="83" t="str">
        <f t="shared" si="130"/>
        <v/>
      </c>
      <c r="J1673" s="272" t="str">
        <f>IFERROR(VLOOKUP((D1673&amp;C1673)&amp;"",'[2]Retail Price List'!$C$4:$F$102,3,FALSE),"")</f>
        <v/>
      </c>
      <c r="K1673" s="272">
        <f>IFERROR(IF(BA1673="WIP - 30 Days",VLOOKUP(D1673,[3]Standard!$B$9:$E$101,4,FALSE),IF(BA1673="31-120 Days",VLOOKUP(D1673,[3]Standard!$B$9:$F$101,5,FALSE),IF(BA1673="121-365 Days",VLOOKUP(D1673,[3]Standard!$B$9:$G$101,6,FALSE),VLOOKUP(D1673,[3]Standard!$B$9:$H$101,7,FALSE)))),0)</f>
        <v>0</v>
      </c>
      <c r="L1673" s="272">
        <f>IFERROR(IF(BA1673="WIP - 30 Days",VLOOKUP(D1673,[3]Standard!$B$9:$J$101,9,FALSE),IF(BA1673="31-120 Days",VLOOKUP(D1673,[3]Standard!$B$9:$K$100,10,FALSE),IF(BA1673="121-365 Days",VLOOKUP(D1673,[3]Standard!$B$9:$L$101,11,FALSE),VLOOKUP(D1673,[3]Standard!$B$9:$M$101,12,FALSE)))),0)</f>
        <v>0</v>
      </c>
      <c r="M1673" s="269" t="str">
        <f>IFERROR(VLOOKUP((D1673&amp;C1673)&amp;"",'[2]Retail Price List'!$C$4:$F$102,4,FALSE),"")</f>
        <v/>
      </c>
      <c r="N1673" s="269">
        <f>IFERROR(IF(BA1673="WIP - 30 Days",VLOOKUP(D1673,[3]Extended!$B$9:$E$101,4,FALSE),IF(BA1673="31-120 Days",VLOOKUP(D1673,[3]Extended!$B$9:$F$101,5,FALSE),IF(BA1673="121-365 Days",VLOOKUP(D1673,[3]Extended!$B$9:$G$101,6,FALSE),VLOOKUP(D1673,[3]Extended!$B$9:$H$101,7,FALSE)))),0)</f>
        <v>0</v>
      </c>
      <c r="O1673" s="269">
        <f>IFERROR(IF(BA1673="WIP - 30 Days",VLOOKUP(D1673,[3]Extended!$B$9:$J$101,9,FALSE),IF(BA1673="31-120 Days",VLOOKUP(D1673,[3]Extended!$B$9:$K$101,10,FALSE),IF(BA1673="121-365 Days",VLOOKUP(D1673,[3]Extended!$B$9:$L$101,11,FALSE),VLOOKUP(D1673,[3]Extended!$B$9:$M$101,12,FALSE)))),0)</f>
        <v>0</v>
      </c>
      <c r="P1673" s="116" t="e">
        <f t="shared" si="131"/>
        <v>#VALUE!</v>
      </c>
      <c r="Q1673" s="110" t="e">
        <f>O1673-#REF!</f>
        <v>#REF!</v>
      </c>
      <c r="AT1673" s="88" t="str">
        <f t="shared" si="132"/>
        <v>Special Order0</v>
      </c>
      <c r="AU1673" s="89" t="str">
        <f t="shared" si="133"/>
        <v>01-1900</v>
      </c>
      <c r="BA1673" s="92" t="str">
        <f t="shared" si="134"/>
        <v/>
      </c>
    </row>
    <row r="1674" spans="2:53">
      <c r="B1674" s="60">
        <f>[2]Trucks!A1671</f>
        <v>0</v>
      </c>
      <c r="C1674" s="11">
        <f>[2]Trucks!B1671</f>
        <v>0</v>
      </c>
      <c r="D1674" s="19" t="str">
        <f>IFERROR(VLOOKUP(C1674&amp;"",'[2]Retail Price List'!$A$3:$B$103,2,FALSE),"Special Order")</f>
        <v>Special Order</v>
      </c>
      <c r="E1674" s="18">
        <f>[2]Trucks!J1671</f>
        <v>0</v>
      </c>
      <c r="F1674" s="12">
        <f>[2]Trucks!E1671</f>
        <v>0</v>
      </c>
      <c r="G1674" s="56">
        <f>[2]Trucks!K1671</f>
        <v>0</v>
      </c>
      <c r="H1674" s="46">
        <f>[2]Trucks!I1671</f>
        <v>0</v>
      </c>
      <c r="I1674" s="83" t="str">
        <f t="shared" si="130"/>
        <v/>
      </c>
      <c r="J1674" s="272" t="str">
        <f>IFERROR(VLOOKUP((D1674&amp;C1674)&amp;"",'[2]Retail Price List'!$C$4:$F$102,3,FALSE),"")</f>
        <v/>
      </c>
      <c r="K1674" s="272">
        <f>IFERROR(IF(BA1674="WIP - 30 Days",VLOOKUP(D1674,[3]Standard!$B$9:$E$101,4,FALSE),IF(BA1674="31-120 Days",VLOOKUP(D1674,[3]Standard!$B$9:$F$101,5,FALSE),IF(BA1674="121-365 Days",VLOOKUP(D1674,[3]Standard!$B$9:$G$101,6,FALSE),VLOOKUP(D1674,[3]Standard!$B$9:$H$101,7,FALSE)))),0)</f>
        <v>0</v>
      </c>
      <c r="L1674" s="272">
        <f>IFERROR(IF(BA1674="WIP - 30 Days",VLOOKUP(D1674,[3]Standard!$B$9:$J$101,9,FALSE),IF(BA1674="31-120 Days",VLOOKUP(D1674,[3]Standard!$B$9:$K$100,10,FALSE),IF(BA1674="121-365 Days",VLOOKUP(D1674,[3]Standard!$B$9:$L$101,11,FALSE),VLOOKUP(D1674,[3]Standard!$B$9:$M$101,12,FALSE)))),0)</f>
        <v>0</v>
      </c>
      <c r="M1674" s="269" t="str">
        <f>IFERROR(VLOOKUP((D1674&amp;C1674)&amp;"",'[2]Retail Price List'!$C$4:$F$102,4,FALSE),"")</f>
        <v/>
      </c>
      <c r="N1674" s="269">
        <f>IFERROR(IF(BA1674="WIP - 30 Days",VLOOKUP(D1674,[3]Extended!$B$9:$E$101,4,FALSE),IF(BA1674="31-120 Days",VLOOKUP(D1674,[3]Extended!$B$9:$F$101,5,FALSE),IF(BA1674="121-365 Days",VLOOKUP(D1674,[3]Extended!$B$9:$G$101,6,FALSE),VLOOKUP(D1674,[3]Extended!$B$9:$H$101,7,FALSE)))),0)</f>
        <v>0</v>
      </c>
      <c r="O1674" s="269">
        <f>IFERROR(IF(BA1674="WIP - 30 Days",VLOOKUP(D1674,[3]Extended!$B$9:$J$101,9,FALSE),IF(BA1674="31-120 Days",VLOOKUP(D1674,[3]Extended!$B$9:$K$101,10,FALSE),IF(BA1674="121-365 Days",VLOOKUP(D1674,[3]Extended!$B$9:$L$101,11,FALSE),VLOOKUP(D1674,[3]Extended!$B$9:$M$101,12,FALSE)))),0)</f>
        <v>0</v>
      </c>
      <c r="P1674" s="116" t="e">
        <f t="shared" si="131"/>
        <v>#VALUE!</v>
      </c>
      <c r="Q1674" s="110" t="e">
        <f>O1674-#REF!</f>
        <v>#REF!</v>
      </c>
      <c r="AT1674" s="88" t="str">
        <f t="shared" si="132"/>
        <v>Special Order0</v>
      </c>
      <c r="AU1674" s="89" t="str">
        <f t="shared" si="133"/>
        <v>01-1900</v>
      </c>
      <c r="BA1674" s="92" t="str">
        <f t="shared" si="134"/>
        <v/>
      </c>
    </row>
    <row r="1675" spans="2:53">
      <c r="B1675" s="60">
        <f>[2]Trucks!A1672</f>
        <v>0</v>
      </c>
      <c r="C1675" s="11">
        <f>[2]Trucks!B1672</f>
        <v>0</v>
      </c>
      <c r="D1675" s="19" t="str">
        <f>IFERROR(VLOOKUP(C1675&amp;"",'[2]Retail Price List'!$A$3:$B$103,2,FALSE),"Special Order")</f>
        <v>Special Order</v>
      </c>
      <c r="E1675" s="18">
        <f>[2]Trucks!J1672</f>
        <v>0</v>
      </c>
      <c r="F1675" s="12">
        <f>[2]Trucks!E1672</f>
        <v>0</v>
      </c>
      <c r="G1675" s="56">
        <f>[2]Trucks!K1672</f>
        <v>0</v>
      </c>
      <c r="H1675" s="46">
        <f>[2]Trucks!I1672</f>
        <v>0</v>
      </c>
      <c r="I1675" s="83" t="str">
        <f t="shared" si="130"/>
        <v/>
      </c>
      <c r="J1675" s="272" t="str">
        <f>IFERROR(VLOOKUP((D1675&amp;C1675)&amp;"",'[2]Retail Price List'!$C$4:$F$102,3,FALSE),"")</f>
        <v/>
      </c>
      <c r="K1675" s="272">
        <f>IFERROR(IF(BA1675="WIP - 30 Days",VLOOKUP(D1675,[3]Standard!$B$9:$E$101,4,FALSE),IF(BA1675="31-120 Days",VLOOKUP(D1675,[3]Standard!$B$9:$F$101,5,FALSE),IF(BA1675="121-365 Days",VLOOKUP(D1675,[3]Standard!$B$9:$G$101,6,FALSE),VLOOKUP(D1675,[3]Standard!$B$9:$H$101,7,FALSE)))),0)</f>
        <v>0</v>
      </c>
      <c r="L1675" s="272">
        <f>IFERROR(IF(BA1675="WIP - 30 Days",VLOOKUP(D1675,[3]Standard!$B$9:$J$101,9,FALSE),IF(BA1675="31-120 Days",VLOOKUP(D1675,[3]Standard!$B$9:$K$100,10,FALSE),IF(BA1675="121-365 Days",VLOOKUP(D1675,[3]Standard!$B$9:$L$101,11,FALSE),VLOOKUP(D1675,[3]Standard!$B$9:$M$101,12,FALSE)))),0)</f>
        <v>0</v>
      </c>
      <c r="M1675" s="269" t="str">
        <f>IFERROR(VLOOKUP((D1675&amp;C1675)&amp;"",'[2]Retail Price List'!$C$4:$F$102,4,FALSE),"")</f>
        <v/>
      </c>
      <c r="N1675" s="269">
        <f>IFERROR(IF(BA1675="WIP - 30 Days",VLOOKUP(D1675,[3]Extended!$B$9:$E$101,4,FALSE),IF(BA1675="31-120 Days",VLOOKUP(D1675,[3]Extended!$B$9:$F$101,5,FALSE),IF(BA1675="121-365 Days",VLOOKUP(D1675,[3]Extended!$B$9:$G$101,6,FALSE),VLOOKUP(D1675,[3]Extended!$B$9:$H$101,7,FALSE)))),0)</f>
        <v>0</v>
      </c>
      <c r="O1675" s="269">
        <f>IFERROR(IF(BA1675="WIP - 30 Days",VLOOKUP(D1675,[3]Extended!$B$9:$J$101,9,FALSE),IF(BA1675="31-120 Days",VLOOKUP(D1675,[3]Extended!$B$9:$K$101,10,FALSE),IF(BA1675="121-365 Days",VLOOKUP(D1675,[3]Extended!$B$9:$L$101,11,FALSE),VLOOKUP(D1675,[3]Extended!$B$9:$M$101,12,FALSE)))),0)</f>
        <v>0</v>
      </c>
      <c r="P1675" s="116" t="e">
        <f t="shared" si="131"/>
        <v>#VALUE!</v>
      </c>
      <c r="Q1675" s="110" t="e">
        <f>O1675-#REF!</f>
        <v>#REF!</v>
      </c>
      <c r="AT1675" s="88" t="str">
        <f t="shared" si="132"/>
        <v>Special Order0</v>
      </c>
      <c r="AU1675" s="89" t="str">
        <f t="shared" si="133"/>
        <v>01-1900</v>
      </c>
      <c r="BA1675" s="92" t="str">
        <f t="shared" si="134"/>
        <v/>
      </c>
    </row>
    <row r="1676" spans="2:53">
      <c r="B1676" s="60">
        <f>[2]Trucks!A1673</f>
        <v>0</v>
      </c>
      <c r="C1676" s="11">
        <f>[2]Trucks!B1673</f>
        <v>0</v>
      </c>
      <c r="D1676" s="19" t="str">
        <f>IFERROR(VLOOKUP(C1676&amp;"",'[2]Retail Price List'!$A$3:$B$103,2,FALSE),"Special Order")</f>
        <v>Special Order</v>
      </c>
      <c r="E1676" s="18">
        <f>[2]Trucks!J1673</f>
        <v>0</v>
      </c>
      <c r="F1676" s="12">
        <f>[2]Trucks!E1673</f>
        <v>0</v>
      </c>
      <c r="G1676" s="56">
        <f>[2]Trucks!K1673</f>
        <v>0</v>
      </c>
      <c r="H1676" s="46">
        <f>[2]Trucks!I1673</f>
        <v>0</v>
      </c>
      <c r="I1676" s="83" t="str">
        <f t="shared" si="130"/>
        <v/>
      </c>
      <c r="J1676" s="272" t="str">
        <f>IFERROR(VLOOKUP((D1676&amp;C1676)&amp;"",'[2]Retail Price List'!$C$4:$F$102,3,FALSE),"")</f>
        <v/>
      </c>
      <c r="K1676" s="272">
        <f>IFERROR(IF(BA1676="WIP - 30 Days",VLOOKUP(D1676,[3]Standard!$B$9:$E$101,4,FALSE),IF(BA1676="31-120 Days",VLOOKUP(D1676,[3]Standard!$B$9:$F$101,5,FALSE),IF(BA1676="121-365 Days",VLOOKUP(D1676,[3]Standard!$B$9:$G$101,6,FALSE),VLOOKUP(D1676,[3]Standard!$B$9:$H$101,7,FALSE)))),0)</f>
        <v>0</v>
      </c>
      <c r="L1676" s="272">
        <f>IFERROR(IF(BA1676="WIP - 30 Days",VLOOKUP(D1676,[3]Standard!$B$9:$J$101,9,FALSE),IF(BA1676="31-120 Days",VLOOKUP(D1676,[3]Standard!$B$9:$K$100,10,FALSE),IF(BA1676="121-365 Days",VLOOKUP(D1676,[3]Standard!$B$9:$L$101,11,FALSE),VLOOKUP(D1676,[3]Standard!$B$9:$M$101,12,FALSE)))),0)</f>
        <v>0</v>
      </c>
      <c r="M1676" s="269" t="str">
        <f>IFERROR(VLOOKUP((D1676&amp;C1676)&amp;"",'[2]Retail Price List'!$C$4:$F$102,4,FALSE),"")</f>
        <v/>
      </c>
      <c r="N1676" s="269">
        <f>IFERROR(IF(BA1676="WIP - 30 Days",VLOOKUP(D1676,[3]Extended!$B$9:$E$101,4,FALSE),IF(BA1676="31-120 Days",VLOOKUP(D1676,[3]Extended!$B$9:$F$101,5,FALSE),IF(BA1676="121-365 Days",VLOOKUP(D1676,[3]Extended!$B$9:$G$101,6,FALSE),VLOOKUP(D1676,[3]Extended!$B$9:$H$101,7,FALSE)))),0)</f>
        <v>0</v>
      </c>
      <c r="O1676" s="269">
        <f>IFERROR(IF(BA1676="WIP - 30 Days",VLOOKUP(D1676,[3]Extended!$B$9:$J$101,9,FALSE),IF(BA1676="31-120 Days",VLOOKUP(D1676,[3]Extended!$B$9:$K$101,10,FALSE),IF(BA1676="121-365 Days",VLOOKUP(D1676,[3]Extended!$B$9:$L$101,11,FALSE),VLOOKUP(D1676,[3]Extended!$B$9:$M$101,12,FALSE)))),0)</f>
        <v>0</v>
      </c>
      <c r="P1676" s="116" t="e">
        <f t="shared" si="131"/>
        <v>#VALUE!</v>
      </c>
      <c r="Q1676" s="110" t="e">
        <f>O1676-#REF!</f>
        <v>#REF!</v>
      </c>
      <c r="AT1676" s="88" t="str">
        <f t="shared" si="132"/>
        <v>Special Order0</v>
      </c>
      <c r="AU1676" s="89" t="str">
        <f t="shared" si="133"/>
        <v>01-1900</v>
      </c>
      <c r="BA1676" s="92" t="str">
        <f t="shared" si="134"/>
        <v/>
      </c>
    </row>
    <row r="1677" spans="2:53">
      <c r="B1677" s="60">
        <f>[2]Trucks!A1674</f>
        <v>0</v>
      </c>
      <c r="C1677" s="11">
        <f>[2]Trucks!B1674</f>
        <v>0</v>
      </c>
      <c r="D1677" s="19" t="str">
        <f>IFERROR(VLOOKUP(C1677&amp;"",'[2]Retail Price List'!$A$3:$B$103,2,FALSE),"Special Order")</f>
        <v>Special Order</v>
      </c>
      <c r="E1677" s="18">
        <f>[2]Trucks!J1674</f>
        <v>0</v>
      </c>
      <c r="F1677" s="12">
        <f>[2]Trucks!E1674</f>
        <v>0</v>
      </c>
      <c r="G1677" s="56">
        <f>[2]Trucks!K1674</f>
        <v>0</v>
      </c>
      <c r="H1677" s="46">
        <f>[2]Trucks!I1674</f>
        <v>0</v>
      </c>
      <c r="I1677" s="83" t="str">
        <f t="shared" si="130"/>
        <v/>
      </c>
      <c r="J1677" s="272" t="str">
        <f>IFERROR(VLOOKUP((D1677&amp;C1677)&amp;"",'[2]Retail Price List'!$C$4:$F$102,3,FALSE),"")</f>
        <v/>
      </c>
      <c r="K1677" s="272">
        <f>IFERROR(IF(BA1677="WIP - 30 Days",VLOOKUP(D1677,[3]Standard!$B$9:$E$101,4,FALSE),IF(BA1677="31-120 Days",VLOOKUP(D1677,[3]Standard!$B$9:$F$101,5,FALSE),IF(BA1677="121-365 Days",VLOOKUP(D1677,[3]Standard!$B$9:$G$101,6,FALSE),VLOOKUP(D1677,[3]Standard!$B$9:$H$101,7,FALSE)))),0)</f>
        <v>0</v>
      </c>
      <c r="L1677" s="272">
        <f>IFERROR(IF(BA1677="WIP - 30 Days",VLOOKUP(D1677,[3]Standard!$B$9:$J$101,9,FALSE),IF(BA1677="31-120 Days",VLOOKUP(D1677,[3]Standard!$B$9:$K$100,10,FALSE),IF(BA1677="121-365 Days",VLOOKUP(D1677,[3]Standard!$B$9:$L$101,11,FALSE),VLOOKUP(D1677,[3]Standard!$B$9:$M$101,12,FALSE)))),0)</f>
        <v>0</v>
      </c>
      <c r="M1677" s="269" t="str">
        <f>IFERROR(VLOOKUP((D1677&amp;C1677)&amp;"",'[2]Retail Price List'!$C$4:$F$102,4,FALSE),"")</f>
        <v/>
      </c>
      <c r="N1677" s="269">
        <f>IFERROR(IF(BA1677="WIP - 30 Days",VLOOKUP(D1677,[3]Extended!$B$9:$E$101,4,FALSE),IF(BA1677="31-120 Days",VLOOKUP(D1677,[3]Extended!$B$9:$F$101,5,FALSE),IF(BA1677="121-365 Days",VLOOKUP(D1677,[3]Extended!$B$9:$G$101,6,FALSE),VLOOKUP(D1677,[3]Extended!$B$9:$H$101,7,FALSE)))),0)</f>
        <v>0</v>
      </c>
      <c r="O1677" s="269">
        <f>IFERROR(IF(BA1677="WIP - 30 Days",VLOOKUP(D1677,[3]Extended!$B$9:$J$101,9,FALSE),IF(BA1677="31-120 Days",VLOOKUP(D1677,[3]Extended!$B$9:$K$101,10,FALSE),IF(BA1677="121-365 Days",VLOOKUP(D1677,[3]Extended!$B$9:$L$101,11,FALSE),VLOOKUP(D1677,[3]Extended!$B$9:$M$101,12,FALSE)))),0)</f>
        <v>0</v>
      </c>
      <c r="P1677" s="116" t="e">
        <f t="shared" si="131"/>
        <v>#VALUE!</v>
      </c>
      <c r="Q1677" s="110" t="e">
        <f>O1677-#REF!</f>
        <v>#REF!</v>
      </c>
      <c r="AT1677" s="88" t="str">
        <f t="shared" si="132"/>
        <v>Special Order0</v>
      </c>
      <c r="AU1677" s="89" t="str">
        <f t="shared" si="133"/>
        <v>01-1900</v>
      </c>
      <c r="BA1677" s="92" t="str">
        <f t="shared" si="134"/>
        <v/>
      </c>
    </row>
    <row r="1678" spans="2:53">
      <c r="B1678" s="60">
        <f>[2]Trucks!A1675</f>
        <v>0</v>
      </c>
      <c r="C1678" s="11">
        <f>[2]Trucks!B1675</f>
        <v>0</v>
      </c>
      <c r="D1678" s="19" t="str">
        <f>IFERROR(VLOOKUP(C1678&amp;"",'[2]Retail Price List'!$A$3:$B$103,2,FALSE),"Special Order")</f>
        <v>Special Order</v>
      </c>
      <c r="E1678" s="18">
        <f>[2]Trucks!J1675</f>
        <v>0</v>
      </c>
      <c r="F1678" s="12">
        <f>[2]Trucks!E1675</f>
        <v>0</v>
      </c>
      <c r="G1678" s="56">
        <f>[2]Trucks!K1675</f>
        <v>0</v>
      </c>
      <c r="H1678" s="46">
        <f>[2]Trucks!I1675</f>
        <v>0</v>
      </c>
      <c r="I1678" s="83" t="str">
        <f t="shared" si="130"/>
        <v/>
      </c>
      <c r="J1678" s="272" t="str">
        <f>IFERROR(VLOOKUP((D1678&amp;C1678)&amp;"",'[2]Retail Price List'!$C$4:$F$102,3,FALSE),"")</f>
        <v/>
      </c>
      <c r="K1678" s="272">
        <f>IFERROR(IF(BA1678="WIP - 30 Days",VLOOKUP(D1678,[3]Standard!$B$9:$E$101,4,FALSE),IF(BA1678="31-120 Days",VLOOKUP(D1678,[3]Standard!$B$9:$F$101,5,FALSE),IF(BA1678="121-365 Days",VLOOKUP(D1678,[3]Standard!$B$9:$G$101,6,FALSE),VLOOKUP(D1678,[3]Standard!$B$9:$H$101,7,FALSE)))),0)</f>
        <v>0</v>
      </c>
      <c r="L1678" s="272">
        <f>IFERROR(IF(BA1678="WIP - 30 Days",VLOOKUP(D1678,[3]Standard!$B$9:$J$101,9,FALSE),IF(BA1678="31-120 Days",VLOOKUP(D1678,[3]Standard!$B$9:$K$100,10,FALSE),IF(BA1678="121-365 Days",VLOOKUP(D1678,[3]Standard!$B$9:$L$101,11,FALSE),VLOOKUP(D1678,[3]Standard!$B$9:$M$101,12,FALSE)))),0)</f>
        <v>0</v>
      </c>
      <c r="M1678" s="269" t="str">
        <f>IFERROR(VLOOKUP((D1678&amp;C1678)&amp;"",'[2]Retail Price List'!$C$4:$F$102,4,FALSE),"")</f>
        <v/>
      </c>
      <c r="N1678" s="269">
        <f>IFERROR(IF(BA1678="WIP - 30 Days",VLOOKUP(D1678,[3]Extended!$B$9:$E$101,4,FALSE),IF(BA1678="31-120 Days",VLOOKUP(D1678,[3]Extended!$B$9:$F$101,5,FALSE),IF(BA1678="121-365 Days",VLOOKUP(D1678,[3]Extended!$B$9:$G$101,6,FALSE),VLOOKUP(D1678,[3]Extended!$B$9:$H$101,7,FALSE)))),0)</f>
        <v>0</v>
      </c>
      <c r="O1678" s="269">
        <f>IFERROR(IF(BA1678="WIP - 30 Days",VLOOKUP(D1678,[3]Extended!$B$9:$J$101,9,FALSE),IF(BA1678="31-120 Days",VLOOKUP(D1678,[3]Extended!$B$9:$K$101,10,FALSE),IF(BA1678="121-365 Days",VLOOKUP(D1678,[3]Extended!$B$9:$L$101,11,FALSE),VLOOKUP(D1678,[3]Extended!$B$9:$M$101,12,FALSE)))),0)</f>
        <v>0</v>
      </c>
      <c r="P1678" s="116" t="e">
        <f t="shared" si="131"/>
        <v>#VALUE!</v>
      </c>
      <c r="Q1678" s="110" t="e">
        <f>O1678-#REF!</f>
        <v>#REF!</v>
      </c>
      <c r="AT1678" s="88" t="str">
        <f t="shared" si="132"/>
        <v>Special Order0</v>
      </c>
      <c r="AU1678" s="89" t="str">
        <f t="shared" si="133"/>
        <v>01-1900</v>
      </c>
      <c r="BA1678" s="92" t="str">
        <f t="shared" si="134"/>
        <v/>
      </c>
    </row>
    <row r="1679" spans="2:53">
      <c r="B1679" s="60">
        <f>[2]Trucks!A1676</f>
        <v>0</v>
      </c>
      <c r="C1679" s="11">
        <f>[2]Trucks!B1676</f>
        <v>0</v>
      </c>
      <c r="D1679" s="19" t="str">
        <f>IFERROR(VLOOKUP(C1679&amp;"",'[2]Retail Price List'!$A$3:$B$103,2,FALSE),"Special Order")</f>
        <v>Special Order</v>
      </c>
      <c r="E1679" s="18">
        <f>[2]Trucks!J1676</f>
        <v>0</v>
      </c>
      <c r="F1679" s="12">
        <f>[2]Trucks!E1676</f>
        <v>0</v>
      </c>
      <c r="G1679" s="56">
        <f>[2]Trucks!K1676</f>
        <v>0</v>
      </c>
      <c r="H1679" s="46">
        <f>[2]Trucks!I1676</f>
        <v>0</v>
      </c>
      <c r="I1679" s="83" t="str">
        <f t="shared" si="130"/>
        <v/>
      </c>
      <c r="J1679" s="272" t="str">
        <f>IFERROR(VLOOKUP((D1679&amp;C1679)&amp;"",'[2]Retail Price List'!$C$4:$F$102,3,FALSE),"")</f>
        <v/>
      </c>
      <c r="K1679" s="272">
        <f>IFERROR(IF(BA1679="WIP - 30 Days",VLOOKUP(D1679,[3]Standard!$B$9:$E$101,4,FALSE),IF(BA1679="31-120 Days",VLOOKUP(D1679,[3]Standard!$B$9:$F$101,5,FALSE),IF(BA1679="121-365 Days",VLOOKUP(D1679,[3]Standard!$B$9:$G$101,6,FALSE),VLOOKUP(D1679,[3]Standard!$B$9:$H$101,7,FALSE)))),0)</f>
        <v>0</v>
      </c>
      <c r="L1679" s="272">
        <f>IFERROR(IF(BA1679="WIP - 30 Days",VLOOKUP(D1679,[3]Standard!$B$9:$J$101,9,FALSE),IF(BA1679="31-120 Days",VLOOKUP(D1679,[3]Standard!$B$9:$K$100,10,FALSE),IF(BA1679="121-365 Days",VLOOKUP(D1679,[3]Standard!$B$9:$L$101,11,FALSE),VLOOKUP(D1679,[3]Standard!$B$9:$M$101,12,FALSE)))),0)</f>
        <v>0</v>
      </c>
      <c r="M1679" s="269" t="str">
        <f>IFERROR(VLOOKUP((D1679&amp;C1679)&amp;"",'[2]Retail Price List'!$C$4:$F$102,4,FALSE),"")</f>
        <v/>
      </c>
      <c r="N1679" s="269">
        <f>IFERROR(IF(BA1679="WIP - 30 Days",VLOOKUP(D1679,[3]Extended!$B$9:$E$101,4,FALSE),IF(BA1679="31-120 Days",VLOOKUP(D1679,[3]Extended!$B$9:$F$101,5,FALSE),IF(BA1679="121-365 Days",VLOOKUP(D1679,[3]Extended!$B$9:$G$101,6,FALSE),VLOOKUP(D1679,[3]Extended!$B$9:$H$101,7,FALSE)))),0)</f>
        <v>0</v>
      </c>
      <c r="O1679" s="269">
        <f>IFERROR(IF(BA1679="WIP - 30 Days",VLOOKUP(D1679,[3]Extended!$B$9:$J$101,9,FALSE),IF(BA1679="31-120 Days",VLOOKUP(D1679,[3]Extended!$B$9:$K$101,10,FALSE),IF(BA1679="121-365 Days",VLOOKUP(D1679,[3]Extended!$B$9:$L$101,11,FALSE),VLOOKUP(D1679,[3]Extended!$B$9:$M$101,12,FALSE)))),0)</f>
        <v>0</v>
      </c>
      <c r="P1679" s="116" t="e">
        <f t="shared" si="131"/>
        <v>#VALUE!</v>
      </c>
      <c r="Q1679" s="110" t="e">
        <f>O1679-#REF!</f>
        <v>#REF!</v>
      </c>
      <c r="AT1679" s="88" t="str">
        <f t="shared" si="132"/>
        <v>Special Order0</v>
      </c>
      <c r="AU1679" s="89" t="str">
        <f t="shared" si="133"/>
        <v>01-1900</v>
      </c>
      <c r="BA1679" s="92" t="str">
        <f t="shared" si="134"/>
        <v/>
      </c>
    </row>
    <row r="1680" spans="2:53">
      <c r="B1680" s="60">
        <f>[2]Trucks!A1677</f>
        <v>0</v>
      </c>
      <c r="C1680" s="11">
        <f>[2]Trucks!B1677</f>
        <v>0</v>
      </c>
      <c r="D1680" s="19" t="str">
        <f>IFERROR(VLOOKUP(C1680&amp;"",'[2]Retail Price List'!$A$3:$B$103,2,FALSE),"Special Order")</f>
        <v>Special Order</v>
      </c>
      <c r="E1680" s="18">
        <f>[2]Trucks!J1677</f>
        <v>0</v>
      </c>
      <c r="F1680" s="12">
        <f>[2]Trucks!E1677</f>
        <v>0</v>
      </c>
      <c r="G1680" s="56">
        <f>[2]Trucks!K1677</f>
        <v>0</v>
      </c>
      <c r="H1680" s="46">
        <f>[2]Trucks!I1677</f>
        <v>0</v>
      </c>
      <c r="I1680" s="83" t="str">
        <f t="shared" si="130"/>
        <v/>
      </c>
      <c r="J1680" s="272" t="str">
        <f>IFERROR(VLOOKUP((D1680&amp;C1680)&amp;"",'[2]Retail Price List'!$C$4:$F$102,3,FALSE),"")</f>
        <v/>
      </c>
      <c r="K1680" s="272">
        <f>IFERROR(IF(BA1680="WIP - 30 Days",VLOOKUP(D1680,[3]Standard!$B$9:$E$101,4,FALSE),IF(BA1680="31-120 Days",VLOOKUP(D1680,[3]Standard!$B$9:$F$101,5,FALSE),IF(BA1680="121-365 Days",VLOOKUP(D1680,[3]Standard!$B$9:$G$101,6,FALSE),VLOOKUP(D1680,[3]Standard!$B$9:$H$101,7,FALSE)))),0)</f>
        <v>0</v>
      </c>
      <c r="L1680" s="272">
        <f>IFERROR(IF(BA1680="WIP - 30 Days",VLOOKUP(D1680,[3]Standard!$B$9:$J$101,9,FALSE),IF(BA1680="31-120 Days",VLOOKUP(D1680,[3]Standard!$B$9:$K$100,10,FALSE),IF(BA1680="121-365 Days",VLOOKUP(D1680,[3]Standard!$B$9:$L$101,11,FALSE),VLOOKUP(D1680,[3]Standard!$B$9:$M$101,12,FALSE)))),0)</f>
        <v>0</v>
      </c>
      <c r="M1680" s="269" t="str">
        <f>IFERROR(VLOOKUP((D1680&amp;C1680)&amp;"",'[2]Retail Price List'!$C$4:$F$102,4,FALSE),"")</f>
        <v/>
      </c>
      <c r="N1680" s="269">
        <f>IFERROR(IF(BA1680="WIP - 30 Days",VLOOKUP(D1680,[3]Extended!$B$9:$E$101,4,FALSE),IF(BA1680="31-120 Days",VLOOKUP(D1680,[3]Extended!$B$9:$F$101,5,FALSE),IF(BA1680="121-365 Days",VLOOKUP(D1680,[3]Extended!$B$9:$G$101,6,FALSE),VLOOKUP(D1680,[3]Extended!$B$9:$H$101,7,FALSE)))),0)</f>
        <v>0</v>
      </c>
      <c r="O1680" s="269">
        <f>IFERROR(IF(BA1680="WIP - 30 Days",VLOOKUP(D1680,[3]Extended!$B$9:$J$101,9,FALSE),IF(BA1680="31-120 Days",VLOOKUP(D1680,[3]Extended!$B$9:$K$101,10,FALSE),IF(BA1680="121-365 Days",VLOOKUP(D1680,[3]Extended!$B$9:$L$101,11,FALSE),VLOOKUP(D1680,[3]Extended!$B$9:$M$101,12,FALSE)))),0)</f>
        <v>0</v>
      </c>
      <c r="P1680" s="116" t="e">
        <f t="shared" si="131"/>
        <v>#VALUE!</v>
      </c>
      <c r="Q1680" s="110" t="e">
        <f>O1680-#REF!</f>
        <v>#REF!</v>
      </c>
      <c r="AT1680" s="88" t="str">
        <f t="shared" si="132"/>
        <v>Special Order0</v>
      </c>
      <c r="AU1680" s="89" t="str">
        <f t="shared" si="133"/>
        <v>01-1900</v>
      </c>
      <c r="BA1680" s="92" t="str">
        <f t="shared" si="134"/>
        <v/>
      </c>
    </row>
    <row r="1681" spans="2:53">
      <c r="B1681" s="60">
        <f>[2]Trucks!A1678</f>
        <v>0</v>
      </c>
      <c r="C1681" s="11">
        <f>[2]Trucks!B1678</f>
        <v>0</v>
      </c>
      <c r="D1681" s="19" t="str">
        <f>IFERROR(VLOOKUP(C1681&amp;"",'[2]Retail Price List'!$A$3:$B$103,2,FALSE),"Special Order")</f>
        <v>Special Order</v>
      </c>
      <c r="E1681" s="18">
        <f>[2]Trucks!J1678</f>
        <v>0</v>
      </c>
      <c r="F1681" s="12">
        <f>[2]Trucks!E1678</f>
        <v>0</v>
      </c>
      <c r="G1681" s="56">
        <f>[2]Trucks!K1678</f>
        <v>0</v>
      </c>
      <c r="H1681" s="46">
        <f>[2]Trucks!I1678</f>
        <v>0</v>
      </c>
      <c r="I1681" s="83" t="str">
        <f t="shared" si="130"/>
        <v/>
      </c>
      <c r="J1681" s="272" t="str">
        <f>IFERROR(VLOOKUP((D1681&amp;C1681)&amp;"",'[2]Retail Price List'!$C$4:$F$102,3,FALSE),"")</f>
        <v/>
      </c>
      <c r="K1681" s="272">
        <f>IFERROR(IF(BA1681="WIP - 30 Days",VLOOKUP(D1681,[3]Standard!$B$9:$E$101,4,FALSE),IF(BA1681="31-120 Days",VLOOKUP(D1681,[3]Standard!$B$9:$F$101,5,FALSE),IF(BA1681="121-365 Days",VLOOKUP(D1681,[3]Standard!$B$9:$G$101,6,FALSE),VLOOKUP(D1681,[3]Standard!$B$9:$H$101,7,FALSE)))),0)</f>
        <v>0</v>
      </c>
      <c r="L1681" s="272">
        <f>IFERROR(IF(BA1681="WIP - 30 Days",VLOOKUP(D1681,[3]Standard!$B$9:$J$101,9,FALSE),IF(BA1681="31-120 Days",VLOOKUP(D1681,[3]Standard!$B$9:$K$100,10,FALSE),IF(BA1681="121-365 Days",VLOOKUP(D1681,[3]Standard!$B$9:$L$101,11,FALSE),VLOOKUP(D1681,[3]Standard!$B$9:$M$101,12,FALSE)))),0)</f>
        <v>0</v>
      </c>
      <c r="M1681" s="269" t="str">
        <f>IFERROR(VLOOKUP((D1681&amp;C1681)&amp;"",'[2]Retail Price List'!$C$4:$F$102,4,FALSE),"")</f>
        <v/>
      </c>
      <c r="N1681" s="269">
        <f>IFERROR(IF(BA1681="WIP - 30 Days",VLOOKUP(D1681,[3]Extended!$B$9:$E$101,4,FALSE),IF(BA1681="31-120 Days",VLOOKUP(D1681,[3]Extended!$B$9:$F$101,5,FALSE),IF(BA1681="121-365 Days",VLOOKUP(D1681,[3]Extended!$B$9:$G$101,6,FALSE),VLOOKUP(D1681,[3]Extended!$B$9:$H$101,7,FALSE)))),0)</f>
        <v>0</v>
      </c>
      <c r="O1681" s="269">
        <f>IFERROR(IF(BA1681="WIP - 30 Days",VLOOKUP(D1681,[3]Extended!$B$9:$J$101,9,FALSE),IF(BA1681="31-120 Days",VLOOKUP(D1681,[3]Extended!$B$9:$K$101,10,FALSE),IF(BA1681="121-365 Days",VLOOKUP(D1681,[3]Extended!$B$9:$L$101,11,FALSE),VLOOKUP(D1681,[3]Extended!$B$9:$M$101,12,FALSE)))),0)</f>
        <v>0</v>
      </c>
      <c r="P1681" s="116" t="e">
        <f t="shared" si="131"/>
        <v>#VALUE!</v>
      </c>
      <c r="Q1681" s="110" t="e">
        <f>O1681-#REF!</f>
        <v>#REF!</v>
      </c>
      <c r="AT1681" s="88" t="str">
        <f t="shared" si="132"/>
        <v>Special Order0</v>
      </c>
      <c r="AU1681" s="89" t="str">
        <f t="shared" si="133"/>
        <v>01-1900</v>
      </c>
      <c r="BA1681" s="92" t="str">
        <f t="shared" si="134"/>
        <v/>
      </c>
    </row>
    <row r="1682" spans="2:53">
      <c r="B1682" s="60">
        <f>[2]Trucks!A1679</f>
        <v>0</v>
      </c>
      <c r="C1682" s="11">
        <f>[2]Trucks!B1679</f>
        <v>0</v>
      </c>
      <c r="D1682" s="19" t="str">
        <f>IFERROR(VLOOKUP(C1682&amp;"",'[2]Retail Price List'!$A$3:$B$103,2,FALSE),"Special Order")</f>
        <v>Special Order</v>
      </c>
      <c r="E1682" s="18">
        <f>[2]Trucks!J1679</f>
        <v>0</v>
      </c>
      <c r="F1682" s="12">
        <f>[2]Trucks!E1679</f>
        <v>0</v>
      </c>
      <c r="G1682" s="56">
        <f>[2]Trucks!K1679</f>
        <v>0</v>
      </c>
      <c r="H1682" s="46">
        <f>[2]Trucks!I1679</f>
        <v>0</v>
      </c>
      <c r="I1682" s="83" t="str">
        <f t="shared" si="130"/>
        <v/>
      </c>
      <c r="J1682" s="272" t="str">
        <f>IFERROR(VLOOKUP((D1682&amp;C1682)&amp;"",'[2]Retail Price List'!$C$4:$F$102,3,FALSE),"")</f>
        <v/>
      </c>
      <c r="K1682" s="272">
        <f>IFERROR(IF(BA1682="WIP - 30 Days",VLOOKUP(D1682,[3]Standard!$B$9:$E$101,4,FALSE),IF(BA1682="31-120 Days",VLOOKUP(D1682,[3]Standard!$B$9:$F$101,5,FALSE),IF(BA1682="121-365 Days",VLOOKUP(D1682,[3]Standard!$B$9:$G$101,6,FALSE),VLOOKUP(D1682,[3]Standard!$B$9:$H$101,7,FALSE)))),0)</f>
        <v>0</v>
      </c>
      <c r="L1682" s="272">
        <f>IFERROR(IF(BA1682="WIP - 30 Days",VLOOKUP(D1682,[3]Standard!$B$9:$J$101,9,FALSE),IF(BA1682="31-120 Days",VLOOKUP(D1682,[3]Standard!$B$9:$K$100,10,FALSE),IF(BA1682="121-365 Days",VLOOKUP(D1682,[3]Standard!$B$9:$L$101,11,FALSE),VLOOKUP(D1682,[3]Standard!$B$9:$M$101,12,FALSE)))),0)</f>
        <v>0</v>
      </c>
      <c r="M1682" s="269" t="str">
        <f>IFERROR(VLOOKUP((D1682&amp;C1682)&amp;"",'[2]Retail Price List'!$C$4:$F$102,4,FALSE),"")</f>
        <v/>
      </c>
      <c r="N1682" s="269">
        <f>IFERROR(IF(BA1682="WIP - 30 Days",VLOOKUP(D1682,[3]Extended!$B$9:$E$101,4,FALSE),IF(BA1682="31-120 Days",VLOOKUP(D1682,[3]Extended!$B$9:$F$101,5,FALSE),IF(BA1682="121-365 Days",VLOOKUP(D1682,[3]Extended!$B$9:$G$101,6,FALSE),VLOOKUP(D1682,[3]Extended!$B$9:$H$101,7,FALSE)))),0)</f>
        <v>0</v>
      </c>
      <c r="O1682" s="269">
        <f>IFERROR(IF(BA1682="WIP - 30 Days",VLOOKUP(D1682,[3]Extended!$B$9:$J$101,9,FALSE),IF(BA1682="31-120 Days",VLOOKUP(D1682,[3]Extended!$B$9:$K$101,10,FALSE),IF(BA1682="121-365 Days",VLOOKUP(D1682,[3]Extended!$B$9:$L$101,11,FALSE),VLOOKUP(D1682,[3]Extended!$B$9:$M$101,12,FALSE)))),0)</f>
        <v>0</v>
      </c>
      <c r="P1682" s="116" t="e">
        <f t="shared" si="131"/>
        <v>#VALUE!</v>
      </c>
      <c r="Q1682" s="110" t="e">
        <f>O1682-#REF!</f>
        <v>#REF!</v>
      </c>
      <c r="AT1682" s="88" t="str">
        <f t="shared" si="132"/>
        <v>Special Order0</v>
      </c>
      <c r="AU1682" s="89" t="str">
        <f t="shared" si="133"/>
        <v>01-1900</v>
      </c>
      <c r="BA1682" s="92" t="str">
        <f t="shared" si="134"/>
        <v/>
      </c>
    </row>
    <row r="1683" spans="2:53">
      <c r="B1683" s="60">
        <f>[2]Trucks!A1680</f>
        <v>0</v>
      </c>
      <c r="C1683" s="11">
        <f>[2]Trucks!B1680</f>
        <v>0</v>
      </c>
      <c r="D1683" s="19" t="str">
        <f>IFERROR(VLOOKUP(C1683&amp;"",'[2]Retail Price List'!$A$3:$B$103,2,FALSE),"Special Order")</f>
        <v>Special Order</v>
      </c>
      <c r="E1683" s="18">
        <f>[2]Trucks!J1680</f>
        <v>0</v>
      </c>
      <c r="F1683" s="12">
        <f>[2]Trucks!E1680</f>
        <v>0</v>
      </c>
      <c r="G1683" s="56">
        <f>[2]Trucks!K1680</f>
        <v>0</v>
      </c>
      <c r="H1683" s="46">
        <f>[2]Trucks!I1680</f>
        <v>0</v>
      </c>
      <c r="I1683" s="83" t="str">
        <f t="shared" si="130"/>
        <v/>
      </c>
      <c r="J1683" s="272" t="str">
        <f>IFERROR(VLOOKUP((D1683&amp;C1683)&amp;"",'[2]Retail Price List'!$C$4:$F$102,3,FALSE),"")</f>
        <v/>
      </c>
      <c r="K1683" s="272">
        <f>IFERROR(IF(BA1683="WIP - 30 Days",VLOOKUP(D1683,[3]Standard!$B$9:$E$101,4,FALSE),IF(BA1683="31-120 Days",VLOOKUP(D1683,[3]Standard!$B$9:$F$101,5,FALSE),IF(BA1683="121-365 Days",VLOOKUP(D1683,[3]Standard!$B$9:$G$101,6,FALSE),VLOOKUP(D1683,[3]Standard!$B$9:$H$101,7,FALSE)))),0)</f>
        <v>0</v>
      </c>
      <c r="L1683" s="272">
        <f>IFERROR(IF(BA1683="WIP - 30 Days",VLOOKUP(D1683,[3]Standard!$B$9:$J$101,9,FALSE),IF(BA1683="31-120 Days",VLOOKUP(D1683,[3]Standard!$B$9:$K$100,10,FALSE),IF(BA1683="121-365 Days",VLOOKUP(D1683,[3]Standard!$B$9:$L$101,11,FALSE),VLOOKUP(D1683,[3]Standard!$B$9:$M$101,12,FALSE)))),0)</f>
        <v>0</v>
      </c>
      <c r="M1683" s="269" t="str">
        <f>IFERROR(VLOOKUP((D1683&amp;C1683)&amp;"",'[2]Retail Price List'!$C$4:$F$102,4,FALSE),"")</f>
        <v/>
      </c>
      <c r="N1683" s="269">
        <f>IFERROR(IF(BA1683="WIP - 30 Days",VLOOKUP(D1683,[3]Extended!$B$9:$E$101,4,FALSE),IF(BA1683="31-120 Days",VLOOKUP(D1683,[3]Extended!$B$9:$F$101,5,FALSE),IF(BA1683="121-365 Days",VLOOKUP(D1683,[3]Extended!$B$9:$G$101,6,FALSE),VLOOKUP(D1683,[3]Extended!$B$9:$H$101,7,FALSE)))),0)</f>
        <v>0</v>
      </c>
      <c r="O1683" s="269">
        <f>IFERROR(IF(BA1683="WIP - 30 Days",VLOOKUP(D1683,[3]Extended!$B$9:$J$101,9,FALSE),IF(BA1683="31-120 Days",VLOOKUP(D1683,[3]Extended!$B$9:$K$101,10,FALSE),IF(BA1683="121-365 Days",VLOOKUP(D1683,[3]Extended!$B$9:$L$101,11,FALSE),VLOOKUP(D1683,[3]Extended!$B$9:$M$101,12,FALSE)))),0)</f>
        <v>0</v>
      </c>
      <c r="P1683" s="116" t="e">
        <f t="shared" si="131"/>
        <v>#VALUE!</v>
      </c>
      <c r="Q1683" s="110" t="e">
        <f>O1683-#REF!</f>
        <v>#REF!</v>
      </c>
      <c r="AT1683" s="88" t="str">
        <f t="shared" si="132"/>
        <v>Special Order0</v>
      </c>
      <c r="AU1683" s="89" t="str">
        <f t="shared" si="133"/>
        <v>01-1900</v>
      </c>
      <c r="BA1683" s="92" t="str">
        <f t="shared" si="134"/>
        <v/>
      </c>
    </row>
    <row r="1684" spans="2:53">
      <c r="B1684" s="60">
        <f>[2]Trucks!A1681</f>
        <v>0</v>
      </c>
      <c r="C1684" s="11">
        <f>[2]Trucks!B1681</f>
        <v>0</v>
      </c>
      <c r="D1684" s="19" t="str">
        <f>IFERROR(VLOOKUP(C1684&amp;"",'[2]Retail Price List'!$A$3:$B$103,2,FALSE),"Special Order")</f>
        <v>Special Order</v>
      </c>
      <c r="E1684" s="18">
        <f>[2]Trucks!J1681</f>
        <v>0</v>
      </c>
      <c r="F1684" s="12">
        <f>[2]Trucks!E1681</f>
        <v>0</v>
      </c>
      <c r="G1684" s="56">
        <f>[2]Trucks!K1681</f>
        <v>0</v>
      </c>
      <c r="H1684" s="46">
        <f>[2]Trucks!I1681</f>
        <v>0</v>
      </c>
      <c r="I1684" s="83" t="str">
        <f t="shared" si="130"/>
        <v/>
      </c>
      <c r="J1684" s="272" t="str">
        <f>IFERROR(VLOOKUP((D1684&amp;C1684)&amp;"",'[2]Retail Price List'!$C$4:$F$102,3,FALSE),"")</f>
        <v/>
      </c>
      <c r="K1684" s="272">
        <f>IFERROR(IF(BA1684="WIP - 30 Days",VLOOKUP(D1684,[3]Standard!$B$9:$E$101,4,FALSE),IF(BA1684="31-120 Days",VLOOKUP(D1684,[3]Standard!$B$9:$F$101,5,FALSE),IF(BA1684="121-365 Days",VLOOKUP(D1684,[3]Standard!$B$9:$G$101,6,FALSE),VLOOKUP(D1684,[3]Standard!$B$9:$H$101,7,FALSE)))),0)</f>
        <v>0</v>
      </c>
      <c r="L1684" s="272">
        <f>IFERROR(IF(BA1684="WIP - 30 Days",VLOOKUP(D1684,[3]Standard!$B$9:$J$101,9,FALSE),IF(BA1684="31-120 Days",VLOOKUP(D1684,[3]Standard!$B$9:$K$100,10,FALSE),IF(BA1684="121-365 Days",VLOOKUP(D1684,[3]Standard!$B$9:$L$101,11,FALSE),VLOOKUP(D1684,[3]Standard!$B$9:$M$101,12,FALSE)))),0)</f>
        <v>0</v>
      </c>
      <c r="M1684" s="269" t="str">
        <f>IFERROR(VLOOKUP((D1684&amp;C1684)&amp;"",'[2]Retail Price List'!$C$4:$F$102,4,FALSE),"")</f>
        <v/>
      </c>
      <c r="N1684" s="269">
        <f>IFERROR(IF(BA1684="WIP - 30 Days",VLOOKUP(D1684,[3]Extended!$B$9:$E$101,4,FALSE),IF(BA1684="31-120 Days",VLOOKUP(D1684,[3]Extended!$B$9:$F$101,5,FALSE),IF(BA1684="121-365 Days",VLOOKUP(D1684,[3]Extended!$B$9:$G$101,6,FALSE),VLOOKUP(D1684,[3]Extended!$B$9:$H$101,7,FALSE)))),0)</f>
        <v>0</v>
      </c>
      <c r="O1684" s="269">
        <f>IFERROR(IF(BA1684="WIP - 30 Days",VLOOKUP(D1684,[3]Extended!$B$9:$J$101,9,FALSE),IF(BA1684="31-120 Days",VLOOKUP(D1684,[3]Extended!$B$9:$K$101,10,FALSE),IF(BA1684="121-365 Days",VLOOKUP(D1684,[3]Extended!$B$9:$L$101,11,FALSE),VLOOKUP(D1684,[3]Extended!$B$9:$M$101,12,FALSE)))),0)</f>
        <v>0</v>
      </c>
      <c r="P1684" s="116" t="e">
        <f t="shared" si="131"/>
        <v>#VALUE!</v>
      </c>
      <c r="Q1684" s="110" t="e">
        <f>O1684-#REF!</f>
        <v>#REF!</v>
      </c>
      <c r="AT1684" s="88" t="str">
        <f t="shared" si="132"/>
        <v>Special Order0</v>
      </c>
      <c r="AU1684" s="89" t="str">
        <f t="shared" si="133"/>
        <v>01-1900</v>
      </c>
      <c r="BA1684" s="92" t="str">
        <f t="shared" si="134"/>
        <v/>
      </c>
    </row>
    <row r="1685" spans="2:53">
      <c r="B1685" s="60">
        <f>[2]Trucks!A1682</f>
        <v>0</v>
      </c>
      <c r="C1685" s="11">
        <f>[2]Trucks!B1682</f>
        <v>0</v>
      </c>
      <c r="D1685" s="19" t="str">
        <f>IFERROR(VLOOKUP(C1685&amp;"",'[2]Retail Price List'!$A$3:$B$103,2,FALSE),"Special Order")</f>
        <v>Special Order</v>
      </c>
      <c r="E1685" s="18">
        <f>[2]Trucks!J1682</f>
        <v>0</v>
      </c>
      <c r="F1685" s="12">
        <f>[2]Trucks!E1682</f>
        <v>0</v>
      </c>
      <c r="G1685" s="56">
        <f>[2]Trucks!K1682</f>
        <v>0</v>
      </c>
      <c r="H1685" s="46">
        <f>[2]Trucks!I1682</f>
        <v>0</v>
      </c>
      <c r="I1685" s="83" t="str">
        <f t="shared" si="130"/>
        <v/>
      </c>
      <c r="J1685" s="272" t="str">
        <f>IFERROR(VLOOKUP((D1685&amp;C1685)&amp;"",'[2]Retail Price List'!$C$4:$F$102,3,FALSE),"")</f>
        <v/>
      </c>
      <c r="K1685" s="272">
        <f>IFERROR(IF(BA1685="WIP - 30 Days",VLOOKUP(D1685,[3]Standard!$B$9:$E$101,4,FALSE),IF(BA1685="31-120 Days",VLOOKUP(D1685,[3]Standard!$B$9:$F$101,5,FALSE),IF(BA1685="121-365 Days",VLOOKUP(D1685,[3]Standard!$B$9:$G$101,6,FALSE),VLOOKUP(D1685,[3]Standard!$B$9:$H$101,7,FALSE)))),0)</f>
        <v>0</v>
      </c>
      <c r="L1685" s="272">
        <f>IFERROR(IF(BA1685="WIP - 30 Days",VLOOKUP(D1685,[3]Standard!$B$9:$J$101,9,FALSE),IF(BA1685="31-120 Days",VLOOKUP(D1685,[3]Standard!$B$9:$K$100,10,FALSE),IF(BA1685="121-365 Days",VLOOKUP(D1685,[3]Standard!$B$9:$L$101,11,FALSE),VLOOKUP(D1685,[3]Standard!$B$9:$M$101,12,FALSE)))),0)</f>
        <v>0</v>
      </c>
      <c r="M1685" s="269" t="str">
        <f>IFERROR(VLOOKUP((D1685&amp;C1685)&amp;"",'[2]Retail Price List'!$C$4:$F$102,4,FALSE),"")</f>
        <v/>
      </c>
      <c r="N1685" s="269">
        <f>IFERROR(IF(BA1685="WIP - 30 Days",VLOOKUP(D1685,[3]Extended!$B$9:$E$101,4,FALSE),IF(BA1685="31-120 Days",VLOOKUP(D1685,[3]Extended!$B$9:$F$101,5,FALSE),IF(BA1685="121-365 Days",VLOOKUP(D1685,[3]Extended!$B$9:$G$101,6,FALSE),VLOOKUP(D1685,[3]Extended!$B$9:$H$101,7,FALSE)))),0)</f>
        <v>0</v>
      </c>
      <c r="O1685" s="269">
        <f>IFERROR(IF(BA1685="WIP - 30 Days",VLOOKUP(D1685,[3]Extended!$B$9:$J$101,9,FALSE),IF(BA1685="31-120 Days",VLOOKUP(D1685,[3]Extended!$B$9:$K$101,10,FALSE),IF(BA1685="121-365 Days",VLOOKUP(D1685,[3]Extended!$B$9:$L$101,11,FALSE),VLOOKUP(D1685,[3]Extended!$B$9:$M$101,12,FALSE)))),0)</f>
        <v>0</v>
      </c>
      <c r="P1685" s="116" t="e">
        <f t="shared" si="131"/>
        <v>#VALUE!</v>
      </c>
      <c r="Q1685" s="110" t="e">
        <f>O1685-#REF!</f>
        <v>#REF!</v>
      </c>
      <c r="AT1685" s="88" t="str">
        <f t="shared" si="132"/>
        <v>Special Order0</v>
      </c>
      <c r="AU1685" s="89" t="str">
        <f t="shared" si="133"/>
        <v>01-1900</v>
      </c>
      <c r="BA1685" s="92" t="str">
        <f t="shared" si="134"/>
        <v/>
      </c>
    </row>
    <row r="1686" spans="2:53">
      <c r="B1686" s="60">
        <f>[2]Trucks!A1683</f>
        <v>0</v>
      </c>
      <c r="C1686" s="11">
        <f>[2]Trucks!B1683</f>
        <v>0</v>
      </c>
      <c r="D1686" s="19" t="str">
        <f>IFERROR(VLOOKUP(C1686&amp;"",'[2]Retail Price List'!$A$3:$B$103,2,FALSE),"Special Order")</f>
        <v>Special Order</v>
      </c>
      <c r="E1686" s="18">
        <f>[2]Trucks!J1683</f>
        <v>0</v>
      </c>
      <c r="F1686" s="12">
        <f>[2]Trucks!E1683</f>
        <v>0</v>
      </c>
      <c r="G1686" s="56">
        <f>[2]Trucks!K1683</f>
        <v>0</v>
      </c>
      <c r="H1686" s="46">
        <f>[2]Trucks!I1683</f>
        <v>0</v>
      </c>
      <c r="I1686" s="83" t="str">
        <f t="shared" si="130"/>
        <v/>
      </c>
      <c r="J1686" s="272" t="str">
        <f>IFERROR(VLOOKUP((D1686&amp;C1686)&amp;"",'[2]Retail Price List'!$C$4:$F$102,3,FALSE),"")</f>
        <v/>
      </c>
      <c r="K1686" s="272">
        <f>IFERROR(IF(BA1686="WIP - 30 Days",VLOOKUP(D1686,[3]Standard!$B$9:$E$101,4,FALSE),IF(BA1686="31-120 Days",VLOOKUP(D1686,[3]Standard!$B$9:$F$101,5,FALSE),IF(BA1686="121-365 Days",VLOOKUP(D1686,[3]Standard!$B$9:$G$101,6,FALSE),VLOOKUP(D1686,[3]Standard!$B$9:$H$101,7,FALSE)))),0)</f>
        <v>0</v>
      </c>
      <c r="L1686" s="272">
        <f>IFERROR(IF(BA1686="WIP - 30 Days",VLOOKUP(D1686,[3]Standard!$B$9:$J$101,9,FALSE),IF(BA1686="31-120 Days",VLOOKUP(D1686,[3]Standard!$B$9:$K$100,10,FALSE),IF(BA1686="121-365 Days",VLOOKUP(D1686,[3]Standard!$B$9:$L$101,11,FALSE),VLOOKUP(D1686,[3]Standard!$B$9:$M$101,12,FALSE)))),0)</f>
        <v>0</v>
      </c>
      <c r="M1686" s="269" t="str">
        <f>IFERROR(VLOOKUP((D1686&amp;C1686)&amp;"",'[2]Retail Price List'!$C$4:$F$102,4,FALSE),"")</f>
        <v/>
      </c>
      <c r="N1686" s="269">
        <f>IFERROR(IF(BA1686="WIP - 30 Days",VLOOKUP(D1686,[3]Extended!$B$9:$E$101,4,FALSE),IF(BA1686="31-120 Days",VLOOKUP(D1686,[3]Extended!$B$9:$F$101,5,FALSE),IF(BA1686="121-365 Days",VLOOKUP(D1686,[3]Extended!$B$9:$G$101,6,FALSE),VLOOKUP(D1686,[3]Extended!$B$9:$H$101,7,FALSE)))),0)</f>
        <v>0</v>
      </c>
      <c r="O1686" s="269">
        <f>IFERROR(IF(BA1686="WIP - 30 Days",VLOOKUP(D1686,[3]Extended!$B$9:$J$101,9,FALSE),IF(BA1686="31-120 Days",VLOOKUP(D1686,[3]Extended!$B$9:$K$101,10,FALSE),IF(BA1686="121-365 Days",VLOOKUP(D1686,[3]Extended!$B$9:$L$101,11,FALSE),VLOOKUP(D1686,[3]Extended!$B$9:$M$101,12,FALSE)))),0)</f>
        <v>0</v>
      </c>
      <c r="P1686" s="116" t="e">
        <f t="shared" si="131"/>
        <v>#VALUE!</v>
      </c>
      <c r="Q1686" s="110" t="e">
        <f>O1686-#REF!</f>
        <v>#REF!</v>
      </c>
      <c r="AT1686" s="88" t="str">
        <f t="shared" si="132"/>
        <v>Special Order0</v>
      </c>
      <c r="AU1686" s="89" t="str">
        <f t="shared" si="133"/>
        <v>01-1900</v>
      </c>
      <c r="BA1686" s="92" t="str">
        <f t="shared" si="134"/>
        <v/>
      </c>
    </row>
    <row r="1687" spans="2:53">
      <c r="B1687" s="60">
        <f>[2]Trucks!A1684</f>
        <v>0</v>
      </c>
      <c r="C1687" s="11">
        <f>[2]Trucks!B1684</f>
        <v>0</v>
      </c>
      <c r="D1687" s="19" t="str">
        <f>IFERROR(VLOOKUP(C1687&amp;"",'[2]Retail Price List'!$A$3:$B$103,2,FALSE),"Special Order")</f>
        <v>Special Order</v>
      </c>
      <c r="E1687" s="18">
        <f>[2]Trucks!J1684</f>
        <v>0</v>
      </c>
      <c r="F1687" s="12">
        <f>[2]Trucks!E1684</f>
        <v>0</v>
      </c>
      <c r="G1687" s="56">
        <f>[2]Trucks!K1684</f>
        <v>0</v>
      </c>
      <c r="H1687" s="46">
        <f>[2]Trucks!I1684</f>
        <v>0</v>
      </c>
      <c r="I1687" s="83" t="str">
        <f t="shared" si="130"/>
        <v/>
      </c>
      <c r="J1687" s="272" t="str">
        <f>IFERROR(VLOOKUP((D1687&amp;C1687)&amp;"",'[2]Retail Price List'!$C$4:$F$102,3,FALSE),"")</f>
        <v/>
      </c>
      <c r="K1687" s="272">
        <f>IFERROR(IF(BA1687="WIP - 30 Days",VLOOKUP(D1687,[3]Standard!$B$9:$E$101,4,FALSE),IF(BA1687="31-120 Days",VLOOKUP(D1687,[3]Standard!$B$9:$F$101,5,FALSE),IF(BA1687="121-365 Days",VLOOKUP(D1687,[3]Standard!$B$9:$G$101,6,FALSE),VLOOKUP(D1687,[3]Standard!$B$9:$H$101,7,FALSE)))),0)</f>
        <v>0</v>
      </c>
      <c r="L1687" s="272">
        <f>IFERROR(IF(BA1687="WIP - 30 Days",VLOOKUP(D1687,[3]Standard!$B$9:$J$101,9,FALSE),IF(BA1687="31-120 Days",VLOOKUP(D1687,[3]Standard!$B$9:$K$100,10,FALSE),IF(BA1687="121-365 Days",VLOOKUP(D1687,[3]Standard!$B$9:$L$101,11,FALSE),VLOOKUP(D1687,[3]Standard!$B$9:$M$101,12,FALSE)))),0)</f>
        <v>0</v>
      </c>
      <c r="M1687" s="269" t="str">
        <f>IFERROR(VLOOKUP((D1687&amp;C1687)&amp;"",'[2]Retail Price List'!$C$4:$F$102,4,FALSE),"")</f>
        <v/>
      </c>
      <c r="N1687" s="269">
        <f>IFERROR(IF(BA1687="WIP - 30 Days",VLOOKUP(D1687,[3]Extended!$B$9:$E$101,4,FALSE),IF(BA1687="31-120 Days",VLOOKUP(D1687,[3]Extended!$B$9:$F$101,5,FALSE),IF(BA1687="121-365 Days",VLOOKUP(D1687,[3]Extended!$B$9:$G$101,6,FALSE),VLOOKUP(D1687,[3]Extended!$B$9:$H$101,7,FALSE)))),0)</f>
        <v>0</v>
      </c>
      <c r="O1687" s="269">
        <f>IFERROR(IF(BA1687="WIP - 30 Days",VLOOKUP(D1687,[3]Extended!$B$9:$J$101,9,FALSE),IF(BA1687="31-120 Days",VLOOKUP(D1687,[3]Extended!$B$9:$K$101,10,FALSE),IF(BA1687="121-365 Days",VLOOKUP(D1687,[3]Extended!$B$9:$L$101,11,FALSE),VLOOKUP(D1687,[3]Extended!$B$9:$M$101,12,FALSE)))),0)</f>
        <v>0</v>
      </c>
      <c r="P1687" s="116" t="e">
        <f t="shared" si="131"/>
        <v>#VALUE!</v>
      </c>
      <c r="Q1687" s="110" t="e">
        <f>O1687-#REF!</f>
        <v>#REF!</v>
      </c>
      <c r="AT1687" s="88" t="str">
        <f t="shared" si="132"/>
        <v>Special Order0</v>
      </c>
      <c r="AU1687" s="89" t="str">
        <f t="shared" si="133"/>
        <v>01-1900</v>
      </c>
      <c r="BA1687" s="92" t="str">
        <f t="shared" si="134"/>
        <v/>
      </c>
    </row>
    <row r="1688" spans="2:53">
      <c r="B1688" s="60">
        <f>[2]Trucks!A1685</f>
        <v>0</v>
      </c>
      <c r="C1688" s="11">
        <f>[2]Trucks!B1685</f>
        <v>0</v>
      </c>
      <c r="D1688" s="19" t="str">
        <f>IFERROR(VLOOKUP(C1688&amp;"",'[2]Retail Price List'!$A$3:$B$103,2,FALSE),"Special Order")</f>
        <v>Special Order</v>
      </c>
      <c r="E1688" s="18">
        <f>[2]Trucks!J1685</f>
        <v>0</v>
      </c>
      <c r="F1688" s="12">
        <f>[2]Trucks!E1685</f>
        <v>0</v>
      </c>
      <c r="G1688" s="56">
        <f>[2]Trucks!K1685</f>
        <v>0</v>
      </c>
      <c r="H1688" s="46">
        <f>[2]Trucks!I1685</f>
        <v>0</v>
      </c>
      <c r="I1688" s="83" t="str">
        <f t="shared" si="130"/>
        <v/>
      </c>
      <c r="J1688" s="272" t="str">
        <f>IFERROR(VLOOKUP((D1688&amp;C1688)&amp;"",'[2]Retail Price List'!$C$4:$F$102,3,FALSE),"")</f>
        <v/>
      </c>
      <c r="K1688" s="272">
        <f>IFERROR(IF(BA1688="WIP - 30 Days",VLOOKUP(D1688,[3]Standard!$B$9:$E$101,4,FALSE),IF(BA1688="31-120 Days",VLOOKUP(D1688,[3]Standard!$B$9:$F$101,5,FALSE),IF(BA1688="121-365 Days",VLOOKUP(D1688,[3]Standard!$B$9:$G$101,6,FALSE),VLOOKUP(D1688,[3]Standard!$B$9:$H$101,7,FALSE)))),0)</f>
        <v>0</v>
      </c>
      <c r="L1688" s="272">
        <f>IFERROR(IF(BA1688="WIP - 30 Days",VLOOKUP(D1688,[3]Standard!$B$9:$J$101,9,FALSE),IF(BA1688="31-120 Days",VLOOKUP(D1688,[3]Standard!$B$9:$K$100,10,FALSE),IF(BA1688="121-365 Days",VLOOKUP(D1688,[3]Standard!$B$9:$L$101,11,FALSE),VLOOKUP(D1688,[3]Standard!$B$9:$M$101,12,FALSE)))),0)</f>
        <v>0</v>
      </c>
      <c r="M1688" s="269" t="str">
        <f>IFERROR(VLOOKUP((D1688&amp;C1688)&amp;"",'[2]Retail Price List'!$C$4:$F$102,4,FALSE),"")</f>
        <v/>
      </c>
      <c r="N1688" s="269">
        <f>IFERROR(IF(BA1688="WIP - 30 Days",VLOOKUP(D1688,[3]Extended!$B$9:$E$101,4,FALSE),IF(BA1688="31-120 Days",VLOOKUP(D1688,[3]Extended!$B$9:$F$101,5,FALSE),IF(BA1688="121-365 Days",VLOOKUP(D1688,[3]Extended!$B$9:$G$101,6,FALSE),VLOOKUP(D1688,[3]Extended!$B$9:$H$101,7,FALSE)))),0)</f>
        <v>0</v>
      </c>
      <c r="O1688" s="269">
        <f>IFERROR(IF(BA1688="WIP - 30 Days",VLOOKUP(D1688,[3]Extended!$B$9:$J$101,9,FALSE),IF(BA1688="31-120 Days",VLOOKUP(D1688,[3]Extended!$B$9:$K$101,10,FALSE),IF(BA1688="121-365 Days",VLOOKUP(D1688,[3]Extended!$B$9:$L$101,11,FALSE),VLOOKUP(D1688,[3]Extended!$B$9:$M$101,12,FALSE)))),0)</f>
        <v>0</v>
      </c>
      <c r="P1688" s="116" t="e">
        <f t="shared" si="131"/>
        <v>#VALUE!</v>
      </c>
      <c r="Q1688" s="110" t="e">
        <f>O1688-#REF!</f>
        <v>#REF!</v>
      </c>
      <c r="AT1688" s="88" t="str">
        <f t="shared" si="132"/>
        <v>Special Order0</v>
      </c>
      <c r="AU1688" s="89" t="str">
        <f t="shared" si="133"/>
        <v>01-1900</v>
      </c>
      <c r="BA1688" s="92" t="str">
        <f t="shared" si="134"/>
        <v/>
      </c>
    </row>
    <row r="1689" spans="2:53">
      <c r="B1689" s="60">
        <f>[2]Trucks!A1686</f>
        <v>0</v>
      </c>
      <c r="C1689" s="11">
        <f>[2]Trucks!B1686</f>
        <v>0</v>
      </c>
      <c r="D1689" s="19" t="str">
        <f>IFERROR(VLOOKUP(C1689&amp;"",'[2]Retail Price List'!$A$3:$B$103,2,FALSE),"Special Order")</f>
        <v>Special Order</v>
      </c>
      <c r="E1689" s="18">
        <f>[2]Trucks!J1686</f>
        <v>0</v>
      </c>
      <c r="F1689" s="12">
        <f>[2]Trucks!E1686</f>
        <v>0</v>
      </c>
      <c r="G1689" s="56">
        <f>[2]Trucks!K1686</f>
        <v>0</v>
      </c>
      <c r="H1689" s="46">
        <f>[2]Trucks!I1686</f>
        <v>0</v>
      </c>
      <c r="I1689" s="83" t="str">
        <f t="shared" si="130"/>
        <v/>
      </c>
      <c r="J1689" s="272" t="str">
        <f>IFERROR(VLOOKUP((D1689&amp;C1689)&amp;"",'[2]Retail Price List'!$C$4:$F$102,3,FALSE),"")</f>
        <v/>
      </c>
      <c r="K1689" s="272">
        <f>IFERROR(IF(BA1689="WIP - 30 Days",VLOOKUP(D1689,[3]Standard!$B$9:$E$101,4,FALSE),IF(BA1689="31-120 Days",VLOOKUP(D1689,[3]Standard!$B$9:$F$101,5,FALSE),IF(BA1689="121-365 Days",VLOOKUP(D1689,[3]Standard!$B$9:$G$101,6,FALSE),VLOOKUP(D1689,[3]Standard!$B$9:$H$101,7,FALSE)))),0)</f>
        <v>0</v>
      </c>
      <c r="L1689" s="272">
        <f>IFERROR(IF(BA1689="WIP - 30 Days",VLOOKUP(D1689,[3]Standard!$B$9:$J$101,9,FALSE),IF(BA1689="31-120 Days",VLOOKUP(D1689,[3]Standard!$B$9:$K$100,10,FALSE),IF(BA1689="121-365 Days",VLOOKUP(D1689,[3]Standard!$B$9:$L$101,11,FALSE),VLOOKUP(D1689,[3]Standard!$B$9:$M$101,12,FALSE)))),0)</f>
        <v>0</v>
      </c>
      <c r="M1689" s="269" t="str">
        <f>IFERROR(VLOOKUP((D1689&amp;C1689)&amp;"",'[2]Retail Price List'!$C$4:$F$102,4,FALSE),"")</f>
        <v/>
      </c>
      <c r="N1689" s="269">
        <f>IFERROR(IF(BA1689="WIP - 30 Days",VLOOKUP(D1689,[3]Extended!$B$9:$E$101,4,FALSE),IF(BA1689="31-120 Days",VLOOKUP(D1689,[3]Extended!$B$9:$F$101,5,FALSE),IF(BA1689="121-365 Days",VLOOKUP(D1689,[3]Extended!$B$9:$G$101,6,FALSE),VLOOKUP(D1689,[3]Extended!$B$9:$H$101,7,FALSE)))),0)</f>
        <v>0</v>
      </c>
      <c r="O1689" s="269">
        <f>IFERROR(IF(BA1689="WIP - 30 Days",VLOOKUP(D1689,[3]Extended!$B$9:$J$101,9,FALSE),IF(BA1689="31-120 Days",VLOOKUP(D1689,[3]Extended!$B$9:$K$101,10,FALSE),IF(BA1689="121-365 Days",VLOOKUP(D1689,[3]Extended!$B$9:$L$101,11,FALSE),VLOOKUP(D1689,[3]Extended!$B$9:$M$101,12,FALSE)))),0)</f>
        <v>0</v>
      </c>
      <c r="P1689" s="116" t="e">
        <f t="shared" si="131"/>
        <v>#VALUE!</v>
      </c>
      <c r="Q1689" s="110" t="e">
        <f>O1689-#REF!</f>
        <v>#REF!</v>
      </c>
      <c r="AT1689" s="88" t="str">
        <f t="shared" si="132"/>
        <v>Special Order0</v>
      </c>
      <c r="AU1689" s="89" t="str">
        <f t="shared" si="133"/>
        <v>01-1900</v>
      </c>
      <c r="BA1689" s="92" t="str">
        <f t="shared" si="134"/>
        <v/>
      </c>
    </row>
    <row r="1690" spans="2:53">
      <c r="B1690" s="60">
        <f>[2]Trucks!A1687</f>
        <v>0</v>
      </c>
      <c r="C1690" s="11">
        <f>[2]Trucks!B1687</f>
        <v>0</v>
      </c>
      <c r="D1690" s="19" t="str">
        <f>IFERROR(VLOOKUP(C1690&amp;"",'[2]Retail Price List'!$A$3:$B$103,2,FALSE),"Special Order")</f>
        <v>Special Order</v>
      </c>
      <c r="E1690" s="18">
        <f>[2]Trucks!J1687</f>
        <v>0</v>
      </c>
      <c r="F1690" s="12">
        <f>[2]Trucks!E1687</f>
        <v>0</v>
      </c>
      <c r="G1690" s="56">
        <f>[2]Trucks!K1687</f>
        <v>0</v>
      </c>
      <c r="H1690" s="46">
        <f>[2]Trucks!I1687</f>
        <v>0</v>
      </c>
      <c r="I1690" s="83" t="str">
        <f t="shared" si="130"/>
        <v/>
      </c>
      <c r="J1690" s="272" t="str">
        <f>IFERROR(VLOOKUP((D1690&amp;C1690)&amp;"",'[2]Retail Price List'!$C$4:$F$102,3,FALSE),"")</f>
        <v/>
      </c>
      <c r="K1690" s="272">
        <f>IFERROR(IF(BA1690="WIP - 30 Days",VLOOKUP(D1690,[3]Standard!$B$9:$E$101,4,FALSE),IF(BA1690="31-120 Days",VLOOKUP(D1690,[3]Standard!$B$9:$F$101,5,FALSE),IF(BA1690="121-365 Days",VLOOKUP(D1690,[3]Standard!$B$9:$G$101,6,FALSE),VLOOKUP(D1690,[3]Standard!$B$9:$H$101,7,FALSE)))),0)</f>
        <v>0</v>
      </c>
      <c r="L1690" s="272">
        <f>IFERROR(IF(BA1690="WIP - 30 Days",VLOOKUP(D1690,[3]Standard!$B$9:$J$101,9,FALSE),IF(BA1690="31-120 Days",VLOOKUP(D1690,[3]Standard!$B$9:$K$100,10,FALSE),IF(BA1690="121-365 Days",VLOOKUP(D1690,[3]Standard!$B$9:$L$101,11,FALSE),VLOOKUP(D1690,[3]Standard!$B$9:$M$101,12,FALSE)))),0)</f>
        <v>0</v>
      </c>
      <c r="M1690" s="269" t="str">
        <f>IFERROR(VLOOKUP((D1690&amp;C1690)&amp;"",'[2]Retail Price List'!$C$4:$F$102,4,FALSE),"")</f>
        <v/>
      </c>
      <c r="N1690" s="269">
        <f>IFERROR(IF(BA1690="WIP - 30 Days",VLOOKUP(D1690,[3]Extended!$B$9:$E$101,4,FALSE),IF(BA1690="31-120 Days",VLOOKUP(D1690,[3]Extended!$B$9:$F$101,5,FALSE),IF(BA1690="121-365 Days",VLOOKUP(D1690,[3]Extended!$B$9:$G$101,6,FALSE),VLOOKUP(D1690,[3]Extended!$B$9:$H$101,7,FALSE)))),0)</f>
        <v>0</v>
      </c>
      <c r="O1690" s="269">
        <f>IFERROR(IF(BA1690="WIP - 30 Days",VLOOKUP(D1690,[3]Extended!$B$9:$J$101,9,FALSE),IF(BA1690="31-120 Days",VLOOKUP(D1690,[3]Extended!$B$9:$K$101,10,FALSE),IF(BA1690="121-365 Days",VLOOKUP(D1690,[3]Extended!$B$9:$L$101,11,FALSE),VLOOKUP(D1690,[3]Extended!$B$9:$M$101,12,FALSE)))),0)</f>
        <v>0</v>
      </c>
      <c r="P1690" s="116" t="e">
        <f t="shared" si="131"/>
        <v>#VALUE!</v>
      </c>
      <c r="Q1690" s="110" t="e">
        <f>O1690-#REF!</f>
        <v>#REF!</v>
      </c>
      <c r="AT1690" s="88" t="str">
        <f t="shared" si="132"/>
        <v>Special Order0</v>
      </c>
      <c r="AU1690" s="89" t="str">
        <f t="shared" si="133"/>
        <v>01-1900</v>
      </c>
      <c r="BA1690" s="92" t="str">
        <f t="shared" si="134"/>
        <v/>
      </c>
    </row>
    <row r="1691" spans="2:53">
      <c r="B1691" s="60">
        <f>[2]Trucks!A1688</f>
        <v>0</v>
      </c>
      <c r="C1691" s="11">
        <f>[2]Trucks!B1688</f>
        <v>0</v>
      </c>
      <c r="D1691" s="19" t="str">
        <f>IFERROR(VLOOKUP(C1691&amp;"",'[2]Retail Price List'!$A$3:$B$103,2,FALSE),"Special Order")</f>
        <v>Special Order</v>
      </c>
      <c r="E1691" s="18">
        <f>[2]Trucks!J1688</f>
        <v>0</v>
      </c>
      <c r="F1691" s="12">
        <f>[2]Trucks!E1688</f>
        <v>0</v>
      </c>
      <c r="G1691" s="56">
        <f>[2]Trucks!K1688</f>
        <v>0</v>
      </c>
      <c r="H1691" s="46">
        <f>[2]Trucks!I1688</f>
        <v>0</v>
      </c>
      <c r="I1691" s="83" t="str">
        <f t="shared" si="130"/>
        <v/>
      </c>
      <c r="J1691" s="272" t="str">
        <f>IFERROR(VLOOKUP((D1691&amp;C1691)&amp;"",'[2]Retail Price List'!$C$4:$F$102,3,FALSE),"")</f>
        <v/>
      </c>
      <c r="K1691" s="272">
        <f>IFERROR(IF(BA1691="WIP - 30 Days",VLOOKUP(D1691,[3]Standard!$B$9:$E$101,4,FALSE),IF(BA1691="31-120 Days",VLOOKUP(D1691,[3]Standard!$B$9:$F$101,5,FALSE),IF(BA1691="121-365 Days",VLOOKUP(D1691,[3]Standard!$B$9:$G$101,6,FALSE),VLOOKUP(D1691,[3]Standard!$B$9:$H$101,7,FALSE)))),0)</f>
        <v>0</v>
      </c>
      <c r="L1691" s="272">
        <f>IFERROR(IF(BA1691="WIP - 30 Days",VLOOKUP(D1691,[3]Standard!$B$9:$J$101,9,FALSE),IF(BA1691="31-120 Days",VLOOKUP(D1691,[3]Standard!$B$9:$K$100,10,FALSE),IF(BA1691="121-365 Days",VLOOKUP(D1691,[3]Standard!$B$9:$L$101,11,FALSE),VLOOKUP(D1691,[3]Standard!$B$9:$M$101,12,FALSE)))),0)</f>
        <v>0</v>
      </c>
      <c r="M1691" s="269" t="str">
        <f>IFERROR(VLOOKUP((D1691&amp;C1691)&amp;"",'[2]Retail Price List'!$C$4:$F$102,4,FALSE),"")</f>
        <v/>
      </c>
      <c r="N1691" s="269">
        <f>IFERROR(IF(BA1691="WIP - 30 Days",VLOOKUP(D1691,[3]Extended!$B$9:$E$101,4,FALSE),IF(BA1691="31-120 Days",VLOOKUP(D1691,[3]Extended!$B$9:$F$101,5,FALSE),IF(BA1691="121-365 Days",VLOOKUP(D1691,[3]Extended!$B$9:$G$101,6,FALSE),VLOOKUP(D1691,[3]Extended!$B$9:$H$101,7,FALSE)))),0)</f>
        <v>0</v>
      </c>
      <c r="O1691" s="269">
        <f>IFERROR(IF(BA1691="WIP - 30 Days",VLOOKUP(D1691,[3]Extended!$B$9:$J$101,9,FALSE),IF(BA1691="31-120 Days",VLOOKUP(D1691,[3]Extended!$B$9:$K$101,10,FALSE),IF(BA1691="121-365 Days",VLOOKUP(D1691,[3]Extended!$B$9:$L$101,11,FALSE),VLOOKUP(D1691,[3]Extended!$B$9:$M$101,12,FALSE)))),0)</f>
        <v>0</v>
      </c>
      <c r="P1691" s="116" t="e">
        <f t="shared" si="131"/>
        <v>#VALUE!</v>
      </c>
      <c r="Q1691" s="110" t="e">
        <f>O1691-#REF!</f>
        <v>#REF!</v>
      </c>
      <c r="AT1691" s="88" t="str">
        <f t="shared" si="132"/>
        <v>Special Order0</v>
      </c>
      <c r="AU1691" s="89" t="str">
        <f t="shared" si="133"/>
        <v>01-1900</v>
      </c>
      <c r="BA1691" s="92" t="str">
        <f t="shared" si="134"/>
        <v/>
      </c>
    </row>
    <row r="1692" spans="2:53">
      <c r="B1692" s="60">
        <f>[2]Trucks!A1689</f>
        <v>0</v>
      </c>
      <c r="C1692" s="11">
        <f>[2]Trucks!B1689</f>
        <v>0</v>
      </c>
      <c r="D1692" s="19" t="str">
        <f>IFERROR(VLOOKUP(C1692&amp;"",'[2]Retail Price List'!$A$3:$B$103,2,FALSE),"Special Order")</f>
        <v>Special Order</v>
      </c>
      <c r="E1692" s="18">
        <f>[2]Trucks!J1689</f>
        <v>0</v>
      </c>
      <c r="F1692" s="12">
        <f>[2]Trucks!E1689</f>
        <v>0</v>
      </c>
      <c r="G1692" s="56">
        <f>[2]Trucks!K1689</f>
        <v>0</v>
      </c>
      <c r="H1692" s="46">
        <f>[2]Trucks!I1689</f>
        <v>0</v>
      </c>
      <c r="I1692" s="83" t="str">
        <f t="shared" si="130"/>
        <v/>
      </c>
      <c r="J1692" s="272" t="str">
        <f>IFERROR(VLOOKUP((D1692&amp;C1692)&amp;"",'[2]Retail Price List'!$C$4:$F$102,3,FALSE),"")</f>
        <v/>
      </c>
      <c r="K1692" s="272">
        <f>IFERROR(IF(BA1692="WIP - 30 Days",VLOOKUP(D1692,[3]Standard!$B$9:$E$101,4,FALSE),IF(BA1692="31-120 Days",VLOOKUP(D1692,[3]Standard!$B$9:$F$101,5,FALSE),IF(BA1692="121-365 Days",VLOOKUP(D1692,[3]Standard!$B$9:$G$101,6,FALSE),VLOOKUP(D1692,[3]Standard!$B$9:$H$101,7,FALSE)))),0)</f>
        <v>0</v>
      </c>
      <c r="L1692" s="272">
        <f>IFERROR(IF(BA1692="WIP - 30 Days",VLOOKUP(D1692,[3]Standard!$B$9:$J$101,9,FALSE),IF(BA1692="31-120 Days",VLOOKUP(D1692,[3]Standard!$B$9:$K$100,10,FALSE),IF(BA1692="121-365 Days",VLOOKUP(D1692,[3]Standard!$B$9:$L$101,11,FALSE),VLOOKUP(D1692,[3]Standard!$B$9:$M$101,12,FALSE)))),0)</f>
        <v>0</v>
      </c>
      <c r="M1692" s="269" t="str">
        <f>IFERROR(VLOOKUP((D1692&amp;C1692)&amp;"",'[2]Retail Price List'!$C$4:$F$102,4,FALSE),"")</f>
        <v/>
      </c>
      <c r="N1692" s="269">
        <f>IFERROR(IF(BA1692="WIP - 30 Days",VLOOKUP(D1692,[3]Extended!$B$9:$E$101,4,FALSE),IF(BA1692="31-120 Days",VLOOKUP(D1692,[3]Extended!$B$9:$F$101,5,FALSE),IF(BA1692="121-365 Days",VLOOKUP(D1692,[3]Extended!$B$9:$G$101,6,FALSE),VLOOKUP(D1692,[3]Extended!$B$9:$H$101,7,FALSE)))),0)</f>
        <v>0</v>
      </c>
      <c r="O1692" s="269">
        <f>IFERROR(IF(BA1692="WIP - 30 Days",VLOOKUP(D1692,[3]Extended!$B$9:$J$101,9,FALSE),IF(BA1692="31-120 Days",VLOOKUP(D1692,[3]Extended!$B$9:$K$101,10,FALSE),IF(BA1692="121-365 Days",VLOOKUP(D1692,[3]Extended!$B$9:$L$101,11,FALSE),VLOOKUP(D1692,[3]Extended!$B$9:$M$101,12,FALSE)))),0)</f>
        <v>0</v>
      </c>
      <c r="P1692" s="116" t="e">
        <f t="shared" si="131"/>
        <v>#VALUE!</v>
      </c>
      <c r="Q1692" s="110" t="e">
        <f>O1692-#REF!</f>
        <v>#REF!</v>
      </c>
      <c r="AT1692" s="88" t="str">
        <f t="shared" si="132"/>
        <v>Special Order0</v>
      </c>
      <c r="AU1692" s="89" t="str">
        <f t="shared" si="133"/>
        <v>01-1900</v>
      </c>
      <c r="BA1692" s="92" t="str">
        <f t="shared" si="134"/>
        <v/>
      </c>
    </row>
    <row r="1693" spans="2:53">
      <c r="B1693" s="60">
        <f>[2]Trucks!A1690</f>
        <v>0</v>
      </c>
      <c r="C1693" s="11">
        <f>[2]Trucks!B1690</f>
        <v>0</v>
      </c>
      <c r="D1693" s="19" t="str">
        <f>IFERROR(VLOOKUP(C1693&amp;"",'[2]Retail Price List'!$A$3:$B$103,2,FALSE),"Special Order")</f>
        <v>Special Order</v>
      </c>
      <c r="E1693" s="18">
        <f>[2]Trucks!J1690</f>
        <v>0</v>
      </c>
      <c r="F1693" s="12">
        <f>[2]Trucks!E1690</f>
        <v>0</v>
      </c>
      <c r="G1693" s="56">
        <f>[2]Trucks!K1690</f>
        <v>0</v>
      </c>
      <c r="H1693" s="46">
        <f>[2]Trucks!I1690</f>
        <v>0</v>
      </c>
      <c r="I1693" s="83" t="str">
        <f t="shared" si="130"/>
        <v/>
      </c>
      <c r="J1693" s="272" t="str">
        <f>IFERROR(VLOOKUP((D1693&amp;C1693)&amp;"",'[2]Retail Price List'!$C$4:$F$102,3,FALSE),"")</f>
        <v/>
      </c>
      <c r="K1693" s="272">
        <f>IFERROR(IF(BA1693="WIP - 30 Days",VLOOKUP(D1693,[3]Standard!$B$9:$E$101,4,FALSE),IF(BA1693="31-120 Days",VLOOKUP(D1693,[3]Standard!$B$9:$F$101,5,FALSE),IF(BA1693="121-365 Days",VLOOKUP(D1693,[3]Standard!$B$9:$G$101,6,FALSE),VLOOKUP(D1693,[3]Standard!$B$9:$H$101,7,FALSE)))),0)</f>
        <v>0</v>
      </c>
      <c r="L1693" s="272">
        <f>IFERROR(IF(BA1693="WIP - 30 Days",VLOOKUP(D1693,[3]Standard!$B$9:$J$101,9,FALSE),IF(BA1693="31-120 Days",VLOOKUP(D1693,[3]Standard!$B$9:$K$100,10,FALSE),IF(BA1693="121-365 Days",VLOOKUP(D1693,[3]Standard!$B$9:$L$101,11,FALSE),VLOOKUP(D1693,[3]Standard!$B$9:$M$101,12,FALSE)))),0)</f>
        <v>0</v>
      </c>
      <c r="M1693" s="269" t="str">
        <f>IFERROR(VLOOKUP((D1693&amp;C1693)&amp;"",'[2]Retail Price List'!$C$4:$F$102,4,FALSE),"")</f>
        <v/>
      </c>
      <c r="N1693" s="269">
        <f>IFERROR(IF(BA1693="WIP - 30 Days",VLOOKUP(D1693,[3]Extended!$B$9:$E$101,4,FALSE),IF(BA1693="31-120 Days",VLOOKUP(D1693,[3]Extended!$B$9:$F$101,5,FALSE),IF(BA1693="121-365 Days",VLOOKUP(D1693,[3]Extended!$B$9:$G$101,6,FALSE),VLOOKUP(D1693,[3]Extended!$B$9:$H$101,7,FALSE)))),0)</f>
        <v>0</v>
      </c>
      <c r="O1693" s="269">
        <f>IFERROR(IF(BA1693="WIP - 30 Days",VLOOKUP(D1693,[3]Extended!$B$9:$J$101,9,FALSE),IF(BA1693="31-120 Days",VLOOKUP(D1693,[3]Extended!$B$9:$K$101,10,FALSE),IF(BA1693="121-365 Days",VLOOKUP(D1693,[3]Extended!$B$9:$L$101,11,FALSE),VLOOKUP(D1693,[3]Extended!$B$9:$M$101,12,FALSE)))),0)</f>
        <v>0</v>
      </c>
      <c r="P1693" s="116" t="e">
        <f t="shared" si="131"/>
        <v>#VALUE!</v>
      </c>
      <c r="Q1693" s="110" t="e">
        <f>O1693-#REF!</f>
        <v>#REF!</v>
      </c>
      <c r="AT1693" s="88" t="str">
        <f t="shared" si="132"/>
        <v>Special Order0</v>
      </c>
      <c r="AU1693" s="89" t="str">
        <f t="shared" si="133"/>
        <v>01-1900</v>
      </c>
      <c r="BA1693" s="92" t="str">
        <f t="shared" si="134"/>
        <v/>
      </c>
    </row>
    <row r="1694" spans="2:53">
      <c r="B1694" s="60">
        <f>[2]Trucks!A1691</f>
        <v>0</v>
      </c>
      <c r="C1694" s="11">
        <f>[2]Trucks!B1691</f>
        <v>0</v>
      </c>
      <c r="D1694" s="19" t="str">
        <f>IFERROR(VLOOKUP(C1694&amp;"",'[2]Retail Price List'!$A$3:$B$103,2,FALSE),"Special Order")</f>
        <v>Special Order</v>
      </c>
      <c r="E1694" s="18">
        <f>[2]Trucks!J1691</f>
        <v>0</v>
      </c>
      <c r="F1694" s="12">
        <f>[2]Trucks!E1691</f>
        <v>0</v>
      </c>
      <c r="G1694" s="56">
        <f>[2]Trucks!K1691</f>
        <v>0</v>
      </c>
      <c r="H1694" s="46">
        <f>[2]Trucks!I1691</f>
        <v>0</v>
      </c>
      <c r="I1694" s="83" t="str">
        <f t="shared" si="130"/>
        <v/>
      </c>
      <c r="J1694" s="272" t="str">
        <f>IFERROR(VLOOKUP((D1694&amp;C1694)&amp;"",'[2]Retail Price List'!$C$4:$F$102,3,FALSE),"")</f>
        <v/>
      </c>
      <c r="K1694" s="272">
        <f>IFERROR(IF(BA1694="WIP - 30 Days",VLOOKUP(D1694,[3]Standard!$B$9:$E$101,4,FALSE),IF(BA1694="31-120 Days",VLOOKUP(D1694,[3]Standard!$B$9:$F$101,5,FALSE),IF(BA1694="121-365 Days",VLOOKUP(D1694,[3]Standard!$B$9:$G$101,6,FALSE),VLOOKUP(D1694,[3]Standard!$B$9:$H$101,7,FALSE)))),0)</f>
        <v>0</v>
      </c>
      <c r="L1694" s="272">
        <f>IFERROR(IF(BA1694="WIP - 30 Days",VLOOKUP(D1694,[3]Standard!$B$9:$J$101,9,FALSE),IF(BA1694="31-120 Days",VLOOKUP(D1694,[3]Standard!$B$9:$K$100,10,FALSE),IF(BA1694="121-365 Days",VLOOKUP(D1694,[3]Standard!$B$9:$L$101,11,FALSE),VLOOKUP(D1694,[3]Standard!$B$9:$M$101,12,FALSE)))),0)</f>
        <v>0</v>
      </c>
      <c r="M1694" s="269" t="str">
        <f>IFERROR(VLOOKUP((D1694&amp;C1694)&amp;"",'[2]Retail Price List'!$C$4:$F$102,4,FALSE),"")</f>
        <v/>
      </c>
      <c r="N1694" s="269">
        <f>IFERROR(IF(BA1694="WIP - 30 Days",VLOOKUP(D1694,[3]Extended!$B$9:$E$101,4,FALSE),IF(BA1694="31-120 Days",VLOOKUP(D1694,[3]Extended!$B$9:$F$101,5,FALSE),IF(BA1694="121-365 Days",VLOOKUP(D1694,[3]Extended!$B$9:$G$101,6,FALSE),VLOOKUP(D1694,[3]Extended!$B$9:$H$101,7,FALSE)))),0)</f>
        <v>0</v>
      </c>
      <c r="O1694" s="269">
        <f>IFERROR(IF(BA1694="WIP - 30 Days",VLOOKUP(D1694,[3]Extended!$B$9:$J$101,9,FALSE),IF(BA1694="31-120 Days",VLOOKUP(D1694,[3]Extended!$B$9:$K$101,10,FALSE),IF(BA1694="121-365 Days",VLOOKUP(D1694,[3]Extended!$B$9:$L$101,11,FALSE),VLOOKUP(D1694,[3]Extended!$B$9:$M$101,12,FALSE)))),0)</f>
        <v>0</v>
      </c>
      <c r="P1694" s="116" t="e">
        <f t="shared" si="131"/>
        <v>#VALUE!</v>
      </c>
      <c r="Q1694" s="110" t="e">
        <f>O1694-#REF!</f>
        <v>#REF!</v>
      </c>
      <c r="AT1694" s="88" t="str">
        <f t="shared" si="132"/>
        <v>Special Order0</v>
      </c>
      <c r="AU1694" s="89" t="str">
        <f t="shared" si="133"/>
        <v>01-1900</v>
      </c>
      <c r="BA1694" s="92" t="str">
        <f t="shared" si="134"/>
        <v/>
      </c>
    </row>
    <row r="1695" spans="2:53">
      <c r="B1695" s="60">
        <f>[2]Trucks!A1692</f>
        <v>0</v>
      </c>
      <c r="C1695" s="11">
        <f>[2]Trucks!B1692</f>
        <v>0</v>
      </c>
      <c r="D1695" s="19" t="str">
        <f>IFERROR(VLOOKUP(C1695&amp;"",'[2]Retail Price List'!$A$3:$B$103,2,FALSE),"Special Order")</f>
        <v>Special Order</v>
      </c>
      <c r="E1695" s="18">
        <f>[2]Trucks!J1692</f>
        <v>0</v>
      </c>
      <c r="F1695" s="12">
        <f>[2]Trucks!E1692</f>
        <v>0</v>
      </c>
      <c r="G1695" s="56">
        <f>[2]Trucks!K1692</f>
        <v>0</v>
      </c>
      <c r="H1695" s="46">
        <f>[2]Trucks!I1692</f>
        <v>0</v>
      </c>
      <c r="I1695" s="83" t="str">
        <f t="shared" si="130"/>
        <v/>
      </c>
      <c r="J1695" s="272" t="str">
        <f>IFERROR(VLOOKUP((D1695&amp;C1695)&amp;"",'[2]Retail Price List'!$C$4:$F$102,3,FALSE),"")</f>
        <v/>
      </c>
      <c r="K1695" s="272">
        <f>IFERROR(IF(BA1695="WIP - 30 Days",VLOOKUP(D1695,[3]Standard!$B$9:$E$101,4,FALSE),IF(BA1695="31-120 Days",VLOOKUP(D1695,[3]Standard!$B$9:$F$101,5,FALSE),IF(BA1695="121-365 Days",VLOOKUP(D1695,[3]Standard!$B$9:$G$101,6,FALSE),VLOOKUP(D1695,[3]Standard!$B$9:$H$101,7,FALSE)))),0)</f>
        <v>0</v>
      </c>
      <c r="L1695" s="272">
        <f>IFERROR(IF(BA1695="WIP - 30 Days",VLOOKUP(D1695,[3]Standard!$B$9:$J$101,9,FALSE),IF(BA1695="31-120 Days",VLOOKUP(D1695,[3]Standard!$B$9:$K$100,10,FALSE),IF(BA1695="121-365 Days",VLOOKUP(D1695,[3]Standard!$B$9:$L$101,11,FALSE),VLOOKUP(D1695,[3]Standard!$B$9:$M$101,12,FALSE)))),0)</f>
        <v>0</v>
      </c>
      <c r="M1695" s="269" t="str">
        <f>IFERROR(VLOOKUP((D1695&amp;C1695)&amp;"",'[2]Retail Price List'!$C$4:$F$102,4,FALSE),"")</f>
        <v/>
      </c>
      <c r="N1695" s="269">
        <f>IFERROR(IF(BA1695="WIP - 30 Days",VLOOKUP(D1695,[3]Extended!$B$9:$E$101,4,FALSE),IF(BA1695="31-120 Days",VLOOKUP(D1695,[3]Extended!$B$9:$F$101,5,FALSE),IF(BA1695="121-365 Days",VLOOKUP(D1695,[3]Extended!$B$9:$G$101,6,FALSE),VLOOKUP(D1695,[3]Extended!$B$9:$H$101,7,FALSE)))),0)</f>
        <v>0</v>
      </c>
      <c r="O1695" s="269">
        <f>IFERROR(IF(BA1695="WIP - 30 Days",VLOOKUP(D1695,[3]Extended!$B$9:$J$101,9,FALSE),IF(BA1695="31-120 Days",VLOOKUP(D1695,[3]Extended!$B$9:$K$101,10,FALSE),IF(BA1695="121-365 Days",VLOOKUP(D1695,[3]Extended!$B$9:$L$101,11,FALSE),VLOOKUP(D1695,[3]Extended!$B$9:$M$101,12,FALSE)))),0)</f>
        <v>0</v>
      </c>
      <c r="P1695" s="116" t="e">
        <f t="shared" si="131"/>
        <v>#VALUE!</v>
      </c>
      <c r="Q1695" s="110" t="e">
        <f>O1695-#REF!</f>
        <v>#REF!</v>
      </c>
      <c r="AT1695" s="88" t="str">
        <f t="shared" si="132"/>
        <v>Special Order0</v>
      </c>
      <c r="AU1695" s="89" t="str">
        <f t="shared" si="133"/>
        <v>01-1900</v>
      </c>
      <c r="BA1695" s="92" t="str">
        <f t="shared" si="134"/>
        <v/>
      </c>
    </row>
    <row r="1696" spans="2:53">
      <c r="B1696" s="60">
        <f>[2]Trucks!A1693</f>
        <v>0</v>
      </c>
      <c r="C1696" s="11">
        <f>[2]Trucks!B1693</f>
        <v>0</v>
      </c>
      <c r="D1696" s="19" t="str">
        <f>IFERROR(VLOOKUP(C1696&amp;"",'[2]Retail Price List'!$A$3:$B$103,2,FALSE),"Special Order")</f>
        <v>Special Order</v>
      </c>
      <c r="E1696" s="18">
        <f>[2]Trucks!J1693</f>
        <v>0</v>
      </c>
      <c r="F1696" s="12">
        <f>[2]Trucks!E1693</f>
        <v>0</v>
      </c>
      <c r="G1696" s="56">
        <f>[2]Trucks!K1693</f>
        <v>0</v>
      </c>
      <c r="H1696" s="46">
        <f>[2]Trucks!I1693</f>
        <v>0</v>
      </c>
      <c r="I1696" s="83" t="str">
        <f t="shared" si="130"/>
        <v/>
      </c>
      <c r="J1696" s="272" t="str">
        <f>IFERROR(VLOOKUP((D1696&amp;C1696)&amp;"",'[2]Retail Price List'!$C$4:$F$102,3,FALSE),"")</f>
        <v/>
      </c>
      <c r="K1696" s="272">
        <f>IFERROR(IF(BA1696="WIP - 30 Days",VLOOKUP(D1696,[3]Standard!$B$9:$E$101,4,FALSE),IF(BA1696="31-120 Days",VLOOKUP(D1696,[3]Standard!$B$9:$F$101,5,FALSE),IF(BA1696="121-365 Days",VLOOKUP(D1696,[3]Standard!$B$9:$G$101,6,FALSE),VLOOKUP(D1696,[3]Standard!$B$9:$H$101,7,FALSE)))),0)</f>
        <v>0</v>
      </c>
      <c r="L1696" s="272">
        <f>IFERROR(IF(BA1696="WIP - 30 Days",VLOOKUP(D1696,[3]Standard!$B$9:$J$101,9,FALSE),IF(BA1696="31-120 Days",VLOOKUP(D1696,[3]Standard!$B$9:$K$100,10,FALSE),IF(BA1696="121-365 Days",VLOOKUP(D1696,[3]Standard!$B$9:$L$101,11,FALSE),VLOOKUP(D1696,[3]Standard!$B$9:$M$101,12,FALSE)))),0)</f>
        <v>0</v>
      </c>
      <c r="M1696" s="269" t="str">
        <f>IFERROR(VLOOKUP((D1696&amp;C1696)&amp;"",'[2]Retail Price List'!$C$4:$F$102,4,FALSE),"")</f>
        <v/>
      </c>
      <c r="N1696" s="269">
        <f>IFERROR(IF(BA1696="WIP - 30 Days",VLOOKUP(D1696,[3]Extended!$B$9:$E$101,4,FALSE),IF(BA1696="31-120 Days",VLOOKUP(D1696,[3]Extended!$B$9:$F$101,5,FALSE),IF(BA1696="121-365 Days",VLOOKUP(D1696,[3]Extended!$B$9:$G$101,6,FALSE),VLOOKUP(D1696,[3]Extended!$B$9:$H$101,7,FALSE)))),0)</f>
        <v>0</v>
      </c>
      <c r="O1696" s="269">
        <f>IFERROR(IF(BA1696="WIP - 30 Days",VLOOKUP(D1696,[3]Extended!$B$9:$J$101,9,FALSE),IF(BA1696="31-120 Days",VLOOKUP(D1696,[3]Extended!$B$9:$K$101,10,FALSE),IF(BA1696="121-365 Days",VLOOKUP(D1696,[3]Extended!$B$9:$L$101,11,FALSE),VLOOKUP(D1696,[3]Extended!$B$9:$M$101,12,FALSE)))),0)</f>
        <v>0</v>
      </c>
      <c r="P1696" s="116" t="e">
        <f t="shared" si="131"/>
        <v>#VALUE!</v>
      </c>
      <c r="Q1696" s="110" t="e">
        <f>O1696-#REF!</f>
        <v>#REF!</v>
      </c>
      <c r="AT1696" s="88" t="str">
        <f t="shared" si="132"/>
        <v>Special Order0</v>
      </c>
      <c r="AU1696" s="89" t="str">
        <f t="shared" si="133"/>
        <v>01-1900</v>
      </c>
      <c r="BA1696" s="92" t="str">
        <f t="shared" si="134"/>
        <v/>
      </c>
    </row>
    <row r="1697" spans="2:53">
      <c r="B1697" s="60">
        <f>[2]Trucks!A1694</f>
        <v>0</v>
      </c>
      <c r="C1697" s="11">
        <f>[2]Trucks!B1694</f>
        <v>0</v>
      </c>
      <c r="D1697" s="19" t="str">
        <f>IFERROR(VLOOKUP(C1697&amp;"",'[2]Retail Price List'!$A$3:$B$103,2,FALSE),"Special Order")</f>
        <v>Special Order</v>
      </c>
      <c r="E1697" s="18">
        <f>[2]Trucks!J1694</f>
        <v>0</v>
      </c>
      <c r="F1697" s="12">
        <f>[2]Trucks!E1694</f>
        <v>0</v>
      </c>
      <c r="G1697" s="56">
        <f>[2]Trucks!K1694</f>
        <v>0</v>
      </c>
      <c r="H1697" s="46">
        <f>[2]Trucks!I1694</f>
        <v>0</v>
      </c>
      <c r="I1697" s="83" t="str">
        <f t="shared" si="130"/>
        <v/>
      </c>
      <c r="J1697" s="272" t="str">
        <f>IFERROR(VLOOKUP((D1697&amp;C1697)&amp;"",'[2]Retail Price List'!$C$4:$F$102,3,FALSE),"")</f>
        <v/>
      </c>
      <c r="K1697" s="272">
        <f>IFERROR(IF(BA1697="WIP - 30 Days",VLOOKUP(D1697,[3]Standard!$B$9:$E$101,4,FALSE),IF(BA1697="31-120 Days",VLOOKUP(D1697,[3]Standard!$B$9:$F$101,5,FALSE),IF(BA1697="121-365 Days",VLOOKUP(D1697,[3]Standard!$B$9:$G$101,6,FALSE),VLOOKUP(D1697,[3]Standard!$B$9:$H$101,7,FALSE)))),0)</f>
        <v>0</v>
      </c>
      <c r="L1697" s="272">
        <f>IFERROR(IF(BA1697="WIP - 30 Days",VLOOKUP(D1697,[3]Standard!$B$9:$J$101,9,FALSE),IF(BA1697="31-120 Days",VLOOKUP(D1697,[3]Standard!$B$9:$K$100,10,FALSE),IF(BA1697="121-365 Days",VLOOKUP(D1697,[3]Standard!$B$9:$L$101,11,FALSE),VLOOKUP(D1697,[3]Standard!$B$9:$M$101,12,FALSE)))),0)</f>
        <v>0</v>
      </c>
      <c r="M1697" s="269" t="str">
        <f>IFERROR(VLOOKUP((D1697&amp;C1697)&amp;"",'[2]Retail Price List'!$C$4:$F$102,4,FALSE),"")</f>
        <v/>
      </c>
      <c r="N1697" s="269">
        <f>IFERROR(IF(BA1697="WIP - 30 Days",VLOOKUP(D1697,[3]Extended!$B$9:$E$101,4,FALSE),IF(BA1697="31-120 Days",VLOOKUP(D1697,[3]Extended!$B$9:$F$101,5,FALSE),IF(BA1697="121-365 Days",VLOOKUP(D1697,[3]Extended!$B$9:$G$101,6,FALSE),VLOOKUP(D1697,[3]Extended!$B$9:$H$101,7,FALSE)))),0)</f>
        <v>0</v>
      </c>
      <c r="O1697" s="269">
        <f>IFERROR(IF(BA1697="WIP - 30 Days",VLOOKUP(D1697,[3]Extended!$B$9:$J$101,9,FALSE),IF(BA1697="31-120 Days",VLOOKUP(D1697,[3]Extended!$B$9:$K$101,10,FALSE),IF(BA1697="121-365 Days",VLOOKUP(D1697,[3]Extended!$B$9:$L$101,11,FALSE),VLOOKUP(D1697,[3]Extended!$B$9:$M$101,12,FALSE)))),0)</f>
        <v>0</v>
      </c>
      <c r="P1697" s="116" t="e">
        <f t="shared" si="131"/>
        <v>#VALUE!</v>
      </c>
      <c r="Q1697" s="110" t="e">
        <f>O1697-#REF!</f>
        <v>#REF!</v>
      </c>
      <c r="AT1697" s="88" t="str">
        <f t="shared" si="132"/>
        <v>Special Order0</v>
      </c>
      <c r="AU1697" s="89" t="str">
        <f t="shared" si="133"/>
        <v>01-1900</v>
      </c>
      <c r="BA1697" s="92" t="str">
        <f t="shared" si="134"/>
        <v/>
      </c>
    </row>
    <row r="1698" spans="2:53">
      <c r="B1698" s="60">
        <f>[2]Trucks!A1695</f>
        <v>0</v>
      </c>
      <c r="C1698" s="11">
        <f>[2]Trucks!B1695</f>
        <v>0</v>
      </c>
      <c r="D1698" s="19" t="str">
        <f>IFERROR(VLOOKUP(C1698&amp;"",'[2]Retail Price List'!$A$3:$B$103,2,FALSE),"Special Order")</f>
        <v>Special Order</v>
      </c>
      <c r="E1698" s="18">
        <f>[2]Trucks!J1695</f>
        <v>0</v>
      </c>
      <c r="F1698" s="12">
        <f>[2]Trucks!E1695</f>
        <v>0</v>
      </c>
      <c r="G1698" s="56">
        <f>[2]Trucks!K1695</f>
        <v>0</v>
      </c>
      <c r="H1698" s="46">
        <f>[2]Trucks!I1695</f>
        <v>0</v>
      </c>
      <c r="I1698" s="83" t="str">
        <f t="shared" si="130"/>
        <v/>
      </c>
      <c r="J1698" s="272" t="str">
        <f>IFERROR(VLOOKUP((D1698&amp;C1698)&amp;"",'[2]Retail Price List'!$C$4:$F$102,3,FALSE),"")</f>
        <v/>
      </c>
      <c r="K1698" s="272">
        <f>IFERROR(IF(BA1698="WIP - 30 Days",VLOOKUP(D1698,[3]Standard!$B$9:$E$101,4,FALSE),IF(BA1698="31-120 Days",VLOOKUP(D1698,[3]Standard!$B$9:$F$101,5,FALSE),IF(BA1698="121-365 Days",VLOOKUP(D1698,[3]Standard!$B$9:$G$101,6,FALSE),VLOOKUP(D1698,[3]Standard!$B$9:$H$101,7,FALSE)))),0)</f>
        <v>0</v>
      </c>
      <c r="L1698" s="272">
        <f>IFERROR(IF(BA1698="WIP - 30 Days",VLOOKUP(D1698,[3]Standard!$B$9:$J$101,9,FALSE),IF(BA1698="31-120 Days",VLOOKUP(D1698,[3]Standard!$B$9:$K$100,10,FALSE),IF(BA1698="121-365 Days",VLOOKUP(D1698,[3]Standard!$B$9:$L$101,11,FALSE),VLOOKUP(D1698,[3]Standard!$B$9:$M$101,12,FALSE)))),0)</f>
        <v>0</v>
      </c>
      <c r="M1698" s="269" t="str">
        <f>IFERROR(VLOOKUP((D1698&amp;C1698)&amp;"",'[2]Retail Price List'!$C$4:$F$102,4,FALSE),"")</f>
        <v/>
      </c>
      <c r="N1698" s="269">
        <f>IFERROR(IF(BA1698="WIP - 30 Days",VLOOKUP(D1698,[3]Extended!$B$9:$E$101,4,FALSE),IF(BA1698="31-120 Days",VLOOKUP(D1698,[3]Extended!$B$9:$F$101,5,FALSE),IF(BA1698="121-365 Days",VLOOKUP(D1698,[3]Extended!$B$9:$G$101,6,FALSE),VLOOKUP(D1698,[3]Extended!$B$9:$H$101,7,FALSE)))),0)</f>
        <v>0</v>
      </c>
      <c r="O1698" s="269">
        <f>IFERROR(IF(BA1698="WIP - 30 Days",VLOOKUP(D1698,[3]Extended!$B$9:$J$101,9,FALSE),IF(BA1698="31-120 Days",VLOOKUP(D1698,[3]Extended!$B$9:$K$101,10,FALSE),IF(BA1698="121-365 Days",VLOOKUP(D1698,[3]Extended!$B$9:$L$101,11,FALSE),VLOOKUP(D1698,[3]Extended!$B$9:$M$101,12,FALSE)))),0)</f>
        <v>0</v>
      </c>
      <c r="P1698" s="116" t="e">
        <f t="shared" si="131"/>
        <v>#VALUE!</v>
      </c>
      <c r="Q1698" s="110" t="e">
        <f>O1698-#REF!</f>
        <v>#REF!</v>
      </c>
      <c r="AT1698" s="88" t="str">
        <f t="shared" si="132"/>
        <v>Special Order0</v>
      </c>
      <c r="AU1698" s="89" t="str">
        <f t="shared" si="133"/>
        <v>01-1900</v>
      </c>
      <c r="BA1698" s="92" t="str">
        <f t="shared" si="134"/>
        <v/>
      </c>
    </row>
    <row r="1699" spans="2:53">
      <c r="B1699" s="60">
        <f>[2]Trucks!A1696</f>
        <v>0</v>
      </c>
      <c r="C1699" s="11">
        <f>[2]Trucks!B1696</f>
        <v>0</v>
      </c>
      <c r="D1699" s="19" t="str">
        <f>IFERROR(VLOOKUP(C1699&amp;"",'[2]Retail Price List'!$A$3:$B$103,2,FALSE),"Special Order")</f>
        <v>Special Order</v>
      </c>
      <c r="E1699" s="18">
        <f>[2]Trucks!J1696</f>
        <v>0</v>
      </c>
      <c r="F1699" s="12">
        <f>[2]Trucks!E1696</f>
        <v>0</v>
      </c>
      <c r="G1699" s="56">
        <f>[2]Trucks!K1696</f>
        <v>0</v>
      </c>
      <c r="H1699" s="46">
        <f>[2]Trucks!I1696</f>
        <v>0</v>
      </c>
      <c r="I1699" s="83" t="str">
        <f t="shared" si="130"/>
        <v/>
      </c>
      <c r="J1699" s="272" t="str">
        <f>IFERROR(VLOOKUP((D1699&amp;C1699)&amp;"",'[2]Retail Price List'!$C$4:$F$102,3,FALSE),"")</f>
        <v/>
      </c>
      <c r="K1699" s="272">
        <f>IFERROR(IF(BA1699="WIP - 30 Days",VLOOKUP(D1699,[3]Standard!$B$9:$E$101,4,FALSE),IF(BA1699="31-120 Days",VLOOKUP(D1699,[3]Standard!$B$9:$F$101,5,FALSE),IF(BA1699="121-365 Days",VLOOKUP(D1699,[3]Standard!$B$9:$G$101,6,FALSE),VLOOKUP(D1699,[3]Standard!$B$9:$H$101,7,FALSE)))),0)</f>
        <v>0</v>
      </c>
      <c r="L1699" s="272">
        <f>IFERROR(IF(BA1699="WIP - 30 Days",VLOOKUP(D1699,[3]Standard!$B$9:$J$101,9,FALSE),IF(BA1699="31-120 Days",VLOOKUP(D1699,[3]Standard!$B$9:$K$100,10,FALSE),IF(BA1699="121-365 Days",VLOOKUP(D1699,[3]Standard!$B$9:$L$101,11,FALSE),VLOOKUP(D1699,[3]Standard!$B$9:$M$101,12,FALSE)))),0)</f>
        <v>0</v>
      </c>
      <c r="M1699" s="269" t="str">
        <f>IFERROR(VLOOKUP((D1699&amp;C1699)&amp;"",'[2]Retail Price List'!$C$4:$F$102,4,FALSE),"")</f>
        <v/>
      </c>
      <c r="N1699" s="269">
        <f>IFERROR(IF(BA1699="WIP - 30 Days",VLOOKUP(D1699,[3]Extended!$B$9:$E$101,4,FALSE),IF(BA1699="31-120 Days",VLOOKUP(D1699,[3]Extended!$B$9:$F$101,5,FALSE),IF(BA1699="121-365 Days",VLOOKUP(D1699,[3]Extended!$B$9:$G$101,6,FALSE),VLOOKUP(D1699,[3]Extended!$B$9:$H$101,7,FALSE)))),0)</f>
        <v>0</v>
      </c>
      <c r="O1699" s="269">
        <f>IFERROR(IF(BA1699="WIP - 30 Days",VLOOKUP(D1699,[3]Extended!$B$9:$J$101,9,FALSE),IF(BA1699="31-120 Days",VLOOKUP(D1699,[3]Extended!$B$9:$K$101,10,FALSE),IF(BA1699="121-365 Days",VLOOKUP(D1699,[3]Extended!$B$9:$L$101,11,FALSE),VLOOKUP(D1699,[3]Extended!$B$9:$M$101,12,FALSE)))),0)</f>
        <v>0</v>
      </c>
      <c r="P1699" s="116" t="e">
        <f t="shared" si="131"/>
        <v>#VALUE!</v>
      </c>
      <c r="Q1699" s="110" t="e">
        <f>O1699-#REF!</f>
        <v>#REF!</v>
      </c>
      <c r="AT1699" s="88" t="str">
        <f t="shared" si="132"/>
        <v>Special Order0</v>
      </c>
      <c r="AU1699" s="89" t="str">
        <f t="shared" si="133"/>
        <v>01-1900</v>
      </c>
      <c r="BA1699" s="92" t="str">
        <f t="shared" si="134"/>
        <v/>
      </c>
    </row>
    <row r="1700" spans="2:53">
      <c r="B1700" s="60">
        <f>[2]Trucks!A1697</f>
        <v>0</v>
      </c>
      <c r="C1700" s="11">
        <f>[2]Trucks!B1697</f>
        <v>0</v>
      </c>
      <c r="D1700" s="19" t="str">
        <f>IFERROR(VLOOKUP(C1700&amp;"",'[2]Retail Price List'!$A$3:$B$103,2,FALSE),"Special Order")</f>
        <v>Special Order</v>
      </c>
      <c r="E1700" s="18">
        <f>[2]Trucks!J1697</f>
        <v>0</v>
      </c>
      <c r="F1700" s="12">
        <f>[2]Trucks!E1697</f>
        <v>0</v>
      </c>
      <c r="G1700" s="56">
        <f>[2]Trucks!K1697</f>
        <v>0</v>
      </c>
      <c r="H1700" s="46">
        <f>[2]Trucks!I1697</f>
        <v>0</v>
      </c>
      <c r="I1700" s="83" t="str">
        <f t="shared" si="130"/>
        <v/>
      </c>
      <c r="J1700" s="272" t="str">
        <f>IFERROR(VLOOKUP((D1700&amp;C1700)&amp;"",'[2]Retail Price List'!$C$4:$F$102,3,FALSE),"")</f>
        <v/>
      </c>
      <c r="K1700" s="272">
        <f>IFERROR(IF(BA1700="WIP - 30 Days",VLOOKUP(D1700,[3]Standard!$B$9:$E$101,4,FALSE),IF(BA1700="31-120 Days",VLOOKUP(D1700,[3]Standard!$B$9:$F$101,5,FALSE),IF(BA1700="121-365 Days",VLOOKUP(D1700,[3]Standard!$B$9:$G$101,6,FALSE),VLOOKUP(D1700,[3]Standard!$B$9:$H$101,7,FALSE)))),0)</f>
        <v>0</v>
      </c>
      <c r="L1700" s="272">
        <f>IFERROR(IF(BA1700="WIP - 30 Days",VLOOKUP(D1700,[3]Standard!$B$9:$J$101,9,FALSE),IF(BA1700="31-120 Days",VLOOKUP(D1700,[3]Standard!$B$9:$K$100,10,FALSE),IF(BA1700="121-365 Days",VLOOKUP(D1700,[3]Standard!$B$9:$L$101,11,FALSE),VLOOKUP(D1700,[3]Standard!$B$9:$M$101,12,FALSE)))),0)</f>
        <v>0</v>
      </c>
      <c r="M1700" s="269" t="str">
        <f>IFERROR(VLOOKUP((D1700&amp;C1700)&amp;"",'[2]Retail Price List'!$C$4:$F$102,4,FALSE),"")</f>
        <v/>
      </c>
      <c r="N1700" s="269">
        <f>IFERROR(IF(BA1700="WIP - 30 Days",VLOOKUP(D1700,[3]Extended!$B$9:$E$101,4,FALSE),IF(BA1700="31-120 Days",VLOOKUP(D1700,[3]Extended!$B$9:$F$101,5,FALSE),IF(BA1700="121-365 Days",VLOOKUP(D1700,[3]Extended!$B$9:$G$101,6,FALSE),VLOOKUP(D1700,[3]Extended!$B$9:$H$101,7,FALSE)))),0)</f>
        <v>0</v>
      </c>
      <c r="O1700" s="269">
        <f>IFERROR(IF(BA1700="WIP - 30 Days",VLOOKUP(D1700,[3]Extended!$B$9:$J$101,9,FALSE),IF(BA1700="31-120 Days",VLOOKUP(D1700,[3]Extended!$B$9:$K$101,10,FALSE),IF(BA1700="121-365 Days",VLOOKUP(D1700,[3]Extended!$B$9:$L$101,11,FALSE),VLOOKUP(D1700,[3]Extended!$B$9:$M$101,12,FALSE)))),0)</f>
        <v>0</v>
      </c>
      <c r="P1700" s="116" t="e">
        <f t="shared" si="131"/>
        <v>#VALUE!</v>
      </c>
      <c r="Q1700" s="110" t="e">
        <f>O1700-#REF!</f>
        <v>#REF!</v>
      </c>
      <c r="AT1700" s="88" t="str">
        <f t="shared" si="132"/>
        <v>Special Order0</v>
      </c>
      <c r="AU1700" s="89" t="str">
        <f t="shared" si="133"/>
        <v>01-1900</v>
      </c>
      <c r="BA1700" s="92" t="str">
        <f t="shared" si="134"/>
        <v/>
      </c>
    </row>
    <row r="1701" spans="2:53">
      <c r="B1701" s="60">
        <f>[2]Trucks!A1698</f>
        <v>0</v>
      </c>
      <c r="C1701" s="11">
        <f>[2]Trucks!B1698</f>
        <v>0</v>
      </c>
      <c r="D1701" s="19" t="str">
        <f>IFERROR(VLOOKUP(C1701&amp;"",'[2]Retail Price List'!$A$3:$B$103,2,FALSE),"Special Order")</f>
        <v>Special Order</v>
      </c>
      <c r="E1701" s="18">
        <f>[2]Trucks!J1698</f>
        <v>0</v>
      </c>
      <c r="F1701" s="12">
        <f>[2]Trucks!E1698</f>
        <v>0</v>
      </c>
      <c r="G1701" s="56">
        <f>[2]Trucks!K1698</f>
        <v>0</v>
      </c>
      <c r="H1701" s="46">
        <f>[2]Trucks!I1698</f>
        <v>0</v>
      </c>
      <c r="I1701" s="83" t="str">
        <f t="shared" si="130"/>
        <v/>
      </c>
      <c r="J1701" s="272" t="str">
        <f>IFERROR(VLOOKUP((D1701&amp;C1701)&amp;"",'[2]Retail Price List'!$C$4:$F$102,3,FALSE),"")</f>
        <v/>
      </c>
      <c r="K1701" s="272">
        <f>IFERROR(IF(BA1701="WIP - 30 Days",VLOOKUP(D1701,[3]Standard!$B$9:$E$101,4,FALSE),IF(BA1701="31-120 Days",VLOOKUP(D1701,[3]Standard!$B$9:$F$101,5,FALSE),IF(BA1701="121-365 Days",VLOOKUP(D1701,[3]Standard!$B$9:$G$101,6,FALSE),VLOOKUP(D1701,[3]Standard!$B$9:$H$101,7,FALSE)))),0)</f>
        <v>0</v>
      </c>
      <c r="L1701" s="272">
        <f>IFERROR(IF(BA1701="WIP - 30 Days",VLOOKUP(D1701,[3]Standard!$B$9:$J$101,9,FALSE),IF(BA1701="31-120 Days",VLOOKUP(D1701,[3]Standard!$B$9:$K$100,10,FALSE),IF(BA1701="121-365 Days",VLOOKUP(D1701,[3]Standard!$B$9:$L$101,11,FALSE),VLOOKUP(D1701,[3]Standard!$B$9:$M$101,12,FALSE)))),0)</f>
        <v>0</v>
      </c>
      <c r="M1701" s="269" t="str">
        <f>IFERROR(VLOOKUP((D1701&amp;C1701)&amp;"",'[2]Retail Price List'!$C$4:$F$102,4,FALSE),"")</f>
        <v/>
      </c>
      <c r="N1701" s="269">
        <f>IFERROR(IF(BA1701="WIP - 30 Days",VLOOKUP(D1701,[3]Extended!$B$9:$E$101,4,FALSE),IF(BA1701="31-120 Days",VLOOKUP(D1701,[3]Extended!$B$9:$F$101,5,FALSE),IF(BA1701="121-365 Days",VLOOKUP(D1701,[3]Extended!$B$9:$G$101,6,FALSE),VLOOKUP(D1701,[3]Extended!$B$9:$H$101,7,FALSE)))),0)</f>
        <v>0</v>
      </c>
      <c r="O1701" s="269">
        <f>IFERROR(IF(BA1701="WIP - 30 Days",VLOOKUP(D1701,[3]Extended!$B$9:$J$101,9,FALSE),IF(BA1701="31-120 Days",VLOOKUP(D1701,[3]Extended!$B$9:$K$101,10,FALSE),IF(BA1701="121-365 Days",VLOOKUP(D1701,[3]Extended!$B$9:$L$101,11,FALSE),VLOOKUP(D1701,[3]Extended!$B$9:$M$101,12,FALSE)))),0)</f>
        <v>0</v>
      </c>
      <c r="P1701" s="116" t="e">
        <f t="shared" si="131"/>
        <v>#VALUE!</v>
      </c>
      <c r="Q1701" s="110" t="e">
        <f>O1701-#REF!</f>
        <v>#REF!</v>
      </c>
      <c r="AT1701" s="88" t="str">
        <f t="shared" si="132"/>
        <v>Special Order0</v>
      </c>
      <c r="AU1701" s="89" t="str">
        <f t="shared" si="133"/>
        <v>01-1900</v>
      </c>
      <c r="BA1701" s="92" t="str">
        <f t="shared" si="134"/>
        <v/>
      </c>
    </row>
    <row r="1702" spans="2:53">
      <c r="B1702" s="60">
        <f>[2]Trucks!A1699</f>
        <v>0</v>
      </c>
      <c r="C1702" s="11">
        <f>[2]Trucks!B1699</f>
        <v>0</v>
      </c>
      <c r="D1702" s="19" t="str">
        <f>IFERROR(VLOOKUP(C1702&amp;"",'[2]Retail Price List'!$A$3:$B$103,2,FALSE),"Special Order")</f>
        <v>Special Order</v>
      </c>
      <c r="E1702" s="18">
        <f>[2]Trucks!J1699</f>
        <v>0</v>
      </c>
      <c r="F1702" s="12">
        <f>[2]Trucks!E1699</f>
        <v>0</v>
      </c>
      <c r="G1702" s="56">
        <f>[2]Trucks!K1699</f>
        <v>0</v>
      </c>
      <c r="H1702" s="46">
        <f>[2]Trucks!I1699</f>
        <v>0</v>
      </c>
      <c r="I1702" s="83" t="str">
        <f t="shared" si="130"/>
        <v/>
      </c>
      <c r="J1702" s="272" t="str">
        <f>IFERROR(VLOOKUP((D1702&amp;C1702)&amp;"",'[2]Retail Price List'!$C$4:$F$102,3,FALSE),"")</f>
        <v/>
      </c>
      <c r="K1702" s="272">
        <f>IFERROR(IF(BA1702="WIP - 30 Days",VLOOKUP(D1702,[3]Standard!$B$9:$E$101,4,FALSE),IF(BA1702="31-120 Days",VLOOKUP(D1702,[3]Standard!$B$9:$F$101,5,FALSE),IF(BA1702="121-365 Days",VLOOKUP(D1702,[3]Standard!$B$9:$G$101,6,FALSE),VLOOKUP(D1702,[3]Standard!$B$9:$H$101,7,FALSE)))),0)</f>
        <v>0</v>
      </c>
      <c r="L1702" s="272">
        <f>IFERROR(IF(BA1702="WIP - 30 Days",VLOOKUP(D1702,[3]Standard!$B$9:$J$101,9,FALSE),IF(BA1702="31-120 Days",VLOOKUP(D1702,[3]Standard!$B$9:$K$100,10,FALSE),IF(BA1702="121-365 Days",VLOOKUP(D1702,[3]Standard!$B$9:$L$101,11,FALSE),VLOOKUP(D1702,[3]Standard!$B$9:$M$101,12,FALSE)))),0)</f>
        <v>0</v>
      </c>
      <c r="M1702" s="269" t="str">
        <f>IFERROR(VLOOKUP((D1702&amp;C1702)&amp;"",'[2]Retail Price List'!$C$4:$F$102,4,FALSE),"")</f>
        <v/>
      </c>
      <c r="N1702" s="269">
        <f>IFERROR(IF(BA1702="WIP - 30 Days",VLOOKUP(D1702,[3]Extended!$B$9:$E$101,4,FALSE),IF(BA1702="31-120 Days",VLOOKUP(D1702,[3]Extended!$B$9:$F$101,5,FALSE),IF(BA1702="121-365 Days",VLOOKUP(D1702,[3]Extended!$B$9:$G$101,6,FALSE),VLOOKUP(D1702,[3]Extended!$B$9:$H$101,7,FALSE)))),0)</f>
        <v>0</v>
      </c>
      <c r="O1702" s="269">
        <f>IFERROR(IF(BA1702="WIP - 30 Days",VLOOKUP(D1702,[3]Extended!$B$9:$J$101,9,FALSE),IF(BA1702="31-120 Days",VLOOKUP(D1702,[3]Extended!$B$9:$K$101,10,FALSE),IF(BA1702="121-365 Days",VLOOKUP(D1702,[3]Extended!$B$9:$L$101,11,FALSE),VLOOKUP(D1702,[3]Extended!$B$9:$M$101,12,FALSE)))),0)</f>
        <v>0</v>
      </c>
      <c r="P1702" s="116" t="e">
        <f t="shared" si="131"/>
        <v>#VALUE!</v>
      </c>
      <c r="Q1702" s="110" t="e">
        <f>O1702-#REF!</f>
        <v>#REF!</v>
      </c>
      <c r="AT1702" s="88" t="str">
        <f t="shared" si="132"/>
        <v>Special Order0</v>
      </c>
      <c r="AU1702" s="89" t="str">
        <f t="shared" si="133"/>
        <v>01-1900</v>
      </c>
      <c r="BA1702" s="92" t="str">
        <f t="shared" si="134"/>
        <v/>
      </c>
    </row>
    <row r="1703" spans="2:53">
      <c r="B1703" s="60">
        <f>[2]Trucks!A1700</f>
        <v>0</v>
      </c>
      <c r="C1703" s="11">
        <f>[2]Trucks!B1700</f>
        <v>0</v>
      </c>
      <c r="D1703" s="19" t="str">
        <f>IFERROR(VLOOKUP(C1703&amp;"",'[2]Retail Price List'!$A$3:$B$103,2,FALSE),"Special Order")</f>
        <v>Special Order</v>
      </c>
      <c r="E1703" s="18">
        <f>[2]Trucks!J1700</f>
        <v>0</v>
      </c>
      <c r="F1703" s="12">
        <f>[2]Trucks!E1700</f>
        <v>0</v>
      </c>
      <c r="G1703" s="56">
        <f>[2]Trucks!K1700</f>
        <v>0</v>
      </c>
      <c r="H1703" s="46">
        <f>[2]Trucks!I1700</f>
        <v>0</v>
      </c>
      <c r="I1703" s="83" t="str">
        <f t="shared" si="130"/>
        <v/>
      </c>
      <c r="J1703" s="272" t="str">
        <f>IFERROR(VLOOKUP((D1703&amp;C1703)&amp;"",'[2]Retail Price List'!$C$4:$F$102,3,FALSE),"")</f>
        <v/>
      </c>
      <c r="K1703" s="272">
        <f>IFERROR(IF(BA1703="WIP - 30 Days",VLOOKUP(D1703,[3]Standard!$B$9:$E$101,4,FALSE),IF(BA1703="31-120 Days",VLOOKUP(D1703,[3]Standard!$B$9:$F$101,5,FALSE),IF(BA1703="121-365 Days",VLOOKUP(D1703,[3]Standard!$B$9:$G$101,6,FALSE),VLOOKUP(D1703,[3]Standard!$B$9:$H$101,7,FALSE)))),0)</f>
        <v>0</v>
      </c>
      <c r="L1703" s="272">
        <f>IFERROR(IF(BA1703="WIP - 30 Days",VLOOKUP(D1703,[3]Standard!$B$9:$J$101,9,FALSE),IF(BA1703="31-120 Days",VLOOKUP(D1703,[3]Standard!$B$9:$K$100,10,FALSE),IF(BA1703="121-365 Days",VLOOKUP(D1703,[3]Standard!$B$9:$L$101,11,FALSE),VLOOKUP(D1703,[3]Standard!$B$9:$M$101,12,FALSE)))),0)</f>
        <v>0</v>
      </c>
      <c r="M1703" s="269" t="str">
        <f>IFERROR(VLOOKUP((D1703&amp;C1703)&amp;"",'[2]Retail Price List'!$C$4:$F$102,4,FALSE),"")</f>
        <v/>
      </c>
      <c r="N1703" s="269">
        <f>IFERROR(IF(BA1703="WIP - 30 Days",VLOOKUP(D1703,[3]Extended!$B$9:$E$101,4,FALSE),IF(BA1703="31-120 Days",VLOOKUP(D1703,[3]Extended!$B$9:$F$101,5,FALSE),IF(BA1703="121-365 Days",VLOOKUP(D1703,[3]Extended!$B$9:$G$101,6,FALSE),VLOOKUP(D1703,[3]Extended!$B$9:$H$101,7,FALSE)))),0)</f>
        <v>0</v>
      </c>
      <c r="O1703" s="269">
        <f>IFERROR(IF(BA1703="WIP - 30 Days",VLOOKUP(D1703,[3]Extended!$B$9:$J$101,9,FALSE),IF(BA1703="31-120 Days",VLOOKUP(D1703,[3]Extended!$B$9:$K$101,10,FALSE),IF(BA1703="121-365 Days",VLOOKUP(D1703,[3]Extended!$B$9:$L$101,11,FALSE),VLOOKUP(D1703,[3]Extended!$B$9:$M$101,12,FALSE)))),0)</f>
        <v>0</v>
      </c>
      <c r="P1703" s="116" t="e">
        <f t="shared" si="131"/>
        <v>#VALUE!</v>
      </c>
      <c r="Q1703" s="110" t="e">
        <f>O1703-#REF!</f>
        <v>#REF!</v>
      </c>
      <c r="AT1703" s="88" t="str">
        <f t="shared" si="132"/>
        <v>Special Order0</v>
      </c>
      <c r="AU1703" s="89" t="str">
        <f t="shared" si="133"/>
        <v>01-1900</v>
      </c>
      <c r="BA1703" s="92" t="str">
        <f t="shared" si="134"/>
        <v/>
      </c>
    </row>
    <row r="1704" spans="2:53">
      <c r="B1704" s="60">
        <f>[2]Trucks!A1701</f>
        <v>0</v>
      </c>
      <c r="C1704" s="11">
        <f>[2]Trucks!B1701</f>
        <v>0</v>
      </c>
      <c r="D1704" s="19" t="str">
        <f>IFERROR(VLOOKUP(C1704&amp;"",'[2]Retail Price List'!$A$3:$B$103,2,FALSE),"Special Order")</f>
        <v>Special Order</v>
      </c>
      <c r="E1704" s="18">
        <f>[2]Trucks!J1701</f>
        <v>0</v>
      </c>
      <c r="F1704" s="12">
        <f>[2]Trucks!E1701</f>
        <v>0</v>
      </c>
      <c r="G1704" s="56">
        <f>[2]Trucks!K1701</f>
        <v>0</v>
      </c>
      <c r="H1704" s="46">
        <f>[2]Trucks!I1701</f>
        <v>0</v>
      </c>
      <c r="I1704" s="83" t="str">
        <f t="shared" si="130"/>
        <v/>
      </c>
      <c r="J1704" s="272" t="str">
        <f>IFERROR(VLOOKUP((D1704&amp;C1704)&amp;"",'[2]Retail Price List'!$C$4:$F$102,3,FALSE),"")</f>
        <v/>
      </c>
      <c r="K1704" s="272">
        <f>IFERROR(IF(BA1704="WIP - 30 Days",VLOOKUP(D1704,[3]Standard!$B$9:$E$101,4,FALSE),IF(BA1704="31-120 Days",VLOOKUP(D1704,[3]Standard!$B$9:$F$101,5,FALSE),IF(BA1704="121-365 Days",VLOOKUP(D1704,[3]Standard!$B$9:$G$101,6,FALSE),VLOOKUP(D1704,[3]Standard!$B$9:$H$101,7,FALSE)))),0)</f>
        <v>0</v>
      </c>
      <c r="L1704" s="272">
        <f>IFERROR(IF(BA1704="WIP - 30 Days",VLOOKUP(D1704,[3]Standard!$B$9:$J$101,9,FALSE),IF(BA1704="31-120 Days",VLOOKUP(D1704,[3]Standard!$B$9:$K$100,10,FALSE),IF(BA1704="121-365 Days",VLOOKUP(D1704,[3]Standard!$B$9:$L$101,11,FALSE),VLOOKUP(D1704,[3]Standard!$B$9:$M$101,12,FALSE)))),0)</f>
        <v>0</v>
      </c>
      <c r="M1704" s="269" t="str">
        <f>IFERROR(VLOOKUP((D1704&amp;C1704)&amp;"",'[2]Retail Price List'!$C$4:$F$102,4,FALSE),"")</f>
        <v/>
      </c>
      <c r="N1704" s="269">
        <f>IFERROR(IF(BA1704="WIP - 30 Days",VLOOKUP(D1704,[3]Extended!$B$9:$E$101,4,FALSE),IF(BA1704="31-120 Days",VLOOKUP(D1704,[3]Extended!$B$9:$F$101,5,FALSE),IF(BA1704="121-365 Days",VLOOKUP(D1704,[3]Extended!$B$9:$G$101,6,FALSE),VLOOKUP(D1704,[3]Extended!$B$9:$H$101,7,FALSE)))),0)</f>
        <v>0</v>
      </c>
      <c r="O1704" s="269">
        <f>IFERROR(IF(BA1704="WIP - 30 Days",VLOOKUP(D1704,[3]Extended!$B$9:$J$101,9,FALSE),IF(BA1704="31-120 Days",VLOOKUP(D1704,[3]Extended!$B$9:$K$101,10,FALSE),IF(BA1704="121-365 Days",VLOOKUP(D1704,[3]Extended!$B$9:$L$101,11,FALSE),VLOOKUP(D1704,[3]Extended!$B$9:$M$101,12,FALSE)))),0)</f>
        <v>0</v>
      </c>
      <c r="P1704" s="116" t="e">
        <f t="shared" si="131"/>
        <v>#VALUE!</v>
      </c>
      <c r="Q1704" s="110" t="e">
        <f>O1704-#REF!</f>
        <v>#REF!</v>
      </c>
      <c r="AT1704" s="88" t="str">
        <f t="shared" si="132"/>
        <v>Special Order0</v>
      </c>
      <c r="AU1704" s="89" t="str">
        <f t="shared" si="133"/>
        <v>01-1900</v>
      </c>
      <c r="BA1704" s="92" t="str">
        <f t="shared" si="134"/>
        <v/>
      </c>
    </row>
    <row r="1705" spans="2:53">
      <c r="B1705" s="60">
        <f>[2]Trucks!A1702</f>
        <v>0</v>
      </c>
      <c r="C1705" s="11">
        <f>[2]Trucks!B1702</f>
        <v>0</v>
      </c>
      <c r="D1705" s="19" t="str">
        <f>IFERROR(VLOOKUP(C1705&amp;"",'[2]Retail Price List'!$A$3:$B$103,2,FALSE),"Special Order")</f>
        <v>Special Order</v>
      </c>
      <c r="E1705" s="18">
        <f>[2]Trucks!J1702</f>
        <v>0</v>
      </c>
      <c r="F1705" s="12">
        <f>[2]Trucks!E1702</f>
        <v>0</v>
      </c>
      <c r="G1705" s="56">
        <f>[2]Trucks!K1702</f>
        <v>0</v>
      </c>
      <c r="H1705" s="46">
        <f>[2]Trucks!I1702</f>
        <v>0</v>
      </c>
      <c r="I1705" s="83" t="str">
        <f t="shared" si="130"/>
        <v/>
      </c>
      <c r="J1705" s="272" t="str">
        <f>IFERROR(VLOOKUP((D1705&amp;C1705)&amp;"",'[2]Retail Price List'!$C$4:$F$102,3,FALSE),"")</f>
        <v/>
      </c>
      <c r="K1705" s="272">
        <f>IFERROR(IF(BA1705="WIP - 30 Days",VLOOKUP(D1705,[3]Standard!$B$9:$E$101,4,FALSE),IF(BA1705="31-120 Days",VLOOKUP(D1705,[3]Standard!$B$9:$F$101,5,FALSE),IF(BA1705="121-365 Days",VLOOKUP(D1705,[3]Standard!$B$9:$G$101,6,FALSE),VLOOKUP(D1705,[3]Standard!$B$9:$H$101,7,FALSE)))),0)</f>
        <v>0</v>
      </c>
      <c r="L1705" s="272">
        <f>IFERROR(IF(BA1705="WIP - 30 Days",VLOOKUP(D1705,[3]Standard!$B$9:$J$101,9,FALSE),IF(BA1705="31-120 Days",VLOOKUP(D1705,[3]Standard!$B$9:$K$100,10,FALSE),IF(BA1705="121-365 Days",VLOOKUP(D1705,[3]Standard!$B$9:$L$101,11,FALSE),VLOOKUP(D1705,[3]Standard!$B$9:$M$101,12,FALSE)))),0)</f>
        <v>0</v>
      </c>
      <c r="M1705" s="269" t="str">
        <f>IFERROR(VLOOKUP((D1705&amp;C1705)&amp;"",'[2]Retail Price List'!$C$4:$F$102,4,FALSE),"")</f>
        <v/>
      </c>
      <c r="N1705" s="269">
        <f>IFERROR(IF(BA1705="WIP - 30 Days",VLOOKUP(D1705,[3]Extended!$B$9:$E$101,4,FALSE),IF(BA1705="31-120 Days",VLOOKUP(D1705,[3]Extended!$B$9:$F$101,5,FALSE),IF(BA1705="121-365 Days",VLOOKUP(D1705,[3]Extended!$B$9:$G$101,6,FALSE),VLOOKUP(D1705,[3]Extended!$B$9:$H$101,7,FALSE)))),0)</f>
        <v>0</v>
      </c>
      <c r="O1705" s="269">
        <f>IFERROR(IF(BA1705="WIP - 30 Days",VLOOKUP(D1705,[3]Extended!$B$9:$J$101,9,FALSE),IF(BA1705="31-120 Days",VLOOKUP(D1705,[3]Extended!$B$9:$K$101,10,FALSE),IF(BA1705="121-365 Days",VLOOKUP(D1705,[3]Extended!$B$9:$L$101,11,FALSE),VLOOKUP(D1705,[3]Extended!$B$9:$M$101,12,FALSE)))),0)</f>
        <v>0</v>
      </c>
      <c r="P1705" s="116" t="e">
        <f t="shared" si="131"/>
        <v>#VALUE!</v>
      </c>
      <c r="Q1705" s="110" t="e">
        <f>O1705-#REF!</f>
        <v>#REF!</v>
      </c>
      <c r="AT1705" s="88" t="str">
        <f t="shared" si="132"/>
        <v>Special Order0</v>
      </c>
      <c r="AU1705" s="89" t="str">
        <f t="shared" si="133"/>
        <v>01-1900</v>
      </c>
      <c r="BA1705" s="92" t="str">
        <f t="shared" si="134"/>
        <v/>
      </c>
    </row>
    <row r="1706" spans="2:53">
      <c r="B1706" s="60">
        <f>[2]Trucks!A1703</f>
        <v>0</v>
      </c>
      <c r="C1706" s="11">
        <f>[2]Trucks!B1703</f>
        <v>0</v>
      </c>
      <c r="D1706" s="19" t="str">
        <f>IFERROR(VLOOKUP(C1706&amp;"",'[2]Retail Price List'!$A$3:$B$103,2,FALSE),"Special Order")</f>
        <v>Special Order</v>
      </c>
      <c r="E1706" s="18">
        <f>[2]Trucks!J1703</f>
        <v>0</v>
      </c>
      <c r="F1706" s="12">
        <f>[2]Trucks!E1703</f>
        <v>0</v>
      </c>
      <c r="G1706" s="56">
        <f>[2]Trucks!K1703</f>
        <v>0</v>
      </c>
      <c r="H1706" s="46">
        <f>[2]Trucks!I1703</f>
        <v>0</v>
      </c>
      <c r="I1706" s="83" t="str">
        <f t="shared" si="130"/>
        <v/>
      </c>
      <c r="J1706" s="272" t="str">
        <f>IFERROR(VLOOKUP((D1706&amp;C1706)&amp;"",'[2]Retail Price List'!$C$4:$F$102,3,FALSE),"")</f>
        <v/>
      </c>
      <c r="K1706" s="272">
        <f>IFERROR(IF(BA1706="WIP - 30 Days",VLOOKUP(D1706,[3]Standard!$B$9:$E$101,4,FALSE),IF(BA1706="31-120 Days",VLOOKUP(D1706,[3]Standard!$B$9:$F$101,5,FALSE),IF(BA1706="121-365 Days",VLOOKUP(D1706,[3]Standard!$B$9:$G$101,6,FALSE),VLOOKUP(D1706,[3]Standard!$B$9:$H$101,7,FALSE)))),0)</f>
        <v>0</v>
      </c>
      <c r="L1706" s="272">
        <f>IFERROR(IF(BA1706="WIP - 30 Days",VLOOKUP(D1706,[3]Standard!$B$9:$J$101,9,FALSE),IF(BA1706="31-120 Days",VLOOKUP(D1706,[3]Standard!$B$9:$K$100,10,FALSE),IF(BA1706="121-365 Days",VLOOKUP(D1706,[3]Standard!$B$9:$L$101,11,FALSE),VLOOKUP(D1706,[3]Standard!$B$9:$M$101,12,FALSE)))),0)</f>
        <v>0</v>
      </c>
      <c r="M1706" s="269" t="str">
        <f>IFERROR(VLOOKUP((D1706&amp;C1706)&amp;"",'[2]Retail Price List'!$C$4:$F$102,4,FALSE),"")</f>
        <v/>
      </c>
      <c r="N1706" s="269">
        <f>IFERROR(IF(BA1706="WIP - 30 Days",VLOOKUP(D1706,[3]Extended!$B$9:$E$101,4,FALSE),IF(BA1706="31-120 Days",VLOOKUP(D1706,[3]Extended!$B$9:$F$101,5,FALSE),IF(BA1706="121-365 Days",VLOOKUP(D1706,[3]Extended!$B$9:$G$101,6,FALSE),VLOOKUP(D1706,[3]Extended!$B$9:$H$101,7,FALSE)))),0)</f>
        <v>0</v>
      </c>
      <c r="O1706" s="269">
        <f>IFERROR(IF(BA1706="WIP - 30 Days",VLOOKUP(D1706,[3]Extended!$B$9:$J$101,9,FALSE),IF(BA1706="31-120 Days",VLOOKUP(D1706,[3]Extended!$B$9:$K$101,10,FALSE),IF(BA1706="121-365 Days",VLOOKUP(D1706,[3]Extended!$B$9:$L$101,11,FALSE),VLOOKUP(D1706,[3]Extended!$B$9:$M$101,12,FALSE)))),0)</f>
        <v>0</v>
      </c>
      <c r="P1706" s="116" t="e">
        <f t="shared" si="131"/>
        <v>#VALUE!</v>
      </c>
      <c r="Q1706" s="110" t="e">
        <f>O1706-#REF!</f>
        <v>#REF!</v>
      </c>
      <c r="AT1706" s="88" t="str">
        <f t="shared" si="132"/>
        <v>Special Order0</v>
      </c>
      <c r="AU1706" s="89" t="str">
        <f t="shared" si="133"/>
        <v>01-1900</v>
      </c>
      <c r="BA1706" s="92" t="str">
        <f t="shared" si="134"/>
        <v/>
      </c>
    </row>
    <row r="1707" spans="2:53">
      <c r="B1707" s="60">
        <f>[2]Trucks!A1704</f>
        <v>0</v>
      </c>
      <c r="C1707" s="11">
        <f>[2]Trucks!B1704</f>
        <v>0</v>
      </c>
      <c r="D1707" s="19" t="str">
        <f>IFERROR(VLOOKUP(C1707&amp;"",'[2]Retail Price List'!$A$3:$B$103,2,FALSE),"Special Order")</f>
        <v>Special Order</v>
      </c>
      <c r="E1707" s="18">
        <f>[2]Trucks!J1704</f>
        <v>0</v>
      </c>
      <c r="F1707" s="12">
        <f>[2]Trucks!E1704</f>
        <v>0</v>
      </c>
      <c r="G1707" s="56">
        <f>[2]Trucks!K1704</f>
        <v>0</v>
      </c>
      <c r="H1707" s="46">
        <f>[2]Trucks!I1704</f>
        <v>0</v>
      </c>
      <c r="I1707" s="83" t="str">
        <f t="shared" si="130"/>
        <v/>
      </c>
      <c r="J1707" s="272" t="str">
        <f>IFERROR(VLOOKUP((D1707&amp;C1707)&amp;"",'[2]Retail Price List'!$C$4:$F$102,3,FALSE),"")</f>
        <v/>
      </c>
      <c r="K1707" s="272">
        <f>IFERROR(IF(BA1707="WIP - 30 Days",VLOOKUP(D1707,[3]Standard!$B$9:$E$101,4,FALSE),IF(BA1707="31-120 Days",VLOOKUP(D1707,[3]Standard!$B$9:$F$101,5,FALSE),IF(BA1707="121-365 Days",VLOOKUP(D1707,[3]Standard!$B$9:$G$101,6,FALSE),VLOOKUP(D1707,[3]Standard!$B$9:$H$101,7,FALSE)))),0)</f>
        <v>0</v>
      </c>
      <c r="L1707" s="272">
        <f>IFERROR(IF(BA1707="WIP - 30 Days",VLOOKUP(D1707,[3]Standard!$B$9:$J$101,9,FALSE),IF(BA1707="31-120 Days",VLOOKUP(D1707,[3]Standard!$B$9:$K$100,10,FALSE),IF(BA1707="121-365 Days",VLOOKUP(D1707,[3]Standard!$B$9:$L$101,11,FALSE),VLOOKUP(D1707,[3]Standard!$B$9:$M$101,12,FALSE)))),0)</f>
        <v>0</v>
      </c>
      <c r="M1707" s="269" t="str">
        <f>IFERROR(VLOOKUP((D1707&amp;C1707)&amp;"",'[2]Retail Price List'!$C$4:$F$102,4,FALSE),"")</f>
        <v/>
      </c>
      <c r="N1707" s="269">
        <f>IFERROR(IF(BA1707="WIP - 30 Days",VLOOKUP(D1707,[3]Extended!$B$9:$E$101,4,FALSE),IF(BA1707="31-120 Days",VLOOKUP(D1707,[3]Extended!$B$9:$F$101,5,FALSE),IF(BA1707="121-365 Days",VLOOKUP(D1707,[3]Extended!$B$9:$G$101,6,FALSE),VLOOKUP(D1707,[3]Extended!$B$9:$H$101,7,FALSE)))),0)</f>
        <v>0</v>
      </c>
      <c r="O1707" s="269">
        <f>IFERROR(IF(BA1707="WIP - 30 Days",VLOOKUP(D1707,[3]Extended!$B$9:$J$101,9,FALSE),IF(BA1707="31-120 Days",VLOOKUP(D1707,[3]Extended!$B$9:$K$101,10,FALSE),IF(BA1707="121-365 Days",VLOOKUP(D1707,[3]Extended!$B$9:$L$101,11,FALSE),VLOOKUP(D1707,[3]Extended!$B$9:$M$101,12,FALSE)))),0)</f>
        <v>0</v>
      </c>
      <c r="P1707" s="116" t="e">
        <f t="shared" si="131"/>
        <v>#VALUE!</v>
      </c>
      <c r="Q1707" s="110" t="e">
        <f>O1707-#REF!</f>
        <v>#REF!</v>
      </c>
      <c r="AT1707" s="88" t="str">
        <f t="shared" si="132"/>
        <v>Special Order0</v>
      </c>
      <c r="AU1707" s="89" t="str">
        <f t="shared" si="133"/>
        <v>01-1900</v>
      </c>
      <c r="BA1707" s="92" t="str">
        <f t="shared" si="134"/>
        <v/>
      </c>
    </row>
    <row r="1708" spans="2:53">
      <c r="B1708" s="60">
        <f>[2]Trucks!A1705</f>
        <v>0</v>
      </c>
      <c r="C1708" s="11">
        <f>[2]Trucks!B1705</f>
        <v>0</v>
      </c>
      <c r="D1708" s="19" t="str">
        <f>IFERROR(VLOOKUP(C1708&amp;"",'[2]Retail Price List'!$A$3:$B$103,2,FALSE),"Special Order")</f>
        <v>Special Order</v>
      </c>
      <c r="E1708" s="18">
        <f>[2]Trucks!J1705</f>
        <v>0</v>
      </c>
      <c r="F1708" s="12">
        <f>[2]Trucks!E1705</f>
        <v>0</v>
      </c>
      <c r="G1708" s="56">
        <f>[2]Trucks!K1705</f>
        <v>0</v>
      </c>
      <c r="H1708" s="46">
        <f>[2]Trucks!I1705</f>
        <v>0</v>
      </c>
      <c r="I1708" s="83" t="str">
        <f t="shared" si="130"/>
        <v/>
      </c>
      <c r="J1708" s="272" t="str">
        <f>IFERROR(VLOOKUP((D1708&amp;C1708)&amp;"",'[2]Retail Price List'!$C$4:$F$102,3,FALSE),"")</f>
        <v/>
      </c>
      <c r="K1708" s="272">
        <f>IFERROR(IF(BA1708="WIP - 30 Days",VLOOKUP(D1708,[3]Standard!$B$9:$E$101,4,FALSE),IF(BA1708="31-120 Days",VLOOKUP(D1708,[3]Standard!$B$9:$F$101,5,FALSE),IF(BA1708="121-365 Days",VLOOKUP(D1708,[3]Standard!$B$9:$G$101,6,FALSE),VLOOKUP(D1708,[3]Standard!$B$9:$H$101,7,FALSE)))),0)</f>
        <v>0</v>
      </c>
      <c r="L1708" s="272">
        <f>IFERROR(IF(BA1708="WIP - 30 Days",VLOOKUP(D1708,[3]Standard!$B$9:$J$101,9,FALSE),IF(BA1708="31-120 Days",VLOOKUP(D1708,[3]Standard!$B$9:$K$100,10,FALSE),IF(BA1708="121-365 Days",VLOOKUP(D1708,[3]Standard!$B$9:$L$101,11,FALSE),VLOOKUP(D1708,[3]Standard!$B$9:$M$101,12,FALSE)))),0)</f>
        <v>0</v>
      </c>
      <c r="M1708" s="269" t="str">
        <f>IFERROR(VLOOKUP((D1708&amp;C1708)&amp;"",'[2]Retail Price List'!$C$4:$F$102,4,FALSE),"")</f>
        <v/>
      </c>
      <c r="N1708" s="269">
        <f>IFERROR(IF(BA1708="WIP - 30 Days",VLOOKUP(D1708,[3]Extended!$B$9:$E$101,4,FALSE),IF(BA1708="31-120 Days",VLOOKUP(D1708,[3]Extended!$B$9:$F$101,5,FALSE),IF(BA1708="121-365 Days",VLOOKUP(D1708,[3]Extended!$B$9:$G$101,6,FALSE),VLOOKUP(D1708,[3]Extended!$B$9:$H$101,7,FALSE)))),0)</f>
        <v>0</v>
      </c>
      <c r="O1708" s="269">
        <f>IFERROR(IF(BA1708="WIP - 30 Days",VLOOKUP(D1708,[3]Extended!$B$9:$J$101,9,FALSE),IF(BA1708="31-120 Days",VLOOKUP(D1708,[3]Extended!$B$9:$K$101,10,FALSE),IF(BA1708="121-365 Days",VLOOKUP(D1708,[3]Extended!$B$9:$L$101,11,FALSE),VLOOKUP(D1708,[3]Extended!$B$9:$M$101,12,FALSE)))),0)</f>
        <v>0</v>
      </c>
      <c r="P1708" s="116" t="e">
        <f t="shared" si="131"/>
        <v>#VALUE!</v>
      </c>
      <c r="Q1708" s="110" t="e">
        <f>O1708-#REF!</f>
        <v>#REF!</v>
      </c>
      <c r="AT1708" s="88" t="str">
        <f t="shared" si="132"/>
        <v>Special Order0</v>
      </c>
      <c r="AU1708" s="89" t="str">
        <f t="shared" si="133"/>
        <v>01-1900</v>
      </c>
      <c r="BA1708" s="92" t="str">
        <f t="shared" si="134"/>
        <v/>
      </c>
    </row>
    <row r="1709" spans="2:53">
      <c r="B1709" s="60">
        <f>[2]Trucks!A1706</f>
        <v>0</v>
      </c>
      <c r="C1709" s="11">
        <f>[2]Trucks!B1706</f>
        <v>0</v>
      </c>
      <c r="D1709" s="19" t="str">
        <f>IFERROR(VLOOKUP(C1709&amp;"",'[2]Retail Price List'!$A$3:$B$103,2,FALSE),"Special Order")</f>
        <v>Special Order</v>
      </c>
      <c r="E1709" s="18">
        <f>[2]Trucks!J1706</f>
        <v>0</v>
      </c>
      <c r="F1709" s="12">
        <f>[2]Trucks!E1706</f>
        <v>0</v>
      </c>
      <c r="G1709" s="56">
        <f>[2]Trucks!K1706</f>
        <v>0</v>
      </c>
      <c r="H1709" s="46">
        <f>[2]Trucks!I1706</f>
        <v>0</v>
      </c>
      <c r="I1709" s="83" t="str">
        <f t="shared" si="130"/>
        <v/>
      </c>
      <c r="J1709" s="272" t="str">
        <f>IFERROR(VLOOKUP((D1709&amp;C1709)&amp;"",'[2]Retail Price List'!$C$4:$F$102,3,FALSE),"")</f>
        <v/>
      </c>
      <c r="K1709" s="272">
        <f>IFERROR(IF(BA1709="WIP - 30 Days",VLOOKUP(D1709,[3]Standard!$B$9:$E$101,4,FALSE),IF(BA1709="31-120 Days",VLOOKUP(D1709,[3]Standard!$B$9:$F$101,5,FALSE),IF(BA1709="121-365 Days",VLOOKUP(D1709,[3]Standard!$B$9:$G$101,6,FALSE),VLOOKUP(D1709,[3]Standard!$B$9:$H$101,7,FALSE)))),0)</f>
        <v>0</v>
      </c>
      <c r="L1709" s="272">
        <f>IFERROR(IF(BA1709="WIP - 30 Days",VLOOKUP(D1709,[3]Standard!$B$9:$J$101,9,FALSE),IF(BA1709="31-120 Days",VLOOKUP(D1709,[3]Standard!$B$9:$K$100,10,FALSE),IF(BA1709="121-365 Days",VLOOKUP(D1709,[3]Standard!$B$9:$L$101,11,FALSE),VLOOKUP(D1709,[3]Standard!$B$9:$M$101,12,FALSE)))),0)</f>
        <v>0</v>
      </c>
      <c r="M1709" s="269" t="str">
        <f>IFERROR(VLOOKUP((D1709&amp;C1709)&amp;"",'[2]Retail Price List'!$C$4:$F$102,4,FALSE),"")</f>
        <v/>
      </c>
      <c r="N1709" s="269">
        <f>IFERROR(IF(BA1709="WIP - 30 Days",VLOOKUP(D1709,[3]Extended!$B$9:$E$101,4,FALSE),IF(BA1709="31-120 Days",VLOOKUP(D1709,[3]Extended!$B$9:$F$101,5,FALSE),IF(BA1709="121-365 Days",VLOOKUP(D1709,[3]Extended!$B$9:$G$101,6,FALSE),VLOOKUP(D1709,[3]Extended!$B$9:$H$101,7,FALSE)))),0)</f>
        <v>0</v>
      </c>
      <c r="O1709" s="269">
        <f>IFERROR(IF(BA1709="WIP - 30 Days",VLOOKUP(D1709,[3]Extended!$B$9:$J$101,9,FALSE),IF(BA1709="31-120 Days",VLOOKUP(D1709,[3]Extended!$B$9:$K$101,10,FALSE),IF(BA1709="121-365 Days",VLOOKUP(D1709,[3]Extended!$B$9:$L$101,11,FALSE),VLOOKUP(D1709,[3]Extended!$B$9:$M$101,12,FALSE)))),0)</f>
        <v>0</v>
      </c>
      <c r="P1709" s="116" t="e">
        <f t="shared" si="131"/>
        <v>#VALUE!</v>
      </c>
      <c r="Q1709" s="110" t="e">
        <f>O1709-#REF!</f>
        <v>#REF!</v>
      </c>
      <c r="AT1709" s="88" t="str">
        <f t="shared" si="132"/>
        <v>Special Order0</v>
      </c>
      <c r="AU1709" s="89" t="str">
        <f t="shared" si="133"/>
        <v>01-1900</v>
      </c>
      <c r="BA1709" s="92" t="str">
        <f t="shared" si="134"/>
        <v/>
      </c>
    </row>
    <row r="1710" spans="2:53">
      <c r="B1710" s="60">
        <f>[2]Trucks!A1707</f>
        <v>0</v>
      </c>
      <c r="C1710" s="11">
        <f>[2]Trucks!B1707</f>
        <v>0</v>
      </c>
      <c r="D1710" s="19" t="str">
        <f>IFERROR(VLOOKUP(C1710&amp;"",'[2]Retail Price List'!$A$3:$B$103,2,FALSE),"Special Order")</f>
        <v>Special Order</v>
      </c>
      <c r="E1710" s="18">
        <f>[2]Trucks!J1707</f>
        <v>0</v>
      </c>
      <c r="F1710" s="12">
        <f>[2]Trucks!E1707</f>
        <v>0</v>
      </c>
      <c r="G1710" s="56">
        <f>[2]Trucks!K1707</f>
        <v>0</v>
      </c>
      <c r="H1710" s="46">
        <f>[2]Trucks!I1707</f>
        <v>0</v>
      </c>
      <c r="I1710" s="83" t="str">
        <f t="shared" si="130"/>
        <v/>
      </c>
      <c r="J1710" s="272" t="str">
        <f>IFERROR(VLOOKUP((D1710&amp;C1710)&amp;"",'[2]Retail Price List'!$C$4:$F$102,3,FALSE),"")</f>
        <v/>
      </c>
      <c r="K1710" s="272">
        <f>IFERROR(IF(BA1710="WIP - 30 Days",VLOOKUP(D1710,[3]Standard!$B$9:$E$101,4,FALSE),IF(BA1710="31-120 Days",VLOOKUP(D1710,[3]Standard!$B$9:$F$101,5,FALSE),IF(BA1710="121-365 Days",VLOOKUP(D1710,[3]Standard!$B$9:$G$101,6,FALSE),VLOOKUP(D1710,[3]Standard!$B$9:$H$101,7,FALSE)))),0)</f>
        <v>0</v>
      </c>
      <c r="L1710" s="272">
        <f>IFERROR(IF(BA1710="WIP - 30 Days",VLOOKUP(D1710,[3]Standard!$B$9:$J$101,9,FALSE),IF(BA1710="31-120 Days",VLOOKUP(D1710,[3]Standard!$B$9:$K$100,10,FALSE),IF(BA1710="121-365 Days",VLOOKUP(D1710,[3]Standard!$B$9:$L$101,11,FALSE),VLOOKUP(D1710,[3]Standard!$B$9:$M$101,12,FALSE)))),0)</f>
        <v>0</v>
      </c>
      <c r="M1710" s="269" t="str">
        <f>IFERROR(VLOOKUP((D1710&amp;C1710)&amp;"",'[2]Retail Price List'!$C$4:$F$102,4,FALSE),"")</f>
        <v/>
      </c>
      <c r="N1710" s="269">
        <f>IFERROR(IF(BA1710="WIP - 30 Days",VLOOKUP(D1710,[3]Extended!$B$9:$E$101,4,FALSE),IF(BA1710="31-120 Days",VLOOKUP(D1710,[3]Extended!$B$9:$F$101,5,FALSE),IF(BA1710="121-365 Days",VLOOKUP(D1710,[3]Extended!$B$9:$G$101,6,FALSE),VLOOKUP(D1710,[3]Extended!$B$9:$H$101,7,FALSE)))),0)</f>
        <v>0</v>
      </c>
      <c r="O1710" s="269">
        <f>IFERROR(IF(BA1710="WIP - 30 Days",VLOOKUP(D1710,[3]Extended!$B$9:$J$101,9,FALSE),IF(BA1710="31-120 Days",VLOOKUP(D1710,[3]Extended!$B$9:$K$101,10,FALSE),IF(BA1710="121-365 Days",VLOOKUP(D1710,[3]Extended!$B$9:$L$101,11,FALSE),VLOOKUP(D1710,[3]Extended!$B$9:$M$101,12,FALSE)))),0)</f>
        <v>0</v>
      </c>
      <c r="P1710" s="116" t="e">
        <f t="shared" si="131"/>
        <v>#VALUE!</v>
      </c>
      <c r="Q1710" s="110" t="e">
        <f>O1710-#REF!</f>
        <v>#REF!</v>
      </c>
      <c r="AT1710" s="88" t="str">
        <f t="shared" si="132"/>
        <v>Special Order0</v>
      </c>
      <c r="AU1710" s="89" t="str">
        <f t="shared" si="133"/>
        <v>01-1900</v>
      </c>
      <c r="BA1710" s="92" t="str">
        <f t="shared" si="134"/>
        <v/>
      </c>
    </row>
    <row r="1711" spans="2:53">
      <c r="B1711" s="60">
        <f>[2]Trucks!A1708</f>
        <v>0</v>
      </c>
      <c r="C1711" s="11">
        <f>[2]Trucks!B1708</f>
        <v>0</v>
      </c>
      <c r="D1711" s="19" t="str">
        <f>IFERROR(VLOOKUP(C1711&amp;"",'[2]Retail Price List'!$A$3:$B$103,2,FALSE),"Special Order")</f>
        <v>Special Order</v>
      </c>
      <c r="E1711" s="18">
        <f>[2]Trucks!J1708</f>
        <v>0</v>
      </c>
      <c r="F1711" s="12">
        <f>[2]Trucks!E1708</f>
        <v>0</v>
      </c>
      <c r="G1711" s="56">
        <f>[2]Trucks!K1708</f>
        <v>0</v>
      </c>
      <c r="H1711" s="46">
        <f>[2]Trucks!I1708</f>
        <v>0</v>
      </c>
      <c r="I1711" s="83" t="str">
        <f t="shared" si="130"/>
        <v/>
      </c>
      <c r="J1711" s="272" t="str">
        <f>IFERROR(VLOOKUP((D1711&amp;C1711)&amp;"",'[2]Retail Price List'!$C$4:$F$102,3,FALSE),"")</f>
        <v/>
      </c>
      <c r="K1711" s="272">
        <f>IFERROR(IF(BA1711="WIP - 30 Days",VLOOKUP(D1711,[3]Standard!$B$9:$E$101,4,FALSE),IF(BA1711="31-120 Days",VLOOKUP(D1711,[3]Standard!$B$9:$F$101,5,FALSE),IF(BA1711="121-365 Days",VLOOKUP(D1711,[3]Standard!$B$9:$G$101,6,FALSE),VLOOKUP(D1711,[3]Standard!$B$9:$H$101,7,FALSE)))),0)</f>
        <v>0</v>
      </c>
      <c r="L1711" s="272">
        <f>IFERROR(IF(BA1711="WIP - 30 Days",VLOOKUP(D1711,[3]Standard!$B$9:$J$101,9,FALSE),IF(BA1711="31-120 Days",VLOOKUP(D1711,[3]Standard!$B$9:$K$100,10,FALSE),IF(BA1711="121-365 Days",VLOOKUP(D1711,[3]Standard!$B$9:$L$101,11,FALSE),VLOOKUP(D1711,[3]Standard!$B$9:$M$101,12,FALSE)))),0)</f>
        <v>0</v>
      </c>
      <c r="M1711" s="269" t="str">
        <f>IFERROR(VLOOKUP((D1711&amp;C1711)&amp;"",'[2]Retail Price List'!$C$4:$F$102,4,FALSE),"")</f>
        <v/>
      </c>
      <c r="N1711" s="269">
        <f>IFERROR(IF(BA1711="WIP - 30 Days",VLOOKUP(D1711,[3]Extended!$B$9:$E$101,4,FALSE),IF(BA1711="31-120 Days",VLOOKUP(D1711,[3]Extended!$B$9:$F$101,5,FALSE),IF(BA1711="121-365 Days",VLOOKUP(D1711,[3]Extended!$B$9:$G$101,6,FALSE),VLOOKUP(D1711,[3]Extended!$B$9:$H$101,7,FALSE)))),0)</f>
        <v>0</v>
      </c>
      <c r="O1711" s="269">
        <f>IFERROR(IF(BA1711="WIP - 30 Days",VLOOKUP(D1711,[3]Extended!$B$9:$J$101,9,FALSE),IF(BA1711="31-120 Days",VLOOKUP(D1711,[3]Extended!$B$9:$K$101,10,FALSE),IF(BA1711="121-365 Days",VLOOKUP(D1711,[3]Extended!$B$9:$L$101,11,FALSE),VLOOKUP(D1711,[3]Extended!$B$9:$M$101,12,FALSE)))),0)</f>
        <v>0</v>
      </c>
      <c r="P1711" s="116" t="e">
        <f t="shared" si="131"/>
        <v>#VALUE!</v>
      </c>
      <c r="Q1711" s="110" t="e">
        <f>O1711-#REF!</f>
        <v>#REF!</v>
      </c>
      <c r="AT1711" s="88" t="str">
        <f t="shared" si="132"/>
        <v>Special Order0</v>
      </c>
      <c r="AU1711" s="89" t="str">
        <f t="shared" si="133"/>
        <v>01-1900</v>
      </c>
      <c r="BA1711" s="92" t="str">
        <f t="shared" si="134"/>
        <v/>
      </c>
    </row>
    <row r="1712" spans="2:53">
      <c r="B1712" s="60">
        <f>[2]Trucks!A1709</f>
        <v>0</v>
      </c>
      <c r="C1712" s="11">
        <f>[2]Trucks!B1709</f>
        <v>0</v>
      </c>
      <c r="D1712" s="19" t="str">
        <f>IFERROR(VLOOKUP(C1712&amp;"",'[2]Retail Price List'!$A$3:$B$103,2,FALSE),"Special Order")</f>
        <v>Special Order</v>
      </c>
      <c r="E1712" s="18">
        <f>[2]Trucks!J1709</f>
        <v>0</v>
      </c>
      <c r="F1712" s="12">
        <f>[2]Trucks!E1709</f>
        <v>0</v>
      </c>
      <c r="G1712" s="56">
        <f>[2]Trucks!K1709</f>
        <v>0</v>
      </c>
      <c r="H1712" s="46">
        <f>[2]Trucks!I1709</f>
        <v>0</v>
      </c>
      <c r="I1712" s="83" t="str">
        <f t="shared" si="130"/>
        <v/>
      </c>
      <c r="J1712" s="272" t="str">
        <f>IFERROR(VLOOKUP((D1712&amp;C1712)&amp;"",'[2]Retail Price List'!$C$4:$F$102,3,FALSE),"")</f>
        <v/>
      </c>
      <c r="K1712" s="272">
        <f>IFERROR(IF(BA1712="WIP - 30 Days",VLOOKUP(D1712,[3]Standard!$B$9:$E$101,4,FALSE),IF(BA1712="31-120 Days",VLOOKUP(D1712,[3]Standard!$B$9:$F$101,5,FALSE),IF(BA1712="121-365 Days",VLOOKUP(D1712,[3]Standard!$B$9:$G$101,6,FALSE),VLOOKUP(D1712,[3]Standard!$B$9:$H$101,7,FALSE)))),0)</f>
        <v>0</v>
      </c>
      <c r="L1712" s="272">
        <f>IFERROR(IF(BA1712="WIP - 30 Days",VLOOKUP(D1712,[3]Standard!$B$9:$J$101,9,FALSE),IF(BA1712="31-120 Days",VLOOKUP(D1712,[3]Standard!$B$9:$K$100,10,FALSE),IF(BA1712="121-365 Days",VLOOKUP(D1712,[3]Standard!$B$9:$L$101,11,FALSE),VLOOKUP(D1712,[3]Standard!$B$9:$M$101,12,FALSE)))),0)</f>
        <v>0</v>
      </c>
      <c r="M1712" s="269" t="str">
        <f>IFERROR(VLOOKUP((D1712&amp;C1712)&amp;"",'[2]Retail Price List'!$C$4:$F$102,4,FALSE),"")</f>
        <v/>
      </c>
      <c r="N1712" s="269">
        <f>IFERROR(IF(BA1712="WIP - 30 Days",VLOOKUP(D1712,[3]Extended!$B$9:$E$101,4,FALSE),IF(BA1712="31-120 Days",VLOOKUP(D1712,[3]Extended!$B$9:$F$101,5,FALSE),IF(BA1712="121-365 Days",VLOOKUP(D1712,[3]Extended!$B$9:$G$101,6,FALSE),VLOOKUP(D1712,[3]Extended!$B$9:$H$101,7,FALSE)))),0)</f>
        <v>0</v>
      </c>
      <c r="O1712" s="269">
        <f>IFERROR(IF(BA1712="WIP - 30 Days",VLOOKUP(D1712,[3]Extended!$B$9:$J$101,9,FALSE),IF(BA1712="31-120 Days",VLOOKUP(D1712,[3]Extended!$B$9:$K$101,10,FALSE),IF(BA1712="121-365 Days",VLOOKUP(D1712,[3]Extended!$B$9:$L$101,11,FALSE),VLOOKUP(D1712,[3]Extended!$B$9:$M$101,12,FALSE)))),0)</f>
        <v>0</v>
      </c>
      <c r="P1712" s="116" t="e">
        <f t="shared" si="131"/>
        <v>#VALUE!</v>
      </c>
      <c r="Q1712" s="110" t="e">
        <f>O1712-#REF!</f>
        <v>#REF!</v>
      </c>
      <c r="AT1712" s="88" t="str">
        <f t="shared" si="132"/>
        <v>Special Order0</v>
      </c>
      <c r="AU1712" s="89" t="str">
        <f t="shared" si="133"/>
        <v>01-1900</v>
      </c>
      <c r="BA1712" s="92" t="str">
        <f t="shared" si="134"/>
        <v/>
      </c>
    </row>
    <row r="1713" spans="2:53">
      <c r="B1713" s="60">
        <f>[2]Trucks!A1710</f>
        <v>0</v>
      </c>
      <c r="C1713" s="11">
        <f>[2]Trucks!B1710</f>
        <v>0</v>
      </c>
      <c r="D1713" s="19" t="str">
        <f>IFERROR(VLOOKUP(C1713&amp;"",'[2]Retail Price List'!$A$3:$B$103,2,FALSE),"Special Order")</f>
        <v>Special Order</v>
      </c>
      <c r="E1713" s="18">
        <f>[2]Trucks!J1710</f>
        <v>0</v>
      </c>
      <c r="F1713" s="12">
        <f>[2]Trucks!E1710</f>
        <v>0</v>
      </c>
      <c r="G1713" s="56">
        <f>[2]Trucks!K1710</f>
        <v>0</v>
      </c>
      <c r="H1713" s="46">
        <f>[2]Trucks!I1710</f>
        <v>0</v>
      </c>
      <c r="I1713" s="83" t="str">
        <f t="shared" si="130"/>
        <v/>
      </c>
      <c r="J1713" s="272" t="str">
        <f>IFERROR(VLOOKUP((D1713&amp;C1713)&amp;"",'[2]Retail Price List'!$C$4:$F$102,3,FALSE),"")</f>
        <v/>
      </c>
      <c r="K1713" s="272">
        <f>IFERROR(IF(BA1713="WIP - 30 Days",VLOOKUP(D1713,[3]Standard!$B$9:$E$101,4,FALSE),IF(BA1713="31-120 Days",VLOOKUP(D1713,[3]Standard!$B$9:$F$101,5,FALSE),IF(BA1713="121-365 Days",VLOOKUP(D1713,[3]Standard!$B$9:$G$101,6,FALSE),VLOOKUP(D1713,[3]Standard!$B$9:$H$101,7,FALSE)))),0)</f>
        <v>0</v>
      </c>
      <c r="L1713" s="272">
        <f>IFERROR(IF(BA1713="WIP - 30 Days",VLOOKUP(D1713,[3]Standard!$B$9:$J$101,9,FALSE),IF(BA1713="31-120 Days",VLOOKUP(D1713,[3]Standard!$B$9:$K$100,10,FALSE),IF(BA1713="121-365 Days",VLOOKUP(D1713,[3]Standard!$B$9:$L$101,11,FALSE),VLOOKUP(D1713,[3]Standard!$B$9:$M$101,12,FALSE)))),0)</f>
        <v>0</v>
      </c>
      <c r="M1713" s="269" t="str">
        <f>IFERROR(VLOOKUP((D1713&amp;C1713)&amp;"",'[2]Retail Price List'!$C$4:$F$102,4,FALSE),"")</f>
        <v/>
      </c>
      <c r="N1713" s="269">
        <f>IFERROR(IF(BA1713="WIP - 30 Days",VLOOKUP(D1713,[3]Extended!$B$9:$E$101,4,FALSE),IF(BA1713="31-120 Days",VLOOKUP(D1713,[3]Extended!$B$9:$F$101,5,FALSE),IF(BA1713="121-365 Days",VLOOKUP(D1713,[3]Extended!$B$9:$G$101,6,FALSE),VLOOKUP(D1713,[3]Extended!$B$9:$H$101,7,FALSE)))),0)</f>
        <v>0</v>
      </c>
      <c r="O1713" s="269">
        <f>IFERROR(IF(BA1713="WIP - 30 Days",VLOOKUP(D1713,[3]Extended!$B$9:$J$101,9,FALSE),IF(BA1713="31-120 Days",VLOOKUP(D1713,[3]Extended!$B$9:$K$101,10,FALSE),IF(BA1713="121-365 Days",VLOOKUP(D1713,[3]Extended!$B$9:$L$101,11,FALSE),VLOOKUP(D1713,[3]Extended!$B$9:$M$101,12,FALSE)))),0)</f>
        <v>0</v>
      </c>
      <c r="P1713" s="116" t="e">
        <f t="shared" si="131"/>
        <v>#VALUE!</v>
      </c>
      <c r="Q1713" s="110" t="e">
        <f>O1713-#REF!</f>
        <v>#REF!</v>
      </c>
      <c r="AT1713" s="88" t="str">
        <f t="shared" si="132"/>
        <v>Special Order0</v>
      </c>
      <c r="AU1713" s="89" t="str">
        <f t="shared" si="133"/>
        <v>01-1900</v>
      </c>
      <c r="BA1713" s="92" t="str">
        <f t="shared" si="134"/>
        <v/>
      </c>
    </row>
    <row r="1714" spans="2:53">
      <c r="B1714" s="60">
        <f>[2]Trucks!A1711</f>
        <v>0</v>
      </c>
      <c r="C1714" s="11">
        <f>[2]Trucks!B1711</f>
        <v>0</v>
      </c>
      <c r="D1714" s="19" t="str">
        <f>IFERROR(VLOOKUP(C1714&amp;"",'[2]Retail Price List'!$A$3:$B$103,2,FALSE),"Special Order")</f>
        <v>Special Order</v>
      </c>
      <c r="E1714" s="18">
        <f>[2]Trucks!J1711</f>
        <v>0</v>
      </c>
      <c r="F1714" s="12">
        <f>[2]Trucks!E1711</f>
        <v>0</v>
      </c>
      <c r="G1714" s="56">
        <f>[2]Trucks!K1711</f>
        <v>0</v>
      </c>
      <c r="H1714" s="46">
        <f>[2]Trucks!I1711</f>
        <v>0</v>
      </c>
      <c r="I1714" s="83" t="str">
        <f t="shared" si="130"/>
        <v/>
      </c>
      <c r="J1714" s="272" t="str">
        <f>IFERROR(VLOOKUP((D1714&amp;C1714)&amp;"",'[2]Retail Price List'!$C$4:$F$102,3,FALSE),"")</f>
        <v/>
      </c>
      <c r="K1714" s="272">
        <f>IFERROR(IF(BA1714="WIP - 30 Days",VLOOKUP(D1714,[3]Standard!$B$9:$E$101,4,FALSE),IF(BA1714="31-120 Days",VLOOKUP(D1714,[3]Standard!$B$9:$F$101,5,FALSE),IF(BA1714="121-365 Days",VLOOKUP(D1714,[3]Standard!$B$9:$G$101,6,FALSE),VLOOKUP(D1714,[3]Standard!$B$9:$H$101,7,FALSE)))),0)</f>
        <v>0</v>
      </c>
      <c r="L1714" s="272">
        <f>IFERROR(IF(BA1714="WIP - 30 Days",VLOOKUP(D1714,[3]Standard!$B$9:$J$101,9,FALSE),IF(BA1714="31-120 Days",VLOOKUP(D1714,[3]Standard!$B$9:$K$100,10,FALSE),IF(BA1714="121-365 Days",VLOOKUP(D1714,[3]Standard!$B$9:$L$101,11,FALSE),VLOOKUP(D1714,[3]Standard!$B$9:$M$101,12,FALSE)))),0)</f>
        <v>0</v>
      </c>
      <c r="M1714" s="269" t="str">
        <f>IFERROR(VLOOKUP((D1714&amp;C1714)&amp;"",'[2]Retail Price List'!$C$4:$F$102,4,FALSE),"")</f>
        <v/>
      </c>
      <c r="N1714" s="269">
        <f>IFERROR(IF(BA1714="WIP - 30 Days",VLOOKUP(D1714,[3]Extended!$B$9:$E$101,4,FALSE),IF(BA1714="31-120 Days",VLOOKUP(D1714,[3]Extended!$B$9:$F$101,5,FALSE),IF(BA1714="121-365 Days",VLOOKUP(D1714,[3]Extended!$B$9:$G$101,6,FALSE),VLOOKUP(D1714,[3]Extended!$B$9:$H$101,7,FALSE)))),0)</f>
        <v>0</v>
      </c>
      <c r="O1714" s="269">
        <f>IFERROR(IF(BA1714="WIP - 30 Days",VLOOKUP(D1714,[3]Extended!$B$9:$J$101,9,FALSE),IF(BA1714="31-120 Days",VLOOKUP(D1714,[3]Extended!$B$9:$K$101,10,FALSE),IF(BA1714="121-365 Days",VLOOKUP(D1714,[3]Extended!$B$9:$L$101,11,FALSE),VLOOKUP(D1714,[3]Extended!$B$9:$M$101,12,FALSE)))),0)</f>
        <v>0</v>
      </c>
      <c r="P1714" s="116" t="e">
        <f t="shared" si="131"/>
        <v>#VALUE!</v>
      </c>
      <c r="Q1714" s="110" t="e">
        <f>O1714-#REF!</f>
        <v>#REF!</v>
      </c>
      <c r="AT1714" s="88" t="str">
        <f t="shared" si="132"/>
        <v>Special Order0</v>
      </c>
      <c r="AU1714" s="89" t="str">
        <f t="shared" si="133"/>
        <v>01-1900</v>
      </c>
      <c r="BA1714" s="92" t="str">
        <f t="shared" si="134"/>
        <v/>
      </c>
    </row>
    <row r="1715" spans="2:53">
      <c r="B1715" s="60">
        <f>[2]Trucks!A1712</f>
        <v>0</v>
      </c>
      <c r="C1715" s="11">
        <f>[2]Trucks!B1712</f>
        <v>0</v>
      </c>
      <c r="D1715" s="19" t="str">
        <f>IFERROR(VLOOKUP(C1715&amp;"",'[2]Retail Price List'!$A$3:$B$103,2,FALSE),"Special Order")</f>
        <v>Special Order</v>
      </c>
      <c r="E1715" s="18">
        <f>[2]Trucks!J1712</f>
        <v>0</v>
      </c>
      <c r="F1715" s="12">
        <f>[2]Trucks!E1712</f>
        <v>0</v>
      </c>
      <c r="G1715" s="56">
        <f>[2]Trucks!K1712</f>
        <v>0</v>
      </c>
      <c r="H1715" s="46">
        <f>[2]Trucks!I1712</f>
        <v>0</v>
      </c>
      <c r="I1715" s="83" t="str">
        <f t="shared" si="130"/>
        <v/>
      </c>
      <c r="J1715" s="272" t="str">
        <f>IFERROR(VLOOKUP((D1715&amp;C1715)&amp;"",'[2]Retail Price List'!$C$4:$F$102,3,FALSE),"")</f>
        <v/>
      </c>
      <c r="K1715" s="272">
        <f>IFERROR(IF(BA1715="WIP - 30 Days",VLOOKUP(D1715,[3]Standard!$B$9:$E$101,4,FALSE),IF(BA1715="31-120 Days",VLOOKUP(D1715,[3]Standard!$B$9:$F$101,5,FALSE),IF(BA1715="121-365 Days",VLOOKUP(D1715,[3]Standard!$B$9:$G$101,6,FALSE),VLOOKUP(D1715,[3]Standard!$B$9:$H$101,7,FALSE)))),0)</f>
        <v>0</v>
      </c>
      <c r="L1715" s="272">
        <f>IFERROR(IF(BA1715="WIP - 30 Days",VLOOKUP(D1715,[3]Standard!$B$9:$J$101,9,FALSE),IF(BA1715="31-120 Days",VLOOKUP(D1715,[3]Standard!$B$9:$K$100,10,FALSE),IF(BA1715="121-365 Days",VLOOKUP(D1715,[3]Standard!$B$9:$L$101,11,FALSE),VLOOKUP(D1715,[3]Standard!$B$9:$M$101,12,FALSE)))),0)</f>
        <v>0</v>
      </c>
      <c r="M1715" s="269" t="str">
        <f>IFERROR(VLOOKUP((D1715&amp;C1715)&amp;"",'[2]Retail Price List'!$C$4:$F$102,4,FALSE),"")</f>
        <v/>
      </c>
      <c r="N1715" s="269">
        <f>IFERROR(IF(BA1715="WIP - 30 Days",VLOOKUP(D1715,[3]Extended!$B$9:$E$101,4,FALSE),IF(BA1715="31-120 Days",VLOOKUP(D1715,[3]Extended!$B$9:$F$101,5,FALSE),IF(BA1715="121-365 Days",VLOOKUP(D1715,[3]Extended!$B$9:$G$101,6,FALSE),VLOOKUP(D1715,[3]Extended!$B$9:$H$101,7,FALSE)))),0)</f>
        <v>0</v>
      </c>
      <c r="O1715" s="269">
        <f>IFERROR(IF(BA1715="WIP - 30 Days",VLOOKUP(D1715,[3]Extended!$B$9:$J$101,9,FALSE),IF(BA1715="31-120 Days",VLOOKUP(D1715,[3]Extended!$B$9:$K$101,10,FALSE),IF(BA1715="121-365 Days",VLOOKUP(D1715,[3]Extended!$B$9:$L$101,11,FALSE),VLOOKUP(D1715,[3]Extended!$B$9:$M$101,12,FALSE)))),0)</f>
        <v>0</v>
      </c>
      <c r="P1715" s="116" t="e">
        <f t="shared" si="131"/>
        <v>#VALUE!</v>
      </c>
      <c r="Q1715" s="110" t="e">
        <f>O1715-#REF!</f>
        <v>#REF!</v>
      </c>
      <c r="AT1715" s="88" t="str">
        <f t="shared" si="132"/>
        <v>Special Order0</v>
      </c>
      <c r="AU1715" s="89" t="str">
        <f t="shared" si="133"/>
        <v>01-1900</v>
      </c>
      <c r="BA1715" s="92" t="str">
        <f t="shared" si="134"/>
        <v/>
      </c>
    </row>
    <row r="1716" spans="2:53">
      <c r="B1716" s="60">
        <f>[2]Trucks!A1713</f>
        <v>0</v>
      </c>
      <c r="C1716" s="11">
        <f>[2]Trucks!B1713</f>
        <v>0</v>
      </c>
      <c r="D1716" s="19" t="str">
        <f>IFERROR(VLOOKUP(C1716&amp;"",'[2]Retail Price List'!$A$3:$B$103,2,FALSE),"Special Order")</f>
        <v>Special Order</v>
      </c>
      <c r="E1716" s="18">
        <f>[2]Trucks!J1713</f>
        <v>0</v>
      </c>
      <c r="F1716" s="12">
        <f>[2]Trucks!E1713</f>
        <v>0</v>
      </c>
      <c r="G1716" s="56">
        <f>[2]Trucks!K1713</f>
        <v>0</v>
      </c>
      <c r="H1716" s="46">
        <f>[2]Trucks!I1713</f>
        <v>0</v>
      </c>
      <c r="I1716" s="83" t="str">
        <f t="shared" si="130"/>
        <v/>
      </c>
      <c r="J1716" s="272" t="str">
        <f>IFERROR(VLOOKUP((D1716&amp;C1716)&amp;"",'[2]Retail Price List'!$C$4:$F$102,3,FALSE),"")</f>
        <v/>
      </c>
      <c r="K1716" s="272">
        <f>IFERROR(IF(BA1716="WIP - 30 Days",VLOOKUP(D1716,[3]Standard!$B$9:$E$101,4,FALSE),IF(BA1716="31-120 Days",VLOOKUP(D1716,[3]Standard!$B$9:$F$101,5,FALSE),IF(BA1716="121-365 Days",VLOOKUP(D1716,[3]Standard!$B$9:$G$101,6,FALSE),VLOOKUP(D1716,[3]Standard!$B$9:$H$101,7,FALSE)))),0)</f>
        <v>0</v>
      </c>
      <c r="L1716" s="272">
        <f>IFERROR(IF(BA1716="WIP - 30 Days",VLOOKUP(D1716,[3]Standard!$B$9:$J$101,9,FALSE),IF(BA1716="31-120 Days",VLOOKUP(D1716,[3]Standard!$B$9:$K$100,10,FALSE),IF(BA1716="121-365 Days",VLOOKUP(D1716,[3]Standard!$B$9:$L$101,11,FALSE),VLOOKUP(D1716,[3]Standard!$B$9:$M$101,12,FALSE)))),0)</f>
        <v>0</v>
      </c>
      <c r="M1716" s="269" t="str">
        <f>IFERROR(VLOOKUP((D1716&amp;C1716)&amp;"",'[2]Retail Price List'!$C$4:$F$102,4,FALSE),"")</f>
        <v/>
      </c>
      <c r="N1716" s="269">
        <f>IFERROR(IF(BA1716="WIP - 30 Days",VLOOKUP(D1716,[3]Extended!$B$9:$E$101,4,FALSE),IF(BA1716="31-120 Days",VLOOKUP(D1716,[3]Extended!$B$9:$F$101,5,FALSE),IF(BA1716="121-365 Days",VLOOKUP(D1716,[3]Extended!$B$9:$G$101,6,FALSE),VLOOKUP(D1716,[3]Extended!$B$9:$H$101,7,FALSE)))),0)</f>
        <v>0</v>
      </c>
      <c r="O1716" s="269">
        <f>IFERROR(IF(BA1716="WIP - 30 Days",VLOOKUP(D1716,[3]Extended!$B$9:$J$101,9,FALSE),IF(BA1716="31-120 Days",VLOOKUP(D1716,[3]Extended!$B$9:$K$101,10,FALSE),IF(BA1716="121-365 Days",VLOOKUP(D1716,[3]Extended!$B$9:$L$101,11,FALSE),VLOOKUP(D1716,[3]Extended!$B$9:$M$101,12,FALSE)))),0)</f>
        <v>0</v>
      </c>
      <c r="P1716" s="116" t="e">
        <f t="shared" si="131"/>
        <v>#VALUE!</v>
      </c>
      <c r="Q1716" s="110" t="e">
        <f>O1716-#REF!</f>
        <v>#REF!</v>
      </c>
      <c r="AT1716" s="88" t="str">
        <f t="shared" si="132"/>
        <v>Special Order0</v>
      </c>
      <c r="AU1716" s="89" t="str">
        <f t="shared" si="133"/>
        <v>01-1900</v>
      </c>
      <c r="BA1716" s="92" t="str">
        <f t="shared" si="134"/>
        <v/>
      </c>
    </row>
    <row r="1717" spans="2:53">
      <c r="B1717" s="60">
        <f>[2]Trucks!A1714</f>
        <v>0</v>
      </c>
      <c r="C1717" s="11">
        <f>[2]Trucks!B1714</f>
        <v>0</v>
      </c>
      <c r="D1717" s="19" t="str">
        <f>IFERROR(VLOOKUP(C1717&amp;"",'[2]Retail Price List'!$A$3:$B$103,2,FALSE),"Special Order")</f>
        <v>Special Order</v>
      </c>
      <c r="E1717" s="18">
        <f>[2]Trucks!J1714</f>
        <v>0</v>
      </c>
      <c r="F1717" s="12">
        <f>[2]Trucks!E1714</f>
        <v>0</v>
      </c>
      <c r="G1717" s="56">
        <f>[2]Trucks!K1714</f>
        <v>0</v>
      </c>
      <c r="H1717" s="46">
        <f>[2]Trucks!I1714</f>
        <v>0</v>
      </c>
      <c r="I1717" s="83" t="str">
        <f t="shared" si="130"/>
        <v/>
      </c>
      <c r="J1717" s="272" t="str">
        <f>IFERROR(VLOOKUP((D1717&amp;C1717)&amp;"",'[2]Retail Price List'!$C$4:$F$102,3,FALSE),"")</f>
        <v/>
      </c>
      <c r="K1717" s="272">
        <f>IFERROR(IF(BA1717="WIP - 30 Days",VLOOKUP(D1717,[3]Standard!$B$9:$E$101,4,FALSE),IF(BA1717="31-120 Days",VLOOKUP(D1717,[3]Standard!$B$9:$F$101,5,FALSE),IF(BA1717="121-365 Days",VLOOKUP(D1717,[3]Standard!$B$9:$G$101,6,FALSE),VLOOKUP(D1717,[3]Standard!$B$9:$H$101,7,FALSE)))),0)</f>
        <v>0</v>
      </c>
      <c r="L1717" s="272">
        <f>IFERROR(IF(BA1717="WIP - 30 Days",VLOOKUP(D1717,[3]Standard!$B$9:$J$101,9,FALSE),IF(BA1717="31-120 Days",VLOOKUP(D1717,[3]Standard!$B$9:$K$100,10,FALSE),IF(BA1717="121-365 Days",VLOOKUP(D1717,[3]Standard!$B$9:$L$101,11,FALSE),VLOOKUP(D1717,[3]Standard!$B$9:$M$101,12,FALSE)))),0)</f>
        <v>0</v>
      </c>
      <c r="M1717" s="269" t="str">
        <f>IFERROR(VLOOKUP((D1717&amp;C1717)&amp;"",'[2]Retail Price List'!$C$4:$F$102,4,FALSE),"")</f>
        <v/>
      </c>
      <c r="N1717" s="269">
        <f>IFERROR(IF(BA1717="WIP - 30 Days",VLOOKUP(D1717,[3]Extended!$B$9:$E$101,4,FALSE),IF(BA1717="31-120 Days",VLOOKUP(D1717,[3]Extended!$B$9:$F$101,5,FALSE),IF(BA1717="121-365 Days",VLOOKUP(D1717,[3]Extended!$B$9:$G$101,6,FALSE),VLOOKUP(D1717,[3]Extended!$B$9:$H$101,7,FALSE)))),0)</f>
        <v>0</v>
      </c>
      <c r="O1717" s="269">
        <f>IFERROR(IF(BA1717="WIP - 30 Days",VLOOKUP(D1717,[3]Extended!$B$9:$J$101,9,FALSE),IF(BA1717="31-120 Days",VLOOKUP(D1717,[3]Extended!$B$9:$K$101,10,FALSE),IF(BA1717="121-365 Days",VLOOKUP(D1717,[3]Extended!$B$9:$L$101,11,FALSE),VLOOKUP(D1717,[3]Extended!$B$9:$M$101,12,FALSE)))),0)</f>
        <v>0</v>
      </c>
      <c r="P1717" s="116" t="e">
        <f t="shared" si="131"/>
        <v>#VALUE!</v>
      </c>
      <c r="Q1717" s="110" t="e">
        <f>O1717-#REF!</f>
        <v>#REF!</v>
      </c>
      <c r="AT1717" s="88" t="str">
        <f t="shared" si="132"/>
        <v>Special Order0</v>
      </c>
      <c r="AU1717" s="89" t="str">
        <f t="shared" si="133"/>
        <v>01-1900</v>
      </c>
      <c r="BA1717" s="92" t="str">
        <f t="shared" si="134"/>
        <v/>
      </c>
    </row>
    <row r="1718" spans="2:53">
      <c r="B1718" s="60">
        <f>[2]Trucks!A1715</f>
        <v>0</v>
      </c>
      <c r="C1718" s="11">
        <f>[2]Trucks!B1715</f>
        <v>0</v>
      </c>
      <c r="D1718" s="19" t="str">
        <f>IFERROR(VLOOKUP(C1718&amp;"",'[2]Retail Price List'!$A$3:$B$103,2,FALSE),"Special Order")</f>
        <v>Special Order</v>
      </c>
      <c r="E1718" s="18">
        <f>[2]Trucks!J1715</f>
        <v>0</v>
      </c>
      <c r="F1718" s="12">
        <f>[2]Trucks!E1715</f>
        <v>0</v>
      </c>
      <c r="G1718" s="56">
        <f>[2]Trucks!K1715</f>
        <v>0</v>
      </c>
      <c r="H1718" s="46">
        <f>[2]Trucks!I1715</f>
        <v>0</v>
      </c>
      <c r="I1718" s="83" t="str">
        <f t="shared" si="130"/>
        <v/>
      </c>
      <c r="J1718" s="272" t="str">
        <f>IFERROR(VLOOKUP((D1718&amp;C1718)&amp;"",'[2]Retail Price List'!$C$4:$F$102,3,FALSE),"")</f>
        <v/>
      </c>
      <c r="K1718" s="272">
        <f>IFERROR(IF(BA1718="WIP - 30 Days",VLOOKUP(D1718,[3]Standard!$B$9:$E$101,4,FALSE),IF(BA1718="31-120 Days",VLOOKUP(D1718,[3]Standard!$B$9:$F$101,5,FALSE),IF(BA1718="121-365 Days",VLOOKUP(D1718,[3]Standard!$B$9:$G$101,6,FALSE),VLOOKUP(D1718,[3]Standard!$B$9:$H$101,7,FALSE)))),0)</f>
        <v>0</v>
      </c>
      <c r="L1718" s="272">
        <f>IFERROR(IF(BA1718="WIP - 30 Days",VLOOKUP(D1718,[3]Standard!$B$9:$J$101,9,FALSE),IF(BA1718="31-120 Days",VLOOKUP(D1718,[3]Standard!$B$9:$K$100,10,FALSE),IF(BA1718="121-365 Days",VLOOKUP(D1718,[3]Standard!$B$9:$L$101,11,FALSE),VLOOKUP(D1718,[3]Standard!$B$9:$M$101,12,FALSE)))),0)</f>
        <v>0</v>
      </c>
      <c r="M1718" s="269" t="str">
        <f>IFERROR(VLOOKUP((D1718&amp;C1718)&amp;"",'[2]Retail Price List'!$C$4:$F$102,4,FALSE),"")</f>
        <v/>
      </c>
      <c r="N1718" s="269">
        <f>IFERROR(IF(BA1718="WIP - 30 Days",VLOOKUP(D1718,[3]Extended!$B$9:$E$101,4,FALSE),IF(BA1718="31-120 Days",VLOOKUP(D1718,[3]Extended!$B$9:$F$101,5,FALSE),IF(BA1718="121-365 Days",VLOOKUP(D1718,[3]Extended!$B$9:$G$101,6,FALSE),VLOOKUP(D1718,[3]Extended!$B$9:$H$101,7,FALSE)))),0)</f>
        <v>0</v>
      </c>
      <c r="O1718" s="269">
        <f>IFERROR(IF(BA1718="WIP - 30 Days",VLOOKUP(D1718,[3]Extended!$B$9:$J$101,9,FALSE),IF(BA1718="31-120 Days",VLOOKUP(D1718,[3]Extended!$B$9:$K$101,10,FALSE),IF(BA1718="121-365 Days",VLOOKUP(D1718,[3]Extended!$B$9:$L$101,11,FALSE),VLOOKUP(D1718,[3]Extended!$B$9:$M$101,12,FALSE)))),0)</f>
        <v>0</v>
      </c>
      <c r="P1718" s="116" t="e">
        <f t="shared" si="131"/>
        <v>#VALUE!</v>
      </c>
      <c r="Q1718" s="110" t="e">
        <f>O1718-#REF!</f>
        <v>#REF!</v>
      </c>
      <c r="AT1718" s="88" t="str">
        <f t="shared" si="132"/>
        <v>Special Order0</v>
      </c>
      <c r="AU1718" s="89" t="str">
        <f t="shared" si="133"/>
        <v>01-1900</v>
      </c>
      <c r="BA1718" s="92" t="str">
        <f t="shared" si="134"/>
        <v/>
      </c>
    </row>
    <row r="1719" spans="2:53">
      <c r="B1719" s="60">
        <f>[2]Trucks!A1716</f>
        <v>0</v>
      </c>
      <c r="C1719" s="11">
        <f>[2]Trucks!B1716</f>
        <v>0</v>
      </c>
      <c r="D1719" s="19" t="str">
        <f>IFERROR(VLOOKUP(C1719&amp;"",'[2]Retail Price List'!$A$3:$B$103,2,FALSE),"Special Order")</f>
        <v>Special Order</v>
      </c>
      <c r="E1719" s="18">
        <f>[2]Trucks!J1716</f>
        <v>0</v>
      </c>
      <c r="F1719" s="12">
        <f>[2]Trucks!E1716</f>
        <v>0</v>
      </c>
      <c r="G1719" s="56">
        <f>[2]Trucks!K1716</f>
        <v>0</v>
      </c>
      <c r="H1719" s="46">
        <f>[2]Trucks!I1716</f>
        <v>0</v>
      </c>
      <c r="I1719" s="83" t="str">
        <f t="shared" si="130"/>
        <v/>
      </c>
      <c r="J1719" s="272" t="str">
        <f>IFERROR(VLOOKUP((D1719&amp;C1719)&amp;"",'[2]Retail Price List'!$C$4:$F$102,3,FALSE),"")</f>
        <v/>
      </c>
      <c r="K1719" s="272">
        <f>IFERROR(IF(BA1719="WIP - 30 Days",VLOOKUP(D1719,[3]Standard!$B$9:$E$101,4,FALSE),IF(BA1719="31-120 Days",VLOOKUP(D1719,[3]Standard!$B$9:$F$101,5,FALSE),IF(BA1719="121-365 Days",VLOOKUP(D1719,[3]Standard!$B$9:$G$101,6,FALSE),VLOOKUP(D1719,[3]Standard!$B$9:$H$101,7,FALSE)))),0)</f>
        <v>0</v>
      </c>
      <c r="L1719" s="272">
        <f>IFERROR(IF(BA1719="WIP - 30 Days",VLOOKUP(D1719,[3]Standard!$B$9:$J$101,9,FALSE),IF(BA1719="31-120 Days",VLOOKUP(D1719,[3]Standard!$B$9:$K$100,10,FALSE),IF(BA1719="121-365 Days",VLOOKUP(D1719,[3]Standard!$B$9:$L$101,11,FALSE),VLOOKUP(D1719,[3]Standard!$B$9:$M$101,12,FALSE)))),0)</f>
        <v>0</v>
      </c>
      <c r="M1719" s="269" t="str">
        <f>IFERROR(VLOOKUP((D1719&amp;C1719)&amp;"",'[2]Retail Price List'!$C$4:$F$102,4,FALSE),"")</f>
        <v/>
      </c>
      <c r="N1719" s="269">
        <f>IFERROR(IF(BA1719="WIP - 30 Days",VLOOKUP(D1719,[3]Extended!$B$9:$E$101,4,FALSE),IF(BA1719="31-120 Days",VLOOKUP(D1719,[3]Extended!$B$9:$F$101,5,FALSE),IF(BA1719="121-365 Days",VLOOKUP(D1719,[3]Extended!$B$9:$G$101,6,FALSE),VLOOKUP(D1719,[3]Extended!$B$9:$H$101,7,FALSE)))),0)</f>
        <v>0</v>
      </c>
      <c r="O1719" s="269">
        <f>IFERROR(IF(BA1719="WIP - 30 Days",VLOOKUP(D1719,[3]Extended!$B$9:$J$101,9,FALSE),IF(BA1719="31-120 Days",VLOOKUP(D1719,[3]Extended!$B$9:$K$101,10,FALSE),IF(BA1719="121-365 Days",VLOOKUP(D1719,[3]Extended!$B$9:$L$101,11,FALSE),VLOOKUP(D1719,[3]Extended!$B$9:$M$101,12,FALSE)))),0)</f>
        <v>0</v>
      </c>
      <c r="P1719" s="116" t="e">
        <f t="shared" si="131"/>
        <v>#VALUE!</v>
      </c>
      <c r="Q1719" s="110" t="e">
        <f>O1719-#REF!</f>
        <v>#REF!</v>
      </c>
      <c r="AT1719" s="88" t="str">
        <f t="shared" si="132"/>
        <v>Special Order0</v>
      </c>
      <c r="AU1719" s="89" t="str">
        <f t="shared" si="133"/>
        <v>01-1900</v>
      </c>
      <c r="BA1719" s="92" t="str">
        <f t="shared" si="134"/>
        <v/>
      </c>
    </row>
    <row r="1720" spans="2:53">
      <c r="B1720" s="60">
        <f>[2]Trucks!A1717</f>
        <v>0</v>
      </c>
      <c r="C1720" s="11">
        <f>[2]Trucks!B1717</f>
        <v>0</v>
      </c>
      <c r="D1720" s="19" t="str">
        <f>IFERROR(VLOOKUP(C1720&amp;"",'[2]Retail Price List'!$A$3:$B$103,2,FALSE),"Special Order")</f>
        <v>Special Order</v>
      </c>
      <c r="E1720" s="18">
        <f>[2]Trucks!J1717</f>
        <v>0</v>
      </c>
      <c r="F1720" s="12">
        <f>[2]Trucks!E1717</f>
        <v>0</v>
      </c>
      <c r="G1720" s="56">
        <f>[2]Trucks!K1717</f>
        <v>0</v>
      </c>
      <c r="H1720" s="46">
        <f>[2]Trucks!I1717</f>
        <v>0</v>
      </c>
      <c r="I1720" s="83" t="str">
        <f t="shared" si="130"/>
        <v/>
      </c>
      <c r="J1720" s="272" t="str">
        <f>IFERROR(VLOOKUP((D1720&amp;C1720)&amp;"",'[2]Retail Price List'!$C$4:$F$102,3,FALSE),"")</f>
        <v/>
      </c>
      <c r="K1720" s="272">
        <f>IFERROR(IF(BA1720="WIP - 30 Days",VLOOKUP(D1720,[3]Standard!$B$9:$E$101,4,FALSE),IF(BA1720="31-120 Days",VLOOKUP(D1720,[3]Standard!$B$9:$F$101,5,FALSE),IF(BA1720="121-365 Days",VLOOKUP(D1720,[3]Standard!$B$9:$G$101,6,FALSE),VLOOKUP(D1720,[3]Standard!$B$9:$H$101,7,FALSE)))),0)</f>
        <v>0</v>
      </c>
      <c r="L1720" s="272">
        <f>IFERROR(IF(BA1720="WIP - 30 Days",VLOOKUP(D1720,[3]Standard!$B$9:$J$101,9,FALSE),IF(BA1720="31-120 Days",VLOOKUP(D1720,[3]Standard!$B$9:$K$100,10,FALSE),IF(BA1720="121-365 Days",VLOOKUP(D1720,[3]Standard!$B$9:$L$101,11,FALSE),VLOOKUP(D1720,[3]Standard!$B$9:$M$101,12,FALSE)))),0)</f>
        <v>0</v>
      </c>
      <c r="M1720" s="269" t="str">
        <f>IFERROR(VLOOKUP((D1720&amp;C1720)&amp;"",'[2]Retail Price List'!$C$4:$F$102,4,FALSE),"")</f>
        <v/>
      </c>
      <c r="N1720" s="269">
        <f>IFERROR(IF(BA1720="WIP - 30 Days",VLOOKUP(D1720,[3]Extended!$B$9:$E$101,4,FALSE),IF(BA1720="31-120 Days",VLOOKUP(D1720,[3]Extended!$B$9:$F$101,5,FALSE),IF(BA1720="121-365 Days",VLOOKUP(D1720,[3]Extended!$B$9:$G$101,6,FALSE),VLOOKUP(D1720,[3]Extended!$B$9:$H$101,7,FALSE)))),0)</f>
        <v>0</v>
      </c>
      <c r="O1720" s="269">
        <f>IFERROR(IF(BA1720="WIP - 30 Days",VLOOKUP(D1720,[3]Extended!$B$9:$J$101,9,FALSE),IF(BA1720="31-120 Days",VLOOKUP(D1720,[3]Extended!$B$9:$K$101,10,FALSE),IF(BA1720="121-365 Days",VLOOKUP(D1720,[3]Extended!$B$9:$L$101,11,FALSE),VLOOKUP(D1720,[3]Extended!$B$9:$M$101,12,FALSE)))),0)</f>
        <v>0</v>
      </c>
      <c r="P1720" s="116" t="e">
        <f t="shared" si="131"/>
        <v>#VALUE!</v>
      </c>
      <c r="Q1720" s="110" t="e">
        <f>O1720-#REF!</f>
        <v>#REF!</v>
      </c>
      <c r="AT1720" s="88" t="str">
        <f t="shared" si="132"/>
        <v>Special Order0</v>
      </c>
      <c r="AU1720" s="89" t="str">
        <f t="shared" si="133"/>
        <v>01-1900</v>
      </c>
      <c r="BA1720" s="92" t="str">
        <f t="shared" si="134"/>
        <v/>
      </c>
    </row>
    <row r="1721" spans="2:53">
      <c r="B1721" s="60">
        <f>[2]Trucks!A1718</f>
        <v>0</v>
      </c>
      <c r="C1721" s="11">
        <f>[2]Trucks!B1718</f>
        <v>0</v>
      </c>
      <c r="D1721" s="19" t="str">
        <f>IFERROR(VLOOKUP(C1721&amp;"",'[2]Retail Price List'!$A$3:$B$103,2,FALSE),"Special Order")</f>
        <v>Special Order</v>
      </c>
      <c r="E1721" s="18">
        <f>[2]Trucks!J1718</f>
        <v>0</v>
      </c>
      <c r="F1721" s="12">
        <f>[2]Trucks!E1718</f>
        <v>0</v>
      </c>
      <c r="G1721" s="56">
        <f>[2]Trucks!K1718</f>
        <v>0</v>
      </c>
      <c r="H1721" s="46">
        <f>[2]Trucks!I1718</f>
        <v>0</v>
      </c>
      <c r="I1721" s="83" t="str">
        <f t="shared" si="130"/>
        <v/>
      </c>
      <c r="J1721" s="272" t="str">
        <f>IFERROR(VLOOKUP((D1721&amp;C1721)&amp;"",'[2]Retail Price List'!$C$4:$F$102,3,FALSE),"")</f>
        <v/>
      </c>
      <c r="K1721" s="272">
        <f>IFERROR(IF(BA1721="WIP - 30 Days",VLOOKUP(D1721,[3]Standard!$B$9:$E$101,4,FALSE),IF(BA1721="31-120 Days",VLOOKUP(D1721,[3]Standard!$B$9:$F$101,5,FALSE),IF(BA1721="121-365 Days",VLOOKUP(D1721,[3]Standard!$B$9:$G$101,6,FALSE),VLOOKUP(D1721,[3]Standard!$B$9:$H$101,7,FALSE)))),0)</f>
        <v>0</v>
      </c>
      <c r="L1721" s="272">
        <f>IFERROR(IF(BA1721="WIP - 30 Days",VLOOKUP(D1721,[3]Standard!$B$9:$J$101,9,FALSE),IF(BA1721="31-120 Days",VLOOKUP(D1721,[3]Standard!$B$9:$K$100,10,FALSE),IF(BA1721="121-365 Days",VLOOKUP(D1721,[3]Standard!$B$9:$L$101,11,FALSE),VLOOKUP(D1721,[3]Standard!$B$9:$M$101,12,FALSE)))),0)</f>
        <v>0</v>
      </c>
      <c r="M1721" s="269" t="str">
        <f>IFERROR(VLOOKUP((D1721&amp;C1721)&amp;"",'[2]Retail Price List'!$C$4:$F$102,4,FALSE),"")</f>
        <v/>
      </c>
      <c r="N1721" s="269">
        <f>IFERROR(IF(BA1721="WIP - 30 Days",VLOOKUP(D1721,[3]Extended!$B$9:$E$101,4,FALSE),IF(BA1721="31-120 Days",VLOOKUP(D1721,[3]Extended!$B$9:$F$101,5,FALSE),IF(BA1721="121-365 Days",VLOOKUP(D1721,[3]Extended!$B$9:$G$101,6,FALSE),VLOOKUP(D1721,[3]Extended!$B$9:$H$101,7,FALSE)))),0)</f>
        <v>0</v>
      </c>
      <c r="O1721" s="269">
        <f>IFERROR(IF(BA1721="WIP - 30 Days",VLOOKUP(D1721,[3]Extended!$B$9:$J$101,9,FALSE),IF(BA1721="31-120 Days",VLOOKUP(D1721,[3]Extended!$B$9:$K$101,10,FALSE),IF(BA1721="121-365 Days",VLOOKUP(D1721,[3]Extended!$B$9:$L$101,11,FALSE),VLOOKUP(D1721,[3]Extended!$B$9:$M$101,12,FALSE)))),0)</f>
        <v>0</v>
      </c>
      <c r="P1721" s="116" t="e">
        <f t="shared" si="131"/>
        <v>#VALUE!</v>
      </c>
      <c r="Q1721" s="110" t="e">
        <f>O1721-#REF!</f>
        <v>#REF!</v>
      </c>
      <c r="AT1721" s="88" t="str">
        <f t="shared" si="132"/>
        <v>Special Order0</v>
      </c>
      <c r="AU1721" s="89" t="str">
        <f t="shared" si="133"/>
        <v>01-1900</v>
      </c>
      <c r="BA1721" s="92" t="str">
        <f t="shared" si="134"/>
        <v/>
      </c>
    </row>
    <row r="1722" spans="2:53">
      <c r="B1722" s="60">
        <f>[2]Trucks!A1719</f>
        <v>0</v>
      </c>
      <c r="C1722" s="11">
        <f>[2]Trucks!B1719</f>
        <v>0</v>
      </c>
      <c r="D1722" s="19" t="str">
        <f>IFERROR(VLOOKUP(C1722&amp;"",'[2]Retail Price List'!$A$3:$B$103,2,FALSE),"Special Order")</f>
        <v>Special Order</v>
      </c>
      <c r="E1722" s="18">
        <f>[2]Trucks!J1719</f>
        <v>0</v>
      </c>
      <c r="F1722" s="12">
        <f>[2]Trucks!E1719</f>
        <v>0</v>
      </c>
      <c r="G1722" s="56">
        <f>[2]Trucks!K1719</f>
        <v>0</v>
      </c>
      <c r="H1722" s="46">
        <f>[2]Trucks!I1719</f>
        <v>0</v>
      </c>
      <c r="I1722" s="83" t="str">
        <f t="shared" si="130"/>
        <v/>
      </c>
      <c r="J1722" s="272" t="str">
        <f>IFERROR(VLOOKUP((D1722&amp;C1722)&amp;"",'[2]Retail Price List'!$C$4:$F$102,3,FALSE),"")</f>
        <v/>
      </c>
      <c r="K1722" s="272">
        <f>IFERROR(IF(BA1722="WIP - 30 Days",VLOOKUP(D1722,[3]Standard!$B$9:$E$101,4,FALSE),IF(BA1722="31-120 Days",VLOOKUP(D1722,[3]Standard!$B$9:$F$101,5,FALSE),IF(BA1722="121-365 Days",VLOOKUP(D1722,[3]Standard!$B$9:$G$101,6,FALSE),VLOOKUP(D1722,[3]Standard!$B$9:$H$101,7,FALSE)))),0)</f>
        <v>0</v>
      </c>
      <c r="L1722" s="272">
        <f>IFERROR(IF(BA1722="WIP - 30 Days",VLOOKUP(D1722,[3]Standard!$B$9:$J$101,9,FALSE),IF(BA1722="31-120 Days",VLOOKUP(D1722,[3]Standard!$B$9:$K$100,10,FALSE),IF(BA1722="121-365 Days",VLOOKUP(D1722,[3]Standard!$B$9:$L$101,11,FALSE),VLOOKUP(D1722,[3]Standard!$B$9:$M$101,12,FALSE)))),0)</f>
        <v>0</v>
      </c>
      <c r="M1722" s="269" t="str">
        <f>IFERROR(VLOOKUP((D1722&amp;C1722)&amp;"",'[2]Retail Price List'!$C$4:$F$102,4,FALSE),"")</f>
        <v/>
      </c>
      <c r="N1722" s="269">
        <f>IFERROR(IF(BA1722="WIP - 30 Days",VLOOKUP(D1722,[3]Extended!$B$9:$E$101,4,FALSE),IF(BA1722="31-120 Days",VLOOKUP(D1722,[3]Extended!$B$9:$F$101,5,FALSE),IF(BA1722="121-365 Days",VLOOKUP(D1722,[3]Extended!$B$9:$G$101,6,FALSE),VLOOKUP(D1722,[3]Extended!$B$9:$H$101,7,FALSE)))),0)</f>
        <v>0</v>
      </c>
      <c r="O1722" s="269">
        <f>IFERROR(IF(BA1722="WIP - 30 Days",VLOOKUP(D1722,[3]Extended!$B$9:$J$101,9,FALSE),IF(BA1722="31-120 Days",VLOOKUP(D1722,[3]Extended!$B$9:$K$101,10,FALSE),IF(BA1722="121-365 Days",VLOOKUP(D1722,[3]Extended!$B$9:$L$101,11,FALSE),VLOOKUP(D1722,[3]Extended!$B$9:$M$101,12,FALSE)))),0)</f>
        <v>0</v>
      </c>
      <c r="P1722" s="116" t="e">
        <f t="shared" si="131"/>
        <v>#VALUE!</v>
      </c>
      <c r="Q1722" s="110" t="e">
        <f>O1722-#REF!</f>
        <v>#REF!</v>
      </c>
      <c r="AT1722" s="88" t="str">
        <f t="shared" si="132"/>
        <v>Special Order0</v>
      </c>
      <c r="AU1722" s="89" t="str">
        <f t="shared" si="133"/>
        <v>01-1900</v>
      </c>
      <c r="BA1722" s="92" t="str">
        <f t="shared" si="134"/>
        <v/>
      </c>
    </row>
    <row r="1723" spans="2:53">
      <c r="B1723" s="60">
        <f>[2]Trucks!A1720</f>
        <v>0</v>
      </c>
      <c r="C1723" s="11">
        <f>[2]Trucks!B1720</f>
        <v>0</v>
      </c>
      <c r="D1723" s="19" t="str">
        <f>IFERROR(VLOOKUP(C1723&amp;"",'[2]Retail Price List'!$A$3:$B$103,2,FALSE),"Special Order")</f>
        <v>Special Order</v>
      </c>
      <c r="E1723" s="18">
        <f>[2]Trucks!J1720</f>
        <v>0</v>
      </c>
      <c r="F1723" s="12">
        <f>[2]Trucks!E1720</f>
        <v>0</v>
      </c>
      <c r="G1723" s="56">
        <f>[2]Trucks!K1720</f>
        <v>0</v>
      </c>
      <c r="H1723" s="46">
        <f>[2]Trucks!I1720</f>
        <v>0</v>
      </c>
      <c r="I1723" s="83" t="str">
        <f t="shared" si="130"/>
        <v/>
      </c>
      <c r="J1723" s="272" t="str">
        <f>IFERROR(VLOOKUP((D1723&amp;C1723)&amp;"",'[2]Retail Price List'!$C$4:$F$102,3,FALSE),"")</f>
        <v/>
      </c>
      <c r="K1723" s="272">
        <f>IFERROR(IF(BA1723="WIP - 30 Days",VLOOKUP(D1723,[3]Standard!$B$9:$E$101,4,FALSE),IF(BA1723="31-120 Days",VLOOKUP(D1723,[3]Standard!$B$9:$F$101,5,FALSE),IF(BA1723="121-365 Days",VLOOKUP(D1723,[3]Standard!$B$9:$G$101,6,FALSE),VLOOKUP(D1723,[3]Standard!$B$9:$H$101,7,FALSE)))),0)</f>
        <v>0</v>
      </c>
      <c r="L1723" s="272">
        <f>IFERROR(IF(BA1723="WIP - 30 Days",VLOOKUP(D1723,[3]Standard!$B$9:$J$101,9,FALSE),IF(BA1723="31-120 Days",VLOOKUP(D1723,[3]Standard!$B$9:$K$100,10,FALSE),IF(BA1723="121-365 Days",VLOOKUP(D1723,[3]Standard!$B$9:$L$101,11,FALSE),VLOOKUP(D1723,[3]Standard!$B$9:$M$101,12,FALSE)))),0)</f>
        <v>0</v>
      </c>
      <c r="M1723" s="269" t="str">
        <f>IFERROR(VLOOKUP((D1723&amp;C1723)&amp;"",'[2]Retail Price List'!$C$4:$F$102,4,FALSE),"")</f>
        <v/>
      </c>
      <c r="N1723" s="269">
        <f>IFERROR(IF(BA1723="WIP - 30 Days",VLOOKUP(D1723,[3]Extended!$B$9:$E$101,4,FALSE),IF(BA1723="31-120 Days",VLOOKUP(D1723,[3]Extended!$B$9:$F$101,5,FALSE),IF(BA1723="121-365 Days",VLOOKUP(D1723,[3]Extended!$B$9:$G$101,6,FALSE),VLOOKUP(D1723,[3]Extended!$B$9:$H$101,7,FALSE)))),0)</f>
        <v>0</v>
      </c>
      <c r="O1723" s="269">
        <f>IFERROR(IF(BA1723="WIP - 30 Days",VLOOKUP(D1723,[3]Extended!$B$9:$J$101,9,FALSE),IF(BA1723="31-120 Days",VLOOKUP(D1723,[3]Extended!$B$9:$K$101,10,FALSE),IF(BA1723="121-365 Days",VLOOKUP(D1723,[3]Extended!$B$9:$L$101,11,FALSE),VLOOKUP(D1723,[3]Extended!$B$9:$M$101,12,FALSE)))),0)</f>
        <v>0</v>
      </c>
      <c r="P1723" s="116" t="e">
        <f t="shared" si="131"/>
        <v>#VALUE!</v>
      </c>
      <c r="Q1723" s="110" t="e">
        <f>O1723-#REF!</f>
        <v>#REF!</v>
      </c>
      <c r="AT1723" s="88" t="str">
        <f t="shared" si="132"/>
        <v>Special Order0</v>
      </c>
      <c r="AU1723" s="89" t="str">
        <f t="shared" si="133"/>
        <v>01-1900</v>
      </c>
      <c r="BA1723" s="92" t="str">
        <f t="shared" si="134"/>
        <v/>
      </c>
    </row>
    <row r="1724" spans="2:53">
      <c r="B1724" s="60">
        <f>[2]Trucks!A1721</f>
        <v>0</v>
      </c>
      <c r="C1724" s="11">
        <f>[2]Trucks!B1721</f>
        <v>0</v>
      </c>
      <c r="D1724" s="19" t="str">
        <f>IFERROR(VLOOKUP(C1724&amp;"",'[2]Retail Price List'!$A$3:$B$103,2,FALSE),"Special Order")</f>
        <v>Special Order</v>
      </c>
      <c r="E1724" s="18">
        <f>[2]Trucks!J1721</f>
        <v>0</v>
      </c>
      <c r="F1724" s="12">
        <f>[2]Trucks!E1721</f>
        <v>0</v>
      </c>
      <c r="G1724" s="56">
        <f>[2]Trucks!K1721</f>
        <v>0</v>
      </c>
      <c r="H1724" s="46">
        <f>[2]Trucks!I1721</f>
        <v>0</v>
      </c>
      <c r="I1724" s="83" t="str">
        <f t="shared" si="130"/>
        <v/>
      </c>
      <c r="J1724" s="272" t="str">
        <f>IFERROR(VLOOKUP((D1724&amp;C1724)&amp;"",'[2]Retail Price List'!$C$4:$F$102,3,FALSE),"")</f>
        <v/>
      </c>
      <c r="K1724" s="272">
        <f>IFERROR(IF(BA1724="WIP - 30 Days",VLOOKUP(D1724,[3]Standard!$B$9:$E$101,4,FALSE),IF(BA1724="31-120 Days",VLOOKUP(D1724,[3]Standard!$B$9:$F$101,5,FALSE),IF(BA1724="121-365 Days",VLOOKUP(D1724,[3]Standard!$B$9:$G$101,6,FALSE),VLOOKUP(D1724,[3]Standard!$B$9:$H$101,7,FALSE)))),0)</f>
        <v>0</v>
      </c>
      <c r="L1724" s="272">
        <f>IFERROR(IF(BA1724="WIP - 30 Days",VLOOKUP(D1724,[3]Standard!$B$9:$J$101,9,FALSE),IF(BA1724="31-120 Days",VLOOKUP(D1724,[3]Standard!$B$9:$K$100,10,FALSE),IF(BA1724="121-365 Days",VLOOKUP(D1724,[3]Standard!$B$9:$L$101,11,FALSE),VLOOKUP(D1724,[3]Standard!$B$9:$M$101,12,FALSE)))),0)</f>
        <v>0</v>
      </c>
      <c r="M1724" s="269" t="str">
        <f>IFERROR(VLOOKUP((D1724&amp;C1724)&amp;"",'[2]Retail Price List'!$C$4:$F$102,4,FALSE),"")</f>
        <v/>
      </c>
      <c r="N1724" s="269">
        <f>IFERROR(IF(BA1724="WIP - 30 Days",VLOOKUP(D1724,[3]Extended!$B$9:$E$101,4,FALSE),IF(BA1724="31-120 Days",VLOOKUP(D1724,[3]Extended!$B$9:$F$101,5,FALSE),IF(BA1724="121-365 Days",VLOOKUP(D1724,[3]Extended!$B$9:$G$101,6,FALSE),VLOOKUP(D1724,[3]Extended!$B$9:$H$101,7,FALSE)))),0)</f>
        <v>0</v>
      </c>
      <c r="O1724" s="269">
        <f>IFERROR(IF(BA1724="WIP - 30 Days",VLOOKUP(D1724,[3]Extended!$B$9:$J$101,9,FALSE),IF(BA1724="31-120 Days",VLOOKUP(D1724,[3]Extended!$B$9:$K$101,10,FALSE),IF(BA1724="121-365 Days",VLOOKUP(D1724,[3]Extended!$B$9:$L$101,11,FALSE),VLOOKUP(D1724,[3]Extended!$B$9:$M$101,12,FALSE)))),0)</f>
        <v>0</v>
      </c>
      <c r="P1724" s="116" t="e">
        <f t="shared" si="131"/>
        <v>#VALUE!</v>
      </c>
      <c r="Q1724" s="110" t="e">
        <f>O1724-#REF!</f>
        <v>#REF!</v>
      </c>
      <c r="AT1724" s="88" t="str">
        <f t="shared" si="132"/>
        <v>Special Order0</v>
      </c>
      <c r="AU1724" s="89" t="str">
        <f t="shared" si="133"/>
        <v>01-1900</v>
      </c>
      <c r="BA1724" s="92" t="str">
        <f t="shared" si="134"/>
        <v/>
      </c>
    </row>
    <row r="1725" spans="2:53">
      <c r="B1725" s="60">
        <f>[2]Trucks!A1722</f>
        <v>0</v>
      </c>
      <c r="C1725" s="11">
        <f>[2]Trucks!B1722</f>
        <v>0</v>
      </c>
      <c r="D1725" s="19" t="str">
        <f>IFERROR(VLOOKUP(C1725&amp;"",'[2]Retail Price List'!$A$3:$B$103,2,FALSE),"Special Order")</f>
        <v>Special Order</v>
      </c>
      <c r="E1725" s="18">
        <f>[2]Trucks!J1722</f>
        <v>0</v>
      </c>
      <c r="F1725" s="12">
        <f>[2]Trucks!E1722</f>
        <v>0</v>
      </c>
      <c r="G1725" s="56">
        <f>[2]Trucks!K1722</f>
        <v>0</v>
      </c>
      <c r="H1725" s="46">
        <f>[2]Trucks!I1722</f>
        <v>0</v>
      </c>
      <c r="I1725" s="83" t="str">
        <f t="shared" si="130"/>
        <v/>
      </c>
      <c r="J1725" s="272" t="str">
        <f>IFERROR(VLOOKUP((D1725&amp;C1725)&amp;"",'[2]Retail Price List'!$C$4:$F$102,3,FALSE),"")</f>
        <v/>
      </c>
      <c r="K1725" s="272">
        <f>IFERROR(IF(BA1725="WIP - 30 Days",VLOOKUP(D1725,[3]Standard!$B$9:$E$101,4,FALSE),IF(BA1725="31-120 Days",VLOOKUP(D1725,[3]Standard!$B$9:$F$101,5,FALSE),IF(BA1725="121-365 Days",VLOOKUP(D1725,[3]Standard!$B$9:$G$101,6,FALSE),VLOOKUP(D1725,[3]Standard!$B$9:$H$101,7,FALSE)))),0)</f>
        <v>0</v>
      </c>
      <c r="L1725" s="272">
        <f>IFERROR(IF(BA1725="WIP - 30 Days",VLOOKUP(D1725,[3]Standard!$B$9:$J$101,9,FALSE),IF(BA1725="31-120 Days",VLOOKUP(D1725,[3]Standard!$B$9:$K$100,10,FALSE),IF(BA1725="121-365 Days",VLOOKUP(D1725,[3]Standard!$B$9:$L$101,11,FALSE),VLOOKUP(D1725,[3]Standard!$B$9:$M$101,12,FALSE)))),0)</f>
        <v>0</v>
      </c>
      <c r="M1725" s="269" t="str">
        <f>IFERROR(VLOOKUP((D1725&amp;C1725)&amp;"",'[2]Retail Price List'!$C$4:$F$102,4,FALSE),"")</f>
        <v/>
      </c>
      <c r="N1725" s="269">
        <f>IFERROR(IF(BA1725="WIP - 30 Days",VLOOKUP(D1725,[3]Extended!$B$9:$E$101,4,FALSE),IF(BA1725="31-120 Days",VLOOKUP(D1725,[3]Extended!$B$9:$F$101,5,FALSE),IF(BA1725="121-365 Days",VLOOKUP(D1725,[3]Extended!$B$9:$G$101,6,FALSE),VLOOKUP(D1725,[3]Extended!$B$9:$H$101,7,FALSE)))),0)</f>
        <v>0</v>
      </c>
      <c r="O1725" s="269">
        <f>IFERROR(IF(BA1725="WIP - 30 Days",VLOOKUP(D1725,[3]Extended!$B$9:$J$101,9,FALSE),IF(BA1725="31-120 Days",VLOOKUP(D1725,[3]Extended!$B$9:$K$101,10,FALSE),IF(BA1725="121-365 Days",VLOOKUP(D1725,[3]Extended!$B$9:$L$101,11,FALSE),VLOOKUP(D1725,[3]Extended!$B$9:$M$101,12,FALSE)))),0)</f>
        <v>0</v>
      </c>
      <c r="P1725" s="116" t="e">
        <f t="shared" si="131"/>
        <v>#VALUE!</v>
      </c>
      <c r="Q1725" s="110" t="e">
        <f>O1725-#REF!</f>
        <v>#REF!</v>
      </c>
      <c r="AT1725" s="88" t="str">
        <f t="shared" si="132"/>
        <v>Special Order0</v>
      </c>
      <c r="AU1725" s="89" t="str">
        <f t="shared" si="133"/>
        <v>01-1900</v>
      </c>
      <c r="BA1725" s="92" t="str">
        <f t="shared" si="134"/>
        <v/>
      </c>
    </row>
    <row r="1726" spans="2:53">
      <c r="B1726" s="60">
        <f>[2]Trucks!A1723</f>
        <v>0</v>
      </c>
      <c r="C1726" s="11">
        <f>[2]Trucks!B1723</f>
        <v>0</v>
      </c>
      <c r="D1726" s="19" t="str">
        <f>IFERROR(VLOOKUP(C1726&amp;"",'[2]Retail Price List'!$A$3:$B$103,2,FALSE),"Special Order")</f>
        <v>Special Order</v>
      </c>
      <c r="E1726" s="18">
        <f>[2]Trucks!J1723</f>
        <v>0</v>
      </c>
      <c r="F1726" s="12">
        <f>[2]Trucks!E1723</f>
        <v>0</v>
      </c>
      <c r="G1726" s="56">
        <f>[2]Trucks!K1723</f>
        <v>0</v>
      </c>
      <c r="H1726" s="46">
        <f>[2]Trucks!I1723</f>
        <v>0</v>
      </c>
      <c r="I1726" s="83" t="str">
        <f t="shared" si="130"/>
        <v/>
      </c>
      <c r="J1726" s="272" t="str">
        <f>IFERROR(VLOOKUP((D1726&amp;C1726)&amp;"",'[2]Retail Price List'!$C$4:$F$102,3,FALSE),"")</f>
        <v/>
      </c>
      <c r="K1726" s="272">
        <f>IFERROR(IF(BA1726="WIP - 30 Days",VLOOKUP(D1726,[3]Standard!$B$9:$E$101,4,FALSE),IF(BA1726="31-120 Days",VLOOKUP(D1726,[3]Standard!$B$9:$F$101,5,FALSE),IF(BA1726="121-365 Days",VLOOKUP(D1726,[3]Standard!$B$9:$G$101,6,FALSE),VLOOKUP(D1726,[3]Standard!$B$9:$H$101,7,FALSE)))),0)</f>
        <v>0</v>
      </c>
      <c r="L1726" s="272">
        <f>IFERROR(IF(BA1726="WIP - 30 Days",VLOOKUP(D1726,[3]Standard!$B$9:$J$101,9,FALSE),IF(BA1726="31-120 Days",VLOOKUP(D1726,[3]Standard!$B$9:$K$100,10,FALSE),IF(BA1726="121-365 Days",VLOOKUP(D1726,[3]Standard!$B$9:$L$101,11,FALSE),VLOOKUP(D1726,[3]Standard!$B$9:$M$101,12,FALSE)))),0)</f>
        <v>0</v>
      </c>
      <c r="M1726" s="269" t="str">
        <f>IFERROR(VLOOKUP((D1726&amp;C1726)&amp;"",'[2]Retail Price List'!$C$4:$F$102,4,FALSE),"")</f>
        <v/>
      </c>
      <c r="N1726" s="269">
        <f>IFERROR(IF(BA1726="WIP - 30 Days",VLOOKUP(D1726,[3]Extended!$B$9:$E$101,4,FALSE),IF(BA1726="31-120 Days",VLOOKUP(D1726,[3]Extended!$B$9:$F$101,5,FALSE),IF(BA1726="121-365 Days",VLOOKUP(D1726,[3]Extended!$B$9:$G$101,6,FALSE),VLOOKUP(D1726,[3]Extended!$B$9:$H$101,7,FALSE)))),0)</f>
        <v>0</v>
      </c>
      <c r="O1726" s="269">
        <f>IFERROR(IF(BA1726="WIP - 30 Days",VLOOKUP(D1726,[3]Extended!$B$9:$J$101,9,FALSE),IF(BA1726="31-120 Days",VLOOKUP(D1726,[3]Extended!$B$9:$K$101,10,FALSE),IF(BA1726="121-365 Days",VLOOKUP(D1726,[3]Extended!$B$9:$L$101,11,FALSE),VLOOKUP(D1726,[3]Extended!$B$9:$M$101,12,FALSE)))),0)</f>
        <v>0</v>
      </c>
      <c r="P1726" s="116" t="e">
        <f t="shared" si="131"/>
        <v>#VALUE!</v>
      </c>
      <c r="Q1726" s="110" t="e">
        <f>O1726-#REF!</f>
        <v>#REF!</v>
      </c>
      <c r="AT1726" s="88" t="str">
        <f t="shared" si="132"/>
        <v>Special Order0</v>
      </c>
      <c r="AU1726" s="89" t="str">
        <f t="shared" si="133"/>
        <v>01-1900</v>
      </c>
      <c r="BA1726" s="92" t="str">
        <f t="shared" si="134"/>
        <v/>
      </c>
    </row>
    <row r="1727" spans="2:53">
      <c r="B1727" s="60">
        <f>[2]Trucks!A1724</f>
        <v>0</v>
      </c>
      <c r="C1727" s="11">
        <f>[2]Trucks!B1724</f>
        <v>0</v>
      </c>
      <c r="D1727" s="19" t="str">
        <f>IFERROR(VLOOKUP(C1727&amp;"",'[2]Retail Price List'!$A$3:$B$103,2,FALSE),"Special Order")</f>
        <v>Special Order</v>
      </c>
      <c r="E1727" s="18">
        <f>[2]Trucks!J1724</f>
        <v>0</v>
      </c>
      <c r="F1727" s="12">
        <f>[2]Trucks!E1724</f>
        <v>0</v>
      </c>
      <c r="G1727" s="56">
        <f>[2]Trucks!K1724</f>
        <v>0</v>
      </c>
      <c r="H1727" s="46">
        <f>[2]Trucks!I1724</f>
        <v>0</v>
      </c>
      <c r="I1727" s="83" t="str">
        <f t="shared" si="130"/>
        <v/>
      </c>
      <c r="J1727" s="272" t="str">
        <f>IFERROR(VLOOKUP((D1727&amp;C1727)&amp;"",'[2]Retail Price List'!$C$4:$F$102,3,FALSE),"")</f>
        <v/>
      </c>
      <c r="K1727" s="272">
        <f>IFERROR(IF(BA1727="WIP - 30 Days",VLOOKUP(D1727,[3]Standard!$B$9:$E$101,4,FALSE),IF(BA1727="31-120 Days",VLOOKUP(D1727,[3]Standard!$B$9:$F$101,5,FALSE),IF(BA1727="121-365 Days",VLOOKUP(D1727,[3]Standard!$B$9:$G$101,6,FALSE),VLOOKUP(D1727,[3]Standard!$B$9:$H$101,7,FALSE)))),0)</f>
        <v>0</v>
      </c>
      <c r="L1727" s="272">
        <f>IFERROR(IF(BA1727="WIP - 30 Days",VLOOKUP(D1727,[3]Standard!$B$9:$J$101,9,FALSE),IF(BA1727="31-120 Days",VLOOKUP(D1727,[3]Standard!$B$9:$K$100,10,FALSE),IF(BA1727="121-365 Days",VLOOKUP(D1727,[3]Standard!$B$9:$L$101,11,FALSE),VLOOKUP(D1727,[3]Standard!$B$9:$M$101,12,FALSE)))),0)</f>
        <v>0</v>
      </c>
      <c r="M1727" s="269" t="str">
        <f>IFERROR(VLOOKUP((D1727&amp;C1727)&amp;"",'[2]Retail Price List'!$C$4:$F$102,4,FALSE),"")</f>
        <v/>
      </c>
      <c r="N1727" s="269">
        <f>IFERROR(IF(BA1727="WIP - 30 Days",VLOOKUP(D1727,[3]Extended!$B$9:$E$101,4,FALSE),IF(BA1727="31-120 Days",VLOOKUP(D1727,[3]Extended!$B$9:$F$101,5,FALSE),IF(BA1727="121-365 Days",VLOOKUP(D1727,[3]Extended!$B$9:$G$101,6,FALSE),VLOOKUP(D1727,[3]Extended!$B$9:$H$101,7,FALSE)))),0)</f>
        <v>0</v>
      </c>
      <c r="O1727" s="269">
        <f>IFERROR(IF(BA1727="WIP - 30 Days",VLOOKUP(D1727,[3]Extended!$B$9:$J$101,9,FALSE),IF(BA1727="31-120 Days",VLOOKUP(D1727,[3]Extended!$B$9:$K$101,10,FALSE),IF(BA1727="121-365 Days",VLOOKUP(D1727,[3]Extended!$B$9:$L$101,11,FALSE),VLOOKUP(D1727,[3]Extended!$B$9:$M$101,12,FALSE)))),0)</f>
        <v>0</v>
      </c>
      <c r="P1727" s="116" t="e">
        <f t="shared" si="131"/>
        <v>#VALUE!</v>
      </c>
      <c r="Q1727" s="110" t="e">
        <f>O1727-#REF!</f>
        <v>#REF!</v>
      </c>
      <c r="AT1727" s="88" t="str">
        <f t="shared" si="132"/>
        <v>Special Order0</v>
      </c>
      <c r="AU1727" s="89" t="str">
        <f t="shared" si="133"/>
        <v>01-1900</v>
      </c>
      <c r="BA1727" s="92" t="str">
        <f t="shared" si="134"/>
        <v/>
      </c>
    </row>
    <row r="1728" spans="2:53">
      <c r="B1728" s="60">
        <f>[2]Trucks!A1725</f>
        <v>0</v>
      </c>
      <c r="C1728" s="11">
        <f>[2]Trucks!B1725</f>
        <v>0</v>
      </c>
      <c r="D1728" s="19" t="str">
        <f>IFERROR(VLOOKUP(C1728&amp;"",'[2]Retail Price List'!$A$3:$B$103,2,FALSE),"Special Order")</f>
        <v>Special Order</v>
      </c>
      <c r="E1728" s="18">
        <f>[2]Trucks!J1725</f>
        <v>0</v>
      </c>
      <c r="F1728" s="12">
        <f>[2]Trucks!E1725</f>
        <v>0</v>
      </c>
      <c r="G1728" s="56">
        <f>[2]Trucks!K1725</f>
        <v>0</v>
      </c>
      <c r="H1728" s="46">
        <f>[2]Trucks!I1725</f>
        <v>0</v>
      </c>
      <c r="I1728" s="83" t="str">
        <f t="shared" si="130"/>
        <v/>
      </c>
      <c r="J1728" s="272" t="str">
        <f>IFERROR(VLOOKUP((D1728&amp;C1728)&amp;"",'[2]Retail Price List'!$C$4:$F$102,3,FALSE),"")</f>
        <v/>
      </c>
      <c r="K1728" s="272">
        <f>IFERROR(IF(BA1728="WIP - 30 Days",VLOOKUP(D1728,[3]Standard!$B$9:$E$101,4,FALSE),IF(BA1728="31-120 Days",VLOOKUP(D1728,[3]Standard!$B$9:$F$101,5,FALSE),IF(BA1728="121-365 Days",VLOOKUP(D1728,[3]Standard!$B$9:$G$101,6,FALSE),VLOOKUP(D1728,[3]Standard!$B$9:$H$101,7,FALSE)))),0)</f>
        <v>0</v>
      </c>
      <c r="L1728" s="272">
        <f>IFERROR(IF(BA1728="WIP - 30 Days",VLOOKUP(D1728,[3]Standard!$B$9:$J$101,9,FALSE),IF(BA1728="31-120 Days",VLOOKUP(D1728,[3]Standard!$B$9:$K$100,10,FALSE),IF(BA1728="121-365 Days",VLOOKUP(D1728,[3]Standard!$B$9:$L$101,11,FALSE),VLOOKUP(D1728,[3]Standard!$B$9:$M$101,12,FALSE)))),0)</f>
        <v>0</v>
      </c>
      <c r="M1728" s="269" t="str">
        <f>IFERROR(VLOOKUP((D1728&amp;C1728)&amp;"",'[2]Retail Price List'!$C$4:$F$102,4,FALSE),"")</f>
        <v/>
      </c>
      <c r="N1728" s="269">
        <f>IFERROR(IF(BA1728="WIP - 30 Days",VLOOKUP(D1728,[3]Extended!$B$9:$E$101,4,FALSE),IF(BA1728="31-120 Days",VLOOKUP(D1728,[3]Extended!$B$9:$F$101,5,FALSE),IF(BA1728="121-365 Days",VLOOKUP(D1728,[3]Extended!$B$9:$G$101,6,FALSE),VLOOKUP(D1728,[3]Extended!$B$9:$H$101,7,FALSE)))),0)</f>
        <v>0</v>
      </c>
      <c r="O1728" s="269">
        <f>IFERROR(IF(BA1728="WIP - 30 Days",VLOOKUP(D1728,[3]Extended!$B$9:$J$101,9,FALSE),IF(BA1728="31-120 Days",VLOOKUP(D1728,[3]Extended!$B$9:$K$101,10,FALSE),IF(BA1728="121-365 Days",VLOOKUP(D1728,[3]Extended!$B$9:$L$101,11,FALSE),VLOOKUP(D1728,[3]Extended!$B$9:$M$101,12,FALSE)))),0)</f>
        <v>0</v>
      </c>
      <c r="P1728" s="116" t="e">
        <f t="shared" si="131"/>
        <v>#VALUE!</v>
      </c>
      <c r="Q1728" s="110" t="e">
        <f>O1728-#REF!</f>
        <v>#REF!</v>
      </c>
      <c r="AT1728" s="88" t="str">
        <f t="shared" si="132"/>
        <v>Special Order0</v>
      </c>
      <c r="AU1728" s="89" t="str">
        <f t="shared" si="133"/>
        <v>01-1900</v>
      </c>
      <c r="BA1728" s="92" t="str">
        <f t="shared" si="134"/>
        <v/>
      </c>
    </row>
    <row r="1729" spans="2:53">
      <c r="B1729" s="60">
        <f>[2]Trucks!A1726</f>
        <v>0</v>
      </c>
      <c r="C1729" s="11">
        <f>[2]Trucks!B1726</f>
        <v>0</v>
      </c>
      <c r="D1729" s="19" t="str">
        <f>IFERROR(VLOOKUP(C1729&amp;"",'[2]Retail Price List'!$A$3:$B$103,2,FALSE),"Special Order")</f>
        <v>Special Order</v>
      </c>
      <c r="E1729" s="18">
        <f>[2]Trucks!J1726</f>
        <v>0</v>
      </c>
      <c r="F1729" s="12">
        <f>[2]Trucks!E1726</f>
        <v>0</v>
      </c>
      <c r="G1729" s="56">
        <f>[2]Trucks!K1726</f>
        <v>0</v>
      </c>
      <c r="H1729" s="46">
        <f>[2]Trucks!I1726</f>
        <v>0</v>
      </c>
      <c r="I1729" s="83" t="str">
        <f t="shared" si="130"/>
        <v/>
      </c>
      <c r="J1729" s="272" t="str">
        <f>IFERROR(VLOOKUP((D1729&amp;C1729)&amp;"",'[2]Retail Price List'!$C$4:$F$102,3,FALSE),"")</f>
        <v/>
      </c>
      <c r="K1729" s="272">
        <f>IFERROR(IF(BA1729="WIP - 30 Days",VLOOKUP(D1729,[3]Standard!$B$9:$E$101,4,FALSE),IF(BA1729="31-120 Days",VLOOKUP(D1729,[3]Standard!$B$9:$F$101,5,FALSE),IF(BA1729="121-365 Days",VLOOKUP(D1729,[3]Standard!$B$9:$G$101,6,FALSE),VLOOKUP(D1729,[3]Standard!$B$9:$H$101,7,FALSE)))),0)</f>
        <v>0</v>
      </c>
      <c r="L1729" s="272">
        <f>IFERROR(IF(BA1729="WIP - 30 Days",VLOOKUP(D1729,[3]Standard!$B$9:$J$101,9,FALSE),IF(BA1729="31-120 Days",VLOOKUP(D1729,[3]Standard!$B$9:$K$100,10,FALSE),IF(BA1729="121-365 Days",VLOOKUP(D1729,[3]Standard!$B$9:$L$101,11,FALSE),VLOOKUP(D1729,[3]Standard!$B$9:$M$101,12,FALSE)))),0)</f>
        <v>0</v>
      </c>
      <c r="M1729" s="269" t="str">
        <f>IFERROR(VLOOKUP((D1729&amp;C1729)&amp;"",'[2]Retail Price List'!$C$4:$F$102,4,FALSE),"")</f>
        <v/>
      </c>
      <c r="N1729" s="269">
        <f>IFERROR(IF(BA1729="WIP - 30 Days",VLOOKUP(D1729,[3]Extended!$B$9:$E$101,4,FALSE),IF(BA1729="31-120 Days",VLOOKUP(D1729,[3]Extended!$B$9:$F$101,5,FALSE),IF(BA1729="121-365 Days",VLOOKUP(D1729,[3]Extended!$B$9:$G$101,6,FALSE),VLOOKUP(D1729,[3]Extended!$B$9:$H$101,7,FALSE)))),0)</f>
        <v>0</v>
      </c>
      <c r="O1729" s="269">
        <f>IFERROR(IF(BA1729="WIP - 30 Days",VLOOKUP(D1729,[3]Extended!$B$9:$J$101,9,FALSE),IF(BA1729="31-120 Days",VLOOKUP(D1729,[3]Extended!$B$9:$K$101,10,FALSE),IF(BA1729="121-365 Days",VLOOKUP(D1729,[3]Extended!$B$9:$L$101,11,FALSE),VLOOKUP(D1729,[3]Extended!$B$9:$M$101,12,FALSE)))),0)</f>
        <v>0</v>
      </c>
      <c r="P1729" s="116" t="e">
        <f t="shared" si="131"/>
        <v>#VALUE!</v>
      </c>
      <c r="Q1729" s="110" t="e">
        <f>O1729-#REF!</f>
        <v>#REF!</v>
      </c>
      <c r="AT1729" s="88" t="str">
        <f t="shared" si="132"/>
        <v>Special Order0</v>
      </c>
      <c r="AU1729" s="89" t="str">
        <f t="shared" si="133"/>
        <v>01-1900</v>
      </c>
      <c r="BA1729" s="92" t="str">
        <f t="shared" si="134"/>
        <v/>
      </c>
    </row>
    <row r="1730" spans="2:53">
      <c r="B1730" s="60">
        <f>[2]Trucks!A1727</f>
        <v>0</v>
      </c>
      <c r="C1730" s="11">
        <f>[2]Trucks!B1727</f>
        <v>0</v>
      </c>
      <c r="D1730" s="19" t="str">
        <f>IFERROR(VLOOKUP(C1730&amp;"",'[2]Retail Price List'!$A$3:$B$103,2,FALSE),"Special Order")</f>
        <v>Special Order</v>
      </c>
      <c r="E1730" s="18">
        <f>[2]Trucks!J1727</f>
        <v>0</v>
      </c>
      <c r="F1730" s="12">
        <f>[2]Trucks!E1727</f>
        <v>0</v>
      </c>
      <c r="G1730" s="56">
        <f>[2]Trucks!K1727</f>
        <v>0</v>
      </c>
      <c r="H1730" s="46">
        <f>[2]Trucks!I1727</f>
        <v>0</v>
      </c>
      <c r="I1730" s="83" t="str">
        <f t="shared" si="130"/>
        <v/>
      </c>
      <c r="J1730" s="272" t="str">
        <f>IFERROR(VLOOKUP((D1730&amp;C1730)&amp;"",'[2]Retail Price List'!$C$4:$F$102,3,FALSE),"")</f>
        <v/>
      </c>
      <c r="K1730" s="272">
        <f>IFERROR(IF(BA1730="WIP - 30 Days",VLOOKUP(D1730,[3]Standard!$B$9:$E$101,4,FALSE),IF(BA1730="31-120 Days",VLOOKUP(D1730,[3]Standard!$B$9:$F$101,5,FALSE),IF(BA1730="121-365 Days",VLOOKUP(D1730,[3]Standard!$B$9:$G$101,6,FALSE),VLOOKUP(D1730,[3]Standard!$B$9:$H$101,7,FALSE)))),0)</f>
        <v>0</v>
      </c>
      <c r="L1730" s="272">
        <f>IFERROR(IF(BA1730="WIP - 30 Days",VLOOKUP(D1730,[3]Standard!$B$9:$J$101,9,FALSE),IF(BA1730="31-120 Days",VLOOKUP(D1730,[3]Standard!$B$9:$K$100,10,FALSE),IF(BA1730="121-365 Days",VLOOKUP(D1730,[3]Standard!$B$9:$L$101,11,FALSE),VLOOKUP(D1730,[3]Standard!$B$9:$M$101,12,FALSE)))),0)</f>
        <v>0</v>
      </c>
      <c r="M1730" s="269" t="str">
        <f>IFERROR(VLOOKUP((D1730&amp;C1730)&amp;"",'[2]Retail Price List'!$C$4:$F$102,4,FALSE),"")</f>
        <v/>
      </c>
      <c r="N1730" s="269">
        <f>IFERROR(IF(BA1730="WIP - 30 Days",VLOOKUP(D1730,[3]Extended!$B$9:$E$101,4,FALSE),IF(BA1730="31-120 Days",VLOOKUP(D1730,[3]Extended!$B$9:$F$101,5,FALSE),IF(BA1730="121-365 Days",VLOOKUP(D1730,[3]Extended!$B$9:$G$101,6,FALSE),VLOOKUP(D1730,[3]Extended!$B$9:$H$101,7,FALSE)))),0)</f>
        <v>0</v>
      </c>
      <c r="O1730" s="269">
        <f>IFERROR(IF(BA1730="WIP - 30 Days",VLOOKUP(D1730,[3]Extended!$B$9:$J$101,9,FALSE),IF(BA1730="31-120 Days",VLOOKUP(D1730,[3]Extended!$B$9:$K$101,10,FALSE),IF(BA1730="121-365 Days",VLOOKUP(D1730,[3]Extended!$B$9:$L$101,11,FALSE),VLOOKUP(D1730,[3]Extended!$B$9:$M$101,12,FALSE)))),0)</f>
        <v>0</v>
      </c>
      <c r="P1730" s="116" t="e">
        <f t="shared" si="131"/>
        <v>#VALUE!</v>
      </c>
      <c r="Q1730" s="110" t="e">
        <f>O1730-#REF!</f>
        <v>#REF!</v>
      </c>
      <c r="AT1730" s="88" t="str">
        <f t="shared" si="132"/>
        <v>Special Order0</v>
      </c>
      <c r="AU1730" s="89" t="str">
        <f t="shared" si="133"/>
        <v>01-1900</v>
      </c>
      <c r="BA1730" s="92" t="str">
        <f t="shared" si="134"/>
        <v/>
      </c>
    </row>
    <row r="1731" spans="2:53">
      <c r="B1731" s="60">
        <f>[2]Trucks!A1728</f>
        <v>0</v>
      </c>
      <c r="C1731" s="11">
        <f>[2]Trucks!B1728</f>
        <v>0</v>
      </c>
      <c r="D1731" s="19" t="str">
        <f>IFERROR(VLOOKUP(C1731&amp;"",'[2]Retail Price List'!$A$3:$B$103,2,FALSE),"Special Order")</f>
        <v>Special Order</v>
      </c>
      <c r="E1731" s="18">
        <f>[2]Trucks!J1728</f>
        <v>0</v>
      </c>
      <c r="F1731" s="12">
        <f>[2]Trucks!E1728</f>
        <v>0</v>
      </c>
      <c r="G1731" s="56">
        <f>[2]Trucks!K1728</f>
        <v>0</v>
      </c>
      <c r="H1731" s="46">
        <f>[2]Trucks!I1728</f>
        <v>0</v>
      </c>
      <c r="I1731" s="83" t="str">
        <f t="shared" si="130"/>
        <v/>
      </c>
      <c r="J1731" s="272" t="str">
        <f>IFERROR(VLOOKUP((D1731&amp;C1731)&amp;"",'[2]Retail Price List'!$C$4:$F$102,3,FALSE),"")</f>
        <v/>
      </c>
      <c r="K1731" s="272">
        <f>IFERROR(IF(BA1731="WIP - 30 Days",VLOOKUP(D1731,[3]Standard!$B$9:$E$101,4,FALSE),IF(BA1731="31-120 Days",VLOOKUP(D1731,[3]Standard!$B$9:$F$101,5,FALSE),IF(BA1731="121-365 Days",VLOOKUP(D1731,[3]Standard!$B$9:$G$101,6,FALSE),VLOOKUP(D1731,[3]Standard!$B$9:$H$101,7,FALSE)))),0)</f>
        <v>0</v>
      </c>
      <c r="L1731" s="272">
        <f>IFERROR(IF(BA1731="WIP - 30 Days",VLOOKUP(D1731,[3]Standard!$B$9:$J$101,9,FALSE),IF(BA1731="31-120 Days",VLOOKUP(D1731,[3]Standard!$B$9:$K$100,10,FALSE),IF(BA1731="121-365 Days",VLOOKUP(D1731,[3]Standard!$B$9:$L$101,11,FALSE),VLOOKUP(D1731,[3]Standard!$B$9:$M$101,12,FALSE)))),0)</f>
        <v>0</v>
      </c>
      <c r="M1731" s="269" t="str">
        <f>IFERROR(VLOOKUP((D1731&amp;C1731)&amp;"",'[2]Retail Price List'!$C$4:$F$102,4,FALSE),"")</f>
        <v/>
      </c>
      <c r="N1731" s="269">
        <f>IFERROR(IF(BA1731="WIP - 30 Days",VLOOKUP(D1731,[3]Extended!$B$9:$E$101,4,FALSE),IF(BA1731="31-120 Days",VLOOKUP(D1731,[3]Extended!$B$9:$F$101,5,FALSE),IF(BA1731="121-365 Days",VLOOKUP(D1731,[3]Extended!$B$9:$G$101,6,FALSE),VLOOKUP(D1731,[3]Extended!$B$9:$H$101,7,FALSE)))),0)</f>
        <v>0</v>
      </c>
      <c r="O1731" s="269">
        <f>IFERROR(IF(BA1731="WIP - 30 Days",VLOOKUP(D1731,[3]Extended!$B$9:$J$101,9,FALSE),IF(BA1731="31-120 Days",VLOOKUP(D1731,[3]Extended!$B$9:$K$101,10,FALSE),IF(BA1731="121-365 Days",VLOOKUP(D1731,[3]Extended!$B$9:$L$101,11,FALSE),VLOOKUP(D1731,[3]Extended!$B$9:$M$101,12,FALSE)))),0)</f>
        <v>0</v>
      </c>
      <c r="P1731" s="116" t="e">
        <f t="shared" si="131"/>
        <v>#VALUE!</v>
      </c>
      <c r="Q1731" s="110" t="e">
        <f>O1731-#REF!</f>
        <v>#REF!</v>
      </c>
      <c r="AT1731" s="88" t="str">
        <f t="shared" si="132"/>
        <v>Special Order0</v>
      </c>
      <c r="AU1731" s="89" t="str">
        <f t="shared" si="133"/>
        <v>01-1900</v>
      </c>
      <c r="BA1731" s="92" t="str">
        <f t="shared" si="134"/>
        <v/>
      </c>
    </row>
    <row r="1732" spans="2:53">
      <c r="B1732" s="60">
        <f>[2]Trucks!A1729</f>
        <v>0</v>
      </c>
      <c r="C1732" s="11">
        <f>[2]Trucks!B1729</f>
        <v>0</v>
      </c>
      <c r="D1732" s="19" t="str">
        <f>IFERROR(VLOOKUP(C1732&amp;"",'[2]Retail Price List'!$A$3:$B$103,2,FALSE),"Special Order")</f>
        <v>Special Order</v>
      </c>
      <c r="E1732" s="18">
        <f>[2]Trucks!J1729</f>
        <v>0</v>
      </c>
      <c r="F1732" s="12">
        <f>[2]Trucks!E1729</f>
        <v>0</v>
      </c>
      <c r="G1732" s="56">
        <f>[2]Trucks!K1729</f>
        <v>0</v>
      </c>
      <c r="H1732" s="46">
        <f>[2]Trucks!I1729</f>
        <v>0</v>
      </c>
      <c r="I1732" s="83" t="str">
        <f t="shared" si="130"/>
        <v/>
      </c>
      <c r="J1732" s="272" t="str">
        <f>IFERROR(VLOOKUP((D1732&amp;C1732)&amp;"",'[2]Retail Price List'!$C$4:$F$102,3,FALSE),"")</f>
        <v/>
      </c>
      <c r="K1732" s="272">
        <f>IFERROR(IF(BA1732="WIP - 30 Days",VLOOKUP(D1732,[3]Standard!$B$9:$E$101,4,FALSE),IF(BA1732="31-120 Days",VLOOKUP(D1732,[3]Standard!$B$9:$F$101,5,FALSE),IF(BA1732="121-365 Days",VLOOKUP(D1732,[3]Standard!$B$9:$G$101,6,FALSE),VLOOKUP(D1732,[3]Standard!$B$9:$H$101,7,FALSE)))),0)</f>
        <v>0</v>
      </c>
      <c r="L1732" s="272">
        <f>IFERROR(IF(BA1732="WIP - 30 Days",VLOOKUP(D1732,[3]Standard!$B$9:$J$101,9,FALSE),IF(BA1732="31-120 Days",VLOOKUP(D1732,[3]Standard!$B$9:$K$100,10,FALSE),IF(BA1732="121-365 Days",VLOOKUP(D1732,[3]Standard!$B$9:$L$101,11,FALSE),VLOOKUP(D1732,[3]Standard!$B$9:$M$101,12,FALSE)))),0)</f>
        <v>0</v>
      </c>
      <c r="M1732" s="269" t="str">
        <f>IFERROR(VLOOKUP((D1732&amp;C1732)&amp;"",'[2]Retail Price List'!$C$4:$F$102,4,FALSE),"")</f>
        <v/>
      </c>
      <c r="N1732" s="269">
        <f>IFERROR(IF(BA1732="WIP - 30 Days",VLOOKUP(D1732,[3]Extended!$B$9:$E$101,4,FALSE),IF(BA1732="31-120 Days",VLOOKUP(D1732,[3]Extended!$B$9:$F$101,5,FALSE),IF(BA1732="121-365 Days",VLOOKUP(D1732,[3]Extended!$B$9:$G$101,6,FALSE),VLOOKUP(D1732,[3]Extended!$B$9:$H$101,7,FALSE)))),0)</f>
        <v>0</v>
      </c>
      <c r="O1732" s="269">
        <f>IFERROR(IF(BA1732="WIP - 30 Days",VLOOKUP(D1732,[3]Extended!$B$9:$J$101,9,FALSE),IF(BA1732="31-120 Days",VLOOKUP(D1732,[3]Extended!$B$9:$K$101,10,FALSE),IF(BA1732="121-365 Days",VLOOKUP(D1732,[3]Extended!$B$9:$L$101,11,FALSE),VLOOKUP(D1732,[3]Extended!$B$9:$M$101,12,FALSE)))),0)</f>
        <v>0</v>
      </c>
      <c r="P1732" s="116" t="e">
        <f t="shared" si="131"/>
        <v>#VALUE!</v>
      </c>
      <c r="Q1732" s="110" t="e">
        <f>O1732-#REF!</f>
        <v>#REF!</v>
      </c>
      <c r="AT1732" s="88" t="str">
        <f t="shared" si="132"/>
        <v>Special Order0</v>
      </c>
      <c r="AU1732" s="89" t="str">
        <f t="shared" si="133"/>
        <v>01-1900</v>
      </c>
      <c r="BA1732" s="92" t="str">
        <f t="shared" si="134"/>
        <v/>
      </c>
    </row>
    <row r="1733" spans="2:53">
      <c r="B1733" s="60">
        <f>[2]Trucks!A1730</f>
        <v>0</v>
      </c>
      <c r="C1733" s="11">
        <f>[2]Trucks!B1730</f>
        <v>0</v>
      </c>
      <c r="D1733" s="19" t="str">
        <f>IFERROR(VLOOKUP(C1733&amp;"",'[2]Retail Price List'!$A$3:$B$103,2,FALSE),"Special Order")</f>
        <v>Special Order</v>
      </c>
      <c r="E1733" s="18">
        <f>[2]Trucks!J1730</f>
        <v>0</v>
      </c>
      <c r="F1733" s="12">
        <f>[2]Trucks!E1730</f>
        <v>0</v>
      </c>
      <c r="G1733" s="56">
        <f>[2]Trucks!K1730</f>
        <v>0</v>
      </c>
      <c r="H1733" s="46">
        <f>[2]Trucks!I1730</f>
        <v>0</v>
      </c>
      <c r="I1733" s="83" t="str">
        <f t="shared" ref="I1733:I1796" si="135">IFERROR(VLOOKUP(AU1733,$AW$5:$AY$40,3,FALSE),"")</f>
        <v/>
      </c>
      <c r="J1733" s="272" t="str">
        <f>IFERROR(VLOOKUP((D1733&amp;C1733)&amp;"",'[2]Retail Price List'!$C$4:$F$102,3,FALSE),"")</f>
        <v/>
      </c>
      <c r="K1733" s="272">
        <f>IFERROR(IF(BA1733="WIP - 30 Days",VLOOKUP(D1733,[3]Standard!$B$9:$E$101,4,FALSE),IF(BA1733="31-120 Days",VLOOKUP(D1733,[3]Standard!$B$9:$F$101,5,FALSE),IF(BA1733="121-365 Days",VLOOKUP(D1733,[3]Standard!$B$9:$G$101,6,FALSE),VLOOKUP(D1733,[3]Standard!$B$9:$H$101,7,FALSE)))),0)</f>
        <v>0</v>
      </c>
      <c r="L1733" s="272">
        <f>IFERROR(IF(BA1733="WIP - 30 Days",VLOOKUP(D1733,[3]Standard!$B$9:$J$101,9,FALSE),IF(BA1733="31-120 Days",VLOOKUP(D1733,[3]Standard!$B$9:$K$100,10,FALSE),IF(BA1733="121-365 Days",VLOOKUP(D1733,[3]Standard!$B$9:$L$101,11,FALSE),VLOOKUP(D1733,[3]Standard!$B$9:$M$101,12,FALSE)))),0)</f>
        <v>0</v>
      </c>
      <c r="M1733" s="269" t="str">
        <f>IFERROR(VLOOKUP((D1733&amp;C1733)&amp;"",'[2]Retail Price List'!$C$4:$F$102,4,FALSE),"")</f>
        <v/>
      </c>
      <c r="N1733" s="269">
        <f>IFERROR(IF(BA1733="WIP - 30 Days",VLOOKUP(D1733,[3]Extended!$B$9:$E$101,4,FALSE),IF(BA1733="31-120 Days",VLOOKUP(D1733,[3]Extended!$B$9:$F$101,5,FALSE),IF(BA1733="121-365 Days",VLOOKUP(D1733,[3]Extended!$B$9:$G$101,6,FALSE),VLOOKUP(D1733,[3]Extended!$B$9:$H$101,7,FALSE)))),0)</f>
        <v>0</v>
      </c>
      <c r="O1733" s="269">
        <f>IFERROR(IF(BA1733="WIP - 30 Days",VLOOKUP(D1733,[3]Extended!$B$9:$J$101,9,FALSE),IF(BA1733="31-120 Days",VLOOKUP(D1733,[3]Extended!$B$9:$K$101,10,FALSE),IF(BA1733="121-365 Days",VLOOKUP(D1733,[3]Extended!$B$9:$L$101,11,FALSE),VLOOKUP(D1733,[3]Extended!$B$9:$M$101,12,FALSE)))),0)</f>
        <v>0</v>
      </c>
      <c r="P1733" s="116" t="e">
        <f t="shared" ref="P1733:P1796" si="136">(M1733-O1733)/M1733</f>
        <v>#VALUE!</v>
      </c>
      <c r="Q1733" s="110" t="e">
        <f>O1733-#REF!</f>
        <v>#REF!</v>
      </c>
      <c r="AT1733" s="88" t="str">
        <f t="shared" ref="AT1733:AT1796" si="137">D1733&amp;I1733&amp;G1733</f>
        <v>Special Order0</v>
      </c>
      <c r="AU1733" s="89" t="str">
        <f t="shared" ref="AU1733:AU1796" si="138">IF(MONTH(H1733)&lt;10,0&amp;MONTH(H1733)&amp;"-"&amp;YEAR(H1733),MONTH(H1733)&amp;"-"&amp;YEAR(H1733))</f>
        <v>01-1900</v>
      </c>
      <c r="BA1733" s="92" t="str">
        <f t="shared" ref="BA1733:BA1796" si="139">IF(B1733=0,"",IF(AND(F1733&gt;=31,F1733&lt;=120),"31-120 Days",IF(AND(F1733&gt;=121,F1733&lt;=365),"121-365 Days",IF(OR(E1733="CKD",F1733&lt;=30),"WIP - 30 Days","&gt;365 Days"))))</f>
        <v/>
      </c>
    </row>
    <row r="1734" spans="2:53">
      <c r="B1734" s="60">
        <f>[2]Trucks!A1731</f>
        <v>0</v>
      </c>
      <c r="C1734" s="11">
        <f>[2]Trucks!B1731</f>
        <v>0</v>
      </c>
      <c r="D1734" s="19" t="str">
        <f>IFERROR(VLOOKUP(C1734&amp;"",'[2]Retail Price List'!$A$3:$B$103,2,FALSE),"Special Order")</f>
        <v>Special Order</v>
      </c>
      <c r="E1734" s="18">
        <f>[2]Trucks!J1731</f>
        <v>0</v>
      </c>
      <c r="F1734" s="12">
        <f>[2]Trucks!E1731</f>
        <v>0</v>
      </c>
      <c r="G1734" s="56">
        <f>[2]Trucks!K1731</f>
        <v>0</v>
      </c>
      <c r="H1734" s="46">
        <f>[2]Trucks!I1731</f>
        <v>0</v>
      </c>
      <c r="I1734" s="83" t="str">
        <f t="shared" si="135"/>
        <v/>
      </c>
      <c r="J1734" s="272" t="str">
        <f>IFERROR(VLOOKUP((D1734&amp;C1734)&amp;"",'[2]Retail Price List'!$C$4:$F$102,3,FALSE),"")</f>
        <v/>
      </c>
      <c r="K1734" s="272">
        <f>IFERROR(IF(BA1734="WIP - 30 Days",VLOOKUP(D1734,[3]Standard!$B$9:$E$101,4,FALSE),IF(BA1734="31-120 Days",VLOOKUP(D1734,[3]Standard!$B$9:$F$101,5,FALSE),IF(BA1734="121-365 Days",VLOOKUP(D1734,[3]Standard!$B$9:$G$101,6,FALSE),VLOOKUP(D1734,[3]Standard!$B$9:$H$101,7,FALSE)))),0)</f>
        <v>0</v>
      </c>
      <c r="L1734" s="272">
        <f>IFERROR(IF(BA1734="WIP - 30 Days",VLOOKUP(D1734,[3]Standard!$B$9:$J$101,9,FALSE),IF(BA1734="31-120 Days",VLOOKUP(D1734,[3]Standard!$B$9:$K$100,10,FALSE),IF(BA1734="121-365 Days",VLOOKUP(D1734,[3]Standard!$B$9:$L$101,11,FALSE),VLOOKUP(D1734,[3]Standard!$B$9:$M$101,12,FALSE)))),0)</f>
        <v>0</v>
      </c>
      <c r="M1734" s="269" t="str">
        <f>IFERROR(VLOOKUP((D1734&amp;C1734)&amp;"",'[2]Retail Price List'!$C$4:$F$102,4,FALSE),"")</f>
        <v/>
      </c>
      <c r="N1734" s="269">
        <f>IFERROR(IF(BA1734="WIP - 30 Days",VLOOKUP(D1734,[3]Extended!$B$9:$E$101,4,FALSE),IF(BA1734="31-120 Days",VLOOKUP(D1734,[3]Extended!$B$9:$F$101,5,FALSE),IF(BA1734="121-365 Days",VLOOKUP(D1734,[3]Extended!$B$9:$G$101,6,FALSE),VLOOKUP(D1734,[3]Extended!$B$9:$H$101,7,FALSE)))),0)</f>
        <v>0</v>
      </c>
      <c r="O1734" s="269">
        <f>IFERROR(IF(BA1734="WIP - 30 Days",VLOOKUP(D1734,[3]Extended!$B$9:$J$101,9,FALSE),IF(BA1734="31-120 Days",VLOOKUP(D1734,[3]Extended!$B$9:$K$101,10,FALSE),IF(BA1734="121-365 Days",VLOOKUP(D1734,[3]Extended!$B$9:$L$101,11,FALSE),VLOOKUP(D1734,[3]Extended!$B$9:$M$101,12,FALSE)))),0)</f>
        <v>0</v>
      </c>
      <c r="P1734" s="116" t="e">
        <f t="shared" si="136"/>
        <v>#VALUE!</v>
      </c>
      <c r="Q1734" s="110" t="e">
        <f>O1734-#REF!</f>
        <v>#REF!</v>
      </c>
      <c r="AT1734" s="88" t="str">
        <f t="shared" si="137"/>
        <v>Special Order0</v>
      </c>
      <c r="AU1734" s="89" t="str">
        <f t="shared" si="138"/>
        <v>01-1900</v>
      </c>
      <c r="BA1734" s="92" t="str">
        <f t="shared" si="139"/>
        <v/>
      </c>
    </row>
    <row r="1735" spans="2:53">
      <c r="B1735" s="60">
        <f>[2]Trucks!A1732</f>
        <v>0</v>
      </c>
      <c r="C1735" s="11">
        <f>[2]Trucks!B1732</f>
        <v>0</v>
      </c>
      <c r="D1735" s="19" t="str">
        <f>IFERROR(VLOOKUP(C1735&amp;"",'[2]Retail Price List'!$A$3:$B$103,2,FALSE),"Special Order")</f>
        <v>Special Order</v>
      </c>
      <c r="E1735" s="18">
        <f>[2]Trucks!J1732</f>
        <v>0</v>
      </c>
      <c r="F1735" s="12">
        <f>[2]Trucks!E1732</f>
        <v>0</v>
      </c>
      <c r="G1735" s="56">
        <f>[2]Trucks!K1732</f>
        <v>0</v>
      </c>
      <c r="H1735" s="46">
        <f>[2]Trucks!I1732</f>
        <v>0</v>
      </c>
      <c r="I1735" s="83" t="str">
        <f t="shared" si="135"/>
        <v/>
      </c>
      <c r="J1735" s="272" t="str">
        <f>IFERROR(VLOOKUP((D1735&amp;C1735)&amp;"",'[2]Retail Price List'!$C$4:$F$102,3,FALSE),"")</f>
        <v/>
      </c>
      <c r="K1735" s="272">
        <f>IFERROR(IF(BA1735="WIP - 30 Days",VLOOKUP(D1735,[3]Standard!$B$9:$E$101,4,FALSE),IF(BA1735="31-120 Days",VLOOKUP(D1735,[3]Standard!$B$9:$F$101,5,FALSE),IF(BA1735="121-365 Days",VLOOKUP(D1735,[3]Standard!$B$9:$G$101,6,FALSE),VLOOKUP(D1735,[3]Standard!$B$9:$H$101,7,FALSE)))),0)</f>
        <v>0</v>
      </c>
      <c r="L1735" s="272">
        <f>IFERROR(IF(BA1735="WIP - 30 Days",VLOOKUP(D1735,[3]Standard!$B$9:$J$101,9,FALSE),IF(BA1735="31-120 Days",VLOOKUP(D1735,[3]Standard!$B$9:$K$100,10,FALSE),IF(BA1735="121-365 Days",VLOOKUP(D1735,[3]Standard!$B$9:$L$101,11,FALSE),VLOOKUP(D1735,[3]Standard!$B$9:$M$101,12,FALSE)))),0)</f>
        <v>0</v>
      </c>
      <c r="M1735" s="269" t="str">
        <f>IFERROR(VLOOKUP((D1735&amp;C1735)&amp;"",'[2]Retail Price List'!$C$4:$F$102,4,FALSE),"")</f>
        <v/>
      </c>
      <c r="N1735" s="269">
        <f>IFERROR(IF(BA1735="WIP - 30 Days",VLOOKUP(D1735,[3]Extended!$B$9:$E$101,4,FALSE),IF(BA1735="31-120 Days",VLOOKUP(D1735,[3]Extended!$B$9:$F$101,5,FALSE),IF(BA1735="121-365 Days",VLOOKUP(D1735,[3]Extended!$B$9:$G$101,6,FALSE),VLOOKUP(D1735,[3]Extended!$B$9:$H$101,7,FALSE)))),0)</f>
        <v>0</v>
      </c>
      <c r="O1735" s="269">
        <f>IFERROR(IF(BA1735="WIP - 30 Days",VLOOKUP(D1735,[3]Extended!$B$9:$J$101,9,FALSE),IF(BA1735="31-120 Days",VLOOKUP(D1735,[3]Extended!$B$9:$K$101,10,FALSE),IF(BA1735="121-365 Days",VLOOKUP(D1735,[3]Extended!$B$9:$L$101,11,FALSE),VLOOKUP(D1735,[3]Extended!$B$9:$M$101,12,FALSE)))),0)</f>
        <v>0</v>
      </c>
      <c r="P1735" s="116" t="e">
        <f t="shared" si="136"/>
        <v>#VALUE!</v>
      </c>
      <c r="Q1735" s="110" t="e">
        <f>O1735-#REF!</f>
        <v>#REF!</v>
      </c>
      <c r="AT1735" s="88" t="str">
        <f t="shared" si="137"/>
        <v>Special Order0</v>
      </c>
      <c r="AU1735" s="89" t="str">
        <f t="shared" si="138"/>
        <v>01-1900</v>
      </c>
      <c r="BA1735" s="92" t="str">
        <f t="shared" si="139"/>
        <v/>
      </c>
    </row>
    <row r="1736" spans="2:53">
      <c r="B1736" s="60">
        <f>[2]Trucks!A1733</f>
        <v>0</v>
      </c>
      <c r="C1736" s="11">
        <f>[2]Trucks!B1733</f>
        <v>0</v>
      </c>
      <c r="D1736" s="19" t="str">
        <f>IFERROR(VLOOKUP(C1736&amp;"",'[2]Retail Price List'!$A$3:$B$103,2,FALSE),"Special Order")</f>
        <v>Special Order</v>
      </c>
      <c r="E1736" s="18">
        <f>[2]Trucks!J1733</f>
        <v>0</v>
      </c>
      <c r="F1736" s="12">
        <f>[2]Trucks!E1733</f>
        <v>0</v>
      </c>
      <c r="G1736" s="56">
        <f>[2]Trucks!K1733</f>
        <v>0</v>
      </c>
      <c r="H1736" s="46">
        <f>[2]Trucks!I1733</f>
        <v>0</v>
      </c>
      <c r="I1736" s="83" t="str">
        <f t="shared" si="135"/>
        <v/>
      </c>
      <c r="J1736" s="272" t="str">
        <f>IFERROR(VLOOKUP((D1736&amp;C1736)&amp;"",'[2]Retail Price List'!$C$4:$F$102,3,FALSE),"")</f>
        <v/>
      </c>
      <c r="K1736" s="272">
        <f>IFERROR(IF(BA1736="WIP - 30 Days",VLOOKUP(D1736,[3]Standard!$B$9:$E$101,4,FALSE),IF(BA1736="31-120 Days",VLOOKUP(D1736,[3]Standard!$B$9:$F$101,5,FALSE),IF(BA1736="121-365 Days",VLOOKUP(D1736,[3]Standard!$B$9:$G$101,6,FALSE),VLOOKUP(D1736,[3]Standard!$B$9:$H$101,7,FALSE)))),0)</f>
        <v>0</v>
      </c>
      <c r="L1736" s="272">
        <f>IFERROR(IF(BA1736="WIP - 30 Days",VLOOKUP(D1736,[3]Standard!$B$9:$J$101,9,FALSE),IF(BA1736="31-120 Days",VLOOKUP(D1736,[3]Standard!$B$9:$K$100,10,FALSE),IF(BA1736="121-365 Days",VLOOKUP(D1736,[3]Standard!$B$9:$L$101,11,FALSE),VLOOKUP(D1736,[3]Standard!$B$9:$M$101,12,FALSE)))),0)</f>
        <v>0</v>
      </c>
      <c r="M1736" s="269" t="str">
        <f>IFERROR(VLOOKUP((D1736&amp;C1736)&amp;"",'[2]Retail Price List'!$C$4:$F$102,4,FALSE),"")</f>
        <v/>
      </c>
      <c r="N1736" s="269">
        <f>IFERROR(IF(BA1736="WIP - 30 Days",VLOOKUP(D1736,[3]Extended!$B$9:$E$101,4,FALSE),IF(BA1736="31-120 Days",VLOOKUP(D1736,[3]Extended!$B$9:$F$101,5,FALSE),IF(BA1736="121-365 Days",VLOOKUP(D1736,[3]Extended!$B$9:$G$101,6,FALSE),VLOOKUP(D1736,[3]Extended!$B$9:$H$101,7,FALSE)))),0)</f>
        <v>0</v>
      </c>
      <c r="O1736" s="269">
        <f>IFERROR(IF(BA1736="WIP - 30 Days",VLOOKUP(D1736,[3]Extended!$B$9:$J$101,9,FALSE),IF(BA1736="31-120 Days",VLOOKUP(D1736,[3]Extended!$B$9:$K$101,10,FALSE),IF(BA1736="121-365 Days",VLOOKUP(D1736,[3]Extended!$B$9:$L$101,11,FALSE),VLOOKUP(D1736,[3]Extended!$B$9:$M$101,12,FALSE)))),0)</f>
        <v>0</v>
      </c>
      <c r="P1736" s="116" t="e">
        <f t="shared" si="136"/>
        <v>#VALUE!</v>
      </c>
      <c r="Q1736" s="110" t="e">
        <f>O1736-#REF!</f>
        <v>#REF!</v>
      </c>
      <c r="AT1736" s="88" t="str">
        <f t="shared" si="137"/>
        <v>Special Order0</v>
      </c>
      <c r="AU1736" s="89" t="str">
        <f t="shared" si="138"/>
        <v>01-1900</v>
      </c>
      <c r="BA1736" s="92" t="str">
        <f t="shared" si="139"/>
        <v/>
      </c>
    </row>
    <row r="1737" spans="2:53">
      <c r="B1737" s="60">
        <f>[2]Trucks!A1734</f>
        <v>0</v>
      </c>
      <c r="C1737" s="11">
        <f>[2]Trucks!B1734</f>
        <v>0</v>
      </c>
      <c r="D1737" s="19" t="str">
        <f>IFERROR(VLOOKUP(C1737&amp;"",'[2]Retail Price List'!$A$3:$B$103,2,FALSE),"Special Order")</f>
        <v>Special Order</v>
      </c>
      <c r="E1737" s="18">
        <f>[2]Trucks!J1734</f>
        <v>0</v>
      </c>
      <c r="F1737" s="12">
        <f>[2]Trucks!E1734</f>
        <v>0</v>
      </c>
      <c r="G1737" s="56">
        <f>[2]Trucks!K1734</f>
        <v>0</v>
      </c>
      <c r="H1737" s="46">
        <f>[2]Trucks!I1734</f>
        <v>0</v>
      </c>
      <c r="I1737" s="83" t="str">
        <f t="shared" si="135"/>
        <v/>
      </c>
      <c r="J1737" s="272" t="str">
        <f>IFERROR(VLOOKUP((D1737&amp;C1737)&amp;"",'[2]Retail Price List'!$C$4:$F$102,3,FALSE),"")</f>
        <v/>
      </c>
      <c r="K1737" s="272">
        <f>IFERROR(IF(BA1737="WIP - 30 Days",VLOOKUP(D1737,[3]Standard!$B$9:$E$101,4,FALSE),IF(BA1737="31-120 Days",VLOOKUP(D1737,[3]Standard!$B$9:$F$101,5,FALSE),IF(BA1737="121-365 Days",VLOOKUP(D1737,[3]Standard!$B$9:$G$101,6,FALSE),VLOOKUP(D1737,[3]Standard!$B$9:$H$101,7,FALSE)))),0)</f>
        <v>0</v>
      </c>
      <c r="L1737" s="272">
        <f>IFERROR(IF(BA1737="WIP - 30 Days",VLOOKUP(D1737,[3]Standard!$B$9:$J$101,9,FALSE),IF(BA1737="31-120 Days",VLOOKUP(D1737,[3]Standard!$B$9:$K$100,10,FALSE),IF(BA1737="121-365 Days",VLOOKUP(D1737,[3]Standard!$B$9:$L$101,11,FALSE),VLOOKUP(D1737,[3]Standard!$B$9:$M$101,12,FALSE)))),0)</f>
        <v>0</v>
      </c>
      <c r="M1737" s="269" t="str">
        <f>IFERROR(VLOOKUP((D1737&amp;C1737)&amp;"",'[2]Retail Price List'!$C$4:$F$102,4,FALSE),"")</f>
        <v/>
      </c>
      <c r="N1737" s="269">
        <f>IFERROR(IF(BA1737="WIP - 30 Days",VLOOKUP(D1737,[3]Extended!$B$9:$E$101,4,FALSE),IF(BA1737="31-120 Days",VLOOKUP(D1737,[3]Extended!$B$9:$F$101,5,FALSE),IF(BA1737="121-365 Days",VLOOKUP(D1737,[3]Extended!$B$9:$G$101,6,FALSE),VLOOKUP(D1737,[3]Extended!$B$9:$H$101,7,FALSE)))),0)</f>
        <v>0</v>
      </c>
      <c r="O1737" s="269">
        <f>IFERROR(IF(BA1737="WIP - 30 Days",VLOOKUP(D1737,[3]Extended!$B$9:$J$101,9,FALSE),IF(BA1737="31-120 Days",VLOOKUP(D1737,[3]Extended!$B$9:$K$101,10,FALSE),IF(BA1737="121-365 Days",VLOOKUP(D1737,[3]Extended!$B$9:$L$101,11,FALSE),VLOOKUP(D1737,[3]Extended!$B$9:$M$101,12,FALSE)))),0)</f>
        <v>0</v>
      </c>
      <c r="P1737" s="116" t="e">
        <f t="shared" si="136"/>
        <v>#VALUE!</v>
      </c>
      <c r="Q1737" s="110" t="e">
        <f>O1737-#REF!</f>
        <v>#REF!</v>
      </c>
      <c r="AT1737" s="88" t="str">
        <f t="shared" si="137"/>
        <v>Special Order0</v>
      </c>
      <c r="AU1737" s="89" t="str">
        <f t="shared" si="138"/>
        <v>01-1900</v>
      </c>
      <c r="BA1737" s="92" t="str">
        <f t="shared" si="139"/>
        <v/>
      </c>
    </row>
    <row r="1738" spans="2:53">
      <c r="B1738" s="60">
        <f>[2]Trucks!A1735</f>
        <v>0</v>
      </c>
      <c r="C1738" s="11">
        <f>[2]Trucks!B1735</f>
        <v>0</v>
      </c>
      <c r="D1738" s="19" t="str">
        <f>IFERROR(VLOOKUP(C1738&amp;"",'[2]Retail Price List'!$A$3:$B$103,2,FALSE),"Special Order")</f>
        <v>Special Order</v>
      </c>
      <c r="E1738" s="18">
        <f>[2]Trucks!J1735</f>
        <v>0</v>
      </c>
      <c r="F1738" s="12">
        <f>[2]Trucks!E1735</f>
        <v>0</v>
      </c>
      <c r="G1738" s="56">
        <f>[2]Trucks!K1735</f>
        <v>0</v>
      </c>
      <c r="H1738" s="46">
        <f>[2]Trucks!I1735</f>
        <v>0</v>
      </c>
      <c r="I1738" s="83" t="str">
        <f t="shared" si="135"/>
        <v/>
      </c>
      <c r="J1738" s="272" t="str">
        <f>IFERROR(VLOOKUP((D1738&amp;C1738)&amp;"",'[2]Retail Price List'!$C$4:$F$102,3,FALSE),"")</f>
        <v/>
      </c>
      <c r="K1738" s="272">
        <f>IFERROR(IF(BA1738="WIP - 30 Days",VLOOKUP(D1738,[3]Standard!$B$9:$E$101,4,FALSE),IF(BA1738="31-120 Days",VLOOKUP(D1738,[3]Standard!$B$9:$F$101,5,FALSE),IF(BA1738="121-365 Days",VLOOKUP(D1738,[3]Standard!$B$9:$G$101,6,FALSE),VLOOKUP(D1738,[3]Standard!$B$9:$H$101,7,FALSE)))),0)</f>
        <v>0</v>
      </c>
      <c r="L1738" s="272">
        <f>IFERROR(IF(BA1738="WIP - 30 Days",VLOOKUP(D1738,[3]Standard!$B$9:$J$101,9,FALSE),IF(BA1738="31-120 Days",VLOOKUP(D1738,[3]Standard!$B$9:$K$100,10,FALSE),IF(BA1738="121-365 Days",VLOOKUP(D1738,[3]Standard!$B$9:$L$101,11,FALSE),VLOOKUP(D1738,[3]Standard!$B$9:$M$101,12,FALSE)))),0)</f>
        <v>0</v>
      </c>
      <c r="M1738" s="269" t="str">
        <f>IFERROR(VLOOKUP((D1738&amp;C1738)&amp;"",'[2]Retail Price List'!$C$4:$F$102,4,FALSE),"")</f>
        <v/>
      </c>
      <c r="N1738" s="269">
        <f>IFERROR(IF(BA1738="WIP - 30 Days",VLOOKUP(D1738,[3]Extended!$B$9:$E$101,4,FALSE),IF(BA1738="31-120 Days",VLOOKUP(D1738,[3]Extended!$B$9:$F$101,5,FALSE),IF(BA1738="121-365 Days",VLOOKUP(D1738,[3]Extended!$B$9:$G$101,6,FALSE),VLOOKUP(D1738,[3]Extended!$B$9:$H$101,7,FALSE)))),0)</f>
        <v>0</v>
      </c>
      <c r="O1738" s="269">
        <f>IFERROR(IF(BA1738="WIP - 30 Days",VLOOKUP(D1738,[3]Extended!$B$9:$J$101,9,FALSE),IF(BA1738="31-120 Days",VLOOKUP(D1738,[3]Extended!$B$9:$K$101,10,FALSE),IF(BA1738="121-365 Days",VLOOKUP(D1738,[3]Extended!$B$9:$L$101,11,FALSE),VLOOKUP(D1738,[3]Extended!$B$9:$M$101,12,FALSE)))),0)</f>
        <v>0</v>
      </c>
      <c r="P1738" s="116" t="e">
        <f t="shared" si="136"/>
        <v>#VALUE!</v>
      </c>
      <c r="Q1738" s="110" t="e">
        <f>O1738-#REF!</f>
        <v>#REF!</v>
      </c>
      <c r="AT1738" s="88" t="str">
        <f t="shared" si="137"/>
        <v>Special Order0</v>
      </c>
      <c r="AU1738" s="89" t="str">
        <f t="shared" si="138"/>
        <v>01-1900</v>
      </c>
      <c r="BA1738" s="92" t="str">
        <f t="shared" si="139"/>
        <v/>
      </c>
    </row>
    <row r="1739" spans="2:53">
      <c r="B1739" s="60">
        <f>[2]Trucks!A1736</f>
        <v>0</v>
      </c>
      <c r="C1739" s="11">
        <f>[2]Trucks!B1736</f>
        <v>0</v>
      </c>
      <c r="D1739" s="19" t="str">
        <f>IFERROR(VLOOKUP(C1739&amp;"",'[2]Retail Price List'!$A$3:$B$103,2,FALSE),"Special Order")</f>
        <v>Special Order</v>
      </c>
      <c r="E1739" s="18">
        <f>[2]Trucks!J1736</f>
        <v>0</v>
      </c>
      <c r="F1739" s="12">
        <f>[2]Trucks!E1736</f>
        <v>0</v>
      </c>
      <c r="G1739" s="56">
        <f>[2]Trucks!K1736</f>
        <v>0</v>
      </c>
      <c r="H1739" s="46">
        <f>[2]Trucks!I1736</f>
        <v>0</v>
      </c>
      <c r="I1739" s="83" t="str">
        <f t="shared" si="135"/>
        <v/>
      </c>
      <c r="J1739" s="272" t="str">
        <f>IFERROR(VLOOKUP((D1739&amp;C1739)&amp;"",'[2]Retail Price List'!$C$4:$F$102,3,FALSE),"")</f>
        <v/>
      </c>
      <c r="K1739" s="272">
        <f>IFERROR(IF(BA1739="WIP - 30 Days",VLOOKUP(D1739,[3]Standard!$B$9:$E$101,4,FALSE),IF(BA1739="31-120 Days",VLOOKUP(D1739,[3]Standard!$B$9:$F$101,5,FALSE),IF(BA1739="121-365 Days",VLOOKUP(D1739,[3]Standard!$B$9:$G$101,6,FALSE),VLOOKUP(D1739,[3]Standard!$B$9:$H$101,7,FALSE)))),0)</f>
        <v>0</v>
      </c>
      <c r="L1739" s="272">
        <f>IFERROR(IF(BA1739="WIP - 30 Days",VLOOKUP(D1739,[3]Standard!$B$9:$J$101,9,FALSE),IF(BA1739="31-120 Days",VLOOKUP(D1739,[3]Standard!$B$9:$K$100,10,FALSE),IF(BA1739="121-365 Days",VLOOKUP(D1739,[3]Standard!$B$9:$L$101,11,FALSE),VLOOKUP(D1739,[3]Standard!$B$9:$M$101,12,FALSE)))),0)</f>
        <v>0</v>
      </c>
      <c r="M1739" s="269" t="str">
        <f>IFERROR(VLOOKUP((D1739&amp;C1739)&amp;"",'[2]Retail Price List'!$C$4:$F$102,4,FALSE),"")</f>
        <v/>
      </c>
      <c r="N1739" s="269">
        <f>IFERROR(IF(BA1739="WIP - 30 Days",VLOOKUP(D1739,[3]Extended!$B$9:$E$101,4,FALSE),IF(BA1739="31-120 Days",VLOOKUP(D1739,[3]Extended!$B$9:$F$101,5,FALSE),IF(BA1739="121-365 Days",VLOOKUP(D1739,[3]Extended!$B$9:$G$101,6,FALSE),VLOOKUP(D1739,[3]Extended!$B$9:$H$101,7,FALSE)))),0)</f>
        <v>0</v>
      </c>
      <c r="O1739" s="269">
        <f>IFERROR(IF(BA1739="WIP - 30 Days",VLOOKUP(D1739,[3]Extended!$B$9:$J$101,9,FALSE),IF(BA1739="31-120 Days",VLOOKUP(D1739,[3]Extended!$B$9:$K$101,10,FALSE),IF(BA1739="121-365 Days",VLOOKUP(D1739,[3]Extended!$B$9:$L$101,11,FALSE),VLOOKUP(D1739,[3]Extended!$B$9:$M$101,12,FALSE)))),0)</f>
        <v>0</v>
      </c>
      <c r="P1739" s="116" t="e">
        <f t="shared" si="136"/>
        <v>#VALUE!</v>
      </c>
      <c r="Q1739" s="110" t="e">
        <f>O1739-#REF!</f>
        <v>#REF!</v>
      </c>
      <c r="AT1739" s="88" t="str">
        <f t="shared" si="137"/>
        <v>Special Order0</v>
      </c>
      <c r="AU1739" s="89" t="str">
        <f t="shared" si="138"/>
        <v>01-1900</v>
      </c>
      <c r="BA1739" s="92" t="str">
        <f t="shared" si="139"/>
        <v/>
      </c>
    </row>
    <row r="1740" spans="2:53">
      <c r="B1740" s="60">
        <f>[2]Trucks!A1737</f>
        <v>0</v>
      </c>
      <c r="C1740" s="11">
        <f>[2]Trucks!B1737</f>
        <v>0</v>
      </c>
      <c r="D1740" s="19" t="str">
        <f>IFERROR(VLOOKUP(C1740&amp;"",'[2]Retail Price List'!$A$3:$B$103,2,FALSE),"Special Order")</f>
        <v>Special Order</v>
      </c>
      <c r="E1740" s="18">
        <f>[2]Trucks!J1737</f>
        <v>0</v>
      </c>
      <c r="F1740" s="12">
        <f>[2]Trucks!E1737</f>
        <v>0</v>
      </c>
      <c r="G1740" s="56">
        <f>[2]Trucks!K1737</f>
        <v>0</v>
      </c>
      <c r="H1740" s="46">
        <f>[2]Trucks!I1737</f>
        <v>0</v>
      </c>
      <c r="I1740" s="83" t="str">
        <f t="shared" si="135"/>
        <v/>
      </c>
      <c r="J1740" s="272" t="str">
        <f>IFERROR(VLOOKUP((D1740&amp;C1740)&amp;"",'[2]Retail Price List'!$C$4:$F$102,3,FALSE),"")</f>
        <v/>
      </c>
      <c r="K1740" s="272">
        <f>IFERROR(IF(BA1740="WIP - 30 Days",VLOOKUP(D1740,[3]Standard!$B$9:$E$101,4,FALSE),IF(BA1740="31-120 Days",VLOOKUP(D1740,[3]Standard!$B$9:$F$101,5,FALSE),IF(BA1740="121-365 Days",VLOOKUP(D1740,[3]Standard!$B$9:$G$101,6,FALSE),VLOOKUP(D1740,[3]Standard!$B$9:$H$101,7,FALSE)))),0)</f>
        <v>0</v>
      </c>
      <c r="L1740" s="272">
        <f>IFERROR(IF(BA1740="WIP - 30 Days",VLOOKUP(D1740,[3]Standard!$B$9:$J$101,9,FALSE),IF(BA1740="31-120 Days",VLOOKUP(D1740,[3]Standard!$B$9:$K$100,10,FALSE),IF(BA1740="121-365 Days",VLOOKUP(D1740,[3]Standard!$B$9:$L$101,11,FALSE),VLOOKUP(D1740,[3]Standard!$B$9:$M$101,12,FALSE)))),0)</f>
        <v>0</v>
      </c>
      <c r="M1740" s="269" t="str">
        <f>IFERROR(VLOOKUP((D1740&amp;C1740)&amp;"",'[2]Retail Price List'!$C$4:$F$102,4,FALSE),"")</f>
        <v/>
      </c>
      <c r="N1740" s="269">
        <f>IFERROR(IF(BA1740="WIP - 30 Days",VLOOKUP(D1740,[3]Extended!$B$9:$E$101,4,FALSE),IF(BA1740="31-120 Days",VLOOKUP(D1740,[3]Extended!$B$9:$F$101,5,FALSE),IF(BA1740="121-365 Days",VLOOKUP(D1740,[3]Extended!$B$9:$G$101,6,FALSE),VLOOKUP(D1740,[3]Extended!$B$9:$H$101,7,FALSE)))),0)</f>
        <v>0</v>
      </c>
      <c r="O1740" s="269">
        <f>IFERROR(IF(BA1740="WIP - 30 Days",VLOOKUP(D1740,[3]Extended!$B$9:$J$101,9,FALSE),IF(BA1740="31-120 Days",VLOOKUP(D1740,[3]Extended!$B$9:$K$101,10,FALSE),IF(BA1740="121-365 Days",VLOOKUP(D1740,[3]Extended!$B$9:$L$101,11,FALSE),VLOOKUP(D1740,[3]Extended!$B$9:$M$101,12,FALSE)))),0)</f>
        <v>0</v>
      </c>
      <c r="P1740" s="116" t="e">
        <f t="shared" si="136"/>
        <v>#VALUE!</v>
      </c>
      <c r="Q1740" s="110" t="e">
        <f>O1740-#REF!</f>
        <v>#REF!</v>
      </c>
      <c r="AT1740" s="88" t="str">
        <f t="shared" si="137"/>
        <v>Special Order0</v>
      </c>
      <c r="AU1740" s="89" t="str">
        <f t="shared" si="138"/>
        <v>01-1900</v>
      </c>
      <c r="BA1740" s="92" t="str">
        <f t="shared" si="139"/>
        <v/>
      </c>
    </row>
    <row r="1741" spans="2:53">
      <c r="B1741" s="60">
        <f>[2]Trucks!A1738</f>
        <v>0</v>
      </c>
      <c r="C1741" s="11">
        <f>[2]Trucks!B1738</f>
        <v>0</v>
      </c>
      <c r="D1741" s="19" t="str">
        <f>IFERROR(VLOOKUP(C1741&amp;"",'[2]Retail Price List'!$A$3:$B$103,2,FALSE),"Special Order")</f>
        <v>Special Order</v>
      </c>
      <c r="E1741" s="18">
        <f>[2]Trucks!J1738</f>
        <v>0</v>
      </c>
      <c r="F1741" s="12">
        <f>[2]Trucks!E1738</f>
        <v>0</v>
      </c>
      <c r="G1741" s="56">
        <f>[2]Trucks!K1738</f>
        <v>0</v>
      </c>
      <c r="H1741" s="46">
        <f>[2]Trucks!I1738</f>
        <v>0</v>
      </c>
      <c r="I1741" s="83" t="str">
        <f t="shared" si="135"/>
        <v/>
      </c>
      <c r="J1741" s="272" t="str">
        <f>IFERROR(VLOOKUP((D1741&amp;C1741)&amp;"",'[2]Retail Price List'!$C$4:$F$102,3,FALSE),"")</f>
        <v/>
      </c>
      <c r="K1741" s="272">
        <f>IFERROR(IF(BA1741="WIP - 30 Days",VLOOKUP(D1741,[3]Standard!$B$9:$E$101,4,FALSE),IF(BA1741="31-120 Days",VLOOKUP(D1741,[3]Standard!$B$9:$F$101,5,FALSE),IF(BA1741="121-365 Days",VLOOKUP(D1741,[3]Standard!$B$9:$G$101,6,FALSE),VLOOKUP(D1741,[3]Standard!$B$9:$H$101,7,FALSE)))),0)</f>
        <v>0</v>
      </c>
      <c r="L1741" s="272">
        <f>IFERROR(IF(BA1741="WIP - 30 Days",VLOOKUP(D1741,[3]Standard!$B$9:$J$101,9,FALSE),IF(BA1741="31-120 Days",VLOOKUP(D1741,[3]Standard!$B$9:$K$100,10,FALSE),IF(BA1741="121-365 Days",VLOOKUP(D1741,[3]Standard!$B$9:$L$101,11,FALSE),VLOOKUP(D1741,[3]Standard!$B$9:$M$101,12,FALSE)))),0)</f>
        <v>0</v>
      </c>
      <c r="M1741" s="269" t="str">
        <f>IFERROR(VLOOKUP((D1741&amp;C1741)&amp;"",'[2]Retail Price List'!$C$4:$F$102,4,FALSE),"")</f>
        <v/>
      </c>
      <c r="N1741" s="269">
        <f>IFERROR(IF(BA1741="WIP - 30 Days",VLOOKUP(D1741,[3]Extended!$B$9:$E$101,4,FALSE),IF(BA1741="31-120 Days",VLOOKUP(D1741,[3]Extended!$B$9:$F$101,5,FALSE),IF(BA1741="121-365 Days",VLOOKUP(D1741,[3]Extended!$B$9:$G$101,6,FALSE),VLOOKUP(D1741,[3]Extended!$B$9:$H$101,7,FALSE)))),0)</f>
        <v>0</v>
      </c>
      <c r="O1741" s="269">
        <f>IFERROR(IF(BA1741="WIP - 30 Days",VLOOKUP(D1741,[3]Extended!$B$9:$J$101,9,FALSE),IF(BA1741="31-120 Days",VLOOKUP(D1741,[3]Extended!$B$9:$K$101,10,FALSE),IF(BA1741="121-365 Days",VLOOKUP(D1741,[3]Extended!$B$9:$L$101,11,FALSE),VLOOKUP(D1741,[3]Extended!$B$9:$M$101,12,FALSE)))),0)</f>
        <v>0</v>
      </c>
      <c r="P1741" s="116" t="e">
        <f t="shared" si="136"/>
        <v>#VALUE!</v>
      </c>
      <c r="Q1741" s="110" t="e">
        <f>O1741-#REF!</f>
        <v>#REF!</v>
      </c>
      <c r="AT1741" s="88" t="str">
        <f t="shared" si="137"/>
        <v>Special Order0</v>
      </c>
      <c r="AU1741" s="89" t="str">
        <f t="shared" si="138"/>
        <v>01-1900</v>
      </c>
      <c r="BA1741" s="92" t="str">
        <f t="shared" si="139"/>
        <v/>
      </c>
    </row>
    <row r="1742" spans="2:53">
      <c r="B1742" s="60">
        <f>[2]Trucks!A1739</f>
        <v>0</v>
      </c>
      <c r="C1742" s="11">
        <f>[2]Trucks!B1739</f>
        <v>0</v>
      </c>
      <c r="D1742" s="19" t="str">
        <f>IFERROR(VLOOKUP(C1742&amp;"",'[2]Retail Price List'!$A$3:$B$103,2,FALSE),"Special Order")</f>
        <v>Special Order</v>
      </c>
      <c r="E1742" s="18">
        <f>[2]Trucks!J1739</f>
        <v>0</v>
      </c>
      <c r="F1742" s="12">
        <f>[2]Trucks!E1739</f>
        <v>0</v>
      </c>
      <c r="G1742" s="56">
        <f>[2]Trucks!K1739</f>
        <v>0</v>
      </c>
      <c r="H1742" s="46">
        <f>[2]Trucks!I1739</f>
        <v>0</v>
      </c>
      <c r="I1742" s="83" t="str">
        <f t="shared" si="135"/>
        <v/>
      </c>
      <c r="J1742" s="272" t="str">
        <f>IFERROR(VLOOKUP((D1742&amp;C1742)&amp;"",'[2]Retail Price List'!$C$4:$F$102,3,FALSE),"")</f>
        <v/>
      </c>
      <c r="K1742" s="272">
        <f>IFERROR(IF(BA1742="WIP - 30 Days",VLOOKUP(D1742,[3]Standard!$B$9:$E$101,4,FALSE),IF(BA1742="31-120 Days",VLOOKUP(D1742,[3]Standard!$B$9:$F$101,5,FALSE),IF(BA1742="121-365 Days",VLOOKUP(D1742,[3]Standard!$B$9:$G$101,6,FALSE),VLOOKUP(D1742,[3]Standard!$B$9:$H$101,7,FALSE)))),0)</f>
        <v>0</v>
      </c>
      <c r="L1742" s="272">
        <f>IFERROR(IF(BA1742="WIP - 30 Days",VLOOKUP(D1742,[3]Standard!$B$9:$J$101,9,FALSE),IF(BA1742="31-120 Days",VLOOKUP(D1742,[3]Standard!$B$9:$K$100,10,FALSE),IF(BA1742="121-365 Days",VLOOKUP(D1742,[3]Standard!$B$9:$L$101,11,FALSE),VLOOKUP(D1742,[3]Standard!$B$9:$M$101,12,FALSE)))),0)</f>
        <v>0</v>
      </c>
      <c r="M1742" s="269" t="str">
        <f>IFERROR(VLOOKUP((D1742&amp;C1742)&amp;"",'[2]Retail Price List'!$C$4:$F$102,4,FALSE),"")</f>
        <v/>
      </c>
      <c r="N1742" s="269">
        <f>IFERROR(IF(BA1742="WIP - 30 Days",VLOOKUP(D1742,[3]Extended!$B$9:$E$101,4,FALSE),IF(BA1742="31-120 Days",VLOOKUP(D1742,[3]Extended!$B$9:$F$101,5,FALSE),IF(BA1742="121-365 Days",VLOOKUP(D1742,[3]Extended!$B$9:$G$101,6,FALSE),VLOOKUP(D1742,[3]Extended!$B$9:$H$101,7,FALSE)))),0)</f>
        <v>0</v>
      </c>
      <c r="O1742" s="269">
        <f>IFERROR(IF(BA1742="WIP - 30 Days",VLOOKUP(D1742,[3]Extended!$B$9:$J$101,9,FALSE),IF(BA1742="31-120 Days",VLOOKUP(D1742,[3]Extended!$B$9:$K$101,10,FALSE),IF(BA1742="121-365 Days",VLOOKUP(D1742,[3]Extended!$B$9:$L$101,11,FALSE),VLOOKUP(D1742,[3]Extended!$B$9:$M$101,12,FALSE)))),0)</f>
        <v>0</v>
      </c>
      <c r="P1742" s="116" t="e">
        <f t="shared" si="136"/>
        <v>#VALUE!</v>
      </c>
      <c r="Q1742" s="110" t="e">
        <f>O1742-#REF!</f>
        <v>#REF!</v>
      </c>
      <c r="AT1742" s="88" t="str">
        <f t="shared" si="137"/>
        <v>Special Order0</v>
      </c>
      <c r="AU1742" s="89" t="str">
        <f t="shared" si="138"/>
        <v>01-1900</v>
      </c>
      <c r="BA1742" s="92" t="str">
        <f t="shared" si="139"/>
        <v/>
      </c>
    </row>
    <row r="1743" spans="2:53">
      <c r="B1743" s="60">
        <f>[2]Trucks!A1740</f>
        <v>0</v>
      </c>
      <c r="C1743" s="11">
        <f>[2]Trucks!B1740</f>
        <v>0</v>
      </c>
      <c r="D1743" s="19" t="str">
        <f>IFERROR(VLOOKUP(C1743&amp;"",'[2]Retail Price List'!$A$3:$B$103,2,FALSE),"Special Order")</f>
        <v>Special Order</v>
      </c>
      <c r="E1743" s="18">
        <f>[2]Trucks!J1740</f>
        <v>0</v>
      </c>
      <c r="F1743" s="12">
        <f>[2]Trucks!E1740</f>
        <v>0</v>
      </c>
      <c r="G1743" s="56">
        <f>[2]Trucks!K1740</f>
        <v>0</v>
      </c>
      <c r="H1743" s="46">
        <f>[2]Trucks!I1740</f>
        <v>0</v>
      </c>
      <c r="I1743" s="83" t="str">
        <f t="shared" si="135"/>
        <v/>
      </c>
      <c r="J1743" s="272" t="str">
        <f>IFERROR(VLOOKUP((D1743&amp;C1743)&amp;"",'[2]Retail Price List'!$C$4:$F$102,3,FALSE),"")</f>
        <v/>
      </c>
      <c r="K1743" s="272">
        <f>IFERROR(IF(BA1743="WIP - 30 Days",VLOOKUP(D1743,[3]Standard!$B$9:$E$101,4,FALSE),IF(BA1743="31-120 Days",VLOOKUP(D1743,[3]Standard!$B$9:$F$101,5,FALSE),IF(BA1743="121-365 Days",VLOOKUP(D1743,[3]Standard!$B$9:$G$101,6,FALSE),VLOOKUP(D1743,[3]Standard!$B$9:$H$101,7,FALSE)))),0)</f>
        <v>0</v>
      </c>
      <c r="L1743" s="272">
        <f>IFERROR(IF(BA1743="WIP - 30 Days",VLOOKUP(D1743,[3]Standard!$B$9:$J$101,9,FALSE),IF(BA1743="31-120 Days",VLOOKUP(D1743,[3]Standard!$B$9:$K$100,10,FALSE),IF(BA1743="121-365 Days",VLOOKUP(D1743,[3]Standard!$B$9:$L$101,11,FALSE),VLOOKUP(D1743,[3]Standard!$B$9:$M$101,12,FALSE)))),0)</f>
        <v>0</v>
      </c>
      <c r="M1743" s="269" t="str">
        <f>IFERROR(VLOOKUP((D1743&amp;C1743)&amp;"",'[2]Retail Price List'!$C$4:$F$102,4,FALSE),"")</f>
        <v/>
      </c>
      <c r="N1743" s="269">
        <f>IFERROR(IF(BA1743="WIP - 30 Days",VLOOKUP(D1743,[3]Extended!$B$9:$E$101,4,FALSE),IF(BA1743="31-120 Days",VLOOKUP(D1743,[3]Extended!$B$9:$F$101,5,FALSE),IF(BA1743="121-365 Days",VLOOKUP(D1743,[3]Extended!$B$9:$G$101,6,FALSE),VLOOKUP(D1743,[3]Extended!$B$9:$H$101,7,FALSE)))),0)</f>
        <v>0</v>
      </c>
      <c r="O1743" s="269">
        <f>IFERROR(IF(BA1743="WIP - 30 Days",VLOOKUP(D1743,[3]Extended!$B$9:$J$101,9,FALSE),IF(BA1743="31-120 Days",VLOOKUP(D1743,[3]Extended!$B$9:$K$101,10,FALSE),IF(BA1743="121-365 Days",VLOOKUP(D1743,[3]Extended!$B$9:$L$101,11,FALSE),VLOOKUP(D1743,[3]Extended!$B$9:$M$101,12,FALSE)))),0)</f>
        <v>0</v>
      </c>
      <c r="P1743" s="116" t="e">
        <f t="shared" si="136"/>
        <v>#VALUE!</v>
      </c>
      <c r="Q1743" s="110" t="e">
        <f>O1743-#REF!</f>
        <v>#REF!</v>
      </c>
      <c r="AT1743" s="88" t="str">
        <f t="shared" si="137"/>
        <v>Special Order0</v>
      </c>
      <c r="AU1743" s="89" t="str">
        <f t="shared" si="138"/>
        <v>01-1900</v>
      </c>
      <c r="BA1743" s="92" t="str">
        <f t="shared" si="139"/>
        <v/>
      </c>
    </row>
    <row r="1744" spans="2:53">
      <c r="B1744" s="60">
        <f>[2]Trucks!A1741</f>
        <v>0</v>
      </c>
      <c r="C1744" s="11">
        <f>[2]Trucks!B1741</f>
        <v>0</v>
      </c>
      <c r="D1744" s="19" t="str">
        <f>IFERROR(VLOOKUP(C1744&amp;"",'[2]Retail Price List'!$A$3:$B$103,2,FALSE),"Special Order")</f>
        <v>Special Order</v>
      </c>
      <c r="E1744" s="18">
        <f>[2]Trucks!J1741</f>
        <v>0</v>
      </c>
      <c r="F1744" s="12">
        <f>[2]Trucks!E1741</f>
        <v>0</v>
      </c>
      <c r="G1744" s="56">
        <f>[2]Trucks!K1741</f>
        <v>0</v>
      </c>
      <c r="H1744" s="46">
        <f>[2]Trucks!I1741</f>
        <v>0</v>
      </c>
      <c r="I1744" s="83" t="str">
        <f t="shared" si="135"/>
        <v/>
      </c>
      <c r="J1744" s="272" t="str">
        <f>IFERROR(VLOOKUP((D1744&amp;C1744)&amp;"",'[2]Retail Price List'!$C$4:$F$102,3,FALSE),"")</f>
        <v/>
      </c>
      <c r="K1744" s="272">
        <f>IFERROR(IF(BA1744="WIP - 30 Days",VLOOKUP(D1744,[3]Standard!$B$9:$E$101,4,FALSE),IF(BA1744="31-120 Days",VLOOKUP(D1744,[3]Standard!$B$9:$F$101,5,FALSE),IF(BA1744="121-365 Days",VLOOKUP(D1744,[3]Standard!$B$9:$G$101,6,FALSE),VLOOKUP(D1744,[3]Standard!$B$9:$H$101,7,FALSE)))),0)</f>
        <v>0</v>
      </c>
      <c r="L1744" s="272">
        <f>IFERROR(IF(BA1744="WIP - 30 Days",VLOOKUP(D1744,[3]Standard!$B$9:$J$101,9,FALSE),IF(BA1744="31-120 Days",VLOOKUP(D1744,[3]Standard!$B$9:$K$100,10,FALSE),IF(BA1744="121-365 Days",VLOOKUP(D1744,[3]Standard!$B$9:$L$101,11,FALSE),VLOOKUP(D1744,[3]Standard!$B$9:$M$101,12,FALSE)))),0)</f>
        <v>0</v>
      </c>
      <c r="M1744" s="269" t="str">
        <f>IFERROR(VLOOKUP((D1744&amp;C1744)&amp;"",'[2]Retail Price List'!$C$4:$F$102,4,FALSE),"")</f>
        <v/>
      </c>
      <c r="N1744" s="269">
        <f>IFERROR(IF(BA1744="WIP - 30 Days",VLOOKUP(D1744,[3]Extended!$B$9:$E$101,4,FALSE),IF(BA1744="31-120 Days",VLOOKUP(D1744,[3]Extended!$B$9:$F$101,5,FALSE),IF(BA1744="121-365 Days",VLOOKUP(D1744,[3]Extended!$B$9:$G$101,6,FALSE),VLOOKUP(D1744,[3]Extended!$B$9:$H$101,7,FALSE)))),0)</f>
        <v>0</v>
      </c>
      <c r="O1744" s="269">
        <f>IFERROR(IF(BA1744="WIP - 30 Days",VLOOKUP(D1744,[3]Extended!$B$9:$J$101,9,FALSE),IF(BA1744="31-120 Days",VLOOKUP(D1744,[3]Extended!$B$9:$K$101,10,FALSE),IF(BA1744="121-365 Days",VLOOKUP(D1744,[3]Extended!$B$9:$L$101,11,FALSE),VLOOKUP(D1744,[3]Extended!$B$9:$M$101,12,FALSE)))),0)</f>
        <v>0</v>
      </c>
      <c r="P1744" s="116" t="e">
        <f t="shared" si="136"/>
        <v>#VALUE!</v>
      </c>
      <c r="Q1744" s="110" t="e">
        <f>O1744-#REF!</f>
        <v>#REF!</v>
      </c>
      <c r="AT1744" s="88" t="str">
        <f t="shared" si="137"/>
        <v>Special Order0</v>
      </c>
      <c r="AU1744" s="89" t="str">
        <f t="shared" si="138"/>
        <v>01-1900</v>
      </c>
      <c r="BA1744" s="92" t="str">
        <f t="shared" si="139"/>
        <v/>
      </c>
    </row>
    <row r="1745" spans="2:53">
      <c r="B1745" s="60">
        <f>[2]Trucks!A1742</f>
        <v>0</v>
      </c>
      <c r="C1745" s="11">
        <f>[2]Trucks!B1742</f>
        <v>0</v>
      </c>
      <c r="D1745" s="19" t="str">
        <f>IFERROR(VLOOKUP(C1745&amp;"",'[2]Retail Price List'!$A$3:$B$103,2,FALSE),"Special Order")</f>
        <v>Special Order</v>
      </c>
      <c r="E1745" s="18">
        <f>[2]Trucks!J1742</f>
        <v>0</v>
      </c>
      <c r="F1745" s="12">
        <f>[2]Trucks!E1742</f>
        <v>0</v>
      </c>
      <c r="G1745" s="56">
        <f>[2]Trucks!K1742</f>
        <v>0</v>
      </c>
      <c r="H1745" s="46">
        <f>[2]Trucks!I1742</f>
        <v>0</v>
      </c>
      <c r="I1745" s="83" t="str">
        <f t="shared" si="135"/>
        <v/>
      </c>
      <c r="J1745" s="272" t="str">
        <f>IFERROR(VLOOKUP((D1745&amp;C1745)&amp;"",'[2]Retail Price List'!$C$4:$F$102,3,FALSE),"")</f>
        <v/>
      </c>
      <c r="K1745" s="272">
        <f>IFERROR(IF(BA1745="WIP - 30 Days",VLOOKUP(D1745,[3]Standard!$B$9:$E$101,4,FALSE),IF(BA1745="31-120 Days",VLOOKUP(D1745,[3]Standard!$B$9:$F$101,5,FALSE),IF(BA1745="121-365 Days",VLOOKUP(D1745,[3]Standard!$B$9:$G$101,6,FALSE),VLOOKUP(D1745,[3]Standard!$B$9:$H$101,7,FALSE)))),0)</f>
        <v>0</v>
      </c>
      <c r="L1745" s="272">
        <f>IFERROR(IF(BA1745="WIP - 30 Days",VLOOKUP(D1745,[3]Standard!$B$9:$J$101,9,FALSE),IF(BA1745="31-120 Days",VLOOKUP(D1745,[3]Standard!$B$9:$K$100,10,FALSE),IF(BA1745="121-365 Days",VLOOKUP(D1745,[3]Standard!$B$9:$L$101,11,FALSE),VLOOKUP(D1745,[3]Standard!$B$9:$M$101,12,FALSE)))),0)</f>
        <v>0</v>
      </c>
      <c r="M1745" s="269" t="str">
        <f>IFERROR(VLOOKUP((D1745&amp;C1745)&amp;"",'[2]Retail Price List'!$C$4:$F$102,4,FALSE),"")</f>
        <v/>
      </c>
      <c r="N1745" s="269">
        <f>IFERROR(IF(BA1745="WIP - 30 Days",VLOOKUP(D1745,[3]Extended!$B$9:$E$101,4,FALSE),IF(BA1745="31-120 Days",VLOOKUP(D1745,[3]Extended!$B$9:$F$101,5,FALSE),IF(BA1745="121-365 Days",VLOOKUP(D1745,[3]Extended!$B$9:$G$101,6,FALSE),VLOOKUP(D1745,[3]Extended!$B$9:$H$101,7,FALSE)))),0)</f>
        <v>0</v>
      </c>
      <c r="O1745" s="269">
        <f>IFERROR(IF(BA1745="WIP - 30 Days",VLOOKUP(D1745,[3]Extended!$B$9:$J$101,9,FALSE),IF(BA1745="31-120 Days",VLOOKUP(D1745,[3]Extended!$B$9:$K$101,10,FALSE),IF(BA1745="121-365 Days",VLOOKUP(D1745,[3]Extended!$B$9:$L$101,11,FALSE),VLOOKUP(D1745,[3]Extended!$B$9:$M$101,12,FALSE)))),0)</f>
        <v>0</v>
      </c>
      <c r="P1745" s="116" t="e">
        <f t="shared" si="136"/>
        <v>#VALUE!</v>
      </c>
      <c r="Q1745" s="110" t="e">
        <f>O1745-#REF!</f>
        <v>#REF!</v>
      </c>
      <c r="AT1745" s="88" t="str">
        <f t="shared" si="137"/>
        <v>Special Order0</v>
      </c>
      <c r="AU1745" s="89" t="str">
        <f t="shared" si="138"/>
        <v>01-1900</v>
      </c>
      <c r="BA1745" s="92" t="str">
        <f t="shared" si="139"/>
        <v/>
      </c>
    </row>
    <row r="1746" spans="2:53">
      <c r="B1746" s="60">
        <f>[2]Trucks!A1743</f>
        <v>0</v>
      </c>
      <c r="C1746" s="11">
        <f>[2]Trucks!B1743</f>
        <v>0</v>
      </c>
      <c r="D1746" s="19" t="str">
        <f>IFERROR(VLOOKUP(C1746&amp;"",'[2]Retail Price List'!$A$3:$B$103,2,FALSE),"Special Order")</f>
        <v>Special Order</v>
      </c>
      <c r="E1746" s="18">
        <f>[2]Trucks!J1743</f>
        <v>0</v>
      </c>
      <c r="F1746" s="12">
        <f>[2]Trucks!E1743</f>
        <v>0</v>
      </c>
      <c r="G1746" s="56">
        <f>[2]Trucks!K1743</f>
        <v>0</v>
      </c>
      <c r="H1746" s="46">
        <f>[2]Trucks!I1743</f>
        <v>0</v>
      </c>
      <c r="I1746" s="83" t="str">
        <f t="shared" si="135"/>
        <v/>
      </c>
      <c r="J1746" s="272" t="str">
        <f>IFERROR(VLOOKUP((D1746&amp;C1746)&amp;"",'[2]Retail Price List'!$C$4:$F$102,3,FALSE),"")</f>
        <v/>
      </c>
      <c r="K1746" s="272">
        <f>IFERROR(IF(BA1746="WIP - 30 Days",VLOOKUP(D1746,[3]Standard!$B$9:$E$101,4,FALSE),IF(BA1746="31-120 Days",VLOOKUP(D1746,[3]Standard!$B$9:$F$101,5,FALSE),IF(BA1746="121-365 Days",VLOOKUP(D1746,[3]Standard!$B$9:$G$101,6,FALSE),VLOOKUP(D1746,[3]Standard!$B$9:$H$101,7,FALSE)))),0)</f>
        <v>0</v>
      </c>
      <c r="L1746" s="272">
        <f>IFERROR(IF(BA1746="WIP - 30 Days",VLOOKUP(D1746,[3]Standard!$B$9:$J$101,9,FALSE),IF(BA1746="31-120 Days",VLOOKUP(D1746,[3]Standard!$B$9:$K$100,10,FALSE),IF(BA1746="121-365 Days",VLOOKUP(D1746,[3]Standard!$B$9:$L$101,11,FALSE),VLOOKUP(D1746,[3]Standard!$B$9:$M$101,12,FALSE)))),0)</f>
        <v>0</v>
      </c>
      <c r="M1746" s="269" t="str">
        <f>IFERROR(VLOOKUP((D1746&amp;C1746)&amp;"",'[2]Retail Price List'!$C$4:$F$102,4,FALSE),"")</f>
        <v/>
      </c>
      <c r="N1746" s="269">
        <f>IFERROR(IF(BA1746="WIP - 30 Days",VLOOKUP(D1746,[3]Extended!$B$9:$E$101,4,FALSE),IF(BA1746="31-120 Days",VLOOKUP(D1746,[3]Extended!$B$9:$F$101,5,FALSE),IF(BA1746="121-365 Days",VLOOKUP(D1746,[3]Extended!$B$9:$G$101,6,FALSE),VLOOKUP(D1746,[3]Extended!$B$9:$H$101,7,FALSE)))),0)</f>
        <v>0</v>
      </c>
      <c r="O1746" s="269">
        <f>IFERROR(IF(BA1746="WIP - 30 Days",VLOOKUP(D1746,[3]Extended!$B$9:$J$101,9,FALSE),IF(BA1746="31-120 Days",VLOOKUP(D1746,[3]Extended!$B$9:$K$101,10,FALSE),IF(BA1746="121-365 Days",VLOOKUP(D1746,[3]Extended!$B$9:$L$101,11,FALSE),VLOOKUP(D1746,[3]Extended!$B$9:$M$101,12,FALSE)))),0)</f>
        <v>0</v>
      </c>
      <c r="P1746" s="116" t="e">
        <f t="shared" si="136"/>
        <v>#VALUE!</v>
      </c>
      <c r="Q1746" s="110" t="e">
        <f>O1746-#REF!</f>
        <v>#REF!</v>
      </c>
      <c r="AT1746" s="88" t="str">
        <f t="shared" si="137"/>
        <v>Special Order0</v>
      </c>
      <c r="AU1746" s="89" t="str">
        <f t="shared" si="138"/>
        <v>01-1900</v>
      </c>
      <c r="BA1746" s="92" t="str">
        <f t="shared" si="139"/>
        <v/>
      </c>
    </row>
    <row r="1747" spans="2:53">
      <c r="B1747" s="60">
        <f>[2]Trucks!A1744</f>
        <v>0</v>
      </c>
      <c r="C1747" s="11">
        <f>[2]Trucks!B1744</f>
        <v>0</v>
      </c>
      <c r="D1747" s="19" t="str">
        <f>IFERROR(VLOOKUP(C1747&amp;"",'[2]Retail Price List'!$A$3:$B$103,2,FALSE),"Special Order")</f>
        <v>Special Order</v>
      </c>
      <c r="E1747" s="18">
        <f>[2]Trucks!J1744</f>
        <v>0</v>
      </c>
      <c r="F1747" s="12">
        <f>[2]Trucks!E1744</f>
        <v>0</v>
      </c>
      <c r="G1747" s="56">
        <f>[2]Trucks!K1744</f>
        <v>0</v>
      </c>
      <c r="H1747" s="46">
        <f>[2]Trucks!I1744</f>
        <v>0</v>
      </c>
      <c r="I1747" s="83" t="str">
        <f t="shared" si="135"/>
        <v/>
      </c>
      <c r="J1747" s="272" t="str">
        <f>IFERROR(VLOOKUP((D1747&amp;C1747)&amp;"",'[2]Retail Price List'!$C$4:$F$102,3,FALSE),"")</f>
        <v/>
      </c>
      <c r="K1747" s="272">
        <f>IFERROR(IF(BA1747="WIP - 30 Days",VLOOKUP(D1747,[3]Standard!$B$9:$E$101,4,FALSE),IF(BA1747="31-120 Days",VLOOKUP(D1747,[3]Standard!$B$9:$F$101,5,FALSE),IF(BA1747="121-365 Days",VLOOKUP(D1747,[3]Standard!$B$9:$G$101,6,FALSE),VLOOKUP(D1747,[3]Standard!$B$9:$H$101,7,FALSE)))),0)</f>
        <v>0</v>
      </c>
      <c r="L1747" s="272">
        <f>IFERROR(IF(BA1747="WIP - 30 Days",VLOOKUP(D1747,[3]Standard!$B$9:$J$101,9,FALSE),IF(BA1747="31-120 Days",VLOOKUP(D1747,[3]Standard!$B$9:$K$100,10,FALSE),IF(BA1747="121-365 Days",VLOOKUP(D1747,[3]Standard!$B$9:$L$101,11,FALSE),VLOOKUP(D1747,[3]Standard!$B$9:$M$101,12,FALSE)))),0)</f>
        <v>0</v>
      </c>
      <c r="M1747" s="269" t="str">
        <f>IFERROR(VLOOKUP((D1747&amp;C1747)&amp;"",'[2]Retail Price List'!$C$4:$F$102,4,FALSE),"")</f>
        <v/>
      </c>
      <c r="N1747" s="269">
        <f>IFERROR(IF(BA1747="WIP - 30 Days",VLOOKUP(D1747,[3]Extended!$B$9:$E$101,4,FALSE),IF(BA1747="31-120 Days",VLOOKUP(D1747,[3]Extended!$B$9:$F$101,5,FALSE),IF(BA1747="121-365 Days",VLOOKUP(D1747,[3]Extended!$B$9:$G$101,6,FALSE),VLOOKUP(D1747,[3]Extended!$B$9:$H$101,7,FALSE)))),0)</f>
        <v>0</v>
      </c>
      <c r="O1747" s="269">
        <f>IFERROR(IF(BA1747="WIP - 30 Days",VLOOKUP(D1747,[3]Extended!$B$9:$J$101,9,FALSE),IF(BA1747="31-120 Days",VLOOKUP(D1747,[3]Extended!$B$9:$K$101,10,FALSE),IF(BA1747="121-365 Days",VLOOKUP(D1747,[3]Extended!$B$9:$L$101,11,FALSE),VLOOKUP(D1747,[3]Extended!$B$9:$M$101,12,FALSE)))),0)</f>
        <v>0</v>
      </c>
      <c r="P1747" s="116" t="e">
        <f t="shared" si="136"/>
        <v>#VALUE!</v>
      </c>
      <c r="Q1747" s="110" t="e">
        <f>O1747-#REF!</f>
        <v>#REF!</v>
      </c>
      <c r="AT1747" s="88" t="str">
        <f t="shared" si="137"/>
        <v>Special Order0</v>
      </c>
      <c r="AU1747" s="89" t="str">
        <f t="shared" si="138"/>
        <v>01-1900</v>
      </c>
      <c r="BA1747" s="92" t="str">
        <f t="shared" si="139"/>
        <v/>
      </c>
    </row>
    <row r="1748" spans="2:53">
      <c r="B1748" s="60">
        <f>[2]Trucks!A1745</f>
        <v>0</v>
      </c>
      <c r="C1748" s="11">
        <f>[2]Trucks!B1745</f>
        <v>0</v>
      </c>
      <c r="D1748" s="19" t="str">
        <f>IFERROR(VLOOKUP(C1748&amp;"",'[2]Retail Price List'!$A$3:$B$103,2,FALSE),"Special Order")</f>
        <v>Special Order</v>
      </c>
      <c r="E1748" s="18">
        <f>[2]Trucks!J1745</f>
        <v>0</v>
      </c>
      <c r="F1748" s="12">
        <f>[2]Trucks!E1745</f>
        <v>0</v>
      </c>
      <c r="G1748" s="56">
        <f>[2]Trucks!K1745</f>
        <v>0</v>
      </c>
      <c r="H1748" s="46">
        <f>[2]Trucks!I1745</f>
        <v>0</v>
      </c>
      <c r="I1748" s="83" t="str">
        <f t="shared" si="135"/>
        <v/>
      </c>
      <c r="J1748" s="272" t="str">
        <f>IFERROR(VLOOKUP((D1748&amp;C1748)&amp;"",'[2]Retail Price List'!$C$4:$F$102,3,FALSE),"")</f>
        <v/>
      </c>
      <c r="K1748" s="272">
        <f>IFERROR(IF(BA1748="WIP - 30 Days",VLOOKUP(D1748,[3]Standard!$B$9:$E$101,4,FALSE),IF(BA1748="31-120 Days",VLOOKUP(D1748,[3]Standard!$B$9:$F$101,5,FALSE),IF(BA1748="121-365 Days",VLOOKUP(D1748,[3]Standard!$B$9:$G$101,6,FALSE),VLOOKUP(D1748,[3]Standard!$B$9:$H$101,7,FALSE)))),0)</f>
        <v>0</v>
      </c>
      <c r="L1748" s="272">
        <f>IFERROR(IF(BA1748="WIP - 30 Days",VLOOKUP(D1748,[3]Standard!$B$9:$J$101,9,FALSE),IF(BA1748="31-120 Days",VLOOKUP(D1748,[3]Standard!$B$9:$K$100,10,FALSE),IF(BA1748="121-365 Days",VLOOKUP(D1748,[3]Standard!$B$9:$L$101,11,FALSE),VLOOKUP(D1748,[3]Standard!$B$9:$M$101,12,FALSE)))),0)</f>
        <v>0</v>
      </c>
      <c r="M1748" s="269" t="str">
        <f>IFERROR(VLOOKUP((D1748&amp;C1748)&amp;"",'[2]Retail Price List'!$C$4:$F$102,4,FALSE),"")</f>
        <v/>
      </c>
      <c r="N1748" s="269">
        <f>IFERROR(IF(BA1748="WIP - 30 Days",VLOOKUP(D1748,[3]Extended!$B$9:$E$101,4,FALSE),IF(BA1748="31-120 Days",VLOOKUP(D1748,[3]Extended!$B$9:$F$101,5,FALSE),IF(BA1748="121-365 Days",VLOOKUP(D1748,[3]Extended!$B$9:$G$101,6,FALSE),VLOOKUP(D1748,[3]Extended!$B$9:$H$101,7,FALSE)))),0)</f>
        <v>0</v>
      </c>
      <c r="O1748" s="269">
        <f>IFERROR(IF(BA1748="WIP - 30 Days",VLOOKUP(D1748,[3]Extended!$B$9:$J$101,9,FALSE),IF(BA1748="31-120 Days",VLOOKUP(D1748,[3]Extended!$B$9:$K$101,10,FALSE),IF(BA1748="121-365 Days",VLOOKUP(D1748,[3]Extended!$B$9:$L$101,11,FALSE),VLOOKUP(D1748,[3]Extended!$B$9:$M$101,12,FALSE)))),0)</f>
        <v>0</v>
      </c>
      <c r="P1748" s="116" t="e">
        <f t="shared" si="136"/>
        <v>#VALUE!</v>
      </c>
      <c r="Q1748" s="110" t="e">
        <f>O1748-#REF!</f>
        <v>#REF!</v>
      </c>
      <c r="AT1748" s="88" t="str">
        <f t="shared" si="137"/>
        <v>Special Order0</v>
      </c>
      <c r="AU1748" s="89" t="str">
        <f t="shared" si="138"/>
        <v>01-1900</v>
      </c>
      <c r="BA1748" s="92" t="str">
        <f t="shared" si="139"/>
        <v/>
      </c>
    </row>
    <row r="1749" spans="2:53">
      <c r="B1749" s="60">
        <f>[2]Trucks!A1746</f>
        <v>0</v>
      </c>
      <c r="C1749" s="11">
        <f>[2]Trucks!B1746</f>
        <v>0</v>
      </c>
      <c r="D1749" s="19" t="str">
        <f>IFERROR(VLOOKUP(C1749&amp;"",'[2]Retail Price List'!$A$3:$B$103,2,FALSE),"Special Order")</f>
        <v>Special Order</v>
      </c>
      <c r="E1749" s="18">
        <f>[2]Trucks!J1746</f>
        <v>0</v>
      </c>
      <c r="F1749" s="12">
        <f>[2]Trucks!E1746</f>
        <v>0</v>
      </c>
      <c r="G1749" s="56">
        <f>[2]Trucks!K1746</f>
        <v>0</v>
      </c>
      <c r="H1749" s="46">
        <f>[2]Trucks!I1746</f>
        <v>0</v>
      </c>
      <c r="I1749" s="83" t="str">
        <f t="shared" si="135"/>
        <v/>
      </c>
      <c r="J1749" s="272" t="str">
        <f>IFERROR(VLOOKUP((D1749&amp;C1749)&amp;"",'[2]Retail Price List'!$C$4:$F$102,3,FALSE),"")</f>
        <v/>
      </c>
      <c r="K1749" s="272">
        <f>IFERROR(IF(BA1749="WIP - 30 Days",VLOOKUP(D1749,[3]Standard!$B$9:$E$101,4,FALSE),IF(BA1749="31-120 Days",VLOOKUP(D1749,[3]Standard!$B$9:$F$101,5,FALSE),IF(BA1749="121-365 Days",VLOOKUP(D1749,[3]Standard!$B$9:$G$101,6,FALSE),VLOOKUP(D1749,[3]Standard!$B$9:$H$101,7,FALSE)))),0)</f>
        <v>0</v>
      </c>
      <c r="L1749" s="272">
        <f>IFERROR(IF(BA1749="WIP - 30 Days",VLOOKUP(D1749,[3]Standard!$B$9:$J$101,9,FALSE),IF(BA1749="31-120 Days",VLOOKUP(D1749,[3]Standard!$B$9:$K$100,10,FALSE),IF(BA1749="121-365 Days",VLOOKUP(D1749,[3]Standard!$B$9:$L$101,11,FALSE),VLOOKUP(D1749,[3]Standard!$B$9:$M$101,12,FALSE)))),0)</f>
        <v>0</v>
      </c>
      <c r="M1749" s="269" t="str">
        <f>IFERROR(VLOOKUP((D1749&amp;C1749)&amp;"",'[2]Retail Price List'!$C$4:$F$102,4,FALSE),"")</f>
        <v/>
      </c>
      <c r="N1749" s="269">
        <f>IFERROR(IF(BA1749="WIP - 30 Days",VLOOKUP(D1749,[3]Extended!$B$9:$E$101,4,FALSE),IF(BA1749="31-120 Days",VLOOKUP(D1749,[3]Extended!$B$9:$F$101,5,FALSE),IF(BA1749="121-365 Days",VLOOKUP(D1749,[3]Extended!$B$9:$G$101,6,FALSE),VLOOKUP(D1749,[3]Extended!$B$9:$H$101,7,FALSE)))),0)</f>
        <v>0</v>
      </c>
      <c r="O1749" s="269">
        <f>IFERROR(IF(BA1749="WIP - 30 Days",VLOOKUP(D1749,[3]Extended!$B$9:$J$101,9,FALSE),IF(BA1749="31-120 Days",VLOOKUP(D1749,[3]Extended!$B$9:$K$101,10,FALSE),IF(BA1749="121-365 Days",VLOOKUP(D1749,[3]Extended!$B$9:$L$101,11,FALSE),VLOOKUP(D1749,[3]Extended!$B$9:$M$101,12,FALSE)))),0)</f>
        <v>0</v>
      </c>
      <c r="P1749" s="116" t="e">
        <f t="shared" si="136"/>
        <v>#VALUE!</v>
      </c>
      <c r="Q1749" s="110" t="e">
        <f>O1749-#REF!</f>
        <v>#REF!</v>
      </c>
      <c r="AT1749" s="88" t="str">
        <f t="shared" si="137"/>
        <v>Special Order0</v>
      </c>
      <c r="AU1749" s="89" t="str">
        <f t="shared" si="138"/>
        <v>01-1900</v>
      </c>
      <c r="BA1749" s="92" t="str">
        <f t="shared" si="139"/>
        <v/>
      </c>
    </row>
    <row r="1750" spans="2:53">
      <c r="B1750" s="60">
        <f>[2]Trucks!A1747</f>
        <v>0</v>
      </c>
      <c r="C1750" s="11">
        <f>[2]Trucks!B1747</f>
        <v>0</v>
      </c>
      <c r="D1750" s="19" t="str">
        <f>IFERROR(VLOOKUP(C1750&amp;"",'[2]Retail Price List'!$A$3:$B$103,2,FALSE),"Special Order")</f>
        <v>Special Order</v>
      </c>
      <c r="E1750" s="18">
        <f>[2]Trucks!J1747</f>
        <v>0</v>
      </c>
      <c r="F1750" s="12">
        <f>[2]Trucks!E1747</f>
        <v>0</v>
      </c>
      <c r="G1750" s="56">
        <f>[2]Trucks!K1747</f>
        <v>0</v>
      </c>
      <c r="H1750" s="46">
        <f>[2]Trucks!I1747</f>
        <v>0</v>
      </c>
      <c r="I1750" s="83" t="str">
        <f t="shared" si="135"/>
        <v/>
      </c>
      <c r="J1750" s="272" t="str">
        <f>IFERROR(VLOOKUP((D1750&amp;C1750)&amp;"",'[2]Retail Price List'!$C$4:$F$102,3,FALSE),"")</f>
        <v/>
      </c>
      <c r="K1750" s="272">
        <f>IFERROR(IF(BA1750="WIP - 30 Days",VLOOKUP(D1750,[3]Standard!$B$9:$E$101,4,FALSE),IF(BA1750="31-120 Days",VLOOKUP(D1750,[3]Standard!$B$9:$F$101,5,FALSE),IF(BA1750="121-365 Days",VLOOKUP(D1750,[3]Standard!$B$9:$G$101,6,FALSE),VLOOKUP(D1750,[3]Standard!$B$9:$H$101,7,FALSE)))),0)</f>
        <v>0</v>
      </c>
      <c r="L1750" s="272">
        <f>IFERROR(IF(BA1750="WIP - 30 Days",VLOOKUP(D1750,[3]Standard!$B$9:$J$101,9,FALSE),IF(BA1750="31-120 Days",VLOOKUP(D1750,[3]Standard!$B$9:$K$100,10,FALSE),IF(BA1750="121-365 Days",VLOOKUP(D1750,[3]Standard!$B$9:$L$101,11,FALSE),VLOOKUP(D1750,[3]Standard!$B$9:$M$101,12,FALSE)))),0)</f>
        <v>0</v>
      </c>
      <c r="M1750" s="269" t="str">
        <f>IFERROR(VLOOKUP((D1750&amp;C1750)&amp;"",'[2]Retail Price List'!$C$4:$F$102,4,FALSE),"")</f>
        <v/>
      </c>
      <c r="N1750" s="269">
        <f>IFERROR(IF(BA1750="WIP - 30 Days",VLOOKUP(D1750,[3]Extended!$B$9:$E$101,4,FALSE),IF(BA1750="31-120 Days",VLOOKUP(D1750,[3]Extended!$B$9:$F$101,5,FALSE),IF(BA1750="121-365 Days",VLOOKUP(D1750,[3]Extended!$B$9:$G$101,6,FALSE),VLOOKUP(D1750,[3]Extended!$B$9:$H$101,7,FALSE)))),0)</f>
        <v>0</v>
      </c>
      <c r="O1750" s="269">
        <f>IFERROR(IF(BA1750="WIP - 30 Days",VLOOKUP(D1750,[3]Extended!$B$9:$J$101,9,FALSE),IF(BA1750="31-120 Days",VLOOKUP(D1750,[3]Extended!$B$9:$K$101,10,FALSE),IF(BA1750="121-365 Days",VLOOKUP(D1750,[3]Extended!$B$9:$L$101,11,FALSE),VLOOKUP(D1750,[3]Extended!$B$9:$M$101,12,FALSE)))),0)</f>
        <v>0</v>
      </c>
      <c r="P1750" s="116" t="e">
        <f t="shared" si="136"/>
        <v>#VALUE!</v>
      </c>
      <c r="Q1750" s="110" t="e">
        <f>O1750-#REF!</f>
        <v>#REF!</v>
      </c>
      <c r="AT1750" s="88" t="str">
        <f t="shared" si="137"/>
        <v>Special Order0</v>
      </c>
      <c r="AU1750" s="89" t="str">
        <f t="shared" si="138"/>
        <v>01-1900</v>
      </c>
      <c r="BA1750" s="92" t="str">
        <f t="shared" si="139"/>
        <v/>
      </c>
    </row>
    <row r="1751" spans="2:53">
      <c r="B1751" s="60">
        <f>[2]Trucks!A1748</f>
        <v>0</v>
      </c>
      <c r="C1751" s="11">
        <f>[2]Trucks!B1748</f>
        <v>0</v>
      </c>
      <c r="D1751" s="19" t="str">
        <f>IFERROR(VLOOKUP(C1751&amp;"",'[2]Retail Price List'!$A$3:$B$103,2,FALSE),"Special Order")</f>
        <v>Special Order</v>
      </c>
      <c r="E1751" s="18">
        <f>[2]Trucks!J1748</f>
        <v>0</v>
      </c>
      <c r="F1751" s="12">
        <f>[2]Trucks!E1748</f>
        <v>0</v>
      </c>
      <c r="G1751" s="56">
        <f>[2]Trucks!K1748</f>
        <v>0</v>
      </c>
      <c r="H1751" s="46">
        <f>[2]Trucks!I1748</f>
        <v>0</v>
      </c>
      <c r="I1751" s="83" t="str">
        <f t="shared" si="135"/>
        <v/>
      </c>
      <c r="J1751" s="272" t="str">
        <f>IFERROR(VLOOKUP((D1751&amp;C1751)&amp;"",'[2]Retail Price List'!$C$4:$F$102,3,FALSE),"")</f>
        <v/>
      </c>
      <c r="K1751" s="272">
        <f>IFERROR(IF(BA1751="WIP - 30 Days",VLOOKUP(D1751,[3]Standard!$B$9:$E$101,4,FALSE),IF(BA1751="31-120 Days",VLOOKUP(D1751,[3]Standard!$B$9:$F$101,5,FALSE),IF(BA1751="121-365 Days",VLOOKUP(D1751,[3]Standard!$B$9:$G$101,6,FALSE),VLOOKUP(D1751,[3]Standard!$B$9:$H$101,7,FALSE)))),0)</f>
        <v>0</v>
      </c>
      <c r="L1751" s="272">
        <f>IFERROR(IF(BA1751="WIP - 30 Days",VLOOKUP(D1751,[3]Standard!$B$9:$J$101,9,FALSE),IF(BA1751="31-120 Days",VLOOKUP(D1751,[3]Standard!$B$9:$K$100,10,FALSE),IF(BA1751="121-365 Days",VLOOKUP(D1751,[3]Standard!$B$9:$L$101,11,FALSE),VLOOKUP(D1751,[3]Standard!$B$9:$M$101,12,FALSE)))),0)</f>
        <v>0</v>
      </c>
      <c r="M1751" s="269" t="str">
        <f>IFERROR(VLOOKUP((D1751&amp;C1751)&amp;"",'[2]Retail Price List'!$C$4:$F$102,4,FALSE),"")</f>
        <v/>
      </c>
      <c r="N1751" s="269">
        <f>IFERROR(IF(BA1751="WIP - 30 Days",VLOOKUP(D1751,[3]Extended!$B$9:$E$101,4,FALSE),IF(BA1751="31-120 Days",VLOOKUP(D1751,[3]Extended!$B$9:$F$101,5,FALSE),IF(BA1751="121-365 Days",VLOOKUP(D1751,[3]Extended!$B$9:$G$101,6,FALSE),VLOOKUP(D1751,[3]Extended!$B$9:$H$101,7,FALSE)))),0)</f>
        <v>0</v>
      </c>
      <c r="O1751" s="269">
        <f>IFERROR(IF(BA1751="WIP - 30 Days",VLOOKUP(D1751,[3]Extended!$B$9:$J$101,9,FALSE),IF(BA1751="31-120 Days",VLOOKUP(D1751,[3]Extended!$B$9:$K$101,10,FALSE),IF(BA1751="121-365 Days",VLOOKUP(D1751,[3]Extended!$B$9:$L$101,11,FALSE),VLOOKUP(D1751,[3]Extended!$B$9:$M$101,12,FALSE)))),0)</f>
        <v>0</v>
      </c>
      <c r="P1751" s="116" t="e">
        <f t="shared" si="136"/>
        <v>#VALUE!</v>
      </c>
      <c r="Q1751" s="110" t="e">
        <f>O1751-#REF!</f>
        <v>#REF!</v>
      </c>
      <c r="AT1751" s="88" t="str">
        <f t="shared" si="137"/>
        <v>Special Order0</v>
      </c>
      <c r="AU1751" s="89" t="str">
        <f t="shared" si="138"/>
        <v>01-1900</v>
      </c>
      <c r="BA1751" s="92" t="str">
        <f t="shared" si="139"/>
        <v/>
      </c>
    </row>
    <row r="1752" spans="2:53">
      <c r="B1752" s="60">
        <f>[2]Trucks!A1749</f>
        <v>0</v>
      </c>
      <c r="C1752" s="11">
        <f>[2]Trucks!B1749</f>
        <v>0</v>
      </c>
      <c r="D1752" s="19" t="str">
        <f>IFERROR(VLOOKUP(C1752&amp;"",'[2]Retail Price List'!$A$3:$B$103,2,FALSE),"Special Order")</f>
        <v>Special Order</v>
      </c>
      <c r="E1752" s="18">
        <f>[2]Trucks!J1749</f>
        <v>0</v>
      </c>
      <c r="F1752" s="12">
        <f>[2]Trucks!E1749</f>
        <v>0</v>
      </c>
      <c r="G1752" s="56">
        <f>[2]Trucks!K1749</f>
        <v>0</v>
      </c>
      <c r="H1752" s="46">
        <f>[2]Trucks!I1749</f>
        <v>0</v>
      </c>
      <c r="I1752" s="83" t="str">
        <f t="shared" si="135"/>
        <v/>
      </c>
      <c r="J1752" s="272" t="str">
        <f>IFERROR(VLOOKUP((D1752&amp;C1752)&amp;"",'[2]Retail Price List'!$C$4:$F$102,3,FALSE),"")</f>
        <v/>
      </c>
      <c r="K1752" s="272">
        <f>IFERROR(IF(BA1752="WIP - 30 Days",VLOOKUP(D1752,[3]Standard!$B$9:$E$101,4,FALSE),IF(BA1752="31-120 Days",VLOOKUP(D1752,[3]Standard!$B$9:$F$101,5,FALSE),IF(BA1752="121-365 Days",VLOOKUP(D1752,[3]Standard!$B$9:$G$101,6,FALSE),VLOOKUP(D1752,[3]Standard!$B$9:$H$101,7,FALSE)))),0)</f>
        <v>0</v>
      </c>
      <c r="L1752" s="272">
        <f>IFERROR(IF(BA1752="WIP - 30 Days",VLOOKUP(D1752,[3]Standard!$B$9:$J$101,9,FALSE),IF(BA1752="31-120 Days",VLOOKUP(D1752,[3]Standard!$B$9:$K$100,10,FALSE),IF(BA1752="121-365 Days",VLOOKUP(D1752,[3]Standard!$B$9:$L$101,11,FALSE),VLOOKUP(D1752,[3]Standard!$B$9:$M$101,12,FALSE)))),0)</f>
        <v>0</v>
      </c>
      <c r="M1752" s="269" t="str">
        <f>IFERROR(VLOOKUP((D1752&amp;C1752)&amp;"",'[2]Retail Price List'!$C$4:$F$102,4,FALSE),"")</f>
        <v/>
      </c>
      <c r="N1752" s="269">
        <f>IFERROR(IF(BA1752="WIP - 30 Days",VLOOKUP(D1752,[3]Extended!$B$9:$E$101,4,FALSE),IF(BA1752="31-120 Days",VLOOKUP(D1752,[3]Extended!$B$9:$F$101,5,FALSE),IF(BA1752="121-365 Days",VLOOKUP(D1752,[3]Extended!$B$9:$G$101,6,FALSE),VLOOKUP(D1752,[3]Extended!$B$9:$H$101,7,FALSE)))),0)</f>
        <v>0</v>
      </c>
      <c r="O1752" s="269">
        <f>IFERROR(IF(BA1752="WIP - 30 Days",VLOOKUP(D1752,[3]Extended!$B$9:$J$101,9,FALSE),IF(BA1752="31-120 Days",VLOOKUP(D1752,[3]Extended!$B$9:$K$101,10,FALSE),IF(BA1752="121-365 Days",VLOOKUP(D1752,[3]Extended!$B$9:$L$101,11,FALSE),VLOOKUP(D1752,[3]Extended!$B$9:$M$101,12,FALSE)))),0)</f>
        <v>0</v>
      </c>
      <c r="P1752" s="116" t="e">
        <f t="shared" si="136"/>
        <v>#VALUE!</v>
      </c>
      <c r="Q1752" s="110" t="e">
        <f>O1752-#REF!</f>
        <v>#REF!</v>
      </c>
      <c r="AT1752" s="88" t="str">
        <f t="shared" si="137"/>
        <v>Special Order0</v>
      </c>
      <c r="AU1752" s="89" t="str">
        <f t="shared" si="138"/>
        <v>01-1900</v>
      </c>
      <c r="BA1752" s="92" t="str">
        <f t="shared" si="139"/>
        <v/>
      </c>
    </row>
    <row r="1753" spans="2:53">
      <c r="B1753" s="60">
        <f>[2]Trucks!A1750</f>
        <v>0</v>
      </c>
      <c r="C1753" s="11">
        <f>[2]Trucks!B1750</f>
        <v>0</v>
      </c>
      <c r="D1753" s="19" t="str">
        <f>IFERROR(VLOOKUP(C1753&amp;"",'[2]Retail Price List'!$A$3:$B$103,2,FALSE),"Special Order")</f>
        <v>Special Order</v>
      </c>
      <c r="E1753" s="18">
        <f>[2]Trucks!J1750</f>
        <v>0</v>
      </c>
      <c r="F1753" s="12">
        <f>[2]Trucks!E1750</f>
        <v>0</v>
      </c>
      <c r="G1753" s="56">
        <f>[2]Trucks!K1750</f>
        <v>0</v>
      </c>
      <c r="H1753" s="46">
        <f>[2]Trucks!I1750</f>
        <v>0</v>
      </c>
      <c r="I1753" s="83" t="str">
        <f t="shared" si="135"/>
        <v/>
      </c>
      <c r="J1753" s="272" t="str">
        <f>IFERROR(VLOOKUP((D1753&amp;C1753)&amp;"",'[2]Retail Price List'!$C$4:$F$102,3,FALSE),"")</f>
        <v/>
      </c>
      <c r="K1753" s="272">
        <f>IFERROR(IF(BA1753="WIP - 30 Days",VLOOKUP(D1753,[3]Standard!$B$9:$E$101,4,FALSE),IF(BA1753="31-120 Days",VLOOKUP(D1753,[3]Standard!$B$9:$F$101,5,FALSE),IF(BA1753="121-365 Days",VLOOKUP(D1753,[3]Standard!$B$9:$G$101,6,FALSE),VLOOKUP(D1753,[3]Standard!$B$9:$H$101,7,FALSE)))),0)</f>
        <v>0</v>
      </c>
      <c r="L1753" s="272">
        <f>IFERROR(IF(BA1753="WIP - 30 Days",VLOOKUP(D1753,[3]Standard!$B$9:$J$101,9,FALSE),IF(BA1753="31-120 Days",VLOOKUP(D1753,[3]Standard!$B$9:$K$100,10,FALSE),IF(BA1753="121-365 Days",VLOOKUP(D1753,[3]Standard!$B$9:$L$101,11,FALSE),VLOOKUP(D1753,[3]Standard!$B$9:$M$101,12,FALSE)))),0)</f>
        <v>0</v>
      </c>
      <c r="M1753" s="269" t="str">
        <f>IFERROR(VLOOKUP((D1753&amp;C1753)&amp;"",'[2]Retail Price List'!$C$4:$F$102,4,FALSE),"")</f>
        <v/>
      </c>
      <c r="N1753" s="269">
        <f>IFERROR(IF(BA1753="WIP - 30 Days",VLOOKUP(D1753,[3]Extended!$B$9:$E$101,4,FALSE),IF(BA1753="31-120 Days",VLOOKUP(D1753,[3]Extended!$B$9:$F$101,5,FALSE),IF(BA1753="121-365 Days",VLOOKUP(D1753,[3]Extended!$B$9:$G$101,6,FALSE),VLOOKUP(D1753,[3]Extended!$B$9:$H$101,7,FALSE)))),0)</f>
        <v>0</v>
      </c>
      <c r="O1753" s="269">
        <f>IFERROR(IF(BA1753="WIP - 30 Days",VLOOKUP(D1753,[3]Extended!$B$9:$J$101,9,FALSE),IF(BA1753="31-120 Days",VLOOKUP(D1753,[3]Extended!$B$9:$K$101,10,FALSE),IF(BA1753="121-365 Days",VLOOKUP(D1753,[3]Extended!$B$9:$L$101,11,FALSE),VLOOKUP(D1753,[3]Extended!$B$9:$M$101,12,FALSE)))),0)</f>
        <v>0</v>
      </c>
      <c r="P1753" s="116" t="e">
        <f t="shared" si="136"/>
        <v>#VALUE!</v>
      </c>
      <c r="Q1753" s="110" t="e">
        <f>O1753-#REF!</f>
        <v>#REF!</v>
      </c>
      <c r="AT1753" s="88" t="str">
        <f t="shared" si="137"/>
        <v>Special Order0</v>
      </c>
      <c r="AU1753" s="89" t="str">
        <f t="shared" si="138"/>
        <v>01-1900</v>
      </c>
      <c r="BA1753" s="92" t="str">
        <f t="shared" si="139"/>
        <v/>
      </c>
    </row>
    <row r="1754" spans="2:53">
      <c r="B1754" s="60">
        <f>[2]Trucks!A1751</f>
        <v>0</v>
      </c>
      <c r="C1754" s="11">
        <f>[2]Trucks!B1751</f>
        <v>0</v>
      </c>
      <c r="D1754" s="19" t="str">
        <f>IFERROR(VLOOKUP(C1754&amp;"",'[2]Retail Price List'!$A$3:$B$103,2,FALSE),"Special Order")</f>
        <v>Special Order</v>
      </c>
      <c r="E1754" s="18">
        <f>[2]Trucks!J1751</f>
        <v>0</v>
      </c>
      <c r="F1754" s="12">
        <f>[2]Trucks!E1751</f>
        <v>0</v>
      </c>
      <c r="G1754" s="56">
        <f>[2]Trucks!K1751</f>
        <v>0</v>
      </c>
      <c r="H1754" s="46">
        <f>[2]Trucks!I1751</f>
        <v>0</v>
      </c>
      <c r="I1754" s="83" t="str">
        <f t="shared" si="135"/>
        <v/>
      </c>
      <c r="J1754" s="272" t="str">
        <f>IFERROR(VLOOKUP((D1754&amp;C1754)&amp;"",'[2]Retail Price List'!$C$4:$F$102,3,FALSE),"")</f>
        <v/>
      </c>
      <c r="K1754" s="272">
        <f>IFERROR(IF(BA1754="WIP - 30 Days",VLOOKUP(D1754,[3]Standard!$B$9:$E$101,4,FALSE),IF(BA1754="31-120 Days",VLOOKUP(D1754,[3]Standard!$B$9:$F$101,5,FALSE),IF(BA1754="121-365 Days",VLOOKUP(D1754,[3]Standard!$B$9:$G$101,6,FALSE),VLOOKUP(D1754,[3]Standard!$B$9:$H$101,7,FALSE)))),0)</f>
        <v>0</v>
      </c>
      <c r="L1754" s="272">
        <f>IFERROR(IF(BA1754="WIP - 30 Days",VLOOKUP(D1754,[3]Standard!$B$9:$J$101,9,FALSE),IF(BA1754="31-120 Days",VLOOKUP(D1754,[3]Standard!$B$9:$K$100,10,FALSE),IF(BA1754="121-365 Days",VLOOKUP(D1754,[3]Standard!$B$9:$L$101,11,FALSE),VLOOKUP(D1754,[3]Standard!$B$9:$M$101,12,FALSE)))),0)</f>
        <v>0</v>
      </c>
      <c r="M1754" s="269" t="str">
        <f>IFERROR(VLOOKUP((D1754&amp;C1754)&amp;"",'[2]Retail Price List'!$C$4:$F$102,4,FALSE),"")</f>
        <v/>
      </c>
      <c r="N1754" s="269">
        <f>IFERROR(IF(BA1754="WIP - 30 Days",VLOOKUP(D1754,[3]Extended!$B$9:$E$101,4,FALSE),IF(BA1754="31-120 Days",VLOOKUP(D1754,[3]Extended!$B$9:$F$101,5,FALSE),IF(BA1754="121-365 Days",VLOOKUP(D1754,[3]Extended!$B$9:$G$101,6,FALSE),VLOOKUP(D1754,[3]Extended!$B$9:$H$101,7,FALSE)))),0)</f>
        <v>0</v>
      </c>
      <c r="O1754" s="269">
        <f>IFERROR(IF(BA1754="WIP - 30 Days",VLOOKUP(D1754,[3]Extended!$B$9:$J$101,9,FALSE),IF(BA1754="31-120 Days",VLOOKUP(D1754,[3]Extended!$B$9:$K$101,10,FALSE),IF(BA1754="121-365 Days",VLOOKUP(D1754,[3]Extended!$B$9:$L$101,11,FALSE),VLOOKUP(D1754,[3]Extended!$B$9:$M$101,12,FALSE)))),0)</f>
        <v>0</v>
      </c>
      <c r="P1754" s="116" t="e">
        <f t="shared" si="136"/>
        <v>#VALUE!</v>
      </c>
      <c r="Q1754" s="110" t="e">
        <f>O1754-#REF!</f>
        <v>#REF!</v>
      </c>
      <c r="AT1754" s="88" t="str">
        <f t="shared" si="137"/>
        <v>Special Order0</v>
      </c>
      <c r="AU1754" s="89" t="str">
        <f t="shared" si="138"/>
        <v>01-1900</v>
      </c>
      <c r="BA1754" s="92" t="str">
        <f t="shared" si="139"/>
        <v/>
      </c>
    </row>
    <row r="1755" spans="2:53">
      <c r="B1755" s="60">
        <f>[2]Trucks!A1752</f>
        <v>0</v>
      </c>
      <c r="C1755" s="11">
        <f>[2]Trucks!B1752</f>
        <v>0</v>
      </c>
      <c r="D1755" s="19" t="str">
        <f>IFERROR(VLOOKUP(C1755&amp;"",'[2]Retail Price List'!$A$3:$B$103,2,FALSE),"Special Order")</f>
        <v>Special Order</v>
      </c>
      <c r="E1755" s="18">
        <f>[2]Trucks!J1752</f>
        <v>0</v>
      </c>
      <c r="F1755" s="12">
        <f>[2]Trucks!E1752</f>
        <v>0</v>
      </c>
      <c r="G1755" s="56">
        <f>[2]Trucks!K1752</f>
        <v>0</v>
      </c>
      <c r="H1755" s="46">
        <f>[2]Trucks!I1752</f>
        <v>0</v>
      </c>
      <c r="I1755" s="83" t="str">
        <f t="shared" si="135"/>
        <v/>
      </c>
      <c r="J1755" s="272" t="str">
        <f>IFERROR(VLOOKUP((D1755&amp;C1755)&amp;"",'[2]Retail Price List'!$C$4:$F$102,3,FALSE),"")</f>
        <v/>
      </c>
      <c r="K1755" s="272">
        <f>IFERROR(IF(BA1755="WIP - 30 Days",VLOOKUP(D1755,[3]Standard!$B$9:$E$101,4,FALSE),IF(BA1755="31-120 Days",VLOOKUP(D1755,[3]Standard!$B$9:$F$101,5,FALSE),IF(BA1755="121-365 Days",VLOOKUP(D1755,[3]Standard!$B$9:$G$101,6,FALSE),VLOOKUP(D1755,[3]Standard!$B$9:$H$101,7,FALSE)))),0)</f>
        <v>0</v>
      </c>
      <c r="L1755" s="272">
        <f>IFERROR(IF(BA1755="WIP - 30 Days",VLOOKUP(D1755,[3]Standard!$B$9:$J$101,9,FALSE),IF(BA1755="31-120 Days",VLOOKUP(D1755,[3]Standard!$B$9:$K$100,10,FALSE),IF(BA1755="121-365 Days",VLOOKUP(D1755,[3]Standard!$B$9:$L$101,11,FALSE),VLOOKUP(D1755,[3]Standard!$B$9:$M$101,12,FALSE)))),0)</f>
        <v>0</v>
      </c>
      <c r="M1755" s="269" t="str">
        <f>IFERROR(VLOOKUP((D1755&amp;C1755)&amp;"",'[2]Retail Price List'!$C$4:$F$102,4,FALSE),"")</f>
        <v/>
      </c>
      <c r="N1755" s="269">
        <f>IFERROR(IF(BA1755="WIP - 30 Days",VLOOKUP(D1755,[3]Extended!$B$9:$E$101,4,FALSE),IF(BA1755="31-120 Days",VLOOKUP(D1755,[3]Extended!$B$9:$F$101,5,FALSE),IF(BA1755="121-365 Days",VLOOKUP(D1755,[3]Extended!$B$9:$G$101,6,FALSE),VLOOKUP(D1755,[3]Extended!$B$9:$H$101,7,FALSE)))),0)</f>
        <v>0</v>
      </c>
      <c r="O1755" s="269">
        <f>IFERROR(IF(BA1755="WIP - 30 Days",VLOOKUP(D1755,[3]Extended!$B$9:$J$101,9,FALSE),IF(BA1755="31-120 Days",VLOOKUP(D1755,[3]Extended!$B$9:$K$101,10,FALSE),IF(BA1755="121-365 Days",VLOOKUP(D1755,[3]Extended!$B$9:$L$101,11,FALSE),VLOOKUP(D1755,[3]Extended!$B$9:$M$101,12,FALSE)))),0)</f>
        <v>0</v>
      </c>
      <c r="P1755" s="116" t="e">
        <f t="shared" si="136"/>
        <v>#VALUE!</v>
      </c>
      <c r="Q1755" s="110" t="e">
        <f>O1755-#REF!</f>
        <v>#REF!</v>
      </c>
      <c r="AT1755" s="88" t="str">
        <f t="shared" si="137"/>
        <v>Special Order0</v>
      </c>
      <c r="AU1755" s="89" t="str">
        <f t="shared" si="138"/>
        <v>01-1900</v>
      </c>
      <c r="BA1755" s="92" t="str">
        <f t="shared" si="139"/>
        <v/>
      </c>
    </row>
    <row r="1756" spans="2:53">
      <c r="B1756" s="60">
        <f>[2]Trucks!A1753</f>
        <v>0</v>
      </c>
      <c r="C1756" s="11">
        <f>[2]Trucks!B1753</f>
        <v>0</v>
      </c>
      <c r="D1756" s="19" t="str">
        <f>IFERROR(VLOOKUP(C1756&amp;"",'[2]Retail Price List'!$A$3:$B$103,2,FALSE),"Special Order")</f>
        <v>Special Order</v>
      </c>
      <c r="E1756" s="18">
        <f>[2]Trucks!J1753</f>
        <v>0</v>
      </c>
      <c r="F1756" s="12">
        <f>[2]Trucks!E1753</f>
        <v>0</v>
      </c>
      <c r="G1756" s="56">
        <f>[2]Trucks!K1753</f>
        <v>0</v>
      </c>
      <c r="H1756" s="46">
        <f>[2]Trucks!I1753</f>
        <v>0</v>
      </c>
      <c r="I1756" s="83" t="str">
        <f t="shared" si="135"/>
        <v/>
      </c>
      <c r="J1756" s="272" t="str">
        <f>IFERROR(VLOOKUP((D1756&amp;C1756)&amp;"",'[2]Retail Price List'!$C$4:$F$102,3,FALSE),"")</f>
        <v/>
      </c>
      <c r="K1756" s="272">
        <f>IFERROR(IF(BA1756="WIP - 30 Days",VLOOKUP(D1756,[3]Standard!$B$9:$E$101,4,FALSE),IF(BA1756="31-120 Days",VLOOKUP(D1756,[3]Standard!$B$9:$F$101,5,FALSE),IF(BA1756="121-365 Days",VLOOKUP(D1756,[3]Standard!$B$9:$G$101,6,FALSE),VLOOKUP(D1756,[3]Standard!$B$9:$H$101,7,FALSE)))),0)</f>
        <v>0</v>
      </c>
      <c r="L1756" s="272">
        <f>IFERROR(IF(BA1756="WIP - 30 Days",VLOOKUP(D1756,[3]Standard!$B$9:$J$101,9,FALSE),IF(BA1756="31-120 Days",VLOOKUP(D1756,[3]Standard!$B$9:$K$100,10,FALSE),IF(BA1756="121-365 Days",VLOOKUP(D1756,[3]Standard!$B$9:$L$101,11,FALSE),VLOOKUP(D1756,[3]Standard!$B$9:$M$101,12,FALSE)))),0)</f>
        <v>0</v>
      </c>
      <c r="M1756" s="269" t="str">
        <f>IFERROR(VLOOKUP((D1756&amp;C1756)&amp;"",'[2]Retail Price List'!$C$4:$F$102,4,FALSE),"")</f>
        <v/>
      </c>
      <c r="N1756" s="269">
        <f>IFERROR(IF(BA1756="WIP - 30 Days",VLOOKUP(D1756,[3]Extended!$B$9:$E$101,4,FALSE),IF(BA1756="31-120 Days",VLOOKUP(D1756,[3]Extended!$B$9:$F$101,5,FALSE),IF(BA1756="121-365 Days",VLOOKUP(D1756,[3]Extended!$B$9:$G$101,6,FALSE),VLOOKUP(D1756,[3]Extended!$B$9:$H$101,7,FALSE)))),0)</f>
        <v>0</v>
      </c>
      <c r="O1756" s="269">
        <f>IFERROR(IF(BA1756="WIP - 30 Days",VLOOKUP(D1756,[3]Extended!$B$9:$J$101,9,FALSE),IF(BA1756="31-120 Days",VLOOKUP(D1756,[3]Extended!$B$9:$K$101,10,FALSE),IF(BA1756="121-365 Days",VLOOKUP(D1756,[3]Extended!$B$9:$L$101,11,FALSE),VLOOKUP(D1756,[3]Extended!$B$9:$M$101,12,FALSE)))),0)</f>
        <v>0</v>
      </c>
      <c r="P1756" s="116" t="e">
        <f t="shared" si="136"/>
        <v>#VALUE!</v>
      </c>
      <c r="Q1756" s="110" t="e">
        <f>O1756-#REF!</f>
        <v>#REF!</v>
      </c>
      <c r="AT1756" s="88" t="str">
        <f t="shared" si="137"/>
        <v>Special Order0</v>
      </c>
      <c r="AU1756" s="89" t="str">
        <f t="shared" si="138"/>
        <v>01-1900</v>
      </c>
      <c r="BA1756" s="92" t="str">
        <f t="shared" si="139"/>
        <v/>
      </c>
    </row>
    <row r="1757" spans="2:53">
      <c r="B1757" s="60">
        <f>[2]Trucks!A1754</f>
        <v>0</v>
      </c>
      <c r="C1757" s="11">
        <f>[2]Trucks!B1754</f>
        <v>0</v>
      </c>
      <c r="D1757" s="19" t="str">
        <f>IFERROR(VLOOKUP(C1757&amp;"",'[2]Retail Price List'!$A$3:$B$103,2,FALSE),"Special Order")</f>
        <v>Special Order</v>
      </c>
      <c r="E1757" s="18">
        <f>[2]Trucks!J1754</f>
        <v>0</v>
      </c>
      <c r="F1757" s="12">
        <f>[2]Trucks!E1754</f>
        <v>0</v>
      </c>
      <c r="G1757" s="56">
        <f>[2]Trucks!K1754</f>
        <v>0</v>
      </c>
      <c r="H1757" s="46">
        <f>[2]Trucks!I1754</f>
        <v>0</v>
      </c>
      <c r="I1757" s="83" t="str">
        <f t="shared" si="135"/>
        <v/>
      </c>
      <c r="J1757" s="272" t="str">
        <f>IFERROR(VLOOKUP((D1757&amp;C1757)&amp;"",'[2]Retail Price List'!$C$4:$F$102,3,FALSE),"")</f>
        <v/>
      </c>
      <c r="K1757" s="272">
        <f>IFERROR(IF(BA1757="WIP - 30 Days",VLOOKUP(D1757,[3]Standard!$B$9:$E$101,4,FALSE),IF(BA1757="31-120 Days",VLOOKUP(D1757,[3]Standard!$B$9:$F$101,5,FALSE),IF(BA1757="121-365 Days",VLOOKUP(D1757,[3]Standard!$B$9:$G$101,6,FALSE),VLOOKUP(D1757,[3]Standard!$B$9:$H$101,7,FALSE)))),0)</f>
        <v>0</v>
      </c>
      <c r="L1757" s="272">
        <f>IFERROR(IF(BA1757="WIP - 30 Days",VLOOKUP(D1757,[3]Standard!$B$9:$J$101,9,FALSE),IF(BA1757="31-120 Days",VLOOKUP(D1757,[3]Standard!$B$9:$K$100,10,FALSE),IF(BA1757="121-365 Days",VLOOKUP(D1757,[3]Standard!$B$9:$L$101,11,FALSE),VLOOKUP(D1757,[3]Standard!$B$9:$M$101,12,FALSE)))),0)</f>
        <v>0</v>
      </c>
      <c r="M1757" s="269" t="str">
        <f>IFERROR(VLOOKUP((D1757&amp;C1757)&amp;"",'[2]Retail Price List'!$C$4:$F$102,4,FALSE),"")</f>
        <v/>
      </c>
      <c r="N1757" s="269">
        <f>IFERROR(IF(BA1757="WIP - 30 Days",VLOOKUP(D1757,[3]Extended!$B$9:$E$101,4,FALSE),IF(BA1757="31-120 Days",VLOOKUP(D1757,[3]Extended!$B$9:$F$101,5,FALSE),IF(BA1757="121-365 Days",VLOOKUP(D1757,[3]Extended!$B$9:$G$101,6,FALSE),VLOOKUP(D1757,[3]Extended!$B$9:$H$101,7,FALSE)))),0)</f>
        <v>0</v>
      </c>
      <c r="O1757" s="269">
        <f>IFERROR(IF(BA1757="WIP - 30 Days",VLOOKUP(D1757,[3]Extended!$B$9:$J$101,9,FALSE),IF(BA1757="31-120 Days",VLOOKUP(D1757,[3]Extended!$B$9:$K$101,10,FALSE),IF(BA1757="121-365 Days",VLOOKUP(D1757,[3]Extended!$B$9:$L$101,11,FALSE),VLOOKUP(D1757,[3]Extended!$B$9:$M$101,12,FALSE)))),0)</f>
        <v>0</v>
      </c>
      <c r="P1757" s="116" t="e">
        <f t="shared" si="136"/>
        <v>#VALUE!</v>
      </c>
      <c r="Q1757" s="110" t="e">
        <f>O1757-#REF!</f>
        <v>#REF!</v>
      </c>
      <c r="AT1757" s="88" t="str">
        <f t="shared" si="137"/>
        <v>Special Order0</v>
      </c>
      <c r="AU1757" s="89" t="str">
        <f t="shared" si="138"/>
        <v>01-1900</v>
      </c>
      <c r="BA1757" s="92" t="str">
        <f t="shared" si="139"/>
        <v/>
      </c>
    </row>
    <row r="1758" spans="2:53">
      <c r="B1758" s="60">
        <f>[2]Trucks!A1755</f>
        <v>0</v>
      </c>
      <c r="C1758" s="11">
        <f>[2]Trucks!B1755</f>
        <v>0</v>
      </c>
      <c r="D1758" s="19" t="str">
        <f>IFERROR(VLOOKUP(C1758&amp;"",'[2]Retail Price List'!$A$3:$B$103,2,FALSE),"Special Order")</f>
        <v>Special Order</v>
      </c>
      <c r="E1758" s="18">
        <f>[2]Trucks!J1755</f>
        <v>0</v>
      </c>
      <c r="F1758" s="12">
        <f>[2]Trucks!E1755</f>
        <v>0</v>
      </c>
      <c r="G1758" s="56">
        <f>[2]Trucks!K1755</f>
        <v>0</v>
      </c>
      <c r="H1758" s="46">
        <f>[2]Trucks!I1755</f>
        <v>0</v>
      </c>
      <c r="I1758" s="83" t="str">
        <f t="shared" si="135"/>
        <v/>
      </c>
      <c r="J1758" s="272" t="str">
        <f>IFERROR(VLOOKUP((D1758&amp;C1758)&amp;"",'[2]Retail Price List'!$C$4:$F$102,3,FALSE),"")</f>
        <v/>
      </c>
      <c r="K1758" s="272">
        <f>IFERROR(IF(BA1758="WIP - 30 Days",VLOOKUP(D1758,[3]Standard!$B$9:$E$101,4,FALSE),IF(BA1758="31-120 Days",VLOOKUP(D1758,[3]Standard!$B$9:$F$101,5,FALSE),IF(BA1758="121-365 Days",VLOOKUP(D1758,[3]Standard!$B$9:$G$101,6,FALSE),VLOOKUP(D1758,[3]Standard!$B$9:$H$101,7,FALSE)))),0)</f>
        <v>0</v>
      </c>
      <c r="L1758" s="272">
        <f>IFERROR(IF(BA1758="WIP - 30 Days",VLOOKUP(D1758,[3]Standard!$B$9:$J$101,9,FALSE),IF(BA1758="31-120 Days",VLOOKUP(D1758,[3]Standard!$B$9:$K$100,10,FALSE),IF(BA1758="121-365 Days",VLOOKUP(D1758,[3]Standard!$B$9:$L$101,11,FALSE),VLOOKUP(D1758,[3]Standard!$B$9:$M$101,12,FALSE)))),0)</f>
        <v>0</v>
      </c>
      <c r="M1758" s="269" t="str">
        <f>IFERROR(VLOOKUP((D1758&amp;C1758)&amp;"",'[2]Retail Price List'!$C$4:$F$102,4,FALSE),"")</f>
        <v/>
      </c>
      <c r="N1758" s="269">
        <f>IFERROR(IF(BA1758="WIP - 30 Days",VLOOKUP(D1758,[3]Extended!$B$9:$E$101,4,FALSE),IF(BA1758="31-120 Days",VLOOKUP(D1758,[3]Extended!$B$9:$F$101,5,FALSE),IF(BA1758="121-365 Days",VLOOKUP(D1758,[3]Extended!$B$9:$G$101,6,FALSE),VLOOKUP(D1758,[3]Extended!$B$9:$H$101,7,FALSE)))),0)</f>
        <v>0</v>
      </c>
      <c r="O1758" s="269">
        <f>IFERROR(IF(BA1758="WIP - 30 Days",VLOOKUP(D1758,[3]Extended!$B$9:$J$101,9,FALSE),IF(BA1758="31-120 Days",VLOOKUP(D1758,[3]Extended!$B$9:$K$101,10,FALSE),IF(BA1758="121-365 Days",VLOOKUP(D1758,[3]Extended!$B$9:$L$101,11,FALSE),VLOOKUP(D1758,[3]Extended!$B$9:$M$101,12,FALSE)))),0)</f>
        <v>0</v>
      </c>
      <c r="P1758" s="116" t="e">
        <f t="shared" si="136"/>
        <v>#VALUE!</v>
      </c>
      <c r="Q1758" s="110" t="e">
        <f>O1758-#REF!</f>
        <v>#REF!</v>
      </c>
      <c r="AT1758" s="88" t="str">
        <f t="shared" si="137"/>
        <v>Special Order0</v>
      </c>
      <c r="AU1758" s="89" t="str">
        <f t="shared" si="138"/>
        <v>01-1900</v>
      </c>
      <c r="BA1758" s="92" t="str">
        <f t="shared" si="139"/>
        <v/>
      </c>
    </row>
    <row r="1759" spans="2:53">
      <c r="B1759" s="60">
        <f>[2]Trucks!A1756</f>
        <v>0</v>
      </c>
      <c r="C1759" s="11">
        <f>[2]Trucks!B1756</f>
        <v>0</v>
      </c>
      <c r="D1759" s="19" t="str">
        <f>IFERROR(VLOOKUP(C1759&amp;"",'[2]Retail Price List'!$A$3:$B$103,2,FALSE),"Special Order")</f>
        <v>Special Order</v>
      </c>
      <c r="E1759" s="18">
        <f>[2]Trucks!J1756</f>
        <v>0</v>
      </c>
      <c r="F1759" s="12">
        <f>[2]Trucks!E1756</f>
        <v>0</v>
      </c>
      <c r="G1759" s="56">
        <f>[2]Trucks!K1756</f>
        <v>0</v>
      </c>
      <c r="H1759" s="46">
        <f>[2]Trucks!I1756</f>
        <v>0</v>
      </c>
      <c r="I1759" s="83" t="str">
        <f t="shared" si="135"/>
        <v/>
      </c>
      <c r="J1759" s="272" t="str">
        <f>IFERROR(VLOOKUP((D1759&amp;C1759)&amp;"",'[2]Retail Price List'!$C$4:$F$102,3,FALSE),"")</f>
        <v/>
      </c>
      <c r="K1759" s="272">
        <f>IFERROR(IF(BA1759="WIP - 30 Days",VLOOKUP(D1759,[3]Standard!$B$9:$E$101,4,FALSE),IF(BA1759="31-120 Days",VLOOKUP(D1759,[3]Standard!$B$9:$F$101,5,FALSE),IF(BA1759="121-365 Days",VLOOKUP(D1759,[3]Standard!$B$9:$G$101,6,FALSE),VLOOKUP(D1759,[3]Standard!$B$9:$H$101,7,FALSE)))),0)</f>
        <v>0</v>
      </c>
      <c r="L1759" s="272">
        <f>IFERROR(IF(BA1759="WIP - 30 Days",VLOOKUP(D1759,[3]Standard!$B$9:$J$101,9,FALSE),IF(BA1759="31-120 Days",VLOOKUP(D1759,[3]Standard!$B$9:$K$100,10,FALSE),IF(BA1759="121-365 Days",VLOOKUP(D1759,[3]Standard!$B$9:$L$101,11,FALSE),VLOOKUP(D1759,[3]Standard!$B$9:$M$101,12,FALSE)))),0)</f>
        <v>0</v>
      </c>
      <c r="M1759" s="269" t="str">
        <f>IFERROR(VLOOKUP((D1759&amp;C1759)&amp;"",'[2]Retail Price List'!$C$4:$F$102,4,FALSE),"")</f>
        <v/>
      </c>
      <c r="N1759" s="269">
        <f>IFERROR(IF(BA1759="WIP - 30 Days",VLOOKUP(D1759,[3]Extended!$B$9:$E$101,4,FALSE),IF(BA1759="31-120 Days",VLOOKUP(D1759,[3]Extended!$B$9:$F$101,5,FALSE),IF(BA1759="121-365 Days",VLOOKUP(D1759,[3]Extended!$B$9:$G$101,6,FALSE),VLOOKUP(D1759,[3]Extended!$B$9:$H$101,7,FALSE)))),0)</f>
        <v>0</v>
      </c>
      <c r="O1759" s="269">
        <f>IFERROR(IF(BA1759="WIP - 30 Days",VLOOKUP(D1759,[3]Extended!$B$9:$J$101,9,FALSE),IF(BA1759="31-120 Days",VLOOKUP(D1759,[3]Extended!$B$9:$K$101,10,FALSE),IF(BA1759="121-365 Days",VLOOKUP(D1759,[3]Extended!$B$9:$L$101,11,FALSE),VLOOKUP(D1759,[3]Extended!$B$9:$M$101,12,FALSE)))),0)</f>
        <v>0</v>
      </c>
      <c r="P1759" s="116" t="e">
        <f t="shared" si="136"/>
        <v>#VALUE!</v>
      </c>
      <c r="Q1759" s="110" t="e">
        <f>O1759-#REF!</f>
        <v>#REF!</v>
      </c>
      <c r="AT1759" s="88" t="str">
        <f t="shared" si="137"/>
        <v>Special Order0</v>
      </c>
      <c r="AU1759" s="89" t="str">
        <f t="shared" si="138"/>
        <v>01-1900</v>
      </c>
      <c r="BA1759" s="92" t="str">
        <f t="shared" si="139"/>
        <v/>
      </c>
    </row>
    <row r="1760" spans="2:53">
      <c r="B1760" s="60">
        <f>[2]Trucks!A1757</f>
        <v>0</v>
      </c>
      <c r="C1760" s="11">
        <f>[2]Trucks!B1757</f>
        <v>0</v>
      </c>
      <c r="D1760" s="19" t="str">
        <f>IFERROR(VLOOKUP(C1760&amp;"",'[2]Retail Price List'!$A$3:$B$103,2,FALSE),"Special Order")</f>
        <v>Special Order</v>
      </c>
      <c r="E1760" s="18">
        <f>[2]Trucks!J1757</f>
        <v>0</v>
      </c>
      <c r="F1760" s="12">
        <f>[2]Trucks!E1757</f>
        <v>0</v>
      </c>
      <c r="G1760" s="56">
        <f>[2]Trucks!K1757</f>
        <v>0</v>
      </c>
      <c r="H1760" s="46">
        <f>[2]Trucks!I1757</f>
        <v>0</v>
      </c>
      <c r="I1760" s="83" t="str">
        <f t="shared" si="135"/>
        <v/>
      </c>
      <c r="J1760" s="272" t="str">
        <f>IFERROR(VLOOKUP((D1760&amp;C1760)&amp;"",'[2]Retail Price List'!$C$4:$F$102,3,FALSE),"")</f>
        <v/>
      </c>
      <c r="K1760" s="272">
        <f>IFERROR(IF(BA1760="WIP - 30 Days",VLOOKUP(D1760,[3]Standard!$B$9:$E$101,4,FALSE),IF(BA1760="31-120 Days",VLOOKUP(D1760,[3]Standard!$B$9:$F$101,5,FALSE),IF(BA1760="121-365 Days",VLOOKUP(D1760,[3]Standard!$B$9:$G$101,6,FALSE),VLOOKUP(D1760,[3]Standard!$B$9:$H$101,7,FALSE)))),0)</f>
        <v>0</v>
      </c>
      <c r="L1760" s="272">
        <f>IFERROR(IF(BA1760="WIP - 30 Days",VLOOKUP(D1760,[3]Standard!$B$9:$J$101,9,FALSE),IF(BA1760="31-120 Days",VLOOKUP(D1760,[3]Standard!$B$9:$K$100,10,FALSE),IF(BA1760="121-365 Days",VLOOKUP(D1760,[3]Standard!$B$9:$L$101,11,FALSE),VLOOKUP(D1760,[3]Standard!$B$9:$M$101,12,FALSE)))),0)</f>
        <v>0</v>
      </c>
      <c r="M1760" s="269" t="str">
        <f>IFERROR(VLOOKUP((D1760&amp;C1760)&amp;"",'[2]Retail Price List'!$C$4:$F$102,4,FALSE),"")</f>
        <v/>
      </c>
      <c r="N1760" s="269">
        <f>IFERROR(IF(BA1760="WIP - 30 Days",VLOOKUP(D1760,[3]Extended!$B$9:$E$101,4,FALSE),IF(BA1760="31-120 Days",VLOOKUP(D1760,[3]Extended!$B$9:$F$101,5,FALSE),IF(BA1760="121-365 Days",VLOOKUP(D1760,[3]Extended!$B$9:$G$101,6,FALSE),VLOOKUP(D1760,[3]Extended!$B$9:$H$101,7,FALSE)))),0)</f>
        <v>0</v>
      </c>
      <c r="O1760" s="269">
        <f>IFERROR(IF(BA1760="WIP - 30 Days",VLOOKUP(D1760,[3]Extended!$B$9:$J$101,9,FALSE),IF(BA1760="31-120 Days",VLOOKUP(D1760,[3]Extended!$B$9:$K$101,10,FALSE),IF(BA1760="121-365 Days",VLOOKUP(D1760,[3]Extended!$B$9:$L$101,11,FALSE),VLOOKUP(D1760,[3]Extended!$B$9:$M$101,12,FALSE)))),0)</f>
        <v>0</v>
      </c>
      <c r="P1760" s="116" t="e">
        <f t="shared" si="136"/>
        <v>#VALUE!</v>
      </c>
      <c r="Q1760" s="110" t="e">
        <f>O1760-#REF!</f>
        <v>#REF!</v>
      </c>
      <c r="AT1760" s="88" t="str">
        <f t="shared" si="137"/>
        <v>Special Order0</v>
      </c>
      <c r="AU1760" s="89" t="str">
        <f t="shared" si="138"/>
        <v>01-1900</v>
      </c>
      <c r="BA1760" s="92" t="str">
        <f t="shared" si="139"/>
        <v/>
      </c>
    </row>
    <row r="1761" spans="2:53">
      <c r="B1761" s="60">
        <f>[2]Trucks!A1758</f>
        <v>0</v>
      </c>
      <c r="C1761" s="11">
        <f>[2]Trucks!B1758</f>
        <v>0</v>
      </c>
      <c r="D1761" s="19" t="str">
        <f>IFERROR(VLOOKUP(C1761&amp;"",'[2]Retail Price List'!$A$3:$B$103,2,FALSE),"Special Order")</f>
        <v>Special Order</v>
      </c>
      <c r="E1761" s="18">
        <f>[2]Trucks!J1758</f>
        <v>0</v>
      </c>
      <c r="F1761" s="12">
        <f>[2]Trucks!E1758</f>
        <v>0</v>
      </c>
      <c r="G1761" s="56">
        <f>[2]Trucks!K1758</f>
        <v>0</v>
      </c>
      <c r="H1761" s="46">
        <f>[2]Trucks!I1758</f>
        <v>0</v>
      </c>
      <c r="I1761" s="83" t="str">
        <f t="shared" si="135"/>
        <v/>
      </c>
      <c r="J1761" s="272" t="str">
        <f>IFERROR(VLOOKUP((D1761&amp;C1761)&amp;"",'[2]Retail Price List'!$C$4:$F$102,3,FALSE),"")</f>
        <v/>
      </c>
      <c r="K1761" s="272">
        <f>IFERROR(IF(BA1761="WIP - 30 Days",VLOOKUP(D1761,[3]Standard!$B$9:$E$101,4,FALSE),IF(BA1761="31-120 Days",VLOOKUP(D1761,[3]Standard!$B$9:$F$101,5,FALSE),IF(BA1761="121-365 Days",VLOOKUP(D1761,[3]Standard!$B$9:$G$101,6,FALSE),VLOOKUP(D1761,[3]Standard!$B$9:$H$101,7,FALSE)))),0)</f>
        <v>0</v>
      </c>
      <c r="L1761" s="272">
        <f>IFERROR(IF(BA1761="WIP - 30 Days",VLOOKUP(D1761,[3]Standard!$B$9:$J$101,9,FALSE),IF(BA1761="31-120 Days",VLOOKUP(D1761,[3]Standard!$B$9:$K$100,10,FALSE),IF(BA1761="121-365 Days",VLOOKUP(D1761,[3]Standard!$B$9:$L$101,11,FALSE),VLOOKUP(D1761,[3]Standard!$B$9:$M$101,12,FALSE)))),0)</f>
        <v>0</v>
      </c>
      <c r="M1761" s="269" t="str">
        <f>IFERROR(VLOOKUP((D1761&amp;C1761)&amp;"",'[2]Retail Price List'!$C$4:$F$102,4,FALSE),"")</f>
        <v/>
      </c>
      <c r="N1761" s="269">
        <f>IFERROR(IF(BA1761="WIP - 30 Days",VLOOKUP(D1761,[3]Extended!$B$9:$E$101,4,FALSE),IF(BA1761="31-120 Days",VLOOKUP(D1761,[3]Extended!$B$9:$F$101,5,FALSE),IF(BA1761="121-365 Days",VLOOKUP(D1761,[3]Extended!$B$9:$G$101,6,FALSE),VLOOKUP(D1761,[3]Extended!$B$9:$H$101,7,FALSE)))),0)</f>
        <v>0</v>
      </c>
      <c r="O1761" s="269">
        <f>IFERROR(IF(BA1761="WIP - 30 Days",VLOOKUP(D1761,[3]Extended!$B$9:$J$101,9,FALSE),IF(BA1761="31-120 Days",VLOOKUP(D1761,[3]Extended!$B$9:$K$101,10,FALSE),IF(BA1761="121-365 Days",VLOOKUP(D1761,[3]Extended!$B$9:$L$101,11,FALSE),VLOOKUP(D1761,[3]Extended!$B$9:$M$101,12,FALSE)))),0)</f>
        <v>0</v>
      </c>
      <c r="P1761" s="116" t="e">
        <f t="shared" si="136"/>
        <v>#VALUE!</v>
      </c>
      <c r="Q1761" s="110" t="e">
        <f>O1761-#REF!</f>
        <v>#REF!</v>
      </c>
      <c r="AT1761" s="88" t="str">
        <f t="shared" si="137"/>
        <v>Special Order0</v>
      </c>
      <c r="AU1761" s="89" t="str">
        <f t="shared" si="138"/>
        <v>01-1900</v>
      </c>
      <c r="BA1761" s="92" t="str">
        <f t="shared" si="139"/>
        <v/>
      </c>
    </row>
    <row r="1762" spans="2:53">
      <c r="B1762" s="60">
        <f>[2]Trucks!A1759</f>
        <v>0</v>
      </c>
      <c r="C1762" s="11">
        <f>[2]Trucks!B1759</f>
        <v>0</v>
      </c>
      <c r="D1762" s="19" t="str">
        <f>IFERROR(VLOOKUP(C1762&amp;"",'[2]Retail Price List'!$A$3:$B$103,2,FALSE),"Special Order")</f>
        <v>Special Order</v>
      </c>
      <c r="E1762" s="18">
        <f>[2]Trucks!J1759</f>
        <v>0</v>
      </c>
      <c r="F1762" s="12">
        <f>[2]Trucks!E1759</f>
        <v>0</v>
      </c>
      <c r="G1762" s="56">
        <f>[2]Trucks!K1759</f>
        <v>0</v>
      </c>
      <c r="H1762" s="46">
        <f>[2]Trucks!I1759</f>
        <v>0</v>
      </c>
      <c r="I1762" s="83" t="str">
        <f t="shared" si="135"/>
        <v/>
      </c>
      <c r="J1762" s="272" t="str">
        <f>IFERROR(VLOOKUP((D1762&amp;C1762)&amp;"",'[2]Retail Price List'!$C$4:$F$102,3,FALSE),"")</f>
        <v/>
      </c>
      <c r="K1762" s="272">
        <f>IFERROR(IF(BA1762="WIP - 30 Days",VLOOKUP(D1762,[3]Standard!$B$9:$E$101,4,FALSE),IF(BA1762="31-120 Days",VLOOKUP(D1762,[3]Standard!$B$9:$F$101,5,FALSE),IF(BA1762="121-365 Days",VLOOKUP(D1762,[3]Standard!$B$9:$G$101,6,FALSE),VLOOKUP(D1762,[3]Standard!$B$9:$H$101,7,FALSE)))),0)</f>
        <v>0</v>
      </c>
      <c r="L1762" s="272">
        <f>IFERROR(IF(BA1762="WIP - 30 Days",VLOOKUP(D1762,[3]Standard!$B$9:$J$101,9,FALSE),IF(BA1762="31-120 Days",VLOOKUP(D1762,[3]Standard!$B$9:$K$100,10,FALSE),IF(BA1762="121-365 Days",VLOOKUP(D1762,[3]Standard!$B$9:$L$101,11,FALSE),VLOOKUP(D1762,[3]Standard!$B$9:$M$101,12,FALSE)))),0)</f>
        <v>0</v>
      </c>
      <c r="M1762" s="269" t="str">
        <f>IFERROR(VLOOKUP((D1762&amp;C1762)&amp;"",'[2]Retail Price List'!$C$4:$F$102,4,FALSE),"")</f>
        <v/>
      </c>
      <c r="N1762" s="269">
        <f>IFERROR(IF(BA1762="WIP - 30 Days",VLOOKUP(D1762,[3]Extended!$B$9:$E$101,4,FALSE),IF(BA1762="31-120 Days",VLOOKUP(D1762,[3]Extended!$B$9:$F$101,5,FALSE),IF(BA1762="121-365 Days",VLOOKUP(D1762,[3]Extended!$B$9:$G$101,6,FALSE),VLOOKUP(D1762,[3]Extended!$B$9:$H$101,7,FALSE)))),0)</f>
        <v>0</v>
      </c>
      <c r="O1762" s="269">
        <f>IFERROR(IF(BA1762="WIP - 30 Days",VLOOKUP(D1762,[3]Extended!$B$9:$J$101,9,FALSE),IF(BA1762="31-120 Days",VLOOKUP(D1762,[3]Extended!$B$9:$K$101,10,FALSE),IF(BA1762="121-365 Days",VLOOKUP(D1762,[3]Extended!$B$9:$L$101,11,FALSE),VLOOKUP(D1762,[3]Extended!$B$9:$M$101,12,FALSE)))),0)</f>
        <v>0</v>
      </c>
      <c r="P1762" s="116" t="e">
        <f t="shared" si="136"/>
        <v>#VALUE!</v>
      </c>
      <c r="Q1762" s="110" t="e">
        <f>O1762-#REF!</f>
        <v>#REF!</v>
      </c>
      <c r="AT1762" s="88" t="str">
        <f t="shared" si="137"/>
        <v>Special Order0</v>
      </c>
      <c r="AU1762" s="89" t="str">
        <f t="shared" si="138"/>
        <v>01-1900</v>
      </c>
      <c r="BA1762" s="92" t="str">
        <f t="shared" si="139"/>
        <v/>
      </c>
    </row>
    <row r="1763" spans="2:53">
      <c r="B1763" s="60">
        <f>[2]Trucks!A1760</f>
        <v>0</v>
      </c>
      <c r="C1763" s="11">
        <f>[2]Trucks!B1760</f>
        <v>0</v>
      </c>
      <c r="D1763" s="19" t="str">
        <f>IFERROR(VLOOKUP(C1763&amp;"",'[2]Retail Price List'!$A$3:$B$103,2,FALSE),"Special Order")</f>
        <v>Special Order</v>
      </c>
      <c r="E1763" s="18">
        <f>[2]Trucks!J1760</f>
        <v>0</v>
      </c>
      <c r="F1763" s="12">
        <f>[2]Trucks!E1760</f>
        <v>0</v>
      </c>
      <c r="G1763" s="56">
        <f>[2]Trucks!K1760</f>
        <v>0</v>
      </c>
      <c r="H1763" s="46">
        <f>[2]Trucks!I1760</f>
        <v>0</v>
      </c>
      <c r="I1763" s="83" t="str">
        <f t="shared" si="135"/>
        <v/>
      </c>
      <c r="J1763" s="272" t="str">
        <f>IFERROR(VLOOKUP((D1763&amp;C1763)&amp;"",'[2]Retail Price List'!$C$4:$F$102,3,FALSE),"")</f>
        <v/>
      </c>
      <c r="K1763" s="272">
        <f>IFERROR(IF(BA1763="WIP - 30 Days",VLOOKUP(D1763,[3]Standard!$B$9:$E$101,4,FALSE),IF(BA1763="31-120 Days",VLOOKUP(D1763,[3]Standard!$B$9:$F$101,5,FALSE),IF(BA1763="121-365 Days",VLOOKUP(D1763,[3]Standard!$B$9:$G$101,6,FALSE),VLOOKUP(D1763,[3]Standard!$B$9:$H$101,7,FALSE)))),0)</f>
        <v>0</v>
      </c>
      <c r="L1763" s="272">
        <f>IFERROR(IF(BA1763="WIP - 30 Days",VLOOKUP(D1763,[3]Standard!$B$9:$J$101,9,FALSE),IF(BA1763="31-120 Days",VLOOKUP(D1763,[3]Standard!$B$9:$K$100,10,FALSE),IF(BA1763="121-365 Days",VLOOKUP(D1763,[3]Standard!$B$9:$L$101,11,FALSE),VLOOKUP(D1763,[3]Standard!$B$9:$M$101,12,FALSE)))),0)</f>
        <v>0</v>
      </c>
      <c r="M1763" s="269" t="str">
        <f>IFERROR(VLOOKUP((D1763&amp;C1763)&amp;"",'[2]Retail Price List'!$C$4:$F$102,4,FALSE),"")</f>
        <v/>
      </c>
      <c r="N1763" s="269">
        <f>IFERROR(IF(BA1763="WIP - 30 Days",VLOOKUP(D1763,[3]Extended!$B$9:$E$101,4,FALSE),IF(BA1763="31-120 Days",VLOOKUP(D1763,[3]Extended!$B$9:$F$101,5,FALSE),IF(BA1763="121-365 Days",VLOOKUP(D1763,[3]Extended!$B$9:$G$101,6,FALSE),VLOOKUP(D1763,[3]Extended!$B$9:$H$101,7,FALSE)))),0)</f>
        <v>0</v>
      </c>
      <c r="O1763" s="269">
        <f>IFERROR(IF(BA1763="WIP - 30 Days",VLOOKUP(D1763,[3]Extended!$B$9:$J$101,9,FALSE),IF(BA1763="31-120 Days",VLOOKUP(D1763,[3]Extended!$B$9:$K$101,10,FALSE),IF(BA1763="121-365 Days",VLOOKUP(D1763,[3]Extended!$B$9:$L$101,11,FALSE),VLOOKUP(D1763,[3]Extended!$B$9:$M$101,12,FALSE)))),0)</f>
        <v>0</v>
      </c>
      <c r="P1763" s="116" t="e">
        <f t="shared" si="136"/>
        <v>#VALUE!</v>
      </c>
      <c r="Q1763" s="110" t="e">
        <f>O1763-#REF!</f>
        <v>#REF!</v>
      </c>
      <c r="AT1763" s="88" t="str">
        <f t="shared" si="137"/>
        <v>Special Order0</v>
      </c>
      <c r="AU1763" s="89" t="str">
        <f t="shared" si="138"/>
        <v>01-1900</v>
      </c>
      <c r="BA1763" s="92" t="str">
        <f t="shared" si="139"/>
        <v/>
      </c>
    </row>
    <row r="1764" spans="2:53">
      <c r="B1764" s="60">
        <f>[2]Trucks!A1761</f>
        <v>0</v>
      </c>
      <c r="C1764" s="11">
        <f>[2]Trucks!B1761</f>
        <v>0</v>
      </c>
      <c r="D1764" s="19" t="str">
        <f>IFERROR(VLOOKUP(C1764&amp;"",'[2]Retail Price List'!$A$3:$B$103,2,FALSE),"Special Order")</f>
        <v>Special Order</v>
      </c>
      <c r="E1764" s="18">
        <f>[2]Trucks!J1761</f>
        <v>0</v>
      </c>
      <c r="F1764" s="12">
        <f>[2]Trucks!E1761</f>
        <v>0</v>
      </c>
      <c r="G1764" s="56">
        <f>[2]Trucks!K1761</f>
        <v>0</v>
      </c>
      <c r="H1764" s="46">
        <f>[2]Trucks!I1761</f>
        <v>0</v>
      </c>
      <c r="I1764" s="83" t="str">
        <f t="shared" si="135"/>
        <v/>
      </c>
      <c r="J1764" s="272" t="str">
        <f>IFERROR(VLOOKUP((D1764&amp;C1764)&amp;"",'[2]Retail Price List'!$C$4:$F$102,3,FALSE),"")</f>
        <v/>
      </c>
      <c r="K1764" s="272">
        <f>IFERROR(IF(BA1764="WIP - 30 Days",VLOOKUP(D1764,[3]Standard!$B$9:$E$101,4,FALSE),IF(BA1764="31-120 Days",VLOOKUP(D1764,[3]Standard!$B$9:$F$101,5,FALSE),IF(BA1764="121-365 Days",VLOOKUP(D1764,[3]Standard!$B$9:$G$101,6,FALSE),VLOOKUP(D1764,[3]Standard!$B$9:$H$101,7,FALSE)))),0)</f>
        <v>0</v>
      </c>
      <c r="L1764" s="272">
        <f>IFERROR(IF(BA1764="WIP - 30 Days",VLOOKUP(D1764,[3]Standard!$B$9:$J$101,9,FALSE),IF(BA1764="31-120 Days",VLOOKUP(D1764,[3]Standard!$B$9:$K$100,10,FALSE),IF(BA1764="121-365 Days",VLOOKUP(D1764,[3]Standard!$B$9:$L$101,11,FALSE),VLOOKUP(D1764,[3]Standard!$B$9:$M$101,12,FALSE)))),0)</f>
        <v>0</v>
      </c>
      <c r="M1764" s="269" t="str">
        <f>IFERROR(VLOOKUP((D1764&amp;C1764)&amp;"",'[2]Retail Price List'!$C$4:$F$102,4,FALSE),"")</f>
        <v/>
      </c>
      <c r="N1764" s="269">
        <f>IFERROR(IF(BA1764="WIP - 30 Days",VLOOKUP(D1764,[3]Extended!$B$9:$E$101,4,FALSE),IF(BA1764="31-120 Days",VLOOKUP(D1764,[3]Extended!$B$9:$F$101,5,FALSE),IF(BA1764="121-365 Days",VLOOKUP(D1764,[3]Extended!$B$9:$G$101,6,FALSE),VLOOKUP(D1764,[3]Extended!$B$9:$H$101,7,FALSE)))),0)</f>
        <v>0</v>
      </c>
      <c r="O1764" s="269">
        <f>IFERROR(IF(BA1764="WIP - 30 Days",VLOOKUP(D1764,[3]Extended!$B$9:$J$101,9,FALSE),IF(BA1764="31-120 Days",VLOOKUP(D1764,[3]Extended!$B$9:$K$101,10,FALSE),IF(BA1764="121-365 Days",VLOOKUP(D1764,[3]Extended!$B$9:$L$101,11,FALSE),VLOOKUP(D1764,[3]Extended!$B$9:$M$101,12,FALSE)))),0)</f>
        <v>0</v>
      </c>
      <c r="P1764" s="116" t="e">
        <f t="shared" si="136"/>
        <v>#VALUE!</v>
      </c>
      <c r="Q1764" s="110" t="e">
        <f>O1764-#REF!</f>
        <v>#REF!</v>
      </c>
      <c r="AT1764" s="88" t="str">
        <f t="shared" si="137"/>
        <v>Special Order0</v>
      </c>
      <c r="AU1764" s="89" t="str">
        <f t="shared" si="138"/>
        <v>01-1900</v>
      </c>
      <c r="BA1764" s="92" t="str">
        <f t="shared" si="139"/>
        <v/>
      </c>
    </row>
    <row r="1765" spans="2:53">
      <c r="B1765" s="60">
        <f>[2]Trucks!A1762</f>
        <v>0</v>
      </c>
      <c r="C1765" s="11">
        <f>[2]Trucks!B1762</f>
        <v>0</v>
      </c>
      <c r="D1765" s="19" t="str">
        <f>IFERROR(VLOOKUP(C1765&amp;"",'[2]Retail Price List'!$A$3:$B$103,2,FALSE),"Special Order")</f>
        <v>Special Order</v>
      </c>
      <c r="E1765" s="18">
        <f>[2]Trucks!J1762</f>
        <v>0</v>
      </c>
      <c r="F1765" s="12">
        <f>[2]Trucks!E1762</f>
        <v>0</v>
      </c>
      <c r="G1765" s="56">
        <f>[2]Trucks!K1762</f>
        <v>0</v>
      </c>
      <c r="H1765" s="46">
        <f>[2]Trucks!I1762</f>
        <v>0</v>
      </c>
      <c r="I1765" s="83" t="str">
        <f t="shared" si="135"/>
        <v/>
      </c>
      <c r="J1765" s="272" t="str">
        <f>IFERROR(VLOOKUP((D1765&amp;C1765)&amp;"",'[2]Retail Price List'!$C$4:$F$102,3,FALSE),"")</f>
        <v/>
      </c>
      <c r="K1765" s="272">
        <f>IFERROR(IF(BA1765="WIP - 30 Days",VLOOKUP(D1765,[3]Standard!$B$9:$E$101,4,FALSE),IF(BA1765="31-120 Days",VLOOKUP(D1765,[3]Standard!$B$9:$F$101,5,FALSE),IF(BA1765="121-365 Days",VLOOKUP(D1765,[3]Standard!$B$9:$G$101,6,FALSE),VLOOKUP(D1765,[3]Standard!$B$9:$H$101,7,FALSE)))),0)</f>
        <v>0</v>
      </c>
      <c r="L1765" s="272">
        <f>IFERROR(IF(BA1765="WIP - 30 Days",VLOOKUP(D1765,[3]Standard!$B$9:$J$101,9,FALSE),IF(BA1765="31-120 Days",VLOOKUP(D1765,[3]Standard!$B$9:$K$100,10,FALSE),IF(BA1765="121-365 Days",VLOOKUP(D1765,[3]Standard!$B$9:$L$101,11,FALSE),VLOOKUP(D1765,[3]Standard!$B$9:$M$101,12,FALSE)))),0)</f>
        <v>0</v>
      </c>
      <c r="M1765" s="269" t="str">
        <f>IFERROR(VLOOKUP((D1765&amp;C1765)&amp;"",'[2]Retail Price List'!$C$4:$F$102,4,FALSE),"")</f>
        <v/>
      </c>
      <c r="N1765" s="269">
        <f>IFERROR(IF(BA1765="WIP - 30 Days",VLOOKUP(D1765,[3]Extended!$B$9:$E$101,4,FALSE),IF(BA1765="31-120 Days",VLOOKUP(D1765,[3]Extended!$B$9:$F$101,5,FALSE),IF(BA1765="121-365 Days",VLOOKUP(D1765,[3]Extended!$B$9:$G$101,6,FALSE),VLOOKUP(D1765,[3]Extended!$B$9:$H$101,7,FALSE)))),0)</f>
        <v>0</v>
      </c>
      <c r="O1765" s="269">
        <f>IFERROR(IF(BA1765="WIP - 30 Days",VLOOKUP(D1765,[3]Extended!$B$9:$J$101,9,FALSE),IF(BA1765="31-120 Days",VLOOKUP(D1765,[3]Extended!$B$9:$K$101,10,FALSE),IF(BA1765="121-365 Days",VLOOKUP(D1765,[3]Extended!$B$9:$L$101,11,FALSE),VLOOKUP(D1765,[3]Extended!$B$9:$M$101,12,FALSE)))),0)</f>
        <v>0</v>
      </c>
      <c r="P1765" s="116" t="e">
        <f t="shared" si="136"/>
        <v>#VALUE!</v>
      </c>
      <c r="Q1765" s="110" t="e">
        <f>O1765-#REF!</f>
        <v>#REF!</v>
      </c>
      <c r="AT1765" s="88" t="str">
        <f t="shared" si="137"/>
        <v>Special Order0</v>
      </c>
      <c r="AU1765" s="89" t="str">
        <f t="shared" si="138"/>
        <v>01-1900</v>
      </c>
      <c r="BA1765" s="92" t="str">
        <f t="shared" si="139"/>
        <v/>
      </c>
    </row>
    <row r="1766" spans="2:53">
      <c r="B1766" s="60">
        <f>[2]Trucks!A1763</f>
        <v>0</v>
      </c>
      <c r="C1766" s="11">
        <f>[2]Trucks!B1763</f>
        <v>0</v>
      </c>
      <c r="D1766" s="19" t="str">
        <f>IFERROR(VLOOKUP(C1766&amp;"",'[2]Retail Price List'!$A$3:$B$103,2,FALSE),"Special Order")</f>
        <v>Special Order</v>
      </c>
      <c r="E1766" s="18">
        <f>[2]Trucks!J1763</f>
        <v>0</v>
      </c>
      <c r="F1766" s="12">
        <f>[2]Trucks!E1763</f>
        <v>0</v>
      </c>
      <c r="G1766" s="56">
        <f>[2]Trucks!K1763</f>
        <v>0</v>
      </c>
      <c r="H1766" s="46">
        <f>[2]Trucks!I1763</f>
        <v>0</v>
      </c>
      <c r="I1766" s="83" t="str">
        <f t="shared" si="135"/>
        <v/>
      </c>
      <c r="J1766" s="272" t="str">
        <f>IFERROR(VLOOKUP((D1766&amp;C1766)&amp;"",'[2]Retail Price List'!$C$4:$F$102,3,FALSE),"")</f>
        <v/>
      </c>
      <c r="K1766" s="272">
        <f>IFERROR(IF(BA1766="WIP - 30 Days",VLOOKUP(D1766,[3]Standard!$B$9:$E$101,4,FALSE),IF(BA1766="31-120 Days",VLOOKUP(D1766,[3]Standard!$B$9:$F$101,5,FALSE),IF(BA1766="121-365 Days",VLOOKUP(D1766,[3]Standard!$B$9:$G$101,6,FALSE),VLOOKUP(D1766,[3]Standard!$B$9:$H$101,7,FALSE)))),0)</f>
        <v>0</v>
      </c>
      <c r="L1766" s="272">
        <f>IFERROR(IF(BA1766="WIP - 30 Days",VLOOKUP(D1766,[3]Standard!$B$9:$J$101,9,FALSE),IF(BA1766="31-120 Days",VLOOKUP(D1766,[3]Standard!$B$9:$K$100,10,FALSE),IF(BA1766="121-365 Days",VLOOKUP(D1766,[3]Standard!$B$9:$L$101,11,FALSE),VLOOKUP(D1766,[3]Standard!$B$9:$M$101,12,FALSE)))),0)</f>
        <v>0</v>
      </c>
      <c r="M1766" s="269" t="str">
        <f>IFERROR(VLOOKUP((D1766&amp;C1766)&amp;"",'[2]Retail Price List'!$C$4:$F$102,4,FALSE),"")</f>
        <v/>
      </c>
      <c r="N1766" s="269">
        <f>IFERROR(IF(BA1766="WIP - 30 Days",VLOOKUP(D1766,[3]Extended!$B$9:$E$101,4,FALSE),IF(BA1766="31-120 Days",VLOOKUP(D1766,[3]Extended!$B$9:$F$101,5,FALSE),IF(BA1766="121-365 Days",VLOOKUP(D1766,[3]Extended!$B$9:$G$101,6,FALSE),VLOOKUP(D1766,[3]Extended!$B$9:$H$101,7,FALSE)))),0)</f>
        <v>0</v>
      </c>
      <c r="O1766" s="269">
        <f>IFERROR(IF(BA1766="WIP - 30 Days",VLOOKUP(D1766,[3]Extended!$B$9:$J$101,9,FALSE),IF(BA1766="31-120 Days",VLOOKUP(D1766,[3]Extended!$B$9:$K$101,10,FALSE),IF(BA1766="121-365 Days",VLOOKUP(D1766,[3]Extended!$B$9:$L$101,11,FALSE),VLOOKUP(D1766,[3]Extended!$B$9:$M$101,12,FALSE)))),0)</f>
        <v>0</v>
      </c>
      <c r="P1766" s="116" t="e">
        <f t="shared" si="136"/>
        <v>#VALUE!</v>
      </c>
      <c r="Q1766" s="110" t="e">
        <f>O1766-#REF!</f>
        <v>#REF!</v>
      </c>
      <c r="AT1766" s="88" t="str">
        <f t="shared" si="137"/>
        <v>Special Order0</v>
      </c>
      <c r="AU1766" s="89" t="str">
        <f t="shared" si="138"/>
        <v>01-1900</v>
      </c>
      <c r="BA1766" s="92" t="str">
        <f t="shared" si="139"/>
        <v/>
      </c>
    </row>
    <row r="1767" spans="2:53">
      <c r="B1767" s="60">
        <f>[2]Trucks!A1764</f>
        <v>0</v>
      </c>
      <c r="C1767" s="11">
        <f>[2]Trucks!B1764</f>
        <v>0</v>
      </c>
      <c r="D1767" s="19" t="str">
        <f>IFERROR(VLOOKUP(C1767&amp;"",'[2]Retail Price List'!$A$3:$B$103,2,FALSE),"Special Order")</f>
        <v>Special Order</v>
      </c>
      <c r="E1767" s="18">
        <f>[2]Trucks!J1764</f>
        <v>0</v>
      </c>
      <c r="F1767" s="12">
        <f>[2]Trucks!E1764</f>
        <v>0</v>
      </c>
      <c r="G1767" s="56">
        <f>[2]Trucks!K1764</f>
        <v>0</v>
      </c>
      <c r="H1767" s="46">
        <f>[2]Trucks!I1764</f>
        <v>0</v>
      </c>
      <c r="I1767" s="83" t="str">
        <f t="shared" si="135"/>
        <v/>
      </c>
      <c r="J1767" s="272" t="str">
        <f>IFERROR(VLOOKUP((D1767&amp;C1767)&amp;"",'[2]Retail Price List'!$C$4:$F$102,3,FALSE),"")</f>
        <v/>
      </c>
      <c r="K1767" s="272">
        <f>IFERROR(IF(BA1767="WIP - 30 Days",VLOOKUP(D1767,[3]Standard!$B$9:$E$101,4,FALSE),IF(BA1767="31-120 Days",VLOOKUP(D1767,[3]Standard!$B$9:$F$101,5,FALSE),IF(BA1767="121-365 Days",VLOOKUP(D1767,[3]Standard!$B$9:$G$101,6,FALSE),VLOOKUP(D1767,[3]Standard!$B$9:$H$101,7,FALSE)))),0)</f>
        <v>0</v>
      </c>
      <c r="L1767" s="272">
        <f>IFERROR(IF(BA1767="WIP - 30 Days",VLOOKUP(D1767,[3]Standard!$B$9:$J$101,9,FALSE),IF(BA1767="31-120 Days",VLOOKUP(D1767,[3]Standard!$B$9:$K$100,10,FALSE),IF(BA1767="121-365 Days",VLOOKUP(D1767,[3]Standard!$B$9:$L$101,11,FALSE),VLOOKUP(D1767,[3]Standard!$B$9:$M$101,12,FALSE)))),0)</f>
        <v>0</v>
      </c>
      <c r="M1767" s="269" t="str">
        <f>IFERROR(VLOOKUP((D1767&amp;C1767)&amp;"",'[2]Retail Price List'!$C$4:$F$102,4,FALSE),"")</f>
        <v/>
      </c>
      <c r="N1767" s="269">
        <f>IFERROR(IF(BA1767="WIP - 30 Days",VLOOKUP(D1767,[3]Extended!$B$9:$E$101,4,FALSE),IF(BA1767="31-120 Days",VLOOKUP(D1767,[3]Extended!$B$9:$F$101,5,FALSE),IF(BA1767="121-365 Days",VLOOKUP(D1767,[3]Extended!$B$9:$G$101,6,FALSE),VLOOKUP(D1767,[3]Extended!$B$9:$H$101,7,FALSE)))),0)</f>
        <v>0</v>
      </c>
      <c r="O1767" s="269">
        <f>IFERROR(IF(BA1767="WIP - 30 Days",VLOOKUP(D1767,[3]Extended!$B$9:$J$101,9,FALSE),IF(BA1767="31-120 Days",VLOOKUP(D1767,[3]Extended!$B$9:$K$101,10,FALSE),IF(BA1767="121-365 Days",VLOOKUP(D1767,[3]Extended!$B$9:$L$101,11,FALSE),VLOOKUP(D1767,[3]Extended!$B$9:$M$101,12,FALSE)))),0)</f>
        <v>0</v>
      </c>
      <c r="P1767" s="116" t="e">
        <f t="shared" si="136"/>
        <v>#VALUE!</v>
      </c>
      <c r="Q1767" s="110" t="e">
        <f>O1767-#REF!</f>
        <v>#REF!</v>
      </c>
      <c r="AT1767" s="88" t="str">
        <f t="shared" si="137"/>
        <v>Special Order0</v>
      </c>
      <c r="AU1767" s="89" t="str">
        <f t="shared" si="138"/>
        <v>01-1900</v>
      </c>
      <c r="BA1767" s="92" t="str">
        <f t="shared" si="139"/>
        <v/>
      </c>
    </row>
    <row r="1768" spans="2:53">
      <c r="B1768" s="60">
        <f>[2]Trucks!A1765</f>
        <v>0</v>
      </c>
      <c r="C1768" s="11">
        <f>[2]Trucks!B1765</f>
        <v>0</v>
      </c>
      <c r="D1768" s="19" t="str">
        <f>IFERROR(VLOOKUP(C1768&amp;"",'[2]Retail Price List'!$A$3:$B$103,2,FALSE),"Special Order")</f>
        <v>Special Order</v>
      </c>
      <c r="E1768" s="18">
        <f>[2]Trucks!J1765</f>
        <v>0</v>
      </c>
      <c r="F1768" s="12">
        <f>[2]Trucks!E1765</f>
        <v>0</v>
      </c>
      <c r="G1768" s="56">
        <f>[2]Trucks!K1765</f>
        <v>0</v>
      </c>
      <c r="H1768" s="46">
        <f>[2]Trucks!I1765</f>
        <v>0</v>
      </c>
      <c r="I1768" s="83" t="str">
        <f t="shared" si="135"/>
        <v/>
      </c>
      <c r="J1768" s="272" t="str">
        <f>IFERROR(VLOOKUP((D1768&amp;C1768)&amp;"",'[2]Retail Price List'!$C$4:$F$102,3,FALSE),"")</f>
        <v/>
      </c>
      <c r="K1768" s="272">
        <f>IFERROR(IF(BA1768="WIP - 30 Days",VLOOKUP(D1768,[3]Standard!$B$9:$E$101,4,FALSE),IF(BA1768="31-120 Days",VLOOKUP(D1768,[3]Standard!$B$9:$F$101,5,FALSE),IF(BA1768="121-365 Days",VLOOKUP(D1768,[3]Standard!$B$9:$G$101,6,FALSE),VLOOKUP(D1768,[3]Standard!$B$9:$H$101,7,FALSE)))),0)</f>
        <v>0</v>
      </c>
      <c r="L1768" s="272">
        <f>IFERROR(IF(BA1768="WIP - 30 Days",VLOOKUP(D1768,[3]Standard!$B$9:$J$101,9,FALSE),IF(BA1768="31-120 Days",VLOOKUP(D1768,[3]Standard!$B$9:$K$100,10,FALSE),IF(BA1768="121-365 Days",VLOOKUP(D1768,[3]Standard!$B$9:$L$101,11,FALSE),VLOOKUP(D1768,[3]Standard!$B$9:$M$101,12,FALSE)))),0)</f>
        <v>0</v>
      </c>
      <c r="M1768" s="269" t="str">
        <f>IFERROR(VLOOKUP((D1768&amp;C1768)&amp;"",'[2]Retail Price List'!$C$4:$F$102,4,FALSE),"")</f>
        <v/>
      </c>
      <c r="N1768" s="269">
        <f>IFERROR(IF(BA1768="WIP - 30 Days",VLOOKUP(D1768,[3]Extended!$B$9:$E$101,4,FALSE),IF(BA1768="31-120 Days",VLOOKUP(D1768,[3]Extended!$B$9:$F$101,5,FALSE),IF(BA1768="121-365 Days",VLOOKUP(D1768,[3]Extended!$B$9:$G$101,6,FALSE),VLOOKUP(D1768,[3]Extended!$B$9:$H$101,7,FALSE)))),0)</f>
        <v>0</v>
      </c>
      <c r="O1768" s="269">
        <f>IFERROR(IF(BA1768="WIP - 30 Days",VLOOKUP(D1768,[3]Extended!$B$9:$J$101,9,FALSE),IF(BA1768="31-120 Days",VLOOKUP(D1768,[3]Extended!$B$9:$K$101,10,FALSE),IF(BA1768="121-365 Days",VLOOKUP(D1768,[3]Extended!$B$9:$L$101,11,FALSE),VLOOKUP(D1768,[3]Extended!$B$9:$M$101,12,FALSE)))),0)</f>
        <v>0</v>
      </c>
      <c r="P1768" s="116" t="e">
        <f t="shared" si="136"/>
        <v>#VALUE!</v>
      </c>
      <c r="Q1768" s="110" t="e">
        <f>O1768-#REF!</f>
        <v>#REF!</v>
      </c>
      <c r="AT1768" s="88" t="str">
        <f t="shared" si="137"/>
        <v>Special Order0</v>
      </c>
      <c r="AU1768" s="89" t="str">
        <f t="shared" si="138"/>
        <v>01-1900</v>
      </c>
      <c r="BA1768" s="92" t="str">
        <f t="shared" si="139"/>
        <v/>
      </c>
    </row>
    <row r="1769" spans="2:53">
      <c r="B1769" s="60">
        <f>[2]Trucks!A1766</f>
        <v>0</v>
      </c>
      <c r="C1769" s="11">
        <f>[2]Trucks!B1766</f>
        <v>0</v>
      </c>
      <c r="D1769" s="19" t="str">
        <f>IFERROR(VLOOKUP(C1769&amp;"",'[2]Retail Price List'!$A$3:$B$103,2,FALSE),"Special Order")</f>
        <v>Special Order</v>
      </c>
      <c r="E1769" s="18">
        <f>[2]Trucks!J1766</f>
        <v>0</v>
      </c>
      <c r="F1769" s="12">
        <f>[2]Trucks!E1766</f>
        <v>0</v>
      </c>
      <c r="G1769" s="56">
        <f>[2]Trucks!K1766</f>
        <v>0</v>
      </c>
      <c r="H1769" s="46">
        <f>[2]Trucks!I1766</f>
        <v>0</v>
      </c>
      <c r="I1769" s="83" t="str">
        <f t="shared" si="135"/>
        <v/>
      </c>
      <c r="J1769" s="272" t="str">
        <f>IFERROR(VLOOKUP((D1769&amp;C1769)&amp;"",'[2]Retail Price List'!$C$4:$F$102,3,FALSE),"")</f>
        <v/>
      </c>
      <c r="K1769" s="272">
        <f>IFERROR(IF(BA1769="WIP - 30 Days",VLOOKUP(D1769,[3]Standard!$B$9:$E$101,4,FALSE),IF(BA1769="31-120 Days",VLOOKUP(D1769,[3]Standard!$B$9:$F$101,5,FALSE),IF(BA1769="121-365 Days",VLOOKUP(D1769,[3]Standard!$B$9:$G$101,6,FALSE),VLOOKUP(D1769,[3]Standard!$B$9:$H$101,7,FALSE)))),0)</f>
        <v>0</v>
      </c>
      <c r="L1769" s="272">
        <f>IFERROR(IF(BA1769="WIP - 30 Days",VLOOKUP(D1769,[3]Standard!$B$9:$J$101,9,FALSE),IF(BA1769="31-120 Days",VLOOKUP(D1769,[3]Standard!$B$9:$K$100,10,FALSE),IF(BA1769="121-365 Days",VLOOKUP(D1769,[3]Standard!$B$9:$L$101,11,FALSE),VLOOKUP(D1769,[3]Standard!$B$9:$M$101,12,FALSE)))),0)</f>
        <v>0</v>
      </c>
      <c r="M1769" s="269" t="str">
        <f>IFERROR(VLOOKUP((D1769&amp;C1769)&amp;"",'[2]Retail Price List'!$C$4:$F$102,4,FALSE),"")</f>
        <v/>
      </c>
      <c r="N1769" s="269">
        <f>IFERROR(IF(BA1769="WIP - 30 Days",VLOOKUP(D1769,[3]Extended!$B$9:$E$101,4,FALSE),IF(BA1769="31-120 Days",VLOOKUP(D1769,[3]Extended!$B$9:$F$101,5,FALSE),IF(BA1769="121-365 Days",VLOOKUP(D1769,[3]Extended!$B$9:$G$101,6,FALSE),VLOOKUP(D1769,[3]Extended!$B$9:$H$101,7,FALSE)))),0)</f>
        <v>0</v>
      </c>
      <c r="O1769" s="269">
        <f>IFERROR(IF(BA1769="WIP - 30 Days",VLOOKUP(D1769,[3]Extended!$B$9:$J$101,9,FALSE),IF(BA1769="31-120 Days",VLOOKUP(D1769,[3]Extended!$B$9:$K$101,10,FALSE),IF(BA1769="121-365 Days",VLOOKUP(D1769,[3]Extended!$B$9:$L$101,11,FALSE),VLOOKUP(D1769,[3]Extended!$B$9:$M$101,12,FALSE)))),0)</f>
        <v>0</v>
      </c>
      <c r="P1769" s="116" t="e">
        <f t="shared" si="136"/>
        <v>#VALUE!</v>
      </c>
      <c r="Q1769" s="110" t="e">
        <f>O1769-#REF!</f>
        <v>#REF!</v>
      </c>
      <c r="AT1769" s="88" t="str">
        <f t="shared" si="137"/>
        <v>Special Order0</v>
      </c>
      <c r="AU1769" s="89" t="str">
        <f t="shared" si="138"/>
        <v>01-1900</v>
      </c>
      <c r="BA1769" s="92" t="str">
        <f t="shared" si="139"/>
        <v/>
      </c>
    </row>
    <row r="1770" spans="2:53">
      <c r="B1770" s="60">
        <f>[2]Trucks!A1767</f>
        <v>0</v>
      </c>
      <c r="C1770" s="11">
        <f>[2]Trucks!B1767</f>
        <v>0</v>
      </c>
      <c r="D1770" s="19" t="str">
        <f>IFERROR(VLOOKUP(C1770&amp;"",'[2]Retail Price List'!$A$3:$B$103,2,FALSE),"Special Order")</f>
        <v>Special Order</v>
      </c>
      <c r="E1770" s="18">
        <f>[2]Trucks!J1767</f>
        <v>0</v>
      </c>
      <c r="F1770" s="12">
        <f>[2]Trucks!E1767</f>
        <v>0</v>
      </c>
      <c r="G1770" s="56">
        <f>[2]Trucks!K1767</f>
        <v>0</v>
      </c>
      <c r="H1770" s="46">
        <f>[2]Trucks!I1767</f>
        <v>0</v>
      </c>
      <c r="I1770" s="83" t="str">
        <f t="shared" si="135"/>
        <v/>
      </c>
      <c r="J1770" s="272" t="str">
        <f>IFERROR(VLOOKUP((D1770&amp;C1770)&amp;"",'[2]Retail Price List'!$C$4:$F$102,3,FALSE),"")</f>
        <v/>
      </c>
      <c r="K1770" s="272">
        <f>IFERROR(IF(BA1770="WIP - 30 Days",VLOOKUP(D1770,[3]Standard!$B$9:$E$101,4,FALSE),IF(BA1770="31-120 Days",VLOOKUP(D1770,[3]Standard!$B$9:$F$101,5,FALSE),IF(BA1770="121-365 Days",VLOOKUP(D1770,[3]Standard!$B$9:$G$101,6,FALSE),VLOOKUP(D1770,[3]Standard!$B$9:$H$101,7,FALSE)))),0)</f>
        <v>0</v>
      </c>
      <c r="L1770" s="272">
        <f>IFERROR(IF(BA1770="WIP - 30 Days",VLOOKUP(D1770,[3]Standard!$B$9:$J$101,9,FALSE),IF(BA1770="31-120 Days",VLOOKUP(D1770,[3]Standard!$B$9:$K$100,10,FALSE),IF(BA1770="121-365 Days",VLOOKUP(D1770,[3]Standard!$B$9:$L$101,11,FALSE),VLOOKUP(D1770,[3]Standard!$B$9:$M$101,12,FALSE)))),0)</f>
        <v>0</v>
      </c>
      <c r="M1770" s="269" t="str">
        <f>IFERROR(VLOOKUP((D1770&amp;C1770)&amp;"",'[2]Retail Price List'!$C$4:$F$102,4,FALSE),"")</f>
        <v/>
      </c>
      <c r="N1770" s="269">
        <f>IFERROR(IF(BA1770="WIP - 30 Days",VLOOKUP(D1770,[3]Extended!$B$9:$E$101,4,FALSE),IF(BA1770="31-120 Days",VLOOKUP(D1770,[3]Extended!$B$9:$F$101,5,FALSE),IF(BA1770="121-365 Days",VLOOKUP(D1770,[3]Extended!$B$9:$G$101,6,FALSE),VLOOKUP(D1770,[3]Extended!$B$9:$H$101,7,FALSE)))),0)</f>
        <v>0</v>
      </c>
      <c r="O1770" s="269">
        <f>IFERROR(IF(BA1770="WIP - 30 Days",VLOOKUP(D1770,[3]Extended!$B$9:$J$101,9,FALSE),IF(BA1770="31-120 Days",VLOOKUP(D1770,[3]Extended!$B$9:$K$101,10,FALSE),IF(BA1770="121-365 Days",VLOOKUP(D1770,[3]Extended!$B$9:$L$101,11,FALSE),VLOOKUP(D1770,[3]Extended!$B$9:$M$101,12,FALSE)))),0)</f>
        <v>0</v>
      </c>
      <c r="P1770" s="116" t="e">
        <f t="shared" si="136"/>
        <v>#VALUE!</v>
      </c>
      <c r="Q1770" s="110" t="e">
        <f>O1770-#REF!</f>
        <v>#REF!</v>
      </c>
      <c r="AT1770" s="88" t="str">
        <f t="shared" si="137"/>
        <v>Special Order0</v>
      </c>
      <c r="AU1770" s="89" t="str">
        <f t="shared" si="138"/>
        <v>01-1900</v>
      </c>
      <c r="BA1770" s="92" t="str">
        <f t="shared" si="139"/>
        <v/>
      </c>
    </row>
    <row r="1771" spans="2:53">
      <c r="B1771" s="60">
        <f>[2]Trucks!A1768</f>
        <v>0</v>
      </c>
      <c r="C1771" s="11">
        <f>[2]Trucks!B1768</f>
        <v>0</v>
      </c>
      <c r="D1771" s="19" t="str">
        <f>IFERROR(VLOOKUP(C1771&amp;"",'[2]Retail Price List'!$A$3:$B$103,2,FALSE),"Special Order")</f>
        <v>Special Order</v>
      </c>
      <c r="E1771" s="18">
        <f>[2]Trucks!J1768</f>
        <v>0</v>
      </c>
      <c r="F1771" s="12">
        <f>[2]Trucks!E1768</f>
        <v>0</v>
      </c>
      <c r="G1771" s="56">
        <f>[2]Trucks!K1768</f>
        <v>0</v>
      </c>
      <c r="H1771" s="46">
        <f>[2]Trucks!I1768</f>
        <v>0</v>
      </c>
      <c r="I1771" s="83" t="str">
        <f t="shared" si="135"/>
        <v/>
      </c>
      <c r="J1771" s="272" t="str">
        <f>IFERROR(VLOOKUP((D1771&amp;C1771)&amp;"",'[2]Retail Price List'!$C$4:$F$102,3,FALSE),"")</f>
        <v/>
      </c>
      <c r="K1771" s="272">
        <f>IFERROR(IF(BA1771="WIP - 30 Days",VLOOKUP(D1771,[3]Standard!$B$9:$E$101,4,FALSE),IF(BA1771="31-120 Days",VLOOKUP(D1771,[3]Standard!$B$9:$F$101,5,FALSE),IF(BA1771="121-365 Days",VLOOKUP(D1771,[3]Standard!$B$9:$G$101,6,FALSE),VLOOKUP(D1771,[3]Standard!$B$9:$H$101,7,FALSE)))),0)</f>
        <v>0</v>
      </c>
      <c r="L1771" s="272">
        <f>IFERROR(IF(BA1771="WIP - 30 Days",VLOOKUP(D1771,[3]Standard!$B$9:$J$101,9,FALSE),IF(BA1771="31-120 Days",VLOOKUP(D1771,[3]Standard!$B$9:$K$100,10,FALSE),IF(BA1771="121-365 Days",VLOOKUP(D1771,[3]Standard!$B$9:$L$101,11,FALSE),VLOOKUP(D1771,[3]Standard!$B$9:$M$101,12,FALSE)))),0)</f>
        <v>0</v>
      </c>
      <c r="M1771" s="269" t="str">
        <f>IFERROR(VLOOKUP((D1771&amp;C1771)&amp;"",'[2]Retail Price List'!$C$4:$F$102,4,FALSE),"")</f>
        <v/>
      </c>
      <c r="N1771" s="269">
        <f>IFERROR(IF(BA1771="WIP - 30 Days",VLOOKUP(D1771,[3]Extended!$B$9:$E$101,4,FALSE),IF(BA1771="31-120 Days",VLOOKUP(D1771,[3]Extended!$B$9:$F$101,5,FALSE),IF(BA1771="121-365 Days",VLOOKUP(D1771,[3]Extended!$B$9:$G$101,6,FALSE),VLOOKUP(D1771,[3]Extended!$B$9:$H$101,7,FALSE)))),0)</f>
        <v>0</v>
      </c>
      <c r="O1771" s="269">
        <f>IFERROR(IF(BA1771="WIP - 30 Days",VLOOKUP(D1771,[3]Extended!$B$9:$J$101,9,FALSE),IF(BA1771="31-120 Days",VLOOKUP(D1771,[3]Extended!$B$9:$K$101,10,FALSE),IF(BA1771="121-365 Days",VLOOKUP(D1771,[3]Extended!$B$9:$L$101,11,FALSE),VLOOKUP(D1771,[3]Extended!$B$9:$M$101,12,FALSE)))),0)</f>
        <v>0</v>
      </c>
      <c r="P1771" s="116" t="e">
        <f t="shared" si="136"/>
        <v>#VALUE!</v>
      </c>
      <c r="Q1771" s="110" t="e">
        <f>O1771-#REF!</f>
        <v>#REF!</v>
      </c>
      <c r="AT1771" s="88" t="str">
        <f t="shared" si="137"/>
        <v>Special Order0</v>
      </c>
      <c r="AU1771" s="89" t="str">
        <f t="shared" si="138"/>
        <v>01-1900</v>
      </c>
      <c r="BA1771" s="92" t="str">
        <f t="shared" si="139"/>
        <v/>
      </c>
    </row>
    <row r="1772" spans="2:53">
      <c r="B1772" s="60">
        <f>[2]Trucks!A1769</f>
        <v>0</v>
      </c>
      <c r="C1772" s="11">
        <f>[2]Trucks!B1769</f>
        <v>0</v>
      </c>
      <c r="D1772" s="19" t="str">
        <f>IFERROR(VLOOKUP(C1772&amp;"",'[2]Retail Price List'!$A$3:$B$103,2,FALSE),"Special Order")</f>
        <v>Special Order</v>
      </c>
      <c r="E1772" s="18">
        <f>[2]Trucks!J1769</f>
        <v>0</v>
      </c>
      <c r="F1772" s="12">
        <f>[2]Trucks!E1769</f>
        <v>0</v>
      </c>
      <c r="G1772" s="56">
        <f>[2]Trucks!K1769</f>
        <v>0</v>
      </c>
      <c r="H1772" s="46">
        <f>[2]Trucks!I1769</f>
        <v>0</v>
      </c>
      <c r="I1772" s="83" t="str">
        <f t="shared" si="135"/>
        <v/>
      </c>
      <c r="J1772" s="272" t="str">
        <f>IFERROR(VLOOKUP((D1772&amp;C1772)&amp;"",'[2]Retail Price List'!$C$4:$F$102,3,FALSE),"")</f>
        <v/>
      </c>
      <c r="K1772" s="272">
        <f>IFERROR(IF(BA1772="WIP - 30 Days",VLOOKUP(D1772,[3]Standard!$B$9:$E$101,4,FALSE),IF(BA1772="31-120 Days",VLOOKUP(D1772,[3]Standard!$B$9:$F$101,5,FALSE),IF(BA1772="121-365 Days",VLOOKUP(D1772,[3]Standard!$B$9:$G$101,6,FALSE),VLOOKUP(D1772,[3]Standard!$B$9:$H$101,7,FALSE)))),0)</f>
        <v>0</v>
      </c>
      <c r="L1772" s="272">
        <f>IFERROR(IF(BA1772="WIP - 30 Days",VLOOKUP(D1772,[3]Standard!$B$9:$J$101,9,FALSE),IF(BA1772="31-120 Days",VLOOKUP(D1772,[3]Standard!$B$9:$K$100,10,FALSE),IF(BA1772="121-365 Days",VLOOKUP(D1772,[3]Standard!$B$9:$L$101,11,FALSE),VLOOKUP(D1772,[3]Standard!$B$9:$M$101,12,FALSE)))),0)</f>
        <v>0</v>
      </c>
      <c r="M1772" s="269" t="str">
        <f>IFERROR(VLOOKUP((D1772&amp;C1772)&amp;"",'[2]Retail Price List'!$C$4:$F$102,4,FALSE),"")</f>
        <v/>
      </c>
      <c r="N1772" s="269">
        <f>IFERROR(IF(BA1772="WIP - 30 Days",VLOOKUP(D1772,[3]Extended!$B$9:$E$101,4,FALSE),IF(BA1772="31-120 Days",VLOOKUP(D1772,[3]Extended!$B$9:$F$101,5,FALSE),IF(BA1772="121-365 Days",VLOOKUP(D1772,[3]Extended!$B$9:$G$101,6,FALSE),VLOOKUP(D1772,[3]Extended!$B$9:$H$101,7,FALSE)))),0)</f>
        <v>0</v>
      </c>
      <c r="O1772" s="269">
        <f>IFERROR(IF(BA1772="WIP - 30 Days",VLOOKUP(D1772,[3]Extended!$B$9:$J$101,9,FALSE),IF(BA1772="31-120 Days",VLOOKUP(D1772,[3]Extended!$B$9:$K$101,10,FALSE),IF(BA1772="121-365 Days",VLOOKUP(D1772,[3]Extended!$B$9:$L$101,11,FALSE),VLOOKUP(D1772,[3]Extended!$B$9:$M$101,12,FALSE)))),0)</f>
        <v>0</v>
      </c>
      <c r="P1772" s="116" t="e">
        <f t="shared" si="136"/>
        <v>#VALUE!</v>
      </c>
      <c r="Q1772" s="110" t="e">
        <f>O1772-#REF!</f>
        <v>#REF!</v>
      </c>
      <c r="AT1772" s="88" t="str">
        <f t="shared" si="137"/>
        <v>Special Order0</v>
      </c>
      <c r="AU1772" s="89" t="str">
        <f t="shared" si="138"/>
        <v>01-1900</v>
      </c>
      <c r="BA1772" s="92" t="str">
        <f t="shared" si="139"/>
        <v/>
      </c>
    </row>
    <row r="1773" spans="2:53">
      <c r="B1773" s="60">
        <f>[2]Trucks!A1770</f>
        <v>0</v>
      </c>
      <c r="C1773" s="11">
        <f>[2]Trucks!B1770</f>
        <v>0</v>
      </c>
      <c r="D1773" s="19" t="str">
        <f>IFERROR(VLOOKUP(C1773&amp;"",'[2]Retail Price List'!$A$3:$B$103,2,FALSE),"Special Order")</f>
        <v>Special Order</v>
      </c>
      <c r="E1773" s="18">
        <f>[2]Trucks!J1770</f>
        <v>0</v>
      </c>
      <c r="F1773" s="12">
        <f>[2]Trucks!E1770</f>
        <v>0</v>
      </c>
      <c r="G1773" s="56">
        <f>[2]Trucks!K1770</f>
        <v>0</v>
      </c>
      <c r="H1773" s="46">
        <f>[2]Trucks!I1770</f>
        <v>0</v>
      </c>
      <c r="I1773" s="83" t="str">
        <f t="shared" si="135"/>
        <v/>
      </c>
      <c r="J1773" s="272" t="str">
        <f>IFERROR(VLOOKUP((D1773&amp;C1773)&amp;"",'[2]Retail Price List'!$C$4:$F$102,3,FALSE),"")</f>
        <v/>
      </c>
      <c r="K1773" s="272">
        <f>IFERROR(IF(BA1773="WIP - 30 Days",VLOOKUP(D1773,[3]Standard!$B$9:$E$101,4,FALSE),IF(BA1773="31-120 Days",VLOOKUP(D1773,[3]Standard!$B$9:$F$101,5,FALSE),IF(BA1773="121-365 Days",VLOOKUP(D1773,[3]Standard!$B$9:$G$101,6,FALSE),VLOOKUP(D1773,[3]Standard!$B$9:$H$101,7,FALSE)))),0)</f>
        <v>0</v>
      </c>
      <c r="L1773" s="272">
        <f>IFERROR(IF(BA1773="WIP - 30 Days",VLOOKUP(D1773,[3]Standard!$B$9:$J$101,9,FALSE),IF(BA1773="31-120 Days",VLOOKUP(D1773,[3]Standard!$B$9:$K$100,10,FALSE),IF(BA1773="121-365 Days",VLOOKUP(D1773,[3]Standard!$B$9:$L$101,11,FALSE),VLOOKUP(D1773,[3]Standard!$B$9:$M$101,12,FALSE)))),0)</f>
        <v>0</v>
      </c>
      <c r="M1773" s="269" t="str">
        <f>IFERROR(VLOOKUP((D1773&amp;C1773)&amp;"",'[2]Retail Price List'!$C$4:$F$102,4,FALSE),"")</f>
        <v/>
      </c>
      <c r="N1773" s="269">
        <f>IFERROR(IF(BA1773="WIP - 30 Days",VLOOKUP(D1773,[3]Extended!$B$9:$E$101,4,FALSE),IF(BA1773="31-120 Days",VLOOKUP(D1773,[3]Extended!$B$9:$F$101,5,FALSE),IF(BA1773="121-365 Days",VLOOKUP(D1773,[3]Extended!$B$9:$G$101,6,FALSE),VLOOKUP(D1773,[3]Extended!$B$9:$H$101,7,FALSE)))),0)</f>
        <v>0</v>
      </c>
      <c r="O1773" s="269">
        <f>IFERROR(IF(BA1773="WIP - 30 Days",VLOOKUP(D1773,[3]Extended!$B$9:$J$101,9,FALSE),IF(BA1773="31-120 Days",VLOOKUP(D1773,[3]Extended!$B$9:$K$101,10,FALSE),IF(BA1773="121-365 Days",VLOOKUP(D1773,[3]Extended!$B$9:$L$101,11,FALSE),VLOOKUP(D1773,[3]Extended!$B$9:$M$101,12,FALSE)))),0)</f>
        <v>0</v>
      </c>
      <c r="P1773" s="116" t="e">
        <f t="shared" si="136"/>
        <v>#VALUE!</v>
      </c>
      <c r="Q1773" s="110" t="e">
        <f>O1773-#REF!</f>
        <v>#REF!</v>
      </c>
      <c r="AT1773" s="88" t="str">
        <f t="shared" si="137"/>
        <v>Special Order0</v>
      </c>
      <c r="AU1773" s="89" t="str">
        <f t="shared" si="138"/>
        <v>01-1900</v>
      </c>
      <c r="BA1773" s="92" t="str">
        <f t="shared" si="139"/>
        <v/>
      </c>
    </row>
    <row r="1774" spans="2:53">
      <c r="B1774" s="60">
        <f>[2]Trucks!A1771</f>
        <v>0</v>
      </c>
      <c r="C1774" s="11">
        <f>[2]Trucks!B1771</f>
        <v>0</v>
      </c>
      <c r="D1774" s="19" t="str">
        <f>IFERROR(VLOOKUP(C1774&amp;"",'[2]Retail Price List'!$A$3:$B$103,2,FALSE),"Special Order")</f>
        <v>Special Order</v>
      </c>
      <c r="E1774" s="18">
        <f>[2]Trucks!J1771</f>
        <v>0</v>
      </c>
      <c r="F1774" s="12">
        <f>[2]Trucks!E1771</f>
        <v>0</v>
      </c>
      <c r="G1774" s="56">
        <f>[2]Trucks!K1771</f>
        <v>0</v>
      </c>
      <c r="H1774" s="46">
        <f>[2]Trucks!I1771</f>
        <v>0</v>
      </c>
      <c r="I1774" s="83" t="str">
        <f t="shared" si="135"/>
        <v/>
      </c>
      <c r="J1774" s="272" t="str">
        <f>IFERROR(VLOOKUP((D1774&amp;C1774)&amp;"",'[2]Retail Price List'!$C$4:$F$102,3,FALSE),"")</f>
        <v/>
      </c>
      <c r="K1774" s="272">
        <f>IFERROR(IF(BA1774="WIP - 30 Days",VLOOKUP(D1774,[3]Standard!$B$9:$E$101,4,FALSE),IF(BA1774="31-120 Days",VLOOKUP(D1774,[3]Standard!$B$9:$F$101,5,FALSE),IF(BA1774="121-365 Days",VLOOKUP(D1774,[3]Standard!$B$9:$G$101,6,FALSE),VLOOKUP(D1774,[3]Standard!$B$9:$H$101,7,FALSE)))),0)</f>
        <v>0</v>
      </c>
      <c r="L1774" s="272">
        <f>IFERROR(IF(BA1774="WIP - 30 Days",VLOOKUP(D1774,[3]Standard!$B$9:$J$101,9,FALSE),IF(BA1774="31-120 Days",VLOOKUP(D1774,[3]Standard!$B$9:$K$100,10,FALSE),IF(BA1774="121-365 Days",VLOOKUP(D1774,[3]Standard!$B$9:$L$101,11,FALSE),VLOOKUP(D1774,[3]Standard!$B$9:$M$101,12,FALSE)))),0)</f>
        <v>0</v>
      </c>
      <c r="M1774" s="269" t="str">
        <f>IFERROR(VLOOKUP((D1774&amp;C1774)&amp;"",'[2]Retail Price List'!$C$4:$F$102,4,FALSE),"")</f>
        <v/>
      </c>
      <c r="N1774" s="269">
        <f>IFERROR(IF(BA1774="WIP - 30 Days",VLOOKUP(D1774,[3]Extended!$B$9:$E$101,4,FALSE),IF(BA1774="31-120 Days",VLOOKUP(D1774,[3]Extended!$B$9:$F$101,5,FALSE),IF(BA1774="121-365 Days",VLOOKUP(D1774,[3]Extended!$B$9:$G$101,6,FALSE),VLOOKUP(D1774,[3]Extended!$B$9:$H$101,7,FALSE)))),0)</f>
        <v>0</v>
      </c>
      <c r="O1774" s="269">
        <f>IFERROR(IF(BA1774="WIP - 30 Days",VLOOKUP(D1774,[3]Extended!$B$9:$J$101,9,FALSE),IF(BA1774="31-120 Days",VLOOKUP(D1774,[3]Extended!$B$9:$K$101,10,FALSE),IF(BA1774="121-365 Days",VLOOKUP(D1774,[3]Extended!$B$9:$L$101,11,FALSE),VLOOKUP(D1774,[3]Extended!$B$9:$M$101,12,FALSE)))),0)</f>
        <v>0</v>
      </c>
      <c r="P1774" s="116" t="e">
        <f t="shared" si="136"/>
        <v>#VALUE!</v>
      </c>
      <c r="Q1774" s="110" t="e">
        <f>O1774-#REF!</f>
        <v>#REF!</v>
      </c>
      <c r="AT1774" s="88" t="str">
        <f t="shared" si="137"/>
        <v>Special Order0</v>
      </c>
      <c r="AU1774" s="89" t="str">
        <f t="shared" si="138"/>
        <v>01-1900</v>
      </c>
      <c r="BA1774" s="92" t="str">
        <f t="shared" si="139"/>
        <v/>
      </c>
    </row>
    <row r="1775" spans="2:53">
      <c r="B1775" s="60">
        <f>[2]Trucks!A1772</f>
        <v>0</v>
      </c>
      <c r="C1775" s="11">
        <f>[2]Trucks!B1772</f>
        <v>0</v>
      </c>
      <c r="D1775" s="19" t="str">
        <f>IFERROR(VLOOKUP(C1775&amp;"",'[2]Retail Price List'!$A$3:$B$103,2,FALSE),"Special Order")</f>
        <v>Special Order</v>
      </c>
      <c r="E1775" s="18">
        <f>[2]Trucks!J1772</f>
        <v>0</v>
      </c>
      <c r="F1775" s="12">
        <f>[2]Trucks!E1772</f>
        <v>0</v>
      </c>
      <c r="G1775" s="56">
        <f>[2]Trucks!K1772</f>
        <v>0</v>
      </c>
      <c r="H1775" s="46">
        <f>[2]Trucks!I1772</f>
        <v>0</v>
      </c>
      <c r="I1775" s="83" t="str">
        <f t="shared" si="135"/>
        <v/>
      </c>
      <c r="J1775" s="272" t="str">
        <f>IFERROR(VLOOKUP((D1775&amp;C1775)&amp;"",'[2]Retail Price List'!$C$4:$F$102,3,FALSE),"")</f>
        <v/>
      </c>
      <c r="K1775" s="272">
        <f>IFERROR(IF(BA1775="WIP - 30 Days",VLOOKUP(D1775,[3]Standard!$B$9:$E$101,4,FALSE),IF(BA1775="31-120 Days",VLOOKUP(D1775,[3]Standard!$B$9:$F$101,5,FALSE),IF(BA1775="121-365 Days",VLOOKUP(D1775,[3]Standard!$B$9:$G$101,6,FALSE),VLOOKUP(D1775,[3]Standard!$B$9:$H$101,7,FALSE)))),0)</f>
        <v>0</v>
      </c>
      <c r="L1775" s="272">
        <f>IFERROR(IF(BA1775="WIP - 30 Days",VLOOKUP(D1775,[3]Standard!$B$9:$J$101,9,FALSE),IF(BA1775="31-120 Days",VLOOKUP(D1775,[3]Standard!$B$9:$K$100,10,FALSE),IF(BA1775="121-365 Days",VLOOKUP(D1775,[3]Standard!$B$9:$L$101,11,FALSE),VLOOKUP(D1775,[3]Standard!$B$9:$M$101,12,FALSE)))),0)</f>
        <v>0</v>
      </c>
      <c r="M1775" s="269" t="str">
        <f>IFERROR(VLOOKUP((D1775&amp;C1775)&amp;"",'[2]Retail Price List'!$C$4:$F$102,4,FALSE),"")</f>
        <v/>
      </c>
      <c r="N1775" s="269">
        <f>IFERROR(IF(BA1775="WIP - 30 Days",VLOOKUP(D1775,[3]Extended!$B$9:$E$101,4,FALSE),IF(BA1775="31-120 Days",VLOOKUP(D1775,[3]Extended!$B$9:$F$101,5,FALSE),IF(BA1775="121-365 Days",VLOOKUP(D1775,[3]Extended!$B$9:$G$101,6,FALSE),VLOOKUP(D1775,[3]Extended!$B$9:$H$101,7,FALSE)))),0)</f>
        <v>0</v>
      </c>
      <c r="O1775" s="269">
        <f>IFERROR(IF(BA1775="WIP - 30 Days",VLOOKUP(D1775,[3]Extended!$B$9:$J$101,9,FALSE),IF(BA1775="31-120 Days",VLOOKUP(D1775,[3]Extended!$B$9:$K$101,10,FALSE),IF(BA1775="121-365 Days",VLOOKUP(D1775,[3]Extended!$B$9:$L$101,11,FALSE),VLOOKUP(D1775,[3]Extended!$B$9:$M$101,12,FALSE)))),0)</f>
        <v>0</v>
      </c>
      <c r="P1775" s="116" t="e">
        <f t="shared" si="136"/>
        <v>#VALUE!</v>
      </c>
      <c r="Q1775" s="110" t="e">
        <f>O1775-#REF!</f>
        <v>#REF!</v>
      </c>
      <c r="AT1775" s="88" t="str">
        <f t="shared" si="137"/>
        <v>Special Order0</v>
      </c>
      <c r="AU1775" s="89" t="str">
        <f t="shared" si="138"/>
        <v>01-1900</v>
      </c>
      <c r="BA1775" s="92" t="str">
        <f t="shared" si="139"/>
        <v/>
      </c>
    </row>
    <row r="1776" spans="2:53">
      <c r="B1776" s="60">
        <f>[2]Trucks!A1773</f>
        <v>0</v>
      </c>
      <c r="C1776" s="11">
        <f>[2]Trucks!B1773</f>
        <v>0</v>
      </c>
      <c r="D1776" s="19" t="str">
        <f>IFERROR(VLOOKUP(C1776&amp;"",'[2]Retail Price List'!$A$3:$B$103,2,FALSE),"Special Order")</f>
        <v>Special Order</v>
      </c>
      <c r="E1776" s="18">
        <f>[2]Trucks!J1773</f>
        <v>0</v>
      </c>
      <c r="F1776" s="12">
        <f>[2]Trucks!E1773</f>
        <v>0</v>
      </c>
      <c r="G1776" s="56">
        <f>[2]Trucks!K1773</f>
        <v>0</v>
      </c>
      <c r="H1776" s="46">
        <f>[2]Trucks!I1773</f>
        <v>0</v>
      </c>
      <c r="I1776" s="83" t="str">
        <f t="shared" si="135"/>
        <v/>
      </c>
      <c r="J1776" s="272" t="str">
        <f>IFERROR(VLOOKUP((D1776&amp;C1776)&amp;"",'[2]Retail Price List'!$C$4:$F$102,3,FALSE),"")</f>
        <v/>
      </c>
      <c r="K1776" s="272">
        <f>IFERROR(IF(BA1776="WIP - 30 Days",VLOOKUP(D1776,[3]Standard!$B$9:$E$101,4,FALSE),IF(BA1776="31-120 Days",VLOOKUP(D1776,[3]Standard!$B$9:$F$101,5,FALSE),IF(BA1776="121-365 Days",VLOOKUP(D1776,[3]Standard!$B$9:$G$101,6,FALSE),VLOOKUP(D1776,[3]Standard!$B$9:$H$101,7,FALSE)))),0)</f>
        <v>0</v>
      </c>
      <c r="L1776" s="272">
        <f>IFERROR(IF(BA1776="WIP - 30 Days",VLOOKUP(D1776,[3]Standard!$B$9:$J$101,9,FALSE),IF(BA1776="31-120 Days",VLOOKUP(D1776,[3]Standard!$B$9:$K$100,10,FALSE),IF(BA1776="121-365 Days",VLOOKUP(D1776,[3]Standard!$B$9:$L$101,11,FALSE),VLOOKUP(D1776,[3]Standard!$B$9:$M$101,12,FALSE)))),0)</f>
        <v>0</v>
      </c>
      <c r="M1776" s="269" t="str">
        <f>IFERROR(VLOOKUP((D1776&amp;C1776)&amp;"",'[2]Retail Price List'!$C$4:$F$102,4,FALSE),"")</f>
        <v/>
      </c>
      <c r="N1776" s="269">
        <f>IFERROR(IF(BA1776="WIP - 30 Days",VLOOKUP(D1776,[3]Extended!$B$9:$E$101,4,FALSE),IF(BA1776="31-120 Days",VLOOKUP(D1776,[3]Extended!$B$9:$F$101,5,FALSE),IF(BA1776="121-365 Days",VLOOKUP(D1776,[3]Extended!$B$9:$G$101,6,FALSE),VLOOKUP(D1776,[3]Extended!$B$9:$H$101,7,FALSE)))),0)</f>
        <v>0</v>
      </c>
      <c r="O1776" s="269">
        <f>IFERROR(IF(BA1776="WIP - 30 Days",VLOOKUP(D1776,[3]Extended!$B$9:$J$101,9,FALSE),IF(BA1776="31-120 Days",VLOOKUP(D1776,[3]Extended!$B$9:$K$101,10,FALSE),IF(BA1776="121-365 Days",VLOOKUP(D1776,[3]Extended!$B$9:$L$101,11,FALSE),VLOOKUP(D1776,[3]Extended!$B$9:$M$101,12,FALSE)))),0)</f>
        <v>0</v>
      </c>
      <c r="P1776" s="116" t="e">
        <f t="shared" si="136"/>
        <v>#VALUE!</v>
      </c>
      <c r="Q1776" s="110" t="e">
        <f>O1776-#REF!</f>
        <v>#REF!</v>
      </c>
      <c r="AT1776" s="88" t="str">
        <f t="shared" si="137"/>
        <v>Special Order0</v>
      </c>
      <c r="AU1776" s="89" t="str">
        <f t="shared" si="138"/>
        <v>01-1900</v>
      </c>
      <c r="BA1776" s="92" t="str">
        <f t="shared" si="139"/>
        <v/>
      </c>
    </row>
    <row r="1777" spans="2:53">
      <c r="B1777" s="60">
        <f>[2]Trucks!A1774</f>
        <v>0</v>
      </c>
      <c r="C1777" s="11">
        <f>[2]Trucks!B1774</f>
        <v>0</v>
      </c>
      <c r="D1777" s="19" t="str">
        <f>IFERROR(VLOOKUP(C1777&amp;"",'[2]Retail Price List'!$A$3:$B$103,2,FALSE),"Special Order")</f>
        <v>Special Order</v>
      </c>
      <c r="E1777" s="18">
        <f>[2]Trucks!J1774</f>
        <v>0</v>
      </c>
      <c r="F1777" s="12">
        <f>[2]Trucks!E1774</f>
        <v>0</v>
      </c>
      <c r="G1777" s="56">
        <f>[2]Trucks!K1774</f>
        <v>0</v>
      </c>
      <c r="H1777" s="46">
        <f>[2]Trucks!I1774</f>
        <v>0</v>
      </c>
      <c r="I1777" s="83" t="str">
        <f t="shared" si="135"/>
        <v/>
      </c>
      <c r="J1777" s="272" t="str">
        <f>IFERROR(VLOOKUP((D1777&amp;C1777)&amp;"",'[2]Retail Price List'!$C$4:$F$102,3,FALSE),"")</f>
        <v/>
      </c>
      <c r="K1777" s="272">
        <f>IFERROR(IF(BA1777="WIP - 30 Days",VLOOKUP(D1777,[3]Standard!$B$9:$E$101,4,FALSE),IF(BA1777="31-120 Days",VLOOKUP(D1777,[3]Standard!$B$9:$F$101,5,FALSE),IF(BA1777="121-365 Days",VLOOKUP(D1777,[3]Standard!$B$9:$G$101,6,FALSE),VLOOKUP(D1777,[3]Standard!$B$9:$H$101,7,FALSE)))),0)</f>
        <v>0</v>
      </c>
      <c r="L1777" s="272">
        <f>IFERROR(IF(BA1777="WIP - 30 Days",VLOOKUP(D1777,[3]Standard!$B$9:$J$101,9,FALSE),IF(BA1777="31-120 Days",VLOOKUP(D1777,[3]Standard!$B$9:$K$100,10,FALSE),IF(BA1777="121-365 Days",VLOOKUP(D1777,[3]Standard!$B$9:$L$101,11,FALSE),VLOOKUP(D1777,[3]Standard!$B$9:$M$101,12,FALSE)))),0)</f>
        <v>0</v>
      </c>
      <c r="M1777" s="269" t="str">
        <f>IFERROR(VLOOKUP((D1777&amp;C1777)&amp;"",'[2]Retail Price List'!$C$4:$F$102,4,FALSE),"")</f>
        <v/>
      </c>
      <c r="N1777" s="269">
        <f>IFERROR(IF(BA1777="WIP - 30 Days",VLOOKUP(D1777,[3]Extended!$B$9:$E$101,4,FALSE),IF(BA1777="31-120 Days",VLOOKUP(D1777,[3]Extended!$B$9:$F$101,5,FALSE),IF(BA1777="121-365 Days",VLOOKUP(D1777,[3]Extended!$B$9:$G$101,6,FALSE),VLOOKUP(D1777,[3]Extended!$B$9:$H$101,7,FALSE)))),0)</f>
        <v>0</v>
      </c>
      <c r="O1777" s="269">
        <f>IFERROR(IF(BA1777="WIP - 30 Days",VLOOKUP(D1777,[3]Extended!$B$9:$J$101,9,FALSE),IF(BA1777="31-120 Days",VLOOKUP(D1777,[3]Extended!$B$9:$K$101,10,FALSE),IF(BA1777="121-365 Days",VLOOKUP(D1777,[3]Extended!$B$9:$L$101,11,FALSE),VLOOKUP(D1777,[3]Extended!$B$9:$M$101,12,FALSE)))),0)</f>
        <v>0</v>
      </c>
      <c r="P1777" s="116" t="e">
        <f t="shared" si="136"/>
        <v>#VALUE!</v>
      </c>
      <c r="Q1777" s="110" t="e">
        <f>O1777-#REF!</f>
        <v>#REF!</v>
      </c>
      <c r="AT1777" s="88" t="str">
        <f t="shared" si="137"/>
        <v>Special Order0</v>
      </c>
      <c r="AU1777" s="89" t="str">
        <f t="shared" si="138"/>
        <v>01-1900</v>
      </c>
      <c r="BA1777" s="92" t="str">
        <f t="shared" si="139"/>
        <v/>
      </c>
    </row>
    <row r="1778" spans="2:53">
      <c r="B1778" s="60">
        <f>[2]Trucks!A1775</f>
        <v>0</v>
      </c>
      <c r="C1778" s="11">
        <f>[2]Trucks!B1775</f>
        <v>0</v>
      </c>
      <c r="D1778" s="19" t="str">
        <f>IFERROR(VLOOKUP(C1778&amp;"",'[2]Retail Price List'!$A$3:$B$103,2,FALSE),"Special Order")</f>
        <v>Special Order</v>
      </c>
      <c r="E1778" s="18">
        <f>[2]Trucks!J1775</f>
        <v>0</v>
      </c>
      <c r="F1778" s="12">
        <f>[2]Trucks!E1775</f>
        <v>0</v>
      </c>
      <c r="G1778" s="56">
        <f>[2]Trucks!K1775</f>
        <v>0</v>
      </c>
      <c r="H1778" s="46">
        <f>[2]Trucks!I1775</f>
        <v>0</v>
      </c>
      <c r="I1778" s="83" t="str">
        <f t="shared" si="135"/>
        <v/>
      </c>
      <c r="J1778" s="272" t="str">
        <f>IFERROR(VLOOKUP((D1778&amp;C1778)&amp;"",'[2]Retail Price List'!$C$4:$F$102,3,FALSE),"")</f>
        <v/>
      </c>
      <c r="K1778" s="272">
        <f>IFERROR(IF(BA1778="WIP - 30 Days",VLOOKUP(D1778,[3]Standard!$B$9:$E$101,4,FALSE),IF(BA1778="31-120 Days",VLOOKUP(D1778,[3]Standard!$B$9:$F$101,5,FALSE),IF(BA1778="121-365 Days",VLOOKUP(D1778,[3]Standard!$B$9:$G$101,6,FALSE),VLOOKUP(D1778,[3]Standard!$B$9:$H$101,7,FALSE)))),0)</f>
        <v>0</v>
      </c>
      <c r="L1778" s="272">
        <f>IFERROR(IF(BA1778="WIP - 30 Days",VLOOKUP(D1778,[3]Standard!$B$9:$J$101,9,FALSE),IF(BA1778="31-120 Days",VLOOKUP(D1778,[3]Standard!$B$9:$K$100,10,FALSE),IF(BA1778="121-365 Days",VLOOKUP(D1778,[3]Standard!$B$9:$L$101,11,FALSE),VLOOKUP(D1778,[3]Standard!$B$9:$M$101,12,FALSE)))),0)</f>
        <v>0</v>
      </c>
      <c r="M1778" s="269" t="str">
        <f>IFERROR(VLOOKUP((D1778&amp;C1778)&amp;"",'[2]Retail Price List'!$C$4:$F$102,4,FALSE),"")</f>
        <v/>
      </c>
      <c r="N1778" s="269">
        <f>IFERROR(IF(BA1778="WIP - 30 Days",VLOOKUP(D1778,[3]Extended!$B$9:$E$101,4,FALSE),IF(BA1778="31-120 Days",VLOOKUP(D1778,[3]Extended!$B$9:$F$101,5,FALSE),IF(BA1778="121-365 Days",VLOOKUP(D1778,[3]Extended!$B$9:$G$101,6,FALSE),VLOOKUP(D1778,[3]Extended!$B$9:$H$101,7,FALSE)))),0)</f>
        <v>0</v>
      </c>
      <c r="O1778" s="269">
        <f>IFERROR(IF(BA1778="WIP - 30 Days",VLOOKUP(D1778,[3]Extended!$B$9:$J$101,9,FALSE),IF(BA1778="31-120 Days",VLOOKUP(D1778,[3]Extended!$B$9:$K$101,10,FALSE),IF(BA1778="121-365 Days",VLOOKUP(D1778,[3]Extended!$B$9:$L$101,11,FALSE),VLOOKUP(D1778,[3]Extended!$B$9:$M$101,12,FALSE)))),0)</f>
        <v>0</v>
      </c>
      <c r="P1778" s="116" t="e">
        <f t="shared" si="136"/>
        <v>#VALUE!</v>
      </c>
      <c r="Q1778" s="110" t="e">
        <f>O1778-#REF!</f>
        <v>#REF!</v>
      </c>
      <c r="AT1778" s="88" t="str">
        <f t="shared" si="137"/>
        <v>Special Order0</v>
      </c>
      <c r="AU1778" s="89" t="str">
        <f t="shared" si="138"/>
        <v>01-1900</v>
      </c>
      <c r="BA1778" s="92" t="str">
        <f t="shared" si="139"/>
        <v/>
      </c>
    </row>
    <row r="1779" spans="2:53">
      <c r="B1779" s="60">
        <f>[2]Trucks!A1776</f>
        <v>0</v>
      </c>
      <c r="C1779" s="11">
        <f>[2]Trucks!B1776</f>
        <v>0</v>
      </c>
      <c r="D1779" s="19" t="str">
        <f>IFERROR(VLOOKUP(C1779&amp;"",'[2]Retail Price List'!$A$3:$B$103,2,FALSE),"Special Order")</f>
        <v>Special Order</v>
      </c>
      <c r="E1779" s="18">
        <f>[2]Trucks!J1776</f>
        <v>0</v>
      </c>
      <c r="F1779" s="12">
        <f>[2]Trucks!E1776</f>
        <v>0</v>
      </c>
      <c r="G1779" s="56">
        <f>[2]Trucks!K1776</f>
        <v>0</v>
      </c>
      <c r="H1779" s="46">
        <f>[2]Trucks!I1776</f>
        <v>0</v>
      </c>
      <c r="I1779" s="83" t="str">
        <f t="shared" si="135"/>
        <v/>
      </c>
      <c r="J1779" s="272" t="str">
        <f>IFERROR(VLOOKUP((D1779&amp;C1779)&amp;"",'[2]Retail Price List'!$C$4:$F$102,3,FALSE),"")</f>
        <v/>
      </c>
      <c r="K1779" s="272">
        <f>IFERROR(IF(BA1779="WIP - 30 Days",VLOOKUP(D1779,[3]Standard!$B$9:$E$101,4,FALSE),IF(BA1779="31-120 Days",VLOOKUP(D1779,[3]Standard!$B$9:$F$101,5,FALSE),IF(BA1779="121-365 Days",VLOOKUP(D1779,[3]Standard!$B$9:$G$101,6,FALSE),VLOOKUP(D1779,[3]Standard!$B$9:$H$101,7,FALSE)))),0)</f>
        <v>0</v>
      </c>
      <c r="L1779" s="272">
        <f>IFERROR(IF(BA1779="WIP - 30 Days",VLOOKUP(D1779,[3]Standard!$B$9:$J$101,9,FALSE),IF(BA1779="31-120 Days",VLOOKUP(D1779,[3]Standard!$B$9:$K$100,10,FALSE),IF(BA1779="121-365 Days",VLOOKUP(D1779,[3]Standard!$B$9:$L$101,11,FALSE),VLOOKUP(D1779,[3]Standard!$B$9:$M$101,12,FALSE)))),0)</f>
        <v>0</v>
      </c>
      <c r="M1779" s="269" t="str">
        <f>IFERROR(VLOOKUP((D1779&amp;C1779)&amp;"",'[2]Retail Price List'!$C$4:$F$102,4,FALSE),"")</f>
        <v/>
      </c>
      <c r="N1779" s="269">
        <f>IFERROR(IF(BA1779="WIP - 30 Days",VLOOKUP(D1779,[3]Extended!$B$9:$E$101,4,FALSE),IF(BA1779="31-120 Days",VLOOKUP(D1779,[3]Extended!$B$9:$F$101,5,FALSE),IF(BA1779="121-365 Days",VLOOKUP(D1779,[3]Extended!$B$9:$G$101,6,FALSE),VLOOKUP(D1779,[3]Extended!$B$9:$H$101,7,FALSE)))),0)</f>
        <v>0</v>
      </c>
      <c r="O1779" s="269">
        <f>IFERROR(IF(BA1779="WIP - 30 Days",VLOOKUP(D1779,[3]Extended!$B$9:$J$101,9,FALSE),IF(BA1779="31-120 Days",VLOOKUP(D1779,[3]Extended!$B$9:$K$101,10,FALSE),IF(BA1779="121-365 Days",VLOOKUP(D1779,[3]Extended!$B$9:$L$101,11,FALSE),VLOOKUP(D1779,[3]Extended!$B$9:$M$101,12,FALSE)))),0)</f>
        <v>0</v>
      </c>
      <c r="P1779" s="116" t="e">
        <f t="shared" si="136"/>
        <v>#VALUE!</v>
      </c>
      <c r="Q1779" s="110" t="e">
        <f>O1779-#REF!</f>
        <v>#REF!</v>
      </c>
      <c r="AT1779" s="88" t="str">
        <f t="shared" si="137"/>
        <v>Special Order0</v>
      </c>
      <c r="AU1779" s="89" t="str">
        <f t="shared" si="138"/>
        <v>01-1900</v>
      </c>
      <c r="BA1779" s="92" t="str">
        <f t="shared" si="139"/>
        <v/>
      </c>
    </row>
    <row r="1780" spans="2:53">
      <c r="B1780" s="60">
        <f>[2]Trucks!A1777</f>
        <v>0</v>
      </c>
      <c r="C1780" s="11">
        <f>[2]Trucks!B1777</f>
        <v>0</v>
      </c>
      <c r="D1780" s="19" t="str">
        <f>IFERROR(VLOOKUP(C1780&amp;"",'[2]Retail Price List'!$A$3:$B$103,2,FALSE),"Special Order")</f>
        <v>Special Order</v>
      </c>
      <c r="E1780" s="18">
        <f>[2]Trucks!J1777</f>
        <v>0</v>
      </c>
      <c r="F1780" s="12">
        <f>[2]Trucks!E1777</f>
        <v>0</v>
      </c>
      <c r="G1780" s="56">
        <f>[2]Trucks!K1777</f>
        <v>0</v>
      </c>
      <c r="H1780" s="46">
        <f>[2]Trucks!I1777</f>
        <v>0</v>
      </c>
      <c r="I1780" s="83" t="str">
        <f t="shared" si="135"/>
        <v/>
      </c>
      <c r="J1780" s="272" t="str">
        <f>IFERROR(VLOOKUP((D1780&amp;C1780)&amp;"",'[2]Retail Price List'!$C$4:$F$102,3,FALSE),"")</f>
        <v/>
      </c>
      <c r="K1780" s="272">
        <f>IFERROR(IF(BA1780="WIP - 30 Days",VLOOKUP(D1780,[3]Standard!$B$9:$E$101,4,FALSE),IF(BA1780="31-120 Days",VLOOKUP(D1780,[3]Standard!$B$9:$F$101,5,FALSE),IF(BA1780="121-365 Days",VLOOKUP(D1780,[3]Standard!$B$9:$G$101,6,FALSE),VLOOKUP(D1780,[3]Standard!$B$9:$H$101,7,FALSE)))),0)</f>
        <v>0</v>
      </c>
      <c r="L1780" s="272">
        <f>IFERROR(IF(BA1780="WIP - 30 Days",VLOOKUP(D1780,[3]Standard!$B$9:$J$101,9,FALSE),IF(BA1780="31-120 Days",VLOOKUP(D1780,[3]Standard!$B$9:$K$100,10,FALSE),IF(BA1780="121-365 Days",VLOOKUP(D1780,[3]Standard!$B$9:$L$101,11,FALSE),VLOOKUP(D1780,[3]Standard!$B$9:$M$101,12,FALSE)))),0)</f>
        <v>0</v>
      </c>
      <c r="M1780" s="269" t="str">
        <f>IFERROR(VLOOKUP((D1780&amp;C1780)&amp;"",'[2]Retail Price List'!$C$4:$F$102,4,FALSE),"")</f>
        <v/>
      </c>
      <c r="N1780" s="269">
        <f>IFERROR(IF(BA1780="WIP - 30 Days",VLOOKUP(D1780,[3]Extended!$B$9:$E$101,4,FALSE),IF(BA1780="31-120 Days",VLOOKUP(D1780,[3]Extended!$B$9:$F$101,5,FALSE),IF(BA1780="121-365 Days",VLOOKUP(D1780,[3]Extended!$B$9:$G$101,6,FALSE),VLOOKUP(D1780,[3]Extended!$B$9:$H$101,7,FALSE)))),0)</f>
        <v>0</v>
      </c>
      <c r="O1780" s="269">
        <f>IFERROR(IF(BA1780="WIP - 30 Days",VLOOKUP(D1780,[3]Extended!$B$9:$J$101,9,FALSE),IF(BA1780="31-120 Days",VLOOKUP(D1780,[3]Extended!$B$9:$K$101,10,FALSE),IF(BA1780="121-365 Days",VLOOKUP(D1780,[3]Extended!$B$9:$L$101,11,FALSE),VLOOKUP(D1780,[3]Extended!$B$9:$M$101,12,FALSE)))),0)</f>
        <v>0</v>
      </c>
      <c r="P1780" s="116" t="e">
        <f t="shared" si="136"/>
        <v>#VALUE!</v>
      </c>
      <c r="Q1780" s="110" t="e">
        <f>O1780-#REF!</f>
        <v>#REF!</v>
      </c>
      <c r="AT1780" s="88" t="str">
        <f t="shared" si="137"/>
        <v>Special Order0</v>
      </c>
      <c r="AU1780" s="89" t="str">
        <f t="shared" si="138"/>
        <v>01-1900</v>
      </c>
      <c r="BA1780" s="92" t="str">
        <f t="shared" si="139"/>
        <v/>
      </c>
    </row>
    <row r="1781" spans="2:53">
      <c r="B1781" s="60">
        <f>[2]Trucks!A1778</f>
        <v>0</v>
      </c>
      <c r="C1781" s="11">
        <f>[2]Trucks!B1778</f>
        <v>0</v>
      </c>
      <c r="D1781" s="19" t="str">
        <f>IFERROR(VLOOKUP(C1781&amp;"",'[2]Retail Price List'!$A$3:$B$103,2,FALSE),"Special Order")</f>
        <v>Special Order</v>
      </c>
      <c r="E1781" s="18">
        <f>[2]Trucks!J1778</f>
        <v>0</v>
      </c>
      <c r="F1781" s="12">
        <f>[2]Trucks!E1778</f>
        <v>0</v>
      </c>
      <c r="G1781" s="56">
        <f>[2]Trucks!K1778</f>
        <v>0</v>
      </c>
      <c r="H1781" s="46">
        <f>[2]Trucks!I1778</f>
        <v>0</v>
      </c>
      <c r="I1781" s="83" t="str">
        <f t="shared" si="135"/>
        <v/>
      </c>
      <c r="J1781" s="272" t="str">
        <f>IFERROR(VLOOKUP((D1781&amp;C1781)&amp;"",'[2]Retail Price List'!$C$4:$F$102,3,FALSE),"")</f>
        <v/>
      </c>
      <c r="K1781" s="272">
        <f>IFERROR(IF(BA1781="WIP - 30 Days",VLOOKUP(D1781,[3]Standard!$B$9:$E$101,4,FALSE),IF(BA1781="31-120 Days",VLOOKUP(D1781,[3]Standard!$B$9:$F$101,5,FALSE),IF(BA1781="121-365 Days",VLOOKUP(D1781,[3]Standard!$B$9:$G$101,6,FALSE),VLOOKUP(D1781,[3]Standard!$B$9:$H$101,7,FALSE)))),0)</f>
        <v>0</v>
      </c>
      <c r="L1781" s="272">
        <f>IFERROR(IF(BA1781="WIP - 30 Days",VLOOKUP(D1781,[3]Standard!$B$9:$J$101,9,FALSE),IF(BA1781="31-120 Days",VLOOKUP(D1781,[3]Standard!$B$9:$K$100,10,FALSE),IF(BA1781="121-365 Days",VLOOKUP(D1781,[3]Standard!$B$9:$L$101,11,FALSE),VLOOKUP(D1781,[3]Standard!$B$9:$M$101,12,FALSE)))),0)</f>
        <v>0</v>
      </c>
      <c r="M1781" s="269" t="str">
        <f>IFERROR(VLOOKUP((D1781&amp;C1781)&amp;"",'[2]Retail Price List'!$C$4:$F$102,4,FALSE),"")</f>
        <v/>
      </c>
      <c r="N1781" s="269">
        <f>IFERROR(IF(BA1781="WIP - 30 Days",VLOOKUP(D1781,[3]Extended!$B$9:$E$101,4,FALSE),IF(BA1781="31-120 Days",VLOOKUP(D1781,[3]Extended!$B$9:$F$101,5,FALSE),IF(BA1781="121-365 Days",VLOOKUP(D1781,[3]Extended!$B$9:$G$101,6,FALSE),VLOOKUP(D1781,[3]Extended!$B$9:$H$101,7,FALSE)))),0)</f>
        <v>0</v>
      </c>
      <c r="O1781" s="269">
        <f>IFERROR(IF(BA1781="WIP - 30 Days",VLOOKUP(D1781,[3]Extended!$B$9:$J$101,9,FALSE),IF(BA1781="31-120 Days",VLOOKUP(D1781,[3]Extended!$B$9:$K$101,10,FALSE),IF(BA1781="121-365 Days",VLOOKUP(D1781,[3]Extended!$B$9:$L$101,11,FALSE),VLOOKUP(D1781,[3]Extended!$B$9:$M$101,12,FALSE)))),0)</f>
        <v>0</v>
      </c>
      <c r="P1781" s="116" t="e">
        <f t="shared" si="136"/>
        <v>#VALUE!</v>
      </c>
      <c r="Q1781" s="110" t="e">
        <f>O1781-#REF!</f>
        <v>#REF!</v>
      </c>
      <c r="AT1781" s="88" t="str">
        <f t="shared" si="137"/>
        <v>Special Order0</v>
      </c>
      <c r="AU1781" s="89" t="str">
        <f t="shared" si="138"/>
        <v>01-1900</v>
      </c>
      <c r="BA1781" s="92" t="str">
        <f t="shared" si="139"/>
        <v/>
      </c>
    </row>
    <row r="1782" spans="2:53">
      <c r="B1782" s="60">
        <f>[2]Trucks!A1779</f>
        <v>0</v>
      </c>
      <c r="C1782" s="11">
        <f>[2]Trucks!B1779</f>
        <v>0</v>
      </c>
      <c r="D1782" s="19" t="str">
        <f>IFERROR(VLOOKUP(C1782&amp;"",'[2]Retail Price List'!$A$3:$B$103,2,FALSE),"Special Order")</f>
        <v>Special Order</v>
      </c>
      <c r="E1782" s="18">
        <f>[2]Trucks!J1779</f>
        <v>0</v>
      </c>
      <c r="F1782" s="12">
        <f>[2]Trucks!E1779</f>
        <v>0</v>
      </c>
      <c r="G1782" s="56">
        <f>[2]Trucks!K1779</f>
        <v>0</v>
      </c>
      <c r="H1782" s="46">
        <f>[2]Trucks!I1779</f>
        <v>0</v>
      </c>
      <c r="I1782" s="83" t="str">
        <f t="shared" si="135"/>
        <v/>
      </c>
      <c r="J1782" s="272" t="str">
        <f>IFERROR(VLOOKUP((D1782&amp;C1782)&amp;"",'[2]Retail Price List'!$C$4:$F$102,3,FALSE),"")</f>
        <v/>
      </c>
      <c r="K1782" s="272">
        <f>IFERROR(IF(BA1782="WIP - 30 Days",VLOOKUP(D1782,[3]Standard!$B$9:$E$101,4,FALSE),IF(BA1782="31-120 Days",VLOOKUP(D1782,[3]Standard!$B$9:$F$101,5,FALSE),IF(BA1782="121-365 Days",VLOOKUP(D1782,[3]Standard!$B$9:$G$101,6,FALSE),VLOOKUP(D1782,[3]Standard!$B$9:$H$101,7,FALSE)))),0)</f>
        <v>0</v>
      </c>
      <c r="L1782" s="272">
        <f>IFERROR(IF(BA1782="WIP - 30 Days",VLOOKUP(D1782,[3]Standard!$B$9:$J$101,9,FALSE),IF(BA1782="31-120 Days",VLOOKUP(D1782,[3]Standard!$B$9:$K$100,10,FALSE),IF(BA1782="121-365 Days",VLOOKUP(D1782,[3]Standard!$B$9:$L$101,11,FALSE),VLOOKUP(D1782,[3]Standard!$B$9:$M$101,12,FALSE)))),0)</f>
        <v>0</v>
      </c>
      <c r="M1782" s="269" t="str">
        <f>IFERROR(VLOOKUP((D1782&amp;C1782)&amp;"",'[2]Retail Price List'!$C$4:$F$102,4,FALSE),"")</f>
        <v/>
      </c>
      <c r="N1782" s="269">
        <f>IFERROR(IF(BA1782="WIP - 30 Days",VLOOKUP(D1782,[3]Extended!$B$9:$E$101,4,FALSE),IF(BA1782="31-120 Days",VLOOKUP(D1782,[3]Extended!$B$9:$F$101,5,FALSE),IF(BA1782="121-365 Days",VLOOKUP(D1782,[3]Extended!$B$9:$G$101,6,FALSE),VLOOKUP(D1782,[3]Extended!$B$9:$H$101,7,FALSE)))),0)</f>
        <v>0</v>
      </c>
      <c r="O1782" s="269">
        <f>IFERROR(IF(BA1782="WIP - 30 Days",VLOOKUP(D1782,[3]Extended!$B$9:$J$101,9,FALSE),IF(BA1782="31-120 Days",VLOOKUP(D1782,[3]Extended!$B$9:$K$101,10,FALSE),IF(BA1782="121-365 Days",VLOOKUP(D1782,[3]Extended!$B$9:$L$101,11,FALSE),VLOOKUP(D1782,[3]Extended!$B$9:$M$101,12,FALSE)))),0)</f>
        <v>0</v>
      </c>
      <c r="P1782" s="116" t="e">
        <f t="shared" si="136"/>
        <v>#VALUE!</v>
      </c>
      <c r="Q1782" s="110" t="e">
        <f>O1782-#REF!</f>
        <v>#REF!</v>
      </c>
      <c r="AT1782" s="88" t="str">
        <f t="shared" si="137"/>
        <v>Special Order0</v>
      </c>
      <c r="AU1782" s="89" t="str">
        <f t="shared" si="138"/>
        <v>01-1900</v>
      </c>
      <c r="BA1782" s="92" t="str">
        <f t="shared" si="139"/>
        <v/>
      </c>
    </row>
    <row r="1783" spans="2:53">
      <c r="B1783" s="60">
        <f>[2]Trucks!A1780</f>
        <v>0</v>
      </c>
      <c r="C1783" s="11">
        <f>[2]Trucks!B1780</f>
        <v>0</v>
      </c>
      <c r="D1783" s="19" t="str">
        <f>IFERROR(VLOOKUP(C1783&amp;"",'[2]Retail Price List'!$A$3:$B$103,2,FALSE),"Special Order")</f>
        <v>Special Order</v>
      </c>
      <c r="E1783" s="18">
        <f>[2]Trucks!J1780</f>
        <v>0</v>
      </c>
      <c r="F1783" s="12">
        <f>[2]Trucks!E1780</f>
        <v>0</v>
      </c>
      <c r="G1783" s="56">
        <f>[2]Trucks!K1780</f>
        <v>0</v>
      </c>
      <c r="H1783" s="46">
        <f>[2]Trucks!I1780</f>
        <v>0</v>
      </c>
      <c r="I1783" s="83" t="str">
        <f t="shared" si="135"/>
        <v/>
      </c>
      <c r="J1783" s="272" t="str">
        <f>IFERROR(VLOOKUP((D1783&amp;C1783)&amp;"",'[2]Retail Price List'!$C$4:$F$102,3,FALSE),"")</f>
        <v/>
      </c>
      <c r="K1783" s="272">
        <f>IFERROR(IF(BA1783="WIP - 30 Days",VLOOKUP(D1783,[3]Standard!$B$9:$E$101,4,FALSE),IF(BA1783="31-120 Days",VLOOKUP(D1783,[3]Standard!$B$9:$F$101,5,FALSE),IF(BA1783="121-365 Days",VLOOKUP(D1783,[3]Standard!$B$9:$G$101,6,FALSE),VLOOKUP(D1783,[3]Standard!$B$9:$H$101,7,FALSE)))),0)</f>
        <v>0</v>
      </c>
      <c r="L1783" s="272">
        <f>IFERROR(IF(BA1783="WIP - 30 Days",VLOOKUP(D1783,[3]Standard!$B$9:$J$101,9,FALSE),IF(BA1783="31-120 Days",VLOOKUP(D1783,[3]Standard!$B$9:$K$100,10,FALSE),IF(BA1783="121-365 Days",VLOOKUP(D1783,[3]Standard!$B$9:$L$101,11,FALSE),VLOOKUP(D1783,[3]Standard!$B$9:$M$101,12,FALSE)))),0)</f>
        <v>0</v>
      </c>
      <c r="M1783" s="269" t="str">
        <f>IFERROR(VLOOKUP((D1783&amp;C1783)&amp;"",'[2]Retail Price List'!$C$4:$F$102,4,FALSE),"")</f>
        <v/>
      </c>
      <c r="N1783" s="269">
        <f>IFERROR(IF(BA1783="WIP - 30 Days",VLOOKUP(D1783,[3]Extended!$B$9:$E$101,4,FALSE),IF(BA1783="31-120 Days",VLOOKUP(D1783,[3]Extended!$B$9:$F$101,5,FALSE),IF(BA1783="121-365 Days",VLOOKUP(D1783,[3]Extended!$B$9:$G$101,6,FALSE),VLOOKUP(D1783,[3]Extended!$B$9:$H$101,7,FALSE)))),0)</f>
        <v>0</v>
      </c>
      <c r="O1783" s="269">
        <f>IFERROR(IF(BA1783="WIP - 30 Days",VLOOKUP(D1783,[3]Extended!$B$9:$J$101,9,FALSE),IF(BA1783="31-120 Days",VLOOKUP(D1783,[3]Extended!$B$9:$K$101,10,FALSE),IF(BA1783="121-365 Days",VLOOKUP(D1783,[3]Extended!$B$9:$L$101,11,FALSE),VLOOKUP(D1783,[3]Extended!$B$9:$M$101,12,FALSE)))),0)</f>
        <v>0</v>
      </c>
      <c r="P1783" s="116" t="e">
        <f t="shared" si="136"/>
        <v>#VALUE!</v>
      </c>
      <c r="Q1783" s="110" t="e">
        <f>O1783-#REF!</f>
        <v>#REF!</v>
      </c>
      <c r="AT1783" s="88" t="str">
        <f t="shared" si="137"/>
        <v>Special Order0</v>
      </c>
      <c r="AU1783" s="89" t="str">
        <f t="shared" si="138"/>
        <v>01-1900</v>
      </c>
      <c r="BA1783" s="92" t="str">
        <f t="shared" si="139"/>
        <v/>
      </c>
    </row>
    <row r="1784" spans="2:53">
      <c r="B1784" s="60">
        <f>[2]Trucks!A1781</f>
        <v>0</v>
      </c>
      <c r="C1784" s="11">
        <f>[2]Trucks!B1781</f>
        <v>0</v>
      </c>
      <c r="D1784" s="19" t="str">
        <f>IFERROR(VLOOKUP(C1784&amp;"",'[2]Retail Price List'!$A$3:$B$103,2,FALSE),"Special Order")</f>
        <v>Special Order</v>
      </c>
      <c r="E1784" s="18">
        <f>[2]Trucks!J1781</f>
        <v>0</v>
      </c>
      <c r="F1784" s="12">
        <f>[2]Trucks!E1781</f>
        <v>0</v>
      </c>
      <c r="G1784" s="56">
        <f>[2]Trucks!K1781</f>
        <v>0</v>
      </c>
      <c r="H1784" s="46">
        <f>[2]Trucks!I1781</f>
        <v>0</v>
      </c>
      <c r="I1784" s="83" t="str">
        <f t="shared" si="135"/>
        <v/>
      </c>
      <c r="J1784" s="272" t="str">
        <f>IFERROR(VLOOKUP((D1784&amp;C1784)&amp;"",'[2]Retail Price List'!$C$4:$F$102,3,FALSE),"")</f>
        <v/>
      </c>
      <c r="K1784" s="272">
        <f>IFERROR(IF(BA1784="WIP - 30 Days",VLOOKUP(D1784,[3]Standard!$B$9:$E$101,4,FALSE),IF(BA1784="31-120 Days",VLOOKUP(D1784,[3]Standard!$B$9:$F$101,5,FALSE),IF(BA1784="121-365 Days",VLOOKUP(D1784,[3]Standard!$B$9:$G$101,6,FALSE),VLOOKUP(D1784,[3]Standard!$B$9:$H$101,7,FALSE)))),0)</f>
        <v>0</v>
      </c>
      <c r="L1784" s="272">
        <f>IFERROR(IF(BA1784="WIP - 30 Days",VLOOKUP(D1784,[3]Standard!$B$9:$J$101,9,FALSE),IF(BA1784="31-120 Days",VLOOKUP(D1784,[3]Standard!$B$9:$K$100,10,FALSE),IF(BA1784="121-365 Days",VLOOKUP(D1784,[3]Standard!$B$9:$L$101,11,FALSE),VLOOKUP(D1784,[3]Standard!$B$9:$M$101,12,FALSE)))),0)</f>
        <v>0</v>
      </c>
      <c r="M1784" s="269" t="str">
        <f>IFERROR(VLOOKUP((D1784&amp;C1784)&amp;"",'[2]Retail Price List'!$C$4:$F$102,4,FALSE),"")</f>
        <v/>
      </c>
      <c r="N1784" s="269">
        <f>IFERROR(IF(BA1784="WIP - 30 Days",VLOOKUP(D1784,[3]Extended!$B$9:$E$101,4,FALSE),IF(BA1784="31-120 Days",VLOOKUP(D1784,[3]Extended!$B$9:$F$101,5,FALSE),IF(BA1784="121-365 Days",VLOOKUP(D1784,[3]Extended!$B$9:$G$101,6,FALSE),VLOOKUP(D1784,[3]Extended!$B$9:$H$101,7,FALSE)))),0)</f>
        <v>0</v>
      </c>
      <c r="O1784" s="269">
        <f>IFERROR(IF(BA1784="WIP - 30 Days",VLOOKUP(D1784,[3]Extended!$B$9:$J$101,9,FALSE),IF(BA1784="31-120 Days",VLOOKUP(D1784,[3]Extended!$B$9:$K$101,10,FALSE),IF(BA1784="121-365 Days",VLOOKUP(D1784,[3]Extended!$B$9:$L$101,11,FALSE),VLOOKUP(D1784,[3]Extended!$B$9:$M$101,12,FALSE)))),0)</f>
        <v>0</v>
      </c>
      <c r="P1784" s="116" t="e">
        <f t="shared" si="136"/>
        <v>#VALUE!</v>
      </c>
      <c r="Q1784" s="110" t="e">
        <f>O1784-#REF!</f>
        <v>#REF!</v>
      </c>
      <c r="AT1784" s="88" t="str">
        <f t="shared" si="137"/>
        <v>Special Order0</v>
      </c>
      <c r="AU1784" s="89" t="str">
        <f t="shared" si="138"/>
        <v>01-1900</v>
      </c>
      <c r="BA1784" s="92" t="str">
        <f t="shared" si="139"/>
        <v/>
      </c>
    </row>
    <row r="1785" spans="2:53">
      <c r="B1785" s="60">
        <f>[2]Trucks!A1782</f>
        <v>0</v>
      </c>
      <c r="C1785" s="11">
        <f>[2]Trucks!B1782</f>
        <v>0</v>
      </c>
      <c r="D1785" s="19" t="str">
        <f>IFERROR(VLOOKUP(C1785&amp;"",'[2]Retail Price List'!$A$3:$B$103,2,FALSE),"Special Order")</f>
        <v>Special Order</v>
      </c>
      <c r="E1785" s="18">
        <f>[2]Trucks!J1782</f>
        <v>0</v>
      </c>
      <c r="F1785" s="12">
        <f>[2]Trucks!E1782</f>
        <v>0</v>
      </c>
      <c r="G1785" s="56">
        <f>[2]Trucks!K1782</f>
        <v>0</v>
      </c>
      <c r="H1785" s="46">
        <f>[2]Trucks!I1782</f>
        <v>0</v>
      </c>
      <c r="I1785" s="83" t="str">
        <f t="shared" si="135"/>
        <v/>
      </c>
      <c r="J1785" s="272" t="str">
        <f>IFERROR(VLOOKUP((D1785&amp;C1785)&amp;"",'[2]Retail Price List'!$C$4:$F$102,3,FALSE),"")</f>
        <v/>
      </c>
      <c r="K1785" s="272">
        <f>IFERROR(IF(BA1785="WIP - 30 Days",VLOOKUP(D1785,[3]Standard!$B$9:$E$101,4,FALSE),IF(BA1785="31-120 Days",VLOOKUP(D1785,[3]Standard!$B$9:$F$101,5,FALSE),IF(BA1785="121-365 Days",VLOOKUP(D1785,[3]Standard!$B$9:$G$101,6,FALSE),VLOOKUP(D1785,[3]Standard!$B$9:$H$101,7,FALSE)))),0)</f>
        <v>0</v>
      </c>
      <c r="L1785" s="272">
        <f>IFERROR(IF(BA1785="WIP - 30 Days",VLOOKUP(D1785,[3]Standard!$B$9:$J$101,9,FALSE),IF(BA1785="31-120 Days",VLOOKUP(D1785,[3]Standard!$B$9:$K$100,10,FALSE),IF(BA1785="121-365 Days",VLOOKUP(D1785,[3]Standard!$B$9:$L$101,11,FALSE),VLOOKUP(D1785,[3]Standard!$B$9:$M$101,12,FALSE)))),0)</f>
        <v>0</v>
      </c>
      <c r="M1785" s="269" t="str">
        <f>IFERROR(VLOOKUP((D1785&amp;C1785)&amp;"",'[2]Retail Price List'!$C$4:$F$102,4,FALSE),"")</f>
        <v/>
      </c>
      <c r="N1785" s="269">
        <f>IFERROR(IF(BA1785="WIP - 30 Days",VLOOKUP(D1785,[3]Extended!$B$9:$E$101,4,FALSE),IF(BA1785="31-120 Days",VLOOKUP(D1785,[3]Extended!$B$9:$F$101,5,FALSE),IF(BA1785="121-365 Days",VLOOKUP(D1785,[3]Extended!$B$9:$G$101,6,FALSE),VLOOKUP(D1785,[3]Extended!$B$9:$H$101,7,FALSE)))),0)</f>
        <v>0</v>
      </c>
      <c r="O1785" s="269">
        <f>IFERROR(IF(BA1785="WIP - 30 Days",VLOOKUP(D1785,[3]Extended!$B$9:$J$101,9,FALSE),IF(BA1785="31-120 Days",VLOOKUP(D1785,[3]Extended!$B$9:$K$101,10,FALSE),IF(BA1785="121-365 Days",VLOOKUP(D1785,[3]Extended!$B$9:$L$101,11,FALSE),VLOOKUP(D1785,[3]Extended!$B$9:$M$101,12,FALSE)))),0)</f>
        <v>0</v>
      </c>
      <c r="P1785" s="116" t="e">
        <f t="shared" si="136"/>
        <v>#VALUE!</v>
      </c>
      <c r="Q1785" s="110" t="e">
        <f>O1785-#REF!</f>
        <v>#REF!</v>
      </c>
      <c r="AT1785" s="88" t="str">
        <f t="shared" si="137"/>
        <v>Special Order0</v>
      </c>
      <c r="AU1785" s="89" t="str">
        <f t="shared" si="138"/>
        <v>01-1900</v>
      </c>
      <c r="BA1785" s="92" t="str">
        <f t="shared" si="139"/>
        <v/>
      </c>
    </row>
    <row r="1786" spans="2:53">
      <c r="B1786" s="60">
        <f>[2]Trucks!A1783</f>
        <v>0</v>
      </c>
      <c r="C1786" s="11">
        <f>[2]Trucks!B1783</f>
        <v>0</v>
      </c>
      <c r="D1786" s="19" t="str">
        <f>IFERROR(VLOOKUP(C1786&amp;"",'[2]Retail Price List'!$A$3:$B$103,2,FALSE),"Special Order")</f>
        <v>Special Order</v>
      </c>
      <c r="E1786" s="18">
        <f>[2]Trucks!J1783</f>
        <v>0</v>
      </c>
      <c r="F1786" s="12">
        <f>[2]Trucks!E1783</f>
        <v>0</v>
      </c>
      <c r="G1786" s="56">
        <f>[2]Trucks!K1783</f>
        <v>0</v>
      </c>
      <c r="H1786" s="46">
        <f>[2]Trucks!I1783</f>
        <v>0</v>
      </c>
      <c r="I1786" s="83" t="str">
        <f t="shared" si="135"/>
        <v/>
      </c>
      <c r="J1786" s="272" t="str">
        <f>IFERROR(VLOOKUP((D1786&amp;C1786)&amp;"",'[2]Retail Price List'!$C$4:$F$102,3,FALSE),"")</f>
        <v/>
      </c>
      <c r="K1786" s="272">
        <f>IFERROR(IF(BA1786="WIP - 30 Days",VLOOKUP(D1786,[3]Standard!$B$9:$E$101,4,FALSE),IF(BA1786="31-120 Days",VLOOKUP(D1786,[3]Standard!$B$9:$F$101,5,FALSE),IF(BA1786="121-365 Days",VLOOKUP(D1786,[3]Standard!$B$9:$G$101,6,FALSE),VLOOKUP(D1786,[3]Standard!$B$9:$H$101,7,FALSE)))),0)</f>
        <v>0</v>
      </c>
      <c r="L1786" s="272">
        <f>IFERROR(IF(BA1786="WIP - 30 Days",VLOOKUP(D1786,[3]Standard!$B$9:$J$101,9,FALSE),IF(BA1786="31-120 Days",VLOOKUP(D1786,[3]Standard!$B$9:$K$100,10,FALSE),IF(BA1786="121-365 Days",VLOOKUP(D1786,[3]Standard!$B$9:$L$101,11,FALSE),VLOOKUP(D1786,[3]Standard!$B$9:$M$101,12,FALSE)))),0)</f>
        <v>0</v>
      </c>
      <c r="M1786" s="269" t="str">
        <f>IFERROR(VLOOKUP((D1786&amp;C1786)&amp;"",'[2]Retail Price List'!$C$4:$F$102,4,FALSE),"")</f>
        <v/>
      </c>
      <c r="N1786" s="269">
        <f>IFERROR(IF(BA1786="WIP - 30 Days",VLOOKUP(D1786,[3]Extended!$B$9:$E$101,4,FALSE),IF(BA1786="31-120 Days",VLOOKUP(D1786,[3]Extended!$B$9:$F$101,5,FALSE),IF(BA1786="121-365 Days",VLOOKUP(D1786,[3]Extended!$B$9:$G$101,6,FALSE),VLOOKUP(D1786,[3]Extended!$B$9:$H$101,7,FALSE)))),0)</f>
        <v>0</v>
      </c>
      <c r="O1786" s="269">
        <f>IFERROR(IF(BA1786="WIP - 30 Days",VLOOKUP(D1786,[3]Extended!$B$9:$J$101,9,FALSE),IF(BA1786="31-120 Days",VLOOKUP(D1786,[3]Extended!$B$9:$K$101,10,FALSE),IF(BA1786="121-365 Days",VLOOKUP(D1786,[3]Extended!$B$9:$L$101,11,FALSE),VLOOKUP(D1786,[3]Extended!$B$9:$M$101,12,FALSE)))),0)</f>
        <v>0</v>
      </c>
      <c r="P1786" s="116" t="e">
        <f t="shared" si="136"/>
        <v>#VALUE!</v>
      </c>
      <c r="Q1786" s="110" t="e">
        <f>O1786-#REF!</f>
        <v>#REF!</v>
      </c>
      <c r="AT1786" s="88" t="str">
        <f t="shared" si="137"/>
        <v>Special Order0</v>
      </c>
      <c r="AU1786" s="89" t="str">
        <f t="shared" si="138"/>
        <v>01-1900</v>
      </c>
      <c r="BA1786" s="92" t="str">
        <f t="shared" si="139"/>
        <v/>
      </c>
    </row>
    <row r="1787" spans="2:53">
      <c r="B1787" s="60">
        <f>[2]Trucks!A1784</f>
        <v>0</v>
      </c>
      <c r="C1787" s="11">
        <f>[2]Trucks!B1784</f>
        <v>0</v>
      </c>
      <c r="D1787" s="19" t="str">
        <f>IFERROR(VLOOKUP(C1787&amp;"",'[2]Retail Price List'!$A$3:$B$103,2,FALSE),"Special Order")</f>
        <v>Special Order</v>
      </c>
      <c r="E1787" s="18">
        <f>[2]Trucks!J1784</f>
        <v>0</v>
      </c>
      <c r="F1787" s="12">
        <f>[2]Trucks!E1784</f>
        <v>0</v>
      </c>
      <c r="G1787" s="56">
        <f>[2]Trucks!K1784</f>
        <v>0</v>
      </c>
      <c r="H1787" s="46">
        <f>[2]Trucks!I1784</f>
        <v>0</v>
      </c>
      <c r="I1787" s="83" t="str">
        <f t="shared" si="135"/>
        <v/>
      </c>
      <c r="J1787" s="272" t="str">
        <f>IFERROR(VLOOKUP((D1787&amp;C1787)&amp;"",'[2]Retail Price List'!$C$4:$F$102,3,FALSE),"")</f>
        <v/>
      </c>
      <c r="K1787" s="272">
        <f>IFERROR(IF(BA1787="WIP - 30 Days",VLOOKUP(D1787,[3]Standard!$B$9:$E$101,4,FALSE),IF(BA1787="31-120 Days",VLOOKUP(D1787,[3]Standard!$B$9:$F$101,5,FALSE),IF(BA1787="121-365 Days",VLOOKUP(D1787,[3]Standard!$B$9:$G$101,6,FALSE),VLOOKUP(D1787,[3]Standard!$B$9:$H$101,7,FALSE)))),0)</f>
        <v>0</v>
      </c>
      <c r="L1787" s="272">
        <f>IFERROR(IF(BA1787="WIP - 30 Days",VLOOKUP(D1787,[3]Standard!$B$9:$J$101,9,FALSE),IF(BA1787="31-120 Days",VLOOKUP(D1787,[3]Standard!$B$9:$K$100,10,FALSE),IF(BA1787="121-365 Days",VLOOKUP(D1787,[3]Standard!$B$9:$L$101,11,FALSE),VLOOKUP(D1787,[3]Standard!$B$9:$M$101,12,FALSE)))),0)</f>
        <v>0</v>
      </c>
      <c r="M1787" s="269" t="str">
        <f>IFERROR(VLOOKUP((D1787&amp;C1787)&amp;"",'[2]Retail Price List'!$C$4:$F$102,4,FALSE),"")</f>
        <v/>
      </c>
      <c r="N1787" s="269">
        <f>IFERROR(IF(BA1787="WIP - 30 Days",VLOOKUP(D1787,[3]Extended!$B$9:$E$101,4,FALSE),IF(BA1787="31-120 Days",VLOOKUP(D1787,[3]Extended!$B$9:$F$101,5,FALSE),IF(BA1787="121-365 Days",VLOOKUP(D1787,[3]Extended!$B$9:$G$101,6,FALSE),VLOOKUP(D1787,[3]Extended!$B$9:$H$101,7,FALSE)))),0)</f>
        <v>0</v>
      </c>
      <c r="O1787" s="269">
        <f>IFERROR(IF(BA1787="WIP - 30 Days",VLOOKUP(D1787,[3]Extended!$B$9:$J$101,9,FALSE),IF(BA1787="31-120 Days",VLOOKUP(D1787,[3]Extended!$B$9:$K$101,10,FALSE),IF(BA1787="121-365 Days",VLOOKUP(D1787,[3]Extended!$B$9:$L$101,11,FALSE),VLOOKUP(D1787,[3]Extended!$B$9:$M$101,12,FALSE)))),0)</f>
        <v>0</v>
      </c>
      <c r="P1787" s="116" t="e">
        <f t="shared" si="136"/>
        <v>#VALUE!</v>
      </c>
      <c r="Q1787" s="110" t="e">
        <f>O1787-#REF!</f>
        <v>#REF!</v>
      </c>
      <c r="AT1787" s="88" t="str">
        <f t="shared" si="137"/>
        <v>Special Order0</v>
      </c>
      <c r="AU1787" s="89" t="str">
        <f t="shared" si="138"/>
        <v>01-1900</v>
      </c>
      <c r="BA1787" s="92" t="str">
        <f t="shared" si="139"/>
        <v/>
      </c>
    </row>
    <row r="1788" spans="2:53">
      <c r="B1788" s="60">
        <f>[2]Trucks!A1785</f>
        <v>0</v>
      </c>
      <c r="C1788" s="11">
        <f>[2]Trucks!B1785</f>
        <v>0</v>
      </c>
      <c r="D1788" s="19" t="str">
        <f>IFERROR(VLOOKUP(C1788&amp;"",'[2]Retail Price List'!$A$3:$B$103,2,FALSE),"Special Order")</f>
        <v>Special Order</v>
      </c>
      <c r="E1788" s="18">
        <f>[2]Trucks!J1785</f>
        <v>0</v>
      </c>
      <c r="F1788" s="12">
        <f>[2]Trucks!E1785</f>
        <v>0</v>
      </c>
      <c r="G1788" s="56">
        <f>[2]Trucks!K1785</f>
        <v>0</v>
      </c>
      <c r="H1788" s="46">
        <f>[2]Trucks!I1785</f>
        <v>0</v>
      </c>
      <c r="I1788" s="83" t="str">
        <f t="shared" si="135"/>
        <v/>
      </c>
      <c r="J1788" s="272" t="str">
        <f>IFERROR(VLOOKUP((D1788&amp;C1788)&amp;"",'[2]Retail Price List'!$C$4:$F$102,3,FALSE),"")</f>
        <v/>
      </c>
      <c r="K1788" s="272">
        <f>IFERROR(IF(BA1788="WIP - 30 Days",VLOOKUP(D1788,[3]Standard!$B$9:$E$101,4,FALSE),IF(BA1788="31-120 Days",VLOOKUP(D1788,[3]Standard!$B$9:$F$101,5,FALSE),IF(BA1788="121-365 Days",VLOOKUP(D1788,[3]Standard!$B$9:$G$101,6,FALSE),VLOOKUP(D1788,[3]Standard!$B$9:$H$101,7,FALSE)))),0)</f>
        <v>0</v>
      </c>
      <c r="L1788" s="272">
        <f>IFERROR(IF(BA1788="WIP - 30 Days",VLOOKUP(D1788,[3]Standard!$B$9:$J$101,9,FALSE),IF(BA1788="31-120 Days",VLOOKUP(D1788,[3]Standard!$B$9:$K$100,10,FALSE),IF(BA1788="121-365 Days",VLOOKUP(D1788,[3]Standard!$B$9:$L$101,11,FALSE),VLOOKUP(D1788,[3]Standard!$B$9:$M$101,12,FALSE)))),0)</f>
        <v>0</v>
      </c>
      <c r="M1788" s="269" t="str">
        <f>IFERROR(VLOOKUP((D1788&amp;C1788)&amp;"",'[2]Retail Price List'!$C$4:$F$102,4,FALSE),"")</f>
        <v/>
      </c>
      <c r="N1788" s="269">
        <f>IFERROR(IF(BA1788="WIP - 30 Days",VLOOKUP(D1788,[3]Extended!$B$9:$E$101,4,FALSE),IF(BA1788="31-120 Days",VLOOKUP(D1788,[3]Extended!$B$9:$F$101,5,FALSE),IF(BA1788="121-365 Days",VLOOKUP(D1788,[3]Extended!$B$9:$G$101,6,FALSE),VLOOKUP(D1788,[3]Extended!$B$9:$H$101,7,FALSE)))),0)</f>
        <v>0</v>
      </c>
      <c r="O1788" s="269">
        <f>IFERROR(IF(BA1788="WIP - 30 Days",VLOOKUP(D1788,[3]Extended!$B$9:$J$101,9,FALSE),IF(BA1788="31-120 Days",VLOOKUP(D1788,[3]Extended!$B$9:$K$101,10,FALSE),IF(BA1788="121-365 Days",VLOOKUP(D1788,[3]Extended!$B$9:$L$101,11,FALSE),VLOOKUP(D1788,[3]Extended!$B$9:$M$101,12,FALSE)))),0)</f>
        <v>0</v>
      </c>
      <c r="P1788" s="116" t="e">
        <f t="shared" si="136"/>
        <v>#VALUE!</v>
      </c>
      <c r="Q1788" s="110" t="e">
        <f>O1788-#REF!</f>
        <v>#REF!</v>
      </c>
      <c r="AT1788" s="88" t="str">
        <f t="shared" si="137"/>
        <v>Special Order0</v>
      </c>
      <c r="AU1788" s="89" t="str">
        <f t="shared" si="138"/>
        <v>01-1900</v>
      </c>
      <c r="BA1788" s="92" t="str">
        <f t="shared" si="139"/>
        <v/>
      </c>
    </row>
    <row r="1789" spans="2:53">
      <c r="B1789" s="60">
        <f>[2]Trucks!A1786</f>
        <v>0</v>
      </c>
      <c r="C1789" s="11">
        <f>[2]Trucks!B1786</f>
        <v>0</v>
      </c>
      <c r="D1789" s="19" t="str">
        <f>IFERROR(VLOOKUP(C1789&amp;"",'[2]Retail Price List'!$A$3:$B$103,2,FALSE),"Special Order")</f>
        <v>Special Order</v>
      </c>
      <c r="E1789" s="18">
        <f>[2]Trucks!J1786</f>
        <v>0</v>
      </c>
      <c r="F1789" s="12">
        <f>[2]Trucks!E1786</f>
        <v>0</v>
      </c>
      <c r="G1789" s="56">
        <f>[2]Trucks!K1786</f>
        <v>0</v>
      </c>
      <c r="H1789" s="46">
        <f>[2]Trucks!I1786</f>
        <v>0</v>
      </c>
      <c r="I1789" s="83" t="str">
        <f t="shared" si="135"/>
        <v/>
      </c>
      <c r="J1789" s="272" t="str">
        <f>IFERROR(VLOOKUP((D1789&amp;C1789)&amp;"",'[2]Retail Price List'!$C$4:$F$102,3,FALSE),"")</f>
        <v/>
      </c>
      <c r="K1789" s="272">
        <f>IFERROR(IF(BA1789="WIP - 30 Days",VLOOKUP(D1789,[3]Standard!$B$9:$E$101,4,FALSE),IF(BA1789="31-120 Days",VLOOKUP(D1789,[3]Standard!$B$9:$F$101,5,FALSE),IF(BA1789="121-365 Days",VLOOKUP(D1789,[3]Standard!$B$9:$G$101,6,FALSE),VLOOKUP(D1789,[3]Standard!$B$9:$H$101,7,FALSE)))),0)</f>
        <v>0</v>
      </c>
      <c r="L1789" s="272">
        <f>IFERROR(IF(BA1789="WIP - 30 Days",VLOOKUP(D1789,[3]Standard!$B$9:$J$101,9,FALSE),IF(BA1789="31-120 Days",VLOOKUP(D1789,[3]Standard!$B$9:$K$100,10,FALSE),IF(BA1789="121-365 Days",VLOOKUP(D1789,[3]Standard!$B$9:$L$101,11,FALSE),VLOOKUP(D1789,[3]Standard!$B$9:$M$101,12,FALSE)))),0)</f>
        <v>0</v>
      </c>
      <c r="M1789" s="269" t="str">
        <f>IFERROR(VLOOKUP((D1789&amp;C1789)&amp;"",'[2]Retail Price List'!$C$4:$F$102,4,FALSE),"")</f>
        <v/>
      </c>
      <c r="N1789" s="269">
        <f>IFERROR(IF(BA1789="WIP - 30 Days",VLOOKUP(D1789,[3]Extended!$B$9:$E$101,4,FALSE),IF(BA1789="31-120 Days",VLOOKUP(D1789,[3]Extended!$B$9:$F$101,5,FALSE),IF(BA1789="121-365 Days",VLOOKUP(D1789,[3]Extended!$B$9:$G$101,6,FALSE),VLOOKUP(D1789,[3]Extended!$B$9:$H$101,7,FALSE)))),0)</f>
        <v>0</v>
      </c>
      <c r="O1789" s="269">
        <f>IFERROR(IF(BA1789="WIP - 30 Days",VLOOKUP(D1789,[3]Extended!$B$9:$J$101,9,FALSE),IF(BA1789="31-120 Days",VLOOKUP(D1789,[3]Extended!$B$9:$K$101,10,FALSE),IF(BA1789="121-365 Days",VLOOKUP(D1789,[3]Extended!$B$9:$L$101,11,FALSE),VLOOKUP(D1789,[3]Extended!$B$9:$M$101,12,FALSE)))),0)</f>
        <v>0</v>
      </c>
      <c r="P1789" s="116" t="e">
        <f t="shared" si="136"/>
        <v>#VALUE!</v>
      </c>
      <c r="Q1789" s="110" t="e">
        <f>O1789-#REF!</f>
        <v>#REF!</v>
      </c>
      <c r="AT1789" s="88" t="str">
        <f t="shared" si="137"/>
        <v>Special Order0</v>
      </c>
      <c r="AU1789" s="89" t="str">
        <f t="shared" si="138"/>
        <v>01-1900</v>
      </c>
      <c r="BA1789" s="92" t="str">
        <f t="shared" si="139"/>
        <v/>
      </c>
    </row>
    <row r="1790" spans="2:53">
      <c r="B1790" s="60">
        <f>[2]Trucks!A1787</f>
        <v>0</v>
      </c>
      <c r="C1790" s="11">
        <f>[2]Trucks!B1787</f>
        <v>0</v>
      </c>
      <c r="D1790" s="19" t="str">
        <f>IFERROR(VLOOKUP(C1790&amp;"",'[2]Retail Price List'!$A$3:$B$103,2,FALSE),"Special Order")</f>
        <v>Special Order</v>
      </c>
      <c r="E1790" s="18">
        <f>[2]Trucks!J1787</f>
        <v>0</v>
      </c>
      <c r="F1790" s="12">
        <f>[2]Trucks!E1787</f>
        <v>0</v>
      </c>
      <c r="G1790" s="56">
        <f>[2]Trucks!K1787</f>
        <v>0</v>
      </c>
      <c r="H1790" s="46">
        <f>[2]Trucks!I1787</f>
        <v>0</v>
      </c>
      <c r="I1790" s="83" t="str">
        <f t="shared" si="135"/>
        <v/>
      </c>
      <c r="J1790" s="272" t="str">
        <f>IFERROR(VLOOKUP((D1790&amp;C1790)&amp;"",'[2]Retail Price List'!$C$4:$F$102,3,FALSE),"")</f>
        <v/>
      </c>
      <c r="K1790" s="272">
        <f>IFERROR(IF(BA1790="WIP - 30 Days",VLOOKUP(D1790,[3]Standard!$B$9:$E$101,4,FALSE),IF(BA1790="31-120 Days",VLOOKUP(D1790,[3]Standard!$B$9:$F$101,5,FALSE),IF(BA1790="121-365 Days",VLOOKUP(D1790,[3]Standard!$B$9:$G$101,6,FALSE),VLOOKUP(D1790,[3]Standard!$B$9:$H$101,7,FALSE)))),0)</f>
        <v>0</v>
      </c>
      <c r="L1790" s="272">
        <f>IFERROR(IF(BA1790="WIP - 30 Days",VLOOKUP(D1790,[3]Standard!$B$9:$J$101,9,FALSE),IF(BA1790="31-120 Days",VLOOKUP(D1790,[3]Standard!$B$9:$K$100,10,FALSE),IF(BA1790="121-365 Days",VLOOKUP(D1790,[3]Standard!$B$9:$L$101,11,FALSE),VLOOKUP(D1790,[3]Standard!$B$9:$M$101,12,FALSE)))),0)</f>
        <v>0</v>
      </c>
      <c r="M1790" s="269" t="str">
        <f>IFERROR(VLOOKUP((D1790&amp;C1790)&amp;"",'[2]Retail Price List'!$C$4:$F$102,4,FALSE),"")</f>
        <v/>
      </c>
      <c r="N1790" s="269">
        <f>IFERROR(IF(BA1790="WIP - 30 Days",VLOOKUP(D1790,[3]Extended!$B$9:$E$101,4,FALSE),IF(BA1790="31-120 Days",VLOOKUP(D1790,[3]Extended!$B$9:$F$101,5,FALSE),IF(BA1790="121-365 Days",VLOOKUP(D1790,[3]Extended!$B$9:$G$101,6,FALSE),VLOOKUP(D1790,[3]Extended!$B$9:$H$101,7,FALSE)))),0)</f>
        <v>0</v>
      </c>
      <c r="O1790" s="269">
        <f>IFERROR(IF(BA1790="WIP - 30 Days",VLOOKUP(D1790,[3]Extended!$B$9:$J$101,9,FALSE),IF(BA1790="31-120 Days",VLOOKUP(D1790,[3]Extended!$B$9:$K$101,10,FALSE),IF(BA1790="121-365 Days",VLOOKUP(D1790,[3]Extended!$B$9:$L$101,11,FALSE),VLOOKUP(D1790,[3]Extended!$B$9:$M$101,12,FALSE)))),0)</f>
        <v>0</v>
      </c>
      <c r="P1790" s="116" t="e">
        <f t="shared" si="136"/>
        <v>#VALUE!</v>
      </c>
      <c r="Q1790" s="110" t="e">
        <f>O1790-#REF!</f>
        <v>#REF!</v>
      </c>
      <c r="AT1790" s="88" t="str">
        <f t="shared" si="137"/>
        <v>Special Order0</v>
      </c>
      <c r="AU1790" s="89" t="str">
        <f t="shared" si="138"/>
        <v>01-1900</v>
      </c>
      <c r="BA1790" s="92" t="str">
        <f t="shared" si="139"/>
        <v/>
      </c>
    </row>
    <row r="1791" spans="2:53">
      <c r="B1791" s="60">
        <f>[2]Trucks!A1788</f>
        <v>0</v>
      </c>
      <c r="C1791" s="11">
        <f>[2]Trucks!B1788</f>
        <v>0</v>
      </c>
      <c r="D1791" s="19" t="str">
        <f>IFERROR(VLOOKUP(C1791&amp;"",'[2]Retail Price List'!$A$3:$B$103,2,FALSE),"Special Order")</f>
        <v>Special Order</v>
      </c>
      <c r="E1791" s="18">
        <f>[2]Trucks!J1788</f>
        <v>0</v>
      </c>
      <c r="F1791" s="12">
        <f>[2]Trucks!E1788</f>
        <v>0</v>
      </c>
      <c r="G1791" s="56">
        <f>[2]Trucks!K1788</f>
        <v>0</v>
      </c>
      <c r="H1791" s="46">
        <f>[2]Trucks!I1788</f>
        <v>0</v>
      </c>
      <c r="I1791" s="83" t="str">
        <f t="shared" si="135"/>
        <v/>
      </c>
      <c r="J1791" s="272" t="str">
        <f>IFERROR(VLOOKUP((D1791&amp;C1791)&amp;"",'[2]Retail Price List'!$C$4:$F$102,3,FALSE),"")</f>
        <v/>
      </c>
      <c r="K1791" s="272">
        <f>IFERROR(IF(BA1791="WIP - 30 Days",VLOOKUP(D1791,[3]Standard!$B$9:$E$101,4,FALSE),IF(BA1791="31-120 Days",VLOOKUP(D1791,[3]Standard!$B$9:$F$101,5,FALSE),IF(BA1791="121-365 Days",VLOOKUP(D1791,[3]Standard!$B$9:$G$101,6,FALSE),VLOOKUP(D1791,[3]Standard!$B$9:$H$101,7,FALSE)))),0)</f>
        <v>0</v>
      </c>
      <c r="L1791" s="272">
        <f>IFERROR(IF(BA1791="WIP - 30 Days",VLOOKUP(D1791,[3]Standard!$B$9:$J$101,9,FALSE),IF(BA1791="31-120 Days",VLOOKUP(D1791,[3]Standard!$B$9:$K$100,10,FALSE),IF(BA1791="121-365 Days",VLOOKUP(D1791,[3]Standard!$B$9:$L$101,11,FALSE),VLOOKUP(D1791,[3]Standard!$B$9:$M$101,12,FALSE)))),0)</f>
        <v>0</v>
      </c>
      <c r="M1791" s="269" t="str">
        <f>IFERROR(VLOOKUP((D1791&amp;C1791)&amp;"",'[2]Retail Price List'!$C$4:$F$102,4,FALSE),"")</f>
        <v/>
      </c>
      <c r="N1791" s="269">
        <f>IFERROR(IF(BA1791="WIP - 30 Days",VLOOKUP(D1791,[3]Extended!$B$9:$E$101,4,FALSE),IF(BA1791="31-120 Days",VLOOKUP(D1791,[3]Extended!$B$9:$F$101,5,FALSE),IF(BA1791="121-365 Days",VLOOKUP(D1791,[3]Extended!$B$9:$G$101,6,FALSE),VLOOKUP(D1791,[3]Extended!$B$9:$H$101,7,FALSE)))),0)</f>
        <v>0</v>
      </c>
      <c r="O1791" s="269">
        <f>IFERROR(IF(BA1791="WIP - 30 Days",VLOOKUP(D1791,[3]Extended!$B$9:$J$101,9,FALSE),IF(BA1791="31-120 Days",VLOOKUP(D1791,[3]Extended!$B$9:$K$101,10,FALSE),IF(BA1791="121-365 Days",VLOOKUP(D1791,[3]Extended!$B$9:$L$101,11,FALSE),VLOOKUP(D1791,[3]Extended!$B$9:$M$101,12,FALSE)))),0)</f>
        <v>0</v>
      </c>
      <c r="P1791" s="116" t="e">
        <f t="shared" si="136"/>
        <v>#VALUE!</v>
      </c>
      <c r="Q1791" s="110" t="e">
        <f>O1791-#REF!</f>
        <v>#REF!</v>
      </c>
      <c r="AT1791" s="88" t="str">
        <f t="shared" si="137"/>
        <v>Special Order0</v>
      </c>
      <c r="AU1791" s="89" t="str">
        <f t="shared" si="138"/>
        <v>01-1900</v>
      </c>
      <c r="BA1791" s="92" t="str">
        <f t="shared" si="139"/>
        <v/>
      </c>
    </row>
    <row r="1792" spans="2:53">
      <c r="B1792" s="60">
        <f>[2]Trucks!A1789</f>
        <v>0</v>
      </c>
      <c r="C1792" s="11">
        <f>[2]Trucks!B1789</f>
        <v>0</v>
      </c>
      <c r="D1792" s="19" t="str">
        <f>IFERROR(VLOOKUP(C1792&amp;"",'[2]Retail Price List'!$A$3:$B$103,2,FALSE),"Special Order")</f>
        <v>Special Order</v>
      </c>
      <c r="E1792" s="18">
        <f>[2]Trucks!J1789</f>
        <v>0</v>
      </c>
      <c r="F1792" s="12">
        <f>[2]Trucks!E1789</f>
        <v>0</v>
      </c>
      <c r="G1792" s="56">
        <f>[2]Trucks!K1789</f>
        <v>0</v>
      </c>
      <c r="H1792" s="46">
        <f>[2]Trucks!I1789</f>
        <v>0</v>
      </c>
      <c r="I1792" s="83" t="str">
        <f t="shared" si="135"/>
        <v/>
      </c>
      <c r="J1792" s="272" t="str">
        <f>IFERROR(VLOOKUP((D1792&amp;C1792)&amp;"",'[2]Retail Price List'!$C$4:$F$102,3,FALSE),"")</f>
        <v/>
      </c>
      <c r="K1792" s="272">
        <f>IFERROR(IF(BA1792="WIP - 30 Days",VLOOKUP(D1792,[3]Standard!$B$9:$E$101,4,FALSE),IF(BA1792="31-120 Days",VLOOKUP(D1792,[3]Standard!$B$9:$F$101,5,FALSE),IF(BA1792="121-365 Days",VLOOKUP(D1792,[3]Standard!$B$9:$G$101,6,FALSE),VLOOKUP(D1792,[3]Standard!$B$9:$H$101,7,FALSE)))),0)</f>
        <v>0</v>
      </c>
      <c r="L1792" s="272">
        <f>IFERROR(IF(BA1792="WIP - 30 Days",VLOOKUP(D1792,[3]Standard!$B$9:$J$101,9,FALSE),IF(BA1792="31-120 Days",VLOOKUP(D1792,[3]Standard!$B$9:$K$100,10,FALSE),IF(BA1792="121-365 Days",VLOOKUP(D1792,[3]Standard!$B$9:$L$101,11,FALSE),VLOOKUP(D1792,[3]Standard!$B$9:$M$101,12,FALSE)))),0)</f>
        <v>0</v>
      </c>
      <c r="M1792" s="269" t="str">
        <f>IFERROR(VLOOKUP((D1792&amp;C1792)&amp;"",'[2]Retail Price List'!$C$4:$F$102,4,FALSE),"")</f>
        <v/>
      </c>
      <c r="N1792" s="269">
        <f>IFERROR(IF(BA1792="WIP - 30 Days",VLOOKUP(D1792,[3]Extended!$B$9:$E$101,4,FALSE),IF(BA1792="31-120 Days",VLOOKUP(D1792,[3]Extended!$B$9:$F$101,5,FALSE),IF(BA1792="121-365 Days",VLOOKUP(D1792,[3]Extended!$B$9:$G$101,6,FALSE),VLOOKUP(D1792,[3]Extended!$B$9:$H$101,7,FALSE)))),0)</f>
        <v>0</v>
      </c>
      <c r="O1792" s="269">
        <f>IFERROR(IF(BA1792="WIP - 30 Days",VLOOKUP(D1792,[3]Extended!$B$9:$J$101,9,FALSE),IF(BA1792="31-120 Days",VLOOKUP(D1792,[3]Extended!$B$9:$K$101,10,FALSE),IF(BA1792="121-365 Days",VLOOKUP(D1792,[3]Extended!$B$9:$L$101,11,FALSE),VLOOKUP(D1792,[3]Extended!$B$9:$M$101,12,FALSE)))),0)</f>
        <v>0</v>
      </c>
      <c r="P1792" s="116" t="e">
        <f t="shared" si="136"/>
        <v>#VALUE!</v>
      </c>
      <c r="Q1792" s="110" t="e">
        <f>O1792-#REF!</f>
        <v>#REF!</v>
      </c>
      <c r="AT1792" s="88" t="str">
        <f t="shared" si="137"/>
        <v>Special Order0</v>
      </c>
      <c r="AU1792" s="89" t="str">
        <f t="shared" si="138"/>
        <v>01-1900</v>
      </c>
      <c r="BA1792" s="92" t="str">
        <f t="shared" si="139"/>
        <v/>
      </c>
    </row>
    <row r="1793" spans="2:53">
      <c r="B1793" s="60">
        <f>[2]Trucks!A1790</f>
        <v>0</v>
      </c>
      <c r="C1793" s="11">
        <f>[2]Trucks!B1790</f>
        <v>0</v>
      </c>
      <c r="D1793" s="19" t="str">
        <f>IFERROR(VLOOKUP(C1793&amp;"",'[2]Retail Price List'!$A$3:$B$103,2,FALSE),"Special Order")</f>
        <v>Special Order</v>
      </c>
      <c r="E1793" s="18">
        <f>[2]Trucks!J1790</f>
        <v>0</v>
      </c>
      <c r="F1793" s="12">
        <f>[2]Trucks!E1790</f>
        <v>0</v>
      </c>
      <c r="G1793" s="56">
        <f>[2]Trucks!K1790</f>
        <v>0</v>
      </c>
      <c r="H1793" s="46">
        <f>[2]Trucks!I1790</f>
        <v>0</v>
      </c>
      <c r="I1793" s="83" t="str">
        <f t="shared" si="135"/>
        <v/>
      </c>
      <c r="J1793" s="272" t="str">
        <f>IFERROR(VLOOKUP((D1793&amp;C1793)&amp;"",'[2]Retail Price List'!$C$4:$F$102,3,FALSE),"")</f>
        <v/>
      </c>
      <c r="K1793" s="272">
        <f>IFERROR(IF(BA1793="WIP - 30 Days",VLOOKUP(D1793,[3]Standard!$B$9:$E$101,4,FALSE),IF(BA1793="31-120 Days",VLOOKUP(D1793,[3]Standard!$B$9:$F$101,5,FALSE),IF(BA1793="121-365 Days",VLOOKUP(D1793,[3]Standard!$B$9:$G$101,6,FALSE),VLOOKUP(D1793,[3]Standard!$B$9:$H$101,7,FALSE)))),0)</f>
        <v>0</v>
      </c>
      <c r="L1793" s="272">
        <f>IFERROR(IF(BA1793="WIP - 30 Days",VLOOKUP(D1793,[3]Standard!$B$9:$J$101,9,FALSE),IF(BA1793="31-120 Days",VLOOKUP(D1793,[3]Standard!$B$9:$K$100,10,FALSE),IF(BA1793="121-365 Days",VLOOKUP(D1793,[3]Standard!$B$9:$L$101,11,FALSE),VLOOKUP(D1793,[3]Standard!$B$9:$M$101,12,FALSE)))),0)</f>
        <v>0</v>
      </c>
      <c r="M1793" s="269" t="str">
        <f>IFERROR(VLOOKUP((D1793&amp;C1793)&amp;"",'[2]Retail Price List'!$C$4:$F$102,4,FALSE),"")</f>
        <v/>
      </c>
      <c r="N1793" s="269">
        <f>IFERROR(IF(BA1793="WIP - 30 Days",VLOOKUP(D1793,[3]Extended!$B$9:$E$101,4,FALSE),IF(BA1793="31-120 Days",VLOOKUP(D1793,[3]Extended!$B$9:$F$101,5,FALSE),IF(BA1793="121-365 Days",VLOOKUP(D1793,[3]Extended!$B$9:$G$101,6,FALSE),VLOOKUP(D1793,[3]Extended!$B$9:$H$101,7,FALSE)))),0)</f>
        <v>0</v>
      </c>
      <c r="O1793" s="269">
        <f>IFERROR(IF(BA1793="WIP - 30 Days",VLOOKUP(D1793,[3]Extended!$B$9:$J$101,9,FALSE),IF(BA1793="31-120 Days",VLOOKUP(D1793,[3]Extended!$B$9:$K$101,10,FALSE),IF(BA1793="121-365 Days",VLOOKUP(D1793,[3]Extended!$B$9:$L$101,11,FALSE),VLOOKUP(D1793,[3]Extended!$B$9:$M$101,12,FALSE)))),0)</f>
        <v>0</v>
      </c>
      <c r="P1793" s="116" t="e">
        <f t="shared" si="136"/>
        <v>#VALUE!</v>
      </c>
      <c r="Q1793" s="110" t="e">
        <f>O1793-#REF!</f>
        <v>#REF!</v>
      </c>
      <c r="AT1793" s="88" t="str">
        <f t="shared" si="137"/>
        <v>Special Order0</v>
      </c>
      <c r="AU1793" s="89" t="str">
        <f t="shared" si="138"/>
        <v>01-1900</v>
      </c>
      <c r="BA1793" s="92" t="str">
        <f t="shared" si="139"/>
        <v/>
      </c>
    </row>
    <row r="1794" spans="2:53">
      <c r="B1794" s="60">
        <f>[2]Trucks!A1791</f>
        <v>0</v>
      </c>
      <c r="C1794" s="11">
        <f>[2]Trucks!B1791</f>
        <v>0</v>
      </c>
      <c r="D1794" s="19" t="str">
        <f>IFERROR(VLOOKUP(C1794&amp;"",'[2]Retail Price List'!$A$3:$B$103,2,FALSE),"Special Order")</f>
        <v>Special Order</v>
      </c>
      <c r="E1794" s="18">
        <f>[2]Trucks!J1791</f>
        <v>0</v>
      </c>
      <c r="F1794" s="12">
        <f>[2]Trucks!E1791</f>
        <v>0</v>
      </c>
      <c r="G1794" s="56">
        <f>[2]Trucks!K1791</f>
        <v>0</v>
      </c>
      <c r="H1794" s="46">
        <f>[2]Trucks!I1791</f>
        <v>0</v>
      </c>
      <c r="I1794" s="83" t="str">
        <f t="shared" si="135"/>
        <v/>
      </c>
      <c r="J1794" s="272" t="str">
        <f>IFERROR(VLOOKUP((D1794&amp;C1794)&amp;"",'[2]Retail Price List'!$C$4:$F$102,3,FALSE),"")</f>
        <v/>
      </c>
      <c r="K1794" s="272">
        <f>IFERROR(IF(BA1794="WIP - 30 Days",VLOOKUP(D1794,[3]Standard!$B$9:$E$101,4,FALSE),IF(BA1794="31-120 Days",VLOOKUP(D1794,[3]Standard!$B$9:$F$101,5,FALSE),IF(BA1794="121-365 Days",VLOOKUP(D1794,[3]Standard!$B$9:$G$101,6,FALSE),VLOOKUP(D1794,[3]Standard!$B$9:$H$101,7,FALSE)))),0)</f>
        <v>0</v>
      </c>
      <c r="L1794" s="272">
        <f>IFERROR(IF(BA1794="WIP - 30 Days",VLOOKUP(D1794,[3]Standard!$B$9:$J$101,9,FALSE),IF(BA1794="31-120 Days",VLOOKUP(D1794,[3]Standard!$B$9:$K$100,10,FALSE),IF(BA1794="121-365 Days",VLOOKUP(D1794,[3]Standard!$B$9:$L$101,11,FALSE),VLOOKUP(D1794,[3]Standard!$B$9:$M$101,12,FALSE)))),0)</f>
        <v>0</v>
      </c>
      <c r="M1794" s="269" t="str">
        <f>IFERROR(VLOOKUP((D1794&amp;C1794)&amp;"",'[2]Retail Price List'!$C$4:$F$102,4,FALSE),"")</f>
        <v/>
      </c>
      <c r="N1794" s="269">
        <f>IFERROR(IF(BA1794="WIP - 30 Days",VLOOKUP(D1794,[3]Extended!$B$9:$E$101,4,FALSE),IF(BA1794="31-120 Days",VLOOKUP(D1794,[3]Extended!$B$9:$F$101,5,FALSE),IF(BA1794="121-365 Days",VLOOKUP(D1794,[3]Extended!$B$9:$G$101,6,FALSE),VLOOKUP(D1794,[3]Extended!$B$9:$H$101,7,FALSE)))),0)</f>
        <v>0</v>
      </c>
      <c r="O1794" s="269">
        <f>IFERROR(IF(BA1794="WIP - 30 Days",VLOOKUP(D1794,[3]Extended!$B$9:$J$101,9,FALSE),IF(BA1794="31-120 Days",VLOOKUP(D1794,[3]Extended!$B$9:$K$101,10,FALSE),IF(BA1794="121-365 Days",VLOOKUP(D1794,[3]Extended!$B$9:$L$101,11,FALSE),VLOOKUP(D1794,[3]Extended!$B$9:$M$101,12,FALSE)))),0)</f>
        <v>0</v>
      </c>
      <c r="P1794" s="116" t="e">
        <f t="shared" si="136"/>
        <v>#VALUE!</v>
      </c>
      <c r="Q1794" s="110" t="e">
        <f>O1794-#REF!</f>
        <v>#REF!</v>
      </c>
      <c r="AT1794" s="88" t="str">
        <f t="shared" si="137"/>
        <v>Special Order0</v>
      </c>
      <c r="AU1794" s="89" t="str">
        <f t="shared" si="138"/>
        <v>01-1900</v>
      </c>
      <c r="BA1794" s="92" t="str">
        <f t="shared" si="139"/>
        <v/>
      </c>
    </row>
    <row r="1795" spans="2:53">
      <c r="B1795" s="60">
        <f>[2]Trucks!A1792</f>
        <v>0</v>
      </c>
      <c r="C1795" s="11">
        <f>[2]Trucks!B1792</f>
        <v>0</v>
      </c>
      <c r="D1795" s="19" t="str">
        <f>IFERROR(VLOOKUP(C1795&amp;"",'[2]Retail Price List'!$A$3:$B$103,2,FALSE),"Special Order")</f>
        <v>Special Order</v>
      </c>
      <c r="E1795" s="18">
        <f>[2]Trucks!J1792</f>
        <v>0</v>
      </c>
      <c r="F1795" s="12">
        <f>[2]Trucks!E1792</f>
        <v>0</v>
      </c>
      <c r="G1795" s="56">
        <f>[2]Trucks!K1792</f>
        <v>0</v>
      </c>
      <c r="H1795" s="46">
        <f>[2]Trucks!I1792</f>
        <v>0</v>
      </c>
      <c r="I1795" s="83" t="str">
        <f t="shared" si="135"/>
        <v/>
      </c>
      <c r="J1795" s="272" t="str">
        <f>IFERROR(VLOOKUP((D1795&amp;C1795)&amp;"",'[2]Retail Price List'!$C$4:$F$102,3,FALSE),"")</f>
        <v/>
      </c>
      <c r="K1795" s="272">
        <f>IFERROR(IF(BA1795="WIP - 30 Days",VLOOKUP(D1795,[3]Standard!$B$9:$E$101,4,FALSE),IF(BA1795="31-120 Days",VLOOKUP(D1795,[3]Standard!$B$9:$F$101,5,FALSE),IF(BA1795="121-365 Days",VLOOKUP(D1795,[3]Standard!$B$9:$G$101,6,FALSE),VLOOKUP(D1795,[3]Standard!$B$9:$H$101,7,FALSE)))),0)</f>
        <v>0</v>
      </c>
      <c r="L1795" s="272">
        <f>IFERROR(IF(BA1795="WIP - 30 Days",VLOOKUP(D1795,[3]Standard!$B$9:$J$101,9,FALSE),IF(BA1795="31-120 Days",VLOOKUP(D1795,[3]Standard!$B$9:$K$100,10,FALSE),IF(BA1795="121-365 Days",VLOOKUP(D1795,[3]Standard!$B$9:$L$101,11,FALSE),VLOOKUP(D1795,[3]Standard!$B$9:$M$101,12,FALSE)))),0)</f>
        <v>0</v>
      </c>
      <c r="M1795" s="269" t="str">
        <f>IFERROR(VLOOKUP((D1795&amp;C1795)&amp;"",'[2]Retail Price List'!$C$4:$F$102,4,FALSE),"")</f>
        <v/>
      </c>
      <c r="N1795" s="269">
        <f>IFERROR(IF(BA1795="WIP - 30 Days",VLOOKUP(D1795,[3]Extended!$B$9:$E$101,4,FALSE),IF(BA1795="31-120 Days",VLOOKUP(D1795,[3]Extended!$B$9:$F$101,5,FALSE),IF(BA1795="121-365 Days",VLOOKUP(D1795,[3]Extended!$B$9:$G$101,6,FALSE),VLOOKUP(D1795,[3]Extended!$B$9:$H$101,7,FALSE)))),0)</f>
        <v>0</v>
      </c>
      <c r="O1795" s="269">
        <f>IFERROR(IF(BA1795="WIP - 30 Days",VLOOKUP(D1795,[3]Extended!$B$9:$J$101,9,FALSE),IF(BA1795="31-120 Days",VLOOKUP(D1795,[3]Extended!$B$9:$K$101,10,FALSE),IF(BA1795="121-365 Days",VLOOKUP(D1795,[3]Extended!$B$9:$L$101,11,FALSE),VLOOKUP(D1795,[3]Extended!$B$9:$M$101,12,FALSE)))),0)</f>
        <v>0</v>
      </c>
      <c r="P1795" s="116" t="e">
        <f t="shared" si="136"/>
        <v>#VALUE!</v>
      </c>
      <c r="Q1795" s="110" t="e">
        <f>O1795-#REF!</f>
        <v>#REF!</v>
      </c>
      <c r="AT1795" s="88" t="str">
        <f t="shared" si="137"/>
        <v>Special Order0</v>
      </c>
      <c r="AU1795" s="89" t="str">
        <f t="shared" si="138"/>
        <v>01-1900</v>
      </c>
      <c r="BA1795" s="92" t="str">
        <f t="shared" si="139"/>
        <v/>
      </c>
    </row>
    <row r="1796" spans="2:53">
      <c r="B1796" s="60">
        <f>[2]Trucks!A1793</f>
        <v>0</v>
      </c>
      <c r="C1796" s="11">
        <f>[2]Trucks!B1793</f>
        <v>0</v>
      </c>
      <c r="D1796" s="19" t="str">
        <f>IFERROR(VLOOKUP(C1796&amp;"",'[2]Retail Price List'!$A$3:$B$103,2,FALSE),"Special Order")</f>
        <v>Special Order</v>
      </c>
      <c r="E1796" s="18">
        <f>[2]Trucks!J1793</f>
        <v>0</v>
      </c>
      <c r="F1796" s="12">
        <f>[2]Trucks!E1793</f>
        <v>0</v>
      </c>
      <c r="G1796" s="56">
        <f>[2]Trucks!K1793</f>
        <v>0</v>
      </c>
      <c r="H1796" s="46">
        <f>[2]Trucks!I1793</f>
        <v>0</v>
      </c>
      <c r="I1796" s="83" t="str">
        <f t="shared" si="135"/>
        <v/>
      </c>
      <c r="J1796" s="272" t="str">
        <f>IFERROR(VLOOKUP((D1796&amp;C1796)&amp;"",'[2]Retail Price List'!$C$4:$F$102,3,FALSE),"")</f>
        <v/>
      </c>
      <c r="K1796" s="272">
        <f>IFERROR(IF(BA1796="WIP - 30 Days",VLOOKUP(D1796,[3]Standard!$B$9:$E$101,4,FALSE),IF(BA1796="31-120 Days",VLOOKUP(D1796,[3]Standard!$B$9:$F$101,5,FALSE),IF(BA1796="121-365 Days",VLOOKUP(D1796,[3]Standard!$B$9:$G$101,6,FALSE),VLOOKUP(D1796,[3]Standard!$B$9:$H$101,7,FALSE)))),0)</f>
        <v>0</v>
      </c>
      <c r="L1796" s="272">
        <f>IFERROR(IF(BA1796="WIP - 30 Days",VLOOKUP(D1796,[3]Standard!$B$9:$J$101,9,FALSE),IF(BA1796="31-120 Days",VLOOKUP(D1796,[3]Standard!$B$9:$K$100,10,FALSE),IF(BA1796="121-365 Days",VLOOKUP(D1796,[3]Standard!$B$9:$L$101,11,FALSE),VLOOKUP(D1796,[3]Standard!$B$9:$M$101,12,FALSE)))),0)</f>
        <v>0</v>
      </c>
      <c r="M1796" s="269" t="str">
        <f>IFERROR(VLOOKUP((D1796&amp;C1796)&amp;"",'[2]Retail Price List'!$C$4:$F$102,4,FALSE),"")</f>
        <v/>
      </c>
      <c r="N1796" s="269">
        <f>IFERROR(IF(BA1796="WIP - 30 Days",VLOOKUP(D1796,[3]Extended!$B$9:$E$101,4,FALSE),IF(BA1796="31-120 Days",VLOOKUP(D1796,[3]Extended!$B$9:$F$101,5,FALSE),IF(BA1796="121-365 Days",VLOOKUP(D1796,[3]Extended!$B$9:$G$101,6,FALSE),VLOOKUP(D1796,[3]Extended!$B$9:$H$101,7,FALSE)))),0)</f>
        <v>0</v>
      </c>
      <c r="O1796" s="269">
        <f>IFERROR(IF(BA1796="WIP - 30 Days",VLOOKUP(D1796,[3]Extended!$B$9:$J$101,9,FALSE),IF(BA1796="31-120 Days",VLOOKUP(D1796,[3]Extended!$B$9:$K$101,10,FALSE),IF(BA1796="121-365 Days",VLOOKUP(D1796,[3]Extended!$B$9:$L$101,11,FALSE),VLOOKUP(D1796,[3]Extended!$B$9:$M$101,12,FALSE)))),0)</f>
        <v>0</v>
      </c>
      <c r="P1796" s="116" t="e">
        <f t="shared" si="136"/>
        <v>#VALUE!</v>
      </c>
      <c r="Q1796" s="110" t="e">
        <f>O1796-#REF!</f>
        <v>#REF!</v>
      </c>
      <c r="AT1796" s="88" t="str">
        <f t="shared" si="137"/>
        <v>Special Order0</v>
      </c>
      <c r="AU1796" s="89" t="str">
        <f t="shared" si="138"/>
        <v>01-1900</v>
      </c>
      <c r="BA1796" s="92" t="str">
        <f t="shared" si="139"/>
        <v/>
      </c>
    </row>
    <row r="1797" spans="2:53">
      <c r="B1797" s="60">
        <f>[2]Trucks!A1794</f>
        <v>0</v>
      </c>
      <c r="C1797" s="11">
        <f>[2]Trucks!B1794</f>
        <v>0</v>
      </c>
      <c r="D1797" s="19" t="str">
        <f>IFERROR(VLOOKUP(C1797&amp;"",'[2]Retail Price List'!$A$3:$B$103,2,FALSE),"Special Order")</f>
        <v>Special Order</v>
      </c>
      <c r="E1797" s="18">
        <f>[2]Trucks!J1794</f>
        <v>0</v>
      </c>
      <c r="F1797" s="12">
        <f>[2]Trucks!E1794</f>
        <v>0</v>
      </c>
      <c r="G1797" s="56">
        <f>[2]Trucks!K1794</f>
        <v>0</v>
      </c>
      <c r="H1797" s="46">
        <f>[2]Trucks!I1794</f>
        <v>0</v>
      </c>
      <c r="I1797" s="83" t="str">
        <f t="shared" ref="I1797:I1860" si="140">IFERROR(VLOOKUP(AU1797,$AW$5:$AY$40,3,FALSE),"")</f>
        <v/>
      </c>
      <c r="J1797" s="272" t="str">
        <f>IFERROR(VLOOKUP((D1797&amp;C1797)&amp;"",'[2]Retail Price List'!$C$4:$F$102,3,FALSE),"")</f>
        <v/>
      </c>
      <c r="K1797" s="272">
        <f>IFERROR(IF(BA1797="WIP - 30 Days",VLOOKUP(D1797,[3]Standard!$B$9:$E$101,4,FALSE),IF(BA1797="31-120 Days",VLOOKUP(D1797,[3]Standard!$B$9:$F$101,5,FALSE),IF(BA1797="121-365 Days",VLOOKUP(D1797,[3]Standard!$B$9:$G$101,6,FALSE),VLOOKUP(D1797,[3]Standard!$B$9:$H$101,7,FALSE)))),0)</f>
        <v>0</v>
      </c>
      <c r="L1797" s="272">
        <f>IFERROR(IF(BA1797="WIP - 30 Days",VLOOKUP(D1797,[3]Standard!$B$9:$J$101,9,FALSE),IF(BA1797="31-120 Days",VLOOKUP(D1797,[3]Standard!$B$9:$K$100,10,FALSE),IF(BA1797="121-365 Days",VLOOKUP(D1797,[3]Standard!$B$9:$L$101,11,FALSE),VLOOKUP(D1797,[3]Standard!$B$9:$M$101,12,FALSE)))),0)</f>
        <v>0</v>
      </c>
      <c r="M1797" s="269" t="str">
        <f>IFERROR(VLOOKUP((D1797&amp;C1797)&amp;"",'[2]Retail Price List'!$C$4:$F$102,4,FALSE),"")</f>
        <v/>
      </c>
      <c r="N1797" s="269">
        <f>IFERROR(IF(BA1797="WIP - 30 Days",VLOOKUP(D1797,[3]Extended!$B$9:$E$101,4,FALSE),IF(BA1797="31-120 Days",VLOOKUP(D1797,[3]Extended!$B$9:$F$101,5,FALSE),IF(BA1797="121-365 Days",VLOOKUP(D1797,[3]Extended!$B$9:$G$101,6,FALSE),VLOOKUP(D1797,[3]Extended!$B$9:$H$101,7,FALSE)))),0)</f>
        <v>0</v>
      </c>
      <c r="O1797" s="269">
        <f>IFERROR(IF(BA1797="WIP - 30 Days",VLOOKUP(D1797,[3]Extended!$B$9:$J$101,9,FALSE),IF(BA1797="31-120 Days",VLOOKUP(D1797,[3]Extended!$B$9:$K$101,10,FALSE),IF(BA1797="121-365 Days",VLOOKUP(D1797,[3]Extended!$B$9:$L$101,11,FALSE),VLOOKUP(D1797,[3]Extended!$B$9:$M$101,12,FALSE)))),0)</f>
        <v>0</v>
      </c>
      <c r="P1797" s="116" t="e">
        <f t="shared" ref="P1797:P1860" si="141">(M1797-O1797)/M1797</f>
        <v>#VALUE!</v>
      </c>
      <c r="Q1797" s="110" t="e">
        <f>O1797-#REF!</f>
        <v>#REF!</v>
      </c>
      <c r="AT1797" s="88" t="str">
        <f t="shared" ref="AT1797:AT1860" si="142">D1797&amp;I1797&amp;G1797</f>
        <v>Special Order0</v>
      </c>
      <c r="AU1797" s="89" t="str">
        <f t="shared" ref="AU1797:AU1860" si="143">IF(MONTH(H1797)&lt;10,0&amp;MONTH(H1797)&amp;"-"&amp;YEAR(H1797),MONTH(H1797)&amp;"-"&amp;YEAR(H1797))</f>
        <v>01-1900</v>
      </c>
      <c r="BA1797" s="92" t="str">
        <f t="shared" ref="BA1797:BA1860" si="144">IF(B1797=0,"",IF(AND(F1797&gt;=31,F1797&lt;=120),"31-120 Days",IF(AND(F1797&gt;=121,F1797&lt;=365),"121-365 Days",IF(OR(E1797="CKD",F1797&lt;=30),"WIP - 30 Days","&gt;365 Days"))))</f>
        <v/>
      </c>
    </row>
    <row r="1798" spans="2:53">
      <c r="B1798" s="60">
        <f>[2]Trucks!A1795</f>
        <v>0</v>
      </c>
      <c r="C1798" s="11">
        <f>[2]Trucks!B1795</f>
        <v>0</v>
      </c>
      <c r="D1798" s="19" t="str">
        <f>IFERROR(VLOOKUP(C1798&amp;"",'[2]Retail Price List'!$A$3:$B$103,2,FALSE),"Special Order")</f>
        <v>Special Order</v>
      </c>
      <c r="E1798" s="18">
        <f>[2]Trucks!J1795</f>
        <v>0</v>
      </c>
      <c r="F1798" s="12">
        <f>[2]Trucks!E1795</f>
        <v>0</v>
      </c>
      <c r="G1798" s="56">
        <f>[2]Trucks!K1795</f>
        <v>0</v>
      </c>
      <c r="H1798" s="46">
        <f>[2]Trucks!I1795</f>
        <v>0</v>
      </c>
      <c r="I1798" s="83" t="str">
        <f t="shared" si="140"/>
        <v/>
      </c>
      <c r="J1798" s="272" t="str">
        <f>IFERROR(VLOOKUP((D1798&amp;C1798)&amp;"",'[2]Retail Price List'!$C$4:$F$102,3,FALSE),"")</f>
        <v/>
      </c>
      <c r="K1798" s="272">
        <f>IFERROR(IF(BA1798="WIP - 30 Days",VLOOKUP(D1798,[3]Standard!$B$9:$E$101,4,FALSE),IF(BA1798="31-120 Days",VLOOKUP(D1798,[3]Standard!$B$9:$F$101,5,FALSE),IF(BA1798="121-365 Days",VLOOKUP(D1798,[3]Standard!$B$9:$G$101,6,FALSE),VLOOKUP(D1798,[3]Standard!$B$9:$H$101,7,FALSE)))),0)</f>
        <v>0</v>
      </c>
      <c r="L1798" s="272">
        <f>IFERROR(IF(BA1798="WIP - 30 Days",VLOOKUP(D1798,[3]Standard!$B$9:$J$101,9,FALSE),IF(BA1798="31-120 Days",VLOOKUP(D1798,[3]Standard!$B$9:$K$100,10,FALSE),IF(BA1798="121-365 Days",VLOOKUP(D1798,[3]Standard!$B$9:$L$101,11,FALSE),VLOOKUP(D1798,[3]Standard!$B$9:$M$101,12,FALSE)))),0)</f>
        <v>0</v>
      </c>
      <c r="M1798" s="269" t="str">
        <f>IFERROR(VLOOKUP((D1798&amp;C1798)&amp;"",'[2]Retail Price List'!$C$4:$F$102,4,FALSE),"")</f>
        <v/>
      </c>
      <c r="N1798" s="269">
        <f>IFERROR(IF(BA1798="WIP - 30 Days",VLOOKUP(D1798,[3]Extended!$B$9:$E$101,4,FALSE),IF(BA1798="31-120 Days",VLOOKUP(D1798,[3]Extended!$B$9:$F$101,5,FALSE),IF(BA1798="121-365 Days",VLOOKUP(D1798,[3]Extended!$B$9:$G$101,6,FALSE),VLOOKUP(D1798,[3]Extended!$B$9:$H$101,7,FALSE)))),0)</f>
        <v>0</v>
      </c>
      <c r="O1798" s="269">
        <f>IFERROR(IF(BA1798="WIP - 30 Days",VLOOKUP(D1798,[3]Extended!$B$9:$J$101,9,FALSE),IF(BA1798="31-120 Days",VLOOKUP(D1798,[3]Extended!$B$9:$K$101,10,FALSE),IF(BA1798="121-365 Days",VLOOKUP(D1798,[3]Extended!$B$9:$L$101,11,FALSE),VLOOKUP(D1798,[3]Extended!$B$9:$M$101,12,FALSE)))),0)</f>
        <v>0</v>
      </c>
      <c r="P1798" s="116" t="e">
        <f t="shared" si="141"/>
        <v>#VALUE!</v>
      </c>
      <c r="Q1798" s="110" t="e">
        <f>O1798-#REF!</f>
        <v>#REF!</v>
      </c>
      <c r="AT1798" s="88" t="str">
        <f t="shared" si="142"/>
        <v>Special Order0</v>
      </c>
      <c r="AU1798" s="89" t="str">
        <f t="shared" si="143"/>
        <v>01-1900</v>
      </c>
      <c r="BA1798" s="92" t="str">
        <f t="shared" si="144"/>
        <v/>
      </c>
    </row>
    <row r="1799" spans="2:53">
      <c r="B1799" s="60">
        <f>[2]Trucks!A1796</f>
        <v>0</v>
      </c>
      <c r="C1799" s="11">
        <f>[2]Trucks!B1796</f>
        <v>0</v>
      </c>
      <c r="D1799" s="19" t="str">
        <f>IFERROR(VLOOKUP(C1799&amp;"",'[2]Retail Price List'!$A$3:$B$103,2,FALSE),"Special Order")</f>
        <v>Special Order</v>
      </c>
      <c r="E1799" s="18">
        <f>[2]Trucks!J1796</f>
        <v>0</v>
      </c>
      <c r="F1799" s="12">
        <f>[2]Trucks!E1796</f>
        <v>0</v>
      </c>
      <c r="G1799" s="56">
        <f>[2]Trucks!K1796</f>
        <v>0</v>
      </c>
      <c r="H1799" s="46">
        <f>[2]Trucks!I1796</f>
        <v>0</v>
      </c>
      <c r="I1799" s="83" t="str">
        <f t="shared" si="140"/>
        <v/>
      </c>
      <c r="J1799" s="272" t="str">
        <f>IFERROR(VLOOKUP((D1799&amp;C1799)&amp;"",'[2]Retail Price List'!$C$4:$F$102,3,FALSE),"")</f>
        <v/>
      </c>
      <c r="K1799" s="272">
        <f>IFERROR(IF(BA1799="WIP - 30 Days",VLOOKUP(D1799,[3]Standard!$B$9:$E$101,4,FALSE),IF(BA1799="31-120 Days",VLOOKUP(D1799,[3]Standard!$B$9:$F$101,5,FALSE),IF(BA1799="121-365 Days",VLOOKUP(D1799,[3]Standard!$B$9:$G$101,6,FALSE),VLOOKUP(D1799,[3]Standard!$B$9:$H$101,7,FALSE)))),0)</f>
        <v>0</v>
      </c>
      <c r="L1799" s="272">
        <f>IFERROR(IF(BA1799="WIP - 30 Days",VLOOKUP(D1799,[3]Standard!$B$9:$J$101,9,FALSE),IF(BA1799="31-120 Days",VLOOKUP(D1799,[3]Standard!$B$9:$K$100,10,FALSE),IF(BA1799="121-365 Days",VLOOKUP(D1799,[3]Standard!$B$9:$L$101,11,FALSE),VLOOKUP(D1799,[3]Standard!$B$9:$M$101,12,FALSE)))),0)</f>
        <v>0</v>
      </c>
      <c r="M1799" s="269" t="str">
        <f>IFERROR(VLOOKUP((D1799&amp;C1799)&amp;"",'[2]Retail Price List'!$C$4:$F$102,4,FALSE),"")</f>
        <v/>
      </c>
      <c r="N1799" s="269">
        <f>IFERROR(IF(BA1799="WIP - 30 Days",VLOOKUP(D1799,[3]Extended!$B$9:$E$101,4,FALSE),IF(BA1799="31-120 Days",VLOOKUP(D1799,[3]Extended!$B$9:$F$101,5,FALSE),IF(BA1799="121-365 Days",VLOOKUP(D1799,[3]Extended!$B$9:$G$101,6,FALSE),VLOOKUP(D1799,[3]Extended!$B$9:$H$101,7,FALSE)))),0)</f>
        <v>0</v>
      </c>
      <c r="O1799" s="269">
        <f>IFERROR(IF(BA1799="WIP - 30 Days",VLOOKUP(D1799,[3]Extended!$B$9:$J$101,9,FALSE),IF(BA1799="31-120 Days",VLOOKUP(D1799,[3]Extended!$B$9:$K$101,10,FALSE),IF(BA1799="121-365 Days",VLOOKUP(D1799,[3]Extended!$B$9:$L$101,11,FALSE),VLOOKUP(D1799,[3]Extended!$B$9:$M$101,12,FALSE)))),0)</f>
        <v>0</v>
      </c>
      <c r="P1799" s="116" t="e">
        <f t="shared" si="141"/>
        <v>#VALUE!</v>
      </c>
      <c r="Q1799" s="110" t="e">
        <f>O1799-#REF!</f>
        <v>#REF!</v>
      </c>
      <c r="AT1799" s="88" t="str">
        <f t="shared" si="142"/>
        <v>Special Order0</v>
      </c>
      <c r="AU1799" s="89" t="str">
        <f t="shared" si="143"/>
        <v>01-1900</v>
      </c>
      <c r="BA1799" s="92" t="str">
        <f t="shared" si="144"/>
        <v/>
      </c>
    </row>
    <row r="1800" spans="2:53">
      <c r="B1800" s="60">
        <f>[2]Trucks!A1797</f>
        <v>0</v>
      </c>
      <c r="C1800" s="11">
        <f>[2]Trucks!B1797</f>
        <v>0</v>
      </c>
      <c r="D1800" s="19" t="str">
        <f>IFERROR(VLOOKUP(C1800&amp;"",'[2]Retail Price List'!$A$3:$B$103,2,FALSE),"Special Order")</f>
        <v>Special Order</v>
      </c>
      <c r="E1800" s="18">
        <f>[2]Trucks!J1797</f>
        <v>0</v>
      </c>
      <c r="F1800" s="12">
        <f>[2]Trucks!E1797</f>
        <v>0</v>
      </c>
      <c r="G1800" s="56">
        <f>[2]Trucks!K1797</f>
        <v>0</v>
      </c>
      <c r="H1800" s="46">
        <f>[2]Trucks!I1797</f>
        <v>0</v>
      </c>
      <c r="I1800" s="83" t="str">
        <f t="shared" si="140"/>
        <v/>
      </c>
      <c r="J1800" s="272" t="str">
        <f>IFERROR(VLOOKUP((D1800&amp;C1800)&amp;"",'[2]Retail Price List'!$C$4:$F$102,3,FALSE),"")</f>
        <v/>
      </c>
      <c r="K1800" s="272">
        <f>IFERROR(IF(BA1800="WIP - 30 Days",VLOOKUP(D1800,[3]Standard!$B$9:$E$101,4,FALSE),IF(BA1800="31-120 Days",VLOOKUP(D1800,[3]Standard!$B$9:$F$101,5,FALSE),IF(BA1800="121-365 Days",VLOOKUP(D1800,[3]Standard!$B$9:$G$101,6,FALSE),VLOOKUP(D1800,[3]Standard!$B$9:$H$101,7,FALSE)))),0)</f>
        <v>0</v>
      </c>
      <c r="L1800" s="272">
        <f>IFERROR(IF(BA1800="WIP - 30 Days",VLOOKUP(D1800,[3]Standard!$B$9:$J$101,9,FALSE),IF(BA1800="31-120 Days",VLOOKUP(D1800,[3]Standard!$B$9:$K$100,10,FALSE),IF(BA1800="121-365 Days",VLOOKUP(D1800,[3]Standard!$B$9:$L$101,11,FALSE),VLOOKUP(D1800,[3]Standard!$B$9:$M$101,12,FALSE)))),0)</f>
        <v>0</v>
      </c>
      <c r="M1800" s="269" t="str">
        <f>IFERROR(VLOOKUP((D1800&amp;C1800)&amp;"",'[2]Retail Price List'!$C$4:$F$102,4,FALSE),"")</f>
        <v/>
      </c>
      <c r="N1800" s="269">
        <f>IFERROR(IF(BA1800="WIP - 30 Days",VLOOKUP(D1800,[3]Extended!$B$9:$E$101,4,FALSE),IF(BA1800="31-120 Days",VLOOKUP(D1800,[3]Extended!$B$9:$F$101,5,FALSE),IF(BA1800="121-365 Days",VLOOKUP(D1800,[3]Extended!$B$9:$G$101,6,FALSE),VLOOKUP(D1800,[3]Extended!$B$9:$H$101,7,FALSE)))),0)</f>
        <v>0</v>
      </c>
      <c r="O1800" s="269">
        <f>IFERROR(IF(BA1800="WIP - 30 Days",VLOOKUP(D1800,[3]Extended!$B$9:$J$101,9,FALSE),IF(BA1800="31-120 Days",VLOOKUP(D1800,[3]Extended!$B$9:$K$101,10,FALSE),IF(BA1800="121-365 Days",VLOOKUP(D1800,[3]Extended!$B$9:$L$101,11,FALSE),VLOOKUP(D1800,[3]Extended!$B$9:$M$101,12,FALSE)))),0)</f>
        <v>0</v>
      </c>
      <c r="P1800" s="116" t="e">
        <f t="shared" si="141"/>
        <v>#VALUE!</v>
      </c>
      <c r="Q1800" s="110" t="e">
        <f>O1800-#REF!</f>
        <v>#REF!</v>
      </c>
      <c r="AT1800" s="88" t="str">
        <f t="shared" si="142"/>
        <v>Special Order0</v>
      </c>
      <c r="AU1800" s="89" t="str">
        <f t="shared" si="143"/>
        <v>01-1900</v>
      </c>
      <c r="BA1800" s="92" t="str">
        <f t="shared" si="144"/>
        <v/>
      </c>
    </row>
    <row r="1801" spans="2:53">
      <c r="B1801" s="60">
        <f>[2]Trucks!A1798</f>
        <v>0</v>
      </c>
      <c r="C1801" s="11">
        <f>[2]Trucks!B1798</f>
        <v>0</v>
      </c>
      <c r="D1801" s="19" t="str">
        <f>IFERROR(VLOOKUP(C1801&amp;"",'[2]Retail Price List'!$A$3:$B$103,2,FALSE),"Special Order")</f>
        <v>Special Order</v>
      </c>
      <c r="E1801" s="18">
        <f>[2]Trucks!J1798</f>
        <v>0</v>
      </c>
      <c r="F1801" s="12">
        <f>[2]Trucks!E1798</f>
        <v>0</v>
      </c>
      <c r="G1801" s="56">
        <f>[2]Trucks!K1798</f>
        <v>0</v>
      </c>
      <c r="H1801" s="46">
        <f>[2]Trucks!I1798</f>
        <v>0</v>
      </c>
      <c r="I1801" s="83" t="str">
        <f t="shared" si="140"/>
        <v/>
      </c>
      <c r="J1801" s="272" t="str">
        <f>IFERROR(VLOOKUP((D1801&amp;C1801)&amp;"",'[2]Retail Price List'!$C$4:$F$102,3,FALSE),"")</f>
        <v/>
      </c>
      <c r="K1801" s="272">
        <f>IFERROR(IF(BA1801="WIP - 30 Days",VLOOKUP(D1801,[3]Standard!$B$9:$E$101,4,FALSE),IF(BA1801="31-120 Days",VLOOKUP(D1801,[3]Standard!$B$9:$F$101,5,FALSE),IF(BA1801="121-365 Days",VLOOKUP(D1801,[3]Standard!$B$9:$G$101,6,FALSE),VLOOKUP(D1801,[3]Standard!$B$9:$H$101,7,FALSE)))),0)</f>
        <v>0</v>
      </c>
      <c r="L1801" s="272">
        <f>IFERROR(IF(BA1801="WIP - 30 Days",VLOOKUP(D1801,[3]Standard!$B$9:$J$101,9,FALSE),IF(BA1801="31-120 Days",VLOOKUP(D1801,[3]Standard!$B$9:$K$100,10,FALSE),IF(BA1801="121-365 Days",VLOOKUP(D1801,[3]Standard!$B$9:$L$101,11,FALSE),VLOOKUP(D1801,[3]Standard!$B$9:$M$101,12,FALSE)))),0)</f>
        <v>0</v>
      </c>
      <c r="M1801" s="269" t="str">
        <f>IFERROR(VLOOKUP((D1801&amp;C1801)&amp;"",'[2]Retail Price List'!$C$4:$F$102,4,FALSE),"")</f>
        <v/>
      </c>
      <c r="N1801" s="269">
        <f>IFERROR(IF(BA1801="WIP - 30 Days",VLOOKUP(D1801,[3]Extended!$B$9:$E$101,4,FALSE),IF(BA1801="31-120 Days",VLOOKUP(D1801,[3]Extended!$B$9:$F$101,5,FALSE),IF(BA1801="121-365 Days",VLOOKUP(D1801,[3]Extended!$B$9:$G$101,6,FALSE),VLOOKUP(D1801,[3]Extended!$B$9:$H$101,7,FALSE)))),0)</f>
        <v>0</v>
      </c>
      <c r="O1801" s="269">
        <f>IFERROR(IF(BA1801="WIP - 30 Days",VLOOKUP(D1801,[3]Extended!$B$9:$J$101,9,FALSE),IF(BA1801="31-120 Days",VLOOKUP(D1801,[3]Extended!$B$9:$K$101,10,FALSE),IF(BA1801="121-365 Days",VLOOKUP(D1801,[3]Extended!$B$9:$L$101,11,FALSE),VLOOKUP(D1801,[3]Extended!$B$9:$M$101,12,FALSE)))),0)</f>
        <v>0</v>
      </c>
      <c r="P1801" s="116" t="e">
        <f t="shared" si="141"/>
        <v>#VALUE!</v>
      </c>
      <c r="Q1801" s="110" t="e">
        <f>O1801-#REF!</f>
        <v>#REF!</v>
      </c>
      <c r="AT1801" s="88" t="str">
        <f t="shared" si="142"/>
        <v>Special Order0</v>
      </c>
      <c r="AU1801" s="89" t="str">
        <f t="shared" si="143"/>
        <v>01-1900</v>
      </c>
      <c r="BA1801" s="92" t="str">
        <f t="shared" si="144"/>
        <v/>
      </c>
    </row>
    <row r="1802" spans="2:53">
      <c r="B1802" s="60">
        <f>[2]Trucks!A1799</f>
        <v>0</v>
      </c>
      <c r="C1802" s="11">
        <f>[2]Trucks!B1799</f>
        <v>0</v>
      </c>
      <c r="D1802" s="19" t="str">
        <f>IFERROR(VLOOKUP(C1802&amp;"",'[2]Retail Price List'!$A$3:$B$103,2,FALSE),"Special Order")</f>
        <v>Special Order</v>
      </c>
      <c r="E1802" s="18">
        <f>[2]Trucks!J1799</f>
        <v>0</v>
      </c>
      <c r="F1802" s="12">
        <f>[2]Trucks!E1799</f>
        <v>0</v>
      </c>
      <c r="G1802" s="56">
        <f>[2]Trucks!K1799</f>
        <v>0</v>
      </c>
      <c r="H1802" s="46">
        <f>[2]Trucks!I1799</f>
        <v>0</v>
      </c>
      <c r="I1802" s="83" t="str">
        <f t="shared" si="140"/>
        <v/>
      </c>
      <c r="J1802" s="272" t="str">
        <f>IFERROR(VLOOKUP((D1802&amp;C1802)&amp;"",'[2]Retail Price List'!$C$4:$F$102,3,FALSE),"")</f>
        <v/>
      </c>
      <c r="K1802" s="272">
        <f>IFERROR(IF(BA1802="WIP - 30 Days",VLOOKUP(D1802,[3]Standard!$B$9:$E$101,4,FALSE),IF(BA1802="31-120 Days",VLOOKUP(D1802,[3]Standard!$B$9:$F$101,5,FALSE),IF(BA1802="121-365 Days",VLOOKUP(D1802,[3]Standard!$B$9:$G$101,6,FALSE),VLOOKUP(D1802,[3]Standard!$B$9:$H$101,7,FALSE)))),0)</f>
        <v>0</v>
      </c>
      <c r="L1802" s="272">
        <f>IFERROR(IF(BA1802="WIP - 30 Days",VLOOKUP(D1802,[3]Standard!$B$9:$J$101,9,FALSE),IF(BA1802="31-120 Days",VLOOKUP(D1802,[3]Standard!$B$9:$K$100,10,FALSE),IF(BA1802="121-365 Days",VLOOKUP(D1802,[3]Standard!$B$9:$L$101,11,FALSE),VLOOKUP(D1802,[3]Standard!$B$9:$M$101,12,FALSE)))),0)</f>
        <v>0</v>
      </c>
      <c r="M1802" s="269" t="str">
        <f>IFERROR(VLOOKUP((D1802&amp;C1802)&amp;"",'[2]Retail Price List'!$C$4:$F$102,4,FALSE),"")</f>
        <v/>
      </c>
      <c r="N1802" s="269">
        <f>IFERROR(IF(BA1802="WIP - 30 Days",VLOOKUP(D1802,[3]Extended!$B$9:$E$101,4,FALSE),IF(BA1802="31-120 Days",VLOOKUP(D1802,[3]Extended!$B$9:$F$101,5,FALSE),IF(BA1802="121-365 Days",VLOOKUP(D1802,[3]Extended!$B$9:$G$101,6,FALSE),VLOOKUP(D1802,[3]Extended!$B$9:$H$101,7,FALSE)))),0)</f>
        <v>0</v>
      </c>
      <c r="O1802" s="269">
        <f>IFERROR(IF(BA1802="WIP - 30 Days",VLOOKUP(D1802,[3]Extended!$B$9:$J$101,9,FALSE),IF(BA1802="31-120 Days",VLOOKUP(D1802,[3]Extended!$B$9:$K$101,10,FALSE),IF(BA1802="121-365 Days",VLOOKUP(D1802,[3]Extended!$B$9:$L$101,11,FALSE),VLOOKUP(D1802,[3]Extended!$B$9:$M$101,12,FALSE)))),0)</f>
        <v>0</v>
      </c>
      <c r="P1802" s="116" t="e">
        <f t="shared" si="141"/>
        <v>#VALUE!</v>
      </c>
      <c r="Q1802" s="110" t="e">
        <f>O1802-#REF!</f>
        <v>#REF!</v>
      </c>
      <c r="AT1802" s="88" t="str">
        <f t="shared" si="142"/>
        <v>Special Order0</v>
      </c>
      <c r="AU1802" s="89" t="str">
        <f t="shared" si="143"/>
        <v>01-1900</v>
      </c>
      <c r="BA1802" s="92" t="str">
        <f t="shared" si="144"/>
        <v/>
      </c>
    </row>
    <row r="1803" spans="2:53">
      <c r="B1803" s="60">
        <f>[2]Trucks!A1800</f>
        <v>0</v>
      </c>
      <c r="C1803" s="11">
        <f>[2]Trucks!B1800</f>
        <v>0</v>
      </c>
      <c r="D1803" s="19" t="str">
        <f>IFERROR(VLOOKUP(C1803&amp;"",'[2]Retail Price List'!$A$3:$B$103,2,FALSE),"Special Order")</f>
        <v>Special Order</v>
      </c>
      <c r="E1803" s="18">
        <f>[2]Trucks!J1800</f>
        <v>0</v>
      </c>
      <c r="F1803" s="12">
        <f>[2]Trucks!E1800</f>
        <v>0</v>
      </c>
      <c r="G1803" s="56">
        <f>[2]Trucks!K1800</f>
        <v>0</v>
      </c>
      <c r="H1803" s="46">
        <f>[2]Trucks!I1800</f>
        <v>0</v>
      </c>
      <c r="I1803" s="83" t="str">
        <f t="shared" si="140"/>
        <v/>
      </c>
      <c r="J1803" s="272" t="str">
        <f>IFERROR(VLOOKUP((D1803&amp;C1803)&amp;"",'[2]Retail Price List'!$C$4:$F$102,3,FALSE),"")</f>
        <v/>
      </c>
      <c r="K1803" s="272">
        <f>IFERROR(IF(BA1803="WIP - 30 Days",VLOOKUP(D1803,[3]Standard!$B$9:$E$101,4,FALSE),IF(BA1803="31-120 Days",VLOOKUP(D1803,[3]Standard!$B$9:$F$101,5,FALSE),IF(BA1803="121-365 Days",VLOOKUP(D1803,[3]Standard!$B$9:$G$101,6,FALSE),VLOOKUP(D1803,[3]Standard!$B$9:$H$101,7,FALSE)))),0)</f>
        <v>0</v>
      </c>
      <c r="L1803" s="272">
        <f>IFERROR(IF(BA1803="WIP - 30 Days",VLOOKUP(D1803,[3]Standard!$B$9:$J$101,9,FALSE),IF(BA1803="31-120 Days",VLOOKUP(D1803,[3]Standard!$B$9:$K$100,10,FALSE),IF(BA1803="121-365 Days",VLOOKUP(D1803,[3]Standard!$B$9:$L$101,11,FALSE),VLOOKUP(D1803,[3]Standard!$B$9:$M$101,12,FALSE)))),0)</f>
        <v>0</v>
      </c>
      <c r="M1803" s="269" t="str">
        <f>IFERROR(VLOOKUP((D1803&amp;C1803)&amp;"",'[2]Retail Price List'!$C$4:$F$102,4,FALSE),"")</f>
        <v/>
      </c>
      <c r="N1803" s="269">
        <f>IFERROR(IF(BA1803="WIP - 30 Days",VLOOKUP(D1803,[3]Extended!$B$9:$E$101,4,FALSE),IF(BA1803="31-120 Days",VLOOKUP(D1803,[3]Extended!$B$9:$F$101,5,FALSE),IF(BA1803="121-365 Days",VLOOKUP(D1803,[3]Extended!$B$9:$G$101,6,FALSE),VLOOKUP(D1803,[3]Extended!$B$9:$H$101,7,FALSE)))),0)</f>
        <v>0</v>
      </c>
      <c r="O1803" s="269">
        <f>IFERROR(IF(BA1803="WIP - 30 Days",VLOOKUP(D1803,[3]Extended!$B$9:$J$101,9,FALSE),IF(BA1803="31-120 Days",VLOOKUP(D1803,[3]Extended!$B$9:$K$101,10,FALSE),IF(BA1803="121-365 Days",VLOOKUP(D1803,[3]Extended!$B$9:$L$101,11,FALSE),VLOOKUP(D1803,[3]Extended!$B$9:$M$101,12,FALSE)))),0)</f>
        <v>0</v>
      </c>
      <c r="P1803" s="116" t="e">
        <f t="shared" si="141"/>
        <v>#VALUE!</v>
      </c>
      <c r="Q1803" s="110" t="e">
        <f>O1803-#REF!</f>
        <v>#REF!</v>
      </c>
      <c r="AT1803" s="88" t="str">
        <f t="shared" si="142"/>
        <v>Special Order0</v>
      </c>
      <c r="AU1803" s="89" t="str">
        <f t="shared" si="143"/>
        <v>01-1900</v>
      </c>
      <c r="BA1803" s="92" t="str">
        <f t="shared" si="144"/>
        <v/>
      </c>
    </row>
    <row r="1804" spans="2:53">
      <c r="B1804" s="60">
        <f>[2]Trucks!A1801</f>
        <v>0</v>
      </c>
      <c r="C1804" s="11">
        <f>[2]Trucks!B1801</f>
        <v>0</v>
      </c>
      <c r="D1804" s="19" t="str">
        <f>IFERROR(VLOOKUP(C1804&amp;"",'[2]Retail Price List'!$A$3:$B$103,2,FALSE),"Special Order")</f>
        <v>Special Order</v>
      </c>
      <c r="E1804" s="18">
        <f>[2]Trucks!J1801</f>
        <v>0</v>
      </c>
      <c r="F1804" s="12">
        <f>[2]Trucks!E1801</f>
        <v>0</v>
      </c>
      <c r="G1804" s="56">
        <f>[2]Trucks!K1801</f>
        <v>0</v>
      </c>
      <c r="H1804" s="46">
        <f>[2]Trucks!I1801</f>
        <v>0</v>
      </c>
      <c r="I1804" s="83" t="str">
        <f t="shared" si="140"/>
        <v/>
      </c>
      <c r="J1804" s="272" t="str">
        <f>IFERROR(VLOOKUP((D1804&amp;C1804)&amp;"",'[2]Retail Price List'!$C$4:$F$102,3,FALSE),"")</f>
        <v/>
      </c>
      <c r="K1804" s="272">
        <f>IFERROR(IF(BA1804="WIP - 30 Days",VLOOKUP(D1804,[3]Standard!$B$9:$E$101,4,FALSE),IF(BA1804="31-120 Days",VLOOKUP(D1804,[3]Standard!$B$9:$F$101,5,FALSE),IF(BA1804="121-365 Days",VLOOKUP(D1804,[3]Standard!$B$9:$G$101,6,FALSE),VLOOKUP(D1804,[3]Standard!$B$9:$H$101,7,FALSE)))),0)</f>
        <v>0</v>
      </c>
      <c r="L1804" s="272">
        <f>IFERROR(IF(BA1804="WIP - 30 Days",VLOOKUP(D1804,[3]Standard!$B$9:$J$101,9,FALSE),IF(BA1804="31-120 Days",VLOOKUP(D1804,[3]Standard!$B$9:$K$100,10,FALSE),IF(BA1804="121-365 Days",VLOOKUP(D1804,[3]Standard!$B$9:$L$101,11,FALSE),VLOOKUP(D1804,[3]Standard!$B$9:$M$101,12,FALSE)))),0)</f>
        <v>0</v>
      </c>
      <c r="M1804" s="269" t="str">
        <f>IFERROR(VLOOKUP((D1804&amp;C1804)&amp;"",'[2]Retail Price List'!$C$4:$F$102,4,FALSE),"")</f>
        <v/>
      </c>
      <c r="N1804" s="269">
        <f>IFERROR(IF(BA1804="WIP - 30 Days",VLOOKUP(D1804,[3]Extended!$B$9:$E$101,4,FALSE),IF(BA1804="31-120 Days",VLOOKUP(D1804,[3]Extended!$B$9:$F$101,5,FALSE),IF(BA1804="121-365 Days",VLOOKUP(D1804,[3]Extended!$B$9:$G$101,6,FALSE),VLOOKUP(D1804,[3]Extended!$B$9:$H$101,7,FALSE)))),0)</f>
        <v>0</v>
      </c>
      <c r="O1804" s="269">
        <f>IFERROR(IF(BA1804="WIP - 30 Days",VLOOKUP(D1804,[3]Extended!$B$9:$J$101,9,FALSE),IF(BA1804="31-120 Days",VLOOKUP(D1804,[3]Extended!$B$9:$K$101,10,FALSE),IF(BA1804="121-365 Days",VLOOKUP(D1804,[3]Extended!$B$9:$L$101,11,FALSE),VLOOKUP(D1804,[3]Extended!$B$9:$M$101,12,FALSE)))),0)</f>
        <v>0</v>
      </c>
      <c r="P1804" s="116" t="e">
        <f t="shared" si="141"/>
        <v>#VALUE!</v>
      </c>
      <c r="Q1804" s="110" t="e">
        <f>O1804-#REF!</f>
        <v>#REF!</v>
      </c>
      <c r="AT1804" s="88" t="str">
        <f t="shared" si="142"/>
        <v>Special Order0</v>
      </c>
      <c r="AU1804" s="89" t="str">
        <f t="shared" si="143"/>
        <v>01-1900</v>
      </c>
      <c r="BA1804" s="92" t="str">
        <f t="shared" si="144"/>
        <v/>
      </c>
    </row>
    <row r="1805" spans="2:53">
      <c r="B1805" s="60">
        <f>[2]Trucks!A1802</f>
        <v>0</v>
      </c>
      <c r="C1805" s="11">
        <f>[2]Trucks!B1802</f>
        <v>0</v>
      </c>
      <c r="D1805" s="19" t="str">
        <f>IFERROR(VLOOKUP(C1805&amp;"",'[2]Retail Price List'!$A$3:$B$103,2,FALSE),"Special Order")</f>
        <v>Special Order</v>
      </c>
      <c r="E1805" s="18">
        <f>[2]Trucks!J1802</f>
        <v>0</v>
      </c>
      <c r="F1805" s="12">
        <f>[2]Trucks!E1802</f>
        <v>0</v>
      </c>
      <c r="G1805" s="56">
        <f>[2]Trucks!K1802</f>
        <v>0</v>
      </c>
      <c r="H1805" s="46">
        <f>[2]Trucks!I1802</f>
        <v>0</v>
      </c>
      <c r="I1805" s="83" t="str">
        <f t="shared" si="140"/>
        <v/>
      </c>
      <c r="J1805" s="272" t="str">
        <f>IFERROR(VLOOKUP((D1805&amp;C1805)&amp;"",'[2]Retail Price List'!$C$4:$F$102,3,FALSE),"")</f>
        <v/>
      </c>
      <c r="K1805" s="272">
        <f>IFERROR(IF(BA1805="WIP - 30 Days",VLOOKUP(D1805,[3]Standard!$B$9:$E$101,4,FALSE),IF(BA1805="31-120 Days",VLOOKUP(D1805,[3]Standard!$B$9:$F$101,5,FALSE),IF(BA1805="121-365 Days",VLOOKUP(D1805,[3]Standard!$B$9:$G$101,6,FALSE),VLOOKUP(D1805,[3]Standard!$B$9:$H$101,7,FALSE)))),0)</f>
        <v>0</v>
      </c>
      <c r="L1805" s="272">
        <f>IFERROR(IF(BA1805="WIP - 30 Days",VLOOKUP(D1805,[3]Standard!$B$9:$J$101,9,FALSE),IF(BA1805="31-120 Days",VLOOKUP(D1805,[3]Standard!$B$9:$K$100,10,FALSE),IF(BA1805="121-365 Days",VLOOKUP(D1805,[3]Standard!$B$9:$L$101,11,FALSE),VLOOKUP(D1805,[3]Standard!$B$9:$M$101,12,FALSE)))),0)</f>
        <v>0</v>
      </c>
      <c r="M1805" s="269" t="str">
        <f>IFERROR(VLOOKUP((D1805&amp;C1805)&amp;"",'[2]Retail Price List'!$C$4:$F$102,4,FALSE),"")</f>
        <v/>
      </c>
      <c r="N1805" s="269">
        <f>IFERROR(IF(BA1805="WIP - 30 Days",VLOOKUP(D1805,[3]Extended!$B$9:$E$101,4,FALSE),IF(BA1805="31-120 Days",VLOOKUP(D1805,[3]Extended!$B$9:$F$101,5,FALSE),IF(BA1805="121-365 Days",VLOOKUP(D1805,[3]Extended!$B$9:$G$101,6,FALSE),VLOOKUP(D1805,[3]Extended!$B$9:$H$101,7,FALSE)))),0)</f>
        <v>0</v>
      </c>
      <c r="O1805" s="269">
        <f>IFERROR(IF(BA1805="WIP - 30 Days",VLOOKUP(D1805,[3]Extended!$B$9:$J$101,9,FALSE),IF(BA1805="31-120 Days",VLOOKUP(D1805,[3]Extended!$B$9:$K$101,10,FALSE),IF(BA1805="121-365 Days",VLOOKUP(D1805,[3]Extended!$B$9:$L$101,11,FALSE),VLOOKUP(D1805,[3]Extended!$B$9:$M$101,12,FALSE)))),0)</f>
        <v>0</v>
      </c>
      <c r="P1805" s="116" t="e">
        <f t="shared" si="141"/>
        <v>#VALUE!</v>
      </c>
      <c r="Q1805" s="110" t="e">
        <f>O1805-#REF!</f>
        <v>#REF!</v>
      </c>
      <c r="AT1805" s="88" t="str">
        <f t="shared" si="142"/>
        <v>Special Order0</v>
      </c>
      <c r="AU1805" s="89" t="str">
        <f t="shared" si="143"/>
        <v>01-1900</v>
      </c>
      <c r="BA1805" s="92" t="str">
        <f t="shared" si="144"/>
        <v/>
      </c>
    </row>
    <row r="1806" spans="2:53">
      <c r="B1806" s="60">
        <f>[2]Trucks!A1803</f>
        <v>0</v>
      </c>
      <c r="C1806" s="11">
        <f>[2]Trucks!B1803</f>
        <v>0</v>
      </c>
      <c r="D1806" s="19" t="str">
        <f>IFERROR(VLOOKUP(C1806&amp;"",'[2]Retail Price List'!$A$3:$B$103,2,FALSE),"Special Order")</f>
        <v>Special Order</v>
      </c>
      <c r="E1806" s="18">
        <f>[2]Trucks!J1803</f>
        <v>0</v>
      </c>
      <c r="F1806" s="12">
        <f>[2]Trucks!E1803</f>
        <v>0</v>
      </c>
      <c r="G1806" s="56">
        <f>[2]Trucks!K1803</f>
        <v>0</v>
      </c>
      <c r="H1806" s="46">
        <f>[2]Trucks!I1803</f>
        <v>0</v>
      </c>
      <c r="I1806" s="83" t="str">
        <f t="shared" si="140"/>
        <v/>
      </c>
      <c r="J1806" s="272" t="str">
        <f>IFERROR(VLOOKUP((D1806&amp;C1806)&amp;"",'[2]Retail Price List'!$C$4:$F$102,3,FALSE),"")</f>
        <v/>
      </c>
      <c r="K1806" s="272">
        <f>IFERROR(IF(BA1806="WIP - 30 Days",VLOOKUP(D1806,[3]Standard!$B$9:$E$101,4,FALSE),IF(BA1806="31-120 Days",VLOOKUP(D1806,[3]Standard!$B$9:$F$101,5,FALSE),IF(BA1806="121-365 Days",VLOOKUP(D1806,[3]Standard!$B$9:$G$101,6,FALSE),VLOOKUP(D1806,[3]Standard!$B$9:$H$101,7,FALSE)))),0)</f>
        <v>0</v>
      </c>
      <c r="L1806" s="272">
        <f>IFERROR(IF(BA1806="WIP - 30 Days",VLOOKUP(D1806,[3]Standard!$B$9:$J$101,9,FALSE),IF(BA1806="31-120 Days",VLOOKUP(D1806,[3]Standard!$B$9:$K$100,10,FALSE),IF(BA1806="121-365 Days",VLOOKUP(D1806,[3]Standard!$B$9:$L$101,11,FALSE),VLOOKUP(D1806,[3]Standard!$B$9:$M$101,12,FALSE)))),0)</f>
        <v>0</v>
      </c>
      <c r="M1806" s="269" t="str">
        <f>IFERROR(VLOOKUP((D1806&amp;C1806)&amp;"",'[2]Retail Price List'!$C$4:$F$102,4,FALSE),"")</f>
        <v/>
      </c>
      <c r="N1806" s="269">
        <f>IFERROR(IF(BA1806="WIP - 30 Days",VLOOKUP(D1806,[3]Extended!$B$9:$E$101,4,FALSE),IF(BA1806="31-120 Days",VLOOKUP(D1806,[3]Extended!$B$9:$F$101,5,FALSE),IF(BA1806="121-365 Days",VLOOKUP(D1806,[3]Extended!$B$9:$G$101,6,FALSE),VLOOKUP(D1806,[3]Extended!$B$9:$H$101,7,FALSE)))),0)</f>
        <v>0</v>
      </c>
      <c r="O1806" s="269">
        <f>IFERROR(IF(BA1806="WIP - 30 Days",VLOOKUP(D1806,[3]Extended!$B$9:$J$101,9,FALSE),IF(BA1806="31-120 Days",VLOOKUP(D1806,[3]Extended!$B$9:$K$101,10,FALSE),IF(BA1806="121-365 Days",VLOOKUP(D1806,[3]Extended!$B$9:$L$101,11,FALSE),VLOOKUP(D1806,[3]Extended!$B$9:$M$101,12,FALSE)))),0)</f>
        <v>0</v>
      </c>
      <c r="P1806" s="116" t="e">
        <f t="shared" si="141"/>
        <v>#VALUE!</v>
      </c>
      <c r="Q1806" s="110" t="e">
        <f>O1806-#REF!</f>
        <v>#REF!</v>
      </c>
      <c r="AT1806" s="88" t="str">
        <f t="shared" si="142"/>
        <v>Special Order0</v>
      </c>
      <c r="AU1806" s="89" t="str">
        <f t="shared" si="143"/>
        <v>01-1900</v>
      </c>
      <c r="BA1806" s="92" t="str">
        <f t="shared" si="144"/>
        <v/>
      </c>
    </row>
    <row r="1807" spans="2:53">
      <c r="B1807" s="60">
        <f>[2]Trucks!A1804</f>
        <v>0</v>
      </c>
      <c r="C1807" s="11">
        <f>[2]Trucks!B1804</f>
        <v>0</v>
      </c>
      <c r="D1807" s="19" t="str">
        <f>IFERROR(VLOOKUP(C1807&amp;"",'[2]Retail Price List'!$A$3:$B$103,2,FALSE),"Special Order")</f>
        <v>Special Order</v>
      </c>
      <c r="E1807" s="18">
        <f>[2]Trucks!J1804</f>
        <v>0</v>
      </c>
      <c r="F1807" s="12">
        <f>[2]Trucks!E1804</f>
        <v>0</v>
      </c>
      <c r="G1807" s="56">
        <f>[2]Trucks!K1804</f>
        <v>0</v>
      </c>
      <c r="H1807" s="46">
        <f>[2]Trucks!I1804</f>
        <v>0</v>
      </c>
      <c r="I1807" s="83" t="str">
        <f t="shared" si="140"/>
        <v/>
      </c>
      <c r="J1807" s="272" t="str">
        <f>IFERROR(VLOOKUP((D1807&amp;C1807)&amp;"",'[2]Retail Price List'!$C$4:$F$102,3,FALSE),"")</f>
        <v/>
      </c>
      <c r="K1807" s="272">
        <f>IFERROR(IF(BA1807="WIP - 30 Days",VLOOKUP(D1807,[3]Standard!$B$9:$E$101,4,FALSE),IF(BA1807="31-120 Days",VLOOKUP(D1807,[3]Standard!$B$9:$F$101,5,FALSE),IF(BA1807="121-365 Days",VLOOKUP(D1807,[3]Standard!$B$9:$G$101,6,FALSE),VLOOKUP(D1807,[3]Standard!$B$9:$H$101,7,FALSE)))),0)</f>
        <v>0</v>
      </c>
      <c r="L1807" s="272">
        <f>IFERROR(IF(BA1807="WIP - 30 Days",VLOOKUP(D1807,[3]Standard!$B$9:$J$101,9,FALSE),IF(BA1807="31-120 Days",VLOOKUP(D1807,[3]Standard!$B$9:$K$100,10,FALSE),IF(BA1807="121-365 Days",VLOOKUP(D1807,[3]Standard!$B$9:$L$101,11,FALSE),VLOOKUP(D1807,[3]Standard!$B$9:$M$101,12,FALSE)))),0)</f>
        <v>0</v>
      </c>
      <c r="M1807" s="269" t="str">
        <f>IFERROR(VLOOKUP((D1807&amp;C1807)&amp;"",'[2]Retail Price List'!$C$4:$F$102,4,FALSE),"")</f>
        <v/>
      </c>
      <c r="N1807" s="269">
        <f>IFERROR(IF(BA1807="WIP - 30 Days",VLOOKUP(D1807,[3]Extended!$B$9:$E$101,4,FALSE),IF(BA1807="31-120 Days",VLOOKUP(D1807,[3]Extended!$B$9:$F$101,5,FALSE),IF(BA1807="121-365 Days",VLOOKUP(D1807,[3]Extended!$B$9:$G$101,6,FALSE),VLOOKUP(D1807,[3]Extended!$B$9:$H$101,7,FALSE)))),0)</f>
        <v>0</v>
      </c>
      <c r="O1807" s="269">
        <f>IFERROR(IF(BA1807="WIP - 30 Days",VLOOKUP(D1807,[3]Extended!$B$9:$J$101,9,FALSE),IF(BA1807="31-120 Days",VLOOKUP(D1807,[3]Extended!$B$9:$K$101,10,FALSE),IF(BA1807="121-365 Days",VLOOKUP(D1807,[3]Extended!$B$9:$L$101,11,FALSE),VLOOKUP(D1807,[3]Extended!$B$9:$M$101,12,FALSE)))),0)</f>
        <v>0</v>
      </c>
      <c r="P1807" s="116" t="e">
        <f t="shared" si="141"/>
        <v>#VALUE!</v>
      </c>
      <c r="Q1807" s="110" t="e">
        <f>O1807-#REF!</f>
        <v>#REF!</v>
      </c>
      <c r="AT1807" s="88" t="str">
        <f t="shared" si="142"/>
        <v>Special Order0</v>
      </c>
      <c r="AU1807" s="89" t="str">
        <f t="shared" si="143"/>
        <v>01-1900</v>
      </c>
      <c r="BA1807" s="92" t="str">
        <f t="shared" si="144"/>
        <v/>
      </c>
    </row>
    <row r="1808" spans="2:53">
      <c r="B1808" s="60">
        <f>[2]Trucks!A1805</f>
        <v>0</v>
      </c>
      <c r="C1808" s="11">
        <f>[2]Trucks!B1805</f>
        <v>0</v>
      </c>
      <c r="D1808" s="19" t="str">
        <f>IFERROR(VLOOKUP(C1808&amp;"",'[2]Retail Price List'!$A$3:$B$103,2,FALSE),"Special Order")</f>
        <v>Special Order</v>
      </c>
      <c r="E1808" s="18">
        <f>[2]Trucks!J1805</f>
        <v>0</v>
      </c>
      <c r="F1808" s="12">
        <f>[2]Trucks!E1805</f>
        <v>0</v>
      </c>
      <c r="G1808" s="56">
        <f>[2]Trucks!K1805</f>
        <v>0</v>
      </c>
      <c r="H1808" s="46">
        <f>[2]Trucks!I1805</f>
        <v>0</v>
      </c>
      <c r="I1808" s="83" t="str">
        <f t="shared" si="140"/>
        <v/>
      </c>
      <c r="J1808" s="272" t="str">
        <f>IFERROR(VLOOKUP((D1808&amp;C1808)&amp;"",'[2]Retail Price List'!$C$4:$F$102,3,FALSE),"")</f>
        <v/>
      </c>
      <c r="K1808" s="272">
        <f>IFERROR(IF(BA1808="WIP - 30 Days",VLOOKUP(D1808,[3]Standard!$B$9:$E$101,4,FALSE),IF(BA1808="31-120 Days",VLOOKUP(D1808,[3]Standard!$B$9:$F$101,5,FALSE),IF(BA1808="121-365 Days",VLOOKUP(D1808,[3]Standard!$B$9:$G$101,6,FALSE),VLOOKUP(D1808,[3]Standard!$B$9:$H$101,7,FALSE)))),0)</f>
        <v>0</v>
      </c>
      <c r="L1808" s="272">
        <f>IFERROR(IF(BA1808="WIP - 30 Days",VLOOKUP(D1808,[3]Standard!$B$9:$J$101,9,FALSE),IF(BA1808="31-120 Days",VLOOKUP(D1808,[3]Standard!$B$9:$K$100,10,FALSE),IF(BA1808="121-365 Days",VLOOKUP(D1808,[3]Standard!$B$9:$L$101,11,FALSE),VLOOKUP(D1808,[3]Standard!$B$9:$M$101,12,FALSE)))),0)</f>
        <v>0</v>
      </c>
      <c r="M1808" s="269" t="str">
        <f>IFERROR(VLOOKUP((D1808&amp;C1808)&amp;"",'[2]Retail Price List'!$C$4:$F$102,4,FALSE),"")</f>
        <v/>
      </c>
      <c r="N1808" s="269">
        <f>IFERROR(IF(BA1808="WIP - 30 Days",VLOOKUP(D1808,[3]Extended!$B$9:$E$101,4,FALSE),IF(BA1808="31-120 Days",VLOOKUP(D1808,[3]Extended!$B$9:$F$101,5,FALSE),IF(BA1808="121-365 Days",VLOOKUP(D1808,[3]Extended!$B$9:$G$101,6,FALSE),VLOOKUP(D1808,[3]Extended!$B$9:$H$101,7,FALSE)))),0)</f>
        <v>0</v>
      </c>
      <c r="O1808" s="269">
        <f>IFERROR(IF(BA1808="WIP - 30 Days",VLOOKUP(D1808,[3]Extended!$B$9:$J$101,9,FALSE),IF(BA1808="31-120 Days",VLOOKUP(D1808,[3]Extended!$B$9:$K$101,10,FALSE),IF(BA1808="121-365 Days",VLOOKUP(D1808,[3]Extended!$B$9:$L$101,11,FALSE),VLOOKUP(D1808,[3]Extended!$B$9:$M$101,12,FALSE)))),0)</f>
        <v>0</v>
      </c>
      <c r="P1808" s="116" t="e">
        <f t="shared" si="141"/>
        <v>#VALUE!</v>
      </c>
      <c r="Q1808" s="110" t="e">
        <f>O1808-#REF!</f>
        <v>#REF!</v>
      </c>
      <c r="AT1808" s="88" t="str">
        <f t="shared" si="142"/>
        <v>Special Order0</v>
      </c>
      <c r="AU1808" s="89" t="str">
        <f t="shared" si="143"/>
        <v>01-1900</v>
      </c>
      <c r="BA1808" s="92" t="str">
        <f t="shared" si="144"/>
        <v/>
      </c>
    </row>
    <row r="1809" spans="2:53">
      <c r="B1809" s="60">
        <f>[2]Trucks!A1806</f>
        <v>0</v>
      </c>
      <c r="C1809" s="11">
        <f>[2]Trucks!B1806</f>
        <v>0</v>
      </c>
      <c r="D1809" s="19" t="str">
        <f>IFERROR(VLOOKUP(C1809&amp;"",'[2]Retail Price List'!$A$3:$B$103,2,FALSE),"Special Order")</f>
        <v>Special Order</v>
      </c>
      <c r="E1809" s="18">
        <f>[2]Trucks!J1806</f>
        <v>0</v>
      </c>
      <c r="F1809" s="12">
        <f>[2]Trucks!E1806</f>
        <v>0</v>
      </c>
      <c r="G1809" s="56">
        <f>[2]Trucks!K1806</f>
        <v>0</v>
      </c>
      <c r="H1809" s="46">
        <f>[2]Trucks!I1806</f>
        <v>0</v>
      </c>
      <c r="I1809" s="83" t="str">
        <f t="shared" si="140"/>
        <v/>
      </c>
      <c r="J1809" s="272" t="str">
        <f>IFERROR(VLOOKUP((D1809&amp;C1809)&amp;"",'[2]Retail Price List'!$C$4:$F$102,3,FALSE),"")</f>
        <v/>
      </c>
      <c r="K1809" s="272">
        <f>IFERROR(IF(BA1809="WIP - 30 Days",VLOOKUP(D1809,[3]Standard!$B$9:$E$101,4,FALSE),IF(BA1809="31-120 Days",VLOOKUP(D1809,[3]Standard!$B$9:$F$101,5,FALSE),IF(BA1809="121-365 Days",VLOOKUP(D1809,[3]Standard!$B$9:$G$101,6,FALSE),VLOOKUP(D1809,[3]Standard!$B$9:$H$101,7,FALSE)))),0)</f>
        <v>0</v>
      </c>
      <c r="L1809" s="272">
        <f>IFERROR(IF(BA1809="WIP - 30 Days",VLOOKUP(D1809,[3]Standard!$B$9:$J$101,9,FALSE),IF(BA1809="31-120 Days",VLOOKUP(D1809,[3]Standard!$B$9:$K$100,10,FALSE),IF(BA1809="121-365 Days",VLOOKUP(D1809,[3]Standard!$B$9:$L$101,11,FALSE),VLOOKUP(D1809,[3]Standard!$B$9:$M$101,12,FALSE)))),0)</f>
        <v>0</v>
      </c>
      <c r="M1809" s="269" t="str">
        <f>IFERROR(VLOOKUP((D1809&amp;C1809)&amp;"",'[2]Retail Price List'!$C$4:$F$102,4,FALSE),"")</f>
        <v/>
      </c>
      <c r="N1809" s="269">
        <f>IFERROR(IF(BA1809="WIP - 30 Days",VLOOKUP(D1809,[3]Extended!$B$9:$E$101,4,FALSE),IF(BA1809="31-120 Days",VLOOKUP(D1809,[3]Extended!$B$9:$F$101,5,FALSE),IF(BA1809="121-365 Days",VLOOKUP(D1809,[3]Extended!$B$9:$G$101,6,FALSE),VLOOKUP(D1809,[3]Extended!$B$9:$H$101,7,FALSE)))),0)</f>
        <v>0</v>
      </c>
      <c r="O1809" s="269">
        <f>IFERROR(IF(BA1809="WIP - 30 Days",VLOOKUP(D1809,[3]Extended!$B$9:$J$101,9,FALSE),IF(BA1809="31-120 Days",VLOOKUP(D1809,[3]Extended!$B$9:$K$101,10,FALSE),IF(BA1809="121-365 Days",VLOOKUP(D1809,[3]Extended!$B$9:$L$101,11,FALSE),VLOOKUP(D1809,[3]Extended!$B$9:$M$101,12,FALSE)))),0)</f>
        <v>0</v>
      </c>
      <c r="P1809" s="116" t="e">
        <f t="shared" si="141"/>
        <v>#VALUE!</v>
      </c>
      <c r="Q1809" s="110" t="e">
        <f>O1809-#REF!</f>
        <v>#REF!</v>
      </c>
      <c r="AT1809" s="88" t="str">
        <f t="shared" si="142"/>
        <v>Special Order0</v>
      </c>
      <c r="AU1809" s="89" t="str">
        <f t="shared" si="143"/>
        <v>01-1900</v>
      </c>
      <c r="BA1809" s="92" t="str">
        <f t="shared" si="144"/>
        <v/>
      </c>
    </row>
    <row r="1810" spans="2:53">
      <c r="B1810" s="60">
        <f>[2]Trucks!A1807</f>
        <v>0</v>
      </c>
      <c r="C1810" s="11">
        <f>[2]Trucks!B1807</f>
        <v>0</v>
      </c>
      <c r="D1810" s="19" t="str">
        <f>IFERROR(VLOOKUP(C1810&amp;"",'[2]Retail Price List'!$A$3:$B$103,2,FALSE),"Special Order")</f>
        <v>Special Order</v>
      </c>
      <c r="E1810" s="18">
        <f>[2]Trucks!J1807</f>
        <v>0</v>
      </c>
      <c r="F1810" s="12">
        <f>[2]Trucks!E1807</f>
        <v>0</v>
      </c>
      <c r="G1810" s="56">
        <f>[2]Trucks!K1807</f>
        <v>0</v>
      </c>
      <c r="H1810" s="46">
        <f>[2]Trucks!I1807</f>
        <v>0</v>
      </c>
      <c r="I1810" s="83" t="str">
        <f t="shared" si="140"/>
        <v/>
      </c>
      <c r="J1810" s="272" t="str">
        <f>IFERROR(VLOOKUP((D1810&amp;C1810)&amp;"",'[2]Retail Price List'!$C$4:$F$102,3,FALSE),"")</f>
        <v/>
      </c>
      <c r="K1810" s="272">
        <f>IFERROR(IF(BA1810="WIP - 30 Days",VLOOKUP(D1810,[3]Standard!$B$9:$E$101,4,FALSE),IF(BA1810="31-120 Days",VLOOKUP(D1810,[3]Standard!$B$9:$F$101,5,FALSE),IF(BA1810="121-365 Days",VLOOKUP(D1810,[3]Standard!$B$9:$G$101,6,FALSE),VLOOKUP(D1810,[3]Standard!$B$9:$H$101,7,FALSE)))),0)</f>
        <v>0</v>
      </c>
      <c r="L1810" s="272">
        <f>IFERROR(IF(BA1810="WIP - 30 Days",VLOOKUP(D1810,[3]Standard!$B$9:$J$101,9,FALSE),IF(BA1810="31-120 Days",VLOOKUP(D1810,[3]Standard!$B$9:$K$100,10,FALSE),IF(BA1810="121-365 Days",VLOOKUP(D1810,[3]Standard!$B$9:$L$101,11,FALSE),VLOOKUP(D1810,[3]Standard!$B$9:$M$101,12,FALSE)))),0)</f>
        <v>0</v>
      </c>
      <c r="M1810" s="269" t="str">
        <f>IFERROR(VLOOKUP((D1810&amp;C1810)&amp;"",'[2]Retail Price List'!$C$4:$F$102,4,FALSE),"")</f>
        <v/>
      </c>
      <c r="N1810" s="269">
        <f>IFERROR(IF(BA1810="WIP - 30 Days",VLOOKUP(D1810,[3]Extended!$B$9:$E$101,4,FALSE),IF(BA1810="31-120 Days",VLOOKUP(D1810,[3]Extended!$B$9:$F$101,5,FALSE),IF(BA1810="121-365 Days",VLOOKUP(D1810,[3]Extended!$B$9:$G$101,6,FALSE),VLOOKUP(D1810,[3]Extended!$B$9:$H$101,7,FALSE)))),0)</f>
        <v>0</v>
      </c>
      <c r="O1810" s="269">
        <f>IFERROR(IF(BA1810="WIP - 30 Days",VLOOKUP(D1810,[3]Extended!$B$9:$J$101,9,FALSE),IF(BA1810="31-120 Days",VLOOKUP(D1810,[3]Extended!$B$9:$K$101,10,FALSE),IF(BA1810="121-365 Days",VLOOKUP(D1810,[3]Extended!$B$9:$L$101,11,FALSE),VLOOKUP(D1810,[3]Extended!$B$9:$M$101,12,FALSE)))),0)</f>
        <v>0</v>
      </c>
      <c r="P1810" s="116" t="e">
        <f t="shared" si="141"/>
        <v>#VALUE!</v>
      </c>
      <c r="Q1810" s="110" t="e">
        <f>O1810-#REF!</f>
        <v>#REF!</v>
      </c>
      <c r="AT1810" s="88" t="str">
        <f t="shared" si="142"/>
        <v>Special Order0</v>
      </c>
      <c r="AU1810" s="89" t="str">
        <f t="shared" si="143"/>
        <v>01-1900</v>
      </c>
      <c r="BA1810" s="92" t="str">
        <f t="shared" si="144"/>
        <v/>
      </c>
    </row>
    <row r="1811" spans="2:53">
      <c r="B1811" s="60">
        <f>[2]Trucks!A1808</f>
        <v>0</v>
      </c>
      <c r="C1811" s="11">
        <f>[2]Trucks!B1808</f>
        <v>0</v>
      </c>
      <c r="D1811" s="19" t="str">
        <f>IFERROR(VLOOKUP(C1811&amp;"",'[2]Retail Price List'!$A$3:$B$103,2,FALSE),"Special Order")</f>
        <v>Special Order</v>
      </c>
      <c r="E1811" s="18">
        <f>[2]Trucks!J1808</f>
        <v>0</v>
      </c>
      <c r="F1811" s="12">
        <f>[2]Trucks!E1808</f>
        <v>0</v>
      </c>
      <c r="G1811" s="56">
        <f>[2]Trucks!K1808</f>
        <v>0</v>
      </c>
      <c r="H1811" s="46">
        <f>[2]Trucks!I1808</f>
        <v>0</v>
      </c>
      <c r="I1811" s="83" t="str">
        <f t="shared" si="140"/>
        <v/>
      </c>
      <c r="J1811" s="272" t="str">
        <f>IFERROR(VLOOKUP((D1811&amp;C1811)&amp;"",'[2]Retail Price List'!$C$4:$F$102,3,FALSE),"")</f>
        <v/>
      </c>
      <c r="K1811" s="272">
        <f>IFERROR(IF(BA1811="WIP - 30 Days",VLOOKUP(D1811,[3]Standard!$B$9:$E$101,4,FALSE),IF(BA1811="31-120 Days",VLOOKUP(D1811,[3]Standard!$B$9:$F$101,5,FALSE),IF(BA1811="121-365 Days",VLOOKUP(D1811,[3]Standard!$B$9:$G$101,6,FALSE),VLOOKUP(D1811,[3]Standard!$B$9:$H$101,7,FALSE)))),0)</f>
        <v>0</v>
      </c>
      <c r="L1811" s="272">
        <f>IFERROR(IF(BA1811="WIP - 30 Days",VLOOKUP(D1811,[3]Standard!$B$9:$J$101,9,FALSE),IF(BA1811="31-120 Days",VLOOKUP(D1811,[3]Standard!$B$9:$K$100,10,FALSE),IF(BA1811="121-365 Days",VLOOKUP(D1811,[3]Standard!$B$9:$L$101,11,FALSE),VLOOKUP(D1811,[3]Standard!$B$9:$M$101,12,FALSE)))),0)</f>
        <v>0</v>
      </c>
      <c r="M1811" s="269" t="str">
        <f>IFERROR(VLOOKUP((D1811&amp;C1811)&amp;"",'[2]Retail Price List'!$C$4:$F$102,4,FALSE),"")</f>
        <v/>
      </c>
      <c r="N1811" s="269">
        <f>IFERROR(IF(BA1811="WIP - 30 Days",VLOOKUP(D1811,[3]Extended!$B$9:$E$101,4,FALSE),IF(BA1811="31-120 Days",VLOOKUP(D1811,[3]Extended!$B$9:$F$101,5,FALSE),IF(BA1811="121-365 Days",VLOOKUP(D1811,[3]Extended!$B$9:$G$101,6,FALSE),VLOOKUP(D1811,[3]Extended!$B$9:$H$101,7,FALSE)))),0)</f>
        <v>0</v>
      </c>
      <c r="O1811" s="269">
        <f>IFERROR(IF(BA1811="WIP - 30 Days",VLOOKUP(D1811,[3]Extended!$B$9:$J$101,9,FALSE),IF(BA1811="31-120 Days",VLOOKUP(D1811,[3]Extended!$B$9:$K$101,10,FALSE),IF(BA1811="121-365 Days",VLOOKUP(D1811,[3]Extended!$B$9:$L$101,11,FALSE),VLOOKUP(D1811,[3]Extended!$B$9:$M$101,12,FALSE)))),0)</f>
        <v>0</v>
      </c>
      <c r="P1811" s="116" t="e">
        <f t="shared" si="141"/>
        <v>#VALUE!</v>
      </c>
      <c r="Q1811" s="110" t="e">
        <f>O1811-#REF!</f>
        <v>#REF!</v>
      </c>
      <c r="AT1811" s="88" t="str">
        <f t="shared" si="142"/>
        <v>Special Order0</v>
      </c>
      <c r="AU1811" s="89" t="str">
        <f t="shared" si="143"/>
        <v>01-1900</v>
      </c>
      <c r="BA1811" s="92" t="str">
        <f t="shared" si="144"/>
        <v/>
      </c>
    </row>
    <row r="1812" spans="2:53">
      <c r="B1812" s="60">
        <f>[2]Trucks!A1809</f>
        <v>0</v>
      </c>
      <c r="C1812" s="11">
        <f>[2]Trucks!B1809</f>
        <v>0</v>
      </c>
      <c r="D1812" s="19" t="str">
        <f>IFERROR(VLOOKUP(C1812&amp;"",'[2]Retail Price List'!$A$3:$B$103,2,FALSE),"Special Order")</f>
        <v>Special Order</v>
      </c>
      <c r="E1812" s="18">
        <f>[2]Trucks!J1809</f>
        <v>0</v>
      </c>
      <c r="F1812" s="12">
        <f>[2]Trucks!E1809</f>
        <v>0</v>
      </c>
      <c r="G1812" s="56">
        <f>[2]Trucks!K1809</f>
        <v>0</v>
      </c>
      <c r="H1812" s="46">
        <f>[2]Trucks!I1809</f>
        <v>0</v>
      </c>
      <c r="I1812" s="83" t="str">
        <f t="shared" si="140"/>
        <v/>
      </c>
      <c r="J1812" s="272" t="str">
        <f>IFERROR(VLOOKUP((D1812&amp;C1812)&amp;"",'[2]Retail Price List'!$C$4:$F$102,3,FALSE),"")</f>
        <v/>
      </c>
      <c r="K1812" s="272">
        <f>IFERROR(IF(BA1812="WIP - 30 Days",VLOOKUP(D1812,[3]Standard!$B$9:$E$101,4,FALSE),IF(BA1812="31-120 Days",VLOOKUP(D1812,[3]Standard!$B$9:$F$101,5,FALSE),IF(BA1812="121-365 Days",VLOOKUP(D1812,[3]Standard!$B$9:$G$101,6,FALSE),VLOOKUP(D1812,[3]Standard!$B$9:$H$101,7,FALSE)))),0)</f>
        <v>0</v>
      </c>
      <c r="L1812" s="272">
        <f>IFERROR(IF(BA1812="WIP - 30 Days",VLOOKUP(D1812,[3]Standard!$B$9:$J$101,9,FALSE),IF(BA1812="31-120 Days",VLOOKUP(D1812,[3]Standard!$B$9:$K$100,10,FALSE),IF(BA1812="121-365 Days",VLOOKUP(D1812,[3]Standard!$B$9:$L$101,11,FALSE),VLOOKUP(D1812,[3]Standard!$B$9:$M$101,12,FALSE)))),0)</f>
        <v>0</v>
      </c>
      <c r="M1812" s="269" t="str">
        <f>IFERROR(VLOOKUP((D1812&amp;C1812)&amp;"",'[2]Retail Price List'!$C$4:$F$102,4,FALSE),"")</f>
        <v/>
      </c>
      <c r="N1812" s="269">
        <f>IFERROR(IF(BA1812="WIP - 30 Days",VLOOKUP(D1812,[3]Extended!$B$9:$E$101,4,FALSE),IF(BA1812="31-120 Days",VLOOKUP(D1812,[3]Extended!$B$9:$F$101,5,FALSE),IF(BA1812="121-365 Days",VLOOKUP(D1812,[3]Extended!$B$9:$G$101,6,FALSE),VLOOKUP(D1812,[3]Extended!$B$9:$H$101,7,FALSE)))),0)</f>
        <v>0</v>
      </c>
      <c r="O1812" s="269">
        <f>IFERROR(IF(BA1812="WIP - 30 Days",VLOOKUP(D1812,[3]Extended!$B$9:$J$101,9,FALSE),IF(BA1812="31-120 Days",VLOOKUP(D1812,[3]Extended!$B$9:$K$101,10,FALSE),IF(BA1812="121-365 Days",VLOOKUP(D1812,[3]Extended!$B$9:$L$101,11,FALSE),VLOOKUP(D1812,[3]Extended!$B$9:$M$101,12,FALSE)))),0)</f>
        <v>0</v>
      </c>
      <c r="P1812" s="116" t="e">
        <f t="shared" si="141"/>
        <v>#VALUE!</v>
      </c>
      <c r="Q1812" s="110" t="e">
        <f>O1812-#REF!</f>
        <v>#REF!</v>
      </c>
      <c r="AT1812" s="88" t="str">
        <f t="shared" si="142"/>
        <v>Special Order0</v>
      </c>
      <c r="AU1812" s="89" t="str">
        <f t="shared" si="143"/>
        <v>01-1900</v>
      </c>
      <c r="BA1812" s="92" t="str">
        <f t="shared" si="144"/>
        <v/>
      </c>
    </row>
    <row r="1813" spans="2:53">
      <c r="B1813" s="60">
        <f>[2]Trucks!A1810</f>
        <v>0</v>
      </c>
      <c r="C1813" s="11">
        <f>[2]Trucks!B1810</f>
        <v>0</v>
      </c>
      <c r="D1813" s="19" t="str">
        <f>IFERROR(VLOOKUP(C1813&amp;"",'[2]Retail Price List'!$A$3:$B$103,2,FALSE),"Special Order")</f>
        <v>Special Order</v>
      </c>
      <c r="E1813" s="18">
        <f>[2]Trucks!J1810</f>
        <v>0</v>
      </c>
      <c r="F1813" s="12">
        <f>[2]Trucks!E1810</f>
        <v>0</v>
      </c>
      <c r="G1813" s="56">
        <f>[2]Trucks!K1810</f>
        <v>0</v>
      </c>
      <c r="H1813" s="46">
        <f>[2]Trucks!I1810</f>
        <v>0</v>
      </c>
      <c r="I1813" s="83" t="str">
        <f t="shared" si="140"/>
        <v/>
      </c>
      <c r="J1813" s="272" t="str">
        <f>IFERROR(VLOOKUP((D1813&amp;C1813)&amp;"",'[2]Retail Price List'!$C$4:$F$102,3,FALSE),"")</f>
        <v/>
      </c>
      <c r="K1813" s="272">
        <f>IFERROR(IF(BA1813="WIP - 30 Days",VLOOKUP(D1813,[3]Standard!$B$9:$E$101,4,FALSE),IF(BA1813="31-120 Days",VLOOKUP(D1813,[3]Standard!$B$9:$F$101,5,FALSE),IF(BA1813="121-365 Days",VLOOKUP(D1813,[3]Standard!$B$9:$G$101,6,FALSE),VLOOKUP(D1813,[3]Standard!$B$9:$H$101,7,FALSE)))),0)</f>
        <v>0</v>
      </c>
      <c r="L1813" s="272">
        <f>IFERROR(IF(BA1813="WIP - 30 Days",VLOOKUP(D1813,[3]Standard!$B$9:$J$101,9,FALSE),IF(BA1813="31-120 Days",VLOOKUP(D1813,[3]Standard!$B$9:$K$100,10,FALSE),IF(BA1813="121-365 Days",VLOOKUP(D1813,[3]Standard!$B$9:$L$101,11,FALSE),VLOOKUP(D1813,[3]Standard!$B$9:$M$101,12,FALSE)))),0)</f>
        <v>0</v>
      </c>
      <c r="M1813" s="269" t="str">
        <f>IFERROR(VLOOKUP((D1813&amp;C1813)&amp;"",'[2]Retail Price List'!$C$4:$F$102,4,FALSE),"")</f>
        <v/>
      </c>
      <c r="N1813" s="269">
        <f>IFERROR(IF(BA1813="WIP - 30 Days",VLOOKUP(D1813,[3]Extended!$B$9:$E$101,4,FALSE),IF(BA1813="31-120 Days",VLOOKUP(D1813,[3]Extended!$B$9:$F$101,5,FALSE),IF(BA1813="121-365 Days",VLOOKUP(D1813,[3]Extended!$B$9:$G$101,6,FALSE),VLOOKUP(D1813,[3]Extended!$B$9:$H$101,7,FALSE)))),0)</f>
        <v>0</v>
      </c>
      <c r="O1813" s="269">
        <f>IFERROR(IF(BA1813="WIP - 30 Days",VLOOKUP(D1813,[3]Extended!$B$9:$J$101,9,FALSE),IF(BA1813="31-120 Days",VLOOKUP(D1813,[3]Extended!$B$9:$K$101,10,FALSE),IF(BA1813="121-365 Days",VLOOKUP(D1813,[3]Extended!$B$9:$L$101,11,FALSE),VLOOKUP(D1813,[3]Extended!$B$9:$M$101,12,FALSE)))),0)</f>
        <v>0</v>
      </c>
      <c r="P1813" s="116" t="e">
        <f t="shared" si="141"/>
        <v>#VALUE!</v>
      </c>
      <c r="Q1813" s="110" t="e">
        <f>O1813-#REF!</f>
        <v>#REF!</v>
      </c>
      <c r="AT1813" s="88" t="str">
        <f t="shared" si="142"/>
        <v>Special Order0</v>
      </c>
      <c r="AU1813" s="89" t="str">
        <f t="shared" si="143"/>
        <v>01-1900</v>
      </c>
      <c r="BA1813" s="92" t="str">
        <f t="shared" si="144"/>
        <v/>
      </c>
    </row>
    <row r="1814" spans="2:53">
      <c r="B1814" s="60">
        <f>[2]Trucks!A1811</f>
        <v>0</v>
      </c>
      <c r="C1814" s="11">
        <f>[2]Trucks!B1811</f>
        <v>0</v>
      </c>
      <c r="D1814" s="19" t="str">
        <f>IFERROR(VLOOKUP(C1814&amp;"",'[2]Retail Price List'!$A$3:$B$103,2,FALSE),"Special Order")</f>
        <v>Special Order</v>
      </c>
      <c r="E1814" s="18">
        <f>[2]Trucks!J1811</f>
        <v>0</v>
      </c>
      <c r="F1814" s="12">
        <f>[2]Trucks!E1811</f>
        <v>0</v>
      </c>
      <c r="G1814" s="56">
        <f>[2]Trucks!K1811</f>
        <v>0</v>
      </c>
      <c r="H1814" s="46">
        <f>[2]Trucks!I1811</f>
        <v>0</v>
      </c>
      <c r="I1814" s="83" t="str">
        <f t="shared" si="140"/>
        <v/>
      </c>
      <c r="J1814" s="272" t="str">
        <f>IFERROR(VLOOKUP((D1814&amp;C1814)&amp;"",'[2]Retail Price List'!$C$4:$F$102,3,FALSE),"")</f>
        <v/>
      </c>
      <c r="K1814" s="272">
        <f>IFERROR(IF(BA1814="WIP - 30 Days",VLOOKUP(D1814,[3]Standard!$B$9:$E$101,4,FALSE),IF(BA1814="31-120 Days",VLOOKUP(D1814,[3]Standard!$B$9:$F$101,5,FALSE),IF(BA1814="121-365 Days",VLOOKUP(D1814,[3]Standard!$B$9:$G$101,6,FALSE),VLOOKUP(D1814,[3]Standard!$B$9:$H$101,7,FALSE)))),0)</f>
        <v>0</v>
      </c>
      <c r="L1814" s="272">
        <f>IFERROR(IF(BA1814="WIP - 30 Days",VLOOKUP(D1814,[3]Standard!$B$9:$J$101,9,FALSE),IF(BA1814="31-120 Days",VLOOKUP(D1814,[3]Standard!$B$9:$K$100,10,FALSE),IF(BA1814="121-365 Days",VLOOKUP(D1814,[3]Standard!$B$9:$L$101,11,FALSE),VLOOKUP(D1814,[3]Standard!$B$9:$M$101,12,FALSE)))),0)</f>
        <v>0</v>
      </c>
      <c r="M1814" s="269" t="str">
        <f>IFERROR(VLOOKUP((D1814&amp;C1814)&amp;"",'[2]Retail Price List'!$C$4:$F$102,4,FALSE),"")</f>
        <v/>
      </c>
      <c r="N1814" s="269">
        <f>IFERROR(IF(BA1814="WIP - 30 Days",VLOOKUP(D1814,[3]Extended!$B$9:$E$101,4,FALSE),IF(BA1814="31-120 Days",VLOOKUP(D1814,[3]Extended!$B$9:$F$101,5,FALSE),IF(BA1814="121-365 Days",VLOOKUP(D1814,[3]Extended!$B$9:$G$101,6,FALSE),VLOOKUP(D1814,[3]Extended!$B$9:$H$101,7,FALSE)))),0)</f>
        <v>0</v>
      </c>
      <c r="O1814" s="269">
        <f>IFERROR(IF(BA1814="WIP - 30 Days",VLOOKUP(D1814,[3]Extended!$B$9:$J$101,9,FALSE),IF(BA1814="31-120 Days",VLOOKUP(D1814,[3]Extended!$B$9:$K$101,10,FALSE),IF(BA1814="121-365 Days",VLOOKUP(D1814,[3]Extended!$B$9:$L$101,11,FALSE),VLOOKUP(D1814,[3]Extended!$B$9:$M$101,12,FALSE)))),0)</f>
        <v>0</v>
      </c>
      <c r="P1814" s="116" t="e">
        <f t="shared" si="141"/>
        <v>#VALUE!</v>
      </c>
      <c r="Q1814" s="110" t="e">
        <f>O1814-#REF!</f>
        <v>#REF!</v>
      </c>
      <c r="AT1814" s="88" t="str">
        <f t="shared" si="142"/>
        <v>Special Order0</v>
      </c>
      <c r="AU1814" s="89" t="str">
        <f t="shared" si="143"/>
        <v>01-1900</v>
      </c>
      <c r="BA1814" s="92" t="str">
        <f t="shared" si="144"/>
        <v/>
      </c>
    </row>
    <row r="1815" spans="2:53">
      <c r="B1815" s="60">
        <f>[2]Trucks!A1812</f>
        <v>0</v>
      </c>
      <c r="C1815" s="11">
        <f>[2]Trucks!B1812</f>
        <v>0</v>
      </c>
      <c r="D1815" s="19" t="str">
        <f>IFERROR(VLOOKUP(C1815&amp;"",'[2]Retail Price List'!$A$3:$B$103,2,FALSE),"Special Order")</f>
        <v>Special Order</v>
      </c>
      <c r="E1815" s="18">
        <f>[2]Trucks!J1812</f>
        <v>0</v>
      </c>
      <c r="F1815" s="12">
        <f>[2]Trucks!E1812</f>
        <v>0</v>
      </c>
      <c r="G1815" s="56">
        <f>[2]Trucks!K1812</f>
        <v>0</v>
      </c>
      <c r="H1815" s="46">
        <f>[2]Trucks!I1812</f>
        <v>0</v>
      </c>
      <c r="I1815" s="83" t="str">
        <f t="shared" si="140"/>
        <v/>
      </c>
      <c r="J1815" s="272" t="str">
        <f>IFERROR(VLOOKUP((D1815&amp;C1815)&amp;"",'[2]Retail Price List'!$C$4:$F$102,3,FALSE),"")</f>
        <v/>
      </c>
      <c r="K1815" s="272">
        <f>IFERROR(IF(BA1815="WIP - 30 Days",VLOOKUP(D1815,[3]Standard!$B$9:$E$101,4,FALSE),IF(BA1815="31-120 Days",VLOOKUP(D1815,[3]Standard!$B$9:$F$101,5,FALSE),IF(BA1815="121-365 Days",VLOOKUP(D1815,[3]Standard!$B$9:$G$101,6,FALSE),VLOOKUP(D1815,[3]Standard!$B$9:$H$101,7,FALSE)))),0)</f>
        <v>0</v>
      </c>
      <c r="L1815" s="272">
        <f>IFERROR(IF(BA1815="WIP - 30 Days",VLOOKUP(D1815,[3]Standard!$B$9:$J$101,9,FALSE),IF(BA1815="31-120 Days",VLOOKUP(D1815,[3]Standard!$B$9:$K$100,10,FALSE),IF(BA1815="121-365 Days",VLOOKUP(D1815,[3]Standard!$B$9:$L$101,11,FALSE),VLOOKUP(D1815,[3]Standard!$B$9:$M$101,12,FALSE)))),0)</f>
        <v>0</v>
      </c>
      <c r="M1815" s="269" t="str">
        <f>IFERROR(VLOOKUP((D1815&amp;C1815)&amp;"",'[2]Retail Price List'!$C$4:$F$102,4,FALSE),"")</f>
        <v/>
      </c>
      <c r="N1815" s="269">
        <f>IFERROR(IF(BA1815="WIP - 30 Days",VLOOKUP(D1815,[3]Extended!$B$9:$E$101,4,FALSE),IF(BA1815="31-120 Days",VLOOKUP(D1815,[3]Extended!$B$9:$F$101,5,FALSE),IF(BA1815="121-365 Days",VLOOKUP(D1815,[3]Extended!$B$9:$G$101,6,FALSE),VLOOKUP(D1815,[3]Extended!$B$9:$H$101,7,FALSE)))),0)</f>
        <v>0</v>
      </c>
      <c r="O1815" s="269">
        <f>IFERROR(IF(BA1815="WIP - 30 Days",VLOOKUP(D1815,[3]Extended!$B$9:$J$101,9,FALSE),IF(BA1815="31-120 Days",VLOOKUP(D1815,[3]Extended!$B$9:$K$101,10,FALSE),IF(BA1815="121-365 Days",VLOOKUP(D1815,[3]Extended!$B$9:$L$101,11,FALSE),VLOOKUP(D1815,[3]Extended!$B$9:$M$101,12,FALSE)))),0)</f>
        <v>0</v>
      </c>
      <c r="P1815" s="116" t="e">
        <f t="shared" si="141"/>
        <v>#VALUE!</v>
      </c>
      <c r="Q1815" s="110" t="e">
        <f>O1815-#REF!</f>
        <v>#REF!</v>
      </c>
      <c r="AT1815" s="88" t="str">
        <f t="shared" si="142"/>
        <v>Special Order0</v>
      </c>
      <c r="AU1815" s="89" t="str">
        <f t="shared" si="143"/>
        <v>01-1900</v>
      </c>
      <c r="BA1815" s="92" t="str">
        <f t="shared" si="144"/>
        <v/>
      </c>
    </row>
    <row r="1816" spans="2:53">
      <c r="B1816" s="60">
        <f>[2]Trucks!A1813</f>
        <v>0</v>
      </c>
      <c r="C1816" s="11">
        <f>[2]Trucks!B1813</f>
        <v>0</v>
      </c>
      <c r="D1816" s="19" t="str">
        <f>IFERROR(VLOOKUP(C1816&amp;"",'[2]Retail Price List'!$A$3:$B$103,2,FALSE),"Special Order")</f>
        <v>Special Order</v>
      </c>
      <c r="E1816" s="18">
        <f>[2]Trucks!J1813</f>
        <v>0</v>
      </c>
      <c r="F1816" s="12">
        <f>[2]Trucks!E1813</f>
        <v>0</v>
      </c>
      <c r="G1816" s="56">
        <f>[2]Trucks!K1813</f>
        <v>0</v>
      </c>
      <c r="H1816" s="46">
        <f>[2]Trucks!I1813</f>
        <v>0</v>
      </c>
      <c r="I1816" s="83" t="str">
        <f t="shared" si="140"/>
        <v/>
      </c>
      <c r="J1816" s="272" t="str">
        <f>IFERROR(VLOOKUP((D1816&amp;C1816)&amp;"",'[2]Retail Price List'!$C$4:$F$102,3,FALSE),"")</f>
        <v/>
      </c>
      <c r="K1816" s="272">
        <f>IFERROR(IF(BA1816="WIP - 30 Days",VLOOKUP(D1816,[3]Standard!$B$9:$E$101,4,FALSE),IF(BA1816="31-120 Days",VLOOKUP(D1816,[3]Standard!$B$9:$F$101,5,FALSE),IF(BA1816="121-365 Days",VLOOKUP(D1816,[3]Standard!$B$9:$G$101,6,FALSE),VLOOKUP(D1816,[3]Standard!$B$9:$H$101,7,FALSE)))),0)</f>
        <v>0</v>
      </c>
      <c r="L1816" s="272">
        <f>IFERROR(IF(BA1816="WIP - 30 Days",VLOOKUP(D1816,[3]Standard!$B$9:$J$101,9,FALSE),IF(BA1816="31-120 Days",VLOOKUP(D1816,[3]Standard!$B$9:$K$100,10,FALSE),IF(BA1816="121-365 Days",VLOOKUP(D1816,[3]Standard!$B$9:$L$101,11,FALSE),VLOOKUP(D1816,[3]Standard!$B$9:$M$101,12,FALSE)))),0)</f>
        <v>0</v>
      </c>
      <c r="M1816" s="269" t="str">
        <f>IFERROR(VLOOKUP((D1816&amp;C1816)&amp;"",'[2]Retail Price List'!$C$4:$F$102,4,FALSE),"")</f>
        <v/>
      </c>
      <c r="N1816" s="269">
        <f>IFERROR(IF(BA1816="WIP - 30 Days",VLOOKUP(D1816,[3]Extended!$B$9:$E$101,4,FALSE),IF(BA1816="31-120 Days",VLOOKUP(D1816,[3]Extended!$B$9:$F$101,5,FALSE),IF(BA1816="121-365 Days",VLOOKUP(D1816,[3]Extended!$B$9:$G$101,6,FALSE),VLOOKUP(D1816,[3]Extended!$B$9:$H$101,7,FALSE)))),0)</f>
        <v>0</v>
      </c>
      <c r="O1816" s="269">
        <f>IFERROR(IF(BA1816="WIP - 30 Days",VLOOKUP(D1816,[3]Extended!$B$9:$J$101,9,FALSE),IF(BA1816="31-120 Days",VLOOKUP(D1816,[3]Extended!$B$9:$K$101,10,FALSE),IF(BA1816="121-365 Days",VLOOKUP(D1816,[3]Extended!$B$9:$L$101,11,FALSE),VLOOKUP(D1816,[3]Extended!$B$9:$M$101,12,FALSE)))),0)</f>
        <v>0</v>
      </c>
      <c r="P1816" s="116" t="e">
        <f t="shared" si="141"/>
        <v>#VALUE!</v>
      </c>
      <c r="Q1816" s="110" t="e">
        <f>O1816-#REF!</f>
        <v>#REF!</v>
      </c>
      <c r="AT1816" s="88" t="str">
        <f t="shared" si="142"/>
        <v>Special Order0</v>
      </c>
      <c r="AU1816" s="89" t="str">
        <f t="shared" si="143"/>
        <v>01-1900</v>
      </c>
      <c r="BA1816" s="92" t="str">
        <f t="shared" si="144"/>
        <v/>
      </c>
    </row>
    <row r="1817" spans="2:53">
      <c r="B1817" s="60">
        <f>[2]Trucks!A1814</f>
        <v>0</v>
      </c>
      <c r="C1817" s="11">
        <f>[2]Trucks!B1814</f>
        <v>0</v>
      </c>
      <c r="D1817" s="19" t="str">
        <f>IFERROR(VLOOKUP(C1817&amp;"",'[2]Retail Price List'!$A$3:$B$103,2,FALSE),"Special Order")</f>
        <v>Special Order</v>
      </c>
      <c r="E1817" s="18">
        <f>[2]Trucks!J1814</f>
        <v>0</v>
      </c>
      <c r="F1817" s="12">
        <f>[2]Trucks!E1814</f>
        <v>0</v>
      </c>
      <c r="G1817" s="56">
        <f>[2]Trucks!K1814</f>
        <v>0</v>
      </c>
      <c r="H1817" s="46">
        <f>[2]Trucks!I1814</f>
        <v>0</v>
      </c>
      <c r="I1817" s="83" t="str">
        <f t="shared" si="140"/>
        <v/>
      </c>
      <c r="J1817" s="272" t="str">
        <f>IFERROR(VLOOKUP((D1817&amp;C1817)&amp;"",'[2]Retail Price List'!$C$4:$F$102,3,FALSE),"")</f>
        <v/>
      </c>
      <c r="K1817" s="272">
        <f>IFERROR(IF(BA1817="WIP - 30 Days",VLOOKUP(D1817,[3]Standard!$B$9:$E$101,4,FALSE),IF(BA1817="31-120 Days",VLOOKUP(D1817,[3]Standard!$B$9:$F$101,5,FALSE),IF(BA1817="121-365 Days",VLOOKUP(D1817,[3]Standard!$B$9:$G$101,6,FALSE),VLOOKUP(D1817,[3]Standard!$B$9:$H$101,7,FALSE)))),0)</f>
        <v>0</v>
      </c>
      <c r="L1817" s="272">
        <f>IFERROR(IF(BA1817="WIP - 30 Days",VLOOKUP(D1817,[3]Standard!$B$9:$J$101,9,FALSE),IF(BA1817="31-120 Days",VLOOKUP(D1817,[3]Standard!$B$9:$K$100,10,FALSE),IF(BA1817="121-365 Days",VLOOKUP(D1817,[3]Standard!$B$9:$L$101,11,FALSE),VLOOKUP(D1817,[3]Standard!$B$9:$M$101,12,FALSE)))),0)</f>
        <v>0</v>
      </c>
      <c r="M1817" s="269" t="str">
        <f>IFERROR(VLOOKUP((D1817&amp;C1817)&amp;"",'[2]Retail Price List'!$C$4:$F$102,4,FALSE),"")</f>
        <v/>
      </c>
      <c r="N1817" s="269">
        <f>IFERROR(IF(BA1817="WIP - 30 Days",VLOOKUP(D1817,[3]Extended!$B$9:$E$101,4,FALSE),IF(BA1817="31-120 Days",VLOOKUP(D1817,[3]Extended!$B$9:$F$101,5,FALSE),IF(BA1817="121-365 Days",VLOOKUP(D1817,[3]Extended!$B$9:$G$101,6,FALSE),VLOOKUP(D1817,[3]Extended!$B$9:$H$101,7,FALSE)))),0)</f>
        <v>0</v>
      </c>
      <c r="O1817" s="269">
        <f>IFERROR(IF(BA1817="WIP - 30 Days",VLOOKUP(D1817,[3]Extended!$B$9:$J$101,9,FALSE),IF(BA1817="31-120 Days",VLOOKUP(D1817,[3]Extended!$B$9:$K$101,10,FALSE),IF(BA1817="121-365 Days",VLOOKUP(D1817,[3]Extended!$B$9:$L$101,11,FALSE),VLOOKUP(D1817,[3]Extended!$B$9:$M$101,12,FALSE)))),0)</f>
        <v>0</v>
      </c>
      <c r="P1817" s="116" t="e">
        <f t="shared" si="141"/>
        <v>#VALUE!</v>
      </c>
      <c r="Q1817" s="110" t="e">
        <f>O1817-#REF!</f>
        <v>#REF!</v>
      </c>
      <c r="AT1817" s="88" t="str">
        <f t="shared" si="142"/>
        <v>Special Order0</v>
      </c>
      <c r="AU1817" s="89" t="str">
        <f t="shared" si="143"/>
        <v>01-1900</v>
      </c>
      <c r="BA1817" s="92" t="str">
        <f t="shared" si="144"/>
        <v/>
      </c>
    </row>
    <row r="1818" spans="2:53">
      <c r="B1818" s="60">
        <f>[2]Trucks!A1815</f>
        <v>0</v>
      </c>
      <c r="C1818" s="11">
        <f>[2]Trucks!B1815</f>
        <v>0</v>
      </c>
      <c r="D1818" s="19" t="str">
        <f>IFERROR(VLOOKUP(C1818&amp;"",'[2]Retail Price List'!$A$3:$B$103,2,FALSE),"Special Order")</f>
        <v>Special Order</v>
      </c>
      <c r="E1818" s="18">
        <f>[2]Trucks!J1815</f>
        <v>0</v>
      </c>
      <c r="F1818" s="12">
        <f>[2]Trucks!E1815</f>
        <v>0</v>
      </c>
      <c r="G1818" s="56">
        <f>[2]Trucks!K1815</f>
        <v>0</v>
      </c>
      <c r="H1818" s="46">
        <f>[2]Trucks!I1815</f>
        <v>0</v>
      </c>
      <c r="I1818" s="83" t="str">
        <f t="shared" si="140"/>
        <v/>
      </c>
      <c r="J1818" s="272" t="str">
        <f>IFERROR(VLOOKUP((D1818&amp;C1818)&amp;"",'[2]Retail Price List'!$C$4:$F$102,3,FALSE),"")</f>
        <v/>
      </c>
      <c r="K1818" s="272">
        <f>IFERROR(IF(BA1818="WIP - 30 Days",VLOOKUP(D1818,[3]Standard!$B$9:$E$101,4,FALSE),IF(BA1818="31-120 Days",VLOOKUP(D1818,[3]Standard!$B$9:$F$101,5,FALSE),IF(BA1818="121-365 Days",VLOOKUP(D1818,[3]Standard!$B$9:$G$101,6,FALSE),VLOOKUP(D1818,[3]Standard!$B$9:$H$101,7,FALSE)))),0)</f>
        <v>0</v>
      </c>
      <c r="L1818" s="272">
        <f>IFERROR(IF(BA1818="WIP - 30 Days",VLOOKUP(D1818,[3]Standard!$B$9:$J$101,9,FALSE),IF(BA1818="31-120 Days",VLOOKUP(D1818,[3]Standard!$B$9:$K$100,10,FALSE),IF(BA1818="121-365 Days",VLOOKUP(D1818,[3]Standard!$B$9:$L$101,11,FALSE),VLOOKUP(D1818,[3]Standard!$B$9:$M$101,12,FALSE)))),0)</f>
        <v>0</v>
      </c>
      <c r="M1818" s="269" t="str">
        <f>IFERROR(VLOOKUP((D1818&amp;C1818)&amp;"",'[2]Retail Price List'!$C$4:$F$102,4,FALSE),"")</f>
        <v/>
      </c>
      <c r="N1818" s="269">
        <f>IFERROR(IF(BA1818="WIP - 30 Days",VLOOKUP(D1818,[3]Extended!$B$9:$E$101,4,FALSE),IF(BA1818="31-120 Days",VLOOKUP(D1818,[3]Extended!$B$9:$F$101,5,FALSE),IF(BA1818="121-365 Days",VLOOKUP(D1818,[3]Extended!$B$9:$G$101,6,FALSE),VLOOKUP(D1818,[3]Extended!$B$9:$H$101,7,FALSE)))),0)</f>
        <v>0</v>
      </c>
      <c r="O1818" s="269">
        <f>IFERROR(IF(BA1818="WIP - 30 Days",VLOOKUP(D1818,[3]Extended!$B$9:$J$101,9,FALSE),IF(BA1818="31-120 Days",VLOOKUP(D1818,[3]Extended!$B$9:$K$101,10,FALSE),IF(BA1818="121-365 Days",VLOOKUP(D1818,[3]Extended!$B$9:$L$101,11,FALSE),VLOOKUP(D1818,[3]Extended!$B$9:$M$101,12,FALSE)))),0)</f>
        <v>0</v>
      </c>
      <c r="P1818" s="116" t="e">
        <f t="shared" si="141"/>
        <v>#VALUE!</v>
      </c>
      <c r="Q1818" s="110" t="e">
        <f>O1818-#REF!</f>
        <v>#REF!</v>
      </c>
      <c r="AT1818" s="88" t="str">
        <f t="shared" si="142"/>
        <v>Special Order0</v>
      </c>
      <c r="AU1818" s="89" t="str">
        <f t="shared" si="143"/>
        <v>01-1900</v>
      </c>
      <c r="BA1818" s="92" t="str">
        <f t="shared" si="144"/>
        <v/>
      </c>
    </row>
    <row r="1819" spans="2:53">
      <c r="B1819" s="60">
        <f>[2]Trucks!A1816</f>
        <v>0</v>
      </c>
      <c r="C1819" s="11">
        <f>[2]Trucks!B1816</f>
        <v>0</v>
      </c>
      <c r="D1819" s="19" t="str">
        <f>IFERROR(VLOOKUP(C1819&amp;"",'[2]Retail Price List'!$A$3:$B$103,2,FALSE),"Special Order")</f>
        <v>Special Order</v>
      </c>
      <c r="E1819" s="18">
        <f>[2]Trucks!J1816</f>
        <v>0</v>
      </c>
      <c r="F1819" s="12">
        <f>[2]Trucks!E1816</f>
        <v>0</v>
      </c>
      <c r="G1819" s="56">
        <f>[2]Trucks!K1816</f>
        <v>0</v>
      </c>
      <c r="H1819" s="46">
        <f>[2]Trucks!I1816</f>
        <v>0</v>
      </c>
      <c r="I1819" s="83" t="str">
        <f t="shared" si="140"/>
        <v/>
      </c>
      <c r="J1819" s="272" t="str">
        <f>IFERROR(VLOOKUP((D1819&amp;C1819)&amp;"",'[2]Retail Price List'!$C$4:$F$102,3,FALSE),"")</f>
        <v/>
      </c>
      <c r="K1819" s="272">
        <f>IFERROR(IF(BA1819="WIP - 30 Days",VLOOKUP(D1819,[3]Standard!$B$9:$E$101,4,FALSE),IF(BA1819="31-120 Days",VLOOKUP(D1819,[3]Standard!$B$9:$F$101,5,FALSE),IF(BA1819="121-365 Days",VLOOKUP(D1819,[3]Standard!$B$9:$G$101,6,FALSE),VLOOKUP(D1819,[3]Standard!$B$9:$H$101,7,FALSE)))),0)</f>
        <v>0</v>
      </c>
      <c r="L1819" s="272">
        <f>IFERROR(IF(BA1819="WIP - 30 Days",VLOOKUP(D1819,[3]Standard!$B$9:$J$101,9,FALSE),IF(BA1819="31-120 Days",VLOOKUP(D1819,[3]Standard!$B$9:$K$100,10,FALSE),IF(BA1819="121-365 Days",VLOOKUP(D1819,[3]Standard!$B$9:$L$101,11,FALSE),VLOOKUP(D1819,[3]Standard!$B$9:$M$101,12,FALSE)))),0)</f>
        <v>0</v>
      </c>
      <c r="M1819" s="269" t="str">
        <f>IFERROR(VLOOKUP((D1819&amp;C1819)&amp;"",'[2]Retail Price List'!$C$4:$F$102,4,FALSE),"")</f>
        <v/>
      </c>
      <c r="N1819" s="269">
        <f>IFERROR(IF(BA1819="WIP - 30 Days",VLOOKUP(D1819,[3]Extended!$B$9:$E$101,4,FALSE),IF(BA1819="31-120 Days",VLOOKUP(D1819,[3]Extended!$B$9:$F$101,5,FALSE),IF(BA1819="121-365 Days",VLOOKUP(D1819,[3]Extended!$B$9:$G$101,6,FALSE),VLOOKUP(D1819,[3]Extended!$B$9:$H$101,7,FALSE)))),0)</f>
        <v>0</v>
      </c>
      <c r="O1819" s="269">
        <f>IFERROR(IF(BA1819="WIP - 30 Days",VLOOKUP(D1819,[3]Extended!$B$9:$J$101,9,FALSE),IF(BA1819="31-120 Days",VLOOKUP(D1819,[3]Extended!$B$9:$K$101,10,FALSE),IF(BA1819="121-365 Days",VLOOKUP(D1819,[3]Extended!$B$9:$L$101,11,FALSE),VLOOKUP(D1819,[3]Extended!$B$9:$M$101,12,FALSE)))),0)</f>
        <v>0</v>
      </c>
      <c r="P1819" s="116" t="e">
        <f t="shared" si="141"/>
        <v>#VALUE!</v>
      </c>
      <c r="Q1819" s="110" t="e">
        <f>O1819-#REF!</f>
        <v>#REF!</v>
      </c>
      <c r="AT1819" s="88" t="str">
        <f t="shared" si="142"/>
        <v>Special Order0</v>
      </c>
      <c r="AU1819" s="89" t="str">
        <f t="shared" si="143"/>
        <v>01-1900</v>
      </c>
      <c r="BA1819" s="92" t="str">
        <f t="shared" si="144"/>
        <v/>
      </c>
    </row>
    <row r="1820" spans="2:53">
      <c r="B1820" s="60">
        <f>[2]Trucks!A1817</f>
        <v>0</v>
      </c>
      <c r="C1820" s="11">
        <f>[2]Trucks!B1817</f>
        <v>0</v>
      </c>
      <c r="D1820" s="19" t="str">
        <f>IFERROR(VLOOKUP(C1820&amp;"",'[2]Retail Price List'!$A$3:$B$103,2,FALSE),"Special Order")</f>
        <v>Special Order</v>
      </c>
      <c r="E1820" s="18">
        <f>[2]Trucks!J1817</f>
        <v>0</v>
      </c>
      <c r="F1820" s="12">
        <f>[2]Trucks!E1817</f>
        <v>0</v>
      </c>
      <c r="G1820" s="56">
        <f>[2]Trucks!K1817</f>
        <v>0</v>
      </c>
      <c r="H1820" s="46">
        <f>[2]Trucks!I1817</f>
        <v>0</v>
      </c>
      <c r="I1820" s="83" t="str">
        <f t="shared" si="140"/>
        <v/>
      </c>
      <c r="J1820" s="272" t="str">
        <f>IFERROR(VLOOKUP((D1820&amp;C1820)&amp;"",'[2]Retail Price List'!$C$4:$F$102,3,FALSE),"")</f>
        <v/>
      </c>
      <c r="K1820" s="272">
        <f>IFERROR(IF(BA1820="WIP - 30 Days",VLOOKUP(D1820,[3]Standard!$B$9:$E$101,4,FALSE),IF(BA1820="31-120 Days",VLOOKUP(D1820,[3]Standard!$B$9:$F$101,5,FALSE),IF(BA1820="121-365 Days",VLOOKUP(D1820,[3]Standard!$B$9:$G$101,6,FALSE),VLOOKUP(D1820,[3]Standard!$B$9:$H$101,7,FALSE)))),0)</f>
        <v>0</v>
      </c>
      <c r="L1820" s="272">
        <f>IFERROR(IF(BA1820="WIP - 30 Days",VLOOKUP(D1820,[3]Standard!$B$9:$J$101,9,FALSE),IF(BA1820="31-120 Days",VLOOKUP(D1820,[3]Standard!$B$9:$K$100,10,FALSE),IF(BA1820="121-365 Days",VLOOKUP(D1820,[3]Standard!$B$9:$L$101,11,FALSE),VLOOKUP(D1820,[3]Standard!$B$9:$M$101,12,FALSE)))),0)</f>
        <v>0</v>
      </c>
      <c r="M1820" s="269" t="str">
        <f>IFERROR(VLOOKUP((D1820&amp;C1820)&amp;"",'[2]Retail Price List'!$C$4:$F$102,4,FALSE),"")</f>
        <v/>
      </c>
      <c r="N1820" s="269">
        <f>IFERROR(IF(BA1820="WIP - 30 Days",VLOOKUP(D1820,[3]Extended!$B$9:$E$101,4,FALSE),IF(BA1820="31-120 Days",VLOOKUP(D1820,[3]Extended!$B$9:$F$101,5,FALSE),IF(BA1820="121-365 Days",VLOOKUP(D1820,[3]Extended!$B$9:$G$101,6,FALSE),VLOOKUP(D1820,[3]Extended!$B$9:$H$101,7,FALSE)))),0)</f>
        <v>0</v>
      </c>
      <c r="O1820" s="269">
        <f>IFERROR(IF(BA1820="WIP - 30 Days",VLOOKUP(D1820,[3]Extended!$B$9:$J$101,9,FALSE),IF(BA1820="31-120 Days",VLOOKUP(D1820,[3]Extended!$B$9:$K$101,10,FALSE),IF(BA1820="121-365 Days",VLOOKUP(D1820,[3]Extended!$B$9:$L$101,11,FALSE),VLOOKUP(D1820,[3]Extended!$B$9:$M$101,12,FALSE)))),0)</f>
        <v>0</v>
      </c>
      <c r="P1820" s="116" t="e">
        <f t="shared" si="141"/>
        <v>#VALUE!</v>
      </c>
      <c r="Q1820" s="110" t="e">
        <f>O1820-#REF!</f>
        <v>#REF!</v>
      </c>
      <c r="AT1820" s="88" t="str">
        <f t="shared" si="142"/>
        <v>Special Order0</v>
      </c>
      <c r="AU1820" s="89" t="str">
        <f t="shared" si="143"/>
        <v>01-1900</v>
      </c>
      <c r="BA1820" s="92" t="str">
        <f t="shared" si="144"/>
        <v/>
      </c>
    </row>
    <row r="1821" spans="2:53">
      <c r="B1821" s="60">
        <f>[2]Trucks!A1818</f>
        <v>0</v>
      </c>
      <c r="C1821" s="11">
        <f>[2]Trucks!B1818</f>
        <v>0</v>
      </c>
      <c r="D1821" s="19" t="str">
        <f>IFERROR(VLOOKUP(C1821&amp;"",'[2]Retail Price List'!$A$3:$B$103,2,FALSE),"Special Order")</f>
        <v>Special Order</v>
      </c>
      <c r="E1821" s="18">
        <f>[2]Trucks!J1818</f>
        <v>0</v>
      </c>
      <c r="F1821" s="12">
        <f>[2]Trucks!E1818</f>
        <v>0</v>
      </c>
      <c r="G1821" s="56">
        <f>[2]Trucks!K1818</f>
        <v>0</v>
      </c>
      <c r="H1821" s="46">
        <f>[2]Trucks!I1818</f>
        <v>0</v>
      </c>
      <c r="I1821" s="83" t="str">
        <f t="shared" si="140"/>
        <v/>
      </c>
      <c r="J1821" s="272" t="str">
        <f>IFERROR(VLOOKUP((D1821&amp;C1821)&amp;"",'[2]Retail Price List'!$C$4:$F$102,3,FALSE),"")</f>
        <v/>
      </c>
      <c r="K1821" s="272">
        <f>IFERROR(IF(BA1821="WIP - 30 Days",VLOOKUP(D1821,[3]Standard!$B$9:$E$101,4,FALSE),IF(BA1821="31-120 Days",VLOOKUP(D1821,[3]Standard!$B$9:$F$101,5,FALSE),IF(BA1821="121-365 Days",VLOOKUP(D1821,[3]Standard!$B$9:$G$101,6,FALSE),VLOOKUP(D1821,[3]Standard!$B$9:$H$101,7,FALSE)))),0)</f>
        <v>0</v>
      </c>
      <c r="L1821" s="272">
        <f>IFERROR(IF(BA1821="WIP - 30 Days",VLOOKUP(D1821,[3]Standard!$B$9:$J$101,9,FALSE),IF(BA1821="31-120 Days",VLOOKUP(D1821,[3]Standard!$B$9:$K$100,10,FALSE),IF(BA1821="121-365 Days",VLOOKUP(D1821,[3]Standard!$B$9:$L$101,11,FALSE),VLOOKUP(D1821,[3]Standard!$B$9:$M$101,12,FALSE)))),0)</f>
        <v>0</v>
      </c>
      <c r="M1821" s="269" t="str">
        <f>IFERROR(VLOOKUP((D1821&amp;C1821)&amp;"",'[2]Retail Price List'!$C$4:$F$102,4,FALSE),"")</f>
        <v/>
      </c>
      <c r="N1821" s="269">
        <f>IFERROR(IF(BA1821="WIP - 30 Days",VLOOKUP(D1821,[3]Extended!$B$9:$E$101,4,FALSE),IF(BA1821="31-120 Days",VLOOKUP(D1821,[3]Extended!$B$9:$F$101,5,FALSE),IF(BA1821="121-365 Days",VLOOKUP(D1821,[3]Extended!$B$9:$G$101,6,FALSE),VLOOKUP(D1821,[3]Extended!$B$9:$H$101,7,FALSE)))),0)</f>
        <v>0</v>
      </c>
      <c r="O1821" s="269">
        <f>IFERROR(IF(BA1821="WIP - 30 Days",VLOOKUP(D1821,[3]Extended!$B$9:$J$101,9,FALSE),IF(BA1821="31-120 Days",VLOOKUP(D1821,[3]Extended!$B$9:$K$101,10,FALSE),IF(BA1821="121-365 Days",VLOOKUP(D1821,[3]Extended!$B$9:$L$101,11,FALSE),VLOOKUP(D1821,[3]Extended!$B$9:$M$101,12,FALSE)))),0)</f>
        <v>0</v>
      </c>
      <c r="P1821" s="116" t="e">
        <f t="shared" si="141"/>
        <v>#VALUE!</v>
      </c>
      <c r="Q1821" s="110" t="e">
        <f>O1821-#REF!</f>
        <v>#REF!</v>
      </c>
      <c r="AT1821" s="88" t="str">
        <f t="shared" si="142"/>
        <v>Special Order0</v>
      </c>
      <c r="AU1821" s="89" t="str">
        <f t="shared" si="143"/>
        <v>01-1900</v>
      </c>
      <c r="BA1821" s="92" t="str">
        <f t="shared" si="144"/>
        <v/>
      </c>
    </row>
    <row r="1822" spans="2:53">
      <c r="B1822" s="60">
        <f>[2]Trucks!A1819</f>
        <v>0</v>
      </c>
      <c r="C1822" s="11">
        <f>[2]Trucks!B1819</f>
        <v>0</v>
      </c>
      <c r="D1822" s="19" t="str">
        <f>IFERROR(VLOOKUP(C1822&amp;"",'[2]Retail Price List'!$A$3:$B$103,2,FALSE),"Special Order")</f>
        <v>Special Order</v>
      </c>
      <c r="E1822" s="18">
        <f>[2]Trucks!J1819</f>
        <v>0</v>
      </c>
      <c r="F1822" s="12">
        <f>[2]Trucks!E1819</f>
        <v>0</v>
      </c>
      <c r="G1822" s="56">
        <f>[2]Trucks!K1819</f>
        <v>0</v>
      </c>
      <c r="H1822" s="46">
        <f>[2]Trucks!I1819</f>
        <v>0</v>
      </c>
      <c r="I1822" s="83" t="str">
        <f t="shared" si="140"/>
        <v/>
      </c>
      <c r="J1822" s="272" t="str">
        <f>IFERROR(VLOOKUP((D1822&amp;C1822)&amp;"",'[2]Retail Price List'!$C$4:$F$102,3,FALSE),"")</f>
        <v/>
      </c>
      <c r="K1822" s="272">
        <f>IFERROR(IF(BA1822="WIP - 30 Days",VLOOKUP(D1822,[3]Standard!$B$9:$E$101,4,FALSE),IF(BA1822="31-120 Days",VLOOKUP(D1822,[3]Standard!$B$9:$F$101,5,FALSE),IF(BA1822="121-365 Days",VLOOKUP(D1822,[3]Standard!$B$9:$G$101,6,FALSE),VLOOKUP(D1822,[3]Standard!$B$9:$H$101,7,FALSE)))),0)</f>
        <v>0</v>
      </c>
      <c r="L1822" s="272">
        <f>IFERROR(IF(BA1822="WIP - 30 Days",VLOOKUP(D1822,[3]Standard!$B$9:$J$101,9,FALSE),IF(BA1822="31-120 Days",VLOOKUP(D1822,[3]Standard!$B$9:$K$100,10,FALSE),IF(BA1822="121-365 Days",VLOOKUP(D1822,[3]Standard!$B$9:$L$101,11,FALSE),VLOOKUP(D1822,[3]Standard!$B$9:$M$101,12,FALSE)))),0)</f>
        <v>0</v>
      </c>
      <c r="M1822" s="269" t="str">
        <f>IFERROR(VLOOKUP((D1822&amp;C1822)&amp;"",'[2]Retail Price List'!$C$4:$F$102,4,FALSE),"")</f>
        <v/>
      </c>
      <c r="N1822" s="269">
        <f>IFERROR(IF(BA1822="WIP - 30 Days",VLOOKUP(D1822,[3]Extended!$B$9:$E$101,4,FALSE),IF(BA1822="31-120 Days",VLOOKUP(D1822,[3]Extended!$B$9:$F$101,5,FALSE),IF(BA1822="121-365 Days",VLOOKUP(D1822,[3]Extended!$B$9:$G$101,6,FALSE),VLOOKUP(D1822,[3]Extended!$B$9:$H$101,7,FALSE)))),0)</f>
        <v>0</v>
      </c>
      <c r="O1822" s="269">
        <f>IFERROR(IF(BA1822="WIP - 30 Days",VLOOKUP(D1822,[3]Extended!$B$9:$J$101,9,FALSE),IF(BA1822="31-120 Days",VLOOKUP(D1822,[3]Extended!$B$9:$K$101,10,FALSE),IF(BA1822="121-365 Days",VLOOKUP(D1822,[3]Extended!$B$9:$L$101,11,FALSE),VLOOKUP(D1822,[3]Extended!$B$9:$M$101,12,FALSE)))),0)</f>
        <v>0</v>
      </c>
      <c r="P1822" s="116" t="e">
        <f t="shared" si="141"/>
        <v>#VALUE!</v>
      </c>
      <c r="Q1822" s="110" t="e">
        <f>O1822-#REF!</f>
        <v>#REF!</v>
      </c>
      <c r="AT1822" s="88" t="str">
        <f t="shared" si="142"/>
        <v>Special Order0</v>
      </c>
      <c r="AU1822" s="89" t="str">
        <f t="shared" si="143"/>
        <v>01-1900</v>
      </c>
      <c r="BA1822" s="92" t="str">
        <f t="shared" si="144"/>
        <v/>
      </c>
    </row>
    <row r="1823" spans="2:53">
      <c r="B1823" s="60">
        <f>[2]Trucks!A1820</f>
        <v>0</v>
      </c>
      <c r="C1823" s="11">
        <f>[2]Trucks!B1820</f>
        <v>0</v>
      </c>
      <c r="D1823" s="19" t="str">
        <f>IFERROR(VLOOKUP(C1823&amp;"",'[2]Retail Price List'!$A$3:$B$103,2,FALSE),"Special Order")</f>
        <v>Special Order</v>
      </c>
      <c r="E1823" s="18">
        <f>[2]Trucks!J1820</f>
        <v>0</v>
      </c>
      <c r="F1823" s="12">
        <f>[2]Trucks!E1820</f>
        <v>0</v>
      </c>
      <c r="G1823" s="56">
        <f>[2]Trucks!K1820</f>
        <v>0</v>
      </c>
      <c r="H1823" s="46">
        <f>[2]Trucks!I1820</f>
        <v>0</v>
      </c>
      <c r="I1823" s="83" t="str">
        <f t="shared" si="140"/>
        <v/>
      </c>
      <c r="J1823" s="272" t="str">
        <f>IFERROR(VLOOKUP((D1823&amp;C1823)&amp;"",'[2]Retail Price List'!$C$4:$F$102,3,FALSE),"")</f>
        <v/>
      </c>
      <c r="K1823" s="272">
        <f>IFERROR(IF(BA1823="WIP - 30 Days",VLOOKUP(D1823,[3]Standard!$B$9:$E$101,4,FALSE),IF(BA1823="31-120 Days",VLOOKUP(D1823,[3]Standard!$B$9:$F$101,5,FALSE),IF(BA1823="121-365 Days",VLOOKUP(D1823,[3]Standard!$B$9:$G$101,6,FALSE),VLOOKUP(D1823,[3]Standard!$B$9:$H$101,7,FALSE)))),0)</f>
        <v>0</v>
      </c>
      <c r="L1823" s="272">
        <f>IFERROR(IF(BA1823="WIP - 30 Days",VLOOKUP(D1823,[3]Standard!$B$9:$J$101,9,FALSE),IF(BA1823="31-120 Days",VLOOKUP(D1823,[3]Standard!$B$9:$K$100,10,FALSE),IF(BA1823="121-365 Days",VLOOKUP(D1823,[3]Standard!$B$9:$L$101,11,FALSE),VLOOKUP(D1823,[3]Standard!$B$9:$M$101,12,FALSE)))),0)</f>
        <v>0</v>
      </c>
      <c r="M1823" s="269" t="str">
        <f>IFERROR(VLOOKUP((D1823&amp;C1823)&amp;"",'[2]Retail Price List'!$C$4:$F$102,4,FALSE),"")</f>
        <v/>
      </c>
      <c r="N1823" s="269">
        <f>IFERROR(IF(BA1823="WIP - 30 Days",VLOOKUP(D1823,[3]Extended!$B$9:$E$101,4,FALSE),IF(BA1823="31-120 Days",VLOOKUP(D1823,[3]Extended!$B$9:$F$101,5,FALSE),IF(BA1823="121-365 Days",VLOOKUP(D1823,[3]Extended!$B$9:$G$101,6,FALSE),VLOOKUP(D1823,[3]Extended!$B$9:$H$101,7,FALSE)))),0)</f>
        <v>0</v>
      </c>
      <c r="O1823" s="269">
        <f>IFERROR(IF(BA1823="WIP - 30 Days",VLOOKUP(D1823,[3]Extended!$B$9:$J$101,9,FALSE),IF(BA1823="31-120 Days",VLOOKUP(D1823,[3]Extended!$B$9:$K$101,10,FALSE),IF(BA1823="121-365 Days",VLOOKUP(D1823,[3]Extended!$B$9:$L$101,11,FALSE),VLOOKUP(D1823,[3]Extended!$B$9:$M$101,12,FALSE)))),0)</f>
        <v>0</v>
      </c>
      <c r="P1823" s="116" t="e">
        <f t="shared" si="141"/>
        <v>#VALUE!</v>
      </c>
      <c r="Q1823" s="110" t="e">
        <f>O1823-#REF!</f>
        <v>#REF!</v>
      </c>
      <c r="AT1823" s="88" t="str">
        <f t="shared" si="142"/>
        <v>Special Order0</v>
      </c>
      <c r="AU1823" s="89" t="str">
        <f t="shared" si="143"/>
        <v>01-1900</v>
      </c>
      <c r="BA1823" s="92" t="str">
        <f t="shared" si="144"/>
        <v/>
      </c>
    </row>
    <row r="1824" spans="2:53">
      <c r="B1824" s="60">
        <f>[2]Trucks!A1821</f>
        <v>0</v>
      </c>
      <c r="C1824" s="11">
        <f>[2]Trucks!B1821</f>
        <v>0</v>
      </c>
      <c r="D1824" s="19" t="str">
        <f>IFERROR(VLOOKUP(C1824&amp;"",'[2]Retail Price List'!$A$3:$B$103,2,FALSE),"Special Order")</f>
        <v>Special Order</v>
      </c>
      <c r="E1824" s="18">
        <f>[2]Trucks!J1821</f>
        <v>0</v>
      </c>
      <c r="F1824" s="12">
        <f>[2]Trucks!E1821</f>
        <v>0</v>
      </c>
      <c r="G1824" s="56">
        <f>[2]Trucks!K1821</f>
        <v>0</v>
      </c>
      <c r="H1824" s="46">
        <f>[2]Trucks!I1821</f>
        <v>0</v>
      </c>
      <c r="I1824" s="83" t="str">
        <f t="shared" si="140"/>
        <v/>
      </c>
      <c r="J1824" s="272" t="str">
        <f>IFERROR(VLOOKUP((D1824&amp;C1824)&amp;"",'[2]Retail Price List'!$C$4:$F$102,3,FALSE),"")</f>
        <v/>
      </c>
      <c r="K1824" s="272">
        <f>IFERROR(IF(BA1824="WIP - 30 Days",VLOOKUP(D1824,[3]Standard!$B$9:$E$101,4,FALSE),IF(BA1824="31-120 Days",VLOOKUP(D1824,[3]Standard!$B$9:$F$101,5,FALSE),IF(BA1824="121-365 Days",VLOOKUP(D1824,[3]Standard!$B$9:$G$101,6,FALSE),VLOOKUP(D1824,[3]Standard!$B$9:$H$101,7,FALSE)))),0)</f>
        <v>0</v>
      </c>
      <c r="L1824" s="272">
        <f>IFERROR(IF(BA1824="WIP - 30 Days",VLOOKUP(D1824,[3]Standard!$B$9:$J$101,9,FALSE),IF(BA1824="31-120 Days",VLOOKUP(D1824,[3]Standard!$B$9:$K$100,10,FALSE),IF(BA1824="121-365 Days",VLOOKUP(D1824,[3]Standard!$B$9:$L$101,11,FALSE),VLOOKUP(D1824,[3]Standard!$B$9:$M$101,12,FALSE)))),0)</f>
        <v>0</v>
      </c>
      <c r="M1824" s="269" t="str">
        <f>IFERROR(VLOOKUP((D1824&amp;C1824)&amp;"",'[2]Retail Price List'!$C$4:$F$102,4,FALSE),"")</f>
        <v/>
      </c>
      <c r="N1824" s="269">
        <f>IFERROR(IF(BA1824="WIP - 30 Days",VLOOKUP(D1824,[3]Extended!$B$9:$E$101,4,FALSE),IF(BA1824="31-120 Days",VLOOKUP(D1824,[3]Extended!$B$9:$F$101,5,FALSE),IF(BA1824="121-365 Days",VLOOKUP(D1824,[3]Extended!$B$9:$G$101,6,FALSE),VLOOKUP(D1824,[3]Extended!$B$9:$H$101,7,FALSE)))),0)</f>
        <v>0</v>
      </c>
      <c r="O1824" s="269">
        <f>IFERROR(IF(BA1824="WIP - 30 Days",VLOOKUP(D1824,[3]Extended!$B$9:$J$101,9,FALSE),IF(BA1824="31-120 Days",VLOOKUP(D1824,[3]Extended!$B$9:$K$101,10,FALSE),IF(BA1824="121-365 Days",VLOOKUP(D1824,[3]Extended!$B$9:$L$101,11,FALSE),VLOOKUP(D1824,[3]Extended!$B$9:$M$101,12,FALSE)))),0)</f>
        <v>0</v>
      </c>
      <c r="P1824" s="116" t="e">
        <f t="shared" si="141"/>
        <v>#VALUE!</v>
      </c>
      <c r="Q1824" s="110" t="e">
        <f>O1824-#REF!</f>
        <v>#REF!</v>
      </c>
      <c r="AT1824" s="88" t="str">
        <f t="shared" si="142"/>
        <v>Special Order0</v>
      </c>
      <c r="AU1824" s="89" t="str">
        <f t="shared" si="143"/>
        <v>01-1900</v>
      </c>
      <c r="BA1824" s="92" t="str">
        <f t="shared" si="144"/>
        <v/>
      </c>
    </row>
    <row r="1825" spans="2:53">
      <c r="B1825" s="60">
        <f>[2]Trucks!A1822</f>
        <v>0</v>
      </c>
      <c r="C1825" s="11">
        <f>[2]Trucks!B1822</f>
        <v>0</v>
      </c>
      <c r="D1825" s="19" t="str">
        <f>IFERROR(VLOOKUP(C1825&amp;"",'[2]Retail Price List'!$A$3:$B$103,2,FALSE),"Special Order")</f>
        <v>Special Order</v>
      </c>
      <c r="E1825" s="18">
        <f>[2]Trucks!J1822</f>
        <v>0</v>
      </c>
      <c r="F1825" s="12">
        <f>[2]Trucks!E1822</f>
        <v>0</v>
      </c>
      <c r="G1825" s="56">
        <f>[2]Trucks!K1822</f>
        <v>0</v>
      </c>
      <c r="H1825" s="46">
        <f>[2]Trucks!I1822</f>
        <v>0</v>
      </c>
      <c r="I1825" s="83" t="str">
        <f t="shared" si="140"/>
        <v/>
      </c>
      <c r="J1825" s="272" t="str">
        <f>IFERROR(VLOOKUP((D1825&amp;C1825)&amp;"",'[2]Retail Price List'!$C$4:$F$102,3,FALSE),"")</f>
        <v/>
      </c>
      <c r="K1825" s="272">
        <f>IFERROR(IF(BA1825="WIP - 30 Days",VLOOKUP(D1825,[3]Standard!$B$9:$E$101,4,FALSE),IF(BA1825="31-120 Days",VLOOKUP(D1825,[3]Standard!$B$9:$F$101,5,FALSE),IF(BA1825="121-365 Days",VLOOKUP(D1825,[3]Standard!$B$9:$G$101,6,FALSE),VLOOKUP(D1825,[3]Standard!$B$9:$H$101,7,FALSE)))),0)</f>
        <v>0</v>
      </c>
      <c r="L1825" s="272">
        <f>IFERROR(IF(BA1825="WIP - 30 Days",VLOOKUP(D1825,[3]Standard!$B$9:$J$101,9,FALSE),IF(BA1825="31-120 Days",VLOOKUP(D1825,[3]Standard!$B$9:$K$100,10,FALSE),IF(BA1825="121-365 Days",VLOOKUP(D1825,[3]Standard!$B$9:$L$101,11,FALSE),VLOOKUP(D1825,[3]Standard!$B$9:$M$101,12,FALSE)))),0)</f>
        <v>0</v>
      </c>
      <c r="M1825" s="269" t="str">
        <f>IFERROR(VLOOKUP((D1825&amp;C1825)&amp;"",'[2]Retail Price List'!$C$4:$F$102,4,FALSE),"")</f>
        <v/>
      </c>
      <c r="N1825" s="269">
        <f>IFERROR(IF(BA1825="WIP - 30 Days",VLOOKUP(D1825,[3]Extended!$B$9:$E$101,4,FALSE),IF(BA1825="31-120 Days",VLOOKUP(D1825,[3]Extended!$B$9:$F$101,5,FALSE),IF(BA1825="121-365 Days",VLOOKUP(D1825,[3]Extended!$B$9:$G$101,6,FALSE),VLOOKUP(D1825,[3]Extended!$B$9:$H$101,7,FALSE)))),0)</f>
        <v>0</v>
      </c>
      <c r="O1825" s="269">
        <f>IFERROR(IF(BA1825="WIP - 30 Days",VLOOKUP(D1825,[3]Extended!$B$9:$J$101,9,FALSE),IF(BA1825="31-120 Days",VLOOKUP(D1825,[3]Extended!$B$9:$K$101,10,FALSE),IF(BA1825="121-365 Days",VLOOKUP(D1825,[3]Extended!$B$9:$L$101,11,FALSE),VLOOKUP(D1825,[3]Extended!$B$9:$M$101,12,FALSE)))),0)</f>
        <v>0</v>
      </c>
      <c r="P1825" s="116" t="e">
        <f t="shared" si="141"/>
        <v>#VALUE!</v>
      </c>
      <c r="Q1825" s="110" t="e">
        <f>O1825-#REF!</f>
        <v>#REF!</v>
      </c>
      <c r="AT1825" s="88" t="str">
        <f t="shared" si="142"/>
        <v>Special Order0</v>
      </c>
      <c r="AU1825" s="89" t="str">
        <f t="shared" si="143"/>
        <v>01-1900</v>
      </c>
      <c r="BA1825" s="92" t="str">
        <f t="shared" si="144"/>
        <v/>
      </c>
    </row>
    <row r="1826" spans="2:53">
      <c r="B1826" s="60">
        <f>[2]Trucks!A1823</f>
        <v>0</v>
      </c>
      <c r="C1826" s="11">
        <f>[2]Trucks!B1823</f>
        <v>0</v>
      </c>
      <c r="D1826" s="19" t="str">
        <f>IFERROR(VLOOKUP(C1826&amp;"",'[2]Retail Price List'!$A$3:$B$103,2,FALSE),"Special Order")</f>
        <v>Special Order</v>
      </c>
      <c r="E1826" s="18">
        <f>[2]Trucks!J1823</f>
        <v>0</v>
      </c>
      <c r="F1826" s="12">
        <f>[2]Trucks!E1823</f>
        <v>0</v>
      </c>
      <c r="G1826" s="56">
        <f>[2]Trucks!K1823</f>
        <v>0</v>
      </c>
      <c r="H1826" s="46">
        <f>[2]Trucks!I1823</f>
        <v>0</v>
      </c>
      <c r="I1826" s="83" t="str">
        <f t="shared" si="140"/>
        <v/>
      </c>
      <c r="J1826" s="272" t="str">
        <f>IFERROR(VLOOKUP((D1826&amp;C1826)&amp;"",'[2]Retail Price List'!$C$4:$F$102,3,FALSE),"")</f>
        <v/>
      </c>
      <c r="K1826" s="272">
        <f>IFERROR(IF(BA1826="WIP - 30 Days",VLOOKUP(D1826,[3]Standard!$B$9:$E$101,4,FALSE),IF(BA1826="31-120 Days",VLOOKUP(D1826,[3]Standard!$B$9:$F$101,5,FALSE),IF(BA1826="121-365 Days",VLOOKUP(D1826,[3]Standard!$B$9:$G$101,6,FALSE),VLOOKUP(D1826,[3]Standard!$B$9:$H$101,7,FALSE)))),0)</f>
        <v>0</v>
      </c>
      <c r="L1826" s="272">
        <f>IFERROR(IF(BA1826="WIP - 30 Days",VLOOKUP(D1826,[3]Standard!$B$9:$J$101,9,FALSE),IF(BA1826="31-120 Days",VLOOKUP(D1826,[3]Standard!$B$9:$K$100,10,FALSE),IF(BA1826="121-365 Days",VLOOKUP(D1826,[3]Standard!$B$9:$L$101,11,FALSE),VLOOKUP(D1826,[3]Standard!$B$9:$M$101,12,FALSE)))),0)</f>
        <v>0</v>
      </c>
      <c r="M1826" s="269" t="str">
        <f>IFERROR(VLOOKUP((D1826&amp;C1826)&amp;"",'[2]Retail Price List'!$C$4:$F$102,4,FALSE),"")</f>
        <v/>
      </c>
      <c r="N1826" s="269">
        <f>IFERROR(IF(BA1826="WIP - 30 Days",VLOOKUP(D1826,[3]Extended!$B$9:$E$101,4,FALSE),IF(BA1826="31-120 Days",VLOOKUP(D1826,[3]Extended!$B$9:$F$101,5,FALSE),IF(BA1826="121-365 Days",VLOOKUP(D1826,[3]Extended!$B$9:$G$101,6,FALSE),VLOOKUP(D1826,[3]Extended!$B$9:$H$101,7,FALSE)))),0)</f>
        <v>0</v>
      </c>
      <c r="O1826" s="269">
        <f>IFERROR(IF(BA1826="WIP - 30 Days",VLOOKUP(D1826,[3]Extended!$B$9:$J$101,9,FALSE),IF(BA1826="31-120 Days",VLOOKUP(D1826,[3]Extended!$B$9:$K$101,10,FALSE),IF(BA1826="121-365 Days",VLOOKUP(D1826,[3]Extended!$B$9:$L$101,11,FALSE),VLOOKUP(D1826,[3]Extended!$B$9:$M$101,12,FALSE)))),0)</f>
        <v>0</v>
      </c>
      <c r="P1826" s="116" t="e">
        <f t="shared" si="141"/>
        <v>#VALUE!</v>
      </c>
      <c r="Q1826" s="110" t="e">
        <f>O1826-#REF!</f>
        <v>#REF!</v>
      </c>
      <c r="AT1826" s="88" t="str">
        <f t="shared" si="142"/>
        <v>Special Order0</v>
      </c>
      <c r="AU1826" s="89" t="str">
        <f t="shared" si="143"/>
        <v>01-1900</v>
      </c>
      <c r="BA1826" s="92" t="str">
        <f t="shared" si="144"/>
        <v/>
      </c>
    </row>
    <row r="1827" spans="2:53">
      <c r="B1827" s="60">
        <f>[2]Trucks!A1824</f>
        <v>0</v>
      </c>
      <c r="C1827" s="11">
        <f>[2]Trucks!B1824</f>
        <v>0</v>
      </c>
      <c r="D1827" s="19" t="str">
        <f>IFERROR(VLOOKUP(C1827&amp;"",'[2]Retail Price List'!$A$3:$B$103,2,FALSE),"Special Order")</f>
        <v>Special Order</v>
      </c>
      <c r="E1827" s="18">
        <f>[2]Trucks!J1824</f>
        <v>0</v>
      </c>
      <c r="F1827" s="12">
        <f>[2]Trucks!E1824</f>
        <v>0</v>
      </c>
      <c r="G1827" s="56">
        <f>[2]Trucks!K1824</f>
        <v>0</v>
      </c>
      <c r="H1827" s="46">
        <f>[2]Trucks!I1824</f>
        <v>0</v>
      </c>
      <c r="I1827" s="83" t="str">
        <f t="shared" si="140"/>
        <v/>
      </c>
      <c r="J1827" s="272" t="str">
        <f>IFERROR(VLOOKUP((D1827&amp;C1827)&amp;"",'[2]Retail Price List'!$C$4:$F$102,3,FALSE),"")</f>
        <v/>
      </c>
      <c r="K1827" s="272">
        <f>IFERROR(IF(BA1827="WIP - 30 Days",VLOOKUP(D1827,[3]Standard!$B$9:$E$101,4,FALSE),IF(BA1827="31-120 Days",VLOOKUP(D1827,[3]Standard!$B$9:$F$101,5,FALSE),IF(BA1827="121-365 Days",VLOOKUP(D1827,[3]Standard!$B$9:$G$101,6,FALSE),VLOOKUP(D1827,[3]Standard!$B$9:$H$101,7,FALSE)))),0)</f>
        <v>0</v>
      </c>
      <c r="L1827" s="272">
        <f>IFERROR(IF(BA1827="WIP - 30 Days",VLOOKUP(D1827,[3]Standard!$B$9:$J$101,9,FALSE),IF(BA1827="31-120 Days",VLOOKUP(D1827,[3]Standard!$B$9:$K$100,10,FALSE),IF(BA1827="121-365 Days",VLOOKUP(D1827,[3]Standard!$B$9:$L$101,11,FALSE),VLOOKUP(D1827,[3]Standard!$B$9:$M$101,12,FALSE)))),0)</f>
        <v>0</v>
      </c>
      <c r="M1827" s="269" t="str">
        <f>IFERROR(VLOOKUP((D1827&amp;C1827)&amp;"",'[2]Retail Price List'!$C$4:$F$102,4,FALSE),"")</f>
        <v/>
      </c>
      <c r="N1827" s="269">
        <f>IFERROR(IF(BA1827="WIP - 30 Days",VLOOKUP(D1827,[3]Extended!$B$9:$E$101,4,FALSE),IF(BA1827="31-120 Days",VLOOKUP(D1827,[3]Extended!$B$9:$F$101,5,FALSE),IF(BA1827="121-365 Days",VLOOKUP(D1827,[3]Extended!$B$9:$G$101,6,FALSE),VLOOKUP(D1827,[3]Extended!$B$9:$H$101,7,FALSE)))),0)</f>
        <v>0</v>
      </c>
      <c r="O1827" s="269">
        <f>IFERROR(IF(BA1827="WIP - 30 Days",VLOOKUP(D1827,[3]Extended!$B$9:$J$101,9,FALSE),IF(BA1827="31-120 Days",VLOOKUP(D1827,[3]Extended!$B$9:$K$101,10,FALSE),IF(BA1827="121-365 Days",VLOOKUP(D1827,[3]Extended!$B$9:$L$101,11,FALSE),VLOOKUP(D1827,[3]Extended!$B$9:$M$101,12,FALSE)))),0)</f>
        <v>0</v>
      </c>
      <c r="P1827" s="116" t="e">
        <f t="shared" si="141"/>
        <v>#VALUE!</v>
      </c>
      <c r="Q1827" s="110" t="e">
        <f>O1827-#REF!</f>
        <v>#REF!</v>
      </c>
      <c r="AT1827" s="88" t="str">
        <f t="shared" si="142"/>
        <v>Special Order0</v>
      </c>
      <c r="AU1827" s="89" t="str">
        <f t="shared" si="143"/>
        <v>01-1900</v>
      </c>
      <c r="BA1827" s="92" t="str">
        <f t="shared" si="144"/>
        <v/>
      </c>
    </row>
    <row r="1828" spans="2:53">
      <c r="B1828" s="60">
        <f>[2]Trucks!A1825</f>
        <v>0</v>
      </c>
      <c r="C1828" s="11">
        <f>[2]Trucks!B1825</f>
        <v>0</v>
      </c>
      <c r="D1828" s="19" t="str">
        <f>IFERROR(VLOOKUP(C1828&amp;"",'[2]Retail Price List'!$A$3:$B$103,2,FALSE),"Special Order")</f>
        <v>Special Order</v>
      </c>
      <c r="E1828" s="18">
        <f>[2]Trucks!J1825</f>
        <v>0</v>
      </c>
      <c r="F1828" s="12">
        <f>[2]Trucks!E1825</f>
        <v>0</v>
      </c>
      <c r="G1828" s="56">
        <f>[2]Trucks!K1825</f>
        <v>0</v>
      </c>
      <c r="H1828" s="46">
        <f>[2]Trucks!I1825</f>
        <v>0</v>
      </c>
      <c r="I1828" s="83" t="str">
        <f t="shared" si="140"/>
        <v/>
      </c>
      <c r="J1828" s="272" t="str">
        <f>IFERROR(VLOOKUP((D1828&amp;C1828)&amp;"",'[2]Retail Price List'!$C$4:$F$102,3,FALSE),"")</f>
        <v/>
      </c>
      <c r="K1828" s="272">
        <f>IFERROR(IF(BA1828="WIP - 30 Days",VLOOKUP(D1828,[3]Standard!$B$9:$E$101,4,FALSE),IF(BA1828="31-120 Days",VLOOKUP(D1828,[3]Standard!$B$9:$F$101,5,FALSE),IF(BA1828="121-365 Days",VLOOKUP(D1828,[3]Standard!$B$9:$G$101,6,FALSE),VLOOKUP(D1828,[3]Standard!$B$9:$H$101,7,FALSE)))),0)</f>
        <v>0</v>
      </c>
      <c r="L1828" s="272">
        <f>IFERROR(IF(BA1828="WIP - 30 Days",VLOOKUP(D1828,[3]Standard!$B$9:$J$101,9,FALSE),IF(BA1828="31-120 Days",VLOOKUP(D1828,[3]Standard!$B$9:$K$100,10,FALSE),IF(BA1828="121-365 Days",VLOOKUP(D1828,[3]Standard!$B$9:$L$101,11,FALSE),VLOOKUP(D1828,[3]Standard!$B$9:$M$101,12,FALSE)))),0)</f>
        <v>0</v>
      </c>
      <c r="M1828" s="269" t="str">
        <f>IFERROR(VLOOKUP((D1828&amp;C1828)&amp;"",'[2]Retail Price List'!$C$4:$F$102,4,FALSE),"")</f>
        <v/>
      </c>
      <c r="N1828" s="269">
        <f>IFERROR(IF(BA1828="WIP - 30 Days",VLOOKUP(D1828,[3]Extended!$B$9:$E$101,4,FALSE),IF(BA1828="31-120 Days",VLOOKUP(D1828,[3]Extended!$B$9:$F$101,5,FALSE),IF(BA1828="121-365 Days",VLOOKUP(D1828,[3]Extended!$B$9:$G$101,6,FALSE),VLOOKUP(D1828,[3]Extended!$B$9:$H$101,7,FALSE)))),0)</f>
        <v>0</v>
      </c>
      <c r="O1828" s="269">
        <f>IFERROR(IF(BA1828="WIP - 30 Days",VLOOKUP(D1828,[3]Extended!$B$9:$J$101,9,FALSE),IF(BA1828="31-120 Days",VLOOKUP(D1828,[3]Extended!$B$9:$K$101,10,FALSE),IF(BA1828="121-365 Days",VLOOKUP(D1828,[3]Extended!$B$9:$L$101,11,FALSE),VLOOKUP(D1828,[3]Extended!$B$9:$M$101,12,FALSE)))),0)</f>
        <v>0</v>
      </c>
      <c r="P1828" s="116" t="e">
        <f t="shared" si="141"/>
        <v>#VALUE!</v>
      </c>
      <c r="Q1828" s="110" t="e">
        <f>O1828-#REF!</f>
        <v>#REF!</v>
      </c>
      <c r="AT1828" s="88" t="str">
        <f t="shared" si="142"/>
        <v>Special Order0</v>
      </c>
      <c r="AU1828" s="89" t="str">
        <f t="shared" si="143"/>
        <v>01-1900</v>
      </c>
      <c r="BA1828" s="92" t="str">
        <f t="shared" si="144"/>
        <v/>
      </c>
    </row>
    <row r="1829" spans="2:53">
      <c r="B1829" s="60">
        <f>[2]Trucks!A1826</f>
        <v>0</v>
      </c>
      <c r="C1829" s="11">
        <f>[2]Trucks!B1826</f>
        <v>0</v>
      </c>
      <c r="D1829" s="19" t="str">
        <f>IFERROR(VLOOKUP(C1829&amp;"",'[2]Retail Price List'!$A$3:$B$103,2,FALSE),"Special Order")</f>
        <v>Special Order</v>
      </c>
      <c r="E1829" s="18">
        <f>[2]Trucks!J1826</f>
        <v>0</v>
      </c>
      <c r="F1829" s="12">
        <f>[2]Trucks!E1826</f>
        <v>0</v>
      </c>
      <c r="G1829" s="56">
        <f>[2]Trucks!K1826</f>
        <v>0</v>
      </c>
      <c r="H1829" s="46">
        <f>[2]Trucks!I1826</f>
        <v>0</v>
      </c>
      <c r="I1829" s="83" t="str">
        <f t="shared" si="140"/>
        <v/>
      </c>
      <c r="J1829" s="272" t="str">
        <f>IFERROR(VLOOKUP((D1829&amp;C1829)&amp;"",'[2]Retail Price List'!$C$4:$F$102,3,FALSE),"")</f>
        <v/>
      </c>
      <c r="K1829" s="272">
        <f>IFERROR(IF(BA1829="WIP - 30 Days",VLOOKUP(D1829,[3]Standard!$B$9:$E$101,4,FALSE),IF(BA1829="31-120 Days",VLOOKUP(D1829,[3]Standard!$B$9:$F$101,5,FALSE),IF(BA1829="121-365 Days",VLOOKUP(D1829,[3]Standard!$B$9:$G$101,6,FALSE),VLOOKUP(D1829,[3]Standard!$B$9:$H$101,7,FALSE)))),0)</f>
        <v>0</v>
      </c>
      <c r="L1829" s="272">
        <f>IFERROR(IF(BA1829="WIP - 30 Days",VLOOKUP(D1829,[3]Standard!$B$9:$J$101,9,FALSE),IF(BA1829="31-120 Days",VLOOKUP(D1829,[3]Standard!$B$9:$K$100,10,FALSE),IF(BA1829="121-365 Days",VLOOKUP(D1829,[3]Standard!$B$9:$L$101,11,FALSE),VLOOKUP(D1829,[3]Standard!$B$9:$M$101,12,FALSE)))),0)</f>
        <v>0</v>
      </c>
      <c r="M1829" s="269" t="str">
        <f>IFERROR(VLOOKUP((D1829&amp;C1829)&amp;"",'[2]Retail Price List'!$C$4:$F$102,4,FALSE),"")</f>
        <v/>
      </c>
      <c r="N1829" s="269">
        <f>IFERROR(IF(BA1829="WIP - 30 Days",VLOOKUP(D1829,[3]Extended!$B$9:$E$101,4,FALSE),IF(BA1829="31-120 Days",VLOOKUP(D1829,[3]Extended!$B$9:$F$101,5,FALSE),IF(BA1829="121-365 Days",VLOOKUP(D1829,[3]Extended!$B$9:$G$101,6,FALSE),VLOOKUP(D1829,[3]Extended!$B$9:$H$101,7,FALSE)))),0)</f>
        <v>0</v>
      </c>
      <c r="O1829" s="269">
        <f>IFERROR(IF(BA1829="WIP - 30 Days",VLOOKUP(D1829,[3]Extended!$B$9:$J$101,9,FALSE),IF(BA1829="31-120 Days",VLOOKUP(D1829,[3]Extended!$B$9:$K$101,10,FALSE),IF(BA1829="121-365 Days",VLOOKUP(D1829,[3]Extended!$B$9:$L$101,11,FALSE),VLOOKUP(D1829,[3]Extended!$B$9:$M$101,12,FALSE)))),0)</f>
        <v>0</v>
      </c>
      <c r="P1829" s="116" t="e">
        <f t="shared" si="141"/>
        <v>#VALUE!</v>
      </c>
      <c r="Q1829" s="110" t="e">
        <f>O1829-#REF!</f>
        <v>#REF!</v>
      </c>
      <c r="AT1829" s="88" t="str">
        <f t="shared" si="142"/>
        <v>Special Order0</v>
      </c>
      <c r="AU1829" s="89" t="str">
        <f t="shared" si="143"/>
        <v>01-1900</v>
      </c>
      <c r="BA1829" s="92" t="str">
        <f t="shared" si="144"/>
        <v/>
      </c>
    </row>
    <row r="1830" spans="2:53">
      <c r="B1830" s="60">
        <f>[2]Trucks!A1827</f>
        <v>0</v>
      </c>
      <c r="C1830" s="11">
        <f>[2]Trucks!B1827</f>
        <v>0</v>
      </c>
      <c r="D1830" s="19" t="str">
        <f>IFERROR(VLOOKUP(C1830&amp;"",'[2]Retail Price List'!$A$3:$B$103,2,FALSE),"Special Order")</f>
        <v>Special Order</v>
      </c>
      <c r="E1830" s="18">
        <f>[2]Trucks!J1827</f>
        <v>0</v>
      </c>
      <c r="F1830" s="12">
        <f>[2]Trucks!E1827</f>
        <v>0</v>
      </c>
      <c r="G1830" s="56">
        <f>[2]Trucks!K1827</f>
        <v>0</v>
      </c>
      <c r="H1830" s="46">
        <f>[2]Trucks!I1827</f>
        <v>0</v>
      </c>
      <c r="I1830" s="83" t="str">
        <f t="shared" si="140"/>
        <v/>
      </c>
      <c r="J1830" s="272" t="str">
        <f>IFERROR(VLOOKUP((D1830&amp;C1830)&amp;"",'[2]Retail Price List'!$C$4:$F$102,3,FALSE),"")</f>
        <v/>
      </c>
      <c r="K1830" s="272">
        <f>IFERROR(IF(BA1830="WIP - 30 Days",VLOOKUP(D1830,[3]Standard!$B$9:$E$101,4,FALSE),IF(BA1830="31-120 Days",VLOOKUP(D1830,[3]Standard!$B$9:$F$101,5,FALSE),IF(BA1830="121-365 Days",VLOOKUP(D1830,[3]Standard!$B$9:$G$101,6,FALSE),VLOOKUP(D1830,[3]Standard!$B$9:$H$101,7,FALSE)))),0)</f>
        <v>0</v>
      </c>
      <c r="L1830" s="272">
        <f>IFERROR(IF(BA1830="WIP - 30 Days",VLOOKUP(D1830,[3]Standard!$B$9:$J$101,9,FALSE),IF(BA1830="31-120 Days",VLOOKUP(D1830,[3]Standard!$B$9:$K$100,10,FALSE),IF(BA1830="121-365 Days",VLOOKUP(D1830,[3]Standard!$B$9:$L$101,11,FALSE),VLOOKUP(D1830,[3]Standard!$B$9:$M$101,12,FALSE)))),0)</f>
        <v>0</v>
      </c>
      <c r="M1830" s="269" t="str">
        <f>IFERROR(VLOOKUP((D1830&amp;C1830)&amp;"",'[2]Retail Price List'!$C$4:$F$102,4,FALSE),"")</f>
        <v/>
      </c>
      <c r="N1830" s="269">
        <f>IFERROR(IF(BA1830="WIP - 30 Days",VLOOKUP(D1830,[3]Extended!$B$9:$E$101,4,FALSE),IF(BA1830="31-120 Days",VLOOKUP(D1830,[3]Extended!$B$9:$F$101,5,FALSE),IF(BA1830="121-365 Days",VLOOKUP(D1830,[3]Extended!$B$9:$G$101,6,FALSE),VLOOKUP(D1830,[3]Extended!$B$9:$H$101,7,FALSE)))),0)</f>
        <v>0</v>
      </c>
      <c r="O1830" s="269">
        <f>IFERROR(IF(BA1830="WIP - 30 Days",VLOOKUP(D1830,[3]Extended!$B$9:$J$101,9,FALSE),IF(BA1830="31-120 Days",VLOOKUP(D1830,[3]Extended!$B$9:$K$101,10,FALSE),IF(BA1830="121-365 Days",VLOOKUP(D1830,[3]Extended!$B$9:$L$101,11,FALSE),VLOOKUP(D1830,[3]Extended!$B$9:$M$101,12,FALSE)))),0)</f>
        <v>0</v>
      </c>
      <c r="P1830" s="116" t="e">
        <f t="shared" si="141"/>
        <v>#VALUE!</v>
      </c>
      <c r="Q1830" s="110" t="e">
        <f>O1830-#REF!</f>
        <v>#REF!</v>
      </c>
      <c r="AT1830" s="88" t="str">
        <f t="shared" si="142"/>
        <v>Special Order0</v>
      </c>
      <c r="AU1830" s="89" t="str">
        <f t="shared" si="143"/>
        <v>01-1900</v>
      </c>
      <c r="BA1830" s="92" t="str">
        <f t="shared" si="144"/>
        <v/>
      </c>
    </row>
    <row r="1831" spans="2:53">
      <c r="B1831" s="60">
        <f>[2]Trucks!A1828</f>
        <v>0</v>
      </c>
      <c r="C1831" s="11">
        <f>[2]Trucks!B1828</f>
        <v>0</v>
      </c>
      <c r="D1831" s="19" t="str">
        <f>IFERROR(VLOOKUP(C1831&amp;"",'[2]Retail Price List'!$A$3:$B$103,2,FALSE),"Special Order")</f>
        <v>Special Order</v>
      </c>
      <c r="E1831" s="18">
        <f>[2]Trucks!J1828</f>
        <v>0</v>
      </c>
      <c r="F1831" s="12">
        <f>[2]Trucks!E1828</f>
        <v>0</v>
      </c>
      <c r="G1831" s="56">
        <f>[2]Trucks!K1828</f>
        <v>0</v>
      </c>
      <c r="H1831" s="46">
        <f>[2]Trucks!I1828</f>
        <v>0</v>
      </c>
      <c r="I1831" s="83" t="str">
        <f t="shared" si="140"/>
        <v/>
      </c>
      <c r="J1831" s="272" t="str">
        <f>IFERROR(VLOOKUP((D1831&amp;C1831)&amp;"",'[2]Retail Price List'!$C$4:$F$102,3,FALSE),"")</f>
        <v/>
      </c>
      <c r="K1831" s="272">
        <f>IFERROR(IF(BA1831="WIP - 30 Days",VLOOKUP(D1831,[3]Standard!$B$9:$E$101,4,FALSE),IF(BA1831="31-120 Days",VLOOKUP(D1831,[3]Standard!$B$9:$F$101,5,FALSE),IF(BA1831="121-365 Days",VLOOKUP(D1831,[3]Standard!$B$9:$G$101,6,FALSE),VLOOKUP(D1831,[3]Standard!$B$9:$H$101,7,FALSE)))),0)</f>
        <v>0</v>
      </c>
      <c r="L1831" s="272">
        <f>IFERROR(IF(BA1831="WIP - 30 Days",VLOOKUP(D1831,[3]Standard!$B$9:$J$101,9,FALSE),IF(BA1831="31-120 Days",VLOOKUP(D1831,[3]Standard!$B$9:$K$100,10,FALSE),IF(BA1831="121-365 Days",VLOOKUP(D1831,[3]Standard!$B$9:$L$101,11,FALSE),VLOOKUP(D1831,[3]Standard!$B$9:$M$101,12,FALSE)))),0)</f>
        <v>0</v>
      </c>
      <c r="M1831" s="269" t="str">
        <f>IFERROR(VLOOKUP((D1831&amp;C1831)&amp;"",'[2]Retail Price List'!$C$4:$F$102,4,FALSE),"")</f>
        <v/>
      </c>
      <c r="N1831" s="269">
        <f>IFERROR(IF(BA1831="WIP - 30 Days",VLOOKUP(D1831,[3]Extended!$B$9:$E$101,4,FALSE),IF(BA1831="31-120 Days",VLOOKUP(D1831,[3]Extended!$B$9:$F$101,5,FALSE),IF(BA1831="121-365 Days",VLOOKUP(D1831,[3]Extended!$B$9:$G$101,6,FALSE),VLOOKUP(D1831,[3]Extended!$B$9:$H$101,7,FALSE)))),0)</f>
        <v>0</v>
      </c>
      <c r="O1831" s="269">
        <f>IFERROR(IF(BA1831="WIP - 30 Days",VLOOKUP(D1831,[3]Extended!$B$9:$J$101,9,FALSE),IF(BA1831="31-120 Days",VLOOKUP(D1831,[3]Extended!$B$9:$K$101,10,FALSE),IF(BA1831="121-365 Days",VLOOKUP(D1831,[3]Extended!$B$9:$L$101,11,FALSE),VLOOKUP(D1831,[3]Extended!$B$9:$M$101,12,FALSE)))),0)</f>
        <v>0</v>
      </c>
      <c r="P1831" s="116" t="e">
        <f t="shared" si="141"/>
        <v>#VALUE!</v>
      </c>
      <c r="Q1831" s="110" t="e">
        <f>O1831-#REF!</f>
        <v>#REF!</v>
      </c>
      <c r="AT1831" s="88" t="str">
        <f t="shared" si="142"/>
        <v>Special Order0</v>
      </c>
      <c r="AU1831" s="89" t="str">
        <f t="shared" si="143"/>
        <v>01-1900</v>
      </c>
      <c r="BA1831" s="92" t="str">
        <f t="shared" si="144"/>
        <v/>
      </c>
    </row>
    <row r="1832" spans="2:53">
      <c r="B1832" s="60">
        <f>[2]Trucks!A1829</f>
        <v>0</v>
      </c>
      <c r="C1832" s="11">
        <f>[2]Trucks!B1829</f>
        <v>0</v>
      </c>
      <c r="D1832" s="19" t="str">
        <f>IFERROR(VLOOKUP(C1832&amp;"",'[2]Retail Price List'!$A$3:$B$103,2,FALSE),"Special Order")</f>
        <v>Special Order</v>
      </c>
      <c r="E1832" s="18">
        <f>[2]Trucks!J1829</f>
        <v>0</v>
      </c>
      <c r="F1832" s="12">
        <f>[2]Trucks!E1829</f>
        <v>0</v>
      </c>
      <c r="G1832" s="56">
        <f>[2]Trucks!K1829</f>
        <v>0</v>
      </c>
      <c r="H1832" s="46">
        <f>[2]Trucks!I1829</f>
        <v>0</v>
      </c>
      <c r="I1832" s="83" t="str">
        <f t="shared" si="140"/>
        <v/>
      </c>
      <c r="J1832" s="272" t="str">
        <f>IFERROR(VLOOKUP((D1832&amp;C1832)&amp;"",'[2]Retail Price List'!$C$4:$F$102,3,FALSE),"")</f>
        <v/>
      </c>
      <c r="K1832" s="272">
        <f>IFERROR(IF(BA1832="WIP - 30 Days",VLOOKUP(D1832,[3]Standard!$B$9:$E$101,4,FALSE),IF(BA1832="31-120 Days",VLOOKUP(D1832,[3]Standard!$B$9:$F$101,5,FALSE),IF(BA1832="121-365 Days",VLOOKUP(D1832,[3]Standard!$B$9:$G$101,6,FALSE),VLOOKUP(D1832,[3]Standard!$B$9:$H$101,7,FALSE)))),0)</f>
        <v>0</v>
      </c>
      <c r="L1832" s="272">
        <f>IFERROR(IF(BA1832="WIP - 30 Days",VLOOKUP(D1832,[3]Standard!$B$9:$J$101,9,FALSE),IF(BA1832="31-120 Days",VLOOKUP(D1832,[3]Standard!$B$9:$K$100,10,FALSE),IF(BA1832="121-365 Days",VLOOKUP(D1832,[3]Standard!$B$9:$L$101,11,FALSE),VLOOKUP(D1832,[3]Standard!$B$9:$M$101,12,FALSE)))),0)</f>
        <v>0</v>
      </c>
      <c r="M1832" s="269" t="str">
        <f>IFERROR(VLOOKUP((D1832&amp;C1832)&amp;"",'[2]Retail Price List'!$C$4:$F$102,4,FALSE),"")</f>
        <v/>
      </c>
      <c r="N1832" s="269">
        <f>IFERROR(IF(BA1832="WIP - 30 Days",VLOOKUP(D1832,[3]Extended!$B$9:$E$101,4,FALSE),IF(BA1832="31-120 Days",VLOOKUP(D1832,[3]Extended!$B$9:$F$101,5,FALSE),IF(BA1832="121-365 Days",VLOOKUP(D1832,[3]Extended!$B$9:$G$101,6,FALSE),VLOOKUP(D1832,[3]Extended!$B$9:$H$101,7,FALSE)))),0)</f>
        <v>0</v>
      </c>
      <c r="O1832" s="269">
        <f>IFERROR(IF(BA1832="WIP - 30 Days",VLOOKUP(D1832,[3]Extended!$B$9:$J$101,9,FALSE),IF(BA1832="31-120 Days",VLOOKUP(D1832,[3]Extended!$B$9:$K$101,10,FALSE),IF(BA1832="121-365 Days",VLOOKUP(D1832,[3]Extended!$B$9:$L$101,11,FALSE),VLOOKUP(D1832,[3]Extended!$B$9:$M$101,12,FALSE)))),0)</f>
        <v>0</v>
      </c>
      <c r="P1832" s="116" t="e">
        <f t="shared" si="141"/>
        <v>#VALUE!</v>
      </c>
      <c r="Q1832" s="110" t="e">
        <f>O1832-#REF!</f>
        <v>#REF!</v>
      </c>
      <c r="AT1832" s="88" t="str">
        <f t="shared" si="142"/>
        <v>Special Order0</v>
      </c>
      <c r="AU1832" s="89" t="str">
        <f t="shared" si="143"/>
        <v>01-1900</v>
      </c>
      <c r="BA1832" s="92" t="str">
        <f t="shared" si="144"/>
        <v/>
      </c>
    </row>
    <row r="1833" spans="2:53">
      <c r="B1833" s="60">
        <f>[2]Trucks!A1830</f>
        <v>0</v>
      </c>
      <c r="C1833" s="11">
        <f>[2]Trucks!B1830</f>
        <v>0</v>
      </c>
      <c r="D1833" s="19" t="str">
        <f>IFERROR(VLOOKUP(C1833&amp;"",'[2]Retail Price List'!$A$3:$B$103,2,FALSE),"Special Order")</f>
        <v>Special Order</v>
      </c>
      <c r="E1833" s="18">
        <f>[2]Trucks!J1830</f>
        <v>0</v>
      </c>
      <c r="F1833" s="12">
        <f>[2]Trucks!E1830</f>
        <v>0</v>
      </c>
      <c r="G1833" s="56">
        <f>[2]Trucks!K1830</f>
        <v>0</v>
      </c>
      <c r="H1833" s="46">
        <f>[2]Trucks!I1830</f>
        <v>0</v>
      </c>
      <c r="I1833" s="83" t="str">
        <f t="shared" si="140"/>
        <v/>
      </c>
      <c r="J1833" s="272" t="str">
        <f>IFERROR(VLOOKUP((D1833&amp;C1833)&amp;"",'[2]Retail Price List'!$C$4:$F$102,3,FALSE),"")</f>
        <v/>
      </c>
      <c r="K1833" s="272">
        <f>IFERROR(IF(BA1833="WIP - 30 Days",VLOOKUP(D1833,[3]Standard!$B$9:$E$101,4,FALSE),IF(BA1833="31-120 Days",VLOOKUP(D1833,[3]Standard!$B$9:$F$101,5,FALSE),IF(BA1833="121-365 Days",VLOOKUP(D1833,[3]Standard!$B$9:$G$101,6,FALSE),VLOOKUP(D1833,[3]Standard!$B$9:$H$101,7,FALSE)))),0)</f>
        <v>0</v>
      </c>
      <c r="L1833" s="272">
        <f>IFERROR(IF(BA1833="WIP - 30 Days",VLOOKUP(D1833,[3]Standard!$B$9:$J$101,9,FALSE),IF(BA1833="31-120 Days",VLOOKUP(D1833,[3]Standard!$B$9:$K$100,10,FALSE),IF(BA1833="121-365 Days",VLOOKUP(D1833,[3]Standard!$B$9:$L$101,11,FALSE),VLOOKUP(D1833,[3]Standard!$B$9:$M$101,12,FALSE)))),0)</f>
        <v>0</v>
      </c>
      <c r="M1833" s="269" t="str">
        <f>IFERROR(VLOOKUP((D1833&amp;C1833)&amp;"",'[2]Retail Price List'!$C$4:$F$102,4,FALSE),"")</f>
        <v/>
      </c>
      <c r="N1833" s="269">
        <f>IFERROR(IF(BA1833="WIP - 30 Days",VLOOKUP(D1833,[3]Extended!$B$9:$E$101,4,FALSE),IF(BA1833="31-120 Days",VLOOKUP(D1833,[3]Extended!$B$9:$F$101,5,FALSE),IF(BA1833="121-365 Days",VLOOKUP(D1833,[3]Extended!$B$9:$G$101,6,FALSE),VLOOKUP(D1833,[3]Extended!$B$9:$H$101,7,FALSE)))),0)</f>
        <v>0</v>
      </c>
      <c r="O1833" s="269">
        <f>IFERROR(IF(BA1833="WIP - 30 Days",VLOOKUP(D1833,[3]Extended!$B$9:$J$101,9,FALSE),IF(BA1833="31-120 Days",VLOOKUP(D1833,[3]Extended!$B$9:$K$101,10,FALSE),IF(BA1833="121-365 Days",VLOOKUP(D1833,[3]Extended!$B$9:$L$101,11,FALSE),VLOOKUP(D1833,[3]Extended!$B$9:$M$101,12,FALSE)))),0)</f>
        <v>0</v>
      </c>
      <c r="P1833" s="116" t="e">
        <f t="shared" si="141"/>
        <v>#VALUE!</v>
      </c>
      <c r="Q1833" s="110" t="e">
        <f>O1833-#REF!</f>
        <v>#REF!</v>
      </c>
      <c r="AT1833" s="88" t="str">
        <f t="shared" si="142"/>
        <v>Special Order0</v>
      </c>
      <c r="AU1833" s="89" t="str">
        <f t="shared" si="143"/>
        <v>01-1900</v>
      </c>
      <c r="BA1833" s="92" t="str">
        <f t="shared" si="144"/>
        <v/>
      </c>
    </row>
    <row r="1834" spans="2:53">
      <c r="B1834" s="60">
        <f>[2]Trucks!A1831</f>
        <v>0</v>
      </c>
      <c r="C1834" s="11">
        <f>[2]Trucks!B1831</f>
        <v>0</v>
      </c>
      <c r="D1834" s="19" t="str">
        <f>IFERROR(VLOOKUP(C1834&amp;"",'[2]Retail Price List'!$A$3:$B$103,2,FALSE),"Special Order")</f>
        <v>Special Order</v>
      </c>
      <c r="E1834" s="18">
        <f>[2]Trucks!J1831</f>
        <v>0</v>
      </c>
      <c r="F1834" s="12">
        <f>[2]Trucks!E1831</f>
        <v>0</v>
      </c>
      <c r="G1834" s="56">
        <f>[2]Trucks!K1831</f>
        <v>0</v>
      </c>
      <c r="H1834" s="46">
        <f>[2]Trucks!I1831</f>
        <v>0</v>
      </c>
      <c r="I1834" s="83" t="str">
        <f t="shared" si="140"/>
        <v/>
      </c>
      <c r="J1834" s="272" t="str">
        <f>IFERROR(VLOOKUP((D1834&amp;C1834)&amp;"",'[2]Retail Price List'!$C$4:$F$102,3,FALSE),"")</f>
        <v/>
      </c>
      <c r="K1834" s="272">
        <f>IFERROR(IF(BA1834="WIP - 30 Days",VLOOKUP(D1834,[3]Standard!$B$9:$E$101,4,FALSE),IF(BA1834="31-120 Days",VLOOKUP(D1834,[3]Standard!$B$9:$F$101,5,FALSE),IF(BA1834="121-365 Days",VLOOKUP(D1834,[3]Standard!$B$9:$G$101,6,FALSE),VLOOKUP(D1834,[3]Standard!$B$9:$H$101,7,FALSE)))),0)</f>
        <v>0</v>
      </c>
      <c r="L1834" s="272">
        <f>IFERROR(IF(BA1834="WIP - 30 Days",VLOOKUP(D1834,[3]Standard!$B$9:$J$101,9,FALSE),IF(BA1834="31-120 Days",VLOOKUP(D1834,[3]Standard!$B$9:$K$100,10,FALSE),IF(BA1834="121-365 Days",VLOOKUP(D1834,[3]Standard!$B$9:$L$101,11,FALSE),VLOOKUP(D1834,[3]Standard!$B$9:$M$101,12,FALSE)))),0)</f>
        <v>0</v>
      </c>
      <c r="M1834" s="269" t="str">
        <f>IFERROR(VLOOKUP((D1834&amp;C1834)&amp;"",'[2]Retail Price List'!$C$4:$F$102,4,FALSE),"")</f>
        <v/>
      </c>
      <c r="N1834" s="269">
        <f>IFERROR(IF(BA1834="WIP - 30 Days",VLOOKUP(D1834,[3]Extended!$B$9:$E$101,4,FALSE),IF(BA1834="31-120 Days",VLOOKUP(D1834,[3]Extended!$B$9:$F$101,5,FALSE),IF(BA1834="121-365 Days",VLOOKUP(D1834,[3]Extended!$B$9:$G$101,6,FALSE),VLOOKUP(D1834,[3]Extended!$B$9:$H$101,7,FALSE)))),0)</f>
        <v>0</v>
      </c>
      <c r="O1834" s="269">
        <f>IFERROR(IF(BA1834="WIP - 30 Days",VLOOKUP(D1834,[3]Extended!$B$9:$J$101,9,FALSE),IF(BA1834="31-120 Days",VLOOKUP(D1834,[3]Extended!$B$9:$K$101,10,FALSE),IF(BA1834="121-365 Days",VLOOKUP(D1834,[3]Extended!$B$9:$L$101,11,FALSE),VLOOKUP(D1834,[3]Extended!$B$9:$M$101,12,FALSE)))),0)</f>
        <v>0</v>
      </c>
      <c r="P1834" s="116" t="e">
        <f t="shared" si="141"/>
        <v>#VALUE!</v>
      </c>
      <c r="Q1834" s="110" t="e">
        <f>O1834-#REF!</f>
        <v>#REF!</v>
      </c>
      <c r="AT1834" s="88" t="str">
        <f t="shared" si="142"/>
        <v>Special Order0</v>
      </c>
      <c r="AU1834" s="89" t="str">
        <f t="shared" si="143"/>
        <v>01-1900</v>
      </c>
      <c r="BA1834" s="92" t="str">
        <f t="shared" si="144"/>
        <v/>
      </c>
    </row>
    <row r="1835" spans="2:53">
      <c r="B1835" s="60">
        <f>[2]Trucks!A1832</f>
        <v>0</v>
      </c>
      <c r="C1835" s="11">
        <f>[2]Trucks!B1832</f>
        <v>0</v>
      </c>
      <c r="D1835" s="19" t="str">
        <f>IFERROR(VLOOKUP(C1835&amp;"",'[2]Retail Price List'!$A$3:$B$103,2,FALSE),"Special Order")</f>
        <v>Special Order</v>
      </c>
      <c r="E1835" s="18">
        <f>[2]Trucks!J1832</f>
        <v>0</v>
      </c>
      <c r="F1835" s="12">
        <f>[2]Trucks!E1832</f>
        <v>0</v>
      </c>
      <c r="G1835" s="56">
        <f>[2]Trucks!K1832</f>
        <v>0</v>
      </c>
      <c r="H1835" s="46">
        <f>[2]Trucks!I1832</f>
        <v>0</v>
      </c>
      <c r="I1835" s="83" t="str">
        <f t="shared" si="140"/>
        <v/>
      </c>
      <c r="J1835" s="272" t="str">
        <f>IFERROR(VLOOKUP((D1835&amp;C1835)&amp;"",'[2]Retail Price List'!$C$4:$F$102,3,FALSE),"")</f>
        <v/>
      </c>
      <c r="K1835" s="272">
        <f>IFERROR(IF(BA1835="WIP - 30 Days",VLOOKUP(D1835,[3]Standard!$B$9:$E$101,4,FALSE),IF(BA1835="31-120 Days",VLOOKUP(D1835,[3]Standard!$B$9:$F$101,5,FALSE),IF(BA1835="121-365 Days",VLOOKUP(D1835,[3]Standard!$B$9:$G$101,6,FALSE),VLOOKUP(D1835,[3]Standard!$B$9:$H$101,7,FALSE)))),0)</f>
        <v>0</v>
      </c>
      <c r="L1835" s="272">
        <f>IFERROR(IF(BA1835="WIP - 30 Days",VLOOKUP(D1835,[3]Standard!$B$9:$J$101,9,FALSE),IF(BA1835="31-120 Days",VLOOKUP(D1835,[3]Standard!$B$9:$K$100,10,FALSE),IF(BA1835="121-365 Days",VLOOKUP(D1835,[3]Standard!$B$9:$L$101,11,FALSE),VLOOKUP(D1835,[3]Standard!$B$9:$M$101,12,FALSE)))),0)</f>
        <v>0</v>
      </c>
      <c r="M1835" s="269" t="str">
        <f>IFERROR(VLOOKUP((D1835&amp;C1835)&amp;"",'[2]Retail Price List'!$C$4:$F$102,4,FALSE),"")</f>
        <v/>
      </c>
      <c r="N1835" s="269">
        <f>IFERROR(IF(BA1835="WIP - 30 Days",VLOOKUP(D1835,[3]Extended!$B$9:$E$101,4,FALSE),IF(BA1835="31-120 Days",VLOOKUP(D1835,[3]Extended!$B$9:$F$101,5,FALSE),IF(BA1835="121-365 Days",VLOOKUP(D1835,[3]Extended!$B$9:$G$101,6,FALSE),VLOOKUP(D1835,[3]Extended!$B$9:$H$101,7,FALSE)))),0)</f>
        <v>0</v>
      </c>
      <c r="O1835" s="269">
        <f>IFERROR(IF(BA1835="WIP - 30 Days",VLOOKUP(D1835,[3]Extended!$B$9:$J$101,9,FALSE),IF(BA1835="31-120 Days",VLOOKUP(D1835,[3]Extended!$B$9:$K$101,10,FALSE),IF(BA1835="121-365 Days",VLOOKUP(D1835,[3]Extended!$B$9:$L$101,11,FALSE),VLOOKUP(D1835,[3]Extended!$B$9:$M$101,12,FALSE)))),0)</f>
        <v>0</v>
      </c>
      <c r="P1835" s="116" t="e">
        <f t="shared" si="141"/>
        <v>#VALUE!</v>
      </c>
      <c r="Q1835" s="110" t="e">
        <f>O1835-#REF!</f>
        <v>#REF!</v>
      </c>
      <c r="AT1835" s="88" t="str">
        <f t="shared" si="142"/>
        <v>Special Order0</v>
      </c>
      <c r="AU1835" s="89" t="str">
        <f t="shared" si="143"/>
        <v>01-1900</v>
      </c>
      <c r="BA1835" s="92" t="str">
        <f t="shared" si="144"/>
        <v/>
      </c>
    </row>
    <row r="1836" spans="2:53">
      <c r="B1836" s="60">
        <f>[2]Trucks!A1833</f>
        <v>0</v>
      </c>
      <c r="C1836" s="11">
        <f>[2]Trucks!B1833</f>
        <v>0</v>
      </c>
      <c r="D1836" s="19" t="str">
        <f>IFERROR(VLOOKUP(C1836&amp;"",'[2]Retail Price List'!$A$3:$B$103,2,FALSE),"Special Order")</f>
        <v>Special Order</v>
      </c>
      <c r="E1836" s="18">
        <f>[2]Trucks!J1833</f>
        <v>0</v>
      </c>
      <c r="F1836" s="12">
        <f>[2]Trucks!E1833</f>
        <v>0</v>
      </c>
      <c r="G1836" s="56">
        <f>[2]Trucks!K1833</f>
        <v>0</v>
      </c>
      <c r="H1836" s="46">
        <f>[2]Trucks!I1833</f>
        <v>0</v>
      </c>
      <c r="I1836" s="83" t="str">
        <f t="shared" si="140"/>
        <v/>
      </c>
      <c r="J1836" s="272" t="str">
        <f>IFERROR(VLOOKUP((D1836&amp;C1836)&amp;"",'[2]Retail Price List'!$C$4:$F$102,3,FALSE),"")</f>
        <v/>
      </c>
      <c r="K1836" s="272">
        <f>IFERROR(IF(BA1836="WIP - 30 Days",VLOOKUP(D1836,[3]Standard!$B$9:$E$101,4,FALSE),IF(BA1836="31-120 Days",VLOOKUP(D1836,[3]Standard!$B$9:$F$101,5,FALSE),IF(BA1836="121-365 Days",VLOOKUP(D1836,[3]Standard!$B$9:$G$101,6,FALSE),VLOOKUP(D1836,[3]Standard!$B$9:$H$101,7,FALSE)))),0)</f>
        <v>0</v>
      </c>
      <c r="L1836" s="272">
        <f>IFERROR(IF(BA1836="WIP - 30 Days",VLOOKUP(D1836,[3]Standard!$B$9:$J$101,9,FALSE),IF(BA1836="31-120 Days",VLOOKUP(D1836,[3]Standard!$B$9:$K$100,10,FALSE),IF(BA1836="121-365 Days",VLOOKUP(D1836,[3]Standard!$B$9:$L$101,11,FALSE),VLOOKUP(D1836,[3]Standard!$B$9:$M$101,12,FALSE)))),0)</f>
        <v>0</v>
      </c>
      <c r="M1836" s="269" t="str">
        <f>IFERROR(VLOOKUP((D1836&amp;C1836)&amp;"",'[2]Retail Price List'!$C$4:$F$102,4,FALSE),"")</f>
        <v/>
      </c>
      <c r="N1836" s="269">
        <f>IFERROR(IF(BA1836="WIP - 30 Days",VLOOKUP(D1836,[3]Extended!$B$9:$E$101,4,FALSE),IF(BA1836="31-120 Days",VLOOKUP(D1836,[3]Extended!$B$9:$F$101,5,FALSE),IF(BA1836="121-365 Days",VLOOKUP(D1836,[3]Extended!$B$9:$G$101,6,FALSE),VLOOKUP(D1836,[3]Extended!$B$9:$H$101,7,FALSE)))),0)</f>
        <v>0</v>
      </c>
      <c r="O1836" s="269">
        <f>IFERROR(IF(BA1836="WIP - 30 Days",VLOOKUP(D1836,[3]Extended!$B$9:$J$101,9,FALSE),IF(BA1836="31-120 Days",VLOOKUP(D1836,[3]Extended!$B$9:$K$101,10,FALSE),IF(BA1836="121-365 Days",VLOOKUP(D1836,[3]Extended!$B$9:$L$101,11,FALSE),VLOOKUP(D1836,[3]Extended!$B$9:$M$101,12,FALSE)))),0)</f>
        <v>0</v>
      </c>
      <c r="P1836" s="116" t="e">
        <f t="shared" si="141"/>
        <v>#VALUE!</v>
      </c>
      <c r="Q1836" s="110" t="e">
        <f>O1836-#REF!</f>
        <v>#REF!</v>
      </c>
      <c r="AT1836" s="88" t="str">
        <f t="shared" si="142"/>
        <v>Special Order0</v>
      </c>
      <c r="AU1836" s="89" t="str">
        <f t="shared" si="143"/>
        <v>01-1900</v>
      </c>
      <c r="BA1836" s="92" t="str">
        <f t="shared" si="144"/>
        <v/>
      </c>
    </row>
    <row r="1837" spans="2:53">
      <c r="B1837" s="60">
        <f>[2]Trucks!A1834</f>
        <v>0</v>
      </c>
      <c r="C1837" s="11">
        <f>[2]Trucks!B1834</f>
        <v>0</v>
      </c>
      <c r="D1837" s="19" t="str">
        <f>IFERROR(VLOOKUP(C1837&amp;"",'[2]Retail Price List'!$A$3:$B$103,2,FALSE),"Special Order")</f>
        <v>Special Order</v>
      </c>
      <c r="E1837" s="18">
        <f>[2]Trucks!J1834</f>
        <v>0</v>
      </c>
      <c r="F1837" s="12">
        <f>[2]Trucks!E1834</f>
        <v>0</v>
      </c>
      <c r="G1837" s="56">
        <f>[2]Trucks!K1834</f>
        <v>0</v>
      </c>
      <c r="H1837" s="46">
        <f>[2]Trucks!I1834</f>
        <v>0</v>
      </c>
      <c r="I1837" s="83" t="str">
        <f t="shared" si="140"/>
        <v/>
      </c>
      <c r="J1837" s="272" t="str">
        <f>IFERROR(VLOOKUP((D1837&amp;C1837)&amp;"",'[2]Retail Price List'!$C$4:$F$102,3,FALSE),"")</f>
        <v/>
      </c>
      <c r="K1837" s="272">
        <f>IFERROR(IF(BA1837="WIP - 30 Days",VLOOKUP(D1837,[3]Standard!$B$9:$E$101,4,FALSE),IF(BA1837="31-120 Days",VLOOKUP(D1837,[3]Standard!$B$9:$F$101,5,FALSE),IF(BA1837="121-365 Days",VLOOKUP(D1837,[3]Standard!$B$9:$G$101,6,FALSE),VLOOKUP(D1837,[3]Standard!$B$9:$H$101,7,FALSE)))),0)</f>
        <v>0</v>
      </c>
      <c r="L1837" s="272">
        <f>IFERROR(IF(BA1837="WIP - 30 Days",VLOOKUP(D1837,[3]Standard!$B$9:$J$101,9,FALSE),IF(BA1837="31-120 Days",VLOOKUP(D1837,[3]Standard!$B$9:$K$100,10,FALSE),IF(BA1837="121-365 Days",VLOOKUP(D1837,[3]Standard!$B$9:$L$101,11,FALSE),VLOOKUP(D1837,[3]Standard!$B$9:$M$101,12,FALSE)))),0)</f>
        <v>0</v>
      </c>
      <c r="M1837" s="269" t="str">
        <f>IFERROR(VLOOKUP((D1837&amp;C1837)&amp;"",'[2]Retail Price List'!$C$4:$F$102,4,FALSE),"")</f>
        <v/>
      </c>
      <c r="N1837" s="269">
        <f>IFERROR(IF(BA1837="WIP - 30 Days",VLOOKUP(D1837,[3]Extended!$B$9:$E$101,4,FALSE),IF(BA1837="31-120 Days",VLOOKUP(D1837,[3]Extended!$B$9:$F$101,5,FALSE),IF(BA1837="121-365 Days",VLOOKUP(D1837,[3]Extended!$B$9:$G$101,6,FALSE),VLOOKUP(D1837,[3]Extended!$B$9:$H$101,7,FALSE)))),0)</f>
        <v>0</v>
      </c>
      <c r="O1837" s="269">
        <f>IFERROR(IF(BA1837="WIP - 30 Days",VLOOKUP(D1837,[3]Extended!$B$9:$J$101,9,FALSE),IF(BA1837="31-120 Days",VLOOKUP(D1837,[3]Extended!$B$9:$K$101,10,FALSE),IF(BA1837="121-365 Days",VLOOKUP(D1837,[3]Extended!$B$9:$L$101,11,FALSE),VLOOKUP(D1837,[3]Extended!$B$9:$M$101,12,FALSE)))),0)</f>
        <v>0</v>
      </c>
      <c r="P1837" s="116" t="e">
        <f t="shared" si="141"/>
        <v>#VALUE!</v>
      </c>
      <c r="Q1837" s="110" t="e">
        <f>O1837-#REF!</f>
        <v>#REF!</v>
      </c>
      <c r="AT1837" s="88" t="str">
        <f t="shared" si="142"/>
        <v>Special Order0</v>
      </c>
      <c r="AU1837" s="89" t="str">
        <f t="shared" si="143"/>
        <v>01-1900</v>
      </c>
      <c r="BA1837" s="92" t="str">
        <f t="shared" si="144"/>
        <v/>
      </c>
    </row>
    <row r="1838" spans="2:53">
      <c r="B1838" s="60">
        <f>[2]Trucks!A1835</f>
        <v>0</v>
      </c>
      <c r="C1838" s="11">
        <f>[2]Trucks!B1835</f>
        <v>0</v>
      </c>
      <c r="D1838" s="19" t="str">
        <f>IFERROR(VLOOKUP(C1838&amp;"",'[2]Retail Price List'!$A$3:$B$103,2,FALSE),"Special Order")</f>
        <v>Special Order</v>
      </c>
      <c r="E1838" s="18">
        <f>[2]Trucks!J1835</f>
        <v>0</v>
      </c>
      <c r="F1838" s="12">
        <f>[2]Trucks!E1835</f>
        <v>0</v>
      </c>
      <c r="G1838" s="56">
        <f>[2]Trucks!K1835</f>
        <v>0</v>
      </c>
      <c r="H1838" s="46">
        <f>[2]Trucks!I1835</f>
        <v>0</v>
      </c>
      <c r="I1838" s="83" t="str">
        <f t="shared" si="140"/>
        <v/>
      </c>
      <c r="J1838" s="272" t="str">
        <f>IFERROR(VLOOKUP((D1838&amp;C1838)&amp;"",'[2]Retail Price List'!$C$4:$F$102,3,FALSE),"")</f>
        <v/>
      </c>
      <c r="K1838" s="272">
        <f>IFERROR(IF(BA1838="WIP - 30 Days",VLOOKUP(D1838,[3]Standard!$B$9:$E$101,4,FALSE),IF(BA1838="31-120 Days",VLOOKUP(D1838,[3]Standard!$B$9:$F$101,5,FALSE),IF(BA1838="121-365 Days",VLOOKUP(D1838,[3]Standard!$B$9:$G$101,6,FALSE),VLOOKUP(D1838,[3]Standard!$B$9:$H$101,7,FALSE)))),0)</f>
        <v>0</v>
      </c>
      <c r="L1838" s="272">
        <f>IFERROR(IF(BA1838="WIP - 30 Days",VLOOKUP(D1838,[3]Standard!$B$9:$J$101,9,FALSE),IF(BA1838="31-120 Days",VLOOKUP(D1838,[3]Standard!$B$9:$K$100,10,FALSE),IF(BA1838="121-365 Days",VLOOKUP(D1838,[3]Standard!$B$9:$L$101,11,FALSE),VLOOKUP(D1838,[3]Standard!$B$9:$M$101,12,FALSE)))),0)</f>
        <v>0</v>
      </c>
      <c r="M1838" s="269" t="str">
        <f>IFERROR(VLOOKUP((D1838&amp;C1838)&amp;"",'[2]Retail Price List'!$C$4:$F$102,4,FALSE),"")</f>
        <v/>
      </c>
      <c r="N1838" s="269">
        <f>IFERROR(IF(BA1838="WIP - 30 Days",VLOOKUP(D1838,[3]Extended!$B$9:$E$101,4,FALSE),IF(BA1838="31-120 Days",VLOOKUP(D1838,[3]Extended!$B$9:$F$101,5,FALSE),IF(BA1838="121-365 Days",VLOOKUP(D1838,[3]Extended!$B$9:$G$101,6,FALSE),VLOOKUP(D1838,[3]Extended!$B$9:$H$101,7,FALSE)))),0)</f>
        <v>0</v>
      </c>
      <c r="O1838" s="269">
        <f>IFERROR(IF(BA1838="WIP - 30 Days",VLOOKUP(D1838,[3]Extended!$B$9:$J$101,9,FALSE),IF(BA1838="31-120 Days",VLOOKUP(D1838,[3]Extended!$B$9:$K$101,10,FALSE),IF(BA1838="121-365 Days",VLOOKUP(D1838,[3]Extended!$B$9:$L$101,11,FALSE),VLOOKUP(D1838,[3]Extended!$B$9:$M$101,12,FALSE)))),0)</f>
        <v>0</v>
      </c>
      <c r="P1838" s="116" t="e">
        <f t="shared" si="141"/>
        <v>#VALUE!</v>
      </c>
      <c r="Q1838" s="110" t="e">
        <f>O1838-#REF!</f>
        <v>#REF!</v>
      </c>
      <c r="AT1838" s="88" t="str">
        <f t="shared" si="142"/>
        <v>Special Order0</v>
      </c>
      <c r="AU1838" s="89" t="str">
        <f t="shared" si="143"/>
        <v>01-1900</v>
      </c>
      <c r="BA1838" s="92" t="str">
        <f t="shared" si="144"/>
        <v/>
      </c>
    </row>
    <row r="1839" spans="2:53">
      <c r="B1839" s="60">
        <f>[2]Trucks!A1836</f>
        <v>0</v>
      </c>
      <c r="C1839" s="11">
        <f>[2]Trucks!B1836</f>
        <v>0</v>
      </c>
      <c r="D1839" s="19" t="str">
        <f>IFERROR(VLOOKUP(C1839&amp;"",'[2]Retail Price List'!$A$3:$B$103,2,FALSE),"Special Order")</f>
        <v>Special Order</v>
      </c>
      <c r="E1839" s="18">
        <f>[2]Trucks!J1836</f>
        <v>0</v>
      </c>
      <c r="F1839" s="12">
        <f>[2]Trucks!E1836</f>
        <v>0</v>
      </c>
      <c r="G1839" s="56">
        <f>[2]Trucks!K1836</f>
        <v>0</v>
      </c>
      <c r="H1839" s="46">
        <f>[2]Trucks!I1836</f>
        <v>0</v>
      </c>
      <c r="I1839" s="83" t="str">
        <f t="shared" si="140"/>
        <v/>
      </c>
      <c r="J1839" s="272" t="str">
        <f>IFERROR(VLOOKUP((D1839&amp;C1839)&amp;"",'[2]Retail Price List'!$C$4:$F$102,3,FALSE),"")</f>
        <v/>
      </c>
      <c r="K1839" s="272">
        <f>IFERROR(IF(BA1839="WIP - 30 Days",VLOOKUP(D1839,[3]Standard!$B$9:$E$101,4,FALSE),IF(BA1839="31-120 Days",VLOOKUP(D1839,[3]Standard!$B$9:$F$101,5,FALSE),IF(BA1839="121-365 Days",VLOOKUP(D1839,[3]Standard!$B$9:$G$101,6,FALSE),VLOOKUP(D1839,[3]Standard!$B$9:$H$101,7,FALSE)))),0)</f>
        <v>0</v>
      </c>
      <c r="L1839" s="272">
        <f>IFERROR(IF(BA1839="WIP - 30 Days",VLOOKUP(D1839,[3]Standard!$B$9:$J$101,9,FALSE),IF(BA1839="31-120 Days",VLOOKUP(D1839,[3]Standard!$B$9:$K$100,10,FALSE),IF(BA1839="121-365 Days",VLOOKUP(D1839,[3]Standard!$B$9:$L$101,11,FALSE),VLOOKUP(D1839,[3]Standard!$B$9:$M$101,12,FALSE)))),0)</f>
        <v>0</v>
      </c>
      <c r="M1839" s="269" t="str">
        <f>IFERROR(VLOOKUP((D1839&amp;C1839)&amp;"",'[2]Retail Price List'!$C$4:$F$102,4,FALSE),"")</f>
        <v/>
      </c>
      <c r="N1839" s="269">
        <f>IFERROR(IF(BA1839="WIP - 30 Days",VLOOKUP(D1839,[3]Extended!$B$9:$E$101,4,FALSE),IF(BA1839="31-120 Days",VLOOKUP(D1839,[3]Extended!$B$9:$F$101,5,FALSE),IF(BA1839="121-365 Days",VLOOKUP(D1839,[3]Extended!$B$9:$G$101,6,FALSE),VLOOKUP(D1839,[3]Extended!$B$9:$H$101,7,FALSE)))),0)</f>
        <v>0</v>
      </c>
      <c r="O1839" s="269">
        <f>IFERROR(IF(BA1839="WIP - 30 Days",VLOOKUP(D1839,[3]Extended!$B$9:$J$101,9,FALSE),IF(BA1839="31-120 Days",VLOOKUP(D1839,[3]Extended!$B$9:$K$101,10,FALSE),IF(BA1839="121-365 Days",VLOOKUP(D1839,[3]Extended!$B$9:$L$101,11,FALSE),VLOOKUP(D1839,[3]Extended!$B$9:$M$101,12,FALSE)))),0)</f>
        <v>0</v>
      </c>
      <c r="P1839" s="116" t="e">
        <f t="shared" si="141"/>
        <v>#VALUE!</v>
      </c>
      <c r="Q1839" s="110" t="e">
        <f>O1839-#REF!</f>
        <v>#REF!</v>
      </c>
      <c r="AT1839" s="88" t="str">
        <f t="shared" si="142"/>
        <v>Special Order0</v>
      </c>
      <c r="AU1839" s="89" t="str">
        <f t="shared" si="143"/>
        <v>01-1900</v>
      </c>
      <c r="BA1839" s="92" t="str">
        <f t="shared" si="144"/>
        <v/>
      </c>
    </row>
    <row r="1840" spans="2:53">
      <c r="B1840" s="60">
        <f>[2]Trucks!A1837</f>
        <v>0</v>
      </c>
      <c r="C1840" s="11">
        <f>[2]Trucks!B1837</f>
        <v>0</v>
      </c>
      <c r="D1840" s="19" t="str">
        <f>IFERROR(VLOOKUP(C1840&amp;"",'[2]Retail Price List'!$A$3:$B$103,2,FALSE),"Special Order")</f>
        <v>Special Order</v>
      </c>
      <c r="E1840" s="18">
        <f>[2]Trucks!J1837</f>
        <v>0</v>
      </c>
      <c r="F1840" s="12">
        <f>[2]Trucks!E1837</f>
        <v>0</v>
      </c>
      <c r="G1840" s="56">
        <f>[2]Trucks!K1837</f>
        <v>0</v>
      </c>
      <c r="H1840" s="46">
        <f>[2]Trucks!I1837</f>
        <v>0</v>
      </c>
      <c r="I1840" s="83" t="str">
        <f t="shared" si="140"/>
        <v/>
      </c>
      <c r="J1840" s="272" t="str">
        <f>IFERROR(VLOOKUP((D1840&amp;C1840)&amp;"",'[2]Retail Price List'!$C$4:$F$102,3,FALSE),"")</f>
        <v/>
      </c>
      <c r="K1840" s="272">
        <f>IFERROR(IF(BA1840="WIP - 30 Days",VLOOKUP(D1840,[3]Standard!$B$9:$E$101,4,FALSE),IF(BA1840="31-120 Days",VLOOKUP(D1840,[3]Standard!$B$9:$F$101,5,FALSE),IF(BA1840="121-365 Days",VLOOKUP(D1840,[3]Standard!$B$9:$G$101,6,FALSE),VLOOKUP(D1840,[3]Standard!$B$9:$H$101,7,FALSE)))),0)</f>
        <v>0</v>
      </c>
      <c r="L1840" s="272">
        <f>IFERROR(IF(BA1840="WIP - 30 Days",VLOOKUP(D1840,[3]Standard!$B$9:$J$101,9,FALSE),IF(BA1840="31-120 Days",VLOOKUP(D1840,[3]Standard!$B$9:$K$100,10,FALSE),IF(BA1840="121-365 Days",VLOOKUP(D1840,[3]Standard!$B$9:$L$101,11,FALSE),VLOOKUP(D1840,[3]Standard!$B$9:$M$101,12,FALSE)))),0)</f>
        <v>0</v>
      </c>
      <c r="M1840" s="269" t="str">
        <f>IFERROR(VLOOKUP((D1840&amp;C1840)&amp;"",'[2]Retail Price List'!$C$4:$F$102,4,FALSE),"")</f>
        <v/>
      </c>
      <c r="N1840" s="269">
        <f>IFERROR(IF(BA1840="WIP - 30 Days",VLOOKUP(D1840,[3]Extended!$B$9:$E$101,4,FALSE),IF(BA1840="31-120 Days",VLOOKUP(D1840,[3]Extended!$B$9:$F$101,5,FALSE),IF(BA1840="121-365 Days",VLOOKUP(D1840,[3]Extended!$B$9:$G$101,6,FALSE),VLOOKUP(D1840,[3]Extended!$B$9:$H$101,7,FALSE)))),0)</f>
        <v>0</v>
      </c>
      <c r="O1840" s="269">
        <f>IFERROR(IF(BA1840="WIP - 30 Days",VLOOKUP(D1840,[3]Extended!$B$9:$J$101,9,FALSE),IF(BA1840="31-120 Days",VLOOKUP(D1840,[3]Extended!$B$9:$K$101,10,FALSE),IF(BA1840="121-365 Days",VLOOKUP(D1840,[3]Extended!$B$9:$L$101,11,FALSE),VLOOKUP(D1840,[3]Extended!$B$9:$M$101,12,FALSE)))),0)</f>
        <v>0</v>
      </c>
      <c r="P1840" s="116" t="e">
        <f t="shared" si="141"/>
        <v>#VALUE!</v>
      </c>
      <c r="Q1840" s="110" t="e">
        <f>O1840-#REF!</f>
        <v>#REF!</v>
      </c>
      <c r="AT1840" s="88" t="str">
        <f t="shared" si="142"/>
        <v>Special Order0</v>
      </c>
      <c r="AU1840" s="89" t="str">
        <f t="shared" si="143"/>
        <v>01-1900</v>
      </c>
      <c r="BA1840" s="92" t="str">
        <f t="shared" si="144"/>
        <v/>
      </c>
    </row>
    <row r="1841" spans="2:53">
      <c r="B1841" s="60">
        <f>[2]Trucks!A1838</f>
        <v>0</v>
      </c>
      <c r="C1841" s="11">
        <f>[2]Trucks!B1838</f>
        <v>0</v>
      </c>
      <c r="D1841" s="19" t="str">
        <f>IFERROR(VLOOKUP(C1841&amp;"",'[2]Retail Price List'!$A$3:$B$103,2,FALSE),"Special Order")</f>
        <v>Special Order</v>
      </c>
      <c r="E1841" s="18">
        <f>[2]Trucks!J1838</f>
        <v>0</v>
      </c>
      <c r="F1841" s="12">
        <f>[2]Trucks!E1838</f>
        <v>0</v>
      </c>
      <c r="G1841" s="56">
        <f>[2]Trucks!K1838</f>
        <v>0</v>
      </c>
      <c r="H1841" s="46">
        <f>[2]Trucks!I1838</f>
        <v>0</v>
      </c>
      <c r="I1841" s="83" t="str">
        <f t="shared" si="140"/>
        <v/>
      </c>
      <c r="J1841" s="272" t="str">
        <f>IFERROR(VLOOKUP((D1841&amp;C1841)&amp;"",'[2]Retail Price List'!$C$4:$F$102,3,FALSE),"")</f>
        <v/>
      </c>
      <c r="K1841" s="272">
        <f>IFERROR(IF(BA1841="WIP - 30 Days",VLOOKUP(D1841,[3]Standard!$B$9:$E$101,4,FALSE),IF(BA1841="31-120 Days",VLOOKUP(D1841,[3]Standard!$B$9:$F$101,5,FALSE),IF(BA1841="121-365 Days",VLOOKUP(D1841,[3]Standard!$B$9:$G$101,6,FALSE),VLOOKUP(D1841,[3]Standard!$B$9:$H$101,7,FALSE)))),0)</f>
        <v>0</v>
      </c>
      <c r="L1841" s="272">
        <f>IFERROR(IF(BA1841="WIP - 30 Days",VLOOKUP(D1841,[3]Standard!$B$9:$J$101,9,FALSE),IF(BA1841="31-120 Days",VLOOKUP(D1841,[3]Standard!$B$9:$K$100,10,FALSE),IF(BA1841="121-365 Days",VLOOKUP(D1841,[3]Standard!$B$9:$L$101,11,FALSE),VLOOKUP(D1841,[3]Standard!$B$9:$M$101,12,FALSE)))),0)</f>
        <v>0</v>
      </c>
      <c r="M1841" s="269" t="str">
        <f>IFERROR(VLOOKUP((D1841&amp;C1841)&amp;"",'[2]Retail Price List'!$C$4:$F$102,4,FALSE),"")</f>
        <v/>
      </c>
      <c r="N1841" s="269">
        <f>IFERROR(IF(BA1841="WIP - 30 Days",VLOOKUP(D1841,[3]Extended!$B$9:$E$101,4,FALSE),IF(BA1841="31-120 Days",VLOOKUP(D1841,[3]Extended!$B$9:$F$101,5,FALSE),IF(BA1841="121-365 Days",VLOOKUP(D1841,[3]Extended!$B$9:$G$101,6,FALSE),VLOOKUP(D1841,[3]Extended!$B$9:$H$101,7,FALSE)))),0)</f>
        <v>0</v>
      </c>
      <c r="O1841" s="269">
        <f>IFERROR(IF(BA1841="WIP - 30 Days",VLOOKUP(D1841,[3]Extended!$B$9:$J$101,9,FALSE),IF(BA1841="31-120 Days",VLOOKUP(D1841,[3]Extended!$B$9:$K$101,10,FALSE),IF(BA1841="121-365 Days",VLOOKUP(D1841,[3]Extended!$B$9:$L$101,11,FALSE),VLOOKUP(D1841,[3]Extended!$B$9:$M$101,12,FALSE)))),0)</f>
        <v>0</v>
      </c>
      <c r="P1841" s="116" t="e">
        <f t="shared" si="141"/>
        <v>#VALUE!</v>
      </c>
      <c r="Q1841" s="110" t="e">
        <f>O1841-#REF!</f>
        <v>#REF!</v>
      </c>
      <c r="AT1841" s="88" t="str">
        <f t="shared" si="142"/>
        <v>Special Order0</v>
      </c>
      <c r="AU1841" s="89" t="str">
        <f t="shared" si="143"/>
        <v>01-1900</v>
      </c>
      <c r="BA1841" s="92" t="str">
        <f t="shared" si="144"/>
        <v/>
      </c>
    </row>
    <row r="1842" spans="2:53">
      <c r="B1842" s="60">
        <f>[2]Trucks!A1839</f>
        <v>0</v>
      </c>
      <c r="C1842" s="11">
        <f>[2]Trucks!B1839</f>
        <v>0</v>
      </c>
      <c r="D1842" s="19" t="str">
        <f>IFERROR(VLOOKUP(C1842&amp;"",'[2]Retail Price List'!$A$3:$B$103,2,FALSE),"Special Order")</f>
        <v>Special Order</v>
      </c>
      <c r="E1842" s="18">
        <f>[2]Trucks!J1839</f>
        <v>0</v>
      </c>
      <c r="F1842" s="12">
        <f>[2]Trucks!E1839</f>
        <v>0</v>
      </c>
      <c r="G1842" s="56">
        <f>[2]Trucks!K1839</f>
        <v>0</v>
      </c>
      <c r="H1842" s="46">
        <f>[2]Trucks!I1839</f>
        <v>0</v>
      </c>
      <c r="I1842" s="83" t="str">
        <f t="shared" si="140"/>
        <v/>
      </c>
      <c r="J1842" s="272" t="str">
        <f>IFERROR(VLOOKUP((D1842&amp;C1842)&amp;"",'[2]Retail Price List'!$C$4:$F$102,3,FALSE),"")</f>
        <v/>
      </c>
      <c r="K1842" s="272">
        <f>IFERROR(IF(BA1842="WIP - 30 Days",VLOOKUP(D1842,[3]Standard!$B$9:$E$101,4,FALSE),IF(BA1842="31-120 Days",VLOOKUP(D1842,[3]Standard!$B$9:$F$101,5,FALSE),IF(BA1842="121-365 Days",VLOOKUP(D1842,[3]Standard!$B$9:$G$101,6,FALSE),VLOOKUP(D1842,[3]Standard!$B$9:$H$101,7,FALSE)))),0)</f>
        <v>0</v>
      </c>
      <c r="L1842" s="272">
        <f>IFERROR(IF(BA1842="WIP - 30 Days",VLOOKUP(D1842,[3]Standard!$B$9:$J$101,9,FALSE),IF(BA1842="31-120 Days",VLOOKUP(D1842,[3]Standard!$B$9:$K$100,10,FALSE),IF(BA1842="121-365 Days",VLOOKUP(D1842,[3]Standard!$B$9:$L$101,11,FALSE),VLOOKUP(D1842,[3]Standard!$B$9:$M$101,12,FALSE)))),0)</f>
        <v>0</v>
      </c>
      <c r="M1842" s="269" t="str">
        <f>IFERROR(VLOOKUP((D1842&amp;C1842)&amp;"",'[2]Retail Price List'!$C$4:$F$102,4,FALSE),"")</f>
        <v/>
      </c>
      <c r="N1842" s="269">
        <f>IFERROR(IF(BA1842="WIP - 30 Days",VLOOKUP(D1842,[3]Extended!$B$9:$E$101,4,FALSE),IF(BA1842="31-120 Days",VLOOKUP(D1842,[3]Extended!$B$9:$F$101,5,FALSE),IF(BA1842="121-365 Days",VLOOKUP(D1842,[3]Extended!$B$9:$G$101,6,FALSE),VLOOKUP(D1842,[3]Extended!$B$9:$H$101,7,FALSE)))),0)</f>
        <v>0</v>
      </c>
      <c r="O1842" s="269">
        <f>IFERROR(IF(BA1842="WIP - 30 Days",VLOOKUP(D1842,[3]Extended!$B$9:$J$101,9,FALSE),IF(BA1842="31-120 Days",VLOOKUP(D1842,[3]Extended!$B$9:$K$101,10,FALSE),IF(BA1842="121-365 Days",VLOOKUP(D1842,[3]Extended!$B$9:$L$101,11,FALSE),VLOOKUP(D1842,[3]Extended!$B$9:$M$101,12,FALSE)))),0)</f>
        <v>0</v>
      </c>
      <c r="P1842" s="116" t="e">
        <f t="shared" si="141"/>
        <v>#VALUE!</v>
      </c>
      <c r="Q1842" s="110" t="e">
        <f>O1842-#REF!</f>
        <v>#REF!</v>
      </c>
      <c r="AT1842" s="88" t="str">
        <f t="shared" si="142"/>
        <v>Special Order0</v>
      </c>
      <c r="AU1842" s="89" t="str">
        <f t="shared" si="143"/>
        <v>01-1900</v>
      </c>
      <c r="BA1842" s="92" t="str">
        <f t="shared" si="144"/>
        <v/>
      </c>
    </row>
    <row r="1843" spans="2:53">
      <c r="B1843" s="60">
        <f>[2]Trucks!A1840</f>
        <v>0</v>
      </c>
      <c r="C1843" s="11">
        <f>[2]Trucks!B1840</f>
        <v>0</v>
      </c>
      <c r="D1843" s="19" t="str">
        <f>IFERROR(VLOOKUP(C1843&amp;"",'[2]Retail Price List'!$A$3:$B$103,2,FALSE),"Special Order")</f>
        <v>Special Order</v>
      </c>
      <c r="E1843" s="18">
        <f>[2]Trucks!J1840</f>
        <v>0</v>
      </c>
      <c r="F1843" s="12">
        <f>[2]Trucks!E1840</f>
        <v>0</v>
      </c>
      <c r="G1843" s="56">
        <f>[2]Trucks!K1840</f>
        <v>0</v>
      </c>
      <c r="H1843" s="46">
        <f>[2]Trucks!I1840</f>
        <v>0</v>
      </c>
      <c r="I1843" s="83" t="str">
        <f t="shared" si="140"/>
        <v/>
      </c>
      <c r="J1843" s="272" t="str">
        <f>IFERROR(VLOOKUP((D1843&amp;C1843)&amp;"",'[2]Retail Price List'!$C$4:$F$102,3,FALSE),"")</f>
        <v/>
      </c>
      <c r="K1843" s="272">
        <f>IFERROR(IF(BA1843="WIP - 30 Days",VLOOKUP(D1843,[3]Standard!$B$9:$E$101,4,FALSE),IF(BA1843="31-120 Days",VLOOKUP(D1843,[3]Standard!$B$9:$F$101,5,FALSE),IF(BA1843="121-365 Days",VLOOKUP(D1843,[3]Standard!$B$9:$G$101,6,FALSE),VLOOKUP(D1843,[3]Standard!$B$9:$H$101,7,FALSE)))),0)</f>
        <v>0</v>
      </c>
      <c r="L1843" s="272">
        <f>IFERROR(IF(BA1843="WIP - 30 Days",VLOOKUP(D1843,[3]Standard!$B$9:$J$101,9,FALSE),IF(BA1843="31-120 Days",VLOOKUP(D1843,[3]Standard!$B$9:$K$100,10,FALSE),IF(BA1843="121-365 Days",VLOOKUP(D1843,[3]Standard!$B$9:$L$101,11,FALSE),VLOOKUP(D1843,[3]Standard!$B$9:$M$101,12,FALSE)))),0)</f>
        <v>0</v>
      </c>
      <c r="M1843" s="269" t="str">
        <f>IFERROR(VLOOKUP((D1843&amp;C1843)&amp;"",'[2]Retail Price List'!$C$4:$F$102,4,FALSE),"")</f>
        <v/>
      </c>
      <c r="N1843" s="269">
        <f>IFERROR(IF(BA1843="WIP - 30 Days",VLOOKUP(D1843,[3]Extended!$B$9:$E$101,4,FALSE),IF(BA1843="31-120 Days",VLOOKUP(D1843,[3]Extended!$B$9:$F$101,5,FALSE),IF(BA1843="121-365 Days",VLOOKUP(D1843,[3]Extended!$B$9:$G$101,6,FALSE),VLOOKUP(D1843,[3]Extended!$B$9:$H$101,7,FALSE)))),0)</f>
        <v>0</v>
      </c>
      <c r="O1843" s="269">
        <f>IFERROR(IF(BA1843="WIP - 30 Days",VLOOKUP(D1843,[3]Extended!$B$9:$J$101,9,FALSE),IF(BA1843="31-120 Days",VLOOKUP(D1843,[3]Extended!$B$9:$K$101,10,FALSE),IF(BA1843="121-365 Days",VLOOKUP(D1843,[3]Extended!$B$9:$L$101,11,FALSE),VLOOKUP(D1843,[3]Extended!$B$9:$M$101,12,FALSE)))),0)</f>
        <v>0</v>
      </c>
      <c r="P1843" s="116" t="e">
        <f t="shared" si="141"/>
        <v>#VALUE!</v>
      </c>
      <c r="Q1843" s="110" t="e">
        <f>O1843-#REF!</f>
        <v>#REF!</v>
      </c>
      <c r="AT1843" s="88" t="str">
        <f t="shared" si="142"/>
        <v>Special Order0</v>
      </c>
      <c r="AU1843" s="89" t="str">
        <f t="shared" si="143"/>
        <v>01-1900</v>
      </c>
      <c r="BA1843" s="92" t="str">
        <f t="shared" si="144"/>
        <v/>
      </c>
    </row>
    <row r="1844" spans="2:53">
      <c r="B1844" s="60">
        <f>[2]Trucks!A1841</f>
        <v>0</v>
      </c>
      <c r="C1844" s="11">
        <f>[2]Trucks!B1841</f>
        <v>0</v>
      </c>
      <c r="D1844" s="19" t="str">
        <f>IFERROR(VLOOKUP(C1844&amp;"",'[2]Retail Price List'!$A$3:$B$103,2,FALSE),"Special Order")</f>
        <v>Special Order</v>
      </c>
      <c r="E1844" s="18">
        <f>[2]Trucks!J1841</f>
        <v>0</v>
      </c>
      <c r="F1844" s="12">
        <f>[2]Trucks!E1841</f>
        <v>0</v>
      </c>
      <c r="G1844" s="56">
        <f>[2]Trucks!K1841</f>
        <v>0</v>
      </c>
      <c r="H1844" s="46">
        <f>[2]Trucks!I1841</f>
        <v>0</v>
      </c>
      <c r="I1844" s="83" t="str">
        <f t="shared" si="140"/>
        <v/>
      </c>
      <c r="J1844" s="272" t="str">
        <f>IFERROR(VLOOKUP((D1844&amp;C1844)&amp;"",'[2]Retail Price List'!$C$4:$F$102,3,FALSE),"")</f>
        <v/>
      </c>
      <c r="K1844" s="272">
        <f>IFERROR(IF(BA1844="WIP - 30 Days",VLOOKUP(D1844,[3]Standard!$B$9:$E$101,4,FALSE),IF(BA1844="31-120 Days",VLOOKUP(D1844,[3]Standard!$B$9:$F$101,5,FALSE),IF(BA1844="121-365 Days",VLOOKUP(D1844,[3]Standard!$B$9:$G$101,6,FALSE),VLOOKUP(D1844,[3]Standard!$B$9:$H$101,7,FALSE)))),0)</f>
        <v>0</v>
      </c>
      <c r="L1844" s="272">
        <f>IFERROR(IF(BA1844="WIP - 30 Days",VLOOKUP(D1844,[3]Standard!$B$9:$J$101,9,FALSE),IF(BA1844="31-120 Days",VLOOKUP(D1844,[3]Standard!$B$9:$K$100,10,FALSE),IF(BA1844="121-365 Days",VLOOKUP(D1844,[3]Standard!$B$9:$L$101,11,FALSE),VLOOKUP(D1844,[3]Standard!$B$9:$M$101,12,FALSE)))),0)</f>
        <v>0</v>
      </c>
      <c r="M1844" s="269" t="str">
        <f>IFERROR(VLOOKUP((D1844&amp;C1844)&amp;"",'[2]Retail Price List'!$C$4:$F$102,4,FALSE),"")</f>
        <v/>
      </c>
      <c r="N1844" s="269">
        <f>IFERROR(IF(BA1844="WIP - 30 Days",VLOOKUP(D1844,[3]Extended!$B$9:$E$101,4,FALSE),IF(BA1844="31-120 Days",VLOOKUP(D1844,[3]Extended!$B$9:$F$101,5,FALSE),IF(BA1844="121-365 Days",VLOOKUP(D1844,[3]Extended!$B$9:$G$101,6,FALSE),VLOOKUP(D1844,[3]Extended!$B$9:$H$101,7,FALSE)))),0)</f>
        <v>0</v>
      </c>
      <c r="O1844" s="269">
        <f>IFERROR(IF(BA1844="WIP - 30 Days",VLOOKUP(D1844,[3]Extended!$B$9:$J$101,9,FALSE),IF(BA1844="31-120 Days",VLOOKUP(D1844,[3]Extended!$B$9:$K$101,10,FALSE),IF(BA1844="121-365 Days",VLOOKUP(D1844,[3]Extended!$B$9:$L$101,11,FALSE),VLOOKUP(D1844,[3]Extended!$B$9:$M$101,12,FALSE)))),0)</f>
        <v>0</v>
      </c>
      <c r="P1844" s="116" t="e">
        <f t="shared" si="141"/>
        <v>#VALUE!</v>
      </c>
      <c r="Q1844" s="110" t="e">
        <f>O1844-#REF!</f>
        <v>#REF!</v>
      </c>
      <c r="AT1844" s="88" t="str">
        <f t="shared" si="142"/>
        <v>Special Order0</v>
      </c>
      <c r="AU1844" s="89" t="str">
        <f t="shared" si="143"/>
        <v>01-1900</v>
      </c>
      <c r="BA1844" s="92" t="str">
        <f t="shared" si="144"/>
        <v/>
      </c>
    </row>
    <row r="1845" spans="2:53">
      <c r="B1845" s="60">
        <f>[2]Trucks!A1842</f>
        <v>0</v>
      </c>
      <c r="C1845" s="11">
        <f>[2]Trucks!B1842</f>
        <v>0</v>
      </c>
      <c r="D1845" s="19" t="str">
        <f>IFERROR(VLOOKUP(C1845&amp;"",'[2]Retail Price List'!$A$3:$B$103,2,FALSE),"Special Order")</f>
        <v>Special Order</v>
      </c>
      <c r="E1845" s="18">
        <f>[2]Trucks!J1842</f>
        <v>0</v>
      </c>
      <c r="F1845" s="12">
        <f>[2]Trucks!E1842</f>
        <v>0</v>
      </c>
      <c r="G1845" s="56">
        <f>[2]Trucks!K1842</f>
        <v>0</v>
      </c>
      <c r="H1845" s="46">
        <f>[2]Trucks!I1842</f>
        <v>0</v>
      </c>
      <c r="I1845" s="83" t="str">
        <f t="shared" si="140"/>
        <v/>
      </c>
      <c r="J1845" s="272" t="str">
        <f>IFERROR(VLOOKUP((D1845&amp;C1845)&amp;"",'[2]Retail Price List'!$C$4:$F$102,3,FALSE),"")</f>
        <v/>
      </c>
      <c r="K1845" s="272">
        <f>IFERROR(IF(BA1845="WIP - 30 Days",VLOOKUP(D1845,[3]Standard!$B$9:$E$101,4,FALSE),IF(BA1845="31-120 Days",VLOOKUP(D1845,[3]Standard!$B$9:$F$101,5,FALSE),IF(BA1845="121-365 Days",VLOOKUP(D1845,[3]Standard!$B$9:$G$101,6,FALSE),VLOOKUP(D1845,[3]Standard!$B$9:$H$101,7,FALSE)))),0)</f>
        <v>0</v>
      </c>
      <c r="L1845" s="272">
        <f>IFERROR(IF(BA1845="WIP - 30 Days",VLOOKUP(D1845,[3]Standard!$B$9:$J$101,9,FALSE),IF(BA1845="31-120 Days",VLOOKUP(D1845,[3]Standard!$B$9:$K$100,10,FALSE),IF(BA1845="121-365 Days",VLOOKUP(D1845,[3]Standard!$B$9:$L$101,11,FALSE),VLOOKUP(D1845,[3]Standard!$B$9:$M$101,12,FALSE)))),0)</f>
        <v>0</v>
      </c>
      <c r="M1845" s="269" t="str">
        <f>IFERROR(VLOOKUP((D1845&amp;C1845)&amp;"",'[2]Retail Price List'!$C$4:$F$102,4,FALSE),"")</f>
        <v/>
      </c>
      <c r="N1845" s="269">
        <f>IFERROR(IF(BA1845="WIP - 30 Days",VLOOKUP(D1845,[3]Extended!$B$9:$E$101,4,FALSE),IF(BA1845="31-120 Days",VLOOKUP(D1845,[3]Extended!$B$9:$F$101,5,FALSE),IF(BA1845="121-365 Days",VLOOKUP(D1845,[3]Extended!$B$9:$G$101,6,FALSE),VLOOKUP(D1845,[3]Extended!$B$9:$H$101,7,FALSE)))),0)</f>
        <v>0</v>
      </c>
      <c r="O1845" s="269">
        <f>IFERROR(IF(BA1845="WIP - 30 Days",VLOOKUP(D1845,[3]Extended!$B$9:$J$101,9,FALSE),IF(BA1845="31-120 Days",VLOOKUP(D1845,[3]Extended!$B$9:$K$101,10,FALSE),IF(BA1845="121-365 Days",VLOOKUP(D1845,[3]Extended!$B$9:$L$101,11,FALSE),VLOOKUP(D1845,[3]Extended!$B$9:$M$101,12,FALSE)))),0)</f>
        <v>0</v>
      </c>
      <c r="P1845" s="116" t="e">
        <f t="shared" si="141"/>
        <v>#VALUE!</v>
      </c>
      <c r="Q1845" s="110" t="e">
        <f>O1845-#REF!</f>
        <v>#REF!</v>
      </c>
      <c r="AT1845" s="88" t="str">
        <f t="shared" si="142"/>
        <v>Special Order0</v>
      </c>
      <c r="AU1845" s="89" t="str">
        <f t="shared" si="143"/>
        <v>01-1900</v>
      </c>
      <c r="BA1845" s="92" t="str">
        <f t="shared" si="144"/>
        <v/>
      </c>
    </row>
    <row r="1846" spans="2:53">
      <c r="B1846" s="60">
        <f>[2]Trucks!A1843</f>
        <v>0</v>
      </c>
      <c r="C1846" s="11">
        <f>[2]Trucks!B1843</f>
        <v>0</v>
      </c>
      <c r="D1846" s="19" t="str">
        <f>IFERROR(VLOOKUP(C1846&amp;"",'[2]Retail Price List'!$A$3:$B$103,2,FALSE),"Special Order")</f>
        <v>Special Order</v>
      </c>
      <c r="E1846" s="18">
        <f>[2]Trucks!J1843</f>
        <v>0</v>
      </c>
      <c r="F1846" s="12">
        <f>[2]Trucks!E1843</f>
        <v>0</v>
      </c>
      <c r="G1846" s="56">
        <f>[2]Trucks!K1843</f>
        <v>0</v>
      </c>
      <c r="H1846" s="46">
        <f>[2]Trucks!I1843</f>
        <v>0</v>
      </c>
      <c r="I1846" s="83" t="str">
        <f t="shared" si="140"/>
        <v/>
      </c>
      <c r="J1846" s="272" t="str">
        <f>IFERROR(VLOOKUP((D1846&amp;C1846)&amp;"",'[2]Retail Price List'!$C$4:$F$102,3,FALSE),"")</f>
        <v/>
      </c>
      <c r="K1846" s="272">
        <f>IFERROR(IF(BA1846="WIP - 30 Days",VLOOKUP(D1846,[3]Standard!$B$9:$E$101,4,FALSE),IF(BA1846="31-120 Days",VLOOKUP(D1846,[3]Standard!$B$9:$F$101,5,FALSE),IF(BA1846="121-365 Days",VLOOKUP(D1846,[3]Standard!$B$9:$G$101,6,FALSE),VLOOKUP(D1846,[3]Standard!$B$9:$H$101,7,FALSE)))),0)</f>
        <v>0</v>
      </c>
      <c r="L1846" s="272">
        <f>IFERROR(IF(BA1846="WIP - 30 Days",VLOOKUP(D1846,[3]Standard!$B$9:$J$101,9,FALSE),IF(BA1846="31-120 Days",VLOOKUP(D1846,[3]Standard!$B$9:$K$100,10,FALSE),IF(BA1846="121-365 Days",VLOOKUP(D1846,[3]Standard!$B$9:$L$101,11,FALSE),VLOOKUP(D1846,[3]Standard!$B$9:$M$101,12,FALSE)))),0)</f>
        <v>0</v>
      </c>
      <c r="M1846" s="269" t="str">
        <f>IFERROR(VLOOKUP((D1846&amp;C1846)&amp;"",'[2]Retail Price List'!$C$4:$F$102,4,FALSE),"")</f>
        <v/>
      </c>
      <c r="N1846" s="269">
        <f>IFERROR(IF(BA1846="WIP - 30 Days",VLOOKUP(D1846,[3]Extended!$B$9:$E$101,4,FALSE),IF(BA1846="31-120 Days",VLOOKUP(D1846,[3]Extended!$B$9:$F$101,5,FALSE),IF(BA1846="121-365 Days",VLOOKUP(D1846,[3]Extended!$B$9:$G$101,6,FALSE),VLOOKUP(D1846,[3]Extended!$B$9:$H$101,7,FALSE)))),0)</f>
        <v>0</v>
      </c>
      <c r="O1846" s="269">
        <f>IFERROR(IF(BA1846="WIP - 30 Days",VLOOKUP(D1846,[3]Extended!$B$9:$J$101,9,FALSE),IF(BA1846="31-120 Days",VLOOKUP(D1846,[3]Extended!$B$9:$K$101,10,FALSE),IF(BA1846="121-365 Days",VLOOKUP(D1846,[3]Extended!$B$9:$L$101,11,FALSE),VLOOKUP(D1846,[3]Extended!$B$9:$M$101,12,FALSE)))),0)</f>
        <v>0</v>
      </c>
      <c r="P1846" s="116" t="e">
        <f t="shared" si="141"/>
        <v>#VALUE!</v>
      </c>
      <c r="Q1846" s="110" t="e">
        <f>O1846-#REF!</f>
        <v>#REF!</v>
      </c>
      <c r="AT1846" s="88" t="str">
        <f t="shared" si="142"/>
        <v>Special Order0</v>
      </c>
      <c r="AU1846" s="89" t="str">
        <f t="shared" si="143"/>
        <v>01-1900</v>
      </c>
      <c r="BA1846" s="92" t="str">
        <f t="shared" si="144"/>
        <v/>
      </c>
    </row>
    <row r="1847" spans="2:53">
      <c r="B1847" s="60">
        <f>[2]Trucks!A1844</f>
        <v>0</v>
      </c>
      <c r="C1847" s="11">
        <f>[2]Trucks!B1844</f>
        <v>0</v>
      </c>
      <c r="D1847" s="19" t="str">
        <f>IFERROR(VLOOKUP(C1847&amp;"",'[2]Retail Price List'!$A$3:$B$103,2,FALSE),"Special Order")</f>
        <v>Special Order</v>
      </c>
      <c r="E1847" s="18">
        <f>[2]Trucks!J1844</f>
        <v>0</v>
      </c>
      <c r="F1847" s="12">
        <f>[2]Trucks!E1844</f>
        <v>0</v>
      </c>
      <c r="G1847" s="56">
        <f>[2]Trucks!K1844</f>
        <v>0</v>
      </c>
      <c r="H1847" s="46">
        <f>[2]Trucks!I1844</f>
        <v>0</v>
      </c>
      <c r="I1847" s="83" t="str">
        <f t="shared" si="140"/>
        <v/>
      </c>
      <c r="J1847" s="272" t="str">
        <f>IFERROR(VLOOKUP((D1847&amp;C1847)&amp;"",'[2]Retail Price List'!$C$4:$F$102,3,FALSE),"")</f>
        <v/>
      </c>
      <c r="K1847" s="272">
        <f>IFERROR(IF(BA1847="WIP - 30 Days",VLOOKUP(D1847,[3]Standard!$B$9:$E$101,4,FALSE),IF(BA1847="31-120 Days",VLOOKUP(D1847,[3]Standard!$B$9:$F$101,5,FALSE),IF(BA1847="121-365 Days",VLOOKUP(D1847,[3]Standard!$B$9:$G$101,6,FALSE),VLOOKUP(D1847,[3]Standard!$B$9:$H$101,7,FALSE)))),0)</f>
        <v>0</v>
      </c>
      <c r="L1847" s="272">
        <f>IFERROR(IF(BA1847="WIP - 30 Days",VLOOKUP(D1847,[3]Standard!$B$9:$J$101,9,FALSE),IF(BA1847="31-120 Days",VLOOKUP(D1847,[3]Standard!$B$9:$K$100,10,FALSE),IF(BA1847="121-365 Days",VLOOKUP(D1847,[3]Standard!$B$9:$L$101,11,FALSE),VLOOKUP(D1847,[3]Standard!$B$9:$M$101,12,FALSE)))),0)</f>
        <v>0</v>
      </c>
      <c r="M1847" s="269" t="str">
        <f>IFERROR(VLOOKUP((D1847&amp;C1847)&amp;"",'[2]Retail Price List'!$C$4:$F$102,4,FALSE),"")</f>
        <v/>
      </c>
      <c r="N1847" s="269">
        <f>IFERROR(IF(BA1847="WIP - 30 Days",VLOOKUP(D1847,[3]Extended!$B$9:$E$101,4,FALSE),IF(BA1847="31-120 Days",VLOOKUP(D1847,[3]Extended!$B$9:$F$101,5,FALSE),IF(BA1847="121-365 Days",VLOOKUP(D1847,[3]Extended!$B$9:$G$101,6,FALSE),VLOOKUP(D1847,[3]Extended!$B$9:$H$101,7,FALSE)))),0)</f>
        <v>0</v>
      </c>
      <c r="O1847" s="269">
        <f>IFERROR(IF(BA1847="WIP - 30 Days",VLOOKUP(D1847,[3]Extended!$B$9:$J$101,9,FALSE),IF(BA1847="31-120 Days",VLOOKUP(D1847,[3]Extended!$B$9:$K$101,10,FALSE),IF(BA1847="121-365 Days",VLOOKUP(D1847,[3]Extended!$B$9:$L$101,11,FALSE),VLOOKUP(D1847,[3]Extended!$B$9:$M$101,12,FALSE)))),0)</f>
        <v>0</v>
      </c>
      <c r="P1847" s="116" t="e">
        <f t="shared" si="141"/>
        <v>#VALUE!</v>
      </c>
      <c r="Q1847" s="110" t="e">
        <f>O1847-#REF!</f>
        <v>#REF!</v>
      </c>
      <c r="AT1847" s="88" t="str">
        <f t="shared" si="142"/>
        <v>Special Order0</v>
      </c>
      <c r="AU1847" s="89" t="str">
        <f t="shared" si="143"/>
        <v>01-1900</v>
      </c>
      <c r="BA1847" s="92" t="str">
        <f t="shared" si="144"/>
        <v/>
      </c>
    </row>
    <row r="1848" spans="2:53">
      <c r="B1848" s="60">
        <f>[2]Trucks!A1845</f>
        <v>0</v>
      </c>
      <c r="C1848" s="11">
        <f>[2]Trucks!B1845</f>
        <v>0</v>
      </c>
      <c r="D1848" s="19" t="str">
        <f>IFERROR(VLOOKUP(C1848&amp;"",'[2]Retail Price List'!$A$3:$B$103,2,FALSE),"Special Order")</f>
        <v>Special Order</v>
      </c>
      <c r="E1848" s="18">
        <f>[2]Trucks!J1845</f>
        <v>0</v>
      </c>
      <c r="F1848" s="12">
        <f>[2]Trucks!E1845</f>
        <v>0</v>
      </c>
      <c r="G1848" s="56">
        <f>[2]Trucks!K1845</f>
        <v>0</v>
      </c>
      <c r="H1848" s="46">
        <f>[2]Trucks!I1845</f>
        <v>0</v>
      </c>
      <c r="I1848" s="83" t="str">
        <f t="shared" si="140"/>
        <v/>
      </c>
      <c r="J1848" s="272" t="str">
        <f>IFERROR(VLOOKUP((D1848&amp;C1848)&amp;"",'[2]Retail Price List'!$C$4:$F$102,3,FALSE),"")</f>
        <v/>
      </c>
      <c r="K1848" s="272">
        <f>IFERROR(IF(BA1848="WIP - 30 Days",VLOOKUP(D1848,[3]Standard!$B$9:$E$101,4,FALSE),IF(BA1848="31-120 Days",VLOOKUP(D1848,[3]Standard!$B$9:$F$101,5,FALSE),IF(BA1848="121-365 Days",VLOOKUP(D1848,[3]Standard!$B$9:$G$101,6,FALSE),VLOOKUP(D1848,[3]Standard!$B$9:$H$101,7,FALSE)))),0)</f>
        <v>0</v>
      </c>
      <c r="L1848" s="272">
        <f>IFERROR(IF(BA1848="WIP - 30 Days",VLOOKUP(D1848,[3]Standard!$B$9:$J$101,9,FALSE),IF(BA1848="31-120 Days",VLOOKUP(D1848,[3]Standard!$B$9:$K$100,10,FALSE),IF(BA1848="121-365 Days",VLOOKUP(D1848,[3]Standard!$B$9:$L$101,11,FALSE),VLOOKUP(D1848,[3]Standard!$B$9:$M$101,12,FALSE)))),0)</f>
        <v>0</v>
      </c>
      <c r="M1848" s="269" t="str">
        <f>IFERROR(VLOOKUP((D1848&amp;C1848)&amp;"",'[2]Retail Price List'!$C$4:$F$102,4,FALSE),"")</f>
        <v/>
      </c>
      <c r="N1848" s="269">
        <f>IFERROR(IF(BA1848="WIP - 30 Days",VLOOKUP(D1848,[3]Extended!$B$9:$E$101,4,FALSE),IF(BA1848="31-120 Days",VLOOKUP(D1848,[3]Extended!$B$9:$F$101,5,FALSE),IF(BA1848="121-365 Days",VLOOKUP(D1848,[3]Extended!$B$9:$G$101,6,FALSE),VLOOKUP(D1848,[3]Extended!$B$9:$H$101,7,FALSE)))),0)</f>
        <v>0</v>
      </c>
      <c r="O1848" s="269">
        <f>IFERROR(IF(BA1848="WIP - 30 Days",VLOOKUP(D1848,[3]Extended!$B$9:$J$101,9,FALSE),IF(BA1848="31-120 Days",VLOOKUP(D1848,[3]Extended!$B$9:$K$101,10,FALSE),IF(BA1848="121-365 Days",VLOOKUP(D1848,[3]Extended!$B$9:$L$101,11,FALSE),VLOOKUP(D1848,[3]Extended!$B$9:$M$101,12,FALSE)))),0)</f>
        <v>0</v>
      </c>
      <c r="P1848" s="116" t="e">
        <f t="shared" si="141"/>
        <v>#VALUE!</v>
      </c>
      <c r="Q1848" s="110" t="e">
        <f>O1848-#REF!</f>
        <v>#REF!</v>
      </c>
      <c r="AT1848" s="88" t="str">
        <f t="shared" si="142"/>
        <v>Special Order0</v>
      </c>
      <c r="AU1848" s="89" t="str">
        <f t="shared" si="143"/>
        <v>01-1900</v>
      </c>
      <c r="BA1848" s="92" t="str">
        <f t="shared" si="144"/>
        <v/>
      </c>
    </row>
    <row r="1849" spans="2:53">
      <c r="B1849" s="60">
        <f>[2]Trucks!A1846</f>
        <v>0</v>
      </c>
      <c r="C1849" s="11">
        <f>[2]Trucks!B1846</f>
        <v>0</v>
      </c>
      <c r="D1849" s="19" t="str">
        <f>IFERROR(VLOOKUP(C1849&amp;"",'[2]Retail Price List'!$A$3:$B$103,2,FALSE),"Special Order")</f>
        <v>Special Order</v>
      </c>
      <c r="E1849" s="18">
        <f>[2]Trucks!J1846</f>
        <v>0</v>
      </c>
      <c r="F1849" s="12">
        <f>[2]Trucks!E1846</f>
        <v>0</v>
      </c>
      <c r="G1849" s="56">
        <f>[2]Trucks!K1846</f>
        <v>0</v>
      </c>
      <c r="H1849" s="46">
        <f>[2]Trucks!I1846</f>
        <v>0</v>
      </c>
      <c r="I1849" s="83" t="str">
        <f t="shared" si="140"/>
        <v/>
      </c>
      <c r="J1849" s="272" t="str">
        <f>IFERROR(VLOOKUP((D1849&amp;C1849)&amp;"",'[2]Retail Price List'!$C$4:$F$102,3,FALSE),"")</f>
        <v/>
      </c>
      <c r="K1849" s="272">
        <f>IFERROR(IF(BA1849="WIP - 30 Days",VLOOKUP(D1849,[3]Standard!$B$9:$E$101,4,FALSE),IF(BA1849="31-120 Days",VLOOKUP(D1849,[3]Standard!$B$9:$F$101,5,FALSE),IF(BA1849="121-365 Days",VLOOKUP(D1849,[3]Standard!$B$9:$G$101,6,FALSE),VLOOKUP(D1849,[3]Standard!$B$9:$H$101,7,FALSE)))),0)</f>
        <v>0</v>
      </c>
      <c r="L1849" s="272">
        <f>IFERROR(IF(BA1849="WIP - 30 Days",VLOOKUP(D1849,[3]Standard!$B$9:$J$101,9,FALSE),IF(BA1849="31-120 Days",VLOOKUP(D1849,[3]Standard!$B$9:$K$100,10,FALSE),IF(BA1849="121-365 Days",VLOOKUP(D1849,[3]Standard!$B$9:$L$101,11,FALSE),VLOOKUP(D1849,[3]Standard!$B$9:$M$101,12,FALSE)))),0)</f>
        <v>0</v>
      </c>
      <c r="M1849" s="269" t="str">
        <f>IFERROR(VLOOKUP((D1849&amp;C1849)&amp;"",'[2]Retail Price List'!$C$4:$F$102,4,FALSE),"")</f>
        <v/>
      </c>
      <c r="N1849" s="269">
        <f>IFERROR(IF(BA1849="WIP - 30 Days",VLOOKUP(D1849,[3]Extended!$B$9:$E$101,4,FALSE),IF(BA1849="31-120 Days",VLOOKUP(D1849,[3]Extended!$B$9:$F$101,5,FALSE),IF(BA1849="121-365 Days",VLOOKUP(D1849,[3]Extended!$B$9:$G$101,6,FALSE),VLOOKUP(D1849,[3]Extended!$B$9:$H$101,7,FALSE)))),0)</f>
        <v>0</v>
      </c>
      <c r="O1849" s="269">
        <f>IFERROR(IF(BA1849="WIP - 30 Days",VLOOKUP(D1849,[3]Extended!$B$9:$J$101,9,FALSE),IF(BA1849="31-120 Days",VLOOKUP(D1849,[3]Extended!$B$9:$K$101,10,FALSE),IF(BA1849="121-365 Days",VLOOKUP(D1849,[3]Extended!$B$9:$L$101,11,FALSE),VLOOKUP(D1849,[3]Extended!$B$9:$M$101,12,FALSE)))),0)</f>
        <v>0</v>
      </c>
      <c r="P1849" s="116" t="e">
        <f t="shared" si="141"/>
        <v>#VALUE!</v>
      </c>
      <c r="Q1849" s="110" t="e">
        <f>O1849-#REF!</f>
        <v>#REF!</v>
      </c>
      <c r="AT1849" s="88" t="str">
        <f t="shared" si="142"/>
        <v>Special Order0</v>
      </c>
      <c r="AU1849" s="89" t="str">
        <f t="shared" si="143"/>
        <v>01-1900</v>
      </c>
      <c r="BA1849" s="92" t="str">
        <f t="shared" si="144"/>
        <v/>
      </c>
    </row>
    <row r="1850" spans="2:53">
      <c r="B1850" s="60">
        <f>[2]Trucks!A1847</f>
        <v>0</v>
      </c>
      <c r="C1850" s="11">
        <f>[2]Trucks!B1847</f>
        <v>0</v>
      </c>
      <c r="D1850" s="19" t="str">
        <f>IFERROR(VLOOKUP(C1850&amp;"",'[2]Retail Price List'!$A$3:$B$103,2,FALSE),"Special Order")</f>
        <v>Special Order</v>
      </c>
      <c r="E1850" s="18">
        <f>[2]Trucks!J1847</f>
        <v>0</v>
      </c>
      <c r="F1850" s="12">
        <f>[2]Trucks!E1847</f>
        <v>0</v>
      </c>
      <c r="G1850" s="56">
        <f>[2]Trucks!K1847</f>
        <v>0</v>
      </c>
      <c r="H1850" s="46">
        <f>[2]Trucks!I1847</f>
        <v>0</v>
      </c>
      <c r="I1850" s="83" t="str">
        <f t="shared" si="140"/>
        <v/>
      </c>
      <c r="J1850" s="272" t="str">
        <f>IFERROR(VLOOKUP((D1850&amp;C1850)&amp;"",'[2]Retail Price List'!$C$4:$F$102,3,FALSE),"")</f>
        <v/>
      </c>
      <c r="K1850" s="272">
        <f>IFERROR(IF(BA1850="WIP - 30 Days",VLOOKUP(D1850,[3]Standard!$B$9:$E$101,4,FALSE),IF(BA1850="31-120 Days",VLOOKUP(D1850,[3]Standard!$B$9:$F$101,5,FALSE),IF(BA1850="121-365 Days",VLOOKUP(D1850,[3]Standard!$B$9:$G$101,6,FALSE),VLOOKUP(D1850,[3]Standard!$B$9:$H$101,7,FALSE)))),0)</f>
        <v>0</v>
      </c>
      <c r="L1850" s="272">
        <f>IFERROR(IF(BA1850="WIP - 30 Days",VLOOKUP(D1850,[3]Standard!$B$9:$J$101,9,FALSE),IF(BA1850="31-120 Days",VLOOKUP(D1850,[3]Standard!$B$9:$K$100,10,FALSE),IF(BA1850="121-365 Days",VLOOKUP(D1850,[3]Standard!$B$9:$L$101,11,FALSE),VLOOKUP(D1850,[3]Standard!$B$9:$M$101,12,FALSE)))),0)</f>
        <v>0</v>
      </c>
      <c r="M1850" s="269" t="str">
        <f>IFERROR(VLOOKUP((D1850&amp;C1850)&amp;"",'[2]Retail Price List'!$C$4:$F$102,4,FALSE),"")</f>
        <v/>
      </c>
      <c r="N1850" s="269">
        <f>IFERROR(IF(BA1850="WIP - 30 Days",VLOOKUP(D1850,[3]Extended!$B$9:$E$101,4,FALSE),IF(BA1850="31-120 Days",VLOOKUP(D1850,[3]Extended!$B$9:$F$101,5,FALSE),IF(BA1850="121-365 Days",VLOOKUP(D1850,[3]Extended!$B$9:$G$101,6,FALSE),VLOOKUP(D1850,[3]Extended!$B$9:$H$101,7,FALSE)))),0)</f>
        <v>0</v>
      </c>
      <c r="O1850" s="269">
        <f>IFERROR(IF(BA1850="WIP - 30 Days",VLOOKUP(D1850,[3]Extended!$B$9:$J$101,9,FALSE),IF(BA1850="31-120 Days",VLOOKUP(D1850,[3]Extended!$B$9:$K$101,10,FALSE),IF(BA1850="121-365 Days",VLOOKUP(D1850,[3]Extended!$B$9:$L$101,11,FALSE),VLOOKUP(D1850,[3]Extended!$B$9:$M$101,12,FALSE)))),0)</f>
        <v>0</v>
      </c>
      <c r="P1850" s="116" t="e">
        <f t="shared" si="141"/>
        <v>#VALUE!</v>
      </c>
      <c r="Q1850" s="110" t="e">
        <f>O1850-#REF!</f>
        <v>#REF!</v>
      </c>
      <c r="AT1850" s="88" t="str">
        <f t="shared" si="142"/>
        <v>Special Order0</v>
      </c>
      <c r="AU1850" s="89" t="str">
        <f t="shared" si="143"/>
        <v>01-1900</v>
      </c>
      <c r="BA1850" s="92" t="str">
        <f t="shared" si="144"/>
        <v/>
      </c>
    </row>
    <row r="1851" spans="2:53">
      <c r="B1851" s="60">
        <f>[2]Trucks!A1848</f>
        <v>0</v>
      </c>
      <c r="C1851" s="11">
        <f>[2]Trucks!B1848</f>
        <v>0</v>
      </c>
      <c r="D1851" s="19" t="str">
        <f>IFERROR(VLOOKUP(C1851&amp;"",'[2]Retail Price List'!$A$3:$B$103,2,FALSE),"Special Order")</f>
        <v>Special Order</v>
      </c>
      <c r="E1851" s="18">
        <f>[2]Trucks!J1848</f>
        <v>0</v>
      </c>
      <c r="F1851" s="12">
        <f>[2]Trucks!E1848</f>
        <v>0</v>
      </c>
      <c r="G1851" s="56">
        <f>[2]Trucks!K1848</f>
        <v>0</v>
      </c>
      <c r="H1851" s="46">
        <f>[2]Trucks!I1848</f>
        <v>0</v>
      </c>
      <c r="I1851" s="83" t="str">
        <f t="shared" si="140"/>
        <v/>
      </c>
      <c r="J1851" s="272" t="str">
        <f>IFERROR(VLOOKUP((D1851&amp;C1851)&amp;"",'[2]Retail Price List'!$C$4:$F$102,3,FALSE),"")</f>
        <v/>
      </c>
      <c r="K1851" s="272">
        <f>IFERROR(IF(BA1851="WIP - 30 Days",VLOOKUP(D1851,[3]Standard!$B$9:$E$101,4,FALSE),IF(BA1851="31-120 Days",VLOOKUP(D1851,[3]Standard!$B$9:$F$101,5,FALSE),IF(BA1851="121-365 Days",VLOOKUP(D1851,[3]Standard!$B$9:$G$101,6,FALSE),VLOOKUP(D1851,[3]Standard!$B$9:$H$101,7,FALSE)))),0)</f>
        <v>0</v>
      </c>
      <c r="L1851" s="272">
        <f>IFERROR(IF(BA1851="WIP - 30 Days",VLOOKUP(D1851,[3]Standard!$B$9:$J$101,9,FALSE),IF(BA1851="31-120 Days",VLOOKUP(D1851,[3]Standard!$B$9:$K$100,10,FALSE),IF(BA1851="121-365 Days",VLOOKUP(D1851,[3]Standard!$B$9:$L$101,11,FALSE),VLOOKUP(D1851,[3]Standard!$B$9:$M$101,12,FALSE)))),0)</f>
        <v>0</v>
      </c>
      <c r="M1851" s="269" t="str">
        <f>IFERROR(VLOOKUP((D1851&amp;C1851)&amp;"",'[2]Retail Price List'!$C$4:$F$102,4,FALSE),"")</f>
        <v/>
      </c>
      <c r="N1851" s="269">
        <f>IFERROR(IF(BA1851="WIP - 30 Days",VLOOKUP(D1851,[3]Extended!$B$9:$E$101,4,FALSE),IF(BA1851="31-120 Days",VLOOKUP(D1851,[3]Extended!$B$9:$F$101,5,FALSE),IF(BA1851="121-365 Days",VLOOKUP(D1851,[3]Extended!$B$9:$G$101,6,FALSE),VLOOKUP(D1851,[3]Extended!$B$9:$H$101,7,FALSE)))),0)</f>
        <v>0</v>
      </c>
      <c r="O1851" s="269">
        <f>IFERROR(IF(BA1851="WIP - 30 Days",VLOOKUP(D1851,[3]Extended!$B$9:$J$101,9,FALSE),IF(BA1851="31-120 Days",VLOOKUP(D1851,[3]Extended!$B$9:$K$101,10,FALSE),IF(BA1851="121-365 Days",VLOOKUP(D1851,[3]Extended!$B$9:$L$101,11,FALSE),VLOOKUP(D1851,[3]Extended!$B$9:$M$101,12,FALSE)))),0)</f>
        <v>0</v>
      </c>
      <c r="P1851" s="116" t="e">
        <f t="shared" si="141"/>
        <v>#VALUE!</v>
      </c>
      <c r="Q1851" s="110" t="e">
        <f>O1851-#REF!</f>
        <v>#REF!</v>
      </c>
      <c r="AT1851" s="88" t="str">
        <f t="shared" si="142"/>
        <v>Special Order0</v>
      </c>
      <c r="AU1851" s="89" t="str">
        <f t="shared" si="143"/>
        <v>01-1900</v>
      </c>
      <c r="BA1851" s="92" t="str">
        <f t="shared" si="144"/>
        <v/>
      </c>
    </row>
    <row r="1852" spans="2:53">
      <c r="B1852" s="60">
        <f>[2]Trucks!A1849</f>
        <v>0</v>
      </c>
      <c r="C1852" s="11">
        <f>[2]Trucks!B1849</f>
        <v>0</v>
      </c>
      <c r="D1852" s="19" t="str">
        <f>IFERROR(VLOOKUP(C1852&amp;"",'[2]Retail Price List'!$A$3:$B$103,2,FALSE),"Special Order")</f>
        <v>Special Order</v>
      </c>
      <c r="E1852" s="18">
        <f>[2]Trucks!J1849</f>
        <v>0</v>
      </c>
      <c r="F1852" s="12">
        <f>[2]Trucks!E1849</f>
        <v>0</v>
      </c>
      <c r="G1852" s="56">
        <f>[2]Trucks!K1849</f>
        <v>0</v>
      </c>
      <c r="H1852" s="46">
        <f>[2]Trucks!I1849</f>
        <v>0</v>
      </c>
      <c r="I1852" s="83" t="str">
        <f t="shared" si="140"/>
        <v/>
      </c>
      <c r="J1852" s="272" t="str">
        <f>IFERROR(VLOOKUP((D1852&amp;C1852)&amp;"",'[2]Retail Price List'!$C$4:$F$102,3,FALSE),"")</f>
        <v/>
      </c>
      <c r="K1852" s="272">
        <f>IFERROR(IF(BA1852="WIP - 30 Days",VLOOKUP(D1852,[3]Standard!$B$9:$E$101,4,FALSE),IF(BA1852="31-120 Days",VLOOKUP(D1852,[3]Standard!$B$9:$F$101,5,FALSE),IF(BA1852="121-365 Days",VLOOKUP(D1852,[3]Standard!$B$9:$G$101,6,FALSE),VLOOKUP(D1852,[3]Standard!$B$9:$H$101,7,FALSE)))),0)</f>
        <v>0</v>
      </c>
      <c r="L1852" s="272">
        <f>IFERROR(IF(BA1852="WIP - 30 Days",VLOOKUP(D1852,[3]Standard!$B$9:$J$101,9,FALSE),IF(BA1852="31-120 Days",VLOOKUP(D1852,[3]Standard!$B$9:$K$100,10,FALSE),IF(BA1852="121-365 Days",VLOOKUP(D1852,[3]Standard!$B$9:$L$101,11,FALSE),VLOOKUP(D1852,[3]Standard!$B$9:$M$101,12,FALSE)))),0)</f>
        <v>0</v>
      </c>
      <c r="M1852" s="269" t="str">
        <f>IFERROR(VLOOKUP((D1852&amp;C1852)&amp;"",'[2]Retail Price List'!$C$4:$F$102,4,FALSE),"")</f>
        <v/>
      </c>
      <c r="N1852" s="269">
        <f>IFERROR(IF(BA1852="WIP - 30 Days",VLOOKUP(D1852,[3]Extended!$B$9:$E$101,4,FALSE),IF(BA1852="31-120 Days",VLOOKUP(D1852,[3]Extended!$B$9:$F$101,5,FALSE),IF(BA1852="121-365 Days",VLOOKUP(D1852,[3]Extended!$B$9:$G$101,6,FALSE),VLOOKUP(D1852,[3]Extended!$B$9:$H$101,7,FALSE)))),0)</f>
        <v>0</v>
      </c>
      <c r="O1852" s="269">
        <f>IFERROR(IF(BA1852="WIP - 30 Days",VLOOKUP(D1852,[3]Extended!$B$9:$J$101,9,FALSE),IF(BA1852="31-120 Days",VLOOKUP(D1852,[3]Extended!$B$9:$K$101,10,FALSE),IF(BA1852="121-365 Days",VLOOKUP(D1852,[3]Extended!$B$9:$L$101,11,FALSE),VLOOKUP(D1852,[3]Extended!$B$9:$M$101,12,FALSE)))),0)</f>
        <v>0</v>
      </c>
      <c r="P1852" s="116" t="e">
        <f t="shared" si="141"/>
        <v>#VALUE!</v>
      </c>
      <c r="Q1852" s="110" t="e">
        <f>O1852-#REF!</f>
        <v>#REF!</v>
      </c>
      <c r="AT1852" s="88" t="str">
        <f t="shared" si="142"/>
        <v>Special Order0</v>
      </c>
      <c r="AU1852" s="89" t="str">
        <f t="shared" si="143"/>
        <v>01-1900</v>
      </c>
      <c r="BA1852" s="92" t="str">
        <f t="shared" si="144"/>
        <v/>
      </c>
    </row>
    <row r="1853" spans="2:53">
      <c r="B1853" s="60">
        <f>[2]Trucks!A1850</f>
        <v>0</v>
      </c>
      <c r="C1853" s="11">
        <f>[2]Trucks!B1850</f>
        <v>0</v>
      </c>
      <c r="D1853" s="19" t="str">
        <f>IFERROR(VLOOKUP(C1853&amp;"",'[2]Retail Price List'!$A$3:$B$103,2,FALSE),"Special Order")</f>
        <v>Special Order</v>
      </c>
      <c r="E1853" s="18">
        <f>[2]Trucks!J1850</f>
        <v>0</v>
      </c>
      <c r="F1853" s="12">
        <f>[2]Trucks!E1850</f>
        <v>0</v>
      </c>
      <c r="G1853" s="56">
        <f>[2]Trucks!K1850</f>
        <v>0</v>
      </c>
      <c r="H1853" s="46">
        <f>[2]Trucks!I1850</f>
        <v>0</v>
      </c>
      <c r="I1853" s="83" t="str">
        <f t="shared" si="140"/>
        <v/>
      </c>
      <c r="J1853" s="272" t="str">
        <f>IFERROR(VLOOKUP((D1853&amp;C1853)&amp;"",'[2]Retail Price List'!$C$4:$F$102,3,FALSE),"")</f>
        <v/>
      </c>
      <c r="K1853" s="272">
        <f>IFERROR(IF(BA1853="WIP - 30 Days",VLOOKUP(D1853,[3]Standard!$B$9:$E$101,4,FALSE),IF(BA1853="31-120 Days",VLOOKUP(D1853,[3]Standard!$B$9:$F$101,5,FALSE),IF(BA1853="121-365 Days",VLOOKUP(D1853,[3]Standard!$B$9:$G$101,6,FALSE),VLOOKUP(D1853,[3]Standard!$B$9:$H$101,7,FALSE)))),0)</f>
        <v>0</v>
      </c>
      <c r="L1853" s="272">
        <f>IFERROR(IF(BA1853="WIP - 30 Days",VLOOKUP(D1853,[3]Standard!$B$9:$J$101,9,FALSE),IF(BA1853="31-120 Days",VLOOKUP(D1853,[3]Standard!$B$9:$K$100,10,FALSE),IF(BA1853="121-365 Days",VLOOKUP(D1853,[3]Standard!$B$9:$L$101,11,FALSE),VLOOKUP(D1853,[3]Standard!$B$9:$M$101,12,FALSE)))),0)</f>
        <v>0</v>
      </c>
      <c r="M1853" s="269" t="str">
        <f>IFERROR(VLOOKUP((D1853&amp;C1853)&amp;"",'[2]Retail Price List'!$C$4:$F$102,4,FALSE),"")</f>
        <v/>
      </c>
      <c r="N1853" s="269">
        <f>IFERROR(IF(BA1853="WIP - 30 Days",VLOOKUP(D1853,[3]Extended!$B$9:$E$101,4,FALSE),IF(BA1853="31-120 Days",VLOOKUP(D1853,[3]Extended!$B$9:$F$101,5,FALSE),IF(BA1853="121-365 Days",VLOOKUP(D1853,[3]Extended!$B$9:$G$101,6,FALSE),VLOOKUP(D1853,[3]Extended!$B$9:$H$101,7,FALSE)))),0)</f>
        <v>0</v>
      </c>
      <c r="O1853" s="269">
        <f>IFERROR(IF(BA1853="WIP - 30 Days",VLOOKUP(D1853,[3]Extended!$B$9:$J$101,9,FALSE),IF(BA1853="31-120 Days",VLOOKUP(D1853,[3]Extended!$B$9:$K$101,10,FALSE),IF(BA1853="121-365 Days",VLOOKUP(D1853,[3]Extended!$B$9:$L$101,11,FALSE),VLOOKUP(D1853,[3]Extended!$B$9:$M$101,12,FALSE)))),0)</f>
        <v>0</v>
      </c>
      <c r="P1853" s="116" t="e">
        <f t="shared" si="141"/>
        <v>#VALUE!</v>
      </c>
      <c r="Q1853" s="110" t="e">
        <f>O1853-#REF!</f>
        <v>#REF!</v>
      </c>
      <c r="AT1853" s="88" t="str">
        <f t="shared" si="142"/>
        <v>Special Order0</v>
      </c>
      <c r="AU1853" s="89" t="str">
        <f t="shared" si="143"/>
        <v>01-1900</v>
      </c>
      <c r="BA1853" s="92" t="str">
        <f t="shared" si="144"/>
        <v/>
      </c>
    </row>
    <row r="1854" spans="2:53">
      <c r="B1854" s="60">
        <f>[2]Trucks!A1851</f>
        <v>0</v>
      </c>
      <c r="C1854" s="11">
        <f>[2]Trucks!B1851</f>
        <v>0</v>
      </c>
      <c r="D1854" s="19" t="str">
        <f>IFERROR(VLOOKUP(C1854&amp;"",'[2]Retail Price List'!$A$3:$B$103,2,FALSE),"Special Order")</f>
        <v>Special Order</v>
      </c>
      <c r="E1854" s="18">
        <f>[2]Trucks!J1851</f>
        <v>0</v>
      </c>
      <c r="F1854" s="12">
        <f>[2]Trucks!E1851</f>
        <v>0</v>
      </c>
      <c r="G1854" s="56">
        <f>[2]Trucks!K1851</f>
        <v>0</v>
      </c>
      <c r="H1854" s="46">
        <f>[2]Trucks!I1851</f>
        <v>0</v>
      </c>
      <c r="I1854" s="83" t="str">
        <f t="shared" si="140"/>
        <v/>
      </c>
      <c r="J1854" s="272" t="str">
        <f>IFERROR(VLOOKUP((D1854&amp;C1854)&amp;"",'[2]Retail Price List'!$C$4:$F$102,3,FALSE),"")</f>
        <v/>
      </c>
      <c r="K1854" s="272">
        <f>IFERROR(IF(BA1854="WIP - 30 Days",VLOOKUP(D1854,[3]Standard!$B$9:$E$101,4,FALSE),IF(BA1854="31-120 Days",VLOOKUP(D1854,[3]Standard!$B$9:$F$101,5,FALSE),IF(BA1854="121-365 Days",VLOOKUP(D1854,[3]Standard!$B$9:$G$101,6,FALSE),VLOOKUP(D1854,[3]Standard!$B$9:$H$101,7,FALSE)))),0)</f>
        <v>0</v>
      </c>
      <c r="L1854" s="272">
        <f>IFERROR(IF(BA1854="WIP - 30 Days",VLOOKUP(D1854,[3]Standard!$B$9:$J$101,9,FALSE),IF(BA1854="31-120 Days",VLOOKUP(D1854,[3]Standard!$B$9:$K$100,10,FALSE),IF(BA1854="121-365 Days",VLOOKUP(D1854,[3]Standard!$B$9:$L$101,11,FALSE),VLOOKUP(D1854,[3]Standard!$B$9:$M$101,12,FALSE)))),0)</f>
        <v>0</v>
      </c>
      <c r="M1854" s="269" t="str">
        <f>IFERROR(VLOOKUP((D1854&amp;C1854)&amp;"",'[2]Retail Price List'!$C$4:$F$102,4,FALSE),"")</f>
        <v/>
      </c>
      <c r="N1854" s="269">
        <f>IFERROR(IF(BA1854="WIP - 30 Days",VLOOKUP(D1854,[3]Extended!$B$9:$E$101,4,FALSE),IF(BA1854="31-120 Days",VLOOKUP(D1854,[3]Extended!$B$9:$F$101,5,FALSE),IF(BA1854="121-365 Days",VLOOKUP(D1854,[3]Extended!$B$9:$G$101,6,FALSE),VLOOKUP(D1854,[3]Extended!$B$9:$H$101,7,FALSE)))),0)</f>
        <v>0</v>
      </c>
      <c r="O1854" s="269">
        <f>IFERROR(IF(BA1854="WIP - 30 Days",VLOOKUP(D1854,[3]Extended!$B$9:$J$101,9,FALSE),IF(BA1854="31-120 Days",VLOOKUP(D1854,[3]Extended!$B$9:$K$101,10,FALSE),IF(BA1854="121-365 Days",VLOOKUP(D1854,[3]Extended!$B$9:$L$101,11,FALSE),VLOOKUP(D1854,[3]Extended!$B$9:$M$101,12,FALSE)))),0)</f>
        <v>0</v>
      </c>
      <c r="P1854" s="116" t="e">
        <f t="shared" si="141"/>
        <v>#VALUE!</v>
      </c>
      <c r="Q1854" s="110" t="e">
        <f>O1854-#REF!</f>
        <v>#REF!</v>
      </c>
      <c r="AT1854" s="88" t="str">
        <f t="shared" si="142"/>
        <v>Special Order0</v>
      </c>
      <c r="AU1854" s="89" t="str">
        <f t="shared" si="143"/>
        <v>01-1900</v>
      </c>
      <c r="BA1854" s="92" t="str">
        <f t="shared" si="144"/>
        <v/>
      </c>
    </row>
    <row r="1855" spans="2:53">
      <c r="B1855" s="60">
        <f>[2]Trucks!A1852</f>
        <v>0</v>
      </c>
      <c r="C1855" s="11">
        <f>[2]Trucks!B1852</f>
        <v>0</v>
      </c>
      <c r="D1855" s="19" t="str">
        <f>IFERROR(VLOOKUP(C1855&amp;"",'[2]Retail Price List'!$A$3:$B$103,2,FALSE),"Special Order")</f>
        <v>Special Order</v>
      </c>
      <c r="E1855" s="18">
        <f>[2]Trucks!J1852</f>
        <v>0</v>
      </c>
      <c r="F1855" s="12">
        <f>[2]Trucks!E1852</f>
        <v>0</v>
      </c>
      <c r="G1855" s="56">
        <f>[2]Trucks!K1852</f>
        <v>0</v>
      </c>
      <c r="H1855" s="46">
        <f>[2]Trucks!I1852</f>
        <v>0</v>
      </c>
      <c r="I1855" s="83" t="str">
        <f t="shared" si="140"/>
        <v/>
      </c>
      <c r="J1855" s="272" t="str">
        <f>IFERROR(VLOOKUP((D1855&amp;C1855)&amp;"",'[2]Retail Price List'!$C$4:$F$102,3,FALSE),"")</f>
        <v/>
      </c>
      <c r="K1855" s="272">
        <f>IFERROR(IF(BA1855="WIP - 30 Days",VLOOKUP(D1855,[3]Standard!$B$9:$E$101,4,FALSE),IF(BA1855="31-120 Days",VLOOKUP(D1855,[3]Standard!$B$9:$F$101,5,FALSE),IF(BA1855="121-365 Days",VLOOKUP(D1855,[3]Standard!$B$9:$G$101,6,FALSE),VLOOKUP(D1855,[3]Standard!$B$9:$H$101,7,FALSE)))),0)</f>
        <v>0</v>
      </c>
      <c r="L1855" s="272">
        <f>IFERROR(IF(BA1855="WIP - 30 Days",VLOOKUP(D1855,[3]Standard!$B$9:$J$101,9,FALSE),IF(BA1855="31-120 Days",VLOOKUP(D1855,[3]Standard!$B$9:$K$100,10,FALSE),IF(BA1855="121-365 Days",VLOOKUP(D1855,[3]Standard!$B$9:$L$101,11,FALSE),VLOOKUP(D1855,[3]Standard!$B$9:$M$101,12,FALSE)))),0)</f>
        <v>0</v>
      </c>
      <c r="M1855" s="269" t="str">
        <f>IFERROR(VLOOKUP((D1855&amp;C1855)&amp;"",'[2]Retail Price List'!$C$4:$F$102,4,FALSE),"")</f>
        <v/>
      </c>
      <c r="N1855" s="269">
        <f>IFERROR(IF(BA1855="WIP - 30 Days",VLOOKUP(D1855,[3]Extended!$B$9:$E$101,4,FALSE),IF(BA1855="31-120 Days",VLOOKUP(D1855,[3]Extended!$B$9:$F$101,5,FALSE),IF(BA1855="121-365 Days",VLOOKUP(D1855,[3]Extended!$B$9:$G$101,6,FALSE),VLOOKUP(D1855,[3]Extended!$B$9:$H$101,7,FALSE)))),0)</f>
        <v>0</v>
      </c>
      <c r="O1855" s="269">
        <f>IFERROR(IF(BA1855="WIP - 30 Days",VLOOKUP(D1855,[3]Extended!$B$9:$J$101,9,FALSE),IF(BA1855="31-120 Days",VLOOKUP(D1855,[3]Extended!$B$9:$K$101,10,FALSE),IF(BA1855="121-365 Days",VLOOKUP(D1855,[3]Extended!$B$9:$L$101,11,FALSE),VLOOKUP(D1855,[3]Extended!$B$9:$M$101,12,FALSE)))),0)</f>
        <v>0</v>
      </c>
      <c r="P1855" s="116" t="e">
        <f t="shared" si="141"/>
        <v>#VALUE!</v>
      </c>
      <c r="Q1855" s="110" t="e">
        <f>O1855-#REF!</f>
        <v>#REF!</v>
      </c>
      <c r="AT1855" s="88" t="str">
        <f t="shared" si="142"/>
        <v>Special Order0</v>
      </c>
      <c r="AU1855" s="89" t="str">
        <f t="shared" si="143"/>
        <v>01-1900</v>
      </c>
      <c r="BA1855" s="92" t="str">
        <f t="shared" si="144"/>
        <v/>
      </c>
    </row>
    <row r="1856" spans="2:53">
      <c r="B1856" s="60">
        <f>[2]Trucks!A1853</f>
        <v>0</v>
      </c>
      <c r="C1856" s="11">
        <f>[2]Trucks!B1853</f>
        <v>0</v>
      </c>
      <c r="D1856" s="19" t="str">
        <f>IFERROR(VLOOKUP(C1856&amp;"",'[2]Retail Price List'!$A$3:$B$103,2,FALSE),"Special Order")</f>
        <v>Special Order</v>
      </c>
      <c r="E1856" s="18">
        <f>[2]Trucks!J1853</f>
        <v>0</v>
      </c>
      <c r="F1856" s="12">
        <f>[2]Trucks!E1853</f>
        <v>0</v>
      </c>
      <c r="G1856" s="56">
        <f>[2]Trucks!K1853</f>
        <v>0</v>
      </c>
      <c r="H1856" s="46">
        <f>[2]Trucks!I1853</f>
        <v>0</v>
      </c>
      <c r="I1856" s="83" t="str">
        <f t="shared" si="140"/>
        <v/>
      </c>
      <c r="J1856" s="272" t="str">
        <f>IFERROR(VLOOKUP((D1856&amp;C1856)&amp;"",'[2]Retail Price List'!$C$4:$F$102,3,FALSE),"")</f>
        <v/>
      </c>
      <c r="K1856" s="272">
        <f>IFERROR(IF(BA1856="WIP - 30 Days",VLOOKUP(D1856,[3]Standard!$B$9:$E$101,4,FALSE),IF(BA1856="31-120 Days",VLOOKUP(D1856,[3]Standard!$B$9:$F$101,5,FALSE),IF(BA1856="121-365 Days",VLOOKUP(D1856,[3]Standard!$B$9:$G$101,6,FALSE),VLOOKUP(D1856,[3]Standard!$B$9:$H$101,7,FALSE)))),0)</f>
        <v>0</v>
      </c>
      <c r="L1856" s="272">
        <f>IFERROR(IF(BA1856="WIP - 30 Days",VLOOKUP(D1856,[3]Standard!$B$9:$J$101,9,FALSE),IF(BA1856="31-120 Days",VLOOKUP(D1856,[3]Standard!$B$9:$K$100,10,FALSE),IF(BA1856="121-365 Days",VLOOKUP(D1856,[3]Standard!$B$9:$L$101,11,FALSE),VLOOKUP(D1856,[3]Standard!$B$9:$M$101,12,FALSE)))),0)</f>
        <v>0</v>
      </c>
      <c r="M1856" s="269" t="str">
        <f>IFERROR(VLOOKUP((D1856&amp;C1856)&amp;"",'[2]Retail Price List'!$C$4:$F$102,4,FALSE),"")</f>
        <v/>
      </c>
      <c r="N1856" s="269">
        <f>IFERROR(IF(BA1856="WIP - 30 Days",VLOOKUP(D1856,[3]Extended!$B$9:$E$101,4,FALSE),IF(BA1856="31-120 Days",VLOOKUP(D1856,[3]Extended!$B$9:$F$101,5,FALSE),IF(BA1856="121-365 Days",VLOOKUP(D1856,[3]Extended!$B$9:$G$101,6,FALSE),VLOOKUP(D1856,[3]Extended!$B$9:$H$101,7,FALSE)))),0)</f>
        <v>0</v>
      </c>
      <c r="O1856" s="269">
        <f>IFERROR(IF(BA1856="WIP - 30 Days",VLOOKUP(D1856,[3]Extended!$B$9:$J$101,9,FALSE),IF(BA1856="31-120 Days",VLOOKUP(D1856,[3]Extended!$B$9:$K$101,10,FALSE),IF(BA1856="121-365 Days",VLOOKUP(D1856,[3]Extended!$B$9:$L$101,11,FALSE),VLOOKUP(D1856,[3]Extended!$B$9:$M$101,12,FALSE)))),0)</f>
        <v>0</v>
      </c>
      <c r="P1856" s="116" t="e">
        <f t="shared" si="141"/>
        <v>#VALUE!</v>
      </c>
      <c r="Q1856" s="110" t="e">
        <f>O1856-#REF!</f>
        <v>#REF!</v>
      </c>
      <c r="AT1856" s="88" t="str">
        <f t="shared" si="142"/>
        <v>Special Order0</v>
      </c>
      <c r="AU1856" s="89" t="str">
        <f t="shared" si="143"/>
        <v>01-1900</v>
      </c>
      <c r="BA1856" s="92" t="str">
        <f t="shared" si="144"/>
        <v/>
      </c>
    </row>
    <row r="1857" spans="2:53">
      <c r="B1857" s="60">
        <f>[2]Trucks!A1854</f>
        <v>0</v>
      </c>
      <c r="C1857" s="11">
        <f>[2]Trucks!B1854</f>
        <v>0</v>
      </c>
      <c r="D1857" s="19" t="str">
        <f>IFERROR(VLOOKUP(C1857&amp;"",'[2]Retail Price List'!$A$3:$B$103,2,FALSE),"Special Order")</f>
        <v>Special Order</v>
      </c>
      <c r="E1857" s="18">
        <f>[2]Trucks!J1854</f>
        <v>0</v>
      </c>
      <c r="F1857" s="12">
        <f>[2]Trucks!E1854</f>
        <v>0</v>
      </c>
      <c r="G1857" s="56">
        <f>[2]Trucks!K1854</f>
        <v>0</v>
      </c>
      <c r="H1857" s="46">
        <f>[2]Trucks!I1854</f>
        <v>0</v>
      </c>
      <c r="I1857" s="83" t="str">
        <f t="shared" si="140"/>
        <v/>
      </c>
      <c r="J1857" s="272" t="str">
        <f>IFERROR(VLOOKUP((D1857&amp;C1857)&amp;"",'[2]Retail Price List'!$C$4:$F$102,3,FALSE),"")</f>
        <v/>
      </c>
      <c r="K1857" s="272">
        <f>IFERROR(IF(BA1857="WIP - 30 Days",VLOOKUP(D1857,[3]Standard!$B$9:$E$101,4,FALSE),IF(BA1857="31-120 Days",VLOOKUP(D1857,[3]Standard!$B$9:$F$101,5,FALSE),IF(BA1857="121-365 Days",VLOOKUP(D1857,[3]Standard!$B$9:$G$101,6,FALSE),VLOOKUP(D1857,[3]Standard!$B$9:$H$101,7,FALSE)))),0)</f>
        <v>0</v>
      </c>
      <c r="L1857" s="272">
        <f>IFERROR(IF(BA1857="WIP - 30 Days",VLOOKUP(D1857,[3]Standard!$B$9:$J$101,9,FALSE),IF(BA1857="31-120 Days",VLOOKUP(D1857,[3]Standard!$B$9:$K$100,10,FALSE),IF(BA1857="121-365 Days",VLOOKUP(D1857,[3]Standard!$B$9:$L$101,11,FALSE),VLOOKUP(D1857,[3]Standard!$B$9:$M$101,12,FALSE)))),0)</f>
        <v>0</v>
      </c>
      <c r="M1857" s="269" t="str">
        <f>IFERROR(VLOOKUP((D1857&amp;C1857)&amp;"",'[2]Retail Price List'!$C$4:$F$102,4,FALSE),"")</f>
        <v/>
      </c>
      <c r="N1857" s="269">
        <f>IFERROR(IF(BA1857="WIP - 30 Days",VLOOKUP(D1857,[3]Extended!$B$9:$E$101,4,FALSE),IF(BA1857="31-120 Days",VLOOKUP(D1857,[3]Extended!$B$9:$F$101,5,FALSE),IF(BA1857="121-365 Days",VLOOKUP(D1857,[3]Extended!$B$9:$G$101,6,FALSE),VLOOKUP(D1857,[3]Extended!$B$9:$H$101,7,FALSE)))),0)</f>
        <v>0</v>
      </c>
      <c r="O1857" s="269">
        <f>IFERROR(IF(BA1857="WIP - 30 Days",VLOOKUP(D1857,[3]Extended!$B$9:$J$101,9,FALSE),IF(BA1857="31-120 Days",VLOOKUP(D1857,[3]Extended!$B$9:$K$101,10,FALSE),IF(BA1857="121-365 Days",VLOOKUP(D1857,[3]Extended!$B$9:$L$101,11,FALSE),VLOOKUP(D1857,[3]Extended!$B$9:$M$101,12,FALSE)))),0)</f>
        <v>0</v>
      </c>
      <c r="P1857" s="116" t="e">
        <f t="shared" si="141"/>
        <v>#VALUE!</v>
      </c>
      <c r="Q1857" s="110" t="e">
        <f>O1857-#REF!</f>
        <v>#REF!</v>
      </c>
      <c r="AT1857" s="88" t="str">
        <f t="shared" si="142"/>
        <v>Special Order0</v>
      </c>
      <c r="AU1857" s="89" t="str">
        <f t="shared" si="143"/>
        <v>01-1900</v>
      </c>
      <c r="BA1857" s="92" t="str">
        <f t="shared" si="144"/>
        <v/>
      </c>
    </row>
    <row r="1858" spans="2:53">
      <c r="B1858" s="60">
        <f>[2]Trucks!A1855</f>
        <v>0</v>
      </c>
      <c r="C1858" s="11">
        <f>[2]Trucks!B1855</f>
        <v>0</v>
      </c>
      <c r="D1858" s="19" t="str">
        <f>IFERROR(VLOOKUP(C1858&amp;"",'[2]Retail Price List'!$A$3:$B$103,2,FALSE),"Special Order")</f>
        <v>Special Order</v>
      </c>
      <c r="E1858" s="18">
        <f>[2]Trucks!J1855</f>
        <v>0</v>
      </c>
      <c r="F1858" s="12">
        <f>[2]Trucks!E1855</f>
        <v>0</v>
      </c>
      <c r="G1858" s="56">
        <f>[2]Trucks!K1855</f>
        <v>0</v>
      </c>
      <c r="H1858" s="46">
        <f>[2]Trucks!I1855</f>
        <v>0</v>
      </c>
      <c r="I1858" s="83" t="str">
        <f t="shared" si="140"/>
        <v/>
      </c>
      <c r="J1858" s="272" t="str">
        <f>IFERROR(VLOOKUP((D1858&amp;C1858)&amp;"",'[2]Retail Price List'!$C$4:$F$102,3,FALSE),"")</f>
        <v/>
      </c>
      <c r="K1858" s="272">
        <f>IFERROR(IF(BA1858="WIP - 30 Days",VLOOKUP(D1858,[3]Standard!$B$9:$E$101,4,FALSE),IF(BA1858="31-120 Days",VLOOKUP(D1858,[3]Standard!$B$9:$F$101,5,FALSE),IF(BA1858="121-365 Days",VLOOKUP(D1858,[3]Standard!$B$9:$G$101,6,FALSE),VLOOKUP(D1858,[3]Standard!$B$9:$H$101,7,FALSE)))),0)</f>
        <v>0</v>
      </c>
      <c r="L1858" s="272">
        <f>IFERROR(IF(BA1858="WIP - 30 Days",VLOOKUP(D1858,[3]Standard!$B$9:$J$101,9,FALSE),IF(BA1858="31-120 Days",VLOOKUP(D1858,[3]Standard!$B$9:$K$100,10,FALSE),IF(BA1858="121-365 Days",VLOOKUP(D1858,[3]Standard!$B$9:$L$101,11,FALSE),VLOOKUP(D1858,[3]Standard!$B$9:$M$101,12,FALSE)))),0)</f>
        <v>0</v>
      </c>
      <c r="M1858" s="269" t="str">
        <f>IFERROR(VLOOKUP((D1858&amp;C1858)&amp;"",'[2]Retail Price List'!$C$4:$F$102,4,FALSE),"")</f>
        <v/>
      </c>
      <c r="N1858" s="269">
        <f>IFERROR(IF(BA1858="WIP - 30 Days",VLOOKUP(D1858,[3]Extended!$B$9:$E$101,4,FALSE),IF(BA1858="31-120 Days",VLOOKUP(D1858,[3]Extended!$B$9:$F$101,5,FALSE),IF(BA1858="121-365 Days",VLOOKUP(D1858,[3]Extended!$B$9:$G$101,6,FALSE),VLOOKUP(D1858,[3]Extended!$B$9:$H$101,7,FALSE)))),0)</f>
        <v>0</v>
      </c>
      <c r="O1858" s="269">
        <f>IFERROR(IF(BA1858="WIP - 30 Days",VLOOKUP(D1858,[3]Extended!$B$9:$J$101,9,FALSE),IF(BA1858="31-120 Days",VLOOKUP(D1858,[3]Extended!$B$9:$K$101,10,FALSE),IF(BA1858="121-365 Days",VLOOKUP(D1858,[3]Extended!$B$9:$L$101,11,FALSE),VLOOKUP(D1858,[3]Extended!$B$9:$M$101,12,FALSE)))),0)</f>
        <v>0</v>
      </c>
      <c r="P1858" s="116" t="e">
        <f t="shared" si="141"/>
        <v>#VALUE!</v>
      </c>
      <c r="Q1858" s="110" t="e">
        <f>O1858-#REF!</f>
        <v>#REF!</v>
      </c>
      <c r="AT1858" s="88" t="str">
        <f t="shared" si="142"/>
        <v>Special Order0</v>
      </c>
      <c r="AU1858" s="89" t="str">
        <f t="shared" si="143"/>
        <v>01-1900</v>
      </c>
      <c r="BA1858" s="92" t="str">
        <f t="shared" si="144"/>
        <v/>
      </c>
    </row>
    <row r="1859" spans="2:53">
      <c r="B1859" s="60">
        <f>[2]Trucks!A1856</f>
        <v>0</v>
      </c>
      <c r="C1859" s="11">
        <f>[2]Trucks!B1856</f>
        <v>0</v>
      </c>
      <c r="D1859" s="19" t="str">
        <f>IFERROR(VLOOKUP(C1859&amp;"",'[2]Retail Price List'!$A$3:$B$103,2,FALSE),"Special Order")</f>
        <v>Special Order</v>
      </c>
      <c r="E1859" s="18">
        <f>[2]Trucks!J1856</f>
        <v>0</v>
      </c>
      <c r="F1859" s="12">
        <f>[2]Trucks!E1856</f>
        <v>0</v>
      </c>
      <c r="G1859" s="56">
        <f>[2]Trucks!K1856</f>
        <v>0</v>
      </c>
      <c r="H1859" s="46">
        <f>[2]Trucks!I1856</f>
        <v>0</v>
      </c>
      <c r="I1859" s="83" t="str">
        <f t="shared" si="140"/>
        <v/>
      </c>
      <c r="J1859" s="272" t="str">
        <f>IFERROR(VLOOKUP((D1859&amp;C1859)&amp;"",'[2]Retail Price List'!$C$4:$F$102,3,FALSE),"")</f>
        <v/>
      </c>
      <c r="K1859" s="272">
        <f>IFERROR(IF(BA1859="WIP - 30 Days",VLOOKUP(D1859,[3]Standard!$B$9:$E$101,4,FALSE),IF(BA1859="31-120 Days",VLOOKUP(D1859,[3]Standard!$B$9:$F$101,5,FALSE),IF(BA1859="121-365 Days",VLOOKUP(D1859,[3]Standard!$B$9:$G$101,6,FALSE),VLOOKUP(D1859,[3]Standard!$B$9:$H$101,7,FALSE)))),0)</f>
        <v>0</v>
      </c>
      <c r="L1859" s="272">
        <f>IFERROR(IF(BA1859="WIP - 30 Days",VLOOKUP(D1859,[3]Standard!$B$9:$J$101,9,FALSE),IF(BA1859="31-120 Days",VLOOKUP(D1859,[3]Standard!$B$9:$K$100,10,FALSE),IF(BA1859="121-365 Days",VLOOKUP(D1859,[3]Standard!$B$9:$L$101,11,FALSE),VLOOKUP(D1859,[3]Standard!$B$9:$M$101,12,FALSE)))),0)</f>
        <v>0</v>
      </c>
      <c r="M1859" s="269" t="str">
        <f>IFERROR(VLOOKUP((D1859&amp;C1859)&amp;"",'[2]Retail Price List'!$C$4:$F$102,4,FALSE),"")</f>
        <v/>
      </c>
      <c r="N1859" s="269">
        <f>IFERROR(IF(BA1859="WIP - 30 Days",VLOOKUP(D1859,[3]Extended!$B$9:$E$101,4,FALSE),IF(BA1859="31-120 Days",VLOOKUP(D1859,[3]Extended!$B$9:$F$101,5,FALSE),IF(BA1859="121-365 Days",VLOOKUP(D1859,[3]Extended!$B$9:$G$101,6,FALSE),VLOOKUP(D1859,[3]Extended!$B$9:$H$101,7,FALSE)))),0)</f>
        <v>0</v>
      </c>
      <c r="O1859" s="269">
        <f>IFERROR(IF(BA1859="WIP - 30 Days",VLOOKUP(D1859,[3]Extended!$B$9:$J$101,9,FALSE),IF(BA1859="31-120 Days",VLOOKUP(D1859,[3]Extended!$B$9:$K$101,10,FALSE),IF(BA1859="121-365 Days",VLOOKUP(D1859,[3]Extended!$B$9:$L$101,11,FALSE),VLOOKUP(D1859,[3]Extended!$B$9:$M$101,12,FALSE)))),0)</f>
        <v>0</v>
      </c>
      <c r="P1859" s="116" t="e">
        <f t="shared" si="141"/>
        <v>#VALUE!</v>
      </c>
      <c r="Q1859" s="110" t="e">
        <f>O1859-#REF!</f>
        <v>#REF!</v>
      </c>
      <c r="AT1859" s="88" t="str">
        <f t="shared" si="142"/>
        <v>Special Order0</v>
      </c>
      <c r="AU1859" s="89" t="str">
        <f t="shared" si="143"/>
        <v>01-1900</v>
      </c>
      <c r="BA1859" s="92" t="str">
        <f t="shared" si="144"/>
        <v/>
      </c>
    </row>
    <row r="1860" spans="2:53">
      <c r="B1860" s="60">
        <f>[2]Trucks!A1857</f>
        <v>0</v>
      </c>
      <c r="C1860" s="11">
        <f>[2]Trucks!B1857</f>
        <v>0</v>
      </c>
      <c r="D1860" s="19" t="str">
        <f>IFERROR(VLOOKUP(C1860&amp;"",'[2]Retail Price List'!$A$3:$B$103,2,FALSE),"Special Order")</f>
        <v>Special Order</v>
      </c>
      <c r="E1860" s="18">
        <f>[2]Trucks!J1857</f>
        <v>0</v>
      </c>
      <c r="F1860" s="12">
        <f>[2]Trucks!E1857</f>
        <v>0</v>
      </c>
      <c r="G1860" s="56">
        <f>[2]Trucks!K1857</f>
        <v>0</v>
      </c>
      <c r="H1860" s="46">
        <f>[2]Trucks!I1857</f>
        <v>0</v>
      </c>
      <c r="I1860" s="83" t="str">
        <f t="shared" si="140"/>
        <v/>
      </c>
      <c r="J1860" s="272" t="str">
        <f>IFERROR(VLOOKUP((D1860&amp;C1860)&amp;"",'[2]Retail Price List'!$C$4:$F$102,3,FALSE),"")</f>
        <v/>
      </c>
      <c r="K1860" s="272">
        <f>IFERROR(IF(BA1860="WIP - 30 Days",VLOOKUP(D1860,[3]Standard!$B$9:$E$101,4,FALSE),IF(BA1860="31-120 Days",VLOOKUP(D1860,[3]Standard!$B$9:$F$101,5,FALSE),IF(BA1860="121-365 Days",VLOOKUP(D1860,[3]Standard!$B$9:$G$101,6,FALSE),VLOOKUP(D1860,[3]Standard!$B$9:$H$101,7,FALSE)))),0)</f>
        <v>0</v>
      </c>
      <c r="L1860" s="272">
        <f>IFERROR(IF(BA1860="WIP - 30 Days",VLOOKUP(D1860,[3]Standard!$B$9:$J$101,9,FALSE),IF(BA1860="31-120 Days",VLOOKUP(D1860,[3]Standard!$B$9:$K$100,10,FALSE),IF(BA1860="121-365 Days",VLOOKUP(D1860,[3]Standard!$B$9:$L$101,11,FALSE),VLOOKUP(D1860,[3]Standard!$B$9:$M$101,12,FALSE)))),0)</f>
        <v>0</v>
      </c>
      <c r="M1860" s="269" t="str">
        <f>IFERROR(VLOOKUP((D1860&amp;C1860)&amp;"",'[2]Retail Price List'!$C$4:$F$102,4,FALSE),"")</f>
        <v/>
      </c>
      <c r="N1860" s="269">
        <f>IFERROR(IF(BA1860="WIP - 30 Days",VLOOKUP(D1860,[3]Extended!$B$9:$E$101,4,FALSE),IF(BA1860="31-120 Days",VLOOKUP(D1860,[3]Extended!$B$9:$F$101,5,FALSE),IF(BA1860="121-365 Days",VLOOKUP(D1860,[3]Extended!$B$9:$G$101,6,FALSE),VLOOKUP(D1860,[3]Extended!$B$9:$H$101,7,FALSE)))),0)</f>
        <v>0</v>
      </c>
      <c r="O1860" s="269">
        <f>IFERROR(IF(BA1860="WIP - 30 Days",VLOOKUP(D1860,[3]Extended!$B$9:$J$101,9,FALSE),IF(BA1860="31-120 Days",VLOOKUP(D1860,[3]Extended!$B$9:$K$101,10,FALSE),IF(BA1860="121-365 Days",VLOOKUP(D1860,[3]Extended!$B$9:$L$101,11,FALSE),VLOOKUP(D1860,[3]Extended!$B$9:$M$101,12,FALSE)))),0)</f>
        <v>0</v>
      </c>
      <c r="P1860" s="116" t="e">
        <f t="shared" si="141"/>
        <v>#VALUE!</v>
      </c>
      <c r="Q1860" s="110" t="e">
        <f>O1860-#REF!</f>
        <v>#REF!</v>
      </c>
      <c r="AT1860" s="88" t="str">
        <f t="shared" si="142"/>
        <v>Special Order0</v>
      </c>
      <c r="AU1860" s="89" t="str">
        <f t="shared" si="143"/>
        <v>01-1900</v>
      </c>
      <c r="BA1860" s="92" t="str">
        <f t="shared" si="144"/>
        <v/>
      </c>
    </row>
    <row r="1861" spans="2:53">
      <c r="B1861" s="60">
        <f>[2]Trucks!A1858</f>
        <v>0</v>
      </c>
      <c r="C1861" s="11">
        <f>[2]Trucks!B1858</f>
        <v>0</v>
      </c>
      <c r="D1861" s="19" t="str">
        <f>IFERROR(VLOOKUP(C1861&amp;"",'[2]Retail Price List'!$A$3:$B$103,2,FALSE),"Special Order")</f>
        <v>Special Order</v>
      </c>
      <c r="E1861" s="18">
        <f>[2]Trucks!J1858</f>
        <v>0</v>
      </c>
      <c r="F1861" s="12">
        <f>[2]Trucks!E1858</f>
        <v>0</v>
      </c>
      <c r="G1861" s="56">
        <f>[2]Trucks!K1858</f>
        <v>0</v>
      </c>
      <c r="H1861" s="46">
        <f>[2]Trucks!I1858</f>
        <v>0</v>
      </c>
      <c r="I1861" s="83" t="str">
        <f t="shared" ref="I1861:I1924" si="145">IFERROR(VLOOKUP(AU1861,$AW$5:$AY$40,3,FALSE),"")</f>
        <v/>
      </c>
      <c r="J1861" s="272" t="str">
        <f>IFERROR(VLOOKUP((D1861&amp;C1861)&amp;"",'[2]Retail Price List'!$C$4:$F$102,3,FALSE),"")</f>
        <v/>
      </c>
      <c r="K1861" s="272">
        <f>IFERROR(IF(BA1861="WIP - 30 Days",VLOOKUP(D1861,[3]Standard!$B$9:$E$101,4,FALSE),IF(BA1861="31-120 Days",VLOOKUP(D1861,[3]Standard!$B$9:$F$101,5,FALSE),IF(BA1861="121-365 Days",VLOOKUP(D1861,[3]Standard!$B$9:$G$101,6,FALSE),VLOOKUP(D1861,[3]Standard!$B$9:$H$101,7,FALSE)))),0)</f>
        <v>0</v>
      </c>
      <c r="L1861" s="272">
        <f>IFERROR(IF(BA1861="WIP - 30 Days",VLOOKUP(D1861,[3]Standard!$B$9:$J$101,9,FALSE),IF(BA1861="31-120 Days",VLOOKUP(D1861,[3]Standard!$B$9:$K$100,10,FALSE),IF(BA1861="121-365 Days",VLOOKUP(D1861,[3]Standard!$B$9:$L$101,11,FALSE),VLOOKUP(D1861,[3]Standard!$B$9:$M$101,12,FALSE)))),0)</f>
        <v>0</v>
      </c>
      <c r="M1861" s="269" t="str">
        <f>IFERROR(VLOOKUP((D1861&amp;C1861)&amp;"",'[2]Retail Price List'!$C$4:$F$102,4,FALSE),"")</f>
        <v/>
      </c>
      <c r="N1861" s="269">
        <f>IFERROR(IF(BA1861="WIP - 30 Days",VLOOKUP(D1861,[3]Extended!$B$9:$E$101,4,FALSE),IF(BA1861="31-120 Days",VLOOKUP(D1861,[3]Extended!$B$9:$F$101,5,FALSE),IF(BA1861="121-365 Days",VLOOKUP(D1861,[3]Extended!$B$9:$G$101,6,FALSE),VLOOKUP(D1861,[3]Extended!$B$9:$H$101,7,FALSE)))),0)</f>
        <v>0</v>
      </c>
      <c r="O1861" s="269">
        <f>IFERROR(IF(BA1861="WIP - 30 Days",VLOOKUP(D1861,[3]Extended!$B$9:$J$101,9,FALSE),IF(BA1861="31-120 Days",VLOOKUP(D1861,[3]Extended!$B$9:$K$101,10,FALSE),IF(BA1861="121-365 Days",VLOOKUP(D1861,[3]Extended!$B$9:$L$101,11,FALSE),VLOOKUP(D1861,[3]Extended!$B$9:$M$101,12,FALSE)))),0)</f>
        <v>0</v>
      </c>
      <c r="P1861" s="116" t="e">
        <f t="shared" ref="P1861:P1924" si="146">(M1861-O1861)/M1861</f>
        <v>#VALUE!</v>
      </c>
      <c r="Q1861" s="110" t="e">
        <f>O1861-#REF!</f>
        <v>#REF!</v>
      </c>
      <c r="AT1861" s="88" t="str">
        <f t="shared" ref="AT1861:AT1924" si="147">D1861&amp;I1861&amp;G1861</f>
        <v>Special Order0</v>
      </c>
      <c r="AU1861" s="89" t="str">
        <f t="shared" ref="AU1861:AU1924" si="148">IF(MONTH(H1861)&lt;10,0&amp;MONTH(H1861)&amp;"-"&amp;YEAR(H1861),MONTH(H1861)&amp;"-"&amp;YEAR(H1861))</f>
        <v>01-1900</v>
      </c>
      <c r="BA1861" s="92" t="str">
        <f t="shared" ref="BA1861:BA1924" si="149">IF(B1861=0,"",IF(AND(F1861&gt;=31,F1861&lt;=120),"31-120 Days",IF(AND(F1861&gt;=121,F1861&lt;=365),"121-365 Days",IF(OR(E1861="CKD",F1861&lt;=30),"WIP - 30 Days","&gt;365 Days"))))</f>
        <v/>
      </c>
    </row>
    <row r="1862" spans="2:53">
      <c r="B1862" s="60">
        <f>[2]Trucks!A1859</f>
        <v>0</v>
      </c>
      <c r="C1862" s="11">
        <f>[2]Trucks!B1859</f>
        <v>0</v>
      </c>
      <c r="D1862" s="19" t="str">
        <f>IFERROR(VLOOKUP(C1862&amp;"",'[2]Retail Price List'!$A$3:$B$103,2,FALSE),"Special Order")</f>
        <v>Special Order</v>
      </c>
      <c r="E1862" s="18">
        <f>[2]Trucks!J1859</f>
        <v>0</v>
      </c>
      <c r="F1862" s="12">
        <f>[2]Trucks!E1859</f>
        <v>0</v>
      </c>
      <c r="G1862" s="56">
        <f>[2]Trucks!K1859</f>
        <v>0</v>
      </c>
      <c r="H1862" s="46">
        <f>[2]Trucks!I1859</f>
        <v>0</v>
      </c>
      <c r="I1862" s="83" t="str">
        <f t="shared" si="145"/>
        <v/>
      </c>
      <c r="J1862" s="272" t="str">
        <f>IFERROR(VLOOKUP((D1862&amp;C1862)&amp;"",'[2]Retail Price List'!$C$4:$F$102,3,FALSE),"")</f>
        <v/>
      </c>
      <c r="K1862" s="272">
        <f>IFERROR(IF(BA1862="WIP - 30 Days",VLOOKUP(D1862,[3]Standard!$B$9:$E$101,4,FALSE),IF(BA1862="31-120 Days",VLOOKUP(D1862,[3]Standard!$B$9:$F$101,5,FALSE),IF(BA1862="121-365 Days",VLOOKUP(D1862,[3]Standard!$B$9:$G$101,6,FALSE),VLOOKUP(D1862,[3]Standard!$B$9:$H$101,7,FALSE)))),0)</f>
        <v>0</v>
      </c>
      <c r="L1862" s="272">
        <f>IFERROR(IF(BA1862="WIP - 30 Days",VLOOKUP(D1862,[3]Standard!$B$9:$J$101,9,FALSE),IF(BA1862="31-120 Days",VLOOKUP(D1862,[3]Standard!$B$9:$K$100,10,FALSE),IF(BA1862="121-365 Days",VLOOKUP(D1862,[3]Standard!$B$9:$L$101,11,FALSE),VLOOKUP(D1862,[3]Standard!$B$9:$M$101,12,FALSE)))),0)</f>
        <v>0</v>
      </c>
      <c r="M1862" s="269" t="str">
        <f>IFERROR(VLOOKUP((D1862&amp;C1862)&amp;"",'[2]Retail Price List'!$C$4:$F$102,4,FALSE),"")</f>
        <v/>
      </c>
      <c r="N1862" s="269">
        <f>IFERROR(IF(BA1862="WIP - 30 Days",VLOOKUP(D1862,[3]Extended!$B$9:$E$101,4,FALSE),IF(BA1862="31-120 Days",VLOOKUP(D1862,[3]Extended!$B$9:$F$101,5,FALSE),IF(BA1862="121-365 Days",VLOOKUP(D1862,[3]Extended!$B$9:$G$101,6,FALSE),VLOOKUP(D1862,[3]Extended!$B$9:$H$101,7,FALSE)))),0)</f>
        <v>0</v>
      </c>
      <c r="O1862" s="269">
        <f>IFERROR(IF(BA1862="WIP - 30 Days",VLOOKUP(D1862,[3]Extended!$B$9:$J$101,9,FALSE),IF(BA1862="31-120 Days",VLOOKUP(D1862,[3]Extended!$B$9:$K$101,10,FALSE),IF(BA1862="121-365 Days",VLOOKUP(D1862,[3]Extended!$B$9:$L$101,11,FALSE),VLOOKUP(D1862,[3]Extended!$B$9:$M$101,12,FALSE)))),0)</f>
        <v>0</v>
      </c>
      <c r="P1862" s="116" t="e">
        <f t="shared" si="146"/>
        <v>#VALUE!</v>
      </c>
      <c r="Q1862" s="110" t="e">
        <f>O1862-#REF!</f>
        <v>#REF!</v>
      </c>
      <c r="AT1862" s="88" t="str">
        <f t="shared" si="147"/>
        <v>Special Order0</v>
      </c>
      <c r="AU1862" s="89" t="str">
        <f t="shared" si="148"/>
        <v>01-1900</v>
      </c>
      <c r="BA1862" s="92" t="str">
        <f t="shared" si="149"/>
        <v/>
      </c>
    </row>
    <row r="1863" spans="2:53">
      <c r="B1863" s="60">
        <f>[2]Trucks!A1860</f>
        <v>0</v>
      </c>
      <c r="C1863" s="11">
        <f>[2]Trucks!B1860</f>
        <v>0</v>
      </c>
      <c r="D1863" s="19" t="str">
        <f>IFERROR(VLOOKUP(C1863&amp;"",'[2]Retail Price List'!$A$3:$B$103,2,FALSE),"Special Order")</f>
        <v>Special Order</v>
      </c>
      <c r="E1863" s="18">
        <f>[2]Trucks!J1860</f>
        <v>0</v>
      </c>
      <c r="F1863" s="12">
        <f>[2]Trucks!E1860</f>
        <v>0</v>
      </c>
      <c r="G1863" s="56">
        <f>[2]Trucks!K1860</f>
        <v>0</v>
      </c>
      <c r="H1863" s="46">
        <f>[2]Trucks!I1860</f>
        <v>0</v>
      </c>
      <c r="I1863" s="83" t="str">
        <f t="shared" si="145"/>
        <v/>
      </c>
      <c r="J1863" s="272" t="str">
        <f>IFERROR(VLOOKUP((D1863&amp;C1863)&amp;"",'[2]Retail Price List'!$C$4:$F$102,3,FALSE),"")</f>
        <v/>
      </c>
      <c r="K1863" s="272">
        <f>IFERROR(IF(BA1863="WIP - 30 Days",VLOOKUP(D1863,[3]Standard!$B$9:$E$101,4,FALSE),IF(BA1863="31-120 Days",VLOOKUP(D1863,[3]Standard!$B$9:$F$101,5,FALSE),IF(BA1863="121-365 Days",VLOOKUP(D1863,[3]Standard!$B$9:$G$101,6,FALSE),VLOOKUP(D1863,[3]Standard!$B$9:$H$101,7,FALSE)))),0)</f>
        <v>0</v>
      </c>
      <c r="L1863" s="272">
        <f>IFERROR(IF(BA1863="WIP - 30 Days",VLOOKUP(D1863,[3]Standard!$B$9:$J$101,9,FALSE),IF(BA1863="31-120 Days",VLOOKUP(D1863,[3]Standard!$B$9:$K$100,10,FALSE),IF(BA1863="121-365 Days",VLOOKUP(D1863,[3]Standard!$B$9:$L$101,11,FALSE),VLOOKUP(D1863,[3]Standard!$B$9:$M$101,12,FALSE)))),0)</f>
        <v>0</v>
      </c>
      <c r="M1863" s="269" t="str">
        <f>IFERROR(VLOOKUP((D1863&amp;C1863)&amp;"",'[2]Retail Price List'!$C$4:$F$102,4,FALSE),"")</f>
        <v/>
      </c>
      <c r="N1863" s="269">
        <f>IFERROR(IF(BA1863="WIP - 30 Days",VLOOKUP(D1863,[3]Extended!$B$9:$E$101,4,FALSE),IF(BA1863="31-120 Days",VLOOKUP(D1863,[3]Extended!$B$9:$F$101,5,FALSE),IF(BA1863="121-365 Days",VLOOKUP(D1863,[3]Extended!$B$9:$G$101,6,FALSE),VLOOKUP(D1863,[3]Extended!$B$9:$H$101,7,FALSE)))),0)</f>
        <v>0</v>
      </c>
      <c r="O1863" s="269">
        <f>IFERROR(IF(BA1863="WIP - 30 Days",VLOOKUP(D1863,[3]Extended!$B$9:$J$101,9,FALSE),IF(BA1863="31-120 Days",VLOOKUP(D1863,[3]Extended!$B$9:$K$101,10,FALSE),IF(BA1863="121-365 Days",VLOOKUP(D1863,[3]Extended!$B$9:$L$101,11,FALSE),VLOOKUP(D1863,[3]Extended!$B$9:$M$101,12,FALSE)))),0)</f>
        <v>0</v>
      </c>
      <c r="P1863" s="116" t="e">
        <f t="shared" si="146"/>
        <v>#VALUE!</v>
      </c>
      <c r="Q1863" s="110" t="e">
        <f>O1863-#REF!</f>
        <v>#REF!</v>
      </c>
      <c r="AT1863" s="88" t="str">
        <f t="shared" si="147"/>
        <v>Special Order0</v>
      </c>
      <c r="AU1863" s="89" t="str">
        <f t="shared" si="148"/>
        <v>01-1900</v>
      </c>
      <c r="BA1863" s="92" t="str">
        <f t="shared" si="149"/>
        <v/>
      </c>
    </row>
    <row r="1864" spans="2:53">
      <c r="B1864" s="60">
        <f>[2]Trucks!A1861</f>
        <v>0</v>
      </c>
      <c r="C1864" s="11">
        <f>[2]Trucks!B1861</f>
        <v>0</v>
      </c>
      <c r="D1864" s="19" t="str">
        <f>IFERROR(VLOOKUP(C1864&amp;"",'[2]Retail Price List'!$A$3:$B$103,2,FALSE),"Special Order")</f>
        <v>Special Order</v>
      </c>
      <c r="E1864" s="18">
        <f>[2]Trucks!J1861</f>
        <v>0</v>
      </c>
      <c r="F1864" s="12">
        <f>[2]Trucks!E1861</f>
        <v>0</v>
      </c>
      <c r="G1864" s="56">
        <f>[2]Trucks!K1861</f>
        <v>0</v>
      </c>
      <c r="H1864" s="46">
        <f>[2]Trucks!I1861</f>
        <v>0</v>
      </c>
      <c r="I1864" s="83" t="str">
        <f t="shared" si="145"/>
        <v/>
      </c>
      <c r="J1864" s="272" t="str">
        <f>IFERROR(VLOOKUP((D1864&amp;C1864)&amp;"",'[2]Retail Price List'!$C$4:$F$102,3,FALSE),"")</f>
        <v/>
      </c>
      <c r="K1864" s="272">
        <f>IFERROR(IF(BA1864="WIP - 30 Days",VLOOKUP(D1864,[3]Standard!$B$9:$E$101,4,FALSE),IF(BA1864="31-120 Days",VLOOKUP(D1864,[3]Standard!$B$9:$F$101,5,FALSE),IF(BA1864="121-365 Days",VLOOKUP(D1864,[3]Standard!$B$9:$G$101,6,FALSE),VLOOKUP(D1864,[3]Standard!$B$9:$H$101,7,FALSE)))),0)</f>
        <v>0</v>
      </c>
      <c r="L1864" s="272">
        <f>IFERROR(IF(BA1864="WIP - 30 Days",VLOOKUP(D1864,[3]Standard!$B$9:$J$101,9,FALSE),IF(BA1864="31-120 Days",VLOOKUP(D1864,[3]Standard!$B$9:$K$100,10,FALSE),IF(BA1864="121-365 Days",VLOOKUP(D1864,[3]Standard!$B$9:$L$101,11,FALSE),VLOOKUP(D1864,[3]Standard!$B$9:$M$101,12,FALSE)))),0)</f>
        <v>0</v>
      </c>
      <c r="M1864" s="269" t="str">
        <f>IFERROR(VLOOKUP((D1864&amp;C1864)&amp;"",'[2]Retail Price List'!$C$4:$F$102,4,FALSE),"")</f>
        <v/>
      </c>
      <c r="N1864" s="269">
        <f>IFERROR(IF(BA1864="WIP - 30 Days",VLOOKUP(D1864,[3]Extended!$B$9:$E$101,4,FALSE),IF(BA1864="31-120 Days",VLOOKUP(D1864,[3]Extended!$B$9:$F$101,5,FALSE),IF(BA1864="121-365 Days",VLOOKUP(D1864,[3]Extended!$B$9:$G$101,6,FALSE),VLOOKUP(D1864,[3]Extended!$B$9:$H$101,7,FALSE)))),0)</f>
        <v>0</v>
      </c>
      <c r="O1864" s="269">
        <f>IFERROR(IF(BA1864="WIP - 30 Days",VLOOKUP(D1864,[3]Extended!$B$9:$J$101,9,FALSE),IF(BA1864="31-120 Days",VLOOKUP(D1864,[3]Extended!$B$9:$K$101,10,FALSE),IF(BA1864="121-365 Days",VLOOKUP(D1864,[3]Extended!$B$9:$L$101,11,FALSE),VLOOKUP(D1864,[3]Extended!$B$9:$M$101,12,FALSE)))),0)</f>
        <v>0</v>
      </c>
      <c r="P1864" s="116" t="e">
        <f t="shared" si="146"/>
        <v>#VALUE!</v>
      </c>
      <c r="Q1864" s="110" t="e">
        <f>O1864-#REF!</f>
        <v>#REF!</v>
      </c>
      <c r="AT1864" s="88" t="str">
        <f t="shared" si="147"/>
        <v>Special Order0</v>
      </c>
      <c r="AU1864" s="89" t="str">
        <f t="shared" si="148"/>
        <v>01-1900</v>
      </c>
      <c r="BA1864" s="92" t="str">
        <f t="shared" si="149"/>
        <v/>
      </c>
    </row>
    <row r="1865" spans="2:53">
      <c r="B1865" s="60">
        <f>[2]Trucks!A1862</f>
        <v>0</v>
      </c>
      <c r="C1865" s="11">
        <f>[2]Trucks!B1862</f>
        <v>0</v>
      </c>
      <c r="D1865" s="19" t="str">
        <f>IFERROR(VLOOKUP(C1865&amp;"",'[2]Retail Price List'!$A$3:$B$103,2,FALSE),"Special Order")</f>
        <v>Special Order</v>
      </c>
      <c r="E1865" s="18">
        <f>[2]Trucks!J1862</f>
        <v>0</v>
      </c>
      <c r="F1865" s="12">
        <f>[2]Trucks!E1862</f>
        <v>0</v>
      </c>
      <c r="G1865" s="56">
        <f>[2]Trucks!K1862</f>
        <v>0</v>
      </c>
      <c r="H1865" s="46">
        <f>[2]Trucks!I1862</f>
        <v>0</v>
      </c>
      <c r="I1865" s="83" t="str">
        <f t="shared" si="145"/>
        <v/>
      </c>
      <c r="J1865" s="272" t="str">
        <f>IFERROR(VLOOKUP((D1865&amp;C1865)&amp;"",'[2]Retail Price List'!$C$4:$F$102,3,FALSE),"")</f>
        <v/>
      </c>
      <c r="K1865" s="272">
        <f>IFERROR(IF(BA1865="WIP - 30 Days",VLOOKUP(D1865,[3]Standard!$B$9:$E$101,4,FALSE),IF(BA1865="31-120 Days",VLOOKUP(D1865,[3]Standard!$B$9:$F$101,5,FALSE),IF(BA1865="121-365 Days",VLOOKUP(D1865,[3]Standard!$B$9:$G$101,6,FALSE),VLOOKUP(D1865,[3]Standard!$B$9:$H$101,7,FALSE)))),0)</f>
        <v>0</v>
      </c>
      <c r="L1865" s="272">
        <f>IFERROR(IF(BA1865="WIP - 30 Days",VLOOKUP(D1865,[3]Standard!$B$9:$J$101,9,FALSE),IF(BA1865="31-120 Days",VLOOKUP(D1865,[3]Standard!$B$9:$K$100,10,FALSE),IF(BA1865="121-365 Days",VLOOKUP(D1865,[3]Standard!$B$9:$L$101,11,FALSE),VLOOKUP(D1865,[3]Standard!$B$9:$M$101,12,FALSE)))),0)</f>
        <v>0</v>
      </c>
      <c r="M1865" s="269" t="str">
        <f>IFERROR(VLOOKUP((D1865&amp;C1865)&amp;"",'[2]Retail Price List'!$C$4:$F$102,4,FALSE),"")</f>
        <v/>
      </c>
      <c r="N1865" s="269">
        <f>IFERROR(IF(BA1865="WIP - 30 Days",VLOOKUP(D1865,[3]Extended!$B$9:$E$101,4,FALSE),IF(BA1865="31-120 Days",VLOOKUP(D1865,[3]Extended!$B$9:$F$101,5,FALSE),IF(BA1865="121-365 Days",VLOOKUP(D1865,[3]Extended!$B$9:$G$101,6,FALSE),VLOOKUP(D1865,[3]Extended!$B$9:$H$101,7,FALSE)))),0)</f>
        <v>0</v>
      </c>
      <c r="O1865" s="269">
        <f>IFERROR(IF(BA1865="WIP - 30 Days",VLOOKUP(D1865,[3]Extended!$B$9:$J$101,9,FALSE),IF(BA1865="31-120 Days",VLOOKUP(D1865,[3]Extended!$B$9:$K$101,10,FALSE),IF(BA1865="121-365 Days",VLOOKUP(D1865,[3]Extended!$B$9:$L$101,11,FALSE),VLOOKUP(D1865,[3]Extended!$B$9:$M$101,12,FALSE)))),0)</f>
        <v>0</v>
      </c>
      <c r="P1865" s="116" t="e">
        <f t="shared" si="146"/>
        <v>#VALUE!</v>
      </c>
      <c r="Q1865" s="110" t="e">
        <f>O1865-#REF!</f>
        <v>#REF!</v>
      </c>
      <c r="AT1865" s="88" t="str">
        <f t="shared" si="147"/>
        <v>Special Order0</v>
      </c>
      <c r="AU1865" s="89" t="str">
        <f t="shared" si="148"/>
        <v>01-1900</v>
      </c>
      <c r="BA1865" s="92" t="str">
        <f t="shared" si="149"/>
        <v/>
      </c>
    </row>
    <row r="1866" spans="2:53">
      <c r="B1866" s="60">
        <f>[2]Trucks!A1863</f>
        <v>0</v>
      </c>
      <c r="C1866" s="11">
        <f>[2]Trucks!B1863</f>
        <v>0</v>
      </c>
      <c r="D1866" s="19" t="str">
        <f>IFERROR(VLOOKUP(C1866&amp;"",'[2]Retail Price List'!$A$3:$B$103,2,FALSE),"Special Order")</f>
        <v>Special Order</v>
      </c>
      <c r="E1866" s="18">
        <f>[2]Trucks!J1863</f>
        <v>0</v>
      </c>
      <c r="F1866" s="12">
        <f>[2]Trucks!E1863</f>
        <v>0</v>
      </c>
      <c r="G1866" s="56">
        <f>[2]Trucks!K1863</f>
        <v>0</v>
      </c>
      <c r="H1866" s="46">
        <f>[2]Trucks!I1863</f>
        <v>0</v>
      </c>
      <c r="I1866" s="83" t="str">
        <f t="shared" si="145"/>
        <v/>
      </c>
      <c r="J1866" s="272" t="str">
        <f>IFERROR(VLOOKUP((D1866&amp;C1866)&amp;"",'[2]Retail Price List'!$C$4:$F$102,3,FALSE),"")</f>
        <v/>
      </c>
      <c r="K1866" s="272">
        <f>IFERROR(IF(BA1866="WIP - 30 Days",VLOOKUP(D1866,[3]Standard!$B$9:$E$101,4,FALSE),IF(BA1866="31-120 Days",VLOOKUP(D1866,[3]Standard!$B$9:$F$101,5,FALSE),IF(BA1866="121-365 Days",VLOOKUP(D1866,[3]Standard!$B$9:$G$101,6,FALSE),VLOOKUP(D1866,[3]Standard!$B$9:$H$101,7,FALSE)))),0)</f>
        <v>0</v>
      </c>
      <c r="L1866" s="272">
        <f>IFERROR(IF(BA1866="WIP - 30 Days",VLOOKUP(D1866,[3]Standard!$B$9:$J$101,9,FALSE),IF(BA1866="31-120 Days",VLOOKUP(D1866,[3]Standard!$B$9:$K$100,10,FALSE),IF(BA1866="121-365 Days",VLOOKUP(D1866,[3]Standard!$B$9:$L$101,11,FALSE),VLOOKUP(D1866,[3]Standard!$B$9:$M$101,12,FALSE)))),0)</f>
        <v>0</v>
      </c>
      <c r="M1866" s="269" t="str">
        <f>IFERROR(VLOOKUP((D1866&amp;C1866)&amp;"",'[2]Retail Price List'!$C$4:$F$102,4,FALSE),"")</f>
        <v/>
      </c>
      <c r="N1866" s="269">
        <f>IFERROR(IF(BA1866="WIP - 30 Days",VLOOKUP(D1866,[3]Extended!$B$9:$E$101,4,FALSE),IF(BA1866="31-120 Days",VLOOKUP(D1866,[3]Extended!$B$9:$F$101,5,FALSE),IF(BA1866="121-365 Days",VLOOKUP(D1866,[3]Extended!$B$9:$G$101,6,FALSE),VLOOKUP(D1866,[3]Extended!$B$9:$H$101,7,FALSE)))),0)</f>
        <v>0</v>
      </c>
      <c r="O1866" s="269">
        <f>IFERROR(IF(BA1866="WIP - 30 Days",VLOOKUP(D1866,[3]Extended!$B$9:$J$101,9,FALSE),IF(BA1866="31-120 Days",VLOOKUP(D1866,[3]Extended!$B$9:$K$101,10,FALSE),IF(BA1866="121-365 Days",VLOOKUP(D1866,[3]Extended!$B$9:$L$101,11,FALSE),VLOOKUP(D1866,[3]Extended!$B$9:$M$101,12,FALSE)))),0)</f>
        <v>0</v>
      </c>
      <c r="P1866" s="116" t="e">
        <f t="shared" si="146"/>
        <v>#VALUE!</v>
      </c>
      <c r="Q1866" s="110" t="e">
        <f>O1866-#REF!</f>
        <v>#REF!</v>
      </c>
      <c r="AT1866" s="88" t="str">
        <f t="shared" si="147"/>
        <v>Special Order0</v>
      </c>
      <c r="AU1866" s="89" t="str">
        <f t="shared" si="148"/>
        <v>01-1900</v>
      </c>
      <c r="BA1866" s="92" t="str">
        <f t="shared" si="149"/>
        <v/>
      </c>
    </row>
    <row r="1867" spans="2:53">
      <c r="B1867" s="60">
        <f>[2]Trucks!A1864</f>
        <v>0</v>
      </c>
      <c r="C1867" s="11">
        <f>[2]Trucks!B1864</f>
        <v>0</v>
      </c>
      <c r="D1867" s="19" t="str">
        <f>IFERROR(VLOOKUP(C1867&amp;"",'[2]Retail Price List'!$A$3:$B$103,2,FALSE),"Special Order")</f>
        <v>Special Order</v>
      </c>
      <c r="E1867" s="18">
        <f>[2]Trucks!J1864</f>
        <v>0</v>
      </c>
      <c r="F1867" s="12">
        <f>[2]Trucks!E1864</f>
        <v>0</v>
      </c>
      <c r="G1867" s="56">
        <f>[2]Trucks!K1864</f>
        <v>0</v>
      </c>
      <c r="H1867" s="46">
        <f>[2]Trucks!I1864</f>
        <v>0</v>
      </c>
      <c r="I1867" s="83" t="str">
        <f t="shared" si="145"/>
        <v/>
      </c>
      <c r="J1867" s="272" t="str">
        <f>IFERROR(VLOOKUP((D1867&amp;C1867)&amp;"",'[2]Retail Price List'!$C$4:$F$102,3,FALSE),"")</f>
        <v/>
      </c>
      <c r="K1867" s="272">
        <f>IFERROR(IF(BA1867="WIP - 30 Days",VLOOKUP(D1867,[3]Standard!$B$9:$E$101,4,FALSE),IF(BA1867="31-120 Days",VLOOKUP(D1867,[3]Standard!$B$9:$F$101,5,FALSE),IF(BA1867="121-365 Days",VLOOKUP(D1867,[3]Standard!$B$9:$G$101,6,FALSE),VLOOKUP(D1867,[3]Standard!$B$9:$H$101,7,FALSE)))),0)</f>
        <v>0</v>
      </c>
      <c r="L1867" s="272">
        <f>IFERROR(IF(BA1867="WIP - 30 Days",VLOOKUP(D1867,[3]Standard!$B$9:$J$101,9,FALSE),IF(BA1867="31-120 Days",VLOOKUP(D1867,[3]Standard!$B$9:$K$100,10,FALSE),IF(BA1867="121-365 Days",VLOOKUP(D1867,[3]Standard!$B$9:$L$101,11,FALSE),VLOOKUP(D1867,[3]Standard!$B$9:$M$101,12,FALSE)))),0)</f>
        <v>0</v>
      </c>
      <c r="M1867" s="269" t="str">
        <f>IFERROR(VLOOKUP((D1867&amp;C1867)&amp;"",'[2]Retail Price List'!$C$4:$F$102,4,FALSE),"")</f>
        <v/>
      </c>
      <c r="N1867" s="269">
        <f>IFERROR(IF(BA1867="WIP - 30 Days",VLOOKUP(D1867,[3]Extended!$B$9:$E$101,4,FALSE),IF(BA1867="31-120 Days",VLOOKUP(D1867,[3]Extended!$B$9:$F$101,5,FALSE),IF(BA1867="121-365 Days",VLOOKUP(D1867,[3]Extended!$B$9:$G$101,6,FALSE),VLOOKUP(D1867,[3]Extended!$B$9:$H$101,7,FALSE)))),0)</f>
        <v>0</v>
      </c>
      <c r="O1867" s="269">
        <f>IFERROR(IF(BA1867="WIP - 30 Days",VLOOKUP(D1867,[3]Extended!$B$9:$J$101,9,FALSE),IF(BA1867="31-120 Days",VLOOKUP(D1867,[3]Extended!$B$9:$K$101,10,FALSE),IF(BA1867="121-365 Days",VLOOKUP(D1867,[3]Extended!$B$9:$L$101,11,FALSE),VLOOKUP(D1867,[3]Extended!$B$9:$M$101,12,FALSE)))),0)</f>
        <v>0</v>
      </c>
      <c r="P1867" s="116" t="e">
        <f t="shared" si="146"/>
        <v>#VALUE!</v>
      </c>
      <c r="Q1867" s="110" t="e">
        <f>O1867-#REF!</f>
        <v>#REF!</v>
      </c>
      <c r="AT1867" s="88" t="str">
        <f t="shared" si="147"/>
        <v>Special Order0</v>
      </c>
      <c r="AU1867" s="89" t="str">
        <f t="shared" si="148"/>
        <v>01-1900</v>
      </c>
      <c r="BA1867" s="92" t="str">
        <f t="shared" si="149"/>
        <v/>
      </c>
    </row>
    <row r="1868" spans="2:53">
      <c r="B1868" s="60">
        <f>[2]Trucks!A1865</f>
        <v>0</v>
      </c>
      <c r="C1868" s="11">
        <f>[2]Trucks!B1865</f>
        <v>0</v>
      </c>
      <c r="D1868" s="19" t="str">
        <f>IFERROR(VLOOKUP(C1868&amp;"",'[2]Retail Price List'!$A$3:$B$103,2,FALSE),"Special Order")</f>
        <v>Special Order</v>
      </c>
      <c r="E1868" s="18">
        <f>[2]Trucks!J1865</f>
        <v>0</v>
      </c>
      <c r="F1868" s="12">
        <f>[2]Trucks!E1865</f>
        <v>0</v>
      </c>
      <c r="G1868" s="56">
        <f>[2]Trucks!K1865</f>
        <v>0</v>
      </c>
      <c r="H1868" s="46">
        <f>[2]Trucks!I1865</f>
        <v>0</v>
      </c>
      <c r="I1868" s="83" t="str">
        <f t="shared" si="145"/>
        <v/>
      </c>
      <c r="J1868" s="272" t="str">
        <f>IFERROR(VLOOKUP((D1868&amp;C1868)&amp;"",'[2]Retail Price List'!$C$4:$F$102,3,FALSE),"")</f>
        <v/>
      </c>
      <c r="K1868" s="272">
        <f>IFERROR(IF(BA1868="WIP - 30 Days",VLOOKUP(D1868,[3]Standard!$B$9:$E$101,4,FALSE),IF(BA1868="31-120 Days",VLOOKUP(D1868,[3]Standard!$B$9:$F$101,5,FALSE),IF(BA1868="121-365 Days",VLOOKUP(D1868,[3]Standard!$B$9:$G$101,6,FALSE),VLOOKUP(D1868,[3]Standard!$B$9:$H$101,7,FALSE)))),0)</f>
        <v>0</v>
      </c>
      <c r="L1868" s="272">
        <f>IFERROR(IF(BA1868="WIP - 30 Days",VLOOKUP(D1868,[3]Standard!$B$9:$J$101,9,FALSE),IF(BA1868="31-120 Days",VLOOKUP(D1868,[3]Standard!$B$9:$K$100,10,FALSE),IF(BA1868="121-365 Days",VLOOKUP(D1868,[3]Standard!$B$9:$L$101,11,FALSE),VLOOKUP(D1868,[3]Standard!$B$9:$M$101,12,FALSE)))),0)</f>
        <v>0</v>
      </c>
      <c r="M1868" s="269" t="str">
        <f>IFERROR(VLOOKUP((D1868&amp;C1868)&amp;"",'[2]Retail Price List'!$C$4:$F$102,4,FALSE),"")</f>
        <v/>
      </c>
      <c r="N1868" s="269">
        <f>IFERROR(IF(BA1868="WIP - 30 Days",VLOOKUP(D1868,[3]Extended!$B$9:$E$101,4,FALSE),IF(BA1868="31-120 Days",VLOOKUP(D1868,[3]Extended!$B$9:$F$101,5,FALSE),IF(BA1868="121-365 Days",VLOOKUP(D1868,[3]Extended!$B$9:$G$101,6,FALSE),VLOOKUP(D1868,[3]Extended!$B$9:$H$101,7,FALSE)))),0)</f>
        <v>0</v>
      </c>
      <c r="O1868" s="269">
        <f>IFERROR(IF(BA1868="WIP - 30 Days",VLOOKUP(D1868,[3]Extended!$B$9:$J$101,9,FALSE),IF(BA1868="31-120 Days",VLOOKUP(D1868,[3]Extended!$B$9:$K$101,10,FALSE),IF(BA1868="121-365 Days",VLOOKUP(D1868,[3]Extended!$B$9:$L$101,11,FALSE),VLOOKUP(D1868,[3]Extended!$B$9:$M$101,12,FALSE)))),0)</f>
        <v>0</v>
      </c>
      <c r="P1868" s="116" t="e">
        <f t="shared" si="146"/>
        <v>#VALUE!</v>
      </c>
      <c r="Q1868" s="110" t="e">
        <f>O1868-#REF!</f>
        <v>#REF!</v>
      </c>
      <c r="AT1868" s="88" t="str">
        <f t="shared" si="147"/>
        <v>Special Order0</v>
      </c>
      <c r="AU1868" s="89" t="str">
        <f t="shared" si="148"/>
        <v>01-1900</v>
      </c>
      <c r="BA1868" s="92" t="str">
        <f t="shared" si="149"/>
        <v/>
      </c>
    </row>
    <row r="1869" spans="2:53">
      <c r="B1869" s="60">
        <f>[2]Trucks!A1866</f>
        <v>0</v>
      </c>
      <c r="C1869" s="11">
        <f>[2]Trucks!B1866</f>
        <v>0</v>
      </c>
      <c r="D1869" s="19" t="str">
        <f>IFERROR(VLOOKUP(C1869&amp;"",'[2]Retail Price List'!$A$3:$B$103,2,FALSE),"Special Order")</f>
        <v>Special Order</v>
      </c>
      <c r="E1869" s="18">
        <f>[2]Trucks!J1866</f>
        <v>0</v>
      </c>
      <c r="F1869" s="12">
        <f>[2]Trucks!E1866</f>
        <v>0</v>
      </c>
      <c r="G1869" s="56">
        <f>[2]Trucks!K1866</f>
        <v>0</v>
      </c>
      <c r="H1869" s="46">
        <f>[2]Trucks!I1866</f>
        <v>0</v>
      </c>
      <c r="I1869" s="83" t="str">
        <f t="shared" si="145"/>
        <v/>
      </c>
      <c r="J1869" s="272" t="str">
        <f>IFERROR(VLOOKUP((D1869&amp;C1869)&amp;"",'[2]Retail Price List'!$C$4:$F$102,3,FALSE),"")</f>
        <v/>
      </c>
      <c r="K1869" s="272">
        <f>IFERROR(IF(BA1869="WIP - 30 Days",VLOOKUP(D1869,[3]Standard!$B$9:$E$101,4,FALSE),IF(BA1869="31-120 Days",VLOOKUP(D1869,[3]Standard!$B$9:$F$101,5,FALSE),IF(BA1869="121-365 Days",VLOOKUP(D1869,[3]Standard!$B$9:$G$101,6,FALSE),VLOOKUP(D1869,[3]Standard!$B$9:$H$101,7,FALSE)))),0)</f>
        <v>0</v>
      </c>
      <c r="L1869" s="272">
        <f>IFERROR(IF(BA1869="WIP - 30 Days",VLOOKUP(D1869,[3]Standard!$B$9:$J$101,9,FALSE),IF(BA1869="31-120 Days",VLOOKUP(D1869,[3]Standard!$B$9:$K$100,10,FALSE),IF(BA1869="121-365 Days",VLOOKUP(D1869,[3]Standard!$B$9:$L$101,11,FALSE),VLOOKUP(D1869,[3]Standard!$B$9:$M$101,12,FALSE)))),0)</f>
        <v>0</v>
      </c>
      <c r="M1869" s="269" t="str">
        <f>IFERROR(VLOOKUP((D1869&amp;C1869)&amp;"",'[2]Retail Price List'!$C$4:$F$102,4,FALSE),"")</f>
        <v/>
      </c>
      <c r="N1869" s="269">
        <f>IFERROR(IF(BA1869="WIP - 30 Days",VLOOKUP(D1869,[3]Extended!$B$9:$E$101,4,FALSE),IF(BA1869="31-120 Days",VLOOKUP(D1869,[3]Extended!$B$9:$F$101,5,FALSE),IF(BA1869="121-365 Days",VLOOKUP(D1869,[3]Extended!$B$9:$G$101,6,FALSE),VLOOKUP(D1869,[3]Extended!$B$9:$H$101,7,FALSE)))),0)</f>
        <v>0</v>
      </c>
      <c r="O1869" s="269">
        <f>IFERROR(IF(BA1869="WIP - 30 Days",VLOOKUP(D1869,[3]Extended!$B$9:$J$101,9,FALSE),IF(BA1869="31-120 Days",VLOOKUP(D1869,[3]Extended!$B$9:$K$101,10,FALSE),IF(BA1869="121-365 Days",VLOOKUP(D1869,[3]Extended!$B$9:$L$101,11,FALSE),VLOOKUP(D1869,[3]Extended!$B$9:$M$101,12,FALSE)))),0)</f>
        <v>0</v>
      </c>
      <c r="P1869" s="116" t="e">
        <f t="shared" si="146"/>
        <v>#VALUE!</v>
      </c>
      <c r="Q1869" s="110" t="e">
        <f>O1869-#REF!</f>
        <v>#REF!</v>
      </c>
      <c r="AT1869" s="88" t="str">
        <f t="shared" si="147"/>
        <v>Special Order0</v>
      </c>
      <c r="AU1869" s="89" t="str">
        <f t="shared" si="148"/>
        <v>01-1900</v>
      </c>
      <c r="BA1869" s="92" t="str">
        <f t="shared" si="149"/>
        <v/>
      </c>
    </row>
    <row r="1870" spans="2:53">
      <c r="B1870" s="60">
        <f>[2]Trucks!A1867</f>
        <v>0</v>
      </c>
      <c r="C1870" s="11">
        <f>[2]Trucks!B1867</f>
        <v>0</v>
      </c>
      <c r="D1870" s="19" t="str">
        <f>IFERROR(VLOOKUP(C1870&amp;"",'[2]Retail Price List'!$A$3:$B$103,2,FALSE),"Special Order")</f>
        <v>Special Order</v>
      </c>
      <c r="E1870" s="18">
        <f>[2]Trucks!J1867</f>
        <v>0</v>
      </c>
      <c r="F1870" s="12">
        <f>[2]Trucks!E1867</f>
        <v>0</v>
      </c>
      <c r="G1870" s="56">
        <f>[2]Trucks!K1867</f>
        <v>0</v>
      </c>
      <c r="H1870" s="46">
        <f>[2]Trucks!I1867</f>
        <v>0</v>
      </c>
      <c r="I1870" s="83" t="str">
        <f t="shared" si="145"/>
        <v/>
      </c>
      <c r="J1870" s="272" t="str">
        <f>IFERROR(VLOOKUP((D1870&amp;C1870)&amp;"",'[2]Retail Price List'!$C$4:$F$102,3,FALSE),"")</f>
        <v/>
      </c>
      <c r="K1870" s="272">
        <f>IFERROR(IF(BA1870="WIP - 30 Days",VLOOKUP(D1870,[3]Standard!$B$9:$E$101,4,FALSE),IF(BA1870="31-120 Days",VLOOKUP(D1870,[3]Standard!$B$9:$F$101,5,FALSE),IF(BA1870="121-365 Days",VLOOKUP(D1870,[3]Standard!$B$9:$G$101,6,FALSE),VLOOKUP(D1870,[3]Standard!$B$9:$H$101,7,FALSE)))),0)</f>
        <v>0</v>
      </c>
      <c r="L1870" s="272">
        <f>IFERROR(IF(BA1870="WIP - 30 Days",VLOOKUP(D1870,[3]Standard!$B$9:$J$101,9,FALSE),IF(BA1870="31-120 Days",VLOOKUP(D1870,[3]Standard!$B$9:$K$100,10,FALSE),IF(BA1870="121-365 Days",VLOOKUP(D1870,[3]Standard!$B$9:$L$101,11,FALSE),VLOOKUP(D1870,[3]Standard!$B$9:$M$101,12,FALSE)))),0)</f>
        <v>0</v>
      </c>
      <c r="M1870" s="269" t="str">
        <f>IFERROR(VLOOKUP((D1870&amp;C1870)&amp;"",'[2]Retail Price List'!$C$4:$F$102,4,FALSE),"")</f>
        <v/>
      </c>
      <c r="N1870" s="269">
        <f>IFERROR(IF(BA1870="WIP - 30 Days",VLOOKUP(D1870,[3]Extended!$B$9:$E$101,4,FALSE),IF(BA1870="31-120 Days",VLOOKUP(D1870,[3]Extended!$B$9:$F$101,5,FALSE),IF(BA1870="121-365 Days",VLOOKUP(D1870,[3]Extended!$B$9:$G$101,6,FALSE),VLOOKUP(D1870,[3]Extended!$B$9:$H$101,7,FALSE)))),0)</f>
        <v>0</v>
      </c>
      <c r="O1870" s="269">
        <f>IFERROR(IF(BA1870="WIP - 30 Days",VLOOKUP(D1870,[3]Extended!$B$9:$J$101,9,FALSE),IF(BA1870="31-120 Days",VLOOKUP(D1870,[3]Extended!$B$9:$K$101,10,FALSE),IF(BA1870="121-365 Days",VLOOKUP(D1870,[3]Extended!$B$9:$L$101,11,FALSE),VLOOKUP(D1870,[3]Extended!$B$9:$M$101,12,FALSE)))),0)</f>
        <v>0</v>
      </c>
      <c r="P1870" s="116" t="e">
        <f t="shared" si="146"/>
        <v>#VALUE!</v>
      </c>
      <c r="Q1870" s="110" t="e">
        <f>O1870-#REF!</f>
        <v>#REF!</v>
      </c>
      <c r="AT1870" s="88" t="str">
        <f t="shared" si="147"/>
        <v>Special Order0</v>
      </c>
      <c r="AU1870" s="89" t="str">
        <f t="shared" si="148"/>
        <v>01-1900</v>
      </c>
      <c r="BA1870" s="92" t="str">
        <f t="shared" si="149"/>
        <v/>
      </c>
    </row>
    <row r="1871" spans="2:53">
      <c r="B1871" s="60">
        <f>[2]Trucks!A1868</f>
        <v>0</v>
      </c>
      <c r="C1871" s="11">
        <f>[2]Trucks!B1868</f>
        <v>0</v>
      </c>
      <c r="D1871" s="19" t="str">
        <f>IFERROR(VLOOKUP(C1871&amp;"",'[2]Retail Price List'!$A$3:$B$103,2,FALSE),"Special Order")</f>
        <v>Special Order</v>
      </c>
      <c r="E1871" s="18">
        <f>[2]Trucks!J1868</f>
        <v>0</v>
      </c>
      <c r="F1871" s="12">
        <f>[2]Trucks!E1868</f>
        <v>0</v>
      </c>
      <c r="G1871" s="56">
        <f>[2]Trucks!K1868</f>
        <v>0</v>
      </c>
      <c r="H1871" s="46">
        <f>[2]Trucks!I1868</f>
        <v>0</v>
      </c>
      <c r="I1871" s="83" t="str">
        <f t="shared" si="145"/>
        <v/>
      </c>
      <c r="J1871" s="272" t="str">
        <f>IFERROR(VLOOKUP((D1871&amp;C1871)&amp;"",'[2]Retail Price List'!$C$4:$F$102,3,FALSE),"")</f>
        <v/>
      </c>
      <c r="K1871" s="272">
        <f>IFERROR(IF(BA1871="WIP - 30 Days",VLOOKUP(D1871,[3]Standard!$B$9:$E$101,4,FALSE),IF(BA1871="31-120 Days",VLOOKUP(D1871,[3]Standard!$B$9:$F$101,5,FALSE),IF(BA1871="121-365 Days",VLOOKUP(D1871,[3]Standard!$B$9:$G$101,6,FALSE),VLOOKUP(D1871,[3]Standard!$B$9:$H$101,7,FALSE)))),0)</f>
        <v>0</v>
      </c>
      <c r="L1871" s="272">
        <f>IFERROR(IF(BA1871="WIP - 30 Days",VLOOKUP(D1871,[3]Standard!$B$9:$J$101,9,FALSE),IF(BA1871="31-120 Days",VLOOKUP(D1871,[3]Standard!$B$9:$K$100,10,FALSE),IF(BA1871="121-365 Days",VLOOKUP(D1871,[3]Standard!$B$9:$L$101,11,FALSE),VLOOKUP(D1871,[3]Standard!$B$9:$M$101,12,FALSE)))),0)</f>
        <v>0</v>
      </c>
      <c r="M1871" s="269" t="str">
        <f>IFERROR(VLOOKUP((D1871&amp;C1871)&amp;"",'[2]Retail Price List'!$C$4:$F$102,4,FALSE),"")</f>
        <v/>
      </c>
      <c r="N1871" s="269">
        <f>IFERROR(IF(BA1871="WIP - 30 Days",VLOOKUP(D1871,[3]Extended!$B$9:$E$101,4,FALSE),IF(BA1871="31-120 Days",VLOOKUP(D1871,[3]Extended!$B$9:$F$101,5,FALSE),IF(BA1871="121-365 Days",VLOOKUP(D1871,[3]Extended!$B$9:$G$101,6,FALSE),VLOOKUP(D1871,[3]Extended!$B$9:$H$101,7,FALSE)))),0)</f>
        <v>0</v>
      </c>
      <c r="O1871" s="269">
        <f>IFERROR(IF(BA1871="WIP - 30 Days",VLOOKUP(D1871,[3]Extended!$B$9:$J$101,9,FALSE),IF(BA1871="31-120 Days",VLOOKUP(D1871,[3]Extended!$B$9:$K$101,10,FALSE),IF(BA1871="121-365 Days",VLOOKUP(D1871,[3]Extended!$B$9:$L$101,11,FALSE),VLOOKUP(D1871,[3]Extended!$B$9:$M$101,12,FALSE)))),0)</f>
        <v>0</v>
      </c>
      <c r="P1871" s="116" t="e">
        <f t="shared" si="146"/>
        <v>#VALUE!</v>
      </c>
      <c r="Q1871" s="110" t="e">
        <f>O1871-#REF!</f>
        <v>#REF!</v>
      </c>
      <c r="AT1871" s="88" t="str">
        <f t="shared" si="147"/>
        <v>Special Order0</v>
      </c>
      <c r="AU1871" s="89" t="str">
        <f t="shared" si="148"/>
        <v>01-1900</v>
      </c>
      <c r="BA1871" s="92" t="str">
        <f t="shared" si="149"/>
        <v/>
      </c>
    </row>
    <row r="1872" spans="2:53">
      <c r="B1872" s="60">
        <f>[2]Trucks!A1869</f>
        <v>0</v>
      </c>
      <c r="C1872" s="11">
        <f>[2]Trucks!B1869</f>
        <v>0</v>
      </c>
      <c r="D1872" s="19" t="str">
        <f>IFERROR(VLOOKUP(C1872&amp;"",'[2]Retail Price List'!$A$3:$B$103,2,FALSE),"Special Order")</f>
        <v>Special Order</v>
      </c>
      <c r="E1872" s="18">
        <f>[2]Trucks!J1869</f>
        <v>0</v>
      </c>
      <c r="F1872" s="12">
        <f>[2]Trucks!E1869</f>
        <v>0</v>
      </c>
      <c r="G1872" s="56">
        <f>[2]Trucks!K1869</f>
        <v>0</v>
      </c>
      <c r="H1872" s="46">
        <f>[2]Trucks!I1869</f>
        <v>0</v>
      </c>
      <c r="I1872" s="83" t="str">
        <f t="shared" si="145"/>
        <v/>
      </c>
      <c r="J1872" s="272" t="str">
        <f>IFERROR(VLOOKUP((D1872&amp;C1872)&amp;"",'[2]Retail Price List'!$C$4:$F$102,3,FALSE),"")</f>
        <v/>
      </c>
      <c r="K1872" s="272">
        <f>IFERROR(IF(BA1872="WIP - 30 Days",VLOOKUP(D1872,[3]Standard!$B$9:$E$101,4,FALSE),IF(BA1872="31-120 Days",VLOOKUP(D1872,[3]Standard!$B$9:$F$101,5,FALSE),IF(BA1872="121-365 Days",VLOOKUP(D1872,[3]Standard!$B$9:$G$101,6,FALSE),VLOOKUP(D1872,[3]Standard!$B$9:$H$101,7,FALSE)))),0)</f>
        <v>0</v>
      </c>
      <c r="L1872" s="272">
        <f>IFERROR(IF(BA1872="WIP - 30 Days",VLOOKUP(D1872,[3]Standard!$B$9:$J$101,9,FALSE),IF(BA1872="31-120 Days",VLOOKUP(D1872,[3]Standard!$B$9:$K$100,10,FALSE),IF(BA1872="121-365 Days",VLOOKUP(D1872,[3]Standard!$B$9:$L$101,11,FALSE),VLOOKUP(D1872,[3]Standard!$B$9:$M$101,12,FALSE)))),0)</f>
        <v>0</v>
      </c>
      <c r="M1872" s="269" t="str">
        <f>IFERROR(VLOOKUP((D1872&amp;C1872)&amp;"",'[2]Retail Price List'!$C$4:$F$102,4,FALSE),"")</f>
        <v/>
      </c>
      <c r="N1872" s="269">
        <f>IFERROR(IF(BA1872="WIP - 30 Days",VLOOKUP(D1872,[3]Extended!$B$9:$E$101,4,FALSE),IF(BA1872="31-120 Days",VLOOKUP(D1872,[3]Extended!$B$9:$F$101,5,FALSE),IF(BA1872="121-365 Days",VLOOKUP(D1872,[3]Extended!$B$9:$G$101,6,FALSE),VLOOKUP(D1872,[3]Extended!$B$9:$H$101,7,FALSE)))),0)</f>
        <v>0</v>
      </c>
      <c r="O1872" s="269">
        <f>IFERROR(IF(BA1872="WIP - 30 Days",VLOOKUP(D1872,[3]Extended!$B$9:$J$101,9,FALSE),IF(BA1872="31-120 Days",VLOOKUP(D1872,[3]Extended!$B$9:$K$101,10,FALSE),IF(BA1872="121-365 Days",VLOOKUP(D1872,[3]Extended!$B$9:$L$101,11,FALSE),VLOOKUP(D1872,[3]Extended!$B$9:$M$101,12,FALSE)))),0)</f>
        <v>0</v>
      </c>
      <c r="P1872" s="116" t="e">
        <f t="shared" si="146"/>
        <v>#VALUE!</v>
      </c>
      <c r="Q1872" s="110" t="e">
        <f>O1872-#REF!</f>
        <v>#REF!</v>
      </c>
      <c r="AT1872" s="88" t="str">
        <f t="shared" si="147"/>
        <v>Special Order0</v>
      </c>
      <c r="AU1872" s="89" t="str">
        <f t="shared" si="148"/>
        <v>01-1900</v>
      </c>
      <c r="BA1872" s="92" t="str">
        <f t="shared" si="149"/>
        <v/>
      </c>
    </row>
    <row r="1873" spans="2:53">
      <c r="B1873" s="60">
        <f>[2]Trucks!A1870</f>
        <v>0</v>
      </c>
      <c r="C1873" s="11">
        <f>[2]Trucks!B1870</f>
        <v>0</v>
      </c>
      <c r="D1873" s="19" t="str">
        <f>IFERROR(VLOOKUP(C1873&amp;"",'[2]Retail Price List'!$A$3:$B$103,2,FALSE),"Special Order")</f>
        <v>Special Order</v>
      </c>
      <c r="E1873" s="18">
        <f>[2]Trucks!J1870</f>
        <v>0</v>
      </c>
      <c r="F1873" s="12">
        <f>[2]Trucks!E1870</f>
        <v>0</v>
      </c>
      <c r="G1873" s="56">
        <f>[2]Trucks!K1870</f>
        <v>0</v>
      </c>
      <c r="H1873" s="46">
        <f>[2]Trucks!I1870</f>
        <v>0</v>
      </c>
      <c r="I1873" s="83" t="str">
        <f t="shared" si="145"/>
        <v/>
      </c>
      <c r="J1873" s="272" t="str">
        <f>IFERROR(VLOOKUP((D1873&amp;C1873)&amp;"",'[2]Retail Price List'!$C$4:$F$102,3,FALSE),"")</f>
        <v/>
      </c>
      <c r="K1873" s="272">
        <f>IFERROR(IF(BA1873="WIP - 30 Days",VLOOKUP(D1873,[3]Standard!$B$9:$E$101,4,FALSE),IF(BA1873="31-120 Days",VLOOKUP(D1873,[3]Standard!$B$9:$F$101,5,FALSE),IF(BA1873="121-365 Days",VLOOKUP(D1873,[3]Standard!$B$9:$G$101,6,FALSE),VLOOKUP(D1873,[3]Standard!$B$9:$H$101,7,FALSE)))),0)</f>
        <v>0</v>
      </c>
      <c r="L1873" s="272">
        <f>IFERROR(IF(BA1873="WIP - 30 Days",VLOOKUP(D1873,[3]Standard!$B$9:$J$101,9,FALSE),IF(BA1873="31-120 Days",VLOOKUP(D1873,[3]Standard!$B$9:$K$100,10,FALSE),IF(BA1873="121-365 Days",VLOOKUP(D1873,[3]Standard!$B$9:$L$101,11,FALSE),VLOOKUP(D1873,[3]Standard!$B$9:$M$101,12,FALSE)))),0)</f>
        <v>0</v>
      </c>
      <c r="M1873" s="269" t="str">
        <f>IFERROR(VLOOKUP((D1873&amp;C1873)&amp;"",'[2]Retail Price List'!$C$4:$F$102,4,FALSE),"")</f>
        <v/>
      </c>
      <c r="N1873" s="269">
        <f>IFERROR(IF(BA1873="WIP - 30 Days",VLOOKUP(D1873,[3]Extended!$B$9:$E$101,4,FALSE),IF(BA1873="31-120 Days",VLOOKUP(D1873,[3]Extended!$B$9:$F$101,5,FALSE),IF(BA1873="121-365 Days",VLOOKUP(D1873,[3]Extended!$B$9:$G$101,6,FALSE),VLOOKUP(D1873,[3]Extended!$B$9:$H$101,7,FALSE)))),0)</f>
        <v>0</v>
      </c>
      <c r="O1873" s="269">
        <f>IFERROR(IF(BA1873="WIP - 30 Days",VLOOKUP(D1873,[3]Extended!$B$9:$J$101,9,FALSE),IF(BA1873="31-120 Days",VLOOKUP(D1873,[3]Extended!$B$9:$K$101,10,FALSE),IF(BA1873="121-365 Days",VLOOKUP(D1873,[3]Extended!$B$9:$L$101,11,FALSE),VLOOKUP(D1873,[3]Extended!$B$9:$M$101,12,FALSE)))),0)</f>
        <v>0</v>
      </c>
      <c r="P1873" s="116" t="e">
        <f t="shared" si="146"/>
        <v>#VALUE!</v>
      </c>
      <c r="Q1873" s="110" t="e">
        <f>O1873-#REF!</f>
        <v>#REF!</v>
      </c>
      <c r="AT1873" s="88" t="str">
        <f t="shared" si="147"/>
        <v>Special Order0</v>
      </c>
      <c r="AU1873" s="89" t="str">
        <f t="shared" si="148"/>
        <v>01-1900</v>
      </c>
      <c r="BA1873" s="92" t="str">
        <f t="shared" si="149"/>
        <v/>
      </c>
    </row>
    <row r="1874" spans="2:53">
      <c r="B1874" s="60">
        <f>[2]Trucks!A1871</f>
        <v>0</v>
      </c>
      <c r="C1874" s="11">
        <f>[2]Trucks!B1871</f>
        <v>0</v>
      </c>
      <c r="D1874" s="19" t="str">
        <f>IFERROR(VLOOKUP(C1874&amp;"",'[2]Retail Price List'!$A$3:$B$103,2,FALSE),"Special Order")</f>
        <v>Special Order</v>
      </c>
      <c r="E1874" s="18">
        <f>[2]Trucks!J1871</f>
        <v>0</v>
      </c>
      <c r="F1874" s="12">
        <f>[2]Trucks!E1871</f>
        <v>0</v>
      </c>
      <c r="G1874" s="56">
        <f>[2]Trucks!K1871</f>
        <v>0</v>
      </c>
      <c r="H1874" s="46">
        <f>[2]Trucks!I1871</f>
        <v>0</v>
      </c>
      <c r="I1874" s="83" t="str">
        <f t="shared" si="145"/>
        <v/>
      </c>
      <c r="J1874" s="272" t="str">
        <f>IFERROR(VLOOKUP((D1874&amp;C1874)&amp;"",'[2]Retail Price List'!$C$4:$F$102,3,FALSE),"")</f>
        <v/>
      </c>
      <c r="K1874" s="272">
        <f>IFERROR(IF(BA1874="WIP - 30 Days",VLOOKUP(D1874,[3]Standard!$B$9:$E$101,4,FALSE),IF(BA1874="31-120 Days",VLOOKUP(D1874,[3]Standard!$B$9:$F$101,5,FALSE),IF(BA1874="121-365 Days",VLOOKUP(D1874,[3]Standard!$B$9:$G$101,6,FALSE),VLOOKUP(D1874,[3]Standard!$B$9:$H$101,7,FALSE)))),0)</f>
        <v>0</v>
      </c>
      <c r="L1874" s="272">
        <f>IFERROR(IF(BA1874="WIP - 30 Days",VLOOKUP(D1874,[3]Standard!$B$9:$J$101,9,FALSE),IF(BA1874="31-120 Days",VLOOKUP(D1874,[3]Standard!$B$9:$K$100,10,FALSE),IF(BA1874="121-365 Days",VLOOKUP(D1874,[3]Standard!$B$9:$L$101,11,FALSE),VLOOKUP(D1874,[3]Standard!$B$9:$M$101,12,FALSE)))),0)</f>
        <v>0</v>
      </c>
      <c r="M1874" s="269" t="str">
        <f>IFERROR(VLOOKUP((D1874&amp;C1874)&amp;"",'[2]Retail Price List'!$C$4:$F$102,4,FALSE),"")</f>
        <v/>
      </c>
      <c r="N1874" s="269">
        <f>IFERROR(IF(BA1874="WIP - 30 Days",VLOOKUP(D1874,[3]Extended!$B$9:$E$101,4,FALSE),IF(BA1874="31-120 Days",VLOOKUP(D1874,[3]Extended!$B$9:$F$101,5,FALSE),IF(BA1874="121-365 Days",VLOOKUP(D1874,[3]Extended!$B$9:$G$101,6,FALSE),VLOOKUP(D1874,[3]Extended!$B$9:$H$101,7,FALSE)))),0)</f>
        <v>0</v>
      </c>
      <c r="O1874" s="269">
        <f>IFERROR(IF(BA1874="WIP - 30 Days",VLOOKUP(D1874,[3]Extended!$B$9:$J$101,9,FALSE),IF(BA1874="31-120 Days",VLOOKUP(D1874,[3]Extended!$B$9:$K$101,10,FALSE),IF(BA1874="121-365 Days",VLOOKUP(D1874,[3]Extended!$B$9:$L$101,11,FALSE),VLOOKUP(D1874,[3]Extended!$B$9:$M$101,12,FALSE)))),0)</f>
        <v>0</v>
      </c>
      <c r="P1874" s="116" t="e">
        <f t="shared" si="146"/>
        <v>#VALUE!</v>
      </c>
      <c r="Q1874" s="110" t="e">
        <f>O1874-#REF!</f>
        <v>#REF!</v>
      </c>
      <c r="AT1874" s="88" t="str">
        <f t="shared" si="147"/>
        <v>Special Order0</v>
      </c>
      <c r="AU1874" s="89" t="str">
        <f t="shared" si="148"/>
        <v>01-1900</v>
      </c>
      <c r="BA1874" s="92" t="str">
        <f t="shared" si="149"/>
        <v/>
      </c>
    </row>
    <row r="1875" spans="2:53">
      <c r="B1875" s="60">
        <f>[2]Trucks!A1872</f>
        <v>0</v>
      </c>
      <c r="C1875" s="11">
        <f>[2]Trucks!B1872</f>
        <v>0</v>
      </c>
      <c r="D1875" s="19" t="str">
        <f>IFERROR(VLOOKUP(C1875&amp;"",'[2]Retail Price List'!$A$3:$B$103,2,FALSE),"Special Order")</f>
        <v>Special Order</v>
      </c>
      <c r="E1875" s="18">
        <f>[2]Trucks!J1872</f>
        <v>0</v>
      </c>
      <c r="F1875" s="12">
        <f>[2]Trucks!E1872</f>
        <v>0</v>
      </c>
      <c r="G1875" s="56">
        <f>[2]Trucks!K1872</f>
        <v>0</v>
      </c>
      <c r="H1875" s="46">
        <f>[2]Trucks!I1872</f>
        <v>0</v>
      </c>
      <c r="I1875" s="83" t="str">
        <f t="shared" si="145"/>
        <v/>
      </c>
      <c r="J1875" s="272" t="str">
        <f>IFERROR(VLOOKUP((D1875&amp;C1875)&amp;"",'[2]Retail Price List'!$C$4:$F$102,3,FALSE),"")</f>
        <v/>
      </c>
      <c r="K1875" s="272">
        <f>IFERROR(IF(BA1875="WIP - 30 Days",VLOOKUP(D1875,[3]Standard!$B$9:$E$101,4,FALSE),IF(BA1875="31-120 Days",VLOOKUP(D1875,[3]Standard!$B$9:$F$101,5,FALSE),IF(BA1875="121-365 Days",VLOOKUP(D1875,[3]Standard!$B$9:$G$101,6,FALSE),VLOOKUP(D1875,[3]Standard!$B$9:$H$101,7,FALSE)))),0)</f>
        <v>0</v>
      </c>
      <c r="L1875" s="272">
        <f>IFERROR(IF(BA1875="WIP - 30 Days",VLOOKUP(D1875,[3]Standard!$B$9:$J$101,9,FALSE),IF(BA1875="31-120 Days",VLOOKUP(D1875,[3]Standard!$B$9:$K$100,10,FALSE),IF(BA1875="121-365 Days",VLOOKUP(D1875,[3]Standard!$B$9:$L$101,11,FALSE),VLOOKUP(D1875,[3]Standard!$B$9:$M$101,12,FALSE)))),0)</f>
        <v>0</v>
      </c>
      <c r="M1875" s="269" t="str">
        <f>IFERROR(VLOOKUP((D1875&amp;C1875)&amp;"",'[2]Retail Price List'!$C$4:$F$102,4,FALSE),"")</f>
        <v/>
      </c>
      <c r="N1875" s="269">
        <f>IFERROR(IF(BA1875="WIP - 30 Days",VLOOKUP(D1875,[3]Extended!$B$9:$E$101,4,FALSE),IF(BA1875="31-120 Days",VLOOKUP(D1875,[3]Extended!$B$9:$F$101,5,FALSE),IF(BA1875="121-365 Days",VLOOKUP(D1875,[3]Extended!$B$9:$G$101,6,FALSE),VLOOKUP(D1875,[3]Extended!$B$9:$H$101,7,FALSE)))),0)</f>
        <v>0</v>
      </c>
      <c r="O1875" s="269">
        <f>IFERROR(IF(BA1875="WIP - 30 Days",VLOOKUP(D1875,[3]Extended!$B$9:$J$101,9,FALSE),IF(BA1875="31-120 Days",VLOOKUP(D1875,[3]Extended!$B$9:$K$101,10,FALSE),IF(BA1875="121-365 Days",VLOOKUP(D1875,[3]Extended!$B$9:$L$101,11,FALSE),VLOOKUP(D1875,[3]Extended!$B$9:$M$101,12,FALSE)))),0)</f>
        <v>0</v>
      </c>
      <c r="P1875" s="116" t="e">
        <f t="shared" si="146"/>
        <v>#VALUE!</v>
      </c>
      <c r="Q1875" s="110" t="e">
        <f>O1875-#REF!</f>
        <v>#REF!</v>
      </c>
      <c r="AT1875" s="88" t="str">
        <f t="shared" si="147"/>
        <v>Special Order0</v>
      </c>
      <c r="AU1875" s="89" t="str">
        <f t="shared" si="148"/>
        <v>01-1900</v>
      </c>
      <c r="BA1875" s="92" t="str">
        <f t="shared" si="149"/>
        <v/>
      </c>
    </row>
    <row r="1876" spans="2:53">
      <c r="B1876" s="60">
        <f>[2]Trucks!A1873</f>
        <v>0</v>
      </c>
      <c r="C1876" s="11">
        <f>[2]Trucks!B1873</f>
        <v>0</v>
      </c>
      <c r="D1876" s="19" t="str">
        <f>IFERROR(VLOOKUP(C1876&amp;"",'[2]Retail Price List'!$A$3:$B$103,2,FALSE),"Special Order")</f>
        <v>Special Order</v>
      </c>
      <c r="E1876" s="18">
        <f>[2]Trucks!J1873</f>
        <v>0</v>
      </c>
      <c r="F1876" s="12">
        <f>[2]Trucks!E1873</f>
        <v>0</v>
      </c>
      <c r="G1876" s="56">
        <f>[2]Trucks!K1873</f>
        <v>0</v>
      </c>
      <c r="H1876" s="46">
        <f>[2]Trucks!I1873</f>
        <v>0</v>
      </c>
      <c r="I1876" s="83" t="str">
        <f t="shared" si="145"/>
        <v/>
      </c>
      <c r="J1876" s="272" t="str">
        <f>IFERROR(VLOOKUP((D1876&amp;C1876)&amp;"",'[2]Retail Price List'!$C$4:$F$102,3,FALSE),"")</f>
        <v/>
      </c>
      <c r="K1876" s="272">
        <f>IFERROR(IF(BA1876="WIP - 30 Days",VLOOKUP(D1876,[3]Standard!$B$9:$E$101,4,FALSE),IF(BA1876="31-120 Days",VLOOKUP(D1876,[3]Standard!$B$9:$F$101,5,FALSE),IF(BA1876="121-365 Days",VLOOKUP(D1876,[3]Standard!$B$9:$G$101,6,FALSE),VLOOKUP(D1876,[3]Standard!$B$9:$H$101,7,FALSE)))),0)</f>
        <v>0</v>
      </c>
      <c r="L1876" s="272">
        <f>IFERROR(IF(BA1876="WIP - 30 Days",VLOOKUP(D1876,[3]Standard!$B$9:$J$101,9,FALSE),IF(BA1876="31-120 Days",VLOOKUP(D1876,[3]Standard!$B$9:$K$100,10,FALSE),IF(BA1876="121-365 Days",VLOOKUP(D1876,[3]Standard!$B$9:$L$101,11,FALSE),VLOOKUP(D1876,[3]Standard!$B$9:$M$101,12,FALSE)))),0)</f>
        <v>0</v>
      </c>
      <c r="M1876" s="269" t="str">
        <f>IFERROR(VLOOKUP((D1876&amp;C1876)&amp;"",'[2]Retail Price List'!$C$4:$F$102,4,FALSE),"")</f>
        <v/>
      </c>
      <c r="N1876" s="269">
        <f>IFERROR(IF(BA1876="WIP - 30 Days",VLOOKUP(D1876,[3]Extended!$B$9:$E$101,4,FALSE),IF(BA1876="31-120 Days",VLOOKUP(D1876,[3]Extended!$B$9:$F$101,5,FALSE),IF(BA1876="121-365 Days",VLOOKUP(D1876,[3]Extended!$B$9:$G$101,6,FALSE),VLOOKUP(D1876,[3]Extended!$B$9:$H$101,7,FALSE)))),0)</f>
        <v>0</v>
      </c>
      <c r="O1876" s="269">
        <f>IFERROR(IF(BA1876="WIP - 30 Days",VLOOKUP(D1876,[3]Extended!$B$9:$J$101,9,FALSE),IF(BA1876="31-120 Days",VLOOKUP(D1876,[3]Extended!$B$9:$K$101,10,FALSE),IF(BA1876="121-365 Days",VLOOKUP(D1876,[3]Extended!$B$9:$L$101,11,FALSE),VLOOKUP(D1876,[3]Extended!$B$9:$M$101,12,FALSE)))),0)</f>
        <v>0</v>
      </c>
      <c r="P1876" s="116" t="e">
        <f t="shared" si="146"/>
        <v>#VALUE!</v>
      </c>
      <c r="Q1876" s="110" t="e">
        <f>O1876-#REF!</f>
        <v>#REF!</v>
      </c>
      <c r="AT1876" s="88" t="str">
        <f t="shared" si="147"/>
        <v>Special Order0</v>
      </c>
      <c r="AU1876" s="89" t="str">
        <f t="shared" si="148"/>
        <v>01-1900</v>
      </c>
      <c r="BA1876" s="92" t="str">
        <f t="shared" si="149"/>
        <v/>
      </c>
    </row>
    <row r="1877" spans="2:53">
      <c r="B1877" s="60">
        <f>[2]Trucks!A1874</f>
        <v>0</v>
      </c>
      <c r="C1877" s="11">
        <f>[2]Trucks!B1874</f>
        <v>0</v>
      </c>
      <c r="D1877" s="19" t="str">
        <f>IFERROR(VLOOKUP(C1877&amp;"",'[2]Retail Price List'!$A$3:$B$103,2,FALSE),"Special Order")</f>
        <v>Special Order</v>
      </c>
      <c r="E1877" s="18">
        <f>[2]Trucks!J1874</f>
        <v>0</v>
      </c>
      <c r="F1877" s="12">
        <f>[2]Trucks!E1874</f>
        <v>0</v>
      </c>
      <c r="G1877" s="56">
        <f>[2]Trucks!K1874</f>
        <v>0</v>
      </c>
      <c r="H1877" s="46">
        <f>[2]Trucks!I1874</f>
        <v>0</v>
      </c>
      <c r="I1877" s="83" t="str">
        <f t="shared" si="145"/>
        <v/>
      </c>
      <c r="J1877" s="272" t="str">
        <f>IFERROR(VLOOKUP((D1877&amp;C1877)&amp;"",'[2]Retail Price List'!$C$4:$F$102,3,FALSE),"")</f>
        <v/>
      </c>
      <c r="K1877" s="272">
        <f>IFERROR(IF(BA1877="WIP - 30 Days",VLOOKUP(D1877,[3]Standard!$B$9:$E$101,4,FALSE),IF(BA1877="31-120 Days",VLOOKUP(D1877,[3]Standard!$B$9:$F$101,5,FALSE),IF(BA1877="121-365 Days",VLOOKUP(D1877,[3]Standard!$B$9:$G$101,6,FALSE),VLOOKUP(D1877,[3]Standard!$B$9:$H$101,7,FALSE)))),0)</f>
        <v>0</v>
      </c>
      <c r="L1877" s="272">
        <f>IFERROR(IF(BA1877="WIP - 30 Days",VLOOKUP(D1877,[3]Standard!$B$9:$J$101,9,FALSE),IF(BA1877="31-120 Days",VLOOKUP(D1877,[3]Standard!$B$9:$K$100,10,FALSE),IF(BA1877="121-365 Days",VLOOKUP(D1877,[3]Standard!$B$9:$L$101,11,FALSE),VLOOKUP(D1877,[3]Standard!$B$9:$M$101,12,FALSE)))),0)</f>
        <v>0</v>
      </c>
      <c r="M1877" s="269" t="str">
        <f>IFERROR(VLOOKUP((D1877&amp;C1877)&amp;"",'[2]Retail Price List'!$C$4:$F$102,4,FALSE),"")</f>
        <v/>
      </c>
      <c r="N1877" s="269">
        <f>IFERROR(IF(BA1877="WIP - 30 Days",VLOOKUP(D1877,[3]Extended!$B$9:$E$101,4,FALSE),IF(BA1877="31-120 Days",VLOOKUP(D1877,[3]Extended!$B$9:$F$101,5,FALSE),IF(BA1877="121-365 Days",VLOOKUP(D1877,[3]Extended!$B$9:$G$101,6,FALSE),VLOOKUP(D1877,[3]Extended!$B$9:$H$101,7,FALSE)))),0)</f>
        <v>0</v>
      </c>
      <c r="O1877" s="269">
        <f>IFERROR(IF(BA1877="WIP - 30 Days",VLOOKUP(D1877,[3]Extended!$B$9:$J$101,9,FALSE),IF(BA1877="31-120 Days",VLOOKUP(D1877,[3]Extended!$B$9:$K$101,10,FALSE),IF(BA1877="121-365 Days",VLOOKUP(D1877,[3]Extended!$B$9:$L$101,11,FALSE),VLOOKUP(D1877,[3]Extended!$B$9:$M$101,12,FALSE)))),0)</f>
        <v>0</v>
      </c>
      <c r="P1877" s="116" t="e">
        <f t="shared" si="146"/>
        <v>#VALUE!</v>
      </c>
      <c r="Q1877" s="110" t="e">
        <f>O1877-#REF!</f>
        <v>#REF!</v>
      </c>
      <c r="AT1877" s="88" t="str">
        <f t="shared" si="147"/>
        <v>Special Order0</v>
      </c>
      <c r="AU1877" s="89" t="str">
        <f t="shared" si="148"/>
        <v>01-1900</v>
      </c>
      <c r="BA1877" s="92" t="str">
        <f t="shared" si="149"/>
        <v/>
      </c>
    </row>
    <row r="1878" spans="2:53">
      <c r="B1878" s="60">
        <f>[2]Trucks!A1875</f>
        <v>0</v>
      </c>
      <c r="C1878" s="11">
        <f>[2]Trucks!B1875</f>
        <v>0</v>
      </c>
      <c r="D1878" s="19" t="str">
        <f>IFERROR(VLOOKUP(C1878&amp;"",'[2]Retail Price List'!$A$3:$B$103,2,FALSE),"Special Order")</f>
        <v>Special Order</v>
      </c>
      <c r="E1878" s="18">
        <f>[2]Trucks!J1875</f>
        <v>0</v>
      </c>
      <c r="F1878" s="12">
        <f>[2]Trucks!E1875</f>
        <v>0</v>
      </c>
      <c r="G1878" s="56">
        <f>[2]Trucks!K1875</f>
        <v>0</v>
      </c>
      <c r="H1878" s="46">
        <f>[2]Trucks!I1875</f>
        <v>0</v>
      </c>
      <c r="I1878" s="83" t="str">
        <f t="shared" si="145"/>
        <v/>
      </c>
      <c r="J1878" s="272" t="str">
        <f>IFERROR(VLOOKUP((D1878&amp;C1878)&amp;"",'[2]Retail Price List'!$C$4:$F$102,3,FALSE),"")</f>
        <v/>
      </c>
      <c r="K1878" s="272">
        <f>IFERROR(IF(BA1878="WIP - 30 Days",VLOOKUP(D1878,[3]Standard!$B$9:$E$101,4,FALSE),IF(BA1878="31-120 Days",VLOOKUP(D1878,[3]Standard!$B$9:$F$101,5,FALSE),IF(BA1878="121-365 Days",VLOOKUP(D1878,[3]Standard!$B$9:$G$101,6,FALSE),VLOOKUP(D1878,[3]Standard!$B$9:$H$101,7,FALSE)))),0)</f>
        <v>0</v>
      </c>
      <c r="L1878" s="272">
        <f>IFERROR(IF(BA1878="WIP - 30 Days",VLOOKUP(D1878,[3]Standard!$B$9:$J$101,9,FALSE),IF(BA1878="31-120 Days",VLOOKUP(D1878,[3]Standard!$B$9:$K$100,10,FALSE),IF(BA1878="121-365 Days",VLOOKUP(D1878,[3]Standard!$B$9:$L$101,11,FALSE),VLOOKUP(D1878,[3]Standard!$B$9:$M$101,12,FALSE)))),0)</f>
        <v>0</v>
      </c>
      <c r="M1878" s="269" t="str">
        <f>IFERROR(VLOOKUP((D1878&amp;C1878)&amp;"",'[2]Retail Price List'!$C$4:$F$102,4,FALSE),"")</f>
        <v/>
      </c>
      <c r="N1878" s="269">
        <f>IFERROR(IF(BA1878="WIP - 30 Days",VLOOKUP(D1878,[3]Extended!$B$9:$E$101,4,FALSE),IF(BA1878="31-120 Days",VLOOKUP(D1878,[3]Extended!$B$9:$F$101,5,FALSE),IF(BA1878="121-365 Days",VLOOKUP(D1878,[3]Extended!$B$9:$G$101,6,FALSE),VLOOKUP(D1878,[3]Extended!$B$9:$H$101,7,FALSE)))),0)</f>
        <v>0</v>
      </c>
      <c r="O1878" s="269">
        <f>IFERROR(IF(BA1878="WIP - 30 Days",VLOOKUP(D1878,[3]Extended!$B$9:$J$101,9,FALSE),IF(BA1878="31-120 Days",VLOOKUP(D1878,[3]Extended!$B$9:$K$101,10,FALSE),IF(BA1878="121-365 Days",VLOOKUP(D1878,[3]Extended!$B$9:$L$101,11,FALSE),VLOOKUP(D1878,[3]Extended!$B$9:$M$101,12,FALSE)))),0)</f>
        <v>0</v>
      </c>
      <c r="P1878" s="116" t="e">
        <f t="shared" si="146"/>
        <v>#VALUE!</v>
      </c>
      <c r="Q1878" s="110" t="e">
        <f>O1878-#REF!</f>
        <v>#REF!</v>
      </c>
      <c r="AT1878" s="88" t="str">
        <f t="shared" si="147"/>
        <v>Special Order0</v>
      </c>
      <c r="AU1878" s="89" t="str">
        <f t="shared" si="148"/>
        <v>01-1900</v>
      </c>
      <c r="BA1878" s="92" t="str">
        <f t="shared" si="149"/>
        <v/>
      </c>
    </row>
    <row r="1879" spans="2:53">
      <c r="B1879" s="60">
        <f>[2]Trucks!A1876</f>
        <v>0</v>
      </c>
      <c r="C1879" s="11">
        <f>[2]Trucks!B1876</f>
        <v>0</v>
      </c>
      <c r="D1879" s="19" t="str">
        <f>IFERROR(VLOOKUP(C1879&amp;"",'[2]Retail Price List'!$A$3:$B$103,2,FALSE),"Special Order")</f>
        <v>Special Order</v>
      </c>
      <c r="E1879" s="18">
        <f>[2]Trucks!J1876</f>
        <v>0</v>
      </c>
      <c r="F1879" s="12">
        <f>[2]Trucks!E1876</f>
        <v>0</v>
      </c>
      <c r="G1879" s="56">
        <f>[2]Trucks!K1876</f>
        <v>0</v>
      </c>
      <c r="H1879" s="46">
        <f>[2]Trucks!I1876</f>
        <v>0</v>
      </c>
      <c r="I1879" s="83" t="str">
        <f t="shared" si="145"/>
        <v/>
      </c>
      <c r="J1879" s="272" t="str">
        <f>IFERROR(VLOOKUP((D1879&amp;C1879)&amp;"",'[2]Retail Price List'!$C$4:$F$102,3,FALSE),"")</f>
        <v/>
      </c>
      <c r="K1879" s="272">
        <f>IFERROR(IF(BA1879="WIP - 30 Days",VLOOKUP(D1879,[3]Standard!$B$9:$E$101,4,FALSE),IF(BA1879="31-120 Days",VLOOKUP(D1879,[3]Standard!$B$9:$F$101,5,FALSE),IF(BA1879="121-365 Days",VLOOKUP(D1879,[3]Standard!$B$9:$G$101,6,FALSE),VLOOKUP(D1879,[3]Standard!$B$9:$H$101,7,FALSE)))),0)</f>
        <v>0</v>
      </c>
      <c r="L1879" s="272">
        <f>IFERROR(IF(BA1879="WIP - 30 Days",VLOOKUP(D1879,[3]Standard!$B$9:$J$101,9,FALSE),IF(BA1879="31-120 Days",VLOOKUP(D1879,[3]Standard!$B$9:$K$100,10,FALSE),IF(BA1879="121-365 Days",VLOOKUP(D1879,[3]Standard!$B$9:$L$101,11,FALSE),VLOOKUP(D1879,[3]Standard!$B$9:$M$101,12,FALSE)))),0)</f>
        <v>0</v>
      </c>
      <c r="M1879" s="269" t="str">
        <f>IFERROR(VLOOKUP((D1879&amp;C1879)&amp;"",'[2]Retail Price List'!$C$4:$F$102,4,FALSE),"")</f>
        <v/>
      </c>
      <c r="N1879" s="269">
        <f>IFERROR(IF(BA1879="WIP - 30 Days",VLOOKUP(D1879,[3]Extended!$B$9:$E$101,4,FALSE),IF(BA1879="31-120 Days",VLOOKUP(D1879,[3]Extended!$B$9:$F$101,5,FALSE),IF(BA1879="121-365 Days",VLOOKUP(D1879,[3]Extended!$B$9:$G$101,6,FALSE),VLOOKUP(D1879,[3]Extended!$B$9:$H$101,7,FALSE)))),0)</f>
        <v>0</v>
      </c>
      <c r="O1879" s="269">
        <f>IFERROR(IF(BA1879="WIP - 30 Days",VLOOKUP(D1879,[3]Extended!$B$9:$J$101,9,FALSE),IF(BA1879="31-120 Days",VLOOKUP(D1879,[3]Extended!$B$9:$K$101,10,FALSE),IF(BA1879="121-365 Days",VLOOKUP(D1879,[3]Extended!$B$9:$L$101,11,FALSE),VLOOKUP(D1879,[3]Extended!$B$9:$M$101,12,FALSE)))),0)</f>
        <v>0</v>
      </c>
      <c r="P1879" s="116" t="e">
        <f t="shared" si="146"/>
        <v>#VALUE!</v>
      </c>
      <c r="Q1879" s="110" t="e">
        <f>O1879-#REF!</f>
        <v>#REF!</v>
      </c>
      <c r="AT1879" s="88" t="str">
        <f t="shared" si="147"/>
        <v>Special Order0</v>
      </c>
      <c r="AU1879" s="89" t="str">
        <f t="shared" si="148"/>
        <v>01-1900</v>
      </c>
      <c r="BA1879" s="92" t="str">
        <f t="shared" si="149"/>
        <v/>
      </c>
    </row>
    <row r="1880" spans="2:53">
      <c r="B1880" s="60">
        <f>[2]Trucks!A1877</f>
        <v>0</v>
      </c>
      <c r="C1880" s="11">
        <f>[2]Trucks!B1877</f>
        <v>0</v>
      </c>
      <c r="D1880" s="19" t="str">
        <f>IFERROR(VLOOKUP(C1880&amp;"",'[2]Retail Price List'!$A$3:$B$103,2,FALSE),"Special Order")</f>
        <v>Special Order</v>
      </c>
      <c r="E1880" s="18">
        <f>[2]Trucks!J1877</f>
        <v>0</v>
      </c>
      <c r="F1880" s="12">
        <f>[2]Trucks!E1877</f>
        <v>0</v>
      </c>
      <c r="G1880" s="56">
        <f>[2]Trucks!K1877</f>
        <v>0</v>
      </c>
      <c r="H1880" s="46">
        <f>[2]Trucks!I1877</f>
        <v>0</v>
      </c>
      <c r="I1880" s="83" t="str">
        <f t="shared" si="145"/>
        <v/>
      </c>
      <c r="J1880" s="272" t="str">
        <f>IFERROR(VLOOKUP((D1880&amp;C1880)&amp;"",'[2]Retail Price List'!$C$4:$F$102,3,FALSE),"")</f>
        <v/>
      </c>
      <c r="K1880" s="272">
        <f>IFERROR(IF(BA1880="WIP - 30 Days",VLOOKUP(D1880,[3]Standard!$B$9:$E$101,4,FALSE),IF(BA1880="31-120 Days",VLOOKUP(D1880,[3]Standard!$B$9:$F$101,5,FALSE),IF(BA1880="121-365 Days",VLOOKUP(D1880,[3]Standard!$B$9:$G$101,6,FALSE),VLOOKUP(D1880,[3]Standard!$B$9:$H$101,7,FALSE)))),0)</f>
        <v>0</v>
      </c>
      <c r="L1880" s="272">
        <f>IFERROR(IF(BA1880="WIP - 30 Days",VLOOKUP(D1880,[3]Standard!$B$9:$J$101,9,FALSE),IF(BA1880="31-120 Days",VLOOKUP(D1880,[3]Standard!$B$9:$K$100,10,FALSE),IF(BA1880="121-365 Days",VLOOKUP(D1880,[3]Standard!$B$9:$L$101,11,FALSE),VLOOKUP(D1880,[3]Standard!$B$9:$M$101,12,FALSE)))),0)</f>
        <v>0</v>
      </c>
      <c r="M1880" s="269" t="str">
        <f>IFERROR(VLOOKUP((D1880&amp;C1880)&amp;"",'[2]Retail Price List'!$C$4:$F$102,4,FALSE),"")</f>
        <v/>
      </c>
      <c r="N1880" s="269">
        <f>IFERROR(IF(BA1880="WIP - 30 Days",VLOOKUP(D1880,[3]Extended!$B$9:$E$101,4,FALSE),IF(BA1880="31-120 Days",VLOOKUP(D1880,[3]Extended!$B$9:$F$101,5,FALSE),IF(BA1880="121-365 Days",VLOOKUP(D1880,[3]Extended!$B$9:$G$101,6,FALSE),VLOOKUP(D1880,[3]Extended!$B$9:$H$101,7,FALSE)))),0)</f>
        <v>0</v>
      </c>
      <c r="O1880" s="269">
        <f>IFERROR(IF(BA1880="WIP - 30 Days",VLOOKUP(D1880,[3]Extended!$B$9:$J$101,9,FALSE),IF(BA1880="31-120 Days",VLOOKUP(D1880,[3]Extended!$B$9:$K$101,10,FALSE),IF(BA1880="121-365 Days",VLOOKUP(D1880,[3]Extended!$B$9:$L$101,11,FALSE),VLOOKUP(D1880,[3]Extended!$B$9:$M$101,12,FALSE)))),0)</f>
        <v>0</v>
      </c>
      <c r="P1880" s="116" t="e">
        <f t="shared" si="146"/>
        <v>#VALUE!</v>
      </c>
      <c r="Q1880" s="110" t="e">
        <f>O1880-#REF!</f>
        <v>#REF!</v>
      </c>
      <c r="AT1880" s="88" t="str">
        <f t="shared" si="147"/>
        <v>Special Order0</v>
      </c>
      <c r="AU1880" s="89" t="str">
        <f t="shared" si="148"/>
        <v>01-1900</v>
      </c>
      <c r="BA1880" s="92" t="str">
        <f t="shared" si="149"/>
        <v/>
      </c>
    </row>
    <row r="1881" spans="2:53">
      <c r="B1881" s="60">
        <f>[2]Trucks!A1878</f>
        <v>0</v>
      </c>
      <c r="C1881" s="11">
        <f>[2]Trucks!B1878</f>
        <v>0</v>
      </c>
      <c r="D1881" s="19" t="str">
        <f>IFERROR(VLOOKUP(C1881&amp;"",'[2]Retail Price List'!$A$3:$B$103,2,FALSE),"Special Order")</f>
        <v>Special Order</v>
      </c>
      <c r="E1881" s="18">
        <f>[2]Trucks!J1878</f>
        <v>0</v>
      </c>
      <c r="F1881" s="12">
        <f>[2]Trucks!E1878</f>
        <v>0</v>
      </c>
      <c r="G1881" s="56">
        <f>[2]Trucks!K1878</f>
        <v>0</v>
      </c>
      <c r="H1881" s="46">
        <f>[2]Trucks!I1878</f>
        <v>0</v>
      </c>
      <c r="I1881" s="83" t="str">
        <f t="shared" si="145"/>
        <v/>
      </c>
      <c r="J1881" s="272" t="str">
        <f>IFERROR(VLOOKUP((D1881&amp;C1881)&amp;"",'[2]Retail Price List'!$C$4:$F$102,3,FALSE),"")</f>
        <v/>
      </c>
      <c r="K1881" s="272">
        <f>IFERROR(IF(BA1881="WIP - 30 Days",VLOOKUP(D1881,[3]Standard!$B$9:$E$101,4,FALSE),IF(BA1881="31-120 Days",VLOOKUP(D1881,[3]Standard!$B$9:$F$101,5,FALSE),IF(BA1881="121-365 Days",VLOOKUP(D1881,[3]Standard!$B$9:$G$101,6,FALSE),VLOOKUP(D1881,[3]Standard!$B$9:$H$101,7,FALSE)))),0)</f>
        <v>0</v>
      </c>
      <c r="L1881" s="272">
        <f>IFERROR(IF(BA1881="WIP - 30 Days",VLOOKUP(D1881,[3]Standard!$B$9:$J$101,9,FALSE),IF(BA1881="31-120 Days",VLOOKUP(D1881,[3]Standard!$B$9:$K$100,10,FALSE),IF(BA1881="121-365 Days",VLOOKUP(D1881,[3]Standard!$B$9:$L$101,11,FALSE),VLOOKUP(D1881,[3]Standard!$B$9:$M$101,12,FALSE)))),0)</f>
        <v>0</v>
      </c>
      <c r="M1881" s="269" t="str">
        <f>IFERROR(VLOOKUP((D1881&amp;C1881)&amp;"",'[2]Retail Price List'!$C$4:$F$102,4,FALSE),"")</f>
        <v/>
      </c>
      <c r="N1881" s="269">
        <f>IFERROR(IF(BA1881="WIP - 30 Days",VLOOKUP(D1881,[3]Extended!$B$9:$E$101,4,FALSE),IF(BA1881="31-120 Days",VLOOKUP(D1881,[3]Extended!$B$9:$F$101,5,FALSE),IF(BA1881="121-365 Days",VLOOKUP(D1881,[3]Extended!$B$9:$G$101,6,FALSE),VLOOKUP(D1881,[3]Extended!$B$9:$H$101,7,FALSE)))),0)</f>
        <v>0</v>
      </c>
      <c r="O1881" s="269">
        <f>IFERROR(IF(BA1881="WIP - 30 Days",VLOOKUP(D1881,[3]Extended!$B$9:$J$101,9,FALSE),IF(BA1881="31-120 Days",VLOOKUP(D1881,[3]Extended!$B$9:$K$101,10,FALSE),IF(BA1881="121-365 Days",VLOOKUP(D1881,[3]Extended!$B$9:$L$101,11,FALSE),VLOOKUP(D1881,[3]Extended!$B$9:$M$101,12,FALSE)))),0)</f>
        <v>0</v>
      </c>
      <c r="P1881" s="116" t="e">
        <f t="shared" si="146"/>
        <v>#VALUE!</v>
      </c>
      <c r="Q1881" s="110" t="e">
        <f>O1881-#REF!</f>
        <v>#REF!</v>
      </c>
      <c r="AT1881" s="88" t="str">
        <f t="shared" si="147"/>
        <v>Special Order0</v>
      </c>
      <c r="AU1881" s="89" t="str">
        <f t="shared" si="148"/>
        <v>01-1900</v>
      </c>
      <c r="BA1881" s="92" t="str">
        <f t="shared" si="149"/>
        <v/>
      </c>
    </row>
    <row r="1882" spans="2:53">
      <c r="B1882" s="60">
        <f>[2]Trucks!A1879</f>
        <v>0</v>
      </c>
      <c r="C1882" s="11">
        <f>[2]Trucks!B1879</f>
        <v>0</v>
      </c>
      <c r="D1882" s="19" t="str">
        <f>IFERROR(VLOOKUP(C1882&amp;"",'[2]Retail Price List'!$A$3:$B$103,2,FALSE),"Special Order")</f>
        <v>Special Order</v>
      </c>
      <c r="E1882" s="18">
        <f>[2]Trucks!J1879</f>
        <v>0</v>
      </c>
      <c r="F1882" s="12">
        <f>[2]Trucks!E1879</f>
        <v>0</v>
      </c>
      <c r="G1882" s="56">
        <f>[2]Trucks!K1879</f>
        <v>0</v>
      </c>
      <c r="H1882" s="46">
        <f>[2]Trucks!I1879</f>
        <v>0</v>
      </c>
      <c r="I1882" s="83" t="str">
        <f t="shared" si="145"/>
        <v/>
      </c>
      <c r="J1882" s="272" t="str">
        <f>IFERROR(VLOOKUP((D1882&amp;C1882)&amp;"",'[2]Retail Price List'!$C$4:$F$102,3,FALSE),"")</f>
        <v/>
      </c>
      <c r="K1882" s="272">
        <f>IFERROR(IF(BA1882="WIP - 30 Days",VLOOKUP(D1882,[3]Standard!$B$9:$E$101,4,FALSE),IF(BA1882="31-120 Days",VLOOKUP(D1882,[3]Standard!$B$9:$F$101,5,FALSE),IF(BA1882="121-365 Days",VLOOKUP(D1882,[3]Standard!$B$9:$G$101,6,FALSE),VLOOKUP(D1882,[3]Standard!$B$9:$H$101,7,FALSE)))),0)</f>
        <v>0</v>
      </c>
      <c r="L1882" s="272">
        <f>IFERROR(IF(BA1882="WIP - 30 Days",VLOOKUP(D1882,[3]Standard!$B$9:$J$101,9,FALSE),IF(BA1882="31-120 Days",VLOOKUP(D1882,[3]Standard!$B$9:$K$100,10,FALSE),IF(BA1882="121-365 Days",VLOOKUP(D1882,[3]Standard!$B$9:$L$101,11,FALSE),VLOOKUP(D1882,[3]Standard!$B$9:$M$101,12,FALSE)))),0)</f>
        <v>0</v>
      </c>
      <c r="M1882" s="269" t="str">
        <f>IFERROR(VLOOKUP((D1882&amp;C1882)&amp;"",'[2]Retail Price List'!$C$4:$F$102,4,FALSE),"")</f>
        <v/>
      </c>
      <c r="N1882" s="269">
        <f>IFERROR(IF(BA1882="WIP - 30 Days",VLOOKUP(D1882,[3]Extended!$B$9:$E$101,4,FALSE),IF(BA1882="31-120 Days",VLOOKUP(D1882,[3]Extended!$B$9:$F$101,5,FALSE),IF(BA1882="121-365 Days",VLOOKUP(D1882,[3]Extended!$B$9:$G$101,6,FALSE),VLOOKUP(D1882,[3]Extended!$B$9:$H$101,7,FALSE)))),0)</f>
        <v>0</v>
      </c>
      <c r="O1882" s="269">
        <f>IFERROR(IF(BA1882="WIP - 30 Days",VLOOKUP(D1882,[3]Extended!$B$9:$J$101,9,FALSE),IF(BA1882="31-120 Days",VLOOKUP(D1882,[3]Extended!$B$9:$K$101,10,FALSE),IF(BA1882="121-365 Days",VLOOKUP(D1882,[3]Extended!$B$9:$L$101,11,FALSE),VLOOKUP(D1882,[3]Extended!$B$9:$M$101,12,FALSE)))),0)</f>
        <v>0</v>
      </c>
      <c r="P1882" s="116" t="e">
        <f t="shared" si="146"/>
        <v>#VALUE!</v>
      </c>
      <c r="Q1882" s="110" t="e">
        <f>O1882-#REF!</f>
        <v>#REF!</v>
      </c>
      <c r="AT1882" s="88" t="str">
        <f t="shared" si="147"/>
        <v>Special Order0</v>
      </c>
      <c r="AU1882" s="89" t="str">
        <f t="shared" si="148"/>
        <v>01-1900</v>
      </c>
      <c r="BA1882" s="92" t="str">
        <f t="shared" si="149"/>
        <v/>
      </c>
    </row>
    <row r="1883" spans="2:53">
      <c r="B1883" s="60">
        <f>[2]Trucks!A1880</f>
        <v>0</v>
      </c>
      <c r="C1883" s="11">
        <f>[2]Trucks!B1880</f>
        <v>0</v>
      </c>
      <c r="D1883" s="19" t="str">
        <f>IFERROR(VLOOKUP(C1883&amp;"",'[2]Retail Price List'!$A$3:$B$103,2,FALSE),"Special Order")</f>
        <v>Special Order</v>
      </c>
      <c r="E1883" s="18">
        <f>[2]Trucks!J1880</f>
        <v>0</v>
      </c>
      <c r="F1883" s="12">
        <f>[2]Trucks!E1880</f>
        <v>0</v>
      </c>
      <c r="G1883" s="56">
        <f>[2]Trucks!K1880</f>
        <v>0</v>
      </c>
      <c r="H1883" s="46">
        <f>[2]Trucks!I1880</f>
        <v>0</v>
      </c>
      <c r="I1883" s="83" t="str">
        <f t="shared" si="145"/>
        <v/>
      </c>
      <c r="J1883" s="272" t="str">
        <f>IFERROR(VLOOKUP((D1883&amp;C1883)&amp;"",'[2]Retail Price List'!$C$4:$F$102,3,FALSE),"")</f>
        <v/>
      </c>
      <c r="K1883" s="272">
        <f>IFERROR(IF(BA1883="WIP - 30 Days",VLOOKUP(D1883,[3]Standard!$B$9:$E$101,4,FALSE),IF(BA1883="31-120 Days",VLOOKUP(D1883,[3]Standard!$B$9:$F$101,5,FALSE),IF(BA1883="121-365 Days",VLOOKUP(D1883,[3]Standard!$B$9:$G$101,6,FALSE),VLOOKUP(D1883,[3]Standard!$B$9:$H$101,7,FALSE)))),0)</f>
        <v>0</v>
      </c>
      <c r="L1883" s="272">
        <f>IFERROR(IF(BA1883="WIP - 30 Days",VLOOKUP(D1883,[3]Standard!$B$9:$J$101,9,FALSE),IF(BA1883="31-120 Days",VLOOKUP(D1883,[3]Standard!$B$9:$K$100,10,FALSE),IF(BA1883="121-365 Days",VLOOKUP(D1883,[3]Standard!$B$9:$L$101,11,FALSE),VLOOKUP(D1883,[3]Standard!$B$9:$M$101,12,FALSE)))),0)</f>
        <v>0</v>
      </c>
      <c r="M1883" s="269" t="str">
        <f>IFERROR(VLOOKUP((D1883&amp;C1883)&amp;"",'[2]Retail Price List'!$C$4:$F$102,4,FALSE),"")</f>
        <v/>
      </c>
      <c r="N1883" s="269">
        <f>IFERROR(IF(BA1883="WIP - 30 Days",VLOOKUP(D1883,[3]Extended!$B$9:$E$101,4,FALSE),IF(BA1883="31-120 Days",VLOOKUP(D1883,[3]Extended!$B$9:$F$101,5,FALSE),IF(BA1883="121-365 Days",VLOOKUP(D1883,[3]Extended!$B$9:$G$101,6,FALSE),VLOOKUP(D1883,[3]Extended!$B$9:$H$101,7,FALSE)))),0)</f>
        <v>0</v>
      </c>
      <c r="O1883" s="269">
        <f>IFERROR(IF(BA1883="WIP - 30 Days",VLOOKUP(D1883,[3]Extended!$B$9:$J$101,9,FALSE),IF(BA1883="31-120 Days",VLOOKUP(D1883,[3]Extended!$B$9:$K$101,10,FALSE),IF(BA1883="121-365 Days",VLOOKUP(D1883,[3]Extended!$B$9:$L$101,11,FALSE),VLOOKUP(D1883,[3]Extended!$B$9:$M$101,12,FALSE)))),0)</f>
        <v>0</v>
      </c>
      <c r="P1883" s="116" t="e">
        <f t="shared" si="146"/>
        <v>#VALUE!</v>
      </c>
      <c r="Q1883" s="110" t="e">
        <f>O1883-#REF!</f>
        <v>#REF!</v>
      </c>
      <c r="AT1883" s="88" t="str">
        <f t="shared" si="147"/>
        <v>Special Order0</v>
      </c>
      <c r="AU1883" s="89" t="str">
        <f t="shared" si="148"/>
        <v>01-1900</v>
      </c>
      <c r="BA1883" s="92" t="str">
        <f t="shared" si="149"/>
        <v/>
      </c>
    </row>
    <row r="1884" spans="2:53">
      <c r="B1884" s="60">
        <f>[2]Trucks!A1881</f>
        <v>0</v>
      </c>
      <c r="C1884" s="11">
        <f>[2]Trucks!B1881</f>
        <v>0</v>
      </c>
      <c r="D1884" s="19" t="str">
        <f>IFERROR(VLOOKUP(C1884&amp;"",'[2]Retail Price List'!$A$3:$B$103,2,FALSE),"Special Order")</f>
        <v>Special Order</v>
      </c>
      <c r="E1884" s="18">
        <f>[2]Trucks!J1881</f>
        <v>0</v>
      </c>
      <c r="F1884" s="12">
        <f>[2]Trucks!E1881</f>
        <v>0</v>
      </c>
      <c r="G1884" s="56">
        <f>[2]Trucks!K1881</f>
        <v>0</v>
      </c>
      <c r="H1884" s="46">
        <f>[2]Trucks!I1881</f>
        <v>0</v>
      </c>
      <c r="I1884" s="83" t="str">
        <f t="shared" si="145"/>
        <v/>
      </c>
      <c r="J1884" s="272" t="str">
        <f>IFERROR(VLOOKUP((D1884&amp;C1884)&amp;"",'[2]Retail Price List'!$C$4:$F$102,3,FALSE),"")</f>
        <v/>
      </c>
      <c r="K1884" s="272">
        <f>IFERROR(IF(BA1884="WIP - 30 Days",VLOOKUP(D1884,[3]Standard!$B$9:$E$101,4,FALSE),IF(BA1884="31-120 Days",VLOOKUP(D1884,[3]Standard!$B$9:$F$101,5,FALSE),IF(BA1884="121-365 Days",VLOOKUP(D1884,[3]Standard!$B$9:$G$101,6,FALSE),VLOOKUP(D1884,[3]Standard!$B$9:$H$101,7,FALSE)))),0)</f>
        <v>0</v>
      </c>
      <c r="L1884" s="272">
        <f>IFERROR(IF(BA1884="WIP - 30 Days",VLOOKUP(D1884,[3]Standard!$B$9:$J$101,9,FALSE),IF(BA1884="31-120 Days",VLOOKUP(D1884,[3]Standard!$B$9:$K$100,10,FALSE),IF(BA1884="121-365 Days",VLOOKUP(D1884,[3]Standard!$B$9:$L$101,11,FALSE),VLOOKUP(D1884,[3]Standard!$B$9:$M$101,12,FALSE)))),0)</f>
        <v>0</v>
      </c>
      <c r="M1884" s="269" t="str">
        <f>IFERROR(VLOOKUP((D1884&amp;C1884)&amp;"",'[2]Retail Price List'!$C$4:$F$102,4,FALSE),"")</f>
        <v/>
      </c>
      <c r="N1884" s="269">
        <f>IFERROR(IF(BA1884="WIP - 30 Days",VLOOKUP(D1884,[3]Extended!$B$9:$E$101,4,FALSE),IF(BA1884="31-120 Days",VLOOKUP(D1884,[3]Extended!$B$9:$F$101,5,FALSE),IF(BA1884="121-365 Days",VLOOKUP(D1884,[3]Extended!$B$9:$G$101,6,FALSE),VLOOKUP(D1884,[3]Extended!$B$9:$H$101,7,FALSE)))),0)</f>
        <v>0</v>
      </c>
      <c r="O1884" s="269">
        <f>IFERROR(IF(BA1884="WIP - 30 Days",VLOOKUP(D1884,[3]Extended!$B$9:$J$101,9,FALSE),IF(BA1884="31-120 Days",VLOOKUP(D1884,[3]Extended!$B$9:$K$101,10,FALSE),IF(BA1884="121-365 Days",VLOOKUP(D1884,[3]Extended!$B$9:$L$101,11,FALSE),VLOOKUP(D1884,[3]Extended!$B$9:$M$101,12,FALSE)))),0)</f>
        <v>0</v>
      </c>
      <c r="P1884" s="116" t="e">
        <f t="shared" si="146"/>
        <v>#VALUE!</v>
      </c>
      <c r="Q1884" s="110" t="e">
        <f>O1884-#REF!</f>
        <v>#REF!</v>
      </c>
      <c r="AT1884" s="88" t="str">
        <f t="shared" si="147"/>
        <v>Special Order0</v>
      </c>
      <c r="AU1884" s="89" t="str">
        <f t="shared" si="148"/>
        <v>01-1900</v>
      </c>
      <c r="BA1884" s="92" t="str">
        <f t="shared" si="149"/>
        <v/>
      </c>
    </row>
    <row r="1885" spans="2:53">
      <c r="B1885" s="60">
        <f>[2]Trucks!A1882</f>
        <v>0</v>
      </c>
      <c r="C1885" s="11">
        <f>[2]Trucks!B1882</f>
        <v>0</v>
      </c>
      <c r="D1885" s="19" t="str">
        <f>IFERROR(VLOOKUP(C1885&amp;"",'[2]Retail Price List'!$A$3:$B$103,2,FALSE),"Special Order")</f>
        <v>Special Order</v>
      </c>
      <c r="E1885" s="18">
        <f>[2]Trucks!J1882</f>
        <v>0</v>
      </c>
      <c r="F1885" s="12">
        <f>[2]Trucks!E1882</f>
        <v>0</v>
      </c>
      <c r="G1885" s="56">
        <f>[2]Trucks!K1882</f>
        <v>0</v>
      </c>
      <c r="H1885" s="46">
        <f>[2]Trucks!I1882</f>
        <v>0</v>
      </c>
      <c r="I1885" s="83" t="str">
        <f t="shared" si="145"/>
        <v/>
      </c>
      <c r="J1885" s="272" t="str">
        <f>IFERROR(VLOOKUP((D1885&amp;C1885)&amp;"",'[2]Retail Price List'!$C$4:$F$102,3,FALSE),"")</f>
        <v/>
      </c>
      <c r="K1885" s="272">
        <f>IFERROR(IF(BA1885="WIP - 30 Days",VLOOKUP(D1885,[3]Standard!$B$9:$E$101,4,FALSE),IF(BA1885="31-120 Days",VLOOKUP(D1885,[3]Standard!$B$9:$F$101,5,FALSE),IF(BA1885="121-365 Days",VLOOKUP(D1885,[3]Standard!$B$9:$G$101,6,FALSE),VLOOKUP(D1885,[3]Standard!$B$9:$H$101,7,FALSE)))),0)</f>
        <v>0</v>
      </c>
      <c r="L1885" s="272">
        <f>IFERROR(IF(BA1885="WIP - 30 Days",VLOOKUP(D1885,[3]Standard!$B$9:$J$101,9,FALSE),IF(BA1885="31-120 Days",VLOOKUP(D1885,[3]Standard!$B$9:$K$100,10,FALSE),IF(BA1885="121-365 Days",VLOOKUP(D1885,[3]Standard!$B$9:$L$101,11,FALSE),VLOOKUP(D1885,[3]Standard!$B$9:$M$101,12,FALSE)))),0)</f>
        <v>0</v>
      </c>
      <c r="M1885" s="269" t="str">
        <f>IFERROR(VLOOKUP((D1885&amp;C1885)&amp;"",'[2]Retail Price List'!$C$4:$F$102,4,FALSE),"")</f>
        <v/>
      </c>
      <c r="N1885" s="269">
        <f>IFERROR(IF(BA1885="WIP - 30 Days",VLOOKUP(D1885,[3]Extended!$B$9:$E$101,4,FALSE),IF(BA1885="31-120 Days",VLOOKUP(D1885,[3]Extended!$B$9:$F$101,5,FALSE),IF(BA1885="121-365 Days",VLOOKUP(D1885,[3]Extended!$B$9:$G$101,6,FALSE),VLOOKUP(D1885,[3]Extended!$B$9:$H$101,7,FALSE)))),0)</f>
        <v>0</v>
      </c>
      <c r="O1885" s="269">
        <f>IFERROR(IF(BA1885="WIP - 30 Days",VLOOKUP(D1885,[3]Extended!$B$9:$J$101,9,FALSE),IF(BA1885="31-120 Days",VLOOKUP(D1885,[3]Extended!$B$9:$K$101,10,FALSE),IF(BA1885="121-365 Days",VLOOKUP(D1885,[3]Extended!$B$9:$L$101,11,FALSE),VLOOKUP(D1885,[3]Extended!$B$9:$M$101,12,FALSE)))),0)</f>
        <v>0</v>
      </c>
      <c r="P1885" s="116" t="e">
        <f t="shared" si="146"/>
        <v>#VALUE!</v>
      </c>
      <c r="Q1885" s="110" t="e">
        <f>O1885-#REF!</f>
        <v>#REF!</v>
      </c>
      <c r="AT1885" s="88" t="str">
        <f t="shared" si="147"/>
        <v>Special Order0</v>
      </c>
      <c r="AU1885" s="89" t="str">
        <f t="shared" si="148"/>
        <v>01-1900</v>
      </c>
      <c r="BA1885" s="92" t="str">
        <f t="shared" si="149"/>
        <v/>
      </c>
    </row>
    <row r="1886" spans="2:53">
      <c r="B1886" s="60">
        <f>[2]Trucks!A1883</f>
        <v>0</v>
      </c>
      <c r="C1886" s="11">
        <f>[2]Trucks!B1883</f>
        <v>0</v>
      </c>
      <c r="D1886" s="19" t="str">
        <f>IFERROR(VLOOKUP(C1886&amp;"",'[2]Retail Price List'!$A$3:$B$103,2,FALSE),"Special Order")</f>
        <v>Special Order</v>
      </c>
      <c r="E1886" s="18">
        <f>[2]Trucks!J1883</f>
        <v>0</v>
      </c>
      <c r="F1886" s="12">
        <f>[2]Trucks!E1883</f>
        <v>0</v>
      </c>
      <c r="G1886" s="56">
        <f>[2]Trucks!K1883</f>
        <v>0</v>
      </c>
      <c r="H1886" s="46">
        <f>[2]Trucks!I1883</f>
        <v>0</v>
      </c>
      <c r="I1886" s="83" t="str">
        <f t="shared" si="145"/>
        <v/>
      </c>
      <c r="J1886" s="272" t="str">
        <f>IFERROR(VLOOKUP((D1886&amp;C1886)&amp;"",'[2]Retail Price List'!$C$4:$F$102,3,FALSE),"")</f>
        <v/>
      </c>
      <c r="K1886" s="272">
        <f>IFERROR(IF(BA1886="WIP - 30 Days",VLOOKUP(D1886,[3]Standard!$B$9:$E$101,4,FALSE),IF(BA1886="31-120 Days",VLOOKUP(D1886,[3]Standard!$B$9:$F$101,5,FALSE),IF(BA1886="121-365 Days",VLOOKUP(D1886,[3]Standard!$B$9:$G$101,6,FALSE),VLOOKUP(D1886,[3]Standard!$B$9:$H$101,7,FALSE)))),0)</f>
        <v>0</v>
      </c>
      <c r="L1886" s="272">
        <f>IFERROR(IF(BA1886="WIP - 30 Days",VLOOKUP(D1886,[3]Standard!$B$9:$J$101,9,FALSE),IF(BA1886="31-120 Days",VLOOKUP(D1886,[3]Standard!$B$9:$K$100,10,FALSE),IF(BA1886="121-365 Days",VLOOKUP(D1886,[3]Standard!$B$9:$L$101,11,FALSE),VLOOKUP(D1886,[3]Standard!$B$9:$M$101,12,FALSE)))),0)</f>
        <v>0</v>
      </c>
      <c r="M1886" s="269" t="str">
        <f>IFERROR(VLOOKUP((D1886&amp;C1886)&amp;"",'[2]Retail Price List'!$C$4:$F$102,4,FALSE),"")</f>
        <v/>
      </c>
      <c r="N1886" s="269">
        <f>IFERROR(IF(BA1886="WIP - 30 Days",VLOOKUP(D1886,[3]Extended!$B$9:$E$101,4,FALSE),IF(BA1886="31-120 Days",VLOOKUP(D1886,[3]Extended!$B$9:$F$101,5,FALSE),IF(BA1886="121-365 Days",VLOOKUP(D1886,[3]Extended!$B$9:$G$101,6,FALSE),VLOOKUP(D1886,[3]Extended!$B$9:$H$101,7,FALSE)))),0)</f>
        <v>0</v>
      </c>
      <c r="O1886" s="269">
        <f>IFERROR(IF(BA1886="WIP - 30 Days",VLOOKUP(D1886,[3]Extended!$B$9:$J$101,9,FALSE),IF(BA1886="31-120 Days",VLOOKUP(D1886,[3]Extended!$B$9:$K$101,10,FALSE),IF(BA1886="121-365 Days",VLOOKUP(D1886,[3]Extended!$B$9:$L$101,11,FALSE),VLOOKUP(D1886,[3]Extended!$B$9:$M$101,12,FALSE)))),0)</f>
        <v>0</v>
      </c>
      <c r="P1886" s="116" t="e">
        <f t="shared" si="146"/>
        <v>#VALUE!</v>
      </c>
      <c r="Q1886" s="110" t="e">
        <f>O1886-#REF!</f>
        <v>#REF!</v>
      </c>
      <c r="AT1886" s="88" t="str">
        <f t="shared" si="147"/>
        <v>Special Order0</v>
      </c>
      <c r="AU1886" s="89" t="str">
        <f t="shared" si="148"/>
        <v>01-1900</v>
      </c>
      <c r="BA1886" s="92" t="str">
        <f t="shared" si="149"/>
        <v/>
      </c>
    </row>
    <row r="1887" spans="2:53">
      <c r="B1887" s="60">
        <f>[2]Trucks!A1884</f>
        <v>0</v>
      </c>
      <c r="C1887" s="11">
        <f>[2]Trucks!B1884</f>
        <v>0</v>
      </c>
      <c r="D1887" s="19" t="str">
        <f>IFERROR(VLOOKUP(C1887&amp;"",'[2]Retail Price List'!$A$3:$B$103,2,FALSE),"Special Order")</f>
        <v>Special Order</v>
      </c>
      <c r="E1887" s="18">
        <f>[2]Trucks!J1884</f>
        <v>0</v>
      </c>
      <c r="F1887" s="12">
        <f>[2]Trucks!E1884</f>
        <v>0</v>
      </c>
      <c r="G1887" s="56">
        <f>[2]Trucks!K1884</f>
        <v>0</v>
      </c>
      <c r="H1887" s="46">
        <f>[2]Trucks!I1884</f>
        <v>0</v>
      </c>
      <c r="I1887" s="83" t="str">
        <f t="shared" si="145"/>
        <v/>
      </c>
      <c r="J1887" s="272" t="str">
        <f>IFERROR(VLOOKUP((D1887&amp;C1887)&amp;"",'[2]Retail Price List'!$C$4:$F$102,3,FALSE),"")</f>
        <v/>
      </c>
      <c r="K1887" s="272">
        <f>IFERROR(IF(BA1887="WIP - 30 Days",VLOOKUP(D1887,[3]Standard!$B$9:$E$101,4,FALSE),IF(BA1887="31-120 Days",VLOOKUP(D1887,[3]Standard!$B$9:$F$101,5,FALSE),IF(BA1887="121-365 Days",VLOOKUP(D1887,[3]Standard!$B$9:$G$101,6,FALSE),VLOOKUP(D1887,[3]Standard!$B$9:$H$101,7,FALSE)))),0)</f>
        <v>0</v>
      </c>
      <c r="L1887" s="272">
        <f>IFERROR(IF(BA1887="WIP - 30 Days",VLOOKUP(D1887,[3]Standard!$B$9:$J$101,9,FALSE),IF(BA1887="31-120 Days",VLOOKUP(D1887,[3]Standard!$B$9:$K$100,10,FALSE),IF(BA1887="121-365 Days",VLOOKUP(D1887,[3]Standard!$B$9:$L$101,11,FALSE),VLOOKUP(D1887,[3]Standard!$B$9:$M$101,12,FALSE)))),0)</f>
        <v>0</v>
      </c>
      <c r="M1887" s="269" t="str">
        <f>IFERROR(VLOOKUP((D1887&amp;C1887)&amp;"",'[2]Retail Price List'!$C$4:$F$102,4,FALSE),"")</f>
        <v/>
      </c>
      <c r="N1887" s="269">
        <f>IFERROR(IF(BA1887="WIP - 30 Days",VLOOKUP(D1887,[3]Extended!$B$9:$E$101,4,FALSE),IF(BA1887="31-120 Days",VLOOKUP(D1887,[3]Extended!$B$9:$F$101,5,FALSE),IF(BA1887="121-365 Days",VLOOKUP(D1887,[3]Extended!$B$9:$G$101,6,FALSE),VLOOKUP(D1887,[3]Extended!$B$9:$H$101,7,FALSE)))),0)</f>
        <v>0</v>
      </c>
      <c r="O1887" s="269">
        <f>IFERROR(IF(BA1887="WIP - 30 Days",VLOOKUP(D1887,[3]Extended!$B$9:$J$101,9,FALSE),IF(BA1887="31-120 Days",VLOOKUP(D1887,[3]Extended!$B$9:$K$101,10,FALSE),IF(BA1887="121-365 Days",VLOOKUP(D1887,[3]Extended!$B$9:$L$101,11,FALSE),VLOOKUP(D1887,[3]Extended!$B$9:$M$101,12,FALSE)))),0)</f>
        <v>0</v>
      </c>
      <c r="P1887" s="116" t="e">
        <f t="shared" si="146"/>
        <v>#VALUE!</v>
      </c>
      <c r="Q1887" s="110" t="e">
        <f>O1887-#REF!</f>
        <v>#REF!</v>
      </c>
      <c r="AT1887" s="88" t="str">
        <f t="shared" si="147"/>
        <v>Special Order0</v>
      </c>
      <c r="AU1887" s="89" t="str">
        <f t="shared" si="148"/>
        <v>01-1900</v>
      </c>
      <c r="BA1887" s="92" t="str">
        <f t="shared" si="149"/>
        <v/>
      </c>
    </row>
    <row r="1888" spans="2:53">
      <c r="B1888" s="60">
        <f>[2]Trucks!A1885</f>
        <v>0</v>
      </c>
      <c r="C1888" s="11">
        <f>[2]Trucks!B1885</f>
        <v>0</v>
      </c>
      <c r="D1888" s="19" t="str">
        <f>IFERROR(VLOOKUP(C1888&amp;"",'[2]Retail Price List'!$A$3:$B$103,2,FALSE),"Special Order")</f>
        <v>Special Order</v>
      </c>
      <c r="E1888" s="18">
        <f>[2]Trucks!J1885</f>
        <v>0</v>
      </c>
      <c r="F1888" s="12">
        <f>[2]Trucks!E1885</f>
        <v>0</v>
      </c>
      <c r="G1888" s="56">
        <f>[2]Trucks!K1885</f>
        <v>0</v>
      </c>
      <c r="H1888" s="46">
        <f>[2]Trucks!I1885</f>
        <v>0</v>
      </c>
      <c r="I1888" s="83" t="str">
        <f t="shared" si="145"/>
        <v/>
      </c>
      <c r="J1888" s="272" t="str">
        <f>IFERROR(VLOOKUP((D1888&amp;C1888)&amp;"",'[2]Retail Price List'!$C$4:$F$102,3,FALSE),"")</f>
        <v/>
      </c>
      <c r="K1888" s="272">
        <f>IFERROR(IF(BA1888="WIP - 30 Days",VLOOKUP(D1888,[3]Standard!$B$9:$E$101,4,FALSE),IF(BA1888="31-120 Days",VLOOKUP(D1888,[3]Standard!$B$9:$F$101,5,FALSE),IF(BA1888="121-365 Days",VLOOKUP(D1888,[3]Standard!$B$9:$G$101,6,FALSE),VLOOKUP(D1888,[3]Standard!$B$9:$H$101,7,FALSE)))),0)</f>
        <v>0</v>
      </c>
      <c r="L1888" s="272">
        <f>IFERROR(IF(BA1888="WIP - 30 Days",VLOOKUP(D1888,[3]Standard!$B$9:$J$101,9,FALSE),IF(BA1888="31-120 Days",VLOOKUP(D1888,[3]Standard!$B$9:$K$100,10,FALSE),IF(BA1888="121-365 Days",VLOOKUP(D1888,[3]Standard!$B$9:$L$101,11,FALSE),VLOOKUP(D1888,[3]Standard!$B$9:$M$101,12,FALSE)))),0)</f>
        <v>0</v>
      </c>
      <c r="M1888" s="269" t="str">
        <f>IFERROR(VLOOKUP((D1888&amp;C1888)&amp;"",'[2]Retail Price List'!$C$4:$F$102,4,FALSE),"")</f>
        <v/>
      </c>
      <c r="N1888" s="269">
        <f>IFERROR(IF(BA1888="WIP - 30 Days",VLOOKUP(D1888,[3]Extended!$B$9:$E$101,4,FALSE),IF(BA1888="31-120 Days",VLOOKUP(D1888,[3]Extended!$B$9:$F$101,5,FALSE),IF(BA1888="121-365 Days",VLOOKUP(D1888,[3]Extended!$B$9:$G$101,6,FALSE),VLOOKUP(D1888,[3]Extended!$B$9:$H$101,7,FALSE)))),0)</f>
        <v>0</v>
      </c>
      <c r="O1888" s="269">
        <f>IFERROR(IF(BA1888="WIP - 30 Days",VLOOKUP(D1888,[3]Extended!$B$9:$J$101,9,FALSE),IF(BA1888="31-120 Days",VLOOKUP(D1888,[3]Extended!$B$9:$K$101,10,FALSE),IF(BA1888="121-365 Days",VLOOKUP(D1888,[3]Extended!$B$9:$L$101,11,FALSE),VLOOKUP(D1888,[3]Extended!$B$9:$M$101,12,FALSE)))),0)</f>
        <v>0</v>
      </c>
      <c r="P1888" s="116" t="e">
        <f t="shared" si="146"/>
        <v>#VALUE!</v>
      </c>
      <c r="Q1888" s="110" t="e">
        <f>O1888-#REF!</f>
        <v>#REF!</v>
      </c>
      <c r="AT1888" s="88" t="str">
        <f t="shared" si="147"/>
        <v>Special Order0</v>
      </c>
      <c r="AU1888" s="89" t="str">
        <f t="shared" si="148"/>
        <v>01-1900</v>
      </c>
      <c r="BA1888" s="92" t="str">
        <f t="shared" si="149"/>
        <v/>
      </c>
    </row>
    <row r="1889" spans="2:53">
      <c r="B1889" s="60">
        <f>[2]Trucks!A1886</f>
        <v>0</v>
      </c>
      <c r="C1889" s="11">
        <f>[2]Trucks!B1886</f>
        <v>0</v>
      </c>
      <c r="D1889" s="19" t="str">
        <f>IFERROR(VLOOKUP(C1889&amp;"",'[2]Retail Price List'!$A$3:$B$103,2,FALSE),"Special Order")</f>
        <v>Special Order</v>
      </c>
      <c r="E1889" s="18">
        <f>[2]Trucks!J1886</f>
        <v>0</v>
      </c>
      <c r="F1889" s="12">
        <f>[2]Trucks!E1886</f>
        <v>0</v>
      </c>
      <c r="G1889" s="56">
        <f>[2]Trucks!K1886</f>
        <v>0</v>
      </c>
      <c r="H1889" s="46">
        <f>[2]Trucks!I1886</f>
        <v>0</v>
      </c>
      <c r="I1889" s="83" t="str">
        <f t="shared" si="145"/>
        <v/>
      </c>
      <c r="J1889" s="272" t="str">
        <f>IFERROR(VLOOKUP((D1889&amp;C1889)&amp;"",'[2]Retail Price List'!$C$4:$F$102,3,FALSE),"")</f>
        <v/>
      </c>
      <c r="K1889" s="272">
        <f>IFERROR(IF(BA1889="WIP - 30 Days",VLOOKUP(D1889,[3]Standard!$B$9:$E$101,4,FALSE),IF(BA1889="31-120 Days",VLOOKUP(D1889,[3]Standard!$B$9:$F$101,5,FALSE),IF(BA1889="121-365 Days",VLOOKUP(D1889,[3]Standard!$B$9:$G$101,6,FALSE),VLOOKUP(D1889,[3]Standard!$B$9:$H$101,7,FALSE)))),0)</f>
        <v>0</v>
      </c>
      <c r="L1889" s="272">
        <f>IFERROR(IF(BA1889="WIP - 30 Days",VLOOKUP(D1889,[3]Standard!$B$9:$J$101,9,FALSE),IF(BA1889="31-120 Days",VLOOKUP(D1889,[3]Standard!$B$9:$K$100,10,FALSE),IF(BA1889="121-365 Days",VLOOKUP(D1889,[3]Standard!$B$9:$L$101,11,FALSE),VLOOKUP(D1889,[3]Standard!$B$9:$M$101,12,FALSE)))),0)</f>
        <v>0</v>
      </c>
      <c r="M1889" s="269" t="str">
        <f>IFERROR(VLOOKUP((D1889&amp;C1889)&amp;"",'[2]Retail Price List'!$C$4:$F$102,4,FALSE),"")</f>
        <v/>
      </c>
      <c r="N1889" s="269">
        <f>IFERROR(IF(BA1889="WIP - 30 Days",VLOOKUP(D1889,[3]Extended!$B$9:$E$101,4,FALSE),IF(BA1889="31-120 Days",VLOOKUP(D1889,[3]Extended!$B$9:$F$101,5,FALSE),IF(BA1889="121-365 Days",VLOOKUP(D1889,[3]Extended!$B$9:$G$101,6,FALSE),VLOOKUP(D1889,[3]Extended!$B$9:$H$101,7,FALSE)))),0)</f>
        <v>0</v>
      </c>
      <c r="O1889" s="269">
        <f>IFERROR(IF(BA1889="WIP - 30 Days",VLOOKUP(D1889,[3]Extended!$B$9:$J$101,9,FALSE),IF(BA1889="31-120 Days",VLOOKUP(D1889,[3]Extended!$B$9:$K$101,10,FALSE),IF(BA1889="121-365 Days",VLOOKUP(D1889,[3]Extended!$B$9:$L$101,11,FALSE),VLOOKUP(D1889,[3]Extended!$B$9:$M$101,12,FALSE)))),0)</f>
        <v>0</v>
      </c>
      <c r="P1889" s="116" t="e">
        <f t="shared" si="146"/>
        <v>#VALUE!</v>
      </c>
      <c r="Q1889" s="110" t="e">
        <f>O1889-#REF!</f>
        <v>#REF!</v>
      </c>
      <c r="AT1889" s="88" t="str">
        <f t="shared" si="147"/>
        <v>Special Order0</v>
      </c>
      <c r="AU1889" s="89" t="str">
        <f t="shared" si="148"/>
        <v>01-1900</v>
      </c>
      <c r="BA1889" s="92" t="str">
        <f t="shared" si="149"/>
        <v/>
      </c>
    </row>
    <row r="1890" spans="2:53">
      <c r="B1890" s="60">
        <f>[2]Trucks!A1887</f>
        <v>0</v>
      </c>
      <c r="C1890" s="11">
        <f>[2]Trucks!B1887</f>
        <v>0</v>
      </c>
      <c r="D1890" s="19" t="str">
        <f>IFERROR(VLOOKUP(C1890&amp;"",'[2]Retail Price List'!$A$3:$B$103,2,FALSE),"Special Order")</f>
        <v>Special Order</v>
      </c>
      <c r="E1890" s="18">
        <f>[2]Trucks!J1887</f>
        <v>0</v>
      </c>
      <c r="F1890" s="12">
        <f>[2]Trucks!E1887</f>
        <v>0</v>
      </c>
      <c r="G1890" s="56">
        <f>[2]Trucks!K1887</f>
        <v>0</v>
      </c>
      <c r="H1890" s="46">
        <f>[2]Trucks!I1887</f>
        <v>0</v>
      </c>
      <c r="I1890" s="83" t="str">
        <f t="shared" si="145"/>
        <v/>
      </c>
      <c r="J1890" s="272" t="str">
        <f>IFERROR(VLOOKUP((D1890&amp;C1890)&amp;"",'[2]Retail Price List'!$C$4:$F$102,3,FALSE),"")</f>
        <v/>
      </c>
      <c r="K1890" s="272">
        <f>IFERROR(IF(BA1890="WIP - 30 Days",VLOOKUP(D1890,[3]Standard!$B$9:$E$101,4,FALSE),IF(BA1890="31-120 Days",VLOOKUP(D1890,[3]Standard!$B$9:$F$101,5,FALSE),IF(BA1890="121-365 Days",VLOOKUP(D1890,[3]Standard!$B$9:$G$101,6,FALSE),VLOOKUP(D1890,[3]Standard!$B$9:$H$101,7,FALSE)))),0)</f>
        <v>0</v>
      </c>
      <c r="L1890" s="272">
        <f>IFERROR(IF(BA1890="WIP - 30 Days",VLOOKUP(D1890,[3]Standard!$B$9:$J$101,9,FALSE),IF(BA1890="31-120 Days",VLOOKUP(D1890,[3]Standard!$B$9:$K$100,10,FALSE),IF(BA1890="121-365 Days",VLOOKUP(D1890,[3]Standard!$B$9:$L$101,11,FALSE),VLOOKUP(D1890,[3]Standard!$B$9:$M$101,12,FALSE)))),0)</f>
        <v>0</v>
      </c>
      <c r="M1890" s="269" t="str">
        <f>IFERROR(VLOOKUP((D1890&amp;C1890)&amp;"",'[2]Retail Price List'!$C$4:$F$102,4,FALSE),"")</f>
        <v/>
      </c>
      <c r="N1890" s="269">
        <f>IFERROR(IF(BA1890="WIP - 30 Days",VLOOKUP(D1890,[3]Extended!$B$9:$E$101,4,FALSE),IF(BA1890="31-120 Days",VLOOKUP(D1890,[3]Extended!$B$9:$F$101,5,FALSE),IF(BA1890="121-365 Days",VLOOKUP(D1890,[3]Extended!$B$9:$G$101,6,FALSE),VLOOKUP(D1890,[3]Extended!$B$9:$H$101,7,FALSE)))),0)</f>
        <v>0</v>
      </c>
      <c r="O1890" s="269">
        <f>IFERROR(IF(BA1890="WIP - 30 Days",VLOOKUP(D1890,[3]Extended!$B$9:$J$101,9,FALSE),IF(BA1890="31-120 Days",VLOOKUP(D1890,[3]Extended!$B$9:$K$101,10,FALSE),IF(BA1890="121-365 Days",VLOOKUP(D1890,[3]Extended!$B$9:$L$101,11,FALSE),VLOOKUP(D1890,[3]Extended!$B$9:$M$101,12,FALSE)))),0)</f>
        <v>0</v>
      </c>
      <c r="P1890" s="116" t="e">
        <f t="shared" si="146"/>
        <v>#VALUE!</v>
      </c>
      <c r="Q1890" s="110" t="e">
        <f>O1890-#REF!</f>
        <v>#REF!</v>
      </c>
      <c r="AT1890" s="88" t="str">
        <f t="shared" si="147"/>
        <v>Special Order0</v>
      </c>
      <c r="AU1890" s="89" t="str">
        <f t="shared" si="148"/>
        <v>01-1900</v>
      </c>
      <c r="BA1890" s="92" t="str">
        <f t="shared" si="149"/>
        <v/>
      </c>
    </row>
    <row r="1891" spans="2:53">
      <c r="B1891" s="60">
        <f>[2]Trucks!A1888</f>
        <v>0</v>
      </c>
      <c r="C1891" s="11">
        <f>[2]Trucks!B1888</f>
        <v>0</v>
      </c>
      <c r="D1891" s="19" t="str">
        <f>IFERROR(VLOOKUP(C1891&amp;"",'[2]Retail Price List'!$A$3:$B$103,2,FALSE),"Special Order")</f>
        <v>Special Order</v>
      </c>
      <c r="E1891" s="18">
        <f>[2]Trucks!J1888</f>
        <v>0</v>
      </c>
      <c r="F1891" s="12">
        <f>[2]Trucks!E1888</f>
        <v>0</v>
      </c>
      <c r="G1891" s="56">
        <f>[2]Trucks!K1888</f>
        <v>0</v>
      </c>
      <c r="H1891" s="46">
        <f>[2]Trucks!I1888</f>
        <v>0</v>
      </c>
      <c r="I1891" s="83" t="str">
        <f t="shared" si="145"/>
        <v/>
      </c>
      <c r="J1891" s="272" t="str">
        <f>IFERROR(VLOOKUP((D1891&amp;C1891)&amp;"",'[2]Retail Price List'!$C$4:$F$102,3,FALSE),"")</f>
        <v/>
      </c>
      <c r="K1891" s="272">
        <f>IFERROR(IF(BA1891="WIP - 30 Days",VLOOKUP(D1891,[3]Standard!$B$9:$E$101,4,FALSE),IF(BA1891="31-120 Days",VLOOKUP(D1891,[3]Standard!$B$9:$F$101,5,FALSE),IF(BA1891="121-365 Days",VLOOKUP(D1891,[3]Standard!$B$9:$G$101,6,FALSE),VLOOKUP(D1891,[3]Standard!$B$9:$H$101,7,FALSE)))),0)</f>
        <v>0</v>
      </c>
      <c r="L1891" s="272">
        <f>IFERROR(IF(BA1891="WIP - 30 Days",VLOOKUP(D1891,[3]Standard!$B$9:$J$101,9,FALSE),IF(BA1891="31-120 Days",VLOOKUP(D1891,[3]Standard!$B$9:$K$100,10,FALSE),IF(BA1891="121-365 Days",VLOOKUP(D1891,[3]Standard!$B$9:$L$101,11,FALSE),VLOOKUP(D1891,[3]Standard!$B$9:$M$101,12,FALSE)))),0)</f>
        <v>0</v>
      </c>
      <c r="M1891" s="269" t="str">
        <f>IFERROR(VLOOKUP((D1891&amp;C1891)&amp;"",'[2]Retail Price List'!$C$4:$F$102,4,FALSE),"")</f>
        <v/>
      </c>
      <c r="N1891" s="269">
        <f>IFERROR(IF(BA1891="WIP - 30 Days",VLOOKUP(D1891,[3]Extended!$B$9:$E$101,4,FALSE),IF(BA1891="31-120 Days",VLOOKUP(D1891,[3]Extended!$B$9:$F$101,5,FALSE),IF(BA1891="121-365 Days",VLOOKUP(D1891,[3]Extended!$B$9:$G$101,6,FALSE),VLOOKUP(D1891,[3]Extended!$B$9:$H$101,7,FALSE)))),0)</f>
        <v>0</v>
      </c>
      <c r="O1891" s="269">
        <f>IFERROR(IF(BA1891="WIP - 30 Days",VLOOKUP(D1891,[3]Extended!$B$9:$J$101,9,FALSE),IF(BA1891="31-120 Days",VLOOKUP(D1891,[3]Extended!$B$9:$K$101,10,FALSE),IF(BA1891="121-365 Days",VLOOKUP(D1891,[3]Extended!$B$9:$L$101,11,FALSE),VLOOKUP(D1891,[3]Extended!$B$9:$M$101,12,FALSE)))),0)</f>
        <v>0</v>
      </c>
      <c r="P1891" s="116" t="e">
        <f t="shared" si="146"/>
        <v>#VALUE!</v>
      </c>
      <c r="Q1891" s="110" t="e">
        <f>O1891-#REF!</f>
        <v>#REF!</v>
      </c>
      <c r="AT1891" s="88" t="str">
        <f t="shared" si="147"/>
        <v>Special Order0</v>
      </c>
      <c r="AU1891" s="89" t="str">
        <f t="shared" si="148"/>
        <v>01-1900</v>
      </c>
      <c r="BA1891" s="92" t="str">
        <f t="shared" si="149"/>
        <v/>
      </c>
    </row>
    <row r="1892" spans="2:53">
      <c r="B1892" s="60">
        <f>[2]Trucks!A1889</f>
        <v>0</v>
      </c>
      <c r="C1892" s="11">
        <f>[2]Trucks!B1889</f>
        <v>0</v>
      </c>
      <c r="D1892" s="19" t="str">
        <f>IFERROR(VLOOKUP(C1892&amp;"",'[2]Retail Price List'!$A$3:$B$103,2,FALSE),"Special Order")</f>
        <v>Special Order</v>
      </c>
      <c r="E1892" s="18">
        <f>[2]Trucks!J1889</f>
        <v>0</v>
      </c>
      <c r="F1892" s="12">
        <f>[2]Trucks!E1889</f>
        <v>0</v>
      </c>
      <c r="G1892" s="56">
        <f>[2]Trucks!K1889</f>
        <v>0</v>
      </c>
      <c r="H1892" s="46">
        <f>[2]Trucks!I1889</f>
        <v>0</v>
      </c>
      <c r="I1892" s="83" t="str">
        <f t="shared" si="145"/>
        <v/>
      </c>
      <c r="J1892" s="272" t="str">
        <f>IFERROR(VLOOKUP((D1892&amp;C1892)&amp;"",'[2]Retail Price List'!$C$4:$F$102,3,FALSE),"")</f>
        <v/>
      </c>
      <c r="K1892" s="272">
        <f>IFERROR(IF(BA1892="WIP - 30 Days",VLOOKUP(D1892,[3]Standard!$B$9:$E$101,4,FALSE),IF(BA1892="31-120 Days",VLOOKUP(D1892,[3]Standard!$B$9:$F$101,5,FALSE),IF(BA1892="121-365 Days",VLOOKUP(D1892,[3]Standard!$B$9:$G$101,6,FALSE),VLOOKUP(D1892,[3]Standard!$B$9:$H$101,7,FALSE)))),0)</f>
        <v>0</v>
      </c>
      <c r="L1892" s="272">
        <f>IFERROR(IF(BA1892="WIP - 30 Days",VLOOKUP(D1892,[3]Standard!$B$9:$J$101,9,FALSE),IF(BA1892="31-120 Days",VLOOKUP(D1892,[3]Standard!$B$9:$K$100,10,FALSE),IF(BA1892="121-365 Days",VLOOKUP(D1892,[3]Standard!$B$9:$L$101,11,FALSE),VLOOKUP(D1892,[3]Standard!$B$9:$M$101,12,FALSE)))),0)</f>
        <v>0</v>
      </c>
      <c r="M1892" s="269" t="str">
        <f>IFERROR(VLOOKUP((D1892&amp;C1892)&amp;"",'[2]Retail Price List'!$C$4:$F$102,4,FALSE),"")</f>
        <v/>
      </c>
      <c r="N1892" s="269">
        <f>IFERROR(IF(BA1892="WIP - 30 Days",VLOOKUP(D1892,[3]Extended!$B$9:$E$101,4,FALSE),IF(BA1892="31-120 Days",VLOOKUP(D1892,[3]Extended!$B$9:$F$101,5,FALSE),IF(BA1892="121-365 Days",VLOOKUP(D1892,[3]Extended!$B$9:$G$101,6,FALSE),VLOOKUP(D1892,[3]Extended!$B$9:$H$101,7,FALSE)))),0)</f>
        <v>0</v>
      </c>
      <c r="O1892" s="269">
        <f>IFERROR(IF(BA1892="WIP - 30 Days",VLOOKUP(D1892,[3]Extended!$B$9:$J$101,9,FALSE),IF(BA1892="31-120 Days",VLOOKUP(D1892,[3]Extended!$B$9:$K$101,10,FALSE),IF(BA1892="121-365 Days",VLOOKUP(D1892,[3]Extended!$B$9:$L$101,11,FALSE),VLOOKUP(D1892,[3]Extended!$B$9:$M$101,12,FALSE)))),0)</f>
        <v>0</v>
      </c>
      <c r="P1892" s="116" t="e">
        <f t="shared" si="146"/>
        <v>#VALUE!</v>
      </c>
      <c r="Q1892" s="110" t="e">
        <f>O1892-#REF!</f>
        <v>#REF!</v>
      </c>
      <c r="AT1892" s="88" t="str">
        <f t="shared" si="147"/>
        <v>Special Order0</v>
      </c>
      <c r="AU1892" s="89" t="str">
        <f t="shared" si="148"/>
        <v>01-1900</v>
      </c>
      <c r="BA1892" s="92" t="str">
        <f t="shared" si="149"/>
        <v/>
      </c>
    </row>
    <row r="1893" spans="2:53">
      <c r="B1893" s="60">
        <f>[2]Trucks!A1890</f>
        <v>0</v>
      </c>
      <c r="C1893" s="11">
        <f>[2]Trucks!B1890</f>
        <v>0</v>
      </c>
      <c r="D1893" s="19" t="str">
        <f>IFERROR(VLOOKUP(C1893&amp;"",'[2]Retail Price List'!$A$3:$B$103,2,FALSE),"Special Order")</f>
        <v>Special Order</v>
      </c>
      <c r="E1893" s="18">
        <f>[2]Trucks!J1890</f>
        <v>0</v>
      </c>
      <c r="F1893" s="12">
        <f>[2]Trucks!E1890</f>
        <v>0</v>
      </c>
      <c r="G1893" s="56">
        <f>[2]Trucks!K1890</f>
        <v>0</v>
      </c>
      <c r="H1893" s="46">
        <f>[2]Trucks!I1890</f>
        <v>0</v>
      </c>
      <c r="I1893" s="83" t="str">
        <f t="shared" si="145"/>
        <v/>
      </c>
      <c r="J1893" s="272" t="str">
        <f>IFERROR(VLOOKUP((D1893&amp;C1893)&amp;"",'[2]Retail Price List'!$C$4:$F$102,3,FALSE),"")</f>
        <v/>
      </c>
      <c r="K1893" s="272">
        <f>IFERROR(IF(BA1893="WIP - 30 Days",VLOOKUP(D1893,[3]Standard!$B$9:$E$101,4,FALSE),IF(BA1893="31-120 Days",VLOOKUP(D1893,[3]Standard!$B$9:$F$101,5,FALSE),IF(BA1893="121-365 Days",VLOOKUP(D1893,[3]Standard!$B$9:$G$101,6,FALSE),VLOOKUP(D1893,[3]Standard!$B$9:$H$101,7,FALSE)))),0)</f>
        <v>0</v>
      </c>
      <c r="L1893" s="272">
        <f>IFERROR(IF(BA1893="WIP - 30 Days",VLOOKUP(D1893,[3]Standard!$B$9:$J$101,9,FALSE),IF(BA1893="31-120 Days",VLOOKUP(D1893,[3]Standard!$B$9:$K$100,10,FALSE),IF(BA1893="121-365 Days",VLOOKUP(D1893,[3]Standard!$B$9:$L$101,11,FALSE),VLOOKUP(D1893,[3]Standard!$B$9:$M$101,12,FALSE)))),0)</f>
        <v>0</v>
      </c>
      <c r="M1893" s="269" t="str">
        <f>IFERROR(VLOOKUP((D1893&amp;C1893)&amp;"",'[2]Retail Price List'!$C$4:$F$102,4,FALSE),"")</f>
        <v/>
      </c>
      <c r="N1893" s="269">
        <f>IFERROR(IF(BA1893="WIP - 30 Days",VLOOKUP(D1893,[3]Extended!$B$9:$E$101,4,FALSE),IF(BA1893="31-120 Days",VLOOKUP(D1893,[3]Extended!$B$9:$F$101,5,FALSE),IF(BA1893="121-365 Days",VLOOKUP(D1893,[3]Extended!$B$9:$G$101,6,FALSE),VLOOKUP(D1893,[3]Extended!$B$9:$H$101,7,FALSE)))),0)</f>
        <v>0</v>
      </c>
      <c r="O1893" s="269">
        <f>IFERROR(IF(BA1893="WIP - 30 Days",VLOOKUP(D1893,[3]Extended!$B$9:$J$101,9,FALSE),IF(BA1893="31-120 Days",VLOOKUP(D1893,[3]Extended!$B$9:$K$101,10,FALSE),IF(BA1893="121-365 Days",VLOOKUP(D1893,[3]Extended!$B$9:$L$101,11,FALSE),VLOOKUP(D1893,[3]Extended!$B$9:$M$101,12,FALSE)))),0)</f>
        <v>0</v>
      </c>
      <c r="P1893" s="116" t="e">
        <f t="shared" si="146"/>
        <v>#VALUE!</v>
      </c>
      <c r="Q1893" s="110" t="e">
        <f>O1893-#REF!</f>
        <v>#REF!</v>
      </c>
      <c r="AT1893" s="88" t="str">
        <f t="shared" si="147"/>
        <v>Special Order0</v>
      </c>
      <c r="AU1893" s="89" t="str">
        <f t="shared" si="148"/>
        <v>01-1900</v>
      </c>
      <c r="BA1893" s="92" t="str">
        <f t="shared" si="149"/>
        <v/>
      </c>
    </row>
    <row r="1894" spans="2:53">
      <c r="B1894" s="60">
        <f>[2]Trucks!A1891</f>
        <v>0</v>
      </c>
      <c r="C1894" s="11">
        <f>[2]Trucks!B1891</f>
        <v>0</v>
      </c>
      <c r="D1894" s="19" t="str">
        <f>IFERROR(VLOOKUP(C1894&amp;"",'[2]Retail Price List'!$A$3:$B$103,2,FALSE),"Special Order")</f>
        <v>Special Order</v>
      </c>
      <c r="E1894" s="18">
        <f>[2]Trucks!J1891</f>
        <v>0</v>
      </c>
      <c r="F1894" s="12">
        <f>[2]Trucks!E1891</f>
        <v>0</v>
      </c>
      <c r="G1894" s="56">
        <f>[2]Trucks!K1891</f>
        <v>0</v>
      </c>
      <c r="H1894" s="46">
        <f>[2]Trucks!I1891</f>
        <v>0</v>
      </c>
      <c r="I1894" s="83" t="str">
        <f t="shared" si="145"/>
        <v/>
      </c>
      <c r="J1894" s="272" t="str">
        <f>IFERROR(VLOOKUP((D1894&amp;C1894)&amp;"",'[2]Retail Price List'!$C$4:$F$102,3,FALSE),"")</f>
        <v/>
      </c>
      <c r="K1894" s="272">
        <f>IFERROR(IF(BA1894="WIP - 30 Days",VLOOKUP(D1894,[3]Standard!$B$9:$E$101,4,FALSE),IF(BA1894="31-120 Days",VLOOKUP(D1894,[3]Standard!$B$9:$F$101,5,FALSE),IF(BA1894="121-365 Days",VLOOKUP(D1894,[3]Standard!$B$9:$G$101,6,FALSE),VLOOKUP(D1894,[3]Standard!$B$9:$H$101,7,FALSE)))),0)</f>
        <v>0</v>
      </c>
      <c r="L1894" s="272">
        <f>IFERROR(IF(BA1894="WIP - 30 Days",VLOOKUP(D1894,[3]Standard!$B$9:$J$101,9,FALSE),IF(BA1894="31-120 Days",VLOOKUP(D1894,[3]Standard!$B$9:$K$100,10,FALSE),IF(BA1894="121-365 Days",VLOOKUP(D1894,[3]Standard!$B$9:$L$101,11,FALSE),VLOOKUP(D1894,[3]Standard!$B$9:$M$101,12,FALSE)))),0)</f>
        <v>0</v>
      </c>
      <c r="M1894" s="269" t="str">
        <f>IFERROR(VLOOKUP((D1894&amp;C1894)&amp;"",'[2]Retail Price List'!$C$4:$F$102,4,FALSE),"")</f>
        <v/>
      </c>
      <c r="N1894" s="269">
        <f>IFERROR(IF(BA1894="WIP - 30 Days",VLOOKUP(D1894,[3]Extended!$B$9:$E$101,4,FALSE),IF(BA1894="31-120 Days",VLOOKUP(D1894,[3]Extended!$B$9:$F$101,5,FALSE),IF(BA1894="121-365 Days",VLOOKUP(D1894,[3]Extended!$B$9:$G$101,6,FALSE),VLOOKUP(D1894,[3]Extended!$B$9:$H$101,7,FALSE)))),0)</f>
        <v>0</v>
      </c>
      <c r="O1894" s="269">
        <f>IFERROR(IF(BA1894="WIP - 30 Days",VLOOKUP(D1894,[3]Extended!$B$9:$J$101,9,FALSE),IF(BA1894="31-120 Days",VLOOKUP(D1894,[3]Extended!$B$9:$K$101,10,FALSE),IF(BA1894="121-365 Days",VLOOKUP(D1894,[3]Extended!$B$9:$L$101,11,FALSE),VLOOKUP(D1894,[3]Extended!$B$9:$M$101,12,FALSE)))),0)</f>
        <v>0</v>
      </c>
      <c r="P1894" s="116" t="e">
        <f t="shared" si="146"/>
        <v>#VALUE!</v>
      </c>
      <c r="Q1894" s="110" t="e">
        <f>O1894-#REF!</f>
        <v>#REF!</v>
      </c>
      <c r="AT1894" s="88" t="str">
        <f t="shared" si="147"/>
        <v>Special Order0</v>
      </c>
      <c r="AU1894" s="89" t="str">
        <f t="shared" si="148"/>
        <v>01-1900</v>
      </c>
      <c r="BA1894" s="92" t="str">
        <f t="shared" si="149"/>
        <v/>
      </c>
    </row>
    <row r="1895" spans="2:53">
      <c r="B1895" s="60">
        <f>[2]Trucks!A1892</f>
        <v>0</v>
      </c>
      <c r="C1895" s="11">
        <f>[2]Trucks!B1892</f>
        <v>0</v>
      </c>
      <c r="D1895" s="19" t="str">
        <f>IFERROR(VLOOKUP(C1895&amp;"",'[2]Retail Price List'!$A$3:$B$103,2,FALSE),"Special Order")</f>
        <v>Special Order</v>
      </c>
      <c r="E1895" s="18">
        <f>[2]Trucks!J1892</f>
        <v>0</v>
      </c>
      <c r="F1895" s="12">
        <f>[2]Trucks!E1892</f>
        <v>0</v>
      </c>
      <c r="G1895" s="56">
        <f>[2]Trucks!K1892</f>
        <v>0</v>
      </c>
      <c r="H1895" s="46">
        <f>[2]Trucks!I1892</f>
        <v>0</v>
      </c>
      <c r="I1895" s="83" t="str">
        <f t="shared" si="145"/>
        <v/>
      </c>
      <c r="J1895" s="272" t="str">
        <f>IFERROR(VLOOKUP((D1895&amp;C1895)&amp;"",'[2]Retail Price List'!$C$4:$F$102,3,FALSE),"")</f>
        <v/>
      </c>
      <c r="K1895" s="272">
        <f>IFERROR(IF(BA1895="WIP - 30 Days",VLOOKUP(D1895,[3]Standard!$B$9:$E$101,4,FALSE),IF(BA1895="31-120 Days",VLOOKUP(D1895,[3]Standard!$B$9:$F$101,5,FALSE),IF(BA1895="121-365 Days",VLOOKUP(D1895,[3]Standard!$B$9:$G$101,6,FALSE),VLOOKUP(D1895,[3]Standard!$B$9:$H$101,7,FALSE)))),0)</f>
        <v>0</v>
      </c>
      <c r="L1895" s="272">
        <f>IFERROR(IF(BA1895="WIP - 30 Days",VLOOKUP(D1895,[3]Standard!$B$9:$J$101,9,FALSE),IF(BA1895="31-120 Days",VLOOKUP(D1895,[3]Standard!$B$9:$K$100,10,FALSE),IF(BA1895="121-365 Days",VLOOKUP(D1895,[3]Standard!$B$9:$L$101,11,FALSE),VLOOKUP(D1895,[3]Standard!$B$9:$M$101,12,FALSE)))),0)</f>
        <v>0</v>
      </c>
      <c r="M1895" s="269" t="str">
        <f>IFERROR(VLOOKUP((D1895&amp;C1895)&amp;"",'[2]Retail Price List'!$C$4:$F$102,4,FALSE),"")</f>
        <v/>
      </c>
      <c r="N1895" s="269">
        <f>IFERROR(IF(BA1895="WIP - 30 Days",VLOOKUP(D1895,[3]Extended!$B$9:$E$101,4,FALSE),IF(BA1895="31-120 Days",VLOOKUP(D1895,[3]Extended!$B$9:$F$101,5,FALSE),IF(BA1895="121-365 Days",VLOOKUP(D1895,[3]Extended!$B$9:$G$101,6,FALSE),VLOOKUP(D1895,[3]Extended!$B$9:$H$101,7,FALSE)))),0)</f>
        <v>0</v>
      </c>
      <c r="O1895" s="269">
        <f>IFERROR(IF(BA1895="WIP - 30 Days",VLOOKUP(D1895,[3]Extended!$B$9:$J$101,9,FALSE),IF(BA1895="31-120 Days",VLOOKUP(D1895,[3]Extended!$B$9:$K$101,10,FALSE),IF(BA1895="121-365 Days",VLOOKUP(D1895,[3]Extended!$B$9:$L$101,11,FALSE),VLOOKUP(D1895,[3]Extended!$B$9:$M$101,12,FALSE)))),0)</f>
        <v>0</v>
      </c>
      <c r="P1895" s="116" t="e">
        <f t="shared" si="146"/>
        <v>#VALUE!</v>
      </c>
      <c r="Q1895" s="110" t="e">
        <f>O1895-#REF!</f>
        <v>#REF!</v>
      </c>
      <c r="AT1895" s="88" t="str">
        <f t="shared" si="147"/>
        <v>Special Order0</v>
      </c>
      <c r="AU1895" s="89" t="str">
        <f t="shared" si="148"/>
        <v>01-1900</v>
      </c>
      <c r="BA1895" s="92" t="str">
        <f t="shared" si="149"/>
        <v/>
      </c>
    </row>
    <row r="1896" spans="2:53">
      <c r="B1896" s="60">
        <f>[2]Trucks!A1893</f>
        <v>0</v>
      </c>
      <c r="C1896" s="11">
        <f>[2]Trucks!B1893</f>
        <v>0</v>
      </c>
      <c r="D1896" s="19" t="str">
        <f>IFERROR(VLOOKUP(C1896&amp;"",'[2]Retail Price List'!$A$3:$B$103,2,FALSE),"Special Order")</f>
        <v>Special Order</v>
      </c>
      <c r="E1896" s="18">
        <f>[2]Trucks!J1893</f>
        <v>0</v>
      </c>
      <c r="F1896" s="12">
        <f>[2]Trucks!E1893</f>
        <v>0</v>
      </c>
      <c r="G1896" s="56">
        <f>[2]Trucks!K1893</f>
        <v>0</v>
      </c>
      <c r="H1896" s="46">
        <f>[2]Trucks!I1893</f>
        <v>0</v>
      </c>
      <c r="I1896" s="83" t="str">
        <f t="shared" si="145"/>
        <v/>
      </c>
      <c r="J1896" s="272" t="str">
        <f>IFERROR(VLOOKUP((D1896&amp;C1896)&amp;"",'[2]Retail Price List'!$C$4:$F$102,3,FALSE),"")</f>
        <v/>
      </c>
      <c r="K1896" s="272">
        <f>IFERROR(IF(BA1896="WIP - 30 Days",VLOOKUP(D1896,[3]Standard!$B$9:$E$101,4,FALSE),IF(BA1896="31-120 Days",VLOOKUP(D1896,[3]Standard!$B$9:$F$101,5,FALSE),IF(BA1896="121-365 Days",VLOOKUP(D1896,[3]Standard!$B$9:$G$101,6,FALSE),VLOOKUP(D1896,[3]Standard!$B$9:$H$101,7,FALSE)))),0)</f>
        <v>0</v>
      </c>
      <c r="L1896" s="272">
        <f>IFERROR(IF(BA1896="WIP - 30 Days",VLOOKUP(D1896,[3]Standard!$B$9:$J$101,9,FALSE),IF(BA1896="31-120 Days",VLOOKUP(D1896,[3]Standard!$B$9:$K$100,10,FALSE),IF(BA1896="121-365 Days",VLOOKUP(D1896,[3]Standard!$B$9:$L$101,11,FALSE),VLOOKUP(D1896,[3]Standard!$B$9:$M$101,12,FALSE)))),0)</f>
        <v>0</v>
      </c>
      <c r="M1896" s="269" t="str">
        <f>IFERROR(VLOOKUP((D1896&amp;C1896)&amp;"",'[2]Retail Price List'!$C$4:$F$102,4,FALSE),"")</f>
        <v/>
      </c>
      <c r="N1896" s="269">
        <f>IFERROR(IF(BA1896="WIP - 30 Days",VLOOKUP(D1896,[3]Extended!$B$9:$E$101,4,FALSE),IF(BA1896="31-120 Days",VLOOKUP(D1896,[3]Extended!$B$9:$F$101,5,FALSE),IF(BA1896="121-365 Days",VLOOKUP(D1896,[3]Extended!$B$9:$G$101,6,FALSE),VLOOKUP(D1896,[3]Extended!$B$9:$H$101,7,FALSE)))),0)</f>
        <v>0</v>
      </c>
      <c r="O1896" s="269">
        <f>IFERROR(IF(BA1896="WIP - 30 Days",VLOOKUP(D1896,[3]Extended!$B$9:$J$101,9,FALSE),IF(BA1896="31-120 Days",VLOOKUP(D1896,[3]Extended!$B$9:$K$101,10,FALSE),IF(BA1896="121-365 Days",VLOOKUP(D1896,[3]Extended!$B$9:$L$101,11,FALSE),VLOOKUP(D1896,[3]Extended!$B$9:$M$101,12,FALSE)))),0)</f>
        <v>0</v>
      </c>
      <c r="P1896" s="116" t="e">
        <f t="shared" si="146"/>
        <v>#VALUE!</v>
      </c>
      <c r="Q1896" s="110" t="e">
        <f>O1896-#REF!</f>
        <v>#REF!</v>
      </c>
      <c r="AT1896" s="88" t="str">
        <f t="shared" si="147"/>
        <v>Special Order0</v>
      </c>
      <c r="AU1896" s="89" t="str">
        <f t="shared" si="148"/>
        <v>01-1900</v>
      </c>
      <c r="BA1896" s="92" t="str">
        <f t="shared" si="149"/>
        <v/>
      </c>
    </row>
    <row r="1897" spans="2:53">
      <c r="B1897" s="60">
        <f>[2]Trucks!A1894</f>
        <v>0</v>
      </c>
      <c r="C1897" s="11">
        <f>[2]Trucks!B1894</f>
        <v>0</v>
      </c>
      <c r="D1897" s="19" t="str">
        <f>IFERROR(VLOOKUP(C1897&amp;"",'[2]Retail Price List'!$A$3:$B$103,2,FALSE),"Special Order")</f>
        <v>Special Order</v>
      </c>
      <c r="E1897" s="18">
        <f>[2]Trucks!J1894</f>
        <v>0</v>
      </c>
      <c r="F1897" s="12">
        <f>[2]Trucks!E1894</f>
        <v>0</v>
      </c>
      <c r="G1897" s="56">
        <f>[2]Trucks!K1894</f>
        <v>0</v>
      </c>
      <c r="H1897" s="46">
        <f>[2]Trucks!I1894</f>
        <v>0</v>
      </c>
      <c r="I1897" s="83" t="str">
        <f t="shared" si="145"/>
        <v/>
      </c>
      <c r="J1897" s="272" t="str">
        <f>IFERROR(VLOOKUP((D1897&amp;C1897)&amp;"",'[2]Retail Price List'!$C$4:$F$102,3,FALSE),"")</f>
        <v/>
      </c>
      <c r="K1897" s="272">
        <f>IFERROR(IF(BA1897="WIP - 30 Days",VLOOKUP(D1897,[3]Standard!$B$9:$E$101,4,FALSE),IF(BA1897="31-120 Days",VLOOKUP(D1897,[3]Standard!$B$9:$F$101,5,FALSE),IF(BA1897="121-365 Days",VLOOKUP(D1897,[3]Standard!$B$9:$G$101,6,FALSE),VLOOKUP(D1897,[3]Standard!$B$9:$H$101,7,FALSE)))),0)</f>
        <v>0</v>
      </c>
      <c r="L1897" s="272">
        <f>IFERROR(IF(BA1897="WIP - 30 Days",VLOOKUP(D1897,[3]Standard!$B$9:$J$101,9,FALSE),IF(BA1897="31-120 Days",VLOOKUP(D1897,[3]Standard!$B$9:$K$100,10,FALSE),IF(BA1897="121-365 Days",VLOOKUP(D1897,[3]Standard!$B$9:$L$101,11,FALSE),VLOOKUP(D1897,[3]Standard!$B$9:$M$101,12,FALSE)))),0)</f>
        <v>0</v>
      </c>
      <c r="M1897" s="269" t="str">
        <f>IFERROR(VLOOKUP((D1897&amp;C1897)&amp;"",'[2]Retail Price List'!$C$4:$F$102,4,FALSE),"")</f>
        <v/>
      </c>
      <c r="N1897" s="269">
        <f>IFERROR(IF(BA1897="WIP - 30 Days",VLOOKUP(D1897,[3]Extended!$B$9:$E$101,4,FALSE),IF(BA1897="31-120 Days",VLOOKUP(D1897,[3]Extended!$B$9:$F$101,5,FALSE),IF(BA1897="121-365 Days",VLOOKUP(D1897,[3]Extended!$B$9:$G$101,6,FALSE),VLOOKUP(D1897,[3]Extended!$B$9:$H$101,7,FALSE)))),0)</f>
        <v>0</v>
      </c>
      <c r="O1897" s="269">
        <f>IFERROR(IF(BA1897="WIP - 30 Days",VLOOKUP(D1897,[3]Extended!$B$9:$J$101,9,FALSE),IF(BA1897="31-120 Days",VLOOKUP(D1897,[3]Extended!$B$9:$K$101,10,FALSE),IF(BA1897="121-365 Days",VLOOKUP(D1897,[3]Extended!$B$9:$L$101,11,FALSE),VLOOKUP(D1897,[3]Extended!$B$9:$M$101,12,FALSE)))),0)</f>
        <v>0</v>
      </c>
      <c r="P1897" s="116" t="e">
        <f t="shared" si="146"/>
        <v>#VALUE!</v>
      </c>
      <c r="Q1897" s="110" t="e">
        <f>O1897-#REF!</f>
        <v>#REF!</v>
      </c>
      <c r="AT1897" s="88" t="str">
        <f t="shared" si="147"/>
        <v>Special Order0</v>
      </c>
      <c r="AU1897" s="89" t="str">
        <f t="shared" si="148"/>
        <v>01-1900</v>
      </c>
      <c r="BA1897" s="92" t="str">
        <f t="shared" si="149"/>
        <v/>
      </c>
    </row>
    <row r="1898" spans="2:53">
      <c r="B1898" s="60">
        <f>[2]Trucks!A1895</f>
        <v>0</v>
      </c>
      <c r="C1898" s="11">
        <f>[2]Trucks!B1895</f>
        <v>0</v>
      </c>
      <c r="D1898" s="19" t="str">
        <f>IFERROR(VLOOKUP(C1898&amp;"",'[2]Retail Price List'!$A$3:$B$103,2,FALSE),"Special Order")</f>
        <v>Special Order</v>
      </c>
      <c r="E1898" s="18">
        <f>[2]Trucks!J1895</f>
        <v>0</v>
      </c>
      <c r="F1898" s="12">
        <f>[2]Trucks!E1895</f>
        <v>0</v>
      </c>
      <c r="G1898" s="56">
        <f>[2]Trucks!K1895</f>
        <v>0</v>
      </c>
      <c r="H1898" s="46">
        <f>[2]Trucks!I1895</f>
        <v>0</v>
      </c>
      <c r="I1898" s="83" t="str">
        <f t="shared" si="145"/>
        <v/>
      </c>
      <c r="J1898" s="272" t="str">
        <f>IFERROR(VLOOKUP((D1898&amp;C1898)&amp;"",'[2]Retail Price List'!$C$4:$F$102,3,FALSE),"")</f>
        <v/>
      </c>
      <c r="K1898" s="272">
        <f>IFERROR(IF(BA1898="WIP - 30 Days",VLOOKUP(D1898,[3]Standard!$B$9:$E$101,4,FALSE),IF(BA1898="31-120 Days",VLOOKUP(D1898,[3]Standard!$B$9:$F$101,5,FALSE),IF(BA1898="121-365 Days",VLOOKUP(D1898,[3]Standard!$B$9:$G$101,6,FALSE),VLOOKUP(D1898,[3]Standard!$B$9:$H$101,7,FALSE)))),0)</f>
        <v>0</v>
      </c>
      <c r="L1898" s="272">
        <f>IFERROR(IF(BA1898="WIP - 30 Days",VLOOKUP(D1898,[3]Standard!$B$9:$J$101,9,FALSE),IF(BA1898="31-120 Days",VLOOKUP(D1898,[3]Standard!$B$9:$K$100,10,FALSE),IF(BA1898="121-365 Days",VLOOKUP(D1898,[3]Standard!$B$9:$L$101,11,FALSE),VLOOKUP(D1898,[3]Standard!$B$9:$M$101,12,FALSE)))),0)</f>
        <v>0</v>
      </c>
      <c r="M1898" s="269" t="str">
        <f>IFERROR(VLOOKUP((D1898&amp;C1898)&amp;"",'[2]Retail Price List'!$C$4:$F$102,4,FALSE),"")</f>
        <v/>
      </c>
      <c r="N1898" s="269">
        <f>IFERROR(IF(BA1898="WIP - 30 Days",VLOOKUP(D1898,[3]Extended!$B$9:$E$101,4,FALSE),IF(BA1898="31-120 Days",VLOOKUP(D1898,[3]Extended!$B$9:$F$101,5,FALSE),IF(BA1898="121-365 Days",VLOOKUP(D1898,[3]Extended!$B$9:$G$101,6,FALSE),VLOOKUP(D1898,[3]Extended!$B$9:$H$101,7,FALSE)))),0)</f>
        <v>0</v>
      </c>
      <c r="O1898" s="269">
        <f>IFERROR(IF(BA1898="WIP - 30 Days",VLOOKUP(D1898,[3]Extended!$B$9:$J$101,9,FALSE),IF(BA1898="31-120 Days",VLOOKUP(D1898,[3]Extended!$B$9:$K$101,10,FALSE),IF(BA1898="121-365 Days",VLOOKUP(D1898,[3]Extended!$B$9:$L$101,11,FALSE),VLOOKUP(D1898,[3]Extended!$B$9:$M$101,12,FALSE)))),0)</f>
        <v>0</v>
      </c>
      <c r="P1898" s="116" t="e">
        <f t="shared" si="146"/>
        <v>#VALUE!</v>
      </c>
      <c r="Q1898" s="110" t="e">
        <f>O1898-#REF!</f>
        <v>#REF!</v>
      </c>
      <c r="AT1898" s="88" t="str">
        <f t="shared" si="147"/>
        <v>Special Order0</v>
      </c>
      <c r="AU1898" s="89" t="str">
        <f t="shared" si="148"/>
        <v>01-1900</v>
      </c>
      <c r="BA1898" s="92" t="str">
        <f t="shared" si="149"/>
        <v/>
      </c>
    </row>
    <row r="1899" spans="2:53">
      <c r="B1899" s="60">
        <f>[2]Trucks!A1896</f>
        <v>0</v>
      </c>
      <c r="C1899" s="11">
        <f>[2]Trucks!B1896</f>
        <v>0</v>
      </c>
      <c r="D1899" s="19" t="str">
        <f>IFERROR(VLOOKUP(C1899&amp;"",'[2]Retail Price List'!$A$3:$B$103,2,FALSE),"Special Order")</f>
        <v>Special Order</v>
      </c>
      <c r="E1899" s="18">
        <f>[2]Trucks!J1896</f>
        <v>0</v>
      </c>
      <c r="F1899" s="12">
        <f>[2]Trucks!E1896</f>
        <v>0</v>
      </c>
      <c r="G1899" s="56">
        <f>[2]Trucks!K1896</f>
        <v>0</v>
      </c>
      <c r="H1899" s="46">
        <f>[2]Trucks!I1896</f>
        <v>0</v>
      </c>
      <c r="I1899" s="83" t="str">
        <f t="shared" si="145"/>
        <v/>
      </c>
      <c r="J1899" s="272" t="str">
        <f>IFERROR(VLOOKUP((D1899&amp;C1899)&amp;"",'[2]Retail Price List'!$C$4:$F$102,3,FALSE),"")</f>
        <v/>
      </c>
      <c r="K1899" s="272">
        <f>IFERROR(IF(BA1899="WIP - 30 Days",VLOOKUP(D1899,[3]Standard!$B$9:$E$101,4,FALSE),IF(BA1899="31-120 Days",VLOOKUP(D1899,[3]Standard!$B$9:$F$101,5,FALSE),IF(BA1899="121-365 Days",VLOOKUP(D1899,[3]Standard!$B$9:$G$101,6,FALSE),VLOOKUP(D1899,[3]Standard!$B$9:$H$101,7,FALSE)))),0)</f>
        <v>0</v>
      </c>
      <c r="L1899" s="272">
        <f>IFERROR(IF(BA1899="WIP - 30 Days",VLOOKUP(D1899,[3]Standard!$B$9:$J$101,9,FALSE),IF(BA1899="31-120 Days",VLOOKUP(D1899,[3]Standard!$B$9:$K$100,10,FALSE),IF(BA1899="121-365 Days",VLOOKUP(D1899,[3]Standard!$B$9:$L$101,11,FALSE),VLOOKUP(D1899,[3]Standard!$B$9:$M$101,12,FALSE)))),0)</f>
        <v>0</v>
      </c>
      <c r="M1899" s="269" t="str">
        <f>IFERROR(VLOOKUP((D1899&amp;C1899)&amp;"",'[2]Retail Price List'!$C$4:$F$102,4,FALSE),"")</f>
        <v/>
      </c>
      <c r="N1899" s="269">
        <f>IFERROR(IF(BA1899="WIP - 30 Days",VLOOKUP(D1899,[3]Extended!$B$9:$E$101,4,FALSE),IF(BA1899="31-120 Days",VLOOKUP(D1899,[3]Extended!$B$9:$F$101,5,FALSE),IF(BA1899="121-365 Days",VLOOKUP(D1899,[3]Extended!$B$9:$G$101,6,FALSE),VLOOKUP(D1899,[3]Extended!$B$9:$H$101,7,FALSE)))),0)</f>
        <v>0</v>
      </c>
      <c r="O1899" s="269">
        <f>IFERROR(IF(BA1899="WIP - 30 Days",VLOOKUP(D1899,[3]Extended!$B$9:$J$101,9,FALSE),IF(BA1899="31-120 Days",VLOOKUP(D1899,[3]Extended!$B$9:$K$101,10,FALSE),IF(BA1899="121-365 Days",VLOOKUP(D1899,[3]Extended!$B$9:$L$101,11,FALSE),VLOOKUP(D1899,[3]Extended!$B$9:$M$101,12,FALSE)))),0)</f>
        <v>0</v>
      </c>
      <c r="P1899" s="116" t="e">
        <f t="shared" si="146"/>
        <v>#VALUE!</v>
      </c>
      <c r="Q1899" s="110" t="e">
        <f>O1899-#REF!</f>
        <v>#REF!</v>
      </c>
      <c r="AT1899" s="88" t="str">
        <f t="shared" si="147"/>
        <v>Special Order0</v>
      </c>
      <c r="AU1899" s="89" t="str">
        <f t="shared" si="148"/>
        <v>01-1900</v>
      </c>
      <c r="BA1899" s="92" t="str">
        <f t="shared" si="149"/>
        <v/>
      </c>
    </row>
    <row r="1900" spans="2:53">
      <c r="B1900" s="60">
        <f>[2]Trucks!A1897</f>
        <v>0</v>
      </c>
      <c r="C1900" s="11">
        <f>[2]Trucks!B1897</f>
        <v>0</v>
      </c>
      <c r="D1900" s="19" t="str">
        <f>IFERROR(VLOOKUP(C1900&amp;"",'[2]Retail Price List'!$A$3:$B$103,2,FALSE),"Special Order")</f>
        <v>Special Order</v>
      </c>
      <c r="E1900" s="18">
        <f>[2]Trucks!J1897</f>
        <v>0</v>
      </c>
      <c r="F1900" s="12">
        <f>[2]Trucks!E1897</f>
        <v>0</v>
      </c>
      <c r="G1900" s="56">
        <f>[2]Trucks!K1897</f>
        <v>0</v>
      </c>
      <c r="H1900" s="46">
        <f>[2]Trucks!I1897</f>
        <v>0</v>
      </c>
      <c r="I1900" s="83" t="str">
        <f t="shared" si="145"/>
        <v/>
      </c>
      <c r="J1900" s="272" t="str">
        <f>IFERROR(VLOOKUP((D1900&amp;C1900)&amp;"",'[2]Retail Price List'!$C$4:$F$102,3,FALSE),"")</f>
        <v/>
      </c>
      <c r="K1900" s="272">
        <f>IFERROR(IF(BA1900="WIP - 30 Days",VLOOKUP(D1900,[3]Standard!$B$9:$E$101,4,FALSE),IF(BA1900="31-120 Days",VLOOKUP(D1900,[3]Standard!$B$9:$F$101,5,FALSE),IF(BA1900="121-365 Days",VLOOKUP(D1900,[3]Standard!$B$9:$G$101,6,FALSE),VLOOKUP(D1900,[3]Standard!$B$9:$H$101,7,FALSE)))),0)</f>
        <v>0</v>
      </c>
      <c r="L1900" s="272">
        <f>IFERROR(IF(BA1900="WIP - 30 Days",VLOOKUP(D1900,[3]Standard!$B$9:$J$101,9,FALSE),IF(BA1900="31-120 Days",VLOOKUP(D1900,[3]Standard!$B$9:$K$100,10,FALSE),IF(BA1900="121-365 Days",VLOOKUP(D1900,[3]Standard!$B$9:$L$101,11,FALSE),VLOOKUP(D1900,[3]Standard!$B$9:$M$101,12,FALSE)))),0)</f>
        <v>0</v>
      </c>
      <c r="M1900" s="269" t="str">
        <f>IFERROR(VLOOKUP((D1900&amp;C1900)&amp;"",'[2]Retail Price List'!$C$4:$F$102,4,FALSE),"")</f>
        <v/>
      </c>
      <c r="N1900" s="269">
        <f>IFERROR(IF(BA1900="WIP - 30 Days",VLOOKUP(D1900,[3]Extended!$B$9:$E$101,4,FALSE),IF(BA1900="31-120 Days",VLOOKUP(D1900,[3]Extended!$B$9:$F$101,5,FALSE),IF(BA1900="121-365 Days",VLOOKUP(D1900,[3]Extended!$B$9:$G$101,6,FALSE),VLOOKUP(D1900,[3]Extended!$B$9:$H$101,7,FALSE)))),0)</f>
        <v>0</v>
      </c>
      <c r="O1900" s="269">
        <f>IFERROR(IF(BA1900="WIP - 30 Days",VLOOKUP(D1900,[3]Extended!$B$9:$J$101,9,FALSE),IF(BA1900="31-120 Days",VLOOKUP(D1900,[3]Extended!$B$9:$K$101,10,FALSE),IF(BA1900="121-365 Days",VLOOKUP(D1900,[3]Extended!$B$9:$L$101,11,FALSE),VLOOKUP(D1900,[3]Extended!$B$9:$M$101,12,FALSE)))),0)</f>
        <v>0</v>
      </c>
      <c r="P1900" s="116" t="e">
        <f t="shared" si="146"/>
        <v>#VALUE!</v>
      </c>
      <c r="Q1900" s="110" t="e">
        <f>O1900-#REF!</f>
        <v>#REF!</v>
      </c>
      <c r="AT1900" s="88" t="str">
        <f t="shared" si="147"/>
        <v>Special Order0</v>
      </c>
      <c r="AU1900" s="89" t="str">
        <f t="shared" si="148"/>
        <v>01-1900</v>
      </c>
      <c r="BA1900" s="92" t="str">
        <f t="shared" si="149"/>
        <v/>
      </c>
    </row>
    <row r="1901" spans="2:53">
      <c r="B1901" s="60">
        <f>[2]Trucks!A1898</f>
        <v>0</v>
      </c>
      <c r="C1901" s="11">
        <f>[2]Trucks!B1898</f>
        <v>0</v>
      </c>
      <c r="D1901" s="19" t="str">
        <f>IFERROR(VLOOKUP(C1901&amp;"",'[2]Retail Price List'!$A$3:$B$103,2,FALSE),"Special Order")</f>
        <v>Special Order</v>
      </c>
      <c r="E1901" s="18">
        <f>[2]Trucks!J1898</f>
        <v>0</v>
      </c>
      <c r="F1901" s="12">
        <f>[2]Trucks!E1898</f>
        <v>0</v>
      </c>
      <c r="G1901" s="56">
        <f>[2]Trucks!K1898</f>
        <v>0</v>
      </c>
      <c r="H1901" s="46">
        <f>[2]Trucks!I1898</f>
        <v>0</v>
      </c>
      <c r="I1901" s="83" t="str">
        <f t="shared" si="145"/>
        <v/>
      </c>
      <c r="J1901" s="272" t="str">
        <f>IFERROR(VLOOKUP((D1901&amp;C1901)&amp;"",'[2]Retail Price List'!$C$4:$F$102,3,FALSE),"")</f>
        <v/>
      </c>
      <c r="K1901" s="272">
        <f>IFERROR(IF(BA1901="WIP - 30 Days",VLOOKUP(D1901,[3]Standard!$B$9:$E$101,4,FALSE),IF(BA1901="31-120 Days",VLOOKUP(D1901,[3]Standard!$B$9:$F$101,5,FALSE),IF(BA1901="121-365 Days",VLOOKUP(D1901,[3]Standard!$B$9:$G$101,6,FALSE),VLOOKUP(D1901,[3]Standard!$B$9:$H$101,7,FALSE)))),0)</f>
        <v>0</v>
      </c>
      <c r="L1901" s="272">
        <f>IFERROR(IF(BA1901="WIP - 30 Days",VLOOKUP(D1901,[3]Standard!$B$9:$J$101,9,FALSE),IF(BA1901="31-120 Days",VLOOKUP(D1901,[3]Standard!$B$9:$K$100,10,FALSE),IF(BA1901="121-365 Days",VLOOKUP(D1901,[3]Standard!$B$9:$L$101,11,FALSE),VLOOKUP(D1901,[3]Standard!$B$9:$M$101,12,FALSE)))),0)</f>
        <v>0</v>
      </c>
      <c r="M1901" s="269" t="str">
        <f>IFERROR(VLOOKUP((D1901&amp;C1901)&amp;"",'[2]Retail Price List'!$C$4:$F$102,4,FALSE),"")</f>
        <v/>
      </c>
      <c r="N1901" s="269">
        <f>IFERROR(IF(BA1901="WIP - 30 Days",VLOOKUP(D1901,[3]Extended!$B$9:$E$101,4,FALSE),IF(BA1901="31-120 Days",VLOOKUP(D1901,[3]Extended!$B$9:$F$101,5,FALSE),IF(BA1901="121-365 Days",VLOOKUP(D1901,[3]Extended!$B$9:$G$101,6,FALSE),VLOOKUP(D1901,[3]Extended!$B$9:$H$101,7,FALSE)))),0)</f>
        <v>0</v>
      </c>
      <c r="O1901" s="269">
        <f>IFERROR(IF(BA1901="WIP - 30 Days",VLOOKUP(D1901,[3]Extended!$B$9:$J$101,9,FALSE),IF(BA1901="31-120 Days",VLOOKUP(D1901,[3]Extended!$B$9:$K$101,10,FALSE),IF(BA1901="121-365 Days",VLOOKUP(D1901,[3]Extended!$B$9:$L$101,11,FALSE),VLOOKUP(D1901,[3]Extended!$B$9:$M$101,12,FALSE)))),0)</f>
        <v>0</v>
      </c>
      <c r="P1901" s="116" t="e">
        <f t="shared" si="146"/>
        <v>#VALUE!</v>
      </c>
      <c r="Q1901" s="110" t="e">
        <f>O1901-#REF!</f>
        <v>#REF!</v>
      </c>
      <c r="AT1901" s="88" t="str">
        <f t="shared" si="147"/>
        <v>Special Order0</v>
      </c>
      <c r="AU1901" s="89" t="str">
        <f t="shared" si="148"/>
        <v>01-1900</v>
      </c>
      <c r="BA1901" s="92" t="str">
        <f t="shared" si="149"/>
        <v/>
      </c>
    </row>
    <row r="1902" spans="2:53">
      <c r="B1902" s="60">
        <f>[2]Trucks!A1899</f>
        <v>0</v>
      </c>
      <c r="C1902" s="11">
        <f>[2]Trucks!B1899</f>
        <v>0</v>
      </c>
      <c r="D1902" s="19" t="str">
        <f>IFERROR(VLOOKUP(C1902&amp;"",'[2]Retail Price List'!$A$3:$B$103,2,FALSE),"Special Order")</f>
        <v>Special Order</v>
      </c>
      <c r="E1902" s="18">
        <f>[2]Trucks!J1899</f>
        <v>0</v>
      </c>
      <c r="F1902" s="12">
        <f>[2]Trucks!E1899</f>
        <v>0</v>
      </c>
      <c r="G1902" s="56">
        <f>[2]Trucks!K1899</f>
        <v>0</v>
      </c>
      <c r="H1902" s="46">
        <f>[2]Trucks!I1899</f>
        <v>0</v>
      </c>
      <c r="I1902" s="83" t="str">
        <f t="shared" si="145"/>
        <v/>
      </c>
      <c r="J1902" s="272" t="str">
        <f>IFERROR(VLOOKUP((D1902&amp;C1902)&amp;"",'[2]Retail Price List'!$C$4:$F$102,3,FALSE),"")</f>
        <v/>
      </c>
      <c r="K1902" s="272">
        <f>IFERROR(IF(BA1902="WIP - 30 Days",VLOOKUP(D1902,[3]Standard!$B$9:$E$101,4,FALSE),IF(BA1902="31-120 Days",VLOOKUP(D1902,[3]Standard!$B$9:$F$101,5,FALSE),IF(BA1902="121-365 Days",VLOOKUP(D1902,[3]Standard!$B$9:$G$101,6,FALSE),VLOOKUP(D1902,[3]Standard!$B$9:$H$101,7,FALSE)))),0)</f>
        <v>0</v>
      </c>
      <c r="L1902" s="272">
        <f>IFERROR(IF(BA1902="WIP - 30 Days",VLOOKUP(D1902,[3]Standard!$B$9:$J$101,9,FALSE),IF(BA1902="31-120 Days",VLOOKUP(D1902,[3]Standard!$B$9:$K$100,10,FALSE),IF(BA1902="121-365 Days",VLOOKUP(D1902,[3]Standard!$B$9:$L$101,11,FALSE),VLOOKUP(D1902,[3]Standard!$B$9:$M$101,12,FALSE)))),0)</f>
        <v>0</v>
      </c>
      <c r="M1902" s="269" t="str">
        <f>IFERROR(VLOOKUP((D1902&amp;C1902)&amp;"",'[2]Retail Price List'!$C$4:$F$102,4,FALSE),"")</f>
        <v/>
      </c>
      <c r="N1902" s="269">
        <f>IFERROR(IF(BA1902="WIP - 30 Days",VLOOKUP(D1902,[3]Extended!$B$9:$E$101,4,FALSE),IF(BA1902="31-120 Days",VLOOKUP(D1902,[3]Extended!$B$9:$F$101,5,FALSE),IF(BA1902="121-365 Days",VLOOKUP(D1902,[3]Extended!$B$9:$G$101,6,FALSE),VLOOKUP(D1902,[3]Extended!$B$9:$H$101,7,FALSE)))),0)</f>
        <v>0</v>
      </c>
      <c r="O1902" s="269">
        <f>IFERROR(IF(BA1902="WIP - 30 Days",VLOOKUP(D1902,[3]Extended!$B$9:$J$101,9,FALSE),IF(BA1902="31-120 Days",VLOOKUP(D1902,[3]Extended!$B$9:$K$101,10,FALSE),IF(BA1902="121-365 Days",VLOOKUP(D1902,[3]Extended!$B$9:$L$101,11,FALSE),VLOOKUP(D1902,[3]Extended!$B$9:$M$101,12,FALSE)))),0)</f>
        <v>0</v>
      </c>
      <c r="P1902" s="116" t="e">
        <f t="shared" si="146"/>
        <v>#VALUE!</v>
      </c>
      <c r="Q1902" s="110" t="e">
        <f>O1902-#REF!</f>
        <v>#REF!</v>
      </c>
      <c r="AT1902" s="88" t="str">
        <f t="shared" si="147"/>
        <v>Special Order0</v>
      </c>
      <c r="AU1902" s="89" t="str">
        <f t="shared" si="148"/>
        <v>01-1900</v>
      </c>
      <c r="BA1902" s="92" t="str">
        <f t="shared" si="149"/>
        <v/>
      </c>
    </row>
    <row r="1903" spans="2:53">
      <c r="B1903" s="60">
        <f>[2]Trucks!A1900</f>
        <v>0</v>
      </c>
      <c r="C1903" s="11">
        <f>[2]Trucks!B1900</f>
        <v>0</v>
      </c>
      <c r="D1903" s="19" t="str">
        <f>IFERROR(VLOOKUP(C1903&amp;"",'[2]Retail Price List'!$A$3:$B$103,2,FALSE),"Special Order")</f>
        <v>Special Order</v>
      </c>
      <c r="E1903" s="18">
        <f>[2]Trucks!J1900</f>
        <v>0</v>
      </c>
      <c r="F1903" s="12">
        <f>[2]Trucks!E1900</f>
        <v>0</v>
      </c>
      <c r="G1903" s="56">
        <f>[2]Trucks!K1900</f>
        <v>0</v>
      </c>
      <c r="H1903" s="46">
        <f>[2]Trucks!I1900</f>
        <v>0</v>
      </c>
      <c r="I1903" s="83" t="str">
        <f t="shared" si="145"/>
        <v/>
      </c>
      <c r="J1903" s="272" t="str">
        <f>IFERROR(VLOOKUP((D1903&amp;C1903)&amp;"",'[2]Retail Price List'!$C$4:$F$102,3,FALSE),"")</f>
        <v/>
      </c>
      <c r="K1903" s="272">
        <f>IFERROR(IF(BA1903="WIP - 30 Days",VLOOKUP(D1903,[3]Standard!$B$9:$E$101,4,FALSE),IF(BA1903="31-120 Days",VLOOKUP(D1903,[3]Standard!$B$9:$F$101,5,FALSE),IF(BA1903="121-365 Days",VLOOKUP(D1903,[3]Standard!$B$9:$G$101,6,FALSE),VLOOKUP(D1903,[3]Standard!$B$9:$H$101,7,FALSE)))),0)</f>
        <v>0</v>
      </c>
      <c r="L1903" s="272">
        <f>IFERROR(IF(BA1903="WIP - 30 Days",VLOOKUP(D1903,[3]Standard!$B$9:$J$101,9,FALSE),IF(BA1903="31-120 Days",VLOOKUP(D1903,[3]Standard!$B$9:$K$100,10,FALSE),IF(BA1903="121-365 Days",VLOOKUP(D1903,[3]Standard!$B$9:$L$101,11,FALSE),VLOOKUP(D1903,[3]Standard!$B$9:$M$101,12,FALSE)))),0)</f>
        <v>0</v>
      </c>
      <c r="M1903" s="269" t="str">
        <f>IFERROR(VLOOKUP((D1903&amp;C1903)&amp;"",'[2]Retail Price List'!$C$4:$F$102,4,FALSE),"")</f>
        <v/>
      </c>
      <c r="N1903" s="269">
        <f>IFERROR(IF(BA1903="WIP - 30 Days",VLOOKUP(D1903,[3]Extended!$B$9:$E$101,4,FALSE),IF(BA1903="31-120 Days",VLOOKUP(D1903,[3]Extended!$B$9:$F$101,5,FALSE),IF(BA1903="121-365 Days",VLOOKUP(D1903,[3]Extended!$B$9:$G$101,6,FALSE),VLOOKUP(D1903,[3]Extended!$B$9:$H$101,7,FALSE)))),0)</f>
        <v>0</v>
      </c>
      <c r="O1903" s="269">
        <f>IFERROR(IF(BA1903="WIP - 30 Days",VLOOKUP(D1903,[3]Extended!$B$9:$J$101,9,FALSE),IF(BA1903="31-120 Days",VLOOKUP(D1903,[3]Extended!$B$9:$K$101,10,FALSE),IF(BA1903="121-365 Days",VLOOKUP(D1903,[3]Extended!$B$9:$L$101,11,FALSE),VLOOKUP(D1903,[3]Extended!$B$9:$M$101,12,FALSE)))),0)</f>
        <v>0</v>
      </c>
      <c r="P1903" s="116" t="e">
        <f t="shared" si="146"/>
        <v>#VALUE!</v>
      </c>
      <c r="Q1903" s="110" t="e">
        <f>O1903-#REF!</f>
        <v>#REF!</v>
      </c>
      <c r="AT1903" s="88" t="str">
        <f t="shared" si="147"/>
        <v>Special Order0</v>
      </c>
      <c r="AU1903" s="89" t="str">
        <f t="shared" si="148"/>
        <v>01-1900</v>
      </c>
      <c r="BA1903" s="92" t="str">
        <f t="shared" si="149"/>
        <v/>
      </c>
    </row>
    <row r="1904" spans="2:53">
      <c r="B1904" s="60">
        <f>[2]Trucks!A1901</f>
        <v>0</v>
      </c>
      <c r="C1904" s="11">
        <f>[2]Trucks!B1901</f>
        <v>0</v>
      </c>
      <c r="D1904" s="19" t="str">
        <f>IFERROR(VLOOKUP(C1904&amp;"",'[2]Retail Price List'!$A$3:$B$103,2,FALSE),"Special Order")</f>
        <v>Special Order</v>
      </c>
      <c r="E1904" s="18">
        <f>[2]Trucks!J1901</f>
        <v>0</v>
      </c>
      <c r="F1904" s="12">
        <f>[2]Trucks!E1901</f>
        <v>0</v>
      </c>
      <c r="G1904" s="56">
        <f>[2]Trucks!K1901</f>
        <v>0</v>
      </c>
      <c r="H1904" s="46">
        <f>[2]Trucks!I1901</f>
        <v>0</v>
      </c>
      <c r="I1904" s="83" t="str">
        <f t="shared" si="145"/>
        <v/>
      </c>
      <c r="J1904" s="272" t="str">
        <f>IFERROR(VLOOKUP((D1904&amp;C1904)&amp;"",'[2]Retail Price List'!$C$4:$F$102,3,FALSE),"")</f>
        <v/>
      </c>
      <c r="K1904" s="272">
        <f>IFERROR(IF(BA1904="WIP - 30 Days",VLOOKUP(D1904,[3]Standard!$B$9:$E$101,4,FALSE),IF(BA1904="31-120 Days",VLOOKUP(D1904,[3]Standard!$B$9:$F$101,5,FALSE),IF(BA1904="121-365 Days",VLOOKUP(D1904,[3]Standard!$B$9:$G$101,6,FALSE),VLOOKUP(D1904,[3]Standard!$B$9:$H$101,7,FALSE)))),0)</f>
        <v>0</v>
      </c>
      <c r="L1904" s="272">
        <f>IFERROR(IF(BA1904="WIP - 30 Days",VLOOKUP(D1904,[3]Standard!$B$9:$J$101,9,FALSE),IF(BA1904="31-120 Days",VLOOKUP(D1904,[3]Standard!$B$9:$K$100,10,FALSE),IF(BA1904="121-365 Days",VLOOKUP(D1904,[3]Standard!$B$9:$L$101,11,FALSE),VLOOKUP(D1904,[3]Standard!$B$9:$M$101,12,FALSE)))),0)</f>
        <v>0</v>
      </c>
      <c r="M1904" s="269" t="str">
        <f>IFERROR(VLOOKUP((D1904&amp;C1904)&amp;"",'[2]Retail Price List'!$C$4:$F$102,4,FALSE),"")</f>
        <v/>
      </c>
      <c r="N1904" s="269">
        <f>IFERROR(IF(BA1904="WIP - 30 Days",VLOOKUP(D1904,[3]Extended!$B$9:$E$101,4,FALSE),IF(BA1904="31-120 Days",VLOOKUP(D1904,[3]Extended!$B$9:$F$101,5,FALSE),IF(BA1904="121-365 Days",VLOOKUP(D1904,[3]Extended!$B$9:$G$101,6,FALSE),VLOOKUP(D1904,[3]Extended!$B$9:$H$101,7,FALSE)))),0)</f>
        <v>0</v>
      </c>
      <c r="O1904" s="269">
        <f>IFERROR(IF(BA1904="WIP - 30 Days",VLOOKUP(D1904,[3]Extended!$B$9:$J$101,9,FALSE),IF(BA1904="31-120 Days",VLOOKUP(D1904,[3]Extended!$B$9:$K$101,10,FALSE),IF(BA1904="121-365 Days",VLOOKUP(D1904,[3]Extended!$B$9:$L$101,11,FALSE),VLOOKUP(D1904,[3]Extended!$B$9:$M$101,12,FALSE)))),0)</f>
        <v>0</v>
      </c>
      <c r="P1904" s="116" t="e">
        <f t="shared" si="146"/>
        <v>#VALUE!</v>
      </c>
      <c r="Q1904" s="110" t="e">
        <f>O1904-#REF!</f>
        <v>#REF!</v>
      </c>
      <c r="AT1904" s="88" t="str">
        <f t="shared" si="147"/>
        <v>Special Order0</v>
      </c>
      <c r="AU1904" s="89" t="str">
        <f t="shared" si="148"/>
        <v>01-1900</v>
      </c>
      <c r="BA1904" s="92" t="str">
        <f t="shared" si="149"/>
        <v/>
      </c>
    </row>
    <row r="1905" spans="2:53">
      <c r="B1905" s="60">
        <f>[2]Trucks!A1902</f>
        <v>0</v>
      </c>
      <c r="C1905" s="11">
        <f>[2]Trucks!B1902</f>
        <v>0</v>
      </c>
      <c r="D1905" s="19" t="str">
        <f>IFERROR(VLOOKUP(C1905&amp;"",'[2]Retail Price List'!$A$3:$B$103,2,FALSE),"Special Order")</f>
        <v>Special Order</v>
      </c>
      <c r="E1905" s="18">
        <f>[2]Trucks!J1902</f>
        <v>0</v>
      </c>
      <c r="F1905" s="12">
        <f>[2]Trucks!E1902</f>
        <v>0</v>
      </c>
      <c r="G1905" s="56">
        <f>[2]Trucks!K1902</f>
        <v>0</v>
      </c>
      <c r="H1905" s="46">
        <f>[2]Trucks!I1902</f>
        <v>0</v>
      </c>
      <c r="I1905" s="83" t="str">
        <f t="shared" si="145"/>
        <v/>
      </c>
      <c r="J1905" s="272" t="str">
        <f>IFERROR(VLOOKUP((D1905&amp;C1905)&amp;"",'[2]Retail Price List'!$C$4:$F$102,3,FALSE),"")</f>
        <v/>
      </c>
      <c r="K1905" s="272">
        <f>IFERROR(IF(BA1905="WIP - 30 Days",VLOOKUP(D1905,[3]Standard!$B$9:$E$101,4,FALSE),IF(BA1905="31-120 Days",VLOOKUP(D1905,[3]Standard!$B$9:$F$101,5,FALSE),IF(BA1905="121-365 Days",VLOOKUP(D1905,[3]Standard!$B$9:$G$101,6,FALSE),VLOOKUP(D1905,[3]Standard!$B$9:$H$101,7,FALSE)))),0)</f>
        <v>0</v>
      </c>
      <c r="L1905" s="272">
        <f>IFERROR(IF(BA1905="WIP - 30 Days",VLOOKUP(D1905,[3]Standard!$B$9:$J$101,9,FALSE),IF(BA1905="31-120 Days",VLOOKUP(D1905,[3]Standard!$B$9:$K$100,10,FALSE),IF(BA1905="121-365 Days",VLOOKUP(D1905,[3]Standard!$B$9:$L$101,11,FALSE),VLOOKUP(D1905,[3]Standard!$B$9:$M$101,12,FALSE)))),0)</f>
        <v>0</v>
      </c>
      <c r="M1905" s="269" t="str">
        <f>IFERROR(VLOOKUP((D1905&amp;C1905)&amp;"",'[2]Retail Price List'!$C$4:$F$102,4,FALSE),"")</f>
        <v/>
      </c>
      <c r="N1905" s="269">
        <f>IFERROR(IF(BA1905="WIP - 30 Days",VLOOKUP(D1905,[3]Extended!$B$9:$E$101,4,FALSE),IF(BA1905="31-120 Days",VLOOKUP(D1905,[3]Extended!$B$9:$F$101,5,FALSE),IF(BA1905="121-365 Days",VLOOKUP(D1905,[3]Extended!$B$9:$G$101,6,FALSE),VLOOKUP(D1905,[3]Extended!$B$9:$H$101,7,FALSE)))),0)</f>
        <v>0</v>
      </c>
      <c r="O1905" s="269">
        <f>IFERROR(IF(BA1905="WIP - 30 Days",VLOOKUP(D1905,[3]Extended!$B$9:$J$101,9,FALSE),IF(BA1905="31-120 Days",VLOOKUP(D1905,[3]Extended!$B$9:$K$101,10,FALSE),IF(BA1905="121-365 Days",VLOOKUP(D1905,[3]Extended!$B$9:$L$101,11,FALSE),VLOOKUP(D1905,[3]Extended!$B$9:$M$101,12,FALSE)))),0)</f>
        <v>0</v>
      </c>
      <c r="P1905" s="116" t="e">
        <f t="shared" si="146"/>
        <v>#VALUE!</v>
      </c>
      <c r="Q1905" s="110" t="e">
        <f>O1905-#REF!</f>
        <v>#REF!</v>
      </c>
      <c r="AT1905" s="88" t="str">
        <f t="shared" si="147"/>
        <v>Special Order0</v>
      </c>
      <c r="AU1905" s="89" t="str">
        <f t="shared" si="148"/>
        <v>01-1900</v>
      </c>
      <c r="BA1905" s="92" t="str">
        <f t="shared" si="149"/>
        <v/>
      </c>
    </row>
    <row r="1906" spans="2:53">
      <c r="B1906" s="60">
        <f>[2]Trucks!A1903</f>
        <v>0</v>
      </c>
      <c r="C1906" s="11">
        <f>[2]Trucks!B1903</f>
        <v>0</v>
      </c>
      <c r="D1906" s="19" t="str">
        <f>IFERROR(VLOOKUP(C1906&amp;"",'[2]Retail Price List'!$A$3:$B$103,2,FALSE),"Special Order")</f>
        <v>Special Order</v>
      </c>
      <c r="E1906" s="18">
        <f>[2]Trucks!J1903</f>
        <v>0</v>
      </c>
      <c r="F1906" s="12">
        <f>[2]Trucks!E1903</f>
        <v>0</v>
      </c>
      <c r="G1906" s="56">
        <f>[2]Trucks!K1903</f>
        <v>0</v>
      </c>
      <c r="H1906" s="46">
        <f>[2]Trucks!I1903</f>
        <v>0</v>
      </c>
      <c r="I1906" s="83" t="str">
        <f t="shared" si="145"/>
        <v/>
      </c>
      <c r="J1906" s="272" t="str">
        <f>IFERROR(VLOOKUP((D1906&amp;C1906)&amp;"",'[2]Retail Price List'!$C$4:$F$102,3,FALSE),"")</f>
        <v/>
      </c>
      <c r="K1906" s="272">
        <f>IFERROR(IF(BA1906="WIP - 30 Days",VLOOKUP(D1906,[3]Standard!$B$9:$E$101,4,FALSE),IF(BA1906="31-120 Days",VLOOKUP(D1906,[3]Standard!$B$9:$F$101,5,FALSE),IF(BA1906="121-365 Days",VLOOKUP(D1906,[3]Standard!$B$9:$G$101,6,FALSE),VLOOKUP(D1906,[3]Standard!$B$9:$H$101,7,FALSE)))),0)</f>
        <v>0</v>
      </c>
      <c r="L1906" s="272">
        <f>IFERROR(IF(BA1906="WIP - 30 Days",VLOOKUP(D1906,[3]Standard!$B$9:$J$101,9,FALSE),IF(BA1906="31-120 Days",VLOOKUP(D1906,[3]Standard!$B$9:$K$100,10,FALSE),IF(BA1906="121-365 Days",VLOOKUP(D1906,[3]Standard!$B$9:$L$101,11,FALSE),VLOOKUP(D1906,[3]Standard!$B$9:$M$101,12,FALSE)))),0)</f>
        <v>0</v>
      </c>
      <c r="M1906" s="269" t="str">
        <f>IFERROR(VLOOKUP((D1906&amp;C1906)&amp;"",'[2]Retail Price List'!$C$4:$F$102,4,FALSE),"")</f>
        <v/>
      </c>
      <c r="N1906" s="269">
        <f>IFERROR(IF(BA1906="WIP - 30 Days",VLOOKUP(D1906,[3]Extended!$B$9:$E$101,4,FALSE),IF(BA1906="31-120 Days",VLOOKUP(D1906,[3]Extended!$B$9:$F$101,5,FALSE),IF(BA1906="121-365 Days",VLOOKUP(D1906,[3]Extended!$B$9:$G$101,6,FALSE),VLOOKUP(D1906,[3]Extended!$B$9:$H$101,7,FALSE)))),0)</f>
        <v>0</v>
      </c>
      <c r="O1906" s="269">
        <f>IFERROR(IF(BA1906="WIP - 30 Days",VLOOKUP(D1906,[3]Extended!$B$9:$J$101,9,FALSE),IF(BA1906="31-120 Days",VLOOKUP(D1906,[3]Extended!$B$9:$K$101,10,FALSE),IF(BA1906="121-365 Days",VLOOKUP(D1906,[3]Extended!$B$9:$L$101,11,FALSE),VLOOKUP(D1906,[3]Extended!$B$9:$M$101,12,FALSE)))),0)</f>
        <v>0</v>
      </c>
      <c r="P1906" s="116" t="e">
        <f t="shared" si="146"/>
        <v>#VALUE!</v>
      </c>
      <c r="Q1906" s="110" t="e">
        <f>O1906-#REF!</f>
        <v>#REF!</v>
      </c>
      <c r="AT1906" s="88" t="str">
        <f t="shared" si="147"/>
        <v>Special Order0</v>
      </c>
      <c r="AU1906" s="89" t="str">
        <f t="shared" si="148"/>
        <v>01-1900</v>
      </c>
      <c r="BA1906" s="92" t="str">
        <f t="shared" si="149"/>
        <v/>
      </c>
    </row>
    <row r="1907" spans="2:53">
      <c r="B1907" s="60">
        <f>[2]Trucks!A1904</f>
        <v>0</v>
      </c>
      <c r="C1907" s="11">
        <f>[2]Trucks!B1904</f>
        <v>0</v>
      </c>
      <c r="D1907" s="19" t="str">
        <f>IFERROR(VLOOKUP(C1907&amp;"",'[2]Retail Price List'!$A$3:$B$103,2,FALSE),"Special Order")</f>
        <v>Special Order</v>
      </c>
      <c r="E1907" s="18">
        <f>[2]Trucks!J1904</f>
        <v>0</v>
      </c>
      <c r="F1907" s="12">
        <f>[2]Trucks!E1904</f>
        <v>0</v>
      </c>
      <c r="G1907" s="56">
        <f>[2]Trucks!K1904</f>
        <v>0</v>
      </c>
      <c r="H1907" s="46">
        <f>[2]Trucks!I1904</f>
        <v>0</v>
      </c>
      <c r="I1907" s="83" t="str">
        <f t="shared" si="145"/>
        <v/>
      </c>
      <c r="J1907" s="272" t="str">
        <f>IFERROR(VLOOKUP((D1907&amp;C1907)&amp;"",'[2]Retail Price List'!$C$4:$F$102,3,FALSE),"")</f>
        <v/>
      </c>
      <c r="K1907" s="272">
        <f>IFERROR(IF(BA1907="WIP - 30 Days",VLOOKUP(D1907,[3]Standard!$B$9:$E$101,4,FALSE),IF(BA1907="31-120 Days",VLOOKUP(D1907,[3]Standard!$B$9:$F$101,5,FALSE),IF(BA1907="121-365 Days",VLOOKUP(D1907,[3]Standard!$B$9:$G$101,6,FALSE),VLOOKUP(D1907,[3]Standard!$B$9:$H$101,7,FALSE)))),0)</f>
        <v>0</v>
      </c>
      <c r="L1907" s="272">
        <f>IFERROR(IF(BA1907="WIP - 30 Days",VLOOKUP(D1907,[3]Standard!$B$9:$J$101,9,FALSE),IF(BA1907="31-120 Days",VLOOKUP(D1907,[3]Standard!$B$9:$K$100,10,FALSE),IF(BA1907="121-365 Days",VLOOKUP(D1907,[3]Standard!$B$9:$L$101,11,FALSE),VLOOKUP(D1907,[3]Standard!$B$9:$M$101,12,FALSE)))),0)</f>
        <v>0</v>
      </c>
      <c r="M1907" s="269" t="str">
        <f>IFERROR(VLOOKUP((D1907&amp;C1907)&amp;"",'[2]Retail Price List'!$C$4:$F$102,4,FALSE),"")</f>
        <v/>
      </c>
      <c r="N1907" s="269">
        <f>IFERROR(IF(BA1907="WIP - 30 Days",VLOOKUP(D1907,[3]Extended!$B$9:$E$101,4,FALSE),IF(BA1907="31-120 Days",VLOOKUP(D1907,[3]Extended!$B$9:$F$101,5,FALSE),IF(BA1907="121-365 Days",VLOOKUP(D1907,[3]Extended!$B$9:$G$101,6,FALSE),VLOOKUP(D1907,[3]Extended!$B$9:$H$101,7,FALSE)))),0)</f>
        <v>0</v>
      </c>
      <c r="O1907" s="269">
        <f>IFERROR(IF(BA1907="WIP - 30 Days",VLOOKUP(D1907,[3]Extended!$B$9:$J$101,9,FALSE),IF(BA1907="31-120 Days",VLOOKUP(D1907,[3]Extended!$B$9:$K$101,10,FALSE),IF(BA1907="121-365 Days",VLOOKUP(D1907,[3]Extended!$B$9:$L$101,11,FALSE),VLOOKUP(D1907,[3]Extended!$B$9:$M$101,12,FALSE)))),0)</f>
        <v>0</v>
      </c>
      <c r="P1907" s="116" t="e">
        <f t="shared" si="146"/>
        <v>#VALUE!</v>
      </c>
      <c r="Q1907" s="110" t="e">
        <f>O1907-#REF!</f>
        <v>#REF!</v>
      </c>
      <c r="AT1907" s="88" t="str">
        <f t="shared" si="147"/>
        <v>Special Order0</v>
      </c>
      <c r="AU1907" s="89" t="str">
        <f t="shared" si="148"/>
        <v>01-1900</v>
      </c>
      <c r="BA1907" s="92" t="str">
        <f t="shared" si="149"/>
        <v/>
      </c>
    </row>
    <row r="1908" spans="2:53">
      <c r="B1908" s="60">
        <f>[2]Trucks!A1905</f>
        <v>0</v>
      </c>
      <c r="C1908" s="11">
        <f>[2]Trucks!B1905</f>
        <v>0</v>
      </c>
      <c r="D1908" s="19" t="str">
        <f>IFERROR(VLOOKUP(C1908&amp;"",'[2]Retail Price List'!$A$3:$B$103,2,FALSE),"Special Order")</f>
        <v>Special Order</v>
      </c>
      <c r="E1908" s="18">
        <f>[2]Trucks!J1905</f>
        <v>0</v>
      </c>
      <c r="F1908" s="12">
        <f>[2]Trucks!E1905</f>
        <v>0</v>
      </c>
      <c r="G1908" s="56">
        <f>[2]Trucks!K1905</f>
        <v>0</v>
      </c>
      <c r="H1908" s="46">
        <f>[2]Trucks!I1905</f>
        <v>0</v>
      </c>
      <c r="I1908" s="83" t="str">
        <f t="shared" si="145"/>
        <v/>
      </c>
      <c r="J1908" s="272" t="str">
        <f>IFERROR(VLOOKUP((D1908&amp;C1908)&amp;"",'[2]Retail Price List'!$C$4:$F$102,3,FALSE),"")</f>
        <v/>
      </c>
      <c r="K1908" s="272">
        <f>IFERROR(IF(BA1908="WIP - 30 Days",VLOOKUP(D1908,[3]Standard!$B$9:$E$101,4,FALSE),IF(BA1908="31-120 Days",VLOOKUP(D1908,[3]Standard!$B$9:$F$101,5,FALSE),IF(BA1908="121-365 Days",VLOOKUP(D1908,[3]Standard!$B$9:$G$101,6,FALSE),VLOOKUP(D1908,[3]Standard!$B$9:$H$101,7,FALSE)))),0)</f>
        <v>0</v>
      </c>
      <c r="L1908" s="272">
        <f>IFERROR(IF(BA1908="WIP - 30 Days",VLOOKUP(D1908,[3]Standard!$B$9:$J$101,9,FALSE),IF(BA1908="31-120 Days",VLOOKUP(D1908,[3]Standard!$B$9:$K$100,10,FALSE),IF(BA1908="121-365 Days",VLOOKUP(D1908,[3]Standard!$B$9:$L$101,11,FALSE),VLOOKUP(D1908,[3]Standard!$B$9:$M$101,12,FALSE)))),0)</f>
        <v>0</v>
      </c>
      <c r="M1908" s="269" t="str">
        <f>IFERROR(VLOOKUP((D1908&amp;C1908)&amp;"",'[2]Retail Price List'!$C$4:$F$102,4,FALSE),"")</f>
        <v/>
      </c>
      <c r="N1908" s="269">
        <f>IFERROR(IF(BA1908="WIP - 30 Days",VLOOKUP(D1908,[3]Extended!$B$9:$E$101,4,FALSE),IF(BA1908="31-120 Days",VLOOKUP(D1908,[3]Extended!$B$9:$F$101,5,FALSE),IF(BA1908="121-365 Days",VLOOKUP(D1908,[3]Extended!$B$9:$G$101,6,FALSE),VLOOKUP(D1908,[3]Extended!$B$9:$H$101,7,FALSE)))),0)</f>
        <v>0</v>
      </c>
      <c r="O1908" s="269">
        <f>IFERROR(IF(BA1908="WIP - 30 Days",VLOOKUP(D1908,[3]Extended!$B$9:$J$101,9,FALSE),IF(BA1908="31-120 Days",VLOOKUP(D1908,[3]Extended!$B$9:$K$101,10,FALSE),IF(BA1908="121-365 Days",VLOOKUP(D1908,[3]Extended!$B$9:$L$101,11,FALSE),VLOOKUP(D1908,[3]Extended!$B$9:$M$101,12,FALSE)))),0)</f>
        <v>0</v>
      </c>
      <c r="P1908" s="116" t="e">
        <f t="shared" si="146"/>
        <v>#VALUE!</v>
      </c>
      <c r="Q1908" s="110" t="e">
        <f>O1908-#REF!</f>
        <v>#REF!</v>
      </c>
      <c r="AT1908" s="88" t="str">
        <f t="shared" si="147"/>
        <v>Special Order0</v>
      </c>
      <c r="AU1908" s="89" t="str">
        <f t="shared" si="148"/>
        <v>01-1900</v>
      </c>
      <c r="BA1908" s="92" t="str">
        <f t="shared" si="149"/>
        <v/>
      </c>
    </row>
    <row r="1909" spans="2:53">
      <c r="B1909" s="60">
        <f>[2]Trucks!A1906</f>
        <v>0</v>
      </c>
      <c r="C1909" s="11">
        <f>[2]Trucks!B1906</f>
        <v>0</v>
      </c>
      <c r="D1909" s="19" t="str">
        <f>IFERROR(VLOOKUP(C1909&amp;"",'[2]Retail Price List'!$A$3:$B$103,2,FALSE),"Special Order")</f>
        <v>Special Order</v>
      </c>
      <c r="E1909" s="18">
        <f>[2]Trucks!J1906</f>
        <v>0</v>
      </c>
      <c r="F1909" s="12">
        <f>[2]Trucks!E1906</f>
        <v>0</v>
      </c>
      <c r="G1909" s="56">
        <f>[2]Trucks!K1906</f>
        <v>0</v>
      </c>
      <c r="H1909" s="46">
        <f>[2]Trucks!I1906</f>
        <v>0</v>
      </c>
      <c r="I1909" s="83" t="str">
        <f t="shared" si="145"/>
        <v/>
      </c>
      <c r="J1909" s="272" t="str">
        <f>IFERROR(VLOOKUP((D1909&amp;C1909)&amp;"",'[2]Retail Price List'!$C$4:$F$102,3,FALSE),"")</f>
        <v/>
      </c>
      <c r="K1909" s="272">
        <f>IFERROR(IF(BA1909="WIP - 30 Days",VLOOKUP(D1909,[3]Standard!$B$9:$E$101,4,FALSE),IF(BA1909="31-120 Days",VLOOKUP(D1909,[3]Standard!$B$9:$F$101,5,FALSE),IF(BA1909="121-365 Days",VLOOKUP(D1909,[3]Standard!$B$9:$G$101,6,FALSE),VLOOKUP(D1909,[3]Standard!$B$9:$H$101,7,FALSE)))),0)</f>
        <v>0</v>
      </c>
      <c r="L1909" s="272">
        <f>IFERROR(IF(BA1909="WIP - 30 Days",VLOOKUP(D1909,[3]Standard!$B$9:$J$101,9,FALSE),IF(BA1909="31-120 Days",VLOOKUP(D1909,[3]Standard!$B$9:$K$100,10,FALSE),IF(BA1909="121-365 Days",VLOOKUP(D1909,[3]Standard!$B$9:$L$101,11,FALSE),VLOOKUP(D1909,[3]Standard!$B$9:$M$101,12,FALSE)))),0)</f>
        <v>0</v>
      </c>
      <c r="M1909" s="269" t="str">
        <f>IFERROR(VLOOKUP((D1909&amp;C1909)&amp;"",'[2]Retail Price List'!$C$4:$F$102,4,FALSE),"")</f>
        <v/>
      </c>
      <c r="N1909" s="269">
        <f>IFERROR(IF(BA1909="WIP - 30 Days",VLOOKUP(D1909,[3]Extended!$B$9:$E$101,4,FALSE),IF(BA1909="31-120 Days",VLOOKUP(D1909,[3]Extended!$B$9:$F$101,5,FALSE),IF(BA1909="121-365 Days",VLOOKUP(D1909,[3]Extended!$B$9:$G$101,6,FALSE),VLOOKUP(D1909,[3]Extended!$B$9:$H$101,7,FALSE)))),0)</f>
        <v>0</v>
      </c>
      <c r="O1909" s="269">
        <f>IFERROR(IF(BA1909="WIP - 30 Days",VLOOKUP(D1909,[3]Extended!$B$9:$J$101,9,FALSE),IF(BA1909="31-120 Days",VLOOKUP(D1909,[3]Extended!$B$9:$K$101,10,FALSE),IF(BA1909="121-365 Days",VLOOKUP(D1909,[3]Extended!$B$9:$L$101,11,FALSE),VLOOKUP(D1909,[3]Extended!$B$9:$M$101,12,FALSE)))),0)</f>
        <v>0</v>
      </c>
      <c r="P1909" s="116" t="e">
        <f t="shared" si="146"/>
        <v>#VALUE!</v>
      </c>
      <c r="Q1909" s="110" t="e">
        <f>O1909-#REF!</f>
        <v>#REF!</v>
      </c>
      <c r="AT1909" s="88" t="str">
        <f t="shared" si="147"/>
        <v>Special Order0</v>
      </c>
      <c r="AU1909" s="89" t="str">
        <f t="shared" si="148"/>
        <v>01-1900</v>
      </c>
      <c r="BA1909" s="92" t="str">
        <f t="shared" si="149"/>
        <v/>
      </c>
    </row>
    <row r="1910" spans="2:53">
      <c r="B1910" s="60">
        <f>[2]Trucks!A1907</f>
        <v>0</v>
      </c>
      <c r="C1910" s="11">
        <f>[2]Trucks!B1907</f>
        <v>0</v>
      </c>
      <c r="D1910" s="19" t="str">
        <f>IFERROR(VLOOKUP(C1910&amp;"",'[2]Retail Price List'!$A$3:$B$103,2,FALSE),"Special Order")</f>
        <v>Special Order</v>
      </c>
      <c r="E1910" s="18">
        <f>[2]Trucks!J1907</f>
        <v>0</v>
      </c>
      <c r="F1910" s="12">
        <f>[2]Trucks!E1907</f>
        <v>0</v>
      </c>
      <c r="G1910" s="56">
        <f>[2]Trucks!K1907</f>
        <v>0</v>
      </c>
      <c r="H1910" s="46">
        <f>[2]Trucks!I1907</f>
        <v>0</v>
      </c>
      <c r="I1910" s="83" t="str">
        <f t="shared" si="145"/>
        <v/>
      </c>
      <c r="J1910" s="272" t="str">
        <f>IFERROR(VLOOKUP((D1910&amp;C1910)&amp;"",'[2]Retail Price List'!$C$4:$F$102,3,FALSE),"")</f>
        <v/>
      </c>
      <c r="K1910" s="272">
        <f>IFERROR(IF(BA1910="WIP - 30 Days",VLOOKUP(D1910,[3]Standard!$B$9:$E$101,4,FALSE),IF(BA1910="31-120 Days",VLOOKUP(D1910,[3]Standard!$B$9:$F$101,5,FALSE),IF(BA1910="121-365 Days",VLOOKUP(D1910,[3]Standard!$B$9:$G$101,6,FALSE),VLOOKUP(D1910,[3]Standard!$B$9:$H$101,7,FALSE)))),0)</f>
        <v>0</v>
      </c>
      <c r="L1910" s="272">
        <f>IFERROR(IF(BA1910="WIP - 30 Days",VLOOKUP(D1910,[3]Standard!$B$9:$J$101,9,FALSE),IF(BA1910="31-120 Days",VLOOKUP(D1910,[3]Standard!$B$9:$K$100,10,FALSE),IF(BA1910="121-365 Days",VLOOKUP(D1910,[3]Standard!$B$9:$L$101,11,FALSE),VLOOKUP(D1910,[3]Standard!$B$9:$M$101,12,FALSE)))),0)</f>
        <v>0</v>
      </c>
      <c r="M1910" s="269" t="str">
        <f>IFERROR(VLOOKUP((D1910&amp;C1910)&amp;"",'[2]Retail Price List'!$C$4:$F$102,4,FALSE),"")</f>
        <v/>
      </c>
      <c r="N1910" s="269">
        <f>IFERROR(IF(BA1910="WIP - 30 Days",VLOOKUP(D1910,[3]Extended!$B$9:$E$101,4,FALSE),IF(BA1910="31-120 Days",VLOOKUP(D1910,[3]Extended!$B$9:$F$101,5,FALSE),IF(BA1910="121-365 Days",VLOOKUP(D1910,[3]Extended!$B$9:$G$101,6,FALSE),VLOOKUP(D1910,[3]Extended!$B$9:$H$101,7,FALSE)))),0)</f>
        <v>0</v>
      </c>
      <c r="O1910" s="269">
        <f>IFERROR(IF(BA1910="WIP - 30 Days",VLOOKUP(D1910,[3]Extended!$B$9:$J$101,9,FALSE),IF(BA1910="31-120 Days",VLOOKUP(D1910,[3]Extended!$B$9:$K$101,10,FALSE),IF(BA1910="121-365 Days",VLOOKUP(D1910,[3]Extended!$B$9:$L$101,11,FALSE),VLOOKUP(D1910,[3]Extended!$B$9:$M$101,12,FALSE)))),0)</f>
        <v>0</v>
      </c>
      <c r="P1910" s="116" t="e">
        <f t="shared" si="146"/>
        <v>#VALUE!</v>
      </c>
      <c r="Q1910" s="110" t="e">
        <f>O1910-#REF!</f>
        <v>#REF!</v>
      </c>
      <c r="AT1910" s="88" t="str">
        <f t="shared" si="147"/>
        <v>Special Order0</v>
      </c>
      <c r="AU1910" s="89" t="str">
        <f t="shared" si="148"/>
        <v>01-1900</v>
      </c>
      <c r="BA1910" s="92" t="str">
        <f t="shared" si="149"/>
        <v/>
      </c>
    </row>
    <row r="1911" spans="2:53">
      <c r="B1911" s="60">
        <f>[2]Trucks!A1908</f>
        <v>0</v>
      </c>
      <c r="C1911" s="11">
        <f>[2]Trucks!B1908</f>
        <v>0</v>
      </c>
      <c r="D1911" s="19" t="str">
        <f>IFERROR(VLOOKUP(C1911&amp;"",'[2]Retail Price List'!$A$3:$B$103,2,FALSE),"Special Order")</f>
        <v>Special Order</v>
      </c>
      <c r="E1911" s="18">
        <f>[2]Trucks!J1908</f>
        <v>0</v>
      </c>
      <c r="F1911" s="12">
        <f>[2]Trucks!E1908</f>
        <v>0</v>
      </c>
      <c r="G1911" s="56">
        <f>[2]Trucks!K1908</f>
        <v>0</v>
      </c>
      <c r="H1911" s="46">
        <f>[2]Trucks!I1908</f>
        <v>0</v>
      </c>
      <c r="I1911" s="83" t="str">
        <f t="shared" si="145"/>
        <v/>
      </c>
      <c r="J1911" s="272" t="str">
        <f>IFERROR(VLOOKUP((D1911&amp;C1911)&amp;"",'[2]Retail Price List'!$C$4:$F$102,3,FALSE),"")</f>
        <v/>
      </c>
      <c r="K1911" s="272">
        <f>IFERROR(IF(BA1911="WIP - 30 Days",VLOOKUP(D1911,[3]Standard!$B$9:$E$101,4,FALSE),IF(BA1911="31-120 Days",VLOOKUP(D1911,[3]Standard!$B$9:$F$101,5,FALSE),IF(BA1911="121-365 Days",VLOOKUP(D1911,[3]Standard!$B$9:$G$101,6,FALSE),VLOOKUP(D1911,[3]Standard!$B$9:$H$101,7,FALSE)))),0)</f>
        <v>0</v>
      </c>
      <c r="L1911" s="272">
        <f>IFERROR(IF(BA1911="WIP - 30 Days",VLOOKUP(D1911,[3]Standard!$B$9:$J$101,9,FALSE),IF(BA1911="31-120 Days",VLOOKUP(D1911,[3]Standard!$B$9:$K$100,10,FALSE),IF(BA1911="121-365 Days",VLOOKUP(D1911,[3]Standard!$B$9:$L$101,11,FALSE),VLOOKUP(D1911,[3]Standard!$B$9:$M$101,12,FALSE)))),0)</f>
        <v>0</v>
      </c>
      <c r="M1911" s="269" t="str">
        <f>IFERROR(VLOOKUP((D1911&amp;C1911)&amp;"",'[2]Retail Price List'!$C$4:$F$102,4,FALSE),"")</f>
        <v/>
      </c>
      <c r="N1911" s="269">
        <f>IFERROR(IF(BA1911="WIP - 30 Days",VLOOKUP(D1911,[3]Extended!$B$9:$E$101,4,FALSE),IF(BA1911="31-120 Days",VLOOKUP(D1911,[3]Extended!$B$9:$F$101,5,FALSE),IF(BA1911="121-365 Days",VLOOKUP(D1911,[3]Extended!$B$9:$G$101,6,FALSE),VLOOKUP(D1911,[3]Extended!$B$9:$H$101,7,FALSE)))),0)</f>
        <v>0</v>
      </c>
      <c r="O1911" s="269">
        <f>IFERROR(IF(BA1911="WIP - 30 Days",VLOOKUP(D1911,[3]Extended!$B$9:$J$101,9,FALSE),IF(BA1911="31-120 Days",VLOOKUP(D1911,[3]Extended!$B$9:$K$101,10,FALSE),IF(BA1911="121-365 Days",VLOOKUP(D1911,[3]Extended!$B$9:$L$101,11,FALSE),VLOOKUP(D1911,[3]Extended!$B$9:$M$101,12,FALSE)))),0)</f>
        <v>0</v>
      </c>
      <c r="P1911" s="116" t="e">
        <f t="shared" si="146"/>
        <v>#VALUE!</v>
      </c>
      <c r="Q1911" s="110" t="e">
        <f>O1911-#REF!</f>
        <v>#REF!</v>
      </c>
      <c r="AT1911" s="88" t="str">
        <f t="shared" si="147"/>
        <v>Special Order0</v>
      </c>
      <c r="AU1911" s="89" t="str">
        <f t="shared" si="148"/>
        <v>01-1900</v>
      </c>
      <c r="BA1911" s="92" t="str">
        <f t="shared" si="149"/>
        <v/>
      </c>
    </row>
    <row r="1912" spans="2:53">
      <c r="B1912" s="60">
        <f>[2]Trucks!A1909</f>
        <v>0</v>
      </c>
      <c r="C1912" s="11">
        <f>[2]Trucks!B1909</f>
        <v>0</v>
      </c>
      <c r="D1912" s="19" t="str">
        <f>IFERROR(VLOOKUP(C1912&amp;"",'[2]Retail Price List'!$A$3:$B$103,2,FALSE),"Special Order")</f>
        <v>Special Order</v>
      </c>
      <c r="E1912" s="18">
        <f>[2]Trucks!J1909</f>
        <v>0</v>
      </c>
      <c r="F1912" s="12">
        <f>[2]Trucks!E1909</f>
        <v>0</v>
      </c>
      <c r="G1912" s="56">
        <f>[2]Trucks!K1909</f>
        <v>0</v>
      </c>
      <c r="H1912" s="46">
        <f>[2]Trucks!I1909</f>
        <v>0</v>
      </c>
      <c r="I1912" s="83" t="str">
        <f t="shared" si="145"/>
        <v/>
      </c>
      <c r="J1912" s="272" t="str">
        <f>IFERROR(VLOOKUP((D1912&amp;C1912)&amp;"",'[2]Retail Price List'!$C$4:$F$102,3,FALSE),"")</f>
        <v/>
      </c>
      <c r="K1912" s="272">
        <f>IFERROR(IF(BA1912="WIP - 30 Days",VLOOKUP(D1912,[3]Standard!$B$9:$E$101,4,FALSE),IF(BA1912="31-120 Days",VLOOKUP(D1912,[3]Standard!$B$9:$F$101,5,FALSE),IF(BA1912="121-365 Days",VLOOKUP(D1912,[3]Standard!$B$9:$G$101,6,FALSE),VLOOKUP(D1912,[3]Standard!$B$9:$H$101,7,FALSE)))),0)</f>
        <v>0</v>
      </c>
      <c r="L1912" s="272">
        <f>IFERROR(IF(BA1912="WIP - 30 Days",VLOOKUP(D1912,[3]Standard!$B$9:$J$101,9,FALSE),IF(BA1912="31-120 Days",VLOOKUP(D1912,[3]Standard!$B$9:$K$100,10,FALSE),IF(BA1912="121-365 Days",VLOOKUP(D1912,[3]Standard!$B$9:$L$101,11,FALSE),VLOOKUP(D1912,[3]Standard!$B$9:$M$101,12,FALSE)))),0)</f>
        <v>0</v>
      </c>
      <c r="M1912" s="269" t="str">
        <f>IFERROR(VLOOKUP((D1912&amp;C1912)&amp;"",'[2]Retail Price List'!$C$4:$F$102,4,FALSE),"")</f>
        <v/>
      </c>
      <c r="N1912" s="269">
        <f>IFERROR(IF(BA1912="WIP - 30 Days",VLOOKUP(D1912,[3]Extended!$B$9:$E$101,4,FALSE),IF(BA1912="31-120 Days",VLOOKUP(D1912,[3]Extended!$B$9:$F$101,5,FALSE),IF(BA1912="121-365 Days",VLOOKUP(D1912,[3]Extended!$B$9:$G$101,6,FALSE),VLOOKUP(D1912,[3]Extended!$B$9:$H$101,7,FALSE)))),0)</f>
        <v>0</v>
      </c>
      <c r="O1912" s="269">
        <f>IFERROR(IF(BA1912="WIP - 30 Days",VLOOKUP(D1912,[3]Extended!$B$9:$J$101,9,FALSE),IF(BA1912="31-120 Days",VLOOKUP(D1912,[3]Extended!$B$9:$K$101,10,FALSE),IF(BA1912="121-365 Days",VLOOKUP(D1912,[3]Extended!$B$9:$L$101,11,FALSE),VLOOKUP(D1912,[3]Extended!$B$9:$M$101,12,FALSE)))),0)</f>
        <v>0</v>
      </c>
      <c r="P1912" s="116" t="e">
        <f t="shared" si="146"/>
        <v>#VALUE!</v>
      </c>
      <c r="Q1912" s="110" t="e">
        <f>O1912-#REF!</f>
        <v>#REF!</v>
      </c>
      <c r="AT1912" s="88" t="str">
        <f t="shared" si="147"/>
        <v>Special Order0</v>
      </c>
      <c r="AU1912" s="89" t="str">
        <f t="shared" si="148"/>
        <v>01-1900</v>
      </c>
      <c r="BA1912" s="92" t="str">
        <f t="shared" si="149"/>
        <v/>
      </c>
    </row>
    <row r="1913" spans="2:53">
      <c r="B1913" s="60">
        <f>[2]Trucks!A1910</f>
        <v>0</v>
      </c>
      <c r="C1913" s="11">
        <f>[2]Trucks!B1910</f>
        <v>0</v>
      </c>
      <c r="D1913" s="19" t="str">
        <f>IFERROR(VLOOKUP(C1913&amp;"",'[2]Retail Price List'!$A$3:$B$103,2,FALSE),"Special Order")</f>
        <v>Special Order</v>
      </c>
      <c r="E1913" s="18">
        <f>[2]Trucks!J1910</f>
        <v>0</v>
      </c>
      <c r="F1913" s="12">
        <f>[2]Trucks!E1910</f>
        <v>0</v>
      </c>
      <c r="G1913" s="56">
        <f>[2]Trucks!K1910</f>
        <v>0</v>
      </c>
      <c r="H1913" s="46">
        <f>[2]Trucks!I1910</f>
        <v>0</v>
      </c>
      <c r="I1913" s="83" t="str">
        <f t="shared" si="145"/>
        <v/>
      </c>
      <c r="J1913" s="272" t="str">
        <f>IFERROR(VLOOKUP((D1913&amp;C1913)&amp;"",'[2]Retail Price List'!$C$4:$F$102,3,FALSE),"")</f>
        <v/>
      </c>
      <c r="K1913" s="272">
        <f>IFERROR(IF(BA1913="WIP - 30 Days",VLOOKUP(D1913,[3]Standard!$B$9:$E$101,4,FALSE),IF(BA1913="31-120 Days",VLOOKUP(D1913,[3]Standard!$B$9:$F$101,5,FALSE),IF(BA1913="121-365 Days",VLOOKUP(D1913,[3]Standard!$B$9:$G$101,6,FALSE),VLOOKUP(D1913,[3]Standard!$B$9:$H$101,7,FALSE)))),0)</f>
        <v>0</v>
      </c>
      <c r="L1913" s="272">
        <f>IFERROR(IF(BA1913="WIP - 30 Days",VLOOKUP(D1913,[3]Standard!$B$9:$J$101,9,FALSE),IF(BA1913="31-120 Days",VLOOKUP(D1913,[3]Standard!$B$9:$K$100,10,FALSE),IF(BA1913="121-365 Days",VLOOKUP(D1913,[3]Standard!$B$9:$L$101,11,FALSE),VLOOKUP(D1913,[3]Standard!$B$9:$M$101,12,FALSE)))),0)</f>
        <v>0</v>
      </c>
      <c r="M1913" s="269" t="str">
        <f>IFERROR(VLOOKUP((D1913&amp;C1913)&amp;"",'[2]Retail Price List'!$C$4:$F$102,4,FALSE),"")</f>
        <v/>
      </c>
      <c r="N1913" s="269">
        <f>IFERROR(IF(BA1913="WIP - 30 Days",VLOOKUP(D1913,[3]Extended!$B$9:$E$101,4,FALSE),IF(BA1913="31-120 Days",VLOOKUP(D1913,[3]Extended!$B$9:$F$101,5,FALSE),IF(BA1913="121-365 Days",VLOOKUP(D1913,[3]Extended!$B$9:$G$101,6,FALSE),VLOOKUP(D1913,[3]Extended!$B$9:$H$101,7,FALSE)))),0)</f>
        <v>0</v>
      </c>
      <c r="O1913" s="269">
        <f>IFERROR(IF(BA1913="WIP - 30 Days",VLOOKUP(D1913,[3]Extended!$B$9:$J$101,9,FALSE),IF(BA1913="31-120 Days",VLOOKUP(D1913,[3]Extended!$B$9:$K$101,10,FALSE),IF(BA1913="121-365 Days",VLOOKUP(D1913,[3]Extended!$B$9:$L$101,11,FALSE),VLOOKUP(D1913,[3]Extended!$B$9:$M$101,12,FALSE)))),0)</f>
        <v>0</v>
      </c>
      <c r="P1913" s="116" t="e">
        <f t="shared" si="146"/>
        <v>#VALUE!</v>
      </c>
      <c r="Q1913" s="110" t="e">
        <f>O1913-#REF!</f>
        <v>#REF!</v>
      </c>
      <c r="AT1913" s="88" t="str">
        <f t="shared" si="147"/>
        <v>Special Order0</v>
      </c>
      <c r="AU1913" s="89" t="str">
        <f t="shared" si="148"/>
        <v>01-1900</v>
      </c>
      <c r="BA1913" s="92" t="str">
        <f t="shared" si="149"/>
        <v/>
      </c>
    </row>
    <row r="1914" spans="2:53">
      <c r="B1914" s="60">
        <f>[2]Trucks!A1911</f>
        <v>0</v>
      </c>
      <c r="C1914" s="11">
        <f>[2]Trucks!B1911</f>
        <v>0</v>
      </c>
      <c r="D1914" s="19" t="str">
        <f>IFERROR(VLOOKUP(C1914&amp;"",'[2]Retail Price List'!$A$3:$B$103,2,FALSE),"Special Order")</f>
        <v>Special Order</v>
      </c>
      <c r="E1914" s="18">
        <f>[2]Trucks!J1911</f>
        <v>0</v>
      </c>
      <c r="F1914" s="12">
        <f>[2]Trucks!E1911</f>
        <v>0</v>
      </c>
      <c r="G1914" s="56">
        <f>[2]Trucks!K1911</f>
        <v>0</v>
      </c>
      <c r="H1914" s="46">
        <f>[2]Trucks!I1911</f>
        <v>0</v>
      </c>
      <c r="I1914" s="83" t="str">
        <f t="shared" si="145"/>
        <v/>
      </c>
      <c r="J1914" s="272" t="str">
        <f>IFERROR(VLOOKUP((D1914&amp;C1914)&amp;"",'[2]Retail Price List'!$C$4:$F$102,3,FALSE),"")</f>
        <v/>
      </c>
      <c r="K1914" s="272">
        <f>IFERROR(IF(BA1914="WIP - 30 Days",VLOOKUP(D1914,[3]Standard!$B$9:$E$101,4,FALSE),IF(BA1914="31-120 Days",VLOOKUP(D1914,[3]Standard!$B$9:$F$101,5,FALSE),IF(BA1914="121-365 Days",VLOOKUP(D1914,[3]Standard!$B$9:$G$101,6,FALSE),VLOOKUP(D1914,[3]Standard!$B$9:$H$101,7,FALSE)))),0)</f>
        <v>0</v>
      </c>
      <c r="L1914" s="272">
        <f>IFERROR(IF(BA1914="WIP - 30 Days",VLOOKUP(D1914,[3]Standard!$B$9:$J$101,9,FALSE),IF(BA1914="31-120 Days",VLOOKUP(D1914,[3]Standard!$B$9:$K$100,10,FALSE),IF(BA1914="121-365 Days",VLOOKUP(D1914,[3]Standard!$B$9:$L$101,11,FALSE),VLOOKUP(D1914,[3]Standard!$B$9:$M$101,12,FALSE)))),0)</f>
        <v>0</v>
      </c>
      <c r="M1914" s="269" t="str">
        <f>IFERROR(VLOOKUP((D1914&amp;C1914)&amp;"",'[2]Retail Price List'!$C$4:$F$102,4,FALSE),"")</f>
        <v/>
      </c>
      <c r="N1914" s="269">
        <f>IFERROR(IF(BA1914="WIP - 30 Days",VLOOKUP(D1914,[3]Extended!$B$9:$E$101,4,FALSE),IF(BA1914="31-120 Days",VLOOKUP(D1914,[3]Extended!$B$9:$F$101,5,FALSE),IF(BA1914="121-365 Days",VLOOKUP(D1914,[3]Extended!$B$9:$G$101,6,FALSE),VLOOKUP(D1914,[3]Extended!$B$9:$H$101,7,FALSE)))),0)</f>
        <v>0</v>
      </c>
      <c r="O1914" s="269">
        <f>IFERROR(IF(BA1914="WIP - 30 Days",VLOOKUP(D1914,[3]Extended!$B$9:$J$101,9,FALSE),IF(BA1914="31-120 Days",VLOOKUP(D1914,[3]Extended!$B$9:$K$101,10,FALSE),IF(BA1914="121-365 Days",VLOOKUP(D1914,[3]Extended!$B$9:$L$101,11,FALSE),VLOOKUP(D1914,[3]Extended!$B$9:$M$101,12,FALSE)))),0)</f>
        <v>0</v>
      </c>
      <c r="P1914" s="116" t="e">
        <f t="shared" si="146"/>
        <v>#VALUE!</v>
      </c>
      <c r="Q1914" s="110" t="e">
        <f>O1914-#REF!</f>
        <v>#REF!</v>
      </c>
      <c r="AT1914" s="88" t="str">
        <f t="shared" si="147"/>
        <v>Special Order0</v>
      </c>
      <c r="AU1914" s="89" t="str">
        <f t="shared" si="148"/>
        <v>01-1900</v>
      </c>
      <c r="BA1914" s="92" t="str">
        <f t="shared" si="149"/>
        <v/>
      </c>
    </row>
    <row r="1915" spans="2:53">
      <c r="B1915" s="60">
        <f>[2]Trucks!A1912</f>
        <v>0</v>
      </c>
      <c r="C1915" s="11">
        <f>[2]Trucks!B1912</f>
        <v>0</v>
      </c>
      <c r="D1915" s="19" t="str">
        <f>IFERROR(VLOOKUP(C1915&amp;"",'[2]Retail Price List'!$A$3:$B$103,2,FALSE),"Special Order")</f>
        <v>Special Order</v>
      </c>
      <c r="E1915" s="18">
        <f>[2]Trucks!J1912</f>
        <v>0</v>
      </c>
      <c r="F1915" s="12">
        <f>[2]Trucks!E1912</f>
        <v>0</v>
      </c>
      <c r="G1915" s="56">
        <f>[2]Trucks!K1912</f>
        <v>0</v>
      </c>
      <c r="H1915" s="46">
        <f>[2]Trucks!I1912</f>
        <v>0</v>
      </c>
      <c r="I1915" s="83" t="str">
        <f t="shared" si="145"/>
        <v/>
      </c>
      <c r="J1915" s="272" t="str">
        <f>IFERROR(VLOOKUP((D1915&amp;C1915)&amp;"",'[2]Retail Price List'!$C$4:$F$102,3,FALSE),"")</f>
        <v/>
      </c>
      <c r="K1915" s="272">
        <f>IFERROR(IF(BA1915="WIP - 30 Days",VLOOKUP(D1915,[3]Standard!$B$9:$E$101,4,FALSE),IF(BA1915="31-120 Days",VLOOKUP(D1915,[3]Standard!$B$9:$F$101,5,FALSE),IF(BA1915="121-365 Days",VLOOKUP(D1915,[3]Standard!$B$9:$G$101,6,FALSE),VLOOKUP(D1915,[3]Standard!$B$9:$H$101,7,FALSE)))),0)</f>
        <v>0</v>
      </c>
      <c r="L1915" s="272">
        <f>IFERROR(IF(BA1915="WIP - 30 Days",VLOOKUP(D1915,[3]Standard!$B$9:$J$101,9,FALSE),IF(BA1915="31-120 Days",VLOOKUP(D1915,[3]Standard!$B$9:$K$100,10,FALSE),IF(BA1915="121-365 Days",VLOOKUP(D1915,[3]Standard!$B$9:$L$101,11,FALSE),VLOOKUP(D1915,[3]Standard!$B$9:$M$101,12,FALSE)))),0)</f>
        <v>0</v>
      </c>
      <c r="M1915" s="269" t="str">
        <f>IFERROR(VLOOKUP((D1915&amp;C1915)&amp;"",'[2]Retail Price List'!$C$4:$F$102,4,FALSE),"")</f>
        <v/>
      </c>
      <c r="N1915" s="269">
        <f>IFERROR(IF(BA1915="WIP - 30 Days",VLOOKUP(D1915,[3]Extended!$B$9:$E$101,4,FALSE),IF(BA1915="31-120 Days",VLOOKUP(D1915,[3]Extended!$B$9:$F$101,5,FALSE),IF(BA1915="121-365 Days",VLOOKUP(D1915,[3]Extended!$B$9:$G$101,6,FALSE),VLOOKUP(D1915,[3]Extended!$B$9:$H$101,7,FALSE)))),0)</f>
        <v>0</v>
      </c>
      <c r="O1915" s="269">
        <f>IFERROR(IF(BA1915="WIP - 30 Days",VLOOKUP(D1915,[3]Extended!$B$9:$J$101,9,FALSE),IF(BA1915="31-120 Days",VLOOKUP(D1915,[3]Extended!$B$9:$K$101,10,FALSE),IF(BA1915="121-365 Days",VLOOKUP(D1915,[3]Extended!$B$9:$L$101,11,FALSE),VLOOKUP(D1915,[3]Extended!$B$9:$M$101,12,FALSE)))),0)</f>
        <v>0</v>
      </c>
      <c r="P1915" s="116" t="e">
        <f t="shared" si="146"/>
        <v>#VALUE!</v>
      </c>
      <c r="Q1915" s="110" t="e">
        <f>O1915-#REF!</f>
        <v>#REF!</v>
      </c>
      <c r="AT1915" s="88" t="str">
        <f t="shared" si="147"/>
        <v>Special Order0</v>
      </c>
      <c r="AU1915" s="89" t="str">
        <f t="shared" si="148"/>
        <v>01-1900</v>
      </c>
      <c r="BA1915" s="92" t="str">
        <f t="shared" si="149"/>
        <v/>
      </c>
    </row>
    <row r="1916" spans="2:53">
      <c r="B1916" s="60">
        <f>[2]Trucks!A1913</f>
        <v>0</v>
      </c>
      <c r="C1916" s="11">
        <f>[2]Trucks!B1913</f>
        <v>0</v>
      </c>
      <c r="D1916" s="19" t="str">
        <f>IFERROR(VLOOKUP(C1916&amp;"",'[2]Retail Price List'!$A$3:$B$103,2,FALSE),"Special Order")</f>
        <v>Special Order</v>
      </c>
      <c r="E1916" s="18">
        <f>[2]Trucks!J1913</f>
        <v>0</v>
      </c>
      <c r="F1916" s="12">
        <f>[2]Trucks!E1913</f>
        <v>0</v>
      </c>
      <c r="G1916" s="56">
        <f>[2]Trucks!K1913</f>
        <v>0</v>
      </c>
      <c r="H1916" s="46">
        <f>[2]Trucks!I1913</f>
        <v>0</v>
      </c>
      <c r="I1916" s="83" t="str">
        <f t="shared" si="145"/>
        <v/>
      </c>
      <c r="J1916" s="272" t="str">
        <f>IFERROR(VLOOKUP((D1916&amp;C1916)&amp;"",'[2]Retail Price List'!$C$4:$F$102,3,FALSE),"")</f>
        <v/>
      </c>
      <c r="K1916" s="272">
        <f>IFERROR(IF(BA1916="WIP - 30 Days",VLOOKUP(D1916,[3]Standard!$B$9:$E$101,4,FALSE),IF(BA1916="31-120 Days",VLOOKUP(D1916,[3]Standard!$B$9:$F$101,5,FALSE),IF(BA1916="121-365 Days",VLOOKUP(D1916,[3]Standard!$B$9:$G$101,6,FALSE),VLOOKUP(D1916,[3]Standard!$B$9:$H$101,7,FALSE)))),0)</f>
        <v>0</v>
      </c>
      <c r="L1916" s="272">
        <f>IFERROR(IF(BA1916="WIP - 30 Days",VLOOKUP(D1916,[3]Standard!$B$9:$J$101,9,FALSE),IF(BA1916="31-120 Days",VLOOKUP(D1916,[3]Standard!$B$9:$K$100,10,FALSE),IF(BA1916="121-365 Days",VLOOKUP(D1916,[3]Standard!$B$9:$L$101,11,FALSE),VLOOKUP(D1916,[3]Standard!$B$9:$M$101,12,FALSE)))),0)</f>
        <v>0</v>
      </c>
      <c r="M1916" s="269" t="str">
        <f>IFERROR(VLOOKUP((D1916&amp;C1916)&amp;"",'[2]Retail Price List'!$C$4:$F$102,4,FALSE),"")</f>
        <v/>
      </c>
      <c r="N1916" s="269">
        <f>IFERROR(IF(BA1916="WIP - 30 Days",VLOOKUP(D1916,[3]Extended!$B$9:$E$101,4,FALSE),IF(BA1916="31-120 Days",VLOOKUP(D1916,[3]Extended!$B$9:$F$101,5,FALSE),IF(BA1916="121-365 Days",VLOOKUP(D1916,[3]Extended!$B$9:$G$101,6,FALSE),VLOOKUP(D1916,[3]Extended!$B$9:$H$101,7,FALSE)))),0)</f>
        <v>0</v>
      </c>
      <c r="O1916" s="269">
        <f>IFERROR(IF(BA1916="WIP - 30 Days",VLOOKUP(D1916,[3]Extended!$B$9:$J$101,9,FALSE),IF(BA1916="31-120 Days",VLOOKUP(D1916,[3]Extended!$B$9:$K$101,10,FALSE),IF(BA1916="121-365 Days",VLOOKUP(D1916,[3]Extended!$B$9:$L$101,11,FALSE),VLOOKUP(D1916,[3]Extended!$B$9:$M$101,12,FALSE)))),0)</f>
        <v>0</v>
      </c>
      <c r="P1916" s="116" t="e">
        <f t="shared" si="146"/>
        <v>#VALUE!</v>
      </c>
      <c r="Q1916" s="110" t="e">
        <f>O1916-#REF!</f>
        <v>#REF!</v>
      </c>
      <c r="AT1916" s="88" t="str">
        <f t="shared" si="147"/>
        <v>Special Order0</v>
      </c>
      <c r="AU1916" s="89" t="str">
        <f t="shared" si="148"/>
        <v>01-1900</v>
      </c>
      <c r="BA1916" s="92" t="str">
        <f t="shared" si="149"/>
        <v/>
      </c>
    </row>
    <row r="1917" spans="2:53">
      <c r="B1917" s="60">
        <f>[2]Trucks!A1914</f>
        <v>0</v>
      </c>
      <c r="C1917" s="11">
        <f>[2]Trucks!B1914</f>
        <v>0</v>
      </c>
      <c r="D1917" s="19" t="str">
        <f>IFERROR(VLOOKUP(C1917&amp;"",'[2]Retail Price List'!$A$3:$B$103,2,FALSE),"Special Order")</f>
        <v>Special Order</v>
      </c>
      <c r="E1917" s="18">
        <f>[2]Trucks!J1914</f>
        <v>0</v>
      </c>
      <c r="F1917" s="12">
        <f>[2]Trucks!E1914</f>
        <v>0</v>
      </c>
      <c r="G1917" s="56">
        <f>[2]Trucks!K1914</f>
        <v>0</v>
      </c>
      <c r="H1917" s="46">
        <f>[2]Trucks!I1914</f>
        <v>0</v>
      </c>
      <c r="I1917" s="83" t="str">
        <f t="shared" si="145"/>
        <v/>
      </c>
      <c r="J1917" s="272" t="str">
        <f>IFERROR(VLOOKUP((D1917&amp;C1917)&amp;"",'[2]Retail Price List'!$C$4:$F$102,3,FALSE),"")</f>
        <v/>
      </c>
      <c r="K1917" s="272">
        <f>IFERROR(IF(BA1917="WIP - 30 Days",VLOOKUP(D1917,[3]Standard!$B$9:$E$101,4,FALSE),IF(BA1917="31-120 Days",VLOOKUP(D1917,[3]Standard!$B$9:$F$101,5,FALSE),IF(BA1917="121-365 Days",VLOOKUP(D1917,[3]Standard!$B$9:$G$101,6,FALSE),VLOOKUP(D1917,[3]Standard!$B$9:$H$101,7,FALSE)))),0)</f>
        <v>0</v>
      </c>
      <c r="L1917" s="272">
        <f>IFERROR(IF(BA1917="WIP - 30 Days",VLOOKUP(D1917,[3]Standard!$B$9:$J$101,9,FALSE),IF(BA1917="31-120 Days",VLOOKUP(D1917,[3]Standard!$B$9:$K$100,10,FALSE),IF(BA1917="121-365 Days",VLOOKUP(D1917,[3]Standard!$B$9:$L$101,11,FALSE),VLOOKUP(D1917,[3]Standard!$B$9:$M$101,12,FALSE)))),0)</f>
        <v>0</v>
      </c>
      <c r="M1917" s="269" t="str">
        <f>IFERROR(VLOOKUP((D1917&amp;C1917)&amp;"",'[2]Retail Price List'!$C$4:$F$102,4,FALSE),"")</f>
        <v/>
      </c>
      <c r="N1917" s="269">
        <f>IFERROR(IF(BA1917="WIP - 30 Days",VLOOKUP(D1917,[3]Extended!$B$9:$E$101,4,FALSE),IF(BA1917="31-120 Days",VLOOKUP(D1917,[3]Extended!$B$9:$F$101,5,FALSE),IF(BA1917="121-365 Days",VLOOKUP(D1917,[3]Extended!$B$9:$G$101,6,FALSE),VLOOKUP(D1917,[3]Extended!$B$9:$H$101,7,FALSE)))),0)</f>
        <v>0</v>
      </c>
      <c r="O1917" s="269">
        <f>IFERROR(IF(BA1917="WIP - 30 Days",VLOOKUP(D1917,[3]Extended!$B$9:$J$101,9,FALSE),IF(BA1917="31-120 Days",VLOOKUP(D1917,[3]Extended!$B$9:$K$101,10,FALSE),IF(BA1917="121-365 Days",VLOOKUP(D1917,[3]Extended!$B$9:$L$101,11,FALSE),VLOOKUP(D1917,[3]Extended!$B$9:$M$101,12,FALSE)))),0)</f>
        <v>0</v>
      </c>
      <c r="P1917" s="116" t="e">
        <f t="shared" si="146"/>
        <v>#VALUE!</v>
      </c>
      <c r="Q1917" s="110" t="e">
        <f>O1917-#REF!</f>
        <v>#REF!</v>
      </c>
      <c r="AT1917" s="88" t="str">
        <f t="shared" si="147"/>
        <v>Special Order0</v>
      </c>
      <c r="AU1917" s="89" t="str">
        <f t="shared" si="148"/>
        <v>01-1900</v>
      </c>
      <c r="BA1917" s="92" t="str">
        <f t="shared" si="149"/>
        <v/>
      </c>
    </row>
    <row r="1918" spans="2:53">
      <c r="B1918" s="60">
        <f>[2]Trucks!A1915</f>
        <v>0</v>
      </c>
      <c r="C1918" s="11">
        <f>[2]Trucks!B1915</f>
        <v>0</v>
      </c>
      <c r="D1918" s="19" t="str">
        <f>IFERROR(VLOOKUP(C1918&amp;"",'[2]Retail Price List'!$A$3:$B$103,2,FALSE),"Special Order")</f>
        <v>Special Order</v>
      </c>
      <c r="E1918" s="18">
        <f>[2]Trucks!J1915</f>
        <v>0</v>
      </c>
      <c r="F1918" s="12">
        <f>[2]Trucks!E1915</f>
        <v>0</v>
      </c>
      <c r="G1918" s="56">
        <f>[2]Trucks!K1915</f>
        <v>0</v>
      </c>
      <c r="H1918" s="46">
        <f>[2]Trucks!I1915</f>
        <v>0</v>
      </c>
      <c r="I1918" s="83" t="str">
        <f t="shared" si="145"/>
        <v/>
      </c>
      <c r="J1918" s="272" t="str">
        <f>IFERROR(VLOOKUP((D1918&amp;C1918)&amp;"",'[2]Retail Price List'!$C$4:$F$102,3,FALSE),"")</f>
        <v/>
      </c>
      <c r="K1918" s="272">
        <f>IFERROR(IF(BA1918="WIP - 30 Days",VLOOKUP(D1918,[3]Standard!$B$9:$E$101,4,FALSE),IF(BA1918="31-120 Days",VLOOKUP(D1918,[3]Standard!$B$9:$F$101,5,FALSE),IF(BA1918="121-365 Days",VLOOKUP(D1918,[3]Standard!$B$9:$G$101,6,FALSE),VLOOKUP(D1918,[3]Standard!$B$9:$H$101,7,FALSE)))),0)</f>
        <v>0</v>
      </c>
      <c r="L1918" s="272">
        <f>IFERROR(IF(BA1918="WIP - 30 Days",VLOOKUP(D1918,[3]Standard!$B$9:$J$101,9,FALSE),IF(BA1918="31-120 Days",VLOOKUP(D1918,[3]Standard!$B$9:$K$100,10,FALSE),IF(BA1918="121-365 Days",VLOOKUP(D1918,[3]Standard!$B$9:$L$101,11,FALSE),VLOOKUP(D1918,[3]Standard!$B$9:$M$101,12,FALSE)))),0)</f>
        <v>0</v>
      </c>
      <c r="M1918" s="269" t="str">
        <f>IFERROR(VLOOKUP((D1918&amp;C1918)&amp;"",'[2]Retail Price List'!$C$4:$F$102,4,FALSE),"")</f>
        <v/>
      </c>
      <c r="N1918" s="269">
        <f>IFERROR(IF(BA1918="WIP - 30 Days",VLOOKUP(D1918,[3]Extended!$B$9:$E$101,4,FALSE),IF(BA1918="31-120 Days",VLOOKUP(D1918,[3]Extended!$B$9:$F$101,5,FALSE),IF(BA1918="121-365 Days",VLOOKUP(D1918,[3]Extended!$B$9:$G$101,6,FALSE),VLOOKUP(D1918,[3]Extended!$B$9:$H$101,7,FALSE)))),0)</f>
        <v>0</v>
      </c>
      <c r="O1918" s="269">
        <f>IFERROR(IF(BA1918="WIP - 30 Days",VLOOKUP(D1918,[3]Extended!$B$9:$J$101,9,FALSE),IF(BA1918="31-120 Days",VLOOKUP(D1918,[3]Extended!$B$9:$K$101,10,FALSE),IF(BA1918="121-365 Days",VLOOKUP(D1918,[3]Extended!$B$9:$L$101,11,FALSE),VLOOKUP(D1918,[3]Extended!$B$9:$M$101,12,FALSE)))),0)</f>
        <v>0</v>
      </c>
      <c r="P1918" s="116" t="e">
        <f t="shared" si="146"/>
        <v>#VALUE!</v>
      </c>
      <c r="Q1918" s="110" t="e">
        <f>O1918-#REF!</f>
        <v>#REF!</v>
      </c>
      <c r="AT1918" s="88" t="str">
        <f t="shared" si="147"/>
        <v>Special Order0</v>
      </c>
      <c r="AU1918" s="89" t="str">
        <f t="shared" si="148"/>
        <v>01-1900</v>
      </c>
      <c r="BA1918" s="92" t="str">
        <f t="shared" si="149"/>
        <v/>
      </c>
    </row>
    <row r="1919" spans="2:53">
      <c r="B1919" s="60">
        <f>[2]Trucks!A1916</f>
        <v>0</v>
      </c>
      <c r="C1919" s="11">
        <f>[2]Trucks!B1916</f>
        <v>0</v>
      </c>
      <c r="D1919" s="19" t="str">
        <f>IFERROR(VLOOKUP(C1919&amp;"",'[2]Retail Price List'!$A$3:$B$103,2,FALSE),"Special Order")</f>
        <v>Special Order</v>
      </c>
      <c r="E1919" s="18">
        <f>[2]Trucks!J1916</f>
        <v>0</v>
      </c>
      <c r="F1919" s="12">
        <f>[2]Trucks!E1916</f>
        <v>0</v>
      </c>
      <c r="G1919" s="56">
        <f>[2]Trucks!K1916</f>
        <v>0</v>
      </c>
      <c r="H1919" s="46">
        <f>[2]Trucks!I1916</f>
        <v>0</v>
      </c>
      <c r="I1919" s="83" t="str">
        <f t="shared" si="145"/>
        <v/>
      </c>
      <c r="J1919" s="272" t="str">
        <f>IFERROR(VLOOKUP((D1919&amp;C1919)&amp;"",'[2]Retail Price List'!$C$4:$F$102,3,FALSE),"")</f>
        <v/>
      </c>
      <c r="K1919" s="272">
        <f>IFERROR(IF(BA1919="WIP - 30 Days",VLOOKUP(D1919,[3]Standard!$B$9:$E$101,4,FALSE),IF(BA1919="31-120 Days",VLOOKUP(D1919,[3]Standard!$B$9:$F$101,5,FALSE),IF(BA1919="121-365 Days",VLOOKUP(D1919,[3]Standard!$B$9:$G$101,6,FALSE),VLOOKUP(D1919,[3]Standard!$B$9:$H$101,7,FALSE)))),0)</f>
        <v>0</v>
      </c>
      <c r="L1919" s="272">
        <f>IFERROR(IF(BA1919="WIP - 30 Days",VLOOKUP(D1919,[3]Standard!$B$9:$J$101,9,FALSE),IF(BA1919="31-120 Days",VLOOKUP(D1919,[3]Standard!$B$9:$K$100,10,FALSE),IF(BA1919="121-365 Days",VLOOKUP(D1919,[3]Standard!$B$9:$L$101,11,FALSE),VLOOKUP(D1919,[3]Standard!$B$9:$M$101,12,FALSE)))),0)</f>
        <v>0</v>
      </c>
      <c r="M1919" s="269" t="str">
        <f>IFERROR(VLOOKUP((D1919&amp;C1919)&amp;"",'[2]Retail Price List'!$C$4:$F$102,4,FALSE),"")</f>
        <v/>
      </c>
      <c r="N1919" s="269">
        <f>IFERROR(IF(BA1919="WIP - 30 Days",VLOOKUP(D1919,[3]Extended!$B$9:$E$101,4,FALSE),IF(BA1919="31-120 Days",VLOOKUP(D1919,[3]Extended!$B$9:$F$101,5,FALSE),IF(BA1919="121-365 Days",VLOOKUP(D1919,[3]Extended!$B$9:$G$101,6,FALSE),VLOOKUP(D1919,[3]Extended!$B$9:$H$101,7,FALSE)))),0)</f>
        <v>0</v>
      </c>
      <c r="O1919" s="269">
        <f>IFERROR(IF(BA1919="WIP - 30 Days",VLOOKUP(D1919,[3]Extended!$B$9:$J$101,9,FALSE),IF(BA1919="31-120 Days",VLOOKUP(D1919,[3]Extended!$B$9:$K$101,10,FALSE),IF(BA1919="121-365 Days",VLOOKUP(D1919,[3]Extended!$B$9:$L$101,11,FALSE),VLOOKUP(D1919,[3]Extended!$B$9:$M$101,12,FALSE)))),0)</f>
        <v>0</v>
      </c>
      <c r="P1919" s="116" t="e">
        <f t="shared" si="146"/>
        <v>#VALUE!</v>
      </c>
      <c r="Q1919" s="110" t="e">
        <f>O1919-#REF!</f>
        <v>#REF!</v>
      </c>
      <c r="AT1919" s="88" t="str">
        <f t="shared" si="147"/>
        <v>Special Order0</v>
      </c>
      <c r="AU1919" s="89" t="str">
        <f t="shared" si="148"/>
        <v>01-1900</v>
      </c>
      <c r="BA1919" s="92" t="str">
        <f t="shared" si="149"/>
        <v/>
      </c>
    </row>
    <row r="1920" spans="2:53">
      <c r="B1920" s="60">
        <f>[2]Trucks!A1917</f>
        <v>0</v>
      </c>
      <c r="C1920" s="11">
        <f>[2]Trucks!B1917</f>
        <v>0</v>
      </c>
      <c r="D1920" s="19" t="str">
        <f>IFERROR(VLOOKUP(C1920&amp;"",'[2]Retail Price List'!$A$3:$B$103,2,FALSE),"Special Order")</f>
        <v>Special Order</v>
      </c>
      <c r="E1920" s="18">
        <f>[2]Trucks!J1917</f>
        <v>0</v>
      </c>
      <c r="F1920" s="12">
        <f>[2]Trucks!E1917</f>
        <v>0</v>
      </c>
      <c r="G1920" s="56">
        <f>[2]Trucks!K1917</f>
        <v>0</v>
      </c>
      <c r="H1920" s="46">
        <f>[2]Trucks!I1917</f>
        <v>0</v>
      </c>
      <c r="I1920" s="83" t="str">
        <f t="shared" si="145"/>
        <v/>
      </c>
      <c r="J1920" s="272" t="str">
        <f>IFERROR(VLOOKUP((D1920&amp;C1920)&amp;"",'[2]Retail Price List'!$C$4:$F$102,3,FALSE),"")</f>
        <v/>
      </c>
      <c r="K1920" s="272">
        <f>IFERROR(IF(BA1920="WIP - 30 Days",VLOOKUP(D1920,[3]Standard!$B$9:$E$101,4,FALSE),IF(BA1920="31-120 Days",VLOOKUP(D1920,[3]Standard!$B$9:$F$101,5,FALSE),IF(BA1920="121-365 Days",VLOOKUP(D1920,[3]Standard!$B$9:$G$101,6,FALSE),VLOOKUP(D1920,[3]Standard!$B$9:$H$101,7,FALSE)))),0)</f>
        <v>0</v>
      </c>
      <c r="L1920" s="272">
        <f>IFERROR(IF(BA1920="WIP - 30 Days",VLOOKUP(D1920,[3]Standard!$B$9:$J$101,9,FALSE),IF(BA1920="31-120 Days",VLOOKUP(D1920,[3]Standard!$B$9:$K$100,10,FALSE),IF(BA1920="121-365 Days",VLOOKUP(D1920,[3]Standard!$B$9:$L$101,11,FALSE),VLOOKUP(D1920,[3]Standard!$B$9:$M$101,12,FALSE)))),0)</f>
        <v>0</v>
      </c>
      <c r="M1920" s="269" t="str">
        <f>IFERROR(VLOOKUP((D1920&amp;C1920)&amp;"",'[2]Retail Price List'!$C$4:$F$102,4,FALSE),"")</f>
        <v/>
      </c>
      <c r="N1920" s="269">
        <f>IFERROR(IF(BA1920="WIP - 30 Days",VLOOKUP(D1920,[3]Extended!$B$9:$E$101,4,FALSE),IF(BA1920="31-120 Days",VLOOKUP(D1920,[3]Extended!$B$9:$F$101,5,FALSE),IF(BA1920="121-365 Days",VLOOKUP(D1920,[3]Extended!$B$9:$G$101,6,FALSE),VLOOKUP(D1920,[3]Extended!$B$9:$H$101,7,FALSE)))),0)</f>
        <v>0</v>
      </c>
      <c r="O1920" s="269">
        <f>IFERROR(IF(BA1920="WIP - 30 Days",VLOOKUP(D1920,[3]Extended!$B$9:$J$101,9,FALSE),IF(BA1920="31-120 Days",VLOOKUP(D1920,[3]Extended!$B$9:$K$101,10,FALSE),IF(BA1920="121-365 Days",VLOOKUP(D1920,[3]Extended!$B$9:$L$101,11,FALSE),VLOOKUP(D1920,[3]Extended!$B$9:$M$101,12,FALSE)))),0)</f>
        <v>0</v>
      </c>
      <c r="P1920" s="116" t="e">
        <f t="shared" si="146"/>
        <v>#VALUE!</v>
      </c>
      <c r="Q1920" s="110" t="e">
        <f>O1920-#REF!</f>
        <v>#REF!</v>
      </c>
      <c r="AT1920" s="88" t="str">
        <f t="shared" si="147"/>
        <v>Special Order0</v>
      </c>
      <c r="AU1920" s="89" t="str">
        <f t="shared" si="148"/>
        <v>01-1900</v>
      </c>
      <c r="BA1920" s="92" t="str">
        <f t="shared" si="149"/>
        <v/>
      </c>
    </row>
    <row r="1921" spans="2:53">
      <c r="B1921" s="60">
        <f>[2]Trucks!A1918</f>
        <v>0</v>
      </c>
      <c r="C1921" s="11">
        <f>[2]Trucks!B1918</f>
        <v>0</v>
      </c>
      <c r="D1921" s="19" t="str">
        <f>IFERROR(VLOOKUP(C1921&amp;"",'[2]Retail Price List'!$A$3:$B$103,2,FALSE),"Special Order")</f>
        <v>Special Order</v>
      </c>
      <c r="E1921" s="18">
        <f>[2]Trucks!J1918</f>
        <v>0</v>
      </c>
      <c r="F1921" s="12">
        <f>[2]Trucks!E1918</f>
        <v>0</v>
      </c>
      <c r="G1921" s="56">
        <f>[2]Trucks!K1918</f>
        <v>0</v>
      </c>
      <c r="H1921" s="46">
        <f>[2]Trucks!I1918</f>
        <v>0</v>
      </c>
      <c r="I1921" s="83" t="str">
        <f t="shared" si="145"/>
        <v/>
      </c>
      <c r="J1921" s="272" t="str">
        <f>IFERROR(VLOOKUP((D1921&amp;C1921)&amp;"",'[2]Retail Price List'!$C$4:$F$102,3,FALSE),"")</f>
        <v/>
      </c>
      <c r="K1921" s="272">
        <f>IFERROR(IF(BA1921="WIP - 30 Days",VLOOKUP(D1921,[3]Standard!$B$9:$E$101,4,FALSE),IF(BA1921="31-120 Days",VLOOKUP(D1921,[3]Standard!$B$9:$F$101,5,FALSE),IF(BA1921="121-365 Days",VLOOKUP(D1921,[3]Standard!$B$9:$G$101,6,FALSE),VLOOKUP(D1921,[3]Standard!$B$9:$H$101,7,FALSE)))),0)</f>
        <v>0</v>
      </c>
      <c r="L1921" s="272">
        <f>IFERROR(IF(BA1921="WIP - 30 Days",VLOOKUP(D1921,[3]Standard!$B$9:$J$101,9,FALSE),IF(BA1921="31-120 Days",VLOOKUP(D1921,[3]Standard!$B$9:$K$100,10,FALSE),IF(BA1921="121-365 Days",VLOOKUP(D1921,[3]Standard!$B$9:$L$101,11,FALSE),VLOOKUP(D1921,[3]Standard!$B$9:$M$101,12,FALSE)))),0)</f>
        <v>0</v>
      </c>
      <c r="M1921" s="269" t="str">
        <f>IFERROR(VLOOKUP((D1921&amp;C1921)&amp;"",'[2]Retail Price List'!$C$4:$F$102,4,FALSE),"")</f>
        <v/>
      </c>
      <c r="N1921" s="269">
        <f>IFERROR(IF(BA1921="WIP - 30 Days",VLOOKUP(D1921,[3]Extended!$B$9:$E$101,4,FALSE),IF(BA1921="31-120 Days",VLOOKUP(D1921,[3]Extended!$B$9:$F$101,5,FALSE),IF(BA1921="121-365 Days",VLOOKUP(D1921,[3]Extended!$B$9:$G$101,6,FALSE),VLOOKUP(D1921,[3]Extended!$B$9:$H$101,7,FALSE)))),0)</f>
        <v>0</v>
      </c>
      <c r="O1921" s="269">
        <f>IFERROR(IF(BA1921="WIP - 30 Days",VLOOKUP(D1921,[3]Extended!$B$9:$J$101,9,FALSE),IF(BA1921="31-120 Days",VLOOKUP(D1921,[3]Extended!$B$9:$K$101,10,FALSE),IF(BA1921="121-365 Days",VLOOKUP(D1921,[3]Extended!$B$9:$L$101,11,FALSE),VLOOKUP(D1921,[3]Extended!$B$9:$M$101,12,FALSE)))),0)</f>
        <v>0</v>
      </c>
      <c r="P1921" s="116" t="e">
        <f t="shared" si="146"/>
        <v>#VALUE!</v>
      </c>
      <c r="Q1921" s="110" t="e">
        <f>O1921-#REF!</f>
        <v>#REF!</v>
      </c>
      <c r="AT1921" s="88" t="str">
        <f t="shared" si="147"/>
        <v>Special Order0</v>
      </c>
      <c r="AU1921" s="89" t="str">
        <f t="shared" si="148"/>
        <v>01-1900</v>
      </c>
      <c r="BA1921" s="92" t="str">
        <f t="shared" si="149"/>
        <v/>
      </c>
    </row>
    <row r="1922" spans="2:53">
      <c r="B1922" s="60">
        <f>[2]Trucks!A1919</f>
        <v>0</v>
      </c>
      <c r="C1922" s="11">
        <f>[2]Trucks!B1919</f>
        <v>0</v>
      </c>
      <c r="D1922" s="19" t="str">
        <f>IFERROR(VLOOKUP(C1922&amp;"",'[2]Retail Price List'!$A$3:$B$103,2,FALSE),"Special Order")</f>
        <v>Special Order</v>
      </c>
      <c r="E1922" s="18">
        <f>[2]Trucks!J1919</f>
        <v>0</v>
      </c>
      <c r="F1922" s="12">
        <f>[2]Trucks!E1919</f>
        <v>0</v>
      </c>
      <c r="G1922" s="56">
        <f>[2]Trucks!K1919</f>
        <v>0</v>
      </c>
      <c r="H1922" s="46">
        <f>[2]Trucks!I1919</f>
        <v>0</v>
      </c>
      <c r="I1922" s="83" t="str">
        <f t="shared" si="145"/>
        <v/>
      </c>
      <c r="J1922" s="272" t="str">
        <f>IFERROR(VLOOKUP((D1922&amp;C1922)&amp;"",'[2]Retail Price List'!$C$4:$F$102,3,FALSE),"")</f>
        <v/>
      </c>
      <c r="K1922" s="272">
        <f>IFERROR(IF(BA1922="WIP - 30 Days",VLOOKUP(D1922,[3]Standard!$B$9:$E$101,4,FALSE),IF(BA1922="31-120 Days",VLOOKUP(D1922,[3]Standard!$B$9:$F$101,5,FALSE),IF(BA1922="121-365 Days",VLOOKUP(D1922,[3]Standard!$B$9:$G$101,6,FALSE),VLOOKUP(D1922,[3]Standard!$B$9:$H$101,7,FALSE)))),0)</f>
        <v>0</v>
      </c>
      <c r="L1922" s="272">
        <f>IFERROR(IF(BA1922="WIP - 30 Days",VLOOKUP(D1922,[3]Standard!$B$9:$J$101,9,FALSE),IF(BA1922="31-120 Days",VLOOKUP(D1922,[3]Standard!$B$9:$K$100,10,FALSE),IF(BA1922="121-365 Days",VLOOKUP(D1922,[3]Standard!$B$9:$L$101,11,FALSE),VLOOKUP(D1922,[3]Standard!$B$9:$M$101,12,FALSE)))),0)</f>
        <v>0</v>
      </c>
      <c r="M1922" s="269" t="str">
        <f>IFERROR(VLOOKUP((D1922&amp;C1922)&amp;"",'[2]Retail Price List'!$C$4:$F$102,4,FALSE),"")</f>
        <v/>
      </c>
      <c r="N1922" s="269">
        <f>IFERROR(IF(BA1922="WIP - 30 Days",VLOOKUP(D1922,[3]Extended!$B$9:$E$101,4,FALSE),IF(BA1922="31-120 Days",VLOOKUP(D1922,[3]Extended!$B$9:$F$101,5,FALSE),IF(BA1922="121-365 Days",VLOOKUP(D1922,[3]Extended!$B$9:$G$101,6,FALSE),VLOOKUP(D1922,[3]Extended!$B$9:$H$101,7,FALSE)))),0)</f>
        <v>0</v>
      </c>
      <c r="O1922" s="269">
        <f>IFERROR(IF(BA1922="WIP - 30 Days",VLOOKUP(D1922,[3]Extended!$B$9:$J$101,9,FALSE),IF(BA1922="31-120 Days",VLOOKUP(D1922,[3]Extended!$B$9:$K$101,10,FALSE),IF(BA1922="121-365 Days",VLOOKUP(D1922,[3]Extended!$B$9:$L$101,11,FALSE),VLOOKUP(D1922,[3]Extended!$B$9:$M$101,12,FALSE)))),0)</f>
        <v>0</v>
      </c>
      <c r="P1922" s="116" t="e">
        <f t="shared" si="146"/>
        <v>#VALUE!</v>
      </c>
      <c r="Q1922" s="110" t="e">
        <f>O1922-#REF!</f>
        <v>#REF!</v>
      </c>
      <c r="AT1922" s="88" t="str">
        <f t="shared" si="147"/>
        <v>Special Order0</v>
      </c>
      <c r="AU1922" s="89" t="str">
        <f t="shared" si="148"/>
        <v>01-1900</v>
      </c>
      <c r="BA1922" s="92" t="str">
        <f t="shared" si="149"/>
        <v/>
      </c>
    </row>
    <row r="1923" spans="2:53">
      <c r="B1923" s="60">
        <f>[2]Trucks!A1920</f>
        <v>0</v>
      </c>
      <c r="C1923" s="11">
        <f>[2]Trucks!B1920</f>
        <v>0</v>
      </c>
      <c r="D1923" s="19" t="str">
        <f>IFERROR(VLOOKUP(C1923&amp;"",'[2]Retail Price List'!$A$3:$B$103,2,FALSE),"Special Order")</f>
        <v>Special Order</v>
      </c>
      <c r="E1923" s="18">
        <f>[2]Trucks!J1920</f>
        <v>0</v>
      </c>
      <c r="F1923" s="12">
        <f>[2]Trucks!E1920</f>
        <v>0</v>
      </c>
      <c r="G1923" s="56">
        <f>[2]Trucks!K1920</f>
        <v>0</v>
      </c>
      <c r="H1923" s="46">
        <f>[2]Trucks!I1920</f>
        <v>0</v>
      </c>
      <c r="I1923" s="83" t="str">
        <f t="shared" si="145"/>
        <v/>
      </c>
      <c r="J1923" s="272" t="str">
        <f>IFERROR(VLOOKUP((D1923&amp;C1923)&amp;"",'[2]Retail Price List'!$C$4:$F$102,3,FALSE),"")</f>
        <v/>
      </c>
      <c r="K1923" s="272">
        <f>IFERROR(IF(BA1923="WIP - 30 Days",VLOOKUP(D1923,[3]Standard!$B$9:$E$101,4,FALSE),IF(BA1923="31-120 Days",VLOOKUP(D1923,[3]Standard!$B$9:$F$101,5,FALSE),IF(BA1923="121-365 Days",VLOOKUP(D1923,[3]Standard!$B$9:$G$101,6,FALSE),VLOOKUP(D1923,[3]Standard!$B$9:$H$101,7,FALSE)))),0)</f>
        <v>0</v>
      </c>
      <c r="L1923" s="272">
        <f>IFERROR(IF(BA1923="WIP - 30 Days",VLOOKUP(D1923,[3]Standard!$B$9:$J$101,9,FALSE),IF(BA1923="31-120 Days",VLOOKUP(D1923,[3]Standard!$B$9:$K$100,10,FALSE),IF(BA1923="121-365 Days",VLOOKUP(D1923,[3]Standard!$B$9:$L$101,11,FALSE),VLOOKUP(D1923,[3]Standard!$B$9:$M$101,12,FALSE)))),0)</f>
        <v>0</v>
      </c>
      <c r="M1923" s="269" t="str">
        <f>IFERROR(VLOOKUP((D1923&amp;C1923)&amp;"",'[2]Retail Price List'!$C$4:$F$102,4,FALSE),"")</f>
        <v/>
      </c>
      <c r="N1923" s="269">
        <f>IFERROR(IF(BA1923="WIP - 30 Days",VLOOKUP(D1923,[3]Extended!$B$9:$E$101,4,FALSE),IF(BA1923="31-120 Days",VLOOKUP(D1923,[3]Extended!$B$9:$F$101,5,FALSE),IF(BA1923="121-365 Days",VLOOKUP(D1923,[3]Extended!$B$9:$G$101,6,FALSE),VLOOKUP(D1923,[3]Extended!$B$9:$H$101,7,FALSE)))),0)</f>
        <v>0</v>
      </c>
      <c r="O1923" s="269">
        <f>IFERROR(IF(BA1923="WIP - 30 Days",VLOOKUP(D1923,[3]Extended!$B$9:$J$101,9,FALSE),IF(BA1923="31-120 Days",VLOOKUP(D1923,[3]Extended!$B$9:$K$101,10,FALSE),IF(BA1923="121-365 Days",VLOOKUP(D1923,[3]Extended!$B$9:$L$101,11,FALSE),VLOOKUP(D1923,[3]Extended!$B$9:$M$101,12,FALSE)))),0)</f>
        <v>0</v>
      </c>
      <c r="P1923" s="116" t="e">
        <f t="shared" si="146"/>
        <v>#VALUE!</v>
      </c>
      <c r="Q1923" s="110" t="e">
        <f>O1923-#REF!</f>
        <v>#REF!</v>
      </c>
      <c r="AT1923" s="88" t="str">
        <f t="shared" si="147"/>
        <v>Special Order0</v>
      </c>
      <c r="AU1923" s="89" t="str">
        <f t="shared" si="148"/>
        <v>01-1900</v>
      </c>
      <c r="BA1923" s="92" t="str">
        <f t="shared" si="149"/>
        <v/>
      </c>
    </row>
    <row r="1924" spans="2:53">
      <c r="B1924" s="60">
        <f>[2]Trucks!A1921</f>
        <v>0</v>
      </c>
      <c r="C1924" s="11">
        <f>[2]Trucks!B1921</f>
        <v>0</v>
      </c>
      <c r="D1924" s="19" t="str">
        <f>IFERROR(VLOOKUP(C1924&amp;"",'[2]Retail Price List'!$A$3:$B$103,2,FALSE),"Special Order")</f>
        <v>Special Order</v>
      </c>
      <c r="E1924" s="18">
        <f>[2]Trucks!J1921</f>
        <v>0</v>
      </c>
      <c r="F1924" s="12">
        <f>[2]Trucks!E1921</f>
        <v>0</v>
      </c>
      <c r="G1924" s="56">
        <f>[2]Trucks!K1921</f>
        <v>0</v>
      </c>
      <c r="H1924" s="46">
        <f>[2]Trucks!I1921</f>
        <v>0</v>
      </c>
      <c r="I1924" s="83" t="str">
        <f t="shared" si="145"/>
        <v/>
      </c>
      <c r="J1924" s="272" t="str">
        <f>IFERROR(VLOOKUP((D1924&amp;C1924)&amp;"",'[2]Retail Price List'!$C$4:$F$102,3,FALSE),"")</f>
        <v/>
      </c>
      <c r="K1924" s="272">
        <f>IFERROR(IF(BA1924="WIP - 30 Days",VLOOKUP(D1924,[3]Standard!$B$9:$E$101,4,FALSE),IF(BA1924="31-120 Days",VLOOKUP(D1924,[3]Standard!$B$9:$F$101,5,FALSE),IF(BA1924="121-365 Days",VLOOKUP(D1924,[3]Standard!$B$9:$G$101,6,FALSE),VLOOKUP(D1924,[3]Standard!$B$9:$H$101,7,FALSE)))),0)</f>
        <v>0</v>
      </c>
      <c r="L1924" s="272">
        <f>IFERROR(IF(BA1924="WIP - 30 Days",VLOOKUP(D1924,[3]Standard!$B$9:$J$101,9,FALSE),IF(BA1924="31-120 Days",VLOOKUP(D1924,[3]Standard!$B$9:$K$100,10,FALSE),IF(BA1924="121-365 Days",VLOOKUP(D1924,[3]Standard!$B$9:$L$101,11,FALSE),VLOOKUP(D1924,[3]Standard!$B$9:$M$101,12,FALSE)))),0)</f>
        <v>0</v>
      </c>
      <c r="M1924" s="269" t="str">
        <f>IFERROR(VLOOKUP((D1924&amp;C1924)&amp;"",'[2]Retail Price List'!$C$4:$F$102,4,FALSE),"")</f>
        <v/>
      </c>
      <c r="N1924" s="269">
        <f>IFERROR(IF(BA1924="WIP - 30 Days",VLOOKUP(D1924,[3]Extended!$B$9:$E$101,4,FALSE),IF(BA1924="31-120 Days",VLOOKUP(D1924,[3]Extended!$B$9:$F$101,5,FALSE),IF(BA1924="121-365 Days",VLOOKUP(D1924,[3]Extended!$B$9:$G$101,6,FALSE),VLOOKUP(D1924,[3]Extended!$B$9:$H$101,7,FALSE)))),0)</f>
        <v>0</v>
      </c>
      <c r="O1924" s="269">
        <f>IFERROR(IF(BA1924="WIP - 30 Days",VLOOKUP(D1924,[3]Extended!$B$9:$J$101,9,FALSE),IF(BA1924="31-120 Days",VLOOKUP(D1924,[3]Extended!$B$9:$K$101,10,FALSE),IF(BA1924="121-365 Days",VLOOKUP(D1924,[3]Extended!$B$9:$L$101,11,FALSE),VLOOKUP(D1924,[3]Extended!$B$9:$M$101,12,FALSE)))),0)</f>
        <v>0</v>
      </c>
      <c r="P1924" s="116" t="e">
        <f t="shared" si="146"/>
        <v>#VALUE!</v>
      </c>
      <c r="Q1924" s="110" t="e">
        <f>O1924-#REF!</f>
        <v>#REF!</v>
      </c>
      <c r="AT1924" s="88" t="str">
        <f t="shared" si="147"/>
        <v>Special Order0</v>
      </c>
      <c r="AU1924" s="89" t="str">
        <f t="shared" si="148"/>
        <v>01-1900</v>
      </c>
      <c r="BA1924" s="92" t="str">
        <f t="shared" si="149"/>
        <v/>
      </c>
    </row>
    <row r="1925" spans="2:53">
      <c r="B1925" s="60">
        <f>[2]Trucks!A1922</f>
        <v>0</v>
      </c>
      <c r="C1925" s="11">
        <f>[2]Trucks!B1922</f>
        <v>0</v>
      </c>
      <c r="D1925" s="19" t="str">
        <f>IFERROR(VLOOKUP(C1925&amp;"",'[2]Retail Price List'!$A$3:$B$103,2,FALSE),"Special Order")</f>
        <v>Special Order</v>
      </c>
      <c r="E1925" s="18">
        <f>[2]Trucks!J1922</f>
        <v>0</v>
      </c>
      <c r="F1925" s="12">
        <f>[2]Trucks!E1922</f>
        <v>0</v>
      </c>
      <c r="G1925" s="56">
        <f>[2]Trucks!K1922</f>
        <v>0</v>
      </c>
      <c r="H1925" s="46">
        <f>[2]Trucks!I1922</f>
        <v>0</v>
      </c>
      <c r="I1925" s="83" t="str">
        <f t="shared" ref="I1925:I1988" si="150">IFERROR(VLOOKUP(AU1925,$AW$5:$AY$40,3,FALSE),"")</f>
        <v/>
      </c>
      <c r="J1925" s="272" t="str">
        <f>IFERROR(VLOOKUP((D1925&amp;C1925)&amp;"",'[2]Retail Price List'!$C$4:$F$102,3,FALSE),"")</f>
        <v/>
      </c>
      <c r="K1925" s="272">
        <f>IFERROR(IF(BA1925="WIP - 30 Days",VLOOKUP(D1925,[3]Standard!$B$9:$E$101,4,FALSE),IF(BA1925="31-120 Days",VLOOKUP(D1925,[3]Standard!$B$9:$F$101,5,FALSE),IF(BA1925="121-365 Days",VLOOKUP(D1925,[3]Standard!$B$9:$G$101,6,FALSE),VLOOKUP(D1925,[3]Standard!$B$9:$H$101,7,FALSE)))),0)</f>
        <v>0</v>
      </c>
      <c r="L1925" s="272">
        <f>IFERROR(IF(BA1925="WIP - 30 Days",VLOOKUP(D1925,[3]Standard!$B$9:$J$101,9,FALSE),IF(BA1925="31-120 Days",VLOOKUP(D1925,[3]Standard!$B$9:$K$100,10,FALSE),IF(BA1925="121-365 Days",VLOOKUP(D1925,[3]Standard!$B$9:$L$101,11,FALSE),VLOOKUP(D1925,[3]Standard!$B$9:$M$101,12,FALSE)))),0)</f>
        <v>0</v>
      </c>
      <c r="M1925" s="269" t="str">
        <f>IFERROR(VLOOKUP((D1925&amp;C1925)&amp;"",'[2]Retail Price List'!$C$4:$F$102,4,FALSE),"")</f>
        <v/>
      </c>
      <c r="N1925" s="269">
        <f>IFERROR(IF(BA1925="WIP - 30 Days",VLOOKUP(D1925,[3]Extended!$B$9:$E$101,4,FALSE),IF(BA1925="31-120 Days",VLOOKUP(D1925,[3]Extended!$B$9:$F$101,5,FALSE),IF(BA1925="121-365 Days",VLOOKUP(D1925,[3]Extended!$B$9:$G$101,6,FALSE),VLOOKUP(D1925,[3]Extended!$B$9:$H$101,7,FALSE)))),0)</f>
        <v>0</v>
      </c>
      <c r="O1925" s="269">
        <f>IFERROR(IF(BA1925="WIP - 30 Days",VLOOKUP(D1925,[3]Extended!$B$9:$J$101,9,FALSE),IF(BA1925="31-120 Days",VLOOKUP(D1925,[3]Extended!$B$9:$K$101,10,FALSE),IF(BA1925="121-365 Days",VLOOKUP(D1925,[3]Extended!$B$9:$L$101,11,FALSE),VLOOKUP(D1925,[3]Extended!$B$9:$M$101,12,FALSE)))),0)</f>
        <v>0</v>
      </c>
      <c r="P1925" s="116" t="e">
        <f t="shared" ref="P1925:P1988" si="151">(M1925-O1925)/M1925</f>
        <v>#VALUE!</v>
      </c>
      <c r="Q1925" s="110" t="e">
        <f>O1925-#REF!</f>
        <v>#REF!</v>
      </c>
      <c r="AT1925" s="88" t="str">
        <f t="shared" ref="AT1925:AT1988" si="152">D1925&amp;I1925&amp;G1925</f>
        <v>Special Order0</v>
      </c>
      <c r="AU1925" s="89" t="str">
        <f t="shared" ref="AU1925:AU1988" si="153">IF(MONTH(H1925)&lt;10,0&amp;MONTH(H1925)&amp;"-"&amp;YEAR(H1925),MONTH(H1925)&amp;"-"&amp;YEAR(H1925))</f>
        <v>01-1900</v>
      </c>
      <c r="BA1925" s="92" t="str">
        <f t="shared" ref="BA1925:BA1989" si="154">IF(B1925=0,"",IF(AND(F1925&gt;=31,F1925&lt;=120),"31-120 Days",IF(AND(F1925&gt;=121,F1925&lt;=365),"121-365 Days",IF(OR(E1925="CKD",F1925&lt;=30),"WIP - 30 Days","&gt;365 Days"))))</f>
        <v/>
      </c>
    </row>
    <row r="1926" spans="2:53">
      <c r="B1926" s="60">
        <f>[2]Trucks!A1923</f>
        <v>0</v>
      </c>
      <c r="C1926" s="11">
        <f>[2]Trucks!B1923</f>
        <v>0</v>
      </c>
      <c r="D1926" s="19" t="str">
        <f>IFERROR(VLOOKUP(C1926&amp;"",'[2]Retail Price List'!$A$3:$B$103,2,FALSE),"Special Order")</f>
        <v>Special Order</v>
      </c>
      <c r="E1926" s="18">
        <f>[2]Trucks!J1923</f>
        <v>0</v>
      </c>
      <c r="F1926" s="12">
        <f>[2]Trucks!E1923</f>
        <v>0</v>
      </c>
      <c r="G1926" s="56">
        <f>[2]Trucks!K1923</f>
        <v>0</v>
      </c>
      <c r="H1926" s="46">
        <f>[2]Trucks!I1923</f>
        <v>0</v>
      </c>
      <c r="I1926" s="83" t="str">
        <f t="shared" si="150"/>
        <v/>
      </c>
      <c r="J1926" s="272" t="str">
        <f>IFERROR(VLOOKUP((D1926&amp;C1926)&amp;"",'[2]Retail Price List'!$C$4:$F$102,3,FALSE),"")</f>
        <v/>
      </c>
      <c r="K1926" s="272">
        <f>IFERROR(IF(BA1926="WIP - 30 Days",VLOOKUP(D1926,[3]Standard!$B$9:$E$101,4,FALSE),IF(BA1926="31-120 Days",VLOOKUP(D1926,[3]Standard!$B$9:$F$101,5,FALSE),IF(BA1926="121-365 Days",VLOOKUP(D1926,[3]Standard!$B$9:$G$101,6,FALSE),VLOOKUP(D1926,[3]Standard!$B$9:$H$101,7,FALSE)))),0)</f>
        <v>0</v>
      </c>
      <c r="L1926" s="272">
        <f>IFERROR(IF(BA1926="WIP - 30 Days",VLOOKUP(D1926,[3]Standard!$B$9:$J$101,9,FALSE),IF(BA1926="31-120 Days",VLOOKUP(D1926,[3]Standard!$B$9:$K$100,10,FALSE),IF(BA1926="121-365 Days",VLOOKUP(D1926,[3]Standard!$B$9:$L$101,11,FALSE),VLOOKUP(D1926,[3]Standard!$B$9:$M$101,12,FALSE)))),0)</f>
        <v>0</v>
      </c>
      <c r="M1926" s="269" t="str">
        <f>IFERROR(VLOOKUP((D1926&amp;C1926)&amp;"",'[2]Retail Price List'!$C$4:$F$102,4,FALSE),"")</f>
        <v/>
      </c>
      <c r="N1926" s="269">
        <f>IFERROR(IF(BA1926="WIP - 30 Days",VLOOKUP(D1926,[3]Extended!$B$9:$E$101,4,FALSE),IF(BA1926="31-120 Days",VLOOKUP(D1926,[3]Extended!$B$9:$F$101,5,FALSE),IF(BA1926="121-365 Days",VLOOKUP(D1926,[3]Extended!$B$9:$G$101,6,FALSE),VLOOKUP(D1926,[3]Extended!$B$9:$H$101,7,FALSE)))),0)</f>
        <v>0</v>
      </c>
      <c r="O1926" s="269">
        <f>IFERROR(IF(BA1926="WIP - 30 Days",VLOOKUP(D1926,[3]Extended!$B$9:$J$101,9,FALSE),IF(BA1926="31-120 Days",VLOOKUP(D1926,[3]Extended!$B$9:$K$101,10,FALSE),IF(BA1926="121-365 Days",VLOOKUP(D1926,[3]Extended!$B$9:$L$101,11,FALSE),VLOOKUP(D1926,[3]Extended!$B$9:$M$101,12,FALSE)))),0)</f>
        <v>0</v>
      </c>
      <c r="P1926" s="116" t="e">
        <f t="shared" si="151"/>
        <v>#VALUE!</v>
      </c>
      <c r="Q1926" s="110" t="e">
        <f>O1926-#REF!</f>
        <v>#REF!</v>
      </c>
      <c r="AT1926" s="88" t="str">
        <f t="shared" si="152"/>
        <v>Special Order0</v>
      </c>
      <c r="AU1926" s="89" t="str">
        <f t="shared" si="153"/>
        <v>01-1900</v>
      </c>
      <c r="BA1926" s="92" t="str">
        <f t="shared" si="154"/>
        <v/>
      </c>
    </row>
    <row r="1927" spans="2:53">
      <c r="B1927" s="60">
        <f>[2]Trucks!A1924</f>
        <v>0</v>
      </c>
      <c r="C1927" s="11">
        <f>[2]Trucks!B1924</f>
        <v>0</v>
      </c>
      <c r="D1927" s="19" t="str">
        <f>IFERROR(VLOOKUP(C1927&amp;"",'[2]Retail Price List'!$A$3:$B$103,2,FALSE),"Special Order")</f>
        <v>Special Order</v>
      </c>
      <c r="E1927" s="18">
        <f>[2]Trucks!J1924</f>
        <v>0</v>
      </c>
      <c r="F1927" s="12">
        <f>[2]Trucks!E1924</f>
        <v>0</v>
      </c>
      <c r="G1927" s="56">
        <f>[2]Trucks!K1924</f>
        <v>0</v>
      </c>
      <c r="H1927" s="46">
        <f>[2]Trucks!I1924</f>
        <v>0</v>
      </c>
      <c r="I1927" s="83" t="str">
        <f t="shared" si="150"/>
        <v/>
      </c>
      <c r="J1927" s="272" t="str">
        <f>IFERROR(VLOOKUP((D1927&amp;C1927)&amp;"",'[2]Retail Price List'!$C$4:$F$102,3,FALSE),"")</f>
        <v/>
      </c>
      <c r="K1927" s="272">
        <f>IFERROR(IF(BA1927="WIP - 30 Days",VLOOKUP(D1927,[3]Standard!$B$9:$E$101,4,FALSE),IF(BA1927="31-120 Days",VLOOKUP(D1927,[3]Standard!$B$9:$F$101,5,FALSE),IF(BA1927="121-365 Days",VLOOKUP(D1927,[3]Standard!$B$9:$G$101,6,FALSE),VLOOKUP(D1927,[3]Standard!$B$9:$H$101,7,FALSE)))),0)</f>
        <v>0</v>
      </c>
      <c r="L1927" s="272">
        <f>IFERROR(IF(BA1927="WIP - 30 Days",VLOOKUP(D1927,[3]Standard!$B$9:$J$101,9,FALSE),IF(BA1927="31-120 Days",VLOOKUP(D1927,[3]Standard!$B$9:$K$100,10,FALSE),IF(BA1927="121-365 Days",VLOOKUP(D1927,[3]Standard!$B$9:$L$101,11,FALSE),VLOOKUP(D1927,[3]Standard!$B$9:$M$101,12,FALSE)))),0)</f>
        <v>0</v>
      </c>
      <c r="M1927" s="269" t="str">
        <f>IFERROR(VLOOKUP((D1927&amp;C1927)&amp;"",'[2]Retail Price List'!$C$4:$F$102,4,FALSE),"")</f>
        <v/>
      </c>
      <c r="N1927" s="269">
        <f>IFERROR(IF(BA1927="WIP - 30 Days",VLOOKUP(D1927,[3]Extended!$B$9:$E$101,4,FALSE),IF(BA1927="31-120 Days",VLOOKUP(D1927,[3]Extended!$B$9:$F$101,5,FALSE),IF(BA1927="121-365 Days",VLOOKUP(D1927,[3]Extended!$B$9:$G$101,6,FALSE),VLOOKUP(D1927,[3]Extended!$B$9:$H$101,7,FALSE)))),0)</f>
        <v>0</v>
      </c>
      <c r="O1927" s="269">
        <f>IFERROR(IF(BA1927="WIP - 30 Days",VLOOKUP(D1927,[3]Extended!$B$9:$J$101,9,FALSE),IF(BA1927="31-120 Days",VLOOKUP(D1927,[3]Extended!$B$9:$K$101,10,FALSE),IF(BA1927="121-365 Days",VLOOKUP(D1927,[3]Extended!$B$9:$L$101,11,FALSE),VLOOKUP(D1927,[3]Extended!$B$9:$M$101,12,FALSE)))),0)</f>
        <v>0</v>
      </c>
      <c r="P1927" s="116" t="e">
        <f t="shared" si="151"/>
        <v>#VALUE!</v>
      </c>
      <c r="Q1927" s="110" t="e">
        <f>O1927-#REF!</f>
        <v>#REF!</v>
      </c>
      <c r="AT1927" s="88" t="str">
        <f t="shared" si="152"/>
        <v>Special Order0</v>
      </c>
      <c r="AU1927" s="89" t="str">
        <f t="shared" si="153"/>
        <v>01-1900</v>
      </c>
      <c r="BA1927" s="92" t="str">
        <f t="shared" si="154"/>
        <v/>
      </c>
    </row>
    <row r="1928" spans="2:53">
      <c r="B1928" s="60">
        <f>[2]Trucks!A1925</f>
        <v>0</v>
      </c>
      <c r="C1928" s="11">
        <f>[2]Trucks!B1925</f>
        <v>0</v>
      </c>
      <c r="D1928" s="19" t="str">
        <f>IFERROR(VLOOKUP(C1928&amp;"",'[2]Retail Price List'!$A$3:$B$103,2,FALSE),"Special Order")</f>
        <v>Special Order</v>
      </c>
      <c r="E1928" s="18">
        <f>[2]Trucks!J1925</f>
        <v>0</v>
      </c>
      <c r="F1928" s="12">
        <f>[2]Trucks!E1925</f>
        <v>0</v>
      </c>
      <c r="G1928" s="56">
        <f>[2]Trucks!K1925</f>
        <v>0</v>
      </c>
      <c r="H1928" s="46">
        <f>[2]Trucks!I1925</f>
        <v>0</v>
      </c>
      <c r="I1928" s="83" t="str">
        <f t="shared" si="150"/>
        <v/>
      </c>
      <c r="J1928" s="272" t="str">
        <f>IFERROR(VLOOKUP((D1928&amp;C1928)&amp;"",'[2]Retail Price List'!$C$4:$F$102,3,FALSE),"")</f>
        <v/>
      </c>
      <c r="K1928" s="272">
        <f>IFERROR(IF(BA1928="WIP - 30 Days",VLOOKUP(D1928,[3]Standard!$B$9:$E$101,4,FALSE),IF(BA1928="31-120 Days",VLOOKUP(D1928,[3]Standard!$B$9:$F$101,5,FALSE),IF(BA1928="121-365 Days",VLOOKUP(D1928,[3]Standard!$B$9:$G$101,6,FALSE),VLOOKUP(D1928,[3]Standard!$B$9:$H$101,7,FALSE)))),0)</f>
        <v>0</v>
      </c>
      <c r="L1928" s="272">
        <f>IFERROR(IF(BA1928="WIP - 30 Days",VLOOKUP(D1928,[3]Standard!$B$9:$J$101,9,FALSE),IF(BA1928="31-120 Days",VLOOKUP(D1928,[3]Standard!$B$9:$K$100,10,FALSE),IF(BA1928="121-365 Days",VLOOKUP(D1928,[3]Standard!$B$9:$L$101,11,FALSE),VLOOKUP(D1928,[3]Standard!$B$9:$M$101,12,FALSE)))),0)</f>
        <v>0</v>
      </c>
      <c r="M1928" s="269" t="str">
        <f>IFERROR(VLOOKUP((D1928&amp;C1928)&amp;"",'[2]Retail Price List'!$C$4:$F$102,4,FALSE),"")</f>
        <v/>
      </c>
      <c r="N1928" s="269">
        <f>IFERROR(IF(BA1928="WIP - 30 Days",VLOOKUP(D1928,[3]Extended!$B$9:$E$101,4,FALSE),IF(BA1928="31-120 Days",VLOOKUP(D1928,[3]Extended!$B$9:$F$101,5,FALSE),IF(BA1928="121-365 Days",VLOOKUP(D1928,[3]Extended!$B$9:$G$101,6,FALSE),VLOOKUP(D1928,[3]Extended!$B$9:$H$101,7,FALSE)))),0)</f>
        <v>0</v>
      </c>
      <c r="O1928" s="269">
        <f>IFERROR(IF(BA1928="WIP - 30 Days",VLOOKUP(D1928,[3]Extended!$B$9:$J$101,9,FALSE),IF(BA1928="31-120 Days",VLOOKUP(D1928,[3]Extended!$B$9:$K$101,10,FALSE),IF(BA1928="121-365 Days",VLOOKUP(D1928,[3]Extended!$B$9:$L$101,11,FALSE),VLOOKUP(D1928,[3]Extended!$B$9:$M$101,12,FALSE)))),0)</f>
        <v>0</v>
      </c>
      <c r="P1928" s="116" t="e">
        <f t="shared" si="151"/>
        <v>#VALUE!</v>
      </c>
      <c r="Q1928" s="110" t="e">
        <f>O1928-#REF!</f>
        <v>#REF!</v>
      </c>
      <c r="AT1928" s="88" t="str">
        <f t="shared" si="152"/>
        <v>Special Order0</v>
      </c>
      <c r="AU1928" s="89" t="str">
        <f t="shared" si="153"/>
        <v>01-1900</v>
      </c>
      <c r="BA1928" s="92" t="str">
        <f t="shared" si="154"/>
        <v/>
      </c>
    </row>
    <row r="1929" spans="2:53">
      <c r="B1929" s="60">
        <f>[2]Trucks!A1926</f>
        <v>0</v>
      </c>
      <c r="C1929" s="11">
        <f>[2]Trucks!B1926</f>
        <v>0</v>
      </c>
      <c r="D1929" s="19" t="str">
        <f>IFERROR(VLOOKUP(C1929&amp;"",'[2]Retail Price List'!$A$3:$B$103,2,FALSE),"Special Order")</f>
        <v>Special Order</v>
      </c>
      <c r="E1929" s="18">
        <f>[2]Trucks!J1926</f>
        <v>0</v>
      </c>
      <c r="F1929" s="12">
        <f>[2]Trucks!E1926</f>
        <v>0</v>
      </c>
      <c r="G1929" s="56">
        <f>[2]Trucks!K1926</f>
        <v>0</v>
      </c>
      <c r="H1929" s="46">
        <f>[2]Trucks!I1926</f>
        <v>0</v>
      </c>
      <c r="I1929" s="83" t="str">
        <f t="shared" si="150"/>
        <v/>
      </c>
      <c r="J1929" s="272" t="str">
        <f>IFERROR(VLOOKUP((D1929&amp;C1929)&amp;"",'[2]Retail Price List'!$C$4:$F$102,3,FALSE),"")</f>
        <v/>
      </c>
      <c r="K1929" s="272">
        <f>IFERROR(IF(BA1929="WIP - 30 Days",VLOOKUP(D1929,[3]Standard!$B$9:$E$101,4,FALSE),IF(BA1929="31-120 Days",VLOOKUP(D1929,[3]Standard!$B$9:$F$101,5,FALSE),IF(BA1929="121-365 Days",VLOOKUP(D1929,[3]Standard!$B$9:$G$101,6,FALSE),VLOOKUP(D1929,[3]Standard!$B$9:$H$101,7,FALSE)))),0)</f>
        <v>0</v>
      </c>
      <c r="L1929" s="272">
        <f>IFERROR(IF(BA1929="WIP - 30 Days",VLOOKUP(D1929,[3]Standard!$B$9:$J$101,9,FALSE),IF(BA1929="31-120 Days",VLOOKUP(D1929,[3]Standard!$B$9:$K$100,10,FALSE),IF(BA1929="121-365 Days",VLOOKUP(D1929,[3]Standard!$B$9:$L$101,11,FALSE),VLOOKUP(D1929,[3]Standard!$B$9:$M$101,12,FALSE)))),0)</f>
        <v>0</v>
      </c>
      <c r="M1929" s="269" t="str">
        <f>IFERROR(VLOOKUP((D1929&amp;C1929)&amp;"",'[2]Retail Price List'!$C$4:$F$102,4,FALSE),"")</f>
        <v/>
      </c>
      <c r="N1929" s="269">
        <f>IFERROR(IF(BA1929="WIP - 30 Days",VLOOKUP(D1929,[3]Extended!$B$9:$E$101,4,FALSE),IF(BA1929="31-120 Days",VLOOKUP(D1929,[3]Extended!$B$9:$F$101,5,FALSE),IF(BA1929="121-365 Days",VLOOKUP(D1929,[3]Extended!$B$9:$G$101,6,FALSE),VLOOKUP(D1929,[3]Extended!$B$9:$H$101,7,FALSE)))),0)</f>
        <v>0</v>
      </c>
      <c r="O1929" s="269">
        <f>IFERROR(IF(BA1929="WIP - 30 Days",VLOOKUP(D1929,[3]Extended!$B$9:$J$101,9,FALSE),IF(BA1929="31-120 Days",VLOOKUP(D1929,[3]Extended!$B$9:$K$101,10,FALSE),IF(BA1929="121-365 Days",VLOOKUP(D1929,[3]Extended!$B$9:$L$101,11,FALSE),VLOOKUP(D1929,[3]Extended!$B$9:$M$101,12,FALSE)))),0)</f>
        <v>0</v>
      </c>
      <c r="P1929" s="116" t="e">
        <f t="shared" si="151"/>
        <v>#VALUE!</v>
      </c>
      <c r="Q1929" s="110" t="e">
        <f>O1929-#REF!</f>
        <v>#REF!</v>
      </c>
      <c r="AT1929" s="88" t="str">
        <f t="shared" si="152"/>
        <v>Special Order0</v>
      </c>
      <c r="AU1929" s="89" t="str">
        <f t="shared" si="153"/>
        <v>01-1900</v>
      </c>
      <c r="BA1929" s="92" t="str">
        <f t="shared" si="154"/>
        <v/>
      </c>
    </row>
    <row r="1930" spans="2:53">
      <c r="B1930" s="60">
        <f>[2]Trucks!A1927</f>
        <v>0</v>
      </c>
      <c r="C1930" s="11">
        <f>[2]Trucks!B1927</f>
        <v>0</v>
      </c>
      <c r="D1930" s="19" t="str">
        <f>IFERROR(VLOOKUP(C1930&amp;"",'[2]Retail Price List'!$A$3:$B$103,2,FALSE),"Special Order")</f>
        <v>Special Order</v>
      </c>
      <c r="E1930" s="18">
        <f>[2]Trucks!J1927</f>
        <v>0</v>
      </c>
      <c r="F1930" s="12">
        <f>[2]Trucks!E1927</f>
        <v>0</v>
      </c>
      <c r="G1930" s="56">
        <f>[2]Trucks!K1927</f>
        <v>0</v>
      </c>
      <c r="H1930" s="46">
        <f>[2]Trucks!I1927</f>
        <v>0</v>
      </c>
      <c r="I1930" s="83" t="str">
        <f t="shared" si="150"/>
        <v/>
      </c>
      <c r="J1930" s="272" t="str">
        <f>IFERROR(VLOOKUP((D1930&amp;C1930)&amp;"",'[2]Retail Price List'!$C$4:$F$102,3,FALSE),"")</f>
        <v/>
      </c>
      <c r="K1930" s="272">
        <f>IFERROR(IF(BA1930="WIP - 30 Days",VLOOKUP(D1930,[3]Standard!$B$9:$E$101,4,FALSE),IF(BA1930="31-120 Days",VLOOKUP(D1930,[3]Standard!$B$9:$F$101,5,FALSE),IF(BA1930="121-365 Days",VLOOKUP(D1930,[3]Standard!$B$9:$G$101,6,FALSE),VLOOKUP(D1930,[3]Standard!$B$9:$H$101,7,FALSE)))),0)</f>
        <v>0</v>
      </c>
      <c r="L1930" s="272">
        <f>IFERROR(IF(BA1930="WIP - 30 Days",VLOOKUP(D1930,[3]Standard!$B$9:$J$101,9,FALSE),IF(BA1930="31-120 Days",VLOOKUP(D1930,[3]Standard!$B$9:$K$100,10,FALSE),IF(BA1930="121-365 Days",VLOOKUP(D1930,[3]Standard!$B$9:$L$101,11,FALSE),VLOOKUP(D1930,[3]Standard!$B$9:$M$101,12,FALSE)))),0)</f>
        <v>0</v>
      </c>
      <c r="M1930" s="269" t="str">
        <f>IFERROR(VLOOKUP((D1930&amp;C1930)&amp;"",'[2]Retail Price List'!$C$4:$F$102,4,FALSE),"")</f>
        <v/>
      </c>
      <c r="N1930" s="269">
        <f>IFERROR(IF(BA1930="WIP - 30 Days",VLOOKUP(D1930,[3]Extended!$B$9:$E$101,4,FALSE),IF(BA1930="31-120 Days",VLOOKUP(D1930,[3]Extended!$B$9:$F$101,5,FALSE),IF(BA1930="121-365 Days",VLOOKUP(D1930,[3]Extended!$B$9:$G$101,6,FALSE),VLOOKUP(D1930,[3]Extended!$B$9:$H$101,7,FALSE)))),0)</f>
        <v>0</v>
      </c>
      <c r="O1930" s="269">
        <f>IFERROR(IF(BA1930="WIP - 30 Days",VLOOKUP(D1930,[3]Extended!$B$9:$J$101,9,FALSE),IF(BA1930="31-120 Days",VLOOKUP(D1930,[3]Extended!$B$9:$K$101,10,FALSE),IF(BA1930="121-365 Days",VLOOKUP(D1930,[3]Extended!$B$9:$L$101,11,FALSE),VLOOKUP(D1930,[3]Extended!$B$9:$M$101,12,FALSE)))),0)</f>
        <v>0</v>
      </c>
      <c r="P1930" s="116" t="e">
        <f t="shared" si="151"/>
        <v>#VALUE!</v>
      </c>
      <c r="Q1930" s="110" t="e">
        <f>O1930-#REF!</f>
        <v>#REF!</v>
      </c>
      <c r="AT1930" s="88" t="str">
        <f t="shared" si="152"/>
        <v>Special Order0</v>
      </c>
      <c r="AU1930" s="89" t="str">
        <f t="shared" si="153"/>
        <v>01-1900</v>
      </c>
      <c r="BA1930" s="92" t="str">
        <f t="shared" si="154"/>
        <v/>
      </c>
    </row>
    <row r="1931" spans="2:53">
      <c r="B1931" s="60">
        <f>[2]Trucks!A1928</f>
        <v>0</v>
      </c>
      <c r="C1931" s="11">
        <f>[2]Trucks!B1928</f>
        <v>0</v>
      </c>
      <c r="D1931" s="19" t="str">
        <f>IFERROR(VLOOKUP(C1931&amp;"",'[2]Retail Price List'!$A$3:$B$103,2,FALSE),"Special Order")</f>
        <v>Special Order</v>
      </c>
      <c r="E1931" s="18">
        <f>[2]Trucks!J1928</f>
        <v>0</v>
      </c>
      <c r="F1931" s="12">
        <f>[2]Trucks!E1928</f>
        <v>0</v>
      </c>
      <c r="G1931" s="56">
        <f>[2]Trucks!K1928</f>
        <v>0</v>
      </c>
      <c r="H1931" s="46">
        <f>[2]Trucks!I1928</f>
        <v>0</v>
      </c>
      <c r="I1931" s="83" t="str">
        <f t="shared" si="150"/>
        <v/>
      </c>
      <c r="J1931" s="272" t="str">
        <f>IFERROR(VLOOKUP((D1931&amp;C1931)&amp;"",'[2]Retail Price List'!$C$4:$F$102,3,FALSE),"")</f>
        <v/>
      </c>
      <c r="K1931" s="272">
        <f>IFERROR(IF(BA1931="WIP - 30 Days",VLOOKUP(D1931,[3]Standard!$B$9:$E$101,4,FALSE),IF(BA1931="31-120 Days",VLOOKUP(D1931,[3]Standard!$B$9:$F$101,5,FALSE),IF(BA1931="121-365 Days",VLOOKUP(D1931,[3]Standard!$B$9:$G$101,6,FALSE),VLOOKUP(D1931,[3]Standard!$B$9:$H$101,7,FALSE)))),0)</f>
        <v>0</v>
      </c>
      <c r="L1931" s="272">
        <f>IFERROR(IF(BA1931="WIP - 30 Days",VLOOKUP(D1931,[3]Standard!$B$9:$J$101,9,FALSE),IF(BA1931="31-120 Days",VLOOKUP(D1931,[3]Standard!$B$9:$K$100,10,FALSE),IF(BA1931="121-365 Days",VLOOKUP(D1931,[3]Standard!$B$9:$L$101,11,FALSE),VLOOKUP(D1931,[3]Standard!$B$9:$M$101,12,FALSE)))),0)</f>
        <v>0</v>
      </c>
      <c r="M1931" s="269" t="str">
        <f>IFERROR(VLOOKUP((D1931&amp;C1931)&amp;"",'[2]Retail Price List'!$C$4:$F$102,4,FALSE),"")</f>
        <v/>
      </c>
      <c r="N1931" s="269">
        <f>IFERROR(IF(BA1931="WIP - 30 Days",VLOOKUP(D1931,[3]Extended!$B$9:$E$101,4,FALSE),IF(BA1931="31-120 Days",VLOOKUP(D1931,[3]Extended!$B$9:$F$101,5,FALSE),IF(BA1931="121-365 Days",VLOOKUP(D1931,[3]Extended!$B$9:$G$101,6,FALSE),VLOOKUP(D1931,[3]Extended!$B$9:$H$101,7,FALSE)))),0)</f>
        <v>0</v>
      </c>
      <c r="O1931" s="269">
        <f>IFERROR(IF(BA1931="WIP - 30 Days",VLOOKUP(D1931,[3]Extended!$B$9:$J$101,9,FALSE),IF(BA1931="31-120 Days",VLOOKUP(D1931,[3]Extended!$B$9:$K$101,10,FALSE),IF(BA1931="121-365 Days",VLOOKUP(D1931,[3]Extended!$B$9:$L$101,11,FALSE),VLOOKUP(D1931,[3]Extended!$B$9:$M$101,12,FALSE)))),0)</f>
        <v>0</v>
      </c>
      <c r="P1931" s="116" t="e">
        <f t="shared" si="151"/>
        <v>#VALUE!</v>
      </c>
      <c r="Q1931" s="110" t="e">
        <f>O1931-#REF!</f>
        <v>#REF!</v>
      </c>
      <c r="AT1931" s="88" t="str">
        <f t="shared" si="152"/>
        <v>Special Order0</v>
      </c>
      <c r="AU1931" s="89" t="str">
        <f t="shared" si="153"/>
        <v>01-1900</v>
      </c>
      <c r="BA1931" s="92" t="str">
        <f t="shared" si="154"/>
        <v/>
      </c>
    </row>
    <row r="1932" spans="2:53">
      <c r="B1932" s="60">
        <f>[2]Trucks!A1929</f>
        <v>0</v>
      </c>
      <c r="C1932" s="11">
        <f>[2]Trucks!B1929</f>
        <v>0</v>
      </c>
      <c r="D1932" s="19" t="str">
        <f>IFERROR(VLOOKUP(C1932&amp;"",'[2]Retail Price List'!$A$3:$B$103,2,FALSE),"Special Order")</f>
        <v>Special Order</v>
      </c>
      <c r="E1932" s="18">
        <f>[2]Trucks!J1929</f>
        <v>0</v>
      </c>
      <c r="F1932" s="12">
        <f>[2]Trucks!E1929</f>
        <v>0</v>
      </c>
      <c r="G1932" s="56">
        <f>[2]Trucks!K1929</f>
        <v>0</v>
      </c>
      <c r="H1932" s="46">
        <f>[2]Trucks!I1929</f>
        <v>0</v>
      </c>
      <c r="I1932" s="83" t="str">
        <f t="shared" si="150"/>
        <v/>
      </c>
      <c r="J1932" s="272" t="str">
        <f>IFERROR(VLOOKUP((D1932&amp;C1932)&amp;"",'[2]Retail Price List'!$C$4:$F$102,3,FALSE),"")</f>
        <v/>
      </c>
      <c r="K1932" s="272">
        <f>IFERROR(IF(BA1932="WIP - 30 Days",VLOOKUP(D1932,[3]Standard!$B$9:$E$101,4,FALSE),IF(BA1932="31-120 Days",VLOOKUP(D1932,[3]Standard!$B$9:$F$101,5,FALSE),IF(BA1932="121-365 Days",VLOOKUP(D1932,[3]Standard!$B$9:$G$101,6,FALSE),VLOOKUP(D1932,[3]Standard!$B$9:$H$101,7,FALSE)))),0)</f>
        <v>0</v>
      </c>
      <c r="L1932" s="272">
        <f>IFERROR(IF(BA1932="WIP - 30 Days",VLOOKUP(D1932,[3]Standard!$B$9:$J$101,9,FALSE),IF(BA1932="31-120 Days",VLOOKUP(D1932,[3]Standard!$B$9:$K$100,10,FALSE),IF(BA1932="121-365 Days",VLOOKUP(D1932,[3]Standard!$B$9:$L$101,11,FALSE),VLOOKUP(D1932,[3]Standard!$B$9:$M$101,12,FALSE)))),0)</f>
        <v>0</v>
      </c>
      <c r="M1932" s="269" t="str">
        <f>IFERROR(VLOOKUP((D1932&amp;C1932)&amp;"",'[2]Retail Price List'!$C$4:$F$102,4,FALSE),"")</f>
        <v/>
      </c>
      <c r="N1932" s="269">
        <f>IFERROR(IF(BA1932="WIP - 30 Days",VLOOKUP(D1932,[3]Extended!$B$9:$E$101,4,FALSE),IF(BA1932="31-120 Days",VLOOKUP(D1932,[3]Extended!$B$9:$F$101,5,FALSE),IF(BA1932="121-365 Days",VLOOKUP(D1932,[3]Extended!$B$9:$G$101,6,FALSE),VLOOKUP(D1932,[3]Extended!$B$9:$H$101,7,FALSE)))),0)</f>
        <v>0</v>
      </c>
      <c r="O1932" s="269">
        <f>IFERROR(IF(BA1932="WIP - 30 Days",VLOOKUP(D1932,[3]Extended!$B$9:$J$101,9,FALSE),IF(BA1932="31-120 Days",VLOOKUP(D1932,[3]Extended!$B$9:$K$101,10,FALSE),IF(BA1932="121-365 Days",VLOOKUP(D1932,[3]Extended!$B$9:$L$101,11,FALSE),VLOOKUP(D1932,[3]Extended!$B$9:$M$101,12,FALSE)))),0)</f>
        <v>0</v>
      </c>
      <c r="P1932" s="116" t="e">
        <f t="shared" si="151"/>
        <v>#VALUE!</v>
      </c>
      <c r="Q1932" s="110" t="e">
        <f>O1932-#REF!</f>
        <v>#REF!</v>
      </c>
      <c r="AT1932" s="88" t="str">
        <f t="shared" si="152"/>
        <v>Special Order0</v>
      </c>
      <c r="AU1932" s="89" t="str">
        <f t="shared" si="153"/>
        <v>01-1900</v>
      </c>
      <c r="BA1932" s="92" t="str">
        <f t="shared" si="154"/>
        <v/>
      </c>
    </row>
    <row r="1933" spans="2:53">
      <c r="B1933" s="60">
        <f>[2]Trucks!A1930</f>
        <v>0</v>
      </c>
      <c r="C1933" s="11">
        <f>[2]Trucks!B1930</f>
        <v>0</v>
      </c>
      <c r="D1933" s="19" t="str">
        <f>IFERROR(VLOOKUP(C1933&amp;"",'[2]Retail Price List'!$A$3:$B$103,2,FALSE),"Special Order")</f>
        <v>Special Order</v>
      </c>
      <c r="E1933" s="18">
        <f>[2]Trucks!J1930</f>
        <v>0</v>
      </c>
      <c r="F1933" s="12">
        <f>[2]Trucks!E1930</f>
        <v>0</v>
      </c>
      <c r="G1933" s="56">
        <f>[2]Trucks!K1930</f>
        <v>0</v>
      </c>
      <c r="H1933" s="46">
        <f>[2]Trucks!I1930</f>
        <v>0</v>
      </c>
      <c r="I1933" s="83" t="str">
        <f t="shared" si="150"/>
        <v/>
      </c>
      <c r="J1933" s="272" t="str">
        <f>IFERROR(VLOOKUP((D1933&amp;C1933)&amp;"",'[2]Retail Price List'!$C$4:$F$102,3,FALSE),"")</f>
        <v/>
      </c>
      <c r="K1933" s="272">
        <f>IFERROR(IF(BA1933="WIP - 30 Days",VLOOKUP(D1933,[3]Standard!$B$9:$E$101,4,FALSE),IF(BA1933="31-120 Days",VLOOKUP(D1933,[3]Standard!$B$9:$F$101,5,FALSE),IF(BA1933="121-365 Days",VLOOKUP(D1933,[3]Standard!$B$9:$G$101,6,FALSE),VLOOKUP(D1933,[3]Standard!$B$9:$H$101,7,FALSE)))),0)</f>
        <v>0</v>
      </c>
      <c r="L1933" s="272">
        <f>IFERROR(IF(BA1933="WIP - 30 Days",VLOOKUP(D1933,[3]Standard!$B$9:$J$101,9,FALSE),IF(BA1933="31-120 Days",VLOOKUP(D1933,[3]Standard!$B$9:$K$100,10,FALSE),IF(BA1933="121-365 Days",VLOOKUP(D1933,[3]Standard!$B$9:$L$101,11,FALSE),VLOOKUP(D1933,[3]Standard!$B$9:$M$101,12,FALSE)))),0)</f>
        <v>0</v>
      </c>
      <c r="M1933" s="269" t="str">
        <f>IFERROR(VLOOKUP((D1933&amp;C1933)&amp;"",'[2]Retail Price List'!$C$4:$F$102,4,FALSE),"")</f>
        <v/>
      </c>
      <c r="N1933" s="269">
        <f>IFERROR(IF(BA1933="WIP - 30 Days",VLOOKUP(D1933,[3]Extended!$B$9:$E$101,4,FALSE),IF(BA1933="31-120 Days",VLOOKUP(D1933,[3]Extended!$B$9:$F$101,5,FALSE),IF(BA1933="121-365 Days",VLOOKUP(D1933,[3]Extended!$B$9:$G$101,6,FALSE),VLOOKUP(D1933,[3]Extended!$B$9:$H$101,7,FALSE)))),0)</f>
        <v>0</v>
      </c>
      <c r="O1933" s="269">
        <f>IFERROR(IF(BA1933="WIP - 30 Days",VLOOKUP(D1933,[3]Extended!$B$9:$J$101,9,FALSE),IF(BA1933="31-120 Days",VLOOKUP(D1933,[3]Extended!$B$9:$K$101,10,FALSE),IF(BA1933="121-365 Days",VLOOKUP(D1933,[3]Extended!$B$9:$L$101,11,FALSE),VLOOKUP(D1933,[3]Extended!$B$9:$M$101,12,FALSE)))),0)</f>
        <v>0</v>
      </c>
      <c r="P1933" s="116" t="e">
        <f t="shared" si="151"/>
        <v>#VALUE!</v>
      </c>
      <c r="Q1933" s="110" t="e">
        <f>O1933-#REF!</f>
        <v>#REF!</v>
      </c>
      <c r="AT1933" s="88" t="str">
        <f t="shared" si="152"/>
        <v>Special Order0</v>
      </c>
      <c r="AU1933" s="89" t="str">
        <f t="shared" si="153"/>
        <v>01-1900</v>
      </c>
      <c r="BA1933" s="92" t="str">
        <f t="shared" si="154"/>
        <v/>
      </c>
    </row>
    <row r="1934" spans="2:53">
      <c r="B1934" s="60">
        <f>[2]Trucks!A1931</f>
        <v>0</v>
      </c>
      <c r="C1934" s="11">
        <f>[2]Trucks!B1931</f>
        <v>0</v>
      </c>
      <c r="D1934" s="19" t="str">
        <f>IFERROR(VLOOKUP(C1934&amp;"",'[2]Retail Price List'!$A$3:$B$103,2,FALSE),"Special Order")</f>
        <v>Special Order</v>
      </c>
      <c r="E1934" s="18">
        <f>[2]Trucks!J1931</f>
        <v>0</v>
      </c>
      <c r="F1934" s="12">
        <f>[2]Trucks!E1931</f>
        <v>0</v>
      </c>
      <c r="G1934" s="56">
        <f>[2]Trucks!K1931</f>
        <v>0</v>
      </c>
      <c r="H1934" s="46">
        <f>[2]Trucks!I1931</f>
        <v>0</v>
      </c>
      <c r="I1934" s="83" t="str">
        <f t="shared" si="150"/>
        <v/>
      </c>
      <c r="J1934" s="272" t="str">
        <f>IFERROR(VLOOKUP((D1934&amp;C1934)&amp;"",'[2]Retail Price List'!$C$4:$F$102,3,FALSE),"")</f>
        <v/>
      </c>
      <c r="K1934" s="272">
        <f>IFERROR(IF(BA1934="WIP - 30 Days",VLOOKUP(D1934,[3]Standard!$B$9:$E$101,4,FALSE),IF(BA1934="31-120 Days",VLOOKUP(D1934,[3]Standard!$B$9:$F$101,5,FALSE),IF(BA1934="121-365 Days",VLOOKUP(D1934,[3]Standard!$B$9:$G$101,6,FALSE),VLOOKUP(D1934,[3]Standard!$B$9:$H$101,7,FALSE)))),0)</f>
        <v>0</v>
      </c>
      <c r="L1934" s="272">
        <f>IFERROR(IF(BA1934="WIP - 30 Days",VLOOKUP(D1934,[3]Standard!$B$9:$J$101,9,FALSE),IF(BA1934="31-120 Days",VLOOKUP(D1934,[3]Standard!$B$9:$K$100,10,FALSE),IF(BA1934="121-365 Days",VLOOKUP(D1934,[3]Standard!$B$9:$L$101,11,FALSE),VLOOKUP(D1934,[3]Standard!$B$9:$M$101,12,FALSE)))),0)</f>
        <v>0</v>
      </c>
      <c r="M1934" s="269" t="str">
        <f>IFERROR(VLOOKUP((D1934&amp;C1934)&amp;"",'[2]Retail Price List'!$C$4:$F$102,4,FALSE),"")</f>
        <v/>
      </c>
      <c r="N1934" s="269">
        <f>IFERROR(IF(BA1934="WIP - 30 Days",VLOOKUP(D1934,[3]Extended!$B$9:$E$101,4,FALSE),IF(BA1934="31-120 Days",VLOOKUP(D1934,[3]Extended!$B$9:$F$101,5,FALSE),IF(BA1934="121-365 Days",VLOOKUP(D1934,[3]Extended!$B$9:$G$101,6,FALSE),VLOOKUP(D1934,[3]Extended!$B$9:$H$101,7,FALSE)))),0)</f>
        <v>0</v>
      </c>
      <c r="O1934" s="269">
        <f>IFERROR(IF(BA1934="WIP - 30 Days",VLOOKUP(D1934,[3]Extended!$B$9:$J$101,9,FALSE),IF(BA1934="31-120 Days",VLOOKUP(D1934,[3]Extended!$B$9:$K$101,10,FALSE),IF(BA1934="121-365 Days",VLOOKUP(D1934,[3]Extended!$B$9:$L$101,11,FALSE),VLOOKUP(D1934,[3]Extended!$B$9:$M$101,12,FALSE)))),0)</f>
        <v>0</v>
      </c>
      <c r="P1934" s="116" t="e">
        <f t="shared" si="151"/>
        <v>#VALUE!</v>
      </c>
      <c r="Q1934" s="110" t="e">
        <f>O1934-#REF!</f>
        <v>#REF!</v>
      </c>
      <c r="AT1934" s="88" t="str">
        <f t="shared" si="152"/>
        <v>Special Order0</v>
      </c>
      <c r="AU1934" s="89" t="str">
        <f t="shared" si="153"/>
        <v>01-1900</v>
      </c>
      <c r="BA1934" s="92" t="str">
        <f t="shared" si="154"/>
        <v/>
      </c>
    </row>
    <row r="1935" spans="2:53">
      <c r="B1935" s="60">
        <f>[2]Trucks!A1932</f>
        <v>0</v>
      </c>
      <c r="C1935" s="11">
        <f>[2]Trucks!B1932</f>
        <v>0</v>
      </c>
      <c r="D1935" s="19" t="str">
        <f>IFERROR(VLOOKUP(C1935&amp;"",'[2]Retail Price List'!$A$3:$B$103,2,FALSE),"Special Order")</f>
        <v>Special Order</v>
      </c>
      <c r="E1935" s="18">
        <f>[2]Trucks!J1932</f>
        <v>0</v>
      </c>
      <c r="F1935" s="12">
        <f>[2]Trucks!E1932</f>
        <v>0</v>
      </c>
      <c r="G1935" s="56">
        <f>[2]Trucks!K1932</f>
        <v>0</v>
      </c>
      <c r="H1935" s="46">
        <f>[2]Trucks!I1932</f>
        <v>0</v>
      </c>
      <c r="I1935" s="83" t="str">
        <f t="shared" si="150"/>
        <v/>
      </c>
      <c r="J1935" s="272" t="str">
        <f>IFERROR(VLOOKUP((D1935&amp;C1935)&amp;"",'[2]Retail Price List'!$C$4:$F$102,3,FALSE),"")</f>
        <v/>
      </c>
      <c r="K1935" s="272">
        <f>IFERROR(IF(BA1935="WIP - 30 Days",VLOOKUP(D1935,[3]Standard!$B$9:$E$101,4,FALSE),IF(BA1935="31-120 Days",VLOOKUP(D1935,[3]Standard!$B$9:$F$101,5,FALSE),IF(BA1935="121-365 Days",VLOOKUP(D1935,[3]Standard!$B$9:$G$101,6,FALSE),VLOOKUP(D1935,[3]Standard!$B$9:$H$101,7,FALSE)))),0)</f>
        <v>0</v>
      </c>
      <c r="L1935" s="272">
        <f>IFERROR(IF(BA1935="WIP - 30 Days",VLOOKUP(D1935,[3]Standard!$B$9:$J$101,9,FALSE),IF(BA1935="31-120 Days",VLOOKUP(D1935,[3]Standard!$B$9:$K$100,10,FALSE),IF(BA1935="121-365 Days",VLOOKUP(D1935,[3]Standard!$B$9:$L$101,11,FALSE),VLOOKUP(D1935,[3]Standard!$B$9:$M$101,12,FALSE)))),0)</f>
        <v>0</v>
      </c>
      <c r="M1935" s="269" t="str">
        <f>IFERROR(VLOOKUP((D1935&amp;C1935)&amp;"",'[2]Retail Price List'!$C$4:$F$102,4,FALSE),"")</f>
        <v/>
      </c>
      <c r="N1935" s="269">
        <f>IFERROR(IF(BA1935="WIP - 30 Days",VLOOKUP(D1935,[3]Extended!$B$9:$E$101,4,FALSE),IF(BA1935="31-120 Days",VLOOKUP(D1935,[3]Extended!$B$9:$F$101,5,FALSE),IF(BA1935="121-365 Days",VLOOKUP(D1935,[3]Extended!$B$9:$G$101,6,FALSE),VLOOKUP(D1935,[3]Extended!$B$9:$H$101,7,FALSE)))),0)</f>
        <v>0</v>
      </c>
      <c r="O1935" s="269">
        <f>IFERROR(IF(BA1935="WIP - 30 Days",VLOOKUP(D1935,[3]Extended!$B$9:$J$101,9,FALSE),IF(BA1935="31-120 Days",VLOOKUP(D1935,[3]Extended!$B$9:$K$101,10,FALSE),IF(BA1935="121-365 Days",VLOOKUP(D1935,[3]Extended!$B$9:$L$101,11,FALSE),VLOOKUP(D1935,[3]Extended!$B$9:$M$101,12,FALSE)))),0)</f>
        <v>0</v>
      </c>
      <c r="P1935" s="116" t="e">
        <f t="shared" si="151"/>
        <v>#VALUE!</v>
      </c>
      <c r="Q1935" s="110" t="e">
        <f>O1935-#REF!</f>
        <v>#REF!</v>
      </c>
      <c r="AT1935" s="88" t="str">
        <f t="shared" si="152"/>
        <v>Special Order0</v>
      </c>
      <c r="AU1935" s="89" t="str">
        <f t="shared" si="153"/>
        <v>01-1900</v>
      </c>
      <c r="BA1935" s="92" t="str">
        <f t="shared" si="154"/>
        <v/>
      </c>
    </row>
    <row r="1936" spans="2:53">
      <c r="B1936" s="60">
        <f>[2]Trucks!A1933</f>
        <v>0</v>
      </c>
      <c r="C1936" s="11">
        <f>[2]Trucks!B1933</f>
        <v>0</v>
      </c>
      <c r="D1936" s="19" t="str">
        <f>IFERROR(VLOOKUP(C1936&amp;"",'[2]Retail Price List'!$A$3:$B$103,2,FALSE),"Special Order")</f>
        <v>Special Order</v>
      </c>
      <c r="E1936" s="18">
        <f>[2]Trucks!J1933</f>
        <v>0</v>
      </c>
      <c r="F1936" s="12">
        <f>[2]Trucks!E1933</f>
        <v>0</v>
      </c>
      <c r="G1936" s="56">
        <f>[2]Trucks!K1933</f>
        <v>0</v>
      </c>
      <c r="H1936" s="46">
        <f>[2]Trucks!I1933</f>
        <v>0</v>
      </c>
      <c r="I1936" s="83" t="str">
        <f t="shared" si="150"/>
        <v/>
      </c>
      <c r="J1936" s="272" t="str">
        <f>IFERROR(VLOOKUP((D1936&amp;C1936)&amp;"",'[2]Retail Price List'!$C$4:$F$102,3,FALSE),"")</f>
        <v/>
      </c>
      <c r="K1936" s="272">
        <f>IFERROR(IF(BA1936="WIP - 30 Days",VLOOKUP(D1936,[3]Standard!$B$9:$E$101,4,FALSE),IF(BA1936="31-120 Days",VLOOKUP(D1936,[3]Standard!$B$9:$F$101,5,FALSE),IF(BA1936="121-365 Days",VLOOKUP(D1936,[3]Standard!$B$9:$G$101,6,FALSE),VLOOKUP(D1936,[3]Standard!$B$9:$H$101,7,FALSE)))),0)</f>
        <v>0</v>
      </c>
      <c r="L1936" s="272">
        <f>IFERROR(IF(BA1936="WIP - 30 Days",VLOOKUP(D1936,[3]Standard!$B$9:$J$101,9,FALSE),IF(BA1936="31-120 Days",VLOOKUP(D1936,[3]Standard!$B$9:$K$100,10,FALSE),IF(BA1936="121-365 Days",VLOOKUP(D1936,[3]Standard!$B$9:$L$101,11,FALSE),VLOOKUP(D1936,[3]Standard!$B$9:$M$101,12,FALSE)))),0)</f>
        <v>0</v>
      </c>
      <c r="M1936" s="269" t="str">
        <f>IFERROR(VLOOKUP((D1936&amp;C1936)&amp;"",'[2]Retail Price List'!$C$4:$F$102,4,FALSE),"")</f>
        <v/>
      </c>
      <c r="N1936" s="269">
        <f>IFERROR(IF(BA1936="WIP - 30 Days",VLOOKUP(D1936,[3]Extended!$B$9:$E$101,4,FALSE),IF(BA1936="31-120 Days",VLOOKUP(D1936,[3]Extended!$B$9:$F$101,5,FALSE),IF(BA1936="121-365 Days",VLOOKUP(D1936,[3]Extended!$B$9:$G$101,6,FALSE),VLOOKUP(D1936,[3]Extended!$B$9:$H$101,7,FALSE)))),0)</f>
        <v>0</v>
      </c>
      <c r="O1936" s="269">
        <f>IFERROR(IF(BA1936="WIP - 30 Days",VLOOKUP(D1936,[3]Extended!$B$9:$J$101,9,FALSE),IF(BA1936="31-120 Days",VLOOKUP(D1936,[3]Extended!$B$9:$K$101,10,FALSE),IF(BA1936="121-365 Days",VLOOKUP(D1936,[3]Extended!$B$9:$L$101,11,FALSE),VLOOKUP(D1936,[3]Extended!$B$9:$M$101,12,FALSE)))),0)</f>
        <v>0</v>
      </c>
      <c r="P1936" s="116" t="e">
        <f t="shared" si="151"/>
        <v>#VALUE!</v>
      </c>
      <c r="Q1936" s="110" t="e">
        <f>O1936-#REF!</f>
        <v>#REF!</v>
      </c>
      <c r="AT1936" s="88" t="str">
        <f t="shared" si="152"/>
        <v>Special Order0</v>
      </c>
      <c r="AU1936" s="89" t="str">
        <f t="shared" si="153"/>
        <v>01-1900</v>
      </c>
      <c r="BA1936" s="92" t="str">
        <f t="shared" si="154"/>
        <v/>
      </c>
    </row>
    <row r="1937" spans="2:53">
      <c r="B1937" s="60">
        <f>[2]Trucks!A1934</f>
        <v>0</v>
      </c>
      <c r="C1937" s="11">
        <f>[2]Trucks!B1934</f>
        <v>0</v>
      </c>
      <c r="D1937" s="19" t="str">
        <f>IFERROR(VLOOKUP(C1937&amp;"",'[2]Retail Price List'!$A$3:$B$103,2,FALSE),"Special Order")</f>
        <v>Special Order</v>
      </c>
      <c r="E1937" s="18">
        <f>[2]Trucks!J1934</f>
        <v>0</v>
      </c>
      <c r="F1937" s="12">
        <f>[2]Trucks!E1934</f>
        <v>0</v>
      </c>
      <c r="G1937" s="56">
        <f>[2]Trucks!K1934</f>
        <v>0</v>
      </c>
      <c r="H1937" s="46">
        <f>[2]Trucks!I1934</f>
        <v>0</v>
      </c>
      <c r="I1937" s="83" t="str">
        <f t="shared" si="150"/>
        <v/>
      </c>
      <c r="J1937" s="272" t="str">
        <f>IFERROR(VLOOKUP((D1937&amp;C1937)&amp;"",'[2]Retail Price List'!$C$4:$F$102,3,FALSE),"")</f>
        <v/>
      </c>
      <c r="K1937" s="272">
        <f>IFERROR(IF(BA1937="WIP - 30 Days",VLOOKUP(D1937,[3]Standard!$B$9:$E$101,4,FALSE),IF(BA1937="31-120 Days",VLOOKUP(D1937,[3]Standard!$B$9:$F$101,5,FALSE),IF(BA1937="121-365 Days",VLOOKUP(D1937,[3]Standard!$B$9:$G$101,6,FALSE),VLOOKUP(D1937,[3]Standard!$B$9:$H$101,7,FALSE)))),0)</f>
        <v>0</v>
      </c>
      <c r="L1937" s="272">
        <f>IFERROR(IF(BA1937="WIP - 30 Days",VLOOKUP(D1937,[3]Standard!$B$9:$J$101,9,FALSE),IF(BA1937="31-120 Days",VLOOKUP(D1937,[3]Standard!$B$9:$K$100,10,FALSE),IF(BA1937="121-365 Days",VLOOKUP(D1937,[3]Standard!$B$9:$L$101,11,FALSE),VLOOKUP(D1937,[3]Standard!$B$9:$M$101,12,FALSE)))),0)</f>
        <v>0</v>
      </c>
      <c r="M1937" s="269" t="str">
        <f>IFERROR(VLOOKUP((D1937&amp;C1937)&amp;"",'[2]Retail Price List'!$C$4:$F$102,4,FALSE),"")</f>
        <v/>
      </c>
      <c r="N1937" s="269">
        <f>IFERROR(IF(BA1937="WIP - 30 Days",VLOOKUP(D1937,[3]Extended!$B$9:$E$101,4,FALSE),IF(BA1937="31-120 Days",VLOOKUP(D1937,[3]Extended!$B$9:$F$101,5,FALSE),IF(BA1937="121-365 Days",VLOOKUP(D1937,[3]Extended!$B$9:$G$101,6,FALSE),VLOOKUP(D1937,[3]Extended!$B$9:$H$101,7,FALSE)))),0)</f>
        <v>0</v>
      </c>
      <c r="O1937" s="269">
        <f>IFERROR(IF(BA1937="WIP - 30 Days",VLOOKUP(D1937,[3]Extended!$B$9:$J$101,9,FALSE),IF(BA1937="31-120 Days",VLOOKUP(D1937,[3]Extended!$B$9:$K$101,10,FALSE),IF(BA1937="121-365 Days",VLOOKUP(D1937,[3]Extended!$B$9:$L$101,11,FALSE),VLOOKUP(D1937,[3]Extended!$B$9:$M$101,12,FALSE)))),0)</f>
        <v>0</v>
      </c>
      <c r="P1937" s="116" t="e">
        <f t="shared" si="151"/>
        <v>#VALUE!</v>
      </c>
      <c r="Q1937" s="110" t="e">
        <f>O1937-#REF!</f>
        <v>#REF!</v>
      </c>
      <c r="AT1937" s="88" t="str">
        <f t="shared" si="152"/>
        <v>Special Order0</v>
      </c>
      <c r="AU1937" s="89" t="str">
        <f t="shared" si="153"/>
        <v>01-1900</v>
      </c>
      <c r="BA1937" s="92" t="str">
        <f t="shared" si="154"/>
        <v/>
      </c>
    </row>
    <row r="1938" spans="2:53">
      <c r="B1938" s="60">
        <f>[2]Trucks!A1935</f>
        <v>0</v>
      </c>
      <c r="C1938" s="11">
        <f>[2]Trucks!B1935</f>
        <v>0</v>
      </c>
      <c r="D1938" s="19" t="str">
        <f>IFERROR(VLOOKUP(C1938&amp;"",'[2]Retail Price List'!$A$3:$B$103,2,FALSE),"Special Order")</f>
        <v>Special Order</v>
      </c>
      <c r="E1938" s="18">
        <f>[2]Trucks!J1935</f>
        <v>0</v>
      </c>
      <c r="F1938" s="12">
        <f>[2]Trucks!E1935</f>
        <v>0</v>
      </c>
      <c r="G1938" s="56">
        <f>[2]Trucks!K1935</f>
        <v>0</v>
      </c>
      <c r="H1938" s="46">
        <f>[2]Trucks!I1935</f>
        <v>0</v>
      </c>
      <c r="I1938" s="83" t="str">
        <f t="shared" si="150"/>
        <v/>
      </c>
      <c r="J1938" s="272" t="str">
        <f>IFERROR(VLOOKUP((D1938&amp;C1938)&amp;"",'[2]Retail Price List'!$C$4:$F$102,3,FALSE),"")</f>
        <v/>
      </c>
      <c r="K1938" s="272">
        <f>IFERROR(IF(BA1938="WIP - 30 Days",VLOOKUP(D1938,[3]Standard!$B$9:$E$101,4,FALSE),IF(BA1938="31-120 Days",VLOOKUP(D1938,[3]Standard!$B$9:$F$101,5,FALSE),IF(BA1938="121-365 Days",VLOOKUP(D1938,[3]Standard!$B$9:$G$101,6,FALSE),VLOOKUP(D1938,[3]Standard!$B$9:$H$101,7,FALSE)))),0)</f>
        <v>0</v>
      </c>
      <c r="L1938" s="272">
        <f>IFERROR(IF(BA1938="WIP - 30 Days",VLOOKUP(D1938,[3]Standard!$B$9:$J$101,9,FALSE),IF(BA1938="31-120 Days",VLOOKUP(D1938,[3]Standard!$B$9:$K$100,10,FALSE),IF(BA1938="121-365 Days",VLOOKUP(D1938,[3]Standard!$B$9:$L$101,11,FALSE),VLOOKUP(D1938,[3]Standard!$B$9:$M$101,12,FALSE)))),0)</f>
        <v>0</v>
      </c>
      <c r="M1938" s="269" t="str">
        <f>IFERROR(VLOOKUP((D1938&amp;C1938)&amp;"",'[2]Retail Price List'!$C$4:$F$102,4,FALSE),"")</f>
        <v/>
      </c>
      <c r="N1938" s="269">
        <f>IFERROR(IF(BA1938="WIP - 30 Days",VLOOKUP(D1938,[3]Extended!$B$9:$E$101,4,FALSE),IF(BA1938="31-120 Days",VLOOKUP(D1938,[3]Extended!$B$9:$F$101,5,FALSE),IF(BA1938="121-365 Days",VLOOKUP(D1938,[3]Extended!$B$9:$G$101,6,FALSE),VLOOKUP(D1938,[3]Extended!$B$9:$H$101,7,FALSE)))),0)</f>
        <v>0</v>
      </c>
      <c r="O1938" s="269">
        <f>IFERROR(IF(BA1938="WIP - 30 Days",VLOOKUP(D1938,[3]Extended!$B$9:$J$101,9,FALSE),IF(BA1938="31-120 Days",VLOOKUP(D1938,[3]Extended!$B$9:$K$101,10,FALSE),IF(BA1938="121-365 Days",VLOOKUP(D1938,[3]Extended!$B$9:$L$101,11,FALSE),VLOOKUP(D1938,[3]Extended!$B$9:$M$101,12,FALSE)))),0)</f>
        <v>0</v>
      </c>
      <c r="P1938" s="116" t="e">
        <f t="shared" si="151"/>
        <v>#VALUE!</v>
      </c>
      <c r="Q1938" s="110" t="e">
        <f>O1938-#REF!</f>
        <v>#REF!</v>
      </c>
      <c r="AT1938" s="88" t="str">
        <f t="shared" si="152"/>
        <v>Special Order0</v>
      </c>
      <c r="AU1938" s="89" t="str">
        <f t="shared" si="153"/>
        <v>01-1900</v>
      </c>
      <c r="BA1938" s="92" t="str">
        <f t="shared" si="154"/>
        <v/>
      </c>
    </row>
    <row r="1939" spans="2:53">
      <c r="B1939" s="60">
        <f>[2]Trucks!A1936</f>
        <v>0</v>
      </c>
      <c r="C1939" s="11">
        <f>[2]Trucks!B1936</f>
        <v>0</v>
      </c>
      <c r="D1939" s="19" t="str">
        <f>IFERROR(VLOOKUP(C1939&amp;"",'[2]Retail Price List'!$A$3:$B$103,2,FALSE),"Special Order")</f>
        <v>Special Order</v>
      </c>
      <c r="E1939" s="18">
        <f>[2]Trucks!J1936</f>
        <v>0</v>
      </c>
      <c r="F1939" s="12">
        <f>[2]Trucks!E1936</f>
        <v>0</v>
      </c>
      <c r="G1939" s="56">
        <f>[2]Trucks!K1936</f>
        <v>0</v>
      </c>
      <c r="H1939" s="46">
        <f>[2]Trucks!I1936</f>
        <v>0</v>
      </c>
      <c r="I1939" s="83" t="str">
        <f t="shared" si="150"/>
        <v/>
      </c>
      <c r="J1939" s="272" t="str">
        <f>IFERROR(VLOOKUP((D1939&amp;C1939)&amp;"",'[2]Retail Price List'!$C$4:$F$102,3,FALSE),"")</f>
        <v/>
      </c>
      <c r="K1939" s="272">
        <f>IFERROR(IF(BA1939="WIP - 30 Days",VLOOKUP(D1939,[3]Standard!$B$9:$E$101,4,FALSE),IF(BA1939="31-120 Days",VLOOKUP(D1939,[3]Standard!$B$9:$F$101,5,FALSE),IF(BA1939="121-365 Days",VLOOKUP(D1939,[3]Standard!$B$9:$G$101,6,FALSE),VLOOKUP(D1939,[3]Standard!$B$9:$H$101,7,FALSE)))),0)</f>
        <v>0</v>
      </c>
      <c r="L1939" s="272">
        <f>IFERROR(IF(BA1939="WIP - 30 Days",VLOOKUP(D1939,[3]Standard!$B$9:$J$101,9,FALSE),IF(BA1939="31-120 Days",VLOOKUP(D1939,[3]Standard!$B$9:$K$100,10,FALSE),IF(BA1939="121-365 Days",VLOOKUP(D1939,[3]Standard!$B$9:$L$101,11,FALSE),VLOOKUP(D1939,[3]Standard!$B$9:$M$101,12,FALSE)))),0)</f>
        <v>0</v>
      </c>
      <c r="M1939" s="269" t="str">
        <f>IFERROR(VLOOKUP((D1939&amp;C1939)&amp;"",'[2]Retail Price List'!$C$4:$F$102,4,FALSE),"")</f>
        <v/>
      </c>
      <c r="N1939" s="269">
        <f>IFERROR(IF(BA1939="WIP - 30 Days",VLOOKUP(D1939,[3]Extended!$B$9:$E$101,4,FALSE),IF(BA1939="31-120 Days",VLOOKUP(D1939,[3]Extended!$B$9:$F$101,5,FALSE),IF(BA1939="121-365 Days",VLOOKUP(D1939,[3]Extended!$B$9:$G$101,6,FALSE),VLOOKUP(D1939,[3]Extended!$B$9:$H$101,7,FALSE)))),0)</f>
        <v>0</v>
      </c>
      <c r="O1939" s="269">
        <f>IFERROR(IF(BA1939="WIP - 30 Days",VLOOKUP(D1939,[3]Extended!$B$9:$J$101,9,FALSE),IF(BA1939="31-120 Days",VLOOKUP(D1939,[3]Extended!$B$9:$K$101,10,FALSE),IF(BA1939="121-365 Days",VLOOKUP(D1939,[3]Extended!$B$9:$L$101,11,FALSE),VLOOKUP(D1939,[3]Extended!$B$9:$M$101,12,FALSE)))),0)</f>
        <v>0</v>
      </c>
      <c r="P1939" s="116" t="e">
        <f t="shared" si="151"/>
        <v>#VALUE!</v>
      </c>
      <c r="Q1939" s="110" t="e">
        <f>O1939-#REF!</f>
        <v>#REF!</v>
      </c>
      <c r="AT1939" s="88" t="str">
        <f t="shared" si="152"/>
        <v>Special Order0</v>
      </c>
      <c r="AU1939" s="89" t="str">
        <f t="shared" si="153"/>
        <v>01-1900</v>
      </c>
      <c r="BA1939" s="92" t="str">
        <f t="shared" si="154"/>
        <v/>
      </c>
    </row>
    <row r="1940" spans="2:53">
      <c r="B1940" s="60">
        <f>[2]Trucks!A1937</f>
        <v>0</v>
      </c>
      <c r="C1940" s="11">
        <f>[2]Trucks!B1937</f>
        <v>0</v>
      </c>
      <c r="D1940" s="19" t="str">
        <f>IFERROR(VLOOKUP(C1940&amp;"",'[2]Retail Price List'!$A$3:$B$103,2,FALSE),"Special Order")</f>
        <v>Special Order</v>
      </c>
      <c r="E1940" s="18">
        <f>[2]Trucks!J1937</f>
        <v>0</v>
      </c>
      <c r="F1940" s="12">
        <f>[2]Trucks!E1937</f>
        <v>0</v>
      </c>
      <c r="G1940" s="56">
        <f>[2]Trucks!K1937</f>
        <v>0</v>
      </c>
      <c r="H1940" s="46">
        <f>[2]Trucks!I1937</f>
        <v>0</v>
      </c>
      <c r="I1940" s="83" t="str">
        <f t="shared" si="150"/>
        <v/>
      </c>
      <c r="J1940" s="272" t="str">
        <f>IFERROR(VLOOKUP((D1940&amp;C1940)&amp;"",'[2]Retail Price List'!$C$4:$F$102,3,FALSE),"")</f>
        <v/>
      </c>
      <c r="K1940" s="272">
        <f>IFERROR(IF(BA1940="WIP - 30 Days",VLOOKUP(D1940,[3]Standard!$B$9:$E$101,4,FALSE),IF(BA1940="31-120 Days",VLOOKUP(D1940,[3]Standard!$B$9:$F$101,5,FALSE),IF(BA1940="121-365 Days",VLOOKUP(D1940,[3]Standard!$B$9:$G$101,6,FALSE),VLOOKUP(D1940,[3]Standard!$B$9:$H$101,7,FALSE)))),0)</f>
        <v>0</v>
      </c>
      <c r="L1940" s="272">
        <f>IFERROR(IF(BA1940="WIP - 30 Days",VLOOKUP(D1940,[3]Standard!$B$9:$J$101,9,FALSE),IF(BA1940="31-120 Days",VLOOKUP(D1940,[3]Standard!$B$9:$K$100,10,FALSE),IF(BA1940="121-365 Days",VLOOKUP(D1940,[3]Standard!$B$9:$L$101,11,FALSE),VLOOKUP(D1940,[3]Standard!$B$9:$M$101,12,FALSE)))),0)</f>
        <v>0</v>
      </c>
      <c r="M1940" s="269" t="str">
        <f>IFERROR(VLOOKUP((D1940&amp;C1940)&amp;"",'[2]Retail Price List'!$C$4:$F$102,4,FALSE),"")</f>
        <v/>
      </c>
      <c r="N1940" s="269">
        <f>IFERROR(IF(BA1940="WIP - 30 Days",VLOOKUP(D1940,[3]Extended!$B$9:$E$101,4,FALSE),IF(BA1940="31-120 Days",VLOOKUP(D1940,[3]Extended!$B$9:$F$101,5,FALSE),IF(BA1940="121-365 Days",VLOOKUP(D1940,[3]Extended!$B$9:$G$101,6,FALSE),VLOOKUP(D1940,[3]Extended!$B$9:$H$101,7,FALSE)))),0)</f>
        <v>0</v>
      </c>
      <c r="O1940" s="269">
        <f>IFERROR(IF(BA1940="WIP - 30 Days",VLOOKUP(D1940,[3]Extended!$B$9:$J$101,9,FALSE),IF(BA1940="31-120 Days",VLOOKUP(D1940,[3]Extended!$B$9:$K$101,10,FALSE),IF(BA1940="121-365 Days",VLOOKUP(D1940,[3]Extended!$B$9:$L$101,11,FALSE),VLOOKUP(D1940,[3]Extended!$B$9:$M$101,12,FALSE)))),0)</f>
        <v>0</v>
      </c>
      <c r="P1940" s="116" t="e">
        <f t="shared" si="151"/>
        <v>#VALUE!</v>
      </c>
      <c r="Q1940" s="110" t="e">
        <f>O1940-#REF!</f>
        <v>#REF!</v>
      </c>
      <c r="AT1940" s="88" t="str">
        <f t="shared" si="152"/>
        <v>Special Order0</v>
      </c>
      <c r="AU1940" s="89" t="str">
        <f t="shared" si="153"/>
        <v>01-1900</v>
      </c>
      <c r="BA1940" s="92" t="str">
        <f t="shared" si="154"/>
        <v/>
      </c>
    </row>
    <row r="1941" spans="2:53">
      <c r="B1941" s="60">
        <f>[2]Trucks!A1938</f>
        <v>0</v>
      </c>
      <c r="C1941" s="11">
        <f>[2]Trucks!B1938</f>
        <v>0</v>
      </c>
      <c r="D1941" s="19" t="str">
        <f>IFERROR(VLOOKUP(C1941&amp;"",'[2]Retail Price List'!$A$3:$B$103,2,FALSE),"Special Order")</f>
        <v>Special Order</v>
      </c>
      <c r="E1941" s="18">
        <f>[2]Trucks!J1938</f>
        <v>0</v>
      </c>
      <c r="F1941" s="12">
        <f>[2]Trucks!E1938</f>
        <v>0</v>
      </c>
      <c r="G1941" s="56">
        <f>[2]Trucks!K1938</f>
        <v>0</v>
      </c>
      <c r="H1941" s="46">
        <f>[2]Trucks!I1938</f>
        <v>0</v>
      </c>
      <c r="I1941" s="83" t="str">
        <f t="shared" si="150"/>
        <v/>
      </c>
      <c r="J1941" s="272" t="str">
        <f>IFERROR(VLOOKUP((D1941&amp;C1941)&amp;"",'[2]Retail Price List'!$C$4:$F$102,3,FALSE),"")</f>
        <v/>
      </c>
      <c r="K1941" s="272">
        <f>IFERROR(IF(BA1941="WIP - 30 Days",VLOOKUP(D1941,[3]Standard!$B$9:$E$101,4,FALSE),IF(BA1941="31-120 Days",VLOOKUP(D1941,[3]Standard!$B$9:$F$101,5,FALSE),IF(BA1941="121-365 Days",VLOOKUP(D1941,[3]Standard!$B$9:$G$101,6,FALSE),VLOOKUP(D1941,[3]Standard!$B$9:$H$101,7,FALSE)))),0)</f>
        <v>0</v>
      </c>
      <c r="L1941" s="272">
        <f>IFERROR(IF(BA1941="WIP - 30 Days",VLOOKUP(D1941,[3]Standard!$B$9:$J$101,9,FALSE),IF(BA1941="31-120 Days",VLOOKUP(D1941,[3]Standard!$B$9:$K$100,10,FALSE),IF(BA1941="121-365 Days",VLOOKUP(D1941,[3]Standard!$B$9:$L$101,11,FALSE),VLOOKUP(D1941,[3]Standard!$B$9:$M$101,12,FALSE)))),0)</f>
        <v>0</v>
      </c>
      <c r="M1941" s="269" t="str">
        <f>IFERROR(VLOOKUP((D1941&amp;C1941)&amp;"",'[2]Retail Price List'!$C$4:$F$102,4,FALSE),"")</f>
        <v/>
      </c>
      <c r="N1941" s="269">
        <f>IFERROR(IF(BA1941="WIP - 30 Days",VLOOKUP(D1941,[3]Extended!$B$9:$E$101,4,FALSE),IF(BA1941="31-120 Days",VLOOKUP(D1941,[3]Extended!$B$9:$F$101,5,FALSE),IF(BA1941="121-365 Days",VLOOKUP(D1941,[3]Extended!$B$9:$G$101,6,FALSE),VLOOKUP(D1941,[3]Extended!$B$9:$H$101,7,FALSE)))),0)</f>
        <v>0</v>
      </c>
      <c r="O1941" s="269">
        <f>IFERROR(IF(BA1941="WIP - 30 Days",VLOOKUP(D1941,[3]Extended!$B$9:$J$101,9,FALSE),IF(BA1941="31-120 Days",VLOOKUP(D1941,[3]Extended!$B$9:$K$101,10,FALSE),IF(BA1941="121-365 Days",VLOOKUP(D1941,[3]Extended!$B$9:$L$101,11,FALSE),VLOOKUP(D1941,[3]Extended!$B$9:$M$101,12,FALSE)))),0)</f>
        <v>0</v>
      </c>
      <c r="P1941" s="116" t="e">
        <f t="shared" si="151"/>
        <v>#VALUE!</v>
      </c>
      <c r="Q1941" s="110" t="e">
        <f>O1941-#REF!</f>
        <v>#REF!</v>
      </c>
      <c r="AT1941" s="88" t="str">
        <f t="shared" si="152"/>
        <v>Special Order0</v>
      </c>
      <c r="AU1941" s="89" t="str">
        <f t="shared" si="153"/>
        <v>01-1900</v>
      </c>
      <c r="BA1941" s="92" t="str">
        <f t="shared" si="154"/>
        <v/>
      </c>
    </row>
    <row r="1942" spans="2:53">
      <c r="B1942" s="60">
        <f>[2]Trucks!A1939</f>
        <v>0</v>
      </c>
      <c r="C1942" s="11">
        <f>[2]Trucks!B1939</f>
        <v>0</v>
      </c>
      <c r="D1942" s="19" t="str">
        <f>IFERROR(VLOOKUP(C1942&amp;"",'[2]Retail Price List'!$A$3:$B$103,2,FALSE),"Special Order")</f>
        <v>Special Order</v>
      </c>
      <c r="E1942" s="18">
        <f>[2]Trucks!J1939</f>
        <v>0</v>
      </c>
      <c r="F1942" s="12">
        <f>[2]Trucks!E1939</f>
        <v>0</v>
      </c>
      <c r="G1942" s="56">
        <f>[2]Trucks!K1939</f>
        <v>0</v>
      </c>
      <c r="H1942" s="46">
        <f>[2]Trucks!I1939</f>
        <v>0</v>
      </c>
      <c r="I1942" s="83" t="str">
        <f t="shared" si="150"/>
        <v/>
      </c>
      <c r="J1942" s="272" t="str">
        <f>IFERROR(VLOOKUP((D1942&amp;C1942)&amp;"",'[2]Retail Price List'!$C$4:$F$102,3,FALSE),"")</f>
        <v/>
      </c>
      <c r="K1942" s="272">
        <f>IFERROR(IF(BA1942="WIP - 30 Days",VLOOKUP(D1942,[3]Standard!$B$9:$E$101,4,FALSE),IF(BA1942="31-120 Days",VLOOKUP(D1942,[3]Standard!$B$9:$F$101,5,FALSE),IF(BA1942="121-365 Days",VLOOKUP(D1942,[3]Standard!$B$9:$G$101,6,FALSE),VLOOKUP(D1942,[3]Standard!$B$9:$H$101,7,FALSE)))),0)</f>
        <v>0</v>
      </c>
      <c r="L1942" s="272">
        <f>IFERROR(IF(BA1942="WIP - 30 Days",VLOOKUP(D1942,[3]Standard!$B$9:$J$101,9,FALSE),IF(BA1942="31-120 Days",VLOOKUP(D1942,[3]Standard!$B$9:$K$100,10,FALSE),IF(BA1942="121-365 Days",VLOOKUP(D1942,[3]Standard!$B$9:$L$101,11,FALSE),VLOOKUP(D1942,[3]Standard!$B$9:$M$101,12,FALSE)))),0)</f>
        <v>0</v>
      </c>
      <c r="M1942" s="269" t="str">
        <f>IFERROR(VLOOKUP((D1942&amp;C1942)&amp;"",'[2]Retail Price List'!$C$4:$F$102,4,FALSE),"")</f>
        <v/>
      </c>
      <c r="N1942" s="269">
        <f>IFERROR(IF(BA1942="WIP - 30 Days",VLOOKUP(D1942,[3]Extended!$B$9:$E$101,4,FALSE),IF(BA1942="31-120 Days",VLOOKUP(D1942,[3]Extended!$B$9:$F$101,5,FALSE),IF(BA1942="121-365 Days",VLOOKUP(D1942,[3]Extended!$B$9:$G$101,6,FALSE),VLOOKUP(D1942,[3]Extended!$B$9:$H$101,7,FALSE)))),0)</f>
        <v>0</v>
      </c>
      <c r="O1942" s="269">
        <f>IFERROR(IF(BA1942="WIP - 30 Days",VLOOKUP(D1942,[3]Extended!$B$9:$J$101,9,FALSE),IF(BA1942="31-120 Days",VLOOKUP(D1942,[3]Extended!$B$9:$K$101,10,FALSE),IF(BA1942="121-365 Days",VLOOKUP(D1942,[3]Extended!$B$9:$L$101,11,FALSE),VLOOKUP(D1942,[3]Extended!$B$9:$M$101,12,FALSE)))),0)</f>
        <v>0</v>
      </c>
      <c r="P1942" s="116" t="e">
        <f t="shared" si="151"/>
        <v>#VALUE!</v>
      </c>
      <c r="Q1942" s="110" t="e">
        <f>O1942-#REF!</f>
        <v>#REF!</v>
      </c>
      <c r="AT1942" s="88" t="str">
        <f t="shared" si="152"/>
        <v>Special Order0</v>
      </c>
      <c r="AU1942" s="89" t="str">
        <f t="shared" si="153"/>
        <v>01-1900</v>
      </c>
      <c r="BA1942" s="92" t="str">
        <f t="shared" si="154"/>
        <v/>
      </c>
    </row>
    <row r="1943" spans="2:53">
      <c r="B1943" s="60">
        <f>[2]Trucks!A1940</f>
        <v>0</v>
      </c>
      <c r="C1943" s="11">
        <f>[2]Trucks!B1940</f>
        <v>0</v>
      </c>
      <c r="D1943" s="19" t="str">
        <f>IFERROR(VLOOKUP(C1943&amp;"",'[2]Retail Price List'!$A$3:$B$103,2,FALSE),"Special Order")</f>
        <v>Special Order</v>
      </c>
      <c r="E1943" s="18">
        <f>[2]Trucks!J1940</f>
        <v>0</v>
      </c>
      <c r="F1943" s="12">
        <f>[2]Trucks!E1940</f>
        <v>0</v>
      </c>
      <c r="G1943" s="56">
        <f>[2]Trucks!K1940</f>
        <v>0</v>
      </c>
      <c r="H1943" s="46">
        <f>[2]Trucks!I1940</f>
        <v>0</v>
      </c>
      <c r="I1943" s="83" t="str">
        <f t="shared" si="150"/>
        <v/>
      </c>
      <c r="J1943" s="272" t="str">
        <f>IFERROR(VLOOKUP((D1943&amp;C1943)&amp;"",'[2]Retail Price List'!$C$4:$F$102,3,FALSE),"")</f>
        <v/>
      </c>
      <c r="K1943" s="272">
        <f>IFERROR(IF(BA1943="WIP - 30 Days",VLOOKUP(D1943,[3]Standard!$B$9:$E$101,4,FALSE),IF(BA1943="31-120 Days",VLOOKUP(D1943,[3]Standard!$B$9:$F$101,5,FALSE),IF(BA1943="121-365 Days",VLOOKUP(D1943,[3]Standard!$B$9:$G$101,6,FALSE),VLOOKUP(D1943,[3]Standard!$B$9:$H$101,7,FALSE)))),0)</f>
        <v>0</v>
      </c>
      <c r="L1943" s="272">
        <f>IFERROR(IF(BA1943="WIP - 30 Days",VLOOKUP(D1943,[3]Standard!$B$9:$J$101,9,FALSE),IF(BA1943="31-120 Days",VLOOKUP(D1943,[3]Standard!$B$9:$K$100,10,FALSE),IF(BA1943="121-365 Days",VLOOKUP(D1943,[3]Standard!$B$9:$L$101,11,FALSE),VLOOKUP(D1943,[3]Standard!$B$9:$M$101,12,FALSE)))),0)</f>
        <v>0</v>
      </c>
      <c r="M1943" s="269" t="str">
        <f>IFERROR(VLOOKUP((D1943&amp;C1943)&amp;"",'[2]Retail Price List'!$C$4:$F$102,4,FALSE),"")</f>
        <v/>
      </c>
      <c r="N1943" s="269">
        <f>IFERROR(IF(BA1943="WIP - 30 Days",VLOOKUP(D1943,[3]Extended!$B$9:$E$101,4,FALSE),IF(BA1943="31-120 Days",VLOOKUP(D1943,[3]Extended!$B$9:$F$101,5,FALSE),IF(BA1943="121-365 Days",VLOOKUP(D1943,[3]Extended!$B$9:$G$101,6,FALSE),VLOOKUP(D1943,[3]Extended!$B$9:$H$101,7,FALSE)))),0)</f>
        <v>0</v>
      </c>
      <c r="O1943" s="269">
        <f>IFERROR(IF(BA1943="WIP - 30 Days",VLOOKUP(D1943,[3]Extended!$B$9:$J$101,9,FALSE),IF(BA1943="31-120 Days",VLOOKUP(D1943,[3]Extended!$B$9:$K$101,10,FALSE),IF(BA1943="121-365 Days",VLOOKUP(D1943,[3]Extended!$B$9:$L$101,11,FALSE),VLOOKUP(D1943,[3]Extended!$B$9:$M$101,12,FALSE)))),0)</f>
        <v>0</v>
      </c>
      <c r="P1943" s="116" t="e">
        <f t="shared" si="151"/>
        <v>#VALUE!</v>
      </c>
      <c r="Q1943" s="110" t="e">
        <f>O1943-#REF!</f>
        <v>#REF!</v>
      </c>
      <c r="AT1943" s="88" t="str">
        <f t="shared" si="152"/>
        <v>Special Order0</v>
      </c>
      <c r="AU1943" s="89" t="str">
        <f t="shared" si="153"/>
        <v>01-1900</v>
      </c>
      <c r="BA1943" s="92" t="str">
        <f t="shared" si="154"/>
        <v/>
      </c>
    </row>
    <row r="1944" spans="2:53">
      <c r="B1944" s="60">
        <f>[2]Trucks!A1941</f>
        <v>0</v>
      </c>
      <c r="C1944" s="11">
        <f>[2]Trucks!B1941</f>
        <v>0</v>
      </c>
      <c r="D1944" s="19" t="str">
        <f>IFERROR(VLOOKUP(C1944&amp;"",'[2]Retail Price List'!$A$3:$B$103,2,FALSE),"Special Order")</f>
        <v>Special Order</v>
      </c>
      <c r="E1944" s="18">
        <f>[2]Trucks!J1941</f>
        <v>0</v>
      </c>
      <c r="F1944" s="12">
        <f>[2]Trucks!E1941</f>
        <v>0</v>
      </c>
      <c r="G1944" s="56">
        <f>[2]Trucks!K1941</f>
        <v>0</v>
      </c>
      <c r="H1944" s="46">
        <f>[2]Trucks!I1941</f>
        <v>0</v>
      </c>
      <c r="I1944" s="83" t="str">
        <f t="shared" si="150"/>
        <v/>
      </c>
      <c r="J1944" s="272" t="str">
        <f>IFERROR(VLOOKUP((D1944&amp;C1944)&amp;"",'[2]Retail Price List'!$C$4:$F$102,3,FALSE),"")</f>
        <v/>
      </c>
      <c r="K1944" s="272">
        <f>IFERROR(IF(BA1944="WIP - 30 Days",VLOOKUP(D1944,[3]Standard!$B$9:$E$101,4,FALSE),IF(BA1944="31-120 Days",VLOOKUP(D1944,[3]Standard!$B$9:$F$101,5,FALSE),IF(BA1944="121-365 Days",VLOOKUP(D1944,[3]Standard!$B$9:$G$101,6,FALSE),VLOOKUP(D1944,[3]Standard!$B$9:$H$101,7,FALSE)))),0)</f>
        <v>0</v>
      </c>
      <c r="L1944" s="272">
        <f>IFERROR(IF(BA1944="WIP - 30 Days",VLOOKUP(D1944,[3]Standard!$B$9:$J$101,9,FALSE),IF(BA1944="31-120 Days",VLOOKUP(D1944,[3]Standard!$B$9:$K$100,10,FALSE),IF(BA1944="121-365 Days",VLOOKUP(D1944,[3]Standard!$B$9:$L$101,11,FALSE),VLOOKUP(D1944,[3]Standard!$B$9:$M$101,12,FALSE)))),0)</f>
        <v>0</v>
      </c>
      <c r="M1944" s="269" t="str">
        <f>IFERROR(VLOOKUP((D1944&amp;C1944)&amp;"",'[2]Retail Price List'!$C$4:$F$102,4,FALSE),"")</f>
        <v/>
      </c>
      <c r="N1944" s="269">
        <f>IFERROR(IF(BA1944="WIP - 30 Days",VLOOKUP(D1944,[3]Extended!$B$9:$E$101,4,FALSE),IF(BA1944="31-120 Days",VLOOKUP(D1944,[3]Extended!$B$9:$F$101,5,FALSE),IF(BA1944="121-365 Days",VLOOKUP(D1944,[3]Extended!$B$9:$G$101,6,FALSE),VLOOKUP(D1944,[3]Extended!$B$9:$H$101,7,FALSE)))),0)</f>
        <v>0</v>
      </c>
      <c r="O1944" s="269">
        <f>IFERROR(IF(BA1944="WIP - 30 Days",VLOOKUP(D1944,[3]Extended!$B$9:$J$101,9,FALSE),IF(BA1944="31-120 Days",VLOOKUP(D1944,[3]Extended!$B$9:$K$101,10,FALSE),IF(BA1944="121-365 Days",VLOOKUP(D1944,[3]Extended!$B$9:$L$101,11,FALSE),VLOOKUP(D1944,[3]Extended!$B$9:$M$101,12,FALSE)))),0)</f>
        <v>0</v>
      </c>
      <c r="P1944" s="116" t="e">
        <f t="shared" si="151"/>
        <v>#VALUE!</v>
      </c>
      <c r="Q1944" s="110" t="e">
        <f>O1944-#REF!</f>
        <v>#REF!</v>
      </c>
      <c r="AT1944" s="88" t="str">
        <f t="shared" si="152"/>
        <v>Special Order0</v>
      </c>
      <c r="AU1944" s="89" t="str">
        <f t="shared" si="153"/>
        <v>01-1900</v>
      </c>
      <c r="BA1944" s="92" t="str">
        <f t="shared" si="154"/>
        <v/>
      </c>
    </row>
    <row r="1945" spans="2:53">
      <c r="B1945" s="60">
        <f>[2]Trucks!A1942</f>
        <v>0</v>
      </c>
      <c r="C1945" s="11">
        <f>[2]Trucks!B1942</f>
        <v>0</v>
      </c>
      <c r="D1945" s="19" t="str">
        <f>IFERROR(VLOOKUP(C1945&amp;"",'[2]Retail Price List'!$A$3:$B$103,2,FALSE),"Special Order")</f>
        <v>Special Order</v>
      </c>
      <c r="E1945" s="18">
        <f>[2]Trucks!J1942</f>
        <v>0</v>
      </c>
      <c r="F1945" s="12">
        <f>[2]Trucks!E1942</f>
        <v>0</v>
      </c>
      <c r="G1945" s="56">
        <f>[2]Trucks!K1942</f>
        <v>0</v>
      </c>
      <c r="H1945" s="46">
        <f>[2]Trucks!I1942</f>
        <v>0</v>
      </c>
      <c r="I1945" s="83" t="str">
        <f t="shared" si="150"/>
        <v/>
      </c>
      <c r="J1945" s="272" t="str">
        <f>IFERROR(VLOOKUP((D1945&amp;C1945)&amp;"",'[2]Retail Price List'!$C$4:$F$102,3,FALSE),"")</f>
        <v/>
      </c>
      <c r="K1945" s="272">
        <f>IFERROR(IF(BA1945="WIP - 30 Days",VLOOKUP(D1945,[3]Standard!$B$9:$E$101,4,FALSE),IF(BA1945="31-120 Days",VLOOKUP(D1945,[3]Standard!$B$9:$F$101,5,FALSE),IF(BA1945="121-365 Days",VLOOKUP(D1945,[3]Standard!$B$9:$G$101,6,FALSE),VLOOKUP(D1945,[3]Standard!$B$9:$H$101,7,FALSE)))),0)</f>
        <v>0</v>
      </c>
      <c r="L1945" s="272">
        <f>IFERROR(IF(BA1945="WIP - 30 Days",VLOOKUP(D1945,[3]Standard!$B$9:$J$101,9,FALSE),IF(BA1945="31-120 Days",VLOOKUP(D1945,[3]Standard!$B$9:$K$100,10,FALSE),IF(BA1945="121-365 Days",VLOOKUP(D1945,[3]Standard!$B$9:$L$101,11,FALSE),VLOOKUP(D1945,[3]Standard!$B$9:$M$101,12,FALSE)))),0)</f>
        <v>0</v>
      </c>
      <c r="M1945" s="269" t="str">
        <f>IFERROR(VLOOKUP((D1945&amp;C1945)&amp;"",'[2]Retail Price List'!$C$4:$F$102,4,FALSE),"")</f>
        <v/>
      </c>
      <c r="N1945" s="269">
        <f>IFERROR(IF(BA1945="WIP - 30 Days",VLOOKUP(D1945,[3]Extended!$B$9:$E$101,4,FALSE),IF(BA1945="31-120 Days",VLOOKUP(D1945,[3]Extended!$B$9:$F$101,5,FALSE),IF(BA1945="121-365 Days",VLOOKUP(D1945,[3]Extended!$B$9:$G$101,6,FALSE),VLOOKUP(D1945,[3]Extended!$B$9:$H$101,7,FALSE)))),0)</f>
        <v>0</v>
      </c>
      <c r="O1945" s="269">
        <f>IFERROR(IF(BA1945="WIP - 30 Days",VLOOKUP(D1945,[3]Extended!$B$9:$J$101,9,FALSE),IF(BA1945="31-120 Days",VLOOKUP(D1945,[3]Extended!$B$9:$K$101,10,FALSE),IF(BA1945="121-365 Days",VLOOKUP(D1945,[3]Extended!$B$9:$L$101,11,FALSE),VLOOKUP(D1945,[3]Extended!$B$9:$M$101,12,FALSE)))),0)</f>
        <v>0</v>
      </c>
      <c r="P1945" s="116" t="e">
        <f t="shared" si="151"/>
        <v>#VALUE!</v>
      </c>
      <c r="Q1945" s="110" t="e">
        <f>O1945-#REF!</f>
        <v>#REF!</v>
      </c>
      <c r="AT1945" s="88" t="str">
        <f t="shared" si="152"/>
        <v>Special Order0</v>
      </c>
      <c r="AU1945" s="89" t="str">
        <f t="shared" si="153"/>
        <v>01-1900</v>
      </c>
      <c r="BA1945" s="92" t="str">
        <f t="shared" si="154"/>
        <v/>
      </c>
    </row>
    <row r="1946" spans="2:53">
      <c r="B1946" s="60">
        <f>[2]Trucks!A1943</f>
        <v>0</v>
      </c>
      <c r="C1946" s="11">
        <f>[2]Trucks!B1943</f>
        <v>0</v>
      </c>
      <c r="D1946" s="19" t="str">
        <f>IFERROR(VLOOKUP(C1946&amp;"",'[2]Retail Price List'!$A$3:$B$103,2,FALSE),"Special Order")</f>
        <v>Special Order</v>
      </c>
      <c r="E1946" s="18">
        <f>[2]Trucks!J1943</f>
        <v>0</v>
      </c>
      <c r="F1946" s="12">
        <f>[2]Trucks!E1943</f>
        <v>0</v>
      </c>
      <c r="G1946" s="56">
        <f>[2]Trucks!K1943</f>
        <v>0</v>
      </c>
      <c r="H1946" s="46">
        <f>[2]Trucks!I1943</f>
        <v>0</v>
      </c>
      <c r="I1946" s="83" t="str">
        <f t="shared" si="150"/>
        <v/>
      </c>
      <c r="J1946" s="272" t="str">
        <f>IFERROR(VLOOKUP((D1946&amp;C1946)&amp;"",'[2]Retail Price List'!$C$4:$F$102,3,FALSE),"")</f>
        <v/>
      </c>
      <c r="K1946" s="272">
        <f>IFERROR(IF(BA1946="WIP - 30 Days",VLOOKUP(D1946,[3]Standard!$B$9:$E$101,4,FALSE),IF(BA1946="31-120 Days",VLOOKUP(D1946,[3]Standard!$B$9:$F$101,5,FALSE),IF(BA1946="121-365 Days",VLOOKUP(D1946,[3]Standard!$B$9:$G$101,6,FALSE),VLOOKUP(D1946,[3]Standard!$B$9:$H$101,7,FALSE)))),0)</f>
        <v>0</v>
      </c>
      <c r="L1946" s="272">
        <f>IFERROR(IF(BA1946="WIP - 30 Days",VLOOKUP(D1946,[3]Standard!$B$9:$J$101,9,FALSE),IF(BA1946="31-120 Days",VLOOKUP(D1946,[3]Standard!$B$9:$K$100,10,FALSE),IF(BA1946="121-365 Days",VLOOKUP(D1946,[3]Standard!$B$9:$L$101,11,FALSE),VLOOKUP(D1946,[3]Standard!$B$9:$M$101,12,FALSE)))),0)</f>
        <v>0</v>
      </c>
      <c r="M1946" s="269" t="str">
        <f>IFERROR(VLOOKUP((D1946&amp;C1946)&amp;"",'[2]Retail Price List'!$C$4:$F$102,4,FALSE),"")</f>
        <v/>
      </c>
      <c r="N1946" s="269">
        <f>IFERROR(IF(BA1946="WIP - 30 Days",VLOOKUP(D1946,[3]Extended!$B$9:$E$101,4,FALSE),IF(BA1946="31-120 Days",VLOOKUP(D1946,[3]Extended!$B$9:$F$101,5,FALSE),IF(BA1946="121-365 Days",VLOOKUP(D1946,[3]Extended!$B$9:$G$101,6,FALSE),VLOOKUP(D1946,[3]Extended!$B$9:$H$101,7,FALSE)))),0)</f>
        <v>0</v>
      </c>
      <c r="O1946" s="269">
        <f>IFERROR(IF(BA1946="WIP - 30 Days",VLOOKUP(D1946,[3]Extended!$B$9:$J$101,9,FALSE),IF(BA1946="31-120 Days",VLOOKUP(D1946,[3]Extended!$B$9:$K$101,10,FALSE),IF(BA1946="121-365 Days",VLOOKUP(D1946,[3]Extended!$B$9:$L$101,11,FALSE),VLOOKUP(D1946,[3]Extended!$B$9:$M$101,12,FALSE)))),0)</f>
        <v>0</v>
      </c>
      <c r="P1946" s="116" t="e">
        <f t="shared" si="151"/>
        <v>#VALUE!</v>
      </c>
      <c r="Q1946" s="110" t="e">
        <f>O1946-#REF!</f>
        <v>#REF!</v>
      </c>
      <c r="AT1946" s="88" t="str">
        <f t="shared" si="152"/>
        <v>Special Order0</v>
      </c>
      <c r="AU1946" s="89" t="str">
        <f t="shared" si="153"/>
        <v>01-1900</v>
      </c>
      <c r="BA1946" s="92" t="str">
        <f t="shared" si="154"/>
        <v/>
      </c>
    </row>
    <row r="1947" spans="2:53">
      <c r="B1947" s="60">
        <f>[2]Trucks!A1944</f>
        <v>0</v>
      </c>
      <c r="C1947" s="11">
        <f>[2]Trucks!B1944</f>
        <v>0</v>
      </c>
      <c r="D1947" s="19" t="str">
        <f>IFERROR(VLOOKUP(C1947&amp;"",'[2]Retail Price List'!$A$3:$B$103,2,FALSE),"Special Order")</f>
        <v>Special Order</v>
      </c>
      <c r="E1947" s="18">
        <f>[2]Trucks!J1944</f>
        <v>0</v>
      </c>
      <c r="F1947" s="12">
        <f>[2]Trucks!E1944</f>
        <v>0</v>
      </c>
      <c r="G1947" s="56">
        <f>[2]Trucks!K1944</f>
        <v>0</v>
      </c>
      <c r="H1947" s="46">
        <f>[2]Trucks!I1944</f>
        <v>0</v>
      </c>
      <c r="I1947" s="83" t="str">
        <f t="shared" si="150"/>
        <v/>
      </c>
      <c r="J1947" s="272" t="str">
        <f>IFERROR(VLOOKUP((D1947&amp;C1947)&amp;"",'[2]Retail Price List'!$C$4:$F$102,3,FALSE),"")</f>
        <v/>
      </c>
      <c r="K1947" s="272">
        <f>IFERROR(IF(BA1947="WIP - 30 Days",VLOOKUP(D1947,[3]Standard!$B$9:$E$101,4,FALSE),IF(BA1947="31-120 Days",VLOOKUP(D1947,[3]Standard!$B$9:$F$101,5,FALSE),IF(BA1947="121-365 Days",VLOOKUP(D1947,[3]Standard!$B$9:$G$101,6,FALSE),VLOOKUP(D1947,[3]Standard!$B$9:$H$101,7,FALSE)))),0)</f>
        <v>0</v>
      </c>
      <c r="L1947" s="272">
        <f>IFERROR(IF(BA1947="WIP - 30 Days",VLOOKUP(D1947,[3]Standard!$B$9:$J$101,9,FALSE),IF(BA1947="31-120 Days",VLOOKUP(D1947,[3]Standard!$B$9:$K$100,10,FALSE),IF(BA1947="121-365 Days",VLOOKUP(D1947,[3]Standard!$B$9:$L$101,11,FALSE),VLOOKUP(D1947,[3]Standard!$B$9:$M$101,12,FALSE)))),0)</f>
        <v>0</v>
      </c>
      <c r="M1947" s="269" t="str">
        <f>IFERROR(VLOOKUP((D1947&amp;C1947)&amp;"",'[2]Retail Price List'!$C$4:$F$102,4,FALSE),"")</f>
        <v/>
      </c>
      <c r="N1947" s="269">
        <f>IFERROR(IF(BA1947="WIP - 30 Days",VLOOKUP(D1947,[3]Extended!$B$9:$E$101,4,FALSE),IF(BA1947="31-120 Days",VLOOKUP(D1947,[3]Extended!$B$9:$F$101,5,FALSE),IF(BA1947="121-365 Days",VLOOKUP(D1947,[3]Extended!$B$9:$G$101,6,FALSE),VLOOKUP(D1947,[3]Extended!$B$9:$H$101,7,FALSE)))),0)</f>
        <v>0</v>
      </c>
      <c r="O1947" s="269">
        <f>IFERROR(IF(BA1947="WIP - 30 Days",VLOOKUP(D1947,[3]Extended!$B$9:$J$101,9,FALSE),IF(BA1947="31-120 Days",VLOOKUP(D1947,[3]Extended!$B$9:$K$101,10,FALSE),IF(BA1947="121-365 Days",VLOOKUP(D1947,[3]Extended!$B$9:$L$101,11,FALSE),VLOOKUP(D1947,[3]Extended!$B$9:$M$101,12,FALSE)))),0)</f>
        <v>0</v>
      </c>
      <c r="P1947" s="116" t="e">
        <f t="shared" si="151"/>
        <v>#VALUE!</v>
      </c>
      <c r="Q1947" s="110" t="e">
        <f>O1947-#REF!</f>
        <v>#REF!</v>
      </c>
      <c r="AT1947" s="88" t="str">
        <f t="shared" si="152"/>
        <v>Special Order0</v>
      </c>
      <c r="AU1947" s="89" t="str">
        <f t="shared" si="153"/>
        <v>01-1900</v>
      </c>
      <c r="BA1947" s="92" t="str">
        <f t="shared" si="154"/>
        <v/>
      </c>
    </row>
    <row r="1948" spans="2:53">
      <c r="B1948" s="60">
        <f>[2]Trucks!A1945</f>
        <v>0</v>
      </c>
      <c r="C1948" s="11">
        <f>[2]Trucks!B1945</f>
        <v>0</v>
      </c>
      <c r="D1948" s="19" t="str">
        <f>IFERROR(VLOOKUP(C1948&amp;"",'[2]Retail Price List'!$A$3:$B$103,2,FALSE),"Special Order")</f>
        <v>Special Order</v>
      </c>
      <c r="E1948" s="18">
        <f>[2]Trucks!J1945</f>
        <v>0</v>
      </c>
      <c r="F1948" s="12">
        <f>[2]Trucks!E1945</f>
        <v>0</v>
      </c>
      <c r="G1948" s="56">
        <f>[2]Trucks!K1945</f>
        <v>0</v>
      </c>
      <c r="H1948" s="46">
        <f>[2]Trucks!I1945</f>
        <v>0</v>
      </c>
      <c r="I1948" s="83" t="str">
        <f t="shared" si="150"/>
        <v/>
      </c>
      <c r="J1948" s="272" t="str">
        <f>IFERROR(VLOOKUP((D1948&amp;C1948)&amp;"",'[2]Retail Price List'!$C$4:$F$102,3,FALSE),"")</f>
        <v/>
      </c>
      <c r="K1948" s="272">
        <f>IFERROR(IF(BA1948="WIP - 30 Days",VLOOKUP(D1948,[3]Standard!$B$9:$E$101,4,FALSE),IF(BA1948="31-120 Days",VLOOKUP(D1948,[3]Standard!$B$9:$F$101,5,FALSE),IF(BA1948="121-365 Days",VLOOKUP(D1948,[3]Standard!$B$9:$G$101,6,FALSE),VLOOKUP(D1948,[3]Standard!$B$9:$H$101,7,FALSE)))),0)</f>
        <v>0</v>
      </c>
      <c r="L1948" s="272">
        <f>IFERROR(IF(BA1948="WIP - 30 Days",VLOOKUP(D1948,[3]Standard!$B$9:$J$101,9,FALSE),IF(BA1948="31-120 Days",VLOOKUP(D1948,[3]Standard!$B$9:$K$100,10,FALSE),IF(BA1948="121-365 Days",VLOOKUP(D1948,[3]Standard!$B$9:$L$101,11,FALSE),VLOOKUP(D1948,[3]Standard!$B$9:$M$101,12,FALSE)))),0)</f>
        <v>0</v>
      </c>
      <c r="M1948" s="269" t="str">
        <f>IFERROR(VLOOKUP((D1948&amp;C1948)&amp;"",'[2]Retail Price List'!$C$4:$F$102,4,FALSE),"")</f>
        <v/>
      </c>
      <c r="N1948" s="269">
        <f>IFERROR(IF(BA1948="WIP - 30 Days",VLOOKUP(D1948,[3]Extended!$B$9:$E$101,4,FALSE),IF(BA1948="31-120 Days",VLOOKUP(D1948,[3]Extended!$B$9:$F$101,5,FALSE),IF(BA1948="121-365 Days",VLOOKUP(D1948,[3]Extended!$B$9:$G$101,6,FALSE),VLOOKUP(D1948,[3]Extended!$B$9:$H$101,7,FALSE)))),0)</f>
        <v>0</v>
      </c>
      <c r="O1948" s="269">
        <f>IFERROR(IF(BA1948="WIP - 30 Days",VLOOKUP(D1948,[3]Extended!$B$9:$J$101,9,FALSE),IF(BA1948="31-120 Days",VLOOKUP(D1948,[3]Extended!$B$9:$K$101,10,FALSE),IF(BA1948="121-365 Days",VLOOKUP(D1948,[3]Extended!$B$9:$L$101,11,FALSE),VLOOKUP(D1948,[3]Extended!$B$9:$M$101,12,FALSE)))),0)</f>
        <v>0</v>
      </c>
      <c r="P1948" s="116" t="e">
        <f t="shared" si="151"/>
        <v>#VALUE!</v>
      </c>
      <c r="Q1948" s="110" t="e">
        <f>O1948-#REF!</f>
        <v>#REF!</v>
      </c>
      <c r="AT1948" s="88" t="str">
        <f t="shared" si="152"/>
        <v>Special Order0</v>
      </c>
      <c r="AU1948" s="89" t="str">
        <f t="shared" si="153"/>
        <v>01-1900</v>
      </c>
      <c r="BA1948" s="92" t="str">
        <f t="shared" si="154"/>
        <v/>
      </c>
    </row>
    <row r="1949" spans="2:53">
      <c r="B1949" s="60">
        <f>[2]Trucks!A1946</f>
        <v>0</v>
      </c>
      <c r="C1949" s="11">
        <f>[2]Trucks!B1946</f>
        <v>0</v>
      </c>
      <c r="D1949" s="19" t="str">
        <f>IFERROR(VLOOKUP(C1949&amp;"",'[2]Retail Price List'!$A$3:$B$103,2,FALSE),"Special Order")</f>
        <v>Special Order</v>
      </c>
      <c r="E1949" s="18">
        <f>[2]Trucks!J1946</f>
        <v>0</v>
      </c>
      <c r="F1949" s="12">
        <f>[2]Trucks!E1946</f>
        <v>0</v>
      </c>
      <c r="G1949" s="56">
        <f>[2]Trucks!K1946</f>
        <v>0</v>
      </c>
      <c r="H1949" s="46">
        <f>[2]Trucks!I1946</f>
        <v>0</v>
      </c>
      <c r="I1949" s="83" t="str">
        <f t="shared" si="150"/>
        <v/>
      </c>
      <c r="J1949" s="272" t="str">
        <f>IFERROR(VLOOKUP((D1949&amp;C1949)&amp;"",'[2]Retail Price List'!$C$4:$F$102,3,FALSE),"")</f>
        <v/>
      </c>
      <c r="K1949" s="272">
        <f>IFERROR(IF(BA1949="WIP - 30 Days",VLOOKUP(D1949,[3]Standard!$B$9:$E$101,4,FALSE),IF(BA1949="31-120 Days",VLOOKUP(D1949,[3]Standard!$B$9:$F$101,5,FALSE),IF(BA1949="121-365 Days",VLOOKUP(D1949,[3]Standard!$B$9:$G$101,6,FALSE),VLOOKUP(D1949,[3]Standard!$B$9:$H$101,7,FALSE)))),0)</f>
        <v>0</v>
      </c>
      <c r="L1949" s="272">
        <f>IFERROR(IF(BA1949="WIP - 30 Days",VLOOKUP(D1949,[3]Standard!$B$9:$J$101,9,FALSE),IF(BA1949="31-120 Days",VLOOKUP(D1949,[3]Standard!$B$9:$K$100,10,FALSE),IF(BA1949="121-365 Days",VLOOKUP(D1949,[3]Standard!$B$9:$L$101,11,FALSE),VLOOKUP(D1949,[3]Standard!$B$9:$M$101,12,FALSE)))),0)</f>
        <v>0</v>
      </c>
      <c r="M1949" s="269" t="str">
        <f>IFERROR(VLOOKUP((D1949&amp;C1949)&amp;"",'[2]Retail Price List'!$C$4:$F$102,4,FALSE),"")</f>
        <v/>
      </c>
      <c r="N1949" s="269">
        <f>IFERROR(IF(BA1949="WIP - 30 Days",VLOOKUP(D1949,[3]Extended!$B$9:$E$101,4,FALSE),IF(BA1949="31-120 Days",VLOOKUP(D1949,[3]Extended!$B$9:$F$101,5,FALSE),IF(BA1949="121-365 Days",VLOOKUP(D1949,[3]Extended!$B$9:$G$101,6,FALSE),VLOOKUP(D1949,[3]Extended!$B$9:$H$101,7,FALSE)))),0)</f>
        <v>0</v>
      </c>
      <c r="O1949" s="269">
        <f>IFERROR(IF(BA1949="WIP - 30 Days",VLOOKUP(D1949,[3]Extended!$B$9:$J$101,9,FALSE),IF(BA1949="31-120 Days",VLOOKUP(D1949,[3]Extended!$B$9:$K$101,10,FALSE),IF(BA1949="121-365 Days",VLOOKUP(D1949,[3]Extended!$B$9:$L$101,11,FALSE),VLOOKUP(D1949,[3]Extended!$B$9:$M$101,12,FALSE)))),0)</f>
        <v>0</v>
      </c>
      <c r="P1949" s="116" t="e">
        <f t="shared" si="151"/>
        <v>#VALUE!</v>
      </c>
      <c r="Q1949" s="110" t="e">
        <f>O1949-#REF!</f>
        <v>#REF!</v>
      </c>
      <c r="AT1949" s="88" t="str">
        <f t="shared" si="152"/>
        <v>Special Order0</v>
      </c>
      <c r="AU1949" s="89" t="str">
        <f t="shared" si="153"/>
        <v>01-1900</v>
      </c>
      <c r="BA1949" s="92" t="str">
        <f t="shared" si="154"/>
        <v/>
      </c>
    </row>
    <row r="1950" spans="2:53">
      <c r="B1950" s="60">
        <f>[2]Trucks!A1947</f>
        <v>0</v>
      </c>
      <c r="C1950" s="11">
        <f>[2]Trucks!B1947</f>
        <v>0</v>
      </c>
      <c r="D1950" s="19" t="str">
        <f>IFERROR(VLOOKUP(C1950&amp;"",'[2]Retail Price List'!$A$3:$B$103,2,FALSE),"Special Order")</f>
        <v>Special Order</v>
      </c>
      <c r="E1950" s="18">
        <f>[2]Trucks!J1947</f>
        <v>0</v>
      </c>
      <c r="F1950" s="12">
        <f>[2]Trucks!E1947</f>
        <v>0</v>
      </c>
      <c r="G1950" s="56">
        <f>[2]Trucks!K1947</f>
        <v>0</v>
      </c>
      <c r="H1950" s="46">
        <f>[2]Trucks!I1947</f>
        <v>0</v>
      </c>
      <c r="I1950" s="83" t="str">
        <f t="shared" si="150"/>
        <v/>
      </c>
      <c r="J1950" s="272" t="str">
        <f>IFERROR(VLOOKUP((D1950&amp;C1950)&amp;"",'[2]Retail Price List'!$C$4:$F$102,3,FALSE),"")</f>
        <v/>
      </c>
      <c r="K1950" s="272">
        <f>IFERROR(IF(BA1950="WIP - 30 Days",VLOOKUP(D1950,[3]Standard!$B$9:$E$101,4,FALSE),IF(BA1950="31-120 Days",VLOOKUP(D1950,[3]Standard!$B$9:$F$101,5,FALSE),IF(BA1950="121-365 Days",VLOOKUP(D1950,[3]Standard!$B$9:$G$101,6,FALSE),VLOOKUP(D1950,[3]Standard!$B$9:$H$101,7,FALSE)))),0)</f>
        <v>0</v>
      </c>
      <c r="L1950" s="272">
        <f>IFERROR(IF(BA1950="WIP - 30 Days",VLOOKUP(D1950,[3]Standard!$B$9:$J$101,9,FALSE),IF(BA1950="31-120 Days",VLOOKUP(D1950,[3]Standard!$B$9:$K$100,10,FALSE),IF(BA1950="121-365 Days",VLOOKUP(D1950,[3]Standard!$B$9:$L$101,11,FALSE),VLOOKUP(D1950,[3]Standard!$B$9:$M$101,12,FALSE)))),0)</f>
        <v>0</v>
      </c>
      <c r="M1950" s="269" t="str">
        <f>IFERROR(VLOOKUP((D1950&amp;C1950)&amp;"",'[2]Retail Price List'!$C$4:$F$102,4,FALSE),"")</f>
        <v/>
      </c>
      <c r="N1950" s="269">
        <f>IFERROR(IF(BA1950="WIP - 30 Days",VLOOKUP(D1950,[3]Extended!$B$9:$E$101,4,FALSE),IF(BA1950="31-120 Days",VLOOKUP(D1950,[3]Extended!$B$9:$F$101,5,FALSE),IF(BA1950="121-365 Days",VLOOKUP(D1950,[3]Extended!$B$9:$G$101,6,FALSE),VLOOKUP(D1950,[3]Extended!$B$9:$H$101,7,FALSE)))),0)</f>
        <v>0</v>
      </c>
      <c r="O1950" s="269">
        <f>IFERROR(IF(BA1950="WIP - 30 Days",VLOOKUP(D1950,[3]Extended!$B$9:$J$101,9,FALSE),IF(BA1950="31-120 Days",VLOOKUP(D1950,[3]Extended!$B$9:$K$101,10,FALSE),IF(BA1950="121-365 Days",VLOOKUP(D1950,[3]Extended!$B$9:$L$101,11,FALSE),VLOOKUP(D1950,[3]Extended!$B$9:$M$101,12,FALSE)))),0)</f>
        <v>0</v>
      </c>
      <c r="P1950" s="116" t="e">
        <f t="shared" si="151"/>
        <v>#VALUE!</v>
      </c>
      <c r="Q1950" s="110" t="e">
        <f>O1950-#REF!</f>
        <v>#REF!</v>
      </c>
      <c r="AT1950" s="88" t="str">
        <f t="shared" si="152"/>
        <v>Special Order0</v>
      </c>
      <c r="AU1950" s="89" t="str">
        <f t="shared" si="153"/>
        <v>01-1900</v>
      </c>
      <c r="BA1950" s="92" t="str">
        <f t="shared" si="154"/>
        <v/>
      </c>
    </row>
    <row r="1951" spans="2:53">
      <c r="B1951" s="60">
        <f>[2]Trucks!A1948</f>
        <v>0</v>
      </c>
      <c r="C1951" s="11">
        <f>[2]Trucks!B1948</f>
        <v>0</v>
      </c>
      <c r="D1951" s="19" t="str">
        <f>IFERROR(VLOOKUP(C1951&amp;"",'[2]Retail Price List'!$A$3:$B$103,2,FALSE),"Special Order")</f>
        <v>Special Order</v>
      </c>
      <c r="E1951" s="18">
        <f>[2]Trucks!J1948</f>
        <v>0</v>
      </c>
      <c r="F1951" s="12">
        <f>[2]Trucks!E1948</f>
        <v>0</v>
      </c>
      <c r="G1951" s="56">
        <f>[2]Trucks!K1948</f>
        <v>0</v>
      </c>
      <c r="H1951" s="46">
        <f>[2]Trucks!I1948</f>
        <v>0</v>
      </c>
      <c r="I1951" s="83" t="str">
        <f t="shared" si="150"/>
        <v/>
      </c>
      <c r="J1951" s="272" t="str">
        <f>IFERROR(VLOOKUP((D1951&amp;C1951)&amp;"",'[2]Retail Price List'!$C$4:$F$102,3,FALSE),"")</f>
        <v/>
      </c>
      <c r="K1951" s="272">
        <f>IFERROR(IF(BA1951="WIP - 30 Days",VLOOKUP(D1951,[3]Standard!$B$9:$E$101,4,FALSE),IF(BA1951="31-120 Days",VLOOKUP(D1951,[3]Standard!$B$9:$F$101,5,FALSE),IF(BA1951="121-365 Days",VLOOKUP(D1951,[3]Standard!$B$9:$G$101,6,FALSE),VLOOKUP(D1951,[3]Standard!$B$9:$H$101,7,FALSE)))),0)</f>
        <v>0</v>
      </c>
      <c r="L1951" s="272">
        <f>IFERROR(IF(BA1951="WIP - 30 Days",VLOOKUP(D1951,[3]Standard!$B$9:$J$101,9,FALSE),IF(BA1951="31-120 Days",VLOOKUP(D1951,[3]Standard!$B$9:$K$100,10,FALSE),IF(BA1951="121-365 Days",VLOOKUP(D1951,[3]Standard!$B$9:$L$101,11,FALSE),VLOOKUP(D1951,[3]Standard!$B$9:$M$101,12,FALSE)))),0)</f>
        <v>0</v>
      </c>
      <c r="M1951" s="269" t="str">
        <f>IFERROR(VLOOKUP((D1951&amp;C1951)&amp;"",'[2]Retail Price List'!$C$4:$F$102,4,FALSE),"")</f>
        <v/>
      </c>
      <c r="N1951" s="269">
        <f>IFERROR(IF(BA1951="WIP - 30 Days",VLOOKUP(D1951,[3]Extended!$B$9:$E$101,4,FALSE),IF(BA1951="31-120 Days",VLOOKUP(D1951,[3]Extended!$B$9:$F$101,5,FALSE),IF(BA1951="121-365 Days",VLOOKUP(D1951,[3]Extended!$B$9:$G$101,6,FALSE),VLOOKUP(D1951,[3]Extended!$B$9:$H$101,7,FALSE)))),0)</f>
        <v>0</v>
      </c>
      <c r="O1951" s="269">
        <f>IFERROR(IF(BA1951="WIP - 30 Days",VLOOKUP(D1951,[3]Extended!$B$9:$J$101,9,FALSE),IF(BA1951="31-120 Days",VLOOKUP(D1951,[3]Extended!$B$9:$K$101,10,FALSE),IF(BA1951="121-365 Days",VLOOKUP(D1951,[3]Extended!$B$9:$L$101,11,FALSE),VLOOKUP(D1951,[3]Extended!$B$9:$M$101,12,FALSE)))),0)</f>
        <v>0</v>
      </c>
      <c r="P1951" s="116" t="e">
        <f t="shared" si="151"/>
        <v>#VALUE!</v>
      </c>
      <c r="Q1951" s="110" t="e">
        <f>O1951-#REF!</f>
        <v>#REF!</v>
      </c>
      <c r="AT1951" s="88" t="str">
        <f t="shared" si="152"/>
        <v>Special Order0</v>
      </c>
      <c r="AU1951" s="89" t="str">
        <f t="shared" si="153"/>
        <v>01-1900</v>
      </c>
      <c r="BA1951" s="92" t="str">
        <f t="shared" si="154"/>
        <v/>
      </c>
    </row>
    <row r="1952" spans="2:53">
      <c r="B1952" s="60">
        <f>[2]Trucks!A1949</f>
        <v>0</v>
      </c>
      <c r="C1952" s="11">
        <f>[2]Trucks!B1949</f>
        <v>0</v>
      </c>
      <c r="D1952" s="19" t="str">
        <f>IFERROR(VLOOKUP(C1952&amp;"",'[2]Retail Price List'!$A$3:$B$103,2,FALSE),"Special Order")</f>
        <v>Special Order</v>
      </c>
      <c r="E1952" s="18">
        <f>[2]Trucks!J1949</f>
        <v>0</v>
      </c>
      <c r="F1952" s="12">
        <f>[2]Trucks!E1949</f>
        <v>0</v>
      </c>
      <c r="G1952" s="56">
        <f>[2]Trucks!K1949</f>
        <v>0</v>
      </c>
      <c r="H1952" s="46">
        <f>[2]Trucks!I1949</f>
        <v>0</v>
      </c>
      <c r="I1952" s="83" t="str">
        <f t="shared" si="150"/>
        <v/>
      </c>
      <c r="J1952" s="272" t="str">
        <f>IFERROR(VLOOKUP((D1952&amp;C1952)&amp;"",'[2]Retail Price List'!$C$4:$F$102,3,FALSE),"")</f>
        <v/>
      </c>
      <c r="K1952" s="272">
        <f>IFERROR(IF(BA1952="WIP - 30 Days",VLOOKUP(D1952,[3]Standard!$B$9:$E$101,4,FALSE),IF(BA1952="31-120 Days",VLOOKUP(D1952,[3]Standard!$B$9:$F$101,5,FALSE),IF(BA1952="121-365 Days",VLOOKUP(D1952,[3]Standard!$B$9:$G$101,6,FALSE),VLOOKUP(D1952,[3]Standard!$B$9:$H$101,7,FALSE)))),0)</f>
        <v>0</v>
      </c>
      <c r="L1952" s="272">
        <f>IFERROR(IF(BA1952="WIP - 30 Days",VLOOKUP(D1952,[3]Standard!$B$9:$J$101,9,FALSE),IF(BA1952="31-120 Days",VLOOKUP(D1952,[3]Standard!$B$9:$K$100,10,FALSE),IF(BA1952="121-365 Days",VLOOKUP(D1952,[3]Standard!$B$9:$L$101,11,FALSE),VLOOKUP(D1952,[3]Standard!$B$9:$M$101,12,FALSE)))),0)</f>
        <v>0</v>
      </c>
      <c r="M1952" s="269" t="str">
        <f>IFERROR(VLOOKUP((D1952&amp;C1952)&amp;"",'[2]Retail Price List'!$C$4:$F$102,4,FALSE),"")</f>
        <v/>
      </c>
      <c r="N1952" s="269">
        <f>IFERROR(IF(BA1952="WIP - 30 Days",VLOOKUP(D1952,[3]Extended!$B$9:$E$101,4,FALSE),IF(BA1952="31-120 Days",VLOOKUP(D1952,[3]Extended!$B$9:$F$101,5,FALSE),IF(BA1952="121-365 Days",VLOOKUP(D1952,[3]Extended!$B$9:$G$101,6,FALSE),VLOOKUP(D1952,[3]Extended!$B$9:$H$101,7,FALSE)))),0)</f>
        <v>0</v>
      </c>
      <c r="O1952" s="269">
        <f>IFERROR(IF(BA1952="WIP - 30 Days",VLOOKUP(D1952,[3]Extended!$B$9:$J$101,9,FALSE),IF(BA1952="31-120 Days",VLOOKUP(D1952,[3]Extended!$B$9:$K$101,10,FALSE),IF(BA1952="121-365 Days",VLOOKUP(D1952,[3]Extended!$B$9:$L$101,11,FALSE),VLOOKUP(D1952,[3]Extended!$B$9:$M$101,12,FALSE)))),0)</f>
        <v>0</v>
      </c>
      <c r="P1952" s="116" t="e">
        <f t="shared" si="151"/>
        <v>#VALUE!</v>
      </c>
      <c r="Q1952" s="110" t="e">
        <f>O1952-#REF!</f>
        <v>#REF!</v>
      </c>
      <c r="AT1952" s="88" t="str">
        <f t="shared" si="152"/>
        <v>Special Order0</v>
      </c>
      <c r="AU1952" s="89" t="str">
        <f t="shared" si="153"/>
        <v>01-1900</v>
      </c>
      <c r="BA1952" s="92" t="str">
        <f t="shared" si="154"/>
        <v/>
      </c>
    </row>
    <row r="1953" spans="2:53">
      <c r="B1953" s="60">
        <f>[2]Trucks!A1950</f>
        <v>0</v>
      </c>
      <c r="C1953" s="11">
        <f>[2]Trucks!B1950</f>
        <v>0</v>
      </c>
      <c r="D1953" s="19" t="str">
        <f>IFERROR(VLOOKUP(C1953&amp;"",'[2]Retail Price List'!$A$3:$B$103,2,FALSE),"Special Order")</f>
        <v>Special Order</v>
      </c>
      <c r="E1953" s="18">
        <f>[2]Trucks!J1950</f>
        <v>0</v>
      </c>
      <c r="F1953" s="12">
        <f>[2]Trucks!E1950</f>
        <v>0</v>
      </c>
      <c r="G1953" s="56">
        <f>[2]Trucks!K1950</f>
        <v>0</v>
      </c>
      <c r="H1953" s="46">
        <f>[2]Trucks!I1950</f>
        <v>0</v>
      </c>
      <c r="I1953" s="83" t="str">
        <f t="shared" si="150"/>
        <v/>
      </c>
      <c r="J1953" s="272" t="str">
        <f>IFERROR(VLOOKUP((D1953&amp;C1953)&amp;"",'[2]Retail Price List'!$C$4:$F$102,3,FALSE),"")</f>
        <v/>
      </c>
      <c r="K1953" s="272">
        <f>IFERROR(IF(BA1953="WIP - 30 Days",VLOOKUP(D1953,[3]Standard!$B$9:$E$101,4,FALSE),IF(BA1953="31-120 Days",VLOOKUP(D1953,[3]Standard!$B$9:$F$101,5,FALSE),IF(BA1953="121-365 Days",VLOOKUP(D1953,[3]Standard!$B$9:$G$101,6,FALSE),VLOOKUP(D1953,[3]Standard!$B$9:$H$101,7,FALSE)))),0)</f>
        <v>0</v>
      </c>
      <c r="L1953" s="272">
        <f>IFERROR(IF(BA1953="WIP - 30 Days",VLOOKUP(D1953,[3]Standard!$B$9:$J$101,9,FALSE),IF(BA1953="31-120 Days",VLOOKUP(D1953,[3]Standard!$B$9:$K$100,10,FALSE),IF(BA1953="121-365 Days",VLOOKUP(D1953,[3]Standard!$B$9:$L$101,11,FALSE),VLOOKUP(D1953,[3]Standard!$B$9:$M$101,12,FALSE)))),0)</f>
        <v>0</v>
      </c>
      <c r="M1953" s="269" t="str">
        <f>IFERROR(VLOOKUP((D1953&amp;C1953)&amp;"",'[2]Retail Price List'!$C$4:$F$102,4,FALSE),"")</f>
        <v/>
      </c>
      <c r="N1953" s="269">
        <f>IFERROR(IF(BA1953="WIP - 30 Days",VLOOKUP(D1953,[3]Extended!$B$9:$E$101,4,FALSE),IF(BA1953="31-120 Days",VLOOKUP(D1953,[3]Extended!$B$9:$F$101,5,FALSE),IF(BA1953="121-365 Days",VLOOKUP(D1953,[3]Extended!$B$9:$G$101,6,FALSE),VLOOKUP(D1953,[3]Extended!$B$9:$H$101,7,FALSE)))),0)</f>
        <v>0</v>
      </c>
      <c r="O1953" s="269">
        <f>IFERROR(IF(BA1953="WIP - 30 Days",VLOOKUP(D1953,[3]Extended!$B$9:$J$101,9,FALSE),IF(BA1953="31-120 Days",VLOOKUP(D1953,[3]Extended!$B$9:$K$101,10,FALSE),IF(BA1953="121-365 Days",VLOOKUP(D1953,[3]Extended!$B$9:$L$101,11,FALSE),VLOOKUP(D1953,[3]Extended!$B$9:$M$101,12,FALSE)))),0)</f>
        <v>0</v>
      </c>
      <c r="P1953" s="116" t="e">
        <f t="shared" si="151"/>
        <v>#VALUE!</v>
      </c>
      <c r="Q1953" s="110" t="e">
        <f>O1953-#REF!</f>
        <v>#REF!</v>
      </c>
      <c r="AT1953" s="88" t="str">
        <f t="shared" si="152"/>
        <v>Special Order0</v>
      </c>
      <c r="AU1953" s="89" t="str">
        <f t="shared" si="153"/>
        <v>01-1900</v>
      </c>
      <c r="BA1953" s="92" t="str">
        <f t="shared" si="154"/>
        <v/>
      </c>
    </row>
    <row r="1954" spans="2:53">
      <c r="B1954" s="60">
        <f>[2]Trucks!A1951</f>
        <v>0</v>
      </c>
      <c r="C1954" s="11">
        <f>[2]Trucks!B1951</f>
        <v>0</v>
      </c>
      <c r="D1954" s="19" t="str">
        <f>IFERROR(VLOOKUP(C1954&amp;"",'[2]Retail Price List'!$A$3:$B$103,2,FALSE),"Special Order")</f>
        <v>Special Order</v>
      </c>
      <c r="E1954" s="18">
        <f>[2]Trucks!J1951</f>
        <v>0</v>
      </c>
      <c r="F1954" s="12">
        <f>[2]Trucks!E1951</f>
        <v>0</v>
      </c>
      <c r="G1954" s="56">
        <f>[2]Trucks!K1951</f>
        <v>0</v>
      </c>
      <c r="H1954" s="46">
        <f>[2]Trucks!I1951</f>
        <v>0</v>
      </c>
      <c r="I1954" s="83" t="str">
        <f t="shared" si="150"/>
        <v/>
      </c>
      <c r="J1954" s="272" t="str">
        <f>IFERROR(VLOOKUP((D1954&amp;C1954)&amp;"",'[2]Retail Price List'!$C$4:$F$102,3,FALSE),"")</f>
        <v/>
      </c>
      <c r="K1954" s="272">
        <f>IFERROR(IF(BA1954="WIP - 30 Days",VLOOKUP(D1954,[3]Standard!$B$9:$E$101,4,FALSE),IF(BA1954="31-120 Days",VLOOKUP(D1954,[3]Standard!$B$9:$F$101,5,FALSE),IF(BA1954="121-365 Days",VLOOKUP(D1954,[3]Standard!$B$9:$G$101,6,FALSE),VLOOKUP(D1954,[3]Standard!$B$9:$H$101,7,FALSE)))),0)</f>
        <v>0</v>
      </c>
      <c r="L1954" s="272">
        <f>IFERROR(IF(BA1954="WIP - 30 Days",VLOOKUP(D1954,[3]Standard!$B$9:$J$101,9,FALSE),IF(BA1954="31-120 Days",VLOOKUP(D1954,[3]Standard!$B$9:$K$100,10,FALSE),IF(BA1954="121-365 Days",VLOOKUP(D1954,[3]Standard!$B$9:$L$101,11,FALSE),VLOOKUP(D1954,[3]Standard!$B$9:$M$101,12,FALSE)))),0)</f>
        <v>0</v>
      </c>
      <c r="M1954" s="269" t="str">
        <f>IFERROR(VLOOKUP((D1954&amp;C1954)&amp;"",'[2]Retail Price List'!$C$4:$F$102,4,FALSE),"")</f>
        <v/>
      </c>
      <c r="N1954" s="269">
        <f>IFERROR(IF(BA1954="WIP - 30 Days",VLOOKUP(D1954,[3]Extended!$B$9:$E$101,4,FALSE),IF(BA1954="31-120 Days",VLOOKUP(D1954,[3]Extended!$B$9:$F$101,5,FALSE),IF(BA1954="121-365 Days",VLOOKUP(D1954,[3]Extended!$B$9:$G$101,6,FALSE),VLOOKUP(D1954,[3]Extended!$B$9:$H$101,7,FALSE)))),0)</f>
        <v>0</v>
      </c>
      <c r="O1954" s="269">
        <f>IFERROR(IF(BA1954="WIP - 30 Days",VLOOKUP(D1954,[3]Extended!$B$9:$J$101,9,FALSE),IF(BA1954="31-120 Days",VLOOKUP(D1954,[3]Extended!$B$9:$K$101,10,FALSE),IF(BA1954="121-365 Days",VLOOKUP(D1954,[3]Extended!$B$9:$L$101,11,FALSE),VLOOKUP(D1954,[3]Extended!$B$9:$M$101,12,FALSE)))),0)</f>
        <v>0</v>
      </c>
      <c r="P1954" s="116" t="e">
        <f t="shared" si="151"/>
        <v>#VALUE!</v>
      </c>
      <c r="Q1954" s="110" t="e">
        <f>O1954-#REF!</f>
        <v>#REF!</v>
      </c>
      <c r="AT1954" s="88" t="str">
        <f t="shared" si="152"/>
        <v>Special Order0</v>
      </c>
      <c r="AU1954" s="89" t="str">
        <f t="shared" si="153"/>
        <v>01-1900</v>
      </c>
      <c r="BA1954" s="92" t="str">
        <f t="shared" si="154"/>
        <v/>
      </c>
    </row>
    <row r="1955" spans="2:53">
      <c r="B1955" s="60">
        <f>[2]Trucks!A1952</f>
        <v>0</v>
      </c>
      <c r="C1955" s="11">
        <f>[2]Trucks!B1952</f>
        <v>0</v>
      </c>
      <c r="D1955" s="19" t="str">
        <f>IFERROR(VLOOKUP(C1955&amp;"",'[2]Retail Price List'!$A$3:$B$103,2,FALSE),"Special Order")</f>
        <v>Special Order</v>
      </c>
      <c r="E1955" s="18">
        <f>[2]Trucks!J1952</f>
        <v>0</v>
      </c>
      <c r="F1955" s="12">
        <f>[2]Trucks!E1952</f>
        <v>0</v>
      </c>
      <c r="G1955" s="56">
        <f>[2]Trucks!K1952</f>
        <v>0</v>
      </c>
      <c r="H1955" s="46">
        <f>[2]Trucks!I1952</f>
        <v>0</v>
      </c>
      <c r="I1955" s="83" t="str">
        <f t="shared" si="150"/>
        <v/>
      </c>
      <c r="J1955" s="272" t="str">
        <f>IFERROR(VLOOKUP((D1955&amp;C1955)&amp;"",'[2]Retail Price List'!$C$4:$F$102,3,FALSE),"")</f>
        <v/>
      </c>
      <c r="K1955" s="272">
        <f>IFERROR(IF(BA1955="WIP - 30 Days",VLOOKUP(D1955,[3]Standard!$B$9:$E$101,4,FALSE),IF(BA1955="31-120 Days",VLOOKUP(D1955,[3]Standard!$B$9:$F$101,5,FALSE),IF(BA1955="121-365 Days",VLOOKUP(D1955,[3]Standard!$B$9:$G$101,6,FALSE),VLOOKUP(D1955,[3]Standard!$B$9:$H$101,7,FALSE)))),0)</f>
        <v>0</v>
      </c>
      <c r="L1955" s="272">
        <f>IFERROR(IF(BA1955="WIP - 30 Days",VLOOKUP(D1955,[3]Standard!$B$9:$J$101,9,FALSE),IF(BA1955="31-120 Days",VLOOKUP(D1955,[3]Standard!$B$9:$K$100,10,FALSE),IF(BA1955="121-365 Days",VLOOKUP(D1955,[3]Standard!$B$9:$L$101,11,FALSE),VLOOKUP(D1955,[3]Standard!$B$9:$M$101,12,FALSE)))),0)</f>
        <v>0</v>
      </c>
      <c r="M1955" s="269" t="str">
        <f>IFERROR(VLOOKUP((D1955&amp;C1955)&amp;"",'[2]Retail Price List'!$C$4:$F$102,4,FALSE),"")</f>
        <v/>
      </c>
      <c r="N1955" s="269">
        <f>IFERROR(IF(BA1955="WIP - 30 Days",VLOOKUP(D1955,[3]Extended!$B$9:$E$101,4,FALSE),IF(BA1955="31-120 Days",VLOOKUP(D1955,[3]Extended!$B$9:$F$101,5,FALSE),IF(BA1955="121-365 Days",VLOOKUP(D1955,[3]Extended!$B$9:$G$101,6,FALSE),VLOOKUP(D1955,[3]Extended!$B$9:$H$101,7,FALSE)))),0)</f>
        <v>0</v>
      </c>
      <c r="O1955" s="269">
        <f>IFERROR(IF(BA1955="WIP - 30 Days",VLOOKUP(D1955,[3]Extended!$B$9:$J$101,9,FALSE),IF(BA1955="31-120 Days",VLOOKUP(D1955,[3]Extended!$B$9:$K$101,10,FALSE),IF(BA1955="121-365 Days",VLOOKUP(D1955,[3]Extended!$B$9:$L$101,11,FALSE),VLOOKUP(D1955,[3]Extended!$B$9:$M$101,12,FALSE)))),0)</f>
        <v>0</v>
      </c>
      <c r="P1955" s="116" t="e">
        <f t="shared" si="151"/>
        <v>#VALUE!</v>
      </c>
      <c r="Q1955" s="110" t="e">
        <f>O1955-#REF!</f>
        <v>#REF!</v>
      </c>
      <c r="AT1955" s="88" t="str">
        <f t="shared" si="152"/>
        <v>Special Order0</v>
      </c>
      <c r="AU1955" s="89" t="str">
        <f t="shared" si="153"/>
        <v>01-1900</v>
      </c>
      <c r="BA1955" s="92" t="str">
        <f t="shared" si="154"/>
        <v/>
      </c>
    </row>
    <row r="1956" spans="2:53">
      <c r="B1956" s="60">
        <f>[2]Trucks!A1953</f>
        <v>0</v>
      </c>
      <c r="C1956" s="11">
        <f>[2]Trucks!B1953</f>
        <v>0</v>
      </c>
      <c r="D1956" s="19" t="str">
        <f>IFERROR(VLOOKUP(C1956&amp;"",'[2]Retail Price List'!$A$3:$B$103,2,FALSE),"Special Order")</f>
        <v>Special Order</v>
      </c>
      <c r="E1956" s="18">
        <f>[2]Trucks!J1953</f>
        <v>0</v>
      </c>
      <c r="F1956" s="12">
        <f>[2]Trucks!E1953</f>
        <v>0</v>
      </c>
      <c r="G1956" s="56">
        <f>[2]Trucks!K1953</f>
        <v>0</v>
      </c>
      <c r="H1956" s="46">
        <f>[2]Trucks!I1953</f>
        <v>0</v>
      </c>
      <c r="I1956" s="83" t="str">
        <f t="shared" si="150"/>
        <v/>
      </c>
      <c r="J1956" s="272" t="str">
        <f>IFERROR(VLOOKUP((D1956&amp;C1956)&amp;"",'[2]Retail Price List'!$C$4:$F$102,3,FALSE),"")</f>
        <v/>
      </c>
      <c r="K1956" s="272">
        <f>IFERROR(IF(BA1956="WIP - 30 Days",VLOOKUP(D1956,[3]Standard!$B$9:$E$101,4,FALSE),IF(BA1956="31-120 Days",VLOOKUP(D1956,[3]Standard!$B$9:$F$101,5,FALSE),IF(BA1956="121-365 Days",VLOOKUP(D1956,[3]Standard!$B$9:$G$101,6,FALSE),VLOOKUP(D1956,[3]Standard!$B$9:$H$101,7,FALSE)))),0)</f>
        <v>0</v>
      </c>
      <c r="L1956" s="272">
        <f>IFERROR(IF(BA1956="WIP - 30 Days",VLOOKUP(D1956,[3]Standard!$B$9:$J$101,9,FALSE),IF(BA1956="31-120 Days",VLOOKUP(D1956,[3]Standard!$B$9:$K$100,10,FALSE),IF(BA1956="121-365 Days",VLOOKUP(D1956,[3]Standard!$B$9:$L$101,11,FALSE),VLOOKUP(D1956,[3]Standard!$B$9:$M$101,12,FALSE)))),0)</f>
        <v>0</v>
      </c>
      <c r="M1956" s="269" t="str">
        <f>IFERROR(VLOOKUP((D1956&amp;C1956)&amp;"",'[2]Retail Price List'!$C$4:$F$102,4,FALSE),"")</f>
        <v/>
      </c>
      <c r="N1956" s="269">
        <f>IFERROR(IF(BA1956="WIP - 30 Days",VLOOKUP(D1956,[3]Extended!$B$9:$E$101,4,FALSE),IF(BA1956="31-120 Days",VLOOKUP(D1956,[3]Extended!$B$9:$F$101,5,FALSE),IF(BA1956="121-365 Days",VLOOKUP(D1956,[3]Extended!$B$9:$G$101,6,FALSE),VLOOKUP(D1956,[3]Extended!$B$9:$H$101,7,FALSE)))),0)</f>
        <v>0</v>
      </c>
      <c r="O1956" s="269">
        <f>IFERROR(IF(BA1956="WIP - 30 Days",VLOOKUP(D1956,[3]Extended!$B$9:$J$101,9,FALSE),IF(BA1956="31-120 Days",VLOOKUP(D1956,[3]Extended!$B$9:$K$101,10,FALSE),IF(BA1956="121-365 Days",VLOOKUP(D1956,[3]Extended!$B$9:$L$101,11,FALSE),VLOOKUP(D1956,[3]Extended!$B$9:$M$101,12,FALSE)))),0)</f>
        <v>0</v>
      </c>
      <c r="P1956" s="116" t="e">
        <f t="shared" si="151"/>
        <v>#VALUE!</v>
      </c>
      <c r="Q1956" s="110" t="e">
        <f>O1956-#REF!</f>
        <v>#REF!</v>
      </c>
      <c r="AT1956" s="88" t="str">
        <f t="shared" si="152"/>
        <v>Special Order0</v>
      </c>
      <c r="AU1956" s="89" t="str">
        <f t="shared" si="153"/>
        <v>01-1900</v>
      </c>
      <c r="BA1956" s="92" t="str">
        <f t="shared" si="154"/>
        <v/>
      </c>
    </row>
    <row r="1957" spans="2:53">
      <c r="B1957" s="60">
        <f>[2]Trucks!A1954</f>
        <v>0</v>
      </c>
      <c r="C1957" s="11">
        <f>[2]Trucks!B1954</f>
        <v>0</v>
      </c>
      <c r="D1957" s="19" t="str">
        <f>IFERROR(VLOOKUP(C1957&amp;"",'[2]Retail Price List'!$A$3:$B$103,2,FALSE),"Special Order")</f>
        <v>Special Order</v>
      </c>
      <c r="E1957" s="18">
        <f>[2]Trucks!J1954</f>
        <v>0</v>
      </c>
      <c r="F1957" s="12">
        <f>[2]Trucks!E1954</f>
        <v>0</v>
      </c>
      <c r="G1957" s="56">
        <f>[2]Trucks!K1954</f>
        <v>0</v>
      </c>
      <c r="H1957" s="46">
        <f>[2]Trucks!I1954</f>
        <v>0</v>
      </c>
      <c r="I1957" s="83" t="str">
        <f t="shared" si="150"/>
        <v/>
      </c>
      <c r="J1957" s="272" t="str">
        <f>IFERROR(VLOOKUP((D1957&amp;C1957)&amp;"",'[2]Retail Price List'!$C$4:$F$102,3,FALSE),"")</f>
        <v/>
      </c>
      <c r="K1957" s="272">
        <f>IFERROR(IF(BA1957="WIP - 30 Days",VLOOKUP(D1957,[3]Standard!$B$9:$E$101,4,FALSE),IF(BA1957="31-120 Days",VLOOKUP(D1957,[3]Standard!$B$9:$F$101,5,FALSE),IF(BA1957="121-365 Days",VLOOKUP(D1957,[3]Standard!$B$9:$G$101,6,FALSE),VLOOKUP(D1957,[3]Standard!$B$9:$H$101,7,FALSE)))),0)</f>
        <v>0</v>
      </c>
      <c r="L1957" s="272">
        <f>IFERROR(IF(BA1957="WIP - 30 Days",VLOOKUP(D1957,[3]Standard!$B$9:$J$101,9,FALSE),IF(BA1957="31-120 Days",VLOOKUP(D1957,[3]Standard!$B$9:$K$100,10,FALSE),IF(BA1957="121-365 Days",VLOOKUP(D1957,[3]Standard!$B$9:$L$101,11,FALSE),VLOOKUP(D1957,[3]Standard!$B$9:$M$101,12,FALSE)))),0)</f>
        <v>0</v>
      </c>
      <c r="M1957" s="269" t="str">
        <f>IFERROR(VLOOKUP((D1957&amp;C1957)&amp;"",'[2]Retail Price List'!$C$4:$F$102,4,FALSE),"")</f>
        <v/>
      </c>
      <c r="N1957" s="269">
        <f>IFERROR(IF(BA1957="WIP - 30 Days",VLOOKUP(D1957,[3]Extended!$B$9:$E$101,4,FALSE),IF(BA1957="31-120 Days",VLOOKUP(D1957,[3]Extended!$B$9:$F$101,5,FALSE),IF(BA1957="121-365 Days",VLOOKUP(D1957,[3]Extended!$B$9:$G$101,6,FALSE),VLOOKUP(D1957,[3]Extended!$B$9:$H$101,7,FALSE)))),0)</f>
        <v>0</v>
      </c>
      <c r="O1957" s="269">
        <f>IFERROR(IF(BA1957="WIP - 30 Days",VLOOKUP(D1957,[3]Extended!$B$9:$J$101,9,FALSE),IF(BA1957="31-120 Days",VLOOKUP(D1957,[3]Extended!$B$9:$K$101,10,FALSE),IF(BA1957="121-365 Days",VLOOKUP(D1957,[3]Extended!$B$9:$L$101,11,FALSE),VLOOKUP(D1957,[3]Extended!$B$9:$M$101,12,FALSE)))),0)</f>
        <v>0</v>
      </c>
      <c r="P1957" s="116" t="e">
        <f t="shared" si="151"/>
        <v>#VALUE!</v>
      </c>
      <c r="Q1957" s="110" t="e">
        <f>O1957-#REF!</f>
        <v>#REF!</v>
      </c>
      <c r="AT1957" s="88" t="str">
        <f t="shared" si="152"/>
        <v>Special Order0</v>
      </c>
      <c r="AU1957" s="89" t="str">
        <f t="shared" si="153"/>
        <v>01-1900</v>
      </c>
      <c r="BA1957" s="92" t="str">
        <f t="shared" si="154"/>
        <v/>
      </c>
    </row>
    <row r="1958" spans="2:53">
      <c r="B1958" s="60">
        <f>[2]Trucks!A1955</f>
        <v>0</v>
      </c>
      <c r="C1958" s="11">
        <f>[2]Trucks!B1955</f>
        <v>0</v>
      </c>
      <c r="D1958" s="19" t="str">
        <f>IFERROR(VLOOKUP(C1958&amp;"",'[2]Retail Price List'!$A$3:$B$103,2,FALSE),"Special Order")</f>
        <v>Special Order</v>
      </c>
      <c r="E1958" s="18">
        <f>[2]Trucks!J1955</f>
        <v>0</v>
      </c>
      <c r="F1958" s="12">
        <f>[2]Trucks!E1955</f>
        <v>0</v>
      </c>
      <c r="G1958" s="56">
        <f>[2]Trucks!K1955</f>
        <v>0</v>
      </c>
      <c r="H1958" s="46">
        <f>[2]Trucks!I1955</f>
        <v>0</v>
      </c>
      <c r="I1958" s="83" t="str">
        <f t="shared" si="150"/>
        <v/>
      </c>
      <c r="J1958" s="272" t="str">
        <f>IFERROR(VLOOKUP((D1958&amp;C1958)&amp;"",'[2]Retail Price List'!$C$4:$F$102,3,FALSE),"")</f>
        <v/>
      </c>
      <c r="K1958" s="272">
        <f>IFERROR(IF(BA1958="WIP - 30 Days",VLOOKUP(D1958,[3]Standard!$B$9:$E$101,4,FALSE),IF(BA1958="31-120 Days",VLOOKUP(D1958,[3]Standard!$B$9:$F$101,5,FALSE),IF(BA1958="121-365 Days",VLOOKUP(D1958,[3]Standard!$B$9:$G$101,6,FALSE),VLOOKUP(D1958,[3]Standard!$B$9:$H$101,7,FALSE)))),0)</f>
        <v>0</v>
      </c>
      <c r="L1958" s="272">
        <f>IFERROR(IF(BA1958="WIP - 30 Days",VLOOKUP(D1958,[3]Standard!$B$9:$J$101,9,FALSE),IF(BA1958="31-120 Days",VLOOKUP(D1958,[3]Standard!$B$9:$K$100,10,FALSE),IF(BA1958="121-365 Days",VLOOKUP(D1958,[3]Standard!$B$9:$L$101,11,FALSE),VLOOKUP(D1958,[3]Standard!$B$9:$M$101,12,FALSE)))),0)</f>
        <v>0</v>
      </c>
      <c r="M1958" s="269" t="str">
        <f>IFERROR(VLOOKUP((D1958&amp;C1958)&amp;"",'[2]Retail Price List'!$C$4:$F$102,4,FALSE),"")</f>
        <v/>
      </c>
      <c r="N1958" s="269">
        <f>IFERROR(IF(BA1958="WIP - 30 Days",VLOOKUP(D1958,[3]Extended!$B$9:$E$101,4,FALSE),IF(BA1958="31-120 Days",VLOOKUP(D1958,[3]Extended!$B$9:$F$101,5,FALSE),IF(BA1958="121-365 Days",VLOOKUP(D1958,[3]Extended!$B$9:$G$101,6,FALSE),VLOOKUP(D1958,[3]Extended!$B$9:$H$101,7,FALSE)))),0)</f>
        <v>0</v>
      </c>
      <c r="O1958" s="269">
        <f>IFERROR(IF(BA1958="WIP - 30 Days",VLOOKUP(D1958,[3]Extended!$B$9:$J$101,9,FALSE),IF(BA1958="31-120 Days",VLOOKUP(D1958,[3]Extended!$B$9:$K$101,10,FALSE),IF(BA1958="121-365 Days",VLOOKUP(D1958,[3]Extended!$B$9:$L$101,11,FALSE),VLOOKUP(D1958,[3]Extended!$B$9:$M$101,12,FALSE)))),0)</f>
        <v>0</v>
      </c>
      <c r="P1958" s="116" t="e">
        <f t="shared" si="151"/>
        <v>#VALUE!</v>
      </c>
      <c r="Q1958" s="110" t="e">
        <f>O1958-#REF!</f>
        <v>#REF!</v>
      </c>
      <c r="AT1958" s="88" t="str">
        <f t="shared" si="152"/>
        <v>Special Order0</v>
      </c>
      <c r="AU1958" s="89" t="str">
        <f t="shared" si="153"/>
        <v>01-1900</v>
      </c>
      <c r="BA1958" s="92" t="str">
        <f t="shared" si="154"/>
        <v/>
      </c>
    </row>
    <row r="1959" spans="2:53">
      <c r="B1959" s="60">
        <f>[2]Trucks!A1956</f>
        <v>0</v>
      </c>
      <c r="C1959" s="11">
        <f>[2]Trucks!B1956</f>
        <v>0</v>
      </c>
      <c r="D1959" s="19" t="str">
        <f>IFERROR(VLOOKUP(C1959&amp;"",'[2]Retail Price List'!$A$3:$B$103,2,FALSE),"Special Order")</f>
        <v>Special Order</v>
      </c>
      <c r="E1959" s="18">
        <f>[2]Trucks!J1956</f>
        <v>0</v>
      </c>
      <c r="F1959" s="12">
        <f>[2]Trucks!E1956</f>
        <v>0</v>
      </c>
      <c r="G1959" s="56">
        <f>[2]Trucks!K1956</f>
        <v>0</v>
      </c>
      <c r="H1959" s="46">
        <f>[2]Trucks!I1956</f>
        <v>0</v>
      </c>
      <c r="I1959" s="83" t="str">
        <f t="shared" si="150"/>
        <v/>
      </c>
      <c r="J1959" s="272" t="str">
        <f>IFERROR(VLOOKUP((D1959&amp;C1959)&amp;"",'[2]Retail Price List'!$C$4:$F$102,3,FALSE),"")</f>
        <v/>
      </c>
      <c r="K1959" s="272">
        <f>IFERROR(IF(BA1959="WIP - 30 Days",VLOOKUP(D1959,[3]Standard!$B$9:$E$101,4,FALSE),IF(BA1959="31-120 Days",VLOOKUP(D1959,[3]Standard!$B$9:$F$101,5,FALSE),IF(BA1959="121-365 Days",VLOOKUP(D1959,[3]Standard!$B$9:$G$101,6,FALSE),VLOOKUP(D1959,[3]Standard!$B$9:$H$101,7,FALSE)))),0)</f>
        <v>0</v>
      </c>
      <c r="L1959" s="272">
        <f>IFERROR(IF(BA1959="WIP - 30 Days",VLOOKUP(D1959,[3]Standard!$B$9:$J$101,9,FALSE),IF(BA1959="31-120 Days",VLOOKUP(D1959,[3]Standard!$B$9:$K$100,10,FALSE),IF(BA1959="121-365 Days",VLOOKUP(D1959,[3]Standard!$B$9:$L$101,11,FALSE),VLOOKUP(D1959,[3]Standard!$B$9:$M$101,12,FALSE)))),0)</f>
        <v>0</v>
      </c>
      <c r="M1959" s="269" t="str">
        <f>IFERROR(VLOOKUP((D1959&amp;C1959)&amp;"",'[2]Retail Price List'!$C$4:$F$102,4,FALSE),"")</f>
        <v/>
      </c>
      <c r="N1959" s="269">
        <f>IFERROR(IF(BA1959="WIP - 30 Days",VLOOKUP(D1959,[3]Extended!$B$9:$E$101,4,FALSE),IF(BA1959="31-120 Days",VLOOKUP(D1959,[3]Extended!$B$9:$F$101,5,FALSE),IF(BA1959="121-365 Days",VLOOKUP(D1959,[3]Extended!$B$9:$G$101,6,FALSE),VLOOKUP(D1959,[3]Extended!$B$9:$H$101,7,FALSE)))),0)</f>
        <v>0</v>
      </c>
      <c r="O1959" s="269">
        <f>IFERROR(IF(BA1959="WIP - 30 Days",VLOOKUP(D1959,[3]Extended!$B$9:$J$101,9,FALSE),IF(BA1959="31-120 Days",VLOOKUP(D1959,[3]Extended!$B$9:$K$101,10,FALSE),IF(BA1959="121-365 Days",VLOOKUP(D1959,[3]Extended!$B$9:$L$101,11,FALSE),VLOOKUP(D1959,[3]Extended!$B$9:$M$101,12,FALSE)))),0)</f>
        <v>0</v>
      </c>
      <c r="P1959" s="116" t="e">
        <f t="shared" si="151"/>
        <v>#VALUE!</v>
      </c>
      <c r="Q1959" s="110" t="e">
        <f>O1959-#REF!</f>
        <v>#REF!</v>
      </c>
      <c r="AT1959" s="88" t="str">
        <f t="shared" si="152"/>
        <v>Special Order0</v>
      </c>
      <c r="AU1959" s="89" t="str">
        <f t="shared" si="153"/>
        <v>01-1900</v>
      </c>
      <c r="BA1959" s="92" t="str">
        <f t="shared" si="154"/>
        <v/>
      </c>
    </row>
    <row r="1960" spans="2:53">
      <c r="B1960" s="60">
        <f>[2]Trucks!A1957</f>
        <v>0</v>
      </c>
      <c r="C1960" s="11">
        <f>[2]Trucks!B1957</f>
        <v>0</v>
      </c>
      <c r="D1960" s="19" t="str">
        <f>IFERROR(VLOOKUP(C1960&amp;"",'[2]Retail Price List'!$A$3:$B$103,2,FALSE),"Special Order")</f>
        <v>Special Order</v>
      </c>
      <c r="E1960" s="18">
        <f>[2]Trucks!J1957</f>
        <v>0</v>
      </c>
      <c r="F1960" s="12">
        <f>[2]Trucks!E1957</f>
        <v>0</v>
      </c>
      <c r="G1960" s="56">
        <f>[2]Trucks!K1957</f>
        <v>0</v>
      </c>
      <c r="H1960" s="46">
        <f>[2]Trucks!I1957</f>
        <v>0</v>
      </c>
      <c r="I1960" s="83" t="str">
        <f t="shared" si="150"/>
        <v/>
      </c>
      <c r="J1960" s="272" t="str">
        <f>IFERROR(VLOOKUP((D1960&amp;C1960)&amp;"",'[2]Retail Price List'!$C$4:$F$102,3,FALSE),"")</f>
        <v/>
      </c>
      <c r="K1960" s="272">
        <f>IFERROR(IF(BA1960="WIP - 30 Days",VLOOKUP(D1960,[3]Standard!$B$9:$E$101,4,FALSE),IF(BA1960="31-120 Days",VLOOKUP(D1960,[3]Standard!$B$9:$F$101,5,FALSE),IF(BA1960="121-365 Days",VLOOKUP(D1960,[3]Standard!$B$9:$G$101,6,FALSE),VLOOKUP(D1960,[3]Standard!$B$9:$H$101,7,FALSE)))),0)</f>
        <v>0</v>
      </c>
      <c r="L1960" s="272">
        <f>IFERROR(IF(BA1960="WIP - 30 Days",VLOOKUP(D1960,[3]Standard!$B$9:$J$101,9,FALSE),IF(BA1960="31-120 Days",VLOOKUP(D1960,[3]Standard!$B$9:$K$100,10,FALSE),IF(BA1960="121-365 Days",VLOOKUP(D1960,[3]Standard!$B$9:$L$101,11,FALSE),VLOOKUP(D1960,[3]Standard!$B$9:$M$101,12,FALSE)))),0)</f>
        <v>0</v>
      </c>
      <c r="M1960" s="269" t="str">
        <f>IFERROR(VLOOKUP((D1960&amp;C1960)&amp;"",'[2]Retail Price List'!$C$4:$F$102,4,FALSE),"")</f>
        <v/>
      </c>
      <c r="N1960" s="269">
        <f>IFERROR(IF(BA1960="WIP - 30 Days",VLOOKUP(D1960,[3]Extended!$B$9:$E$101,4,FALSE),IF(BA1960="31-120 Days",VLOOKUP(D1960,[3]Extended!$B$9:$F$101,5,FALSE),IF(BA1960="121-365 Days",VLOOKUP(D1960,[3]Extended!$B$9:$G$101,6,FALSE),VLOOKUP(D1960,[3]Extended!$B$9:$H$101,7,FALSE)))),0)</f>
        <v>0</v>
      </c>
      <c r="O1960" s="269">
        <f>IFERROR(IF(BA1960="WIP - 30 Days",VLOOKUP(D1960,[3]Extended!$B$9:$J$101,9,FALSE),IF(BA1960="31-120 Days",VLOOKUP(D1960,[3]Extended!$B$9:$K$101,10,FALSE),IF(BA1960="121-365 Days",VLOOKUP(D1960,[3]Extended!$B$9:$L$101,11,FALSE),VLOOKUP(D1960,[3]Extended!$B$9:$M$101,12,FALSE)))),0)</f>
        <v>0</v>
      </c>
      <c r="P1960" s="116" t="e">
        <f t="shared" si="151"/>
        <v>#VALUE!</v>
      </c>
      <c r="Q1960" s="110" t="e">
        <f>O1960-#REF!</f>
        <v>#REF!</v>
      </c>
      <c r="AT1960" s="88" t="str">
        <f t="shared" si="152"/>
        <v>Special Order0</v>
      </c>
      <c r="AU1960" s="89" t="str">
        <f t="shared" si="153"/>
        <v>01-1900</v>
      </c>
      <c r="BA1960" s="92" t="str">
        <f t="shared" si="154"/>
        <v/>
      </c>
    </row>
    <row r="1961" spans="2:53">
      <c r="B1961" s="60">
        <f>[2]Trucks!A1958</f>
        <v>0</v>
      </c>
      <c r="C1961" s="11">
        <f>[2]Trucks!B1958</f>
        <v>0</v>
      </c>
      <c r="D1961" s="19" t="str">
        <f>IFERROR(VLOOKUP(C1961&amp;"",'[2]Retail Price List'!$A$3:$B$103,2,FALSE),"Special Order")</f>
        <v>Special Order</v>
      </c>
      <c r="E1961" s="18">
        <f>[2]Trucks!J1958</f>
        <v>0</v>
      </c>
      <c r="F1961" s="12">
        <f>[2]Trucks!E1958</f>
        <v>0</v>
      </c>
      <c r="G1961" s="56">
        <f>[2]Trucks!K1958</f>
        <v>0</v>
      </c>
      <c r="H1961" s="46">
        <f>[2]Trucks!I1958</f>
        <v>0</v>
      </c>
      <c r="I1961" s="83" t="str">
        <f t="shared" si="150"/>
        <v/>
      </c>
      <c r="J1961" s="272" t="str">
        <f>IFERROR(VLOOKUP((D1961&amp;C1961)&amp;"",'[2]Retail Price List'!$C$4:$F$102,3,FALSE),"")</f>
        <v/>
      </c>
      <c r="K1961" s="272">
        <f>IFERROR(IF(BA1961="WIP - 30 Days",VLOOKUP(D1961,[3]Standard!$B$9:$E$101,4,FALSE),IF(BA1961="31-120 Days",VLOOKUP(D1961,[3]Standard!$B$9:$F$101,5,FALSE),IF(BA1961="121-365 Days",VLOOKUP(D1961,[3]Standard!$B$9:$G$101,6,FALSE),VLOOKUP(D1961,[3]Standard!$B$9:$H$101,7,FALSE)))),0)</f>
        <v>0</v>
      </c>
      <c r="L1961" s="272">
        <f>IFERROR(IF(BA1961="WIP - 30 Days",VLOOKUP(D1961,[3]Standard!$B$9:$J$101,9,FALSE),IF(BA1961="31-120 Days",VLOOKUP(D1961,[3]Standard!$B$9:$K$100,10,FALSE),IF(BA1961="121-365 Days",VLOOKUP(D1961,[3]Standard!$B$9:$L$101,11,FALSE),VLOOKUP(D1961,[3]Standard!$B$9:$M$101,12,FALSE)))),0)</f>
        <v>0</v>
      </c>
      <c r="M1961" s="269" t="str">
        <f>IFERROR(VLOOKUP((D1961&amp;C1961)&amp;"",'[2]Retail Price List'!$C$4:$F$102,4,FALSE),"")</f>
        <v/>
      </c>
      <c r="N1961" s="269">
        <f>IFERROR(IF(BA1961="WIP - 30 Days",VLOOKUP(D1961,[3]Extended!$B$9:$E$101,4,FALSE),IF(BA1961="31-120 Days",VLOOKUP(D1961,[3]Extended!$B$9:$F$101,5,FALSE),IF(BA1961="121-365 Days",VLOOKUP(D1961,[3]Extended!$B$9:$G$101,6,FALSE),VLOOKUP(D1961,[3]Extended!$B$9:$H$101,7,FALSE)))),0)</f>
        <v>0</v>
      </c>
      <c r="O1961" s="269">
        <f>IFERROR(IF(BA1961="WIP - 30 Days",VLOOKUP(D1961,[3]Extended!$B$9:$J$101,9,FALSE),IF(BA1961="31-120 Days",VLOOKUP(D1961,[3]Extended!$B$9:$K$101,10,FALSE),IF(BA1961="121-365 Days",VLOOKUP(D1961,[3]Extended!$B$9:$L$101,11,FALSE),VLOOKUP(D1961,[3]Extended!$B$9:$M$101,12,FALSE)))),0)</f>
        <v>0</v>
      </c>
      <c r="P1961" s="116" t="e">
        <f t="shared" si="151"/>
        <v>#VALUE!</v>
      </c>
      <c r="Q1961" s="110" t="e">
        <f>O1961-#REF!</f>
        <v>#REF!</v>
      </c>
      <c r="AT1961" s="88" t="str">
        <f t="shared" si="152"/>
        <v>Special Order0</v>
      </c>
      <c r="AU1961" s="89" t="str">
        <f t="shared" si="153"/>
        <v>01-1900</v>
      </c>
      <c r="BA1961" s="92" t="str">
        <f t="shared" si="154"/>
        <v/>
      </c>
    </row>
    <row r="1962" spans="2:53">
      <c r="B1962" s="60">
        <f>[2]Trucks!A1959</f>
        <v>0</v>
      </c>
      <c r="C1962" s="11">
        <f>[2]Trucks!B1959</f>
        <v>0</v>
      </c>
      <c r="D1962" s="19" t="str">
        <f>IFERROR(VLOOKUP(C1962&amp;"",'[2]Retail Price List'!$A$3:$B$103,2,FALSE),"Special Order")</f>
        <v>Special Order</v>
      </c>
      <c r="E1962" s="18">
        <f>[2]Trucks!J1959</f>
        <v>0</v>
      </c>
      <c r="F1962" s="12">
        <f>[2]Trucks!E1959</f>
        <v>0</v>
      </c>
      <c r="G1962" s="56">
        <f>[2]Trucks!K1959</f>
        <v>0</v>
      </c>
      <c r="H1962" s="46">
        <f>[2]Trucks!I1959</f>
        <v>0</v>
      </c>
      <c r="I1962" s="83" t="str">
        <f t="shared" si="150"/>
        <v/>
      </c>
      <c r="J1962" s="272" t="str">
        <f>IFERROR(VLOOKUP((D1962&amp;C1962)&amp;"",'[2]Retail Price List'!$C$4:$F$102,3,FALSE),"")</f>
        <v/>
      </c>
      <c r="K1962" s="272">
        <f>IFERROR(IF(BA1962="WIP - 30 Days",VLOOKUP(D1962,[3]Standard!$B$9:$E$101,4,FALSE),IF(BA1962="31-120 Days",VLOOKUP(D1962,[3]Standard!$B$9:$F$101,5,FALSE),IF(BA1962="121-365 Days",VLOOKUP(D1962,[3]Standard!$B$9:$G$101,6,FALSE),VLOOKUP(D1962,[3]Standard!$B$9:$H$101,7,FALSE)))),0)</f>
        <v>0</v>
      </c>
      <c r="L1962" s="272">
        <f>IFERROR(IF(BA1962="WIP - 30 Days",VLOOKUP(D1962,[3]Standard!$B$9:$J$101,9,FALSE),IF(BA1962="31-120 Days",VLOOKUP(D1962,[3]Standard!$B$9:$K$100,10,FALSE),IF(BA1962="121-365 Days",VLOOKUP(D1962,[3]Standard!$B$9:$L$101,11,FALSE),VLOOKUP(D1962,[3]Standard!$B$9:$M$101,12,FALSE)))),0)</f>
        <v>0</v>
      </c>
      <c r="M1962" s="269" t="str">
        <f>IFERROR(VLOOKUP((D1962&amp;C1962)&amp;"",'[2]Retail Price List'!$C$4:$F$102,4,FALSE),"")</f>
        <v/>
      </c>
      <c r="N1962" s="269">
        <f>IFERROR(IF(BA1962="WIP - 30 Days",VLOOKUP(D1962,[3]Extended!$B$9:$E$101,4,FALSE),IF(BA1962="31-120 Days",VLOOKUP(D1962,[3]Extended!$B$9:$F$101,5,FALSE),IF(BA1962="121-365 Days",VLOOKUP(D1962,[3]Extended!$B$9:$G$101,6,FALSE),VLOOKUP(D1962,[3]Extended!$B$9:$H$101,7,FALSE)))),0)</f>
        <v>0</v>
      </c>
      <c r="O1962" s="269">
        <f>IFERROR(IF(BA1962="WIP - 30 Days",VLOOKUP(D1962,[3]Extended!$B$9:$J$101,9,FALSE),IF(BA1962="31-120 Days",VLOOKUP(D1962,[3]Extended!$B$9:$K$101,10,FALSE),IF(BA1962="121-365 Days",VLOOKUP(D1962,[3]Extended!$B$9:$L$101,11,FALSE),VLOOKUP(D1962,[3]Extended!$B$9:$M$101,12,FALSE)))),0)</f>
        <v>0</v>
      </c>
      <c r="P1962" s="116" t="e">
        <f t="shared" si="151"/>
        <v>#VALUE!</v>
      </c>
      <c r="Q1962" s="110" t="e">
        <f>O1962-#REF!</f>
        <v>#REF!</v>
      </c>
      <c r="AT1962" s="88" t="str">
        <f t="shared" si="152"/>
        <v>Special Order0</v>
      </c>
      <c r="AU1962" s="89" t="str">
        <f t="shared" si="153"/>
        <v>01-1900</v>
      </c>
      <c r="BA1962" s="92" t="str">
        <f t="shared" si="154"/>
        <v/>
      </c>
    </row>
    <row r="1963" spans="2:53">
      <c r="B1963" s="60">
        <f>[2]Trucks!A1960</f>
        <v>0</v>
      </c>
      <c r="C1963" s="11">
        <f>[2]Trucks!B1960</f>
        <v>0</v>
      </c>
      <c r="D1963" s="19" t="str">
        <f>IFERROR(VLOOKUP(C1963&amp;"",'[2]Retail Price List'!$A$3:$B$103,2,FALSE),"Special Order")</f>
        <v>Special Order</v>
      </c>
      <c r="E1963" s="18">
        <f>[2]Trucks!J1960</f>
        <v>0</v>
      </c>
      <c r="F1963" s="12">
        <f>[2]Trucks!E1960</f>
        <v>0</v>
      </c>
      <c r="G1963" s="56">
        <f>[2]Trucks!K1960</f>
        <v>0</v>
      </c>
      <c r="H1963" s="46">
        <f>[2]Trucks!I1960</f>
        <v>0</v>
      </c>
      <c r="I1963" s="83" t="str">
        <f t="shared" si="150"/>
        <v/>
      </c>
      <c r="J1963" s="272" t="str">
        <f>IFERROR(VLOOKUP((D1963&amp;C1963)&amp;"",'[2]Retail Price List'!$C$4:$F$102,3,FALSE),"")</f>
        <v/>
      </c>
      <c r="K1963" s="272">
        <f>IFERROR(IF(BA1963="WIP - 30 Days",VLOOKUP(D1963,[3]Standard!$B$9:$E$101,4,FALSE),IF(BA1963="31-120 Days",VLOOKUP(D1963,[3]Standard!$B$9:$F$101,5,FALSE),IF(BA1963="121-365 Days",VLOOKUP(D1963,[3]Standard!$B$9:$G$101,6,FALSE),VLOOKUP(D1963,[3]Standard!$B$9:$H$101,7,FALSE)))),0)</f>
        <v>0</v>
      </c>
      <c r="L1963" s="272">
        <f>IFERROR(IF(BA1963="WIP - 30 Days",VLOOKUP(D1963,[3]Standard!$B$9:$J$101,9,FALSE),IF(BA1963="31-120 Days",VLOOKUP(D1963,[3]Standard!$B$9:$K$100,10,FALSE),IF(BA1963="121-365 Days",VLOOKUP(D1963,[3]Standard!$B$9:$L$101,11,FALSE),VLOOKUP(D1963,[3]Standard!$B$9:$M$101,12,FALSE)))),0)</f>
        <v>0</v>
      </c>
      <c r="M1963" s="269" t="str">
        <f>IFERROR(VLOOKUP((D1963&amp;C1963)&amp;"",'[2]Retail Price List'!$C$4:$F$102,4,FALSE),"")</f>
        <v/>
      </c>
      <c r="N1963" s="269">
        <f>IFERROR(IF(BA1963="WIP - 30 Days",VLOOKUP(D1963,[3]Extended!$B$9:$E$101,4,FALSE),IF(BA1963="31-120 Days",VLOOKUP(D1963,[3]Extended!$B$9:$F$101,5,FALSE),IF(BA1963="121-365 Days",VLOOKUP(D1963,[3]Extended!$B$9:$G$101,6,FALSE),VLOOKUP(D1963,[3]Extended!$B$9:$H$101,7,FALSE)))),0)</f>
        <v>0</v>
      </c>
      <c r="O1963" s="269">
        <f>IFERROR(IF(BA1963="WIP - 30 Days",VLOOKUP(D1963,[3]Extended!$B$9:$J$101,9,FALSE),IF(BA1963="31-120 Days",VLOOKUP(D1963,[3]Extended!$B$9:$K$101,10,FALSE),IF(BA1963="121-365 Days",VLOOKUP(D1963,[3]Extended!$B$9:$L$101,11,FALSE),VLOOKUP(D1963,[3]Extended!$B$9:$M$101,12,FALSE)))),0)</f>
        <v>0</v>
      </c>
      <c r="P1963" s="116" t="e">
        <f t="shared" si="151"/>
        <v>#VALUE!</v>
      </c>
      <c r="Q1963" s="110" t="e">
        <f>O1963-#REF!</f>
        <v>#REF!</v>
      </c>
      <c r="AT1963" s="88" t="str">
        <f t="shared" si="152"/>
        <v>Special Order0</v>
      </c>
      <c r="AU1963" s="89" t="str">
        <f t="shared" si="153"/>
        <v>01-1900</v>
      </c>
      <c r="BA1963" s="92" t="str">
        <f t="shared" si="154"/>
        <v/>
      </c>
    </row>
    <row r="1964" spans="2:53">
      <c r="B1964" s="60">
        <f>[2]Trucks!A1961</f>
        <v>0</v>
      </c>
      <c r="C1964" s="11">
        <f>[2]Trucks!B1961</f>
        <v>0</v>
      </c>
      <c r="D1964" s="19" t="str">
        <f>IFERROR(VLOOKUP(C1964&amp;"",'[2]Retail Price List'!$A$3:$B$103,2,FALSE),"Special Order")</f>
        <v>Special Order</v>
      </c>
      <c r="E1964" s="18">
        <f>[2]Trucks!J1961</f>
        <v>0</v>
      </c>
      <c r="F1964" s="12">
        <f>[2]Trucks!E1961</f>
        <v>0</v>
      </c>
      <c r="G1964" s="56">
        <f>[2]Trucks!K1961</f>
        <v>0</v>
      </c>
      <c r="H1964" s="46">
        <f>[2]Trucks!I1961</f>
        <v>0</v>
      </c>
      <c r="I1964" s="83" t="str">
        <f t="shared" si="150"/>
        <v/>
      </c>
      <c r="J1964" s="272" t="str">
        <f>IFERROR(VLOOKUP((D1964&amp;C1964)&amp;"",'[2]Retail Price List'!$C$4:$F$102,3,FALSE),"")</f>
        <v/>
      </c>
      <c r="K1964" s="272">
        <f>IFERROR(IF(BA1964="WIP - 30 Days",VLOOKUP(D1964,[3]Standard!$B$9:$E$101,4,FALSE),IF(BA1964="31-120 Days",VLOOKUP(D1964,[3]Standard!$B$9:$F$101,5,FALSE),IF(BA1964="121-365 Days",VLOOKUP(D1964,[3]Standard!$B$9:$G$101,6,FALSE),VLOOKUP(D1964,[3]Standard!$B$9:$H$101,7,FALSE)))),0)</f>
        <v>0</v>
      </c>
      <c r="L1964" s="272">
        <f>IFERROR(IF(BA1964="WIP - 30 Days",VLOOKUP(D1964,[3]Standard!$B$9:$J$101,9,FALSE),IF(BA1964="31-120 Days",VLOOKUP(D1964,[3]Standard!$B$9:$K$100,10,FALSE),IF(BA1964="121-365 Days",VLOOKUP(D1964,[3]Standard!$B$9:$L$101,11,FALSE),VLOOKUP(D1964,[3]Standard!$B$9:$M$101,12,FALSE)))),0)</f>
        <v>0</v>
      </c>
      <c r="M1964" s="269" t="str">
        <f>IFERROR(VLOOKUP((D1964&amp;C1964)&amp;"",'[2]Retail Price List'!$C$4:$F$102,4,FALSE),"")</f>
        <v/>
      </c>
      <c r="N1964" s="269">
        <f>IFERROR(IF(BA1964="WIP - 30 Days",VLOOKUP(D1964,[3]Extended!$B$9:$E$101,4,FALSE),IF(BA1964="31-120 Days",VLOOKUP(D1964,[3]Extended!$B$9:$F$101,5,FALSE),IF(BA1964="121-365 Days",VLOOKUP(D1964,[3]Extended!$B$9:$G$101,6,FALSE),VLOOKUP(D1964,[3]Extended!$B$9:$H$101,7,FALSE)))),0)</f>
        <v>0</v>
      </c>
      <c r="O1964" s="269">
        <f>IFERROR(IF(BA1964="WIP - 30 Days",VLOOKUP(D1964,[3]Extended!$B$9:$J$101,9,FALSE),IF(BA1964="31-120 Days",VLOOKUP(D1964,[3]Extended!$B$9:$K$101,10,FALSE),IF(BA1964="121-365 Days",VLOOKUP(D1964,[3]Extended!$B$9:$L$101,11,FALSE),VLOOKUP(D1964,[3]Extended!$B$9:$M$101,12,FALSE)))),0)</f>
        <v>0</v>
      </c>
      <c r="P1964" s="116" t="e">
        <f t="shared" si="151"/>
        <v>#VALUE!</v>
      </c>
      <c r="Q1964" s="110" t="e">
        <f>O1964-#REF!</f>
        <v>#REF!</v>
      </c>
      <c r="AT1964" s="88" t="str">
        <f t="shared" si="152"/>
        <v>Special Order0</v>
      </c>
      <c r="AU1964" s="89" t="str">
        <f t="shared" si="153"/>
        <v>01-1900</v>
      </c>
      <c r="BA1964" s="92" t="str">
        <f t="shared" si="154"/>
        <v/>
      </c>
    </row>
    <row r="1965" spans="2:53">
      <c r="B1965" s="60">
        <f>[2]Trucks!A1962</f>
        <v>0</v>
      </c>
      <c r="C1965" s="11">
        <f>[2]Trucks!B1962</f>
        <v>0</v>
      </c>
      <c r="D1965" s="19" t="str">
        <f>IFERROR(VLOOKUP(C1965&amp;"",'[2]Retail Price List'!$A$3:$B$103,2,FALSE),"Special Order")</f>
        <v>Special Order</v>
      </c>
      <c r="E1965" s="18">
        <f>[2]Trucks!J1962</f>
        <v>0</v>
      </c>
      <c r="F1965" s="12">
        <f>[2]Trucks!E1962</f>
        <v>0</v>
      </c>
      <c r="G1965" s="56">
        <f>[2]Trucks!K1962</f>
        <v>0</v>
      </c>
      <c r="H1965" s="46">
        <f>[2]Trucks!I1962</f>
        <v>0</v>
      </c>
      <c r="I1965" s="83" t="str">
        <f t="shared" si="150"/>
        <v/>
      </c>
      <c r="J1965" s="272" t="str">
        <f>IFERROR(VLOOKUP((D1965&amp;C1965)&amp;"",'[2]Retail Price List'!$C$4:$F$102,3,FALSE),"")</f>
        <v/>
      </c>
      <c r="K1965" s="272">
        <f>IFERROR(IF(BA1965="WIP - 30 Days",VLOOKUP(D1965,[3]Standard!$B$9:$E$101,4,FALSE),IF(BA1965="31-120 Days",VLOOKUP(D1965,[3]Standard!$B$9:$F$101,5,FALSE),IF(BA1965="121-365 Days",VLOOKUP(D1965,[3]Standard!$B$9:$G$101,6,FALSE),VLOOKUP(D1965,[3]Standard!$B$9:$H$101,7,FALSE)))),0)</f>
        <v>0</v>
      </c>
      <c r="L1965" s="272">
        <f>IFERROR(IF(BA1965="WIP - 30 Days",VLOOKUP(D1965,[3]Standard!$B$9:$J$101,9,FALSE),IF(BA1965="31-120 Days",VLOOKUP(D1965,[3]Standard!$B$9:$K$100,10,FALSE),IF(BA1965="121-365 Days",VLOOKUP(D1965,[3]Standard!$B$9:$L$101,11,FALSE),VLOOKUP(D1965,[3]Standard!$B$9:$M$101,12,FALSE)))),0)</f>
        <v>0</v>
      </c>
      <c r="M1965" s="269" t="str">
        <f>IFERROR(VLOOKUP((D1965&amp;C1965)&amp;"",'[2]Retail Price List'!$C$4:$F$102,4,FALSE),"")</f>
        <v/>
      </c>
      <c r="N1965" s="269">
        <f>IFERROR(IF(BA1965="WIP - 30 Days",VLOOKUP(D1965,[3]Extended!$B$9:$E$101,4,FALSE),IF(BA1965="31-120 Days",VLOOKUP(D1965,[3]Extended!$B$9:$F$101,5,FALSE),IF(BA1965="121-365 Days",VLOOKUP(D1965,[3]Extended!$B$9:$G$101,6,FALSE),VLOOKUP(D1965,[3]Extended!$B$9:$H$101,7,FALSE)))),0)</f>
        <v>0</v>
      </c>
      <c r="O1965" s="269">
        <f>IFERROR(IF(BA1965="WIP - 30 Days",VLOOKUP(D1965,[3]Extended!$B$9:$J$101,9,FALSE),IF(BA1965="31-120 Days",VLOOKUP(D1965,[3]Extended!$B$9:$K$101,10,FALSE),IF(BA1965="121-365 Days",VLOOKUP(D1965,[3]Extended!$B$9:$L$101,11,FALSE),VLOOKUP(D1965,[3]Extended!$B$9:$M$101,12,FALSE)))),0)</f>
        <v>0</v>
      </c>
      <c r="P1965" s="116" t="e">
        <f t="shared" si="151"/>
        <v>#VALUE!</v>
      </c>
      <c r="Q1965" s="110" t="e">
        <f>O1965-#REF!</f>
        <v>#REF!</v>
      </c>
      <c r="AT1965" s="88" t="str">
        <f t="shared" si="152"/>
        <v>Special Order0</v>
      </c>
      <c r="AU1965" s="89" t="str">
        <f t="shared" si="153"/>
        <v>01-1900</v>
      </c>
      <c r="BA1965" s="92" t="str">
        <f t="shared" si="154"/>
        <v/>
      </c>
    </row>
    <row r="1966" spans="2:53">
      <c r="B1966" s="60">
        <f>[2]Trucks!A1963</f>
        <v>0</v>
      </c>
      <c r="C1966" s="11">
        <f>[2]Trucks!B1963</f>
        <v>0</v>
      </c>
      <c r="D1966" s="19" t="str">
        <f>IFERROR(VLOOKUP(C1966&amp;"",'[2]Retail Price List'!$A$3:$B$103,2,FALSE),"Special Order")</f>
        <v>Special Order</v>
      </c>
      <c r="E1966" s="18">
        <f>[2]Trucks!J1963</f>
        <v>0</v>
      </c>
      <c r="F1966" s="12">
        <f>[2]Trucks!E1963</f>
        <v>0</v>
      </c>
      <c r="G1966" s="56">
        <f>[2]Trucks!K1963</f>
        <v>0</v>
      </c>
      <c r="H1966" s="46">
        <f>[2]Trucks!I1963</f>
        <v>0</v>
      </c>
      <c r="I1966" s="83" t="str">
        <f t="shared" si="150"/>
        <v/>
      </c>
      <c r="J1966" s="272" t="str">
        <f>IFERROR(VLOOKUP((D1966&amp;C1966)&amp;"",'[2]Retail Price List'!$C$4:$F$102,3,FALSE),"")</f>
        <v/>
      </c>
      <c r="K1966" s="272">
        <f>IFERROR(IF(BA1966="WIP - 30 Days",VLOOKUP(D1966,[3]Standard!$B$9:$E$101,4,FALSE),IF(BA1966="31-120 Days",VLOOKUP(D1966,[3]Standard!$B$9:$F$101,5,FALSE),IF(BA1966="121-365 Days",VLOOKUP(D1966,[3]Standard!$B$9:$G$101,6,FALSE),VLOOKUP(D1966,[3]Standard!$B$9:$H$101,7,FALSE)))),0)</f>
        <v>0</v>
      </c>
      <c r="L1966" s="272">
        <f>IFERROR(IF(BA1966="WIP - 30 Days",VLOOKUP(D1966,[3]Standard!$B$9:$J$101,9,FALSE),IF(BA1966="31-120 Days",VLOOKUP(D1966,[3]Standard!$B$9:$K$100,10,FALSE),IF(BA1966="121-365 Days",VLOOKUP(D1966,[3]Standard!$B$9:$L$101,11,FALSE),VLOOKUP(D1966,[3]Standard!$B$9:$M$101,12,FALSE)))),0)</f>
        <v>0</v>
      </c>
      <c r="M1966" s="269" t="str">
        <f>IFERROR(VLOOKUP((D1966&amp;C1966)&amp;"",'[2]Retail Price List'!$C$4:$F$102,4,FALSE),"")</f>
        <v/>
      </c>
      <c r="N1966" s="269">
        <f>IFERROR(IF(BA1966="WIP - 30 Days",VLOOKUP(D1966,[3]Extended!$B$9:$E$101,4,FALSE),IF(BA1966="31-120 Days",VLOOKUP(D1966,[3]Extended!$B$9:$F$101,5,FALSE),IF(BA1966="121-365 Days",VLOOKUP(D1966,[3]Extended!$B$9:$G$101,6,FALSE),VLOOKUP(D1966,[3]Extended!$B$9:$H$101,7,FALSE)))),0)</f>
        <v>0</v>
      </c>
      <c r="O1966" s="269">
        <f>IFERROR(IF(BA1966="WIP - 30 Days",VLOOKUP(D1966,[3]Extended!$B$9:$J$101,9,FALSE),IF(BA1966="31-120 Days",VLOOKUP(D1966,[3]Extended!$B$9:$K$101,10,FALSE),IF(BA1966="121-365 Days",VLOOKUP(D1966,[3]Extended!$B$9:$L$101,11,FALSE),VLOOKUP(D1966,[3]Extended!$B$9:$M$101,12,FALSE)))),0)</f>
        <v>0</v>
      </c>
      <c r="P1966" s="116" t="e">
        <f t="shared" si="151"/>
        <v>#VALUE!</v>
      </c>
      <c r="Q1966" s="110" t="e">
        <f>O1966-#REF!</f>
        <v>#REF!</v>
      </c>
      <c r="AT1966" s="88" t="str">
        <f t="shared" si="152"/>
        <v>Special Order0</v>
      </c>
      <c r="AU1966" s="89" t="str">
        <f t="shared" si="153"/>
        <v>01-1900</v>
      </c>
      <c r="BA1966" s="92" t="str">
        <f t="shared" si="154"/>
        <v/>
      </c>
    </row>
    <row r="1967" spans="2:53">
      <c r="B1967" s="60">
        <f>[2]Trucks!A1964</f>
        <v>0</v>
      </c>
      <c r="C1967" s="11">
        <f>[2]Trucks!B1964</f>
        <v>0</v>
      </c>
      <c r="D1967" s="19" t="str">
        <f>IFERROR(VLOOKUP(C1967&amp;"",'[2]Retail Price List'!$A$3:$B$103,2,FALSE),"Special Order")</f>
        <v>Special Order</v>
      </c>
      <c r="E1967" s="18">
        <f>[2]Trucks!J1964</f>
        <v>0</v>
      </c>
      <c r="F1967" s="12">
        <f>[2]Trucks!E1964</f>
        <v>0</v>
      </c>
      <c r="G1967" s="56">
        <f>[2]Trucks!K1964</f>
        <v>0</v>
      </c>
      <c r="H1967" s="46">
        <f>[2]Trucks!I1964</f>
        <v>0</v>
      </c>
      <c r="I1967" s="83" t="str">
        <f t="shared" si="150"/>
        <v/>
      </c>
      <c r="J1967" s="272" t="str">
        <f>IFERROR(VLOOKUP((D1967&amp;C1967)&amp;"",'[2]Retail Price List'!$C$4:$F$102,3,FALSE),"")</f>
        <v/>
      </c>
      <c r="K1967" s="272">
        <f>IFERROR(IF(BA1967="WIP - 30 Days",VLOOKUP(D1967,[3]Standard!$B$9:$E$101,4,FALSE),IF(BA1967="31-120 Days",VLOOKUP(D1967,[3]Standard!$B$9:$F$101,5,FALSE),IF(BA1967="121-365 Days",VLOOKUP(D1967,[3]Standard!$B$9:$G$101,6,FALSE),VLOOKUP(D1967,[3]Standard!$B$9:$H$101,7,FALSE)))),0)</f>
        <v>0</v>
      </c>
      <c r="L1967" s="272">
        <f>IFERROR(IF(BA1967="WIP - 30 Days",VLOOKUP(D1967,[3]Standard!$B$9:$J$101,9,FALSE),IF(BA1967="31-120 Days",VLOOKUP(D1967,[3]Standard!$B$9:$K$100,10,FALSE),IF(BA1967="121-365 Days",VLOOKUP(D1967,[3]Standard!$B$9:$L$101,11,FALSE),VLOOKUP(D1967,[3]Standard!$B$9:$M$101,12,FALSE)))),0)</f>
        <v>0</v>
      </c>
      <c r="M1967" s="269" t="str">
        <f>IFERROR(VLOOKUP((D1967&amp;C1967)&amp;"",'[2]Retail Price List'!$C$4:$F$102,4,FALSE),"")</f>
        <v/>
      </c>
      <c r="N1967" s="269">
        <f>IFERROR(IF(BA1967="WIP - 30 Days",VLOOKUP(D1967,[3]Extended!$B$9:$E$101,4,FALSE),IF(BA1967="31-120 Days",VLOOKUP(D1967,[3]Extended!$B$9:$F$101,5,FALSE),IF(BA1967="121-365 Days",VLOOKUP(D1967,[3]Extended!$B$9:$G$101,6,FALSE),VLOOKUP(D1967,[3]Extended!$B$9:$H$101,7,FALSE)))),0)</f>
        <v>0</v>
      </c>
      <c r="O1967" s="269">
        <f>IFERROR(IF(BA1967="WIP - 30 Days",VLOOKUP(D1967,[3]Extended!$B$9:$J$101,9,FALSE),IF(BA1967="31-120 Days",VLOOKUP(D1967,[3]Extended!$B$9:$K$101,10,FALSE),IF(BA1967="121-365 Days",VLOOKUP(D1967,[3]Extended!$B$9:$L$101,11,FALSE),VLOOKUP(D1967,[3]Extended!$B$9:$M$101,12,FALSE)))),0)</f>
        <v>0</v>
      </c>
      <c r="P1967" s="116" t="e">
        <f t="shared" si="151"/>
        <v>#VALUE!</v>
      </c>
      <c r="Q1967" s="110" t="e">
        <f>O1967-#REF!</f>
        <v>#REF!</v>
      </c>
      <c r="AT1967" s="88" t="str">
        <f t="shared" si="152"/>
        <v>Special Order0</v>
      </c>
      <c r="AU1967" s="89" t="str">
        <f t="shared" si="153"/>
        <v>01-1900</v>
      </c>
      <c r="BA1967" s="92" t="str">
        <f t="shared" si="154"/>
        <v/>
      </c>
    </row>
    <row r="1968" spans="2:53">
      <c r="B1968" s="60">
        <f>[2]Trucks!A1965</f>
        <v>0</v>
      </c>
      <c r="C1968" s="11">
        <f>[2]Trucks!B1965</f>
        <v>0</v>
      </c>
      <c r="D1968" s="19" t="str">
        <f>IFERROR(VLOOKUP(C1968&amp;"",'[2]Retail Price List'!$A$3:$B$103,2,FALSE),"Special Order")</f>
        <v>Special Order</v>
      </c>
      <c r="E1968" s="18">
        <f>[2]Trucks!J1965</f>
        <v>0</v>
      </c>
      <c r="F1968" s="12">
        <f>[2]Trucks!E1965</f>
        <v>0</v>
      </c>
      <c r="G1968" s="56">
        <f>[2]Trucks!K1965</f>
        <v>0</v>
      </c>
      <c r="H1968" s="46">
        <f>[2]Trucks!I1965</f>
        <v>0</v>
      </c>
      <c r="I1968" s="83" t="str">
        <f t="shared" si="150"/>
        <v/>
      </c>
      <c r="J1968" s="272" t="str">
        <f>IFERROR(VLOOKUP((D1968&amp;C1968)&amp;"",'[2]Retail Price List'!$C$4:$F$102,3,FALSE),"")</f>
        <v/>
      </c>
      <c r="K1968" s="272">
        <f>IFERROR(IF(BA1968="WIP - 30 Days",VLOOKUP(D1968,[3]Standard!$B$9:$E$101,4,FALSE),IF(BA1968="31-120 Days",VLOOKUP(D1968,[3]Standard!$B$9:$F$101,5,FALSE),IF(BA1968="121-365 Days",VLOOKUP(D1968,[3]Standard!$B$9:$G$101,6,FALSE),VLOOKUP(D1968,[3]Standard!$B$9:$H$101,7,FALSE)))),0)</f>
        <v>0</v>
      </c>
      <c r="L1968" s="272">
        <f>IFERROR(IF(BA1968="WIP - 30 Days",VLOOKUP(D1968,[3]Standard!$B$9:$J$101,9,FALSE),IF(BA1968="31-120 Days",VLOOKUP(D1968,[3]Standard!$B$9:$K$100,10,FALSE),IF(BA1968="121-365 Days",VLOOKUP(D1968,[3]Standard!$B$9:$L$101,11,FALSE),VLOOKUP(D1968,[3]Standard!$B$9:$M$101,12,FALSE)))),0)</f>
        <v>0</v>
      </c>
      <c r="M1968" s="269" t="str">
        <f>IFERROR(VLOOKUP((D1968&amp;C1968)&amp;"",'[2]Retail Price List'!$C$4:$F$102,4,FALSE),"")</f>
        <v/>
      </c>
      <c r="N1968" s="269">
        <f>IFERROR(IF(BA1968="WIP - 30 Days",VLOOKUP(D1968,[3]Extended!$B$9:$E$101,4,FALSE),IF(BA1968="31-120 Days",VLOOKUP(D1968,[3]Extended!$B$9:$F$101,5,FALSE),IF(BA1968="121-365 Days",VLOOKUP(D1968,[3]Extended!$B$9:$G$101,6,FALSE),VLOOKUP(D1968,[3]Extended!$B$9:$H$101,7,FALSE)))),0)</f>
        <v>0</v>
      </c>
      <c r="O1968" s="269">
        <f>IFERROR(IF(BA1968="WIP - 30 Days",VLOOKUP(D1968,[3]Extended!$B$9:$J$101,9,FALSE),IF(BA1968="31-120 Days",VLOOKUP(D1968,[3]Extended!$B$9:$K$101,10,FALSE),IF(BA1968="121-365 Days",VLOOKUP(D1968,[3]Extended!$B$9:$L$101,11,FALSE),VLOOKUP(D1968,[3]Extended!$B$9:$M$101,12,FALSE)))),0)</f>
        <v>0</v>
      </c>
      <c r="P1968" s="116" t="e">
        <f t="shared" si="151"/>
        <v>#VALUE!</v>
      </c>
      <c r="Q1968" s="110" t="e">
        <f>O1968-#REF!</f>
        <v>#REF!</v>
      </c>
      <c r="AT1968" s="88" t="str">
        <f t="shared" si="152"/>
        <v>Special Order0</v>
      </c>
      <c r="AU1968" s="89" t="str">
        <f t="shared" si="153"/>
        <v>01-1900</v>
      </c>
      <c r="BA1968" s="92" t="str">
        <f t="shared" si="154"/>
        <v/>
      </c>
    </row>
    <row r="1969" spans="2:53">
      <c r="B1969" s="60">
        <f>[2]Trucks!A1966</f>
        <v>0</v>
      </c>
      <c r="C1969" s="11">
        <f>[2]Trucks!B1966</f>
        <v>0</v>
      </c>
      <c r="D1969" s="19" t="str">
        <f>IFERROR(VLOOKUP(C1969&amp;"",'[2]Retail Price List'!$A$3:$B$103,2,FALSE),"Special Order")</f>
        <v>Special Order</v>
      </c>
      <c r="E1969" s="18">
        <f>[2]Trucks!J1966</f>
        <v>0</v>
      </c>
      <c r="F1969" s="12">
        <f>[2]Trucks!E1966</f>
        <v>0</v>
      </c>
      <c r="G1969" s="56">
        <f>[2]Trucks!K1966</f>
        <v>0</v>
      </c>
      <c r="H1969" s="46">
        <f>[2]Trucks!I1966</f>
        <v>0</v>
      </c>
      <c r="I1969" s="83" t="str">
        <f t="shared" si="150"/>
        <v/>
      </c>
      <c r="J1969" s="272" t="str">
        <f>IFERROR(VLOOKUP((D1969&amp;C1969)&amp;"",'[2]Retail Price List'!$C$4:$F$102,3,FALSE),"")</f>
        <v/>
      </c>
      <c r="K1969" s="272">
        <f>IFERROR(IF(BA1969="WIP - 30 Days",VLOOKUP(D1969,[3]Standard!$B$9:$E$101,4,FALSE),IF(BA1969="31-120 Days",VLOOKUP(D1969,[3]Standard!$B$9:$F$101,5,FALSE),IF(BA1969="121-365 Days",VLOOKUP(D1969,[3]Standard!$B$9:$G$101,6,FALSE),VLOOKUP(D1969,[3]Standard!$B$9:$H$101,7,FALSE)))),0)</f>
        <v>0</v>
      </c>
      <c r="L1969" s="272">
        <f>IFERROR(IF(BA1969="WIP - 30 Days",VLOOKUP(D1969,[3]Standard!$B$9:$J$101,9,FALSE),IF(BA1969="31-120 Days",VLOOKUP(D1969,[3]Standard!$B$9:$K$100,10,FALSE),IF(BA1969="121-365 Days",VLOOKUP(D1969,[3]Standard!$B$9:$L$101,11,FALSE),VLOOKUP(D1969,[3]Standard!$B$9:$M$101,12,FALSE)))),0)</f>
        <v>0</v>
      </c>
      <c r="M1969" s="269" t="str">
        <f>IFERROR(VLOOKUP((D1969&amp;C1969)&amp;"",'[2]Retail Price List'!$C$4:$F$102,4,FALSE),"")</f>
        <v/>
      </c>
      <c r="N1969" s="269">
        <f>IFERROR(IF(BA1969="WIP - 30 Days",VLOOKUP(D1969,[3]Extended!$B$9:$E$101,4,FALSE),IF(BA1969="31-120 Days",VLOOKUP(D1969,[3]Extended!$B$9:$F$101,5,FALSE),IF(BA1969="121-365 Days",VLOOKUP(D1969,[3]Extended!$B$9:$G$101,6,FALSE),VLOOKUP(D1969,[3]Extended!$B$9:$H$101,7,FALSE)))),0)</f>
        <v>0</v>
      </c>
      <c r="O1969" s="269">
        <f>IFERROR(IF(BA1969="WIP - 30 Days",VLOOKUP(D1969,[3]Extended!$B$9:$J$101,9,FALSE),IF(BA1969="31-120 Days",VLOOKUP(D1969,[3]Extended!$B$9:$K$101,10,FALSE),IF(BA1969="121-365 Days",VLOOKUP(D1969,[3]Extended!$B$9:$L$101,11,FALSE),VLOOKUP(D1969,[3]Extended!$B$9:$M$101,12,FALSE)))),0)</f>
        <v>0</v>
      </c>
      <c r="P1969" s="116" t="e">
        <f t="shared" si="151"/>
        <v>#VALUE!</v>
      </c>
      <c r="Q1969" s="110" t="e">
        <f>O1969-#REF!</f>
        <v>#REF!</v>
      </c>
      <c r="AT1969" s="88" t="str">
        <f t="shared" si="152"/>
        <v>Special Order0</v>
      </c>
      <c r="AU1969" s="89" t="str">
        <f t="shared" si="153"/>
        <v>01-1900</v>
      </c>
      <c r="BA1969" s="92" t="str">
        <f t="shared" si="154"/>
        <v/>
      </c>
    </row>
    <row r="1970" spans="2:53">
      <c r="B1970" s="60">
        <f>[2]Trucks!A1967</f>
        <v>0</v>
      </c>
      <c r="C1970" s="11">
        <f>[2]Trucks!B1967</f>
        <v>0</v>
      </c>
      <c r="D1970" s="19" t="str">
        <f>IFERROR(VLOOKUP(C1970&amp;"",'[2]Retail Price List'!$A$3:$B$103,2,FALSE),"Special Order")</f>
        <v>Special Order</v>
      </c>
      <c r="E1970" s="18">
        <f>[2]Trucks!J1967</f>
        <v>0</v>
      </c>
      <c r="F1970" s="12">
        <f>[2]Trucks!E1967</f>
        <v>0</v>
      </c>
      <c r="G1970" s="56">
        <f>[2]Trucks!K1967</f>
        <v>0</v>
      </c>
      <c r="H1970" s="46">
        <f>[2]Trucks!I1967</f>
        <v>0</v>
      </c>
      <c r="I1970" s="83" t="str">
        <f t="shared" si="150"/>
        <v/>
      </c>
      <c r="J1970" s="272" t="str">
        <f>IFERROR(VLOOKUP((D1970&amp;C1970)&amp;"",'[2]Retail Price List'!$C$4:$F$102,3,FALSE),"")</f>
        <v/>
      </c>
      <c r="K1970" s="272">
        <f>IFERROR(IF(BA1970="WIP - 30 Days",VLOOKUP(D1970,[3]Standard!$B$9:$E$101,4,FALSE),IF(BA1970="31-120 Days",VLOOKUP(D1970,[3]Standard!$B$9:$F$101,5,FALSE),IF(BA1970="121-365 Days",VLOOKUP(D1970,[3]Standard!$B$9:$G$101,6,FALSE),VLOOKUP(D1970,[3]Standard!$B$9:$H$101,7,FALSE)))),0)</f>
        <v>0</v>
      </c>
      <c r="L1970" s="272">
        <f>IFERROR(IF(BA1970="WIP - 30 Days",VLOOKUP(D1970,[3]Standard!$B$9:$J$101,9,FALSE),IF(BA1970="31-120 Days",VLOOKUP(D1970,[3]Standard!$B$9:$K$100,10,FALSE),IF(BA1970="121-365 Days",VLOOKUP(D1970,[3]Standard!$B$9:$L$101,11,FALSE),VLOOKUP(D1970,[3]Standard!$B$9:$M$101,12,FALSE)))),0)</f>
        <v>0</v>
      </c>
      <c r="M1970" s="269" t="str">
        <f>IFERROR(VLOOKUP((D1970&amp;C1970)&amp;"",'[2]Retail Price List'!$C$4:$F$102,4,FALSE),"")</f>
        <v/>
      </c>
      <c r="N1970" s="269">
        <f>IFERROR(IF(BA1970="WIP - 30 Days",VLOOKUP(D1970,[3]Extended!$B$9:$E$101,4,FALSE),IF(BA1970="31-120 Days",VLOOKUP(D1970,[3]Extended!$B$9:$F$101,5,FALSE),IF(BA1970="121-365 Days",VLOOKUP(D1970,[3]Extended!$B$9:$G$101,6,FALSE),VLOOKUP(D1970,[3]Extended!$B$9:$H$101,7,FALSE)))),0)</f>
        <v>0</v>
      </c>
      <c r="O1970" s="269">
        <f>IFERROR(IF(BA1970="WIP - 30 Days",VLOOKUP(D1970,[3]Extended!$B$9:$J$101,9,FALSE),IF(BA1970="31-120 Days",VLOOKUP(D1970,[3]Extended!$B$9:$K$101,10,FALSE),IF(BA1970="121-365 Days",VLOOKUP(D1970,[3]Extended!$B$9:$L$101,11,FALSE),VLOOKUP(D1970,[3]Extended!$B$9:$M$101,12,FALSE)))),0)</f>
        <v>0</v>
      </c>
      <c r="P1970" s="116" t="e">
        <f t="shared" si="151"/>
        <v>#VALUE!</v>
      </c>
      <c r="Q1970" s="110" t="e">
        <f>O1970-#REF!</f>
        <v>#REF!</v>
      </c>
      <c r="AT1970" s="88" t="str">
        <f t="shared" si="152"/>
        <v>Special Order0</v>
      </c>
      <c r="AU1970" s="89" t="str">
        <f t="shared" si="153"/>
        <v>01-1900</v>
      </c>
      <c r="BA1970" s="92" t="str">
        <f t="shared" si="154"/>
        <v/>
      </c>
    </row>
    <row r="1971" spans="2:53">
      <c r="B1971" s="60">
        <f>[2]Trucks!A1968</f>
        <v>0</v>
      </c>
      <c r="C1971" s="11">
        <f>[2]Trucks!B1968</f>
        <v>0</v>
      </c>
      <c r="D1971" s="19" t="str">
        <f>IFERROR(VLOOKUP(C1971&amp;"",'[2]Retail Price List'!$A$3:$B$103,2,FALSE),"Special Order")</f>
        <v>Special Order</v>
      </c>
      <c r="E1971" s="18">
        <f>[2]Trucks!J1968</f>
        <v>0</v>
      </c>
      <c r="F1971" s="12">
        <f>[2]Trucks!E1968</f>
        <v>0</v>
      </c>
      <c r="G1971" s="56">
        <f>[2]Trucks!K1968</f>
        <v>0</v>
      </c>
      <c r="H1971" s="46">
        <f>[2]Trucks!I1968</f>
        <v>0</v>
      </c>
      <c r="I1971" s="83" t="str">
        <f t="shared" si="150"/>
        <v/>
      </c>
      <c r="J1971" s="272" t="str">
        <f>IFERROR(VLOOKUP((D1971&amp;C1971)&amp;"",'[2]Retail Price List'!$C$4:$F$102,3,FALSE),"")</f>
        <v/>
      </c>
      <c r="K1971" s="272">
        <f>IFERROR(IF(BA1971="WIP - 30 Days",VLOOKUP(D1971,[3]Standard!$B$9:$E$101,4,FALSE),IF(BA1971="31-120 Days",VLOOKUP(D1971,[3]Standard!$B$9:$F$101,5,FALSE),IF(BA1971="121-365 Days",VLOOKUP(D1971,[3]Standard!$B$9:$G$101,6,FALSE),VLOOKUP(D1971,[3]Standard!$B$9:$H$101,7,FALSE)))),0)</f>
        <v>0</v>
      </c>
      <c r="L1971" s="272">
        <f>IFERROR(IF(BA1971="WIP - 30 Days",VLOOKUP(D1971,[3]Standard!$B$9:$J$101,9,FALSE),IF(BA1971="31-120 Days",VLOOKUP(D1971,[3]Standard!$B$9:$K$100,10,FALSE),IF(BA1971="121-365 Days",VLOOKUP(D1971,[3]Standard!$B$9:$L$101,11,FALSE),VLOOKUP(D1971,[3]Standard!$B$9:$M$101,12,FALSE)))),0)</f>
        <v>0</v>
      </c>
      <c r="M1971" s="269" t="str">
        <f>IFERROR(VLOOKUP((D1971&amp;C1971)&amp;"",'[2]Retail Price List'!$C$4:$F$102,4,FALSE),"")</f>
        <v/>
      </c>
      <c r="N1971" s="269">
        <f>IFERROR(IF(BA1971="WIP - 30 Days",VLOOKUP(D1971,[3]Extended!$B$9:$E$101,4,FALSE),IF(BA1971="31-120 Days",VLOOKUP(D1971,[3]Extended!$B$9:$F$101,5,FALSE),IF(BA1971="121-365 Days",VLOOKUP(D1971,[3]Extended!$B$9:$G$101,6,FALSE),VLOOKUP(D1971,[3]Extended!$B$9:$H$101,7,FALSE)))),0)</f>
        <v>0</v>
      </c>
      <c r="O1971" s="269">
        <f>IFERROR(IF(BA1971="WIP - 30 Days",VLOOKUP(D1971,[3]Extended!$B$9:$J$101,9,FALSE),IF(BA1971="31-120 Days",VLOOKUP(D1971,[3]Extended!$B$9:$K$101,10,FALSE),IF(BA1971="121-365 Days",VLOOKUP(D1971,[3]Extended!$B$9:$L$101,11,FALSE),VLOOKUP(D1971,[3]Extended!$B$9:$M$101,12,FALSE)))),0)</f>
        <v>0</v>
      </c>
      <c r="P1971" s="116" t="e">
        <f t="shared" si="151"/>
        <v>#VALUE!</v>
      </c>
      <c r="Q1971" s="110" t="e">
        <f>O1971-#REF!</f>
        <v>#REF!</v>
      </c>
      <c r="AT1971" s="88" t="str">
        <f t="shared" si="152"/>
        <v>Special Order0</v>
      </c>
      <c r="AU1971" s="89" t="str">
        <f t="shared" si="153"/>
        <v>01-1900</v>
      </c>
      <c r="BA1971" s="92" t="str">
        <f t="shared" si="154"/>
        <v/>
      </c>
    </row>
    <row r="1972" spans="2:53">
      <c r="B1972" s="60">
        <f>[2]Trucks!A1969</f>
        <v>0</v>
      </c>
      <c r="C1972" s="11">
        <f>[2]Trucks!B1969</f>
        <v>0</v>
      </c>
      <c r="D1972" s="19" t="str">
        <f>IFERROR(VLOOKUP(C1972&amp;"",'[2]Retail Price List'!$A$3:$B$103,2,FALSE),"Special Order")</f>
        <v>Special Order</v>
      </c>
      <c r="E1972" s="18">
        <f>[2]Trucks!J1969</f>
        <v>0</v>
      </c>
      <c r="F1972" s="12">
        <f>[2]Trucks!E1969</f>
        <v>0</v>
      </c>
      <c r="G1972" s="56">
        <f>[2]Trucks!K1969</f>
        <v>0</v>
      </c>
      <c r="H1972" s="46">
        <f>[2]Trucks!I1969</f>
        <v>0</v>
      </c>
      <c r="I1972" s="83" t="str">
        <f t="shared" si="150"/>
        <v/>
      </c>
      <c r="J1972" s="272" t="str">
        <f>IFERROR(VLOOKUP((D1972&amp;C1972)&amp;"",'[2]Retail Price List'!$C$4:$F$102,3,FALSE),"")</f>
        <v/>
      </c>
      <c r="K1972" s="272">
        <f>IFERROR(IF(BA1972="WIP - 30 Days",VLOOKUP(D1972,[3]Standard!$B$9:$E$101,4,FALSE),IF(BA1972="31-120 Days",VLOOKUP(D1972,[3]Standard!$B$9:$F$101,5,FALSE),IF(BA1972="121-365 Days",VLOOKUP(D1972,[3]Standard!$B$9:$G$101,6,FALSE),VLOOKUP(D1972,[3]Standard!$B$9:$H$101,7,FALSE)))),0)</f>
        <v>0</v>
      </c>
      <c r="L1972" s="272">
        <f>IFERROR(IF(BA1972="WIP - 30 Days",VLOOKUP(D1972,[3]Standard!$B$9:$J$101,9,FALSE),IF(BA1972="31-120 Days",VLOOKUP(D1972,[3]Standard!$B$9:$K$100,10,FALSE),IF(BA1972="121-365 Days",VLOOKUP(D1972,[3]Standard!$B$9:$L$101,11,FALSE),VLOOKUP(D1972,[3]Standard!$B$9:$M$101,12,FALSE)))),0)</f>
        <v>0</v>
      </c>
      <c r="M1972" s="269" t="str">
        <f>IFERROR(VLOOKUP((D1972&amp;C1972)&amp;"",'[2]Retail Price List'!$C$4:$F$102,4,FALSE),"")</f>
        <v/>
      </c>
      <c r="N1972" s="269">
        <f>IFERROR(IF(BA1972="WIP - 30 Days",VLOOKUP(D1972,[3]Extended!$B$9:$E$101,4,FALSE),IF(BA1972="31-120 Days",VLOOKUP(D1972,[3]Extended!$B$9:$F$101,5,FALSE),IF(BA1972="121-365 Days",VLOOKUP(D1972,[3]Extended!$B$9:$G$101,6,FALSE),VLOOKUP(D1972,[3]Extended!$B$9:$H$101,7,FALSE)))),0)</f>
        <v>0</v>
      </c>
      <c r="O1972" s="269">
        <f>IFERROR(IF(BA1972="WIP - 30 Days",VLOOKUP(D1972,[3]Extended!$B$9:$J$101,9,FALSE),IF(BA1972="31-120 Days",VLOOKUP(D1972,[3]Extended!$B$9:$K$101,10,FALSE),IF(BA1972="121-365 Days",VLOOKUP(D1972,[3]Extended!$B$9:$L$101,11,FALSE),VLOOKUP(D1972,[3]Extended!$B$9:$M$101,12,FALSE)))),0)</f>
        <v>0</v>
      </c>
      <c r="P1972" s="116" t="e">
        <f t="shared" si="151"/>
        <v>#VALUE!</v>
      </c>
      <c r="Q1972" s="110" t="e">
        <f>O1972-#REF!</f>
        <v>#REF!</v>
      </c>
      <c r="AT1972" s="88" t="str">
        <f t="shared" si="152"/>
        <v>Special Order0</v>
      </c>
      <c r="AU1972" s="89" t="str">
        <f t="shared" si="153"/>
        <v>01-1900</v>
      </c>
      <c r="BA1972" s="92" t="str">
        <f t="shared" si="154"/>
        <v/>
      </c>
    </row>
    <row r="1973" spans="2:53">
      <c r="B1973" s="60">
        <f>[2]Trucks!A1970</f>
        <v>0</v>
      </c>
      <c r="C1973" s="11">
        <f>[2]Trucks!B1970</f>
        <v>0</v>
      </c>
      <c r="D1973" s="19" t="str">
        <f>IFERROR(VLOOKUP(C1973&amp;"",'[2]Retail Price List'!$A$3:$B$103,2,FALSE),"Special Order")</f>
        <v>Special Order</v>
      </c>
      <c r="E1973" s="18">
        <f>[2]Trucks!J1970</f>
        <v>0</v>
      </c>
      <c r="F1973" s="12">
        <f>[2]Trucks!E1970</f>
        <v>0</v>
      </c>
      <c r="G1973" s="56">
        <f>[2]Trucks!K1970</f>
        <v>0</v>
      </c>
      <c r="H1973" s="46">
        <f>[2]Trucks!I1970</f>
        <v>0</v>
      </c>
      <c r="I1973" s="83" t="str">
        <f t="shared" si="150"/>
        <v/>
      </c>
      <c r="J1973" s="272" t="str">
        <f>IFERROR(VLOOKUP((D1973&amp;C1973)&amp;"",'[2]Retail Price List'!$C$4:$F$102,3,FALSE),"")</f>
        <v/>
      </c>
      <c r="K1973" s="272">
        <f>IFERROR(IF(BA1973="WIP - 30 Days",VLOOKUP(D1973,[3]Standard!$B$9:$E$101,4,FALSE),IF(BA1973="31-120 Days",VLOOKUP(D1973,[3]Standard!$B$9:$F$101,5,FALSE),IF(BA1973="121-365 Days",VLOOKUP(D1973,[3]Standard!$B$9:$G$101,6,FALSE),VLOOKUP(D1973,[3]Standard!$B$9:$H$101,7,FALSE)))),0)</f>
        <v>0</v>
      </c>
      <c r="L1973" s="272">
        <f>IFERROR(IF(BA1973="WIP - 30 Days",VLOOKUP(D1973,[3]Standard!$B$9:$J$101,9,FALSE),IF(BA1973="31-120 Days",VLOOKUP(D1973,[3]Standard!$B$9:$K$100,10,FALSE),IF(BA1973="121-365 Days",VLOOKUP(D1973,[3]Standard!$B$9:$L$101,11,FALSE),VLOOKUP(D1973,[3]Standard!$B$9:$M$101,12,FALSE)))),0)</f>
        <v>0</v>
      </c>
      <c r="M1973" s="269" t="str">
        <f>IFERROR(VLOOKUP((D1973&amp;C1973)&amp;"",'[2]Retail Price List'!$C$4:$F$102,4,FALSE),"")</f>
        <v/>
      </c>
      <c r="N1973" s="269">
        <f>IFERROR(IF(BA1973="WIP - 30 Days",VLOOKUP(D1973,[3]Extended!$B$9:$E$101,4,FALSE),IF(BA1973="31-120 Days",VLOOKUP(D1973,[3]Extended!$B$9:$F$101,5,FALSE),IF(BA1973="121-365 Days",VLOOKUP(D1973,[3]Extended!$B$9:$G$101,6,FALSE),VLOOKUP(D1973,[3]Extended!$B$9:$H$101,7,FALSE)))),0)</f>
        <v>0</v>
      </c>
      <c r="O1973" s="269">
        <f>IFERROR(IF(BA1973="WIP - 30 Days",VLOOKUP(D1973,[3]Extended!$B$9:$J$101,9,FALSE),IF(BA1973="31-120 Days",VLOOKUP(D1973,[3]Extended!$B$9:$K$101,10,FALSE),IF(BA1973="121-365 Days",VLOOKUP(D1973,[3]Extended!$B$9:$L$101,11,FALSE),VLOOKUP(D1973,[3]Extended!$B$9:$M$101,12,FALSE)))),0)</f>
        <v>0</v>
      </c>
      <c r="P1973" s="116" t="e">
        <f t="shared" si="151"/>
        <v>#VALUE!</v>
      </c>
      <c r="Q1973" s="110" t="e">
        <f>O1973-#REF!</f>
        <v>#REF!</v>
      </c>
      <c r="AT1973" s="88" t="str">
        <f t="shared" si="152"/>
        <v>Special Order0</v>
      </c>
      <c r="AU1973" s="89" t="str">
        <f t="shared" si="153"/>
        <v>01-1900</v>
      </c>
      <c r="BA1973" s="92" t="str">
        <f t="shared" si="154"/>
        <v/>
      </c>
    </row>
    <row r="1974" spans="2:53">
      <c r="B1974" s="60">
        <f>[2]Trucks!A1971</f>
        <v>0</v>
      </c>
      <c r="C1974" s="11">
        <f>[2]Trucks!B1971</f>
        <v>0</v>
      </c>
      <c r="D1974" s="19" t="str">
        <f>IFERROR(VLOOKUP(C1974&amp;"",'[2]Retail Price List'!$A$3:$B$103,2,FALSE),"Special Order")</f>
        <v>Special Order</v>
      </c>
      <c r="E1974" s="18">
        <f>[2]Trucks!J1971</f>
        <v>0</v>
      </c>
      <c r="F1974" s="12">
        <f>[2]Trucks!E1971</f>
        <v>0</v>
      </c>
      <c r="G1974" s="56">
        <f>[2]Trucks!K1971</f>
        <v>0</v>
      </c>
      <c r="H1974" s="46">
        <f>[2]Trucks!I1971</f>
        <v>0</v>
      </c>
      <c r="I1974" s="83" t="str">
        <f t="shared" si="150"/>
        <v/>
      </c>
      <c r="J1974" s="272" t="str">
        <f>IFERROR(VLOOKUP((D1974&amp;C1974)&amp;"",'[2]Retail Price List'!$C$4:$F$102,3,FALSE),"")</f>
        <v/>
      </c>
      <c r="K1974" s="272">
        <f>IFERROR(IF(BA1974="WIP - 30 Days",VLOOKUP(D1974,[3]Standard!$B$9:$E$101,4,FALSE),IF(BA1974="31-120 Days",VLOOKUP(D1974,[3]Standard!$B$9:$F$101,5,FALSE),IF(BA1974="121-365 Days",VLOOKUP(D1974,[3]Standard!$B$9:$G$101,6,FALSE),VLOOKUP(D1974,[3]Standard!$B$9:$H$101,7,FALSE)))),0)</f>
        <v>0</v>
      </c>
      <c r="L1974" s="272">
        <f>IFERROR(IF(BA1974="WIP - 30 Days",VLOOKUP(D1974,[3]Standard!$B$9:$J$101,9,FALSE),IF(BA1974="31-120 Days",VLOOKUP(D1974,[3]Standard!$B$9:$K$100,10,FALSE),IF(BA1974="121-365 Days",VLOOKUP(D1974,[3]Standard!$B$9:$L$101,11,FALSE),VLOOKUP(D1974,[3]Standard!$B$9:$M$101,12,FALSE)))),0)</f>
        <v>0</v>
      </c>
      <c r="M1974" s="269" t="str">
        <f>IFERROR(VLOOKUP((D1974&amp;C1974)&amp;"",'[2]Retail Price List'!$C$4:$F$102,4,FALSE),"")</f>
        <v/>
      </c>
      <c r="N1974" s="269">
        <f>IFERROR(IF(BA1974="WIP - 30 Days",VLOOKUP(D1974,[3]Extended!$B$9:$E$101,4,FALSE),IF(BA1974="31-120 Days",VLOOKUP(D1974,[3]Extended!$B$9:$F$101,5,FALSE),IF(BA1974="121-365 Days",VLOOKUP(D1974,[3]Extended!$B$9:$G$101,6,FALSE),VLOOKUP(D1974,[3]Extended!$B$9:$H$101,7,FALSE)))),0)</f>
        <v>0</v>
      </c>
      <c r="O1974" s="269">
        <f>IFERROR(IF(BA1974="WIP - 30 Days",VLOOKUP(D1974,[3]Extended!$B$9:$J$101,9,FALSE),IF(BA1974="31-120 Days",VLOOKUP(D1974,[3]Extended!$B$9:$K$101,10,FALSE),IF(BA1974="121-365 Days",VLOOKUP(D1974,[3]Extended!$B$9:$L$101,11,FALSE),VLOOKUP(D1974,[3]Extended!$B$9:$M$101,12,FALSE)))),0)</f>
        <v>0</v>
      </c>
      <c r="P1974" s="116" t="e">
        <f t="shared" si="151"/>
        <v>#VALUE!</v>
      </c>
      <c r="Q1974" s="110" t="e">
        <f>O1974-#REF!</f>
        <v>#REF!</v>
      </c>
      <c r="AT1974" s="88" t="str">
        <f t="shared" si="152"/>
        <v>Special Order0</v>
      </c>
      <c r="AU1974" s="89" t="str">
        <f t="shared" si="153"/>
        <v>01-1900</v>
      </c>
      <c r="BA1974" s="92" t="str">
        <f t="shared" si="154"/>
        <v/>
      </c>
    </row>
    <row r="1975" spans="2:53">
      <c r="B1975" s="60">
        <f>[2]Trucks!A1972</f>
        <v>0</v>
      </c>
      <c r="C1975" s="11">
        <f>[2]Trucks!B1972</f>
        <v>0</v>
      </c>
      <c r="D1975" s="19" t="str">
        <f>IFERROR(VLOOKUP(C1975&amp;"",'[2]Retail Price List'!$A$3:$B$103,2,FALSE),"Special Order")</f>
        <v>Special Order</v>
      </c>
      <c r="E1975" s="18">
        <f>[2]Trucks!J1972</f>
        <v>0</v>
      </c>
      <c r="F1975" s="12">
        <f>[2]Trucks!E1972</f>
        <v>0</v>
      </c>
      <c r="G1975" s="56">
        <f>[2]Trucks!K1972</f>
        <v>0</v>
      </c>
      <c r="H1975" s="46">
        <f>[2]Trucks!I1972</f>
        <v>0</v>
      </c>
      <c r="I1975" s="83" t="str">
        <f t="shared" si="150"/>
        <v/>
      </c>
      <c r="J1975" s="272" t="str">
        <f>IFERROR(VLOOKUP((D1975&amp;C1975)&amp;"",'[2]Retail Price List'!$C$4:$F$102,3,FALSE),"")</f>
        <v/>
      </c>
      <c r="K1975" s="272">
        <f>IFERROR(IF(BA1975="WIP - 30 Days",VLOOKUP(D1975,[3]Standard!$B$9:$E$101,4,FALSE),IF(BA1975="31-120 Days",VLOOKUP(D1975,[3]Standard!$B$9:$F$101,5,FALSE),IF(BA1975="121-365 Days",VLOOKUP(D1975,[3]Standard!$B$9:$G$101,6,FALSE),VLOOKUP(D1975,[3]Standard!$B$9:$H$101,7,FALSE)))),0)</f>
        <v>0</v>
      </c>
      <c r="L1975" s="272">
        <f>IFERROR(IF(BA1975="WIP - 30 Days",VLOOKUP(D1975,[3]Standard!$B$9:$J$101,9,FALSE),IF(BA1975="31-120 Days",VLOOKUP(D1975,[3]Standard!$B$9:$K$100,10,FALSE),IF(BA1975="121-365 Days",VLOOKUP(D1975,[3]Standard!$B$9:$L$101,11,FALSE),VLOOKUP(D1975,[3]Standard!$B$9:$M$101,12,FALSE)))),0)</f>
        <v>0</v>
      </c>
      <c r="M1975" s="269" t="str">
        <f>IFERROR(VLOOKUP((D1975&amp;C1975)&amp;"",'[2]Retail Price List'!$C$4:$F$102,4,FALSE),"")</f>
        <v/>
      </c>
      <c r="N1975" s="269">
        <f>IFERROR(IF(BA1975="WIP - 30 Days",VLOOKUP(D1975,[3]Extended!$B$9:$E$101,4,FALSE),IF(BA1975="31-120 Days",VLOOKUP(D1975,[3]Extended!$B$9:$F$101,5,FALSE),IF(BA1975="121-365 Days",VLOOKUP(D1975,[3]Extended!$B$9:$G$101,6,FALSE),VLOOKUP(D1975,[3]Extended!$B$9:$H$101,7,FALSE)))),0)</f>
        <v>0</v>
      </c>
      <c r="O1975" s="269">
        <f>IFERROR(IF(BA1975="WIP - 30 Days",VLOOKUP(D1975,[3]Extended!$B$9:$J$101,9,FALSE),IF(BA1975="31-120 Days",VLOOKUP(D1975,[3]Extended!$B$9:$K$101,10,FALSE),IF(BA1975="121-365 Days",VLOOKUP(D1975,[3]Extended!$B$9:$L$101,11,FALSE),VLOOKUP(D1975,[3]Extended!$B$9:$M$101,12,FALSE)))),0)</f>
        <v>0</v>
      </c>
      <c r="P1975" s="116" t="e">
        <f t="shared" si="151"/>
        <v>#VALUE!</v>
      </c>
      <c r="Q1975" s="110" t="e">
        <f>O1975-#REF!</f>
        <v>#REF!</v>
      </c>
      <c r="AT1975" s="88" t="str">
        <f t="shared" si="152"/>
        <v>Special Order0</v>
      </c>
      <c r="AU1975" s="89" t="str">
        <f t="shared" si="153"/>
        <v>01-1900</v>
      </c>
      <c r="BA1975" s="92" t="str">
        <f t="shared" si="154"/>
        <v/>
      </c>
    </row>
    <row r="1976" spans="2:53">
      <c r="B1976" s="60">
        <f>[2]Trucks!A1973</f>
        <v>0</v>
      </c>
      <c r="C1976" s="11">
        <f>[2]Trucks!B1973</f>
        <v>0</v>
      </c>
      <c r="D1976" s="19" t="str">
        <f>IFERROR(VLOOKUP(C1976&amp;"",'[2]Retail Price List'!$A$3:$B$103,2,FALSE),"Special Order")</f>
        <v>Special Order</v>
      </c>
      <c r="E1976" s="18">
        <f>[2]Trucks!J1973</f>
        <v>0</v>
      </c>
      <c r="F1976" s="12">
        <f>[2]Trucks!E1973</f>
        <v>0</v>
      </c>
      <c r="G1976" s="56">
        <f>[2]Trucks!K1973</f>
        <v>0</v>
      </c>
      <c r="H1976" s="46">
        <f>[2]Trucks!I1973</f>
        <v>0</v>
      </c>
      <c r="I1976" s="83" t="str">
        <f t="shared" si="150"/>
        <v/>
      </c>
      <c r="J1976" s="272" t="str">
        <f>IFERROR(VLOOKUP((D1976&amp;C1976)&amp;"",'[2]Retail Price List'!$C$4:$F$102,3,FALSE),"")</f>
        <v/>
      </c>
      <c r="K1976" s="272">
        <f>IFERROR(IF(BA1976="WIP - 30 Days",VLOOKUP(D1976,[3]Standard!$B$9:$E$101,4,FALSE),IF(BA1976="31-120 Days",VLOOKUP(D1976,[3]Standard!$B$9:$F$101,5,FALSE),IF(BA1976="121-365 Days",VLOOKUP(D1976,[3]Standard!$B$9:$G$101,6,FALSE),VLOOKUP(D1976,[3]Standard!$B$9:$H$101,7,FALSE)))),0)</f>
        <v>0</v>
      </c>
      <c r="L1976" s="272">
        <f>IFERROR(IF(BA1976="WIP - 30 Days",VLOOKUP(D1976,[3]Standard!$B$9:$J$101,9,FALSE),IF(BA1976="31-120 Days",VLOOKUP(D1976,[3]Standard!$B$9:$K$100,10,FALSE),IF(BA1976="121-365 Days",VLOOKUP(D1976,[3]Standard!$B$9:$L$101,11,FALSE),VLOOKUP(D1976,[3]Standard!$B$9:$M$101,12,FALSE)))),0)</f>
        <v>0</v>
      </c>
      <c r="M1976" s="269" t="str">
        <f>IFERROR(VLOOKUP((D1976&amp;C1976)&amp;"",'[2]Retail Price List'!$C$4:$F$102,4,FALSE),"")</f>
        <v/>
      </c>
      <c r="N1976" s="269">
        <f>IFERROR(IF(BA1976="WIP - 30 Days",VLOOKUP(D1976,[3]Extended!$B$9:$E$101,4,FALSE),IF(BA1976="31-120 Days",VLOOKUP(D1976,[3]Extended!$B$9:$F$101,5,FALSE),IF(BA1976="121-365 Days",VLOOKUP(D1976,[3]Extended!$B$9:$G$101,6,FALSE),VLOOKUP(D1976,[3]Extended!$B$9:$H$101,7,FALSE)))),0)</f>
        <v>0</v>
      </c>
      <c r="O1976" s="269">
        <f>IFERROR(IF(BA1976="WIP - 30 Days",VLOOKUP(D1976,[3]Extended!$B$9:$J$101,9,FALSE),IF(BA1976="31-120 Days",VLOOKUP(D1976,[3]Extended!$B$9:$K$101,10,FALSE),IF(BA1976="121-365 Days",VLOOKUP(D1976,[3]Extended!$B$9:$L$101,11,FALSE),VLOOKUP(D1976,[3]Extended!$B$9:$M$101,12,FALSE)))),0)</f>
        <v>0</v>
      </c>
      <c r="P1976" s="116" t="e">
        <f t="shared" si="151"/>
        <v>#VALUE!</v>
      </c>
      <c r="Q1976" s="110" t="e">
        <f>O1976-#REF!</f>
        <v>#REF!</v>
      </c>
      <c r="AT1976" s="88" t="str">
        <f t="shared" si="152"/>
        <v>Special Order0</v>
      </c>
      <c r="AU1976" s="89" t="str">
        <f t="shared" si="153"/>
        <v>01-1900</v>
      </c>
      <c r="BA1976" s="92" t="str">
        <f t="shared" si="154"/>
        <v/>
      </c>
    </row>
    <row r="1977" spans="2:53">
      <c r="B1977" s="60">
        <f>[2]Trucks!A1974</f>
        <v>0</v>
      </c>
      <c r="C1977" s="11">
        <f>[2]Trucks!B1974</f>
        <v>0</v>
      </c>
      <c r="D1977" s="19" t="str">
        <f>IFERROR(VLOOKUP(C1977&amp;"",'[2]Retail Price List'!$A$3:$B$103,2,FALSE),"Special Order")</f>
        <v>Special Order</v>
      </c>
      <c r="E1977" s="18">
        <f>[2]Trucks!J1974</f>
        <v>0</v>
      </c>
      <c r="F1977" s="12">
        <f>[2]Trucks!E1974</f>
        <v>0</v>
      </c>
      <c r="G1977" s="56">
        <f>[2]Trucks!K1974</f>
        <v>0</v>
      </c>
      <c r="H1977" s="46">
        <f>[2]Trucks!I1974</f>
        <v>0</v>
      </c>
      <c r="I1977" s="83" t="str">
        <f t="shared" si="150"/>
        <v/>
      </c>
      <c r="J1977" s="272" t="str">
        <f>IFERROR(VLOOKUP((D1977&amp;C1977)&amp;"",'[2]Retail Price List'!$C$4:$F$102,3,FALSE),"")</f>
        <v/>
      </c>
      <c r="K1977" s="272">
        <f>IFERROR(IF(BA1977="WIP - 30 Days",VLOOKUP(D1977,[3]Standard!$B$9:$E$101,4,FALSE),IF(BA1977="31-120 Days",VLOOKUP(D1977,[3]Standard!$B$9:$F$101,5,FALSE),IF(BA1977="121-365 Days",VLOOKUP(D1977,[3]Standard!$B$9:$G$101,6,FALSE),VLOOKUP(D1977,[3]Standard!$B$9:$H$101,7,FALSE)))),0)</f>
        <v>0</v>
      </c>
      <c r="L1977" s="272">
        <f>IFERROR(IF(BA1977="WIP - 30 Days",VLOOKUP(D1977,[3]Standard!$B$9:$J$101,9,FALSE),IF(BA1977="31-120 Days",VLOOKUP(D1977,[3]Standard!$B$9:$K$100,10,FALSE),IF(BA1977="121-365 Days",VLOOKUP(D1977,[3]Standard!$B$9:$L$101,11,FALSE),VLOOKUP(D1977,[3]Standard!$B$9:$M$101,12,FALSE)))),0)</f>
        <v>0</v>
      </c>
      <c r="M1977" s="269" t="str">
        <f>IFERROR(VLOOKUP((D1977&amp;C1977)&amp;"",'[2]Retail Price List'!$C$4:$F$102,4,FALSE),"")</f>
        <v/>
      </c>
      <c r="N1977" s="269">
        <f>IFERROR(IF(BA1977="WIP - 30 Days",VLOOKUP(D1977,[3]Extended!$B$9:$E$101,4,FALSE),IF(BA1977="31-120 Days",VLOOKUP(D1977,[3]Extended!$B$9:$F$101,5,FALSE),IF(BA1977="121-365 Days",VLOOKUP(D1977,[3]Extended!$B$9:$G$101,6,FALSE),VLOOKUP(D1977,[3]Extended!$B$9:$H$101,7,FALSE)))),0)</f>
        <v>0</v>
      </c>
      <c r="O1977" s="269">
        <f>IFERROR(IF(BA1977="WIP - 30 Days",VLOOKUP(D1977,[3]Extended!$B$9:$J$101,9,FALSE),IF(BA1977="31-120 Days",VLOOKUP(D1977,[3]Extended!$B$9:$K$101,10,FALSE),IF(BA1977="121-365 Days",VLOOKUP(D1977,[3]Extended!$B$9:$L$101,11,FALSE),VLOOKUP(D1977,[3]Extended!$B$9:$M$101,12,FALSE)))),0)</f>
        <v>0</v>
      </c>
      <c r="P1977" s="116" t="e">
        <f t="shared" si="151"/>
        <v>#VALUE!</v>
      </c>
      <c r="Q1977" s="110" t="e">
        <f>O1977-#REF!</f>
        <v>#REF!</v>
      </c>
      <c r="AT1977" s="88" t="str">
        <f t="shared" si="152"/>
        <v>Special Order0</v>
      </c>
      <c r="AU1977" s="89" t="str">
        <f t="shared" si="153"/>
        <v>01-1900</v>
      </c>
      <c r="BA1977" s="92" t="str">
        <f t="shared" si="154"/>
        <v/>
      </c>
    </row>
    <row r="1978" spans="2:53">
      <c r="B1978" s="60">
        <f>[2]Trucks!A1975</f>
        <v>0</v>
      </c>
      <c r="C1978" s="11">
        <f>[2]Trucks!B1975</f>
        <v>0</v>
      </c>
      <c r="D1978" s="19" t="str">
        <f>IFERROR(VLOOKUP(C1978&amp;"",'[2]Retail Price List'!$A$3:$B$103,2,FALSE),"Special Order")</f>
        <v>Special Order</v>
      </c>
      <c r="E1978" s="18">
        <f>[2]Trucks!J1975</f>
        <v>0</v>
      </c>
      <c r="F1978" s="12">
        <f>[2]Trucks!E1975</f>
        <v>0</v>
      </c>
      <c r="G1978" s="56">
        <f>[2]Trucks!K1975</f>
        <v>0</v>
      </c>
      <c r="H1978" s="46">
        <f>[2]Trucks!I1975</f>
        <v>0</v>
      </c>
      <c r="I1978" s="83" t="str">
        <f t="shared" si="150"/>
        <v/>
      </c>
      <c r="J1978" s="272" t="str">
        <f>IFERROR(VLOOKUP((D1978&amp;C1978)&amp;"",'[2]Retail Price List'!$C$4:$F$102,3,FALSE),"")</f>
        <v/>
      </c>
      <c r="K1978" s="272">
        <f>IFERROR(IF(BA1978="WIP - 30 Days",VLOOKUP(D1978,[3]Standard!$B$9:$E$101,4,FALSE),IF(BA1978="31-120 Days",VLOOKUP(D1978,[3]Standard!$B$9:$F$101,5,FALSE),IF(BA1978="121-365 Days",VLOOKUP(D1978,[3]Standard!$B$9:$G$101,6,FALSE),VLOOKUP(D1978,[3]Standard!$B$9:$H$101,7,FALSE)))),0)</f>
        <v>0</v>
      </c>
      <c r="L1978" s="272">
        <f>IFERROR(IF(BA1978="WIP - 30 Days",VLOOKUP(D1978,[3]Standard!$B$9:$J$101,9,FALSE),IF(BA1978="31-120 Days",VLOOKUP(D1978,[3]Standard!$B$9:$K$100,10,FALSE),IF(BA1978="121-365 Days",VLOOKUP(D1978,[3]Standard!$B$9:$L$101,11,FALSE),VLOOKUP(D1978,[3]Standard!$B$9:$M$101,12,FALSE)))),0)</f>
        <v>0</v>
      </c>
      <c r="M1978" s="269" t="str">
        <f>IFERROR(VLOOKUP((D1978&amp;C1978)&amp;"",'[2]Retail Price List'!$C$4:$F$102,4,FALSE),"")</f>
        <v/>
      </c>
      <c r="N1978" s="269">
        <f>IFERROR(IF(BA1978="WIP - 30 Days",VLOOKUP(D1978,[3]Extended!$B$9:$E$101,4,FALSE),IF(BA1978="31-120 Days",VLOOKUP(D1978,[3]Extended!$B$9:$F$101,5,FALSE),IF(BA1978="121-365 Days",VLOOKUP(D1978,[3]Extended!$B$9:$G$101,6,FALSE),VLOOKUP(D1978,[3]Extended!$B$9:$H$101,7,FALSE)))),0)</f>
        <v>0</v>
      </c>
      <c r="O1978" s="269">
        <f>IFERROR(IF(BA1978="WIP - 30 Days",VLOOKUP(D1978,[3]Extended!$B$9:$J$101,9,FALSE),IF(BA1978="31-120 Days",VLOOKUP(D1978,[3]Extended!$B$9:$K$101,10,FALSE),IF(BA1978="121-365 Days",VLOOKUP(D1978,[3]Extended!$B$9:$L$101,11,FALSE),VLOOKUP(D1978,[3]Extended!$B$9:$M$101,12,FALSE)))),0)</f>
        <v>0</v>
      </c>
      <c r="P1978" s="116" t="e">
        <f t="shared" si="151"/>
        <v>#VALUE!</v>
      </c>
      <c r="Q1978" s="110" t="e">
        <f>O1978-#REF!</f>
        <v>#REF!</v>
      </c>
      <c r="AT1978" s="88" t="str">
        <f t="shared" si="152"/>
        <v>Special Order0</v>
      </c>
      <c r="AU1978" s="89" t="str">
        <f t="shared" si="153"/>
        <v>01-1900</v>
      </c>
      <c r="BA1978" s="92" t="str">
        <f t="shared" si="154"/>
        <v/>
      </c>
    </row>
    <row r="1979" spans="2:53">
      <c r="B1979" s="60">
        <f>[2]Trucks!A1976</f>
        <v>0</v>
      </c>
      <c r="C1979" s="11">
        <f>[2]Trucks!B1976</f>
        <v>0</v>
      </c>
      <c r="D1979" s="19" t="str">
        <f>IFERROR(VLOOKUP(C1979&amp;"",'[2]Retail Price List'!$A$3:$B$103,2,FALSE),"Special Order")</f>
        <v>Special Order</v>
      </c>
      <c r="E1979" s="18">
        <f>[2]Trucks!J1976</f>
        <v>0</v>
      </c>
      <c r="F1979" s="12">
        <f>[2]Trucks!E1976</f>
        <v>0</v>
      </c>
      <c r="G1979" s="56">
        <f>[2]Trucks!K1976</f>
        <v>0</v>
      </c>
      <c r="H1979" s="46">
        <f>[2]Trucks!I1976</f>
        <v>0</v>
      </c>
      <c r="I1979" s="83" t="str">
        <f t="shared" si="150"/>
        <v/>
      </c>
      <c r="J1979" s="272" t="str">
        <f>IFERROR(VLOOKUP((D1979&amp;C1979)&amp;"",'[2]Retail Price List'!$C$4:$F$102,3,FALSE),"")</f>
        <v/>
      </c>
      <c r="K1979" s="272">
        <f>IFERROR(IF(BA1979="WIP - 30 Days",VLOOKUP(D1979,[3]Standard!$B$9:$E$101,4,FALSE),IF(BA1979="31-120 Days",VLOOKUP(D1979,[3]Standard!$B$9:$F$101,5,FALSE),IF(BA1979="121-365 Days",VLOOKUP(D1979,[3]Standard!$B$9:$G$101,6,FALSE),VLOOKUP(D1979,[3]Standard!$B$9:$H$101,7,FALSE)))),0)</f>
        <v>0</v>
      </c>
      <c r="L1979" s="272">
        <f>IFERROR(IF(BA1979="WIP - 30 Days",VLOOKUP(D1979,[3]Standard!$B$9:$J$101,9,FALSE),IF(BA1979="31-120 Days",VLOOKUP(D1979,[3]Standard!$B$9:$K$100,10,FALSE),IF(BA1979="121-365 Days",VLOOKUP(D1979,[3]Standard!$B$9:$L$101,11,FALSE),VLOOKUP(D1979,[3]Standard!$B$9:$M$101,12,FALSE)))),0)</f>
        <v>0</v>
      </c>
      <c r="M1979" s="269" t="str">
        <f>IFERROR(VLOOKUP((D1979&amp;C1979)&amp;"",'[2]Retail Price List'!$C$4:$F$102,4,FALSE),"")</f>
        <v/>
      </c>
      <c r="N1979" s="269">
        <f>IFERROR(IF(BA1979="WIP - 30 Days",VLOOKUP(D1979,[3]Extended!$B$9:$E$101,4,FALSE),IF(BA1979="31-120 Days",VLOOKUP(D1979,[3]Extended!$B$9:$F$101,5,FALSE),IF(BA1979="121-365 Days",VLOOKUP(D1979,[3]Extended!$B$9:$G$101,6,FALSE),VLOOKUP(D1979,[3]Extended!$B$9:$H$101,7,FALSE)))),0)</f>
        <v>0</v>
      </c>
      <c r="O1979" s="269">
        <f>IFERROR(IF(BA1979="WIP - 30 Days",VLOOKUP(D1979,[3]Extended!$B$9:$J$101,9,FALSE),IF(BA1979="31-120 Days",VLOOKUP(D1979,[3]Extended!$B$9:$K$101,10,FALSE),IF(BA1979="121-365 Days",VLOOKUP(D1979,[3]Extended!$B$9:$L$101,11,FALSE),VLOOKUP(D1979,[3]Extended!$B$9:$M$101,12,FALSE)))),0)</f>
        <v>0</v>
      </c>
      <c r="P1979" s="116" t="e">
        <f t="shared" si="151"/>
        <v>#VALUE!</v>
      </c>
      <c r="Q1979" s="110" t="e">
        <f>O1979-#REF!</f>
        <v>#REF!</v>
      </c>
      <c r="AT1979" s="88" t="str">
        <f t="shared" si="152"/>
        <v>Special Order0</v>
      </c>
      <c r="AU1979" s="89" t="str">
        <f t="shared" si="153"/>
        <v>01-1900</v>
      </c>
      <c r="BA1979" s="92" t="str">
        <f t="shared" si="154"/>
        <v/>
      </c>
    </row>
    <row r="1980" spans="2:53">
      <c r="B1980" s="60">
        <f>[2]Trucks!A1977</f>
        <v>0</v>
      </c>
      <c r="C1980" s="11">
        <f>[2]Trucks!B1977</f>
        <v>0</v>
      </c>
      <c r="D1980" s="19" t="str">
        <f>IFERROR(VLOOKUP(C1980&amp;"",'[2]Retail Price List'!$A$3:$B$103,2,FALSE),"Special Order")</f>
        <v>Special Order</v>
      </c>
      <c r="E1980" s="18">
        <f>[2]Trucks!J1977</f>
        <v>0</v>
      </c>
      <c r="F1980" s="12">
        <f>[2]Trucks!E1977</f>
        <v>0</v>
      </c>
      <c r="G1980" s="56">
        <f>[2]Trucks!K1977</f>
        <v>0</v>
      </c>
      <c r="H1980" s="46">
        <f>[2]Trucks!I1977</f>
        <v>0</v>
      </c>
      <c r="I1980" s="83" t="str">
        <f t="shared" si="150"/>
        <v/>
      </c>
      <c r="J1980" s="272" t="str">
        <f>IFERROR(VLOOKUP((D1980&amp;C1980)&amp;"",'[2]Retail Price List'!$C$4:$F$102,3,FALSE),"")</f>
        <v/>
      </c>
      <c r="K1980" s="272">
        <f>IFERROR(IF(BA1980="WIP - 30 Days",VLOOKUP(D1980,[3]Standard!$B$9:$E$101,4,FALSE),IF(BA1980="31-120 Days",VLOOKUP(D1980,[3]Standard!$B$9:$F$101,5,FALSE),IF(BA1980="121-365 Days",VLOOKUP(D1980,[3]Standard!$B$9:$G$101,6,FALSE),VLOOKUP(D1980,[3]Standard!$B$9:$H$101,7,FALSE)))),0)</f>
        <v>0</v>
      </c>
      <c r="L1980" s="272">
        <f>IFERROR(IF(BA1980="WIP - 30 Days",VLOOKUP(D1980,[3]Standard!$B$9:$J$101,9,FALSE),IF(BA1980="31-120 Days",VLOOKUP(D1980,[3]Standard!$B$9:$K$100,10,FALSE),IF(BA1980="121-365 Days",VLOOKUP(D1980,[3]Standard!$B$9:$L$101,11,FALSE),VLOOKUP(D1980,[3]Standard!$B$9:$M$101,12,FALSE)))),0)</f>
        <v>0</v>
      </c>
      <c r="M1980" s="269" t="str">
        <f>IFERROR(VLOOKUP((D1980&amp;C1980)&amp;"",'[2]Retail Price List'!$C$4:$F$102,4,FALSE),"")</f>
        <v/>
      </c>
      <c r="N1980" s="269">
        <f>IFERROR(IF(BA1980="WIP - 30 Days",VLOOKUP(D1980,[3]Extended!$B$9:$E$101,4,FALSE),IF(BA1980="31-120 Days",VLOOKUP(D1980,[3]Extended!$B$9:$F$101,5,FALSE),IF(BA1980="121-365 Days",VLOOKUP(D1980,[3]Extended!$B$9:$G$101,6,FALSE),VLOOKUP(D1980,[3]Extended!$B$9:$H$101,7,FALSE)))),0)</f>
        <v>0</v>
      </c>
      <c r="O1980" s="269">
        <f>IFERROR(IF(BA1980="WIP - 30 Days",VLOOKUP(D1980,[3]Extended!$B$9:$J$101,9,FALSE),IF(BA1980="31-120 Days",VLOOKUP(D1980,[3]Extended!$B$9:$K$101,10,FALSE),IF(BA1980="121-365 Days",VLOOKUP(D1980,[3]Extended!$B$9:$L$101,11,FALSE),VLOOKUP(D1980,[3]Extended!$B$9:$M$101,12,FALSE)))),0)</f>
        <v>0</v>
      </c>
      <c r="P1980" s="116" t="e">
        <f t="shared" si="151"/>
        <v>#VALUE!</v>
      </c>
      <c r="Q1980" s="110" t="e">
        <f>O1980-#REF!</f>
        <v>#REF!</v>
      </c>
      <c r="AT1980" s="88" t="str">
        <f t="shared" si="152"/>
        <v>Special Order0</v>
      </c>
      <c r="AU1980" s="89" t="str">
        <f t="shared" si="153"/>
        <v>01-1900</v>
      </c>
      <c r="BA1980" s="92" t="str">
        <f t="shared" si="154"/>
        <v/>
      </c>
    </row>
    <row r="1981" spans="2:53">
      <c r="B1981" s="60">
        <f>[2]Trucks!A1978</f>
        <v>0</v>
      </c>
      <c r="C1981" s="11">
        <f>[2]Trucks!B1978</f>
        <v>0</v>
      </c>
      <c r="D1981" s="19" t="str">
        <f>IFERROR(VLOOKUP(C1981&amp;"",'[2]Retail Price List'!$A$3:$B$103,2,FALSE),"Special Order")</f>
        <v>Special Order</v>
      </c>
      <c r="E1981" s="18">
        <f>[2]Trucks!J1978</f>
        <v>0</v>
      </c>
      <c r="F1981" s="12">
        <f>[2]Trucks!E1978</f>
        <v>0</v>
      </c>
      <c r="G1981" s="56">
        <f>[2]Trucks!K1978</f>
        <v>0</v>
      </c>
      <c r="H1981" s="46">
        <f>[2]Trucks!I1978</f>
        <v>0</v>
      </c>
      <c r="I1981" s="83" t="str">
        <f t="shared" si="150"/>
        <v/>
      </c>
      <c r="J1981" s="272" t="str">
        <f>IFERROR(VLOOKUP((D1981&amp;C1981)&amp;"",'[2]Retail Price List'!$C$4:$F$102,3,FALSE),"")</f>
        <v/>
      </c>
      <c r="K1981" s="272">
        <f>IFERROR(IF(BA1981="WIP - 30 Days",VLOOKUP(D1981,[3]Standard!$B$9:$E$101,4,FALSE),IF(BA1981="31-120 Days",VLOOKUP(D1981,[3]Standard!$B$9:$F$101,5,FALSE),IF(BA1981="121-365 Days",VLOOKUP(D1981,[3]Standard!$B$9:$G$101,6,FALSE),VLOOKUP(D1981,[3]Standard!$B$9:$H$101,7,FALSE)))),0)</f>
        <v>0</v>
      </c>
      <c r="L1981" s="272">
        <f>IFERROR(IF(BA1981="WIP - 30 Days",VLOOKUP(D1981,[3]Standard!$B$9:$J$101,9,FALSE),IF(BA1981="31-120 Days",VLOOKUP(D1981,[3]Standard!$B$9:$K$100,10,FALSE),IF(BA1981="121-365 Days",VLOOKUP(D1981,[3]Standard!$B$9:$L$101,11,FALSE),VLOOKUP(D1981,[3]Standard!$B$9:$M$101,12,FALSE)))),0)</f>
        <v>0</v>
      </c>
      <c r="M1981" s="269" t="str">
        <f>IFERROR(VLOOKUP((D1981&amp;C1981)&amp;"",'[2]Retail Price List'!$C$4:$F$102,4,FALSE),"")</f>
        <v/>
      </c>
      <c r="N1981" s="269">
        <f>IFERROR(IF(BA1981="WIP - 30 Days",VLOOKUP(D1981,[3]Extended!$B$9:$E$101,4,FALSE),IF(BA1981="31-120 Days",VLOOKUP(D1981,[3]Extended!$B$9:$F$101,5,FALSE),IF(BA1981="121-365 Days",VLOOKUP(D1981,[3]Extended!$B$9:$G$101,6,FALSE),VLOOKUP(D1981,[3]Extended!$B$9:$H$101,7,FALSE)))),0)</f>
        <v>0</v>
      </c>
      <c r="O1981" s="269">
        <f>IFERROR(IF(BA1981="WIP - 30 Days",VLOOKUP(D1981,[3]Extended!$B$9:$J$101,9,FALSE),IF(BA1981="31-120 Days",VLOOKUP(D1981,[3]Extended!$B$9:$K$101,10,FALSE),IF(BA1981="121-365 Days",VLOOKUP(D1981,[3]Extended!$B$9:$L$101,11,FALSE),VLOOKUP(D1981,[3]Extended!$B$9:$M$101,12,FALSE)))),0)</f>
        <v>0</v>
      </c>
      <c r="P1981" s="116" t="e">
        <f t="shared" si="151"/>
        <v>#VALUE!</v>
      </c>
      <c r="Q1981" s="110" t="e">
        <f>O1981-#REF!</f>
        <v>#REF!</v>
      </c>
      <c r="AT1981" s="88" t="str">
        <f t="shared" si="152"/>
        <v>Special Order0</v>
      </c>
      <c r="AU1981" s="89" t="str">
        <f t="shared" si="153"/>
        <v>01-1900</v>
      </c>
      <c r="BA1981" s="92" t="str">
        <f t="shared" si="154"/>
        <v/>
      </c>
    </row>
    <row r="1982" spans="2:53">
      <c r="B1982" s="60">
        <f>[2]Trucks!A1979</f>
        <v>0</v>
      </c>
      <c r="C1982" s="11">
        <f>[2]Trucks!B1979</f>
        <v>0</v>
      </c>
      <c r="D1982" s="19" t="str">
        <f>IFERROR(VLOOKUP(C1982&amp;"",'[2]Retail Price List'!$A$3:$B$103,2,FALSE),"Special Order")</f>
        <v>Special Order</v>
      </c>
      <c r="E1982" s="18">
        <f>[2]Trucks!J1979</f>
        <v>0</v>
      </c>
      <c r="F1982" s="12">
        <f>[2]Trucks!E1979</f>
        <v>0</v>
      </c>
      <c r="G1982" s="56">
        <f>[2]Trucks!K1979</f>
        <v>0</v>
      </c>
      <c r="H1982" s="46">
        <f>[2]Trucks!I1979</f>
        <v>0</v>
      </c>
      <c r="I1982" s="83" t="str">
        <f t="shared" si="150"/>
        <v/>
      </c>
      <c r="J1982" s="272" t="str">
        <f>IFERROR(VLOOKUP((D1982&amp;C1982)&amp;"",'[2]Retail Price List'!$C$4:$F$102,3,FALSE),"")</f>
        <v/>
      </c>
      <c r="K1982" s="272">
        <f>IFERROR(IF(BA1982="WIP - 30 Days",VLOOKUP(D1982,[3]Standard!$B$9:$E$101,4,FALSE),IF(BA1982="31-120 Days",VLOOKUP(D1982,[3]Standard!$B$9:$F$101,5,FALSE),IF(BA1982="121-365 Days",VLOOKUP(D1982,[3]Standard!$B$9:$G$101,6,FALSE),VLOOKUP(D1982,[3]Standard!$B$9:$H$101,7,FALSE)))),0)</f>
        <v>0</v>
      </c>
      <c r="L1982" s="272">
        <f>IFERROR(IF(BA1982="WIP - 30 Days",VLOOKUP(D1982,[3]Standard!$B$9:$J$101,9,FALSE),IF(BA1982="31-120 Days",VLOOKUP(D1982,[3]Standard!$B$9:$K$100,10,FALSE),IF(BA1982="121-365 Days",VLOOKUP(D1982,[3]Standard!$B$9:$L$101,11,FALSE),VLOOKUP(D1982,[3]Standard!$B$9:$M$101,12,FALSE)))),0)</f>
        <v>0</v>
      </c>
      <c r="M1982" s="269" t="str">
        <f>IFERROR(VLOOKUP((D1982&amp;C1982)&amp;"",'[2]Retail Price List'!$C$4:$F$102,4,FALSE),"")</f>
        <v/>
      </c>
      <c r="N1982" s="269">
        <f>IFERROR(IF(BA1982="WIP - 30 Days",VLOOKUP(D1982,[3]Extended!$B$9:$E$101,4,FALSE),IF(BA1982="31-120 Days",VLOOKUP(D1982,[3]Extended!$B$9:$F$101,5,FALSE),IF(BA1982="121-365 Days",VLOOKUP(D1982,[3]Extended!$B$9:$G$101,6,FALSE),VLOOKUP(D1982,[3]Extended!$B$9:$H$101,7,FALSE)))),0)</f>
        <v>0</v>
      </c>
      <c r="O1982" s="269">
        <f>IFERROR(IF(BA1982="WIP - 30 Days",VLOOKUP(D1982,[3]Extended!$B$9:$J$101,9,FALSE),IF(BA1982="31-120 Days",VLOOKUP(D1982,[3]Extended!$B$9:$K$101,10,FALSE),IF(BA1982="121-365 Days",VLOOKUP(D1982,[3]Extended!$B$9:$L$101,11,FALSE),VLOOKUP(D1982,[3]Extended!$B$9:$M$101,12,FALSE)))),0)</f>
        <v>0</v>
      </c>
      <c r="P1982" s="116" t="e">
        <f t="shared" si="151"/>
        <v>#VALUE!</v>
      </c>
      <c r="Q1982" s="110" t="e">
        <f>O1982-#REF!</f>
        <v>#REF!</v>
      </c>
      <c r="AT1982" s="88" t="str">
        <f t="shared" si="152"/>
        <v>Special Order0</v>
      </c>
      <c r="AU1982" s="89" t="str">
        <f t="shared" si="153"/>
        <v>01-1900</v>
      </c>
      <c r="BA1982" s="92" t="str">
        <f t="shared" si="154"/>
        <v/>
      </c>
    </row>
    <row r="1983" spans="2:53">
      <c r="B1983" s="60">
        <f>[2]Trucks!A1980</f>
        <v>0</v>
      </c>
      <c r="C1983" s="11">
        <f>[2]Trucks!B1980</f>
        <v>0</v>
      </c>
      <c r="D1983" s="19" t="str">
        <f>IFERROR(VLOOKUP(C1983&amp;"",'[2]Retail Price List'!$A$3:$B$103,2,FALSE),"Special Order")</f>
        <v>Special Order</v>
      </c>
      <c r="E1983" s="18">
        <f>[2]Trucks!J1980</f>
        <v>0</v>
      </c>
      <c r="F1983" s="12">
        <f>[2]Trucks!E1980</f>
        <v>0</v>
      </c>
      <c r="G1983" s="56">
        <f>[2]Trucks!K1980</f>
        <v>0</v>
      </c>
      <c r="H1983" s="46">
        <f>[2]Trucks!I1980</f>
        <v>0</v>
      </c>
      <c r="I1983" s="83" t="str">
        <f t="shared" si="150"/>
        <v/>
      </c>
      <c r="J1983" s="272" t="str">
        <f>IFERROR(VLOOKUP((D1983&amp;C1983)&amp;"",'[2]Retail Price List'!$C$4:$F$102,3,FALSE),"")</f>
        <v/>
      </c>
      <c r="K1983" s="272">
        <f>IFERROR(IF(BA1983="WIP - 30 Days",VLOOKUP(D1983,[3]Standard!$B$9:$E$101,4,FALSE),IF(BA1983="31-120 Days",VLOOKUP(D1983,[3]Standard!$B$9:$F$101,5,FALSE),IF(BA1983="121-365 Days",VLOOKUP(D1983,[3]Standard!$B$9:$G$101,6,FALSE),VLOOKUP(D1983,[3]Standard!$B$9:$H$101,7,FALSE)))),0)</f>
        <v>0</v>
      </c>
      <c r="L1983" s="272">
        <f>IFERROR(IF(BA1983="WIP - 30 Days",VLOOKUP(D1983,[3]Standard!$B$9:$J$101,9,FALSE),IF(BA1983="31-120 Days",VLOOKUP(D1983,[3]Standard!$B$9:$K$100,10,FALSE),IF(BA1983="121-365 Days",VLOOKUP(D1983,[3]Standard!$B$9:$L$101,11,FALSE),VLOOKUP(D1983,[3]Standard!$B$9:$M$101,12,FALSE)))),0)</f>
        <v>0</v>
      </c>
      <c r="M1983" s="269" t="str">
        <f>IFERROR(VLOOKUP((D1983&amp;C1983)&amp;"",'[2]Retail Price List'!$C$4:$F$102,4,FALSE),"")</f>
        <v/>
      </c>
      <c r="N1983" s="269">
        <f>IFERROR(IF(BA1983="WIP - 30 Days",VLOOKUP(D1983,[3]Extended!$B$9:$E$101,4,FALSE),IF(BA1983="31-120 Days",VLOOKUP(D1983,[3]Extended!$B$9:$F$101,5,FALSE),IF(BA1983="121-365 Days",VLOOKUP(D1983,[3]Extended!$B$9:$G$101,6,FALSE),VLOOKUP(D1983,[3]Extended!$B$9:$H$101,7,FALSE)))),0)</f>
        <v>0</v>
      </c>
      <c r="O1983" s="269">
        <f>IFERROR(IF(BA1983="WIP - 30 Days",VLOOKUP(D1983,[3]Extended!$B$9:$J$101,9,FALSE),IF(BA1983="31-120 Days",VLOOKUP(D1983,[3]Extended!$B$9:$K$101,10,FALSE),IF(BA1983="121-365 Days",VLOOKUP(D1983,[3]Extended!$B$9:$L$101,11,FALSE),VLOOKUP(D1983,[3]Extended!$B$9:$M$101,12,FALSE)))),0)</f>
        <v>0</v>
      </c>
      <c r="P1983" s="116" t="e">
        <f t="shared" si="151"/>
        <v>#VALUE!</v>
      </c>
      <c r="Q1983" s="110" t="e">
        <f>O1983-#REF!</f>
        <v>#REF!</v>
      </c>
      <c r="AT1983" s="88" t="str">
        <f t="shared" si="152"/>
        <v>Special Order0</v>
      </c>
      <c r="AU1983" s="89" t="str">
        <f t="shared" si="153"/>
        <v>01-1900</v>
      </c>
      <c r="BA1983" s="92" t="str">
        <f t="shared" si="154"/>
        <v/>
      </c>
    </row>
    <row r="1984" spans="2:53">
      <c r="B1984" s="60">
        <f>[2]Trucks!A1981</f>
        <v>0</v>
      </c>
      <c r="C1984" s="11">
        <f>[2]Trucks!B1981</f>
        <v>0</v>
      </c>
      <c r="D1984" s="19" t="str">
        <f>IFERROR(VLOOKUP(C1984&amp;"",'[2]Retail Price List'!$A$3:$B$103,2,FALSE),"Special Order")</f>
        <v>Special Order</v>
      </c>
      <c r="E1984" s="18">
        <f>[2]Trucks!J1981</f>
        <v>0</v>
      </c>
      <c r="F1984" s="12">
        <f>[2]Trucks!E1981</f>
        <v>0</v>
      </c>
      <c r="G1984" s="56">
        <f>[2]Trucks!K1981</f>
        <v>0</v>
      </c>
      <c r="H1984" s="46">
        <f>[2]Trucks!I1981</f>
        <v>0</v>
      </c>
      <c r="I1984" s="83" t="str">
        <f t="shared" si="150"/>
        <v/>
      </c>
      <c r="J1984" s="272" t="str">
        <f>IFERROR(VLOOKUP((D1984&amp;C1984)&amp;"",'[2]Retail Price List'!$C$4:$F$102,3,FALSE),"")</f>
        <v/>
      </c>
      <c r="K1984" s="272">
        <f>IFERROR(IF(BA1984="WIP - 30 Days",VLOOKUP(D1984,[3]Standard!$B$9:$E$101,4,FALSE),IF(BA1984="31-120 Days",VLOOKUP(D1984,[3]Standard!$B$9:$F$101,5,FALSE),IF(BA1984="121-365 Days",VLOOKUP(D1984,[3]Standard!$B$9:$G$101,6,FALSE),VLOOKUP(D1984,[3]Standard!$B$9:$H$101,7,FALSE)))),0)</f>
        <v>0</v>
      </c>
      <c r="L1984" s="272">
        <f>IFERROR(IF(BA1984="WIP - 30 Days",VLOOKUP(D1984,[3]Standard!$B$9:$J$101,9,FALSE),IF(BA1984="31-120 Days",VLOOKUP(D1984,[3]Standard!$B$9:$K$100,10,FALSE),IF(BA1984="121-365 Days",VLOOKUP(D1984,[3]Standard!$B$9:$L$101,11,FALSE),VLOOKUP(D1984,[3]Standard!$B$9:$M$101,12,FALSE)))),0)</f>
        <v>0</v>
      </c>
      <c r="M1984" s="269" t="str">
        <f>IFERROR(VLOOKUP((D1984&amp;C1984)&amp;"",'[2]Retail Price List'!$C$4:$F$102,4,FALSE),"")</f>
        <v/>
      </c>
      <c r="N1984" s="269">
        <f>IFERROR(IF(BA1984="WIP - 30 Days",VLOOKUP(D1984,[3]Extended!$B$9:$E$101,4,FALSE),IF(BA1984="31-120 Days",VLOOKUP(D1984,[3]Extended!$B$9:$F$101,5,FALSE),IF(BA1984="121-365 Days",VLOOKUP(D1984,[3]Extended!$B$9:$G$101,6,FALSE),VLOOKUP(D1984,[3]Extended!$B$9:$H$101,7,FALSE)))),0)</f>
        <v>0</v>
      </c>
      <c r="O1984" s="269">
        <f>IFERROR(IF(BA1984="WIP - 30 Days",VLOOKUP(D1984,[3]Extended!$B$9:$J$101,9,FALSE),IF(BA1984="31-120 Days",VLOOKUP(D1984,[3]Extended!$B$9:$K$101,10,FALSE),IF(BA1984="121-365 Days",VLOOKUP(D1984,[3]Extended!$B$9:$L$101,11,FALSE),VLOOKUP(D1984,[3]Extended!$B$9:$M$101,12,FALSE)))),0)</f>
        <v>0</v>
      </c>
      <c r="P1984" s="116" t="e">
        <f t="shared" si="151"/>
        <v>#VALUE!</v>
      </c>
      <c r="Q1984" s="110" t="e">
        <f>O1984-#REF!</f>
        <v>#REF!</v>
      </c>
      <c r="AT1984" s="88" t="str">
        <f t="shared" si="152"/>
        <v>Special Order0</v>
      </c>
      <c r="AU1984" s="89" t="str">
        <f t="shared" si="153"/>
        <v>01-1900</v>
      </c>
      <c r="BA1984" s="92" t="str">
        <f t="shared" si="154"/>
        <v/>
      </c>
    </row>
    <row r="1985" spans="2:53">
      <c r="B1985" s="60">
        <f>[2]Trucks!A1982</f>
        <v>0</v>
      </c>
      <c r="C1985" s="11">
        <f>[2]Trucks!B1982</f>
        <v>0</v>
      </c>
      <c r="D1985" s="19" t="str">
        <f>IFERROR(VLOOKUP(C1985&amp;"",'[2]Retail Price List'!$A$3:$B$103,2,FALSE),"Special Order")</f>
        <v>Special Order</v>
      </c>
      <c r="E1985" s="18">
        <f>[2]Trucks!J1982</f>
        <v>0</v>
      </c>
      <c r="F1985" s="12">
        <f>[2]Trucks!E1982</f>
        <v>0</v>
      </c>
      <c r="G1985" s="56">
        <f>[2]Trucks!K1982</f>
        <v>0</v>
      </c>
      <c r="H1985" s="46">
        <f>[2]Trucks!I1982</f>
        <v>0</v>
      </c>
      <c r="I1985" s="83" t="str">
        <f t="shared" si="150"/>
        <v/>
      </c>
      <c r="J1985" s="272" t="str">
        <f>IFERROR(VLOOKUP((D1985&amp;C1985)&amp;"",'[2]Retail Price List'!$C$4:$F$102,3,FALSE),"")</f>
        <v/>
      </c>
      <c r="K1985" s="272">
        <f>IFERROR(IF(BA1985="WIP - 30 Days",VLOOKUP(D1985,[3]Standard!$B$9:$E$101,4,FALSE),IF(BA1985="31-120 Days",VLOOKUP(D1985,[3]Standard!$B$9:$F$101,5,FALSE),IF(BA1985="121-365 Days",VLOOKUP(D1985,[3]Standard!$B$9:$G$101,6,FALSE),VLOOKUP(D1985,[3]Standard!$B$9:$H$101,7,FALSE)))),0)</f>
        <v>0</v>
      </c>
      <c r="L1985" s="272">
        <f>IFERROR(IF(BA1985="WIP - 30 Days",VLOOKUP(D1985,[3]Standard!$B$9:$J$101,9,FALSE),IF(BA1985="31-120 Days",VLOOKUP(D1985,[3]Standard!$B$9:$K$100,10,FALSE),IF(BA1985="121-365 Days",VLOOKUP(D1985,[3]Standard!$B$9:$L$101,11,FALSE),VLOOKUP(D1985,[3]Standard!$B$9:$M$101,12,FALSE)))),0)</f>
        <v>0</v>
      </c>
      <c r="M1985" s="269" t="str">
        <f>IFERROR(VLOOKUP((D1985&amp;C1985)&amp;"",'[2]Retail Price List'!$C$4:$F$102,4,FALSE),"")</f>
        <v/>
      </c>
      <c r="N1985" s="269">
        <f>IFERROR(IF(BA1985="WIP - 30 Days",VLOOKUP(D1985,[3]Extended!$B$9:$E$101,4,FALSE),IF(BA1985="31-120 Days",VLOOKUP(D1985,[3]Extended!$B$9:$F$101,5,FALSE),IF(BA1985="121-365 Days",VLOOKUP(D1985,[3]Extended!$B$9:$G$101,6,FALSE),VLOOKUP(D1985,[3]Extended!$B$9:$H$101,7,FALSE)))),0)</f>
        <v>0</v>
      </c>
      <c r="O1985" s="269">
        <f>IFERROR(IF(BA1985="WIP - 30 Days",VLOOKUP(D1985,[3]Extended!$B$9:$J$101,9,FALSE),IF(BA1985="31-120 Days",VLOOKUP(D1985,[3]Extended!$B$9:$K$101,10,FALSE),IF(BA1985="121-365 Days",VLOOKUP(D1985,[3]Extended!$B$9:$L$101,11,FALSE),VLOOKUP(D1985,[3]Extended!$B$9:$M$101,12,FALSE)))),0)</f>
        <v>0</v>
      </c>
      <c r="P1985" s="116" t="e">
        <f t="shared" si="151"/>
        <v>#VALUE!</v>
      </c>
      <c r="Q1985" s="110" t="e">
        <f>O1985-#REF!</f>
        <v>#REF!</v>
      </c>
      <c r="AT1985" s="88" t="str">
        <f t="shared" si="152"/>
        <v>Special Order0</v>
      </c>
      <c r="AU1985" s="89" t="str">
        <f t="shared" si="153"/>
        <v>01-1900</v>
      </c>
      <c r="BA1985" s="92" t="str">
        <f t="shared" si="154"/>
        <v/>
      </c>
    </row>
    <row r="1986" spans="2:53">
      <c r="B1986" s="60">
        <f>[2]Trucks!A1983</f>
        <v>0</v>
      </c>
      <c r="C1986" s="11">
        <f>[2]Trucks!B1983</f>
        <v>0</v>
      </c>
      <c r="D1986" s="19" t="str">
        <f>IFERROR(VLOOKUP(C1986&amp;"",'[2]Retail Price List'!$A$3:$B$103,2,FALSE),"Special Order")</f>
        <v>Special Order</v>
      </c>
      <c r="E1986" s="18">
        <f>[2]Trucks!J1983</f>
        <v>0</v>
      </c>
      <c r="F1986" s="12">
        <f>[2]Trucks!E1983</f>
        <v>0</v>
      </c>
      <c r="G1986" s="56">
        <f>[2]Trucks!K1983</f>
        <v>0</v>
      </c>
      <c r="H1986" s="46">
        <f>[2]Trucks!I1983</f>
        <v>0</v>
      </c>
      <c r="I1986" s="83" t="str">
        <f t="shared" si="150"/>
        <v/>
      </c>
      <c r="J1986" s="272" t="str">
        <f>IFERROR(VLOOKUP((D1986&amp;C1986)&amp;"",'[2]Retail Price List'!$C$4:$F$102,3,FALSE),"")</f>
        <v/>
      </c>
      <c r="K1986" s="272">
        <f>IFERROR(IF(BA1986="WIP - 30 Days",VLOOKUP(D1986,[3]Standard!$B$9:$E$101,4,FALSE),IF(BA1986="31-120 Days",VLOOKUP(D1986,[3]Standard!$B$9:$F$101,5,FALSE),IF(BA1986="121-365 Days",VLOOKUP(D1986,[3]Standard!$B$9:$G$101,6,FALSE),VLOOKUP(D1986,[3]Standard!$B$9:$H$101,7,FALSE)))),0)</f>
        <v>0</v>
      </c>
      <c r="L1986" s="272">
        <f>IFERROR(IF(BA1986="WIP - 30 Days",VLOOKUP(D1986,[3]Standard!$B$9:$J$101,9,FALSE),IF(BA1986="31-120 Days",VLOOKUP(D1986,[3]Standard!$B$9:$K$100,10,FALSE),IF(BA1986="121-365 Days",VLOOKUP(D1986,[3]Standard!$B$9:$L$101,11,FALSE),VLOOKUP(D1986,[3]Standard!$B$9:$M$101,12,FALSE)))),0)</f>
        <v>0</v>
      </c>
      <c r="M1986" s="269" t="str">
        <f>IFERROR(VLOOKUP((D1986&amp;C1986)&amp;"",'[2]Retail Price List'!$C$4:$F$102,4,FALSE),"")</f>
        <v/>
      </c>
      <c r="N1986" s="269">
        <f>IFERROR(IF(BA1986="WIP - 30 Days",VLOOKUP(D1986,[3]Extended!$B$9:$E$101,4,FALSE),IF(BA1986="31-120 Days",VLOOKUP(D1986,[3]Extended!$B$9:$F$101,5,FALSE),IF(BA1986="121-365 Days",VLOOKUP(D1986,[3]Extended!$B$9:$G$101,6,FALSE),VLOOKUP(D1986,[3]Extended!$B$9:$H$101,7,FALSE)))),0)</f>
        <v>0</v>
      </c>
      <c r="O1986" s="269">
        <f>IFERROR(IF(BA1986="WIP - 30 Days",VLOOKUP(D1986,[3]Extended!$B$9:$J$101,9,FALSE),IF(BA1986="31-120 Days",VLOOKUP(D1986,[3]Extended!$B$9:$K$101,10,FALSE),IF(BA1986="121-365 Days",VLOOKUP(D1986,[3]Extended!$B$9:$L$101,11,FALSE),VLOOKUP(D1986,[3]Extended!$B$9:$M$101,12,FALSE)))),0)</f>
        <v>0</v>
      </c>
      <c r="P1986" s="116" t="e">
        <f t="shared" si="151"/>
        <v>#VALUE!</v>
      </c>
      <c r="Q1986" s="110" t="e">
        <f>O1986-#REF!</f>
        <v>#REF!</v>
      </c>
      <c r="AT1986" s="88" t="str">
        <f t="shared" si="152"/>
        <v>Special Order0</v>
      </c>
      <c r="AU1986" s="89" t="str">
        <f t="shared" si="153"/>
        <v>01-1900</v>
      </c>
      <c r="BA1986" s="92" t="str">
        <f t="shared" si="154"/>
        <v/>
      </c>
    </row>
    <row r="1987" spans="2:53">
      <c r="B1987" s="60">
        <f>[2]Trucks!A1984</f>
        <v>0</v>
      </c>
      <c r="C1987" s="11">
        <f>[2]Trucks!B1984</f>
        <v>0</v>
      </c>
      <c r="D1987" s="19" t="str">
        <f>IFERROR(VLOOKUP(C1987&amp;"",'[2]Retail Price List'!$A$3:$B$103,2,FALSE),"Special Order")</f>
        <v>Special Order</v>
      </c>
      <c r="E1987" s="18">
        <f>[2]Trucks!J1984</f>
        <v>0</v>
      </c>
      <c r="F1987" s="12">
        <f>[2]Trucks!E1984</f>
        <v>0</v>
      </c>
      <c r="G1987" s="56">
        <f>[2]Trucks!K1984</f>
        <v>0</v>
      </c>
      <c r="H1987" s="46">
        <f>[2]Trucks!I1984</f>
        <v>0</v>
      </c>
      <c r="I1987" s="83" t="str">
        <f t="shared" si="150"/>
        <v/>
      </c>
      <c r="J1987" s="272" t="str">
        <f>IFERROR(VLOOKUP((D1987&amp;C1987)&amp;"",'[2]Retail Price List'!$C$4:$F$102,3,FALSE),"")</f>
        <v/>
      </c>
      <c r="K1987" s="272">
        <f>IFERROR(IF(BA1987="WIP - 30 Days",VLOOKUP(D1987,[3]Standard!$B$9:$E$101,4,FALSE),IF(BA1987="31-120 Days",VLOOKUP(D1987,[3]Standard!$B$9:$F$101,5,FALSE),IF(BA1987="121-365 Days",VLOOKUP(D1987,[3]Standard!$B$9:$G$101,6,FALSE),VLOOKUP(D1987,[3]Standard!$B$9:$H$101,7,FALSE)))),0)</f>
        <v>0</v>
      </c>
      <c r="L1987" s="272">
        <f>IFERROR(IF(BA1987="WIP - 30 Days",VLOOKUP(D1987,[3]Standard!$B$9:$J$101,9,FALSE),IF(BA1987="31-120 Days",VLOOKUP(D1987,[3]Standard!$B$9:$K$100,10,FALSE),IF(BA1987="121-365 Days",VLOOKUP(D1987,[3]Standard!$B$9:$L$101,11,FALSE),VLOOKUP(D1987,[3]Standard!$B$9:$M$101,12,FALSE)))),0)</f>
        <v>0</v>
      </c>
      <c r="M1987" s="269" t="str">
        <f>IFERROR(VLOOKUP((D1987&amp;C1987)&amp;"",'[2]Retail Price List'!$C$4:$F$102,4,FALSE),"")</f>
        <v/>
      </c>
      <c r="N1987" s="269">
        <f>IFERROR(IF(BA1987="WIP - 30 Days",VLOOKUP(D1987,[3]Extended!$B$9:$E$101,4,FALSE),IF(BA1987="31-120 Days",VLOOKUP(D1987,[3]Extended!$B$9:$F$101,5,FALSE),IF(BA1987="121-365 Days",VLOOKUP(D1987,[3]Extended!$B$9:$G$101,6,FALSE),VLOOKUP(D1987,[3]Extended!$B$9:$H$101,7,FALSE)))),0)</f>
        <v>0</v>
      </c>
      <c r="O1987" s="269">
        <f>IFERROR(IF(BA1987="WIP - 30 Days",VLOOKUP(D1987,[3]Extended!$B$9:$J$101,9,FALSE),IF(BA1987="31-120 Days",VLOOKUP(D1987,[3]Extended!$B$9:$K$101,10,FALSE),IF(BA1987="121-365 Days",VLOOKUP(D1987,[3]Extended!$B$9:$L$101,11,FALSE),VLOOKUP(D1987,[3]Extended!$B$9:$M$101,12,FALSE)))),0)</f>
        <v>0</v>
      </c>
      <c r="P1987" s="116" t="e">
        <f t="shared" si="151"/>
        <v>#VALUE!</v>
      </c>
      <c r="Q1987" s="110" t="e">
        <f>O1987-#REF!</f>
        <v>#REF!</v>
      </c>
      <c r="AT1987" s="88" t="str">
        <f t="shared" si="152"/>
        <v>Special Order0</v>
      </c>
      <c r="AU1987" s="89" t="str">
        <f t="shared" si="153"/>
        <v>01-1900</v>
      </c>
      <c r="BA1987" s="92" t="str">
        <f t="shared" si="154"/>
        <v/>
      </c>
    </row>
    <row r="1988" spans="2:53">
      <c r="B1988" s="60">
        <f>[2]Trucks!A1985</f>
        <v>0</v>
      </c>
      <c r="C1988" s="11">
        <f>[2]Trucks!B1985</f>
        <v>0</v>
      </c>
      <c r="D1988" s="19" t="str">
        <f>IFERROR(VLOOKUP(C1988&amp;"",'[2]Retail Price List'!$A$3:$B$103,2,FALSE),"Special Order")</f>
        <v>Special Order</v>
      </c>
      <c r="E1988" s="18">
        <f>[2]Trucks!J1985</f>
        <v>0</v>
      </c>
      <c r="F1988" s="12">
        <f>[2]Trucks!E1985</f>
        <v>0</v>
      </c>
      <c r="G1988" s="56">
        <f>[2]Trucks!K1985</f>
        <v>0</v>
      </c>
      <c r="H1988" s="46">
        <f>[2]Trucks!I1985</f>
        <v>0</v>
      </c>
      <c r="I1988" s="83" t="str">
        <f t="shared" si="150"/>
        <v/>
      </c>
      <c r="J1988" s="272" t="str">
        <f>IFERROR(VLOOKUP((D1988&amp;C1988)&amp;"",'[2]Retail Price List'!$C$4:$F$102,3,FALSE),"")</f>
        <v/>
      </c>
      <c r="K1988" s="272">
        <f>IFERROR(IF(BA1988="WIP - 30 Days",VLOOKUP(D1988,[3]Standard!$B$9:$E$101,4,FALSE),IF(BA1988="31-120 Days",VLOOKUP(D1988,[3]Standard!$B$9:$F$101,5,FALSE),IF(BA1988="121-365 Days",VLOOKUP(D1988,[3]Standard!$B$9:$G$101,6,FALSE),VLOOKUP(D1988,[3]Standard!$B$9:$H$101,7,FALSE)))),0)</f>
        <v>0</v>
      </c>
      <c r="L1988" s="272">
        <f>IFERROR(IF(BA1988="WIP - 30 Days",VLOOKUP(D1988,[3]Standard!$B$9:$J$101,9,FALSE),IF(BA1988="31-120 Days",VLOOKUP(D1988,[3]Standard!$B$9:$K$100,10,FALSE),IF(BA1988="121-365 Days",VLOOKUP(D1988,[3]Standard!$B$9:$L$101,11,FALSE),VLOOKUP(D1988,[3]Standard!$B$9:$M$101,12,FALSE)))),0)</f>
        <v>0</v>
      </c>
      <c r="M1988" s="269" t="str">
        <f>IFERROR(VLOOKUP((D1988&amp;C1988)&amp;"",'[2]Retail Price List'!$C$4:$F$102,4,FALSE),"")</f>
        <v/>
      </c>
      <c r="N1988" s="269">
        <f>IFERROR(IF(BA1988="WIP - 30 Days",VLOOKUP(D1988,[3]Extended!$B$9:$E$101,4,FALSE),IF(BA1988="31-120 Days",VLOOKUP(D1988,[3]Extended!$B$9:$F$101,5,FALSE),IF(BA1988="121-365 Days",VLOOKUP(D1988,[3]Extended!$B$9:$G$101,6,FALSE),VLOOKUP(D1988,[3]Extended!$B$9:$H$101,7,FALSE)))),0)</f>
        <v>0</v>
      </c>
      <c r="O1988" s="269">
        <f>IFERROR(IF(BA1988="WIP - 30 Days",VLOOKUP(D1988,[3]Extended!$B$9:$J$101,9,FALSE),IF(BA1988="31-120 Days",VLOOKUP(D1988,[3]Extended!$B$9:$K$101,10,FALSE),IF(BA1988="121-365 Days",VLOOKUP(D1988,[3]Extended!$B$9:$L$101,11,FALSE),VLOOKUP(D1988,[3]Extended!$B$9:$M$101,12,FALSE)))),0)</f>
        <v>0</v>
      </c>
      <c r="P1988" s="116" t="e">
        <f t="shared" si="151"/>
        <v>#VALUE!</v>
      </c>
      <c r="Q1988" s="110" t="e">
        <f>O1988-#REF!</f>
        <v>#REF!</v>
      </c>
      <c r="AT1988" s="88" t="str">
        <f t="shared" si="152"/>
        <v>Special Order0</v>
      </c>
      <c r="AU1988" s="89" t="str">
        <f t="shared" si="153"/>
        <v>01-1900</v>
      </c>
      <c r="BA1988" s="92" t="str">
        <f t="shared" si="154"/>
        <v/>
      </c>
    </row>
    <row r="1989" spans="2:53">
      <c r="B1989" s="60">
        <f>[2]Trucks!A1986</f>
        <v>0</v>
      </c>
      <c r="C1989" s="11">
        <f>[2]Trucks!B1986</f>
        <v>0</v>
      </c>
      <c r="D1989" s="19" t="str">
        <f>IFERROR(VLOOKUP(C1989&amp;"",'[2]Retail Price List'!$A$3:$B$103,2,FALSE),"Special Order")</f>
        <v>Special Order</v>
      </c>
      <c r="E1989" s="18">
        <f>[2]Trucks!J1986</f>
        <v>0</v>
      </c>
      <c r="F1989" s="12">
        <f>[2]Trucks!E1986</f>
        <v>0</v>
      </c>
      <c r="G1989" s="56">
        <f>[2]Trucks!K1986</f>
        <v>0</v>
      </c>
      <c r="H1989" s="46">
        <f>[2]Trucks!I1986</f>
        <v>0</v>
      </c>
      <c r="I1989" s="83" t="str">
        <f t="shared" ref="I1989:I2002" si="155">IFERROR(VLOOKUP(AU1989,$AW$5:$AY$40,3,FALSE),"")</f>
        <v/>
      </c>
      <c r="J1989" s="272" t="str">
        <f>IFERROR(VLOOKUP((D1989&amp;C1989)&amp;"",'[2]Retail Price List'!$C$4:$F$102,3,FALSE),"")</f>
        <v/>
      </c>
      <c r="K1989" s="272">
        <f>IFERROR(IF(BA1989="WIP - 30 Days",VLOOKUP(D1989,[3]Standard!$B$9:$E$101,4,FALSE),IF(BA1989="31-120 Days",VLOOKUP(D1989,[3]Standard!$B$9:$F$101,5,FALSE),IF(BA1989="121-365 Days",VLOOKUP(D1989,[3]Standard!$B$9:$G$101,6,FALSE),VLOOKUP(D1989,[3]Standard!$B$9:$H$101,7,FALSE)))),0)</f>
        <v>0</v>
      </c>
      <c r="L1989" s="272">
        <f>IFERROR(IF(BA1989="WIP - 30 Days",VLOOKUP(D1989,[3]Standard!$B$9:$J$101,9,FALSE),IF(BA1989="31-120 Days",VLOOKUP(D1989,[3]Standard!$B$9:$K$100,10,FALSE),IF(BA1989="121-365 Days",VLOOKUP(D1989,[3]Standard!$B$9:$L$101,11,FALSE),VLOOKUP(D1989,[3]Standard!$B$9:$M$101,12,FALSE)))),0)</f>
        <v>0</v>
      </c>
      <c r="M1989" s="269" t="str">
        <f>IFERROR(VLOOKUP((D1989&amp;C1989)&amp;"",'[2]Retail Price List'!$C$4:$F$102,4,FALSE),"")</f>
        <v/>
      </c>
      <c r="N1989" s="269">
        <f>IFERROR(IF(BA1989="WIP - 30 Days",VLOOKUP(D1989,[3]Extended!$B$9:$E$101,4,FALSE),IF(BA1989="31-120 Days",VLOOKUP(D1989,[3]Extended!$B$9:$F$101,5,FALSE),IF(BA1989="121-365 Days",VLOOKUP(D1989,[3]Extended!$B$9:$G$101,6,FALSE),VLOOKUP(D1989,[3]Extended!$B$9:$H$101,7,FALSE)))),0)</f>
        <v>0</v>
      </c>
      <c r="O1989" s="269">
        <f>IFERROR(IF(BA1989="WIP - 30 Days",VLOOKUP(D1989,[3]Extended!$B$9:$J$101,9,FALSE),IF(BA1989="31-120 Days",VLOOKUP(D1989,[3]Extended!$B$9:$K$101,10,FALSE),IF(BA1989="121-365 Days",VLOOKUP(D1989,[3]Extended!$B$9:$L$101,11,FALSE),VLOOKUP(D1989,[3]Extended!$B$9:$M$101,12,FALSE)))),0)</f>
        <v>0</v>
      </c>
      <c r="P1989" s="116" t="e">
        <f t="shared" ref="P1989:P2002" si="156">(M1989-O1989)/M1989</f>
        <v>#VALUE!</v>
      </c>
      <c r="Q1989" s="110" t="e">
        <f>O1989-#REF!</f>
        <v>#REF!</v>
      </c>
      <c r="AT1989" s="88" t="str">
        <f t="shared" ref="AT1989:AT2002" si="157">D1989&amp;I1989&amp;G1989</f>
        <v>Special Order0</v>
      </c>
      <c r="AU1989" s="89" t="str">
        <f t="shared" ref="AU1989:AU2002" si="158">IF(MONTH(H1989)&lt;10,0&amp;MONTH(H1989)&amp;"-"&amp;YEAR(H1989),MONTH(H1989)&amp;"-"&amp;YEAR(H1989))</f>
        <v>01-1900</v>
      </c>
      <c r="BA1989" s="92" t="str">
        <f t="shared" si="154"/>
        <v/>
      </c>
    </row>
    <row r="1990" spans="2:53">
      <c r="B1990" s="60">
        <f>[2]Trucks!A1987</f>
        <v>0</v>
      </c>
      <c r="C1990" s="11">
        <f>[2]Trucks!B1987</f>
        <v>0</v>
      </c>
      <c r="D1990" s="19" t="str">
        <f>IFERROR(VLOOKUP(C1990&amp;"",'[2]Retail Price List'!$A$3:$B$103,2,FALSE),"Special Order")</f>
        <v>Special Order</v>
      </c>
      <c r="E1990" s="18">
        <f>[2]Trucks!J1987</f>
        <v>0</v>
      </c>
      <c r="F1990" s="12">
        <f>[2]Trucks!E1987</f>
        <v>0</v>
      </c>
      <c r="G1990" s="56">
        <f>[2]Trucks!K1987</f>
        <v>0</v>
      </c>
      <c r="H1990" s="46">
        <f>[2]Trucks!I1987</f>
        <v>0</v>
      </c>
      <c r="I1990" s="83" t="str">
        <f t="shared" si="155"/>
        <v/>
      </c>
      <c r="J1990" s="272" t="str">
        <f>IFERROR(VLOOKUP((D1990&amp;C1990)&amp;"",'[2]Retail Price List'!$C$4:$F$102,3,FALSE),"")</f>
        <v/>
      </c>
      <c r="K1990" s="272">
        <f>IFERROR(IF(BA1990="WIP - 30 Days",VLOOKUP(D1990,[3]Standard!$B$9:$E$101,4,FALSE),IF(BA1990="31-120 Days",VLOOKUP(D1990,[3]Standard!$B$9:$F$101,5,FALSE),IF(BA1990="121-365 Days",VLOOKUP(D1990,[3]Standard!$B$9:$G$101,6,FALSE),VLOOKUP(D1990,[3]Standard!$B$9:$H$101,7,FALSE)))),0)</f>
        <v>0</v>
      </c>
      <c r="L1990" s="272">
        <f>IFERROR(IF(BA1990="WIP - 30 Days",VLOOKUP(D1990,[3]Standard!$B$9:$J$101,9,FALSE),IF(BA1990="31-120 Days",VLOOKUP(D1990,[3]Standard!$B$9:$K$100,10,FALSE),IF(BA1990="121-365 Days",VLOOKUP(D1990,[3]Standard!$B$9:$L$101,11,FALSE),VLOOKUP(D1990,[3]Standard!$B$9:$M$101,12,FALSE)))),0)</f>
        <v>0</v>
      </c>
      <c r="M1990" s="269" t="str">
        <f>IFERROR(VLOOKUP((D1990&amp;C1990)&amp;"",'[2]Retail Price List'!$C$4:$F$102,4,FALSE),"")</f>
        <v/>
      </c>
      <c r="N1990" s="269">
        <f>IFERROR(IF(BA1990="WIP - 30 Days",VLOOKUP(D1990,[3]Extended!$B$9:$E$101,4,FALSE),IF(BA1990="31-120 Days",VLOOKUP(D1990,[3]Extended!$B$9:$F$101,5,FALSE),IF(BA1990="121-365 Days",VLOOKUP(D1990,[3]Extended!$B$9:$G$101,6,FALSE),VLOOKUP(D1990,[3]Extended!$B$9:$H$101,7,FALSE)))),0)</f>
        <v>0</v>
      </c>
      <c r="O1990" s="269">
        <f>IFERROR(IF(BA1990="WIP - 30 Days",VLOOKUP(D1990,[3]Extended!$B$9:$J$101,9,FALSE),IF(BA1990="31-120 Days",VLOOKUP(D1990,[3]Extended!$B$9:$K$101,10,FALSE),IF(BA1990="121-365 Days",VLOOKUP(D1990,[3]Extended!$B$9:$L$101,11,FALSE),VLOOKUP(D1990,[3]Extended!$B$9:$M$101,12,FALSE)))),0)</f>
        <v>0</v>
      </c>
      <c r="P1990" s="116" t="e">
        <f t="shared" si="156"/>
        <v>#VALUE!</v>
      </c>
      <c r="Q1990" s="110" t="e">
        <f>O1990-#REF!</f>
        <v>#REF!</v>
      </c>
      <c r="AT1990" s="88" t="str">
        <f t="shared" si="157"/>
        <v>Special Order0</v>
      </c>
      <c r="AU1990" s="89" t="str">
        <f t="shared" si="158"/>
        <v>01-1900</v>
      </c>
      <c r="BA1990" s="92" t="str">
        <f t="shared" ref="BA1990:BA2002" si="159">IF(B1990=0,"",IF(AND(F1990&gt;=31,F1990&lt;=120),"31-120 Days",IF(AND(F1990&gt;=121,F1990&lt;=365),"121-365 Days",IF(OR(E1990="CKD",F1990&lt;=30),"WIP - 30 Days","&gt;365 Days"))))</f>
        <v/>
      </c>
    </row>
    <row r="1991" spans="2:53">
      <c r="B1991" s="60">
        <f>[2]Trucks!A1988</f>
        <v>0</v>
      </c>
      <c r="C1991" s="11">
        <f>[2]Trucks!B1988</f>
        <v>0</v>
      </c>
      <c r="D1991" s="19" t="str">
        <f>IFERROR(VLOOKUP(C1991&amp;"",'[2]Retail Price List'!$A$3:$B$103,2,FALSE),"Special Order")</f>
        <v>Special Order</v>
      </c>
      <c r="E1991" s="18">
        <f>[2]Trucks!J1988</f>
        <v>0</v>
      </c>
      <c r="F1991" s="12">
        <f>[2]Trucks!E1988</f>
        <v>0</v>
      </c>
      <c r="G1991" s="56">
        <f>[2]Trucks!K1988</f>
        <v>0</v>
      </c>
      <c r="H1991" s="46">
        <f>[2]Trucks!I1988</f>
        <v>0</v>
      </c>
      <c r="I1991" s="83" t="str">
        <f t="shared" si="155"/>
        <v/>
      </c>
      <c r="J1991" s="272" t="str">
        <f>IFERROR(VLOOKUP((D1991&amp;C1991)&amp;"",'[2]Retail Price List'!$C$4:$F$102,3,FALSE),"")</f>
        <v/>
      </c>
      <c r="K1991" s="272">
        <f>IFERROR(IF(BA1991="WIP - 30 Days",VLOOKUP(D1991,[3]Standard!$B$9:$E$101,4,FALSE),IF(BA1991="31-120 Days",VLOOKUP(D1991,[3]Standard!$B$9:$F$101,5,FALSE),IF(BA1991="121-365 Days",VLOOKUP(D1991,[3]Standard!$B$9:$G$101,6,FALSE),VLOOKUP(D1991,[3]Standard!$B$9:$H$101,7,FALSE)))),0)</f>
        <v>0</v>
      </c>
      <c r="L1991" s="272">
        <f>IFERROR(IF(BA1991="WIP - 30 Days",VLOOKUP(D1991,[3]Standard!$B$9:$J$101,9,FALSE),IF(BA1991="31-120 Days",VLOOKUP(D1991,[3]Standard!$B$9:$K$100,10,FALSE),IF(BA1991="121-365 Days",VLOOKUP(D1991,[3]Standard!$B$9:$L$101,11,FALSE),VLOOKUP(D1991,[3]Standard!$B$9:$M$101,12,FALSE)))),0)</f>
        <v>0</v>
      </c>
      <c r="M1991" s="269" t="str">
        <f>IFERROR(VLOOKUP((D1991&amp;C1991)&amp;"",'[2]Retail Price List'!$C$4:$F$102,4,FALSE),"")</f>
        <v/>
      </c>
      <c r="N1991" s="269">
        <f>IFERROR(IF(BA1991="WIP - 30 Days",VLOOKUP(D1991,[3]Extended!$B$9:$E$101,4,FALSE),IF(BA1991="31-120 Days",VLOOKUP(D1991,[3]Extended!$B$9:$F$101,5,FALSE),IF(BA1991="121-365 Days",VLOOKUP(D1991,[3]Extended!$B$9:$G$101,6,FALSE),VLOOKUP(D1991,[3]Extended!$B$9:$H$101,7,FALSE)))),0)</f>
        <v>0</v>
      </c>
      <c r="O1991" s="269">
        <f>IFERROR(IF(BA1991="WIP - 30 Days",VLOOKUP(D1991,[3]Extended!$B$9:$J$101,9,FALSE),IF(BA1991="31-120 Days",VLOOKUP(D1991,[3]Extended!$B$9:$K$101,10,FALSE),IF(BA1991="121-365 Days",VLOOKUP(D1991,[3]Extended!$B$9:$L$101,11,FALSE),VLOOKUP(D1991,[3]Extended!$B$9:$M$101,12,FALSE)))),0)</f>
        <v>0</v>
      </c>
      <c r="P1991" s="116" t="e">
        <f t="shared" si="156"/>
        <v>#VALUE!</v>
      </c>
      <c r="Q1991" s="110" t="e">
        <f>O1991-#REF!</f>
        <v>#REF!</v>
      </c>
      <c r="AT1991" s="88" t="str">
        <f t="shared" si="157"/>
        <v>Special Order0</v>
      </c>
      <c r="AU1991" s="89" t="str">
        <f t="shared" si="158"/>
        <v>01-1900</v>
      </c>
      <c r="BA1991" s="92" t="str">
        <f t="shared" si="159"/>
        <v/>
      </c>
    </row>
    <row r="1992" spans="2:53">
      <c r="B1992" s="60">
        <f>[2]Trucks!A1989</f>
        <v>0</v>
      </c>
      <c r="C1992" s="11">
        <f>[2]Trucks!B1989</f>
        <v>0</v>
      </c>
      <c r="D1992" s="19" t="str">
        <f>IFERROR(VLOOKUP(C1992&amp;"",'[2]Retail Price List'!$A$3:$B$103,2,FALSE),"Special Order")</f>
        <v>Special Order</v>
      </c>
      <c r="E1992" s="18">
        <f>[2]Trucks!J1989</f>
        <v>0</v>
      </c>
      <c r="F1992" s="12">
        <f>[2]Trucks!E1989</f>
        <v>0</v>
      </c>
      <c r="G1992" s="56">
        <f>[2]Trucks!K1989</f>
        <v>0</v>
      </c>
      <c r="H1992" s="46">
        <f>[2]Trucks!I1989</f>
        <v>0</v>
      </c>
      <c r="I1992" s="83" t="str">
        <f t="shared" si="155"/>
        <v/>
      </c>
      <c r="J1992" s="272" t="str">
        <f>IFERROR(VLOOKUP((D1992&amp;C1992)&amp;"",'[2]Retail Price List'!$C$4:$F$102,3,FALSE),"")</f>
        <v/>
      </c>
      <c r="K1992" s="272">
        <f>IFERROR(IF(BA1992="WIP - 30 Days",VLOOKUP(D1992,[3]Standard!$B$9:$E$101,4,FALSE),IF(BA1992="31-120 Days",VLOOKUP(D1992,[3]Standard!$B$9:$F$101,5,FALSE),IF(BA1992="121-365 Days",VLOOKUP(D1992,[3]Standard!$B$9:$G$101,6,FALSE),VLOOKUP(D1992,[3]Standard!$B$9:$H$101,7,FALSE)))),0)</f>
        <v>0</v>
      </c>
      <c r="L1992" s="272">
        <f>IFERROR(IF(BA1992="WIP - 30 Days",VLOOKUP(D1992,[3]Standard!$B$9:$J$101,9,FALSE),IF(BA1992="31-120 Days",VLOOKUP(D1992,[3]Standard!$B$9:$K$100,10,FALSE),IF(BA1992="121-365 Days",VLOOKUP(D1992,[3]Standard!$B$9:$L$101,11,FALSE),VLOOKUP(D1992,[3]Standard!$B$9:$M$101,12,FALSE)))),0)</f>
        <v>0</v>
      </c>
      <c r="M1992" s="269" t="str">
        <f>IFERROR(VLOOKUP((D1992&amp;C1992)&amp;"",'[2]Retail Price List'!$C$4:$F$102,4,FALSE),"")</f>
        <v/>
      </c>
      <c r="N1992" s="269">
        <f>IFERROR(IF(BA1992="WIP - 30 Days",VLOOKUP(D1992,[3]Extended!$B$9:$E$101,4,FALSE),IF(BA1992="31-120 Days",VLOOKUP(D1992,[3]Extended!$B$9:$F$101,5,FALSE),IF(BA1992="121-365 Days",VLOOKUP(D1992,[3]Extended!$B$9:$G$101,6,FALSE),VLOOKUP(D1992,[3]Extended!$B$9:$H$101,7,FALSE)))),0)</f>
        <v>0</v>
      </c>
      <c r="O1992" s="269">
        <f>IFERROR(IF(BA1992="WIP - 30 Days",VLOOKUP(D1992,[3]Extended!$B$9:$J$101,9,FALSE),IF(BA1992="31-120 Days",VLOOKUP(D1992,[3]Extended!$B$9:$K$101,10,FALSE),IF(BA1992="121-365 Days",VLOOKUP(D1992,[3]Extended!$B$9:$L$101,11,FALSE),VLOOKUP(D1992,[3]Extended!$B$9:$M$101,12,FALSE)))),0)</f>
        <v>0</v>
      </c>
      <c r="P1992" s="116" t="e">
        <f t="shared" si="156"/>
        <v>#VALUE!</v>
      </c>
      <c r="Q1992" s="110" t="e">
        <f>O1992-#REF!</f>
        <v>#REF!</v>
      </c>
      <c r="AT1992" s="88" t="str">
        <f t="shared" si="157"/>
        <v>Special Order0</v>
      </c>
      <c r="AU1992" s="89" t="str">
        <f t="shared" si="158"/>
        <v>01-1900</v>
      </c>
      <c r="BA1992" s="92" t="str">
        <f t="shared" si="159"/>
        <v/>
      </c>
    </row>
    <row r="1993" spans="2:53">
      <c r="B1993" s="60">
        <f>[2]Trucks!A1990</f>
        <v>0</v>
      </c>
      <c r="C1993" s="11">
        <f>[2]Trucks!B1990</f>
        <v>0</v>
      </c>
      <c r="D1993" s="19" t="str">
        <f>IFERROR(VLOOKUP(C1993&amp;"",'[2]Retail Price List'!$A$3:$B$103,2,FALSE),"Special Order")</f>
        <v>Special Order</v>
      </c>
      <c r="E1993" s="18">
        <f>[2]Trucks!J1990</f>
        <v>0</v>
      </c>
      <c r="F1993" s="12">
        <f>[2]Trucks!E1990</f>
        <v>0</v>
      </c>
      <c r="G1993" s="56">
        <f>[2]Trucks!K1990</f>
        <v>0</v>
      </c>
      <c r="H1993" s="46">
        <f>[2]Trucks!I1990</f>
        <v>0</v>
      </c>
      <c r="I1993" s="83" t="str">
        <f t="shared" si="155"/>
        <v/>
      </c>
      <c r="J1993" s="272" t="str">
        <f>IFERROR(VLOOKUP((D1993&amp;C1993)&amp;"",'[2]Retail Price List'!$C$4:$F$102,3,FALSE),"")</f>
        <v/>
      </c>
      <c r="K1993" s="272">
        <f>IFERROR(IF(BA1993="WIP - 30 Days",VLOOKUP(D1993,[3]Standard!$B$9:$E$101,4,FALSE),IF(BA1993="31-120 Days",VLOOKUP(D1993,[3]Standard!$B$9:$F$101,5,FALSE),IF(BA1993="121-365 Days",VLOOKUP(D1993,[3]Standard!$B$9:$G$101,6,FALSE),VLOOKUP(D1993,[3]Standard!$B$9:$H$101,7,FALSE)))),0)</f>
        <v>0</v>
      </c>
      <c r="L1993" s="272">
        <f>IFERROR(IF(BA1993="WIP - 30 Days",VLOOKUP(D1993,[3]Standard!$B$9:$J$101,9,FALSE),IF(BA1993="31-120 Days",VLOOKUP(D1993,[3]Standard!$B$9:$K$100,10,FALSE),IF(BA1993="121-365 Days",VLOOKUP(D1993,[3]Standard!$B$9:$L$101,11,FALSE),VLOOKUP(D1993,[3]Standard!$B$9:$M$101,12,FALSE)))),0)</f>
        <v>0</v>
      </c>
      <c r="M1993" s="269" t="str">
        <f>IFERROR(VLOOKUP((D1993&amp;C1993)&amp;"",'[2]Retail Price List'!$C$4:$F$102,4,FALSE),"")</f>
        <v/>
      </c>
      <c r="N1993" s="269">
        <f>IFERROR(IF(BA1993="WIP - 30 Days",VLOOKUP(D1993,[3]Extended!$B$9:$E$101,4,FALSE),IF(BA1993="31-120 Days",VLOOKUP(D1993,[3]Extended!$B$9:$F$101,5,FALSE),IF(BA1993="121-365 Days",VLOOKUP(D1993,[3]Extended!$B$9:$G$101,6,FALSE),VLOOKUP(D1993,[3]Extended!$B$9:$H$101,7,FALSE)))),0)</f>
        <v>0</v>
      </c>
      <c r="O1993" s="269">
        <f>IFERROR(IF(BA1993="WIP - 30 Days",VLOOKUP(D1993,[3]Extended!$B$9:$J$101,9,FALSE),IF(BA1993="31-120 Days",VLOOKUP(D1993,[3]Extended!$B$9:$K$101,10,FALSE),IF(BA1993="121-365 Days",VLOOKUP(D1993,[3]Extended!$B$9:$L$101,11,FALSE),VLOOKUP(D1993,[3]Extended!$B$9:$M$101,12,FALSE)))),0)</f>
        <v>0</v>
      </c>
      <c r="P1993" s="116" t="e">
        <f t="shared" si="156"/>
        <v>#VALUE!</v>
      </c>
      <c r="Q1993" s="110" t="e">
        <f>O1993-#REF!</f>
        <v>#REF!</v>
      </c>
      <c r="AT1993" s="88" t="str">
        <f t="shared" si="157"/>
        <v>Special Order0</v>
      </c>
      <c r="AU1993" s="89" t="str">
        <f t="shared" si="158"/>
        <v>01-1900</v>
      </c>
      <c r="BA1993" s="92" t="str">
        <f t="shared" si="159"/>
        <v/>
      </c>
    </row>
    <row r="1994" spans="2:53">
      <c r="B1994" s="60">
        <f>[2]Trucks!A1991</f>
        <v>0</v>
      </c>
      <c r="C1994" s="11">
        <f>[2]Trucks!B1991</f>
        <v>0</v>
      </c>
      <c r="D1994" s="19" t="str">
        <f>IFERROR(VLOOKUP(C1994&amp;"",'[2]Retail Price List'!$A$3:$B$103,2,FALSE),"Special Order")</f>
        <v>Special Order</v>
      </c>
      <c r="E1994" s="18">
        <f>[2]Trucks!J1991</f>
        <v>0</v>
      </c>
      <c r="F1994" s="12">
        <f>[2]Trucks!E1991</f>
        <v>0</v>
      </c>
      <c r="G1994" s="56">
        <f>[2]Trucks!K1991</f>
        <v>0</v>
      </c>
      <c r="H1994" s="46">
        <f>[2]Trucks!I1991</f>
        <v>0</v>
      </c>
      <c r="I1994" s="83" t="str">
        <f t="shared" si="155"/>
        <v/>
      </c>
      <c r="J1994" s="272" t="str">
        <f>IFERROR(VLOOKUP((D1994&amp;C1994)&amp;"",'[2]Retail Price List'!$C$4:$F$102,3,FALSE),"")</f>
        <v/>
      </c>
      <c r="K1994" s="272">
        <f>IFERROR(IF(BA1994="WIP - 30 Days",VLOOKUP(D1994,[3]Standard!$B$9:$E$101,4,FALSE),IF(BA1994="31-120 Days",VLOOKUP(D1994,[3]Standard!$B$9:$F$101,5,FALSE),IF(BA1994="121-365 Days",VLOOKUP(D1994,[3]Standard!$B$9:$G$101,6,FALSE),VLOOKUP(D1994,[3]Standard!$B$9:$H$101,7,FALSE)))),0)</f>
        <v>0</v>
      </c>
      <c r="L1994" s="272">
        <f>IFERROR(IF(BA1994="WIP - 30 Days",VLOOKUP(D1994,[3]Standard!$B$9:$J$101,9,FALSE),IF(BA1994="31-120 Days",VLOOKUP(D1994,[3]Standard!$B$9:$K$100,10,FALSE),IF(BA1994="121-365 Days",VLOOKUP(D1994,[3]Standard!$B$9:$L$101,11,FALSE),VLOOKUP(D1994,[3]Standard!$B$9:$M$101,12,FALSE)))),0)</f>
        <v>0</v>
      </c>
      <c r="M1994" s="269" t="str">
        <f>IFERROR(VLOOKUP((D1994&amp;C1994)&amp;"",'[2]Retail Price List'!$C$4:$F$102,4,FALSE),"")</f>
        <v/>
      </c>
      <c r="N1994" s="269">
        <f>IFERROR(IF(BA1994="WIP - 30 Days",VLOOKUP(D1994,[3]Extended!$B$9:$E$101,4,FALSE),IF(BA1994="31-120 Days",VLOOKUP(D1994,[3]Extended!$B$9:$F$101,5,FALSE),IF(BA1994="121-365 Days",VLOOKUP(D1994,[3]Extended!$B$9:$G$101,6,FALSE),VLOOKUP(D1994,[3]Extended!$B$9:$H$101,7,FALSE)))),0)</f>
        <v>0</v>
      </c>
      <c r="O1994" s="269">
        <f>IFERROR(IF(BA1994="WIP - 30 Days",VLOOKUP(D1994,[3]Extended!$B$9:$J$101,9,FALSE),IF(BA1994="31-120 Days",VLOOKUP(D1994,[3]Extended!$B$9:$K$101,10,FALSE),IF(BA1994="121-365 Days",VLOOKUP(D1994,[3]Extended!$B$9:$L$101,11,FALSE),VLOOKUP(D1994,[3]Extended!$B$9:$M$101,12,FALSE)))),0)</f>
        <v>0</v>
      </c>
      <c r="P1994" s="116" t="e">
        <f t="shared" si="156"/>
        <v>#VALUE!</v>
      </c>
      <c r="Q1994" s="110" t="e">
        <f>O1994-#REF!</f>
        <v>#REF!</v>
      </c>
      <c r="AT1994" s="88" t="str">
        <f t="shared" si="157"/>
        <v>Special Order0</v>
      </c>
      <c r="AU1994" s="89" t="str">
        <f t="shared" si="158"/>
        <v>01-1900</v>
      </c>
      <c r="BA1994" s="92" t="str">
        <f t="shared" si="159"/>
        <v/>
      </c>
    </row>
    <row r="1995" spans="2:53">
      <c r="B1995" s="60">
        <f>[2]Trucks!A1992</f>
        <v>0</v>
      </c>
      <c r="C1995" s="11">
        <f>[2]Trucks!B1992</f>
        <v>0</v>
      </c>
      <c r="D1995" s="19" t="str">
        <f>IFERROR(VLOOKUP(C1995&amp;"",'[2]Retail Price List'!$A$3:$B$103,2,FALSE),"Special Order")</f>
        <v>Special Order</v>
      </c>
      <c r="E1995" s="18">
        <f>[2]Trucks!J1992</f>
        <v>0</v>
      </c>
      <c r="F1995" s="12">
        <f>[2]Trucks!E1992</f>
        <v>0</v>
      </c>
      <c r="G1995" s="56">
        <f>[2]Trucks!K1992</f>
        <v>0</v>
      </c>
      <c r="H1995" s="46">
        <f>[2]Trucks!I1992</f>
        <v>0</v>
      </c>
      <c r="I1995" s="83" t="str">
        <f t="shared" si="155"/>
        <v/>
      </c>
      <c r="J1995" s="272" t="str">
        <f>IFERROR(VLOOKUP((D1995&amp;C1995)&amp;"",'[2]Retail Price List'!$C$4:$F$102,3,FALSE),"")</f>
        <v/>
      </c>
      <c r="K1995" s="272">
        <f>IFERROR(IF(BA1995="WIP - 30 Days",VLOOKUP(D1995,[3]Standard!$B$9:$E$101,4,FALSE),IF(BA1995="31-120 Days",VLOOKUP(D1995,[3]Standard!$B$9:$F$101,5,FALSE),IF(BA1995="121-365 Days",VLOOKUP(D1995,[3]Standard!$B$9:$G$101,6,FALSE),VLOOKUP(D1995,[3]Standard!$B$9:$H$101,7,FALSE)))),0)</f>
        <v>0</v>
      </c>
      <c r="L1995" s="272">
        <f>IFERROR(IF(BA1995="WIP - 30 Days",VLOOKUP(D1995,[3]Standard!$B$9:$J$101,9,FALSE),IF(BA1995="31-120 Days",VLOOKUP(D1995,[3]Standard!$B$9:$K$100,10,FALSE),IF(BA1995="121-365 Days",VLOOKUP(D1995,[3]Standard!$B$9:$L$101,11,FALSE),VLOOKUP(D1995,[3]Standard!$B$9:$M$101,12,FALSE)))),0)</f>
        <v>0</v>
      </c>
      <c r="M1995" s="269" t="str">
        <f>IFERROR(VLOOKUP((D1995&amp;C1995)&amp;"",'[2]Retail Price List'!$C$4:$F$102,4,FALSE),"")</f>
        <v/>
      </c>
      <c r="N1995" s="269">
        <f>IFERROR(IF(BA1995="WIP - 30 Days",VLOOKUP(D1995,[3]Extended!$B$9:$E$101,4,FALSE),IF(BA1995="31-120 Days",VLOOKUP(D1995,[3]Extended!$B$9:$F$101,5,FALSE),IF(BA1995="121-365 Days",VLOOKUP(D1995,[3]Extended!$B$9:$G$101,6,FALSE),VLOOKUP(D1995,[3]Extended!$B$9:$H$101,7,FALSE)))),0)</f>
        <v>0</v>
      </c>
      <c r="O1995" s="269">
        <f>IFERROR(IF(BA1995="WIP - 30 Days",VLOOKUP(D1995,[3]Extended!$B$9:$J$101,9,FALSE),IF(BA1995="31-120 Days",VLOOKUP(D1995,[3]Extended!$B$9:$K$101,10,FALSE),IF(BA1995="121-365 Days",VLOOKUP(D1995,[3]Extended!$B$9:$L$101,11,FALSE),VLOOKUP(D1995,[3]Extended!$B$9:$M$101,12,FALSE)))),0)</f>
        <v>0</v>
      </c>
      <c r="P1995" s="116" t="e">
        <f t="shared" si="156"/>
        <v>#VALUE!</v>
      </c>
      <c r="Q1995" s="110" t="e">
        <f>O1995-#REF!</f>
        <v>#REF!</v>
      </c>
      <c r="AT1995" s="88" t="str">
        <f t="shared" si="157"/>
        <v>Special Order0</v>
      </c>
      <c r="AU1995" s="89" t="str">
        <f t="shared" si="158"/>
        <v>01-1900</v>
      </c>
      <c r="BA1995" s="92" t="str">
        <f t="shared" si="159"/>
        <v/>
      </c>
    </row>
    <row r="1996" spans="2:53">
      <c r="B1996" s="60">
        <f>[2]Trucks!A1993</f>
        <v>0</v>
      </c>
      <c r="C1996" s="11">
        <f>[2]Trucks!B1993</f>
        <v>0</v>
      </c>
      <c r="D1996" s="19" t="str">
        <f>IFERROR(VLOOKUP(C1996&amp;"",'[2]Retail Price List'!$A$3:$B$103,2,FALSE),"Special Order")</f>
        <v>Special Order</v>
      </c>
      <c r="E1996" s="18">
        <f>[2]Trucks!J1993</f>
        <v>0</v>
      </c>
      <c r="F1996" s="12">
        <f>[2]Trucks!E1993</f>
        <v>0</v>
      </c>
      <c r="G1996" s="56">
        <f>[2]Trucks!K1993</f>
        <v>0</v>
      </c>
      <c r="H1996" s="46">
        <f>[2]Trucks!I1993</f>
        <v>0</v>
      </c>
      <c r="I1996" s="83" t="str">
        <f t="shared" si="155"/>
        <v/>
      </c>
      <c r="J1996" s="272" t="str">
        <f>IFERROR(VLOOKUP((D1996&amp;C1996)&amp;"",'[2]Retail Price List'!$C$4:$F$102,3,FALSE),"")</f>
        <v/>
      </c>
      <c r="K1996" s="272">
        <f>IFERROR(IF(BA1996="WIP - 30 Days",VLOOKUP(D1996,[3]Standard!$B$9:$E$101,4,FALSE),IF(BA1996="31-120 Days",VLOOKUP(D1996,[3]Standard!$B$9:$F$101,5,FALSE),IF(BA1996="121-365 Days",VLOOKUP(D1996,[3]Standard!$B$9:$G$101,6,FALSE),VLOOKUP(D1996,[3]Standard!$B$9:$H$101,7,FALSE)))),0)</f>
        <v>0</v>
      </c>
      <c r="L1996" s="272">
        <f>IFERROR(IF(BA1996="WIP - 30 Days",VLOOKUP(D1996,[3]Standard!$B$9:$J$101,9,FALSE),IF(BA1996="31-120 Days",VLOOKUP(D1996,[3]Standard!$B$9:$K$100,10,FALSE),IF(BA1996="121-365 Days",VLOOKUP(D1996,[3]Standard!$B$9:$L$101,11,FALSE),VLOOKUP(D1996,[3]Standard!$B$9:$M$101,12,FALSE)))),0)</f>
        <v>0</v>
      </c>
      <c r="M1996" s="269" t="str">
        <f>IFERROR(VLOOKUP((D1996&amp;C1996)&amp;"",'[2]Retail Price List'!$C$4:$F$102,4,FALSE),"")</f>
        <v/>
      </c>
      <c r="N1996" s="269">
        <f>IFERROR(IF(BA1996="WIP - 30 Days",VLOOKUP(D1996,[3]Extended!$B$9:$E$101,4,FALSE),IF(BA1996="31-120 Days",VLOOKUP(D1996,[3]Extended!$B$9:$F$101,5,FALSE),IF(BA1996="121-365 Days",VLOOKUP(D1996,[3]Extended!$B$9:$G$101,6,FALSE),VLOOKUP(D1996,[3]Extended!$B$9:$H$101,7,FALSE)))),0)</f>
        <v>0</v>
      </c>
      <c r="O1996" s="269">
        <f>IFERROR(IF(BA1996="WIP - 30 Days",VLOOKUP(D1996,[3]Extended!$B$9:$J$101,9,FALSE),IF(BA1996="31-120 Days",VLOOKUP(D1996,[3]Extended!$B$9:$K$101,10,FALSE),IF(BA1996="121-365 Days",VLOOKUP(D1996,[3]Extended!$B$9:$L$101,11,FALSE),VLOOKUP(D1996,[3]Extended!$B$9:$M$101,12,FALSE)))),0)</f>
        <v>0</v>
      </c>
      <c r="P1996" s="116" t="e">
        <f t="shared" si="156"/>
        <v>#VALUE!</v>
      </c>
      <c r="Q1996" s="110" t="e">
        <f>O1996-#REF!</f>
        <v>#REF!</v>
      </c>
      <c r="AT1996" s="88" t="str">
        <f t="shared" si="157"/>
        <v>Special Order0</v>
      </c>
      <c r="AU1996" s="89" t="str">
        <f t="shared" si="158"/>
        <v>01-1900</v>
      </c>
      <c r="BA1996" s="92" t="str">
        <f t="shared" si="159"/>
        <v/>
      </c>
    </row>
    <row r="1997" spans="2:53">
      <c r="B1997" s="60">
        <f>[2]Trucks!A1994</f>
        <v>0</v>
      </c>
      <c r="C1997" s="11">
        <f>[2]Trucks!B1994</f>
        <v>0</v>
      </c>
      <c r="D1997" s="19" t="str">
        <f>IFERROR(VLOOKUP(C1997&amp;"",'[2]Retail Price List'!$A$3:$B$103,2,FALSE),"Special Order")</f>
        <v>Special Order</v>
      </c>
      <c r="E1997" s="18">
        <f>[2]Trucks!J1994</f>
        <v>0</v>
      </c>
      <c r="F1997" s="12">
        <f>[2]Trucks!E1994</f>
        <v>0</v>
      </c>
      <c r="G1997" s="56">
        <f>[2]Trucks!K1994</f>
        <v>0</v>
      </c>
      <c r="H1997" s="46">
        <f>[2]Trucks!I1994</f>
        <v>0</v>
      </c>
      <c r="I1997" s="83" t="str">
        <f t="shared" si="155"/>
        <v/>
      </c>
      <c r="J1997" s="272" t="str">
        <f>IFERROR(VLOOKUP((D1997&amp;C1997)&amp;"",'[2]Retail Price List'!$C$4:$F$102,3,FALSE),"")</f>
        <v/>
      </c>
      <c r="K1997" s="272">
        <f>IFERROR(IF(BA1997="WIP - 30 Days",VLOOKUP(D1997,[3]Standard!$B$9:$E$101,4,FALSE),IF(BA1997="31-120 Days",VLOOKUP(D1997,[3]Standard!$B$9:$F$101,5,FALSE),IF(BA1997="121-365 Days",VLOOKUP(D1997,[3]Standard!$B$9:$G$101,6,FALSE),VLOOKUP(D1997,[3]Standard!$B$9:$H$101,7,FALSE)))),0)</f>
        <v>0</v>
      </c>
      <c r="L1997" s="272">
        <f>IFERROR(IF(BA1997="WIP - 30 Days",VLOOKUP(D1997,[3]Standard!$B$9:$J$101,9,FALSE),IF(BA1997="31-120 Days",VLOOKUP(D1997,[3]Standard!$B$9:$K$100,10,FALSE),IF(BA1997="121-365 Days",VLOOKUP(D1997,[3]Standard!$B$9:$L$101,11,FALSE),VLOOKUP(D1997,[3]Standard!$B$9:$M$101,12,FALSE)))),0)</f>
        <v>0</v>
      </c>
      <c r="M1997" s="269" t="str">
        <f>IFERROR(VLOOKUP((D1997&amp;C1997)&amp;"",'[2]Retail Price List'!$C$4:$F$102,4,FALSE),"")</f>
        <v/>
      </c>
      <c r="N1997" s="269">
        <f>IFERROR(IF(BA1997="WIP - 30 Days",VLOOKUP(D1997,[3]Extended!$B$9:$E$101,4,FALSE),IF(BA1997="31-120 Days",VLOOKUP(D1997,[3]Extended!$B$9:$F$101,5,FALSE),IF(BA1997="121-365 Days",VLOOKUP(D1997,[3]Extended!$B$9:$G$101,6,FALSE),VLOOKUP(D1997,[3]Extended!$B$9:$H$101,7,FALSE)))),0)</f>
        <v>0</v>
      </c>
      <c r="O1997" s="269">
        <f>IFERROR(IF(BA1997="WIP - 30 Days",VLOOKUP(D1997,[3]Extended!$B$9:$J$101,9,FALSE),IF(BA1997="31-120 Days",VLOOKUP(D1997,[3]Extended!$B$9:$K$101,10,FALSE),IF(BA1997="121-365 Days",VLOOKUP(D1997,[3]Extended!$B$9:$L$101,11,FALSE),VLOOKUP(D1997,[3]Extended!$B$9:$M$101,12,FALSE)))),0)</f>
        <v>0</v>
      </c>
      <c r="P1997" s="116" t="e">
        <f t="shared" si="156"/>
        <v>#VALUE!</v>
      </c>
      <c r="Q1997" s="110" t="e">
        <f>O1997-#REF!</f>
        <v>#REF!</v>
      </c>
      <c r="AT1997" s="88" t="str">
        <f t="shared" si="157"/>
        <v>Special Order0</v>
      </c>
      <c r="AU1997" s="89" t="str">
        <f t="shared" si="158"/>
        <v>01-1900</v>
      </c>
      <c r="BA1997" s="92" t="str">
        <f t="shared" si="159"/>
        <v/>
      </c>
    </row>
    <row r="1998" spans="2:53">
      <c r="B1998" s="60">
        <f>[2]Trucks!A1995</f>
        <v>0</v>
      </c>
      <c r="C1998" s="11">
        <f>[2]Trucks!B1995</f>
        <v>0</v>
      </c>
      <c r="D1998" s="19" t="str">
        <f>IFERROR(VLOOKUP(C1998&amp;"",'[2]Retail Price List'!$A$3:$B$103,2,FALSE),"Special Order")</f>
        <v>Special Order</v>
      </c>
      <c r="E1998" s="18">
        <f>[2]Trucks!J1995</f>
        <v>0</v>
      </c>
      <c r="F1998" s="12">
        <f>[2]Trucks!E1995</f>
        <v>0</v>
      </c>
      <c r="G1998" s="56">
        <f>[2]Trucks!K1995</f>
        <v>0</v>
      </c>
      <c r="H1998" s="46">
        <f>[2]Trucks!I1995</f>
        <v>0</v>
      </c>
      <c r="I1998" s="83" t="str">
        <f t="shared" si="155"/>
        <v/>
      </c>
      <c r="J1998" s="272" t="str">
        <f>IFERROR(VLOOKUP((D1998&amp;C1998)&amp;"",'[2]Retail Price List'!$C$4:$F$102,3,FALSE),"")</f>
        <v/>
      </c>
      <c r="K1998" s="272">
        <f>IFERROR(IF(BA1998="WIP - 30 Days",VLOOKUP(D1998,[3]Standard!$B$9:$E$101,4,FALSE),IF(BA1998="31-120 Days",VLOOKUP(D1998,[3]Standard!$B$9:$F$101,5,FALSE),IF(BA1998="121-365 Days",VLOOKUP(D1998,[3]Standard!$B$9:$G$101,6,FALSE),VLOOKUP(D1998,[3]Standard!$B$9:$H$101,7,FALSE)))),0)</f>
        <v>0</v>
      </c>
      <c r="L1998" s="272">
        <f>IFERROR(IF(BA1998="WIP - 30 Days",VLOOKUP(D1998,[3]Standard!$B$9:$J$101,9,FALSE),IF(BA1998="31-120 Days",VLOOKUP(D1998,[3]Standard!$B$9:$K$100,10,FALSE),IF(BA1998="121-365 Days",VLOOKUP(D1998,[3]Standard!$B$9:$L$101,11,FALSE),VLOOKUP(D1998,[3]Standard!$B$9:$M$101,12,FALSE)))),0)</f>
        <v>0</v>
      </c>
      <c r="M1998" s="269" t="str">
        <f>IFERROR(VLOOKUP((D1998&amp;C1998)&amp;"",'[2]Retail Price List'!$C$4:$F$102,4,FALSE),"")</f>
        <v/>
      </c>
      <c r="N1998" s="269">
        <f>IFERROR(IF(BA1998="WIP - 30 Days",VLOOKUP(D1998,[3]Extended!$B$9:$E$101,4,FALSE),IF(BA1998="31-120 Days",VLOOKUP(D1998,[3]Extended!$B$9:$F$101,5,FALSE),IF(BA1998="121-365 Days",VLOOKUP(D1998,[3]Extended!$B$9:$G$101,6,FALSE),VLOOKUP(D1998,[3]Extended!$B$9:$H$101,7,FALSE)))),0)</f>
        <v>0</v>
      </c>
      <c r="O1998" s="269">
        <f>IFERROR(IF(BA1998="WIP - 30 Days",VLOOKUP(D1998,[3]Extended!$B$9:$J$101,9,FALSE),IF(BA1998="31-120 Days",VLOOKUP(D1998,[3]Extended!$B$9:$K$101,10,FALSE),IF(BA1998="121-365 Days",VLOOKUP(D1998,[3]Extended!$B$9:$L$101,11,FALSE),VLOOKUP(D1998,[3]Extended!$B$9:$M$101,12,FALSE)))),0)</f>
        <v>0</v>
      </c>
      <c r="P1998" s="116" t="e">
        <f t="shared" si="156"/>
        <v>#VALUE!</v>
      </c>
      <c r="Q1998" s="110" t="e">
        <f>O1998-#REF!</f>
        <v>#REF!</v>
      </c>
      <c r="AT1998" s="88" t="str">
        <f t="shared" si="157"/>
        <v>Special Order0</v>
      </c>
      <c r="AU1998" s="89" t="str">
        <f t="shared" si="158"/>
        <v>01-1900</v>
      </c>
      <c r="BA1998" s="92" t="str">
        <f t="shared" si="159"/>
        <v/>
      </c>
    </row>
    <row r="1999" spans="2:53">
      <c r="B1999" s="60">
        <f>[2]Trucks!A1996</f>
        <v>0</v>
      </c>
      <c r="C1999" s="11">
        <f>[2]Trucks!B1996</f>
        <v>0</v>
      </c>
      <c r="D1999" s="19" t="str">
        <f>IFERROR(VLOOKUP(C1999&amp;"",'[2]Retail Price List'!$A$3:$B$103,2,FALSE),"Special Order")</f>
        <v>Special Order</v>
      </c>
      <c r="E1999" s="18">
        <f>[2]Trucks!J1996</f>
        <v>0</v>
      </c>
      <c r="F1999" s="12">
        <f>[2]Trucks!E1996</f>
        <v>0</v>
      </c>
      <c r="G1999" s="56">
        <f>[2]Trucks!K1996</f>
        <v>0</v>
      </c>
      <c r="H1999" s="46">
        <f>[2]Trucks!I1996</f>
        <v>0</v>
      </c>
      <c r="I1999" s="83" t="str">
        <f t="shared" si="155"/>
        <v/>
      </c>
      <c r="J1999" s="272" t="str">
        <f>IFERROR(VLOOKUP((D1999&amp;C1999)&amp;"",'[2]Retail Price List'!$C$4:$F$102,3,FALSE),"")</f>
        <v/>
      </c>
      <c r="K1999" s="272">
        <f>IFERROR(IF(BA1999="WIP - 30 Days",VLOOKUP(D1999,[3]Standard!$B$9:$E$101,4,FALSE),IF(BA1999="31-120 Days",VLOOKUP(D1999,[3]Standard!$B$9:$F$101,5,FALSE),IF(BA1999="121-365 Days",VLOOKUP(D1999,[3]Standard!$B$9:$G$101,6,FALSE),VLOOKUP(D1999,[3]Standard!$B$9:$H$101,7,FALSE)))),0)</f>
        <v>0</v>
      </c>
      <c r="L1999" s="272">
        <f>IFERROR(IF(BA1999="WIP - 30 Days",VLOOKUP(D1999,[3]Standard!$B$9:$J$101,9,FALSE),IF(BA1999="31-120 Days",VLOOKUP(D1999,[3]Standard!$B$9:$K$100,10,FALSE),IF(BA1999="121-365 Days",VLOOKUP(D1999,[3]Standard!$B$9:$L$101,11,FALSE),VLOOKUP(D1999,[3]Standard!$B$9:$M$101,12,FALSE)))),0)</f>
        <v>0</v>
      </c>
      <c r="M1999" s="269" t="str">
        <f>IFERROR(VLOOKUP((D1999&amp;C1999)&amp;"",'[2]Retail Price List'!$C$4:$F$102,4,FALSE),"")</f>
        <v/>
      </c>
      <c r="N1999" s="269">
        <f>IFERROR(IF(BA1999="WIP - 30 Days",VLOOKUP(D1999,[3]Extended!$B$9:$E$101,4,FALSE),IF(BA1999="31-120 Days",VLOOKUP(D1999,[3]Extended!$B$9:$F$101,5,FALSE),IF(BA1999="121-365 Days",VLOOKUP(D1999,[3]Extended!$B$9:$G$101,6,FALSE),VLOOKUP(D1999,[3]Extended!$B$9:$H$101,7,FALSE)))),0)</f>
        <v>0</v>
      </c>
      <c r="O1999" s="269">
        <f>IFERROR(IF(BA1999="WIP - 30 Days",VLOOKUP(D1999,[3]Extended!$B$9:$J$101,9,FALSE),IF(BA1999="31-120 Days",VLOOKUP(D1999,[3]Extended!$B$9:$K$101,10,FALSE),IF(BA1999="121-365 Days",VLOOKUP(D1999,[3]Extended!$B$9:$L$101,11,FALSE),VLOOKUP(D1999,[3]Extended!$B$9:$M$101,12,FALSE)))),0)</f>
        <v>0</v>
      </c>
      <c r="P1999" s="116" t="e">
        <f t="shared" si="156"/>
        <v>#VALUE!</v>
      </c>
      <c r="Q1999" s="110" t="e">
        <f>O1999-#REF!</f>
        <v>#REF!</v>
      </c>
      <c r="AT1999" s="88" t="str">
        <f t="shared" si="157"/>
        <v>Special Order0</v>
      </c>
      <c r="AU1999" s="89" t="str">
        <f t="shared" si="158"/>
        <v>01-1900</v>
      </c>
      <c r="BA1999" s="92" t="str">
        <f t="shared" si="159"/>
        <v/>
      </c>
    </row>
    <row r="2000" spans="2:53">
      <c r="B2000" s="60">
        <f>[2]Trucks!A1997</f>
        <v>0</v>
      </c>
      <c r="C2000" s="11">
        <f>[2]Trucks!B1997</f>
        <v>0</v>
      </c>
      <c r="D2000" s="19" t="str">
        <f>IFERROR(VLOOKUP(C2000&amp;"",'[2]Retail Price List'!$A$3:$B$103,2,FALSE),"Special Order")</f>
        <v>Special Order</v>
      </c>
      <c r="E2000" s="18">
        <f>[2]Trucks!J1997</f>
        <v>0</v>
      </c>
      <c r="F2000" s="12">
        <f>[2]Trucks!E1997</f>
        <v>0</v>
      </c>
      <c r="G2000" s="56">
        <f>[2]Trucks!K1997</f>
        <v>0</v>
      </c>
      <c r="H2000" s="46">
        <f>[2]Trucks!I1997</f>
        <v>0</v>
      </c>
      <c r="I2000" s="83" t="str">
        <f t="shared" si="155"/>
        <v/>
      </c>
      <c r="J2000" s="272" t="str">
        <f>IFERROR(VLOOKUP((D2000&amp;C2000)&amp;"",'[2]Retail Price List'!$C$4:$F$102,3,FALSE),"")</f>
        <v/>
      </c>
      <c r="K2000" s="272">
        <f>IFERROR(IF(BA2000="WIP - 30 Days",VLOOKUP(D2000,[3]Standard!$B$9:$E$101,4,FALSE),IF(BA2000="31-120 Days",VLOOKUP(D2000,[3]Standard!$B$9:$F$101,5,FALSE),IF(BA2000="121-365 Days",VLOOKUP(D2000,[3]Standard!$B$9:$G$101,6,FALSE),VLOOKUP(D2000,[3]Standard!$B$9:$H$101,7,FALSE)))),0)</f>
        <v>0</v>
      </c>
      <c r="L2000" s="272">
        <f>IFERROR(IF(BA2000="WIP - 30 Days",VLOOKUP(D2000,[3]Standard!$B$9:$J$101,9,FALSE),IF(BA2000="31-120 Days",VLOOKUP(D2000,[3]Standard!$B$9:$K$100,10,FALSE),IF(BA2000="121-365 Days",VLOOKUP(D2000,[3]Standard!$B$9:$L$101,11,FALSE),VLOOKUP(D2000,[3]Standard!$B$9:$M$101,12,FALSE)))),0)</f>
        <v>0</v>
      </c>
      <c r="M2000" s="269" t="str">
        <f>IFERROR(VLOOKUP((D2000&amp;C2000)&amp;"",'[2]Retail Price List'!$C$4:$F$102,4,FALSE),"")</f>
        <v/>
      </c>
      <c r="N2000" s="269">
        <f>IFERROR(IF(BA2000="WIP - 30 Days",VLOOKUP(D2000,[3]Extended!$B$9:$E$101,4,FALSE),IF(BA2000="31-120 Days",VLOOKUP(D2000,[3]Extended!$B$9:$F$101,5,FALSE),IF(BA2000="121-365 Days",VLOOKUP(D2000,[3]Extended!$B$9:$G$101,6,FALSE),VLOOKUP(D2000,[3]Extended!$B$9:$H$101,7,FALSE)))),0)</f>
        <v>0</v>
      </c>
      <c r="O2000" s="269">
        <f>IFERROR(IF(BA2000="WIP - 30 Days",VLOOKUP(D2000,[3]Extended!$B$9:$J$101,9,FALSE),IF(BA2000="31-120 Days",VLOOKUP(D2000,[3]Extended!$B$9:$K$101,10,FALSE),IF(BA2000="121-365 Days",VLOOKUP(D2000,[3]Extended!$B$9:$L$101,11,FALSE),VLOOKUP(D2000,[3]Extended!$B$9:$M$101,12,FALSE)))),0)</f>
        <v>0</v>
      </c>
      <c r="P2000" s="116" t="e">
        <f t="shared" si="156"/>
        <v>#VALUE!</v>
      </c>
      <c r="Q2000" s="110" t="e">
        <f>O2000-#REF!</f>
        <v>#REF!</v>
      </c>
      <c r="AT2000" s="88" t="str">
        <f t="shared" si="157"/>
        <v>Special Order0</v>
      </c>
      <c r="AU2000" s="89" t="str">
        <f t="shared" si="158"/>
        <v>01-1900</v>
      </c>
      <c r="BA2000" s="92" t="str">
        <f t="shared" si="159"/>
        <v/>
      </c>
    </row>
    <row r="2001" spans="2:53">
      <c r="B2001" s="60">
        <f>[2]Trucks!A1998</f>
        <v>0</v>
      </c>
      <c r="C2001" s="11">
        <f>[2]Trucks!B1998</f>
        <v>0</v>
      </c>
      <c r="D2001" s="19" t="str">
        <f>IFERROR(VLOOKUP(C2001&amp;"",'[2]Retail Price List'!$A$3:$B$103,2,FALSE),"Special Order")</f>
        <v>Special Order</v>
      </c>
      <c r="E2001" s="18">
        <f>[2]Trucks!J1998</f>
        <v>0</v>
      </c>
      <c r="F2001" s="12">
        <f>[2]Trucks!E1998</f>
        <v>0</v>
      </c>
      <c r="G2001" s="56">
        <f>[2]Trucks!K1998</f>
        <v>0</v>
      </c>
      <c r="H2001" s="46">
        <f>[2]Trucks!I1998</f>
        <v>0</v>
      </c>
      <c r="I2001" s="83" t="str">
        <f t="shared" si="155"/>
        <v/>
      </c>
      <c r="J2001" s="272" t="str">
        <f>IFERROR(VLOOKUP((D2001&amp;C2001)&amp;"",'[2]Retail Price List'!$C$4:$F$102,3,FALSE),"")</f>
        <v/>
      </c>
      <c r="K2001" s="272">
        <f>IFERROR(IF(BA2001="WIP - 30 Days",VLOOKUP(D2001,[3]Standard!$B$9:$E$101,4,FALSE),IF(BA2001="31-120 Days",VLOOKUP(D2001,[3]Standard!$B$9:$F$101,5,FALSE),IF(BA2001="121-365 Days",VLOOKUP(D2001,[3]Standard!$B$9:$G$101,6,FALSE),VLOOKUP(D2001,[3]Standard!$B$9:$H$101,7,FALSE)))),0)</f>
        <v>0</v>
      </c>
      <c r="L2001" s="272">
        <f>IFERROR(IF(BA2001="WIP - 30 Days",VLOOKUP(D2001,[3]Standard!$B$9:$J$101,9,FALSE),IF(BA2001="31-120 Days",VLOOKUP(D2001,[3]Standard!$B$9:$K$100,10,FALSE),IF(BA2001="121-365 Days",VLOOKUP(D2001,[3]Standard!$B$9:$L$101,11,FALSE),VLOOKUP(D2001,[3]Standard!$B$9:$M$101,12,FALSE)))),0)</f>
        <v>0</v>
      </c>
      <c r="M2001" s="269" t="str">
        <f>IFERROR(VLOOKUP((D2001&amp;C2001)&amp;"",'[2]Retail Price List'!$C$4:$F$102,4,FALSE),"")</f>
        <v/>
      </c>
      <c r="N2001" s="269">
        <f>IFERROR(IF(BA2001="WIP - 30 Days",VLOOKUP(D2001,[3]Extended!$B$9:$E$101,4,FALSE),IF(BA2001="31-120 Days",VLOOKUP(D2001,[3]Extended!$B$9:$F$101,5,FALSE),IF(BA2001="121-365 Days",VLOOKUP(D2001,[3]Extended!$B$9:$G$101,6,FALSE),VLOOKUP(D2001,[3]Extended!$B$9:$H$101,7,FALSE)))),0)</f>
        <v>0</v>
      </c>
      <c r="O2001" s="269">
        <f>IFERROR(IF(BA2001="WIP - 30 Days",VLOOKUP(D2001,[3]Extended!$B$9:$J$101,9,FALSE),IF(BA2001="31-120 Days",VLOOKUP(D2001,[3]Extended!$B$9:$K$101,10,FALSE),IF(BA2001="121-365 Days",VLOOKUP(D2001,[3]Extended!$B$9:$L$101,11,FALSE),VLOOKUP(D2001,[3]Extended!$B$9:$M$101,12,FALSE)))),0)</f>
        <v>0</v>
      </c>
      <c r="P2001" s="116" t="e">
        <f t="shared" si="156"/>
        <v>#VALUE!</v>
      </c>
      <c r="Q2001" s="110" t="e">
        <f>O2001-#REF!</f>
        <v>#REF!</v>
      </c>
      <c r="AT2001" s="88" t="str">
        <f t="shared" si="157"/>
        <v>Special Order0</v>
      </c>
      <c r="AU2001" s="89" t="str">
        <f t="shared" si="158"/>
        <v>01-1900</v>
      </c>
      <c r="BA2001" s="92" t="str">
        <f t="shared" si="159"/>
        <v/>
      </c>
    </row>
    <row r="2002" spans="2:53">
      <c r="B2002" s="60">
        <f>[2]Trucks!A1999</f>
        <v>0</v>
      </c>
      <c r="C2002" s="11">
        <f>[2]Trucks!B1999</f>
        <v>0</v>
      </c>
      <c r="D2002" s="19" t="str">
        <f>IFERROR(VLOOKUP(C2002&amp;"",'[2]Retail Price List'!$A$3:$B$103,2,FALSE),"Special Order")</f>
        <v>Special Order</v>
      </c>
      <c r="E2002" s="18">
        <f>[2]Trucks!J1999</f>
        <v>0</v>
      </c>
      <c r="F2002" s="12">
        <f>[2]Trucks!E1999</f>
        <v>0</v>
      </c>
      <c r="G2002" s="56">
        <f>[2]Trucks!K1999</f>
        <v>0</v>
      </c>
      <c r="H2002" s="46">
        <f>[2]Trucks!I1999</f>
        <v>0</v>
      </c>
      <c r="I2002" s="83" t="str">
        <f t="shared" si="155"/>
        <v/>
      </c>
      <c r="J2002" s="272" t="str">
        <f>IFERROR(VLOOKUP((D2002&amp;C2002)&amp;"",'[2]Retail Price List'!$C$4:$F$102,3,FALSE),"")</f>
        <v/>
      </c>
      <c r="K2002" s="272">
        <f>IFERROR(IF(BA2002="WIP - 30 Days",VLOOKUP(D2002,[3]Standard!$B$9:$E$101,4,FALSE),IF(BA2002="31-120 Days",VLOOKUP(D2002,[3]Standard!$B$9:$F$101,5,FALSE),IF(BA2002="121-365 Days",VLOOKUP(D2002,[3]Standard!$B$9:$G$101,6,FALSE),VLOOKUP(D2002,[3]Standard!$B$9:$H$101,7,FALSE)))),0)</f>
        <v>0</v>
      </c>
      <c r="L2002" s="272">
        <f>IFERROR(IF(BA2002="WIP - 30 Days",VLOOKUP(D2002,[3]Standard!$B$9:$J$101,9,FALSE),IF(BA2002="31-120 Days",VLOOKUP(D2002,[3]Standard!$B$9:$K$100,10,FALSE),IF(BA2002="121-365 Days",VLOOKUP(D2002,[3]Standard!$B$9:$L$101,11,FALSE),VLOOKUP(D2002,[3]Standard!$B$9:$M$101,12,FALSE)))),0)</f>
        <v>0</v>
      </c>
      <c r="M2002" s="269" t="str">
        <f>IFERROR(VLOOKUP((D2002&amp;C2002)&amp;"",'[2]Retail Price List'!$C$4:$F$102,4,FALSE),"")</f>
        <v/>
      </c>
      <c r="N2002" s="269">
        <f>IFERROR(IF(BA2002="WIP - 30 Days",VLOOKUP(D2002,[3]Extended!$B$9:$E$101,4,FALSE),IF(BA2002="31-120 Days",VLOOKUP(D2002,[3]Extended!$B$9:$F$101,5,FALSE),IF(BA2002="121-365 Days",VLOOKUP(D2002,[3]Extended!$B$9:$G$101,6,FALSE),VLOOKUP(D2002,[3]Extended!$B$9:$H$101,7,FALSE)))),0)</f>
        <v>0</v>
      </c>
      <c r="O2002" s="269">
        <f>IFERROR(IF(BA2002="WIP - 30 Days",VLOOKUP(D2002,[3]Extended!$B$9:$J$101,9,FALSE),IF(BA2002="31-120 Days",VLOOKUP(D2002,[3]Extended!$B$9:$K$101,10,FALSE),IF(BA2002="121-365 Days",VLOOKUP(D2002,[3]Extended!$B$9:$L$101,11,FALSE),VLOOKUP(D2002,[3]Extended!$B$9:$M$101,12,FALSE)))),0)</f>
        <v>0</v>
      </c>
      <c r="P2002" s="116" t="e">
        <f t="shared" si="156"/>
        <v>#VALUE!</v>
      </c>
      <c r="Q2002" s="110" t="e">
        <f>O2002-#REF!</f>
        <v>#REF!</v>
      </c>
      <c r="AT2002" s="88" t="str">
        <f t="shared" si="157"/>
        <v>Special Order0</v>
      </c>
      <c r="AU2002" s="89" t="str">
        <f t="shared" si="158"/>
        <v>01-1900</v>
      </c>
      <c r="BA2002" s="92" t="str">
        <f t="shared" si="159"/>
        <v/>
      </c>
    </row>
  </sheetData>
  <mergeCells count="2">
    <mergeCell ref="J3:L3"/>
    <mergeCell ref="M3:O3"/>
  </mergeCells>
  <conditionalFormatting sqref="B5:B2002">
    <cfRule type="expression" dxfId="24" priority="98" stopIfTrue="1">
      <formula>IF(COUNTIF(#REF!,B5)&gt;1,1,0)</formula>
    </cfRule>
  </conditionalFormatting>
  <conditionalFormatting sqref="C5:C2002">
    <cfRule type="expression" dxfId="23" priority="99" stopIfTrue="1">
      <formula>IF(C5="",0,IF(COUNTIF(#REF!,C5)=0,1,0))</formula>
    </cfRule>
  </conditionalFormatting>
  <conditionalFormatting sqref="B5:B2002">
    <cfRule type="expression" dxfId="22" priority="102" stopIfTrue="1">
      <formula>IF(COUNTIF($B$5:$B$28,B5)&gt;1,1,0)</formula>
    </cfRule>
  </conditionalFormatting>
  <conditionalFormatting sqref="E5:E2002">
    <cfRule type="expression" dxfId="21" priority="103">
      <formula>IF(#REF!="",1,0)</formula>
    </cfRule>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4">
    <tabColor theme="7" tint="0.79998168889431442"/>
    <pageSetUpPr fitToPage="1"/>
  </sheetPr>
  <dimension ref="B1:DA102"/>
  <sheetViews>
    <sheetView showGridLines="0" tabSelected="1" topLeftCell="A25" zoomScale="82" zoomScaleNormal="82" workbookViewId="0">
      <selection activeCell="D39" sqref="D39"/>
    </sheetView>
  </sheetViews>
  <sheetFormatPr defaultColWidth="9.1015625" defaultRowHeight="14.4"/>
  <cols>
    <col min="1" max="1" width="2.1015625" style="100" customWidth="1"/>
    <col min="2" max="2" width="29" style="100" customWidth="1"/>
    <col min="3" max="3" width="14.89453125" style="100" customWidth="1"/>
    <col min="4" max="4" width="18.5234375" style="100" customWidth="1"/>
    <col min="5" max="5" width="21.89453125" style="100" customWidth="1"/>
    <col min="6" max="6" width="33.5234375" style="100" bestFit="1" customWidth="1"/>
    <col min="7" max="7" width="5" style="100" customWidth="1"/>
    <col min="8" max="8" width="38.89453125" style="100" customWidth="1"/>
    <col min="9" max="9" width="30.3125" style="100" customWidth="1"/>
    <col min="10" max="10" width="13.68359375" style="100" customWidth="1"/>
    <col min="11" max="11" width="22.68359375" style="100" customWidth="1"/>
    <col min="12" max="12" width="28.89453125" style="101" customWidth="1"/>
    <col min="13" max="13" width="27.68359375" style="100" customWidth="1"/>
    <col min="14" max="14" width="30.89453125" style="100" customWidth="1"/>
    <col min="15" max="15" width="25.41796875" style="260" customWidth="1"/>
    <col min="16" max="16" width="16.68359375" style="260" customWidth="1"/>
    <col min="17" max="17" width="17.5234375" style="260" customWidth="1"/>
    <col min="18" max="18" width="12.3125" style="260" bestFit="1" customWidth="1"/>
    <col min="19" max="19" width="17.41796875" style="452" customWidth="1"/>
    <col min="20" max="20" width="17.89453125" style="316" customWidth="1"/>
    <col min="21" max="21" width="31.68359375" style="260" bestFit="1" customWidth="1"/>
    <col min="22" max="22" width="21.1015625" style="260" customWidth="1"/>
    <col min="23" max="23" width="19.3125" style="260" customWidth="1"/>
    <col min="24" max="24" width="16.41796875" style="260" bestFit="1" customWidth="1"/>
    <col min="25" max="25" width="16.3125" style="260" customWidth="1"/>
    <col min="26" max="26" width="10.89453125" style="260" customWidth="1"/>
    <col min="27" max="43" width="9.1015625" style="100"/>
    <col min="44" max="48" width="9.1015625" style="273"/>
    <col min="49" max="49" width="9.1015625" style="100"/>
    <col min="50" max="50" width="30.3125" style="100" bestFit="1" customWidth="1"/>
    <col min="51" max="51" width="10.68359375" style="100" customWidth="1"/>
    <col min="52" max="52" width="15.3125" style="100" customWidth="1"/>
    <col min="53" max="53" width="9.1015625" style="100"/>
    <col min="54" max="54" width="14.3125" style="100" customWidth="1"/>
    <col min="55" max="55" width="33.3125" customWidth="1"/>
    <col min="56" max="56" width="32.89453125" style="100" bestFit="1" customWidth="1"/>
    <col min="57" max="57" width="30.68359375" style="107" customWidth="1"/>
    <col min="58" max="58" width="18.89453125" style="130" bestFit="1" customWidth="1"/>
    <col min="59" max="59" width="24.41796875" style="130" customWidth="1"/>
    <col min="60" max="60" width="10.3125" style="130" customWidth="1"/>
    <col min="61" max="61" width="12.5234375" style="130" customWidth="1"/>
    <col min="62" max="62" width="3.3125" style="130" customWidth="1"/>
    <col min="63" max="63" width="16.68359375" style="16" customWidth="1"/>
    <col min="64" max="64" width="20.1015625" style="16" customWidth="1"/>
    <col min="65" max="65" width="12.89453125" style="16" customWidth="1"/>
    <col min="66" max="66" width="11.41796875" style="16" bestFit="1" customWidth="1"/>
    <col min="67" max="67" width="11.41796875" style="16" customWidth="1"/>
    <col min="68" max="68" width="3.1015625" style="16" customWidth="1"/>
    <col min="69" max="69" width="15.1015625" style="16" customWidth="1"/>
    <col min="70" max="70" width="3.1015625" style="16" customWidth="1"/>
    <col min="71" max="71" width="11.5234375" style="16" customWidth="1"/>
    <col min="72" max="72" width="10.89453125" style="26" customWidth="1"/>
    <col min="73" max="73" width="12.41796875" style="26" customWidth="1"/>
    <col min="74" max="74" width="9.3125" style="26" customWidth="1"/>
    <col min="75" max="75" width="18.1015625" style="26" customWidth="1"/>
    <col min="76" max="76" width="1.89453125" style="26" customWidth="1"/>
    <col min="77" max="77" width="11.5234375" style="26" bestFit="1" customWidth="1"/>
    <col min="78" max="78" width="11.3125" style="26" customWidth="1"/>
    <col min="79" max="79" width="2.1015625" style="26" customWidth="1"/>
    <col min="80" max="80" width="11.5234375" style="26" bestFit="1" customWidth="1"/>
    <col min="81" max="81" width="11.68359375" style="26" customWidth="1"/>
    <col min="82" max="82" width="9.1015625" style="26"/>
    <col min="83" max="83" width="18" style="26" customWidth="1"/>
    <col min="84" max="84" width="17.68359375" style="26" customWidth="1"/>
    <col min="85" max="86" width="9.1015625" style="16"/>
    <col min="87" max="87" width="12.5234375" style="26" customWidth="1"/>
    <col min="88" max="88" width="13.5234375" style="26" customWidth="1"/>
    <col min="89" max="89" width="11.5234375" style="16" bestFit="1" customWidth="1"/>
    <col min="90" max="90" width="13" style="16" bestFit="1" customWidth="1"/>
    <col min="91" max="91" width="5.1015625" style="16" customWidth="1"/>
    <col min="92" max="92" width="11.89453125" style="16" customWidth="1"/>
    <col min="93" max="93" width="13.41796875" style="16" customWidth="1"/>
    <col min="94" max="95" width="12.5234375" style="16" customWidth="1"/>
    <col min="96" max="97" width="9.1015625" style="100"/>
    <col min="98" max="98" width="11.5234375" style="100" bestFit="1" customWidth="1"/>
    <col min="99" max="99" width="11.41796875" style="100" bestFit="1" customWidth="1"/>
    <col min="100" max="100" width="11.5234375" style="100" bestFit="1" customWidth="1"/>
    <col min="101" max="101" width="11.41796875" style="100" bestFit="1" customWidth="1"/>
    <col min="102" max="103" width="9.1015625" style="100"/>
    <col min="104" max="104" width="30.5234375" style="100" bestFit="1" customWidth="1"/>
    <col min="105" max="105" width="11" style="100" bestFit="1" customWidth="1"/>
    <col min="106" max="16384" width="9.1015625" style="100"/>
  </cols>
  <sheetData>
    <row r="1" spans="2:105" ht="12" customHeight="1">
      <c r="BC1" s="100"/>
      <c r="BE1" s="126"/>
      <c r="BF1" s="126"/>
      <c r="BG1" s="126"/>
      <c r="BH1" s="126"/>
      <c r="BI1" s="126"/>
      <c r="BJ1" s="126"/>
      <c r="BK1" s="26"/>
      <c r="BL1" s="17"/>
      <c r="BQ1" s="704"/>
      <c r="BR1" s="704"/>
      <c r="BS1" s="704"/>
      <c r="BT1" s="257"/>
      <c r="BY1" s="723"/>
      <c r="BZ1" s="723"/>
      <c r="CA1" s="723"/>
      <c r="CB1" s="723"/>
    </row>
    <row r="2" spans="2:105" ht="12" customHeight="1" thickBot="1">
      <c r="B2" s="252" t="s">
        <v>366</v>
      </c>
      <c r="C2" s="724">
        <f ca="1">TODAY()</f>
        <v>43222</v>
      </c>
      <c r="D2" s="724"/>
      <c r="E2" s="458"/>
      <c r="BC2" s="100"/>
      <c r="BE2" s="127"/>
      <c r="BF2" s="127"/>
      <c r="BG2" s="127"/>
      <c r="BH2" s="127"/>
      <c r="BI2" s="127"/>
      <c r="BJ2" s="127"/>
      <c r="BK2" s="26"/>
      <c r="BL2" s="17"/>
      <c r="BQ2" s="31"/>
      <c r="BR2" s="31"/>
      <c r="BV2" s="54"/>
      <c r="BY2" s="31"/>
      <c r="BZ2" s="54"/>
      <c r="CA2" s="31"/>
      <c r="CB2" s="54"/>
    </row>
    <row r="3" spans="2:105" ht="21" customHeight="1" thickBot="1">
      <c r="B3" s="252" t="s">
        <v>367</v>
      </c>
      <c r="C3" s="721" t="s">
        <v>773</v>
      </c>
      <c r="D3" s="721"/>
      <c r="E3" s="254"/>
      <c r="K3" s="103"/>
      <c r="L3" s="102"/>
      <c r="AX3" s="725" t="s">
        <v>15</v>
      </c>
      <c r="AY3" s="726"/>
      <c r="AZ3" s="727"/>
      <c r="BB3" s="728" t="s">
        <v>452</v>
      </c>
      <c r="BC3" s="728"/>
      <c r="BD3" s="728"/>
      <c r="BE3" s="728"/>
      <c r="BF3" s="728"/>
      <c r="BG3" s="728"/>
      <c r="BH3" s="728"/>
      <c r="BI3" s="728"/>
      <c r="BJ3" s="133"/>
      <c r="BK3" s="40" t="s">
        <v>453</v>
      </c>
      <c r="BL3" s="40" t="s">
        <v>454</v>
      </c>
      <c r="BM3" s="26"/>
      <c r="BN3" s="715" t="s">
        <v>67</v>
      </c>
      <c r="BO3" s="716"/>
      <c r="BP3" s="716"/>
      <c r="BQ3" s="716"/>
      <c r="BR3" s="716"/>
      <c r="BS3" s="716"/>
      <c r="BT3" s="716"/>
      <c r="BU3" s="717"/>
      <c r="BV3" s="54"/>
      <c r="BW3" s="729" t="s">
        <v>48</v>
      </c>
      <c r="BX3" s="730"/>
      <c r="BY3" s="730"/>
      <c r="BZ3" s="730"/>
      <c r="CA3" s="730"/>
      <c r="CB3" s="730"/>
      <c r="CC3" s="731"/>
      <c r="CE3" s="715" t="s">
        <v>49</v>
      </c>
      <c r="CF3" s="716"/>
      <c r="CG3" s="716"/>
      <c r="CH3" s="716"/>
      <c r="CI3" s="716"/>
      <c r="CJ3" s="716"/>
      <c r="CK3" s="716"/>
      <c r="CL3" s="716"/>
      <c r="CM3" s="716"/>
      <c r="CN3" s="716"/>
      <c r="CO3" s="716"/>
      <c r="CP3" s="716"/>
      <c r="CQ3" s="717"/>
      <c r="CS3" s="209"/>
      <c r="CT3" s="151"/>
      <c r="CU3" s="718" t="s">
        <v>66</v>
      </c>
      <c r="CV3" s="718"/>
      <c r="CW3" s="718"/>
      <c r="CX3" s="210"/>
      <c r="CZ3" s="291" t="s">
        <v>1</v>
      </c>
      <c r="DA3" s="292" t="s">
        <v>575</v>
      </c>
    </row>
    <row r="4" spans="2:105" ht="16.5" customHeight="1" thickBot="1">
      <c r="B4" s="252" t="s">
        <v>368</v>
      </c>
      <c r="C4" s="721" t="s">
        <v>136</v>
      </c>
      <c r="D4" s="722"/>
      <c r="E4" s="289" t="s">
        <v>349</v>
      </c>
      <c r="AX4" s="104" t="s">
        <v>456</v>
      </c>
      <c r="AY4" s="104" t="s">
        <v>455</v>
      </c>
      <c r="AZ4" s="189" t="s">
        <v>364</v>
      </c>
      <c r="BB4" s="104" t="s">
        <v>118</v>
      </c>
      <c r="BC4" s="104" t="s">
        <v>383</v>
      </c>
      <c r="BD4" s="106" t="s">
        <v>268</v>
      </c>
      <c r="BE4" s="131" t="s">
        <v>117</v>
      </c>
      <c r="BF4" s="131" t="s">
        <v>118</v>
      </c>
      <c r="BG4" s="131" t="s">
        <v>30</v>
      </c>
      <c r="BH4" s="131" t="s">
        <v>119</v>
      </c>
      <c r="BI4" s="131" t="s">
        <v>248</v>
      </c>
      <c r="BJ4" s="134"/>
      <c r="BK4" s="40" t="s">
        <v>468</v>
      </c>
      <c r="BL4" s="40" t="s">
        <v>50</v>
      </c>
      <c r="BM4" s="256"/>
      <c r="BN4" s="32" t="s">
        <v>68</v>
      </c>
      <c r="BO4" s="16" t="s">
        <v>70</v>
      </c>
      <c r="BQ4" s="16" t="s">
        <v>71</v>
      </c>
      <c r="BS4" s="16" t="s">
        <v>74</v>
      </c>
      <c r="BT4" s="26" t="s">
        <v>68</v>
      </c>
      <c r="BU4" s="67" t="s">
        <v>70</v>
      </c>
      <c r="BV4" s="54"/>
      <c r="BW4" s="201" t="s">
        <v>54</v>
      </c>
      <c r="BY4" s="199" t="str">
        <f t="shared" ref="BY4:BZ7" si="0">IF($E$53="None","",CB4)</f>
        <v>36 MONTHS</v>
      </c>
      <c r="BZ4" s="199" t="str">
        <f t="shared" si="0"/>
        <v>360 000 KM</v>
      </c>
      <c r="CA4" s="16"/>
      <c r="CB4" s="198" t="s">
        <v>72</v>
      </c>
      <c r="CC4" s="202" t="s">
        <v>110</v>
      </c>
      <c r="CD4" s="16"/>
      <c r="CE4" s="72"/>
      <c r="CF4" s="53"/>
      <c r="CG4" s="23"/>
      <c r="CH4" s="23"/>
      <c r="CI4" s="53"/>
      <c r="CJ4" s="53"/>
      <c r="CK4" s="23"/>
      <c r="CL4" s="23"/>
      <c r="CM4" s="23"/>
      <c r="CN4" s="23"/>
      <c r="CO4" s="23"/>
      <c r="CP4" s="23"/>
      <c r="CQ4" s="22"/>
      <c r="CS4" s="39"/>
      <c r="CT4" s="136"/>
      <c r="CU4" s="136"/>
      <c r="CV4" s="136"/>
      <c r="CW4" s="136"/>
      <c r="CX4" s="206"/>
      <c r="CZ4" s="24" t="s">
        <v>7</v>
      </c>
      <c r="DA4" s="293" t="s">
        <v>576</v>
      </c>
    </row>
    <row r="5" spans="2:105" ht="12.75" customHeight="1" thickBot="1">
      <c r="B5" s="252" t="s">
        <v>369</v>
      </c>
      <c r="C5" s="721" t="s">
        <v>469</v>
      </c>
      <c r="D5" s="721"/>
      <c r="E5" s="289" t="s">
        <v>349</v>
      </c>
      <c r="AX5" s="190" t="s">
        <v>342</v>
      </c>
      <c r="AY5" s="191">
        <f t="shared" ref="AY5:AY34" si="1">IF(C9&gt;0,1,0)</f>
        <v>1</v>
      </c>
      <c r="AZ5" s="196">
        <f>IFERROR(IF($L$9="Standard Warranty",VLOOKUP(C9,'price list MAN'!$B$5:$L$2002,11,FALSE),VLOOKUP(C9,'price list MAN'!$B$5:$O$2002,14,FALSE)),"")</f>
        <v>1431300</v>
      </c>
      <c r="BB5" s="104" t="s">
        <v>417</v>
      </c>
      <c r="BC5" s="104" t="s">
        <v>273</v>
      </c>
      <c r="BD5" s="104" t="s">
        <v>273</v>
      </c>
      <c r="BE5" s="128" t="s">
        <v>123</v>
      </c>
      <c r="BF5" s="128" t="s">
        <v>188</v>
      </c>
      <c r="BG5" s="128" t="s">
        <v>189</v>
      </c>
      <c r="BH5" s="128" t="s">
        <v>372</v>
      </c>
      <c r="BI5" s="129" t="s">
        <v>249</v>
      </c>
      <c r="BJ5" s="132"/>
      <c r="BK5" s="40" t="s">
        <v>469</v>
      </c>
      <c r="BL5" s="40" t="s">
        <v>55</v>
      </c>
      <c r="BM5" s="256"/>
      <c r="BN5" s="444" t="str">
        <f>IF($C$46="None","",BT5)</f>
        <v>36 MONTHS</v>
      </c>
      <c r="BO5" s="443" t="str">
        <f>IF($C$46="None","",BU5)</f>
        <v>10 000 KM</v>
      </c>
      <c r="BQ5" s="442" t="str">
        <f>IF($BQ$8="None","",BS4)</f>
        <v>Trade-Back</v>
      </c>
      <c r="BS5" s="445" t="s">
        <v>460</v>
      </c>
      <c r="BT5" s="448" t="s">
        <v>72</v>
      </c>
      <c r="BU5" s="441" t="s">
        <v>73</v>
      </c>
      <c r="BV5" s="256"/>
      <c r="BW5" s="25" t="s">
        <v>32</v>
      </c>
      <c r="BY5" s="27" t="str">
        <f t="shared" si="0"/>
        <v>48 MONTHS</v>
      </c>
      <c r="BZ5" s="27" t="str">
        <f t="shared" si="0"/>
        <v>480 000 KM</v>
      </c>
      <c r="CA5" s="16"/>
      <c r="CB5" s="40" t="s">
        <v>77</v>
      </c>
      <c r="CC5" s="203" t="s">
        <v>251</v>
      </c>
      <c r="CD5" s="16"/>
      <c r="CE5" s="29" t="s">
        <v>459</v>
      </c>
      <c r="CF5" s="30"/>
      <c r="CI5" s="719" t="s">
        <v>40</v>
      </c>
      <c r="CJ5" s="719"/>
      <c r="CK5" s="719"/>
      <c r="CL5" s="719"/>
      <c r="CM5" s="26"/>
      <c r="CN5" s="719" t="s">
        <v>39</v>
      </c>
      <c r="CO5" s="719"/>
      <c r="CP5" s="719"/>
      <c r="CQ5" s="720"/>
      <c r="CS5" s="212" t="s">
        <v>616</v>
      </c>
      <c r="CT5" s="50">
        <f>IF(CS5="No",0,1)</f>
        <v>1</v>
      </c>
      <c r="CX5" s="207"/>
      <c r="CZ5" s="24" t="s">
        <v>490</v>
      </c>
      <c r="DA5" s="293" t="s">
        <v>576</v>
      </c>
    </row>
    <row r="6" spans="2:105" ht="16.5" customHeight="1" thickBot="1">
      <c r="C6" s="142"/>
      <c r="Q6" s="706"/>
      <c r="R6" s="706"/>
      <c r="S6" s="706"/>
      <c r="T6" s="706"/>
      <c r="U6" s="706"/>
      <c r="V6" s="706"/>
      <c r="W6" s="706"/>
      <c r="X6" s="706"/>
      <c r="Y6" s="706"/>
      <c r="Z6" s="706"/>
      <c r="AX6" s="190" t="s">
        <v>350</v>
      </c>
      <c r="AY6" s="191">
        <f t="shared" si="1"/>
        <v>1</v>
      </c>
      <c r="AZ6" s="196">
        <f>IFERROR(IF($L$9="Standard Warranty",VLOOKUP(C10,'price list MAN'!$B$5:$L$2002,11,FALSE),VLOOKUP(C10,'price list MAN'!$B$5:$O$2002,14,FALSE)),"")</f>
        <v>1431300</v>
      </c>
      <c r="BB6" s="104" t="s">
        <v>430</v>
      </c>
      <c r="BC6" s="104" t="s">
        <v>272</v>
      </c>
      <c r="BD6" s="104" t="s">
        <v>272</v>
      </c>
      <c r="BE6" s="128" t="s">
        <v>123</v>
      </c>
      <c r="BF6" s="128" t="s">
        <v>210</v>
      </c>
      <c r="BG6" s="128" t="s">
        <v>211</v>
      </c>
      <c r="BH6" s="128" t="s">
        <v>202</v>
      </c>
      <c r="BI6" s="129" t="s">
        <v>249</v>
      </c>
      <c r="BJ6" s="132"/>
      <c r="BK6" s="40" t="s">
        <v>470</v>
      </c>
      <c r="BL6" s="40" t="s">
        <v>60</v>
      </c>
      <c r="BM6" s="256"/>
      <c r="BN6" s="444" t="str">
        <f t="shared" ref="BN6:BN10" si="2">IF($C$46="None","",BT6)</f>
        <v>42 MONTHS</v>
      </c>
      <c r="BO6" s="443" t="str">
        <f t="shared" ref="BO6:BO33" si="3">IF($C$46="None","",BU6)</f>
        <v>20 000 KM</v>
      </c>
      <c r="BQ6" s="442" t="str">
        <f>IF($BQ$8="None","",BS5)</f>
        <v>Buy-Back</v>
      </c>
      <c r="BS6" s="447" t="s">
        <v>56</v>
      </c>
      <c r="BT6" s="448" t="s">
        <v>75</v>
      </c>
      <c r="BU6" s="441" t="s">
        <v>76</v>
      </c>
      <c r="BV6" s="54"/>
      <c r="BW6" s="25" t="s">
        <v>252</v>
      </c>
      <c r="BY6" s="27" t="str">
        <f t="shared" si="0"/>
        <v>60 MONTHS</v>
      </c>
      <c r="BZ6" s="27" t="str">
        <f t="shared" si="0"/>
        <v>600 000 KM</v>
      </c>
      <c r="CA6" s="17"/>
      <c r="CB6" s="40" t="s">
        <v>81</v>
      </c>
      <c r="CC6" s="203" t="s">
        <v>112</v>
      </c>
      <c r="CD6" s="16"/>
      <c r="CE6" s="29" t="s">
        <v>40</v>
      </c>
      <c r="CF6" s="30"/>
      <c r="CI6" s="73" t="str">
        <f t="shared" ref="CI6:CJ10" si="4">IF(OR($CE$14=0,$E$63="None"),"",CK6)</f>
        <v>24 MONTHS</v>
      </c>
      <c r="CJ6" s="73" t="str">
        <f t="shared" si="4"/>
        <v>50 000 KM</v>
      </c>
      <c r="CK6" s="258" t="s">
        <v>111</v>
      </c>
      <c r="CL6" s="258" t="s">
        <v>82</v>
      </c>
      <c r="CM6" s="26"/>
      <c r="CN6" s="74" t="str">
        <f t="shared" ref="CN6:CO10" si="5">IF(OR($CF$14=0,$E$63="None"),"",CP6)</f>
        <v>24 MONTHS</v>
      </c>
      <c r="CO6" s="27" t="str">
        <f t="shared" si="5"/>
        <v>75 000 KM</v>
      </c>
      <c r="CP6" s="27" t="s">
        <v>111</v>
      </c>
      <c r="CQ6" s="200" t="s">
        <v>257</v>
      </c>
      <c r="CS6" s="32"/>
      <c r="CX6" s="207"/>
      <c r="CZ6" s="24" t="s">
        <v>491</v>
      </c>
      <c r="DA6" s="293" t="s">
        <v>576</v>
      </c>
    </row>
    <row r="7" spans="2:105" ht="21.75" customHeight="1" thickBot="1">
      <c r="B7" s="707" t="s">
        <v>363</v>
      </c>
      <c r="C7" s="708"/>
      <c r="D7" s="708"/>
      <c r="E7" s="708"/>
      <c r="F7" s="709"/>
      <c r="H7" s="710" t="s">
        <v>15</v>
      </c>
      <c r="I7" s="711"/>
      <c r="J7" s="711"/>
      <c r="K7" s="711"/>
      <c r="L7" s="712"/>
      <c r="Q7" s="713"/>
      <c r="R7" s="713"/>
      <c r="S7" s="714"/>
      <c r="T7" s="706"/>
      <c r="U7" s="706"/>
      <c r="V7" s="706"/>
      <c r="W7" s="713"/>
      <c r="X7" s="713"/>
      <c r="Y7" s="706"/>
      <c r="Z7" s="713"/>
      <c r="AX7" s="190" t="s">
        <v>52</v>
      </c>
      <c r="AY7" s="191">
        <f t="shared" si="1"/>
        <v>1</v>
      </c>
      <c r="AZ7" s="196">
        <f>IFERROR(IF($L$9="Standard Warranty",VLOOKUP(C11,'price list MAN'!$B$5:$L$2002,11,FALSE),VLOOKUP(C11,'price list MAN'!$B$5:$O$2002,14,FALSE)),"")</f>
        <v>1431300</v>
      </c>
      <c r="BB7" s="104" t="s">
        <v>432</v>
      </c>
      <c r="BC7" s="104" t="s">
        <v>272</v>
      </c>
      <c r="BD7" s="104" t="s">
        <v>272</v>
      </c>
      <c r="BE7" s="128" t="s">
        <v>123</v>
      </c>
      <c r="BF7" s="128" t="s">
        <v>214</v>
      </c>
      <c r="BG7" s="128" t="s">
        <v>215</v>
      </c>
      <c r="BH7" s="128" t="s">
        <v>202</v>
      </c>
      <c r="BI7" s="129" t="s">
        <v>249</v>
      </c>
      <c r="BJ7" s="132"/>
      <c r="BK7" s="40" t="s">
        <v>471</v>
      </c>
      <c r="BL7" s="40" t="s">
        <v>58</v>
      </c>
      <c r="BM7" s="257"/>
      <c r="BN7" s="444" t="str">
        <f t="shared" si="2"/>
        <v>48 MONTHS</v>
      </c>
      <c r="BO7" s="443" t="str">
        <f t="shared" si="3"/>
        <v>30 000 KM</v>
      </c>
      <c r="BQ7" s="442" t="str">
        <f>IF($BQ$8="None","",BS6)</f>
        <v>None</v>
      </c>
      <c r="BS7" s="48"/>
      <c r="BT7" s="448" t="s">
        <v>77</v>
      </c>
      <c r="BU7" s="441" t="s">
        <v>78</v>
      </c>
      <c r="BV7" s="54"/>
      <c r="BW7" s="25" t="s">
        <v>56</v>
      </c>
      <c r="BY7" s="27" t="str">
        <f t="shared" si="0"/>
        <v>OTHER</v>
      </c>
      <c r="BZ7" s="27" t="str">
        <f t="shared" si="0"/>
        <v>700 000 KM</v>
      </c>
      <c r="CA7" s="17"/>
      <c r="CB7" s="40" t="s">
        <v>613</v>
      </c>
      <c r="CC7" s="203" t="s">
        <v>254</v>
      </c>
      <c r="CD7" s="16"/>
      <c r="CE7" s="29" t="s">
        <v>39</v>
      </c>
      <c r="CF7" s="30"/>
      <c r="CI7" s="73" t="str">
        <f t="shared" si="4"/>
        <v>36 MONTHS</v>
      </c>
      <c r="CJ7" s="73" t="str">
        <f t="shared" si="4"/>
        <v>75 000 KM</v>
      </c>
      <c r="CK7" s="27" t="s">
        <v>72</v>
      </c>
      <c r="CL7" s="27" t="s">
        <v>257</v>
      </c>
      <c r="CM7" s="26"/>
      <c r="CN7" s="74" t="str">
        <f t="shared" si="5"/>
        <v>36 MONTHS</v>
      </c>
      <c r="CO7" s="27" t="str">
        <f t="shared" si="5"/>
        <v>100 000 KM</v>
      </c>
      <c r="CP7" s="27" t="s">
        <v>72</v>
      </c>
      <c r="CQ7" s="200" t="s">
        <v>87</v>
      </c>
      <c r="CS7" s="32"/>
      <c r="CT7" s="50" t="s">
        <v>68</v>
      </c>
      <c r="CU7" s="50" t="s">
        <v>69</v>
      </c>
      <c r="CV7" s="50" t="s">
        <v>68</v>
      </c>
      <c r="CW7" s="50" t="s">
        <v>69</v>
      </c>
      <c r="CX7" s="207"/>
      <c r="CZ7" s="24" t="s">
        <v>492</v>
      </c>
      <c r="DA7" s="293" t="s">
        <v>576</v>
      </c>
    </row>
    <row r="8" spans="2:105" ht="17.25" customHeight="1" thickBot="1">
      <c r="B8" s="214" t="s">
        <v>344</v>
      </c>
      <c r="C8" s="214" t="s">
        <v>345</v>
      </c>
      <c r="D8" s="215" t="s">
        <v>2</v>
      </c>
      <c r="E8" s="214" t="s">
        <v>3</v>
      </c>
      <c r="F8" s="214" t="s">
        <v>584</v>
      </c>
      <c r="H8" s="135" t="s">
        <v>345</v>
      </c>
      <c r="I8" s="136"/>
      <c r="J8" s="136"/>
      <c r="K8" s="137" t="s">
        <v>346</v>
      </c>
      <c r="L8" s="461" t="str">
        <f>IF(C39=1,C9,"Refer to chassis list")</f>
        <v>Refer to chassis list</v>
      </c>
      <c r="Q8" s="713"/>
      <c r="R8" s="713"/>
      <c r="S8" s="714"/>
      <c r="T8" s="706"/>
      <c r="U8" s="706"/>
      <c r="V8" s="706"/>
      <c r="W8" s="713"/>
      <c r="X8" s="713"/>
      <c r="Y8" s="706"/>
      <c r="Z8" s="713"/>
      <c r="AV8" s="260">
        <v>0</v>
      </c>
      <c r="AX8" s="190" t="s">
        <v>51</v>
      </c>
      <c r="AY8" s="191">
        <f t="shared" si="1"/>
        <v>1</v>
      </c>
      <c r="AZ8" s="196">
        <f>IFERROR(IF($L$9="Standard Warranty",VLOOKUP(C12,'price list MAN'!$B$5:$L$2002,11,FALSE),VLOOKUP(C12,'price list MAN'!$B$5:$O$2002,14,FALSE)),"")</f>
        <v>1431300</v>
      </c>
      <c r="BB8" s="104" t="s">
        <v>394</v>
      </c>
      <c r="BC8" s="104" t="s">
        <v>269</v>
      </c>
      <c r="BD8" s="104" t="s">
        <v>269</v>
      </c>
      <c r="BE8" s="128" t="s">
        <v>123</v>
      </c>
      <c r="BF8" s="128" t="s">
        <v>137</v>
      </c>
      <c r="BG8" s="128" t="s">
        <v>138</v>
      </c>
      <c r="BH8" s="128" t="s">
        <v>128</v>
      </c>
      <c r="BI8" s="129" t="s">
        <v>249</v>
      </c>
      <c r="BJ8" s="132"/>
      <c r="BK8" s="40" t="s">
        <v>472</v>
      </c>
      <c r="BL8" s="40" t="s">
        <v>65</v>
      </c>
      <c r="BM8" s="257"/>
      <c r="BN8" s="444" t="str">
        <f t="shared" si="2"/>
        <v>54 MONTHS</v>
      </c>
      <c r="BO8" s="443" t="str">
        <f t="shared" si="3"/>
        <v>40 000 KM</v>
      </c>
      <c r="BQ8" s="446" t="str">
        <f>N41</f>
        <v>TGS</v>
      </c>
      <c r="BR8" s="55"/>
      <c r="BS8" s="48"/>
      <c r="BT8" s="448" t="s">
        <v>79</v>
      </c>
      <c r="BU8" s="441" t="s">
        <v>80</v>
      </c>
      <c r="BW8" s="32"/>
      <c r="BY8" s="16"/>
      <c r="BZ8" s="27" t="str">
        <f>IF($E$53="None","",CC8)</f>
        <v>720 000 KM</v>
      </c>
      <c r="CA8" s="17"/>
      <c r="CB8" s="16"/>
      <c r="CC8" s="203" t="s">
        <v>255</v>
      </c>
      <c r="CD8" s="16"/>
      <c r="CE8" s="29" t="s">
        <v>57</v>
      </c>
      <c r="CF8" s="30"/>
      <c r="CI8" s="73" t="str">
        <f t="shared" si="4"/>
        <v>48 MONTHS</v>
      </c>
      <c r="CJ8" s="73" t="str">
        <f t="shared" si="4"/>
        <v>100 000 KM</v>
      </c>
      <c r="CK8" s="27" t="s">
        <v>77</v>
      </c>
      <c r="CL8" s="27" t="s">
        <v>87</v>
      </c>
      <c r="CM8" s="26"/>
      <c r="CN8" s="74" t="str">
        <f t="shared" si="5"/>
        <v>48 MONTHS</v>
      </c>
      <c r="CO8" s="27" t="str">
        <f t="shared" si="5"/>
        <v>125 000 KM</v>
      </c>
      <c r="CP8" s="27" t="s">
        <v>77</v>
      </c>
      <c r="CQ8" s="200" t="s">
        <v>258</v>
      </c>
      <c r="CS8" s="32"/>
      <c r="CT8" s="104" t="s">
        <v>111</v>
      </c>
      <c r="CU8" s="104" t="s">
        <v>108</v>
      </c>
      <c r="CV8" s="40" t="str">
        <f>IF($CS$5="Yes",CT8,"")</f>
        <v>24 MONTHS</v>
      </c>
      <c r="CW8" s="40" t="str">
        <f t="shared" ref="CV8:CW23" si="6">IF($CS$5="Yes",CU8,"")</f>
        <v>300 000 KM</v>
      </c>
      <c r="CX8" s="207"/>
      <c r="CZ8" s="24" t="s">
        <v>493</v>
      </c>
      <c r="DA8" s="293" t="s">
        <v>577</v>
      </c>
    </row>
    <row r="9" spans="2:105" ht="15" customHeight="1" thickBot="1">
      <c r="B9" s="121" t="str">
        <f>IFERROR(VLOOKUP(C9,'price list MAN'!$B$5:$C$2002,2,FALSE),"")</f>
        <v>TGS-26-4406X4BLS-LX-ALU-EL</v>
      </c>
      <c r="C9" s="669">
        <v>46464</v>
      </c>
      <c r="D9" s="51">
        <f>IFERROR(IF($L$9="Standard Warranty",VLOOKUP(C9,'price list MAN'!$B$5:$J$2002,9,FALSE),VLOOKUP(C9,'price list MAN'!$B$5:$M$2002,12,FALSE)),"")</f>
        <v>1835000</v>
      </c>
      <c r="E9" s="51">
        <f>IFERROR(IF(C9="","",IF($L$9="Standard Warranty",VLOOKUP(C9,'price list MAN'!$B$5:$K$2002,10,FALSE),VLOOKUP(C9,'price list MAN'!$B$5:$N$2002,13,FALSE))),"")</f>
        <v>1474239</v>
      </c>
      <c r="F9" s="122" t="str">
        <f>IFERROR(IF(C9="","",VLOOKUP(C9,'price list MAN'!$B$5:$F$2000,5,FALSE)),"")</f>
        <v>2017-09-15</v>
      </c>
      <c r="H9" s="138" t="s">
        <v>348</v>
      </c>
      <c r="K9" s="105" t="s">
        <v>349</v>
      </c>
      <c r="L9" s="459" t="s">
        <v>350</v>
      </c>
      <c r="Q9" s="451"/>
      <c r="R9" s="304"/>
      <c r="T9" s="452"/>
      <c r="U9" s="452"/>
      <c r="V9" s="452"/>
      <c r="W9" s="452"/>
      <c r="X9" s="452"/>
      <c r="Y9" s="453"/>
      <c r="Z9" s="454"/>
      <c r="AV9" s="273">
        <f>IF(C9="","",(AV8+1))</f>
        <v>1</v>
      </c>
      <c r="AX9" s="190"/>
      <c r="AY9" s="191">
        <f t="shared" si="1"/>
        <v>1</v>
      </c>
      <c r="AZ9" s="196">
        <f>IFERROR(IF($L$9="Standard Warranty",VLOOKUP(C13,'price list MAN'!$B$5:$L$2002,11,FALSE),VLOOKUP(C13,'price list MAN'!$B$5:$O$2002,14,FALSE)),"")</f>
        <v>1431300</v>
      </c>
      <c r="BB9" s="104" t="s">
        <v>393</v>
      </c>
      <c r="BC9" s="104" t="s">
        <v>269</v>
      </c>
      <c r="BD9" s="104" t="s">
        <v>269</v>
      </c>
      <c r="BE9" s="128" t="s">
        <v>123</v>
      </c>
      <c r="BF9" s="128" t="s">
        <v>135</v>
      </c>
      <c r="BG9" s="128" t="s">
        <v>136</v>
      </c>
      <c r="BH9" s="128" t="s">
        <v>128</v>
      </c>
      <c r="BI9" s="129" t="s">
        <v>249</v>
      </c>
      <c r="BJ9" s="132"/>
      <c r="BK9" s="40" t="s">
        <v>473</v>
      </c>
      <c r="BL9" s="40" t="s">
        <v>53</v>
      </c>
      <c r="BN9" s="444" t="str">
        <f t="shared" si="2"/>
        <v>60 MONTHS</v>
      </c>
      <c r="BO9" s="443" t="str">
        <f t="shared" si="3"/>
        <v>50 000 KM</v>
      </c>
      <c r="BS9" s="48"/>
      <c r="BT9" s="448" t="s">
        <v>81</v>
      </c>
      <c r="BU9" s="441" t="s">
        <v>82</v>
      </c>
      <c r="BW9" s="32"/>
      <c r="BZ9" s="449" t="str">
        <f>IF($E$53="None","",CC9)</f>
        <v>800 000 KM</v>
      </c>
      <c r="CA9" s="17"/>
      <c r="CB9" s="16"/>
      <c r="CC9" s="203" t="s">
        <v>256</v>
      </c>
      <c r="CD9" s="16"/>
      <c r="CE9" s="29" t="s">
        <v>56</v>
      </c>
      <c r="CF9" s="30"/>
      <c r="CI9" s="73" t="str">
        <f t="shared" si="4"/>
        <v>60 MONTHS</v>
      </c>
      <c r="CJ9" s="73" t="str">
        <f t="shared" si="4"/>
        <v>125 000 KM</v>
      </c>
      <c r="CK9" s="27" t="s">
        <v>81</v>
      </c>
      <c r="CL9" s="27" t="s">
        <v>258</v>
      </c>
      <c r="CM9" s="26"/>
      <c r="CN9" s="74" t="str">
        <f t="shared" si="5"/>
        <v>60 MONTHS</v>
      </c>
      <c r="CO9" s="27" t="str">
        <f t="shared" si="5"/>
        <v>150 000 KM</v>
      </c>
      <c r="CP9" s="27" t="s">
        <v>81</v>
      </c>
      <c r="CQ9" s="200" t="s">
        <v>92</v>
      </c>
      <c r="CS9" s="32"/>
      <c r="CT9" s="40" t="s">
        <v>72</v>
      </c>
      <c r="CU9" s="40" t="s">
        <v>257</v>
      </c>
      <c r="CV9" s="40" t="str">
        <f t="shared" si="6"/>
        <v>36 MONTHS</v>
      </c>
      <c r="CW9" s="40" t="str">
        <f t="shared" si="6"/>
        <v>75 000 KM</v>
      </c>
      <c r="CX9" s="207"/>
      <c r="CZ9" s="24" t="s">
        <v>494</v>
      </c>
      <c r="DA9" s="293" t="s">
        <v>576</v>
      </c>
    </row>
    <row r="10" spans="2:105" ht="12.75" customHeight="1" thickBot="1">
      <c r="B10" s="121" t="str">
        <f>IFERROR(VLOOKUP(C10,'price list MAN'!$B$5:$C$2002,2,FALSE),"")</f>
        <v>TGS-26-4406X4BLS-LX-ALU-EL</v>
      </c>
      <c r="C10" s="669">
        <v>46465</v>
      </c>
      <c r="D10" s="51">
        <f>IFERROR(IF($L$9="Standard Warranty",VLOOKUP(C10,'price list MAN'!$B$5:$J$2002,9,FALSE),VLOOKUP(C10,'price list MAN'!$B$5:$M$2002,12,FALSE)),"")</f>
        <v>1835000</v>
      </c>
      <c r="E10" s="51">
        <f>IFERROR(IF(C10="","",IF($L$9="Standard Warranty",VLOOKUP(C10,'price list MAN'!$B$5:$K$2002,10,FALSE),VLOOKUP(C10,'price list MAN'!$B$5:$N$2002,13,FALSE))),"")</f>
        <v>1474239</v>
      </c>
      <c r="F10" s="122" t="str">
        <f>IFERROR(IF(C10="","",VLOOKUP(C10,'price list MAN'!$B$5:$F$2000,5,FALSE)),"")</f>
        <v>2017-09-18</v>
      </c>
      <c r="H10" s="138" t="s">
        <v>351</v>
      </c>
      <c r="K10" s="105" t="s">
        <v>349</v>
      </c>
      <c r="L10" s="460" t="s">
        <v>52</v>
      </c>
      <c r="Q10" s="451"/>
      <c r="R10" s="304"/>
      <c r="T10" s="452"/>
      <c r="U10" s="452"/>
      <c r="V10" s="452"/>
      <c r="W10" s="452"/>
      <c r="X10" s="452"/>
      <c r="Y10" s="453"/>
      <c r="Z10" s="454"/>
      <c r="AV10" s="273">
        <f t="shared" ref="AV10:AV38" si="7">IF(C10="","",(AV9+1))</f>
        <v>2</v>
      </c>
      <c r="AX10" s="190"/>
      <c r="AY10" s="191">
        <f t="shared" si="1"/>
        <v>0</v>
      </c>
      <c r="AZ10" s="196">
        <f>IFERROR(IF($L$9="Standard Warranty",VLOOKUP(C14,'price list MAN'!$B$5:$L$2002,11,FALSE),VLOOKUP(C14,'price list MAN'!$B$5:$O$2002,14,FALSE)),"")</f>
        <v>0</v>
      </c>
      <c r="BB10" s="104" t="s">
        <v>420</v>
      </c>
      <c r="BC10" s="104" t="s">
        <v>273</v>
      </c>
      <c r="BD10" s="104" t="s">
        <v>273</v>
      </c>
      <c r="BE10" s="128" t="s">
        <v>123</v>
      </c>
      <c r="BF10" s="128" t="s">
        <v>373</v>
      </c>
      <c r="BG10" s="128" t="s">
        <v>374</v>
      </c>
      <c r="BH10" s="128" t="s">
        <v>372</v>
      </c>
      <c r="BI10" s="129" t="s">
        <v>249</v>
      </c>
      <c r="BJ10" s="132"/>
      <c r="BK10" s="40" t="s">
        <v>253</v>
      </c>
      <c r="BL10" s="40" t="s">
        <v>64</v>
      </c>
      <c r="BN10" s="444" t="str">
        <f t="shared" si="2"/>
        <v>OTHER</v>
      </c>
      <c r="BO10" s="443" t="str">
        <f t="shared" si="3"/>
        <v>60 000 KM</v>
      </c>
      <c r="BS10" s="48"/>
      <c r="BT10" s="448" t="s">
        <v>613</v>
      </c>
      <c r="BU10" s="441" t="s">
        <v>83</v>
      </c>
      <c r="BW10" s="32"/>
      <c r="BX10" s="16"/>
      <c r="BY10" s="16"/>
      <c r="BZ10" s="27" t="str">
        <f>IF($E$53="None","",CC10)</f>
        <v>OTHER</v>
      </c>
      <c r="CA10" s="450"/>
      <c r="CC10" s="203" t="s">
        <v>613</v>
      </c>
      <c r="CE10" s="32"/>
      <c r="CF10" s="30"/>
      <c r="CG10" s="26"/>
      <c r="CI10" s="27" t="str">
        <f t="shared" si="4"/>
        <v>OTHER</v>
      </c>
      <c r="CJ10" s="73" t="str">
        <f t="shared" ref="CJ10:CJ23" si="8">IF(OR($CE$14=0,$E$63="None"),"",CL10)</f>
        <v>150 000 KM</v>
      </c>
      <c r="CK10" s="27" t="s">
        <v>613</v>
      </c>
      <c r="CL10" s="27" t="s">
        <v>92</v>
      </c>
      <c r="CM10" s="26"/>
      <c r="CN10" s="74" t="str">
        <f t="shared" si="5"/>
        <v>OTHER</v>
      </c>
      <c r="CO10" s="27" t="str">
        <f t="shared" ref="CO10:CO21" si="9">IF(OR($CF$14=0,$E$63="None"),"",CQ10)</f>
        <v>200 000 KM</v>
      </c>
      <c r="CP10" s="27" t="s">
        <v>613</v>
      </c>
      <c r="CQ10" s="200" t="s">
        <v>98</v>
      </c>
      <c r="CS10" s="32"/>
      <c r="CT10" s="40" t="s">
        <v>77</v>
      </c>
      <c r="CU10" s="40" t="s">
        <v>87</v>
      </c>
      <c r="CV10" s="40" t="str">
        <f t="shared" si="6"/>
        <v>48 MONTHS</v>
      </c>
      <c r="CW10" s="40" t="str">
        <f t="shared" si="6"/>
        <v>100 000 KM</v>
      </c>
      <c r="CX10" s="207"/>
      <c r="CZ10" s="24" t="s">
        <v>495</v>
      </c>
      <c r="DA10" s="293" t="s">
        <v>577</v>
      </c>
    </row>
    <row r="11" spans="2:105" ht="14.7" thickBot="1">
      <c r="B11" s="121" t="str">
        <f>IFERROR(VLOOKUP(C11,'price list MAN'!$B$5:$C$2002,2,FALSE),"")</f>
        <v>TGS-26-4406X4BLS-LX-ALU-EL</v>
      </c>
      <c r="C11" s="669">
        <v>46466</v>
      </c>
      <c r="D11" s="51">
        <f>IFERROR(IF($L$9="Standard Warranty",VLOOKUP(C11,'price list MAN'!$B$5:$J$2002,9,FALSE),VLOOKUP(C11,'price list MAN'!$B$5:$M$2002,12,FALSE)),"")</f>
        <v>1835000</v>
      </c>
      <c r="E11" s="51">
        <f>IFERROR(IF(C11="","",IF($L$9="Standard Warranty",VLOOKUP(C11,'price list MAN'!$B$5:$K$2002,10,FALSE),VLOOKUP(C11,'price list MAN'!$B$5:$N$2002,13,FALSE))),"")</f>
        <v>1474239</v>
      </c>
      <c r="F11" s="122" t="str">
        <f>IFERROR(IF(C11="","",VLOOKUP(C11,'price list MAN'!$B$5:$F$2000,5,FALSE)),"")</f>
        <v>2017-09-18</v>
      </c>
      <c r="H11" s="138" t="s">
        <v>17</v>
      </c>
      <c r="L11" s="139" t="str">
        <f>$B$9</f>
        <v>TGS-26-4406X4BLS-LX-ALU-EL</v>
      </c>
      <c r="Q11" s="451"/>
      <c r="R11" s="304"/>
      <c r="T11" s="452"/>
      <c r="U11" s="452"/>
      <c r="V11" s="452"/>
      <c r="W11" s="452"/>
      <c r="X11" s="452"/>
      <c r="Y11" s="453"/>
      <c r="Z11" s="454"/>
      <c r="AV11" s="273">
        <f t="shared" si="7"/>
        <v>3</v>
      </c>
      <c r="AX11" s="190"/>
      <c r="AY11" s="191">
        <f t="shared" si="1"/>
        <v>0</v>
      </c>
      <c r="AZ11" s="196">
        <f>IFERROR(IF($L$9="Standard Warranty",VLOOKUP(C15,'price list MAN'!$B$5:$L$2002,11,FALSE),VLOOKUP(C15,'price list MAN'!$B$5:$O$2002,14,FALSE)),"")</f>
        <v>0</v>
      </c>
      <c r="BB11" s="104" t="s">
        <v>404</v>
      </c>
      <c r="BC11" s="104" t="s">
        <v>270</v>
      </c>
      <c r="BD11" s="104" t="s">
        <v>270</v>
      </c>
      <c r="BE11" s="128" t="s">
        <v>123</v>
      </c>
      <c r="BF11" s="128" t="s">
        <v>164</v>
      </c>
      <c r="BG11" s="128" t="s">
        <v>165</v>
      </c>
      <c r="BH11" s="128" t="s">
        <v>370</v>
      </c>
      <c r="BI11" s="129" t="s">
        <v>249</v>
      </c>
      <c r="BJ11" s="132"/>
      <c r="BK11" s="100"/>
      <c r="BL11" s="100"/>
      <c r="BN11" s="32"/>
      <c r="BO11" s="443" t="str">
        <f t="shared" si="3"/>
        <v>70 000 KM</v>
      </c>
      <c r="BS11" s="48"/>
      <c r="BU11" s="441" t="s">
        <v>84</v>
      </c>
      <c r="BW11" s="32"/>
      <c r="BX11" s="16"/>
      <c r="BY11" s="16"/>
      <c r="BZ11" s="16"/>
      <c r="CA11" s="16"/>
      <c r="CC11" s="67"/>
      <c r="CE11" s="32"/>
      <c r="CF11" s="16"/>
      <c r="CJ11" s="73" t="str">
        <f t="shared" si="8"/>
        <v>200 000 KM</v>
      </c>
      <c r="CK11" s="26"/>
      <c r="CL11" s="27" t="s">
        <v>98</v>
      </c>
      <c r="CM11" s="26"/>
      <c r="CN11" s="54"/>
      <c r="CO11" s="27" t="str">
        <f t="shared" si="9"/>
        <v>225 000 KM</v>
      </c>
      <c r="CP11" s="26"/>
      <c r="CQ11" s="200" t="s">
        <v>259</v>
      </c>
      <c r="CS11" s="32"/>
      <c r="CT11" s="40" t="s">
        <v>81</v>
      </c>
      <c r="CU11" s="40" t="s">
        <v>258</v>
      </c>
      <c r="CV11" s="40" t="str">
        <f t="shared" si="6"/>
        <v>60 MONTHS</v>
      </c>
      <c r="CW11" s="40" t="str">
        <f t="shared" si="6"/>
        <v>125 000 KM</v>
      </c>
      <c r="CX11" s="207"/>
      <c r="CZ11" s="24" t="s">
        <v>496</v>
      </c>
      <c r="DA11" s="293" t="s">
        <v>576</v>
      </c>
    </row>
    <row r="12" spans="2:105" ht="12.75" customHeight="1" thickBot="1">
      <c r="B12" s="121" t="str">
        <f>IFERROR(VLOOKUP(C12,'price list MAN'!$B$5:$C$2002,2,FALSE),"")</f>
        <v>TGS-26-4406X4BLS-LX-ALU-EL</v>
      </c>
      <c r="C12" s="669">
        <v>46467</v>
      </c>
      <c r="D12" s="51">
        <f>IFERROR(IF($L$9="Standard Warranty",VLOOKUP(C12,'price list MAN'!$B$5:$J$2002,9,FALSE),VLOOKUP(C12,'price list MAN'!$B$5:$M$2002,12,FALSE)),"")</f>
        <v>1835000</v>
      </c>
      <c r="E12" s="51">
        <f>IFERROR(IF(C12="","",IF($L$9="Standard Warranty",VLOOKUP(C12,'price list MAN'!$B$5:$K$2002,10,FALSE),VLOOKUP(C12,'price list MAN'!$B$5:$N$2002,13,FALSE))),"")</f>
        <v>1474239</v>
      </c>
      <c r="F12" s="122" t="str">
        <f>IFERROR(IF(C12="","",VLOOKUP(C12,'price list MAN'!$B$5:$F$2000,5,FALSE)),"")</f>
        <v>2017-09-18</v>
      </c>
      <c r="H12" s="138" t="s">
        <v>36</v>
      </c>
      <c r="L12" s="140">
        <f>SUM(D9:D38)</f>
        <v>9175000</v>
      </c>
      <c r="Q12" s="451"/>
      <c r="R12" s="304"/>
      <c r="T12" s="452"/>
      <c r="U12" s="452"/>
      <c r="V12" s="452"/>
      <c r="W12" s="452"/>
      <c r="X12" s="452"/>
      <c r="Y12" s="453"/>
      <c r="Z12" s="454"/>
      <c r="AV12" s="273">
        <f t="shared" si="7"/>
        <v>4</v>
      </c>
      <c r="AX12" s="192"/>
      <c r="AY12" s="191">
        <f t="shared" si="1"/>
        <v>0</v>
      </c>
      <c r="AZ12" s="196">
        <f>IFERROR(IF($L$9="Standard Warranty",VLOOKUP(C16,'price list MAN'!$B$5:$L$2002,11,FALSE),VLOOKUP(C16,'price list MAN'!$B$5:$O$2002,14,FALSE)),"")</f>
        <v>0</v>
      </c>
      <c r="BB12" s="104" t="s">
        <v>416</v>
      </c>
      <c r="BC12" s="104" t="s">
        <v>273</v>
      </c>
      <c r="BD12" s="104" t="s">
        <v>273</v>
      </c>
      <c r="BE12" s="128" t="s">
        <v>123</v>
      </c>
      <c r="BF12" s="128" t="s">
        <v>186</v>
      </c>
      <c r="BG12" s="128" t="s">
        <v>187</v>
      </c>
      <c r="BH12" s="128" t="s">
        <v>372</v>
      </c>
      <c r="BI12" s="129" t="s">
        <v>249</v>
      </c>
      <c r="BJ12" s="132"/>
      <c r="BN12" s="32"/>
      <c r="BO12" s="443" t="str">
        <f t="shared" si="3"/>
        <v>80 000 KM</v>
      </c>
      <c r="BS12" s="48"/>
      <c r="BU12" s="441" t="s">
        <v>85</v>
      </c>
      <c r="BW12" s="32"/>
      <c r="BX12" s="16"/>
      <c r="BY12" s="16"/>
      <c r="BZ12" s="16"/>
      <c r="CA12" s="16"/>
      <c r="CC12" s="67"/>
      <c r="CE12" s="216" t="s">
        <v>59</v>
      </c>
      <c r="CF12" s="217"/>
      <c r="CG12" s="217"/>
      <c r="CJ12" s="73" t="str">
        <f t="shared" si="8"/>
        <v>225 000 KM</v>
      </c>
      <c r="CK12" s="26"/>
      <c r="CL12" s="27" t="s">
        <v>259</v>
      </c>
      <c r="CM12" s="26"/>
      <c r="CN12" s="54"/>
      <c r="CO12" s="27" t="str">
        <f t="shared" si="9"/>
        <v>300 000 KM</v>
      </c>
      <c r="CP12" s="26"/>
      <c r="CQ12" s="200" t="s">
        <v>108</v>
      </c>
      <c r="CS12" s="32"/>
      <c r="CT12" s="16" t="s">
        <v>613</v>
      </c>
      <c r="CU12" s="40" t="s">
        <v>92</v>
      </c>
      <c r="CV12" s="16" t="str">
        <f t="shared" si="6"/>
        <v>OTHER</v>
      </c>
      <c r="CW12" s="40" t="str">
        <f t="shared" si="6"/>
        <v>150 000 KM</v>
      </c>
      <c r="CX12" s="207"/>
      <c r="CZ12" s="24" t="s">
        <v>497</v>
      </c>
      <c r="DA12" s="293" t="s">
        <v>577</v>
      </c>
    </row>
    <row r="13" spans="2:105" ht="14.7" thickBot="1">
      <c r="B13" s="121" t="str">
        <f>IFERROR(VLOOKUP(C13,'price list MAN'!$B$5:$C$2002,2,FALSE),"")</f>
        <v>TGS-26-4406X4BLS-LX-ALU-EL</v>
      </c>
      <c r="C13" s="669" t="s">
        <v>774</v>
      </c>
      <c r="D13" s="51">
        <f>IFERROR(IF($L$9="Standard Warranty",VLOOKUP(C13,'price list MAN'!$B$5:$J$2002,9,FALSE),VLOOKUP(C13,'price list MAN'!$B$5:$M$2002,12,FALSE)),"")</f>
        <v>1835000</v>
      </c>
      <c r="E13" s="51">
        <f>IFERROR(IF(C13="","",IF($L$9="Standard Warranty",VLOOKUP(C13,'price list MAN'!$B$5:$K$2002,10,FALSE),VLOOKUP(C13,'price list MAN'!$B$5:$N$2002,13,FALSE))),"")</f>
        <v>1474239</v>
      </c>
      <c r="F13" s="122" t="str">
        <f>IFERROR(IF(C13="","",VLOOKUP(C13,'price list MAN'!$B$5:$F$2000,5,FALSE)),"")</f>
        <v>2018-02-15</v>
      </c>
      <c r="H13" s="141" t="s">
        <v>37</v>
      </c>
      <c r="I13" s="142"/>
      <c r="J13" s="142"/>
      <c r="K13" s="142"/>
      <c r="L13" s="143">
        <f>SUM(E9:E38)</f>
        <v>7371195</v>
      </c>
      <c r="Q13" s="451"/>
      <c r="R13" s="304"/>
      <c r="T13" s="452"/>
      <c r="U13" s="452"/>
      <c r="V13" s="452"/>
      <c r="W13" s="452"/>
      <c r="X13" s="452"/>
      <c r="Y13" s="453"/>
      <c r="Z13" s="454"/>
      <c r="AV13" s="273">
        <f t="shared" si="7"/>
        <v>5</v>
      </c>
      <c r="AX13" s="190" t="s">
        <v>356</v>
      </c>
      <c r="AY13" s="191">
        <f t="shared" si="1"/>
        <v>0</v>
      </c>
      <c r="AZ13" s="196">
        <f>IFERROR(IF($L$9="Standard Warranty",VLOOKUP(C17,'price list MAN'!$B$5:$L$2002,11,FALSE),VLOOKUP(C17,'price list MAN'!$B$5:$O$2002,14,FALSE)),"")</f>
        <v>0</v>
      </c>
      <c r="BB13" s="104" t="s">
        <v>407</v>
      </c>
      <c r="BC13" s="104" t="s">
        <v>270</v>
      </c>
      <c r="BD13" s="104" t="s">
        <v>270</v>
      </c>
      <c r="BE13" s="128" t="s">
        <v>123</v>
      </c>
      <c r="BF13" s="128" t="s">
        <v>170</v>
      </c>
      <c r="BG13" s="128" t="s">
        <v>171</v>
      </c>
      <c r="BH13" s="128" t="s">
        <v>370</v>
      </c>
      <c r="BI13" s="129" t="s">
        <v>249</v>
      </c>
      <c r="BJ13" s="132"/>
      <c r="BN13" s="32"/>
      <c r="BO13" s="443" t="str">
        <f t="shared" si="3"/>
        <v>90 000 KM</v>
      </c>
      <c r="BS13" s="48"/>
      <c r="BU13" s="441" t="s">
        <v>86</v>
      </c>
      <c r="BW13" s="32"/>
      <c r="BX13" s="16"/>
      <c r="CC13" s="67"/>
      <c r="CE13" s="33" t="s">
        <v>61</v>
      </c>
      <c r="CF13" s="258" t="s">
        <v>62</v>
      </c>
      <c r="CG13" s="258" t="s">
        <v>63</v>
      </c>
      <c r="CJ13" s="73" t="str">
        <f t="shared" si="8"/>
        <v>250 000 KM</v>
      </c>
      <c r="CK13" s="26"/>
      <c r="CL13" s="27" t="s">
        <v>104</v>
      </c>
      <c r="CM13" s="26"/>
      <c r="CN13" s="54"/>
      <c r="CO13" s="27" t="str">
        <f t="shared" si="9"/>
        <v>375 000 KM</v>
      </c>
      <c r="CP13" s="26"/>
      <c r="CQ13" s="200" t="s">
        <v>260</v>
      </c>
      <c r="CS13" s="32"/>
      <c r="CT13" s="16"/>
      <c r="CU13" s="40" t="s">
        <v>98</v>
      </c>
      <c r="CV13" s="16"/>
      <c r="CW13" s="40" t="str">
        <f t="shared" si="6"/>
        <v>200 000 KM</v>
      </c>
      <c r="CX13" s="207"/>
      <c r="CZ13" s="24" t="s">
        <v>498</v>
      </c>
      <c r="DA13" s="293" t="s">
        <v>578</v>
      </c>
    </row>
    <row r="14" spans="2:105" ht="12.75" customHeight="1" thickBot="1">
      <c r="B14" s="121">
        <f>IFERROR(VLOOKUP(C14,'price list MAN'!$B$5:$C$2002,2,FALSE),"")</f>
        <v>0</v>
      </c>
      <c r="C14" s="669"/>
      <c r="D14" s="51" t="str">
        <f>IFERROR(IF($L$9="Standard Warranty",VLOOKUP(C14,'price list MAN'!$B$5:$J$2002,9,FALSE),VLOOKUP(C14,'price list MAN'!$B$5:$M$2002,12,FALSE)),"")</f>
        <v/>
      </c>
      <c r="E14" s="51" t="str">
        <f>IFERROR(IF(C14="","",IF($L$9="Standard Warranty",VLOOKUP(C14,'price list MAN'!$B$5:$K$2002,10,FALSE),VLOOKUP(C14,'price list MAN'!$B$5:$N$2002,13,FALSE))),"")</f>
        <v/>
      </c>
      <c r="F14" s="122" t="str">
        <f>IFERROR(IF(C14="","",VLOOKUP(C14,'price list MAN'!$B$5:$F$2000,5,FALSE)),"")</f>
        <v/>
      </c>
      <c r="L14" s="100"/>
      <c r="Q14" s="451"/>
      <c r="R14" s="304"/>
      <c r="T14" s="452"/>
      <c r="U14" s="452"/>
      <c r="V14" s="452"/>
      <c r="W14" s="452"/>
      <c r="X14" s="452"/>
      <c r="Y14" s="453"/>
      <c r="Z14" s="454"/>
      <c r="AV14" s="273" t="str">
        <f t="shared" si="7"/>
        <v/>
      </c>
      <c r="AX14" s="104"/>
      <c r="AY14" s="191">
        <f t="shared" si="1"/>
        <v>0</v>
      </c>
      <c r="AZ14" s="196">
        <f>IFERROR(IF($L$9="Standard Warranty",VLOOKUP(C18,'price list MAN'!$B$5:$L$2002,11,FALSE),VLOOKUP(C18,'price list MAN'!$B$5:$O$2002,14,FALSE)),"")</f>
        <v>0</v>
      </c>
      <c r="BB14" s="104" t="s">
        <v>408</v>
      </c>
      <c r="BC14" s="104" t="s">
        <v>270</v>
      </c>
      <c r="BD14" s="104" t="s">
        <v>270</v>
      </c>
      <c r="BE14" s="128" t="s">
        <v>123</v>
      </c>
      <c r="BF14" s="128" t="s">
        <v>172</v>
      </c>
      <c r="BG14" s="128" t="s">
        <v>173</v>
      </c>
      <c r="BH14" s="128" t="s">
        <v>370</v>
      </c>
      <c r="BI14" s="129" t="s">
        <v>249</v>
      </c>
      <c r="BJ14" s="132"/>
      <c r="BN14" s="32"/>
      <c r="BO14" s="443" t="str">
        <f t="shared" si="3"/>
        <v>100 000 KM</v>
      </c>
      <c r="BS14" s="48"/>
      <c r="BU14" s="441" t="s">
        <v>87</v>
      </c>
      <c r="BW14" s="32"/>
      <c r="BX14" s="16"/>
      <c r="CC14" s="67"/>
      <c r="CE14" s="34">
        <f>IF(E63="Entire Vehicle",1,IF(E63="Combination",1,0))</f>
        <v>1</v>
      </c>
      <c r="CF14" s="258">
        <f>IF(E63="Driveline",1,IF(E63="Combination",1,0))</f>
        <v>1</v>
      </c>
      <c r="CG14" s="258">
        <f>IF(E63="Combination",1,0)</f>
        <v>1</v>
      </c>
      <c r="CJ14" s="73" t="str">
        <f t="shared" si="8"/>
        <v>300 000 KM</v>
      </c>
      <c r="CK14" s="26"/>
      <c r="CL14" s="27" t="s">
        <v>108</v>
      </c>
      <c r="CM14" s="26"/>
      <c r="CN14" s="54"/>
      <c r="CO14" s="27" t="str">
        <f t="shared" si="9"/>
        <v>400 000 KM</v>
      </c>
      <c r="CP14" s="26"/>
      <c r="CQ14" s="200" t="s">
        <v>261</v>
      </c>
      <c r="CS14" s="32"/>
      <c r="CT14" s="16"/>
      <c r="CU14" s="40" t="s">
        <v>259</v>
      </c>
      <c r="CV14" s="16"/>
      <c r="CW14" s="40" t="str">
        <f t="shared" si="6"/>
        <v>225 000 KM</v>
      </c>
      <c r="CX14" s="207"/>
      <c r="CZ14" s="24" t="s">
        <v>499</v>
      </c>
      <c r="DA14" s="293" t="s">
        <v>578</v>
      </c>
    </row>
    <row r="15" spans="2:105" ht="14.7" thickBot="1">
      <c r="B15" s="121">
        <f>IFERROR(VLOOKUP(C15,'price list MAN'!$B$5:$C$2002,2,FALSE),"")</f>
        <v>0</v>
      </c>
      <c r="C15" s="669"/>
      <c r="D15" s="51" t="str">
        <f>IFERROR(IF($L$9="Standard Warranty",VLOOKUP(C15,'price list MAN'!$B$5:$J$2002,9,FALSE),VLOOKUP(C15,'price list MAN'!$B$5:$M$2002,12,FALSE)),"")</f>
        <v/>
      </c>
      <c r="E15" s="51" t="str">
        <f>IFERROR(IF(C15="","",IF($L$9="Standard Warranty",VLOOKUP(C15,'price list MAN'!$B$5:$K$2002,10,FALSE),VLOOKUP(C15,'price list MAN'!$B$5:$N$2002,13,FALSE))),"")</f>
        <v/>
      </c>
      <c r="F15" s="122" t="str">
        <f>IFERROR(IF(C15="","",VLOOKUP(C15,'price list MAN'!$B$5:$F$2000,5,FALSE)),"")</f>
        <v/>
      </c>
      <c r="H15" s="144" t="s">
        <v>19</v>
      </c>
      <c r="I15" s="136"/>
      <c r="J15" s="136"/>
      <c r="K15" s="462">
        <v>0.12</v>
      </c>
      <c r="L15" s="145">
        <f>K15*L12</f>
        <v>1101000</v>
      </c>
      <c r="Q15" s="451"/>
      <c r="R15" s="304"/>
      <c r="T15" s="452"/>
      <c r="U15" s="452"/>
      <c r="V15" s="452"/>
      <c r="W15" s="452"/>
      <c r="X15" s="452"/>
      <c r="Y15" s="453"/>
      <c r="Z15" s="454"/>
      <c r="AV15" s="273" t="str">
        <f t="shared" si="7"/>
        <v/>
      </c>
      <c r="AX15" s="193">
        <v>1</v>
      </c>
      <c r="AY15" s="191">
        <f t="shared" si="1"/>
        <v>0</v>
      </c>
      <c r="AZ15" s="196">
        <f>IFERROR(IF($L$9="Standard Warranty",VLOOKUP(C19,'price list MAN'!$B$5:$L$2002,11,FALSE),VLOOKUP(C19,'price list MAN'!$B$5:$O$2002,14,FALSE)),"")</f>
        <v>0</v>
      </c>
      <c r="BB15" s="104" t="s">
        <v>414</v>
      </c>
      <c r="BC15" s="104" t="s">
        <v>273</v>
      </c>
      <c r="BD15" s="104" t="s">
        <v>273</v>
      </c>
      <c r="BE15" s="128" t="s">
        <v>381</v>
      </c>
      <c r="BF15" s="128" t="s">
        <v>182</v>
      </c>
      <c r="BG15" s="128" t="s">
        <v>183</v>
      </c>
      <c r="BH15" s="128" t="s">
        <v>372</v>
      </c>
      <c r="BI15" s="129" t="s">
        <v>249</v>
      </c>
      <c r="BJ15" s="132"/>
      <c r="BN15" s="32"/>
      <c r="BO15" s="443" t="str">
        <f t="shared" si="3"/>
        <v>110 000 KM</v>
      </c>
      <c r="BS15" s="48"/>
      <c r="BU15" s="441" t="s">
        <v>88</v>
      </c>
      <c r="BW15" s="32"/>
      <c r="BX15" s="16"/>
      <c r="CC15" s="67"/>
      <c r="CE15" s="32"/>
      <c r="CF15" s="16"/>
      <c r="CJ15" s="73" t="str">
        <f t="shared" si="8"/>
        <v>375 000 KM</v>
      </c>
      <c r="CK15" s="26"/>
      <c r="CL15" s="27" t="s">
        <v>260</v>
      </c>
      <c r="CM15" s="26"/>
      <c r="CN15" s="54"/>
      <c r="CO15" s="27" t="str">
        <f t="shared" si="9"/>
        <v>450 000 KM</v>
      </c>
      <c r="CP15" s="26"/>
      <c r="CQ15" s="200" t="s">
        <v>109</v>
      </c>
      <c r="CS15" s="32"/>
      <c r="CT15" s="16"/>
      <c r="CU15" s="40" t="s">
        <v>104</v>
      </c>
      <c r="CV15" s="16"/>
      <c r="CW15" s="40" t="str">
        <f t="shared" si="6"/>
        <v>250 000 KM</v>
      </c>
      <c r="CX15" s="207"/>
      <c r="CZ15" s="24" t="s">
        <v>500</v>
      </c>
      <c r="DA15" s="293" t="s">
        <v>577</v>
      </c>
    </row>
    <row r="16" spans="2:105" ht="12.75" customHeight="1" thickBot="1">
      <c r="B16" s="121">
        <f>IFERROR(VLOOKUP(C16,'price list MAN'!$B$5:$C$2002,2,FALSE),"")</f>
        <v>0</v>
      </c>
      <c r="C16" s="669"/>
      <c r="D16" s="51" t="str">
        <f>IFERROR(IF($L$9="Standard Warranty",VLOOKUP(C16,'price list MAN'!$B$5:$J$2002,9,FALSE),VLOOKUP(C16,'price list MAN'!$B$5:$M$2002,12,FALSE)),"")</f>
        <v/>
      </c>
      <c r="E16" s="51" t="str">
        <f>IFERROR(IF(C16="","",IF($L$9="Standard Warranty",VLOOKUP(C16,'price list MAN'!$B$5:$K$2002,10,FALSE),VLOOKUP(C16,'price list MAN'!$B$5:$N$2002,13,FALSE))),"")</f>
        <v/>
      </c>
      <c r="F16" s="122" t="str">
        <f>IFERROR(IF(C16="","",VLOOKUP(C16,'price list MAN'!$B$5:$F$2000,5,FALSE)),"")</f>
        <v/>
      </c>
      <c r="H16" s="146" t="s">
        <v>354</v>
      </c>
      <c r="I16" s="8"/>
      <c r="J16" s="8"/>
      <c r="L16" s="278">
        <f>SUM(L21:L35)*C39</f>
        <v>152500</v>
      </c>
      <c r="Q16" s="451"/>
      <c r="R16" s="304"/>
      <c r="T16" s="452"/>
      <c r="U16" s="452"/>
      <c r="V16" s="452"/>
      <c r="W16" s="452"/>
      <c r="X16" s="452"/>
      <c r="Y16" s="453"/>
      <c r="Z16" s="454"/>
      <c r="AV16" s="273" t="str">
        <f t="shared" si="7"/>
        <v/>
      </c>
      <c r="AX16" s="194">
        <v>2</v>
      </c>
      <c r="AY16" s="191">
        <f t="shared" si="1"/>
        <v>0</v>
      </c>
      <c r="AZ16" s="196">
        <f>IFERROR(IF($L$9="Standard Warranty",VLOOKUP(C20,'price list MAN'!$B$5:$L$2002,11,FALSE),VLOOKUP(C20,'price list MAN'!$B$5:$O$2002,14,FALSE)),"")</f>
        <v>0</v>
      </c>
      <c r="BB16" s="104" t="s">
        <v>391</v>
      </c>
      <c r="BC16" s="104" t="s">
        <v>269</v>
      </c>
      <c r="BD16" s="104" t="s">
        <v>269</v>
      </c>
      <c r="BE16" s="128" t="s">
        <v>123</v>
      </c>
      <c r="BF16" s="128" t="s">
        <v>130</v>
      </c>
      <c r="BG16" s="128" t="s">
        <v>131</v>
      </c>
      <c r="BH16" s="128" t="s">
        <v>128</v>
      </c>
      <c r="BI16" s="129" t="s">
        <v>249</v>
      </c>
      <c r="BJ16" s="132"/>
      <c r="BN16" s="41"/>
      <c r="BO16" s="443" t="str">
        <f t="shared" si="3"/>
        <v>120 000 KM</v>
      </c>
      <c r="BQ16" s="8"/>
      <c r="BR16" s="8"/>
      <c r="BS16" s="48"/>
      <c r="BU16" s="441" t="s">
        <v>89</v>
      </c>
      <c r="BW16" s="32"/>
      <c r="BX16" s="16"/>
      <c r="CC16" s="67"/>
      <c r="CE16" s="32"/>
      <c r="CF16" s="16"/>
      <c r="CJ16" s="73" t="str">
        <f t="shared" si="8"/>
        <v>400 000 KM</v>
      </c>
      <c r="CK16" s="26"/>
      <c r="CL16" s="27" t="s">
        <v>261</v>
      </c>
      <c r="CM16" s="26"/>
      <c r="CN16" s="54"/>
      <c r="CO16" s="27" t="str">
        <f t="shared" si="9"/>
        <v>500 000 KM</v>
      </c>
      <c r="CP16" s="26"/>
      <c r="CQ16" s="200" t="s">
        <v>262</v>
      </c>
      <c r="CS16" s="41"/>
      <c r="CT16" s="16"/>
      <c r="CU16" s="40" t="s">
        <v>108</v>
      </c>
      <c r="CV16" s="16"/>
      <c r="CW16" s="40" t="str">
        <f t="shared" si="6"/>
        <v>300 000 KM</v>
      </c>
      <c r="CX16" s="207"/>
      <c r="CZ16" s="24" t="s">
        <v>501</v>
      </c>
      <c r="DA16" s="293" t="s">
        <v>577</v>
      </c>
    </row>
    <row r="17" spans="2:105" ht="14.7" thickBot="1">
      <c r="B17" s="121">
        <f>IFERROR(VLOOKUP(C17,'price list MAN'!$B$5:$C$2002,2,FALSE),"")</f>
        <v>0</v>
      </c>
      <c r="C17" s="669"/>
      <c r="D17" s="51" t="str">
        <f>IFERROR(IF($L$9="Standard Warranty",VLOOKUP(C17,'price list MAN'!$B$5:$J$2002,9,FALSE),VLOOKUP(C17,'price list MAN'!$B$5:$M$2002,12,FALSE)),"")</f>
        <v/>
      </c>
      <c r="E17" s="51" t="str">
        <f>IFERROR(IF(C17="","",IF($L$9="Standard Warranty",VLOOKUP(C17,'price list MAN'!$B$5:$K$2002,10,FALSE),VLOOKUP(C17,'price list MAN'!$B$5:$N$2002,13,FALSE))),"")</f>
        <v/>
      </c>
      <c r="F17" s="122" t="str">
        <f>IFERROR(IF(C17="","",VLOOKUP(C17,'price list MAN'!$B$5:$F$2000,5,FALSE)),"")</f>
        <v/>
      </c>
      <c r="H17" s="141" t="s">
        <v>357</v>
      </c>
      <c r="I17" s="147"/>
      <c r="J17" s="147"/>
      <c r="K17" s="147"/>
      <c r="L17" s="148">
        <f>L12-L15+L16</f>
        <v>8226500</v>
      </c>
      <c r="Q17" s="451"/>
      <c r="R17" s="304"/>
      <c r="T17" s="452"/>
      <c r="U17" s="452"/>
      <c r="V17" s="452"/>
      <c r="W17" s="452"/>
      <c r="X17" s="452"/>
      <c r="Y17" s="453"/>
      <c r="Z17" s="454"/>
      <c r="AV17" s="273" t="str">
        <f t="shared" si="7"/>
        <v/>
      </c>
      <c r="AX17" s="195" t="s">
        <v>358</v>
      </c>
      <c r="AY17" s="191">
        <f t="shared" si="1"/>
        <v>0</v>
      </c>
      <c r="AZ17" s="196">
        <f>IFERROR(IF($L$9="Standard Warranty",VLOOKUP(C21,'price list MAN'!$B$5:$L$2002,11,FALSE),VLOOKUP(C21,'price list MAN'!$B$5:$O$2002,14,FALSE)),"")</f>
        <v>0</v>
      </c>
      <c r="BB17" s="104" t="s">
        <v>429</v>
      </c>
      <c r="BC17" s="104" t="s">
        <v>272</v>
      </c>
      <c r="BD17" s="104" t="s">
        <v>272</v>
      </c>
      <c r="BE17" s="128" t="s">
        <v>207</v>
      </c>
      <c r="BF17" s="128" t="s">
        <v>208</v>
      </c>
      <c r="BG17" s="128" t="s">
        <v>209</v>
      </c>
      <c r="BH17" s="128" t="s">
        <v>202</v>
      </c>
      <c r="BI17" s="129" t="s">
        <v>249</v>
      </c>
      <c r="BJ17" s="132"/>
      <c r="BN17" s="41"/>
      <c r="BO17" s="443" t="str">
        <f t="shared" si="3"/>
        <v>130 000 KM</v>
      </c>
      <c r="BQ17" s="8"/>
      <c r="BR17" s="8"/>
      <c r="BS17" s="48"/>
      <c r="BU17" s="441" t="s">
        <v>90</v>
      </c>
      <c r="BW17" s="32"/>
      <c r="BX17" s="16"/>
      <c r="CC17" s="67"/>
      <c r="CE17" s="32"/>
      <c r="CF17" s="16"/>
      <c r="CJ17" s="73" t="str">
        <f t="shared" si="8"/>
        <v>450 000 KM</v>
      </c>
      <c r="CK17" s="26"/>
      <c r="CL17" s="27" t="s">
        <v>109</v>
      </c>
      <c r="CM17" s="26"/>
      <c r="CN17" s="54"/>
      <c r="CO17" s="27" t="str">
        <f t="shared" si="9"/>
        <v>600 000 KM</v>
      </c>
      <c r="CP17" s="26"/>
      <c r="CQ17" s="200" t="s">
        <v>112</v>
      </c>
      <c r="CS17" s="41"/>
      <c r="CT17" s="16"/>
      <c r="CU17" s="40" t="s">
        <v>260</v>
      </c>
      <c r="CV17" s="16"/>
      <c r="CW17" s="40" t="str">
        <f t="shared" si="6"/>
        <v>375 000 KM</v>
      </c>
      <c r="CX17" s="207"/>
      <c r="CZ17" s="24" t="s">
        <v>502</v>
      </c>
      <c r="DA17" s="293" t="s">
        <v>577</v>
      </c>
    </row>
    <row r="18" spans="2:105" ht="12.75" customHeight="1" thickBot="1">
      <c r="B18" s="121">
        <f>IFERROR(VLOOKUP(C18,'price list MAN'!$B$5:$C$2002,2,FALSE),"")</f>
        <v>0</v>
      </c>
      <c r="C18" s="669"/>
      <c r="D18" s="51" t="str">
        <f>IFERROR(IF($L$9="Standard Warranty",VLOOKUP(C18,'price list MAN'!$B$5:$J$2002,9,FALSE),VLOOKUP(C18,'price list MAN'!$B$5:$M$2002,12,FALSE)),"")</f>
        <v/>
      </c>
      <c r="E18" s="51" t="str">
        <f>IFERROR(IF(C18="","",IF($L$9="Standard Warranty",VLOOKUP(C18,'price list MAN'!$B$5:$K$2002,10,FALSE),VLOOKUP(C18,'price list MAN'!$B$5:$N$2002,13,FALSE))),"")</f>
        <v/>
      </c>
      <c r="F18" s="122" t="str">
        <f>IFERROR(IF(C18="","",VLOOKUP(C18,'price list MAN'!$B$5:$F$2000,5,FALSE)),"")</f>
        <v/>
      </c>
      <c r="L18" s="288">
        <f>IF(K15&gt;0.2,1,0)</f>
        <v>0</v>
      </c>
      <c r="Q18" s="451"/>
      <c r="R18" s="304"/>
      <c r="T18" s="452"/>
      <c r="U18" s="452"/>
      <c r="V18" s="452"/>
      <c r="W18" s="452"/>
      <c r="X18" s="452"/>
      <c r="Y18" s="453"/>
      <c r="Z18" s="454"/>
      <c r="AV18" s="273" t="str">
        <f t="shared" si="7"/>
        <v/>
      </c>
      <c r="AX18" s="195" t="s">
        <v>359</v>
      </c>
      <c r="AY18" s="191">
        <f t="shared" si="1"/>
        <v>0</v>
      </c>
      <c r="AZ18" s="196">
        <f>IFERROR(IF($L$9="Standard Warranty",VLOOKUP(C22,'price list MAN'!$B$5:$L$2002,11,FALSE),VLOOKUP(C22,'price list MAN'!$B$5:$O$2002,14,FALSE)),"")</f>
        <v>0</v>
      </c>
      <c r="BB18" s="104" t="s">
        <v>406</v>
      </c>
      <c r="BC18" s="104" t="s">
        <v>270</v>
      </c>
      <c r="BD18" s="104" t="s">
        <v>270</v>
      </c>
      <c r="BE18" s="128" t="s">
        <v>123</v>
      </c>
      <c r="BF18" s="128" t="s">
        <v>168</v>
      </c>
      <c r="BG18" s="128" t="s">
        <v>169</v>
      </c>
      <c r="BH18" s="128" t="s">
        <v>370</v>
      </c>
      <c r="BI18" s="129" t="s">
        <v>249</v>
      </c>
      <c r="BJ18" s="132"/>
      <c r="BK18" s="16" t="str">
        <f>PROPER(BK10)</f>
        <v/>
      </c>
      <c r="BN18" s="32"/>
      <c r="BO18" s="443" t="str">
        <f t="shared" si="3"/>
        <v>140 000 KM</v>
      </c>
      <c r="BS18" s="48"/>
      <c r="BU18" s="441" t="s">
        <v>91</v>
      </c>
      <c r="BW18" s="32"/>
      <c r="BX18" s="16"/>
      <c r="CC18" s="67"/>
      <c r="CE18" s="703" t="s">
        <v>277</v>
      </c>
      <c r="CF18" s="704"/>
      <c r="CJ18" s="73" t="str">
        <f t="shared" si="8"/>
        <v>500 000 KM</v>
      </c>
      <c r="CK18" s="26"/>
      <c r="CL18" s="27" t="s">
        <v>262</v>
      </c>
      <c r="CM18" s="26"/>
      <c r="CN18" s="54"/>
      <c r="CO18" s="27" t="str">
        <f t="shared" si="9"/>
        <v>625 000 KM</v>
      </c>
      <c r="CP18" s="26"/>
      <c r="CQ18" s="200" t="s">
        <v>263</v>
      </c>
      <c r="CS18" s="32"/>
      <c r="CT18" s="16"/>
      <c r="CU18" s="40" t="s">
        <v>261</v>
      </c>
      <c r="CV18" s="16"/>
      <c r="CW18" s="40" t="str">
        <f t="shared" si="6"/>
        <v>400 000 KM</v>
      </c>
      <c r="CX18" s="207"/>
      <c r="CZ18" s="24" t="s">
        <v>503</v>
      </c>
      <c r="DA18" s="293" t="s">
        <v>577</v>
      </c>
    </row>
    <row r="19" spans="2:105" ht="14.7" thickBot="1">
      <c r="B19" s="121">
        <f>IFERROR(VLOOKUP(C19,'price list MAN'!$B$5:$C$2002,2,FALSE),"")</f>
        <v>0</v>
      </c>
      <c r="C19" s="669"/>
      <c r="D19" s="51" t="str">
        <f>IFERROR(IF($L$9="Standard Warranty",VLOOKUP(C19,'price list MAN'!$B$5:$J$2002,9,FALSE),VLOOKUP(C19,'price list MAN'!$B$5:$M$2002,12,FALSE)),"")</f>
        <v/>
      </c>
      <c r="E19" s="51" t="str">
        <f>IFERROR(IF(C19="","",IF($L$9="Standard Warranty",VLOOKUP(C19,'price list MAN'!$B$5:$K$2002,10,FALSE),VLOOKUP(C19,'price list MAN'!$B$5:$N$2002,13,FALSE))),"")</f>
        <v/>
      </c>
      <c r="F19" s="122" t="str">
        <f>IFERROR(IF(C19="","",VLOOKUP(C19,'price list MAN'!$B$5:$F$2000,5,FALSE)),"")</f>
        <v/>
      </c>
      <c r="H19" s="149" t="s">
        <v>353</v>
      </c>
      <c r="I19" s="150"/>
      <c r="J19" s="150"/>
      <c r="K19" s="151"/>
      <c r="L19" s="152">
        <f>SUM(K21:K35)</f>
        <v>30843</v>
      </c>
      <c r="Q19" s="451"/>
      <c r="R19" s="304"/>
      <c r="T19" s="452"/>
      <c r="U19" s="452"/>
      <c r="V19" s="452"/>
      <c r="W19" s="452"/>
      <c r="X19" s="452"/>
      <c r="Y19" s="453"/>
      <c r="Z19" s="454"/>
      <c r="AV19" s="273" t="str">
        <f t="shared" si="7"/>
        <v/>
      </c>
      <c r="AX19" s="195" t="s">
        <v>360</v>
      </c>
      <c r="AY19" s="191">
        <f t="shared" si="1"/>
        <v>0</v>
      </c>
      <c r="AZ19" s="196">
        <f>IFERROR(IF($L$9="Standard Warranty",VLOOKUP(C23,'price list MAN'!$B$5:$L$2002,11,FALSE),VLOOKUP(C23,'price list MAN'!$B$5:$O$2002,14,FALSE)),"")</f>
        <v>0</v>
      </c>
      <c r="BB19" s="104" t="s">
        <v>387</v>
      </c>
      <c r="BC19" s="104" t="s">
        <v>271</v>
      </c>
      <c r="BD19" s="104" t="s">
        <v>271</v>
      </c>
      <c r="BE19" s="128" t="s">
        <v>120</v>
      </c>
      <c r="BF19" s="128" t="s">
        <v>121</v>
      </c>
      <c r="BG19" s="128" t="s">
        <v>122</v>
      </c>
      <c r="BH19" s="128" t="s">
        <v>121</v>
      </c>
      <c r="BI19" s="129" t="s">
        <v>249</v>
      </c>
      <c r="BJ19" s="132"/>
      <c r="BL19" s="256"/>
      <c r="BN19" s="32"/>
      <c r="BO19" s="443" t="str">
        <f t="shared" si="3"/>
        <v>150 000 KM</v>
      </c>
      <c r="BS19" s="48"/>
      <c r="BU19" s="441" t="s">
        <v>92</v>
      </c>
      <c r="BW19" s="32"/>
      <c r="BX19" s="16"/>
      <c r="BY19" s="16"/>
      <c r="BZ19" s="16"/>
      <c r="CA19" s="16"/>
      <c r="CC19" s="67"/>
      <c r="CE19" s="29" t="str">
        <f>IF(OR($N$43="TGS4X4",$N$43="TGS6X4",$N$43="TGS8X4",$N$43="TGX4X4",$N$43="TGX6X4",$N$43="TGX8X4"),"Longhaul","Not Longhaul")</f>
        <v>Longhaul</v>
      </c>
      <c r="CF19" s="27" t="str">
        <f>IF(OR($N$41="CLA",$N$41="TGM",$N$41="VW"),"",CE19)</f>
        <v>Longhaul</v>
      </c>
      <c r="CJ19" s="73" t="str">
        <f t="shared" si="8"/>
        <v>600 000 KM</v>
      </c>
      <c r="CK19" s="26"/>
      <c r="CL19" s="27" t="s">
        <v>112</v>
      </c>
      <c r="CM19" s="26"/>
      <c r="CN19" s="54"/>
      <c r="CO19" s="27" t="str">
        <f t="shared" si="9"/>
        <v>750 000 KM</v>
      </c>
      <c r="CP19" s="26"/>
      <c r="CQ19" s="200" t="s">
        <v>264</v>
      </c>
      <c r="CS19" s="32"/>
      <c r="CT19" s="16"/>
      <c r="CU19" s="40" t="s">
        <v>109</v>
      </c>
      <c r="CV19" s="16"/>
      <c r="CW19" s="40" t="str">
        <f t="shared" si="6"/>
        <v>450 000 KM</v>
      </c>
      <c r="CX19" s="207"/>
      <c r="CZ19" s="24" t="s">
        <v>504</v>
      </c>
      <c r="DA19" s="293" t="s">
        <v>577</v>
      </c>
    </row>
    <row r="20" spans="2:105" ht="14.7" thickBot="1">
      <c r="B20" s="121">
        <f>IFERROR(VLOOKUP(C20,'price list MAN'!$B$5:$C$2002,2,FALSE),"")</f>
        <v>0</v>
      </c>
      <c r="C20" s="669"/>
      <c r="D20" s="51" t="str">
        <f>IFERROR(IF($L$9="Standard Warranty",VLOOKUP(C20,'price list MAN'!$B$5:$J$2002,9,FALSE),VLOOKUP(C20,'price list MAN'!$B$5:$M$2002,12,FALSE)),"")</f>
        <v/>
      </c>
      <c r="E20" s="51" t="str">
        <f>IFERROR(IF(C20="","",IF($L$9="Standard Warranty",VLOOKUP(C20,'price list MAN'!$B$5:$K$2002,10,FALSE),VLOOKUP(C20,'price list MAN'!$B$5:$N$2002,13,FALSE))),"")</f>
        <v/>
      </c>
      <c r="F20" s="122" t="str">
        <f>IFERROR(IF(C20="","",VLOOKUP(C20,'price list MAN'!$B$5:$F$2000,5,FALSE)),"")</f>
        <v/>
      </c>
      <c r="H20" s="149" t="s">
        <v>365</v>
      </c>
      <c r="I20" s="290" t="s">
        <v>266</v>
      </c>
      <c r="J20" s="457" t="s">
        <v>615</v>
      </c>
      <c r="K20" s="153" t="s">
        <v>457</v>
      </c>
      <c r="L20" s="285" t="s">
        <v>38</v>
      </c>
      <c r="Q20" s="451"/>
      <c r="R20" s="304"/>
      <c r="T20" s="452"/>
      <c r="U20" s="452"/>
      <c r="V20" s="452"/>
      <c r="W20" s="452"/>
      <c r="X20" s="452"/>
      <c r="Y20" s="453"/>
      <c r="Z20" s="454"/>
      <c r="AV20" s="273" t="str">
        <f t="shared" si="7"/>
        <v/>
      </c>
      <c r="AX20" s="195" t="s">
        <v>361</v>
      </c>
      <c r="AY20" s="191">
        <f t="shared" si="1"/>
        <v>0</v>
      </c>
      <c r="AZ20" s="196">
        <f>IFERROR(IF($L$9="Standard Warranty",VLOOKUP(C24,'price list MAN'!$B$5:$L$2002,11,FALSE),VLOOKUP(C24,'price list MAN'!$B$5:$O$2002,14,FALSE)),"")</f>
        <v>0</v>
      </c>
      <c r="BB20" s="104" t="s">
        <v>431</v>
      </c>
      <c r="BC20" s="104" t="s">
        <v>272</v>
      </c>
      <c r="BD20" s="104" t="s">
        <v>272</v>
      </c>
      <c r="BE20" s="128" t="s">
        <v>123</v>
      </c>
      <c r="BF20" s="128" t="s">
        <v>212</v>
      </c>
      <c r="BG20" s="128" t="s">
        <v>213</v>
      </c>
      <c r="BH20" s="128" t="s">
        <v>202</v>
      </c>
      <c r="BI20" s="129" t="s">
        <v>249</v>
      </c>
      <c r="BJ20" s="132"/>
      <c r="BM20" s="256"/>
      <c r="BN20" s="32"/>
      <c r="BO20" s="443" t="str">
        <f t="shared" si="3"/>
        <v>160 000 KM</v>
      </c>
      <c r="BS20" s="48"/>
      <c r="BU20" s="441" t="s">
        <v>93</v>
      </c>
      <c r="BW20" s="70"/>
      <c r="CC20" s="67"/>
      <c r="CE20" s="29" t="s">
        <v>278</v>
      </c>
      <c r="CF20" s="27" t="str">
        <f>IF(OR($N$41="CLA",$N$41="TGM",$N$41="VW"),"",CE20)</f>
        <v>Traction/Distribution</v>
      </c>
      <c r="CJ20" s="73" t="str">
        <f t="shared" si="8"/>
        <v>625 000 KM</v>
      </c>
      <c r="CK20" s="26"/>
      <c r="CL20" s="27" t="s">
        <v>263</v>
      </c>
      <c r="CM20" s="26"/>
      <c r="CN20" s="54"/>
      <c r="CO20" s="27" t="str">
        <f t="shared" si="9"/>
        <v>1 000 000 KM</v>
      </c>
      <c r="CP20" s="26"/>
      <c r="CQ20" s="200" t="s">
        <v>265</v>
      </c>
      <c r="CS20" s="146"/>
      <c r="CT20" s="16"/>
      <c r="CU20" s="40" t="s">
        <v>262</v>
      </c>
      <c r="CV20" s="8"/>
      <c r="CW20" s="40" t="str">
        <f t="shared" si="6"/>
        <v>500 000 KM</v>
      </c>
      <c r="CX20" s="207"/>
      <c r="CZ20" s="24" t="s">
        <v>505</v>
      </c>
      <c r="DA20" s="293" t="s">
        <v>577</v>
      </c>
    </row>
    <row r="21" spans="2:105" ht="19.5" customHeight="1" thickBot="1">
      <c r="B21" s="121">
        <f>IFERROR(VLOOKUP(C21,'price list MAN'!$B$5:$C$2002,2,FALSE),"")</f>
        <v>0</v>
      </c>
      <c r="C21" s="669"/>
      <c r="D21" s="51" t="str">
        <f>IFERROR(IF($L$9="Standard Warranty",VLOOKUP(C21,'price list MAN'!$B$5:$J$2002,9,FALSE),VLOOKUP(C21,'price list MAN'!$B$5:$M$2002,12,FALSE)),"")</f>
        <v/>
      </c>
      <c r="E21" s="51" t="str">
        <f>IFERROR(IF(C21="","",IF($L$9="Standard Warranty",VLOOKUP(C21,'price list MAN'!$B$5:$K$2002,10,FALSE),VLOOKUP(C21,'price list MAN'!$B$5:$N$2002,13,FALSE))),"")</f>
        <v/>
      </c>
      <c r="F21" s="122" t="str">
        <f>IFERROR(IF(C21="","",VLOOKUP(C21,'price list MAN'!$B$5:$F$2000,5,FALSE)),"")</f>
        <v/>
      </c>
      <c r="H21" s="154" t="s">
        <v>778</v>
      </c>
      <c r="I21" s="155" t="s">
        <v>779</v>
      </c>
      <c r="J21" s="470" t="str">
        <f>IF(H21="","",IF(ISNUMBER(SEARCH("licen",H21)),"N","Y"))</f>
        <v>Y</v>
      </c>
      <c r="K21" s="156">
        <v>12343</v>
      </c>
      <c r="L21" s="157">
        <v>13000</v>
      </c>
      <c r="Q21" s="451"/>
      <c r="R21" s="304"/>
      <c r="T21" s="452"/>
      <c r="U21" s="452"/>
      <c r="V21" s="452"/>
      <c r="W21" s="452"/>
      <c r="X21" s="452"/>
      <c r="Y21" s="453"/>
      <c r="Z21" s="454"/>
      <c r="AV21" s="273" t="str">
        <f t="shared" si="7"/>
        <v/>
      </c>
      <c r="AX21" s="190"/>
      <c r="AY21" s="191">
        <f t="shared" si="1"/>
        <v>0</v>
      </c>
      <c r="AZ21" s="196">
        <f>IFERROR(IF($L$9="Standard Warranty",VLOOKUP(C25,'price list MAN'!$B$5:$L$2002,11,FALSE),VLOOKUP(C25,'price list MAN'!$B$5:$O$2002,14,FALSE)),"")</f>
        <v>0</v>
      </c>
      <c r="BB21" s="104" t="s">
        <v>419</v>
      </c>
      <c r="BC21" s="104" t="s">
        <v>273</v>
      </c>
      <c r="BD21" s="104" t="s">
        <v>273</v>
      </c>
      <c r="BE21" s="128" t="s">
        <v>123</v>
      </c>
      <c r="BF21" s="128" t="s">
        <v>192</v>
      </c>
      <c r="BG21" s="128" t="s">
        <v>193</v>
      </c>
      <c r="BH21" s="128" t="s">
        <v>372</v>
      </c>
      <c r="BI21" s="129" t="s">
        <v>249</v>
      </c>
      <c r="BJ21" s="132"/>
      <c r="BN21" s="32"/>
      <c r="BO21" s="443" t="str">
        <f t="shared" si="3"/>
        <v>170 000 KM</v>
      </c>
      <c r="BS21" s="48"/>
      <c r="BU21" s="441" t="s">
        <v>94</v>
      </c>
      <c r="BW21" s="70"/>
      <c r="CC21" s="67"/>
      <c r="CE21" s="29" t="str">
        <f>IF(OR($H$66="TGS4X2",$H$66="TGS6X2",$H$66="TGS8X2",$H$66="TGX2X2",$H$66="TGX6X2",$H$66="TGX8X2"),"","Hydrodrive")</f>
        <v>Hydrodrive</v>
      </c>
      <c r="CF21" s="27" t="str">
        <f>IF(OR($N$41="CLA",$N$41="TGM",$N$41="VW"),"",CE21)</f>
        <v>Hydrodrive</v>
      </c>
      <c r="CJ21" s="73" t="str">
        <f t="shared" si="8"/>
        <v>750 000 KM</v>
      </c>
      <c r="CK21" s="26"/>
      <c r="CL21" s="27" t="s">
        <v>264</v>
      </c>
      <c r="CM21" s="26"/>
      <c r="CN21" s="26"/>
      <c r="CO21" s="27" t="str">
        <f t="shared" si="9"/>
        <v>OTHER</v>
      </c>
      <c r="CP21" s="26"/>
      <c r="CQ21" s="27" t="s">
        <v>613</v>
      </c>
      <c r="CS21" s="146"/>
      <c r="CT21" s="16"/>
      <c r="CU21" s="40" t="s">
        <v>112</v>
      </c>
      <c r="CV21" s="8"/>
      <c r="CW21" s="40" t="str">
        <f t="shared" si="6"/>
        <v>600 000 KM</v>
      </c>
      <c r="CX21" s="207"/>
      <c r="CZ21" s="24" t="s">
        <v>284</v>
      </c>
      <c r="DA21" s="293" t="s">
        <v>576</v>
      </c>
    </row>
    <row r="22" spans="2:105" ht="14.7" thickBot="1">
      <c r="B22" s="121">
        <f>IFERROR(VLOOKUP(C22,'price list MAN'!$B$5:$C$2002,2,FALSE),"")</f>
        <v>0</v>
      </c>
      <c r="C22" s="669"/>
      <c r="D22" s="51" t="str">
        <f>IFERROR(IF($L$9="Standard Warranty",VLOOKUP(C22,'price list MAN'!$B$5:$J$2002,9,FALSE),VLOOKUP(C22,'price list MAN'!$B$5:$M$2002,12,FALSE)),"")</f>
        <v/>
      </c>
      <c r="E22" s="51" t="str">
        <f>IFERROR(IF(C22="","",IF($L$9="Standard Warranty",VLOOKUP(C22,'price list MAN'!$B$5:$K$2002,10,FALSE),VLOOKUP(C22,'price list MAN'!$B$5:$N$2002,13,FALSE))),"")</f>
        <v/>
      </c>
      <c r="F22" s="122" t="str">
        <f>IFERROR(IF(C22="","",VLOOKUP(C22,'price list MAN'!$B$5:$F$2000,5,FALSE)),"")</f>
        <v/>
      </c>
      <c r="H22" s="158" t="s">
        <v>780</v>
      </c>
      <c r="I22" s="123" t="s">
        <v>779</v>
      </c>
      <c r="J22" s="471" t="str">
        <f t="shared" ref="J22:J35" si="10">IF(H22="","",IF(ISNUMBER(SEARCH("licen",H22)),"N","Y"))</f>
        <v>Y</v>
      </c>
      <c r="K22" s="123">
        <v>16500</v>
      </c>
      <c r="L22" s="159">
        <v>17500</v>
      </c>
      <c r="Q22" s="451"/>
      <c r="R22" s="304"/>
      <c r="T22" s="452"/>
      <c r="U22" s="452"/>
      <c r="V22" s="452"/>
      <c r="W22" s="452"/>
      <c r="X22" s="452"/>
      <c r="Y22" s="453"/>
      <c r="Z22" s="454"/>
      <c r="AV22" s="273" t="str">
        <f t="shared" si="7"/>
        <v/>
      </c>
      <c r="AX22" s="104"/>
      <c r="AY22" s="191">
        <f t="shared" si="1"/>
        <v>0</v>
      </c>
      <c r="AZ22" s="196">
        <f>IFERROR(IF($L$9="Standard Warranty",VLOOKUP(C26,'price list MAN'!$B$5:$L$2002,11,FALSE),VLOOKUP(C26,'price list MAN'!$B$5:$O$2002,14,FALSE)),"")</f>
        <v>0</v>
      </c>
      <c r="BB22" s="104" t="s">
        <v>423</v>
      </c>
      <c r="BC22" s="104" t="s">
        <v>274</v>
      </c>
      <c r="BD22" s="104" t="s">
        <v>274</v>
      </c>
      <c r="BE22" s="128" t="s">
        <v>123</v>
      </c>
      <c r="BF22" s="128" t="s">
        <v>195</v>
      </c>
      <c r="BG22" s="128" t="s">
        <v>193</v>
      </c>
      <c r="BH22" s="128" t="s">
        <v>375</v>
      </c>
      <c r="BI22" s="129" t="s">
        <v>249</v>
      </c>
      <c r="BJ22" s="132"/>
      <c r="BM22" s="6"/>
      <c r="BN22" s="32"/>
      <c r="BO22" s="443" t="str">
        <f t="shared" si="3"/>
        <v>180 000 KM</v>
      </c>
      <c r="BS22" s="48"/>
      <c r="BU22" s="441" t="s">
        <v>95</v>
      </c>
      <c r="BW22" s="70"/>
      <c r="CC22" s="67"/>
      <c r="CE22" s="40" t="str">
        <f>IF(OR($H$66="TGS4X2",$H$66="TGS6X2",$H$66="TGS8X2",$H$66="TGX2X2",$H$66="TGX6X2",$H$66="TGX8X2"),"","Heavy Duty")</f>
        <v>Heavy Duty</v>
      </c>
      <c r="CF22" s="27" t="str">
        <f>IF(OR($N$41="CLA",$N$41="TGM",$N$41="VW"),"",CE22)</f>
        <v>Heavy Duty</v>
      </c>
      <c r="CI22" s="48"/>
      <c r="CJ22" s="73" t="str">
        <f t="shared" si="8"/>
        <v>1 000 000 KM</v>
      </c>
      <c r="CK22" s="26"/>
      <c r="CL22" s="27" t="s">
        <v>265</v>
      </c>
      <c r="CM22" s="26"/>
      <c r="CN22" s="26"/>
      <c r="CO22" s="26"/>
      <c r="CP22" s="26"/>
      <c r="CQ22" s="67"/>
      <c r="CS22" s="146"/>
      <c r="CT22" s="16"/>
      <c r="CU22" s="40" t="s">
        <v>264</v>
      </c>
      <c r="CV22" s="16"/>
      <c r="CW22" s="40" t="str">
        <f t="shared" si="6"/>
        <v>750 000 KM</v>
      </c>
      <c r="CX22" s="207"/>
      <c r="CZ22" s="24" t="s">
        <v>282</v>
      </c>
      <c r="DA22" s="293" t="s">
        <v>578</v>
      </c>
    </row>
    <row r="23" spans="2:105" ht="14.7" thickBot="1">
      <c r="B23" s="121">
        <f>IFERROR(VLOOKUP(C23,'price list MAN'!$B$5:$C$2002,2,FALSE),"")</f>
        <v>0</v>
      </c>
      <c r="C23" s="669"/>
      <c r="D23" s="51" t="str">
        <f>IFERROR(IF($L$9="Standard Warranty",VLOOKUP(C23,'price list MAN'!$B$5:$J$2002,9,FALSE),VLOOKUP(C23,'price list MAN'!$B$5:$M$2002,12,FALSE)),"")</f>
        <v/>
      </c>
      <c r="E23" s="51" t="str">
        <f>IFERROR(IF(C23="","",IF($L$9="Standard Warranty",VLOOKUP(C23,'price list MAN'!$B$5:$K$2002,10,FALSE),VLOOKUP(C23,'price list MAN'!$B$5:$N$2002,13,FALSE))),"")</f>
        <v/>
      </c>
      <c r="F23" s="122" t="str">
        <f>IFERROR(IF(C23="","",VLOOKUP(C23,'price list MAN'!$B$5:$F$2000,5,FALSE)),"")</f>
        <v/>
      </c>
      <c r="H23" s="158" t="s">
        <v>781</v>
      </c>
      <c r="I23" s="123" t="s">
        <v>779</v>
      </c>
      <c r="J23" s="471" t="str">
        <f t="shared" si="10"/>
        <v>Y</v>
      </c>
      <c r="K23" s="123">
        <v>2000</v>
      </c>
      <c r="L23" s="159">
        <v>0</v>
      </c>
      <c r="Q23" s="451"/>
      <c r="R23" s="304"/>
      <c r="T23" s="452"/>
      <c r="U23" s="452"/>
      <c r="V23" s="452"/>
      <c r="W23" s="452"/>
      <c r="X23" s="452"/>
      <c r="Y23" s="453"/>
      <c r="Z23" s="454"/>
      <c r="AV23" s="273" t="str">
        <f t="shared" si="7"/>
        <v/>
      </c>
      <c r="AX23" s="190"/>
      <c r="AY23" s="191">
        <f t="shared" si="1"/>
        <v>0</v>
      </c>
      <c r="AZ23" s="196">
        <f>IFERROR(IF($L$9="Standard Warranty",VLOOKUP(C27,'price list MAN'!$B$5:$L$2002,11,FALSE),VLOOKUP(C27,'price list MAN'!$B$5:$O$2002,14,FALSE)),"")</f>
        <v>0</v>
      </c>
      <c r="BB23" s="104" t="s">
        <v>415</v>
      </c>
      <c r="BC23" s="104" t="s">
        <v>273</v>
      </c>
      <c r="BD23" s="104" t="s">
        <v>273</v>
      </c>
      <c r="BE23" s="128" t="s">
        <v>123</v>
      </c>
      <c r="BF23" s="128" t="s">
        <v>184</v>
      </c>
      <c r="BG23" s="128" t="s">
        <v>185</v>
      </c>
      <c r="BH23" s="128" t="s">
        <v>372</v>
      </c>
      <c r="BI23" s="129" t="s">
        <v>249</v>
      </c>
      <c r="BJ23" s="132"/>
      <c r="BM23" s="6"/>
      <c r="BN23" s="32"/>
      <c r="BO23" s="443" t="str">
        <f t="shared" si="3"/>
        <v>190 000 KM</v>
      </c>
      <c r="BS23" s="48"/>
      <c r="BU23" s="441" t="s">
        <v>97</v>
      </c>
      <c r="BW23" s="70"/>
      <c r="CC23" s="67"/>
      <c r="CE23" s="40" t="str">
        <f>IF(N41="VW","",IF(N40="On-Road","","Off-Road"))</f>
        <v/>
      </c>
      <c r="CF23" s="40" t="str">
        <f>CE23</f>
        <v/>
      </c>
      <c r="CJ23" s="27" t="str">
        <f t="shared" si="8"/>
        <v>OTHER</v>
      </c>
      <c r="CK23" s="26"/>
      <c r="CL23" s="27" t="s">
        <v>613</v>
      </c>
      <c r="CM23" s="26"/>
      <c r="CN23" s="54"/>
      <c r="CO23" s="26" t="str">
        <f>IF(OR($BM$11=0,$E$59="None"),"",CQ23)</f>
        <v/>
      </c>
      <c r="CP23" s="26"/>
      <c r="CQ23" s="67"/>
      <c r="CS23" s="165"/>
      <c r="CT23" s="142"/>
      <c r="CU23" s="142" t="s">
        <v>613</v>
      </c>
      <c r="CV23" s="142"/>
      <c r="CW23" s="142" t="str">
        <f t="shared" si="6"/>
        <v>OTHER</v>
      </c>
      <c r="CX23" s="208"/>
      <c r="CZ23" s="24" t="s">
        <v>506</v>
      </c>
      <c r="DA23" s="293" t="s">
        <v>578</v>
      </c>
    </row>
    <row r="24" spans="2:105" ht="14.7" thickBot="1">
      <c r="B24" s="121">
        <f>IFERROR(VLOOKUP(C24,'price list MAN'!$B$5:$C$2002,2,FALSE),"")</f>
        <v>0</v>
      </c>
      <c r="C24" s="669"/>
      <c r="D24" s="51" t="str">
        <f>IFERROR(IF($L$9="Standard Warranty",VLOOKUP(C24,'price list MAN'!$B$5:$J$2002,9,FALSE),VLOOKUP(C24,'price list MAN'!$B$5:$M$2002,12,FALSE)),"")</f>
        <v/>
      </c>
      <c r="E24" s="51" t="str">
        <f>IFERROR(IF(C24="","",IF($L$9="Standard Warranty",VLOOKUP(C24,'price list MAN'!$B$5:$K$2002,10,FALSE),VLOOKUP(C24,'price list MAN'!$B$5:$N$2002,13,FALSE))),"")</f>
        <v/>
      </c>
      <c r="F24" s="122" t="str">
        <f>IFERROR(IF(C24="","",VLOOKUP(C24,'price list MAN'!$B$5:$F$2000,5,FALSE)),"")</f>
        <v/>
      </c>
      <c r="H24" s="158"/>
      <c r="I24" s="123"/>
      <c r="J24" s="471" t="str">
        <f t="shared" si="10"/>
        <v/>
      </c>
      <c r="K24" s="124"/>
      <c r="L24" s="159"/>
      <c r="Q24" s="451"/>
      <c r="R24" s="304"/>
      <c r="T24" s="452"/>
      <c r="U24" s="452"/>
      <c r="V24" s="452"/>
      <c r="W24" s="452"/>
      <c r="X24" s="452"/>
      <c r="Y24" s="453"/>
      <c r="Z24" s="454"/>
      <c r="AV24" s="273" t="str">
        <f t="shared" si="7"/>
        <v/>
      </c>
      <c r="AX24" s="190"/>
      <c r="AY24" s="191">
        <f t="shared" si="1"/>
        <v>0</v>
      </c>
      <c r="AZ24" s="196">
        <f>IFERROR(IF($L$9="Standard Warranty",VLOOKUP(C28,'price list MAN'!$B$5:$L$2002,11,FALSE),VLOOKUP(C28,'price list MAN'!$B$5:$O$2002,14,FALSE)),"")</f>
        <v>0</v>
      </c>
      <c r="BB24" s="104" t="s">
        <v>422</v>
      </c>
      <c r="BC24" s="104" t="s">
        <v>274</v>
      </c>
      <c r="BD24" s="104" t="s">
        <v>274</v>
      </c>
      <c r="BE24" s="128" t="s">
        <v>382</v>
      </c>
      <c r="BF24" s="128" t="s">
        <v>194</v>
      </c>
      <c r="BG24" s="128" t="s">
        <v>185</v>
      </c>
      <c r="BH24" s="128" t="s">
        <v>375</v>
      </c>
      <c r="BI24" s="129" t="s">
        <v>249</v>
      </c>
      <c r="BJ24" s="132"/>
      <c r="BM24" s="6"/>
      <c r="BN24" s="32"/>
      <c r="BO24" s="443" t="str">
        <f t="shared" si="3"/>
        <v>200 000 KM</v>
      </c>
      <c r="BS24" s="48"/>
      <c r="BU24" s="441" t="s">
        <v>98</v>
      </c>
      <c r="BW24" s="70"/>
      <c r="CC24" s="67"/>
      <c r="CE24" s="70"/>
      <c r="CF24" s="16"/>
      <c r="CQ24" s="28"/>
      <c r="CZ24" s="24" t="s">
        <v>507</v>
      </c>
      <c r="DA24" s="293" t="s">
        <v>577</v>
      </c>
    </row>
    <row r="25" spans="2:105" ht="14.7" thickBot="1">
      <c r="B25" s="121">
        <f>IFERROR(VLOOKUP(C25,'price list MAN'!$B$5:$C$2002,2,FALSE),"")</f>
        <v>0</v>
      </c>
      <c r="C25" s="669"/>
      <c r="D25" s="51" t="str">
        <f>IFERROR(IF($L$9="Standard Warranty",VLOOKUP(C25,'price list MAN'!$B$5:$J$2002,9,FALSE),VLOOKUP(C25,'price list MAN'!$B$5:$M$2002,12,FALSE)),"")</f>
        <v/>
      </c>
      <c r="E25" s="51" t="str">
        <f>IFERROR(IF(C25="","",IF($L$9="Standard Warranty",VLOOKUP(C25,'price list MAN'!$B$5:$K$2002,10,FALSE),VLOOKUP(C25,'price list MAN'!$B$5:$N$2002,13,FALSE))),"")</f>
        <v/>
      </c>
      <c r="F25" s="122" t="str">
        <f>IFERROR(IF(C25="","",VLOOKUP(C25,'price list MAN'!$B$5:$F$2000,5,FALSE)),"")</f>
        <v/>
      </c>
      <c r="H25" s="158"/>
      <c r="I25" s="123"/>
      <c r="J25" s="471" t="str">
        <f t="shared" si="10"/>
        <v/>
      </c>
      <c r="K25" s="124"/>
      <c r="L25" s="159"/>
      <c r="Q25" s="451"/>
      <c r="R25" s="304"/>
      <c r="T25" s="452"/>
      <c r="U25" s="452"/>
      <c r="V25" s="452"/>
      <c r="W25" s="452"/>
      <c r="X25" s="452"/>
      <c r="Y25" s="453"/>
      <c r="Z25" s="454"/>
      <c r="AV25" s="273" t="str">
        <f t="shared" si="7"/>
        <v/>
      </c>
      <c r="AX25" s="190"/>
      <c r="AY25" s="191">
        <f t="shared" si="1"/>
        <v>0</v>
      </c>
      <c r="AZ25" s="196">
        <f>IFERROR(IF($L$9="Standard Warranty",VLOOKUP(C29,'price list MAN'!$B$5:$L$2002,11,FALSE),VLOOKUP(C29,'price list MAN'!$B$5:$O$2002,14,FALSE)),"")</f>
        <v>0</v>
      </c>
      <c r="BB25" s="104" t="s">
        <v>388</v>
      </c>
      <c r="BC25" s="104" t="s">
        <v>271</v>
      </c>
      <c r="BD25" s="104" t="s">
        <v>271</v>
      </c>
      <c r="BE25" s="128" t="s">
        <v>123</v>
      </c>
      <c r="BF25" s="128" t="s">
        <v>124</v>
      </c>
      <c r="BG25" s="128" t="s">
        <v>125</v>
      </c>
      <c r="BH25" s="128" t="s">
        <v>121</v>
      </c>
      <c r="BI25" s="129" t="s">
        <v>249</v>
      </c>
      <c r="BJ25" s="132"/>
      <c r="BM25" s="6"/>
      <c r="BN25" s="32"/>
      <c r="BO25" s="443" t="str">
        <f t="shared" si="3"/>
        <v>210 000 KM</v>
      </c>
      <c r="BS25" s="48"/>
      <c r="BU25" s="441" t="s">
        <v>99</v>
      </c>
      <c r="BW25" s="70"/>
      <c r="CC25" s="67"/>
      <c r="CE25" s="70"/>
      <c r="CF25" s="16"/>
      <c r="CQ25" s="28"/>
      <c r="CZ25" s="24" t="s">
        <v>508</v>
      </c>
      <c r="DA25" s="293" t="s">
        <v>577</v>
      </c>
    </row>
    <row r="26" spans="2:105" ht="14.7" thickBot="1">
      <c r="B26" s="121">
        <f>IFERROR(VLOOKUP(C26,'price list MAN'!$B$5:$C$2002,2,FALSE),"")</f>
        <v>0</v>
      </c>
      <c r="C26" s="669"/>
      <c r="D26" s="51" t="str">
        <f>IFERROR(IF($L$9="Standard Warranty",VLOOKUP(C26,'price list MAN'!$B$5:$J$2002,9,FALSE),VLOOKUP(C26,'price list MAN'!$B$5:$M$2002,12,FALSE)),"")</f>
        <v/>
      </c>
      <c r="E26" s="51" t="str">
        <f>IFERROR(IF(C26="","",IF($L$9="Standard Warranty",VLOOKUP(C26,'price list MAN'!$B$5:$K$2002,10,FALSE),VLOOKUP(C26,'price list MAN'!$B$5:$N$2002,13,FALSE))),"")</f>
        <v/>
      </c>
      <c r="F26" s="122" t="str">
        <f>IFERROR(IF(C26="","",VLOOKUP(C26,'price list MAN'!$B$5:$F$2000,5,FALSE)),"")</f>
        <v/>
      </c>
      <c r="H26" s="158"/>
      <c r="I26" s="123"/>
      <c r="J26" s="471" t="str">
        <f t="shared" si="10"/>
        <v/>
      </c>
      <c r="K26" s="124"/>
      <c r="L26" s="159"/>
      <c r="Q26" s="451"/>
      <c r="R26" s="304"/>
      <c r="T26" s="452"/>
      <c r="U26" s="452"/>
      <c r="V26" s="452"/>
      <c r="W26" s="452"/>
      <c r="X26" s="452"/>
      <c r="Y26" s="453"/>
      <c r="Z26" s="454"/>
      <c r="AV26" s="273" t="str">
        <f t="shared" si="7"/>
        <v/>
      </c>
      <c r="AX26" s="190"/>
      <c r="AY26" s="191">
        <f t="shared" si="1"/>
        <v>0</v>
      </c>
      <c r="AZ26" s="196">
        <f>IFERROR(IF($L$9="Standard Warranty",VLOOKUP(C30,'price list MAN'!$B$5:$L$2002,11,FALSE),VLOOKUP(C30,'price list MAN'!$B$5:$O$2002,14,FALSE)),"")</f>
        <v>0</v>
      </c>
      <c r="BB26" s="104" t="s">
        <v>405</v>
      </c>
      <c r="BC26" s="104" t="s">
        <v>270</v>
      </c>
      <c r="BD26" s="104" t="s">
        <v>270</v>
      </c>
      <c r="BE26" s="128" t="s">
        <v>123</v>
      </c>
      <c r="BF26" s="128" t="s">
        <v>166</v>
      </c>
      <c r="BG26" s="128" t="s">
        <v>167</v>
      </c>
      <c r="BH26" s="128" t="s">
        <v>370</v>
      </c>
      <c r="BI26" s="129" t="s">
        <v>249</v>
      </c>
      <c r="BJ26" s="132"/>
      <c r="BM26" s="6"/>
      <c r="BN26" s="32"/>
      <c r="BO26" s="443" t="str">
        <f t="shared" si="3"/>
        <v>220 000 KM</v>
      </c>
      <c r="BS26" s="48"/>
      <c r="BU26" s="441" t="s">
        <v>100</v>
      </c>
      <c r="BW26" s="70"/>
      <c r="CC26" s="67"/>
      <c r="CE26" s="70"/>
      <c r="CF26" s="16"/>
      <c r="CQ26" s="28"/>
      <c r="CZ26" s="24" t="s">
        <v>509</v>
      </c>
      <c r="DA26" s="293" t="s">
        <v>577</v>
      </c>
    </row>
    <row r="27" spans="2:105" ht="18.75" customHeight="1" thickBot="1">
      <c r="B27" s="121">
        <f>IFERROR(VLOOKUP(C27,'price list MAN'!$B$5:$C$2002,2,FALSE),"")</f>
        <v>0</v>
      </c>
      <c r="C27" s="669"/>
      <c r="D27" s="51" t="str">
        <f>IFERROR(IF($L$9="Standard Warranty",VLOOKUP(C27,'price list MAN'!$B$5:$J$2002,9,FALSE),VLOOKUP(C27,'price list MAN'!$B$5:$M$2002,12,FALSE)),"")</f>
        <v/>
      </c>
      <c r="E27" s="51" t="str">
        <f>IFERROR(IF(C27="","",IF($L$9="Standard Warranty",VLOOKUP(C27,'price list MAN'!$B$5:$K$2002,10,FALSE),VLOOKUP(C27,'price list MAN'!$B$5:$N$2002,13,FALSE))),"")</f>
        <v/>
      </c>
      <c r="F27" s="122" t="str">
        <f>IFERROR(IF(C27="","",VLOOKUP(C27,'price list MAN'!$B$5:$F$2000,5,FALSE)),"")</f>
        <v/>
      </c>
      <c r="H27" s="158"/>
      <c r="I27" s="123"/>
      <c r="J27" s="471" t="str">
        <f t="shared" si="10"/>
        <v/>
      </c>
      <c r="K27" s="124"/>
      <c r="L27" s="159"/>
      <c r="Q27" s="451"/>
      <c r="R27" s="304"/>
      <c r="T27" s="452"/>
      <c r="U27" s="452"/>
      <c r="V27" s="452"/>
      <c r="W27" s="452"/>
      <c r="X27" s="452"/>
      <c r="Y27" s="453"/>
      <c r="Z27" s="454"/>
      <c r="AV27" s="273" t="str">
        <f t="shared" si="7"/>
        <v/>
      </c>
      <c r="AX27" s="190"/>
      <c r="AY27" s="191">
        <f t="shared" si="1"/>
        <v>0</v>
      </c>
      <c r="AZ27" s="196">
        <f>IFERROR(IF($L$9="Standard Warranty",VLOOKUP(C31,'price list MAN'!$B$5:$L$2002,11,FALSE),VLOOKUP(C31,'price list MAN'!$B$5:$O$2002,14,FALSE)),"")</f>
        <v>0</v>
      </c>
      <c r="BB27" s="104" t="s">
        <v>389</v>
      </c>
      <c r="BC27" s="104" t="s">
        <v>271</v>
      </c>
      <c r="BD27" s="104" t="s">
        <v>271</v>
      </c>
      <c r="BE27" s="128" t="s">
        <v>123</v>
      </c>
      <c r="BF27" s="128" t="s">
        <v>126</v>
      </c>
      <c r="BG27" s="128" t="s">
        <v>127</v>
      </c>
      <c r="BH27" s="128" t="s">
        <v>121</v>
      </c>
      <c r="BI27" s="129" t="s">
        <v>249</v>
      </c>
      <c r="BJ27" s="132"/>
      <c r="BN27" s="32"/>
      <c r="BO27" s="443" t="str">
        <f t="shared" si="3"/>
        <v>230 000 KM</v>
      </c>
      <c r="BS27" s="48"/>
      <c r="BU27" s="441" t="s">
        <v>102</v>
      </c>
      <c r="BW27" s="70"/>
      <c r="CC27" s="67"/>
      <c r="CE27" s="70"/>
      <c r="CF27" s="16"/>
      <c r="CQ27" s="28"/>
      <c r="CZ27" s="24" t="s">
        <v>510</v>
      </c>
      <c r="DA27" s="293" t="s">
        <v>578</v>
      </c>
    </row>
    <row r="28" spans="2:105" ht="14.7" thickBot="1">
      <c r="B28" s="121">
        <f>IFERROR(VLOOKUP(C28,'price list MAN'!$B$5:$C$2002,2,FALSE),"")</f>
        <v>0</v>
      </c>
      <c r="C28" s="669"/>
      <c r="D28" s="51" t="str">
        <f>IFERROR(IF($L$9="Standard Warranty",VLOOKUP(C28,'price list MAN'!$B$5:$J$2002,9,FALSE),VLOOKUP(C28,'price list MAN'!$B$5:$M$2002,12,FALSE)),"")</f>
        <v/>
      </c>
      <c r="E28" s="51" t="str">
        <f>IFERROR(IF(C28="","",IF($L$9="Standard Warranty",VLOOKUP(C28,'price list MAN'!$B$5:$K$2002,10,FALSE),VLOOKUP(C28,'price list MAN'!$B$5:$N$2002,13,FALSE))),"")</f>
        <v/>
      </c>
      <c r="F28" s="122" t="str">
        <f>IFERROR(IF(C28="","",VLOOKUP(C28,'price list MAN'!$B$5:$F$2000,5,FALSE)),"")</f>
        <v/>
      </c>
      <c r="H28" s="158"/>
      <c r="I28" s="123"/>
      <c r="J28" s="471" t="str">
        <f t="shared" si="10"/>
        <v/>
      </c>
      <c r="K28" s="124"/>
      <c r="L28" s="159"/>
      <c r="Q28" s="451"/>
      <c r="R28" s="304"/>
      <c r="T28" s="452"/>
      <c r="U28" s="452"/>
      <c r="V28" s="452"/>
      <c r="W28" s="452"/>
      <c r="X28" s="452"/>
      <c r="Y28" s="453"/>
      <c r="Z28" s="454"/>
      <c r="AV28" s="273" t="str">
        <f t="shared" si="7"/>
        <v/>
      </c>
      <c r="AX28" s="190"/>
      <c r="AY28" s="191">
        <f t="shared" si="1"/>
        <v>0</v>
      </c>
      <c r="AZ28" s="196">
        <f>IFERROR(IF($L$9="Standard Warranty",VLOOKUP(C32,'price list MAN'!$B$5:$L$2002,11,FALSE),VLOOKUP(C32,'price list MAN'!$B$5:$O$2002,14,FALSE)),"")</f>
        <v>0</v>
      </c>
      <c r="BB28" s="104" t="s">
        <v>418</v>
      </c>
      <c r="BC28" s="104" t="s">
        <v>273</v>
      </c>
      <c r="BD28" s="104" t="s">
        <v>273</v>
      </c>
      <c r="BE28" s="128" t="s">
        <v>123</v>
      </c>
      <c r="BF28" s="128" t="s">
        <v>190</v>
      </c>
      <c r="BG28" s="128" t="s">
        <v>191</v>
      </c>
      <c r="BH28" s="128" t="s">
        <v>372</v>
      </c>
      <c r="BI28" s="129" t="s">
        <v>249</v>
      </c>
      <c r="BJ28" s="132"/>
      <c r="BN28" s="32"/>
      <c r="BO28" s="443" t="str">
        <f t="shared" si="3"/>
        <v>240 000 KM</v>
      </c>
      <c r="BS28" s="48"/>
      <c r="BU28" s="441" t="s">
        <v>103</v>
      </c>
      <c r="BW28" s="70"/>
      <c r="CC28" s="67"/>
      <c r="CE28" s="70"/>
      <c r="CF28" s="16"/>
      <c r="CQ28" s="28"/>
      <c r="CZ28" s="24" t="s">
        <v>511</v>
      </c>
      <c r="DA28" s="293" t="s">
        <v>578</v>
      </c>
    </row>
    <row r="29" spans="2:105" ht="14.7" thickBot="1">
      <c r="B29" s="121">
        <f>IFERROR(VLOOKUP(C29,'price list MAN'!$B$5:$C$2002,2,FALSE),"")</f>
        <v>0</v>
      </c>
      <c r="C29" s="669"/>
      <c r="D29" s="51" t="str">
        <f>IFERROR(IF($L$9="Standard Warranty",VLOOKUP(C29,'price list MAN'!$B$5:$J$2002,9,FALSE),VLOOKUP(C29,'price list MAN'!$B$5:$M$2002,12,FALSE)),"")</f>
        <v/>
      </c>
      <c r="E29" s="51" t="str">
        <f>IFERROR(IF(C29="","",IF($L$9="Standard Warranty",VLOOKUP(C29,'price list MAN'!$B$5:$K$2002,10,FALSE),VLOOKUP(C29,'price list MAN'!$B$5:$N$2002,13,FALSE))),"")</f>
        <v/>
      </c>
      <c r="F29" s="122" t="str">
        <f>IFERROR(IF(C29="","",VLOOKUP(C29,'price list MAN'!$B$5:$F$2000,5,FALSE)),"")</f>
        <v/>
      </c>
      <c r="H29" s="158"/>
      <c r="I29" s="123"/>
      <c r="J29" s="471" t="str">
        <f t="shared" si="10"/>
        <v/>
      </c>
      <c r="K29" s="124"/>
      <c r="L29" s="159"/>
      <c r="Q29" s="451"/>
      <c r="R29" s="304"/>
      <c r="T29" s="452"/>
      <c r="U29" s="452"/>
      <c r="V29" s="452"/>
      <c r="W29" s="452"/>
      <c r="X29" s="452"/>
      <c r="Y29" s="453"/>
      <c r="Z29" s="454"/>
      <c r="AV29" s="273" t="str">
        <f t="shared" si="7"/>
        <v/>
      </c>
      <c r="AX29" s="104"/>
      <c r="AY29" s="191">
        <f t="shared" si="1"/>
        <v>0</v>
      </c>
      <c r="AZ29" s="196">
        <f>IFERROR(IF($L$9="Standard Warranty",VLOOKUP(C33,'price list MAN'!$B$5:$L$2002,11,FALSE),VLOOKUP(C33,'price list MAN'!$B$5:$O$2002,14,FALSE)),"")</f>
        <v>0</v>
      </c>
      <c r="BB29" s="104" t="s">
        <v>392</v>
      </c>
      <c r="BC29" s="104" t="s">
        <v>269</v>
      </c>
      <c r="BD29" s="104" t="s">
        <v>269</v>
      </c>
      <c r="BE29" s="128" t="s">
        <v>132</v>
      </c>
      <c r="BF29" s="128" t="s">
        <v>133</v>
      </c>
      <c r="BG29" s="128" t="s">
        <v>134</v>
      </c>
      <c r="BH29" s="128" t="s">
        <v>128</v>
      </c>
      <c r="BI29" s="129" t="s">
        <v>249</v>
      </c>
      <c r="BJ29" s="132"/>
      <c r="BN29" s="32"/>
      <c r="BO29" s="443" t="str">
        <f t="shared" si="3"/>
        <v>250 000 KM</v>
      </c>
      <c r="BS29" s="48"/>
      <c r="BU29" s="441" t="s">
        <v>104</v>
      </c>
      <c r="BW29" s="70"/>
      <c r="CC29" s="67"/>
      <c r="CE29" s="70"/>
      <c r="CF29" s="16"/>
      <c r="CQ29" s="28"/>
      <c r="CZ29" s="24" t="s">
        <v>512</v>
      </c>
      <c r="DA29" s="293" t="s">
        <v>578</v>
      </c>
    </row>
    <row r="30" spans="2:105" ht="14.7" thickBot="1">
      <c r="B30" s="121">
        <f>IFERROR(VLOOKUP(C30,'price list MAN'!$B$5:$C$2002,2,FALSE),"")</f>
        <v>0</v>
      </c>
      <c r="C30" s="669"/>
      <c r="D30" s="51" t="str">
        <f>IFERROR(IF($L$9="Standard Warranty",VLOOKUP(C30,'price list MAN'!$B$5:$J$2002,9,FALSE),VLOOKUP(C30,'price list MAN'!$B$5:$M$2002,12,FALSE)),"")</f>
        <v/>
      </c>
      <c r="E30" s="51" t="str">
        <f>IFERROR(IF(C30="","",IF($L$9="Standard Warranty",VLOOKUP(C30,'price list MAN'!$B$5:$K$2002,10,FALSE),VLOOKUP(C30,'price list MAN'!$B$5:$N$2002,13,FALSE))),"")</f>
        <v/>
      </c>
      <c r="F30" s="122" t="str">
        <f>IFERROR(IF(C30="","",VLOOKUP(C30,'price list MAN'!$B$5:$F$2000,5,FALSE)),"")</f>
        <v/>
      </c>
      <c r="H30" s="158"/>
      <c r="I30" s="123"/>
      <c r="J30" s="471" t="str">
        <f t="shared" si="10"/>
        <v/>
      </c>
      <c r="K30" s="124"/>
      <c r="L30" s="159"/>
      <c r="Q30" s="451"/>
      <c r="R30" s="304"/>
      <c r="T30" s="452"/>
      <c r="U30" s="452"/>
      <c r="V30" s="452"/>
      <c r="W30" s="452"/>
      <c r="X30" s="452"/>
      <c r="Y30" s="453"/>
      <c r="Z30" s="454"/>
      <c r="AV30" s="273" t="str">
        <f t="shared" si="7"/>
        <v/>
      </c>
      <c r="AX30" s="104"/>
      <c r="AY30" s="191">
        <f t="shared" si="1"/>
        <v>0</v>
      </c>
      <c r="AZ30" s="196">
        <f>IFERROR(IF($L$9="Standard Warranty",VLOOKUP(C34,'price list MAN'!$B$5:$L$2002,11,FALSE),VLOOKUP(C34,'price list MAN'!$B$5:$O$2002,14,FALSE)),"")</f>
        <v>0</v>
      </c>
      <c r="BB30" s="104"/>
      <c r="BC30" s="104" t="s">
        <v>253</v>
      </c>
      <c r="BD30" s="104" t="s">
        <v>253</v>
      </c>
      <c r="BE30" s="128"/>
      <c r="BF30" s="128"/>
      <c r="BG30" s="128"/>
      <c r="BH30" s="128"/>
      <c r="BI30" s="129"/>
      <c r="BJ30" s="132"/>
      <c r="BN30" s="32"/>
      <c r="BO30" s="443" t="str">
        <f t="shared" si="3"/>
        <v>260 000 KM</v>
      </c>
      <c r="BS30" s="48"/>
      <c r="BU30" s="441" t="s">
        <v>105</v>
      </c>
      <c r="BW30" s="70"/>
      <c r="CC30" s="67"/>
      <c r="CE30" s="70"/>
      <c r="CF30" s="16"/>
      <c r="CQ30" s="28"/>
      <c r="CZ30" s="24" t="s">
        <v>285</v>
      </c>
      <c r="DA30" s="293" t="s">
        <v>578</v>
      </c>
    </row>
    <row r="31" spans="2:105" ht="14.7" thickBot="1">
      <c r="B31" s="121">
        <f>IFERROR(VLOOKUP(C31,'price list MAN'!$B$5:$C$2002,2,FALSE),"")</f>
        <v>0</v>
      </c>
      <c r="C31" s="669"/>
      <c r="D31" s="51" t="str">
        <f>IFERROR(IF($L$9="Standard Warranty",VLOOKUP(C31,'price list MAN'!$B$5:$J$2002,9,FALSE),VLOOKUP(C31,'price list MAN'!$B$5:$M$2002,12,FALSE)),"")</f>
        <v/>
      </c>
      <c r="E31" s="51" t="str">
        <f>IFERROR(IF(C31="","",IF($L$9="Standard Warranty",VLOOKUP(C31,'price list MAN'!$B$5:$K$2002,10,FALSE),VLOOKUP(C31,'price list MAN'!$B$5:$N$2002,13,FALSE))),"")</f>
        <v/>
      </c>
      <c r="F31" s="122" t="str">
        <f>IFERROR(IF(C31="","",VLOOKUP(C31,'price list MAN'!$B$5:$F$2000,5,FALSE)),"")</f>
        <v/>
      </c>
      <c r="H31" s="158"/>
      <c r="I31" s="123"/>
      <c r="J31" s="471" t="str">
        <f t="shared" si="10"/>
        <v/>
      </c>
      <c r="K31" s="124"/>
      <c r="L31" s="159"/>
      <c r="Q31" s="451"/>
      <c r="R31" s="304"/>
      <c r="T31" s="452"/>
      <c r="U31" s="452"/>
      <c r="V31" s="452"/>
      <c r="W31" s="452"/>
      <c r="X31" s="452"/>
      <c r="Y31" s="453"/>
      <c r="Z31" s="454"/>
      <c r="AV31" s="273" t="str">
        <f t="shared" si="7"/>
        <v/>
      </c>
      <c r="AX31" s="104"/>
      <c r="AY31" s="191">
        <f t="shared" si="1"/>
        <v>0</v>
      </c>
      <c r="AZ31" s="196">
        <f>IFERROR(IF($L$9="Standard Warranty",VLOOKUP(C35,'price list MAN'!$B$5:$L$2002,11,FALSE),VLOOKUP(C35,'price list MAN'!$B$5:$O$2002,14,FALSE)),"")</f>
        <v>0</v>
      </c>
      <c r="BB31" s="104" t="s">
        <v>397</v>
      </c>
      <c r="BC31" s="104" t="s">
        <v>65</v>
      </c>
      <c r="BD31" s="104" t="s">
        <v>60</v>
      </c>
      <c r="BE31" s="128" t="s">
        <v>145</v>
      </c>
      <c r="BF31" s="128" t="s">
        <v>146</v>
      </c>
      <c r="BG31" s="128" t="s">
        <v>147</v>
      </c>
      <c r="BH31" s="128" t="s">
        <v>142</v>
      </c>
      <c r="BI31" s="129" t="s">
        <v>249</v>
      </c>
      <c r="BJ31" s="132"/>
      <c r="BN31" s="32"/>
      <c r="BO31" s="443" t="str">
        <f t="shared" si="3"/>
        <v>270 000 KM</v>
      </c>
      <c r="BS31" s="48"/>
      <c r="BU31" s="441" t="s">
        <v>106</v>
      </c>
      <c r="BW31" s="70"/>
      <c r="CC31" s="67"/>
      <c r="CE31" s="70"/>
      <c r="CF31" s="16"/>
      <c r="CQ31" s="28"/>
      <c r="CZ31" s="24" t="s">
        <v>513</v>
      </c>
      <c r="DA31" s="293" t="s">
        <v>578</v>
      </c>
    </row>
    <row r="32" spans="2:105" ht="14.7" thickBot="1">
      <c r="B32" s="121">
        <f>IFERROR(VLOOKUP(C32,'price list MAN'!$B$5:$C$2002,2,FALSE),"")</f>
        <v>0</v>
      </c>
      <c r="C32" s="669"/>
      <c r="D32" s="51" t="str">
        <f>IFERROR(IF($L$9="Standard Warranty",VLOOKUP(C32,'price list MAN'!$B$5:$J$2002,9,FALSE),VLOOKUP(C32,'price list MAN'!$B$5:$M$2002,12,FALSE)),"")</f>
        <v/>
      </c>
      <c r="E32" s="51" t="str">
        <f>IFERROR(IF(C32="","",IF($L$9="Standard Warranty",VLOOKUP(C32,'price list MAN'!$B$5:$K$2002,10,FALSE),VLOOKUP(C32,'price list MAN'!$B$5:$N$2002,13,FALSE))),"")</f>
        <v/>
      </c>
      <c r="F32" s="122" t="str">
        <f>IFERROR(IF(C32="","",VLOOKUP(C32,'price list MAN'!$B$5:$F$2000,5,FALSE)),"")</f>
        <v/>
      </c>
      <c r="H32" s="158"/>
      <c r="I32" s="123"/>
      <c r="J32" s="471" t="str">
        <f t="shared" si="10"/>
        <v/>
      </c>
      <c r="K32" s="124"/>
      <c r="L32" s="159"/>
      <c r="Q32" s="451"/>
      <c r="R32" s="304"/>
      <c r="T32" s="452"/>
      <c r="U32" s="452"/>
      <c r="V32" s="452"/>
      <c r="W32" s="452"/>
      <c r="X32" s="452"/>
      <c r="Y32" s="453"/>
      <c r="Z32" s="454"/>
      <c r="AV32" s="273" t="str">
        <f t="shared" si="7"/>
        <v/>
      </c>
      <c r="AX32" s="104"/>
      <c r="AY32" s="191">
        <f t="shared" si="1"/>
        <v>0</v>
      </c>
      <c r="AZ32" s="196">
        <f>IFERROR(IF($L$9="Standard Warranty",VLOOKUP(C36,'price list MAN'!$B$5:$L$2002,11,FALSE),VLOOKUP(C36,'price list MAN'!$B$5:$O$2002,14,FALSE)),"")</f>
        <v>0</v>
      </c>
      <c r="BB32" s="104" t="s">
        <v>398</v>
      </c>
      <c r="BC32" s="104" t="s">
        <v>65</v>
      </c>
      <c r="BD32" s="104" t="s">
        <v>60</v>
      </c>
      <c r="BE32" s="128" t="s">
        <v>148</v>
      </c>
      <c r="BF32" s="128" t="s">
        <v>149</v>
      </c>
      <c r="BG32" s="128" t="s">
        <v>150</v>
      </c>
      <c r="BH32" s="128" t="s">
        <v>142</v>
      </c>
      <c r="BI32" s="129" t="s">
        <v>249</v>
      </c>
      <c r="BJ32" s="132"/>
      <c r="BL32" s="8"/>
      <c r="BN32" s="32"/>
      <c r="BO32" s="443" t="str">
        <f t="shared" si="3"/>
        <v>280 000 KM</v>
      </c>
      <c r="BS32" s="48"/>
      <c r="BU32" s="441" t="s">
        <v>107</v>
      </c>
      <c r="BW32" s="71"/>
      <c r="BX32" s="38"/>
      <c r="BY32" s="38"/>
      <c r="BZ32" s="38"/>
      <c r="CA32" s="38"/>
      <c r="CB32" s="38"/>
      <c r="CC32" s="68"/>
      <c r="CE32" s="71"/>
      <c r="CF32" s="36"/>
      <c r="CG32" s="36"/>
      <c r="CH32" s="36"/>
      <c r="CI32" s="38"/>
      <c r="CJ32" s="38"/>
      <c r="CK32" s="36"/>
      <c r="CL32" s="36"/>
      <c r="CM32" s="36"/>
      <c r="CN32" s="36"/>
      <c r="CO32" s="36"/>
      <c r="CP32" s="36"/>
      <c r="CQ32" s="37"/>
      <c r="CZ32" s="24" t="s">
        <v>514</v>
      </c>
      <c r="DA32" s="293" t="s">
        <v>578</v>
      </c>
    </row>
    <row r="33" spans="2:105" ht="14.7" thickBot="1">
      <c r="B33" s="121">
        <f>IFERROR(VLOOKUP(C33,'price list MAN'!$B$5:$C$2002,2,FALSE),"")</f>
        <v>0</v>
      </c>
      <c r="C33" s="669"/>
      <c r="D33" s="51" t="str">
        <f>IFERROR(IF($L$9="Standard Warranty",VLOOKUP(C33,'price list MAN'!$B$5:$J$2002,9,FALSE),VLOOKUP(C33,'price list MAN'!$B$5:$M$2002,12,FALSE)),"")</f>
        <v/>
      </c>
      <c r="E33" s="51" t="str">
        <f>IFERROR(IF(C33="","",IF($L$9="Standard Warranty",VLOOKUP(C33,'price list MAN'!$B$5:$K$2002,10,FALSE),VLOOKUP(C33,'price list MAN'!$B$5:$N$2002,13,FALSE))),"")</f>
        <v/>
      </c>
      <c r="F33" s="122" t="str">
        <f>IFERROR(IF(C33="","",VLOOKUP(C33,'price list MAN'!$B$5:$F$2000,5,FALSE)),"")</f>
        <v/>
      </c>
      <c r="H33" s="158"/>
      <c r="I33" s="123"/>
      <c r="J33" s="471" t="str">
        <f t="shared" si="10"/>
        <v/>
      </c>
      <c r="K33" s="124"/>
      <c r="L33" s="159"/>
      <c r="Q33" s="451"/>
      <c r="R33" s="304"/>
      <c r="T33" s="452"/>
      <c r="U33" s="452"/>
      <c r="V33" s="452"/>
      <c r="W33" s="452"/>
      <c r="X33" s="452"/>
      <c r="Y33" s="453"/>
      <c r="Z33" s="454"/>
      <c r="AV33" s="273" t="str">
        <f t="shared" si="7"/>
        <v/>
      </c>
      <c r="AX33" s="104"/>
      <c r="AY33" s="191">
        <f t="shared" si="1"/>
        <v>0</v>
      </c>
      <c r="AZ33" s="196">
        <f>IFERROR(IF($L$9="Standard Warranty",VLOOKUP(C37,'price list MAN'!$B$5:$L$2002,11,FALSE),VLOOKUP(C37,'price list MAN'!$B$5:$O$2002,14,FALSE)),"")</f>
        <v>0</v>
      </c>
      <c r="BB33" s="104" t="s">
        <v>484</v>
      </c>
      <c r="BC33" s="104" t="s">
        <v>461</v>
      </c>
      <c r="BD33" s="104" t="s">
        <v>481</v>
      </c>
      <c r="BE33" s="128" t="s">
        <v>153</v>
      </c>
      <c r="BF33" s="128" t="s">
        <v>154</v>
      </c>
      <c r="BG33" s="128" t="s">
        <v>155</v>
      </c>
      <c r="BH33" s="128" t="s">
        <v>142</v>
      </c>
      <c r="BI33" s="129" t="s">
        <v>249</v>
      </c>
      <c r="BJ33" s="132"/>
      <c r="BL33" s="8"/>
      <c r="BM33" s="8"/>
      <c r="BN33" s="35"/>
      <c r="BO33" s="443" t="str">
        <f t="shared" si="3"/>
        <v>OTHER</v>
      </c>
      <c r="BP33" s="36"/>
      <c r="BQ33" s="36"/>
      <c r="BR33" s="36"/>
      <c r="BS33" s="36"/>
      <c r="BT33" s="38"/>
      <c r="BU33" s="441" t="s">
        <v>613</v>
      </c>
      <c r="CF33" s="8"/>
      <c r="CG33" s="8"/>
      <c r="CH33" s="8"/>
      <c r="CK33" s="8"/>
      <c r="CL33" s="8"/>
      <c r="CM33" s="8"/>
      <c r="CN33" s="8"/>
      <c r="CO33" s="8"/>
      <c r="CP33" s="8"/>
      <c r="CQ33" s="8"/>
      <c r="CZ33" s="24" t="s">
        <v>515</v>
      </c>
      <c r="DA33" s="293" t="s">
        <v>578</v>
      </c>
    </row>
    <row r="34" spans="2:105">
      <c r="B34" s="121">
        <f>IFERROR(VLOOKUP(C34,'price list MAN'!$B$5:$C$2002,2,FALSE),"")</f>
        <v>0</v>
      </c>
      <c r="C34" s="669"/>
      <c r="D34" s="51" t="str">
        <f>IFERROR(IF($L$9="Standard Warranty",VLOOKUP(C34,'price list MAN'!$B$5:$J$2002,9,FALSE),VLOOKUP(C34,'price list MAN'!$B$5:$M$2002,12,FALSE)),"")</f>
        <v/>
      </c>
      <c r="E34" s="51" t="str">
        <f>IFERROR(IF(C34="","",IF($L$9="Standard Warranty",VLOOKUP(C34,'price list MAN'!$B$5:$K$2002,10,FALSE),VLOOKUP(C34,'price list MAN'!$B$5:$N$2002,13,FALSE))),"")</f>
        <v/>
      </c>
      <c r="F34" s="122" t="str">
        <f>IFERROR(IF(C34="","",VLOOKUP(C34,'price list MAN'!$B$5:$F$2000,5,FALSE)),"")</f>
        <v/>
      </c>
      <c r="H34" s="158"/>
      <c r="I34" s="123"/>
      <c r="J34" s="471" t="str">
        <f t="shared" si="10"/>
        <v/>
      </c>
      <c r="K34" s="124"/>
      <c r="L34" s="159"/>
      <c r="Q34" s="451"/>
      <c r="R34" s="304"/>
      <c r="T34" s="452"/>
      <c r="U34" s="452"/>
      <c r="V34" s="452"/>
      <c r="W34" s="452"/>
      <c r="X34" s="452"/>
      <c r="Y34" s="453"/>
      <c r="Z34" s="454"/>
      <c r="AV34" s="273" t="str">
        <f t="shared" si="7"/>
        <v/>
      </c>
      <c r="AX34" s="104"/>
      <c r="AY34" s="191">
        <f t="shared" si="1"/>
        <v>0</v>
      </c>
      <c r="AZ34" s="196">
        <f>IFERROR(IF($L$9="Standard Warranty",VLOOKUP(C38,'price list MAN'!$B$5:$L$2002,11,FALSE),VLOOKUP(C38,'price list MAN'!$B$5:$O$2002,14,FALSE)),"")</f>
        <v>0</v>
      </c>
      <c r="BB34" s="104" t="s">
        <v>402</v>
      </c>
      <c r="BC34" s="104" t="s">
        <v>461</v>
      </c>
      <c r="BD34" s="104" t="s">
        <v>461</v>
      </c>
      <c r="BE34" s="128" t="s">
        <v>161</v>
      </c>
      <c r="BF34" s="128" t="s">
        <v>162</v>
      </c>
      <c r="BG34" s="128" t="s">
        <v>163</v>
      </c>
      <c r="BH34" s="128" t="s">
        <v>142</v>
      </c>
      <c r="BI34" s="129" t="s">
        <v>249</v>
      </c>
      <c r="BJ34" s="132"/>
      <c r="BM34" s="8"/>
      <c r="BO34" s="8"/>
      <c r="BP34" s="6"/>
      <c r="BQ34" s="26"/>
      <c r="BR34" s="26"/>
      <c r="BS34" s="26"/>
      <c r="CF34" s="8"/>
      <c r="CG34" s="8"/>
      <c r="CH34" s="8"/>
      <c r="CK34" s="8"/>
      <c r="CL34" s="8"/>
      <c r="CM34" s="8"/>
      <c r="CN34" s="8"/>
      <c r="CO34" s="8"/>
      <c r="CP34" s="8"/>
      <c r="CQ34" s="8"/>
      <c r="CZ34" s="24" t="s">
        <v>516</v>
      </c>
      <c r="DA34" s="293" t="s">
        <v>578</v>
      </c>
    </row>
    <row r="35" spans="2:105" ht="14.7" thickBot="1">
      <c r="B35" s="121">
        <f>IFERROR(VLOOKUP(C35,'price list MAN'!$B$5:$C$2002,2,FALSE),"")</f>
        <v>0</v>
      </c>
      <c r="C35" s="669"/>
      <c r="D35" s="51" t="str">
        <f>IFERROR(IF($L$9="Standard Warranty",VLOOKUP(C35,'price list MAN'!$B$5:$J$2002,9,FALSE),VLOOKUP(C35,'price list MAN'!$B$5:$M$2002,12,FALSE)),"")</f>
        <v/>
      </c>
      <c r="E35" s="51" t="str">
        <f>IFERROR(IF(C35="","",IF($L$9="Standard Warranty",VLOOKUP(C35,'price list MAN'!$B$5:$K$2002,10,FALSE),VLOOKUP(C35,'price list MAN'!$B$5:$N$2002,13,FALSE))),"")</f>
        <v/>
      </c>
      <c r="F35" s="122" t="str">
        <f>IFERROR(IF(C35="","",VLOOKUP(C35,'price list MAN'!$B$5:$F$2000,5,FALSE)),"")</f>
        <v/>
      </c>
      <c r="H35" s="160"/>
      <c r="I35" s="161"/>
      <c r="J35" s="472" t="str">
        <f t="shared" si="10"/>
        <v/>
      </c>
      <c r="K35" s="162"/>
      <c r="L35" s="163"/>
      <c r="Q35" s="451"/>
      <c r="R35" s="304"/>
      <c r="T35" s="452"/>
      <c r="U35" s="452"/>
      <c r="V35" s="452"/>
      <c r="W35" s="452"/>
      <c r="X35" s="452"/>
      <c r="Y35" s="453"/>
      <c r="Z35" s="454"/>
      <c r="AV35" s="273" t="str">
        <f t="shared" si="7"/>
        <v/>
      </c>
      <c r="AY35" s="189" t="s">
        <v>458</v>
      </c>
      <c r="AZ35" s="197">
        <f>SUM(AZ5:AZ34)</f>
        <v>7156500</v>
      </c>
      <c r="BB35" s="104" t="s">
        <v>410</v>
      </c>
      <c r="BC35" s="104" t="s">
        <v>65</v>
      </c>
      <c r="BD35" s="104" t="s">
        <v>483</v>
      </c>
      <c r="BE35" s="128" t="s">
        <v>123</v>
      </c>
      <c r="BF35" s="128" t="s">
        <v>176</v>
      </c>
      <c r="BG35" s="128" t="s">
        <v>177</v>
      </c>
      <c r="BH35" s="128" t="s">
        <v>142</v>
      </c>
      <c r="BI35" s="129" t="s">
        <v>249</v>
      </c>
      <c r="BJ35" s="132"/>
      <c r="BP35" s="6"/>
      <c r="BQ35" s="26"/>
      <c r="BR35" s="26"/>
      <c r="BS35" s="26"/>
      <c r="CF35" s="16"/>
      <c r="CZ35" s="24" t="s">
        <v>517</v>
      </c>
      <c r="DA35" s="293" t="s">
        <v>578</v>
      </c>
    </row>
    <row r="36" spans="2:105" ht="14.7" thickBot="1">
      <c r="B36" s="121">
        <f>IFERROR(VLOOKUP(C36,'price list MAN'!$B$5:$C$2002,2,FALSE),"")</f>
        <v>0</v>
      </c>
      <c r="C36" s="669"/>
      <c r="D36" s="51" t="str">
        <f>IFERROR(IF($L$9="Standard Warranty",VLOOKUP(C36,'price list MAN'!$B$5:$J$2002,9,FALSE),VLOOKUP(C36,'price list MAN'!$B$5:$M$2002,12,FALSE)),"")</f>
        <v/>
      </c>
      <c r="E36" s="51" t="str">
        <f>IFERROR(IF(C36="","",IF($L$9="Standard Warranty",VLOOKUP(C36,'price list MAN'!$B$5:$K$2002,10,FALSE),VLOOKUP(C36,'price list MAN'!$B$5:$N$2002,13,FALSE))),"")</f>
        <v/>
      </c>
      <c r="F36" s="122" t="str">
        <f>IFERROR(IF(C36="","",VLOOKUP(C36,'price list MAN'!$B$5:$F$2000,5,FALSE)),"")</f>
        <v/>
      </c>
      <c r="M36" s="255"/>
      <c r="Q36" s="451"/>
      <c r="R36" s="304"/>
      <c r="T36" s="452"/>
      <c r="U36" s="452"/>
      <c r="V36" s="452"/>
      <c r="W36" s="452"/>
      <c r="X36" s="452"/>
      <c r="Y36" s="453"/>
      <c r="Z36" s="454"/>
      <c r="AV36" s="273" t="str">
        <f t="shared" si="7"/>
        <v/>
      </c>
      <c r="BB36" s="104" t="s">
        <v>411</v>
      </c>
      <c r="BC36" s="104" t="s">
        <v>65</v>
      </c>
      <c r="BD36" s="104" t="s">
        <v>483</v>
      </c>
      <c r="BE36" s="128" t="s">
        <v>123</v>
      </c>
      <c r="BF36" s="128" t="s">
        <v>178</v>
      </c>
      <c r="BG36" s="128" t="s">
        <v>179</v>
      </c>
      <c r="BH36" s="128" t="s">
        <v>142</v>
      </c>
      <c r="BI36" s="129" t="s">
        <v>249</v>
      </c>
      <c r="BJ36" s="132"/>
      <c r="BP36" s="6"/>
      <c r="BQ36" s="26"/>
      <c r="BR36" s="26"/>
      <c r="BS36" s="26"/>
      <c r="CF36" s="16"/>
      <c r="CZ36" s="24" t="s">
        <v>518</v>
      </c>
      <c r="DA36" s="293" t="s">
        <v>578</v>
      </c>
    </row>
    <row r="37" spans="2:105" ht="14.7" thickBot="1">
      <c r="B37" s="121">
        <f>IFERROR(VLOOKUP(C37,'price list MAN'!$B$5:$C$2002,2,FALSE),"")</f>
        <v>0</v>
      </c>
      <c r="C37" s="669"/>
      <c r="D37" s="51" t="str">
        <f>IFERROR(IF($L$9="Standard Warranty",VLOOKUP(C37,'price list MAN'!$B$5:$J$2002,9,FALSE),VLOOKUP(C37,'price list MAN'!$B$5:$M$2002,12,FALSE)),"")</f>
        <v/>
      </c>
      <c r="E37" s="51" t="str">
        <f>IFERROR(IF(C37="","",IF($L$9="Standard Warranty",VLOOKUP(C37,'price list MAN'!$B$5:$K$2002,10,FALSE),VLOOKUP(C37,'price list MAN'!$B$5:$N$2002,13,FALSE))),"")</f>
        <v/>
      </c>
      <c r="F37" s="122" t="str">
        <f>IFERROR(IF(C37="","",VLOOKUP(C37,'price list MAN'!$B$5:$F$2000,5,FALSE)),"")</f>
        <v/>
      </c>
      <c r="H37" s="280" t="s">
        <v>611</v>
      </c>
      <c r="I37" s="281"/>
      <c r="J37" s="281"/>
      <c r="K37" s="282"/>
      <c r="L37" s="283">
        <f>SUM(L39:L48)*C39</f>
        <v>0</v>
      </c>
      <c r="Q37" s="451"/>
      <c r="R37" s="304"/>
      <c r="T37" s="452"/>
      <c r="U37" s="452"/>
      <c r="V37" s="452"/>
      <c r="W37" s="452"/>
      <c r="X37" s="452"/>
      <c r="Y37" s="453"/>
      <c r="Z37" s="454"/>
      <c r="AV37" s="273" t="str">
        <f t="shared" si="7"/>
        <v/>
      </c>
      <c r="BB37" s="104" t="s">
        <v>412</v>
      </c>
      <c r="BC37" s="104" t="s">
        <v>65</v>
      </c>
      <c r="BD37" s="104" t="s">
        <v>483</v>
      </c>
      <c r="BE37" s="128" t="s">
        <v>123</v>
      </c>
      <c r="BF37" s="128" t="s">
        <v>180</v>
      </c>
      <c r="BG37" s="128" t="s">
        <v>181</v>
      </c>
      <c r="BH37" s="128" t="s">
        <v>142</v>
      </c>
      <c r="BI37" s="129" t="s">
        <v>249</v>
      </c>
      <c r="BJ37" s="132"/>
      <c r="BP37" s="6"/>
      <c r="BQ37" s="26"/>
      <c r="BR37" s="26"/>
      <c r="BS37" s="26"/>
      <c r="CF37" s="16"/>
      <c r="CZ37" s="24" t="s">
        <v>276</v>
      </c>
      <c r="DA37" s="293" t="s">
        <v>578</v>
      </c>
    </row>
    <row r="38" spans="2:105" ht="14.7" thickBot="1">
      <c r="B38" s="121">
        <f>IFERROR(VLOOKUP(C38,'price list MAN'!$B$5:$C$2002,2,FALSE),"")</f>
        <v>0</v>
      </c>
      <c r="C38" s="670"/>
      <c r="D38" s="51" t="str">
        <f>IFERROR(IF($L$9="Standard Warranty",VLOOKUP(C38,'price list MAN'!$B$5:$J$2002,9,FALSE),VLOOKUP(C38,'price list MAN'!$B$5:$M$2002,12,FALSE)),"")</f>
        <v/>
      </c>
      <c r="E38" s="51" t="str">
        <f>IFERROR(IF(C38="","",IF($L$9="Standard Warranty",VLOOKUP(C38,'price list MAN'!$B$5:$K$2002,10,FALSE),VLOOKUP(C38,'price list MAN'!$B$5:$N$2002,13,FALSE))),"")</f>
        <v/>
      </c>
      <c r="F38" s="122" t="str">
        <f>IFERROR(IF(C38="","",VLOOKUP(C38,'price list MAN'!$B$5:$F$2000,5,FALSE)),"")</f>
        <v/>
      </c>
      <c r="H38" s="149" t="s">
        <v>582</v>
      </c>
      <c r="I38" s="279"/>
      <c r="J38" s="457"/>
      <c r="K38" s="153"/>
      <c r="L38" s="285" t="s">
        <v>457</v>
      </c>
      <c r="Q38" s="451"/>
      <c r="R38" s="304"/>
      <c r="T38" s="452"/>
      <c r="U38" s="452"/>
      <c r="V38" s="452"/>
      <c r="W38" s="452"/>
      <c r="X38" s="452"/>
      <c r="Y38" s="453"/>
      <c r="Z38" s="454"/>
      <c r="AV38" s="273" t="str">
        <f t="shared" si="7"/>
        <v/>
      </c>
      <c r="BB38" s="104" t="s">
        <v>425</v>
      </c>
      <c r="BC38" s="104" t="s">
        <v>462</v>
      </c>
      <c r="BD38" s="104" t="s">
        <v>462</v>
      </c>
      <c r="BE38" s="128" t="s">
        <v>123</v>
      </c>
      <c r="BF38" s="128" t="s">
        <v>198</v>
      </c>
      <c r="BG38" s="128" t="s">
        <v>199</v>
      </c>
      <c r="BH38" s="128" t="s">
        <v>142</v>
      </c>
      <c r="BI38" s="129" t="s">
        <v>249</v>
      </c>
      <c r="BJ38" s="132"/>
      <c r="BP38" s="6"/>
      <c r="BQ38" s="26"/>
      <c r="BR38" s="26"/>
      <c r="BS38" s="26"/>
      <c r="CF38" s="16"/>
      <c r="CZ38" s="24" t="s">
        <v>519</v>
      </c>
      <c r="DA38" s="293" t="s">
        <v>578</v>
      </c>
    </row>
    <row r="39" spans="2:105" ht="21.75" customHeight="1" thickBot="1">
      <c r="B39" s="118" t="s">
        <v>362</v>
      </c>
      <c r="C39" s="119">
        <f>COUNTA(C9:C38)</f>
        <v>5</v>
      </c>
      <c r="D39" s="120">
        <f>SUM(D9:D38)</f>
        <v>9175000</v>
      </c>
      <c r="E39" s="120">
        <f>SUM(E9:E38)</f>
        <v>7371195</v>
      </c>
      <c r="F39" s="117"/>
      <c r="H39" s="154"/>
      <c r="I39" s="156"/>
      <c r="J39" s="156"/>
      <c r="K39" s="284"/>
      <c r="L39" s="635"/>
      <c r="Q39" s="431"/>
      <c r="R39" s="455"/>
      <c r="Y39" s="453"/>
      <c r="Z39" s="454"/>
      <c r="BB39" s="104" t="s">
        <v>426</v>
      </c>
      <c r="BC39" s="104" t="s">
        <v>462</v>
      </c>
      <c r="BD39" s="104" t="s">
        <v>462</v>
      </c>
      <c r="BE39" s="128" t="s">
        <v>123</v>
      </c>
      <c r="BF39" s="128" t="s">
        <v>200</v>
      </c>
      <c r="BG39" s="128" t="s">
        <v>201</v>
      </c>
      <c r="BH39" s="128" t="s">
        <v>142</v>
      </c>
      <c r="BI39" s="129" t="s">
        <v>249</v>
      </c>
      <c r="BJ39" s="132"/>
      <c r="BP39" s="6"/>
      <c r="BS39" s="26"/>
      <c r="CF39" s="16"/>
      <c r="CZ39" s="24" t="s">
        <v>520</v>
      </c>
      <c r="DA39" s="293" t="s">
        <v>578</v>
      </c>
    </row>
    <row r="40" spans="2:105" ht="14.7" thickBot="1">
      <c r="H40" s="158"/>
      <c r="I40" s="123"/>
      <c r="J40" s="123"/>
      <c r="K40" s="124"/>
      <c r="L40" s="159"/>
      <c r="N40" s="260" t="str">
        <f>VLOOKUP(L11,$CZ$4:$DA$102,2,FALSE)</f>
        <v>On-Road</v>
      </c>
      <c r="BB40" s="104" t="s">
        <v>434</v>
      </c>
      <c r="BC40" s="104" t="s">
        <v>463</v>
      </c>
      <c r="BD40" s="104" t="s">
        <v>480</v>
      </c>
      <c r="BE40" s="128" t="s">
        <v>218</v>
      </c>
      <c r="BF40" s="128" t="s">
        <v>219</v>
      </c>
      <c r="BG40" s="128" t="s">
        <v>220</v>
      </c>
      <c r="BH40" s="128" t="s">
        <v>142</v>
      </c>
      <c r="BI40" s="129" t="s">
        <v>249</v>
      </c>
      <c r="BJ40" s="132"/>
      <c r="BQ40" s="6"/>
      <c r="BR40" s="6"/>
      <c r="BS40" s="26"/>
      <c r="CZ40" s="24" t="s">
        <v>521</v>
      </c>
      <c r="DA40" s="293" t="s">
        <v>578</v>
      </c>
    </row>
    <row r="41" spans="2:105" ht="15.9" thickBot="1">
      <c r="B41" s="259" t="s">
        <v>43</v>
      </c>
      <c r="C41" s="423" t="s">
        <v>589</v>
      </c>
      <c r="D41" s="465" t="s">
        <v>52</v>
      </c>
      <c r="E41" s="136"/>
      <c r="F41" s="206"/>
      <c r="H41" s="158"/>
      <c r="I41" s="123"/>
      <c r="J41" s="123"/>
      <c r="K41" s="124"/>
      <c r="L41" s="159"/>
      <c r="M41" s="188"/>
      <c r="N41" s="260" t="str">
        <f>LEFT(L11,3)</f>
        <v>TGS</v>
      </c>
      <c r="R41" s="303"/>
      <c r="BB41" s="104" t="s">
        <v>435</v>
      </c>
      <c r="BC41" s="104" t="s">
        <v>463</v>
      </c>
      <c r="BD41" s="104" t="s">
        <v>482</v>
      </c>
      <c r="BE41" s="128" t="s">
        <v>221</v>
      </c>
      <c r="BF41" s="128" t="s">
        <v>222</v>
      </c>
      <c r="BG41" s="128" t="s">
        <v>223</v>
      </c>
      <c r="BH41" s="128" t="s">
        <v>142</v>
      </c>
      <c r="BI41" s="129" t="s">
        <v>249</v>
      </c>
      <c r="BJ41" s="132"/>
      <c r="BP41" s="6"/>
      <c r="BQ41" s="26"/>
      <c r="BR41" s="26"/>
      <c r="BS41" s="26"/>
      <c r="CF41" s="16"/>
      <c r="CZ41" s="24" t="s">
        <v>286</v>
      </c>
      <c r="DA41" s="293" t="s">
        <v>578</v>
      </c>
    </row>
    <row r="42" spans="2:105">
      <c r="B42" s="146"/>
      <c r="C42" s="26"/>
      <c r="D42" s="42" t="s">
        <v>275</v>
      </c>
      <c r="E42" s="42" t="s">
        <v>34</v>
      </c>
      <c r="F42" s="205" t="s">
        <v>620</v>
      </c>
      <c r="H42" s="158"/>
      <c r="I42" s="123"/>
      <c r="J42" s="123"/>
      <c r="K42" s="124"/>
      <c r="L42" s="159"/>
      <c r="N42" s="260" t="str">
        <f>RIGHT(L11,2)</f>
        <v>EL</v>
      </c>
      <c r="Q42" s="303"/>
      <c r="BA42" s="16"/>
      <c r="BB42" s="104" t="s">
        <v>436</v>
      </c>
      <c r="BC42" s="104" t="s">
        <v>463</v>
      </c>
      <c r="BD42" s="104" t="s">
        <v>482</v>
      </c>
      <c r="BE42" s="128" t="s">
        <v>221</v>
      </c>
      <c r="BF42" s="128" t="s">
        <v>224</v>
      </c>
      <c r="BG42" s="128" t="s">
        <v>225</v>
      </c>
      <c r="BH42" s="128" t="s">
        <v>142</v>
      </c>
      <c r="BI42" s="129" t="s">
        <v>249</v>
      </c>
      <c r="BJ42" s="132"/>
      <c r="BO42" s="6"/>
      <c r="BP42" s="26"/>
      <c r="BS42" s="26"/>
      <c r="CE42" s="16"/>
      <c r="CF42" s="16"/>
      <c r="CQ42" s="100"/>
      <c r="CZ42" s="24" t="s">
        <v>283</v>
      </c>
      <c r="DA42" s="293" t="s">
        <v>578</v>
      </c>
    </row>
    <row r="43" spans="2:105" s="8" customFormat="1" ht="14.7" thickBot="1">
      <c r="B43" s="71"/>
      <c r="C43" s="38"/>
      <c r="D43" s="694">
        <v>2</v>
      </c>
      <c r="E43" s="695">
        <v>317105</v>
      </c>
      <c r="F43" s="696">
        <v>342105</v>
      </c>
      <c r="H43" s="158"/>
      <c r="I43" s="123"/>
      <c r="J43" s="123"/>
      <c r="K43" s="124"/>
      <c r="L43" s="159"/>
      <c r="M43" s="16"/>
      <c r="N43" s="260" t="str">
        <f>LEFT(L11,3)&amp;MID(L11,11,3)</f>
        <v>TGS6X4</v>
      </c>
      <c r="O43" s="260"/>
      <c r="P43" s="260"/>
      <c r="Q43" s="303"/>
      <c r="R43" s="30"/>
      <c r="S43" s="456"/>
      <c r="T43" s="298"/>
      <c r="U43" s="30"/>
      <c r="V43" s="30"/>
      <c r="W43" s="30"/>
      <c r="X43" s="30"/>
      <c r="Y43" s="30"/>
      <c r="Z43" s="30"/>
      <c r="AA43" s="16"/>
      <c r="AB43" s="16"/>
      <c r="AC43" s="16"/>
      <c r="AD43" s="16"/>
      <c r="AE43" s="16"/>
      <c r="AF43" s="16"/>
      <c r="AR43" s="26"/>
      <c r="AS43" s="26"/>
      <c r="AT43" s="26"/>
      <c r="AU43" s="273"/>
      <c r="AV43" s="26"/>
      <c r="BA43" s="16"/>
      <c r="BB43" s="104" t="s">
        <v>437</v>
      </c>
      <c r="BC43" s="104" t="s">
        <v>463</v>
      </c>
      <c r="BD43" s="104" t="s">
        <v>480</v>
      </c>
      <c r="BE43" s="128" t="s">
        <v>218</v>
      </c>
      <c r="BF43" s="128" t="s">
        <v>226</v>
      </c>
      <c r="BG43" s="128" t="s">
        <v>227</v>
      </c>
      <c r="BH43" s="128" t="s">
        <v>142</v>
      </c>
      <c r="BI43" s="129" t="s">
        <v>249</v>
      </c>
      <c r="BJ43" s="132"/>
      <c r="BK43" s="16"/>
      <c r="BL43" s="16"/>
      <c r="BN43" s="16"/>
      <c r="BO43" s="6"/>
      <c r="BP43" s="26"/>
      <c r="BS43" s="26"/>
      <c r="BT43" s="26"/>
      <c r="BU43" s="26"/>
      <c r="BV43" s="26"/>
      <c r="BW43" s="26"/>
      <c r="BX43" s="26"/>
      <c r="BY43" s="26"/>
      <c r="BZ43" s="26"/>
      <c r="CA43" s="26"/>
      <c r="CB43" s="26"/>
      <c r="CC43" s="26"/>
      <c r="CD43" s="26"/>
      <c r="CE43" s="16"/>
      <c r="CF43" s="16"/>
      <c r="CG43" s="16"/>
      <c r="CH43" s="16"/>
      <c r="CI43" s="26"/>
      <c r="CJ43" s="26"/>
      <c r="CK43" s="16"/>
      <c r="CL43" s="16"/>
      <c r="CM43" s="16"/>
      <c r="CN43" s="16"/>
      <c r="CO43" s="16"/>
      <c r="CP43" s="16"/>
      <c r="CZ43" s="24" t="s">
        <v>522</v>
      </c>
      <c r="DA43" s="293" t="s">
        <v>578</v>
      </c>
    </row>
    <row r="44" spans="2:105" s="8" customFormat="1" ht="14.7" thickBot="1">
      <c r="H44" s="158"/>
      <c r="I44" s="123"/>
      <c r="J44" s="123"/>
      <c r="K44" s="124"/>
      <c r="L44" s="159"/>
      <c r="M44" s="16"/>
      <c r="N44" s="30"/>
      <c r="O44" s="260"/>
      <c r="P44" s="260"/>
      <c r="Q44" s="303"/>
      <c r="R44" s="30"/>
      <c r="S44" s="456"/>
      <c r="T44" s="298"/>
      <c r="U44" s="30"/>
      <c r="V44" s="30"/>
      <c r="W44" s="30"/>
      <c r="X44" s="30"/>
      <c r="Y44" s="30"/>
      <c r="Z44" s="30"/>
      <c r="AA44" s="16"/>
      <c r="AB44" s="16"/>
      <c r="AC44" s="16"/>
      <c r="AD44" s="16"/>
      <c r="AE44" s="16"/>
      <c r="AF44" s="16"/>
      <c r="AR44" s="26"/>
      <c r="AS44" s="26"/>
      <c r="AT44" s="26"/>
      <c r="AU44" s="273"/>
      <c r="AV44" s="26"/>
      <c r="BA44" s="16"/>
      <c r="BB44" s="104" t="s">
        <v>438</v>
      </c>
      <c r="BC44" s="104" t="s">
        <v>463</v>
      </c>
      <c r="BD44" s="104" t="s">
        <v>480</v>
      </c>
      <c r="BE44" s="128" t="s">
        <v>218</v>
      </c>
      <c r="BF44" s="128" t="s">
        <v>228</v>
      </c>
      <c r="BG44" s="128" t="s">
        <v>229</v>
      </c>
      <c r="BH44" s="128" t="s">
        <v>142</v>
      </c>
      <c r="BI44" s="129" t="s">
        <v>249</v>
      </c>
      <c r="BJ44" s="132"/>
      <c r="BK44" s="16"/>
      <c r="BL44" s="16"/>
      <c r="BN44" s="16"/>
      <c r="BO44" s="6"/>
      <c r="BP44" s="26"/>
      <c r="BS44" s="26"/>
      <c r="BT44" s="26"/>
      <c r="BU44" s="26"/>
      <c r="BV44" s="26"/>
      <c r="BW44" s="26"/>
      <c r="BX44" s="26"/>
      <c r="BY44" s="26"/>
      <c r="BZ44" s="26"/>
      <c r="CA44" s="26"/>
      <c r="CB44" s="26"/>
      <c r="CC44" s="26"/>
      <c r="CD44" s="26"/>
      <c r="CE44" s="16"/>
      <c r="CF44" s="16"/>
      <c r="CG44" s="16"/>
      <c r="CH44" s="16"/>
      <c r="CI44" s="26"/>
      <c r="CJ44" s="26"/>
      <c r="CK44" s="16"/>
      <c r="CL44" s="16"/>
      <c r="CM44" s="16"/>
      <c r="CN44" s="16"/>
      <c r="CO44" s="16"/>
      <c r="CP44" s="16"/>
      <c r="CZ44" s="24" t="s">
        <v>523</v>
      </c>
      <c r="DA44" s="293" t="s">
        <v>578</v>
      </c>
    </row>
    <row r="45" spans="2:105" s="8" customFormat="1" ht="14.7" thickBot="1">
      <c r="B45" s="259" t="s">
        <v>579</v>
      </c>
      <c r="C45" s="175"/>
      <c r="D45" s="175"/>
      <c r="E45" s="173"/>
      <c r="F45" s="174"/>
      <c r="H45" s="158"/>
      <c r="I45" s="123"/>
      <c r="J45" s="123"/>
      <c r="K45" s="124"/>
      <c r="L45" s="159"/>
      <c r="M45" s="16"/>
      <c r="N45" s="299" t="str">
        <f>LEFT(B9,10)&amp;MID(B9,14,6)</f>
        <v>TGS-26-440BLS-LX</v>
      </c>
      <c r="O45" s="260"/>
      <c r="P45" s="260"/>
      <c r="Q45" s="303"/>
      <c r="R45" s="30"/>
      <c r="S45" s="456"/>
      <c r="T45" s="298"/>
      <c r="U45" s="30"/>
      <c r="V45" s="30"/>
      <c r="W45" s="30"/>
      <c r="X45" s="30"/>
      <c r="Y45" s="30"/>
      <c r="Z45" s="30"/>
      <c r="AA45" s="16"/>
      <c r="AB45" s="16"/>
      <c r="AC45" s="16"/>
      <c r="AD45" s="16"/>
      <c r="AE45" s="16"/>
      <c r="AF45" s="16"/>
      <c r="AR45" s="26"/>
      <c r="AS45" s="26"/>
      <c r="AT45" s="26"/>
      <c r="AU45" s="273"/>
      <c r="AV45" s="26"/>
      <c r="BA45" s="16"/>
      <c r="BB45" s="104" t="s">
        <v>439</v>
      </c>
      <c r="BC45" s="104" t="s">
        <v>463</v>
      </c>
      <c r="BD45" s="104" t="s">
        <v>480</v>
      </c>
      <c r="BE45" s="128" t="s">
        <v>218</v>
      </c>
      <c r="BF45" s="128" t="s">
        <v>230</v>
      </c>
      <c r="BG45" s="128" t="s">
        <v>231</v>
      </c>
      <c r="BH45" s="128" t="s">
        <v>142</v>
      </c>
      <c r="BI45" s="129" t="s">
        <v>249</v>
      </c>
      <c r="BJ45" s="132"/>
      <c r="BK45" s="16"/>
      <c r="BL45" s="16"/>
      <c r="BN45" s="16"/>
      <c r="BO45" s="6"/>
      <c r="BP45" s="26"/>
      <c r="BS45" s="26"/>
      <c r="BT45" s="26"/>
      <c r="BU45" s="26"/>
      <c r="BV45" s="26"/>
      <c r="BW45" s="26"/>
      <c r="BX45" s="26"/>
      <c r="BY45" s="26"/>
      <c r="BZ45" s="26"/>
      <c r="CA45" s="26"/>
      <c r="CB45" s="26"/>
      <c r="CC45" s="26"/>
      <c r="CD45" s="26"/>
      <c r="CE45" s="16"/>
      <c r="CF45" s="16"/>
      <c r="CG45" s="16"/>
      <c r="CH45" s="16"/>
      <c r="CI45" s="26"/>
      <c r="CJ45" s="26"/>
      <c r="CK45" s="16"/>
      <c r="CL45" s="16"/>
      <c r="CM45" s="16"/>
      <c r="CN45" s="16"/>
      <c r="CO45" s="16"/>
      <c r="CP45" s="16"/>
      <c r="CZ45" s="24" t="s">
        <v>524</v>
      </c>
      <c r="DA45" s="293" t="s">
        <v>578</v>
      </c>
    </row>
    <row r="46" spans="2:105" ht="14.7" thickBot="1">
      <c r="B46" s="176" t="s">
        <v>101</v>
      </c>
      <c r="C46" s="436" t="s">
        <v>74</v>
      </c>
      <c r="D46" s="435"/>
      <c r="E46" s="437" t="s">
        <v>619</v>
      </c>
      <c r="F46" s="187" t="s">
        <v>51</v>
      </c>
      <c r="H46" s="158"/>
      <c r="I46" s="123"/>
      <c r="J46" s="123"/>
      <c r="K46" s="124"/>
      <c r="L46" s="159"/>
      <c r="N46" s="260" t="str">
        <f>N45&amp;D47&amp;"/"&amp;D48&amp;F46</f>
        <v>TGS-26-440BLS-LX36 MONTHS/10 000 KMNo</v>
      </c>
      <c r="BA46" s="16"/>
      <c r="BB46" s="104" t="s">
        <v>440</v>
      </c>
      <c r="BC46" s="104" t="s">
        <v>463</v>
      </c>
      <c r="BD46" s="104" t="s">
        <v>480</v>
      </c>
      <c r="BE46" s="128" t="s">
        <v>218</v>
      </c>
      <c r="BF46" s="128" t="s">
        <v>232</v>
      </c>
      <c r="BG46" s="128" t="s">
        <v>233</v>
      </c>
      <c r="BH46" s="128" t="s">
        <v>142</v>
      </c>
      <c r="BI46" s="129" t="s">
        <v>249</v>
      </c>
      <c r="BJ46" s="132"/>
      <c r="BO46" s="6"/>
      <c r="BP46" s="26"/>
      <c r="BS46" s="26"/>
      <c r="CE46" s="16"/>
      <c r="CF46" s="16"/>
      <c r="CQ46" s="100"/>
      <c r="CZ46" s="24" t="s">
        <v>525</v>
      </c>
      <c r="DA46" s="293" t="s">
        <v>578</v>
      </c>
    </row>
    <row r="47" spans="2:105" ht="14.7" thickBot="1">
      <c r="B47" s="70" t="s">
        <v>35</v>
      </c>
      <c r="C47" s="105" t="s">
        <v>349</v>
      </c>
      <c r="D47" s="467" t="s">
        <v>72</v>
      </c>
      <c r="E47" s="464" t="s">
        <v>33</v>
      </c>
      <c r="F47" s="205" t="s">
        <v>620</v>
      </c>
      <c r="H47" s="158"/>
      <c r="I47" s="123"/>
      <c r="J47" s="123"/>
      <c r="K47" s="124"/>
      <c r="L47" s="159"/>
      <c r="N47" s="260"/>
      <c r="BA47" s="16"/>
      <c r="BB47" s="104" t="s">
        <v>443</v>
      </c>
      <c r="BC47" s="104" t="s">
        <v>64</v>
      </c>
      <c r="BD47" s="104" t="s">
        <v>64</v>
      </c>
      <c r="BE47" s="128" t="s">
        <v>123</v>
      </c>
      <c r="BF47" s="128" t="s">
        <v>238</v>
      </c>
      <c r="BG47" s="128" t="s">
        <v>239</v>
      </c>
      <c r="BH47" s="128" t="s">
        <v>142</v>
      </c>
      <c r="BI47" s="129" t="s">
        <v>249</v>
      </c>
      <c r="BJ47" s="132"/>
      <c r="BO47" s="6"/>
      <c r="BP47" s="26"/>
      <c r="BS47" s="26"/>
      <c r="CE47" s="16"/>
      <c r="CF47" s="16"/>
      <c r="CQ47" s="100"/>
      <c r="CZ47" s="24" t="s">
        <v>526</v>
      </c>
      <c r="DA47" s="293" t="s">
        <v>578</v>
      </c>
    </row>
    <row r="48" spans="2:105" ht="14.7" thickBot="1">
      <c r="B48" s="70" t="s">
        <v>621</v>
      </c>
      <c r="C48" s="105" t="s">
        <v>349</v>
      </c>
      <c r="D48" s="467" t="s">
        <v>73</v>
      </c>
      <c r="E48" s="43">
        <f>IFERROR(IF(C46=BQ6,VLOOKUP(N46,[4]BuyBack!$E$4:$F$843,2,FALSE),VLOOKUP(N46,'[4]Trade Back'!$E$4:$F$843,2,FALSE)),0)</f>
        <v>683978.9543228409</v>
      </c>
      <c r="F48" s="433">
        <v>683978.95429999998</v>
      </c>
      <c r="H48" s="160"/>
      <c r="I48" s="161"/>
      <c r="J48" s="161"/>
      <c r="K48" s="162"/>
      <c r="L48" s="163"/>
      <c r="N48" s="260"/>
      <c r="BA48" s="16"/>
      <c r="BB48" s="104" t="s">
        <v>444</v>
      </c>
      <c r="BC48" s="104" t="s">
        <v>64</v>
      </c>
      <c r="BD48" s="104" t="s">
        <v>64</v>
      </c>
      <c r="BE48" s="128" t="s">
        <v>123</v>
      </c>
      <c r="BF48" s="128" t="s">
        <v>241</v>
      </c>
      <c r="BG48" s="128" t="s">
        <v>240</v>
      </c>
      <c r="BH48" s="128" t="s">
        <v>142</v>
      </c>
      <c r="BI48" s="129" t="s">
        <v>249</v>
      </c>
      <c r="BJ48" s="132"/>
      <c r="BO48" s="6"/>
      <c r="BP48" s="26"/>
      <c r="BS48" s="26"/>
      <c r="CE48" s="16"/>
      <c r="CF48" s="16"/>
      <c r="CQ48" s="100"/>
      <c r="CZ48" s="24" t="s">
        <v>527</v>
      </c>
      <c r="DA48" s="293" t="s">
        <v>578</v>
      </c>
    </row>
    <row r="49" spans="2:105" ht="14.7" thickBot="1">
      <c r="B49" s="70"/>
      <c r="C49" s="105"/>
      <c r="D49" s="286"/>
      <c r="E49" s="63"/>
      <c r="F49" s="205" t="s">
        <v>620</v>
      </c>
      <c r="K49" s="101"/>
      <c r="L49" s="100"/>
      <c r="N49" s="260"/>
      <c r="BA49" s="16"/>
      <c r="BB49" s="104" t="s">
        <v>448</v>
      </c>
      <c r="BC49" s="104" t="s">
        <v>464</v>
      </c>
      <c r="BD49" s="104" t="s">
        <v>464</v>
      </c>
      <c r="BE49" s="128" t="s">
        <v>123</v>
      </c>
      <c r="BF49" s="128" t="s">
        <v>246</v>
      </c>
      <c r="BG49" s="128" t="s">
        <v>247</v>
      </c>
      <c r="BH49" s="128" t="s">
        <v>142</v>
      </c>
      <c r="BI49" s="129" t="s">
        <v>249</v>
      </c>
      <c r="BJ49" s="132"/>
      <c r="BO49" s="6"/>
      <c r="BP49" s="26"/>
      <c r="BS49" s="26"/>
      <c r="CE49" s="16"/>
      <c r="CF49" s="16"/>
      <c r="CQ49" s="100"/>
      <c r="CZ49" s="24" t="s">
        <v>528</v>
      </c>
      <c r="DA49" s="293" t="s">
        <v>576</v>
      </c>
    </row>
    <row r="50" spans="2:105" ht="14.7" thickBot="1">
      <c r="B50" s="70"/>
      <c r="C50" s="105"/>
      <c r="D50" s="286" t="s">
        <v>610</v>
      </c>
      <c r="E50" s="421"/>
      <c r="F50" s="422"/>
      <c r="H50" s="149" t="s">
        <v>588</v>
      </c>
      <c r="I50" s="164"/>
      <c r="J50" s="164"/>
      <c r="K50" s="164"/>
      <c r="L50" s="152">
        <f>SUM(L51:L58)</f>
        <v>702345.00011420459</v>
      </c>
      <c r="N50" s="260"/>
      <c r="BA50" s="16"/>
      <c r="BB50" s="104"/>
      <c r="BC50" s="104" t="s">
        <v>253</v>
      </c>
      <c r="BD50" s="104" t="s">
        <v>253</v>
      </c>
      <c r="BE50" s="128"/>
      <c r="BF50" s="128"/>
      <c r="BG50" s="128"/>
      <c r="BH50" s="128"/>
      <c r="BI50" s="129"/>
      <c r="BJ50" s="132"/>
      <c r="BO50" s="6"/>
      <c r="BP50" s="26"/>
      <c r="BS50" s="26"/>
      <c r="CE50" s="16"/>
      <c r="CF50" s="16"/>
      <c r="CQ50" s="100"/>
      <c r="CZ50" s="24" t="s">
        <v>529</v>
      </c>
      <c r="DA50" s="293" t="s">
        <v>578</v>
      </c>
    </row>
    <row r="51" spans="2:105" ht="15.75" customHeight="1" thickBot="1">
      <c r="B51" s="178"/>
      <c r="C51" s="179"/>
      <c r="D51" s="179"/>
      <c r="E51" s="274" t="str">
        <f>IF(AND(C46&lt;&gt;"None",D47&lt;&gt;"",D48&lt;&gt;"",E48&lt;&gt;0),"",IF(AND(C46&lt;&gt;"None",D47&lt;&gt;"",D48&lt;&gt;"",E50&lt;&gt;""),"",IF(AND(C46="None",D47="",D48="",E50="",RMC=0),"","COMBINATION N/A")))</f>
        <v/>
      </c>
      <c r="F51" s="180"/>
      <c r="H51" s="144" t="s">
        <v>347</v>
      </c>
      <c r="I51" s="136"/>
      <c r="J51" s="136"/>
      <c r="K51" s="136"/>
      <c r="L51" s="275">
        <f>(F43-E43)*D43</f>
        <v>50000</v>
      </c>
      <c r="N51" s="260" t="str">
        <f>$L$11&amp;N52</f>
        <v>TGS-26-4406X4BLS-LX-ALU-ELCOMFORT SUPER36 MONTHS/360 000 KM</v>
      </c>
      <c r="BA51" s="16"/>
      <c r="BB51" s="104" t="s">
        <v>449</v>
      </c>
      <c r="BC51" s="104" t="s">
        <v>384</v>
      </c>
      <c r="BD51" s="104" t="s">
        <v>466</v>
      </c>
      <c r="BE51" s="128" t="s">
        <v>376</v>
      </c>
      <c r="BF51" s="128" t="s">
        <v>377</v>
      </c>
      <c r="BG51" s="128" t="s">
        <v>378</v>
      </c>
      <c r="BH51" s="128" t="s">
        <v>377</v>
      </c>
      <c r="BI51" s="129" t="s">
        <v>249</v>
      </c>
      <c r="BJ51" s="132"/>
      <c r="BO51" s="6"/>
      <c r="BP51" s="26"/>
      <c r="BQ51" s="26"/>
      <c r="BR51" s="26"/>
      <c r="BS51" s="26"/>
      <c r="CE51" s="16"/>
      <c r="CF51" s="16"/>
      <c r="CQ51" s="100"/>
      <c r="CZ51" s="24" t="s">
        <v>530</v>
      </c>
      <c r="DA51" s="293" t="s">
        <v>578</v>
      </c>
    </row>
    <row r="52" spans="2:105" ht="14.7" thickBot="1">
      <c r="H52" s="146" t="s">
        <v>21</v>
      </c>
      <c r="L52" s="276">
        <f>IF(E50="",(E48-F48)*C39,(E50-F50)*C39)</f>
        <v>1.1420459486544132E-4</v>
      </c>
      <c r="N52" s="260" t="str">
        <f>E53&amp;D54&amp;"/"&amp;D55</f>
        <v>COMFORT SUPER36 MONTHS/360 000 KM</v>
      </c>
      <c r="BA52" s="16"/>
      <c r="BB52" s="104" t="s">
        <v>450</v>
      </c>
      <c r="BC52" s="104" t="s">
        <v>384</v>
      </c>
      <c r="BD52" s="104" t="s">
        <v>466</v>
      </c>
      <c r="BE52" s="128" t="s">
        <v>385</v>
      </c>
      <c r="BF52" s="128" t="s">
        <v>142</v>
      </c>
      <c r="BG52" s="128" t="s">
        <v>379</v>
      </c>
      <c r="BH52" s="128" t="s">
        <v>142</v>
      </c>
      <c r="BI52" s="129" t="s">
        <v>249</v>
      </c>
      <c r="BJ52" s="132"/>
      <c r="BO52" s="6"/>
      <c r="BP52" s="26"/>
      <c r="BQ52" s="26"/>
      <c r="BR52" s="26"/>
      <c r="BS52" s="26"/>
      <c r="CE52" s="16"/>
      <c r="CF52" s="16"/>
      <c r="CQ52" s="100"/>
      <c r="CZ52" s="24" t="s">
        <v>531</v>
      </c>
      <c r="DA52" s="293" t="s">
        <v>578</v>
      </c>
    </row>
    <row r="53" spans="2:105" ht="14.7" thickBot="1">
      <c r="B53" s="259" t="s">
        <v>580</v>
      </c>
      <c r="C53" s="53"/>
      <c r="D53" s="432" t="s">
        <v>349</v>
      </c>
      <c r="E53" s="438" t="s">
        <v>252</v>
      </c>
      <c r="F53" s="181"/>
      <c r="H53" s="146" t="s">
        <v>22</v>
      </c>
      <c r="L53" s="276">
        <f>IF(E57="",(E55-F55)*C40,(E57-F57)*C40)</f>
        <v>0</v>
      </c>
      <c r="N53" s="260"/>
      <c r="BA53" s="16"/>
      <c r="BB53" s="104" t="s">
        <v>451</v>
      </c>
      <c r="BC53" s="104" t="s">
        <v>384</v>
      </c>
      <c r="BD53" s="104" t="s">
        <v>466</v>
      </c>
      <c r="BE53" s="128" t="s">
        <v>380</v>
      </c>
      <c r="BF53" s="128" t="s">
        <v>386</v>
      </c>
      <c r="BG53" s="128" t="s">
        <v>371</v>
      </c>
      <c r="BH53" s="128" t="s">
        <v>377</v>
      </c>
      <c r="BI53" s="129" t="s">
        <v>249</v>
      </c>
      <c r="BJ53" s="132"/>
      <c r="BQ53" s="26"/>
      <c r="BR53" s="26"/>
      <c r="BS53" s="26"/>
      <c r="CE53" s="16"/>
      <c r="CF53" s="16"/>
      <c r="CQ53" s="100"/>
      <c r="CZ53" s="24" t="s">
        <v>532</v>
      </c>
      <c r="DA53" s="293" t="s">
        <v>578</v>
      </c>
    </row>
    <row r="54" spans="2:105" ht="14.7" thickBot="1">
      <c r="B54" s="70" t="s">
        <v>35</v>
      </c>
      <c r="C54" s="105" t="s">
        <v>349</v>
      </c>
      <c r="D54" s="466" t="s">
        <v>72</v>
      </c>
      <c r="E54" s="464" t="s">
        <v>33</v>
      </c>
      <c r="F54" s="205" t="s">
        <v>620</v>
      </c>
      <c r="H54" s="146" t="s">
        <v>352</v>
      </c>
      <c r="L54" s="276">
        <f>L37*C39</f>
        <v>0</v>
      </c>
      <c r="N54" s="260"/>
      <c r="BA54" s="16"/>
      <c r="BB54" s="104"/>
      <c r="BC54" s="104" t="s">
        <v>253</v>
      </c>
      <c r="BD54" s="104" t="s">
        <v>253</v>
      </c>
      <c r="BE54" s="128"/>
      <c r="BF54" s="128"/>
      <c r="BG54" s="128"/>
      <c r="BH54" s="128"/>
      <c r="BI54" s="129"/>
      <c r="BJ54" s="132"/>
      <c r="BQ54" s="26"/>
      <c r="BR54" s="26"/>
      <c r="BS54" s="26"/>
      <c r="CE54" s="16"/>
      <c r="CF54" s="16"/>
      <c r="CQ54" s="100"/>
      <c r="CZ54" s="24" t="s">
        <v>533</v>
      </c>
      <c r="DA54" s="293" t="s">
        <v>578</v>
      </c>
    </row>
    <row r="55" spans="2:105" ht="14.7" thickBot="1">
      <c r="B55" s="70" t="s">
        <v>42</v>
      </c>
      <c r="C55" s="105" t="s">
        <v>349</v>
      </c>
      <c r="D55" s="467" t="s">
        <v>110</v>
      </c>
      <c r="E55" s="63">
        <f>IFERROR(VLOOKUP(N51,'[4]R &amp; M'!$C$2:$F$421,4,FALSE),0)</f>
        <v>167328</v>
      </c>
      <c r="F55" s="433"/>
      <c r="H55" s="146" t="s">
        <v>41</v>
      </c>
      <c r="L55" s="276">
        <f>(IF(OR(N41="TGS",N41="TGX"),351,0))*C39</f>
        <v>1755</v>
      </c>
      <c r="N55" s="260"/>
      <c r="BA55" s="16"/>
      <c r="BB55" s="104" t="s">
        <v>390</v>
      </c>
      <c r="BC55" s="104" t="s">
        <v>269</v>
      </c>
      <c r="BD55" s="104" t="s">
        <v>269</v>
      </c>
      <c r="BE55" s="128" t="s">
        <v>120</v>
      </c>
      <c r="BF55" s="128" t="s">
        <v>128</v>
      </c>
      <c r="BG55" s="128" t="s">
        <v>129</v>
      </c>
      <c r="BH55" s="128" t="s">
        <v>128</v>
      </c>
      <c r="BI55" s="129" t="s">
        <v>249</v>
      </c>
      <c r="BJ55" s="132"/>
      <c r="BQ55" s="26"/>
      <c r="BR55" s="26"/>
      <c r="BS55" s="26"/>
      <c r="CE55" s="16"/>
      <c r="CF55" s="16"/>
      <c r="CQ55" s="100"/>
      <c r="CZ55" s="24" t="s">
        <v>534</v>
      </c>
      <c r="DA55" s="293" t="s">
        <v>578</v>
      </c>
    </row>
    <row r="56" spans="2:105">
      <c r="B56" s="70"/>
      <c r="C56" s="105"/>
      <c r="D56" s="286"/>
      <c r="E56" s="63"/>
      <c r="F56" s="205" t="s">
        <v>620</v>
      </c>
      <c r="H56" s="146" t="s">
        <v>49</v>
      </c>
      <c r="L56" s="276">
        <f>(E66-F66)*C39</f>
        <v>3925</v>
      </c>
      <c r="N56" s="260" t="str">
        <f>IF(E53="None","No","Yes")</f>
        <v>Yes</v>
      </c>
      <c r="Q56" s="30"/>
      <c r="BA56" s="16"/>
      <c r="BB56" s="104" t="s">
        <v>427</v>
      </c>
      <c r="BC56" s="104" t="s">
        <v>272</v>
      </c>
      <c r="BD56" s="104" t="s">
        <v>272</v>
      </c>
      <c r="BE56" s="128" t="s">
        <v>120</v>
      </c>
      <c r="BF56" s="128" t="s">
        <v>202</v>
      </c>
      <c r="BG56" s="128" t="s">
        <v>203</v>
      </c>
      <c r="BH56" s="128" t="s">
        <v>202</v>
      </c>
      <c r="BI56" s="129" t="s">
        <v>249</v>
      </c>
      <c r="BJ56" s="132"/>
      <c r="BQ56" s="26"/>
      <c r="BR56" s="26"/>
      <c r="BS56" s="26"/>
      <c r="CE56" s="16"/>
      <c r="CF56" s="16"/>
      <c r="CQ56" s="100"/>
      <c r="CZ56" s="294" t="s">
        <v>535</v>
      </c>
      <c r="DA56" s="293" t="s">
        <v>577</v>
      </c>
    </row>
    <row r="57" spans="2:105">
      <c r="B57" s="70"/>
      <c r="C57" s="105"/>
      <c r="D57" s="286" t="s">
        <v>614</v>
      </c>
      <c r="E57" s="421"/>
      <c r="F57" s="422"/>
      <c r="H57" s="146" t="s">
        <v>250</v>
      </c>
      <c r="L57" s="276">
        <f>E71*C39</f>
        <v>492450</v>
      </c>
      <c r="N57" s="260" t="str">
        <f>IF(AND(C65="",C66=""),"",(C65&amp;"/"&amp;C66))</f>
        <v>24 MONTHS/150 000 KM</v>
      </c>
      <c r="Q57" s="30"/>
      <c r="BA57" s="16"/>
      <c r="BB57" s="104" t="s">
        <v>428</v>
      </c>
      <c r="BC57" s="104" t="s">
        <v>272</v>
      </c>
      <c r="BD57" s="104" t="s">
        <v>272</v>
      </c>
      <c r="BE57" s="128" t="s">
        <v>204</v>
      </c>
      <c r="BF57" s="128" t="s">
        <v>205</v>
      </c>
      <c r="BG57" s="128" t="s">
        <v>206</v>
      </c>
      <c r="BH57" s="128" t="s">
        <v>202</v>
      </c>
      <c r="BI57" s="129" t="s">
        <v>249</v>
      </c>
      <c r="BJ57" s="132"/>
      <c r="BQ57" s="26"/>
      <c r="BR57" s="26"/>
      <c r="BS57" s="26"/>
      <c r="CE57" s="16"/>
      <c r="CF57" s="16"/>
      <c r="CQ57" s="100"/>
      <c r="CZ57" s="294" t="s">
        <v>279</v>
      </c>
      <c r="DA57" s="293" t="s">
        <v>577</v>
      </c>
    </row>
    <row r="58" spans="2:105" ht="14.7" thickBot="1">
      <c r="B58" s="71"/>
      <c r="C58" s="182"/>
      <c r="D58" s="434"/>
      <c r="E58" s="274" t="str">
        <f>IF(AND(E53&lt;&gt;"None",D54&lt;&gt;"",D55&lt;&gt;"",E55&lt;&gt;0),"",IF(AND(E53&lt;&gt;"None",D54&lt;&gt;"",D55&lt;&gt;"",E57&lt;&gt;""),"",IF(AND(E53="None",D54="",D55="",E57="",RMC=0),"","COMBINATION N/A")))</f>
        <v/>
      </c>
      <c r="F58" s="204"/>
      <c r="H58" s="165" t="s">
        <v>24</v>
      </c>
      <c r="I58" s="142"/>
      <c r="J58" s="142"/>
      <c r="K58" s="142"/>
      <c r="L58" s="277">
        <f>L19*C39</f>
        <v>154215</v>
      </c>
      <c r="N58" s="260"/>
      <c r="Q58" s="30"/>
      <c r="BA58" s="16"/>
      <c r="BB58" s="104" t="s">
        <v>403</v>
      </c>
      <c r="BC58" s="104" t="s">
        <v>270</v>
      </c>
      <c r="BD58" s="104" t="s">
        <v>270</v>
      </c>
      <c r="BE58" s="128" t="s">
        <v>120</v>
      </c>
      <c r="BF58" s="128" t="s">
        <v>370</v>
      </c>
      <c r="BG58" s="128" t="s">
        <v>371</v>
      </c>
      <c r="BH58" s="128" t="s">
        <v>370</v>
      </c>
      <c r="BI58" s="129" t="s">
        <v>249</v>
      </c>
      <c r="BJ58" s="132"/>
      <c r="BQ58" s="26"/>
      <c r="BR58" s="26"/>
      <c r="BS58" s="26"/>
      <c r="CE58" s="16"/>
      <c r="CF58" s="16"/>
      <c r="CQ58" s="100"/>
      <c r="CZ58" s="295" t="s">
        <v>280</v>
      </c>
      <c r="DA58" s="293" t="s">
        <v>577</v>
      </c>
    </row>
    <row r="59" spans="2:105" ht="14.7" thickBot="1">
      <c r="N59" s="260"/>
      <c r="BA59" s="16"/>
      <c r="BB59" s="104" t="s">
        <v>387</v>
      </c>
      <c r="BC59" s="104" t="s">
        <v>271</v>
      </c>
      <c r="BD59" s="104" t="s">
        <v>271</v>
      </c>
      <c r="BE59" s="128" t="s">
        <v>120</v>
      </c>
      <c r="BF59" s="128" t="s">
        <v>121</v>
      </c>
      <c r="BG59" s="128" t="s">
        <v>122</v>
      </c>
      <c r="BH59" s="128" t="s">
        <v>121</v>
      </c>
      <c r="BI59" s="129" t="s">
        <v>249</v>
      </c>
      <c r="BJ59" s="132"/>
      <c r="BQ59" s="26"/>
      <c r="BR59" s="26"/>
      <c r="BS59" s="26"/>
      <c r="CE59" s="16"/>
      <c r="CF59" s="16"/>
      <c r="CQ59" s="100"/>
      <c r="CZ59" s="295" t="s">
        <v>281</v>
      </c>
      <c r="DA59" s="293" t="s">
        <v>577</v>
      </c>
    </row>
    <row r="60" spans="2:105" ht="14.7" thickBot="1">
      <c r="B60" s="259" t="s">
        <v>581</v>
      </c>
      <c r="C60" s="53"/>
      <c r="D60" s="53"/>
      <c r="E60" s="136"/>
      <c r="F60" s="213" t="s">
        <v>349</v>
      </c>
      <c r="H60" s="144" t="s">
        <v>23</v>
      </c>
      <c r="I60" s="136"/>
      <c r="J60" s="136"/>
      <c r="K60" s="136"/>
      <c r="L60" s="166">
        <f>L12-L15+L16-L50</f>
        <v>7524154.9998857956</v>
      </c>
      <c r="N60" s="260" t="str">
        <f>IF(AND(D65="",D66=""),"",(D65&amp;"/"&amp;D66))</f>
        <v>36 MONTHS/225 000 KM</v>
      </c>
      <c r="BA60" s="16"/>
      <c r="BB60" s="104" t="s">
        <v>413</v>
      </c>
      <c r="BC60" s="104" t="s">
        <v>273</v>
      </c>
      <c r="BD60" s="104" t="s">
        <v>273</v>
      </c>
      <c r="BE60" s="128" t="s">
        <v>120</v>
      </c>
      <c r="BF60" s="128" t="s">
        <v>372</v>
      </c>
      <c r="BG60" s="128" t="s">
        <v>203</v>
      </c>
      <c r="BH60" s="128" t="s">
        <v>372</v>
      </c>
      <c r="BI60" s="129" t="s">
        <v>249</v>
      </c>
      <c r="BJ60" s="132"/>
      <c r="BQ60" s="26"/>
      <c r="BR60" s="26"/>
      <c r="BS60" s="26"/>
      <c r="CE60" s="16"/>
      <c r="CF60" s="16"/>
      <c r="CQ60" s="100"/>
      <c r="CZ60" s="24" t="s">
        <v>536</v>
      </c>
      <c r="DA60" s="293" t="s">
        <v>577</v>
      </c>
    </row>
    <row r="61" spans="2:105" ht="14.7" thickBot="1">
      <c r="B61" s="146"/>
      <c r="E61" s="440" t="str">
        <f>IF(OR(N41="CLA",N41="TGM",N41="VW"),"App. N/A","Choose App.")</f>
        <v>Choose App.</v>
      </c>
      <c r="F61" s="671" t="s">
        <v>777</v>
      </c>
      <c r="H61" s="165" t="s">
        <v>355</v>
      </c>
      <c r="I61" s="142"/>
      <c r="J61" s="142"/>
      <c r="K61" s="142"/>
      <c r="L61" s="463" t="str">
        <f>IF(AND($L$18=0,$L$60&gt;=$L$13),"Salesman Limit",IF(AND($L$18=1,$L$60&gt;=$L$13),"Disc. HQ Salesman Limit",IF(AND($L$18=0,$L$60&gt;=$AZ$35,$L$60&lt;$L$13),"Sales Manager Limit",IF(AND($L$18=1,$L$60&gt;=$AZ$35,$L$60&lt;$L$13),"Disc. HQ Sales Manager Limit",IF($L$60&lt;$AZ$35,"HQ Decision")))))</f>
        <v>Salesman Limit</v>
      </c>
      <c r="N61" s="260" t="str">
        <f>N43&amp;N62&amp;N57&amp;N60&amp;E63&amp;N56</f>
        <v>TGS6X424 MONTHS/150 000 KM36 MONTHS/225 000 KMCombinationYes</v>
      </c>
      <c r="BA61" s="16"/>
      <c r="BB61" s="104" t="s">
        <v>421</v>
      </c>
      <c r="BC61" s="104" t="s">
        <v>274</v>
      </c>
      <c r="BD61" s="104" t="s">
        <v>274</v>
      </c>
      <c r="BE61" s="128" t="s">
        <v>120</v>
      </c>
      <c r="BF61" s="128" t="s">
        <v>375</v>
      </c>
      <c r="BG61" s="128" t="s">
        <v>203</v>
      </c>
      <c r="BH61" s="128" t="s">
        <v>375</v>
      </c>
      <c r="BI61" s="129" t="s">
        <v>249</v>
      </c>
      <c r="BJ61" s="132"/>
      <c r="BQ61" s="26"/>
      <c r="BR61" s="26"/>
      <c r="BS61" s="26"/>
      <c r="CE61" s="16"/>
      <c r="CF61" s="16"/>
      <c r="CQ61" s="100"/>
      <c r="CZ61" s="24" t="s">
        <v>537</v>
      </c>
      <c r="DA61" s="293" t="s">
        <v>577</v>
      </c>
    </row>
    <row r="62" spans="2:105" ht="14.7" thickBot="1">
      <c r="B62" s="146"/>
      <c r="E62" s="439"/>
      <c r="F62" s="207"/>
      <c r="N62" s="260" t="str">
        <f>IF(F61="Hydrodrive","HYDRO",IF(F61="Heavy Duty","H/D",""))</f>
        <v/>
      </c>
      <c r="BA62" s="16"/>
      <c r="BB62" s="104" t="s">
        <v>387</v>
      </c>
      <c r="BC62" s="104" t="s">
        <v>271</v>
      </c>
      <c r="BD62" s="104" t="s">
        <v>271</v>
      </c>
      <c r="BE62" s="128" t="s">
        <v>120</v>
      </c>
      <c r="BF62" s="128" t="s">
        <v>121</v>
      </c>
      <c r="BG62" s="128" t="s">
        <v>122</v>
      </c>
      <c r="BH62" s="128" t="s">
        <v>121</v>
      </c>
      <c r="BI62" s="129" t="s">
        <v>249</v>
      </c>
      <c r="BJ62" s="132"/>
      <c r="BQ62" s="26"/>
      <c r="BR62" s="26"/>
      <c r="BS62" s="26"/>
      <c r="CE62" s="16"/>
      <c r="CF62" s="16"/>
      <c r="CQ62" s="100"/>
      <c r="CZ62" s="24" t="s">
        <v>538</v>
      </c>
      <c r="DA62" s="293" t="s">
        <v>577</v>
      </c>
    </row>
    <row r="63" spans="2:105" ht="15" customHeight="1" thickBot="1">
      <c r="B63" s="183" t="s">
        <v>49</v>
      </c>
      <c r="C63" s="26"/>
      <c r="D63" s="105" t="s">
        <v>349</v>
      </c>
      <c r="E63" s="672" t="s">
        <v>57</v>
      </c>
      <c r="F63" s="177"/>
      <c r="H63" s="149" t="s">
        <v>16</v>
      </c>
      <c r="I63" s="164"/>
      <c r="J63" s="164"/>
      <c r="K63" s="164"/>
      <c r="L63" s="186"/>
      <c r="M63" s="107"/>
      <c r="N63" s="260"/>
      <c r="BA63" s="16"/>
      <c r="BB63" s="104" t="s">
        <v>403</v>
      </c>
      <c r="BC63" s="104" t="s">
        <v>270</v>
      </c>
      <c r="BD63" s="104" t="s">
        <v>270</v>
      </c>
      <c r="BE63" s="128" t="s">
        <v>120</v>
      </c>
      <c r="BF63" s="128" t="s">
        <v>370</v>
      </c>
      <c r="BG63" s="128" t="s">
        <v>371</v>
      </c>
      <c r="BH63" s="128" t="s">
        <v>370</v>
      </c>
      <c r="BI63" s="129" t="s">
        <v>249</v>
      </c>
      <c r="BJ63" s="132"/>
      <c r="BQ63" s="26"/>
      <c r="BR63" s="26"/>
      <c r="BS63" s="26"/>
      <c r="CE63" s="16"/>
      <c r="CF63" s="16"/>
      <c r="CQ63" s="100"/>
      <c r="CZ63" s="24" t="s">
        <v>539</v>
      </c>
      <c r="DA63" s="293" t="s">
        <v>577</v>
      </c>
    </row>
    <row r="64" spans="2:105" ht="14.7" thickBot="1">
      <c r="B64" s="32"/>
      <c r="C64" s="257" t="s">
        <v>61</v>
      </c>
      <c r="D64" s="257" t="s">
        <v>62</v>
      </c>
      <c r="E64" s="26"/>
      <c r="F64" s="177"/>
      <c r="H64" s="168" t="s">
        <v>585</v>
      </c>
      <c r="I64" s="136"/>
      <c r="J64" s="136"/>
      <c r="K64" s="169"/>
      <c r="L64" s="636">
        <f>IF(L61="Salesman Limit",15000,IF(L61="Disc. HQ Salesman Limit",15000,IF(L61="Sales Manager Limit",9000,IF(L61="Disc. HQ Sales Manager Limit",9000,IF(L61="HQ Decision",4500)))))*C39</f>
        <v>75000</v>
      </c>
      <c r="N64" s="260"/>
      <c r="BA64" s="16"/>
      <c r="BB64" s="104"/>
      <c r="BC64" s="104" t="s">
        <v>253</v>
      </c>
      <c r="BD64" s="104" t="s">
        <v>253</v>
      </c>
      <c r="BE64" s="128"/>
      <c r="BF64" s="128"/>
      <c r="BG64" s="128"/>
      <c r="BH64" s="128"/>
      <c r="BI64" s="129"/>
      <c r="BJ64" s="132"/>
      <c r="BQ64" s="26"/>
      <c r="BR64" s="26"/>
      <c r="BS64" s="26"/>
      <c r="CE64" s="16"/>
      <c r="CF64" s="16"/>
      <c r="CQ64" s="100"/>
      <c r="CZ64" s="24" t="s">
        <v>540</v>
      </c>
      <c r="DA64" s="293" t="s">
        <v>577</v>
      </c>
    </row>
    <row r="65" spans="2:105" ht="18" customHeight="1" thickBot="1">
      <c r="B65" s="70" t="s">
        <v>35</v>
      </c>
      <c r="C65" s="674" t="s">
        <v>111</v>
      </c>
      <c r="D65" s="673" t="s">
        <v>72</v>
      </c>
      <c r="E65" s="257" t="s">
        <v>33</v>
      </c>
      <c r="F65" s="205" t="s">
        <v>620</v>
      </c>
      <c r="G65" s="108"/>
      <c r="H65" s="170" t="s">
        <v>586</v>
      </c>
      <c r="K65" s="101"/>
      <c r="L65" s="637">
        <f>IF(L61="Salesman Limit",(L60-L13)*10%,IF(L61="Disc. HQ Salesman Limit",(L60-L13)*10%,IF(L61="Sales Manager Limit",(L60-AZ35)*5%,IF(L61="Disc. HQ Sales Manager Limit",(L60-AZ35)*5%,IF(L61="HQ Decision",0)))))</f>
        <v>15295.999988579564</v>
      </c>
      <c r="N65" s="260"/>
      <c r="BB65" s="104" t="s">
        <v>447</v>
      </c>
      <c r="BC65" s="104" t="s">
        <v>464</v>
      </c>
      <c r="BD65" s="104" t="s">
        <v>464</v>
      </c>
      <c r="BE65" s="128" t="s">
        <v>120</v>
      </c>
      <c r="BF65" s="128" t="s">
        <v>245</v>
      </c>
      <c r="BG65" s="128" t="s">
        <v>239</v>
      </c>
      <c r="BH65" s="128" t="s">
        <v>142</v>
      </c>
      <c r="BI65" s="129" t="s">
        <v>249</v>
      </c>
      <c r="BJ65" s="132"/>
      <c r="BS65" s="26"/>
      <c r="CF65" s="16"/>
      <c r="CZ65" s="24" t="s">
        <v>541</v>
      </c>
      <c r="DA65" s="293" t="s">
        <v>577</v>
      </c>
    </row>
    <row r="66" spans="2:105" ht="15" customHeight="1" thickBot="1">
      <c r="B66" s="70" t="s">
        <v>42</v>
      </c>
      <c r="C66" s="674" t="s">
        <v>92</v>
      </c>
      <c r="D66" s="673" t="s">
        <v>259</v>
      </c>
      <c r="E66" s="63">
        <f>IFERROR(IF(AND(N41="TGM",E63="Combination"),VLOOKUP(N61&amp;"",'[4]Warranties (TGM)'!$W$5:$X$101,2,FALSE),IF(AND(N41="TGM",E63="Entire Vehicle"),VLOOKUP(N61&amp;"",'[4]Warranties (TGM)'!$F$5:$G$196,2,FALSE),IF(AND(N41="TGM",E63="Driveline"),VLOOKUP(N61&amp;"",'[4]Warranties (TGM)'!$N$5:$O$148,2,FALSE),IF(AND(N41="CLA",E63="Driveline"),VLOOKUP(N61&amp;"",'[4]Warranties (CLA)'!$F$4:$G$19,2,FALSE),IF(AND(N41="CLA",E63="Entire Vehicle"),VLOOKUP(N61&amp;"",'[4]Warranties (CLA)'!$F$4:$G$19,2,FALSE),IF(AND(N41="TGS",E63="Combination"),VLOOKUP(N61&amp;"",'[4]Warranties (TGS)'!$G$5:$H$436,2,FALSE),IF(AND(N41="TGS",E63="Entire Vehicle"),VLOOKUP(N61&amp;"",'[4]Warranties (TGS)'!$AC$5:$AD$508,2,FALSE),IF(AND(N41="TGS",E63="Driveline"),VLOOKUP(N61&amp;"",'[4]Warranties (TGS)'!$AK$5:$AL$382,2,FALSE),IF(AND(N41="TGX",E63="Combination"),VLOOKUP(N61&amp;"",'[4]Warranties (TGX)'!$G$5:$H$436,2,FALSE),IF(AND(N41="TGX",E63="Entire Vehicle"),VLOOKUP(N61&amp;"",'[4]Warranties (TGX)'!$AC$5:$AD$508,2,FALSE),VLOOKUP(N61&amp;"",'[4]Warranties (TGX)'!$AK$5:$AL$382,2,FALSE))))))))))),0)</f>
        <v>22785</v>
      </c>
      <c r="F66" s="675">
        <v>22000</v>
      </c>
      <c r="G66" s="109"/>
      <c r="H66" s="171" t="s">
        <v>587</v>
      </c>
      <c r="I66" s="142"/>
      <c r="J66" s="142"/>
      <c r="K66" s="172"/>
      <c r="L66" s="638">
        <f>IF(AND(L61="Salesman Limit",L10="Yes"),3000,IF(AND(L61="Disc. HQ Salesman Limit",L10="Yes"),3000,IF(AND(L61="Sales Manager Limit",L10="Yes"),2000,IF(AND(L61="Disc. HQ Sales Manager Limit",L10="Yes"),2000,IF(AND(L61="HQ Decision",L10="Yes"),1500,0)))))*C39</f>
        <v>15000</v>
      </c>
      <c r="N66" s="260"/>
      <c r="BB66" s="104" t="s">
        <v>445</v>
      </c>
      <c r="BC66" s="104" t="s">
        <v>64</v>
      </c>
      <c r="BD66" s="104" t="s">
        <v>64</v>
      </c>
      <c r="BE66" s="128" t="s">
        <v>120</v>
      </c>
      <c r="BF66" s="128" t="s">
        <v>242</v>
      </c>
      <c r="BG66" s="128" t="s">
        <v>243</v>
      </c>
      <c r="BH66" s="128" t="s">
        <v>142</v>
      </c>
      <c r="BI66" s="129" t="s">
        <v>249</v>
      </c>
      <c r="BJ66" s="132"/>
      <c r="BS66" s="26"/>
      <c r="CF66" s="16"/>
      <c r="CZ66" s="24" t="s">
        <v>542</v>
      </c>
      <c r="DA66" s="293" t="s">
        <v>577</v>
      </c>
    </row>
    <row r="67" spans="2:105" ht="14.7" thickBot="1">
      <c r="B67" s="70"/>
      <c r="C67" s="44"/>
      <c r="D67" s="44"/>
      <c r="E67" s="62" t="str">
        <f>IF(AND(E63&lt;&gt;"None",D66&lt;&gt;"",D65&lt;&gt;"",C65&lt;&gt;"",C66&lt;&gt;"",E66&lt;&gt;0),"",IF(AND(E63="None",D65="",D66="",C65="",C66=""),"",IF(AND(E63="Driveline",D65&lt;&gt;"",D66&lt;&gt;"",C65="",C66="",E66&lt;&gt;0),"",IF(AND(E63="Entire Vehicle",C65&lt;&gt;"",C66&lt;&gt;"",D65="",D66="",E66&lt;&gt;0),"","COMBINATION N/A"))))</f>
        <v/>
      </c>
      <c r="F67" s="184"/>
      <c r="H67" s="167" t="s">
        <v>18</v>
      </c>
      <c r="I67" s="151"/>
      <c r="J67" s="151"/>
      <c r="K67" s="151"/>
      <c r="L67" s="639">
        <f>IF(AND(L61="Salesman Limit",SUM(L64:L66)&gt;200000),200000,IF(AND(L61="Sales Manager Limit",SUM(L64:L66)&gt;100000),100000,IF(AND(L61="HQ Decision",SUM(L64:L66)&gt;50000),50000,SUM(L64:L66))))</f>
        <v>105295.99998857957</v>
      </c>
      <c r="M67" s="306" t="str">
        <f>IF(AND(L61="Salesman Limit",SUM(L64:L66)&gt;200000),"Above Commission Limit",IF(AND(L61="Disc. HQ Salesman Limit",SUM(L64:L66)&gt;200000),"Above Commission Limit",IF(AND(L61="Sales Manager Limit",SUM(L64:L66)&gt;100000),"Above Commission Limit",IF(AND(L61="Disc. HQ Sales Manager Limit",SUM(L64:L66)&gt;100000),"Above Commission Limit",IF(AND(L61="HQ Limit",SUM(L64:L66)&gt;50000),"Above Commission Limit","")))))</f>
        <v/>
      </c>
      <c r="N67" s="260"/>
      <c r="BB67" s="104" t="s">
        <v>442</v>
      </c>
      <c r="BC67" s="104" t="s">
        <v>64</v>
      </c>
      <c r="BD67" s="104" t="s">
        <v>64</v>
      </c>
      <c r="BE67" s="128" t="s">
        <v>120</v>
      </c>
      <c r="BF67" s="128" t="s">
        <v>236</v>
      </c>
      <c r="BG67" s="128" t="s">
        <v>237</v>
      </c>
      <c r="BH67" s="128" t="s">
        <v>142</v>
      </c>
      <c r="BI67" s="129" t="s">
        <v>249</v>
      </c>
      <c r="BJ67" s="132"/>
      <c r="BS67" s="26"/>
      <c r="CF67" s="16"/>
      <c r="CZ67" s="24" t="s">
        <v>543</v>
      </c>
      <c r="DA67" s="293" t="s">
        <v>577</v>
      </c>
    </row>
    <row r="68" spans="2:105" ht="15.75" customHeight="1">
      <c r="B68" s="183" t="s">
        <v>250</v>
      </c>
      <c r="C68" s="26"/>
      <c r="D68" s="26"/>
      <c r="E68" s="43"/>
      <c r="F68" s="185"/>
      <c r="G68" s="273"/>
      <c r="H68" s="273"/>
      <c r="I68" s="273"/>
      <c r="J68" s="273"/>
      <c r="K68" s="305"/>
      <c r="L68" s="273"/>
      <c r="N68" s="260" t="e">
        <f>N43&amp;N62&amp;#REF!&amp;"/"&amp;#REF!</f>
        <v>#REF!</v>
      </c>
      <c r="BB68" s="104" t="s">
        <v>424</v>
      </c>
      <c r="BC68" s="104" t="s">
        <v>462</v>
      </c>
      <c r="BD68" s="104" t="s">
        <v>462</v>
      </c>
      <c r="BE68" s="128" t="s">
        <v>120</v>
      </c>
      <c r="BF68" s="128" t="s">
        <v>196</v>
      </c>
      <c r="BG68" s="128" t="s">
        <v>197</v>
      </c>
      <c r="BH68" s="128" t="s">
        <v>142</v>
      </c>
      <c r="BI68" s="129" t="s">
        <v>249</v>
      </c>
      <c r="BJ68" s="132"/>
      <c r="CZ68" s="24" t="s">
        <v>544</v>
      </c>
      <c r="DA68" s="293" t="s">
        <v>577</v>
      </c>
    </row>
    <row r="69" spans="2:105">
      <c r="B69" s="32"/>
      <c r="C69" s="302" t="s">
        <v>40</v>
      </c>
      <c r="D69" s="302" t="s">
        <v>39</v>
      </c>
      <c r="E69" s="257" t="s">
        <v>33</v>
      </c>
      <c r="F69" s="205" t="s">
        <v>620</v>
      </c>
      <c r="G69" s="273"/>
      <c r="H69" s="665" t="s">
        <v>20</v>
      </c>
      <c r="I69" s="665"/>
      <c r="J69" s="665"/>
      <c r="K69" s="303"/>
      <c r="L69" s="665"/>
      <c r="N69" s="260"/>
      <c r="BB69" s="104" t="s">
        <v>401</v>
      </c>
      <c r="BC69" s="104" t="s">
        <v>461</v>
      </c>
      <c r="BD69" s="104" t="s">
        <v>461</v>
      </c>
      <c r="BE69" s="128" t="s">
        <v>120</v>
      </c>
      <c r="BF69" s="128" t="s">
        <v>159</v>
      </c>
      <c r="BG69" s="128" t="s">
        <v>160</v>
      </c>
      <c r="BH69" s="128" t="s">
        <v>142</v>
      </c>
      <c r="BI69" s="129" t="s">
        <v>249</v>
      </c>
      <c r="BJ69" s="132"/>
      <c r="CZ69" s="24" t="s">
        <v>545</v>
      </c>
      <c r="DA69" s="293" t="s">
        <v>577</v>
      </c>
    </row>
    <row r="70" spans="2:105">
      <c r="B70" s="70" t="s">
        <v>35</v>
      </c>
      <c r="C70" s="44" t="str">
        <f>IF(L9="Standard Warranty","12 MONTHS",IF(OR(MODEL="CLA",MODEL="TGM"),"12 MONTHS",IF(MODEL="VW","",IF(AND(MODEL="TGS",N42="EL"),"36 MONTHS",IF(MODEL="TGX","36 MONTHS","24 MONTHS")))))</f>
        <v>36 MONTHS</v>
      </c>
      <c r="D70" s="44" t="str">
        <f>IF(AND(L9="Standard Warranty",MODEL="CLA"),"24 MONTHS",IF(AND(L9="Standard Warranty",MODEL="TGM"),"24 MONTHS",IF(AND(L9="Standard Warranty",MODEL="VW"),"24 MONTHS",IF(AND(L9="Standard Warranty",MODEL="TGS"),"36 MONTHS",IF(AND(L9="Standard Warranty",MODEL="TGX"),"36 MONTHS",IF(AND(L9="Extended Warranty Campaign",MODEL="CLA"),"36 MONTHS",IF(AND(L9="Extended Warranty Campaign",MODEL="TGM"),"36 MONTHS",IF(AND(L9="Extended Warranty Campaign",MODEL="TGS"),"48 MONTHS",IF(AND(L9="Extended Warranty Campaign",MODEL="TGX"),"48 MONTHS","")))))))))</f>
        <v>48 MONTHS</v>
      </c>
      <c r="F70" s="207"/>
      <c r="G70" s="273"/>
      <c r="H70" s="665" t="s">
        <v>585</v>
      </c>
      <c r="I70" s="303"/>
      <c r="J70" s="303"/>
      <c r="K70" s="666"/>
      <c r="L70" s="667">
        <f>IF(L61="Salesman Limit",3000,IF(L61="Disc. HQ Salesman Limit",3000,IF(L61="Sales Manager Limit",2000,IF(L61="Disc. HQ Sales Manager Limit",2000,IF(L61="HQ Decision",1000)))))*C39</f>
        <v>15000</v>
      </c>
      <c r="N70" s="260" t="str">
        <f>IF(F61="Hydrodrive","HYDRO",IF(F61="Heavy Duty","H/D",IF(F61="Longhaul","LH","")))</f>
        <v>LH</v>
      </c>
      <c r="BB70" s="104" t="s">
        <v>396</v>
      </c>
      <c r="BC70" s="104" t="s">
        <v>65</v>
      </c>
      <c r="BD70" s="104" t="s">
        <v>60</v>
      </c>
      <c r="BE70" s="128" t="s">
        <v>120</v>
      </c>
      <c r="BF70" s="128" t="s">
        <v>143</v>
      </c>
      <c r="BG70" s="128" t="s">
        <v>144</v>
      </c>
      <c r="BH70" s="128" t="s">
        <v>142</v>
      </c>
      <c r="BI70" s="129" t="s">
        <v>249</v>
      </c>
      <c r="BJ70" s="132"/>
      <c r="CZ70" s="24" t="s">
        <v>546</v>
      </c>
      <c r="DA70" s="293" t="s">
        <v>577</v>
      </c>
    </row>
    <row r="71" spans="2:105">
      <c r="B71" s="70" t="s">
        <v>42</v>
      </c>
      <c r="C71" s="44" t="str">
        <f>IF(L9="Standard Warranty","UNLIMITED",IF(OR(MODEL="CLA",MODEL="TGM"),"UNLIMITED",IF(MODEL="VW","",IF(AND(MODEL="TGS",N42="EL"),"450 000 KM",IF(MODEL="TGX","450 000 KM","300 000 KM")))))</f>
        <v>450 000 KM</v>
      </c>
      <c r="D71" s="44" t="str">
        <f>IF(OR(N45="TGS-33-440BBS-L",N45="TGS-33-480BBS-L"),"600 000 KM",IF(AND(L9="Standard Warranty",MODEL="CLA"),"UNLIMITED",IF(AND(L9="Standard Warranty",MODEL="TGM"),"UNLIMITED",IF(AND(L9="Standard Warranty",MODEL="VW"),"UNLIMITED",IF(AND(L9="Standard Warranty",MODEL="TGS",N40="Off-Road"),"450 000 KM",IF(AND(L9="Standard Warranty",MODEL="TGX",N40="Off-Road"),"450 000 KM",IF(AND(L9="Standard Warranty",MODEL="TGX"),"600 000 KM",IF(AND(L9="Standard Warranty",MODEL="TGX"),"600 000 KM",IF(AND(L9="Extended Warranty Campaign",MODEL="CLA"),"300 000 KM",IF(AND(L9="Extended Warranty Campaign",MODEL="TGM"),"450 000 KM",IF(AND(L9="Standard Warranty",APPT="Off-Road",N40="Dual"),"450 000 KM","600 000 KM")))))))))))</f>
        <v>600 000 KM</v>
      </c>
      <c r="E71" s="65">
        <f>IFERROR(IF(OR(N45="TGS-33-440BBS-L",N45="TGS-33-480BBS-L"),VLOOKUP(N72&amp;"",'[4]Factory Warranties'!$F$6:$G$317,2,FALSE),VLOOKUP(N71&amp;"",'[4]Factory Warranties'!$F$6:$G$317,2,FALSE)),0)</f>
        <v>98490</v>
      </c>
      <c r="F71" s="211">
        <v>0</v>
      </c>
      <c r="G71" s="273"/>
      <c r="H71" s="665" t="s">
        <v>586</v>
      </c>
      <c r="I71" s="303"/>
      <c r="J71" s="303"/>
      <c r="K71" s="666"/>
      <c r="L71" s="667">
        <f>IF(L61="Salesman Limit",(L60-L13)*10%,IF(L61="Disc. HQ Salesman Limit",(L60-L13)*10%,IF(L61="Sales Manager Limit",(L60-$AC$35)*5%,IF(L61="Disc. HQ Sales Manager Limit",(L60-$AC$35)*5%,IF(L61="HQ Decision",0)))))</f>
        <v>15295.999988579564</v>
      </c>
      <c r="N71" s="260" t="str">
        <f>N43&amp;N70&amp;C70&amp;"/"&amp;C71&amp;D70&amp;"/"&amp;D71&amp;N56</f>
        <v>TGS6X4LH36 MONTHS/450 000 KM48 MONTHS/600 000 KMYes</v>
      </c>
      <c r="BB71" s="104" t="s">
        <v>400</v>
      </c>
      <c r="BC71" s="104" t="s">
        <v>461</v>
      </c>
      <c r="BD71" s="104" t="s">
        <v>461</v>
      </c>
      <c r="BE71" s="128" t="s">
        <v>156</v>
      </c>
      <c r="BF71" s="128" t="s">
        <v>157</v>
      </c>
      <c r="BG71" s="128" t="s">
        <v>158</v>
      </c>
      <c r="BH71" s="128" t="s">
        <v>142</v>
      </c>
      <c r="BI71" s="129" t="s">
        <v>249</v>
      </c>
      <c r="BJ71" s="132"/>
      <c r="CZ71" s="24" t="s">
        <v>547</v>
      </c>
      <c r="DA71" s="293" t="s">
        <v>577</v>
      </c>
    </row>
    <row r="72" spans="2:105" ht="14.7" thickBot="1">
      <c r="B72" s="165"/>
      <c r="C72" s="142"/>
      <c r="D72" s="142"/>
      <c r="E72" s="301" t="str">
        <f>IF(E71&lt;&gt;0,"",IF(AND(C70&lt;&gt;"",C71&lt;&gt;"",D70&lt;&gt;"",D71&lt;&gt;"",E71=0,E61&lt;&gt;"App. N/A"),"CHOOSE THE CORRECT APPLICATION",""))</f>
        <v/>
      </c>
      <c r="F72" s="208"/>
      <c r="G72" s="273"/>
      <c r="H72" s="665" t="s">
        <v>587</v>
      </c>
      <c r="I72" s="303"/>
      <c r="J72" s="303"/>
      <c r="K72" s="666"/>
      <c r="L72" s="667">
        <f>IF(AND(L61="Salesman Limit",L10="Yes"),1000,IF(AND(L61="Disc. HQ Salesman Limit",L10="Yes"),1000,IF(AND(L61="Sales Manager Limit",L10="Yes"),1000,IF(AND(L61="Disc. HQ Sales Manager Limit",L10="Yes"),1000,IF(AND(L61="Disc. HQ Decision",L10="Yes"),1000,0)))))*C39</f>
        <v>5000</v>
      </c>
      <c r="M72" s="260"/>
      <c r="N72" s="260" t="str">
        <f>N45&amp;N70&amp;C70&amp;"/"&amp;C71&amp;D70&amp;"/"&amp;D71&amp;N56</f>
        <v>TGS-26-440BLS-LXLH36 MONTHS/450 000 KM48 MONTHS/600 000 KMYes</v>
      </c>
      <c r="BB72" s="104" t="s">
        <v>446</v>
      </c>
      <c r="BC72" s="104" t="s">
        <v>464</v>
      </c>
      <c r="BD72" s="104" t="s">
        <v>464</v>
      </c>
      <c r="BE72" s="128" t="s">
        <v>139</v>
      </c>
      <c r="BF72" s="128" t="s">
        <v>244</v>
      </c>
      <c r="BG72" s="128" t="s">
        <v>235</v>
      </c>
      <c r="BH72" s="128" t="s">
        <v>142</v>
      </c>
      <c r="BI72" s="129" t="s">
        <v>249</v>
      </c>
      <c r="BJ72" s="132"/>
      <c r="CZ72" s="24" t="s">
        <v>548</v>
      </c>
      <c r="DA72" s="293" t="s">
        <v>577</v>
      </c>
    </row>
    <row r="73" spans="2:105">
      <c r="G73" s="273"/>
      <c r="H73" s="665" t="s">
        <v>18</v>
      </c>
      <c r="I73" s="303"/>
      <c r="J73" s="303"/>
      <c r="K73" s="303"/>
      <c r="L73" s="668">
        <f>IF(AND(L61="Salesman Limit",SUM(L70:L72)&gt;200000),200000,IF(AND(L61="Disc. HQ Salesman Limit",SUM(L70:L72)&gt;200000),200000,IF(AND(L61="Sales Manager Limit",SUM(L70:L72)&gt;100000),100000,IF(AND(L61="Disc. HQ Sales Manager Limit",SUM(L70:L72)&gt;100000),100000,IF(AND(L61="HQ Limit",SUM(L70:L72)&gt;50000),50000,SUM(L70:L72))))))</f>
        <v>35295.999988579562</v>
      </c>
      <c r="M73" s="287" t="str">
        <f>IF(AND(L61="Salesman Limit",SUM(L70:L72)&gt;200000),"Above Commission Limit",IF(AND(L61="Disc. HQ Salesman Limit",SUM(L70:L72)&gt;200000),"Above Commission Limit",IF(AND(L61="Sales Manager Limit",SUM(L70:L72)&gt;100000),"Above Commission Limit",IF(AND(L61="Disc. HQ Sales Manager Limit",SUM(L70:L72)&gt;100000),"Above Commission Limit",IF(AND(L61="HQ Limit",SUM(L70:L72)&gt;50000),"Above Commission Limit","")))))</f>
        <v/>
      </c>
      <c r="N73" s="260"/>
      <c r="BB73" s="104" t="s">
        <v>441</v>
      </c>
      <c r="BC73" s="104" t="s">
        <v>64</v>
      </c>
      <c r="BD73" s="104" t="s">
        <v>64</v>
      </c>
      <c r="BE73" s="128" t="s">
        <v>139</v>
      </c>
      <c r="BF73" s="128" t="s">
        <v>234</v>
      </c>
      <c r="BG73" s="128" t="s">
        <v>235</v>
      </c>
      <c r="BH73" s="128" t="s">
        <v>142</v>
      </c>
      <c r="BI73" s="129" t="s">
        <v>249</v>
      </c>
      <c r="BJ73" s="132"/>
      <c r="CZ73" s="24" t="s">
        <v>549</v>
      </c>
      <c r="DA73" s="293" t="s">
        <v>577</v>
      </c>
    </row>
    <row r="74" spans="2:105">
      <c r="G74" s="273"/>
      <c r="H74" s="303"/>
      <c r="I74" s="303"/>
      <c r="J74" s="303"/>
      <c r="K74" s="303"/>
      <c r="L74" s="666"/>
      <c r="N74" s="260"/>
      <c r="BB74" s="104" t="s">
        <v>433</v>
      </c>
      <c r="BC74" s="104" t="s">
        <v>463</v>
      </c>
      <c r="BD74" s="104" t="s">
        <v>465</v>
      </c>
      <c r="BE74" s="128" t="s">
        <v>139</v>
      </c>
      <c r="BF74" s="128" t="s">
        <v>216</v>
      </c>
      <c r="BG74" s="128" t="s">
        <v>217</v>
      </c>
      <c r="BH74" s="128" t="s">
        <v>142</v>
      </c>
      <c r="BI74" s="129" t="s">
        <v>249</v>
      </c>
      <c r="BJ74" s="132"/>
      <c r="CZ74" s="24" t="s">
        <v>550</v>
      </c>
      <c r="DA74" s="293" t="s">
        <v>577</v>
      </c>
    </row>
    <row r="75" spans="2:105">
      <c r="G75" s="273"/>
      <c r="H75" s="273"/>
      <c r="I75" s="273"/>
      <c r="J75" s="273"/>
      <c r="K75" s="273"/>
      <c r="L75" s="305"/>
      <c r="N75" s="260"/>
      <c r="BB75" s="104" t="s">
        <v>409</v>
      </c>
      <c r="BC75" s="104" t="s">
        <v>65</v>
      </c>
      <c r="BD75" s="104" t="s">
        <v>483</v>
      </c>
      <c r="BE75" s="128" t="s">
        <v>139</v>
      </c>
      <c r="BF75" s="128" t="s">
        <v>174</v>
      </c>
      <c r="BG75" s="128" t="s">
        <v>175</v>
      </c>
      <c r="BH75" s="128" t="s">
        <v>142</v>
      </c>
      <c r="BI75" s="129" t="s">
        <v>249</v>
      </c>
      <c r="BJ75" s="132"/>
      <c r="CZ75" s="24" t="s">
        <v>551</v>
      </c>
      <c r="DA75" s="293" t="s">
        <v>577</v>
      </c>
    </row>
    <row r="76" spans="2:105">
      <c r="G76" s="273"/>
      <c r="H76" s="705" t="s">
        <v>96</v>
      </c>
      <c r="I76" s="705"/>
      <c r="J76" s="705"/>
      <c r="K76" s="705"/>
      <c r="L76" s="705"/>
      <c r="N76" s="260"/>
      <c r="BB76" s="104" t="s">
        <v>395</v>
      </c>
      <c r="BC76" s="104" t="s">
        <v>65</v>
      </c>
      <c r="BD76" s="104" t="s">
        <v>60</v>
      </c>
      <c r="BE76" s="128" t="s">
        <v>139</v>
      </c>
      <c r="BF76" s="128" t="s">
        <v>140</v>
      </c>
      <c r="BG76" s="128" t="s">
        <v>141</v>
      </c>
      <c r="BH76" s="128" t="s">
        <v>142</v>
      </c>
      <c r="BI76" s="129" t="s">
        <v>249</v>
      </c>
      <c r="BJ76" s="132"/>
      <c r="CZ76" s="24" t="s">
        <v>552</v>
      </c>
      <c r="DA76" s="293" t="s">
        <v>577</v>
      </c>
    </row>
    <row r="77" spans="2:105">
      <c r="G77" s="273"/>
      <c r="H77" s="705"/>
      <c r="I77" s="705"/>
      <c r="J77" s="705"/>
      <c r="K77" s="705"/>
      <c r="L77" s="705"/>
      <c r="N77" s="260"/>
      <c r="BB77" s="104" t="s">
        <v>399</v>
      </c>
      <c r="BC77" s="104" t="s">
        <v>65</v>
      </c>
      <c r="BD77" s="104" t="s">
        <v>60</v>
      </c>
      <c r="BE77" s="128" t="s">
        <v>139</v>
      </c>
      <c r="BF77" s="128" t="s">
        <v>151</v>
      </c>
      <c r="BG77" s="128" t="s">
        <v>152</v>
      </c>
      <c r="BH77" s="128" t="s">
        <v>142</v>
      </c>
      <c r="BI77" s="129" t="s">
        <v>249</v>
      </c>
      <c r="BJ77" s="132"/>
      <c r="CZ77" s="24" t="s">
        <v>553</v>
      </c>
      <c r="DA77" s="293" t="s">
        <v>577</v>
      </c>
    </row>
    <row r="78" spans="2:105">
      <c r="BB78" s="104"/>
      <c r="BC78" s="21" t="s">
        <v>253</v>
      </c>
      <c r="BD78" s="104"/>
      <c r="BE78" s="190"/>
      <c r="BF78" s="631"/>
      <c r="BG78" s="631"/>
      <c r="BH78" s="631"/>
      <c r="BI78" s="631"/>
      <c r="CZ78" s="24" t="s">
        <v>554</v>
      </c>
      <c r="DA78" s="293" t="s">
        <v>577</v>
      </c>
    </row>
    <row r="79" spans="2:105">
      <c r="BB79" s="104" t="s">
        <v>744</v>
      </c>
      <c r="BC79" s="104" t="s">
        <v>748</v>
      </c>
      <c r="BD79" s="104" t="s">
        <v>748</v>
      </c>
      <c r="BE79" s="632" t="s">
        <v>120</v>
      </c>
      <c r="BF79" s="633" t="s">
        <v>737</v>
      </c>
      <c r="BG79" s="633" t="s">
        <v>741</v>
      </c>
      <c r="BH79" s="631" t="s">
        <v>737</v>
      </c>
      <c r="BI79" s="129" t="s">
        <v>249</v>
      </c>
      <c r="CZ79" s="24" t="s">
        <v>555</v>
      </c>
      <c r="DA79" s="293" t="s">
        <v>577</v>
      </c>
    </row>
    <row r="80" spans="2:105">
      <c r="BB80" s="104" t="s">
        <v>745</v>
      </c>
      <c r="BC80" s="104" t="s">
        <v>748</v>
      </c>
      <c r="BD80" s="104" t="s">
        <v>748</v>
      </c>
      <c r="BE80" s="632" t="s">
        <v>120</v>
      </c>
      <c r="BF80" s="633" t="s">
        <v>738</v>
      </c>
      <c r="BG80" s="633" t="s">
        <v>742</v>
      </c>
      <c r="BH80" s="631" t="s">
        <v>738</v>
      </c>
      <c r="BI80" s="129" t="s">
        <v>249</v>
      </c>
      <c r="CZ80" s="24" t="s">
        <v>556</v>
      </c>
      <c r="DA80" s="293" t="s">
        <v>577</v>
      </c>
    </row>
    <row r="81" spans="54:105">
      <c r="BB81" s="104" t="s">
        <v>746</v>
      </c>
      <c r="BC81" s="104" t="s">
        <v>748</v>
      </c>
      <c r="BD81" s="104" t="s">
        <v>748</v>
      </c>
      <c r="BE81" s="632" t="s">
        <v>120</v>
      </c>
      <c r="BF81" s="633" t="s">
        <v>739</v>
      </c>
      <c r="BG81" s="633" t="s">
        <v>743</v>
      </c>
      <c r="BH81" s="631" t="s">
        <v>739</v>
      </c>
      <c r="BI81" s="129" t="s">
        <v>249</v>
      </c>
      <c r="CZ81" s="24" t="s">
        <v>557</v>
      </c>
      <c r="DA81" s="293" t="s">
        <v>577</v>
      </c>
    </row>
    <row r="82" spans="54:105" ht="15" customHeight="1">
      <c r="BB82" s="104" t="s">
        <v>747</v>
      </c>
      <c r="BC82" s="104" t="s">
        <v>748</v>
      </c>
      <c r="BD82" s="104" t="s">
        <v>748</v>
      </c>
      <c r="BE82" s="632" t="s">
        <v>120</v>
      </c>
      <c r="BF82" s="633" t="s">
        <v>749</v>
      </c>
      <c r="BG82" s="633" t="s">
        <v>750</v>
      </c>
      <c r="BH82" s="631" t="s">
        <v>740</v>
      </c>
      <c r="BI82" s="129" t="s">
        <v>249</v>
      </c>
      <c r="CZ82" s="24" t="s">
        <v>558</v>
      </c>
      <c r="DA82" s="293" t="s">
        <v>577</v>
      </c>
    </row>
    <row r="83" spans="54:105">
      <c r="CZ83" s="24" t="s">
        <v>559</v>
      </c>
      <c r="DA83" s="293" t="s">
        <v>577</v>
      </c>
    </row>
    <row r="84" spans="54:105">
      <c r="CZ84" s="24" t="s">
        <v>559</v>
      </c>
      <c r="DA84" s="293" t="s">
        <v>577</v>
      </c>
    </row>
    <row r="85" spans="54:105">
      <c r="CZ85" s="24" t="s">
        <v>560</v>
      </c>
      <c r="DA85" s="293" t="s">
        <v>577</v>
      </c>
    </row>
    <row r="86" spans="54:105">
      <c r="CZ86" s="24" t="s">
        <v>561</v>
      </c>
      <c r="DA86" s="293" t="s">
        <v>577</v>
      </c>
    </row>
    <row r="87" spans="54:105">
      <c r="CZ87" s="24" t="s">
        <v>562</v>
      </c>
      <c r="DA87" s="293" t="s">
        <v>577</v>
      </c>
    </row>
    <row r="88" spans="54:105">
      <c r="CZ88" s="24" t="s">
        <v>563</v>
      </c>
      <c r="DA88" s="293" t="s">
        <v>577</v>
      </c>
    </row>
    <row r="89" spans="54:105">
      <c r="CZ89" s="24" t="s">
        <v>564</v>
      </c>
      <c r="DA89" s="293" t="s">
        <v>577</v>
      </c>
    </row>
    <row r="90" spans="54:105">
      <c r="CZ90" s="24" t="s">
        <v>565</v>
      </c>
      <c r="DA90" s="293" t="s">
        <v>577</v>
      </c>
    </row>
    <row r="91" spans="54:105">
      <c r="CZ91" s="24" t="s">
        <v>566</v>
      </c>
      <c r="DA91" s="293" t="s">
        <v>577</v>
      </c>
    </row>
    <row r="92" spans="54:105">
      <c r="CZ92" s="24" t="s">
        <v>567</v>
      </c>
      <c r="DA92" s="293" t="s">
        <v>577</v>
      </c>
    </row>
    <row r="93" spans="54:105" ht="15" customHeight="1">
      <c r="CZ93" s="24" t="s">
        <v>567</v>
      </c>
      <c r="DA93" s="293" t="s">
        <v>577</v>
      </c>
    </row>
    <row r="94" spans="54:105">
      <c r="CZ94" s="24" t="s">
        <v>485</v>
      </c>
      <c r="DA94" s="293" t="s">
        <v>577</v>
      </c>
    </row>
    <row r="95" spans="54:105">
      <c r="CZ95" s="24" t="s">
        <v>568</v>
      </c>
      <c r="DA95" s="293" t="s">
        <v>577</v>
      </c>
    </row>
    <row r="96" spans="54:105">
      <c r="CZ96" s="24" t="s">
        <v>569</v>
      </c>
      <c r="DA96" s="293" t="s">
        <v>578</v>
      </c>
    </row>
    <row r="97" spans="104:105">
      <c r="CZ97" s="24" t="s">
        <v>570</v>
      </c>
      <c r="DA97" s="293" t="s">
        <v>576</v>
      </c>
    </row>
    <row r="98" spans="104:105">
      <c r="CZ98" s="24" t="s">
        <v>570</v>
      </c>
      <c r="DA98" s="293" t="s">
        <v>576</v>
      </c>
    </row>
    <row r="99" spans="104:105">
      <c r="CZ99" s="24" t="s">
        <v>571</v>
      </c>
      <c r="DA99" s="293" t="s">
        <v>578</v>
      </c>
    </row>
    <row r="100" spans="104:105">
      <c r="CZ100" s="296" t="s">
        <v>572</v>
      </c>
      <c r="DA100" s="293" t="s">
        <v>578</v>
      </c>
    </row>
    <row r="101" spans="104:105">
      <c r="CZ101" s="296" t="s">
        <v>573</v>
      </c>
      <c r="DA101" s="293" t="s">
        <v>578</v>
      </c>
    </row>
    <row r="102" spans="104:105" ht="14.7" thickBot="1">
      <c r="CZ102" s="297" t="s">
        <v>574</v>
      </c>
      <c r="DA102" s="293" t="s">
        <v>578</v>
      </c>
    </row>
  </sheetData>
  <mergeCells count="30">
    <mergeCell ref="BQ1:BS1"/>
    <mergeCell ref="BY1:BZ1"/>
    <mergeCell ref="CA1:CB1"/>
    <mergeCell ref="C2:D2"/>
    <mergeCell ref="AX3:AZ3"/>
    <mergeCell ref="BB3:BI3"/>
    <mergeCell ref="BN3:BU3"/>
    <mergeCell ref="BW3:CC3"/>
    <mergeCell ref="C3:D3"/>
    <mergeCell ref="CE3:CQ3"/>
    <mergeCell ref="CU3:CW3"/>
    <mergeCell ref="CI5:CL5"/>
    <mergeCell ref="CN5:CQ5"/>
    <mergeCell ref="C4:D4"/>
    <mergeCell ref="C5:D5"/>
    <mergeCell ref="CE18:CF18"/>
    <mergeCell ref="H76:L77"/>
    <mergeCell ref="Q6:Z6"/>
    <mergeCell ref="B7:F7"/>
    <mergeCell ref="H7:L7"/>
    <mergeCell ref="Q7:Q8"/>
    <mergeCell ref="R7:R8"/>
    <mergeCell ref="S7:S8"/>
    <mergeCell ref="T7:T8"/>
    <mergeCell ref="U7:U8"/>
    <mergeCell ref="V7:V8"/>
    <mergeCell ref="W7:W8"/>
    <mergeCell ref="X7:X8"/>
    <mergeCell ref="Y7:Y8"/>
    <mergeCell ref="Z7:Z8"/>
  </mergeCells>
  <conditionalFormatting sqref="BS51:BS52">
    <cfRule type="duplicateValues" dxfId="20" priority="26"/>
  </conditionalFormatting>
  <conditionalFormatting sqref="E61">
    <cfRule type="cellIs" dxfId="19" priority="24" operator="equal">
      <formula>"App. N/A"</formula>
    </cfRule>
    <cfRule type="cellIs" dxfId="18" priority="25" operator="equal">
      <formula>"Choose App."</formula>
    </cfRule>
  </conditionalFormatting>
  <conditionalFormatting sqref="BZ2">
    <cfRule type="duplicateValues" dxfId="17" priority="23"/>
  </conditionalFormatting>
  <conditionalFormatting sqref="CB2">
    <cfRule type="duplicateValues" dxfId="16" priority="22"/>
  </conditionalFormatting>
  <conditionalFormatting sqref="E67">
    <cfRule type="cellIs" dxfId="15" priority="20" operator="equal">
      <formula>"COMBINATION N/A"</formula>
    </cfRule>
  </conditionalFormatting>
  <conditionalFormatting sqref="E72">
    <cfRule type="cellIs" dxfId="14" priority="19" operator="equal">
      <formula>"CHOOSE THE CORRECT APPLICATION"</formula>
    </cfRule>
  </conditionalFormatting>
  <conditionalFormatting sqref="L61">
    <cfRule type="cellIs" dxfId="13" priority="9" operator="equal">
      <formula>"Salesmans Limit"</formula>
    </cfRule>
    <cfRule type="cellIs" dxfId="12" priority="10" operator="equal">
      <formula>"Sales Manager Limit"</formula>
    </cfRule>
    <cfRule type="cellIs" dxfId="11" priority="11" operator="equal">
      <formula>"Salesman Limit"</formula>
    </cfRule>
    <cfRule type="cellIs" dxfId="10" priority="12" operator="equal">
      <formula>"Disc. HQ Sales Manager Limit"</formula>
    </cfRule>
    <cfRule type="cellIs" dxfId="9" priority="13" operator="equal">
      <formula>"Disc. HQ Salesman Limit"</formula>
    </cfRule>
    <cfRule type="containsText" dxfId="8" priority="14" operator="containsText" text="Disc. HQ Decision">
      <formula>NOT(ISERROR(SEARCH("Disc. HQ Decision",L61)))</formula>
    </cfRule>
    <cfRule type="cellIs" dxfId="7" priority="15" operator="equal">
      <formula>"HQ Decision"</formula>
    </cfRule>
    <cfRule type="cellIs" dxfId="6" priority="16" operator="equal">
      <formula>"Sales Manager Limit"</formula>
    </cfRule>
    <cfRule type="cellIs" dxfId="5" priority="17" operator="equal">
      <formula>"Salesman Limit"</formula>
    </cfRule>
  </conditionalFormatting>
  <conditionalFormatting sqref="M67">
    <cfRule type="cellIs" dxfId="4" priority="7" operator="equal">
      <formula>"Above Commission Limit"</formula>
    </cfRule>
    <cfRule type="cellIs" dxfId="3" priority="8" operator="equal">
      <formula>"Above Commission Limit"</formula>
    </cfRule>
  </conditionalFormatting>
  <conditionalFormatting sqref="E58">
    <cfRule type="cellIs" dxfId="2" priority="4" operator="equal">
      <formula>"COMBINATION N/A"</formula>
    </cfRule>
  </conditionalFormatting>
  <conditionalFormatting sqref="E51">
    <cfRule type="cellIs" dxfId="1" priority="3" operator="equal">
      <formula>"COMBINATION N/A"</formula>
    </cfRule>
  </conditionalFormatting>
  <dataValidations count="17">
    <dataValidation type="list" allowBlank="1" showInputMessage="1" showErrorMessage="1" sqref="C4" xr:uid="{00000000-0002-0000-0100-000000000000}">
      <formula1>$BG$5:$BG$29</formula1>
    </dataValidation>
    <dataValidation type="list" allowBlank="1" showInputMessage="1" showErrorMessage="1" sqref="C66" xr:uid="{00000000-0002-0000-0100-000001000000}">
      <formula1>$CJ$6:$CJ$23</formula1>
    </dataValidation>
    <dataValidation type="list" allowBlank="1" showInputMessage="1" showErrorMessage="1" sqref="C46" xr:uid="{00000000-0002-0000-0100-000002000000}">
      <formula1>$BQ$5:$BQ$7</formula1>
    </dataValidation>
    <dataValidation type="list" allowBlank="1" showInputMessage="1" showErrorMessage="1" sqref="D48" xr:uid="{00000000-0002-0000-0100-000003000000}">
      <formula1>$BO$5:$BO$33</formula1>
    </dataValidation>
    <dataValidation type="list" allowBlank="1" showInputMessage="1" showErrorMessage="1" sqref="D55" xr:uid="{00000000-0002-0000-0100-000004000000}">
      <formula1>$BZ$4:$BZ$10</formula1>
    </dataValidation>
    <dataValidation type="list" allowBlank="1" showInputMessage="1" showErrorMessage="1" sqref="C5" xr:uid="{00000000-0002-0000-0100-000005000000}">
      <formula1>$BK$4:$BK$9</formula1>
    </dataValidation>
    <dataValidation type="list" allowBlank="1" showInputMessage="1" showErrorMessage="1" sqref="F61" xr:uid="{00000000-0002-0000-0100-000006000000}">
      <formula1>$CF$19:$CF$23</formula1>
    </dataValidation>
    <dataValidation type="list" allowBlank="1" showInputMessage="1" showErrorMessage="1" sqref="L9" xr:uid="{00000000-0002-0000-0100-000007000000}">
      <formula1>war</formula1>
    </dataValidation>
    <dataValidation type="list" allowBlank="1" showInputMessage="1" showErrorMessage="1" sqref="D47" xr:uid="{00000000-0002-0000-0100-000008000000}">
      <formula1>$BN$5:$BN$10</formula1>
    </dataValidation>
    <dataValidation type="list" allowBlank="1" showInputMessage="1" showErrorMessage="1" sqref="D65" xr:uid="{00000000-0002-0000-0100-000009000000}">
      <formula1>$CN$6:$CN$10</formula1>
    </dataValidation>
    <dataValidation type="list" allowBlank="1" showInputMessage="1" showErrorMessage="1" sqref="C65" xr:uid="{00000000-0002-0000-0100-00000A000000}">
      <formula1>$CI$6:$CI$10</formula1>
    </dataValidation>
    <dataValidation type="list" allowBlank="1" showInputMessage="1" showErrorMessage="1" sqref="E63" xr:uid="{00000000-0002-0000-0100-00000B000000}">
      <formula1>$CE$6:$CE$9</formula1>
    </dataValidation>
    <dataValidation type="list" allowBlank="1" showInputMessage="1" showErrorMessage="1" sqref="E53" xr:uid="{00000000-0002-0000-0100-00000C000000}">
      <formula1>$BW$4:$BW$7</formula1>
    </dataValidation>
    <dataValidation type="list" allowBlank="1" showInputMessage="1" showErrorMessage="1" sqref="L10 F46 D41" xr:uid="{00000000-0002-0000-0100-00000D000000}">
      <formula1>cus</formula1>
    </dataValidation>
    <dataValidation type="list" allowBlank="1" showInputMessage="1" showErrorMessage="1" sqref="D54" xr:uid="{00000000-0002-0000-0100-00000E000000}">
      <formula1>$BY$4:$BY$7</formula1>
    </dataValidation>
    <dataValidation type="list" allowBlank="1" showInputMessage="1" showErrorMessage="1" sqref="E64" xr:uid="{00000000-0002-0000-0100-00000F000000}">
      <formula1>EW</formula1>
    </dataValidation>
    <dataValidation type="list" allowBlank="1" showInputMessage="1" showErrorMessage="1" sqref="D66" xr:uid="{00000000-0002-0000-0100-000010000000}">
      <formula1>$CO$6:$CO$21</formula1>
    </dataValidation>
  </dataValidations>
  <printOptions horizontalCentered="1" verticalCentered="1"/>
  <pageMargins left="3.937007874015748E-2" right="3.937007874015748E-2" top="0.19685039370078741" bottom="0.19685039370078741" header="0.31496062992125984" footer="0.31496062992125984"/>
  <pageSetup paperSize="8" scale="73" orientation="landscape" r:id="rId1"/>
  <ignoredErrors>
    <ignoredError sqref="L52 J21 J22:J35 L54:L58" unlocked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autoPageBreaks="0" fitToPage="1"/>
  </sheetPr>
  <dimension ref="A1:AF224"/>
  <sheetViews>
    <sheetView showGridLines="0" showOutlineSymbols="0" topLeftCell="G24" zoomScale="80" zoomScaleNormal="80" workbookViewId="0">
      <selection activeCell="J35" sqref="J35"/>
    </sheetView>
  </sheetViews>
  <sheetFormatPr defaultColWidth="11.68359375" defaultRowHeight="15"/>
  <cols>
    <col min="1" max="1" width="2" style="402" customWidth="1"/>
    <col min="2" max="2" width="9" style="402" customWidth="1"/>
    <col min="3" max="3" width="15.41796875" style="402" customWidth="1"/>
    <col min="4" max="4" width="29.5234375" style="402" bestFit="1" customWidth="1"/>
    <col min="5" max="5" width="9.5234375" style="402" customWidth="1"/>
    <col min="6" max="6" width="21.68359375" style="402" customWidth="1"/>
    <col min="7" max="7" width="19.5234375" style="325" customWidth="1"/>
    <col min="8" max="8" width="23" style="402" customWidth="1"/>
    <col min="9" max="9" width="19.3125" style="402" customWidth="1"/>
    <col min="10" max="10" width="23" style="402" customWidth="1"/>
    <col min="11" max="11" width="21.68359375" style="417" customWidth="1"/>
    <col min="12" max="12" width="19.5234375" style="402" customWidth="1"/>
    <col min="13" max="13" width="21.5234375" style="402" bestFit="1" customWidth="1"/>
    <col min="14" max="14" width="15.3125" style="402" customWidth="1"/>
    <col min="15" max="16384" width="11.68359375" style="402"/>
  </cols>
  <sheetData>
    <row r="1" spans="1:32" s="323" customFormat="1" ht="30.75" customHeight="1">
      <c r="A1" s="317" t="s">
        <v>597</v>
      </c>
      <c r="F1" s="324"/>
      <c r="G1" s="325"/>
      <c r="H1" s="326"/>
      <c r="I1" s="327"/>
      <c r="J1" s="327"/>
      <c r="K1" s="328"/>
    </row>
    <row r="2" spans="1:32" s="323" customFormat="1" ht="30.75" customHeight="1">
      <c r="A2" s="317" t="s">
        <v>598</v>
      </c>
      <c r="F2" s="324"/>
      <c r="G2" s="325"/>
      <c r="H2" s="326"/>
      <c r="I2" s="327"/>
      <c r="J2" s="327"/>
      <c r="K2" s="328"/>
      <c r="AF2" s="420" t="s">
        <v>607</v>
      </c>
    </row>
    <row r="3" spans="1:32" s="318" customFormat="1" ht="15.3" thickBot="1">
      <c r="G3" s="320"/>
      <c r="K3" s="329"/>
      <c r="AF3" s="318" t="s">
        <v>608</v>
      </c>
    </row>
    <row r="4" spans="1:32" s="333" customFormat="1" ht="30.75" customHeight="1" thickBot="1">
      <c r="A4" s="330"/>
      <c r="B4" s="331" t="s">
        <v>592</v>
      </c>
      <c r="C4" s="332"/>
      <c r="D4" s="732" t="str">
        <f>'Deal Sheet'!$C$5</f>
        <v>MAN Cape Town</v>
      </c>
      <c r="E4" s="732"/>
      <c r="F4" s="732"/>
      <c r="G4" s="732"/>
      <c r="H4" s="332" t="s">
        <v>593</v>
      </c>
      <c r="I4" s="739" t="str">
        <f>'Deal Sheet'!$C$3</f>
        <v>ABC Truck</v>
      </c>
      <c r="J4" s="740"/>
      <c r="K4" s="740"/>
      <c r="L4" s="740"/>
      <c r="M4" s="740"/>
      <c r="N4" s="741"/>
      <c r="AF4" s="318" t="s">
        <v>609</v>
      </c>
    </row>
    <row r="5" spans="1:32" s="335" customFormat="1" ht="29.25" customHeight="1" thickBot="1">
      <c r="A5" s="334"/>
      <c r="B5" s="742" t="s">
        <v>599</v>
      </c>
      <c r="C5" s="743"/>
      <c r="D5" s="743"/>
      <c r="E5" s="743"/>
      <c r="F5" s="743"/>
      <c r="G5" s="743"/>
      <c r="H5" s="743"/>
      <c r="I5" s="743"/>
      <c r="J5" s="743"/>
      <c r="K5" s="743"/>
      <c r="L5" s="743"/>
      <c r="M5" s="744"/>
      <c r="N5" s="419">
        <v>0</v>
      </c>
    </row>
    <row r="6" spans="1:32" s="333" customFormat="1" ht="30.75" customHeight="1" thickBot="1">
      <c r="A6" s="336"/>
      <c r="B6" s="337" t="s">
        <v>600</v>
      </c>
      <c r="C6" s="319"/>
      <c r="D6" s="745" t="s">
        <v>608</v>
      </c>
      <c r="E6" s="746"/>
      <c r="F6" s="746"/>
      <c r="G6" s="746"/>
      <c r="H6" s="746"/>
      <c r="I6" s="746"/>
      <c r="J6" s="746"/>
      <c r="K6" s="746"/>
      <c r="L6" s="746"/>
      <c r="M6" s="746"/>
      <c r="N6" s="747"/>
      <c r="O6" s="289" t="s">
        <v>349</v>
      </c>
    </row>
    <row r="7" spans="1:32" s="318" customFormat="1" ht="12" customHeight="1">
      <c r="A7" s="322"/>
      <c r="B7" s="321"/>
      <c r="C7" s="322"/>
      <c r="D7" s="322"/>
      <c r="G7" s="320"/>
      <c r="I7" s="322"/>
      <c r="J7" s="322"/>
      <c r="K7" s="338"/>
      <c r="L7" s="322"/>
      <c r="M7" s="322"/>
    </row>
    <row r="8" spans="1:32" s="318" customFormat="1">
      <c r="A8" s="322"/>
      <c r="B8" s="322"/>
      <c r="C8" s="322"/>
      <c r="D8" s="425"/>
      <c r="E8" s="424"/>
      <c r="F8" s="425"/>
      <c r="G8" s="339"/>
      <c r="H8" s="322"/>
      <c r="I8" s="322"/>
      <c r="J8" s="322"/>
      <c r="K8" s="338"/>
      <c r="L8" s="322"/>
      <c r="M8" s="322"/>
    </row>
    <row r="9" spans="1:32" s="318" customFormat="1" ht="2.25" customHeight="1">
      <c r="G9" s="320"/>
      <c r="K9" s="329"/>
    </row>
    <row r="10" spans="1:32" s="340" customFormat="1" ht="18" customHeight="1" thickBot="1">
      <c r="B10" s="341"/>
      <c r="C10" s="342"/>
      <c r="D10" s="342"/>
      <c r="E10" s="343"/>
      <c r="G10" s="344"/>
      <c r="H10" s="343"/>
      <c r="K10" s="345"/>
    </row>
    <row r="11" spans="1:32" s="352" customFormat="1" ht="66" customHeight="1" thickBot="1">
      <c r="A11" s="346"/>
      <c r="B11" s="347" t="s">
        <v>612</v>
      </c>
      <c r="C11" s="348" t="s">
        <v>27</v>
      </c>
      <c r="D11" s="349" t="s">
        <v>1</v>
      </c>
      <c r="E11" s="350" t="s">
        <v>28</v>
      </c>
      <c r="F11" s="348" t="s">
        <v>115</v>
      </c>
      <c r="G11" s="348" t="s">
        <v>601</v>
      </c>
      <c r="H11" s="348" t="s">
        <v>602</v>
      </c>
      <c r="I11" s="348" t="s">
        <v>591</v>
      </c>
      <c r="J11" s="348" t="s">
        <v>603</v>
      </c>
      <c r="K11" s="348" t="s">
        <v>595</v>
      </c>
      <c r="L11" s="348" t="s">
        <v>604</v>
      </c>
      <c r="M11" s="348" t="s">
        <v>596</v>
      </c>
      <c r="N11" s="351" t="s">
        <v>600</v>
      </c>
    </row>
    <row r="12" spans="1:32" s="360" customFormat="1" ht="9.9" customHeight="1">
      <c r="A12" s="353"/>
      <c r="B12" s="354"/>
      <c r="C12" s="355"/>
      <c r="D12" s="356"/>
      <c r="E12" s="357"/>
      <c r="F12" s="355"/>
      <c r="G12" s="355"/>
      <c r="H12" s="355"/>
      <c r="I12" s="355"/>
      <c r="J12" s="355"/>
      <c r="K12" s="358"/>
      <c r="L12" s="358"/>
      <c r="M12" s="355"/>
      <c r="N12" s="359"/>
    </row>
    <row r="13" spans="1:32" s="368" customFormat="1" ht="30" customHeight="1">
      <c r="A13" s="361"/>
      <c r="B13" s="362">
        <v>1</v>
      </c>
      <c r="C13" s="363" t="s">
        <v>617</v>
      </c>
      <c r="D13" s="363" t="s">
        <v>7</v>
      </c>
      <c r="E13" s="364">
        <v>2015</v>
      </c>
      <c r="F13" s="363" t="s">
        <v>343</v>
      </c>
      <c r="G13" s="363" t="s">
        <v>618</v>
      </c>
      <c r="H13" s="469">
        <v>158552.5</v>
      </c>
      <c r="I13" s="365">
        <f>+H13*14/114</f>
        <v>19471.359649122805</v>
      </c>
      <c r="J13" s="365">
        <f>H13-I13</f>
        <v>139081.14035087719</v>
      </c>
      <c r="K13" s="468"/>
      <c r="L13" s="366">
        <f>IF(AND(C13&lt;&gt;"",$D$6="IN/OUT TRADE IN"),5000,0)</f>
        <v>5000</v>
      </c>
      <c r="M13" s="365">
        <f>J13-K13-L13</f>
        <v>134081.14035087719</v>
      </c>
      <c r="N13" s="367"/>
    </row>
    <row r="14" spans="1:32" s="377" customFormat="1" ht="9.9" customHeight="1">
      <c r="A14" s="369"/>
      <c r="B14" s="370"/>
      <c r="C14" s="371"/>
      <c r="D14" s="371"/>
      <c r="E14" s="372"/>
      <c r="F14" s="371"/>
      <c r="G14" s="373"/>
      <c r="H14" s="374"/>
      <c r="I14" s="374"/>
      <c r="J14" s="374"/>
      <c r="K14" s="375"/>
      <c r="L14" s="375"/>
      <c r="M14" s="374"/>
      <c r="N14" s="376"/>
    </row>
    <row r="15" spans="1:32" s="377" customFormat="1" ht="30" customHeight="1">
      <c r="A15" s="369"/>
      <c r="B15" s="378">
        <v>2</v>
      </c>
      <c r="C15" s="363" t="s">
        <v>617</v>
      </c>
      <c r="D15" s="363" t="s">
        <v>7</v>
      </c>
      <c r="E15" s="379">
        <v>2015</v>
      </c>
      <c r="F15" s="380" t="s">
        <v>775</v>
      </c>
      <c r="G15" s="381" t="s">
        <v>776</v>
      </c>
      <c r="H15" s="469">
        <v>158552.5</v>
      </c>
      <c r="I15" s="365">
        <f>+H15*14/114</f>
        <v>19471.359649122805</v>
      </c>
      <c r="J15" s="365">
        <f>H15-I15</f>
        <v>139081.14035087719</v>
      </c>
      <c r="K15" s="468">
        <v>14000</v>
      </c>
      <c r="L15" s="366">
        <f>IF(AND(C15&lt;&gt;"",$D$6="IN/OUT TRADE IN"),5000,0)</f>
        <v>5000</v>
      </c>
      <c r="M15" s="365">
        <f>J15-K15-L15</f>
        <v>120081.14035087719</v>
      </c>
      <c r="N15" s="382"/>
    </row>
    <row r="16" spans="1:32" s="377" customFormat="1" ht="9.9" customHeight="1">
      <c r="A16" s="369"/>
      <c r="B16" s="370"/>
      <c r="C16" s="371"/>
      <c r="D16" s="371"/>
      <c r="E16" s="372"/>
      <c r="F16" s="371"/>
      <c r="G16" s="373"/>
      <c r="H16" s="374"/>
      <c r="I16" s="374"/>
      <c r="J16" s="374"/>
      <c r="K16" s="375"/>
      <c r="L16" s="375"/>
      <c r="M16" s="374"/>
      <c r="N16" s="383"/>
    </row>
    <row r="17" spans="1:14" s="377" customFormat="1" ht="30" customHeight="1">
      <c r="A17" s="369"/>
      <c r="B17" s="378">
        <v>3</v>
      </c>
      <c r="C17" s="363"/>
      <c r="D17" s="363"/>
      <c r="E17" s="379"/>
      <c r="F17" s="380"/>
      <c r="G17" s="381"/>
      <c r="H17" s="469">
        <v>0</v>
      </c>
      <c r="I17" s="365">
        <f>+H17*14/114</f>
        <v>0</v>
      </c>
      <c r="J17" s="365">
        <f>H17-I17</f>
        <v>0</v>
      </c>
      <c r="K17" s="468">
        <v>0</v>
      </c>
      <c r="L17" s="366">
        <f>IF(AND(C17&lt;&gt;"",$D$6="IN/OUT TRADE IN"),5000,0)</f>
        <v>0</v>
      </c>
      <c r="M17" s="365">
        <f>J17-K17-L17</f>
        <v>0</v>
      </c>
      <c r="N17" s="382"/>
    </row>
    <row r="18" spans="1:14" s="377" customFormat="1" ht="9.9" customHeight="1">
      <c r="A18" s="369"/>
      <c r="B18" s="370"/>
      <c r="C18" s="371"/>
      <c r="D18" s="371"/>
      <c r="E18" s="372"/>
      <c r="F18" s="371"/>
      <c r="G18" s="373"/>
      <c r="H18" s="374"/>
      <c r="I18" s="374"/>
      <c r="J18" s="374"/>
      <c r="K18" s="375"/>
      <c r="L18" s="375"/>
      <c r="M18" s="374"/>
      <c r="N18" s="383"/>
    </row>
    <row r="19" spans="1:14" s="377" customFormat="1" ht="30" customHeight="1">
      <c r="A19" s="369"/>
      <c r="B19" s="378">
        <v>4</v>
      </c>
      <c r="C19" s="363"/>
      <c r="D19" s="380"/>
      <c r="E19" s="379"/>
      <c r="F19" s="380"/>
      <c r="G19" s="381"/>
      <c r="H19" s="469">
        <v>0</v>
      </c>
      <c r="I19" s="365">
        <f>+H19*14/114</f>
        <v>0</v>
      </c>
      <c r="J19" s="365">
        <f>H19-I19</f>
        <v>0</v>
      </c>
      <c r="K19" s="468">
        <v>0</v>
      </c>
      <c r="L19" s="366">
        <f>IF(AND(C19&lt;&gt;"",$D$6="IN/OUT TRADE IN"),5000,0)</f>
        <v>0</v>
      </c>
      <c r="M19" s="365">
        <f>J19-K19-L19</f>
        <v>0</v>
      </c>
      <c r="N19" s="382"/>
    </row>
    <row r="20" spans="1:14" s="377" customFormat="1" ht="9.9" customHeight="1">
      <c r="A20" s="369"/>
      <c r="B20" s="370"/>
      <c r="C20" s="371"/>
      <c r="D20" s="371"/>
      <c r="E20" s="372"/>
      <c r="F20" s="371"/>
      <c r="G20" s="373"/>
      <c r="H20" s="374"/>
      <c r="I20" s="374"/>
      <c r="J20" s="374"/>
      <c r="K20" s="375"/>
      <c r="L20" s="375"/>
      <c r="M20" s="374"/>
      <c r="N20" s="376"/>
    </row>
    <row r="21" spans="1:14" s="377" customFormat="1" ht="30" customHeight="1">
      <c r="A21" s="369"/>
      <c r="B21" s="378">
        <v>5</v>
      </c>
      <c r="C21" s="363"/>
      <c r="D21" s="380"/>
      <c r="E21" s="379"/>
      <c r="F21" s="380"/>
      <c r="G21" s="381"/>
      <c r="H21" s="469">
        <v>0</v>
      </c>
      <c r="I21" s="365">
        <f>+H21*14/114</f>
        <v>0</v>
      </c>
      <c r="J21" s="365">
        <f>H21-I21</f>
        <v>0</v>
      </c>
      <c r="K21" s="468">
        <v>0</v>
      </c>
      <c r="L21" s="366">
        <f>IF(AND(C21&lt;&gt;"",$D$6="IN/OUT TRADE IN"),5000,0)</f>
        <v>0</v>
      </c>
      <c r="M21" s="365">
        <f>J21-K21-L21</f>
        <v>0</v>
      </c>
      <c r="N21" s="382"/>
    </row>
    <row r="22" spans="1:14" s="377" customFormat="1" ht="9.9" customHeight="1">
      <c r="A22" s="369"/>
      <c r="B22" s="370"/>
      <c r="C22" s="371"/>
      <c r="D22" s="371"/>
      <c r="E22" s="372"/>
      <c r="F22" s="371"/>
      <c r="G22" s="373"/>
      <c r="H22" s="374"/>
      <c r="I22" s="374"/>
      <c r="J22" s="374"/>
      <c r="K22" s="375"/>
      <c r="L22" s="375"/>
      <c r="M22" s="374"/>
      <c r="N22" s="376"/>
    </row>
    <row r="23" spans="1:14" s="377" customFormat="1" ht="30" customHeight="1">
      <c r="A23" s="369"/>
      <c r="B23" s="378">
        <v>6</v>
      </c>
      <c r="C23" s="363"/>
      <c r="D23" s="380"/>
      <c r="E23" s="379"/>
      <c r="F23" s="380"/>
      <c r="G23" s="381"/>
      <c r="H23" s="469">
        <v>0</v>
      </c>
      <c r="I23" s="365">
        <f>+H23*14/114</f>
        <v>0</v>
      </c>
      <c r="J23" s="365">
        <f>H23-I23</f>
        <v>0</v>
      </c>
      <c r="K23" s="468">
        <v>0</v>
      </c>
      <c r="L23" s="366">
        <f>IF(AND(C23&lt;&gt;"",$D$6="IN/OUT TRADE IN"),5000,0)</f>
        <v>0</v>
      </c>
      <c r="M23" s="365">
        <f>J23-K23-L23</f>
        <v>0</v>
      </c>
      <c r="N23" s="382"/>
    </row>
    <row r="24" spans="1:14" s="377" customFormat="1" ht="9.9" customHeight="1">
      <c r="A24" s="369"/>
      <c r="B24" s="370"/>
      <c r="C24" s="371"/>
      <c r="D24" s="371"/>
      <c r="E24" s="372"/>
      <c r="F24" s="371"/>
      <c r="G24" s="373"/>
      <c r="H24" s="374"/>
      <c r="I24" s="374"/>
      <c r="J24" s="374"/>
      <c r="K24" s="375"/>
      <c r="L24" s="375"/>
      <c r="M24" s="374"/>
      <c r="N24" s="376"/>
    </row>
    <row r="25" spans="1:14" s="377" customFormat="1" ht="30" customHeight="1">
      <c r="A25" s="369"/>
      <c r="B25" s="378">
        <v>7</v>
      </c>
      <c r="C25" s="363"/>
      <c r="D25" s="380"/>
      <c r="E25" s="379"/>
      <c r="F25" s="380"/>
      <c r="G25" s="381"/>
      <c r="H25" s="469">
        <v>0</v>
      </c>
      <c r="I25" s="365">
        <f>+H25*14/114</f>
        <v>0</v>
      </c>
      <c r="J25" s="365">
        <f>H25-I25</f>
        <v>0</v>
      </c>
      <c r="K25" s="468">
        <v>0</v>
      </c>
      <c r="L25" s="366">
        <f>IF(AND(C25&lt;&gt;"",$D$6="IN/OUT TRADE IN"),5000,0)</f>
        <v>0</v>
      </c>
      <c r="M25" s="365">
        <f>J25-K25-L25</f>
        <v>0</v>
      </c>
      <c r="N25" s="382"/>
    </row>
    <row r="26" spans="1:14" s="377" customFormat="1" ht="9.9" customHeight="1">
      <c r="A26" s="369"/>
      <c r="B26" s="370"/>
      <c r="C26" s="371"/>
      <c r="D26" s="371"/>
      <c r="E26" s="372"/>
      <c r="F26" s="371"/>
      <c r="G26" s="373"/>
      <c r="H26" s="374"/>
      <c r="I26" s="374"/>
      <c r="J26" s="374"/>
      <c r="K26" s="375"/>
      <c r="L26" s="375"/>
      <c r="M26" s="374"/>
      <c r="N26" s="376"/>
    </row>
    <row r="27" spans="1:14" s="377" customFormat="1" ht="30" customHeight="1">
      <c r="A27" s="369"/>
      <c r="B27" s="378">
        <v>8</v>
      </c>
      <c r="C27" s="380"/>
      <c r="D27" s="380"/>
      <c r="E27" s="379"/>
      <c r="F27" s="380"/>
      <c r="G27" s="381"/>
      <c r="H27" s="469">
        <v>0</v>
      </c>
      <c r="I27" s="365">
        <f>+H27*14/114</f>
        <v>0</v>
      </c>
      <c r="J27" s="365">
        <f>H27-I27</f>
        <v>0</v>
      </c>
      <c r="K27" s="468">
        <v>0</v>
      </c>
      <c r="L27" s="366">
        <f>IF(AND(C27&lt;&gt;"",$D$6="IN/OUT TRADE IN"),5000,0)</f>
        <v>0</v>
      </c>
      <c r="M27" s="365">
        <f>J27-K27-L27</f>
        <v>0</v>
      </c>
      <c r="N27" s="382"/>
    </row>
    <row r="28" spans="1:14" s="377" customFormat="1" ht="9.9" customHeight="1">
      <c r="A28" s="369"/>
      <c r="B28" s="370"/>
      <c r="C28" s="371"/>
      <c r="D28" s="371"/>
      <c r="E28" s="372"/>
      <c r="F28" s="371"/>
      <c r="G28" s="373"/>
      <c r="H28" s="374"/>
      <c r="I28" s="374"/>
      <c r="J28" s="374"/>
      <c r="K28" s="375"/>
      <c r="L28" s="375"/>
      <c r="M28" s="374"/>
      <c r="N28" s="376"/>
    </row>
    <row r="29" spans="1:14" s="377" customFormat="1" ht="30" customHeight="1">
      <c r="A29" s="369"/>
      <c r="B29" s="384">
        <v>9</v>
      </c>
      <c r="C29" s="385"/>
      <c r="D29" s="385"/>
      <c r="E29" s="386"/>
      <c r="F29" s="385"/>
      <c r="G29" s="387"/>
      <c r="H29" s="469">
        <v>0</v>
      </c>
      <c r="I29" s="365">
        <f>+H29*14/114</f>
        <v>0</v>
      </c>
      <c r="J29" s="365">
        <f>H29-I29</f>
        <v>0</v>
      </c>
      <c r="K29" s="468">
        <v>0</v>
      </c>
      <c r="L29" s="366">
        <f>IF(AND(C29&lt;&gt;"",$D$6="IN/OUT TRADE IN"),5000,0)</f>
        <v>0</v>
      </c>
      <c r="M29" s="365">
        <f>J29-K29-L29</f>
        <v>0</v>
      </c>
      <c r="N29" s="388"/>
    </row>
    <row r="30" spans="1:14" s="377" customFormat="1" ht="9.9" customHeight="1">
      <c r="A30" s="369"/>
      <c r="B30" s="370"/>
      <c r="C30" s="371"/>
      <c r="D30" s="371"/>
      <c r="E30" s="372"/>
      <c r="F30" s="371"/>
      <c r="G30" s="373"/>
      <c r="H30" s="374"/>
      <c r="I30" s="374"/>
      <c r="J30" s="374"/>
      <c r="K30" s="375"/>
      <c r="L30" s="375"/>
      <c r="M30" s="374"/>
      <c r="N30" s="376"/>
    </row>
    <row r="31" spans="1:14" s="377" customFormat="1" ht="30" customHeight="1">
      <c r="A31" s="369"/>
      <c r="B31" s="384">
        <v>10</v>
      </c>
      <c r="C31" s="385"/>
      <c r="D31" s="385"/>
      <c r="E31" s="386"/>
      <c r="F31" s="385"/>
      <c r="G31" s="387"/>
      <c r="H31" s="469">
        <v>0</v>
      </c>
      <c r="I31" s="365">
        <f>+H31*14/114</f>
        <v>0</v>
      </c>
      <c r="J31" s="365">
        <f>H31-I31</f>
        <v>0</v>
      </c>
      <c r="K31" s="468">
        <v>0</v>
      </c>
      <c r="L31" s="366">
        <f>IF(AND(C31&lt;&gt;"",$D$6="IN/OUT TRADE IN"),5000,0)</f>
        <v>0</v>
      </c>
      <c r="M31" s="365">
        <f>J31-K31-L31</f>
        <v>0</v>
      </c>
      <c r="N31" s="388"/>
    </row>
    <row r="32" spans="1:14" s="377" customFormat="1" ht="9.9" customHeight="1" thickBot="1">
      <c r="A32" s="369"/>
      <c r="B32" s="389"/>
      <c r="C32" s="390"/>
      <c r="D32" s="428"/>
      <c r="E32" s="429"/>
      <c r="F32" s="428"/>
      <c r="G32" s="430"/>
      <c r="H32" s="391"/>
      <c r="I32" s="391"/>
      <c r="J32" s="391"/>
      <c r="K32" s="392"/>
      <c r="L32" s="392"/>
      <c r="M32" s="391"/>
      <c r="N32" s="393"/>
    </row>
    <row r="33" spans="1:14" s="397" customFormat="1" ht="33" customHeight="1" thickBot="1">
      <c r="A33" s="394"/>
      <c r="B33" s="418" t="s">
        <v>594</v>
      </c>
      <c r="C33" s="426">
        <f>COUNTA(C31,C29,C27,C25,C23,C21,C19,C17,C15,C13)</f>
        <v>2</v>
      </c>
      <c r="D33" s="748" t="s">
        <v>605</v>
      </c>
      <c r="E33" s="749"/>
      <c r="F33" s="749"/>
      <c r="G33" s="750"/>
      <c r="H33" s="427">
        <f>SUM(H9:H32)</f>
        <v>317105</v>
      </c>
      <c r="I33" s="395">
        <f>SUM(I9:I32)</f>
        <v>38942.719298245611</v>
      </c>
      <c r="J33" s="395">
        <v>342105</v>
      </c>
      <c r="K33" s="396">
        <f>SUM(K9:K32)</f>
        <v>14000</v>
      </c>
      <c r="L33" s="396">
        <f>SUM(L9:L32)</f>
        <v>10000</v>
      </c>
      <c r="M33" s="395">
        <v>317105</v>
      </c>
      <c r="N33" s="394"/>
    </row>
    <row r="34" spans="1:14" ht="14.25" customHeight="1">
      <c r="A34" s="398"/>
      <c r="B34" s="327"/>
      <c r="C34" s="327"/>
      <c r="D34" s="327"/>
      <c r="E34" s="399"/>
      <c r="F34" s="327"/>
      <c r="G34" s="400"/>
      <c r="H34" s="327"/>
      <c r="I34" s="327"/>
      <c r="J34" s="327"/>
      <c r="K34" s="401"/>
      <c r="L34" s="327"/>
      <c r="M34" s="327"/>
    </row>
    <row r="35" spans="1:14" s="398" customFormat="1">
      <c r="E35" s="403"/>
    </row>
    <row r="36" spans="1:14">
      <c r="A36" s="398"/>
      <c r="B36" s="398"/>
      <c r="E36" s="403"/>
      <c r="F36" s="398"/>
      <c r="I36" s="398"/>
    </row>
    <row r="37" spans="1:14" s="398" customFormat="1" ht="15.3" thickBot="1">
      <c r="E37" s="403"/>
    </row>
    <row r="38" spans="1:14" s="412" customFormat="1">
      <c r="C38" s="733"/>
      <c r="D38" s="734"/>
      <c r="E38" s="413"/>
      <c r="G38" s="733"/>
      <c r="H38" s="734"/>
      <c r="J38" s="404"/>
      <c r="K38" s="405"/>
      <c r="L38" s="406"/>
    </row>
    <row r="39" spans="1:14">
      <c r="C39" s="735"/>
      <c r="D39" s="736"/>
      <c r="E39" s="416"/>
      <c r="G39" s="735"/>
      <c r="H39" s="736"/>
      <c r="J39" s="407"/>
      <c r="K39" s="398"/>
      <c r="L39" s="408"/>
    </row>
    <row r="40" spans="1:14" ht="15.3" thickBot="1">
      <c r="C40" s="737"/>
      <c r="D40" s="738"/>
      <c r="E40" s="416"/>
      <c r="G40" s="737"/>
      <c r="H40" s="738"/>
      <c r="J40" s="409"/>
      <c r="K40" s="410"/>
      <c r="L40" s="411"/>
    </row>
    <row r="41" spans="1:14">
      <c r="C41" s="414" t="s">
        <v>29</v>
      </c>
      <c r="E41" s="416"/>
      <c r="G41" s="414" t="s">
        <v>606</v>
      </c>
      <c r="H41" s="412"/>
      <c r="J41" s="412" t="s">
        <v>31</v>
      </c>
      <c r="K41" s="415"/>
      <c r="L41" s="412"/>
    </row>
    <row r="42" spans="1:14">
      <c r="E42" s="416"/>
    </row>
    <row r="43" spans="1:14">
      <c r="E43" s="416"/>
    </row>
    <row r="44" spans="1:14">
      <c r="E44" s="416"/>
    </row>
    <row r="45" spans="1:14">
      <c r="E45" s="416"/>
    </row>
    <row r="46" spans="1:14">
      <c r="E46" s="416"/>
    </row>
    <row r="47" spans="1:14">
      <c r="E47" s="416"/>
    </row>
    <row r="48" spans="1:14">
      <c r="E48" s="416"/>
    </row>
    <row r="49" spans="5:5">
      <c r="E49" s="416"/>
    </row>
    <row r="50" spans="5:5">
      <c r="E50" s="416"/>
    </row>
    <row r="51" spans="5:5">
      <c r="E51" s="416"/>
    </row>
    <row r="52" spans="5:5">
      <c r="E52" s="416"/>
    </row>
    <row r="53" spans="5:5">
      <c r="E53" s="416"/>
    </row>
    <row r="54" spans="5:5">
      <c r="E54" s="416"/>
    </row>
    <row r="55" spans="5:5">
      <c r="E55" s="416"/>
    </row>
    <row r="56" spans="5:5">
      <c r="E56" s="416"/>
    </row>
    <row r="57" spans="5:5">
      <c r="E57" s="416"/>
    </row>
    <row r="58" spans="5:5">
      <c r="E58" s="416"/>
    </row>
    <row r="59" spans="5:5">
      <c r="E59" s="416"/>
    </row>
    <row r="60" spans="5:5">
      <c r="E60" s="416"/>
    </row>
    <row r="61" spans="5:5">
      <c r="E61" s="416"/>
    </row>
    <row r="62" spans="5:5">
      <c r="E62" s="416"/>
    </row>
    <row r="63" spans="5:5">
      <c r="E63" s="416"/>
    </row>
    <row r="64" spans="5:5">
      <c r="E64" s="416"/>
    </row>
    <row r="65" spans="5:5">
      <c r="E65" s="416"/>
    </row>
    <row r="66" spans="5:5">
      <c r="E66" s="416"/>
    </row>
    <row r="67" spans="5:5">
      <c r="E67" s="416"/>
    </row>
    <row r="68" spans="5:5">
      <c r="E68" s="416"/>
    </row>
    <row r="69" spans="5:5">
      <c r="E69" s="416"/>
    </row>
    <row r="70" spans="5:5">
      <c r="E70" s="416"/>
    </row>
    <row r="71" spans="5:5">
      <c r="E71" s="416"/>
    </row>
    <row r="72" spans="5:5">
      <c r="E72" s="416"/>
    </row>
    <row r="73" spans="5:5">
      <c r="E73" s="416"/>
    </row>
    <row r="74" spans="5:5">
      <c r="E74" s="416"/>
    </row>
    <row r="75" spans="5:5">
      <c r="E75" s="416"/>
    </row>
    <row r="76" spans="5:5">
      <c r="E76" s="416"/>
    </row>
    <row r="77" spans="5:5">
      <c r="E77" s="416"/>
    </row>
    <row r="78" spans="5:5">
      <c r="E78" s="416"/>
    </row>
    <row r="79" spans="5:5">
      <c r="E79" s="416"/>
    </row>
    <row r="80" spans="5:5">
      <c r="E80" s="416"/>
    </row>
    <row r="81" spans="5:5">
      <c r="E81" s="416"/>
    </row>
    <row r="82" spans="5:5">
      <c r="E82" s="416"/>
    </row>
    <row r="83" spans="5:5">
      <c r="E83" s="416"/>
    </row>
    <row r="84" spans="5:5">
      <c r="E84" s="416"/>
    </row>
    <row r="85" spans="5:5">
      <c r="E85" s="416"/>
    </row>
    <row r="86" spans="5:5">
      <c r="E86" s="416"/>
    </row>
    <row r="87" spans="5:5">
      <c r="E87" s="416"/>
    </row>
    <row r="88" spans="5:5">
      <c r="E88" s="416"/>
    </row>
    <row r="89" spans="5:5">
      <c r="E89" s="416"/>
    </row>
    <row r="90" spans="5:5">
      <c r="E90" s="416"/>
    </row>
    <row r="91" spans="5:5">
      <c r="E91" s="416"/>
    </row>
    <row r="92" spans="5:5">
      <c r="E92" s="416"/>
    </row>
    <row r="93" spans="5:5">
      <c r="E93" s="416"/>
    </row>
    <row r="94" spans="5:5">
      <c r="E94" s="416"/>
    </row>
    <row r="95" spans="5:5">
      <c r="E95" s="416"/>
    </row>
    <row r="96" spans="5:5">
      <c r="E96" s="416"/>
    </row>
    <row r="97" spans="5:5">
      <c r="E97" s="416"/>
    </row>
    <row r="98" spans="5:5">
      <c r="E98" s="416"/>
    </row>
    <row r="99" spans="5:5">
      <c r="E99" s="416"/>
    </row>
    <row r="100" spans="5:5">
      <c r="E100" s="416"/>
    </row>
    <row r="101" spans="5:5">
      <c r="E101" s="416"/>
    </row>
    <row r="102" spans="5:5">
      <c r="E102" s="416"/>
    </row>
    <row r="103" spans="5:5">
      <c r="E103" s="416"/>
    </row>
    <row r="104" spans="5:5">
      <c r="E104" s="416"/>
    </row>
    <row r="105" spans="5:5">
      <c r="E105" s="416"/>
    </row>
    <row r="106" spans="5:5">
      <c r="E106" s="416"/>
    </row>
    <row r="107" spans="5:5">
      <c r="E107" s="416"/>
    </row>
    <row r="108" spans="5:5">
      <c r="E108" s="416"/>
    </row>
    <row r="109" spans="5:5">
      <c r="E109" s="416"/>
    </row>
    <row r="110" spans="5:5">
      <c r="E110" s="416"/>
    </row>
    <row r="111" spans="5:5">
      <c r="E111" s="416"/>
    </row>
    <row r="112" spans="5:5">
      <c r="E112" s="416"/>
    </row>
    <row r="113" spans="5:5">
      <c r="E113" s="416"/>
    </row>
    <row r="114" spans="5:5">
      <c r="E114" s="416"/>
    </row>
    <row r="115" spans="5:5">
      <c r="E115" s="416"/>
    </row>
    <row r="116" spans="5:5">
      <c r="E116" s="416"/>
    </row>
    <row r="117" spans="5:5">
      <c r="E117" s="416"/>
    </row>
    <row r="118" spans="5:5">
      <c r="E118" s="416"/>
    </row>
    <row r="119" spans="5:5">
      <c r="E119" s="416"/>
    </row>
    <row r="120" spans="5:5">
      <c r="E120" s="416"/>
    </row>
    <row r="121" spans="5:5">
      <c r="E121" s="416"/>
    </row>
    <row r="122" spans="5:5">
      <c r="E122" s="416"/>
    </row>
    <row r="123" spans="5:5">
      <c r="E123" s="416"/>
    </row>
    <row r="124" spans="5:5">
      <c r="E124" s="416"/>
    </row>
    <row r="125" spans="5:5">
      <c r="E125" s="416"/>
    </row>
    <row r="126" spans="5:5">
      <c r="E126" s="416"/>
    </row>
    <row r="127" spans="5:5">
      <c r="E127" s="416"/>
    </row>
    <row r="128" spans="5:5">
      <c r="E128" s="416"/>
    </row>
    <row r="129" spans="5:5">
      <c r="E129" s="416"/>
    </row>
    <row r="130" spans="5:5">
      <c r="E130" s="416"/>
    </row>
    <row r="131" spans="5:5">
      <c r="E131" s="416"/>
    </row>
    <row r="132" spans="5:5">
      <c r="E132" s="416"/>
    </row>
    <row r="133" spans="5:5">
      <c r="E133" s="416"/>
    </row>
    <row r="134" spans="5:5">
      <c r="E134" s="416"/>
    </row>
    <row r="135" spans="5:5">
      <c r="E135" s="416"/>
    </row>
    <row r="136" spans="5:5">
      <c r="E136" s="416"/>
    </row>
    <row r="137" spans="5:5">
      <c r="E137" s="416"/>
    </row>
    <row r="138" spans="5:5">
      <c r="E138" s="416"/>
    </row>
    <row r="139" spans="5:5">
      <c r="E139" s="416"/>
    </row>
    <row r="140" spans="5:5">
      <c r="E140" s="416"/>
    </row>
    <row r="141" spans="5:5">
      <c r="E141" s="416"/>
    </row>
    <row r="142" spans="5:5">
      <c r="E142" s="416"/>
    </row>
    <row r="143" spans="5:5">
      <c r="E143" s="416"/>
    </row>
    <row r="144" spans="5:5">
      <c r="E144" s="416"/>
    </row>
    <row r="145" spans="5:5">
      <c r="E145" s="416"/>
    </row>
    <row r="146" spans="5:5">
      <c r="E146" s="416"/>
    </row>
    <row r="147" spans="5:5">
      <c r="E147" s="416"/>
    </row>
    <row r="148" spans="5:5">
      <c r="E148" s="416"/>
    </row>
    <row r="149" spans="5:5">
      <c r="E149" s="416"/>
    </row>
    <row r="150" spans="5:5">
      <c r="E150" s="416"/>
    </row>
    <row r="151" spans="5:5">
      <c r="E151" s="416"/>
    </row>
    <row r="152" spans="5:5">
      <c r="E152" s="416"/>
    </row>
    <row r="153" spans="5:5">
      <c r="E153" s="416"/>
    </row>
    <row r="154" spans="5:5">
      <c r="E154" s="416"/>
    </row>
    <row r="155" spans="5:5">
      <c r="E155" s="416"/>
    </row>
    <row r="156" spans="5:5">
      <c r="E156" s="416"/>
    </row>
    <row r="157" spans="5:5">
      <c r="E157" s="416"/>
    </row>
    <row r="158" spans="5:5">
      <c r="E158" s="416"/>
    </row>
    <row r="159" spans="5:5">
      <c r="E159" s="416"/>
    </row>
    <row r="160" spans="5:5">
      <c r="E160" s="416"/>
    </row>
    <row r="161" spans="5:5">
      <c r="E161" s="416"/>
    </row>
    <row r="162" spans="5:5">
      <c r="E162" s="416"/>
    </row>
    <row r="163" spans="5:5">
      <c r="E163" s="416"/>
    </row>
    <row r="164" spans="5:5">
      <c r="E164" s="416"/>
    </row>
    <row r="165" spans="5:5">
      <c r="E165" s="416"/>
    </row>
    <row r="166" spans="5:5">
      <c r="E166" s="416"/>
    </row>
    <row r="167" spans="5:5">
      <c r="E167" s="416"/>
    </row>
    <row r="168" spans="5:5">
      <c r="E168" s="416"/>
    </row>
    <row r="169" spans="5:5">
      <c r="E169" s="416"/>
    </row>
    <row r="170" spans="5:5">
      <c r="E170" s="416"/>
    </row>
    <row r="171" spans="5:5">
      <c r="E171" s="416"/>
    </row>
    <row r="172" spans="5:5">
      <c r="E172" s="416"/>
    </row>
    <row r="173" spans="5:5">
      <c r="E173" s="416"/>
    </row>
    <row r="174" spans="5:5">
      <c r="E174" s="416"/>
    </row>
    <row r="175" spans="5:5">
      <c r="E175" s="416"/>
    </row>
    <row r="176" spans="5:5">
      <c r="E176" s="416"/>
    </row>
    <row r="177" spans="5:5">
      <c r="E177" s="416"/>
    </row>
    <row r="178" spans="5:5">
      <c r="E178" s="416"/>
    </row>
    <row r="179" spans="5:5">
      <c r="E179" s="416"/>
    </row>
    <row r="180" spans="5:5">
      <c r="E180" s="416"/>
    </row>
    <row r="181" spans="5:5">
      <c r="E181" s="416"/>
    </row>
    <row r="182" spans="5:5">
      <c r="E182" s="416"/>
    </row>
    <row r="183" spans="5:5">
      <c r="E183" s="416"/>
    </row>
    <row r="184" spans="5:5">
      <c r="E184" s="416"/>
    </row>
    <row r="185" spans="5:5">
      <c r="E185" s="416"/>
    </row>
    <row r="186" spans="5:5">
      <c r="E186" s="416"/>
    </row>
    <row r="187" spans="5:5">
      <c r="E187" s="416"/>
    </row>
    <row r="188" spans="5:5">
      <c r="E188" s="416"/>
    </row>
    <row r="189" spans="5:5">
      <c r="E189" s="416"/>
    </row>
    <row r="190" spans="5:5">
      <c r="E190" s="416"/>
    </row>
    <row r="191" spans="5:5">
      <c r="E191" s="416"/>
    </row>
    <row r="192" spans="5:5">
      <c r="E192" s="416"/>
    </row>
    <row r="193" spans="5:5">
      <c r="E193" s="416"/>
    </row>
    <row r="194" spans="5:5">
      <c r="E194" s="416"/>
    </row>
    <row r="195" spans="5:5">
      <c r="E195" s="416"/>
    </row>
    <row r="196" spans="5:5">
      <c r="E196" s="416"/>
    </row>
    <row r="197" spans="5:5">
      <c r="E197" s="416"/>
    </row>
    <row r="198" spans="5:5">
      <c r="E198" s="416"/>
    </row>
    <row r="199" spans="5:5">
      <c r="E199" s="416"/>
    </row>
    <row r="200" spans="5:5">
      <c r="E200" s="416"/>
    </row>
    <row r="201" spans="5:5">
      <c r="E201" s="416"/>
    </row>
    <row r="202" spans="5:5">
      <c r="E202" s="416"/>
    </row>
    <row r="203" spans="5:5">
      <c r="E203" s="416"/>
    </row>
    <row r="204" spans="5:5">
      <c r="E204" s="416"/>
    </row>
    <row r="205" spans="5:5">
      <c r="E205" s="416"/>
    </row>
    <row r="206" spans="5:5">
      <c r="E206" s="416"/>
    </row>
    <row r="207" spans="5:5">
      <c r="E207" s="416"/>
    </row>
    <row r="208" spans="5:5">
      <c r="E208" s="416"/>
    </row>
    <row r="209" spans="5:5">
      <c r="E209" s="416"/>
    </row>
    <row r="210" spans="5:5">
      <c r="E210" s="416"/>
    </row>
    <row r="211" spans="5:5">
      <c r="E211" s="416"/>
    </row>
    <row r="212" spans="5:5">
      <c r="E212" s="416"/>
    </row>
    <row r="213" spans="5:5">
      <c r="E213" s="416"/>
    </row>
    <row r="214" spans="5:5">
      <c r="E214" s="416"/>
    </row>
    <row r="215" spans="5:5">
      <c r="E215" s="416"/>
    </row>
    <row r="216" spans="5:5">
      <c r="E216" s="416"/>
    </row>
    <row r="217" spans="5:5">
      <c r="E217" s="416"/>
    </row>
    <row r="218" spans="5:5">
      <c r="E218" s="416"/>
    </row>
    <row r="219" spans="5:5">
      <c r="E219" s="416"/>
    </row>
    <row r="220" spans="5:5">
      <c r="E220" s="416"/>
    </row>
    <row r="221" spans="5:5">
      <c r="E221" s="416"/>
    </row>
    <row r="222" spans="5:5">
      <c r="E222" s="416"/>
    </row>
    <row r="223" spans="5:5">
      <c r="E223" s="416"/>
    </row>
    <row r="224" spans="5:5">
      <c r="E224" s="416"/>
    </row>
  </sheetData>
  <mergeCells count="7">
    <mergeCell ref="D4:G4"/>
    <mergeCell ref="C38:D40"/>
    <mergeCell ref="G38:H40"/>
    <mergeCell ref="I4:N4"/>
    <mergeCell ref="B5:M5"/>
    <mergeCell ref="D6:N6"/>
    <mergeCell ref="D33:G33"/>
  </mergeCells>
  <dataValidations count="1">
    <dataValidation type="list" allowBlank="1" showInputMessage="1" showErrorMessage="1" sqref="D6:N6" xr:uid="{00000000-0002-0000-0200-000000000000}">
      <formula1>$AF$2:$AF$4</formula1>
    </dataValidation>
  </dataValidations>
  <printOptions horizontalCentered="1" verticalCentered="1"/>
  <pageMargins left="0" right="0" top="0" bottom="0.35" header="0" footer="0.25"/>
  <pageSetup paperSize="9" scale="61" orientation="landscape" r:id="rId1"/>
  <headerFooter alignWithMargins="0">
    <oddFooter>&amp;L&amp;BMAN Truck and Bus Confidential&amp;B&amp;C&amp;D&amp;RPage &amp;P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tabColor theme="7" tint="0.79998168889431442"/>
    <pageSetUpPr fitToPage="1"/>
  </sheetPr>
  <dimension ref="A1:BR63"/>
  <sheetViews>
    <sheetView topLeftCell="A11" zoomScale="75" zoomScaleNormal="75" workbookViewId="0">
      <selection activeCell="H23" sqref="H23:J23"/>
    </sheetView>
  </sheetViews>
  <sheetFormatPr defaultColWidth="9.1015625" defaultRowHeight="12.3"/>
  <cols>
    <col min="1" max="1" width="13" style="225" customWidth="1"/>
    <col min="2" max="2" width="23.68359375" style="218" customWidth="1"/>
    <col min="3" max="3" width="12.1015625" style="49" customWidth="1"/>
    <col min="4" max="4" width="12.3125" style="49" customWidth="1"/>
    <col min="5" max="5" width="9.41796875" style="49" customWidth="1"/>
    <col min="6" max="6" width="10.41796875" style="49" customWidth="1"/>
    <col min="7" max="7" width="4.89453125" style="49" customWidth="1"/>
    <col min="8" max="10" width="9.41796875" style="49" customWidth="1"/>
    <col min="11" max="11" width="40" style="616" customWidth="1"/>
    <col min="12" max="14" width="9.1015625" style="49" customWidth="1"/>
    <col min="15" max="15" width="15" style="49" customWidth="1"/>
    <col min="16" max="16" width="21.1015625" style="49" customWidth="1"/>
    <col min="17" max="48" width="9.1015625" style="49" customWidth="1"/>
    <col min="49" max="49" width="9.1015625" style="616"/>
    <col min="50" max="50" width="10.20703125" style="616" bestFit="1" customWidth="1"/>
    <col min="51" max="51" width="10.1015625" style="616" bestFit="1" customWidth="1"/>
    <col min="52" max="55" width="9.1015625" style="616"/>
    <col min="56" max="69" width="9.1015625" style="49"/>
    <col min="70" max="70" width="10.3125" style="49" bestFit="1" customWidth="1"/>
    <col min="71" max="16384" width="9.1015625" style="49"/>
  </cols>
  <sheetData>
    <row r="1" spans="1:70" ht="36.75" customHeight="1">
      <c r="A1" s="759" t="s">
        <v>476</v>
      </c>
      <c r="B1" s="760"/>
      <c r="C1" s="760"/>
      <c r="D1" s="760"/>
      <c r="E1" s="760"/>
      <c r="F1" s="760"/>
      <c r="G1" s="760"/>
      <c r="H1" s="760"/>
      <c r="I1" s="760"/>
      <c r="J1" s="760"/>
      <c r="K1" s="760"/>
    </row>
    <row r="2" spans="1:70" s="236" customFormat="1" ht="15" customHeight="1" thickBot="1">
      <c r="A2" s="235"/>
      <c r="B2" s="235"/>
      <c r="C2" s="235"/>
      <c r="D2" s="235"/>
      <c r="E2" s="235"/>
      <c r="F2" s="235"/>
      <c r="G2" s="235"/>
      <c r="H2" s="235"/>
      <c r="I2" s="235"/>
      <c r="J2" s="235"/>
      <c r="K2" s="617"/>
      <c r="AW2" s="617"/>
      <c r="AX2" s="617"/>
      <c r="AY2" s="617"/>
      <c r="AZ2" s="617"/>
      <c r="BA2" s="617"/>
      <c r="BB2" s="617"/>
      <c r="BC2" s="617"/>
    </row>
    <row r="3" spans="1:70" s="226" customFormat="1" ht="16.5" customHeight="1">
      <c r="A3" s="240"/>
      <c r="B3" s="241"/>
      <c r="C3" s="241"/>
      <c r="D3" s="241"/>
      <c r="E3" s="241"/>
      <c r="F3" s="241"/>
      <c r="G3" s="237"/>
      <c r="H3" s="237"/>
      <c r="I3" s="237"/>
      <c r="J3" s="237"/>
      <c r="K3" s="238"/>
      <c r="AW3" s="623"/>
      <c r="AX3" s="623"/>
      <c r="AY3" s="623"/>
      <c r="AZ3" s="623"/>
      <c r="BA3" s="623"/>
      <c r="BB3" s="623"/>
      <c r="BC3" s="623"/>
    </row>
    <row r="4" spans="1:70" s="226" customFormat="1" ht="16.5" customHeight="1">
      <c r="A4" s="250"/>
      <c r="B4" s="243"/>
      <c r="C4" s="251"/>
      <c r="D4" s="620"/>
      <c r="E4" s="620"/>
      <c r="F4" s="620"/>
      <c r="G4" s="245"/>
      <c r="H4" s="229"/>
      <c r="I4" s="229"/>
      <c r="J4" s="229"/>
      <c r="K4" s="230"/>
      <c r="AW4" s="623"/>
      <c r="AX4" s="623"/>
      <c r="AY4" s="623"/>
      <c r="AZ4" s="623"/>
      <c r="BA4" s="623"/>
      <c r="BB4" s="623"/>
      <c r="BC4" s="623"/>
    </row>
    <row r="5" spans="1:70" ht="22.35" customHeight="1">
      <c r="A5" s="242"/>
      <c r="B5" s="229"/>
      <c r="C5" s="246" t="s">
        <v>477</v>
      </c>
      <c r="D5" s="247"/>
      <c r="E5" s="761">
        <f ca="1">'Deal Sheet'!$C$2</f>
        <v>43222</v>
      </c>
      <c r="F5" s="761"/>
      <c r="G5" s="762"/>
      <c r="H5" s="229"/>
      <c r="I5" s="229"/>
      <c r="J5" s="229"/>
      <c r="K5" s="230"/>
    </row>
    <row r="6" spans="1:70" ht="22.35" customHeight="1">
      <c r="A6" s="242"/>
      <c r="B6" s="229"/>
      <c r="C6" s="246" t="s">
        <v>369</v>
      </c>
      <c r="D6" s="247"/>
      <c r="E6" s="761" t="str">
        <f>'Deal Sheet'!$C$5</f>
        <v>MAN Cape Town</v>
      </c>
      <c r="F6" s="761"/>
      <c r="G6" s="762"/>
      <c r="H6" s="229"/>
      <c r="I6" s="229"/>
      <c r="J6" s="229"/>
      <c r="K6" s="230"/>
    </row>
    <row r="7" spans="1:70" ht="22.35" customHeight="1">
      <c r="A7" s="242"/>
      <c r="B7" s="229"/>
      <c r="C7" s="246" t="s">
        <v>267</v>
      </c>
      <c r="D7" s="247"/>
      <c r="E7" s="763" t="str">
        <f>'Deal Sheet'!C4</f>
        <v>CJ Swanepoel</v>
      </c>
      <c r="F7" s="763"/>
      <c r="G7" s="764"/>
      <c r="H7" s="229"/>
      <c r="I7" s="229"/>
      <c r="J7" s="229"/>
      <c r="K7" s="230"/>
    </row>
    <row r="8" spans="1:70" ht="22.35" customHeight="1">
      <c r="A8" s="242"/>
      <c r="B8" s="229"/>
      <c r="C8" s="246" t="s">
        <v>467</v>
      </c>
      <c r="D8" s="247"/>
      <c r="E8" s="765" t="str">
        <f>'Deal Sheet'!$C$3</f>
        <v>ABC Truck</v>
      </c>
      <c r="F8" s="765"/>
      <c r="G8" s="766"/>
      <c r="H8" s="229"/>
      <c r="I8" s="229"/>
      <c r="J8" s="229"/>
      <c r="K8" s="230"/>
    </row>
    <row r="9" spans="1:70" ht="15" customHeight="1">
      <c r="A9" s="227"/>
      <c r="B9" s="125"/>
      <c r="C9" s="249"/>
      <c r="D9" s="244"/>
      <c r="E9" s="765"/>
      <c r="F9" s="765"/>
      <c r="G9" s="766"/>
      <c r="H9" s="229"/>
      <c r="I9" s="229"/>
      <c r="J9" s="229"/>
      <c r="K9" s="230"/>
      <c r="P9" s="614"/>
    </row>
    <row r="10" spans="1:70" ht="18.75" customHeight="1">
      <c r="A10" s="227"/>
      <c r="B10" s="125"/>
      <c r="C10" s="621"/>
      <c r="D10" s="622"/>
      <c r="E10" s="767"/>
      <c r="F10" s="767"/>
      <c r="G10" s="768"/>
      <c r="H10" s="229"/>
      <c r="I10" s="229"/>
      <c r="J10" s="229"/>
      <c r="K10" s="230"/>
      <c r="P10" s="614"/>
    </row>
    <row r="11" spans="1:70" ht="18.3">
      <c r="A11" s="227"/>
      <c r="B11" s="125"/>
      <c r="C11" s="229"/>
      <c r="D11" s="229"/>
      <c r="E11" s="248"/>
      <c r="F11" s="248"/>
      <c r="G11" s="248"/>
      <c r="H11" s="229"/>
      <c r="I11" s="229"/>
      <c r="J11" s="229"/>
      <c r="K11" s="230"/>
      <c r="N11" s="613"/>
    </row>
    <row r="12" spans="1:70" ht="24" customHeight="1" thickBot="1">
      <c r="A12" s="228"/>
      <c r="B12" s="231"/>
      <c r="C12" s="232"/>
      <c r="D12" s="232"/>
      <c r="E12" s="232"/>
      <c r="F12" s="232"/>
      <c r="G12" s="232"/>
      <c r="H12" s="232"/>
      <c r="I12" s="232"/>
      <c r="J12" s="232"/>
      <c r="K12" s="233"/>
      <c r="O12" s="612"/>
    </row>
    <row r="13" spans="1:70" ht="15" customHeight="1" thickBot="1">
      <c r="A13" s="234"/>
      <c r="B13" s="234"/>
      <c r="C13" s="234"/>
      <c r="D13" s="234"/>
      <c r="E13" s="234"/>
      <c r="F13" s="234"/>
      <c r="G13" s="234"/>
      <c r="H13" s="234"/>
      <c r="I13" s="234"/>
      <c r="J13" s="234"/>
    </row>
    <row r="14" spans="1:70" ht="32.25" customHeight="1">
      <c r="A14" s="775" t="s">
        <v>479</v>
      </c>
      <c r="B14" s="777" t="s">
        <v>0</v>
      </c>
      <c r="C14" s="778"/>
      <c r="D14" s="779"/>
      <c r="E14" s="783" t="s">
        <v>475</v>
      </c>
      <c r="F14" s="784"/>
      <c r="G14" s="785"/>
      <c r="H14" s="777" t="s">
        <v>478</v>
      </c>
      <c r="I14" s="778"/>
      <c r="J14" s="778"/>
      <c r="K14" s="751" t="s">
        <v>731</v>
      </c>
      <c r="O14" s="614"/>
    </row>
    <row r="15" spans="1:70" ht="32.25" customHeight="1" thickBot="1">
      <c r="A15" s="776"/>
      <c r="B15" s="780"/>
      <c r="C15" s="781"/>
      <c r="D15" s="782"/>
      <c r="E15" s="786"/>
      <c r="F15" s="787"/>
      <c r="G15" s="788"/>
      <c r="H15" s="780"/>
      <c r="I15" s="781"/>
      <c r="J15" s="781"/>
      <c r="K15" s="752"/>
      <c r="AX15" s="616" t="s">
        <v>729</v>
      </c>
      <c r="AY15" s="616" t="s">
        <v>730</v>
      </c>
      <c r="AZ15" s="616" t="s">
        <v>732</v>
      </c>
      <c r="BA15" s="616" t="s">
        <v>733</v>
      </c>
    </row>
    <row r="16" spans="1:70" ht="27.9" customHeight="1">
      <c r="A16" s="239">
        <f>'Deal Sheet'!AV9</f>
        <v>1</v>
      </c>
      <c r="B16" s="792">
        <f>IF('Deal Sheet'!C9&lt;&gt;"",'Deal Sheet'!C9,"")</f>
        <v>46464</v>
      </c>
      <c r="C16" s="792"/>
      <c r="D16" s="792"/>
      <c r="E16" s="792" t="str">
        <f>IFERROR(VLOOKUP(B16,'Deal Sheet'!$C$9:$F$38,4,FALSE),"")</f>
        <v>2017-09-15</v>
      </c>
      <c r="F16" s="792"/>
      <c r="G16" s="792"/>
      <c r="H16" s="790">
        <v>42979</v>
      </c>
      <c r="I16" s="790"/>
      <c r="J16" s="791"/>
      <c r="K16" s="640" t="str">
        <f t="shared" ref="K16:K29" ca="1" si="0">IFERROR(IF(A16="","",IF(AND(AW16="",E16&lt;180,H16-TODAY()&gt;61),"Delivery should be within 2 Months",IF(AND(AW16="",E16&gt;179,AX16&gt;31),"Longstayer Should be Invoiced within 31 Days",IF(OR(AZ16&lt;0,BA16&lt;0),"Check Off-Line Date",IF(AND(AZ16=0,BA16=0),"Confirm Possibility with Distribution Team",""))))),"")</f>
        <v>Confirm Possibility with Distribution Team</v>
      </c>
      <c r="AW16" s="616" t="str">
        <f>T(E16)</f>
        <v>2017-09-15</v>
      </c>
      <c r="AX16" s="624">
        <f>IF((YEAR(H16)-YEAR(E16))&gt;=0,H16-E16,(YEAR(H16)-YEAR(E16)))</f>
        <v>-14</v>
      </c>
      <c r="AY16" s="624">
        <f ca="1">E16-TODAY()</f>
        <v>-229</v>
      </c>
      <c r="AZ16" s="625">
        <f>YEAR(H16)-YEAR(E16)</f>
        <v>0</v>
      </c>
      <c r="BA16" s="625">
        <f>MONTH(H16)-MONTH(E16)</f>
        <v>0</v>
      </c>
      <c r="BR16" s="307"/>
    </row>
    <row r="17" spans="1:70" s="219" customFormat="1" ht="27.9" customHeight="1">
      <c r="A17" s="300">
        <f>'Deal Sheet'!AV10</f>
        <v>2</v>
      </c>
      <c r="B17" s="772">
        <f>IF('Deal Sheet'!C10&lt;&gt;"",'Deal Sheet'!C10,"")</f>
        <v>46465</v>
      </c>
      <c r="C17" s="772"/>
      <c r="D17" s="772"/>
      <c r="E17" s="772" t="str">
        <f>IFERROR(VLOOKUP(B17,'Deal Sheet'!$C$9:$F$38,4,FALSE),"")</f>
        <v>2017-09-18</v>
      </c>
      <c r="F17" s="772"/>
      <c r="G17" s="772"/>
      <c r="H17" s="773">
        <v>42979</v>
      </c>
      <c r="I17" s="774"/>
      <c r="J17" s="789"/>
      <c r="K17" s="641" t="str">
        <f t="shared" ca="1" si="0"/>
        <v>Confirm Possibility with Distribution Team</v>
      </c>
      <c r="AW17" s="616" t="str">
        <f t="shared" ref="AW17:AW45" si="1">T(E17)</f>
        <v>2017-09-18</v>
      </c>
      <c r="AX17" s="624">
        <f t="shared" ref="AX17:AX45" si="2">IF((YEAR(H17)-YEAR(E17))&gt;=0,H17-E17,(YEAR(H17)-YEAR(E17)))</f>
        <v>-17</v>
      </c>
      <c r="AY17" s="624">
        <f t="shared" ref="AY17:AY45" ca="1" si="3">E17-TODAY()</f>
        <v>-226</v>
      </c>
      <c r="AZ17" s="625">
        <f t="shared" ref="AZ17:AZ45" si="4">YEAR(H17)-YEAR(E17)</f>
        <v>0</v>
      </c>
      <c r="BA17" s="625">
        <f t="shared" ref="BA17:BA45" si="5">MONTH(H17)-MONTH(E17)</f>
        <v>0</v>
      </c>
      <c r="BB17" s="626"/>
      <c r="BC17" s="626"/>
      <c r="BR17" s="308">
        <v>42948</v>
      </c>
    </row>
    <row r="18" spans="1:70" s="220" customFormat="1" ht="27.9" customHeight="1">
      <c r="A18" s="300">
        <f>'Deal Sheet'!AV11</f>
        <v>3</v>
      </c>
      <c r="B18" s="772">
        <f>IF('Deal Sheet'!C11&lt;&gt;"",'Deal Sheet'!C11,"")</f>
        <v>46466</v>
      </c>
      <c r="C18" s="772"/>
      <c r="D18" s="772"/>
      <c r="E18" s="772" t="str">
        <f>IFERROR(VLOOKUP(B18,'Deal Sheet'!$C$9:$F$38,4,FALSE),"")</f>
        <v>2017-09-18</v>
      </c>
      <c r="F18" s="772"/>
      <c r="G18" s="772"/>
      <c r="H18" s="773">
        <v>43009</v>
      </c>
      <c r="I18" s="774"/>
      <c r="J18" s="789"/>
      <c r="K18" s="641" t="str">
        <f t="shared" ca="1" si="0"/>
        <v/>
      </c>
      <c r="Q18" s="615"/>
      <c r="AW18" s="616" t="str">
        <f t="shared" si="1"/>
        <v>2017-09-18</v>
      </c>
      <c r="AX18" s="624">
        <f t="shared" si="2"/>
        <v>13</v>
      </c>
      <c r="AY18" s="624">
        <f t="shared" ca="1" si="3"/>
        <v>-226</v>
      </c>
      <c r="AZ18" s="625">
        <f t="shared" si="4"/>
        <v>0</v>
      </c>
      <c r="BA18" s="625">
        <f t="shared" si="5"/>
        <v>1</v>
      </c>
      <c r="BB18" s="627"/>
      <c r="BC18" s="627"/>
      <c r="BR18" s="308">
        <v>42979</v>
      </c>
    </row>
    <row r="19" spans="1:70" s="220" customFormat="1" ht="27.9" customHeight="1">
      <c r="A19" s="300">
        <f>'Deal Sheet'!AV12</f>
        <v>4</v>
      </c>
      <c r="B19" s="772">
        <f>IF('Deal Sheet'!C12&lt;&gt;"",'Deal Sheet'!C12,"")</f>
        <v>46467</v>
      </c>
      <c r="C19" s="772"/>
      <c r="D19" s="772"/>
      <c r="E19" s="772" t="str">
        <f>IFERROR(VLOOKUP(B19,'Deal Sheet'!$C$9:$F$38,4,FALSE),"")</f>
        <v>2017-09-18</v>
      </c>
      <c r="F19" s="772"/>
      <c r="G19" s="772"/>
      <c r="H19" s="773">
        <v>43040</v>
      </c>
      <c r="I19" s="774"/>
      <c r="J19" s="789"/>
      <c r="K19" s="641" t="str">
        <f t="shared" ca="1" si="0"/>
        <v/>
      </c>
      <c r="AW19" s="616" t="str">
        <f t="shared" si="1"/>
        <v>2017-09-18</v>
      </c>
      <c r="AX19" s="624">
        <f t="shared" si="2"/>
        <v>44</v>
      </c>
      <c r="AY19" s="624">
        <f t="shared" ca="1" si="3"/>
        <v>-226</v>
      </c>
      <c r="AZ19" s="625">
        <f t="shared" si="4"/>
        <v>0</v>
      </c>
      <c r="BA19" s="625">
        <f t="shared" si="5"/>
        <v>2</v>
      </c>
      <c r="BB19" s="627"/>
      <c r="BC19" s="627"/>
      <c r="BR19" s="308">
        <v>43009</v>
      </c>
    </row>
    <row r="20" spans="1:70" s="220" customFormat="1" ht="27.9" customHeight="1">
      <c r="A20" s="300">
        <f>'Deal Sheet'!AV13</f>
        <v>5</v>
      </c>
      <c r="B20" s="772" t="str">
        <f>IF('Deal Sheet'!C13&lt;&gt;"",'Deal Sheet'!C13,"")</f>
        <v>TBAKP707</v>
      </c>
      <c r="C20" s="772"/>
      <c r="D20" s="772"/>
      <c r="E20" s="772" t="str">
        <f>IFERROR(VLOOKUP(B20,'Deal Sheet'!$C$9:$F$38,4,FALSE),"")</f>
        <v>2018-02-15</v>
      </c>
      <c r="F20" s="772"/>
      <c r="G20" s="772"/>
      <c r="H20" s="773">
        <v>43160</v>
      </c>
      <c r="I20" s="774"/>
      <c r="J20" s="789"/>
      <c r="K20" s="641" t="str">
        <f t="shared" ca="1" si="0"/>
        <v/>
      </c>
      <c r="AW20" s="616" t="str">
        <f t="shared" si="1"/>
        <v>2018-02-15</v>
      </c>
      <c r="AX20" s="624">
        <f t="shared" si="2"/>
        <v>14</v>
      </c>
      <c r="AY20" s="624">
        <f t="shared" ca="1" si="3"/>
        <v>-76</v>
      </c>
      <c r="AZ20" s="625">
        <f t="shared" si="4"/>
        <v>0</v>
      </c>
      <c r="BA20" s="625">
        <f t="shared" si="5"/>
        <v>1</v>
      </c>
      <c r="BB20" s="627"/>
      <c r="BC20" s="627"/>
      <c r="BR20" s="308">
        <v>43040</v>
      </c>
    </row>
    <row r="21" spans="1:70" s="220" customFormat="1" ht="27.9" customHeight="1">
      <c r="A21" s="300" t="str">
        <f>'Deal Sheet'!AV14</f>
        <v/>
      </c>
      <c r="B21" s="772" t="str">
        <f>IF('Deal Sheet'!C14&lt;&gt;"",'Deal Sheet'!C14,"")</f>
        <v/>
      </c>
      <c r="C21" s="772"/>
      <c r="D21" s="772"/>
      <c r="E21" s="772" t="str">
        <f>IFERROR(VLOOKUP(B21,'Deal Sheet'!$C$9:$F$38,4,FALSE),"")</f>
        <v/>
      </c>
      <c r="F21" s="772"/>
      <c r="G21" s="772"/>
      <c r="H21" s="773"/>
      <c r="I21" s="774"/>
      <c r="J21" s="789"/>
      <c r="K21" s="641" t="str">
        <f t="shared" ca="1" si="0"/>
        <v/>
      </c>
      <c r="AW21" s="616" t="str">
        <f t="shared" si="1"/>
        <v/>
      </c>
      <c r="AX21" s="624" t="e">
        <f t="shared" si="2"/>
        <v>#VALUE!</v>
      </c>
      <c r="AY21" s="624" t="e">
        <f t="shared" ca="1" si="3"/>
        <v>#VALUE!</v>
      </c>
      <c r="AZ21" s="625" t="e">
        <f t="shared" si="4"/>
        <v>#VALUE!</v>
      </c>
      <c r="BA21" s="625" t="e">
        <f t="shared" si="5"/>
        <v>#VALUE!</v>
      </c>
      <c r="BB21" s="627"/>
      <c r="BC21" s="627"/>
      <c r="BR21" s="308">
        <v>43070</v>
      </c>
    </row>
    <row r="22" spans="1:70" s="220" customFormat="1" ht="27.9" customHeight="1">
      <c r="A22" s="300" t="str">
        <f>'Deal Sheet'!AV15</f>
        <v/>
      </c>
      <c r="B22" s="772" t="str">
        <f>IF('Deal Sheet'!C15&lt;&gt;"",'Deal Sheet'!C15,"")</f>
        <v/>
      </c>
      <c r="C22" s="772"/>
      <c r="D22" s="772"/>
      <c r="E22" s="772" t="str">
        <f>IFERROR(VLOOKUP(B22,'Deal Sheet'!$C$9:$F$38,4,FALSE),"")</f>
        <v/>
      </c>
      <c r="F22" s="772"/>
      <c r="G22" s="772"/>
      <c r="H22" s="773"/>
      <c r="I22" s="774"/>
      <c r="J22" s="789"/>
      <c r="K22" s="641" t="str">
        <f t="shared" ca="1" si="0"/>
        <v/>
      </c>
      <c r="AW22" s="616" t="str">
        <f t="shared" si="1"/>
        <v/>
      </c>
      <c r="AX22" s="624" t="e">
        <f t="shared" si="2"/>
        <v>#VALUE!</v>
      </c>
      <c r="AY22" s="624" t="e">
        <f t="shared" ca="1" si="3"/>
        <v>#VALUE!</v>
      </c>
      <c r="AZ22" s="625" t="e">
        <f t="shared" si="4"/>
        <v>#VALUE!</v>
      </c>
      <c r="BA22" s="625" t="e">
        <f t="shared" si="5"/>
        <v>#VALUE!</v>
      </c>
      <c r="BB22" s="627"/>
      <c r="BC22" s="627"/>
      <c r="BR22" s="308">
        <v>43101</v>
      </c>
    </row>
    <row r="23" spans="1:70" s="220" customFormat="1" ht="27.9" customHeight="1">
      <c r="A23" s="300" t="str">
        <f>'Deal Sheet'!AV16</f>
        <v/>
      </c>
      <c r="B23" s="772" t="str">
        <f>IF('Deal Sheet'!C16&lt;&gt;"",'Deal Sheet'!C16,"")</f>
        <v/>
      </c>
      <c r="C23" s="772"/>
      <c r="D23" s="772"/>
      <c r="E23" s="772" t="str">
        <f>IFERROR(VLOOKUP(B23,'Deal Sheet'!$C$9:$F$38,4,FALSE),"")</f>
        <v/>
      </c>
      <c r="F23" s="772"/>
      <c r="G23" s="772"/>
      <c r="H23" s="773"/>
      <c r="I23" s="774"/>
      <c r="J23" s="789"/>
      <c r="K23" s="641" t="str">
        <f t="shared" ca="1" si="0"/>
        <v/>
      </c>
      <c r="AW23" s="616" t="str">
        <f t="shared" si="1"/>
        <v/>
      </c>
      <c r="AX23" s="624" t="e">
        <f t="shared" si="2"/>
        <v>#VALUE!</v>
      </c>
      <c r="AY23" s="624" t="e">
        <f t="shared" ca="1" si="3"/>
        <v>#VALUE!</v>
      </c>
      <c r="AZ23" s="625" t="e">
        <f t="shared" si="4"/>
        <v>#VALUE!</v>
      </c>
      <c r="BA23" s="625" t="e">
        <f t="shared" si="5"/>
        <v>#VALUE!</v>
      </c>
      <c r="BB23" s="627"/>
      <c r="BC23" s="627"/>
      <c r="BR23" s="308">
        <v>43132</v>
      </c>
    </row>
    <row r="24" spans="1:70" s="220" customFormat="1" ht="27.9" customHeight="1">
      <c r="A24" s="300" t="str">
        <f>'Deal Sheet'!AV17</f>
        <v/>
      </c>
      <c r="B24" s="772" t="str">
        <f>IF('Deal Sheet'!C17&lt;&gt;"",'Deal Sheet'!C17,"")</f>
        <v/>
      </c>
      <c r="C24" s="772"/>
      <c r="D24" s="772"/>
      <c r="E24" s="772" t="str">
        <f>IFERROR(VLOOKUP(B24,'Deal Sheet'!$C$9:$F$38,4,FALSE),"")</f>
        <v/>
      </c>
      <c r="F24" s="772"/>
      <c r="G24" s="772"/>
      <c r="H24" s="773"/>
      <c r="I24" s="774"/>
      <c r="J24" s="789"/>
      <c r="K24" s="641" t="str">
        <f t="shared" ca="1" si="0"/>
        <v/>
      </c>
      <c r="AW24" s="616" t="str">
        <f t="shared" si="1"/>
        <v/>
      </c>
      <c r="AX24" s="624" t="e">
        <f t="shared" si="2"/>
        <v>#VALUE!</v>
      </c>
      <c r="AY24" s="624" t="e">
        <f t="shared" ca="1" si="3"/>
        <v>#VALUE!</v>
      </c>
      <c r="AZ24" s="625" t="e">
        <f t="shared" si="4"/>
        <v>#VALUE!</v>
      </c>
      <c r="BA24" s="625" t="e">
        <f t="shared" si="5"/>
        <v>#VALUE!</v>
      </c>
      <c r="BB24" s="627"/>
      <c r="BC24" s="627"/>
      <c r="BR24" s="308">
        <v>43160</v>
      </c>
    </row>
    <row r="25" spans="1:70" s="220" customFormat="1" ht="27.9" customHeight="1">
      <c r="A25" s="300" t="str">
        <f>'Deal Sheet'!AV18</f>
        <v/>
      </c>
      <c r="B25" s="772" t="str">
        <f>IF('Deal Sheet'!C18&lt;&gt;"",'Deal Sheet'!C18,"")</f>
        <v/>
      </c>
      <c r="C25" s="772"/>
      <c r="D25" s="772"/>
      <c r="E25" s="772" t="str">
        <f>IFERROR(VLOOKUP(B25,'Deal Sheet'!$C$9:$F$38,4,FALSE),"")</f>
        <v/>
      </c>
      <c r="F25" s="772"/>
      <c r="G25" s="772"/>
      <c r="H25" s="773"/>
      <c r="I25" s="774"/>
      <c r="J25" s="789"/>
      <c r="K25" s="641" t="str">
        <f t="shared" ca="1" si="0"/>
        <v/>
      </c>
      <c r="AW25" s="616" t="str">
        <f t="shared" si="1"/>
        <v/>
      </c>
      <c r="AX25" s="624" t="e">
        <f t="shared" si="2"/>
        <v>#VALUE!</v>
      </c>
      <c r="AY25" s="624" t="e">
        <f t="shared" ca="1" si="3"/>
        <v>#VALUE!</v>
      </c>
      <c r="AZ25" s="625" t="e">
        <f t="shared" si="4"/>
        <v>#VALUE!</v>
      </c>
      <c r="BA25" s="625" t="e">
        <f t="shared" si="5"/>
        <v>#VALUE!</v>
      </c>
      <c r="BB25" s="627"/>
      <c r="BC25" s="627"/>
      <c r="BR25" s="308">
        <v>43191</v>
      </c>
    </row>
    <row r="26" spans="1:70" s="220" customFormat="1" ht="27.9" customHeight="1">
      <c r="A26" s="300" t="str">
        <f>'Deal Sheet'!AV19</f>
        <v/>
      </c>
      <c r="B26" s="772" t="str">
        <f>IF('Deal Sheet'!C19&lt;&gt;"",'Deal Sheet'!C19,"")</f>
        <v/>
      </c>
      <c r="C26" s="772"/>
      <c r="D26" s="772"/>
      <c r="E26" s="772" t="str">
        <f>IFERROR(VLOOKUP(B26,'Deal Sheet'!$C$9:$F$38,4,FALSE),"")</f>
        <v/>
      </c>
      <c r="F26" s="772"/>
      <c r="G26" s="772"/>
      <c r="H26" s="773"/>
      <c r="I26" s="774"/>
      <c r="J26" s="789"/>
      <c r="K26" s="641" t="str">
        <f t="shared" ca="1" si="0"/>
        <v/>
      </c>
      <c r="AW26" s="616" t="str">
        <f t="shared" si="1"/>
        <v/>
      </c>
      <c r="AX26" s="624" t="e">
        <f t="shared" si="2"/>
        <v>#VALUE!</v>
      </c>
      <c r="AY26" s="624" t="e">
        <f t="shared" ca="1" si="3"/>
        <v>#VALUE!</v>
      </c>
      <c r="AZ26" s="625" t="e">
        <f t="shared" si="4"/>
        <v>#VALUE!</v>
      </c>
      <c r="BA26" s="625" t="e">
        <f t="shared" si="5"/>
        <v>#VALUE!</v>
      </c>
      <c r="BB26" s="627"/>
      <c r="BC26" s="627"/>
      <c r="BR26" s="308">
        <v>43221</v>
      </c>
    </row>
    <row r="27" spans="1:70" s="220" customFormat="1" ht="27.9" customHeight="1">
      <c r="A27" s="300" t="str">
        <f>'Deal Sheet'!AV20</f>
        <v/>
      </c>
      <c r="B27" s="772" t="str">
        <f>IF('Deal Sheet'!C20&lt;&gt;"",'Deal Sheet'!C20,"")</f>
        <v/>
      </c>
      <c r="C27" s="772"/>
      <c r="D27" s="772"/>
      <c r="E27" s="772" t="str">
        <f>IFERROR(VLOOKUP(B27,'Deal Sheet'!$C$9:$F$38,4,FALSE),"")</f>
        <v/>
      </c>
      <c r="F27" s="772"/>
      <c r="G27" s="772"/>
      <c r="H27" s="773"/>
      <c r="I27" s="774"/>
      <c r="J27" s="789"/>
      <c r="K27" s="641" t="str">
        <f t="shared" ca="1" si="0"/>
        <v/>
      </c>
      <c r="AW27" s="616" t="str">
        <f t="shared" si="1"/>
        <v/>
      </c>
      <c r="AX27" s="624" t="e">
        <f t="shared" si="2"/>
        <v>#VALUE!</v>
      </c>
      <c r="AY27" s="624" t="e">
        <f t="shared" ca="1" si="3"/>
        <v>#VALUE!</v>
      </c>
      <c r="AZ27" s="625" t="e">
        <f t="shared" si="4"/>
        <v>#VALUE!</v>
      </c>
      <c r="BA27" s="625" t="e">
        <f t="shared" si="5"/>
        <v>#VALUE!</v>
      </c>
      <c r="BB27" s="627"/>
      <c r="BC27" s="627"/>
      <c r="BR27" s="308">
        <v>43252</v>
      </c>
    </row>
    <row r="28" spans="1:70" s="220" customFormat="1" ht="27.9" customHeight="1">
      <c r="A28" s="300" t="str">
        <f>'Deal Sheet'!AV21</f>
        <v/>
      </c>
      <c r="B28" s="772" t="str">
        <f>IF('Deal Sheet'!C21&lt;&gt;"",'Deal Sheet'!C21,"")</f>
        <v/>
      </c>
      <c r="C28" s="772"/>
      <c r="D28" s="772"/>
      <c r="E28" s="772" t="str">
        <f>IFERROR(VLOOKUP(B28,'Deal Sheet'!$C$9:$F$38,4,FALSE),"")</f>
        <v/>
      </c>
      <c r="F28" s="772"/>
      <c r="G28" s="772"/>
      <c r="H28" s="773"/>
      <c r="I28" s="774"/>
      <c r="J28" s="789"/>
      <c r="K28" s="641" t="str">
        <f t="shared" ca="1" si="0"/>
        <v/>
      </c>
      <c r="AW28" s="616" t="str">
        <f t="shared" si="1"/>
        <v/>
      </c>
      <c r="AX28" s="624" t="e">
        <f t="shared" si="2"/>
        <v>#VALUE!</v>
      </c>
      <c r="AY28" s="624" t="e">
        <f t="shared" ca="1" si="3"/>
        <v>#VALUE!</v>
      </c>
      <c r="AZ28" s="625" t="e">
        <f t="shared" si="4"/>
        <v>#VALUE!</v>
      </c>
      <c r="BA28" s="625" t="e">
        <f t="shared" si="5"/>
        <v>#VALUE!</v>
      </c>
      <c r="BB28" s="627"/>
      <c r="BC28" s="627"/>
      <c r="BR28" s="308">
        <v>43282</v>
      </c>
    </row>
    <row r="29" spans="1:70" s="220" customFormat="1" ht="27.9" customHeight="1">
      <c r="A29" s="300" t="str">
        <f>'Deal Sheet'!AV22</f>
        <v/>
      </c>
      <c r="B29" s="772" t="str">
        <f>IF('Deal Sheet'!C22&lt;&gt;"",'Deal Sheet'!C22,"")</f>
        <v/>
      </c>
      <c r="C29" s="772"/>
      <c r="D29" s="772"/>
      <c r="E29" s="772" t="str">
        <f>IFERROR(VLOOKUP(B29,'Deal Sheet'!$C$9:$F$38,4,FALSE),"")</f>
        <v/>
      </c>
      <c r="F29" s="772"/>
      <c r="G29" s="772"/>
      <c r="H29" s="773"/>
      <c r="I29" s="774"/>
      <c r="J29" s="774"/>
      <c r="K29" s="641" t="str">
        <f t="shared" ca="1" si="0"/>
        <v/>
      </c>
      <c r="AW29" s="616" t="str">
        <f t="shared" si="1"/>
        <v/>
      </c>
      <c r="AX29" s="624" t="e">
        <f t="shared" si="2"/>
        <v>#VALUE!</v>
      </c>
      <c r="AY29" s="624" t="e">
        <f t="shared" ca="1" si="3"/>
        <v>#VALUE!</v>
      </c>
      <c r="AZ29" s="625" t="e">
        <f t="shared" si="4"/>
        <v>#VALUE!</v>
      </c>
      <c r="BA29" s="625" t="e">
        <f t="shared" si="5"/>
        <v>#VALUE!</v>
      </c>
      <c r="BB29" s="627"/>
      <c r="BC29" s="627"/>
      <c r="BR29" s="308">
        <v>43313</v>
      </c>
    </row>
    <row r="30" spans="1:70" s="220" customFormat="1" ht="27.9" customHeight="1">
      <c r="A30" s="300" t="str">
        <f>'Deal Sheet'!AV23</f>
        <v/>
      </c>
      <c r="B30" s="772" t="str">
        <f>IF('Deal Sheet'!C23&lt;&gt;"",'Deal Sheet'!C23,"")</f>
        <v/>
      </c>
      <c r="C30" s="772"/>
      <c r="D30" s="772"/>
      <c r="E30" s="772" t="str">
        <f>IFERROR(VLOOKUP(B30,'Deal Sheet'!$C$9:$F$38,4,FALSE),"")</f>
        <v/>
      </c>
      <c r="F30" s="772"/>
      <c r="G30" s="772"/>
      <c r="H30" s="773"/>
      <c r="I30" s="774"/>
      <c r="J30" s="774"/>
      <c r="K30" s="641" t="str">
        <f ca="1">IFERROR(IF(A30="","",IF(AND(AW30="",E30&lt;180,H30-TODAY()&gt;61),"Delivery should be within 2 Months",IF(AND(AW30="",E30&gt;179,AX30&gt;31),"Longstayer Should be Invoiced within 31 Days",IF(OR(AZ30&lt;0,BA30&lt;0),"Check Off-Line Date",IF(AND(AZ30=0,BA30=0),"Confirm Possibility with Distribution Team",""))))),"")</f>
        <v/>
      </c>
      <c r="AW30" s="616" t="str">
        <f t="shared" si="1"/>
        <v/>
      </c>
      <c r="AX30" s="624" t="e">
        <f t="shared" si="2"/>
        <v>#VALUE!</v>
      </c>
      <c r="AY30" s="624" t="e">
        <f t="shared" ca="1" si="3"/>
        <v>#VALUE!</v>
      </c>
      <c r="AZ30" s="625" t="e">
        <f t="shared" si="4"/>
        <v>#VALUE!</v>
      </c>
      <c r="BA30" s="625" t="e">
        <f t="shared" si="5"/>
        <v>#VALUE!</v>
      </c>
      <c r="BB30" s="627"/>
      <c r="BC30" s="627"/>
      <c r="BR30" s="308">
        <v>43344</v>
      </c>
    </row>
    <row r="31" spans="1:70" s="220" customFormat="1" ht="27.9" customHeight="1">
      <c r="A31" s="300" t="str">
        <f>'Deal Sheet'!AV24</f>
        <v/>
      </c>
      <c r="B31" s="772" t="str">
        <f>IF('Deal Sheet'!C24&lt;&gt;"",'Deal Sheet'!C24,"")</f>
        <v/>
      </c>
      <c r="C31" s="772"/>
      <c r="D31" s="772"/>
      <c r="E31" s="772" t="str">
        <f>IFERROR(VLOOKUP(B31,'Deal Sheet'!$C$9:$F$38,4,FALSE),"")</f>
        <v/>
      </c>
      <c r="F31" s="772"/>
      <c r="G31" s="772"/>
      <c r="H31" s="773"/>
      <c r="I31" s="774"/>
      <c r="J31" s="774"/>
      <c r="K31" s="641" t="str">
        <f t="shared" ref="K31:K45" ca="1" si="6">IFERROR(IF(A31="","",IF(AND(AW31="",E31&lt;180,H31-TODAY()&gt;61),"Delivery should be within 2 Months",IF(AND(AW31="",E31&gt;179,AX31&gt;31),"Longstayer Should be Invoiced within 31 Days",IF(OR(AZ31&lt;0,BA31&lt;0),"Check Off-Line Date",IF(AND(AZ31=0,BA31=0),"Confirm Possibility with Distribution Team",""))))),"")</f>
        <v/>
      </c>
      <c r="AW31" s="616" t="str">
        <f t="shared" si="1"/>
        <v/>
      </c>
      <c r="AX31" s="624" t="e">
        <f t="shared" si="2"/>
        <v>#VALUE!</v>
      </c>
      <c r="AY31" s="624" t="e">
        <f t="shared" ca="1" si="3"/>
        <v>#VALUE!</v>
      </c>
      <c r="AZ31" s="625" t="e">
        <f t="shared" si="4"/>
        <v>#VALUE!</v>
      </c>
      <c r="BA31" s="625" t="e">
        <f t="shared" si="5"/>
        <v>#VALUE!</v>
      </c>
      <c r="BB31" s="627"/>
      <c r="BC31" s="627"/>
      <c r="BR31" s="308">
        <v>43374</v>
      </c>
    </row>
    <row r="32" spans="1:70" s="220" customFormat="1" ht="27.9" customHeight="1">
      <c r="A32" s="300" t="str">
        <f>'Deal Sheet'!AV25</f>
        <v/>
      </c>
      <c r="B32" s="772" t="str">
        <f>IF('Deal Sheet'!C25&lt;&gt;"",'Deal Sheet'!C25,"")</f>
        <v/>
      </c>
      <c r="C32" s="772"/>
      <c r="D32" s="772"/>
      <c r="E32" s="772" t="str">
        <f>IFERROR(VLOOKUP(B32,'Deal Sheet'!$C$9:$F$38,4,FALSE),"")</f>
        <v/>
      </c>
      <c r="F32" s="772"/>
      <c r="G32" s="772"/>
      <c r="H32" s="773"/>
      <c r="I32" s="774"/>
      <c r="J32" s="774"/>
      <c r="K32" s="641" t="str">
        <f t="shared" ca="1" si="6"/>
        <v/>
      </c>
      <c r="AW32" s="616" t="str">
        <f t="shared" si="1"/>
        <v/>
      </c>
      <c r="AX32" s="624" t="e">
        <f t="shared" si="2"/>
        <v>#VALUE!</v>
      </c>
      <c r="AY32" s="624" t="e">
        <f t="shared" ca="1" si="3"/>
        <v>#VALUE!</v>
      </c>
      <c r="AZ32" s="625" t="e">
        <f t="shared" si="4"/>
        <v>#VALUE!</v>
      </c>
      <c r="BA32" s="625" t="e">
        <f t="shared" si="5"/>
        <v>#VALUE!</v>
      </c>
      <c r="BB32" s="627"/>
      <c r="BC32" s="627"/>
      <c r="BR32" s="308">
        <v>43405</v>
      </c>
    </row>
    <row r="33" spans="1:70" s="220" customFormat="1" ht="27.9" customHeight="1">
      <c r="A33" s="300" t="str">
        <f>'Deal Sheet'!AV26</f>
        <v/>
      </c>
      <c r="B33" s="772" t="str">
        <f>IF('Deal Sheet'!C26&lt;&gt;"",'Deal Sheet'!C26,"")</f>
        <v/>
      </c>
      <c r="C33" s="772"/>
      <c r="D33" s="772"/>
      <c r="E33" s="772" t="str">
        <f>IFERROR(VLOOKUP(B33,'Deal Sheet'!$C$9:$F$38,4,FALSE),"")</f>
        <v/>
      </c>
      <c r="F33" s="772"/>
      <c r="G33" s="772"/>
      <c r="H33" s="773"/>
      <c r="I33" s="774"/>
      <c r="J33" s="774"/>
      <c r="K33" s="641" t="str">
        <f t="shared" ca="1" si="6"/>
        <v/>
      </c>
      <c r="AW33" s="616" t="str">
        <f t="shared" si="1"/>
        <v/>
      </c>
      <c r="AX33" s="624" t="e">
        <f t="shared" si="2"/>
        <v>#VALUE!</v>
      </c>
      <c r="AY33" s="624" t="e">
        <f t="shared" ca="1" si="3"/>
        <v>#VALUE!</v>
      </c>
      <c r="AZ33" s="625" t="e">
        <f t="shared" si="4"/>
        <v>#VALUE!</v>
      </c>
      <c r="BA33" s="625" t="e">
        <f t="shared" si="5"/>
        <v>#VALUE!</v>
      </c>
      <c r="BB33" s="627"/>
      <c r="BC33" s="627"/>
      <c r="BR33" s="308">
        <v>43435</v>
      </c>
    </row>
    <row r="34" spans="1:70" s="220" customFormat="1" ht="27.9" customHeight="1">
      <c r="A34" s="300" t="str">
        <f>'Deal Sheet'!AV27</f>
        <v/>
      </c>
      <c r="B34" s="772" t="str">
        <f>IF('Deal Sheet'!C27&lt;&gt;"",'Deal Sheet'!C27,"")</f>
        <v/>
      </c>
      <c r="C34" s="772"/>
      <c r="D34" s="772"/>
      <c r="E34" s="772" t="str">
        <f>IFERROR(VLOOKUP(B34,'Deal Sheet'!$C$9:$F$38,4,FALSE),"")</f>
        <v/>
      </c>
      <c r="F34" s="772"/>
      <c r="G34" s="772"/>
      <c r="H34" s="773"/>
      <c r="I34" s="774"/>
      <c r="J34" s="774"/>
      <c r="K34" s="641" t="str">
        <f t="shared" ca="1" si="6"/>
        <v/>
      </c>
      <c r="AW34" s="616" t="str">
        <f t="shared" si="1"/>
        <v/>
      </c>
      <c r="AX34" s="624" t="e">
        <f t="shared" si="2"/>
        <v>#VALUE!</v>
      </c>
      <c r="AY34" s="624" t="e">
        <f t="shared" ca="1" si="3"/>
        <v>#VALUE!</v>
      </c>
      <c r="AZ34" s="625" t="e">
        <f t="shared" si="4"/>
        <v>#VALUE!</v>
      </c>
      <c r="BA34" s="625" t="e">
        <f t="shared" si="5"/>
        <v>#VALUE!</v>
      </c>
      <c r="BB34" s="627"/>
      <c r="BC34" s="627"/>
      <c r="BR34" s="308">
        <v>43466</v>
      </c>
    </row>
    <row r="35" spans="1:70" s="220" customFormat="1" ht="27.9" customHeight="1">
      <c r="A35" s="300" t="str">
        <f>'Deal Sheet'!AV28</f>
        <v/>
      </c>
      <c r="B35" s="772" t="str">
        <f>IF('Deal Sheet'!C28&lt;&gt;"",'Deal Sheet'!C28,"")</f>
        <v/>
      </c>
      <c r="C35" s="772"/>
      <c r="D35" s="772"/>
      <c r="E35" s="772" t="str">
        <f>IFERROR(VLOOKUP(B35,'Deal Sheet'!$C$9:$F$38,4,FALSE),"")</f>
        <v/>
      </c>
      <c r="F35" s="772"/>
      <c r="G35" s="772"/>
      <c r="H35" s="773"/>
      <c r="I35" s="774"/>
      <c r="J35" s="774"/>
      <c r="K35" s="641" t="str">
        <f t="shared" ca="1" si="6"/>
        <v/>
      </c>
      <c r="AW35" s="616" t="str">
        <f t="shared" si="1"/>
        <v/>
      </c>
      <c r="AX35" s="624" t="e">
        <f t="shared" si="2"/>
        <v>#VALUE!</v>
      </c>
      <c r="AY35" s="624" t="e">
        <f t="shared" ca="1" si="3"/>
        <v>#VALUE!</v>
      </c>
      <c r="AZ35" s="625" t="e">
        <f t="shared" si="4"/>
        <v>#VALUE!</v>
      </c>
      <c r="BA35" s="625" t="e">
        <f t="shared" si="5"/>
        <v>#VALUE!</v>
      </c>
      <c r="BB35" s="627"/>
      <c r="BC35" s="627"/>
      <c r="BR35" s="308">
        <v>43497</v>
      </c>
    </row>
    <row r="36" spans="1:70" s="220" customFormat="1" ht="27.9" customHeight="1">
      <c r="A36" s="300" t="str">
        <f>'Deal Sheet'!AV29</f>
        <v/>
      </c>
      <c r="B36" s="772" t="str">
        <f>IF('Deal Sheet'!C29&lt;&gt;"",'Deal Sheet'!C29,"")</f>
        <v/>
      </c>
      <c r="C36" s="772"/>
      <c r="D36" s="772"/>
      <c r="E36" s="772" t="str">
        <f>IFERROR(VLOOKUP(B36,'Deal Sheet'!$C$9:$F$38,4,FALSE),"")</f>
        <v/>
      </c>
      <c r="F36" s="772"/>
      <c r="G36" s="772"/>
      <c r="H36" s="773"/>
      <c r="I36" s="774"/>
      <c r="J36" s="774"/>
      <c r="K36" s="641" t="str">
        <f t="shared" ca="1" si="6"/>
        <v/>
      </c>
      <c r="AW36" s="616" t="str">
        <f t="shared" si="1"/>
        <v/>
      </c>
      <c r="AX36" s="624" t="e">
        <f t="shared" si="2"/>
        <v>#VALUE!</v>
      </c>
      <c r="AY36" s="624" t="e">
        <f t="shared" ca="1" si="3"/>
        <v>#VALUE!</v>
      </c>
      <c r="AZ36" s="625" t="e">
        <f t="shared" si="4"/>
        <v>#VALUE!</v>
      </c>
      <c r="BA36" s="625" t="e">
        <f t="shared" si="5"/>
        <v>#VALUE!</v>
      </c>
      <c r="BB36" s="627"/>
      <c r="BC36" s="627"/>
      <c r="BR36" s="308"/>
    </row>
    <row r="37" spans="1:70" s="220" customFormat="1" ht="27.9" customHeight="1">
      <c r="A37" s="300" t="str">
        <f>'Deal Sheet'!AV30</f>
        <v/>
      </c>
      <c r="B37" s="772" t="str">
        <f>IF('Deal Sheet'!C30&lt;&gt;"",'Deal Sheet'!C30,"")</f>
        <v/>
      </c>
      <c r="C37" s="772"/>
      <c r="D37" s="772"/>
      <c r="E37" s="772" t="str">
        <f>IFERROR(VLOOKUP(B37,'Deal Sheet'!$C$9:$F$38,4,FALSE),"")</f>
        <v/>
      </c>
      <c r="F37" s="772"/>
      <c r="G37" s="772"/>
      <c r="H37" s="773"/>
      <c r="I37" s="774"/>
      <c r="J37" s="774"/>
      <c r="K37" s="641" t="str">
        <f t="shared" ca="1" si="6"/>
        <v/>
      </c>
      <c r="AW37" s="616" t="str">
        <f t="shared" si="1"/>
        <v/>
      </c>
      <c r="AX37" s="624" t="e">
        <f t="shared" si="2"/>
        <v>#VALUE!</v>
      </c>
      <c r="AY37" s="624" t="e">
        <f t="shared" ca="1" si="3"/>
        <v>#VALUE!</v>
      </c>
      <c r="AZ37" s="625" t="e">
        <f t="shared" si="4"/>
        <v>#VALUE!</v>
      </c>
      <c r="BA37" s="625" t="e">
        <f t="shared" si="5"/>
        <v>#VALUE!</v>
      </c>
      <c r="BB37" s="627"/>
      <c r="BC37" s="627"/>
      <c r="BR37" s="309"/>
    </row>
    <row r="38" spans="1:70" s="220" customFormat="1" ht="27.9" customHeight="1">
      <c r="A38" s="300" t="str">
        <f>'Deal Sheet'!AV31</f>
        <v/>
      </c>
      <c r="B38" s="772" t="str">
        <f>IF('Deal Sheet'!C31&lt;&gt;"",'Deal Sheet'!C31,"")</f>
        <v/>
      </c>
      <c r="C38" s="772"/>
      <c r="D38" s="772"/>
      <c r="E38" s="772" t="str">
        <f>IFERROR(VLOOKUP(B38,'Deal Sheet'!$C$9:$F$38,4,FALSE),"")</f>
        <v/>
      </c>
      <c r="F38" s="772"/>
      <c r="G38" s="772"/>
      <c r="H38" s="773"/>
      <c r="I38" s="774"/>
      <c r="J38" s="774"/>
      <c r="K38" s="641" t="str">
        <f t="shared" ca="1" si="6"/>
        <v/>
      </c>
      <c r="AW38" s="616" t="str">
        <f t="shared" si="1"/>
        <v/>
      </c>
      <c r="AX38" s="624" t="e">
        <f t="shared" si="2"/>
        <v>#VALUE!</v>
      </c>
      <c r="AY38" s="624" t="e">
        <f t="shared" ca="1" si="3"/>
        <v>#VALUE!</v>
      </c>
      <c r="AZ38" s="625" t="e">
        <f t="shared" si="4"/>
        <v>#VALUE!</v>
      </c>
      <c r="BA38" s="625" t="e">
        <f t="shared" si="5"/>
        <v>#VALUE!</v>
      </c>
      <c r="BB38" s="627"/>
      <c r="BC38" s="627"/>
      <c r="BR38" s="309"/>
    </row>
    <row r="39" spans="1:70" s="220" customFormat="1" ht="27.9" customHeight="1">
      <c r="A39" s="300" t="str">
        <f>'Deal Sheet'!AV32</f>
        <v/>
      </c>
      <c r="B39" s="772" t="str">
        <f>IF('Deal Sheet'!C32&lt;&gt;"",'Deal Sheet'!C32,"")</f>
        <v/>
      </c>
      <c r="C39" s="772"/>
      <c r="D39" s="772"/>
      <c r="E39" s="772" t="str">
        <f>IFERROR(VLOOKUP(B39,'Deal Sheet'!$C$9:$F$38,4,FALSE),"")</f>
        <v/>
      </c>
      <c r="F39" s="772"/>
      <c r="G39" s="772"/>
      <c r="H39" s="773"/>
      <c r="I39" s="774"/>
      <c r="J39" s="774"/>
      <c r="K39" s="641" t="str">
        <f t="shared" ca="1" si="6"/>
        <v/>
      </c>
      <c r="AW39" s="616" t="str">
        <f t="shared" si="1"/>
        <v/>
      </c>
      <c r="AX39" s="624" t="e">
        <f t="shared" si="2"/>
        <v>#VALUE!</v>
      </c>
      <c r="AY39" s="624" t="e">
        <f t="shared" ca="1" si="3"/>
        <v>#VALUE!</v>
      </c>
      <c r="AZ39" s="625" t="e">
        <f t="shared" si="4"/>
        <v>#VALUE!</v>
      </c>
      <c r="BA39" s="625" t="e">
        <f t="shared" si="5"/>
        <v>#VALUE!</v>
      </c>
      <c r="BB39" s="627"/>
      <c r="BC39" s="627"/>
      <c r="BR39" s="309"/>
    </row>
    <row r="40" spans="1:70" s="220" customFormat="1" ht="27.9" customHeight="1">
      <c r="A40" s="300" t="str">
        <f>'Deal Sheet'!AV33</f>
        <v/>
      </c>
      <c r="B40" s="772" t="str">
        <f>IF('Deal Sheet'!C33&lt;&gt;"",'Deal Sheet'!C33,"")</f>
        <v/>
      </c>
      <c r="C40" s="772"/>
      <c r="D40" s="772"/>
      <c r="E40" s="772" t="str">
        <f>IFERROR(VLOOKUP(B40,'Deal Sheet'!$C$9:$F$38,4,FALSE),"")</f>
        <v/>
      </c>
      <c r="F40" s="772"/>
      <c r="G40" s="772"/>
      <c r="H40" s="773"/>
      <c r="I40" s="774"/>
      <c r="J40" s="774"/>
      <c r="K40" s="641" t="str">
        <f t="shared" ca="1" si="6"/>
        <v/>
      </c>
      <c r="AW40" s="616" t="str">
        <f t="shared" si="1"/>
        <v/>
      </c>
      <c r="AX40" s="624" t="e">
        <f t="shared" si="2"/>
        <v>#VALUE!</v>
      </c>
      <c r="AY40" s="624" t="e">
        <f t="shared" ca="1" si="3"/>
        <v>#VALUE!</v>
      </c>
      <c r="AZ40" s="625" t="e">
        <f t="shared" si="4"/>
        <v>#VALUE!</v>
      </c>
      <c r="BA40" s="625" t="e">
        <f t="shared" si="5"/>
        <v>#VALUE!</v>
      </c>
      <c r="BB40" s="627"/>
      <c r="BC40" s="627"/>
      <c r="BR40" s="309"/>
    </row>
    <row r="41" spans="1:70" s="220" customFormat="1" ht="27.9" customHeight="1">
      <c r="A41" s="300" t="str">
        <f>'Deal Sheet'!AV34</f>
        <v/>
      </c>
      <c r="B41" s="772" t="str">
        <f>IF('Deal Sheet'!C34&lt;&gt;"",'Deal Sheet'!C34,"")</f>
        <v/>
      </c>
      <c r="C41" s="772"/>
      <c r="D41" s="772"/>
      <c r="E41" s="772" t="str">
        <f>IFERROR(VLOOKUP(B41,'Deal Sheet'!$C$9:$F$38,4,FALSE),"")</f>
        <v/>
      </c>
      <c r="F41" s="772"/>
      <c r="G41" s="772"/>
      <c r="H41" s="773"/>
      <c r="I41" s="774"/>
      <c r="J41" s="774"/>
      <c r="K41" s="641" t="str">
        <f t="shared" ca="1" si="6"/>
        <v/>
      </c>
      <c r="AW41" s="616" t="str">
        <f t="shared" si="1"/>
        <v/>
      </c>
      <c r="AX41" s="624" t="e">
        <f t="shared" si="2"/>
        <v>#VALUE!</v>
      </c>
      <c r="AY41" s="624" t="e">
        <f t="shared" ca="1" si="3"/>
        <v>#VALUE!</v>
      </c>
      <c r="AZ41" s="625" t="e">
        <f t="shared" si="4"/>
        <v>#VALUE!</v>
      </c>
      <c r="BA41" s="625" t="e">
        <f t="shared" si="5"/>
        <v>#VALUE!</v>
      </c>
      <c r="BB41" s="627"/>
      <c r="BC41" s="627"/>
      <c r="BR41" s="309"/>
    </row>
    <row r="42" spans="1:70" s="220" customFormat="1" ht="27.9" customHeight="1">
      <c r="A42" s="300" t="str">
        <f>'Deal Sheet'!AV35</f>
        <v/>
      </c>
      <c r="B42" s="772" t="str">
        <f>IF('Deal Sheet'!C35&lt;&gt;"",'Deal Sheet'!C35,"")</f>
        <v/>
      </c>
      <c r="C42" s="772"/>
      <c r="D42" s="772"/>
      <c r="E42" s="772" t="str">
        <f>IFERROR(VLOOKUP(B42,'Deal Sheet'!$C$9:$F$38,4,FALSE),"")</f>
        <v/>
      </c>
      <c r="F42" s="772"/>
      <c r="G42" s="772"/>
      <c r="H42" s="773"/>
      <c r="I42" s="774"/>
      <c r="J42" s="774"/>
      <c r="K42" s="641" t="str">
        <f t="shared" ca="1" si="6"/>
        <v/>
      </c>
      <c r="AW42" s="616" t="str">
        <f t="shared" si="1"/>
        <v/>
      </c>
      <c r="AX42" s="624" t="e">
        <f t="shared" si="2"/>
        <v>#VALUE!</v>
      </c>
      <c r="AY42" s="624" t="e">
        <f t="shared" ca="1" si="3"/>
        <v>#VALUE!</v>
      </c>
      <c r="AZ42" s="625" t="e">
        <f t="shared" si="4"/>
        <v>#VALUE!</v>
      </c>
      <c r="BA42" s="625" t="e">
        <f t="shared" si="5"/>
        <v>#VALUE!</v>
      </c>
      <c r="BB42" s="627"/>
      <c r="BC42" s="627"/>
      <c r="BR42" s="309"/>
    </row>
    <row r="43" spans="1:70" s="220" customFormat="1" ht="27.9" customHeight="1">
      <c r="A43" s="300" t="str">
        <f>'Deal Sheet'!AV36</f>
        <v/>
      </c>
      <c r="B43" s="772" t="str">
        <f>IF('Deal Sheet'!C36&lt;&gt;"",'Deal Sheet'!C36,"")</f>
        <v/>
      </c>
      <c r="C43" s="772"/>
      <c r="D43" s="772"/>
      <c r="E43" s="772" t="str">
        <f>IFERROR(VLOOKUP(B43,'Deal Sheet'!$C$9:$F$38,4,FALSE),"")</f>
        <v/>
      </c>
      <c r="F43" s="772"/>
      <c r="G43" s="772"/>
      <c r="H43" s="773"/>
      <c r="I43" s="774"/>
      <c r="J43" s="774"/>
      <c r="K43" s="641" t="str">
        <f t="shared" ca="1" si="6"/>
        <v/>
      </c>
      <c r="AW43" s="616" t="str">
        <f t="shared" si="1"/>
        <v/>
      </c>
      <c r="AX43" s="624" t="e">
        <f t="shared" si="2"/>
        <v>#VALUE!</v>
      </c>
      <c r="AY43" s="624" t="e">
        <f t="shared" ca="1" si="3"/>
        <v>#VALUE!</v>
      </c>
      <c r="AZ43" s="625" t="e">
        <f t="shared" si="4"/>
        <v>#VALUE!</v>
      </c>
      <c r="BA43" s="625" t="e">
        <f t="shared" si="5"/>
        <v>#VALUE!</v>
      </c>
      <c r="BB43" s="627"/>
      <c r="BC43" s="627"/>
      <c r="BR43" s="309"/>
    </row>
    <row r="44" spans="1:70" s="220" customFormat="1" ht="27.9" customHeight="1">
      <c r="A44" s="300" t="str">
        <f>'Deal Sheet'!AV37</f>
        <v/>
      </c>
      <c r="B44" s="772" t="str">
        <f>IF('Deal Sheet'!C37&lt;&gt;"",'Deal Sheet'!C37,"")</f>
        <v/>
      </c>
      <c r="C44" s="772"/>
      <c r="D44" s="772"/>
      <c r="E44" s="772" t="str">
        <f>IFERROR(VLOOKUP(B44,'Deal Sheet'!$C$9:$F$38,4,FALSE),"")</f>
        <v/>
      </c>
      <c r="F44" s="772"/>
      <c r="G44" s="772"/>
      <c r="H44" s="773"/>
      <c r="I44" s="774"/>
      <c r="J44" s="774"/>
      <c r="K44" s="641" t="str">
        <f t="shared" ca="1" si="6"/>
        <v/>
      </c>
      <c r="AW44" s="616" t="str">
        <f t="shared" si="1"/>
        <v/>
      </c>
      <c r="AX44" s="624" t="e">
        <f t="shared" si="2"/>
        <v>#VALUE!</v>
      </c>
      <c r="AY44" s="624" t="e">
        <f t="shared" ca="1" si="3"/>
        <v>#VALUE!</v>
      </c>
      <c r="AZ44" s="625" t="e">
        <f t="shared" si="4"/>
        <v>#VALUE!</v>
      </c>
      <c r="BA44" s="625" t="e">
        <f t="shared" si="5"/>
        <v>#VALUE!</v>
      </c>
      <c r="BB44" s="627"/>
      <c r="BC44" s="627"/>
      <c r="BR44" s="309"/>
    </row>
    <row r="45" spans="1:70" s="220" customFormat="1" ht="27.9" customHeight="1" thickBot="1">
      <c r="A45" s="629" t="str">
        <f>'Deal Sheet'!AV38</f>
        <v/>
      </c>
      <c r="B45" s="769" t="str">
        <f>IF('Deal Sheet'!C38&lt;&gt;"",'Deal Sheet'!C38,"")</f>
        <v/>
      </c>
      <c r="C45" s="769"/>
      <c r="D45" s="769"/>
      <c r="E45" s="769" t="str">
        <f>IFERROR(VLOOKUP(B45,'Deal Sheet'!$C$9:$F$38,4,FALSE),"")</f>
        <v/>
      </c>
      <c r="F45" s="769"/>
      <c r="G45" s="769"/>
      <c r="H45" s="770"/>
      <c r="I45" s="771"/>
      <c r="J45" s="771"/>
      <c r="K45" s="642" t="str">
        <f t="shared" ca="1" si="6"/>
        <v/>
      </c>
      <c r="AW45" s="616" t="str">
        <f t="shared" si="1"/>
        <v/>
      </c>
      <c r="AX45" s="624" t="e">
        <f t="shared" si="2"/>
        <v>#VALUE!</v>
      </c>
      <c r="AY45" s="624" t="e">
        <f t="shared" ca="1" si="3"/>
        <v>#VALUE!</v>
      </c>
      <c r="AZ45" s="625" t="e">
        <f t="shared" si="4"/>
        <v>#VALUE!</v>
      </c>
      <c r="BA45" s="625" t="e">
        <f t="shared" si="5"/>
        <v>#VALUE!</v>
      </c>
      <c r="BB45" s="627"/>
      <c r="BC45" s="627"/>
      <c r="BR45" s="309"/>
    </row>
    <row r="46" spans="1:70" s="220" customFormat="1" ht="31.5" customHeight="1">
      <c r="A46" s="753" t="s">
        <v>474</v>
      </c>
      <c r="B46" s="754"/>
      <c r="C46" s="754"/>
      <c r="D46" s="754"/>
      <c r="E46" s="754"/>
      <c r="F46" s="754"/>
      <c r="G46" s="754"/>
      <c r="H46" s="754"/>
      <c r="I46" s="754"/>
      <c r="J46" s="754"/>
      <c r="K46" s="755"/>
      <c r="AW46" s="616"/>
      <c r="AX46" s="627"/>
      <c r="AY46" s="627"/>
      <c r="AZ46" s="627"/>
      <c r="BA46" s="627"/>
      <c r="BB46" s="627"/>
      <c r="BC46" s="627"/>
      <c r="BR46" s="309"/>
    </row>
    <row r="47" spans="1:70" s="220" customFormat="1" ht="31.5" customHeight="1" thickBot="1">
      <c r="A47" s="756"/>
      <c r="B47" s="757"/>
      <c r="C47" s="757"/>
      <c r="D47" s="757"/>
      <c r="E47" s="757"/>
      <c r="F47" s="757"/>
      <c r="G47" s="757"/>
      <c r="H47" s="757"/>
      <c r="I47" s="757"/>
      <c r="J47" s="757"/>
      <c r="K47" s="758"/>
      <c r="AW47" s="616"/>
      <c r="AX47" s="627"/>
      <c r="AY47" s="627"/>
      <c r="AZ47" s="627"/>
      <c r="BA47" s="627"/>
      <c r="BB47" s="627"/>
      <c r="BC47" s="627"/>
      <c r="BR47" s="309"/>
    </row>
    <row r="48" spans="1:70" s="221" customFormat="1" ht="31.5" customHeight="1">
      <c r="A48" s="222"/>
      <c r="B48" s="223"/>
      <c r="C48" s="224"/>
      <c r="D48" s="224"/>
      <c r="E48" s="224"/>
      <c r="F48" s="224"/>
      <c r="G48" s="224"/>
      <c r="H48" s="224"/>
      <c r="I48" s="224"/>
      <c r="J48" s="224"/>
      <c r="K48" s="618"/>
      <c r="AW48" s="616"/>
      <c r="AX48" s="618"/>
      <c r="AY48" s="618"/>
      <c r="AZ48" s="618"/>
      <c r="BA48" s="618"/>
      <c r="BB48" s="618"/>
      <c r="BC48" s="618"/>
      <c r="BR48" s="309"/>
    </row>
    <row r="49" spans="1:70" s="224" customFormat="1" ht="31.5" customHeight="1">
      <c r="A49" s="222"/>
      <c r="B49" s="223"/>
      <c r="K49" s="619"/>
      <c r="AW49" s="616"/>
      <c r="AX49" s="619"/>
      <c r="AY49" s="619"/>
      <c r="AZ49" s="619"/>
      <c r="BA49" s="619"/>
      <c r="BB49" s="619"/>
      <c r="BC49" s="619"/>
      <c r="BR49" s="309"/>
    </row>
    <row r="50" spans="1:70" s="224" customFormat="1" ht="31.5" customHeight="1">
      <c r="A50" s="225"/>
      <c r="B50" s="218"/>
      <c r="C50" s="49"/>
      <c r="D50" s="49"/>
      <c r="E50" s="49"/>
      <c r="F50" s="49"/>
      <c r="G50" s="49"/>
      <c r="H50" s="49"/>
      <c r="I50" s="49"/>
      <c r="J50" s="49"/>
      <c r="K50" s="619"/>
      <c r="AW50" s="616"/>
      <c r="AX50" s="619"/>
      <c r="AY50" s="619"/>
      <c r="AZ50" s="619"/>
      <c r="BA50" s="619"/>
      <c r="BB50" s="619"/>
      <c r="BC50" s="619"/>
      <c r="BR50" s="309"/>
    </row>
    <row r="51" spans="1:70" s="224" customFormat="1" ht="31.5" customHeight="1">
      <c r="A51" s="225"/>
      <c r="B51" s="218"/>
      <c r="C51" s="49"/>
      <c r="D51" s="49"/>
      <c r="E51" s="49"/>
      <c r="F51" s="49"/>
      <c r="G51" s="49"/>
      <c r="H51" s="49"/>
      <c r="I51" s="49"/>
      <c r="J51" s="49"/>
      <c r="K51" s="619"/>
      <c r="AW51" s="616"/>
      <c r="AX51" s="619"/>
      <c r="AY51" s="619"/>
      <c r="AZ51" s="619"/>
      <c r="BA51" s="619"/>
      <c r="BB51" s="619"/>
      <c r="BC51" s="619"/>
      <c r="BR51" s="309"/>
    </row>
    <row r="52" spans="1:70" s="224" customFormat="1" ht="31.5" customHeight="1">
      <c r="A52" s="225"/>
      <c r="B52" s="218"/>
      <c r="C52" s="49"/>
      <c r="D52" s="49"/>
      <c r="E52" s="49"/>
      <c r="F52" s="49"/>
      <c r="G52" s="49"/>
      <c r="H52" s="49"/>
      <c r="I52" s="49"/>
      <c r="J52" s="49"/>
      <c r="K52" s="619"/>
      <c r="AW52" s="616"/>
      <c r="AX52" s="619"/>
      <c r="AY52" s="619"/>
      <c r="AZ52" s="619"/>
      <c r="BA52" s="619"/>
      <c r="BB52" s="619"/>
      <c r="BC52" s="619"/>
      <c r="BR52" s="309"/>
    </row>
    <row r="53" spans="1:70" ht="31.5" customHeight="1">
      <c r="BR53" s="309"/>
    </row>
    <row r="54" spans="1:70" ht="21.6" customHeight="1">
      <c r="BR54" s="309"/>
    </row>
    <row r="55" spans="1:70">
      <c r="BR55" s="309"/>
    </row>
    <row r="56" spans="1:70">
      <c r="BR56" s="309"/>
    </row>
    <row r="57" spans="1:70">
      <c r="BR57" s="309"/>
    </row>
    <row r="58" spans="1:70">
      <c r="BR58" s="309"/>
    </row>
    <row r="59" spans="1:70">
      <c r="BR59" s="309"/>
    </row>
    <row r="60" spans="1:70">
      <c r="BR60" s="309"/>
    </row>
    <row r="61" spans="1:70">
      <c r="BR61" s="309"/>
    </row>
    <row r="62" spans="1:70">
      <c r="BR62" s="309"/>
    </row>
    <row r="63" spans="1:70">
      <c r="BR63" s="309"/>
    </row>
  </sheetData>
  <sheetProtection algorithmName="SHA-512" hashValue="IvE/PGdyedk8BRBOThiOzvTKEHbX0Yw2u8USpnxJyiO3jNx6ldD2qDLUWD5XJHmQl/qBOzOcv6qtnIzy0xQCug==" saltValue="P5H9gSI0A+I77O0xUUv5wg==" spinCount="100000" sheet="1" objects="1" scenarios="1"/>
  <mergeCells count="101">
    <mergeCell ref="B20:D20"/>
    <mergeCell ref="E20:G20"/>
    <mergeCell ref="H20:J20"/>
    <mergeCell ref="B21:D21"/>
    <mergeCell ref="E21:G21"/>
    <mergeCell ref="H16:J16"/>
    <mergeCell ref="B17:D17"/>
    <mergeCell ref="E17:G17"/>
    <mergeCell ref="B18:D18"/>
    <mergeCell ref="E18:G18"/>
    <mergeCell ref="B16:D16"/>
    <mergeCell ref="E16:G16"/>
    <mergeCell ref="B19:D19"/>
    <mergeCell ref="E19:G19"/>
    <mergeCell ref="H19:J19"/>
    <mergeCell ref="H18:J18"/>
    <mergeCell ref="B24:D24"/>
    <mergeCell ref="E24:G24"/>
    <mergeCell ref="H24:J24"/>
    <mergeCell ref="B25:D25"/>
    <mergeCell ref="E25:G25"/>
    <mergeCell ref="H25:J25"/>
    <mergeCell ref="H21:J21"/>
    <mergeCell ref="B22:D22"/>
    <mergeCell ref="E22:G22"/>
    <mergeCell ref="H22:J22"/>
    <mergeCell ref="B23:D23"/>
    <mergeCell ref="E23:G23"/>
    <mergeCell ref="H23:J23"/>
    <mergeCell ref="B28:D28"/>
    <mergeCell ref="E28:G28"/>
    <mergeCell ref="H28:J28"/>
    <mergeCell ref="B29:D29"/>
    <mergeCell ref="E29:G29"/>
    <mergeCell ref="H29:J29"/>
    <mergeCell ref="B26:D26"/>
    <mergeCell ref="E26:G26"/>
    <mergeCell ref="H26:J26"/>
    <mergeCell ref="B27:D27"/>
    <mergeCell ref="E27:G27"/>
    <mergeCell ref="H27:J27"/>
    <mergeCell ref="B32:D32"/>
    <mergeCell ref="E32:G32"/>
    <mergeCell ref="H32:J32"/>
    <mergeCell ref="B33:D33"/>
    <mergeCell ref="E33:G33"/>
    <mergeCell ref="H33:J33"/>
    <mergeCell ref="B30:D30"/>
    <mergeCell ref="E30:G30"/>
    <mergeCell ref="H30:J30"/>
    <mergeCell ref="B31:D31"/>
    <mergeCell ref="E31:G31"/>
    <mergeCell ref="H31:J31"/>
    <mergeCell ref="B40:D40"/>
    <mergeCell ref="E40:G40"/>
    <mergeCell ref="H40:J40"/>
    <mergeCell ref="B41:D41"/>
    <mergeCell ref="E41:G41"/>
    <mergeCell ref="H41:J41"/>
    <mergeCell ref="B38:D38"/>
    <mergeCell ref="E38:G38"/>
    <mergeCell ref="H38:J38"/>
    <mergeCell ref="B39:D39"/>
    <mergeCell ref="E39:G39"/>
    <mergeCell ref="H39:J39"/>
    <mergeCell ref="B36:D36"/>
    <mergeCell ref="E36:G36"/>
    <mergeCell ref="H36:J36"/>
    <mergeCell ref="B37:D37"/>
    <mergeCell ref="E37:G37"/>
    <mergeCell ref="H37:J37"/>
    <mergeCell ref="B34:D34"/>
    <mergeCell ref="E34:G34"/>
    <mergeCell ref="H34:J34"/>
    <mergeCell ref="B35:D35"/>
    <mergeCell ref="E35:G35"/>
    <mergeCell ref="H35:J35"/>
    <mergeCell ref="K14:K15"/>
    <mergeCell ref="A46:K47"/>
    <mergeCell ref="A1:K1"/>
    <mergeCell ref="E6:G6"/>
    <mergeCell ref="E7:G7"/>
    <mergeCell ref="E5:G5"/>
    <mergeCell ref="E8:G10"/>
    <mergeCell ref="B45:D45"/>
    <mergeCell ref="E45:G45"/>
    <mergeCell ref="H45:J45"/>
    <mergeCell ref="B43:D43"/>
    <mergeCell ref="E43:G43"/>
    <mergeCell ref="H43:J43"/>
    <mergeCell ref="B44:D44"/>
    <mergeCell ref="E44:G44"/>
    <mergeCell ref="H44:J44"/>
    <mergeCell ref="B42:D42"/>
    <mergeCell ref="E42:G42"/>
    <mergeCell ref="H42:J42"/>
    <mergeCell ref="A14:A15"/>
    <mergeCell ref="B14:D15"/>
    <mergeCell ref="E14:G15"/>
    <mergeCell ref="H14:J15"/>
    <mergeCell ref="H17:J17"/>
  </mergeCells>
  <conditionalFormatting sqref="K16:K45">
    <cfRule type="notContainsBlanks" dxfId="0" priority="1">
      <formula>LEN(TRIM(K16))&gt;0</formula>
    </cfRule>
  </conditionalFormatting>
  <dataValidations count="1">
    <dataValidation type="list" allowBlank="1" showInputMessage="1" showErrorMessage="1" sqref="H16:J45" xr:uid="{00000000-0002-0000-0300-000000000000}">
      <formula1>$BR$16:$BR$35</formula1>
    </dataValidation>
  </dataValidations>
  <printOptions horizontalCentered="1" verticalCentered="1"/>
  <pageMargins left="0" right="0" top="0" bottom="0" header="0" footer="0"/>
  <pageSetup paperSize="9" scale="72"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B1:BK56"/>
  <sheetViews>
    <sheetView topLeftCell="D49" zoomScaleNormal="100" workbookViewId="0">
      <selection activeCell="J49" sqref="J49"/>
    </sheetView>
  </sheetViews>
  <sheetFormatPr defaultColWidth="8.89453125" defaultRowHeight="12.3"/>
  <cols>
    <col min="1" max="2" width="8.89453125" style="490"/>
    <col min="3" max="3" width="37" style="490" bestFit="1" customWidth="1"/>
    <col min="4" max="4" width="26.1015625" style="490" customWidth="1"/>
    <col min="5" max="5" width="4.5234375" style="490" customWidth="1"/>
    <col min="6" max="6" width="3.89453125" style="490" customWidth="1"/>
    <col min="7" max="7" width="7.20703125" style="569" customWidth="1"/>
    <col min="8" max="8" width="16.41796875" style="490" customWidth="1"/>
    <col min="9" max="9" width="31.68359375" style="490" customWidth="1"/>
    <col min="10" max="10" width="15.68359375" style="490" customWidth="1"/>
    <col min="11" max="11" width="14.1015625" style="490" customWidth="1"/>
    <col min="12" max="12" width="2.1015625" style="490" customWidth="1"/>
    <col min="13" max="38" width="8.89453125" style="490"/>
    <col min="39" max="39" width="22.7890625" style="604" customWidth="1"/>
    <col min="40" max="40" width="8.89453125" style="604"/>
    <col min="41" max="41" width="10.3125" style="604" customWidth="1"/>
    <col min="42" max="42" width="9.68359375" style="604" customWidth="1"/>
    <col min="43" max="45" width="8.89453125" style="604"/>
    <col min="46" max="46" width="2" style="604" customWidth="1"/>
    <col min="47" max="47" width="25.3125" style="605" customWidth="1"/>
    <col min="48" max="48" width="8.89453125" style="604"/>
    <col min="49" max="49" width="18.41796875" style="604" customWidth="1"/>
    <col min="50" max="51" width="8.89453125" style="604"/>
    <col min="52" max="52" width="96.41796875" style="604" bestFit="1" customWidth="1"/>
    <col min="53" max="63" width="8.89453125" style="604"/>
    <col min="64" max="16384" width="8.89453125" style="490"/>
  </cols>
  <sheetData>
    <row r="1" spans="2:58" ht="12.6" thickBot="1"/>
    <row r="2" spans="2:58">
      <c r="B2" s="521"/>
      <c r="C2" s="478"/>
      <c r="D2" s="478"/>
      <c r="E2" s="478"/>
      <c r="F2" s="478"/>
      <c r="G2" s="554"/>
      <c r="H2" s="478"/>
      <c r="I2" s="478"/>
      <c r="J2" s="478"/>
      <c r="K2" s="478"/>
      <c r="L2" s="478"/>
      <c r="M2" s="479"/>
    </row>
    <row r="3" spans="2:58" ht="22.5">
      <c r="B3" s="482"/>
      <c r="C3" s="805" t="s">
        <v>711</v>
      </c>
      <c r="D3" s="805"/>
      <c r="E3" s="805"/>
      <c r="F3" s="805"/>
      <c r="G3" s="805"/>
      <c r="H3" s="805"/>
      <c r="I3" s="805"/>
      <c r="J3" s="560"/>
      <c r="K3" s="560"/>
      <c r="L3" s="480"/>
      <c r="M3" s="481"/>
    </row>
    <row r="4" spans="2:58" ht="22.5">
      <c r="B4" s="482"/>
      <c r="C4" s="560"/>
      <c r="D4" s="560"/>
      <c r="E4" s="560"/>
      <c r="F4" s="560"/>
      <c r="G4" s="560"/>
      <c r="H4" s="560"/>
      <c r="I4" s="560"/>
      <c r="J4" s="560"/>
      <c r="K4" s="560"/>
      <c r="L4" s="480"/>
      <c r="M4" s="481"/>
    </row>
    <row r="5" spans="2:58">
      <c r="B5" s="482"/>
      <c r="C5" s="480"/>
      <c r="D5" s="480"/>
      <c r="E5" s="480"/>
      <c r="F5" s="480"/>
      <c r="G5" s="559"/>
      <c r="H5" s="480"/>
      <c r="I5" s="480"/>
      <c r="J5" s="483" t="s">
        <v>486</v>
      </c>
      <c r="K5" s="480"/>
      <c r="L5" s="480"/>
      <c r="M5" s="481"/>
    </row>
    <row r="6" spans="2:58">
      <c r="B6" s="482"/>
      <c r="C6" s="610" t="s">
        <v>722</v>
      </c>
      <c r="D6" s="595"/>
      <c r="E6" s="480"/>
      <c r="F6" s="802" t="s">
        <v>667</v>
      </c>
      <c r="G6" s="803"/>
      <c r="H6" s="803"/>
      <c r="I6" s="803"/>
      <c r="J6" s="803"/>
      <c r="K6" s="803"/>
      <c r="L6" s="804"/>
      <c r="M6" s="481"/>
    </row>
    <row r="7" spans="2:58">
      <c r="B7" s="482"/>
      <c r="C7" s="592" t="s">
        <v>672</v>
      </c>
      <c r="D7" s="597">
        <f ca="1">TODAY()</f>
        <v>43222</v>
      </c>
      <c r="E7" s="480"/>
      <c r="F7" s="801" t="s">
        <v>707</v>
      </c>
      <c r="G7" s="800"/>
      <c r="H7" s="599" t="s">
        <v>345</v>
      </c>
      <c r="I7" s="599" t="s">
        <v>17</v>
      </c>
      <c r="J7" s="591" t="s">
        <v>754</v>
      </c>
      <c r="K7" s="799" t="s">
        <v>689</v>
      </c>
      <c r="L7" s="800"/>
      <c r="M7" s="481"/>
    </row>
    <row r="8" spans="2:58">
      <c r="B8" s="482"/>
      <c r="C8" s="592" t="s">
        <v>752</v>
      </c>
      <c r="D8" s="677" t="s">
        <v>629</v>
      </c>
      <c r="E8" s="477"/>
      <c r="F8" s="586">
        <v>0</v>
      </c>
      <c r="G8" s="584"/>
      <c r="H8" s="607"/>
      <c r="I8" s="480"/>
      <c r="J8" s="601"/>
      <c r="K8" s="480"/>
      <c r="L8" s="585"/>
      <c r="M8" s="481"/>
    </row>
    <row r="9" spans="2:58">
      <c r="B9" s="482"/>
      <c r="C9" s="592" t="s">
        <v>268</v>
      </c>
      <c r="D9" s="676" t="str">
        <f>'Deal Sheet'!$C$5</f>
        <v>MAN Cape Town</v>
      </c>
      <c r="E9" s="483"/>
      <c r="F9" s="587" t="str">
        <f>IF('Deal Sheet'!C9&lt;&gt;"",F8+1&amp;".","")</f>
        <v>1.</v>
      </c>
      <c r="G9" s="561"/>
      <c r="H9" s="608">
        <f>IF('Deal Sheet'!C9&lt;&gt;"",'Deal Sheet'!C9,"")</f>
        <v>46464</v>
      </c>
      <c r="I9" s="480" t="str">
        <f>IFERROR(VLOOKUP(H9,'price list MAN'!$B$5:$C$2002,2,FALSE),"")</f>
        <v>TGS-26-4406X4BLS-LX-ALU-EL</v>
      </c>
      <c r="J9" s="602" t="str">
        <f>IF(F9="","",IF(ISNUMBER('Deal Sheet'!F9),"In Stock","CKD"))</f>
        <v>CKD</v>
      </c>
      <c r="K9" s="797">
        <f>IF('Month of Invoicing'!H16=0,"",'Month of Invoicing'!H16)</f>
        <v>42979</v>
      </c>
      <c r="L9" s="798"/>
      <c r="M9" s="481"/>
    </row>
    <row r="10" spans="2:58">
      <c r="B10" s="482"/>
      <c r="C10" s="592" t="s">
        <v>267</v>
      </c>
      <c r="D10" s="676" t="str">
        <f>'Deal Sheet'!$C$4</f>
        <v>CJ Swanepoel</v>
      </c>
      <c r="E10" s="480"/>
      <c r="F10" s="587" t="e">
        <f>IF('Deal Sheet'!C10&lt;&gt;"",F9+1&amp;".","")</f>
        <v>#VALUE!</v>
      </c>
      <c r="G10" s="561"/>
      <c r="H10" s="608">
        <f>IF('Deal Sheet'!C10&lt;&gt;"",'Deal Sheet'!C10,"")</f>
        <v>46465</v>
      </c>
      <c r="I10" s="480" t="str">
        <f>IFERROR(VLOOKUP(H10,'price list MAN'!$B$5:$C$2002,2,FALSE),"")</f>
        <v>TGS-26-4406X4BLS-LX-ALU-EL</v>
      </c>
      <c r="J10" s="602" t="e">
        <f>IF(F10="","",IF(ISNUMBER('Deal Sheet'!F10),"In Stock","CKD"))</f>
        <v>#VALUE!</v>
      </c>
      <c r="K10" s="797">
        <f>IF('Month of Invoicing'!H17=0,"",'Month of Invoicing'!H17)</f>
        <v>42979</v>
      </c>
      <c r="L10" s="798"/>
      <c r="M10" s="481"/>
      <c r="AM10" s="604" t="s">
        <v>669</v>
      </c>
    </row>
    <row r="11" spans="2:58" ht="13.5">
      <c r="B11" s="482"/>
      <c r="C11" s="592" t="s">
        <v>668</v>
      </c>
      <c r="D11" s="678" t="s">
        <v>669</v>
      </c>
      <c r="E11" s="480"/>
      <c r="F11" s="587" t="e">
        <f>IF('Deal Sheet'!C11&lt;&gt;"",F10+1&amp;".","")</f>
        <v>#VALUE!</v>
      </c>
      <c r="G11" s="561"/>
      <c r="H11" s="608">
        <f>IF('Deal Sheet'!C11&lt;&gt;"",'Deal Sheet'!C11,"")</f>
        <v>46466</v>
      </c>
      <c r="I11" s="480" t="str">
        <f>IFERROR(VLOOKUP(H11,'price list MAN'!$B$5:$C$2002,2,FALSE),"")</f>
        <v>TGS-26-4406X4BLS-LX-ALU-EL</v>
      </c>
      <c r="J11" s="602" t="e">
        <f>IF(F11="","",IF(ISNUMBER('Deal Sheet'!F11),"In Stock","CKD"))</f>
        <v>#VALUE!</v>
      </c>
      <c r="K11" s="797">
        <f>IF('Month of Invoicing'!H18=0,"",'Month of Invoicing'!H18)</f>
        <v>43009</v>
      </c>
      <c r="L11" s="798"/>
      <c r="M11" s="583"/>
      <c r="AM11" s="604" t="s">
        <v>670</v>
      </c>
      <c r="AO11" s="604">
        <f t="shared" ref="AO11:AO40" si="0">IF(H9="","",H9)</f>
        <v>46464</v>
      </c>
      <c r="AP11" s="630">
        <f t="shared" ref="AP11:AP40" si="1">IF(K9&lt;&gt;"",K9,"")</f>
        <v>42979</v>
      </c>
      <c r="AQ11" s="630">
        <f>AP11</f>
        <v>42979</v>
      </c>
      <c r="AR11" s="604">
        <f>IF(AQ11&lt;&gt;"",COUNTIF(AP11:AP40,AQ11),"")</f>
        <v>2</v>
      </c>
      <c r="AS11" s="604" t="str">
        <f>IFERROR(YEAR(AQ11)&amp;"-"&amp;IF(MONTH(AQ11)&lt;10,(0&amp;MONTH(AQ11)),MONTH(AQ11)),"")</f>
        <v>2017-09</v>
      </c>
      <c r="AU11" s="606" t="str">
        <f>IF(AS11="","","Deliver "&amp;" X"&amp;AR11&amp;" Unit(s) "&amp;" : "&amp;AS11)</f>
        <v>Deliver  X2 Unit(s)  : 2017-09</v>
      </c>
      <c r="AW11" s="604" t="str">
        <f t="array" ref="AW11">IFERROR(INDEX($AU$11:$AU$40,SMALL(IF(LEN($AU$11:$AU$40)&gt;2,ROW($AU$11:$AU$40)-ROW($AU$10)),ROW(1:1)),1),"")</f>
        <v>Deliver  X2 Unit(s)  : 2017-09</v>
      </c>
      <c r="AZ11" s="643"/>
      <c r="BC11" s="604" t="str">
        <f>IFERROR(SMALL(AY11:AY40,1),"")</f>
        <v/>
      </c>
      <c r="BD11" s="604" t="str">
        <f>IFERROR(SMALL(AY11:AY40,BA11+1),"")</f>
        <v/>
      </c>
      <c r="BE11" s="604" t="str">
        <f>IFERROR(SMALL(AY11:AY40,BH11+BA11),"")</f>
        <v/>
      </c>
      <c r="BF11" s="604" t="str">
        <f>IFERROR(SMALL(AZ11:AZ40,BI11+BA11),"")</f>
        <v/>
      </c>
    </row>
    <row r="12" spans="2:58">
      <c r="B12" s="482"/>
      <c r="C12" s="592" t="s">
        <v>753</v>
      </c>
      <c r="D12" s="678" t="s">
        <v>51</v>
      </c>
      <c r="E12" s="480"/>
      <c r="F12" s="587" t="e">
        <f>IF('Deal Sheet'!C12&lt;&gt;"",F11+1&amp;".","")</f>
        <v>#VALUE!</v>
      </c>
      <c r="G12" s="561"/>
      <c r="H12" s="608">
        <f>IF('Deal Sheet'!C12&lt;&gt;"",'Deal Sheet'!C12,"")</f>
        <v>46467</v>
      </c>
      <c r="I12" s="480" t="str">
        <f>IFERROR(VLOOKUP(H12,'price list MAN'!$B$5:$C$2002,2,FALSE),"")</f>
        <v>TGS-26-4406X4BLS-LX-ALU-EL</v>
      </c>
      <c r="J12" s="602" t="e">
        <f>IF(F12="","",IF(ISNUMBER('Deal Sheet'!F12),"In Stock","CKD"))</f>
        <v>#VALUE!</v>
      </c>
      <c r="K12" s="797">
        <f>IF('Month of Invoicing'!H19=0,"",'Month of Invoicing'!H19)</f>
        <v>43040</v>
      </c>
      <c r="L12" s="798"/>
      <c r="M12" s="481"/>
      <c r="AM12" s="604" t="s">
        <v>671</v>
      </c>
      <c r="AO12" s="604">
        <f t="shared" si="0"/>
        <v>46465</v>
      </c>
      <c r="AP12" s="630">
        <f t="shared" si="1"/>
        <v>42979</v>
      </c>
      <c r="AQ12" s="630" t="str">
        <f>IF(AP12=AP11,"",AP12)</f>
        <v/>
      </c>
      <c r="AR12" s="604" t="str">
        <f t="shared" ref="AR12:AR25" si="2">IF(AQ12&lt;&gt;"",COUNTIF(AP12:AP41,AQ12),"")</f>
        <v/>
      </c>
      <c r="AS12" s="604" t="str">
        <f t="shared" ref="AS12:AS40" si="3">IFERROR(YEAR(AQ12)&amp;"-"&amp;IF(MONTH(AQ12)&lt;10,(0&amp;MONTH(AQ12)),MONTH(AQ12)),"")</f>
        <v/>
      </c>
      <c r="AU12" s="606" t="str">
        <f t="shared" ref="AU12:AU41" si="4">IF(AS12="","","Deliver "&amp;" X"&amp;AR12&amp;" Unit(s) "&amp;" : "&amp;AS12)</f>
        <v/>
      </c>
      <c r="AW12" s="604" t="str">
        <f t="array" ref="AW12">IFERROR(INDEX($AU$11:$AU$40,SMALL(IF(LEN($AU$11:$AU$40)&gt;2,ROW($AU$11:$AU$40)-ROW($AU$10)),ROW(2:2)),1),"")</f>
        <v>Deliver  X1 Unit(s)  : 2017-10</v>
      </c>
    </row>
    <row r="13" spans="2:58">
      <c r="B13" s="482"/>
      <c r="C13" s="593"/>
      <c r="D13" s="594"/>
      <c r="E13" s="480"/>
      <c r="F13" s="587" t="e">
        <f>IF('Deal Sheet'!C13&lt;&gt;"",F12+1&amp;".","")</f>
        <v>#VALUE!</v>
      </c>
      <c r="G13" s="561"/>
      <c r="H13" s="608" t="str">
        <f>IF('Deal Sheet'!C13&lt;&gt;"",'Deal Sheet'!C13,"")</f>
        <v>TBAKP707</v>
      </c>
      <c r="I13" s="480" t="str">
        <f>IFERROR(VLOOKUP(H13,'price list MAN'!$B$5:$C$2002,2,FALSE),"")</f>
        <v>TGS-26-4406X4BLS-LX-ALU-EL</v>
      </c>
      <c r="J13" s="602" t="e">
        <f>IF(F13="","",IF(ISNUMBER('Deal Sheet'!F13),"In Stock","CKD"))</f>
        <v>#VALUE!</v>
      </c>
      <c r="K13" s="797">
        <f>IF('Month of Invoicing'!H20=0,"",'Month of Invoicing'!H20)</f>
        <v>43160</v>
      </c>
      <c r="L13" s="798"/>
      <c r="M13" s="481"/>
      <c r="AO13" s="604">
        <f t="shared" si="0"/>
        <v>46466</v>
      </c>
      <c r="AP13" s="630">
        <f t="shared" si="1"/>
        <v>43009</v>
      </c>
      <c r="AQ13" s="630">
        <f>IF(AP13=AP12,"",AP13)</f>
        <v>43009</v>
      </c>
      <c r="AR13" s="604">
        <f t="shared" si="2"/>
        <v>1</v>
      </c>
      <c r="AS13" s="604" t="str">
        <f t="shared" si="3"/>
        <v>2017-10</v>
      </c>
      <c r="AU13" s="606" t="str">
        <f t="shared" si="4"/>
        <v>Deliver  X1 Unit(s)  : 2017-10</v>
      </c>
      <c r="AW13" s="604" t="str">
        <f t="array" ref="AW13">IFERROR(INDEX($AU$11:$AU$40,SMALL(IF(LEN($AU$11:$AU$40)&gt;2,ROW($AU$11:$AU$40)-ROW($AU$10)),ROW(3:3)),1),"")</f>
        <v>Deliver  X1 Unit(s)  : 2017-11</v>
      </c>
    </row>
    <row r="14" spans="2:58">
      <c r="B14" s="482"/>
      <c r="C14" s="480"/>
      <c r="D14" s="480"/>
      <c r="E14" s="480"/>
      <c r="F14" s="587" t="str">
        <f>IF('Deal Sheet'!C14&lt;&gt;"",F13+1&amp;".","")</f>
        <v/>
      </c>
      <c r="G14" s="561"/>
      <c r="H14" s="608" t="str">
        <f>IF('Deal Sheet'!C14&lt;&gt;"",'Deal Sheet'!C14,"")</f>
        <v/>
      </c>
      <c r="I14" s="480" t="str">
        <f>IFERROR(VLOOKUP(H14,'price list MAN'!$B$5:$C$2002,2,FALSE),"")</f>
        <v/>
      </c>
      <c r="J14" s="602" t="str">
        <f>IF(F14="","",IF(ISNUMBER('Deal Sheet'!F14),"In Stock","CKD"))</f>
        <v/>
      </c>
      <c r="K14" s="797" t="str">
        <f>IF('Month of Invoicing'!H21=0,"",'Month of Invoicing'!H21)</f>
        <v/>
      </c>
      <c r="L14" s="798"/>
      <c r="M14" s="481"/>
      <c r="AM14" s="604" t="s">
        <v>52</v>
      </c>
      <c r="AO14" s="604">
        <f t="shared" si="0"/>
        <v>46467</v>
      </c>
      <c r="AP14" s="630">
        <f t="shared" si="1"/>
        <v>43040</v>
      </c>
      <c r="AQ14" s="630">
        <f t="shared" ref="AQ14:AQ40" si="5">IF(AP14=AP13,"",AP14)</f>
        <v>43040</v>
      </c>
      <c r="AR14" s="604">
        <f t="shared" si="2"/>
        <v>1</v>
      </c>
      <c r="AS14" s="604" t="str">
        <f t="shared" si="3"/>
        <v>2017-11</v>
      </c>
      <c r="AU14" s="606" t="str">
        <f t="shared" si="4"/>
        <v>Deliver  X1 Unit(s)  : 2017-11</v>
      </c>
      <c r="AW14" s="604" t="str">
        <f t="array" ref="AW14">IFERROR(INDEX($AU$11:$AU$40,SMALL(IF(LEN($AU$11:$AU$40)&gt;2,ROW($AU$11:$AU$40)-ROW($AU$10)),ROW(4:4)),1),"")</f>
        <v>Deliver  X1 Unit(s)  : 2018-03</v>
      </c>
    </row>
    <row r="15" spans="2:58">
      <c r="B15" s="482"/>
      <c r="C15" s="610" t="s">
        <v>716</v>
      </c>
      <c r="D15" s="595"/>
      <c r="E15" s="480"/>
      <c r="F15" s="587" t="str">
        <f>IF('Deal Sheet'!C15&lt;&gt;"",F14+1&amp;".","")</f>
        <v/>
      </c>
      <c r="G15" s="561"/>
      <c r="H15" s="608" t="str">
        <f>IF('Deal Sheet'!C15&lt;&gt;"",'Deal Sheet'!C15,"")</f>
        <v/>
      </c>
      <c r="I15" s="480" t="str">
        <f>IFERROR(VLOOKUP(H15,'price list MAN'!$B$5:$C$2002,2,FALSE),"")</f>
        <v/>
      </c>
      <c r="J15" s="602" t="str">
        <f>IF(F15="","",IF(ISNUMBER('Deal Sheet'!F15),"In Stock","CKD"))</f>
        <v/>
      </c>
      <c r="K15" s="797" t="str">
        <f>IF('Month of Invoicing'!H22=0,"",'Month of Invoicing'!H22)</f>
        <v/>
      </c>
      <c r="L15" s="798"/>
      <c r="M15" s="481"/>
      <c r="AM15" s="604" t="s">
        <v>51</v>
      </c>
      <c r="AO15" s="604" t="str">
        <f t="shared" si="0"/>
        <v>TBAKP707</v>
      </c>
      <c r="AP15" s="630">
        <f t="shared" si="1"/>
        <v>43160</v>
      </c>
      <c r="AQ15" s="630">
        <f t="shared" si="5"/>
        <v>43160</v>
      </c>
      <c r="AR15" s="604">
        <f t="shared" si="2"/>
        <v>1</v>
      </c>
      <c r="AS15" s="604" t="str">
        <f t="shared" si="3"/>
        <v>2018-03</v>
      </c>
      <c r="AU15" s="606" t="str">
        <f t="shared" si="4"/>
        <v>Deliver  X1 Unit(s)  : 2018-03</v>
      </c>
      <c r="AW15" s="604" t="str">
        <f t="array" ref="AW15">IFERROR(INDEX($AU$11:$AU$40,SMALL(IF(LEN($AU$11:$AU$40)&gt;2,ROW($AU$11:$AU$40)-ROW($AU$10)),ROW(5:5)),1),"")</f>
        <v/>
      </c>
    </row>
    <row r="16" spans="2:58">
      <c r="B16" s="482"/>
      <c r="C16" s="592"/>
      <c r="D16" s="585"/>
      <c r="E16" s="480"/>
      <c r="F16" s="587" t="str">
        <f>IF('Deal Sheet'!C16&lt;&gt;"",F15+1&amp;".","")</f>
        <v/>
      </c>
      <c r="G16" s="561"/>
      <c r="H16" s="608" t="str">
        <f>IF('Deal Sheet'!C16&lt;&gt;"",'Deal Sheet'!C16,"")</f>
        <v/>
      </c>
      <c r="I16" s="480" t="str">
        <f>IFERROR(VLOOKUP(H16,'price list MAN'!$B$5:$C$2002,2,FALSE),"")</f>
        <v/>
      </c>
      <c r="J16" s="602" t="str">
        <f>IF(F16="","",IF(ISNUMBER('Deal Sheet'!F16),"In Stock","CKD"))</f>
        <v/>
      </c>
      <c r="K16" s="797" t="str">
        <f>IF('Month of Invoicing'!H23=0,"",'Month of Invoicing'!H23)</f>
        <v/>
      </c>
      <c r="L16" s="798"/>
      <c r="M16" s="481"/>
      <c r="AM16" s="604" t="s">
        <v>690</v>
      </c>
      <c r="AO16" s="604" t="str">
        <f t="shared" si="0"/>
        <v/>
      </c>
      <c r="AP16" s="630" t="str">
        <f t="shared" si="1"/>
        <v/>
      </c>
      <c r="AQ16" s="630" t="str">
        <f t="shared" si="5"/>
        <v/>
      </c>
      <c r="AR16" s="604" t="str">
        <f t="shared" si="2"/>
        <v/>
      </c>
      <c r="AS16" s="604" t="str">
        <f t="shared" si="3"/>
        <v/>
      </c>
      <c r="AU16" s="606" t="str">
        <f t="shared" si="4"/>
        <v/>
      </c>
      <c r="AW16" s="604" t="str">
        <f t="array" ref="AW16">IFERROR(INDEX($AU$11:$AU$40,SMALL(IF(LEN($AU$11:$AU$40)&gt;2,ROW($AU$11:$AU$40)-ROW($AU$10)),ROW(6:6)),1),"")</f>
        <v/>
      </c>
    </row>
    <row r="17" spans="2:50">
      <c r="B17" s="482"/>
      <c r="C17" s="592" t="s">
        <v>116</v>
      </c>
      <c r="D17" s="598" t="str">
        <f>'Deal Sheet'!$C$3</f>
        <v>ABC Truck</v>
      </c>
      <c r="E17" s="480"/>
      <c r="F17" s="587" t="str">
        <f>IF('Deal Sheet'!C17&lt;&gt;"",F16+1&amp;".","")</f>
        <v/>
      </c>
      <c r="G17" s="561"/>
      <c r="H17" s="608" t="str">
        <f>IF('Deal Sheet'!C17&lt;&gt;"",'Deal Sheet'!C17,"")</f>
        <v/>
      </c>
      <c r="I17" s="480" t="str">
        <f>IFERROR(VLOOKUP(H17,'price list MAN'!$B$5:$C$2002,2,FALSE),"")</f>
        <v/>
      </c>
      <c r="J17" s="602" t="str">
        <f>IF(F17="","",IF(ISNUMBER('Deal Sheet'!F17),"In Stock","CKD"))</f>
        <v/>
      </c>
      <c r="K17" s="797" t="str">
        <f>IF('Month of Invoicing'!H24=0,"",'Month of Invoicing'!H24)</f>
        <v/>
      </c>
      <c r="L17" s="798"/>
      <c r="M17" s="481"/>
      <c r="AM17" s="604" t="s">
        <v>691</v>
      </c>
      <c r="AO17" s="604" t="str">
        <f t="shared" si="0"/>
        <v/>
      </c>
      <c r="AP17" s="630" t="str">
        <f t="shared" si="1"/>
        <v/>
      </c>
      <c r="AQ17" s="630" t="str">
        <f t="shared" si="5"/>
        <v/>
      </c>
      <c r="AR17" s="604" t="str">
        <f t="shared" si="2"/>
        <v/>
      </c>
      <c r="AS17" s="604" t="str">
        <f t="shared" si="3"/>
        <v/>
      </c>
      <c r="AU17" s="606" t="str">
        <f t="shared" si="4"/>
        <v/>
      </c>
      <c r="AW17" s="604" t="str">
        <f t="array" ref="AW17">IFERROR(INDEX($AU$11:$AU$40,SMALL(IF(LEN($AU$11:$AU$40)&gt;2,ROW($AU$11:$AU$40)-ROW($AU$10)),ROW(7:7)),1),"")</f>
        <v/>
      </c>
    </row>
    <row r="18" spans="2:50">
      <c r="B18" s="482"/>
      <c r="C18" s="592" t="s">
        <v>683</v>
      </c>
      <c r="D18" s="679" t="s">
        <v>714</v>
      </c>
      <c r="E18" s="480"/>
      <c r="F18" s="587" t="str">
        <f>IF('Deal Sheet'!C18&lt;&gt;"",F17+1&amp;".","")</f>
        <v/>
      </c>
      <c r="G18" s="561"/>
      <c r="H18" s="608" t="str">
        <f>IF('Deal Sheet'!C18&lt;&gt;"",'Deal Sheet'!C18,"")</f>
        <v/>
      </c>
      <c r="I18" s="480" t="str">
        <f>IFERROR(VLOOKUP(H18,'price list MAN'!$B$5:$C$2002,2,FALSE),"")</f>
        <v/>
      </c>
      <c r="J18" s="602" t="str">
        <f>IF(F18="","",IF(ISNUMBER('Deal Sheet'!F18),"In Stock","CKD"))</f>
        <v/>
      </c>
      <c r="K18" s="797" t="str">
        <f>IF('Month of Invoicing'!H25=0,"",'Month of Invoicing'!H25)</f>
        <v/>
      </c>
      <c r="L18" s="798"/>
      <c r="M18" s="481"/>
      <c r="AO18" s="604" t="str">
        <f t="shared" si="0"/>
        <v/>
      </c>
      <c r="AP18" s="630" t="str">
        <f t="shared" si="1"/>
        <v/>
      </c>
      <c r="AQ18" s="630" t="str">
        <f t="shared" si="5"/>
        <v/>
      </c>
      <c r="AR18" s="604" t="str">
        <f t="shared" si="2"/>
        <v/>
      </c>
      <c r="AS18" s="604" t="str">
        <f t="shared" si="3"/>
        <v/>
      </c>
      <c r="AU18" s="606" t="str">
        <f t="shared" si="4"/>
        <v/>
      </c>
      <c r="AW18" s="604" t="str">
        <f t="array" ref="AW18">IFERROR(INDEX($AU$11:$AU$40,SMALL(IF(LEN($AU$11:$AU$40)&gt;2,ROW($AU$11:$AU$40)-ROW($AU$10)),ROW(8:8)),1),"")</f>
        <v/>
      </c>
    </row>
    <row r="19" spans="2:50">
      <c r="B19" s="482"/>
      <c r="C19" s="592" t="s">
        <v>684</v>
      </c>
      <c r="D19" s="680">
        <v>4500023017</v>
      </c>
      <c r="E19" s="480"/>
      <c r="F19" s="587" t="str">
        <f>IF('Deal Sheet'!C19&lt;&gt;"",F18+1&amp;".","")</f>
        <v/>
      </c>
      <c r="G19" s="561"/>
      <c r="H19" s="608" t="str">
        <f>IF('Deal Sheet'!C19&lt;&gt;"",'Deal Sheet'!C19,"")</f>
        <v/>
      </c>
      <c r="I19" s="480" t="str">
        <f>IFERROR(VLOOKUP(H19,'price list MAN'!$B$5:$C$2002,2,FALSE),"")</f>
        <v/>
      </c>
      <c r="J19" s="602" t="str">
        <f>IF(F19="","",IF(ISNUMBER('Deal Sheet'!F19),"In Stock","CKD"))</f>
        <v/>
      </c>
      <c r="K19" s="797" t="str">
        <f>IF('Month of Invoicing'!H26=0,"",'Month of Invoicing'!H26)</f>
        <v/>
      </c>
      <c r="L19" s="798"/>
      <c r="M19" s="481"/>
      <c r="AM19" s="604" t="s">
        <v>705</v>
      </c>
      <c r="AO19" s="604" t="str">
        <f t="shared" si="0"/>
        <v/>
      </c>
      <c r="AP19" s="630" t="str">
        <f t="shared" si="1"/>
        <v/>
      </c>
      <c r="AQ19" s="630" t="str">
        <f t="shared" si="5"/>
        <v/>
      </c>
      <c r="AR19" s="604" t="str">
        <f t="shared" si="2"/>
        <v/>
      </c>
      <c r="AS19" s="604" t="str">
        <f t="shared" si="3"/>
        <v/>
      </c>
      <c r="AU19" s="606" t="str">
        <f t="shared" si="4"/>
        <v/>
      </c>
      <c r="AW19" s="604" t="str">
        <f t="array" ref="AW19">IFERROR(INDEX($AU$11:$AU$40,SMALL(IF(LEN($AU$11:$AU$40)&gt;2,ROW($AU$11:$AU$40)-ROW($AU$10)),ROW(9:9)),1),"")</f>
        <v/>
      </c>
    </row>
    <row r="20" spans="2:50">
      <c r="B20" s="482"/>
      <c r="C20" s="592"/>
      <c r="D20" s="585"/>
      <c r="E20" s="480"/>
      <c r="F20" s="587" t="str">
        <f>IF('Deal Sheet'!C20&lt;&gt;"",F19+1&amp;".","")</f>
        <v/>
      </c>
      <c r="G20" s="561"/>
      <c r="H20" s="608" t="str">
        <f>IF('Deal Sheet'!C20&lt;&gt;"",'Deal Sheet'!C20,"")</f>
        <v/>
      </c>
      <c r="I20" s="480" t="str">
        <f>IFERROR(VLOOKUP(H20,'price list MAN'!$B$5:$C$2002,2,FALSE),"")</f>
        <v/>
      </c>
      <c r="J20" s="602" t="str">
        <f>IF(F20="","",IF(ISNUMBER('Deal Sheet'!F20),"In Stock","CKD"))</f>
        <v/>
      </c>
      <c r="K20" s="797" t="str">
        <f>IF('Month of Invoicing'!H27=0,"",'Month of Invoicing'!H27)</f>
        <v/>
      </c>
      <c r="L20" s="798"/>
      <c r="M20" s="481"/>
      <c r="AM20" s="604" t="s">
        <v>706</v>
      </c>
      <c r="AO20" s="604" t="str">
        <f t="shared" si="0"/>
        <v/>
      </c>
      <c r="AP20" s="630" t="str">
        <f t="shared" si="1"/>
        <v/>
      </c>
      <c r="AQ20" s="630" t="str">
        <f t="shared" si="5"/>
        <v/>
      </c>
      <c r="AR20" s="604" t="str">
        <f t="shared" si="2"/>
        <v/>
      </c>
      <c r="AS20" s="604" t="str">
        <f t="shared" si="3"/>
        <v/>
      </c>
      <c r="AU20" s="606" t="str">
        <f t="shared" si="4"/>
        <v/>
      </c>
      <c r="AW20" s="604" t="str">
        <f t="array" ref="AW20">IFERROR(INDEX($AU$11:$AU$40,SMALL(IF(LEN($AU$11:$AU$40)&gt;2,ROW($AU$11:$AU$40)-ROW($AU$10)),ROW(10:10)),1),"")</f>
        <v/>
      </c>
    </row>
    <row r="21" spans="2:50">
      <c r="B21" s="482"/>
      <c r="C21" s="592" t="s">
        <v>675</v>
      </c>
      <c r="D21" s="681" t="s">
        <v>674</v>
      </c>
      <c r="E21" s="480"/>
      <c r="F21" s="587" t="str">
        <f>IF('Deal Sheet'!C21&lt;&gt;"",F20+1&amp;".","")</f>
        <v/>
      </c>
      <c r="G21" s="561"/>
      <c r="H21" s="608" t="str">
        <f>IF('Deal Sheet'!C21&lt;&gt;"",'Deal Sheet'!C21,"")</f>
        <v/>
      </c>
      <c r="I21" s="480" t="str">
        <f>IFERROR(VLOOKUP(H21,'price list MAN'!$B$5:$C$2002,2,FALSE),"")</f>
        <v/>
      </c>
      <c r="J21" s="602" t="str">
        <f>IF(F21="","",IF(ISNUMBER('Deal Sheet'!F21),"In Stock","CKD"))</f>
        <v/>
      </c>
      <c r="K21" s="797" t="str">
        <f>IF('Month of Invoicing'!H28=0,"",'Month of Invoicing'!H28)</f>
        <v/>
      </c>
      <c r="L21" s="798"/>
      <c r="M21" s="481"/>
      <c r="AO21" s="604" t="str">
        <f t="shared" si="0"/>
        <v/>
      </c>
      <c r="AP21" s="630" t="str">
        <f t="shared" si="1"/>
        <v/>
      </c>
      <c r="AQ21" s="630" t="str">
        <f t="shared" si="5"/>
        <v/>
      </c>
      <c r="AR21" s="604" t="str">
        <f t="shared" si="2"/>
        <v/>
      </c>
      <c r="AS21" s="604" t="str">
        <f t="shared" si="3"/>
        <v/>
      </c>
      <c r="AU21" s="606" t="str">
        <f t="shared" si="4"/>
        <v/>
      </c>
      <c r="AW21" s="604" t="str">
        <f t="array" ref="AW21">IFERROR(INDEX($AU$11:$AU$40,SMALL(IF(LEN($AU$11:$AU$40)&gt;2,ROW($AU$11:$AU$40)-ROW($AU$10)),ROW(11:11)),1),"")</f>
        <v/>
      </c>
    </row>
    <row r="22" spans="2:50">
      <c r="B22" s="482"/>
      <c r="C22" s="592" t="s">
        <v>673</v>
      </c>
      <c r="D22" s="598" t="str">
        <f>'Deal Sheet'!$C$3</f>
        <v>ABC Truck</v>
      </c>
      <c r="E22" s="480"/>
      <c r="F22" s="587" t="str">
        <f>IF('Deal Sheet'!C22&lt;&gt;"",F21+1&amp;".","")</f>
        <v/>
      </c>
      <c r="G22" s="561"/>
      <c r="H22" s="608" t="str">
        <f>IF('Deal Sheet'!C22&lt;&gt;"",'Deal Sheet'!C22,"")</f>
        <v/>
      </c>
      <c r="I22" s="480" t="str">
        <f>IFERROR(VLOOKUP(H22,'price list MAN'!$B$5:$C$2002,2,FALSE),"")</f>
        <v/>
      </c>
      <c r="J22" s="602" t="str">
        <f>IF(F22="","",IF(ISNUMBER('Deal Sheet'!F22),"In Stock","CKD"))</f>
        <v/>
      </c>
      <c r="K22" s="797" t="str">
        <f>IF('Month of Invoicing'!H29=0,"",'Month of Invoicing'!H29)</f>
        <v/>
      </c>
      <c r="L22" s="798"/>
      <c r="M22" s="481"/>
      <c r="AO22" s="604" t="str">
        <f t="shared" si="0"/>
        <v/>
      </c>
      <c r="AP22" s="630" t="str">
        <f t="shared" si="1"/>
        <v/>
      </c>
      <c r="AQ22" s="630" t="str">
        <f t="shared" si="5"/>
        <v/>
      </c>
      <c r="AR22" s="604" t="str">
        <f t="shared" si="2"/>
        <v/>
      </c>
      <c r="AS22" s="604" t="str">
        <f t="shared" si="3"/>
        <v/>
      </c>
      <c r="AU22" s="606" t="str">
        <f t="shared" si="4"/>
        <v/>
      </c>
      <c r="AW22" s="604" t="str">
        <f t="array" ref="AW22">IFERROR(INDEX($AU$11:$AU$40,SMALL(IF(LEN($AU$11:$AU$40)&gt;2,ROW($AU$11:$AU$40)-ROW($AU$10)),ROW(12:12)),1),"")</f>
        <v/>
      </c>
    </row>
    <row r="23" spans="2:50">
      <c r="B23" s="482"/>
      <c r="C23" s="592"/>
      <c r="D23" s="678" t="s">
        <v>685</v>
      </c>
      <c r="E23" s="480"/>
      <c r="F23" s="587" t="str">
        <f>IF('Deal Sheet'!C23&lt;&gt;"",F22+1&amp;".","")</f>
        <v/>
      </c>
      <c r="G23" s="561"/>
      <c r="H23" s="608" t="str">
        <f>IF('Deal Sheet'!C23&lt;&gt;"",'Deal Sheet'!C23,"")</f>
        <v/>
      </c>
      <c r="I23" s="480" t="str">
        <f>IFERROR(VLOOKUP(H23,'price list MAN'!$B$5:$C$2002,2,FALSE),"")</f>
        <v/>
      </c>
      <c r="J23" s="602" t="str">
        <f>IF(F23="","",IF(ISNUMBER('Deal Sheet'!F23),"In Stock","CKD"))</f>
        <v/>
      </c>
      <c r="K23" s="797" t="str">
        <f>IF('Month of Invoicing'!H30=0,"",'Month of Invoicing'!H30)</f>
        <v/>
      </c>
      <c r="L23" s="798"/>
      <c r="M23" s="481"/>
      <c r="AO23" s="604" t="str">
        <f t="shared" si="0"/>
        <v/>
      </c>
      <c r="AP23" s="630" t="str">
        <f t="shared" si="1"/>
        <v/>
      </c>
      <c r="AQ23" s="630" t="str">
        <f t="shared" si="5"/>
        <v/>
      </c>
      <c r="AR23" s="604" t="str">
        <f t="shared" si="2"/>
        <v/>
      </c>
      <c r="AS23" s="604" t="str">
        <f t="shared" si="3"/>
        <v/>
      </c>
      <c r="AU23" s="606" t="str">
        <f t="shared" si="4"/>
        <v/>
      </c>
      <c r="AW23" s="604" t="str">
        <f t="array" ref="AW23">IFERROR(INDEX($AU$11:$AU$40,SMALL(IF(LEN($AU$11:$AU$40)&gt;2,ROW($AU$11:$AU$40)-ROW($AU$10)),ROW(13:13)),1),"")</f>
        <v/>
      </c>
    </row>
    <row r="24" spans="2:50">
      <c r="B24" s="482"/>
      <c r="C24" s="592"/>
      <c r="D24" s="678" t="s">
        <v>686</v>
      </c>
      <c r="E24" s="480"/>
      <c r="F24" s="587" t="str">
        <f>IF('Deal Sheet'!C24&lt;&gt;"",F23+1&amp;".","")</f>
        <v/>
      </c>
      <c r="G24" s="561"/>
      <c r="H24" s="608" t="str">
        <f>IF('Deal Sheet'!C24&lt;&gt;"",'Deal Sheet'!C24,"")</f>
        <v/>
      </c>
      <c r="I24" s="480" t="str">
        <f>IFERROR(VLOOKUP(H24,'price list MAN'!$B$5:$C$2002,2,FALSE),"")</f>
        <v/>
      </c>
      <c r="J24" s="602" t="str">
        <f>IF(F24="","",IF(ISNUMBER('Deal Sheet'!F24),"In Stock","CKD"))</f>
        <v/>
      </c>
      <c r="K24" s="797" t="str">
        <f>IF('Month of Invoicing'!H31=0,"",'Month of Invoicing'!H31)</f>
        <v/>
      </c>
      <c r="L24" s="798"/>
      <c r="M24" s="481"/>
      <c r="AO24" s="604" t="str">
        <f t="shared" si="0"/>
        <v/>
      </c>
      <c r="AP24" s="630" t="str">
        <f t="shared" si="1"/>
        <v/>
      </c>
      <c r="AQ24" s="630" t="str">
        <f t="shared" si="5"/>
        <v/>
      </c>
      <c r="AR24" s="604" t="str">
        <f t="shared" si="2"/>
        <v/>
      </c>
      <c r="AS24" s="604" t="str">
        <f t="shared" si="3"/>
        <v/>
      </c>
      <c r="AU24" s="606" t="str">
        <f t="shared" si="4"/>
        <v/>
      </c>
      <c r="AW24" s="604" t="str">
        <f t="array" ref="AW24">IFERROR(INDEX($AU$11:$AU$40,SMALL(IF(LEN($AU$11:$AU$40)&gt;2,ROW($AU$11:$AU$40)-ROW($AU$10)),ROW(14:14)),1),"")</f>
        <v/>
      </c>
    </row>
    <row r="25" spans="2:50">
      <c r="B25" s="482"/>
      <c r="C25" s="592"/>
      <c r="D25" s="678" t="s">
        <v>687</v>
      </c>
      <c r="E25" s="480"/>
      <c r="F25" s="587" t="str">
        <f>IF('Deal Sheet'!C25&lt;&gt;"",F24+1&amp;".","")</f>
        <v/>
      </c>
      <c r="G25" s="561"/>
      <c r="H25" s="608" t="str">
        <f>IF('Deal Sheet'!C25&lt;&gt;"",'Deal Sheet'!C25,"")</f>
        <v/>
      </c>
      <c r="I25" s="480" t="str">
        <f>IFERROR(VLOOKUP(H25,'price list MAN'!$B$5:$C$2002,2,FALSE),"")</f>
        <v/>
      </c>
      <c r="J25" s="602" t="str">
        <f>IF(F25="","",IF(ISNUMBER('Deal Sheet'!F25),"In Stock","CKD"))</f>
        <v/>
      </c>
      <c r="K25" s="797" t="str">
        <f>IF('Month of Invoicing'!H32=0,"",'Month of Invoicing'!H32)</f>
        <v/>
      </c>
      <c r="L25" s="798"/>
      <c r="M25" s="481"/>
      <c r="AO25" s="604" t="str">
        <f t="shared" si="0"/>
        <v/>
      </c>
      <c r="AP25" s="630" t="str">
        <f t="shared" si="1"/>
        <v/>
      </c>
      <c r="AQ25" s="630" t="str">
        <f t="shared" si="5"/>
        <v/>
      </c>
      <c r="AR25" s="604" t="str">
        <f t="shared" si="2"/>
        <v/>
      </c>
      <c r="AS25" s="604" t="str">
        <f t="shared" si="3"/>
        <v/>
      </c>
      <c r="AU25" s="606" t="str">
        <f t="shared" si="4"/>
        <v/>
      </c>
      <c r="AW25" s="604" t="str">
        <f t="array" ref="AW25">IFERROR(INDEX($AU$11:$AU$40,SMALL(IF(LEN($AU$11:$AU$40)&gt;2,ROW($AU$11:$AU$40)-ROW($AU$10)),ROW(15:15)),1),"")</f>
        <v/>
      </c>
    </row>
    <row r="26" spans="2:50">
      <c r="B26" s="482"/>
      <c r="C26" s="592"/>
      <c r="D26" s="678" t="s">
        <v>273</v>
      </c>
      <c r="E26" s="480"/>
      <c r="F26" s="587" t="str">
        <f>IF('Deal Sheet'!C26&lt;&gt;"",F25+1&amp;".","")</f>
        <v/>
      </c>
      <c r="G26" s="561"/>
      <c r="H26" s="608" t="str">
        <f>IF('Deal Sheet'!C26&lt;&gt;"",'Deal Sheet'!C26,"")</f>
        <v/>
      </c>
      <c r="I26" s="480" t="str">
        <f>IFERROR(VLOOKUP(H26,'price list MAN'!$B$5:$C$2002,2,FALSE),"")</f>
        <v/>
      </c>
      <c r="J26" s="602" t="str">
        <f>IF(F26="","",IF(ISNUMBER('Deal Sheet'!F26),"In Stock","CKD"))</f>
        <v/>
      </c>
      <c r="K26" s="797" t="str">
        <f>IF('Month of Invoicing'!H33=0,"",'Month of Invoicing'!H33)</f>
        <v/>
      </c>
      <c r="L26" s="798"/>
      <c r="M26" s="481"/>
      <c r="AO26" s="604" t="str">
        <f t="shared" si="0"/>
        <v/>
      </c>
      <c r="AP26" s="630" t="str">
        <f t="shared" si="1"/>
        <v/>
      </c>
      <c r="AQ26" s="630" t="str">
        <f t="shared" si="5"/>
        <v/>
      </c>
      <c r="AR26" s="604" t="str">
        <f t="shared" ref="AR26:AR40" si="6">IF(AQ26&lt;&gt;"",COUNTIF(AP26:AP55,AQ26),"")</f>
        <v/>
      </c>
      <c r="AS26" s="604" t="str">
        <f t="shared" si="3"/>
        <v/>
      </c>
      <c r="AU26" s="606" t="str">
        <f t="shared" si="4"/>
        <v/>
      </c>
      <c r="AW26" s="604" t="str">
        <f t="array" ref="AW26">IFERROR(INDEX($AU$11:$AU$40,SMALL(IF(LEN($AU$11:$AU$40)&gt;2,ROW($AU$11:$AU$40)-ROW($AU$10)),ROW(16:16)),1),"")</f>
        <v/>
      </c>
      <c r="AX26" s="604" t="str">
        <f t="shared" ref="AX26:AX40" si="7">IFERROR(INDEX(F:F,SMALL(INDEX(NOT(ISBLANK($F$5:$F$20))*ROW($F$5:$F$20),0),COUNTBLANK($F$5:$F$20)+ROW(F16))),"")</f>
        <v/>
      </c>
    </row>
    <row r="27" spans="2:50">
      <c r="B27" s="482"/>
      <c r="C27" s="592"/>
      <c r="D27" s="678"/>
      <c r="E27" s="480"/>
      <c r="F27" s="587" t="str">
        <f>IF('Deal Sheet'!C27&lt;&gt;"",F26+1&amp;".","")</f>
        <v/>
      </c>
      <c r="G27" s="561"/>
      <c r="H27" s="608" t="str">
        <f>IF('Deal Sheet'!C27&lt;&gt;"",'Deal Sheet'!C27,"")</f>
        <v/>
      </c>
      <c r="I27" s="480" t="str">
        <f>IFERROR(VLOOKUP(H27,'price list MAN'!$B$5:$C$2002,2,FALSE),"")</f>
        <v/>
      </c>
      <c r="J27" s="602" t="str">
        <f>IF(F27="","",IF(ISNUMBER('Deal Sheet'!F27),"In Stock","CKD"))</f>
        <v/>
      </c>
      <c r="K27" s="797" t="str">
        <f>IF('Month of Invoicing'!H34=0,"",'Month of Invoicing'!H34)</f>
        <v/>
      </c>
      <c r="L27" s="798"/>
      <c r="M27" s="481"/>
      <c r="AO27" s="604" t="str">
        <f t="shared" si="0"/>
        <v/>
      </c>
      <c r="AP27" s="630" t="str">
        <f t="shared" si="1"/>
        <v/>
      </c>
      <c r="AQ27" s="630" t="str">
        <f t="shared" si="5"/>
        <v/>
      </c>
      <c r="AR27" s="604" t="str">
        <f t="shared" si="6"/>
        <v/>
      </c>
      <c r="AS27" s="604" t="str">
        <f t="shared" si="3"/>
        <v/>
      </c>
      <c r="AU27" s="606" t="str">
        <f t="shared" si="4"/>
        <v/>
      </c>
      <c r="AW27" s="604" t="str">
        <f t="array" ref="AW27">IFERROR(INDEX($AU$11:$AU$40,SMALL(IF(LEN($AU$11:$AU$40)&gt;2,ROW($AU$11:$AU$40)-ROW($AU$10)),ROW(17:17)),1),"")</f>
        <v/>
      </c>
      <c r="AX27" s="604" t="str">
        <f t="shared" si="7"/>
        <v/>
      </c>
    </row>
    <row r="28" spans="2:50">
      <c r="B28" s="482"/>
      <c r="C28" s="592" t="s">
        <v>676</v>
      </c>
      <c r="D28" s="682" t="s">
        <v>688</v>
      </c>
      <c r="E28" s="480"/>
      <c r="F28" s="587" t="str">
        <f>IF('Deal Sheet'!C28&lt;&gt;"",F27+1&amp;".","")</f>
        <v/>
      </c>
      <c r="G28" s="561"/>
      <c r="H28" s="608" t="str">
        <f>IF('Deal Sheet'!C28&lt;&gt;"",'Deal Sheet'!C28,"")</f>
        <v/>
      </c>
      <c r="I28" s="480" t="str">
        <f>IFERROR(VLOOKUP(H28,'price list MAN'!$B$5:$C$2002,2,FALSE),"")</f>
        <v/>
      </c>
      <c r="J28" s="602" t="str">
        <f>IF(F28="","",IF(ISNUMBER('Deal Sheet'!F28),"In Stock","CKD"))</f>
        <v/>
      </c>
      <c r="K28" s="797" t="str">
        <f>IF('Month of Invoicing'!H35=0,"",'Month of Invoicing'!H35)</f>
        <v/>
      </c>
      <c r="L28" s="798"/>
      <c r="M28" s="481"/>
      <c r="AO28" s="604" t="str">
        <f t="shared" si="0"/>
        <v/>
      </c>
      <c r="AP28" s="630" t="str">
        <f t="shared" si="1"/>
        <v/>
      </c>
      <c r="AQ28" s="630" t="str">
        <f t="shared" si="5"/>
        <v/>
      </c>
      <c r="AR28" s="604" t="str">
        <f t="shared" si="6"/>
        <v/>
      </c>
      <c r="AS28" s="604" t="str">
        <f t="shared" si="3"/>
        <v/>
      </c>
      <c r="AU28" s="606" t="str">
        <f t="shared" si="4"/>
        <v/>
      </c>
      <c r="AW28" s="604" t="str">
        <f t="array" ref="AW28">IFERROR(INDEX($AU$11:$AU$40,SMALL(IF(LEN($AU$11:$AU$40)&gt;2,ROW($AU$11:$AU$40)-ROW($AU$10)),ROW(18:18)),1),"")</f>
        <v/>
      </c>
      <c r="AX28" s="604" t="str">
        <f t="shared" si="7"/>
        <v/>
      </c>
    </row>
    <row r="29" spans="2:50">
      <c r="B29" s="482"/>
      <c r="C29" s="592"/>
      <c r="D29" s="585"/>
      <c r="E29" s="480"/>
      <c r="F29" s="587" t="str">
        <f>IF('Deal Sheet'!C29&lt;&gt;"",F28+1&amp;".","")</f>
        <v/>
      </c>
      <c r="G29" s="561"/>
      <c r="H29" s="608" t="str">
        <f>IF('Deal Sheet'!C29&lt;&gt;"",'Deal Sheet'!C29,"")</f>
        <v/>
      </c>
      <c r="I29" s="480" t="str">
        <f>IFERROR(VLOOKUP(H29,'price list MAN'!$B$5:$C$2002,2,FALSE),"")</f>
        <v/>
      </c>
      <c r="J29" s="602" t="str">
        <f>IF(F29="","",IF(ISNUMBER('Deal Sheet'!F29),"In Stock","CKD"))</f>
        <v/>
      </c>
      <c r="K29" s="797" t="str">
        <f>IF('Month of Invoicing'!H36=0,"",'Month of Invoicing'!H36)</f>
        <v/>
      </c>
      <c r="L29" s="798"/>
      <c r="M29" s="481"/>
      <c r="AO29" s="604" t="str">
        <f t="shared" si="0"/>
        <v/>
      </c>
      <c r="AP29" s="630" t="str">
        <f t="shared" si="1"/>
        <v/>
      </c>
      <c r="AQ29" s="630" t="str">
        <f t="shared" si="5"/>
        <v/>
      </c>
      <c r="AR29" s="604" t="str">
        <f t="shared" si="6"/>
        <v/>
      </c>
      <c r="AS29" s="604" t="str">
        <f t="shared" si="3"/>
        <v/>
      </c>
      <c r="AU29" s="606" t="str">
        <f t="shared" si="4"/>
        <v/>
      </c>
      <c r="AW29" s="604" t="str">
        <f t="array" ref="AW29">IFERROR(INDEX($AU$11:$AU$40,SMALL(IF(LEN($AU$11:$AU$40)&gt;2,ROW($AU$11:$AU$40)-ROW($AU$10)),ROW(19:19)),1),"")</f>
        <v/>
      </c>
      <c r="AX29" s="604" t="str">
        <f t="shared" si="7"/>
        <v/>
      </c>
    </row>
    <row r="30" spans="2:50">
      <c r="B30" s="482"/>
      <c r="C30" s="592" t="s">
        <v>677</v>
      </c>
      <c r="D30" s="683" t="s">
        <v>726</v>
      </c>
      <c r="E30" s="527"/>
      <c r="F30" s="587" t="str">
        <f>IF('Deal Sheet'!C30&lt;&gt;"",F29+1&amp;".","")</f>
        <v/>
      </c>
      <c r="G30" s="561"/>
      <c r="H30" s="608" t="str">
        <f>IF('Deal Sheet'!C30&lt;&gt;"",'Deal Sheet'!C30,"")</f>
        <v/>
      </c>
      <c r="I30" s="480" t="str">
        <f>IFERROR(VLOOKUP(H30,'price list MAN'!$B$5:$C$2002,2,FALSE),"")</f>
        <v/>
      </c>
      <c r="J30" s="602" t="str">
        <f>IF(F30="","",IF(ISNUMBER('Deal Sheet'!F30),"In Stock","CKD"))</f>
        <v/>
      </c>
      <c r="K30" s="797" t="str">
        <f>IF('Month of Invoicing'!H37=0,"",'Month of Invoicing'!H37)</f>
        <v/>
      </c>
      <c r="L30" s="798"/>
      <c r="M30" s="481"/>
      <c r="AO30" s="604" t="str">
        <f t="shared" si="0"/>
        <v/>
      </c>
      <c r="AP30" s="630" t="str">
        <f t="shared" si="1"/>
        <v/>
      </c>
      <c r="AQ30" s="630" t="str">
        <f>IF(AP30=AP29,"",AP30)</f>
        <v/>
      </c>
      <c r="AR30" s="604" t="str">
        <f t="shared" si="6"/>
        <v/>
      </c>
      <c r="AS30" s="604" t="str">
        <f t="shared" si="3"/>
        <v/>
      </c>
      <c r="AU30" s="606" t="str">
        <f t="shared" si="4"/>
        <v/>
      </c>
      <c r="AW30" s="604" t="str">
        <f t="array" ref="AW30">IFERROR(INDEX($AU$11:$AU$40,SMALL(IF(LEN($AU$11:$AU$40)&gt;2,ROW($AU$11:$AU$40)-ROW($AU$10)),ROW(20:20)),1),"")</f>
        <v/>
      </c>
      <c r="AX30" s="604" t="str">
        <f t="shared" si="7"/>
        <v/>
      </c>
    </row>
    <row r="31" spans="2:50">
      <c r="B31" s="482"/>
      <c r="C31" s="592" t="s">
        <v>678</v>
      </c>
      <c r="D31" s="682" t="s">
        <v>681</v>
      </c>
      <c r="E31" s="480"/>
      <c r="F31" s="587" t="str">
        <f>IF('Deal Sheet'!C31&lt;&gt;"",F30+1&amp;".","")</f>
        <v/>
      </c>
      <c r="G31" s="561"/>
      <c r="H31" s="608" t="str">
        <f>IF('Deal Sheet'!C31&lt;&gt;"",'Deal Sheet'!C31,"")</f>
        <v/>
      </c>
      <c r="I31" s="480" t="str">
        <f>IFERROR(VLOOKUP(H31,'price list MAN'!$B$5:$C$2002,2,FALSE),"")</f>
        <v/>
      </c>
      <c r="J31" s="602" t="str">
        <f>IF(F31="","",IF(ISNUMBER('Deal Sheet'!F31),"In Stock","CKD"))</f>
        <v/>
      </c>
      <c r="K31" s="797" t="str">
        <f>IF('Month of Invoicing'!H38=0,"",'Month of Invoicing'!H38)</f>
        <v/>
      </c>
      <c r="L31" s="798"/>
      <c r="M31" s="481"/>
      <c r="AO31" s="604" t="str">
        <f t="shared" si="0"/>
        <v/>
      </c>
      <c r="AP31" s="630" t="str">
        <f t="shared" si="1"/>
        <v/>
      </c>
      <c r="AQ31" s="630" t="str">
        <f t="shared" si="5"/>
        <v/>
      </c>
      <c r="AR31" s="604" t="str">
        <f t="shared" si="6"/>
        <v/>
      </c>
      <c r="AS31" s="604" t="str">
        <f t="shared" si="3"/>
        <v/>
      </c>
      <c r="AU31" s="606" t="str">
        <f t="shared" si="4"/>
        <v/>
      </c>
      <c r="AW31" s="604" t="str">
        <f t="array" ref="AW31">IFERROR(INDEX($AU$11:$AU$40,SMALL(IF(LEN($AU$11:$AU$40)&gt;2,ROW($AU$11:$AU$40)-ROW($AU$10)),ROW(21:21)),1),"")</f>
        <v/>
      </c>
      <c r="AX31" s="604" t="str">
        <f t="shared" si="7"/>
        <v/>
      </c>
    </row>
    <row r="32" spans="2:50">
      <c r="B32" s="482"/>
      <c r="C32" s="592" t="s">
        <v>679</v>
      </c>
      <c r="D32" s="682" t="s">
        <v>682</v>
      </c>
      <c r="E32" s="527"/>
      <c r="F32" s="587" t="str">
        <f>IF('Deal Sheet'!C32&lt;&gt;"",F31+1&amp;".","")</f>
        <v/>
      </c>
      <c r="G32" s="561"/>
      <c r="H32" s="608" t="str">
        <f>IF('Deal Sheet'!C32&lt;&gt;"",'Deal Sheet'!C32,"")</f>
        <v/>
      </c>
      <c r="I32" s="480" t="str">
        <f>IFERROR(VLOOKUP(H32,'price list MAN'!$B$5:$C$2002,2,FALSE),"")</f>
        <v/>
      </c>
      <c r="J32" s="602" t="str">
        <f>IF(F32="","",IF(ISNUMBER('Deal Sheet'!F32),"In Stock","CKD"))</f>
        <v/>
      </c>
      <c r="K32" s="797" t="str">
        <f>IF('Month of Invoicing'!H39=0,"",'Month of Invoicing'!H39)</f>
        <v/>
      </c>
      <c r="L32" s="798"/>
      <c r="M32" s="481"/>
      <c r="AM32" s="604" t="str">
        <f>SUBSTITUTE(SUBSTITUTE(D30," ",""),"-","")</f>
        <v>0120031234</v>
      </c>
      <c r="AO32" s="604" t="str">
        <f t="shared" si="0"/>
        <v/>
      </c>
      <c r="AP32" s="630" t="str">
        <f t="shared" si="1"/>
        <v/>
      </c>
      <c r="AQ32" s="630" t="str">
        <f t="shared" si="5"/>
        <v/>
      </c>
      <c r="AR32" s="604" t="str">
        <f t="shared" si="6"/>
        <v/>
      </c>
      <c r="AS32" s="604" t="str">
        <f t="shared" si="3"/>
        <v/>
      </c>
      <c r="AU32" s="606" t="str">
        <f t="shared" si="4"/>
        <v/>
      </c>
      <c r="AW32" s="604" t="str">
        <f t="array" ref="AW32">IFERROR(INDEX($AU$11:$AU$40,SMALL(IF(LEN($AU$11:$AU$40)&gt;2,ROW($AU$11:$AU$40)-ROW($AU$10)),ROW(22:22)),1),"")</f>
        <v/>
      </c>
      <c r="AX32" s="604" t="str">
        <f t="shared" si="7"/>
        <v/>
      </c>
    </row>
    <row r="33" spans="2:50">
      <c r="B33" s="482"/>
      <c r="C33" s="593" t="s">
        <v>680</v>
      </c>
      <c r="D33" s="684" t="s">
        <v>654</v>
      </c>
      <c r="E33" s="527"/>
      <c r="F33" s="587" t="str">
        <f>IF('Deal Sheet'!C33&lt;&gt;"",F32+1&amp;".","")</f>
        <v/>
      </c>
      <c r="G33" s="561"/>
      <c r="H33" s="608" t="str">
        <f>IF('Deal Sheet'!C33&lt;&gt;"",'Deal Sheet'!C33,"")</f>
        <v/>
      </c>
      <c r="I33" s="480" t="str">
        <f>IFERROR(VLOOKUP(H33,'price list MAN'!$B$5:$C$2002,2,FALSE),"")</f>
        <v/>
      </c>
      <c r="J33" s="602" t="str">
        <f>IF(F33="","",IF(ISNUMBER('Deal Sheet'!F33),"In Stock","CKD"))</f>
        <v/>
      </c>
      <c r="K33" s="797" t="str">
        <f>IF('Month of Invoicing'!H40=0,"",'Month of Invoicing'!H40)</f>
        <v/>
      </c>
      <c r="L33" s="798"/>
      <c r="M33" s="481"/>
      <c r="AM33" s="604" t="str">
        <f>SUBSTITUTE(SUBSTITUTE(D31," ",""),"-","")</f>
        <v>0731234567</v>
      </c>
      <c r="AO33" s="604" t="str">
        <f t="shared" si="0"/>
        <v/>
      </c>
      <c r="AP33" s="630" t="str">
        <f t="shared" si="1"/>
        <v/>
      </c>
      <c r="AQ33" s="630" t="str">
        <f t="shared" si="5"/>
        <v/>
      </c>
      <c r="AR33" s="604" t="str">
        <f t="shared" si="6"/>
        <v/>
      </c>
      <c r="AS33" s="604" t="str">
        <f t="shared" si="3"/>
        <v/>
      </c>
      <c r="AU33" s="606" t="str">
        <f t="shared" si="4"/>
        <v/>
      </c>
      <c r="AW33" s="604" t="str">
        <f t="array" ref="AW33">IFERROR(INDEX($AU$11:$AU$40,SMALL(IF(LEN($AU$11:$AU$40)&gt;2,ROW($AU$11:$AU$40)-ROW($AU$10)),ROW(23:23)),1),"")</f>
        <v/>
      </c>
      <c r="AX33" s="604" t="str">
        <f t="shared" si="7"/>
        <v/>
      </c>
    </row>
    <row r="34" spans="2:50">
      <c r="B34" s="482"/>
      <c r="C34" s="480"/>
      <c r="D34" s="480"/>
      <c r="E34" s="596"/>
      <c r="F34" s="587" t="str">
        <f>IF('Deal Sheet'!C34&lt;&gt;"",F33+1&amp;".","")</f>
        <v/>
      </c>
      <c r="G34" s="561"/>
      <c r="H34" s="608" t="str">
        <f>IF('Deal Sheet'!C34&lt;&gt;"",'Deal Sheet'!C34,"")</f>
        <v/>
      </c>
      <c r="I34" s="480" t="str">
        <f>IFERROR(VLOOKUP(H34,'price list MAN'!$B$5:$C$2002,2,FALSE),"")</f>
        <v/>
      </c>
      <c r="J34" s="602" t="str">
        <f>IF(F34="","",IF(ISNUMBER('Deal Sheet'!F34),"In Stock","CKD"))</f>
        <v/>
      </c>
      <c r="K34" s="797" t="str">
        <f>IF('Month of Invoicing'!H41=0,"",'Month of Invoicing'!H41)</f>
        <v/>
      </c>
      <c r="L34" s="798"/>
      <c r="M34" s="481"/>
      <c r="AM34" s="604" t="str">
        <f>SUBSTITUTE(SUBSTITUTE(D32," ",""),"-","")</f>
        <v>0866692700</v>
      </c>
      <c r="AO34" s="604" t="str">
        <f t="shared" si="0"/>
        <v/>
      </c>
      <c r="AP34" s="630" t="str">
        <f t="shared" si="1"/>
        <v/>
      </c>
      <c r="AQ34" s="630" t="str">
        <f>IF(AP34=AP33,"",AP34)</f>
        <v/>
      </c>
      <c r="AR34" s="604" t="str">
        <f t="shared" si="6"/>
        <v/>
      </c>
      <c r="AS34" s="604" t="str">
        <f t="shared" si="3"/>
        <v/>
      </c>
      <c r="AU34" s="606" t="str">
        <f t="shared" si="4"/>
        <v/>
      </c>
      <c r="AW34" s="604" t="str">
        <f t="array" ref="AW34">IFERROR(INDEX($AU$11:$AU$40,SMALL(IF(LEN($AU$11:$AU$40)&gt;2,ROW($AU$11:$AU$40)-ROW($AU$10)),ROW(24:24)),1),"")</f>
        <v/>
      </c>
      <c r="AX34" s="604" t="str">
        <f t="shared" si="7"/>
        <v/>
      </c>
    </row>
    <row r="35" spans="2:50">
      <c r="B35" s="482"/>
      <c r="C35" s="610" t="s">
        <v>717</v>
      </c>
      <c r="D35" s="595"/>
      <c r="E35" s="480"/>
      <c r="F35" s="587" t="str">
        <f>IF('Deal Sheet'!C35&lt;&gt;"",F34+1&amp;".","")</f>
        <v/>
      </c>
      <c r="G35" s="561"/>
      <c r="H35" s="608" t="str">
        <f>IF('Deal Sheet'!C35&lt;&gt;"",'Deal Sheet'!C35,"")</f>
        <v/>
      </c>
      <c r="I35" s="480" t="str">
        <f>IFERROR(VLOOKUP(H35,'price list MAN'!$B$5:$C$2002,2,FALSE),"")</f>
        <v/>
      </c>
      <c r="J35" s="602" t="str">
        <f>IF(F35="","",IF(ISNUMBER('Deal Sheet'!F35),"In Stock","CKD"))</f>
        <v/>
      </c>
      <c r="K35" s="797" t="str">
        <f>IF('Month of Invoicing'!H42=0,"",'Month of Invoicing'!H42)</f>
        <v/>
      </c>
      <c r="L35" s="798"/>
      <c r="M35" s="481"/>
      <c r="AO35" s="604" t="str">
        <f t="shared" si="0"/>
        <v/>
      </c>
      <c r="AP35" s="630" t="str">
        <f t="shared" si="1"/>
        <v/>
      </c>
      <c r="AQ35" s="630" t="str">
        <f t="shared" si="5"/>
        <v/>
      </c>
      <c r="AR35" s="604" t="str">
        <f t="shared" si="6"/>
        <v/>
      </c>
      <c r="AS35" s="604" t="str">
        <f t="shared" si="3"/>
        <v/>
      </c>
      <c r="AU35" s="606" t="str">
        <f t="shared" si="4"/>
        <v/>
      </c>
      <c r="AW35" s="604" t="str">
        <f t="array" ref="AW35">IFERROR(INDEX($AU$11:$AU$40,SMALL(IF(LEN($AU$11:$AU$40)&gt;2,ROW($AU$11:$AU$40)-ROW($AU$10)),ROW(25:25)),1),"")</f>
        <v/>
      </c>
      <c r="AX35" s="604" t="str">
        <f t="shared" si="7"/>
        <v/>
      </c>
    </row>
    <row r="36" spans="2:50">
      <c r="B36" s="482"/>
      <c r="C36" s="592"/>
      <c r="D36" s="585"/>
      <c r="E36" s="480"/>
      <c r="F36" s="587" t="str">
        <f>IF('Deal Sheet'!C36&lt;&gt;"",F35+1&amp;".","")</f>
        <v/>
      </c>
      <c r="G36" s="561"/>
      <c r="H36" s="608" t="str">
        <f>IF('Deal Sheet'!C36&lt;&gt;"",'Deal Sheet'!C36,"")</f>
        <v/>
      </c>
      <c r="I36" s="480" t="str">
        <f>IFERROR(VLOOKUP(H36,'price list MAN'!$B$5:$C$2002,2,FALSE),"")</f>
        <v/>
      </c>
      <c r="J36" s="602" t="str">
        <f>IF(F36="","",IF(ISNUMBER('Deal Sheet'!F36),"In Stock","CKD"))</f>
        <v/>
      </c>
      <c r="K36" s="797" t="str">
        <f>IF('Month of Invoicing'!H43=0,"",'Month of Invoicing'!H43)</f>
        <v/>
      </c>
      <c r="L36" s="798"/>
      <c r="M36" s="481"/>
      <c r="AO36" s="604" t="str">
        <f t="shared" si="0"/>
        <v/>
      </c>
      <c r="AP36" s="630" t="str">
        <f t="shared" si="1"/>
        <v/>
      </c>
      <c r="AQ36" s="630" t="str">
        <f t="shared" si="5"/>
        <v/>
      </c>
      <c r="AR36" s="604" t="str">
        <f t="shared" si="6"/>
        <v/>
      </c>
      <c r="AS36" s="604" t="str">
        <f t="shared" si="3"/>
        <v/>
      </c>
      <c r="AU36" s="606" t="str">
        <f t="shared" si="4"/>
        <v/>
      </c>
      <c r="AW36" s="604" t="str">
        <f t="array" ref="AW36">IFERROR(INDEX($AU$11:$AU$40,SMALL(IF(LEN($AU$11:$AU$40)&gt;2,ROW($AU$11:$AU$40)-ROW($AU$10)),ROW(26:26)),1),"")</f>
        <v/>
      </c>
      <c r="AX36" s="604" t="str">
        <f t="shared" si="7"/>
        <v/>
      </c>
    </row>
    <row r="37" spans="2:50">
      <c r="B37" s="482"/>
      <c r="C37" s="592" t="s">
        <v>646</v>
      </c>
      <c r="D37" s="685" t="s">
        <v>690</v>
      </c>
      <c r="E37" s="480"/>
      <c r="F37" s="587" t="str">
        <f>IF('Deal Sheet'!C37&lt;&gt;"",F36+1&amp;".","")</f>
        <v/>
      </c>
      <c r="G37" s="561"/>
      <c r="H37" s="608" t="str">
        <f>IF('Deal Sheet'!C37&lt;&gt;"",'Deal Sheet'!C37,"")</f>
        <v/>
      </c>
      <c r="I37" s="480" t="str">
        <f>IFERROR(VLOOKUP(H37,'price list MAN'!$B$5:$C$2002,2,FALSE),"")</f>
        <v/>
      </c>
      <c r="J37" s="602" t="str">
        <f>IF(F37="","",IF(ISNUMBER('Deal Sheet'!F37),"In Stock","CKD"))</f>
        <v/>
      </c>
      <c r="K37" s="797" t="str">
        <f>IF('Month of Invoicing'!H44=0,"",'Month of Invoicing'!H44)</f>
        <v/>
      </c>
      <c r="L37" s="798"/>
      <c r="M37" s="481"/>
      <c r="AO37" s="604" t="str">
        <f t="shared" si="0"/>
        <v/>
      </c>
      <c r="AP37" s="630" t="str">
        <f t="shared" si="1"/>
        <v/>
      </c>
      <c r="AQ37" s="630" t="str">
        <f t="shared" si="5"/>
        <v/>
      </c>
      <c r="AR37" s="604" t="str">
        <f t="shared" si="6"/>
        <v/>
      </c>
      <c r="AS37" s="604" t="str">
        <f t="shared" si="3"/>
        <v/>
      </c>
      <c r="AU37" s="606" t="str">
        <f t="shared" si="4"/>
        <v/>
      </c>
      <c r="AW37" s="604" t="str">
        <f t="array" ref="AW37">IFERROR(INDEX($AU$11:$AU$40,SMALL(IF(LEN($AU$11:$AU$40)&gt;2,ROW($AU$11:$AU$40)-ROW($AU$10)),ROW(27:27)),1),"")</f>
        <v/>
      </c>
      <c r="AX37" s="604" t="str">
        <f t="shared" si="7"/>
        <v/>
      </c>
    </row>
    <row r="38" spans="2:50">
      <c r="B38" s="482"/>
      <c r="C38" s="592" t="s">
        <v>692</v>
      </c>
      <c r="D38" s="678" t="s">
        <v>697</v>
      </c>
      <c r="E38" s="480"/>
      <c r="F38" s="587" t="str">
        <f>IF('Deal Sheet'!C38&lt;&gt;"",F37+1&amp;".","")</f>
        <v/>
      </c>
      <c r="G38" s="561"/>
      <c r="H38" s="608" t="str">
        <f>IF('Deal Sheet'!C38&lt;&gt;"",'Deal Sheet'!C38,"")</f>
        <v/>
      </c>
      <c r="I38" s="480" t="str">
        <f>IFERROR(VLOOKUP(H38,'price list MAN'!$B$5:$C$2002,2,FALSE),"")</f>
        <v/>
      </c>
      <c r="J38" s="602" t="str">
        <f>IF(F38="","",IF(ISNUMBER('Deal Sheet'!F38),"In Stock","CKD"))</f>
        <v/>
      </c>
      <c r="K38" s="797" t="str">
        <f>IF('Month of Invoicing'!H45=0,"",'Month of Invoicing'!H45)</f>
        <v/>
      </c>
      <c r="L38" s="798"/>
      <c r="M38" s="481"/>
      <c r="AO38" s="604" t="str">
        <f t="shared" si="0"/>
        <v/>
      </c>
      <c r="AP38" s="630" t="str">
        <f t="shared" si="1"/>
        <v/>
      </c>
      <c r="AQ38" s="630" t="str">
        <f t="shared" si="5"/>
        <v/>
      </c>
      <c r="AR38" s="604" t="str">
        <f t="shared" si="6"/>
        <v/>
      </c>
      <c r="AS38" s="604" t="str">
        <f t="shared" si="3"/>
        <v/>
      </c>
      <c r="AU38" s="606" t="str">
        <f t="shared" si="4"/>
        <v/>
      </c>
      <c r="AW38" s="604" t="str">
        <f t="array" ref="AW38">IFERROR(INDEX($AU$11:$AU$40,SMALL(IF(LEN($AU$11:$AU$40)&gt;2,ROW($AU$11:$AU$40)-ROW($AU$10)),ROW(28:28)),1),"")</f>
        <v/>
      </c>
      <c r="AX38" s="604" t="str">
        <f t="shared" si="7"/>
        <v/>
      </c>
    </row>
    <row r="39" spans="2:50">
      <c r="B39" s="482"/>
      <c r="C39" s="592" t="s">
        <v>693</v>
      </c>
      <c r="D39" s="685" t="s">
        <v>696</v>
      </c>
      <c r="E39" s="480"/>
      <c r="F39" s="588"/>
      <c r="G39" s="589"/>
      <c r="H39" s="609"/>
      <c r="I39" s="590"/>
      <c r="J39" s="603" t="str">
        <f>IF(F39="","",IF(ISNUMBER(#REF!),"In Stock","CKD"))</f>
        <v/>
      </c>
      <c r="K39" s="806"/>
      <c r="L39" s="807"/>
      <c r="M39" s="481"/>
      <c r="AO39" s="604" t="str">
        <f t="shared" si="0"/>
        <v/>
      </c>
      <c r="AP39" s="630" t="str">
        <f t="shared" si="1"/>
        <v/>
      </c>
      <c r="AQ39" s="630" t="str">
        <f t="shared" si="5"/>
        <v/>
      </c>
      <c r="AR39" s="604" t="str">
        <f t="shared" si="6"/>
        <v/>
      </c>
      <c r="AS39" s="604" t="str">
        <f t="shared" si="3"/>
        <v/>
      </c>
      <c r="AU39" s="606" t="str">
        <f t="shared" si="4"/>
        <v/>
      </c>
      <c r="AW39" s="604" t="str">
        <f t="array" ref="AW39">IFERROR(INDEX($AU$11:$AU$40,SMALL(IF(LEN($AU$11:$AU$40)&gt;2,ROW($AU$11:$AU$40)-ROW($AU$10)),ROW(29:29)),1),"")</f>
        <v/>
      </c>
      <c r="AX39" s="604" t="str">
        <f t="shared" si="7"/>
        <v/>
      </c>
    </row>
    <row r="40" spans="2:50">
      <c r="B40" s="482"/>
      <c r="C40" s="592" t="s">
        <v>694</v>
      </c>
      <c r="D40" s="682" t="s">
        <v>770</v>
      </c>
      <c r="E40" s="480"/>
      <c r="F40" s="480"/>
      <c r="G40" s="559"/>
      <c r="H40" s="480"/>
      <c r="I40" s="480"/>
      <c r="J40" s="570"/>
      <c r="K40" s="480"/>
      <c r="L40" s="480"/>
      <c r="M40" s="481"/>
      <c r="AO40" s="604" t="str">
        <f t="shared" si="0"/>
        <v/>
      </c>
      <c r="AP40" s="630" t="str">
        <f t="shared" si="1"/>
        <v/>
      </c>
      <c r="AQ40" s="630" t="str">
        <f t="shared" si="5"/>
        <v/>
      </c>
      <c r="AR40" s="604" t="str">
        <f t="shared" si="6"/>
        <v/>
      </c>
      <c r="AS40" s="604" t="str">
        <f t="shared" si="3"/>
        <v/>
      </c>
      <c r="AU40" s="606" t="str">
        <f t="shared" si="4"/>
        <v/>
      </c>
      <c r="AX40" s="604" t="str">
        <f t="shared" si="7"/>
        <v/>
      </c>
    </row>
    <row r="41" spans="2:50">
      <c r="B41" s="482"/>
      <c r="C41" s="592"/>
      <c r="D41" s="660"/>
      <c r="E41" s="480"/>
      <c r="F41" s="480"/>
      <c r="G41" s="559"/>
      <c r="H41" s="480"/>
      <c r="I41" s="480"/>
      <c r="J41" s="570"/>
      <c r="K41" s="480"/>
      <c r="L41" s="480"/>
      <c r="M41" s="481"/>
      <c r="AP41" s="630"/>
      <c r="AU41" s="606" t="str">
        <f t="shared" si="4"/>
        <v/>
      </c>
    </row>
    <row r="42" spans="2:50" ht="14.4" customHeight="1">
      <c r="B42" s="482"/>
      <c r="C42" s="592" t="s">
        <v>695</v>
      </c>
      <c r="D42" s="685" t="s">
        <v>715</v>
      </c>
      <c r="E42" s="480"/>
      <c r="F42" s="794" t="s">
        <v>712</v>
      </c>
      <c r="G42" s="795"/>
      <c r="H42" s="795"/>
      <c r="I42" s="795"/>
      <c r="J42" s="795"/>
      <c r="K42" s="795"/>
      <c r="L42" s="796"/>
      <c r="M42" s="481"/>
      <c r="AP42" s="630"/>
    </row>
    <row r="43" spans="2:50">
      <c r="B43" s="482"/>
      <c r="C43" s="592"/>
      <c r="D43" s="686" t="s">
        <v>698</v>
      </c>
      <c r="E43" s="480"/>
      <c r="F43" s="592"/>
      <c r="G43" s="559"/>
      <c r="H43" s="480"/>
      <c r="I43" s="480"/>
      <c r="J43" s="570"/>
      <c r="K43" s="480"/>
      <c r="L43" s="585"/>
      <c r="M43" s="481"/>
    </row>
    <row r="44" spans="2:50">
      <c r="B44" s="482"/>
      <c r="C44" s="592"/>
      <c r="D44" s="685" t="s">
        <v>699</v>
      </c>
      <c r="E44" s="480"/>
      <c r="F44" s="592"/>
      <c r="G44" s="793" t="s">
        <v>704</v>
      </c>
      <c r="H44" s="793"/>
      <c r="I44" s="693" t="s">
        <v>706</v>
      </c>
      <c r="J44" s="480"/>
      <c r="K44" s="480"/>
      <c r="L44" s="585"/>
      <c r="M44" s="481"/>
    </row>
    <row r="45" spans="2:50">
      <c r="B45" s="482"/>
      <c r="C45" s="592"/>
      <c r="D45" s="686" t="s">
        <v>273</v>
      </c>
      <c r="E45" s="480"/>
      <c r="F45" s="592"/>
      <c r="G45" s="559"/>
      <c r="H45" s="559"/>
      <c r="I45" s="480"/>
      <c r="J45" s="480"/>
      <c r="K45" s="480"/>
      <c r="L45" s="585"/>
      <c r="M45" s="481"/>
    </row>
    <row r="46" spans="2:50">
      <c r="B46" s="482"/>
      <c r="C46" s="592"/>
      <c r="D46" s="685"/>
      <c r="E46" s="480"/>
      <c r="F46" s="592"/>
      <c r="G46" s="793" t="s">
        <v>708</v>
      </c>
      <c r="H46" s="793"/>
      <c r="I46" s="480" t="str">
        <f>IF(AW11="","",AW11)</f>
        <v>Deliver  X2 Unit(s)  : 2017-09</v>
      </c>
      <c r="J46" s="480"/>
      <c r="K46" s="480"/>
      <c r="L46" s="585"/>
      <c r="M46" s="481"/>
    </row>
    <row r="47" spans="2:50">
      <c r="B47" s="482"/>
      <c r="C47" s="592" t="s">
        <v>676</v>
      </c>
      <c r="D47" s="687" t="s">
        <v>688</v>
      </c>
      <c r="E47" s="480"/>
      <c r="F47" s="592"/>
      <c r="G47" s="559"/>
      <c r="H47" s="559"/>
      <c r="I47" s="480" t="str">
        <f t="shared" ref="I47:I50" si="8">IF(AW12="","",AW12)</f>
        <v>Deliver  X1 Unit(s)  : 2017-10</v>
      </c>
      <c r="J47" s="480"/>
      <c r="K47" s="480"/>
      <c r="L47" s="585"/>
      <c r="M47" s="481"/>
    </row>
    <row r="48" spans="2:50">
      <c r="B48" s="482"/>
      <c r="C48" s="592"/>
      <c r="D48" s="661"/>
      <c r="E48" s="480"/>
      <c r="F48" s="592"/>
      <c r="G48" s="559"/>
      <c r="H48" s="559"/>
      <c r="I48" s="480" t="str">
        <f t="shared" si="8"/>
        <v>Deliver  X1 Unit(s)  : 2017-11</v>
      </c>
      <c r="J48" s="480"/>
      <c r="K48" s="480"/>
      <c r="L48" s="585"/>
      <c r="M48" s="481"/>
    </row>
    <row r="49" spans="2:13">
      <c r="B49" s="482"/>
      <c r="C49" s="592" t="s">
        <v>700</v>
      </c>
      <c r="D49" s="688">
        <v>45402730456</v>
      </c>
      <c r="E49" s="480"/>
      <c r="F49" s="592"/>
      <c r="G49" s="559"/>
      <c r="H49" s="559"/>
      <c r="I49" s="480" t="str">
        <f t="shared" si="8"/>
        <v>Deliver  X1 Unit(s)  : 2018-03</v>
      </c>
      <c r="J49" s="480"/>
      <c r="K49" s="480"/>
      <c r="L49" s="585"/>
      <c r="M49" s="481"/>
    </row>
    <row r="50" spans="2:13">
      <c r="B50" s="482"/>
      <c r="C50" s="592" t="s">
        <v>647</v>
      </c>
      <c r="D50" s="678" t="s">
        <v>701</v>
      </c>
      <c r="E50" s="480"/>
      <c r="F50" s="592"/>
      <c r="G50" s="559"/>
      <c r="H50" s="559"/>
      <c r="I50" s="480" t="str">
        <f t="shared" si="8"/>
        <v/>
      </c>
      <c r="J50" s="480"/>
      <c r="K50" s="480"/>
      <c r="L50" s="585"/>
      <c r="M50" s="481"/>
    </row>
    <row r="51" spans="2:13">
      <c r="B51" s="482"/>
      <c r="C51" s="592" t="s">
        <v>702</v>
      </c>
      <c r="D51" s="678" t="s">
        <v>52</v>
      </c>
      <c r="E51" s="480"/>
      <c r="F51" s="592"/>
      <c r="G51" s="559"/>
      <c r="H51" s="559"/>
      <c r="I51" s="480" t="str">
        <f>IF(AW16="","",AW16)</f>
        <v/>
      </c>
      <c r="J51" s="480"/>
      <c r="K51" s="480"/>
      <c r="L51" s="585"/>
      <c r="M51" s="481"/>
    </row>
    <row r="52" spans="2:13">
      <c r="B52" s="482"/>
      <c r="C52" s="592" t="s">
        <v>703</v>
      </c>
      <c r="D52" s="685"/>
      <c r="E52" s="480"/>
      <c r="F52" s="592"/>
      <c r="G52" s="559" t="s">
        <v>721</v>
      </c>
      <c r="H52" s="559"/>
      <c r="I52" s="691" t="s">
        <v>723</v>
      </c>
      <c r="J52" s="480"/>
      <c r="K52" s="480"/>
      <c r="L52" s="585"/>
      <c r="M52" s="481"/>
    </row>
    <row r="53" spans="2:13">
      <c r="B53" s="482"/>
      <c r="C53" s="592" t="s">
        <v>771</v>
      </c>
      <c r="D53" s="689">
        <v>500000</v>
      </c>
      <c r="E53" s="480"/>
      <c r="F53" s="592"/>
      <c r="G53" s="793" t="s">
        <v>709</v>
      </c>
      <c r="H53" s="793"/>
      <c r="I53" s="692" t="s">
        <v>713</v>
      </c>
      <c r="J53" s="662"/>
      <c r="K53" s="480"/>
      <c r="L53" s="585"/>
      <c r="M53" s="481"/>
    </row>
    <row r="54" spans="2:13">
      <c r="B54" s="482"/>
      <c r="C54" s="593" t="s">
        <v>772</v>
      </c>
      <c r="D54" s="690">
        <v>100000</v>
      </c>
      <c r="E54" s="480"/>
      <c r="F54" s="593"/>
      <c r="G54" s="590"/>
      <c r="H54" s="590"/>
      <c r="I54" s="663"/>
      <c r="J54" s="590"/>
      <c r="K54" s="590"/>
      <c r="L54" s="594"/>
      <c r="M54" s="481"/>
    </row>
    <row r="55" spans="2:13">
      <c r="B55" s="482"/>
      <c r="C55" s="480"/>
      <c r="D55" s="480"/>
      <c r="E55" s="480"/>
      <c r="F55" s="480"/>
      <c r="G55" s="480"/>
      <c r="H55" s="480"/>
      <c r="I55" s="559"/>
      <c r="J55" s="480"/>
      <c r="K55" s="480"/>
      <c r="L55" s="480"/>
      <c r="M55" s="481"/>
    </row>
    <row r="56" spans="2:13" ht="12.6" thickBot="1">
      <c r="B56" s="484"/>
      <c r="C56" s="487"/>
      <c r="D56" s="487"/>
      <c r="E56" s="487"/>
      <c r="F56" s="487"/>
      <c r="G56" s="487"/>
      <c r="H56" s="562"/>
      <c r="I56" s="562"/>
      <c r="J56" s="487"/>
      <c r="K56" s="487"/>
      <c r="L56" s="487"/>
      <c r="M56" s="489"/>
    </row>
  </sheetData>
  <sheetProtection algorithmName="SHA-512" hashValue="ji8L1jz8AQm4RlnyhiSsxHyWcruWhh5vDijLbE7tPn2mdm1VCLRHPuWrYq0kfnrq635pqmQXZTb0NcmCKDVlVQ==" saltValue="shuYNrOkO+Dl+2DV/RZZHg==" spinCount="100000" sheet="1" objects="1" scenarios="1"/>
  <mergeCells count="39">
    <mergeCell ref="K19:L19"/>
    <mergeCell ref="K20:L20"/>
    <mergeCell ref="K10:L10"/>
    <mergeCell ref="K11:L11"/>
    <mergeCell ref="K12:L12"/>
    <mergeCell ref="K13:L13"/>
    <mergeCell ref="K14:L14"/>
    <mergeCell ref="F6:L6"/>
    <mergeCell ref="G44:H44"/>
    <mergeCell ref="G46:H46"/>
    <mergeCell ref="C3:I3"/>
    <mergeCell ref="K39:L39"/>
    <mergeCell ref="K33:L33"/>
    <mergeCell ref="K34:L34"/>
    <mergeCell ref="K35:L35"/>
    <mergeCell ref="K36:L36"/>
    <mergeCell ref="K37:L37"/>
    <mergeCell ref="K38:L38"/>
    <mergeCell ref="K27:L27"/>
    <mergeCell ref="K28:L28"/>
    <mergeCell ref="K29:L29"/>
    <mergeCell ref="K30:L30"/>
    <mergeCell ref="K31:L31"/>
    <mergeCell ref="G53:H53"/>
    <mergeCell ref="F42:L42"/>
    <mergeCell ref="K9:L9"/>
    <mergeCell ref="K7:L7"/>
    <mergeCell ref="F7:G7"/>
    <mergeCell ref="K32:L32"/>
    <mergeCell ref="K21:L21"/>
    <mergeCell ref="K22:L22"/>
    <mergeCell ref="K23:L23"/>
    <mergeCell ref="K24:L24"/>
    <mergeCell ref="K25:L25"/>
    <mergeCell ref="K26:L26"/>
    <mergeCell ref="K15:L15"/>
    <mergeCell ref="K16:L16"/>
    <mergeCell ref="K17:L17"/>
    <mergeCell ref="K18:L18"/>
  </mergeCells>
  <dataValidations count="4">
    <dataValidation type="list" allowBlank="1" showInputMessage="1" showErrorMessage="1" sqref="D37" xr:uid="{00000000-0002-0000-0400-000000000000}">
      <formula1>$AM$16:$AM$17</formula1>
    </dataValidation>
    <dataValidation type="list" allowBlank="1" showInputMessage="1" showErrorMessage="1" sqref="D51 D12" xr:uid="{00000000-0002-0000-0400-000001000000}">
      <formula1>$AM$14:$AM$15</formula1>
    </dataValidation>
    <dataValidation type="list" allowBlank="1" showInputMessage="1" showErrorMessage="1" sqref="I44" xr:uid="{00000000-0002-0000-0400-000002000000}">
      <formula1>$AM$19:$AM$20</formula1>
    </dataValidation>
    <dataValidation type="list" allowBlank="1" showInputMessage="1" showErrorMessage="1" sqref="D11" xr:uid="{00000000-0002-0000-0400-000003000000}">
      <formula1>$AM$10:$AM$12</formula1>
    </dataValidation>
  </dataValidations>
  <pageMargins left="1.4173228346456694" right="0.23622047244094491" top="0.74803149606299213" bottom="0.74803149606299213" header="0.31496062992125984" footer="0.31496062992125984"/>
  <pageSetup paperSize="9" scale="63" fitToWidth="0" orientation="landscape" r:id="rId1"/>
  <ignoredErrors>
    <ignoredError sqref="D31:D32 D28 D47" numberStoredAsText="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B1:O101"/>
  <sheetViews>
    <sheetView topLeftCell="B39" workbookViewId="0">
      <selection activeCell="F72" sqref="F72"/>
    </sheetView>
  </sheetViews>
  <sheetFormatPr defaultColWidth="8.89453125" defaultRowHeight="12.3"/>
  <cols>
    <col min="1" max="1" width="8.89453125" style="490"/>
    <col min="2" max="2" width="8.1015625" style="490" customWidth="1"/>
    <col min="3" max="3" width="25.3125" style="490" customWidth="1"/>
    <col min="4" max="4" width="11.7890625" style="490" customWidth="1"/>
    <col min="5" max="5" width="14.7890625" style="490" customWidth="1"/>
    <col min="6" max="6" width="18.41796875" style="490" customWidth="1"/>
    <col min="7" max="7" width="17.20703125" style="490" bestFit="1" customWidth="1"/>
    <col min="8" max="8" width="13.20703125" style="490" customWidth="1"/>
    <col min="9" max="9" width="20.68359375" style="490" customWidth="1"/>
    <col min="10" max="10" width="16.89453125" style="490" customWidth="1"/>
    <col min="11" max="11" width="27.7890625" style="490" customWidth="1"/>
    <col min="12" max="12" width="8.1015625" style="490" customWidth="1"/>
    <col min="13" max="13" width="14.5234375" style="490" bestFit="1" customWidth="1"/>
    <col min="14" max="14" width="44.3125" style="490" bestFit="1" customWidth="1"/>
    <col min="15" max="16384" width="8.89453125" style="490"/>
  </cols>
  <sheetData>
    <row r="1" spans="2:14" ht="12.6" thickBot="1"/>
    <row r="2" spans="2:14">
      <c r="B2" s="521"/>
      <c r="C2" s="478"/>
      <c r="D2" s="478"/>
      <c r="E2" s="478"/>
      <c r="F2" s="478"/>
      <c r="G2" s="478"/>
      <c r="H2" s="478"/>
      <c r="I2" s="478"/>
      <c r="J2" s="478"/>
      <c r="K2" s="478"/>
      <c r="L2" s="479"/>
    </row>
    <row r="3" spans="2:14" ht="16.5">
      <c r="B3" s="482"/>
      <c r="C3" s="491" t="s">
        <v>624</v>
      </c>
      <c r="D3" s="480"/>
      <c r="E3" s="480"/>
      <c r="F3" s="480"/>
      <c r="G3" s="480"/>
      <c r="H3" s="480"/>
      <c r="I3" s="480"/>
      <c r="J3" s="544" t="s">
        <v>622</v>
      </c>
      <c r="K3" s="501"/>
      <c r="L3" s="481"/>
    </row>
    <row r="4" spans="2:14">
      <c r="B4" s="482"/>
      <c r="C4" s="480"/>
      <c r="D4" s="480"/>
      <c r="E4" s="480"/>
      <c r="F4" s="480"/>
      <c r="G4" s="480"/>
      <c r="H4" s="480"/>
      <c r="I4" s="480"/>
      <c r="J4" s="501" t="s">
        <v>623</v>
      </c>
      <c r="K4" s="501"/>
      <c r="L4" s="481"/>
    </row>
    <row r="5" spans="2:14">
      <c r="B5" s="482"/>
      <c r="C5" s="491" t="str">
        <f>IF('Data Sheet'!D21&lt;&gt;"",'Data Sheet'!D21,"")</f>
        <v>Jan Van Shalwyk</v>
      </c>
      <c r="D5" s="524"/>
      <c r="E5" s="524"/>
      <c r="F5" s="524"/>
      <c r="G5" s="480"/>
      <c r="H5" s="480"/>
      <c r="I5" s="480"/>
      <c r="J5" s="501" t="s">
        <v>625</v>
      </c>
      <c r="K5" s="501"/>
      <c r="L5" s="481"/>
    </row>
    <row r="6" spans="2:14">
      <c r="B6" s="482"/>
      <c r="C6" s="491" t="str">
        <f>IF('Data Sheet'!D22&lt;&gt;"",'Data Sheet'!D22,"")</f>
        <v>ABC Truck</v>
      </c>
      <c r="D6" s="480"/>
      <c r="E6" s="480"/>
      <c r="F6" s="480"/>
      <c r="G6" s="480"/>
      <c r="H6" s="480"/>
      <c r="I6" s="480"/>
      <c r="J6" s="501" t="s">
        <v>626</v>
      </c>
      <c r="K6" s="501"/>
      <c r="L6" s="481"/>
    </row>
    <row r="7" spans="2:14">
      <c r="B7" s="482"/>
      <c r="C7" s="559" t="str">
        <f>IF('Data Sheet'!D23&lt;&gt;"",'Data Sheet'!D23,"")</f>
        <v>Unit D7 Waterford Court</v>
      </c>
      <c r="D7" s="480"/>
      <c r="E7" s="480"/>
      <c r="F7" s="480"/>
      <c r="G7" s="480"/>
      <c r="H7" s="480"/>
      <c r="I7" s="480"/>
      <c r="J7" s="501" t="s">
        <v>627</v>
      </c>
      <c r="K7" s="501"/>
      <c r="L7" s="481"/>
    </row>
    <row r="8" spans="2:14">
      <c r="B8" s="482"/>
      <c r="C8" s="559" t="str">
        <f>IF('Data Sheet'!D24&lt;&gt;"",'Data Sheet'!D24,"")</f>
        <v>C/o Rabie &amp; Glover Street</v>
      </c>
      <c r="D8" s="480"/>
      <c r="E8" s="480"/>
      <c r="F8" s="480"/>
      <c r="G8" s="480"/>
      <c r="H8" s="480"/>
      <c r="I8" s="480"/>
      <c r="J8" s="501" t="s">
        <v>628</v>
      </c>
      <c r="K8" s="501"/>
      <c r="L8" s="481"/>
    </row>
    <row r="9" spans="2:14" ht="12.6">
      <c r="B9" s="482"/>
      <c r="C9" s="559" t="str">
        <f>IF('Data Sheet'!D25&lt;&gt;"",'Data Sheet'!D25,"")</f>
        <v>Lyytelton</v>
      </c>
      <c r="D9" s="480"/>
      <c r="E9" s="525" t="s">
        <v>655</v>
      </c>
      <c r="F9" s="526" t="str">
        <f>IF('Data Sheet'!D30&lt;&gt;"","("&amp;LEFT('Data Sheet'!AM32,3)&amp;")"&amp;" "&amp;MID('Data Sheet'!AM32,4,3)&amp;" "&amp;RIGHT('Data Sheet'!AM32,4),"")</f>
        <v>(012) 003 1234</v>
      </c>
      <c r="G9" s="525" t="s">
        <v>366</v>
      </c>
      <c r="H9" s="477">
        <f ca="1">'Data Sheet'!D7</f>
        <v>43222</v>
      </c>
      <c r="I9" s="480"/>
      <c r="J9" s="501" t="s">
        <v>630</v>
      </c>
      <c r="K9" s="501"/>
      <c r="L9" s="481"/>
    </row>
    <row r="10" spans="2:14" ht="12.6">
      <c r="B10" s="482"/>
      <c r="C10" s="569" t="str">
        <f>IF('Data Sheet'!D26&lt;&gt;"",'Data Sheet'!D26,"")</f>
        <v>Centurion</v>
      </c>
      <c r="D10" s="480"/>
      <c r="E10" s="525" t="s">
        <v>631</v>
      </c>
      <c r="F10" s="480" t="str">
        <f>IF('Data Sheet'!D31&lt;&gt;"","("&amp;LEFT('Data Sheet'!AM33,3)&amp;")"&amp;" "&amp;MID('Data Sheet'!AM33,4,3)&amp;" "&amp;RIGHT('Data Sheet'!AM33,4),"")</f>
        <v>(073) 123 4567</v>
      </c>
      <c r="G10" s="525" t="s">
        <v>751</v>
      </c>
      <c r="H10" s="483" t="str">
        <f>'Data Sheet'!D8</f>
        <v>BFN040817</v>
      </c>
      <c r="I10" s="480"/>
      <c r="J10" s="501">
        <v>1609</v>
      </c>
      <c r="K10" s="501"/>
      <c r="L10" s="481"/>
    </row>
    <row r="11" spans="2:14" ht="12.6">
      <c r="B11" s="482"/>
      <c r="C11" s="490" t="str">
        <f>IF('Data Sheet'!D27&lt;&gt;"",'Data Sheet'!D27,"")</f>
        <v/>
      </c>
      <c r="D11" s="480"/>
      <c r="E11" s="525" t="s">
        <v>632</v>
      </c>
      <c r="F11" s="480" t="str">
        <f>IF('Data Sheet'!D32&lt;&gt;"","("&amp;LEFT('Data Sheet'!AM34,3)&amp;")"&amp;" "&amp;MID('Data Sheet'!AM34,4,3)&amp;" "&amp;RIGHT('Data Sheet'!AM34,4),"")</f>
        <v>(086) 669 2700</v>
      </c>
      <c r="G11" s="480"/>
      <c r="H11" s="480"/>
      <c r="I11" s="480"/>
      <c r="J11" s="501" t="s">
        <v>633</v>
      </c>
      <c r="K11" s="501"/>
      <c r="L11" s="481"/>
    </row>
    <row r="12" spans="2:14" ht="12.6">
      <c r="B12" s="482"/>
      <c r="C12" s="571" t="str">
        <f>'Data Sheet'!$D$28&amp;""</f>
        <v>0157</v>
      </c>
      <c r="D12" s="480"/>
      <c r="E12" s="525" t="s">
        <v>634</v>
      </c>
      <c r="F12" s="572" t="str">
        <f>'Data Sheet'!D33</f>
        <v>jvanschalwyk@jjt.co.za</v>
      </c>
      <c r="G12" s="480"/>
      <c r="H12" s="480"/>
      <c r="I12" s="480"/>
      <c r="J12" s="501" t="s">
        <v>635</v>
      </c>
      <c r="K12" s="501"/>
      <c r="L12" s="481"/>
    </row>
    <row r="13" spans="2:14">
      <c r="B13" s="482"/>
      <c r="C13" s="480"/>
      <c r="D13" s="480"/>
      <c r="E13" s="480"/>
      <c r="F13" s="480"/>
      <c r="G13" s="480"/>
      <c r="H13" s="480"/>
      <c r="I13" s="480"/>
      <c r="J13" s="480"/>
      <c r="K13" s="480"/>
      <c r="L13" s="481"/>
    </row>
    <row r="14" spans="2:14" ht="22.5">
      <c r="B14" s="482"/>
      <c r="C14" s="805" t="s">
        <v>25</v>
      </c>
      <c r="D14" s="805"/>
      <c r="E14" s="805"/>
      <c r="F14" s="805"/>
      <c r="G14" s="805"/>
      <c r="H14" s="805"/>
      <c r="I14" s="805"/>
      <c r="J14" s="805"/>
      <c r="K14" s="805"/>
      <c r="L14" s="481"/>
      <c r="N14" s="493"/>
    </row>
    <row r="15" spans="2:14" ht="12.6" thickBot="1">
      <c r="B15" s="482"/>
      <c r="C15" s="480"/>
      <c r="D15" s="480"/>
      <c r="E15" s="480"/>
      <c r="F15" s="480"/>
      <c r="G15" s="480"/>
      <c r="H15" s="480"/>
      <c r="I15" s="480"/>
      <c r="J15" s="480"/>
      <c r="K15" s="480"/>
      <c r="L15" s="481"/>
    </row>
    <row r="16" spans="2:14">
      <c r="B16" s="538"/>
      <c r="C16" s="825" t="s">
        <v>26</v>
      </c>
      <c r="D16" s="827" t="str">
        <f>'Deal Sheet'!C3</f>
        <v>ABC Truck</v>
      </c>
      <c r="E16" s="828"/>
      <c r="F16" s="828"/>
      <c r="G16" s="828"/>
      <c r="H16" s="828"/>
      <c r="I16" s="828"/>
      <c r="J16" s="828"/>
      <c r="K16" s="829"/>
      <c r="L16" s="481"/>
      <c r="N16" s="494"/>
    </row>
    <row r="17" spans="2:14" ht="12.6" thickBot="1">
      <c r="B17" s="538"/>
      <c r="C17" s="826"/>
      <c r="D17" s="830"/>
      <c r="E17" s="831"/>
      <c r="F17" s="831"/>
      <c r="G17" s="831"/>
      <c r="H17" s="831"/>
      <c r="I17" s="831"/>
      <c r="J17" s="831"/>
      <c r="K17" s="832"/>
      <c r="L17" s="481"/>
      <c r="N17" s="494"/>
    </row>
    <row r="18" spans="2:14">
      <c r="B18" s="482"/>
      <c r="C18" s="833" t="s">
        <v>636</v>
      </c>
      <c r="D18" s="833"/>
      <c r="E18" s="833"/>
      <c r="F18" s="833"/>
      <c r="G18" s="833"/>
      <c r="H18" s="833"/>
      <c r="I18" s="833"/>
      <c r="J18" s="833"/>
      <c r="K18" s="833"/>
      <c r="L18" s="481"/>
      <c r="N18" s="495"/>
    </row>
    <row r="19" spans="2:14" s="495" customFormat="1" ht="10.199999999999999">
      <c r="B19" s="528"/>
      <c r="C19" s="833"/>
      <c r="D19" s="833"/>
      <c r="E19" s="833"/>
      <c r="F19" s="833"/>
      <c r="G19" s="833"/>
      <c r="H19" s="833"/>
      <c r="I19" s="833"/>
      <c r="J19" s="833"/>
      <c r="K19" s="833"/>
      <c r="L19" s="529"/>
    </row>
    <row r="20" spans="2:14" s="495" customFormat="1" ht="10.199999999999999">
      <c r="B20" s="528"/>
      <c r="C20" s="833"/>
      <c r="D20" s="833"/>
      <c r="E20" s="833"/>
      <c r="F20" s="833"/>
      <c r="G20" s="833"/>
      <c r="H20" s="833"/>
      <c r="I20" s="833"/>
      <c r="J20" s="833"/>
      <c r="K20" s="833"/>
      <c r="L20" s="529"/>
    </row>
    <row r="21" spans="2:14" s="495" customFormat="1" ht="11.7" thickBot="1">
      <c r="B21" s="528"/>
      <c r="C21" s="536"/>
      <c r="D21" s="530"/>
      <c r="E21" s="530"/>
      <c r="F21" s="530"/>
      <c r="G21" s="530"/>
      <c r="H21" s="530"/>
      <c r="I21" s="530"/>
      <c r="J21" s="530"/>
      <c r="K21" s="530"/>
      <c r="L21" s="529"/>
    </row>
    <row r="22" spans="2:14">
      <c r="B22" s="538"/>
      <c r="C22" s="576" t="s">
        <v>637</v>
      </c>
      <c r="D22" s="478"/>
      <c r="E22" s="478"/>
      <c r="F22" s="478"/>
      <c r="G22" s="478"/>
      <c r="H22" s="478"/>
      <c r="I22" s="478"/>
      <c r="J22" s="478"/>
      <c r="K22" s="479"/>
      <c r="L22" s="481"/>
    </row>
    <row r="23" spans="2:14">
      <c r="B23" s="538"/>
      <c r="C23" s="573" t="s">
        <v>17</v>
      </c>
      <c r="D23" s="837" t="str">
        <f>'Deal Sheet'!L11</f>
        <v>TGS-26-4406X4BLS-LX-ALU-EL</v>
      </c>
      <c r="E23" s="837"/>
      <c r="F23" s="611" t="s">
        <v>725</v>
      </c>
      <c r="G23" s="574" t="str">
        <f>IF('Deal Sheet'!APPT&lt;&gt;"",'Deal Sheet'!$F$61,"Not Specified")</f>
        <v>Longhaul</v>
      </c>
      <c r="H23" s="575" t="s">
        <v>724</v>
      </c>
      <c r="I23" s="574">
        <f>'Deal Sheet'!C39</f>
        <v>5</v>
      </c>
      <c r="J23" s="577" t="s">
        <v>348</v>
      </c>
      <c r="K23" s="578" t="str">
        <f>'Deal Sheet'!L9</f>
        <v>Extended Warranty Campaign</v>
      </c>
      <c r="L23" s="481"/>
    </row>
    <row r="24" spans="2:14" ht="12.6" thickBot="1">
      <c r="B24" s="538"/>
      <c r="C24" s="484"/>
      <c r="D24" s="485"/>
      <c r="E24" s="486"/>
      <c r="F24" s="486"/>
      <c r="G24" s="486"/>
      <c r="H24" s="487"/>
      <c r="I24" s="487"/>
      <c r="J24" s="488"/>
      <c r="K24" s="489"/>
      <c r="L24" s="481"/>
    </row>
    <row r="25" spans="2:14" ht="12.6" thickBot="1">
      <c r="B25" s="482"/>
      <c r="C25" s="537"/>
      <c r="D25" s="480"/>
      <c r="E25" s="480"/>
      <c r="F25" s="480"/>
      <c r="G25" s="480"/>
      <c r="H25" s="480"/>
      <c r="I25" s="480"/>
      <c r="J25" s="480"/>
      <c r="K25" s="480"/>
      <c r="L25" s="481"/>
    </row>
    <row r="26" spans="2:14" ht="12.6" thickBot="1">
      <c r="B26" s="538"/>
      <c r="C26" s="834" t="s">
        <v>365</v>
      </c>
      <c r="D26" s="835"/>
      <c r="E26" s="496" t="s">
        <v>653</v>
      </c>
      <c r="F26" s="523" t="s">
        <v>638</v>
      </c>
      <c r="G26" s="546" t="s">
        <v>663</v>
      </c>
      <c r="H26" s="497" t="s">
        <v>639</v>
      </c>
      <c r="I26" s="523" t="s">
        <v>734</v>
      </c>
      <c r="J26" s="834" t="s">
        <v>458</v>
      </c>
      <c r="K26" s="836"/>
      <c r="L26" s="481"/>
    </row>
    <row r="27" spans="2:14" ht="15" customHeight="1">
      <c r="B27" s="538"/>
      <c r="C27" s="838"/>
      <c r="D27" s="839"/>
      <c r="E27" s="498"/>
      <c r="F27" s="480"/>
      <c r="H27" s="504"/>
      <c r="I27" s="499"/>
      <c r="J27" s="840"/>
      <c r="K27" s="841"/>
      <c r="L27" s="481"/>
    </row>
    <row r="28" spans="2:14" ht="15" customHeight="1">
      <c r="B28" s="538"/>
      <c r="C28" s="808" t="s">
        <v>2</v>
      </c>
      <c r="D28" s="793"/>
      <c r="E28" s="502">
        <f>'Deal Sheet'!D9</f>
        <v>1835000</v>
      </c>
      <c r="F28" s="504">
        <f>IF(C28&lt;&gt;"",$I$23,"")</f>
        <v>5</v>
      </c>
      <c r="G28" s="547">
        <f>IF(E28&lt;&gt;"",(E28*F28),"")</f>
        <v>9175000</v>
      </c>
      <c r="H28" s="504" t="str">
        <f>IF(E28&lt;&gt;"","Y","")</f>
        <v>Y</v>
      </c>
      <c r="I28" s="502">
        <f>IF(H28="Y",(G28*14%),IF(E28="","",0))</f>
        <v>1284500.0000000002</v>
      </c>
      <c r="J28" s="809">
        <f>IFERROR((G28+I28),"")</f>
        <v>10459500</v>
      </c>
      <c r="K28" s="810"/>
      <c r="L28" s="481"/>
    </row>
    <row r="29" spans="2:14">
      <c r="B29" s="538"/>
      <c r="C29" s="808" t="s">
        <v>19</v>
      </c>
      <c r="D29" s="793"/>
      <c r="E29" s="502">
        <f>'Deal Sheet'!D9*'Deal Sheet'!K15</f>
        <v>220200</v>
      </c>
      <c r="F29" s="504">
        <f>IF(C29&lt;&gt;"",$I$23,"")</f>
        <v>5</v>
      </c>
      <c r="G29" s="547">
        <f t="shared" ref="G29" si="0">IF(E29&lt;&gt;"",(E29*F29),"")</f>
        <v>1101000</v>
      </c>
      <c r="H29" s="504"/>
      <c r="I29" s="502"/>
      <c r="J29" s="809">
        <f t="shared" ref="J29" si="1">IFERROR((G29+I29),"")</f>
        <v>1101000</v>
      </c>
      <c r="K29" s="810"/>
      <c r="L29" s="481"/>
    </row>
    <row r="30" spans="2:14">
      <c r="B30" s="538"/>
      <c r="C30" s="503" t="s">
        <v>645</v>
      </c>
      <c r="D30" s="501"/>
      <c r="E30" s="502">
        <f>E28-E29</f>
        <v>1614800</v>
      </c>
      <c r="F30" s="504">
        <f>IF(C30&lt;&gt;"",$I$23,"")</f>
        <v>5</v>
      </c>
      <c r="G30" s="547">
        <f>IF(E30&lt;&gt;"",(E30*F30),"")</f>
        <v>8074000</v>
      </c>
      <c r="H30" s="504" t="str">
        <f>IF(E30&lt;&gt;"","Y","")</f>
        <v>Y</v>
      </c>
      <c r="I30" s="502">
        <f>IF(H30="Y",(G30*14%),IF(E30="","",0))</f>
        <v>1130360</v>
      </c>
      <c r="J30" s="809">
        <f>IFERROR((G30+I30),"")</f>
        <v>9204360</v>
      </c>
      <c r="K30" s="810"/>
      <c r="L30" s="481"/>
    </row>
    <row r="31" spans="2:14">
      <c r="B31" s="538"/>
      <c r="C31" s="813"/>
      <c r="D31" s="814"/>
      <c r="E31" s="500"/>
      <c r="F31" s="504"/>
      <c r="H31" s="504"/>
      <c r="I31" s="502"/>
      <c r="J31" s="809"/>
      <c r="K31" s="810"/>
      <c r="L31" s="481"/>
    </row>
    <row r="32" spans="2:14">
      <c r="B32" s="538"/>
      <c r="C32" s="811" t="s">
        <v>487</v>
      </c>
      <c r="D32" s="812"/>
      <c r="E32" s="500"/>
      <c r="F32" s="504"/>
      <c r="H32" s="504"/>
      <c r="I32" s="502" t="str">
        <f t="shared" ref="I32:I33" si="2">IF(H32="Y",(E32*14%),IF(E32="","",0))</f>
        <v/>
      </c>
      <c r="J32" s="809"/>
      <c r="K32" s="810"/>
      <c r="L32" s="481"/>
    </row>
    <row r="33" spans="2:12">
      <c r="B33" s="538"/>
      <c r="C33" s="813"/>
      <c r="D33" s="814"/>
      <c r="E33" s="500"/>
      <c r="F33" s="504"/>
      <c r="H33" s="504"/>
      <c r="I33" s="502" t="str">
        <f t="shared" si="2"/>
        <v/>
      </c>
      <c r="J33" s="809"/>
      <c r="K33" s="810"/>
      <c r="L33" s="481"/>
    </row>
    <row r="34" spans="2:12">
      <c r="B34" s="538"/>
      <c r="C34" s="808" t="str">
        <f>IF('Deal Sheet'!H21&lt;&gt;"",'Deal Sheet'!H21,"")</f>
        <v>Handling Fee</v>
      </c>
      <c r="D34" s="793"/>
      <c r="E34" s="502">
        <f>IF('Deal Sheet'!L21&lt;&gt;"",'Deal Sheet'!L21,"")</f>
        <v>13000</v>
      </c>
      <c r="F34" s="504">
        <f t="shared" ref="F34:F49" si="3">IF(C34&lt;&gt;"",$I$23,"")</f>
        <v>5</v>
      </c>
      <c r="G34" s="547">
        <f>IF(E34&lt;&gt;"",(E34*F34),"")</f>
        <v>65000</v>
      </c>
      <c r="H34" s="504" t="str">
        <f>IF(C34="","",IF(ISNUMBER(SEARCH("licens",C34)),"N","Y"))</f>
        <v>Y</v>
      </c>
      <c r="I34" s="502">
        <f t="shared" ref="I34:I48" si="4">IF(H34="Y",(G34*14%),IF(E34="","",0))</f>
        <v>9100</v>
      </c>
      <c r="J34" s="809">
        <f t="shared" ref="J34:J49" si="5">IFERROR((G34+I34),"")</f>
        <v>74100</v>
      </c>
      <c r="K34" s="810"/>
      <c r="L34" s="481"/>
    </row>
    <row r="35" spans="2:12">
      <c r="B35" s="538"/>
      <c r="C35" s="808" t="str">
        <f>IF('Deal Sheet'!H22&lt;&gt;"",'Deal Sheet'!H22,"")</f>
        <v>Bull Bar</v>
      </c>
      <c r="D35" s="793"/>
      <c r="E35" s="634">
        <f>IF('Deal Sheet'!L22&lt;&gt;"",'Deal Sheet'!L22,"")</f>
        <v>17500</v>
      </c>
      <c r="F35" s="504">
        <f t="shared" si="3"/>
        <v>5</v>
      </c>
      <c r="G35" s="547">
        <f t="shared" ref="G35:G49" si="6">IF(E35&lt;&gt;"",(E35*F35),"")</f>
        <v>87500</v>
      </c>
      <c r="H35" s="504" t="str">
        <f t="shared" ref="H35:H48" si="7">IF(C35="","",IF(ISNUMBER(SEARCH("licens",C35)),"N","Y"))</f>
        <v>Y</v>
      </c>
      <c r="I35" s="502">
        <f t="shared" si="4"/>
        <v>12250.000000000002</v>
      </c>
      <c r="J35" s="809">
        <f t="shared" si="5"/>
        <v>99750</v>
      </c>
      <c r="K35" s="810"/>
      <c r="L35" s="481"/>
    </row>
    <row r="36" spans="2:12">
      <c r="B36" s="538"/>
      <c r="C36" s="808" t="str">
        <f>IF('Deal Sheet'!H23&lt;&gt;"",'Deal Sheet'!H23,"")</f>
        <v>Fuel</v>
      </c>
      <c r="D36" s="793"/>
      <c r="E36" s="634">
        <f>IF('Deal Sheet'!L23&lt;&gt;"",'Deal Sheet'!L23,"")</f>
        <v>0</v>
      </c>
      <c r="F36" s="504">
        <f t="shared" si="3"/>
        <v>5</v>
      </c>
      <c r="G36" s="547">
        <f t="shared" si="6"/>
        <v>0</v>
      </c>
      <c r="H36" s="504" t="str">
        <f t="shared" si="7"/>
        <v>Y</v>
      </c>
      <c r="I36" s="502">
        <f t="shared" si="4"/>
        <v>0</v>
      </c>
      <c r="J36" s="809">
        <f t="shared" si="5"/>
        <v>0</v>
      </c>
      <c r="K36" s="810"/>
      <c r="L36" s="481"/>
    </row>
    <row r="37" spans="2:12">
      <c r="B37" s="538"/>
      <c r="C37" s="808" t="str">
        <f>IF('Deal Sheet'!H24&lt;&gt;"",'Deal Sheet'!H24,"")</f>
        <v/>
      </c>
      <c r="D37" s="793"/>
      <c r="E37" s="634" t="str">
        <f>IF('Deal Sheet'!L24&lt;&gt;"",'Deal Sheet'!L24,"")</f>
        <v/>
      </c>
      <c r="F37" s="504" t="str">
        <f t="shared" si="3"/>
        <v/>
      </c>
      <c r="G37" s="547" t="str">
        <f>IF(E37&lt;&gt;"",(E37*F37),"")</f>
        <v/>
      </c>
      <c r="H37" s="504" t="str">
        <f t="shared" si="7"/>
        <v/>
      </c>
      <c r="I37" s="502" t="str">
        <f t="shared" si="4"/>
        <v/>
      </c>
      <c r="J37" s="809" t="str">
        <f t="shared" si="5"/>
        <v/>
      </c>
      <c r="K37" s="810"/>
      <c r="L37" s="481"/>
    </row>
    <row r="38" spans="2:12">
      <c r="B38" s="538"/>
      <c r="C38" s="808" t="str">
        <f>IF('Deal Sheet'!H25&lt;&gt;"",'Deal Sheet'!H25,"")</f>
        <v/>
      </c>
      <c r="D38" s="793"/>
      <c r="E38" s="634" t="str">
        <f>IF('Deal Sheet'!L25&lt;&gt;"",'Deal Sheet'!L25,"")</f>
        <v/>
      </c>
      <c r="F38" s="504" t="str">
        <f t="shared" si="3"/>
        <v/>
      </c>
      <c r="G38" s="547" t="str">
        <f t="shared" si="6"/>
        <v/>
      </c>
      <c r="H38" s="504" t="str">
        <f t="shared" si="7"/>
        <v/>
      </c>
      <c r="I38" s="502" t="str">
        <f t="shared" si="4"/>
        <v/>
      </c>
      <c r="J38" s="809" t="str">
        <f t="shared" si="5"/>
        <v/>
      </c>
      <c r="K38" s="810"/>
      <c r="L38" s="481"/>
    </row>
    <row r="39" spans="2:12">
      <c r="B39" s="538"/>
      <c r="C39" s="808" t="str">
        <f>IF('Deal Sheet'!H26&lt;&gt;"",'Deal Sheet'!H26,"")</f>
        <v/>
      </c>
      <c r="D39" s="793"/>
      <c r="E39" s="634" t="str">
        <f>IF('Deal Sheet'!L26&lt;&gt;"",'Deal Sheet'!L26,"")</f>
        <v/>
      </c>
      <c r="F39" s="504" t="str">
        <f t="shared" si="3"/>
        <v/>
      </c>
      <c r="G39" s="547" t="str">
        <f>IF(E39&lt;&gt;"",(E39*F39),"")</f>
        <v/>
      </c>
      <c r="H39" s="504" t="str">
        <f t="shared" si="7"/>
        <v/>
      </c>
      <c r="I39" s="502" t="str">
        <f t="shared" si="4"/>
        <v/>
      </c>
      <c r="J39" s="809" t="str">
        <f>IFERROR((G39+I39),"")</f>
        <v/>
      </c>
      <c r="K39" s="810"/>
      <c r="L39" s="481"/>
    </row>
    <row r="40" spans="2:12">
      <c r="B40" s="538"/>
      <c r="C40" s="808" t="str">
        <f>IF('Deal Sheet'!H27&lt;&gt;"",'Deal Sheet'!H27,"")</f>
        <v/>
      </c>
      <c r="D40" s="793"/>
      <c r="E40" s="634" t="str">
        <f>IF('Deal Sheet'!L27&lt;&gt;"",'Deal Sheet'!L27,"")</f>
        <v/>
      </c>
      <c r="F40" s="504" t="str">
        <f t="shared" si="3"/>
        <v/>
      </c>
      <c r="G40" s="547" t="str">
        <f t="shared" si="6"/>
        <v/>
      </c>
      <c r="H40" s="504" t="str">
        <f t="shared" si="7"/>
        <v/>
      </c>
      <c r="I40" s="502" t="str">
        <f t="shared" si="4"/>
        <v/>
      </c>
      <c r="J40" s="809" t="str">
        <f t="shared" si="5"/>
        <v/>
      </c>
      <c r="K40" s="810"/>
      <c r="L40" s="481"/>
    </row>
    <row r="41" spans="2:12">
      <c r="B41" s="538"/>
      <c r="C41" s="808" t="str">
        <f>IF('Deal Sheet'!H28&lt;&gt;"",'Deal Sheet'!H28,"")</f>
        <v/>
      </c>
      <c r="D41" s="793"/>
      <c r="E41" s="634" t="str">
        <f>IF('Deal Sheet'!L28&lt;&gt;"",'Deal Sheet'!L28,"")</f>
        <v/>
      </c>
      <c r="F41" s="504" t="str">
        <f t="shared" si="3"/>
        <v/>
      </c>
      <c r="G41" s="547" t="str">
        <f t="shared" si="6"/>
        <v/>
      </c>
      <c r="H41" s="504" t="str">
        <f t="shared" si="7"/>
        <v/>
      </c>
      <c r="I41" s="502" t="str">
        <f t="shared" si="4"/>
        <v/>
      </c>
      <c r="J41" s="809" t="str">
        <f t="shared" si="5"/>
        <v/>
      </c>
      <c r="K41" s="810"/>
      <c r="L41" s="481"/>
    </row>
    <row r="42" spans="2:12">
      <c r="B42" s="538"/>
      <c r="C42" s="808" t="str">
        <f>IF('Deal Sheet'!H29&lt;&gt;"",'Deal Sheet'!H29,"")</f>
        <v/>
      </c>
      <c r="D42" s="793"/>
      <c r="E42" s="634" t="str">
        <f>IF('Deal Sheet'!L29&lt;&gt;"",'Deal Sheet'!L29,"")</f>
        <v/>
      </c>
      <c r="F42" s="504" t="str">
        <f t="shared" si="3"/>
        <v/>
      </c>
      <c r="G42" s="547" t="str">
        <f t="shared" si="6"/>
        <v/>
      </c>
      <c r="H42" s="504" t="str">
        <f t="shared" si="7"/>
        <v/>
      </c>
      <c r="I42" s="502" t="str">
        <f t="shared" si="4"/>
        <v/>
      </c>
      <c r="J42" s="809" t="str">
        <f t="shared" si="5"/>
        <v/>
      </c>
      <c r="K42" s="810"/>
      <c r="L42" s="481"/>
    </row>
    <row r="43" spans="2:12">
      <c r="B43" s="538"/>
      <c r="C43" s="808" t="str">
        <f>IF('Deal Sheet'!H30&lt;&gt;"",'Deal Sheet'!H30,"")</f>
        <v/>
      </c>
      <c r="D43" s="793"/>
      <c r="E43" s="634" t="str">
        <f>IF('Deal Sheet'!L30&lt;&gt;"",'Deal Sheet'!L30,"")</f>
        <v/>
      </c>
      <c r="F43" s="504" t="str">
        <f t="shared" si="3"/>
        <v/>
      </c>
      <c r="G43" s="547" t="str">
        <f t="shared" si="6"/>
        <v/>
      </c>
      <c r="H43" s="504" t="str">
        <f t="shared" si="7"/>
        <v/>
      </c>
      <c r="I43" s="502" t="str">
        <f t="shared" si="4"/>
        <v/>
      </c>
      <c r="J43" s="809" t="str">
        <f t="shared" si="5"/>
        <v/>
      </c>
      <c r="K43" s="810"/>
      <c r="L43" s="481"/>
    </row>
    <row r="44" spans="2:12">
      <c r="B44" s="538"/>
      <c r="C44" s="808" t="str">
        <f>IF('Deal Sheet'!H31&lt;&gt;"",'Deal Sheet'!H31,"")</f>
        <v/>
      </c>
      <c r="D44" s="793"/>
      <c r="E44" s="634" t="str">
        <f>IF('Deal Sheet'!L31&lt;&gt;"",'Deal Sheet'!L31,"")</f>
        <v/>
      </c>
      <c r="F44" s="504" t="str">
        <f t="shared" si="3"/>
        <v/>
      </c>
      <c r="G44" s="547" t="str">
        <f t="shared" si="6"/>
        <v/>
      </c>
      <c r="H44" s="504" t="str">
        <f t="shared" si="7"/>
        <v/>
      </c>
      <c r="I44" s="502" t="str">
        <f t="shared" si="4"/>
        <v/>
      </c>
      <c r="J44" s="809" t="str">
        <f t="shared" si="5"/>
        <v/>
      </c>
      <c r="K44" s="810"/>
      <c r="L44" s="481"/>
    </row>
    <row r="45" spans="2:12">
      <c r="B45" s="538"/>
      <c r="C45" s="808" t="str">
        <f>IF('Deal Sheet'!H32&lt;&gt;"",'Deal Sheet'!H32,"")</f>
        <v/>
      </c>
      <c r="D45" s="793"/>
      <c r="E45" s="634" t="str">
        <f>IF('Deal Sheet'!L32&lt;&gt;"",'Deal Sheet'!L32,"")</f>
        <v/>
      </c>
      <c r="F45" s="504" t="str">
        <f t="shared" si="3"/>
        <v/>
      </c>
      <c r="G45" s="547" t="str">
        <f t="shared" si="6"/>
        <v/>
      </c>
      <c r="H45" s="504" t="str">
        <f t="shared" si="7"/>
        <v/>
      </c>
      <c r="I45" s="502" t="str">
        <f t="shared" si="4"/>
        <v/>
      </c>
      <c r="J45" s="809" t="str">
        <f t="shared" si="5"/>
        <v/>
      </c>
      <c r="K45" s="810"/>
      <c r="L45" s="481"/>
    </row>
    <row r="46" spans="2:12">
      <c r="B46" s="538"/>
      <c r="C46" s="808" t="str">
        <f>IF('Deal Sheet'!H33&lt;&gt;"",'Deal Sheet'!H33,"")</f>
        <v/>
      </c>
      <c r="D46" s="793"/>
      <c r="E46" s="634" t="str">
        <f>IF('Deal Sheet'!L33&lt;&gt;"",'Deal Sheet'!L33,"")</f>
        <v/>
      </c>
      <c r="F46" s="504" t="str">
        <f t="shared" si="3"/>
        <v/>
      </c>
      <c r="G46" s="547" t="str">
        <f t="shared" si="6"/>
        <v/>
      </c>
      <c r="H46" s="504" t="str">
        <f t="shared" si="7"/>
        <v/>
      </c>
      <c r="I46" s="502" t="str">
        <f t="shared" si="4"/>
        <v/>
      </c>
      <c r="J46" s="809" t="str">
        <f t="shared" si="5"/>
        <v/>
      </c>
      <c r="K46" s="810"/>
      <c r="L46" s="481"/>
    </row>
    <row r="47" spans="2:12">
      <c r="B47" s="538"/>
      <c r="C47" s="808" t="str">
        <f>IF('Deal Sheet'!H34&lt;&gt;"",'Deal Sheet'!H34,"")</f>
        <v/>
      </c>
      <c r="D47" s="793"/>
      <c r="E47" s="634" t="str">
        <f>IF('Deal Sheet'!L34&lt;&gt;"",'Deal Sheet'!L34,"")</f>
        <v/>
      </c>
      <c r="F47" s="504" t="str">
        <f t="shared" si="3"/>
        <v/>
      </c>
      <c r="G47" s="547" t="str">
        <f t="shared" si="6"/>
        <v/>
      </c>
      <c r="H47" s="504" t="str">
        <f t="shared" si="7"/>
        <v/>
      </c>
      <c r="I47" s="502" t="str">
        <f t="shared" si="4"/>
        <v/>
      </c>
      <c r="J47" s="809" t="str">
        <f t="shared" si="5"/>
        <v/>
      </c>
      <c r="K47" s="810"/>
      <c r="L47" s="481"/>
    </row>
    <row r="48" spans="2:12">
      <c r="B48" s="538"/>
      <c r="C48" s="808" t="str">
        <f>IF('Deal Sheet'!H35&lt;&gt;"",'Deal Sheet'!H35,"")</f>
        <v/>
      </c>
      <c r="D48" s="793"/>
      <c r="E48" s="634" t="str">
        <f>IF('Deal Sheet'!L35&lt;&gt;"",'Deal Sheet'!L35,"")</f>
        <v/>
      </c>
      <c r="F48" s="504" t="str">
        <f t="shared" si="3"/>
        <v/>
      </c>
      <c r="G48" s="547" t="str">
        <f t="shared" si="6"/>
        <v/>
      </c>
      <c r="H48" s="504" t="str">
        <f t="shared" si="7"/>
        <v/>
      </c>
      <c r="I48" s="502" t="str">
        <f t="shared" si="4"/>
        <v/>
      </c>
      <c r="J48" s="809" t="str">
        <f t="shared" si="5"/>
        <v/>
      </c>
      <c r="K48" s="810"/>
      <c r="L48" s="481"/>
    </row>
    <row r="49" spans="2:13" ht="14.4" customHeight="1" thickBot="1">
      <c r="B49" s="538"/>
      <c r="C49" s="808" t="str">
        <f>IF('Deal Sheet'!H36&lt;&gt;"",'Deal Sheet'!H36,"")</f>
        <v/>
      </c>
      <c r="D49" s="793"/>
      <c r="E49" s="634" t="str">
        <f>IF('Deal Sheet'!L36&lt;&gt;"",'Deal Sheet'!L36,"")</f>
        <v/>
      </c>
      <c r="F49" s="505" t="str">
        <f t="shared" si="3"/>
        <v/>
      </c>
      <c r="G49" s="490" t="str">
        <f t="shared" si="6"/>
        <v/>
      </c>
      <c r="H49" s="505"/>
      <c r="I49" s="502" t="str">
        <f>IF(H49="Y",(G49*14%),IF(E49="","",0))</f>
        <v/>
      </c>
      <c r="J49" s="846" t="str">
        <f t="shared" si="5"/>
        <v/>
      </c>
      <c r="K49" s="847"/>
      <c r="L49" s="481"/>
      <c r="M49" s="568"/>
    </row>
    <row r="50" spans="2:13" ht="15" customHeight="1">
      <c r="B50" s="538"/>
      <c r="C50" s="864" t="s">
        <v>458</v>
      </c>
      <c r="D50" s="865"/>
      <c r="E50" s="842">
        <f>SUM(E30:E48)</f>
        <v>1645300</v>
      </c>
      <c r="F50" s="868">
        <f>$I$23</f>
        <v>5</v>
      </c>
      <c r="G50" s="844">
        <f>SUM(G30:G48)</f>
        <v>8226500</v>
      </c>
      <c r="H50" s="870"/>
      <c r="I50" s="872">
        <f>SUM(I30:I49)</f>
        <v>1151710</v>
      </c>
      <c r="J50" s="848">
        <f>SUM(J30:K49)</f>
        <v>9378210</v>
      </c>
      <c r="K50" s="849"/>
      <c r="L50" s="481"/>
      <c r="M50" s="567"/>
    </row>
    <row r="51" spans="2:13" ht="15" customHeight="1" thickBot="1">
      <c r="B51" s="538"/>
      <c r="C51" s="866"/>
      <c r="D51" s="867"/>
      <c r="E51" s="843"/>
      <c r="F51" s="869"/>
      <c r="G51" s="845"/>
      <c r="H51" s="871"/>
      <c r="I51" s="873"/>
      <c r="J51" s="850"/>
      <c r="K51" s="851"/>
      <c r="L51" s="481"/>
      <c r="M51" s="664"/>
    </row>
    <row r="52" spans="2:13" ht="12.6" thickBot="1">
      <c r="B52" s="482"/>
      <c r="C52" s="474"/>
      <c r="D52" s="511"/>
      <c r="E52" s="507"/>
      <c r="F52" s="507"/>
      <c r="G52" s="511"/>
      <c r="H52" s="473"/>
      <c r="I52" s="507"/>
      <c r="J52" s="507"/>
      <c r="K52" s="507"/>
      <c r="L52" s="481"/>
      <c r="M52" s="568"/>
    </row>
    <row r="53" spans="2:13">
      <c r="B53" s="538"/>
      <c r="C53" s="475"/>
      <c r="D53" s="476"/>
      <c r="E53" s="508"/>
      <c r="F53" s="508"/>
      <c r="G53" s="476"/>
      <c r="H53" s="509"/>
      <c r="I53" s="508"/>
      <c r="J53" s="508"/>
      <c r="K53" s="510"/>
      <c r="L53" s="481"/>
    </row>
    <row r="54" spans="2:13">
      <c r="B54" s="538"/>
      <c r="C54" s="539" t="s">
        <v>651</v>
      </c>
      <c r="D54" s="540"/>
      <c r="E54" s="540"/>
      <c r="F54" s="540"/>
      <c r="G54" s="540"/>
      <c r="H54" s="540"/>
      <c r="I54" s="540"/>
      <c r="J54" s="540"/>
      <c r="K54" s="541"/>
      <c r="L54" s="481"/>
    </row>
    <row r="55" spans="2:13">
      <c r="B55" s="538"/>
      <c r="C55" s="512"/>
      <c r="D55" s="513"/>
      <c r="E55" s="507"/>
      <c r="F55" s="507"/>
      <c r="G55" s="473"/>
      <c r="H55" s="473"/>
      <c r="I55" s="507"/>
      <c r="J55" s="507"/>
      <c r="K55" s="514"/>
      <c r="L55" s="481"/>
    </row>
    <row r="56" spans="2:13">
      <c r="B56" s="538"/>
      <c r="C56" s="253" t="s">
        <v>650</v>
      </c>
      <c r="D56" s="473"/>
      <c r="E56" s="507"/>
      <c r="F56" s="507"/>
      <c r="G56" s="473"/>
      <c r="H56" s="473"/>
      <c r="I56" s="507"/>
      <c r="J56" s="507"/>
      <c r="K56" s="514">
        <f>'Data Sheet'!D53</f>
        <v>500000</v>
      </c>
      <c r="L56" s="481"/>
    </row>
    <row r="57" spans="2:13">
      <c r="B57" s="538"/>
      <c r="C57" s="253" t="s">
        <v>736</v>
      </c>
      <c r="D57" s="628"/>
      <c r="E57" s="507"/>
      <c r="F57" s="507"/>
      <c r="G57" s="628"/>
      <c r="H57" s="628"/>
      <c r="I57" s="507"/>
      <c r="J57" s="507"/>
      <c r="K57" s="514">
        <f>'Data Sheet'!D54</f>
        <v>100000</v>
      </c>
      <c r="L57" s="481"/>
    </row>
    <row r="58" spans="2:13">
      <c r="B58" s="538"/>
      <c r="C58" s="253" t="s">
        <v>652</v>
      </c>
      <c r="D58" s="473"/>
      <c r="E58" s="507"/>
      <c r="F58" s="507"/>
      <c r="G58" s="473"/>
      <c r="H58" s="473"/>
      <c r="I58" s="507"/>
      <c r="J58" s="507"/>
      <c r="K58" s="514">
        <f>K64*1.14</f>
        <v>389999.69999999995</v>
      </c>
      <c r="L58" s="481"/>
    </row>
    <row r="59" spans="2:13">
      <c r="B59" s="538"/>
      <c r="C59" s="515"/>
      <c r="D59" s="511"/>
      <c r="E59" s="507"/>
      <c r="F59" s="507"/>
      <c r="G59" s="473" t="str">
        <f t="shared" ref="G59" si="8">LOWER(C59)</f>
        <v/>
      </c>
      <c r="H59" s="473"/>
      <c r="I59" s="507"/>
      <c r="J59" s="507"/>
      <c r="K59" s="514"/>
      <c r="L59" s="481"/>
    </row>
    <row r="60" spans="2:13" ht="12.6" thickBot="1">
      <c r="B60" s="538"/>
      <c r="C60" s="170" t="s">
        <v>649</v>
      </c>
      <c r="D60" s="511"/>
      <c r="E60" s="507"/>
      <c r="F60" s="507"/>
      <c r="G60" s="473"/>
      <c r="H60" s="473"/>
      <c r="I60" s="507"/>
      <c r="J60" s="507"/>
      <c r="K60" s="600">
        <f>J50-K56-K57-K58</f>
        <v>8388210.2999999998</v>
      </c>
      <c r="L60" s="481"/>
    </row>
    <row r="61" spans="2:13" ht="12.9" thickTop="1" thickBot="1">
      <c r="B61" s="538"/>
      <c r="C61" s="516"/>
      <c r="D61" s="517"/>
      <c r="E61" s="518"/>
      <c r="F61" s="518"/>
      <c r="G61" s="519"/>
      <c r="H61" s="519"/>
      <c r="I61" s="518"/>
      <c r="J61" s="518"/>
      <c r="K61" s="520"/>
      <c r="L61" s="481"/>
    </row>
    <row r="62" spans="2:13" ht="12.6" thickBot="1">
      <c r="B62" s="482"/>
      <c r="C62" s="511"/>
      <c r="D62" s="511"/>
      <c r="E62" s="507"/>
      <c r="F62" s="507"/>
      <c r="G62" s="473"/>
      <c r="H62" s="473"/>
      <c r="I62" s="507"/>
      <c r="J62" s="507"/>
      <c r="K62" s="507"/>
      <c r="L62" s="481"/>
    </row>
    <row r="63" spans="2:13">
      <c r="B63" s="482"/>
      <c r="C63" s="545" t="s">
        <v>640</v>
      </c>
      <c r="D63" s="476"/>
      <c r="E63" s="508"/>
      <c r="F63" s="508"/>
      <c r="G63" s="509"/>
      <c r="H63" s="509"/>
      <c r="I63" s="508"/>
      <c r="J63" s="508"/>
      <c r="K63" s="510"/>
      <c r="L63" s="481"/>
    </row>
    <row r="64" spans="2:13" ht="12.6" thickBot="1">
      <c r="B64" s="482"/>
      <c r="C64" s="549" t="s">
        <v>661</v>
      </c>
      <c r="D64" s="487"/>
      <c r="E64" s="548">
        <f>IF('Deal Sheet'!D43&lt;&gt;"",'Deal Sheet'!D43,"N/A")</f>
        <v>2</v>
      </c>
      <c r="F64" s="487"/>
      <c r="G64" s="487"/>
      <c r="H64" s="854" t="s">
        <v>666</v>
      </c>
      <c r="I64" s="854"/>
      <c r="J64" s="487"/>
      <c r="K64" s="506">
        <f>IF('Deal Sheet'!F43&lt;&gt;"",'Deal Sheet'!F43,0)</f>
        <v>342105</v>
      </c>
      <c r="L64" s="481"/>
    </row>
    <row r="65" spans="2:12" ht="12.6" thickBot="1">
      <c r="B65" s="482"/>
      <c r="C65" s="517"/>
      <c r="D65" s="511"/>
      <c r="E65" s="507"/>
      <c r="F65" s="507"/>
      <c r="G65" s="473"/>
      <c r="H65" s="473"/>
      <c r="I65" s="507"/>
      <c r="J65" s="507"/>
      <c r="K65" s="507"/>
      <c r="L65" s="481"/>
    </row>
    <row r="66" spans="2:12" ht="12.6" thickBot="1">
      <c r="B66" s="482"/>
      <c r="C66" s="521"/>
      <c r="D66" s="478"/>
      <c r="E66" s="478"/>
      <c r="F66" s="478"/>
      <c r="G66" s="478"/>
      <c r="H66" s="478"/>
      <c r="I66" s="478"/>
      <c r="J66" s="478"/>
      <c r="K66" s="479"/>
      <c r="L66" s="481"/>
    </row>
    <row r="67" spans="2:12">
      <c r="B67" s="482"/>
      <c r="C67" s="563" t="s">
        <v>665</v>
      </c>
      <c r="D67" s="542"/>
      <c r="E67" s="542"/>
      <c r="F67" s="542"/>
      <c r="G67" s="542"/>
      <c r="H67" s="542"/>
      <c r="I67" s="542"/>
      <c r="J67" s="542"/>
      <c r="K67" s="543"/>
      <c r="L67" s="481"/>
    </row>
    <row r="68" spans="2:12" ht="12.6" thickBot="1">
      <c r="B68" s="482"/>
      <c r="C68" s="482"/>
      <c r="D68" s="480"/>
      <c r="E68" s="480"/>
      <c r="F68" s="480"/>
      <c r="G68" s="480"/>
      <c r="H68" s="480"/>
      <c r="I68" s="480"/>
      <c r="J68" s="480"/>
      <c r="K68" s="481"/>
      <c r="L68" s="481"/>
    </row>
    <row r="69" spans="2:12" ht="12.6" thickBot="1">
      <c r="B69" s="482"/>
      <c r="C69" s="834" t="s">
        <v>662</v>
      </c>
      <c r="D69" s="835"/>
      <c r="E69" s="835"/>
      <c r="F69" s="836"/>
      <c r="G69" s="480"/>
      <c r="H69" s="834" t="s">
        <v>641</v>
      </c>
      <c r="I69" s="835"/>
      <c r="J69" s="835"/>
      <c r="K69" s="836"/>
      <c r="L69" s="481"/>
    </row>
    <row r="70" spans="2:12">
      <c r="B70" s="482"/>
      <c r="C70" s="521"/>
      <c r="D70" s="478"/>
      <c r="E70" s="478"/>
      <c r="F70" s="479"/>
      <c r="G70" s="480"/>
      <c r="H70" s="553" t="s">
        <v>45</v>
      </c>
      <c r="I70" s="554"/>
      <c r="J70" s="555"/>
      <c r="K70" s="556" t="str">
        <f>'Deal Sheet'!ST</f>
        <v>Trade-Back</v>
      </c>
      <c r="L70" s="481"/>
    </row>
    <row r="71" spans="2:12">
      <c r="B71" s="482"/>
      <c r="C71" s="482" t="s">
        <v>644</v>
      </c>
      <c r="D71" s="480"/>
      <c r="E71" s="480"/>
      <c r="F71" s="522" t="str">
        <f>IF('Deal Sheet'!$L$55&lt;&gt;"","Service Care","None")</f>
        <v>Service Care</v>
      </c>
      <c r="G71" s="480"/>
      <c r="H71" s="482" t="s">
        <v>664</v>
      </c>
      <c r="I71" s="480"/>
      <c r="J71" s="480"/>
      <c r="K71" s="522" t="str">
        <f>IF('Deal Sheet'!F46&lt;&gt;"",'Deal Sheet'!F46,"")</f>
        <v>No</v>
      </c>
      <c r="L71" s="481"/>
    </row>
    <row r="72" spans="2:12">
      <c r="B72" s="482"/>
      <c r="C72" s="482" t="s">
        <v>642</v>
      </c>
      <c r="D72" s="480"/>
      <c r="E72" s="480"/>
      <c r="F72" s="522" t="str">
        <f>IF(F71&lt;&gt;"","3 Months","")</f>
        <v>3 Months</v>
      </c>
      <c r="G72" s="480"/>
      <c r="H72" s="532" t="s">
        <v>642</v>
      </c>
      <c r="I72" s="531"/>
      <c r="J72" s="492"/>
      <c r="K72" s="522" t="str">
        <f>IF('Deal Sheet'!STP&lt;&gt;"",'Deal Sheet'!STP,"")</f>
        <v>36 MONTHS</v>
      </c>
      <c r="L72" s="481"/>
    </row>
    <row r="73" spans="2:12" ht="12.6" thickBot="1">
      <c r="B73" s="482"/>
      <c r="C73" s="484"/>
      <c r="D73" s="487"/>
      <c r="E73" s="487"/>
      <c r="F73" s="533"/>
      <c r="G73" s="480"/>
      <c r="H73" s="551" t="s">
        <v>728</v>
      </c>
      <c r="I73" s="552"/>
      <c r="J73" s="550"/>
      <c r="K73" s="564" t="str">
        <f>IF('Deal Sheet'!STM&lt;&gt;"",'Deal Sheet'!STM,"")</f>
        <v>10 000 KM</v>
      </c>
      <c r="L73" s="481"/>
    </row>
    <row r="74" spans="2:12" ht="12.6" thickBot="1">
      <c r="B74" s="482"/>
      <c r="C74" s="482"/>
      <c r="D74" s="480"/>
      <c r="E74" s="480"/>
      <c r="F74" s="480"/>
      <c r="G74" s="480"/>
      <c r="H74" s="480"/>
      <c r="I74" s="480"/>
      <c r="J74" s="480"/>
      <c r="K74" s="481"/>
      <c r="L74" s="481"/>
    </row>
    <row r="75" spans="2:12" ht="12.6" thickBot="1">
      <c r="B75" s="482"/>
      <c r="C75" s="834" t="s">
        <v>643</v>
      </c>
      <c r="D75" s="835"/>
      <c r="E75" s="835"/>
      <c r="F75" s="836"/>
      <c r="G75" s="480"/>
      <c r="H75" s="834" t="s">
        <v>720</v>
      </c>
      <c r="I75" s="835"/>
      <c r="J75" s="835"/>
      <c r="K75" s="836"/>
      <c r="L75" s="481"/>
    </row>
    <row r="76" spans="2:12">
      <c r="B76" s="482"/>
      <c r="C76" s="521"/>
      <c r="D76" s="478"/>
      <c r="E76" s="478"/>
      <c r="F76" s="479"/>
      <c r="G76" s="480"/>
      <c r="H76" s="521"/>
      <c r="I76" s="478"/>
      <c r="J76" s="478"/>
      <c r="K76" s="479"/>
      <c r="L76" s="481"/>
    </row>
    <row r="77" spans="2:12">
      <c r="B77" s="482"/>
      <c r="C77" s="808" t="s">
        <v>644</v>
      </c>
      <c r="D77" s="793"/>
      <c r="E77" s="480"/>
      <c r="F77" s="522" t="str">
        <f>'Deal Sheet'!RM</f>
        <v>COMFORT SUPER</v>
      </c>
      <c r="G77" s="480"/>
      <c r="H77" s="808" t="s">
        <v>45</v>
      </c>
      <c r="I77" s="793"/>
      <c r="J77" s="492"/>
      <c r="K77" s="522" t="str">
        <f>'Deal Sheet'!E63</f>
        <v>Combination</v>
      </c>
      <c r="L77" s="481"/>
    </row>
    <row r="78" spans="2:12" ht="12.6">
      <c r="B78" s="482"/>
      <c r="C78" s="808" t="s">
        <v>642</v>
      </c>
      <c r="D78" s="793"/>
      <c r="E78" s="480"/>
      <c r="F78" s="522" t="str">
        <f>IF('Deal Sheet'!RMP="","",'Deal Sheet'!RMP)</f>
        <v>36 MONTHS</v>
      </c>
      <c r="G78" s="480"/>
      <c r="H78" s="808" t="str">
        <f>IF(K78="","","Term &amp; Mileage")</f>
        <v>Term &amp; Mileage</v>
      </c>
      <c r="I78" s="793"/>
      <c r="J78" s="557" t="str">
        <f>IF(K77="Combination","Entire Vehicle","")</f>
        <v>Entire Vehicle</v>
      </c>
      <c r="K78" s="558" t="str">
        <f>IF(OR('Deal Sheet'!E63="Entire Vehicle",'Deal Sheet'!E63="Combination"),'Deal Sheet'!C65&amp;" / "&amp;'Deal Sheet'!C66,"")</f>
        <v>24 MONTHS / 150 000 KM</v>
      </c>
      <c r="L78" s="481"/>
    </row>
    <row r="79" spans="2:12" ht="15" customHeight="1" thickBot="1">
      <c r="B79" s="482"/>
      <c r="C79" s="852" t="s">
        <v>727</v>
      </c>
      <c r="D79" s="853"/>
      <c r="E79" s="487"/>
      <c r="F79" s="564" t="str">
        <f>IF('Deal Sheet'!RMM="","",'Deal Sheet'!RMM)</f>
        <v>360 000 KM</v>
      </c>
      <c r="G79" s="480"/>
      <c r="H79" s="852" t="str">
        <f>IF(K79="","","Term &amp; Mileage")</f>
        <v>Term &amp; Mileage</v>
      </c>
      <c r="I79" s="853"/>
      <c r="J79" s="565" t="str">
        <f>IF(K77="Combination","Driveline","")</f>
        <v>Driveline</v>
      </c>
      <c r="K79" s="566" t="str">
        <f>IF(OR('Deal Sheet'!EXW="Driveline",'Deal Sheet'!EXW="Combination"),'Deal Sheet'!DLM&amp;" / "&amp;'Deal Sheet'!D66,"")</f>
        <v>36 MONTHS / 225 000 KM</v>
      </c>
      <c r="L79" s="481"/>
    </row>
    <row r="80" spans="2:12" ht="12.6" thickBot="1">
      <c r="B80" s="482"/>
      <c r="C80" s="487"/>
      <c r="D80" s="487"/>
      <c r="E80" s="487"/>
      <c r="F80" s="487"/>
      <c r="G80" s="487"/>
      <c r="H80" s="487"/>
      <c r="I80" s="487"/>
      <c r="J80" s="487"/>
      <c r="K80" s="487"/>
      <c r="L80" s="481"/>
    </row>
    <row r="81" spans="2:15" ht="12.6">
      <c r="B81" s="538"/>
      <c r="C81" s="545" t="s">
        <v>648</v>
      </c>
      <c r="D81" s="579"/>
      <c r="E81" s="579"/>
      <c r="F81" s="579"/>
      <c r="G81" s="579"/>
      <c r="H81" s="582" t="s">
        <v>710</v>
      </c>
      <c r="I81" s="579"/>
      <c r="J81" s="579"/>
      <c r="K81" s="580"/>
      <c r="L81" s="481"/>
      <c r="M81" s="581"/>
      <c r="O81" s="581"/>
    </row>
    <row r="82" spans="2:15" ht="14.4" customHeight="1">
      <c r="B82" s="538"/>
      <c r="C82" s="482" t="s">
        <v>692</v>
      </c>
      <c r="D82" s="480"/>
      <c r="E82" s="480" t="str">
        <f>'Data Sheet'!D38</f>
        <v>Absa</v>
      </c>
      <c r="F82" s="480"/>
      <c r="G82" s="480"/>
      <c r="H82" s="815" t="s">
        <v>719</v>
      </c>
      <c r="I82" s="816"/>
      <c r="J82" s="821" t="str">
        <f>IF('Data Sheet'!I46="","",'Data Sheet'!I46)</f>
        <v>Deliver  X2 Unit(s)  : 2017-09</v>
      </c>
      <c r="K82" s="822"/>
      <c r="L82" s="481"/>
    </row>
    <row r="83" spans="2:15" ht="14.4" customHeight="1">
      <c r="B83" s="538"/>
      <c r="C83" s="482" t="s">
        <v>647</v>
      </c>
      <c r="D83" s="480"/>
      <c r="E83" s="480" t="str">
        <f>'Data Sheet'!D50</f>
        <v>30 days</v>
      </c>
      <c r="F83" s="480"/>
      <c r="G83" s="480"/>
      <c r="H83" s="817"/>
      <c r="I83" s="818"/>
      <c r="J83" s="821" t="str">
        <f>IF('Data Sheet'!I47="","",'Data Sheet'!I47)</f>
        <v>Deliver  X1 Unit(s)  : 2017-10</v>
      </c>
      <c r="K83" s="822"/>
      <c r="L83" s="481"/>
    </row>
    <row r="84" spans="2:15" ht="14.4" customHeight="1">
      <c r="B84" s="538"/>
      <c r="C84" s="482" t="s">
        <v>718</v>
      </c>
      <c r="D84" s="480"/>
      <c r="E84" s="480" t="str">
        <f>'Data Sheet'!I53</f>
        <v>**Please specify</v>
      </c>
      <c r="F84" s="480"/>
      <c r="G84" s="480"/>
      <c r="H84" s="817"/>
      <c r="I84" s="818"/>
      <c r="J84" s="821" t="str">
        <f>IF('Data Sheet'!I48="","",'Data Sheet'!I48)</f>
        <v>Deliver  X1 Unit(s)  : 2017-11</v>
      </c>
      <c r="K84" s="822"/>
      <c r="L84" s="481"/>
    </row>
    <row r="85" spans="2:15" ht="14.4" customHeight="1">
      <c r="B85" s="538"/>
      <c r="C85" s="482"/>
      <c r="D85" s="480"/>
      <c r="E85" s="480"/>
      <c r="F85" s="480"/>
      <c r="G85" s="480"/>
      <c r="H85" s="817"/>
      <c r="I85" s="818"/>
      <c r="J85" s="821" t="str">
        <f>IF('Data Sheet'!I49="","",'Data Sheet'!I49)</f>
        <v>Deliver  X1 Unit(s)  : 2018-03</v>
      </c>
      <c r="K85" s="822"/>
      <c r="L85" s="481"/>
    </row>
    <row r="86" spans="2:15" ht="14.4" customHeight="1" thickBot="1">
      <c r="B86" s="538"/>
      <c r="C86" s="484"/>
      <c r="D86" s="487"/>
      <c r="E86" s="487"/>
      <c r="F86" s="487"/>
      <c r="G86" s="487"/>
      <c r="H86" s="819"/>
      <c r="I86" s="820"/>
      <c r="J86" s="823" t="str">
        <f>IF('Data Sheet'!I50="","",'Data Sheet'!I50)</f>
        <v/>
      </c>
      <c r="K86" s="824"/>
      <c r="L86" s="481"/>
    </row>
    <row r="87" spans="2:15">
      <c r="B87" s="482"/>
      <c r="C87" s="534" t="s">
        <v>735</v>
      </c>
      <c r="D87" s="480"/>
      <c r="E87" s="480"/>
      <c r="F87" s="480"/>
      <c r="G87" s="480"/>
      <c r="H87" s="480"/>
      <c r="I87" s="480"/>
      <c r="J87" s="480"/>
      <c r="K87" s="480"/>
      <c r="L87" s="481"/>
    </row>
    <row r="88" spans="2:15" ht="12.6" thickBot="1">
      <c r="B88" s="482"/>
      <c r="C88" s="487"/>
      <c r="D88" s="480"/>
      <c r="E88" s="480"/>
      <c r="F88" s="480"/>
      <c r="G88" s="480"/>
      <c r="H88" s="480"/>
      <c r="I88" s="480"/>
      <c r="J88" s="480"/>
      <c r="K88" s="480"/>
      <c r="L88" s="481"/>
    </row>
    <row r="89" spans="2:15" ht="2.4" customHeight="1">
      <c r="B89" s="538"/>
      <c r="C89" s="855" t="s">
        <v>657</v>
      </c>
      <c r="D89" s="856"/>
      <c r="E89" s="855" t="s">
        <v>658</v>
      </c>
      <c r="F89" s="856"/>
      <c r="G89" s="855" t="s">
        <v>659</v>
      </c>
      <c r="H89" s="861"/>
      <c r="I89" s="856"/>
      <c r="J89" s="855" t="s">
        <v>660</v>
      </c>
      <c r="K89" s="856"/>
      <c r="L89" s="481"/>
    </row>
    <row r="90" spans="2:15">
      <c r="B90" s="538"/>
      <c r="C90" s="857"/>
      <c r="D90" s="858"/>
      <c r="E90" s="857"/>
      <c r="F90" s="858"/>
      <c r="G90" s="857"/>
      <c r="H90" s="862"/>
      <c r="I90" s="858"/>
      <c r="J90" s="857"/>
      <c r="K90" s="858"/>
      <c r="L90" s="481"/>
    </row>
    <row r="91" spans="2:15" ht="13.2" customHeight="1">
      <c r="B91" s="538"/>
      <c r="C91" s="857"/>
      <c r="D91" s="858"/>
      <c r="E91" s="857"/>
      <c r="F91" s="858"/>
      <c r="G91" s="857"/>
      <c r="H91" s="862"/>
      <c r="I91" s="858"/>
      <c r="J91" s="857"/>
      <c r="K91" s="858"/>
      <c r="L91" s="481"/>
    </row>
    <row r="92" spans="2:15" ht="42" customHeight="1">
      <c r="B92" s="538"/>
      <c r="C92" s="857"/>
      <c r="D92" s="858"/>
      <c r="E92" s="857"/>
      <c r="F92" s="858"/>
      <c r="G92" s="857"/>
      <c r="H92" s="862"/>
      <c r="I92" s="858"/>
      <c r="J92" s="857"/>
      <c r="K92" s="858"/>
      <c r="L92" s="481"/>
    </row>
    <row r="93" spans="2:15" ht="14.4" customHeight="1">
      <c r="B93" s="538"/>
      <c r="C93" s="857"/>
      <c r="D93" s="858"/>
      <c r="E93" s="857"/>
      <c r="F93" s="858"/>
      <c r="G93" s="857"/>
      <c r="H93" s="862"/>
      <c r="I93" s="858"/>
      <c r="J93" s="857"/>
      <c r="K93" s="858"/>
      <c r="L93" s="481"/>
    </row>
    <row r="94" spans="2:15" ht="13.8" customHeight="1">
      <c r="B94" s="538"/>
      <c r="C94" s="857"/>
      <c r="D94" s="858"/>
      <c r="E94" s="857"/>
      <c r="F94" s="858"/>
      <c r="G94" s="857"/>
      <c r="H94" s="862"/>
      <c r="I94" s="858"/>
      <c r="J94" s="857"/>
      <c r="K94" s="858"/>
      <c r="L94" s="481"/>
    </row>
    <row r="95" spans="2:15" ht="14.4" customHeight="1" thickBot="1">
      <c r="B95" s="538"/>
      <c r="C95" s="859"/>
      <c r="D95" s="860"/>
      <c r="E95" s="859"/>
      <c r="F95" s="860"/>
      <c r="G95" s="859"/>
      <c r="H95" s="863"/>
      <c r="I95" s="860"/>
      <c r="J95" s="859"/>
      <c r="K95" s="860"/>
      <c r="L95" s="481"/>
    </row>
    <row r="96" spans="2:15" ht="15" customHeight="1">
      <c r="B96" s="482"/>
      <c r="C96" s="478"/>
      <c r="D96" s="480"/>
      <c r="E96" s="535" t="s">
        <v>656</v>
      </c>
      <c r="F96" s="480"/>
      <c r="G96" s="480"/>
      <c r="H96" s="480"/>
      <c r="I96" s="480"/>
      <c r="J96" s="480"/>
      <c r="K96" s="480"/>
      <c r="L96" s="481"/>
    </row>
    <row r="97" spans="2:12" ht="2.4" customHeight="1">
      <c r="B97" s="482"/>
      <c r="C97" s="480"/>
      <c r="D97" s="480"/>
      <c r="E97" s="480"/>
      <c r="F97" s="480"/>
      <c r="G97" s="480"/>
      <c r="H97" s="480"/>
      <c r="I97" s="480"/>
      <c r="J97" s="480"/>
      <c r="K97" s="480"/>
      <c r="L97" s="481"/>
    </row>
    <row r="98" spans="2:12" ht="12.6" thickBot="1">
      <c r="B98" s="484"/>
      <c r="C98" s="487"/>
      <c r="D98" s="487"/>
      <c r="E98" s="487"/>
      <c r="F98" s="487"/>
      <c r="G98" s="487"/>
      <c r="H98" s="487"/>
      <c r="I98" s="487"/>
      <c r="J98" s="487"/>
      <c r="K98" s="487"/>
      <c r="L98" s="489"/>
    </row>
    <row r="99" spans="2:12">
      <c r="C99" s="480"/>
      <c r="D99" s="480"/>
      <c r="E99" s="480"/>
      <c r="F99" s="480"/>
      <c r="G99" s="480"/>
      <c r="H99" s="480"/>
      <c r="I99" s="480"/>
      <c r="J99" s="480"/>
      <c r="K99" s="480"/>
    </row>
    <row r="100" spans="2:12">
      <c r="C100" s="480"/>
      <c r="D100" s="480"/>
      <c r="E100" s="480"/>
      <c r="F100" s="480"/>
      <c r="G100" s="480"/>
      <c r="H100" s="480"/>
      <c r="I100" s="480"/>
      <c r="J100" s="480"/>
      <c r="K100" s="480"/>
    </row>
    <row r="101" spans="2:12">
      <c r="C101" s="480"/>
      <c r="D101" s="480"/>
      <c r="E101" s="480"/>
      <c r="F101" s="480"/>
      <c r="G101" s="480"/>
      <c r="H101" s="480"/>
      <c r="I101" s="480"/>
      <c r="J101" s="480"/>
      <c r="K101" s="480"/>
    </row>
  </sheetData>
  <sheetProtection algorithmName="SHA-512" hashValue="setuRFS5Tbvlj8j9fIJae51FdGADvgxrp2hc8/o0ocQkPA17OtCF6psFH73AkoIE97ekUomEGPKmD53lCkw+fA==" saltValue="54uXLtF5QHH2jOkn9b02XA==" spinCount="100000" sheet="1" objects="1" scenarios="1"/>
  <mergeCells count="80">
    <mergeCell ref="C48:D48"/>
    <mergeCell ref="J48:K48"/>
    <mergeCell ref="C89:D95"/>
    <mergeCell ref="E89:F95"/>
    <mergeCell ref="G89:I95"/>
    <mergeCell ref="J89:K95"/>
    <mergeCell ref="H69:K69"/>
    <mergeCell ref="C75:F75"/>
    <mergeCell ref="H75:K75"/>
    <mergeCell ref="C69:F69"/>
    <mergeCell ref="C50:D51"/>
    <mergeCell ref="F50:F51"/>
    <mergeCell ref="H50:H51"/>
    <mergeCell ref="I50:I51"/>
    <mergeCell ref="C79:D79"/>
    <mergeCell ref="H77:I77"/>
    <mergeCell ref="H78:I78"/>
    <mergeCell ref="H79:I79"/>
    <mergeCell ref="C78:D78"/>
    <mergeCell ref="C77:D77"/>
    <mergeCell ref="H64:I64"/>
    <mergeCell ref="E50:E51"/>
    <mergeCell ref="G50:G51"/>
    <mergeCell ref="C49:D49"/>
    <mergeCell ref="J49:K49"/>
    <mergeCell ref="J50:K51"/>
    <mergeCell ref="C46:D46"/>
    <mergeCell ref="J46:K46"/>
    <mergeCell ref="C47:D47"/>
    <mergeCell ref="J47:K47"/>
    <mergeCell ref="C44:D44"/>
    <mergeCell ref="J44:K44"/>
    <mergeCell ref="C45:D45"/>
    <mergeCell ref="J45:K45"/>
    <mergeCell ref="J42:K42"/>
    <mergeCell ref="C43:D43"/>
    <mergeCell ref="J43:K43"/>
    <mergeCell ref="J40:K40"/>
    <mergeCell ref="C41:D41"/>
    <mergeCell ref="J41:K41"/>
    <mergeCell ref="C31:D31"/>
    <mergeCell ref="J31:K31"/>
    <mergeCell ref="J30:K30"/>
    <mergeCell ref="C27:D27"/>
    <mergeCell ref="J27:K27"/>
    <mergeCell ref="C28:D28"/>
    <mergeCell ref="J28:K28"/>
    <mergeCell ref="C29:D29"/>
    <mergeCell ref="J29:K29"/>
    <mergeCell ref="C14:K14"/>
    <mergeCell ref="C16:C17"/>
    <mergeCell ref="D16:K17"/>
    <mergeCell ref="C18:K20"/>
    <mergeCell ref="C26:D26"/>
    <mergeCell ref="J26:K26"/>
    <mergeCell ref="D23:E23"/>
    <mergeCell ref="H82:I86"/>
    <mergeCell ref="C36:D36"/>
    <mergeCell ref="J36:K36"/>
    <mergeCell ref="C37:D37"/>
    <mergeCell ref="J37:K37"/>
    <mergeCell ref="J82:K82"/>
    <mergeCell ref="J83:K83"/>
    <mergeCell ref="J84:K84"/>
    <mergeCell ref="J85:K85"/>
    <mergeCell ref="J86:K86"/>
    <mergeCell ref="C38:D38"/>
    <mergeCell ref="J38:K38"/>
    <mergeCell ref="C39:D39"/>
    <mergeCell ref="J39:K39"/>
    <mergeCell ref="C40:D40"/>
    <mergeCell ref="C42:D42"/>
    <mergeCell ref="C34:D34"/>
    <mergeCell ref="J34:K34"/>
    <mergeCell ref="C35:D35"/>
    <mergeCell ref="J35:K35"/>
    <mergeCell ref="C32:D32"/>
    <mergeCell ref="J32:K32"/>
    <mergeCell ref="C33:D33"/>
    <mergeCell ref="J33:K33"/>
  </mergeCells>
  <hyperlinks>
    <hyperlink ref="F12" r:id="rId1" display="jvanschalwyk@jjt.co.za" xr:uid="{00000000-0004-0000-0500-000000000000}"/>
  </hyperlinks>
  <pageMargins left="0.23622047244094491" right="0.23622047244094491" top="0.74803149606299213" bottom="0.74803149606299213" header="0.31496062992125984" footer="0.31496062992125984"/>
  <pageSetup paperSize="9" scale="55" fitToHeight="0"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A1:C39"/>
  <sheetViews>
    <sheetView workbookViewId="0">
      <selection activeCell="A5" sqref="A5"/>
    </sheetView>
  </sheetViews>
  <sheetFormatPr defaultRowHeight="14.4"/>
  <cols>
    <col min="2" max="2" width="92.3125" customWidth="1"/>
  </cols>
  <sheetData>
    <row r="1" spans="1:3">
      <c r="A1" s="644"/>
      <c r="B1" s="645"/>
      <c r="C1" s="646"/>
    </row>
    <row r="2" spans="1:3">
      <c r="A2" s="647"/>
      <c r="B2" s="648"/>
      <c r="C2" s="649"/>
    </row>
    <row r="3" spans="1:3">
      <c r="A3" s="647"/>
      <c r="B3" s="648"/>
      <c r="C3" s="649"/>
    </row>
    <row r="4" spans="1:3" ht="29.7">
      <c r="A4" s="650" t="s">
        <v>755</v>
      </c>
      <c r="B4" s="648"/>
      <c r="C4" s="649"/>
    </row>
    <row r="5" spans="1:3" ht="29.7">
      <c r="A5" s="650"/>
      <c r="B5" s="648"/>
      <c r="C5" s="649"/>
    </row>
    <row r="6" spans="1:3">
      <c r="A6" s="647"/>
      <c r="B6" s="648"/>
      <c r="C6" s="649"/>
    </row>
    <row r="7" spans="1:3">
      <c r="A7" s="651">
        <v>1</v>
      </c>
      <c r="B7" s="652" t="s">
        <v>756</v>
      </c>
      <c r="C7" s="653"/>
    </row>
    <row r="8" spans="1:3">
      <c r="A8" s="651"/>
      <c r="B8" s="652"/>
      <c r="C8" s="653"/>
    </row>
    <row r="9" spans="1:3" ht="37.5">
      <c r="A9" s="651">
        <v>2</v>
      </c>
      <c r="B9" s="652" t="s">
        <v>757</v>
      </c>
      <c r="C9" s="653"/>
    </row>
    <row r="10" spans="1:3">
      <c r="A10" s="651"/>
      <c r="B10" s="652"/>
      <c r="C10" s="653"/>
    </row>
    <row r="11" spans="1:3" ht="37.5">
      <c r="A11" s="651">
        <v>3</v>
      </c>
      <c r="B11" s="652" t="s">
        <v>758</v>
      </c>
      <c r="C11" s="653"/>
    </row>
    <row r="12" spans="1:3">
      <c r="A12" s="651"/>
      <c r="B12" s="652"/>
      <c r="C12" s="653"/>
    </row>
    <row r="13" spans="1:3">
      <c r="A13" s="651">
        <v>4</v>
      </c>
      <c r="B13" s="652" t="s">
        <v>759</v>
      </c>
      <c r="C13" s="653"/>
    </row>
    <row r="14" spans="1:3">
      <c r="A14" s="651"/>
      <c r="B14" s="652"/>
      <c r="C14" s="653"/>
    </row>
    <row r="15" spans="1:3" ht="123.6">
      <c r="A15" s="651">
        <v>5</v>
      </c>
      <c r="B15" s="652" t="s">
        <v>760</v>
      </c>
      <c r="C15" s="653"/>
    </row>
    <row r="16" spans="1:3">
      <c r="A16" s="651"/>
      <c r="B16" s="652"/>
      <c r="C16" s="653"/>
    </row>
    <row r="17" spans="1:3" ht="86.7">
      <c r="A17" s="651">
        <v>6</v>
      </c>
      <c r="B17" s="652" t="s">
        <v>761</v>
      </c>
      <c r="C17" s="653"/>
    </row>
    <row r="18" spans="1:3">
      <c r="A18" s="651"/>
      <c r="B18" s="652"/>
      <c r="C18" s="653"/>
    </row>
    <row r="19" spans="1:3" ht="37.5">
      <c r="A19" s="651">
        <v>7</v>
      </c>
      <c r="B19" s="652" t="s">
        <v>762</v>
      </c>
      <c r="C19" s="653"/>
    </row>
    <row r="20" spans="1:3" ht="25.2">
      <c r="A20" s="651"/>
      <c r="B20" s="652" t="s">
        <v>763</v>
      </c>
      <c r="C20" s="653"/>
    </row>
    <row r="21" spans="1:3" ht="25.2">
      <c r="A21" s="651"/>
      <c r="B21" s="652" t="s">
        <v>764</v>
      </c>
      <c r="C21" s="653"/>
    </row>
    <row r="22" spans="1:3">
      <c r="A22" s="651"/>
      <c r="B22" s="652"/>
      <c r="C22" s="653"/>
    </row>
    <row r="23" spans="1:3" ht="49.8">
      <c r="A23" s="651">
        <v>8</v>
      </c>
      <c r="B23" s="652" t="s">
        <v>765</v>
      </c>
      <c r="C23" s="653"/>
    </row>
    <row r="24" spans="1:3">
      <c r="A24" s="651"/>
      <c r="B24" s="652"/>
      <c r="C24" s="653"/>
    </row>
    <row r="25" spans="1:3" ht="25.2">
      <c r="A25" s="651">
        <v>9</v>
      </c>
      <c r="B25" s="652" t="s">
        <v>766</v>
      </c>
      <c r="C25" s="653"/>
    </row>
    <row r="26" spans="1:3">
      <c r="A26" s="651"/>
      <c r="B26" s="652"/>
      <c r="C26" s="653"/>
    </row>
    <row r="27" spans="1:3" ht="37.5">
      <c r="A27" s="651">
        <v>10</v>
      </c>
      <c r="B27" s="652" t="s">
        <v>767</v>
      </c>
      <c r="C27" s="653"/>
    </row>
    <row r="28" spans="1:3">
      <c r="A28" s="651"/>
      <c r="B28" s="652"/>
      <c r="C28" s="653"/>
    </row>
    <row r="29" spans="1:3" ht="37.5">
      <c r="A29" s="651">
        <v>11</v>
      </c>
      <c r="B29" s="652" t="s">
        <v>768</v>
      </c>
      <c r="C29" s="653"/>
    </row>
    <row r="30" spans="1:3">
      <c r="A30" s="654"/>
      <c r="B30" s="652"/>
      <c r="C30" s="653"/>
    </row>
    <row r="31" spans="1:3">
      <c r="A31" s="654"/>
      <c r="B31" s="652"/>
      <c r="C31" s="653"/>
    </row>
    <row r="32" spans="1:3">
      <c r="A32" s="654"/>
      <c r="B32" s="652"/>
      <c r="C32" s="653"/>
    </row>
    <row r="33" spans="1:3">
      <c r="A33" s="654"/>
      <c r="B33" s="655"/>
      <c r="C33" s="653"/>
    </row>
    <row r="34" spans="1:3" ht="16.5">
      <c r="A34" s="654"/>
      <c r="B34" s="656" t="s">
        <v>769</v>
      </c>
      <c r="C34" s="653"/>
    </row>
    <row r="35" spans="1:3">
      <c r="A35" s="654"/>
      <c r="B35" s="652"/>
      <c r="C35" s="653"/>
    </row>
    <row r="36" spans="1:3">
      <c r="A36" s="654"/>
      <c r="B36" s="652"/>
      <c r="C36" s="653"/>
    </row>
    <row r="37" spans="1:3">
      <c r="A37" s="654"/>
      <c r="B37" s="655"/>
      <c r="C37" s="653"/>
    </row>
    <row r="38" spans="1:3" ht="16.5">
      <c r="A38" s="654"/>
      <c r="B38" s="656" t="s">
        <v>29</v>
      </c>
      <c r="C38" s="653"/>
    </row>
    <row r="39" spans="1:3" ht="14.7" thickBot="1">
      <c r="A39" s="657"/>
      <c r="B39" s="658"/>
      <c r="C39" s="659"/>
    </row>
  </sheetData>
  <sheetProtection algorithmName="SHA-512" hashValue="KMglfXHn+J5Djf2UVK3nyhHkJ3j3DYunVwPk6OqgzAUPC9Y4jm3VRvQ2MGja6TEVt1VjM4PQ8nhn7lBHwcLsZw==" saltValue="NXnHw+Hk/QFjRybuL3ieew==" spinCount="100000" sheet="1" objects="1" scenarios="1"/>
  <printOptions horizontalCentered="1" verticalCentered="1"/>
  <pageMargins left="0" right="0" top="0" bottom="0" header="0" footer="0"/>
  <pageSetup paperSize="9" scale="78"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7</vt:i4>
      </vt:variant>
      <vt:variant>
        <vt:lpstr>Adlandırılmış Aralıklar</vt:lpstr>
      </vt:variant>
      <vt:variant>
        <vt:i4>30</vt:i4>
      </vt:variant>
    </vt:vector>
  </HeadingPairs>
  <TitlesOfParts>
    <vt:vector size="37" baseType="lpstr">
      <vt:lpstr>price list MAN</vt:lpstr>
      <vt:lpstr>Deal Sheet</vt:lpstr>
      <vt:lpstr>Trade In's</vt:lpstr>
      <vt:lpstr>Month of Invoicing</vt:lpstr>
      <vt:lpstr>Data Sheet</vt:lpstr>
      <vt:lpstr>OTP</vt:lpstr>
      <vt:lpstr>OTP Conditions</vt:lpstr>
      <vt:lpstr>'Deal Sheet'!APP</vt:lpstr>
      <vt:lpstr>'Deal Sheet'!APPT</vt:lpstr>
      <vt:lpstr>'Deal Sheet'!cus</vt:lpstr>
      <vt:lpstr>'Deal Sheet'!DLM</vt:lpstr>
      <vt:lpstr>'Deal Sheet'!DLT</vt:lpstr>
      <vt:lpstr>'Deal Sheet'!EVE</vt:lpstr>
      <vt:lpstr>'Deal Sheet'!EVM</vt:lpstr>
      <vt:lpstr>'Deal Sheet'!EWC</vt:lpstr>
      <vt:lpstr>'Deal Sheet'!EWCUS</vt:lpstr>
      <vt:lpstr>'Deal Sheet'!EXW</vt:lpstr>
      <vt:lpstr>'Deal Sheet'!EXWAR</vt:lpstr>
      <vt:lpstr>'Deal Sheet'!MODEL</vt:lpstr>
      <vt:lpstr>'Deal Sheet'!RM</vt:lpstr>
      <vt:lpstr>'Deal Sheet'!RMC</vt:lpstr>
      <vt:lpstr>'Deal Sheet'!RMCUS</vt:lpstr>
      <vt:lpstr>'Deal Sheet'!RMM</vt:lpstr>
      <vt:lpstr>'Deal Sheet'!RMP</vt:lpstr>
      <vt:lpstr>'Deal Sheet'!ST</vt:lpstr>
      <vt:lpstr>'Deal Sheet'!STC</vt:lpstr>
      <vt:lpstr>'Deal Sheet'!STCOS</vt:lpstr>
      <vt:lpstr>'Deal Sheet'!STCUS</vt:lpstr>
      <vt:lpstr>'Deal Sheet'!STM</vt:lpstr>
      <vt:lpstr>'Deal Sheet'!STP</vt:lpstr>
      <vt:lpstr>'Deal Sheet'!war</vt:lpstr>
      <vt:lpstr>'Data Sheet'!Yazdırma_Alanı</vt:lpstr>
      <vt:lpstr>'Deal Sheet'!Yazdırma_Alanı</vt:lpstr>
      <vt:lpstr>'Month of Invoicing'!Yazdırma_Alanı</vt:lpstr>
      <vt:lpstr>OTP!Yazdırma_Alanı</vt:lpstr>
      <vt:lpstr>'OTP Conditions'!Yazdırma_Alanı</vt:lpstr>
      <vt:lpstr>'Trade In''s'!Yazdırma_Alanı</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Siphamandla Sithole</dc:creator>
  <cp:lastModifiedBy>İdil Küçükkaya</cp:lastModifiedBy>
  <cp:lastPrinted>2017-08-07T19:14:16Z</cp:lastPrinted>
  <dcterms:created xsi:type="dcterms:W3CDTF">2017-03-16T15:45:09Z</dcterms:created>
  <dcterms:modified xsi:type="dcterms:W3CDTF">2018-05-02T08:07:00Z</dcterms:modified>
</cp:coreProperties>
</file>